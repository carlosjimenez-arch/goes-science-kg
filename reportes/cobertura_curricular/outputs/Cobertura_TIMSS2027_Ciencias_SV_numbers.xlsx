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5"/>
    <sheet name="Inicio" sheetId="2" r:id="rId6"/>
    <sheet name="Resumen TIMSS y PISA" sheetId="3" r:id="rId7"/>
    <sheet name="Apego TIMSS y PISA" sheetId="4" r:id="rId8"/>
    <sheet name="Presupuesto de temas" sheetId="5" r:id="rId9"/>
    <sheet name="TIMSS - Balance por ciclo" sheetId="6" r:id="rId10"/>
    <sheet name="TIMSS - Balance por grado" sheetId="7" r:id="rId11"/>
    <sheet name="TIMSS - Semáforo de objetivos" sheetId="8" r:id="rId12"/>
    <sheet name="TIMSS - Conocer-Aplicar-Razonar" sheetId="9" r:id="rId13"/>
    <sheet name="TIMSS - Medio ambiente" sheetId="10" r:id="rId14"/>
    <sheet name="TIMSS - Investigación" sheetId="11" r:id="rId15"/>
    <sheet name="TIMSS - Otros países" sheetId="12" r:id="rId16"/>
    <sheet name="PISA - Contenidos" sheetId="13" r:id="rId17"/>
    <sheet name="PISA - Competencias" sheetId="14" r:id="rId18"/>
    <sheet name="PISA - Tipos de conocimiento" sheetId="15" r:id="rId19"/>
    <sheet name="PISA - Contextos" sheetId="16" r:id="rId20"/>
    <sheet name="Datos - Temas" sheetId="17" r:id="rId21"/>
    <sheet name="Datos - Catálogo TIMSS" sheetId="18" r:id="rId22"/>
    <sheet name="Datos - Catálogo PISA" sheetId="19" r:id="rId23"/>
    <sheet name="Datos - Objetivos de países" sheetId="20" r:id="rId24"/>
    <sheet name="Datos - TIMSS 2023" sheetId="21" r:id="rId25"/>
    <sheet name="Fuentes" sheetId="22" r:id="rId26"/>
  </sheets>
</workbook>
</file>

<file path=xl/comments1.xml><?xml version="1.0" encoding="utf-8"?>
<comments xmlns="http://schemas.openxmlformats.org/spreadsheetml/2006/main">
  <authors>
    <author>Claude</author>
  </authors>
  <commentList>
    <comment ref="E4" authorId="0">
      <text>
        <r>
          <rPr>
            <sz val="11"/>
            <color indexed="8"/>
            <rFont val="Helvetica Neue"/>
          </rPr>
          <t>Claude:
Supuesto editable. El equipo GOES anticipa que PISA será prioridad en 7.°–9.°; 50 % es neutral.</t>
        </r>
      </text>
    </comment>
  </commentList>
</comments>
</file>

<file path=xl/comments2.xml><?xml version="1.0" encoding="utf-8"?>
<comments xmlns="http://schemas.openxmlformats.org/spreadsheetml/2006/main">
  <authors>
    <author>Claude</author>
  </authors>
  <commentList>
    <comment ref="H2" authorId="0">
      <text>
        <r>
          <rPr>
            <sz val="11"/>
            <color indexed="8"/>
            <rFont val="Helvetica Neue"/>
          </rPr>
          <t>Claude:
Supuesto editable. 5 pp = margen razonable para un conteo por temas.</t>
        </r>
      </text>
    </comment>
  </commentList>
</comments>
</file>

<file path=xl/comments3.xml><?xml version="1.0" encoding="utf-8"?>
<comments xmlns="http://schemas.openxmlformats.org/spreadsheetml/2006/main">
  <authors>
    <author>Claude</author>
  </authors>
  <commentList>
    <comment ref="H2" authorId="0">
      <text>
        <r>
          <rPr>
            <sz val="11"/>
            <color indexed="8"/>
            <rFont val="Helvetica Neue"/>
          </rPr>
          <t>Claude:
Supuesto editable. 5 pp = margen razonable para un conteo por temas.</t>
        </r>
      </text>
    </comment>
  </commentList>
</comments>
</file>

<file path=xl/comments4.xml><?xml version="1.0" encoding="utf-8"?>
<comments xmlns="http://schemas.openxmlformats.org/spreadsheetml/2006/main">
  <authors>
    <author>Claude</author>
  </authors>
  <commentList>
    <comment ref="E3" authorId="0">
      <text>
        <r>
          <rPr>
            <sz val="11"/>
            <color indexed="8"/>
            <rFont val="Helvetica Neue"/>
          </rPr>
          <t>Claude:
TIMSS 2027, cap. 2, p. 23: «aproximadamente 25 por ciento» de los ítems de ciencias. Editable.</t>
        </r>
      </text>
    </comment>
  </commentList>
</comments>
</file>

<file path=xl/comments5.xml><?xml version="1.0" encoding="utf-8"?>
<comments xmlns="http://schemas.openxmlformats.org/spreadsheetml/2006/main">
  <authors>
    <author>Claude</author>
  </authors>
  <commentList>
    <comment ref="L3" authorId="0">
      <text>
        <r>
          <rPr>
            <sz val="11"/>
            <color indexed="8"/>
            <rFont val="Helvetica Neue"/>
          </rPr>
          <t>Claude:
Supuesto editable. 1.° grado no tiene malla en El Salvador: si otro país introduce algo en 1.°, se compara como 2.°.</t>
        </r>
      </text>
    </comment>
  </commentList>
</comments>
</file>

<file path=xl/comments6.xml><?xml version="1.0" encoding="utf-8"?>
<comments xmlns="http://schemas.openxmlformats.org/spreadsheetml/2006/main">
  <authors>
    <author>Claude</author>
  </authors>
  <commentList>
    <comment ref="H2" authorId="0">
      <text>
        <r>
          <rPr>
            <sz val="11"/>
            <color indexed="8"/>
            <rFont val="Helvetica Neue"/>
          </rPr>
          <t>Claude:
Supuesto editable. 5 pp = margen razonable para un conteo por temas.</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<sst xmlns="http://schemas.openxmlformats.org/spreadsheetml/2006/main" uniqueCount="9487">
  <si>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</si>
  <si>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</si>
  <si>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</si>
  <si>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</si>
  <si>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Inicio</t>
  </si>
  <si>
    <t>Tabla 1</t>
  </si>
  <si>
    <t>Cobertura de la malla de Ciencia y Tecnología frente a TIMSS 2027 y PISA 2025 — hallazgos, cómo se construyó y cómo leerla</t>
  </si>
  <si>
    <t>Versión 3 (TIMSS 2027 + PISA 2025) · 2 de octubre de 2026 · Elaborado con Claude Code a partir de las mallas del equipo de Ciencias (MINED). Las versiones anteriores (TIMSS 2023) se conservan en Cobertura_TIMSS_Ciencias_SV.xlsx.</t>
  </si>
  <si>
    <t>TIMSS 2027 y PISA 2025
BIEN · En lo acumulado la malla se parece a las pruebas: 92 % (TIMSS 4.°), 88 % (TIMSS 8.°) y 88 % (PISA) de apego.
OJO · TIMSS: falta Biología en 5.°, luz-sonido-electricidad en 4.° y más Razonar en 6.° y 8.°.
OJO · PISA: falta biología en 9.°, Tierra y espacio en 8.°, y enseñar a evaluar información y el porqué de la ciencia.
→ Empieza por «Resumen TIMSS y PISA» y «Presupuesto de temas». Las pestañas que empiezan con TIMSS o PISA tienen el detalle de cada prueba.</t>
  </si>
  <si>
    <t>Resumen ejecutivo (las cifras se recalculan con el libro)</t>
  </si>
  <si>
    <t>1. Apego general. En lo acumulado, la malla se parece mucho a lo que piden las pruebas: índice de apego de 92 % frente a TIMSS 4.° (2.°–4.°), 88 % frente a TIMSS 8.° (5.°–8.°) y 88 % frente a PISA (7.°–9.°). Cubre 31 de 32 objetivos de TIMSS 4.°, 45 de 48 de TIMSS 8.° y 20 de 21 categorías de contenido de PISA. Los problemas están en el reparto entre grados y en las capas propias de PISA.</t>
  </si>
  <si>
    <t>2. Grados a mejorar. 5.° es el grado con menor apego (69 %): le faltan unos 19 temas de Biología del marco de 8.°, que Uruguay, Colombia y Singapur enseñan en 5.°–6.° y El Salvador recién en 6.°–7.°. En 4.° faltan unos 13 temas de Ciencias físicas (luz, sonido, electricidad, imanes). 8.° tiene solo 6 temas de Tierra y espacio y 9.° solo 3 de sistemas vivos (ni célula, ni genética, ni salud humana). En 6.° y 8.° Razonar queda en 19 % y 21 % (meta TIMSS 30 %).</t>
  </si>
  <si>
    <t>3. Competencias PISA. La malla declara una competencia y cinco subcompetencias por tema (columnas de la propia malla). En 7.°–9.° la competencia 3, «Investigar, evaluar y usar información para decidir», llega a 14 % de los temas (PISA: 24–36 %); distinguir evidencia de opinión (I2), criticar argumentos (I4) y formular hipótesis (E5) casi no aparecen. La competencia 2 está sobrerrepresentada (50 %).</t>
  </si>
  <si>
    <t>4. Conocimiento procedimental y epistémico (lo que más agrega PISA). Solo 5 % de los temas de 7.°–9.° tienen como foco el conocimiento procedimental (PISA: 27–33 %) y ninguno el epistémico (24–30 %). 12 de los 20 elementos epistémicos (modelos frente a realidad, consenso, revisión por pares, límites de la certeza) no se trabajan en ningún tema.</t>
  </si>
  <si>
    <t>5. Contextos. 64 % de los temas de 7.°–9.° no sitúan la ciencia en una situación real (86 % en 8.°). Cuando hay contexto, el reparto personal / local / global se parece al 1:2:1 de PISA.</t>
  </si>
  <si>
    <t>6. Frente a otros países, El Salvador introduce 24 objetivos TIMSS más tarde que la mediana, 40 antes y no trabaja 2 que otros sí (herencia y propiedades de la luz).</t>
  </si>
  <si>
    <t>Recomendaciones</t>
  </si>
  <si>
    <t>R1. Decidir el peso de PISA en 7.° y 8.° (hoja Apego TIMSS y PISA, celda E4). Sugerencia mientras se decide: PISA como guía en 7.° y 9.°, y 50/50 en 8.° si El Salvador rinde TIMSS 2027 (8.° es el grado que TIMSS evalúa).</t>
  </si>
  <si>
    <t>R2. 2.°–4.° (hoja Presupuesto de temas): fusionar temas repetidos de Biología para liberar 13 espacios e insertar 12 temas de Ciencias físicas y de la Tierra (luz, sonido, circuitos, imanes, tiempo atmosférico) y 1 de herencia (B2.2), sin cambiar el total.</t>
  </si>
  <si>
    <t>R3. 5.°–8.°: el total por dominio ya está en meta; no hace falta agregar temas. Conviene REUBICAR (Presupuesto, acción «reubicar»): adelantar Biología de 7.° a 5.°, insertar luz (con una fusión de Física) y traer al ciclo los movimientos de la Tierra y la Luna (hoy en 9.°), y subir tareas de Razonar en 6.° y 8.°.</t>
  </si>
  <si>
    <t>R4. 7.°–9.° (PISA): fusionar temas de física y química que se repiten (liberan 33) para insertar 33 temas de sistemas vivos (sobre todo en 9.°: célula, salud, genética, evolución) y de Tierra y espacio (sobre todo en 8.°: universo, historia de la Tierra).</t>
  </si>
  <si>
    <t>R5. Capas PISA: en cada unidad de 7.°–9.°, al menos un tema o fase que trabaje lo epistémico (por qué se confía en un modelo o en una conclusión) y la competencia 3 (evaluar fuentes, distinguir evidencia de opinión, criticar argumentos con datos), situado en un contexto local o personal. No requiere temas nuevos: cambia la fase «Reforzar».</t>
  </si>
  <si>
    <t>R6. Validar antes de decidir: las clasificaciones y los candidatos del presupuesto son asistidos por IA. El equipo de Ciencias debe revisar primero los de confianza baja (columna «Decisión del equipo» en Presupuesto y outputs/revision_confianza_baja_timss2027.csv).</t>
  </si>
  <si>
    <t>Qué responde este libro</t>
  </si>
  <si>
    <t>1. Balance: ¿el reparto de temas entre Vida / Física / Química / Tierra se parece al peso que TIMSS da a cada dominio? ¿Cuántos temas faltan o sobran para llegar a la meta?</t>
  </si>
  <si>
    <t>2. Amplitud: ¿qué objetivos de contenido de TIMSS aparecen en la malla, en qué grado, con cuántos temas, y cuáles no aparecen?</t>
  </si>
  <si>
    <t>3. Profundidad cognitiva: ¿la proporción Conocer / Aplicar / Razonar se parece a la de TIMSS? 4. PISA (7.°–9.°): ¿cubre los sistemas y categorías de contenido, las tres competencias y sus subcompetencias, el conocimiento procedimental y epistémico, y los contextos que PISA evalúa? 5. ¿Qué insertar y qué fusionar para acercarse a las metas sin aumentar la carga?</t>
  </si>
  <si>
    <t>Proceso (de dónde salen los números)</t>
  </si>
  <si>
    <t>Paso 1 · Extracción. Se leyeron las 11 mallas (2.° a 9.° y Física, Química, Biología de 10.° y 11.°). Cada fila con «Procedimental» es un TEMA: 1.260 en total. Se conservan archivo, hoja y fila de origen (hoja Datos - Temas, columnas D-F) para poder volver a la malla.</t>
  </si>
  <si>
    <t>Paso 2 · Catálogo de referencia. Objetivos de contenido de TIMSS 2027 (4.° grado: 32; 8.° grado: 48), construidos desde el PDF oficial con página citada, y TIMSS Advanced 2015 Física (23), con su dominio y el % que TIMSS asigna a cada dominio (hoja Datos - Catálogo TIMSS, celdas ámbar = valores tomados del marco y editables). Novedades 2027: áreas de Investigaciones en cada dominio y subescala de conocimiento ambiental.</t>
  </si>
  <si>
    <t>Paso 3 · Clasificación. Los 622 temas de 2.° a 9.° se reclasificaron contra TIMSS 2027 con agentes de IA (instrucciones fijas, un lote por grado), usando la clasificación 2023 y la tabla de equivalencias solo como referencia. Física 10.°–11.° conserva la clasificación TIMSS Advanced 2015. Un tema va a un área de Investigaciones solo si su foco es la práctica científica; si trabaja un contenido mediante indagación, la investigación va como secundaria.</t>
  </si>
  <si>
    <t>Paso 4 · Reglas de grado. 2.°–4.° → TIMSS 2027 4.°; 5.°–8.° → TIMSS 2027 8.°; 7.°–9.° → PISA 2025 (7.° y 8.° con los dos marcos, 9.° solo PISA); Física 10.°–11.° → TIMSS Advanced 2015. Química y Biología de Bachillerato no tienen marco de contenido.</t>
  </si>
  <si>
    <t>Paso 4-bis · PISA 2025. Catálogo desde el marco final (OECD 2026, cap. 2, con página). Los temas de 7.°–9.° se clasificaron con IA por categoría de contenido, tipo de conocimiento, elementos procedimentales y epistémicos, contexto, área de aplicación y demanda cognitiva. La competencia y las subcompetencias NO se clasificaron: salen de la propia malla (columnas «Competencia PISA 2025» y microhabilidades E/D/I por fase).</t>
  </si>
  <si>
    <t>Paso 5 · Cálculo (todo con fórmulas). % actual = temas del dominio ÷ temas evaluables (sin FUERA). Temas esperados = meta × evaluables. Brecha = esperados − actuales (+ faltan, − sobran). «Temas a agregar sin quitar»: se busca el menor total que permite cumplir todas las metas sumando temas (lo fija el dominio más sobrerrepresentado: total = máx(actual ÷ meta)), y a cada dominio se le suma meta × total − actual, redondeado hacia arriba.</t>
  </si>
  <si>
    <t>Paso 6 · Amplitud. Un objetivo está «cubierto» si al menos un tema lo trabaja como principal o secundario. Profundidad: 0 no cubierto, 1 débil, 2–3 básica, 4+ sólida.</t>
  </si>
  <si>
    <t>Paso 7 · Cognitivo. Se usa la columna «Habilidad TIMSS» de la malla. Si un tema nombra varios dominios se reparte en partes iguales. Se compara con TIMSS 2027 (4.°: 35/40/25; 8.°: 35/35/30) y Advanced Física (30/40/30).</t>
  </si>
  <si>
    <t>Hojas</t>
  </si>
  <si>
    <t>Resumen TIMSS y PISA: una fila por grado y por ciclo con el dominio que más falta, el que más sobra, temas a agregar, amplitud y % Razonar.</t>
  </si>
  <si>
    <t>TIMSS - Balance por grado y TIMSS - Balance por ciclo: detalle por dominio. Celda H2 = tolerancia editable para «En meta» (5 pp).</t>
  </si>
  <si>
    <t>TIMSS - Semáforo de objetivos: matriz objetivo × grado con semáforo (rojo = no cubierto, amarillo = débil, verde = básica o sólida), «N/A» en grados que no pertenecen al ciclo del marco y una columna «Qué hacer» con dónde aparece hoy y la propuesta del Presupuesto (reemplaza a la hoja Faltantes).</t>
  </si>
  <si>
    <t>Apego TIMSS y PISA: índice de apego por grado y ciclo, y escenarios 100 % TIMSS / 50-50 / 100 % PISA / personalizado para 7.° y 8.°. Presupuesto: cuántos temas insertar y fusionar por ciclo con el mismo total, y los candidatos concretos propuestos por IA.</t>
  </si>
  <si>
    <t>TIMSS - Conocer-Aplicar-Razonar: Conocer / Aplicar / Razonar por grado y asignatura.</t>
  </si>
  <si>
    <t>TIMSS - Medio ambiente: % de temas que trabajan objetivos ambientales de TIMSS 2027 (≈25 % de la prueba), por grado y ciclo, y cobertura de cada objetivo ambiental. Investigaciones: temas cuyo foco es la práctica científica. Datos - TIMSS 2023: la clasificación v1 recalculada para la columna «Cambio vs 2023» del Resumen. TIMSS - Otros países: primer grado en que El Salvador y Uruguay, Colombia, Singapur introducen cada objetivo TIMSS 2027 y la «oportunidad» (grado El Salvador − mediana de los demás). Datos - Objetivos de países: los objetivos de cada país con documento, página y su alineación con TIMSS 2027.</t>
  </si>
  <si>
    <t>Datos - Temas: trazabilidad completa (TIMSS en K-AC; PISA en AD-AW). Si cambias un objetivo o una categoría, todo el libro se recalcula.</t>
  </si>
  <si>
    <t>PISA - Contenidos, PISA - Competencias, PISA - Tipos de conocimiento y PISA - Contextos: las capas de PISA 2025 para 7.°–9.° (sistemas y categorías de contenido; competencias y subcompetencias de la malla; conocimiento procedimental y epistémico; contextos, áreas y demanda cognitiva). Datos - Catálogo TIMSS, Datos - Catálogo PISA y Fuentes: referencias con página.</t>
  </si>
  <si>
    <t>Límites que hay que decir en la reunión</t>
  </si>
  <si>
    <t>• La clasificación es asistida por IA: 363 temas con confianza alta, 417 media y 109 baja (en rojo en Temas). Debe validarla el equipo de Ciencias, empezando por outputs/revision_confianza_baja_timss2027.csv.</t>
  </si>
  <si>
    <t>• Se cuentan TEMAS, no horas. Un tema puede durar una o varias sesiones de 55 min; cuando exista la distribución de horas conviene ponderar por horas.</t>
  </si>
  <si>
    <t>• Los % de TIMSS son pesos de la prueba, no un mandato curricular. Sirven como referencia de equilibrio, no como regla obligatoria.</t>
  </si>
  <si>
    <t>• Comparar un solo grado con TIMSS es una aproximación (TIMSS mide lo acumulado). La comparación más fiel está en TIMSS - Balance por ciclo.</t>
  </si>
  <si>
    <t>• Los objetivos TIMSS están parafraseados; para decisiones formales, consultar el marco oficial (hoja Fuentes).</t>
  </si>
  <si>
    <t>• 1.° grado no tiene malla, así que no entra en el ciclo 2.°–4.°.</t>
  </si>
  <si>
    <t>Resumen TIMSS y PISA</t>
  </si>
  <si>
    <t>Resumen por grado: TIMSS 2027 (2.°–8.° y Física) arriba · PISA 2025 (7.°–9.°) abajo</t>
  </si>
  <si>
    <r>
      <rPr>
        <sz val="11"/>
        <color indexed="13"/>
        <rFont val="Arial"/>
      </rPr>
      <t xml:space="preserve">TIMSS 2027 y PISA 2025
</t>
    </r>
    <r>
      <rPr>
        <sz val="11"/>
        <color indexed="13"/>
        <rFont val="Arial"/>
      </rPr>
      <t xml:space="preserve">OJO · TIMSS (2.°–8.°): faltan 19 temas de Biología en 5.°, el grado más desbalanceado.
</t>
    </r>
    <r>
      <rPr>
        <sz val="11"/>
        <color indexed="13"/>
        <rFont val="Arial"/>
      </rPr>
      <t xml:space="preserve">OJO · PISA (7.°–9.°): faltan 28 temas de sistemas vivos en 9.°; en 7.°–9.° sobran 33 de sistemas físicos.
</t>
    </r>
    <r>
      <rPr>
        <sz val="11"/>
        <color indexed="13"/>
        <rFont val="Arial"/>
      </rPr>
      <t>● Arriba: tabla TIMSS. Abajo: tabla PISA. Al final: qué significa cada columna.</t>
    </r>
  </si>
  <si>
    <t>Lo contrario de «sin objetivo en el marco» (objetivos que TIMSS evalúa y la malla NO trabaja) está en el bloque por ciclo, columna «Objetivos no cubiertos», y en rojo en TIMSS - Semáforo de objetivos. Al final de esta hoja hay una guía de cada columna.</t>
  </si>
  <si>
    <t>Grupo</t>
  </si>
  <si>
    <t>Marco de referencia</t>
  </si>
  <si>
    <t>Temas totales</t>
  </si>
  <si>
    <t>Temas de la malla SIN objetivo en el marco (la malla los tiene; TIMSS no los evalúa)</t>
  </si>
  <si>
    <t>% de temas sin objetivo en el marco</t>
  </si>
  <si>
    <t>Dominio TIMSS con MÁS temas faltantes (frente a su meta)</t>
  </si>
  <si>
    <t>Temas que faltan en ese dominio</t>
  </si>
  <si>
    <t>Dominio TIMSS con MÁS temas de sobra</t>
  </si>
  <si>
    <t>Temas que sobran en ese dominio</t>
  </si>
  <si>
    <t>Temas a AGREGAR, sin quitar ninguno, para que TODOS los dominios lleguen a su meta</t>
  </si>
  <si>
    <t>Dominios en meta (±tolerancia)</t>
  </si>
  <si>
    <t>% Razonar actual</t>
  </si>
  <si>
    <t>% Razonar meta</t>
  </si>
  <si>
    <t>2°</t>
  </si>
  <si>
    <t>TIMSS 2027 4.°</t>
  </si>
  <si>
    <r>
      <rPr>
        <sz val="10"/>
        <color indexed="8"/>
        <rFont val="Arial"/>
      </rPr>
      <t>Ciencias de la Tierra</t>
    </r>
  </si>
  <si>
    <r>
      <rPr>
        <sz val="10"/>
        <color indexed="8"/>
        <rFont val="Arial"/>
      </rPr>
      <t>Ciencias físicas</t>
    </r>
  </si>
  <si>
    <t>1 de 3</t>
  </si>
  <si>
    <t>3°</t>
  </si>
  <si>
    <r>
      <rPr>
        <sz val="10"/>
        <color indexed="8"/>
        <rFont val="Arial"/>
      </rPr>
      <t>Biología</t>
    </r>
  </si>
  <si>
    <t>2 de 3</t>
  </si>
  <si>
    <t>4°</t>
  </si>
  <si>
    <t>0 de 3</t>
  </si>
  <si>
    <t>5°</t>
  </si>
  <si>
    <t>TIMSS 2027 8.°</t>
  </si>
  <si>
    <t>0 de 4</t>
  </si>
  <si>
    <t>6°</t>
  </si>
  <si>
    <r>
      <rPr>
        <sz val="10"/>
        <color indexed="8"/>
        <rFont val="Arial"/>
      </rPr>
      <t>Física</t>
    </r>
  </si>
  <si>
    <t>1 de 4</t>
  </si>
  <si>
    <t>7°</t>
  </si>
  <si>
    <t>8°</t>
  </si>
  <si>
    <t>Física 10°</t>
  </si>
  <si>
    <t>TIMSS Advanced 2015 Física</t>
  </si>
  <si>
    <r>
      <rPr>
        <sz val="10"/>
        <color indexed="8"/>
        <rFont val="Arial"/>
      </rPr>
      <t>Electricidad y magnetismo</t>
    </r>
  </si>
  <si>
    <r>
      <rPr>
        <sz val="10"/>
        <color indexed="8"/>
        <rFont val="Arial"/>
      </rPr>
      <t>Mecánica y termodinámica</t>
    </r>
  </si>
  <si>
    <t>Física 11°</t>
  </si>
  <si>
    <r>
      <rPr>
        <sz val="10"/>
        <color indexed="8"/>
        <rFont val="Arial"/>
      </rPr>
      <t>Ondas y física atómica/nuclear</t>
    </r>
  </si>
  <si>
    <t>Por ciclo (comparación acumulada)</t>
  </si>
  <si>
    <t>Ciclo</t>
  </si>
  <si>
    <t>Temas evaluables</t>
  </si>
  <si>
    <t>Dominio con mayor FALTANTE</t>
  </si>
  <si>
    <t>Faltan (temas)</t>
  </si>
  <si>
    <t>Dominio más SOBRErrepresentado</t>
  </si>
  <si>
    <t>Sobran (temas)</t>
  </si>
  <si>
    <t>Temas a agregar sin quitar</t>
  </si>
  <si>
    <t>Dominios en meta</t>
  </si>
  <si>
    <t>Objetivos TIMSS del marco</t>
  </si>
  <si>
    <t>Objetivos cubiertos</t>
  </si>
  <si>
    <t>% amplitud</t>
  </si>
  <si>
    <t>Objetivos del marco que la malla NO trabaja</t>
  </si>
  <si>
    <t>Objetivos cubiertos (2023)</t>
  </si>
  <si>
    <t>% amplitud (2023)</t>
  </si>
  <si>
    <t>Dominio con mayor FALTANTE (2023)</t>
  </si>
  <si>
    <t>Cambio vs 2023</t>
  </si>
  <si>
    <t>% temas ambientales (ref. ≈25 %)</t>
  </si>
  <si>
    <t>Temas en Investigaciones (principal)</t>
  </si>
  <si>
    <t>Ciclo 2°–4°</t>
  </si>
  <si>
    <r>
      <rPr>
        <sz val="10"/>
        <color indexed="18"/>
        <rFont val="Arial"/>
      </rPr>
      <t>Ciencias físicas</t>
    </r>
  </si>
  <si>
    <r>
      <rPr>
        <b val="1"/>
        <sz val="10"/>
        <color indexed="8"/>
        <rFont val="Arial"/>
      </rPr>
      <t>Cubiertos: 31 de 32 (2023) → 31 de 32 (2027) · Mayor faltante: Ciencias físicas (2023) → Ciencias físicas (2027)</t>
    </r>
  </si>
  <si>
    <t>Ciclo 5°–8°</t>
  </si>
  <si>
    <t>4 de 4</t>
  </si>
  <si>
    <r>
      <rPr>
        <sz val="10"/>
        <color indexed="18"/>
        <rFont val="Arial"/>
      </rPr>
      <t>Ciencias de la Tierra</t>
    </r>
  </si>
  <si>
    <r>
      <rPr>
        <b val="1"/>
        <sz val="10"/>
        <color indexed="8"/>
        <rFont val="Arial"/>
      </rPr>
      <t>Cubiertos: 43 de 46 (2023) → 45 de 48 (2027) · Mayor faltante: Ciencias de la Tierra (2023) → Ciencias de la Tierra (2027)</t>
    </r>
  </si>
  <si>
    <t>Física 10°–11°</t>
  </si>
  <si>
    <r>
      <rPr>
        <sz val="10"/>
        <color indexed="18"/>
        <rFont val="Arial"/>
      </rPr>
      <t>Mecánica y termodinámica</t>
    </r>
  </si>
  <si>
    <t>Sin cambio de marco: Física sigue con TIMSS Advanced 2015</t>
  </si>
  <si>
    <t>—</t>
  </si>
  <si>
    <t>PISA 2025 (7.°, 8.°, 9.° y acumulado 7.°–9.°): 9.° se compara solo con PISA; 7.° y 8.° con los dos marcos (ver Apego TIMSS y PISA)</t>
  </si>
  <si>
    <t>Temas sin contenido PISA (la malla los tiene; PISA no los evalúa)</t>
  </si>
  <si>
    <t>% sin contenido PISA</t>
  </si>
  <si>
    <t>Sistema PISA con MÁS temas faltantes</t>
  </si>
  <si>
    <t>Temas que faltan</t>
  </si>
  <si>
    <t>Sistema PISA con MÁS temas de sobra</t>
  </si>
  <si>
    <t>Temas que sobran</t>
  </si>
  <si>
    <t>Temas a AGREGAR, sin quitar, para que todos los sistemas lleguen a su meta</t>
  </si>
  <si>
    <t>Sistemas en meta</t>
  </si>
  <si>
    <t>% competencia 3 «Investigar, evaluar y usar información» (meta 24–36 %)</t>
  </si>
  <si>
    <t>ÍNDICE DE APEGO PISA</t>
  </si>
  <si>
    <t>PISA 2025</t>
  </si>
  <si>
    <r>
      <rPr>
        <sz val="10"/>
        <color indexed="8"/>
        <rFont val="Arial"/>
      </rPr>
      <t>Sistemas físicos</t>
    </r>
  </si>
  <si>
    <r>
      <rPr>
        <sz val="10"/>
        <color indexed="8"/>
        <rFont val="Arial"/>
      </rPr>
      <t>Sistemas vivos</t>
    </r>
  </si>
  <si>
    <r>
      <rPr>
        <sz val="10"/>
        <color indexed="8"/>
        <rFont val="Arial"/>
      </rPr>
      <t>Sistemas de la Tierra y el espacio</t>
    </r>
  </si>
  <si>
    <t>9°</t>
  </si>
  <si>
    <t>Ciclo 7°–9°</t>
  </si>
  <si>
    <t>Cómo leer cada columna</t>
  </si>
  <si>
    <t>• Temas SIN objetivo en el marco: temas que la malla SÍ enseña pero que el marco no evalúa (p. ej. medición general, electrónica digital, gestión de riesgos). No son un error: indican cuánto de la malla va más allá de la prueba. Lo contrario —objetivos del marco que la malla NO trabaja— está en «Objetivos del marco que la malla NO trabaja».</t>
  </si>
  <si>
    <t>• Dominio TIMSS con MÁS temas faltantes: de los dominios de TIMSS (Biología, Química, Física, Tierra), el que más se queda por debajo del peso que TIMSS le da en la prueba. «Temas que faltan» = cuántos temas habría que pasar a ese dominio, con el mismo total de temas, para llegar a la meta.</t>
  </si>
  <si>
    <t>• Temas a AGREGAR sin quitar: si no se quiere quitar ningún tema, cuántos habría que SUMAR en total para que todos los dominios lleguen a su meta. Ejemplo: con 100 temas, 60 % Biología y meta 45 %, habría que llegar a 60 ÷ 0,45 ≈ 133 temas, sumando 33 en los otros dominios. Por eso suele ser una cifra alta: la alternativa realista (fusionar e insertar con el mismo total) está en la hoja Presupuesto de temas.</t>
  </si>
  <si>
    <t>• Dominios en meta: cuántos dominios están a ±5 puntos porcentuales de su meta (tolerancia editable en TIMSS - Balance por grado, celda H2).</t>
  </si>
  <si>
    <t>• ÍNDICE DE APEGO: parte del reparto de la malla que ya coincide con el del marco (100 % = igual). Detalle y escenarios TIMSS/PISA en Apego TIMSS y PISA.</t>
  </si>
  <si>
    <t>Cómo se calcula: Todo es fórmula sobre Temas. Balance = reparto de temas por dominio vs. metas TIMSS. Amplitud = objetivos TIMSS que aparecen. Profundidad cognitiva = Conocer/Aplicar/Razonar. Ver «Inicio» para el proceso completo.</t>
  </si>
  <si>
    <t>Apego TIMSS y PISA</t>
  </si>
  <si>
    <t>Apego a los marcos: índice por grado y escenarios TIMSS / PISA para 7.° y 8.°</t>
  </si>
  <si>
    <t>TIMSS 2027 y PISA 2025
BIEN · Acumulado: TIMSS 4.° 92 %, TIMSS 8.° 88 %, PISA 88 % de apego (alto = 85 % o más).
OJO · Grado más flojo en TIMSS: 5.° (69 %). En PISA: 9.° (73 %).
● 7.° y 8.° se miden con los dos marcos: el peso de PISA se elige en la celda E4 (hoy 50 %).</t>
  </si>
  <si>
    <t>Peso de PISA en 7.° y 8.° (0 % = solo TIMSS):</t>
  </si>
  <si>
    <t>Lectura: alto desde</t>
  </si>
  <si>
    <t>medio desde</t>
  </si>
  <si>
    <t>A · Índice de apego por grado y ciclo</t>
  </si>
  <si>
    <t>Grado / ciclo</t>
  </si>
  <si>
    <t>Marco</t>
  </si>
  <si>
    <t>Coincidencia de balance</t>
  </si>
  <si>
    <t>Coincidencia cognitiva</t>
  </si>
  <si>
    <t>Amplitud (ciclo)</t>
  </si>
  <si>
    <t>ÍNDICE DE APEGO</t>
  </si>
  <si>
    <t>Lectura</t>
  </si>
  <si>
    <t>Alto</t>
  </si>
  <si>
    <t>Medio</t>
  </si>
  <si>
    <t>Bajo: revisar</t>
  </si>
  <si>
    <t>7° · PISA</t>
  </si>
  <si>
    <t>8° · PISA</t>
  </si>
  <si>
    <t>9° · PISA</t>
  </si>
  <si>
    <t>Ciclo 7°–9° · PISA</t>
  </si>
  <si>
    <t>7° · escenario elegido</t>
  </si>
  <si>
    <t>Mezcla según el peso de E4</t>
  </si>
  <si>
    <t>8° · escenario elegido</t>
  </si>
  <si>
    <t>B · Escenarios para 7.° y 8.°: ¿cuántos temas faltan (+) o sobran (−) en cada sistema según el peso de cada marco?</t>
  </si>
  <si>
    <t>El eje común son los 3 sistemas de PISA. Las metas de TIMSS 8.° se agrupan igual: Sistemas físicos = Química 20 % + Física 25 %; vivos = Biología 35 %; Tierra y espacio = Ciencias de la Tierra 20 %. En cada escenario: meta = (1 − p)·TIMSS + p·PISA y % actual = (1 − p)·actual TIMSS + p·actual PISA (cada marco con su propia clasificación). Brecha (temas) = (meta − actual) × temas evaluables.</t>
  </si>
  <si>
    <t>Grado</t>
  </si>
  <si>
    <t>Sistema</t>
  </si>
  <si>
    <t>Meta TIMSS (agrupada)</t>
  </si>
  <si>
    <t>Meta PISA</t>
  </si>
  <si>
    <t>% actual TIMSS</t>
  </si>
  <si>
    <t>% actual PISA</t>
  </si>
  <si>
    <t>100 % TIMSS · brecha (temas)</t>
  </si>
  <si>
    <t>50 / 50 · brecha (temas)</t>
  </si>
  <si>
    <t>100 % PISA · brecha (temas)</t>
  </si>
  <si>
    <t>Personalizado · brecha (temas)</t>
  </si>
  <si>
    <t>Evaluables TIMSS</t>
  </si>
  <si>
    <t>Evaluables PISA</t>
  </si>
  <si>
    <t>Peso de PISA →</t>
  </si>
  <si>
    <t>Sistemas físicos</t>
  </si>
  <si>
    <t>Sistemas vivos</t>
  </si>
  <si>
    <t>Sistemas de la Tierra y el espacio</t>
  </si>
  <si>
    <t>Índice de apego del escenario</t>
  </si>
  <si>
    <t>C · Cómo usar los escenarios (recomendación)</t>
  </si>
  <si>
    <t>1. Los tres escenarios pedidos (100 % TIMSS, 50/50, 100 % PISA) están lado a lado; la columna «Personalizado» toma el peso de la celda E4, para probar cualquier mezcla (p. ej. 70 % PISA).</t>
  </si>
  <si>
    <t>2. Mezclar METAS solo tiene sentido en un eje común (los 3 sistemas). Las metas cognitivas NO se mezclan: TIMSS mide Conocer/Aplicar/Razonar y PISA tres competencias distintas; por eso el escenario mezcla los ÍNDICES de apego, no las metas cognitivas.</t>
  </si>
  <si>
    <t>3. 9.° ya no se compara con TIMSS (decisión del equipo): solo PISA. 5.° y 6.° siguen solo con TIMSS 8.° (que evalúa lo acumulado de 5.° a 8.°).</t>
  </si>
  <si>
    <t>4. Si El Salvador participa en TIMSS 2027 (8.° grado), 8.° sigue siendo el grado evaluado por TIMSS: un 100 % PISA en 8.° dejaría de alinear justo el grado que TIMSS mide. Una mezcla 50/50 en 8.° y 70–100 % PISA en 7.° y 9.° es una opción razonable mientras se decide.</t>
  </si>
  <si>
    <t>Cómo se calcula: COINCIDENCIA = 1 − ½ Σ |% actual − % meta|: es la parte del reparto de la malla que ya coincide con el reparto del marco (100 % = idéntico). Se calcula para el balance de contenidos (dominios TIMSS o sistemas PISA) y para el reparto cognitivo (Conocer/Aplicar/Razonar en TIMSS; las 3 competencias en PISA). En los ciclos se agrega la AMPLITUD (% de objetivos o categorías cubiertos). ÍNDICE DE APEGO = promedio de lo disponible. 7.° y 8.° se miden con los dos marcos; qué peso dar a cada uno es una decisión de política (celda ámbar E4).</t>
  </si>
  <si>
    <t>Presupuesto de temas</t>
  </si>
  <si>
    <t>Presupuesto de temas: qué insertar y qué fusionar para acercarse a las metas SIN aumentar el número de temas</t>
  </si>
  <si>
    <t>TIMSS 2027 (2.°–8.°) y PISA 2025 (7.°–9.°)
● El total de temas no cambia: cada tema nuevo se paga uniendo dos temas que se repiten.
● TIMSS 2.°–4.°: 13 temas nuevos a cambio de 13 uniones de temas repetidos. TIMSS 5.°–8.°: ya equilibrado; solo 1 tema nuevo (un objetivo que nadie enseña).
● PISA 7.°–9.°: 33 temas nuevos de biología y Tierra a cambio de 33 uniones en física y química.
→ Filtra «¿Entra en el presupuesto?» = Sí y anota tu decisión en la última columna.</t>
  </si>
  <si>
    <t>Se trabaja por CICLO y no por grado: la meta del marco es para lo acumulado, y por grado salen brechas grandes que se compensan entre sí (p. ej. 5.°–8.°: Biología +19 en 5.° y −15 en 7.°, que se resuelve reubicando, no insertando y fusionando). 7.° y 8.° aparecen en el ciclo TIMSS 5.°–8.° y en el PISA 7.°–9.°: según el peso elegido en Apego TIMSS y PISA, seguir uno u otro bloque.</t>
  </si>
  <si>
    <t>Clave</t>
  </si>
  <si>
    <t>Área</t>
  </si>
  <si>
    <t>Brecha del ciclo (temas)</t>
  </si>
  <si>
    <t>Estado</t>
  </si>
  <si>
    <t>Inserciones por balance</t>
  </si>
  <si>
    <t>Inserciones por cobertura</t>
  </si>
  <si>
    <t>Temas a liberar con fusiones</t>
  </si>
  <si>
    <t>Temas que liberan las fusiones elegidas</t>
  </si>
  <si>
    <t>Saldo (insertados − liberados)</t>
  </si>
  <si>
    <t>2-4|Biología</t>
  </si>
  <si>
    <t>Biología</t>
  </si>
  <si>
    <r>
      <rPr>
        <sz val="10"/>
        <color indexed="18"/>
        <rFont val="Arial"/>
      </rPr>
      <t>Sobran 12 temas</t>
    </r>
  </si>
  <si>
    <t>2-4|Ciencias físicas</t>
  </si>
  <si>
    <t>Ciencias físicas</t>
  </si>
  <si>
    <r>
      <rPr>
        <sz val="10"/>
        <color indexed="18"/>
        <rFont val="Arial"/>
      </rPr>
      <t>En meta</t>
    </r>
  </si>
  <si>
    <t>2-4|Ciencias de la Tierra</t>
  </si>
  <si>
    <t>Ciencias de la Tierra</t>
  </si>
  <si>
    <t>Total Ciclo 2°–4°</t>
  </si>
  <si>
    <t>5-8|Biología</t>
  </si>
  <si>
    <t>5-8|Química</t>
  </si>
  <si>
    <t>Química</t>
  </si>
  <si>
    <t>5-8|Física</t>
  </si>
  <si>
    <t>Física</t>
  </si>
  <si>
    <t>5-8|Ciencias de la Tierra</t>
  </si>
  <si>
    <t>Total Ciclo 5°–8°</t>
  </si>
  <si>
    <t>7-9|Sistemas físicos</t>
  </si>
  <si>
    <r>
      <rPr>
        <sz val="10"/>
        <color indexed="18"/>
        <rFont val="Arial"/>
      </rPr>
      <t>Sobran 33 temas</t>
    </r>
  </si>
  <si>
    <t>7-9|Sistemas vivos</t>
  </si>
  <si>
    <r>
      <rPr>
        <sz val="10"/>
        <color indexed="18"/>
        <rFont val="Arial"/>
      </rPr>
      <t>Faltan 16 temas</t>
    </r>
  </si>
  <si>
    <t>7-9|Sistemas de la Tierra y el espacio</t>
  </si>
  <si>
    <r>
      <rPr>
        <sz val="10"/>
        <color indexed="18"/>
        <rFont val="Arial"/>
      </rPr>
      <t>Faltan 17 temas</t>
    </r>
  </si>
  <si>
    <t>Total Ciclo 7°–9°</t>
  </si>
  <si>
    <t>Candidatos propuestos (ordenados por ciclo, acción, área y prioridad). La columna «Decisión del equipo» es para que el equipo de Ciencias anote si acepta.</t>
  </si>
  <si>
    <t>ID</t>
  </si>
  <si>
    <t>Acción</t>
  </si>
  <si>
    <t>Motivo</t>
  </si>
  <si>
    <t>Prioridad</t>
  </si>
  <si>
    <t>Unidad</t>
  </si>
  <si>
    <t>Temas involucrados (ID · procedimental)</t>
  </si>
  <si>
    <t>Objetivos del marco</t>
  </si>
  <si>
    <t>Propuesta</t>
  </si>
  <si>
    <t>Justificación</t>
  </si>
  <si>
    <t>Confianza</t>
  </si>
  <si>
    <t>Libera (temas)</t>
  </si>
  <si>
    <t>¿Entra en el presupuesto?</t>
  </si>
  <si>
    <t>Decisión del equipo</t>
  </si>
  <si>
    <t>2-4-I20</t>
  </si>
  <si>
    <r>
      <rPr>
        <sz val="10"/>
        <color indexed="8"/>
        <rFont val="Arial"/>
      </rPr>
      <t>2-4|Biología</t>
    </r>
  </si>
  <si>
    <t>insertar</t>
  </si>
  <si>
    <t>cobertura</t>
  </si>
  <si>
    <t>5. Los animales.</t>
  </si>
  <si>
    <t>T4_27-B2.2, T4_27-B2.1</t>
  </si>
  <si>
    <t>Comparación de rasgos heredados y no heredados entre crías y progenitores, y de estrategias que favorecen la supervivencia de la descendencia (muchas semillas, cuidado de crías).</t>
  </si>
  <si>
    <t>B2.2 sin ningún tema en el ciclo; Uruguay lo introduce en 3.°, junto a etapas de desarrollo.</t>
  </si>
  <si>
    <t>alta</t>
  </si>
  <si>
    <t>Sí (cobertura)</t>
  </si>
  <si>
    <t>2-4-I13</t>
  </si>
  <si>
    <r>
      <rPr>
        <sz val="10"/>
        <color indexed="8"/>
        <rFont val="Arial"/>
      </rPr>
      <t>2-4|Ciencias de la Tierra</t>
    </r>
  </si>
  <si>
    <t>balance</t>
  </si>
  <si>
    <t>3. El movimiento</t>
  </si>
  <si>
    <t>T4_27-E2.1, T4_27-E5.1</t>
  </si>
  <si>
    <t>Registro diario del estado del tiempo (temperatura, lluvia, nubes y viento) con símbolos y un termómetro sencillo.</t>
  </si>
  <si>
    <t>E2.1-A débil y E5.1 con un tema; Colombia lo introduce en 2.°.</t>
  </si>
  <si>
    <t>Sí</t>
  </si>
  <si>
    <t>2-4-I14</t>
  </si>
  <si>
    <t>2. Interacciones terrestres.</t>
  </si>
  <si>
    <t>T4_27-E1.2</t>
  </si>
  <si>
    <t>Indagación sobre los fósiles como evidencia de seres vivos del pasado y de cambios en la superficie terrestre.</t>
  </si>
  <si>
    <t>E1.2-B (fósiles) sin cubrir; Uruguay lo introduce en 3.°.</t>
  </si>
  <si>
    <t>2-4-I15</t>
  </si>
  <si>
    <t>T4_27-E5.1, T4_27-E2.1</t>
  </si>
  <si>
    <t>Construcción y uso de pluviómetro, veleta y termómetro para medir y comparar variables del tiempo atmosférico.</t>
  </si>
  <si>
    <t>E5.1 con un solo tema; equipo citado explícitamente por TIMSS.</t>
  </si>
  <si>
    <t>2-4-I16</t>
  </si>
  <si>
    <t>T4_27-E2.1</t>
  </si>
  <si>
    <t>Reconocimiento del calentamiento global y de algunos de sus efectos en el clima y las lluvias de El Salvador.</t>
  </si>
  <si>
    <t>E2.1-B (calentamiento global) ausente; objetivo ambiental.</t>
  </si>
  <si>
    <t>Reserva</t>
  </si>
  <si>
    <t>2-4-I17</t>
  </si>
  <si>
    <t>6. Ambiente y salud.</t>
  </si>
  <si>
    <t>Modelación del efecto del agua y el viento sobre la arena y el suelo para explicar cómo cambia el paisaje.</t>
  </si>
  <si>
    <t>E1.2-A (erosión) sin tratar; Colombia lo introduce en 2.°.</t>
  </si>
  <si>
    <t>media</t>
  </si>
  <si>
    <t>2-4-I18</t>
  </si>
  <si>
    <t>T4_27-E4.2, T4_27-P3.1</t>
  </si>
  <si>
    <t>Observación y registro de la posición del Sol y del tamaño de las sombras a lo largo del día.</t>
  </si>
  <si>
    <t>E4.2 débil (3); patrón diario observable y sencillo para 2.°.</t>
  </si>
  <si>
    <t>2-4-I19</t>
  </si>
  <si>
    <t>T4_27-E1.1</t>
  </si>
  <si>
    <t>Representación de la proporción de agua y tierra en la superficie terrestre usando un globo terráqueo, distinguiendo agua dulce y salada.</t>
  </si>
  <si>
    <t>E1.1-A solo en hidrosfera de 3.°; unidad de destino discutible.</t>
  </si>
  <si>
    <t>baja</t>
  </si>
  <si>
    <t>2-4-I01</t>
  </si>
  <si>
    <r>
      <rPr>
        <sz val="10"/>
        <color indexed="8"/>
        <rFont val="Arial"/>
      </rPr>
      <t>2-4|Ciencias físicas</t>
    </r>
  </si>
  <si>
    <t>1. Máquinas y energía.</t>
  </si>
  <si>
    <t>T4_27-P4.1</t>
  </si>
  <si>
    <t>Construcción de circuitos eléctricos sencillos con pila, cables y bombillo, comparando circuitos abiertos y cerrados y su representación en diagramas.</t>
  </si>
  <si>
    <t>P4.1 débil (3); circuito completo no se trabaja; 4.° tiene la mayor brecha física.</t>
  </si>
  <si>
    <t>2-4-I02</t>
  </si>
  <si>
    <t>T4_27-P2.2, T4_27-P1.2</t>
  </si>
  <si>
    <t>Experimentación con la transferencia de calor entre objetos calientes y fríos en contacto, y con materiales conductores y aislantes térmicos de uso cotidiano.</t>
  </si>
  <si>
    <t>P2.2 con un solo tema; Uruguay y Colombia lo introducen antes.</t>
  </si>
  <si>
    <t>2-4-I03</t>
  </si>
  <si>
    <t>T4_27-P3.2</t>
  </si>
  <si>
    <t>Experimentación con la propagación del sonido en el aire, el agua y los sólidos (teléfono de vasos) y la formación del eco.</t>
  </si>
  <si>
    <t>P3.2 con un solo tema (2.°); eco no se trabaja.</t>
  </si>
  <si>
    <t>2-4-I04</t>
  </si>
  <si>
    <t>1. Medidas y fuerzas.</t>
  </si>
  <si>
    <t>T4_27-P4.2</t>
  </si>
  <si>
    <t>Experimentación con imanes para identificar sus polos, la atracción y repulsión entre ellos y los objetos que atraen.</t>
  </si>
  <si>
    <t>P4.2 con un solo tema; Singapur lo introduce en 3.°; encaja con fuerzas a distancia.</t>
  </si>
  <si>
    <t>2-4-I05</t>
  </si>
  <si>
    <t>3. El agua.</t>
  </si>
  <si>
    <t>T4_27-P1.1</t>
  </si>
  <si>
    <t>Comparación de la forma y el volumen de sólidos, líquidos y gases, y relación de la temperatura con los cambios de estado del agua.</t>
  </si>
  <si>
    <t>P1.1 débil (2); falta forma y volumen de los estados.</t>
  </si>
  <si>
    <t>2-4-I06</t>
  </si>
  <si>
    <t>T4_27-P3.1</t>
  </si>
  <si>
    <t>Experimentación con la formación de sombras, la reflexión de la luz en espejos y la descomposición de la luz blanca (arcoíris).</t>
  </si>
  <si>
    <t>P3.1 débil (2); sombras, reflejos y arcoíris sin tratar.</t>
  </si>
  <si>
    <t>2-4-I07</t>
  </si>
  <si>
    <t>T4_27-P4.1, T4_27-P1.2</t>
  </si>
  <si>
    <t>Clasificación de materiales en conductores y aislantes eléctricos mediante un circuito de prueba.</t>
  </si>
  <si>
    <t>Completa P4.1 y la subhabilidad P1.2-B sobre metales conductores.</t>
  </si>
  <si>
    <t>2-4-I08</t>
  </si>
  <si>
    <t>Relación entre la vibración de los objetos y el tono y la intensidad del sonido con instrumentos caseros.</t>
  </si>
  <si>
    <t>Refuerza P3.2 débil; Colombia lo trabaja desde 2.°.</t>
  </si>
  <si>
    <t>2-4-I09</t>
  </si>
  <si>
    <t>T4_27-P2.2, T4_27-P6.1</t>
  </si>
  <si>
    <t>Medición con termómetro de los cambios de temperatura al mezclar o poner en contacto agua caliente y agua fría.</t>
  </si>
  <si>
    <t>Une P2.2 débil con uso de instrumentos de medición de la unidad.</t>
  </si>
  <si>
    <t>2-4-I10</t>
  </si>
  <si>
    <t>T4_27-P5.1</t>
  </si>
  <si>
    <t>Experimentación con la fricción y la resistencia del aire sobre el movimiento de objetos en distintas superficies, y con la gravedad.</t>
  </si>
  <si>
    <t>Gravedad y fricción (P5.1-A/B) no explícitas en la malla.</t>
  </si>
  <si>
    <t>2-4-I11</t>
  </si>
  <si>
    <t>T4_27-P4.2, T4_27-E5.1</t>
  </si>
  <si>
    <t>Construcción de una brújula sencilla con una aguja imantada y su uso para orientarse.</t>
  </si>
  <si>
    <t>Refuerza P4.2 débil y vincula con uso de brújula (E5.1).</t>
  </si>
  <si>
    <t>2-4-I12</t>
  </si>
  <si>
    <t>Experimentación con la propagación de la luz a través del agua y de lentes sencillos para observar cómo se desvía.</t>
  </si>
  <si>
    <t>Segundo tema de luz; refracción menos central en TIMSS 4.°.</t>
  </si>
  <si>
    <t>2-4-F01</t>
  </si>
  <si>
    <t>fusionar</t>
  </si>
  <si>
    <t>2. Nutrición.</t>
  </si>
  <si>
    <t>T0785-G04-CIE · 4.° · 2.1. Indagación sobre los conceptos de alimento y nutriente.
T0786-G04-CIE · 4.° · 2.2. Clasificación de los nutrientes: macronutrientes y micronutrientes.</t>
  </si>
  <si>
    <t>T4_27-B5.2</t>
  </si>
  <si>
    <t>Indagación sobre los conceptos de alimento y nutriente, y clasificación de macronutrientes y micronutrientes.</t>
  </si>
  <si>
    <t>Mismo contenido «¿Qué es un nutriente?» y mismo objetivo B5.2.</t>
  </si>
  <si>
    <t>2-4-F02</t>
  </si>
  <si>
    <t>T0790-G04-CIE · 4.° · 2.6. Clasificación de los grupos de alimentos.
T0791-G04-CIE · 4.° · 2.7. Elaboración de menús según requerimientos nutricionales.</t>
  </si>
  <si>
    <t>Clasificación de los grupos de alimentos y elaboración de menús saludables según requerimientos nutricionales.</t>
  </si>
  <si>
    <t>Mismo contenido «Alimentación saludable»; los menús aplican los grupos.</t>
  </si>
  <si>
    <t>2-4-F03</t>
  </si>
  <si>
    <t>T0788-G04-CIE · 4.° · 2.4. Estimación de la cantidad de alimento necesaria para suplir los requerimientos nutric
T0789-G04-CIE · 4.° · 2.5. Comparación del gasto y obtención de la energía contenida en la dieta diaria.</t>
  </si>
  <si>
    <t>Estimación de los requerimientos nutricionales y comparación del gasto y la obtención de energía en la dieta diaria.</t>
  </si>
  <si>
    <t>Ambos tratan balance energético de la dieta; B5.2 tiene 14 temas.</t>
  </si>
  <si>
    <t>2-4-F04</t>
  </si>
  <si>
    <t>5. Cuerpo humano: materia y energía.</t>
  </si>
  <si>
    <t>T0828-G04-CIE · 4.° · 5.1. Descripción de las funciones, la importancia y los cuidados del sistema digestivo.
T0829-G04-CIE · 4.° · 5.2. Construcción de modelo del sistema digestivo.</t>
  </si>
  <si>
    <t>T4_27-B1.3, T4_27-B5.2</t>
  </si>
  <si>
    <t>Descripción de las funciones y cuidados del sistema digestivo mediante la construcción de un modelo.</t>
  </si>
  <si>
    <t>Modelo y descripción del mismo sistema; B1.3 sobrerrepresentado (24).</t>
  </si>
  <si>
    <t>2-4-F05</t>
  </si>
  <si>
    <t>T0830-G04-CIE · 4.° · 5.3. Descripción de las funciones, la importancia y los cuidados del sistema respiratorio.
T0831-G04-CIE · 4.° · 5.4. Construcción de modelo del sistema respiratorio.</t>
  </si>
  <si>
    <t>T4_27-B1.3, T4_27-B1.4</t>
  </si>
  <si>
    <t>Descripción de las funciones y cuidados del sistema respiratorio mediante la construcción de un modelo.</t>
  </si>
  <si>
    <t>Mismo sistema, mismo objetivo B1.3; el modelo sirve a la descripción.</t>
  </si>
  <si>
    <t>2-4-F06</t>
  </si>
  <si>
    <t>T0835-G04-CIE · 4.° · 5.8. Uso de simulación para explicar las partes y funciones principales del sistema excret
T0836-G04-CIE · 4.° · 5.9. Descripción de la importancia y los cuidados del sistema excretor.</t>
  </si>
  <si>
    <t>Uso de simulaciones para explicar las partes, funciones, importancia y cuidados del sistema excretor.</t>
  </si>
  <si>
    <t>Mismo sistema excretor; partes y cuidados se enseñan juntos.</t>
  </si>
  <si>
    <t>2-4-F07</t>
  </si>
  <si>
    <t>T0832-G04-CIE · 4.° · 5.5. Manipulación de simulaciones para explicar la estructura y las funciones sistémicas.
T0833-G04-CIE · 4.° · 5.6. Descripción del funcionamiento y los cuidados del sistema circulatorio.</t>
  </si>
  <si>
    <t>Manipulación de simulaciones para explicar la estructura, el funcionamiento y los cuidados del sistema circulatorio.</t>
  </si>
  <si>
    <t>Mismo contenido «Sistema circulatorio», mismo objetivo B1.3.</t>
  </si>
  <si>
    <t>2-4-F08</t>
  </si>
  <si>
    <t>6. Cuerpo humano: movimiento e interacciones.</t>
  </si>
  <si>
    <t>T0843-G04-CIE · 4.° · 6.7. Explicación de las funciones, la importancia y los cuidados del sistema nervioso.
T0844-G04-CIE · 4.° · 6.8. Representación de las partes principales del sistema nervioso humano.</t>
  </si>
  <si>
    <t>Representación de las partes principales del sistema nervioso y explicación de sus funciones y cuidados.</t>
  </si>
  <si>
    <t>Partes y funciones del mismo sistema; B1.3 sobrerrepresentado.</t>
  </si>
  <si>
    <t>2-4-F09</t>
  </si>
  <si>
    <t>T0838-G04-CIE · 4.° · 6.2. Práctica con el funcionamiento de músculos y articulaciones.
T0839-G04-CIE · 4.° · 6.3. Modelación de la contracción muscular para generar movimiento.</t>
  </si>
  <si>
    <t>T4_27-B1.3</t>
  </si>
  <si>
    <t>Práctica y modelación del funcionamiento de músculos y articulaciones para generar movimiento.</t>
  </si>
  <si>
    <t>Ambos modelan contracción y movimiento; mismo objetivo B1.3.</t>
  </si>
  <si>
    <t>2-4-F10</t>
  </si>
  <si>
    <t>T0764-G03-CIE · 3.° · 5.12. Descripción de las características morfológicas de los vertebrados.
T0765-G03-CIE · 3.° · 5.13. Caracterización anatómica de los principales grupos de vertebrados.</t>
  </si>
  <si>
    <t>T4_27-B1.2</t>
  </si>
  <si>
    <t>Descripción y caracterización anatómica de los principales grupos de vertebrados.</t>
  </si>
  <si>
    <t>Mismo contenido «Los vertebrados»; B1.2 tiene 18 temas.</t>
  </si>
  <si>
    <t>2-4-F11</t>
  </si>
  <si>
    <t>4. Las plantas.</t>
  </si>
  <si>
    <t>T0744-G03-CIE · 3.° · 4.1. Reconocimiento de los órganos presentes en las plantas con semilla.
T0745-G03-CIE · 3.° · 4.2. Relación de los órganos vegetales con sus funciones.</t>
  </si>
  <si>
    <t>Reconocimiento de los órganos de las plantas con semilla y relación con sus funciones.</t>
  </si>
  <si>
    <t>Reconocer órganos y sus funciones es un mismo aprendizaje B1.3.</t>
  </si>
  <si>
    <t>2-4-F12</t>
  </si>
  <si>
    <t>T0748-G03-CIE · 3.° · 4.5. Comparación de la anatomía de distintas plantas con semilla y sin semilla.
T0749-G03-CIE · 3.° · 4.6. Clasificación de los grupos de plantas terrestres por su anatomía.</t>
  </si>
  <si>
    <t>Comparación y clasificación de los grupos de plantas terrestres (con y sin semilla) por su anatomía.</t>
  </si>
  <si>
    <t>Mismo contenido «Grupos de plantas»; comparar y clasificar se solapan.</t>
  </si>
  <si>
    <t>2-4-F13</t>
  </si>
  <si>
    <t>T0761-G03-CIE · 3.° · 5.9. Representación esquemática de distintos grupos de artrópodos.
T0762-G03-CIE · 3.° · 5.10. Representación esquemática de distintos grupos de moluscos.</t>
  </si>
  <si>
    <t>Representación esquemática de los grupos de artrópodos y moluscos y sus rasgos distintivos.</t>
  </si>
  <si>
    <t>Misma tarea esquemática sobre invertebrados; B1.2 sobrerrepresentado.</t>
  </si>
  <si>
    <t>2-4-F14</t>
  </si>
  <si>
    <t>T0758-G03-CIE · 3.° · 5.6. Descripción de las características distintivas de poríferos y cnidarios.
T0759-G03-CIE · 3.° · 5.7. Reconocimiento de las características morfológicas de invertebrados vermiformes: plat</t>
  </si>
  <si>
    <t>Descripción de las características de poríferos, cnidarios e invertebrados vermiformes.</t>
  </si>
  <si>
    <t>Invertebrados simples del mismo contenido; detalle taxonómico excede TIMSS 4.°.</t>
  </si>
  <si>
    <t>2-4-F15</t>
  </si>
  <si>
    <t>T0751-G03-CIE · 3.° · 4.8. Experimentación con tropismos.
T0752-G03-CIE · 3.° · 4.9. Experimentación con nastias.</t>
  </si>
  <si>
    <t>T4_27-B1.4, T4_27-B6.1</t>
  </si>
  <si>
    <t>Experimentación con tropismos y nastias en plantas del entorno.</t>
  </si>
  <si>
    <t>Misma práctica experimental sobre respuestas vegetales; B1.4 se conserva.</t>
  </si>
  <si>
    <t>2-4-F16</t>
  </si>
  <si>
    <t>3. Naturaleza y sus interacciones.</t>
  </si>
  <si>
    <t>T0801-G04-CIE · 4.° · 3.4. Reconocimiento de la diversidad ecosistémica.
T0802-G04-CIE · 4.° · 3.5. Reconocimiento de tipos de formaciones vegetales de El Salvador.</t>
  </si>
  <si>
    <t>T4_27-B4.1</t>
  </si>
  <si>
    <t>Reconocimiento de la diversidad de ecosistemas y de las formaciones vegetales de El Salvador.</t>
  </si>
  <si>
    <t>Ambos sobre diversidad de ecosistemas; pierde algo de detalle local.</t>
  </si>
  <si>
    <t>2-4-F17</t>
  </si>
  <si>
    <t>T0840-G04-CIE · 4.° · 6.4. Descripción de la morfología, las funciones y formas de protección de huesos y cartíl
T0841-G04-CIE · 4.° · 6.5. Representación de los principales músculos esqueléticos y huesos del cuerpo humano.</t>
  </si>
  <si>
    <t>Descripción y representación de los principales huesos, cartílagos y músculos esqueléticos, sus funciones y formas de protección.</t>
  </si>
  <si>
    <t>Mismo contenido musculoesquelético y objetivo B1.3 (24 temas); paga la inserción de B2.2.</t>
  </si>
  <si>
    <t>2-4-R03</t>
  </si>
  <si>
    <t>reubicar</t>
  </si>
  <si>
    <t>5. Objetos técnicos.</t>
  </si>
  <si>
    <t>T0795-G04-CIE · 4.° · 2.11. Práctica de técnicas básicas para cultivo en huertos.</t>
  </si>
  <si>
    <t>T4_27-B1.1</t>
  </si>
  <si>
    <t>Práctica de técnicas básicas de cultivo en huertos, junto a «Cuidado de plantas y animales».</t>
  </si>
  <si>
    <t>Biología falta en 2.° (+2,6) y sobra en 4.° (−9,6).</t>
  </si>
  <si>
    <t>Opcional (no cambia el total)</t>
  </si>
  <si>
    <t>2-4-R04</t>
  </si>
  <si>
    <t>T0809-G04-CIE · 4.° · 3.12. Indagación de la diversidad de fenómenos geológicos.</t>
  </si>
  <si>
    <t>Indagación de la diversidad de fenómenos geológicos, junto a rocas y volcanes.</t>
  </si>
  <si>
    <t>Tierra sobra en 4.° (−3,4) y falta en 3.° (+3); afín a volcanes.</t>
  </si>
  <si>
    <t>2-4-R05</t>
  </si>
  <si>
    <t>T0810-G04-CIE · 4.° · 3.13. Simulación del origen y comportamiento de algunos fenómenos geológicos.</t>
  </si>
  <si>
    <t>Simulación del origen y comportamiento de fenómenos geológicos, junto a rocas y volcanes.</t>
  </si>
  <si>
    <t>Acompaña a T0809; mismo equilibrio 4.°→3.° en Tierra.</t>
  </si>
  <si>
    <t>2-4-R06</t>
  </si>
  <si>
    <t>T0806-G04-CIE · 4.° · 3.9. Indagación sobre la diversidad de fenómenos naturales de tipo hidrometeorológico.</t>
  </si>
  <si>
    <t>Indagación de fenómenos hidrometeorológicos, junto a «Amenazas naturales» de 2.°.</t>
  </si>
  <si>
    <t>Tierra falta en 2.° (+3,8); Colombia introduce el tiempo atmosférico en 2.°.</t>
  </si>
  <si>
    <t>2-4-R01</t>
  </si>
  <si>
    <t>T0658-G02-CIE · 2.° · 2.8. Experimentación con distintas transformaciones energéticas comunes.</t>
  </si>
  <si>
    <t>Experimentación con transformaciones energéticas comunes, junto al contenido «Transformaciones de la energía» de 4.°.</t>
  </si>
  <si>
    <t>Física sobra en 2.° (−6,4) y falta en 4.° (+13).</t>
  </si>
  <si>
    <t>2-4-R02</t>
  </si>
  <si>
    <t>T0651-G02-CIE · 2.° · 2.1. Experimentación con la energía mecánica, utilizando objetos de su entorno.</t>
  </si>
  <si>
    <t>Experimentación con la energía mecánica de objetos del entorno, vinculada a fuerzas y movimiento.</t>
  </si>
  <si>
    <t>Física sobra en 2.° y falta en 3.° (+2); encaja con fuerzas.</t>
  </si>
  <si>
    <t>5-8-I01</t>
  </si>
  <si>
    <r>
      <rPr>
        <sz val="10"/>
        <color indexed="8"/>
        <rFont val="Arial"/>
      </rPr>
      <t>5-8|Biología</t>
    </r>
  </si>
  <si>
    <t>7. Anatomía y Fisiología Animal</t>
  </si>
  <si>
    <t>T8_27-B6.1</t>
  </si>
  <si>
    <t>Indagación de las causas, formas de transmisión y prevención de enfermedades infecciosas, y del papel del sistema inmunitario, las vacunas y el uso responsable de antibióticos.</t>
  </si>
  <si>
    <t>B6.1 solo tiene un tema secundario; Uruguay y Colombia lo trabajan desde 6.°; cierra la unidad de sistemas.</t>
  </si>
  <si>
    <t>5-8-I02</t>
  </si>
  <si>
    <t>6. Ciencias de la Tierra.</t>
  </si>
  <si>
    <t>T8_27-B5.2</t>
  </si>
  <si>
    <t>Construcción de cadenas y redes tróficas de un ecosistema local para representar el flujo de energía entre productores, consumidores y descomponedores.</t>
  </si>
  <si>
    <t>B5.2 débil (1 tema, en 7.°); los tres países lo introducen en 6.°; 5.° tiene la mayor brecha biológica.</t>
  </si>
  <si>
    <t>5-8-I03</t>
  </si>
  <si>
    <t>T8_27-B5.3, T8_27-E2.2</t>
  </si>
  <si>
    <t>Modelación de los ciclos del carbono, del oxígeno y del agua entre seres vivos, suelo y atmósfera, destacando la descomposición de la materia orgánica.</t>
  </si>
  <si>
    <t>B5.3 sin tema principal; Singapur lo introduce en 5.°; enlaza con el bloque de suelo de 5.°.</t>
  </si>
  <si>
    <t>5-8-I04</t>
  </si>
  <si>
    <t>T8_27-B6.2, T8_27-B1.2</t>
  </si>
  <si>
    <t>Análisis de la dieta, la actividad física y el descanso como hábitos que mantienen sanos los sistemas digestivo, circulatorio y respiratorio.</t>
  </si>
  <si>
    <t>B6.2 débil (2 temas, ninguno en 8.°); encaja tras sistemas digestivos y respiratorio-circulatorio.</t>
  </si>
  <si>
    <t>5-8-I05</t>
  </si>
  <si>
    <t>T8_27-B5.1, T8_27-B5.6</t>
  </si>
  <si>
    <t>Comparación de ecosistemas naturales, rurales y urbanos de El Salvador a partir del cambio de cobertura y uso del suelo.</t>
  </si>
  <si>
    <t>B5.1 con 4 temas solo en 7.°; Colombia y Singapur lo introducen en 6.°; continúa «Usos del suelo».</t>
  </si>
  <si>
    <t>5-8-I06</t>
  </si>
  <si>
    <t>T8_27-B5.5</t>
  </si>
  <si>
    <t>Análisis de los factores (alimento, depredadores, enfermedades, espacio, actividad humana) que hacen variar el tamaño de una población local.</t>
  </si>
  <si>
    <t>B5.5 con 4 temas en 6.°–7.°; los tres países lo introducen en 6.°; suma Biología a 5.°.</t>
  </si>
  <si>
    <t>5-8-I07</t>
  </si>
  <si>
    <r>
      <rPr>
        <sz val="10"/>
        <color indexed="8"/>
        <rFont val="Arial"/>
      </rPr>
      <t>5-8|Ciencias de la Tierra</t>
    </r>
  </si>
  <si>
    <t>1. Mecánica</t>
  </si>
  <si>
    <t>T8_27-E4.1</t>
  </si>
  <si>
    <t>Modelación de la rotación y la traslación de la Tierra para explicar el día y la noche, la duración del año y, con la inclinación del eje, las estaciones.</t>
  </si>
  <si>
    <t>E4.1 sin ningún tema en el ciclo; aplica el movimiento circular y de rotación de 8.°.</t>
  </si>
  <si>
    <t>5-8-I08</t>
  </si>
  <si>
    <t>5. Minerales</t>
  </si>
  <si>
    <t>T8_27-E5.1, T8_27-E1.2</t>
  </si>
  <si>
    <t>Uso de lupa, escala de Mohs, brújula, GPS y libreta de campo para recolectar, medir y registrar datos de rocas y minerales del entorno.</t>
  </si>
  <si>
    <t>E5.1 (equipo de investigación en Tierra) sin ningún tema; encaja con la caracterización de minerales.</t>
  </si>
  <si>
    <t>5-8-I09</t>
  </si>
  <si>
    <t>Modelación de las fases de la Luna, los eclipses y las mareas a partir de las posiciones relativas del Sol, la Tierra y la Luna.</t>
  </si>
  <si>
    <t>Completa E4.1 (0 temas); Uruguay lo trabaja desde 5.°; usa la gravitación y la rotación de 8.°.</t>
  </si>
  <si>
    <t>5-8-I10</t>
  </si>
  <si>
    <t>1. Fluidos.</t>
  </si>
  <si>
    <t>T8_27-E2.1</t>
  </si>
  <si>
    <t>Experimentación con la presión atmosférica y la composición del aire, relacionando su variación con la altitud en El Salvador.</t>
  </si>
  <si>
    <t>E2.1 débil (2 temas en 7.°); Singapur lo introduce en 5.°; aplica presión en fluidos de 6.°.</t>
  </si>
  <si>
    <t>5-8-I11</t>
  </si>
  <si>
    <t>T8_27-E4.2, T8_27-P5.2</t>
  </si>
  <si>
    <t>Relación de la gravedad con las órbitas de planetas y satélites del sistema solar a partir de datos de distancia y período orbital.</t>
  </si>
  <si>
    <t>E4.2 débil (2 temas, solo en 5.°); aprovecha las leyes de Newton de 8.°.</t>
  </si>
  <si>
    <t>5-8-I12</t>
  </si>
  <si>
    <t>2. Calor y temperatura.</t>
  </si>
  <si>
    <t>T8_27-E2.4, T8_27-P2.2</t>
  </si>
  <si>
    <t>Experimentación con la absorción de radiación por gases de efecto invernadero y su relación con el aumento de la temperatura global.</t>
  </si>
  <si>
    <t>E2.4 débil (3 temas en 7.°); Uruguay lo inicia en 5.°; usa la radiación térmica de 6.°.</t>
  </si>
  <si>
    <t>5-8-I13</t>
  </si>
  <si>
    <t>T8_27-E4.2</t>
  </si>
  <si>
    <t>Relación de la temperatura superficial de los planetas con su distancia al Sol y su atmósfera a partir de datos de misiones espaciales.</t>
  </si>
  <si>
    <t>E4.2 débil; Colombia y Singapur lo introducen en 6.°; aplica calor y radiación de 6.°.</t>
  </si>
  <si>
    <t>5-8-I14</t>
  </si>
  <si>
    <t>3. Ondas mecánicas</t>
  </si>
  <si>
    <t>T8_27-E1.1, T8_27-E1.2</t>
  </si>
  <si>
    <t>Interpretación de la propagación de las ondas sísmicas P y S para inferir las capas internas de la Tierra.</t>
  </si>
  <si>
    <t>E1.1 sin temas en 8.°; las ondas sísmicas son ondas mecánicas, contenido de la unidad 3.</t>
  </si>
  <si>
    <t>5-8-I15</t>
  </si>
  <si>
    <t>T8_27-E2.1, T8_27-E2.3</t>
  </si>
  <si>
    <t>Modelación de la convección en la atmósfera para explicar la formación de vientos, brisas marinas y nubes.</t>
  </si>
  <si>
    <t>E2.1 débil; la convección de 6.° permite explicar condiciones atmosféricas; 6.° tiene brecha positiva.</t>
  </si>
  <si>
    <t>5-8-I16</t>
  </si>
  <si>
    <t>T8_27-E2.2</t>
  </si>
  <si>
    <t>Relación de la evaporación, condensación y precipitación con los cambios de estado del agua y la energía solar en el ciclo del agua.</t>
  </si>
  <si>
    <t>E2.2 solo en 7.°; Singapur lo introduce en 5.°; aplica cambios de fase de 6.°.</t>
  </si>
  <si>
    <t>5-8-I17</t>
  </si>
  <si>
    <t>T8_27-E1.2</t>
  </si>
  <si>
    <t>Modelación del ciclo de las rocas: formación y transformación de rocas ígneas, sedimentarias y metamórficas en El Salvador.</t>
  </si>
  <si>
    <t>Ciclo de las rocas ausente; E1.2 casi solo en 5.°; completa «Minerales y rocas» de 8.°.</t>
  </si>
  <si>
    <t>5-8-I18</t>
  </si>
  <si>
    <r>
      <rPr>
        <sz val="10"/>
        <color indexed="8"/>
        <rFont val="Arial"/>
      </rPr>
      <t>5-8|Física</t>
    </r>
  </si>
  <si>
    <t>6. Ambiente y energía</t>
  </si>
  <si>
    <t>T8_27-P3.1, T8_27-E3.1</t>
  </si>
  <si>
    <t>Experimentación con la reflexión, refracción y absorción de la luz y su aprovechamiento en concentradores y calentadores solares.</t>
  </si>
  <si>
    <t>P3.1 (luz) sin ningún tema en el ciclo; Uruguay lo introduce en 5.°; 7.° tiene Física subrepresentada.</t>
  </si>
  <si>
    <t>5-8-F01</t>
  </si>
  <si>
    <t>T1089-G08-CIE · 8.° · 1.12. Indagación del cambio del momento lineal en objetos a partir de la experimentación c
T1090-G08-CIE · 8.° · 1.13. Experimentación con el cambio del momento lineal de objetos.</t>
  </si>
  <si>
    <t>T8_27-P5.3</t>
  </si>
  <si>
    <t>Indagación y experimentación con el cambio del momento lineal de objetos a partir de la fuerza aplicada y el tiempo de interacción.</t>
  </si>
  <si>
    <t>Ambos temas indagan el mismo cambio de momento lineal; 8.° tiene la mayor sobrerrepresentación.</t>
  </si>
  <si>
    <t>5-8-F02</t>
  </si>
  <si>
    <t>T1109-G08-CIE · 8.° · 3.7. Identificación experimental del tipo de onda a partir del movimiento de la fuente de 
T1112-G08-CIE · 8.° · 3.10. Identificación experimental del tipo de onda a partir del movimiento de la fuente de</t>
  </si>
  <si>
    <t>T8_27-P3.2</t>
  </si>
  <si>
    <t>Identificación experimental del tipo de onda a partir del movimiento de la fuente de vibración en cuerdas y columnas de aire.</t>
  </si>
  <si>
    <t>Mismo procedimiento repetido para cuerdas y para columnas de aire.</t>
  </si>
  <si>
    <t>5-8-F03</t>
  </si>
  <si>
    <t>T1110-G08-CIE · 8.° · 3.8. Identificación experimental de las magnitudes y las condiciones que varían la frecuen
T1113-G08-CIE · 8.° · 3.11. Identificación experimental de las magnitudes y las condiciones que varían la frecue</t>
  </si>
  <si>
    <t>T8_27-P3.2, T8_27-P6.1</t>
  </si>
  <si>
    <t>Identificación experimental de las magnitudes y condiciones que varían la frecuencia o el tono del sonido en cuerdas y columnas de aire.</t>
  </si>
  <si>
    <t>Mismo procedimiento duplicado por fuente sonora; P3.2 conserva 4 temas.</t>
  </si>
  <si>
    <t>5-8-F04</t>
  </si>
  <si>
    <t xml:space="preserve">T1111-G08-CIE · 8.° · 3.9. Resolución de problemas teóricos a partir de las gráficas de desplazamiento contra po
T1114-G08-CIE · 8.° · 3.12. Resolución de problemas teóricos a partir de las gráficas de presión de aire contra </t>
  </si>
  <si>
    <t>Resolución de problemas a partir de gráficas de desplazamiento y de presión de aire contra posición y tiempo en ondas transversales y longitudinales.</t>
  </si>
  <si>
    <t>Ambos resuelven problemas con gráficas de ondas; solo cambia el tipo de onda.</t>
  </si>
  <si>
    <t>5-8-F05</t>
  </si>
  <si>
    <t>T0922-G06-CIE · 6.° · 1.4. Vinculación entre capilaridad y tensión superficial.
T0923-G06-CIE · 6.° · 1.5. Demostración experimental de la capilaridad.</t>
  </si>
  <si>
    <t>T8_27-P1.1</t>
  </si>
  <si>
    <t>Demostración experimental de la capilaridad y su vínculo con la tensión superficial.</t>
  </si>
  <si>
    <t>Mismo fenómeno: uno lo vincula y otro lo demuestra; 6.° tiene Física sobrerrepresentada.</t>
  </si>
  <si>
    <t>5-8-F06</t>
  </si>
  <si>
    <t>T0925-G06-CIE · 6.° · 1.7. Indagación del principio de Bernoulli.
T0926-G06-CIE · 6.° · 1.8. Aplicación del principio de Bernoulli.</t>
  </si>
  <si>
    <t>Indagación y aplicación del principio de Bernoulli en situaciones cotidianas.</t>
  </si>
  <si>
    <t>Indagar y aplicar el mismo principio caben en una secuencia de clase.</t>
  </si>
  <si>
    <t>5-8-F07</t>
  </si>
  <si>
    <t>4. Interacciones químicas.</t>
  </si>
  <si>
    <t>T0949-G06-CIE · 6.° · 4.7. Demostración experimental macroscópica de las fuerzas intermoleculares.
T0950-G06-CIE · 6.° · 4.8. Construcción del concepto de las fuerzas intermoleculares.</t>
  </si>
  <si>
    <t>T8_27-P1.1, T8_27-P1.2</t>
  </si>
  <si>
    <t>Construcción del concepto de fuerzas intermoleculares a partir de su demostración experimental macroscópica.</t>
  </si>
  <si>
    <t>Mismo contenido: demostración y conceptualización de fuerzas intermoleculares.</t>
  </si>
  <si>
    <t>5-8-F08</t>
  </si>
  <si>
    <t>T1107-G08-CIE · 8.° · 3.5. Cálculo experimental de una altura empleando el período de oscilación de un péndulo s
T1108-G08-CIE · 8.° · 3.6. Diseño de un experimento para determinar una altura empleando un péndulo simple.</t>
  </si>
  <si>
    <t>T8_27-P6.1</t>
  </si>
  <si>
    <t>Diseño y ejecución de un experimento para calcular una altura empleando el período de oscilación de un péndulo simple.</t>
  </si>
  <si>
    <t>Ambos determinan una altura con el péndulo; diseñar incluye calcular.</t>
  </si>
  <si>
    <t>5-8-F09</t>
  </si>
  <si>
    <t>2. Energía</t>
  </si>
  <si>
    <t>T1101-G08-CIE · 8.° · 2.10. Cálculo experimental de la potencia mecánica de máquinas para la obtención del momen
T1102-G08-CIE · 8.° · 2.11. Resolución de problemas acerca de la potencia mecánica.</t>
  </si>
  <si>
    <t>T8_27-P2.1</t>
  </si>
  <si>
    <t>Cálculo experimental de la potencia mecánica de máquinas y resolución de problemas de potencia.</t>
  </si>
  <si>
    <t>Mismo cálculo de potencia, experimental y en problemas; P2.1 tiene 21 temas.</t>
  </si>
  <si>
    <t>5-8-F10</t>
  </si>
  <si>
    <t>T1098-G08-CIE · 8.° · 2.7. Experimentación con la ley de conservación de la energía mecánica.
T1099-G08-CIE · 8.° · 2.8. Interpretación de las características de las gráficas de energía cinética y potencial</t>
  </si>
  <si>
    <t>Experimentación con la conservación de la energía mecánica e interpretación de las gráficas de energía cinética y potencial obtenidas.</t>
  </si>
  <si>
    <t>Las gráficas salen del mismo experimento de conservación.</t>
  </si>
  <si>
    <t>5-8-F11</t>
  </si>
  <si>
    <t>T1104-G08-CIE · 8.° · 3.2. Experimentación para identificar la transformación de la energía del péndulo simple.
T1105-G08-CIE · 8.° · 3.3. Interpretación de las características de las gráficas de energía del oscilador armóni</t>
  </si>
  <si>
    <t>Experimentación con la transformación de la energía del péndulo simple e interpretación de sus gráficas de energía.</t>
  </si>
  <si>
    <t>Mismo sistema y misma transformación energética; P2.1 sobrado.</t>
  </si>
  <si>
    <t>5-8-F12</t>
  </si>
  <si>
    <t>T1081-G08-CIE · 8.° · 1.4. Medición de las componentes de un vector en un par de ejes perpendiculares.
T1082-G08-CIE · 8.° · 1.5. Adición y sustracción de vectores por el método de las componentes rectangulares.</t>
  </si>
  <si>
    <t>T8_27-P5.2</t>
  </si>
  <si>
    <t>Medición de las componentes rectangulares de vectores y su uso para sumarlos y restarlos.</t>
  </si>
  <si>
    <t>Fusión extra que paga la inserción de cobertura de luz (P3.1); mismo método de componentes.</t>
  </si>
  <si>
    <t>5-8-F13</t>
  </si>
  <si>
    <r>
      <rPr>
        <sz val="10"/>
        <color indexed="8"/>
        <rFont val="Arial"/>
      </rPr>
      <t>5-8|Química</t>
    </r>
  </si>
  <si>
    <t>4. Estequiometría y dispersiones</t>
  </si>
  <si>
    <t>T1132-G08-CIE · 8.° · 4.18. Demostración de las propiedades coligativas.
T1133-G08-CIE · 8.° · 4.19. Experimentación con las propiedades coligativas.</t>
  </si>
  <si>
    <t>T8_27-C2.2, T8_27-P1.2</t>
  </si>
  <si>
    <t>Demostración y experimentación con las propiedades coligativas de las soluciones.</t>
  </si>
  <si>
    <t>Demostrar y experimentar la misma propiedad coligativa; C2.2 tiene 16 temas.</t>
  </si>
  <si>
    <t>5-8-F14</t>
  </si>
  <si>
    <t>3. Estructura atómica.</t>
  </si>
  <si>
    <t>T0878-G05-CIE · 5.° · 3.8. Construcción del concepto de isótopo y sus aplicaciones.
T0879-G05-CIE · 5.° · 3.9. Cuantificación de la masa atómica relativa de isótopos.</t>
  </si>
  <si>
    <t>T8_27-C1.1</t>
  </si>
  <si>
    <t>Construcción del concepto de isótopo, sus aplicaciones y el cálculo de la masa atómica relativa.</t>
  </si>
  <si>
    <t>Mismo contenido «Isótopos»; C1.1 tiene 24 temas; 5.° sobrerrepresentado en Química.</t>
  </si>
  <si>
    <t>5-8-F15</t>
  </si>
  <si>
    <t>T1126-G08-CIE · 8.° · 4.12. Identificación de dispersiones químicas en sustancias de uso cotidiano.
T1128-G08-CIE · 8.° · 4.14. Exploración de los diferentes tipos de dispersiones químicas y sus aplicaciones.</t>
  </si>
  <si>
    <t>T8_27-C1.2, T8_27-C2.2</t>
  </si>
  <si>
    <t>Identificación de los tipos de dispersiones químicas en sustancias de uso cotidiano y sus aplicaciones.</t>
  </si>
  <si>
    <t>Ambos identifican dispersiones cotidianas y sus usos; la clasificación queda aparte.</t>
  </si>
  <si>
    <t>5-8-F16</t>
  </si>
  <si>
    <t>T0873-G05-CIE · 5.° · 3.3. Construcción e identificación de un modelo atómico.
T0874-G05-CIE · 5.° · 3.4. Modelación del comportamiento de las partículas subatómicas.</t>
  </si>
  <si>
    <t>Construcción de un modelo atómico para modelar el comportamiento de las partículas subatómicas.</t>
  </si>
  <si>
    <t>Mismo modelo atómico construido y usado; C1.1 muy sobrado.</t>
  </si>
  <si>
    <t>5-8-F17</t>
  </si>
  <si>
    <t>T1115-G08-CIE · 8.° · 4.1. Identificación de las unidades físicas de concentración en sustancias de uso cotidian
T1117-G08-CIE · 8.° · 4.3. Exploración de las aplicaciones cotidianas, industriales y ambientales de las unidade</t>
  </si>
  <si>
    <t>T8_27-C2.2</t>
  </si>
  <si>
    <t>Identificación de las unidades físicas de concentración y sus aplicaciones cotidianas, industriales y ambientales.</t>
  </si>
  <si>
    <t>Identificar unidades y explorar aplicaciones en el mismo contenido.</t>
  </si>
  <si>
    <t>5-8-F18</t>
  </si>
  <si>
    <t>T0876-G05-CIE · 5.° · 3.6. Identificación de los tipos de transferencia de carga.
T0877-G05-CIE · 5.° · 3.7. Deducción de la formación de iones monoatómicos.</t>
  </si>
  <si>
    <t>Identificación de los tipos de transferencia de carga y deducción de la formación de iones monoatómicos.</t>
  </si>
  <si>
    <t>La formación de iones es el caso de transferencia de carga; C1.1 sobrado.</t>
  </si>
  <si>
    <t>5-8-R01</t>
  </si>
  <si>
    <t>T1035-G07-CIE · 7.° · 4.8. Reconocimiento de la estructura general y las funciones principales de los ecosistema</t>
  </si>
  <si>
    <t>T8_27-B5.2, T8_27-B5.3</t>
  </si>
  <si>
    <t>Reconocimiento de la estructura general y funciones de los ecosistemas, trasladado a 5.° para abrir el bloque de ecología junto a los temas insertados.</t>
  </si>
  <si>
    <t>Biología +19 en 5.° y −15 en 7.°; los tres países introducen B5.2 en 6.°.</t>
  </si>
  <si>
    <t>5-8-R02</t>
  </si>
  <si>
    <t>T1016-G07-CIE · 7.° · 3.1. Indagación del concepto de biodiversidad y sus niveles.</t>
  </si>
  <si>
    <t>T8_27-B4.1, T8_27-B1.1</t>
  </si>
  <si>
    <t>Indagación del concepto de biodiversidad y sus niveles, a continuación de los eventos de explosión y extinción de biodiversidad.</t>
  </si>
  <si>
    <t>Equilibra Biología 7.°→5.°; Uruguay y Colombia introducen B1.1 en 6.°, El Salvador en 7.°.</t>
  </si>
  <si>
    <t>5-8-R03</t>
  </si>
  <si>
    <t>T1028-G07-CIE · 7.° · 4.1. Identificación de interacciones ecológicas a partir de contextos prácticos.</t>
  </si>
  <si>
    <t>T8_27-B5.4</t>
  </si>
  <si>
    <t>Identificación de interacciones ecológicas en contextos prácticos, como parte del bloque de ecología de 5.°; 7.° conserva su descripción.</t>
  </si>
  <si>
    <t>Equilibra Biología 7.°→5.°; Uruguay y Singapur introducen B5.4 en 6.°, El Salvador en 7.°.</t>
  </si>
  <si>
    <t>5-8-R06</t>
  </si>
  <si>
    <t>T0906-G05-CIE · 5.° · 6.9. Discriminación entre las escalas de intensidad y magnitud sísmica.</t>
  </si>
  <si>
    <t>Discriminación entre escalas de intensidad y magnitud sísmica, vinculada a la energía y amplitud de las ondas mecánicas.</t>
  </si>
  <si>
    <t>Tierra −8 en 5.° y +15 en 8.°; las ondas sísmicas se estudian como ondas mecánicas.</t>
  </si>
  <si>
    <t>5-8-R04</t>
  </si>
  <si>
    <t>5. Recurso hídrico</t>
  </si>
  <si>
    <t>T0924-G06-CIE · 6.° · 1.6. Medición del caudal de un fluido.</t>
  </si>
  <si>
    <t>T8_27-P6.1, T8_27-E3.2</t>
  </si>
  <si>
    <t>Medición del caudal de un fluido, junto a la estimación de caudal y volumen de cuerpos de agua superficiales.</t>
  </si>
  <si>
    <t>Física −8 en 6.° y +19 en 7.°; complementa directamente al tema 5.3 de 7.°.</t>
  </si>
  <si>
    <t>5-8-R05</t>
  </si>
  <si>
    <t>1. Compuestos inorgánicos</t>
  </si>
  <si>
    <t>T0888-G05-CIE · 5.° · 4.7. Identificación de los números de oxidación.</t>
  </si>
  <si>
    <t>Identificación de los números de oxidación, inmediatamente antes de formular y nombrar compuestos inorgánicos.</t>
  </si>
  <si>
    <t>Química −7 en 5.° y +8 en 7.°; la nomenclatura de 7.° requiere números de oxidación.</t>
  </si>
  <si>
    <t>7-9-I20</t>
  </si>
  <si>
    <r>
      <rPr>
        <sz val="10"/>
        <color indexed="8"/>
        <rFont val="Arial"/>
      </rPr>
      <t>7-9|Sistemas de la Tierra y el espacio</t>
    </r>
  </si>
  <si>
    <t>8. La Tierra en el universo (nueva)</t>
  </si>
  <si>
    <t>PISA-T8</t>
  </si>
  <si>
    <t>Indagación del origen del universo según la teoría del Big Bang y sus evidencias.</t>
  </si>
  <si>
    <t>PISA-T8 sin ningún tema en el ciclo.</t>
  </si>
  <si>
    <t>7-9-I21</t>
  </si>
  <si>
    <t>PISA-T8, PISA-T7</t>
  </si>
  <si>
    <t>Modelaje de la formación del sistema solar a partir de una nebulosa y la acreción de planetas.</t>
  </si>
  <si>
    <t>T8 no cubierto; formación planetaria ausente.</t>
  </si>
  <si>
    <t>7-9-I22</t>
  </si>
  <si>
    <t>PISA-T8, PISA-F1</t>
  </si>
  <si>
    <t>Descripción del ciclo de vida de las estrellas y del origen de los elementos químicos.</t>
  </si>
  <si>
    <t>T8 no cubierto; conecta con química del ciclo.</t>
  </si>
  <si>
    <t>7-9-I23</t>
  </si>
  <si>
    <t>PISA-T7</t>
  </si>
  <si>
    <t>Modelaje de las fases de la Luna y de los eclipses a partir de las posiciones del Sol, la Tierra y la Luna.</t>
  </si>
  <si>
    <t>T7 tiene solo 3 temas, todos secundarios.</t>
  </si>
  <si>
    <t>7-9-I24</t>
  </si>
  <si>
    <t>PISA-T7, PISA-T3</t>
  </si>
  <si>
    <t>Explicación de las estaciones a partir de la inclinación del eje y los movimientos de la Tierra.</t>
  </si>
  <si>
    <t>T7 débil; estaciones son contenido básico internacional.</t>
  </si>
  <si>
    <t>7-9-I25</t>
  </si>
  <si>
    <t>Construcción de un modelo a escala del sistema solar para comparar tamaños y distancias.</t>
  </si>
  <si>
    <t>T7 débil; escala del sistema solar ausente.</t>
  </si>
  <si>
    <t>7-9-I26</t>
  </si>
  <si>
    <t>PISA-T7, PISA-T8</t>
  </si>
  <si>
    <t>Ubicación de la Tierra en la Vía Láctea y comparación de tipos de galaxias.</t>
  </si>
  <si>
    <t>PISA T7 menciona galaxias; nada en el ciclo.</t>
  </si>
  <si>
    <t>7-9-I27</t>
  </si>
  <si>
    <t>9. Historia de la Tierra (nueva)</t>
  </si>
  <si>
    <t>PISA-T6, PISA-V5</t>
  </si>
  <si>
    <t>Indagación de los procesos de fosilización y de la datación relativa de estratos.</t>
  </si>
  <si>
    <t>T6 tiene solo 4 temas; fósiles ausentes.</t>
  </si>
  <si>
    <t>7-9-I28</t>
  </si>
  <si>
    <t>Construcción de una línea del tiempo geológico con los principales eventos de la historia de la vida.</t>
  </si>
  <si>
    <t>Origen y evolución de la Tierra no trabajados.</t>
  </si>
  <si>
    <t>7-9-I29</t>
  </si>
  <si>
    <t>PISA-T6, PISA-T1</t>
  </si>
  <si>
    <t>Modelaje del ciclo de las rocas: meteorización, erosión, sedimentación y metamorfismo.</t>
  </si>
  <si>
    <t>Encaja en «Minerales y rocas»; refuerza T6.</t>
  </si>
  <si>
    <t>7-9-I30</t>
  </si>
  <si>
    <t>PISA-T6, PISA-T2</t>
  </si>
  <si>
    <t>Experimentación con la meteorización y la erosión del suelo y prácticas de conservación.</t>
  </si>
  <si>
    <t>Erosión solo en 9.° costero; suelo como recurso.</t>
  </si>
  <si>
    <t>7-9-I31</t>
  </si>
  <si>
    <t>PISA-T7, PISA-F3</t>
  </si>
  <si>
    <t>Explicación del papel de la gravedad en las órbitas de planetas y satélites.</t>
  </si>
  <si>
    <t>T7 débil; enlaza con mecánica de 8.°.</t>
  </si>
  <si>
    <t>7-9-I32</t>
  </si>
  <si>
    <t>10. Sistemas terrestres y cambio global (nueva)</t>
  </si>
  <si>
    <t>PISA-T5, PISA-V7</t>
  </si>
  <si>
    <t>Representación del ciclo del carbono entre atmósfera, océanos, biosfera y geosfera.</t>
  </si>
  <si>
    <t>T5 tiene 9 temas; ciclos geoquímicos no explícitos.</t>
  </si>
  <si>
    <t>7-9-I33</t>
  </si>
  <si>
    <t>4. Oceanografía</t>
  </si>
  <si>
    <t>PISA-T5, PISA-F2</t>
  </si>
  <si>
    <t>Experimentación con la disolución de CO2 en agua y análisis de la acidificación del océano.</t>
  </si>
  <si>
    <t>PISA T5 nombra acidificación; encaja con equilibrio ácido-base de 9.°.</t>
  </si>
  <si>
    <t>7-9-I34</t>
  </si>
  <si>
    <t>5. Geología de El Salvador</t>
  </si>
  <si>
    <t>PISA-T5, PISA-T1</t>
  </si>
  <si>
    <t>Análisis de las evidencias de la tectónica de placas y de los tipos de límites entre placas.</t>
  </si>
  <si>
    <t>Fuerzas tectónicas implícitas; base para vulcanismo y sismos salvadoreños.</t>
  </si>
  <si>
    <t>7-9-I35</t>
  </si>
  <si>
    <t>PISA-T5, PISA-T3</t>
  </si>
  <si>
    <t>Interpretación de registros climáticos (núcleos de hielo, series de temperatura) como evidencia del cambio climático.</t>
  </si>
  <si>
    <t>Cambio climático solo en 7.°, sin análisis de evidencia.</t>
  </si>
  <si>
    <t>7-9-I36</t>
  </si>
  <si>
    <t>PISA-T3, PISA-F5</t>
  </si>
  <si>
    <t>Explicación del balance energético de la Tierra: radiación solar, albedo y distribución del calor.</t>
  </si>
  <si>
    <t>Energía en sistemas terrestres poco presente en 8.°.</t>
  </si>
  <si>
    <t>7-9-I37</t>
  </si>
  <si>
    <t>PISA-T3, PISA-T1</t>
  </si>
  <si>
    <t>Representación de la estructura interna de la Tierra y del flujo de calor interno.</t>
  </si>
  <si>
    <t>Energía interna y estructura terrestre no aparecen en 8.°.</t>
  </si>
  <si>
    <t>7-9-I38</t>
  </si>
  <si>
    <t>PISA-T2, PISA-V8</t>
  </si>
  <si>
    <t>Análisis del reciclaje de metales y de la economía circular frente al carácter finito de los minerales.</t>
  </si>
  <si>
    <t>T2 débil (8); encaja tras usos de minerales.</t>
  </si>
  <si>
    <t>7-9-I39</t>
  </si>
  <si>
    <t>PISA-T4, PISA-T2</t>
  </si>
  <si>
    <t>Análisis de la sobreexplotación de acuíferos y la intrusión salina en El Salvador.</t>
  </si>
  <si>
    <t>Agua solo en 7.°; retoma T4 con problema local.</t>
  </si>
  <si>
    <t>7-9-I40</t>
  </si>
  <si>
    <t>PISA-T2, PISA-T3</t>
  </si>
  <si>
    <t>Explicación de la formación de los combustibles fósiles y del carácter finito de sus reservas.</t>
  </si>
  <si>
    <t>Recursos finitos conectados con geología de 8.°.</t>
  </si>
  <si>
    <t>7-9-I01</t>
  </si>
  <si>
    <r>
      <rPr>
        <sz val="10"/>
        <color indexed="8"/>
        <rFont val="Arial"/>
      </rPr>
      <t>7-9|Sistemas vivos</t>
    </r>
  </si>
  <si>
    <t>8. La célula (nueva)</t>
  </si>
  <si>
    <t>PISA-V3, PISA-V1</t>
  </si>
  <si>
    <t>Observación microscópica y comparación de células procariotas y eucariotas, animales y vegetales.</t>
  </si>
  <si>
    <t>9.° no trabaja la célula; base para genética y salud.</t>
  </si>
  <si>
    <t>7-9-I02</t>
  </si>
  <si>
    <t>9. Salud humana (nueva)</t>
  </si>
  <si>
    <t>PISA-V4, PISA-V1</t>
  </si>
  <si>
    <t>Explicación del funcionamiento del sistema inmunológico y del papel de las vacunas en la prevención de enfermedades.</t>
  </si>
  <si>
    <t>Salud humana ausente en 9.°; tema central de PISA.</t>
  </si>
  <si>
    <t>7-9-I03</t>
  </si>
  <si>
    <t>PISA-V1, PISA-V4</t>
  </si>
  <si>
    <t>Caracterización de virus y bacterias y de las enfermedades transmisibles que causan en la comunidad.</t>
  </si>
  <si>
    <t>V1 débil (6 temas); microorganismos casi sin tratamiento.</t>
  </si>
  <si>
    <t>7-9-I04</t>
  </si>
  <si>
    <t>12. Biosfera y sostenibilidad global (nueva)</t>
  </si>
  <si>
    <t>PISA-V7, PISA-V6</t>
  </si>
  <si>
    <t>Análisis de los ciclos biogeoquímicos del carbono y del nitrógeno a escala de la biosfera.</t>
  </si>
  <si>
    <t>V7 tiene solo 3 temas; biosfera global poco cubierta.</t>
  </si>
  <si>
    <t>7-9-I05</t>
  </si>
  <si>
    <t>PISA-V7, PISA-V8</t>
  </si>
  <si>
    <t>Evaluación de los límites planetarios y de los servicios ecosistémicos globales a partir de datos.</t>
  </si>
  <si>
    <t>V7 débil; conecta sostenibilidad global con impacto humano.</t>
  </si>
  <si>
    <t>7-9-I06</t>
  </si>
  <si>
    <t>PISA-V3</t>
  </si>
  <si>
    <t>Experimentación con difusión y ósmosis a través de la membrana celular en tejidos vegetales.</t>
  </si>
  <si>
    <t>Función celular (transporte) no aparece en el ciclo.</t>
  </si>
  <si>
    <t>7-9-I07</t>
  </si>
  <si>
    <t>PISA-V3, PISA-V4</t>
  </si>
  <si>
    <t>Comparación experimental de la fotosíntesis y la respiración celular mediante indicadores de CO2.</t>
  </si>
  <si>
    <t>Energía celular solo aparece de forma secundaria en 8.°.</t>
  </si>
  <si>
    <t>7-9-I08</t>
  </si>
  <si>
    <t>PISA-V3, PISA-V2</t>
  </si>
  <si>
    <t>Modelaje de la división celular por mitosis y meiosis y su relación con crecimiento y reproducción.</t>
  </si>
  <si>
    <t>Puente célula-herencia ausente; otros marcos lo introducen antes.</t>
  </si>
  <si>
    <t>7-9-I09</t>
  </si>
  <si>
    <t>10. Genética y biotecnología (nueva)</t>
  </si>
  <si>
    <t>PISA-V2, PISA-V3</t>
  </si>
  <si>
    <t>Modelaje de la expresión génica: del ADN a la proteína mediante transcripción y traducción.</t>
  </si>
  <si>
    <t>Expresión génica no aparece; genética solo en 7.°.</t>
  </si>
  <si>
    <t>7-9-I10</t>
  </si>
  <si>
    <t>PISA-V2, PISA-V8</t>
  </si>
  <si>
    <t>Análisis de aplicaciones de la biotecnología (transgénicos, PCR, vacunas) y sus implicaciones éticas.</t>
  </si>
  <si>
    <t>Biotecnología explícita en PISA V2; ausente en el ciclo.</t>
  </si>
  <si>
    <t>7-9-I11</t>
  </si>
  <si>
    <t>PISA-V2</t>
  </si>
  <si>
    <t>Indagación de la interacción entre genes y ambiente en la expresión del fenotipo a partir de casos.</t>
  </si>
  <si>
    <t>PISA pide genes «y su interacción con el ambiente».</t>
  </si>
  <si>
    <t>7-9-I12</t>
  </si>
  <si>
    <t>PISA-V4</t>
  </si>
  <si>
    <t>Experimentación con la coordinación nerviosa y hormonal en el mantenimiento de la homeostasis.</t>
  </si>
  <si>
    <t>Sistemas nervioso y endocrino ausentes del ciclo.</t>
  </si>
  <si>
    <t>7-9-I13</t>
  </si>
  <si>
    <t>Análisis de la nutrición humana y su relación con enfermedades no transmisibles a partir de registros de dieta.</t>
  </si>
  <si>
    <t>Salud y mantenimiento del cuerpo humano no aparecen en 9.°.</t>
  </si>
  <si>
    <t>7-9-I14</t>
  </si>
  <si>
    <t>Explicación de la reproducción humana y de prácticas de salud sexual y reproductiva.</t>
  </si>
  <si>
    <t>Reproducción humana ausente del ciclo.</t>
  </si>
  <si>
    <t>7-9-I15</t>
  </si>
  <si>
    <t>11. Evolución (nueva)</t>
  </si>
  <si>
    <t>PISA-V5, PISA-T6</t>
  </si>
  <si>
    <t>Análisis de las evidencias de la evolución: registro fósil, anatomía comparada y secuencias de ADN.</t>
  </si>
  <si>
    <t>Evolución solo en 7.°; evidencias no trabajadas; enlaza con T6.</t>
  </si>
  <si>
    <t>7-9-I16</t>
  </si>
  <si>
    <t>PISA-V4, PISA-V8</t>
  </si>
  <si>
    <t>Investigación de los efectos del tabaco, el alcohol y otras drogas en los sistemas del cuerpo humano.</t>
  </si>
  <si>
    <t>Salud del organismo humano poco presente; relevancia social.</t>
  </si>
  <si>
    <t>7-9-I17</t>
  </si>
  <si>
    <t>PISA-V6, PISA-V7</t>
  </si>
  <si>
    <t>Representación del flujo de energía y materia en redes tróficas marinas mediante pirámides ecológicas.</t>
  </si>
  <si>
    <t>Encaja en biología marina; flujo de energía poco explícito.</t>
  </si>
  <si>
    <t>7-9-I18</t>
  </si>
  <si>
    <t>Comparación de las estrategias de reproducción y desarrollo en distintos grupos animales.</t>
  </si>
  <si>
    <t>La unidad animal de 8.° omite la reproducción.</t>
  </si>
  <si>
    <t>7-9-I19</t>
  </si>
  <si>
    <t>6. Anatomía y fisiología vegetal</t>
  </si>
  <si>
    <t>PISA-V1, PISA-V6</t>
  </si>
  <si>
    <t>Indagación de las relaciones de las plantas con microorganismos: micorrizas, bacterias fijadoras de nitrógeno y fitopatógenos.</t>
  </si>
  <si>
    <t>Refuerza V1 (organismos/microorganismos) dentro de la unidad vegetal.</t>
  </si>
  <si>
    <t>7-9-F01</t>
  </si>
  <si>
    <r>
      <rPr>
        <sz val="10"/>
        <color indexed="8"/>
        <rFont val="Arial"/>
      </rPr>
      <t>7-9|Sistemas físicos</t>
    </r>
  </si>
  <si>
    <t>PISA-F1</t>
  </si>
  <si>
    <t>4.18. Demostración y experimentación con las propiedades coligativas de las soluciones.</t>
  </si>
  <si>
    <t>Demostrar y experimentar la misma propiedad coligativa es una sola práctica.</t>
  </si>
  <si>
    <t>7-9-F02</t>
  </si>
  <si>
    <t>PISA-F5</t>
  </si>
  <si>
    <t>3.7. Identificación experimental del tipo de onda según la fuente de vibración en cuerdas y columnas de aire.</t>
  </si>
  <si>
    <t>Mismo procedimiento en dos medios; se enseña comparando cuerdas y tubos.</t>
  </si>
  <si>
    <t>7-9-F03</t>
  </si>
  <si>
    <t>3.8. Identificación experimental de las magnitudes que varían la frecuencia o el tono del sonido en cuerdas y tubos.</t>
  </si>
  <si>
    <t>Misma variable (frecuencia/tono) estudiada en dos fuentes sonoras paralelas.</t>
  </si>
  <si>
    <t>7-9-F04</t>
  </si>
  <si>
    <t>3.9. Resolución de problemas a partir de gráficas de desplazamiento y de presión de aire contra posición y tiempo.</t>
  </si>
  <si>
    <t>Ambos son problemas de lectura de gráficas de ondas.</t>
  </si>
  <si>
    <t>7-9-F05</t>
  </si>
  <si>
    <t>1. Mecánica de fluidos</t>
  </si>
  <si>
    <t>T1174-G09-CIE · 9.° · 1.4. Elaboración de una prensa hidráulica para la comprobación experimental del principio 
T1175-G09-CIE · 9.° · 1.5. Experimentación con el principio de multiplicación de fuerzas en una prensa hidráulic</t>
  </si>
  <si>
    <t>PISA-F3</t>
  </si>
  <si>
    <t>1.4. Elaboración de una prensa hidráulica y experimentación con la multiplicación de fuerzas según el principio de Pascal.</t>
  </si>
  <si>
    <t>Construir la prensa y experimentar con ella es la misma actividad.</t>
  </si>
  <si>
    <t>7-9-F06</t>
  </si>
  <si>
    <t xml:space="preserve">T1178-G09-CIE · 9.° · 1.8. Comprobación experimental del teorema de Torricelli empleando líquidos en recipientes
T1179-G09-CIE · 9.° · 1.9 Cálculo de la rapidez de salida de un líquido por un orificio a partir del teorema de </t>
  </si>
  <si>
    <t>PISA-F3, PISA-F4</t>
  </si>
  <si>
    <t>1.8. Comprobación experimental y cálculo de la rapidez de salida de un líquido según el teorema de Torricelli.</t>
  </si>
  <si>
    <t>Comprobación y cálculo del mismo teorema con el mismo montaje.</t>
  </si>
  <si>
    <t>7-9-F07</t>
  </si>
  <si>
    <t>T1180-G09-CIE · 9.° · 1.10. Medición de magnitudes físicas que permitan calcular la viscosidad de un fluido.
T1181-G09-CIE · 9.° · 1.11. Comprobación experimental de la ley de Stokes.</t>
  </si>
  <si>
    <t>PISA-F1, PISA-F3</t>
  </si>
  <si>
    <t>1.10. Medición de magnitudes para calcular la viscosidad y comprobación experimental de la ley de Stokes.</t>
  </si>
  <si>
    <t>Medir viscosidad y comprobar Stokes usan el mismo experimento.</t>
  </si>
  <si>
    <t>7-9-F08</t>
  </si>
  <si>
    <t>2. Calor y temperatura</t>
  </si>
  <si>
    <t>T1191-G09-CIE · 9.° · 2.9. Experimentación con un proceso irreversible de extracción de calor por medio de traba
T1192-G09-CIE · 9.° · 2.10. Resolución de problemas acerca de la máxima eficiencia posible en una reversión parc</t>
  </si>
  <si>
    <t>PISA-F4</t>
  </si>
  <si>
    <t>2.9. Experimentación y resolución de problemas sobre procesos irreversibles y eficiencia máxima de máquinas térmicas.</t>
  </si>
  <si>
    <t>Ambos trabajan la segunda ley; experimento y cálculo se integran.</t>
  </si>
  <si>
    <t>7-9-F09</t>
  </si>
  <si>
    <t>T1183-G09-CIE · 9.° · 2.1. Experimentación con cambios de fase en sustancias puras.
T1184-G09-CIE · 9.° · 2.2. Elaboración de un gráfico de temperatura versus tiempo de una sustancia a partir de d</t>
  </si>
  <si>
    <t>PISA-F1, PISA-F4</t>
  </si>
  <si>
    <t>2.1. Experimentación con cambios de fase y elaboración del gráfico temperatura-tiempo a partir de los datos.</t>
  </si>
  <si>
    <t>El gráfico se construye con los datos del mismo experimento.</t>
  </si>
  <si>
    <t>7-9-F10</t>
  </si>
  <si>
    <t>T1186-G09-CIE · 9.° · 2.4. Experimentación con procesos termodinámicos en un gas ideal.
T1187-G09-CIE · 9.° · 2.5. Resolución de problemas a partir de gráficas de procesos termodinámicos.</t>
  </si>
  <si>
    <t>2.4. Experimentación con procesos termodinámicos de un gas ideal y resolución de problemas con sus gráficas.</t>
  </si>
  <si>
    <t>Mismo contenido (procesos termodinámicos), experimental y gráfico.</t>
  </si>
  <si>
    <t>7-9-F11</t>
  </si>
  <si>
    <t>3. Equilibrio químico</t>
  </si>
  <si>
    <t>T1207-G09-CIE · 9.° · 3.15. Análisis de la función de las soluciones buffer.
T1208-G09-CIE · 9.° · 3.16. Comprobación experimental del efecto amortiguador de pH de las soluciones buffer.
T1209-G09-CIE · 9.° · 3.17. Reconocimiento de aplicaciones y ocurrencia natural de las soluciones buffer.</t>
  </si>
  <si>
    <t>PISA-F2</t>
  </si>
  <si>
    <t>3.15. Análisis, comprobación experimental y aplicaciones naturales de las soluciones buffer.</t>
  </si>
  <si>
    <t>Tres temas sobre buffer caben en una secuencia de una sesión.</t>
  </si>
  <si>
    <t>7-9-F12</t>
  </si>
  <si>
    <t>T1200-G09-CIE · 9.° · 3.8. Indagación del concepto y las características de ácidos y bases.
T1201-G09-CIE · 9.° · 3.9. Identificación de ácidos y bases según las teorías de Arrhenius, Bronsted-Lowry y Lew</t>
  </si>
  <si>
    <t>3.8. Indagación del concepto de ácidos y bases según las teorías de Arrhenius, Brønsted-Lowry y Lewis.</t>
  </si>
  <si>
    <t>Concepto y teorías ácido-base se enseñan juntos.</t>
  </si>
  <si>
    <t>7-9-F13</t>
  </si>
  <si>
    <t>T1202-G09-CIE · 9.° · 3.10. Extracción de un indicador natural para la identificación cualitativa de ácidos y ba
T1204-G09-CIE · 9.° · 3.12. Clasificación de soluciones en neutras, ácidas y básicas.</t>
  </si>
  <si>
    <t>3.10. Clasificación de soluciones en neutras, ácidas y básicas con un indicador natural extraído.</t>
  </si>
  <si>
    <t>El indicador natural sirve precisamente para clasificar soluciones.</t>
  </si>
  <si>
    <t>7-9-F14</t>
  </si>
  <si>
    <t>T1205-G09-CIE · 9.° · 3.13. Reconocimiento de ácidos y bases fuertes y débiles de acuerdo con su disociación en 
T1206-G09-CIE · 9.° · 3.14. Expresión de las constantes de ionización de ácidos y bases.</t>
  </si>
  <si>
    <t>3.13. Reconocimiento de ácidos y bases fuertes y débiles por su disociación y sus constantes de ionización.</t>
  </si>
  <si>
    <t>La constante de ionización cuantifica la disociación; mismo contenido.</t>
  </si>
  <si>
    <t>7-9-F15</t>
  </si>
  <si>
    <t>T1195-G09-CIE · 9.° · 3.3. Identificación del tipo de equilibrio químico y la expresión de la constante de equil
T1198-G09-CIE · 9.° · 3.6. Representación de la constante de equilibrio a partir de ecuaciones de reacción quími</t>
  </si>
  <si>
    <t>3.3. Identificación del tipo de equilibrio y representación de la constante de equilibrio a partir de ecuaciones químicas.</t>
  </si>
  <si>
    <t>Ambos escriben la expresión de la constante de equilibrio.</t>
  </si>
  <si>
    <t>7-9-F16</t>
  </si>
  <si>
    <t>7. Magnetismo aplicado</t>
  </si>
  <si>
    <t>T1256-G09-CIE · 9.° · 7.3. Indagación de aplicaciones magnéticas en el diagnóstico y los tratamientos médicos.
T1257-G09-CIE · 9.° · 7.4. Explicación de los fenómenos magnéticos involucrados en equipos de uso médico.</t>
  </si>
  <si>
    <t>7.3. Indagación y explicación de los fenómenos magnéticos en equipos de diagnóstico y tratamiento médico.</t>
  </si>
  <si>
    <t>Mismo contenido (tecnologías médicas magnéticas), indagar y explicar.</t>
  </si>
  <si>
    <t>7-9-F17</t>
  </si>
  <si>
    <t>T1258-G09-CIE · 9.° · 7.5. Construcción de un motor de corriente directa.
T1259-G09-CIE · 9.° · 7.6. Explicación del funcionamiento del motor de corriente directa.</t>
  </si>
  <si>
    <t>7.5. Construcción y explicación del funcionamiento de un motor de corriente directa.</t>
  </si>
  <si>
    <t>Construir el motor exige explicar su funcionamiento.</t>
  </si>
  <si>
    <t>7-9-F18</t>
  </si>
  <si>
    <t>6. Electricidad</t>
  </si>
  <si>
    <t>T1244-G09-CIE · 9.° · 6.5. Construcción de un circuito eléctrico funcional que incluya diversos componentes elec
T1245-G09-CIE · 9.° · 6.6. Explicación del funcionamiento de algunos componentes electrónicos.</t>
  </si>
  <si>
    <t>6.5. Construcción de un circuito con componentes electrónicos y explicación de su funcionamiento.</t>
  </si>
  <si>
    <t>Los componentes se explican al montarlos en el circuito.</t>
  </si>
  <si>
    <t>7-9-F19</t>
  </si>
  <si>
    <t>T1241-G09-CIE · 9.° · 6.2. Experimentación con las características del campo y la fuerza eléctrica.
T1242-G09-CIE · 9.° · 6.3. Cálculo de la fuerza eléctrica considerando cargas puntuales en una dimensión.</t>
  </si>
  <si>
    <t>6.2. Experimentación con el campo y la fuerza eléctrica y cálculo para cargas puntuales en una dimensión.</t>
  </si>
  <si>
    <t>Ley de Coulomb: experiencia y cálculo del mismo concepto.</t>
  </si>
  <si>
    <t>7-9-F20</t>
  </si>
  <si>
    <t>T1189-G09-CIE · 9.° · 2.7. Elaboración de dispositivos que transformen el calor en trabajo mecánico.
T1190-G09-CIE · 9.° · 2.8. Resolución de problemas empleando la Primera ley de la termodinámica.</t>
  </si>
  <si>
    <t>2.7. Elaboración de dispositivos que transforman calor en trabajo y resolución de problemas con la primera ley.</t>
  </si>
  <si>
    <t>Ambos aplican la primera ley; el dispositivo da datos para problemas.</t>
  </si>
  <si>
    <t>7-9-F21</t>
  </si>
  <si>
    <t>T1171-G09-CIE · 9.° · 1.1. Determinación experimental de las propiedades de un fluido que ejerce empuje sobre un
T1172-G09-CIE · 9.° · 1.2. Cálculo experimental del peso aparente de un objeto sumergido en un líquido a partir 
T1173-G09-CIE · 9.° · 1.3. Presentación de resultados experimentales considerando el error de la medida.</t>
  </si>
  <si>
    <t>1.1. Determinación experimental del empuje y del peso aparente, presentando resultados con el error de la medida.</t>
  </si>
  <si>
    <t>Tres temas del mismo experimento de Arquímedes.</t>
  </si>
  <si>
    <t>7-9-F22</t>
  </si>
  <si>
    <t>T1197-G09-CIE · 9.° · 3.5. Predicción del desplazamiento de la reacción aplicando el principio de Le Châtelier.
T1210-G09-CIE · 9.° · 3.18. Aplicación experimental del principio de Le Châtelier en el equilibrio ácido base.</t>
  </si>
  <si>
    <t>3.5. Predicción y aplicación experimental del principio de Le Châtelier, incluido el equilibrio ácido-base.</t>
  </si>
  <si>
    <t>Mismo principio; el caso ácido-base es una aplicación.</t>
  </si>
  <si>
    <t>7-9-F23</t>
  </si>
  <si>
    <t>T1194-G09-CIE · 9.° · 3.2. Identificación experimental de los factores que afecta la rapidez de reacción.
T1196-G09-CIE · 9.° · 3.4. Identificación experimental de los factores que afecta el equilibrio químico.</t>
  </si>
  <si>
    <t>3.2. Identificación experimental de factores que afectan la rapidez de reacción y el equilibrio químico.</t>
  </si>
  <si>
    <t>Factores (concentración, temperatura) son los mismos; contenidos cercanos.</t>
  </si>
  <si>
    <t>7-9-F24</t>
  </si>
  <si>
    <t>2.7. Experimentación con la conservación de la energía mecánica e interpretación de las gráficas de energía obtenidas.</t>
  </si>
  <si>
    <t>7-9-F25</t>
  </si>
  <si>
    <t>3.2. Experimentación con la transformación de energía del péndulo simple e interpretación de sus gráficas de energía.</t>
  </si>
  <si>
    <t>Mismo sistema (péndulo) y mismo contenido energético.</t>
  </si>
  <si>
    <t>7-9-F26</t>
  </si>
  <si>
    <t>3.5. Diseño y realización de un experimento para calcular una altura con el período de un péndulo simple.</t>
  </si>
  <si>
    <t>Diseñar y realizar el mismo experimento; duplicación clara.</t>
  </si>
  <si>
    <t>7-9-F27</t>
  </si>
  <si>
    <t>1.12. Experimentación con el cambio del momento lineal de objetos en función de la fuerza y el tiempo.</t>
  </si>
  <si>
    <t>Ambos experimentan el cambio de momento lineal (impulso).</t>
  </si>
  <si>
    <t>7-9-F28</t>
  </si>
  <si>
    <t xml:space="preserve">T1118-G08-CIE · 8.° · 4.4. Reconocimiento del significado del número de Avogadro.
T1119-G08-CIE · 8.° · 4.5. Cálculo de la cantidad de partículas y moles de una sustancia empleando el número de </t>
  </si>
  <si>
    <t>4.4. Reconocimiento del número de Avogadro y cálculo de partículas y moles de una sustancia.</t>
  </si>
  <si>
    <t>Significado y uso del número de Avogadro en una sesión.</t>
  </si>
  <si>
    <t>7-9-F29</t>
  </si>
  <si>
    <t>T1121-G08-CIE · 8.° · 4.7. Ejecución de cálculos estequiométricos para determinar cantidades de sustancia en gra
T1122-G08-CIE · 8.° · 4.8. Interpretación de resultados de cálculos estequiométricos.</t>
  </si>
  <si>
    <t>4.7. Ejecución e interpretación de cálculos estequiométricos de cantidades de sustancia en gramos.</t>
  </si>
  <si>
    <t>Calcular e interpretar el mismo cálculo estequiométrico.</t>
  </si>
  <si>
    <t>7-9-F30</t>
  </si>
  <si>
    <t>T1130-G08-CIE · 8.° · 4.16. Experimentación con los factores que afectan la solubilidad.
T1131-G08-CIE · 8.° · 4.17. Representación del comportamiento de las partículas según los factores que afectan l</t>
  </si>
  <si>
    <t>4.16. Experimentación con los factores de la solubilidad y representación del comportamiento de las partículas.</t>
  </si>
  <si>
    <t>El modelo de partículas explica el resultado del experimento.</t>
  </si>
  <si>
    <t>7-9-F31</t>
  </si>
  <si>
    <t>4.12. Identificación de dispersiones químicas cotidianas, sus tipos y aplicaciones.</t>
  </si>
  <si>
    <t>Identificar y explorar tipos de dispersiones se solapa.</t>
  </si>
  <si>
    <t>7-9-F32</t>
  </si>
  <si>
    <t>T1127-G08-CIE · 8.° · 4.13. Clasificación de las dispersiones químicas de acuerdo con sus propiedades.
T1129-G08-CIE · 8.° · 4.15. Clasificación de las soluciones químicas con base en la cantidad de soluto.</t>
  </si>
  <si>
    <t>4.13. Clasificación de las dispersiones por sus propiedades y de las soluciones según la cantidad de soluto.</t>
  </si>
  <si>
    <t>Dos clasificaciones contiguas del mismo contenido.</t>
  </si>
  <si>
    <t>7-9-F33</t>
  </si>
  <si>
    <t>4.1. Identificación de unidades físicas de concentración en sustancias cotidianas y sus aplicaciones industriales y ambientales.</t>
  </si>
  <si>
    <t>Identificar y explorar aplicaciones de las mismas unidades.</t>
  </si>
  <si>
    <t>7-9-F34</t>
  </si>
  <si>
    <t>T1123-G08-CIE · 8.° · 4.9. Identificación de las unidades químicas de concentración en sustancias de uso cotidia
T1125-G08-CIE · 8.° · 4.11. Reconocimiento de las aplicaciones industriales de las unidades químicas de concentr</t>
  </si>
  <si>
    <t>4.9. Identificación de unidades químicas de concentración en sustancias cotidianas y sus aplicaciones industriales.</t>
  </si>
  <si>
    <t>Mismo patrón que unidades físicas: identificar y aplicar.</t>
  </si>
  <si>
    <t>7-9-F35</t>
  </si>
  <si>
    <t>T1095-G08-CIE · 8.° · 2.4. Indagación del concepto de trabajo de rotación.
T1096-G08-CIE · 8.° · 2.5. Experimentación con el momento de inercia en objetos con movimiento rotacional.</t>
  </si>
  <si>
    <t>2.4. Indagación del trabajo de rotación y experimentación con el momento de inercia.</t>
  </si>
  <si>
    <t>Ambos son dinámica rotacional en la misma unidad.</t>
  </si>
  <si>
    <t>7-9-F36</t>
  </si>
  <si>
    <t>T1085-G08-CIE · 8.° · 1.8. Resolución de problemas acerca del movimiento rectilíneo emplendo interpretación de g
T1086-G08-CIE · 8.° · 1.9. Resolución de problemas acerca del movimiento parabólico emplendo interpretación de g</t>
  </si>
  <si>
    <t>1.8. Resolución de problemas de movimiento rectilíneo y parabólico mediante interpretación de gráficas.</t>
  </si>
  <si>
    <t>Misma técnica (gráficas) en 1D y 2D.</t>
  </si>
  <si>
    <t>7-9-F37</t>
  </si>
  <si>
    <t>T1087-G08-CIE · 8.° · 1.10. Reconocimiento del torque como la causa del equilbrio rotacional.
T1088-G08-CIE · 8.° · 1.11. Cálculo de magnitudes cinemáticas del movimiento circular uniforme a partir de resul</t>
  </si>
  <si>
    <t>1.10. Reconocimiento del torque como causa del equilibrio rotacional y cálculo de magnitudes del movimiento circular uniforme.</t>
  </si>
  <si>
    <t>Misma unidad de rotación, pero contenidos distintos; costo pedagógico mayor.</t>
  </si>
  <si>
    <t>7-9-R05</t>
  </si>
  <si>
    <t>T1260-G09-CIE · 9.° · 7.7. Comparación entre las tecnologías del motor eléctrico y el motor de combustión intern</t>
  </si>
  <si>
    <t>7.7. Comparación entre las tecnologías del motor eléctrico y el motor de combustión interna.</t>
  </si>
  <si>
    <t>Físicos: 9.° sobra (-27.9), 7.° falta (+17.3); encaja con energías no renovables.</t>
  </si>
  <si>
    <t>7-9-R06</t>
  </si>
  <si>
    <t>T1212-G09-CIE · 9.° · 3.20. Reconocimiento de las medidas para el manejo y tratamiento de ácidos y bases en func</t>
  </si>
  <si>
    <t>3.20. Reconocimiento de las medidas para el manejo y tratamiento de ácidos y bases en función de sus propiedades.</t>
  </si>
  <si>
    <t>Manejo de ácidos y bases encaja con hidróxidos y oxácidos; equilibra físicos.</t>
  </si>
  <si>
    <t>7-9-R01</t>
  </si>
  <si>
    <t>T1007-G07-CIE · 7.° · 2.9. Investigación de enfermedades humanas causadas por alelos defectuosos.</t>
  </si>
  <si>
    <t>2.9. Investigación de enfermedades humanas causadas por alelos defectuosos.</t>
  </si>
  <si>
    <t>Sistemas vivos: 7.° sobra (-17.7), 9.° falta (+28.1); enfermedades genéticas encajan en salud.</t>
  </si>
  <si>
    <t>7-9-R02</t>
  </si>
  <si>
    <t>T1010-G07-CIE · 7.° · 2.12. Investigación de enfermedades humanas causadas por mutaciones cromosómicas.</t>
  </si>
  <si>
    <t>2.12. Investigación de enfermedades humanas causadas por mutaciones cromosómicas.</t>
  </si>
  <si>
    <t>Equilibra vivos entre 7.° y 9.°; mutaciones cromosómicas como tema de salud.</t>
  </si>
  <si>
    <t>7-9-R03</t>
  </si>
  <si>
    <t>T1015-G07-CIE · 7.° · 2.17. Diseño de un procedimiento para el mejoramiento genético de organismos.</t>
  </si>
  <si>
    <t>PISA-V2, PISA-V5</t>
  </si>
  <si>
    <t>2.17. Diseño de un procedimiento para el mejoramiento genético de organismos.</t>
  </si>
  <si>
    <t>Mejoramiento genético encaja con biotecnología en 9.°; equilibra vivos.</t>
  </si>
  <si>
    <t>7-9-R04</t>
  </si>
  <si>
    <t>T1013-G07-CIE · 7.° · 2.15. Descripción del proceso de resistencia bacteriana ante un antibiótico.</t>
  </si>
  <si>
    <t>PISA-V5, PISA-V1</t>
  </si>
  <si>
    <t>2.15. Descripción del proceso de resistencia bacteriana ante un antibiótico.</t>
  </si>
  <si>
    <t>Resistencia a antibióticos enlaza microorganismos y salud en 9.°.</t>
  </si>
  <si>
    <t>Cómo se calcula: El «presupuesto» es el número de temas de cada ciclo, que se mantiene. Se FUSIONAN temas que se repiten en el área que sobra (libera espacio) y se INSERTAN temas en el área que falta (usa ese espacio). CUÁNTOS: fórmula sobre la brecha del ciclo (TIMSS - Balance por ciclo y PISA - Contenidos; si el área está «En meta» no se toca). CUÁLES: candidatos propuestos por IA leyendo los temas, en orden de prioridad; «Entra» = está dentro de los N necesarios. Inserción por COBERTURA = objetivo que nadie trabaja, aunque su área sobre: siempre entra y se paga con una fusión extra de la misma área. REUBICAR = mover un tema de grado dentro del ciclo (no cambia el total; equilibra grados y adelanta lo que otros países enseñan antes).</t>
  </si>
  <si>
    <t>TIMSS - Balance por ciclo</t>
  </si>
  <si>
    <t>Balance de contenidos por ciclo (comparación acumulada, la más fiel a TIMSS)</t>
  </si>
  <si>
    <t>Tolerancia para considerar «en meta» (± puntos porcentuales):</t>
  </si>
  <si>
    <r>
      <rPr>
        <sz val="11"/>
        <color indexed="13"/>
        <rFont val="Arial"/>
      </rPr>
      <t xml:space="preserve">TIMSS 2027
</t>
    </r>
    <r>
      <rPr>
        <sz val="11"/>
        <color indexed="13"/>
        <rFont val="Arial"/>
      </rPr>
      <t xml:space="preserve">OJO · TIMSS 4.° (2.°–4.°): faltan 9 temas de Ciencias físicas y sobran 12 de Biología.
</t>
    </r>
    <r>
      <rPr>
        <sz val="11"/>
        <color indexed="13"/>
        <rFont val="Arial"/>
      </rPr>
      <t xml:space="preserve">BIEN · TIMSS 8.° (5.°–8.°): los 4 dominios están en meta.
</t>
    </r>
    <r>
      <rPr>
        <sz val="11"/>
        <color indexed="13"/>
        <rFont val="Arial"/>
      </rPr>
      <t xml:space="preserve">OJO · TIMSS Advanced (Física 10.°–11.°): faltan 9 temas de Mecánica y termodinámica y sobran 15 de Ondas y física atómica/nuclear.
</t>
    </r>
    <r>
      <rPr>
        <sz val="11"/>
        <color indexed="13"/>
        <rFont val="Arial"/>
      </rPr>
      <t>→ Esta es la comparación más justa: TIMSS evalúa lo acumulado, no cada grado. PISA: hoja «PISA - Contenidos».</t>
    </r>
  </si>
  <si>
    <t>Dominio</t>
  </si>
  <si>
    <t>Temas actuales en el dominio</t>
  </si>
  <si>
    <t>Temas evaluables del grupo (sin «fuera»)</t>
  </si>
  <si>
    <t>% actual</t>
  </si>
  <si>
    <t>Meta TIMSS (%)</t>
  </si>
  <si>
    <t>Temas esperados según meta</t>
  </si>
  <si>
    <t>Brecha (temas): + faltan / − sobran</t>
  </si>
  <si>
    <t>Brecha (pp)</t>
  </si>
  <si>
    <t>Escala para cumplir sin quitar temas (total evaluables)</t>
  </si>
  <si>
    <t>Temas a AGREGAR para llegar a la meta sin quitar</t>
  </si>
  <si>
    <t>Temas «fuera del marco» del grupo</t>
  </si>
  <si>
    <t>Desvío |actual − meta| (fila) · COINCIDENCIA con la meta (fila total)</t>
  </si>
  <si>
    <t>Sobran 12 temas</t>
  </si>
  <si>
    <t>En meta</t>
  </si>
  <si>
    <t>Total del grupo</t>
  </si>
  <si>
    <t>Mecánica y termodinámica</t>
  </si>
  <si>
    <t>Electricidad y magnetismo</t>
  </si>
  <si>
    <t>Ondas y física atómica/nuclear</t>
  </si>
  <si>
    <t>Sobran 15 temas</t>
  </si>
  <si>
    <t>Cómo se calcula: TIMSS 4.° evalúa lo aprendido hasta 4.° grado → se compara con el acumulado de 2.° a 4.° (1.° grado no tiene malla). TIMSS 8.° evalúa lo aprendido hasta 8.° → acumulado de 5.° a 8.°. 9.° se muestra contra TIMSS 8.° solo como referencia. Física de Bachillerato se compara con TIMSS Advanced 2015 (Física). Química y Biología de Bachillerato no tienen marco TIMSS de contenido.</t>
  </si>
  <si>
    <t>TIMSS - Balance por grado</t>
  </si>
  <si>
    <t>Balance de contenidos por grado frente a las metas de TIMSS</t>
  </si>
  <si>
    <r>
      <rPr>
        <sz val="11"/>
        <color indexed="13"/>
        <rFont val="Arial"/>
      </rPr>
      <t xml:space="preserve">TIMSS 2027
</t>
    </r>
    <r>
      <rPr>
        <sz val="11"/>
        <color indexed="13"/>
        <rFont val="Arial"/>
      </rPr>
      <t xml:space="preserve">● 2.°–8.°: la mayor falta es 19 temas de Biología en 5.°; la mayor sobra, 15 de Biología en 7.°.
</t>
    </r>
    <r>
      <rPr>
        <sz val="11"/>
        <color indexed="13"/>
        <rFont val="Arial"/>
      </rPr>
      <t>● Por grado las brechas se compensan entre grados: decide con «TIMSS - Balance por ciclo».</t>
    </r>
  </si>
  <si>
    <t>Sobran 6 temas</t>
  </si>
  <si>
    <t>Faltan 4 temas</t>
  </si>
  <si>
    <t>Sobran 5 temas</t>
  </si>
  <si>
    <t>Sobran 10 temas</t>
  </si>
  <si>
    <t>Faltan 13 temas</t>
  </si>
  <si>
    <t>Sobran 3 temas</t>
  </si>
  <si>
    <t>Faltan 19 temas</t>
  </si>
  <si>
    <t>Sobran 7 temas</t>
  </si>
  <si>
    <t>Sobran 8 temas</t>
  </si>
  <si>
    <t>Faltan 8 temas</t>
  </si>
  <si>
    <t>Faltan 6 temas</t>
  </si>
  <si>
    <t>Sobran 14 temas</t>
  </si>
  <si>
    <t>Faltan 15 temas</t>
  </si>
  <si>
    <t>Sobran 35 temas</t>
  </si>
  <si>
    <t>Faltan 20 temas</t>
  </si>
  <si>
    <t>Faltan 44 temas</t>
  </si>
  <si>
    <t>Sobran 13 temas</t>
  </si>
  <si>
    <t>Sobran 30 temas</t>
  </si>
  <si>
    <t>Cómo se calcula: Cómo leerlo: «% actual» = temas del dominio ÷ temas evaluables del grado (se excluyen los «fuera del marco»). «Brecha (temas)» = meta × evaluables − actuales: positivo = faltan temas en ese dominio si se redistribuye la misma carga; negativo = sobran. «Temas a AGREGAR» = cuántos temas habría que sumar a cada dominio para cumplir todas las metas SIN quitar ninguno (la escala la fija el dominio más sobrerrepresentado). Ojo: TIMSS fija pesos para la prueba acumulada (4.° y 8.°); aplicarlos a cada grado es una aproximación. La hoja TIMSS - Balance por ciclo hace la comparación acumulada.</t>
  </si>
  <si>
    <t>TIMSS - Semáforo de objetivos</t>
  </si>
  <si>
    <t>Amplitud: ¿qué objetivos TIMSS cubre la malla y en qué grado?</t>
  </si>
  <si>
    <t>TIMSS 2027 (2.°–8.°) y TIMSS Advanced (Física)
OJO · Rojo: 4 objetivos de TIMSS sin ningún tema. Amarillo: 7 con un solo tema.
● Cubiertos: 99 de 103 objetivos. «N/A» = ese grado no lo evalúa ese TIMSS (no es un problema).
→ Filtra «Estado» por rojo o amarillo; la última columna dice qué hacer. Lo de PISA está en «PISA - Contenidos».</t>
  </si>
  <si>
    <t>Código</t>
  </si>
  <si>
    <t>Área temática</t>
  </si>
  <si>
    <t>Objetivo</t>
  </si>
  <si>
    <t>Total temas en su ciclo</t>
  </si>
  <si>
    <t>Como principal (todos los grados)</t>
  </si>
  <si>
    <t>Estado en su ciclo (semáforo)</t>
  </si>
  <si>
    <t>Primer grado donde aparece (en su ciclo)</t>
  </si>
  <si>
    <t>Qué hacer · dónde aparece hoy</t>
  </si>
  <si>
    <t>T4_27</t>
  </si>
  <si>
    <t>Características y procesos vitales de los organismos</t>
  </si>
  <si>
    <t>Diferencias entre seres vivos y no vivos, y lo que los seres vivos necesitan para vivir</t>
  </si>
  <si>
    <t>N/A</t>
  </si>
  <si>
    <t>Sólida (4+)</t>
  </si>
  <si>
    <r>
      <rPr>
        <sz val="10"/>
        <color indexed="8"/>
        <rFont val="Arial"/>
      </rPr>
      <t>2°</t>
    </r>
  </si>
  <si>
    <t>Hoy: 2° U4 (3); 2° U5 (2); 3° U2 (1); 3° U3 (1); 3° U5 (1); 3° U6 (2); 4° U2 (1); 4° U3 (2)</t>
  </si>
  <si>
    <t>Rasgos físicos y de conducta de los grandes grupos de seres vivos</t>
  </si>
  <si>
    <t>Hoy: 2° U4 (5); 3° U4 (3); 3° U5 (9); 3° U6 (1)</t>
  </si>
  <si>
    <t>Funciones de las estructuras principales de animales y plantas</t>
  </si>
  <si>
    <t>Hoy: 2° U4 (1); 3° U4 (4); 3° U5 (1); 4° U5 (9); 4° U6 (9)</t>
  </si>
  <si>
    <t>T4_27-B1.4</t>
  </si>
  <si>
    <t>Obtención de alimento y respuesta de los seres vivos a cambios externos</t>
  </si>
  <si>
    <t>Hoy: 2° U4 (2); 3° U4 (3); 3° U5 (2); 4° U5 (2); 4° U6 (1)</t>
  </si>
  <si>
    <t>T4_27-B2.1</t>
  </si>
  <si>
    <t>Ciclos de vida, reproducción y herencia</t>
  </si>
  <si>
    <t>Etapas y diferencias de los ciclos de vida de plantas y animales comunes</t>
  </si>
  <si>
    <t>Básica (2–3)</t>
  </si>
  <si>
    <t>Hoy: 2° U4 (1); 3° U5 (1) · Propuesta 2-4-I20 (Presupuesto): 3.° · Comparación de rasgos heredados y no heredados entre crías y progenitores, y de estrategias que favorecen la supervivencia de la descendencia (muchas semillas, cuidado de crías).</t>
  </si>
  <si>
    <t>T4_27-B2.2</t>
  </si>
  <si>
    <t>Herencia y estrategias de reproducción</t>
  </si>
  <si>
    <t>No</t>
  </si>
  <si>
    <t>No cubierto</t>
  </si>
  <si>
    <t>Hoy: ningún tema de 2.°–9.° lo trabaja. · Propuesta 2-4-I20 (Presupuesto): 3.° · Comparación de rasgos heredados y no heredados entre crías y progenitores, y de estrategias que favorecen la supervivencia de la descendencia (muchas semillas, cuidado de crías).</t>
  </si>
  <si>
    <t>T4_27-B3.1</t>
  </si>
  <si>
    <t>Diversidad y adaptación</t>
  </si>
  <si>
    <t>Rasgos físicos y conductas que ayudan a sobrevivir en el ambiente</t>
  </si>
  <si>
    <t>Hoy: 2° U4 (2)</t>
  </si>
  <si>
    <t>Ecosistemas</t>
  </si>
  <si>
    <t>Ecosistemas comunes</t>
  </si>
  <si>
    <t>Hoy: 2° U4 (3); 4° U3 (5)</t>
  </si>
  <si>
    <t>T4_27-B4.2</t>
  </si>
  <si>
    <t>Relaciones en los ecosistemas</t>
  </si>
  <si>
    <r>
      <rPr>
        <sz val="10"/>
        <color indexed="8"/>
        <rFont val="Arial"/>
      </rPr>
      <t>3°</t>
    </r>
  </si>
  <si>
    <t>Hoy: 3° U6 (1); 4° U3 (4)</t>
  </si>
  <si>
    <t>T4_27-B4.3</t>
  </si>
  <si>
    <t>Impacto humano en los ecosistemas</t>
  </si>
  <si>
    <t>Hoy: 2° U4 (1); 2° U5 (1); 2° U6 (3); 3° U3 (1)</t>
  </si>
  <si>
    <t>T4_27-B5.1</t>
  </si>
  <si>
    <t>Salud humana</t>
  </si>
  <si>
    <t>Transmisión y prevención de enfermedades</t>
  </si>
  <si>
    <t>Hoy: 2° U6 (3); 3° U6 (5); 4° U2 (1)</t>
  </si>
  <si>
    <t>Hábitos para mantener una buena salud</t>
  </si>
  <si>
    <t>Hoy: 2° U6 (1); 4° U2 (10); 4° U5 (2); 4° U6 (1)</t>
  </si>
  <si>
    <t>T4_27-B6.1</t>
  </si>
  <si>
    <t>Investigaciones biológicas</t>
  </si>
  <si>
    <t>Rasgos y equipo de una investigación biológica</t>
  </si>
  <si>
    <t>Hoy: 2° U4 (1); 3° U3 (1); 3° U4 (2); 3° U5 (2); 3° U6 (5); 4° U2 (1); 4° U6 (1)</t>
  </si>
  <si>
    <t>Propiedades y cambios de la materia</t>
  </si>
  <si>
    <t>Estados de la materia</t>
  </si>
  <si>
    <t>Hoy: 2° U1 (1); 3° U2 (1) · Propuesta 2-4-I05 (Presupuesto): 3.° · Comparación de la forma y el volumen de sólidos, líquidos y gases, y relación de la temperatura con los cambios de estado del agua.</t>
  </si>
  <si>
    <t>T4_27-P1.2</t>
  </si>
  <si>
    <t>Propiedades físicas para clasificar la materia</t>
  </si>
  <si>
    <t>Hoy: 2° U1 (5); 2° U2 (1); 3° U3 (1) · Propuesta 2-4-I02 (Presupuesto): 4.° · Experimentación con la transferencia de calor entre objetos calientes y fríos en contacto, y con materiales conductores y aislantes térmicos de uso cotidiano.</t>
  </si>
  <si>
    <t>T4_27-P1.3</t>
  </si>
  <si>
    <t>Cambios físicos y químicos en la vida diaria</t>
  </si>
  <si>
    <t>Hoy: 2° U1 (3); 3° U2 (5); 3° U3 (6); 3° U6 (1)</t>
  </si>
  <si>
    <t>T4_27-P2.1</t>
  </si>
  <si>
    <t>Energía y transferencia de energía</t>
  </si>
  <si>
    <t>Usos de la energía en la vida diaria</t>
  </si>
  <si>
    <t>Hoy: 2° U2 (4); 2° U5 (1); 4° U1 (3)</t>
  </si>
  <si>
    <t>T4_27-P2.2</t>
  </si>
  <si>
    <t>Calentamiento y enfriamiento</t>
  </si>
  <si>
    <t>Débil (1 tema)</t>
  </si>
  <si>
    <t>Hoy: 2° U2 (1) · Propuesta 2-4-I02 (Presupuesto): 4.° · Experimentación con la transferencia de calor entre objetos calientes y fríos en contacto, y con materiales conductores y aislantes térmicos de uso cotidiano.</t>
  </si>
  <si>
    <t>Luz y sonido</t>
  </si>
  <si>
    <t>La luz en la vida diaria</t>
  </si>
  <si>
    <t>Hoy: 2° U2 (2) · Propuesta 2-4-I06 (Presupuesto): 4.° · Experimentación con la formación de sombras, la reflexión de la luz en espejos y la descomposición de la luz blanca (arcoíris).</t>
  </si>
  <si>
    <t>El sonido en la vida diaria</t>
  </si>
  <si>
    <t>Hoy: 2° U2 (1) · Propuesta 2-4-I03 (Presupuesto): 4.° · Experimentación con la propagación del sonido en el aire, el agua y los sólidos (teléfono de vasos) y la formación del eco.</t>
  </si>
  <si>
    <t>Electricidad y dispositivos eléctricos sencillos</t>
  </si>
  <si>
    <t>Hoy: 2° U2 (1); 4° U1 (2) · Propuesta 2-4-I01 (Presupuesto): 4.° · Construcción de circuitos eléctricos sencillos con pila, cables y bombillo, comparando circuitos abiertos y cerrados y su representación en diagramas.</t>
  </si>
  <si>
    <t>Atracción y repulsión magnética</t>
  </si>
  <si>
    <t>Hoy: 3° U1 (1) · Propuesta 2-4-I04 (Presupuesto): 3.° · Experimentación con imanes para identificar sus polos, la atracción y repulsión entre ellos y los objetos que atraen.</t>
  </si>
  <si>
    <t>Movimiento y fuerzas</t>
  </si>
  <si>
    <t>Fuerzas comunes y movimiento de los objetos</t>
  </si>
  <si>
    <t>Hoy: 2° U2 (1); 2° U3 (3); 3° U1 (4) · Propuesta 2-4-I10 (Presupuesto): 4.° · Experimentación con la fricción y la resistencia del aire sobre el movimiento de objetos en distintas superficies, y con la gravedad.</t>
  </si>
  <si>
    <t>T4_27-P5.2</t>
  </si>
  <si>
    <t>Máquinas simples</t>
  </si>
  <si>
    <r>
      <rPr>
        <sz val="10"/>
        <color indexed="8"/>
        <rFont val="Arial"/>
      </rPr>
      <t>4°</t>
    </r>
  </si>
  <si>
    <t>Hoy: 4° U1 (6)</t>
  </si>
  <si>
    <t>T4_27-P6.1</t>
  </si>
  <si>
    <t>Investigaciones en ciencias físicas</t>
  </si>
  <si>
    <t>Rasgos y uso de equipo en una investigación de ciencias físicas</t>
  </si>
  <si>
    <t>Hoy: 2° U1 (4); 2° U2 (1); 2° U5 (3); 3° U1 (3); 3° U2 (1); 3° U3 (2) · Propuesta 2-4-I09 (Presupuesto): 3.° · Medición con termómetro de los cambios de temperatura al mezclar o poner en contacto agua caliente y agua fría.</t>
  </si>
  <si>
    <t>Rasgos, procesos e historia de la Tierra</t>
  </si>
  <si>
    <t>Características físicas de la superficie terrestre</t>
  </si>
  <si>
    <t>Hoy: 3° U2 (1); 3° U3 (5) · Propuesta 2-4-I19 (Presupuesto): 2.° · Representación de la proporción de agua y tierra en la superficie terrestre usando un globo terráqueo, distinguiendo agua dulce y salada.</t>
  </si>
  <si>
    <t>Historia de la Tierra</t>
  </si>
  <si>
    <t>Hoy: 3° U2 (2); 4° U3 (2) · Propuesta 2-4-I14 (Presupuesto): 3.° · Indagación sobre los fósiles como evidencia de seres vivos del pasado y de cambios en la superficie terrestre.</t>
  </si>
  <si>
    <t>La atmósfera terrestre</t>
  </si>
  <si>
    <t>Tiempo atmosférico y climas</t>
  </si>
  <si>
    <t>Hoy: 2° U3 (2); 4° U3 (3) · Propuesta 2-4-I13 (Presupuesto): 2.° · Registro diario del estado del tiempo (temperatura, lluvia, nubes y viento) con símbolos y un termómetro sencillo.</t>
  </si>
  <si>
    <t>T4_27-E3.1</t>
  </si>
  <si>
    <t>Recursos de la Tierra, uso y conservación</t>
  </si>
  <si>
    <t>Recursos de la Tierra</t>
  </si>
  <si>
    <t>Hoy: 2° U2 (2); 2° U6 (2); 3° U2 (1); 3° U3 (6); 4° U2 (1)</t>
  </si>
  <si>
    <t>T4_27-E4.1</t>
  </si>
  <si>
    <t>La Tierra en el sistema solar</t>
  </si>
  <si>
    <t>Objetos del sistema solar y sus movimientos</t>
  </si>
  <si>
    <t>Hoy: 4° U4 (10)</t>
  </si>
  <si>
    <t>T4_27-E4.2</t>
  </si>
  <si>
    <t>Movimientos de la Tierra y patrones observables</t>
  </si>
  <si>
    <t>Hoy: 2° U3 (3) · Propuesta 2-4-I18 (Presupuesto): 2.° · Observación y registro de la posición del Sol y del tamaño de las sombras a lo largo del día.</t>
  </si>
  <si>
    <t>T4_27-E5.1</t>
  </si>
  <si>
    <t>Investigaciones en ciencias de la Tierra</t>
  </si>
  <si>
    <t>Uso de equipo en investigaciones de ciencias de la Tierra</t>
  </si>
  <si>
    <t>Hoy: 4° U4 (1) · Propuesta 2-4-I13 (Presupuesto): 2.° · Registro diario del estado del tiempo (temperatura, lluvia, nubes y viento) con símbolos y un termómetro sencillo.</t>
  </si>
  <si>
    <t>T8_27-B1.1</t>
  </si>
  <si>
    <t>T8_27</t>
  </si>
  <si>
    <t>Diferencias entre los grandes grupos taxonómicos</t>
  </si>
  <si>
    <r>
      <rPr>
        <sz val="10"/>
        <color indexed="8"/>
        <rFont val="Arial"/>
      </rPr>
      <t>6°</t>
    </r>
  </si>
  <si>
    <t>Hoy: 6° U5 (1); 7° U3 (11)</t>
  </si>
  <si>
    <t>T8_27-B1.2</t>
  </si>
  <si>
    <t>Estructura y función de los principales sistemas de órganos</t>
  </si>
  <si>
    <t>Hoy: 6° U5 (1); 8° U6 (2); 8° U7 (12) · Propuesta 5-8-I04 (Presupuesto): 8.° · Análisis de la dieta, la actividad física y el descanso como hábitos que mantienen sanos los sistemas digestivo, circulatorio y respiratorio.</t>
  </si>
  <si>
    <t>T8_27-B1.3</t>
  </si>
  <si>
    <t>Procesos fisiológicos en plantas y animales</t>
  </si>
  <si>
    <t>Hoy: 6° U5 (6); 8° U6 (3); 8° U7 (3)</t>
  </si>
  <si>
    <t>T8_27-B2.1</t>
  </si>
  <si>
    <t>Las células y sus funciones</t>
  </si>
  <si>
    <t>Estructura y funciones de la célula</t>
  </si>
  <si>
    <t>Hoy: 6° U5 (14); 6° U6 (4); 7° U2 (1); 8° U6 (6); 8° U7 (3)</t>
  </si>
  <si>
    <t>T8_27-B3.1</t>
  </si>
  <si>
    <t>Reproducción sexual y herencia en plantas y animales</t>
  </si>
  <si>
    <t>Hoy: 6° U6 (6); 7° U2 (14)</t>
  </si>
  <si>
    <t>T8_27-B4.1</t>
  </si>
  <si>
    <t>Diversidad, adaptación y selección natural</t>
  </si>
  <si>
    <t>La variación como base de la selección natural</t>
  </si>
  <si>
    <r>
      <rPr>
        <sz val="10"/>
        <color indexed="8"/>
        <rFont val="Arial"/>
      </rPr>
      <t>5°</t>
    </r>
  </si>
  <si>
    <t>Hoy: 5° U6 (1); 7° U2 (6); 7° U3 (1)</t>
  </si>
  <si>
    <t>T8_27-B4.2</t>
  </si>
  <si>
    <t>Evidencias del cambio de la vida en la Tierra</t>
  </si>
  <si>
    <t>Hoy: 5° U6 (3); 7° U3 (2)</t>
  </si>
  <si>
    <t>T8_27-B5.1</t>
  </si>
  <si>
    <t>Ecosistemas naturales, urbanos y rurales</t>
  </si>
  <si>
    <r>
      <rPr>
        <sz val="10"/>
        <color indexed="8"/>
        <rFont val="Arial"/>
      </rPr>
      <t>7°</t>
    </r>
  </si>
  <si>
    <t>Hoy: 7° U3 (1); 7° U4 (3); 9° U4 (2) · Propuesta 5-8-I05 (Presupuesto): 5.° · Comparación de ecosistemas naturales, rurales y urbanos de El Salvador a partir del cambio de cobertura y uso del suelo.</t>
  </si>
  <si>
    <t>Flujo de energía en los ecosistemas</t>
  </si>
  <si>
    <t>Hoy: 7° U4 (1) · Propuesta 5-8-I02 (Presupuesto): 5.° · Construcción de cadenas y redes tróficas de un ecosistema local para representar el flujo de energía entre productores, consumidores y descomponedores.</t>
  </si>
  <si>
    <t>T8_27-B5.3</t>
  </si>
  <si>
    <t>Ciclos del agua, el oxígeno y el carbono en los ecosistemas</t>
  </si>
  <si>
    <t>Hoy: 7° U4 (1) · Propuesta 5-8-I03 (Presupuesto): 5.° · Modelación de los ciclos del carbono, del oxígeno y del agua entre seres vivos, suelo y atmósfera, destacando la descomposición de la materia orgánica.</t>
  </si>
  <si>
    <t>Hoy: 7° U4 (3); 9° U4 (1)</t>
  </si>
  <si>
    <t>Factores que afectan el tamaño de las poblaciones</t>
  </si>
  <si>
    <t>Hoy: 6° U5 (1); 7° U4 (3) · Propuesta 5-8-I06 (Presupuesto): 5.° · Análisis de los factores (alimento, depredadores, enfermedades, espacio, actividad humana) que hacen variar el tamaño de una población local.</t>
  </si>
  <si>
    <t>T8_27-B5.6</t>
  </si>
  <si>
    <t>Hoy: 5° U6 (2); 7° U5 (4); 7° U6 (7); 8° U5 (1); 9° U4 (1) · Propuesta 5-8-I05 (Presupuesto): 5.° · Comparación de ecosistemas naturales, rurales y urbanos de El Salvador a partir del cambio de cobertura y uso del suelo.</t>
  </si>
  <si>
    <t>Causas, transmisión, prevención y resistencia a enfermedades</t>
  </si>
  <si>
    <t>Hoy: 7° U2 (1) · Propuesta 5-8-I01 (Presupuesto): 8.° · Indagación de las causas, formas de transmisión y prevención de enfermedades infecciosas, y del papel del sistema inmunitario, las vacunas y el uso responsable de antibióticos.</t>
  </si>
  <si>
    <t>T8_27-B6.2</t>
  </si>
  <si>
    <t>Hoy: 6° U5 (1); 7° U6 (1) · Propuesta 5-8-I04 (Presupuesto): 8.° · Análisis de la dieta, la actividad física y el descanso como hábitos que mantienen sanos los sistemas digestivo, circulatorio y respiratorio.</t>
  </si>
  <si>
    <t>T8_27-B7.1</t>
  </si>
  <si>
    <t>Hoy: 6° U5 (4); 7° U2 (1); 7° U3 (1); 7° U4 (2); 8° U6 (6)</t>
  </si>
  <si>
    <t>Composición de la materia</t>
  </si>
  <si>
    <t>Estructura de átomos y moléculas</t>
  </si>
  <si>
    <t>Hoy: 5° U3 (11); 5° U4 (3); 6° U4 (6); 8° U4 (3); 8° U5 (1)</t>
  </si>
  <si>
    <t>T8_27-C1.2</t>
  </si>
  <si>
    <t>Elementos, compuestos y mezclas</t>
  </si>
  <si>
    <t>Hoy: 5° U4 (1); 7° U1 (4); 8° U4 (3); 8° U5 (1)</t>
  </si>
  <si>
    <t>T8_27-C1.3</t>
  </si>
  <si>
    <t>La tabla periódica</t>
  </si>
  <si>
    <t>Hoy: 5° U3 (2); 5° U4 (4)</t>
  </si>
  <si>
    <t>T8_27-C2.1</t>
  </si>
  <si>
    <t>Propiedades de la materia</t>
  </si>
  <si>
    <t>Propiedades físicas y químicas para clasificar y usar materiales</t>
  </si>
  <si>
    <t>Hoy: 5° U4 (1); 6° U1 (1); 6° U4 (1); 8° U5 (2)</t>
  </si>
  <si>
    <t>Mezclas y disoluciones</t>
  </si>
  <si>
    <t>Hoy: 6° U5 (1); 8° U4 (14); 8° U5 (1)</t>
  </si>
  <si>
    <t>T8_27-C2.3</t>
  </si>
  <si>
    <t>Propiedades de ácidos y bases</t>
  </si>
  <si>
    <t>Hoy: 7° U1 (1); 7° U5 (1); 9° U3 (13)</t>
  </si>
  <si>
    <t>T8_27-C3.1</t>
  </si>
  <si>
    <t>Reacciones químicas</t>
  </si>
  <si>
    <t>Características de las reacciones químicas</t>
  </si>
  <si>
    <t>Hoy: 5° U6 (1); 6° U4 (2); 9° U3 (1)</t>
  </si>
  <si>
    <t>T8_27-C3.2</t>
  </si>
  <si>
    <t>Materia y energía en las reacciones químicas</t>
  </si>
  <si>
    <t>Hoy: 6° U4 (1); 6° U5 (1); 7° U1 (4); 8° U4 (2); 9° U3 (8)</t>
  </si>
  <si>
    <t>T8_27-C4.1</t>
  </si>
  <si>
    <t>Investigaciones químicas</t>
  </si>
  <si>
    <t>Rasgos y equipo de una investigación química</t>
  </si>
  <si>
    <t>Hoy: 7° U5 (1); 8° U4 (1); 9° U3 (3)</t>
  </si>
  <si>
    <t>Estados físicos y cambios de la materia</t>
  </si>
  <si>
    <t>Movimiento de partículas en sólidos, líquidos y gases</t>
  </si>
  <si>
    <t>Hoy: 6° U1 (2); 6° U2 (3); 6° U4 (2); 8° U4 (1); 9° U2 (2)</t>
  </si>
  <si>
    <t>T8_27-P1.2</t>
  </si>
  <si>
    <t>Cambios de estado</t>
  </si>
  <si>
    <t>Hoy: 6° U2 (1); 6° U4 (1); 8° U4 (2); 9° U2 (3)</t>
  </si>
  <si>
    <t>Transformación y transferencia de energía</t>
  </si>
  <si>
    <t>Formas de energía y conservación de la energía</t>
  </si>
  <si>
    <t>Hoy: 5° U2 (4); 7° U6 (4); 8° U2 (10); 8° U3 (3); 9° U2 (5); 9° U4 (2); 9° U6 (1); 9° U7 (2)</t>
  </si>
  <si>
    <t>T8_27-P2.2</t>
  </si>
  <si>
    <t>Transferencia de energía térmica</t>
  </si>
  <si>
    <t>Hoy: 6° U2 (2); 9° U2 (3); 9° U4 (1) · Propuesta 5-8-I12 (Presupuesto): 6.° · Experimentación con la absorción de radiación por gases de efecto invernadero y su relación con el aumento de la temperatura global.</t>
  </si>
  <si>
    <t>T8_27-P3.1</t>
  </si>
  <si>
    <t>Propiedades de la luz</t>
  </si>
  <si>
    <t>Hoy: ningún tema de 2.°–9.° lo trabaja. · Propuesta 5-8-I18 (Presupuesto): 7.° · Experimentación con la reflexión, refracción y absorción de la luz y su aprovechamiento en concentradores y calentadores solares.</t>
  </si>
  <si>
    <t>Propiedades del sonido</t>
  </si>
  <si>
    <r>
      <rPr>
        <sz val="10"/>
        <color indexed="8"/>
        <rFont val="Arial"/>
      </rPr>
      <t>8°</t>
    </r>
  </si>
  <si>
    <t>Hoy: 8° U3 (6)</t>
  </si>
  <si>
    <t>T8_27-P4.1</t>
  </si>
  <si>
    <t>Conductores y corriente en circuitos eléctricos</t>
  </si>
  <si>
    <t>Hoy: 6° U3 (7); 9° U6 (6); 9° U7 (1)</t>
  </si>
  <si>
    <t>T8_27-P4.2</t>
  </si>
  <si>
    <t>Propiedades y usos de imanes permanentes y electroimanes</t>
  </si>
  <si>
    <t>Hoy: 5° U5 (1); 6° U3 (2); 9° U7 (6)</t>
  </si>
  <si>
    <t>T8_27-P5.1</t>
  </si>
  <si>
    <t>Movimiento</t>
  </si>
  <si>
    <t>Hoy: 5° U2 (6); 8° U1 (3)</t>
  </si>
  <si>
    <t>Fuerzas comunes y sus características</t>
  </si>
  <si>
    <t>Hoy: 5° U2 (3); 8° U1 (5); 8° U3 (1); 9° U1 (1); 9° U6 (2) · Propuesta 5-8-I11 (Presupuesto): 8.° · Relación de la gravedad con las órbitas de planetas y satélites del sistema solar a partir de datos de distancia y período orbital.</t>
  </si>
  <si>
    <t>Efectos de las fuerzas</t>
  </si>
  <si>
    <t>Hoy: 5° U2 (3); 6° U1 (4); 8° U1 (5); 8° U2 (3); 9° U1 (12); 9° U4 (2)</t>
  </si>
  <si>
    <t>Investigaciones en física</t>
  </si>
  <si>
    <t>Rasgos y equipo de una investigación en física</t>
  </si>
  <si>
    <t>Hoy: 5° U1 (5); 5° U2 (1); 6° U1 (2); 6° U3 (2); 8° U1 (3); 8° U3 (5); 9° U1 (5); 9° U2 (1)</t>
  </si>
  <si>
    <t>T8_27-E1.1</t>
  </si>
  <si>
    <t>Estructura de la Tierra y distribución del agua</t>
  </si>
  <si>
    <t>Hoy: 5° U5 (2); 5° U6 (2); 7° U5 (4); 9° U4 (3); 9° U5 (1) · Propuesta 5-8-I14 (Presupuesto): 8.° · Interpretación de la propagación de las ondas sísmicas P y S para inferir las capas internas de la Tierra.</t>
  </si>
  <si>
    <t>Procesos geológicos</t>
  </si>
  <si>
    <t>Hoy: 5° U6 (14); 8° U5 (2); 9° U4 (2); 9° U5 (10) · Propuesta 5-8-I08 (Presupuesto): 8.° · Uso de lupa, escala de Mohs, brújula, GPS y libreta de campo para recolectar, medir y registrar datos de rocas y minerales del entorno.</t>
  </si>
  <si>
    <t>Componentes de la atmósfera y condiciones atmosféricas</t>
  </si>
  <si>
    <t>Hoy: 7° U5 (2) · Propuesta 5-8-I10 (Presupuesto): 6.° · Experimentación con la presión atmosférica y la composición del aire, relacionando su variación con la altitud en El Salvador.</t>
  </si>
  <si>
    <t>El ciclo del agua</t>
  </si>
  <si>
    <t>Hoy: 7° U5 (5) · Propuesta 5-8-I03 (Presupuesto): 5.° · Modelación de los ciclos del carbono, del oxígeno y del agua entre seres vivos, suelo y atmósfera, destacando la descomposición de la materia orgánica.</t>
  </si>
  <si>
    <t>T8_27-E2.3</t>
  </si>
  <si>
    <t>Tiempo atmosférico y clima</t>
  </si>
  <si>
    <t>Hoy: 7° U4 (1); 7° U5 (6); 9° U4 (4) · Propuesta 5-8-I15 (Presupuesto): 6.° · Modelación de la convección en la atmósfera para explicar la formación de vientos, brisas marinas y nubes.</t>
  </si>
  <si>
    <t>T8_27-E2.4</t>
  </si>
  <si>
    <t>Cambio climático</t>
  </si>
  <si>
    <t>Hoy: 7° U6 (3) · Propuesta 5-8-I12 (Presupuesto): 6.° · Experimentación con la absorción de radiación por gases de efecto invernadero y su relación con el aumento de la temperatura global.</t>
  </si>
  <si>
    <t>T8_27-E3.1</t>
  </si>
  <si>
    <t>Fuentes de energía</t>
  </si>
  <si>
    <t>Hoy: 7° U6 (9); 9° U7 (1) · Propuesta 5-8-I18 (Presupuesto): 7.° · Experimentación con la reflexión, refracción y absorción de la luz y su aprovechamiento en concentradores y calentadores solares.</t>
  </si>
  <si>
    <t>T8_27-E3.2</t>
  </si>
  <si>
    <t>Gestión de los recursos de la Tierra</t>
  </si>
  <si>
    <t>Hoy: 5° U6 (3); 6° U1 (1); 7° U4 (1); 7° U5 (2); 7° U6 (6); 8° U5 (3); 9° U4 (1)</t>
  </si>
  <si>
    <t>Fenómenos observables por los movimientos de la Tierra y la Luna</t>
  </si>
  <si>
    <t>Hoy: 9° U4 (1) · Propuesta 5-8-I07 (Presupuesto): 8.° · Modelación de la rotación y la traslación de la Tierra para explicar el día y la noche, la duración del año y, con la inclinación del eje, las estaciones.</t>
  </si>
  <si>
    <t>El Sol, la Tierra, la Luna y los planetas</t>
  </si>
  <si>
    <t>Hoy: 5° U5 (2); 9° U5 (1) · Propuesta 5-8-I11 (Presupuesto): 8.° · Relación de la gravedad con las órbitas de planetas y satélites del sistema solar a partir de datos de distancia y período orbital.</t>
  </si>
  <si>
    <t>T8_27-E5.1</t>
  </si>
  <si>
    <t>Equipo usado en investigaciones de ciencias de la Tierra</t>
  </si>
  <si>
    <t>Hoy: 9° U7 (1) · Propuesta 5-8-I08 (Presupuesto): 8.° · Uso de lupa, escala de Mohs, brújula, GPS y libreta de campo para recolectar, medir y registrar datos de rocas y minerales del entorno.</t>
  </si>
  <si>
    <t>TA-M1.1</t>
  </si>
  <si>
    <t>TA</t>
  </si>
  <si>
    <t>Fuerzas y movimiento</t>
  </si>
  <si>
    <t>Cinemática y leyes de Newton</t>
  </si>
  <si>
    <r>
      <rPr>
        <sz val="10"/>
        <color indexed="8"/>
        <rFont val="Arial"/>
      </rPr>
      <t>Física 10°</t>
    </r>
  </si>
  <si>
    <t>Hoy: Física 10° U3 (7); Física 10° U4 (4); Física 10° U5 (7)</t>
  </si>
  <si>
    <t>TA-M1.2</t>
  </si>
  <si>
    <t>Fuerzas sobre cuerpos y sus efectos</t>
  </si>
  <si>
    <t>Hoy: Física 10° U10 (1); Física 10° U5 (7); Física 10° U6 (1); Física 10° U7 (1); Física 11° U1 (1)</t>
  </si>
  <si>
    <t>TA-M1.3</t>
  </si>
  <si>
    <t>Movimiento circular: fuerza y aceleración centrípeta</t>
  </si>
  <si>
    <t>Hoy: Física 10° U6 (7); Física 10° U9 (1); Física 11° U10 (1)</t>
  </si>
  <si>
    <t>TA-M1.4</t>
  </si>
  <si>
    <t>Ley de gravitación y movimiento de cuerpos celestes</t>
  </si>
  <si>
    <t>Hoy: Física 10° U5 (1); Física 10° U6 (2); Física 11° U22 (2)</t>
  </si>
  <si>
    <t>TA-M2.1</t>
  </si>
  <si>
    <t>Leyes de conservación</t>
  </si>
  <si>
    <t>Conservación de la energía mecánica</t>
  </si>
  <si>
    <t>Hoy: Física 10° U10 (1); Física 10° U7 (9); Física 10° U8 (1); Física 11° U1 (1); Física 11° U8 (1)</t>
  </si>
  <si>
    <t>TA-M2.2</t>
  </si>
  <si>
    <t>Conservación del momento lineal en choques</t>
  </si>
  <si>
    <t>Hoy: Física 10° U8 (5); Física 11° U15 (1)</t>
  </si>
  <si>
    <t>TA-M2.3</t>
  </si>
  <si>
    <t>Primera ley de la termodinámica</t>
  </si>
  <si>
    <t>Hoy: Física 10° U12 (1); Física 10° U15 (7)</t>
  </si>
  <si>
    <t>TA-M3.1</t>
  </si>
  <si>
    <t>Calor y temperatura</t>
  </si>
  <si>
    <t>Mecanismos de transferencia de calor; capacidad calorífica y equilibrio térmico</t>
  </si>
  <si>
    <t>Hoy: Física 10° U12 (4); Física 10° U13 (4); Física 10° U15 (2)</t>
  </si>
  <si>
    <t>TA-M3.2</t>
  </si>
  <si>
    <t>Dilatación térmica; ley del gas ideal y sus límites</t>
  </si>
  <si>
    <t>Hoy: Física 10° U12 (3); Física 10° U14 (2); Física 10° U15 (2)</t>
  </si>
  <si>
    <t>TA-E1.1</t>
  </si>
  <si>
    <t>Electricidad y circuitos</t>
  </si>
  <si>
    <t>Ley de Coulomb</t>
  </si>
  <si>
    <r>
      <rPr>
        <sz val="10"/>
        <color indexed="8"/>
        <rFont val="Arial"/>
      </rPr>
      <t>Física 11°</t>
    </r>
  </si>
  <si>
    <t>Hoy: Física 11° U6 (5); Física 11° U7 (1); Física 11° U8 (1)</t>
  </si>
  <si>
    <t>TA-E1.2</t>
  </si>
  <si>
    <t>Fuerza y trayectoria de cargas en campos eléctricos</t>
  </si>
  <si>
    <t>Hoy: Física 11° U12 (1); Física 11° U7 (5); Física 11° U8 (5)</t>
  </si>
  <si>
    <t>TA-E1.3</t>
  </si>
  <si>
    <t>Circuitos: leyes de Ohm y Joule</t>
  </si>
  <si>
    <t>Hoy: Física 11° U13 (2); Física 11° U9 (13)</t>
  </si>
  <si>
    <t>TA-E2.1</t>
  </si>
  <si>
    <t>Magnetismo e inducción electromagnética</t>
  </si>
  <si>
    <t>Fuerza y trayectoria de cargas en campos magnéticos</t>
  </si>
  <si>
    <t>Hoy: Física 11° U10 (5); Física 11° U12 (1)</t>
  </si>
  <si>
    <t>TA-E2.2</t>
  </si>
  <si>
    <t>Relación electricidad-magnetismo; ley de Ampère; electroimanes</t>
  </si>
  <si>
    <t>Hoy: Física 11° U10 (2); Física 11° U11 (4); Física 11° U12 (1)</t>
  </si>
  <si>
    <t>TA-E2.3</t>
  </si>
  <si>
    <t>Inducción: leyes de Faraday y Lenz</t>
  </si>
  <si>
    <t>Hoy: Física 11° U12 (2); Física 11° U13 (3)</t>
  </si>
  <si>
    <t>TA-O1.1</t>
  </si>
  <si>
    <t>Fenómenos ondulatorios</t>
  </si>
  <si>
    <t>Ondas mecánicas: rapidez, frecuencia, longitud de onda</t>
  </si>
  <si>
    <t>Hoy: Física 11° U3 (4); Física 11° U4 (7); Física 11° U5 (4)</t>
  </si>
  <si>
    <t>TA-O1.2</t>
  </si>
  <si>
    <t>Radiación electromagnética y espectro</t>
  </si>
  <si>
    <t>Hoy: Física 10° U16 (2); Física 11° U12 (5); Física 11° U14 (3); Física 11° U15 (1); Física 11° U17 (1); Física 11° U23 (1)</t>
  </si>
  <si>
    <t>TA-O1.3</t>
  </si>
  <si>
    <t>Radiación térmica según temperatura y longitud de onda</t>
  </si>
  <si>
    <t>Hoy: Física 10° U13 (1); Física 11° U15 (1); Física 11° U22 (1)</t>
  </si>
  <si>
    <t>TA-O1.4</t>
  </si>
  <si>
    <t>Reflexión, refracción, interferencia y difracción</t>
  </si>
  <si>
    <t>Hoy: Física 10° U16 (12); Física 11° U15 (1); Física 11° U16 (5); Física 11° U17 (10); Física 11° U18 (7); Física 11° U22 (1); Física 11° U4 (1); Física 11° U5 (6)</t>
  </si>
  <si>
    <t>TA-O2.1</t>
  </si>
  <si>
    <t>Física atómica y nuclear</t>
  </si>
  <si>
    <t>Estructura atómica y espectros de emisión/absorción</t>
  </si>
  <si>
    <t>Hoy: Física 11° U20 (2); Física 11° U6 (1)</t>
  </si>
  <si>
    <t>TA-O2.2</t>
  </si>
  <si>
    <t>Dualidad onda-partícula; efecto fotoeléctrico</t>
  </si>
  <si>
    <t>Hoy: Física 11° U15 (6)</t>
  </si>
  <si>
    <t>TA-O2.3</t>
  </si>
  <si>
    <t>Reacciones nucleares y decaimiento radiactivo</t>
  </si>
  <si>
    <t>Hoy: Física 11° U20 (3); Física 11° U21 (4); Física 11° U23 (6)</t>
  </si>
  <si>
    <t>TA-O2.4</t>
  </si>
  <si>
    <t>Equivalencia masa-energía</t>
  </si>
  <si>
    <t>Hoy: Física 11° U19 (1); Física 11° U20 (1); Física 11° U23 (2)</t>
  </si>
  <si>
    <t>Resumen de amplitud por marco y dominio</t>
  </si>
  <si>
    <t>Objetivos en el marco</t>
  </si>
  <si>
    <t>% cubierto</t>
  </si>
  <si>
    <t>Objetivos no cubiertos</t>
  </si>
  <si>
    <t>Objetivos débiles (1 tema)</t>
  </si>
  <si>
    <t>(todos)</t>
  </si>
  <si>
    <t>Cómo se calcula: Cómo leer: cada celda de grado = n.º de temas de ese grado que trabajan el objetivo (principal o secundario). «N/A» = ese grado no pertenece al ciclo que evalúa el marco (TIMSS 4.° → 2.°–4.°; TIMSS 8.° → 5.°–8.°; Advanced → Física 10.°–11.°), no es un problema. Semáforo de la columna «Estado»: ROJO = no cubierto · AMARILLO = débil (1 tema) · VERDE CLARO = básica (2–3) · VERDE = sólida (4+). Filtra la columna «Estado» para ver solo lo rojo y amarillo; la última columna dice dónde aparece hoy y qué se propone (hoja Presupuesto de temas).</t>
  </si>
  <si>
    <t>TIMSS - Conocer-Aplicar-Razonar</t>
  </si>
  <si>
    <t>Profundidad cognitiva: Conocer / Aplicar / Razonar frente a TIMSS</t>
  </si>
  <si>
    <t>TIMSS 2027 (2.°–8.°) y Advanced
OJO · Menos Razonar: 6.° (19 %). TIMSS pide 25 % en 4.° y 30 % en 8.°.
● Grados de 2.° a 8.° con Razonar en línea con TIMSS: 4 de 7.
● Sale de la columna «Habilidad TIMSS» que escribió el equipo de Ciencias. Las competencias PISA están en «PISA - Competencias».</t>
  </si>
  <si>
    <t>Referencia</t>
  </si>
  <si>
    <t>Temas</t>
  </si>
  <si>
    <t>Conocer (temas-eq.)</t>
  </si>
  <si>
    <t>Aplicar (temas-eq.)</t>
  </si>
  <si>
    <t>Razonar (temas-eq.)</t>
  </si>
  <si>
    <t>% Conocer</t>
  </si>
  <si>
    <t>% Aplicar</t>
  </si>
  <si>
    <t>% Razonar</t>
  </si>
  <si>
    <t>Meta Conocer</t>
  </si>
  <si>
    <t>Meta Aplicar</t>
  </si>
  <si>
    <t>Meta Razonar</t>
  </si>
  <si>
    <t>Brecha Razonar (pp)</t>
  </si>
  <si>
    <t>COINCIDENCIA con la meta (1 − ½ Σ|actual − meta|)</t>
  </si>
  <si>
    <t>Razonar en línea con la meta</t>
  </si>
  <si>
    <t>Menos Razonar que la meta: faltan tareas de análisis y argumentación</t>
  </si>
  <si>
    <t>Más Razonar que la meta (revisar si la etiqueta está inflada)</t>
  </si>
  <si>
    <t>Química 10°</t>
  </si>
  <si>
    <t>TIMSS Advanced Física (ref. aprox.)</t>
  </si>
  <si>
    <t>Química 11°</t>
  </si>
  <si>
    <t>Biología 10°</t>
  </si>
  <si>
    <t>Biología 11°</t>
  </si>
  <si>
    <t>Cómo se calcula: Fuente: columna «Habilidad TIMSS» de cada malla. Si un tema menciona varios dominios, se reparte en partes iguales (p. ej. «Conocer… Aplicar…» = 0,5 + 0,5). Columnas S-U de Temas. Química y Biología de Bachillerato se comparan con la meta de TIMSS Advanced Física solo como referencia aproximada.</t>
  </si>
  <si>
    <t>TIMSS - Medio ambiente</t>
  </si>
  <si>
    <t>Conocimiento ambiental: ¿cuánto de la malla trabaja los objetivos ambientales de TIMSS 2027?</t>
  </si>
  <si>
    <t>TIMSS 2027 (2.°–8.°)
BIEN · Temas sobre medio ambiente: 30 % en 2.°–4.° y 29 % en 5.°–8.° (la prueba: 25 %).
OJO · Grado con menos: 8.° (12 %).
● Objetivos ambientales de TIMSS presentes: 24 de 24.</t>
  </si>
  <si>
    <t>Referencia TIMSS 2027 (≈ % de ítems ambientales):</t>
  </si>
  <si>
    <t>Tolerancia (± pp):</t>
  </si>
  <si>
    <t>Temas evaluables (sin «fuera»)</t>
  </si>
  <si>
    <t>Temas que trabajan un objetivo ambiental</t>
  </si>
  <si>
    <t>% ambiental</t>
  </si>
  <si>
    <t>Diferencia (pp)</t>
  </si>
  <si>
    <t>Por grado</t>
  </si>
  <si>
    <t>Más contenido ambiental que la referencia</t>
  </si>
  <si>
    <t>Cerca de la referencia</t>
  </si>
  <si>
    <t>Menos contenido ambiental que la referencia</t>
  </si>
  <si>
    <t>Por ciclo</t>
  </si>
  <si>
    <t>Objetivos ambientales de TIMSS 2027 y su cobertura en el ciclo que evalúa cada marco</t>
  </si>
  <si>
    <t>Temas en su ciclo</t>
  </si>
  <si>
    <t>Profundidad</t>
  </si>
  <si>
    <r>
      <rPr>
        <sz val="10"/>
        <color indexed="18"/>
        <rFont val="Arial"/>
      </rPr>
      <t>Sólida (4+)</t>
    </r>
  </si>
  <si>
    <r>
      <rPr>
        <sz val="10"/>
        <color indexed="18"/>
        <rFont val="Arial"/>
      </rPr>
      <t>Básica (2–3)</t>
    </r>
  </si>
  <si>
    <r>
      <rPr>
        <sz val="10"/>
        <color indexed="18"/>
        <rFont val="Arial"/>
      </rPr>
      <t>Débil (1 tema)</t>
    </r>
  </si>
  <si>
    <t>Objetivos ambientales</t>
  </si>
  <si>
    <t>Cubiertos en su ciclo</t>
  </si>
  <si>
    <t>No cubiertos</t>
  </si>
  <si>
    <t>Débiles (1 tema)</t>
  </si>
  <si>
    <t>Cómo se calcula: TIMSS 2027 marca con asterisco los objetivos de Biología y Ciencias de la Tierra que forman la subescala de conocimiento ambiental (≈25 % de los ítems de la prueba). Un tema cuenta como ambiental si su objetivo principal o secundario es uno de ellos (columna X de Temas). La referencia de 25 % es la proporción de ítems de la prueba, no una meta curricular: úsala como orientación.</t>
  </si>
  <si>
    <t>TIMSS - Investigación</t>
  </si>
  <si>
    <t>TIMSS - Investigación: temas cuyo foco es la práctica científica (áreas nuevas de TIMSS 2027)</t>
  </si>
  <si>
    <t>TIMSS 2027 (2.°–8.°)
● Temas centrados en investigar: 9 en 2.°–4.° y 15 en 5.°–8.°.
● 16 temas que TIMSS 2023 dejaba fuera ahora cuentan (área nueva de 2027).
→ Investigar = el foco es medir, registrar, analizar datos o concluir.</t>
  </si>
  <si>
    <t>Investigaciones como principal</t>
  </si>
  <si>
    <t>Investigaciones solo como secundario</t>
  </si>
  <si>
    <t>Total de temas con Investigaciones</t>
  </si>
  <si>
    <t>% de los evaluables</t>
  </si>
  <si>
    <t>Principales que eran FUERA en v1</t>
  </si>
  <si>
    <t>FUERA en v1 que ya no lo son (cualquier objetivo)</t>
  </si>
  <si>
    <t>Siguen FUERA</t>
  </si>
  <si>
    <t>Objetivos de Investigaciones × grado (n.º de temas que lo trabajan como principal o secundario)</t>
  </si>
  <si>
    <t>Total en su ciclo</t>
  </si>
  <si>
    <r>
      <rPr>
        <sz val="10"/>
        <color indexed="18"/>
        <rFont val="Arial"/>
      </rPr>
      <t>No cubierto</t>
    </r>
  </si>
  <si>
    <t>Cómo se calcula: TIMSS 2027 agrega en cada dominio un área de «TIMSS - Investigación» (planificar, medir, registrar, analizar datos, concluir, usar equipo). Un tema cuenta como principal si su foco es la práctica; como secundario si trabaja un contenido mediante indagación. Columnas Y-Z y AA de Temas. «Eran FUERA en v1» = temas que con TIMSS 2023 no tenían objetivo y ahora sí.</t>
  </si>
  <si>
    <t>TIMSS - Otros países</t>
  </si>
  <si>
    <t>¿En qué grado introduce cada país los objetivos de TIMSS 2027? El Salvador frente a Uruguay, Colombia, Singapur</t>
  </si>
  <si>
    <r>
      <rPr>
        <sz val="11"/>
        <color indexed="13"/>
        <rFont val="Arial"/>
      </rPr>
      <t xml:space="preserve">TIMSS 2027 (objetivos de 4.° y 8.°)
</t>
    </r>
    <r>
      <rPr>
        <sz val="11"/>
        <color indexed="13"/>
        <rFont val="Arial"/>
      </rPr>
      <t xml:space="preserve">● El Salvador enseña 24 objetivos de TIMSS más tarde que Uruguay, Colombia y Singapur, y 40 antes.
</t>
    </r>
    <r>
      <rPr>
        <sz val="11"/>
        <color indexed="13"/>
        <rFont val="Arial"/>
      </rPr>
      <t xml:space="preserve">OJO · No enseña 2 que otros sí. Mayor atraso (4 grados): Fenómenos observables por los movimientos de la Tierra y la Luna.
</t>
    </r>
    <r>
      <rPr>
        <sz val="11"/>
        <color indexed="13"/>
        <rFont val="Arial"/>
      </rPr>
      <t>● Chile no está: su sitio bloqueó la descarga.</t>
    </r>
  </si>
  <si>
    <t>Grado mínimo comparable (la malla de El Salvador empieza en 2.°; lo anterior de otros países se cuenta como este grado):</t>
  </si>
  <si>
    <t>Primer grado · El Salvador</t>
  </si>
  <si>
    <t>Primer grado · Uruguay</t>
  </si>
  <si>
    <t>Primer grado · Colombia</t>
  </si>
  <si>
    <t>Primer grado · Singapur</t>
  </si>
  <si>
    <t>Mediana de los demás</t>
  </si>
  <si>
    <t>Oportunidad (grados)</t>
  </si>
  <si>
    <t>Países que lo tienen (sin SV)</t>
  </si>
  <si>
    <t>EL  1°</t>
  </si>
  <si>
    <t>EL  2°</t>
  </si>
  <si>
    <t>EL  3°</t>
  </si>
  <si>
    <t>EL  4°</t>
  </si>
  <si>
    <t>EL  5°</t>
  </si>
  <si>
    <t>EL  6°</t>
  </si>
  <si>
    <t>EL  7°</t>
  </si>
  <si>
    <t>EL  8°</t>
  </si>
  <si>
    <t>EL  9°</t>
  </si>
  <si>
    <t>URU 1°</t>
  </si>
  <si>
    <t>URU 2°</t>
  </si>
  <si>
    <t>URU 3°</t>
  </si>
  <si>
    <t>URU 4°</t>
  </si>
  <si>
    <t>URU 5°</t>
  </si>
  <si>
    <t>URU 6°</t>
  </si>
  <si>
    <t>URU 7°</t>
  </si>
  <si>
    <t>URU 8°</t>
  </si>
  <si>
    <t>URU 9°</t>
  </si>
  <si>
    <t>COL 1°</t>
  </si>
  <si>
    <t>COL 2°</t>
  </si>
  <si>
    <t>COL 3°</t>
  </si>
  <si>
    <t>COL 4°</t>
  </si>
  <si>
    <t>COL 5°</t>
  </si>
  <si>
    <t>COL 6°</t>
  </si>
  <si>
    <t>COL 7°</t>
  </si>
  <si>
    <t>COL 8°</t>
  </si>
  <si>
    <t>COL 9°</t>
  </si>
  <si>
    <t>SIN 1°</t>
  </si>
  <si>
    <t>SIN 2°</t>
  </si>
  <si>
    <t>SIN 3°</t>
  </si>
  <si>
    <t>SIN 4°</t>
  </si>
  <si>
    <t>SIN 5°</t>
  </si>
  <si>
    <t>SIN 6°</t>
  </si>
  <si>
    <t>SIN 7°</t>
  </si>
  <si>
    <t>SIN 8°</t>
  </si>
  <si>
    <t>SIN 9°</t>
  </si>
  <si>
    <t>El Salvador va adelantado</t>
  </si>
  <si>
    <t>El Salvador no llega</t>
  </si>
  <si>
    <t>Mismo grado</t>
  </si>
  <si>
    <t>El Salvador llega más tarde</t>
  </si>
  <si>
    <t>Solo El Salvador</t>
  </si>
  <si>
    <t>Resumen por país</t>
  </si>
  <si>
    <t>País</t>
  </si>
  <si>
    <t>Objetivos alineados (1.°–9.°)</t>
  </si>
  <si>
    <t>Fuera de TIMSS</t>
  </si>
  <si>
    <t>Confianza baja</t>
  </si>
  <si>
    <t>Objetivos TIMSS 2027 que trabaja (de 80)</t>
  </si>
  <si>
    <t>El Salvador</t>
  </si>
  <si>
    <t>Uruguay</t>
  </si>
  <si>
    <t>Colombia</t>
  </si>
  <si>
    <t>Singapur</t>
  </si>
  <si>
    <t>Objetivos TIMSS 2027</t>
  </si>
  <si>
    <t>Nadie lo trabaja</t>
  </si>
  <si>
    <t>Cómo se calcula: Primer grado = el grado más bajo con al menos un tema (El Salvador) u objetivo (otros países) que trabaja el objetivo TIMSS como principal o secundario. Oportunidad = grado El Salvador − mediana de los demás países que lo tienen: positivo = El Salvador llega más tarde; negativo = va adelantado. Las columnas de la derecha (n.º por grado) son la base de cada «primer grado».</t>
  </si>
  <si>
    <t>PISA - Contenidos</t>
  </si>
  <si>
    <t>PISA 2025 · Contenido: reparto por sistema (7.°, 8.°, 9.° y acumulado 7.°–9.°)</t>
  </si>
  <si>
    <t>PISA 2025 (7.°–9.°)
OJO · 7.°–9.°: sobran 33 temas de sistemas físicos; faltan 16 de sistemas vivos y 17 de Tierra y espacio.
OJO · 9.° tiene solo 3 temas de biología; 8.° solo 6 de Tierra y espacio.
● Contenidos de PISA presentes: 20 de 21. La cobertura TIMSS está en «TIMSS - Semáforo de objetivos».</t>
  </si>
  <si>
    <t>Temas actuales en el sistema</t>
  </si>
  <si>
    <t>Meta PISA (%)</t>
  </si>
  <si>
    <t>Faltan 17 temas</t>
  </si>
  <si>
    <t>Sobran 18 temas</t>
  </si>
  <si>
    <t>Sobran 22 temas</t>
  </si>
  <si>
    <t>Sobran 28 temas</t>
  </si>
  <si>
    <t>Faltan 28 temas</t>
  </si>
  <si>
    <t>Sobran 33 temas</t>
  </si>
  <si>
    <t>Faltan 16 temas</t>
  </si>
  <si>
    <t>Cobertura de las 21 categorías de contenido de PISA (Box 2.6): n.º de temas por grado (principal o secundario)</t>
  </si>
  <si>
    <t>Categoría de contenido (paráfrasis)</t>
  </si>
  <si>
    <t>Total 7°–9°</t>
  </si>
  <si>
    <t>Estado (semáforo)</t>
  </si>
  <si>
    <t>Primer grado</t>
  </si>
  <si>
    <t>Estructura y propiedades de la materia (modelo de partículas, enlaces, cambios de estado, conductividad térmica y eléctrica)</t>
  </si>
  <si>
    <t>Cambios químicos de la materia (reacciones químicas, transferencia de energía, ácidos y bases)</t>
  </si>
  <si>
    <t>Movimiento y fuerzas (velocidad, fricción) y acción a distancia (fuerzas magnéticas, gravitatorias y electrostáticas)</t>
  </si>
  <si>
    <t>La energía y su transferencia (conservación, disipación, reacciones químicas)</t>
  </si>
  <si>
    <t>Interacciones entre energía y materia (luz y ondas de radio, sonido y ondas sísmicas, absorción de radiación por el CO2)</t>
  </si>
  <si>
    <t>PISA-V1</t>
  </si>
  <si>
    <t>El concepto de organismo (animales, plantas y microorganismos como virus y bacterias)</t>
  </si>
  <si>
    <t>Genes (expresión, herencia, biotecnología) y su interacción con el ambiente</t>
  </si>
  <si>
    <t>Células: estructura y función, energía, respiración, fotosíntesis, crecimiento</t>
  </si>
  <si>
    <t>Sistemas de plantas y animales, su salud y mantenimiento (circulación, reproducción, respiración, excreción, nutrición)</t>
  </si>
  <si>
    <t>PISA-V5</t>
  </si>
  <si>
    <t>Evolución biológica (biodiversidad, variación genética, adaptación y selección natural)</t>
  </si>
  <si>
    <t>PISA-V6</t>
  </si>
  <si>
    <t>Ecosistemas (flujo de materia y energía, cadenas alimentarias, hábitat, perturbaciones como la contaminación)</t>
  </si>
  <si>
    <t>PISA-V7</t>
  </si>
  <si>
    <t>La biosfera (sostenibilidad del ecosistema global)</t>
  </si>
  <si>
    <t>PISA-V8</t>
  </si>
  <si>
    <t>Interacciones de los seres humanos y su impacto en el ambiente, otras especies y la sostenibilidad</t>
  </si>
  <si>
    <t>PISA-T1</t>
  </si>
  <si>
    <t>Estructura de los sistemas terrestres (atmósfera, hidrosfera, geosfera; tectónica de placas, sismología)</t>
  </si>
  <si>
    <t>PISA-T2</t>
  </si>
  <si>
    <t>Carácter finito de los recursos minerales, su uso y los efectos ambientales de su explotación</t>
  </si>
  <si>
    <t>PISA-T3</t>
  </si>
  <si>
    <t>Energía en los sistemas terrestres (fuentes, calentamiento global, tectónica, ciclos geológicos, ciclo del agua)</t>
  </si>
  <si>
    <t>PISA-T4</t>
  </si>
  <si>
    <t>Agua: abastecimiento y conservación (agua dulce, acuíferos)</t>
  </si>
  <si>
    <t>PISA-T5</t>
  </si>
  <si>
    <t>Interacciones y cambios entre sistemas terrestres (cambio climático, ciclos geoquímicos, fuerzas tectónicas, acidificación del océano)</t>
  </si>
  <si>
    <t>PISA-T6</t>
  </si>
  <si>
    <t>Historia de la Tierra (fósiles, origen y evolución, erosión y sedimentación)</t>
  </si>
  <si>
    <r>
      <rPr>
        <sz val="10"/>
        <color indexed="8"/>
        <rFont val="Arial"/>
      </rPr>
      <t>9°</t>
    </r>
  </si>
  <si>
    <t>La Tierra en el espacio (fases de la Luna, sistema solar, galaxias)</t>
  </si>
  <si>
    <t>Origen del universo y del sistema solar (evolución estelar, formación de planetas, Big Bang)</t>
  </si>
  <si>
    <t>Categorías</t>
  </si>
  <si>
    <t>Cubiertas (≥1 tema)</t>
  </si>
  <si>
    <t>No cubiertas</t>
  </si>
  <si>
    <t>Cómo se calcula: PISA evalúa a los 15 años lo acumulado (≈ 9.° en El Salvador): la fila «Ciclo 7°–9°» es la comparación más fiel. Meta = peso de cada sistema en la prueba (Tabla 2.3, total por tipo de conocimiento: 37 / 37 / 26 %). «Sistemas físicos» reúne Física y Química. Los temas sin contenido del Box 2.6 (p. ej. solo medición o electrónica digital) quedan fuera del cálculo. Columnas AK-AM de la hoja Temas (clasificación asistida por IA, revisable).</t>
  </si>
  <si>
    <t>PISA - Competencias</t>
  </si>
  <si>
    <t>PISA 2025 · Competencias científicas y subcompetencias (según la propia malla)</t>
  </si>
  <si>
    <r>
      <rPr>
        <sz val="11"/>
        <color indexed="13"/>
        <rFont val="Arial"/>
      </rPr>
      <t xml:space="preserve">PISA 2025 (7.°–9.°)
</t>
    </r>
    <r>
      <rPr>
        <sz val="11"/>
        <color indexed="13"/>
        <rFont val="Arial"/>
      </rPr>
      <t xml:space="preserve">OJO · Competencia 3 (evaluar información y decidir): 14 % de los temas. PISA pide 24–36 %.
</t>
    </r>
    <r>
      <rPr>
        <sz val="11"/>
        <color indexed="13"/>
        <rFont val="Arial"/>
      </rPr>
      <t xml:space="preserve">OJO · Competencia 2 (diseñar y leer datos): 50 %, por encima del rango (24–36 %).
</t>
    </r>
    <r>
      <rPr>
        <sz val="11"/>
        <color indexed="13"/>
        <rFont val="Arial"/>
      </rPr>
      <t xml:space="preserve">● Subcompetencias débiles o ausentes: 3 de 15: distinguir evidencia de opinión, criticar argumentos y plantear hipótesis.
</t>
    </r>
    <r>
      <rPr>
        <sz val="11"/>
        <color indexed="13"/>
        <rFont val="Arial"/>
      </rPr>
      <t>→ Dato de la propia malla (columnas Competencia y Microhabilidades), sin IA.</t>
    </r>
  </si>
  <si>
    <t>Metas de PISA por competencia (Tabla 2.4, % de puntos de la prueba)</t>
  </si>
  <si>
    <t>Mínimo del marco</t>
  </si>
  <si>
    <t>Máximo del marco</t>
  </si>
  <si>
    <t>Meta (punto medio, normalizado)</t>
  </si>
  <si>
    <t>1. Explicar fenómenos</t>
  </si>
  <si>
    <t>2. Diseñar indagación e interpretar datos</t>
  </si>
  <si>
    <t>3. Investigar, evaluar y usar información</t>
  </si>
  <si>
    <t>Celdas ámbar editables. «Dentro del rango» = el % de temas cae entre el mínimo y el máximo del marco. La coincidencia se mide contra el punto medio normalizado (40 / 30 / 30).</t>
  </si>
  <si>
    <t>Bloque 1 · Competencia declarada en cada tema</t>
  </si>
  <si>
    <t>C1 (temas)</t>
  </si>
  <si>
    <t>C2 (temas)</t>
  </si>
  <si>
    <t>C3 (temas)</t>
  </si>
  <si>
    <t>% C1</t>
  </si>
  <si>
    <t>% C2</t>
  </si>
  <si>
    <t>% C3</t>
  </si>
  <si>
    <t>Estado C1</t>
  </si>
  <si>
    <t>Estado C2</t>
  </si>
  <si>
    <t>Estado C3</t>
  </si>
  <si>
    <t>COINCIDENCIA con la meta</t>
  </si>
  <si>
    <t>Dentro del rango</t>
  </si>
  <si>
    <t>Por debajo del rango</t>
  </si>
  <si>
    <t>Por encima del rango</t>
  </si>
  <si>
    <t>Grados anteriores (solo referencia: PISA evalúa a los 15 años)</t>
  </si>
  <si>
    <t>Bloque 2 · Subcompetencias: en cuántos temas se trabaja cada una (en al menos una de las 5 fases)</t>
  </si>
  <si>
    <t>Umbrales del semáforo (% de temas del ciclo):</t>
  </si>
  <si>
    <t>débil si menos de</t>
  </si>
  <si>
    <t>sólida desde</t>
  </si>
  <si>
    <t>Competencia</t>
  </si>
  <si>
    <t>Subcompetencia (paráfrasis)</t>
  </si>
  <si>
    <t>% de temas del ciclo</t>
  </si>
  <si>
    <t>E1</t>
  </si>
  <si>
    <t>Recordar y aplicar el conocimiento científico apropiado</t>
  </si>
  <si>
    <t>Sólida</t>
  </si>
  <si>
    <t>E2</t>
  </si>
  <si>
    <t>Usar distintas representaciones y pasar de una a otra</t>
  </si>
  <si>
    <t>E3</t>
  </si>
  <si>
    <t>Hacer y justificar predicciones y soluciones científicas</t>
  </si>
  <si>
    <t>E4</t>
  </si>
  <si>
    <t>Identificar, construir y evaluar modelos</t>
  </si>
  <si>
    <t>Básica</t>
  </si>
  <si>
    <t>E5</t>
  </si>
  <si>
    <t>Reconocer y desarrollar hipótesis explicativas</t>
  </si>
  <si>
    <t>Débil</t>
  </si>
  <si>
    <t>E6</t>
  </si>
  <si>
    <t>Explicar las implicaciones del conocimiento científico para la sociedad</t>
  </si>
  <si>
    <t>D1</t>
  </si>
  <si>
    <t>Identificar la pregunta de un estudio científico</t>
  </si>
  <si>
    <t>D2</t>
  </si>
  <si>
    <t>Proponer un diseño experimental apropiado</t>
  </si>
  <si>
    <t>D3</t>
  </si>
  <si>
    <t>Evaluar si un diseño es el más adecuado para la pregunta</t>
  </si>
  <si>
    <t>D4</t>
  </si>
  <si>
    <t>Interpretar datos en distintas representaciones y sacar y evaluar conclusiones</t>
  </si>
  <si>
    <t>I1</t>
  </si>
  <si>
    <t>Buscar, evaluar y comunicar el valor de distintas fuentes de información</t>
  </si>
  <si>
    <t>I2</t>
  </si>
  <si>
    <t>Distinguir afirmaciones con evidencia sólida, de expertos o no expertos, y opiniones</t>
  </si>
  <si>
    <t>I3</t>
  </si>
  <si>
    <t>Construir un argumento a partir de datos</t>
  </si>
  <si>
    <t>I4</t>
  </si>
  <si>
    <t>Criticar fallas comunes en argumentos científicos</t>
  </si>
  <si>
    <t>I5</t>
  </si>
  <si>
    <t>Justificar decisiones con argumentos científicos, individuales o comunitarios</t>
  </si>
  <si>
    <t>Bloque 3 · Peso de cada competencia según las microhabilidades (5 por tema), ciclo 7.°–9.°</t>
  </si>
  <si>
    <t>Microhabilidades (veces)</t>
  </si>
  <si>
    <t>% del total</t>
  </si>
  <si>
    <t>Meta (punto medio)</t>
  </si>
  <si>
    <t>Bloque 4 · Qué código lleva cada fase (ciclo 7.°–9.°): muestra cuánto fija la plantilla</t>
  </si>
  <si>
    <t>Subcompetencia</t>
  </si>
  <si>
    <t>Aproximar</t>
  </si>
  <si>
    <t>Explorar</t>
  </si>
  <si>
    <t>Explicar</t>
  </si>
  <si>
    <t>Indagar</t>
  </si>
  <si>
    <t>Reforzar</t>
  </si>
  <si>
    <t>Cómo se calcula: Fuente: columnas «Competencia PISA 2025» y «Microhabilidades PISA por fase» de cada malla (equipo de Ciencias, MINED). No hay clasificación de IA aquí. Cada tema declara UNA competencia y una microhabilidad por fase (Aproximar, Explorar, Explicar, Indagar, Reforzar) con los códigos de las 15 subcompetencias del marco (E1–E6 = competencia 1, D1–D4 = competencia 2, I1–I5 = competencia 3). Ojo: la plantilla de la secuencia asigna códigos por fase (p. ej. Explorar casi siempre D1), así que las subcompetencias reflejan en parte la plantilla y no solo el contenido (bloque 4).</t>
  </si>
  <si>
    <t>PISA - Tipos de conocimiento</t>
  </si>
  <si>
    <t>PISA 2025 · Tipos de conocimiento: contenido, procedimental y epistémico</t>
  </si>
  <si>
    <t>PISA 2025 (7.°–9.°)
OJO · Temas centrados en cómo se obtienen datos (procedimental): 5 %. PISA: 27–33 %.
OJO · Temas centrados en por qué confiamos en la ciencia (epistémico): 0 %. PISA: 24–30 %.
● 12 de 20 ideas epistémicas no aparecen (modelo vs. realidad, consenso, revisión por pares).
→ No hacen falta temas nuevos: basta una fase «Reforzar» por unidad que trabaje el porqué.</t>
  </si>
  <si>
    <t>Metas de PISA por tipo de conocimiento (Tabla 2.3, total sobre sistemas)</t>
  </si>
  <si>
    <t>Contenido</t>
  </si>
  <si>
    <t>Procedimental</t>
  </si>
  <si>
    <t>Epistémico</t>
  </si>
  <si>
    <t>PISA reparte la PRUEBA por tipo de conocimiento; en un currículo es esperable que domine el contenido. Úsalo como referencia de lo que falta, no como meta estricta.</t>
  </si>
  <si>
    <t>Bloque 1 · Tipo de conocimiento predominante por grado</t>
  </si>
  <si>
    <t>% Contenido</t>
  </si>
  <si>
    <t>% Procedimental</t>
  </si>
  <si>
    <t>% Epistémico</t>
  </si>
  <si>
    <t>Estado procedimental</t>
  </si>
  <si>
    <t>Estado epistémico</t>
  </si>
  <si>
    <t>Temas con algún procedimental explícito</t>
  </si>
  <si>
    <t>Temas con algún epistémico explícito</t>
  </si>
  <si>
    <t>Bloque 2 · Tabla 2.3 de PISA en el acumulado 7.°–9.°: % de temas por tipo de conocimiento × sistema (vs. rango del marco)</t>
  </si>
  <si>
    <t>Tipo de conocimiento</t>
  </si>
  <si>
    <t>Sistemas físicos · actual</t>
  </si>
  <si>
    <t>Sistemas vivos · actual</t>
  </si>
  <si>
    <t>Sistemas de la Tierra y el espacio · actual</t>
  </si>
  <si>
    <t>Sistemas físicos · rango PISA</t>
  </si>
  <si>
    <t>Sistemas vivos · rango PISA</t>
  </si>
  <si>
    <t>Sistemas de la Tierra y el espacio · rango PISA</t>
  </si>
  <si>
    <t>15–20 %</t>
  </si>
  <si>
    <t>10–15 %</t>
  </si>
  <si>
    <t>10–13 %</t>
  </si>
  <si>
    <t>7–10 %</t>
  </si>
  <si>
    <t>8–11 %</t>
  </si>
  <si>
    <t>Bloque 3 · Elementos procedimentales (Box 2.7) y epistémicos (Box 2.8): temas que los trabajan de forma explícita</t>
  </si>
  <si>
    <t>Tipo</t>
  </si>
  <si>
    <t>Bloque</t>
  </si>
  <si>
    <t>Elemento (paráfrasis)</t>
  </si>
  <si>
    <t>PISA-PR1</t>
  </si>
  <si>
    <t>Conocimiento procedimental</t>
  </si>
  <si>
    <t>Variables dependientes, independientes y de control</t>
  </si>
  <si>
    <t>PISA-PR2</t>
  </si>
  <si>
    <t>Conceptos de medición: cuantitativa y cualitativa, uso de escalas, variables categóricas y continuas</t>
  </si>
  <si>
    <t>PISA-PR3</t>
  </si>
  <si>
    <t>Formas de estimar y reducir la incertidumbre (repetir mediciones y promediar)</t>
  </si>
  <si>
    <t>PISA-PR4</t>
  </si>
  <si>
    <t>Mecanismos para asegurar la precisión y la exactitud de los datos</t>
  </si>
  <si>
    <t>PISA-PR5</t>
  </si>
  <si>
    <t>Formas de representar datos en tablas, gráficos y diagramas, y su uso adecuado</t>
  </si>
  <si>
    <t>PISA-PR6</t>
  </si>
  <si>
    <t>Estrategia de control de variables en el diseño experimental (o ensayos aleatorizados) para identificar causas</t>
  </si>
  <si>
    <t>PISA-PR7</t>
  </si>
  <si>
    <t>Diseño adecuado para una pregunta (experimental, de campo, búsqueda de patrones) y papel de los controles</t>
  </si>
  <si>
    <t>PISA-PR8</t>
  </si>
  <si>
    <t>Procesos de revisión entre pares que hacen confiables las afirmaciones</t>
  </si>
  <si>
    <t>PISA-EP1</t>
  </si>
  <si>
    <t>Rasgos de la ciencia</t>
  </si>
  <si>
    <t>Naturaleza de observaciones, hechos, hipótesis, modelos y teorías</t>
  </si>
  <si>
    <t>PISA-EP2</t>
  </si>
  <si>
    <t>Propósito de la ciencia (explicar y predecir) frente al de la tecnología (soluciones óptimas)</t>
  </si>
  <si>
    <t>PISA-EP3</t>
  </si>
  <si>
    <t>Valores de la ciencia: publicación revisada por pares, objetividad, eliminar sesgos</t>
  </si>
  <si>
    <t>PISA-EP4</t>
  </si>
  <si>
    <t>Modelos</t>
  </si>
  <si>
    <t>Uso de modelos físicos, conceptuales, de sistemas y matemáticos para comprender el mundo</t>
  </si>
  <si>
    <t>PISA-EP5</t>
  </si>
  <si>
    <t>Distinción entre modelo y realidad</t>
  </si>
  <si>
    <t>PISA-EP6</t>
  </si>
  <si>
    <t>Cómo los modelos permiten predecir y explicar</t>
  </si>
  <si>
    <t>PISA-EP7</t>
  </si>
  <si>
    <t>Cómo las limitaciones de un modelo restringen su uso</t>
  </si>
  <si>
    <t>PISA-EP8</t>
  </si>
  <si>
    <t>Datos y evidencia</t>
  </si>
  <si>
    <t>Cómo los datos, métodos y razonamientos sustentan las afirmaciones científicas</t>
  </si>
  <si>
    <t>PISA-EP9</t>
  </si>
  <si>
    <t>Cómo se genera la evidencia científica (prácticas de los científicos)</t>
  </si>
  <si>
    <t>PISA-EP10</t>
  </si>
  <si>
    <t>Cómo el error de medición afecta la confianza en el conocimiento</t>
  </si>
  <si>
    <t>PISA-EP11</t>
  </si>
  <si>
    <t>Razonamiento científico</t>
  </si>
  <si>
    <t>Formas de indagación empírica: experimento, trabajo de campo, búsqueda de patrones</t>
  </si>
  <si>
    <t>PISA-EP12</t>
  </si>
  <si>
    <t>Tipos de razonamiento (deducción, abducción, inducción, probabilidad) y su finalidad</t>
  </si>
  <si>
    <t>PISA-EP13</t>
  </si>
  <si>
    <t>Dilemas éticos de la práctica científica</t>
  </si>
  <si>
    <t>PISA-EP14</t>
  </si>
  <si>
    <t>Papel y límites del conocimiento científico, junto con otros saberes, ante problemas sociales y tecnológicos</t>
  </si>
  <si>
    <t>PISA-EP15</t>
  </si>
  <si>
    <t>Naturaleza colectiva</t>
  </si>
  <si>
    <t>Cómo se financia y apoya la investigación</t>
  </si>
  <si>
    <t>PISA-EP16</t>
  </si>
  <si>
    <t>Importancia del consenso</t>
  </si>
  <si>
    <t>PISA-EP17</t>
  </si>
  <si>
    <t>La revisión por pares y la comunidad científica dan confianza a las afirmaciones</t>
  </si>
  <si>
    <t>PISA-EP18</t>
  </si>
  <si>
    <t>Prácticas científicas clave para producir conocimiento compartido y su carácter colaborativo</t>
  </si>
  <si>
    <t>PISA-EP19</t>
  </si>
  <si>
    <t>Límites de la certeza, cómo se expresa y cómo evoluciona</t>
  </si>
  <si>
    <t>PISA-EP20</t>
  </si>
  <si>
    <t>Cómo se comunican los hallazgos a la comunidad y al público</t>
  </si>
  <si>
    <t>Elementos</t>
  </si>
  <si>
    <t>Trabajados (≥1 tema)</t>
  </si>
  <si>
    <t>% trabajado</t>
  </si>
  <si>
    <t>No trabajados</t>
  </si>
  <si>
    <t>Cómo se calcula: PISA reparte la prueba entre conocimiento de CONTENIDO (qué sabemos), PROCEDIMENTAL (cómo se obtienen datos confiables: variables, medición, incertidumbre, representación de datos, diseño) y EPISTÉMICO (por qué creemos lo que la ciencia afirma: modelos, evidencia, razonamiento, consenso). La malla no tiene una columna para esto: la clasificación es asistida por IA (hoja Datos - Temas, columnas AN-AP). Un tema cuenta en el tipo PREDOMINANTE; aparte se cuentan los temas que trabajan algún elemento procedimental o epistémico de forma explícita.</t>
  </si>
  <si>
    <t>PISA - Contextos</t>
  </si>
  <si>
    <t>PISA 2025 · Contextos, áreas de aplicación y demanda cognitiva (capas propias de PISA)</t>
  </si>
  <si>
    <r>
      <rPr>
        <sz val="11"/>
        <color indexed="13"/>
        <rFont val="Arial"/>
      </rPr>
      <t xml:space="preserve">PISA 2025 (7.°–9.°)
</t>
    </r>
    <r>
      <rPr>
        <sz val="11"/>
        <color indexed="13"/>
        <rFont val="Arial"/>
      </rPr>
      <t xml:space="preserve">OJO · 64 % de los temas no se conectan con una situación real (86 % en 8.°).
</t>
    </r>
    <r>
      <rPr>
        <sz val="11"/>
        <color indexed="13"/>
        <rFont val="Arial"/>
      </rPr>
      <t xml:space="preserve">● Con contexto, el reparto personal / local / global coincide 94 % con el 1:2:1 de PISA.
</t>
    </r>
    <r>
      <rPr>
        <sz val="11"/>
        <color indexed="13"/>
        <rFont val="Arial"/>
      </rPr>
      <t>● Área menos trabajada: Riesgos (10 temas).</t>
    </r>
  </si>
  <si>
    <t>Proporción de contextos en la prueba (1:2:1)</t>
  </si>
  <si>
    <t>Personal</t>
  </si>
  <si>
    <t>Local/nacional</t>
  </si>
  <si>
    <t>Global</t>
  </si>
  <si>
    <t>Celdas ámbar editables. Se compara el reparto ENTRE los temas que sí tienen contexto.</t>
  </si>
  <si>
    <t>Bloque 1 · Contexto de los temas</t>
  </si>
  <si>
    <t>Sin contexto</t>
  </si>
  <si>
    <t>% sin contexto</t>
  </si>
  <si>
    <t>% personal (de los con contexto)</t>
  </si>
  <si>
    <t>% local/nacional</t>
  </si>
  <si>
    <t>% global</t>
  </si>
  <si>
    <t>COINCIDENCIA 1:2:1</t>
  </si>
  <si>
    <t>Bloque 2 · Áreas de aplicación (Tabla 2.2): n.º de temas</t>
  </si>
  <si>
    <t>Área de aplicación</t>
  </si>
  <si>
    <t>Salud y enfermedad</t>
  </si>
  <si>
    <t>Recursos naturales</t>
  </si>
  <si>
    <t>Impactos ambientales y cambio climático</t>
  </si>
  <si>
    <t>Riesgos</t>
  </si>
  <si>
    <t>Avances y desafíos científicos y tecnológicos</t>
  </si>
  <si>
    <t>Bloque 3 · Demanda cognitiva de lo que pide cada tema (Figura 2.2; sin meta en el marco)</t>
  </si>
  <si>
    <t>Baja</t>
  </si>
  <si>
    <t>Media</t>
  </si>
  <si>
    <t>Alta</t>
  </si>
  <si>
    <t>% baja</t>
  </si>
  <si>
    <t>% media</t>
  </si>
  <si>
    <t>% alta</t>
  </si>
  <si>
    <t>% Razonar en la malla (TIMSS, mismo grupo)</t>
  </si>
  <si>
    <t>Cómo se calcula: PISA sitúa sus preguntas en contextos personales, locales/nacionales y globales en proporción ≈ 1:2:1 (p. 53), dentro de cinco áreas de aplicación (Tabla 2.2). No es una meta curricular, pero indica si la malla enseña la ciencia conectada con situaciones reales. «Sin contexto» = el tema es conceptual o de laboratorio, sin situación de vida real. La demanda cognitiva (baja/media/alta, Figura 2.2) no tiene meta en el marco. Clasificación asistida por IA (hoja Datos - Temas, columnas AQ-AS).</t>
  </si>
  <si>
    <t>Datos - Temas</t>
  </si>
  <si>
    <t>Trazabilidad: cada tema de las mallas y su clasificación contra TIMSS</t>
  </si>
  <si>
    <t>TIMSS 2027 (columnas K–AC) y PISA 2025 (columnas AD–AW)
● Un tema por fila: 1260 en total; 889 con clasificación TIMSS y 274 con PISA (7.°–9.°).
● Confianza baja (para revisar primero): 109 en TIMSS (incluye Física de Bachillerato) y 6 en PISA.
→ Cambia un código en K–L (TIMSS) o AK–AL (PISA) y todo el libro se recalcula.</t>
  </si>
  <si>
    <t>ID tema</t>
  </si>
  <si>
    <t>Asignatura</t>
  </si>
  <si>
    <t>Archivo de origen</t>
  </si>
  <si>
    <t>Hoja</t>
  </si>
  <si>
    <t>Fila</t>
  </si>
  <si>
    <t>Procedimental (tema)</t>
  </si>
  <si>
    <t>Objetivo TIMSS principal</t>
  </si>
  <si>
    <t>Objetivo TIMSS secundario</t>
  </si>
  <si>
    <t>Dominio (principal)</t>
  </si>
  <si>
    <t>Área temática (principal)</t>
  </si>
  <si>
    <t>Dominio (secundario)</t>
  </si>
  <si>
    <t>Justificación de la clasificación</t>
  </si>
  <si>
    <t>Habilidad TIMSS (texto de la malla)</t>
  </si>
  <si>
    <t>Conocer (fracción)</t>
  </si>
  <si>
    <t>Aplicar (fracción)</t>
  </si>
  <si>
    <t>Razonar (fracción)</t>
  </si>
  <si>
    <t>Ambiental (obj. principal o secundario: 1 = sí)</t>
  </si>
  <si>
    <t>Investigaciones como principal (1 = sí)</t>
  </si>
  <si>
    <t>Investigaciones como secundario (1 = sí)</t>
  </si>
  <si>
    <t>Objetivo principal v1 (TIMSS 2023)</t>
  </si>
  <si>
    <t>Objetivo secundario v1 (TIMSS 2023)</t>
  </si>
  <si>
    <t>Dominio principal v1 (TIMSS 2023)</t>
  </si>
  <si>
    <t>Competencia PISA (malla)</t>
  </si>
  <si>
    <t>Competencia (código)</t>
  </si>
  <si>
    <t>Microhabilidad PISA · Aproximar</t>
  </si>
  <si>
    <t>Microhabilidad PISA · Explorar</t>
  </si>
  <si>
    <t>Microhabilidad PISA · Explicar</t>
  </si>
  <si>
    <t>Microhabilidad PISA · Indagar</t>
  </si>
  <si>
    <t>Microhabilidad PISA · Reforzar</t>
  </si>
  <si>
    <t>Contenido PISA principal</t>
  </si>
  <si>
    <t>Contenido PISA secundario</t>
  </si>
  <si>
    <t>Sistema PISA (principal)</t>
  </si>
  <si>
    <t>Tipo de conocimiento predominante</t>
  </si>
  <si>
    <t>Conocimiento procedimental (códigos)</t>
  </si>
  <si>
    <t>Conocimiento epistémico (códigos)</t>
  </si>
  <si>
    <t>Contexto PISA</t>
  </si>
  <si>
    <t>Demanda cognitiva</t>
  </si>
  <si>
    <t>Confianza PISA</t>
  </si>
  <si>
    <t>Justificación PISA</t>
  </si>
  <si>
    <t>Ciclo PISA</t>
  </si>
  <si>
    <t>Microhabilidades PISA (las 5 fases)</t>
  </si>
  <si>
    <t>T0639-G02-CIE</t>
  </si>
  <si>
    <t>Ciencias</t>
  </si>
  <si>
    <t>Matriz_Ciencias_2do_Grado_U1_U6_3.xlsx</t>
  </si>
  <si>
    <t>Unidad 1 - Materia</t>
  </si>
  <si>
    <t>1. Materia.</t>
  </si>
  <si>
    <t>¿Qué es medir?</t>
  </si>
  <si>
    <t>1.1. Manipulación de distintos instrumentos de medición.</t>
  </si>
  <si>
    <r>
      <rPr>
        <sz val="10"/>
        <color indexed="8"/>
        <rFont val="Arial"/>
      </rPr>
      <t>Investigaciones en ciencias físicas</t>
    </r>
  </si>
  <si>
    <t>Uso de regla, balanza y termómetro sin contenido disciplinar: equipo de investigación.</t>
  </si>
  <si>
    <t>Conocer: reconocer instrumentos. Aplicar: usar instrumentos sencillos</t>
  </si>
  <si>
    <t>FUERA</t>
  </si>
  <si>
    <t>Fuera del marco</t>
  </si>
  <si>
    <t>2. Construir y evaluar diseños para la indagación científica e interpretar datos y evidencia de forma crítica</t>
  </si>
  <si>
    <t>C2</t>
  </si>
  <si>
    <r>
      <rPr>
        <sz val="10"/>
        <color indexed="8"/>
        <rFont val="Arial"/>
      </rPr>
      <t>E1; D1; E2; D2; E3</t>
    </r>
  </si>
  <si>
    <t>T0640-G02-CIE</t>
  </si>
  <si>
    <t>1.2. Indagación de los conceptos de medición, magnitudes cuantitativas y cualitativas.</t>
  </si>
  <si>
    <t>Concepto de medir y observación cualitativa/cuantitativa; práctica científica general.</t>
  </si>
  <si>
    <t>Conocer: describir. Aplicar: comparar</t>
  </si>
  <si>
    <r>
      <rPr>
        <sz val="10"/>
        <color indexed="8"/>
        <rFont val="Arial"/>
      </rPr>
      <t>E1; D1; E2; D4; I2</t>
    </r>
  </si>
  <si>
    <t>T0641-G02-CIE</t>
  </si>
  <si>
    <t>La materia y sus propiedades.</t>
  </si>
  <si>
    <t>1.3. Organización de materiales del entorno por sus propiedades físicas y procedencia.</t>
  </si>
  <si>
    <r>
      <rPr>
        <sz val="10"/>
        <color indexed="8"/>
        <rFont val="Arial"/>
      </rPr>
      <t>Propiedades y cambios de la materia</t>
    </r>
  </si>
  <si>
    <t>Agrupa materiales según propiedades físicas observables.</t>
  </si>
  <si>
    <t>Aplicar: clasificar</t>
  </si>
  <si>
    <t>T4-F1.2</t>
  </si>
  <si>
    <r>
      <rPr>
        <sz val="10"/>
        <color indexed="8"/>
        <rFont val="Arial"/>
      </rPr>
      <t>E1; D1; E2; D4; E1</t>
    </r>
  </si>
  <si>
    <t>T0642-G02-CIE</t>
  </si>
  <si>
    <t>1.4. Manipulación de materiales del entorno para identificar sus propiedades físicas.</t>
  </si>
  <si>
    <t>Pruebas sencillas de propiedades: flexibilidad, dureza, magnetismo, transparencia.</t>
  </si>
  <si>
    <t>Conocer: identificar. Aplicar: comparar</t>
  </si>
  <si>
    <r>
      <rPr>
        <sz val="10"/>
        <color indexed="8"/>
        <rFont val="Arial"/>
      </rPr>
      <t>E1; E5; E1; D2; E3</t>
    </r>
  </si>
  <si>
    <t>T0643-G02-CIE</t>
  </si>
  <si>
    <t>1.5. Relación entre las propiedades físicas y la utilidad de los materiales.</t>
  </si>
  <si>
    <t>Relaciona propiedades de materiales con sus usos.</t>
  </si>
  <si>
    <t>Aplicar: relacionar. Razonar: justificar con sus palabras</t>
  </si>
  <si>
    <t>1. Explicar fenómenos científicamente</t>
  </si>
  <si>
    <t>C1</t>
  </si>
  <si>
    <r>
      <rPr>
        <sz val="10"/>
        <color indexed="8"/>
        <rFont val="Arial"/>
      </rPr>
      <t>E1; E5; E1; D2; I5</t>
    </r>
  </si>
  <si>
    <t>T0644-G02-CIE</t>
  </si>
  <si>
    <t>Transformaciones de la materia.</t>
  </si>
  <si>
    <t>1.6. Reconocimiento de las propiedades químicas de la materia.</t>
  </si>
  <si>
    <t>Cambios que producen materiales nuevos: tostado, oxidación, combustión.</t>
  </si>
  <si>
    <t>Conocer: reconocer y dar ejemplos</t>
  </si>
  <si>
    <t>T4-F1.5</t>
  </si>
  <si>
    <r>
      <rPr>
        <sz val="10"/>
        <color indexed="8"/>
        <rFont val="Arial"/>
      </rPr>
      <t>E1; D1; E2; D4; E6</t>
    </r>
  </si>
  <si>
    <t>T0645-G02-CIE</t>
  </si>
  <si>
    <t>1.7. Experimentación con las propiedades químicas de la materia.</t>
  </si>
  <si>
    <t>Reacción bicarbonato-vinagre como cambio químico; predicción y registro antes-después.</t>
  </si>
  <si>
    <t>Razonar: predecir y extraer conclusiones sencillas</t>
  </si>
  <si>
    <r>
      <rPr>
        <sz val="10"/>
        <color indexed="8"/>
        <rFont val="Arial"/>
      </rPr>
      <t>E1; E3; E1; D4; D3</t>
    </r>
  </si>
  <si>
    <t>T0646-G02-CIE</t>
  </si>
  <si>
    <t>Estados de la materia y sus cambios.</t>
  </si>
  <si>
    <t>1.8. Observación de los cambios de estado del agua al calentarla o enfriarla.</t>
  </si>
  <si>
    <t>Cambios de estado del agua al calentar o enfriar.</t>
  </si>
  <si>
    <t>Aplicar: relacionar</t>
  </si>
  <si>
    <t>T4-F1.4</t>
  </si>
  <si>
    <t>T4-F1.1</t>
  </si>
  <si>
    <r>
      <rPr>
        <sz val="10"/>
        <color indexed="8"/>
        <rFont val="Arial"/>
      </rPr>
      <t>E1; E5; E4; D4; E3</t>
    </r>
  </si>
  <si>
    <t>T0647-G02-CIE</t>
  </si>
  <si>
    <t>Mezclas.</t>
  </si>
  <si>
    <t>1.9. Preparación de mezclas sencillas y separación de sus componentes a mano, con colador o tamiz.</t>
  </si>
  <si>
    <t>Mezclas y separación física con colador o tamiz.</t>
  </si>
  <si>
    <t>Aplicar: clasificar. Razonar: elegir un procedimiento</t>
  </si>
  <si>
    <r>
      <rPr>
        <sz val="10"/>
        <color indexed="8"/>
        <rFont val="Arial"/>
      </rPr>
      <t>E1; D1; E1; D2; D3</t>
    </r>
  </si>
  <si>
    <t>T0648-G02-CIE</t>
  </si>
  <si>
    <t>¿Flota o se hunde?</t>
  </si>
  <si>
    <t>1.10. Predicción y comprobación de objetos que flotan o se hunden en el agua.</t>
  </si>
  <si>
    <t>Flotación como propiedad; compara predicciones con resultados.</t>
  </si>
  <si>
    <t>Razonar: predecir y comprobar</t>
  </si>
  <si>
    <r>
      <rPr>
        <sz val="10"/>
        <color indexed="8"/>
        <rFont val="Arial"/>
      </rPr>
      <t>E1; E3; E1; D4; I4</t>
    </r>
  </si>
  <si>
    <t>T0649-G02-CIE</t>
  </si>
  <si>
    <t>Los materiales y el ambiente.</t>
  </si>
  <si>
    <t>1.11. Reutilización de materiales de desecho según sus propiedades para darles un nuevo uso.</t>
  </si>
  <si>
    <t>Elige material de desecho según sus propiedades para nuevo uso.</t>
  </si>
  <si>
    <t>Aplicar: relacionar propiedades y usos. Razonar: justificar con sus palabras</t>
  </si>
  <si>
    <t>T4-T1.2</t>
  </si>
  <si>
    <t>3. Investigar, evaluar y usar información científica para tomar decisiones y actuar</t>
  </si>
  <si>
    <t>C3</t>
  </si>
  <si>
    <r>
      <rPr>
        <sz val="10"/>
        <color indexed="8"/>
        <rFont val="Arial"/>
      </rPr>
      <t>E1; D1; E1; D2; I5</t>
    </r>
  </si>
  <si>
    <t>T0650-G02-CIE</t>
  </si>
  <si>
    <t>Unidad 2 - Energía</t>
  </si>
  <si>
    <t>2. Energía.</t>
  </si>
  <si>
    <t>La energía</t>
  </si>
  <si>
    <t>2.1. Observación de fenómenos donde la energía es visible.</t>
  </si>
  <si>
    <r>
      <rPr>
        <sz val="10"/>
        <color indexed="8"/>
        <rFont val="Arial"/>
      </rPr>
      <t>Energía y transferencia de energía</t>
    </r>
  </si>
  <si>
    <t>Reconoce formas de energía en situaciones cotidianas.</t>
  </si>
  <si>
    <t>Conocer: identificar y dar ejemplos</t>
  </si>
  <si>
    <t>T4-F2.1</t>
  </si>
  <si>
    <r>
      <rPr>
        <sz val="10"/>
        <color indexed="8"/>
        <rFont val="Arial"/>
      </rPr>
      <t>E1; E5; E2; D4; E1</t>
    </r>
  </si>
  <si>
    <t>T0651-G02-CIE</t>
  </si>
  <si>
    <t>Formas de energía.</t>
  </si>
  <si>
    <t>2.1. Experimentación con la energía mecánica, utilizando objetos de su entorno.</t>
  </si>
  <si>
    <r>
      <rPr>
        <sz val="10"/>
        <color indexed="8"/>
        <rFont val="Arial"/>
      </rPr>
      <t>Movimiento y fuerzas</t>
    </r>
  </si>
  <si>
    <t>Empujar con más fuerza cambia el movimiento del objeto.</t>
  </si>
  <si>
    <t>Aplicar: comparar. Razonar: predecir</t>
  </si>
  <si>
    <t>T4-F3.1</t>
  </si>
  <si>
    <r>
      <rPr>
        <sz val="10"/>
        <color indexed="8"/>
        <rFont val="Arial"/>
      </rPr>
      <t>E1; E3; E1; D2; D3</t>
    </r>
  </si>
  <si>
    <t>T0652-G02-CIE</t>
  </si>
  <si>
    <t>2.2. Indagación de los dispositivos que requieren electricidad y su fuente de energía.</t>
  </si>
  <si>
    <t>Aparatos que usan energía eléctrica en la vida diaria.</t>
  </si>
  <si>
    <t>T4-F2.4</t>
  </si>
  <si>
    <r>
      <rPr>
        <sz val="10"/>
        <color indexed="8"/>
        <rFont val="Arial"/>
      </rPr>
      <t>E1; D1; E1; D4; E6</t>
    </r>
  </si>
  <si>
    <t>T0653-G02-CIE</t>
  </si>
  <si>
    <t>2.3. Identificación de fuentes naturales de energía eléctrica.</t>
  </si>
  <si>
    <r>
      <rPr>
        <sz val="10"/>
        <color indexed="8"/>
        <rFont val="Arial"/>
      </rPr>
      <t>Recursos de la Tierra, uso y conservación</t>
    </r>
  </si>
  <si>
    <t>Agua, sol y geotermia como recursos para generar electricidad.</t>
  </si>
  <si>
    <t>Conocer: reconocer. Aplicar: relacionar</t>
  </si>
  <si>
    <r>
      <rPr>
        <sz val="10"/>
        <color indexed="8"/>
        <rFont val="Arial"/>
      </rPr>
      <t>E6; E5; E2; I1; I5</t>
    </r>
  </si>
  <si>
    <t>T0654-G02-CIE</t>
  </si>
  <si>
    <t>2.4. Indagación de las fuentes de energía térmica del entorno.</t>
  </si>
  <si>
    <t>Fuentes de calor cotidianas y su uso seguro.</t>
  </si>
  <si>
    <r>
      <rPr>
        <sz val="10"/>
        <color indexed="8"/>
        <rFont val="Arial"/>
      </rPr>
      <t>E1; D1; E1; D4; I5</t>
    </r>
  </si>
  <si>
    <t>T0655-G02-CIE</t>
  </si>
  <si>
    <t>2.5. Exploración de sonidos producidos al hacer vibrar objetos del entorno (ligas, vasos con agua, tambores caseros).</t>
  </si>
  <si>
    <r>
      <rPr>
        <sz val="10"/>
        <color indexed="8"/>
        <rFont val="Arial"/>
      </rPr>
      <t>Luz y sonido</t>
    </r>
  </si>
  <si>
    <t>Sonido producido por objetos que vibran; fuerte, suave, agudo, grave.</t>
  </si>
  <si>
    <t>Conocer: identificar y describir. Aplicar: comparar</t>
  </si>
  <si>
    <t>T4-F2.2</t>
  </si>
  <si>
    <t>T0656-G02-CIE</t>
  </si>
  <si>
    <t>Fuentes de energía.</t>
  </si>
  <si>
    <t>2.6. Comparación de objetos colocados al sol y a la sombra para observar el efecto de la energía solar.</t>
  </si>
  <si>
    <t>Calentamiento al sol frente a sombra; comparación controlada con predicción.</t>
  </si>
  <si>
    <t>T4-F2.3</t>
  </si>
  <si>
    <r>
      <rPr>
        <sz val="10"/>
        <color indexed="8"/>
        <rFont val="Arial"/>
      </rPr>
      <t>E1; E3; E1; D3; E6</t>
    </r>
  </si>
  <si>
    <t>T0657-G02-CIE</t>
  </si>
  <si>
    <t>Uso responsable de la energía.</t>
  </si>
  <si>
    <t>2.7. Identificación de acciones sencillas para ahorrar energía eléctrica en el hogar y la escuela.</t>
  </si>
  <si>
    <t>Uso responsable de la energía eléctrica en casa y escuela.</t>
  </si>
  <si>
    <r>
      <rPr>
        <sz val="10"/>
        <color indexed="8"/>
        <rFont val="Arial"/>
      </rPr>
      <t>E6; D1; E1; I3; I5</t>
    </r>
  </si>
  <si>
    <t>T0658-G02-CIE</t>
  </si>
  <si>
    <t>Transformaciones de la energía.</t>
  </si>
  <si>
    <t>2.8. Experimentación con distintas transformaciones energéticas comunes.</t>
  </si>
  <si>
    <t>Energía eléctrica transformada en luz o movimiento en aparatos.</t>
  </si>
  <si>
    <t>Aplicar: relacionar y usar modelos sencillos (secuencias)</t>
  </si>
  <si>
    <r>
      <rPr>
        <sz val="10"/>
        <color indexed="8"/>
        <rFont val="Arial"/>
      </rPr>
      <t>E1; E5; E4; D4; E4</t>
    </r>
  </si>
  <si>
    <t>T0659-G02-CIE</t>
  </si>
  <si>
    <t>La luz.</t>
  </si>
  <si>
    <t>2.9. Registro de las diferentes fuentes de energía lumínica, naturales y artificiales.</t>
  </si>
  <si>
    <t>Fuentes de luz naturales y artificiales en la vida diaria.</t>
  </si>
  <si>
    <t>T0660-G02-CIE</t>
  </si>
  <si>
    <t>2.10. Experimentación con colores primarios a partir de la mezcla de pinturas.</t>
  </si>
  <si>
    <t>Mezcla de pigmentos; no corresponde a luz ni cambios de materia.</t>
  </si>
  <si>
    <r>
      <rPr>
        <sz val="10"/>
        <color indexed="8"/>
        <rFont val="Arial"/>
      </rPr>
      <t>E1; E3; E1; D4; E3</t>
    </r>
  </si>
  <si>
    <t>T0661-G02-CIE</t>
  </si>
  <si>
    <t>2.11. Experimentación con materiales que dejan pasar la luz, la dejan pasar en parte o no la dejan pasar.</t>
  </si>
  <si>
    <t>Paso de la luz por materiales; clasifica opacos, transparentes, translúcidos.</t>
  </si>
  <si>
    <t>T0662-G02-CIE</t>
  </si>
  <si>
    <t>Unidad 3 - Movimiento</t>
  </si>
  <si>
    <t>¿Qué es el movimiento?</t>
  </si>
  <si>
    <t>3.1. Observación de objetos y seres vivos del entorno que se mueven o están en reposo.</t>
  </si>
  <si>
    <t>Distingue objetos en movimiento y en reposo.</t>
  </si>
  <si>
    <r>
      <rPr>
        <sz val="10"/>
        <color indexed="8"/>
        <rFont val="Arial"/>
      </rPr>
      <t>E1; D1; E1; D4; E1</t>
    </r>
  </si>
  <si>
    <t>T0663-G02-CIE</t>
  </si>
  <si>
    <t>Las características del movimiento</t>
  </si>
  <si>
    <t>3.2. Comparación de la rapidez y la dirección del movimiento de objetos y personas.</t>
  </si>
  <si>
    <t>Compara rapidez y dirección del movimiento de objetos.</t>
  </si>
  <si>
    <r>
      <rPr>
        <sz val="10"/>
        <color indexed="8"/>
        <rFont val="Arial"/>
      </rPr>
      <t>E1; E3; E2; D3; E6</t>
    </r>
  </si>
  <si>
    <t>T0664-G02-CIE</t>
  </si>
  <si>
    <t>Los tipos de movimiento</t>
  </si>
  <si>
    <t>3.3. Clasificación de movimientos de objetos del entorno según el camino que siguen.</t>
  </si>
  <si>
    <t>Describe trayectorias de movimiento de objetos cotidianos.</t>
  </si>
  <si>
    <t>T0665-G02-CIE</t>
  </si>
  <si>
    <t>Movimiento de rotación de la Tierra.</t>
  </si>
  <si>
    <t>3.4. Indagación de la percepción del día y la noche.</t>
  </si>
  <si>
    <r>
      <rPr>
        <sz val="10"/>
        <color indexed="8"/>
        <rFont val="Arial"/>
      </rPr>
      <t>La Tierra en el sistema solar</t>
    </r>
  </si>
  <si>
    <t>Patrones observables del día y la noche.</t>
  </si>
  <si>
    <t>Conocer: describir</t>
  </si>
  <si>
    <t>T4-T3.2</t>
  </si>
  <si>
    <r>
      <rPr>
        <sz val="10"/>
        <color indexed="8"/>
        <rFont val="Arial"/>
      </rPr>
      <t>E1; E5; E1; D4; I4</t>
    </r>
  </si>
  <si>
    <t>T0666-G02-CIE</t>
  </si>
  <si>
    <t>3.5. Modelación de la interacción Sol-Tierra para representar la sucesión del día y la noche por la rotación de la Tierra.</t>
  </si>
  <si>
    <t>Modelo de rotación terrestre que explica día y noche.</t>
  </si>
  <si>
    <t>Aplicar: usar modelos sencillos</t>
  </si>
  <si>
    <r>
      <rPr>
        <sz val="10"/>
        <color indexed="8"/>
        <rFont val="Arial"/>
      </rPr>
      <t>E1; E5; E4; E4; E3</t>
    </r>
  </si>
  <si>
    <t>T0667-G02-CIE</t>
  </si>
  <si>
    <t>Movimiento de traslación de la Tierra.</t>
  </si>
  <si>
    <t>3.6. Relación del movimiento de traslación de la Tierra con el calendario.</t>
  </si>
  <si>
    <t>Una vuelta de la Tierra al Sol equivale a un año.</t>
  </si>
  <si>
    <t>T4-T3.1</t>
  </si>
  <si>
    <r>
      <rPr>
        <sz val="10"/>
        <color indexed="8"/>
        <rFont val="Arial"/>
      </rPr>
      <t>E1; D1; E4; D4; E1</t>
    </r>
  </si>
  <si>
    <t>T0668-G02-CIE</t>
  </si>
  <si>
    <t>3.7. Identificación de las características de las estaciones del año.</t>
  </si>
  <si>
    <r>
      <rPr>
        <sz val="10"/>
        <color indexed="8"/>
        <rFont val="Arial"/>
      </rPr>
      <t>La atmósfera terrestre</t>
    </r>
  </si>
  <si>
    <t>Cambios estacionales de temperatura y lluvia.</t>
  </si>
  <si>
    <t>T4-T2.3</t>
  </si>
  <si>
    <t>T4-T2.2</t>
  </si>
  <si>
    <r>
      <rPr>
        <sz val="10"/>
        <color indexed="8"/>
        <rFont val="Arial"/>
      </rPr>
      <t>E1; D1; E2; I2; I4</t>
    </r>
  </si>
  <si>
    <t>T0669-G02-CIE</t>
  </si>
  <si>
    <t>3.8. Descripción de los fenómenos que caracterizan las estaciones del año percibidas en El Salvador.</t>
  </si>
  <si>
    <t>Época seca y lluviosa; registro diario del tiempo atmosférico.</t>
  </si>
  <si>
    <t>Razonar: extraer conclusiones sencillas a partir de registros</t>
  </si>
  <si>
    <r>
      <rPr>
        <sz val="10"/>
        <color indexed="8"/>
        <rFont val="Arial"/>
      </rPr>
      <t>E1; E3; E1; I3; I5</t>
    </r>
  </si>
  <si>
    <t>T0670-G02-CIE</t>
  </si>
  <si>
    <t>Unidad 4 - Seres vivos</t>
  </si>
  <si>
    <t>4. Seres vivos.</t>
  </si>
  <si>
    <t>¿Qué es un ser vivo?</t>
  </si>
  <si>
    <t>1.8. Comparación entre las características unificadoras de los seres vivos.</t>
  </si>
  <si>
    <r>
      <rPr>
        <sz val="10"/>
        <color indexed="8"/>
        <rFont val="Arial"/>
      </rPr>
      <t>Características y procesos vitales de los organismos</t>
    </r>
  </si>
  <si>
    <t>Distingue seres vivos de no vivos por sus características.</t>
  </si>
  <si>
    <t>T4-V1.1</t>
  </si>
  <si>
    <r>
      <rPr>
        <sz val="10"/>
        <color indexed="8"/>
        <rFont val="Arial"/>
      </rPr>
      <t>Ciencias de la vida</t>
    </r>
  </si>
  <si>
    <r>
      <rPr>
        <sz val="10"/>
        <color indexed="8"/>
        <rFont val="Arial"/>
      </rPr>
      <t>E1; D1; E1; D4; I4</t>
    </r>
  </si>
  <si>
    <t>T0671-G02-CIE</t>
  </si>
  <si>
    <t>Características de los seres vivos.</t>
  </si>
  <si>
    <t>1.9. Experimentación con la forma en que los seres vivos reaccionan a lo que ocurre a su alrededor (luz, tacto, calor).</t>
  </si>
  <si>
    <t>Respuesta de seres vivos a estímulos externos: tacto, luz.</t>
  </si>
  <si>
    <t>Aplicar: relacionar. Razonar: predecir</t>
  </si>
  <si>
    <t>T4-V3.2</t>
  </si>
  <si>
    <r>
      <rPr>
        <sz val="10"/>
        <color indexed="8"/>
        <rFont val="Arial"/>
      </rPr>
      <t>E1; E3; E1; D4; E1</t>
    </r>
  </si>
  <si>
    <t>T0672-G02-CIE</t>
  </si>
  <si>
    <t>1.10. Registro con dibujos de los cambios en el crecimiento de un ser vivo.</t>
  </si>
  <si>
    <r>
      <rPr>
        <sz val="10"/>
        <color indexed="8"/>
        <rFont val="Arial"/>
      </rPr>
      <t>Ciclos de vida, reproducción y herencia</t>
    </r>
  </si>
  <si>
    <t>Etapas del ciclo de vida de una planta de frijol.</t>
  </si>
  <si>
    <t>Aplicar: usar secuencias. Razonar: extraer conclusiones sencillas</t>
  </si>
  <si>
    <t>T4-V2.1</t>
  </si>
  <si>
    <r>
      <rPr>
        <sz val="10"/>
        <color indexed="8"/>
        <rFont val="Arial"/>
      </rPr>
      <t>E1; E3; E2; D4; E1</t>
    </r>
  </si>
  <si>
    <t>T0673-G02-CIE</t>
  </si>
  <si>
    <t>¿Dónde se encuentran los seres vivos?</t>
  </si>
  <si>
    <t>1.11. Observación de los lugares del entorno donde viven los seres vivos.</t>
  </si>
  <si>
    <r>
      <rPr>
        <sz val="10"/>
        <color indexed="8"/>
        <rFont val="Arial"/>
      </rPr>
      <t>Ecosistemas</t>
    </r>
  </si>
  <si>
    <t>Lugares donde viven seres vivos y rasgos relacionados con ellos.</t>
  </si>
  <si>
    <t>T4-V4.1</t>
  </si>
  <si>
    <r>
      <rPr>
        <sz val="10"/>
        <color indexed="8"/>
        <rFont val="Arial"/>
      </rPr>
      <t>E1; D1; E1; D4; E3</t>
    </r>
  </si>
  <si>
    <t>T0674-G02-CIE</t>
  </si>
  <si>
    <t>¿Cuántos tipos de organismos existen?</t>
  </si>
  <si>
    <t>4.1. Observación de la variedad de seres vivos del entorno (biodiversidad).</t>
  </si>
  <si>
    <t>Variedad de seres vivos del entorno; reconoce distintos tipos.</t>
  </si>
  <si>
    <t>Conocer: dar ejemplos</t>
  </si>
  <si>
    <t>T4-V1.2</t>
  </si>
  <si>
    <t>T0675-G02-CIE</t>
  </si>
  <si>
    <t>4.2. Clasificación de seres vivos en grupos, según sus características.</t>
  </si>
  <si>
    <t>Clasifica seres vivos por rasgos observables.</t>
  </si>
  <si>
    <t>T0676-G02-CIE</t>
  </si>
  <si>
    <t>Reconociendo plantas.</t>
  </si>
  <si>
    <t>4.3. Reconocimiento de las características físicas y la nutrición de las plantas.</t>
  </si>
  <si>
    <t>Partes de la planta y sus necesidades para vivir.</t>
  </si>
  <si>
    <t>Conocer: identificar partes. Aplicar: relacionar</t>
  </si>
  <si>
    <t>T4-V1.3</t>
  </si>
  <si>
    <r>
      <rPr>
        <sz val="10"/>
        <color indexed="8"/>
        <rFont val="Arial"/>
      </rPr>
      <t>E1; E5; E4; D2; I5</t>
    </r>
  </si>
  <si>
    <t>T0677-G02-CIE</t>
  </si>
  <si>
    <t>4.4. Comparación entre plantas silvestres y de cultivo.</t>
  </si>
  <si>
    <t>Plantas silvestres y cultivadas; encaje débil con ecosistemas comunes.</t>
  </si>
  <si>
    <t>Aplicar: comparar</t>
  </si>
  <si>
    <r>
      <rPr>
        <sz val="10"/>
        <color indexed="8"/>
        <rFont val="Arial"/>
      </rPr>
      <t>E1; D1; E1; I1; E6</t>
    </r>
  </si>
  <si>
    <t>T0678-G02-CIE</t>
  </si>
  <si>
    <t>Importancia de las plantas.</t>
  </si>
  <si>
    <t>4.5. Identificación y registro de los productos de origen vegetal.</t>
  </si>
  <si>
    <t>Productos vegetales cotidianos; recursos 2027 no incluyen cultivos ni alimentos.</t>
  </si>
  <si>
    <t>T0679-G02-CIE</t>
  </si>
  <si>
    <t>4.6. Clasificación de plantas según su uso: alimenticias, ornamentales, medicinales y otros.</t>
  </si>
  <si>
    <t>Usos humanos de plantas; fuera de la lista cerrada de recursos 2027.</t>
  </si>
  <si>
    <t>Aplicar: clasificar. Razonar: justificar</t>
  </si>
  <si>
    <r>
      <rPr>
        <sz val="10"/>
        <color indexed="8"/>
        <rFont val="Arial"/>
      </rPr>
      <t>E1; D1; E1; I2; I5</t>
    </r>
  </si>
  <si>
    <t>T0680-G02-CIE</t>
  </si>
  <si>
    <t>Reconociendo animales.</t>
  </si>
  <si>
    <t>4.7. Reconocimiento de las características físicas de grupos comunes de animales.</t>
  </si>
  <si>
    <t>Rasgos físicos de grupos de animales: pelo, plumas, escamas.</t>
  </si>
  <si>
    <t>Conocer: describir. Aplicar: clasificar</t>
  </si>
  <si>
    <t>T0681-G02-CIE</t>
  </si>
  <si>
    <t>4.8. Relación de las características físicas de un animal con su alimentación y su hábitat.</t>
  </si>
  <si>
    <r>
      <rPr>
        <sz val="10"/>
        <color indexed="8"/>
        <rFont val="Arial"/>
      </rPr>
      <t>Diversidad y adaptación</t>
    </r>
  </si>
  <si>
    <t>Rasgos físicos asociados a alimentación y hábitat del animal.</t>
  </si>
  <si>
    <t>Aplicar: relacionar. Razonar: justificar</t>
  </si>
  <si>
    <t>T4-V3.1</t>
  </si>
  <si>
    <r>
      <rPr>
        <sz val="10"/>
        <color indexed="8"/>
        <rFont val="Arial"/>
      </rPr>
      <t>E1; E5; E1; I4; E3</t>
    </r>
  </si>
  <si>
    <t>T0682-G02-CIE</t>
  </si>
  <si>
    <t>4.9. Clasificación de las formas de desplazamiento de los animales.</t>
  </si>
  <si>
    <t>Clasifica animales por su forma de desplazarse.</t>
  </si>
  <si>
    <r>
      <rPr>
        <sz val="10"/>
        <color indexed="8"/>
        <rFont val="Arial"/>
      </rPr>
      <t>E1; D1; E2; D4; E3</t>
    </r>
  </si>
  <si>
    <t>T0683-G02-CIE</t>
  </si>
  <si>
    <t>Importancia de los animales.</t>
  </si>
  <si>
    <t>4.10. Identificación y registro de los productos de origen animal.</t>
  </si>
  <si>
    <t>Productos de origen animal; fuera de la lista cerrada de recursos 2027.</t>
  </si>
  <si>
    <t>T0684-G02-CIE</t>
  </si>
  <si>
    <t>4.11. Comparación entre animales silvestres y domésticos.</t>
  </si>
  <si>
    <t>Animales silvestres y domésticos; encaje débil con ecosistemas comunes.</t>
  </si>
  <si>
    <t>T0685-G02-CIE</t>
  </si>
  <si>
    <t>4.12. Identificación de amenazas y formas de protección de los animales.</t>
  </si>
  <si>
    <t>Amenazas humanas a los animales y acciones de protección.</t>
  </si>
  <si>
    <t>Razonar: justificar con sus palabras</t>
  </si>
  <si>
    <t>T4-V3.3</t>
  </si>
  <si>
    <r>
      <rPr>
        <sz val="10"/>
        <color indexed="8"/>
        <rFont val="Arial"/>
      </rPr>
      <t>E6; D1; E6; I3; I5</t>
    </r>
  </si>
  <si>
    <t>T0686-G02-CIE</t>
  </si>
  <si>
    <t>Reconociendo los microorganismos.</t>
  </si>
  <si>
    <t>4.13. Observación, sin abrir las bolsas, del moho que aparece en el pan (efecto de los microorganismos en los alimentos).</t>
  </si>
  <si>
    <t>Moho crece con humedad; microorganismos no figuran en grupos 2027.</t>
  </si>
  <si>
    <t>T4-V5.2</t>
  </si>
  <si>
    <r>
      <rPr>
        <sz val="10"/>
        <color indexed="8"/>
        <rFont val="Arial"/>
      </rPr>
      <t>E1; E5; E1; D3; E6</t>
    </r>
  </si>
  <si>
    <t>T0687-G02-CIE</t>
  </si>
  <si>
    <t>Reconociendo hongos.</t>
  </si>
  <si>
    <t>4.14. Reconocimiento de las características físicas y el hábitat de los hongos macroscópicos.</t>
  </si>
  <si>
    <t>Rasgos y hábitat de hongos; grupos 2027 solo plantas y animales.</t>
  </si>
  <si>
    <t>T0688-G02-CIE</t>
  </si>
  <si>
    <t>Unidad 5 - Objetos técnicos</t>
  </si>
  <si>
    <t>Equilibrio.</t>
  </si>
  <si>
    <t>5.1. Construcción de balanzas.</t>
  </si>
  <si>
    <t>Construcción de balanza: diseño de objeto tecnológico.</t>
  </si>
  <si>
    <t>Aplicar: usar instrumentos sencillos</t>
  </si>
  <si>
    <r>
      <rPr>
        <sz val="10"/>
        <color indexed="8"/>
        <rFont val="Arial"/>
      </rPr>
      <t>E1; D1; E4; D2; D3</t>
    </r>
  </si>
  <si>
    <t>T0689-G02-CIE</t>
  </si>
  <si>
    <t>5.2. Registro de valores de magnitud empleando una balanza.</t>
  </si>
  <si>
    <t>Estima y comprueba masa con balanza: uso de equipo de medición.</t>
  </si>
  <si>
    <t>Aplicar: medir. Razonar: estimar</t>
  </si>
  <si>
    <t>T0690-G02-CIE</t>
  </si>
  <si>
    <t>Estructuras.</t>
  </si>
  <si>
    <t>5.3. Construcción de una estructura rígida: modelo de puente o torre.</t>
  </si>
  <si>
    <t>Construcción de estructuras rígidas: tecnología y diseño.</t>
  </si>
  <si>
    <t>Aplicar: usar modelos</t>
  </si>
  <si>
    <r>
      <rPr>
        <sz val="10"/>
        <color indexed="8"/>
        <rFont val="Arial"/>
      </rPr>
      <t>E1; D1; E4; D3; E3</t>
    </r>
  </si>
  <si>
    <t>T0691-G02-CIE</t>
  </si>
  <si>
    <t>5.4. Registro de valores de la máxima resistencia que soporta una estructura.</t>
  </si>
  <si>
    <t>Predice, prueba y registra carga; práctica investigativa en contexto tecnológico.</t>
  </si>
  <si>
    <r>
      <rPr>
        <sz val="10"/>
        <color indexed="8"/>
        <rFont val="Arial"/>
      </rPr>
      <t>E1; E3; E1; D4; I3</t>
    </r>
  </si>
  <si>
    <t>T0692-G02-CIE</t>
  </si>
  <si>
    <t>Transformaciones.</t>
  </si>
  <si>
    <t>5.5. Construcción de un dispositivo transformador de energía (molinete de viento).</t>
  </si>
  <si>
    <t>Molinete: energía del viento transformada en movimiento.</t>
  </si>
  <si>
    <r>
      <rPr>
        <sz val="10"/>
        <color indexed="8"/>
        <rFont val="Arial"/>
      </rPr>
      <t>E1; E5; E4; D2; E6</t>
    </r>
  </si>
  <si>
    <t>T0693-G02-CIE</t>
  </si>
  <si>
    <t>5.6. Indagación de cómo optimizar un dispositivo de transformación de energía.</t>
  </si>
  <si>
    <t>Prueba variables del molinete y compara; diseño tecnológico con indagación.</t>
  </si>
  <si>
    <t>Razonar: evaluar y mejorar</t>
  </si>
  <si>
    <r>
      <rPr>
        <sz val="10"/>
        <color indexed="8"/>
        <rFont val="Arial"/>
      </rPr>
      <t>E1; D1; E1; D3; I5</t>
    </r>
  </si>
  <si>
    <t>T0694-G02-CIE</t>
  </si>
  <si>
    <t>Cuidado de plantas y animales.</t>
  </si>
  <si>
    <t>5.7. Registro de tareas para el cuidado de un animal.</t>
  </si>
  <si>
    <t>Cuidado de un animal según sus necesidades: agua y alimento.</t>
  </si>
  <si>
    <t>T0695-G02-CIE</t>
  </si>
  <si>
    <t>5.8. Construcción de una estructura para cuidar animales silvestres (bebedero o comedero de aves).</t>
  </si>
  <si>
    <t>Acción humana positiva para animales silvestres.</t>
  </si>
  <si>
    <t>Razonar: diseñar y evaluar</t>
  </si>
  <si>
    <r>
      <rPr>
        <sz val="10"/>
        <color indexed="8"/>
        <rFont val="Arial"/>
      </rPr>
      <t>E1; D1; E1; D3; E6</t>
    </r>
  </si>
  <si>
    <t>T0696-G02-CIE</t>
  </si>
  <si>
    <t>5.9. Construcción y uso de terrarios.</t>
  </si>
  <si>
    <t>Terrario: lo que las plantas necesitan para vivir.</t>
  </si>
  <si>
    <t>Razonar: predecir</t>
  </si>
  <si>
    <r>
      <rPr>
        <sz val="10"/>
        <color indexed="8"/>
        <rFont val="Arial"/>
      </rPr>
      <t>E1; E3; E4; D4; E4</t>
    </r>
  </si>
  <si>
    <t>T0697-G02-CIE</t>
  </si>
  <si>
    <t>Unidad 6 - Ambiente y salud</t>
  </si>
  <si>
    <t>Peligros en la escuela y el hogar.</t>
  </si>
  <si>
    <t>6.1. Reconocimiento y prevención de accidentes comunes.</t>
  </si>
  <si>
    <t>Prevención de accidentes: gestión de riesgos.</t>
  </si>
  <si>
    <r>
      <rPr>
        <sz val="10"/>
        <color indexed="8"/>
        <rFont val="Arial"/>
      </rPr>
      <t>E1; D1; E1; I3; I5</t>
    </r>
  </si>
  <si>
    <t>T0698-G02-CIE</t>
  </si>
  <si>
    <t>6.2. Identificación de los factores de peligro en el hogar y la escuela.</t>
  </si>
  <si>
    <t>Zonas de riesgo: gestión de riesgos.</t>
  </si>
  <si>
    <t>Aplicar: identificar y ubicar</t>
  </si>
  <si>
    <r>
      <rPr>
        <sz val="10"/>
        <color indexed="8"/>
        <rFont val="Arial"/>
      </rPr>
      <t>E1; D1; E2; D4; I5</t>
    </r>
  </si>
  <si>
    <t>T0699-G02-CIE</t>
  </si>
  <si>
    <t>Amenazas naturales.</t>
  </si>
  <si>
    <t>6.3. Reconocimiento de amenazas naturales comunes en El Salvador.</t>
  </si>
  <si>
    <t>Amenazas naturales; sin objetivo 2027 de sismos o volcanes.</t>
  </si>
  <si>
    <t>Conocer: reconocer</t>
  </si>
  <si>
    <r>
      <rPr>
        <sz val="10"/>
        <color indexed="8"/>
        <rFont val="Arial"/>
      </rPr>
      <t>E1; D1; E1; I2; I1</t>
    </r>
  </si>
  <si>
    <t>T0700-G02-CIE</t>
  </si>
  <si>
    <t>6.4. Clasificación de las amenazas naturales comunes en El Salvador.</t>
  </si>
  <si>
    <t>Clasificación de amenazas naturales: gestión de riesgos.</t>
  </si>
  <si>
    <t>T0701-G02-CIE</t>
  </si>
  <si>
    <t>6.5. Simulación de acciones a seguir durante una emergencia (sismo).</t>
  </si>
  <si>
    <t>Simulacro de sismo: gestión de riesgos.</t>
  </si>
  <si>
    <t>Aplicar: usar modelos (simulacro). Razonar: justificar</t>
  </si>
  <si>
    <r>
      <rPr>
        <sz val="10"/>
        <color indexed="8"/>
        <rFont val="Arial"/>
      </rPr>
      <t>E1; D1; E4; D3; I5</t>
    </r>
  </si>
  <si>
    <t>T0702-G02-CIE</t>
  </si>
  <si>
    <t>Acciones humanas que transforman el entorno.</t>
  </si>
  <si>
    <t>6.6. Reconocimiento de acciones humanas que transforman el entorno.</t>
  </si>
  <si>
    <t>Acciones humanas que transforman el ecosistema.</t>
  </si>
  <si>
    <t>T0703-G02-CIE</t>
  </si>
  <si>
    <t>6.7. Explicación de la procedencia y descarte de los materiales.</t>
  </si>
  <si>
    <t>Procedencia y descarte de materiales; uso responsable de recursos.</t>
  </si>
  <si>
    <r>
      <rPr>
        <sz val="10"/>
        <color indexed="8"/>
        <rFont val="Arial"/>
      </rPr>
      <t>E1; D1; E2; I3; I5</t>
    </r>
  </si>
  <si>
    <t>T0704-G02-CIE</t>
  </si>
  <si>
    <t>6.8. Registro de los residuos generados en la vida diaria.</t>
  </si>
  <si>
    <t>Residuos y su reducción; impacto humano en el entorno.</t>
  </si>
  <si>
    <t>Razonar: extraer conclusiones sencillas</t>
  </si>
  <si>
    <r>
      <rPr>
        <sz val="10"/>
        <color indexed="8"/>
        <rFont val="Arial"/>
      </rPr>
      <t>E6; E3; E1; D4; I5</t>
    </r>
  </si>
  <si>
    <t>T0705-G02-CIE</t>
  </si>
  <si>
    <t>Cuidado personal.</t>
  </si>
  <si>
    <t>6.9. Relación de los hábitos higiénicos con la buena salud.</t>
  </si>
  <si>
    <r>
      <rPr>
        <sz val="10"/>
        <color indexed="8"/>
        <rFont val="Arial"/>
      </rPr>
      <t>Salud humana</t>
    </r>
  </si>
  <si>
    <t>Lavado de manos para prevenir contagio de enfermedades.</t>
  </si>
  <si>
    <r>
      <rPr>
        <sz val="10"/>
        <color indexed="8"/>
        <rFont val="Arial"/>
      </rPr>
      <t>E1; E5; E4; D4; I5</t>
    </r>
  </si>
  <si>
    <t>T0706-G02-CIE</t>
  </si>
  <si>
    <t>6.10. Reconocimiento de las vacunas como una forma de prevenir enfermedades.</t>
  </si>
  <si>
    <t>Vacunas como forma de prevención de enfermedades.</t>
  </si>
  <si>
    <r>
      <rPr>
        <sz val="10"/>
        <color indexed="8"/>
        <rFont val="Arial"/>
      </rPr>
      <t>E1; D1; E1; I2; E6</t>
    </r>
  </si>
  <si>
    <t>T0707-G02-CIE</t>
  </si>
  <si>
    <t>Alimentación saludable.</t>
  </si>
  <si>
    <t>6.11. Reconocimiento de prácticas higiénicas al preparar alimentos.</t>
  </si>
  <si>
    <t>Higiene al preparar alimentos para prevenir enfermedades.</t>
  </si>
  <si>
    <t>T4-V5.1</t>
  </si>
  <si>
    <t>T0708-G02-CIE</t>
  </si>
  <si>
    <t>6.12. Explicación de los beneficios del consumo variado de alimentos.</t>
  </si>
  <si>
    <t>Dieta variada y balanceada para la salud.</t>
  </si>
  <si>
    <t>T0709-G03-CIE</t>
  </si>
  <si>
    <t>Matriz_Ciencias_3er_Grado_U1_U6.xlsx</t>
  </si>
  <si>
    <t>Unidad 1 - Medidas y fuerzas</t>
  </si>
  <si>
    <t>Instrumentos de medición.</t>
  </si>
  <si>
    <t>1.1. Medición directa empleando diferentes instrumentos.</t>
  </si>
  <si>
    <t>Uso de instrumentos de medición sin contenido disciplinar; equipo de investigación</t>
  </si>
  <si>
    <t>Aplicar: medir con instrumentos. Razonar: comparar resultados</t>
  </si>
  <si>
    <t>T0710-G03-CIE</t>
  </si>
  <si>
    <t>1.2. Selección del instrumento de medición apropiado según el objeto a medir.</t>
  </si>
  <si>
    <t>Elegir instrumento adecuado para medir; uso de equipo común</t>
  </si>
  <si>
    <t>Aplicar: seleccionar instrumentos. Razonar: justificar</t>
  </si>
  <si>
    <r>
      <rPr>
        <sz val="10"/>
        <color indexed="8"/>
        <rFont val="Arial"/>
      </rPr>
      <t>E1; D1; E2; D3; I5</t>
    </r>
  </si>
  <si>
    <t>T0711-G03-CIE</t>
  </si>
  <si>
    <t>Tipos de fuerza.</t>
  </si>
  <si>
    <t>1.3. Experimentación con fuerzas de contacto.</t>
  </si>
  <si>
    <t>Fuerzas de contacto y fricción; registro de mediciones con dinamómetro</t>
  </si>
  <si>
    <t>Aplicar: medir. Razonar: comparar condiciones</t>
  </si>
  <si>
    <r>
      <rPr>
        <sz val="10"/>
        <color indexed="8"/>
        <rFont val="Arial"/>
      </rPr>
      <t>E1; E3; E1; D2; E6</t>
    </r>
  </si>
  <si>
    <t>T0712-G03-CIE</t>
  </si>
  <si>
    <t>1.4. Experimentación con fuerzas a distancia.</t>
  </si>
  <si>
    <t>Fuerza a distancia trabajada con imán y clip; atracción magnética</t>
  </si>
  <si>
    <t>Conocer: describir. Razonar: comprobar</t>
  </si>
  <si>
    <t>T4-F1.3</t>
  </si>
  <si>
    <t>T0713-G03-CIE</t>
  </si>
  <si>
    <t>1.5. Comparación del comportamiento de las fuerzas por contacto y a distancia.</t>
  </si>
  <si>
    <t>Compara empujar, halar y fuerzas a distancia como gravedad</t>
  </si>
  <si>
    <t>Aplicar: comparar y clasificar</t>
  </si>
  <si>
    <r>
      <rPr>
        <sz val="10"/>
        <color indexed="8"/>
        <rFont val="Arial"/>
      </rPr>
      <t>E1; D1; E2; D4; I4</t>
    </r>
  </si>
  <si>
    <t>T0714-G03-CIE</t>
  </si>
  <si>
    <t>Movimiento.</t>
  </si>
  <si>
    <t>1.6. Comunicación de observaciones acerca de los efectos de las fuerzas sobre el estado de movimiento de los objetos.</t>
  </si>
  <si>
    <t>Efectos de las fuerzas sobre el movimiento de objetos</t>
  </si>
  <si>
    <t>Conocer: describir. Aplicar: representar</t>
  </si>
  <si>
    <r>
      <rPr>
        <sz val="10"/>
        <color indexed="8"/>
        <rFont val="Arial"/>
      </rPr>
      <t>E1; E5; E1; D4; E6</t>
    </r>
  </si>
  <si>
    <t>T0715-G03-CIE</t>
  </si>
  <si>
    <t>Unidad 2 - Interacciones terres</t>
  </si>
  <si>
    <t>Cambios físicos y químicos.</t>
  </si>
  <si>
    <t>2.1. Identificación de cambios físicos y químicos.</t>
  </si>
  <si>
    <t>Distinguir cambios con y sin formación de materiales nuevos</t>
  </si>
  <si>
    <t>Conocer: reconocer. Aplicar: clasificar</t>
  </si>
  <si>
    <t>T0716-G03-CIE</t>
  </si>
  <si>
    <t>2.2. Experimentación con cambios físicos y químicos reversibles e irreversibles.</t>
  </si>
  <si>
    <t>Cambios físicos y químicos; reversibles incluyen cambios de estado</t>
  </si>
  <si>
    <t>Razonar: predecir, comprobar y justificar</t>
  </si>
  <si>
    <r>
      <rPr>
        <sz val="10"/>
        <color indexed="8"/>
        <rFont val="Arial"/>
      </rPr>
      <t>E1; E3; E1; D2; I4</t>
    </r>
  </si>
  <si>
    <t>T0717-G03-CIE</t>
  </si>
  <si>
    <t>2.3. Preparación de distintos tipos de mezclas.</t>
  </si>
  <si>
    <t>Preparar y describir mezclas</t>
  </si>
  <si>
    <t>T0718-G03-CIE</t>
  </si>
  <si>
    <t>2.4. Descripción de las principales características de los métodos de separación de mezclas.</t>
  </si>
  <si>
    <t>Métodos físicos de separación de mezclas</t>
  </si>
  <si>
    <t>Conocer: describir. Aplicar: relacionar</t>
  </si>
  <si>
    <t>T0719-G03-CIE</t>
  </si>
  <si>
    <t>2.5. Experimentación con los métodos de separación de mezclas.</t>
  </si>
  <si>
    <t>Separación de mezclas mediante experimento planificado y mejorado</t>
  </si>
  <si>
    <t>Razonar: diseñar, ejecutar y evaluar un procedimiento</t>
  </si>
  <si>
    <r>
      <rPr>
        <sz val="10"/>
        <color indexed="8"/>
        <rFont val="Arial"/>
      </rPr>
      <t>E1; E3; E2; D3; E3</t>
    </r>
  </si>
  <si>
    <t>T0720-G03-CIE</t>
  </si>
  <si>
    <t>Las rocas.</t>
  </si>
  <si>
    <t>2.6. Identificación de rocas como elementos de uso común</t>
  </si>
  <si>
    <t>Rocas como recurso mineral de uso cotidiano</t>
  </si>
  <si>
    <t>Conocer: dar ejemplos. Aplicar: clasificar</t>
  </si>
  <si>
    <t>T0721-G03-CIE</t>
  </si>
  <si>
    <t>2.7. Clasificación de rocas por sus características y ambientes de formación</t>
  </si>
  <si>
    <r>
      <rPr>
        <sz val="10"/>
        <color indexed="8"/>
        <rFont val="Arial"/>
      </rPr>
      <t>Rasgos, procesos e historia de la Tierra</t>
    </r>
  </si>
  <si>
    <t>Ambientes de formación de rocas; marco 2027 no trata tipos de roca</t>
  </si>
  <si>
    <t>Aplicar: clasificar según características observables</t>
  </si>
  <si>
    <t>T4-T1.3</t>
  </si>
  <si>
    <t>T0722-G03-CIE</t>
  </si>
  <si>
    <t>Rocas y volcanes.</t>
  </si>
  <si>
    <t>2.8. Reconocimiento de los procesos responsables de la formación de las rocas.</t>
  </si>
  <si>
    <t>Procesos lentos de formación y modificación de rocas y paisaje</t>
  </si>
  <si>
    <t>Aplicar: usar modelos. Conocer: describir procesos</t>
  </si>
  <si>
    <r>
      <rPr>
        <sz val="10"/>
        <color indexed="8"/>
        <rFont val="Arial"/>
      </rPr>
      <t>E1; E5; E4; E4; E1</t>
    </r>
  </si>
  <si>
    <t>T0723-G03-CIE</t>
  </si>
  <si>
    <t>2.9. Comparación de las características generales de los productos de origen volcánico.</t>
  </si>
  <si>
    <t>Productos volcánicos no figuran en objetivos de 4.° 2027</t>
  </si>
  <si>
    <t>Aplicar: comparar. Razonar: explicar</t>
  </si>
  <si>
    <r>
      <rPr>
        <sz val="10"/>
        <color indexed="8"/>
        <rFont val="Arial"/>
      </rPr>
      <t>E6; D1; E1; D4; E6</t>
    </r>
  </si>
  <si>
    <t>T0724-G03-CIE</t>
  </si>
  <si>
    <t>Tipos de volcanes.</t>
  </si>
  <si>
    <t>2.10. Clasificación de los volcanes por sus formas.</t>
  </si>
  <si>
    <t>Tipos de volcanes no figuran en objetivos de 4.° 2027</t>
  </si>
  <si>
    <t>T0725-G03-CIE</t>
  </si>
  <si>
    <t>2.11. Clasificación de los volcanes por su tipo de erupción.</t>
  </si>
  <si>
    <t>Tipos de erupción no figuran en objetivos de 4.° 2027</t>
  </si>
  <si>
    <t>T0726-G03-CIE</t>
  </si>
  <si>
    <t>Capas de la Tierra.</t>
  </si>
  <si>
    <t>2.12. Comparación de las composiciones químicas y ubicación de las capas de la Tierra.</t>
  </si>
  <si>
    <t>Capas internas de la Tierra fuera del marco de 4.°</t>
  </si>
  <si>
    <t>Aplicar: usar modelos. Razonar: evaluar un modelo</t>
  </si>
  <si>
    <t>T0727-G03-CIE</t>
  </si>
  <si>
    <t>2.13. Representación de la estructura interna de la Tierra según sus propiedades físicas.</t>
  </si>
  <si>
    <t>Estructura interna terrestre fuera del marco de 4.°</t>
  </si>
  <si>
    <r>
      <rPr>
        <sz val="10"/>
        <color indexed="8"/>
        <rFont val="Arial"/>
      </rPr>
      <t>E1; D1; E2; E4; E3</t>
    </r>
  </si>
  <si>
    <t>T0728-G03-CIE</t>
  </si>
  <si>
    <t>Atmósfera terrestre.</t>
  </si>
  <si>
    <t>2.14. Explicación de la importancia de la atmósfera para la vida en la Tierra.</t>
  </si>
  <si>
    <t>El aire como necesidad vital; atmósfera que rodea la Tierra</t>
  </si>
  <si>
    <t>T0729-G03-CIE</t>
  </si>
  <si>
    <t>2.15. Descripción de las características de las capas atmosféricas de la Tierra.</t>
  </si>
  <si>
    <t>Capas atmosféricas no incluidas en objetivos de 4.° 2027</t>
  </si>
  <si>
    <t>Conocer: describir. Aplicar: usar modelos</t>
  </si>
  <si>
    <r>
      <rPr>
        <sz val="10"/>
        <color indexed="8"/>
        <rFont val="Arial"/>
      </rPr>
      <t>E1; D1; E4; D4; E6</t>
    </r>
  </si>
  <si>
    <t>T0730-G03-CIE</t>
  </si>
  <si>
    <t>Unidad 3 - El agua</t>
  </si>
  <si>
    <t>Hidrósfera terrestre.</t>
  </si>
  <si>
    <t>3.1. Representación de las principales características e importancia de los océanos.</t>
  </si>
  <si>
    <t>Océanos y agua salada en la superficie; importancia como recurso</t>
  </si>
  <si>
    <t>T4-T1.1</t>
  </si>
  <si>
    <r>
      <rPr>
        <sz val="10"/>
        <color indexed="8"/>
        <rFont val="Arial"/>
      </rPr>
      <t>E6; D1; E2; D4; E6</t>
    </r>
  </si>
  <si>
    <t>T0731-G03-CIE</t>
  </si>
  <si>
    <t>3.2. Descripción de las principales características e importancia de los lagos.</t>
  </si>
  <si>
    <t>Lagos como agua dulce superficial y su uso</t>
  </si>
  <si>
    <t>T0732-G03-CIE</t>
  </si>
  <si>
    <t>3.3. Exploración de las principales características e importancia de los ríos.</t>
  </si>
  <si>
    <t>Ríos como agua dulce; partes y usos del agua</t>
  </si>
  <si>
    <t>Conocer: describir. Razonar: evaluar información</t>
  </si>
  <si>
    <r>
      <rPr>
        <sz val="10"/>
        <color indexed="8"/>
        <rFont val="Arial"/>
      </rPr>
      <t>E1; D1; E2; I1; I5</t>
    </r>
  </si>
  <si>
    <t>T0733-G03-CIE</t>
  </si>
  <si>
    <t>3.4. Descripción de las principales características e importancia de los glaciares.</t>
  </si>
  <si>
    <t>Glaciares como reserva de agua dulce en la superficie</t>
  </si>
  <si>
    <t>T0734-G03-CIE</t>
  </si>
  <si>
    <t>3.5. Modelación de un acuífero para estudiar sus características e importancia.</t>
  </si>
  <si>
    <t>Acuíferos como ubicación de agua dulce; importancia del recurso</t>
  </si>
  <si>
    <r>
      <rPr>
        <sz val="10"/>
        <color indexed="8"/>
        <rFont val="Arial"/>
      </rPr>
      <t>E1; E5; E4; D4; E6</t>
    </r>
  </si>
  <si>
    <t>T0735-G03-CIE</t>
  </si>
  <si>
    <t>3.6. Modelación de condiciones de sequía.</t>
  </si>
  <si>
    <t>Necesidad de agua en plantas, observada en modelo con registro</t>
  </si>
  <si>
    <t>Razonar: identificar variables y extraer conclusiones</t>
  </si>
  <si>
    <r>
      <rPr>
        <sz val="10"/>
        <color indexed="8"/>
        <rFont val="Arial"/>
      </rPr>
      <t>E6; E3; E4; D3; I5</t>
    </r>
  </si>
  <si>
    <t>T0736-G03-CIE</t>
  </si>
  <si>
    <t>Propiedades del agua.</t>
  </si>
  <si>
    <t>3.7. Experimentación con las propiedades físicas del agua.</t>
  </si>
  <si>
    <t>Propiedades físicas del agua; tensión superficial no listada; mediciones repetidas</t>
  </si>
  <si>
    <t>Aplicar: medir. Razonar: comparar resultados</t>
  </si>
  <si>
    <t>T0737-G03-CIE</t>
  </si>
  <si>
    <t>3.8. Distinción entre mezclas acuosas y disoluciones.</t>
  </si>
  <si>
    <t>Distinguir mezclas y disoluciones acuosas</t>
  </si>
  <si>
    <t>T0738-G03-CIE</t>
  </si>
  <si>
    <t>Disoluciones, suspensiones y coloides.</t>
  </si>
  <si>
    <t>3.9. Identificación de disoluciones, suspensiones y coloides en el ambiente.</t>
  </si>
  <si>
    <t>Tipos de mezclas en el ambiente: disoluciones, suspensiones, coloides</t>
  </si>
  <si>
    <t>T0739-G03-CIE</t>
  </si>
  <si>
    <t>3.10. Preparación de disoluciones con sustancias cotidianas.</t>
  </si>
  <si>
    <t>Acelerar disolución de sólidos; registro de tiempos por condición</t>
  </si>
  <si>
    <t>Razonar: identificar variables</t>
  </si>
  <si>
    <r>
      <rPr>
        <sz val="10"/>
        <color indexed="8"/>
        <rFont val="Arial"/>
      </rPr>
      <t>E1; E3; E1; D2; E3</t>
    </r>
  </si>
  <si>
    <t>T0740-G03-CIE</t>
  </si>
  <si>
    <t>3.11. Clasificación de las disoluciones por su grado de saturación.</t>
  </si>
  <si>
    <t>Soluciones débiles y concentradas según cantidad de soluto</t>
  </si>
  <si>
    <t>Aplicar: medir. Razonar: interpretar datos</t>
  </si>
  <si>
    <t>T0741-G03-CIE</t>
  </si>
  <si>
    <t>3.12. Exploración de las propiedades de los coloides y suspensiones, empleando muestras.</t>
  </si>
  <si>
    <t>Propiedades de mezclas: suspensiones y coloides</t>
  </si>
  <si>
    <t>Razonar: comprobar y extraer conclusiones</t>
  </si>
  <si>
    <r>
      <rPr>
        <sz val="10"/>
        <color indexed="8"/>
        <rFont val="Arial"/>
      </rPr>
      <t>E1; E3; E1; D2; E1</t>
    </r>
  </si>
  <si>
    <t>T0742-G03-CIE</t>
  </si>
  <si>
    <t>Tratamiento del agua.</t>
  </si>
  <si>
    <t>3.13. Experimentación con procesos de potabilización del agua.</t>
  </si>
  <si>
    <t>Filtración y separación para potabilizar; uso responsable del agua</t>
  </si>
  <si>
    <t>Aplicar: usar modelos. Razonar: evaluar</t>
  </si>
  <si>
    <r>
      <rPr>
        <sz val="10"/>
        <color indexed="8"/>
        <rFont val="Arial"/>
      </rPr>
      <t>E1; D1; E2; D2; I4</t>
    </r>
  </si>
  <si>
    <t>T0743-G03-CIE</t>
  </si>
  <si>
    <t>3.14. Reconocimiento de la importancia de tratar las aguas residuales.</t>
  </si>
  <si>
    <t>Uso responsable del agua; efectos de contaminación por aguas residuales</t>
  </si>
  <si>
    <t>Aplicar: relacionar causas y efectos. Razonar: justificar</t>
  </si>
  <si>
    <t>T0744-G03-CIE</t>
  </si>
  <si>
    <t>Unidad 4 - Las plantas</t>
  </si>
  <si>
    <t>Morfología y funciones de los órganos de las plantas.</t>
  </si>
  <si>
    <t>4.1. Reconocimiento de los órganos presentes en las plantas con semilla.</t>
  </si>
  <si>
    <t>Estructuras principales de plantas con semilla</t>
  </si>
  <si>
    <t>Conocer: identificar estructuras</t>
  </si>
  <si>
    <t>T0745-G03-CIE</t>
  </si>
  <si>
    <t>4.2. Relación de los órganos vegetales con sus funciones.</t>
  </si>
  <si>
    <t>Relaciona raíz, tallo y hoja con sus funciones</t>
  </si>
  <si>
    <t>Conocer: relacionar estructura y función</t>
  </si>
  <si>
    <r>
      <rPr>
        <sz val="10"/>
        <color indexed="8"/>
        <rFont val="Arial"/>
      </rPr>
      <t>E1; E5; E1; D4; E1</t>
    </r>
  </si>
  <si>
    <t>T0746-G03-CIE</t>
  </si>
  <si>
    <t>4.3. Clasificación de órganos vegetales por sus formas.</t>
  </si>
  <si>
    <t>Forma de estructuras vegetales; clasificación de hojas por rasgos</t>
  </si>
  <si>
    <t>T0747-G03-CIE</t>
  </si>
  <si>
    <t>4.4. Elaboración de catálogo de estructuras vegetales presentes en plantas de la comunidad.</t>
  </si>
  <si>
    <t>Estructuras de plantas comunitarias y rasgos para compararlas</t>
  </si>
  <si>
    <t>Aplicar: organizar información</t>
  </si>
  <si>
    <r>
      <rPr>
        <sz val="10"/>
        <color indexed="8"/>
        <rFont val="Arial"/>
      </rPr>
      <t>E6; D1; E2; I1; I5</t>
    </r>
  </si>
  <si>
    <t>T0748-G03-CIE</t>
  </si>
  <si>
    <t>Grupos de plantas.</t>
  </si>
  <si>
    <t>4.5. Comparación de la anatomía de distintas plantas con semilla y sin semilla.</t>
  </si>
  <si>
    <t>Comparar grupos de plantas por sus rasgos físicos</t>
  </si>
  <si>
    <t>T0749-G03-CIE</t>
  </si>
  <si>
    <t>4.6. Clasificación de los grupos de plantas terrestres por su anatomía.</t>
  </si>
  <si>
    <t>Clasificar plantas terrestres por rasgos anatómicos</t>
  </si>
  <si>
    <t>T0750-G03-CIE</t>
  </si>
  <si>
    <t>Tropismos y nastias.</t>
  </si>
  <si>
    <t>4.7. Indagación de los conceptos de tropismo y nastia.</t>
  </si>
  <si>
    <t>Respuesta de las plantas a estímulos externos</t>
  </si>
  <si>
    <t>T0751-G03-CIE</t>
  </si>
  <si>
    <t>4.8. Experimentación con tropismos.</t>
  </si>
  <si>
    <t>Respuesta de plantas a estímulos mediante experimento con registro</t>
  </si>
  <si>
    <t>Razonar: diseñar una investigación y predecir</t>
  </si>
  <si>
    <r>
      <rPr>
        <sz val="10"/>
        <color indexed="8"/>
        <rFont val="Arial"/>
      </rPr>
      <t>E1; E3; E1; D3; E3</t>
    </r>
  </si>
  <si>
    <t>T0752-G03-CIE</t>
  </si>
  <si>
    <t>4.9. Experimentación con nastias.</t>
  </si>
  <si>
    <t>Respuesta de plantas a estímulos; registro de tiempos</t>
  </si>
  <si>
    <r>
      <rPr>
        <sz val="10"/>
        <color indexed="8"/>
        <rFont val="Arial"/>
      </rPr>
      <t>E1; E3; E1; D4; E6</t>
    </r>
  </si>
  <si>
    <t>T0753-G03-CIE</t>
  </si>
  <si>
    <t>Unidad 5 - Los animales</t>
  </si>
  <si>
    <t>Características de los animales.</t>
  </si>
  <si>
    <t>5.1. Indagación sobre planos de simetría corporal en animales.</t>
  </si>
  <si>
    <t>Simetría corporal como rasgo físico para clasificar animales</t>
  </si>
  <si>
    <t>Aplicar: clasificar según características</t>
  </si>
  <si>
    <t>T0754-G03-CIE</t>
  </si>
  <si>
    <t>5.2. Reconocimiento de etapas de desarrollo en los animales.</t>
  </si>
  <si>
    <t>Etapas de ciclos de vida de animales; comparación</t>
  </si>
  <si>
    <t>Conocer: describir ciclos de vida</t>
  </si>
  <si>
    <t>T0755-G03-CIE</t>
  </si>
  <si>
    <t>5.3. Observación y registro de taxismos.</t>
  </si>
  <si>
    <t>Respuesta animal a cambios externos; conteo y conclusión</t>
  </si>
  <si>
    <t>Razonar: comprobar predicciones e interpretar datos</t>
  </si>
  <si>
    <t>T0756-G03-CIE</t>
  </si>
  <si>
    <t>5.4. Clasificación de las formas de nutrición e intercambio de gases en animales.</t>
  </si>
  <si>
    <t>Estructuras de nutrición y respiración; cómo obtienen alimento</t>
  </si>
  <si>
    <t>Aplicar: clasificar. Conocer: relacionar estructura y función</t>
  </si>
  <si>
    <t>T0757-G03-CIE</t>
  </si>
  <si>
    <t>5.5. Elaboración de un resumen sobre las características unificadoras de los animales.</t>
  </si>
  <si>
    <t>Rasgos comunes de animales y características de seres vivos</t>
  </si>
  <si>
    <t>Conocer: resumir características</t>
  </si>
  <si>
    <t>T0758-G03-CIE</t>
  </si>
  <si>
    <t>Grupos de animales.</t>
  </si>
  <si>
    <t>5.6. Descripción de las características distintivas de poríferos y cnidarios.</t>
  </si>
  <si>
    <t>Rasgos físicos de grupos animales: poríferos y cnidarios</t>
  </si>
  <si>
    <t>T0759-G03-CIE</t>
  </si>
  <si>
    <t>5.7. Reconocimiento de las características morfológicas de invertebrados vermiformes: platelmintos, nematelmintos, anélidos y rotíferos.</t>
  </si>
  <si>
    <t>Rasgos físicos de grupos de invertebrados vermiformes</t>
  </si>
  <si>
    <t>T0760-G03-CIE</t>
  </si>
  <si>
    <t>5.8. Observación de muestras en el microscopio estereoscópico.</t>
  </si>
  <si>
    <r>
      <rPr>
        <sz val="10"/>
        <color indexed="8"/>
        <rFont val="Arial"/>
      </rPr>
      <t>Investigaciones biológicas</t>
    </r>
  </si>
  <si>
    <t>Uso de equipo de observación biológica (lupa, estereoscopio)</t>
  </si>
  <si>
    <t>Aplicar: usar instrumentos</t>
  </si>
  <si>
    <t>T0761-G03-CIE</t>
  </si>
  <si>
    <t>5.9. Representación esquemática de distintos grupos de artrópodos.</t>
  </si>
  <si>
    <t>Rasgos de grupos de artrópodos, incluidos insectos</t>
  </si>
  <si>
    <t>T0762-G03-CIE</t>
  </si>
  <si>
    <t>5.10. Representación esquemática de distintos grupos de moluscos.</t>
  </si>
  <si>
    <t>Rasgos físicos de grupos de moluscos</t>
  </si>
  <si>
    <t>T0763-G03-CIE</t>
  </si>
  <si>
    <t>5.11. Descripción de las características morfológicas de los equinodermos.</t>
  </si>
  <si>
    <t>Rasgos físicos de equinodermos como grupo animal</t>
  </si>
  <si>
    <t>T0764-G03-CIE</t>
  </si>
  <si>
    <t>Los vertebrados.</t>
  </si>
  <si>
    <t>5.12. Descripción de las características morfológicas de los vertebrados.</t>
  </si>
  <si>
    <t>Clasificar animales en vertebrados e invertebrados</t>
  </si>
  <si>
    <t>T0765-G03-CIE</t>
  </si>
  <si>
    <t>5.13. Caracterización anatómica de los principales grupos de vertebrados.</t>
  </si>
  <si>
    <t>Comparar peces, anfibios, reptiles, aves y mamíferos</t>
  </si>
  <si>
    <t>Aplicar: comparar. Razonar: justificar</t>
  </si>
  <si>
    <t>T0766-G03-CIE</t>
  </si>
  <si>
    <t>Unidad 6 - Los microorganismos</t>
  </si>
  <si>
    <t>6. Los microorganismos.</t>
  </si>
  <si>
    <t>Agentes patógenos.</t>
  </si>
  <si>
    <t>6.1. Indagación de los conceptos de infección y enfermedad.</t>
  </si>
  <si>
    <t>Contagio de enfermedades y su prevención</t>
  </si>
  <si>
    <r>
      <rPr>
        <sz val="10"/>
        <color indexed="8"/>
        <rFont val="Arial"/>
      </rPr>
      <t>E1; E5; E1; I2; E6</t>
    </r>
  </si>
  <si>
    <t>T0767-G03-CIE</t>
  </si>
  <si>
    <t>6.2. Observación de microorganismos en el microscopio..</t>
  </si>
  <si>
    <t>Agentes infecciosos al microscopio; foco en observación más que transmisión</t>
  </si>
  <si>
    <t>T0768-G03-CIE</t>
  </si>
  <si>
    <t>6.3. Representación de agentes patógenos.</t>
  </si>
  <si>
    <t>Patógenos y su forma de transmisión</t>
  </si>
  <si>
    <r>
      <rPr>
        <sz val="10"/>
        <color indexed="8"/>
        <rFont val="Arial"/>
      </rPr>
      <t>E1; D1; E4; E4; E6</t>
    </r>
  </si>
  <si>
    <t>T0769-G03-CIE</t>
  </si>
  <si>
    <t>6.4. Reconocimiento de sustancias de acción desinfectante.</t>
  </si>
  <si>
    <t>Prevención con jabón y desinfectantes; comparación registrada</t>
  </si>
  <si>
    <t>Aplicar: relacionar. Razonar: comparar</t>
  </si>
  <si>
    <t>T0770-G03-CIE</t>
  </si>
  <si>
    <t>Tipos de microorganismos.</t>
  </si>
  <si>
    <t>6.5. Preparación de cultivos microbianos.</t>
  </si>
  <si>
    <t>Crecimiento de microorganismos con registro diario; no hay objetivo específico</t>
  </si>
  <si>
    <t>T0771-G03-CIE</t>
  </si>
  <si>
    <t>6.6. Descripción de las características de hongos, protozoos y bacterias.</t>
  </si>
  <si>
    <t>Rasgos distintivos de grupos de microorganismos</t>
  </si>
  <si>
    <t>T0772-G03-CIE</t>
  </si>
  <si>
    <t>Importancia de los microorganismos.</t>
  </si>
  <si>
    <t>6.7. Experimentación del tiempo de degradación de residuos y alimentos.</t>
  </si>
  <si>
    <t>Papel de descomponedores; marco 2027 no los nombra explícitamente</t>
  </si>
  <si>
    <t>Aplicar: medir el tiempo. Razonar: interpretar datos</t>
  </si>
  <si>
    <t>T4-V4.2</t>
  </si>
  <si>
    <t>T0773-G03-CIE</t>
  </si>
  <si>
    <t>6.8. Reconocimiento de alimentos transformados por microorganismos.</t>
  </si>
  <si>
    <t>Fermentación produce materiales nuevos; levadura como ser vivo</t>
  </si>
  <si>
    <t>Conocer: dar ejemplos. Razonar: explicar</t>
  </si>
  <si>
    <t>T0774-G03-CIE</t>
  </si>
  <si>
    <t>6.9. Experimentación con métodos de conservación de alimentos.</t>
  </si>
  <si>
    <t>Conservar alimentos previene enfermedades; experimento con registro</t>
  </si>
  <si>
    <t>T0775-G04-CIE</t>
  </si>
  <si>
    <t>Matriz_Ciencias_4to_Grado_U1_U6.xlsx</t>
  </si>
  <si>
    <t>Unidad 1 - Máquinas y energía</t>
  </si>
  <si>
    <t>Máquinas simples.</t>
  </si>
  <si>
    <t>1.1. Indagación del concepto de máquinas simples, a partir de dispositivos del entorno.</t>
  </si>
  <si>
    <t>Máquinas simples del entorno y la tarea que facilitan</t>
  </si>
  <si>
    <t>Conocer: definir y dar ejemplos</t>
  </si>
  <si>
    <t>T4-F3.2</t>
  </si>
  <si>
    <t>T0776-G04-CIE</t>
  </si>
  <si>
    <t>1.2. Clasificación de las máquinas simples, a partir de sus definiciones clásicas.</t>
  </si>
  <si>
    <t>Clasifica máquinas simples con ejemplos propios</t>
  </si>
  <si>
    <t>Aplicar: clasificar según definiciones</t>
  </si>
  <si>
    <t>T0777-G04-CIE</t>
  </si>
  <si>
    <t>1.3. Identificación de palancas de diferente clase en dispositivos cotidianos.</t>
  </si>
  <si>
    <t>Palancas: apoyo, fuerza y carga en dispositivos cotidianos</t>
  </si>
  <si>
    <t>T0778-G04-CIE</t>
  </si>
  <si>
    <t>Máquinas complejas.</t>
  </si>
  <si>
    <t>1.4. Indagación del concepto de máquinas complejas, a partir de dispositivos del entorno.</t>
  </si>
  <si>
    <t>Máquinas complejas como combinación de máquinas simples</t>
  </si>
  <si>
    <t>T0779-G04-CIE</t>
  </si>
  <si>
    <t>1.5. Identificación de tipos de máquinas simples dentro de máquinas complejas.</t>
  </si>
  <si>
    <t>Identifica máquinas simples dentro de máquinas complejas</t>
  </si>
  <si>
    <t>Aplicar: analizar un sistema en sus partes</t>
  </si>
  <si>
    <r>
      <rPr>
        <sz val="10"/>
        <color indexed="8"/>
        <rFont val="Arial"/>
      </rPr>
      <t>E1; E3; E4; D4; E1</t>
    </r>
  </si>
  <si>
    <t>T0780-G04-CIE</t>
  </si>
  <si>
    <t>1.6. Construcción de una máquina compleja.</t>
  </si>
  <si>
    <t>Construcción de prototipo basado en máquinas simples; componente de diseño</t>
  </si>
  <si>
    <t>Razonar: diseñar, construir y evaluar</t>
  </si>
  <si>
    <r>
      <rPr>
        <sz val="10"/>
        <color indexed="8"/>
        <rFont val="Arial"/>
      </rPr>
      <t>E6; D1; E3; D3; E3</t>
    </r>
  </si>
  <si>
    <t>T0781-G04-CIE</t>
  </si>
  <si>
    <t>Tecnología en el entorno.</t>
  </si>
  <si>
    <t>1.7. Elaboración de inventario de los objetos tecnológicos de uso diario.</t>
  </si>
  <si>
    <t>Inventario de objetos tecnológicos sin contenido del marco</t>
  </si>
  <si>
    <t>T0782-G04-CIE</t>
  </si>
  <si>
    <t>1.8. Identificación de las fuentes de energía en objetos tecnológicos de uso diario.</t>
  </si>
  <si>
    <t>Formas de energía que usan los objetos cotidianos</t>
  </si>
  <si>
    <t>T0783-G04-CIE</t>
  </si>
  <si>
    <t>1.9. Relación entre la forma de energía empleada por un dispositivo y su utilidad.</t>
  </si>
  <si>
    <t>Forma de energía usada por aparatos; transformación de energía eléctrica</t>
  </si>
  <si>
    <t>Aplicar: relacionar forma de energía y utilidad</t>
  </si>
  <si>
    <t>T0784-G04-CIE</t>
  </si>
  <si>
    <t>1.10. Cálculo de las transformaciones de energía en electrodomésticos y el cuerpo humano.</t>
  </si>
  <si>
    <t>Cálculos de transformación energética exceden el marco; incluye cuerpo humano</t>
  </si>
  <si>
    <t>Aplicar: calcular. Razonar: comparar y justificar</t>
  </si>
  <si>
    <t>T0785-G04-CIE</t>
  </si>
  <si>
    <t>Unidad 2 - Nutrición</t>
  </si>
  <si>
    <t>¿Qué es un nutriente?</t>
  </si>
  <si>
    <t>2.1. Indagación sobre los conceptos de alimento y nutriente.</t>
  </si>
  <si>
    <t>Alimento y nutriente como base de dieta balanceada</t>
  </si>
  <si>
    <t>Conocer: definir</t>
  </si>
  <si>
    <t>T0786-G04-CIE</t>
  </si>
  <si>
    <t>2.2. Clasificación de los nutrientes: macronutrientes y micronutrientes.</t>
  </si>
  <si>
    <t>Clasificación de nutrientes vinculada a dieta saludable</t>
  </si>
  <si>
    <t>T0787-G04-CIE</t>
  </si>
  <si>
    <t>Consumo y obtención de energía.</t>
  </si>
  <si>
    <t>2.3. Comparación del valor nutritivo de alimentos comunes.</t>
  </si>
  <si>
    <t>Compara valor nutritivo de alimentos para dieta balanceada</t>
  </si>
  <si>
    <t>Aplicar: comparar datos. Razonar: evaluar información</t>
  </si>
  <si>
    <r>
      <rPr>
        <sz val="10"/>
        <color indexed="8"/>
        <rFont val="Arial"/>
      </rPr>
      <t>E1; E3; E2; D4; I4</t>
    </r>
  </si>
  <si>
    <t>T0788-G04-CIE</t>
  </si>
  <si>
    <t>2.4. Estimación de la cantidad de alimento necesaria para suplir los requerimientos nutricionales.</t>
  </si>
  <si>
    <t>Requerimientos nutricionales y porciones diarias: hábitos de salud</t>
  </si>
  <si>
    <t>Aplicar: estimar. Razonar: justificar</t>
  </si>
  <si>
    <t>T0789-G04-CIE</t>
  </si>
  <si>
    <t>2.5. Comparación del gasto y obtención de la energía contenida en la dieta diaria.</t>
  </si>
  <si>
    <t>Balance energético de la dieta diaria como hábito saludable</t>
  </si>
  <si>
    <t>Aplicar: comparar datos</t>
  </si>
  <si>
    <t>T0790-G04-CIE</t>
  </si>
  <si>
    <t>2.6. Clasificación de los grupos de alimentos.</t>
  </si>
  <si>
    <t>Grupos de alimentos de una dieta balanceada</t>
  </si>
  <si>
    <t>T0791-G04-CIE</t>
  </si>
  <si>
    <t>2.7. Elaboración de menús según requerimientos nutricionales.</t>
  </si>
  <si>
    <t>Menú balanceado según requerimientos nutricionales</t>
  </si>
  <si>
    <t>Aplicar: planificar. Razonar: justificar</t>
  </si>
  <si>
    <t>T0792-G04-CIE</t>
  </si>
  <si>
    <t>2.8. Identificación de métodos de preparación y almacenamiento adecuado de alimentos.</t>
  </si>
  <si>
    <t>Manejo seguro de alimentos: hábitos de salud y prevención</t>
  </si>
  <si>
    <t>T0793-G04-CIE</t>
  </si>
  <si>
    <t>Antropometría.</t>
  </si>
  <si>
    <t>2.9. Medición de variables útiles para conocer el estado nutricional del ser humano.</t>
  </si>
  <si>
    <t>Mediciones antropométricas para valorar estado nutricional</t>
  </si>
  <si>
    <t>Aplicar: medir con técnica correcta</t>
  </si>
  <si>
    <r>
      <rPr>
        <sz val="10"/>
        <color indexed="8"/>
        <rFont val="Arial"/>
      </rPr>
      <t>E1; D1; E1; D2; E6</t>
    </r>
  </si>
  <si>
    <t>T0794-G04-CIE</t>
  </si>
  <si>
    <t>2.10. Ejercitación con el uso y la representación de datos antropométricos.</t>
  </si>
  <si>
    <t>Foco en representar datos y concluir; contexto biológico de salud</t>
  </si>
  <si>
    <t>Aplicar: representar datos. Razonar: interpretar gráficas</t>
  </si>
  <si>
    <t>T0795-G04-CIE</t>
  </si>
  <si>
    <t>Cultivos.</t>
  </si>
  <si>
    <t>2.11. Práctica de técnicas básicas para cultivo en huertos.</t>
  </si>
  <si>
    <t>Huerto: necesidades de las plantas y registro de crecimiento</t>
  </si>
  <si>
    <t>Aplicar: usar técnicas. Razonar: evaluar</t>
  </si>
  <si>
    <r>
      <rPr>
        <sz val="10"/>
        <color indexed="8"/>
        <rFont val="Arial"/>
      </rPr>
      <t>E1; D1; E1; D2; E3</t>
    </r>
  </si>
  <si>
    <t>T0796-G04-CIE</t>
  </si>
  <si>
    <t>2.12. Clasificación de tipos de cultivos vegetales según su propósito e intensidad.</t>
  </si>
  <si>
    <t>Cultivos y uso del suelo; clasificación agronómica poco afín</t>
  </si>
  <si>
    <t>T0797-G04-CIE</t>
  </si>
  <si>
    <t>2.13. Exploración de la procedencia de los alimentos consumidos en el hogar.</t>
  </si>
  <si>
    <t>Procedencia de alimentos, tema socioeconómico sin objetivo del marco</t>
  </si>
  <si>
    <t>Aplicar: organizar información. Razonar: justificar</t>
  </si>
  <si>
    <t>T0798-G04-CIE</t>
  </si>
  <si>
    <t>Unidad 3 - Naturaleza y sus int</t>
  </si>
  <si>
    <t>Introducción a la ecología.</t>
  </si>
  <si>
    <t>3.1. Indagación de los conceptos de interacciones biológicas, condiciones ambientales y requerimientos ecológicos.</t>
  </si>
  <si>
    <t>Interacciones biológicas y requerimientos de los seres vivos</t>
  </si>
  <si>
    <t>Conocer: definir y diferenciar</t>
  </si>
  <si>
    <t>T0799-G04-CIE</t>
  </si>
  <si>
    <t>3.2. Reconocimiento y clasificación de factores bióticos y abióticos.</t>
  </si>
  <si>
    <t>Distingue componentes vivos y no vivos del ambiente</t>
  </si>
  <si>
    <t>T0800-G04-CIE</t>
  </si>
  <si>
    <t>Niveles de organización ecológica.</t>
  </si>
  <si>
    <t>3.3. Caracterización de los niveles de organización ecológica.</t>
  </si>
  <si>
    <t>Niveles de organización ecológica no figuran explícitamente en 2027</t>
  </si>
  <si>
    <t>T0801-G04-CIE</t>
  </si>
  <si>
    <t>Ecosistemas.</t>
  </si>
  <si>
    <t>3.4. Reconocimiento de la diversidad ecosistémica.</t>
  </si>
  <si>
    <t>Reconoce tipos de ecosistemas</t>
  </si>
  <si>
    <t>Conocer: reconocer. Aplicar: comparar</t>
  </si>
  <si>
    <t>T0802-G04-CIE</t>
  </si>
  <si>
    <t>3.5. Reconocimiento de tipos de formaciones vegetales de El Salvador.</t>
  </si>
  <si>
    <t>Formaciones vegetales locales como ecosistemas</t>
  </si>
  <si>
    <t>Conocer: reconocer. Razonar: evaluar información</t>
  </si>
  <si>
    <r>
      <rPr>
        <sz val="10"/>
        <color indexed="8"/>
        <rFont val="Arial"/>
      </rPr>
      <t>E6; D1; E1; I1; E6</t>
    </r>
  </si>
  <si>
    <t>T0803-G04-CIE</t>
  </si>
  <si>
    <t>3.6. Representación de las interacciones ecológicas de un ecosistema.</t>
  </si>
  <si>
    <t>Representa interacciones entre organismos de un ecosistema</t>
  </si>
  <si>
    <t>Aplicar: usar modelos. Razonar: predecir efectos</t>
  </si>
  <si>
    <t>T4-V4.3</t>
  </si>
  <si>
    <t>T0804-G04-CIE</t>
  </si>
  <si>
    <t>3.7. Representación de cadenas tróficas acuáticas y terrestres.</t>
  </si>
  <si>
    <t>Cadenas tróficas con niveles y papel de cada organismo</t>
  </si>
  <si>
    <t>Aplicar: usar modelos. Razonar: comparar y predecir</t>
  </si>
  <si>
    <r>
      <rPr>
        <sz val="10"/>
        <color indexed="8"/>
        <rFont val="Arial"/>
      </rPr>
      <t>E1; D1; E4; D4; E3</t>
    </r>
  </si>
  <si>
    <t>T0805-G04-CIE</t>
  </si>
  <si>
    <t>3.8. Indagación de los conceptos de hábitat y nicho ecológico.</t>
  </si>
  <si>
    <t>Hábitat relaciona animal con ecosistema; nicho, su papel</t>
  </si>
  <si>
    <t>T0806-G04-CIE</t>
  </si>
  <si>
    <t>Fenómenos hidrometeorológicos.</t>
  </si>
  <si>
    <t>3.9. Indagación sobre la diversidad de fenómenos naturales de tipo hidrometeorológico.</t>
  </si>
  <si>
    <t>Registro de nubes y precipitación: variación del tiempo</t>
  </si>
  <si>
    <t>Conocer: dar ejemplos. Aplicar: observar y registrar</t>
  </si>
  <si>
    <t>T4-T2.1</t>
  </si>
  <si>
    <t>T0807-G04-CIE</t>
  </si>
  <si>
    <t>3.10. Explicación del origen y comportamiento de ciclones y tormentas.</t>
  </si>
  <si>
    <t>Ciclones y tormentas exceden objetivo de tiempo; incluye gestión de riesgo</t>
  </si>
  <si>
    <t>Conocer: describir procesos. Razonar: evaluar información</t>
  </si>
  <si>
    <r>
      <rPr>
        <sz val="10"/>
        <color indexed="8"/>
        <rFont val="Arial"/>
      </rPr>
      <t>E6; E5; E1; I2; E6</t>
    </r>
  </si>
  <si>
    <t>T0808-G04-CIE</t>
  </si>
  <si>
    <t>3.11. Descripción de las características de los climas tropicales</t>
  </si>
  <si>
    <t>Climograma: temperatura y lluvia estacionales del clima tropical</t>
  </si>
  <si>
    <t>Aplicar: interpretar gráficas</t>
  </si>
  <si>
    <t>T0809-G04-CIE</t>
  </si>
  <si>
    <t>Fenómenos geológicos.</t>
  </si>
  <si>
    <t>3.12. Indagación de la diversidad de fenómenos geológicos.</t>
  </si>
  <si>
    <t>Sismos y erupciones; objetivo 2027 enfatiza cambios lentos del paisaje</t>
  </si>
  <si>
    <t>T0810-G04-CIE</t>
  </si>
  <si>
    <t>3.13. Simulación del origen y comportamiento de algunos fenómenos geológicos.</t>
  </si>
  <si>
    <t>Simula fenómenos geológicos; objetivo 2027 solo cubre parcialmente</t>
  </si>
  <si>
    <t>T0811-G04-CIE</t>
  </si>
  <si>
    <t>3.14. Recopilación histórica de los principales eventos geológicos con impacto en la sociedad salvadoreña.</t>
  </si>
  <si>
    <t>Recopilación histórica de impacto social, sin contenido del marco</t>
  </si>
  <si>
    <t>Aplicar: organizar información. Razonar: evaluar fuentes</t>
  </si>
  <si>
    <t>T0812-G04-CIE</t>
  </si>
  <si>
    <t>Vulnerabilidad y riesgos.</t>
  </si>
  <si>
    <t>3.15. Identificación de amenazas naturales y antrópicas comunes en El Salvador y la comunidad.</t>
  </si>
  <si>
    <t>Amenazas y riesgo: gestión de riesgos</t>
  </si>
  <si>
    <t>T0813-G04-CIE</t>
  </si>
  <si>
    <t>3.16. Indagación de los conceptos de vulnerabilidad y capacidad.</t>
  </si>
  <si>
    <t>Vulnerabilidad y capacidad: gestión de riesgos</t>
  </si>
  <si>
    <t>Conocer: definir y ejemplificar</t>
  </si>
  <si>
    <t>T0814-G04-CIE</t>
  </si>
  <si>
    <t>3.17. Reconocimiento de los principales riesgos presentes en El Salvador.</t>
  </si>
  <si>
    <t>Caracterización de riesgos: gestión de riesgos</t>
  </si>
  <si>
    <t>Aplicar: interpretar mapas. Razonar: justificar</t>
  </si>
  <si>
    <t>T0815-G04-CIE</t>
  </si>
  <si>
    <t>3.18. Práctica de un simulacro de emergencia.</t>
  </si>
  <si>
    <t>Simulacro de emergencia: gestión de riesgos</t>
  </si>
  <si>
    <t>Aplicar: seguir protocolos. Razonar: evaluar</t>
  </si>
  <si>
    <t>T0816-G04-CIE</t>
  </si>
  <si>
    <t>Unidad 4 - Sistema solar</t>
  </si>
  <si>
    <t>4. Sistema solar.</t>
  </si>
  <si>
    <t>El Sol.</t>
  </si>
  <si>
    <t>4.1. Descripción de los diferentes modelos del sistema solar.</t>
  </si>
  <si>
    <t>Modelo heliocéntrico: Sol y planetas que giran</t>
  </si>
  <si>
    <t>Aplicar: comparar modelos. Razonar: evaluar</t>
  </si>
  <si>
    <r>
      <rPr>
        <sz val="10"/>
        <color indexed="8"/>
        <rFont val="Arial"/>
      </rPr>
      <t>E1; E5; E4; E4; E6</t>
    </r>
  </si>
  <si>
    <t>T0817-G04-CIE</t>
  </si>
  <si>
    <t>4.2. Modelación de la estructura del Sol.</t>
  </si>
  <si>
    <t>Capas del Sol no figuran en el objetivo del sistema solar</t>
  </si>
  <si>
    <t>T0818-G04-CIE</t>
  </si>
  <si>
    <t>La Luna.</t>
  </si>
  <si>
    <t>4.3. Representación de las propiedades físicas de la Luna y su interacción con la Tierra.</t>
  </si>
  <si>
    <t>Luna y relación con Tierra; experimento de cráteres con mediciones</t>
  </si>
  <si>
    <t>Aplicar: usar modelos. Razonar: comparar</t>
  </si>
  <si>
    <t>T0819-G04-CIE</t>
  </si>
  <si>
    <t>4.4. Descripción de hipótesis sobre la formación de la Luna.</t>
  </si>
  <si>
    <t>Formación de la Luna no está en el objetivo 2027</t>
  </si>
  <si>
    <t>Conocer: describir hipótesis</t>
  </si>
  <si>
    <t>T0820-G04-CIE</t>
  </si>
  <si>
    <t>4.5. Explicación de las fases de la Luna.</t>
  </si>
  <si>
    <t>Fases de la Luna y posición Sol-Tierra-Luna</t>
  </si>
  <si>
    <t>Aplicar: usar modelos. Razonar: predecir</t>
  </si>
  <si>
    <t>T0821-G04-CIE</t>
  </si>
  <si>
    <t>La Tierra.</t>
  </si>
  <si>
    <t>4.6. Modelación del eje de inclinación de la Tierra.</t>
  </si>
  <si>
    <t>Inclinación del eje terrestre ya no es objetivo en 4.° 2027</t>
  </si>
  <si>
    <r>
      <rPr>
        <sz val="10"/>
        <color indexed="8"/>
        <rFont val="Arial"/>
      </rPr>
      <t>E1; E5; E4; D4; E1</t>
    </r>
  </si>
  <si>
    <t>T0822-G04-CIE</t>
  </si>
  <si>
    <t>4.7. Identificación de los movimientos de precesión y nutación.</t>
  </si>
  <si>
    <t>Precesión y nutación fuera; cuadro podría incluir rotación y traslación</t>
  </si>
  <si>
    <t>Conocer: identificar. Aplicar: usar modelos</t>
  </si>
  <si>
    <r>
      <rPr>
        <sz val="10"/>
        <color indexed="8"/>
        <rFont val="Arial"/>
      </rPr>
      <t>E1; D1; E4; E4; E1</t>
    </r>
  </si>
  <si>
    <t>T0823-G04-CIE</t>
  </si>
  <si>
    <t>Eclipses.</t>
  </si>
  <si>
    <t>4.8. Representación de la interacción de la Tierra, el Sol y la Luna, durante la formación de eclipses.</t>
  </si>
  <si>
    <t>Eclipses por posiciones relativas de Sol, Tierra y Luna</t>
  </si>
  <si>
    <t>T0824-G04-CIE</t>
  </si>
  <si>
    <t>Planetas.</t>
  </si>
  <si>
    <t>4.9. Descripción de las características físicas y químicas de los planetas que forman el sistema solar.</t>
  </si>
  <si>
    <t>Características de los planetas del sistema solar</t>
  </si>
  <si>
    <t>Aplicar: organizar datos. Razonar: comparar</t>
  </si>
  <si>
    <r>
      <rPr>
        <sz val="10"/>
        <color indexed="8"/>
        <rFont val="Arial"/>
      </rPr>
      <t>E1; D1; E2; I1; I4</t>
    </r>
  </si>
  <si>
    <t>T0825-G04-CIE</t>
  </si>
  <si>
    <t>Satélites y asteroides.</t>
  </si>
  <si>
    <t>4.10. Indagación de los conceptos de satélite natural, satélite artificial y asteroides.</t>
  </si>
  <si>
    <t>Satélites y asteroides como objetos del sistema solar</t>
  </si>
  <si>
    <t>T0826-G04-CIE</t>
  </si>
  <si>
    <t>4.11. Reconocimiento de algunos satélites naturales del sistema solar.</t>
  </si>
  <si>
    <t>Satélites naturales que giran alrededor de planetas</t>
  </si>
  <si>
    <t>T0827-G04-CIE</t>
  </si>
  <si>
    <t>4.12. Caracterización de otros objetos astronómicos del sistema solar.</t>
  </si>
  <si>
    <t>Modelo a escala del sistema solar y sus objetos</t>
  </si>
  <si>
    <t>Aplicar: usar modelos a escala</t>
  </si>
  <si>
    <t>T0828-G04-CIE</t>
  </si>
  <si>
    <t xml:space="preserve">Unidad 5 - C. humano materia y </t>
  </si>
  <si>
    <t>Sistema digestivo.</t>
  </si>
  <si>
    <t>5.1. Descripción de las funciones, la importancia y los cuidados del sistema digestivo.</t>
  </si>
  <si>
    <t>Funciones del sistema digestivo y hábitos de cuidado</t>
  </si>
  <si>
    <t>Conocer: describir funciones</t>
  </si>
  <si>
    <t>T0829-G04-CIE</t>
  </si>
  <si>
    <t>5.2. Construcción de modelo del sistema digestivo.</t>
  </si>
  <si>
    <t>Modelo de estructuras digestivas y su función</t>
  </si>
  <si>
    <t>Aplicar: construir modelos. Razonar: evaluar</t>
  </si>
  <si>
    <r>
      <rPr>
        <sz val="10"/>
        <color indexed="8"/>
        <rFont val="Arial"/>
      </rPr>
      <t>E1; D1; E4; E4; E3</t>
    </r>
  </si>
  <si>
    <t>T0830-G04-CIE</t>
  </si>
  <si>
    <t>Sistema respiratorio.</t>
  </si>
  <si>
    <t>5.3. Descripción de las funciones, la importancia y los cuidados del sistema respiratorio..</t>
  </si>
  <si>
    <t>Función respiratoria; respuesta del cuerpo a la actividad física</t>
  </si>
  <si>
    <t>Conocer: describir. Aplicar: medir</t>
  </si>
  <si>
    <t>T0831-G04-CIE</t>
  </si>
  <si>
    <t>5.4. Construcción de modelo del sistema respiratorio.</t>
  </si>
  <si>
    <t>Modelo de pulmón y función de sus partes</t>
  </si>
  <si>
    <t>Aplicar: construir y usar modelos</t>
  </si>
  <si>
    <t>T0832-G04-CIE</t>
  </si>
  <si>
    <t>Sistema circulatorio.</t>
  </si>
  <si>
    <t>5.5. Manipulación de simulaciones para explicar la estructura y las funciones sistémicas.</t>
  </si>
  <si>
    <t>Simulación de estructuras y funciones de sistemas corporales</t>
  </si>
  <si>
    <t>Aplicar: usar simulaciones. Razonar: evaluar</t>
  </si>
  <si>
    <t>T0833-G04-CIE</t>
  </si>
  <si>
    <t>5.6. Descripción del funcionamiento y los cuidados del sistema circulatorio.</t>
  </si>
  <si>
    <t>Función del corazón; pulso cambia con el ejercicio</t>
  </si>
  <si>
    <r>
      <rPr>
        <sz val="10"/>
        <color indexed="8"/>
        <rFont val="Arial"/>
      </rPr>
      <t>E1; E5; E1; D4; I5</t>
    </r>
  </si>
  <si>
    <t>T0834-G04-CIE</t>
  </si>
  <si>
    <t>5.7. Vinculación del sistema circulatorio con los demás sistemas del cuerpo humano.</t>
  </si>
  <si>
    <t>Relación estructura-función entre sistemas corporales</t>
  </si>
  <si>
    <t>Aplicar: relacionar sistemas</t>
  </si>
  <si>
    <t>T0835-G04-CIE</t>
  </si>
  <si>
    <t>Sistema excretor.</t>
  </si>
  <si>
    <t>5.8. Uso de simulación para explicar las partes y funciones principales del sistema excretor.</t>
  </si>
  <si>
    <t>Partes y funciones del sistema excretor</t>
  </si>
  <si>
    <t>T0836-G04-CIE</t>
  </si>
  <si>
    <t>5.9. Descripción de la importancia y los cuidados del sistema excretor.</t>
  </si>
  <si>
    <t>Cuidados del sistema excretor como hábitos de salud</t>
  </si>
  <si>
    <t>Aplicar: relacionar. Razonar: evaluar información</t>
  </si>
  <si>
    <t>T0837-G04-CIE</t>
  </si>
  <si>
    <t>Unidad 6 - C. humano movimiento</t>
  </si>
  <si>
    <t>Sistema musculoesquelético.</t>
  </si>
  <si>
    <t>6.1. Indagación de las estructuras musculares, óseas y articulaciones del cuerpo humano.</t>
  </si>
  <si>
    <t>Huesos, músculos y articulaciones del cuerpo</t>
  </si>
  <si>
    <t>T0838-G04-CIE</t>
  </si>
  <si>
    <t>6.2. Práctica con el funcionamiento de músculos y articulaciones.</t>
  </si>
  <si>
    <t>Función de músculos y articulaciones en el movimiento</t>
  </si>
  <si>
    <t>Aplicar: observar y registrar</t>
  </si>
  <si>
    <t>T0839-G04-CIE</t>
  </si>
  <si>
    <t>6.3. Modelación de la contracción muscular para generar movimiento.</t>
  </si>
  <si>
    <t>Modelo de contracción muscular y movimiento</t>
  </si>
  <si>
    <t>Aplicar: construir modelos</t>
  </si>
  <si>
    <t>T0840-G04-CIE</t>
  </si>
  <si>
    <t>6.4. Descripción de la morfología, las funciones y formas de protección de huesos y cartílagos.</t>
  </si>
  <si>
    <t>Funciones de huesos y cartílagos</t>
  </si>
  <si>
    <t>T0841-G04-CIE</t>
  </si>
  <si>
    <t>6.5. Representación de los principales músculos esqueléticos y huesos del cuerpo humano.</t>
  </si>
  <si>
    <t>Principales huesos y músculos del cuerpo</t>
  </si>
  <si>
    <t>Aplicar: representar</t>
  </si>
  <si>
    <t>T0842-G04-CIE</t>
  </si>
  <si>
    <t>Sistemas sensorial y nervioso.</t>
  </si>
  <si>
    <t>6.6. Experimentación con los sistemas sensoriales del cuerpo humano.</t>
  </si>
  <si>
    <t>Órganos sensoriales mediante experimento con registro y conclusión</t>
  </si>
  <si>
    <t>Razonar: predecir, comprobar e interpretar</t>
  </si>
  <si>
    <t>T0843-G04-CIE</t>
  </si>
  <si>
    <t>6.7. Explicación de las funciones, la importancia y los cuidados del sistema nervioso.</t>
  </si>
  <si>
    <t>Funciones del sistema nervioso; tiempo de reacción ante estímulos</t>
  </si>
  <si>
    <t>T0844-G04-CIE</t>
  </si>
  <si>
    <t>6.8. Representación de las partes principales del sistema nervioso humano.</t>
  </si>
  <si>
    <t>Partes principales del sistema nervioso y sus funciones</t>
  </si>
  <si>
    <t>T0845-G04-CIE</t>
  </si>
  <si>
    <t>Sistema reproductor.</t>
  </si>
  <si>
    <t>6.9. Descripción de la estructura del sistema reproductor femenino y masculino.</t>
  </si>
  <si>
    <t>Estructuras del sistema reproductor; no listadas en sub-ítems</t>
  </si>
  <si>
    <t>T0846-G04-CIE</t>
  </si>
  <si>
    <t>6.10. Explicación de la importancia y cuidados del sistema reproductor.</t>
  </si>
  <si>
    <t>Cuidados del sistema reproductor como hábitos de salud</t>
  </si>
  <si>
    <t>T0847-G05-CIE</t>
  </si>
  <si>
    <t>Matriz_Ciencias_5to_Grado_U1_U6.xlsx</t>
  </si>
  <si>
    <t>Unidad 1 - Magnitudes físicas</t>
  </si>
  <si>
    <t>1. Magnitudes físicas.</t>
  </si>
  <si>
    <t>Sistema Internacional de Unidades.</t>
  </si>
  <si>
    <t>1.1. Medición directa de magnitudes físicas en las unidades fundamentales del SI.</t>
  </si>
  <si>
    <r>
      <rPr>
        <sz val="10"/>
        <color indexed="8"/>
        <rFont val="Arial"/>
      </rPr>
      <t>Investigaciones en física</t>
    </r>
  </si>
  <si>
    <t>Medición directa con instrumentos; práctica de medición sin contenido disciplinar.</t>
  </si>
  <si>
    <t>Aplicar: medir con instrumentos y unidades del SI</t>
  </si>
  <si>
    <t>T0848-G05-CIE</t>
  </si>
  <si>
    <t>1.2. Medición directa de magnitudes físicas en las unidades derivadas del SI.</t>
  </si>
  <si>
    <t>Medición directa de magnitudes derivadas; práctica investigativa de medición.</t>
  </si>
  <si>
    <t>Aplicar: medir magnitudes derivadas</t>
  </si>
  <si>
    <t>T0849-G05-CIE</t>
  </si>
  <si>
    <t>1.3. Cálculo de magnitudes físicas derivadas a partir de unidades fundamentales del SI.</t>
  </si>
  <si>
    <t>Cálculo de magnitudes derivadas con unidades; sin práctica investigativa.</t>
  </si>
  <si>
    <t>Aplicar: calcular a partir de mediciones</t>
  </si>
  <si>
    <t>T0850-G05-CIE</t>
  </si>
  <si>
    <t>1.4. Representación de cantidades y unidades bajo los lineamientos del SI y el Reglamento Técnico Salvadoreño (RTS) de metrología.</t>
  </si>
  <si>
    <t>Nomenclatura y simbología del SI; unidades sin contenido del marco.</t>
  </si>
  <si>
    <t>Conocer: aplicar normas de escritura</t>
  </si>
  <si>
    <r>
      <rPr>
        <sz val="10"/>
        <color indexed="8"/>
        <rFont val="Arial"/>
      </rPr>
      <t>E1; D1; E1; I4; I1</t>
    </r>
  </si>
  <si>
    <t>T0851-G05-CIE</t>
  </si>
  <si>
    <t>Cifras y conversiones.</t>
  </si>
  <si>
    <t>1.5. Uso de cifras significativas, técnicas de redondeo y notación científica.</t>
  </si>
  <si>
    <t>Cifras significativas, redondeo y notación científica; fuera del marco.</t>
  </si>
  <si>
    <t>Aplicar: redondear y usar notación científica</t>
  </si>
  <si>
    <r>
      <rPr>
        <sz val="10"/>
        <color indexed="8"/>
        <rFont val="Arial"/>
      </rPr>
      <t>E1; D1; E1; D4; E2</t>
    </r>
  </si>
  <si>
    <t>T0852-G05-CIE</t>
  </si>
  <si>
    <t>1.6. Conversión de unidades de medida empleando factores de conversión.</t>
  </si>
  <si>
    <t>Conversión de unidades con factores; excluido del marco.</t>
  </si>
  <si>
    <t>Aplicar: convertir unidades</t>
  </si>
  <si>
    <t>T0853-G05-CIE</t>
  </si>
  <si>
    <t>Error en la medida.</t>
  </si>
  <si>
    <t>1.7. Comparación entre precisión y exactitud de un instrumento de medida.</t>
  </si>
  <si>
    <t>Precisión y exactitud de instrumentos con datos propios; calidad de mediciones.</t>
  </si>
  <si>
    <t>Aplicar: comparar. Razonar: evaluar instrumentos</t>
  </si>
  <si>
    <t>T0854-G05-CIE</t>
  </si>
  <si>
    <t>1.8. Identificación de fuentes de error al utilizar instrumentos de medición.</t>
  </si>
  <si>
    <t>Fuentes de error en mediciones propias; rasgo de investigación sólida.</t>
  </si>
  <si>
    <t>Razonar: evaluar procedimientos</t>
  </si>
  <si>
    <r>
      <rPr>
        <sz val="10"/>
        <color indexed="8"/>
        <rFont val="Arial"/>
      </rPr>
      <t>E1; D1; E1; D3; I4</t>
    </r>
  </si>
  <si>
    <t>T0855-G05-CIE</t>
  </si>
  <si>
    <t>1.9. Estimación de la propagación del error al momento de manipular varias mediciones.</t>
  </si>
  <si>
    <t>Propagación del error es cálculo; afín a análisis de mediciones repetidas.</t>
  </si>
  <si>
    <t>Aplicar: calcular. Razonar: estimar</t>
  </si>
  <si>
    <t>T0856-G05-CIE</t>
  </si>
  <si>
    <t>Unidad 2 - Mecánica</t>
  </si>
  <si>
    <t>2. Mecánica.</t>
  </si>
  <si>
    <t>Magnitudes físicas del movimiento.</t>
  </si>
  <si>
    <t>2.1. Determinación de la posición de un objeto respecto a un punto de referencia.</t>
  </si>
  <si>
    <t>Posición respecto a un referente, base del cambio de posición.</t>
  </si>
  <si>
    <t>Aplicar: ubicar con coordenadas</t>
  </si>
  <si>
    <t>T8-F5.1</t>
  </si>
  <si>
    <t>T0857-G05-CIE</t>
  </si>
  <si>
    <t>2.2. Uso de un sistema de geoposicionamiento.</t>
  </si>
  <si>
    <t>Coordenadas geográficas y geoposicionamiento; sin contenido del marco.</t>
  </si>
  <si>
    <t>Aplicar: usar coordenadas geográficas</t>
  </si>
  <si>
    <t>T0858-G05-CIE</t>
  </si>
  <si>
    <t>2.3. Explicación de la diferencia entre desplazamiento, trayectoria y distancia recorrida.</t>
  </si>
  <si>
    <t>Distancia, desplazamiento y trayectoria para describir el movimiento.</t>
  </si>
  <si>
    <t>Aplicar: medir y representar</t>
  </si>
  <si>
    <t>T0859-G05-CIE</t>
  </si>
  <si>
    <t>2.4. Discriminación entre una magnitud escalar y vectorial.</t>
  </si>
  <si>
    <t>Escalares y vectoriales; fuerzas con magnitud y dirección.</t>
  </si>
  <si>
    <t>T8-F5.2</t>
  </si>
  <si>
    <t>T0860-G05-CIE</t>
  </si>
  <si>
    <t>2.5. Diferenciación de los conceptos: rapidez y velocidad.</t>
  </si>
  <si>
    <t>Rapidez y velocidad medidas al caminar y correr.</t>
  </si>
  <si>
    <t>Aplicar: medir y calcular</t>
  </si>
  <si>
    <t>T0861-G05-CIE</t>
  </si>
  <si>
    <t>Tipos de movimiento.</t>
  </si>
  <si>
    <t>2.6. Caracterización del movimiento en trayectoria recta sin aceleración.</t>
  </si>
  <si>
    <t>Movimiento rectilíneo uniforme con gráfica posición-tiempo.</t>
  </si>
  <si>
    <r>
      <rPr>
        <sz val="10"/>
        <color indexed="8"/>
        <rFont val="Arial"/>
      </rPr>
      <t>E1; E3; E2; D4; E3</t>
    </r>
  </si>
  <si>
    <t>T0862-G05-CIE</t>
  </si>
  <si>
    <t>2.7. Reconocimiento del movimiento en trayectoria circular.</t>
  </si>
  <si>
    <t>Movimiento circular uniforme; rapidez como cambio de posición.</t>
  </si>
  <si>
    <t>Aplicar: medir. Razonar: comparar</t>
  </si>
  <si>
    <t>T0863-G05-CIE</t>
  </si>
  <si>
    <t>Fuerza para trasladar y torque para rotar.</t>
  </si>
  <si>
    <t>2.8. Experimentación con el principio de inercia.</t>
  </si>
  <si>
    <t>Inercia: cambios del movimiento según fuerzas que actúan.</t>
  </si>
  <si>
    <t>Aplicar: relacionar. Razonar: explicar</t>
  </si>
  <si>
    <t>T8-F5.3</t>
  </si>
  <si>
    <r>
      <rPr>
        <sz val="10"/>
        <color indexed="8"/>
        <rFont val="Arial"/>
      </rPr>
      <t>E1; E5; E1; D2; E6</t>
    </r>
  </si>
  <si>
    <t>T0864-G05-CIE</t>
  </si>
  <si>
    <t>2.9. Experimentación de la aceleración como consecuencia de una fuerza neta.</t>
  </si>
  <si>
    <t>Fuerza neta y aceleración mediante experimento con variables y conclusión.</t>
  </si>
  <si>
    <t>Razonar: identificar variables y concluir</t>
  </si>
  <si>
    <t>T0865-G05-CIE</t>
  </si>
  <si>
    <t>2.10. Indagación del efecto del par de fuerzas acción y reacción en sistema de fuerzas.</t>
  </si>
  <si>
    <t>Pares de fuerzas de acción y reacción.</t>
  </si>
  <si>
    <t>Aplicar: identificar pares de fuerzas</t>
  </si>
  <si>
    <r>
      <rPr>
        <sz val="10"/>
        <color indexed="8"/>
        <rFont val="Arial"/>
      </rPr>
      <t>E1; E5; E1; D4; E3</t>
    </r>
  </si>
  <si>
    <t>T0866-G05-CIE</t>
  </si>
  <si>
    <t>Fuerza para trasladar y torque para rotar</t>
  </si>
  <si>
    <t>2.11. Aplicación del concepto torque a objetos que rotan.</t>
  </si>
  <si>
    <t>Torque en objetos que rotan, afín a palancas y máquinas simples.</t>
  </si>
  <si>
    <t>T0867-G05-CIE</t>
  </si>
  <si>
    <t>Energía mecánica.</t>
  </si>
  <si>
    <t>2.12. Relación del movimiento con la energía cinética.</t>
  </si>
  <si>
    <r>
      <rPr>
        <sz val="10"/>
        <color indexed="8"/>
        <rFont val="Arial"/>
      </rPr>
      <t>Transformación y transferencia de energía</t>
    </r>
  </si>
  <si>
    <t>Energía cinética relacionada con masa y rapidez.</t>
  </si>
  <si>
    <t>Aplicar: relacionar. Razonar: interpretar datos</t>
  </si>
  <si>
    <t>T8-F2.1</t>
  </si>
  <si>
    <t>T0868-G05-CIE</t>
  </si>
  <si>
    <t>2.13. Experimentación con resortes para evidenciar fuerza restaurativa y energía potencial.</t>
  </si>
  <si>
    <t>Fuerza elástica de resortes y energía potencial elástica.</t>
  </si>
  <si>
    <t>Aplicar: medir y graficar. Razonar: identificar patrones</t>
  </si>
  <si>
    <t>T0869-G05-CIE</t>
  </si>
  <si>
    <t>2.14. Experimentación con objetos en caída libre para evidenciar relación entre la altura y la energía potencial gravitatoria.</t>
  </si>
  <si>
    <t>Energía potencial gravitatoria según altura de caída.</t>
  </si>
  <si>
    <t>T0870-G05-CIE</t>
  </si>
  <si>
    <t>2.15. Experimentación con transformaciones energéticas en un sistema mecánico.</t>
  </si>
  <si>
    <t>Transformaciones y conservación de energía mecánica en péndulo.</t>
  </si>
  <si>
    <t>Aplicar: usar modelos. Razonar: explicar</t>
  </si>
  <si>
    <t>T0871-G05-CIE</t>
  </si>
  <si>
    <t>Unidad 3 - Estructura atómica</t>
  </si>
  <si>
    <t>Teoría atómica.</t>
  </si>
  <si>
    <t>3.2. Interpretación histórica de la estructura del átomo y del posicionamiento de partículas subatómicas.</t>
  </si>
  <si>
    <r>
      <rPr>
        <sz val="10"/>
        <color indexed="8"/>
        <rFont val="Arial"/>
      </rPr>
      <t>Química</t>
    </r>
  </si>
  <si>
    <r>
      <rPr>
        <sz val="10"/>
        <color indexed="8"/>
        <rFont val="Arial"/>
      </rPr>
      <t>Composición de la materia</t>
    </r>
  </si>
  <si>
    <t>Evolución histórica de la estructura del átomo y sus partículas.</t>
  </si>
  <si>
    <t>T8-Q1.1</t>
  </si>
  <si>
    <t>T0872-G05-CIE</t>
  </si>
  <si>
    <t>[Sin procedimental en la malla oficial: ver hoja Notas]</t>
  </si>
  <si>
    <t>Comparación de modelos atómicos históricos.</t>
  </si>
  <si>
    <t>T0873-G05-CIE</t>
  </si>
  <si>
    <t>3.3. Construcción e identificación de un modelo atómico.</t>
  </si>
  <si>
    <t>Modelo atómico con núcleo, protones, neutrones y electrones.</t>
  </si>
  <si>
    <t>T0874-G05-CIE</t>
  </si>
  <si>
    <t>3.4. Modelación del comportamiento de las partículas subatómicas.</t>
  </si>
  <si>
    <t>Comportamiento de partículas subatómicas en simulador.</t>
  </si>
  <si>
    <t>Aplicar: usar modelos y simulaciones</t>
  </si>
  <si>
    <t>T0875-G05-CIE</t>
  </si>
  <si>
    <t>3.5. Determinación de los números atómico y másico.</t>
  </si>
  <si>
    <t>Número atómico y másico; protones ordenan la tabla periódica.</t>
  </si>
  <si>
    <t>Aplicar: calcular</t>
  </si>
  <si>
    <t>T8-Q1.3</t>
  </si>
  <si>
    <t>T0876-G05-CIE</t>
  </si>
  <si>
    <t>Tipos de transferencia de carga.</t>
  </si>
  <si>
    <t>3.6. Identificación de los tipos de transferencia de carga.</t>
  </si>
  <si>
    <t>Electrización por transferencia de electrones; electrostática no figura explícitamente.</t>
  </si>
  <si>
    <t>Aplicar: identificar. Razonar: comprobar</t>
  </si>
  <si>
    <t>T0877-G05-CIE</t>
  </si>
  <si>
    <t>3.7. Deducción de la formación de iones monoatómicos.</t>
  </si>
  <si>
    <t>Formación de iones por ganancia o pérdida de electrones.</t>
  </si>
  <si>
    <t>Aplicar: usar modelos. Razonar: deducir</t>
  </si>
  <si>
    <t>T8-Q3.3</t>
  </si>
  <si>
    <t>T0878-G05-CIE</t>
  </si>
  <si>
    <t>Isótopos.</t>
  </si>
  <si>
    <t>3.8. Construcción del concepto de isótopo y sus aplicaciones.</t>
  </si>
  <si>
    <t>Isótopos según neutrones del núcleo; nivel superior a TIMSS.</t>
  </si>
  <si>
    <t>Conocer: definir. Razonar: evaluar información</t>
  </si>
  <si>
    <t>T0879-G05-CIE</t>
  </si>
  <si>
    <t>3.9. Cuantificación de la masa atómica relativa de isótopos.</t>
  </si>
  <si>
    <t>Masa atómica relativa de isótopos; estructura del átomo.</t>
  </si>
  <si>
    <t>Aplicar: calcular. Razonar: usar modelos</t>
  </si>
  <si>
    <t>T0880-G05-CIE</t>
  </si>
  <si>
    <t>Números cuánticos.</t>
  </si>
  <si>
    <t>3.10. Representación de la estructura atómica con su conjunto de números cuánticos.</t>
  </si>
  <si>
    <t>Números cuánticos describen electrones; nivel superior a TIMSS.</t>
  </si>
  <si>
    <t>T0881-G05-CIE</t>
  </si>
  <si>
    <t>Configuración electrónica.</t>
  </si>
  <si>
    <t>3.11. Representación de distintos tipos de configuraciones electrónicas.</t>
  </si>
  <si>
    <t>Configuración electrónica vinculada a periodo y grupo.</t>
  </si>
  <si>
    <t>T0882-G05-CIE</t>
  </si>
  <si>
    <t>Unidad 4 - Tabla periódica</t>
  </si>
  <si>
    <t>4. Tabla periódica.</t>
  </si>
  <si>
    <t>Desarrollo de la Tabla Periódica.</t>
  </si>
  <si>
    <t>4.1. Elaboración de una línea de tiempo del proceso de construcción de la Tabla Periódica.</t>
  </si>
  <si>
    <t>Historia de la construcción de la tabla periódica.</t>
  </si>
  <si>
    <r>
      <rPr>
        <sz val="10"/>
        <color indexed="8"/>
        <rFont val="Arial"/>
      </rPr>
      <t>E1; D1; E2; I1; E6</t>
    </r>
  </si>
  <si>
    <t>T0883-G05-CIE</t>
  </si>
  <si>
    <t>4.2. Representación gráfica de la Tabla Periódica actual, con ejemplificaciones del empleo industrial de los elementos químicos.</t>
  </si>
  <si>
    <t>Tabla periódica ilustrada con usos de los elementos.</t>
  </si>
  <si>
    <t>T8-Q2.1</t>
  </si>
  <si>
    <t>T0884-G05-CIE</t>
  </si>
  <si>
    <t>Estructura de la Tabla Periódica.</t>
  </si>
  <si>
    <t>4.3. Descripción de los criterios de organización presentes en la Tabla Periódica actual.</t>
  </si>
  <si>
    <t>Criterios de organización: grupos, periodos, metales y no metales.</t>
  </si>
  <si>
    <t>T0885-G05-CIE</t>
  </si>
  <si>
    <t>Propiedades periódicas.</t>
  </si>
  <si>
    <t>4.4. Interpretación de las propiedades periódicas de los elementos químicos.</t>
  </si>
  <si>
    <t>Tendencias periódicas para predecir propiedades por grupo y periodo.</t>
  </si>
  <si>
    <t>Aplicar: interpretar gráficas. Razonar: predecir</t>
  </si>
  <si>
    <t>T0886-G05-CIE</t>
  </si>
  <si>
    <t>Formulación química.</t>
  </si>
  <si>
    <t>4.5. Reconocimiento de los principios que llevan a la formulación química.</t>
  </si>
  <si>
    <t>Fórmulas químicas como combinaciones de átomos en compuestos.</t>
  </si>
  <si>
    <t>Conocer: interpretar fórmulas</t>
  </si>
  <si>
    <t>T8-Q1.2</t>
  </si>
  <si>
    <t>T0887-G05-CIE</t>
  </si>
  <si>
    <t>4.6. Interpretación de la interacción iónica para la deducción de fórmulas químicas.</t>
  </si>
  <si>
    <t>Interacción iónica como enlace para deducir fórmulas.</t>
  </si>
  <si>
    <t>T0888-G05-CIE</t>
  </si>
  <si>
    <t>4.7. Identificación de los números de oxidación.</t>
  </si>
  <si>
    <t>Números de oxidación; relación indirecta con electrones en enlaces.</t>
  </si>
  <si>
    <t>Aplicar: identificar</t>
  </si>
  <si>
    <t>T0889-G05-CIE</t>
  </si>
  <si>
    <t>Unidad 5 - Ciencias del espacio</t>
  </si>
  <si>
    <t>5. Ciencias del espacio.</t>
  </si>
  <si>
    <t>El Big Bang.</t>
  </si>
  <si>
    <t>5.1. Exploración sobre la hipótesis del Big Bang.</t>
  </si>
  <si>
    <t>Big Bang es cosmología; no está en el marco 2027.</t>
  </si>
  <si>
    <t>T0890-G05-CIE</t>
  </si>
  <si>
    <t>5.2. Visualización de las escalas astronómicas de tiempo y distancia astronómica.</t>
  </si>
  <si>
    <t>Escalas cósmicas de tiempo y distancia; fuera del objetivo E4.2.</t>
  </si>
  <si>
    <t>Aplicar: usar escalas</t>
  </si>
  <si>
    <t>T0891-G05-CIE</t>
  </si>
  <si>
    <t>Formación del sistema solar.</t>
  </si>
  <si>
    <t>5.3. Modelación de la formación del sistema solar.</t>
  </si>
  <si>
    <t>Formación del sistema solar; objetivo solo describe Sol y planetas.</t>
  </si>
  <si>
    <t>T8-T4.2</t>
  </si>
  <si>
    <t>T0892-G05-CIE</t>
  </si>
  <si>
    <t>Evolución estelar.</t>
  </si>
  <si>
    <t>5.4. Caracterización de tipos de galaxias: tamaño y formas.</t>
  </si>
  <si>
    <t>Galaxias no figuran en el marco 2027.</t>
  </si>
  <si>
    <t>T0893-G05-CIE</t>
  </si>
  <si>
    <t>5.5. Explicación de la interacción entre nebulosas y estrellas.</t>
  </si>
  <si>
    <t>Nebulosas y estrellas lejanas eliminadas del marco 2027.</t>
  </si>
  <si>
    <t>Conocer: describir procesos</t>
  </si>
  <si>
    <t>T0894-G05-CIE</t>
  </si>
  <si>
    <t>5.6. Clasificación de la evolución estelar.</t>
  </si>
  <si>
    <t>Evolución estelar y otras estrellas eliminadas del marco 2027.</t>
  </si>
  <si>
    <t>T0895-G05-CIE</t>
  </si>
  <si>
    <t>Misiones espaciales.</t>
  </si>
  <si>
    <t>5.7. Exposición sobre misiones de exploración del sistema solar.</t>
  </si>
  <si>
    <t>Misiones aportan datos para comparar planetas del sistema solar.</t>
  </si>
  <si>
    <r>
      <rPr>
        <sz val="10"/>
        <color indexed="8"/>
        <rFont val="Arial"/>
      </rPr>
      <t>E1; D1; E1; I1; I5</t>
    </r>
  </si>
  <si>
    <t>T0896-G05-CIE</t>
  </si>
  <si>
    <t>Formación de la Tierra.</t>
  </si>
  <si>
    <t>5.8. Modelación de la formación de la corteza terrestre.</t>
  </si>
  <si>
    <t>Formación y características de la corteza terrestre.</t>
  </si>
  <si>
    <t>T8-T1.1</t>
  </si>
  <si>
    <t>T0897-G05-CIE</t>
  </si>
  <si>
    <t>5.9. Indagación sobre el campo magnético de la Tierra.</t>
  </si>
  <si>
    <t>Brújula e imanes; campo magnético ligado al núcleo terrestre.</t>
  </si>
  <si>
    <t>Aplicar: construir y comprobar</t>
  </si>
  <si>
    <t>T8-F4.2</t>
  </si>
  <si>
    <t>T0898-G05-CIE</t>
  </si>
  <si>
    <t>Unidad 6 - Ciencias de la Tierr</t>
  </si>
  <si>
    <t>Tiempo geológico.</t>
  </si>
  <si>
    <t>6.1. Categorización del tiempo geológico: eones, eras, períodos.</t>
  </si>
  <si>
    <t>Escala geológica y registro fósil para inferir cambios.</t>
  </si>
  <si>
    <t>Aplicar: organizar y usar escalas</t>
  </si>
  <si>
    <t>T8-T2.1</t>
  </si>
  <si>
    <t>T8-B4.2</t>
  </si>
  <si>
    <t>T0899-G05-CIE</t>
  </si>
  <si>
    <t>6.2. Modelación del proceso de formación de fósiles.</t>
  </si>
  <si>
    <t>Formación de fósiles, explícita en procesos geológicos.</t>
  </si>
  <si>
    <t>T0900-G05-CIE</t>
  </si>
  <si>
    <t>6.3. Explicación del proceso de datación de fósiles.</t>
  </si>
  <si>
    <r>
      <rPr>
        <sz val="10"/>
        <color indexed="8"/>
        <rFont val="Arial"/>
      </rPr>
      <t>Diversidad, adaptación y selección natural</t>
    </r>
  </si>
  <si>
    <t>Datación por capas para inferir antigüedad de grupos de organismos.</t>
  </si>
  <si>
    <t>T0901-G05-CIE</t>
  </si>
  <si>
    <t>6.4. Reconocimiento de fósiles en El Salvador.</t>
  </si>
  <si>
    <t>Fósiles locales como registro de cambios ambientales.</t>
  </si>
  <si>
    <t>Conocer: reconocer. Razonar: evaluar fuentes</t>
  </si>
  <si>
    <t>T0902-G05-CIE</t>
  </si>
  <si>
    <t>6.5. Reconocimiento de los principales eventos de explosión y extinción de biodiversidad en la historia natural.</t>
  </si>
  <si>
    <t>Extinciones y diversificaciones como evidencia del cambio de la vida.</t>
  </si>
  <si>
    <t>T8-B4.1</t>
  </si>
  <si>
    <t>T0903-G05-CIE</t>
  </si>
  <si>
    <t>Tectónica.</t>
  </si>
  <si>
    <t>6.6. Modelación de la deriva continental.</t>
  </si>
  <si>
    <t>Deriva continental y movimiento de placas.</t>
  </si>
  <si>
    <t>T0904-G05-CIE</t>
  </si>
  <si>
    <t>6.7. Identificación de las placas tectónicas con influencia en el istmo centroamericano.</t>
  </si>
  <si>
    <t>Placas tectónicas y bordes que afectan Centroamérica.</t>
  </si>
  <si>
    <t>Aplicar: interpretar mapas</t>
  </si>
  <si>
    <t>T0905-G05-CIE</t>
  </si>
  <si>
    <t>Sismos.</t>
  </si>
  <si>
    <t>6.8. Identificación de eventos naturales relacionados con la actividad tectónica.</t>
  </si>
  <si>
    <t>Sismos y volcanes por actividad tectónica.</t>
  </si>
  <si>
    <t>Aplicar: clasificar y relacionar</t>
  </si>
  <si>
    <t>T0906-G05-CIE</t>
  </si>
  <si>
    <t>6.9. Discriminación entre las escalas de intensidad y magnitud sísmica.</t>
  </si>
  <si>
    <t>Magnitud e intensidad para describir sismos.</t>
  </si>
  <si>
    <t>Aplicar: comparar. Razonar: interpretar</t>
  </si>
  <si>
    <t>T0907-G05-CIE</t>
  </si>
  <si>
    <t>6.10. Reconocimiento de sismos precursores y réplicas.</t>
  </si>
  <si>
    <t>Sismos precursores y réplicas; incluye acciones de prevención.</t>
  </si>
  <si>
    <t>T0908-G05-CIE</t>
  </si>
  <si>
    <t>Actividad volcánica.</t>
  </si>
  <si>
    <t>6.11. Explicación de las causas de la actividad volcánica en El Salvador.</t>
  </si>
  <si>
    <t>Subducción y vulcanismo en El Salvador.</t>
  </si>
  <si>
    <t>T0909-G05-CIE</t>
  </si>
  <si>
    <t>6.12. Identificación de parámetros físicos y químicos que se monitorean en los volcanes.</t>
  </si>
  <si>
    <t>Parámetros de monitoreo volcánico; interpretación de gráficas.</t>
  </si>
  <si>
    <t>Aplicar: interpretar datos</t>
  </si>
  <si>
    <t>T0910-G05-CIE</t>
  </si>
  <si>
    <t>6.13. Descripción de las principales acciones a tomar ante la ocurrencia de una erupción volcánica.</t>
  </si>
  <si>
    <t>Acciones ante erupción; gestión de riesgos fuera del marco.</t>
  </si>
  <si>
    <t>Aplicar: planificar</t>
  </si>
  <si>
    <t>T0911-G05-CIE</t>
  </si>
  <si>
    <t>El suelo.</t>
  </si>
  <si>
    <t>6.14. Identificación de los procesos químicos que ocurren en el suelo.</t>
  </si>
  <si>
    <r>
      <rPr>
        <sz val="10"/>
        <color indexed="8"/>
        <rFont val="Arial"/>
      </rPr>
      <t>Reacciones químicas</t>
    </r>
  </si>
  <si>
    <t>Reacciones en muestras de suelo; meteorización química.</t>
  </si>
  <si>
    <t>Razonar: comprobar y concluir</t>
  </si>
  <si>
    <t>T8-Q3.1</t>
  </si>
  <si>
    <t>T0912-G05-CIE</t>
  </si>
  <si>
    <t>6.15. Indagación de la estructura del suelo y concepto de meteorización.</t>
  </si>
  <si>
    <t>Meteorización y formación del suelo dentro del ciclo de rocas.</t>
  </si>
  <si>
    <t>Aplicar: observar y representar</t>
  </si>
  <si>
    <t>T0913-G05-CIE</t>
  </si>
  <si>
    <t>6.16. Caracterización física de los suelos: clases y tipos.</t>
  </si>
  <si>
    <t>Propiedades físicas del suelo; objetivo no menciona suelos.</t>
  </si>
  <si>
    <t>Razonar: diseñar prueba justa</t>
  </si>
  <si>
    <t>T8-T3.2</t>
  </si>
  <si>
    <t>T0914-G05-CIE</t>
  </si>
  <si>
    <t>6.17. Demostración de la erosión ocasionada por la acción del agua y el viento.</t>
  </si>
  <si>
    <t>Erosión por agua y viento modifica la superficie terrestre.</t>
  </si>
  <si>
    <r>
      <rPr>
        <sz val="10"/>
        <color indexed="8"/>
        <rFont val="Arial"/>
      </rPr>
      <t>E6; E3; E4; D4; E6</t>
    </r>
  </si>
  <si>
    <t>T0915-G05-CIE</t>
  </si>
  <si>
    <t>6.18. Indagación de los efectos de la actividad humana en la degradación del suelo.</t>
  </si>
  <si>
    <t>Agricultura y tala degradan el suelo; propuestas de conservación.</t>
  </si>
  <si>
    <t>Razonar: argumentar</t>
  </si>
  <si>
    <t>T8-B5.5</t>
  </si>
  <si>
    <t>T0916-G05-CIE</t>
  </si>
  <si>
    <t>6.19. Descripción de los principales suelos de El Salvador.</t>
  </si>
  <si>
    <t>Tipos de suelos locales; marco no trata suelos explícitamente.</t>
  </si>
  <si>
    <t>T0917-G05-CIE</t>
  </si>
  <si>
    <t>Usos del suelo.</t>
  </si>
  <si>
    <t>6.20. Observación de los usos actuales del suelo en la comunidad.</t>
  </si>
  <si>
    <t>Usos del suelo como recurso en la comunidad.</t>
  </si>
  <si>
    <t>T0918-G05-CIE</t>
  </si>
  <si>
    <t>6.21. Análisis de cambio de cobertura y uso del suelo en El Salvador.</t>
  </si>
  <si>
    <t>Cambio de cobertura y uso del suelo; impacto humano.</t>
  </si>
  <si>
    <t>Razonar: analizar e interpretar datos</t>
  </si>
  <si>
    <r>
      <rPr>
        <sz val="10"/>
        <color indexed="8"/>
        <rFont val="Arial"/>
      </rPr>
      <t>E6; D1; E2; I3; I5</t>
    </r>
  </si>
  <si>
    <t>T0919-G06-CIE</t>
  </si>
  <si>
    <t>Matriz_Ciencias_6to_Grado_U1_U6.xlsx</t>
  </si>
  <si>
    <t>Unidad 1 - Fluidos</t>
  </si>
  <si>
    <t>Fluidos estáticos.</t>
  </si>
  <si>
    <t>1.1. Experimentación con objetos de diferentes densidades.</t>
  </si>
  <si>
    <r>
      <rPr>
        <sz val="10"/>
        <color indexed="8"/>
        <rFont val="Arial"/>
      </rPr>
      <t>Propiedades de la materia</t>
    </r>
  </si>
  <si>
    <t>Densidad como propiedad física para clasificar; mide masa y volumen.</t>
  </si>
  <si>
    <t>Aplicar: medir y calcular. Razonar: comparar</t>
  </si>
  <si>
    <t>T8-F1.1</t>
  </si>
  <si>
    <t>T0920-G06-CIE</t>
  </si>
  <si>
    <t>1.2. Experimentación con la flotación de un cuerpo.</t>
  </si>
  <si>
    <t>Flotación y fuerza de empuje.</t>
  </si>
  <si>
    <t>T0921-G06-CIE</t>
  </si>
  <si>
    <t>1.3. Experimentación con presión en sólidos, gases y líquidos.</t>
  </si>
  <si>
    <t>Presión como fuerza sobre área y sus efectos en sólidos, líquidos, gases.</t>
  </si>
  <si>
    <t>Aplicar: relacionar. Razonar: interpretar</t>
  </si>
  <si>
    <t>T0922-G06-CIE</t>
  </si>
  <si>
    <t>1.4. Vinculación entre capilaridad y tensión superficial.</t>
  </si>
  <si>
    <r>
      <rPr>
        <sz val="10"/>
        <color indexed="8"/>
        <rFont val="Arial"/>
      </rPr>
      <t>Estados físicos y cambios de la materia</t>
    </r>
  </si>
  <si>
    <t>Tensión superficial y capilaridad no aparecen; afín a propiedades por partículas.</t>
  </si>
  <si>
    <t>Conocer: relacionar conceptos</t>
  </si>
  <si>
    <t>T0923-G06-CIE</t>
  </si>
  <si>
    <t>1.5. Demostración experimental de la capilaridad.</t>
  </si>
  <si>
    <t>Capilaridad no está en el marco; se acerca a propiedades de líquidos.</t>
  </si>
  <si>
    <t>T0924-G06-CIE</t>
  </si>
  <si>
    <t>Dinámica de fluidos.</t>
  </si>
  <si>
    <t>1.6. Medición del caudal de un fluido.</t>
  </si>
  <si>
    <t>Foco en medir caudal; uso del agua perdida por goteo como contexto.</t>
  </si>
  <si>
    <t>T0925-G06-CIE</t>
  </si>
  <si>
    <t>1.7. Indagación del principio de Bernoulli.</t>
  </si>
  <si>
    <t>Bernoulli no está en el marco; afín a presión y efectos de fuerzas.</t>
  </si>
  <si>
    <t>Conocer: describir. Razonar: explicar</t>
  </si>
  <si>
    <t>T0926-G06-CIE</t>
  </si>
  <si>
    <t>1.8. Aplicación del principio de Bernoulli.</t>
  </si>
  <si>
    <t>Dispositivo de Bernoulli; solo afín a presión y fuerzas del aire.</t>
  </si>
  <si>
    <r>
      <rPr>
        <sz val="10"/>
        <color indexed="8"/>
        <rFont val="Arial"/>
      </rPr>
      <t>E1; E3; E4; D3; E3</t>
    </r>
  </si>
  <si>
    <t>T0927-G06-CIE</t>
  </si>
  <si>
    <t>Unidad 2 - Calor y temperatura</t>
  </si>
  <si>
    <t>Temperatura.</t>
  </si>
  <si>
    <t>2.1. Uso de simulación para visualizar el movimiento de las partículas en función de la temperatura.</t>
  </si>
  <si>
    <t>Temperatura relacionada con el movimiento de las partículas.</t>
  </si>
  <si>
    <t>Aplicar: usar simulaciones</t>
  </si>
  <si>
    <t>T8-F2.2</t>
  </si>
  <si>
    <t>T0928-G06-CIE</t>
  </si>
  <si>
    <t>2.2. Construcción de un termoscopio funcional.</t>
  </si>
  <si>
    <t>Termoscopio basado en dilatación de gas o líquido con la temperatura.</t>
  </si>
  <si>
    <t>Aplicar: construir y usar instrumentos</t>
  </si>
  <si>
    <t>T0929-G06-CIE</t>
  </si>
  <si>
    <t>2.3. Comparación entre escalas de temperatura.</t>
  </si>
  <si>
    <t>Escalas y conversiones de temperatura: unidades sin contenido disciplinar del marco.</t>
  </si>
  <si>
    <t>Aplicar: convertir</t>
  </si>
  <si>
    <t>T0930-G06-CIE</t>
  </si>
  <si>
    <t>Propiedades térmicas de los materiales.</t>
  </si>
  <si>
    <t>2.4. Experimentación con los cambios de fase en líquidos</t>
  </si>
  <si>
    <t>Cambio de estado con temperatura constante en la meseta.</t>
  </si>
  <si>
    <t>Aplicar: graficar. Razonar: interpretar</t>
  </si>
  <si>
    <t>T8-F1.2</t>
  </si>
  <si>
    <t>T0931-G06-CIE</t>
  </si>
  <si>
    <t>2.5. Experimentación con la propagación de calor por conducción, convección y radiación.</t>
  </si>
  <si>
    <t>Transferencia de energía térmica por conducción, convección y radiación.</t>
  </si>
  <si>
    <t>Aplicar: clasificar ejemplos</t>
  </si>
  <si>
    <t>T0932-G06-CIE</t>
  </si>
  <si>
    <t>2.6. Experimentación con las propiedades térmicas de los materiales.</t>
  </si>
  <si>
    <t>Calentamiento distinto de arena y agua; transferencia térmica según material.</t>
  </si>
  <si>
    <t>T0933-G06-CIE</t>
  </si>
  <si>
    <t>2.7. Experimentación con la dilatación térmica en sólidos, líquidos y gases.</t>
  </si>
  <si>
    <t>Dilatación térmica explicada por movimiento y distancia de partículas.</t>
  </si>
  <si>
    <t>T0934-G06-CIE</t>
  </si>
  <si>
    <t>Unidad 3 - Electricidad y magne</t>
  </si>
  <si>
    <t>3. Electricidad y magnetismo.</t>
  </si>
  <si>
    <t>Magnitudes basicas de la electricidad.</t>
  </si>
  <si>
    <t>3.1. Uso del multímetro para medir voltaje y corriente eléctrica.</t>
  </si>
  <si>
    <t>Corriente y voltaje en circuitos; uso de multímetro como equipo.</t>
  </si>
  <si>
    <t>Aplicar: medir con instrumentos</t>
  </si>
  <si>
    <t>T8-F4.1</t>
  </si>
  <si>
    <t>T0935-G06-CIE</t>
  </si>
  <si>
    <t>3.2. Identificación del valor de resistencias eléctricas según código de color y multímetro.</t>
  </si>
  <si>
    <t>Resistencia como componente de circuito; medición con multímetro.</t>
  </si>
  <si>
    <t>Aplicar: interpretar códigos</t>
  </si>
  <si>
    <t>T0936-G06-CIE</t>
  </si>
  <si>
    <t>Circuitos.</t>
  </si>
  <si>
    <t>3.3. Representación de circuitos eléctricos en serie y en paralelo.</t>
  </si>
  <si>
    <t>Diagramas de circuitos en serie y en paralelo.</t>
  </si>
  <si>
    <t>Aplicar: representar con diagramas</t>
  </si>
  <si>
    <t>T0937-G06-CIE</t>
  </si>
  <si>
    <t>3.4. Construcción de un circuito en serie.</t>
  </si>
  <si>
    <t>Construcción de circuito en serie completo.</t>
  </si>
  <si>
    <t>Aplicar: construir y medir</t>
  </si>
  <si>
    <r>
      <rPr>
        <sz val="10"/>
        <color indexed="8"/>
        <rFont val="Arial"/>
      </rPr>
      <t>E1; E3; E4; D4; E3</t>
    </r>
  </si>
  <si>
    <t>T0938-G06-CIE</t>
  </si>
  <si>
    <t>3.5. Cálculo de la resistencia equivalente y continuidad de la corriente eléctrica en un circuito en serie.</t>
  </si>
  <si>
    <t>Cálculo en circuito en serie; nivel mayor que TIMSS.</t>
  </si>
  <si>
    <t>Aplicar: calcular. Razonar: comparar</t>
  </si>
  <si>
    <t>T0939-G06-CIE</t>
  </si>
  <si>
    <t>3.6. Construcción de un circuito en paralelo.</t>
  </si>
  <si>
    <t>Construcción de circuito en paralelo.</t>
  </si>
  <si>
    <t>Aplicar: construir</t>
  </si>
  <si>
    <r>
      <rPr>
        <sz val="10"/>
        <color indexed="8"/>
        <rFont val="Arial"/>
      </rPr>
      <t>E1; E3; E4; D4; E6</t>
    </r>
  </si>
  <si>
    <t>T0940-G06-CIE</t>
  </si>
  <si>
    <t>3.7. Cálculo de la resistencia equivalente y voltaje en un circuito en paralelo.</t>
  </si>
  <si>
    <t>Cálculo en circuito en paralelo; nivel mayor que TIMSS.</t>
  </si>
  <si>
    <t>T0941-G06-CIE</t>
  </si>
  <si>
    <t>Magnetismo.</t>
  </si>
  <si>
    <t>3.8. Comparación experimental de la alineación de dominios magnéticos en un imán y un electroimán.</t>
  </si>
  <si>
    <t>Compara imán permanente y electroimán según vueltas.</t>
  </si>
  <si>
    <t>Razonar: comparar y mejorar</t>
  </si>
  <si>
    <t>T0942-G06-CIE</t>
  </si>
  <si>
    <t>3.9. Observación experimental de líneas de campo magnético.</t>
  </si>
  <si>
    <t>Líneas de campo como propiedad de imanes permanentes.</t>
  </si>
  <si>
    <t>T0943-G06-CIE</t>
  </si>
  <si>
    <t>Unidad 4 - Interacciones químic</t>
  </si>
  <si>
    <t>Enlace químico.</t>
  </si>
  <si>
    <t>4.1. Aplicación de los principios de notación de Lewis.</t>
  </si>
  <si>
    <t>Electrones de valencia y enlace químico entre átomos.</t>
  </si>
  <si>
    <t>T0944-G06-CIE</t>
  </si>
  <si>
    <t>4.2. Descripción de las propiedades y características del enlace iónico.</t>
  </si>
  <si>
    <t>Enlace iónico como atracción entre átomos; propiedades del compuesto.</t>
  </si>
  <si>
    <t>T0945-G06-CIE</t>
  </si>
  <si>
    <t>4.3. Descripción de las propiedades y características del enlace metálico.</t>
  </si>
  <si>
    <t>Enlace metálico como atracción con electrones.</t>
  </si>
  <si>
    <t>T0946-G06-CIE</t>
  </si>
  <si>
    <t>Enlace covalente.</t>
  </si>
  <si>
    <t>4.4. Visualización del concepto de molécula y enlace covalente.</t>
  </si>
  <si>
    <t>Moléculas como combinación de átomos y enlace covalente.</t>
  </si>
  <si>
    <r>
      <rPr>
        <sz val="10"/>
        <color indexed="8"/>
        <rFont val="Arial"/>
      </rPr>
      <t>E1; D1; E1; E4; E1</t>
    </r>
  </si>
  <si>
    <t>T0947-G06-CIE</t>
  </si>
  <si>
    <t>4.5. Construcción de modelos moleculares.</t>
  </si>
  <si>
    <t>Modelos de moléculas como combinaciones de átomos.</t>
  </si>
  <si>
    <t>T0948-G06-CIE</t>
  </si>
  <si>
    <t>4.6. Interpretación del momento dipolar con modelos moleculares.</t>
  </si>
  <si>
    <t>Polaridad del enlace; nivel mayor que TIMSS.</t>
  </si>
  <si>
    <t>Aplicar: interpretar modelos</t>
  </si>
  <si>
    <t>T0949-G06-CIE</t>
  </si>
  <si>
    <t>Fuerzas intermoleculares.</t>
  </si>
  <si>
    <t>4.7. Demostración experimental macroscópica de las fuerzas intermoleculares.</t>
  </si>
  <si>
    <t>Fuerzas entre partículas explican diferente rapidez de evaporación.</t>
  </si>
  <si>
    <t>Razonar: comparar e interpretar</t>
  </si>
  <si>
    <t>T0950-G06-CIE</t>
  </si>
  <si>
    <t>4.8. Construcción del concepto de las fuerzas intermoleculares.</t>
  </si>
  <si>
    <t>Fuerzas entre partículas explican propiedades de los estados.</t>
  </si>
  <si>
    <t>Conocer: explicar</t>
  </si>
  <si>
    <t>T0951-G06-CIE</t>
  </si>
  <si>
    <t>Reacciones químicas.</t>
  </si>
  <si>
    <t>4.9. Determinación experimental de evidencias de reacción química.</t>
  </si>
  <si>
    <t>Evidencias de reacción química: gas, color, precipitado, calor.</t>
  </si>
  <si>
    <t>Aplicar: identificar. Razonar: justificar</t>
  </si>
  <si>
    <t>T0952-G06-CIE</t>
  </si>
  <si>
    <t>4.10. Clasificación de las reacciones químicas de acuerdo con diversos criterios.</t>
  </si>
  <si>
    <t>Clasificación de reacciones, incluye liberación o absorción de energía.</t>
  </si>
  <si>
    <t>T0953-G06-CIE</t>
  </si>
  <si>
    <t>Unidad 5 - Célula</t>
  </si>
  <si>
    <t>5. Célula.</t>
  </si>
  <si>
    <t>Biomoléculas.</t>
  </si>
  <si>
    <t>5.1. Identificación experimental de los grupos de biomoléculas.</t>
  </si>
  <si>
    <t>Pruebas de biomoléculas equivalen a identificar nutrientes en alimentos.</t>
  </si>
  <si>
    <t>T8-B6.2</t>
  </si>
  <si>
    <t>T8-B2.1</t>
  </si>
  <si>
    <t>T0954-G06-CIE</t>
  </si>
  <si>
    <t>5.2. Experimentación con la actividad enzimática.</t>
  </si>
  <si>
    <t>Enzimas no están; rapidez de reacción según condiciones, con variables.</t>
  </si>
  <si>
    <t>Razonar: diseñar y concluir</t>
  </si>
  <si>
    <t>T8-Q3.2</t>
  </si>
  <si>
    <t>T0955-G06-CIE</t>
  </si>
  <si>
    <t>¿Qué es una célula?</t>
  </si>
  <si>
    <t>5.3. Construcción de línea temporal sobre el desarrollo de la teoría celular.</t>
  </si>
  <si>
    <r>
      <rPr>
        <sz val="10"/>
        <color indexed="8"/>
        <rFont val="Arial"/>
      </rPr>
      <t>Las células y sus funciones</t>
    </r>
  </si>
  <si>
    <t>Teoría celular: seres vivos formados por células.</t>
  </si>
  <si>
    <t>T0956-G06-CIE</t>
  </si>
  <si>
    <t>5.4. Mantenimiento de cultivos naturales de microorganismos en medio líquido.</t>
  </si>
  <si>
    <t>Factores que limitan la población de microorganismos; registro diario.</t>
  </si>
  <si>
    <t>T8-B5.4</t>
  </si>
  <si>
    <t>T0957-G06-CIE</t>
  </si>
  <si>
    <t>5.5. Modelación de células procariota y eucariota.</t>
  </si>
  <si>
    <t>Estructura celular procariota y eucariota.</t>
  </si>
  <si>
    <t>T0958-G06-CIE</t>
  </si>
  <si>
    <t>Niveles de organización de los seres vivos.</t>
  </si>
  <si>
    <t>5.6. Deconstrucción de los niveles de organización biológica.</t>
  </si>
  <si>
    <t>Células especializadas forman tejidos, órganos y sistemas.</t>
  </si>
  <si>
    <t>Aplicar: organizar</t>
  </si>
  <si>
    <t>T0959-G06-CIE</t>
  </si>
  <si>
    <t>5.7. Reconocimiento de muestras de tejidos, órganos y sistemas.</t>
  </si>
  <si>
    <t>Tejidos, órganos y sistemas formados por células especializadas.</t>
  </si>
  <si>
    <t>T8-B1.2</t>
  </si>
  <si>
    <t>T0960-G06-CIE</t>
  </si>
  <si>
    <t>Membranas biológicas.</t>
  </si>
  <si>
    <t>5.8. Demostración experimental de las propiedades de las membranas biológicas.</t>
  </si>
  <si>
    <t>Función de la membrana celular; ósmosis más allá de TIMSS.</t>
  </si>
  <si>
    <t>Aplicar: medir. Razonar: interpretar</t>
  </si>
  <si>
    <t>T0961-G06-CIE</t>
  </si>
  <si>
    <t>Citoplasma.</t>
  </si>
  <si>
    <t>5.9. Explicación de la composición y funciones del citosol.</t>
  </si>
  <si>
    <t>Composición y función del citoplasma celular.</t>
  </si>
  <si>
    <t>T0962-G06-CIE</t>
  </si>
  <si>
    <t>5.10. Simulación de la estructura y funciones principales del citoesqueleto.</t>
  </si>
  <si>
    <t>Estructura celular; citoesqueleto más detallado que TIMSS.</t>
  </si>
  <si>
    <t>T0963-G06-CIE</t>
  </si>
  <si>
    <t>Componentes subcelulares.</t>
  </si>
  <si>
    <t>5.11. Identificación de estructuras subcelulares eucariotas.</t>
  </si>
  <si>
    <t>Estructuras celulares principales y su función.</t>
  </si>
  <si>
    <t>Aplicar: identificar estructuras</t>
  </si>
  <si>
    <t>T0964-G06-CIE</t>
  </si>
  <si>
    <t>Respiración y mitocondria.</t>
  </si>
  <si>
    <t>5.12. Explicación del mecanismo general de respiración celular eucariota.</t>
  </si>
  <si>
    <t>Respiración celular: oxígeno y glucosa producen energía, CO2 y agua.</t>
  </si>
  <si>
    <t>Conocer: explicar procesos</t>
  </si>
  <si>
    <t>T8-B2.2</t>
  </si>
  <si>
    <t>T0965-G06-CIE</t>
  </si>
  <si>
    <t>5.13. Descripción de la estructura y funciones de las mitocondrias.</t>
  </si>
  <si>
    <t>Mitocondria como estructura celular ligada a respiración celular.</t>
  </si>
  <si>
    <t>T0966-G06-CIE</t>
  </si>
  <si>
    <t>Fotosíntesis y cloroplasto.</t>
  </si>
  <si>
    <t>5.14. Descripción de la estructura y funciones de los cloroplastos.</t>
  </si>
  <si>
    <t>Cloroplasto como estructura celular ligada a fotosíntesis.</t>
  </si>
  <si>
    <t>Aplicar: observar e identificar</t>
  </si>
  <si>
    <t>T0967-G06-CIE</t>
  </si>
  <si>
    <t>5.15. Demostración experimental del proceso de fotosíntesis.</t>
  </si>
  <si>
    <t>Fotosíntesis según la luz; variable de tratamiento controlada.</t>
  </si>
  <si>
    <t>Razonar: diseñar una prueba y concluir</t>
  </si>
  <si>
    <t>T0968-G06-CIE</t>
  </si>
  <si>
    <t>5.16. Experimentación con métodos de extracción de pigmentos fotosintéticos.</t>
  </si>
  <si>
    <t>Pigmentos fotosintéticos separados por cromatografía.</t>
  </si>
  <si>
    <t>Aplicar: experimentar e interpretar</t>
  </si>
  <si>
    <t>T8-Q2.3</t>
  </si>
  <si>
    <t>T0969-G06-CIE</t>
  </si>
  <si>
    <t>5.17. Explicación del proceso general de fotosíntesis en plantas.</t>
  </si>
  <si>
    <t>Proceso general de la fotosíntesis.</t>
  </si>
  <si>
    <t>T0970-G06-CIE</t>
  </si>
  <si>
    <t>Sistema endomembranoso.</t>
  </si>
  <si>
    <t>5.18. Interpretación de la vía endocítica y secretora del sistema endomembranoso.</t>
  </si>
  <si>
    <t>Funciones de estructuras celulares; nivel mayor que TIMSS.</t>
  </si>
  <si>
    <t>Aplicar: usar y evaluar modelos</t>
  </si>
  <si>
    <t>T0971-G06-CIE</t>
  </si>
  <si>
    <t>Matriz extracelular.</t>
  </si>
  <si>
    <t>5.19. Descripción general de la estructura y funciones de la matriz extracelular.</t>
  </si>
  <si>
    <t>Matriz extracelular fuera de la célula; solo afín a tejidos.</t>
  </si>
  <si>
    <t>T0972-G06-CIE</t>
  </si>
  <si>
    <t>5.20. Observación de las funciones de la matriz extracelular en tejidos secretores.</t>
  </si>
  <si>
    <t>Matriz extracelular en tejidos; marco solo pide tejidos de células.</t>
  </si>
  <si>
    <t>T0973-G06-CIE</t>
  </si>
  <si>
    <t>5.21. Aplicación de pruebas bacteriológicas básicas en cultivos sólidos de bacterias.</t>
  </si>
  <si>
    <t>Pruebas bacteriológicas para reconocer bacterias; práctica de laboratorio.</t>
  </si>
  <si>
    <t>Aplicar: interpretar resultados</t>
  </si>
  <si>
    <t>T8-B1.1</t>
  </si>
  <si>
    <t>T0974-G06-CIE</t>
  </si>
  <si>
    <t>5.22. Revisión documental sobre implicaciones de la matriz extracelular en lesiones.</t>
  </si>
  <si>
    <t>Revisión documental de matriz extracelular; poco contenido del marco.</t>
  </si>
  <si>
    <t>Razonar: sintetizar información</t>
  </si>
  <si>
    <t>T0975-G06-CIE</t>
  </si>
  <si>
    <t>Unidad 6 - Biología del desarro</t>
  </si>
  <si>
    <t>6. Biología del desarrollo.</t>
  </si>
  <si>
    <t>Material genético.</t>
  </si>
  <si>
    <t>6.1. Exploración de la estructura y funciones del material genético.</t>
  </si>
  <si>
    <t>ADN como material genético que codifica rasgos.</t>
  </si>
  <si>
    <t>T8-B3.2</t>
  </si>
  <si>
    <t>T0976-G06-CIE</t>
  </si>
  <si>
    <t>Ciclo celular.</t>
  </si>
  <si>
    <t>6.2. Descripción de las etapas de la mitosis a partir de micrografías, muestras o esquemas.</t>
  </si>
  <si>
    <t>Mitosis como división celular; cromosomas como material genético.</t>
  </si>
  <si>
    <t>Aplicar: secuenciar e identificar</t>
  </si>
  <si>
    <t>T8-B3.1</t>
  </si>
  <si>
    <t>T0977-G06-CIE</t>
  </si>
  <si>
    <t>6.3. Descripción de las etapas de la meiosis a partir de micrografías, muestras o esquemas.</t>
  </si>
  <si>
    <t>Meiosis ligada a reproducción sexual y herencia.</t>
  </si>
  <si>
    <t>T0978-G06-CIE</t>
  </si>
  <si>
    <t>6.4. Identificación de estructuras anatómicas asociadas con la apoptosis y senescencia celular.</t>
  </si>
  <si>
    <t>Apoptosis y senescencia exceden el marco; afín a funciones celulares.</t>
  </si>
  <si>
    <t>Conocer: identificar</t>
  </si>
  <si>
    <t>T0979-G06-CIE</t>
  </si>
  <si>
    <t>Reproducción Asexual y Sexual.</t>
  </si>
  <si>
    <t>6.5. Exploración de los mecanismos de reproducción de las formas de vida unicelulares.</t>
  </si>
  <si>
    <t>Reproducción asexual unicelular como división celular; marco solo trata reproducción sexual.</t>
  </si>
  <si>
    <t>T0980-G06-CIE</t>
  </si>
  <si>
    <t>6.6. Visualiza la alternancia de fases a través de muestras.</t>
  </si>
  <si>
    <t>Alternancia de fases incluye fecundación; ciclos de vida salieron del marco.</t>
  </si>
  <si>
    <t>T0981-G06-CIE</t>
  </si>
  <si>
    <t>Desarrollo Vegetal.</t>
  </si>
  <si>
    <t>6.7. Organización del ciclo de vida en plantas usando muestras vegetales.</t>
  </si>
  <si>
    <t>Ciclos de vida de plantas ya no están en el marco 2027 de 8.°.</t>
  </si>
  <si>
    <t>T0982-G06-CIE</t>
  </si>
  <si>
    <t>6.8. Descripción de la fecundación y planos de división celular en plantas.</t>
  </si>
  <si>
    <t>Fecundación en plantas; partes de la flor.</t>
  </si>
  <si>
    <t>T0983-G06-CIE</t>
  </si>
  <si>
    <t>6.9. Práctica con técnicas de propagación vegetal asexual.</t>
  </si>
  <si>
    <t>Propagación vegetal asexual; el marco 2027 solo trata reproducción sexual.</t>
  </si>
  <si>
    <t>Aplicar: practicar técnicas. Razonar: evaluar</t>
  </si>
  <si>
    <t>T0984-G06-CIE</t>
  </si>
  <si>
    <t>Desarrollo Animal.</t>
  </si>
  <si>
    <t>6.10. Observación de las modalidades de fecundación en animales.</t>
  </si>
  <si>
    <t>Modalidades de fecundación en animales.</t>
  </si>
  <si>
    <t>Conocer: clasificar</t>
  </si>
  <si>
    <t>T0985-G06-CIE</t>
  </si>
  <si>
    <t>6.11. Comparación de las etapas de desarrollo en diferentes grupos de animales.</t>
  </si>
  <si>
    <t>Patrones de desarrollo embrionario salieron del marco 2027.</t>
  </si>
  <si>
    <t>T0986-G06-CIE</t>
  </si>
  <si>
    <t>6.12. Modelación del desarrollo embrionario de vertebrados.</t>
  </si>
  <si>
    <t>Desarrollo embrionario de vertebrados no está en el marco 2027.</t>
  </si>
  <si>
    <t>T0987-G07-CIE</t>
  </si>
  <si>
    <t>Matriz_Ciencias_7mo_Grado_U1_U6.xlsx</t>
  </si>
  <si>
    <t>Unidad 1 - Compuestos inorgánic</t>
  </si>
  <si>
    <t>Compuestos inorgánicos binarios</t>
  </si>
  <si>
    <t>1.1. Indagación de los óxidos en fenómenos y aplicaciones cotidianas.</t>
  </si>
  <si>
    <t>Óxidos como compuestos identificados en aplicaciones cotidianas</t>
  </si>
  <si>
    <t>Conocer: identificar. Aplicar: relacionar</t>
  </si>
  <si>
    <t>Óxidos en fenómenos cotidianos como oxidación y combustión</t>
  </si>
  <si>
    <t>T0988-G07-CIE</t>
  </si>
  <si>
    <t>1.2. Formulación y balanceo de ecuaciones de reacción química para la obtención de óxidos.</t>
  </si>
  <si>
    <t>Balanceo de ecuaciones: conservación de masa y reordenamiento de átomos</t>
  </si>
  <si>
    <t>Aplicar: formular y balancear ecuaciones</t>
  </si>
  <si>
    <t>Ecuaciones químicas balanceadas de obtención de óxidos</t>
  </si>
  <si>
    <t>T0989-G07-CIE</t>
  </si>
  <si>
    <t>1.3. Aplicación de nomenclaturas para denominar compuestos químicos con la función óxido.</t>
  </si>
  <si>
    <t>Nomenclatura química es notación, sin objetivo de contenido 2027</t>
  </si>
  <si>
    <t>Aplicar: aplicar reglas de nomenclatura</t>
  </si>
  <si>
    <t>Nomenclatura de óxidos: composición de sustancias</t>
  </si>
  <si>
    <t>T0990-G07-CIE</t>
  </si>
  <si>
    <t>1.4. Identificación de hidruros, hidrácidos y sales binarias en productos de uso cotidiano.</t>
  </si>
  <si>
    <t>Hidruros, hidrácidos y sales como compuestos en productos cotidianos</t>
  </si>
  <si>
    <t>Conocer: identificar. Razonar: justificar</t>
  </si>
  <si>
    <t>Identifica compuestos binarios en productos de uso cotidiano</t>
  </si>
  <si>
    <t>T0991-G07-CIE</t>
  </si>
  <si>
    <t>1.5. Formulación y balanceo de ecuaciones de reacción química para la obtención de hidruros, hidrácidos y sales binarias.</t>
  </si>
  <si>
    <t>Ecuaciones balanceadas de obtención de hidruros, hidrácidos y sales</t>
  </si>
  <si>
    <t>T0992-G07-CIE</t>
  </si>
  <si>
    <t>1.6. Aplicación de nomenclaturas químicas para denominar hidruros, hidrácidos y sales binarias.</t>
  </si>
  <si>
    <t>Nomenclatura de compuestos binarios: composición de la materia</t>
  </si>
  <si>
    <t>T0993-G07-CIE</t>
  </si>
  <si>
    <t>Compuestos inorgánicos ternarios</t>
  </si>
  <si>
    <t>1.7. Identificación de hidróxidos y oxácidos en productos de uso cotidiano.</t>
  </si>
  <si>
    <t>Clasifica productos ácidos y básicos con indicador; compuestos ternarios</t>
  </si>
  <si>
    <t>Aplicar: identificar y clasificar</t>
  </si>
  <si>
    <t>T8-Q2.4</t>
  </si>
  <si>
    <t>PISA-PR2;</t>
  </si>
  <si>
    <t>Ácidos y bases en productos cotidianos con papel indicador</t>
  </si>
  <si>
    <t>T0994-G07-CIE</t>
  </si>
  <si>
    <t>1.8. Formulación y balanceo de ecuaciones de reacción química para la obtención de hidróxidos y oxácidos.</t>
  </si>
  <si>
    <t>Ecuaciones de obtención de hidróxidos y oxácidos</t>
  </si>
  <si>
    <t>T0995-G07-CIE</t>
  </si>
  <si>
    <t>1.9. Aplicación de nomenclaturas químicas para denominar hidróxidos y oxácidos.</t>
  </si>
  <si>
    <t>Nomenclatura de hidróxidos y oxácidos</t>
  </si>
  <si>
    <t>T0996-G07-CIE</t>
  </si>
  <si>
    <t>1.10. Identificación de oxisales y sus aplicaciones cotidianas.</t>
  </si>
  <si>
    <t>Oxisales como compuestos presentes en aplicaciones cotidianas</t>
  </si>
  <si>
    <t>Identifica oxisales en aplicaciones cotidianas</t>
  </si>
  <si>
    <t>T0997-G07-CIE</t>
  </si>
  <si>
    <t>1.11. Formulación y balanceo de ecuaciones de reacción química para la obtención de oxisales.</t>
  </si>
  <si>
    <t>Ecuaciones de obtención de oxisales balanceadas</t>
  </si>
  <si>
    <t>T0998-G07-CIE</t>
  </si>
  <si>
    <t>1.12. Aplicación de nomenclaturas químicas para la denominar oxisales.</t>
  </si>
  <si>
    <t>Nomenclatura de oxisales</t>
  </si>
  <si>
    <t>T0999-G07-CIE</t>
  </si>
  <si>
    <t>Unidad 2 - Genética y evolución</t>
  </si>
  <si>
    <t>2. Genética y evolución</t>
  </si>
  <si>
    <t>Material genético</t>
  </si>
  <si>
    <t>2.1. Indagación de las funciones del material genético.</t>
  </si>
  <si>
    <t>Funciones del material genético en la herencia</t>
  </si>
  <si>
    <t>Funciones del material genético en mapa conceptual</t>
  </si>
  <si>
    <t>T1000-G07-CIE</t>
  </si>
  <si>
    <t>2.2. Experimentación con técnicas de extracción y tinción de ácidos nucleicos.</t>
  </si>
  <si>
    <t>Extracción de ADN en laboratorio con registro del protocolo</t>
  </si>
  <si>
    <t>Aplicar: seguir y ejecutar un protocolo</t>
  </si>
  <si>
    <t>Extracción y tinción de ADN en laboratorio</t>
  </si>
  <si>
    <t>T1001-G07-CIE</t>
  </si>
  <si>
    <t>2.3. Explicación del funcionamiento de técnicas básicas para la extracción y tinción de ácidos nucleicos.</t>
  </si>
  <si>
    <t>Explica técnicas de obtención del ADN, material hereditario</t>
  </si>
  <si>
    <t>Razonar: explicar procedimientos</t>
  </si>
  <si>
    <t>Explica fundamentos de extracción y tinción de ácidos nucleicos</t>
  </si>
  <si>
    <r>
      <rPr>
        <sz val="10"/>
        <color indexed="8"/>
        <rFont val="Arial"/>
      </rPr>
      <t>E1; D1; E1; D3; E1</t>
    </r>
  </si>
  <si>
    <t>T1002-G07-CIE</t>
  </si>
  <si>
    <t>Replicación</t>
  </si>
  <si>
    <t>2.4. Análisis de fenómenos cotidianos que involucran la replicación del ADN.</t>
  </si>
  <si>
    <t>Replicación del ADN ligada a herencia y división celular</t>
  </si>
  <si>
    <t>Razonar: analizar</t>
  </si>
  <si>
    <t>Replicación del ADN en crecimiento y reparación cotidianos</t>
  </si>
  <si>
    <r>
      <rPr>
        <sz val="10"/>
        <color indexed="8"/>
        <rFont val="Arial"/>
      </rPr>
      <t>E1; D1; E1; I3; E6</t>
    </r>
  </si>
  <si>
    <t>T1003-G07-CIE</t>
  </si>
  <si>
    <t>2.5. Simulación del proceso de replicación del ADN.</t>
  </si>
  <si>
    <t>Modelo de replicación del ADN, material hereditario</t>
  </si>
  <si>
    <t>PISA-EP4;</t>
  </si>
  <si>
    <t>Modelo manipulativo de la replicación del ADN</t>
  </si>
  <si>
    <t>T1004-G07-CIE</t>
  </si>
  <si>
    <t>2.6. Elaboración de recursos explicativos acerca del proceso de replicación del ADN.</t>
  </si>
  <si>
    <t>Recurso explicativo sobre replicación del ADN</t>
  </si>
  <si>
    <t>Aplicar: comunicar</t>
  </si>
  <si>
    <r>
      <rPr>
        <sz val="10"/>
        <color indexed="8"/>
        <rFont val="Arial"/>
      </rPr>
      <t>E1; D1; E2; D3; E6</t>
    </r>
  </si>
  <si>
    <t>T1005-G07-CIE</t>
  </si>
  <si>
    <t>Polimorfismo y alelos</t>
  </si>
  <si>
    <t>2.7. Indagación del concepto de alelo a partir de fenómenos cotidianos.</t>
  </si>
  <si>
    <t>Concepto de alelo como base de la herencia de rasgos</t>
  </si>
  <si>
    <t>Concepto de alelo con ejemplos de plantas</t>
  </si>
  <si>
    <t>T1006-G07-CIE</t>
  </si>
  <si>
    <t>2.8. Visualización de polimorfismos a partir de casos.</t>
  </si>
  <si>
    <t>Polimorfismos: variantes genéticas y variación en poblaciones</t>
  </si>
  <si>
    <t>Aplicar: analizar casos</t>
  </si>
  <si>
    <t>Polimorfismos: variación genética a partir de casos</t>
  </si>
  <si>
    <t>T1007-G07-CIE</t>
  </si>
  <si>
    <t>Enfermedades hereditarias por alelos defectuosos</t>
  </si>
  <si>
    <t>Razonar: evaluar información</t>
  </si>
  <si>
    <t>Enfermedades humanas por alelos defectuosos con fuentes oficiales</t>
  </si>
  <si>
    <t>T1008-G07-CIE</t>
  </si>
  <si>
    <t>Genética clásica</t>
  </si>
  <si>
    <t>2.10. Relación cromosoma-alelo a partir de análisis de casos.</t>
  </si>
  <si>
    <t>Rasgos codificados en cromosomas: relación cromosoma-alelo</t>
  </si>
  <si>
    <t>Aplicar: analizar</t>
  </si>
  <si>
    <t>Relación cromosoma-alelo en esquemas</t>
  </si>
  <si>
    <t>T1009-G07-CIE</t>
  </si>
  <si>
    <t>2.11. Ejercitación con leyes de Mendel mediante cruces hipotéticos.</t>
  </si>
  <si>
    <t>Cruces mendelianos: herencia de rasgos por material genético</t>
  </si>
  <si>
    <t>Aplicar: resolver problemas. Razonar: predecir</t>
  </si>
  <si>
    <t>PISA-EP12;</t>
  </si>
  <si>
    <t>Cruces mendelianos comparados con probabilidad de monedas</t>
  </si>
  <si>
    <t>T1010-G07-CIE</t>
  </si>
  <si>
    <t>Enfermedades por mutaciones cromosómicas, herencia genética</t>
  </si>
  <si>
    <t>Enfermedades por mutaciones cromosómicas con fuentes</t>
  </si>
  <si>
    <t>T1011-G07-CIE</t>
  </si>
  <si>
    <t>Mecanismos de evolución</t>
  </si>
  <si>
    <t>2.13. Indagación de la heterogeneidad de una población a través de sus frecuencias genotípicas.</t>
  </si>
  <si>
    <t>Variación genética poblacional mediante frecuencias genotípicas</t>
  </si>
  <si>
    <t>Aplicar: calcular frecuencias</t>
  </si>
  <si>
    <t>PISA-PR5;</t>
  </si>
  <si>
    <t>Variación genética poblacional mediante tabla de frecuencias genotípicas</t>
  </si>
  <si>
    <t>T1012-G07-CIE</t>
  </si>
  <si>
    <t>2.14. Identificación de las fuerzas que incrementan y disminuyen la variabilidad genética.</t>
  </si>
  <si>
    <t>Fuerzas que aumentan o reducen la variación genética</t>
  </si>
  <si>
    <t>Fuerzas evolutivas que cambian la variabilidad genética</t>
  </si>
  <si>
    <t>T1013-G07-CIE</t>
  </si>
  <si>
    <t>Resistencia bacteriana: selección natural y pérdida de eficacia antibiótica</t>
  </si>
  <si>
    <t>Razonar: explicar y justificar</t>
  </si>
  <si>
    <t>Selección natural en resistencia bacteriana con modelo de frijoles</t>
  </si>
  <si>
    <r>
      <rPr>
        <sz val="10"/>
        <color indexed="8"/>
        <rFont val="Arial"/>
      </rPr>
      <t>E1; D1; E4; I4; I5</t>
    </r>
  </si>
  <si>
    <t>T1014-G07-CIE</t>
  </si>
  <si>
    <t>2.16. Simulación de la acción de las fuerzas evolutivas sobre una población.</t>
  </si>
  <si>
    <t>Simulación de selección y fuerzas evolutivas en una población</t>
  </si>
  <si>
    <t>Simulación de fuerzas evolutivas sobre una población</t>
  </si>
  <si>
    <t>T1015-G07-CIE</t>
  </si>
  <si>
    <t>Mejoramiento genético: herencia de rasgos y selección artificial</t>
  </si>
  <si>
    <t>Razonar: diseñar</t>
  </si>
  <si>
    <t>Diseña procedimiento hipotético de mejoramiento genético (biotecnología)</t>
  </si>
  <si>
    <r>
      <rPr>
        <sz val="10"/>
        <color indexed="8"/>
        <rFont val="Arial"/>
      </rPr>
      <t>E6; D1; E3; D2; I5</t>
    </r>
  </si>
  <si>
    <t>T1016-G07-CIE</t>
  </si>
  <si>
    <t>Unidad 3 - Biodiversidad</t>
  </si>
  <si>
    <t>3. Biodiversidad</t>
  </si>
  <si>
    <t>Importancia y niveles de la biodiversidad</t>
  </si>
  <si>
    <t>3.1. Indagación del concepto de biodiversidad y sus niveles.</t>
  </si>
  <si>
    <t>Niveles de biodiversidad: variación genética, especies y grupos</t>
  </si>
  <si>
    <t>Niveles de biodiversidad con ejemplos salvadoreños</t>
  </si>
  <si>
    <t>T1017-G07-CIE</t>
  </si>
  <si>
    <t>3.2. Reconocimiento de organismos de la localidad y sus usos.</t>
  </si>
  <si>
    <t>Reconoce organismos locales como ejemplos de grupos</t>
  </si>
  <si>
    <t>Organismos de la localidad y sus usos humanos</t>
  </si>
  <si>
    <t>T1018-G07-CIE</t>
  </si>
  <si>
    <t>3.3. Cuantificación de la biodiversidad a nivel de especie.</t>
  </si>
  <si>
    <t>Compara riqueza y abundancia de organismos entre dos zonas con datos</t>
  </si>
  <si>
    <t>Aplicar: cuantificar. Razonar: comparar</t>
  </si>
  <si>
    <t>PISA-PR2; PISA-PR5;</t>
  </si>
  <si>
    <t>Cuantifica riqueza y abundancia de especies en dos zonas</t>
  </si>
  <si>
    <t>T1019-G07-CIE</t>
  </si>
  <si>
    <t>Agrupamiento de especies</t>
  </si>
  <si>
    <t>3.4. Indagación de los sistemas de clasificación de los seres vivos.</t>
  </si>
  <si>
    <t>Clasificación de seres vivos en grupos taxonómicos</t>
  </si>
  <si>
    <t>Clasificación de seres vivos con un sistema definido</t>
  </si>
  <si>
    <t>T1020-G07-CIE</t>
  </si>
  <si>
    <t>3.5. Análisis de agrupamiento a partir de muestras biológicas.</t>
  </si>
  <si>
    <t>Agrupa organismos según rasgos distintivos</t>
  </si>
  <si>
    <t>Razonar: plantear criterios y comparar</t>
  </si>
  <si>
    <t>Plantea criterios para agrupar muestras biológicas</t>
  </si>
  <si>
    <r>
      <rPr>
        <sz val="10"/>
        <color indexed="8"/>
        <rFont val="Arial"/>
      </rPr>
      <t>E1; D1; E3; D4; E1</t>
    </r>
  </si>
  <si>
    <t>T1021-G07-CIE</t>
  </si>
  <si>
    <t>3.6. Identificación de sistemas de clasificación artificial.</t>
  </si>
  <si>
    <t>Sistemas de clasificación artificial de organismos</t>
  </si>
  <si>
    <t>Compara clasificación artificial y natural de organismos</t>
  </si>
  <si>
    <t>T1022-G07-CIE</t>
  </si>
  <si>
    <t>Taxonomía</t>
  </si>
  <si>
    <t>3.7. Indagación del significado y usos de los nombres científicos.</t>
  </si>
  <si>
    <t>Nombres científicos dentro de la clasificación taxonómica</t>
  </si>
  <si>
    <t>Conocer: aplicar reglas de nomenclatura</t>
  </si>
  <si>
    <t>Nombres científicos de especies salvadoreñas</t>
  </si>
  <si>
    <t>T1023-G07-CIE</t>
  </si>
  <si>
    <t>3.8. Elaboración y uso de claves dicotómicas para la identificación taxonómica.</t>
  </si>
  <si>
    <t>Claves dicotómicas para identificar organismos por rasgos</t>
  </si>
  <si>
    <t>Aplicar: elaborar y usar claves</t>
  </si>
  <si>
    <t>Claves dicotómicas para identificar organismos</t>
  </si>
  <si>
    <r>
      <rPr>
        <sz val="10"/>
        <color indexed="8"/>
        <rFont val="Arial"/>
      </rPr>
      <t>E1; D1; E2; D3; E3</t>
    </r>
  </si>
  <si>
    <t>T1024-G07-CIE</t>
  </si>
  <si>
    <t>3.9. Exploración de plataformas de biodiversidad.</t>
  </si>
  <si>
    <t>Uso de plataformas digitales; contenido taxonómico secundario</t>
  </si>
  <si>
    <t>Aplicar: usar plataformas. Razonar: evaluar información</t>
  </si>
  <si>
    <t>Plataformas de biodiversidad para especies locales</t>
  </si>
  <si>
    <t>T1025-G07-CIE</t>
  </si>
  <si>
    <t>Sistemática y cladística</t>
  </si>
  <si>
    <t>3.10. Construcción del concepto de cladística a partir de agrupamientos.</t>
  </si>
  <si>
    <t>Cladística: semejanzas entre especies evidencian ancestro común</t>
  </si>
  <si>
    <t>Conocer: construir conceptos</t>
  </si>
  <si>
    <t>Cladística: agrupamiento por ancestría común</t>
  </si>
  <si>
    <t>T1026-G07-CIE</t>
  </si>
  <si>
    <t>3.11. Reconocimiento de grupos a partir de cladogramas.</t>
  </si>
  <si>
    <t>Cladogramas: grupos por ancestro común y rasgos compartidos</t>
  </si>
  <si>
    <t>Aplicar: interpretar diagramas</t>
  </si>
  <si>
    <t>Interpreta y construye cladogramas</t>
  </si>
  <si>
    <t>T1027-G07-CIE</t>
  </si>
  <si>
    <t>Sistema de los tres dominios</t>
  </si>
  <si>
    <t>3.12. Descripción de grupos taxonómicos con-templados en el sistema de los tres dominios.</t>
  </si>
  <si>
    <t>Grupos taxonómicos del sistema de tres dominios</t>
  </si>
  <si>
    <t>Grupos de organismos en el sistema de tres dominios</t>
  </si>
  <si>
    <t>T1028-G07-CIE</t>
  </si>
  <si>
    <t>Unidad 4 - Ecología</t>
  </si>
  <si>
    <t>4. Ecología</t>
  </si>
  <si>
    <t>Interacciones ecológicas</t>
  </si>
  <si>
    <t>4.1. Identificación de interacciones ecológicas a partir de contextos prácticos.</t>
  </si>
  <si>
    <t>Identifica interacciones ecológicas del entorno</t>
  </si>
  <si>
    <t>T8-B5.3</t>
  </si>
  <si>
    <t>Interacciones ecológicas observadas en el entorno</t>
  </si>
  <si>
    <t>T1029-G07-CIE</t>
  </si>
  <si>
    <t>4.2. Descripción de interacciones ecológicas observadas en contextos prácticos.</t>
  </si>
  <si>
    <t>Describe competencia, depredación, mutualismo y otras interacciones</t>
  </si>
  <si>
    <t>Aplicar: describir con lenguaje científico</t>
  </si>
  <si>
    <t>Describe interacciones ecológicas locales con lenguaje científico</t>
  </si>
  <si>
    <t>T1030-G07-CIE</t>
  </si>
  <si>
    <t>Ecología de poblaciones</t>
  </si>
  <si>
    <t>4.3. Indagación de los conceptos de especie y población.</t>
  </si>
  <si>
    <t>Concepto de población, base para estudiar su tamaño</t>
  </si>
  <si>
    <t>Conceptos de especie y población</t>
  </si>
  <si>
    <t>T1031-G07-CIE</t>
  </si>
  <si>
    <t>4.4. Experimentación con la dinámica y estructura de las poblaciones.</t>
  </si>
  <si>
    <t>Experimento de crecimiento poblacional con levaduras y gráfica</t>
  </si>
  <si>
    <t>Dinámica poblacional de levaduras con gráfica de crecimiento</t>
  </si>
  <si>
    <t>T1032-G07-CIE</t>
  </si>
  <si>
    <t>Comunidades biológicas</t>
  </si>
  <si>
    <t>4.5. Identificación de las características y componentes de las comunidades biológicas.</t>
  </si>
  <si>
    <t>Componentes de la comunidad: productores, consumidores, descomponedores</t>
  </si>
  <si>
    <t>T8-B5.1</t>
  </si>
  <si>
    <t>Componentes de una comunidad biológica local</t>
  </si>
  <si>
    <t>T1033-G07-CIE</t>
  </si>
  <si>
    <t>4.6. Aplicación de técnicas de muestreo de comunidades biológicas.</t>
  </si>
  <si>
    <t>Foco en técnicas de muestreo biológico y registro de datos</t>
  </si>
  <si>
    <t>Aplicar: técnicas de muestreo. Razonar: evaluar</t>
  </si>
  <si>
    <t>PISA-PR2; PISA-PR7;</t>
  </si>
  <si>
    <t>Técnicas de muestreo de comunidades biológicas</t>
  </si>
  <si>
    <t>T1034-G07-CIE</t>
  </si>
  <si>
    <t>4.7. Comparación de abundancia y riqueza de especies entre comunidades biológicas.</t>
  </si>
  <si>
    <t>Compara comunidades por sus organismos, riqueza y abundancia</t>
  </si>
  <si>
    <t>Compara riqueza y abundancia entre comunidades</t>
  </si>
  <si>
    <r>
      <rPr>
        <sz val="10"/>
        <color indexed="8"/>
        <rFont val="Arial"/>
      </rPr>
      <t>E1; D1; E1; D4; I3</t>
    </r>
  </si>
  <si>
    <t>T1035-G07-CIE</t>
  </si>
  <si>
    <t>4.8. Reconocimiento de la estructura general y las funciones principales de los ecosistemas.</t>
  </si>
  <si>
    <t>Funciones del ecosistema: flujo de energía y ciclos de materia</t>
  </si>
  <si>
    <t>T8-B5.2</t>
  </si>
  <si>
    <t>Estructura y funciones de los ecosistemas</t>
  </si>
  <si>
    <t>T1036-G07-CIE</t>
  </si>
  <si>
    <t>4.9. Identificación de contribuciones de la naturaleza a la gente (NCP) a partir de ejemplos del entorno.</t>
  </si>
  <si>
    <t>Contribuciones de la naturaleza como recursos y su conservación</t>
  </si>
  <si>
    <t>Razonar: justificar</t>
  </si>
  <si>
    <t>T8-T3.1</t>
  </si>
  <si>
    <t>Contribuciones de la naturaleza a la comunidad</t>
  </si>
  <si>
    <t>T1037-G07-CIE</t>
  </si>
  <si>
    <t>4.10. Relación entre perturbaciones y sucesiones ecológicas.</t>
  </si>
  <si>
    <t>Perturbaciones alteran el equilibrio de poblaciones; sucesión ecológica</t>
  </si>
  <si>
    <t>Aplicar: relacionar conceptos</t>
  </si>
  <si>
    <t>Perturbaciones y sucesión ecológica</t>
  </si>
  <si>
    <t>T1038-G07-CIE</t>
  </si>
  <si>
    <t>Biogeografía</t>
  </si>
  <si>
    <t>4.11. Definición de biomas y sus criterios de clasificación.</t>
  </si>
  <si>
    <t>Biomas clasificados por clima; no hay objetivo específico de biomas</t>
  </si>
  <si>
    <t>T8-T2.3</t>
  </si>
  <si>
    <t>Biomas y variables climáticas para clasificarlos</t>
  </si>
  <si>
    <t>T1039-G07-CIE</t>
  </si>
  <si>
    <t>4.12. Exploración de aplicaciones de las unidades biogeográficas.</t>
  </si>
  <si>
    <t>Aplicaciones biogeográficas sin objetivo de contenido 2027</t>
  </si>
  <si>
    <t>Aplicar: ejemplificar</t>
  </si>
  <si>
    <t>Aplicaciones de unidades biogeográficas, p. ej. conservación</t>
  </si>
  <si>
    <t>T1040-G07-CIE</t>
  </si>
  <si>
    <t>Unidad 5 - Recurso hídrico</t>
  </si>
  <si>
    <t>La hidrósfera</t>
  </si>
  <si>
    <t>5.1. Indagación de las etapas y características generales del ciclo hidrológico natural y con intervención antrópica.</t>
  </si>
  <si>
    <t>Ciclo del agua natural y con intervención humana</t>
  </si>
  <si>
    <t>T8-T2.2</t>
  </si>
  <si>
    <t>Ciclo hidrológico natural y urbano del agua</t>
  </si>
  <si>
    <t>T1041-G07-CIE</t>
  </si>
  <si>
    <t>5.2. Exploración de los tipos de cuencas hidrográficas y sus componentes principales.</t>
  </si>
  <si>
    <t>Cuencas hidrográficas: distribución del agua superficial</t>
  </si>
  <si>
    <t>Modelo de cuenca hidrográfica y sus componentes</t>
  </si>
  <si>
    <r>
      <rPr>
        <sz val="10"/>
        <color indexed="8"/>
        <rFont val="Arial"/>
      </rPr>
      <t>E6; D1; E4; D4; E6</t>
    </r>
  </si>
  <si>
    <t>T1042-G07-CIE</t>
  </si>
  <si>
    <t>5.3. Estimación de caudal y volumen de cuerpos de aguas superficiales.</t>
  </si>
  <si>
    <t>Cálculo de caudal y volumen de aguas superficiales</t>
  </si>
  <si>
    <t>Estima caudal y volumen de aguas superficiales</t>
  </si>
  <si>
    <t>T1043-G07-CIE</t>
  </si>
  <si>
    <t>5.4. Análisis de la fluctuación estacional de los principales cuerpos de agua superficiales de El Salvador.</t>
  </si>
  <si>
    <t>Interpreta datos de fluctuación estacional ligada al clima</t>
  </si>
  <si>
    <t>Fluctuación estacional de cuerpos de agua salvadoreños con datos</t>
  </si>
  <si>
    <t>T1044-G07-CIE</t>
  </si>
  <si>
    <t>5.5. Experimentación con variaciones en la infiltración y la distribución vertical del agua.</t>
  </si>
  <si>
    <t>Infiltración del agua en suelos, proceso del ciclo del agua</t>
  </si>
  <si>
    <t>Razonar: diseñar prueba justa y concluir</t>
  </si>
  <si>
    <t>PISA-PR1; PISA-PR2;</t>
  </si>
  <si>
    <t>Experimento de infiltración del agua en suelos</t>
  </si>
  <si>
    <t>T1045-G07-CIE</t>
  </si>
  <si>
    <t>5.6. Construcción de un modelo para representar los tipos de acuíferos.</t>
  </si>
  <si>
    <t>Acuíferos: distribución del agua dulce subterránea</t>
  </si>
  <si>
    <t>Modelo de tipos de acuíferos</t>
  </si>
  <si>
    <t>T1046-G07-CIE</t>
  </si>
  <si>
    <t>Recursos hídricos de El Salvador</t>
  </si>
  <si>
    <t>5.7. Identificación de las regiones hidrogeológicas de El Salvador a partir de mapas.</t>
  </si>
  <si>
    <t>Regiones hidrogeológicas en mapas: distribución del agua</t>
  </si>
  <si>
    <t>Regiones hidrogeológicas de El Salvador en mapa</t>
  </si>
  <si>
    <t>T1047-G07-CIE</t>
  </si>
  <si>
    <t>Calidad del agua</t>
  </si>
  <si>
    <t>5.8. Reconocimiento de parámetros biológicos de calidad del agua.</t>
  </si>
  <si>
    <t>Bioindicadores revelan contaminación del agua y su efecto</t>
  </si>
  <si>
    <t>Aplicar: identificar. Razonar: interpretar</t>
  </si>
  <si>
    <t>Bioindicadores de calidad del agua</t>
  </si>
  <si>
    <t>T1048-G07-CIE</t>
  </si>
  <si>
    <t>5.9. Medición experimental de parámetros fisicoquímicos de calidad de agua.</t>
  </si>
  <si>
    <t>Medición de parámetros fisicoquímicos del agua, incluido pH</t>
  </si>
  <si>
    <t>Mide parámetros fisicoquímicos de calidad de agua</t>
  </si>
  <si>
    <t>T1049-G07-CIE</t>
  </si>
  <si>
    <t>5.10. Reconocimiento de los usos potenciales del agua de acuerdo con su índice de calidad (ICA).</t>
  </si>
  <si>
    <t>Calidad del agua determina sus usos; gestión del recurso</t>
  </si>
  <si>
    <t>Razonar: interpretar índices y justificar</t>
  </si>
  <si>
    <t>Interpreta índice de calidad de un río salvadoreño</t>
  </si>
  <si>
    <t>T1050-G07-CIE</t>
  </si>
  <si>
    <t>Atmósfera</t>
  </si>
  <si>
    <t>5.11. Reconocimiento de las características físicas de las capas atmosféricas.</t>
  </si>
  <si>
    <t>Capas atmosféricas: cambios de temperatura y presión con altitud</t>
  </si>
  <si>
    <t>T8-T1.2</t>
  </si>
  <si>
    <t>Características físicas de las capas atmosféricas</t>
  </si>
  <si>
    <t>T1051-G07-CIE</t>
  </si>
  <si>
    <t>5.12. Reconocimiento de los principales parámetros que inciden en la calidad del aire.</t>
  </si>
  <si>
    <t>Contaminantes del aire, fuentes y efectos en seres vivos</t>
  </si>
  <si>
    <t>Contaminantes del aire, fuentes y efectos</t>
  </si>
  <si>
    <t>T1052-G07-CIE</t>
  </si>
  <si>
    <t>5.13. Clasificación de la calidad del aire de acuerdo con el Índice Centroamericano de Calidad del Aire (ICCA).</t>
  </si>
  <si>
    <t>Índice de calidad del aire y efectos de la contaminación</t>
  </si>
  <si>
    <t>Razonar: interpretar índices</t>
  </si>
  <si>
    <t>Interpreta reporte de calidad del aire según ICCA</t>
  </si>
  <si>
    <t>T1053-G07-CIE</t>
  </si>
  <si>
    <t>Dinámica atmosférica</t>
  </si>
  <si>
    <t>5.14. Manipulación de aplicaciones para la consulta y registro de parámetros meteorológicos.</t>
  </si>
  <si>
    <t>Registro de parámetros del tiempo atmosférico</t>
  </si>
  <si>
    <t>Aplicar: usar aplicaciones y registrar</t>
  </si>
  <si>
    <t>PISA-PR2; PISA-PR4;</t>
  </si>
  <si>
    <t>Registro de parámetros meteorológicos comparando dos fuentes</t>
  </si>
  <si>
    <r>
      <rPr>
        <sz val="10"/>
        <color indexed="8"/>
        <rFont val="Arial"/>
      </rPr>
      <t>E1; D1; E1; D4; I2</t>
    </r>
  </si>
  <si>
    <t>T1054-G07-CIE</t>
  </si>
  <si>
    <t>5.15. Construcción de dispositivos para la medición de parámetros meteorológicos.</t>
  </si>
  <si>
    <t>Mide y registra parámetros del tiempo con instrumento propio</t>
  </si>
  <si>
    <t>Aplicar: construir. Razonar: evaluar</t>
  </si>
  <si>
    <t>Construye instrumento meteorológico y registra mediciones</t>
  </si>
  <si>
    <t>T1055-G07-CIE</t>
  </si>
  <si>
    <t>5.16. Análisis de gráficos de registro de parámetros meteorológicos.</t>
  </si>
  <si>
    <t>Interpreta gráficos de datos meteorológicos</t>
  </si>
  <si>
    <t>Interpreta gráficos de parámetros meteorológicos</t>
  </si>
  <si>
    <t>T1056-G07-CIE</t>
  </si>
  <si>
    <t>5.17. Reconocimiento de las causas y características generales de los ciclones tropicales.</t>
  </si>
  <si>
    <t>Ciclones tropicales como fenómenos del tiempo atmosférico</t>
  </si>
  <si>
    <t>Causas y formación de ciclones tropicales</t>
  </si>
  <si>
    <r>
      <rPr>
        <sz val="10"/>
        <color indexed="8"/>
        <rFont val="Arial"/>
      </rPr>
      <t>E6; E5; E1; D4; E6</t>
    </r>
  </si>
  <si>
    <t>T1057-G07-CIE</t>
  </si>
  <si>
    <t>5.18. Descripción de los parámetros meteorológicos empleados para clasificar los ciclones tropicales.</t>
  </si>
  <si>
    <t>Parámetros meteorológicos para clasificar ciclones</t>
  </si>
  <si>
    <t>Aplicar: clasificar con escalas</t>
  </si>
  <si>
    <t>T1058-G07-CIE</t>
  </si>
  <si>
    <t>Unidad 6 - Ambiente y energía</t>
  </si>
  <si>
    <t>Recursos y energía</t>
  </si>
  <si>
    <t>6.1. Indagación del concepto y las características fundamentales de los recursos naturales.</t>
  </si>
  <si>
    <t>Concepto y características de los recursos naturales</t>
  </si>
  <si>
    <t>Concepto y características de recursos naturales de la comunidad</t>
  </si>
  <si>
    <t>T1059-G07-CIE</t>
  </si>
  <si>
    <t>6.2. Demostración práctica de eficiencia y suministro de diferentes recursos energéticos.</t>
  </si>
  <si>
    <t>Compara fuentes de energía por eficiencia y suministro</t>
  </si>
  <si>
    <t>Razonar: comparar y justificar</t>
  </si>
  <si>
    <t>Eficiencia de recursos energéticos de uso cotidiano</t>
  </si>
  <si>
    <r>
      <rPr>
        <sz val="10"/>
        <color indexed="8"/>
        <rFont val="Arial"/>
      </rPr>
      <t>E1; E3; E1; D2; I5</t>
    </r>
  </si>
  <si>
    <t>T1060-G07-CIE</t>
  </si>
  <si>
    <t>6.3. Exploración de los recursos energéticos utilizados en la comunidad.</t>
  </si>
  <si>
    <t>Fuentes de energía usadas en la comunidad</t>
  </si>
  <si>
    <t>Aplicar: recolectar y analizar datos</t>
  </si>
  <si>
    <t>Encuesta de recursos energéticos usados en la comunidad</t>
  </si>
  <si>
    <t>T1061-G07-CIE</t>
  </si>
  <si>
    <t>Energías no renovables</t>
  </si>
  <si>
    <t>6.4. Indagación del aprovechamiento de los combustibles como energías no renovables.</t>
  </si>
  <si>
    <t>Combustibles como fuentes de energía no renovables</t>
  </si>
  <si>
    <t>Combustibles como fuente de energía no renovable</t>
  </si>
  <si>
    <t>T1062-G07-CIE</t>
  </si>
  <si>
    <t>6.5. Construcción de dispositivos de combustión para el aprovechamiento de energías no renovables.</t>
  </si>
  <si>
    <t>Dispositivo de combustión: transformación de energía química; foco tecnológico</t>
  </si>
  <si>
    <t>Razonar: evaluar</t>
  </si>
  <si>
    <t>Dispositivo de combustión y evaluación de sus riesgos</t>
  </si>
  <si>
    <r>
      <rPr>
        <sz val="10"/>
        <color indexed="8"/>
        <rFont val="Arial"/>
      </rPr>
      <t>E1; D1; E4; D3; E6</t>
    </r>
  </si>
  <si>
    <t>T1063-G07-CIE</t>
  </si>
  <si>
    <t>6.6. Generalización del proceso de transformación de combustibles en energía eléctrica.</t>
  </si>
  <si>
    <t>Transformaciones de energía de combustibles a electricidad</t>
  </si>
  <si>
    <t>Aplicar: esquematizar</t>
  </si>
  <si>
    <t>Transformación de energía de combustibles en electricidad</t>
  </si>
  <si>
    <t>T1064-G07-CIE</t>
  </si>
  <si>
    <t>Energías renovables</t>
  </si>
  <si>
    <t>6.7. Reconocimiento de la diversidad de procesos de aprovechamiento de las energías renovables.</t>
  </si>
  <si>
    <t>Procesos de aprovechamiento de fuentes de energía renovables</t>
  </si>
  <si>
    <t>Procesos de energías renovables del país</t>
  </si>
  <si>
    <t>T1065-G07-CIE</t>
  </si>
  <si>
    <t>Energias renovables</t>
  </si>
  <si>
    <t>6.8. Construcción de dispositivos para el aprovechamiento de energías renovables.</t>
  </si>
  <si>
    <t>Dispositivo de energía renovable con mediciones de transformación</t>
  </si>
  <si>
    <t>Construye y mide dispositivo de energía renovable</t>
  </si>
  <si>
    <t>T1066-G07-CIE</t>
  </si>
  <si>
    <t>6.9. Comparación entre los procesos de obtención y aprovechamiento de las energías renovables y no renovables.</t>
  </si>
  <si>
    <t>Compara fuentes renovables y no renovables, ventajas y desventajas</t>
  </si>
  <si>
    <t>Compara y argumenta energías renovables y no renovables</t>
  </si>
  <si>
    <t>T1067-G07-CIE</t>
  </si>
  <si>
    <t>Impacto ambiental</t>
  </si>
  <si>
    <t>6.10. Indagación de las perturbaciones ecosistémicas derivadas de la explotación energética.</t>
  </si>
  <si>
    <t>Impactos de la explotación energética en ecosistemas</t>
  </si>
  <si>
    <t>Razonar: analizar casos</t>
  </si>
  <si>
    <t>Perturbaciones ecosistémicas por explotación energética, casos reales</t>
  </si>
  <si>
    <t>T1068-G07-CIE</t>
  </si>
  <si>
    <t>6.11. Reconocimiento de las principales actividades humanas que impactan los ecosistemas naturales.</t>
  </si>
  <si>
    <t>Actividades humanas que impactan ecosistemas</t>
  </si>
  <si>
    <t>Actividades humanas que impactan ecosistemas de El Salvador</t>
  </si>
  <si>
    <t>T1069-G07-CIE</t>
  </si>
  <si>
    <t>6.12. Cuantificación de impactos ambientales.</t>
  </si>
  <si>
    <t>Estimación de impactos ambientales humanos</t>
  </si>
  <si>
    <t>Aplicar: cuantificar</t>
  </si>
  <si>
    <t>Matriz de estimación de impacto ambiental hipotético</t>
  </si>
  <si>
    <t>T1070-G07-CIE</t>
  </si>
  <si>
    <t>6.13. Simulación de los fenómenos de efecto invernadero y lluvia ácida.</t>
  </si>
  <si>
    <t>Simula efecto invernadero y lluvia ácida con registro de temperaturas</t>
  </si>
  <si>
    <t>Aplicar: usar modelos. Razonar: interpretar</t>
  </si>
  <si>
    <t>Simula efecto invernadero y lluvia ácida registrando temperaturas</t>
  </si>
  <si>
    <t>T1071-G07-CIE</t>
  </si>
  <si>
    <t>6.14. Reconocimiento de acciones que impulsan el cambio climático antropogénico.</t>
  </si>
  <si>
    <t>Acciones humanas que causan cambio climático; huella de carbono</t>
  </si>
  <si>
    <t>Acciones cotidianas y huella de carbono personal</t>
  </si>
  <si>
    <t>T1072-G07-CIE</t>
  </si>
  <si>
    <t>6.15. Análisis de los efectos generales del cambio climático antropogénico.</t>
  </si>
  <si>
    <t>Efectos del cambio climático antropogénico</t>
  </si>
  <si>
    <t>Efectos adversos del cambio climático antropogénico con fuentes</t>
  </si>
  <si>
    <r>
      <rPr>
        <sz val="10"/>
        <color indexed="8"/>
        <rFont val="Arial"/>
      </rPr>
      <t>E6; D1; E1; I1; I5</t>
    </r>
  </si>
  <si>
    <t>T1073-G07-CIE</t>
  </si>
  <si>
    <t>Seguridad alimentaria y nutricional (SAN)</t>
  </si>
  <si>
    <t>6.16. Reconocimiento del uso actual y del potencial de los suelos para producción alimentaria en El Salvador.</t>
  </si>
  <si>
    <t>Uso del suelo agrícola y gestión del recurso</t>
  </si>
  <si>
    <t>Aplicar: comparar mapas. Razonar: argumentar</t>
  </si>
  <si>
    <t>Uso actual y potencial del suelo para alimentos</t>
  </si>
  <si>
    <t>T1074-G07-CIE</t>
  </si>
  <si>
    <t>6.17. Comparación del rendimiento calórico de los cultivos alimenticios contra el consumo medio de estos.</t>
  </si>
  <si>
    <t>Seguridad alimentaria: producción agrícola y consumo; encaje parcial</t>
  </si>
  <si>
    <t>Aplicar: calcular. Razonar: interpretar</t>
  </si>
  <si>
    <t>Rendimiento calórico de cultivos frente al consumo local</t>
  </si>
  <si>
    <t>T1075-G07-CIE</t>
  </si>
  <si>
    <t>6.18. Investigación de la cadena de suministro y almacenamiento de alimentos.</t>
  </si>
  <si>
    <t>Cadena de suministro alimentaria sin objetivo de contenido</t>
  </si>
  <si>
    <t>Cadena de suministro de alimentos: sin contenido del Box 2.6</t>
  </si>
  <si>
    <t>T1076-G07-CIE</t>
  </si>
  <si>
    <t>Introducción al desarrollo sostenible</t>
  </si>
  <si>
    <t>6.19. Indagación del concepto de sostenibilidad.</t>
  </si>
  <si>
    <t>Sostenibilidad como conservación de recursos</t>
  </si>
  <si>
    <t>Concepto de sostenibilidad con ejemplo local</t>
  </si>
  <si>
    <t>T1077-G07-CIE</t>
  </si>
  <si>
    <t>6.20. Determinación de prácticas que promueven la sostenibilidad ambiental.</t>
  </si>
  <si>
    <t>Prácticas sostenibles: conservación y manejo de residuos</t>
  </si>
  <si>
    <t>Razonar: proponer y justificar</t>
  </si>
  <si>
    <t>Prácticas sostenibles en un plan escolar</t>
  </si>
  <si>
    <t>T1078-G08-CIE</t>
  </si>
  <si>
    <t>Matriz_Ciencias_8vo_Grado_U1_U7.xlsx</t>
  </si>
  <si>
    <t>Unidad 1 - Mecánica</t>
  </si>
  <si>
    <t>Instrumentos de medición</t>
  </si>
  <si>
    <t>1.1. Construcción y calibración de un instrumento de medición.</t>
  </si>
  <si>
    <t>Construir y calibrar dinamómetro: práctica de medición con equipo de física</t>
  </si>
  <si>
    <t>Aplicar: construir y calibrar. Razonar: evaluar</t>
  </si>
  <si>
    <t>Calibración de instrumento propio; foco en medición, sin contenido del Box 2.6</t>
  </si>
  <si>
    <t>T1079-G08-CIE</t>
  </si>
  <si>
    <t>1.2. Identificación de la técnica de medición de una magnitud física.</t>
  </si>
  <si>
    <t>Técnicas de medición directa e indirecta, sin contenido disciplinar: práctica investigativa</t>
  </si>
  <si>
    <t>Aplicar: seleccionar técnicas. Razonar: comparar</t>
  </si>
  <si>
    <t>Distingue técnicas de medición directa e indirecta; solo medición</t>
  </si>
  <si>
    <t>T1080-G08-CIE</t>
  </si>
  <si>
    <t>1.3. Interpretación de las características de los gráficos.</t>
  </si>
  <si>
    <t>Interpretar pendiente y área de gráficos: análisis de datos, más matemático que físico</t>
  </si>
  <si>
    <t>Análisis gráfico general (pendiente, área); representación de datos sin contenido</t>
  </si>
  <si>
    <t>T1081-G08-CIE</t>
  </si>
  <si>
    <t>Vectores</t>
  </si>
  <si>
    <t>1.4. Medición de las componentes de un vector en un par de ejes perpendiculares.</t>
  </si>
  <si>
    <t>Componentes vectoriales: fuerzas con magnitud y dirección</t>
  </si>
  <si>
    <t>Medición de componentes vectoriales; herramienta matemática sin contenido disciplinar</t>
  </si>
  <si>
    <t>T1082-G08-CIE</t>
  </si>
  <si>
    <t>1.5. Adición y sustracción de vectores por el método de las componentes rectangulares.</t>
  </si>
  <si>
    <t>Suma de vectores por componentes; fuerzas con magnitud y dirección, nivel superior</t>
  </si>
  <si>
    <t>Aplicar: resolver problemas</t>
  </si>
  <si>
    <t>Suma de vectores por componentes; herramienta matemática, no contenido PISA</t>
  </si>
  <si>
    <t>T1083-G08-CIE</t>
  </si>
  <si>
    <t>1.6. Aplicación de la técnica de diagrama de cuerpo libre a partir de la identificación experimental de fuerzas que actúan sobre un objeto.</t>
  </si>
  <si>
    <t>Diagrama de cuerpo libre: identificar fuerzas que actúan sobre un objeto</t>
  </si>
  <si>
    <t>Identificación de fuerzas sobre un objeto y diagrama de cuerpo libre</t>
  </si>
  <si>
    <t>T1084-G08-CIE</t>
  </si>
  <si>
    <t>Movimiento en una y dos dimensiones</t>
  </si>
  <si>
    <t>1.7. Resolución de problemas empleando las leyes del movimiento de Newton.</t>
  </si>
  <si>
    <t>Leyes de Newton: efecto de fuerzas sobre el movimiento; acción y reacción</t>
  </si>
  <si>
    <t>Problemas con leyes de Newton: fuerzas y movimiento</t>
  </si>
  <si>
    <t>T1085-G08-CIE</t>
  </si>
  <si>
    <t>1.8. Resolución de problemas acerca del movimiento rectilíneo emplendo interpretación de gráficas.</t>
  </si>
  <si>
    <t>MRU y MRUV con gráficas: rapidez y aceleración</t>
  </si>
  <si>
    <t>Aplicar: interpretar gráficas y resolver</t>
  </si>
  <si>
    <t>Movimiento rectilíneo interpretado con gráficas</t>
  </si>
  <si>
    <t>T1086-G08-CIE</t>
  </si>
  <si>
    <t>1.9. Resolución de problemas acerca del movimiento parabólico emplendo interpretación de gráficas.</t>
  </si>
  <si>
    <t>Movimiento parabólico: cambio de posición y rapidez, nivel superior a TIMSS</t>
  </si>
  <si>
    <t>PISA-PR1; PISA-PR5;</t>
  </si>
  <si>
    <t>Movimiento parabólico; alcance según ángulo con gráficas</t>
  </si>
  <si>
    <r>
      <rPr>
        <sz val="10"/>
        <color indexed="8"/>
        <rFont val="Arial"/>
      </rPr>
      <t>E1; E3; E2; D4; E6</t>
    </r>
  </si>
  <si>
    <t>T1087-G08-CIE</t>
  </si>
  <si>
    <t>Movimiento de rotación</t>
  </si>
  <si>
    <t>1.10. Reconocimiento del torque como la causa del equilbrio rotacional.</t>
  </si>
  <si>
    <t>Torque y equilibrio rotacional; cercano a palanca, rotación ausente en TIMSS</t>
  </si>
  <si>
    <t>Aplicar: calcular. Razonar: explicar</t>
  </si>
  <si>
    <t>Torque y equilibrio rotacional: fuerzas</t>
  </si>
  <si>
    <t>T1088-G08-CIE</t>
  </si>
  <si>
    <t>1.11. Cálculo de magnitudes cinemáticas del movimiento circular uniforme a partir de resultados experimentales.</t>
  </si>
  <si>
    <t>Magnitudes cinemáticas del movimiento circular a partir de datos</t>
  </si>
  <si>
    <t>Magnitudes del movimiento circular a partir de datos experimentales</t>
  </si>
  <si>
    <t>T1089-G08-CIE</t>
  </si>
  <si>
    <t>Momento lineal</t>
  </si>
  <si>
    <t>1.12. Indagación del cambio del momento lineal en objetos a partir de la experimentación con fuerza y tiempo.</t>
  </si>
  <si>
    <t>Cambio de momento por fuerza y tiempo: efecto de fuerzas en movimiento</t>
  </si>
  <si>
    <t>Cambio de momento lineal en términos de fuerza y tiempo</t>
  </si>
  <si>
    <t>T1090-G08-CIE</t>
  </si>
  <si>
    <t>1.13. Experimentación con el cambio del momento lineal de objetos.</t>
  </si>
  <si>
    <t>Impulso y cambio de movimiento en objetos; diseño de empaque</t>
  </si>
  <si>
    <t>Impulso aplicado al diseño y prueba de un empaque protector</t>
  </si>
  <si>
    <t>T1091-G08-CIE</t>
  </si>
  <si>
    <t>1.14. Cálculo del momento lineal total.</t>
  </si>
  <si>
    <t>Conservación del momento lineal no figura en TIMSS 8; afín a efectos de fuerzas</t>
  </si>
  <si>
    <t>Conservación del momento lineal en interacciones de dos objetos</t>
  </si>
  <si>
    <t>T1092-G08-CIE</t>
  </si>
  <si>
    <t>Teorema del trabajo y la energía cinética</t>
  </si>
  <si>
    <t>2.1. Indagación del concepto de trabajo utilizando máquinas simples.</t>
  </si>
  <si>
    <t>Trabajo con máquinas simples; relación con energía</t>
  </si>
  <si>
    <t>Conocer: definir. Aplicar: medir</t>
  </si>
  <si>
    <t>Concepto de trabajo como transferencia de energía con máquinas simples</t>
  </si>
  <si>
    <t>T1093-G08-CIE</t>
  </si>
  <si>
    <t>2.2. Resolución de problemas empleando el teorema del trabajo y la energía cinética.</t>
  </si>
  <si>
    <t>Teorema trabajo-energía cinética: formas y transformaciones de energía</t>
  </si>
  <si>
    <t>Teorema trabajo-energía cinética en problemas</t>
  </si>
  <si>
    <t>T1094-G08-CIE</t>
  </si>
  <si>
    <t>2.3. Interpretación de los signos matemáticos del trabajo a partir de la experimentación.</t>
  </si>
  <si>
    <t>Signo del trabajo como ganancia o pérdida de energía</t>
  </si>
  <si>
    <t>Aplicar: interpretar</t>
  </si>
  <si>
    <t>Signo del trabajo y transferencia de energía en experimentos</t>
  </si>
  <si>
    <t>T1095-G08-CIE</t>
  </si>
  <si>
    <t>Tipos de energía mecánica</t>
  </si>
  <si>
    <t>2.4. Indagación del concepto de trabajo de rotación.</t>
  </si>
  <si>
    <t>Trabajo de rotación: transferencia de energía, rotación fuera de TIMSS</t>
  </si>
  <si>
    <t>Conocer: ejemplificar</t>
  </si>
  <si>
    <t>Trabajo de rotación ejemplificado en situaciones cotidianas</t>
  </si>
  <si>
    <t>T1096-G08-CIE</t>
  </si>
  <si>
    <t>2.5. Experimentación con el momento de inercia en objetos con movimiento rotacional.</t>
  </si>
  <si>
    <t>Momento de inercia y rotación; solo afín a efectos de fuerzas</t>
  </si>
  <si>
    <t>Momento de inercia en rotación medido con tiempos</t>
  </si>
  <si>
    <t>T1097-G08-CIE</t>
  </si>
  <si>
    <t>2.6. Cálculo de la energía total a partir de las energías cinética y potencial de objetos que se trasladan y rotan.</t>
  </si>
  <si>
    <t>Energía cinética y potencial y energía mecánica total</t>
  </si>
  <si>
    <t>Energía cinética, potencial y total de objetos en traslación y rotación</t>
  </si>
  <si>
    <t>T1098-G08-CIE</t>
  </si>
  <si>
    <t>Principio de conservacion de la energía mecánica</t>
  </si>
  <si>
    <t>2.7. Experimentación con la ley de conservación de la energía mecánica.</t>
  </si>
  <si>
    <t>Experimento de conservación de la energía mecánica</t>
  </si>
  <si>
    <t>Razonar: interpretar datos</t>
  </si>
  <si>
    <t>Conservación de energía mecánica con alturas de rebote</t>
  </si>
  <si>
    <t>T1099-G08-CIE</t>
  </si>
  <si>
    <t>2.8. Interpretación de las características de las gráficas de energía cinética y potencial obtenidas a partir de un experimento.</t>
  </si>
  <si>
    <t>Gráficas de energía cinética y potencial del péndulo: transformación</t>
  </si>
  <si>
    <t>Gráficas de energía cinética y potencial del péndulo</t>
  </si>
  <si>
    <t>T1100-G08-CIE</t>
  </si>
  <si>
    <t>Potencia mecánica</t>
  </si>
  <si>
    <t>2.9. Indagación del concepto de potencia mecánica.</t>
  </si>
  <si>
    <t>Potencia ligada a energía y máquinas simples</t>
  </si>
  <si>
    <t>Conocer: definir. Aplicar: calcular</t>
  </si>
  <si>
    <t>Potencia mecánica como rapidez de transferencia de energía</t>
  </si>
  <si>
    <t>T1101-G08-CIE</t>
  </si>
  <si>
    <t>2.10. Cálculo experimental de la potencia mecánica de máquinas para la obtención del momento lineal.</t>
  </si>
  <si>
    <t>Potencia mecánica: rapidez de transformación de energía en máquinas</t>
  </si>
  <si>
    <t>Cálculo experimental de potencia de una máquina</t>
  </si>
  <si>
    <t>T1102-G08-CIE</t>
  </si>
  <si>
    <t>2.11. Resolución de problemas acerca de la potencia mecánica.</t>
  </si>
  <si>
    <t>Problemas de potencia mecánica: transformación de energía</t>
  </si>
  <si>
    <t>Problemas de potencia mecánica</t>
  </si>
  <si>
    <t>T1103-G08-CIE</t>
  </si>
  <si>
    <t>Unidad 3 - Ondas mecánicas</t>
  </si>
  <si>
    <t>Energía mecánica del movimiento armónico simple (MAS)</t>
  </si>
  <si>
    <t>3.1. Indagación de las fuerzas que realizan trabajo sobre un péndulo simple.</t>
  </si>
  <si>
    <t>Fuerzas sobre el péndulo y el trabajo que realizan</t>
  </si>
  <si>
    <t>Aplicar: analizar fuerzas</t>
  </si>
  <si>
    <t>Fuerzas que realizan trabajo sobre el péndulo, con diagrama</t>
  </si>
  <si>
    <t>T1104-G08-CIE</t>
  </si>
  <si>
    <t>3.2. Experimentación para identificar la transformación de la energía del péndulo simple.</t>
  </si>
  <si>
    <t>Transformación de energía en el péndulo simple</t>
  </si>
  <si>
    <t>T1105-G08-CIE</t>
  </si>
  <si>
    <t>3.3. Interpretación de las características de las gráficas de energía del oscilador armónico simple.</t>
  </si>
  <si>
    <t>Gráficas de energía del oscilador: transformación y conservación</t>
  </si>
  <si>
    <t>Gráficas de energía del oscilador armónico simple</t>
  </si>
  <si>
    <t>T1106-G08-CIE</t>
  </si>
  <si>
    <t>Medición del MAS</t>
  </si>
  <si>
    <t>3.4. Medición directa del período y de la amplitud de oscilación de un péndulo simple.</t>
  </si>
  <si>
    <t>Foco en medir período y amplitud, repitiendo mediciones</t>
  </si>
  <si>
    <t>Aplicar: medir. Razonar: identificar variables</t>
  </si>
  <si>
    <t>Medición del período según longitud y amplitud; foco en medir</t>
  </si>
  <si>
    <t>T1107-G08-CIE</t>
  </si>
  <si>
    <t>3.5. Cálculo experimental de una altura empleando el período de oscilación de un péndulo simple.</t>
  </si>
  <si>
    <t>Medición indirecta de una altura con el péndulo: práctica de medición</t>
  </si>
  <si>
    <t>PISA-EP6;</t>
  </si>
  <si>
    <t>Uso del modelo de péndulo para predecir una altura</t>
  </si>
  <si>
    <t>T1108-G08-CIE</t>
  </si>
  <si>
    <t>3.6. Diseño de un experimento para determinar una altura empleando un péndulo simple.</t>
  </si>
  <si>
    <t>Diseñar experimento y evaluar errores de medición</t>
  </si>
  <si>
    <t>PISA-PR7; PISA-PR3;</t>
  </si>
  <si>
    <t>PISA-EP10;</t>
  </si>
  <si>
    <t>Diseño experimental con péndulo y evaluación de errores</t>
  </si>
  <si>
    <r>
      <rPr>
        <sz val="10"/>
        <color indexed="8"/>
        <rFont val="Arial"/>
      </rPr>
      <t>E1; D1; E3; D2; D3</t>
    </r>
  </si>
  <si>
    <t>T1109-G08-CIE</t>
  </si>
  <si>
    <t>Movimiento ondulatorio y sonido</t>
  </si>
  <si>
    <t>3.7. Identificación experimental del tipo de onda a partir del movimiento de la fuente de vibración de cuerdas.</t>
  </si>
  <si>
    <t>Ondas transversales y longitudinales en cuerdas; sonido como onda</t>
  </si>
  <si>
    <t>T8-F3.2</t>
  </si>
  <si>
    <t>Ondas transversales y longitudinales en cuerdas vibrantes</t>
  </si>
  <si>
    <t>T1110-G08-CIE</t>
  </si>
  <si>
    <t>3.8. Identificación experimental de las magnitudes y las condiciones que varían la frecuencia o el tono del sonido producido en cuerdas.</t>
  </si>
  <si>
    <t>Frecuencia y tono según tensión y longitud, con control de variables</t>
  </si>
  <si>
    <t>Aplicar: medir. Razonar: relacionar</t>
  </si>
  <si>
    <t>Frecuencia del sonido en cuerdas según tensión y longitud</t>
  </si>
  <si>
    <t>T1111-G08-CIE</t>
  </si>
  <si>
    <t>3.9. Resolución de problemas teóricos a partir de las gráficas de desplazamiento contra posición, y de desplazamiento contra tiempo de una onda transversal.</t>
  </si>
  <si>
    <t>Gráficas de ondas transversales; propiedades ondulatorias, nivel superior</t>
  </si>
  <si>
    <t>Gráficas de desplazamiento de una onda transversal</t>
  </si>
  <si>
    <t>T1112-G08-CIE</t>
  </si>
  <si>
    <t>3.10. Identificación experimental del tipo de onda a partir del movimiento de la fuente de vibración en columnas de aire.</t>
  </si>
  <si>
    <t>Tipo de onda sonora en columnas de aire</t>
  </si>
  <si>
    <t>T1113-G08-CIE</t>
  </si>
  <si>
    <t>3.11. Identificación experimental de las magnitudes y las condiciones que varían la frecuencia o el tono del sonido producido en tubos de aire.</t>
  </si>
  <si>
    <t>Frecuencia según longitud de columna de aire, experimentalmente</t>
  </si>
  <si>
    <t>Frecuencia del sonido según longitud de columna de aire</t>
  </si>
  <si>
    <t>T1114-G08-CIE</t>
  </si>
  <si>
    <t>3.12. Resolución de problemas teóricos a partir de las gráficas de presión de aire contra distancia, y de densidad de aire contra distancia de una onda longitudinal.</t>
  </si>
  <si>
    <t>Gráficas de presión y densidad de onda longitudinal sonora</t>
  </si>
  <si>
    <t>Gráficas de presión y densidad de onda longitudinal</t>
  </si>
  <si>
    <t>T1115-G08-CIE</t>
  </si>
  <si>
    <t>Unidad 4 - Estequiometría y dis</t>
  </si>
  <si>
    <t>Unidades físicas de concentración</t>
  </si>
  <si>
    <t>4.1. Identificación de las unidades físicas de concentración en sustancias de uso cotidiano.</t>
  </si>
  <si>
    <t>Concentración de disoluciones en productos cotidianos</t>
  </si>
  <si>
    <t>Concentración de mezclas en etiquetas de productos cotidianos</t>
  </si>
  <si>
    <t>T1116-G08-CIE</t>
  </si>
  <si>
    <t>4.2. Cálculo de cantidad de soluto o concentración de soluciones empleando las unidades físicas de concentración.</t>
  </si>
  <si>
    <t>Calcular soluto y concentración de disoluciones</t>
  </si>
  <si>
    <t>Cálculo de concentración y preparación de soluciones</t>
  </si>
  <si>
    <t>T1117-G08-CIE</t>
  </si>
  <si>
    <t>4.3. Exploración de las aplicaciones cotidianas, industriales y ambientales de las unidades físicas de concentración.</t>
  </si>
  <si>
    <t>Aplicaciones de la concentración de disoluciones</t>
  </si>
  <si>
    <t>Aplicaciones de la concentración con normas oficiales ambientales</t>
  </si>
  <si>
    <t>T1118-G08-CIE</t>
  </si>
  <si>
    <t>Relaciones estequiométricas</t>
  </si>
  <si>
    <t>4.4. Reconocimiento del significado del número de Avogadro.</t>
  </si>
  <si>
    <t>Mol y Avogadro: naturaleza particulada de la materia, nivel superior</t>
  </si>
  <si>
    <t>Número de Avogadro: cantidad de partículas en la materia</t>
  </si>
  <si>
    <t>T1119-G08-CIE</t>
  </si>
  <si>
    <t>4.5. Cálculo de la cantidad de partículas y moles de una sustancia empleando el número de Avogadro.</t>
  </si>
  <si>
    <t>Partículas y moles: materia formada por átomos y moléculas</t>
  </si>
  <si>
    <t>Cálculo de partículas y moles de una sustancia</t>
  </si>
  <si>
    <t>T1120-G08-CIE</t>
  </si>
  <si>
    <t>4.6. Uso de las masas atómicas relativas para calcular la masa molar.</t>
  </si>
  <si>
    <t>Masa molar desde masas atómicas: composición de moléculas</t>
  </si>
  <si>
    <t>Masa molar a partir de masas atómicas</t>
  </si>
  <si>
    <t>T1121-G08-CIE</t>
  </si>
  <si>
    <t>4.7. Ejecución de cálculos estequiométricos para determinar cantidades de sustancia en gramos.</t>
  </si>
  <si>
    <t>Estequiometría: conservación de masa y reordenamiento de átomos</t>
  </si>
  <si>
    <t>Cálculos estequiométricos de reacciones químicas</t>
  </si>
  <si>
    <t>T1122-G08-CIE</t>
  </si>
  <si>
    <t>4.8. Interpretación de resultados de cálculos estequiométricos.</t>
  </si>
  <si>
    <t>Interpretar resultados estequiométricos: conservación de masa en reacciones</t>
  </si>
  <si>
    <t>Razonar: interpretar resultados</t>
  </si>
  <si>
    <t>Interpretación de resultados estequiométricos y rendimiento</t>
  </si>
  <si>
    <t>T1123-G08-CIE</t>
  </si>
  <si>
    <t>Unidades químicas de concentración</t>
  </si>
  <si>
    <t>4.9. Identificación de las unidades químicas de concentración en sustancias de uso cotidiano.</t>
  </si>
  <si>
    <t>Unidades químicas de concentración de disoluciones</t>
  </si>
  <si>
    <t>Unidades químicas de concentración en sustancias cotidianas</t>
  </si>
  <si>
    <t>T1124-G08-CIE</t>
  </si>
  <si>
    <t>4.10. Cálculo de concentraciones, gramos y moles de soluto empleando unidades químicas de concentración.</t>
  </si>
  <si>
    <t>Cálculos de concentración y preparación de disoluciones</t>
  </si>
  <si>
    <t>Aplicar: calcular y preparar</t>
  </si>
  <si>
    <t>Cálculos de molaridad y preparación de solución</t>
  </si>
  <si>
    <t>T1125-G08-CIE</t>
  </si>
  <si>
    <t>4.11. Reconocimiento de las aplicaciones industriales de las unidades químicas de concentración.</t>
  </si>
  <si>
    <t>Aplicaciones industriales de la concentración de disoluciones</t>
  </si>
  <si>
    <t>Aplicaciones industriales de la concentración química</t>
  </si>
  <si>
    <t>T1126-G08-CIE</t>
  </si>
  <si>
    <t>Dispersiones químicas</t>
  </si>
  <si>
    <t>4.12. Identificación de dispersiones químicas en sustancias de uso cotidiano.</t>
  </si>
  <si>
    <t>Suspensiones, coloides y disoluciones: tipos de mezclas</t>
  </si>
  <si>
    <t>Dispersiones (mezclas) en sustancias de uso cotidiano</t>
  </si>
  <si>
    <t>T1127-G08-CIE</t>
  </si>
  <si>
    <t>4.13. Clasificación de las dispersiones químicas de acuerdo con sus propiedades.</t>
  </si>
  <si>
    <t>Clasificar dispersiones por propiedades: mezclas homogéneas y heterogéneas</t>
  </si>
  <si>
    <t>Clasificación de dispersiones según sus propiedades</t>
  </si>
  <si>
    <t>T1128-G08-CIE</t>
  </si>
  <si>
    <t>4.14. Exploración de los diferentes tipos de dispersiones químicas y sus aplicaciones.</t>
  </si>
  <si>
    <t>Tipos de dispersiones como mezclas y sus aplicaciones</t>
  </si>
  <si>
    <t>Tipos de dispersiones y sus aplicaciones</t>
  </si>
  <si>
    <t>T1129-G08-CIE</t>
  </si>
  <si>
    <t>4.15. Clasificación de las soluciones químicas con base en la cantidad de soluto.</t>
  </si>
  <si>
    <t>Clasificar disoluciones según cantidad de soluto: concentración</t>
  </si>
  <si>
    <t>Clasificación de soluciones por cantidad de soluto</t>
  </si>
  <si>
    <t>T1130-G08-CIE</t>
  </si>
  <si>
    <t>Dispersiones químicas.</t>
  </si>
  <si>
    <t>4.16. Experimentación con los factores que afectan la solubilidad.</t>
  </si>
  <si>
    <t>Factores de rapidez de disolución, experimentando una variable a la vez</t>
  </si>
  <si>
    <t>PISA-PR1; PISA-PR6;</t>
  </si>
  <si>
    <t>Factores de solubilidad probados uno a uno</t>
  </si>
  <si>
    <t>T1131-G08-CIE</t>
  </si>
  <si>
    <t>4.17. Representación del comportamiento de las partículas según los factores que afectan la solubilidad.</t>
  </si>
  <si>
    <t>Modelo de partículas para explicar la disolución</t>
  </si>
  <si>
    <t>Modelo de partículas para explicar la solubilidad</t>
  </si>
  <si>
    <t>T1132-G08-CIE</t>
  </si>
  <si>
    <t>Propiedades coligativas de las soluciones</t>
  </si>
  <si>
    <t>4.18. Demostración de las propiedades coligativas.</t>
  </si>
  <si>
    <t>Propiedades coligativas: disoluciones y cambios de puntos de fusión y ebullición</t>
  </si>
  <si>
    <t>T1133-G08-CIE</t>
  </si>
  <si>
    <t>Propiedades coligativas de las soluciones.</t>
  </si>
  <si>
    <t>4.19. Experimentación con las propiedades coligativas.</t>
  </si>
  <si>
    <t>Experimento: concentración de sal y temperatura de congelación</t>
  </si>
  <si>
    <t>Experimento de punto de congelación según cantidad de sal</t>
  </si>
  <si>
    <t>T1134-G08-CIE</t>
  </si>
  <si>
    <t>4.20. Descripción de las aplicaciones industriales de las propiedades coligativas.</t>
  </si>
  <si>
    <t>Aplicaciones industriales de propiedades coligativas de disoluciones</t>
  </si>
  <si>
    <t>Aplicar: describir. Razonar: justificar</t>
  </si>
  <si>
    <t>Aplicaciones industriales de propiedades coligativas con fuentes</t>
  </si>
  <si>
    <t>T1135-G08-CIE</t>
  </si>
  <si>
    <t>Unidad 5 - Minerales</t>
  </si>
  <si>
    <t>¿Qué es un mineral?</t>
  </si>
  <si>
    <t>5.1. Indagación de la ocurrencia de minerales en la vida cotidiana.</t>
  </si>
  <si>
    <t>Minerales como recursos de la Tierra en objetos cotidianos</t>
  </si>
  <si>
    <t>Uso de minerales en objetos cotidianos</t>
  </si>
  <si>
    <t>T1136-G08-CIE</t>
  </si>
  <si>
    <t>Propiedades de los minerales</t>
  </si>
  <si>
    <t>5.2. Caracterización de los minerales con base en sus propiedades físicas.</t>
  </si>
  <si>
    <t>Clasificar minerales por propiedades físicas</t>
  </si>
  <si>
    <t>Aplicar: caracterizar</t>
  </si>
  <si>
    <t>T8-Q2.2</t>
  </si>
  <si>
    <t>Propiedades físicas de minerales; geosfera y materia</t>
  </si>
  <si>
    <t>T1137-G08-CIE</t>
  </si>
  <si>
    <t>5.3. Reconocimiento de las combinaciones de elementos químicos presentes en los minerales.</t>
  </si>
  <si>
    <t>Minerales como compuestos y combinaciones de elementos</t>
  </si>
  <si>
    <t>Composición química de los minerales de la geosfera</t>
  </si>
  <si>
    <t>T1138-G08-CIE</t>
  </si>
  <si>
    <t>Estructura</t>
  </si>
  <si>
    <t>5.4. Indagación del proceso de formación de cristales a partir de un experimento.</t>
  </si>
  <si>
    <t>Cristalización desde disoluciones; vínculo débil con formación de rocas</t>
  </si>
  <si>
    <t>Razonar: diseñar y comprobar</t>
  </si>
  <si>
    <t>PISA-PR1;</t>
  </si>
  <si>
    <t>Cristalización en distintas condiciones experimentales</t>
  </si>
  <si>
    <t>T1139-G08-CIE</t>
  </si>
  <si>
    <t>5.5. Determinación del hábito cristalino de un mineral preparado experimentalmente.</t>
  </si>
  <si>
    <t>Hábito cristalino como propiedad física observable del mineral</t>
  </si>
  <si>
    <t>Hábito cristalino de un mineral preparado</t>
  </si>
  <si>
    <t>T1140-G08-CIE</t>
  </si>
  <si>
    <t>5.6. Reconocimiento de las estructuras cristalinas de los minerales.</t>
  </si>
  <si>
    <t>Red cristalina como ordenamiento de partículas; nivel superior a TIMSS</t>
  </si>
  <si>
    <t>Estructura cristalina interna de la materia con modelo</t>
  </si>
  <si>
    <t>T1141-G08-CIE</t>
  </si>
  <si>
    <t>Minerales y rocas</t>
  </si>
  <si>
    <t>5.7. Exploración de los minerales presentes según los tipos de roca.</t>
  </si>
  <si>
    <t>Minerales en tipos de roca: ciclo de las rocas</t>
  </si>
  <si>
    <t>Minerales presentes según tipo de roca de la geosfera</t>
  </si>
  <si>
    <t>T1142-G08-CIE</t>
  </si>
  <si>
    <t>Usos de los minerales</t>
  </si>
  <si>
    <t>5.8. Ubicación de los principales yacimientos mineralógicos de El Salvador.</t>
  </si>
  <si>
    <t>Yacimientos minerales del país como recursos de la Tierra</t>
  </si>
  <si>
    <t>Yacimientos minerales de El Salvador</t>
  </si>
  <si>
    <r>
      <rPr>
        <sz val="10"/>
        <color indexed="8"/>
        <rFont val="Arial"/>
      </rPr>
      <t>E6; D1; E2; I1; E6</t>
    </r>
  </si>
  <si>
    <t>T1143-G08-CIE</t>
  </si>
  <si>
    <t>5.9. Análisis de los impactos de la minería y su regulación en El Salvador.</t>
  </si>
  <si>
    <t>Impactos de la minería en recursos y ecosistemas</t>
  </si>
  <si>
    <t>Razonar: evaluar evidencia y argumentar</t>
  </si>
  <si>
    <t>PISA-EP14;</t>
  </si>
  <si>
    <t>Impactos y regulación de la minería en El Salvador</t>
  </si>
  <si>
    <r>
      <rPr>
        <sz val="10"/>
        <color indexed="8"/>
        <rFont val="Arial"/>
      </rPr>
      <t>E6; D1; E1; I2; I5</t>
    </r>
  </si>
  <si>
    <t>T1144-G08-CIE</t>
  </si>
  <si>
    <t>Unidad 6 - Anatomía y fisiologí</t>
  </si>
  <si>
    <t>Los tejidos vegetales</t>
  </si>
  <si>
    <t>6.1. Indagación de propiedades de los tejidos vegetales a partir de pruebas físicas y químicas.</t>
  </si>
  <si>
    <t>Propiedades de tejidos vegetales: células especializadas forman tejidos</t>
  </si>
  <si>
    <t>Aplicar: experimentar</t>
  </si>
  <si>
    <t>Propiedades de tejidos vegetales mediante pruebas</t>
  </si>
  <si>
    <t>T1145-G08-CIE</t>
  </si>
  <si>
    <t>6.2. Identificación práctica de tejidos vegetales.</t>
  </si>
  <si>
    <t>Identificar tejidos vegetales en muestras, con microscopio</t>
  </si>
  <si>
    <t>Identificación de tejidos vegetales en muestras</t>
  </si>
  <si>
    <t>T1146-G08-CIE</t>
  </si>
  <si>
    <t>6.3. Comparación de las adaptaciones estructurales de las células vegetales dentro de los tejidos.</t>
  </si>
  <si>
    <t>Adaptaciones de células vegetales en tejidos: estructura y función</t>
  </si>
  <si>
    <t>Adaptaciones estructurales de células vegetales en tejidos</t>
  </si>
  <si>
    <t>T1147-G08-CIE</t>
  </si>
  <si>
    <t>Transporte de sustancias</t>
  </si>
  <si>
    <t>6.4. Demostración experimental de la conducción y el almacenamiento de sustancias a través de los órganos vegetales.</t>
  </si>
  <si>
    <t>Conducción y almacenamiento en órganos vegetales mediante diseño experimental</t>
  </si>
  <si>
    <t>PISA-PR7;</t>
  </si>
  <si>
    <t>Diseño empírico para evidenciar conducción y almacenamiento vegetal</t>
  </si>
  <si>
    <t>T1148-G08-CIE</t>
  </si>
  <si>
    <t>6.5. Exploración de estructuras vegetales para la conducción y el almacenamiento de sustancias.</t>
  </si>
  <si>
    <t>Estructuras vegetales de conducción y almacenamiento: órganos y tejidos</t>
  </si>
  <si>
    <t>Estructuras vegetales de conducción y almacenamiento</t>
  </si>
  <si>
    <t>T1149-G08-CIE</t>
  </si>
  <si>
    <t>6.6. Elaboración de un catálogo histológico a partir de muestras vegetales.</t>
  </si>
  <si>
    <t>Catálogo histológico vegetal con muestras y microscopio</t>
  </si>
  <si>
    <t>Catálogo histológico de tejidos vegetales</t>
  </si>
  <si>
    <t>T1150-G08-CIE</t>
  </si>
  <si>
    <t>Desarrollo y reproducción vegetal</t>
  </si>
  <si>
    <t>6.7. Experimentación con las condiciones de germinación y crecimiento de plantas.</t>
  </si>
  <si>
    <t>Experimento de variables en germinación; ciclos de vida fuera de TIMSS 8</t>
  </si>
  <si>
    <t>Variables de germinación y crecimiento de plantas</t>
  </si>
  <si>
    <t>T1151-G08-CIE</t>
  </si>
  <si>
    <t>6.8. Caracterización de las regiones meristemáticas en muestras vegetales.</t>
  </si>
  <si>
    <t>Meristemos: tejidos de células que se dividen</t>
  </si>
  <si>
    <t>Meristemos: crecimiento por división celular</t>
  </si>
  <si>
    <t>T1152-G08-CIE</t>
  </si>
  <si>
    <t>6.9. Experimentación con las condiciones de maduración de los frutos.</t>
  </si>
  <si>
    <t>Diseñar experimento de variables; maduración de frutos fuera del catálogo</t>
  </si>
  <si>
    <t>Razonar: plantear experimentos</t>
  </si>
  <si>
    <t>PISA-PR1; PISA-PR7;</t>
  </si>
  <si>
    <t>Planteo de experimento sobre variables de maduración del fruto</t>
  </si>
  <si>
    <t>T1153-G08-CIE</t>
  </si>
  <si>
    <t>La hoja y sus funciones</t>
  </si>
  <si>
    <t>6.10. Indagación de las funciones fisiológicas de las hojas.</t>
  </si>
  <si>
    <t>Funciones de la hoja: fotosíntesis y transpiración</t>
  </si>
  <si>
    <t>Aplicar: observar</t>
  </si>
  <si>
    <t>T8-B1.3</t>
  </si>
  <si>
    <t>Funciones fisiológicas de la hoja</t>
  </si>
  <si>
    <t>T1154-G08-CIE</t>
  </si>
  <si>
    <t>6.11. Experimentación con los procesos de transpiración y fotosíntesis en plantas.</t>
  </si>
  <si>
    <t>Experimento de transpiración y fotosíntesis comparando luz y sombra</t>
  </si>
  <si>
    <t>Aplicar: experimentar. Razonar: interpretar</t>
  </si>
  <si>
    <t>Transpiración y fotosíntesis en luz y sombra</t>
  </si>
  <si>
    <t>T1155-G08-CIE</t>
  </si>
  <si>
    <t>6.12. Explicación de las principales funciones fisiológicas de las hojas.</t>
  </si>
  <si>
    <t>Explicar fotosíntesis y funciones fisiológicas de la hoja</t>
  </si>
  <si>
    <t>Explicación integrada de funciones de la hoja</t>
  </si>
  <si>
    <t>T1156-G08-CIE</t>
  </si>
  <si>
    <t>Unidad 7 - Anatomía y Fisiologí</t>
  </si>
  <si>
    <t>Tipos de tejidos animales</t>
  </si>
  <si>
    <t>7.1. Reconocimiento de las principales características estructurales y funcionales de los tejidos animales fundamentales.</t>
  </si>
  <si>
    <t>Tejidos animales formados por células especializadas</t>
  </si>
  <si>
    <t>Estructura y función de tejidos animales</t>
  </si>
  <si>
    <t>T1157-G08-CIE</t>
  </si>
  <si>
    <t>7.2. Representación de los tejidos animales fundamentales.</t>
  </si>
  <si>
    <t>Modelos de tejidos animales fundamentales</t>
  </si>
  <si>
    <t>Modelo o esquema de tejidos animales</t>
  </si>
  <si>
    <t>T1158-G08-CIE</t>
  </si>
  <si>
    <t>7.3. Explicación de las características y funciones de los tejidos animales fundamentales.</t>
  </si>
  <si>
    <t>Características y funciones de tejidos animales</t>
  </si>
  <si>
    <t>Explicación de funciones de tejidos animales</t>
  </si>
  <si>
    <t>T1159-G08-CIE</t>
  </si>
  <si>
    <t>Sistema músculoesquelético</t>
  </si>
  <si>
    <t>7.4. Reconocimiento de la morfología del sistema musculoesquelético.</t>
  </si>
  <si>
    <t>Estructura del sistema óseo y muscular</t>
  </si>
  <si>
    <t>Morfología del sistema musculoesquelético</t>
  </si>
  <si>
    <t>T1160-G08-CIE</t>
  </si>
  <si>
    <t>7.5. Comprobación de las propiedades y funciones de la contracción muscular.</t>
  </si>
  <si>
    <t>Función de la contracción muscular en el sistema musculoesquelético</t>
  </si>
  <si>
    <t>Contracción y fatiga muscular registrada en el propio cuerpo</t>
  </si>
  <si>
    <t>T1161-G08-CIE</t>
  </si>
  <si>
    <t>7.6. Modelaje del funcionamiento del sistema musculoesquelético.</t>
  </si>
  <si>
    <t>Modelo funcional del sistema musculoesquelético</t>
  </si>
  <si>
    <t>T1162-G08-CIE</t>
  </si>
  <si>
    <t>Sistemas respiratorio y circulatorio</t>
  </si>
  <si>
    <t>7.7. Demostración práctica del vínculo entre el intercambio de gases y la circulación.</t>
  </si>
  <si>
    <t>Respiración y circulación; respuesta del cuerpo a la actividad</t>
  </si>
  <si>
    <t>Aplicar: medir y relacionar</t>
  </si>
  <si>
    <t>Intercambio de gases y circulación; frecuencias en reposo y actividad</t>
  </si>
  <si>
    <t>T1163-G08-CIE</t>
  </si>
  <si>
    <t>Sistemas respiratrio y circulatorio</t>
  </si>
  <si>
    <t>7.8. Reconocimiento de las principales características y funciones de las estructuras respiratorias y circulatorias en vertebrados.</t>
  </si>
  <si>
    <t>Comparar estructuras respiratorias y circulatorias de vertebrados</t>
  </si>
  <si>
    <t>Estructuras respiratorias y circulatorias de vertebrados</t>
  </si>
  <si>
    <t>T1164-G08-CIE</t>
  </si>
  <si>
    <t>7.9. Modelaje de una estructura respiratoria.</t>
  </si>
  <si>
    <t>Modelo de una estructura respiratoria: órganos y función</t>
  </si>
  <si>
    <t>Aplicar: construir y evaluar modelos</t>
  </si>
  <si>
    <t>PISA-EP4; PISA-EP7;</t>
  </si>
  <si>
    <t>Modelo de estructura respiratoria con evaluación</t>
  </si>
  <si>
    <t>T1165-G08-CIE</t>
  </si>
  <si>
    <t>Sistemas digestivos</t>
  </si>
  <si>
    <t>7.10. Exploración de las principales características estructurales de los sistemas digestivos</t>
  </si>
  <si>
    <t>Comparar sistemas digestivos: estructura y función</t>
  </si>
  <si>
    <t>Estructura de sistemas digestivos comparados</t>
  </si>
  <si>
    <t>T1166-G08-CIE</t>
  </si>
  <si>
    <t>7.11. Experimentación con los procesos químicos y mecánicos que intervienen en la digestión.</t>
  </si>
  <si>
    <t>Simular digestión mecánica y química: función del sistema digestivo</t>
  </si>
  <si>
    <t>Razonar: simular y concluir</t>
  </si>
  <si>
    <t>Simulación de digestión química y mecánica</t>
  </si>
  <si>
    <t>T1167-G08-CIE</t>
  </si>
  <si>
    <t>7.12. Modelaje de la ingestión y la digestión en diferentes grupos de vertebrados.</t>
  </si>
  <si>
    <t>Comparar ingestión y digestión en vertebrados</t>
  </si>
  <si>
    <t>Modelos comparativos de digestión en vertebrados</t>
  </si>
  <si>
    <t>T1168-G08-CIE</t>
  </si>
  <si>
    <t>Estructuras y sistemas excretores</t>
  </si>
  <si>
    <t>7.13. Indagación de los procesos generales que realizan los sistemas excretores.</t>
  </si>
  <si>
    <t>Sistemas excretores y osmorregulación: órganos y homeostasis</t>
  </si>
  <si>
    <t>Procesos generales de sistemas excretores</t>
  </si>
  <si>
    <t>T1169-G08-CIE</t>
  </si>
  <si>
    <t>7.14. Experimentación de la función renal.</t>
  </si>
  <si>
    <t>Función renal: órgano excretor y mantenimiento de condiciones estables</t>
  </si>
  <si>
    <t>Simulación de la función renal y sus limitaciones</t>
  </si>
  <si>
    <t>T1170-G08-CIE</t>
  </si>
  <si>
    <t>7.15. Reconocimiento de los diferentes mecanismos de excreción en animales.</t>
  </si>
  <si>
    <t>Mecanismos de excreción en animales: órganos y sistemas</t>
  </si>
  <si>
    <t>Mecanismos de excreción en animales</t>
  </si>
  <si>
    <t>T1171-G09-CIE</t>
  </si>
  <si>
    <t>Matriz_Ciencias_9no_Grado_U1_U7.xlsx</t>
  </si>
  <si>
    <t>Unidad 1 - Mecánica de fluidos</t>
  </si>
  <si>
    <t>Principio de Arquímedes</t>
  </si>
  <si>
    <t>1.1. Determinación experimental de las propiedades de un fluido que ejerce empuje sobre un objeto.</t>
  </si>
  <si>
    <t>PISA</t>
  </si>
  <si>
    <t>Empuje y densidad medidos experimentalmente en dos fluidos</t>
  </si>
  <si>
    <t>Empuje como fuerza de un fluido; mide densidades de dos fluidos.</t>
  </si>
  <si>
    <t>T1172-G09-CIE</t>
  </si>
  <si>
    <t>1.2. Cálculo experimental del peso aparente de un objeto sumergido en un líquido a partir del empuje.</t>
  </si>
  <si>
    <t>Peso aparente por empuje, con diagrama de fuerzas</t>
  </si>
  <si>
    <t>Peso aparente con diagrama de cuerpo libre y fuerzas.</t>
  </si>
  <si>
    <t>T1173-G09-CIE</t>
  </si>
  <si>
    <t>1.3. Presentación de resultados experimentales considerando el error de la medida.</t>
  </si>
  <si>
    <t>Foco en error de medida e informe de laboratorio</t>
  </si>
  <si>
    <t>Aplicar: presentar resultados</t>
  </si>
  <si>
    <t>PISA-PR3; PISA-PR5;</t>
  </si>
  <si>
    <t>Foco en presentar resultados con error de medida; contexto empuje.</t>
  </si>
  <si>
    <t>T1174-G09-CIE</t>
  </si>
  <si>
    <t>Principio de Pascal</t>
  </si>
  <si>
    <t>1.4. Elaboración de una prensa hidráulica para la comprobación experimental del principio de Pascal.</t>
  </si>
  <si>
    <t>Principio de Pascal: presión y prensa hidráulica</t>
  </si>
  <si>
    <t>Principio de Pascal: transmisión de presión en una prensa construida.</t>
  </si>
  <si>
    <t>T1175-G09-CIE</t>
  </si>
  <si>
    <t>1.5. Experimentación con el principio de multiplicación de fuerzas en una prensa hidráulica.</t>
  </si>
  <si>
    <t>Multiplicación de fuerzas según áreas: presión como fuerza sobre área</t>
  </si>
  <si>
    <t>Multiplicación de fuerzas según áreas de pistones, tabla de datos.</t>
  </si>
  <si>
    <t>T1176-G09-CIE</t>
  </si>
  <si>
    <t>Teorema fundamental de la hidrostática</t>
  </si>
  <si>
    <t>1.6. Resolución de problemas empleando las leyes de la hidrostática.</t>
  </si>
  <si>
    <t>Hidrostática: presión según profundidad y densidad</t>
  </si>
  <si>
    <t>Presión hidrostática según profundidad y densidad del líquido.</t>
  </si>
  <si>
    <t>T1177-G09-CIE</t>
  </si>
  <si>
    <t>Principio de Bernoulli</t>
  </si>
  <si>
    <t>1.7. Relación entre presión y rapidez en un fluido ideal en movimiento a partir de análisis de casos.</t>
  </si>
  <si>
    <t>Bernoulli: presión en fluidos en movimiento, más allá de TIMSS</t>
  </si>
  <si>
    <t>Aplicar: relacionar. Razonar: analizar</t>
  </si>
  <si>
    <t>Relación presión-rapidez en fluidos en movimiento.</t>
  </si>
  <si>
    <t>T1178-G09-CIE</t>
  </si>
  <si>
    <t>Teorema de Torricelli</t>
  </si>
  <si>
    <t>1.8. Comprobación experimental del teorema de Torricelli empleando líquidos en recipientes perforados.</t>
  </si>
  <si>
    <t>Torricelli: presión y salida de líquido, con registro experimental</t>
  </si>
  <si>
    <t>Rapidez de salida del líquido según altura; mide alcance.</t>
  </si>
  <si>
    <t>T1179-G09-CIE</t>
  </si>
  <si>
    <t>1.9 Cálculo de la rapidez de salida de un líquido por un orificio a partir del teorema de Torricelli.</t>
  </si>
  <si>
    <t>Rapidez de salida por presión hidrostática; nivel superior a TIMSS</t>
  </si>
  <si>
    <t>PISA-PR4;</t>
  </si>
  <si>
    <t>Rapidez de salida por Torricelli comparada con la medición.</t>
  </si>
  <si>
    <t>T1180-G09-CIE</t>
  </si>
  <si>
    <t>Ley de Stokes</t>
  </si>
  <si>
    <t>1.10. Medición de magnitudes físicas que permitan calcular la viscosidad de un fluido.</t>
  </si>
  <si>
    <t>Viscosidad: efecto de fricción del fluido sobre la caída</t>
  </si>
  <si>
    <t>Aplicar: medir</t>
  </si>
  <si>
    <t>Foco en medir magnitudes para calcular viscosidad del fluido.</t>
  </si>
  <si>
    <t>T1181-G09-CIE</t>
  </si>
  <si>
    <t>1.11. Comprobación experimental de la ley de Stokes.</t>
  </si>
  <si>
    <t>Ley de Stokes: fricción del fluido, comparación experimental-teórica</t>
  </si>
  <si>
    <t>Razonar: comparar teoría y experimento</t>
  </si>
  <si>
    <t>Fricción viscosa: contrasta datos experimentales con el modelo de Stokes.</t>
  </si>
  <si>
    <t>T1182-G09-CIE</t>
  </si>
  <si>
    <t>1.12. Resolución de problemas teóricos sobre hidrodinámica.</t>
  </si>
  <si>
    <t>Hidrodinámica general; encaje parcial con presión y fuerzas</t>
  </si>
  <si>
    <t>Problemas de hidrodinámica: movimiento de fluidos.</t>
  </si>
  <si>
    <t>T1183-G09-CIE</t>
  </si>
  <si>
    <t>Cambios de temperatura y fase</t>
  </si>
  <si>
    <t>2.1. Experimentación con cambios de fase en sustancias puras.</t>
  </si>
  <si>
    <t>Cambios de fase observados en sustancias puras</t>
  </si>
  <si>
    <t>Conocer: distinguir</t>
  </si>
  <si>
    <t>Cambios de estado en sustancias puras observados experimentalmente.</t>
  </si>
  <si>
    <t>T1184-G09-CIE</t>
  </si>
  <si>
    <t>2.2. Elaboración de un gráfico de temperatura versus tiempo de una sustancia a partir de datos experimentales.</t>
  </si>
  <si>
    <t>Curva de calentamiento construida e interpretada con datos</t>
  </si>
  <si>
    <t>Gráfica temperatura-tiempo: energía transferida y cambios de fase.</t>
  </si>
  <si>
    <t>T1185-G09-CIE</t>
  </si>
  <si>
    <t>2.3. Cálculo del calor latente y del calor específico a partir de un gráfico de calentamiento.</t>
  </si>
  <si>
    <t>Calor latente y específico calculados desde curva de calentamiento</t>
  </si>
  <si>
    <t>Calor latente y específico calculados desde gráfica de calentamiento.</t>
  </si>
  <si>
    <t>T1186-G09-CIE</t>
  </si>
  <si>
    <t>Procesos termodinámicos</t>
  </si>
  <si>
    <t>2.4. Experimentación con procesos termodinámicos en un gas ideal.</t>
  </si>
  <si>
    <t>Gas ideal: presión, volumen y temperatura en procesos</t>
  </si>
  <si>
    <t>Aplicar: experimentar y clasificar</t>
  </si>
  <si>
    <t>Procesos en gas ideal: comportamiento de partículas y energía.</t>
  </si>
  <si>
    <t>T1187-G09-CIE</t>
  </si>
  <si>
    <t>2.5. Resolución de problemas a partir de gráficas de procesos termodinámicos.</t>
  </si>
  <si>
    <t>Gráficas P-V de gases; trabajo y energía</t>
  </si>
  <si>
    <t>Aplicar: resolver problemas con gráficas</t>
  </si>
  <si>
    <t>Gráficas P-V y energía en procesos termodinámicos.</t>
  </si>
  <si>
    <t>T1188-G09-CIE</t>
  </si>
  <si>
    <t>Ley Cero de la Termodinámica</t>
  </si>
  <si>
    <t>2.6. Indagación del concepto de equilibrio térmico entre dos cuerpos.</t>
  </si>
  <si>
    <t>Equilibrio térmico entre cuerpos: transferencia de calor</t>
  </si>
  <si>
    <t>Equilibrio térmico: transferencia de calor entre cuerpos.</t>
  </si>
  <si>
    <t>T1189-G09-CIE</t>
  </si>
  <si>
    <t>2.7. Elaboración de dispositivos que transformen el calor en trabajo mecánico.</t>
  </si>
  <si>
    <t>Dispositivo que transforma calor en trabajo mecánico</t>
  </si>
  <si>
    <t>Dispositivo que transforma calor en trabajo mecánico.</t>
  </si>
  <si>
    <t>T1190-G09-CIE</t>
  </si>
  <si>
    <t>2.8. Resolución de problemas empleando la Primera ley de la termodinámica.</t>
  </si>
  <si>
    <t>Primera ley: conservación de la energía en sistema cerrado</t>
  </si>
  <si>
    <t>Primera ley: conservación de la energía en sistemas cerrados.</t>
  </si>
  <si>
    <t>T1191-G09-CIE</t>
  </si>
  <si>
    <t>Segunda ley de la termodinámica</t>
  </si>
  <si>
    <t>2.9. Experimentación con un proceso irreversible de extracción de calor por medio de trabajo mecánico.</t>
  </si>
  <si>
    <t>Refrigeración: extracción de calor mediante trabajo</t>
  </si>
  <si>
    <t>Proceso irreversible en ciclo de refrigeración; disipación de energía.</t>
  </si>
  <si>
    <t>T1192-G09-CIE</t>
  </si>
  <si>
    <t>2.10. Resolución de problemas acerca de la máxima eficiencia posible en una reversión parcial con máquinas térmicas.</t>
  </si>
  <si>
    <t>Eficiencia de máquinas térmicas: transformaciones de energía</t>
  </si>
  <si>
    <t>Aplicar: resolver problemas. Razonar: justificar</t>
  </si>
  <si>
    <t>Eficiencia máxima de máquinas térmicas; disipación de energía.</t>
  </si>
  <si>
    <t>T1193-G09-CIE</t>
  </si>
  <si>
    <t>Unidad 3 - Equilibrio químico</t>
  </si>
  <si>
    <t>Introducción al equilibrio químico</t>
  </si>
  <si>
    <t>3.1. Indagación del concepto de equilibrio químico.</t>
  </si>
  <si>
    <t>Equilibrio químico ligado a rapidez de reacción; supera TIMSS</t>
  </si>
  <si>
    <t>Conocer: definir. Aplicar: usar modelos</t>
  </si>
  <si>
    <t>Equilibrio químico en reacciones reversibles explicado con modelo.</t>
  </si>
  <si>
    <t>T1194-G09-CIE</t>
  </si>
  <si>
    <t>3.2. Identificación experimental de los factores que afecta la rapidez de reacción.</t>
  </si>
  <si>
    <t>Factores de rapidez de reacción identificados experimentalmente</t>
  </si>
  <si>
    <t>Factores de rapidez de reacción variando uno por vez.</t>
  </si>
  <si>
    <t>T1195-G09-CIE</t>
  </si>
  <si>
    <t>3.3. Identificación del tipo de equilibrio químico y la expresión de la constante de equilibrio en una reacción.</t>
  </si>
  <si>
    <t>Constante de equilibrio no está en TIMSS 8.°</t>
  </si>
  <si>
    <t>Tipos de equilibrio y expresión de la constante Kc.</t>
  </si>
  <si>
    <t>T1196-G09-CIE</t>
  </si>
  <si>
    <t>Constante de equilibrio y su interpretación</t>
  </si>
  <si>
    <t>3.4. Identificación experimental de los factores que afecta el equilibrio químico.</t>
  </si>
  <si>
    <t>Factores del equilibrio, evidenciados por cambios de color</t>
  </si>
  <si>
    <t>Factores que desplazan el equilibrio observados por cambios de color.</t>
  </si>
  <si>
    <t>T1197-G09-CIE</t>
  </si>
  <si>
    <t>3.5. Predicción del desplazamiento de la reacción aplicando el principio de Le Châtelier.</t>
  </si>
  <si>
    <t>Le Châtelier: efecto de concentración y temperatura en reacciones</t>
  </si>
  <si>
    <t>Predice desplazamiento del equilibrio con Le Châtelier.</t>
  </si>
  <si>
    <t>T1198-G09-CIE</t>
  </si>
  <si>
    <t>3.6. Representación de la constante de equilibrio a partir de ecuaciones de reacción química.</t>
  </si>
  <si>
    <t>Expresión de Kc; contenido ausente en TIMSS 8.°</t>
  </si>
  <si>
    <t>Aplicar: representar e interpretar</t>
  </si>
  <si>
    <t>Representa constantes de equilibrio desde ecuaciones químicas.</t>
  </si>
  <si>
    <t>T1199-G09-CIE</t>
  </si>
  <si>
    <t>3.7. Resolución de problemas de determinación de la constante de equilibrio químico de una reacción.</t>
  </si>
  <si>
    <t>Cálculo de Kc; contenido ausente en TIMSS 8.°</t>
  </si>
  <si>
    <t>Cálculo de la constante de equilibrio de una reacción.</t>
  </si>
  <si>
    <t>T1200-G09-CIE</t>
  </si>
  <si>
    <t>Equilibrio ácido base</t>
  </si>
  <si>
    <t>3.8. Indagación del concepto y las características de ácidos y bases.</t>
  </si>
  <si>
    <t>Características de ácidos y bases cotidianos</t>
  </si>
  <si>
    <t>Aplicar: distinguir</t>
  </si>
  <si>
    <t>Propiedades de ácidos y bases en sustancias cotidianas.</t>
  </si>
  <si>
    <t>T1201-G09-CIE</t>
  </si>
  <si>
    <t>3.9. Identificación de ácidos y bases según las teorías de Arrhenius, Bronsted-Lowry y Lewis.</t>
  </si>
  <si>
    <t>Teorías ácido-base; nivel superior a TIMSS</t>
  </si>
  <si>
    <t>Aplicar: comparar modelos</t>
  </si>
  <si>
    <t>PISA-EP1;</t>
  </si>
  <si>
    <t>Ácidos y bases según tres teorías comparadas.</t>
  </si>
  <si>
    <t>T1202-G09-CIE</t>
  </si>
  <si>
    <t>3.10. Extracción de un indicador natural para la identificación cualitativa de ácidos y bases.</t>
  </si>
  <si>
    <t>Indicador natural y cambio de color con ácidos y bases</t>
  </si>
  <si>
    <t>Aplicar: extraer y usar indicadores</t>
  </si>
  <si>
    <t>Indicador natural para identificar cualitativamente ácidos y bases.</t>
  </si>
  <si>
    <t>T1203-G09-CIE</t>
  </si>
  <si>
    <t>3.11. Cálculo del valor del pH de una solución.</t>
  </si>
  <si>
    <t>Escala de pH de ácidos y bases</t>
  </si>
  <si>
    <t>Cálculo del pH de soluciones.</t>
  </si>
  <si>
    <t>T1204-G09-CIE</t>
  </si>
  <si>
    <t>3.12. Clasificación de soluciones en neutras, ácidas y básicas.</t>
  </si>
  <si>
    <t>Clasificación de soluciones por pH</t>
  </si>
  <si>
    <t>Clasifica soluciones cotidianas por su pH.</t>
  </si>
  <si>
    <t>T1205-G09-CIE</t>
  </si>
  <si>
    <t>3.13. Reconocimiento de ácidos y bases fuertes y débiles de acuerdo con su disociación en agua.</t>
  </si>
  <si>
    <t>Ácidos y bases fuertes y débiles por disociación</t>
  </si>
  <si>
    <t>Ácidos y bases fuertes o débiles según disociación.</t>
  </si>
  <si>
    <t>T1206-G09-CIE</t>
  </si>
  <si>
    <t>3.14. Expresión de las constantes de ionización de ácidos y bases.</t>
  </si>
  <si>
    <t>Constantes Ka y Kb; nivel superior a TIMSS</t>
  </si>
  <si>
    <t>Expresiones de constantes de ionización Ka y Kb.</t>
  </si>
  <si>
    <t>T1207-G09-CIE</t>
  </si>
  <si>
    <t>3.15. Análisis de la función de las soluciones buffer.</t>
  </si>
  <si>
    <t>Soluciones buffer y control del pH</t>
  </si>
  <si>
    <t>Función amortiguadora de las soluciones buffer.</t>
  </si>
  <si>
    <t>T1208-G09-CIE</t>
  </si>
  <si>
    <t>3.16. Comprobación experimental del efecto amortiguador de pH de las soluciones buffer.</t>
  </si>
  <si>
    <t>Efecto amortiguador del pH comprobado experimentalmente</t>
  </si>
  <si>
    <t>Compara cambio de pH en agua y en buffer.</t>
  </si>
  <si>
    <t>T1209-G09-CIE</t>
  </si>
  <si>
    <t>3.17. Reconocimiento de aplicaciones y ocurrencia natural de las soluciones buffer.</t>
  </si>
  <si>
    <t>Aplicaciones de soluciones buffer</t>
  </si>
  <si>
    <t>Aplicaciones y ocurrencia natural de buffers, como la sangre.</t>
  </si>
  <si>
    <t>T1210-G09-CIE</t>
  </si>
  <si>
    <t>3.18. Aplicación experimental del principio de Le Châtelier en el equilibrio ácido base.</t>
  </si>
  <si>
    <t>Le Châtelier aplicado a equilibrio ácido-base</t>
  </si>
  <si>
    <t>Aplicar: aplicar principios</t>
  </si>
  <si>
    <t>Le Châtelier aplicado experimentalmente al equilibrio ácido-base.</t>
  </si>
  <si>
    <t>T1211-G09-CIE</t>
  </si>
  <si>
    <t>3.19. Detección del punto de equivalencia a partir de un experimento de titulación ácido-base.</t>
  </si>
  <si>
    <t>Titulación: neutralización, indicador y uso de equipo</t>
  </si>
  <si>
    <t>Aplicar: experimentar y calcular</t>
  </si>
  <si>
    <t>Titulación ácido-base y punto de equivalencia en curva.</t>
  </si>
  <si>
    <t>T1212-G09-CIE</t>
  </si>
  <si>
    <t>Manejo seguro de ácidos y bases según sus propiedades</t>
  </si>
  <si>
    <t>Manejo seguro de ácidos y bases según sus propiedades.</t>
  </si>
  <si>
    <t>T1213-G09-CIE</t>
  </si>
  <si>
    <t>Unidad 4 - Oceanografía</t>
  </si>
  <si>
    <t>Introducción al estudio de mares y océanos</t>
  </si>
  <si>
    <t>4.1. Indagación de la importancia de los mares y los océanos para la sociedad y la naturaleza.</t>
  </si>
  <si>
    <t>Océanos como recurso para sociedad y naturaleza</t>
  </si>
  <si>
    <t>Importancia del océano para sociedad y naturaleza.</t>
  </si>
  <si>
    <t>T1214-G09-CIE</t>
  </si>
  <si>
    <t>4.2. Exploración de las características y las propiedades físicas y químicas de los océanos.</t>
  </si>
  <si>
    <t>Propiedades del agua oceánica: salada, distribución</t>
  </si>
  <si>
    <t>Propiedades físicas y químicas del agua oceánica.</t>
  </si>
  <si>
    <t>T1215-G09-CIE</t>
  </si>
  <si>
    <t>4.3. Descripción de la topografía y la zonificación del ambiente marino.</t>
  </si>
  <si>
    <t>Topografía y zonas marinas; encaje débil con estructura terrestre</t>
  </si>
  <si>
    <t>Topografía y zonificación del ambiente marino en maqueta.</t>
  </si>
  <si>
    <t>T1216-G09-CIE</t>
  </si>
  <si>
    <t>Oceanografía física</t>
  </si>
  <si>
    <t>4.4. Observación experimental de la incidencia del viento y del calor sobre una masa de agua.</t>
  </si>
  <si>
    <t>Interacción océano-atmósfera por viento y calor</t>
  </si>
  <si>
    <t>Efecto del viento y el calor sobre masas de agua.</t>
  </si>
  <si>
    <t>T1217-G09-CIE</t>
  </si>
  <si>
    <t>4.5. Explicación de la influencia de la energía solar y del viento en las corrientes oceánicas.</t>
  </si>
  <si>
    <t>Corrientes por energía solar y viento; vínculo con clima</t>
  </si>
  <si>
    <t>Energía solar y viento como causas de corrientes oceánicas.</t>
  </si>
  <si>
    <t>T1218-G09-CIE</t>
  </si>
  <si>
    <t>4.6. Identificación experimental de las magnitudes físicas que influyen en las corrientes oceánicas profundas.</t>
  </si>
  <si>
    <t>Corrientes profundas por diferencias de densidad y temperatura</t>
  </si>
  <si>
    <t>Corrientes profundas por densidad, con variables controladas.</t>
  </si>
  <si>
    <r>
      <rPr>
        <sz val="10"/>
        <color indexed="8"/>
        <rFont val="Arial"/>
      </rPr>
      <t>E1; E3; E1; D3; E1</t>
    </r>
  </si>
  <si>
    <t>T1219-G09-CIE</t>
  </si>
  <si>
    <t>4.7. Representación de la configuración actual de las corrientes oceánicas superficiales.</t>
  </si>
  <si>
    <t>Mapa de corrientes superficiales; relación indirecta con clima</t>
  </si>
  <si>
    <t>Mapa de las corrientes oceánicas superficiales del planeta.</t>
  </si>
  <si>
    <t>T1220-G09-CIE</t>
  </si>
  <si>
    <t>4.8. Indagación del fenómeno de oleaje.</t>
  </si>
  <si>
    <t>Oleaje como transferencia de energía; sin objetivo específico</t>
  </si>
  <si>
    <t>Definición del oleaje en la hidrosfera.</t>
  </si>
  <si>
    <r>
      <rPr>
        <sz val="10"/>
        <color indexed="8"/>
        <rFont val="Arial"/>
      </rPr>
      <t>E6; D1; E1; D4; E1</t>
    </r>
  </si>
  <si>
    <t>T1221-G09-CIE</t>
  </si>
  <si>
    <t>4.9. Experimentación con los procesos asociados a la generación y la propagación de olas.</t>
  </si>
  <si>
    <t>Generación y propagación de olas; energía del viento</t>
  </si>
  <si>
    <t>Generación y propagación de olas en un modelo físico.</t>
  </si>
  <si>
    <t>T1222-G09-CIE</t>
  </si>
  <si>
    <t>4.10. Explicación del fenómeno de las mareas en el planeta Tierra.</t>
  </si>
  <si>
    <t>Mareas causadas por la Luna</t>
  </si>
  <si>
    <t>T8-T4.1</t>
  </si>
  <si>
    <t>Mareas por atracción gravitatoria Luna-Sol, explicadas con modelo.</t>
  </si>
  <si>
    <t>T1223-G09-CIE</t>
  </si>
  <si>
    <t>Oceanografía geológica</t>
  </si>
  <si>
    <t>4.11. Indagación del fenómeno de sedimentación marina a partir de modelos.</t>
  </si>
  <si>
    <t>Sedimentación marina dentro del ciclo de las rocas</t>
  </si>
  <si>
    <t>Sedimentación marina explicada mediante un modelo.</t>
  </si>
  <si>
    <t>T1224-G09-CIE</t>
  </si>
  <si>
    <t>4.12. Representación de los procesos que intervienen en la dinámica costera.</t>
  </si>
  <si>
    <t>Procesos costeros que cambian la superficie terrestre</t>
  </si>
  <si>
    <t>Erosión y sedimentación en la dinámica costera.</t>
  </si>
  <si>
    <t>T1225-G09-CIE</t>
  </si>
  <si>
    <t>Biología marina</t>
  </si>
  <si>
    <t>4.13. Caracterización de los ecosistemas marino-costeros.</t>
  </si>
  <si>
    <t>Rasgos y organismos de ecosistemas marino-costeros</t>
  </si>
  <si>
    <t>Conocer: caracterizar</t>
  </si>
  <si>
    <t>Ecosistemas marino-costeros de El Salvador.</t>
  </si>
  <si>
    <t>T1226-G09-CIE</t>
  </si>
  <si>
    <t>4.14. Demostración experimental de las variables que influyen en la estratificación vertical del ambiente marino.</t>
  </si>
  <si>
    <t>Estratificación por densidad y temperatura; encaje débil</t>
  </si>
  <si>
    <t>Aplicar: demostrar</t>
  </si>
  <si>
    <t>Estratificación vertical por temperatura, salinidad y luz.</t>
  </si>
  <si>
    <t>T1227-G09-CIE</t>
  </si>
  <si>
    <t>4.15. Descripción de la estructura y dinámica de los ecosistemas marinos.</t>
  </si>
  <si>
    <t>Red trófica y estructura de ecosistema marino</t>
  </si>
  <si>
    <t>Red trófica y dinámica de un ecosistema marino salvadoreño.</t>
  </si>
  <si>
    <t>T1228-G09-CIE</t>
  </si>
  <si>
    <t>4.16. Interpretación de la problemática ambiental oceánica.</t>
  </si>
  <si>
    <t>Contaminación e impacto humano en océanos</t>
  </si>
  <si>
    <t>PISA-EP8;</t>
  </si>
  <si>
    <t>Argumenta causas de la problemática ambiental oceánica.</t>
  </si>
  <si>
    <t>T1229-G09-CIE</t>
  </si>
  <si>
    <t>Unidad 5 - Geología de El Salva</t>
  </si>
  <si>
    <t>Introducción a la geología de El Salvador</t>
  </si>
  <si>
    <t>5.1. Indagación de las características físicas y clasificación de las rocas.</t>
  </si>
  <si>
    <t>Clasificación de rocas vinculada al ciclo de las rocas</t>
  </si>
  <si>
    <t>Clasificación de rocas por características físicas.</t>
  </si>
  <si>
    <t>T1230-G09-CIE</t>
  </si>
  <si>
    <t>5.2. Identificación de los tipos de rocas y su distribución en el territorio de El Salvador.</t>
  </si>
  <si>
    <t>Tipos de rocas y formaciones geológicas del país</t>
  </si>
  <si>
    <t>Tipos de roca y su distribución en El Salvador.</t>
  </si>
  <si>
    <t>T1231-G09-CIE</t>
  </si>
  <si>
    <t>Factores que alteran la geomorfología de El Salvador</t>
  </si>
  <si>
    <t>5.3. Reconocimiento de los principales rasgos geomorfológicos del país.</t>
  </si>
  <si>
    <t>Relieve formado por procesos geológicos</t>
  </si>
  <si>
    <t>Rasgos geomorfológicos del país y factores que los forman.</t>
  </si>
  <si>
    <t>T1232-G09-CIE</t>
  </si>
  <si>
    <t>Vulcanología</t>
  </si>
  <si>
    <t>5.4. Indagación de las diferentes estructuras volcánicas a partir de casos específicos de El Salvador.</t>
  </si>
  <si>
    <t>Estructuras volcánicas: volcanes como proceso geológico</t>
  </si>
  <si>
    <t>Estructuras volcánicas con casos de El Salvador.</t>
  </si>
  <si>
    <t>T1233-G09-CIE</t>
  </si>
  <si>
    <t>5.5. Reconocimiento de las causas del fenómeno volcánico en El Salvador.</t>
  </si>
  <si>
    <t>Vulcanismo por subducción de placas tectónicas</t>
  </si>
  <si>
    <t>Subducción como causa del vulcanismo salvadoreño, con modelo.</t>
  </si>
  <si>
    <t>T1234-G09-CIE</t>
  </si>
  <si>
    <t>5.6. Exploración de la escala del fenómeno volcánico en el sistema solar.</t>
  </si>
  <si>
    <t>Vulcanismo comparado en planetas del sistema solar</t>
  </si>
  <si>
    <t>Aplicar: comparar escalas</t>
  </si>
  <si>
    <t>Escala del vulcanismo en cuerpos del sistema solar.</t>
  </si>
  <si>
    <t>T1235-G09-CIE</t>
  </si>
  <si>
    <t>5.7. Reconocimiento de la actividad volcánica salvadoreña a partir del historial eruptivo y los volcanes activos.</t>
  </si>
  <si>
    <t>Actividad volcánica salvadoreña: proceso geológico</t>
  </si>
  <si>
    <t>Historial eruptivo y volcanes activos de El Salvador.</t>
  </si>
  <si>
    <t>T1236-G09-CIE</t>
  </si>
  <si>
    <t>Sismología</t>
  </si>
  <si>
    <t>5.8. Identificación de los principales parámetros de un sismo a partir del historial sísmico de El Salvador.</t>
  </si>
  <si>
    <t>Parámetros de sismos a partir del historial</t>
  </si>
  <si>
    <t>Aplicar: analizar datos</t>
  </si>
  <si>
    <t>Parámetros de sismos y escalas desde el historial sísmico nacional.</t>
  </si>
  <si>
    <t>T1237-G09-CIE</t>
  </si>
  <si>
    <t>5.9. Simulación del comportamiento de las ondas sísmicas.</t>
  </si>
  <si>
    <t>Ondas sísmicas P y S y estructura interna</t>
  </si>
  <si>
    <t>Aplicar: simular. Razonar: comparar</t>
  </si>
  <si>
    <t>Comportamiento de ondas sísmicas P y S con simulador.</t>
  </si>
  <si>
    <t>T1238-G09-CIE</t>
  </si>
  <si>
    <t>5.10. Identificación de fallas geológicas y zonas sísmicas de El Salvador.</t>
  </si>
  <si>
    <t>Fallas y zonas sísmicas: tectónica de placas</t>
  </si>
  <si>
    <t>Aplicar: interpretar mapas. Razonar: argumentar</t>
  </si>
  <si>
    <t>Fallas geológicas y zonas sísmicas del país con análisis de riesgo.</t>
  </si>
  <si>
    <t>T1239-G09-CIE</t>
  </si>
  <si>
    <t>Sistemas de alerta ante riesgos geológicos</t>
  </si>
  <si>
    <t>5.11. Reconocimiento de los sistemas de alerta temprana ante fenómenos geológicos en El Salvador.</t>
  </si>
  <si>
    <t>Alerta temprana: gestión de riesgos sin contenido del marco</t>
  </si>
  <si>
    <t>Sistemas de alerta temprana ante sismos y volcanes en El Salvador.</t>
  </si>
  <si>
    <t>T1240-G09-CIE</t>
  </si>
  <si>
    <t>Unidad 6 - Electricidad</t>
  </si>
  <si>
    <t>Fundamentos de electricidad</t>
  </si>
  <si>
    <t>6.1. Demostración experimental de la carga eléctrica de los cuerpos.</t>
  </si>
  <si>
    <t>Carga electrostática; marco 2027 solo trata circuitos</t>
  </si>
  <si>
    <t>Carga eléctrica de los cuerpos con electroscopio.</t>
  </si>
  <si>
    <t>T1241-G09-CIE</t>
  </si>
  <si>
    <t>6.2. Experimentación con las características del campo y la fuerza eléctrica.</t>
  </si>
  <si>
    <t>Fuerza eléctrica con magnitud y dirección; electrostática fuera</t>
  </si>
  <si>
    <t>Fuerza eléctrica según distancia y líneas de campo.</t>
  </si>
  <si>
    <t>T1242-G09-CIE</t>
  </si>
  <si>
    <t>6.3. Cálculo de la fuerza eléctrica considerando cargas puntuales en una dimensión.</t>
  </si>
  <si>
    <t>Ley de Coulomb: fuerza entre cargas; no explícita</t>
  </si>
  <si>
    <t>Ley de Coulomb: fuerza electrostática entre cargas puntuales.</t>
  </si>
  <si>
    <t>T1243-G09-CIE</t>
  </si>
  <si>
    <t>Dispositivos electrónicos</t>
  </si>
  <si>
    <t>6.4. Reconocimiento de componentes electrónicos presentes en una placa madre.</t>
  </si>
  <si>
    <t>Componentes de placa madre: electrónica</t>
  </si>
  <si>
    <t>Reconocer componentes de placa madre es tecnología, sin contenido PISA.</t>
  </si>
  <si>
    <t>T1244-G09-CIE</t>
  </si>
  <si>
    <t>6.5. Construcción de un circuito eléctrico funcional que incluya diversos componentes electrónicos.</t>
  </si>
  <si>
    <t>Circuito eléctrico funcional con componentes</t>
  </si>
  <si>
    <t>Circuito funcional: transferencia de energía eléctrica entre componentes.</t>
  </si>
  <si>
    <t>T1245-G09-CIE</t>
  </si>
  <si>
    <t>6.6. Explicación del funcionamiento de algunos componentes electrónicos.</t>
  </si>
  <si>
    <t>Funcionamiento de componentes de circuito</t>
  </si>
  <si>
    <t>Funcionamiento de componentes electrónicos; conducción eléctrica.</t>
  </si>
  <si>
    <t>T1246-G09-CIE</t>
  </si>
  <si>
    <t>Circuito eléctrico del hogar</t>
  </si>
  <si>
    <t>6.7. Esquematización de la configuración eléctrica del hogar.</t>
  </si>
  <si>
    <t>Instalación eléctrica del hogar: circuitos en paralelo</t>
  </si>
  <si>
    <t>Configuración eléctrica del hogar y transferencia de energía.</t>
  </si>
  <si>
    <t>T1247-G09-CIE</t>
  </si>
  <si>
    <t>6.8. Relación de las especificaciones de un dispositivo eléctrico con su funcionamiento.</t>
  </si>
  <si>
    <t>Especificaciones y consumo energético de dispositivos eléctricos</t>
  </si>
  <si>
    <t>Especificaciones y consumo energético de electrodomésticos.</t>
  </si>
  <si>
    <t>T1248-G09-CIE</t>
  </si>
  <si>
    <t>6.9. Reconocimiento de la utilidad de un rectificador de onda en los dispositivos eléctricos.</t>
  </si>
  <si>
    <t>Rectificador de onda: electrónica</t>
  </si>
  <si>
    <t>Rectificador de onda: electrónica aplicada, contenido físico débil.</t>
  </si>
  <si>
    <t>T1249-G09-CIE</t>
  </si>
  <si>
    <t>Circuitos integrados</t>
  </si>
  <si>
    <t>6.10. Identificación de las características generales de los circuitos integrados.</t>
  </si>
  <si>
    <t>Circuitos integrados: electrónica</t>
  </si>
  <si>
    <t>Aplicar: interpretar información técnica</t>
  </si>
  <si>
    <t>Características de circuitos integrados: tecnología electrónica.</t>
  </si>
  <si>
    <t>T1250-G09-CIE</t>
  </si>
  <si>
    <t>6.11. Construcción de un circuito eléctrico utilizando como componente principal un circuito integrado.</t>
  </si>
  <si>
    <t>Circuito con integrado: electrónica más que circuitos básicos</t>
  </si>
  <si>
    <t>Construcción de circuito con integrado: diseño tecnológico.</t>
  </si>
  <si>
    <t>T1251-G09-CIE</t>
  </si>
  <si>
    <t>Compuertas lógicas</t>
  </si>
  <si>
    <t>6.12. Elaboración de una tabla de verdad a partir de premisas y preguntas con condicionales.</t>
  </si>
  <si>
    <t>Tablas de verdad: lógica digital</t>
  </si>
  <si>
    <t>Aplicar: razonar con lógica</t>
  </si>
  <si>
    <t>Tablas de verdad: lógica, sin contenido científico.</t>
  </si>
  <si>
    <t>T1252-G09-CIE</t>
  </si>
  <si>
    <t>6.13. Construcción de circuitos utilizando compuertas lógicas.</t>
  </si>
  <si>
    <t>Compuertas lógicas: electrónica digital</t>
  </si>
  <si>
    <t>Compuertas lógicas: diseño electrónico digital.</t>
  </si>
  <si>
    <t>T1253-G09-CIE</t>
  </si>
  <si>
    <t>6.14. Programación de condicionales utilizando funciones lógicas en hojas de cálculo.</t>
  </si>
  <si>
    <t>Programación de condicionales en hoja de cálculo</t>
  </si>
  <si>
    <t>Aplicar: programar</t>
  </si>
  <si>
    <t>Programación de condicionales en hoja de cálculo.</t>
  </si>
  <si>
    <t>T1254-G09-CIE</t>
  </si>
  <si>
    <t>Unidad 7 - Magnetismo aplicado</t>
  </si>
  <si>
    <t>Magnetismo terrestre</t>
  </si>
  <si>
    <t>7.1. Reconocimiento de aplicaciones del campo magnético en fenómenos terrestres.</t>
  </si>
  <si>
    <t>Magnetismo terrestre registrado con brújula</t>
  </si>
  <si>
    <t>Campo magnético terrestre y sus aplicaciones geofísicas.</t>
  </si>
  <si>
    <t>T1255-G09-CIE</t>
  </si>
  <si>
    <t>7.2. Reconocimiento de aplicaciones del campo magnético para la exploración espacial.</t>
  </si>
  <si>
    <t>Aplicaciones magnéticas en exploración espacial; encaje indirecto</t>
  </si>
  <si>
    <t>Campo magnético aplicado a la exploración espacial.</t>
  </si>
  <si>
    <t>T1256-G09-CIE</t>
  </si>
  <si>
    <t>Tecnologías médicas</t>
  </si>
  <si>
    <t>7.3. Indagación de aplicaciones magnéticas en el diagnóstico y los tratamientos médicos.</t>
  </si>
  <si>
    <t>Usos de imanes y electroimanes en medicina</t>
  </si>
  <si>
    <t>Aplicaciones magnéticas en diagnóstico y tratamiento médico.</t>
  </si>
  <si>
    <r>
      <rPr>
        <sz val="10"/>
        <color indexed="8"/>
        <rFont val="Arial"/>
      </rPr>
      <t>E1; D1; E1; I1; I2</t>
    </r>
  </si>
  <si>
    <t>T1257-G09-CIE</t>
  </si>
  <si>
    <t>7.4. Explicación de los fenómenos magnéticos involucrados en equipos de uso médico.</t>
  </si>
  <si>
    <t>Fenómenos magnéticos en equipos médicos</t>
  </si>
  <si>
    <t>Fenómenos magnéticos entre equipo médico y cuerpo humano.</t>
  </si>
  <si>
    <t>T1258-G09-CIE</t>
  </si>
  <si>
    <t>Principio del motor</t>
  </si>
  <si>
    <t>7.5. Construcción de un motor de corriente directa.</t>
  </si>
  <si>
    <t>Motor DC: electroimán y circuito eléctrico</t>
  </si>
  <si>
    <t>Motor DC: fuerza magnética sobre corriente; construcción.</t>
  </si>
  <si>
    <t>T1259-G09-CIE</t>
  </si>
  <si>
    <t>7.6. Explicación del funcionamiento del motor de corriente directa.</t>
  </si>
  <si>
    <t>Motor: fuerzas magnéticas y transformación de energía</t>
  </si>
  <si>
    <t>Conocer: explicar. Razonar: predecir</t>
  </si>
  <si>
    <t>Funcionamiento del motor por fuerzas magnéticas.</t>
  </si>
  <si>
    <t>T1260-G09-CIE</t>
  </si>
  <si>
    <t>Motores eléctrico y de combustión: energía y fuentes</t>
  </si>
  <si>
    <t>Compara eficiencia e impacto de motor eléctrico y de combustión.</t>
  </si>
  <si>
    <t>T0163-G10-FÍS</t>
  </si>
  <si>
    <t>Matriz_Bachillerato_Fisica_10_11.xlsx</t>
  </si>
  <si>
    <t>Física 10.°</t>
  </si>
  <si>
    <t>1. La física como ciencia: ciclo de indagación</t>
  </si>
  <si>
    <t>La física y su método</t>
  </si>
  <si>
    <t>1.1. Identificación de los campos de estudio de la física en fenómenos cotidianos, tecnológicos y del entorno salvadoreño.</t>
  </si>
  <si>
    <t>Campos de estudio de la física; sin objetivo del marco</t>
  </si>
  <si>
    <t>Conocer: identificar ramas de la física. Razonar: distinguir evidencia de opinión</t>
  </si>
  <si>
    <r>
      <rPr>
        <sz val="10"/>
        <color indexed="8"/>
        <rFont val="Arial"/>
      </rPr>
      <t>E1; D1; E2; I2; E6</t>
    </r>
  </si>
  <si>
    <t>T0164-G10-FÍS</t>
  </si>
  <si>
    <t>1.2. Formulación de preguntas investigables e hipótesis comprobables sobre fenómenos físicos observables en el aula.</t>
  </si>
  <si>
    <t>Indagación: preguntas e hipótesis, método científico general</t>
  </si>
  <si>
    <t>Aplicar: formular hipótesis. Razonar: evaluar si una pregunta es investigable</t>
  </si>
  <si>
    <t>T0165-G10-FÍS</t>
  </si>
  <si>
    <t>Diseño experimental</t>
  </si>
  <si>
    <t>1.3. Diseño de un experimento justo con identificación y control de las variables independiente, dependiente y controladas.</t>
  </si>
  <si>
    <t>Diseño experimental y control de variables, método general</t>
  </si>
  <si>
    <t>Aplicar: identificar variables. Razonar: justificar el control de variables</t>
  </si>
  <si>
    <r>
      <rPr>
        <sz val="10"/>
        <color indexed="8"/>
        <rFont val="Arial"/>
      </rPr>
      <t>E1; E5; E2; D2; D3</t>
    </r>
  </si>
  <si>
    <t>T0166-G10-FÍS</t>
  </si>
  <si>
    <t>Análisis de datos</t>
  </si>
  <si>
    <t>1.4. Linealización de datos experimentales y cálculo de la pendiente y el intercepto de un ajuste lineal con interpretación física.</t>
  </si>
  <si>
    <t>Análisis de datos y linealización, habilidad metodológica general</t>
  </si>
  <si>
    <t>Aplicar: construir gráficas y calcular pendientes. Razonar: interpretar parámetros del ajuste</t>
  </si>
  <si>
    <t>T0167-G10-FÍS</t>
  </si>
  <si>
    <t>Modelos en física</t>
  </si>
  <si>
    <t>1.5. Análisis de modelos físicos idealizados y de las condiciones en que dejan de describir adecuadamente un fenómeno.</t>
  </si>
  <si>
    <t>Modelos idealizados y validez; naturaleza de la ciencia</t>
  </si>
  <si>
    <t>Razonar: evaluar modelos. Aplicar: comparar predicciones con datos</t>
  </si>
  <si>
    <r>
      <rPr>
        <sz val="10"/>
        <color indexed="8"/>
        <rFont val="Arial"/>
      </rPr>
      <t>E6; E5; E4; D4; I4</t>
    </r>
  </si>
  <si>
    <t>T0168-G10-FÍS</t>
  </si>
  <si>
    <t>Comunicación científica</t>
  </si>
  <si>
    <t>1.6. Elaboración de un informe de laboratorio de física y revisión entre pares con criterios explícitos.</t>
  </si>
  <si>
    <t>Comunicación científica e informe de laboratorio</t>
  </si>
  <si>
    <t>Razonar: argumentar con evidencia. Aplicar: estructurar un informe</t>
  </si>
  <si>
    <r>
      <rPr>
        <sz val="10"/>
        <color indexed="8"/>
        <rFont val="Arial"/>
      </rPr>
      <t>E1; D1; E2; I3; I4</t>
    </r>
  </si>
  <si>
    <t>T0169-G10-FÍS</t>
  </si>
  <si>
    <t>2. Unidades y conceptos matemáticos en la física</t>
  </si>
  <si>
    <t>Magnitudes y unidades en la física</t>
  </si>
  <si>
    <t>2.1. Análisis dimensional de ecuaciones físicas a partir de las magnitudes fundamentales de la mecánica.</t>
  </si>
  <si>
    <t>Análisis dimensional, excluido del marco</t>
  </si>
  <si>
    <t>Aplicar: expresar dimensiones. Razonar: evaluar la coherencia de ecuaciones</t>
  </si>
  <si>
    <r>
      <rPr>
        <sz val="10"/>
        <color indexed="8"/>
        <rFont val="Arial"/>
      </rPr>
      <t>E1; E3; E2; E4; I5</t>
    </r>
  </si>
  <si>
    <t>T0170-G10-FÍS</t>
  </si>
  <si>
    <t>2.2. Resolución de problemas en contexto mediante conversiones encadenadas de unidades con factores unitarios.</t>
  </si>
  <si>
    <t>Conversiones de unidades, excluido del marco</t>
  </si>
  <si>
    <t>Aplicar: convertir unidades. Razonar: verificar la plausibilidad de resultados</t>
  </si>
  <si>
    <r>
      <rPr>
        <sz val="10"/>
        <color indexed="8"/>
        <rFont val="Arial"/>
      </rPr>
      <t>E6; D1; E1; I3; E3</t>
    </r>
  </si>
  <si>
    <t>T0171-G10-FÍS</t>
  </si>
  <si>
    <t>Herramientas matemáticas</t>
  </si>
  <si>
    <t>2.3. Aplicación de las razones trigonométricas y sus inversas en la resolución de problemas físicos con triángulos rectángulos.</t>
  </si>
  <si>
    <t>Trigonometría como herramienta matemática</t>
  </si>
  <si>
    <t>Aplicar: calcular con razones trigonométricas. Razonar: evaluar un procedimiento de medición</t>
  </si>
  <si>
    <r>
      <rPr>
        <sz val="10"/>
        <color indexed="8"/>
        <rFont val="Arial"/>
      </rPr>
      <t>E1; D1; E2; D2; D3</t>
    </r>
  </si>
  <si>
    <t>T0172-G10-FÍS</t>
  </si>
  <si>
    <t>2.4. Representación de magnitudes vectoriales con notación polar y rumbos geográficos en situaciones de navegación.</t>
  </si>
  <si>
    <t>Vectores como herramienta matemática pura</t>
  </si>
  <si>
    <t>Conocer: diferenciar escalares y vectores. Aplicar: representar vectores a escala</t>
  </si>
  <si>
    <r>
      <rPr>
        <sz val="10"/>
        <color indexed="8"/>
        <rFont val="Arial"/>
      </rPr>
      <t>E1; E3; E2; I1; E3</t>
    </r>
  </si>
  <si>
    <t>T0173-G10-FÍS</t>
  </si>
  <si>
    <t>2.5. Suma y resta de vectores con ángulos arbitrarios por métodos gráficos y mediante las leyes del seno y del coseno.</t>
  </si>
  <si>
    <t>Suma de vectores, herramienta matemática</t>
  </si>
  <si>
    <t>Aplicar: sumar vectores gráfica y analíticamente. Razonar: comparar métodos</t>
  </si>
  <si>
    <r>
      <rPr>
        <sz val="10"/>
        <color indexed="8"/>
        <rFont val="Arial"/>
      </rPr>
      <t>E1; D1; E2; E4; D3</t>
    </r>
  </si>
  <si>
    <t>T0174-G10-FÍS</t>
  </si>
  <si>
    <t>2.6. Descomposición trigonométrica de vectores con ángulos arbitrarios y expresión con vectores unitarios.</t>
  </si>
  <si>
    <t>Componentes vectoriales, herramienta matemática</t>
  </si>
  <si>
    <t>Aplicar: descomponer vectores. Razonar: analizar el cuadrante del ángulo</t>
  </si>
  <si>
    <r>
      <rPr>
        <sz val="10"/>
        <color indexed="8"/>
        <rFont val="Arial"/>
      </rPr>
      <t>E1; E3; E2; E4; I4</t>
    </r>
  </si>
  <si>
    <t>T0175-G10-FÍS</t>
  </si>
  <si>
    <t>2.7. Resolución de problemas en contexto con suma de tres o más vectores mediante componentes y vectores unitarios.</t>
  </si>
  <si>
    <t>Suma vectorial en contexto, sin contenido físico del catálogo</t>
  </si>
  <si>
    <t>Aplicar: sumar vectores por componentes. Razonar: interpretar la resultante en contexto</t>
  </si>
  <si>
    <r>
      <rPr>
        <sz val="10"/>
        <color indexed="8"/>
        <rFont val="Arial"/>
      </rPr>
      <t>E6; E3; E2; D4; I5</t>
    </r>
  </si>
  <si>
    <t>T0176-G10-FÍS</t>
  </si>
  <si>
    <t>3. Movimiento: cinemática en una dimensión</t>
  </si>
  <si>
    <t>Descripción del movimiento rectilíneo</t>
  </si>
  <si>
    <t>3.1. Análisis del desplazamiento como magnitud vectorial a partir de un sistema de referencia elegido.</t>
  </si>
  <si>
    <r>
      <rPr>
        <sz val="10"/>
        <color indexed="8"/>
        <rFont val="Arial"/>
      </rPr>
      <t>Fuerzas y movimiento</t>
    </r>
  </si>
  <si>
    <t>Desplazamiento y sistema de referencia: cinemática lineal</t>
  </si>
  <si>
    <t>Aplicar: calcular desplazamientos. Razonar: analizar la dependencia del sistema de referencia</t>
  </si>
  <si>
    <t>T0177-G10-FÍS</t>
  </si>
  <si>
    <t>3.2. Cálculo de la rapidez media, la velocidad media y la velocidad instantánea a partir de datos y de la pendiente de gráficas posición-tiempo.</t>
  </si>
  <si>
    <t>Rapidez y velocidad media e instantánea: cinemática</t>
  </si>
  <si>
    <t>Aplicar: calcular velocidades medias e instantáneas. Razonar: justificar recomendaciones con datos</t>
  </si>
  <si>
    <r>
      <rPr>
        <sz val="10"/>
        <color indexed="8"/>
        <rFont val="Arial"/>
      </rPr>
      <t>E6; D1; E2; D4; I5</t>
    </r>
  </si>
  <si>
    <t>T0178-G10-FÍS</t>
  </si>
  <si>
    <t>Aceleración</t>
  </si>
  <si>
    <t>3.3. Medición y cálculo de la aceleración media de móviles reales e interpretación de su signo respecto de la velocidad.</t>
  </si>
  <si>
    <t>Aceleración media y su signo: cinemática</t>
  </si>
  <si>
    <t>Aplicar: calcular la aceleración media. Razonar: interpretar signos de v y a</t>
  </si>
  <si>
    <t>T0179-G10-FÍS</t>
  </si>
  <si>
    <t>Movimiento con aceleración constante</t>
  </si>
  <si>
    <t>3.4. Deducción de las ecuaciones del movimiento con aceleración constante a partir de la gráfica velocidad-tiempo.</t>
  </si>
  <si>
    <t>Ecuaciones del MRUA desde gráfica v-t</t>
  </si>
  <si>
    <t>Aplicar: deducir y seleccionar ecuaciones. Razonar: relacionar áreas y pendientes con magnitudes</t>
  </si>
  <si>
    <r>
      <rPr>
        <sz val="10"/>
        <color indexed="8"/>
        <rFont val="Arial"/>
      </rPr>
      <t>E1; E3; E4; E4; E3</t>
    </r>
  </si>
  <si>
    <t>T0180-G10-FÍS</t>
  </si>
  <si>
    <t>3.5. Resolución de problemas de conceptos múltiples con las ecuaciones de la cinemática, como distancias de frenado y encuentros entre móviles.</t>
  </si>
  <si>
    <t>Problemas de cinemática de varias etapas</t>
  </si>
  <si>
    <t>Aplicar: resolver problemas de varias etapas. Razonar: argumentar con resultados numéricos</t>
  </si>
  <si>
    <r>
      <rPr>
        <sz val="10"/>
        <color indexed="8"/>
        <rFont val="Arial"/>
      </rPr>
      <t>E6; E3; E1; I3; I2</t>
    </r>
  </si>
  <si>
    <t>T0181-G10-FÍS</t>
  </si>
  <si>
    <t>Caída libre</t>
  </si>
  <si>
    <t>3.6. Determinación experimental de la aceleración de la gravedad y aplicación de las ecuaciones de la cinemática a la caída libre y al lanzamiento vertical.</t>
  </si>
  <si>
    <t>Caída libre y lanzamiento vertical</t>
  </si>
  <si>
    <t>Aplicar: calcular con ecuaciones de caída libre. Razonar: interpretar el ajuste lineal</t>
  </si>
  <si>
    <t>T0182-G10-FÍS</t>
  </si>
  <si>
    <t>Análisis gráfico del movimiento</t>
  </si>
  <si>
    <t>3.7. Interpretación y construcción de gráficas posición-tiempo, velocidad-tiempo y aceleración-tiempo coherentes entre sí para movimientos por tramos.</t>
  </si>
  <si>
    <t>Gráficas x-t, v-t, a-t coherentes</t>
  </si>
  <si>
    <t>Aplicar: construir gráficas. Razonar: relacionar pendientes y áreas entre gráficas</t>
  </si>
  <si>
    <t>T0183-G10-FÍS</t>
  </si>
  <si>
    <t>4. Movimiento: cinemática en dos dimensiones</t>
  </si>
  <si>
    <t>Movimiento en el plano</t>
  </si>
  <si>
    <t>4.1. Cálculo vectorial del desplazamiento, la velocidad media y la aceleración media de un móvil que se desplaza en el plano.</t>
  </si>
  <si>
    <t>Cinemática vectorial en el plano</t>
  </si>
  <si>
    <t>Aplicar: operar vectores de movimiento. Razonar: explicar la aceleración por cambio de dirección</t>
  </si>
  <si>
    <t>T0184-G10-FÍS</t>
  </si>
  <si>
    <t>4.2. Aplicación de las ecuaciones de la cinemática por componentes a movimientos en el plano con aceleración constante.</t>
  </si>
  <si>
    <t>Cinemática por componentes con aceleración constante</t>
  </si>
  <si>
    <t>Aplicar: resolver por componentes. Razonar: argumentar con evidencia de video</t>
  </si>
  <si>
    <r>
      <rPr>
        <sz val="10"/>
        <color indexed="8"/>
        <rFont val="Arial"/>
      </rPr>
      <t>E1; E5; E4; I3; E3</t>
    </r>
  </si>
  <si>
    <t>T0185-G10-FÍS</t>
  </si>
  <si>
    <t>Movimiento de proyectiles</t>
  </si>
  <si>
    <t>4.3. Modelación del lanzamiento oblicuo de proyectiles y validación con un lanzador construido con materiales de bajo riesgo.</t>
  </si>
  <si>
    <t>Movimiento de proyectiles: alcance, altura, tiempo de vuelo</t>
  </si>
  <si>
    <t>Aplicar: calcular alcance y altura máxima. Razonar: evaluar el modelo con datos</t>
  </si>
  <si>
    <r>
      <rPr>
        <sz val="10"/>
        <color indexed="8"/>
        <rFont val="Arial"/>
      </rPr>
      <t>E6; D1; E4; D2; D3</t>
    </r>
  </si>
  <si>
    <t>T0186-G10-FÍS</t>
  </si>
  <si>
    <t>Velocidad relativa</t>
  </si>
  <si>
    <t>4.4. Cálculo de velocidades relativas en el plano mediante la suma vectorial de velocidades respecto de distintos sistemas de referencia.</t>
  </si>
  <si>
    <t>Velocidad relativa entre sistemas de referencia</t>
  </si>
  <si>
    <t>Aplicar: sumar velocidades vectorialmente. Razonar: justificar decisiones de rumbo</t>
  </si>
  <si>
    <r>
      <rPr>
        <sz val="10"/>
        <color indexed="8"/>
        <rFont val="Arial"/>
      </rPr>
      <t>E1; D1; E2; E4; I5</t>
    </r>
  </si>
  <si>
    <t>T0187-G10-FÍS</t>
  </si>
  <si>
    <t>5. Las leyes de Newton</t>
  </si>
  <si>
    <t>Fuerza y masa</t>
  </si>
  <si>
    <t>5.1. Análisis de los conceptos de fuerza y masa desde su significado cotidiano, técnico e histórico.</t>
  </si>
  <si>
    <t>Concepto de fuerza, masa inercial y peso</t>
  </si>
  <si>
    <t>Conocer: definir fuerza y masa. Razonar: evaluar fuentes históricas</t>
  </si>
  <si>
    <r>
      <rPr>
        <sz val="10"/>
        <color indexed="8"/>
        <rFont val="Arial"/>
      </rPr>
      <t>E1; E5; E1; I1; I2</t>
    </r>
  </si>
  <si>
    <t>T0188-G10-FÍS</t>
  </si>
  <si>
    <t>Leyes de Newton</t>
  </si>
  <si>
    <t>5.2. Explicación de situaciones cotidianas y de seguridad vial con la primera ley de Newton y el concepto de sistema de referencia inercial.</t>
  </si>
  <si>
    <t>Primera ley de Newton e inercia</t>
  </si>
  <si>
    <t>Razonar: explicar con la primera ley. Aplicar: identificar sistemas de referencia</t>
  </si>
  <si>
    <r>
      <rPr>
        <sz val="10"/>
        <color indexed="8"/>
        <rFont val="Arial"/>
      </rPr>
      <t>E6; D1; E4; I3; I5</t>
    </r>
  </si>
  <si>
    <t>T0189-G10-FÍS</t>
  </si>
  <si>
    <t>5.3. Comprobación experimental de la segunda ley de Newton mediante la relación de la aceleración con la fuerza neta y con la masa.</t>
  </si>
  <si>
    <t>Segunda ley de Newton experimental</t>
  </si>
  <si>
    <t>Aplicar: calcular y graficar. Razonar: interpretar pendientes e interceptos</t>
  </si>
  <si>
    <r>
      <rPr>
        <sz val="10"/>
        <color indexed="8"/>
        <rFont val="Arial"/>
      </rPr>
      <t>E1; E3; E2; D4; D3</t>
    </r>
  </si>
  <si>
    <t>T0190-G10-FÍS</t>
  </si>
  <si>
    <t>5.4. Aplicación de la segunda ley de Newton por componentes a cuerpos sometidos a fuerzas en direcciones arbitrarias.</t>
  </si>
  <si>
    <t>Segunda ley por componentes con varias fuerzas</t>
  </si>
  <si>
    <t>Aplicar: plantear ecuaciones por componentes. Razonar: relacionar fuerza neta y aceleración</t>
  </si>
  <si>
    <r>
      <rPr>
        <sz val="10"/>
        <color indexed="8"/>
        <rFont val="Arial"/>
      </rPr>
      <t>E1; E3; E2; E4; E3</t>
    </r>
  </si>
  <si>
    <t>T0191-G10-FÍS</t>
  </si>
  <si>
    <t>5.5. Identificación experimental de pares de acción y reacción y diferenciación entre pares de la tercera ley y fuerzas equilibradas sobre un mismo cuerpo.</t>
  </si>
  <si>
    <t>Tercera ley: pares acción-reacción</t>
  </si>
  <si>
    <t>Aplicar: identificar pares de fuerzas. Razonar: refutar argumentos erróneos</t>
  </si>
  <si>
    <r>
      <rPr>
        <sz val="10"/>
        <color indexed="8"/>
        <rFont val="Arial"/>
      </rPr>
      <t>E1; E5; E4; D4; I4</t>
    </r>
  </si>
  <si>
    <t>T0192-G10-FÍS</t>
  </si>
  <si>
    <t>Tipos de fuerzas</t>
  </si>
  <si>
    <t>5.6. Clasificación de las fuerzas en interacciones fundamentales y fuerzas de contacto, y su identificación en situaciones reales.</t>
  </si>
  <si>
    <t>Clasificación de fuerzas en situaciones reales</t>
  </si>
  <si>
    <t>Conocer: clasificar fuerzas. Razonar: justificar recomendaciones con datos</t>
  </si>
  <si>
    <r>
      <rPr>
        <sz val="10"/>
        <color indexed="8"/>
        <rFont val="Arial"/>
      </rPr>
      <t>E6; E3; E1; I1; I5</t>
    </r>
  </si>
  <si>
    <t>T0193-G10-FÍS</t>
  </si>
  <si>
    <t>5.7. Cálculo de fuerzas gravitatorias con la ley de gravitación universal y relación del peso con la atracción terrestre.</t>
  </si>
  <si>
    <t>Ley de gravitación universal y peso</t>
  </si>
  <si>
    <t>Aplicar: calcular fuerzas gravitatorias. Razonar: relacionar distancia y fuerza</t>
  </si>
  <si>
    <t>T0194-G10-FÍS</t>
  </si>
  <si>
    <t>Fuerzas de contacto</t>
  </si>
  <si>
    <t>5.8. Determinación de la fuerza normal sobre cuerpos en superficies horizontales e inclinadas y con fuerzas aplicadas en ángulo.</t>
  </si>
  <si>
    <t>Fuerza normal en planos horizontales e inclinados</t>
  </si>
  <si>
    <t>Aplicar: calcular la fuerza normal. Razonar: justificar su variación con el ángulo</t>
  </si>
  <si>
    <r>
      <rPr>
        <sz val="10"/>
        <color indexed="8"/>
        <rFont val="Arial"/>
      </rPr>
      <t>E6; E3; E2; E4; E3</t>
    </r>
  </si>
  <si>
    <t>T0195-G10-FÍS</t>
  </si>
  <si>
    <t>5.9. Determinación experimental de los coeficientes de rozamiento estático y cinético entre distintos materiales.</t>
  </si>
  <si>
    <t>Rozamiento estático y cinético</t>
  </si>
  <si>
    <t>Aplicar: calcular coeficientes de rozamiento. Razonar: predecir el deslizamiento</t>
  </si>
  <si>
    <r>
      <rPr>
        <sz val="10"/>
        <color indexed="8"/>
        <rFont val="Arial"/>
      </rPr>
      <t>E1; D1; E4; D2; I5</t>
    </r>
  </si>
  <si>
    <t>T0196-G10-FÍS</t>
  </si>
  <si>
    <t>5.10. Análisis de la fuerza de tensión en cuerdas, poleas y ascensores mediante las leyes de Newton.</t>
  </si>
  <si>
    <t>Tensión en cuerdas, poleas y ascensores con Newton</t>
  </si>
  <si>
    <t>Aplicar: calcular tensiones. Razonar: interpretar datos de aceleración</t>
  </si>
  <si>
    <t>T0197-G10-FÍS</t>
  </si>
  <si>
    <t>Aplicaciones de las leyes de Newton</t>
  </si>
  <si>
    <t>5.11. Resolución de problemas de equilibrio de traslación con fuerzas en varias direcciones mediante componentes.</t>
  </si>
  <si>
    <t>Equilibrio de traslación con fuerzas en varias direcciones</t>
  </si>
  <si>
    <t>Aplicar: resolver sistemas de ecuaciones. Razonar: comparar predicción y medición</t>
  </si>
  <si>
    <r>
      <rPr>
        <sz val="10"/>
        <color indexed="8"/>
        <rFont val="Arial"/>
      </rPr>
      <t>E1; E3; E2; D2; D3</t>
    </r>
  </si>
  <si>
    <t>T0198-G10-FÍS</t>
  </si>
  <si>
    <t>5.12. Resolución de problemas de no equilibrio con sistemas de cuerpos conectados, planos inclinados y rozamiento.</t>
  </si>
  <si>
    <t>Cuerpos conectados, planos inclinados y rozamiento</t>
  </si>
  <si>
    <t>Aplicar: plantear sistemas de ecuaciones. Razonar: justificar decisiones de diseño</t>
  </si>
  <si>
    <r>
      <rPr>
        <sz val="10"/>
        <color indexed="8"/>
        <rFont val="Arial"/>
      </rPr>
      <t>E1; E3; E2; I3; I5</t>
    </r>
  </si>
  <si>
    <t>T0199-G10-FÍS</t>
  </si>
  <si>
    <t>6. Movimiento circular uniforme</t>
  </si>
  <si>
    <t>Descripción del movimiento circular uniforme</t>
  </si>
  <si>
    <t>6.1. Modelación del movimiento circular uniforme a partir de la relación entre período, frecuencia, radio y rapidez tangencial.</t>
  </si>
  <si>
    <t>Movimiento circular uniforme: período, frecuencia, rapidez</t>
  </si>
  <si>
    <t>Aplicar: calcular período, frecuencia y rapidez. Razonar: justificar la variación de la velocidad</t>
  </si>
  <si>
    <t>T0200-G10-FÍS</t>
  </si>
  <si>
    <t>Aceleración centrípeta</t>
  </si>
  <si>
    <t>6.2. Deducción vectorial de la aceleración centrípeta a partir del cambio de dirección de la velocidad.</t>
  </si>
  <si>
    <t>Aplicar: calcular la aceleración centrípeta. Razonar: comparar resultados experimentales y teóricos</t>
  </si>
  <si>
    <t>T0201-G10-FÍS</t>
  </si>
  <si>
    <t>Dinámica del movimiento circular</t>
  </si>
  <si>
    <t>6.3. Aplicación de la segunda ley de Newton en la dirección radial para identificar la fuerza que produce la aceleración centrípeta.</t>
  </si>
  <si>
    <t>Fuerza centrípeta con segunda ley radial</t>
  </si>
  <si>
    <t>Aplicar: calcular fuerzas con la segunda ley de Newton. Razonar: identificar la fuerza centrípeta en cada caso</t>
  </si>
  <si>
    <t>T0202-G10-FÍS</t>
  </si>
  <si>
    <t>6.4. Comparación de la rapidez máxima segura de un vehículo en una curva plana y en una curva peraltada.</t>
  </si>
  <si>
    <t>Curvas planas y peraltadas: fuerza centrípeta y fricción</t>
  </si>
  <si>
    <t>Aplicar: calcular la rapidez de diseño. Razonar: justificar recomendaciones de seguridad vial</t>
  </si>
  <si>
    <r>
      <rPr>
        <sz val="10"/>
        <color indexed="8"/>
        <rFont val="Arial"/>
      </rPr>
      <t>E6; E3; E4; D2; I5</t>
    </r>
  </si>
  <si>
    <t>T0203-G10-FÍS</t>
  </si>
  <si>
    <t>Gravitación y órbitas circulares</t>
  </si>
  <si>
    <t>6.5. Cálculo de la rapidez y el período de satélites en órbitas circulares igualando la fuerza gravitatoria con la fuerza centrípeta.</t>
  </si>
  <si>
    <t>Órbitas circulares: gravedad como fuerza centrípeta</t>
  </si>
  <si>
    <t>Aplicar: calcular rapidez y período orbital. Razonar: justificar la independencia de la masa</t>
  </si>
  <si>
    <r>
      <rPr>
        <sz val="10"/>
        <color indexed="8"/>
        <rFont val="Arial"/>
      </rPr>
      <t>E6; E5; E4; I3; E3</t>
    </r>
  </si>
  <si>
    <t>T0204-G10-FÍS</t>
  </si>
  <si>
    <t>6.6. Análisis del peso aparente en ascensores, órbitas y estaciones espaciales giratorias mediante la segunda ley de Newton.</t>
  </si>
  <si>
    <t>Peso aparente, ingravidez y gravedad artificial</t>
  </si>
  <si>
    <t>Aplicar: calcular el peso aparente. Razonar: explicar la ingravidez como caída libre</t>
  </si>
  <si>
    <t>T0205-G10-FÍS</t>
  </si>
  <si>
    <t>Movimiento circular vertical</t>
  </si>
  <si>
    <t>6.7. Cálculo de fuerzas en los puntos extremos de un movimiento circular vertical y de la rapidez mínima para completar la vuelta.</t>
  </si>
  <si>
    <t>Movimiento circular vertical: fuerzas en extremos</t>
  </si>
  <si>
    <t>Aplicar: calcular la rapidez mínima. Razonar: comparar fuerzas en distintos puntos del círculo</t>
  </si>
  <si>
    <t>T0206-G10-FÍS</t>
  </si>
  <si>
    <t>7. Trabajo y energía</t>
  </si>
  <si>
    <t>Trabajo de una fuerza</t>
  </si>
  <si>
    <t>7.1. Cálculo del trabajo de una fuerza constante que forma un ángulo con el desplazamiento mediante el producto escalar.</t>
  </si>
  <si>
    <r>
      <rPr>
        <sz val="10"/>
        <color indexed="8"/>
        <rFont val="Arial"/>
      </rPr>
      <t>Leyes de conservación</t>
    </r>
  </si>
  <si>
    <t>Trabajo de fuerzas, base de la energía mecánica</t>
  </si>
  <si>
    <t>Aplicar: calcular el trabajo con el producto escalar. Razonar: comparar el trabajo con distintos ángulos</t>
  </si>
  <si>
    <t>T0207-G10-FÍS</t>
  </si>
  <si>
    <t>Trabajo y energía cinética</t>
  </si>
  <si>
    <t>7.2. Aplicación del teorema del trabajo y la energía cinética a situaciones con varias fuerzas y cambios de rapidez.</t>
  </si>
  <si>
    <t>Teorema trabajo-energía cinética</t>
  </si>
  <si>
    <t>Aplicar: calcular distancias de frenado. Razonar: interpretar la pendiente de una gráfica</t>
  </si>
  <si>
    <r>
      <rPr>
        <sz val="10"/>
        <color indexed="8"/>
        <rFont val="Arial"/>
      </rPr>
      <t>E6; E5; E1; D4; I5</t>
    </r>
  </si>
  <si>
    <t>T0208-G10-FÍS</t>
  </si>
  <si>
    <t>Energía potencial</t>
  </si>
  <si>
    <t>7.3. Cálculo del trabajo realizado por el peso y su relación con el cambio de energía potencial gravitatoria.</t>
  </si>
  <si>
    <t>Energía potencial gravitatoria y trabajo del peso</t>
  </si>
  <si>
    <t>Aplicar: calcular la energía potencial gravitatoria. Razonar: justificar la independencia de la trayectoria</t>
  </si>
  <si>
    <r>
      <rPr>
        <sz val="10"/>
        <color indexed="8"/>
        <rFont val="Arial"/>
      </rPr>
      <t>E6; D1; E4; D2; E3</t>
    </r>
  </si>
  <si>
    <t>T0209-G10-FÍS</t>
  </si>
  <si>
    <t>Fuerzas conservativas y no conservativas</t>
  </si>
  <si>
    <t>7.4. Clasificación de fuerzas como conservativas o no conservativas a partir del trabajo realizado en trayectorias cerradas.</t>
  </si>
  <si>
    <t>Conocer: definir fuerza conservativa. Aplicar: calcular trabajo en trayectorias cerradas. Razonar: clasificar fuerzas</t>
  </si>
  <si>
    <t>T0210-G10-FÍS</t>
  </si>
  <si>
    <t>7.5. Aplicación de la conservación de la energía mecánica en sistemas con energía potencial gravitatoria y elástica.</t>
  </si>
  <si>
    <t>Conservación de energía mecánica gravitatoria y elástica</t>
  </si>
  <si>
    <t>Aplicar: calcular con la conservación de la energía. Razonar: comparar el modelo ideal con los datos</t>
  </si>
  <si>
    <t>T0211-G10-FÍS</t>
  </si>
  <si>
    <t>7.6. Cálculo del trabajo de las fuerzas no conservativas como variación de la energía mecánica del sistema.</t>
  </si>
  <si>
    <t>Energía mecánica disipada por fuerzas no conservativas</t>
  </si>
  <si>
    <t>Aplicar: calcular el trabajo de la fricción. Razonar: interpretar la pérdida de energía mecánica</t>
  </si>
  <si>
    <r>
      <rPr>
        <sz val="10"/>
        <color indexed="8"/>
        <rFont val="Arial"/>
      </rPr>
      <t>E6; D1; E1; D4; E3</t>
    </r>
  </si>
  <si>
    <t>T0212-G10-FÍS</t>
  </si>
  <si>
    <t>Potencia y eficiencia</t>
  </si>
  <si>
    <t>7.7. Cálculo de la potencia media e instantánea y de la eficiencia de máquinas y motores.</t>
  </si>
  <si>
    <t>Potencia y eficiencia de máquinas</t>
  </si>
  <si>
    <t>Aplicar: calcular potencia y eficiencia. Razonar: comparar el rendimiento de máquinas</t>
  </si>
  <si>
    <t>T0213-G10-FÍS</t>
  </si>
  <si>
    <t>7.8. Análisis de cadenas de transformación de la energía en sistemas de generación eléctrica del país.</t>
  </si>
  <si>
    <t>Conservación de la energía en cadenas de transformación</t>
  </si>
  <si>
    <t>Conocer: identificar formas de energía. Aplicar: calcular eficiencias. Razonar: argumentar con datos</t>
  </si>
  <si>
    <r>
      <rPr>
        <sz val="10"/>
        <color indexed="8"/>
        <rFont val="Arial"/>
      </rPr>
      <t>E6; E3; E4; I3; I5</t>
    </r>
  </si>
  <si>
    <t>T0214-G10-FÍS</t>
  </si>
  <si>
    <t>Trabajo de una fuerza variable</t>
  </si>
  <si>
    <t>7.9. Cálculo del trabajo de una fuerza variable como área bajo la curva en gráficas fuerza-posición.</t>
  </si>
  <si>
    <t>Trabajo de fuerza variable; ley de Hooke</t>
  </si>
  <si>
    <t>Aplicar: calcular áreas bajo la curva. Razonar: comparar el comportamiento del resorte y la liga</t>
  </si>
  <si>
    <t>T0215-G10-FÍS</t>
  </si>
  <si>
    <t>8. Impulso y momento</t>
  </si>
  <si>
    <t>Impulso y momento lineal</t>
  </si>
  <si>
    <t>8.1. Cálculo del impulso de una fuerza variable como área bajo la gráfica fuerza-tiempo y de la fuerza media de impacto.</t>
  </si>
  <si>
    <t>Impulso y fuerza media de impacto</t>
  </si>
  <si>
    <t>Aplicar: calcular el impulso por el área. Razonar: relacionar tiempo de contacto y fuerza media</t>
  </si>
  <si>
    <t>T0216-G10-FÍS</t>
  </si>
  <si>
    <t>Conservación del momento lineal</t>
  </si>
  <si>
    <t>8.2. Aplicación de la conservación vectorial del momento lineal en sistemas aislados, incluidas explosiones y retroceso.</t>
  </si>
  <si>
    <t>Conservación del momento lineal: explosiones, retroceso</t>
  </si>
  <si>
    <t>Aplicar: calcular velocidades con la conservación del momento. Razonar: distinguir fuerzas internas y externas</t>
  </si>
  <si>
    <t>T0217-G10-FÍS</t>
  </si>
  <si>
    <t>Colisiones</t>
  </si>
  <si>
    <t>8.3. Clasificación de colisiones en una dimensión según la conservación de la energía cinética y el coeficiente de restitución.</t>
  </si>
  <si>
    <t>Choques elásticos e inelásticos, energía cinética perdida</t>
  </si>
  <si>
    <t>Aplicar: calcular el coeficiente de restitución. Razonar: clasificar colisiones con datos</t>
  </si>
  <si>
    <r>
      <rPr>
        <sz val="10"/>
        <color indexed="8"/>
        <rFont val="Arial"/>
      </rPr>
      <t>E6; D1; E1; D4; D3</t>
    </r>
  </si>
  <si>
    <t>T0218-G10-FÍS</t>
  </si>
  <si>
    <t>8.4. Resolución de colisiones en dos dimensiones mediante la conservación del momento lineal en componentes rectangulares.</t>
  </si>
  <si>
    <t>Colisiones en dos dimensiones por componentes</t>
  </si>
  <si>
    <t>Aplicar: resolver ecuaciones por componentes. Razonar: verificar la conservación con datos de video</t>
  </si>
  <si>
    <t>T0219-G10-FÍS</t>
  </si>
  <si>
    <t>Centro de masas</t>
  </si>
  <si>
    <t>8.5. Cálculo de la posición y la velocidad del centro de masas de un sistema antes y después de una colisión.</t>
  </si>
  <si>
    <t>Centro de masas en colisiones sin fuerza externa</t>
  </si>
  <si>
    <t>Aplicar: calcular la posición y la velocidad del centro de masas. Razonar: justificar su movimiento uniforme</t>
  </si>
  <si>
    <t>T0220-G10-FÍS</t>
  </si>
  <si>
    <t>9. Cinemática de rotación</t>
  </si>
  <si>
    <t>Variables angulares</t>
  </si>
  <si>
    <t>9.1. Medición del desplazamiento angular de objetos que giran y su conversión entre radianes, grados y revoluciones.</t>
  </si>
  <si>
    <t>Variables angulares; cinemática rotacional fuera del marco</t>
  </si>
  <si>
    <t>Conocer: definir el radián. Aplicar: convertir unidades angulares. Razonar: relacionar arco y ángulo</t>
  </si>
  <si>
    <t>T0221-G10-FÍS</t>
  </si>
  <si>
    <t>9.2. Cálculo de la velocidad y la aceleración angulares medias e instantáneas a partir de gráficas ángulo-tiempo.</t>
  </si>
  <si>
    <t>Velocidad y aceleración angular; cinemática rotacional</t>
  </si>
  <si>
    <t>Aplicar: calcular pendientes. Razonar: interpretar gráficas de rotación</t>
  </si>
  <si>
    <t>T0222-G10-FÍS</t>
  </si>
  <si>
    <t>Cinemática rotacional</t>
  </si>
  <si>
    <t>9.3. Resolución de problemas con las ecuaciones de la cinemática rotacional con aceleración angular constante.</t>
  </si>
  <si>
    <t>Ecuaciones de cinemática rotacional</t>
  </si>
  <si>
    <t>Aplicar: resolver ecuaciones de la cinemática rotacional. Razonar: establecer analogías</t>
  </si>
  <si>
    <t>T0223-G10-FÍS</t>
  </si>
  <si>
    <t>Relación entre variables angulares y tangenciales</t>
  </si>
  <si>
    <t>9.4. Relación de la velocidad angular con la velocidad tangencial en ruedas, poleas y sistemas de transmisión.</t>
  </si>
  <si>
    <t>Transmisión por engranajes v=ωr; rotación, no centrípeta</t>
  </si>
  <si>
    <t>Aplicar: calcular velocidades tangenciales. Razonar: justificar la relación de transmisión</t>
  </si>
  <si>
    <r>
      <rPr>
        <sz val="10"/>
        <color indexed="8"/>
        <rFont val="Arial"/>
      </rPr>
      <t>E6; D1; E1; I1; E3</t>
    </r>
  </si>
  <si>
    <t>T0224-G10-FÍS</t>
  </si>
  <si>
    <t>9.5. Cálculo de las componentes tangencial y centrípeta de la aceleración de un punto de un cuerpo que gira con aceleración angular.</t>
  </si>
  <si>
    <t>Aceleración centrípeta y tangencial en rotación</t>
  </si>
  <si>
    <t>Aplicar: calcular componentes de la aceleración. Razonar: interpretar la dirección de la aceleración total</t>
  </si>
  <si>
    <t>T0225-G10-FÍS</t>
  </si>
  <si>
    <t>Movimiento de rodadura</t>
  </si>
  <si>
    <t>9.6. Análisis del movimiento de rodadura sin deslizamiento como combinación de traslación y rotación.</t>
  </si>
  <si>
    <t>Rodadura sin deslizamiento; cinemática rotacional</t>
  </si>
  <si>
    <t>Aplicar: verificar la condición de rodadura. Razonar: explicar la velocidad de los puntos de la rueda</t>
  </si>
  <si>
    <t>T0226-G10-FÍS</t>
  </si>
  <si>
    <t>Naturaleza vectorial de las variables angulares</t>
  </si>
  <si>
    <t>9.7. Representación vectorial de la velocidad y la aceleración angulares mediante la regla de la mano derecha.</t>
  </si>
  <si>
    <t>Vectores angulares y regla de mano derecha</t>
  </si>
  <si>
    <t>Conocer: identificar la dirección del vector angular. Aplicar: usar la regla de la mano derecha. Razonar: argumentar</t>
  </si>
  <si>
    <r>
      <rPr>
        <sz val="10"/>
        <color indexed="8"/>
        <rFont val="Arial"/>
      </rPr>
      <t>E1; D1; E2; I3; E3</t>
    </r>
  </si>
  <si>
    <t>T0227-G10-FÍS</t>
  </si>
  <si>
    <t>10. Dinámica de rotación</t>
  </si>
  <si>
    <t>Torque y equilibrio</t>
  </si>
  <si>
    <t>10.1. Cálculo vectorial del torque de fuerzas aplicadas con distintos ángulos y puntos de aplicación.</t>
  </si>
  <si>
    <t>Torque como producto vectorial; dinámica rotacional</t>
  </si>
  <si>
    <t>Aplicar: calcular torques con ángulo. Razonar: justificar la dirección del torque</t>
  </si>
  <si>
    <t>T0228-G10-FÍS</t>
  </si>
  <si>
    <t>10.2. Resolución de problemas de sólidos rígidos en equilibrio aplicando las dos condiciones de equilibrio y funciones trigonométricas.</t>
  </si>
  <si>
    <t>Equilibrio de sólido rígido: tensiones y reacciones con torque</t>
  </si>
  <si>
    <t>Aplicar: resolver sistemas de ecuaciones de equilibrio. Razonar: predecir cambios en las tensiones</t>
  </si>
  <si>
    <t>T0229-G10-FÍS</t>
  </si>
  <si>
    <t>Centro de gravedad y estabilidad</t>
  </si>
  <si>
    <t>10.3. Cálculo del centro de gravedad de cuerpos compuestos y predicción de su estabilidad frente al vuelco.</t>
  </si>
  <si>
    <t>Centro de gravedad y estabilidad al vuelco</t>
  </si>
  <si>
    <t>Aplicar: calcular el centro de gravedad. Razonar: predecir el ángulo de vuelco</t>
  </si>
  <si>
    <t>T0230-G10-FÍS</t>
  </si>
  <si>
    <t>Segunda ley de Newton para la rotación</t>
  </si>
  <si>
    <t>10.4. Aplicación de la segunda ley de Newton para la rotación en sistemas con poleas y cuerpos de distinta forma.</t>
  </si>
  <si>
    <t>Segunda ley rotacional y momento de inercia</t>
  </si>
  <si>
    <t>Aplicar: calcular el momento de inercia. Razonar: comparar valores experimentales y teóricos</t>
  </si>
  <si>
    <t>T0231-G10-FÍS</t>
  </si>
  <si>
    <t>Energía y momento angular</t>
  </si>
  <si>
    <t>10.5. Aplicación de la conservación de la energía a cuerpos que ruedan combinando energía cinética de traslación y de rotación.</t>
  </si>
  <si>
    <t>Conservación de energía con rodadura</t>
  </si>
  <si>
    <t>Aplicar: calcular la rapidez con energía rotacional. Razonar: criticar argumentos con datos</t>
  </si>
  <si>
    <r>
      <rPr>
        <sz val="10"/>
        <color indexed="8"/>
        <rFont val="Arial"/>
      </rPr>
      <t>E6; E3; E1; D4; I4</t>
    </r>
  </si>
  <si>
    <t>T0232-G10-FÍS</t>
  </si>
  <si>
    <t>10.6. Aplicación de la conservación del momento angular en sistemas que cambian su momento de inercia.</t>
  </si>
  <si>
    <t>Conservación del momento angular, no está en el marco</t>
  </si>
  <si>
    <t>Aplicar: calcular con la conservación del momento angular. Razonar: explicar el cambio de energía</t>
  </si>
  <si>
    <t>T0233-G10-FÍS</t>
  </si>
  <si>
    <t>11. Mecánica de fluidos</t>
  </si>
  <si>
    <t>Hidrostática cuantitativa</t>
  </si>
  <si>
    <t>11.1. Determinación experimental de la densidad y la densidad relativa de sólidos y líquidos con su incertidumbre.</t>
  </si>
  <si>
    <t>Densidad; hidrostática fuera del marco</t>
  </si>
  <si>
    <t>Aplicar: calcular densidades con incertidumbre. Razonar: identificar materiales con datos</t>
  </si>
  <si>
    <r>
      <rPr>
        <sz val="10"/>
        <color indexed="8"/>
        <rFont val="Arial"/>
      </rPr>
      <t>E1; D1; E1; D4; D3</t>
    </r>
  </si>
  <si>
    <t>T0234-G10-FÍS</t>
  </si>
  <si>
    <t>11.2. Cálculo de la presión y de la fuerza que ejercen los fluidos sobre superficies de distinta área y orientación.</t>
  </si>
  <si>
    <t>Presión en fluidos; hidrostática</t>
  </si>
  <si>
    <t>Aplicar: calcular presión y fuerza. Razonar: justificar la dirección de la fuerza de presión</t>
  </si>
  <si>
    <t>T0235-G10-FÍS</t>
  </si>
  <si>
    <t>11.3. Cálculo de la presión absoluta y manométrica a diferentes profundidades y altitudes.</t>
  </si>
  <si>
    <t>Presión absoluta y manométrica; hidrostática</t>
  </si>
  <si>
    <t>Aplicar: calcular presión absoluta y manométrica. Razonar: relacionar presión y altitud</t>
  </si>
  <si>
    <r>
      <rPr>
        <sz val="10"/>
        <color indexed="8"/>
        <rFont val="Arial"/>
      </rPr>
      <t>E1; E5; E1; I1; E3</t>
    </r>
  </si>
  <si>
    <t>T0236-G10-FÍS</t>
  </si>
  <si>
    <t>Medición de la presión</t>
  </si>
  <si>
    <t>11.4. Construcción y calibración de un manómetro de tubo en U para medir presiones manométricas.</t>
  </si>
  <si>
    <t>Manómetros; hidrostática</t>
  </si>
  <si>
    <t>Aplicar: calcular presiones con diferencia de alturas. Razonar: evaluar un instrumento propio</t>
  </si>
  <si>
    <t>T0237-G10-FÍS</t>
  </si>
  <si>
    <t>Transmisión de la presión</t>
  </si>
  <si>
    <t>11.5. Análisis cuantitativo de sistemas hidráulicos aplicando el principio de Pascal y la conservación del trabajo.</t>
  </si>
  <si>
    <t>Principio de Pascal; hidrostática</t>
  </si>
  <si>
    <t>Aplicar: calcular fuerzas y desplazamientos. Razonar: justificar la conservación del trabajo</t>
  </si>
  <si>
    <t>T0238-G10-FÍS</t>
  </si>
  <si>
    <t>11.6. Cálculo de la fracción sumergida de cuerpos flotantes y de la carga máxima de embarcaciones aplicando el principio de Arquímedes.</t>
  </si>
  <si>
    <t>Principio de Arquímedes y flotación; mecánica de fluidos</t>
  </si>
  <si>
    <t>Aplicar: calcular la fracción sumergida y la carga máxima. Razonar: justificar recomendaciones de seguridad</t>
  </si>
  <si>
    <r>
      <rPr>
        <sz val="10"/>
        <color indexed="8"/>
        <rFont val="Arial"/>
      </rPr>
      <t>E6; E5; E1; D2; I5</t>
    </r>
  </si>
  <si>
    <t>T0239-G10-FÍS</t>
  </si>
  <si>
    <t>Hidrodinámica</t>
  </si>
  <si>
    <t>11.7. Clasificación de flujos laminares y turbulentos mediante la observación de líneas de corriente y el cálculo del número de Reynolds.</t>
  </si>
  <si>
    <t>Flujo laminar y turbulento; hidrodinámica</t>
  </si>
  <si>
    <t>Aplicar: calcular el número de Reynolds. Razonar: clasificar el régimen de flujo</t>
  </si>
  <si>
    <t>T0240-G10-FÍS</t>
  </si>
  <si>
    <t>11.8. Aplicación de la ecuación de continuidad al cálculo de caudales y rapideces en tuberías, mangueras y canales de riego.</t>
  </si>
  <si>
    <t>Ecuación de continuidad; hidrodinámica</t>
  </si>
  <si>
    <t>Aplicar: calcular caudales y rapideces. Razonar: justificar el diseño de una red de riego</t>
  </si>
  <si>
    <t>T0241-G10-FÍS</t>
  </si>
  <si>
    <t>Ecuación de Bernoulli</t>
  </si>
  <si>
    <t>11.9. Deducción de la ecuación de Bernoulli a partir del teorema del trabajo y la energía aplicado a un fluido ideal.</t>
  </si>
  <si>
    <t>Bernoulli desde trabajo-energía; hidrodinámica fuera del marco</t>
  </si>
  <si>
    <t>Razonar: deducir la ecuación de Bernoulli. Aplicar: calcular presiones en tuberías</t>
  </si>
  <si>
    <t>T0242-G10-FÍS</t>
  </si>
  <si>
    <t>11.10. Resolución de problemas tecnológicos aplicando la ecuación de Bernoulli junto con la ecuación de continuidad.</t>
  </si>
  <si>
    <t>Aplicaciones de Bernoulli; hidrodinámica</t>
  </si>
  <si>
    <t>Aplicar: resolver problemas con Bernoulli y continuidad. Razonar: argumentar soluciones tecnológicas</t>
  </si>
  <si>
    <r>
      <rPr>
        <sz val="10"/>
        <color indexed="8"/>
        <rFont val="Arial"/>
      </rPr>
      <t>E6; D1; E2; I3; I1</t>
    </r>
  </si>
  <si>
    <t>T0243-G10-FÍS</t>
  </si>
  <si>
    <t>Fluidos viscosos</t>
  </si>
  <si>
    <t>11.11. Análisis del efecto de la viscosidad en el flujo por tuberías y de las pérdidas de presión asociadas.</t>
  </si>
  <si>
    <t>Viscosidad y Poiseuille; hidrodinámica</t>
  </si>
  <si>
    <t>Aplicar: calcular caudales con la ley de Poiseuille. Razonar: explicar la dependencia de r⁴</t>
  </si>
  <si>
    <r>
      <rPr>
        <sz val="10"/>
        <color indexed="8"/>
        <rFont val="Arial"/>
      </rPr>
      <t>E1; E3; E4; D4; I5</t>
    </r>
  </si>
  <si>
    <t>T0244-G10-FÍS</t>
  </si>
  <si>
    <t>12. Temperatura y calor</t>
  </si>
  <si>
    <t>Temperatura y su medición</t>
  </si>
  <si>
    <t>12.1. Deducción de las ecuaciones de conversión entre escalas de temperatura a partir de sus puntos fijos.</t>
  </si>
  <si>
    <t>Conversión entre escalas de temperatura; unidades</t>
  </si>
  <si>
    <t>Aplicar: deducir y usar una relación lineal. Razonar: justificar un punto de coincidencia entre escalas</t>
  </si>
  <si>
    <t>T0245-G10-FÍS</t>
  </si>
  <si>
    <t>12.2. Extrapolación de datos de presión y temperatura de un gas a volumen constante para estimar el cero absoluto.</t>
  </si>
  <si>
    <r>
      <rPr>
        <sz val="10"/>
        <color indexed="8"/>
        <rFont val="Arial"/>
      </rPr>
      <t>Calor y temperatura</t>
    </r>
  </si>
  <si>
    <t>Gas a volumen constante y cero absoluto</t>
  </si>
  <si>
    <t>Aplicar: graficar y ajustar una recta. Razonar: interpretar una extrapolación y su incertidumbre</t>
  </si>
  <si>
    <r>
      <rPr>
        <sz val="10"/>
        <color indexed="8"/>
        <rFont val="Arial"/>
      </rPr>
      <t>E1; E3; E4; D4; D3</t>
    </r>
  </si>
  <si>
    <t>T0246-G10-FÍS</t>
  </si>
  <si>
    <t>12.3. Calibración de un sensor de temperatura mediante dos puntos fijos y comparación con un termómetro de referencia.</t>
  </si>
  <si>
    <t>Termómetros y calibración; equilibrio térmico</t>
  </si>
  <si>
    <t>Conocer: identificar propiedades termométricas. Aplicar: calibrar con dos puntos. Razonar: seleccionar instrumentos</t>
  </si>
  <si>
    <t>T0247-G10-FÍS</t>
  </si>
  <si>
    <t>Dilatación térmica</t>
  </si>
  <si>
    <t>12.4. Cálculo de la variación de longitud de materiales sometidos a cambios de temperatura mediante ΔL = αL₀ΔT.</t>
  </si>
  <si>
    <t>Dilatación lineal</t>
  </si>
  <si>
    <t>Aplicar: calcular variaciones de longitud. Razonar: justificar decisiones de diseño estructural</t>
  </si>
  <si>
    <r>
      <rPr>
        <sz val="10"/>
        <color indexed="8"/>
        <rFont val="Arial"/>
      </rPr>
      <t>E6; E5; E1; D2; E3</t>
    </r>
  </si>
  <si>
    <t>T0248-G10-FÍS</t>
  </si>
  <si>
    <t>12.5. Construcción e interpretación de gráficas volumen-temperatura para sólidos, líquidos y el agua entre 0 °C y 10 °C.</t>
  </si>
  <si>
    <t>Dilatación volumétrica y anomalía del agua</t>
  </si>
  <si>
    <t>Aplicar: calcular dilatación volumétrica. Razonar: interpretar una gráfica no lineal</t>
  </si>
  <si>
    <t>T0249-G10-FÍS</t>
  </si>
  <si>
    <t>Calor y energía interna</t>
  </si>
  <si>
    <t>12.6. Análisis del calor como energía transferida y de la energía interna como suma de energías de las partículas.</t>
  </si>
  <si>
    <t>Calor, temperatura y energía interna</t>
  </si>
  <si>
    <t>Conocer: diferenciar calor y energía interna. Razonar: explicar transferencias con un modelo</t>
  </si>
  <si>
    <t>T0250-G10-FÍS</t>
  </si>
  <si>
    <t>Calorimetría</t>
  </si>
  <si>
    <t>12.7. Determinación experimental del calor específico de un metal por el método de mezclas en un calorímetro.</t>
  </si>
  <si>
    <t>Calor específico por método de mezclas</t>
  </si>
  <si>
    <t>Aplicar: plantear y resolver balances de energía. Razonar: identificar un material por su calor específico</t>
  </si>
  <si>
    <r>
      <rPr>
        <sz val="10"/>
        <color indexed="8"/>
        <rFont val="Arial"/>
      </rPr>
      <t>E6; D1; E1; D2; D3</t>
    </r>
  </si>
  <si>
    <t>T0251-G10-FÍS</t>
  </si>
  <si>
    <t>12.8. Resolución de problemas de calorimetría que combinan cambios de temperatura y cambios de fase.</t>
  </si>
  <si>
    <t>Calorimetría con calor latente y cambios de fase</t>
  </si>
  <si>
    <t>Aplicar: calcular calor en cambios de fase. Razonar: decidir qué fases coexisten al final de una mezcla</t>
  </si>
  <si>
    <t>T0252-G10-FÍS</t>
  </si>
  <si>
    <t>Fases de la materia</t>
  </si>
  <si>
    <t>12.9. Interpretación de diagramas de fase presión-temperatura del agua y del dióxido de carbono.</t>
  </si>
  <si>
    <t>Diagramas de fase; no está en el catálogo</t>
  </si>
  <si>
    <t>Aplicar: leer un diagrama de fases. Razonar: predecir estados según presión y temperatura</t>
  </si>
  <si>
    <r>
      <rPr>
        <sz val="10"/>
        <color indexed="8"/>
        <rFont val="Arial"/>
      </rPr>
      <t>E1; E5; E2; I3; E3</t>
    </r>
  </si>
  <si>
    <t>T0253-G10-FÍS</t>
  </si>
  <si>
    <t>12.10. Cálculo de la humedad relativa y del punto de rocío a partir de datos meteorológicos de estaciones salvadoreñas.</t>
  </si>
  <si>
    <t>Humedad relativa y punto de rocío; meteorología</t>
  </si>
  <si>
    <t>Aplicar: calcular humedad relativa y punto de rocío. Razonar: explicar la variación diaria con datos</t>
  </si>
  <si>
    <r>
      <rPr>
        <sz val="10"/>
        <color indexed="8"/>
        <rFont val="Arial"/>
      </rPr>
      <t>E6; D1; E1; I1; I2</t>
    </r>
  </si>
  <si>
    <t>T0254-G10-FÍS</t>
  </si>
  <si>
    <t>13. Transferencia de calor</t>
  </si>
  <si>
    <t>Mecanismos de transferencia de calor</t>
  </si>
  <si>
    <t>13.1. Análisis de corrientes de convección a partir de los cambios de densidad de un fluido con la temperatura.</t>
  </si>
  <si>
    <t>Convección como mecanismo de transferencia de calor</t>
  </si>
  <si>
    <t>Conocer: describir la convección. Razonar: explicar fenómenos atmosféricos y domésticos</t>
  </si>
  <si>
    <r>
      <rPr>
        <sz val="10"/>
        <color indexed="8"/>
        <rFont val="Arial"/>
      </rPr>
      <t>E6; E5; E4; D4; E3</t>
    </r>
  </si>
  <si>
    <t>T0255-G10-FÍS</t>
  </si>
  <si>
    <t>13.2. Cálculo del flujo de calor por conducción a través de paredes y techos mediante H = kAΔT/L.</t>
  </si>
  <si>
    <t>Conducción y ley de Fourier</t>
  </si>
  <si>
    <t>Aplicar: calcular flujo de calor. Razonar: comparar materiales y justificar una elección</t>
  </si>
  <si>
    <t>T0256-G10-FÍS</t>
  </si>
  <si>
    <t>13.3. Aplicación de la ley de Stefan-Boltzmann y de la ley de Wien al cálculo de la potencia radiada y del color de cuerpos calientes.</t>
  </si>
  <si>
    <r>
      <rPr>
        <sz val="10"/>
        <color indexed="8"/>
        <rFont val="Arial"/>
      </rPr>
      <t>Fenómenos ondulatorios</t>
    </r>
  </si>
  <si>
    <t>Stefan-Boltzmann y Wien: radiación térmica</t>
  </si>
  <si>
    <t>Aplicar: calcular potencia radiada. Razonar: relacionar temperatura y espectro de emisión</t>
  </si>
  <si>
    <r>
      <rPr>
        <sz val="10"/>
        <color indexed="8"/>
        <rFont val="Arial"/>
      </rPr>
      <t>E1; E3; E2; I3; E6</t>
    </r>
  </si>
  <si>
    <t>T0257-G10-FÍS</t>
  </si>
  <si>
    <t>Aplicaciones de la transferencia de calor</t>
  </si>
  <si>
    <t>13.4. Diseño y evaluación de un dispositivo que controla los tres mecanismos de transferencia de calor.</t>
  </si>
  <si>
    <t>Control de conducción, convección y radiación en dispositivos</t>
  </si>
  <si>
    <t>Aplicar: modelar pérdidas de calor. Razonar: justificar decisiones de diseño con datos</t>
  </si>
  <si>
    <r>
      <rPr>
        <sz val="10"/>
        <color indexed="8"/>
        <rFont val="Arial"/>
      </rPr>
      <t>E6; E5; E4; I1; I5</t>
    </r>
  </si>
  <si>
    <t>T0258-G10-FÍS</t>
  </si>
  <si>
    <t>14. Los gases ideales</t>
  </si>
  <si>
    <t>Modelo del gas ideal</t>
  </si>
  <si>
    <t>14.1. Aplicación de la ecuación de estado del gas ideal a problemas con presión absoluta, volumen, temperatura y número de moléculas.</t>
  </si>
  <si>
    <t>Ecuación de estado del gas ideal</t>
  </si>
  <si>
    <t>Aplicar: usar la ecuación de estado y linealizar datos. Razonar: interpretar la pendiente de una gráfica</t>
  </si>
  <si>
    <r>
      <rPr>
        <sz val="10"/>
        <color indexed="8"/>
        <rFont val="Arial"/>
      </rPr>
      <t>E1; D1; E2; D4; D3</t>
    </r>
  </si>
  <si>
    <t>T0259-G10-FÍS</t>
  </si>
  <si>
    <t>Teoría cinética de los gases</t>
  </si>
  <si>
    <t>14.2. Deducción de la relación entre la energía cinética media de las moléculas y la temperatura absoluta del gas.</t>
  </si>
  <si>
    <t>Teoría cinética: energía cinética media y temperatura</t>
  </si>
  <si>
    <t>Aplicar: calcular energía cinética media y v_rms. Razonar: vincular lo microscópico con lo macroscópico</t>
  </si>
  <si>
    <t>T0260-G10-FÍS</t>
  </si>
  <si>
    <t>15. Termodinámica</t>
  </si>
  <si>
    <t>Fundamentos de la termodinámica</t>
  </si>
  <si>
    <t>15.1. Caracterización de sistemas termodinámicos reales identificando su frontera, su entorno y sus variables de estado.</t>
  </si>
  <si>
    <t>Sistemas termodinámicos y variables de estado</t>
  </si>
  <si>
    <t>Conocer: clasificar sistemas. Aplicar: identificar variables de estado y flujos</t>
  </si>
  <si>
    <r>
      <rPr>
        <sz val="10"/>
        <color indexed="8"/>
        <rFont val="Arial"/>
      </rPr>
      <t>E6; E3; E1; E4; E6</t>
    </r>
  </si>
  <si>
    <t>T0261-G10-FÍS</t>
  </si>
  <si>
    <t>15.2. Análisis de curvas de aproximación al equilibrio térmico entre dos cuerpos y un termómetro.</t>
  </si>
  <si>
    <t>Ley cero y equilibrio térmico</t>
  </si>
  <si>
    <t>Aplicar: interpretar curvas de temperatura. Razonar: justificar el principio de medición</t>
  </si>
  <si>
    <t>T0262-G10-FÍS</t>
  </si>
  <si>
    <t>15.3. Aplicación de la primera ley a procesos en los que calor y trabajo actúan simultáneamente sobre un sistema.</t>
  </si>
  <si>
    <t>Primera ley ΔU = Q − W</t>
  </si>
  <si>
    <t>Aplicar: calcular ΔU, Q y W. Razonar: distinguir funciones de estado y de trayectoria</t>
  </si>
  <si>
    <t>T0263-G10-FÍS</t>
  </si>
  <si>
    <t>15.4. Representación de procesos termodinámicos en diagramas p-V y cálculo del trabajo como área bajo la curva.</t>
  </si>
  <si>
    <t>Procesos termodinámicos y trabajo en diagrama p-V</t>
  </si>
  <si>
    <t>Aplicar: calcular áreas en el diagrama p-V. Razonar: relacionar el sentido del ciclo con el trabajo neto</t>
  </si>
  <si>
    <r>
      <rPr>
        <sz val="10"/>
        <color indexed="8"/>
        <rFont val="Arial"/>
      </rPr>
      <t>E1; E5; E2; E4; E3</t>
    </r>
  </si>
  <si>
    <t>T0264-G10-FÍS</t>
  </si>
  <si>
    <t>15.5. Cálculo del trabajo y del cambio de energía interna en expansiones y compresiones isotérmicas y adiabáticas de un gas ideal.</t>
  </si>
  <si>
    <t>Procesos isotérmicos y adiabáticos del gas ideal</t>
  </si>
  <si>
    <t>Aplicar: usar expresiones logarítmicas y potenciales. Razonar: validar un método numérico</t>
  </si>
  <si>
    <t>T0265-G10-FÍS</t>
  </si>
  <si>
    <t>15.6. Determinación de las capacidades caloríficas molares de un gas ideal mediante la primera ley.</t>
  </si>
  <si>
    <t>Capacidades caloríficas molares mediante primera ley</t>
  </si>
  <si>
    <t>Aplicar: deducir y usar relaciones entre capacidades caloríficas. Razonar: interpretar datos tabulados</t>
  </si>
  <si>
    <r>
      <rPr>
        <sz val="10"/>
        <color indexed="8"/>
        <rFont val="Arial"/>
      </rPr>
      <t>E1; D1; E1; I3; E3</t>
    </r>
  </si>
  <si>
    <t>T0266-G10-FÍS</t>
  </si>
  <si>
    <t>15.7. Análisis de la equivalencia entre los enunciados de Kelvin-Planck y de Clausius de la segunda ley.</t>
  </si>
  <si>
    <t>Segunda ley: enunciados Kelvin-Planck y Clausius</t>
  </si>
  <si>
    <t>Razonar: argumentar la imposibilidad de procesos. Aplicar: usar los enunciados de la segunda ley</t>
  </si>
  <si>
    <r>
      <rPr>
        <sz val="10"/>
        <color indexed="8"/>
        <rFont val="Arial"/>
      </rPr>
      <t>E1; E5; E1; I2; I4</t>
    </r>
  </si>
  <si>
    <t>T0267-G10-FÍS</t>
  </si>
  <si>
    <t>15.8. Cálculo de la eficiencia de máquinas térmicas a partir de diagramas de flujo de energía y de datos reales de generación.</t>
  </si>
  <si>
    <t>Eficiencia de máquinas térmicas por balance de energía</t>
  </si>
  <si>
    <t>Aplicar: calcular eficiencias con datos reales. Razonar: explicar el calor cedido al foco frío</t>
  </si>
  <si>
    <t>T0268-G10-FÍS</t>
  </si>
  <si>
    <t>15.9. Análisis del ciclo de Carnot en el diagrama p-V y deducción de su eficiencia a partir de las temperaturas de los focos.</t>
  </si>
  <si>
    <t>Ciclo de Carnot; segunda ley fuera del catálogo</t>
  </si>
  <si>
    <t>Aplicar: calcular la eficiencia de Carnot. Razonar: comparar máquinas reales con el límite teórico</t>
  </si>
  <si>
    <t>T0269-G10-FÍS</t>
  </si>
  <si>
    <t>Máquinas frigoríficas</t>
  </si>
  <si>
    <t>15.10. Cálculo del coeficiente de rendimiento de refrigeradores, acondicionadores de aire y bombas de calor.</t>
  </si>
  <si>
    <t>Coeficiente de rendimiento de refrigeradores; balance energético</t>
  </si>
  <si>
    <t>Aplicar: calcular el coeficiente de rendimiento. Razonar: explicar el flujo de calor inverso</t>
  </si>
  <si>
    <r>
      <rPr>
        <sz val="10"/>
        <color indexed="8"/>
        <rFont val="Arial"/>
      </rPr>
      <t>E6; E3; E4; I3; E6</t>
    </r>
  </si>
  <si>
    <t>T0270-G10-FÍS</t>
  </si>
  <si>
    <t>Entropía</t>
  </si>
  <si>
    <t>15.11. Cálculo del cambio de entropía en cambios de fase, en el ciclo de Carnot y en la transferencia irreversible de calor.</t>
  </si>
  <si>
    <t>Entropía, no está en el marco</t>
  </si>
  <si>
    <t>Aplicar: calcular cambios de entropía. Razonar: justificar la irreversibilidad</t>
  </si>
  <si>
    <t>T0271-G10-FÍS</t>
  </si>
  <si>
    <t>15.12. Investigación documental sobre la tercera ley y los métodos para alcanzar temperaturas cercanas al cero absoluto.</t>
  </si>
  <si>
    <t>Tercera ley de la termodinámica</t>
  </si>
  <si>
    <t>Conocer: enunciar la tercera ley. Razonar: argumentar la inalcanzabilidad del cero absoluto</t>
  </si>
  <si>
    <r>
      <rPr>
        <sz val="10"/>
        <color indexed="8"/>
        <rFont val="Arial"/>
      </rPr>
      <t>E1; E3; E1; I1; I4</t>
    </r>
  </si>
  <si>
    <t>T0272-G10-FÍS</t>
  </si>
  <si>
    <t>16. Óptica</t>
  </si>
  <si>
    <t>Óptica física</t>
  </si>
  <si>
    <t>16.1. Indagación de la propagación ondulatoria de la luz al incidir en objetos.</t>
  </si>
  <si>
    <t>Propagación ondulatoria de la luz</t>
  </si>
  <si>
    <t>Conocer: describir la luz como onda. Aplicar: usar el principio de Huygens. Razonar: comparar aberturas y longitud de onda</t>
  </si>
  <si>
    <t>T0273-G10-FÍS</t>
  </si>
  <si>
    <t>16.2. Experimentación con los fenómenos de interferencia, difracción y polarización de la luz.</t>
  </si>
  <si>
    <t>Interferencia, difracción y polarización de la luz</t>
  </si>
  <si>
    <t>Aplicar: representar interferencia y polarización. Razonar: relacionar variables del montaje con el patrón</t>
  </si>
  <si>
    <t>T0274-G10-FÍS</t>
  </si>
  <si>
    <t>16.3. Exploración de las aplicaciones tecnológicas de la interferencia, difracción y polarización.</t>
  </si>
  <si>
    <t>Aplicaciones de interferencia y difracción</t>
  </si>
  <si>
    <t>Conocer: identificar aplicaciones. Razonar: explicar su funcionamiento con fenómenos ondulatorios</t>
  </si>
  <si>
    <t>T0275-G10-FÍS</t>
  </si>
  <si>
    <t>16.4. Reconocimiento de la dispersión y descomposición de la luz en situaciones cotidianas.</t>
  </si>
  <si>
    <t>Dispersión de la luz como refracción; espectro visible</t>
  </si>
  <si>
    <t>Conocer: identificar dispersión y descomposición. Razonar: relacionar partículas con el color del cielo</t>
  </si>
  <si>
    <t>T0276-G10-FÍS</t>
  </si>
  <si>
    <t>16.5. Experimentación con los fenómenos de dispersión y descomposición de la luz.</t>
  </si>
  <si>
    <t>Experimentación con dispersión y descomposición de la luz</t>
  </si>
  <si>
    <t>Aplicar: medir desviaciones angulares. Razonar: concluir sobre la dependencia del índice con la longitud de onda</t>
  </si>
  <si>
    <t>T0277-G10-FÍS</t>
  </si>
  <si>
    <t>16.6. Exploración de las aplicaciones tecnológicas de la dispersión y descomposición de la luz.</t>
  </si>
  <si>
    <t>Aplicaciones tecnológicas de la dispersión</t>
  </si>
  <si>
    <t>Conocer: identificar aplicaciones. Aplicar: construir un espectroscopio. Razonar: valorar su uso social</t>
  </si>
  <si>
    <t>T0278-G10-FÍS</t>
  </si>
  <si>
    <t>Óptica geométrica</t>
  </si>
  <si>
    <t>16.7. Indagación del comportamiento corpuscular de la luz.</t>
  </si>
  <si>
    <t>Trayectoria de la luz en reflexión y refracción</t>
  </si>
  <si>
    <t>Conocer: describir la propagación rectilínea. Aplicar: predecir trayectorias. Razonar: comparar modelos de la luz</t>
  </si>
  <si>
    <t>T0279-G10-FÍS</t>
  </si>
  <si>
    <t>16.8. Medición de los ángulos de incidencia, refracción, reflexión y crítico.</t>
  </si>
  <si>
    <t>Medición de ángulos de reflexión y refracción</t>
  </si>
  <si>
    <t>Aplicar: medir ángulos y linealizar datos. Razonar: validar la ley de Snell con evidencia</t>
  </si>
  <si>
    <t>T0280-G10-FÍS</t>
  </si>
  <si>
    <t>16.9. Resolución de problemas sobre reflexión, refracción y reflexión interna total.</t>
  </si>
  <si>
    <t>Problemas de reflexión, refracción y reflexión total</t>
  </si>
  <si>
    <t>Aplicar: resolver problemas con la ley de Snell. Razonar: decidir si ocurre reflexión interna total</t>
  </si>
  <si>
    <r>
      <rPr>
        <sz val="10"/>
        <color indexed="8"/>
        <rFont val="Arial"/>
      </rPr>
      <t>E1; E3; E1; E4; E3</t>
    </r>
  </si>
  <si>
    <t>T0281-G10-FÍS</t>
  </si>
  <si>
    <t>16.10. Indagación de las propiedades de las imágenes.</t>
  </si>
  <si>
    <t>Propiedades de imágenes por reflexión y refracción</t>
  </si>
  <si>
    <t>Conocer: identificar propiedades de imágenes. Razonar: clasificar imágenes con diagramas de rayos</t>
  </si>
  <si>
    <t>T0282-G10-FÍS</t>
  </si>
  <si>
    <t>16.11. Determinación de la posición y el tamaño de una imagen formada por refracción y reflexión.</t>
  </si>
  <si>
    <t>Posición y tamaño de imágenes por espejos y lentes</t>
  </si>
  <si>
    <t>Aplicar: calcular posición y tamaño de imágenes. Razonar: contrastar cálculo y medición</t>
  </si>
  <si>
    <t>T0283-G10-FÍS</t>
  </si>
  <si>
    <t>16.12. Exploración de las aplicaciones tecnológicas de las propiedades de las imágenes.</t>
  </si>
  <si>
    <t>Aplicaciones tecnológicas de imágenes ópticas</t>
  </si>
  <si>
    <t>Aplicar: construir un dispositivo óptico. Razonar: explicar la formación de la imagen</t>
  </si>
  <si>
    <r>
      <rPr>
        <sz val="10"/>
        <color indexed="8"/>
        <rFont val="Arial"/>
      </rPr>
      <t>E6; E5; E4; D2; E6</t>
    </r>
  </si>
  <si>
    <t>T0284-G11-FÍS</t>
  </si>
  <si>
    <t>Física 11.°</t>
  </si>
  <si>
    <t>1. Movimiento armónico simple</t>
  </si>
  <si>
    <t>El oscilador masa-resorte</t>
  </si>
  <si>
    <t>1.1. Determinación experimental de la constante elástica de un resorte a partir de la gráfica fuerza-elongación.</t>
  </si>
  <si>
    <t>Ley de Hooke: fuerza elástica y su efecto en un resorte</t>
  </si>
  <si>
    <t>Aplicar: medir, graficar y calcular la pendiente. Razonar: evaluar el modelo de resorte ideal</t>
  </si>
  <si>
    <t>T0285-G11-FÍS</t>
  </si>
  <si>
    <t>1.2. Representación del movimiento armónico simple como la proyección de un movimiento circular uniforme sobre un eje.</t>
  </si>
  <si>
    <t>Cinemática del MAS por círculo de referencia; MAS fuera del marco</t>
  </si>
  <si>
    <t>Aplicar: representar funciones sinusoidales. Razonar: relacionar movimiento circular y oscilatorio</t>
  </si>
  <si>
    <t>T0286-G11-FÍS</t>
  </si>
  <si>
    <t>Energía en las oscilaciones</t>
  </si>
  <si>
    <t>1.3. Cálculo de las energías potencial elástica, cinética y mecánica de un oscilador armónico en distintas posiciones.</t>
  </si>
  <si>
    <t>Conservación de energía mecánica en oscilador masa-resorte</t>
  </si>
  <si>
    <t>Aplicar: calcular energías. Razonar: justificar la conservación de la energía mecánica</t>
  </si>
  <si>
    <t>T0287-G11-FÍS</t>
  </si>
  <si>
    <t>El péndulo simple</t>
  </si>
  <si>
    <t>1.4. Determinación del valor local de la aceleración de la gravedad mediante el período de un péndulo simple.</t>
  </si>
  <si>
    <t>Péndulo simple (MAS) para medir g; no hay objetivo de oscilaciones</t>
  </si>
  <si>
    <t>Aplicar: linealizar y calcular. Razonar: evaluar incertidumbres y supuestos del modelo</t>
  </si>
  <si>
    <t>T0288-G11-FÍS</t>
  </si>
  <si>
    <t>Oscilaciones reales</t>
  </si>
  <si>
    <t>1.5. Análisis gráfico del decaimiento de la amplitud en un oscilador amortiguado.</t>
  </si>
  <si>
    <t>Oscilaciones amortiguadas no figuran en el marco</t>
  </si>
  <si>
    <t>Aplicar: ajustar una función exponencial. Razonar: comparar modelos de oscilación</t>
  </si>
  <si>
    <r>
      <rPr>
        <sz val="10"/>
        <color indexed="8"/>
        <rFont val="Arial"/>
      </rPr>
      <t>E6; E5; E2; D4; I5</t>
    </r>
  </si>
  <si>
    <t>T0289-G11-FÍS</t>
  </si>
  <si>
    <t>1.6. Explicación de la resonancia en sistemas forzados y de sus efectos en estructuras y fenómenos naturales.</t>
  </si>
  <si>
    <t>Oscilaciones forzadas y resonancia mecánica fuera del marco</t>
  </si>
  <si>
    <t>Conocer: definir frecuencia natural. Razonar: explicar la resonancia en casos reales</t>
  </si>
  <si>
    <r>
      <rPr>
        <sz val="10"/>
        <color indexed="8"/>
        <rFont val="Arial"/>
      </rPr>
      <t>E6; E3; E4; I1; I4</t>
    </r>
  </si>
  <si>
    <t>T0290-G11-FÍS</t>
  </si>
  <si>
    <t>2. Elasticidad</t>
  </si>
  <si>
    <t>Deformación de sólidos</t>
  </si>
  <si>
    <t>2.1. Cálculo del esfuerzo, la deformación unitaria y el módulo de Young en elementos sometidos a tensión y compresión.</t>
  </si>
  <si>
    <t>Elasticidad de sólidos: esfuerzo, deformación, módulo de Young</t>
  </si>
  <si>
    <t>Aplicar: calcular esfuerzo y deformación. Razonar: comparar materiales</t>
  </si>
  <si>
    <r>
      <rPr>
        <sz val="10"/>
        <color indexed="8"/>
        <rFont val="Arial"/>
      </rPr>
      <t>E1; D1; E1; E4; E3</t>
    </r>
  </si>
  <si>
    <t>T0291-G11-FÍS</t>
  </si>
  <si>
    <t>2.2. Interpretación de gráficas esfuerzo-deformación de materiales que cumplen y que no cumplen la ley de Hooke.</t>
  </si>
  <si>
    <t>Gráficas esfuerzo-deformación; elasticidad de materiales fuera del marco</t>
  </si>
  <si>
    <t>Aplicar: construir e interpretar gráficas. Razonar: distinguir comportamiento elástico y plástico</t>
  </si>
  <si>
    <r>
      <rPr>
        <sz val="10"/>
        <color indexed="8"/>
        <rFont val="Arial"/>
      </rPr>
      <t>E1; E5; E2; D4; D3</t>
    </r>
  </si>
  <si>
    <t>T0292-G11-FÍS</t>
  </si>
  <si>
    <t>Materiales y riesgo sísmico</t>
  </si>
  <si>
    <t>2.3. Comparación de las propiedades elásticas de materiales de construcción y de su papel en el diseño sismorresistente.</t>
  </si>
  <si>
    <t>Aplicación de elasticidad a diseño sismorresistente</t>
  </si>
  <si>
    <t>Aplicar: comparar valores y calcular. Razonar: argumentar decisiones de diseño</t>
  </si>
  <si>
    <r>
      <rPr>
        <sz val="10"/>
        <color indexed="8"/>
        <rFont val="Arial"/>
      </rPr>
      <t>E6; E3; E1; I3; I5</t>
    </r>
  </si>
  <si>
    <t>T0293-G11-FÍS</t>
  </si>
  <si>
    <t>3. Ondas</t>
  </si>
  <si>
    <t>Características de las ondas</t>
  </si>
  <si>
    <t>3.1. Clasificación de ondas mecánicas según la dirección de oscilación del medio y la de propagación.</t>
  </si>
  <si>
    <t>Ondas mecánicas transversales y longitudinales, transporte de energía</t>
  </si>
  <si>
    <t>Conocer: clasificar ondas. Aplicar: interpretar registros sísmicos</t>
  </si>
  <si>
    <t>T0294-G11-FÍS</t>
  </si>
  <si>
    <t>3.2. Relación entre las ondas periódicas y el movimiento armónico simple de cada punto del medio.</t>
  </si>
  <si>
    <t>Relación v = λf en ondas periódicas</t>
  </si>
  <si>
    <t>Aplicar: calcular con v = λf. Razonar: relacionar el MAS con la propagación</t>
  </si>
  <si>
    <t>T0295-G11-FÍS</t>
  </si>
  <si>
    <t>Propagación en cuerdas</t>
  </si>
  <si>
    <t>3.3. Medición de la velocidad de propagación de pulsos en cuerdas con diferentes tensiones y densidades lineales.</t>
  </si>
  <si>
    <t>Rapidez de ondas en cuerdas según tensión y densidad</t>
  </si>
  <si>
    <t>Aplicar: medir y calcular velocidades. Razonar: contrastar datos con un modelo</t>
  </si>
  <si>
    <r>
      <rPr>
        <sz val="10"/>
        <color indexed="8"/>
        <rFont val="Arial"/>
      </rPr>
      <t>E1; E5; E1; D2; D3</t>
    </r>
  </si>
  <si>
    <t>T0296-G11-FÍS</t>
  </si>
  <si>
    <t>3.4. Interpretación de la función de onda armónica y(x,t) = A sen(kx − ωt + φ) en ondas transversales y longitudinales.</t>
  </si>
  <si>
    <t>Función de onda: amplitud, longitud de onda, frecuencia, rapidez</t>
  </si>
  <si>
    <t>Aplicar: extraer parámetros de una función. Razonar: interpretar la fase</t>
  </si>
  <si>
    <t>T0297-G11-FÍS</t>
  </si>
  <si>
    <t>4. Ondas de sonido</t>
  </si>
  <si>
    <t>El sonido como onda</t>
  </si>
  <si>
    <t>4.1. Análisis de la formación de ondas sonoras longitudinales como variaciones de presión en el aire.</t>
  </si>
  <si>
    <t>Sonido como onda mecánica longitudinal; frecuencia y tono</t>
  </si>
  <si>
    <t>Conocer: describir ondas sonoras. Aplicar: interpretar formas de onda</t>
  </si>
  <si>
    <t>T0298-G11-FÍS</t>
  </si>
  <si>
    <t>4.2. Medición de la velocidad del sonido en el aire y comparación con la velocidad en líquidos y sólidos.</t>
  </si>
  <si>
    <t>Rapidez del sonido en distintos medios</t>
  </si>
  <si>
    <t>Aplicar: medir y calcular velocidades. Razonar: relacionar velocidad con propiedades del medio</t>
  </si>
  <si>
    <t>T0299-G11-FÍS</t>
  </si>
  <si>
    <t>Intensidad del sonido</t>
  </si>
  <si>
    <t>4.3. Cálculo de la intensidad sonora a diferentes distancias de una fuente puntual.</t>
  </si>
  <si>
    <t>Intensidad sonora e inverso del cuadrado en ondas mecánicas</t>
  </si>
  <si>
    <t>Aplicar: calcular intensidades. Razonar: justificar distancias seguras</t>
  </si>
  <si>
    <r>
      <rPr>
        <sz val="10"/>
        <color indexed="8"/>
        <rFont val="Arial"/>
      </rPr>
      <t>E6; E3; E2; E4; I5</t>
    </r>
  </si>
  <si>
    <t>T0300-G11-FÍS</t>
  </si>
  <si>
    <t>4.4. Cálculo e interpretación de niveles de intensidad sonora en decibelios en ambientes cotidianos.</t>
  </si>
  <si>
    <t>Nivel de intensidad sonora en decibelios</t>
  </si>
  <si>
    <t>Aplicar: calcular en escala logarítmica. Razonar: argumentar con datos medidos</t>
  </si>
  <si>
    <t>T0301-G11-FÍS</t>
  </si>
  <si>
    <t>Sonido en movimiento</t>
  </si>
  <si>
    <t>4.5. Análisis del cambio de frecuencia percibida cuando la fuente o el observador se mueven.</t>
  </si>
  <si>
    <t>Efecto Doppler: frecuencia percibida de ondas sonoras</t>
  </si>
  <si>
    <t>Aplicar: calcular frecuencias percibidas. Razonar: explicar con frentes de onda</t>
  </si>
  <si>
    <t>T0302-G11-FÍS</t>
  </si>
  <si>
    <t>4.6. Explicación de la física del ultrasonido y de sus aplicaciones diagnósticas y terapéuticas en la medicina.</t>
  </si>
  <si>
    <t>Ultrasonido: Doppler y reflexión de ondas mecánicas</t>
  </si>
  <si>
    <t>Conocer: describir aplicaciones. Aplicar: calcular profundidades con ecos</t>
  </si>
  <si>
    <r>
      <rPr>
        <sz val="10"/>
        <color indexed="8"/>
        <rFont val="Arial"/>
      </rPr>
      <t>E6; E3; E1; I1; I2</t>
    </r>
  </si>
  <si>
    <t>T0303-G11-FÍS</t>
  </si>
  <si>
    <t>Audición humana</t>
  </si>
  <si>
    <t>4.7. Interpretación de las curvas de igual sonoridad y de los riesgos de la exposición prolongada a niveles altos de sonido.</t>
  </si>
  <si>
    <t>Audición y sensibilidad según frecuencia; contenido aplicado</t>
  </si>
  <si>
    <t>Aplicar: leer gráficas logarítmicas. Razonar: argumentar medidas de protección</t>
  </si>
  <si>
    <r>
      <rPr>
        <sz val="10"/>
        <color indexed="8"/>
        <rFont val="Arial"/>
      </rPr>
      <t>E1; D1; E2; I3; E6</t>
    </r>
  </si>
  <si>
    <t>T0304-G11-FÍS</t>
  </si>
  <si>
    <t>5. Superposición lineal y fenómenos de interferencia</t>
  </si>
  <si>
    <t>Principio de superposición</t>
  </si>
  <si>
    <t>5.1. Análisis de la superposición de pulsos que viajan en sentidos opuestos en un resorte largo.</t>
  </si>
  <si>
    <t>Superposición de pulsos: interferencia constructiva y destructiva</t>
  </si>
  <si>
    <t>Aplicar: sumar desplazamientos. Razonar: justificar la independencia de las ondas</t>
  </si>
  <si>
    <t>T0305-G11-FÍS</t>
  </si>
  <si>
    <t>5.2. Análisis de la interferencia constructiva y destructiva de ondas sonoras según la diferencia de camino.</t>
  </si>
  <si>
    <t>Interferencia de ondas sonoras según diferencia de camino</t>
  </si>
  <si>
    <t>Aplicar: calcular diferencias de camino. Razonar: interpretar patrones de interferencia</t>
  </si>
  <si>
    <r>
      <rPr>
        <sz val="10"/>
        <color indexed="8"/>
        <rFont val="Arial"/>
      </rPr>
      <t>E6; D1; E2; D4; D3</t>
    </r>
  </si>
  <si>
    <t>T0306-G11-FÍS</t>
  </si>
  <si>
    <t>Difracción e interferencia</t>
  </si>
  <si>
    <t>5.3. Relación entre el ancho de una abertura, la longitud de onda y la amplitud de la difracción de ondas mecánicas.</t>
  </si>
  <si>
    <t>Difracción según relación abertura-longitud de onda</t>
  </si>
  <si>
    <t>Aplicar: comparar λ con la abertura. Razonar: explicar con el principio de Huygens</t>
  </si>
  <si>
    <t>T0307-G11-FÍS</t>
  </si>
  <si>
    <t>5.4. Cálculo de la frecuencia de pulsación entre dos sonidos de frecuencias cercanas y su uso en la afinación.</t>
  </si>
  <si>
    <t>Pulsaciones como interferencia de frecuencias cercanas</t>
  </si>
  <si>
    <t>Aplicar: calcular frecuencias de pulsación. Razonar: evaluar un método de medición</t>
  </si>
  <si>
    <t>T0308-G11-FÍS</t>
  </si>
  <si>
    <t>Ondas estacionarias</t>
  </si>
  <si>
    <t>5.5. Cálculo de las frecuencias de los armónicos de una cuerda fija en ambos extremos.</t>
  </si>
  <si>
    <t>Ondas estacionarias en cuerdas: armónicos, nodos, rapidez</t>
  </si>
  <si>
    <t>Aplicar: calcular armónicos. Razonar: explicar la cuantización de frecuencias</t>
  </si>
  <si>
    <t>T0309-G11-FÍS</t>
  </si>
  <si>
    <t>5.6. Determinación de las frecuencias de resonancia en tubos abiertos y cerrados.</t>
  </si>
  <si>
    <t>Resonancia en tubos; ondas estacionarias sonoras</t>
  </si>
  <si>
    <t>Aplicar: calcular frecuencias de resonancia. Razonar: comparar tubos abiertos y cerrados</t>
  </si>
  <si>
    <r>
      <rPr>
        <sz val="10"/>
        <color indexed="8"/>
        <rFont val="Arial"/>
      </rPr>
      <t>E1; E5; E2; D4; E3</t>
    </r>
  </si>
  <si>
    <t>T0310-G11-FÍS</t>
  </si>
  <si>
    <t>Sonidos complejos</t>
  </si>
  <si>
    <t>5.7. Análisis del espectro de frecuencias de sonidos producidos por diferentes instrumentos musicales.</t>
  </si>
  <si>
    <t>Timbre y espectro de frecuencias de ondas sonoras</t>
  </si>
  <si>
    <t>Aplicar: interpretar espectros. Razonar: argumentar con evidencia espectral</t>
  </si>
  <si>
    <r>
      <rPr>
        <sz val="10"/>
        <color indexed="8"/>
        <rFont val="Arial"/>
      </rPr>
      <t>E6; D1; E2; I3; I4</t>
    </r>
  </si>
  <si>
    <t>T0311-G11-FÍS</t>
  </si>
  <si>
    <t>6. Fuerzas eléctricas</t>
  </si>
  <si>
    <t>La carga eléctrica</t>
  </si>
  <si>
    <t>6.1. Relación entre la estructura atómica de la materia y el origen de la carga eléctrica cuantizada.</t>
  </si>
  <si>
    <r>
      <rPr>
        <sz val="10"/>
        <color indexed="8"/>
        <rFont val="Arial"/>
      </rPr>
      <t>Electricidad y circuitos</t>
    </r>
  </si>
  <si>
    <t>Origen y cuantización de la carga desde estructura atómica</t>
  </si>
  <si>
    <t>Conocer: describir la carga eléctrica. Aplicar: calcular número de electrones</t>
  </si>
  <si>
    <r>
      <rPr>
        <sz val="10"/>
        <color indexed="8"/>
        <rFont val="Arial"/>
      </rPr>
      <t>E1; D1; E1; I1; E3</t>
    </r>
  </si>
  <si>
    <t>T0312-G11-FÍS</t>
  </si>
  <si>
    <t>6.2. Aplicación de la ley de conservación de la carga en procesos de electrización y en aplicaciones cotidianas de la electrostática.</t>
  </si>
  <si>
    <t>Conservación de carga e interacción electrostática</t>
  </si>
  <si>
    <t>Aplicar: resolver problemas de conservación. Razonar: explicar aplicaciones tecnológicas</t>
  </si>
  <si>
    <r>
      <rPr>
        <sz val="10"/>
        <color indexed="8"/>
        <rFont val="Arial"/>
      </rPr>
      <t>E6; E3; E1; I2; E6</t>
    </r>
  </si>
  <si>
    <t>T0313-G11-FÍS</t>
  </si>
  <si>
    <t>Materiales y electrización</t>
  </si>
  <si>
    <t>6.3. Clasificación de materiales como conductores o aislantes según la movilidad de sus cargas.</t>
  </si>
  <si>
    <t>Conductores y aislantes en electrostática; base para Coulomb</t>
  </si>
  <si>
    <t>Aplicar: clasificar materiales. Razonar: justificar con el modelo de electrones libres</t>
  </si>
  <si>
    <r>
      <rPr>
        <sz val="10"/>
        <color indexed="8"/>
        <rFont val="Arial"/>
      </rPr>
      <t>E1; E5; E4; D4; D3</t>
    </r>
  </si>
  <si>
    <t>T0314-G11-FÍS</t>
  </si>
  <si>
    <t>6.4. Comparación de los procesos de carga por contacto y por inducción mediante diagramas de distribución de cargas.</t>
  </si>
  <si>
    <t>Electrización por contacto e inducción; fuerzas entre cargas</t>
  </si>
  <si>
    <t>Aplicar: representar distribuciones de carga. Razonar: justificar el signo de la carga inducida</t>
  </si>
  <si>
    <t>T0315-G11-FÍS</t>
  </si>
  <si>
    <t>6.5. Cálculo vectorial de la fuerza eléctrica neta sobre una carga debida a varias cargas puntuales en un plano.</t>
  </si>
  <si>
    <t>Ley de Coulomb vectorial y superposición de fuerzas</t>
  </si>
  <si>
    <t>Aplicar: descomponer y sumar vectores. Razonar: justificar condiciones de equilibrio</t>
  </si>
  <si>
    <t>T0316-G11-FÍS</t>
  </si>
  <si>
    <t>7. Campos eléctricos</t>
  </si>
  <si>
    <t>El campo eléctrico</t>
  </si>
  <si>
    <t>7.1. Cálculo del campo eléctrico producido por una o varias cargas puntuales en un punto del espacio.</t>
  </si>
  <si>
    <t>Campo eléctrico de cargas puntuales y fuerza sobre carga</t>
  </si>
  <si>
    <t>Aplicar: calcular campos vectoriales. Razonar: relacionar campo y fuerza</t>
  </si>
  <si>
    <t>T0317-G11-FÍS</t>
  </si>
  <si>
    <t>7.2. Representación de campos eléctricos mediante líneas de campo para distintas configuraciones de carga.</t>
  </si>
  <si>
    <t>Líneas de campo eléctrico de distintas configuraciones</t>
  </si>
  <si>
    <t>Aplicar: representar líneas de campo. Razonar: inferir la intensidad del campo</t>
  </si>
  <si>
    <t>T0318-G11-FÍS</t>
  </si>
  <si>
    <t>Conductores en equilibrio</t>
  </si>
  <si>
    <t>7.3. Comprobación experimental del blindaje electrostático en recintos conductores.</t>
  </si>
  <si>
    <t>Campo eléctrico nulo en conductores en equilibrio</t>
  </si>
  <si>
    <t>Aplicar: comprobar el blindaje. Razonar: argumentar con el modelo de conductor en equilibrio</t>
  </si>
  <si>
    <r>
      <rPr>
        <sz val="10"/>
        <color indexed="8"/>
        <rFont val="Arial"/>
      </rPr>
      <t>E6; E5; E4; D2; I5</t>
    </r>
  </si>
  <si>
    <t>T0319-G11-FÍS</t>
  </si>
  <si>
    <t>7.4. Aplicación de la ley de Gauss para calcular el campo eléctrico de distribuciones de carga con simetría esférica y plana.</t>
  </si>
  <si>
    <t>Ley de Gauss para calcular campos eléctricos</t>
  </si>
  <si>
    <t>Aplicar: calcular flujo y campo. Razonar: evaluar la simetría de una distribución</t>
  </si>
  <si>
    <t>T0320-G11-FÍS</t>
  </si>
  <si>
    <t>Aplicaciones tecnológicas</t>
  </si>
  <si>
    <t>7.5. Explicación de la física de la xerografía en fotocopiadoras e impresoras láser y comparación con las impresoras de inyección de tinta.</t>
  </si>
  <si>
    <t>Xerografía: aplicación de carga y campo eléctrico</t>
  </si>
  <si>
    <t>Conocer: describir etapas. Razonar: comparar tecnologías de impresión</t>
  </si>
  <si>
    <r>
      <rPr>
        <sz val="10"/>
        <color indexed="8"/>
        <rFont val="Arial"/>
      </rPr>
      <t>E6; E3; E4; I1; I5</t>
    </r>
  </si>
  <si>
    <t>T0321-G11-FÍS</t>
  </si>
  <si>
    <t>8. Energía potencial eléctrica</t>
  </si>
  <si>
    <t>Energía potencial eléctrica</t>
  </si>
  <si>
    <t>8.1. Comparación entre la energía potencial gravitatoria y la energía potencial eléctrica como energías asociadas a fuerzas conservativas.</t>
  </si>
  <si>
    <t>Energía potencial eléctrica análoga a la gravitatoria</t>
  </si>
  <si>
    <t>Conocer: definir energía potencial eléctrica. Aplicar: comparar modelos. Razonar: identificar los límites de una analogía</t>
  </si>
  <si>
    <r>
      <rPr>
        <sz val="10"/>
        <color indexed="8"/>
        <rFont val="Arial"/>
      </rPr>
      <t>E1; E3; E2; E4; E6</t>
    </r>
  </si>
  <si>
    <t>T0322-G11-FÍS</t>
  </si>
  <si>
    <t>8.2. Cálculo de la diferencia de potencial a partir del trabajo realizado por la fuerza eléctrica sobre una carga de prueba.</t>
  </si>
  <si>
    <t>Diferencia de potencial y trabajo sobre carga en campo uniforme</t>
  </si>
  <si>
    <t>Aplicar: calcular diferencias de potencial y trabajo. Razonar: justificar el signo del trabajo eléctrico</t>
  </si>
  <si>
    <t>T0323-G11-FÍS</t>
  </si>
  <si>
    <t>Potencial de cargas puntuales</t>
  </si>
  <si>
    <t>8.3. Cálculo del potencial eléctrico total producido por varias cargas puntuales mediante suma escalar.</t>
  </si>
  <si>
    <t>Potencial de cargas puntuales por superposición</t>
  </si>
  <si>
    <t>Aplicar: calcular y representar el potencial. Razonar: distinguir magnitudes escalares y vectoriales</t>
  </si>
  <si>
    <r>
      <rPr>
        <sz val="10"/>
        <color indexed="8"/>
        <rFont val="Arial"/>
      </rPr>
      <t>E1; E5; E2; E4; D3</t>
    </r>
  </si>
  <si>
    <t>T0324-G11-FÍS</t>
  </si>
  <si>
    <t>8.4. Medición de líneas equipotenciales en un medio conductor alimentado con una pila de 9 V.</t>
  </si>
  <si>
    <t>Equipotenciales y relación campo-potencial</t>
  </si>
  <si>
    <t>Aplicar: medir y representar equipotenciales. Razonar: justificar la perpendicularidad entre campo y equipotenciales</t>
  </si>
  <si>
    <t>T0325-G11-FÍS</t>
  </si>
  <si>
    <t>Condensadores</t>
  </si>
  <si>
    <t>8.5. Construcción de un condensador de placas paralelas con papel aluminio y medición de su capacitancia con distintos dieléctricos.</t>
  </si>
  <si>
    <t>Condensador de placas: campo uniforme; capacitancia no explícita en marco</t>
  </si>
  <si>
    <t>Aplicar: calcular capacitancia y energía. Razonar: interpretar mediciones y fuentes de error</t>
  </si>
  <si>
    <t>T0326-G11-FÍS</t>
  </si>
  <si>
    <t>Aplicaciones biomédicas</t>
  </si>
  <si>
    <t>8.6. Interpretación de las diferencias de potencial en neuronas y en el corazón como base de las técnicas de diagnóstico médico.</t>
  </si>
  <si>
    <t>Aplicación biomédica (ECG) sin contenido específico del catálogo</t>
  </si>
  <si>
    <t>Conocer: describir el potencial de membrana. Aplicar: estimar magnitudes. Razonar: evaluar fuentes</t>
  </si>
  <si>
    <r>
      <rPr>
        <sz val="10"/>
        <color indexed="8"/>
        <rFont val="Arial"/>
      </rPr>
      <t>E6; E5; E4; I1; E6</t>
    </r>
  </si>
  <si>
    <t>T0327-G11-FÍS</t>
  </si>
  <si>
    <t>9. Circuitos eléctricos</t>
  </si>
  <si>
    <t>Corriente y fuerza electromotriz</t>
  </si>
  <si>
    <t>9.1. Análisis de la fuerza electromotriz como energía por unidad de carga que suministra una fuente y de la corriente como flujo de carga.</t>
  </si>
  <si>
    <t>Fuerza electromotriz, corriente y energía en circuitos</t>
  </si>
  <si>
    <t>Conocer: definir fuerza electromotriz y corriente. Aplicar: calcular carga y energía</t>
  </si>
  <si>
    <t>T0328-G11-FÍS</t>
  </si>
  <si>
    <t>9.2. Construcción de curvas voltaje-corriente para un resistor y un LED alimentados con pilas.</t>
  </si>
  <si>
    <t>Ley de Ohm y curvas voltaje-corriente</t>
  </si>
  <si>
    <t>Aplicar: representar datos y calcular pendientes. Razonar: clasificar conductores con base en evidencia</t>
  </si>
  <si>
    <r>
      <rPr>
        <sz val="10"/>
        <color indexed="8"/>
        <rFont val="Arial"/>
      </rPr>
      <t>E1; E3; E2; D4; I2</t>
    </r>
  </si>
  <si>
    <t>T0329-G11-FÍS</t>
  </si>
  <si>
    <t>Resistencia de los materiales</t>
  </si>
  <si>
    <t>9.3. Medición de la resistencia de alambres de distinta longitud y grosor para determinar la resistividad del material.</t>
  </si>
  <si>
    <t>Resistencia y resistividad de conductores</t>
  </si>
  <si>
    <t>Aplicar: calcular resistividad. Razonar: justificar la elección de materiales conductores</t>
  </si>
  <si>
    <t>T0330-G11-FÍS</t>
  </si>
  <si>
    <t>9.4. Cálculo de la potencia y la energía consumida por aparatos del hogar a partir de sus especificaciones.</t>
  </si>
  <si>
    <t>Potencia eléctrica y efecto Joule</t>
  </si>
  <si>
    <t>Aplicar: calcular potencia y energía. Razonar: argumentar decisiones de ahorro con datos</t>
  </si>
  <si>
    <r>
      <rPr>
        <sz val="10"/>
        <color indexed="8"/>
        <rFont val="Arial"/>
      </rPr>
      <t>E6; E3; E1; I3; E6</t>
    </r>
  </si>
  <si>
    <t>T0331-G11-FÍS</t>
  </si>
  <si>
    <t>Combinación de resistencias</t>
  </si>
  <si>
    <t>9.5. Análisis de la corriente, el voltaje y la potencia en resistencias conectadas en serie.</t>
  </si>
  <si>
    <t>Circuito en serie con ley de Ohm</t>
  </si>
  <si>
    <t>Aplicar: calcular resistencia equivalente y caídas de voltaje. Razonar: verificar predicciones con mediciones</t>
  </si>
  <si>
    <t>T0332-G11-FÍS</t>
  </si>
  <si>
    <t>9.6. Análisis de la distribución de corriente en resistencias conectadas en paralelo y su aplicación en las instalaciones del hogar.</t>
  </si>
  <si>
    <t>Circuito en paralelo con ley de Ohm</t>
  </si>
  <si>
    <t>Aplicar: calcular corrientes en paralelo. Razonar: justificar el diseño de las instalaciones domésticas</t>
  </si>
  <si>
    <t>T0333-G11-FÍS</t>
  </si>
  <si>
    <t>9.7. Resolución de circuitos con resistencias parcialmente en serie y parcialmente en paralelo mediante reducción sucesiva.</t>
  </si>
  <si>
    <t>Circuitos mixtos: corriente, voltaje y potencia</t>
  </si>
  <si>
    <t>Aplicar: resolver circuitos por reducción. Razonar: contrastar cálculo y medición</t>
  </si>
  <si>
    <t>T0334-G11-FÍS</t>
  </si>
  <si>
    <t>Fuentes reales y leyes de Kirchhoff</t>
  </si>
  <si>
    <t>9.8. Determinación experimental de la fuerza electromotriz y la resistencia interna de una pila a partir de la gráfica voltaje en bornes-corriente.</t>
  </si>
  <si>
    <t>Resistencia interna y voltaje en bornes</t>
  </si>
  <si>
    <t>Aplicar: obtener parámetros de una gráfica. Razonar: interpretar el modelo de fuente real</t>
  </si>
  <si>
    <r>
      <rPr>
        <sz val="10"/>
        <color indexed="8"/>
        <rFont val="Arial"/>
      </rPr>
      <t>E1; E5; E2; D4; I5</t>
    </r>
  </si>
  <si>
    <t>T0335-G11-FÍS</t>
  </si>
  <si>
    <t>9.9. Aplicación de las reglas de Kirchhoff para resolver circuitos de dos mallas con dos fuentes.</t>
  </si>
  <si>
    <t>Leyes de Kirchhoff en circuitos de varias mallas</t>
  </si>
  <si>
    <t>Aplicar: plantear y resolver sistemas de ecuaciones. Razonar: evaluar la coherencia de los signos</t>
  </si>
  <si>
    <t>T0336-G11-FÍS</t>
  </si>
  <si>
    <t>9.10. Medición correcta de corriente y voltaje con el multímetro, analizando la conexión en serie o en paralelo del instrumento.</t>
  </si>
  <si>
    <t>Medición de corriente y voltaje en circuitos</t>
  </si>
  <si>
    <t>Conocer: identificar instrumentos. Aplicar: medir. Razonar: evaluar el efecto de carga del instrumento</t>
  </si>
  <si>
    <r>
      <rPr>
        <sz val="10"/>
        <color indexed="8"/>
        <rFont val="Arial"/>
      </rPr>
      <t>E1; E3; E4; D2; D3</t>
    </r>
  </si>
  <si>
    <t>T0337-G11-FÍS</t>
  </si>
  <si>
    <t>Condensadores en circuitos</t>
  </si>
  <si>
    <t>9.11. Cálculo de la capacitancia equivalente y de la carga almacenada en combinaciones de condensadores en serie y en paralelo.</t>
  </si>
  <si>
    <t>Condensadores en serie y paralelo dentro de circuitos</t>
  </si>
  <si>
    <t>Aplicar: calcular capacitancia equivalente y carga. Razonar: comparar reglas de combinación</t>
  </si>
  <si>
    <t>T0338-G11-FÍS</t>
  </si>
  <si>
    <t>9.12. Medición de la carga y descarga de un condensador en un circuito RC alimentado con una pila de 9 V.</t>
  </si>
  <si>
    <t>Circuito RC: carga y descarga; extensión de circuitos</t>
  </si>
  <si>
    <t>Aplicar: linealizar y ajustar datos. Razonar: comparar el valor experimental con el modelo</t>
  </si>
  <si>
    <t>T0339-G11-FÍS</t>
  </si>
  <si>
    <t>Seguridad eléctrica</t>
  </si>
  <si>
    <t>9.13. Análisis de los efectos fisiológicos de la corriente según su intensidad y de las medidas de protección en instalaciones eléctricas.</t>
  </si>
  <si>
    <t>Ley de Ohm aplicada a seguridad eléctrica</t>
  </si>
  <si>
    <t>Conocer: describir efectos fisiológicos. Aplicar: estimar corrientes. Razonar: justificar medidas de seguridad</t>
  </si>
  <si>
    <t>T0340-G11-FÍS</t>
  </si>
  <si>
    <t>10. Fuerzas magnéticas</t>
  </si>
  <si>
    <t>Fuerza magnética sobre cargas</t>
  </si>
  <si>
    <t>10.1. Cálculo de la magnitud y la dirección de la fuerza magnética sobre una carga en movimiento mediante el producto vectorial.</t>
  </si>
  <si>
    <r>
      <rPr>
        <sz val="10"/>
        <color indexed="8"/>
        <rFont val="Arial"/>
      </rPr>
      <t>Magnetismo e inducción electromagnética</t>
    </r>
  </si>
  <si>
    <t>Fuerza de Lorentz sobre cargas en movimiento</t>
  </si>
  <si>
    <t>Aplicar: calcular productos vectoriales. Razonar: justificar la dirección de la fuerza</t>
  </si>
  <si>
    <r>
      <rPr>
        <sz val="10"/>
        <color indexed="8"/>
        <rFont val="Arial"/>
      </rPr>
      <t>E6; D1; E2; E4; E3</t>
    </r>
  </si>
  <si>
    <t>T0341-G11-FÍS</t>
  </si>
  <si>
    <t>10.2. Análisis del movimiento circular uniforme de una partícula cargada en un campo magnético uniforme.</t>
  </si>
  <si>
    <t>Trayectoria circular de cargas en campo magnético</t>
  </si>
  <si>
    <t>Aplicar: calcular radio y período. Razonar: comparar movimientos en campos eléctricos y magnéticos</t>
  </si>
  <si>
    <t>T0342-G11-FÍS</t>
  </si>
  <si>
    <t>10.3. Interpretación del funcionamiento del espectrómetro de masas y de sus aplicaciones en el análisis químico y ambiental.</t>
  </si>
  <si>
    <t>Espectrómetro de masas: trayectoria de iones en campo magnético</t>
  </si>
  <si>
    <t>Aplicar: calcular la relación masa-carga. Razonar: valorar aplicaciones científicas</t>
  </si>
  <si>
    <r>
      <rPr>
        <sz val="10"/>
        <color indexed="8"/>
        <rFont val="Arial"/>
      </rPr>
      <t>E6; E5; E1; I1; I5</t>
    </r>
  </si>
  <si>
    <t>T0343-G11-FÍS</t>
  </si>
  <si>
    <t>Fuerza magnética sobre corrientes</t>
  </si>
  <si>
    <t>10.4. Medición de la fuerza magnética sobre un conductor con corriente suministrada por pilas en el campo de un imán.</t>
  </si>
  <si>
    <t>Fuerza magnética sobre conductor con corriente; altavoz</t>
  </si>
  <si>
    <t>Aplicar: calcular y medir fuerzas sobre corrientes. Razonar: evaluar un diseño experimental</t>
  </si>
  <si>
    <t>T0344-G11-FÍS</t>
  </si>
  <si>
    <t>10.5. Cálculo del par de torsión sobre una bobina con corriente y análisis del funcionamiento de un motor de corriente continua.</t>
  </si>
  <si>
    <t>Par sobre espira y motor de corriente continua</t>
  </si>
  <si>
    <t>Aplicar: calcular par de torsión. Razonar: explicar el funcionamiento del conmutador</t>
  </si>
  <si>
    <t>T0345-G11-FÍS</t>
  </si>
  <si>
    <t>11. Campos magnéticos</t>
  </si>
  <si>
    <t>Campo magnético</t>
  </si>
  <si>
    <t>11.1. Representación de las líneas de campo magnético de imanes y del campo terrestre a partir de observaciones con brújulas y limaduras.</t>
  </si>
  <si>
    <t>Imanes, líneas de campo magnético y campo terrestre</t>
  </si>
  <si>
    <t>Conocer: describir líneas de campo. Aplicar: representar campos. Razonar: interpretar la declinación</t>
  </si>
  <si>
    <t>T0346-G11-FÍS</t>
  </si>
  <si>
    <t>11.2. Medición del campo magnético de un conductor rectilíneo y de una bobina con corriente de pilas usando el magnetómetro del teléfono.</t>
  </si>
  <si>
    <t>Oersted: campo magnético de una corriente</t>
  </si>
  <si>
    <t>Aplicar: calcular y medir campos magnéticos. Razonar: verificar una relación inversa con datos</t>
  </si>
  <si>
    <r>
      <rPr>
        <sz val="10"/>
        <color indexed="8"/>
        <rFont val="Arial"/>
      </rPr>
      <t>E1; E5; E1; D4; D3</t>
    </r>
  </si>
  <si>
    <t>T0347-G11-FÍS</t>
  </si>
  <si>
    <t>Ley de Ampère</t>
  </si>
  <si>
    <t>11.3. Aplicación de la ley de Ampère para determinar el campo magnético de un conductor rectilíneo y de un solenoide.</t>
  </si>
  <si>
    <t>Ley de Ampère, solenoide y electroimán</t>
  </si>
  <si>
    <t>Aplicar: usar la ley de Ampère. Razonar: justificar la elección de la trayectoria cerrada</t>
  </si>
  <si>
    <r>
      <rPr>
        <sz val="10"/>
        <color indexed="8"/>
        <rFont val="Arial"/>
      </rPr>
      <t>E1; E3; E4; D4; I4</t>
    </r>
  </si>
  <si>
    <t>T0348-G11-FÍS</t>
  </si>
  <si>
    <t>Materiales magnéticos</t>
  </si>
  <si>
    <t>11.4. Clasificación de materiales según su respuesta magnética y análisis de sus aplicaciones tecnológicas.</t>
  </si>
  <si>
    <t>Materiales magnéticos; relación periférica con electroimanes</t>
  </si>
  <si>
    <t>Conocer: clasificar materiales. Aplicar: explicar aplicaciones. Razonar: justificar la recuperación de materiales</t>
  </si>
  <si>
    <r>
      <rPr>
        <sz val="10"/>
        <color indexed="8"/>
        <rFont val="Arial"/>
      </rPr>
      <t>E1; E5; E4; I1; I5</t>
    </r>
  </si>
  <si>
    <t>T0349-G11-FÍS</t>
  </si>
  <si>
    <t>12. Electromagnetismo</t>
  </si>
  <si>
    <t>Introducción a las ecuaciones de Maxwell</t>
  </si>
  <si>
    <t>12.1. Demostración práctica del voltaje inducido.</t>
  </si>
  <si>
    <t>Inducción de voltaje</t>
  </si>
  <si>
    <t>Aplicar: calcular flujo y fem inducida. Razonar: explicar el signo del voltaje con la ley de Lenz</t>
  </si>
  <si>
    <t>T0350-G11-FÍS</t>
  </si>
  <si>
    <t>12.2. Comprobación experimental de las ecuaciones de Maxwell.</t>
  </si>
  <si>
    <t>Generadores y motores; relación electricidad-magnetismo</t>
  </si>
  <si>
    <t>Conocer: enunciar las ecuaciones de Maxwell. Razonar: vincular cada ecuación con evidencia experimental</t>
  </si>
  <si>
    <t>T0351-G11-FÍS</t>
  </si>
  <si>
    <t>12.3. Cálculo de magnitudes físicas en dispositivos electromagnéticos.</t>
  </si>
  <si>
    <t>Aceleradores: cargas en campos eléctricos y magnéticos</t>
  </si>
  <si>
    <t>Aplicar: calcular fem, radio y energía en dispositivos. Razonar: justificar dependencias entre variables</t>
  </si>
  <si>
    <r>
      <rPr>
        <sz val="10"/>
        <color indexed="8"/>
        <rFont val="Arial"/>
      </rPr>
      <t>E6; E3; E1; D4; E3</t>
    </r>
  </si>
  <si>
    <t>T0352-G11-FÍS</t>
  </si>
  <si>
    <t>Ondas electromagnéticas</t>
  </si>
  <si>
    <t>12.4. Indagación de los tipos de ondas que se encuentran en el espectro electromagnético.</t>
  </si>
  <si>
    <t>Espectro electromagnético</t>
  </si>
  <si>
    <t>Conocer: identificar regiones del espectro. Aplicar: calcular longitud de onda y frecuencia</t>
  </si>
  <si>
    <t>T0353-G11-FÍS</t>
  </si>
  <si>
    <t>12.5. Experimentación con ondas electromagnéticas para identificar sus propiedades.</t>
  </si>
  <si>
    <t>Propiedades de las ondas electromagnéticas</t>
  </si>
  <si>
    <t>Aplicar: medir la atenuación de señales. Razonar: explicar propiedades de las ondas con evidencia</t>
  </si>
  <si>
    <t>T0354-G11-FÍS</t>
  </si>
  <si>
    <t>12.6. Resolución de problemas teóricos a partir de las gráficas de los campos eléctrico y magnético de una onda electromagnética.</t>
  </si>
  <si>
    <t>Campos y energía de ondas electromagnéticas</t>
  </si>
  <si>
    <t>Aplicar: calcular intensidad y campos de una onda. Razonar: interpretar gráficas de campos</t>
  </si>
  <si>
    <t>T0355-G11-FÍS</t>
  </si>
  <si>
    <t>Telecomunicaciones</t>
  </si>
  <si>
    <t>12.7. Indagación del funcionamiento de diferentes tecnologías de comunicación inalámbrica.</t>
  </si>
  <si>
    <t>Comunicación inalámbrica con radiación electromagnética</t>
  </si>
  <si>
    <t>Conocer: describir tecnologías inalámbricas. Razonar: comparar alcance y frecuencia</t>
  </si>
  <si>
    <r>
      <rPr>
        <sz val="10"/>
        <color indexed="8"/>
        <rFont val="Arial"/>
      </rPr>
      <t>E6; D1; E2; I1; I2</t>
    </r>
  </si>
  <si>
    <t>T0356-G11-FÍS</t>
  </si>
  <si>
    <t>12.8. Construcción de un sistema de radiocomunicación funcional que incluya componentes electrónicos.</t>
  </si>
  <si>
    <t>Construcción de radio; uso aplicado de ondas EM</t>
  </si>
  <si>
    <t>Aplicar: construir un circuito de recepción. Razonar: evaluar y mejorar un diseño tecnológico</t>
  </si>
  <si>
    <r>
      <rPr>
        <sz val="10"/>
        <color indexed="8"/>
        <rFont val="Arial"/>
      </rPr>
      <t>E6; E3; E4; D2; D3</t>
    </r>
  </si>
  <si>
    <t>T0357-G11-FÍS</t>
  </si>
  <si>
    <t>12.9. Investigación del desarrollo tecnológico de los sistemas de radiocomunicación.</t>
  </si>
  <si>
    <t>Historia de la radiocomunicación sin contenido del catálogo</t>
  </si>
  <si>
    <t>Conocer: identificar hitos históricos. Razonar: relacionar ciencia, tecnología y sociedad</t>
  </si>
  <si>
    <t>T0358-G11-FÍS</t>
  </si>
  <si>
    <t>13. Circuitos de corriente alterna</t>
  </si>
  <si>
    <t>Corriente alterna</t>
  </si>
  <si>
    <t>13.1. Análisis de la corriente alterna sinusoidal y cálculo de sus valores máximos y eficaces.</t>
  </si>
  <si>
    <t>Corriente alterna: valores eficaces; encaje parcial en circuitos</t>
  </si>
  <si>
    <t>Aplicar: calcular valores eficaces y período. Razonar: evaluar afirmaciones con evidencia física</t>
  </si>
  <si>
    <r>
      <rPr>
        <sz val="10"/>
        <color indexed="8"/>
        <rFont val="Arial"/>
      </rPr>
      <t>E1; E3; E2; I2; E6</t>
    </r>
  </si>
  <si>
    <t>T0359-G11-FÍS</t>
  </si>
  <si>
    <t>13.2. Análisis del funcionamiento del transformador y de su papel en el transporte de energía eléctrica en la red salvadoreña.</t>
  </si>
  <si>
    <t>Transformador por inducción y pérdidas Joule</t>
  </si>
  <si>
    <t>Aplicar: calcular relaciones del transformador y pérdidas. Razonar: justificar el transporte a alto voltaje</t>
  </si>
  <si>
    <r>
      <rPr>
        <sz val="10"/>
        <color indexed="8"/>
        <rFont val="Arial"/>
      </rPr>
      <t>E6; E5; E1; E4; I5</t>
    </r>
  </si>
  <si>
    <t>T0360-G11-FÍS</t>
  </si>
  <si>
    <t>Elementos reactivos</t>
  </si>
  <si>
    <t>13.3. Cálculo de la reactancia capacitiva y análisis de su dependencia con la frecuencia.</t>
  </si>
  <si>
    <t>Reactancia capacitiva en corriente alterna fuera del marco</t>
  </si>
  <si>
    <t>Aplicar: calcular reactancias y representar fasores. Razonar: interpretar el comportamiento en frecuencia</t>
  </si>
  <si>
    <t>T0361-G11-FÍS</t>
  </si>
  <si>
    <t>13.4. Medición de la reactancia inductiva de una bobina con un generador de señales de bajo voltaje a diferentes frecuencias.</t>
  </si>
  <si>
    <t>Reactancia inductiva vinculada a autoinducción de Faraday</t>
  </si>
  <si>
    <t>Aplicar: calcular inductancia a partir de datos. Razonar: relacionar reactancia con la ley de Faraday</t>
  </si>
  <si>
    <t>T0362-G11-FÍS</t>
  </si>
  <si>
    <t>Circuitos RLC</t>
  </si>
  <si>
    <t>13.5. Resolución de circuitos RLC en serie mediante el cálculo de impedancia, corriente y ángulo de fase.</t>
  </si>
  <si>
    <t>Impedancia RLC en corriente alterna fuera del marco</t>
  </si>
  <si>
    <t>Aplicar: calcular impedancia y fase. Razonar: analizar la suma fasorial</t>
  </si>
  <si>
    <t>T0363-G11-FÍS</t>
  </si>
  <si>
    <t>13.6. Determinación de la frecuencia de resonancia de un circuito RLC y análisis del efecto de la resistencia en la curva de resonancia.</t>
  </si>
  <si>
    <t>Resonancia eléctrica RLC fuera del marco</t>
  </si>
  <si>
    <t>Aplicar: calcular la frecuencia de resonancia. Razonar: interpretar la selectividad del circuito</t>
  </si>
  <si>
    <t>T0364-G11-FÍS</t>
  </si>
  <si>
    <t>Dispositivos semiconductores</t>
  </si>
  <si>
    <t>13.7. Análisis de la conducción en semiconductores dopados y de la curva característica de un diodo alimentado con pilas.</t>
  </si>
  <si>
    <t>Semiconductores y diodos no figuran en el marco</t>
  </si>
  <si>
    <t>Conocer: describir semiconductores. Aplicar: medir la curva de un diodo. Razonar: explicar la rectificación</t>
  </si>
  <si>
    <t>T0365-G11-FÍS</t>
  </si>
  <si>
    <t>14. Ondas electromagnéticas</t>
  </si>
  <si>
    <t>Efecto Doppler electromagnético</t>
  </si>
  <si>
    <t>14.1. Cálculo del cambio de frecuencia de ondas electromagnéticas emitidas por fuentes que se acercan o se alejan del observador.</t>
  </si>
  <si>
    <t>Corrimiento Doppler de radiación electromagnética</t>
  </si>
  <si>
    <t>Aplicar: calcular frecuencias y rapideces. Razonar: interpretar espectros y justificar aproximaciones</t>
  </si>
  <si>
    <t>T0366-G11-FÍS</t>
  </si>
  <si>
    <t>Polarización</t>
  </si>
  <si>
    <t>14.2. Medición de la intensidad de luz transmitida por un par de polarizadores en función del ángulo entre sus ejes.</t>
  </si>
  <si>
    <t>Polarización de luz; propiedad de ondas EM no explícita</t>
  </si>
  <si>
    <t>Aplicar: medir y calcular intensidades. Razonar: comparar datos con el modelo cos²θ</t>
  </si>
  <si>
    <t>T0367-G11-FÍS</t>
  </si>
  <si>
    <t>Radiación no ionizante en la vida diaria</t>
  </si>
  <si>
    <t>14.3. Evaluación crítica de afirmaciones sobre los efectos en la salud de la radiación no ionizante emitida por antenas, redes wifi y hornos de microondas.</t>
  </si>
  <si>
    <t>Radiación no ionizante: espectro y densidad de potencia</t>
  </si>
  <si>
    <t>Aplicar: estimar densidades de potencia. Razonar: evaluar afirmaciones y argumentar con evidencia</t>
  </si>
  <si>
    <r>
      <rPr>
        <sz val="10"/>
        <color indexed="8"/>
        <rFont val="Arial"/>
      </rPr>
      <t>E6; E5; E1; I2; I4</t>
    </r>
  </si>
  <si>
    <t>T0368-G11-FÍS</t>
  </si>
  <si>
    <t>15. La luz</t>
  </si>
  <si>
    <t>Rapidez de la luz</t>
  </si>
  <si>
    <t>15.1. Análisis de los experimentos históricos de Rømer y Fizeau para determinar la rapidez de la luz.</t>
  </si>
  <si>
    <t>Rapidez de la luz como onda electromagnética</t>
  </si>
  <si>
    <t>Aplicar: calcular rapideces y errores relativos. Razonar: comparar métodos experimentales</t>
  </si>
  <si>
    <t>T0369-G11-FÍS</t>
  </si>
  <si>
    <t>Naturaleza de la luz</t>
  </si>
  <si>
    <t>15.2. Reconstrucción histórica del debate entre los modelos corpuscular y ondulatorio de la luz hasta la dualidad onda-partícula.</t>
  </si>
  <si>
    <r>
      <rPr>
        <sz val="10"/>
        <color indexed="8"/>
        <rFont val="Arial"/>
      </rPr>
      <t>Física atómica y nuclear</t>
    </r>
  </si>
  <si>
    <t>Modelos ondulatorio y corpuscular: dualidad onda-partícula</t>
  </si>
  <si>
    <t>Conocer: identificar modelos. Razonar: relacionar fenómenos con modelos y justificar la dualidad</t>
  </si>
  <si>
    <r>
      <rPr>
        <sz val="10"/>
        <color indexed="8"/>
        <rFont val="Arial"/>
      </rPr>
      <t>E6; E5; E2; I1; E3</t>
    </r>
  </si>
  <si>
    <t>T0370-G11-FÍS</t>
  </si>
  <si>
    <t>Cuantización de la energía</t>
  </si>
  <si>
    <t>15.3. Interpretación de las curvas de emisión del cuerpo negro y de la hipótesis de Planck sobre la cuantización de la energía.</t>
  </si>
  <si>
    <t>Cuerpo negro, ley de Wien y cuantos de energía</t>
  </si>
  <si>
    <t>Aplicar: calcular longitudes de onda máximas y energías. Razonar: explicar la ruptura con la física clásica</t>
  </si>
  <si>
    <t>T0371-G11-FÍS</t>
  </si>
  <si>
    <t>15.4. Análisis del efecto fotoeléctrico mediante la ecuación de Einstein y la relación entre frecuencia de la luz y energía cinética de los electrones.</t>
  </si>
  <si>
    <t>Efecto fotoeléctrico</t>
  </si>
  <si>
    <t>Aplicar: calcular energías y frecuencias umbral. Razonar: interpretar gráficas y justificar el modelo de fotones</t>
  </si>
  <si>
    <t>T0372-G11-FÍS</t>
  </si>
  <si>
    <t>Momento del fotón</t>
  </si>
  <si>
    <t>15.5. Cálculo del momento de un fotón y del cambio de longitud de onda en la dispersión Compton.</t>
  </si>
  <si>
    <t>Efecto Compton: fotón como partícula en colisión</t>
  </si>
  <si>
    <t>Aplicar: calcular momentos y corrimientos. Razonar: justificar el comportamiento corpuscular</t>
  </si>
  <si>
    <t>T0373-G11-FÍS</t>
  </si>
  <si>
    <t>Naturaleza ondulatoria de la materia</t>
  </si>
  <si>
    <t>15.6. Cálculo de la longitud de onda de De Broglie de partículas y objetos macroscópicos.</t>
  </si>
  <si>
    <t>Longitud de onda de De Broglie: dualidad</t>
  </si>
  <si>
    <t>Aplicar: calcular longitudes de onda. Razonar: comparar escalas y justificar la observabilidad</t>
  </si>
  <si>
    <t>T0374-G11-FÍS</t>
  </si>
  <si>
    <t>15.7. Aplicación del principio de incertidumbre de Heisenberg a partículas confinadas y a objetos macroscópicos.</t>
  </si>
  <si>
    <t>Principio de incertidumbre; relación indirecta con dualidad</t>
  </si>
  <si>
    <t>Aplicar: estimar incertidumbres. Razonar: argumentar límites de validez y detectar malas interpretaciones</t>
  </si>
  <si>
    <r>
      <rPr>
        <sz val="10"/>
        <color indexed="8"/>
        <rFont val="Arial"/>
      </rPr>
      <t>E1; E5; E4; I3; I4</t>
    </r>
  </si>
  <si>
    <t>T0375-G11-FÍS</t>
  </si>
  <si>
    <t>16. Reflexión de la luz</t>
  </si>
  <si>
    <t>Modelo de rayos</t>
  </si>
  <si>
    <t>16.1. Representación de la luz mediante frentes de onda y rayos perpendiculares a ellos para fuentes puntuales y lejanas.</t>
  </si>
  <si>
    <t>Frentes de onda y rayos; base de reflexión y refracción</t>
  </si>
  <si>
    <t>Conocer: definir frente de onda y rayo. Aplicar: representar gráficamente. Razonar: justificar la aproximación de rayos</t>
  </si>
  <si>
    <t>T0376-G11-FÍS</t>
  </si>
  <si>
    <t>Espejos planos</t>
  </si>
  <si>
    <t>16.2. Determinación geométrica de la posición de imágenes en espejos planos y en sistemas de dos espejos en ángulo.</t>
  </si>
  <si>
    <t>Reflexión en espejos planos</t>
  </si>
  <si>
    <t>Aplicar: calcular número de imágenes y dimensiones. Razonar: generalizar una relación a partir de datos</t>
  </si>
  <si>
    <t>T0377-G11-FÍS</t>
  </si>
  <si>
    <t>Espejos esféricos</t>
  </si>
  <si>
    <t>16.3. Determinación experimental de la distancia focal de un espejo cóncavo y de su relación con el radio de curvatura.</t>
  </si>
  <si>
    <t>Reflexión en espejos esféricos</t>
  </si>
  <si>
    <t>Aplicar: medir distancias focales. Razonar: justificar la elección de espejos según su función</t>
  </si>
  <si>
    <t>T0378-G11-FÍS</t>
  </si>
  <si>
    <t>16.4. Construcción de diagramas de rayos principales para localizar imágenes en espejos cóncavos y convexos.</t>
  </si>
  <si>
    <t>Trazado de rayos por reflexión en espejos</t>
  </si>
  <si>
    <t>Aplicar: construir diagramas de rayos. Razonar: generalizar el tipo de imagen según la posición del objeto</t>
  </si>
  <si>
    <t>T0379-G11-FÍS</t>
  </si>
  <si>
    <t>Ecuación del espejo</t>
  </si>
  <si>
    <t>16.5. Resolución de problemas con la ecuación del espejo y la ecuación del aumento aplicando la convención de signos.</t>
  </si>
  <si>
    <t>Ecuación del espejo: imágenes por reflexión</t>
  </si>
  <si>
    <t>Aplicar: calcular posiciones y aumentos. Razonar: verificar un modelo con datos experimentales</t>
  </si>
  <si>
    <t>T0380-G11-FÍS</t>
  </si>
  <si>
    <t>17. Refracción de la luz</t>
  </si>
  <si>
    <t>Polarización por reflexión</t>
  </si>
  <si>
    <t>17.1. Determinación del ángulo de Brewster para superficies de agua y vidrio y comprobación de la polarización de la luz reflejada.</t>
  </si>
  <si>
    <t>Reflexión y refracción en ángulo de Brewster; polarización</t>
  </si>
  <si>
    <t>Aplicar: calcular ángulos de Brewster. Razonar: contrastar la medición con la predicción teórica</t>
  </si>
  <si>
    <r>
      <rPr>
        <sz val="10"/>
        <color indexed="8"/>
        <rFont val="Arial"/>
      </rPr>
      <t>E6; D1; E2; D2; I5</t>
    </r>
  </si>
  <si>
    <t>T0381-G11-FÍS</t>
  </si>
  <si>
    <t>Lentes delgadas</t>
  </si>
  <si>
    <t>17.2. Clasificación de lentes según su forma y determinación de su distancia focal y potencia en dioptrías.</t>
  </si>
  <si>
    <t>Lentes delgadas: refracción y distancia focal</t>
  </si>
  <si>
    <t>Conocer: clasificar lentes. Aplicar: medir distancias focales y calcular potencias</t>
  </si>
  <si>
    <t>T0382-G11-FÍS</t>
  </si>
  <si>
    <t>17.3. Construcción de diagramas de rayos para localizar imágenes formadas por lentes convergentes y divergentes.</t>
  </si>
  <si>
    <t>Diagramas de rayos en lentes por refracción</t>
  </si>
  <si>
    <t>Aplicar: construir diagramas de rayos. Razonar: relacionar la posición del objeto con el tipo de imagen</t>
  </si>
  <si>
    <t>T0383-G11-FÍS</t>
  </si>
  <si>
    <t>Ecuación de las lentes</t>
  </si>
  <si>
    <t>17.4. Verificación experimental de la ecuación de las lentes delgadas mediante la medición de distancias de objeto e imagen.</t>
  </si>
  <si>
    <t>Ecuación de lentes delgadas: refracción</t>
  </si>
  <si>
    <t>Aplicar: calcular posiciones y aumentos. Razonar: validar un modelo con el análisis gráfico</t>
  </si>
  <si>
    <t>T0384-G11-FÍS</t>
  </si>
  <si>
    <t>Sistemas de lentes</t>
  </si>
  <si>
    <t>17.5. Resolución de problemas de sistemas de dos lentes en los que la imagen de la primera actúa como objeto de la segunda.</t>
  </si>
  <si>
    <t>Sistemas de lentes por refracción</t>
  </si>
  <si>
    <t>Aplicar: calcular imágenes en dos etapas. Razonar: diseñar un sistema que cumpla una condición</t>
  </si>
  <si>
    <t>T0385-G11-FÍS</t>
  </si>
  <si>
    <t>El ojo humano</t>
  </si>
  <si>
    <t>17.6. Análisis del ojo como sistema óptico y cálculo de la potencia de lentes correctoras para miopía e hipermetropía.</t>
  </si>
  <si>
    <t>Óptica del ojo y lentes correctoras</t>
  </si>
  <si>
    <t>Aplicar: calcular potencias correctoras. Razonar: relacionar defectos visuales con el modelo óptico del ojo</t>
  </si>
  <si>
    <t>T0386-G11-FÍS</t>
  </si>
  <si>
    <t>Instrumentos ópticos</t>
  </si>
  <si>
    <t>17.7. Cálculo del aumento angular de una lupa con la imagen en el punto cercano y en el infinito.</t>
  </si>
  <si>
    <t>Lupa: refracción en lentes</t>
  </si>
  <si>
    <t>Aplicar: calcular aumentos angulares. Razonar: relacionar distancia focal y aumento</t>
  </si>
  <si>
    <t>T0387-G11-FÍS</t>
  </si>
  <si>
    <t>17.8. Cálculo del aumento total de un microscopio compuesto a partir de las distancias focales del objetivo y del ocular.</t>
  </si>
  <si>
    <t>Microscopio compuesto: sistema de lentes</t>
  </si>
  <si>
    <t>Aplicar: calcular aumentos totales. Razonar: explicar la función de cada lente del sistema</t>
  </si>
  <si>
    <t>T0388-G11-FÍS</t>
  </si>
  <si>
    <t>17.9. Cálculo del aumento angular de un telescopio astronómico a partir de las distancias focales del objetivo y del ocular.</t>
  </si>
  <si>
    <t>Telescopio refractor: lentes objetivo y ocular</t>
  </si>
  <si>
    <t>Aplicar: calcular aumentos angulares. Razonar: justificar el diseño del instrumento</t>
  </si>
  <si>
    <r>
      <rPr>
        <sz val="10"/>
        <color indexed="8"/>
        <rFont val="Arial"/>
      </rPr>
      <t>E1; E3; E2; D2; I5</t>
    </r>
  </si>
  <si>
    <t>T0389-G11-FÍS</t>
  </si>
  <si>
    <t>17.10. Análisis de las aberraciones esférica y cromática de las lentes y de las estrategias para corregirlas.</t>
  </si>
  <si>
    <t>Aberraciones esférica y cromática en espejos y lentes</t>
  </si>
  <si>
    <t>Conocer: identificar aberraciones. Razonar: explicar su origen y justificar estrategias de corrección</t>
  </si>
  <si>
    <r>
      <rPr>
        <sz val="10"/>
        <color indexed="8"/>
        <rFont val="Arial"/>
      </rPr>
      <t>E1; E5; E4; I1; E3</t>
    </r>
  </si>
  <si>
    <t>T0390-G11-FÍS</t>
  </si>
  <si>
    <t>18. Naturaleza ondulatoria de la luz</t>
  </si>
  <si>
    <t>Interferencia</t>
  </si>
  <si>
    <t>18.1. Medición de la longitud de onda de un láser a partir del patrón de interferencia de doble rendija.</t>
  </si>
  <si>
    <t>Interferencia de doble rendija de Young</t>
  </si>
  <si>
    <t>Aplicar: medir y calcular longitudes de onda. Razonar: evaluar incertidumbres y concluir</t>
  </si>
  <si>
    <t>T0391-G11-FÍS</t>
  </si>
  <si>
    <t>18.2. Análisis de la interferencia en películas delgadas considerando el cambio de fase por reflexión y el espesor de la película.</t>
  </si>
  <si>
    <t>Interferencia en películas delgadas</t>
  </si>
  <si>
    <t>Aplicar: calcular espesores. Razonar: explicar colores con el modelo de interferencia</t>
  </si>
  <si>
    <r>
      <rPr>
        <sz val="10"/>
        <color indexed="8"/>
        <rFont val="Arial"/>
      </rPr>
      <t>E6; E5; E4; E4; E3</t>
    </r>
  </si>
  <si>
    <t>T0392-G11-FÍS</t>
  </si>
  <si>
    <t>18.3. Cálculo de desplazamientos microscópicos a partir del número de franjas que cambian en un interferómetro de Michelson.</t>
  </si>
  <si>
    <t>Interferómetro de Michelson</t>
  </si>
  <si>
    <t>Aplicar: calcular desplazamientos. Razonar: argumentar la precisión del instrumento</t>
  </si>
  <si>
    <r>
      <rPr>
        <sz val="10"/>
        <color indexed="8"/>
        <rFont val="Arial"/>
      </rPr>
      <t>E6; E3; E4; I3; I2</t>
    </r>
  </si>
  <si>
    <t>T0393-G11-FÍS</t>
  </si>
  <si>
    <t>Difracción</t>
  </si>
  <si>
    <t>18.4. Medición del ancho de una rendija o de un cabello a partir del patrón de difracción de un láser.</t>
  </si>
  <si>
    <t>Difracción por una rendija</t>
  </si>
  <si>
    <t>Aplicar: calcular dimensiones a partir de patrones. Razonar: diseñar y justificar el procedimiento</t>
  </si>
  <si>
    <r>
      <rPr>
        <sz val="10"/>
        <color indexed="8"/>
        <rFont val="Arial"/>
      </rPr>
      <t>E1; D1; E4; D2; E3</t>
    </r>
  </si>
  <si>
    <t>T0394-G11-FÍS</t>
  </si>
  <si>
    <t>18.5. Aplicación del criterio de Rayleigh para determinar la separación angular mínima que distingue un instrumento óptico.</t>
  </si>
  <si>
    <t>Difracción en aberturas circulares y poder de resolución</t>
  </si>
  <si>
    <t>Aplicar: calcular resoluciones angulares. Razonar: contrastar predicciones con mediciones</t>
  </si>
  <si>
    <r>
      <rPr>
        <sz val="10"/>
        <color indexed="8"/>
        <rFont val="Arial"/>
      </rPr>
      <t>E1; E3; E1; D4; I5</t>
    </r>
  </si>
  <si>
    <t>T0395-G11-FÍS</t>
  </si>
  <si>
    <t>18.6. Determinación de la separación entre pistas de discos CD y DVD usándolos como redes de difracción por reflexión.</t>
  </si>
  <si>
    <t>Red de difracción y espectroscopia</t>
  </si>
  <si>
    <t>Aplicar: calcular separaciones de líneas. Razonar: relacionar la separación con la capacidad de almacenamiento</t>
  </si>
  <si>
    <r>
      <rPr>
        <sz val="10"/>
        <color indexed="8"/>
        <rFont val="Arial"/>
      </rPr>
      <t>E6; E5; E2; D4; E3</t>
    </r>
  </si>
  <si>
    <t>T0396-G11-FÍS</t>
  </si>
  <si>
    <t>Difracción de rayos X</t>
  </si>
  <si>
    <t>18.7. Aplicación de la ley de Bragg para calcular la separación entre planos cristalinos a partir de datos de difracción de rayos X.</t>
  </si>
  <si>
    <t>Difracción de rayos X: ley de Bragg</t>
  </si>
  <si>
    <t>Aplicar: calcular separaciones interplanares. Razonar: justificar el uso de rayos X y sus aplicaciones</t>
  </si>
  <si>
    <t>T0397-G11-FÍS</t>
  </si>
  <si>
    <t>19. Relatividad</t>
  </si>
  <si>
    <t>Postulados de la relatividad especial</t>
  </si>
  <si>
    <t>19.1. Análisis de los dos postulados de Einstein y de su contradicción con la suma galileana de velocidades aplicada a la luz.</t>
  </si>
  <si>
    <t>Postulados de relatividad especial fuera del marco</t>
  </si>
  <si>
    <t>Conocer: enunciar los postulados. Razonar: justificar la ruptura con la mecánica clásica</t>
  </si>
  <si>
    <r>
      <rPr>
        <sz val="10"/>
        <color indexed="8"/>
        <rFont val="Arial"/>
      </rPr>
      <t>E1; D1; E4; I1; E3</t>
    </r>
  </si>
  <si>
    <t>T0398-G11-FÍS</t>
  </si>
  <si>
    <t>Consecuencias en el tiempo</t>
  </si>
  <si>
    <t>19.2. Cálculo del intervalo de tiempo dilatado mediante el factor de Lorentz en relojes que se mueven a gran rapidez.</t>
  </si>
  <si>
    <t>Dilatación del tiempo relativista fuera del marco</t>
  </si>
  <si>
    <t>Aplicar: calcular γ y Δt. Razonar: justificar con datos experimentales</t>
  </si>
  <si>
    <r>
      <rPr>
        <sz val="10"/>
        <color indexed="8"/>
        <rFont val="Arial"/>
      </rPr>
      <t>E1; E3; E2; D4; I5</t>
    </r>
  </si>
  <si>
    <t>T0399-G11-FÍS</t>
  </si>
  <si>
    <t>Dinámica relativista</t>
  </si>
  <si>
    <t>19.3. Comparación del momento clásico y el momento relativista de partículas aceleradas a rapideces próximas a la de la luz.</t>
  </si>
  <si>
    <t>Momento relativista fuera del marco</t>
  </si>
  <si>
    <t>Aplicar: calcular momentos. Razonar: comparar modelos clásico y relativista</t>
  </si>
  <si>
    <t>T0400-G11-FÍS</t>
  </si>
  <si>
    <t>19.4. Aplicación de la equivalencia masa-energía y de la relación E² = (pc)² + (mc²)² en partículas y procesos nucleares.</t>
  </si>
  <si>
    <t>Energía en reposo E=mc² y energía relativista</t>
  </si>
  <si>
    <t>Aplicar: calcular energías relativistas. Razonar: justificar el límite clásico</t>
  </si>
  <si>
    <t>T0401-G11-FÍS</t>
  </si>
  <si>
    <t>Cinemática relativista</t>
  </si>
  <si>
    <t>19.5. Cálculo de velocidades relativas mediante la fórmula relativista de adición y comparación con la suma galileana.</t>
  </si>
  <si>
    <t>Adición relativista de velocidades fuera del marco</t>
  </si>
  <si>
    <t>Aplicar: calcular velocidades relativas. Razonar: evaluar la validez de la aproximación clásica</t>
  </si>
  <si>
    <t>T0402-G11-FÍS</t>
  </si>
  <si>
    <t>20. Física nuclear</t>
  </si>
  <si>
    <t>El núcleo atómico</t>
  </si>
  <si>
    <t>20.1. Cálculo del radio y la densidad nuclear mediante R = R₀A^(1/3) y comparación con la densidad de la materia ordinaria.</t>
  </si>
  <si>
    <t>Estructura del núcleo: nucleones, isótopos, tamaño</t>
  </si>
  <si>
    <t>Aplicar: calcular radio y densidad nuclear. Razonar: generalizar una tendencia</t>
  </si>
  <si>
    <t>T0403-G11-FÍS</t>
  </si>
  <si>
    <t>20.2. Análisis de la competencia entre la fuerza nuclear fuerte y la repulsión eléctrica en la banda de estabilidad N frente a Z.</t>
  </si>
  <si>
    <t>Estabilidad nuclear: fuerza fuerte y repulsión eléctrica</t>
  </si>
  <si>
    <t>Aplicar: calcular fuerzas eléctricas. Razonar: explicar la estabilidad con un modelo</t>
  </si>
  <si>
    <r>
      <rPr>
        <sz val="10"/>
        <color indexed="8"/>
        <rFont val="Arial"/>
      </rPr>
      <t>E1; E5; E4; D2; E3</t>
    </r>
  </si>
  <si>
    <t>T0404-G11-FÍS</t>
  </si>
  <si>
    <t>Energía nuclear</t>
  </si>
  <si>
    <t>20.3. Cálculo del defecto de masa y la energía de enlace por nucleón, y construcción de la curva de energía de enlace.</t>
  </si>
  <si>
    <t>Defecto de masa y energía de enlace</t>
  </si>
  <si>
    <t>Aplicar: calcular defectos de masa y energías de enlace. Razonar: interpretar una curva</t>
  </si>
  <si>
    <t>T0405-G11-FÍS</t>
  </si>
  <si>
    <t>Partículas subatómicas</t>
  </si>
  <si>
    <t>20.4. Análisis del espectro continuo de energía de la desintegración beta como evidencia de la existencia del neutrino.</t>
  </si>
  <si>
    <t>Desintegración beta y neutrino</t>
  </si>
  <si>
    <t>Conocer: describir el neutrino. Razonar: justificar su existencia con la conservación de la energía</t>
  </si>
  <si>
    <r>
      <rPr>
        <sz val="10"/>
        <color indexed="8"/>
        <rFont val="Arial"/>
      </rPr>
      <t>E1; D1; E2; I1; I2</t>
    </r>
  </si>
  <si>
    <t>T0406-G11-FÍS</t>
  </si>
  <si>
    <t>Partículas elementales</t>
  </si>
  <si>
    <t>20.5. Clasificación de las partículas elementales según el modelo estándar y descripción de las interacciones fundamentales.</t>
  </si>
  <si>
    <t>Partículas elementales y modelo estándar</t>
  </si>
  <si>
    <t>Conocer: clasificar partículas. Aplicar: calcular cargas de hadrones. Razonar: argumentar</t>
  </si>
  <si>
    <t>T0407-G11-FÍS</t>
  </si>
  <si>
    <t>Cosmología</t>
  </si>
  <si>
    <t>20.6. Interpretación de las evidencias de la teoría del Big Bang: ley de Hubble, radiación cósmica de fondo y abundancia de elementos ligeros.</t>
  </si>
  <si>
    <t>Cosmología y Big Bang</t>
  </si>
  <si>
    <t>Aplicar: calcular la constante de Hubble. Razonar: evaluar evidencias</t>
  </si>
  <si>
    <t>T0408-G11-FÍS</t>
  </si>
  <si>
    <t>21. Física radiactiva</t>
  </si>
  <si>
    <t>Desintegración radiactiva</t>
  </si>
  <si>
    <t>21.1. Escritura y balance de ecuaciones de desintegración alfa, beta y gamma aplicando la conservación del número másico y de la carga.</t>
  </si>
  <si>
    <t>Ecuaciones de desintegración alfa, beta y gamma</t>
  </si>
  <si>
    <t>Aplicar: balancear ecuaciones nucleares. Razonar: generalizar reglas de conservación</t>
  </si>
  <si>
    <t>T0409-G11-FÍS</t>
  </si>
  <si>
    <t>Ley de desintegración</t>
  </si>
  <si>
    <t>21.2. Modelación de la desintegración radiactiva con dados y simulaciones, y cálculo de la actividad y la vida media con la ley exponencial.</t>
  </si>
  <si>
    <t>Ley de desintegración radiactiva y vida media</t>
  </si>
  <si>
    <t>Aplicar: calcular actividades y vidas medias. Razonar: evaluar un modelo estadístico</t>
  </si>
  <si>
    <t>T0410-G11-FÍS</t>
  </si>
  <si>
    <t>Aplicaciones de la ley de desintegración</t>
  </si>
  <si>
    <t>21.3. Cálculo de la edad de muestras arqueológicas y geológicas con la ley de desintegración a partir de datos publicados.</t>
  </si>
  <si>
    <t>Datación radiactiva con vida media</t>
  </si>
  <si>
    <t>Aplicar: calcular edades radiométricas. Razonar: evaluar incertidumbres y métodos</t>
  </si>
  <si>
    <t>T0411-G11-FÍS</t>
  </si>
  <si>
    <t>Medición de la radiación</t>
  </si>
  <si>
    <t>21.4. Análisis del principio de funcionamiento de los detectores de radiación a partir de la ionización y la excitación que produce la radiación.</t>
  </si>
  <si>
    <t>Detección de radiación de decaimiento</t>
  </si>
  <si>
    <t>Conocer: describir detectores. Razonar: seleccionar el detector adecuado</t>
  </si>
  <si>
    <r>
      <rPr>
        <sz val="10"/>
        <color indexed="8"/>
        <rFont val="Arial"/>
      </rPr>
      <t>E6; E3; E4; D4; D3</t>
    </r>
  </si>
  <si>
    <t>T0412-G11-FÍS</t>
  </si>
  <si>
    <t>22. Ciencias del espacio</t>
  </si>
  <si>
    <t>Sistema solar</t>
  </si>
  <si>
    <t>22.1. Exploración del razonamiento que originó los sistemas geocéntrico y heliocéntrico.</t>
  </si>
  <si>
    <t>Modelos geocéntrico y heliocéntrico: historia de la astronomía</t>
  </si>
  <si>
    <t>Conocer: describir modelos. Razonar: argumentar con evidencias históricas</t>
  </si>
  <si>
    <r>
      <rPr>
        <sz val="10"/>
        <color indexed="8"/>
        <rFont val="Arial"/>
      </rPr>
      <t>E1; D1; E4; I3; E6</t>
    </r>
  </si>
  <si>
    <t>T0413-G11-FÍS</t>
  </si>
  <si>
    <t>22.2. Simulación de los parámetros orbitales de sistemas planetarios descritos por las leyes de Kepler.</t>
  </si>
  <si>
    <t>Leyes de Kepler del movimiento planetario</t>
  </si>
  <si>
    <t>Aplicar: calcular periodos orbitales. Razonar: generalizar una ley con datos</t>
  </si>
  <si>
    <t>T0414-G11-FÍS</t>
  </si>
  <si>
    <t>22.3. Cálculo de la masa de la Tierra a partir de la ley de la gravitación universal de Newton.</t>
  </si>
  <si>
    <t>Gravitación universal para calcular masa terrestre</t>
  </si>
  <si>
    <t>Aplicar: calcular la masa de la Tierra. Razonar: evaluar métodos y errores</t>
  </si>
  <si>
    <t>T0415-G11-FÍS</t>
  </si>
  <si>
    <t>Tecnologías para la observación espacial</t>
  </si>
  <si>
    <t>22.4. Análisis del espectro de radiación térmica emitido por un cuerpo celeste.</t>
  </si>
  <si>
    <t>Radiación emitida según temperatura del objeto</t>
  </si>
  <si>
    <t>Aplicar: calcular temperaturas con la ley de Wien. Razonar: relacionar temperatura y radiación</t>
  </si>
  <si>
    <t>T0416-G11-FÍS</t>
  </si>
  <si>
    <t>22.5. Reconocimiento de las ventajas y desventajas en el uso de telescopios de refracción y reflexión.</t>
  </si>
  <si>
    <t>Telescopios refractores y reflectores: refracción y reflexión</t>
  </si>
  <si>
    <t>Aplicar: calcular aumentos. Razonar: justificar la selección de un instrumento</t>
  </si>
  <si>
    <r>
      <rPr>
        <sz val="10"/>
        <color indexed="8"/>
        <rFont val="Arial"/>
      </rPr>
      <t>E6; E3; E2; I1; I5</t>
    </r>
  </si>
  <si>
    <t>T0417-G11-FÍS</t>
  </si>
  <si>
    <t>22.6. Exploración de los tipos de detectores de imágenes empleados en los observatorios astronómicos terrestres y espaciales.</t>
  </si>
  <si>
    <t>Detectores astronómicos; tecnología sin contenido del catálogo</t>
  </si>
  <si>
    <t>Conocer: clasificar detectores. Aplicar: relacionar detector y longitud de onda</t>
  </si>
  <si>
    <r>
      <rPr>
        <sz val="10"/>
        <color indexed="8"/>
        <rFont val="Arial"/>
      </rPr>
      <t>E1; D1; E4; I1; E6</t>
    </r>
  </si>
  <si>
    <t>T0418-G11-FÍS</t>
  </si>
  <si>
    <t>Sistemas planetarios</t>
  </si>
  <si>
    <t>22.7. Indagación de los métodos para detectar y caracterizar un exoplaneta.</t>
  </si>
  <si>
    <t>Métodos de detección de exoplanetas; astronomía aplicada</t>
  </si>
  <si>
    <t>Aplicar: calcular el radio de un exoplaneta. Razonar: evaluar sesgos de un método</t>
  </si>
  <si>
    <t>T0419-G11-FÍS</t>
  </si>
  <si>
    <t>22.8. Exploración de las propiedades deducibles de los exoplanetas.</t>
  </si>
  <si>
    <t>Propiedades de exoplanetas; astronomía sin objetivo explícito</t>
  </si>
  <si>
    <t>Aplicar: calcular densidades. Razonar: argumentar sobre la habitabilidad</t>
  </si>
  <si>
    <r>
      <rPr>
        <sz val="10"/>
        <color indexed="8"/>
        <rFont val="Arial"/>
      </rPr>
      <t>E6; E5; E1; I3; I2</t>
    </r>
  </si>
  <si>
    <t>T0420-G11-FÍS</t>
  </si>
  <si>
    <t>22.9. Discusión acerca de las condiciones que permiten el desarrollo de vida en un planeta y cómo detectarlas.</t>
  </si>
  <si>
    <t>Astrobiología fuera del marco</t>
  </si>
  <si>
    <t>Razonar: argumentar sobre condiciones de habitabilidad y evaluar evidencias</t>
  </si>
  <si>
    <r>
      <rPr>
        <sz val="10"/>
        <color indexed="8"/>
        <rFont val="Arial"/>
      </rPr>
      <t>E6; E3; E4; I3; I4</t>
    </r>
  </si>
  <si>
    <t>T0421-G11-FÍS</t>
  </si>
  <si>
    <t>23. Introducción a la física moderna</t>
  </si>
  <si>
    <t>Teoría de la relatividad especial</t>
  </si>
  <si>
    <t>23.1. Reconocimiento de las métricas del espacio relativista y no relativista, y sus invarianzas.</t>
  </si>
  <si>
    <t>Métricas euclidiana y de Minkowski: relatividad</t>
  </si>
  <si>
    <t>Aplicar: calcular intervalos. Razonar: justificar invariancias</t>
  </si>
  <si>
    <t>T0422-G11-FÍS</t>
  </si>
  <si>
    <t>23.2. Interpretación de los marcos de referencia inerciales para eventos simultáneos.</t>
  </si>
  <si>
    <t>Simultaneidad relativista fuera del marco</t>
  </si>
  <si>
    <t>Razonar: interpretar la relatividad de la simultaneidad con diagramas</t>
  </si>
  <si>
    <r>
      <rPr>
        <sz val="10"/>
        <color indexed="8"/>
        <rFont val="Arial"/>
      </rPr>
      <t>E1; D1; E4; I3; E3</t>
    </r>
  </si>
  <si>
    <t>T0423-G11-FÍS</t>
  </si>
  <si>
    <t>23.3. Cálculo de la longitud de objetos que se mueven a una rapidez cercana a la de la luz.</t>
  </si>
  <si>
    <t>Contracción de la longitud fuera del marco</t>
  </si>
  <si>
    <t>Aplicar: calcular longitudes contraídas. Razonar: relacionar contracción y dilatación</t>
  </si>
  <si>
    <r>
      <rPr>
        <sz val="10"/>
        <color indexed="8"/>
        <rFont val="Arial"/>
      </rPr>
      <t>E6; E3; E1; E4; E3</t>
    </r>
  </si>
  <si>
    <t>T0424-G11-FÍS</t>
  </si>
  <si>
    <t>Interacción de la radiación y la materia</t>
  </si>
  <si>
    <t>23.4. Exploración de los tipos de radiación ionizante y sus efectos en las células.</t>
  </si>
  <si>
    <t>Radiación ionizante de decaimiento y efectos biológicos</t>
  </si>
  <si>
    <t>Conocer: clasificar radiaciones. Razonar: distinguir evidencia de opinión</t>
  </si>
  <si>
    <r>
      <rPr>
        <sz val="10"/>
        <color indexed="8"/>
        <rFont val="Arial"/>
      </rPr>
      <t>E6; D1; E1; I2; E6</t>
    </r>
  </si>
  <si>
    <t>T0425-G11-FÍS</t>
  </si>
  <si>
    <t>23.5. Reconocimiento de la radiación de partículas y la radiación electromagnética a partir de sus interacciones con la materia.</t>
  </si>
  <si>
    <t>Radiación de partículas y electromagnética con la materia</t>
  </si>
  <si>
    <t>Aplicar: interpretar datos de atenuación. Razonar: justificar blindajes</t>
  </si>
  <si>
    <t>T0426-G11-FÍS</t>
  </si>
  <si>
    <t>23.6. Identificación de los tipos de radiación ionizante y sus aplicaciones médicas.</t>
  </si>
  <si>
    <t>Aplicaciones médicas de radiación ionizante</t>
  </si>
  <si>
    <t>Conocer: identificar aplicaciones médicas. Razonar: valorar riesgos y beneficios</t>
  </si>
  <si>
    <t>T0427-G11-FÍS</t>
  </si>
  <si>
    <t>Física nuclear</t>
  </si>
  <si>
    <t>23.7. Indagación del concepto y características fundamentales de las reacciones de fisión y fusión nuclear.</t>
  </si>
  <si>
    <t>Reacciones de fisión y fusión nuclear</t>
  </si>
  <si>
    <t>Aplicar: calcular la energía liberada. Razonar: comparar fuentes de energía</t>
  </si>
  <si>
    <t>T0428-G11-FÍS</t>
  </si>
  <si>
    <t>23.8. Generalización del proceso de transformación del combustible nuclear en energía eléctrica.</t>
  </si>
  <si>
    <t>Reactores: fisión y conversión de energía</t>
  </si>
  <si>
    <t>Conocer: identificar componentes. Aplicar: representar transformaciones de energía</t>
  </si>
  <si>
    <r>
      <rPr>
        <sz val="10"/>
        <color indexed="8"/>
        <rFont val="Arial"/>
      </rPr>
      <t>E6; D1; E4; E4; E3</t>
    </r>
  </si>
  <si>
    <t>T0429-G11-FÍS</t>
  </si>
  <si>
    <t>23.9. Investigación de las aplicaciones tecnológicas nucleares no eléctricas.</t>
  </si>
  <si>
    <t>Aplicaciones tecnológicas nucleares no eléctricas</t>
  </si>
  <si>
    <t>Conocer: ejemplificar aplicaciones. Razonar: justificar decisiones con criterios</t>
  </si>
  <si>
    <t>T0430-G10-QUÍ</t>
  </si>
  <si>
    <t>Matriz_Bachillerato_Quimica_10_11.xlsx</t>
  </si>
  <si>
    <t>Química 10.°</t>
  </si>
  <si>
    <t>1. La química como ciencia: ciclo de indagación</t>
  </si>
  <si>
    <t>La química y su método</t>
  </si>
  <si>
    <t>1.1. Análisis de la química como ciencia central que conecta las ciencias físicas, las ciencias de la vida y las ciencias aplicadas.</t>
  </si>
  <si>
    <t>Sin marco</t>
  </si>
  <si>
    <t>Sin marco TIMSS de contenido para esta asignatura en Bachillerato</t>
  </si>
  <si>
    <t>Conocer: identificar el objeto de estudio. Razonar: relacionar disciplinas científicas</t>
  </si>
  <si>
    <t>Química 10°–11°</t>
  </si>
  <si>
    <r>
      <rPr>
        <sz val="10"/>
        <color indexed="8"/>
        <rFont val="Arial"/>
      </rPr>
      <t>E1; E5; E2; I1; E6</t>
    </r>
  </si>
  <si>
    <t>T0431-G10-QUÍ</t>
  </si>
  <si>
    <t>1.2. Clasificación de problemas y productos cotidianos según la rama de la química que los estudia.</t>
  </si>
  <si>
    <t>Conocer: describir ramas de la química. Aplicar: clasificar situaciones. Razonar: justificar</t>
  </si>
  <si>
    <t>T0432-G10-QUÍ</t>
  </si>
  <si>
    <t>1.3. Evaluación de avances tecnológicos basados en conocimientos químicos, con sus beneficios y riesgos.</t>
  </si>
  <si>
    <t>Aplicar: comparar beneficios y riesgos. Razonar: evaluar argumentos con datos</t>
  </si>
  <si>
    <r>
      <rPr>
        <sz val="10"/>
        <color indexed="8"/>
        <rFont val="Arial"/>
      </rPr>
      <t>E6; E3; E1; I3; I4</t>
    </r>
  </si>
  <si>
    <t>T0433-G10-QUÍ</t>
  </si>
  <si>
    <t>1.4. Reconstrucción de la historia de la química a partir de descubrimientos que transformaron la sociedad.</t>
  </si>
  <si>
    <t>Conocer: identificar científicos y aportes. Razonar: relacionar descubrimientos con cambios de método</t>
  </si>
  <si>
    <t>T0434-G10-QUÍ</t>
  </si>
  <si>
    <t>1.5. Análisis de la contribución social de la química y la tecnología a la calidad de vida en El Salvador.</t>
  </si>
  <si>
    <t>Aplicar: interpretar datos sociales. Razonar: argumentar el aporte de la química</t>
  </si>
  <si>
    <r>
      <rPr>
        <sz val="10"/>
        <color indexed="8"/>
        <rFont val="Arial"/>
      </rPr>
      <t>E6; E5; E1; I3; I5</t>
    </r>
  </si>
  <si>
    <t>T0435-G10-QUÍ</t>
  </si>
  <si>
    <t>El método científico en química</t>
  </si>
  <si>
    <t>1.6. Aplicación de las etapas del método científico a una investigación química sencilla con materiales seguros.</t>
  </si>
  <si>
    <t>Aplicar: controlar variables y medir. Razonar: contrastar hipótesis con datos</t>
  </si>
  <si>
    <t>T0436-G10-QUÍ</t>
  </si>
  <si>
    <t>La medición en el laboratorio químico</t>
  </si>
  <si>
    <t>1.7. Uso de la notación científica y los órdenes de magnitud para expresar y operar cantidades químicas muy grandes o muy pequeñas.</t>
  </si>
  <si>
    <t>Aplicar: transformar y operar en notación científica. Razonar: estimar órdenes de magnitud</t>
  </si>
  <si>
    <t>T0437-G10-QUÍ</t>
  </si>
  <si>
    <t>1.8. Comparación de la exactitud y la precisión de mediciones de volumen realizadas con distintos instrumentos de laboratorio.</t>
  </si>
  <si>
    <t>Aplicar: calcular error relativo y dispersión. Razonar: distinguir errores sistemáticos y aleatorios</t>
  </si>
  <si>
    <t>T0438-G10-QUÍ</t>
  </si>
  <si>
    <t>1.9. Aplicación de las reglas de las cifras significativas al registro de mediciones y a los cálculos de magnitudes derivadas.</t>
  </si>
  <si>
    <t>Aplicar: contar y redondear cifras significativas. Razonar: justificar la precisión de un resultado</t>
  </si>
  <si>
    <t>T0439-G10-QUÍ</t>
  </si>
  <si>
    <t>1.10. Aplicación de una técnica sistemática para resolver problemas químicos cuantitativos.</t>
  </si>
  <si>
    <t>Aplicar: planificar y calcular. Razonar: verificar la razonabilidad del resultado</t>
  </si>
  <si>
    <t>T0440-G10-QUÍ</t>
  </si>
  <si>
    <t>La materia y sus propiedades</t>
  </si>
  <si>
    <t>1.11. Interpretación de los estados de la materia y de los sistemas materiales mediante el modelo cinético-molecular.</t>
  </si>
  <si>
    <t>Conocer: describir estados de la materia. Razonar: explicar con el modelo cinético-molecular</t>
  </si>
  <si>
    <t>T0441-G10-QUÍ</t>
  </si>
  <si>
    <t>1.12. Determinación experimental de la densidad de sólidos y líquidos como propiedad intensiva para identificar sustancias.</t>
  </si>
  <si>
    <t>Aplicar: medir y calcular la densidad. Razonar: identificar sustancias con datos</t>
  </si>
  <si>
    <t>T0442-G10-QUÍ</t>
  </si>
  <si>
    <t>1.13. Clasificación de muestras de materia en sustancias puras, mezclas homogéneas, mezclas heterogéneas, coloides y emulsiones.</t>
  </si>
  <si>
    <t>Conocer: diferenciar sustancias y mezclas. Aplicar: clasificar muestras. Razonar: justificar</t>
  </si>
  <si>
    <t>T0443-G10-QUÍ</t>
  </si>
  <si>
    <t>1.14. Selección y aplicación de métodos de separación de mezclas según las propiedades de sus componentes.</t>
  </si>
  <si>
    <t>Aplicar: seleccionar y ejecutar métodos de separación. Razonar: justificar con propiedades</t>
  </si>
  <si>
    <r>
      <rPr>
        <sz val="10"/>
        <color indexed="8"/>
        <rFont val="Arial"/>
      </rPr>
      <t>E6; D1; E1; D2; I5</t>
    </r>
  </si>
  <si>
    <t>T0444-G10-QUÍ</t>
  </si>
  <si>
    <t>2. Las cantidades en química</t>
  </si>
  <si>
    <t>Leyes de la combinación química</t>
  </si>
  <si>
    <t>2.1. Comprobación experimental de la ley de conservación de la masa y análisis de datos de las leyes de las proporciones definidas y múltiples.</t>
  </si>
  <si>
    <t>Aplicar: calcular razones de masa. Razonar: interpretar datos para comprobar una ley</t>
  </si>
  <si>
    <t>T0445-G10-QUÍ</t>
  </si>
  <si>
    <t>2.2. Explicación de las leyes ponderales a partir de los postulados de la teoría atómica de Dalton y análisis de sus limitaciones.</t>
  </si>
  <si>
    <t>Conocer: enunciar postulados. Razonar: explicar leyes con un modelo y evaluar sus límites</t>
  </si>
  <si>
    <r>
      <rPr>
        <sz val="10"/>
        <color indexed="8"/>
        <rFont val="Arial"/>
      </rPr>
      <t>E1; E3; E4; I2; I4</t>
    </r>
  </si>
  <si>
    <t>T0446-G10-QUÍ</t>
  </si>
  <si>
    <t>2.3. Interpretación de la ley de los volúmenes de combinación y de la hipótesis de Avogadro como complemento de la teoría atómica.</t>
  </si>
  <si>
    <t>Aplicar: relacionar volúmenes y fórmulas. Razonar: explicar con la hipótesis de Avogadro</t>
  </si>
  <si>
    <t>T0447-G10-QUÍ</t>
  </si>
  <si>
    <t>La cantidad de sustancia</t>
  </si>
  <si>
    <t>2.4. Resolución de problemas que relacionan masa, cantidad de sustancia y número de partículas en muestras reales.</t>
  </si>
  <si>
    <t>Aplicar: convertir entre masa, moles y partículas. Razonar: comparar cantidades</t>
  </si>
  <si>
    <t>T0448-G10-QUÍ</t>
  </si>
  <si>
    <t>2.5. Cálculo de la composición centesimal, la fórmula empírica y la fórmula molecular de compuestos a partir de datos experimentales.</t>
  </si>
  <si>
    <t>Aplicar: calcular composición y fórmulas. Razonar: comparar compuestos con datos</t>
  </si>
  <si>
    <t>T0449-G10-QUÍ</t>
  </si>
  <si>
    <t>2.6. Determinación de la fórmula de compuestos orgánicos a partir de datos de análisis elemental y reconocimiento de isómeros.</t>
  </si>
  <si>
    <t>Aplicar: calcular fórmulas a partir de datos analíticos. Razonar: distinguir isómeros con evidencia</t>
  </si>
  <si>
    <t>T0450-G10-QUÍ</t>
  </si>
  <si>
    <t>3. Modelos atómicos y estructura</t>
  </si>
  <si>
    <t>Evolución de los modelos atómicos</t>
  </si>
  <si>
    <t>3.1. Análisis de los experimentos con rayos catódicos que condujeron al descubrimiento del electrón y al modelo de Thomson.</t>
  </si>
  <si>
    <t>Conocer: describir experimentos históricos. Aplicar: calcular la masa del electrón. Razonar: interpretar evidencia</t>
  </si>
  <si>
    <t>T0451-G10-QUÍ</t>
  </si>
  <si>
    <t>3.2. Interpretación del experimento de Geiger y Marsden y de las propiedades de las radiaciones alfa, beta y gamma mediante un simulador.</t>
  </si>
  <si>
    <t>Aplicar: registrar y analizar datos simulados. Razonar: deducir la estructura nuclear</t>
  </si>
  <si>
    <t>T0452-G10-QUÍ</t>
  </si>
  <si>
    <t>3.3. Análisis del descubrimiento del protón y del neutrón y comparación de las propiedades de las partículas subatómicas.</t>
  </si>
  <si>
    <t>Conocer: comparar propiedades de partículas. Razonar: justificar con evidencia histórica</t>
  </si>
  <si>
    <t>T0453-G10-QUÍ</t>
  </si>
  <si>
    <t>Estructura del átomo</t>
  </si>
  <si>
    <t>3.4. Cálculo de las partículas subatómicas de átomos e iones y de la masa atómica promedio de un elemento a partir de la abundancia de sus isótopos.</t>
  </si>
  <si>
    <t>Aplicar: calcular partículas y masa atómica promedio. Razonar: argumentar con datos isotópicos</t>
  </si>
  <si>
    <r>
      <rPr>
        <sz val="10"/>
        <color indexed="8"/>
        <rFont val="Arial"/>
      </rPr>
      <t>E6; E3; E1; I3; I1</t>
    </r>
  </si>
  <si>
    <t>T0454-G10-QUÍ</t>
  </si>
  <si>
    <t>3.5. Observación y análisis de espectros de emisión con un espectroscopio sencillo y relación de la luz con la energía de los fotones.</t>
  </si>
  <si>
    <t>Aplicar: calcular frecuencia y energía. Razonar: identificar elementos con espectros</t>
  </si>
  <si>
    <r>
      <rPr>
        <sz val="10"/>
        <color indexed="8"/>
        <rFont val="Arial"/>
      </rPr>
      <t>E1; D1; E2; D2; I1</t>
    </r>
  </si>
  <si>
    <t>T0455-G10-QUÍ</t>
  </si>
  <si>
    <t>3.6. Cálculo de las energías y longitudes de onda de las transiciones del átomo de hidrógeno con el modelo de Bohr.</t>
  </si>
  <si>
    <t>Aplicar: calcular longitudes de onda con la ecuación de Rydberg. Razonar: validar un modelo con datos</t>
  </si>
  <si>
    <t>T0456-G10-QUÍ</t>
  </si>
  <si>
    <t>El modelo mecanocuántico</t>
  </si>
  <si>
    <t>3.7. Análisis de las limitaciones del modelo de Bohr y de las hipótesis que fundamentan el modelo mecanocuántico del átomo.</t>
  </si>
  <si>
    <t>Aplicar: calcular la longitud de onda de De Broglie. Razonar: contrastar modelos</t>
  </si>
  <si>
    <r>
      <rPr>
        <sz val="10"/>
        <color indexed="8"/>
        <rFont val="Arial"/>
      </rPr>
      <t>E1; E5; E1; I2; I1</t>
    </r>
  </si>
  <si>
    <t>T0457-G10-QUÍ</t>
  </si>
  <si>
    <t>3.8. Determinación de los valores permitidos de los números cuánticos y de su relación con niveles, subniveles y orbitales.</t>
  </si>
  <si>
    <t>Aplicar: asignar números cuánticos. Razonar: detectar conjuntos imposibles</t>
  </si>
  <si>
    <t>T0458-G10-QUÍ</t>
  </si>
  <si>
    <t>3.9. Interpretación de la forma, el tamaño y la energía relativa de los orbitales y de su orden de llenado mediante el diagrama de Möller.</t>
  </si>
  <si>
    <t>Conocer: describir la forma de orbitales. Aplicar: ordenar subniveles. Razonar: justificar con la regla n + l</t>
  </si>
  <si>
    <t>T0459-G10-QUÍ</t>
  </si>
  <si>
    <t>3.10. Escritura de configuraciones electrónicas y diagramas de orbitales de átomos e iones, incluidos los elementos de transición, aplicando los principios de construcción.</t>
  </si>
  <si>
    <t>Aplicar: escribir configuraciones electrónicas. Razonar: predecir propiedades magnéticas</t>
  </si>
  <si>
    <t>T0460-G10-QUÍ</t>
  </si>
  <si>
    <t>4. Tabla periódica de los elementos</t>
  </si>
  <si>
    <t>Construcción de la tabla periódica</t>
  </si>
  <si>
    <t>4.1. Análisis de los aportes y las limitaciones de las clasificaciones históricas de los elementos hasta la tabla de Mendeléiev.</t>
  </si>
  <si>
    <t>Conocer: describir clasificaciones históricas. Razonar: evaluar el valor predictivo de un modelo</t>
  </si>
  <si>
    <t>T0461-G10-QUÍ</t>
  </si>
  <si>
    <t>4.2. Interpretación de la ley periódica actual y de la organización de la tabla en grupos, periodos y tipos de elementos.</t>
  </si>
  <si>
    <t>Conocer: identificar grupos y periodos. Aplicar: ubicar elementos. Razonar: explicar la ley periódica</t>
  </si>
  <si>
    <t>T0462-G10-QUÍ</t>
  </si>
  <si>
    <t>4.3. Relación entre la configuración electrónica de la capa de valencia y la posición de los elementos en los bloques de la tabla periódica.</t>
  </si>
  <si>
    <t>Aplicar: relacionar configuración y posición. Razonar: justificar semejanzas de grupo</t>
  </si>
  <si>
    <t>T0463-G10-QUÍ</t>
  </si>
  <si>
    <t>Propiedades periódicas</t>
  </si>
  <si>
    <t>4.4. Análisis de la variación del radio atómico y del radio iónico en la tabla periódica en función de la carga nuclear efectiva.</t>
  </si>
  <si>
    <t>Aplicar: graficar datos periódicos. Razonar: explicar tendencias con la carga nuclear efectiva</t>
  </si>
  <si>
    <t>T0464-G10-QUÍ</t>
  </si>
  <si>
    <t>4.5. Interpretación de las energías de ionización sucesivas y de su variación en la tabla periódica a partir de datos reales.</t>
  </si>
  <si>
    <t>Aplicar: graficar energías de ionización. Razonar: deducir electrones de valencia y explicar anomalías</t>
  </si>
  <si>
    <t>T0465-G10-QUÍ</t>
  </si>
  <si>
    <t>4.6. Interpretación de la afinidad electrónica como cambio de energía y de su variación según la posición de los elementos en la tabla periódica.</t>
  </si>
  <si>
    <t>Aplicar: interpretar datos energéticos. Razonar: justificar tendencias y excepciones</t>
  </si>
  <si>
    <t>T0466-G10-QUÍ</t>
  </si>
  <si>
    <t>4.7. Comparación de las escalas de electronegatividad y uso de la diferencia de electronegatividad para anticipar el tipo de enlace.</t>
  </si>
  <si>
    <t>Aplicar: calcular diferencias de electronegatividad. Razonar: predecir el tipo de enlace</t>
  </si>
  <si>
    <r>
      <rPr>
        <sz val="10"/>
        <color indexed="8"/>
        <rFont val="Arial"/>
      </rPr>
      <t>E1; E5; E1; I3; E3</t>
    </r>
  </si>
  <si>
    <t>T0467-G10-QUÍ</t>
  </si>
  <si>
    <t>4.8. Análisis de las tendencias de reactividad de metales y no metales en la tabla periódica a partir de demostraciones y videos.</t>
  </si>
  <si>
    <t>Aplicar: ordenar por reactividad. Razonar: explicar tendencias con propiedades periódicas</t>
  </si>
  <si>
    <r>
      <rPr>
        <sz val="10"/>
        <color indexed="8"/>
        <rFont val="Arial"/>
      </rPr>
      <t>E6; D1; E4; D4; I5</t>
    </r>
  </si>
  <si>
    <t>T0468-G10-QUÍ</t>
  </si>
  <si>
    <t>5. Los enlaces químicos</t>
  </si>
  <si>
    <t>Naturaleza del enlace químico</t>
  </si>
  <si>
    <t>5.1. Interpretación de la curva de energía potencial frente a la distancia internuclear en la formación de un enlace.</t>
  </si>
  <si>
    <t>Aplicar: interpretar una gráfica energía-distancia. Razonar: justificar la estabilidad del enlace</t>
  </si>
  <si>
    <t>T0469-G10-QUÍ</t>
  </si>
  <si>
    <t>Enlace covalente</t>
  </si>
  <si>
    <t>5.2. Construcción de estructuras de Lewis de moléculas e iones poliatómicos, incluidas las excepciones a la regla del octeto.</t>
  </si>
  <si>
    <t>Aplicar: representar moléculas con estructuras de Lewis. Razonar: evaluar la validez de una estructura</t>
  </si>
  <si>
    <r>
      <rPr>
        <sz val="10"/>
        <color indexed="8"/>
        <rFont val="Arial"/>
      </rPr>
      <t>E1; E3; E2; D3; I4</t>
    </r>
  </si>
  <si>
    <t>T0470-G10-QUÍ</t>
  </si>
  <si>
    <t>5.3. Comparación de la teoría del enlace de valencia y la teoría de orbitales moleculares en la explicación del enlace covalente.</t>
  </si>
  <si>
    <t>Aplicar: calcular el orden de enlace. Razonar: comparar el poder explicativo de dos modelos</t>
  </si>
  <si>
    <r>
      <rPr>
        <sz val="10"/>
        <color indexed="8"/>
        <rFont val="Arial"/>
      </rPr>
      <t>E6; D1; E4; I1; I5</t>
    </r>
  </si>
  <si>
    <t>T0471-G10-QUÍ</t>
  </si>
  <si>
    <t>5.4. Representación de enlaces múltiples y estructuras resonantes en moléculas e iones.</t>
  </si>
  <si>
    <t>Aplicar: representar estructuras resonantes. Razonar: relacionar la resonancia con datos de longitud de enlace</t>
  </si>
  <si>
    <r>
      <rPr>
        <sz val="10"/>
        <color indexed="8"/>
        <rFont val="Arial"/>
      </rPr>
      <t>E6; E3; E2; D4; E3</t>
    </r>
  </si>
  <si>
    <t>T0472-G10-QUÍ</t>
  </si>
  <si>
    <t>Polaridad de las moléculas</t>
  </si>
  <si>
    <t>5.5. Clasificación de enlaces y moléculas según la diferencia de electronegatividad y el momento dipolar.</t>
  </si>
  <si>
    <t>Aplicar: calcular diferencias de electronegatividad. Razonar: inferir la polaridad a partir de la geometría</t>
  </si>
  <si>
    <t>T0473-G10-QUÍ</t>
  </si>
  <si>
    <t>Geometría molecular</t>
  </si>
  <si>
    <t>5.6. Predicción de la geometría molecular y los ángulos de enlace mediante la teoría de repulsión de los pares electrónicos de la capa de valencia.</t>
  </si>
  <si>
    <t>Aplicar: predecir geometrías con la TRPECV. Razonar: explicar desviaciones de los ángulos ideales</t>
  </si>
  <si>
    <t>T0474-G10-QUÍ</t>
  </si>
  <si>
    <t>5.7. Relación entre el tipo de hibridación del átomo central y la geometría de la molécula.</t>
  </si>
  <si>
    <t>Aplicar: asignar hibridaciones. Razonar: vincular hibridación, geometría y tipo de enlace</t>
  </si>
  <si>
    <t>T0475-G10-QUÍ</t>
  </si>
  <si>
    <t>Fuerzas intermoleculares</t>
  </si>
  <si>
    <t>5.8. Análisis de la relación entre el tipo de fuerza intermolecular y el punto de ebullición de sustancias moleculares.</t>
  </si>
  <si>
    <t>Aplicar: graficar datos de ebullición. Razonar: explicar anomalías con modelos de interacción</t>
  </si>
  <si>
    <r>
      <rPr>
        <sz val="10"/>
        <color indexed="8"/>
        <rFont val="Arial"/>
      </rPr>
      <t>E6; D1; E2; D4; E3</t>
    </r>
  </si>
  <si>
    <t>T0476-G10-QUÍ</t>
  </si>
  <si>
    <t>Sustancias covalentes</t>
  </si>
  <si>
    <t>5.9. Comparación de las propiedades de las sustancias moleculares y los sólidos covalentes reticulares.</t>
  </si>
  <si>
    <t>Conocer: identificar tipos de sustancias covalentes. Razonar: argumentar usos a partir de propiedades</t>
  </si>
  <si>
    <r>
      <rPr>
        <sz val="10"/>
        <color indexed="8"/>
        <rFont val="Arial"/>
      </rPr>
      <t>E1; E3; E4; I3; E6</t>
    </r>
  </si>
  <si>
    <t>T0477-G10-QUÍ</t>
  </si>
  <si>
    <t>Enlace iónico</t>
  </si>
  <si>
    <t>5.10. Descripción de las etapas de formación de un compuesto iónico y de los tipos de redes cristalinas.</t>
  </si>
  <si>
    <t>Aplicar: modelar redes iónicas. Razonar: relacionar el tamaño de los iones con la estructura</t>
  </si>
  <si>
    <t>T0478-G10-QUÍ</t>
  </si>
  <si>
    <t>5.11. Cálculo de la energía reticular de compuestos iónicos mediante el ciclo de Born-Haber.</t>
  </si>
  <si>
    <t>Aplicar: calcular con el ciclo de Born-Haber. Razonar: relacionar carga, radio y estabilidad</t>
  </si>
  <si>
    <t>T0479-G10-QUÍ</t>
  </si>
  <si>
    <t>Propiedades de las sustancias iónicas</t>
  </si>
  <si>
    <t>5.12. Comprobación experimental de la conductividad eléctrica de sustancias iónicas en estado sólido y en disolución.</t>
  </si>
  <si>
    <t>Aplicar: comprobar experimentalmente la conductividad. Razonar: explicar resultados con el modelo iónico</t>
  </si>
  <si>
    <r>
      <rPr>
        <sz val="10"/>
        <color indexed="8"/>
        <rFont val="Arial"/>
      </rPr>
      <t>E1; E5; E4; D2; D3</t>
    </r>
  </si>
  <si>
    <t>T0480-G10-QUÍ</t>
  </si>
  <si>
    <t>Enlace metálico</t>
  </si>
  <si>
    <t>5.13. Explicación del enlace metálico mediante el modelo de la nube electrónica y la teoría de bandas.</t>
  </si>
  <si>
    <t>Conocer: describir modelos de enlace metálico. Razonar: explicar la conductividad con la teoría de bandas</t>
  </si>
  <si>
    <t>T0481-G10-QUÍ</t>
  </si>
  <si>
    <t>Propiedades de las sustancias metálicas</t>
  </si>
  <si>
    <t>5.14. Relación de las propiedades de los metales y sus aleaciones con el modelo de enlace metálico.</t>
  </si>
  <si>
    <t>Aplicar: relacionar propiedades con el modelo de enlace. Razonar: argumentar la elección de un material</t>
  </si>
  <si>
    <r>
      <rPr>
        <sz val="10"/>
        <color indexed="8"/>
        <rFont val="Arial"/>
      </rPr>
      <t>E1; E3; E1; I3; E6</t>
    </r>
  </si>
  <si>
    <t>T0482-G10-QUÍ</t>
  </si>
  <si>
    <t>6. Los gases</t>
  </si>
  <si>
    <t>El estado gaseoso</t>
  </si>
  <si>
    <t>6.1. Medición de la presión atmosférica y análisis de su variación con la altitud.</t>
  </si>
  <si>
    <t>Aplicar: convertir unidades de presión. Razonar: interpretar la variación de la presión con la altitud</t>
  </si>
  <si>
    <t>T0483-G10-QUÍ</t>
  </si>
  <si>
    <t>Leyes de los gases</t>
  </si>
  <si>
    <t>6.2. Comprobación experimental de la ley de Boyle-Mariotte y análisis gráfico de las leyes de Charles y Gay-Lussac.</t>
  </si>
  <si>
    <t>Aplicar: linealizar y graficar datos. Razonar: justificar las condiciones de control del experimento</t>
  </si>
  <si>
    <t>T0484-G10-QUÍ</t>
  </si>
  <si>
    <t>Ecuación de estado</t>
  </si>
  <si>
    <t>6.3. Cálculo de cantidades de gases producidos o consumidos en reacciones químicas mediante la ecuación de estado del gas ideal.</t>
  </si>
  <si>
    <t>Aplicar: calcular con PV = nRT y estequiometría. Razonar: comparar resultados teóricos y experimentales</t>
  </si>
  <si>
    <t>T0485-G10-QUÍ</t>
  </si>
  <si>
    <t>Mezclas de gases</t>
  </si>
  <si>
    <t>6.4. Cálculo de presiones parciales y fracciones molares en mezclas de gases, incluida la recolección de gases sobre agua.</t>
  </si>
  <si>
    <t>Aplicar: calcular presiones parciales y fracciones molares. Razonar: justificar correcciones experimentales</t>
  </si>
  <si>
    <r>
      <rPr>
        <sz val="10"/>
        <color indexed="8"/>
        <rFont val="Arial"/>
      </rPr>
      <t>E6; D1; E2; I3; E3</t>
    </r>
  </si>
  <si>
    <t>T0486-G10-QUÍ</t>
  </si>
  <si>
    <t>El aire</t>
  </si>
  <si>
    <t>6.5. Análisis de la composición del aire y de datos de humedad y contaminantes atmosféricos en El Salvador.</t>
  </si>
  <si>
    <t>Aplicar: interpretar datos atmosféricos. Razonar: fundamentar decisiones ambientales con evidencia</t>
  </si>
  <si>
    <r>
      <rPr>
        <sz val="10"/>
        <color indexed="8"/>
        <rFont val="Arial"/>
      </rPr>
      <t>E1; E5; E2; I1; I5</t>
    </r>
  </si>
  <si>
    <t>T0487-G10-QUÍ</t>
  </si>
  <si>
    <t>Difusión y efusión</t>
  </si>
  <si>
    <t>6.6. Aplicación de la ley de Graham para comparar las velocidades de difusión y efusión de distintos gases.</t>
  </si>
  <si>
    <t>Aplicar: calcular con la ley de Graham. Razonar: explicar diferencias de velocidad por la masa molar</t>
  </si>
  <si>
    <t>T0488-G10-QUÍ</t>
  </si>
  <si>
    <t>Gases reales</t>
  </si>
  <si>
    <t>6.7. Comparación del comportamiento de gases reales e ideales mediante el factor de compresibilidad y la ecuación de van der Waals.</t>
  </si>
  <si>
    <t>Aplicar: calcular con la ecuación de van der Waals. Razonar: interpretar desviaciones de la idealidad</t>
  </si>
  <si>
    <t>T0489-G10-QUÍ</t>
  </si>
  <si>
    <t>7. Los líquidos y los sólidos</t>
  </si>
  <si>
    <t>Estados de agregación</t>
  </si>
  <si>
    <t>7.1. Comparación de las características de sólidos, líquidos y gases mediante el modelo cinético de partículas.</t>
  </si>
  <si>
    <t>Conocer: describir los estados de agregación. Razonar: explicar propiedades con el modelo de partículas</t>
  </si>
  <si>
    <t>T0490-G10-QUÍ</t>
  </si>
  <si>
    <t>Fuerzas entre partículas</t>
  </si>
  <si>
    <t>7.2. Relación entre el tipo de partículas y de fuerzas presentes en un sólido y sus puntos de fusión.</t>
  </si>
  <si>
    <t>Aplicar: clasificar sólidos por sus fuerzas. Razonar: predecir propiedades a partir del tipo de sólido</t>
  </si>
  <si>
    <t>T0491-G10-QUÍ</t>
  </si>
  <si>
    <t>Propiedades de los líquidos</t>
  </si>
  <si>
    <t>7.3. Medición de la viscosidad, la tensión superficial y la capilaridad de líquidos y su relación con las fuerzas intermoleculares.</t>
  </si>
  <si>
    <t>Aplicar: medir propiedades de líquidos. Razonar: relacionar propiedades con fuerzas intermoleculares</t>
  </si>
  <si>
    <r>
      <rPr>
        <sz val="10"/>
        <color indexed="8"/>
        <rFont val="Arial"/>
      </rPr>
      <t>E6; E5; E1; D2; D3</t>
    </r>
  </si>
  <si>
    <t>T0492-G10-QUÍ</t>
  </si>
  <si>
    <t>Propiedades de los sólidos</t>
  </si>
  <si>
    <t>7.4. Análisis de las curvas de calentamiento de sólidos cristalinos y amorfos y del proceso de sublimación.</t>
  </si>
  <si>
    <t>Aplicar: interpretar curvas de calentamiento. Razonar: distinguir sólidos cristalinos y amorfos con datos</t>
  </si>
  <si>
    <t>T0493-G10-QUÍ</t>
  </si>
  <si>
    <t>Diagramas de fases</t>
  </si>
  <si>
    <t>7.5. Interpretación de diagramas de fases para predecir el estado de una sustancia a una presión y temperatura dadas.</t>
  </si>
  <si>
    <t>Aplicar: leer diagramas de fases. Razonar: predecir estados y cambios de fase</t>
  </si>
  <si>
    <t>T0494-G10-QUÍ</t>
  </si>
  <si>
    <t>El agua</t>
  </si>
  <si>
    <t>7.6. Análisis del comportamiento anómalo de la densidad del agua y de su importancia para los ecosistemas acuáticos.</t>
  </si>
  <si>
    <t>Aplicar: calcular densidades y graficar. Razonar: relacionar estructura molecular y propiedades anómalas</t>
  </si>
  <si>
    <r>
      <rPr>
        <sz val="10"/>
        <color indexed="8"/>
        <rFont val="Arial"/>
      </rPr>
      <t>E6; E3; E4; D4; I2</t>
    </r>
  </si>
  <si>
    <t>T0495-G10-QUÍ</t>
  </si>
  <si>
    <t>Estados frontera</t>
  </si>
  <si>
    <t>7.7. Descripción de las características intermedias de los vidrios y los cristales líquidos y de sus aplicaciones tecnológicas.</t>
  </si>
  <si>
    <t>Conocer: describir estados frontera. Razonar: justificar decisiones de manejo de residuos tecnológicos</t>
  </si>
  <si>
    <t>T0496-G10-QUÍ</t>
  </si>
  <si>
    <t>8. Disoluciones y coloides</t>
  </si>
  <si>
    <t>Dispersiones</t>
  </si>
  <si>
    <t>8.1. Clasificación de dispersiones según el tamaño de las partículas de la fase dispersa y el estado de las fases.</t>
  </si>
  <si>
    <t>Conocer: identificar tipos de dispersiones. Aplicar: clasificar muestras según el tamaño de partícula</t>
  </si>
  <si>
    <t>T0497-G10-QUÍ</t>
  </si>
  <si>
    <t>Coloides</t>
  </si>
  <si>
    <t>8.2. Identificación de coloides mediante el efecto Tyndall y clasificación en hidrófilos e hidrófobos.</t>
  </si>
  <si>
    <t>Aplicar: identificar coloides experimentalmente. Razonar: explicar su estabilidad con modelos</t>
  </si>
  <si>
    <r>
      <rPr>
        <sz val="10"/>
        <color indexed="8"/>
        <rFont val="Arial"/>
      </rPr>
      <t>E6; E5; E4; D2; D3</t>
    </r>
  </si>
  <si>
    <t>T0498-G10-QUÍ</t>
  </si>
  <si>
    <t>Concentración de las disoluciones</t>
  </si>
  <si>
    <t>8.3. Cálculo de la concentración de disoluciones en molaridad, molalidad, fracción molar y partes por millón.</t>
  </si>
  <si>
    <t>Aplicar: calcular y convertir concentraciones. Razonar: seleccionar la unidad adecuada</t>
  </si>
  <si>
    <t>T0499-G10-QUÍ</t>
  </si>
  <si>
    <t>Preparación de disoluciones</t>
  </si>
  <si>
    <t>8.4. Preparación de disoluciones de concentración conocida a partir de un soluto sólido y por dilución de una disolución madre.</t>
  </si>
  <si>
    <t>Aplicar: calcular y preparar disoluciones. Razonar: evaluar fuentes de error en un procedimiento</t>
  </si>
  <si>
    <t>T0500-G10-QUÍ</t>
  </si>
  <si>
    <t>Cálculos con disoluciones</t>
  </si>
  <si>
    <t>8.5. Resolución de problemas de conversión de unidades de concentración, mezcla de disoluciones y estequiometría en disolución.</t>
  </si>
  <si>
    <t>Aplicar: resolver problemas de concentración. Razonar: argumentar decisiones sobre la calidad del agua</t>
  </si>
  <si>
    <t>T0501-G10-QUÍ</t>
  </si>
  <si>
    <t>Proceso de disolución</t>
  </si>
  <si>
    <t>8.6. Análisis del proceso de disolución de compuestos iónicos y covalentes polares y de su balance energético.</t>
  </si>
  <si>
    <t>Aplicar: medir cambios de temperatura en disoluciones. Razonar: explicar el balance energético de la disolución</t>
  </si>
  <si>
    <t>T0502-G10-QUÍ</t>
  </si>
  <si>
    <t>Solubilidad</t>
  </si>
  <si>
    <t>8.7. Interpretación de curvas de solubilidad de sólidos y gases en agua en función de la temperatura.</t>
  </si>
  <si>
    <t>Aplicar: interpretar curvas de solubilidad. Razonar: explicar efectos ambientales de la temperatura</t>
  </si>
  <si>
    <r>
      <rPr>
        <sz val="10"/>
        <color indexed="8"/>
        <rFont val="Arial"/>
      </rPr>
      <t>E6; E5; E2; D4; I2</t>
    </r>
  </si>
  <si>
    <t>T0503-G10-QUÍ</t>
  </si>
  <si>
    <t>Propiedades coligativas</t>
  </si>
  <si>
    <t>8.8. Cálculo de las variaciones de las propiedades coligativas y su aplicación en procesos tecnológicos y biológicos.</t>
  </si>
  <si>
    <t>Aplicar: calcular propiedades coligativas. Razonar: evaluar aplicaciones tecnológicas de la ósmosis</t>
  </si>
  <si>
    <t>T0504-G10-QUÍ</t>
  </si>
  <si>
    <t>9. Reacciones químicas</t>
  </si>
  <si>
    <t>Representación de las reacciones químicas</t>
  </si>
  <si>
    <t>9.1. Interpretación de ecuaciones químicas balanceadas con estados de agregación, condiciones de reacción y conservación de átomos y masa.</t>
  </si>
  <si>
    <t>Conocer: identificar reactivos y productos. Aplicar: representar con ecuaciones. Razonar: justificar la conservación de la masa</t>
  </si>
  <si>
    <t>T0505-G10-QUÍ</t>
  </si>
  <si>
    <t>Clasificación de las reacciones químicas</t>
  </si>
  <si>
    <t>9.2. Clasificación de reacciones químicas cotidianas e industriales según la reorganización de sus reactivos y productos.</t>
  </si>
  <si>
    <t>Aplicar: clasificar reacciones. Razonar: justificar criterios de clasificación y predecir productos</t>
  </si>
  <si>
    <t>T0506-G10-QUÍ</t>
  </si>
  <si>
    <t>Evidencias de las reacciones químicas</t>
  </si>
  <si>
    <t>9.3. Observación experimental de evidencias de cambio químico en reacciones con reactivos seguros de uso escolar.</t>
  </si>
  <si>
    <t>Conocer: identificar evidencias de cambio químico. Razonar: distinguir cambios físicos de químicos</t>
  </si>
  <si>
    <t>T0507-G10-QUÍ</t>
  </si>
  <si>
    <t>Seguridad en el laboratorio de química</t>
  </si>
  <si>
    <t>9.4. Análisis de pictogramas SGA y fichas de datos de seguridad para planificar el manejo y la disposición de residuos de las reacciones escolares.</t>
  </si>
  <si>
    <t>Conocer: reconocer pictogramas. Aplicar: interpretar fichas de seguridad. Razonar: decidir la disposición de residuos</t>
  </si>
  <si>
    <t>T0508-G10-QUÍ</t>
  </si>
  <si>
    <t>10. Cálculos estequiométricos</t>
  </si>
  <si>
    <t>10.1. Cálculo de cantidades de reactivos y productos a partir de ecuaciones balanceadas considerando la pureza de los reactivos y la concentración de disoluciones.</t>
  </si>
  <si>
    <t>Aplicar: calcular cantidades con pureza y concentración. Razonar: interpretar el significado de los resultados</t>
  </si>
  <si>
    <t>T0509-G10-QUÍ</t>
  </si>
  <si>
    <t>10.2. Determinación del reactivo limitante y del reactivo en exceso en reacciones con cantidades iniciales arbitrarias.</t>
  </si>
  <si>
    <t>Aplicar: identificar el reactivo limitante y calcular. Razonar: interpretar la meseta de la gráfica</t>
  </si>
  <si>
    <r>
      <rPr>
        <sz val="10"/>
        <color indexed="8"/>
        <rFont val="Arial"/>
      </rPr>
      <t>E1; D1; E4; D4; D3</t>
    </r>
  </si>
  <si>
    <t>T0510-G10-QUÍ</t>
  </si>
  <si>
    <t>Eficiencia de las reacciones</t>
  </si>
  <si>
    <t>10.3. Cálculo del rendimiento porcentual de una reacción y análisis de las causas de diferencia entre el rendimiento teórico y el experimental.</t>
  </si>
  <si>
    <t>Aplicar: calcular rendimientos. Razonar: explicar diferencias entre valores teóricos y experimentales</t>
  </si>
  <si>
    <r>
      <rPr>
        <sz val="10"/>
        <color indexed="8"/>
        <rFont val="Arial"/>
      </rPr>
      <t>E6; E5; E1; D4; E3</t>
    </r>
  </si>
  <si>
    <t>T0511-G10-QUÍ</t>
  </si>
  <si>
    <t>10.4. Resolución de problemas de reacciones consecutivas y simultáneas mediante la ecuación neta y el rendimiento global del proceso.</t>
  </si>
  <si>
    <t>Aplicar: sumar ecuaciones y calcular rendimientos globales. Razonar: evaluar la eficiencia de un proceso</t>
  </si>
  <si>
    <r>
      <rPr>
        <sz val="10"/>
        <color indexed="8"/>
        <rFont val="Arial"/>
      </rPr>
      <t>E1; E3; E2; I1; I4</t>
    </r>
  </si>
  <si>
    <t>T0512-G10-QUÍ</t>
  </si>
  <si>
    <t>11. Termodinámica en reacciones químicas</t>
  </si>
  <si>
    <t>Energía en las reacciones químicas</t>
  </si>
  <si>
    <t>11.1. Medición calorimétrica del calor de reacción a presión constante y representación en diagramas de entalpía.</t>
  </si>
  <si>
    <t>Aplicar: calcular q y ΔH a partir de datos calorimétricos. Razonar: evaluar fuentes de error</t>
  </si>
  <si>
    <t>T0513-G10-QUÍ</t>
  </si>
  <si>
    <t>11.2. Cálculo de entalpías estándar de reacción mediante entalpías de formación tabuladas y la ley de Hess.</t>
  </si>
  <si>
    <t>Aplicar: calcular ΔH° con ley de Hess y entalpías de formación. Razonar: comparar combustibles</t>
  </si>
  <si>
    <r>
      <rPr>
        <sz val="10"/>
        <color indexed="8"/>
        <rFont val="Arial"/>
      </rPr>
      <t>E6; E3; E2; I3; E3</t>
    </r>
  </si>
  <si>
    <t>T0514-G10-QUÍ</t>
  </si>
  <si>
    <t>11.3. Estimación de entalpías de reacción a partir de entalpías medias de enlace y análisis de su relación con la fuerza de los enlaces.</t>
  </si>
  <si>
    <t>Aplicar: estimar ΔH con entalpías de enlace. Razonar: explicar diferencias con valores tabulados</t>
  </si>
  <si>
    <t>T0515-G10-QUÍ</t>
  </si>
  <si>
    <t>Espontaneidad de los procesos</t>
  </si>
  <si>
    <t>11.4. Análisis de procesos físicos y químicos espontáneos y no espontáneos a partir del segundo principio de la termodinámica.</t>
  </si>
  <si>
    <t>Conocer: definir espontaneidad. Razonar: distinguir espontaneidad de rapidez y justificar con el segundo principio</t>
  </si>
  <si>
    <r>
      <rPr>
        <sz val="10"/>
        <color indexed="8"/>
        <rFont val="Arial"/>
      </rPr>
      <t>E1; D1; E1; I2; E3</t>
    </r>
  </si>
  <si>
    <t>T0516-G10-QUÍ</t>
  </si>
  <si>
    <t>11.5. Interpretación de la entropía como medida de la dispersión de la energía y de los factores de los que depende en las sustancias.</t>
  </si>
  <si>
    <t>Conocer: enunciar el tercer principio. Aplicar: ordenar sustancias por entropía. Razonar: interpretar gráficas S–T</t>
  </si>
  <si>
    <t>T0517-G10-QUÍ</t>
  </si>
  <si>
    <t>11.6. Cálculo de la variación de entropía estándar de reacción y de la entropía del universo para predecir la espontaneidad.</t>
  </si>
  <si>
    <t>Aplicar: calcular ΔS° y ΔS del universo. Razonar: predecir espontaneidad</t>
  </si>
  <si>
    <t>T0518-G10-QUÍ</t>
  </si>
  <si>
    <t>11.7. Aplicación de la energía de Gibbs para predecir la espontaneidad de reacciones y determinar la temperatura a la que cambia su sentido.</t>
  </si>
  <si>
    <t>Aplicar: calcular ΔG° y temperatura de inversión. Razonar: justificar decisiones de proceso</t>
  </si>
  <si>
    <r>
      <rPr>
        <sz val="10"/>
        <color indexed="8"/>
        <rFont val="Arial"/>
      </rPr>
      <t>E6; E5; E2; I3; I5</t>
    </r>
  </si>
  <si>
    <t>T0519-G10-QUÍ</t>
  </si>
  <si>
    <t>12. Cinética y equilibrio químico</t>
  </si>
  <si>
    <t>Velocidad de reacción</t>
  </si>
  <si>
    <t>12.1. Cálculo de velocidades medias e instantáneas de reacción a partir de datos de concentración, volumen de gas o masa en función del tiempo.</t>
  </si>
  <si>
    <t>Aplicar: calcular velocidades medias e instantáneas. Razonar: interpretar la pendiente de una curva</t>
  </si>
  <si>
    <t>T0520-G10-QUÍ</t>
  </si>
  <si>
    <t>12.2. Determinación de la ley de velocidad y de los órdenes de reacción mediante el método de las velocidades iniciales.</t>
  </si>
  <si>
    <t>Aplicar: determinar órdenes y constantes de velocidad. Razonar: justificar el carácter experimental de la ley de velocidad</t>
  </si>
  <si>
    <t>T0521-G10-QUÍ</t>
  </si>
  <si>
    <t>12.3. Análisis gráfico de la concentración en función del tiempo mediante las leyes integradas de velocidad y cálculo de la semivida.</t>
  </si>
  <si>
    <t>Aplicar: linealizar datos y calcular semividas. Razonar: decidir el orden a partir de gráficas</t>
  </si>
  <si>
    <t>T0522-G10-QUÍ</t>
  </si>
  <si>
    <t>Modelos de la velocidad de reacción</t>
  </si>
  <si>
    <t>12.4. Interpretación de la teoría de las colisiones y del complejo activado mediante diagramas de energía potencial y simulaciones.</t>
  </si>
  <si>
    <t>Conocer: describir modelos de reacción. Aplicar: interpretar diagramas de energía. Razonar: explicar choques eficaces</t>
  </si>
  <si>
    <t>T0523-G10-QUÍ</t>
  </si>
  <si>
    <t>12.5. Análisis de mecanismos de reacción y deducción de la ley de velocidad a partir de la etapa determinante.</t>
  </si>
  <si>
    <t>Aplicar: deducir leyes de velocidad desde mecanismos. Razonar: evaluar mecanismos con datos</t>
  </si>
  <si>
    <r>
      <rPr>
        <sz val="10"/>
        <color indexed="8"/>
        <rFont val="Arial"/>
      </rPr>
      <t>E1; D1; E4; I3; I4</t>
    </r>
  </si>
  <si>
    <t>T0524-G10-QUÍ</t>
  </si>
  <si>
    <t>Factores que modifican la velocidad</t>
  </si>
  <si>
    <t>12.6. Determinación experimental de la energía de activación mediante la ecuación de Arrhenius y la gráfica de ln k contra 1/T.</t>
  </si>
  <si>
    <t>Aplicar: linealizar y calcular Ea. Razonar: evaluar la validez de las mediciones</t>
  </si>
  <si>
    <r>
      <rPr>
        <sz val="10"/>
        <color indexed="8"/>
        <rFont val="Arial"/>
      </rPr>
      <t>E6; E3; E2; D2; D3</t>
    </r>
  </si>
  <si>
    <t>T0525-G10-QUÍ</t>
  </si>
  <si>
    <t>12.7. Comparación experimental de catalizadores homogéneos, heterogéneos y enzimáticos en la descomposición del peróxido de hidrógeno diluido.</t>
  </si>
  <si>
    <t>Conocer: clasificar tipos de catálisis. Aplicar: representar caminos de reacción. Razonar: comparar catalizadores</t>
  </si>
  <si>
    <t>T0526-G10-QUÍ</t>
  </si>
  <si>
    <t>Equilibrio químico</t>
  </si>
  <si>
    <t>12.8. Deducción de la constante de equilibrio a partir de la igualdad de las velocidades de las reacciones directa e inversa.</t>
  </si>
  <si>
    <t>Aplicar: deducir Kc desde las velocidades. Razonar: explicar el carácter dinámico del equilibrio</t>
  </si>
  <si>
    <t>T0527-G10-QUÍ</t>
  </si>
  <si>
    <t>12.9. Cálculo de Kp y de su relación con Kc, y transformación de la constante al invertir, multiplicar o sumar ecuaciones químicas.</t>
  </si>
  <si>
    <t>Aplicar: calcular Kp y transformar K. Razonar: justificar cuándo Kp = Kc</t>
  </si>
  <si>
    <r>
      <rPr>
        <sz val="10"/>
        <color indexed="8"/>
        <rFont val="Arial"/>
      </rPr>
      <t>E1; E3; E2; I3; I4</t>
    </r>
  </si>
  <si>
    <t>T0528-G10-QUÍ</t>
  </si>
  <si>
    <t>Cálculos de equilibrio</t>
  </si>
  <si>
    <t>12.10. Resolución de problemas de equilibrio con tablas ICE para obtener concentraciones en el equilibrio y grados de disociación.</t>
  </si>
  <si>
    <t>Aplicar: resolver tablas ICE y calcular α. Razonar: interpretar la magnitud de K y validar aproximaciones</t>
  </si>
  <si>
    <t>T0529-G10-QUÍ</t>
  </si>
  <si>
    <t>12.11. Predicción cuantitativa del sentido de la reacción comparando Q con K tras perturbaciones de concentración, presión y temperatura.</t>
  </si>
  <si>
    <t>Aplicar: calcular Q y compararlo con K. Razonar: predecir y verificar desplazamientos del equilibrio</t>
  </si>
  <si>
    <t>T0530-G10-QUÍ</t>
  </si>
  <si>
    <t>12.12. Formulación y cálculo de constantes de equilibrios heterogéneos en sistemas de carbonatos y gases de interés ambiental.</t>
  </si>
  <si>
    <t>Aplicar: escribir constantes heterogéneas. Razonar: explicar procesos ambientales con equilibrios</t>
  </si>
  <si>
    <r>
      <rPr>
        <sz val="10"/>
        <color indexed="8"/>
        <rFont val="Arial"/>
      </rPr>
      <t>E6; E5; E1; I1; I2</t>
    </r>
  </si>
  <si>
    <t>T0531-G10-QUÍ</t>
  </si>
  <si>
    <t>Equilibrio y termodinámica</t>
  </si>
  <si>
    <t>12.13. Cálculo de la constante de equilibrio a partir de ΔG° y de su variación con la temperatura mediante la ecuación de van't Hoff.</t>
  </si>
  <si>
    <t>Aplicar: calcular K desde ΔG° y usar van't Hoff. Razonar: predecir el efecto de la temperatura</t>
  </si>
  <si>
    <t>T0532-G10-QUÍ</t>
  </si>
  <si>
    <t>12.14. Análisis de las condiciones del proceso Haber como compromiso entre factores termodinámicos y cinéticos.</t>
  </si>
  <si>
    <t>Aplicar: analizar condiciones de equilibrio y cinética. Razonar: justificar un compromiso industrial y valorar impactos</t>
  </si>
  <si>
    <t>T0533-G10-QUÍ</t>
  </si>
  <si>
    <t>13. Química inorgánica</t>
  </si>
  <si>
    <t>Elementos metálicos</t>
  </si>
  <si>
    <t>13.1. Comparación de las propiedades, métodos de obtención y usos de los metales alcalinos y alcalinotérreos, con énfasis en la sal marina y la cal.</t>
  </si>
  <si>
    <t>Conocer: describir propiedades de los grupos 1 y 2. Aplicar: graficar tendencias. Razonar: predecir la reactividad</t>
  </si>
  <si>
    <t>T0534-G10-QUÍ</t>
  </si>
  <si>
    <t>13.2. Análisis de las propiedades, la obtención y las aplicaciones de los elementos térreos, de otros metales del bloque p y de los semimetales.</t>
  </si>
  <si>
    <t>Conocer: ubicar semimetales. Aplicar: explicar propiedades con la estructura electrónica. Razonar: evaluar riesgos y beneficios</t>
  </si>
  <si>
    <r>
      <rPr>
        <sz val="10"/>
        <color indexed="8"/>
        <rFont val="Arial"/>
      </rPr>
      <t>E1; E5; E1; I1; I5</t>
    </r>
  </si>
  <si>
    <t>T0535-G10-QUÍ</t>
  </si>
  <si>
    <t>13.3. Caracterización de los metales de transición por sus estados de oxidación, el color de sus compuestos y sus aplicaciones en aleaciones.</t>
  </si>
  <si>
    <t>Conocer: identificar propiedades de los metales de transición. Aplicar: predecir desplazamientos. Razonar: evaluar el diseño</t>
  </si>
  <si>
    <t>T0536-G10-QUÍ</t>
  </si>
  <si>
    <t>Elementos no metálicos</t>
  </si>
  <si>
    <t>13.4. Relación de las propiedades de los alótropos del carbono y de los carbonoideos con procesos biológicos, climáticos y tecnológicos.</t>
  </si>
  <si>
    <t>Conocer: describir alótropos. Aplicar: relacionar estructura y propiedades. Razonar: argumentar con datos climáticos</t>
  </si>
  <si>
    <r>
      <rPr>
        <sz val="10"/>
        <color indexed="8"/>
        <rFont val="Arial"/>
      </rPr>
      <t>E1; E5; E4; I3; E6</t>
    </r>
  </si>
  <si>
    <t>T0537-G10-QUÍ</t>
  </si>
  <si>
    <t>13.5. Análisis de las propiedades y funciones de los nitrogenoideos y de sus compuestos en los ciclos biogeoquímicos y en la calidad del agua.</t>
  </si>
  <si>
    <t>Conocer: describir compuestos nitrogenados. Aplicar: modelar ciclos biogeoquímicos. Razonar: justificar medidas ambientales</t>
  </si>
  <si>
    <t>T0538-G10-QUÍ</t>
  </si>
  <si>
    <t>13.6. Descripción de las propiedades del oxígeno, el ozono y el azufre, y de los compuestos de azufre de origen volcánico e industrial.</t>
  </si>
  <si>
    <t>Conocer: describir propiedades de los anfígenos. Aplicar: explicar reacciones del azufre. Razonar: evaluar riesgos volcánicos</t>
  </si>
  <si>
    <r>
      <rPr>
        <sz val="10"/>
        <color indexed="8"/>
        <rFont val="Arial"/>
      </rPr>
      <t>E1; E3; E1; I1; E6</t>
    </r>
  </si>
  <si>
    <t>T0539-G10-QUÍ</t>
  </si>
  <si>
    <t>13.7. Análisis de las propiedades, la obtención y las aplicaciones de los halógenos en la salud pública y el tratamiento del agua.</t>
  </si>
  <si>
    <t>Conocer: describir propiedades de los halógenos. Aplicar: ordenar el poder oxidante. Razonar: distinguir evidencia de opinión</t>
  </si>
  <si>
    <t>T0540-G10-QUÍ</t>
  </si>
  <si>
    <t>Gases nobles e hidrógeno</t>
  </si>
  <si>
    <t>13.8. Relación de las propiedades de los gases nobles y del hidrógeno con sus aplicaciones y con la obtención de hidrógeno por electrólisis del agua.</t>
  </si>
  <si>
    <t>Conocer: describir gases nobles e isótopos. Aplicar: medir volúmenes de electrólisis. Razonar: evaluar un diseño experimental</t>
  </si>
  <si>
    <t>T0541-G10-QUÍ</t>
  </si>
  <si>
    <t>Elementos de transición interna</t>
  </si>
  <si>
    <t>13.9. Clasificación de los elementos de transición interna y exploración de los elementos sintetizados recientemente.</t>
  </si>
  <si>
    <t>Conocer: clasificar lantánidos y actínidos. Aplicar: usar configuraciones electrónicas. Razonar: valorar implicaciones</t>
  </si>
  <si>
    <r>
      <rPr>
        <sz val="10"/>
        <color indexed="8"/>
        <rFont val="Arial"/>
      </rPr>
      <t>E6; E3; E1; I1; E6</t>
    </r>
  </si>
  <si>
    <t>T0542-G11-QUÍ</t>
  </si>
  <si>
    <t>Química 11.°</t>
  </si>
  <si>
    <t>1. Ciencia de materiales</t>
  </si>
  <si>
    <t>Metales y cerámicas</t>
  </si>
  <si>
    <t>1.1. Comparación de las propiedades de los principales metales y aleaciones utilizadas en la industria electrónica.</t>
  </si>
  <si>
    <t>Conocer: identificar propiedades. Aplicar: comparar datos tabulados. Razonar: justificar la elección de un material</t>
  </si>
  <si>
    <t>T0543-G11-QUÍ</t>
  </si>
  <si>
    <t>1.2. Comparación de las estructuras y aplicaciones de los tipos de materiales cerámicos y aceros del entorno.</t>
  </si>
  <si>
    <t>Conocer: describir estructuras cristalinas. Razonar: relacionar estructura y propiedades</t>
  </si>
  <si>
    <t>T0544-G11-QUÍ</t>
  </si>
  <si>
    <t>1.3. Descripción de aplicaciones tecnológicas y médicas de cerámicas y metales.</t>
  </si>
  <si>
    <t>Aplicar: relacionar propiedades con aplicaciones. Razonar: fundamentar decisiones con evidencia</t>
  </si>
  <si>
    <t>T0545-G11-QUÍ</t>
  </si>
  <si>
    <t>Polímeros y materiales compuestos</t>
  </si>
  <si>
    <t>1.4. Reconocimiento de la diversidad de polímeros sintéticos en el entorno.</t>
  </si>
  <si>
    <t>Conocer: clasificar polímeros. Aplicar: organizar datos en tablas</t>
  </si>
  <si>
    <t>T0546-G11-QUÍ</t>
  </si>
  <si>
    <t>1.5. Experimentación con el proceso de polimerización y los diferentes tipos de polímeros resultantes.</t>
  </si>
  <si>
    <t>Aplicar: representar reacciones. Razonar: generalizar mecanismos de polimerización</t>
  </si>
  <si>
    <t>T0547-G11-QUÍ</t>
  </si>
  <si>
    <t>1.6. Investigación de la estructura y clasificación de los materiales compuestos y las formas de reciclaje de polímeros.</t>
  </si>
  <si>
    <t>Conocer: clasificar compuestos. Razonar: evaluar alternativas de reciclaje</t>
  </si>
  <si>
    <t>T0548-G11-QUÍ</t>
  </si>
  <si>
    <t>Propiedades de los materiales</t>
  </si>
  <si>
    <t>1.7. Relación entre las propiedades de los metales, las cerámicas y los polímeros con sus principales usos.</t>
  </si>
  <si>
    <t>Aplicar: clasificar materiales por sus propiedades. Razonar: relacionar propiedad y uso</t>
  </si>
  <si>
    <t>T0549-G11-QUÍ</t>
  </si>
  <si>
    <t>Nanomateriales</t>
  </si>
  <si>
    <t>1.8. Elaboración de una escala comparativa del tamaño de partícula y estructura de los nanomateriales.</t>
  </si>
  <si>
    <t>Aplicar: convertir unidades y calcular razones. Razonar: explicar el efecto de la escala</t>
  </si>
  <si>
    <t>T0550-G11-QUÍ</t>
  </si>
  <si>
    <t>1.9. Investigación de las principales aplicaciones de los nanomateriales.</t>
  </si>
  <si>
    <t>Conocer: describir aplicaciones. Razonar: valorar beneficios y riesgos</t>
  </si>
  <si>
    <t>T0551-G11-QUÍ</t>
  </si>
  <si>
    <t>2. Introducción a la química orgánica</t>
  </si>
  <si>
    <t>Propiedades de los compuestos orgánicos</t>
  </si>
  <si>
    <t>2.1. Identificación de compuestos orgánicos en las sustancias de uso común.</t>
  </si>
  <si>
    <t>Conocer: diferenciar compuestos orgánicos e inorgánicos. Aplicar: clasificar sustancias</t>
  </si>
  <si>
    <t>T0552-G11-QUÍ</t>
  </si>
  <si>
    <t>2.2. Representación de orbitales híbridos a través de modelos tridimensionales.</t>
  </si>
  <si>
    <t>Aplicar: representar orbitales híbridos. Razonar: relacionar hibridación y geometría</t>
  </si>
  <si>
    <t>T0553-G11-QUÍ</t>
  </si>
  <si>
    <t>2.3. Reconocimiento del carbono como elemento principal en la estructura de los compuestos orgánicos.</t>
  </si>
  <si>
    <t>Conocer: describir propiedades del carbono. Aplicar: clasificar carbonos y cadenas</t>
  </si>
  <si>
    <t>T0554-G11-QUÍ</t>
  </si>
  <si>
    <t>Alcanos</t>
  </si>
  <si>
    <t>2.4. Identificación de la función alcano a partir de compuestos de uso común.</t>
  </si>
  <si>
    <t>Conocer: reconocer la función alcano. Razonar: criticar afirmaciones</t>
  </si>
  <si>
    <r>
      <rPr>
        <sz val="10"/>
        <color indexed="8"/>
        <rFont val="Arial"/>
      </rPr>
      <t>E6; E3; E1; I1; I4</t>
    </r>
  </si>
  <si>
    <t>T0555-G11-QUÍ</t>
  </si>
  <si>
    <t>2.5. Experimentación con las propiedades físicas y químicas de los alcanos.</t>
  </si>
  <si>
    <t>Aplicar: graficar y analizar tendencias. Razonar: explicar propiedades con fuerzas intermoleculares</t>
  </si>
  <si>
    <t>T0556-G11-QUÍ</t>
  </si>
  <si>
    <t>2.6. Explicación de la nomenclatura IUPAC para nombrar alcanos.</t>
  </si>
  <si>
    <t>Aplicar: nombrar y formular. Razonar: verificar la aplicación de reglas</t>
  </si>
  <si>
    <r>
      <rPr>
        <sz val="10"/>
        <color indexed="8"/>
        <rFont val="Arial"/>
      </rPr>
      <t>E1; E3; E2; E4; D3</t>
    </r>
  </si>
  <si>
    <t>T0557-G11-QUÍ</t>
  </si>
  <si>
    <t>Alquenos</t>
  </si>
  <si>
    <t>2.7. Identificación de la función alqueno a partir de sus aplicaciones.</t>
  </si>
  <si>
    <t>Conocer: reconocer la función alqueno. Razonar: justificar su importancia industrial</t>
  </si>
  <si>
    <t>T0558-G11-QUÍ</t>
  </si>
  <si>
    <t>2.8. Demostración práctica de las propiedades físicas y químicas de los alquenos</t>
  </si>
  <si>
    <t>Aplicar: representar reacciones de adición. Razonar: diseñar y controlar variables</t>
  </si>
  <si>
    <r>
      <rPr>
        <sz val="10"/>
        <color indexed="8"/>
        <rFont val="Arial"/>
      </rPr>
      <t>E1; E5; E2; D2; E3</t>
    </r>
  </si>
  <si>
    <t>T0559-G11-QUÍ</t>
  </si>
  <si>
    <t>2.9. Explicación de la nomenclatura IUPAC para nombrar alquenos.</t>
  </si>
  <si>
    <t>Aplicar: nombrar y formular alquenos. Razonar: justificar la numeración</t>
  </si>
  <si>
    <t>T0560-G11-QUÍ</t>
  </si>
  <si>
    <t>Alquinos</t>
  </si>
  <si>
    <t>2.10. Identificación de la función alquino a partir de sus aplicaciones.</t>
  </si>
  <si>
    <t>Conocer: reconocer la función alquino. Aplicar: comparar datos de enlace</t>
  </si>
  <si>
    <r>
      <rPr>
        <sz val="10"/>
        <color indexed="8"/>
        <rFont val="Arial"/>
      </rPr>
      <t>E6; D1; E1; E4; E3</t>
    </r>
  </si>
  <si>
    <t>T0561-G11-QUÍ</t>
  </si>
  <si>
    <t>2.11. Demostración práctica de las propiedades físicas y químicas de los alquinos.</t>
  </si>
  <si>
    <t>Aplicar: representar reacciones de los alquinos. Razonar: argumentar con evidencia</t>
  </si>
  <si>
    <t>T0562-G11-QUÍ</t>
  </si>
  <si>
    <t>2.12. Explicación de la nomenclatura IUPAC para nombrar alquinos.</t>
  </si>
  <si>
    <t>Aplicar: nombrar y formular alquinos. Razonar: justificar prioridades de numeración</t>
  </si>
  <si>
    <t>T0563-G11-QUÍ</t>
  </si>
  <si>
    <t>3. Compuestos orgánicos</t>
  </si>
  <si>
    <t>Hidrocarburos aromáticos</t>
  </si>
  <si>
    <t>3.1. Reconocimiento de los hidrocarburos aromáticos.</t>
  </si>
  <si>
    <t>Conocer: reconocer hidrocarburos aromáticos. Razonar: aplicar criterios de aromaticidad</t>
  </si>
  <si>
    <t>T0564-G11-QUÍ</t>
  </si>
  <si>
    <t>3.2. Experimentación con las propiedades físicas y químicas de los hidrocarburos aromáticos.</t>
  </si>
  <si>
    <t>Aplicar: calcular la energía de resonancia. Razonar: concluir a partir de datos</t>
  </si>
  <si>
    <t>T0565-G11-QUÍ</t>
  </si>
  <si>
    <t>3.3. Explicación de la nomenclatura IUPAC para nombrar hidrocarburos aromáticos.</t>
  </si>
  <si>
    <t>Aplicar: nombrar y formular aromáticos. Razonar: verificar localizadores</t>
  </si>
  <si>
    <t>T0566-G11-QUÍ</t>
  </si>
  <si>
    <t>Compuestos orgánicos oxigenados</t>
  </si>
  <si>
    <t>3.4. Identificación práctica de las funciones alcohol, fenol y éter.</t>
  </si>
  <si>
    <t>Conocer: identificar grupos funcionales. Aplicar: clasificar estructuras</t>
  </si>
  <si>
    <t>T0567-G11-QUÍ</t>
  </si>
  <si>
    <t>3.5. Demostración práctica de las propiedades físicas y químicas de los alcoholes, fenoles y éteres.</t>
  </si>
  <si>
    <t>Aplicar: comparar propiedades con datos. Razonar: explicar con modelos de interacción</t>
  </si>
  <si>
    <t>T0568-G11-QUÍ</t>
  </si>
  <si>
    <t>3.6. Explicación de nomenclatura IUPAC para nombrar alcoholes, fenoles y éteres.</t>
  </si>
  <si>
    <t>Aplicar: nombrar y formular compuestos oxigenados. Razonar: aplicar prioridades</t>
  </si>
  <si>
    <t>T0569-G11-QUÍ</t>
  </si>
  <si>
    <t>3.7. Identificación práctica de las funciones aldehído, cetona, ácido carboxílico y derivados de ácido carboxílico.</t>
  </si>
  <si>
    <t>Conocer: identificar grupos carbonilo y carboxilo. Aplicar: clasificar estructuras</t>
  </si>
  <si>
    <t>T0570-G11-QUÍ</t>
  </si>
  <si>
    <t>3.8. Demostración práctica de las propiedades físicas y químicas de los aldehídos, cetonas, ácidos carboxílicos y sus derivados.</t>
  </si>
  <si>
    <t>Aplicar: representar reacciones y medir volúmenes. Razonar: evaluar el diseño</t>
  </si>
  <si>
    <t>T0571-G11-QUÍ</t>
  </si>
  <si>
    <t>3.9. Explicación de la nomenclatura IUPAC para nombrar aldehídos, cetonas, ácidos carboxílicos y sus derivados.</t>
  </si>
  <si>
    <t>Aplicar: nombrar y formular compuestos carbonílicos. Razonar: detectar errores</t>
  </si>
  <si>
    <t>T0572-G11-QUÍ</t>
  </si>
  <si>
    <t>Otros compuestos orgánicos</t>
  </si>
  <si>
    <t>3.10. Reconocimiento de las funciones tioles, tioéteres, aminas, haluros de alquilo y arilo.</t>
  </si>
  <si>
    <t>Conocer: identificar grupos funcionales. Razonar: relacionar estructura y uso</t>
  </si>
  <si>
    <t>T0573-G11-QUÍ</t>
  </si>
  <si>
    <t>3.11. Exploración de las propiedades físicas y químicas de los tioles, tioéteres, aminas, haluros de alquilo y arilo.</t>
  </si>
  <si>
    <t>Aplicar: comparar propiedades con datos. Razonar: argumentar implicaciones ambientales</t>
  </si>
  <si>
    <r>
      <rPr>
        <sz val="10"/>
        <color indexed="8"/>
        <rFont val="Arial"/>
      </rPr>
      <t>E6; E5; E4; I3; E6</t>
    </r>
  </si>
  <si>
    <t>T0574-G11-QUÍ</t>
  </si>
  <si>
    <t>3.12. Explicación de la nomenclatura IUPAC para nombrar tioles, tioéteres, aminas, haluros de alquilo y arilo.</t>
  </si>
  <si>
    <t>Aplicar: nombrar y formular. Razonar: aplicar la prioridad de grupos funcionales</t>
  </si>
  <si>
    <t>T0575-G11-QUÍ</t>
  </si>
  <si>
    <t>Estereoquímica</t>
  </si>
  <si>
    <t>3.13. Interpretación de la quiralidad del átomo de carbono.</t>
  </si>
  <si>
    <t>Conocer: definir quiralidad. Razonar: identificar carbonos quirales</t>
  </si>
  <si>
    <r>
      <rPr>
        <sz val="10"/>
        <color indexed="8"/>
        <rFont val="Arial"/>
      </rPr>
      <t>E1; E3; E4; E4; E6</t>
    </r>
  </si>
  <si>
    <t>T0576-G11-QUÍ</t>
  </si>
  <si>
    <t>3.14. Caracterización de isómeros constitucionales y estereoisómeros.</t>
  </si>
  <si>
    <t>Aplicar: construir modelos de isómeros. Razonar: clasificar tipos de isomería</t>
  </si>
  <si>
    <t>T0577-G11-QUÍ</t>
  </si>
  <si>
    <t>4. Reacción ácido-base</t>
  </si>
  <si>
    <t>Equilibrios ácido-base</t>
  </si>
  <si>
    <t>4.1. Análisis de pares conjugados ácido-base y del sentido favorecido en equilibrios de transferencia de protones.</t>
  </si>
  <si>
    <t>Aplicar: identificar pares conjugados. Razonar: predecir el sentido de un equilibrio</t>
  </si>
  <si>
    <t>T0578-G11-QUÍ</t>
  </si>
  <si>
    <t>4.2. Cálculo de las concentraciones de iones hidronio e hidróxido a partir del producto iónico del agua a distintas temperaturas.</t>
  </si>
  <si>
    <t>Aplicar: calcular concentraciones iónicas. Razonar: interpretar el efecto de la temperatura</t>
  </si>
  <si>
    <t>T0579-G11-QUÍ</t>
  </si>
  <si>
    <t>4.3. Cálculo y medición del pH y el pOH de disoluciones de ácidos y bases fuertes y de sus diluciones sucesivas.</t>
  </si>
  <si>
    <t>Aplicar: calcular pH y pOH. Razonar: contrastar cálculos con mediciones</t>
  </si>
  <si>
    <t>T0580-G11-QUÍ</t>
  </si>
  <si>
    <t>Ácidos y bases débiles</t>
  </si>
  <si>
    <t>4.4. Cálculo del pH y del porcentaje de ionización de ácidos y bases débiles a partir de sus constantes de ionización.</t>
  </si>
  <si>
    <t>Aplicar: calcular pH con constantes de equilibrio. Razonar: validar aproximaciones</t>
  </si>
  <si>
    <t>T0581-G11-QUÍ</t>
  </si>
  <si>
    <t>4.5. Análisis de las ionizaciones sucesivas de ácidos polipróticos y cálculo del pH de sus disoluciones.</t>
  </si>
  <si>
    <t>Aplicar: calcular pH de ácidos polipróticos. Razonar: interpretar diagramas de distribución</t>
  </si>
  <si>
    <t>T0582-G11-QUÍ</t>
  </si>
  <si>
    <t>4.6. Predicción y cálculo del pH de disoluciones de sales a partir de la hidrólisis de sus iones.</t>
  </si>
  <si>
    <t>Aplicar: calcular el pH de sales. Razonar: predecir con base en el origen de la sal</t>
  </si>
  <si>
    <t>T0583-G11-QUÍ</t>
  </si>
  <si>
    <t>Aplicaciones de los equilibrios ácido-base</t>
  </si>
  <si>
    <t>4.7. Cálculo del pH de disoluciones de ácidos o bases débiles en presencia de un ion común.</t>
  </si>
  <si>
    <t>Aplicar: calcular pH con ion común. Razonar: explicar desplazamientos del equilibrio</t>
  </si>
  <si>
    <t>T0584-G11-QUÍ</t>
  </si>
  <si>
    <t>4.8. Preparación de una disolución amortiguadora de pH definido y medición de su capacidad amortiguadora.</t>
  </si>
  <si>
    <t>Aplicar: calcular con Henderson-Hasselbalch. Razonar: evaluar la capacidad amortiguadora</t>
  </si>
  <si>
    <t>T0585-G11-QUÍ</t>
  </si>
  <si>
    <t>4.9. Análisis cuantitativo de los sistemas amortiguadores biológicos y de las alteraciones del pH sanguíneo.</t>
  </si>
  <si>
    <t>Aplicar: calcular razones de amortiguadores. Razonar: interpretar datos clínicos y criticar afirmaciones</t>
  </si>
  <si>
    <r>
      <rPr>
        <sz val="10"/>
        <color indexed="8"/>
        <rFont val="Arial"/>
      </rPr>
      <t>E6; E5; E2; I3; I4</t>
    </r>
  </si>
  <si>
    <t>T0586-G11-QUÍ</t>
  </si>
  <si>
    <t>Titulaciones y curvas de pH</t>
  </si>
  <si>
    <t>4.10. Construcción e interpretación de curvas de titulación ácido-base para determinar concentraciones y constantes de ionización.</t>
  </si>
  <si>
    <t>Aplicar: construir y analizar curvas. Razonar: determinar parámetros a partir de datos</t>
  </si>
  <si>
    <t>T0587-G11-QUÍ</t>
  </si>
  <si>
    <t>4.11. Selección de indicadores ácido-base según su intervalo de viraje y el pH del punto de equivalencia de cada titulación.</t>
  </si>
  <si>
    <t>Aplicar: relacionar pKa del indicador y viraje. Razonar: seleccionar y justificar</t>
  </si>
  <si>
    <t>T0588-G11-QUÍ</t>
  </si>
  <si>
    <t>Lluvia ácida</t>
  </si>
  <si>
    <t>4.12. Análisis de datos de pH de la lluvia y de las emisiones que la originan, y modelación de sus efectos sobre materiales y ecosistemas.</t>
  </si>
  <si>
    <t>Aplicar: representar reacciones y calcular pH. Razonar: evaluar evidencia ambiental</t>
  </si>
  <si>
    <r>
      <rPr>
        <sz val="10"/>
        <color indexed="8"/>
        <rFont val="Arial"/>
      </rPr>
      <t>E6; D1; E2; I3; D3</t>
    </r>
  </si>
  <si>
    <t>T0589-G11-QUÍ</t>
  </si>
  <si>
    <t>5. Reacciones de precipitación</t>
  </si>
  <si>
    <t>Equilibrio de solubilidad</t>
  </si>
  <si>
    <t>5.1. Cálculo de la solubilidad molar de sales poco solubles a partir de su constante del producto de solubilidad.</t>
  </si>
  <si>
    <t>Aplicar: plantear la expresión de Kps y calcular la solubilidad. Razonar: comparar sales de distinta estequiometría</t>
  </si>
  <si>
    <t>T0590-G11-QUÍ</t>
  </si>
  <si>
    <t>5.2. Predicción de la formación de precipitados mediante la comparación del producto iónico con el producto de solubilidad.</t>
  </si>
  <si>
    <t>Aplicar: calcular el producto iónico tras la mezcla. Razonar: predecir y justificar la precipitación</t>
  </si>
  <si>
    <t>T0591-G11-QUÍ</t>
  </si>
  <si>
    <t>Factores que afectan la solubilidad</t>
  </si>
  <si>
    <t>5.3. Análisis del efecto del ion común, del pH, de la temperatura y de la formación de iones complejos sobre la solubilidad de un precipitado.</t>
  </si>
  <si>
    <t>Aplicar: calcular la solubilidad con ion común. Razonar: explicar desplazamientos del equilibrio con Le Châtelier</t>
  </si>
  <si>
    <r>
      <rPr>
        <sz val="10"/>
        <color indexed="8"/>
        <rFont val="Arial"/>
      </rPr>
      <t>E6; E5; E4; D4; I5</t>
    </r>
  </si>
  <si>
    <t>T0592-G11-QUÍ</t>
  </si>
  <si>
    <t>Precipitación selectiva</t>
  </si>
  <si>
    <t>5.4. Cálculo de la concentración de iones necesaria para iniciar la precipitación y diseño de una separación por precipitación selectiva.</t>
  </si>
  <si>
    <t>Aplicar: calcular concentraciones límite de precipitación. Razonar: diseñar y evaluar una separación</t>
  </si>
  <si>
    <t>T0593-G11-QUÍ</t>
  </si>
  <si>
    <t>5.5. Interpretación de una marcha analítica de cationes basada en reacciones de precipitación selectiva.</t>
  </si>
  <si>
    <t>Conocer: reconocer reactivos de grupo. Razonar: deducir la composición de una muestra a partir de observaciones</t>
  </si>
  <si>
    <t>T0594-G11-QUÍ</t>
  </si>
  <si>
    <t>6. Electroquímica</t>
  </si>
  <si>
    <t>Balanceo redox</t>
  </si>
  <si>
    <t>6.1. Reconocimiento del balance de masa y carga en las reacciones de oxidación-reducción.</t>
  </si>
  <si>
    <t>Conocer: asignar números de oxidación. Razonar: verificar la conservación de masa y carga</t>
  </si>
  <si>
    <t>T0595-G11-QUÍ</t>
  </si>
  <si>
    <t>6.2. Demostración del método del ion-electrón para balancear ecuaciones de oxidación-reducción.</t>
  </si>
  <si>
    <t>Aplicar: seguir un algoritmo de balanceo. Razonar: decidir el método adecuado según el medio</t>
  </si>
  <si>
    <t>T0596-G11-QUÍ</t>
  </si>
  <si>
    <t>6.3. Balanceo de ecuaciones de oxidación-reducción.</t>
  </si>
  <si>
    <t>Aplicar: balancear ecuaciones redox en medio ácido y básico. Razonar: justificar la dismutación</t>
  </si>
  <si>
    <t>T0597-G11-QUÍ</t>
  </si>
  <si>
    <t>Electrolitos y celdas galvánicas</t>
  </si>
  <si>
    <t>6.4. Comparación de la conductividad eléctrica de electrolitos a diferentes concentraciones.</t>
  </si>
  <si>
    <t>Aplicar: medir y graficar la conductividad. Razonar: interpretar la tendencia con un modelo de partículas</t>
  </si>
  <si>
    <t>T0598-G11-QUÍ</t>
  </si>
  <si>
    <t>6.5. Construcción de una celda galvánica con implementos cotidianos.</t>
  </si>
  <si>
    <t>Aplicar: construir una celda y medir el voltaje. Razonar: relacionar el montaje con el sentido de los electrones</t>
  </si>
  <si>
    <r>
      <rPr>
        <sz val="10"/>
        <color indexed="8"/>
        <rFont val="Arial"/>
      </rPr>
      <t>E6; D1; E2; D2; E3</t>
    </r>
  </si>
  <si>
    <t>T0599-G11-QUÍ</t>
  </si>
  <si>
    <t>6.6. Evaluación de una secuencia de instrucciones para la construcción de una celda electroquímica.</t>
  </si>
  <si>
    <t>Razonar: evaluar la validez de un procedimiento y justificar correcciones</t>
  </si>
  <si>
    <r>
      <rPr>
        <sz val="10"/>
        <color indexed="8"/>
        <rFont val="Arial"/>
      </rPr>
      <t>E1; D1; E2; D3; I4</t>
    </r>
  </si>
  <si>
    <t>T0600-G11-QUÍ</t>
  </si>
  <si>
    <t>Celdas electroquímicas y potenciales redox</t>
  </si>
  <si>
    <t>6.7. Construcción de una celda electrolítica para la descomposición de agua.</t>
  </si>
  <si>
    <t>Aplicar: escribir semirreacciones de electrólisis. Razonar: relacionar volúmenes con la estequiometría</t>
  </si>
  <si>
    <t>T0601-G11-QUÍ</t>
  </si>
  <si>
    <t>6.8. Deducción de la espontaneidad de una reacción de oxidación-reducción con base en el potencial de celda.</t>
  </si>
  <si>
    <t>Aplicar: calcular E°celda. Razonar: deducir la espontaneidad y contrastarla con observaciones</t>
  </si>
  <si>
    <t>T0602-G11-QUÍ</t>
  </si>
  <si>
    <t>6.9. Reconocimiento de aplicaciones de la electroquímica y sus impactos.</t>
  </si>
  <si>
    <t>Conocer: describir aplicaciones. Razonar: evaluar impactos ambientales y justificar decisiones</t>
  </si>
  <si>
    <t>T0603-G11-QUÍ</t>
  </si>
  <si>
    <t>6.10. Aplicación de la ecuación de Nernst para calcular el potencial de una celda con concentraciones distintas de las estándar.</t>
  </si>
  <si>
    <t>Aplicar: calcular E con la ecuación de Nernst y ΔG. Razonar: interpretar la gráfica de E frente a log Q</t>
  </si>
  <si>
    <r>
      <rPr>
        <sz val="10"/>
        <color indexed="8"/>
        <rFont val="Arial"/>
      </rPr>
      <t>E1; E5; E2; D4; E6</t>
    </r>
  </si>
  <si>
    <t>T0604-G11-QUÍ</t>
  </si>
  <si>
    <t>6.11. Análisis de la corrosión de los metales como una celda galvánica y de los métodos para proteger los metales.</t>
  </si>
  <si>
    <t>Aplicar: escribir las semirreacciones de corrosión. Razonar: comparar métodos de protección con evidencia experimental</t>
  </si>
  <si>
    <r>
      <rPr>
        <sz val="10"/>
        <color indexed="8"/>
        <rFont val="Arial"/>
      </rPr>
      <t>E6; D1; E4; D2; I5</t>
    </r>
  </si>
  <si>
    <t>T0605-G11-QUÍ</t>
  </si>
  <si>
    <t>7. Química industrial</t>
  </si>
  <si>
    <t>Del laboratorio a la planta</t>
  </si>
  <si>
    <t>7.1. Aplicación del balance de materia a un proceso industrial representado en un diagrama de bloques con sus operaciones unitarias.</t>
  </si>
  <si>
    <t>Aplicar: resolver balances de materia. Razonar: justificar los problemas del escalamiento</t>
  </si>
  <si>
    <t>T0606-G11-QUÍ</t>
  </si>
  <si>
    <t>Industria química de base</t>
  </si>
  <si>
    <t>7.2. Análisis de las condiciones de reacción del proceso de contacto y de la síntesis de fertilizantes nitrogenados a partir del amoníaco.</t>
  </si>
  <si>
    <t>Aplicar: escribir las etapas del proceso. Razonar: justificar condiciones de compromiso</t>
  </si>
  <si>
    <r>
      <rPr>
        <sz val="10"/>
        <color indexed="8"/>
        <rFont val="Arial"/>
      </rPr>
      <t>E6; E3; E4; D4; I5</t>
    </r>
  </si>
  <si>
    <t>T0607-G11-QUÍ</t>
  </si>
  <si>
    <t>Agroindustria salvadoreña</t>
  </si>
  <si>
    <t>7.3. Descripción de las etapas químicas de la producción de azúcar y etanol a partir de la caña y del aprovechamiento energético del bagazo.</t>
  </si>
  <si>
    <t>Aplicar: calcular rendimientos de fermentación. Razonar: relacionar etapas con transformaciones químicas</t>
  </si>
  <si>
    <t>T0608-G11-QUÍ</t>
  </si>
  <si>
    <t>7.4. Análisis de la carga contaminante de las aguas mieles del beneficiado del café y de sus alternativas de tratamiento.</t>
  </si>
  <si>
    <t>Conocer: definir DBO y DQO. Razonar: comparar tratamientos con datos y justificar una propuesta</t>
  </si>
  <si>
    <t>T0609-G11-QUÍ</t>
  </si>
  <si>
    <t>Materiales de construcción</t>
  </si>
  <si>
    <t>7.5. Interpretación de las reacciones de calcinación, hidratación y fraguado en la producción de cal y cemento.</t>
  </si>
  <si>
    <t>Aplicar: escribir ecuaciones y calcular emisiones de CO₂. Razonar: evaluar alternativas de reducción</t>
  </si>
  <si>
    <t>T0610-G11-QUÍ</t>
  </si>
  <si>
    <t>Química del agua</t>
  </si>
  <si>
    <t>7.6. Análisis de las etapas químicas de la potabilización del agua y del tratamiento de aguas residuales.</t>
  </si>
  <si>
    <t>Aplicar: escribir reacciones de coagulación. Razonar: evaluar un diseño experimental y comparar dosis</t>
  </si>
  <si>
    <t>T0611-G11-QUÍ</t>
  </si>
  <si>
    <t>Hacia una industria sostenible</t>
  </si>
  <si>
    <t>7.7. Aplicación de los principios de la química verde y del cálculo de la economía atómica para comparar rutas de síntesis.</t>
  </si>
  <si>
    <t>Aplicar: calcular la economía atómica. Razonar: evaluar la sostenibilidad y justificar una propuesta</t>
  </si>
  <si>
    <r>
      <rPr>
        <sz val="10"/>
        <color indexed="8"/>
        <rFont val="Arial"/>
      </rPr>
      <t>E6; E3; E2; I2; I5</t>
    </r>
  </si>
  <si>
    <t>T0612-G11-QUÍ</t>
  </si>
  <si>
    <t>8. Reacciones nucleares</t>
  </si>
  <si>
    <t>Radiactividad</t>
  </si>
  <si>
    <t>8.1. Reconstrucción histórica del descubrimiento de la radiactividad y aplicación de las leyes del desplazamiento de Soddy y Fajans.</t>
  </si>
  <si>
    <t>Conocer: describir hitos históricos. Aplicar: usar las leyes del desplazamiento</t>
  </si>
  <si>
    <r>
      <rPr>
        <sz val="10"/>
        <color indexed="8"/>
        <rFont val="Arial"/>
      </rPr>
      <t>E1; D1; E2; E4; I2</t>
    </r>
  </si>
  <si>
    <t>T0613-G11-QUÍ</t>
  </si>
  <si>
    <t>Ecuaciones nucleares</t>
  </si>
  <si>
    <t>8.2. Balanceo de ecuaciones nucleares de desintegración y de transmutación mediante la conservación del número másico y del número atómico.</t>
  </si>
  <si>
    <t>Aplicar: balancear ecuaciones nucleares. Razonar: clasificar transmutaciones y predecir productos</t>
  </si>
  <si>
    <t>T0614-G11-QUÍ</t>
  </si>
  <si>
    <t>8.3. Reconstrucción de una serie de desintegración radiactiva natural a partir de la secuencia de emisiones alfa y beta.</t>
  </si>
  <si>
    <t>Aplicar: calcular emisiones alfa y beta. Razonar: interpretar la serie en una gráfica N frente a Z</t>
  </si>
  <si>
    <t>T0615-G11-QUÍ</t>
  </si>
  <si>
    <t>Gestión de residuos radiactivos</t>
  </si>
  <si>
    <t>8.4. Clasificación de los residuos radiactivos según su estado físico, tipo de radiación y actividad, y análisis crítico de su gestión en distintos países.</t>
  </si>
  <si>
    <t>Conocer: clasificar residuos. Razonar: evaluar estrategias de gestión con datos</t>
  </si>
  <si>
    <r>
      <rPr>
        <sz val="10"/>
        <color indexed="8"/>
        <rFont val="Arial"/>
      </rPr>
      <t>E6; D1; E1; I1; I4</t>
    </r>
  </si>
  <si>
    <t>T0616-G11-QUÍ</t>
  </si>
  <si>
    <t>9. Compuestos del carbono</t>
  </si>
  <si>
    <t>Fundamentos de la reactividad orgánica</t>
  </si>
  <si>
    <t>9.1. Diferenciación de la ruptura homolítica y heterolítica de enlaces y clasificación de los reactivos orgánicos en nucleófilos, electrófilos y radicales.</t>
  </si>
  <si>
    <t>Conocer: definir tipos de ruptura. Razonar: clasificar reactivos según su estructura electrónica</t>
  </si>
  <si>
    <t>T0617-G11-QUÍ</t>
  </si>
  <si>
    <t>9.2. Clasificación de reacciones orgánicas en sustitución, adición y eliminación a partir de los cambios en la estructura de los reactivos.</t>
  </si>
  <si>
    <t>Aplicar: representar reacciones con fórmulas. Razonar: clasificar reacciones según cambios estructurales</t>
  </si>
  <si>
    <t>T0618-G11-QUÍ</t>
  </si>
  <si>
    <t>Reacciones de los hidrocarburos</t>
  </si>
  <si>
    <t>9.3. Representación de las reacciones de combustión, halogenación y adición de los hidrocarburos alifáticos y aromáticos.</t>
  </si>
  <si>
    <t>Aplicar: escribir y balancear reacciones de hidrocarburos. Razonar: explicar diferencias de reactividad</t>
  </si>
  <si>
    <r>
      <rPr>
        <sz val="10"/>
        <color indexed="8"/>
        <rFont val="Arial"/>
      </rPr>
      <t>E6; E3; E2; D4; E6</t>
    </r>
  </si>
  <si>
    <t>T0619-G11-QUÍ</t>
  </si>
  <si>
    <t>Reacciones de compuestos oxigenados</t>
  </si>
  <si>
    <t>9.4. Predicción de los productos de la oxidación de alcoholes primarios, secundarios y terciarios y diferenciación de aldehídos y cetonas por su reactividad.</t>
  </si>
  <si>
    <t>Aplicar: escribir reacciones de oxidación. Razonar: predecir productos según el tipo de alcohol</t>
  </si>
  <si>
    <t>T0620-G11-QUÍ</t>
  </si>
  <si>
    <t>9.5. Representación de la esterificación entre ácidos carboxílicos y alcoholes y de la hidrólisis ácida y básica de los ésteres.</t>
  </si>
  <si>
    <t>Aplicar: escribir reacciones de esterificación e hidrólisis. Razonar: aplicar Le Châtelier al rendimiento</t>
  </si>
  <si>
    <t>T0621-G11-QUÍ</t>
  </si>
  <si>
    <t>Compuestos nitrogenados</t>
  </si>
  <si>
    <t>9.6. Análisis de la basicidad de las aminas y de la formación e hidrólisis de amidas a partir de aminas y ácidos carboxílicos.</t>
  </si>
  <si>
    <t>Aplicar: escribir reacciones de formación e hidrólisis de amidas. Razonar: explicar la basicidad con la estructura</t>
  </si>
  <si>
    <t>T0622-G11-QUÍ</t>
  </si>
  <si>
    <t>Uso seguro de compuestos orgánicos</t>
  </si>
  <si>
    <t>9.7. Análisis del uso adecuado y seguro de compuestos orgánicos a partir de su estructura, sus pictogramas de peligro y su impacto ambiental.</t>
  </si>
  <si>
    <t>Conocer: interpretar pictogramas. Razonar: justificar normas de seguridad con la estructura y los peligros</t>
  </si>
  <si>
    <t>T0623-G11-QUÍ</t>
  </si>
  <si>
    <t>10. Polímeros y macromoléculas</t>
  </si>
  <si>
    <t>Reacciones de polimerización</t>
  </si>
  <si>
    <t>10.1. Representación de las etapas de la polimerización por adición por radicales libres y relación de las propiedades de los polímeros de adición con sus usos.</t>
  </si>
  <si>
    <t>Aplicar: escribir ecuaciones de polimerización. Razonar: relacionar el sustituyente con las propiedades</t>
  </si>
  <si>
    <t>T0624-G11-QUÍ</t>
  </si>
  <si>
    <t>10.2. Representación de la formación de polímeros de condensación a partir de monómeros bifuncionales y comparación con la polimerización por adición.</t>
  </si>
  <si>
    <t>Aplicar: representar polimerizaciones por condensación. Razonar: comparar mecanismos de polimerización</t>
  </si>
  <si>
    <t>T0625-G11-QUÍ</t>
  </si>
  <si>
    <t>Estructura y propiedades de los polímeros</t>
  </si>
  <si>
    <t>10.3. Relación entre la estructura espacial de los polímeros, su cristalinidad y sus propiedades físicas.</t>
  </si>
  <si>
    <t>Aplicar: relacionar estructura y propiedades. Razonar: interpretar datos y predecir el comportamiento térmico</t>
  </si>
  <si>
    <t>T0626-G11-QUÍ</t>
  </si>
  <si>
    <t>Polímeros y ambiente</t>
  </si>
  <si>
    <t>10.4. Clasificación de los plásticos según su capacidad de degradación y análisis de las alternativas de reciclaje de polímeros.</t>
  </si>
  <si>
    <t>Conocer: clasificar plásticos. Razonar: evaluar la biodegradabilidad y el reciclaje con criterios químicos</t>
  </si>
  <si>
    <r>
      <rPr>
        <sz val="10"/>
        <color indexed="8"/>
        <rFont val="Arial"/>
      </rPr>
      <t>E6; E5; E1; I2; I5</t>
    </r>
  </si>
  <si>
    <t>T0627-G11-QUÍ</t>
  </si>
  <si>
    <t>10.5. Identificación de microplásticos en muestras de arena o agua y análisis de sus efectos en los ecosistemas acuáticos salvadoreños.</t>
  </si>
  <si>
    <t>Aplicar: separar y contar partículas. Razonar: interpretar datos y concluir sobre el origen</t>
  </si>
  <si>
    <r>
      <rPr>
        <sz val="10"/>
        <color indexed="8"/>
        <rFont val="Arial"/>
      </rPr>
      <t>E6; D1; E1; D4; I5</t>
    </r>
  </si>
  <si>
    <t>T0628-G11-QUÍ</t>
  </si>
  <si>
    <t>11. Carbohidratos y lípidos</t>
  </si>
  <si>
    <t>Química de los carbohidratos</t>
  </si>
  <si>
    <t>11.1. Representación de monosacáridos en proyecciones de Fischer y de Haworth y explicación de su ciclación mediante la formación de un hemiacetal.</t>
  </si>
  <si>
    <t>Aplicar: transformar proyecciones. Razonar: explicar la ciclación con la reactividad del carbonilo</t>
  </si>
  <si>
    <t>T0629-G11-QUÍ</t>
  </si>
  <si>
    <t>11.2. Análisis del enlace O-glucosídico en disacáridos y de su relación con el carácter reductor y la hidrólisis.</t>
  </si>
  <si>
    <t>Aplicar: representar enlaces glucosídicos. Razonar: relacionar la estructura con el carácter reductor</t>
  </si>
  <si>
    <t>T0630-G11-QUÍ</t>
  </si>
  <si>
    <t>11.3. Comparación de la estructura química del almidón, el glucógeno y la celulosa según el tipo de enlace glucosídico y su efecto en las propiedades.</t>
  </si>
  <si>
    <t>Aplicar: representar enlaces α y β. Razonar: relacionar la estructura con las propiedades</t>
  </si>
  <si>
    <t>T0631-G11-QUÍ</t>
  </si>
  <si>
    <t>11.4. Descripción de la estructura de los heterósidos como unión de un carbohidrato con una aglicona mediante un enlace glucosídico.</t>
  </si>
  <si>
    <t>Conocer: identificar partes de un heterósido. Razonar: evaluar información sobre usos y riesgos</t>
  </si>
  <si>
    <t>T0632-G11-QUÍ</t>
  </si>
  <si>
    <t>Química de los lípidos</t>
  </si>
  <si>
    <t>11.5. Relación entre la longitud de la cadena, el número de dobles enlaces y la isomería cis-trans de los ácidos grasos y su temperatura de fusión.</t>
  </si>
  <si>
    <t>Aplicar: nombrar ácidos grasos y graficar datos. Razonar: explicar tendencias con fuerzas intermoleculares</t>
  </si>
  <si>
    <t>T0633-G11-QUÍ</t>
  </si>
  <si>
    <t>11.6. Representación de la saponificación de triacilgliceroles y cálculo de la masa de hidróxido necesaria para saponificar una grasa.</t>
  </si>
  <si>
    <t>Aplicar: escribir la saponificación y calcular masas. Razonar: explicar la acción limpiadora</t>
  </si>
  <si>
    <t>T0634-G11-QUÍ</t>
  </si>
  <si>
    <t>11.7. Representación de la estructura de terpenos y esteroides a partir de unidades de isopreno y del núcleo del esterano.</t>
  </si>
  <si>
    <t>Aplicar: reconocer unidades estructurales. Razonar: justificar la insolubilidad y la no saponificación</t>
  </si>
  <si>
    <t>T0635-G11-QUÍ</t>
  </si>
  <si>
    <t>12. Proteínas y ácidos nucleicos</t>
  </si>
  <si>
    <t>Química de los aminoácidos</t>
  </si>
  <si>
    <t>12.1. Interpretación de la curva de titulación de un aminoácido para identificar sus formas iónicas y calcular su punto isoeléctrico.</t>
  </si>
  <si>
    <t>Aplicar: calcular el punto isoeléctrico. Razonar: predecir la carga a distintos pH</t>
  </si>
  <si>
    <t>T0636-G11-QUÍ</t>
  </si>
  <si>
    <t>Estructura de las proteínas</t>
  </si>
  <si>
    <t>12.2. Análisis de las fuerzas químicas que estabilizan cada nivel estructural de las proteínas.</t>
  </si>
  <si>
    <t>Aplicar: identificar interacciones en modelos. Razonar: relacionar interacciones con niveles estructurales</t>
  </si>
  <si>
    <t>T0637-G11-QUÍ</t>
  </si>
  <si>
    <t>12.3. Análisis de la desnaturalización de proteínas por cambios de temperatura, pH y concentración salina.</t>
  </si>
  <si>
    <t>Aplicar: identificar interacciones alteradas. Razonar: diseñar un experimento controlado y concluir</t>
  </si>
  <si>
    <t>T0638-G11-QUÍ</t>
  </si>
  <si>
    <t>Química de los ácidos nucleicos</t>
  </si>
  <si>
    <t>12.4. Análisis de la formación del enlace fosfodiéster y del apareamiento de bases como base química de la estabilidad del ADN y del ARN.</t>
  </si>
  <si>
    <t>Aplicar: representar enlaces y calcular porcentajes de G-C. Razonar: relacionar estructura con estabilidad térmica</t>
  </si>
  <si>
    <t>T0001-G10-BIO</t>
  </si>
  <si>
    <t>Matriz_Bachillerato_Biologia_10_11.xlsx</t>
  </si>
  <si>
    <t>Biología 10.°</t>
  </si>
  <si>
    <t>1. Biomoléculas</t>
  </si>
  <si>
    <t>Carbohidratos</t>
  </si>
  <si>
    <t>1.1. Identificación de los carbohidratos y sus estructuras.</t>
  </si>
  <si>
    <t>Conocer: identificar grupos funcionales. Aplicar: representar estructuras. Razonar: relacionar estructura y función</t>
  </si>
  <si>
    <t>Biología 10°–11°</t>
  </si>
  <si>
    <t>T0002-G10-BIO</t>
  </si>
  <si>
    <t>1.2. Interpretación de las clasificaciones y las propiedades de los carbohidratos.</t>
  </si>
  <si>
    <t>Aplicar: clasificar con criterios. Razonar: justificar propiedades a partir de la estructura</t>
  </si>
  <si>
    <t>T0003-G10-BIO</t>
  </si>
  <si>
    <t>1.3. Explicación de la importancia de los polisacáridos y su metabolismo.</t>
  </si>
  <si>
    <t>Aplicar: modelar estructuras. Razonar: relacionar estructura y función biológica</t>
  </si>
  <si>
    <r>
      <rPr>
        <sz val="10"/>
        <color indexed="8"/>
        <rFont val="Arial"/>
      </rPr>
      <t>E6; D1; E4; I1; I2</t>
    </r>
  </si>
  <si>
    <t>T0004-G10-BIO</t>
  </si>
  <si>
    <t>Lípidos</t>
  </si>
  <si>
    <t>1.4. Reconocimiento de los lípidos y su clasificación general.</t>
  </si>
  <si>
    <t>Conocer: reconocer lípidos. Aplicar: clasificar. Razonar: interpretar una prueba cualitativa</t>
  </si>
  <si>
    <r>
      <rPr>
        <sz val="10"/>
        <color indexed="8"/>
        <rFont val="Arial"/>
      </rPr>
      <t>E1; E5; E2; D4; I4</t>
    </r>
  </si>
  <si>
    <t>T0005-G10-BIO</t>
  </si>
  <si>
    <t>1.5. Extracción de distintos tipos de lípidos.</t>
  </si>
  <si>
    <t>Aplicar: seguir un procedimiento y calcular rendimiento. Razonar: evaluar el método</t>
  </si>
  <si>
    <t>T0006-G10-BIO</t>
  </si>
  <si>
    <t>1.6. Explicación del metabolismo de lípidos.</t>
  </si>
  <si>
    <t>Aplicar: calcular energía por gramo. Razonar: justificar con datos</t>
  </si>
  <si>
    <r>
      <rPr>
        <sz val="10"/>
        <color indexed="8"/>
        <rFont val="Arial"/>
      </rPr>
      <t>E6; D1; E4; I3; E3</t>
    </r>
  </si>
  <si>
    <t>T0007-G10-BIO</t>
  </si>
  <si>
    <t>Proteínas</t>
  </si>
  <si>
    <t>1.7. Reconocimiento de la estructura de los aminoácidos y su estereoquímica.</t>
  </si>
  <si>
    <t>Conocer: reconocer la estructura general. Aplicar: construir modelos. Razonar: explicar la quiralidad</t>
  </si>
  <si>
    <r>
      <rPr>
        <sz val="10"/>
        <color indexed="8"/>
        <rFont val="Arial"/>
      </rPr>
      <t>E1; D1; E2; E4; E6</t>
    </r>
  </si>
  <si>
    <t>T0008-G10-BIO</t>
  </si>
  <si>
    <t>1.8. Extracción e identificación de proteínas.</t>
  </si>
  <si>
    <t>Aplicar: ejecutar una extracción y una prueba de identificación. Razonar: evaluar fuentes de error</t>
  </si>
  <si>
    <t>T0009-G10-BIO</t>
  </si>
  <si>
    <t>1.9. Clasificación de las proteínas de acuerdo con diferentes criterios.</t>
  </si>
  <si>
    <t>Aplicar: clasificar con varios criterios. Razonar: relacionar estructura, desnaturalización y función</t>
  </si>
  <si>
    <t>T0010-G10-BIO</t>
  </si>
  <si>
    <t>Ácidos nucleicos</t>
  </si>
  <si>
    <t>1.10. Identificación de las funciones de los nucleótidos libres.</t>
  </si>
  <si>
    <t>Conocer: identificar componentes. Aplicar: relacionar estructura y función. Razonar: predecir consecuencias</t>
  </si>
  <si>
    <r>
      <rPr>
        <sz val="10"/>
        <color indexed="8"/>
        <rFont val="Arial"/>
      </rPr>
      <t>E1; D1; E2; I1; E3</t>
    </r>
  </si>
  <si>
    <t>T0011-G10-BIO</t>
  </si>
  <si>
    <t>1.11. Interpretación de la estructura química de los ácidos nucleicos.</t>
  </si>
  <si>
    <t>Aplicar: construir un modelo a escala. Razonar: comparar estructuras de ADN y ARN</t>
  </si>
  <si>
    <t>T0012-G10-BIO</t>
  </si>
  <si>
    <t>2. Biología celular</t>
  </si>
  <si>
    <t>Alimentación de las células</t>
  </si>
  <si>
    <t>2.1. Indagación del uso de energía en los seres vivos a partir de fenómenos cotidianos.</t>
  </si>
  <si>
    <t>Conocer: identificar transformaciones de energía. Aplicar: representar. Razonar: explicar con ejemplos</t>
  </si>
  <si>
    <t>T0013-G10-BIO</t>
  </si>
  <si>
    <t>2.2. Análisis de los conceptos de entropía y organización en los seres vivos.</t>
  </si>
  <si>
    <t>Conocer: definir entropía y organización. Razonar: explicar sistemas abiertos con ejemplos</t>
  </si>
  <si>
    <r>
      <rPr>
        <sz val="10"/>
        <color indexed="8"/>
        <rFont val="Arial"/>
      </rPr>
      <t>E1; E5; E1; E4; E3</t>
    </r>
  </si>
  <si>
    <t>T0014-G10-BIO</t>
  </si>
  <si>
    <t>Información molecular</t>
  </si>
  <si>
    <t>2.3. Explicación del código genético y la nomenclatura de aminoácidos.</t>
  </si>
  <si>
    <t>Aplicar: traducir con la tabla del código genético. Razonar: predecir efectos de mutaciones puntuales</t>
  </si>
  <si>
    <t>T0015-G10-BIO</t>
  </si>
  <si>
    <t>Energía biológicamente útil</t>
  </si>
  <si>
    <t>2.4. Indagación del concepto de energía biológicamente útil.</t>
  </si>
  <si>
    <t>Conocer: definir energía biológicamente útil. Razonar: argumentar con datos energéticos</t>
  </si>
  <si>
    <t>T0016-G10-BIO</t>
  </si>
  <si>
    <t>2.5. Reconocimiento de los tipos de energía biológicamente útil empleando simulaciones o manipulativos.</t>
  </si>
  <si>
    <t>Conocer: reconocer tipos de energía útil. Aplicar: clasificar ejemplos. Razonar: interpretar una simulación</t>
  </si>
  <si>
    <t>T0017-G10-BIO</t>
  </si>
  <si>
    <t>2.6. Exploración de procesos celulares que emplean energía biológicamente útil.</t>
  </si>
  <si>
    <t>Aplicar: observar y estimar velocidades. Razonar: relacionar procesos con consumo de energía</t>
  </si>
  <si>
    <r>
      <rPr>
        <sz val="10"/>
        <color indexed="8"/>
        <rFont val="Arial"/>
      </rPr>
      <t>E6; D1; E1; D4; I2</t>
    </r>
  </si>
  <si>
    <t>T0018-G10-BIO</t>
  </si>
  <si>
    <t>Enzimas y metabolismo</t>
  </si>
  <si>
    <t>2.7. Indagación de la presencia de enzimas en los seres vivos.</t>
  </si>
  <si>
    <t>Aplicar: comparar tratamientos. Razonar: argumentar con evidencia experimental</t>
  </si>
  <si>
    <r>
      <rPr>
        <sz val="10"/>
        <color indexed="8"/>
        <rFont val="Arial"/>
      </rPr>
      <t>E1; D1; E1; I3; I4</t>
    </r>
  </si>
  <si>
    <t>T0019-G10-BIO</t>
  </si>
  <si>
    <t>2.8. Demostración experimental de la actividad enzimática.</t>
  </si>
  <si>
    <t>Aplicar: medir y graficar. Razonar: interpretar tendencias y evaluar el diseño</t>
  </si>
  <si>
    <t>T0020-G10-BIO</t>
  </si>
  <si>
    <t>2.9. Búsqueda y visualización de enzimas en bases de datos.</t>
  </si>
  <si>
    <t>Aplicar: extraer información de bases de datos. Razonar: justificar una aplicación biotecnológica</t>
  </si>
  <si>
    <t>T0021-G10-BIO</t>
  </si>
  <si>
    <t>Respiración celular</t>
  </si>
  <si>
    <t>2.10. Indagación de los procesos oxidativos que suceden en la respiración celular.</t>
  </si>
  <si>
    <t>Conocer: definir oxidación y reducción. Aplicar: representar con un modelo. Razonar: predecir</t>
  </si>
  <si>
    <t>T0022-G10-BIO</t>
  </si>
  <si>
    <t>2.11. Comprobación experimental de la respiración celular aerobia y la fermentación.</t>
  </si>
  <si>
    <t>Aplicar: controlar variables y medir. Razonar: interpretar gráficas y evaluar controles</t>
  </si>
  <si>
    <t>T0023-G10-BIO</t>
  </si>
  <si>
    <t>2.12. Simulación del funcionamiento de una cadena de transporte de electrones.</t>
  </si>
  <si>
    <t>Aplicar: usar un modelo. Razonar: predecir efectos de un bloqueo en un sistema</t>
  </si>
  <si>
    <t>T0024-G10-BIO</t>
  </si>
  <si>
    <t>Fotosíntesis</t>
  </si>
  <si>
    <t>2.13. Demostración experimental de la actividad fotosintética.</t>
  </si>
  <si>
    <t>Aplicar: medir y graficar. Razonar: interpretar la relación entre variables</t>
  </si>
  <si>
    <t>T0025-G10-BIO</t>
  </si>
  <si>
    <t>2.14. Experimentación con la extracción y separación de pigmentos fotosintéticos.</t>
  </si>
  <si>
    <t>Aplicar: calcular el factor de retención. Razonar: relacionar separación y polaridad</t>
  </si>
  <si>
    <r>
      <rPr>
        <sz val="10"/>
        <color indexed="8"/>
        <rFont val="Arial"/>
      </rPr>
      <t>E1; E3; E2; D2; I1</t>
    </r>
  </si>
  <si>
    <t>T0026-G10-BIO</t>
  </si>
  <si>
    <t>2.15. Simulación de los procesos de fotofosforilación de la fotosíntesis.</t>
  </si>
  <si>
    <t>Aplicar: representar con un modelo. Razonar: comparar mecanismos</t>
  </si>
  <si>
    <t>T0027-G10-BIO</t>
  </si>
  <si>
    <t>3. Anatomía y fisiología humana</t>
  </si>
  <si>
    <t>Sistema nervioso</t>
  </si>
  <si>
    <t>3.1. Indagación de los tipos de reflejos y las funciones corporales controladas por el sistema nervioso somático y autónomo.</t>
  </si>
  <si>
    <t>Aplicar: representar el arco reflejo. Razonar: interpretar datos de tiempo de reacción</t>
  </si>
  <si>
    <t>T0028-G10-BIO</t>
  </si>
  <si>
    <t>3.2. Construcción de modelos de células nerviosas ajustados a sus funciones.</t>
  </si>
  <si>
    <t>Conocer: identificar estructuras. Aplicar: construir un modelo. Razonar: relacionar estructura y función</t>
  </si>
  <si>
    <r>
      <rPr>
        <sz val="10"/>
        <color indexed="8"/>
        <rFont val="Arial"/>
      </rPr>
      <t>E1; E5; E4; D3; E3</t>
    </r>
  </si>
  <si>
    <t>T0029-G10-BIO</t>
  </si>
  <si>
    <t>3.3. Explicación de la anatomía general y funciones corporales reguladas por el sistema nervioso central y el sistema nervioso periférico.</t>
  </si>
  <si>
    <t>Conocer: ubicar estructuras. Aplicar: relacionar región y función. Razonar: justificar medidas de prevención</t>
  </si>
  <si>
    <t>T0030-G10-BIO</t>
  </si>
  <si>
    <t>Sistemas sensoriales</t>
  </si>
  <si>
    <t>3.4. Reconocimiento del papel de los órganos receptores para percibir el entorno.</t>
  </si>
  <si>
    <t>Conocer: identificar receptores. Aplicar: medir y comparar. Razonar: valorar riesgos</t>
  </si>
  <si>
    <t>T0031-G10-BIO</t>
  </si>
  <si>
    <t>3.5. Experimentación con el proceso de recepción de estímulos a través de distintos órganos receptores.</t>
  </si>
  <si>
    <t>Aplicar: registrar y graficar datos. Razonar: sintetizar un proceso y evaluar un método</t>
  </si>
  <si>
    <t>T0032-G10-BIO</t>
  </si>
  <si>
    <t>3.6. Simulación de los procesos fisiológicos de las neuronas sensoriales y motoras.</t>
  </si>
  <si>
    <t>Aplicar: usar un modelo. Razonar: predecir el efecto de una alteración sináptica</t>
  </si>
  <si>
    <t>T0033-G10-BIO</t>
  </si>
  <si>
    <t>Respuesta endocrina</t>
  </si>
  <si>
    <t>3.7. Indagación de la importancia de las hormonas y el concepto de órgano diana.</t>
  </si>
  <si>
    <t>Conocer: definir hormona y órgano diana. Aplicar: usar un modelo. Razonar: evaluar evidencia</t>
  </si>
  <si>
    <r>
      <rPr>
        <sz val="10"/>
        <color indexed="8"/>
        <rFont val="Arial"/>
      </rPr>
      <t>E1; D1; E4; I1; I4</t>
    </r>
  </si>
  <si>
    <t>T0034-G10-BIO</t>
  </si>
  <si>
    <t>3.8. Identificación de las principales respuestas endocrinas y las glándulas involucradas.</t>
  </si>
  <si>
    <t>Conocer: ubicar glándulas. Aplicar: representar la retroalimentación. Razonar: justificar medidas de prevención</t>
  </si>
  <si>
    <t>T0035-G10-BIO</t>
  </si>
  <si>
    <t>3.9. Determinación de las respuestas a corto y largo plazo de las glándulas endocrinas ante estímulos del entorno.</t>
  </si>
  <si>
    <t>Aplicar: comparar respuestas. Razonar: evaluar fuentes y relacionar estímulo y respuesta</t>
  </si>
  <si>
    <t>T0036-G10-BIO</t>
  </si>
  <si>
    <t>Sistema inmunitario</t>
  </si>
  <si>
    <t>3.10. Reconocimiento de los componentes y líneas de defensa del sistema inmunitario con relación a la respuesta innata y adaptativa.</t>
  </si>
  <si>
    <t>Conocer: identificar componentes. Aplicar: interpretar una gráfica. Razonar: argumentar con evidencia</t>
  </si>
  <si>
    <r>
      <rPr>
        <sz val="10"/>
        <color indexed="8"/>
        <rFont val="Arial"/>
      </rPr>
      <t>E6; D1; E2; E4; I4</t>
    </r>
  </si>
  <si>
    <t>T0037-G10-BIO</t>
  </si>
  <si>
    <t>3.11. Exploración de los impactos del estrés y del sueño en las respuestas inmunitarias.</t>
  </si>
  <si>
    <t>Aplicar: interpretar datos publicados. Razonar: justificar decisiones de autocuidado</t>
  </si>
  <si>
    <t>T0038-G10-BIO</t>
  </si>
  <si>
    <t>3.12. Investigación de las enfermedades que afectan el sistema inmunitario y sus consecuencias.</t>
  </si>
  <si>
    <t>Conocer: clasificar enfermedades. Aplicar: interpretar datos oficiales. Razonar: argumentar medidas de prevención</t>
  </si>
  <si>
    <t>T0039-G10-BIO</t>
  </si>
  <si>
    <t>4. Genética moderna</t>
  </si>
  <si>
    <t>Herencia no mendeliana</t>
  </si>
  <si>
    <t>4.1. Resolución de cruzamientos con dominancia incompleta y codominancia a partir de proporciones fenotípicas observadas.</t>
  </si>
  <si>
    <t>Aplicar: resolver cruzamientos y calcular proporciones. Razonar: distinguir patrones de herencia</t>
  </si>
  <si>
    <t>T0040-G10-BIO</t>
  </si>
  <si>
    <t>4.2. Análisis de la herencia de los grupos sanguíneos ABO y Rh como ejemplo de alelos múltiples y codominancia.</t>
  </si>
  <si>
    <t>Aplicar: determinar genotipos y fenotipos. Razonar: justificar la compatibilidad sanguínea</t>
  </si>
  <si>
    <t>T0041-G10-BIO</t>
  </si>
  <si>
    <t>Herencia ligada al sexo</t>
  </si>
  <si>
    <t>4.3. Resolución de problemas de herencia de rasgos ligados al cromosoma X en casos humanos y en Drosophila melanogaster.</t>
  </si>
  <si>
    <t>Aplicar: resolver cruzamientos ligados al sexo. Razonar: explicar diferencias de frecuencia entre sexos</t>
  </si>
  <si>
    <t>T0042-G10-BIO</t>
  </si>
  <si>
    <t>Análisis de genealogías</t>
  </si>
  <si>
    <t>4.4. Interpretación de genealogías publicadas o ficticias para inferir el modo de herencia de un rasgo.</t>
  </si>
  <si>
    <t>Aplicar: construir e interpretar pedigríes. Razonar: descartar hipótesis de herencia con evidencia</t>
  </si>
  <si>
    <t>T0043-G10-BIO</t>
  </si>
  <si>
    <t>Teoría cromosómica de la herencia</t>
  </si>
  <si>
    <t>4.5. Cálculo de frecuencias de recombinación entre genes ligados y construcción de mapas genéticos lineales.</t>
  </si>
  <si>
    <t>Aplicar: calcular frecuencias de recombinación. Razonar: deducir el orden de genes ligados</t>
  </si>
  <si>
    <t>T0044-G10-BIO</t>
  </si>
  <si>
    <t>Genética humana</t>
  </si>
  <si>
    <t>4.6. Análisis de cariotipos publicados y de casos ficticios de enfermedades hereditarias en el marco del consejo genético.</t>
  </si>
  <si>
    <t>Conocer: identificar cromosomas. Aplicar: interpretar cariotipos. Razonar: argumentar decisiones de consejo genético</t>
  </si>
  <si>
    <t>T0045-G10-BIO</t>
  </si>
  <si>
    <t>Genómica</t>
  </si>
  <si>
    <t>4.7. Discusión de los alcances del Proyecto Genoma Humano y de las implicaciones éticas, legales y sociales de la genómica.</t>
  </si>
  <si>
    <t>Conocer: describir la genómica. Razonar: evaluar implicaciones éticas y sociales</t>
  </si>
  <si>
    <r>
      <rPr>
        <sz val="10"/>
        <color indexed="8"/>
        <rFont val="Arial"/>
      </rPr>
      <t>E1; E3; E1; I2; I4</t>
    </r>
  </si>
  <si>
    <t>T0046-G10-BIO</t>
  </si>
  <si>
    <t>5. Evolución</t>
  </si>
  <si>
    <t>Historia del pensamiento evolutivo</t>
  </si>
  <si>
    <t>5.1. Contraste entre las ideas fijistas y el transformismo de Lamarck a partir de textos históricos y ejemplos.</t>
  </si>
  <si>
    <t>Conocer: describir teorías históricas. Razonar: contrastar explicaciones con evidencia</t>
  </si>
  <si>
    <r>
      <rPr>
        <sz val="10"/>
        <color indexed="8"/>
        <rFont val="Arial"/>
      </rPr>
      <t>E1; D1; E1; I1; I4</t>
    </r>
  </si>
  <si>
    <t>T0047-G10-BIO</t>
  </si>
  <si>
    <t>5.2. Análisis de los postulados de la teoría de la selección natural y del contexto histórico de su formulación por Darwin y Wallace.</t>
  </si>
  <si>
    <t>Conocer: enunciar postulados. Razonar: explicar el cambio evolutivo con la selección natural</t>
  </si>
  <si>
    <r>
      <rPr>
        <sz val="10"/>
        <color indexed="8"/>
        <rFont val="Arial"/>
      </rPr>
      <t>E6; E5; E4; I1; E3</t>
    </r>
  </si>
  <si>
    <t>T0048-G10-BIO</t>
  </si>
  <si>
    <t>Evidencias de la evolución</t>
  </si>
  <si>
    <t>5.3. Cálculo de la edad de fósiles y rocas mediante la ley de desintegración radiactiva y los principios de la estratigrafía.</t>
  </si>
  <si>
    <t>Aplicar: calcular edades con la vida media. Razonar: elegir el método de datación adecuado</t>
  </si>
  <si>
    <t>T0049-G10-BIO</t>
  </si>
  <si>
    <t>5.4. Comparación de estructuras anatómicas de distintas especies para diferenciar homologías, analogías y estructuras vestigiales.</t>
  </si>
  <si>
    <t>Conocer: identificar estructuras. Razonar: inferir relaciones evolutivas a partir de la anatomía</t>
  </si>
  <si>
    <t>T0050-G10-BIO</t>
  </si>
  <si>
    <t>5.5. Comparación de etapas del desarrollo embrionario de vertebrados como evidencia de un ancestro común.</t>
  </si>
  <si>
    <t>Conocer: describir etapas embrionarias. Razonar: evaluar la validez de una evidencia histórica</t>
  </si>
  <si>
    <r>
      <rPr>
        <sz val="10"/>
        <color indexed="8"/>
        <rFont val="Arial"/>
      </rPr>
      <t>E1; D1; E1; I2; I4</t>
    </r>
  </si>
  <si>
    <t>T0051-G10-BIO</t>
  </si>
  <si>
    <t>5.6. Análisis de la distribución geográfica de las especies y del Gran Intercambio Biótico Americano tras el cierre del istmo centroamericano.</t>
  </si>
  <si>
    <t>Aplicar: interpretar mapas de distribución. Razonar: explicar patrones biogeográficos</t>
  </si>
  <si>
    <t>T0052-G10-BIO</t>
  </si>
  <si>
    <t>5.7. Comparación de secuencias de proteínas conservadas entre especies para estimar su grado de parentesco.</t>
  </si>
  <si>
    <t>Aplicar: contar y comparar diferencias. Razonar: inferir parentesco a partir de datos moleculares</t>
  </si>
  <si>
    <t>T0053-G10-BIO</t>
  </si>
  <si>
    <t>Síntesis evolutiva y evolución humana</t>
  </si>
  <si>
    <t>5.8. Integración de la genética y la selección natural en la síntesis evolutiva moderna y análisis de la evidencia de la evolución humana.</t>
  </si>
  <si>
    <t>Conocer: identificar especies de homininos. Razonar: interpretar evidencias de la evolución humana</t>
  </si>
  <si>
    <t>T0054-G10-BIO</t>
  </si>
  <si>
    <t>6. Termodinámica y sistemas vivos</t>
  </si>
  <si>
    <t>Energía libre en los sistemas vivos</t>
  </si>
  <si>
    <t>6.1. Cálculo de la variación de energía libre de reacciones biológicas acopladas a la hidrólisis del ATP.</t>
  </si>
  <si>
    <t>Aplicar: calcular variaciones de energía libre. Razonar: justificar la espontaneidad de reacciones acopladas</t>
  </si>
  <si>
    <t>T0055-G10-BIO</t>
  </si>
  <si>
    <t>Metabolismo energético del organismo</t>
  </si>
  <si>
    <t>6.2. Medición indirecta de la tasa metabólica de semillas en germinación a partir de la producción de dióxido de carbono.</t>
  </si>
  <si>
    <t>Aplicar: calcular tasas de producción de CO2. Razonar: evaluar un diseño experimental</t>
  </si>
  <si>
    <t>T0056-G10-BIO</t>
  </si>
  <si>
    <t>6.3. Análisis de datos publicados de temperatura corporal y consumo de oxígeno de endotermos y ectotermos frente a la temperatura ambiental.</t>
  </si>
  <si>
    <t>Aplicar: interpretar gráficas fisiológicas. Razonar: comparar estrategias de termorregulación</t>
  </si>
  <si>
    <t>T0057-G10-BIO</t>
  </si>
  <si>
    <t>Tamaño corporal y energía</t>
  </si>
  <si>
    <t>6.4. Análisis de la relación entre masa corporal y tasa metabólica mediante gráficas logarítmicas y la ley de Kleiber.</t>
  </si>
  <si>
    <t>Aplicar: calcular relaciones S/V y ajustar una ley de potencia. Razonar: explicar el efecto del tamaño corporal</t>
  </si>
  <si>
    <t>T0058-G10-BIO</t>
  </si>
  <si>
    <t>Energía en los ecosistemas</t>
  </si>
  <si>
    <t>6.5. Cálculo de la eficiencia de transferencia de energía entre niveles tróficos con datos de un ecosistema de manglar.</t>
  </si>
  <si>
    <t>Aplicar: calcular eficiencias de transferencia. Razonar: argumentar la longitud de las cadenas tróficas</t>
  </si>
  <si>
    <r>
      <rPr>
        <sz val="10"/>
        <color indexed="8"/>
        <rFont val="Arial"/>
      </rPr>
      <t>E6; E3; E2; I3; I5</t>
    </r>
  </si>
  <si>
    <t>T0059-G10-BIO</t>
  </si>
  <si>
    <t>7. Química de los seres vivos (ciclos de Krebs, Calvin y glucólisis)</t>
  </si>
  <si>
    <t>Catabolismo de la glucosa</t>
  </si>
  <si>
    <t>7.1. Representación de las etapas de la glucólisis y cálculo de su balance neto de ATP y NADH.</t>
  </si>
  <si>
    <t>Conocer: identificar etapas. Aplicar: calcular balances. Razonar: justificar la regeneración de NAD+</t>
  </si>
  <si>
    <t>T0060-G10-BIO</t>
  </si>
  <si>
    <t>7.2. Análisis de la descarboxilación oxidativa del piruvato y del ciclo de Krebs como fuente de coenzimas reducidas y dióxido de carbono.</t>
  </si>
  <si>
    <t>Aplicar: cuantificar productos del ciclo. Razonar: relacionar el ciclo de Krebs con el consumo de oxígeno</t>
  </si>
  <si>
    <t>T0061-G10-BIO</t>
  </si>
  <si>
    <t>7.3. Cálculo del rendimiento energético total de la oxidación completa de una molécula de glucosa.</t>
  </si>
  <si>
    <t>Aplicar: calcular el rendimiento de ATP. Razonar: evaluar la eficiencia energética</t>
  </si>
  <si>
    <t>T0062-G10-BIO</t>
  </si>
  <si>
    <t>Anabolismo fotosintético</t>
  </si>
  <si>
    <t>7.4. Análisis de las fases de fijación, reducción y regeneración del ciclo de Calvin y del papel de la enzima RuBisCO.</t>
  </si>
  <si>
    <t>Conocer: identificar las fases. Aplicar: balancear el ciclo. Razonar: explicar la fotorrespiración</t>
  </si>
  <si>
    <t>T0063-G10-BIO</t>
  </si>
  <si>
    <t>7.5. Comparación experimental y anatómica de las estrategias fotosintéticas C3, C4 y CAM en plantas cultivadas y silvestres.</t>
  </si>
  <si>
    <t>Aplicar: comparar rutas fotosintéticas. Razonar: evaluar evidencia experimental de la ruta CAM</t>
  </si>
  <si>
    <t>T0064-G10-BIO</t>
  </si>
  <si>
    <t>Integración del metabolismo</t>
  </si>
  <si>
    <t>7.6. Integración de las rutas catabólicas y anabólicas en un mapa metabólico y análisis de sus puntos de regulación.</t>
  </si>
  <si>
    <t>Conocer: diferenciar catabolismo y anabolismo. Razonar: explicar la regulación metabólica</t>
  </si>
  <si>
    <t>T0065-G10-BIO</t>
  </si>
  <si>
    <t>8. Ciclos biogeoquímicos en la Tierra</t>
  </si>
  <si>
    <t>La Tierra como sistema</t>
  </si>
  <si>
    <t>8.1. Modelación de los ciclos biogeoquímicos como sistemas de reservorios y flujos con cálculo de tiempos de residencia.</t>
  </si>
  <si>
    <t>Aplicar: calcular tiempos de residencia. Razonar: predecir cambios en reservorios</t>
  </si>
  <si>
    <t>T0066-G10-BIO</t>
  </si>
  <si>
    <t>Ciclo del agua</t>
  </si>
  <si>
    <t>8.2. Análisis del balance hídrico de la cuenca del río Lempa con datos de precipitación, evapotranspiración y caudal.</t>
  </si>
  <si>
    <t>Aplicar: calcular un balance hídrico. Razonar: interpretar variaciones estacionales del caudal</t>
  </si>
  <si>
    <t>T0067-G10-BIO</t>
  </si>
  <si>
    <t>Ciclo del carbono</t>
  </si>
  <si>
    <t>8.3. Interpretación de la serie de concentración de dióxido de carbono atmosférico de Mauna Loa y de los flujos globales del carbono.</t>
  </si>
  <si>
    <t>Aplicar: graficar series temporales y calcular tasas. Razonar: explicar oscilación y tendencia</t>
  </si>
  <si>
    <t>T0068-G10-BIO</t>
  </si>
  <si>
    <t>Ciclo del nitrógeno</t>
  </si>
  <si>
    <t>8.4. Observación de nódulos radicales en leguminosas y análisis de los procesos microbianos del ciclo del nitrógeno.</t>
  </si>
  <si>
    <t>Conocer: identificar procesos. Aplicar: comparar tratamientos. Razonar: relacionar la fijación con la productividad</t>
  </si>
  <si>
    <t>T0069-G10-BIO</t>
  </si>
  <si>
    <t>Ciclos del fósforo y del azufre</t>
  </si>
  <si>
    <t>8.5. Comparación de los ciclos del fósforo y del azufre con énfasis en el aporte del vulcanismo salvadoreño.</t>
  </si>
  <si>
    <t>Conocer: describir los ciclos. Aplicar: interpretar datos de emisiones. Razonar: evaluar la calidad de las fuentes</t>
  </si>
  <si>
    <r>
      <rPr>
        <sz val="10"/>
        <color indexed="8"/>
        <rFont val="Arial"/>
      </rPr>
      <t>E6; E3; E2; I1; I2</t>
    </r>
  </si>
  <si>
    <t>T0070-G10-BIO</t>
  </si>
  <si>
    <t>Alteraciones humanas de los ciclos</t>
  </si>
  <si>
    <t>8.6. Análisis de datos de calidad del agua de lagos salvadoreños para explicar la eutrofización y las floraciones de cianobacterias.</t>
  </si>
  <si>
    <t>Aplicar: interpretar datos de calidad del agua. Razonar: argumentar causas y proponer soluciones</t>
  </si>
  <si>
    <t>T0071-G11-BIO</t>
  </si>
  <si>
    <t>Biología 11.°</t>
  </si>
  <si>
    <t>1. Ecología y ambiente</t>
  </si>
  <si>
    <t>Flujo de energía y materiales en los ecosistemas</t>
  </si>
  <si>
    <t>1.1. Estimación de la productividad y DBO en las comunidades biológicas.</t>
  </si>
  <si>
    <t>Conocer: definir productividad y DBO. Aplicar: calcular productividad neta y DBO₅. Razonar: interpretar la calidad del agua</t>
  </si>
  <si>
    <t>T0072-G11-BIO</t>
  </si>
  <si>
    <t>1.2. Reconocimiento de procesos biológicos que forman parte de los ciclos biogeoquímicos.</t>
  </si>
  <si>
    <t>Conocer: reconocer procesos biológicos. Aplicar: clasificar procesos por ciclo. Razonar: relacionar organismos con flujos de materia</t>
  </si>
  <si>
    <r>
      <rPr>
        <sz val="10"/>
        <color indexed="8"/>
        <rFont val="Arial"/>
      </rPr>
      <t>E1; E3; E4; I1; E6</t>
    </r>
  </si>
  <si>
    <t>T0073-G11-BIO</t>
  </si>
  <si>
    <t>1.3. Representación de los ciclos biogeoquímicos.</t>
  </si>
  <si>
    <t>Aplicar: representar un ciclo en un ecosistema concreto. Razonar: explicar las consecuencias de alterar el ciclo</t>
  </si>
  <si>
    <t>T0074-G11-BIO</t>
  </si>
  <si>
    <t>Problemática ambiental de El Salvador</t>
  </si>
  <si>
    <t>1.4. Indagación de problemáticas ambientales asociadas con la deforestación, la contaminación y la extracción de fauna o flora en la comunidad.</t>
  </si>
  <si>
    <t>Conocer: identificar problemáticas ambientales. Razonar: relacionar causas y consecuencias con datos</t>
  </si>
  <si>
    <t>T0075-G11-BIO</t>
  </si>
  <si>
    <t>1.5. Análisis del impacto de un cambio en el uso del suelo y los factores que llevan a su degradación.</t>
  </si>
  <si>
    <t>Aplicar: calcular porcentajes de cambio de cobertura. Razonar: explicar los factores de degradación del suelo</t>
  </si>
  <si>
    <t>T0076-G11-BIO</t>
  </si>
  <si>
    <t>1.6. Discusión sobre el abordaje de problemáticas ambientales a través de la planificación y gestión territorial.</t>
  </si>
  <si>
    <t>Conocer: identificar herramientas de gestión territorial. Razonar: argumentar su valor ambiental</t>
  </si>
  <si>
    <r>
      <rPr>
        <sz val="10"/>
        <color indexed="8"/>
        <rFont val="Arial"/>
      </rPr>
      <t>E6; D1; E1; I3; I4</t>
    </r>
  </si>
  <si>
    <t>T0077-G11-BIO</t>
  </si>
  <si>
    <t>Problemática ambiental global</t>
  </si>
  <si>
    <t>1.7. Exploración de los recursos naturales más explotados y los principales residuos generados a nivel mundial.</t>
  </si>
  <si>
    <t>Conocer: reconocer recursos sobreexplotados y tipos de residuos. Aplicar: interpretar datos mundiales</t>
  </si>
  <si>
    <r>
      <rPr>
        <sz val="10"/>
        <color indexed="8"/>
        <rFont val="Arial"/>
      </rPr>
      <t>E6; E5; E1; I1; E6</t>
    </r>
  </si>
  <si>
    <t>T0078-G11-BIO</t>
  </si>
  <si>
    <t>1.8. Reconocimiento de las causas y consecuencias del cambio climático antropogénico.</t>
  </si>
  <si>
    <t>Aplicar: graficar series temporales. Razonar: relacionar causas y consecuencias del cambio climático</t>
  </si>
  <si>
    <r>
      <rPr>
        <sz val="10"/>
        <color indexed="8"/>
        <rFont val="Arial"/>
      </rPr>
      <t>E1; E5; E2; D4; I2</t>
    </r>
  </si>
  <si>
    <t>T0079-G11-BIO</t>
  </si>
  <si>
    <t>1.9. Análisis de las causas y los impactos globales de la pérdida de biodiversidad.</t>
  </si>
  <si>
    <t>Conocer: identificar causas de pérdida de biodiversidad. Razonar: argumentar con tasas de extinción</t>
  </si>
  <si>
    <t>T0080-G11-BIO</t>
  </si>
  <si>
    <t>Restauración de ecosistemas</t>
  </si>
  <si>
    <t>1.10. Indagación de los mecanismos de restauración de ecosistemas.</t>
  </si>
  <si>
    <t>Conocer: identificar tipos de restauración. Razonar: seleccionar el mecanismo adecuado a un caso</t>
  </si>
  <si>
    <t>T0081-G11-BIO</t>
  </si>
  <si>
    <t>1.11. Exploración del estado de regeneración de los ecosistemas.</t>
  </si>
  <si>
    <t>Aplicar: calcular índices de diversidad. Razonar: evaluar un método de monitoreo</t>
  </si>
  <si>
    <t>T0082-G11-BIO</t>
  </si>
  <si>
    <t>1.12. Reconocimiento de estrategias de restauración de ecosistemas.</t>
  </si>
  <si>
    <t>Conocer: reconocer estrategias de restauración. Razonar: justificar una propuesta de comunidad sostenible</t>
  </si>
  <si>
    <t>T0083-G11-BIO</t>
  </si>
  <si>
    <t>2. Biotecnología microbiana y los virus</t>
  </si>
  <si>
    <t>Introducción a la biotecnología microbiana</t>
  </si>
  <si>
    <t>2.1. Indagación del concepto y aplicaciones de la biotecnología microbiana a través de la observación de productos comerciales.</t>
  </si>
  <si>
    <t>Conocer: definir biotecnología microbiana. Aplicar: clasificar productos y procesos por su campo de aplicación</t>
  </si>
  <si>
    <t>T0084-G11-BIO</t>
  </si>
  <si>
    <t>2.2. Observación de microorganismos de interés industrial o médico empleando técnicas de tinción.</t>
  </si>
  <si>
    <t>Conocer: identificar morfología microbiana. Aplicar: preparar y observar muestras teñidas. Razonar: distinguir grupos</t>
  </si>
  <si>
    <t>T0085-G11-BIO</t>
  </si>
  <si>
    <t>2.3. Reconocimiento de las aplicaciones de las técnicas de tinción microbiana.</t>
  </si>
  <si>
    <t>Conocer: describir técnicas de tinción. Razonar: justificar su utilidad diagnóstica e industrial</t>
  </si>
  <si>
    <r>
      <rPr>
        <sz val="10"/>
        <color indexed="8"/>
        <rFont val="Arial"/>
      </rPr>
      <t>E1; E3; E2; I1; E6</t>
    </r>
  </si>
  <si>
    <t>T0086-G11-BIO</t>
  </si>
  <si>
    <t>Cultivo de microorganismos</t>
  </si>
  <si>
    <t>2.4. Demostración práctica de las condiciones de crecimiento y medios de cultivo apropiados para distintos grupos de microrganismos.</t>
  </si>
  <si>
    <t>Aplicar: controlar variables en un diseño. Razonar: relacionar condiciones con proliferación microbiana</t>
  </si>
  <si>
    <t>T0087-G11-BIO</t>
  </si>
  <si>
    <t>2.5. Elaboración de cultivos bacterianos en medios sólidos.</t>
  </si>
  <si>
    <t>Aplicar: seguir un procedimiento aséptico. Razonar: evaluar la calidad de un cultivo</t>
  </si>
  <si>
    <t>T0088-G11-BIO</t>
  </si>
  <si>
    <t>2.6. Estimación de la cantidad de colonias en placas de cultivo.</t>
  </si>
  <si>
    <t>Aplicar: calcular UFC/mL con diluciones seriadas. Razonar: evaluar la validez de un recuento</t>
  </si>
  <si>
    <t>T0089-G11-BIO</t>
  </si>
  <si>
    <t>Aplicaciones agrícolas y alimentarias</t>
  </si>
  <si>
    <t>2.7. Indagación de la importancia demetabolismo bacteriano en el ambiente y sus aplicaciones en agricultura y alimentación..</t>
  </si>
  <si>
    <t>Conocer: identificar aplicaciones del metabolismo bacteriano. Razonar: justificar su uso en la agricultura</t>
  </si>
  <si>
    <t>T0090-G11-BIO</t>
  </si>
  <si>
    <t>2.8. Aplicación de tecnologías basadas en la fermentación.</t>
  </si>
  <si>
    <t>Aplicar: seguir un proceso fermentativo y graficar pH-tiempo. Razonar: interpretar el fin de la fermentación</t>
  </si>
  <si>
    <t>T0091-G11-BIO</t>
  </si>
  <si>
    <t>2.9. Explicación de los mecanismos de fermentación y sus aplicaciones.</t>
  </si>
  <si>
    <t>Conocer: describir rutas fermentativas. Aplicar: representar el balance energético. Razonar: relacionar con aplicaciones</t>
  </si>
  <si>
    <t>T0092-G11-BIO</t>
  </si>
  <si>
    <t>Aplicaciones en medicina y farmacología</t>
  </si>
  <si>
    <t>2.10. Exploración del rol de las vacunas y de las pruebas de detección clínica en la prevención y diagnóstico de enfermedades de origen microbiano.</t>
  </si>
  <si>
    <t>Conocer: reconocer tipos de vacunas y pruebas diagnósticas. Razonar: evaluar información sobre su seguridad</t>
  </si>
  <si>
    <r>
      <rPr>
        <sz val="10"/>
        <color indexed="8"/>
        <rFont val="Arial"/>
      </rPr>
      <t>E1; D1; E4; I2; I5</t>
    </r>
  </si>
  <si>
    <t>T0093-G11-BIO</t>
  </si>
  <si>
    <t>2.11. Visualización de respuestas macroscópicas de microorganismos frente a antibióticos, antimicóticos u organismos antagonistas.</t>
  </si>
  <si>
    <t>Aplicar: medir halos de inhibición. Razonar: explicar el rol de antimicrobianos, probióticos y prebióticos</t>
  </si>
  <si>
    <t>T0094-G11-BIO</t>
  </si>
  <si>
    <t>2.12. Exposición sobre los mecanismos de acción de las sustancias antimicrobianas más comunes.</t>
  </si>
  <si>
    <t>Conocer: describir mecanismos de acción. Aplicar: representar un mecanismo con un modelo</t>
  </si>
  <si>
    <t>T0095-G11-BIO</t>
  </si>
  <si>
    <t>Los virus</t>
  </si>
  <si>
    <t>2.13. Caracterización de la estructura y clasificación de los virus según su material genético y su envoltura.</t>
  </si>
  <si>
    <t>Conocer: describir componentes virales. Aplicar: clasificar virus por genoma y envoltura</t>
  </si>
  <si>
    <t>T0096-G11-BIO</t>
  </si>
  <si>
    <t>2.14. Comparación de los ciclos de replicación viral lítico y lisogénico.</t>
  </si>
  <si>
    <t>Conocer: ordenar etapas de replicación. Razonar: comparar ciclos e interpretar una curva de crecimiento viral</t>
  </si>
  <si>
    <t>T0097-G11-BIO</t>
  </si>
  <si>
    <t>2.15. Análisis del uso de bacteriófagos y vectores virales en la biotecnología médica.</t>
  </si>
  <si>
    <t>Conocer: describir aplicaciones biotecnológicas de los virus. Razonar: evaluar ventajas y riesgos</t>
  </si>
  <si>
    <t>T0098-G11-BIO</t>
  </si>
  <si>
    <t>3. Biotecnología vegetal y agroindustria</t>
  </si>
  <si>
    <t>Introducción a la biotecnología vegetal</t>
  </si>
  <si>
    <t>3.1. Indagación del concepto y aplicaciones de la biotecnología vegetal.</t>
  </si>
  <si>
    <t>Conocer: definir biotecnología vegetal. Aplicar: ejemplificar aplicaciones en cultivos salvadoreños</t>
  </si>
  <si>
    <t>T0099-G11-BIO</t>
  </si>
  <si>
    <t>3.2. Identificación de tejidos y células vegetales aplicando técnicas de tinción.</t>
  </si>
  <si>
    <t>Aplicar: aplicar técnicas de tinción. Razonar: relacionar estructura y función de tejidos vegetales</t>
  </si>
  <si>
    <t>T0100-G11-BIO</t>
  </si>
  <si>
    <t>3.3. Modelación de las características de la célula vegetal.</t>
  </si>
  <si>
    <t>Conocer: identificar estructuras de la célula vegetal. Aplicar: representar con un modelo</t>
  </si>
  <si>
    <t>T0101-G11-BIO</t>
  </si>
  <si>
    <t>Reproducción y mejoramiento vegetal</t>
  </si>
  <si>
    <t>3.4. Indagación de la importancia del tipo de reproducción en las plantas para la producción agrícola.</t>
  </si>
  <si>
    <t>Conocer: distinguir tipos de reproducción. Razonar: relacionarlos con la producción agrícola</t>
  </si>
  <si>
    <t>T0102-G11-BIO</t>
  </si>
  <si>
    <t>3.5. Experimentación con técnicas de propagación vegetativa.</t>
  </si>
  <si>
    <t>Aplicar: ejecutar una técnica de propagación. Razonar: evaluar un diseño experimental</t>
  </si>
  <si>
    <t>T0103-G11-BIO</t>
  </si>
  <si>
    <t>3.6. Comparación entre el mejoramiento genético tradicional y contemporáneo de las plantas.</t>
  </si>
  <si>
    <t>Conocer: describir técnicas de mejoramiento. Razonar: comparar métodos tradicionales y contemporáneos</t>
  </si>
  <si>
    <t>T0104-G11-BIO</t>
  </si>
  <si>
    <t>Nutrición de las plantas</t>
  </si>
  <si>
    <t>3.7. Indagación en el proceso de nutrición de las plantas y el papel de los fertilizantes.</t>
  </si>
  <si>
    <t>Conocer: clasificar nutrientes. Aplicar: interpretar fórmulas de fertilizantes. Razonar: diagnosticar deficiencias</t>
  </si>
  <si>
    <t>T0105-G11-BIO</t>
  </si>
  <si>
    <t>3.8. Experimentación con técnicas de cultivo de plantas en distintos sustratos.</t>
  </si>
  <si>
    <t>Aplicar: establecer un cultivo en sustrato. Razonar: comparar tratamientos con datos de crecimiento</t>
  </si>
  <si>
    <t>T0106-G11-BIO</t>
  </si>
  <si>
    <t>3.9. Reconocimiento de los efectos de los cambios del pH del suelo en la nutrición mineral de las plantas.</t>
  </si>
  <si>
    <t>Aplicar: medir e interpretar el pH del suelo. Razonar: relacionarlo con la disponibilidad de nutrientes</t>
  </si>
  <si>
    <t>T0107-G11-BIO</t>
  </si>
  <si>
    <t>Desarrollo vegetal</t>
  </si>
  <si>
    <t>3.10. Indagación de la existencia de hormonas vegetales.</t>
  </si>
  <si>
    <t>Conocer: definir hormona vegetal. Razonar: interpretar experimentos clásicos de fototropismo</t>
  </si>
  <si>
    <t>T0108-G11-BIO</t>
  </si>
  <si>
    <t>3.11. Experimentación con los efectos de hormonas vegetales y fitorreguladores en el desarrollo de las plantas.</t>
  </si>
  <si>
    <t>Aplicar: comparar tratamientos con control. Razonar: explicar efectos de fitorreguladores en el desarrollo</t>
  </si>
  <si>
    <t>T0109-G11-BIO</t>
  </si>
  <si>
    <t>3.12. Reconocimiento de los efectos del fotoperíodo en plantas.</t>
  </si>
  <si>
    <t>Aplicar: graficar la duración del día. Razonar: explicar la floración según el fotoperíodo</t>
  </si>
  <si>
    <t>T0110-G11-BIO</t>
  </si>
  <si>
    <t>Cultivo in vitro de plantas</t>
  </si>
  <si>
    <t>3.13. Preparación de las condiciones para un cultivo in vitro de plantas.</t>
  </si>
  <si>
    <t>Conocer: identificar condiciones de un cultivo in vitro. Razonar: generalizar los requisitos de asepsia y nutrición</t>
  </si>
  <si>
    <t>T0111-G11-BIO</t>
  </si>
  <si>
    <t>3.14. Experimentación con métodos caseros de cultivo in vitro de plantas.</t>
  </si>
  <si>
    <t>Aplicar: ejecutar un método casero de cultivo in vitro. Razonar: evaluar la contaminación de los frascos</t>
  </si>
  <si>
    <t>T0112-G11-BIO</t>
  </si>
  <si>
    <t>3.15. Caracterización de los métodos para regeneración in vitro de plantas.</t>
  </si>
  <si>
    <t>Conocer: caracterizar métodos de regeneración. Aplicar: calcular tasas de multiplicación</t>
  </si>
  <si>
    <t>T0113-G11-BIO</t>
  </si>
  <si>
    <t>Manejo de germoplasma</t>
  </si>
  <si>
    <t>3.16. Indagación de la importancia de la conservación del germoplasma.</t>
  </si>
  <si>
    <t>Conocer: definir germoplasma. Razonar: justificar su conservación</t>
  </si>
  <si>
    <t>T0114-G11-BIO</t>
  </si>
  <si>
    <t>3.17. Experimentación con métodos de almacenamiento de semillas.</t>
  </si>
  <si>
    <t>Aplicar: calcular porcentajes de germinación. Razonar: explicar condiciones de almacenamiento adecuadas</t>
  </si>
  <si>
    <t>T0115-G11-BIO</t>
  </si>
  <si>
    <t>Manejo de plagas</t>
  </si>
  <si>
    <t>3.18. Clasificación de los agroquímicos para el control de plagas según su uso y etiquetado de seguridad.</t>
  </si>
  <si>
    <t>Conocer: clasificar agroquímicos por uso. Aplicar: interpretar etiquetado de seguridad. Razonar: comparar riesgos</t>
  </si>
  <si>
    <t>T0116-G11-BIO</t>
  </si>
  <si>
    <t>4. Bases genéticas de la evolución</t>
  </si>
  <si>
    <t>Material genético y genoma</t>
  </si>
  <si>
    <t>4.1. Demostración de las diferencias en cuanto al tamaño del genoma y ploidía entre especies.</t>
  </si>
  <si>
    <t>Aplicar: representar datos en escala logarítmica. Razonar: justificar la ausencia de correlación entre tamaño del genoma y complejidad</t>
  </si>
  <si>
    <r>
      <rPr>
        <sz val="10"/>
        <color indexed="8"/>
        <rFont val="Arial"/>
      </rPr>
      <t>E1; E5; E2; I3; E6</t>
    </r>
  </si>
  <si>
    <t>T0117-G11-BIO</t>
  </si>
  <si>
    <t>4.2. Comprobación de las propiedades fisicoquímicas del material genético y la organización cromosómica del ADN.</t>
  </si>
  <si>
    <t>Conocer: describir la organización cromosómica. Aplicar: relacionar pasos con propiedades. Razonar: evaluar un procedimiento</t>
  </si>
  <si>
    <t>T0118-G11-BIO</t>
  </si>
  <si>
    <t>4.3. Búsqueda y tamizaje de información genética en bases de datos biológicas.</t>
  </si>
  <si>
    <t>Aplicar: buscar y obtener secuencias. Razonar: evaluar la calidad de un registro genético</t>
  </si>
  <si>
    <t>T0119-G11-BIO</t>
  </si>
  <si>
    <t>Ciclo celular</t>
  </si>
  <si>
    <t>4.4. Exploración del ciclo celular y su regulación.</t>
  </si>
  <si>
    <t>Conocer: identificar fases del ciclo. Aplicar: representar la replicación. Razonar: predecir efectos de fallas en los puntos de control</t>
  </si>
  <si>
    <t>T0120-G11-BIO</t>
  </si>
  <si>
    <t>4.5. Simulación de los principales procesos de la división mitótica.</t>
  </si>
  <si>
    <t>Aplicar: calcular el índice mitótico. Razonar: inferir duraciones relativas a partir de frecuencias</t>
  </si>
  <si>
    <t>T0121-G11-BIO</t>
  </si>
  <si>
    <t>4.6. Uso de herramientas virtuales para explorar la división meiótica.</t>
  </si>
  <si>
    <t>Conocer: describir las fases de la meiosis. Aplicar: calcular combinaciones. Razonar: relacionar meiosis con variabilidad</t>
  </si>
  <si>
    <t>T0122-G11-BIO</t>
  </si>
  <si>
    <t>Expresión génica</t>
  </si>
  <si>
    <t>4.7. Reconocimiento de procesos cotidianos que involucran el control de la expresión génica.</t>
  </si>
  <si>
    <t>Conocer: definir expresión génica. Aplicar: ejemplificar su control. Razonar: evaluar afirmaciones pseudocientíficas</t>
  </si>
  <si>
    <t>T0123-G11-BIO</t>
  </si>
  <si>
    <t>4.8. Simulación de los procesos de transcripción y traducción.</t>
  </si>
  <si>
    <t>Aplicar: transcribir y traducir secuencias. Razonar: predecir efectos de cambios en la secuencia</t>
  </si>
  <si>
    <t>T0124-G11-BIO</t>
  </si>
  <si>
    <t>4.9. Explicación de los procesos de transcripción y traducción.</t>
  </si>
  <si>
    <t>Conocer: usar la terminología científica. Razonar: explicar el flujo de información genética</t>
  </si>
  <si>
    <t>T0125-G11-BIO</t>
  </si>
  <si>
    <t>Mecanismos evolutivos</t>
  </si>
  <si>
    <t>4.10. Reconocimiento del proceso de recombinación genética y su papel como mecanismo evolutivo.</t>
  </si>
  <si>
    <t>Aplicar: calcular frecuencias de recombinación. Razonar: inferir ligamiento a partir de datos</t>
  </si>
  <si>
    <t>T0126-G11-BIO</t>
  </si>
  <si>
    <t>4.11. Reconocimiento del papel de las mutaciones en la adaptabilidad y en el incremento de la diversidad genética.</t>
  </si>
  <si>
    <t>Conocer: clasificar mutaciones. Razonar: argumentar su papel en la adaptabilidad</t>
  </si>
  <si>
    <t>T0127-G11-BIO</t>
  </si>
  <si>
    <t>4.12. Análisis de los mecanismos de selección natural, artificial y sexual a partir de casos.</t>
  </si>
  <si>
    <t>Aplicar: clasificar casos de selección. Razonar: justificar efectos sobre la variabilidad genética</t>
  </si>
  <si>
    <t>T0128-G11-BIO</t>
  </si>
  <si>
    <t>Transferencia genética horizontal (TGH)</t>
  </si>
  <si>
    <t>4.13. Reconocimiento de mecanismos de transducción y transfección celular.</t>
  </si>
  <si>
    <t>Conocer: identificar mecanismos de transferencia. Aplicar: representarlos en diagramas</t>
  </si>
  <si>
    <r>
      <rPr>
        <sz val="10"/>
        <color indexed="8"/>
        <rFont val="Arial"/>
      </rPr>
      <t>E1; E5; E2; E4; E6</t>
    </r>
  </si>
  <si>
    <t>T0129-G11-BIO</t>
  </si>
  <si>
    <t>4.14. Simulación de un proceso de transferencia genética horizontal (TGH).</t>
  </si>
  <si>
    <t>Aplicar: modelar la transferencia horizontal. Razonar: evaluar las limitaciones de un modelo</t>
  </si>
  <si>
    <t>T0130-G11-BIO</t>
  </si>
  <si>
    <t>4.15. Explicación de mecanismos de transgénesis y edición genética.</t>
  </si>
  <si>
    <t>Aplicar: representar un mecanismo de edición genética. Razonar: evaluar implicaciones éticas</t>
  </si>
  <si>
    <r>
      <rPr>
        <sz val="10"/>
        <color indexed="8"/>
        <rFont val="Arial"/>
      </rPr>
      <t>E6; E3; E4; I2; I5</t>
    </r>
  </si>
  <si>
    <t>T0131-G11-BIO</t>
  </si>
  <si>
    <t>5. Análisis de biodiversidad</t>
  </si>
  <si>
    <t>Biodiversidad genética poblacional</t>
  </si>
  <si>
    <t>5.1. Determinación de las proporciones genotípicas y fenotípicas a partir de cruces genéticos.</t>
  </si>
  <si>
    <t>Aplicar: construir cuadros de Punnett y calcular proporciones. Razonar: justificar las condiciones del modelo</t>
  </si>
  <si>
    <t>T0132-G11-BIO</t>
  </si>
  <si>
    <t>5.2. Cálculo de las frecuencias genotípicas y alélicas para una población.</t>
  </si>
  <si>
    <t>Aplicar: calcular frecuencias genotípicas y alélicas. Razonar: evaluar el efecto del tamaño de muestra</t>
  </si>
  <si>
    <t>T0133-G11-BIO</t>
  </si>
  <si>
    <t>5.3. Resolución de problemas que involucran la determinación de frecuencias genotípicas y alélicas.</t>
  </si>
  <si>
    <t>Aplicar: resolver problemas de frecuencias. Razonar: interpretar resultados en contextos de conservación</t>
  </si>
  <si>
    <r>
      <rPr>
        <sz val="10"/>
        <color indexed="8"/>
        <rFont val="Arial"/>
      </rPr>
      <t>E6; E3; E1; I3; E3</t>
    </r>
  </si>
  <si>
    <t>T0134-G11-BIO</t>
  </si>
  <si>
    <t>Origen común de la vida</t>
  </si>
  <si>
    <t>5.4. Indagación de las características de los seres vivos y las evidencias que apuntan a su origen común.</t>
  </si>
  <si>
    <t>Conocer: enumerar características de los seres vivos. Razonar: relacionarlas con evidencias de origen común</t>
  </si>
  <si>
    <r>
      <rPr>
        <sz val="10"/>
        <color indexed="8"/>
        <rFont val="Arial"/>
      </rPr>
      <t>E1; E5; E4; I1; I2</t>
    </r>
  </si>
  <si>
    <t>T0135-G11-BIO</t>
  </si>
  <si>
    <t>5.5. Relación de las variantes genéticas con los conceptos de especie, subespecie, variedad y cepa.</t>
  </si>
  <si>
    <t>Conocer: definir categorías infraespecíficas. Razonar: clasificar casos con criterios genéticos</t>
  </si>
  <si>
    <r>
      <rPr>
        <sz val="10"/>
        <color indexed="8"/>
        <rFont val="Arial"/>
      </rPr>
      <t>E6; D1; E1; D4; I4</t>
    </r>
  </si>
  <si>
    <t>T0136-G11-BIO</t>
  </si>
  <si>
    <t>5.6. Exploración de las formas naturales de especiación a partir de casos.</t>
  </si>
  <si>
    <t>Conocer: identificar formas de especiación. Razonar: aplicar modelos a casos reales e hipotéticos</t>
  </si>
  <si>
    <t>T0137-G11-BIO</t>
  </si>
  <si>
    <t>Estimación de la biodiversidad</t>
  </si>
  <si>
    <t>5.7. Indagación de los conceptos de riqueza y abundancia de especies a partir de la observación.</t>
  </si>
  <si>
    <t>Aplicar: registrar y graficar riqueza y abundancia. Razonar: comparar zonas con datos</t>
  </si>
  <si>
    <t>T0138-G11-BIO</t>
  </si>
  <si>
    <t>5.8. Estimación de similitud y distancia entre comunidades biológicas.</t>
  </si>
  <si>
    <t>Aplicar: calcular índices de similitud y distancia. Razonar: evaluar la validez de la comparación</t>
  </si>
  <si>
    <t>T0139-G11-BIO</t>
  </si>
  <si>
    <t>5.9. Exploración de la biodiversidad funcional a partir de los nichos ecológicos.</t>
  </si>
  <si>
    <t>Conocer: definir nicho ecológico. Razonar: explicar la importancia de la biodiversidad funcional</t>
  </si>
  <si>
    <t>T0140-G11-BIO</t>
  </si>
  <si>
    <t>Agrupamiento de organismos</t>
  </si>
  <si>
    <t>5.10. Exploración de aplicaciones de los índices de biodiversidad.</t>
  </si>
  <si>
    <t>Aplicar: calcular índices de diversidad. Razonar: tomar decisiones de conservación con datos</t>
  </si>
  <si>
    <t>T0141-G11-BIO</t>
  </si>
  <si>
    <t>5.11. Construcción de dendrogramas a partir de algoritmos.</t>
  </si>
  <si>
    <t>Aplicar: construir matrices de distancia y dendrogramas. Razonar: evaluar la robustez de un agrupamiento</t>
  </si>
  <si>
    <t>T0142-G11-BIO</t>
  </si>
  <si>
    <t>5.12. Interpretación de agrupamientos de organismos a partir de diagramas.</t>
  </si>
  <si>
    <t>Conocer: definir tipos de agrupamiento. Aplicar: interpretar cladogramas. Razonar: justificar clasificaciones</t>
  </si>
  <si>
    <t>T0143-G11-BIO</t>
  </si>
  <si>
    <t>6. Mecánica de fluidos en los seres vivos</t>
  </si>
  <si>
    <t>Circulación sanguínea</t>
  </si>
  <si>
    <t>6.1. Interpretación de la presión arterial como presión manométrica y de los principios físicos de su medición.</t>
  </si>
  <si>
    <t>Aplicar: convertir unidades y calcular presiones hidrostáticas. Razonar: interpretar datos fisiológicos</t>
  </si>
  <si>
    <t>T0144-G11-BIO</t>
  </si>
  <si>
    <t>6.2. Aplicación de la ecuación de continuidad al flujo sanguíneo desde la aorta hasta los capilares.</t>
  </si>
  <si>
    <t>Aplicar: calcular rapidez con la ecuación de continuidad. Razonar: relacionar estructura y función</t>
  </si>
  <si>
    <t>T0145-G11-BIO</t>
  </si>
  <si>
    <t>6.3. Análisis de la ley de Poiseuille para relacionar el radio de un vaso sanguíneo con el caudal y la presión necesaria.</t>
  </si>
  <si>
    <t>Aplicar: calcular caudales con la ley de Poiseuille. Razonar: explicar consecuencias fisiológicas</t>
  </si>
  <si>
    <r>
      <rPr>
        <sz val="10"/>
        <color indexed="8"/>
        <rFont val="Arial"/>
      </rPr>
      <t>E6; E5; E2; E4; I4</t>
    </r>
  </si>
  <si>
    <t>T0146-G11-BIO</t>
  </si>
  <si>
    <t>Transporte de agua en las plantas</t>
  </si>
  <si>
    <t>6.4. Medición de la transpiración de una rama y explicación del ascenso del agua por cohesión-tensión y capilaridad.</t>
  </si>
  <si>
    <t>Aplicar: calcular alturas capilares y tasas de transpiración. Razonar: evaluar modelos explicativos</t>
  </si>
  <si>
    <t>T0147-G11-BIO</t>
  </si>
  <si>
    <t>Respiración y flotación</t>
  </si>
  <si>
    <t>6.5. Modelización de la mecánica respiratoria mediante la ley de Boyle y un modelo de pulmón con botella y globos.</t>
  </si>
  <si>
    <t>Aplicar: calcular presiones con la ley de Boyle. Razonar: evaluar un modelo físico del sistema respiratorio</t>
  </si>
  <si>
    <t>T0148-G11-BIO</t>
  </si>
  <si>
    <t>6.6. Aplicación del principio de Arquímedes a la regulación de la flotación y la locomoción en organismos acuáticos.</t>
  </si>
  <si>
    <t>Aplicar: calcular volúmenes y densidades con el principio de Arquímedes. Razonar: comparar adaptaciones</t>
  </si>
  <si>
    <r>
      <rPr>
        <sz val="10"/>
        <color indexed="8"/>
        <rFont val="Arial"/>
      </rPr>
      <t>E6; D1; E4; D4; E3</t>
    </r>
  </si>
  <si>
    <t>T0149-G11-BIO</t>
  </si>
  <si>
    <t>7. Dinámica de poblaciones (relaciones intra e interespecíficas)</t>
  </si>
  <si>
    <t>Atributos de una población</t>
  </si>
  <si>
    <t>7.1. Análisis de la densidad y del patrón de distribución espacial de una población a partir de conteos por cuadrantes.</t>
  </si>
  <si>
    <t>Aplicar: calcular densidad y relación varianza-media. Razonar: inferir causas de un patrón espacial</t>
  </si>
  <si>
    <t>T0150-G11-BIO</t>
  </si>
  <si>
    <t>7.2. Estimación del tamaño de una población mediante el método de captura-recaptura con un modelo de frijoles y con datos publicados.</t>
  </si>
  <si>
    <t>Aplicar: estimar tamaños poblacionales. Razonar: evaluar supuestos y precisión de un método</t>
  </si>
  <si>
    <t>T0151-G11-BIO</t>
  </si>
  <si>
    <t>Crecimiento poblacional</t>
  </si>
  <si>
    <t>7.3. Modelización del crecimiento poblacional con los modelos exponencial y logístico y determinación de la capacidad de carga.</t>
  </si>
  <si>
    <t>Aplicar: calcular y graficar modelos de crecimiento. Razonar: seleccionar el modelo que mejor describe los datos</t>
  </si>
  <si>
    <t>T0152-G11-BIO</t>
  </si>
  <si>
    <t>7.4. Construcción de tablas de vida y curvas de supervivencia para caracterizar las estrategias r y K.</t>
  </si>
  <si>
    <t>Aplicar: construir tablas de vida y curvas de supervivencia. Razonar: clasificar estrategias con datos</t>
  </si>
  <si>
    <t>T0153-G11-BIO</t>
  </si>
  <si>
    <t>Relaciones entre organismos</t>
  </si>
  <si>
    <t>7.5. Análisis de relaciones intraespecíficas y de su efecto dependiente de la densidad sobre el crecimiento poblacional.</t>
  </si>
  <si>
    <t>Conocer: clasificar relaciones intraespecíficas. Aplicar: analizar datos de densidad. Razonar: explicar la regulación dependiente de la densidad</t>
  </si>
  <si>
    <t>T0154-G11-BIO</t>
  </si>
  <si>
    <t>7.6. Modelización de la relación depredador-presa con las ecuaciones de Lotka-Volterra y comparación con datos históricos.</t>
  </si>
  <si>
    <t>Aplicar: simular un modelo de ecuaciones acopladas. Razonar: contrastar un modelo con datos y evaluar sus supuestos</t>
  </si>
  <si>
    <t>T0155-G11-BIO</t>
  </si>
  <si>
    <t>Poblaciones y conservación</t>
  </si>
  <si>
    <t>7.7. Análisis de datos de anidación y de viveros de tortugas marinas para evaluar medidas de conservación.</t>
  </si>
  <si>
    <t>Aplicar: estimar supervivencia con tablas de vida. Razonar: evaluar medidas de conservación con datos</t>
  </si>
  <si>
    <t>T0156-G11-BIO</t>
  </si>
  <si>
    <t>8. Microevolución y adaptaciones</t>
  </si>
  <si>
    <t>El modelo de Hardy-Weinberg</t>
  </si>
  <si>
    <t>8.1. Contraste de frecuencias genotípicas observadas con las esperadas por el modelo de Hardy-Weinberg mediante la prueba de chi cuadrado.</t>
  </si>
  <si>
    <t>Aplicar: calcular frecuencias esperadas y el estadístico chi cuadrado. Razonar: inferir el supuesto que se incumple</t>
  </si>
  <si>
    <t>T0157-G11-BIO</t>
  </si>
  <si>
    <t>Fuerzas evolutivas en acción</t>
  </si>
  <si>
    <t>8.2. Simulación de la deriva génica, el efecto fundador y el cuello de botella con modelos físicos y digitales.</t>
  </si>
  <si>
    <t>Aplicar: simular la deriva génica. Razonar: relacionar tamaño poblacional y pérdida de alelos</t>
  </si>
  <si>
    <r>
      <rPr>
        <sz val="10"/>
        <color indexed="8"/>
        <rFont val="Arial"/>
      </rPr>
      <t>E6; E3; E4; D4; E3</t>
    </r>
  </si>
  <si>
    <t>T0158-G11-BIO</t>
  </si>
  <si>
    <t>8.3. Análisis del efecto de la fragmentación del hábitat sobre el flujo génico y la diversidad genética de las poblaciones.</t>
  </si>
  <si>
    <t>Aplicar: interpretar datos de heterocigosis. Razonar: argumentar decisiones de conservación con base genética</t>
  </si>
  <si>
    <r>
      <rPr>
        <sz val="10"/>
        <color indexed="8"/>
        <rFont val="Arial"/>
      </rPr>
      <t>E1; E5; E4; I3; I5</t>
    </r>
  </si>
  <si>
    <t>T0159-G11-BIO</t>
  </si>
  <si>
    <t>Selección natural y adaptación</t>
  </si>
  <si>
    <t>8.4. Interpretación de histogramas de caracteres cuantitativos para identificar el tipo de selección que actúa sobre una población.</t>
  </si>
  <si>
    <t>Aplicar: construir e interpretar histogramas. Razonar: inferir el tipo de selección a partir de cambios en la distribución</t>
  </si>
  <si>
    <t>T0160-G11-BIO</t>
  </si>
  <si>
    <t>8.5. Clasificación de adaptaciones morfológicas, fisiológicas y conductuales de especies salvadoreñas en relación con su ambiente.</t>
  </si>
  <si>
    <t>Conocer: clasificar adaptaciones. Razonar: relacionar adaptaciones con presiones selectivas del ambiente</t>
  </si>
  <si>
    <t>T0161-G11-BIO</t>
  </si>
  <si>
    <t>8.6. Análisis de casos de coevolución entre especies que interactúan estrechamente.</t>
  </si>
  <si>
    <t>Conocer: definir coevolución. Razonar: explicar la adaptación recíproca con casos</t>
  </si>
  <si>
    <r>
      <rPr>
        <sz val="10"/>
        <color indexed="8"/>
        <rFont val="Arial"/>
      </rPr>
      <t>E6; D1; E4; I1; E6</t>
    </r>
  </si>
  <si>
    <t>T0162-G11-BIO</t>
  </si>
  <si>
    <t>Evolución en tiempo real</t>
  </si>
  <si>
    <t>8.7. Análisis de datos publicados sobre la evolución de la resistencia a antibióticos y a plaguicidas.</t>
  </si>
  <si>
    <t>Aplicar: interpretar series de datos de resistencia. Razonar: argumentar con datos el papel de la presión de selección</t>
  </si>
  <si>
    <t>Cómo se calcula: Una fila = un procedimental de la malla (un «tema»). Columnas K-L, P-Q: clasificación TIMSS 2027 asistida por IA (revisable). M, N, O, S-U y X-Z son fórmulas. AA-AB = clasificación v1 (TIMSS 2023), solo para comparar. Para auditar cualquier número del libro, filtra esta hoja por Grupo y Dominio.</t>
  </si>
  <si>
    <t>Datos - Catálogo TIMSS</t>
  </si>
  <si>
    <t>Catálogo de referencia TIMSS (objetivos de contenido)</t>
  </si>
  <si>
    <t>TIMSS
● TIMSS 2027: 32 objetivos de 4.° y 48 de 8.°. TIMSS Advanced Física: 23.
● 24 son de medio ambiente y 7 de investigación. Metas en ámbar (editables).</t>
  </si>
  <si>
    <t>Meta del dominio</t>
  </si>
  <si>
    <t>Código área</t>
  </si>
  <si>
    <t>Objetivo (paráfrasis)</t>
  </si>
  <si>
    <t>Fuente</t>
  </si>
  <si>
    <t>Ambiental (asterisco en el marco)</t>
  </si>
  <si>
    <t>Área de Investigaciones</t>
  </si>
  <si>
    <t>Sub-ítems (paráfrasis)</t>
  </si>
  <si>
    <t>T4_27-B1</t>
  </si>
  <si>
    <t>IEA, TIMSS 2027 Assessment Frameworks, cap. 2 (Science), 4.° grado, p. 26</t>
  </si>
  <si>
    <t>A. Distinguir seres vivos de no vivos (se reproducen, crecen, responden a estímulos y mueren).
B. Identificar lo que plantas y animales requieren para vivir: aire, alimento o luz, agua y un ambiente. *</t>
  </si>
  <si>
    <t>A. Comparar y clasificar plantas y animales, y mamíferos, aves, peces, reptiles e insectos, por sus rasgos.
B. Dar ejemplos de miembros de los grandes grupos de animales.</t>
  </si>
  <si>
    <t>IEA, TIMSS 2027 Assessment Frameworks, cap. 2 (Science), 4.° grado, p. 27</t>
  </si>
  <si>
    <t>A. Relacionar estructuras animales con su función (piel, huesos, pulmones, corazón, estómago, músculos).
B. Relacionar estructuras de la planta con su función (raíz, hoja, tallo, pétalos, flor, semilla).</t>
  </si>
  <si>
    <t>A. Reconocer que las plantas fabrican su alimento con luz, aire y agua; los animales comen plantas u otros animales. *
B. Describir cómo animales y el cuerpo humano responden a cambios externos (temperatura, peligro) y al ejercicio. *</t>
  </si>
  <si>
    <t>T4_27-B2</t>
  </si>
  <si>
    <t>A. Identificar etapas del ciclo de vida de las plantas (germinación, crecimiento, polinización, fruto, dispersión).
B. Reconocer, comparar y contrastar ciclos de vida de animales comunes (humanos, ranas, mariposas).</t>
  </si>
  <si>
    <t>A. Reconocer que la descendencia se parece a sus progenitores; distinguir rasgos heredados de no heredados.
B. Describir estrategias que aumentan la supervivencia de la descendencia (muchas semillas, cuidado de crías).</t>
  </si>
  <si>
    <t>T4_27-B3</t>
  </si>
  <si>
    <t>A. Asociar rasgos físicos de plantas y animales con su ambiente y su supervivencia (tallo grueso, camuflaje). *
B. Asociar conductas animales con su ambiente y su supervivencia (migración, hibernación). *</t>
  </si>
  <si>
    <t>T4_27-B4</t>
  </si>
  <si>
    <t>IEA, TIMSS 2027 Assessment Frameworks, cap. 2 (Science), 4.° grado, p. 28</t>
  </si>
  <si>
    <t>A. Relacionar plantas y animales comunes con ecosistemas (bosque, selva, desierto, sabana, ártico, río, océano). *</t>
  </si>
  <si>
    <t>A. Completar una cadena alimentaria lineal y describir el papel de cada organismo. *
B. Identificar depredadores y presas.
C. Reconocer que algunos seres vivos compiten por recursos (alimento, agua, luz, espacio). *</t>
  </si>
  <si>
    <t>A. Dar ejemplos de efectos de la contaminación en personas, plantas y animales. *
B. Reconocer efectos negativos y positivos de la conducta humana sobre poblaciones de un ecosistema. *</t>
  </si>
  <si>
    <t>T4_27-B5</t>
  </si>
  <si>
    <t>A. Relacionar el contagio de enfermedades con el contacto humano; describir formas de prevención (vacunas, lavado de manos).</t>
  </si>
  <si>
    <t>A. Describir hábitos de salud física y mental; identificar grupos de alimentos de una dieta balanceada.</t>
  </si>
  <si>
    <t>T4_27-B6</t>
  </si>
  <si>
    <t>A. Reconocer rasgos de una investigación biológica (prueba justa, observación vs inferencia) y el uso de lupa o pinzas.</t>
  </si>
  <si>
    <t>T4_27-P1</t>
  </si>
  <si>
    <t>IEA, TIMSS 2027 Assessment Frameworks, cap. 2 (Science), 4.° grado, p. 29</t>
  </si>
  <si>
    <t>A. Identificar sólido, líquido y gas por su forma y volumen; reconocer el estado del agua según la temperatura.
B. Reconocer cambios de estado al calentar o enfriar; describir fusión, congelación, evaporación y condensación del agua.</t>
  </si>
  <si>
    <t>A. Comparar y ordenar materiales por masa, volumen, estado, conducción, flotación y atracción magnética.
B. Identificar propiedades de los metales (conducen calor y electricidad) y relacionarlas con sus usos.</t>
  </si>
  <si>
    <t>IEA, TIMSS 2027 Assessment Frameworks, cap. 2 (Science), 4.° grado, p. 30</t>
  </si>
  <si>
    <t>A. Distinguir cambios que no producen materiales nuevos de los que sí (descomposición, combustión, oxidación).
B. Describir mezclas y métodos físicos para separarlas (tamizado, filtración, evaporación, imán).
C. Identificar cómo acelerar la disolución de un sólido; distinguir soluciones débiles y concentradas.</t>
  </si>
  <si>
    <t>T4_27-P2</t>
  </si>
  <si>
    <t>A. Reconocer que las personas usan energía para distintos fines y en distintas formas (calor, electricidad).</t>
  </si>
  <si>
    <t>A. Describir que al contacto un objeto caliente se enfría y el frío o el entorno se calienta.</t>
  </si>
  <si>
    <t>T4_27-P3</t>
  </si>
  <si>
    <t>A. Relacionar sombras, reflejos y arcoíris con el comportamiento de la luz.</t>
  </si>
  <si>
    <t>A. Relacionar objetos que vibran y ecos con la producción y el comportamiento del sonido.</t>
  </si>
  <si>
    <t>T4_27-P4</t>
  </si>
  <si>
    <t>A. Reconocer que la energía eléctrica se transforma en calor, luz o sonido.
B. Explicar que un circuito necesita un camino completo; identificar diagramas de circuitos simples completos.</t>
  </si>
  <si>
    <t>A. Reconocer que los imanes tienen dos polos; iguales se repelen y opuestos se atraen.
B. Reconocer que los imanes atraen la mayoría de objetos metálicos.</t>
  </si>
  <si>
    <t>T4_27-P5</t>
  </si>
  <si>
    <t>IEA, TIMSS 2027 Assessment Frameworks, cap. 2 (Science), 4.° grado, p. 31</t>
  </si>
  <si>
    <t>A. Identificar la gravedad como la fuerza que atrae los objetos hacia la Tierra.
B. Reconocer que empujar y halar cambian el movimiento; comparar fuerzas; la fricción y el aire se oponen al movimiento.</t>
  </si>
  <si>
    <t>A. Reconocer que palancas, poleas, engranajes y rampas facilitan el movimiento (menos fuerza o cambio de dirección).</t>
  </si>
  <si>
    <t>T4_27-P6</t>
  </si>
  <si>
    <t>A. Reconocer rasgos de una investigación (preguntas comprobables, repetir mediciones al comparar métodos).
B. Reconocer el uso de equipo común (balanza, cronómetro) en una investigación.</t>
  </si>
  <si>
    <t>T4_27-E1</t>
  </si>
  <si>
    <t>IEA, TIMSS 2027 Assessment Frameworks, cap. 2 (Science), 4.° grado, p. 32</t>
  </si>
  <si>
    <t>A. Reconocer que hay más agua que tierra y que el aire la rodea; describir dónde hay agua dulce y salada. *</t>
  </si>
  <si>
    <t>A. Reconocer que viento y agua modifican el paisaje y que algunos relieves se forman muy lentamente.
B. Reconocer fósiles en rocas y hielo y deducir cambios de la superficie terrestre por su ubicación.</t>
  </si>
  <si>
    <t>T4_27-E2</t>
  </si>
  <si>
    <t>A. Describir cómo varía el tiempo (temperatura, humedad, lluvia, nubes, viento) por día y lugar. *
B. Describir cambios estacionales de temperatura y lluvia; reconocer el calentamiento global y algunos efectos. *</t>
  </si>
  <si>
    <t>T4_27-E3</t>
  </si>
  <si>
    <t>A. Reconocer usos cotidianos de agua, viento, suelo, bosques, minerales y combustibles fósiles; cuáles no son renovables. *
B. Explicar la importancia de usar responsablemente los recursos de la Tierra. *</t>
  </si>
  <si>
    <t>T4_27-E4</t>
  </si>
  <si>
    <t>A. Describir el sistema solar (Sol y planetas que giran); la Luna gira alrededor de la Tierra y cambia de aspecto.</t>
  </si>
  <si>
    <t>A. Explicar el día y la noche por la rotación de la Tierra.
B. Reconocer que la Tierra da una vuelta al Sol en un año.</t>
  </si>
  <si>
    <t>T4_27-E5</t>
  </si>
  <si>
    <t>IEA, TIMSS 2027 Assessment Frameworks, cap. 2 (Science), 4.° grado, p. 33</t>
  </si>
  <si>
    <t>A. Reconocer el uso de termómetro, brújula o pluviómetro en una investigación.</t>
  </si>
  <si>
    <t>T8_27-B1</t>
  </si>
  <si>
    <t>IEA, TIMSS 2027 Assessment Frameworks, cap. 2 (Science), 8.° grado, p. 34</t>
  </si>
  <si>
    <t>A. Identificar rasgos que distinguen bacterias, hongos, plantas, animales y clases de vertebrados e insectos.
B. Reconocer y clasificar organismos como ejemplos de esos grupos taxonómicos.</t>
  </si>
  <si>
    <t>A. Ubicar sistemas respiratorio, digestivo, óseo y nervioso, y sus órganos, en el cuerpo humano.
B. Comparar órganos y sistemas de humanos con los de otros vertebrados (pulmones vs branquias).
C. Explicar el papel de órganos y sistemas en el sostenimiento de la vida (circulación, respiración).</t>
  </si>
  <si>
    <t>A. Explicar cómo los animales responden a cambios para mantener estables sus condiciones (homeostasis).
B. Describir función y proceso básico de la fotosíntesis (luz, CO2, agua, clorofila → glucosa y oxígeno). *
C. Describir función y proceso básico de la respiración celular (oxígeno y glucosa → energía, CO2 y agua). *</t>
  </si>
  <si>
    <t>T8_27-B2</t>
  </si>
  <si>
    <t>A. Explicar que los seres vivos están formados por células que cumplen funciones vitales y se dividen.
B. Identificar estructuras celulares principales y su función (pared, membrana, núcleo, cloroplasto, mitocondria…).
C. Reconocer que pared, cloroplastos y vacuola distinguen la célula vegetal de la animal.
D. Explicar que tejidos, órganos y sistemas se forman de células especializadas.</t>
  </si>
  <si>
    <t>T8_27-B3</t>
  </si>
  <si>
    <t>IEA, TIMSS 2027 Assessment Frameworks, cap. 2 (Science), 8.° grado, p. 35</t>
  </si>
  <si>
    <t>A. Reconocer la fecundación y que la descendencia es parecida pero no idéntica; herencia por material genético.
B. Reconocer que los rasgos están codificados en el ADN de los cromosomas del núcleo.
C. Distinguir rasgos heredados de rasgos adquiridos o aprendidos.</t>
  </si>
  <si>
    <t>T8_27-B4</t>
  </si>
  <si>
    <t>A. Reconocer que la variación da ventajas de supervivencia y reproducción; relacionarla con extinción en ambientes cambiantes.</t>
  </si>
  <si>
    <t>A. Sacar conclusiones sobre cuánto tiempo han existido grupos de organismos a partir de fósiles.
B. Describir cómo semejanzas entre especies y fósiles evidencian cambio y ancestro común.</t>
  </si>
  <si>
    <t>T8_27-B5</t>
  </si>
  <si>
    <t>A. Comparar ecosistemas naturales, rurales y urbanos por sus rasgos y organismos. *</t>
  </si>
  <si>
    <t>A. Describir el flujo de energía de productores a consumidores y descomponedores; construir e interpretar pirámides. *</t>
  </si>
  <si>
    <t>A. Describir el papel de los seres vivos en el ciclo del agua (transpiración, bebida, respiración, desechos). *
B. Describir el papel de los seres vivos en los ciclos del oxígeno y el carbono. *</t>
  </si>
  <si>
    <t>IEA, TIMSS 2027 Assessment Frameworks, cap. 2 (Science), 8.° grado, p. 36</t>
  </si>
  <si>
    <t>A. Dar ejemplos de productores, consumidores y descomponedores; construir e interpretar redes tróficas. *
B. Describir y ejemplificar la competencia entre poblaciones u organismos. *
C. Describir y ejemplificar la depredación. *
D. Describir y ejemplificar mutualismo y parasitismo. *</t>
  </si>
  <si>
    <t>A. Identificar factores que limitan una población (depredadores, alimento, agua). *
B. Predecir cómo cambios en el ecosistema afectan el equilibrio entre poblaciones. *</t>
  </si>
  <si>
    <t>A. Describir efectos de la contaminación del aire, agua y suelo en personas, plantas y animales. *
B. Explicar efectos positivos y negativos de la conducta humana en los ecosistemas. *</t>
  </si>
  <si>
    <t>T8_27-B6</t>
  </si>
  <si>
    <t>A. Describir causas, contagio y prevención de enfermedades virales, bacterianas y parasitarias.
B. Describir el papel del sistema inmunitario (anticuerpos, glóbulos blancos).
C. Reconocer qué hacen vacunas y antibióticos, y que los antibióticos pierden eficacia cuando las bacterias cambian.</t>
  </si>
  <si>
    <t>IEA, TIMSS 2027 Assessment Frameworks, cap. 2 (Science), 8.° grado, p. 37</t>
  </si>
  <si>
    <t>A. Explicar la importancia de dieta, ejercicio y estilo de vida para prevenir enfermedades.
B. Identificar fuentes y funciones de los nutrientes en una dieta sana.</t>
  </si>
  <si>
    <t>T8_27-B7</t>
  </si>
  <si>
    <t>A. Explicar rasgos de una investigación biológica sólida (pregunta, variables control y tratamiento) y el uso del microscopio.</t>
  </si>
  <si>
    <t>T8_27-C1</t>
  </si>
  <si>
    <t>IEA, TIMSS 2027 Assessment Frameworks, cap. 2 (Science), 8.° grado, p. 38</t>
  </si>
  <si>
    <t>A. Describir el átomo: electrones alrededor de un núcleo con protones y neutrones.
B. Describir la materia como partículas; las moléculas como combinaciones de átomos (H2O, O2, CO2).
C. Reconocer que el enlace químico es una atracción entre átomos en la que intervienen electrones.</t>
  </si>
  <si>
    <t>A. Diferenciar elementos, compuestos y mezclas; sustancias puras vs mezclas homogéneas y heterogéneas.</t>
  </si>
  <si>
    <t>A. Reconocer que la tabla periódica ordena los elementos por número de protones.
B. Predecir propiedades de un elemento por su periodo y grupo; los del mismo grupo comparten propiedades.</t>
  </si>
  <si>
    <t>T8_27-C2</t>
  </si>
  <si>
    <t>A. Distinguir propiedades físicas de propiedades químicas.
B. Clasificar sustancias por propiedades físicas (densidad, puntos de fusión/ebullición, solubilidad, conductividad).
C. Clasificar sustancias por propiedades químicas (reactividad, inflamabilidad) y relacionarlas con sus usos.</t>
  </si>
  <si>
    <t>A. Explicar métodos físicos de separación de mezclas.
B. Describir soluto y disolvente y relacionar la concentración con sus cantidades.
C. Explicar cómo temperatura, agitación y superficie de contacto afectan la rapidez de disolución.</t>
  </si>
  <si>
    <t>IEA, TIMSS 2027 Assessment Frameworks, cap. 2 (Science), 8.° grado, p. 39</t>
  </si>
  <si>
    <t>A. Reconocer ácidos y bases cotidianos por sus propiedades.
B. Reconocer el pH de ácidos (&lt;7) y bases (&gt;7), la neutralización y el cambio de color de indicadores.</t>
  </si>
  <si>
    <t>T8_27-C3</t>
  </si>
  <si>
    <t>A. Reconocer que en una reacción se forman sustancias nuevas y describir evidencias (gas, precipitado, color, calor, luz).</t>
  </si>
  <si>
    <t>A. Reconocer la conservación de la masa: los átomos se reordenan.
B. Distinguir reacciones que liberan energía de las que la absorben.
C. Reconocer que la rapidez de reacción depende de superficie, temperatura y concentración.</t>
  </si>
  <si>
    <t>T8_27-C4</t>
  </si>
  <si>
    <t>A. Explicar rasgos de una investigación química sólida (preguntas comprobables, cambiar una sola variable).
B. Reconocer el uso adecuado y seguro de materiales y equipo de laboratorio (balanza, beaker, tubo de ensayo).</t>
  </si>
  <si>
    <t>T8_27-P1</t>
  </si>
  <si>
    <t>IEA, TIMSS 2027 Assessment Frameworks, cap. 2 (Science), 8.° grado, p. 40</t>
  </si>
  <si>
    <t>A. Reconocer el movimiento constante de las partículas y usarlo para explicar propiedades de cada estado.
B. Relacionar la temperatura con movimiento y distancia de partículas, presión y volumen de gases y dilatación.</t>
  </si>
  <si>
    <t>IEA, TIMSS 2027 Assessment Frameworks, cap. 2 (Science), 8.° grado, p. 41</t>
  </si>
  <si>
    <t>A. Describir cambios de estado por ganancia o pérdida de energía térmica; temperatura y masa constantes.
B. Relacionar la rapidez del cambio de estado con factores físicos (superficie, temperatura ambiente).</t>
  </si>
  <si>
    <t>T8_27-P2</t>
  </si>
  <si>
    <t>A. Identificar formas de energía (cinética, potencial, luminosa, sonora, eléctrica, térmica, química).
B. Describir transformaciones de energía en procesos comunes; la energía total de un sistema cerrado se conserva.</t>
  </si>
  <si>
    <t>A. Relacionar el paso de energía térmica de lo caliente a lo frío con calentar y enfriar hasta el equilibrio.
B. Relacionar la rapidez de transferencia térmica con la conductividad del material.</t>
  </si>
  <si>
    <t>T8_27-P3</t>
  </si>
  <si>
    <t>A. Describir propiedades de la luz (rapidez, reflexión, refracción, absorción, dispersión) y el color de los objetos.
B. Resolver problemas con espejos planos y sombras; interpretar diagramas de rayos.</t>
  </si>
  <si>
    <t>A. Describir el sonido como onda (amplitud, frecuencia, medio, reflexión, rapidez) y relacionarlo con ecos y truenos.</t>
  </si>
  <si>
    <t>T8_27-P4</t>
  </si>
  <si>
    <t>A. Identificar conductores y aislantes y los componentes que cierran un circuito.
B. Reconocer circuitos completos e incompletos, en serie y en paralelo; interpretar sus diagramas.</t>
  </si>
  <si>
    <t>IEA, TIMSS 2027 Assessment Frameworks, cap. 2 (Science), 8.° grado, p. 42</t>
  </si>
  <si>
    <t>A. Relacionar propiedades de los imanes permanentes con usos cotidianos (brújula).
B. Describir propiedades propias de los electroimanes y relacionarlas con usos (timbre, reciclaje).</t>
  </si>
  <si>
    <t>T8_27-P5</t>
  </si>
  <si>
    <t>A. Reconocer la rapidez como cambio de posición en el tiempo y la aceleración como cambio de rapidez.</t>
  </si>
  <si>
    <t>A. Describir fuerzas mecánicas comunes (normal, fricción, elástica, empuje); el peso como fuerza de gravedad.
B. Reconocer que las fuerzas tienen magnitud y dirección; acción y reacción.</t>
  </si>
  <si>
    <t>A. Describir el funcionamiento de máquinas simples.
B. Explicar flotación por diferencias de densidad y fuerza de empuje.
C. Describir la presión como fuerza sobre área y sus efectos.
D. Predecir cambios cualitativos del movimiento según las fuerzas; efecto de la fricción y el aire.</t>
  </si>
  <si>
    <t>T8_27-P6</t>
  </si>
  <si>
    <t>A. Explicar rasgos de una investigación sólida en física (preguntas contestables, repetir mediciones).
B. Reconocer el uso adecuado y seguro de equipo (balanza, amperímetro, dinamómetro).</t>
  </si>
  <si>
    <t>T8_27-E1</t>
  </si>
  <si>
    <t>IEA, TIMSS 2027 Assessment Frameworks, cap. 2 (Science), 8.° grado, p. 43</t>
  </si>
  <si>
    <t>A. Describir corteza, manto y núcleos interno y externo y sus características.
B. Describir la distribución del agua por estado y dulce/salada; métodos para obtener agua dulce (desalinizar, potabilizar). *</t>
  </si>
  <si>
    <t>A. Describir el ciclo de las rocas.
B. Describir grandes cambios de la superficie por glaciación, placas tectónicas, sismos, volcanes o asteroides.
C. Explicar la formación de fósiles y combustibles fósiles; usar el registro fósil para inferir cambios ambientales. *</t>
  </si>
  <si>
    <t>T8_27-E2</t>
  </si>
  <si>
    <t>IEA, TIMSS 2027 Assessment Frameworks, cap. 2 (Science), 8.° grado, p. 44</t>
  </si>
  <si>
    <t>A. Reconocer la atmósfera como mezcla de gases y la abundancia relativa de N2, O2, vapor de agua y CO2. *
B. Relacionar cambios de temperatura y presión con la altitud.</t>
  </si>
  <si>
    <t>A. Describir los procesos del ciclo del agua, su papel en renovar el agua dulce y el Sol como fuente de energía. *
B. Reconocer que nubes y lluvia se forman por condensación al enfriarse el aire que asciende.</t>
  </si>
  <si>
    <t>A. Distinguir tiempo atmosférico de clima. *
B. Interpretar datos para identificar tipos de clima; relacionarlos con hemisferio, latitud, altitud y geografía.</t>
  </si>
  <si>
    <t>A. Identificar posibles causas del cambio climático global (gases de efecto invernadero, volcanes). *
B. Interpretar datos que evidencian el cambio climático local y global. *</t>
  </si>
  <si>
    <t>T8_27-E3</t>
  </si>
  <si>
    <t>A. Identificar fuentes de energía (solar, eólica, hídrica, geotérmica, biomasa, nuclear, fósil) y sus ventajas y desventajas. *</t>
  </si>
  <si>
    <t>A. Dar ejemplos de recursos renovables y no renovables. *
B. Explicar cómo agricultura, tala y minería afectan los recursos. *
C. Explicar la conservación de recursos y comparar métodos, incluido el manejo de residuos (reducir, reutilizar, reciclar). *</t>
  </si>
  <si>
    <t>T8_27-E4</t>
  </si>
  <si>
    <t>IEA, TIMSS 2027 Assessment Frameworks, cap. 2 (Science), 8.° grado, p. 45</t>
  </si>
  <si>
    <t>A. Describir efectos de la rotación (día, noche, sombras) y de la traslación con eje inclinado (estaciones).
B. Reconocer que la Luna causa las mareas; relacionar fases y eclipses con las posiciones de Tierra, Luna y Sol.</t>
  </si>
  <si>
    <t>A. Reconocer el Sol como estrella que da luz y calor; planetas y lunas se ven por luz reflejada.
B. Interpretar datos para comparar la Tierra, la Luna y otros planetas; la gravedad mantiene las órbitas.</t>
  </si>
  <si>
    <t>T8_27-E5</t>
  </si>
  <si>
    <t>A. Reconocer el uso de telescopio o brújula en una investigación.</t>
  </si>
  <si>
    <t>TA-M1</t>
  </si>
  <si>
    <t>IEA, TIMSS Advanced 2015 Frameworks, cap. 2 (Physics)</t>
  </si>
  <si>
    <t>TA-M2</t>
  </si>
  <si>
    <t>TA-M3</t>
  </si>
  <si>
    <t>TA-E1</t>
  </si>
  <si>
    <t>TA-E2</t>
  </si>
  <si>
    <t>TA-O1</t>
  </si>
  <si>
    <t>TA-O2</t>
  </si>
  <si>
    <t>Cómo se calcula: T4_27 = TIMSS 2027 4.° grado · T8_27 = TIMSS 2027 8.° grado · TA = TIMSS Advanced 2015 Física (no hay versión 2027). Objetivos parafraseados al español (no son traducción oficial). Meta = % de puntos de la prueba asignado al dominio en el marco.</t>
  </si>
  <si>
    <t>Datos - Catálogo PISA</t>
  </si>
  <si>
    <t>Catálogo de referencia PISA 2025 (Ciencias)</t>
  </si>
  <si>
    <t>PISA 2025
● 21 contenidos, 8 procedimentales, 20 epistémicos y 15 subcompetencias.
● Todo con la página del marco oficial (OCDE 2026). Metas en ámbar (editables).</t>
  </si>
  <si>
    <t>Grupo (sistema, competencia o bloque)</t>
  </si>
  <si>
    <t>Descripción (paráfrasis)</t>
  </si>
  <si>
    <t>Página</t>
  </si>
  <si>
    <t>Meta del grupo</t>
  </si>
  <si>
    <t>Rango del marco</t>
  </si>
  <si>
    <t>Tabla 2.3: 37 %</t>
  </si>
  <si>
    <t>Tabla 2.3: 26 %</t>
  </si>
  <si>
    <t>C1 · Explicar fenómenos científicamente</t>
  </si>
  <si>
    <t>Tabla 2.4: 36–44 %</t>
  </si>
  <si>
    <t>C2 · Construir y evaluar diseños de indagación e interpretar datos y evidencia críticamente</t>
  </si>
  <si>
    <t>Tabla 2.4: 24–36 %</t>
  </si>
  <si>
    <t>C3 · Investigar, evaluar y usar información científica para decidir y actuar</t>
  </si>
  <si>
    <t>AREA-1</t>
  </si>
  <si>
    <t>Áreas de aplicación</t>
  </si>
  <si>
    <t>AREA-2</t>
  </si>
  <si>
    <t>AREA-3</t>
  </si>
  <si>
    <t>AREA-4</t>
  </si>
  <si>
    <t>AREA-5</t>
  </si>
  <si>
    <t>DEM-BAJA</t>
  </si>
  <si>
    <t>Baja: Un paso: recordar un dato o concepto, ubicar un dato, clasificar por un criterio</t>
  </si>
  <si>
    <t>DEM-MEDIA</t>
  </si>
  <si>
    <t>Media: Aplicar conocimiento para describir o explicar, dos o más pasos, organizar o interpretar datos simples</t>
  </si>
  <si>
    <t>DEM-ALTA</t>
  </si>
  <si>
    <t>Alta: Analizar información compleja, sintetizar o evaluar evidencia, justificar, planificar una investigación, criticar argumentos</t>
  </si>
  <si>
    <t>Cómo se calcula: Fuente: OECD (2026), PISA 2025 Assessment and Analytical Framework, cap. 2 (data/referencia/externos/pisa/PISA2025_Marco_Evaluacion_2026.pdf). Paráfrasis en español, con página. Contenido = Box 2.6; procedimental = Box 2.7; epistémico = Box 2.8; subcompetencias = Boxes 2.3–2.5 (mismos códigos E/D/I que usa la malla); áreas de aplicación = Tabla 2.2; demanda cognitiva = Figura 2.2. Metas: Tablas 2.3 y 2.4 (p. 53).</t>
  </si>
  <si>
    <t>Datos - Objetivos de países</t>
  </si>
  <si>
    <t>Objetivos de otros países alineados con TIMSS 2027 (el pivote común)</t>
  </si>
  <si>
    <t>TIMSS 2027 como referencia común
● 506 objetivos: Uruguay 135, Colombia 272, Singapur 99.
● Sin objetivo TIMSS: 44. Confianza baja: 78.</t>
  </si>
  <si>
    <t>Documento</t>
  </si>
  <si>
    <t>Grado o tramo</t>
  </si>
  <si>
    <t>Grado (inicio)</t>
  </si>
  <si>
    <t>Eje / área</t>
  </si>
  <si>
    <t>Texto (paráfrasis o literal corto)</t>
  </si>
  <si>
    <t>UY-BIO-G3-01</t>
  </si>
  <si>
    <t>UY_EBI_Biologia_Tramo3_3-4grado.pdf</t>
  </si>
  <si>
    <t>3.°</t>
  </si>
  <si>
    <t>Funciones vitales en vegetales: absorción, circulación. Pigmentos. Profundización: seres vivos sin clorofila.</t>
  </si>
  <si>
    <t>Absorción y circulación en estructuras vegetales; pigmentos ligados a fabricar alimento.</t>
  </si>
  <si>
    <t>UY-BIO-G3-02</t>
  </si>
  <si>
    <t>Nutrientes: clasificación de nutrientes. Profundización: cadenas tróficas.</t>
  </si>
  <si>
    <t>Clasificación de nutrientes para dieta; profundiza cadenas tróficas.</t>
  </si>
  <si>
    <t>UY-BIO-G3-03</t>
  </si>
  <si>
    <t>Nutrición en animales: omnívoros, carnívoros y herbívoros.</t>
  </si>
  <si>
    <t>Cómo obtienen alimento los animales según su dieta.</t>
  </si>
  <si>
    <t>UY-BIO-G3-04</t>
  </si>
  <si>
    <t>Biomas del Uruguay. Profundización: biodiversidad.</t>
  </si>
  <si>
    <t>Biomas como ecosistemas con sus seres vivos; biodiversidad asociada.</t>
  </si>
  <si>
    <t>UY-BIO-G3-05</t>
  </si>
  <si>
    <t>Adaptaciones de las plantas a los diferentes ambientes y fauna asociada.</t>
  </si>
  <si>
    <t>Adaptaciones de plantas a su ambiente y fauna del ecosistema.</t>
  </si>
  <si>
    <t>UY-BIO-G3-06</t>
  </si>
  <si>
    <t>Contaminación sonora y visual. Profundización: la salud visual y auditiva.</t>
  </si>
  <si>
    <t>Efectos de la contaminación; cuidado de la salud visual y auditiva.</t>
  </si>
  <si>
    <t>UY-BIO-G3-07</t>
  </si>
  <si>
    <t>Reproducción asexuada en vegetales. Profundización: control de variables y diferentes formas de registro.</t>
  </si>
  <si>
    <t>Estrategias reproductivas vegetales; profundiza control de variables y registro.</t>
  </si>
  <si>
    <t>UY-BIO-G3-08</t>
  </si>
  <si>
    <t>Reproducción sexuada en vegetales. La flor: morfología. Polinización. Profundización: formación del fruto.</t>
  </si>
  <si>
    <t>Polinización y fruto en el ciclo de vida; función de la flor.</t>
  </si>
  <si>
    <t>UY-FQ-G3-01</t>
  </si>
  <si>
    <t>UY_EBI_FisicaQuimica_Tramo3_3-4grado.pdf</t>
  </si>
  <si>
    <t>Física-Química</t>
  </si>
  <si>
    <t>Propiedades extensivas de la materia (masa y volumen).</t>
  </si>
  <si>
    <t>Masa y volumen como propiedades físicas de la materia.</t>
  </si>
  <si>
    <t>UY-FQ-G3-02</t>
  </si>
  <si>
    <t>Propiedades de los materiales (dilatación térmica).</t>
  </si>
  <si>
    <t>Dilatación como propiedad de materiales al calentarse.</t>
  </si>
  <si>
    <t>UY-FQ-G3-03</t>
  </si>
  <si>
    <t>Mecanismo de transferencia de energía.</t>
  </si>
  <si>
    <t>Transferencia de energía térmica entre cuerpos.</t>
  </si>
  <si>
    <t>UY-FQ-G3-04</t>
  </si>
  <si>
    <t>Los cambios de estados de diferentes sustancias.</t>
  </si>
  <si>
    <t>Cambios de estado de sustancias al calentar o enfriar.</t>
  </si>
  <si>
    <t>UY-FQ-G3-05</t>
  </si>
  <si>
    <t>Las propiedades intensivas de diferentes sustancias: densidad, temperatura en los cambios de estado.</t>
  </si>
  <si>
    <t>Densidad y temperaturas de cambio de estado como propiedades.</t>
  </si>
  <si>
    <t>UY-FQ-G3-06</t>
  </si>
  <si>
    <t>Temperatura ambiente, temperatura corporal y sensación térmica.</t>
  </si>
  <si>
    <t>Temperatura y sensación térmica; relación con calentamiento y tiempo atmosférico.</t>
  </si>
  <si>
    <t>UY-FQ-G3-07</t>
  </si>
  <si>
    <t>Interacción de la luz con diferentes materiales.</t>
  </si>
  <si>
    <t>Comportamiento de la luz al interactuar con materiales.</t>
  </si>
  <si>
    <t>UY-FQ-G3-08</t>
  </si>
  <si>
    <t>Fuerza como interacción.</t>
  </si>
  <si>
    <t>Fuerzas como interacciones que cambian el movimiento.</t>
  </si>
  <si>
    <t>UY-FQ-G3-09</t>
  </si>
  <si>
    <t>Transversal</t>
  </si>
  <si>
    <t>Proceso de medición (abordaje transversal): cálculo por aproximación, mediciones, incertidumbres, instrumentos de medición, unidades del Sistema Internacional y sus conversiones.</t>
  </si>
  <si>
    <t>Medición con instrumentos y repetición; práctica genérica en Física-Química.</t>
  </si>
  <si>
    <t>UY-TE-G3-01</t>
  </si>
  <si>
    <t>UY_EBI_TierraEspacio_Tramo3_3-4grado.pdf</t>
  </si>
  <si>
    <t>Ciencias de la Tierra y el Espacio</t>
  </si>
  <si>
    <t>Rotación y traslación de la Tierra, estaciones, sombra y altura del Sol en el año; inclinación del eje terrestre; oscilación térmica diaria; orientación con el Sol, estrellas y puntos cardinales.</t>
  </si>
  <si>
    <t>Rotación, traslación y estaciones; oscilación térmica diaria.</t>
  </si>
  <si>
    <t>UY-TE-G3-02</t>
  </si>
  <si>
    <t>El agua en el planeta: la circulación (ciclo hidrológico). Aguas superficiales (ríos y cuencas de Uruguay).</t>
  </si>
  <si>
    <t>Distribución del agua superficial; ciclo hidrológico con cambios de estado.</t>
  </si>
  <si>
    <t>UY-TE-G3-03</t>
  </si>
  <si>
    <t>Las precipitaciones como agente erosivo. Suelo: concepto, estructura y componentes (relación entre agua y suelo, porosidad, permeabilidad). Suelos agrícolas: características.</t>
  </si>
  <si>
    <t>Agua modifica el paisaje por erosión; suelo como recurso agrícola.</t>
  </si>
  <si>
    <t>UY-BIO-G4-01</t>
  </si>
  <si>
    <t>4.°</t>
  </si>
  <si>
    <t>Digestión: órganos, sistema y aparato; características, ubicación y funciones; absorción intestinal. Profundización: herbívoros, carnívoros y omnívoros; prevención de enfermedades del aparato digestivo.</t>
  </si>
  <si>
    <t>Órganos digestivos y su función; prevención de enfermedades digestivas.</t>
  </si>
  <si>
    <t>UY-BIO-G4-02</t>
  </si>
  <si>
    <t>Microorganismos: enfermedades bucales agudas.</t>
  </si>
  <si>
    <t>Enfermedades bucales por microorganismos y su prevención.</t>
  </si>
  <si>
    <t>UY-BIO-G4-03</t>
  </si>
  <si>
    <t>Niveles de organización en vegetales y animales: tejidos y células.</t>
  </si>
  <si>
    <t>Células y tejidos exceden 4.°; más cercano a estructuras y funciones.</t>
  </si>
  <si>
    <t>UY-BIO-G4-04</t>
  </si>
  <si>
    <t>Alimentos orgánicos. Biodiversidad: agroecología, sustentabilidad. Profundización: soberanía alimentaria.</t>
  </si>
  <si>
    <t>Agroecología y sustentabilidad: impacto humano y uso responsable de recursos.</t>
  </si>
  <si>
    <t>UY-BIO-G4-05</t>
  </si>
  <si>
    <t>Reproducción asexuada en animales. Profundización: clonación.</t>
  </si>
  <si>
    <t>Reproducción asexuada como estrategia reproductiva animal.</t>
  </si>
  <si>
    <t>UY-BIO-G4-06</t>
  </si>
  <si>
    <t>Reproducción sexuada en animales: dimorfismo, hermafroditismo.</t>
  </si>
  <si>
    <t>Reproducción sexuada en ciclos de vida animales y sus estrategias.</t>
  </si>
  <si>
    <t>UY-BIO-G4-07</t>
  </si>
  <si>
    <t>Sistema nervioso: regulación y coordinación; función de recreación, descanso, sueño y vigilia.</t>
  </si>
  <si>
    <t>Coordinación y respuesta del cuerpo; descanso y sueño como hábito saludable.</t>
  </si>
  <si>
    <t>UY-FQ-G4-01</t>
  </si>
  <si>
    <t>El agua y sus propiedades. Tipos de agua.</t>
  </si>
  <si>
    <t>Propiedades y estados del agua; tipos de agua dulce y salada.</t>
  </si>
  <si>
    <t>UY-FQ-G4-02</t>
  </si>
  <si>
    <t>La variación de la densidad según el estado de agregación.</t>
  </si>
  <si>
    <t>Estados de agregación y su densidad como propiedad.</t>
  </si>
  <si>
    <t>UY-FQ-G4-03</t>
  </si>
  <si>
    <t>Calor, temperatura y sensación térmica.</t>
  </si>
  <si>
    <t>Calor y temperatura en calentamiento y enfriamiento.</t>
  </si>
  <si>
    <t>UY-FQ-G4-04</t>
  </si>
  <si>
    <t>La reflexión especular y difusa.</t>
  </si>
  <si>
    <t>Reflexión de la luz en la vida diaria.</t>
  </si>
  <si>
    <t>UY-FQ-G4-05</t>
  </si>
  <si>
    <t>Clasificación de espejos.</t>
  </si>
  <si>
    <t>Espejos y reflexión de la luz.</t>
  </si>
  <si>
    <t>UY-FQ-G4-06</t>
  </si>
  <si>
    <t>Flotación y fuerza de empuje; variación con la densidad (barcos en mar y ríos, hidroterapia, globo aerostático); peso real y peso aparente.</t>
  </si>
  <si>
    <t>Flotación como propiedad de materiales; empuje como fuerza.</t>
  </si>
  <si>
    <t>UY-FQ-G4-07</t>
  </si>
  <si>
    <t>La fuerza elástica, la deformación, construcción del dinamómetro.</t>
  </si>
  <si>
    <t>Fuerza elástica y su medición con dinamómetro construido.</t>
  </si>
  <si>
    <t>UY-FQ-G4-08</t>
  </si>
  <si>
    <t>Interacción gravitatoria.</t>
  </si>
  <si>
    <t>Gravedad como fuerza que atrae objetos hacia la Tierra.</t>
  </si>
  <si>
    <t>UY-FQ-G4-09</t>
  </si>
  <si>
    <t>Diferencia entre peso y masa.</t>
  </si>
  <si>
    <t>Peso como fuerza gravitatoria frente a masa como propiedad.</t>
  </si>
  <si>
    <t>UY-FQ-G4-10</t>
  </si>
  <si>
    <t>UY-TE-G4-01</t>
  </si>
  <si>
    <t>Origen y representación del Sistema Solar, en especial la Tierra; la Luna como satélite; el cielo nocturno; estrellas (brillo y color); constelaciones: Orión, Escorpión, Cruz del Sur.</t>
  </si>
  <si>
    <t>Sistema solar, la Luna y objetos del cielo.</t>
  </si>
  <si>
    <t>UY-TE-G4-02</t>
  </si>
  <si>
    <t>El ciclo hidrológico: las aguas subterráneas (acuíferos: circulación, infiltración y napas). Los acuíferos en Uruguay y América.</t>
  </si>
  <si>
    <t>Dónde hay agua dulce subterránea; acuíferos como recurso.</t>
  </si>
  <si>
    <t>UY-TE-G4-03</t>
  </si>
  <si>
    <t>Las precipitaciones como agente erosivo. Suelo: concepto, estructura y componentes (agua y suelo, porosidad, permeabilidad). Suelos agrícolas: características. El agua como agente erosivo.</t>
  </si>
  <si>
    <t>Erosión hídrica del paisaje; suelo como recurso.</t>
  </si>
  <si>
    <t>UY-BIO-G5-01</t>
  </si>
  <si>
    <t>UY_EBI_Biologia_Tramo4_5-6grado.pdf</t>
  </si>
  <si>
    <t>5.°</t>
  </si>
  <si>
    <t>Respiración: en animales, órganos y aparatos respiratorios y su relación con el ambiente; en vegetales, los estomas en el intercambio gaseoso. Profundización: dieta y salud.</t>
  </si>
  <si>
    <t>Órganos respiratorios en animales; intercambio gaseoso por estomas en plantas.</t>
  </si>
  <si>
    <t>UY-BIO-G5-02</t>
  </si>
  <si>
    <t>Los nutrientes: el transporte a través de la sangre hasta las células.</t>
  </si>
  <si>
    <t>Papel de la circulación en llevar nutrientes a las células.</t>
  </si>
  <si>
    <t>UY-BIO-G5-03</t>
  </si>
  <si>
    <t>Áreas protegidas. Profundización: especies en peligro.</t>
  </si>
  <si>
    <t>Áreas protegidas frente al impacto humano; conservación de especies.</t>
  </si>
  <si>
    <t>UY-BIO-G5-04</t>
  </si>
  <si>
    <t>Forestación.</t>
  </si>
  <si>
    <t>Forestación como gestión de recursos y efecto humano en ecosistemas.</t>
  </si>
  <si>
    <t>UY-BIO-G5-05</t>
  </si>
  <si>
    <t>Alteraciones de la atmósfera: causas y consecuencias.</t>
  </si>
  <si>
    <t>Causas y consecuencias de alteraciones atmosféricas por contaminación.</t>
  </si>
  <si>
    <t>UY-BIO-G5-06</t>
  </si>
  <si>
    <t>Células reproductoras humanas.</t>
  </si>
  <si>
    <t>Gametos humanos como base de la fecundación y la herencia.</t>
  </si>
  <si>
    <t>UY-BIO-G5-07</t>
  </si>
  <si>
    <t>Reproducción celular.</t>
  </si>
  <si>
    <t>División celular como función de las células.</t>
  </si>
  <si>
    <t>UY-BIO-G5-08</t>
  </si>
  <si>
    <t>Aparato circulatorio: órganos. Profundización: tipos de circulación.</t>
  </si>
  <si>
    <t>Órganos del aparato circulatorio y su función.</t>
  </si>
  <si>
    <t>UY-BIO-G5-09</t>
  </si>
  <si>
    <t>Sistema nervioso: el encéfalo. Profundización: comparación del órgano en diferentes animales. Disección.</t>
  </si>
  <si>
    <t>Encéfalo comparado entre vertebrados; disección como práctica.</t>
  </si>
  <si>
    <t>UY-FQ-G5-01</t>
  </si>
  <si>
    <t>UY_EBI_FisicaQuimica_Tramo4_5-6grado.pdf</t>
  </si>
  <si>
    <t>La electrólisis del agua (descomposición). Concepto de sustancia compuesta y simple. Cambios químicos.</t>
  </si>
  <si>
    <t>Electrólisis como cambio químico; sustancias simples y compuestas.</t>
  </si>
  <si>
    <t>UY-FQ-G5-02</t>
  </si>
  <si>
    <t>Los elementos químicos. Propiedades de los metales y los no metales.</t>
  </si>
  <si>
    <t>Elementos y propiedades de metales y no metales.</t>
  </si>
  <si>
    <t>UY-FQ-G5-03</t>
  </si>
  <si>
    <t>Otras propiedades del agua: la capilaridad, la ósmosis, el agua como solvente. Efecto de la temperatura en la solubilidad.</t>
  </si>
  <si>
    <t>Agua como solvente y efecto de temperatura en solubilidad.</t>
  </si>
  <si>
    <t>UY-FQ-G5-04</t>
  </si>
  <si>
    <t>La destilación como proceso físico y sus aplicaciones en el ámbito industrial.</t>
  </si>
  <si>
    <t>Destilación como método físico de separación de mezclas.</t>
  </si>
  <si>
    <t>UY-FQ-G5-05</t>
  </si>
  <si>
    <t>La refracción de la luz. Tipos de lentes.</t>
  </si>
  <si>
    <t>Refracción como propiedad de la luz; lentes.</t>
  </si>
  <si>
    <t>UY-FQ-G5-06</t>
  </si>
  <si>
    <t>La transferencia de energía por calor o trabajo mecánico.</t>
  </si>
  <si>
    <t>Transferencia de energía por calor y trabajo.</t>
  </si>
  <si>
    <t>UY-FQ-G5-07</t>
  </si>
  <si>
    <t>El equilibrio térmico.</t>
  </si>
  <si>
    <t>Transferencia térmica hasta el equilibrio.</t>
  </si>
  <si>
    <t>UY-FQ-G5-08</t>
  </si>
  <si>
    <t>Movimiento. Definición del sistema de referencia.</t>
  </si>
  <si>
    <t>Movimiento como cambio de posición respecto a una referencia.</t>
  </si>
  <si>
    <t>UY-FQ-G5-09</t>
  </si>
  <si>
    <t>La estática. Cargas positivas y negativas.</t>
  </si>
  <si>
    <t>Cargas eléctricas e interacción; no hay objetivo específico de electrostática.</t>
  </si>
  <si>
    <t>UY-FQ-G5-10</t>
  </si>
  <si>
    <t>Circuitos eléctricos y las transformaciones de energía.</t>
  </si>
  <si>
    <t>Circuitos eléctricos y transformaciones de energía.</t>
  </si>
  <si>
    <t>UY-FQ-G5-11</t>
  </si>
  <si>
    <t>Relación entre magnetismo y electricidad.</t>
  </si>
  <si>
    <t>Relación electricidad-magnetismo en electroimanes.</t>
  </si>
  <si>
    <t>UY-FQ-G5-12</t>
  </si>
  <si>
    <t>La ley de gravitación universal.</t>
  </si>
  <si>
    <t>Gravedad mantiene órbitas; peso como fuerza gravitatoria.</t>
  </si>
  <si>
    <t>UY-FQ-G5-13</t>
  </si>
  <si>
    <t>Mediciones repetidas e instrumentos; práctica genérica en Física-Química.</t>
  </si>
  <si>
    <t>UY-TE-G5-01</t>
  </si>
  <si>
    <t>UY_EBI_TierraEspacio_Tramo4_5-6grado.pdf</t>
  </si>
  <si>
    <t>Astros del Sistema Solar (Sol, planetas, cuerpos menores); modelos geocéntrico y heliocéntrico; sistema Sol-Tierra-Luna; mareas; fases lunares; eclipses solar y lunar; estaciones.</t>
  </si>
  <si>
    <t>Mareas, fases, eclipses y estaciones; astros del sistema solar.</t>
  </si>
  <si>
    <t>UY-TE-G5-02</t>
  </si>
  <si>
    <t>Las aguas superficiales: océanos y glaciares. La distribución y circulación (corrientes marinas).</t>
  </si>
  <si>
    <t>Distribución del agua en océanos y glaciares.</t>
  </si>
  <si>
    <t>UY-TE-G5-03</t>
  </si>
  <si>
    <t>Dinámica de la litosfera: estructura interna de la Tierra, capas, características y formas de conocerlas. Los continentes y sus movimientos.</t>
  </si>
  <si>
    <t>Capas internas de la Tierra; movimiento de continentes.</t>
  </si>
  <si>
    <t>UY-BIO-G6-01</t>
  </si>
  <si>
    <t>6.°</t>
  </si>
  <si>
    <t>Nutrición autótrofa en vegetales: fotosíntesis. Profundización: autótrofa en otros seres vivos.</t>
  </si>
  <si>
    <t>Proceso básico de la fotosíntesis.</t>
  </si>
  <si>
    <t>UY-BIO-G6-02</t>
  </si>
  <si>
    <t>Nutrición heterótrofa: cadenas, redes y pirámides tróficas.</t>
  </si>
  <si>
    <t>Redes tróficas y pirámides de energía.</t>
  </si>
  <si>
    <t>UY-BIO-G6-03</t>
  </si>
  <si>
    <t>Formas de organización ecosistémica: especie, población y comunidad; asociaciones interespecíficas; relaciones intraespecíficas. Profundización: manipulación genética en plantas y animales; transgénicos.</t>
  </si>
  <si>
    <t>Relaciones inter e intraespecíficas en poblaciones y comunidades.</t>
  </si>
  <si>
    <t>UY-BIO-G6-04</t>
  </si>
  <si>
    <t>Seres vivos unicelulares representados en los reinos: fungi, monera y protista.</t>
  </si>
  <si>
    <t>Rasgos de bacterias, hongos y protistas como grupos taxonómicos.</t>
  </si>
  <si>
    <t>UY-BIO-G6-05</t>
  </si>
  <si>
    <t>Estructura y funciones de la célula.</t>
  </si>
  <si>
    <t>UY-BIO-G6-06</t>
  </si>
  <si>
    <t>Fecundación y desarrollo del embrión en mamíferos. Profundización: desarrollo embrionario en aves y anfibios.</t>
  </si>
  <si>
    <t>Fecundación y desarrollo embrionario en vertebrados.</t>
  </si>
  <si>
    <t>UY-BIO-G6-07</t>
  </si>
  <si>
    <t>Gestación del embrión humano. Profundización: el parto.</t>
  </si>
  <si>
    <t>Gestación humana; cercano a reproducción sexual, sin objetivo específico.</t>
  </si>
  <si>
    <t>UY-BIO-G6-08</t>
  </si>
  <si>
    <t>Aparato genital humano. Autocuidado y prevención de enfermedades.</t>
  </si>
  <si>
    <t>Órganos genitales humanos; prevención de enfermedades.</t>
  </si>
  <si>
    <t>UY-FQ-G6-01</t>
  </si>
  <si>
    <t>Las soluciones gaseosas. El aire y su composición, causas de la variación de su composición.</t>
  </si>
  <si>
    <t>Composición del aire como mezcla de gases.</t>
  </si>
  <si>
    <t>UY-FQ-G6-02</t>
  </si>
  <si>
    <t>El modelo corpuscular de la materia. Moléculas y átomos.</t>
  </si>
  <si>
    <t>Modelo de partículas; átomos y moléculas.</t>
  </si>
  <si>
    <t>UY-FQ-G6-03</t>
  </si>
  <si>
    <t>El espectro electromagnético.</t>
  </si>
  <si>
    <t>Espectro electromagnético; vínculo parcial con propiedades de la luz.</t>
  </si>
  <si>
    <t>UY-FQ-G6-04</t>
  </si>
  <si>
    <t>La composición y la descomposición de la luz.</t>
  </si>
  <si>
    <t>Dispersión de la luz y color.</t>
  </si>
  <si>
    <t>UY-FQ-G6-05</t>
  </si>
  <si>
    <t>Las ondas sonoras, la velocidad de propagación del sonido en distintos medios. Nivel de intensidad del sonido.</t>
  </si>
  <si>
    <t>Sonido como onda, rapidez en medios e intensidad.</t>
  </si>
  <si>
    <t>UY-FQ-G6-06</t>
  </si>
  <si>
    <t>La energía y su conservación, en diferentes sistemas y contextos.</t>
  </si>
  <si>
    <t>Conservación de la energía en sistemas.</t>
  </si>
  <si>
    <t>UY-FQ-G6-07</t>
  </si>
  <si>
    <t>Eficiencia energética.</t>
  </si>
  <si>
    <t>Transformaciones de energía y uso eficiente.</t>
  </si>
  <si>
    <t>UY-FQ-G6-08</t>
  </si>
  <si>
    <t>UY-TE-G6-01</t>
  </si>
  <si>
    <t>El Universo y teorías de su origen y evolución; galaxias (Vía Láctea y otras); avances para conocerlo; satélites artificiales y carrera espacial; dinámica de la litosfera y tectónica de placas.</t>
  </si>
  <si>
    <t>Tectónica de placas; universo y galaxias exceden el marco.</t>
  </si>
  <si>
    <t>UY-TE-G6-02</t>
  </si>
  <si>
    <t>Los bordes divergentes y convergentes. Sismicidad y vulcanismo. Las fallas. El tiempo geológico. Las eras geológicas. Los fósiles.</t>
  </si>
  <si>
    <t>Placas, sismos, volcanes y registro fósil.</t>
  </si>
  <si>
    <t>UY-BIO-G7-01</t>
  </si>
  <si>
    <t>UY_EBI_Biologia_Tramo5_7-8grado.pdf</t>
  </si>
  <si>
    <t>7.°</t>
  </si>
  <si>
    <t>Sistemas ecológicos: componentes bióticos y abióticos, sistemas abiertos/cerrados, clasificación, homeostasis y alteración humana, especies foráneas, niveles de organización, asociaciones biológicas, relaciones tróficas, flujo de materia y energía.</t>
  </si>
  <si>
    <t>Relaciones y asociaciones ecológicas; flujo de materia y energía.</t>
  </si>
  <si>
    <t>UY-BIO-G7-02</t>
  </si>
  <si>
    <t>El ser humano y su rol en el ambiente: impacto tecnológico, conciencia ambiental, tipos de contaminación, contaminación del agua, residuos sólidos, tres R, capa de ozono, lluvia ácida, efecto invernadero.</t>
  </si>
  <si>
    <t>Contaminación y efecto humano; residuos y tres R.</t>
  </si>
  <si>
    <t>UY-BIO-G7-03</t>
  </si>
  <si>
    <t>Clasificación y niveles de organización: instrumentos de observación (microscopio, lupas), criterios de clasificación, reinos, niveles de organización, célula eucariota y procariota, animal y vegetal; organelos celulares.</t>
  </si>
  <si>
    <t>Células procariota, eucariota, animal y vegetal; reinos y clasificación.</t>
  </si>
  <si>
    <t>UY-BIO-G7-04</t>
  </si>
  <si>
    <t>Nutrición autótrofa y heterótrofa en una especie animal y vegetal; órganos y sistemas de la nutrición. Profundización: adaptaciones morfológicas, respiración, circulación, alimentación, transformaciones digestivas.</t>
  </si>
  <si>
    <t>Órganos y sistemas de nutrición; procesos autótrofos y heterótrofos.</t>
  </si>
  <si>
    <t>UY-BIO-G7-05</t>
  </si>
  <si>
    <t>Reproducción sexual y asexual en vegetales y animales; células reproductivas; caracteres sexuales primarios y secundarios. Profundización: desarrollo embrionario, fecundación, bacterias y hongos, pubertad y adolescencia.</t>
  </si>
  <si>
    <t>Reproducción sexual y células reproductivas; caracteres sexuales del organismo.</t>
  </si>
  <si>
    <t>UY-BIO-G8-01</t>
  </si>
  <si>
    <t>8.°</t>
  </si>
  <si>
    <t>El ser humano como ser biopsicosocial. Profundización: el Homo sapiens: taxonomía.</t>
  </si>
  <si>
    <t>Enfoque biopsicosocial; taxonomía humana solo como profundización.</t>
  </si>
  <si>
    <t>UY-BIO-G8-02</t>
  </si>
  <si>
    <t>Organización general del cuerpo humano: morfología, planos de sección, regiones y cavidades; aparatos y sistemas y sus funciones; la piel: estructura, funciones y anexos.</t>
  </si>
  <si>
    <t>Organización del cuerpo humano en aparatos y sistemas con funciones.</t>
  </si>
  <si>
    <t>UY-BIO-G8-03</t>
  </si>
  <si>
    <t>Receptores cutáneos. Piel y salud: cuidado de la piel y lesiones. Tatuajes y cultura. Profundización: los órganos de los sentidos.</t>
  </si>
  <si>
    <t>Piel y órganos de los sentidos; cuidado y salud de la piel.</t>
  </si>
  <si>
    <t>UY-BIO-G8-04</t>
  </si>
  <si>
    <t>Sistema nervioso: SNC, SNP, SNS y SNA; órganos y funciones; reflejo y arco reflejo; la neurona. Profundización: sueño y vigilia, impulso nervioso, drogas y sinapsis, eje hipotálamo-hipófisis.</t>
  </si>
  <si>
    <t>Sistema nervioso, órganos y funciones; reflejos como respuesta.</t>
  </si>
  <si>
    <t>UY-BIO-G8-05</t>
  </si>
  <si>
    <t>Sistema endócrino: órganos, glándulas y hormonas; relación con el sistema nervioso; eje hipotálamo-hipofisario; casos (tiroides, enanismo, gigantismo, diabetes); salud del sistema neuroendocrino.</t>
  </si>
  <si>
    <t>Regulación hormonal mantiene condiciones estables; glándulas endocrinas.</t>
  </si>
  <si>
    <t>UY-BIO-G8-06</t>
  </si>
  <si>
    <t>Los alimentos como fuente de nutrientes; clasificación de alimentos; alimentación saludable. Profundización: sobrepeso y obesidad, bulimia y anorexia, enfermedad celíaca, intolerancia a la lactosa.</t>
  </si>
  <si>
    <t>Fuentes y funciones de nutrientes en una dieta sana.</t>
  </si>
  <si>
    <t>UY-BIO-G8-07</t>
  </si>
  <si>
    <t>Sistema cardiovascular: circulación, corazón, vasos y sangre; factores de riesgo cardiovascular. Profundización: primeros auxilios, sistema linfático, grupos sanguíneos AB0, pulso y frecuencia cardíaca.</t>
  </si>
  <si>
    <t>Sistema cardiovascular y su función; factores de riesgo.</t>
  </si>
  <si>
    <t>UY-BIO-G8-08</t>
  </si>
  <si>
    <t>Sistema digestivo: tubo digestivo y glándulas anexas. Digestión. Salud bucal.</t>
  </si>
  <si>
    <t>Sistema digestivo y digestión; salud bucal.</t>
  </si>
  <si>
    <t>UY-BIO-G8-09</t>
  </si>
  <si>
    <t>Sistema respiratorio: vías respiratorias, órganos de intercambio.</t>
  </si>
  <si>
    <t>Órganos del sistema respiratorio e intercambio gaseoso.</t>
  </si>
  <si>
    <t>UY-BIO-G8-10</t>
  </si>
  <si>
    <t>Sistema excretor: órganos, funciones, composición de la orina; salud e higiene urinaria y genital, hidratación. Profundización: trasplante de riñón, Banco Nacional de órganos y tejidos.</t>
  </si>
  <si>
    <t>Sistema excretor y su función; higiene e hidratación.</t>
  </si>
  <si>
    <t>UY-BIO-G8-11</t>
  </si>
  <si>
    <t>Sistema locomotor. Profundización: deporte y recreación.</t>
  </si>
  <si>
    <t>Sistema locomotor; ejercicio y salud.</t>
  </si>
  <si>
    <t>UY-BIO-G8-12</t>
  </si>
  <si>
    <t>Sistema óseo: esqueleto axial y apendicular, estructura, clasificación y funciones del hueso. Profundización: higiene postural; lesiones óseas, musculares y articulares.</t>
  </si>
  <si>
    <t>Sistema óseo, estructura y funciones del hueso.</t>
  </si>
  <si>
    <t>UY-BIO-G8-13</t>
  </si>
  <si>
    <t>Sistema muscular. Estructura y función.</t>
  </si>
  <si>
    <t>Estructura y función del sistema muscular.</t>
  </si>
  <si>
    <t>UY-BIO-G8-14</t>
  </si>
  <si>
    <t>Sistema articular. Definición y clasificación. Ejemplos. Componentes de la articulación.</t>
  </si>
  <si>
    <t>Articulaciones como parte del sistema locomotor.</t>
  </si>
  <si>
    <t>UY-FQ-G8-01</t>
  </si>
  <si>
    <t>UY_EBI_FisicoQuimicas_Tramo5_8grado.pdf</t>
  </si>
  <si>
    <t>Sistemas materiales: propiedades y relaciones con el entorno. Clasificación de sistemas. Propiedades físicas y químicas de los materiales. Cambios físico-químicos.</t>
  </si>
  <si>
    <t>Propiedades físicas y químicas; clasificación de sistemas materiales.</t>
  </si>
  <si>
    <t>UY-FQ-G8-02</t>
  </si>
  <si>
    <t>Modelos de las ciencias físico-químicas y metodología científica: visión científica del mundo, formulación de hipótesis, variables dependientes e independientes, experimentación.</t>
  </si>
  <si>
    <t>Hipótesis y variables en experimentación físico-química.</t>
  </si>
  <si>
    <t>UY-FQ-G8-03</t>
  </si>
  <si>
    <t>Transformación de sistemas materiales y energía: trabajo mecánico, calor, temperatura, procesos físicos y químicos de los materiales, transformaciones de energía (química, eléctrica, térmica y otras).</t>
  </si>
  <si>
    <t>Transformaciones de energía; calor, trabajo y temperatura.</t>
  </si>
  <si>
    <t>UY-FQ-G8-04</t>
  </si>
  <si>
    <t>Normas de trabajo seguro. Técnicas de lucha preventiva. Proceso de medición: magnitudes físicas, instrumentos y unidades de medida; expresión de mediciones con su incertidumbre.</t>
  </si>
  <si>
    <t>Uso seguro de equipo y medición con incertidumbre.</t>
  </si>
  <si>
    <t>UY-GEO-G8-01</t>
  </si>
  <si>
    <t>UY_EBI_GeografiaAmbiental_Tramo5_8grado.pdf</t>
  </si>
  <si>
    <t>Geografía ambiental</t>
  </si>
  <si>
    <t>Territorios rurales (América-Uruguay): características y cartografía/SIG, usos del suelo rural, bienes naturales, agroindustria y agricultura familiar, agroecología y sustentabilidad, seguridad alimentaria, patrimonio natural, SNAP.</t>
  </si>
  <si>
    <t>Territorios rurales y uso de recursos; predomina geografía humana.</t>
  </si>
  <si>
    <t>UY-GEO-G8-02</t>
  </si>
  <si>
    <t>Territorios urbanos (América-Uruguay): características y SIG, megaciudades y metrópolis, usos del suelo urbano, ordenamiento territorial, segregación, ciudades globales, inteligentes y sustentables, patrimonio cultural, desafíos urbanos.</t>
  </si>
  <si>
    <t>Ecosistemas urbanos; predomina geografía humana y ordenamiento.</t>
  </si>
  <si>
    <t>UY-GEO-G8-03</t>
  </si>
  <si>
    <t>Territorios litorales (América-Uruguay): ambientes costeros y su cartografía/SIG, usos del litoral, turismo, dinámica portuaria, pesca artesanal e industrial, zonas francas.</t>
  </si>
  <si>
    <t>Geografía humana del litoral sin contenido del catálogo.</t>
  </si>
  <si>
    <t>UY-BIO-G9-01</t>
  </si>
  <si>
    <t>UY_EBI_Biologia_Tramo6_9grado.pdf</t>
  </si>
  <si>
    <t>9.°</t>
  </si>
  <si>
    <t>Dimensiones del ser humano; concepto de salud (OMS) y su evolución; niveles de atención; estilos de vida; indicadores y factores de salud; salud mental (depresión, estrés, resiliencia).</t>
  </si>
  <si>
    <t>Concepto de salud y estilos de vida saludables.</t>
  </si>
  <si>
    <t>UY-BIO-G9-02</t>
  </si>
  <si>
    <t>El ambiente como posible agresor: noxas.</t>
  </si>
  <si>
    <t>Agentes ambientales causantes de enfermedad.</t>
  </si>
  <si>
    <t>UY-BIO-G9-03</t>
  </si>
  <si>
    <t>Enfermedades y noxas.</t>
  </si>
  <si>
    <t>Causas de enfermedades por agentes nocivos.</t>
  </si>
  <si>
    <t>UY-BIO-G9-04</t>
  </si>
  <si>
    <t>Un sistema defensivo: el sistema inmunitario.</t>
  </si>
  <si>
    <t>Papel del sistema inmunitario.</t>
  </si>
  <si>
    <t>UY-BIO-G9-05</t>
  </si>
  <si>
    <t>Defensas inespecíficas: barreras primarias y secundarias.</t>
  </si>
  <si>
    <t>Defensas inespecíficas del sistema inmunitario.</t>
  </si>
  <si>
    <t>UY-BIO-G9-06</t>
  </si>
  <si>
    <t>Defensas específicas: inmunidad activa y pasiva. Vacunas y sueros.</t>
  </si>
  <si>
    <t>Inmunidad activa y pasiva; acción de vacunas y sueros.</t>
  </si>
  <si>
    <t>UY-BIO-G9-07</t>
  </si>
  <si>
    <t>El trasplante de órganos.</t>
  </si>
  <si>
    <t>Trasplante ligado a órganos y respuesta inmunitaria; enfoque médico.</t>
  </si>
  <si>
    <t>UY-BIO-G9-08</t>
  </si>
  <si>
    <t>Problemas ambientales: calentamiento global y cambio climático. Desarrollo sostenible. Incidencia de los residuos tecnológicos en el ambiente. Fuentes de energía alternativa.</t>
  </si>
  <si>
    <t>Causas del cambio climático; fuentes de energía alternativas.</t>
  </si>
  <si>
    <t>UY-BIO-G9-09</t>
  </si>
  <si>
    <t>Características de la adolescencia; crecimiento y desarrollo; mitos y tabúes; salud mental (violencia, depresión, estrés, bullying); vínculos saludables en noviazgo, familia y amigos.</t>
  </si>
  <si>
    <t>Adolescencia y salud mental desde lo psicosocial, sin contenido del marco.</t>
  </si>
  <si>
    <t>UY-BIO-G9-10</t>
  </si>
  <si>
    <t>Dieta saludable. Trastornos alimenticios (anorexia y bulimia). Los lípidos y las enfermedades coronarias. Importancia de la actividad física.</t>
  </si>
  <si>
    <t>Dieta, ejercicio y estilo de vida para prevenir enfermedades.</t>
  </si>
  <si>
    <t>UY-BIO-G9-11</t>
  </si>
  <si>
    <t>Alimentos transgénicos.</t>
  </si>
  <si>
    <t>Transgénicos relacionados con material genético; sin objetivo específico.</t>
  </si>
  <si>
    <t>UY-BIO-G9-12</t>
  </si>
  <si>
    <t>Concepto de droga. Clasificación y efectos. Tipos de consumo. Adicciones: tabaquismo, alcoholismo. Uso indebido de los fármacos.</t>
  </si>
  <si>
    <t>Drogas y adicciones como estilo de vida y salud.</t>
  </si>
  <si>
    <t>UY-BIO-G9-13</t>
  </si>
  <si>
    <t>Sexualidad: dimensiones biológica, psicológica y social; sexuación, intersexualidad, tipos de sexo; sexo y género, roles, violencia de género, estereotipos; identidad y orientación sexual.</t>
  </si>
  <si>
    <t>Sexualidad, género e identidad: contenido psicosocial fuera del marco.</t>
  </si>
  <si>
    <t>UY-BIO-G9-14</t>
  </si>
  <si>
    <t>Conductas sexuales responsables: métodos anticonceptivos. Las ITS: VIH-SIDA, HPV, sífilis, gonorrea. Embarazo adolescente. Derechos sexuales y reproductivos.</t>
  </si>
  <si>
    <t>Transmisión y prevención de infecciones de transmisión sexual.</t>
  </si>
  <si>
    <t>UY-BIO-G9-15</t>
  </si>
  <si>
    <t>Sistemas genitales femenino y masculino: estructura, ubicación y función; gónadas y gametos. Profundización: histología de ovario, útero y tubo seminífero; gametogénesis.</t>
  </si>
  <si>
    <t>Sistemas genitales y gametos para la reproducción sexual.</t>
  </si>
  <si>
    <t>UY-BIO-G9-16</t>
  </si>
  <si>
    <t>Fecundación: concepto y etapas. Profundización: reproducción asistida: inseminación artificial y fecundación in vitro.</t>
  </si>
  <si>
    <t>Fecundación como base de la reproducción sexual.</t>
  </si>
  <si>
    <t>UY-BIO-G9-17</t>
  </si>
  <si>
    <t>Ciclo sexual femenino y su regulación. Embarazo: etapas y controles médicos. Parto y lactancia. Profundización: cáncer de mama, prevención y controles.</t>
  </si>
  <si>
    <t>Regulación hormonal del ciclo; embarazo dentro de reproducción sexual.</t>
  </si>
  <si>
    <t>UY-FIS-G9-01</t>
  </si>
  <si>
    <t>UY_EBI_Fisica_Tramo6_9grado.pdf</t>
  </si>
  <si>
    <t>Modelos de la física: leyes de la naturaleza. Modelos en física: importancia del modelo y sus limitaciones. Importancia de la experimentación.</t>
  </si>
  <si>
    <t>Naturaleza de modelos y experimentación en física; práctica general.</t>
  </si>
  <si>
    <t>UY-FIS-G9-02</t>
  </si>
  <si>
    <t>Conservación de la energía: energía mecánica, fuerzas conservativas y no conservativas, energía potencial eléctrica; aplicación: transformaciones energéticas en circuitos eléctricos.</t>
  </si>
  <si>
    <t>Conservación de energía; transformaciones en circuitos eléctricos.</t>
  </si>
  <si>
    <t>UY-FIS-G9-03</t>
  </si>
  <si>
    <t>Leyes de la mecánica clásica: concepciones históricas del movimiento, sistemas de referencia inerciales, leyes de Newton, gravitación universal, interpretación de movimientos y magnitudes.</t>
  </si>
  <si>
    <t>Leyes de Newton y efecto de fuerzas en el movimiento.</t>
  </si>
  <si>
    <t>UY-FIS-G9-04</t>
  </si>
  <si>
    <t>Proceso de medición: mediciones, instrumentos, incertidumbres, cifras significativas y definición operacional de las magnitudes físicas implicadas en leyes y conceptos.</t>
  </si>
  <si>
    <t>Medición con instrumentos e incertidumbre en física.</t>
  </si>
  <si>
    <t>UY-QUI-G9-01</t>
  </si>
  <si>
    <t>UY_EBI_Quimica_Tramo6_9grado.pdf</t>
  </si>
  <si>
    <t>Estudio macroscópico de sistemas materiales: sistemas homogéneos y heterogéneos, fases, métodos de separación y fraccionamiento, soluciones acuosas, sustancia pura, propiedades intensivas/extensivas, sustancias simples y compuestas.</t>
  </si>
  <si>
    <t>Sustancias puras, mezclas homogéneas/heterogéneas y separación.</t>
  </si>
  <si>
    <t>UY-QUI-G9-02</t>
  </si>
  <si>
    <t>Modelo corpuscular: modelo discontinuo, estructura atómica, número atómico y másico, distribución electrónica, elemento químico, tabla periódica y su evolución, propiedades periódicas.</t>
  </si>
  <si>
    <t>Estructura atómica y tabla periódica.</t>
  </si>
  <si>
    <t>UY-QUI-G9-03</t>
  </si>
  <si>
    <t>Interacciones entre especies químicas: enlace metálico, iónico y covalente, electronegatividad, polaridad y momento dipolar, propiedades según el enlace; el agua: estructura, propiedades, solvente.</t>
  </si>
  <si>
    <t>Enlace químico y propiedades según el enlace.</t>
  </si>
  <si>
    <t>UY-QUI-G9-04</t>
  </si>
  <si>
    <t>Cambios físicos y químicos: conservación de la masa, solubilidad y temperatura, soluciones y concentración, ecuaciones químicas, formulación y nomenclatura de óxidos, ácidos y bases, pH.</t>
  </si>
  <si>
    <t>Conservación de la masa; ácidos, bases y pH.</t>
  </si>
  <si>
    <t>UY-QUI-G9-05</t>
  </si>
  <si>
    <t>Medidas de seguridad y trabajo seguro en laboratorio (productos químicos, rotulado SGA, toxicidad, inflamabilidad) y proceso de medición (instrumentos, incertidumbres, cifras significativas).</t>
  </si>
  <si>
    <t>Trabajo seguro en laboratorio y medición en química.</t>
  </si>
  <si>
    <t>CO-DBA-G1-01</t>
  </si>
  <si>
    <t>CO_DBA_Ciencias_Naturales.pdf</t>
  </si>
  <si>
    <t>1.°</t>
  </si>
  <si>
    <t>Comprende que los sentidos le permiten percibir algunas características de los objetos que nos rodean (temperatura, sabor, sonidos, olor, color, texturas y formas).</t>
  </si>
  <si>
    <t>Percibir con los sentidos propiedades de objetos; sentidos como estructuras</t>
  </si>
  <si>
    <t>CO-DBA-G1-02</t>
  </si>
  <si>
    <t>Comprende que hay gran variedad de materiales usados para distintos fines según sus características (longitud, dureza, flexibilidad, permeabilidad, solubilidad, ductilidad, maleabilidad, color, sabor, textura).</t>
  </si>
  <si>
    <t>Propiedades de materiales relacionadas con sus usos</t>
  </si>
  <si>
    <t>CO-DBA-G1-03</t>
  </si>
  <si>
    <t>Comprende que los seres vivos (plantas y animales) tienen características comunes (se alimentan, respiran, tienen un ciclo de vida, responden al entorno) y los diferencia de los objetos inertes.</t>
  </si>
  <si>
    <t>Características comunes de seres vivos frente a objetos inertes</t>
  </si>
  <si>
    <t>CO-DBA-G1-04</t>
  </si>
  <si>
    <t>Comprende que su cuerpo cambia constantemente con el tiempo y reconoce, por comparación, características similares y diferentes a las de sus padres y compañeros.</t>
  </si>
  <si>
    <t>Cambios del cuerpo en el tiempo y semejanzas con los padres</t>
  </si>
  <si>
    <t>CO-EBC-G1_3-CIEN-01</t>
  </si>
  <si>
    <t>CO_Estandares_Ciencias.pdf</t>
  </si>
  <si>
    <t>1.°–3.°</t>
  </si>
  <si>
    <t>…me aproximo al conocimiento como científico(a) natural</t>
  </si>
  <si>
    <t>Observo mi entorno.</t>
  </si>
  <si>
    <t>Observación genérica del entorno; práctica sin disciplina</t>
  </si>
  <si>
    <t>CO-EBC-G1_3-CIEN-02</t>
  </si>
  <si>
    <t>Formulo preguntas sobre objetos, organismos y fenómenos de mi entorno y exploro posibles respuestas.</t>
  </si>
  <si>
    <t>Formular preguntas comprobables</t>
  </si>
  <si>
    <t>CO-EBC-G1_3-CIEN-03</t>
  </si>
  <si>
    <t>Hago conjeturas para responder mis preguntas.</t>
  </si>
  <si>
    <t>Conjeturas como parte de una investigación</t>
  </si>
  <si>
    <t>CO-EBC-G1_3-CIEN-04</t>
  </si>
  <si>
    <t>Diseño y realizo experiencias para poner a prueba mis conjeturas.</t>
  </si>
  <si>
    <t>Diseñar y realizar experiencias para probar conjeturas</t>
  </si>
  <si>
    <t>CO-EBC-G1_3-CIEN-05</t>
  </si>
  <si>
    <t>Identifico condiciones que influyen en los resultados de una experiencia.</t>
  </si>
  <si>
    <t>Condiciones que influyen en resultados: prueba justa</t>
  </si>
  <si>
    <t>CO-EBC-G1_3-CIEN-06</t>
  </si>
  <si>
    <t>Realizo mediciones con instrumentos convencionales (regla, metro, termómetro, reloj, balanza...) y no convencionales (vasos, tazas, cuartas, pies, pasos...).</t>
  </si>
  <si>
    <t>Medir con instrumentos como balanza, reloj y termómetro</t>
  </si>
  <si>
    <t>CO-EBC-G1_3-CIEN-07</t>
  </si>
  <si>
    <t>Registro mis observaciones en forma organizada y rigurosa (sin alteraciones), utilizando dibujos, palabras y números.</t>
  </si>
  <si>
    <t>Registrar observaciones de forma organizada</t>
  </si>
  <si>
    <t>CO-EBC-G1_3-CIEN-08</t>
  </si>
  <si>
    <t>Busco información en diversas fuentes (libros, Internet, experiencias propias y de otros...) y doy el crédito correspondiente.</t>
  </si>
  <si>
    <t>Búsqueda de información en fuentes; sin contenido TIMSS</t>
  </si>
  <si>
    <t>CO-EBC-G1_3-CIEN-09</t>
  </si>
  <si>
    <t>Selecciono la información apropiada para dar respuesta a mis preguntas.</t>
  </si>
  <si>
    <t>Selección de información; competencia general</t>
  </si>
  <si>
    <t>CO-EBC-G1_3-CIEN-10</t>
  </si>
  <si>
    <t>Analizo, con la ayuda del profesor, si la información obtenida es suficiente para contestar mis preguntas.</t>
  </si>
  <si>
    <t>Valorar suficiencia de información; competencia general</t>
  </si>
  <si>
    <t>CO-EBC-G1_3-CIEN-11</t>
  </si>
  <si>
    <t>Persisto en la búsqueda de respuestas a mis preguntas.</t>
  </si>
  <si>
    <t>Actitud de persistencia; sin contenido científico</t>
  </si>
  <si>
    <t>CO-EBC-G1_3-CIEN-12</t>
  </si>
  <si>
    <t>Propongo respuestas a mis preguntas y las comparo con las de otras personas.</t>
  </si>
  <si>
    <t>Comparar respuestas con otros; competencia comunicativa</t>
  </si>
  <si>
    <t>CO-EBC-G1_3-CIEN-13</t>
  </si>
  <si>
    <t>Comunico de diferentes maneras el proceso de indagación y los resultados obtenidos.</t>
  </si>
  <si>
    <t>Comunicar la indagación; competencia comunicativa</t>
  </si>
  <si>
    <t>CO-EBC-G1_3-CTS-01</t>
  </si>
  <si>
    <t>Ciencia, tecnología y sociedad</t>
  </si>
  <si>
    <t>Clasifico y comparo objetos según sus usos.</t>
  </si>
  <si>
    <t>Objetos según usos; relación débil con propiedades</t>
  </si>
  <si>
    <t>CO-EBC-G1_3-CTS-02</t>
  </si>
  <si>
    <t>Diferencio objetos naturales de objetos creados por el ser humano.</t>
  </si>
  <si>
    <t>Materiales naturales frente a artificiales</t>
  </si>
  <si>
    <t>CO-EBC-G1_3-CTS-03</t>
  </si>
  <si>
    <t>Identifico objetos que emitan luz o sonido.</t>
  </si>
  <si>
    <t>Objetos que emiten luz o sonido</t>
  </si>
  <si>
    <t>CO-EBC-G1_3-CTS-04</t>
  </si>
  <si>
    <t>Identifico circuitos eléctricos en mi entorno.</t>
  </si>
  <si>
    <t>Circuitos eléctricos en el entorno</t>
  </si>
  <si>
    <t>CO-EBC-G1_3-CTS-05</t>
  </si>
  <si>
    <t>Analizo la utilidad de algunos aparatos eléctricos a mi alrededor.</t>
  </si>
  <si>
    <t>Aparatos eléctricos transforman electricidad en luz, calor, sonido</t>
  </si>
  <si>
    <t>CO-EBC-G1_3-CTS-06</t>
  </si>
  <si>
    <t>Identifico aparatos que utilizamos hoy y que no se utilizaban en épocas pasadas.</t>
  </si>
  <si>
    <t>Historia de la tecnología; sin contenido científico</t>
  </si>
  <si>
    <t>CO-EBC-G1_3-CTS-07</t>
  </si>
  <si>
    <t>Asocio el clima con la forma de vida de diferentes comunidades.</t>
  </si>
  <si>
    <t>Clima y modos de vida; enfoque de geografía humana</t>
  </si>
  <si>
    <t>CO-EBC-G1_3-CTS-08</t>
  </si>
  <si>
    <t>Identifico necesidades de cuidado de mi cuerpo y el de otras personas.</t>
  </si>
  <si>
    <t>Hábitos de cuidado del cuerpo y salud</t>
  </si>
  <si>
    <t>CO-EBC-G1_3-FIS-01</t>
  </si>
  <si>
    <t>Entorno físico</t>
  </si>
  <si>
    <t>Describo y clasifico objetos según características que percibo con los cinco sentidos.</t>
  </si>
  <si>
    <t>Clasificar objetos por propiedades perceptibles</t>
  </si>
  <si>
    <t>CO-EBC-G1_3-FIS-02</t>
  </si>
  <si>
    <t>Propongo y verifico diversas formas de medir sólidos y líquidos.</t>
  </si>
  <si>
    <t>Medir masa y volumen de sólidos y líquidos</t>
  </si>
  <si>
    <t>CO-EBC-G1_3-FIS-03</t>
  </si>
  <si>
    <t>Establezco relaciones entre magnitudes y unidades de medida apropiadas.</t>
  </si>
  <si>
    <t>Magnitudes y unidades de medida aisladas</t>
  </si>
  <si>
    <t>CO-EBC-G1_3-FIS-04</t>
  </si>
  <si>
    <t>Identifico diferentes estados físicos de la materia (el agua, por ejemplo) y verifico causas para cambios de estado.</t>
  </si>
  <si>
    <t>Estados de la materia y causas de cambios de estado</t>
  </si>
  <si>
    <t>CO-EBC-G1_3-FIS-05</t>
  </si>
  <si>
    <t>Identifico y comparo fuentes de luz, calor y sonido y su efecto sobre diferentes seres vivos.</t>
  </si>
  <si>
    <t>Fuentes de luz, calor y sonido como formas de energía</t>
  </si>
  <si>
    <t>CO-EBC-G1_3-FIS-06</t>
  </si>
  <si>
    <t>Identifico situaciones en las que ocurre transferencia de energía térmica y realizo experiencias para verificar el fenómeno.</t>
  </si>
  <si>
    <t>Transferencia de energía térmica verificada experimentalmente</t>
  </si>
  <si>
    <t>CO-EBC-G1_3-FIS-07</t>
  </si>
  <si>
    <t>Clasifico luces según color, intensidad y fuente.</t>
  </si>
  <si>
    <t>Clasificar luces por color, intensidad y fuente</t>
  </si>
  <si>
    <t>CO-EBC-G1_3-FIS-08</t>
  </si>
  <si>
    <t>Clasifico sonidos según tono, volumen y fuente.</t>
  </si>
  <si>
    <t>Clasificar sonidos por tono, volumen y fuente</t>
  </si>
  <si>
    <t>CO-EBC-G1_3-FIS-09</t>
  </si>
  <si>
    <t>Propongo experiencias para comprobar la propagación de la luz y del sonido.</t>
  </si>
  <si>
    <t>Experiencias sobre propagación de luz y sonido</t>
  </si>
  <si>
    <t>CO-EBC-G1_3-FIS-10</t>
  </si>
  <si>
    <t>Identifico tipos de movimiento en seres vivos y objetos, y las fuerzas que los producen.</t>
  </si>
  <si>
    <t>Movimientos y fuerzas que los producen</t>
  </si>
  <si>
    <t>CO-EBC-G1_3-FIS-11</t>
  </si>
  <si>
    <t>Verifico las fuerzas a distancia generadas por imanes sobre diferentes objetos.</t>
  </si>
  <si>
    <t>Fuerzas magnéticas a distancia sobre objetos</t>
  </si>
  <si>
    <t>CO-EBC-G1_3-FIS-12</t>
  </si>
  <si>
    <t>Construyo circuitos eléctricos simples con pilas.</t>
  </si>
  <si>
    <t>Construir circuitos eléctricos simples con pilas</t>
  </si>
  <si>
    <t>CO-EBC-G1_3-FIS-13</t>
  </si>
  <si>
    <t>Registro el movimiento del Sol, la Luna y las estrellas en el cielo, en un periodo de tiempo.</t>
  </si>
  <si>
    <t>Movimiento aparente de Sol, Luna y estrellas</t>
  </si>
  <si>
    <t>CO-EBC-G1_3-VIVO-01</t>
  </si>
  <si>
    <t>Entorno vivo</t>
  </si>
  <si>
    <t>Establezco relaciones entre las funciones de los cinco sentidos.</t>
  </si>
  <si>
    <t>Funciones de los órganos de los sentidos</t>
  </si>
  <si>
    <t>CO-EBC-G1_3-VIVO-02</t>
  </si>
  <si>
    <t>Describo mi cuerpo y el de mis compañeros y compañeras.</t>
  </si>
  <si>
    <t>Describir partes del cuerpo humano</t>
  </si>
  <si>
    <t>CO-EBC-G1_3-VIVO-03</t>
  </si>
  <si>
    <t>Describo características de seres vivos y objetos inertes, establezco semejanzas y diferencias entre ellos y los clasifico.</t>
  </si>
  <si>
    <t>Distinguir y clasificar seres vivos y objetos inertes</t>
  </si>
  <si>
    <t>CO-EBC-G1_3-VIVO-04</t>
  </si>
  <si>
    <t>Propongo y verifico necesidades de los seres vivos.</t>
  </si>
  <si>
    <t>Necesidades de los seres vivos, verificadas por indagación</t>
  </si>
  <si>
    <t>CO-EBC-G1_3-VIVO-05</t>
  </si>
  <si>
    <t>Observo y describo cambios en mi desarrollo y en el de otros seres vivos.</t>
  </si>
  <si>
    <t>Cambios en el desarrollo de los seres vivos</t>
  </si>
  <si>
    <t>CO-EBC-G1_3-VIVO-06</t>
  </si>
  <si>
    <t>Describo y verifico ciclos de vida de seres vivos.</t>
  </si>
  <si>
    <t>Ciclos de vida de seres vivos</t>
  </si>
  <si>
    <t>CO-EBC-G1_3-VIVO-07</t>
  </si>
  <si>
    <t>Reconozco que los hijos y las hijas se parecen a sus padres y describo algunas características que se heredan.</t>
  </si>
  <si>
    <t>Parecido a los padres y rasgos heredados</t>
  </si>
  <si>
    <t>CO-EBC-G1_3-VIVO-08</t>
  </si>
  <si>
    <t>Identifico y describo la flora, la fauna, el agua y el suelo de mi entorno.</t>
  </si>
  <si>
    <t>Flora, fauna, agua y suelo del entorno</t>
  </si>
  <si>
    <t>CO-EBC-G1_3-VIVO-09</t>
  </si>
  <si>
    <t>Explico adaptaciones de los seres vivos al ambiente.</t>
  </si>
  <si>
    <t>Adaptaciones de seres vivos al ambiente</t>
  </si>
  <si>
    <t>CO-EBC-G1_3-VIVO-10</t>
  </si>
  <si>
    <t>Comparo fósiles y seres vivos; identifico características que se mantienen en el tiempo.</t>
  </si>
  <si>
    <t>Fósiles comparados con seres vivos actuales</t>
  </si>
  <si>
    <t>CO-EBC-G1_3-VIVO-11</t>
  </si>
  <si>
    <t>Identifico patrones comunes a los seres vivos.</t>
  </si>
  <si>
    <t>Patrones comunes a los seres vivos</t>
  </si>
  <si>
    <t>CO-DBA-G2-01</t>
  </si>
  <si>
    <t>2.°</t>
  </si>
  <si>
    <t>Comprende que una fuerza puede producir distintas deformaciones en un objeto y que este resiste de diferente modo según el material del que está hecho.</t>
  </si>
  <si>
    <t>Fuerzas que deforman objetos; resistencia según el material</t>
  </si>
  <si>
    <t>CO-DBA-G2-02</t>
  </si>
  <si>
    <t>Comprende que las sustancias pueden encontrarse en distintos estados (sólido, líquido y gaseoso).</t>
  </si>
  <si>
    <t>Estados sólido, líquido y gaseoso de la materia</t>
  </si>
  <si>
    <t>CO-DBA-G2-03</t>
  </si>
  <si>
    <t>Comprende la relación entre las características físicas de plantas y animales y sus ambientes, según sus necesidades básicas (luz, agua, aire, suelo, nutrientes, desplazamiento, protección).</t>
  </si>
  <si>
    <t>Rasgos físicos ligados al ambiente según necesidades básicas</t>
  </si>
  <si>
    <t>CO-DBA-G2-04</t>
  </si>
  <si>
    <t>Explica los procesos de cambios físicos que ocurren en el ciclo de vida de plantas y animales de su entorno, en un período de tiempo determinado.</t>
  </si>
  <si>
    <t>Cambios en el ciclo de vida de plantas y animales</t>
  </si>
  <si>
    <t>CO-DBA-G3-01</t>
  </si>
  <si>
    <t>Comprende la forma en que se propaga la luz a través de diferentes materiales (opacos, transparentes como el aire, translúcidos como el papel y reflectivos como el espejo).</t>
  </si>
  <si>
    <t>Propagación de la luz en materiales opacos, transparentes y reflectivos</t>
  </si>
  <si>
    <t>CO-DBA-G3-02</t>
  </si>
  <si>
    <t>Comprende cómo se produce la sombra y la relación de su tamaño con las distancias entre fuente de luz, objeto interpuesto y lugar donde se proyecta.</t>
  </si>
  <si>
    <t>Formación de sombras y su tamaño</t>
  </si>
  <si>
    <t>CO-DBA-G3-03</t>
  </si>
  <si>
    <t>Comprende la naturaleza (fenómeno de la vibración) y las características del sonido (altura, timbre, intensidad) y que este se propaga en distintos medios (sólidos, líquidos, gaseosos).</t>
  </si>
  <si>
    <t>Vibración, características y propagación del sonido</t>
  </si>
  <si>
    <t>CO-DBA-G3-04</t>
  </si>
  <si>
    <t>Comprende la influencia de la variación de la temperatura en los cambios de estado de la materia, considerando como ejemplo el caso del agua.</t>
  </si>
  <si>
    <t>Temperatura y cambios de estado del agua</t>
  </si>
  <si>
    <t>CO-DBA-G3-05</t>
  </si>
  <si>
    <t>Explica la influencia de los factores abióticos (luz, temperatura, suelo y aire) en el desarrollo de los factores bióticos (fauna y flora) de un ecosistema.</t>
  </si>
  <si>
    <t>Factores abióticos del ecosistema y desarrollo de flora y fauna</t>
  </si>
  <si>
    <t>CO-DBA-G3-06</t>
  </si>
  <si>
    <t>Comprende las relaciones de los seres vivos con otros organismos de su entorno (intra e interespecíficas) y las explica como esenciales para su supervivencia en un ambiente determinado.</t>
  </si>
  <si>
    <t>Relaciones entre organismos para sobrevivir en el ecosistema</t>
  </si>
  <si>
    <t>CO-DBA-G4-01</t>
  </si>
  <si>
    <t>Comprende que la magnitud y la dirección en que se aplica una fuerza puede producir cambios en la forma como se mueve un objeto (dirección y rapidez).</t>
  </si>
  <si>
    <t>Magnitud y dirección de fuerzas cambian el movimiento</t>
  </si>
  <si>
    <t>CO-DBA-G4-02</t>
  </si>
  <si>
    <t>Comprende los efectos y las ventajas de utilizar máquinas simples en diferentes tareas que requieren la aplicación de una fuerza.</t>
  </si>
  <si>
    <t>Ventajas de las máquinas simples</t>
  </si>
  <si>
    <t>CO-DBA-G4-03</t>
  </si>
  <si>
    <t>Comprende que el día y la noche se deben a la rotación de la Tierra sobre su eje, por lo que el Sol ilumina solo la mitad de su superficie.</t>
  </si>
  <si>
    <t>Día y noche por la rotación terrestre</t>
  </si>
  <si>
    <t>CO-DBA-G4-04</t>
  </si>
  <si>
    <t>Comprende que las fases de la Luna se deben a la posición relativa del Sol, la Luna y la Tierra a lo largo del mes.</t>
  </si>
  <si>
    <t>Fases lunares por posición de Sol, Luna y Tierra</t>
  </si>
  <si>
    <t>CO-DBA-G4-05</t>
  </si>
  <si>
    <t>Comprende que existen distintos tipos de mezclas (homogéneas y heterogéneas) que de acuerdo con los materiales que las componen pueden separarse mediante diferentes técnicas (filtración, tamizado, decantación, evaporación).</t>
  </si>
  <si>
    <t>Mezclas y técnicas de separación</t>
  </si>
  <si>
    <t>CO-DBA-G4-06</t>
  </si>
  <si>
    <t>Comprende que los organismos cumplen distintas funciones en cada uno de los niveles tróficos y que las relaciones entre ellos pueden representarse en cadenas y redes alimenticias.</t>
  </si>
  <si>
    <t>Niveles tróficos, cadenas y redes alimenticias</t>
  </si>
  <si>
    <t>CO-DBA-G4-07</t>
  </si>
  <si>
    <t>Comprende que existen distintos tipos de ecosistemas (terrestres y acuáticos) y que sus características físicas (temperatura, humedad, tipos de suelo, altitud) permiten que habiten en ellos diferentes seres vivos.</t>
  </si>
  <si>
    <t>Tipos de ecosistemas y los seres vivos que los habitan</t>
  </si>
  <si>
    <t>CO-EBC-G4_5-CIEN-01</t>
  </si>
  <si>
    <t>4.°–5.°</t>
  </si>
  <si>
    <t>Observo el mundo en el que vivo.</t>
  </si>
  <si>
    <t>Observación genérica; práctica sin disciplina definida</t>
  </si>
  <si>
    <t>CO-EBC-G4_5-CIEN-02</t>
  </si>
  <si>
    <t>Formulo preguntas a partir de una observación o experiencia y escojo algunas de ellas para buscar posibles respuestas.</t>
  </si>
  <si>
    <t>Formular preguntas investigables</t>
  </si>
  <si>
    <t>CO-EBC-G4_5-CIEN-03</t>
  </si>
  <si>
    <t>Propongo explicaciones provisionales para responder mis preguntas.</t>
  </si>
  <si>
    <t>Explicaciones provisionales dentro de una investigación</t>
  </si>
  <si>
    <t>CO-EBC-G4_5-CIEN-04</t>
  </si>
  <si>
    <t>Identifico condiciones que influyen en los resultados de una experiencia y que pueden permanecer constantes o cambiar (variables).</t>
  </si>
  <si>
    <t>Identificar variables: rasgo de prueba justa</t>
  </si>
  <si>
    <t>CO-EBC-G4_5-CIEN-05</t>
  </si>
  <si>
    <t>Diseño y realizo experimentos modificando una sola variable para dar respuesta a preguntas.</t>
  </si>
  <si>
    <t>Experimentos variando una sola variable: prueba justa</t>
  </si>
  <si>
    <t>CO-EBC-G4_5-CIEN-06</t>
  </si>
  <si>
    <t>Realizo mediciones con instrumentos convencionales (balanza, báscula, cronómetro, termómetro...) y no convencionales (paso, cuarta, pie, braza, vaso...).</t>
  </si>
  <si>
    <t>Medir con balanza, cronómetro y termómetro</t>
  </si>
  <si>
    <t>CO-EBC-G4_5-CIEN-07</t>
  </si>
  <si>
    <t>Registro mis observaciones, datos y resultados de manera organizada y rigurosa (sin alteraciones), en forma escrita y utilizando esquemas, gráficos y tablas.</t>
  </si>
  <si>
    <t>Registrar datos en tablas y gráficos</t>
  </si>
  <si>
    <t>CO-EBC-G4_5-CIEN-08</t>
  </si>
  <si>
    <t>Busco información en diversas fuentes (libros, Internet, experiencias y experimentos propios y de otros…) y doy el crédito correspondiente.</t>
  </si>
  <si>
    <t>CO-EBC-G4_5-CIEN-09</t>
  </si>
  <si>
    <t>Establezco relaciones entre la información y los datos recopilados.</t>
  </si>
  <si>
    <t>Relacionar datos recopilados; análisis de datos</t>
  </si>
  <si>
    <t>CO-EBC-G4_5-CIEN-10</t>
  </si>
  <si>
    <t>Selecciono la información que me permite responder a mis preguntas y determino si es suficiente.</t>
  </si>
  <si>
    <t>Seleccionar información suficiente; competencia general</t>
  </si>
  <si>
    <t>CO-EBC-G4_5-CIEN-11</t>
  </si>
  <si>
    <t>Saco conclusiones de mis experimentos, aunque no obtenga los resultados esperados.</t>
  </si>
  <si>
    <t>Sacar conclusiones de experimentos</t>
  </si>
  <si>
    <t>CO-EBC-G4_5-CIEN-12</t>
  </si>
  <si>
    <t>CO-EBC-G4_5-CIEN-13</t>
  </si>
  <si>
    <t>CO-EBC-G4_5-CIEN-14</t>
  </si>
  <si>
    <t>Comunico, oralmente y por escrito, el proceso de indagación y los resultados que obtengo.</t>
  </si>
  <si>
    <t>CO-EBC-G4_5-CTS-01</t>
  </si>
  <si>
    <t>Identifico máquinas simples en objetos cotidianos y describo su utilidad.</t>
  </si>
  <si>
    <t>Máquinas simples en objetos cotidianos</t>
  </si>
  <si>
    <t>CO-EBC-G4_5-CTS-02</t>
  </si>
  <si>
    <t>Construyo máquinas simples para solucionar problemas cotidianos.</t>
  </si>
  <si>
    <t>Construir máquinas simples para resolver problemas</t>
  </si>
  <si>
    <t>CO-EBC-G4_5-CTS-03</t>
  </si>
  <si>
    <t>Identifico, en la historia, situaciones en las que en ausencia de motores potentes se utilizaron máquinas simples.</t>
  </si>
  <si>
    <t>Historia del uso de máquinas simples</t>
  </si>
  <si>
    <t>CO-EBC-G4_5-CTS-04</t>
  </si>
  <si>
    <t>Analizo características ambientales de mi entorno y peligros que lo amenazan.</t>
  </si>
  <si>
    <t>Amenazas ambientales del entorno por acción humana</t>
  </si>
  <si>
    <t>CO-EBC-G4_5-CTS-05</t>
  </si>
  <si>
    <t>Establezco relaciones entre el efecto invernadero, la lluvia ácida y el debilitamiento de la capa de ozono con la contaminación atmosférica.</t>
  </si>
  <si>
    <t>Efecto invernadero y contaminación atmosférica</t>
  </si>
  <si>
    <t>CO-EBC-G4_5-CTS-06</t>
  </si>
  <si>
    <t>Asocio el clima y otras características del entorno con los materiales de construcción, los aparatos eléctricos más utilizados, los recursos naturales y las costumbres de diferentes comunidades.</t>
  </si>
  <si>
    <t>Clima, recursos naturales y costumbres; mezcla con geografía humana</t>
  </si>
  <si>
    <t>CO-EBC-G4_5-CTS-07</t>
  </si>
  <si>
    <t>Verifico que la cocción de alimentos genera cambios físicos y químicos.</t>
  </si>
  <si>
    <t>Cambios físicos y químicos al cocinar alimentos</t>
  </si>
  <si>
    <t>CO-EBC-G4_5-CTS-08</t>
  </si>
  <si>
    <t>Identifico y describo aparatos que generan energía luminosa, térmica y mecánica.</t>
  </si>
  <si>
    <t>Aparatos que producen energía luminosa, térmica y mecánica</t>
  </si>
  <si>
    <t>CO-EBC-G4_5-CTS-09</t>
  </si>
  <si>
    <t>Identifico y establezco las aplicaciones de los circuitos eléctricos en el desarrollo tecnológico.</t>
  </si>
  <si>
    <t>Aplicaciones tecnológicas de circuitos; foco tecnológico</t>
  </si>
  <si>
    <t>CO-EBC-G4_5-CTS-10</t>
  </si>
  <si>
    <t>Establezco relaciones entre microorganismos y salud.</t>
  </si>
  <si>
    <t>Microorganismos y enfermedades</t>
  </si>
  <si>
    <t>CO-EBC-G4_5-CTS-11</t>
  </si>
  <si>
    <t>Reconozco los efectos nocivos del exceso en el consumo de cafeína, tabaco, drogas y licores.</t>
  </si>
  <si>
    <t>Efectos nocivos de sustancias en la salud</t>
  </si>
  <si>
    <t>CO-EBC-G4_5-CTS-12</t>
  </si>
  <si>
    <t>Establezco relaciones entre deporte y salud física y mental.</t>
  </si>
  <si>
    <t>Ejercicio y salud física y mental</t>
  </si>
  <si>
    <t>CO-EBC-G4_5-FIS-01</t>
  </si>
  <si>
    <t>Describo y verifico el efecto de la transferencia de energía térmica en los cambios de estado de algunas sustancias.</t>
  </si>
  <si>
    <t>Transferencia de calor y cambios de estado</t>
  </si>
  <si>
    <t>CO-EBC-G4_5-FIS-02</t>
  </si>
  <si>
    <t>Verifico la posibilidad de mezclar diversos líquidos, sólidos y gases.</t>
  </si>
  <si>
    <t>Formación de mezclas de sólidos, líquidos y gases</t>
  </si>
  <si>
    <t>CO-EBC-G4_5-FIS-03</t>
  </si>
  <si>
    <t>Propongo y verifico diferentes métodos de separación de mezclas.</t>
  </si>
  <si>
    <t>Métodos de separación de mezclas</t>
  </si>
  <si>
    <t>CO-EBC-G4_5-FIS-04</t>
  </si>
  <si>
    <t>Establezco relaciones entre objetos que tienen masas iguales y volúmenes diferentes o viceversa y su posibilidad de flotar.</t>
  </si>
  <si>
    <t>Masa, volumen y flotación de objetos</t>
  </si>
  <si>
    <t>CO-EBC-G4_5-FIS-05</t>
  </si>
  <si>
    <t>Comparo movimientos y desplazamientos de seres vivos y objetos.</t>
  </si>
  <si>
    <t>Comparar movimientos de seres vivos y objetos</t>
  </si>
  <si>
    <t>CO-EBC-G4_5-FIS-06</t>
  </si>
  <si>
    <t>Relaciono el estado de reposo o movimiento de un objeto con las fuerzas aplicadas sobre éste.</t>
  </si>
  <si>
    <t>Reposo o movimiento según fuerzas aplicadas</t>
  </si>
  <si>
    <t>CO-EBC-G4_5-FIS-07</t>
  </si>
  <si>
    <t>Describo fuerzas y torques en máquinas simples.</t>
  </si>
  <si>
    <t>Fuerzas y torques en máquinas simples</t>
  </si>
  <si>
    <t>CO-EBC-G4_5-FIS-08</t>
  </si>
  <si>
    <t>Verifico la conducción de electricidad o calor en materiales.</t>
  </si>
  <si>
    <t>Conducción de electricidad y calor en materiales</t>
  </si>
  <si>
    <t>CO-EBC-G4_5-FIS-09</t>
  </si>
  <si>
    <t>Identifico las funciones de los componentes de un circuito eléctrico.</t>
  </si>
  <si>
    <t>Funciones de los componentes de un circuito</t>
  </si>
  <si>
    <t>CO-EBC-G4_5-FIS-10</t>
  </si>
  <si>
    <t>Describo los principales elementos del sistema solar y establezco relaciones de tamaño, movimiento y posición.</t>
  </si>
  <si>
    <t>Elementos, tamaños y movimientos del sistema solar</t>
  </si>
  <si>
    <t>CO-EBC-G4_5-FIS-11</t>
  </si>
  <si>
    <t>Comparo el peso y la masa de un objeto en diferentes puntos del sistema solar.</t>
  </si>
  <si>
    <t>Peso y gravedad en distintos cuerpos del sistema solar</t>
  </si>
  <si>
    <t>CO-EBC-G4_5-FIS-12</t>
  </si>
  <si>
    <t>Describo las características físicas de la Tierra y su atmósfera.</t>
  </si>
  <si>
    <t>Características físicas de la Tierra y su atmósfera</t>
  </si>
  <si>
    <t>CO-EBC-G4_5-FIS-13</t>
  </si>
  <si>
    <t>Relaciono el movimiento de traslación con los cambios climáticos.</t>
  </si>
  <si>
    <t>Traslación terrestre y cambios estacionales del clima</t>
  </si>
  <si>
    <t>CO-EBC-G4_5-FIS-14</t>
  </si>
  <si>
    <t>Establezco relaciones entre mareas, corrientes marinas, movimiento de placas tectónicas, formas del paisaje y relieve, y las fuerzas que los generan.</t>
  </si>
  <si>
    <t>Procesos que modifican paisaje y relieve; océanos</t>
  </si>
  <si>
    <t>CO-EBC-G4_5-VIVO-01</t>
  </si>
  <si>
    <t>Explico la importancia de la célula como unidad básica de los seres vivos.</t>
  </si>
  <si>
    <t>La célula no figura en el marco de 4.°</t>
  </si>
  <si>
    <t>CO-EBC-G4_5-VIVO-02</t>
  </si>
  <si>
    <t>Identifico los niveles de organización celular de los seres vivos.</t>
  </si>
  <si>
    <t>Organización celular ausente del marco de 4.°</t>
  </si>
  <si>
    <t>CO-EBC-G4_5-VIVO-03</t>
  </si>
  <si>
    <t>Identifico en mi entorno objetos que cumplen funciones similares a las de mis órganos y sustento la comparación.</t>
  </si>
  <si>
    <t>Analogías objeto-órgano sobre función de estructuras</t>
  </si>
  <si>
    <t>CO-EBC-G4_5-VIVO-04</t>
  </si>
  <si>
    <t>Represento los diversos sistemas de órganos del ser humano y explico su función.</t>
  </si>
  <si>
    <t>Sistemas de órganos humanos y su función</t>
  </si>
  <si>
    <t>CO-EBC-G4_5-VIVO-05</t>
  </si>
  <si>
    <t>Clasifico seres vivos en diversos grupos taxonómicos (plantas, animales, microorganismos…).</t>
  </si>
  <si>
    <t>Clasificación de seres vivos en grandes grupos</t>
  </si>
  <si>
    <t>CO-EBC-G4_5-VIVO-06</t>
  </si>
  <si>
    <t>Indago acerca del tipo de fuerza (compresión, tensión o torsión) que puede fracturar diferentes tipos de huesos.</t>
  </si>
  <si>
    <t>Fuerzas de compresión, tensión y torsión sobre huesos</t>
  </si>
  <si>
    <t>CO-EBC-G4_5-VIVO-07</t>
  </si>
  <si>
    <t>Identifico máquinas simples en el cuerpo de seres vivos y explico su función.</t>
  </si>
  <si>
    <t>Máquinas simples en el cuerpo de seres vivos</t>
  </si>
  <si>
    <t>CO-EBC-G4_5-VIVO-08</t>
  </si>
  <si>
    <t>Investigo y describo diversos tipos de neuronas, las comparo entre sí y con circuitos eléctricos.</t>
  </si>
  <si>
    <t>Neuronas comparadas con circuitos; nivel superior al marco</t>
  </si>
  <si>
    <t>CO-EBC-G4_5-VIVO-09</t>
  </si>
  <si>
    <t>Analizo el ecosistema que me rodea y lo comparo con otros.</t>
  </si>
  <si>
    <t>Analizar y comparar ecosistemas</t>
  </si>
  <si>
    <t>CO-EBC-G4_5-VIVO-10</t>
  </si>
  <si>
    <t>Identifico adaptaciones de los seres vivos, teniendo en cuenta las características de los ecosistemas en que viven.</t>
  </si>
  <si>
    <t>Adaptaciones según características del ecosistema</t>
  </si>
  <si>
    <t>CO-EBC-G4_5-VIVO-11</t>
  </si>
  <si>
    <t>Explico la dinámica de un ecosistema, teniendo en cuenta las necesidades de energía y nutrientes de los seres vivos (cadena alimentaria).</t>
  </si>
  <si>
    <t>Cadena alimentaria y necesidades de energía y nutrientes</t>
  </si>
  <si>
    <t>CO-EBC-G4_5-VIVO-12</t>
  </si>
  <si>
    <t>Identifico fenómenos de camuflaje en el entorno y los relaciono con las necesidades de los seres vivos.</t>
  </si>
  <si>
    <t>Camuflaje como rasgo para sobrevivir</t>
  </si>
  <si>
    <t>CO-DBA-G5-01</t>
  </si>
  <si>
    <t>Comprende que un circuito eléctrico básico tiene fuente (pila), conductores (cables) y dispositivos (bombillos, motores, timbres) conectados apropiadamente por sus dos polos para funcionar y producir efectos.</t>
  </si>
  <si>
    <t>Componentes de un circuito eléctrico completo</t>
  </si>
  <si>
    <t>CO-DBA-G5-02</t>
  </si>
  <si>
    <t>Comprende que algunos materiales son buenos conductores de la corriente eléctrica y otros no (denominados aislantes) y que el paso de la corriente siempre genera calor.</t>
  </si>
  <si>
    <t>Conductores y aislantes; la corriente transforma energía en calor</t>
  </si>
  <si>
    <t>CO-DBA-G5-03</t>
  </si>
  <si>
    <t>Comprende que los sistemas del cuerpo humano están formados por órganos, tejidos y células, y que la estructura celular se relaciona con la función del tejido.</t>
  </si>
  <si>
    <t>Niveles de organización: células, tejidos, órganos y sistemas</t>
  </si>
  <si>
    <t>CO-DBA-G5-04</t>
  </si>
  <si>
    <t>Comprende que en los seres humanos (y en muchos otros animales) la nutrición involucra el funcionamiento integrado de un conjunto de sistemas de órganos: digestivo, respiratorio y circulatorio.</t>
  </si>
  <si>
    <t>Sistemas digestivo, respiratorio y circulatorio integrados en la nutrición</t>
  </si>
  <si>
    <t>CO-DBA-G6-01</t>
  </si>
  <si>
    <t>Comprende cómo los cuerpos pueden ser cargados eléctricamente asociando esta carga a efectos de atracción y repulsión.</t>
  </si>
  <si>
    <t>Electrostática (carga, atracción, repulsión) no figura en el catálogo</t>
  </si>
  <si>
    <t>CO-DBA-G6-02</t>
  </si>
  <si>
    <t>Comprende que temperatura y presión influyen en propiedades fisicoquímicas (solubilidad, viscosidad, densidad, puntos de ebullición y fusión) aprovechables en técnicas de separación de mezclas.</t>
  </si>
  <si>
    <t>Propiedades físicas de sustancias aplicadas a separar mezclas</t>
  </si>
  <si>
    <t>CO-DBA-G6-03</t>
  </si>
  <si>
    <t>Comprende la clasificación de los materiales a partir de grupos de sustancias (elementos y compuestos) y mezclas (homogéneas y heterogéneas).</t>
  </si>
  <si>
    <t>Elementos, compuestos y mezclas homogéneas y heterogéneas</t>
  </si>
  <si>
    <t>CO-DBA-G6-04</t>
  </si>
  <si>
    <t>Comprende algunas de las funciones básicas de la célula (transporte de membrana, obtención de energía y división celular) a partir del análisis de su estructura.</t>
  </si>
  <si>
    <t>Estructura celular y funciones: transporte, energía, división</t>
  </si>
  <si>
    <t>CO-DBA-G6-05</t>
  </si>
  <si>
    <t>Comprende la clasificación de organismos en grupos taxonómicos según su tipo de células, y reconoce la diversidad de especies del planeta y sus relaciones de parentesco.</t>
  </si>
  <si>
    <t>Clasificación taxonómica y relaciones de parentesco entre especies</t>
  </si>
  <si>
    <t>CO-EBC-G6_7-CIEN-01</t>
  </si>
  <si>
    <t>6.°–7.°</t>
  </si>
  <si>
    <t>Observo fenómenos específicos.</t>
  </si>
  <si>
    <t>Práctica genérica de observación; sin disciplina deducible</t>
  </si>
  <si>
    <t>CO-EBC-G6_7-CIEN-02</t>
  </si>
  <si>
    <t>Formulo preguntas específicas sobre una observación o experiencia y escojo una para indagar y encontrar posibles respuestas.</t>
  </si>
  <si>
    <t>Formular preguntas comprobables para investigar</t>
  </si>
  <si>
    <t>CO-EBC-G6_7-CIEN-03</t>
  </si>
  <si>
    <t>Formulo explicaciones posibles, con base en el conocimiento cotidiano, teorías y modelos científicos, para contestar preguntas.</t>
  </si>
  <si>
    <t>Hipótesis o explicaciones previas en una investigación</t>
  </si>
  <si>
    <t>CO-EBC-G6_7-CIEN-04</t>
  </si>
  <si>
    <t>Identifico condiciones que influyen en los resultados de un experimento y que pueden permanecer constantes o cambiar (variables).</t>
  </si>
  <si>
    <t>Identificar variables controladas y variables que cambian</t>
  </si>
  <si>
    <t>CO-EBC-G6_7-CIEN-05</t>
  </si>
  <si>
    <t>Diseño y realizo experimentos y verifico el efecto de modificar diversas variables para dar respuesta a preguntas.</t>
  </si>
  <si>
    <t>Diseñar experimentos cambiando variables</t>
  </si>
  <si>
    <t>CO-EBC-G6_7-CIEN-06</t>
  </si>
  <si>
    <t>Realizo mediciones con instrumentos y equipos adecuados a las características y magnitudes de los objetos y las expreso en las unidades correspondientes.</t>
  </si>
  <si>
    <t>Medir con instrumentos adecuados</t>
  </si>
  <si>
    <t>CO-EBC-G6_7-CIEN-07</t>
  </si>
  <si>
    <t>Registro mis observaciones y resultados utilizando esquemas, gráficos y tablas.</t>
  </si>
  <si>
    <t>Registrar observaciones y resultados en tablas y gráficos</t>
  </si>
  <si>
    <t>CO-EBC-G6_7-CIEN-08</t>
  </si>
  <si>
    <t>Registro mis resultados en forma organizada y sin alteración alguna.</t>
  </si>
  <si>
    <t>Registro honesto de resultados; práctica genérica</t>
  </si>
  <si>
    <t>CO-EBC-G6_7-CIEN-09</t>
  </si>
  <si>
    <t>Establezco diferencias entre descripción, explicación y evidencia.</t>
  </si>
  <si>
    <t>Distinguir descripción, explicación y evidencia al concluir</t>
  </si>
  <si>
    <t>CO-EBC-G6_7-CIEN-10</t>
  </si>
  <si>
    <t>Utilizo las matemáticas como una herramienta para organizar, analizar y presentar datos.</t>
  </si>
  <si>
    <t>Analizar y presentar datos con matemáticas</t>
  </si>
  <si>
    <t>CO-EBC-G6_7-CIEN-11</t>
  </si>
  <si>
    <t>Busco información en diferentes fuentes.</t>
  </si>
  <si>
    <t>Búsqueda de información; competencia general</t>
  </si>
  <si>
    <t>CO-EBC-G6_7-CIEN-12</t>
  </si>
  <si>
    <t>Evalúo la calidad de la información, escojo la pertinente y doy el crédito correspondiente.</t>
  </si>
  <si>
    <t>Evaluar fuentes de información; competencia general</t>
  </si>
  <si>
    <t>CO-EBC-G6_7-CIEN-13</t>
  </si>
  <si>
    <t>Establezco relaciones causales entre los datos recopilados.</t>
  </si>
  <si>
    <t>Analizar datos para establecer relaciones causales</t>
  </si>
  <si>
    <t>CO-EBC-G6_7-CIEN-14</t>
  </si>
  <si>
    <t>Establezco relaciones entre la información recopilada en otras fuentes y los datos generados en mis experimentos.</t>
  </si>
  <si>
    <t>Contrastar datos propios con otras fuentes</t>
  </si>
  <si>
    <t>CO-EBC-G6_7-CIEN-15</t>
  </si>
  <si>
    <t>Analizo si la información que he obtenido es suficiente para contestar mis preguntas o sustentar mis explicaciones.</t>
  </si>
  <si>
    <t>Valorar si los datos bastan para concluir</t>
  </si>
  <si>
    <t>CO-EBC-G6_7-CIEN-16</t>
  </si>
  <si>
    <t>Saco conclusiones de los experimentos que realizo, aunque no obtenga los resultados esperados.</t>
  </si>
  <si>
    <t>CO-EBC-G6_7-CIEN-17</t>
  </si>
  <si>
    <t>CO-EBC-G6_7-CIEN-18</t>
  </si>
  <si>
    <t>Propongo respuestas a mis preguntas y las comparo con las de otras personas y con las de teorías científicas.</t>
  </si>
  <si>
    <t>Comparar respuestas propias con teorías; concluir</t>
  </si>
  <si>
    <t>CO-EBC-G6_7-CIEN-19</t>
  </si>
  <si>
    <t>Sustento mis respuestas con diversos argumentos.</t>
  </si>
  <si>
    <t>Argumentación general sin contenido del catálogo</t>
  </si>
  <si>
    <t>CO-EBC-G6_7-CIEN-20</t>
  </si>
  <si>
    <t>Identifico y uso adecuadamente el lenguaje propio de las ciencias.</t>
  </si>
  <si>
    <t>Lenguaje científico; competencia comunicativa general</t>
  </si>
  <si>
    <t>CO-EBC-G6_7-CIEN-21</t>
  </si>
  <si>
    <t>Comunico oralmente y por escrito el proceso de indagación y los resultados que obtengo, utilizando gráficas, tablas y ecuaciones aritméticas.</t>
  </si>
  <si>
    <t>Comunicación de resultados; competencia comunicativa</t>
  </si>
  <si>
    <t>CO-EBC-G6_7-CIEN-22</t>
  </si>
  <si>
    <t>Relaciono mis conclusiones con las presentadas por otros autores y formulo nuevas preguntas.</t>
  </si>
  <si>
    <t>Relacionar conclusiones y formular nuevas preguntas</t>
  </si>
  <si>
    <t>CO-EBC-G6_7-CTS-01</t>
  </si>
  <si>
    <t>Analizo el potencial de los recursos naturales de mi entorno para la obtención de energía e indico sus posibles usos.</t>
  </si>
  <si>
    <t>Fuentes de energía disponibles en el entorno</t>
  </si>
  <si>
    <t>CO-EBC-G6_7-CTS-02</t>
  </si>
  <si>
    <t>Identifico recursos renovables y no renovables y los peligros a los que están expuestos debido al desarrollo de los grupos humanos.</t>
  </si>
  <si>
    <t>Recursos renovables y no renovables y su amenaza</t>
  </si>
  <si>
    <t>CO-EBC-G6_7-CTS-03</t>
  </si>
  <si>
    <t>Justifico la importancia del recurso hídrico en el surgimiento y desarrollo de comunidades humanas.</t>
  </si>
  <si>
    <t>Agua como recurso para comunidades; enfoque social</t>
  </si>
  <si>
    <t>CO-EBC-G6_7-CTS-04</t>
  </si>
  <si>
    <t>Identifico factores de contaminación en mi entorno y sus implicaciones para la salud.</t>
  </si>
  <si>
    <t>Contaminación del entorno y efectos en la salud</t>
  </si>
  <si>
    <t>CO-EBC-G6_7-CTS-05</t>
  </si>
  <si>
    <t>Relaciono la dieta de algunas comunidades humanas con los recursos disponibles y determino si es balanceada.</t>
  </si>
  <si>
    <t>Dieta balanceada y nutrientes</t>
  </si>
  <si>
    <t>CO-EBC-G6_7-CTS-06</t>
  </si>
  <si>
    <t>Analizo las implicaciones y responsabilidades de la sexualidad y la reproducción para el individuo y para su comunidad.</t>
  </si>
  <si>
    <t>Responsabilidad sexual y social sin contenido del catálogo</t>
  </si>
  <si>
    <t>CO-EBC-G6_7-CTS-07</t>
  </si>
  <si>
    <t>Establezco relaciones entre transmisión de enfermedades y medidas de prevención y control.</t>
  </si>
  <si>
    <t>CO-EBC-G6_7-CTS-08</t>
  </si>
  <si>
    <t>Identifico aplicaciones de diversos métodos de separación de mezclas en procesos industriales.</t>
  </si>
  <si>
    <t>Métodos de separación de mezclas aplicados a industria</t>
  </si>
  <si>
    <t>CO-EBC-G6_7-CTS-09</t>
  </si>
  <si>
    <t>Estilo de vida: efectos nocivos de sustancias</t>
  </si>
  <si>
    <t>CO-EBC-G6_7-CTS-10</t>
  </si>
  <si>
    <t>Ejercicio y estilo de vida para la salud</t>
  </si>
  <si>
    <t>CO-EBC-G6_7-CTS-11</t>
  </si>
  <si>
    <t>Indago sobre los adelantos científicos y tecnológicos que han hecho posible la exploración del universo.</t>
  </si>
  <si>
    <t>Instrumentos para explorar el universo, como el telescopio</t>
  </si>
  <si>
    <t>CO-EBC-G6_7-CTS-12</t>
  </si>
  <si>
    <t>Indago sobre un avance tecnológico en medicina y explico el uso de las ciencias naturales en su desarrollo.</t>
  </si>
  <si>
    <t>Avance tecnológico médico; tecnología sin objetivo específico</t>
  </si>
  <si>
    <t>CO-EBC-G6_7-CTS-13</t>
  </si>
  <si>
    <t>Indago acerca del uso industrial de microorganismos que habitan en ambientes extremos.</t>
  </si>
  <si>
    <t>Biotecnología industrial con microorganismos no está en catálogo</t>
  </si>
  <si>
    <t>CO-EBC-G6_7-FIS-01</t>
  </si>
  <si>
    <t>Clasifico y verifico las propiedades de la materia.</t>
  </si>
  <si>
    <t>Clasificar materia por sus propiedades</t>
  </si>
  <si>
    <t>CO-EBC-G6_7-FIS-02</t>
  </si>
  <si>
    <t>Verifico la acción de fuerzas electrostáticas y magnéticas y explico su relación con la carga eléctrica.</t>
  </si>
  <si>
    <t>Fuerzas magnéticas; electrostática no figura en catálogo</t>
  </si>
  <si>
    <t>CO-EBC-G6_7-FIS-03</t>
  </si>
  <si>
    <t>Describo el desarrollo de modelos que explican la estructura de la materia.</t>
  </si>
  <si>
    <t>Modelos de estructura de la materia y el átomo</t>
  </si>
  <si>
    <t>CO-EBC-G6_7-FIS-04</t>
  </si>
  <si>
    <t>Clasifico materiales en sustancias puras o mezclas.</t>
  </si>
  <si>
    <t>Sustancias puras y mezclas</t>
  </si>
  <si>
    <t>CO-EBC-G6_7-FIS-05</t>
  </si>
  <si>
    <t>Verifico diferentes métodos de separación de mezclas.</t>
  </si>
  <si>
    <t>Métodos de separación de mezclas, verificados en laboratorio</t>
  </si>
  <si>
    <t>CO-EBC-G6_7-FIS-06</t>
  </si>
  <si>
    <t>Explico cómo un número limitado de elementos hace posible la diversidad de la materia conocida.</t>
  </si>
  <si>
    <t>Elementos combinados forman la diversidad de compuestos</t>
  </si>
  <si>
    <t>CO-EBC-G6_7-FIS-07</t>
  </si>
  <si>
    <t>Explico el desarrollo de modelos de organización de los elementos químicos.</t>
  </si>
  <si>
    <t>Modelos de organización de elementos: tabla periódica</t>
  </si>
  <si>
    <t>CO-EBC-G6_7-FIS-08</t>
  </si>
  <si>
    <t>Explico y utilizo la tabla periódica como herramienta para predecir procesos químicos.</t>
  </si>
  <si>
    <t>Tabla periódica para predecir propiedades</t>
  </si>
  <si>
    <t>CO-EBC-G6_7-FIS-09</t>
  </si>
  <si>
    <t>Explico la formación de moléculas y los estados de la materia a partir de fuerzas electrostáticas.</t>
  </si>
  <si>
    <t>Formación de moléculas y estados por fuerzas entre partículas</t>
  </si>
  <si>
    <t>CO-EBC-G6_7-FIS-10</t>
  </si>
  <si>
    <t>Relaciono energía y movimiento.</t>
  </si>
  <si>
    <t>Energía cinética asociada al movimiento</t>
  </si>
  <si>
    <t>CO-EBC-G6_7-FIS-11</t>
  </si>
  <si>
    <t>Verifico relaciones entre distancia recorrida, velocidad y fuerza involucrada en diversos tipos de movimiento.</t>
  </si>
  <si>
    <t>Rapidez, distancia y efecto de fuerzas en el movimiento</t>
  </si>
  <si>
    <t>CO-EBC-G6_7-FIS-12</t>
  </si>
  <si>
    <t>Comparo masa, peso y densidad de diferentes materiales mediante experimentos.</t>
  </si>
  <si>
    <t>Densidad como propiedad física; peso como fuerza</t>
  </si>
  <si>
    <t>CO-EBC-G6_7-FIS-13</t>
  </si>
  <si>
    <t>Explico el modelo planetario desde las fuerzas gravitacionales.</t>
  </si>
  <si>
    <t>La gravedad mantiene las órbitas planetarias</t>
  </si>
  <si>
    <t>CO-EBC-G6_7-FIS-14</t>
  </si>
  <si>
    <t>Describo el proceso de formación y extinción de estrellas.</t>
  </si>
  <si>
    <t>Estrellas; catálogo solo trata el Sol como estrella</t>
  </si>
  <si>
    <t>CO-EBC-G6_7-FIS-15</t>
  </si>
  <si>
    <t>Relaciono masa, peso y densidad con la aceleración de la gravedad en distintos puntos del sistema solar.</t>
  </si>
  <si>
    <t>Peso como fuerza de gravedad en distintos cuerpos</t>
  </si>
  <si>
    <t>CO-EBC-G6_7-FIS-16</t>
  </si>
  <si>
    <t>Explico las consecuencias del movimiento de las placas tectónicas sobre la corteza de la Tierra.</t>
  </si>
  <si>
    <t>Placas tectónicas y cambios en la corteza</t>
  </si>
  <si>
    <t>CO-EBC-G6_7-VIVO-01</t>
  </si>
  <si>
    <t>Explico la estructura de la célula y las funciones básicas de sus componentes.</t>
  </si>
  <si>
    <t>Estructura celular y función de sus componentes</t>
  </si>
  <si>
    <t>CO-EBC-G6_7-VIVO-02</t>
  </si>
  <si>
    <t>Verifico y explico los procesos de ósmosis y difusión.</t>
  </si>
  <si>
    <t>Transporte por membrana celular, verificado experimentalmente</t>
  </si>
  <si>
    <t>CO-EBC-G6_7-VIVO-03</t>
  </si>
  <si>
    <t>Clasifico membranas de los seres vivos de acuerdo con su permeabilidad frente a diversas sustancias.</t>
  </si>
  <si>
    <t>Permeabilidad de la membrana celular</t>
  </si>
  <si>
    <t>CO-EBC-G6_7-VIVO-04</t>
  </si>
  <si>
    <t>Clasifico organismos en grupos taxonómicos de acuerdo con las características de sus células.</t>
  </si>
  <si>
    <t>Clasificación taxonómica según características celulares</t>
  </si>
  <si>
    <t>CO-EBC-G6_7-VIVO-05</t>
  </si>
  <si>
    <t>Comparo sistemas de división celular y argumento su importancia en la generación de nuevos organismos y tejidos.</t>
  </si>
  <si>
    <t>División celular y generación de organismos y tejidos</t>
  </si>
  <si>
    <t>CO-EBC-G6_7-VIVO-06</t>
  </si>
  <si>
    <t>Explico las funciones de los seres vivos a partir de las relaciones entre diferentes sistemas de órganos.</t>
  </si>
  <si>
    <t>Funciones vitales desde relaciones entre sistemas de órganos</t>
  </si>
  <si>
    <t>CO-EBC-G6_7-VIVO-07</t>
  </si>
  <si>
    <t>Comparo mecanismos de obtención de energía en los seres vivos.</t>
  </si>
  <si>
    <t>Obtención de energía: fotosíntesis y respiración</t>
  </si>
  <si>
    <t>CO-EBC-G6_7-VIVO-08</t>
  </si>
  <si>
    <t>Reconozco en diversos grupos taxonómicos la presencia de las mismas moléculas orgánicas.</t>
  </si>
  <si>
    <t>Moléculas compartidas como evidencia de parentesco entre grupos</t>
  </si>
  <si>
    <t>CO-EBC-G6_7-VIVO-09</t>
  </si>
  <si>
    <t>Explico el origen del universo y de la vida a partir de varias teorías.</t>
  </si>
  <si>
    <t>Origen del universo y de la vida no está en catálogo</t>
  </si>
  <si>
    <t>CO-EBC-G6_7-VIVO-10</t>
  </si>
  <si>
    <t>Caracterizo ecosistemas y analizo el equilibrio dinámico entre sus poblaciones.</t>
  </si>
  <si>
    <t>Caracterizar ecosistemas y equilibrio entre poblaciones</t>
  </si>
  <si>
    <t>CO-EBC-G6_7-VIVO-11</t>
  </si>
  <si>
    <t>Propongo explicaciones sobre la diversidad biológica teniendo en cuenta el movimiento de placas tectónicas y las características climáticas.</t>
  </si>
  <si>
    <t>Diversidad explicada por clima y placas tectónicas</t>
  </si>
  <si>
    <t>CO-EBC-G6_7-VIVO-12</t>
  </si>
  <si>
    <t>Establezco las adaptaciones de algunos seres vivos en ecosistemas de Colombia.</t>
  </si>
  <si>
    <t>Adaptaciones de seres vivos a ecosistemas</t>
  </si>
  <si>
    <t>CO-EBC-G6_7-VIVO-13</t>
  </si>
  <si>
    <t>Formulo hipótesis sobre las causas de extinción de un grupo taxonómico.</t>
  </si>
  <si>
    <t>Causas de extinción ante ambientes cambiantes</t>
  </si>
  <si>
    <t>CO-EBC-G6_7-VIVO-14</t>
  </si>
  <si>
    <t>Justifico la importancia del agua en el sostenimiento de la vida.</t>
  </si>
  <si>
    <t>Papel del agua en la vida; ciclo del agua biológico</t>
  </si>
  <si>
    <t>CO-EBC-G6_7-VIVO-15</t>
  </si>
  <si>
    <t>Describo y relaciono los ciclos del agua, de algunos elementos y de la energía en los ecosistemas.</t>
  </si>
  <si>
    <t>Ciclos del agua, elementos y energía en ecosistemas</t>
  </si>
  <si>
    <t>CO-EBC-G6_7-VIVO-16</t>
  </si>
  <si>
    <t>Explico la función del suelo como depósito de nutrientes.</t>
  </si>
  <si>
    <t>Suelo como reserva de nutrientes en ciclos de materia</t>
  </si>
  <si>
    <t>CO-DBA-G7-01</t>
  </si>
  <si>
    <t>Comprende las formas y las transformaciones de energía en un sistema mecánico y la manera como, en los casos reales, la energía se disipa en el medio (calor, sonido).</t>
  </si>
  <si>
    <t>Formas y transformaciones de energía mecánica, disipación</t>
  </si>
  <si>
    <t>CO-DBA-G7-02</t>
  </si>
  <si>
    <t>Explica cómo las sustancias se forman a partir de la interacción de los elementos y que estos se encuentran agrupados en un sistema periódico.</t>
  </si>
  <si>
    <t>Sistema periódico y formación de sustancias por elementos</t>
  </si>
  <si>
    <t>CO-DBA-G7-03</t>
  </si>
  <si>
    <t>Comprende que en las cadenas y redes tróficas existen flujos de materia y energía, y los relaciona con procesos de nutrición, fotosíntesis y respiración celular.</t>
  </si>
  <si>
    <t>Flujo de energía en redes tróficas; fotosíntesis y respiración</t>
  </si>
  <si>
    <t>CO-DBA-G7-04</t>
  </si>
  <si>
    <t>Comprende la relación entre los ciclos del carbono, el nitrógeno y del agua, explicando su importancia en el mantenimiento de los ecosistemas.</t>
  </si>
  <si>
    <t>Ciclos del carbono y del agua en ecosistemas</t>
  </si>
  <si>
    <t>CO-DBA-G8-01</t>
  </si>
  <si>
    <t>Comprende el funcionamiento de máquinas térmicas (motores de combustión, refrigeración) por medio de las leyes de la termodinámica (primera y segunda ley).</t>
  </si>
  <si>
    <t>Termodinámica de máquinas: conservación y transferencia térmica</t>
  </si>
  <si>
    <t>CO-DBA-G8-02</t>
  </si>
  <si>
    <t>Comprende que en una reacción química los átomos de los reactivos se recombinan para formar productos nuevos mediante fuerzas intramoleculares (enlaces iónicos y covalentes).</t>
  </si>
  <si>
    <t>Átomos se reordenan en reacciones; enlaces químicos</t>
  </si>
  <si>
    <t>CO-DBA-G8-03</t>
  </si>
  <si>
    <t>Comprende que el comportamiento de un gas ideal está determinado por las relaciones entre Temperatura (T), Presión (P), Volumen (V) y Cantidad de sustancia (n).</t>
  </si>
  <si>
    <t>Relación temperatura, presión y volumen de gases</t>
  </si>
  <si>
    <t>CO-DBA-G8-04</t>
  </si>
  <si>
    <t>Analiza relaciones entre sistemas de órganos (excretor, inmune, nervioso, endocrino, óseo y muscular) con los procesos de regulación de las funciones en los seres vivos.</t>
  </si>
  <si>
    <t>Sistemas de órganos en la regulación (homeostasis)</t>
  </si>
  <si>
    <t>CO-DBA-G8-05</t>
  </si>
  <si>
    <t>Analiza la reproducción (asexual, sexual) de distintos grupos de seres vivos y su importancia para la preservación de la vida en el planeta.</t>
  </si>
  <si>
    <t>Reproducción sexual y asexual; TIMSS solo cubre la sexual</t>
  </si>
  <si>
    <t>CO-EBC-G8_9-CIEN-01</t>
  </si>
  <si>
    <t>8.°–9.°</t>
  </si>
  <si>
    <t>CO-EBC-G8_9-CIEN-02</t>
  </si>
  <si>
    <t>Formulo preguntas específicas sobre una observación, sobre una experiencia o sobre las aplicaciones de teorías científicas.</t>
  </si>
  <si>
    <t>CO-EBC-G8_9-CIEN-03</t>
  </si>
  <si>
    <t>Formulo hipótesis, con base en el conocimiento cotidiano, teorías y modelos científicos.</t>
  </si>
  <si>
    <t>CO-EBC-G8_9-CIEN-04</t>
  </si>
  <si>
    <t>Identifico y verifico condiciones que influyen en los resultados de un experimento y que pueden permanecer constantes o cambiar (variables).</t>
  </si>
  <si>
    <t>CO-EBC-G8_9-CIEN-05</t>
  </si>
  <si>
    <t>Propongo modelos para predecir los resultados de mis experimentos.</t>
  </si>
  <si>
    <t>Modelos para predecir resultados experimentales</t>
  </si>
  <si>
    <t>CO-EBC-G8_9-CIEN-06</t>
  </si>
  <si>
    <t>Realizo mediciones con instrumentos adecuados a las características y magnitudes de los objetos de estudio y las expreso en las unidades correspondientes.</t>
  </si>
  <si>
    <t>CO-EBC-G8_9-CIEN-07</t>
  </si>
  <si>
    <t>CO-EBC-G8_9-CIEN-08</t>
  </si>
  <si>
    <t>CO-EBC-G8_9-CIEN-09</t>
  </si>
  <si>
    <t>CO-EBC-G8_9-CIEN-10</t>
  </si>
  <si>
    <t>Utilizo las matemáticas como herramienta para modelar, analizar y presentar datos.</t>
  </si>
  <si>
    <t>CO-EBC-G8_9-CIEN-11</t>
  </si>
  <si>
    <t>CO-EBC-G8_9-CIEN-12</t>
  </si>
  <si>
    <t>Evalúo la calidad de la información recopilada y doy el crédito correspondiente.</t>
  </si>
  <si>
    <t>CO-EBC-G8_9-CIEN-13</t>
  </si>
  <si>
    <t>Establezco relaciones causales y multicausales entre los datos recopilados.</t>
  </si>
  <si>
    <t>CO-EBC-G8_9-CIEN-14</t>
  </si>
  <si>
    <t>Establezco relaciones entre la información recopilada y mis resultados.</t>
  </si>
  <si>
    <t>CO-EBC-G8_9-CIEN-15</t>
  </si>
  <si>
    <t>Interpreto los resultados teniendo en cuenta el orden de magnitud del error experimental.</t>
  </si>
  <si>
    <t>Error experimental y repetición de mediciones</t>
  </si>
  <si>
    <t>CO-EBC-G8_9-CIEN-16</t>
  </si>
  <si>
    <t>CO-EBC-G8_9-CIEN-17</t>
  </si>
  <si>
    <t>CO-EBC-G8_9-CIEN-18</t>
  </si>
  <si>
    <t>Propongo y sustento respuestas a mis preguntas y las comparo con las de otras personas y con las de teorías científicas.</t>
  </si>
  <si>
    <t>CO-EBC-G8_9-CIEN-19</t>
  </si>
  <si>
    <t>CO-EBC-G8_9-CIEN-20</t>
  </si>
  <si>
    <t>Comunico el proceso de indagación y los resultados, utilizando gráficas, tablas, ecuaciones aritméticas y algebraicas.</t>
  </si>
  <si>
    <t>CO-EBC-G8_9-CIEN-21</t>
  </si>
  <si>
    <t>CO-EBC-G8_9-CTS-01</t>
  </si>
  <si>
    <t>Identifico la utilidad del ADN como herramienta de análisis genético.</t>
  </si>
  <si>
    <t>ADN como material genético, aplicado a análisis</t>
  </si>
  <si>
    <t>CO-EBC-G8_9-CTS-02</t>
  </si>
  <si>
    <t>Argumento las ventajas y desventajas de la manipulación genética.</t>
  </si>
  <si>
    <t>Manipulación genética; base en herencia por ADN</t>
  </si>
  <si>
    <t>CO-EBC-G8_9-CTS-03</t>
  </si>
  <si>
    <t>Establezco la importancia de mantener la biodiversidad para estimular el desarrollo del país.</t>
  </si>
  <si>
    <t>Conservar biodiversidad frente a la acción humana</t>
  </si>
  <si>
    <t>CO-EBC-G8_9-CTS-04</t>
  </si>
  <si>
    <t>Indago sobre aplicaciones de la microbiología en la industria.</t>
  </si>
  <si>
    <t>Microbiología industrial no está en catálogo</t>
  </si>
  <si>
    <t>CO-EBC-G8_9-CTS-05</t>
  </si>
  <si>
    <t>Comparo información química de las etiquetas de productos manufacturados por diferentes casas comerciales.</t>
  </si>
  <si>
    <t>Composición y propiedades de productos según etiquetas</t>
  </si>
  <si>
    <t>CO-EBC-G8_9-CTS-06</t>
  </si>
  <si>
    <t>Identifico productos que pueden tener diferentes niveles de pH y explico algunos de sus usos en actividades cotidianas.</t>
  </si>
  <si>
    <t>pH de productos cotidianos y sus usos</t>
  </si>
  <si>
    <t>CO-EBC-G8_9-CTS-07</t>
  </si>
  <si>
    <t>Explico la relación entre ciclos termodinámicos y el funcionamiento de motores.</t>
  </si>
  <si>
    <t>Transformaciones de energía en motores</t>
  </si>
  <si>
    <t>CO-EBC-G8_9-CTS-08</t>
  </si>
  <si>
    <t>Explico las aplicaciones de las ondas estacionarias en el desarrollo de instrumentos musicales.</t>
  </si>
  <si>
    <t>Ondas sonoras aplicadas a instrumentos musicales</t>
  </si>
  <si>
    <t>CO-EBC-G8_9-CTS-09</t>
  </si>
  <si>
    <t>Identifico aplicaciones de los diferentes modelos de la luz.</t>
  </si>
  <si>
    <t>Aplicaciones de propiedades de la luz</t>
  </si>
  <si>
    <t>CO-EBC-G8_9-CTS-10</t>
  </si>
  <si>
    <t>Describo factores culturales y tecnológicos que inciden en la sexualidad y reproducción humanas.</t>
  </si>
  <si>
    <t>Factores culturales de la sexualidad, sin contenido científico</t>
  </si>
  <si>
    <t>CO-EBC-G8_9-CTS-11</t>
  </si>
  <si>
    <t>Identifico y explico medidas de prevención del embarazo y de las enfermedades de transmisión sexual.</t>
  </si>
  <si>
    <t>Prevención de enfermedades de transmisión sexual y embarazo</t>
  </si>
  <si>
    <t>CO-EBC-G8_9-CTS-12</t>
  </si>
  <si>
    <t>CO-EBC-G8_9-CTS-13</t>
  </si>
  <si>
    <t>Establezco relaciones entre el deporte y la salud física y mental.</t>
  </si>
  <si>
    <t>CO-EBC-G8_9-CTS-14</t>
  </si>
  <si>
    <t>Indago sobre avances tecnológicos en comunicaciones y explico sus implicaciones para la sociedad.</t>
  </si>
  <si>
    <t>Tecnologías de comunicación, sin contenido del catálogo</t>
  </si>
  <si>
    <t>CO-EBC-G8_9-CTS-15</t>
  </si>
  <si>
    <t>Describo procesos físicos y químicos de la contaminación atmosférica.</t>
  </si>
  <si>
    <t>Contaminación del aire y composición atmosférica</t>
  </si>
  <si>
    <t>CO-EBC-G8_9-FIS-01</t>
  </si>
  <si>
    <t>Comparo masa, peso, cantidad de sustancia y densidad de diferentes materiales.</t>
  </si>
  <si>
    <t>CO-EBC-G8_9-FIS-02</t>
  </si>
  <si>
    <t>Comparo sólidos, líquidos y gases teniendo en cuenta el movimiento de sus moléculas y las fuerzas electroestáticas.</t>
  </si>
  <si>
    <t>Estados de la materia según movimiento de partículas</t>
  </si>
  <si>
    <t>CO-EBC-G8_9-FIS-03</t>
  </si>
  <si>
    <t>Verifico las diferencias entre cambios químicos y mezclas.</t>
  </si>
  <si>
    <t>Distinguir cambio químico de mezcla</t>
  </si>
  <si>
    <t>CO-EBC-G8_9-FIS-04</t>
  </si>
  <si>
    <t>Establezco relaciones cuantitativas entre los componentes de una solución.</t>
  </si>
  <si>
    <t>Concentración: relación cuantitativa soluto-disolvente</t>
  </si>
  <si>
    <t>CO-EBC-G8_9-FIS-05</t>
  </si>
  <si>
    <t>Comparo los modelos que sustentan la definición ácido-base.</t>
  </si>
  <si>
    <t>Modelos ácido-base; TIMSS trata propiedades básicas</t>
  </si>
  <si>
    <t>CO-EBC-G8_9-FIS-06</t>
  </si>
  <si>
    <t>Establezco relaciones entre las variables de estado en un sistema termodinámico para predecir cambios físicos y químicos y las expreso matemáticamente.</t>
  </si>
  <si>
    <t>Variables de estado (presión, volumen, temperatura) y cambios</t>
  </si>
  <si>
    <t>CO-EBC-G8_9-FIS-07</t>
  </si>
  <si>
    <t>Comparo los modelos que explican el comportamiento de gases ideales y reales.</t>
  </si>
  <si>
    <t>Comportamiento de gases según modelo de partículas</t>
  </si>
  <si>
    <t>CO-EBC-G8_9-FIS-08</t>
  </si>
  <si>
    <t>Establezco relaciones entre energía interna de un sistema termodinámico, trabajo y transferencia de energía térmica, y las expreso matemáticamente.</t>
  </si>
  <si>
    <t>Transferencia de energía térmica y conservación de energía</t>
  </si>
  <si>
    <t>CO-EBC-G8_9-FIS-09</t>
  </si>
  <si>
    <t>Relaciono las diversas formas de transferencia de energía térmica con la formación de vientos.</t>
  </si>
  <si>
    <t>Transferencia térmica aplicada a la formación de vientos</t>
  </si>
  <si>
    <t>CO-EBC-G8_9-FIS-10</t>
  </si>
  <si>
    <t>Establezco relaciones entre frecuencia, amplitud, velocidad de propagación y longitud de onda en diversos tipos de ondas mecánicas.</t>
  </si>
  <si>
    <t>Propiedades de ondas: frecuencia, amplitud, rapidez</t>
  </si>
  <si>
    <t>CO-EBC-G8_9-FIS-11</t>
  </si>
  <si>
    <t>Explico el principio de conservación de la energía en ondas que cambian de medio de propagación.</t>
  </si>
  <si>
    <t>Conservación de energía en ondas que cambian de medio</t>
  </si>
  <si>
    <t>CO-EBC-G8_9-FIS-12</t>
  </si>
  <si>
    <t>Reconozco y diferencio modelos para explicar la naturaleza y el comportamiento de la luz.</t>
  </si>
  <si>
    <t>Naturaleza y comportamiento de la luz</t>
  </si>
  <si>
    <t>CO-EBC-G8_9-VIVO-01</t>
  </si>
  <si>
    <t>Reconozco la importancia del modelo de la doble hélice para la explicación del almacenamiento y transmisión del material hereditario.</t>
  </si>
  <si>
    <t>ADN como portador del material hereditario</t>
  </si>
  <si>
    <t>CO-EBC-G8_9-VIVO-02</t>
  </si>
  <si>
    <t>Establezco relaciones entre los genes, las proteínas y las funciones celulares.</t>
  </si>
  <si>
    <t>Genes, proteínas y funciones celulares</t>
  </si>
  <si>
    <t>CO-EBC-G8_9-VIVO-03</t>
  </si>
  <si>
    <t>Comparo diferentes sistemas de reproducción.</t>
  </si>
  <si>
    <t>Comparación de sistemas de reproducción</t>
  </si>
  <si>
    <t>CO-EBC-G8_9-VIVO-04</t>
  </si>
  <si>
    <t>Justifico la importancia de la reproducción sexual en el mantenimiento de la variabilidad.</t>
  </si>
  <si>
    <t>Reproducción sexual y variabilidad</t>
  </si>
  <si>
    <t>CO-EBC-G8_9-VIVO-05</t>
  </si>
  <si>
    <t>Establezco la relación entre el ciclo menstrual y la reproducción humana.</t>
  </si>
  <si>
    <t>Reproducción humana y ciclo menstrual</t>
  </si>
  <si>
    <t>CO-EBC-G8_9-VIVO-06</t>
  </si>
  <si>
    <t>Analizo las consecuencias del control de la natalidad en las poblaciones.</t>
  </si>
  <si>
    <t>Factores que afectan el tamaño de poblaciones humanas</t>
  </si>
  <si>
    <t>CO-EBC-G8_9-VIVO-07</t>
  </si>
  <si>
    <t>Clasifico organismos en grupos taxonómicos de acuerdo con sus características celulares.</t>
  </si>
  <si>
    <t>Clasificación taxonómica por características celulares</t>
  </si>
  <si>
    <t>CO-EBC-G8_9-VIVO-08</t>
  </si>
  <si>
    <t>Propongo alternativas de clasificación de algunos organismos de difícil ubicación taxonómica.</t>
  </si>
  <si>
    <t>Criterios de clasificación taxonómica</t>
  </si>
  <si>
    <t>CO-EBC-G8_9-VIVO-09</t>
  </si>
  <si>
    <t>Identifico criterios para clasificar individuos dentro de una misma especie.</t>
  </si>
  <si>
    <t>Criterios de clasificación y variación intraespecífica</t>
  </si>
  <si>
    <t>CO-EBC-G8_9-VIVO-10</t>
  </si>
  <si>
    <t>Comparo sistemas de órganos de diferentes grupos taxonómicos.</t>
  </si>
  <si>
    <t>Comparar sistemas de órganos entre grupos de vertebrados</t>
  </si>
  <si>
    <t>CO-EBC-G8_9-VIVO-11</t>
  </si>
  <si>
    <t>Explico la importancia de las hormonas en la regulación de las funciones en el ser humano.</t>
  </si>
  <si>
    <t>Regulación hormonal y homeostasis</t>
  </si>
  <si>
    <t>CO-EBC-G8_9-VIVO-12</t>
  </si>
  <si>
    <t>Comparo y explico los sistemas de defensa y ataque de algunos animales y plantas en el aspecto morfológico y fisiológico.</t>
  </si>
  <si>
    <t>Depredación y defensas como relaciones en ecosistemas</t>
  </si>
  <si>
    <t>CO-EBC-G8_9-VIVO-13</t>
  </si>
  <si>
    <t>Formulo hipótesis acerca del origen y evolución de un grupo de organismos.</t>
  </si>
  <si>
    <t>Origen y evolución de grupos de organismos</t>
  </si>
  <si>
    <t>CO-EBC-G8_9-VIVO-14</t>
  </si>
  <si>
    <t>Establezco relaciones entre el clima en las diferentes eras geológicas y las adaptaciones de los seres vivos.</t>
  </si>
  <si>
    <t>Cambios climáticos geológicos y adaptación de seres vivos</t>
  </si>
  <si>
    <t>CO-EBC-G8_9-VIVO-15</t>
  </si>
  <si>
    <t>Comparo diferentes teorías sobre el origen de las especies.</t>
  </si>
  <si>
    <t>Teorías sobre origen de especies y selección natural</t>
  </si>
  <si>
    <t>CO-DBA-G9-01</t>
  </si>
  <si>
    <t>Comprende que el movimiento de un cuerpo, en un marco de referencia inercial dado, se puede describir con gráficos y predecir por medio de expresiones matemáticas.</t>
  </si>
  <si>
    <t>Descripción del movimiento con gráficos y ecuaciones</t>
  </si>
  <si>
    <t>CO-DBA-G9-02</t>
  </si>
  <si>
    <t>Comprende que la acidez y la basicidad son propiedades químicas de algunas sustancias y las relaciona con su importancia biológica y su uso cotidiano e industrial.</t>
  </si>
  <si>
    <t>Propiedades y usos de ácidos y bases</t>
  </si>
  <si>
    <t>CO-DBA-G9-03</t>
  </si>
  <si>
    <t>Analiza las relaciones cuantitativas entre solutos y solventes, así como los factores que afectan la formación de soluciones.</t>
  </si>
  <si>
    <t>Soluto, disolvente, concentración y factores de disolución</t>
  </si>
  <si>
    <t>CO-DBA-G9-04</t>
  </si>
  <si>
    <t>Comprende la forma en que los principios genéticos mendelianos y post-mendelianos explican la herencia y el mejoramiento de las especies existentes.</t>
  </si>
  <si>
    <t>Herencia genética mendeliana</t>
  </si>
  <si>
    <t>CO-DBA-G9-05</t>
  </si>
  <si>
    <t>Explica cómo se expresa la información genética del ADN en los fenotipos y reconoce que su modificación (mutaciones) genera diversidad y evolución de las especies.</t>
  </si>
  <si>
    <t>ADN y rasgos; mutaciones generan variación y evolución</t>
  </si>
  <si>
    <t>CO-DBA-G9-06</t>
  </si>
  <si>
    <t>Analiza teorías científicas sobre el origen de las especies (selección natural y ancestro común) como modelos científicos que sustentan sus explicaciones desde diferentes evidencias y argumentaciones.</t>
  </si>
  <si>
    <t>Evidencias de ancestro común y selección natural</t>
  </si>
  <si>
    <t>SG-CYC-001</t>
  </si>
  <si>
    <t>SG_Primary_Science_2023.pdf</t>
  </si>
  <si>
    <t>P3</t>
  </si>
  <si>
    <t>Ciclos · Ciclos de vida de plantas y animales</t>
  </si>
  <si>
    <t>Comprender que distintos seres vivos, plantas y animales, tienen ciclos de vida diferentes.</t>
  </si>
  <si>
    <t>Ciclos de vida distintos en plantas y animales</t>
  </si>
  <si>
    <t>SG-CYC-002</t>
  </si>
  <si>
    <t>Observar y comparar a lo largo del tiempo los ciclos de vida de plantas cultivadas desde semilla (semilla, planta joven, planta adulta).</t>
  </si>
  <si>
    <t>Etapas del ciclo de vida de plantas observadas en el tiempo</t>
  </si>
  <si>
    <t>SG-CYC-003</t>
  </si>
  <si>
    <t>Observar y comparar a lo largo del tiempo ciclos de vida de animales (gallina, cucaracha, rana, saltamontes, escarabajo, mariposa, mosquito).</t>
  </si>
  <si>
    <t>Comparar ciclos de vida de animales comunes por observación</t>
  </si>
  <si>
    <t>SG-DIV-001</t>
  </si>
  <si>
    <t>Diversidad · Diversidad de seres vivos y no vivos</t>
  </si>
  <si>
    <t>Describir las características de los seres vivos: necesitan agua, alimento y aire para sobrevivir; crecen, responden a estímulos y se reproducen.</t>
  </si>
  <si>
    <t>Rasgos de los seres vivos y sus necesidades básicas</t>
  </si>
  <si>
    <t>SG-DIV-002</t>
  </si>
  <si>
    <t>Reconocer grandes grupos de seres vivos por semejanzas y diferencias: plantas (con y sin flor), animales (anfibios, aves, peces, insectos, mamíferos, reptiles), hongos y bacterias.</t>
  </si>
  <si>
    <t>Grandes grupos de seres vivos por semejanzas y diferencias</t>
  </si>
  <si>
    <t>SG-DIV-003</t>
  </si>
  <si>
    <t>Observar una variedad de seres vivos y no vivos e inferir las diferencias entre ellos.</t>
  </si>
  <si>
    <t>Distinguir vivos de no vivos mediante observación e inferencia</t>
  </si>
  <si>
    <t>SG-DIV-004</t>
  </si>
  <si>
    <t>Clasificar seres vivos en grandes grupos (plantas y animales) según semejanzas y diferencias de características observables comunes.</t>
  </si>
  <si>
    <t>Clasificar plantas y animales por rasgos observables</t>
  </si>
  <si>
    <t>SG-DIV-005</t>
  </si>
  <si>
    <t>Diversidad · Diversidad de materiales</t>
  </si>
  <si>
    <t>Relacionar el uso de distintos materiales (madera, metal, cerámica, caucho, vidrio, plástico, tela) con sus propiedades físicas.</t>
  </si>
  <si>
    <t>Relaciona propiedades físicas de materiales con sus usos</t>
  </si>
  <si>
    <t>SG-DIV-006</t>
  </si>
  <si>
    <t>Comparar propiedades físicas de materiales: resistencia, flexibilidad, capacidad de flotar o hundirse, impermeabilidad y transparencia (sin exigir densidad ni términos transparente/translúcido/opaco).</t>
  </si>
  <si>
    <t>Comparar materiales por propiedades físicas, incluida flotación</t>
  </si>
  <si>
    <t>SG-INT-001</t>
  </si>
  <si>
    <t>Interacciones · Interacción de fuerzas: imanes</t>
  </si>
  <si>
    <t>Reconocer que un imán puede ejercer un empuje o una atracción (tirón).</t>
  </si>
  <si>
    <t>Imanes empujan o atraen: interacción magnética como fuerza</t>
  </si>
  <si>
    <t>SG-INT-002</t>
  </si>
  <si>
    <t>Identificar características de los imanes: de hierro o acero, dos polos, orientación norte-sur, polos distintos se atraen e iguales se repelen, atraen materiales magnéticos.</t>
  </si>
  <si>
    <t>Polos, atracción y repulsión de imanes</t>
  </si>
  <si>
    <t>SG-INT-003</t>
  </si>
  <si>
    <t>Reconocer usos de los imanes en objetos cotidianos.</t>
  </si>
  <si>
    <t>Usos cotidianos de imanes</t>
  </si>
  <si>
    <t>SG-INT-004</t>
  </si>
  <si>
    <t>Comparar imanes, materiales magnéticos y materiales no magnéticos.</t>
  </si>
  <si>
    <t>Clasificar materiales según atracción magnética</t>
  </si>
  <si>
    <t>SG-INT-005</t>
  </si>
  <si>
    <t>Fabricar un imán por el método de frotamiento y por el método eléctrico.</t>
  </si>
  <si>
    <t>Fabricar imanes; método eléctrico excede nivel de 4.°</t>
  </si>
  <si>
    <t>SG-PRA-001</t>
  </si>
  <si>
    <t>P3–P6</t>
  </si>
  <si>
    <t>Prácticas de la ciencia · Plantear preguntas y definir problemas</t>
  </si>
  <si>
    <t>Hacer preguntas por curiosidad o para profundizar la comprensión.</t>
  </si>
  <si>
    <t>Curiosidad general, no preguntas comprobables específicas</t>
  </si>
  <si>
    <t>SG-PRA-002</t>
  </si>
  <si>
    <t>Hacer preguntas que puedan investigarse.</t>
  </si>
  <si>
    <t>Formular preguntas investigables o comprobables</t>
  </si>
  <si>
    <t>SG-PRA-003</t>
  </si>
  <si>
    <t>P3–P4</t>
  </si>
  <si>
    <t>Prácticas de la ciencia · Diseñar investigaciones</t>
  </si>
  <si>
    <t>Reconocer una prueba justa (variables que cambian y que se mantienen).</t>
  </si>
  <si>
    <t>Prueba justa: variables que cambian y se mantienen</t>
  </si>
  <si>
    <t>SG-PRA-005</t>
  </si>
  <si>
    <t>Prácticas de la ciencia · Realizar investigaciones y probar soluciones</t>
  </si>
  <si>
    <t>Usar los sentidos, aparatos y equipos para recoger datos.</t>
  </si>
  <si>
    <t>Uso de equipo para recoger datos</t>
  </si>
  <si>
    <t>SG-PRA-006</t>
  </si>
  <si>
    <t>Investigar para responder preguntas mediante investigaciones guiadas.</t>
  </si>
  <si>
    <t>Investigación guiada genérica, sin disciplina definida</t>
  </si>
  <si>
    <t>SG-PRA-007</t>
  </si>
  <si>
    <t>Registrar y/o comparar observaciones o datos con andamiaje sugerido.</t>
  </si>
  <si>
    <t>Registrar y comparar datos; práctica genérica</t>
  </si>
  <si>
    <t>SG-PRA-011</t>
  </si>
  <si>
    <t>Prácticas de la ciencia · Analizar e interpretar datos</t>
  </si>
  <si>
    <t>Hacer análisis sencillos de datos en tablas, gráficos de barras y líneas, esquemas y diagramas para inferir patrones y relaciones o explicar hallazgos.</t>
  </si>
  <si>
    <t>Analizar datos para concluir; práctica genérica</t>
  </si>
  <si>
    <t>SG-PRA-013</t>
  </si>
  <si>
    <t>Prácticas de la ciencia · Comunicar, evaluar y defender ideas con evidencia</t>
  </si>
  <si>
    <t>Comunicar en forma escrita, oral, pictórica, tabular o gráfica explicaciones y razonamientos claros.</t>
  </si>
  <si>
    <t>Comunicación general sin contenido científico del catálogo</t>
  </si>
  <si>
    <t>SG-PRA-014</t>
  </si>
  <si>
    <t>Pedir aclaraciones para profundizar la comprensión.</t>
  </si>
  <si>
    <t>Pedir aclaraciones: competencia comunicativa general</t>
  </si>
  <si>
    <t>SG-PRA-015</t>
  </si>
  <si>
    <t>Prácticas de la ciencia · Tomar decisiones informadas y actuar responsablemente</t>
  </si>
  <si>
    <t>Enunciar o seleccionar opciones con base en criterios apropiados, dando razones.</t>
  </si>
  <si>
    <t>Toma de decisiones general, sin contenido del catálogo</t>
  </si>
  <si>
    <t>SG-PRA-016</t>
  </si>
  <si>
    <t>Prácticas de la ciencia · Usar y desarrollar modelos</t>
  </si>
  <si>
    <t>Usar representaciones múltiples (dibujos, esquemas, diagramas, tablas, gráficos) para explicar conceptos y describir y predecir fenómenos.</t>
  </si>
  <si>
    <t>Uso de modelos y representaciones, sin área específica</t>
  </si>
  <si>
    <t>SG-PRA-017</t>
  </si>
  <si>
    <t>Prácticas de la ciencia · Construir explicaciones y diseñar soluciones</t>
  </si>
  <si>
    <t>Construir explicaciones posibles y generar ideas.</t>
  </si>
  <si>
    <t>Construir explicaciones, competencia general sin contenido</t>
  </si>
  <si>
    <t>SG-CYC-010</t>
  </si>
  <si>
    <t>P4</t>
  </si>
  <si>
    <t>Ciclos · Ciclos en la materia y el agua: materia</t>
  </si>
  <si>
    <t>Enunciar que la materia es todo lo que tiene masa y ocupa espacio.</t>
  </si>
  <si>
    <t>Materia definida por masa y volumen, propiedades medibles</t>
  </si>
  <si>
    <t>SG-CYC-011</t>
  </si>
  <si>
    <t>Diferenciar los tres estados de la materia (sólido, líquido, gas) según su forma y volumen.</t>
  </si>
  <si>
    <t>Estados de la materia según forma y volumen</t>
  </si>
  <si>
    <t>SG-CYC-012</t>
  </si>
  <si>
    <t>Medir masa y volumen usando los instrumentos apropiados.</t>
  </si>
  <si>
    <t>Medir masa y volumen con instrumentos adecuados</t>
  </si>
  <si>
    <t>SG-ENE-001</t>
  </si>
  <si>
    <t>Energía · Formas y usos de la energía: luz</t>
  </si>
  <si>
    <t>Reconocer que un objeto se ve cuando refleja la luz o cuando es fuente de luz (no se exige la ley de reflexión).</t>
  </si>
  <si>
    <t>Ver objetos por luz reflejada o emitida</t>
  </si>
  <si>
    <t>SG-ENE-002</t>
  </si>
  <si>
    <t>Reconocer que la luz viaja en línea recta y que se forma una sombra cuando un objeto la bloquea total o parcialmente.</t>
  </si>
  <si>
    <t>Propagación rectilínea de la luz y formación de sombras</t>
  </si>
  <si>
    <t>SG-ENE-003</t>
  </si>
  <si>
    <t>Investigar las variables que afectan las sombras: forma, tamaño y posición del objeto y distancias fuente-objeto y objeto-pantalla.</t>
  </si>
  <si>
    <t>Investigar variables que afectan las sombras</t>
  </si>
  <si>
    <t>SG-ENE-004</t>
  </si>
  <si>
    <t>Energía · Formas y usos de la energía: calor</t>
  </si>
  <si>
    <t>Identificar algunas fuentes comunes de calor.</t>
  </si>
  <si>
    <t>Fuentes de calor como uso cotidiano de energía</t>
  </si>
  <si>
    <t>SG-ENE-005</t>
  </si>
  <si>
    <t>Enunciar que la temperatura de un objeto mide su grado de calor.</t>
  </si>
  <si>
    <t>Temperatura como medida de lo caliente o frío</t>
  </si>
  <si>
    <t>SG-ENE-006</t>
  </si>
  <si>
    <t>Enunciar que el calor es una forma de energía.</t>
  </si>
  <si>
    <t>Calor reconocido como forma de energía</t>
  </si>
  <si>
    <t>SG-ENE-007</t>
  </si>
  <si>
    <t>Diferenciar calor y temperatura.</t>
  </si>
  <si>
    <t>Distinguir calor de temperatura al calentar y enfriar</t>
  </si>
  <si>
    <t>SG-ENE-008</t>
  </si>
  <si>
    <t>Comprender que el calor fluye del objeto o lugar más caliente al más frío hasta que ambos alcanzan la misma temperatura.</t>
  </si>
  <si>
    <t>Flujo de calor de lo caliente a lo frío</t>
  </si>
  <si>
    <t>SG-ENE-009</t>
  </si>
  <si>
    <t>Relacionar el cambio de temperatura de un objeto con la ganancia o pérdida de calor.</t>
  </si>
  <si>
    <t>Cambio de temperatura por ganar o perder calor</t>
  </si>
  <si>
    <t>SG-ENE-010</t>
  </si>
  <si>
    <t>Enumerar efectos cotidianos de ganar o perder calor: dilatación y contracción de sólidos, líquidos y gases, y cambios de estado.</t>
  </si>
  <si>
    <t>Cambios de estado y dilatación al ganar o perder calor</t>
  </si>
  <si>
    <t>SG-ENE-011</t>
  </si>
  <si>
    <t>Identificar buenos conductores del calor (metales) y malos conductores (madera, plásticos, aire, caucho).</t>
  </si>
  <si>
    <t>Conductividad térmica como propiedad de materiales</t>
  </si>
  <si>
    <t>SG-ENE-012</t>
  </si>
  <si>
    <t>Medir la temperatura con un termómetro y con un registrador de datos con sensores de temperatura.</t>
  </si>
  <si>
    <t>Medir temperatura con termómetro y sensores</t>
  </si>
  <si>
    <t>SG-SYS-001</t>
  </si>
  <si>
    <t>Sistemas · Sistema humano: sistema digestivo</t>
  </si>
  <si>
    <t>Identificar los sistemas del cuerpo humano (digestivo, respiratorio, circulatorio, esquelético y muscular) y enunciar sus funciones, como visión general.</t>
  </si>
  <si>
    <t>Sistemas del cuerpo humano y sus funciones</t>
  </si>
  <si>
    <t>SG-SYS-002</t>
  </si>
  <si>
    <t>Identificar las partes del sistema digestivo humano (boca, esófago, estómago, intestino delgado y grueso) y describir sus funciones.</t>
  </si>
  <si>
    <t>Órganos digestivos y su función</t>
  </si>
  <si>
    <t>SG-SYS-008</t>
  </si>
  <si>
    <t>Sistemas · Sistema vegetal: partes de la planta y funciones</t>
  </si>
  <si>
    <t>Identificar las partes de la planta (hoja, tallo, raíz) y enunciar sus funciones.</t>
  </si>
  <si>
    <t>Partes de la planta y sus funciones</t>
  </si>
  <si>
    <t>SG-SYS-009</t>
  </si>
  <si>
    <t>Observar las partes de las plantas.</t>
  </si>
  <si>
    <t>Observación de estructuras vegetales</t>
  </si>
  <si>
    <t>SG-CYC-004</t>
  </si>
  <si>
    <t>P5</t>
  </si>
  <si>
    <t>Ciclos · Ciclos en plantas y animales: reproducción</t>
  </si>
  <si>
    <t>Reconocer que la célula es la unidad básica de la vida.</t>
  </si>
  <si>
    <t>Célula como unidad básica de la vida</t>
  </si>
  <si>
    <t>SG-CYC-005</t>
  </si>
  <si>
    <t>Comprender que los seres vivos se reproducen para asegurar la continuidad de su especie y que muchas características pasan de progenitores a descendencia.</t>
  </si>
  <si>
    <t>Reproducción y transmisión de rasgos a la descendencia</t>
  </si>
  <si>
    <t>SG-CYC-006</t>
  </si>
  <si>
    <t>Describir los procesos de la reproducción sexual de plantas con flor: polinización, fecundación (producción de semillas), dispersión de semillas y germinación.</t>
  </si>
  <si>
    <t>Reproducción sexual de plantas con flor</t>
  </si>
  <si>
    <t>SG-CYC-007</t>
  </si>
  <si>
    <t>Reconocer la fecundación en la reproducción sexual humana: el espermatozoide se une al óvulo, que se desarrolla en el útero; ovarios producen óvulos y testículos espermatozoides.</t>
  </si>
  <si>
    <t>Fecundación en la reproducción sexual humana</t>
  </si>
  <si>
    <t>SG-CYC-008</t>
  </si>
  <si>
    <t>Reconocer la semejanza de la fecundación en la reproducción sexual de plantas con flor y de seres humanos.</t>
  </si>
  <si>
    <t>Fecundación comparada en plantas y humanos</t>
  </si>
  <si>
    <t>SG-CYC-009</t>
  </si>
  <si>
    <t>Investigar las formas en que se reproducen las plantas: por esporas y por semillas (no se exige propagación vegetativa).</t>
  </si>
  <si>
    <t>Investigar modos de reproducción vegetal</t>
  </si>
  <si>
    <t>SG-CYC-013</t>
  </si>
  <si>
    <t>Ciclos · Ciclos en la materia y el agua: agua</t>
  </si>
  <si>
    <t>Reconocer que el agua puede existir en tres estados de la materia intercambiables.</t>
  </si>
  <si>
    <t>Agua en tres estados intercambiables</t>
  </si>
  <si>
    <t>SG-CYC-014</t>
  </si>
  <si>
    <t>Comprender cómo el agua cambia de estado: fusión, solidificación, ebullición/evaporación y condensación.</t>
  </si>
  <si>
    <t>Cambios de estado del agua</t>
  </si>
  <si>
    <t>SG-CYC-015</t>
  </si>
  <si>
    <t>Comprender los términos punto de fusión del hielo (o de congelación del agua) y punto de ebullición del agua.</t>
  </si>
  <si>
    <t>Puntos de fusión y ebullición del agua</t>
  </si>
  <si>
    <t>SG-CYC-016</t>
  </si>
  <si>
    <t>Comprender el papel de la evaporación y la condensación en el ciclo del agua.</t>
  </si>
  <si>
    <t>Evaporación y condensación en el ciclo del agua</t>
  </si>
  <si>
    <t>SG-CYC-017</t>
  </si>
  <si>
    <t>Reconocer la importancia del ciclo del agua.</t>
  </si>
  <si>
    <t>Importancia del ciclo del agua para renovar agua dulce</t>
  </si>
  <si>
    <t>SG-CYC-018</t>
  </si>
  <si>
    <t>Reconocer la importancia del agua para los procesos vitales.</t>
  </si>
  <si>
    <t>Agua y procesos vitales; sin objetivo exacto en catálogo</t>
  </si>
  <si>
    <t>SG-CYC-019</t>
  </si>
  <si>
    <t>Describir el impacto de la contaminación del agua sobre los recursos hídricos de la Tierra.</t>
  </si>
  <si>
    <t>Contaminación del agua y efectos en recursos hídricos</t>
  </si>
  <si>
    <t>SG-CYC-020</t>
  </si>
  <si>
    <t>Comparar el agua en sus tres estados.</t>
  </si>
  <si>
    <t>Comparar propiedades del agua en sus tres estados</t>
  </si>
  <si>
    <t>SG-CYC-021</t>
  </si>
  <si>
    <t>Investigar el efecto de ganar o perder calor sobre la temperatura y el estado del agua (fusión y congelación a 0 °C, ebullición a 100 °C, condensación).</t>
  </si>
  <si>
    <t>Investigar calor, temperatura y cambios de estado del agua</t>
  </si>
  <si>
    <t>SG-CYC-022</t>
  </si>
  <si>
    <t>Investigar los factores que afectan la rapidez de evaporación: viento, temperatura y superficie expuesta.</t>
  </si>
  <si>
    <t>Factores que afectan la rapidez de evaporación</t>
  </si>
  <si>
    <t>SG-PRA-004</t>
  </si>
  <si>
    <t>P5–P6</t>
  </si>
  <si>
    <t>Diseñar una prueba justa (variables que cambian y que se mantienen).</t>
  </si>
  <si>
    <t>Diseñar prueba justa controlando variables</t>
  </si>
  <si>
    <t>SG-PRA-008</t>
  </si>
  <si>
    <t>Usar y seleccionar aparatos y equipos apropiados para recoger datos.</t>
  </si>
  <si>
    <t>Seleccionar y usar equipo para recoger datos</t>
  </si>
  <si>
    <t>SG-PRA-009</t>
  </si>
  <si>
    <t>Investigar para responder preguntas mediante investigaciones guiadas y abiertas.</t>
  </si>
  <si>
    <t>Investigación guiada y abierta genérica, sin disciplina</t>
  </si>
  <si>
    <t>SG-PRA-010</t>
  </si>
  <si>
    <t>Registrar y/o comparar observaciones o datos en formas variadas: notas, dibujos y gráficos.</t>
  </si>
  <si>
    <t>Registrar datos en formas variadas; práctica genérica</t>
  </si>
  <si>
    <t>SG-PRA-012</t>
  </si>
  <si>
    <t>Analizar datos en tablas, gráficos de barras y líneas, esquemas y diagramas para inferir patrones y relaciones o explicar hallazgos.</t>
  </si>
  <si>
    <t>Analizar datos para inferir patrones; práctica genérica</t>
  </si>
  <si>
    <t>SG-SYS-003</t>
  </si>
  <si>
    <t>Sistemas · Sistema humano: sistemas respiratorio y circulatorio</t>
  </si>
  <si>
    <t>Reconocer que el aire está formado por gases como nitrógeno, dióxido de carbono, oxígeno y vapor de agua.</t>
  </si>
  <si>
    <t>Composición del aire como mezcla de gases</t>
  </si>
  <si>
    <t>SG-SYS-004</t>
  </si>
  <si>
    <t>Identificar las partes de los sistemas respiratorio (nariz, tráquea, pulmones) y circulatorio (corazón, sangre, vasos sanguíneos) y describir sus funciones.</t>
  </si>
  <si>
    <t>Órganos de sistemas respiratorio y circulatorio</t>
  </si>
  <si>
    <t>SG-SYS-005</t>
  </si>
  <si>
    <t>Reconocer la integración de los sistemas digestivo, respiratorio y circulatorio en la realización de los procesos vitales.</t>
  </si>
  <si>
    <t>Integración de sistemas de órganos en procesos vitales</t>
  </si>
  <si>
    <t>SG-SYS-006</t>
  </si>
  <si>
    <t>Comparar cómo plantas, peces y seres humanos toman oxígeno y liberan dióxido de carbono.</t>
  </si>
  <si>
    <t>Comparar intercambio de gases en plantas, peces y humanos</t>
  </si>
  <si>
    <t>SG-SYS-007</t>
  </si>
  <si>
    <t>Comparar el transporte de sustancias en plantas (tubos de alimento y agua) y en humanos (vasos que llevan alimento digerido, oxígeno y dióxido de carbono).</t>
  </si>
  <si>
    <t>Transporte de sustancias comparado en plantas y humanos</t>
  </si>
  <si>
    <t>SG-SYS-010</t>
  </si>
  <si>
    <t>Sistemas · Sistema vegetal: sistemas respiratorio y circulatorio</t>
  </si>
  <si>
    <t>Identificar las partes del sistema de transporte de la planta y describir sus funciones (sin exigir términos xilema/floema ni tirón transpiratorio).</t>
  </si>
  <si>
    <t>Sistema de transporte vegetal; catálogo enfocado en animales</t>
  </si>
  <si>
    <t>SG-SYS-011</t>
  </si>
  <si>
    <t>Investigar cómo se transportan el alimento y el agua dentro de la planta.</t>
  </si>
  <si>
    <t>Investigar transporte vegetal; catálogo enfocado en animales</t>
  </si>
  <si>
    <t>SG-SYS-012</t>
  </si>
  <si>
    <t>Sistemas · Sistema eléctrico</t>
  </si>
  <si>
    <t>Reconocer que un circuito con fuente de energía (batería) y componentes (cable, bombilla, interruptor) forma un sistema eléctrico.</t>
  </si>
  <si>
    <t>Componentes de un circuito eléctrico</t>
  </si>
  <si>
    <t>SG-SYS-013</t>
  </si>
  <si>
    <t>Comprender que un circuito cerrado permite el paso de la corriente.</t>
  </si>
  <si>
    <t>Circuito cerrado permite la corriente</t>
  </si>
  <si>
    <t>SG-SYS-014</t>
  </si>
  <si>
    <t>Identificar conductores y aislantes eléctricos.</t>
  </si>
  <si>
    <t>Conductores y aislantes eléctricos</t>
  </si>
  <si>
    <t>SG-SYS-015</t>
  </si>
  <si>
    <t>Construir circuitos sencillos a partir de diagramas de circuitos.</t>
  </si>
  <si>
    <t>Construir circuitos a partir de diagramas</t>
  </si>
  <si>
    <t>SG-SYS-016</t>
  </si>
  <si>
    <t>Investigar el efecto sobre la corriente del número de baterías en serie y del número de bombillas en serie y en paralelo.</t>
  </si>
  <si>
    <t>Investigar circuitos en serie y paralelo</t>
  </si>
  <si>
    <t>SG-ENE-013</t>
  </si>
  <si>
    <t>P6</t>
  </si>
  <si>
    <t>Energía · Formas y usos de la energía: fotosíntesis</t>
  </si>
  <si>
    <t>Reconocer que los seres vivos necesitan la energía liberada por la respiración a partir del alimento para realizar sus procesos vitales.</t>
  </si>
  <si>
    <t>Respiración libera energía del alimento</t>
  </si>
  <si>
    <t>SG-ENE-014</t>
  </si>
  <si>
    <t>Reconocer que el Sol es nuestra fuente primaria de energía (luz y calor).</t>
  </si>
  <si>
    <t>Sol como fuente primaria de luz y calor</t>
  </si>
  <si>
    <t>SG-ENE-015</t>
  </si>
  <si>
    <t>Diferenciar las formas en que plantas y animales obtienen energía.</t>
  </si>
  <si>
    <t>Obtención de energía en plantas y animales</t>
  </si>
  <si>
    <t>SG-ENE-016</t>
  </si>
  <si>
    <t>Investigar los requisitos de la fotosíntesis (agua, energía luminosa, dióxido de carbono) y sus productos (azúcar y oxígeno).</t>
  </si>
  <si>
    <t>Investigar requisitos y productos de la fotosíntesis</t>
  </si>
  <si>
    <t>SG-ENE-017</t>
  </si>
  <si>
    <t>Energía · Conversión de la energía</t>
  </si>
  <si>
    <t>Reconocer que la energía de la mayoría de nuestros recursos energéticos proviene de alguna manera del Sol.</t>
  </si>
  <si>
    <t>Origen solar de la mayoría de fuentes de energía</t>
  </si>
  <si>
    <t>SG-ENE-018</t>
  </si>
  <si>
    <t>Reconocer y ejemplificar formas de energía: cinética, potencial, luminosa, eléctrica, sonora y calorífica.</t>
  </si>
  <si>
    <t>Formas de energía</t>
  </si>
  <si>
    <t>SG-ENE-019</t>
  </si>
  <si>
    <t>Investigar la conversión de energía de una forma a otra.</t>
  </si>
  <si>
    <t>Investigar transformaciones de energía</t>
  </si>
  <si>
    <t>SG-INT-006</t>
  </si>
  <si>
    <t>Interacciones · Interacción de fuerzas: rozamiento, gravedad y fuerza elástica</t>
  </si>
  <si>
    <t>Identificar una fuerza como un empuje o un tirón.</t>
  </si>
  <si>
    <t>Fuerza como empuje o tirón</t>
  </si>
  <si>
    <t>SG-INT-007</t>
  </si>
  <si>
    <t>Comprender los efectos de una fuerza: poner en movimiento, acelerar, frenar, cambiar de dirección, detener un objeto o cambiar su forma.</t>
  </si>
  <si>
    <t>Efectos de las fuerzas sobre movimiento y forma</t>
  </si>
  <si>
    <t>SG-INT-008</t>
  </si>
  <si>
    <t>Reconocer y ejemplificar tipos de fuerzas: magnética, gravitatoria, elástica de resorte y de rozamiento.</t>
  </si>
  <si>
    <t>Tipos de fuerzas comunes: gravitatoria, elástica, rozamiento</t>
  </si>
  <si>
    <t>SG-INT-009</t>
  </si>
  <si>
    <t>Reconocer que los objetos tienen peso debido a la fuerza gravitatoria que actúa sobre ellos.</t>
  </si>
  <si>
    <t>Peso como fuerza de gravedad</t>
  </si>
  <si>
    <t>SG-INT-010</t>
  </si>
  <si>
    <t>Investigar el efecto de la fuerza de rozamiento sobre el movimiento de los objetos.</t>
  </si>
  <si>
    <t>Investigar efecto del rozamiento en el movimiento</t>
  </si>
  <si>
    <t>SG-INT-011</t>
  </si>
  <si>
    <t>Investigar los efectos de la fuerza elástica de un resorte.</t>
  </si>
  <si>
    <t>Investigar la fuerza elástica de un resorte</t>
  </si>
  <si>
    <t>SG-INT-012</t>
  </si>
  <si>
    <t>Interacciones · Interacciones en el ambiente</t>
  </si>
  <si>
    <t>Identificar factores que afectan la supervivencia de un organismo: condiciones físicas (temperatura, luz, agua), disponibilidad de alimento y otros organismos (productores, consumidores, descomponedores).</t>
  </si>
  <si>
    <t>Factores físicos y bióticos que limitan la supervivencia</t>
  </si>
  <si>
    <t>SG-INT-013</t>
  </si>
  <si>
    <t>Comprender qué ocurre a los organismos cuando el ambiente se vuelve desfavorable: se adaptan y sobreviven, migran a otros lugares o mueren.</t>
  </si>
  <si>
    <t>Respuesta a ambientes desfavorables: adaptación, migración o muerte</t>
  </si>
  <si>
    <t>SG-INT-014</t>
  </si>
  <si>
    <t>Comprender el flujo de energía desde el Sol a través de los seres vivos e identificar productores, consumidores, depredadores y presas en cadenas y redes alimentarias.</t>
  </si>
  <si>
    <t>Flujo de energía y cadenas y redes tróficas</t>
  </si>
  <si>
    <t>SG-INT-015</t>
  </si>
  <si>
    <t>Diferenciar organismo, población (organismos de la misma especie en un lugar y tiempo) y comunidad (varias poblaciones que conviven).</t>
  </si>
  <si>
    <t>Organismo, población y comunidad en el ecosistema</t>
  </si>
  <si>
    <t>SG-INT-016</t>
  </si>
  <si>
    <t>Comprender que distintos hábitats (jardín, campo, estanque, costa, árbol, manglar) sostienen comunidades diferentes.</t>
  </si>
  <si>
    <t>Hábitats distintos sostienen comunidades diferentes</t>
  </si>
  <si>
    <t>SG-INT-017</t>
  </si>
  <si>
    <t>Comprender que las adaptaciones estructurales o conductuales favorecen la supervivencia: enfrentar factores físicos, obtener alimento, escapar de depredadores y reproducirse.</t>
  </si>
  <si>
    <t>Adaptaciones como ventaja de supervivencia y reproducción</t>
  </si>
  <si>
    <t>SG-INT-018</t>
  </si>
  <si>
    <t>Dar ejemplos del impacto humano positivo (conservación, reforestación) y negativo (agotamiento de recursos, deforestación, contaminación, calentamiento global) sobre el ambiente.</t>
  </si>
  <si>
    <t>Impacto humano positivo y negativo en el ambiente</t>
  </si>
  <si>
    <t>SG-INT-019</t>
  </si>
  <si>
    <t>Observar, recopilar y registrar información sobre los factores que interactúan dentro de un ambiente.</t>
  </si>
  <si>
    <t>Observar y registrar factores de un ambiente</t>
  </si>
  <si>
    <t>Cómo se calcula: Una fila = un objetivo/contenido del currículo de otro país, con su documento y página. Columnas J-K: alineación con TIMSS 2027 asistida por IA con el mismo método que los temas de la malla (revisable). M es fórmula. Nunca se compara país contra país: todo pasa por los códigos TIMSS.</t>
  </si>
  <si>
    <t>Datos - TIMSS 2023</t>
  </si>
  <si>
    <t>Referencia TIMSS 2023 (v1): cobertura y balance recalculados con la clasificación v1</t>
  </si>
  <si>
    <t>TIMSS 2023 (versión anterior)
● Solo para comparar. Con TIMSS 2023 se cubrían 31 de 32 objetivos de 4.° y 43 de 46 de 8.°.</t>
  </si>
  <si>
    <t>Código 2023</t>
  </si>
  <si>
    <t>Ciclo que evalúa</t>
  </si>
  <si>
    <t>Temas en su ciclo (v1)</t>
  </si>
  <si>
    <t>Cubierto (v1)</t>
  </si>
  <si>
    <t>T4</t>
  </si>
  <si>
    <t>Ciencias de la vida</t>
  </si>
  <si>
    <t>Distinguir seres vivos de no vivos; reconocer lo que necesitan para vivir</t>
  </si>
  <si>
    <t>Comparar rasgos físicos y de conducta de grandes grupos de animales y plantas</t>
  </si>
  <si>
    <t>Relacionar estructuras principales de los organismos con su función</t>
  </si>
  <si>
    <t>Etapas del ciclo de vida de plantas con flor; comparar ciclos de plantas y animales</t>
  </si>
  <si>
    <t>T4-V2.2</t>
  </si>
  <si>
    <t>Las crías se parecen a sus progenitores; rasgos heredados vs. adquiridos</t>
  </si>
  <si>
    <t>Organismos, ambiente y sus interacciones</t>
  </si>
  <si>
    <t>Relacionar rasgos físicos y conductas con la supervivencia en un ambiente (adaptación)</t>
  </si>
  <si>
    <t>Cómo responden los organismos a cambios en su ambiente</t>
  </si>
  <si>
    <t>Impacto positivo y negativo del ser humano en el ambiente</t>
  </si>
  <si>
    <t>Relacionar plantas y animales comunes con su ecosistema</t>
  </si>
  <si>
    <t>Cadenas alimentarias; roles de organismos; depredador-presa</t>
  </si>
  <si>
    <t>Competencia entre organismos por recursos del ecosistema</t>
  </si>
  <si>
    <t>Conductas saludables y componentes de una dieta balanceada</t>
  </si>
  <si>
    <t>Transmisión de enfermedades por contacto; formas de prevención</t>
  </si>
  <si>
    <t>Clasificación y propiedades de la materia y sus cambios</t>
  </si>
  <si>
    <t>Tres estados de la materia y sus características</t>
  </si>
  <si>
    <t>Comparar y clasificar objetos por propiedades físicas; propiedades de metales; mezclas</t>
  </si>
  <si>
    <t>Polos de imanes se atraen/repelen; imanes atraen ciertos metales</t>
  </si>
  <si>
    <t>Cambios físicos observables; cambios de estado por calentamiento/enfriamiento</t>
  </si>
  <si>
    <t>Cambios químicos observables; formas de acelerar la disolución</t>
  </si>
  <si>
    <t>Formas de energía y transferencia de energía</t>
  </si>
  <si>
    <t>Fuentes de energía y sus usos prácticos</t>
  </si>
  <si>
    <t>Luz (sombras, reflejos, arcoíris) y sonido (vibraciones, eco)</t>
  </si>
  <si>
    <t>Cambios de temperatura al contacto entre objetos calientes y fríos</t>
  </si>
  <si>
    <t>Energía eléctrica se transforma en otras formas; requisitos de un circuito</t>
  </si>
  <si>
    <t>Gravedad; las fuerzas cambian el movimiento; efectos de la fricción</t>
  </si>
  <si>
    <t>Máquinas simples reducen la fuerza necesaria</t>
  </si>
  <si>
    <t>Características físicas, recursos e historia de la Tierra</t>
  </si>
  <si>
    <t>Distribución de tierra y agua; ubicación de agua dulce y salada</t>
  </si>
  <si>
    <t>Recursos de la Tierra y su uso responsable</t>
  </si>
  <si>
    <t>Viento y agua modelan el paisaje; fósiles en rocas</t>
  </si>
  <si>
    <t>Aplicar cambios de estado a fenómenos del tiempo atmosférico</t>
  </si>
  <si>
    <t>Variación del tiempo atmosférico según la ubicación geográfica</t>
  </si>
  <si>
    <t>Cambios estacionales de temperatura y lluvia; calentamiento global</t>
  </si>
  <si>
    <t>La Tierra en el Sistema Solar</t>
  </si>
  <si>
    <t>Sistema Solar; la Luna gira alrededor de la Tierra</t>
  </si>
  <si>
    <t>Día y noche por rotación; estaciones por inclinación del eje</t>
  </si>
  <si>
    <t>T8</t>
  </si>
  <si>
    <t>Grupos taxonómicos: rasgos que los definen y clasificación de organismos</t>
  </si>
  <si>
    <t>Sistemas de órganos: ubicar órganos, comparar vertebrados, explicar funciones</t>
  </si>
  <si>
    <t>Procesos fisiológicos: respuestas que mantienen condiciones corporales estables</t>
  </si>
  <si>
    <t>Células y sus funciones</t>
  </si>
  <si>
    <t>Estructura celular: organelos, célula vegetal vs. animal, tejidos y órganos</t>
  </si>
  <si>
    <t>Fotosíntesis y respiración celular: entradas y salidas</t>
  </si>
  <si>
    <t>Ciclos de vida y patrones de crecimiento</t>
  </si>
  <si>
    <t>Reproducción sexual, material genético y herencia; rasgos heredados vs. adquiridos</t>
  </si>
  <si>
    <t>Variación y ventaja de supervivencia; extinción y éxito reproductivo</t>
  </si>
  <si>
    <t>Evidencias del cambio: fósiles y ancestros comunes</t>
  </si>
  <si>
    <t>Flujo de energía: productores, consumidores, descomponedores, redes y pirámides</t>
  </si>
  <si>
    <t>Ciclos del agua, oxígeno y carbono en ecosistemas</t>
  </si>
  <si>
    <t>Relaciones entre poblaciones: competencia, depredación, simbiosis</t>
  </si>
  <si>
    <t>Factores que afectan poblaciones; factores limitantes; predicción de cambios</t>
  </si>
  <si>
    <t>T8-B6.1</t>
  </si>
  <si>
    <t>Enfermedades: causas, transmisión, prevención; sistema inmune</t>
  </si>
  <si>
    <t>Dieta y ejercicio; fuentes y funciones de nutrientes</t>
  </si>
  <si>
    <t>Átomos (partículas subatómicas) y moléculas; materia como partículas</t>
  </si>
  <si>
    <t>Elementos, compuestos y mezclas; sustancias puras vs. mezclas</t>
  </si>
  <si>
    <t>Tabla periódica: orden por número de protones, grupos y propiedades</t>
  </si>
  <si>
    <t>Propiedades físicas vs. químicas; usos según propiedades</t>
  </si>
  <si>
    <t>Clasificar sustancias por propiedades físicas o químicas</t>
  </si>
  <si>
    <t>Mezclas y disoluciones: separación, disolución y factores</t>
  </si>
  <si>
    <t>Ácidos y bases: sustancias cotidianas, indicadores, neutralización</t>
  </si>
  <si>
    <t>Cambio químico</t>
  </si>
  <si>
    <t>Cambio químico vs. físico; evidencias de reacción</t>
  </si>
  <si>
    <t>Conservación de la materia; energía liberada/absorbida; velocidad de reacción</t>
  </si>
  <si>
    <t>Enlace químico como atracción entre átomos que involucra electrones</t>
  </si>
  <si>
    <t>Movimiento de partículas y propiedades físicas</t>
  </si>
  <si>
    <t>Cambios de estado por energía térmica; factores que afectan su rapidez</t>
  </si>
  <si>
    <t>Formas de energía, transformaciones y conservación</t>
  </si>
  <si>
    <t>Transferencia térmica, conductividad, temperatura constante en cambios de fase</t>
  </si>
  <si>
    <t>T8-F3.1</t>
  </si>
  <si>
    <t>Propiedades de la luz; diagramas de rayos</t>
  </si>
  <si>
    <t>Propiedades del sonido y fenómenos asociados</t>
  </si>
  <si>
    <t>Conductores y aislantes; componentes y diagramas de circuitos</t>
  </si>
  <si>
    <t>Imanes permanentes y electroimanes: propiedades y usos</t>
  </si>
  <si>
    <t>Rapidez y aceleración</t>
  </si>
  <si>
    <t>Fuerzas mecánicas, magnitud y dirección; gravedad en distintos planetas</t>
  </si>
  <si>
    <t>Máquinas simples, flotación, presión, predicción de cambios de movimiento</t>
  </si>
  <si>
    <t>Estructura y rasgos físicos de la Tierra</t>
  </si>
  <si>
    <t>Capas de la Tierra y sus características</t>
  </si>
  <si>
    <t>Composición de la atmósfera, relación con la vida y con la altitud</t>
  </si>
  <si>
    <t>Procesos, ciclos e historia de la Tierra</t>
  </si>
  <si>
    <t>Procesos geológicos: ciclo de las rocas, eventos que cambian la superficie, fósiles</t>
  </si>
  <si>
    <t>Ciclo del agua y papel de la energía solar</t>
  </si>
  <si>
    <t>Tiempo atmosférico vs. clima; patrones climáticos; evidencias del cambio climático</t>
  </si>
  <si>
    <t>Recursos renovables y no renovables; fuentes de energía; conservación</t>
  </si>
  <si>
    <t>Uso del suelo y del agua; conservación del agua</t>
  </si>
  <si>
    <t>La Tierra en el Sistema Solar y el Universo</t>
  </si>
  <si>
    <t>Fenómenos observables: traslación, mareas, fases lunares, eclipses</t>
  </si>
  <si>
    <t>Sol como estrella; comparar Tierra, Luna y planetas; gravedad y órbitas</t>
  </si>
  <si>
    <t>Amplitud 2023 por marco</t>
  </si>
  <si>
    <t>Objetivos</t>
  </si>
  <si>
    <t>Cubiertos</t>
  </si>
  <si>
    <t>Balance 2023 por ciclo (mismas fórmulas que TIMSS - Balance por ciclo del libro v1)</t>
  </si>
  <si>
    <t>Marco 2023</t>
  </si>
  <si>
    <t>Dominio 2023</t>
  </si>
  <si>
    <t>Temas actuales</t>
  </si>
  <si>
    <t>Meta</t>
  </si>
  <si>
    <t>Cómo se calcula: Solo para comparar. Usa las columnas AA-AC de Temas (clasificación v1 contra TIMSS 2023) con las mismas reglas del libro v1 (Cobertura_TIMSS_Ciencias_SV.xlsx). Los resultados deben coincidir con ese libro.</t>
  </si>
  <si>
    <t>Fuentes</t>
  </si>
  <si>
    <t>Fuentes y versiones usadas</t>
  </si>
  <si>
    <t>TIMSS y PISA
● 1260 temas leídos de 11 mallas del MINED.
● Marcos oficiales: TIMSS 2027, TIMSS Advanced 2015 y PISA 2025, citados con página.</t>
  </si>
  <si>
    <t>Archivo (carpeta «Mallas sugeridas», Drive)</t>
  </si>
  <si>
    <t>ID Drive</t>
  </si>
  <si>
    <t>Última modificación</t>
  </si>
  <si>
    <t>Temas extraídos</t>
  </si>
  <si>
    <t>Nota</t>
  </si>
  <si>
    <t>1ivJe3XBmtbIi_Pgjc6Z2Xc4pn1tL0Rw3</t>
  </si>
  <si>
    <t>descargado 2026-10-01</t>
  </si>
  <si>
    <t>Matriz_Ciencias_3er_Grado_U1_U6 (Hoja de cálculo de Google)</t>
  </si>
  <si>
    <t>1de6X-m-0tCrVH5g6FSYx5rYdWtCYM9UurTG5mdAWXS0</t>
  </si>
  <si>
    <t>2026-09-28</t>
  </si>
  <si>
    <t>Se usó la versión Google Sheets (más reciente que el .xlsx).</t>
  </si>
  <si>
    <t>1ijnmjjWjW1YwhtiHeqh4hX17UX_OqB1y</t>
  </si>
  <si>
    <t>1V9G2VP2Vbe-GCCYYQAZdGBYH6MPLYJY6</t>
  </si>
  <si>
    <t>11jnnAGb8NZvI0jQuFxXVvX73dCVR7DKC</t>
  </si>
  <si>
    <t>1OR7NdtVVqI8P8NFaHgzIE2kpHCu-621X</t>
  </si>
  <si>
    <t>1trSwU3iYDitze9gH-VuOsXcWm9Hhs095</t>
  </si>
  <si>
    <t>1or_yQdA1e1iLSx-x8XDs1vNSZC_-HM1D</t>
  </si>
  <si>
    <t>1SMhkw4GQloLiBSHTS3rvnQoroZmHTh38</t>
  </si>
  <si>
    <t>2026-09-30</t>
  </si>
  <si>
    <t>1PGQKwpI0KnyUQicq4HQY4ghVZSCF4d6V</t>
  </si>
  <si>
    <t>Solo se usa para el análisis cognitivo (sin marco TIMSS de contenido).</t>
  </si>
  <si>
    <t>1f3nWhHBpQS1vajP1PZqNGcKZEYLh7oF2</t>
  </si>
  <si>
    <t>Total</t>
  </si>
  <si>
    <t>Marcos de referencia</t>
  </si>
  <si>
    <t>IEA (2025). TIMSS 2027 Assessment Frameworks, cap. 2 Science (data/referencia/externos/timss/TIMSS2027_Marcos_Evaluacion.pdf). Catálogo: data/referencia/catalogo_timss2027.json (página impresa por objetivo).</t>
  </si>
  <si>
    <t>Cambios 2023→2027: data/referencia/cambios_timss_2023_2027.md y equivalencias_timss_2023_2027.csv.</t>
  </si>
  <si>
    <t>IEA (2021). TIMSS 2023 Assessment Frameworks, cap. 2 Science. https://timss.bc.edu/timss2023/frameworks/pdf/T23_Frameworks_Ch2_Science.pdf</t>
  </si>
  <si>
    <t>IEA (2014). TIMSS Advanced 2015 Assessment Frameworks, cap. 2 Physics. https://elvis.bc.edu/timss2015-advanced/downloads/TA15_FW_Chap2.pdf</t>
  </si>
  <si>
    <t>Mallas: columna «Habilidad TIMSS» (dominios Conocer/Aplicar/Razonar) elaborada por el equipo de Ciencias (MINED).</t>
  </si>
  <si>
    <t>Otros países (TIMSS - Otros países): ANEP Uruguay, programas EBI 2023 tramos 3–6 · MEN Colombia, DBA Ciencias Naturales (2016) y Estándares Básicos de Competencias (2006) · MOE Singapur, Primary Science Syllabus 2023. URL y SHA-256 en data/referencia/externos/manifest.csv y estado.csv. Chile no está incluido (descarga bloqueada por el sitio).</t>
  </si>
</sst>
</file>

<file path=xl/styles.xml><?xml version="1.0" encoding="utf-8"?>
<styleSheet xmlns="http://schemas.openxmlformats.org/spreadsheetml/2006/main">
  <numFmts count="4">
    <numFmt numFmtId="0" formatCode="General"/>
    <numFmt numFmtId="59" formatCode="0.0%"/>
    <numFmt numFmtId="60" formatCode="0.0"/>
    <numFmt numFmtId="61" formatCode="0.0&quot; pp&quot;"/>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3"/>
      <name val="Arial"/>
    </font>
    <font>
      <i val="1"/>
      <sz val="9"/>
      <color indexed="15"/>
      <name val="Arial"/>
    </font>
    <font>
      <b val="1"/>
      <sz val="11"/>
      <color indexed="13"/>
      <name val="Arial"/>
    </font>
    <font>
      <sz val="10"/>
      <color indexed="8"/>
      <name val="Arial"/>
    </font>
    <font>
      <sz val="11"/>
      <color indexed="13"/>
      <name val="Arial"/>
    </font>
    <font>
      <b val="1"/>
      <sz val="10"/>
      <color indexed="14"/>
      <name val="Arial"/>
    </font>
    <font>
      <sz val="10"/>
      <color indexed="18"/>
      <name val="Arial"/>
    </font>
    <font>
      <b val="1"/>
      <sz val="10"/>
      <color indexed="8"/>
      <name val="Arial"/>
    </font>
    <font>
      <b val="1"/>
      <sz val="10"/>
      <color indexed="19"/>
      <name val="Arial"/>
    </font>
    <font>
      <sz val="11"/>
      <color indexed="8"/>
      <name val="Helvetica Neue"/>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7"/>
        <bgColor auto="1"/>
      </patternFill>
    </fill>
    <fill>
      <patternFill patternType="solid">
        <fgColor indexed="13"/>
        <bgColor auto="1"/>
      </patternFill>
    </fill>
    <fill>
      <patternFill patternType="solid">
        <fgColor indexed="20"/>
        <bgColor auto="1"/>
      </patternFill>
    </fill>
  </fills>
  <borders count="3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style="thin">
        <color indexed="16"/>
      </bottom>
      <diagonal/>
    </border>
    <border>
      <left/>
      <right/>
      <top/>
      <bottom/>
      <diagonal/>
    </border>
    <border>
      <left/>
      <right style="thin">
        <color indexed="12"/>
      </right>
      <top/>
      <bottom/>
      <diagonal/>
    </border>
    <border>
      <left style="thin">
        <color indexed="12"/>
      </left>
      <right style="thin">
        <color indexed="16"/>
      </right>
      <top/>
      <bottom/>
      <diagonal/>
    </border>
    <border>
      <left style="thin">
        <color indexed="16"/>
      </left>
      <right style="thin">
        <color indexed="16"/>
      </right>
      <top style="thin">
        <color indexed="16"/>
      </top>
      <bottom style="thin">
        <color indexed="16"/>
      </bottom>
      <diagonal/>
    </border>
    <border>
      <left style="thin">
        <color indexed="16"/>
      </left>
      <right/>
      <top/>
      <bottom/>
      <diagonal/>
    </border>
    <border>
      <left/>
      <right/>
      <top style="thin">
        <color indexed="16"/>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12"/>
      </top>
      <bottom style="thin">
        <color indexed="16"/>
      </bottom>
      <diagonal/>
    </border>
    <border>
      <left/>
      <right/>
      <top style="thin">
        <color indexed="12"/>
      </top>
      <bottom style="thin">
        <color indexed="16"/>
      </bottom>
      <diagonal/>
    </border>
    <border>
      <left style="thin">
        <color indexed="16"/>
      </left>
      <right/>
      <top style="thin">
        <color indexed="16"/>
      </top>
      <bottom style="thin">
        <color indexed="16"/>
      </bottom>
      <diagonal/>
    </border>
    <border>
      <left/>
      <right/>
      <top style="thin">
        <color indexed="16"/>
      </top>
      <bottom style="thin">
        <color indexed="16"/>
      </bottom>
      <diagonal/>
    </border>
    <border>
      <left/>
      <right style="thin">
        <color indexed="16"/>
      </right>
      <top style="thin">
        <color indexed="16"/>
      </top>
      <bottom style="thin">
        <color indexed="16"/>
      </bottom>
      <diagonal/>
    </border>
    <border>
      <left style="thin">
        <color indexed="12"/>
      </left>
      <right/>
      <top style="thin">
        <color indexed="16"/>
      </top>
      <bottom style="thin">
        <color indexed="16"/>
      </bottom>
      <diagonal/>
    </border>
    <border>
      <left style="thin">
        <color indexed="12"/>
      </left>
      <right/>
      <top style="thin">
        <color indexed="16"/>
      </top>
      <bottom/>
      <diagonal/>
    </border>
    <border>
      <left style="thin">
        <color indexed="12"/>
      </left>
      <right/>
      <top/>
      <bottom style="thin">
        <color indexed="16"/>
      </bottom>
      <diagonal/>
    </border>
    <border>
      <left/>
      <right style="thin">
        <color indexed="12"/>
      </right>
      <top/>
      <bottom style="thin">
        <color indexed="16"/>
      </bottom>
      <diagonal/>
    </border>
    <border>
      <left/>
      <right style="thin">
        <color indexed="12"/>
      </right>
      <top style="thin">
        <color indexed="16"/>
      </top>
      <bottom/>
      <diagonal/>
    </border>
    <border>
      <left/>
      <right style="thin">
        <color indexed="16"/>
      </right>
      <top/>
      <bottom/>
      <diagonal/>
    </border>
    <border>
      <left style="thin">
        <color indexed="16"/>
      </left>
      <right style="thin">
        <color indexed="16"/>
      </right>
      <top/>
      <bottom/>
      <diagonal/>
    </border>
    <border>
      <left/>
      <right style="thin">
        <color indexed="16"/>
      </right>
      <top/>
      <bottom style="thin">
        <color indexed="16"/>
      </bottom>
      <diagonal/>
    </border>
    <border>
      <left style="thin">
        <color indexed="16"/>
      </left>
      <right/>
      <top/>
      <bottom style="thin">
        <color indexed="16"/>
      </bottom>
      <diagonal/>
    </border>
    <border>
      <left style="thin">
        <color indexed="16"/>
      </left>
      <right style="thin">
        <color indexed="12"/>
      </right>
      <top/>
      <bottom/>
      <diagonal/>
    </border>
    <border>
      <left/>
      <right style="thin">
        <color indexed="12"/>
      </right>
      <top style="thin">
        <color indexed="16"/>
      </top>
      <bottom style="thin">
        <color indexed="16"/>
      </bottom>
      <diagonal/>
    </border>
    <border>
      <left style="thin">
        <color indexed="16"/>
      </left>
      <right style="thin">
        <color indexed="12"/>
      </right>
      <top/>
      <bottom style="thin">
        <color indexed="16"/>
      </bottom>
      <diagonal/>
    </border>
    <border>
      <left/>
      <right style="thin">
        <color indexed="12"/>
      </right>
      <top style="thin">
        <color indexed="12"/>
      </top>
      <bottom style="thin">
        <color indexed="16"/>
      </bottom>
      <diagonal/>
    </border>
    <border>
      <left/>
      <right style="thin">
        <color indexed="16"/>
      </right>
      <top style="thin">
        <color indexed="16"/>
      </top>
      <bottom/>
      <diagonal/>
    </border>
    <border>
      <left style="thin">
        <color indexed="16"/>
      </left>
      <right/>
      <top style="thin">
        <color indexed="16"/>
      </top>
      <bottom/>
      <diagonal/>
    </border>
    <border>
      <left style="thin">
        <color indexed="16"/>
      </left>
      <right style="thin">
        <color indexed="16"/>
      </right>
      <top/>
      <bottom style="thin">
        <color indexed="16"/>
      </bottom>
      <diagonal/>
    </border>
  </borders>
  <cellStyleXfs count="1">
    <xf numFmtId="0" fontId="0" applyNumberFormat="0" applyFont="1" applyFill="0" applyBorder="0" applyAlignment="1" applyProtection="0">
      <alignment vertical="bottom"/>
    </xf>
  </cellStyleXfs>
  <cellXfs count="13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6" fillId="4" borderId="2" applyNumberFormat="1" applyFont="1" applyFill="1" applyBorder="1" applyAlignment="1" applyProtection="0">
      <alignment vertical="top"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7" fillId="4" borderId="5" applyNumberFormat="1" applyFont="1" applyFill="1" applyBorder="1" applyAlignment="1" applyProtection="0">
      <alignment vertical="top" wrapText="1"/>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8" fillId="5" borderId="9" applyNumberFormat="0" applyFont="1" applyFill="1" applyBorder="1" applyAlignment="1" applyProtection="0">
      <alignment vertical="top" wrapText="1"/>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49" fontId="8" fillId="4" borderId="6" applyNumberFormat="1" applyFont="1" applyFill="1" applyBorder="1" applyAlignment="1" applyProtection="0">
      <alignment vertical="top" wrapText="1"/>
    </xf>
    <xf numFmtId="0" fontId="9" fillId="4" borderId="6" applyNumberFormat="0" applyFont="1" applyFill="1" applyBorder="1" applyAlignment="1" applyProtection="0">
      <alignment vertical="top" wrapText="1"/>
    </xf>
    <xf numFmtId="49" fontId="9" fillId="4" borderId="6" applyNumberFormat="1" applyFont="1" applyFill="1" applyBorder="1" applyAlignment="1" applyProtection="0">
      <alignment vertical="top" wrapText="1"/>
    </xf>
    <xf numFmtId="0" fontId="0" borderId="12" applyNumberFormat="0" applyFont="1" applyFill="0" applyBorder="1" applyAlignment="1" applyProtection="0">
      <alignment vertical="bottom"/>
    </xf>
    <xf numFmtId="49" fontId="9" fillId="4" borderId="13" applyNumberFormat="1" applyFont="1" applyFill="1" applyBorder="1" applyAlignment="1" applyProtection="0">
      <alignment vertical="top" wrapText="1"/>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5" applyNumberFormat="1" applyFont="1" applyFill="0" applyBorder="1" applyAlignment="1" applyProtection="0">
      <alignment vertical="bottom"/>
    </xf>
    <xf numFmtId="0" fontId="0" borderId="16" applyNumberFormat="0" applyFont="1" applyFill="0" applyBorder="1" applyAlignment="1" applyProtection="0">
      <alignment vertical="bottom"/>
    </xf>
    <xf numFmtId="0" fontId="10" fillId="5" borderId="9" applyNumberFormat="0" applyFont="1" applyFill="1" applyBorder="1" applyAlignment="1" applyProtection="0">
      <alignment vertical="top" wrapText="1"/>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49" fontId="7" fillId="4" borderId="20" applyNumberFormat="1" applyFont="1" applyFill="1" applyBorder="1" applyAlignment="1" applyProtection="0">
      <alignment vertical="top" wrapText="1"/>
    </xf>
    <xf numFmtId="49" fontId="11" fillId="6" borderId="9" applyNumberFormat="1" applyFont="1" applyFill="1" applyBorder="1" applyAlignment="1" applyProtection="0">
      <alignment horizontal="center" vertical="center" wrapText="1"/>
    </xf>
    <xf numFmtId="49" fontId="9" borderId="9" applyNumberFormat="1" applyFont="1" applyFill="0" applyBorder="1" applyAlignment="1" applyProtection="0">
      <alignment vertical="bottom"/>
    </xf>
    <xf numFmtId="0" fontId="9" borderId="9" applyNumberFormat="1" applyFont="1" applyFill="0" applyBorder="1" applyAlignment="1" applyProtection="0">
      <alignment vertical="bottom"/>
    </xf>
    <xf numFmtId="0" fontId="12" borderId="9" applyNumberFormat="1" applyFont="1" applyFill="0" applyBorder="1" applyAlignment="1" applyProtection="0">
      <alignment vertical="bottom"/>
    </xf>
    <xf numFmtId="59" fontId="9" borderId="9" applyNumberFormat="1" applyFont="1" applyFill="0" applyBorder="1" applyAlignment="1" applyProtection="0">
      <alignment vertical="bottom"/>
    </xf>
    <xf numFmtId="0" fontId="9" borderId="9" applyNumberFormat="0" applyFont="1" applyFill="0" applyBorder="1" applyAlignment="1" applyProtection="0">
      <alignment vertical="bottom"/>
    </xf>
    <xf numFmtId="59" fontId="12" borderId="9" applyNumberFormat="1" applyFont="1" applyFill="0" applyBorder="1" applyAlignment="1" applyProtection="0">
      <alignment vertical="bottom"/>
    </xf>
    <xf numFmtId="9" fontId="12" borderId="9" applyNumberFormat="1" applyFont="1" applyFill="0" applyBorder="1" applyAlignment="1" applyProtection="0">
      <alignment vertical="bottom"/>
    </xf>
    <xf numFmtId="0" fontId="0" borderId="21" applyNumberFormat="0" applyFont="1" applyFill="0" applyBorder="1" applyAlignment="1" applyProtection="0">
      <alignment vertical="bottom"/>
    </xf>
    <xf numFmtId="49" fontId="8" borderId="22"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12" fillId="4" borderId="9" applyNumberFormat="1" applyFont="1" applyFill="1" applyBorder="1" applyAlignment="1" applyProtection="0">
      <alignment vertical="top" wrapText="1"/>
    </xf>
    <xf numFmtId="59" fontId="12" fillId="4" borderId="9" applyNumberFormat="1" applyFont="1" applyFill="1" applyBorder="1" applyAlignment="1" applyProtection="0">
      <alignment vertical="top" wrapText="1"/>
    </xf>
    <xf numFmtId="0" fontId="12" fillId="4" borderId="9" applyNumberFormat="0" applyFont="1" applyFill="1" applyBorder="1" applyAlignment="1" applyProtection="0">
      <alignment vertical="top" wrapText="1"/>
    </xf>
    <xf numFmtId="0" fontId="13" fillId="4" borderId="9" applyNumberFormat="0" applyFont="1" applyFill="1" applyBorder="1" applyAlignment="1" applyProtection="0">
      <alignment vertical="top" wrapText="1"/>
    </xf>
    <xf numFmtId="49" fontId="12" fillId="4" borderId="9" applyNumberFormat="1" applyFont="1" applyFill="1" applyBorder="1" applyAlignment="1" applyProtection="0">
      <alignment vertical="top" wrapText="1"/>
    </xf>
    <xf numFmtId="0" fontId="0" borderId="24" applyNumberFormat="0" applyFont="1" applyFill="0" applyBorder="1" applyAlignment="1" applyProtection="0">
      <alignment vertical="bottom"/>
    </xf>
    <xf numFmtId="49" fontId="8" borderId="4" applyNumberFormat="1" applyFont="1" applyFill="0" applyBorder="1" applyAlignment="1" applyProtection="0">
      <alignment vertical="bottom"/>
    </xf>
    <xf numFmtId="49" fontId="9" fillId="4" borderId="4" applyNumberFormat="1" applyFont="1" applyFill="1" applyBorder="1" applyAlignment="1" applyProtection="0">
      <alignment vertical="top" wrapText="1"/>
    </xf>
    <xf numFmtId="49" fontId="7" fillId="4" borderId="12" applyNumberFormat="1" applyFont="1" applyFill="1" applyBorder="1" applyAlignment="1" applyProtection="0">
      <alignment vertical="top" wrapText="1"/>
    </xf>
    <xf numFmtId="0" fontId="0" applyNumberFormat="1" applyFont="1" applyFill="0" applyBorder="0" applyAlignment="1" applyProtection="0">
      <alignment vertical="bottom"/>
    </xf>
    <xf numFmtId="49" fontId="13" borderId="4" applyNumberFormat="1" applyFont="1" applyFill="0" applyBorder="1" applyAlignment="1" applyProtection="0">
      <alignment vertical="bottom"/>
    </xf>
    <xf numFmtId="0" fontId="0" borderId="25" applyNumberFormat="0" applyFont="1" applyFill="0" applyBorder="1" applyAlignment="1" applyProtection="0">
      <alignment vertical="bottom"/>
    </xf>
    <xf numFmtId="9" fontId="14" fillId="7" borderId="9" applyNumberFormat="1" applyFont="1" applyFill="1" applyBorder="1" applyAlignment="1" applyProtection="0">
      <alignment vertical="bottom"/>
    </xf>
    <xf numFmtId="49" fontId="0" borderId="25" applyNumberFormat="1" applyFont="1" applyFill="0" applyBorder="1" applyAlignment="1" applyProtection="0">
      <alignment vertical="bottom"/>
    </xf>
    <xf numFmtId="49" fontId="0" borderId="26" applyNumberFormat="1" applyFont="1" applyFill="0" applyBorder="1" applyAlignment="1" applyProtection="0">
      <alignment vertical="bottom"/>
    </xf>
    <xf numFmtId="49" fontId="12" borderId="9" applyNumberFormat="1" applyFont="1" applyFill="0" applyBorder="1" applyAlignment="1" applyProtection="0">
      <alignment vertical="bottom"/>
    </xf>
    <xf numFmtId="59" fontId="13" borderId="9" applyNumberFormat="1" applyFont="1" applyFill="0" applyBorder="1" applyAlignment="1" applyProtection="0">
      <alignment vertical="bottom"/>
    </xf>
    <xf numFmtId="49" fontId="13" fillId="5" borderId="9" applyNumberFormat="1" applyFont="1" applyFill="1" applyBorder="1" applyAlignment="1" applyProtection="0">
      <alignment vertical="bottom"/>
    </xf>
    <xf numFmtId="0" fontId="13" fillId="5" borderId="9" applyNumberFormat="0" applyFont="1" applyFill="1" applyBorder="1" applyAlignment="1" applyProtection="0">
      <alignment vertical="bottom"/>
    </xf>
    <xf numFmtId="59" fontId="13" fillId="5" borderId="9" applyNumberFormat="1" applyFont="1" applyFill="1" applyBorder="1" applyAlignment="1" applyProtection="0">
      <alignment vertical="bottom"/>
    </xf>
    <xf numFmtId="49" fontId="7" fillId="4" borderId="22" applyNumberFormat="1" applyFont="1" applyFill="1" applyBorder="1" applyAlignment="1" applyProtection="0">
      <alignment vertical="top" wrapText="1"/>
    </xf>
    <xf numFmtId="49" fontId="7" borderId="20" applyNumberFormat="1" applyFont="1" applyFill="0" applyBorder="1" applyAlignment="1" applyProtection="0">
      <alignment vertical="bottom"/>
    </xf>
    <xf numFmtId="9" fontId="7" borderId="18" applyNumberFormat="1" applyFont="1" applyFill="0" applyBorder="1" applyAlignment="1" applyProtection="0">
      <alignment vertical="bottom"/>
    </xf>
    <xf numFmtId="59" fontId="14" fillId="7" borderId="9" applyNumberFormat="1" applyFont="1" applyFill="1" applyBorder="1" applyAlignment="1" applyProtection="0">
      <alignment vertical="bottom"/>
    </xf>
    <xf numFmtId="60" fontId="9" borderId="9" applyNumberFormat="1" applyFont="1" applyFill="0" applyBorder="1" applyAlignment="1" applyProtection="0">
      <alignment vertical="bottom"/>
    </xf>
    <xf numFmtId="0" fontId="0" borderId="20" applyNumberFormat="0" applyFont="1" applyFill="0" applyBorder="1" applyAlignment="1" applyProtection="0">
      <alignment vertical="bottom"/>
    </xf>
    <xf numFmtId="0" fontId="0" applyNumberFormat="1" applyFont="1" applyFill="0" applyBorder="0" applyAlignment="1" applyProtection="0">
      <alignment vertical="bottom"/>
    </xf>
    <xf numFmtId="49" fontId="7" fillId="4" borderId="21" applyNumberFormat="1" applyFont="1" applyFill="1" applyBorder="1" applyAlignment="1" applyProtection="0">
      <alignment vertical="top" wrapText="1"/>
    </xf>
    <xf numFmtId="0" fontId="0" borderId="22" applyNumberFormat="0" applyFont="1" applyFill="0" applyBorder="1" applyAlignment="1" applyProtection="0">
      <alignment vertical="bottom"/>
    </xf>
    <xf numFmtId="60" fontId="12" borderId="9" applyNumberFormat="1" applyFont="1" applyFill="0" applyBorder="1" applyAlignment="1" applyProtection="0">
      <alignment vertical="bottom"/>
    </xf>
    <xf numFmtId="0" fontId="12" borderId="9" applyNumberFormat="0" applyFont="1" applyFill="0" applyBorder="1" applyAlignment="1" applyProtection="0">
      <alignment vertical="bottom"/>
    </xf>
    <xf numFmtId="0" fontId="13" fillId="5" borderId="9" applyNumberFormat="1" applyFont="1" applyFill="1" applyBorder="1" applyAlignment="1" applyProtection="0">
      <alignment vertical="bottom"/>
    </xf>
    <xf numFmtId="49" fontId="9" fillId="4" borderId="9" applyNumberFormat="1" applyFont="1" applyFill="1" applyBorder="1" applyAlignment="1" applyProtection="0">
      <alignment vertical="top" wrapText="1"/>
    </xf>
    <xf numFmtId="0" fontId="9" fillId="4" borderId="9" applyNumberFormat="0" applyFont="1" applyFill="1" applyBorder="1" applyAlignment="1" applyProtection="0">
      <alignment vertical="top" wrapText="1"/>
    </xf>
    <xf numFmtId="0" fontId="9" fillId="4" borderId="9" applyNumberFormat="1" applyFont="1" applyFill="1" applyBorder="1" applyAlignment="1" applyProtection="0">
      <alignment vertical="top" wrapText="1"/>
    </xf>
    <xf numFmtId="0" fontId="14" fillId="7" borderId="9" applyNumberFormat="0" applyFont="1" applyFill="1" applyBorder="1" applyAlignment="1" applyProtection="0">
      <alignment vertical="top" wrapText="1"/>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13" borderId="22" applyNumberFormat="1" applyFont="1" applyFill="0" applyBorder="1" applyAlignment="1" applyProtection="0">
      <alignment vertical="bottom"/>
    </xf>
    <xf numFmtId="0" fontId="0" borderId="27" applyNumberFormat="0" applyFont="1" applyFill="0" applyBorder="1" applyAlignment="1" applyProtection="0">
      <alignment vertical="bottom"/>
    </xf>
    <xf numFmtId="0" fontId="0" borderId="28" applyNumberFormat="0" applyFont="1" applyFill="0" applyBorder="1" applyAlignment="1" applyProtection="0">
      <alignment vertical="bottom"/>
    </xf>
    <xf numFmtId="0" fontId="0" borderId="29" applyNumberFormat="0" applyFont="1" applyFill="0" applyBorder="1" applyAlignment="1" applyProtection="0">
      <alignment vertical="bottom"/>
    </xf>
    <xf numFmtId="61" fontId="9" borderId="9" applyNumberFormat="1" applyFont="1" applyFill="0" applyBorder="1" applyAlignment="1" applyProtection="0">
      <alignment vertical="bottom"/>
    </xf>
    <xf numFmtId="0" fontId="13" borderId="9" applyNumberFormat="0" applyFont="1" applyFill="0" applyBorder="1" applyAlignment="1" applyProtection="0">
      <alignment vertical="bottom"/>
    </xf>
    <xf numFmtId="9" fontId="13" fillId="5" borderId="9" applyNumberFormat="1" applyFont="1" applyFill="1" applyBorder="1" applyAlignment="1" applyProtection="0">
      <alignment vertical="bottom"/>
    </xf>
    <xf numFmtId="0" fontId="0" borderId="30"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31"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32" applyNumberFormat="0" applyFont="1" applyFill="0" applyBorder="1" applyAlignment="1" applyProtection="0">
      <alignment vertical="bottom"/>
    </xf>
    <xf numFmtId="49" fontId="13" borderId="21" applyNumberFormat="1" applyFont="1" applyFill="0" applyBorder="1" applyAlignment="1" applyProtection="0">
      <alignment vertical="bottom"/>
    </xf>
    <xf numFmtId="0" fontId="0" borderId="33" applyNumberFormat="0" applyFont="1" applyFill="0" applyBorder="1" applyAlignment="1" applyProtection="0">
      <alignment vertical="bottom"/>
    </xf>
    <xf numFmtId="49" fontId="13" borderId="34" applyNumberFormat="1" applyFont="1" applyFill="0" applyBorder="1" applyAlignment="1" applyProtection="0">
      <alignment vertical="bottom"/>
    </xf>
    <xf numFmtId="0" fontId="0" borderId="34" applyNumberFormat="0" applyFont="1" applyFill="0" applyBorder="1" applyAlignment="1" applyProtection="0">
      <alignment vertical="bottom"/>
    </xf>
    <xf numFmtId="49" fontId="8" borderId="20" applyNumberFormat="1" applyFont="1" applyFill="0" applyBorder="1" applyAlignment="1" applyProtection="0">
      <alignment vertical="bottom"/>
    </xf>
    <xf numFmtId="0" fontId="11" fillId="6" borderId="9"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3" borderId="20" applyNumberFormat="1" applyFont="1" applyFill="0" applyBorder="1" applyAlignment="1" applyProtection="0">
      <alignment vertical="bottom"/>
    </xf>
    <xf numFmtId="0" fontId="14" fillId="7" borderId="9" applyNumberFormat="1" applyFont="1" applyFill="1" applyBorder="1" applyAlignment="1" applyProtection="0">
      <alignment vertical="bottom"/>
    </xf>
    <xf numFmtId="0" fontId="7" borderId="5" applyNumberFormat="1" applyFont="1" applyFill="0" applyBorder="1" applyAlignment="1" applyProtection="0">
      <alignment vertical="bottom"/>
    </xf>
    <xf numFmtId="0" fontId="7" borderId="23" applyNumberFormat="1" applyFont="1" applyFill="0" applyBorder="1" applyAlignment="1" applyProtection="0">
      <alignment vertical="bottom"/>
    </xf>
    <xf numFmtId="0" fontId="0" borderId="26" applyNumberFormat="0" applyFont="1" applyFill="0" applyBorder="1" applyAlignment="1" applyProtection="0">
      <alignment vertical="bottom"/>
    </xf>
    <xf numFmtId="60" fontId="9" fillId="4" borderId="9"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borderId="27" applyNumberFormat="1" applyFont="1" applyFill="0" applyBorder="1" applyAlignment="1" applyProtection="0">
      <alignment vertical="bottom"/>
    </xf>
    <xf numFmtId="49" fontId="0" borderId="35" applyNumberFormat="1" applyFont="1" applyFill="0" applyBorder="1" applyAlignment="1" applyProtection="0">
      <alignment vertical="bottom"/>
    </xf>
    <xf numFmtId="59" fontId="9" fillId="4" borderId="9"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9" fillId="4" borderId="9" applyNumberFormat="1" applyFont="1" applyFill="1" applyBorder="1" applyAlignment="1" applyProtection="0">
      <alignment vertical="top"/>
    </xf>
    <xf numFmtId="2" fontId="9" borderId="9" applyNumberFormat="1" applyFont="1" applyFill="0" applyBorder="1" applyAlignment="1" applyProtection="0">
      <alignment vertical="bottom"/>
    </xf>
    <xf numFmtId="0" fontId="0" applyNumberFormat="1" applyFont="1" applyFill="0" applyBorder="0" applyAlignment="1" applyProtection="0">
      <alignment vertical="bottom"/>
    </xf>
    <xf numFmtId="9" fontId="14" fillId="7" borderId="9" applyNumberFormat="1" applyFont="1" applyFill="1" applyBorder="1" applyAlignment="1" applyProtection="0">
      <alignment vertical="top" wrapText="1"/>
    </xf>
    <xf numFmtId="49" fontId="9" fillId="4" borderId="9"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9" fontId="9" fillId="4" borderId="9" applyNumberFormat="1" applyFont="1" applyFill="1" applyBorder="1" applyAlignment="1" applyProtection="0">
      <alignment vertical="top" wrapText="1"/>
    </xf>
    <xf numFmtId="0" fontId="0" applyNumberFormat="1" applyFont="1" applyFill="0" applyBorder="0" applyAlignment="1" applyProtection="0">
      <alignment vertical="bottom"/>
    </xf>
    <xf numFmtId="49" fontId="9" borderId="4" applyNumberFormat="1" applyFont="1" applyFill="0" applyBorder="1" applyAlignment="1" applyProtection="0">
      <alignment vertical="bottom"/>
    </xf>
    <xf numFmtId="49" fontId="9" borderId="12"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e4d3a"/>
      <rgbColor rgb="ffffffff"/>
      <rgbColor rgb="ff555555"/>
      <rgbColor rgb="ffd9d9d9"/>
      <rgbColor rgb="ffe6efe9"/>
      <rgbColor rgb="ff2e6b30"/>
      <rgbColor rgb="ff7a4a00"/>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6.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7.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10.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12.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13.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6.vml"/><Relationship Id="rId3" Type="http://schemas.openxmlformats.org/officeDocument/2006/relationships/comments" Target="../comments6.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52</v>
      </c>
      <c r="C11" s="3"/>
      <c r="D11" s="3"/>
    </row>
    <row r="12">
      <c r="B12" s="4"/>
      <c r="C12" t="s" s="4">
        <v>5</v>
      </c>
      <c r="D12" t="s" s="5">
        <v>52</v>
      </c>
    </row>
    <row r="13">
      <c r="B13" t="s" s="3">
        <v>147</v>
      </c>
      <c r="C13" s="3"/>
      <c r="D13" s="3"/>
    </row>
    <row r="14">
      <c r="B14" s="4"/>
      <c r="C14" t="s" s="4">
        <v>5</v>
      </c>
      <c r="D14" t="s" s="5">
        <v>147</v>
      </c>
    </row>
    <row r="15">
      <c r="B15" t="s" s="3">
        <v>196</v>
      </c>
      <c r="C15" s="3"/>
      <c r="D15" s="3"/>
    </row>
    <row r="16">
      <c r="B16" s="4"/>
      <c r="C16" t="s" s="4">
        <v>5</v>
      </c>
      <c r="D16" t="s" s="5">
        <v>196</v>
      </c>
    </row>
    <row r="17">
      <c r="B17" t="s" s="3">
        <v>998</v>
      </c>
      <c r="C17" s="3"/>
      <c r="D17" s="3"/>
    </row>
    <row r="18">
      <c r="B18" s="4"/>
      <c r="C18" t="s" s="4">
        <v>5</v>
      </c>
      <c r="D18" t="s" s="5">
        <v>998</v>
      </c>
    </row>
    <row r="19">
      <c r="B19" t="s" s="3">
        <v>1022</v>
      </c>
      <c r="C19" s="3"/>
      <c r="D19" s="3"/>
    </row>
    <row r="20">
      <c r="B20" s="4"/>
      <c r="C20" t="s" s="4">
        <v>5</v>
      </c>
      <c r="D20" t="s" s="5">
        <v>1022</v>
      </c>
    </row>
    <row r="21">
      <c r="B21" t="s" s="3">
        <v>1044</v>
      </c>
      <c r="C21" s="3"/>
      <c r="D21" s="3"/>
    </row>
    <row r="22">
      <c r="B22" s="4"/>
      <c r="C22" t="s" s="4">
        <v>5</v>
      </c>
      <c r="D22" t="s" s="5">
        <v>1044</v>
      </c>
    </row>
    <row r="23">
      <c r="B23" t="s" s="3">
        <v>1386</v>
      </c>
      <c r="C23" s="3"/>
      <c r="D23" s="3"/>
    </row>
    <row r="24">
      <c r="B24" s="4"/>
      <c r="C24" t="s" s="4">
        <v>5</v>
      </c>
      <c r="D24" t="s" s="5">
        <v>1386</v>
      </c>
    </row>
    <row r="25">
      <c r="B25" t="s" s="3">
        <v>1411</v>
      </c>
      <c r="C25" s="3"/>
      <c r="D25" s="3"/>
    </row>
    <row r="26">
      <c r="B26" s="4"/>
      <c r="C26" t="s" s="4">
        <v>5</v>
      </c>
      <c r="D26" t="s" s="5">
        <v>1411</v>
      </c>
    </row>
    <row r="27">
      <c r="B27" t="s" s="3">
        <v>1436</v>
      </c>
      <c r="C27" s="3"/>
      <c r="D27" s="3"/>
    </row>
    <row r="28">
      <c r="B28" s="4"/>
      <c r="C28" t="s" s="4">
        <v>5</v>
      </c>
      <c r="D28" t="s" s="5">
        <v>1436</v>
      </c>
    </row>
    <row r="29">
      <c r="B29" t="s" s="3">
        <v>1450</v>
      </c>
      <c r="C29" s="3"/>
      <c r="D29" s="3"/>
    </row>
    <row r="30">
      <c r="B30" s="4"/>
      <c r="C30" t="s" s="4">
        <v>5</v>
      </c>
      <c r="D30" t="s" s="5">
        <v>1450</v>
      </c>
    </row>
    <row r="31">
      <c r="B31" t="s" s="3">
        <v>1515</v>
      </c>
      <c r="C31" s="3"/>
      <c r="D31" s="3"/>
    </row>
    <row r="32">
      <c r="B32" s="4"/>
      <c r="C32" t="s" s="4">
        <v>5</v>
      </c>
      <c r="D32" t="s" s="5">
        <v>1515</v>
      </c>
    </row>
    <row r="33">
      <c r="B33" t="s" s="3">
        <v>1569</v>
      </c>
      <c r="C33" s="3"/>
      <c r="D33" s="3"/>
    </row>
    <row r="34">
      <c r="B34" s="4"/>
      <c r="C34" t="s" s="4">
        <v>5</v>
      </c>
      <c r="D34" t="s" s="5">
        <v>1569</v>
      </c>
    </row>
    <row r="35">
      <c r="B35" t="s" s="3">
        <v>1647</v>
      </c>
      <c r="C35" s="3"/>
      <c r="D35" s="3"/>
    </row>
    <row r="36">
      <c r="B36" s="4"/>
      <c r="C36" t="s" s="4">
        <v>5</v>
      </c>
      <c r="D36" t="s" s="5">
        <v>1647</v>
      </c>
    </row>
    <row r="37">
      <c r="B37" t="s" s="3">
        <v>1747</v>
      </c>
      <c r="C37" s="3"/>
      <c r="D37" s="3"/>
    </row>
    <row r="38">
      <c r="B38" s="4"/>
      <c r="C38" t="s" s="4">
        <v>5</v>
      </c>
      <c r="D38" t="s" s="5">
        <v>1747</v>
      </c>
    </row>
    <row r="39">
      <c r="B39" t="s" s="3">
        <v>1778</v>
      </c>
      <c r="C39" s="3"/>
      <c r="D39" s="3"/>
    </row>
    <row r="40">
      <c r="B40" s="4"/>
      <c r="C40" t="s" s="4">
        <v>5</v>
      </c>
      <c r="D40" t="s" s="5">
        <v>1778</v>
      </c>
    </row>
    <row r="41">
      <c r="B41" t="s" s="3">
        <v>7613</v>
      </c>
      <c r="C41" s="3"/>
      <c r="D41" s="3"/>
    </row>
    <row r="42">
      <c r="B42" s="4"/>
      <c r="C42" t="s" s="4">
        <v>5</v>
      </c>
      <c r="D42" t="s" s="5">
        <v>7613</v>
      </c>
    </row>
    <row r="43">
      <c r="B43" t="s" s="3">
        <v>7771</v>
      </c>
      <c r="C43" s="3"/>
      <c r="D43" s="3"/>
    </row>
    <row r="44">
      <c r="B44" s="4"/>
      <c r="C44" t="s" s="4">
        <v>5</v>
      </c>
      <c r="D44" t="s" s="5">
        <v>7771</v>
      </c>
    </row>
    <row r="45">
      <c r="B45" t="s" s="3">
        <v>7799</v>
      </c>
      <c r="C45" s="3"/>
      <c r="D45" s="3"/>
    </row>
    <row r="46">
      <c r="B46" s="4"/>
      <c r="C46" t="s" s="4">
        <v>5</v>
      </c>
      <c r="D46" t="s" s="5">
        <v>7799</v>
      </c>
    </row>
    <row r="47">
      <c r="B47" t="s" s="3">
        <v>9345</v>
      </c>
      <c r="C47" s="3"/>
      <c r="D47" s="3"/>
    </row>
    <row r="48">
      <c r="B48" s="4"/>
      <c r="C48" t="s" s="4">
        <v>5</v>
      </c>
      <c r="D48" t="s" s="5">
        <v>9345</v>
      </c>
    </row>
    <row r="49">
      <c r="B49" t="s" s="3">
        <v>9454</v>
      </c>
      <c r="C49" s="3"/>
      <c r="D49" s="3"/>
    </row>
    <row r="50">
      <c r="B50" s="4"/>
      <c r="C50" t="s" s="4">
        <v>5</v>
      </c>
      <c r="D50" t="s" s="5">
        <v>9454</v>
      </c>
    </row>
  </sheetData>
  <mergeCells count="1">
    <mergeCell ref="B3:D3"/>
  </mergeCells>
  <hyperlinks>
    <hyperlink ref="D10" location="'Inicio'!R1C1" tooltip="" display="Inicio"/>
    <hyperlink ref="D12" location="'Resumen TIMSS y PISA'!R1C1" tooltip="" display="Resumen TIMSS y PISA"/>
    <hyperlink ref="D14" location="'Apego TIMSS y PISA'!R1C1" tooltip="" display="Apego TIMSS y PISA"/>
    <hyperlink ref="D16" location="'Presupuesto de temas'!R1C1" tooltip="" display="Presupuesto de temas"/>
    <hyperlink ref="D18" location="'TIMSS - Balance por ciclo'!R1C1" tooltip="" display="TIMSS - Balance por ciclo"/>
    <hyperlink ref="D20" location="'TIMSS - Balance por grado'!R1C1" tooltip="" display="TIMSS - Balance por grado"/>
    <hyperlink ref="D22" location="'TIMSS - Semáforo de objetivos'!R1C1" tooltip="" display="TIMSS - Semáforo de objetivos"/>
    <hyperlink ref="D24" location="'TIMSS - Conocer-Aplicar-Razonar'!R1C1" tooltip="" display="TIMSS - Conocer-Aplicar-Razonar"/>
    <hyperlink ref="D26" location="'TIMSS - Medio ambiente'!R1C1" tooltip="" display="TIMSS - Medio ambiente"/>
    <hyperlink ref="D28" location="'TIMSS - Investigación'!R1C1" tooltip="" display="TIMSS - Investigación"/>
    <hyperlink ref="D30" location="'TIMSS - Otros países'!R1C1" tooltip="" display="TIMSS - Otros países"/>
    <hyperlink ref="D32" location="'PISA - Contenidos'!R1C1" tooltip="" display="PISA - Contenidos"/>
    <hyperlink ref="D34" location="'PISA - Competencias'!R1C1" tooltip="" display="PISA - Competencias"/>
    <hyperlink ref="D36" location="'PISA - Tipos de conocimiento'!R1C1" tooltip="" display="PISA - Tipos de conocimiento"/>
    <hyperlink ref="D38" location="'PISA - Contextos'!R1C1" tooltip="" display="PISA - Contextos"/>
    <hyperlink ref="D40" location="'Datos - Temas'!R1C1" tooltip="" display="Datos - Temas"/>
    <hyperlink ref="D42" location="'Datos - Catálogo TIMSS'!R1C1" tooltip="" display="Datos - Catálogo TIMSS"/>
    <hyperlink ref="D44" location="'Datos - Catálogo PISA'!R1C1" tooltip="" display="Datos - Catálogo PISA"/>
    <hyperlink ref="D46" location="'Datos - Objetivos de países'!R1C1" tooltip="" display="Datos - Objetivos de países"/>
    <hyperlink ref="D48" location="'Datos - TIMSS 2023'!R1C1" tooltip="" display="Datos - TIMSS 2023"/>
    <hyperlink ref="D50" location="'Fuentes'!R1C1" tooltip="" display="Fuentes"/>
  </hyperlinks>
</worksheet>
</file>

<file path=xl/worksheets/sheet2.xml><?xml version="1.0" encoding="utf-8"?>
<worksheet xmlns:r="http://schemas.openxmlformats.org/officeDocument/2006/relationships" xmlns="http://schemas.openxmlformats.org/spreadsheetml/2006/main">
  <dimension ref="A1:E52"/>
  <sheetViews>
    <sheetView workbookViewId="0" showGridLines="0" defaultGridColor="1"/>
  </sheetViews>
  <sheetFormatPr defaultColWidth="8.83333" defaultRowHeight="15" customHeight="1" outlineLevelRow="0" outlineLevelCol="0"/>
  <cols>
    <col min="1" max="1" width="4" style="6" customWidth="1"/>
    <col min="2" max="2" width="120" style="6" customWidth="1"/>
    <col min="3" max="5" width="8.85156" style="6" customWidth="1"/>
    <col min="6" max="16384" width="8.85156" style="6" customWidth="1"/>
  </cols>
  <sheetData>
    <row r="1" ht="40" customHeight="1">
      <c r="A1" s="7"/>
      <c r="B1" t="s" s="8">
        <v>6</v>
      </c>
      <c r="C1" s="9"/>
      <c r="D1" s="9"/>
      <c r="E1" s="10"/>
    </row>
    <row r="2" ht="28" customHeight="1">
      <c r="A2" s="11"/>
      <c r="B2" t="s" s="12">
        <v>7</v>
      </c>
      <c r="C2" s="13"/>
      <c r="D2" s="13"/>
      <c r="E2" s="14"/>
    </row>
    <row r="3" ht="92" customHeight="1">
      <c r="A3" s="15"/>
      <c r="B3" t="str" s="16" cm="1">
        <f t="array" ref="B3">"TIMSS 2027 y PISA 2025"&amp;"
"&amp;"BIEN · En lo acumulado la malla se parece a las pruebas: "&amp;FIXED('Apego TIMSS y PISA'!F17*100,0)&amp;" %"&amp;" (TIMSS 4.°), "&amp;FIXED('Apego TIMSS y PISA'!F18*100,0)&amp;" %"&amp;" (TIMSS 8.°) y "&amp;FIXED('Apego TIMSS y PISA'!F23*100,0)&amp;" %"&amp;" (PISA) de apego."&amp;"
"&amp;"OJO · TIMSS: falta Biología en 5.°, luz-sonido-electricidad en 4.° y más Razonar en 6.° y 8.°."&amp;"
"&amp;"OJO · PISA: falta biología en 9.°, Tierra y espacio en 8.°, y enseñar a evaluar información y el porqué de la ciencia."&amp;"
"&amp;"→ Empieza por «Resumen TIMSS y PISA» y «Presupuesto de temas». Las pestañas que empiezan con TIMSS o PISA tienen el detalle de cada prueba."</f>
        <v>TIMSS 2027 y PISA 2025
BIEN · En lo acumulado la malla se parece a las pruebas: 92 % (TIMSS 4.°), 88 % (TIMSS 8.°) y 88 % (PISA) de apego.
OJO · TIMSS: falta Biología en 5.°, luz-sonido-electricidad en 4.° y más Razonar en 6.° y 8.°.
OJO · PISA: falta biología en 9.°, Tierra y espacio en 8.°, y enseñar a evaluar información y el porqué de la ciencia.
→ Empieza por «Resumen TIMSS y PISA» y «Presupuesto de temas». Las pestañas que empiezan con TIMSS o PISA tienen el detalle de cada prueba.</v>
      </c>
      <c r="C3" s="17"/>
      <c r="D3" s="13"/>
      <c r="E3" s="14"/>
    </row>
    <row r="4" ht="13.55" customHeight="1">
      <c r="A4" s="11"/>
      <c r="B4" s="18"/>
      <c r="C4" s="13"/>
      <c r="D4" s="13"/>
      <c r="E4" s="14"/>
    </row>
    <row r="5" ht="14.6" customHeight="1">
      <c r="A5" s="11"/>
      <c r="B5" t="s" s="19">
        <v>9</v>
      </c>
      <c r="C5" s="13"/>
      <c r="D5" s="13"/>
      <c r="E5" s="14"/>
    </row>
    <row r="6" ht="49" customHeight="1">
      <c r="A6" s="11"/>
      <c r="B6" t="str" s="20" cm="1">
        <f t="array" ref="B6">"1. Apego general. En lo acumulado, la malla se parece mucho a lo que piden las pruebas: índice de apego de "&amp;FIXED('Apego TIMSS y PISA'!F17*100,0)&amp;" %"&amp;" frente a TIMSS 4.° (2.°–4.°), "&amp;FIXED('Apego TIMSS y PISA'!F18*100,0)&amp;" %"&amp;" frente a TIMSS 8.° (5.°–8.°) y "&amp;FIXED('Apego TIMSS y PISA'!F23*100,0)&amp;" %"&amp;" frente a PISA (7.°–9.°). Cubre "&amp;'TIMSS - Semáforo de objetivos'!D115&amp;" de "&amp;'TIMSS - Semáforo de objetivos'!C115&amp;" objetivos de TIMSS 4.°, "&amp;'TIMSS - Semáforo de objetivos'!D120&amp;" de "&amp;'TIMSS - Semáforo de objetivos'!C120&amp;" de TIMSS 8.° y "&amp;'PISA - Contenidos'!C55&amp;" de 21 categorías de contenido de PISA. Los problemas están en el reparto entre grados y en las capas propias de PISA."</f>
        <v>1. Apego general. En lo acumulado, la malla se parece mucho a lo que piden las pruebas: índice de apego de 92 % frente a TIMSS 4.° (2.°–4.°), 88 % frente a TIMSS 8.° (5.°–8.°) y 88 % frente a PISA (7.°–9.°). Cubre 31 de 32 objetivos de TIMSS 4.°, 45 de 48 de TIMSS 8.° y 20 de 21 categorías de contenido de PISA. Los problemas están en el reparto entre grados y en las capas propias de PISA.</v>
      </c>
      <c r="C6" s="13"/>
      <c r="D6" s="13"/>
      <c r="E6" s="14"/>
    </row>
    <row r="7" ht="64" customHeight="1">
      <c r="A7" s="11"/>
      <c r="B7" t="str" s="20" cm="1">
        <f t="array" ref="B7">"2. Grados a mejorar. 5.° es el grado con menor apego ("&amp;FIXED('Apego TIMSS y PISA'!F11*100,0)&amp;" %"&amp;"): le faltan unos "&amp;FIXED('TIMSS - Balance por grado'!I21,0)&amp;" temas de Biología del marco de 8.°, que Uruguay, Colombia y Singapur enseñan en 5.°–6.° y El Salvador recién en 6.°–7.°. En 4.° faltan unos "&amp;FIXED('TIMSS - Balance por grado'!I17,0)&amp;" temas de Ciencias físicas (luz, sonido, electricidad, imanes). 8.° tiene solo "&amp;'PISA - Contenidos'!D13&amp;" temas de Tierra y espacio y 9.° solo "&amp;'PISA - Contenidos'!D17&amp;" de sistemas vivos (ni célula, ni genética, ni salud humana). En 6.° y 8.° Razonar queda en "&amp;FIXED('TIMSS - Conocer-Aplicar-Razonar'!I9*100,0)&amp;" %"&amp;" y "&amp;FIXED('TIMSS - Conocer-Aplicar-Razonar'!I11*100,0)&amp;" %"&amp;" (meta TIMSS 30 %)."</f>
        <v>2. Grados a mejorar. 5.° es el grado con menor apego (69 %): le faltan unos 19 temas de Biología del marco de 8.°, que Uruguay, Colombia y Singapur enseñan en 5.°–6.° y El Salvador recién en 6.°–7.°. En 4.° faltan unos 13 temas de Ciencias físicas (luz, sonido, electricidad, imanes). 8.° tiene solo 6 temas de Tierra y espacio y 9.° solo 3 de sistemas vivos (ni célula, ni genética, ni salud humana). En 6.° y 8.° Razonar queda en 19 % y 21 % (meta TIMSS 30 %).</v>
      </c>
      <c r="C7" s="13"/>
      <c r="D7" s="13"/>
      <c r="E7" s="14"/>
    </row>
    <row r="8" ht="49" customHeight="1">
      <c r="A8" s="11"/>
      <c r="B8" t="str" s="20" cm="1">
        <f t="array" ref="B8">"3. Competencias PISA. La malla declara una competencia y cinco subcompetencias por tema (columnas de la propia malla). En 7.°–9.° la competencia 3, «Investigar, evaluar y usar información para decidir», llega a "&amp;FIXED('PISA - Competencias'!H16*100,0)&amp;" %"&amp;" de los temas (PISA: 24–36 %); distinguir evidencia de opinión (I2), criticar argumentos (I4) y formular hipótesis (E5) casi no aparecen. La competencia 2 está sobrerrepresentada ("&amp;FIXED('PISA - Competencias'!G16*100,0)&amp;" %"&amp;")."</f>
        <v>3. Competencias PISA. La malla declara una competencia y cinco subcompetencias por tema (columnas de la propia malla). En 7.°–9.° la competencia 3, «Investigar, evaluar y usar información para decidir», llega a 14 % de los temas (PISA: 24–36 %); distinguir evidencia de opinión (I2), criticar argumentos (I4) y formular hipótesis (E5) casi no aparecen. La competencia 2 está sobrerrepresentada (50 %).</v>
      </c>
      <c r="C8" s="13"/>
      <c r="D8" s="13"/>
      <c r="E8" s="14"/>
    </row>
    <row r="9" ht="49" customHeight="1">
      <c r="A9" s="11"/>
      <c r="B9" t="str" s="20" cm="1">
        <f t="array" ref="B9">"4. Conocimiento procedimental y epistémico (lo que más agrega PISA). Solo "&amp;FIXED('PISA - Tipos de conocimiento'!G16*100,0)&amp;" %"&amp;" de los temas de 7.°–9.° tienen como foco el conocimiento procedimental (PISA: 27–33 %) y ninguno el epistémico (24–30 %). "&amp;'PISA - Tipos de conocimiento'!E57&amp;" de los 20 elementos epistémicos (modelos frente a realidad, consenso, revisión por pares, límites de la certeza) no se trabajan en ningún tema."</f>
        <v>4. Conocimiento procedimental y epistémico (lo que más agrega PISA). Solo 5 % de los temas de 7.°–9.° tienen como foco el conocimiento procedimental (PISA: 27–33 %) y ninguno el epistémico (24–30 %). 12 de los 20 elementos epistémicos (modelos frente a realidad, consenso, revisión por pares, límites de la certeza) no se trabajan en ningún tema.</v>
      </c>
      <c r="C9" s="13"/>
      <c r="D9" s="13"/>
      <c r="E9" s="14"/>
    </row>
    <row r="10" ht="34" customHeight="1">
      <c r="A10" s="11"/>
      <c r="B10" t="str" s="20" cm="1">
        <f t="array" ref="B10">"5. Contextos. "&amp;FIXED('PISA - Contextos'!G16*100,0)&amp;" %"&amp;" de los temas de 7.°–9.° no sitúan la ciencia en una situación real ("&amp;FIXED('PISA - Contextos'!G14*100,0)&amp;" %"&amp;" en 8.°). Cuando hay contexto, el reparto personal / local / global se parece al 1:2:1 de PISA."</f>
        <v>5. Contextos. 64 % de los temas de 7.°–9.° no sitúan la ciencia en una situación real (86 % en 8.°). Cuando hay contexto, el reparto personal / local / global se parece al 1:2:1 de PISA.</v>
      </c>
      <c r="C10" s="13"/>
      <c r="D10" s="13"/>
      <c r="E10" s="14"/>
    </row>
    <row r="11" ht="34" customHeight="1">
      <c r="A11" s="11"/>
      <c r="B11" t="str" s="20" cm="1">
        <f t="array" ref="B11">"6. Frente a otros países, El Salvador introduce "&amp;COUNTIF('TIMSS - Otros países'!$K$5:$K$84,"El Salvador llega más tarde")&amp;" objetivos TIMSS más tarde que la mediana, "&amp;COUNTIF('TIMSS - Otros países'!$K$5:$K$84,"El Salvador va adelantado")&amp;" antes y no trabaja "&amp;COUNTIF('TIMSS - Otros países'!$K$5:$K$84,"El Salvador no llega")&amp;" que otros sí (herencia y propiedades de la luz)."</f>
        <v>6. Frente a otros países, El Salvador introduce 24 objetivos TIMSS más tarde que la mediana, 40 antes y no trabaja 2 que otros sí (herencia y propiedades de la luz).</v>
      </c>
      <c r="C11" s="13"/>
      <c r="D11" s="13"/>
      <c r="E11" s="14"/>
    </row>
    <row r="12" ht="13.55" customHeight="1">
      <c r="A12" s="11"/>
      <c r="B12" s="13"/>
      <c r="C12" s="13"/>
      <c r="D12" s="13"/>
      <c r="E12" s="14"/>
    </row>
    <row r="13" ht="14.6" customHeight="1">
      <c r="A13" s="11"/>
      <c r="B13" t="s" s="19">
        <v>16</v>
      </c>
      <c r="C13" s="13"/>
      <c r="D13" s="13"/>
      <c r="E13" s="14"/>
    </row>
    <row r="14" ht="28" customHeight="1">
      <c r="A14" s="11"/>
      <c r="B14" t="s" s="21">
        <v>17</v>
      </c>
      <c r="C14" s="13"/>
      <c r="D14" s="13"/>
      <c r="E14" s="14"/>
    </row>
    <row r="15" ht="34" customHeight="1">
      <c r="A15" s="11"/>
      <c r="B15" t="str" s="20" cm="1">
        <f t="array" ref="B15">"R2. 2.°–4.° (hoja Presupuesto de temas): fusionar temas repetidos de Biología para liberar "&amp;FIXED('Presupuesto de temas'!J9,0)&amp;" espacios e insertar "&amp;FIXED('Presupuesto de temas'!G9,0)&amp;" temas de Ciencias físicas y de la Tierra (luz, sonido, circuitos, imanes, tiempo atmosférico) y "&amp;FIXED('Presupuesto de temas'!H9,0)&amp;" de herencia (B2.2), sin cambiar el total."</f>
        <v>R2. 2.°–4.° (hoja Presupuesto de temas): fusionar temas repetidos de Biología para liberar 13 espacios e insertar 12 temas de Ciencias físicas y de la Tierra (luz, sonido, circuitos, imanes, tiempo atmosférico) y 1 de herencia (B2.2), sin cambiar el total.</v>
      </c>
      <c r="C15" s="13"/>
      <c r="D15" s="13"/>
      <c r="E15" s="14"/>
    </row>
    <row r="16" ht="42" customHeight="1">
      <c r="A16" s="11"/>
      <c r="B16" t="s" s="21">
        <v>19</v>
      </c>
      <c r="C16" s="13"/>
      <c r="D16" s="13"/>
      <c r="E16" s="14"/>
    </row>
    <row r="17" ht="34" customHeight="1">
      <c r="A17" s="11"/>
      <c r="B17" t="str" s="20" cm="1">
        <f t="array" ref="B17">"R4. 7.°–9.° (PISA): fusionar temas de física y química que se repiten (liberan "&amp;FIXED('Presupuesto de temas'!J20,0)&amp;") para insertar "&amp;FIXED('Presupuesto de temas'!G20,0)&amp;" temas de sistemas vivos (sobre todo en 9.°: célula, salud, genética, evolución) y de Tierra y espacio (sobre todo en 8.°: universo, historia de la Tierra)."</f>
        <v>R4. 7.°–9.° (PISA): fusionar temas de física y química que se repiten (liberan 33) para insertar 33 temas de sistemas vivos (sobre todo en 9.°: célula, salud, genética, evolución) y de Tierra y espacio (sobre todo en 8.°: universo, historia de la Tierra).</v>
      </c>
      <c r="C17" s="13"/>
      <c r="D17" s="13"/>
      <c r="E17" s="14"/>
    </row>
    <row r="18" ht="42" customHeight="1">
      <c r="A18" s="11"/>
      <c r="B18" t="s" s="21">
        <v>21</v>
      </c>
      <c r="C18" s="13"/>
      <c r="D18" s="13"/>
      <c r="E18" s="14"/>
    </row>
    <row r="19" ht="42" customHeight="1">
      <c r="A19" s="11"/>
      <c r="B19" t="s" s="21">
        <v>22</v>
      </c>
      <c r="C19" s="13"/>
      <c r="D19" s="13"/>
      <c r="E19" s="14"/>
    </row>
    <row r="20" ht="13.55" customHeight="1">
      <c r="A20" s="11"/>
      <c r="B20" s="13"/>
      <c r="C20" s="13"/>
      <c r="D20" s="13"/>
      <c r="E20" s="14"/>
    </row>
    <row r="21" ht="14.6" customHeight="1">
      <c r="A21" s="11"/>
      <c r="B21" t="s" s="19">
        <v>23</v>
      </c>
      <c r="C21" s="13"/>
      <c r="D21" s="13"/>
      <c r="E21" s="14"/>
    </row>
    <row r="22" ht="28" customHeight="1">
      <c r="A22" s="11"/>
      <c r="B22" t="s" s="21">
        <v>24</v>
      </c>
      <c r="C22" s="13"/>
      <c r="D22" s="13"/>
      <c r="E22" s="14"/>
    </row>
    <row r="23" ht="28" customHeight="1">
      <c r="A23" s="11"/>
      <c r="B23" t="s" s="21">
        <v>25</v>
      </c>
      <c r="C23" s="13"/>
      <c r="D23" s="13"/>
      <c r="E23" s="14"/>
    </row>
    <row r="24" ht="56" customHeight="1">
      <c r="A24" s="11"/>
      <c r="B24" t="s" s="21">
        <v>26</v>
      </c>
      <c r="C24" s="13"/>
      <c r="D24" s="13"/>
      <c r="E24" s="14"/>
    </row>
    <row r="25" ht="13.55" customHeight="1">
      <c r="A25" s="11"/>
      <c r="B25" s="13"/>
      <c r="C25" s="13"/>
      <c r="D25" s="13"/>
      <c r="E25" s="14"/>
    </row>
    <row r="26" ht="14.6" customHeight="1">
      <c r="A26" s="11"/>
      <c r="B26" t="s" s="19">
        <v>27</v>
      </c>
      <c r="C26" s="13"/>
      <c r="D26" s="13"/>
      <c r="E26" s="14"/>
    </row>
    <row r="27" ht="42" customHeight="1">
      <c r="A27" s="11"/>
      <c r="B27" t="s" s="21">
        <v>28</v>
      </c>
      <c r="C27" s="13"/>
      <c r="D27" s="13"/>
      <c r="E27" s="14"/>
    </row>
    <row r="28" ht="56" customHeight="1">
      <c r="A28" s="11"/>
      <c r="B28" t="s" s="21">
        <v>29</v>
      </c>
      <c r="C28" s="13"/>
      <c r="D28" s="13"/>
      <c r="E28" s="14"/>
    </row>
    <row r="29" ht="56" customHeight="1">
      <c r="A29" s="11"/>
      <c r="B29" t="s" s="21">
        <v>30</v>
      </c>
      <c r="C29" s="13"/>
      <c r="D29" s="13"/>
      <c r="E29" s="14"/>
    </row>
    <row r="30" ht="42" customHeight="1">
      <c r="A30" s="11"/>
      <c r="B30" t="s" s="21">
        <v>31</v>
      </c>
      <c r="C30" s="13"/>
      <c r="D30" s="13"/>
      <c r="E30" s="14"/>
    </row>
    <row r="31" ht="56" customHeight="1">
      <c r="A31" s="11"/>
      <c r="B31" t="s" s="21">
        <v>32</v>
      </c>
      <c r="C31" s="13"/>
      <c r="D31" s="13"/>
      <c r="E31" s="14"/>
    </row>
    <row r="32" ht="56" customHeight="1">
      <c r="A32" s="11"/>
      <c r="B32" t="s" s="21">
        <v>33</v>
      </c>
      <c r="C32" s="13"/>
      <c r="D32" s="13"/>
      <c r="E32" s="14"/>
    </row>
    <row r="33" ht="28" customHeight="1">
      <c r="A33" s="11"/>
      <c r="B33" t="s" s="21">
        <v>34</v>
      </c>
      <c r="C33" s="13"/>
      <c r="D33" s="13"/>
      <c r="E33" s="14"/>
    </row>
    <row r="34" ht="28" customHeight="1">
      <c r="A34" s="11"/>
      <c r="B34" t="s" s="21">
        <v>35</v>
      </c>
      <c r="C34" s="13"/>
      <c r="D34" s="13"/>
      <c r="E34" s="14"/>
    </row>
    <row r="35" ht="13.55" customHeight="1">
      <c r="A35" s="11"/>
      <c r="B35" s="13"/>
      <c r="C35" s="13"/>
      <c r="D35" s="13"/>
      <c r="E35" s="14"/>
    </row>
    <row r="36" ht="14.6" customHeight="1">
      <c r="A36" s="11"/>
      <c r="B36" t="s" s="19">
        <v>36</v>
      </c>
      <c r="C36" s="13"/>
      <c r="D36" s="13"/>
      <c r="E36" s="14"/>
    </row>
    <row r="37" ht="28" customHeight="1">
      <c r="A37" s="11"/>
      <c r="B37" t="s" s="21">
        <v>37</v>
      </c>
      <c r="C37" s="13"/>
      <c r="D37" s="13"/>
      <c r="E37" s="14"/>
    </row>
    <row r="38" ht="13.65" customHeight="1">
      <c r="A38" s="11"/>
      <c r="B38" t="s" s="21">
        <v>38</v>
      </c>
      <c r="C38" s="13"/>
      <c r="D38" s="13"/>
      <c r="E38" s="14"/>
    </row>
    <row r="39" ht="42" customHeight="1">
      <c r="A39" s="11"/>
      <c r="B39" t="s" s="21">
        <v>39</v>
      </c>
      <c r="C39" s="13"/>
      <c r="D39" s="13"/>
      <c r="E39" s="14"/>
    </row>
    <row r="40" ht="42" customHeight="1">
      <c r="A40" s="11"/>
      <c r="B40" t="s" s="21">
        <v>40</v>
      </c>
      <c r="C40" s="13"/>
      <c r="D40" s="13"/>
      <c r="E40" s="14"/>
    </row>
    <row r="41" ht="13.65" customHeight="1">
      <c r="A41" s="11"/>
      <c r="B41" t="s" s="21">
        <v>41</v>
      </c>
      <c r="C41" s="13"/>
      <c r="D41" s="13"/>
      <c r="E41" s="14"/>
    </row>
    <row r="42" ht="84" customHeight="1">
      <c r="A42" s="11"/>
      <c r="B42" t="s" s="21">
        <v>42</v>
      </c>
      <c r="C42" s="13"/>
      <c r="D42" s="13"/>
      <c r="E42" s="14"/>
    </row>
    <row r="43" ht="28" customHeight="1">
      <c r="A43" s="11"/>
      <c r="B43" t="s" s="21">
        <v>43</v>
      </c>
      <c r="C43" s="13"/>
      <c r="D43" s="13"/>
      <c r="E43" s="14"/>
    </row>
    <row r="44" ht="42" customHeight="1">
      <c r="A44" s="11"/>
      <c r="B44" t="s" s="21">
        <v>44</v>
      </c>
      <c r="C44" s="13"/>
      <c r="D44" s="13"/>
      <c r="E44" s="14"/>
    </row>
    <row r="45" ht="13.55" customHeight="1">
      <c r="A45" s="11"/>
      <c r="B45" s="13"/>
      <c r="C45" s="13"/>
      <c r="D45" s="13"/>
      <c r="E45" s="14"/>
    </row>
    <row r="46" ht="14.6" customHeight="1">
      <c r="A46" s="11"/>
      <c r="B46" t="s" s="19">
        <v>45</v>
      </c>
      <c r="C46" s="13"/>
      <c r="D46" s="13"/>
      <c r="E46" s="14"/>
    </row>
    <row r="47" ht="28" customHeight="1">
      <c r="A47" s="11"/>
      <c r="B47" t="s" s="21">
        <v>46</v>
      </c>
      <c r="C47" s="13"/>
      <c r="D47" s="13"/>
      <c r="E47" s="14"/>
    </row>
    <row r="48" ht="28" customHeight="1">
      <c r="A48" s="11"/>
      <c r="B48" t="s" s="21">
        <v>47</v>
      </c>
      <c r="C48" s="13"/>
      <c r="D48" s="13"/>
      <c r="E48" s="14"/>
    </row>
    <row r="49" ht="28" customHeight="1">
      <c r="A49" s="11"/>
      <c r="B49" t="s" s="21">
        <v>48</v>
      </c>
      <c r="C49" s="13"/>
      <c r="D49" s="13"/>
      <c r="E49" s="14"/>
    </row>
    <row r="50" ht="28" customHeight="1">
      <c r="A50" s="11"/>
      <c r="B50" t="s" s="21">
        <v>49</v>
      </c>
      <c r="C50" s="13"/>
      <c r="D50" s="13"/>
      <c r="E50" s="14"/>
    </row>
    <row r="51" ht="13.65" customHeight="1">
      <c r="A51" s="11"/>
      <c r="B51" t="s" s="21">
        <v>50</v>
      </c>
      <c r="C51" s="13"/>
      <c r="D51" s="13"/>
      <c r="E51" s="14"/>
    </row>
    <row r="52" ht="13.65" customHeight="1">
      <c r="A52" s="22"/>
      <c r="B52" t="s" s="23">
        <v>51</v>
      </c>
      <c r="C52" s="24"/>
      <c r="D52" s="24"/>
      <c r="E52" s="2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S35"/>
  <sheetViews>
    <sheetView workbookViewId="0" showGridLines="0" defaultGridColor="1"/>
  </sheetViews>
  <sheetFormatPr defaultColWidth="8.83333" defaultRowHeight="15" customHeight="1" outlineLevelRow="0" outlineLevelCol="0"/>
  <cols>
    <col min="1" max="1" width="12" style="26" customWidth="1"/>
    <col min="2" max="2" width="24" style="26" customWidth="1"/>
    <col min="3" max="3" width="9" style="26" customWidth="1"/>
    <col min="4" max="4" width="16" style="26" customWidth="1"/>
    <col min="5" max="5" width="11" style="26" customWidth="1"/>
    <col min="6" max="6" width="24" style="26" customWidth="1"/>
    <col min="7" max="7" width="11" style="26" customWidth="1"/>
    <col min="8" max="8" width="24" style="26" customWidth="1"/>
    <col min="9" max="9" width="11" style="26" customWidth="1"/>
    <col min="10" max="10" width="18" style="26" customWidth="1"/>
    <col min="11" max="11" width="11" style="26" customWidth="1"/>
    <col min="12" max="13" width="10" style="26" customWidth="1"/>
    <col min="14" max="14" width="11" style="26" customWidth="1"/>
    <col min="15" max="15" width="10" style="26" customWidth="1"/>
    <col min="16" max="16" width="22" style="26" customWidth="1"/>
    <col min="17" max="17" width="60" style="26" customWidth="1"/>
    <col min="18" max="18" width="12" style="26" customWidth="1"/>
    <col min="19" max="19" width="13" style="26" customWidth="1"/>
    <col min="20" max="16384" width="8.85156" style="26" customWidth="1"/>
  </cols>
  <sheetData>
    <row r="1" ht="18.5" customHeight="1">
      <c r="A1" t="s" s="27">
        <v>53</v>
      </c>
      <c r="B1" s="28"/>
      <c r="C1" s="28"/>
      <c r="D1" s="28"/>
      <c r="E1" s="28"/>
      <c r="F1" s="28"/>
      <c r="G1" s="28"/>
      <c r="H1" s="28"/>
      <c r="I1" s="28"/>
      <c r="J1" s="28"/>
      <c r="K1" s="28"/>
      <c r="L1" s="28"/>
      <c r="M1" s="28"/>
      <c r="N1" s="9"/>
      <c r="O1" s="9"/>
      <c r="P1" s="9"/>
      <c r="Q1" s="9"/>
      <c r="R1" s="9"/>
      <c r="S1" s="10"/>
    </row>
    <row r="2" ht="68" customHeight="1">
      <c r="A2" t="str" s="29" cm="1">
        <f t="array" ref="A2">"TIMSS 2027 y PISA 2025"&amp;"
"&amp;"OJO · TIMSS (2.°–8.°): faltan "&amp;FIXED(MAX($G$5:$G$11),0)&amp;" temas de "&amp;INDEX($F$5:$F$11,MATCH(MAX($G$5:$G$11),$G$5:$G$11,0))&amp;" en "&amp;SUBSTITUTE(INDEX($A$5:$A$11,MATCH(MAX($G$5:$G$11),$G$5:$G$11,0)),"°",".°")&amp;", el grado más desbalanceado."&amp;"
"&amp;"OJO · PISA (7.°–9.°): faltan "&amp;FIXED(G25,0)&amp;" temas de "&amp;LOWER(F25)&amp;" en 9.°; en 7.°–9.° sobran "&amp;FIXED(I26,0)&amp;" de "&amp;LOWER(H26)&amp;"."&amp;"
"&amp;"● Arriba: tabla TIMSS. Abajo: tabla PISA. Al final: qué significa cada columna."</f>
        <v>TIMSS 2027 y PISA 2025
OJO · TIMSS (2.°–8.°): faltan 19 temas de Biología en 5.°, el grado más desbalanceado.
OJO · PISA (7.°–9.°): faltan 28 temas de sistemas vivos en 9.°; en 7.°–9.° sobran 33 de sistemas físicos.
● Arriba: tabla TIMSS. Abajo: tabla PISA. Al final: qué significa cada columna.</v>
      </c>
      <c r="B2" s="30"/>
      <c r="C2" s="31"/>
      <c r="D2" s="31"/>
      <c r="E2" s="31"/>
      <c r="F2" s="31"/>
      <c r="G2" s="31"/>
      <c r="H2" s="31"/>
      <c r="I2" s="31"/>
      <c r="J2" s="31"/>
      <c r="K2" s="31"/>
      <c r="L2" s="31"/>
      <c r="M2" s="32"/>
      <c r="N2" s="17"/>
      <c r="O2" s="13"/>
      <c r="P2" s="13"/>
      <c r="Q2" s="13"/>
      <c r="R2" s="13"/>
      <c r="S2" s="14"/>
    </row>
    <row r="3" ht="28" customHeight="1">
      <c r="A3" t="s" s="33">
        <v>55</v>
      </c>
      <c r="B3" s="31"/>
      <c r="C3" s="31"/>
      <c r="D3" s="31"/>
      <c r="E3" s="31"/>
      <c r="F3" s="31"/>
      <c r="G3" s="31"/>
      <c r="H3" s="31"/>
      <c r="I3" s="31"/>
      <c r="J3" s="31"/>
      <c r="K3" s="31"/>
      <c r="L3" s="31"/>
      <c r="M3" s="31"/>
      <c r="N3" s="13"/>
      <c r="O3" s="13"/>
      <c r="P3" s="13"/>
      <c r="Q3" s="13"/>
      <c r="R3" s="13"/>
      <c r="S3" s="14"/>
    </row>
    <row r="4" ht="92" customHeight="1">
      <c r="A4" t="s" s="34">
        <v>56</v>
      </c>
      <c r="B4" t="s" s="34">
        <v>57</v>
      </c>
      <c r="C4" t="s" s="34">
        <v>58</v>
      </c>
      <c r="D4" t="s" s="34">
        <v>59</v>
      </c>
      <c r="E4" t="s" s="34">
        <v>60</v>
      </c>
      <c r="F4" t="s" s="34">
        <v>61</v>
      </c>
      <c r="G4" t="s" s="34">
        <v>62</v>
      </c>
      <c r="H4" t="s" s="34">
        <v>63</v>
      </c>
      <c r="I4" t="s" s="34">
        <v>64</v>
      </c>
      <c r="J4" t="s" s="34">
        <v>65</v>
      </c>
      <c r="K4" t="s" s="34">
        <v>66</v>
      </c>
      <c r="L4" t="s" s="34">
        <v>67</v>
      </c>
      <c r="M4" t="s" s="34">
        <v>68</v>
      </c>
      <c r="N4" s="17"/>
      <c r="O4" s="13"/>
      <c r="P4" s="13"/>
      <c r="Q4" s="13"/>
      <c r="R4" s="13"/>
      <c r="S4" s="14"/>
    </row>
    <row r="5" ht="13.65" customHeight="1">
      <c r="A5" t="s" s="35">
        <v>69</v>
      </c>
      <c r="B5" t="s" s="35">
        <v>70</v>
      </c>
      <c r="C5" s="36" cm="1">
        <f t="array" ref="C5">_xlfn.COUNTIFS('Datos - Temas'!$V$5:$V$1264,$A5)</f>
        <v>70</v>
      </c>
      <c r="D5" s="37" cm="1">
        <f t="array" ref="D5">'TIMSS - Balance por grado'!N6</f>
        <v>11</v>
      </c>
      <c r="E5" s="38" cm="1">
        <f t="array" ref="E5">IF(C5=0,0,D5/C5)</f>
        <v>0.157142857142857</v>
      </c>
      <c r="F5" t="str" s="39" cm="1">
        <f t="array" ref="F5">INDEX('TIMSS - Balance por grado'!$C$6:$C$8,MATCH(MAX('TIMSS - Balance por grado'!$I$6:$I$8),'TIMSS - Balance por grado'!$I$6:$I$8,0))</f>
        <v>Ciencias de la Tierra</v>
      </c>
      <c r="G5" s="36" cm="1">
        <f t="array" ref="G5">ROUND(MAX('TIMSS - Balance por grado'!$I$6:$I$8),0)</f>
        <v>4</v>
      </c>
      <c r="H5" t="str" s="39" cm="1">
        <f t="array" ref="H5">INDEX('TIMSS - Balance por grado'!$C$6:$C$8,MATCH(MIN('TIMSS - Balance por grado'!$I$6:$I$8),'TIMSS - Balance por grado'!$I$6:$I$8,0))</f>
        <v>Ciencias físicas</v>
      </c>
      <c r="I5" s="36" cm="1">
        <f t="array" ref="I5">ROUND(-MIN('TIMSS - Balance por grado'!$I$6:$I$8),0)</f>
        <v>6</v>
      </c>
      <c r="J5" s="37" cm="1">
        <f t="array" ref="J5">'TIMSS - Balance por grado'!M9</f>
        <v>19</v>
      </c>
      <c r="K5" t="str" s="39" cm="1">
        <f t="array" ref="K5">COUNTIF('TIMSS - Balance por grado'!$K$6:$K$8,"En meta")&amp;" de "&amp;ROWS('TIMSS - Balance por grado'!$K$6:$K$8)</f>
        <v>1 de 3</v>
      </c>
      <c r="L5" s="40" cm="1">
        <f t="array" ref="L5">'TIMSS - Conocer-Aplicar-Razonar'!I5</f>
        <v>0.271428571428571</v>
      </c>
      <c r="M5" s="41" cm="1">
        <f t="array" ref="M5">'TIMSS - Conocer-Aplicar-Razonar'!L5</f>
        <v>0.25</v>
      </c>
      <c r="N5" s="17"/>
      <c r="O5" s="13"/>
      <c r="P5" s="13"/>
      <c r="Q5" s="13"/>
      <c r="R5" s="13"/>
      <c r="S5" s="14"/>
    </row>
    <row r="6" ht="13.65" customHeight="1">
      <c r="A6" t="s" s="35">
        <v>74</v>
      </c>
      <c r="B6" t="s" s="35">
        <v>70</v>
      </c>
      <c r="C6" s="36" cm="1">
        <f t="array" ref="C6">_xlfn.COUNTIFS('Datos - Temas'!$V$5:$V$1264,$A6)</f>
        <v>66</v>
      </c>
      <c r="D6" s="37" cm="1">
        <f t="array" ref="D6">'TIMSS - Balance por grado'!N11</f>
        <v>6</v>
      </c>
      <c r="E6" s="38" cm="1">
        <f t="array" ref="E6">IF(C6=0,0,D6/C6)</f>
        <v>0.0909090909090909</v>
      </c>
      <c r="F6" t="str" s="39" cm="1">
        <f t="array" ref="F6">INDEX('TIMSS - Balance por grado'!$C$11:$C$13,MATCH(MAX('TIMSS - Balance por grado'!$I$11:$I$13),'TIMSS - Balance por grado'!$I$11:$I$13,0))</f>
        <v>Ciencias de la Tierra</v>
      </c>
      <c r="G6" s="36" cm="1">
        <f t="array" ref="G6">ROUND(MAX('TIMSS - Balance por grado'!$I$11:$I$13),0)</f>
        <v>3</v>
      </c>
      <c r="H6" t="str" s="39" cm="1">
        <f t="array" ref="H6">INDEX('TIMSS - Balance por grado'!$C$11:$C$13,MATCH(MIN('TIMSS - Balance por grado'!$I$11:$I$13),'TIMSS - Balance por grado'!$I$11:$I$13,0))</f>
        <v>Biología</v>
      </c>
      <c r="I6" s="36" cm="1">
        <f t="array" ref="I6">ROUND(-MIN('TIMSS - Balance por grado'!$I$11:$I$13),0)</f>
        <v>5</v>
      </c>
      <c r="J6" s="37" cm="1">
        <f t="array" ref="J6">'TIMSS - Balance por grado'!M14</f>
        <v>12</v>
      </c>
      <c r="K6" t="str" s="39" cm="1">
        <f t="array" ref="K6">COUNTIF('TIMSS - Balance por grado'!$K$11:$K$13,"En meta")&amp;" de "&amp;ROWS('TIMSS - Balance por grado'!$K$11:$K$13)</f>
        <v>2 de 3</v>
      </c>
      <c r="L6" s="40" cm="1">
        <f t="array" ref="L6">'TIMSS - Conocer-Aplicar-Razonar'!I6</f>
        <v>0.265151515151515</v>
      </c>
      <c r="M6" s="41" cm="1">
        <f t="array" ref="M6">'TIMSS - Conocer-Aplicar-Razonar'!L6</f>
        <v>0.25</v>
      </c>
      <c r="N6" s="17"/>
      <c r="O6" s="13"/>
      <c r="P6" s="13"/>
      <c r="Q6" s="13"/>
      <c r="R6" s="13"/>
      <c r="S6" s="14"/>
    </row>
    <row r="7" ht="13.65" customHeight="1">
      <c r="A7" t="s" s="35">
        <v>77</v>
      </c>
      <c r="B7" t="s" s="35">
        <v>70</v>
      </c>
      <c r="C7" s="36" cm="1">
        <f t="array" ref="C7">_xlfn.COUNTIFS('Datos - Temas'!$V$5:$V$1264,$A7)</f>
        <v>72</v>
      </c>
      <c r="D7" s="37" cm="1">
        <f t="array" ref="D7">'TIMSS - Balance por grado'!N16</f>
        <v>9</v>
      </c>
      <c r="E7" s="38" cm="1">
        <f t="array" ref="E7">IF(C7=0,0,D7/C7)</f>
        <v>0.125</v>
      </c>
      <c r="F7" t="str" s="39" cm="1">
        <f t="array" ref="F7">INDEX('TIMSS - Balance por grado'!$C$16:$C$18,MATCH(MAX('TIMSS - Balance por grado'!$I$16:$I$18),'TIMSS - Balance por grado'!$I$16:$I$18,0))</f>
        <v>Ciencias físicas</v>
      </c>
      <c r="G7" s="36" cm="1">
        <f t="array" ref="G7">ROUND(MAX('TIMSS - Balance por grado'!$I$16:$I$18),0)</f>
        <v>13</v>
      </c>
      <c r="H7" t="str" s="39" cm="1">
        <f t="array" ref="H7">INDEX('TIMSS - Balance por grado'!$C$16:$C$18,MATCH(MIN('TIMSS - Balance por grado'!$I$16:$I$18),'TIMSS - Balance por grado'!$I$16:$I$18,0))</f>
        <v>Biología</v>
      </c>
      <c r="I7" s="36" cm="1">
        <f t="array" ref="I7">ROUND(-MIN('TIMSS - Balance por grado'!$I$16:$I$18),0)</f>
        <v>10</v>
      </c>
      <c r="J7" s="37" cm="1">
        <f t="array" ref="J7">'TIMSS - Balance por grado'!M19</f>
        <v>22</v>
      </c>
      <c r="K7" t="str" s="39" cm="1">
        <f t="array" ref="K7">COUNTIF('TIMSS - Balance por grado'!$K$16:$K$18,"En meta")&amp;" de "&amp;ROWS('TIMSS - Balance por grado'!$K$16:$K$18)</f>
        <v>0 de 3</v>
      </c>
      <c r="L7" s="40" cm="1">
        <f t="array" ref="L7">'TIMSS - Conocer-Aplicar-Razonar'!I7</f>
        <v>0.201388888888889</v>
      </c>
      <c r="M7" s="41" cm="1">
        <f t="array" ref="M7">'TIMSS - Conocer-Aplicar-Razonar'!L7</f>
        <v>0.25</v>
      </c>
      <c r="N7" s="17"/>
      <c r="O7" s="13"/>
      <c r="P7" s="13"/>
      <c r="Q7" s="13"/>
      <c r="R7" s="13"/>
      <c r="S7" s="14"/>
    </row>
    <row r="8" ht="13.65" customHeight="1">
      <c r="A8" t="s" s="35">
        <v>79</v>
      </c>
      <c r="B8" t="s" s="35">
        <v>80</v>
      </c>
      <c r="C8" s="36" cm="1">
        <f t="array" ref="C8">_xlfn.COUNTIFS('Datos - Temas'!$V$5:$V$1264,$A8)</f>
        <v>72</v>
      </c>
      <c r="D8" s="37" cm="1">
        <f t="array" ref="D8">'TIMSS - Balance por grado'!N21</f>
        <v>11</v>
      </c>
      <c r="E8" s="38" cm="1">
        <f t="array" ref="E8">IF(C8=0,0,D8/C8)</f>
        <v>0.152777777777778</v>
      </c>
      <c r="F8" t="str" s="39" cm="1">
        <f t="array" ref="F8">INDEX('TIMSS - Balance por grado'!$C$21:$C$24,MATCH(MAX('TIMSS - Balance por grado'!$I$21:$I$24),'TIMSS - Balance por grado'!$I$21:$I$24,0))</f>
        <v>Biología</v>
      </c>
      <c r="G8" s="36" cm="1">
        <f t="array" ref="G8">ROUND(MAX('TIMSS - Balance por grado'!$I$21:$I$24),0)</f>
        <v>19</v>
      </c>
      <c r="H8" t="str" s="39" cm="1">
        <f t="array" ref="H8">INDEX('TIMSS - Balance por grado'!$C$21:$C$24,MATCH(MIN('TIMSS - Balance por grado'!$I$21:$I$24),'TIMSS - Balance por grado'!$I$21:$I$24,0))</f>
        <v>Ciencias de la Tierra</v>
      </c>
      <c r="I8" s="36" cm="1">
        <f t="array" ref="I8">ROUND(-MIN('TIMSS - Balance por grado'!$I$21:$I$24),0)</f>
        <v>8</v>
      </c>
      <c r="J8" s="37" cm="1">
        <f t="array" ref="J8">'TIMSS - Balance por grado'!M25</f>
        <v>39</v>
      </c>
      <c r="K8" t="str" s="39" cm="1">
        <f t="array" ref="K8">COUNTIF('TIMSS - Balance por grado'!$K$21:$K$24,"En meta")&amp;" de "&amp;ROWS('TIMSS - Balance por grado'!$K$21:$K$24)</f>
        <v>0 de 4</v>
      </c>
      <c r="L8" s="40" cm="1">
        <f t="array" ref="L8">'TIMSS - Conocer-Aplicar-Razonar'!I8</f>
        <v>0.243055555555556</v>
      </c>
      <c r="M8" s="41" cm="1">
        <f t="array" ref="M8">'TIMSS - Conocer-Aplicar-Razonar'!L8</f>
        <v>0.3</v>
      </c>
      <c r="N8" s="17"/>
      <c r="O8" s="13"/>
      <c r="P8" s="13"/>
      <c r="Q8" s="13"/>
      <c r="R8" s="13"/>
      <c r="S8" s="14"/>
    </row>
    <row r="9" ht="13.65" customHeight="1">
      <c r="A9" t="s" s="35">
        <v>82</v>
      </c>
      <c r="B9" t="s" s="35">
        <v>80</v>
      </c>
      <c r="C9" s="36" cm="1">
        <f t="array" ref="C9">_xlfn.COUNTIFS('Datos - Temas'!$V$5:$V$1264,$A9)</f>
        <v>68</v>
      </c>
      <c r="D9" s="37" cm="1">
        <f t="array" ref="D9">'TIMSS - Balance por grado'!N27</f>
        <v>5</v>
      </c>
      <c r="E9" s="38" cm="1">
        <f t="array" ref="E9">IF(C9=0,0,D9/C9)</f>
        <v>0.0735294117647059</v>
      </c>
      <c r="F9" t="str" s="39" cm="1">
        <f t="array" ref="F9">INDEX('TIMSS - Balance por grado'!$C$27:$C$30,MATCH(MAX('TIMSS - Balance por grado'!$I$27:$I$30),'TIMSS - Balance por grado'!$I$27:$I$30,0))</f>
        <v>Ciencias de la Tierra</v>
      </c>
      <c r="G9" s="36" cm="1">
        <f t="array" ref="G9">ROUND(MAX('TIMSS - Balance por grado'!$I$27:$I$30),0)</f>
        <v>13</v>
      </c>
      <c r="H9" t="str" s="39" cm="1">
        <f t="array" ref="H9">INDEX('TIMSS - Balance por grado'!$C$27:$C$30,MATCH(MIN('TIMSS - Balance por grado'!$I$27:$I$30),'TIMSS - Balance por grado'!$I$27:$I$30,0))</f>
        <v>Física</v>
      </c>
      <c r="I9" s="36" cm="1">
        <f t="array" ref="I9">ROUND(-MIN('TIMSS - Balance por grado'!$I$27:$I$30),0)</f>
        <v>8</v>
      </c>
      <c r="J9" s="37" cm="1">
        <f t="array" ref="J9">'TIMSS - Balance por grado'!M31</f>
        <v>35</v>
      </c>
      <c r="K9" t="str" s="39" cm="1">
        <f t="array" ref="K9">COUNTIF('TIMSS - Balance por grado'!$K$27:$K$30,"En meta")&amp;" de "&amp;ROWS('TIMSS - Balance por grado'!$K$27:$K$30)</f>
        <v>1 de 4</v>
      </c>
      <c r="L9" s="40" cm="1">
        <f t="array" ref="L9">'TIMSS - Conocer-Aplicar-Razonar'!I9</f>
        <v>0.191176470588235</v>
      </c>
      <c r="M9" s="41" cm="1">
        <f t="array" ref="M9">'TIMSS - Conocer-Aplicar-Razonar'!L9</f>
        <v>0.3</v>
      </c>
      <c r="N9" s="17"/>
      <c r="O9" s="13"/>
      <c r="P9" s="13"/>
      <c r="Q9" s="13"/>
      <c r="R9" s="13"/>
      <c r="S9" s="14"/>
    </row>
    <row r="10" ht="13.65" customHeight="1">
      <c r="A10" t="s" s="35">
        <v>85</v>
      </c>
      <c r="B10" t="s" s="35">
        <v>80</v>
      </c>
      <c r="C10" s="36" cm="1">
        <f t="array" ref="C10">_xlfn.COUNTIFS('Datos - Temas'!$V$5:$V$1264,$A10)</f>
        <v>91</v>
      </c>
      <c r="D10" s="37" cm="1">
        <f t="array" ref="D10">'TIMSS - Balance por grado'!N33</f>
        <v>6</v>
      </c>
      <c r="E10" s="38" cm="1">
        <f t="array" ref="E10">IF(C10=0,0,D10/C10)</f>
        <v>0.06593406593406589</v>
      </c>
      <c r="F10" t="str" s="39" cm="1">
        <f t="array" ref="F10">INDEX('TIMSS - Balance por grado'!$C$33:$C$36,MATCH(MAX('TIMSS - Balance por grado'!$I$33:$I$36),'TIMSS - Balance por grado'!$I$33:$I$36,0))</f>
        <v>Física</v>
      </c>
      <c r="G10" s="36" cm="1">
        <f t="array" ref="G10">ROUND(MAX('TIMSS - Balance por grado'!$I$33:$I$36),0)</f>
        <v>19</v>
      </c>
      <c r="H10" t="str" s="39" cm="1">
        <f t="array" ref="H10">INDEX('TIMSS - Balance por grado'!$C$33:$C$36,MATCH(MIN('TIMSS - Balance por grado'!$I$33:$I$36),'TIMSS - Balance por grado'!$I$33:$I$36,0))</f>
        <v>Biología</v>
      </c>
      <c r="I10" s="36" cm="1">
        <f t="array" ref="I10">ROUND(-MIN('TIMSS - Balance por grado'!$I$33:$I$36),0)</f>
        <v>15</v>
      </c>
      <c r="J10" s="37" cm="1">
        <f t="array" ref="J10">'TIMSS - Balance por grado'!M37</f>
        <v>61</v>
      </c>
      <c r="K10" t="str" s="39" cm="1">
        <f t="array" ref="K10">COUNTIF('TIMSS - Balance por grado'!$K$33:$K$36,"En meta")&amp;" de "&amp;ROWS('TIMSS - Balance por grado'!$K$33:$K$36)</f>
        <v>0 de 4</v>
      </c>
      <c r="L10" s="40" cm="1">
        <f t="array" ref="L10">'TIMSS - Conocer-Aplicar-Razonar'!I10</f>
        <v>0.285714285714286</v>
      </c>
      <c r="M10" s="41" cm="1">
        <f t="array" ref="M10">'TIMSS - Conocer-Aplicar-Razonar'!L10</f>
        <v>0.3</v>
      </c>
      <c r="N10" s="17"/>
      <c r="O10" s="13"/>
      <c r="P10" s="13"/>
      <c r="Q10" s="13"/>
      <c r="R10" s="13"/>
      <c r="S10" s="14"/>
    </row>
    <row r="11" ht="13.65" customHeight="1">
      <c r="A11" t="s" s="35">
        <v>86</v>
      </c>
      <c r="B11" t="s" s="35">
        <v>80</v>
      </c>
      <c r="C11" s="36" cm="1">
        <f t="array" ref="C11">_xlfn.COUNTIFS('Datos - Temas'!$V$5:$V$1264,$A11)</f>
        <v>93</v>
      </c>
      <c r="D11" s="37" cm="1">
        <f t="array" ref="D11">'TIMSS - Balance por grado'!N39</f>
        <v>0</v>
      </c>
      <c r="E11" s="38" cm="1">
        <f t="array" ref="E11">IF(C11=0,0,D11/C11)</f>
        <v>0</v>
      </c>
      <c r="F11" t="str" s="39" cm="1">
        <f t="array" ref="F11">INDEX('TIMSS - Balance por grado'!$C$39:$C$42,MATCH(MAX('TIMSS - Balance por grado'!$I$39:$I$42),'TIMSS - Balance por grado'!$I$39:$I$42,0))</f>
        <v>Ciencias de la Tierra</v>
      </c>
      <c r="G11" s="36" cm="1">
        <f t="array" ref="G11">ROUND(MAX('TIMSS - Balance por grado'!$I$39:$I$42),0)</f>
        <v>15</v>
      </c>
      <c r="H11" t="str" s="39" cm="1">
        <f t="array" ref="H11">INDEX('TIMSS - Balance por grado'!$C$39:$C$42,MATCH(MIN('TIMSS - Balance por grado'!$I$39:$I$42),'TIMSS - Balance por grado'!$I$39:$I$42,0))</f>
        <v>Física</v>
      </c>
      <c r="I11" s="36" cm="1">
        <f t="array" ref="I11">ROUND(-MIN('TIMSS - Balance por grado'!$I$39:$I$42),0)</f>
        <v>14</v>
      </c>
      <c r="J11" s="37" cm="1">
        <f t="array" ref="J11">'TIMSS - Balance por grado'!M43</f>
        <v>56</v>
      </c>
      <c r="K11" t="str" s="39" cm="1">
        <f t="array" ref="K11">COUNTIF('TIMSS - Balance por grado'!$K$39:$K$42,"En meta")&amp;" de "&amp;ROWS('TIMSS - Balance por grado'!$K$39:$K$42)</f>
        <v>0 de 4</v>
      </c>
      <c r="L11" s="40" cm="1">
        <f t="array" ref="L11">'TIMSS - Conocer-Aplicar-Razonar'!I11</f>
        <v>0.209677419354839</v>
      </c>
      <c r="M11" s="41" cm="1">
        <f t="array" ref="M11">'TIMSS - Conocer-Aplicar-Razonar'!L11</f>
        <v>0.3</v>
      </c>
      <c r="N11" s="17"/>
      <c r="O11" s="13"/>
      <c r="P11" s="13"/>
      <c r="Q11" s="13"/>
      <c r="R11" s="13"/>
      <c r="S11" s="14"/>
    </row>
    <row r="12" ht="13.65" customHeight="1">
      <c r="A12" t="s" s="35">
        <v>87</v>
      </c>
      <c r="B12" t="s" s="35">
        <v>88</v>
      </c>
      <c r="C12" s="36" cm="1">
        <f t="array" ref="C12">_xlfn.COUNTIFS('Datos - Temas'!$V$5:$V$1264,$A12)</f>
        <v>121</v>
      </c>
      <c r="D12" s="37" cm="1">
        <f t="array" ref="D12">'TIMSS - Balance por grado'!N45</f>
        <v>41</v>
      </c>
      <c r="E12" s="38" cm="1">
        <f t="array" ref="E12">IF(C12=0,0,D12/C12)</f>
        <v>0.338842975206612</v>
      </c>
      <c r="F12" t="str" s="39" cm="1">
        <f t="array" ref="F12">INDEX('TIMSS - Balance por grado'!$C$45:$C$47,MATCH(MAX('TIMSS - Balance por grado'!$I$45:$I$47),'TIMSS - Balance por grado'!$I$45:$I$47,0))</f>
        <v>Electricidad y magnetismo</v>
      </c>
      <c r="G12" s="36" cm="1">
        <f t="array" ref="G12">ROUND(MAX('TIMSS - Balance por grado'!$I$45:$I$47),0)</f>
        <v>20</v>
      </c>
      <c r="H12" t="str" s="39" cm="1">
        <f t="array" ref="H12">INDEX('TIMSS - Balance por grado'!$C$45:$C$47,MATCH(MIN('TIMSS - Balance por grado'!$I$45:$I$47),'TIMSS - Balance por grado'!$I$45:$I$47,0))</f>
        <v>Mecánica y termodinámica</v>
      </c>
      <c r="I12" s="36" cm="1">
        <f t="array" ref="I12">ROUND(-MIN('TIMSS - Balance por grado'!$I$45:$I$47),0)</f>
        <v>35</v>
      </c>
      <c r="J12" s="37" cm="1">
        <f t="array" ref="J12">'TIMSS - Balance por grado'!M48</f>
        <v>88</v>
      </c>
      <c r="K12" t="str" s="39" cm="1">
        <f t="array" ref="K12">COUNTIF('TIMSS - Balance por grado'!$K$45:$K$47,"En meta")&amp;" de "&amp;ROWS('TIMSS - Balance por grado'!$K$45:$K$47)</f>
        <v>0 de 3</v>
      </c>
      <c r="L12" s="40" cm="1">
        <f t="array" ref="L12">'TIMSS - Conocer-Aplicar-Razonar'!I12</f>
        <v>0.480716253443526</v>
      </c>
      <c r="M12" s="41" cm="1">
        <f t="array" ref="M12">'TIMSS - Conocer-Aplicar-Razonar'!L12</f>
        <v>0.3</v>
      </c>
      <c r="N12" s="17"/>
      <c r="O12" s="13"/>
      <c r="P12" s="13"/>
      <c r="Q12" s="13"/>
      <c r="R12" s="13"/>
      <c r="S12" s="14"/>
    </row>
    <row r="13" ht="13.65" customHeight="1">
      <c r="A13" t="s" s="35">
        <v>91</v>
      </c>
      <c r="B13" t="s" s="35">
        <v>88</v>
      </c>
      <c r="C13" s="36" cm="1">
        <f t="array" ref="C13">_xlfn.COUNTIFS('Datos - Temas'!$V$5:$V$1264,$A13)</f>
        <v>146</v>
      </c>
      <c r="D13" s="37" cm="1">
        <f t="array" ref="D13">'TIMSS - Balance por grado'!N50</f>
        <v>27</v>
      </c>
      <c r="E13" s="38" cm="1">
        <f t="array" ref="E13">IF(C13=0,0,D13/C13)</f>
        <v>0.184931506849315</v>
      </c>
      <c r="F13" t="str" s="39" cm="1">
        <f t="array" ref="F13">INDEX('TIMSS - Balance por grado'!$C$50:$C$52,MATCH(MAX('TIMSS - Balance por grado'!$I$50:$I$52),'TIMSS - Balance por grado'!$I$50:$I$52,0))</f>
        <v>Mecánica y termodinámica</v>
      </c>
      <c r="G13" s="36" cm="1">
        <f t="array" ref="G13">ROUND(MAX('TIMSS - Balance por grado'!$I$50:$I$52),0)</f>
        <v>44</v>
      </c>
      <c r="H13" t="str" s="39" cm="1">
        <f t="array" ref="H13">INDEX('TIMSS - Balance por grado'!$C$50:$C$52,MATCH(MIN('TIMSS - Balance por grado'!$I$50:$I$52),'TIMSS - Balance por grado'!$I$50:$I$52,0))</f>
        <v>Ondas y física atómica/nuclear</v>
      </c>
      <c r="I13" s="36" cm="1">
        <f t="array" ref="I13">ROUND(-MIN('TIMSS - Balance por grado'!$I$50:$I$52),0)</f>
        <v>30</v>
      </c>
      <c r="J13" s="37" cm="1">
        <f t="array" ref="J13">'TIMSS - Balance por grado'!M53</f>
        <v>89</v>
      </c>
      <c r="K13" t="str" s="39" cm="1">
        <f t="array" ref="K13">COUNTIF('TIMSS - Balance por grado'!$K$50:$K$52,"En meta")&amp;" de "&amp;ROWS('TIMSS - Balance por grado'!$K$50:$K$52)</f>
        <v>0 de 3</v>
      </c>
      <c r="L13" s="40" cm="1">
        <f t="array" ref="L13">'TIMSS - Conocer-Aplicar-Razonar'!I13</f>
        <v>0.465753424657534</v>
      </c>
      <c r="M13" s="41" cm="1">
        <f t="array" ref="M13">'TIMSS - Conocer-Aplicar-Razonar'!L13</f>
        <v>0.3</v>
      </c>
      <c r="N13" s="17"/>
      <c r="O13" s="13"/>
      <c r="P13" s="13"/>
      <c r="Q13" s="13"/>
      <c r="R13" s="13"/>
      <c r="S13" s="14"/>
    </row>
    <row r="14" ht="13.55" customHeight="1">
      <c r="A14" s="42"/>
      <c r="B14" s="18"/>
      <c r="C14" s="18"/>
      <c r="D14" s="18"/>
      <c r="E14" s="18"/>
      <c r="F14" s="18"/>
      <c r="G14" s="18"/>
      <c r="H14" s="18"/>
      <c r="I14" s="18"/>
      <c r="J14" s="18"/>
      <c r="K14" s="18"/>
      <c r="L14" s="18"/>
      <c r="M14" s="18"/>
      <c r="N14" s="13"/>
      <c r="O14" s="13"/>
      <c r="P14" s="13"/>
      <c r="Q14" s="13"/>
      <c r="R14" s="13"/>
      <c r="S14" s="14"/>
    </row>
    <row r="15" ht="14.6" customHeight="1">
      <c r="A15" t="s" s="43">
        <v>93</v>
      </c>
      <c r="B15" s="44"/>
      <c r="C15" s="44"/>
      <c r="D15" s="44"/>
      <c r="E15" s="44"/>
      <c r="F15" s="44"/>
      <c r="G15" s="44"/>
      <c r="H15" s="44"/>
      <c r="I15" s="44"/>
      <c r="J15" s="44"/>
      <c r="K15" s="44"/>
      <c r="L15" s="44"/>
      <c r="M15" s="44"/>
      <c r="N15" s="44"/>
      <c r="O15" s="44"/>
      <c r="P15" s="44"/>
      <c r="Q15" s="44"/>
      <c r="R15" s="44"/>
      <c r="S15" s="45"/>
    </row>
    <row r="16" ht="58" customHeight="1">
      <c r="A16" t="s" s="34">
        <v>94</v>
      </c>
      <c r="B16" t="s" s="34">
        <v>57</v>
      </c>
      <c r="C16" t="s" s="34">
        <v>95</v>
      </c>
      <c r="D16" t="s" s="34">
        <v>96</v>
      </c>
      <c r="E16" t="s" s="34">
        <v>97</v>
      </c>
      <c r="F16" t="s" s="34">
        <v>98</v>
      </c>
      <c r="G16" t="s" s="34">
        <v>99</v>
      </c>
      <c r="H16" t="s" s="34">
        <v>100</v>
      </c>
      <c r="I16" t="s" s="34">
        <v>101</v>
      </c>
      <c r="J16" t="s" s="34">
        <v>102</v>
      </c>
      <c r="K16" t="s" s="34">
        <v>103</v>
      </c>
      <c r="L16" t="s" s="34">
        <v>104</v>
      </c>
      <c r="M16" t="s" s="34">
        <v>105</v>
      </c>
      <c r="N16" t="s" s="34">
        <v>106</v>
      </c>
      <c r="O16" t="s" s="34">
        <v>107</v>
      </c>
      <c r="P16" t="s" s="34">
        <v>108</v>
      </c>
      <c r="Q16" t="s" s="34">
        <v>109</v>
      </c>
      <c r="R16" t="s" s="34">
        <v>110</v>
      </c>
      <c r="S16" t="s" s="34">
        <v>111</v>
      </c>
    </row>
    <row r="17" ht="24.65" customHeight="1">
      <c r="A17" t="s" s="35">
        <v>112</v>
      </c>
      <c r="B17" t="s" s="35">
        <v>70</v>
      </c>
      <c r="C17" s="36" cm="1">
        <f t="array" ref="C17">'TIMSS - Balance por ciclo'!E6</f>
        <v>182</v>
      </c>
      <c r="D17" t="str" s="39" cm="1">
        <f t="array" ref="D17">INDEX('TIMSS - Balance por ciclo'!$C$6:$C$8,MATCH(MAX('TIMSS - Balance por ciclo'!$I$6:$I$8),'TIMSS - Balance por ciclo'!$I$6:$I$8,0))</f>
        <v>Ciencias físicas</v>
      </c>
      <c r="E17" s="36" cm="1">
        <f t="array" ref="E17">ROUND(MAX('TIMSS - Balance por ciclo'!$I$6:$I$8),0)</f>
        <v>9</v>
      </c>
      <c r="F17" t="str" s="39" cm="1">
        <f t="array" ref="F17">INDEX('TIMSS - Balance por ciclo'!$C$6:$C$8,MATCH(MIN('TIMSS - Balance por ciclo'!$I$6:$I$8),'TIMSS - Balance por ciclo'!$I$6:$I$8,0))</f>
        <v>Biología</v>
      </c>
      <c r="G17" s="36" cm="1">
        <f t="array" ref="G17">ROUND(-MIN('TIMSS - Balance por ciclo'!$I$6:$I$8),0)</f>
        <v>12</v>
      </c>
      <c r="H17" s="36" cm="1">
        <f t="array" ref="H17">'TIMSS - Balance por ciclo'!M9</f>
        <v>29</v>
      </c>
      <c r="I17" t="str" s="39" cm="1">
        <f t="array" ref="I17">COUNTIF('TIMSS - Balance por ciclo'!$K$6:$K$8,"En meta")&amp;" de "&amp;ROWS('TIMSS - Balance por ciclo'!$K$6:$K$8)</f>
        <v>2 de 3</v>
      </c>
      <c r="J17" s="36" cm="1">
        <f t="array" ref="J17">'TIMSS - Semáforo de objetivos'!C115</f>
        <v>32</v>
      </c>
      <c r="K17" s="36" cm="1">
        <f t="array" ref="K17">'TIMSS - Semáforo de objetivos'!D115</f>
        <v>31</v>
      </c>
      <c r="L17" s="38" cm="1">
        <f t="array" ref="L17">'TIMSS - Semáforo de objetivos'!E115</f>
        <v>0.96875</v>
      </c>
      <c r="M17" s="36" cm="1">
        <f t="array" ref="M17">'TIMSS - Semáforo de objetivos'!F115</f>
        <v>1</v>
      </c>
      <c r="N17" s="46" cm="1">
        <f t="array" ref="N17">'Datos - TIMSS 2023'!C110</f>
        <v>31</v>
      </c>
      <c r="O17" s="47" cm="1">
        <f t="array" ref="O17">'Datos - TIMSS 2023'!D110</f>
        <v>0.96875</v>
      </c>
      <c r="P17" t="str" s="48" cm="1">
        <f t="array" ref="P17">INDEX('Datos - TIMSS 2023'!$C$117:$C$119,MATCH(MAX('Datos - TIMSS 2023'!$G$117:$G$119),'Datos - TIMSS 2023'!$G$117:$G$119,0))</f>
        <v>Ciencias físicas</v>
      </c>
      <c r="Q17" t="str" s="49" cm="1">
        <f t="array" ref="Q17">"Cubiertos: "&amp;N17&amp;" de "&amp;'Datos - TIMSS 2023'!B110&amp;" (2023) → "&amp;K17&amp;" de "&amp;J17&amp;" (2027) · Mayor faltante: "&amp;P17&amp;" (2023) → "&amp;D17&amp;" (2027)"</f>
        <v>Cubiertos: 31 de 32 (2023) → 31 de 32 (2027) · Mayor faltante: Ciencias físicas (2023) → Ciencias físicas (2027)</v>
      </c>
      <c r="R17" s="47" cm="1">
        <f t="array" ref="R17">'TIMSS - Medio ambiente'!E16</f>
        <v>0.296703296703297</v>
      </c>
      <c r="S17" s="46" cm="1">
        <f t="array" ref="S17">'TIMSS - Investigación'!C15</f>
        <v>9</v>
      </c>
    </row>
    <row r="18" ht="24.65" customHeight="1">
      <c r="A18" t="s" s="35">
        <v>115</v>
      </c>
      <c r="B18" t="s" s="35">
        <v>80</v>
      </c>
      <c r="C18" s="36" cm="1">
        <f t="array" ref="C18">'TIMSS - Balance por ciclo'!E11</f>
        <v>302</v>
      </c>
      <c r="D18" t="str" s="39" cm="1">
        <f t="array" ref="D18">INDEX('TIMSS - Balance por ciclo'!$C$11:$C$14,MATCH(MAX('TIMSS - Balance por ciclo'!$I$11:$I$14),'TIMSS - Balance por ciclo'!$I$11:$I$14,0))</f>
        <v>Ciencias de la Tierra</v>
      </c>
      <c r="E18" s="36" cm="1">
        <f t="array" ref="E18">ROUND(MAX('TIMSS - Balance por ciclo'!$I$11:$I$14),0)</f>
        <v>7</v>
      </c>
      <c r="F18" t="str" s="39" cm="1">
        <f t="array" ref="F18">INDEX('TIMSS - Balance por ciclo'!$C$11:$C$14,MATCH(MIN('TIMSS - Balance por ciclo'!$I$11:$I$14),'TIMSS - Balance por ciclo'!$I$11:$I$14,0))</f>
        <v>Física</v>
      </c>
      <c r="G18" s="36" cm="1">
        <f t="array" ref="G18">ROUND(-MIN('TIMSS - Balance por ciclo'!$I$11:$I$14),0)</f>
        <v>8</v>
      </c>
      <c r="H18" s="36" cm="1">
        <f t="array" ref="H18">'TIMSS - Balance por ciclo'!M15</f>
        <v>32</v>
      </c>
      <c r="I18" t="str" s="39" cm="1">
        <f t="array" ref="I18">COUNTIF('TIMSS - Balance por ciclo'!$K$11:$K$14,"En meta")&amp;" de "&amp;ROWS('TIMSS - Balance por ciclo'!$K$11:$K$14)</f>
        <v>4 de 4</v>
      </c>
      <c r="J18" s="36" cm="1">
        <f t="array" ref="J18">'TIMSS - Semáforo de objetivos'!C120</f>
        <v>48</v>
      </c>
      <c r="K18" s="36" cm="1">
        <f t="array" ref="K18">'TIMSS - Semáforo de objetivos'!D120</f>
        <v>45</v>
      </c>
      <c r="L18" s="38" cm="1">
        <f t="array" ref="L18">'TIMSS - Semáforo de objetivos'!E120</f>
        <v>0.9375</v>
      </c>
      <c r="M18" s="36" cm="1">
        <f t="array" ref="M18">'TIMSS - Semáforo de objetivos'!F120</f>
        <v>3</v>
      </c>
      <c r="N18" s="46" cm="1">
        <f t="array" ref="N18">'Datos - TIMSS 2023'!C111</f>
        <v>43</v>
      </c>
      <c r="O18" s="47" cm="1">
        <f t="array" ref="O18">'Datos - TIMSS 2023'!D111</f>
        <v>0.934782608695652</v>
      </c>
      <c r="P18" t="str" s="48" cm="1">
        <f t="array" ref="P18">INDEX('Datos - TIMSS 2023'!$C$121:$C$124,MATCH(MAX('Datos - TIMSS 2023'!$G$121:$G$124),'Datos - TIMSS 2023'!$G$121:$G$124,0))</f>
        <v>Ciencias de la Tierra</v>
      </c>
      <c r="Q18" t="str" s="49" cm="1">
        <f t="array" ref="Q18">"Cubiertos: "&amp;N18&amp;" de "&amp;'Datos - TIMSS 2023'!B111&amp;" (2023) → "&amp;K18&amp;" de "&amp;J18&amp;" (2027) · Mayor faltante: "&amp;P18&amp;" (2023) → "&amp;D18&amp;" (2027)"</f>
        <v>Cubiertos: 43 de 46 (2023) → 45 de 48 (2027) · Mayor faltante: Ciencias de la Tierra (2023) → Ciencias de la Tierra (2027)</v>
      </c>
      <c r="R18" s="47" cm="1">
        <f t="array" ref="R18">'TIMSS - Medio ambiente'!E17</f>
        <v>0.291390728476821</v>
      </c>
      <c r="S18" s="46" cm="1">
        <f t="array" ref="S18">'TIMSS - Investigación'!C16</f>
        <v>15</v>
      </c>
    </row>
    <row r="19" ht="13.65" customHeight="1">
      <c r="A19" t="s" s="35">
        <v>119</v>
      </c>
      <c r="B19" t="s" s="35">
        <v>88</v>
      </c>
      <c r="C19" s="36" cm="1">
        <f t="array" ref="C19">'TIMSS - Balance por ciclo'!E17</f>
        <v>199</v>
      </c>
      <c r="D19" t="str" s="39" cm="1">
        <f t="array" ref="D19">INDEX('TIMSS - Balance por ciclo'!$C$17:$C$19,MATCH(MAX('TIMSS - Balance por ciclo'!$I$17:$I$19),'TIMSS - Balance por ciclo'!$I$17:$I$19,0))</f>
        <v>Mecánica y termodinámica</v>
      </c>
      <c r="E19" s="36" cm="1">
        <f t="array" ref="E19">ROUND(MAX('TIMSS - Balance por ciclo'!$I$17:$I$19),0)</f>
        <v>9</v>
      </c>
      <c r="F19" t="str" s="39" cm="1">
        <f t="array" ref="F19">INDEX('TIMSS - Balance por ciclo'!$C$17:$C$19,MATCH(MIN('TIMSS - Balance por ciclo'!$I$17:$I$19),'TIMSS - Balance por ciclo'!$I$17:$I$19,0))</f>
        <v>Ondas y física atómica/nuclear</v>
      </c>
      <c r="G19" s="36" cm="1">
        <f t="array" ref="G19">ROUND(-MIN('TIMSS - Balance por ciclo'!$I$17:$I$19),0)</f>
        <v>15</v>
      </c>
      <c r="H19" s="36" cm="1">
        <f t="array" ref="H19">'TIMSS - Balance por ciclo'!M20</f>
        <v>46</v>
      </c>
      <c r="I19" t="str" s="39" cm="1">
        <f t="array" ref="I19">COUNTIF('TIMSS - Balance por ciclo'!$K$17:$K$19,"En meta")&amp;" de "&amp;ROWS('TIMSS - Balance por ciclo'!$K$17:$K$19)</f>
        <v>2 de 3</v>
      </c>
      <c r="J19" s="36" cm="1">
        <f t="array" ref="J19">'TIMSS - Semáforo de objetivos'!C124</f>
        <v>23</v>
      </c>
      <c r="K19" s="36" cm="1">
        <f t="array" ref="K19">'TIMSS - Semáforo de objetivos'!D124</f>
        <v>23</v>
      </c>
      <c r="L19" s="38" cm="1">
        <f t="array" ref="L19">'TIMSS - Semáforo de objetivos'!E124</f>
        <v>1</v>
      </c>
      <c r="M19" s="36" cm="1">
        <f t="array" ref="M19">'TIMSS - Semáforo de objetivos'!F124</f>
        <v>0</v>
      </c>
      <c r="N19" s="46" cm="1">
        <f t="array" ref="N19">'Datos - TIMSS 2023'!C112</f>
        <v>23</v>
      </c>
      <c r="O19" s="47" cm="1">
        <f t="array" ref="O19">'Datos - TIMSS 2023'!D112</f>
        <v>1</v>
      </c>
      <c r="P19" t="str" s="48" cm="1">
        <f t="array" ref="P19">INDEX('Datos - TIMSS 2023'!$C$131:$C$133,MATCH(MAX('Datos - TIMSS 2023'!$G$131:$G$133),'Datos - TIMSS 2023'!$G$131:$G$133,0))</f>
        <v>Mecánica y termodinámica</v>
      </c>
      <c r="Q19" t="str" s="49" cm="1">
        <f t="array" ref="Q19">"Sin cambio de marco: Física sigue con TIMSS Advanced 2015"</f>
        <v>Sin cambio de marco: Física sigue con TIMSS Advanced 2015</v>
      </c>
      <c r="R19" t="s" s="50">
        <v>122</v>
      </c>
      <c r="S19" t="s" s="50">
        <v>122</v>
      </c>
    </row>
    <row r="20" ht="13.55" customHeight="1">
      <c r="A20" s="42"/>
      <c r="B20" s="18"/>
      <c r="C20" s="18"/>
      <c r="D20" s="18"/>
      <c r="E20" s="18"/>
      <c r="F20" s="18"/>
      <c r="G20" s="18"/>
      <c r="H20" s="18"/>
      <c r="I20" s="18"/>
      <c r="J20" s="18"/>
      <c r="K20" s="18"/>
      <c r="L20" s="18"/>
      <c r="M20" s="18"/>
      <c r="N20" s="18"/>
      <c r="O20" s="18"/>
      <c r="P20" s="18"/>
      <c r="Q20" s="18"/>
      <c r="R20" s="18"/>
      <c r="S20" s="51"/>
    </row>
    <row r="21" ht="14.6" customHeight="1">
      <c r="A21" t="s" s="43">
        <v>123</v>
      </c>
      <c r="B21" s="44"/>
      <c r="C21" s="44"/>
      <c r="D21" s="44"/>
      <c r="E21" s="44"/>
      <c r="F21" s="44"/>
      <c r="G21" s="44"/>
      <c r="H21" s="44"/>
      <c r="I21" s="44"/>
      <c r="J21" s="44"/>
      <c r="K21" s="44"/>
      <c r="L21" s="44"/>
      <c r="M21" s="44"/>
      <c r="N21" s="13"/>
      <c r="O21" s="13"/>
      <c r="P21" s="13"/>
      <c r="Q21" s="13"/>
      <c r="R21" s="13"/>
      <c r="S21" s="14"/>
    </row>
    <row r="22" ht="92" customHeight="1">
      <c r="A22" t="s" s="34">
        <v>56</v>
      </c>
      <c r="B22" t="s" s="34">
        <v>57</v>
      </c>
      <c r="C22" t="s" s="34">
        <v>58</v>
      </c>
      <c r="D22" t="s" s="34">
        <v>124</v>
      </c>
      <c r="E22" t="s" s="34">
        <v>125</v>
      </c>
      <c r="F22" t="s" s="34">
        <v>126</v>
      </c>
      <c r="G22" t="s" s="34">
        <v>127</v>
      </c>
      <c r="H22" t="s" s="34">
        <v>128</v>
      </c>
      <c r="I22" t="s" s="34">
        <v>129</v>
      </c>
      <c r="J22" t="s" s="34">
        <v>130</v>
      </c>
      <c r="K22" t="s" s="34">
        <v>131</v>
      </c>
      <c r="L22" t="s" s="34">
        <v>132</v>
      </c>
      <c r="M22" t="s" s="34">
        <v>133</v>
      </c>
      <c r="N22" s="17"/>
      <c r="O22" s="13"/>
      <c r="P22" s="13"/>
      <c r="Q22" s="13"/>
      <c r="R22" s="13"/>
      <c r="S22" s="14"/>
    </row>
    <row r="23" ht="13.65" customHeight="1">
      <c r="A23" t="s" s="35">
        <v>85</v>
      </c>
      <c r="B23" t="s" s="35">
        <v>134</v>
      </c>
      <c r="C23" s="36" cm="1">
        <f t="array" ref="C23">_xlfn.COUNTIFS('Datos - Temas'!$V$5:$V$1264,$A23,'Datos - Temas'!$AK$5:$AK$1264,"&lt;&gt;")</f>
        <v>91</v>
      </c>
      <c r="D23" s="37" cm="1">
        <f t="array" ref="D23">'PISA - Contenidos'!N6</f>
        <v>1</v>
      </c>
      <c r="E23" s="38" cm="1">
        <f t="array" ref="E23">IF(C23=0,0,D23/C23)</f>
        <v>0.010989010989011</v>
      </c>
      <c r="F23" t="str" s="39" cm="1">
        <f t="array" ref="F23">INDEX('PISA - Contenidos'!$C$6:$C$8,MATCH(MAX('PISA - Contenidos'!$I$6:$I$8),'PISA - Contenidos'!$I$6:$I$8,0))</f>
        <v>Sistemas físicos</v>
      </c>
      <c r="G23" s="36" cm="1">
        <f t="array" ref="G23">ROUND(MAX('PISA - Contenidos'!$I$6:$I$8),0)</f>
        <v>17</v>
      </c>
      <c r="H23" t="str" s="39" cm="1">
        <f t="array" ref="H23">INDEX('PISA - Contenidos'!$C$6:$C$8,MATCH(MIN('PISA - Contenidos'!$I$6:$I$8),'PISA - Contenidos'!$I$6:$I$8,0))</f>
        <v>Sistemas vivos</v>
      </c>
      <c r="I23" s="36" cm="1">
        <f t="array" ref="I23">ROUND(-MIN('PISA - Contenidos'!$I$6:$I$8),0)</f>
        <v>18</v>
      </c>
      <c r="J23" s="37" cm="1">
        <f t="array" ref="J23">'PISA - Contenidos'!M9</f>
        <v>50</v>
      </c>
      <c r="K23" t="str" s="39" cm="1">
        <f t="array" ref="K23">COUNTIF('PISA - Contenidos'!$K$6:$K$8,"En meta")&amp;" de "&amp;ROWS('PISA - Contenidos'!$K$6:$K$8)</f>
        <v>1 de 3</v>
      </c>
      <c r="L23" s="40" cm="1">
        <f t="array" ref="L23">'PISA - Competencias'!H13</f>
        <v>0.21978021978022</v>
      </c>
      <c r="M23" s="40" cm="1">
        <f t="array" ref="M23">'Apego TIMSS y PISA'!F20</f>
        <v>0.861556776556777</v>
      </c>
      <c r="N23" s="17"/>
      <c r="O23" s="13"/>
      <c r="P23" s="13"/>
      <c r="Q23" s="13"/>
      <c r="R23" s="13"/>
      <c r="S23" s="14"/>
    </row>
    <row r="24" ht="13.65" customHeight="1">
      <c r="A24" t="s" s="35">
        <v>86</v>
      </c>
      <c r="B24" t="s" s="35">
        <v>134</v>
      </c>
      <c r="C24" s="36" cm="1">
        <f t="array" ref="C24">_xlfn.COUNTIFS('Datos - Temas'!$V$5:$V$1264,$A24,'Datos - Temas'!$AK$5:$AK$1264,"&lt;&gt;")</f>
        <v>93</v>
      </c>
      <c r="D24" s="37" cm="1">
        <f t="array" ref="D24">'PISA - Contenidos'!N11</f>
        <v>5</v>
      </c>
      <c r="E24" s="38" cm="1">
        <f t="array" ref="E24">IF(C24=0,0,D24/C24)</f>
        <v>0.0537634408602151</v>
      </c>
      <c r="F24" t="str" s="39" cm="1">
        <f t="array" ref="F24">INDEX('PISA - Contenidos'!$C$11:$C$13,MATCH(MAX('PISA - Contenidos'!$I$11:$I$13),'PISA - Contenidos'!$I$11:$I$13,0))</f>
        <v>Sistemas de la Tierra y el espacio</v>
      </c>
      <c r="G24" s="36" cm="1">
        <f t="array" ref="G24">ROUND(MAX('PISA - Contenidos'!$I$11:$I$13),0)</f>
        <v>17</v>
      </c>
      <c r="H24" t="str" s="39" cm="1">
        <f t="array" ref="H24">INDEX('PISA - Contenidos'!$C$11:$C$13,MATCH(MIN('PISA - Contenidos'!$I$11:$I$13),'PISA - Contenidos'!$I$11:$I$13,0))</f>
        <v>Sistemas físicos</v>
      </c>
      <c r="I24" s="36" cm="1">
        <f t="array" ref="I24">ROUND(-MIN('PISA - Contenidos'!$I$11:$I$13),0)</f>
        <v>22</v>
      </c>
      <c r="J24" s="37" cm="1">
        <f t="array" ref="J24">'PISA - Contenidos'!M14</f>
        <v>63</v>
      </c>
      <c r="K24" t="str" s="39" cm="1">
        <f t="array" ref="K24">COUNTIF('PISA - Contenidos'!$K$11:$K$13,"En meta")&amp;" de "&amp;ROWS('PISA - Contenidos'!$K$11:$K$13)</f>
        <v>0 de 3</v>
      </c>
      <c r="L24" s="40" cm="1">
        <f t="array" ref="L24">'PISA - Competencias'!H14</f>
        <v>0.0645161290322581</v>
      </c>
      <c r="M24" s="40" cm="1">
        <f t="array" ref="M24">'Apego TIMSS y PISA'!F21</f>
        <v>0.710672043010753</v>
      </c>
      <c r="N24" s="17"/>
      <c r="O24" s="13"/>
      <c r="P24" s="13"/>
      <c r="Q24" s="13"/>
      <c r="R24" s="13"/>
      <c r="S24" s="14"/>
    </row>
    <row r="25" ht="13.65" customHeight="1">
      <c r="A25" t="s" s="35">
        <v>138</v>
      </c>
      <c r="B25" t="s" s="35">
        <v>134</v>
      </c>
      <c r="C25" s="36" cm="1">
        <f t="array" ref="C25">_xlfn.COUNTIFS('Datos - Temas'!$V$5:$V$1264,$A25,'Datos - Temas'!$AK$5:$AK$1264,"&lt;&gt;")</f>
        <v>90</v>
      </c>
      <c r="D25" s="37" cm="1">
        <f t="array" ref="D25">'PISA - Contenidos'!N16</f>
        <v>6</v>
      </c>
      <c r="E25" s="38" cm="1">
        <f t="array" ref="E25">IF(C25=0,0,D25/C25)</f>
        <v>0.06666666666666669</v>
      </c>
      <c r="F25" t="str" s="39" cm="1">
        <f t="array" ref="F25">INDEX('PISA - Contenidos'!$C$16:$C$18,MATCH(MAX('PISA - Contenidos'!$I$16:$I$18),'PISA - Contenidos'!$I$16:$I$18,0))</f>
        <v>Sistemas vivos</v>
      </c>
      <c r="G25" s="36" cm="1">
        <f t="array" ref="G25">ROUND(MAX('PISA - Contenidos'!$I$16:$I$18),0)</f>
        <v>28</v>
      </c>
      <c r="H25" t="str" s="39" cm="1">
        <f t="array" ref="H25">INDEX('PISA - Contenidos'!$C$16:$C$18,MATCH(MIN('PISA - Contenidos'!$I$16:$I$18),'PISA - Contenidos'!$I$16:$I$18,0))</f>
        <v>Sistemas físicos</v>
      </c>
      <c r="I25" s="36" cm="1">
        <f t="array" ref="I25">ROUND(-MIN('PISA - Contenidos'!$I$16:$I$18),0)</f>
        <v>28</v>
      </c>
      <c r="J25" s="37" cm="1">
        <f t="array" ref="J25">'PISA - Contenidos'!M19</f>
        <v>76</v>
      </c>
      <c r="K25" t="str" s="39" cm="1">
        <f t="array" ref="K25">COUNTIF('PISA - Contenidos'!$K$16:$K$18,"En meta")&amp;" de "&amp;ROWS('PISA - Contenidos'!$K$16:$K$18)</f>
        <v>1 de 3</v>
      </c>
      <c r="L25" s="40" cm="1">
        <f t="array" ref="L25">'PISA - Competencias'!H15</f>
        <v>0.133333333333333</v>
      </c>
      <c r="M25" s="40" cm="1">
        <f t="array" ref="M25">'Apego TIMSS y PISA'!F22</f>
        <v>0.727301587301588</v>
      </c>
      <c r="N25" s="17"/>
      <c r="O25" s="13"/>
      <c r="P25" s="13"/>
      <c r="Q25" s="13"/>
      <c r="R25" s="13"/>
      <c r="S25" s="14"/>
    </row>
    <row r="26" ht="13.65" customHeight="1">
      <c r="A26" t="s" s="35">
        <v>139</v>
      </c>
      <c r="B26" t="s" s="35">
        <v>134</v>
      </c>
      <c r="C26" s="36" cm="1">
        <f t="array" ref="C26">_xlfn.COUNTIFS('Datos - Temas'!$AV$5:$AV$1264,$A26,'Datos - Temas'!$AK$5:$AK$1264,"&lt;&gt;")</f>
        <v>274</v>
      </c>
      <c r="D26" s="37" cm="1">
        <f t="array" ref="D26">'PISA - Contenidos'!N21</f>
        <v>12</v>
      </c>
      <c r="E26" s="38" cm="1">
        <f t="array" ref="E26">IF(C26=0,0,D26/C26)</f>
        <v>0.0437956204379562</v>
      </c>
      <c r="F26" t="str" s="39" cm="1">
        <f t="array" ref="F26">INDEX('PISA - Contenidos'!$C$21:$C$23,MATCH(MAX('PISA - Contenidos'!$I$21:$I$23),'PISA - Contenidos'!$I$21:$I$23,0))</f>
        <v>Sistemas de la Tierra y el espacio</v>
      </c>
      <c r="G26" s="36" cm="1">
        <f t="array" ref="G26">ROUND(MAX('PISA - Contenidos'!$I$21:$I$23),0)</f>
        <v>17</v>
      </c>
      <c r="H26" t="str" s="39" cm="1">
        <f t="array" ref="H26">INDEX('PISA - Contenidos'!$C$21:$C$23,MATCH(MIN('PISA - Contenidos'!$I$21:$I$23),'PISA - Contenidos'!$I$21:$I$23,0))</f>
        <v>Sistemas físicos</v>
      </c>
      <c r="I26" s="36" cm="1">
        <f t="array" ref="I26">ROUND(-MIN('PISA - Contenidos'!$I$21:$I$23),0)</f>
        <v>33</v>
      </c>
      <c r="J26" s="37" cm="1">
        <f t="array" ref="J26">'PISA - Contenidos'!M24</f>
        <v>90</v>
      </c>
      <c r="K26" t="str" s="39" cm="1">
        <f t="array" ref="K26">COUNTIF('PISA - Contenidos'!$K$21:$K$23,"En meta")&amp;" de "&amp;ROWS('PISA - Contenidos'!$K$21:$K$23)</f>
        <v>0 de 3</v>
      </c>
      <c r="L26" s="40" cm="1">
        <f t="array" ref="L26">'PISA - Competencias'!H16</f>
        <v>0.138686131386861</v>
      </c>
      <c r="M26" s="40" cm="1">
        <f t="array" ref="M26">'Apego TIMSS y PISA'!F23</f>
        <v>0.8766157937701931</v>
      </c>
      <c r="N26" s="17"/>
      <c r="O26" s="13"/>
      <c r="P26" s="13"/>
      <c r="Q26" s="13"/>
      <c r="R26" s="13"/>
      <c r="S26" s="14"/>
    </row>
    <row r="27" ht="13.55" customHeight="1">
      <c r="A27" s="42"/>
      <c r="B27" s="18"/>
      <c r="C27" s="18"/>
      <c r="D27" s="18"/>
      <c r="E27" s="18"/>
      <c r="F27" s="18"/>
      <c r="G27" s="18"/>
      <c r="H27" s="18"/>
      <c r="I27" s="18"/>
      <c r="J27" s="18"/>
      <c r="K27" s="18"/>
      <c r="L27" s="18"/>
      <c r="M27" s="18"/>
      <c r="N27" s="13"/>
      <c r="O27" s="13"/>
      <c r="P27" s="13"/>
      <c r="Q27" s="13"/>
      <c r="R27" s="13"/>
      <c r="S27" s="14"/>
    </row>
    <row r="28" ht="14.6" customHeight="1">
      <c r="A28" t="s" s="52">
        <v>140</v>
      </c>
      <c r="B28" s="13"/>
      <c r="C28" s="13"/>
      <c r="D28" s="13"/>
      <c r="E28" s="13"/>
      <c r="F28" s="13"/>
      <c r="G28" s="13"/>
      <c r="H28" s="13"/>
      <c r="I28" s="13"/>
      <c r="J28" s="13"/>
      <c r="K28" s="13"/>
      <c r="L28" s="13"/>
      <c r="M28" s="13"/>
      <c r="N28" s="13"/>
      <c r="O28" s="13"/>
      <c r="P28" s="13"/>
      <c r="Q28" s="13"/>
      <c r="R28" s="13"/>
      <c r="S28" s="14"/>
    </row>
    <row r="29" ht="30" customHeight="1">
      <c r="A29" t="s" s="53">
        <v>141</v>
      </c>
      <c r="B29" s="13"/>
      <c r="C29" s="13"/>
      <c r="D29" s="13"/>
      <c r="E29" s="13"/>
      <c r="F29" s="13"/>
      <c r="G29" s="13"/>
      <c r="H29" s="13"/>
      <c r="I29" s="13"/>
      <c r="J29" s="13"/>
      <c r="K29" s="13"/>
      <c r="L29" s="13"/>
      <c r="M29" s="13"/>
      <c r="N29" s="13"/>
      <c r="O29" s="13"/>
      <c r="P29" s="13"/>
      <c r="Q29" s="13"/>
      <c r="R29" s="13"/>
      <c r="S29" s="14"/>
    </row>
    <row r="30" ht="30" customHeight="1">
      <c r="A30" t="s" s="53">
        <v>142</v>
      </c>
      <c r="B30" s="13"/>
      <c r="C30" s="13"/>
      <c r="D30" s="13"/>
      <c r="E30" s="13"/>
      <c r="F30" s="13"/>
      <c r="G30" s="13"/>
      <c r="H30" s="13"/>
      <c r="I30" s="13"/>
      <c r="J30" s="13"/>
      <c r="K30" s="13"/>
      <c r="L30" s="13"/>
      <c r="M30" s="13"/>
      <c r="N30" s="13"/>
      <c r="O30" s="13"/>
      <c r="P30" s="13"/>
      <c r="Q30" s="13"/>
      <c r="R30" s="13"/>
      <c r="S30" s="14"/>
    </row>
    <row r="31" ht="30" customHeight="1">
      <c r="A31" t="s" s="53">
        <v>143</v>
      </c>
      <c r="B31" s="13"/>
      <c r="C31" s="13"/>
      <c r="D31" s="13"/>
      <c r="E31" s="13"/>
      <c r="F31" s="13"/>
      <c r="G31" s="13"/>
      <c r="H31" s="13"/>
      <c r="I31" s="13"/>
      <c r="J31" s="13"/>
      <c r="K31" s="13"/>
      <c r="L31" s="13"/>
      <c r="M31" s="13"/>
      <c r="N31" s="13"/>
      <c r="O31" s="13"/>
      <c r="P31" s="13"/>
      <c r="Q31" s="13"/>
      <c r="R31" s="13"/>
      <c r="S31" s="14"/>
    </row>
    <row r="32" ht="30" customHeight="1">
      <c r="A32" t="s" s="53">
        <v>144</v>
      </c>
      <c r="B32" s="13"/>
      <c r="C32" s="13"/>
      <c r="D32" s="13"/>
      <c r="E32" s="13"/>
      <c r="F32" s="13"/>
      <c r="G32" s="13"/>
      <c r="H32" s="13"/>
      <c r="I32" s="13"/>
      <c r="J32" s="13"/>
      <c r="K32" s="13"/>
      <c r="L32" s="13"/>
      <c r="M32" s="13"/>
      <c r="N32" s="13"/>
      <c r="O32" s="13"/>
      <c r="P32" s="13"/>
      <c r="Q32" s="13"/>
      <c r="R32" s="13"/>
      <c r="S32" s="14"/>
    </row>
    <row r="33" ht="30" customHeight="1">
      <c r="A33" t="s" s="53">
        <v>145</v>
      </c>
      <c r="B33" s="13"/>
      <c r="C33" s="13"/>
      <c r="D33" s="13"/>
      <c r="E33" s="13"/>
      <c r="F33" s="13"/>
      <c r="G33" s="13"/>
      <c r="H33" s="13"/>
      <c r="I33" s="13"/>
      <c r="J33" s="13"/>
      <c r="K33" s="13"/>
      <c r="L33" s="13"/>
      <c r="M33" s="13"/>
      <c r="N33" s="13"/>
      <c r="O33" s="13"/>
      <c r="P33" s="13"/>
      <c r="Q33" s="13"/>
      <c r="R33" s="13"/>
      <c r="S33" s="14"/>
    </row>
    <row r="34" ht="13.55" customHeight="1">
      <c r="A34" s="11"/>
      <c r="B34" s="13"/>
      <c r="C34" s="13"/>
      <c r="D34" s="13"/>
      <c r="E34" s="13"/>
      <c r="F34" s="13"/>
      <c r="G34" s="13"/>
      <c r="H34" s="13"/>
      <c r="I34" s="13"/>
      <c r="J34" s="13"/>
      <c r="K34" s="13"/>
      <c r="L34" s="13"/>
      <c r="M34" s="13"/>
      <c r="N34" s="13"/>
      <c r="O34" s="13"/>
      <c r="P34" s="13"/>
      <c r="Q34" s="13"/>
      <c r="R34" s="13"/>
      <c r="S34" s="14"/>
    </row>
    <row r="35" ht="42" customHeight="1">
      <c r="A35" t="s" s="54">
        <v>146</v>
      </c>
      <c r="B35" s="24"/>
      <c r="C35" s="24"/>
      <c r="D35" s="24"/>
      <c r="E35" s="24"/>
      <c r="F35" s="24"/>
      <c r="G35" s="24"/>
      <c r="H35" s="24"/>
      <c r="I35" s="24"/>
      <c r="J35" s="24"/>
      <c r="K35" s="24"/>
      <c r="L35" s="24"/>
      <c r="M35" s="24"/>
      <c r="N35" s="24"/>
      <c r="O35" s="24"/>
      <c r="P35" s="24"/>
      <c r="Q35" s="24"/>
      <c r="R35" s="24"/>
      <c r="S35" s="25"/>
    </row>
  </sheetData>
  <mergeCells count="8">
    <mergeCell ref="A32:M32"/>
    <mergeCell ref="A31:M31"/>
    <mergeCell ref="A33:M33"/>
    <mergeCell ref="A35:M35"/>
    <mergeCell ref="A3:M3"/>
    <mergeCell ref="A30:M30"/>
    <mergeCell ref="A29:M29"/>
    <mergeCell ref="A2:M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N51"/>
  <sheetViews>
    <sheetView workbookViewId="0" showGridLines="0" defaultGridColor="1"/>
  </sheetViews>
  <sheetFormatPr defaultColWidth="8.83333" defaultRowHeight="15" customHeight="1" outlineLevelRow="0" outlineLevelCol="0"/>
  <cols>
    <col min="1" max="1" width="18" style="55" customWidth="1"/>
    <col min="2" max="2" width="22" style="55" customWidth="1"/>
    <col min="3" max="4" width="13" style="55" customWidth="1"/>
    <col min="5" max="5" width="12" style="55" customWidth="1"/>
    <col min="6" max="6" width="13" style="55" customWidth="1"/>
    <col min="7" max="7" width="22" style="55" customWidth="1"/>
    <col min="8" max="12" width="12" style="55" customWidth="1"/>
    <col min="13" max="14" width="8.85156" style="55" customWidth="1"/>
    <col min="15" max="16384" width="8.85156" style="55" customWidth="1"/>
  </cols>
  <sheetData>
    <row r="1" ht="18.5" customHeight="1">
      <c r="A1" t="s" s="27">
        <v>148</v>
      </c>
      <c r="B1" s="28"/>
      <c r="C1" s="28"/>
      <c r="D1" s="28"/>
      <c r="E1" s="28"/>
      <c r="F1" s="28"/>
      <c r="G1" s="28"/>
      <c r="H1" s="28"/>
      <c r="I1" s="28"/>
      <c r="J1" s="28"/>
      <c r="K1" s="28"/>
      <c r="L1" s="28"/>
      <c r="M1" s="9"/>
      <c r="N1" s="10"/>
    </row>
    <row r="2" ht="68" customHeight="1">
      <c r="A2" t="str" s="29" cm="1">
        <f t="array" ref="A2">"TIMSS 2027 y PISA 2025"&amp;"
"&amp;IF(MIN(F17,F18,F23)&gt;=$H$4,"BIEN · ","OJO · ")&amp;"Acumulado: TIMSS 4.° "&amp;FIXED((F17)*100,0)&amp;" %"&amp;", TIMSS 8.° "&amp;FIXED((F18)*100,0)&amp;" %"&amp;", PISA "&amp;FIXED((F23)*100,0)&amp;" %"&amp;" de apego (alto = 85 % o más)."&amp;"
"&amp;"OJO · Grado más flojo en TIMSS: "&amp;SUBSTITUTE(INDEX($A$8:$A$14,MATCH(MIN($F$8:$F$14),$F$8:$F$14,0)),"°",".°")&amp;" ("&amp;FIXED((MIN($F$8:$F$14))*100,0)&amp;" %"&amp;"). En PISA: 9.° ("&amp;FIXED((F22)*100,0)&amp;" %"&amp;")."&amp;"
"&amp;"● 7.° y 8.° se miden con los dos marcos: el peso de PISA se elige en la celda E4 (hoy "&amp;FIXED((E4)*100,0)&amp;" %"&amp;")."</f>
        <v>TIMSS 2027 y PISA 2025
BIEN · Acumulado: TIMSS 4.° 92 %, TIMSS 8.° 88 %, PISA 88 % de apego (alto = 85 % o más).
OJO · Grado más flojo en TIMSS: 5.° (69 %). En PISA: 9.° (73 %).
● 7.° y 8.° se miden con los dos marcos: el peso de PISA se elige en la celda E4 (hoy 50 %).</v>
      </c>
      <c r="B2" s="30"/>
      <c r="C2" s="31"/>
      <c r="D2" s="31"/>
      <c r="E2" s="31"/>
      <c r="F2" s="31"/>
      <c r="G2" s="31"/>
      <c r="H2" s="31"/>
      <c r="I2" s="31"/>
      <c r="J2" s="31"/>
      <c r="K2" s="31"/>
      <c r="L2" s="32"/>
      <c r="M2" s="17"/>
      <c r="N2" s="14"/>
    </row>
    <row r="3" ht="13.55" customHeight="1">
      <c r="A3" s="42"/>
      <c r="B3" s="18"/>
      <c r="C3" s="18"/>
      <c r="D3" s="18"/>
      <c r="E3" s="31"/>
      <c r="F3" s="18"/>
      <c r="G3" s="18"/>
      <c r="H3" s="31"/>
      <c r="I3" s="18"/>
      <c r="J3" s="31"/>
      <c r="K3" s="18"/>
      <c r="L3" s="18"/>
      <c r="M3" s="13"/>
      <c r="N3" s="14"/>
    </row>
    <row r="4" ht="13.65" customHeight="1">
      <c r="A4" t="s" s="56">
        <v>150</v>
      </c>
      <c r="B4" s="13"/>
      <c r="C4" s="13"/>
      <c r="D4" s="57"/>
      <c r="E4" s="58">
        <v>0.5</v>
      </c>
      <c r="F4" s="17"/>
      <c r="G4" t="s" s="59">
        <v>151</v>
      </c>
      <c r="H4" s="58">
        <v>0.85</v>
      </c>
      <c r="I4" t="s" s="60">
        <v>152</v>
      </c>
      <c r="J4" s="58">
        <v>0.7</v>
      </c>
      <c r="K4" s="17"/>
      <c r="L4" s="13"/>
      <c r="M4" s="13"/>
      <c r="N4" s="14"/>
    </row>
    <row r="5" ht="13.55" customHeight="1">
      <c r="A5" s="11"/>
      <c r="B5" s="13"/>
      <c r="C5" s="13"/>
      <c r="D5" s="13"/>
      <c r="E5" s="18"/>
      <c r="F5" s="13"/>
      <c r="G5" s="13"/>
      <c r="H5" s="18"/>
      <c r="I5" s="13"/>
      <c r="J5" s="18"/>
      <c r="K5" s="13"/>
      <c r="L5" s="13"/>
      <c r="M5" s="13"/>
      <c r="N5" s="14"/>
    </row>
    <row r="6" ht="14.6" customHeight="1">
      <c r="A6" t="s" s="43">
        <v>153</v>
      </c>
      <c r="B6" s="44"/>
      <c r="C6" s="44"/>
      <c r="D6" s="44"/>
      <c r="E6" s="44"/>
      <c r="F6" s="44"/>
      <c r="G6" s="44"/>
      <c r="H6" s="13"/>
      <c r="I6" s="13"/>
      <c r="J6" s="13"/>
      <c r="K6" s="13"/>
      <c r="L6" s="13"/>
      <c r="M6" s="13"/>
      <c r="N6" s="14"/>
    </row>
    <row r="7" ht="40" customHeight="1">
      <c r="A7" t="s" s="34">
        <v>154</v>
      </c>
      <c r="B7" t="s" s="34">
        <v>155</v>
      </c>
      <c r="C7" t="s" s="34">
        <v>156</v>
      </c>
      <c r="D7" t="s" s="34">
        <v>157</v>
      </c>
      <c r="E7" t="s" s="34">
        <v>158</v>
      </c>
      <c r="F7" t="s" s="34">
        <v>159</v>
      </c>
      <c r="G7" t="s" s="34">
        <v>160</v>
      </c>
      <c r="H7" s="17"/>
      <c r="I7" s="13"/>
      <c r="J7" s="13"/>
      <c r="K7" s="13"/>
      <c r="L7" s="13"/>
      <c r="M7" s="13"/>
      <c r="N7" s="14"/>
    </row>
    <row r="8" ht="13.65" customHeight="1">
      <c r="A8" t="s" s="35">
        <v>69</v>
      </c>
      <c r="B8" t="s" s="35">
        <v>70</v>
      </c>
      <c r="C8" s="40" cm="1">
        <f t="array" ref="C8">'TIMSS - Balance por grado'!O9</f>
        <v>0.892372881355932</v>
      </c>
      <c r="D8" s="40" cm="1">
        <f t="array" ref="D8">'TIMSS - Conocer-Aplicar-Razonar'!O5</f>
        <v>0.828571428571429</v>
      </c>
      <c r="E8" t="s" s="61">
        <v>122</v>
      </c>
      <c r="F8" s="62" cm="1">
        <f t="array" ref="F8">AVERAGE(C8:E8)</f>
        <v>0.860472154963681</v>
      </c>
      <c r="G8" t="str" s="39" cm="1">
        <f t="array" ref="G8">IF(F8&gt;=$H$4,"Alto",IF(F8&gt;=$J$4,"Medio","Bajo: revisar"))</f>
        <v>Alto</v>
      </c>
      <c r="H8" s="17"/>
      <c r="I8" s="13"/>
      <c r="J8" s="13"/>
      <c r="K8" s="13"/>
      <c r="L8" s="13"/>
      <c r="M8" s="13"/>
      <c r="N8" s="14"/>
    </row>
    <row r="9" ht="13.65" customHeight="1">
      <c r="A9" t="s" s="35">
        <v>74</v>
      </c>
      <c r="B9" t="s" s="35">
        <v>70</v>
      </c>
      <c r="C9" s="40" cm="1">
        <f t="array" ref="C9">'TIMSS - Balance por grado'!O14</f>
        <v>0.916666666666667</v>
      </c>
      <c r="D9" s="40" cm="1">
        <f t="array" ref="D9">'TIMSS - Conocer-Aplicar-Razonar'!O6</f>
        <v>0.86969696969697</v>
      </c>
      <c r="E9" t="s" s="61">
        <v>122</v>
      </c>
      <c r="F9" s="62" cm="1">
        <f t="array" ref="F9">AVERAGE(C9:E9)</f>
        <v>0.893181818181819</v>
      </c>
      <c r="G9" t="str" s="39" cm="1">
        <f t="array" ref="G9">IF(F9&gt;=$H$4,"Alto",IF(F9&gt;=$J$4,"Medio","Bajo: revisar"))</f>
        <v>Alto</v>
      </c>
      <c r="H9" s="17"/>
      <c r="I9" s="13"/>
      <c r="J9" s="13"/>
      <c r="K9" s="13"/>
      <c r="L9" s="13"/>
      <c r="M9" s="13"/>
      <c r="N9" s="14"/>
    </row>
    <row r="10" ht="13.65" customHeight="1">
      <c r="A10" t="s" s="35">
        <v>77</v>
      </c>
      <c r="B10" t="s" s="35">
        <v>70</v>
      </c>
      <c r="C10" s="40" cm="1">
        <f t="array" ref="C10">'TIMSS - Balance por grado'!O19</f>
        <v>0.792857142857143</v>
      </c>
      <c r="D10" s="40" cm="1">
        <f t="array" ref="D10">'TIMSS - Conocer-Aplicar-Razonar'!O7</f>
        <v>0.8375</v>
      </c>
      <c r="E10" t="s" s="61">
        <v>122</v>
      </c>
      <c r="F10" s="62" cm="1">
        <f t="array" ref="F10">AVERAGE(C10:E10)</f>
        <v>0.815178571428572</v>
      </c>
      <c r="G10" t="str" s="39" cm="1">
        <f t="array" ref="G10">IF(F10&gt;=$H$4,"Alto",IF(F10&gt;=$J$4,"Medio","Bajo: revisar"))</f>
        <v>Medio</v>
      </c>
      <c r="H10" s="17"/>
      <c r="I10" s="13"/>
      <c r="J10" s="13"/>
      <c r="K10" s="13"/>
      <c r="L10" s="13"/>
      <c r="M10" s="13"/>
      <c r="N10" s="14"/>
    </row>
    <row r="11" ht="13.65" customHeight="1">
      <c r="A11" t="s" s="35">
        <v>79</v>
      </c>
      <c r="B11" t="s" s="35">
        <v>80</v>
      </c>
      <c r="C11" s="40" cm="1">
        <f t="array" ref="C11">'TIMSS - Balance por grado'!O25</f>
        <v>0.682786885245902</v>
      </c>
      <c r="D11" s="40" cm="1">
        <f t="array" ref="D11">'TIMSS - Conocer-Aplicar-Razonar'!O8</f>
        <v>0.690277777777778</v>
      </c>
      <c r="E11" t="s" s="61">
        <v>122</v>
      </c>
      <c r="F11" s="62" cm="1">
        <f t="array" ref="F11">AVERAGE(C11:E11)</f>
        <v>0.68653233151184</v>
      </c>
      <c r="G11" t="str" s="39" cm="1">
        <f t="array" ref="G11">IF(F11&gt;=$H$4,"Alto",IF(F11&gt;=$J$4,"Medio","Bajo: revisar"))</f>
        <v>Bajo: revisar</v>
      </c>
      <c r="H11" s="17"/>
      <c r="I11" s="13"/>
      <c r="J11" s="13"/>
      <c r="K11" s="13"/>
      <c r="L11" s="13"/>
      <c r="M11" s="13"/>
      <c r="N11" s="14"/>
    </row>
    <row r="12" ht="13.65" customHeight="1">
      <c r="A12" t="s" s="35">
        <v>82</v>
      </c>
      <c r="B12" t="s" s="35">
        <v>80</v>
      </c>
      <c r="C12" s="40" cm="1">
        <f t="array" ref="C12">'TIMSS - Balance por grado'!O31</f>
        <v>0.758730158730159</v>
      </c>
      <c r="D12" s="40" cm="1">
        <f t="array" ref="D12">'TIMSS - Conocer-Aplicar-Razonar'!O9</f>
        <v>0.666176470588235</v>
      </c>
      <c r="E12" t="s" s="61">
        <v>122</v>
      </c>
      <c r="F12" s="62" cm="1">
        <f t="array" ref="F12">AVERAGE(C12:E12)</f>
        <v>0.712453314659197</v>
      </c>
      <c r="G12" t="str" s="39" cm="1">
        <f t="array" ref="G12">IF(F12&gt;=$H$4,"Alto",IF(F12&gt;=$J$4,"Medio","Bajo: revisar"))</f>
        <v>Medio</v>
      </c>
      <c r="H12" s="17"/>
      <c r="I12" s="13"/>
      <c r="J12" s="13"/>
      <c r="K12" s="13"/>
      <c r="L12" s="13"/>
      <c r="M12" s="13"/>
      <c r="N12" s="14"/>
    </row>
    <row r="13" ht="13.65" customHeight="1">
      <c r="A13" t="s" s="35">
        <v>85</v>
      </c>
      <c r="B13" t="s" s="35">
        <v>80</v>
      </c>
      <c r="C13" s="40" cm="1">
        <f t="array" ref="C13">'TIMSS - Balance por grado'!O37</f>
        <v>0.679411764705883</v>
      </c>
      <c r="D13" s="40" cm="1">
        <f t="array" ref="D13">'TIMSS - Conocer-Aplicar-Razonar'!O10</f>
        <v>0.833516483516484</v>
      </c>
      <c r="E13" t="s" s="61">
        <v>122</v>
      </c>
      <c r="F13" s="62" cm="1">
        <f t="array" ref="F13">AVERAGE(C13:E13)</f>
        <v>0.756464124111184</v>
      </c>
      <c r="G13" t="str" s="39" cm="1">
        <f t="array" ref="G13">IF(F13&gt;=$H$4,"Alto",IF(F13&gt;=$J$4,"Medio","Bajo: revisar"))</f>
        <v>Medio</v>
      </c>
      <c r="H13" s="17"/>
      <c r="I13" s="13"/>
      <c r="J13" s="13"/>
      <c r="K13" s="13"/>
      <c r="L13" s="13"/>
      <c r="M13" s="13"/>
      <c r="N13" s="14"/>
    </row>
    <row r="14" ht="13.65" customHeight="1">
      <c r="A14" t="s" s="35">
        <v>86</v>
      </c>
      <c r="B14" t="s" s="35">
        <v>80</v>
      </c>
      <c r="C14" s="40" cm="1">
        <f t="array" ref="C14">'TIMSS - Balance por grado'!O43</f>
        <v>0.783333333333334</v>
      </c>
      <c r="D14" s="40" cm="1">
        <f t="array" ref="D14">'TIMSS - Conocer-Aplicar-Razonar'!O11</f>
        <v>0.710215053763441</v>
      </c>
      <c r="E14" t="s" s="61">
        <v>122</v>
      </c>
      <c r="F14" s="62" cm="1">
        <f t="array" ref="F14">AVERAGE(C14:E14)</f>
        <v>0.746774193548388</v>
      </c>
      <c r="G14" t="str" s="39" cm="1">
        <f t="array" ref="G14">IF(F14&gt;=$H$4,"Alto",IF(F14&gt;=$J$4,"Medio","Bajo: revisar"))</f>
        <v>Medio</v>
      </c>
      <c r="H14" s="17"/>
      <c r="I14" s="13"/>
      <c r="J14" s="13"/>
      <c r="K14" s="13"/>
      <c r="L14" s="13"/>
      <c r="M14" s="13"/>
      <c r="N14" s="14"/>
    </row>
    <row r="15" ht="13.65" customHeight="1">
      <c r="A15" t="s" s="35">
        <v>87</v>
      </c>
      <c r="B15" t="s" s="35">
        <v>88</v>
      </c>
      <c r="C15" s="40" cm="1">
        <f t="array" ref="C15">'TIMSS - Balance por grado'!O48</f>
        <v>0.5625</v>
      </c>
      <c r="D15" s="40" cm="1">
        <f t="array" ref="D15">'TIMSS - Conocer-Aplicar-Razonar'!O12</f>
        <v>0.767493112947658</v>
      </c>
      <c r="E15" t="s" s="61">
        <v>122</v>
      </c>
      <c r="F15" s="62" cm="1">
        <f t="array" ref="F15">AVERAGE(C15:E15)</f>
        <v>0.664996556473829</v>
      </c>
      <c r="G15" t="str" s="39" cm="1">
        <f t="array" ref="G15">IF(F15&gt;=$H$4,"Alto",IF(F15&gt;=$J$4,"Medio","Bajo: revisar"))</f>
        <v>Bajo: revisar</v>
      </c>
      <c r="H15" s="17"/>
      <c r="I15" s="13"/>
      <c r="J15" s="13"/>
      <c r="K15" s="13"/>
      <c r="L15" s="13"/>
      <c r="M15" s="13"/>
      <c r="N15" s="14"/>
    </row>
    <row r="16" ht="13.65" customHeight="1">
      <c r="A16" t="s" s="35">
        <v>91</v>
      </c>
      <c r="B16" t="s" s="35">
        <v>88</v>
      </c>
      <c r="C16" s="40" cm="1">
        <f t="array" ref="C16">'TIMSS - Balance por grado'!O53</f>
        <v>0.633613445378151</v>
      </c>
      <c r="D16" s="40" cm="1">
        <f t="array" ref="D16">'TIMSS - Conocer-Aplicar-Razonar'!O13</f>
        <v>0.799315068493151</v>
      </c>
      <c r="E16" t="s" s="61">
        <v>122</v>
      </c>
      <c r="F16" s="62" cm="1">
        <f t="array" ref="F16">AVERAGE(C16:E16)</f>
        <v>0.716464256935651</v>
      </c>
      <c r="G16" t="str" s="39" cm="1">
        <f t="array" ref="G16">IF(F16&gt;=$H$4,"Alto",IF(F16&gt;=$J$4,"Medio","Bajo: revisar"))</f>
        <v>Medio</v>
      </c>
      <c r="H16" s="17"/>
      <c r="I16" s="13"/>
      <c r="J16" s="13"/>
      <c r="K16" s="13"/>
      <c r="L16" s="13"/>
      <c r="M16" s="13"/>
      <c r="N16" s="14"/>
    </row>
    <row r="17" ht="13.65" customHeight="1">
      <c r="A17" t="s" s="35">
        <v>112</v>
      </c>
      <c r="B17" t="s" s="35">
        <v>70</v>
      </c>
      <c r="C17" s="40" cm="1">
        <f t="array" ref="C17">'TIMSS - Balance por ciclo'!O9</f>
        <v>0.933516483516484</v>
      </c>
      <c r="D17" s="40" cm="1">
        <f t="array" ref="D17">1-(ABS(_xlfn.SUMIFS('Datos - Temas'!$S$5:$S$1264,'Datos - Temas'!$W$5:$W$1264,$A17)/_xlfn.COUNTIFS('Datos - Temas'!$W$5:$W$1264,$A17)-0.35)+ABS(_xlfn.SUMIFS('Datos - Temas'!$T$5:$T$1264,'Datos - Temas'!$W$5:$W$1264,$A17)/_xlfn.COUNTIFS('Datos - Temas'!$W$5:$W$1264,$A17)-0.4)+ABS(_xlfn.SUMIFS('Datos - Temas'!$U$5:$U$1264,'Datos - Temas'!$W$5:$W$1264,$A17)/_xlfn.COUNTIFS('Datos - Temas'!$W$5:$W$1264,$A17)-0.25))/2</f>
        <v>0.856730769230769</v>
      </c>
      <c r="E17" s="40" cm="1">
        <f t="array" ref="E17">'TIMSS - Semáforo de objetivos'!E115</f>
        <v>0.96875</v>
      </c>
      <c r="F17" s="62" cm="1">
        <f t="array" ref="F17">AVERAGE(C17:E17)</f>
        <v>0.919665750915751</v>
      </c>
      <c r="G17" t="str" s="39" cm="1">
        <f t="array" ref="G17">IF(F17&gt;=$H$4,"Alto",IF(F17&gt;=$J$4,"Medio","Bajo: revisar"))</f>
        <v>Alto</v>
      </c>
      <c r="H17" s="17"/>
      <c r="I17" s="13"/>
      <c r="J17" s="13"/>
      <c r="K17" s="13"/>
      <c r="L17" s="13"/>
      <c r="M17" s="13"/>
      <c r="N17" s="14"/>
    </row>
    <row r="18" ht="13.65" customHeight="1">
      <c r="A18" t="s" s="35">
        <v>115</v>
      </c>
      <c r="B18" t="s" s="35">
        <v>80</v>
      </c>
      <c r="C18" s="40" cm="1">
        <f t="array" ref="C18">'TIMSS - Balance por ciclo'!O15</f>
        <v>0.966556291390729</v>
      </c>
      <c r="D18" s="40" cm="1">
        <f t="array" ref="D18">1-(ABS(_xlfn.SUMIFS('Datos - Temas'!$S$5:$S$1264,'Datos - Temas'!$W$5:$W$1264,$A18)/_xlfn.COUNTIFS('Datos - Temas'!$W$5:$W$1264,$A18)-0.35)+ABS(_xlfn.SUMIFS('Datos - Temas'!$T$5:$T$1264,'Datos - Temas'!$W$5:$W$1264,$A18)/_xlfn.COUNTIFS('Datos - Temas'!$W$5:$W$1264,$A18)-0.35)+ABS(_xlfn.SUMIFS('Datos - Temas'!$U$5:$U$1264,'Datos - Temas'!$W$5:$W$1264,$A18)/_xlfn.COUNTIFS('Datos - Temas'!$W$5:$W$1264,$A18)-0.3))/2</f>
        <v>0.731172839506173</v>
      </c>
      <c r="E18" s="40" cm="1">
        <f t="array" ref="E18">'TIMSS - Semáforo de objetivos'!E120</f>
        <v>0.9375</v>
      </c>
      <c r="F18" s="62" cm="1">
        <f t="array" ref="F18">AVERAGE(C18:E18)</f>
        <v>0.878409710298967</v>
      </c>
      <c r="G18" t="str" s="39" cm="1">
        <f t="array" ref="G18">IF(F18&gt;=$H$4,"Alto",IF(F18&gt;=$J$4,"Medio","Bajo: revisar"))</f>
        <v>Alto</v>
      </c>
      <c r="H18" s="17"/>
      <c r="I18" s="13"/>
      <c r="J18" s="13"/>
      <c r="K18" s="13"/>
      <c r="L18" s="13"/>
      <c r="M18" s="13"/>
      <c r="N18" s="14"/>
    </row>
    <row r="19" ht="13.65" customHeight="1">
      <c r="A19" t="s" s="35">
        <v>119</v>
      </c>
      <c r="B19" t="s" s="35">
        <v>88</v>
      </c>
      <c r="C19" s="40" cm="1">
        <f t="array" ref="C19">'TIMSS - Balance por ciclo'!O20</f>
        <v>0.92286432160804</v>
      </c>
      <c r="D19" s="40" cm="1">
        <f t="array" ref="D19">1-(ABS(_xlfn.SUMIFS('Datos - Temas'!$S$5:$S$1264,'Datos - Temas'!$W$5:$W$1264,$A19)/_xlfn.COUNTIFS('Datos - Temas'!$W$5:$W$1264,$A19)-0.3)+ABS(_xlfn.SUMIFS('Datos - Temas'!$T$5:$T$1264,'Datos - Temas'!$W$5:$W$1264,$A19)/_xlfn.COUNTIFS('Datos - Temas'!$W$5:$W$1264,$A19)-0.4)+ABS(_xlfn.SUMIFS('Datos - Temas'!$U$5:$U$1264,'Datos - Temas'!$W$5:$W$1264,$A19)/_xlfn.COUNTIFS('Datos - Temas'!$W$5:$W$1264,$A19)-0.3))/2</f>
        <v>0.784893882646692</v>
      </c>
      <c r="E19" s="40" cm="1">
        <f t="array" ref="E19">'TIMSS - Semáforo de objetivos'!E124</f>
        <v>1</v>
      </c>
      <c r="F19" s="62" cm="1">
        <f t="array" ref="F19">AVERAGE(C19:E19)</f>
        <v>0.902586068084911</v>
      </c>
      <c r="G19" t="str" s="39" cm="1">
        <f t="array" ref="G19">IF(F19&gt;=$H$4,"Alto",IF(F19&gt;=$J$4,"Medio","Bajo: revisar"))</f>
        <v>Alto</v>
      </c>
      <c r="H19" s="17"/>
      <c r="I19" s="13"/>
      <c r="J19" s="13"/>
      <c r="K19" s="13"/>
      <c r="L19" s="13"/>
      <c r="M19" s="13"/>
      <c r="N19" s="14"/>
    </row>
    <row r="20" ht="13.65" customHeight="1">
      <c r="A20" t="s" s="35">
        <v>164</v>
      </c>
      <c r="B20" t="s" s="35">
        <v>134</v>
      </c>
      <c r="C20" s="40" cm="1">
        <f t="array" ref="C20">'PISA - Contenidos'!O9</f>
        <v>0.803333333333334</v>
      </c>
      <c r="D20" s="40" cm="1">
        <f t="array" ref="D20">'PISA - Competencias'!L13</f>
        <v>0.91978021978022</v>
      </c>
      <c r="E20" t="s" s="61">
        <v>122</v>
      </c>
      <c r="F20" s="62" cm="1">
        <f t="array" ref="F20">AVERAGE(C20:E20)</f>
        <v>0.861556776556777</v>
      </c>
      <c r="G20" t="str" s="39" cm="1">
        <f t="array" ref="G20">IF(F20&gt;=$H$4,"Alto",IF(F20&gt;=$J$4,"Medio","Bajo: revisar"))</f>
        <v>Alto</v>
      </c>
      <c r="H20" s="17"/>
      <c r="I20" s="13"/>
      <c r="J20" s="13"/>
      <c r="K20" s="13"/>
      <c r="L20" s="13"/>
      <c r="M20" s="13"/>
      <c r="N20" s="14"/>
    </row>
    <row r="21" ht="13.65" customHeight="1">
      <c r="A21" t="s" s="35">
        <v>165</v>
      </c>
      <c r="B21" t="s" s="35">
        <v>134</v>
      </c>
      <c r="C21" s="40" cm="1">
        <f t="array" ref="C21">'PISA - Contenidos'!O14</f>
        <v>0.745</v>
      </c>
      <c r="D21" s="40" cm="1">
        <f t="array" ref="D21">'PISA - Competencias'!L14</f>
        <v>0.676344086021505</v>
      </c>
      <c r="E21" t="s" s="61">
        <v>122</v>
      </c>
      <c r="F21" s="62" cm="1">
        <f t="array" ref="F21">AVERAGE(C21:E21)</f>
        <v>0.710672043010753</v>
      </c>
      <c r="G21" t="str" s="39" cm="1">
        <f t="array" ref="G21">IF(F21&gt;=$H$4,"Alto",IF(F21&gt;=$J$4,"Medio","Bajo: revisar"))</f>
        <v>Medio</v>
      </c>
      <c r="H21" s="17"/>
      <c r="I21" s="13"/>
      <c r="J21" s="13"/>
      <c r="K21" s="13"/>
      <c r="L21" s="13"/>
      <c r="M21" s="13"/>
      <c r="N21" s="14"/>
    </row>
    <row r="22" ht="13.65" customHeight="1">
      <c r="A22" t="s" s="35">
        <v>166</v>
      </c>
      <c r="B22" t="s" s="35">
        <v>134</v>
      </c>
      <c r="C22" s="40" cm="1">
        <f t="array" ref="C22">'PISA - Contenidos'!O19</f>
        <v>0.665714285714286</v>
      </c>
      <c r="D22" s="40" cm="1">
        <f t="array" ref="D22">'PISA - Competencias'!L15</f>
        <v>0.788888888888889</v>
      </c>
      <c r="E22" t="s" s="61">
        <v>122</v>
      </c>
      <c r="F22" s="62" cm="1">
        <f t="array" ref="F22">AVERAGE(C22:E22)</f>
        <v>0.727301587301588</v>
      </c>
      <c r="G22" t="str" s="39" cm="1">
        <f t="array" ref="G22">IF(F22&gt;=$H$4,"Alto",IF(F22&gt;=$J$4,"Medio","Bajo: revisar"))</f>
        <v>Medio</v>
      </c>
      <c r="H22" s="17"/>
      <c r="I22" s="13"/>
      <c r="J22" s="13"/>
      <c r="K22" s="13"/>
      <c r="L22" s="13"/>
      <c r="M22" s="13"/>
      <c r="N22" s="14"/>
    </row>
    <row r="23" ht="13.65" customHeight="1">
      <c r="A23" t="s" s="35">
        <v>167</v>
      </c>
      <c r="B23" t="s" s="35">
        <v>134</v>
      </c>
      <c r="C23" s="40" cm="1">
        <f t="array" ref="C23">'PISA - Contenidos'!O24</f>
        <v>0.8738167938931301</v>
      </c>
      <c r="D23" s="40" cm="1">
        <f t="array" ref="D23">'PISA - Competencias'!L16</f>
        <v>0.803649635036496</v>
      </c>
      <c r="E23" s="40" cm="1">
        <f t="array" ref="E23">'PISA - Contenidos'!D55</f>
        <v>0.952380952380952</v>
      </c>
      <c r="F23" s="62" cm="1">
        <f t="array" ref="F23">AVERAGE(C23:E23)</f>
        <v>0.8766157937701931</v>
      </c>
      <c r="G23" t="str" s="39" cm="1">
        <f t="array" ref="G23">IF(F23&gt;=$H$4,"Alto",IF(F23&gt;=$J$4,"Medio","Bajo: revisar"))</f>
        <v>Alto</v>
      </c>
      <c r="H23" s="17"/>
      <c r="I23" s="13"/>
      <c r="J23" s="13"/>
      <c r="K23" s="13"/>
      <c r="L23" s="13"/>
      <c r="M23" s="13"/>
      <c r="N23" s="14"/>
    </row>
    <row r="24" ht="13.65" customHeight="1">
      <c r="A24" t="s" s="63">
        <v>168</v>
      </c>
      <c r="B24" t="s" s="63">
        <v>169</v>
      </c>
      <c r="C24" s="64"/>
      <c r="D24" s="64"/>
      <c r="E24" s="64"/>
      <c r="F24" s="65" cm="1">
        <f t="array" ref="F24">(1-$E$4)*F13+$E$4*F20</f>
        <v>0.809010450333981</v>
      </c>
      <c r="G24" t="str" s="64" cm="1">
        <f t="array" ref="G24">IF(F24&gt;=$H$4,"Alto",IF(F24&gt;=$J$4,"Medio","Bajo: revisar"))</f>
        <v>Medio</v>
      </c>
      <c r="H24" s="17"/>
      <c r="I24" s="13"/>
      <c r="J24" s="13"/>
      <c r="K24" s="13"/>
      <c r="L24" s="13"/>
      <c r="M24" s="13"/>
      <c r="N24" s="14"/>
    </row>
    <row r="25" ht="13.65" customHeight="1">
      <c r="A25" t="s" s="63">
        <v>170</v>
      </c>
      <c r="B25" t="s" s="63">
        <v>169</v>
      </c>
      <c r="C25" s="64"/>
      <c r="D25" s="64"/>
      <c r="E25" s="64"/>
      <c r="F25" s="65" cm="1">
        <f t="array" ref="F25">(1-$E$4)*F14+$E$4*F21</f>
        <v>0.728723118279571</v>
      </c>
      <c r="G25" t="str" s="64" cm="1">
        <f t="array" ref="G25">IF(F25&gt;=$H$4,"Alto",IF(F25&gt;=$J$4,"Medio","Bajo: revisar"))</f>
        <v>Medio</v>
      </c>
      <c r="H25" s="17"/>
      <c r="I25" s="13"/>
      <c r="J25" s="13"/>
      <c r="K25" s="13"/>
      <c r="L25" s="13"/>
      <c r="M25" s="13"/>
      <c r="N25" s="14"/>
    </row>
    <row r="26" ht="13.55" customHeight="1">
      <c r="A26" s="42"/>
      <c r="B26" s="18"/>
      <c r="C26" s="18"/>
      <c r="D26" s="18"/>
      <c r="E26" s="18"/>
      <c r="F26" s="18"/>
      <c r="G26" s="18"/>
      <c r="H26" s="13"/>
      <c r="I26" s="13"/>
      <c r="J26" s="13"/>
      <c r="K26" s="13"/>
      <c r="L26" s="13"/>
      <c r="M26" s="13"/>
      <c r="N26" s="14"/>
    </row>
    <row r="27" ht="13.55" customHeight="1">
      <c r="A27" s="11"/>
      <c r="B27" s="13"/>
      <c r="C27" s="13"/>
      <c r="D27" s="13"/>
      <c r="E27" s="13"/>
      <c r="F27" s="13"/>
      <c r="G27" s="13"/>
      <c r="H27" s="13"/>
      <c r="I27" s="13"/>
      <c r="J27" s="13"/>
      <c r="K27" s="13"/>
      <c r="L27" s="13"/>
      <c r="M27" s="13"/>
      <c r="N27" s="14"/>
    </row>
    <row r="28" ht="14.6" customHeight="1">
      <c r="A28" t="s" s="52">
        <v>171</v>
      </c>
      <c r="B28" s="13"/>
      <c r="C28" s="13"/>
      <c r="D28" s="13"/>
      <c r="E28" s="13"/>
      <c r="F28" s="13"/>
      <c r="G28" s="13"/>
      <c r="H28" s="13"/>
      <c r="I28" s="13"/>
      <c r="J28" s="13"/>
      <c r="K28" s="13"/>
      <c r="L28" s="13"/>
      <c r="M28" s="13"/>
      <c r="N28" s="14"/>
    </row>
    <row r="29" ht="42" customHeight="1">
      <c r="A29" t="s" s="66">
        <v>172</v>
      </c>
      <c r="B29" s="44"/>
      <c r="C29" s="44"/>
      <c r="D29" s="44"/>
      <c r="E29" s="44"/>
      <c r="F29" s="44"/>
      <c r="G29" s="44"/>
      <c r="H29" s="44"/>
      <c r="I29" s="44"/>
      <c r="J29" s="44"/>
      <c r="K29" s="44"/>
      <c r="L29" s="44"/>
      <c r="M29" s="13"/>
      <c r="N29" s="14"/>
    </row>
    <row r="30" ht="48" customHeight="1">
      <c r="A30" t="s" s="34">
        <v>173</v>
      </c>
      <c r="B30" t="s" s="34">
        <v>174</v>
      </c>
      <c r="C30" t="s" s="34">
        <v>175</v>
      </c>
      <c r="D30" t="s" s="34">
        <v>176</v>
      </c>
      <c r="E30" t="s" s="34">
        <v>177</v>
      </c>
      <c r="F30" t="s" s="34">
        <v>178</v>
      </c>
      <c r="G30" t="s" s="34">
        <v>179</v>
      </c>
      <c r="H30" t="s" s="34">
        <v>180</v>
      </c>
      <c r="I30" t="s" s="34">
        <v>181</v>
      </c>
      <c r="J30" t="s" s="34">
        <v>182</v>
      </c>
      <c r="K30" t="s" s="34">
        <v>183</v>
      </c>
      <c r="L30" t="s" s="34">
        <v>184</v>
      </c>
      <c r="M30" s="17"/>
      <c r="N30" s="14"/>
    </row>
    <row r="31" ht="13.55" customHeight="1">
      <c r="A31" t="s" s="67">
        <v>185</v>
      </c>
      <c r="B31" s="31"/>
      <c r="C31" s="31"/>
      <c r="D31" s="31"/>
      <c r="E31" s="31"/>
      <c r="F31" s="31"/>
      <c r="G31" s="68">
        <v>0</v>
      </c>
      <c r="H31" s="68">
        <v>0.5</v>
      </c>
      <c r="I31" s="68">
        <v>1</v>
      </c>
      <c r="J31" s="68" cm="1">
        <f t="array" ref="J31">$E$4</f>
        <v>0.5</v>
      </c>
      <c r="K31" s="31"/>
      <c r="L31" s="31"/>
      <c r="M31" s="13"/>
      <c r="N31" s="14"/>
    </row>
    <row r="32" ht="13.65" customHeight="1">
      <c r="A32" t="s" s="35">
        <v>85</v>
      </c>
      <c r="B32" t="s" s="35">
        <v>186</v>
      </c>
      <c r="C32" s="69">
        <v>0.45</v>
      </c>
      <c r="D32" s="69">
        <v>0.37</v>
      </c>
      <c r="E32" s="38" cm="1">
        <f t="array" ref="E32">IF(K32=0,0,(_xlfn.COUNTIFS('Datos - Temas'!$V$5:$V$1264,$A32,'Datos - Temas'!$M$5:$M$1264,"Química")+_xlfn.COUNTIFS('Datos - Temas'!$V$5:$V$1264,$A32,'Datos - Temas'!$M$5:$M$1264,"Física"))/K32)</f>
        <v>0.129411764705882</v>
      </c>
      <c r="F32" s="38" cm="1">
        <f t="array" ref="F32">IF(L32=0,0,_xlfn.COUNTIFS('Datos - Temas'!$V$5:$V$1264,$A32,'Datos - Temas'!$AM$5:$AM$1264,$B32)/L32)</f>
        <v>0.177777777777778</v>
      </c>
      <c r="G32" s="70" cm="1">
        <f t="array" ref="G32">((1-G$31)*C32+G$31*D32-((1-G$31)*E32+G$31*F32))*((1-G$31)*K32+G$31*L32)</f>
        <v>27.25</v>
      </c>
      <c r="H32" s="70" cm="1">
        <f t="array" ref="H32">((1-H$31)*C32+H$31*D32-((1-H$31)*E32+H$31*F32))*((1-H$31)*K32+H$31*L32)</f>
        <v>22.4354575163399</v>
      </c>
      <c r="I32" s="70" cm="1">
        <f t="array" ref="I32">((1-I$31)*C32+I$31*D32-((1-I$31)*E32+I$31*F32))*((1-I$31)*K32+I$31*L32)</f>
        <v>17.3</v>
      </c>
      <c r="J32" s="70" cm="1">
        <f t="array" ref="J32">((1-J$31)*C32+J$31*D32-((1-J$31)*E32+J$31*F32))*((1-J$31)*K32+J$31*L32)</f>
        <v>22.4354575163399</v>
      </c>
      <c r="K32" s="36" cm="1">
        <f t="array" ref="K32">_xlfn.COUNTIFS('Datos - Temas'!$V$5:$V$1264,$A32,'Datos - Temas'!$C$5:$C$1264,"Ciencias")-_xlfn.COUNTIFS('Datos - Temas'!$V$5:$V$1264,$A32,'Datos - Temas'!$K$5:$K$1264,"FUERA")-_xlfn.COUNTIFS('Datos - Temas'!$V$5:$V$1264,$A32,'Datos - Temas'!$K$5:$K$1264,"PENDIENTE")</f>
        <v>85</v>
      </c>
      <c r="L32" s="36" cm="1">
        <f t="array" ref="L32">_xlfn.COUNTIFS('Datos - Temas'!$V$5:$V$1264,$A32,'Datos - Temas'!$AK$5:$AK$1264,"&lt;&gt;")-_xlfn.COUNTIFS('Datos - Temas'!$V$5:$V$1264,$A32,'Datos - Temas'!$AK$5:$AK$1264,"FUERA")</f>
        <v>90</v>
      </c>
      <c r="M32" s="17"/>
      <c r="N32" s="14"/>
    </row>
    <row r="33" ht="13.65" customHeight="1">
      <c r="A33" t="s" s="35">
        <v>85</v>
      </c>
      <c r="B33" t="s" s="35">
        <v>187</v>
      </c>
      <c r="C33" s="69">
        <v>0.35</v>
      </c>
      <c r="D33" s="69">
        <v>0.37</v>
      </c>
      <c r="E33" s="38" cm="1">
        <f t="array" ref="E33">IF(K33=0,0,(_xlfn.COUNTIFS('Datos - Temas'!$V$5:$V$1264,$A33,'Datos - Temas'!$M$5:$M$1264,"Biología"))/K33)</f>
        <v>0.529411764705882</v>
      </c>
      <c r="F33" s="38" cm="1">
        <f t="array" ref="F33">IF(L33=0,0,_xlfn.COUNTIFS('Datos - Temas'!$V$5:$V$1264,$A33,'Datos - Temas'!$AM$5:$AM$1264,$B33)/L33)</f>
        <v>0.566666666666667</v>
      </c>
      <c r="G33" s="70" cm="1">
        <f t="array" ref="G33">((1-G$31)*C33+G$31*D33-((1-G$31)*E33+G$31*F33))*((1-G$31)*K33+G$31*L33)</f>
        <v>-15.25</v>
      </c>
      <c r="H33" s="70" cm="1">
        <f t="array" ref="H33">((1-H$31)*C33+H$31*D33-((1-H$31)*E33+H$31*F33))*((1-H$31)*K33+H$31*L33)</f>
        <v>-16.453431372549</v>
      </c>
      <c r="I33" s="70" cm="1">
        <f t="array" ref="I33">((1-I$31)*C33+I$31*D33-((1-I$31)*E33+I$31*F33))*((1-I$31)*K33+I$31*L33)</f>
        <v>-17.7</v>
      </c>
      <c r="J33" s="70" cm="1">
        <f t="array" ref="J33">((1-J$31)*C33+J$31*D33-((1-J$31)*E33+J$31*F33))*((1-J$31)*K33+J$31*L33)</f>
        <v>-16.453431372549</v>
      </c>
      <c r="K33" s="36" cm="1">
        <f t="array" ref="K33">_xlfn.COUNTIFS('Datos - Temas'!$V$5:$V$1264,$A33,'Datos - Temas'!$C$5:$C$1264,"Ciencias")-_xlfn.COUNTIFS('Datos - Temas'!$V$5:$V$1264,$A33,'Datos - Temas'!$K$5:$K$1264,"FUERA")-_xlfn.COUNTIFS('Datos - Temas'!$V$5:$V$1264,$A33,'Datos - Temas'!$K$5:$K$1264,"PENDIENTE")</f>
        <v>85</v>
      </c>
      <c r="L33" s="36" cm="1">
        <f t="array" ref="L33">_xlfn.COUNTIFS('Datos - Temas'!$V$5:$V$1264,$A33,'Datos - Temas'!$AK$5:$AK$1264,"&lt;&gt;")-_xlfn.COUNTIFS('Datos - Temas'!$V$5:$V$1264,$A33,'Datos - Temas'!$AK$5:$AK$1264,"FUERA")</f>
        <v>90</v>
      </c>
      <c r="M33" s="17"/>
      <c r="N33" s="14"/>
    </row>
    <row r="34" ht="13.65" customHeight="1">
      <c r="A34" t="s" s="35">
        <v>85</v>
      </c>
      <c r="B34" t="s" s="35">
        <v>188</v>
      </c>
      <c r="C34" s="69">
        <v>0.2</v>
      </c>
      <c r="D34" s="69">
        <v>0.26</v>
      </c>
      <c r="E34" s="38" cm="1">
        <f t="array" ref="E34">IF(K34=0,0,(_xlfn.COUNTIFS('Datos - Temas'!$V$5:$V$1264,$A34,'Datos - Temas'!$M$5:$M$1264,"Ciencias de la Tierra"))/K34)</f>
        <v>0.341176470588235</v>
      </c>
      <c r="F34" s="38" cm="1">
        <f t="array" ref="F34">IF(L34=0,0,_xlfn.COUNTIFS('Datos - Temas'!$V$5:$V$1264,$A34,'Datos - Temas'!$AM$5:$AM$1264,$B34)/L34)</f>
        <v>0.255555555555556</v>
      </c>
      <c r="G34" s="70" cm="1">
        <f t="array" ref="G34">((1-G$31)*C34+G$31*D34-((1-G$31)*E34+G$31*F34))*((1-G$31)*K34+G$31*L34)</f>
        <v>-12</v>
      </c>
      <c r="H34" s="70" cm="1">
        <f t="array" ref="H34">((1-H$31)*C34+H$31*D34-((1-H$31)*E34+H$31*F34))*((1-H$31)*K34+H$31*L34)</f>
        <v>-5.98202614379086</v>
      </c>
      <c r="I34" s="70" cm="1">
        <f t="array" ref="I34">((1-I$31)*C34+I$31*D34-((1-I$31)*E34+I$31*F34))*((1-I$31)*K34+I$31*L34)</f>
        <v>0.39999999999996</v>
      </c>
      <c r="J34" s="70" cm="1">
        <f t="array" ref="J34">((1-J$31)*C34+J$31*D34-((1-J$31)*E34+J$31*F34))*((1-J$31)*K34+J$31*L34)</f>
        <v>-5.98202614379086</v>
      </c>
      <c r="K34" s="36" cm="1">
        <f t="array" ref="K34">_xlfn.COUNTIFS('Datos - Temas'!$V$5:$V$1264,$A34,'Datos - Temas'!$C$5:$C$1264,"Ciencias")-_xlfn.COUNTIFS('Datos - Temas'!$V$5:$V$1264,$A34,'Datos - Temas'!$K$5:$K$1264,"FUERA")-_xlfn.COUNTIFS('Datos - Temas'!$V$5:$V$1264,$A34,'Datos - Temas'!$K$5:$K$1264,"PENDIENTE")</f>
        <v>85</v>
      </c>
      <c r="L34" s="36" cm="1">
        <f t="array" ref="L34">_xlfn.COUNTIFS('Datos - Temas'!$V$5:$V$1264,$A34,'Datos - Temas'!$AK$5:$AK$1264,"&lt;&gt;")-_xlfn.COUNTIFS('Datos - Temas'!$V$5:$V$1264,$A34,'Datos - Temas'!$AK$5:$AK$1264,"FUERA")</f>
        <v>90</v>
      </c>
      <c r="M34" s="17"/>
      <c r="N34" s="14"/>
    </row>
    <row r="35" ht="13.65" customHeight="1">
      <c r="A35" s="64"/>
      <c r="B35" t="s" s="63">
        <v>156</v>
      </c>
      <c r="C35" s="64"/>
      <c r="D35" s="64"/>
      <c r="E35" s="64"/>
      <c r="F35" s="64"/>
      <c r="G35" s="65" cm="1">
        <f t="array" ref="G35">1-(ABS((1-G$31)*C32+G$31*D32-((1-G$31)*E32+G$31*F32))+ABS((1-G$31)*C33+G$31*D33-((1-G$31)*E33+G$31*F33))+ABS((1-G$31)*C34+G$31*D34-((1-G$31)*E34+G$31*F34)))/2</f>
        <v>0.679411764705883</v>
      </c>
      <c r="H35" s="65" cm="1">
        <f t="array" ref="H35">1-(ABS((1-H$31)*C32+H$31*D32-((1-H$31)*E32+H$31*F32))+ABS((1-H$31)*C33+H$31*D33-((1-H$31)*E33+H$31*F33))+ABS((1-H$31)*C34+H$31*D34-((1-H$31)*E34+H$31*F34)))/2</f>
        <v>0.74359477124183</v>
      </c>
      <c r="I35" s="65" cm="1">
        <f t="array" ref="I35">1-(ABS((1-I$31)*C32+I$31*D32-((1-I$31)*E32+I$31*F32))+ABS((1-I$31)*C33+I$31*D33-((1-I$31)*E33+I$31*F33))+ABS((1-I$31)*C34+I$31*D34-((1-I$31)*E34+I$31*F34)))/2</f>
        <v>0.803333333333334</v>
      </c>
      <c r="J35" s="65" cm="1">
        <f t="array" ref="J35">1-(ABS((1-J$31)*C32+J$31*D32-((1-J$31)*E32+J$31*F32))+ABS((1-J$31)*C33+J$31*D33-((1-J$31)*E33+J$31*F33))+ABS((1-J$31)*C34+J$31*D34-((1-J$31)*E34+J$31*F34)))/2</f>
        <v>0.74359477124183</v>
      </c>
      <c r="K35" s="64"/>
      <c r="L35" s="64"/>
      <c r="M35" s="17"/>
      <c r="N35" s="14"/>
    </row>
    <row r="36" ht="13.65" customHeight="1">
      <c r="A36" s="64"/>
      <c r="B36" t="s" s="63">
        <v>189</v>
      </c>
      <c r="C36" s="64"/>
      <c r="D36" s="64"/>
      <c r="E36" s="64"/>
      <c r="F36" s="64"/>
      <c r="G36" s="65" cm="1">
        <f t="array" ref="G36">(1-G$31)*$F$13+G$31*$F$20</f>
        <v>0.756464124111184</v>
      </c>
      <c r="H36" s="65" cm="1">
        <f t="array" ref="H36">(1-H$31)*$F$13+H$31*$F$20</f>
        <v>0.809010450333981</v>
      </c>
      <c r="I36" s="65" cm="1">
        <f t="array" ref="I36">(1-I$31)*$F$13+I$31*$F$20</f>
        <v>0.861556776556777</v>
      </c>
      <c r="J36" s="65" cm="1">
        <f t="array" ref="J36">(1-J$31)*$F$13+J$31*$F$20</f>
        <v>0.809010450333981</v>
      </c>
      <c r="K36" s="64"/>
      <c r="L36" s="64"/>
      <c r="M36" s="17"/>
      <c r="N36" s="14"/>
    </row>
    <row r="37" ht="13.55" customHeight="1">
      <c r="A37" s="71"/>
      <c r="B37" s="31"/>
      <c r="C37" s="31"/>
      <c r="D37" s="31"/>
      <c r="E37" s="31"/>
      <c r="F37" s="31"/>
      <c r="G37" s="31"/>
      <c r="H37" s="31"/>
      <c r="I37" s="31"/>
      <c r="J37" s="31"/>
      <c r="K37" s="31"/>
      <c r="L37" s="31"/>
      <c r="M37" s="13"/>
      <c r="N37" s="14"/>
    </row>
    <row r="38" ht="13.65" customHeight="1">
      <c r="A38" t="s" s="35">
        <v>86</v>
      </c>
      <c r="B38" t="s" s="35">
        <v>186</v>
      </c>
      <c r="C38" s="69">
        <v>0.45</v>
      </c>
      <c r="D38" s="69">
        <v>0.37</v>
      </c>
      <c r="E38" s="38" cm="1">
        <f t="array" ref="E38">IF(K38=0,0,(_xlfn.COUNTIFS('Datos - Temas'!$V$5:$V$1264,$A38,'Datos - Temas'!$M$5:$M$1264,"Química")+_xlfn.COUNTIFS('Datos - Temas'!$V$5:$V$1264,$A38,'Datos - Temas'!$M$5:$M$1264,"Física"))/K38)</f>
        <v>0.666666666666667</v>
      </c>
      <c r="F38" s="38" cm="1">
        <f t="array" ref="F38">IF(L38=0,0,_xlfn.COUNTIFS('Datos - Temas'!$V$5:$V$1264,$A38,'Datos - Temas'!$AM$5:$AM$1264,$B38)/L38)</f>
        <v>0.625</v>
      </c>
      <c r="G38" s="70" cm="1">
        <f t="array" ref="G38">((1-G$31)*C38+G$31*D38-((1-G$31)*E38+G$31*F38))*((1-G$31)*K38+G$31*L38)</f>
        <v>-20.15</v>
      </c>
      <c r="H38" s="70" cm="1">
        <f t="array" ref="H38">((1-H$31)*C38+H$31*D38-((1-H$31)*E38+H$31*F38))*((1-H$31)*K38+H$31*L38)</f>
        <v>-21.3429166666667</v>
      </c>
      <c r="I38" s="70" cm="1">
        <f t="array" ref="I38">((1-I$31)*C38+I$31*D38-((1-I$31)*E38+I$31*F38))*((1-I$31)*K38+I$31*L38)</f>
        <v>-22.44</v>
      </c>
      <c r="J38" s="70" cm="1">
        <f t="array" ref="J38">((1-J$31)*C38+J$31*D38-((1-J$31)*E38+J$31*F38))*((1-J$31)*K38+J$31*L38)</f>
        <v>-21.3429166666667</v>
      </c>
      <c r="K38" s="36" cm="1">
        <f t="array" ref="K38">_xlfn.COUNTIFS('Datos - Temas'!$V$5:$V$1264,$A38,'Datos - Temas'!$C$5:$C$1264,"Ciencias")-_xlfn.COUNTIFS('Datos - Temas'!$V$5:$V$1264,$A38,'Datos - Temas'!$K$5:$K$1264,"FUERA")-_xlfn.COUNTIFS('Datos - Temas'!$V$5:$V$1264,$A38,'Datos - Temas'!$K$5:$K$1264,"PENDIENTE")</f>
        <v>93</v>
      </c>
      <c r="L38" s="36" cm="1">
        <f t="array" ref="L38">_xlfn.COUNTIFS('Datos - Temas'!$V$5:$V$1264,$A38,'Datos - Temas'!$AK$5:$AK$1264,"&lt;&gt;")-_xlfn.COUNTIFS('Datos - Temas'!$V$5:$V$1264,$A38,'Datos - Temas'!$AK$5:$AK$1264,"FUERA")</f>
        <v>88</v>
      </c>
      <c r="M38" s="17"/>
      <c r="N38" s="14"/>
    </row>
    <row r="39" ht="13.65" customHeight="1">
      <c r="A39" t="s" s="35">
        <v>86</v>
      </c>
      <c r="B39" t="s" s="35">
        <v>187</v>
      </c>
      <c r="C39" s="69">
        <v>0.35</v>
      </c>
      <c r="D39" s="69">
        <v>0.37</v>
      </c>
      <c r="E39" s="38" cm="1">
        <f t="array" ref="E39">IF(K39=0,0,(_xlfn.COUNTIFS('Datos - Temas'!$V$5:$V$1264,$A39,'Datos - Temas'!$M$5:$M$1264,"Biología"))/K39)</f>
        <v>0.290322580645161</v>
      </c>
      <c r="F39" s="38" cm="1">
        <f t="array" ref="F39">IF(L39=0,0,_xlfn.COUNTIFS('Datos - Temas'!$V$5:$V$1264,$A39,'Datos - Temas'!$AM$5:$AM$1264,$B39)/L39)</f>
        <v>0.306818181818182</v>
      </c>
      <c r="G39" s="70" cm="1">
        <f t="array" ref="G39">((1-G$31)*C39+G$31*D39-((1-G$31)*E39+G$31*F39))*((1-G$31)*K39+G$31*L39)</f>
        <v>5.55000000000003</v>
      </c>
      <c r="H39" s="70" cm="1">
        <f t="array" ref="H39">((1-H$31)*C39+H$31*D39-((1-H$31)*E39+H$31*F39))*((1-H$31)*K39+H$31*L39)</f>
        <v>5.55938049853373</v>
      </c>
      <c r="I39" s="70" cm="1">
        <f t="array" ref="I39">((1-I$31)*C39+I$31*D39-((1-I$31)*E39+I$31*F39))*((1-I$31)*K39+I$31*L39)</f>
        <v>5.55999999999998</v>
      </c>
      <c r="J39" s="70" cm="1">
        <f t="array" ref="J39">((1-J$31)*C39+J$31*D39-((1-J$31)*E39+J$31*F39))*((1-J$31)*K39+J$31*L39)</f>
        <v>5.55938049853373</v>
      </c>
      <c r="K39" s="36" cm="1">
        <f t="array" ref="K39">_xlfn.COUNTIFS('Datos - Temas'!$V$5:$V$1264,$A39,'Datos - Temas'!$C$5:$C$1264,"Ciencias")-_xlfn.COUNTIFS('Datos - Temas'!$V$5:$V$1264,$A39,'Datos - Temas'!$K$5:$K$1264,"FUERA")-_xlfn.COUNTIFS('Datos - Temas'!$V$5:$V$1264,$A39,'Datos - Temas'!$K$5:$K$1264,"PENDIENTE")</f>
        <v>93</v>
      </c>
      <c r="L39" s="36" cm="1">
        <f t="array" ref="L39">_xlfn.COUNTIFS('Datos - Temas'!$V$5:$V$1264,$A39,'Datos - Temas'!$AK$5:$AK$1264,"&lt;&gt;")-_xlfn.COUNTIFS('Datos - Temas'!$V$5:$V$1264,$A39,'Datos - Temas'!$AK$5:$AK$1264,"FUERA")</f>
        <v>88</v>
      </c>
      <c r="M39" s="17"/>
      <c r="N39" s="14"/>
    </row>
    <row r="40" ht="13.65" customHeight="1">
      <c r="A40" t="s" s="35">
        <v>86</v>
      </c>
      <c r="B40" t="s" s="35">
        <v>188</v>
      </c>
      <c r="C40" s="69">
        <v>0.2</v>
      </c>
      <c r="D40" s="69">
        <v>0.26</v>
      </c>
      <c r="E40" s="38" cm="1">
        <f t="array" ref="E40">IF(K40=0,0,(_xlfn.COUNTIFS('Datos - Temas'!$V$5:$V$1264,$A40,'Datos - Temas'!$M$5:$M$1264,"Ciencias de la Tierra"))/K40)</f>
        <v>0.043010752688172</v>
      </c>
      <c r="F40" s="38" cm="1">
        <f t="array" ref="F40">IF(L40=0,0,_xlfn.COUNTIFS('Datos - Temas'!$V$5:$V$1264,$A40,'Datos - Temas'!$AM$5:$AM$1264,$B40)/L40)</f>
        <v>0.0681818181818182</v>
      </c>
      <c r="G40" s="70" cm="1">
        <f t="array" ref="G40">((1-G$31)*C40+G$31*D40-((1-G$31)*E40+G$31*F40))*((1-G$31)*K40+G$31*L40)</f>
        <v>14.6</v>
      </c>
      <c r="H40" s="70" cm="1">
        <f t="array" ref="H40">((1-H$31)*C40+H$31*D40-((1-H$31)*E40+H$31*F40))*((1-H$31)*K40+H$31*L40)</f>
        <v>15.7835361681329</v>
      </c>
      <c r="I40" s="70" cm="1">
        <f t="array" ref="I40">((1-I$31)*C40+I$31*D40-((1-I$31)*E40+I$31*F40))*((1-I$31)*K40+I$31*L40)</f>
        <v>16.88</v>
      </c>
      <c r="J40" s="70" cm="1">
        <f t="array" ref="J40">((1-J$31)*C40+J$31*D40-((1-J$31)*E40+J$31*F40))*((1-J$31)*K40+J$31*L40)</f>
        <v>15.7835361681329</v>
      </c>
      <c r="K40" s="36" cm="1">
        <f t="array" ref="K40">_xlfn.COUNTIFS('Datos - Temas'!$V$5:$V$1264,$A40,'Datos - Temas'!$C$5:$C$1264,"Ciencias")-_xlfn.COUNTIFS('Datos - Temas'!$V$5:$V$1264,$A40,'Datos - Temas'!$K$5:$K$1264,"FUERA")-_xlfn.COUNTIFS('Datos - Temas'!$V$5:$V$1264,$A40,'Datos - Temas'!$K$5:$K$1264,"PENDIENTE")</f>
        <v>93</v>
      </c>
      <c r="L40" s="36" cm="1">
        <f t="array" ref="L40">_xlfn.COUNTIFS('Datos - Temas'!$V$5:$V$1264,$A40,'Datos - Temas'!$AK$5:$AK$1264,"&lt;&gt;")-_xlfn.COUNTIFS('Datos - Temas'!$V$5:$V$1264,$A40,'Datos - Temas'!$AK$5:$AK$1264,"FUERA")</f>
        <v>88</v>
      </c>
      <c r="M40" s="17"/>
      <c r="N40" s="14"/>
    </row>
    <row r="41" ht="13.65" customHeight="1">
      <c r="A41" s="64"/>
      <c r="B41" t="s" s="63">
        <v>156</v>
      </c>
      <c r="C41" s="64"/>
      <c r="D41" s="64"/>
      <c r="E41" s="64"/>
      <c r="F41" s="64"/>
      <c r="G41" s="65" cm="1">
        <f t="array" ref="G41">1-(ABS((1-G$31)*C38+G$31*D38-((1-G$31)*E38+G$31*F38))+ABS((1-G$31)*C39+G$31*D39-((1-G$31)*E39+G$31*F39))+ABS((1-G$31)*C40+G$31*D40-((1-G$31)*E40+G$31*F40)))/2</f>
        <v>0.783333333333333</v>
      </c>
      <c r="H41" s="65" cm="1">
        <f t="array" ref="H41">1-(ABS((1-H$31)*C38+H$31*D38-((1-H$31)*E38+H$31*F38))+ABS((1-H$31)*C39+H$31*D39-((1-H$31)*E39+H$31*F39))+ABS((1-H$31)*C40+H$31*D40-((1-H$31)*E40+H$31*F40)))/2</f>
        <v>0.764166666666667</v>
      </c>
      <c r="I41" s="65" cm="1">
        <f t="array" ref="I41">1-(ABS((1-I$31)*C38+I$31*D38-((1-I$31)*E38+I$31*F38))+ABS((1-I$31)*C39+I$31*D39-((1-I$31)*E39+I$31*F39))+ABS((1-I$31)*C40+I$31*D40-((1-I$31)*E40+I$31*F40)))/2</f>
        <v>0.745</v>
      </c>
      <c r="J41" s="65" cm="1">
        <f t="array" ref="J41">1-(ABS((1-J$31)*C38+J$31*D38-((1-J$31)*E38+J$31*F38))+ABS((1-J$31)*C39+J$31*D39-((1-J$31)*E39+J$31*F39))+ABS((1-J$31)*C40+J$31*D40-((1-J$31)*E40+J$31*F40)))/2</f>
        <v>0.764166666666667</v>
      </c>
      <c r="K41" s="64"/>
      <c r="L41" s="64"/>
      <c r="M41" s="17"/>
      <c r="N41" s="14"/>
    </row>
    <row r="42" ht="13.65" customHeight="1">
      <c r="A42" s="64"/>
      <c r="B42" t="s" s="63">
        <v>189</v>
      </c>
      <c r="C42" s="64"/>
      <c r="D42" s="64"/>
      <c r="E42" s="64"/>
      <c r="F42" s="64"/>
      <c r="G42" s="65" cm="1">
        <f t="array" ref="G42">(1-G$31)*$F$14+G$31*$F$21</f>
        <v>0.746774193548388</v>
      </c>
      <c r="H42" s="65" cm="1">
        <f t="array" ref="H42">(1-H$31)*$F$14+H$31*$F$21</f>
        <v>0.728723118279571</v>
      </c>
      <c r="I42" s="65" cm="1">
        <f t="array" ref="I42">(1-I$31)*$F$14+I$31*$F$21</f>
        <v>0.710672043010753</v>
      </c>
      <c r="J42" s="65" cm="1">
        <f t="array" ref="J42">(1-J$31)*$F$14+J$31*$F$21</f>
        <v>0.728723118279571</v>
      </c>
      <c r="K42" s="64"/>
      <c r="L42" s="64"/>
      <c r="M42" s="17"/>
      <c r="N42" s="14"/>
    </row>
    <row r="43" ht="13.55" customHeight="1">
      <c r="A43" s="42"/>
      <c r="B43" s="18"/>
      <c r="C43" s="18"/>
      <c r="D43" s="18"/>
      <c r="E43" s="18"/>
      <c r="F43" s="18"/>
      <c r="G43" s="18"/>
      <c r="H43" s="18"/>
      <c r="I43" s="18"/>
      <c r="J43" s="18"/>
      <c r="K43" s="18"/>
      <c r="L43" s="18"/>
      <c r="M43" s="13"/>
      <c r="N43" s="14"/>
    </row>
    <row r="44" ht="13.55" customHeight="1">
      <c r="A44" s="11"/>
      <c r="B44" s="13"/>
      <c r="C44" s="13"/>
      <c r="D44" s="13"/>
      <c r="E44" s="13"/>
      <c r="F44" s="13"/>
      <c r="G44" s="13"/>
      <c r="H44" s="13"/>
      <c r="I44" s="13"/>
      <c r="J44" s="13"/>
      <c r="K44" s="13"/>
      <c r="L44" s="13"/>
      <c r="M44" s="13"/>
      <c r="N44" s="14"/>
    </row>
    <row r="45" ht="14.6" customHeight="1">
      <c r="A45" t="s" s="52">
        <v>190</v>
      </c>
      <c r="B45" s="13"/>
      <c r="C45" s="13"/>
      <c r="D45" s="13"/>
      <c r="E45" s="13"/>
      <c r="F45" s="13"/>
      <c r="G45" s="13"/>
      <c r="H45" s="13"/>
      <c r="I45" s="13"/>
      <c r="J45" s="13"/>
      <c r="K45" s="13"/>
      <c r="L45" s="13"/>
      <c r="M45" s="13"/>
      <c r="N45" s="14"/>
    </row>
    <row r="46" ht="30" customHeight="1">
      <c r="A46" t="s" s="53">
        <v>191</v>
      </c>
      <c r="B46" s="13"/>
      <c r="C46" s="13"/>
      <c r="D46" s="13"/>
      <c r="E46" s="13"/>
      <c r="F46" s="13"/>
      <c r="G46" s="13"/>
      <c r="H46" s="13"/>
      <c r="I46" s="13"/>
      <c r="J46" s="13"/>
      <c r="K46" s="13"/>
      <c r="L46" s="13"/>
      <c r="M46" s="13"/>
      <c r="N46" s="14"/>
    </row>
    <row r="47" ht="30" customHeight="1">
      <c r="A47" t="s" s="53">
        <v>192</v>
      </c>
      <c r="B47" s="13"/>
      <c r="C47" s="13"/>
      <c r="D47" s="13"/>
      <c r="E47" s="13"/>
      <c r="F47" s="13"/>
      <c r="G47" s="13"/>
      <c r="H47" s="13"/>
      <c r="I47" s="13"/>
      <c r="J47" s="13"/>
      <c r="K47" s="13"/>
      <c r="L47" s="13"/>
      <c r="M47" s="13"/>
      <c r="N47" s="14"/>
    </row>
    <row r="48" ht="30" customHeight="1">
      <c r="A48" t="s" s="53">
        <v>193</v>
      </c>
      <c r="B48" s="13"/>
      <c r="C48" s="13"/>
      <c r="D48" s="13"/>
      <c r="E48" s="13"/>
      <c r="F48" s="13"/>
      <c r="G48" s="13"/>
      <c r="H48" s="13"/>
      <c r="I48" s="13"/>
      <c r="J48" s="13"/>
      <c r="K48" s="13"/>
      <c r="L48" s="13"/>
      <c r="M48" s="13"/>
      <c r="N48" s="14"/>
    </row>
    <row r="49" ht="30" customHeight="1">
      <c r="A49" t="s" s="53">
        <v>194</v>
      </c>
      <c r="B49" s="13"/>
      <c r="C49" s="13"/>
      <c r="D49" s="13"/>
      <c r="E49" s="13"/>
      <c r="F49" s="13"/>
      <c r="G49" s="13"/>
      <c r="H49" s="13"/>
      <c r="I49" s="13"/>
      <c r="J49" s="13"/>
      <c r="K49" s="13"/>
      <c r="L49" s="13"/>
      <c r="M49" s="13"/>
      <c r="N49" s="14"/>
    </row>
    <row r="50" ht="13.55" customHeight="1">
      <c r="A50" s="11"/>
      <c r="B50" s="13"/>
      <c r="C50" s="13"/>
      <c r="D50" s="13"/>
      <c r="E50" s="13"/>
      <c r="F50" s="13"/>
      <c r="G50" s="13"/>
      <c r="H50" s="13"/>
      <c r="I50" s="13"/>
      <c r="J50" s="13"/>
      <c r="K50" s="13"/>
      <c r="L50" s="13"/>
      <c r="M50" s="13"/>
      <c r="N50" s="14"/>
    </row>
    <row r="51" ht="70" customHeight="1">
      <c r="A51" t="s" s="54">
        <v>195</v>
      </c>
      <c r="B51" s="24"/>
      <c r="C51" s="24"/>
      <c r="D51" s="24"/>
      <c r="E51" s="24"/>
      <c r="F51" s="24"/>
      <c r="G51" s="24"/>
      <c r="H51" s="24"/>
      <c r="I51" s="24"/>
      <c r="J51" s="24"/>
      <c r="K51" s="24"/>
      <c r="L51" s="24"/>
      <c r="M51" s="24"/>
      <c r="N51" s="25"/>
    </row>
  </sheetData>
  <mergeCells count="7">
    <mergeCell ref="A2:L2"/>
    <mergeCell ref="A48:N48"/>
    <mergeCell ref="A51:L51"/>
    <mergeCell ref="A29:N29"/>
    <mergeCell ref="A49:N49"/>
    <mergeCell ref="A47:N47"/>
    <mergeCell ref="A46:N4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Q193"/>
  <sheetViews>
    <sheetView workbookViewId="0" showGridLines="0" defaultGridColor="1"/>
  </sheetViews>
  <sheetFormatPr defaultColWidth="8.83333" defaultRowHeight="15" customHeight="1" outlineLevelRow="0" outlineLevelCol="0"/>
  <cols>
    <col min="1" max="1" width="16" style="72" customWidth="1"/>
    <col min="2" max="2" width="13" style="72" customWidth="1"/>
    <col min="3" max="3" width="16" style="72" customWidth="1"/>
    <col min="4" max="4" width="30" style="72" customWidth="1"/>
    <col min="5" max="5" width="11" style="72" customWidth="1"/>
    <col min="6" max="6" width="18" style="72" customWidth="1"/>
    <col min="7" max="9" width="11" style="72" customWidth="1"/>
    <col min="10" max="10" width="60" style="72" customWidth="1"/>
    <col min="11" max="11" width="13" style="72" customWidth="1"/>
    <col min="12" max="12" width="55" style="72" customWidth="1"/>
    <col min="13" max="13" width="40" style="72" customWidth="1"/>
    <col min="14" max="14" width="50" style="72" customWidth="1"/>
    <col min="15" max="15" width="40" style="72" customWidth="1"/>
    <col min="16" max="16" width="10" style="72" customWidth="1"/>
    <col min="17" max="17" width="14" style="72" customWidth="1"/>
    <col min="18" max="16384" width="8.85156" style="72" customWidth="1"/>
  </cols>
  <sheetData>
    <row r="1" ht="18.5" customHeight="1">
      <c r="A1" t="s" s="27">
        <v>197</v>
      </c>
      <c r="B1" s="28"/>
      <c r="C1" s="28"/>
      <c r="D1" s="28"/>
      <c r="E1" s="28"/>
      <c r="F1" s="28"/>
      <c r="G1" s="28"/>
      <c r="H1" s="28"/>
      <c r="I1" s="28"/>
      <c r="J1" s="28"/>
      <c r="K1" s="28"/>
      <c r="L1" s="28"/>
      <c r="M1" s="28"/>
      <c r="N1" s="28"/>
      <c r="O1" s="9"/>
      <c r="P1" s="9"/>
      <c r="Q1" s="10"/>
    </row>
    <row r="2" ht="83" customHeight="1">
      <c r="A2" t="str" s="29" cm="1">
        <f t="array" ref="A2">"TIMSS 2027 (2.°–8.°) y PISA 2025 (7.°–9.°)"&amp;"
"&amp;"● El total de temas no cambia: cada tema nuevo se paga uniendo dos temas que se repiten."&amp;"
"&amp;"● TIMSS 2.°–4.°: "&amp;FIXED(G9+H9,0)&amp;" temas nuevos a cambio de "&amp;FIXED(J9,0)&amp;" uniones de temas repetidos. TIMSS 5.°–8.°: ya equilibrado; solo "&amp;FIXED(G15+H15,0)&amp;" tema nuevo (un objetivo que nadie enseña)."&amp;"
"&amp;"● PISA 7.°–9.°: "&amp;FIXED(G20+H20,0)&amp;" temas nuevos de biología y Tierra a cambio de "&amp;FIXED(J20,0)&amp;" uniones en física y química."&amp;"
"&amp;"→ Filtra «¿Entra en el presupuesto?» = Sí y anota tu decisión en la última columna."</f>
        <v>TIMSS 2027 (2.°–8.°) y PISA 2025 (7.°–9.°)
● El total de temas no cambia: cada tema nuevo se paga uniendo dos temas que se repiten.
● TIMSS 2.°–4.°: 13 temas nuevos a cambio de 13 uniones de temas repetidos. TIMSS 5.°–8.°: ya equilibrado; solo 1 tema nuevo (un objetivo que nadie enseña).
● PISA 7.°–9.°: 33 temas nuevos de biología y Tierra a cambio de 33 uniones en física y química.
→ Filtra «¿Entra en el presupuesto?» = Sí y anota tu decisión en la última columna.</v>
      </c>
      <c r="B2" s="30"/>
      <c r="C2" s="31"/>
      <c r="D2" s="31"/>
      <c r="E2" s="31"/>
      <c r="F2" s="31"/>
      <c r="G2" s="31"/>
      <c r="H2" s="31"/>
      <c r="I2" s="31"/>
      <c r="J2" s="31"/>
      <c r="K2" s="31"/>
      <c r="L2" s="31"/>
      <c r="M2" s="31"/>
      <c r="N2" s="32"/>
      <c r="O2" s="17"/>
      <c r="P2" s="13"/>
      <c r="Q2" s="14"/>
    </row>
    <row r="3" ht="42" customHeight="1">
      <c r="A3" t="s" s="73">
        <v>199</v>
      </c>
      <c r="B3" s="18"/>
      <c r="C3" s="18"/>
      <c r="D3" s="18"/>
      <c r="E3" s="18"/>
      <c r="F3" s="18"/>
      <c r="G3" s="18"/>
      <c r="H3" s="18"/>
      <c r="I3" s="18"/>
      <c r="J3" s="18"/>
      <c r="K3" s="18"/>
      <c r="L3" s="18"/>
      <c r="M3" s="18"/>
      <c r="N3" s="18"/>
      <c r="O3" s="13"/>
      <c r="P3" s="13"/>
      <c r="Q3" s="14"/>
    </row>
    <row r="4" ht="13.55" customHeight="1">
      <c r="A4" s="74"/>
      <c r="B4" s="44"/>
      <c r="C4" s="44"/>
      <c r="D4" s="44"/>
      <c r="E4" s="44"/>
      <c r="F4" s="44"/>
      <c r="G4" s="44"/>
      <c r="H4" s="44"/>
      <c r="I4" s="44"/>
      <c r="J4" s="44"/>
      <c r="K4" s="44"/>
      <c r="L4" s="13"/>
      <c r="M4" s="13"/>
      <c r="N4" s="13"/>
      <c r="O4" s="13"/>
      <c r="P4" s="13"/>
      <c r="Q4" s="14"/>
    </row>
    <row r="5" ht="54" customHeight="1">
      <c r="A5" t="s" s="34">
        <v>200</v>
      </c>
      <c r="B5" t="s" s="34">
        <v>94</v>
      </c>
      <c r="C5" t="s" s="34">
        <v>155</v>
      </c>
      <c r="D5" t="s" s="34">
        <v>201</v>
      </c>
      <c r="E5" t="s" s="34">
        <v>202</v>
      </c>
      <c r="F5" t="s" s="34">
        <v>203</v>
      </c>
      <c r="G5" t="s" s="34">
        <v>204</v>
      </c>
      <c r="H5" t="s" s="34">
        <v>205</v>
      </c>
      <c r="I5" t="s" s="34">
        <v>206</v>
      </c>
      <c r="J5" t="s" s="34">
        <v>207</v>
      </c>
      <c r="K5" t="s" s="34">
        <v>208</v>
      </c>
      <c r="L5" s="17"/>
      <c r="M5" s="13"/>
      <c r="N5" s="13"/>
      <c r="O5" s="13"/>
      <c r="P5" s="13"/>
      <c r="Q5" s="14"/>
    </row>
    <row r="6" ht="13.65" customHeight="1">
      <c r="A6" t="s" s="35">
        <v>209</v>
      </c>
      <c r="B6" t="s" s="35">
        <v>112</v>
      </c>
      <c r="C6" t="s" s="35">
        <v>70</v>
      </c>
      <c r="D6" t="s" s="35">
        <v>210</v>
      </c>
      <c r="E6" s="75" cm="1">
        <f t="array" ref="E6">'TIMSS - Balance por ciclo'!I6</f>
        <v>-12.1</v>
      </c>
      <c r="F6" t="str" s="76" cm="1">
        <f t="array" ref="F6">'TIMSS - Balance por ciclo'!K6</f>
        <v>Sobran 12 temas</v>
      </c>
      <c r="G6" s="36" cm="1">
        <f t="array" ref="G6">IF(COUNTIF($F$6:$F$8,"En meta")=ROWS($F$6:$F$8),0,MAX(0,ROUND(E6,0)))</f>
        <v>0</v>
      </c>
      <c r="H6" s="36" cm="1">
        <f t="array" ref="H6">_xlfn.COUNTIFS($B$24:$B$191,A6,$D$24:$D$191,"insertar",$E$24:$E$191,"cobertura")</f>
        <v>1</v>
      </c>
      <c r="I6" s="36" cm="1">
        <f t="array" ref="I6">IF(COUNTIF($F$6:$F$8,"En meta")=ROWS($F$6:$F$8),0,MAX(0,ROUND(-E6,0)))+H6</f>
        <v>13</v>
      </c>
      <c r="J6" s="36" cm="1">
        <f t="array" ref="J6">_xlfn.SUMIFS($O$24:$O$191,$B$24:$B$191,A6,$D$24:$D$191,"fusionar",$P$24:$P$191,"Sí")</f>
        <v>13</v>
      </c>
      <c r="K6" s="36" cm="1">
        <f t="array" ref="K6">G6+H6-J6</f>
        <v>-12</v>
      </c>
      <c r="L6" s="17"/>
      <c r="M6" s="13"/>
      <c r="N6" s="13"/>
      <c r="O6" s="13"/>
      <c r="P6" s="13"/>
      <c r="Q6" s="14"/>
    </row>
    <row r="7" ht="13.65" customHeight="1">
      <c r="A7" t="s" s="35">
        <v>212</v>
      </c>
      <c r="B7" t="s" s="35">
        <v>112</v>
      </c>
      <c r="C7" t="s" s="35">
        <v>70</v>
      </c>
      <c r="D7" t="s" s="35">
        <v>213</v>
      </c>
      <c r="E7" s="75" cm="1">
        <f t="array" ref="E7">'TIMSS - Balance por ciclo'!I7</f>
        <v>8.699999999999999</v>
      </c>
      <c r="F7" t="str" s="76" cm="1">
        <f t="array" ref="F7">'TIMSS - Balance por ciclo'!K7</f>
        <v>En meta</v>
      </c>
      <c r="G7" s="36" cm="1">
        <f t="array" ref="G7">IF(COUNTIF($F$6:$F$8,"En meta")=ROWS($F$6:$F$8),0,MAX(0,ROUND(E7,0)))</f>
        <v>9</v>
      </c>
      <c r="H7" s="36" cm="1">
        <f t="array" ref="H7">_xlfn.COUNTIFS($B$24:$B$191,A7,$D$24:$D$191,"insertar",$E$24:$E$191,"cobertura")</f>
        <v>0</v>
      </c>
      <c r="I7" s="36" cm="1">
        <f t="array" ref="I7">IF(COUNTIF($F$6:$F$8,"En meta")=ROWS($F$6:$F$8),0,MAX(0,ROUND(-E7,0)))+H7</f>
        <v>0</v>
      </c>
      <c r="J7" s="36" cm="1">
        <f t="array" ref="J7">_xlfn.SUMIFS($O$24:$O$191,$B$24:$B$191,A7,$D$24:$D$191,"fusionar",$P$24:$P$191,"Sí")</f>
        <v>0</v>
      </c>
      <c r="K7" s="36" cm="1">
        <f t="array" ref="K7">G7+H7-J7</f>
        <v>9</v>
      </c>
      <c r="L7" s="17"/>
      <c r="M7" s="13"/>
      <c r="N7" s="13"/>
      <c r="O7" s="13"/>
      <c r="P7" s="13"/>
      <c r="Q7" s="14"/>
    </row>
    <row r="8" ht="13.65" customHeight="1">
      <c r="A8" t="s" s="35">
        <v>215</v>
      </c>
      <c r="B8" t="s" s="35">
        <v>112</v>
      </c>
      <c r="C8" t="s" s="35">
        <v>70</v>
      </c>
      <c r="D8" t="s" s="35">
        <v>216</v>
      </c>
      <c r="E8" s="75" cm="1">
        <f t="array" ref="E8">'TIMSS - Balance por ciclo'!I8</f>
        <v>3.4</v>
      </c>
      <c r="F8" t="str" s="76" cm="1">
        <f t="array" ref="F8">'TIMSS - Balance por ciclo'!K8</f>
        <v>En meta</v>
      </c>
      <c r="G8" s="36" cm="1">
        <f t="array" ref="G8">IF(COUNTIF($F$6:$F$8,"En meta")=ROWS($F$6:$F$8),0,MAX(0,ROUND(E8,0)))</f>
        <v>3</v>
      </c>
      <c r="H8" s="36" cm="1">
        <f t="array" ref="H8">_xlfn.COUNTIFS($B$24:$B$191,A8,$D$24:$D$191,"insertar",$E$24:$E$191,"cobertura")</f>
        <v>0</v>
      </c>
      <c r="I8" s="36" cm="1">
        <f t="array" ref="I8">IF(COUNTIF($F$6:$F$8,"En meta")=ROWS($F$6:$F$8),0,MAX(0,ROUND(-E8,0)))+H8</f>
        <v>0</v>
      </c>
      <c r="J8" s="36" cm="1">
        <f t="array" ref="J8">_xlfn.SUMIFS($O$24:$O$191,$B$24:$B$191,A8,$D$24:$D$191,"fusionar",$P$24:$P$191,"Sí")</f>
        <v>0</v>
      </c>
      <c r="K8" s="36" cm="1">
        <f t="array" ref="K8">G8+H8-J8</f>
        <v>3</v>
      </c>
      <c r="L8" s="17"/>
      <c r="M8" s="13"/>
      <c r="N8" s="13"/>
      <c r="O8" s="13"/>
      <c r="P8" s="13"/>
      <c r="Q8" s="14"/>
    </row>
    <row r="9" ht="13.65" customHeight="1">
      <c r="A9" s="64"/>
      <c r="B9" s="64"/>
      <c r="C9" s="64"/>
      <c r="D9" t="s" s="63">
        <v>217</v>
      </c>
      <c r="E9" s="64"/>
      <c r="F9" s="64"/>
      <c r="G9" s="77" cm="1">
        <f t="array" ref="G9">SUM(G6:G8)</f>
        <v>12</v>
      </c>
      <c r="H9" s="77" cm="1">
        <f t="array" ref="H9">SUM(H6:H8)</f>
        <v>1</v>
      </c>
      <c r="I9" s="77" cm="1">
        <f t="array" ref="I9">SUM(I6:I8)</f>
        <v>13</v>
      </c>
      <c r="J9" s="77" cm="1">
        <f t="array" ref="J9">SUM(J6:J8)</f>
        <v>13</v>
      </c>
      <c r="K9" s="77" cm="1">
        <f t="array" ref="K9">SUM(K6:K8)</f>
        <v>0</v>
      </c>
      <c r="L9" s="17"/>
      <c r="M9" s="13"/>
      <c r="N9" s="13"/>
      <c r="O9" s="13"/>
      <c r="P9" s="13"/>
      <c r="Q9" s="14"/>
    </row>
    <row r="10" ht="13.55" customHeight="1">
      <c r="A10" s="71"/>
      <c r="B10" s="31"/>
      <c r="C10" s="31"/>
      <c r="D10" s="31"/>
      <c r="E10" s="31"/>
      <c r="F10" s="31"/>
      <c r="G10" s="31"/>
      <c r="H10" s="31"/>
      <c r="I10" s="31"/>
      <c r="J10" s="31"/>
      <c r="K10" s="31"/>
      <c r="L10" s="13"/>
      <c r="M10" s="13"/>
      <c r="N10" s="13"/>
      <c r="O10" s="13"/>
      <c r="P10" s="13"/>
      <c r="Q10" s="14"/>
    </row>
    <row r="11" ht="13.65" customHeight="1">
      <c r="A11" t="s" s="35">
        <v>218</v>
      </c>
      <c r="B11" t="s" s="35">
        <v>115</v>
      </c>
      <c r="C11" t="s" s="35">
        <v>80</v>
      </c>
      <c r="D11" t="s" s="35">
        <v>210</v>
      </c>
      <c r="E11" s="75" cm="1">
        <f t="array" ref="E11">'TIMSS - Balance por ciclo'!I11</f>
        <v>2.7</v>
      </c>
      <c r="F11" t="str" s="76" cm="1">
        <f t="array" ref="F11">'TIMSS - Balance por ciclo'!K11</f>
        <v>En meta</v>
      </c>
      <c r="G11" s="36" cm="1">
        <f t="array" ref="G11">IF(COUNTIF($F$11:$F$14,"En meta")=ROWS($F$11:$F$14),0,MAX(0,ROUND(E11,0)))</f>
        <v>0</v>
      </c>
      <c r="H11" s="36" cm="1">
        <f t="array" ref="H11">_xlfn.COUNTIFS($B$24:$B$191,A11,$D$24:$D$191,"insertar",$E$24:$E$191,"cobertura")</f>
        <v>0</v>
      </c>
      <c r="I11" s="36" cm="1">
        <f t="array" ref="I11">IF(COUNTIF($F$11:$F$14,"En meta")=ROWS($F$11:$F$14),0,MAX(0,ROUND(-E11,0)))+H11</f>
        <v>0</v>
      </c>
      <c r="J11" s="36" cm="1">
        <f t="array" ref="J11">_xlfn.SUMIFS($O$24:$O$191,$B$24:$B$191,A11,$D$24:$D$191,"fusionar",$P$24:$P$191,"Sí")</f>
        <v>0</v>
      </c>
      <c r="K11" s="36" cm="1">
        <f t="array" ref="K11">G11+H11-J11</f>
        <v>0</v>
      </c>
      <c r="L11" s="17"/>
      <c r="M11" s="13"/>
      <c r="N11" s="13"/>
      <c r="O11" s="13"/>
      <c r="P11" s="13"/>
      <c r="Q11" s="14"/>
    </row>
    <row r="12" ht="13.65" customHeight="1">
      <c r="A12" t="s" s="35">
        <v>219</v>
      </c>
      <c r="B12" t="s" s="35">
        <v>115</v>
      </c>
      <c r="C12" t="s" s="35">
        <v>80</v>
      </c>
      <c r="D12" t="s" s="35">
        <v>220</v>
      </c>
      <c r="E12" s="75" cm="1">
        <f t="array" ref="E12">'TIMSS - Balance por ciclo'!I12</f>
        <v>-2.6</v>
      </c>
      <c r="F12" t="str" s="76" cm="1">
        <f t="array" ref="F12">'TIMSS - Balance por ciclo'!K12</f>
        <v>En meta</v>
      </c>
      <c r="G12" s="36" cm="1">
        <f t="array" ref="G12">IF(COUNTIF($F$11:$F$14,"En meta")=ROWS($F$11:$F$14),0,MAX(0,ROUND(E12,0)))</f>
        <v>0</v>
      </c>
      <c r="H12" s="36" cm="1">
        <f t="array" ref="H12">_xlfn.COUNTIFS($B$24:$B$191,A12,$D$24:$D$191,"insertar",$E$24:$E$191,"cobertura")</f>
        <v>0</v>
      </c>
      <c r="I12" s="36" cm="1">
        <f t="array" ref="I12">IF(COUNTIF($F$11:$F$14,"En meta")=ROWS($F$11:$F$14),0,MAX(0,ROUND(-E12,0)))+H12</f>
        <v>0</v>
      </c>
      <c r="J12" s="36" cm="1">
        <f t="array" ref="J12">_xlfn.SUMIFS($O$24:$O$191,$B$24:$B$191,A12,$D$24:$D$191,"fusionar",$P$24:$P$191,"Sí")</f>
        <v>0</v>
      </c>
      <c r="K12" s="36" cm="1">
        <f t="array" ref="K12">G12+H12-J12</f>
        <v>0</v>
      </c>
      <c r="L12" s="17"/>
      <c r="M12" s="13"/>
      <c r="N12" s="13"/>
      <c r="O12" s="13"/>
      <c r="P12" s="13"/>
      <c r="Q12" s="14"/>
    </row>
    <row r="13" ht="13.65" customHeight="1">
      <c r="A13" t="s" s="35">
        <v>221</v>
      </c>
      <c r="B13" t="s" s="35">
        <v>115</v>
      </c>
      <c r="C13" t="s" s="35">
        <v>80</v>
      </c>
      <c r="D13" t="s" s="35">
        <v>222</v>
      </c>
      <c r="E13" s="75" cm="1">
        <f t="array" ref="E13">'TIMSS - Balance por ciclo'!I13</f>
        <v>-7.5</v>
      </c>
      <c r="F13" t="str" s="76" cm="1">
        <f t="array" ref="F13">'TIMSS - Balance por ciclo'!K13</f>
        <v>En meta</v>
      </c>
      <c r="G13" s="36" cm="1">
        <f t="array" ref="G13">IF(COUNTIF($F$11:$F$14,"En meta")=ROWS($F$11:$F$14),0,MAX(0,ROUND(E13,0)))</f>
        <v>0</v>
      </c>
      <c r="H13" s="36" cm="1">
        <f t="array" ref="H13">_xlfn.COUNTIFS($B$24:$B$191,A13,$D$24:$D$191,"insertar",$E$24:$E$191,"cobertura")</f>
        <v>1</v>
      </c>
      <c r="I13" s="36" cm="1">
        <f t="array" ref="I13">IF(COUNTIF($F$11:$F$14,"En meta")=ROWS($F$11:$F$14),0,MAX(0,ROUND(-E13,0)))+H13</f>
        <v>1</v>
      </c>
      <c r="J13" s="36" cm="1">
        <f t="array" ref="J13">_xlfn.SUMIFS($O$24:$O$191,$B$24:$B$191,A13,$D$24:$D$191,"fusionar",$P$24:$P$191,"Sí")</f>
        <v>1</v>
      </c>
      <c r="K13" s="36" cm="1">
        <f t="array" ref="K13">G13+H13-J13</f>
        <v>0</v>
      </c>
      <c r="L13" s="17"/>
      <c r="M13" s="13"/>
      <c r="N13" s="13"/>
      <c r="O13" s="13"/>
      <c r="P13" s="13"/>
      <c r="Q13" s="14"/>
    </row>
    <row r="14" ht="13.65" customHeight="1">
      <c r="A14" t="s" s="35">
        <v>223</v>
      </c>
      <c r="B14" t="s" s="35">
        <v>115</v>
      </c>
      <c r="C14" t="s" s="35">
        <v>80</v>
      </c>
      <c r="D14" t="s" s="35">
        <v>216</v>
      </c>
      <c r="E14" s="75" cm="1">
        <f t="array" ref="E14">'TIMSS - Balance por ciclo'!I14</f>
        <v>7.4</v>
      </c>
      <c r="F14" t="str" s="76" cm="1">
        <f t="array" ref="F14">'TIMSS - Balance por ciclo'!K14</f>
        <v>En meta</v>
      </c>
      <c r="G14" s="36" cm="1">
        <f t="array" ref="G14">IF(COUNTIF($F$11:$F$14,"En meta")=ROWS($F$11:$F$14),0,MAX(0,ROUND(E14,0)))</f>
        <v>0</v>
      </c>
      <c r="H14" s="36" cm="1">
        <f t="array" ref="H14">_xlfn.COUNTIFS($B$24:$B$191,A14,$D$24:$D$191,"insertar",$E$24:$E$191,"cobertura")</f>
        <v>0</v>
      </c>
      <c r="I14" s="36" cm="1">
        <f t="array" ref="I14">IF(COUNTIF($F$11:$F$14,"En meta")=ROWS($F$11:$F$14),0,MAX(0,ROUND(-E14,0)))+H14</f>
        <v>0</v>
      </c>
      <c r="J14" s="36" cm="1">
        <f t="array" ref="J14">_xlfn.SUMIFS($O$24:$O$191,$B$24:$B$191,A14,$D$24:$D$191,"fusionar",$P$24:$P$191,"Sí")</f>
        <v>0</v>
      </c>
      <c r="K14" s="36" cm="1">
        <f t="array" ref="K14">G14+H14-J14</f>
        <v>0</v>
      </c>
      <c r="L14" s="17"/>
      <c r="M14" s="13"/>
      <c r="N14" s="13"/>
      <c r="O14" s="13"/>
      <c r="P14" s="13"/>
      <c r="Q14" s="14"/>
    </row>
    <row r="15" ht="13.65" customHeight="1">
      <c r="A15" s="64"/>
      <c r="B15" s="64"/>
      <c r="C15" s="64"/>
      <c r="D15" t="s" s="63">
        <v>224</v>
      </c>
      <c r="E15" s="64"/>
      <c r="F15" s="64"/>
      <c r="G15" s="77" cm="1">
        <f t="array" ref="G15">SUM(G11:G14)</f>
        <v>0</v>
      </c>
      <c r="H15" s="77" cm="1">
        <f t="array" ref="H15">SUM(H11:H14)</f>
        <v>1</v>
      </c>
      <c r="I15" s="77" cm="1">
        <f t="array" ref="I15">SUM(I11:I14)</f>
        <v>1</v>
      </c>
      <c r="J15" s="77" cm="1">
        <f t="array" ref="J15">SUM(J11:J14)</f>
        <v>1</v>
      </c>
      <c r="K15" s="77" cm="1">
        <f t="array" ref="K15">SUM(K11:K14)</f>
        <v>0</v>
      </c>
      <c r="L15" s="17"/>
      <c r="M15" s="13"/>
      <c r="N15" s="13"/>
      <c r="O15" s="13"/>
      <c r="P15" s="13"/>
      <c r="Q15" s="14"/>
    </row>
    <row r="16" ht="13.55" customHeight="1">
      <c r="A16" s="71"/>
      <c r="B16" s="31"/>
      <c r="C16" s="31"/>
      <c r="D16" s="31"/>
      <c r="E16" s="31"/>
      <c r="F16" s="31"/>
      <c r="G16" s="31"/>
      <c r="H16" s="31"/>
      <c r="I16" s="31"/>
      <c r="J16" s="31"/>
      <c r="K16" s="31"/>
      <c r="L16" s="13"/>
      <c r="M16" s="13"/>
      <c r="N16" s="13"/>
      <c r="O16" s="13"/>
      <c r="P16" s="13"/>
      <c r="Q16" s="14"/>
    </row>
    <row r="17" ht="13.65" customHeight="1">
      <c r="A17" t="s" s="35">
        <v>225</v>
      </c>
      <c r="B17" t="s" s="35">
        <v>139</v>
      </c>
      <c r="C17" t="s" s="35">
        <v>134</v>
      </c>
      <c r="D17" t="s" s="35">
        <v>186</v>
      </c>
      <c r="E17" s="75" cm="1">
        <f t="array" ref="E17">'PISA - Contenidos'!I21</f>
        <v>-33.06</v>
      </c>
      <c r="F17" t="str" s="76" cm="1">
        <f t="array" ref="F17">'PISA - Contenidos'!K21</f>
        <v>Sobran 33 temas</v>
      </c>
      <c r="G17" s="36" cm="1">
        <f t="array" ref="G17">IF(COUNTIF($F$17:$F$19,"En meta")=ROWS($F$17:$F$19),0,MAX(0,ROUND(E17,0)))</f>
        <v>0</v>
      </c>
      <c r="H17" s="36" cm="1">
        <f t="array" ref="H17">_xlfn.COUNTIFS($B$24:$B$191,A17,$D$24:$D$191,"insertar",$E$24:$E$191,"cobertura")</f>
        <v>0</v>
      </c>
      <c r="I17" s="36" cm="1">
        <f t="array" ref="I17">IF(COUNTIF($F$17:$F$19,"En meta")=ROWS($F$17:$F$19),0,MAX(0,ROUND(-E17,0)))+H17</f>
        <v>33</v>
      </c>
      <c r="J17" s="36" cm="1">
        <f t="array" ref="J17">_xlfn.SUMIFS($O$24:$O$191,$B$24:$B$191,A17,$D$24:$D$191,"fusionar",$P$24:$P$191,"Sí")</f>
        <v>33</v>
      </c>
      <c r="K17" s="36" cm="1">
        <f t="array" ref="K17">G17+H17-J17</f>
        <v>-33</v>
      </c>
      <c r="L17" s="17"/>
      <c r="M17" s="13"/>
      <c r="N17" s="13"/>
      <c r="O17" s="13"/>
      <c r="P17" s="13"/>
      <c r="Q17" s="14"/>
    </row>
    <row r="18" ht="13.65" customHeight="1">
      <c r="A18" t="s" s="35">
        <v>227</v>
      </c>
      <c r="B18" t="s" s="35">
        <v>139</v>
      </c>
      <c r="C18" t="s" s="35">
        <v>134</v>
      </c>
      <c r="D18" t="s" s="35">
        <v>187</v>
      </c>
      <c r="E18" s="75" cm="1">
        <f t="array" ref="E18">'PISA - Contenidos'!I22</f>
        <v>15.94</v>
      </c>
      <c r="F18" t="str" s="76" cm="1">
        <f t="array" ref="F18">'PISA - Contenidos'!K22</f>
        <v>Faltan 16 temas</v>
      </c>
      <c r="G18" s="36" cm="1">
        <f t="array" ref="G18">IF(COUNTIF($F$17:$F$19,"En meta")=ROWS($F$17:$F$19),0,MAX(0,ROUND(E18,0)))</f>
        <v>16</v>
      </c>
      <c r="H18" s="36" cm="1">
        <f t="array" ref="H18">_xlfn.COUNTIFS($B$24:$B$191,A18,$D$24:$D$191,"insertar",$E$24:$E$191,"cobertura")</f>
        <v>0</v>
      </c>
      <c r="I18" s="36" cm="1">
        <f t="array" ref="I18">IF(COUNTIF($F$17:$F$19,"En meta")=ROWS($F$17:$F$19),0,MAX(0,ROUND(-E18,0)))+H18</f>
        <v>0</v>
      </c>
      <c r="J18" s="36" cm="1">
        <f t="array" ref="J18">_xlfn.SUMIFS($O$24:$O$191,$B$24:$B$191,A18,$D$24:$D$191,"fusionar",$P$24:$P$191,"Sí")</f>
        <v>0</v>
      </c>
      <c r="K18" s="36" cm="1">
        <f t="array" ref="K18">G18+H18-J18</f>
        <v>16</v>
      </c>
      <c r="L18" s="17"/>
      <c r="M18" s="13"/>
      <c r="N18" s="13"/>
      <c r="O18" s="13"/>
      <c r="P18" s="13"/>
      <c r="Q18" s="14"/>
    </row>
    <row r="19" ht="13.65" customHeight="1">
      <c r="A19" t="s" s="35">
        <v>229</v>
      </c>
      <c r="B19" t="s" s="35">
        <v>139</v>
      </c>
      <c r="C19" t="s" s="35">
        <v>134</v>
      </c>
      <c r="D19" t="s" s="35">
        <v>188</v>
      </c>
      <c r="E19" s="75" cm="1">
        <f t="array" ref="E19">'PISA - Contenidos'!I23</f>
        <v>17.12</v>
      </c>
      <c r="F19" t="str" s="76" cm="1">
        <f t="array" ref="F19">'PISA - Contenidos'!K23</f>
        <v>Faltan 17 temas</v>
      </c>
      <c r="G19" s="36" cm="1">
        <f t="array" ref="G19">IF(COUNTIF($F$17:$F$19,"En meta")=ROWS($F$17:$F$19),0,MAX(0,ROUND(E19,0)))</f>
        <v>17</v>
      </c>
      <c r="H19" s="36" cm="1">
        <f t="array" ref="H19">_xlfn.COUNTIFS($B$24:$B$191,A19,$D$24:$D$191,"insertar",$E$24:$E$191,"cobertura")</f>
        <v>0</v>
      </c>
      <c r="I19" s="36" cm="1">
        <f t="array" ref="I19">IF(COUNTIF($F$17:$F$19,"En meta")=ROWS($F$17:$F$19),0,MAX(0,ROUND(-E19,0)))+H19</f>
        <v>0</v>
      </c>
      <c r="J19" s="36" cm="1">
        <f t="array" ref="J19">_xlfn.SUMIFS($O$24:$O$191,$B$24:$B$191,A19,$D$24:$D$191,"fusionar",$P$24:$P$191,"Sí")</f>
        <v>0</v>
      </c>
      <c r="K19" s="36" cm="1">
        <f t="array" ref="K19">G19+H19-J19</f>
        <v>17</v>
      </c>
      <c r="L19" s="17"/>
      <c r="M19" s="13"/>
      <c r="N19" s="13"/>
      <c r="O19" s="13"/>
      <c r="P19" s="13"/>
      <c r="Q19" s="14"/>
    </row>
    <row r="20" ht="13.65" customHeight="1">
      <c r="A20" s="64"/>
      <c r="B20" s="64"/>
      <c r="C20" s="64"/>
      <c r="D20" t="s" s="63">
        <v>231</v>
      </c>
      <c r="E20" s="64"/>
      <c r="F20" s="64"/>
      <c r="G20" s="77" cm="1">
        <f t="array" ref="G20">SUM(G17:G19)</f>
        <v>33</v>
      </c>
      <c r="H20" s="77" cm="1">
        <f t="array" ref="H20">SUM(H17:H19)</f>
        <v>0</v>
      </c>
      <c r="I20" s="77" cm="1">
        <f t="array" ref="I20">SUM(I17:I19)</f>
        <v>33</v>
      </c>
      <c r="J20" s="77" cm="1">
        <f t="array" ref="J20">SUM(J17:J19)</f>
        <v>33</v>
      </c>
      <c r="K20" s="77" cm="1">
        <f t="array" ref="K20">SUM(K17:K19)</f>
        <v>0</v>
      </c>
      <c r="L20" s="17"/>
      <c r="M20" s="13"/>
      <c r="N20" s="13"/>
      <c r="O20" s="13"/>
      <c r="P20" s="13"/>
      <c r="Q20" s="14"/>
    </row>
    <row r="21" ht="13.55" customHeight="1">
      <c r="A21" s="42"/>
      <c r="B21" s="18"/>
      <c r="C21" s="18"/>
      <c r="D21" s="18"/>
      <c r="E21" s="18"/>
      <c r="F21" s="18"/>
      <c r="G21" s="18"/>
      <c r="H21" s="18"/>
      <c r="I21" s="18"/>
      <c r="J21" s="18"/>
      <c r="K21" s="18"/>
      <c r="L21" s="13"/>
      <c r="M21" s="13"/>
      <c r="N21" s="13"/>
      <c r="O21" s="13"/>
      <c r="P21" s="13"/>
      <c r="Q21" s="14"/>
    </row>
    <row r="22" ht="14.6" customHeight="1">
      <c r="A22" t="s" s="43">
        <v>232</v>
      </c>
      <c r="B22" s="44"/>
      <c r="C22" s="44"/>
      <c r="D22" s="44"/>
      <c r="E22" s="44"/>
      <c r="F22" s="44"/>
      <c r="G22" s="44"/>
      <c r="H22" s="44"/>
      <c r="I22" s="44"/>
      <c r="J22" s="44"/>
      <c r="K22" s="44"/>
      <c r="L22" s="44"/>
      <c r="M22" s="44"/>
      <c r="N22" s="44"/>
      <c r="O22" s="44"/>
      <c r="P22" s="44"/>
      <c r="Q22" s="45"/>
    </row>
    <row r="23" ht="40" customHeight="1">
      <c r="A23" t="s" s="34">
        <v>233</v>
      </c>
      <c r="B23" t="s" s="34">
        <v>200</v>
      </c>
      <c r="C23" t="s" s="34">
        <v>94</v>
      </c>
      <c r="D23" t="s" s="34">
        <v>234</v>
      </c>
      <c r="E23" t="s" s="34">
        <v>235</v>
      </c>
      <c r="F23" t="s" s="34">
        <v>201</v>
      </c>
      <c r="G23" t="s" s="34">
        <v>236</v>
      </c>
      <c r="H23" t="s" s="34">
        <v>173</v>
      </c>
      <c r="I23" t="s" s="34">
        <v>237</v>
      </c>
      <c r="J23" t="s" s="34">
        <v>238</v>
      </c>
      <c r="K23" t="s" s="34">
        <v>239</v>
      </c>
      <c r="L23" t="s" s="34">
        <v>240</v>
      </c>
      <c r="M23" t="s" s="34">
        <v>241</v>
      </c>
      <c r="N23" t="s" s="34">
        <v>242</v>
      </c>
      <c r="O23" t="s" s="34">
        <v>243</v>
      </c>
      <c r="P23" t="s" s="34">
        <v>244</v>
      </c>
      <c r="Q23" t="s" s="34">
        <v>245</v>
      </c>
    </row>
    <row r="24" ht="35.65" customHeight="1">
      <c r="A24" t="s" s="78">
        <v>246</v>
      </c>
      <c r="B24" t="str" s="79" cm="1">
        <f t="array" ref="B24">"2-4|"&amp;F24</f>
        <v>2-4|Biología</v>
      </c>
      <c r="C24" t="s" s="78">
        <v>112</v>
      </c>
      <c r="D24" t="s" s="78">
        <v>248</v>
      </c>
      <c r="E24" t="s" s="78">
        <v>249</v>
      </c>
      <c r="F24" t="s" s="78">
        <v>210</v>
      </c>
      <c r="G24" s="80">
        <v>1</v>
      </c>
      <c r="H24" s="80">
        <v>3</v>
      </c>
      <c r="I24" t="s" s="78">
        <v>250</v>
      </c>
      <c r="J24" s="79"/>
      <c r="K24" t="s" s="78">
        <v>251</v>
      </c>
      <c r="L24" t="s" s="78">
        <v>252</v>
      </c>
      <c r="M24" t="s" s="78">
        <v>253</v>
      </c>
      <c r="N24" t="s" s="78">
        <v>254</v>
      </c>
      <c r="O24" s="80">
        <v>0</v>
      </c>
      <c r="P24" t="str" s="49">
        <v>Sí (cobertura)</v>
      </c>
      <c r="Q24" s="81"/>
    </row>
    <row r="25" ht="24.65" customHeight="1">
      <c r="A25" t="s" s="78">
        <v>256</v>
      </c>
      <c r="B25" t="str" s="79" cm="1">
        <f t="array" ref="B25">"2-4|"&amp;F25</f>
        <v>2-4|Ciencias de la Tierra</v>
      </c>
      <c r="C25" t="s" s="78">
        <v>112</v>
      </c>
      <c r="D25" t="s" s="78">
        <v>248</v>
      </c>
      <c r="E25" t="s" s="78">
        <v>258</v>
      </c>
      <c r="F25" t="s" s="78">
        <v>216</v>
      </c>
      <c r="G25" s="80">
        <v>1</v>
      </c>
      <c r="H25" s="80">
        <v>2</v>
      </c>
      <c r="I25" t="s" s="78">
        <v>259</v>
      </c>
      <c r="J25" s="79"/>
      <c r="K25" t="s" s="78">
        <v>260</v>
      </c>
      <c r="L25" t="s" s="78">
        <v>261</v>
      </c>
      <c r="M25" t="s" s="78">
        <v>262</v>
      </c>
      <c r="N25" t="s" s="78">
        <v>254</v>
      </c>
      <c r="O25" s="80">
        <v>0</v>
      </c>
      <c r="P25" t="str" s="49">
        <v>Sí</v>
      </c>
      <c r="Q25" s="81"/>
    </row>
    <row r="26" ht="35.65" customHeight="1">
      <c r="A26" t="s" s="78">
        <v>264</v>
      </c>
      <c r="B26" t="str" s="79" cm="1">
        <f t="array" ref="B26">"2-4|"&amp;F26</f>
        <v>2-4|Ciencias de la Tierra</v>
      </c>
      <c r="C26" t="s" s="78">
        <v>112</v>
      </c>
      <c r="D26" t="s" s="78">
        <v>248</v>
      </c>
      <c r="E26" t="s" s="78">
        <v>258</v>
      </c>
      <c r="F26" t="s" s="78">
        <v>216</v>
      </c>
      <c r="G26" s="80">
        <v>2</v>
      </c>
      <c r="H26" s="80">
        <v>3</v>
      </c>
      <c r="I26" t="s" s="78">
        <v>265</v>
      </c>
      <c r="J26" s="79"/>
      <c r="K26" t="s" s="78">
        <v>266</v>
      </c>
      <c r="L26" t="s" s="78">
        <v>267</v>
      </c>
      <c r="M26" t="s" s="78">
        <v>268</v>
      </c>
      <c r="N26" t="s" s="78">
        <v>254</v>
      </c>
      <c r="O26" s="80">
        <v>0</v>
      </c>
      <c r="P26" t="str" s="49">
        <v>Sí</v>
      </c>
      <c r="Q26" s="81"/>
    </row>
    <row r="27" ht="35.65" customHeight="1">
      <c r="A27" t="s" s="78">
        <v>269</v>
      </c>
      <c r="B27" t="str" s="79" cm="1">
        <f t="array" ref="B27">"2-4|"&amp;F27</f>
        <v>2-4|Ciencias de la Tierra</v>
      </c>
      <c r="C27" t="s" s="78">
        <v>112</v>
      </c>
      <c r="D27" t="s" s="78">
        <v>248</v>
      </c>
      <c r="E27" t="s" s="78">
        <v>258</v>
      </c>
      <c r="F27" t="s" s="78">
        <v>216</v>
      </c>
      <c r="G27" s="80">
        <v>3</v>
      </c>
      <c r="H27" s="80">
        <v>3</v>
      </c>
      <c r="I27" t="s" s="78">
        <v>265</v>
      </c>
      <c r="J27" s="79"/>
      <c r="K27" t="s" s="78">
        <v>270</v>
      </c>
      <c r="L27" t="s" s="78">
        <v>271</v>
      </c>
      <c r="M27" t="s" s="78">
        <v>272</v>
      </c>
      <c r="N27" t="s" s="78">
        <v>254</v>
      </c>
      <c r="O27" s="80">
        <v>0</v>
      </c>
      <c r="P27" t="str" s="49">
        <v>Sí</v>
      </c>
      <c r="Q27" s="81"/>
    </row>
    <row r="28" ht="35.65" customHeight="1">
      <c r="A28" t="s" s="78">
        <v>273</v>
      </c>
      <c r="B28" t="str" s="79" cm="1">
        <f t="array" ref="B28">"2-4|"&amp;F28</f>
        <v>2-4|Ciencias de la Tierra</v>
      </c>
      <c r="C28" t="s" s="78">
        <v>112</v>
      </c>
      <c r="D28" t="s" s="78">
        <v>248</v>
      </c>
      <c r="E28" t="s" s="78">
        <v>258</v>
      </c>
      <c r="F28" t="s" s="78">
        <v>216</v>
      </c>
      <c r="G28" s="80">
        <v>4</v>
      </c>
      <c r="H28" s="80">
        <v>3</v>
      </c>
      <c r="I28" t="s" s="78">
        <v>265</v>
      </c>
      <c r="J28" s="79"/>
      <c r="K28" t="s" s="78">
        <v>274</v>
      </c>
      <c r="L28" t="s" s="78">
        <v>275</v>
      </c>
      <c r="M28" t="s" s="78">
        <v>276</v>
      </c>
      <c r="N28" t="s" s="78">
        <v>254</v>
      </c>
      <c r="O28" s="80">
        <v>0</v>
      </c>
      <c r="P28" t="str" s="49">
        <v>Reserva</v>
      </c>
      <c r="Q28" s="81"/>
    </row>
    <row r="29" ht="24.65" customHeight="1">
      <c r="A29" t="s" s="78">
        <v>278</v>
      </c>
      <c r="B29" t="str" s="79" cm="1">
        <f t="array" ref="B29">"2-4|"&amp;F29</f>
        <v>2-4|Ciencias de la Tierra</v>
      </c>
      <c r="C29" t="s" s="78">
        <v>112</v>
      </c>
      <c r="D29" t="s" s="78">
        <v>248</v>
      </c>
      <c r="E29" t="s" s="78">
        <v>258</v>
      </c>
      <c r="F29" t="s" s="78">
        <v>216</v>
      </c>
      <c r="G29" s="80">
        <v>5</v>
      </c>
      <c r="H29" s="80">
        <v>2</v>
      </c>
      <c r="I29" t="s" s="78">
        <v>279</v>
      </c>
      <c r="J29" s="79"/>
      <c r="K29" t="s" s="78">
        <v>266</v>
      </c>
      <c r="L29" t="s" s="78">
        <v>280</v>
      </c>
      <c r="M29" t="s" s="78">
        <v>281</v>
      </c>
      <c r="N29" t="s" s="78">
        <v>282</v>
      </c>
      <c r="O29" s="80">
        <v>0</v>
      </c>
      <c r="P29" t="str" s="49">
        <v>Reserva</v>
      </c>
      <c r="Q29" s="81"/>
    </row>
    <row r="30" ht="24.65" customHeight="1">
      <c r="A30" t="s" s="78">
        <v>283</v>
      </c>
      <c r="B30" t="str" s="79" cm="1">
        <f t="array" ref="B30">"2-4|"&amp;F30</f>
        <v>2-4|Ciencias de la Tierra</v>
      </c>
      <c r="C30" t="s" s="78">
        <v>112</v>
      </c>
      <c r="D30" t="s" s="78">
        <v>248</v>
      </c>
      <c r="E30" t="s" s="78">
        <v>258</v>
      </c>
      <c r="F30" t="s" s="78">
        <v>216</v>
      </c>
      <c r="G30" s="80">
        <v>6</v>
      </c>
      <c r="H30" s="80">
        <v>2</v>
      </c>
      <c r="I30" t="s" s="78">
        <v>259</v>
      </c>
      <c r="J30" s="79"/>
      <c r="K30" t="s" s="78">
        <v>284</v>
      </c>
      <c r="L30" t="s" s="78">
        <v>285</v>
      </c>
      <c r="M30" t="s" s="78">
        <v>286</v>
      </c>
      <c r="N30" t="s" s="78">
        <v>282</v>
      </c>
      <c r="O30" s="80">
        <v>0</v>
      </c>
      <c r="P30" t="str" s="49">
        <v>Reserva</v>
      </c>
      <c r="Q30" s="81"/>
    </row>
    <row r="31" ht="24.65" customHeight="1">
      <c r="A31" t="s" s="78">
        <v>287</v>
      </c>
      <c r="B31" t="str" s="79" cm="1">
        <f t="array" ref="B31">"2-4|"&amp;F31</f>
        <v>2-4|Ciencias de la Tierra</v>
      </c>
      <c r="C31" t="s" s="78">
        <v>112</v>
      </c>
      <c r="D31" t="s" s="78">
        <v>248</v>
      </c>
      <c r="E31" t="s" s="78">
        <v>258</v>
      </c>
      <c r="F31" t="s" s="78">
        <v>216</v>
      </c>
      <c r="G31" s="80">
        <v>7</v>
      </c>
      <c r="H31" s="80">
        <v>2</v>
      </c>
      <c r="I31" t="s" s="78">
        <v>259</v>
      </c>
      <c r="J31" s="79"/>
      <c r="K31" t="s" s="78">
        <v>288</v>
      </c>
      <c r="L31" t="s" s="78">
        <v>289</v>
      </c>
      <c r="M31" t="s" s="78">
        <v>290</v>
      </c>
      <c r="N31" t="s" s="78">
        <v>291</v>
      </c>
      <c r="O31" s="80">
        <v>0</v>
      </c>
      <c r="P31" t="str" s="49">
        <v>Reserva</v>
      </c>
      <c r="Q31" s="81"/>
    </row>
    <row r="32" ht="35.65" customHeight="1">
      <c r="A32" t="s" s="78">
        <v>292</v>
      </c>
      <c r="B32" t="str" s="79" cm="1">
        <f t="array" ref="B32">"2-4|"&amp;F32</f>
        <v>2-4|Ciencias físicas</v>
      </c>
      <c r="C32" t="s" s="78">
        <v>112</v>
      </c>
      <c r="D32" t="s" s="78">
        <v>248</v>
      </c>
      <c r="E32" t="s" s="78">
        <v>258</v>
      </c>
      <c r="F32" t="s" s="78">
        <v>213</v>
      </c>
      <c r="G32" s="80">
        <v>1</v>
      </c>
      <c r="H32" s="80">
        <v>4</v>
      </c>
      <c r="I32" t="s" s="78">
        <v>294</v>
      </c>
      <c r="J32" s="79"/>
      <c r="K32" t="s" s="78">
        <v>295</v>
      </c>
      <c r="L32" t="s" s="78">
        <v>296</v>
      </c>
      <c r="M32" t="s" s="78">
        <v>297</v>
      </c>
      <c r="N32" t="s" s="78">
        <v>254</v>
      </c>
      <c r="O32" s="80">
        <v>0</v>
      </c>
      <c r="P32" t="str" s="49">
        <v>Sí</v>
      </c>
      <c r="Q32" s="81"/>
    </row>
    <row r="33" ht="35.65" customHeight="1">
      <c r="A33" t="s" s="78">
        <v>298</v>
      </c>
      <c r="B33" t="str" s="79" cm="1">
        <f t="array" ref="B33">"2-4|"&amp;F33</f>
        <v>2-4|Ciencias físicas</v>
      </c>
      <c r="C33" t="s" s="78">
        <v>112</v>
      </c>
      <c r="D33" t="s" s="78">
        <v>248</v>
      </c>
      <c r="E33" t="s" s="78">
        <v>258</v>
      </c>
      <c r="F33" t="s" s="78">
        <v>213</v>
      </c>
      <c r="G33" s="80">
        <v>2</v>
      </c>
      <c r="H33" s="80">
        <v>4</v>
      </c>
      <c r="I33" t="s" s="78">
        <v>294</v>
      </c>
      <c r="J33" s="79"/>
      <c r="K33" t="s" s="78">
        <v>299</v>
      </c>
      <c r="L33" t="s" s="78">
        <v>300</v>
      </c>
      <c r="M33" t="s" s="78">
        <v>301</v>
      </c>
      <c r="N33" t="s" s="78">
        <v>254</v>
      </c>
      <c r="O33" s="80">
        <v>0</v>
      </c>
      <c r="P33" t="str" s="49">
        <v>Sí</v>
      </c>
      <c r="Q33" s="81"/>
    </row>
    <row r="34" ht="24.65" customHeight="1">
      <c r="A34" t="s" s="78">
        <v>302</v>
      </c>
      <c r="B34" t="str" s="79" cm="1">
        <f t="array" ref="B34">"2-4|"&amp;F34</f>
        <v>2-4|Ciencias físicas</v>
      </c>
      <c r="C34" t="s" s="78">
        <v>112</v>
      </c>
      <c r="D34" t="s" s="78">
        <v>248</v>
      </c>
      <c r="E34" t="s" s="78">
        <v>258</v>
      </c>
      <c r="F34" t="s" s="78">
        <v>213</v>
      </c>
      <c r="G34" s="80">
        <v>3</v>
      </c>
      <c r="H34" s="80">
        <v>4</v>
      </c>
      <c r="I34" t="s" s="78">
        <v>294</v>
      </c>
      <c r="J34" s="79"/>
      <c r="K34" t="s" s="78">
        <v>303</v>
      </c>
      <c r="L34" t="s" s="78">
        <v>304</v>
      </c>
      <c r="M34" t="s" s="78">
        <v>305</v>
      </c>
      <c r="N34" t="s" s="78">
        <v>254</v>
      </c>
      <c r="O34" s="80">
        <v>0</v>
      </c>
      <c r="P34" t="str" s="49">
        <v>Sí</v>
      </c>
      <c r="Q34" s="81"/>
    </row>
    <row r="35" ht="24.65" customHeight="1">
      <c r="A35" t="s" s="78">
        <v>306</v>
      </c>
      <c r="B35" t="str" s="79" cm="1">
        <f t="array" ref="B35">"2-4|"&amp;F35</f>
        <v>2-4|Ciencias físicas</v>
      </c>
      <c r="C35" t="s" s="78">
        <v>112</v>
      </c>
      <c r="D35" t="s" s="78">
        <v>248</v>
      </c>
      <c r="E35" t="s" s="78">
        <v>258</v>
      </c>
      <c r="F35" t="s" s="78">
        <v>213</v>
      </c>
      <c r="G35" s="80">
        <v>4</v>
      </c>
      <c r="H35" s="80">
        <v>3</v>
      </c>
      <c r="I35" t="s" s="78">
        <v>307</v>
      </c>
      <c r="J35" s="79"/>
      <c r="K35" t="s" s="78">
        <v>308</v>
      </c>
      <c r="L35" t="s" s="78">
        <v>309</v>
      </c>
      <c r="M35" t="s" s="78">
        <v>310</v>
      </c>
      <c r="N35" t="s" s="78">
        <v>254</v>
      </c>
      <c r="O35" s="80">
        <v>0</v>
      </c>
      <c r="P35" t="str" s="49">
        <v>Sí</v>
      </c>
      <c r="Q35" s="81"/>
    </row>
    <row r="36" ht="24.65" customHeight="1">
      <c r="A36" t="s" s="78">
        <v>311</v>
      </c>
      <c r="B36" t="str" s="79" cm="1">
        <f t="array" ref="B36">"2-4|"&amp;F36</f>
        <v>2-4|Ciencias físicas</v>
      </c>
      <c r="C36" t="s" s="78">
        <v>112</v>
      </c>
      <c r="D36" t="s" s="78">
        <v>248</v>
      </c>
      <c r="E36" t="s" s="78">
        <v>258</v>
      </c>
      <c r="F36" t="s" s="78">
        <v>213</v>
      </c>
      <c r="G36" s="80">
        <v>5</v>
      </c>
      <c r="H36" s="80">
        <v>3</v>
      </c>
      <c r="I36" t="s" s="78">
        <v>312</v>
      </c>
      <c r="J36" s="79"/>
      <c r="K36" t="s" s="78">
        <v>313</v>
      </c>
      <c r="L36" t="s" s="78">
        <v>314</v>
      </c>
      <c r="M36" t="s" s="78">
        <v>315</v>
      </c>
      <c r="N36" t="s" s="78">
        <v>254</v>
      </c>
      <c r="O36" s="80">
        <v>0</v>
      </c>
      <c r="P36" t="str" s="49">
        <v>Sí</v>
      </c>
      <c r="Q36" s="81"/>
    </row>
    <row r="37" ht="24.65" customHeight="1">
      <c r="A37" t="s" s="78">
        <v>316</v>
      </c>
      <c r="B37" t="str" s="79" cm="1">
        <f t="array" ref="B37">"2-4|"&amp;F37</f>
        <v>2-4|Ciencias físicas</v>
      </c>
      <c r="C37" t="s" s="78">
        <v>112</v>
      </c>
      <c r="D37" t="s" s="78">
        <v>248</v>
      </c>
      <c r="E37" t="s" s="78">
        <v>258</v>
      </c>
      <c r="F37" t="s" s="78">
        <v>213</v>
      </c>
      <c r="G37" s="80">
        <v>6</v>
      </c>
      <c r="H37" s="80">
        <v>4</v>
      </c>
      <c r="I37" t="s" s="78">
        <v>294</v>
      </c>
      <c r="J37" s="79"/>
      <c r="K37" t="s" s="78">
        <v>317</v>
      </c>
      <c r="L37" t="s" s="78">
        <v>318</v>
      </c>
      <c r="M37" t="s" s="78">
        <v>319</v>
      </c>
      <c r="N37" t="s" s="78">
        <v>254</v>
      </c>
      <c r="O37" s="80">
        <v>0</v>
      </c>
      <c r="P37" t="str" s="49">
        <v>Sí</v>
      </c>
      <c r="Q37" s="81"/>
    </row>
    <row r="38" ht="24.65" customHeight="1">
      <c r="A38" t="s" s="78">
        <v>320</v>
      </c>
      <c r="B38" t="str" s="79" cm="1">
        <f t="array" ref="B38">"2-4|"&amp;F38</f>
        <v>2-4|Ciencias físicas</v>
      </c>
      <c r="C38" t="s" s="78">
        <v>112</v>
      </c>
      <c r="D38" t="s" s="78">
        <v>248</v>
      </c>
      <c r="E38" t="s" s="78">
        <v>258</v>
      </c>
      <c r="F38" t="s" s="78">
        <v>213</v>
      </c>
      <c r="G38" s="80">
        <v>7</v>
      </c>
      <c r="H38" s="80">
        <v>4</v>
      </c>
      <c r="I38" t="s" s="78">
        <v>294</v>
      </c>
      <c r="J38" s="79"/>
      <c r="K38" t="s" s="78">
        <v>321</v>
      </c>
      <c r="L38" t="s" s="78">
        <v>322</v>
      </c>
      <c r="M38" t="s" s="78">
        <v>323</v>
      </c>
      <c r="N38" t="s" s="78">
        <v>282</v>
      </c>
      <c r="O38" s="80">
        <v>0</v>
      </c>
      <c r="P38" t="str" s="49">
        <v>Sí</v>
      </c>
      <c r="Q38" s="81"/>
    </row>
    <row r="39" ht="24.65" customHeight="1">
      <c r="A39" t="s" s="78">
        <v>324</v>
      </c>
      <c r="B39" t="str" s="79" cm="1">
        <f t="array" ref="B39">"2-4|"&amp;F39</f>
        <v>2-4|Ciencias físicas</v>
      </c>
      <c r="C39" t="s" s="78">
        <v>112</v>
      </c>
      <c r="D39" t="s" s="78">
        <v>248</v>
      </c>
      <c r="E39" t="s" s="78">
        <v>258</v>
      </c>
      <c r="F39" t="s" s="78">
        <v>213</v>
      </c>
      <c r="G39" s="80">
        <v>8</v>
      </c>
      <c r="H39" s="80">
        <v>4</v>
      </c>
      <c r="I39" t="s" s="78">
        <v>294</v>
      </c>
      <c r="J39" s="79"/>
      <c r="K39" t="s" s="78">
        <v>303</v>
      </c>
      <c r="L39" t="s" s="78">
        <v>325</v>
      </c>
      <c r="M39" t="s" s="78">
        <v>326</v>
      </c>
      <c r="N39" t="s" s="78">
        <v>282</v>
      </c>
      <c r="O39" s="80">
        <v>0</v>
      </c>
      <c r="P39" t="str" s="49">
        <v>Sí</v>
      </c>
      <c r="Q39" s="81"/>
    </row>
    <row r="40" ht="24.65" customHeight="1">
      <c r="A40" t="s" s="78">
        <v>327</v>
      </c>
      <c r="B40" t="str" s="79" cm="1">
        <f t="array" ref="B40">"2-4|"&amp;F40</f>
        <v>2-4|Ciencias físicas</v>
      </c>
      <c r="C40" t="s" s="78">
        <v>112</v>
      </c>
      <c r="D40" t="s" s="78">
        <v>248</v>
      </c>
      <c r="E40" t="s" s="78">
        <v>258</v>
      </c>
      <c r="F40" t="s" s="78">
        <v>213</v>
      </c>
      <c r="G40" s="80">
        <v>9</v>
      </c>
      <c r="H40" s="80">
        <v>3</v>
      </c>
      <c r="I40" t="s" s="78">
        <v>307</v>
      </c>
      <c r="J40" s="79"/>
      <c r="K40" t="s" s="78">
        <v>328</v>
      </c>
      <c r="L40" t="s" s="78">
        <v>329</v>
      </c>
      <c r="M40" t="s" s="78">
        <v>330</v>
      </c>
      <c r="N40" t="s" s="78">
        <v>282</v>
      </c>
      <c r="O40" s="80">
        <v>0</v>
      </c>
      <c r="P40" t="str" s="49">
        <v>Sí</v>
      </c>
      <c r="Q40" s="81"/>
    </row>
    <row r="41" ht="24.65" customHeight="1">
      <c r="A41" t="s" s="78">
        <v>331</v>
      </c>
      <c r="B41" t="str" s="79" cm="1">
        <f t="array" ref="B41">"2-4|"&amp;F41</f>
        <v>2-4|Ciencias físicas</v>
      </c>
      <c r="C41" t="s" s="78">
        <v>112</v>
      </c>
      <c r="D41" t="s" s="78">
        <v>248</v>
      </c>
      <c r="E41" t="s" s="78">
        <v>258</v>
      </c>
      <c r="F41" t="s" s="78">
        <v>213</v>
      </c>
      <c r="G41" s="80">
        <v>10</v>
      </c>
      <c r="H41" s="80">
        <v>4</v>
      </c>
      <c r="I41" t="s" s="78">
        <v>294</v>
      </c>
      <c r="J41" s="79"/>
      <c r="K41" t="s" s="78">
        <v>332</v>
      </c>
      <c r="L41" t="s" s="78">
        <v>333</v>
      </c>
      <c r="M41" t="s" s="78">
        <v>334</v>
      </c>
      <c r="N41" t="s" s="78">
        <v>282</v>
      </c>
      <c r="O41" s="80">
        <v>0</v>
      </c>
      <c r="P41" t="str" s="49">
        <v>Reserva</v>
      </c>
      <c r="Q41" s="81"/>
    </row>
    <row r="42" ht="24.65" customHeight="1">
      <c r="A42" t="s" s="78">
        <v>335</v>
      </c>
      <c r="B42" t="str" s="79" cm="1">
        <f t="array" ref="B42">"2-4|"&amp;F42</f>
        <v>2-4|Ciencias físicas</v>
      </c>
      <c r="C42" t="s" s="78">
        <v>112</v>
      </c>
      <c r="D42" t="s" s="78">
        <v>248</v>
      </c>
      <c r="E42" t="s" s="78">
        <v>258</v>
      </c>
      <c r="F42" t="s" s="78">
        <v>213</v>
      </c>
      <c r="G42" s="80">
        <v>11</v>
      </c>
      <c r="H42" s="80">
        <v>4</v>
      </c>
      <c r="I42" t="s" s="78">
        <v>294</v>
      </c>
      <c r="J42" s="79"/>
      <c r="K42" t="s" s="78">
        <v>336</v>
      </c>
      <c r="L42" t="s" s="78">
        <v>337</v>
      </c>
      <c r="M42" t="s" s="78">
        <v>338</v>
      </c>
      <c r="N42" t="s" s="78">
        <v>282</v>
      </c>
      <c r="O42" s="80">
        <v>0</v>
      </c>
      <c r="P42" t="str" s="49">
        <v>Reserva</v>
      </c>
      <c r="Q42" s="81"/>
    </row>
    <row r="43" ht="24.65" customHeight="1">
      <c r="A43" t="s" s="78">
        <v>339</v>
      </c>
      <c r="B43" t="str" s="79" cm="1">
        <f t="array" ref="B43">"2-4|"&amp;F43</f>
        <v>2-4|Ciencias físicas</v>
      </c>
      <c r="C43" t="s" s="78">
        <v>112</v>
      </c>
      <c r="D43" t="s" s="78">
        <v>248</v>
      </c>
      <c r="E43" t="s" s="78">
        <v>258</v>
      </c>
      <c r="F43" t="s" s="78">
        <v>213</v>
      </c>
      <c r="G43" s="80">
        <v>12</v>
      </c>
      <c r="H43" s="80">
        <v>4</v>
      </c>
      <c r="I43" t="s" s="78">
        <v>294</v>
      </c>
      <c r="J43" s="79"/>
      <c r="K43" t="s" s="78">
        <v>317</v>
      </c>
      <c r="L43" t="s" s="78">
        <v>340</v>
      </c>
      <c r="M43" t="s" s="78">
        <v>341</v>
      </c>
      <c r="N43" t="s" s="78">
        <v>291</v>
      </c>
      <c r="O43" s="80">
        <v>0</v>
      </c>
      <c r="P43" t="str" s="49">
        <v>Reserva</v>
      </c>
      <c r="Q43" s="81"/>
    </row>
    <row r="44" ht="46.65" customHeight="1">
      <c r="A44" t="s" s="78">
        <v>342</v>
      </c>
      <c r="B44" t="str" s="79" cm="1">
        <f t="array" ref="B44">"2-4|"&amp;F44</f>
        <v>2-4|Biología</v>
      </c>
      <c r="C44" t="s" s="78">
        <v>112</v>
      </c>
      <c r="D44" t="s" s="78">
        <v>343</v>
      </c>
      <c r="E44" s="79"/>
      <c r="F44" t="s" s="78">
        <v>210</v>
      </c>
      <c r="G44" s="80">
        <v>1</v>
      </c>
      <c r="H44" s="80">
        <v>4</v>
      </c>
      <c r="I44" t="s" s="78">
        <v>344</v>
      </c>
      <c r="J44" t="s" s="78">
        <v>345</v>
      </c>
      <c r="K44" t="s" s="78">
        <v>346</v>
      </c>
      <c r="L44" t="s" s="78">
        <v>347</v>
      </c>
      <c r="M44" t="s" s="78">
        <v>348</v>
      </c>
      <c r="N44" t="s" s="78">
        <v>254</v>
      </c>
      <c r="O44" s="80">
        <v>1</v>
      </c>
      <c r="P44" t="str" s="49">
        <v>Sí</v>
      </c>
      <c r="Q44" s="81"/>
    </row>
    <row r="45" ht="35.65" customHeight="1">
      <c r="A45" t="s" s="78">
        <v>349</v>
      </c>
      <c r="B45" t="str" s="79" cm="1">
        <f t="array" ref="B45">"2-4|"&amp;F45</f>
        <v>2-4|Biología</v>
      </c>
      <c r="C45" t="s" s="78">
        <v>112</v>
      </c>
      <c r="D45" t="s" s="78">
        <v>343</v>
      </c>
      <c r="E45" s="79"/>
      <c r="F45" t="s" s="78">
        <v>210</v>
      </c>
      <c r="G45" s="80">
        <v>2</v>
      </c>
      <c r="H45" s="80">
        <v>4</v>
      </c>
      <c r="I45" t="s" s="78">
        <v>344</v>
      </c>
      <c r="J45" t="s" s="78">
        <v>350</v>
      </c>
      <c r="K45" t="s" s="78">
        <v>346</v>
      </c>
      <c r="L45" t="s" s="78">
        <v>351</v>
      </c>
      <c r="M45" t="s" s="78">
        <v>352</v>
      </c>
      <c r="N45" t="s" s="78">
        <v>254</v>
      </c>
      <c r="O45" s="80">
        <v>1</v>
      </c>
      <c r="P45" t="str" s="49">
        <v>Sí</v>
      </c>
      <c r="Q45" s="81"/>
    </row>
    <row r="46" ht="46.65" customHeight="1">
      <c r="A46" t="s" s="78">
        <v>353</v>
      </c>
      <c r="B46" t="str" s="79" cm="1">
        <f t="array" ref="B46">"2-4|"&amp;F46</f>
        <v>2-4|Biología</v>
      </c>
      <c r="C46" t="s" s="78">
        <v>112</v>
      </c>
      <c r="D46" t="s" s="78">
        <v>343</v>
      </c>
      <c r="E46" s="79"/>
      <c r="F46" t="s" s="78">
        <v>210</v>
      </c>
      <c r="G46" s="80">
        <v>3</v>
      </c>
      <c r="H46" s="80">
        <v>4</v>
      </c>
      <c r="I46" t="s" s="78">
        <v>344</v>
      </c>
      <c r="J46" t="s" s="78">
        <v>354</v>
      </c>
      <c r="K46" t="s" s="78">
        <v>346</v>
      </c>
      <c r="L46" t="s" s="78">
        <v>355</v>
      </c>
      <c r="M46" t="s" s="78">
        <v>356</v>
      </c>
      <c r="N46" t="s" s="78">
        <v>254</v>
      </c>
      <c r="O46" s="80">
        <v>1</v>
      </c>
      <c r="P46" t="str" s="49">
        <v>Sí</v>
      </c>
      <c r="Q46" s="81"/>
    </row>
    <row r="47" ht="46.65" customHeight="1">
      <c r="A47" t="s" s="78">
        <v>357</v>
      </c>
      <c r="B47" t="str" s="79" cm="1">
        <f t="array" ref="B47">"2-4|"&amp;F47</f>
        <v>2-4|Biología</v>
      </c>
      <c r="C47" t="s" s="78">
        <v>112</v>
      </c>
      <c r="D47" t="s" s="78">
        <v>343</v>
      </c>
      <c r="E47" s="79"/>
      <c r="F47" t="s" s="78">
        <v>210</v>
      </c>
      <c r="G47" s="80">
        <v>4</v>
      </c>
      <c r="H47" s="80">
        <v>4</v>
      </c>
      <c r="I47" t="s" s="78">
        <v>358</v>
      </c>
      <c r="J47" t="s" s="78">
        <v>359</v>
      </c>
      <c r="K47" t="s" s="78">
        <v>360</v>
      </c>
      <c r="L47" t="s" s="78">
        <v>361</v>
      </c>
      <c r="M47" t="s" s="78">
        <v>362</v>
      </c>
      <c r="N47" t="s" s="78">
        <v>254</v>
      </c>
      <c r="O47" s="80">
        <v>1</v>
      </c>
      <c r="P47" t="str" s="49">
        <v>Sí</v>
      </c>
      <c r="Q47" s="81"/>
    </row>
    <row r="48" ht="46.65" customHeight="1">
      <c r="A48" t="s" s="78">
        <v>363</v>
      </c>
      <c r="B48" t="str" s="79" cm="1">
        <f t="array" ref="B48">"2-4|"&amp;F48</f>
        <v>2-4|Biología</v>
      </c>
      <c r="C48" t="s" s="78">
        <v>112</v>
      </c>
      <c r="D48" t="s" s="78">
        <v>343</v>
      </c>
      <c r="E48" s="79"/>
      <c r="F48" t="s" s="78">
        <v>210</v>
      </c>
      <c r="G48" s="80">
        <v>5</v>
      </c>
      <c r="H48" s="80">
        <v>4</v>
      </c>
      <c r="I48" t="s" s="78">
        <v>358</v>
      </c>
      <c r="J48" t="s" s="78">
        <v>364</v>
      </c>
      <c r="K48" t="s" s="78">
        <v>365</v>
      </c>
      <c r="L48" t="s" s="78">
        <v>366</v>
      </c>
      <c r="M48" t="s" s="78">
        <v>367</v>
      </c>
      <c r="N48" t="s" s="78">
        <v>254</v>
      </c>
      <c r="O48" s="80">
        <v>1</v>
      </c>
      <c r="P48" t="str" s="49">
        <v>Sí</v>
      </c>
      <c r="Q48" s="81"/>
    </row>
    <row r="49" ht="46.65" customHeight="1">
      <c r="A49" t="s" s="78">
        <v>368</v>
      </c>
      <c r="B49" t="str" s="79" cm="1">
        <f t="array" ref="B49">"2-4|"&amp;F49</f>
        <v>2-4|Biología</v>
      </c>
      <c r="C49" t="s" s="78">
        <v>112</v>
      </c>
      <c r="D49" t="s" s="78">
        <v>343</v>
      </c>
      <c r="E49" s="79"/>
      <c r="F49" t="s" s="78">
        <v>210</v>
      </c>
      <c r="G49" s="80">
        <v>6</v>
      </c>
      <c r="H49" s="80">
        <v>4</v>
      </c>
      <c r="I49" t="s" s="78">
        <v>358</v>
      </c>
      <c r="J49" t="s" s="78">
        <v>369</v>
      </c>
      <c r="K49" t="s" s="78">
        <v>360</v>
      </c>
      <c r="L49" t="s" s="78">
        <v>370</v>
      </c>
      <c r="M49" t="s" s="78">
        <v>371</v>
      </c>
      <c r="N49" t="s" s="78">
        <v>254</v>
      </c>
      <c r="O49" s="80">
        <v>1</v>
      </c>
      <c r="P49" t="str" s="49">
        <v>Sí</v>
      </c>
      <c r="Q49" s="81"/>
    </row>
    <row r="50" ht="46.65" customHeight="1">
      <c r="A50" t="s" s="78">
        <v>372</v>
      </c>
      <c r="B50" t="str" s="79" cm="1">
        <f t="array" ref="B50">"2-4|"&amp;F50</f>
        <v>2-4|Biología</v>
      </c>
      <c r="C50" t="s" s="78">
        <v>112</v>
      </c>
      <c r="D50" t="s" s="78">
        <v>343</v>
      </c>
      <c r="E50" s="79"/>
      <c r="F50" t="s" s="78">
        <v>210</v>
      </c>
      <c r="G50" s="80">
        <v>7</v>
      </c>
      <c r="H50" s="80">
        <v>4</v>
      </c>
      <c r="I50" t="s" s="78">
        <v>358</v>
      </c>
      <c r="J50" t="s" s="78">
        <v>373</v>
      </c>
      <c r="K50" t="s" s="78">
        <v>365</v>
      </c>
      <c r="L50" t="s" s="78">
        <v>374</v>
      </c>
      <c r="M50" t="s" s="78">
        <v>375</v>
      </c>
      <c r="N50" t="s" s="78">
        <v>254</v>
      </c>
      <c r="O50" s="80">
        <v>1</v>
      </c>
      <c r="P50" t="str" s="49">
        <v>Sí</v>
      </c>
      <c r="Q50" s="81"/>
    </row>
    <row r="51" ht="57.65" customHeight="1">
      <c r="A51" t="s" s="78">
        <v>376</v>
      </c>
      <c r="B51" t="str" s="79" cm="1">
        <f t="array" ref="B51">"2-4|"&amp;F51</f>
        <v>2-4|Biología</v>
      </c>
      <c r="C51" t="s" s="78">
        <v>112</v>
      </c>
      <c r="D51" t="s" s="78">
        <v>343</v>
      </c>
      <c r="E51" s="79"/>
      <c r="F51" t="s" s="78">
        <v>210</v>
      </c>
      <c r="G51" s="80">
        <v>8</v>
      </c>
      <c r="H51" s="80">
        <v>4</v>
      </c>
      <c r="I51" t="s" s="78">
        <v>377</v>
      </c>
      <c r="J51" t="s" s="78">
        <v>378</v>
      </c>
      <c r="K51" t="s" s="78">
        <v>365</v>
      </c>
      <c r="L51" t="s" s="78">
        <v>379</v>
      </c>
      <c r="M51" t="s" s="78">
        <v>380</v>
      </c>
      <c r="N51" t="s" s="78">
        <v>254</v>
      </c>
      <c r="O51" s="80">
        <v>1</v>
      </c>
      <c r="P51" t="str" s="49">
        <v>Sí</v>
      </c>
      <c r="Q51" s="81"/>
    </row>
    <row r="52" ht="57.65" customHeight="1">
      <c r="A52" t="s" s="78">
        <v>381</v>
      </c>
      <c r="B52" t="str" s="79" cm="1">
        <f t="array" ref="B52">"2-4|"&amp;F52</f>
        <v>2-4|Biología</v>
      </c>
      <c r="C52" t="s" s="78">
        <v>112</v>
      </c>
      <c r="D52" t="s" s="78">
        <v>343</v>
      </c>
      <c r="E52" s="79"/>
      <c r="F52" t="s" s="78">
        <v>210</v>
      </c>
      <c r="G52" s="80">
        <v>9</v>
      </c>
      <c r="H52" s="80">
        <v>4</v>
      </c>
      <c r="I52" t="s" s="78">
        <v>377</v>
      </c>
      <c r="J52" t="s" s="78">
        <v>382</v>
      </c>
      <c r="K52" t="s" s="78">
        <v>383</v>
      </c>
      <c r="L52" t="s" s="78">
        <v>384</v>
      </c>
      <c r="M52" t="s" s="78">
        <v>385</v>
      </c>
      <c r="N52" t="s" s="78">
        <v>282</v>
      </c>
      <c r="O52" s="80">
        <v>1</v>
      </c>
      <c r="P52" t="str" s="49">
        <v>Sí</v>
      </c>
      <c r="Q52" s="81"/>
    </row>
    <row r="53" ht="46.65" customHeight="1">
      <c r="A53" t="s" s="78">
        <v>386</v>
      </c>
      <c r="B53" t="str" s="79" cm="1">
        <f t="array" ref="B53">"2-4|"&amp;F53</f>
        <v>2-4|Biología</v>
      </c>
      <c r="C53" t="s" s="78">
        <v>112</v>
      </c>
      <c r="D53" t="s" s="78">
        <v>343</v>
      </c>
      <c r="E53" s="79"/>
      <c r="F53" t="s" s="78">
        <v>210</v>
      </c>
      <c r="G53" s="80">
        <v>10</v>
      </c>
      <c r="H53" s="80">
        <v>3</v>
      </c>
      <c r="I53" t="s" s="78">
        <v>250</v>
      </c>
      <c r="J53" t="s" s="78">
        <v>387</v>
      </c>
      <c r="K53" t="s" s="78">
        <v>388</v>
      </c>
      <c r="L53" t="s" s="78">
        <v>389</v>
      </c>
      <c r="M53" t="s" s="78">
        <v>390</v>
      </c>
      <c r="N53" t="s" s="78">
        <v>254</v>
      </c>
      <c r="O53" s="80">
        <v>1</v>
      </c>
      <c r="P53" t="str" s="49">
        <v>Sí</v>
      </c>
      <c r="Q53" s="81"/>
    </row>
    <row r="54" ht="46.65" customHeight="1">
      <c r="A54" t="s" s="78">
        <v>391</v>
      </c>
      <c r="B54" t="str" s="79" cm="1">
        <f t="array" ref="B54">"2-4|"&amp;F54</f>
        <v>2-4|Biología</v>
      </c>
      <c r="C54" t="s" s="78">
        <v>112</v>
      </c>
      <c r="D54" t="s" s="78">
        <v>343</v>
      </c>
      <c r="E54" s="79"/>
      <c r="F54" t="s" s="78">
        <v>210</v>
      </c>
      <c r="G54" s="80">
        <v>11</v>
      </c>
      <c r="H54" s="80">
        <v>3</v>
      </c>
      <c r="I54" t="s" s="78">
        <v>392</v>
      </c>
      <c r="J54" t="s" s="78">
        <v>393</v>
      </c>
      <c r="K54" t="s" s="78">
        <v>383</v>
      </c>
      <c r="L54" t="s" s="78">
        <v>394</v>
      </c>
      <c r="M54" t="s" s="78">
        <v>395</v>
      </c>
      <c r="N54" t="s" s="78">
        <v>254</v>
      </c>
      <c r="O54" s="80">
        <v>1</v>
      </c>
      <c r="P54" t="str" s="49">
        <v>Sí</v>
      </c>
      <c r="Q54" s="81"/>
    </row>
    <row r="55" ht="46.65" customHeight="1">
      <c r="A55" t="s" s="78">
        <v>396</v>
      </c>
      <c r="B55" t="str" s="79" cm="1">
        <f t="array" ref="B55">"2-4|"&amp;F55</f>
        <v>2-4|Biología</v>
      </c>
      <c r="C55" t="s" s="78">
        <v>112</v>
      </c>
      <c r="D55" t="s" s="78">
        <v>343</v>
      </c>
      <c r="E55" s="79"/>
      <c r="F55" t="s" s="78">
        <v>210</v>
      </c>
      <c r="G55" s="80">
        <v>12</v>
      </c>
      <c r="H55" s="80">
        <v>3</v>
      </c>
      <c r="I55" t="s" s="78">
        <v>392</v>
      </c>
      <c r="J55" t="s" s="78">
        <v>397</v>
      </c>
      <c r="K55" t="s" s="78">
        <v>388</v>
      </c>
      <c r="L55" t="s" s="78">
        <v>398</v>
      </c>
      <c r="M55" t="s" s="78">
        <v>399</v>
      </c>
      <c r="N55" t="s" s="78">
        <v>254</v>
      </c>
      <c r="O55" s="80">
        <v>1</v>
      </c>
      <c r="P55" t="str" s="49">
        <v>Sí</v>
      </c>
      <c r="Q55" s="81"/>
    </row>
    <row r="56" ht="46.65" customHeight="1">
      <c r="A56" t="s" s="78">
        <v>400</v>
      </c>
      <c r="B56" t="str" s="79" cm="1">
        <f t="array" ref="B56">"2-4|"&amp;F56</f>
        <v>2-4|Biología</v>
      </c>
      <c r="C56" t="s" s="78">
        <v>112</v>
      </c>
      <c r="D56" t="s" s="78">
        <v>343</v>
      </c>
      <c r="E56" s="79"/>
      <c r="F56" t="s" s="78">
        <v>210</v>
      </c>
      <c r="G56" s="80">
        <v>13</v>
      </c>
      <c r="H56" s="80">
        <v>3</v>
      </c>
      <c r="I56" t="s" s="78">
        <v>250</v>
      </c>
      <c r="J56" t="s" s="78">
        <v>401</v>
      </c>
      <c r="K56" t="s" s="78">
        <v>388</v>
      </c>
      <c r="L56" t="s" s="78">
        <v>402</v>
      </c>
      <c r="M56" t="s" s="78">
        <v>403</v>
      </c>
      <c r="N56" t="s" s="78">
        <v>282</v>
      </c>
      <c r="O56" s="80">
        <v>1</v>
      </c>
      <c r="P56" t="str" s="49">
        <v>Sí</v>
      </c>
      <c r="Q56" s="81"/>
    </row>
    <row r="57" ht="46.65" customHeight="1">
      <c r="A57" t="s" s="78">
        <v>404</v>
      </c>
      <c r="B57" t="str" s="79" cm="1">
        <f t="array" ref="B57">"2-4|"&amp;F57</f>
        <v>2-4|Biología</v>
      </c>
      <c r="C57" t="s" s="78">
        <v>112</v>
      </c>
      <c r="D57" t="s" s="78">
        <v>343</v>
      </c>
      <c r="E57" s="79"/>
      <c r="F57" t="s" s="78">
        <v>210</v>
      </c>
      <c r="G57" s="80">
        <v>14</v>
      </c>
      <c r="H57" s="80">
        <v>3</v>
      </c>
      <c r="I57" t="s" s="78">
        <v>250</v>
      </c>
      <c r="J57" t="s" s="78">
        <v>405</v>
      </c>
      <c r="K57" t="s" s="78">
        <v>388</v>
      </c>
      <c r="L57" t="s" s="78">
        <v>406</v>
      </c>
      <c r="M57" t="s" s="78">
        <v>407</v>
      </c>
      <c r="N57" t="s" s="78">
        <v>282</v>
      </c>
      <c r="O57" s="80">
        <v>1</v>
      </c>
      <c r="P57" t="str" s="49">
        <v>Reserva</v>
      </c>
      <c r="Q57" s="81"/>
    </row>
    <row r="58" ht="24.65" customHeight="1">
      <c r="A58" t="s" s="78">
        <v>408</v>
      </c>
      <c r="B58" t="str" s="79" cm="1">
        <f t="array" ref="B58">"2-4|"&amp;F58</f>
        <v>2-4|Biología</v>
      </c>
      <c r="C58" t="s" s="78">
        <v>112</v>
      </c>
      <c r="D58" t="s" s="78">
        <v>343</v>
      </c>
      <c r="E58" s="79"/>
      <c r="F58" t="s" s="78">
        <v>210</v>
      </c>
      <c r="G58" s="80">
        <v>15</v>
      </c>
      <c r="H58" s="80">
        <v>3</v>
      </c>
      <c r="I58" t="s" s="78">
        <v>392</v>
      </c>
      <c r="J58" t="s" s="78">
        <v>409</v>
      </c>
      <c r="K58" t="s" s="78">
        <v>410</v>
      </c>
      <c r="L58" t="s" s="78">
        <v>411</v>
      </c>
      <c r="M58" t="s" s="78">
        <v>412</v>
      </c>
      <c r="N58" t="s" s="78">
        <v>282</v>
      </c>
      <c r="O58" s="80">
        <v>1</v>
      </c>
      <c r="P58" t="str" s="49">
        <v>Reserva</v>
      </c>
      <c r="Q58" s="81"/>
    </row>
    <row r="59" ht="46.65" customHeight="1">
      <c r="A59" t="s" s="78">
        <v>413</v>
      </c>
      <c r="B59" t="str" s="79" cm="1">
        <f t="array" ref="B59">"2-4|"&amp;F59</f>
        <v>2-4|Biología</v>
      </c>
      <c r="C59" t="s" s="78">
        <v>112</v>
      </c>
      <c r="D59" t="s" s="78">
        <v>343</v>
      </c>
      <c r="E59" s="79"/>
      <c r="F59" t="s" s="78">
        <v>210</v>
      </c>
      <c r="G59" s="80">
        <v>16</v>
      </c>
      <c r="H59" s="80">
        <v>4</v>
      </c>
      <c r="I59" t="s" s="78">
        <v>414</v>
      </c>
      <c r="J59" t="s" s="78">
        <v>415</v>
      </c>
      <c r="K59" t="s" s="78">
        <v>416</v>
      </c>
      <c r="L59" t="s" s="78">
        <v>417</v>
      </c>
      <c r="M59" t="s" s="78">
        <v>418</v>
      </c>
      <c r="N59" t="s" s="78">
        <v>291</v>
      </c>
      <c r="O59" s="80">
        <v>1</v>
      </c>
      <c r="P59" t="str" s="49">
        <v>Reserva</v>
      </c>
      <c r="Q59" s="81"/>
    </row>
    <row r="60" ht="57.65" customHeight="1">
      <c r="A60" t="s" s="78">
        <v>419</v>
      </c>
      <c r="B60" t="str" s="79" cm="1">
        <f t="array" ref="B60">"2-4|"&amp;F60</f>
        <v>2-4|Biología</v>
      </c>
      <c r="C60" t="s" s="78">
        <v>112</v>
      </c>
      <c r="D60" t="s" s="78">
        <v>343</v>
      </c>
      <c r="E60" s="79"/>
      <c r="F60" t="s" s="78">
        <v>210</v>
      </c>
      <c r="G60" s="80">
        <v>17</v>
      </c>
      <c r="H60" s="80">
        <v>4</v>
      </c>
      <c r="I60" t="s" s="78">
        <v>377</v>
      </c>
      <c r="J60" t="s" s="78">
        <v>420</v>
      </c>
      <c r="K60" t="s" s="78">
        <v>383</v>
      </c>
      <c r="L60" t="s" s="78">
        <v>421</v>
      </c>
      <c r="M60" t="s" s="78">
        <v>422</v>
      </c>
      <c r="N60" t="s" s="78">
        <v>282</v>
      </c>
      <c r="O60" s="80">
        <v>1</v>
      </c>
      <c r="P60" t="str" s="49">
        <v>Reserva</v>
      </c>
      <c r="Q60" s="81"/>
    </row>
    <row r="61" ht="35.65" customHeight="1">
      <c r="A61" t="s" s="78">
        <v>423</v>
      </c>
      <c r="B61" t="str" s="79" cm="1">
        <f t="array" ref="B61">"2-4|"&amp;F61</f>
        <v>2-4|Biología</v>
      </c>
      <c r="C61" t="s" s="78">
        <v>112</v>
      </c>
      <c r="D61" t="s" s="78">
        <v>424</v>
      </c>
      <c r="E61" s="79"/>
      <c r="F61" t="s" s="78">
        <v>210</v>
      </c>
      <c r="G61" s="80">
        <v>1</v>
      </c>
      <c r="H61" s="80">
        <v>2</v>
      </c>
      <c r="I61" t="s" s="78">
        <v>425</v>
      </c>
      <c r="J61" t="s" s="78">
        <v>426</v>
      </c>
      <c r="K61" t="s" s="78">
        <v>427</v>
      </c>
      <c r="L61" t="s" s="78">
        <v>428</v>
      </c>
      <c r="M61" t="s" s="78">
        <v>429</v>
      </c>
      <c r="N61" t="s" s="78">
        <v>254</v>
      </c>
      <c r="O61" s="80">
        <v>0</v>
      </c>
      <c r="P61" t="str" s="49">
        <v>Opcional (no cambia el total)</v>
      </c>
      <c r="Q61" s="81"/>
    </row>
    <row r="62" ht="35.65" customHeight="1">
      <c r="A62" t="s" s="78">
        <v>431</v>
      </c>
      <c r="B62" t="str" s="79" cm="1">
        <f t="array" ref="B62">"2-4|"&amp;F62</f>
        <v>2-4|Ciencias de la Tierra</v>
      </c>
      <c r="C62" t="s" s="78">
        <v>112</v>
      </c>
      <c r="D62" t="s" s="78">
        <v>424</v>
      </c>
      <c r="E62" s="79"/>
      <c r="F62" t="s" s="78">
        <v>216</v>
      </c>
      <c r="G62" s="80">
        <v>1</v>
      </c>
      <c r="H62" s="80">
        <v>3</v>
      </c>
      <c r="I62" t="s" s="78">
        <v>265</v>
      </c>
      <c r="J62" t="s" s="78">
        <v>432</v>
      </c>
      <c r="K62" t="s" s="78">
        <v>266</v>
      </c>
      <c r="L62" t="s" s="78">
        <v>433</v>
      </c>
      <c r="M62" t="s" s="78">
        <v>434</v>
      </c>
      <c r="N62" t="s" s="78">
        <v>282</v>
      </c>
      <c r="O62" s="80">
        <v>0</v>
      </c>
      <c r="P62" t="str" s="49">
        <v>Opcional (no cambia el total)</v>
      </c>
      <c r="Q62" s="81"/>
    </row>
    <row r="63" ht="35.65" customHeight="1">
      <c r="A63" t="s" s="78">
        <v>435</v>
      </c>
      <c r="B63" t="str" s="79" cm="1">
        <f t="array" ref="B63">"2-4|"&amp;F63</f>
        <v>2-4|Ciencias de la Tierra</v>
      </c>
      <c r="C63" t="s" s="78">
        <v>112</v>
      </c>
      <c r="D63" t="s" s="78">
        <v>424</v>
      </c>
      <c r="E63" s="79"/>
      <c r="F63" t="s" s="78">
        <v>216</v>
      </c>
      <c r="G63" s="80">
        <v>2</v>
      </c>
      <c r="H63" s="80">
        <v>3</v>
      </c>
      <c r="I63" t="s" s="78">
        <v>265</v>
      </c>
      <c r="J63" t="s" s="78">
        <v>436</v>
      </c>
      <c r="K63" t="s" s="78">
        <v>266</v>
      </c>
      <c r="L63" t="s" s="78">
        <v>437</v>
      </c>
      <c r="M63" t="s" s="78">
        <v>438</v>
      </c>
      <c r="N63" t="s" s="78">
        <v>282</v>
      </c>
      <c r="O63" s="80">
        <v>0</v>
      </c>
      <c r="P63" t="str" s="49">
        <v>Opcional (no cambia el total)</v>
      </c>
      <c r="Q63" s="81"/>
    </row>
    <row r="64" ht="35.65" customHeight="1">
      <c r="A64" t="s" s="78">
        <v>439</v>
      </c>
      <c r="B64" t="str" s="79" cm="1">
        <f t="array" ref="B64">"2-4|"&amp;F64</f>
        <v>2-4|Ciencias de la Tierra</v>
      </c>
      <c r="C64" t="s" s="78">
        <v>112</v>
      </c>
      <c r="D64" t="s" s="78">
        <v>424</v>
      </c>
      <c r="E64" s="79"/>
      <c r="F64" t="s" s="78">
        <v>216</v>
      </c>
      <c r="G64" s="80">
        <v>3</v>
      </c>
      <c r="H64" s="80">
        <v>2</v>
      </c>
      <c r="I64" t="s" s="78">
        <v>279</v>
      </c>
      <c r="J64" t="s" s="78">
        <v>440</v>
      </c>
      <c r="K64" t="s" s="78">
        <v>274</v>
      </c>
      <c r="L64" t="s" s="78">
        <v>441</v>
      </c>
      <c r="M64" t="s" s="78">
        <v>442</v>
      </c>
      <c r="N64" t="s" s="78">
        <v>291</v>
      </c>
      <c r="O64" s="80">
        <v>0</v>
      </c>
      <c r="P64" t="str" s="49">
        <v>Opcional (no cambia el total)</v>
      </c>
      <c r="Q64" s="81"/>
    </row>
    <row r="65" ht="35.65" customHeight="1">
      <c r="A65" t="s" s="78">
        <v>443</v>
      </c>
      <c r="B65" t="str" s="79" cm="1">
        <f t="array" ref="B65">"2-4|"&amp;F65</f>
        <v>2-4|Ciencias físicas</v>
      </c>
      <c r="C65" t="s" s="78">
        <v>112</v>
      </c>
      <c r="D65" t="s" s="78">
        <v>424</v>
      </c>
      <c r="E65" s="79"/>
      <c r="F65" t="s" s="78">
        <v>213</v>
      </c>
      <c r="G65" s="80">
        <v>1</v>
      </c>
      <c r="H65" s="80">
        <v>4</v>
      </c>
      <c r="I65" t="s" s="78">
        <v>294</v>
      </c>
      <c r="J65" t="s" s="78">
        <v>444</v>
      </c>
      <c r="K65" t="s" s="78">
        <v>295</v>
      </c>
      <c r="L65" t="s" s="78">
        <v>445</v>
      </c>
      <c r="M65" t="s" s="78">
        <v>446</v>
      </c>
      <c r="N65" t="s" s="78">
        <v>254</v>
      </c>
      <c r="O65" s="80">
        <v>0</v>
      </c>
      <c r="P65" t="str" s="49">
        <v>Opcional (no cambia el total)</v>
      </c>
      <c r="Q65" s="81"/>
    </row>
    <row r="66" ht="35.65" customHeight="1">
      <c r="A66" t="s" s="78">
        <v>447</v>
      </c>
      <c r="B66" t="str" s="79" cm="1">
        <f t="array" ref="B66">"2-4|"&amp;F66</f>
        <v>2-4|Ciencias físicas</v>
      </c>
      <c r="C66" t="s" s="78">
        <v>112</v>
      </c>
      <c r="D66" t="s" s="78">
        <v>424</v>
      </c>
      <c r="E66" s="79"/>
      <c r="F66" t="s" s="78">
        <v>213</v>
      </c>
      <c r="G66" s="80">
        <v>2</v>
      </c>
      <c r="H66" s="80">
        <v>3</v>
      </c>
      <c r="I66" t="s" s="78">
        <v>307</v>
      </c>
      <c r="J66" t="s" s="78">
        <v>448</v>
      </c>
      <c r="K66" t="s" s="78">
        <v>332</v>
      </c>
      <c r="L66" t="s" s="78">
        <v>449</v>
      </c>
      <c r="M66" t="s" s="78">
        <v>450</v>
      </c>
      <c r="N66" t="s" s="78">
        <v>282</v>
      </c>
      <c r="O66" s="80">
        <v>0</v>
      </c>
      <c r="P66" t="str" s="49">
        <v>Opcional (no cambia el total)</v>
      </c>
      <c r="Q66" s="81"/>
    </row>
    <row r="67" ht="35.65" customHeight="1">
      <c r="A67" t="s" s="78">
        <v>451</v>
      </c>
      <c r="B67" t="str" s="79" cm="1">
        <f t="array" ref="B67">"5-8|"&amp;F67</f>
        <v>5-8|Biología</v>
      </c>
      <c r="C67" t="s" s="78">
        <v>115</v>
      </c>
      <c r="D67" t="s" s="78">
        <v>248</v>
      </c>
      <c r="E67" t="s" s="78">
        <v>258</v>
      </c>
      <c r="F67" t="s" s="78">
        <v>210</v>
      </c>
      <c r="G67" s="80">
        <v>1</v>
      </c>
      <c r="H67" s="80">
        <v>8</v>
      </c>
      <c r="I67" t="s" s="78">
        <v>453</v>
      </c>
      <c r="J67" s="79"/>
      <c r="K67" t="s" s="78">
        <v>454</v>
      </c>
      <c r="L67" t="s" s="78">
        <v>455</v>
      </c>
      <c r="M67" t="s" s="78">
        <v>456</v>
      </c>
      <c r="N67" t="s" s="78">
        <v>254</v>
      </c>
      <c r="O67" s="80">
        <v>0</v>
      </c>
      <c r="P67" t="str" s="49">
        <v>Reserva</v>
      </c>
      <c r="Q67" s="81"/>
    </row>
    <row r="68" ht="35.65" customHeight="1">
      <c r="A68" t="s" s="78">
        <v>457</v>
      </c>
      <c r="B68" t="str" s="79" cm="1">
        <f t="array" ref="B68">"5-8|"&amp;F68</f>
        <v>5-8|Biología</v>
      </c>
      <c r="C68" t="s" s="78">
        <v>115</v>
      </c>
      <c r="D68" t="s" s="78">
        <v>248</v>
      </c>
      <c r="E68" t="s" s="78">
        <v>258</v>
      </c>
      <c r="F68" t="s" s="78">
        <v>210</v>
      </c>
      <c r="G68" s="80">
        <v>2</v>
      </c>
      <c r="H68" s="80">
        <v>5</v>
      </c>
      <c r="I68" t="s" s="78">
        <v>458</v>
      </c>
      <c r="J68" s="79"/>
      <c r="K68" t="s" s="78">
        <v>459</v>
      </c>
      <c r="L68" t="s" s="78">
        <v>460</v>
      </c>
      <c r="M68" t="s" s="78">
        <v>461</v>
      </c>
      <c r="N68" t="s" s="78">
        <v>282</v>
      </c>
      <c r="O68" s="80">
        <v>0</v>
      </c>
      <c r="P68" t="str" s="49">
        <v>Reserva</v>
      </c>
      <c r="Q68" s="81"/>
    </row>
    <row r="69" ht="35.65" customHeight="1">
      <c r="A69" t="s" s="78">
        <v>462</v>
      </c>
      <c r="B69" t="str" s="79" cm="1">
        <f t="array" ref="B69">"5-8|"&amp;F69</f>
        <v>5-8|Biología</v>
      </c>
      <c r="C69" t="s" s="78">
        <v>115</v>
      </c>
      <c r="D69" t="s" s="78">
        <v>248</v>
      </c>
      <c r="E69" t="s" s="78">
        <v>258</v>
      </c>
      <c r="F69" t="s" s="78">
        <v>210</v>
      </c>
      <c r="G69" s="80">
        <v>3</v>
      </c>
      <c r="H69" s="80">
        <v>5</v>
      </c>
      <c r="I69" t="s" s="78">
        <v>458</v>
      </c>
      <c r="J69" s="79"/>
      <c r="K69" t="s" s="78">
        <v>463</v>
      </c>
      <c r="L69" t="s" s="78">
        <v>464</v>
      </c>
      <c r="M69" t="s" s="78">
        <v>465</v>
      </c>
      <c r="N69" t="s" s="78">
        <v>282</v>
      </c>
      <c r="O69" s="80">
        <v>0</v>
      </c>
      <c r="P69" t="str" s="49">
        <v>Reserva</v>
      </c>
      <c r="Q69" s="81"/>
    </row>
    <row r="70" ht="35.65" customHeight="1">
      <c r="A70" t="s" s="78">
        <v>466</v>
      </c>
      <c r="B70" t="str" s="79" cm="1">
        <f t="array" ref="B70">"5-8|"&amp;F70</f>
        <v>5-8|Biología</v>
      </c>
      <c r="C70" t="s" s="78">
        <v>115</v>
      </c>
      <c r="D70" t="s" s="78">
        <v>248</v>
      </c>
      <c r="E70" t="s" s="78">
        <v>258</v>
      </c>
      <c r="F70" t="s" s="78">
        <v>210</v>
      </c>
      <c r="G70" s="80">
        <v>4</v>
      </c>
      <c r="H70" s="80">
        <v>8</v>
      </c>
      <c r="I70" t="s" s="78">
        <v>453</v>
      </c>
      <c r="J70" s="79"/>
      <c r="K70" t="s" s="78">
        <v>467</v>
      </c>
      <c r="L70" t="s" s="78">
        <v>468</v>
      </c>
      <c r="M70" t="s" s="78">
        <v>469</v>
      </c>
      <c r="N70" t="s" s="78">
        <v>254</v>
      </c>
      <c r="O70" s="80">
        <v>0</v>
      </c>
      <c r="P70" t="str" s="49">
        <v>Reserva</v>
      </c>
      <c r="Q70" s="81"/>
    </row>
    <row r="71" ht="24.65" customHeight="1">
      <c r="A71" t="s" s="78">
        <v>470</v>
      </c>
      <c r="B71" t="str" s="79" cm="1">
        <f t="array" ref="B71">"5-8|"&amp;F71</f>
        <v>5-8|Biología</v>
      </c>
      <c r="C71" t="s" s="78">
        <v>115</v>
      </c>
      <c r="D71" t="s" s="78">
        <v>248</v>
      </c>
      <c r="E71" t="s" s="78">
        <v>258</v>
      </c>
      <c r="F71" t="s" s="78">
        <v>210</v>
      </c>
      <c r="G71" s="80">
        <v>5</v>
      </c>
      <c r="H71" s="80">
        <v>5</v>
      </c>
      <c r="I71" t="s" s="78">
        <v>458</v>
      </c>
      <c r="J71" s="79"/>
      <c r="K71" t="s" s="78">
        <v>471</v>
      </c>
      <c r="L71" t="s" s="78">
        <v>472</v>
      </c>
      <c r="M71" t="s" s="78">
        <v>473</v>
      </c>
      <c r="N71" t="s" s="78">
        <v>282</v>
      </c>
      <c r="O71" s="80">
        <v>0</v>
      </c>
      <c r="P71" t="str" s="49">
        <v>Reserva</v>
      </c>
      <c r="Q71" s="81"/>
    </row>
    <row r="72" ht="35.65" customHeight="1">
      <c r="A72" t="s" s="78">
        <v>474</v>
      </c>
      <c r="B72" t="str" s="79" cm="1">
        <f t="array" ref="B72">"5-8|"&amp;F72</f>
        <v>5-8|Biología</v>
      </c>
      <c r="C72" t="s" s="78">
        <v>115</v>
      </c>
      <c r="D72" t="s" s="78">
        <v>248</v>
      </c>
      <c r="E72" t="s" s="78">
        <v>258</v>
      </c>
      <c r="F72" t="s" s="78">
        <v>210</v>
      </c>
      <c r="G72" s="80">
        <v>6</v>
      </c>
      <c r="H72" s="80">
        <v>5</v>
      </c>
      <c r="I72" t="s" s="78">
        <v>458</v>
      </c>
      <c r="J72" s="79"/>
      <c r="K72" t="s" s="78">
        <v>475</v>
      </c>
      <c r="L72" t="s" s="78">
        <v>476</v>
      </c>
      <c r="M72" t="s" s="78">
        <v>477</v>
      </c>
      <c r="N72" t="s" s="78">
        <v>291</v>
      </c>
      <c r="O72" s="80">
        <v>0</v>
      </c>
      <c r="P72" t="str" s="49">
        <v>Reserva</v>
      </c>
      <c r="Q72" s="81"/>
    </row>
    <row r="73" ht="35.65" customHeight="1">
      <c r="A73" t="s" s="78">
        <v>478</v>
      </c>
      <c r="B73" t="str" s="79" cm="1">
        <f t="array" ref="B73">"5-8|"&amp;F73</f>
        <v>5-8|Ciencias de la Tierra</v>
      </c>
      <c r="C73" t="s" s="78">
        <v>115</v>
      </c>
      <c r="D73" t="s" s="78">
        <v>248</v>
      </c>
      <c r="E73" t="s" s="78">
        <v>258</v>
      </c>
      <c r="F73" t="s" s="78">
        <v>216</v>
      </c>
      <c r="G73" s="80">
        <v>1</v>
      </c>
      <c r="H73" s="80">
        <v>8</v>
      </c>
      <c r="I73" t="s" s="78">
        <v>480</v>
      </c>
      <c r="J73" s="79"/>
      <c r="K73" t="s" s="78">
        <v>481</v>
      </c>
      <c r="L73" t="s" s="78">
        <v>482</v>
      </c>
      <c r="M73" t="s" s="78">
        <v>483</v>
      </c>
      <c r="N73" t="s" s="78">
        <v>254</v>
      </c>
      <c r="O73" s="80">
        <v>0</v>
      </c>
      <c r="P73" t="str" s="49">
        <v>Reserva</v>
      </c>
      <c r="Q73" s="81"/>
    </row>
    <row r="74" ht="24.65" customHeight="1">
      <c r="A74" t="s" s="78">
        <v>484</v>
      </c>
      <c r="B74" t="str" s="79" cm="1">
        <f t="array" ref="B74">"5-8|"&amp;F74</f>
        <v>5-8|Ciencias de la Tierra</v>
      </c>
      <c r="C74" t="s" s="78">
        <v>115</v>
      </c>
      <c r="D74" t="s" s="78">
        <v>248</v>
      </c>
      <c r="E74" t="s" s="78">
        <v>258</v>
      </c>
      <c r="F74" t="s" s="78">
        <v>216</v>
      </c>
      <c r="G74" s="80">
        <v>2</v>
      </c>
      <c r="H74" s="80">
        <v>8</v>
      </c>
      <c r="I74" t="s" s="78">
        <v>485</v>
      </c>
      <c r="J74" s="79"/>
      <c r="K74" t="s" s="78">
        <v>486</v>
      </c>
      <c r="L74" t="s" s="78">
        <v>487</v>
      </c>
      <c r="M74" t="s" s="78">
        <v>488</v>
      </c>
      <c r="N74" t="s" s="78">
        <v>254</v>
      </c>
      <c r="O74" s="80">
        <v>0</v>
      </c>
      <c r="P74" t="str" s="49">
        <v>Reserva</v>
      </c>
      <c r="Q74" s="81"/>
    </row>
    <row r="75" ht="24.65" customHeight="1">
      <c r="A75" t="s" s="78">
        <v>489</v>
      </c>
      <c r="B75" t="str" s="79" cm="1">
        <f t="array" ref="B75">"5-8|"&amp;F75</f>
        <v>5-8|Ciencias de la Tierra</v>
      </c>
      <c r="C75" t="s" s="78">
        <v>115</v>
      </c>
      <c r="D75" t="s" s="78">
        <v>248</v>
      </c>
      <c r="E75" t="s" s="78">
        <v>258</v>
      </c>
      <c r="F75" t="s" s="78">
        <v>216</v>
      </c>
      <c r="G75" s="80">
        <v>3</v>
      </c>
      <c r="H75" s="80">
        <v>8</v>
      </c>
      <c r="I75" t="s" s="78">
        <v>480</v>
      </c>
      <c r="J75" s="79"/>
      <c r="K75" t="s" s="78">
        <v>481</v>
      </c>
      <c r="L75" t="s" s="78">
        <v>490</v>
      </c>
      <c r="M75" t="s" s="78">
        <v>491</v>
      </c>
      <c r="N75" t="s" s="78">
        <v>282</v>
      </c>
      <c r="O75" s="80">
        <v>0</v>
      </c>
      <c r="P75" t="str" s="49">
        <v>Reserva</v>
      </c>
      <c r="Q75" s="81"/>
    </row>
    <row r="76" ht="24.65" customHeight="1">
      <c r="A76" t="s" s="78">
        <v>492</v>
      </c>
      <c r="B76" t="str" s="79" cm="1">
        <f t="array" ref="B76">"5-8|"&amp;F76</f>
        <v>5-8|Ciencias de la Tierra</v>
      </c>
      <c r="C76" t="s" s="78">
        <v>115</v>
      </c>
      <c r="D76" t="s" s="78">
        <v>248</v>
      </c>
      <c r="E76" t="s" s="78">
        <v>258</v>
      </c>
      <c r="F76" t="s" s="78">
        <v>216</v>
      </c>
      <c r="G76" s="80">
        <v>4</v>
      </c>
      <c r="H76" s="80">
        <v>6</v>
      </c>
      <c r="I76" t="s" s="78">
        <v>493</v>
      </c>
      <c r="J76" s="79"/>
      <c r="K76" t="s" s="78">
        <v>494</v>
      </c>
      <c r="L76" t="s" s="78">
        <v>495</v>
      </c>
      <c r="M76" t="s" s="78">
        <v>496</v>
      </c>
      <c r="N76" t="s" s="78">
        <v>254</v>
      </c>
      <c r="O76" s="80">
        <v>0</v>
      </c>
      <c r="P76" t="str" s="49">
        <v>Reserva</v>
      </c>
      <c r="Q76" s="81"/>
    </row>
    <row r="77" ht="24.65" customHeight="1">
      <c r="A77" t="s" s="78">
        <v>497</v>
      </c>
      <c r="B77" t="str" s="79" cm="1">
        <f t="array" ref="B77">"5-8|"&amp;F77</f>
        <v>5-8|Ciencias de la Tierra</v>
      </c>
      <c r="C77" t="s" s="78">
        <v>115</v>
      </c>
      <c r="D77" t="s" s="78">
        <v>248</v>
      </c>
      <c r="E77" t="s" s="78">
        <v>258</v>
      </c>
      <c r="F77" t="s" s="78">
        <v>216</v>
      </c>
      <c r="G77" s="80">
        <v>5</v>
      </c>
      <c r="H77" s="80">
        <v>8</v>
      </c>
      <c r="I77" t="s" s="78">
        <v>480</v>
      </c>
      <c r="J77" s="79"/>
      <c r="K77" t="s" s="78">
        <v>498</v>
      </c>
      <c r="L77" t="s" s="78">
        <v>499</v>
      </c>
      <c r="M77" t="s" s="78">
        <v>500</v>
      </c>
      <c r="N77" t="s" s="78">
        <v>282</v>
      </c>
      <c r="O77" s="80">
        <v>0</v>
      </c>
      <c r="P77" t="str" s="49">
        <v>Reserva</v>
      </c>
      <c r="Q77" s="81"/>
    </row>
    <row r="78" ht="24.65" customHeight="1">
      <c r="A78" t="s" s="78">
        <v>501</v>
      </c>
      <c r="B78" t="str" s="79" cm="1">
        <f t="array" ref="B78">"5-8|"&amp;F78</f>
        <v>5-8|Ciencias de la Tierra</v>
      </c>
      <c r="C78" t="s" s="78">
        <v>115</v>
      </c>
      <c r="D78" t="s" s="78">
        <v>248</v>
      </c>
      <c r="E78" t="s" s="78">
        <v>258</v>
      </c>
      <c r="F78" t="s" s="78">
        <v>216</v>
      </c>
      <c r="G78" s="80">
        <v>6</v>
      </c>
      <c r="H78" s="80">
        <v>6</v>
      </c>
      <c r="I78" t="s" s="78">
        <v>502</v>
      </c>
      <c r="J78" s="79"/>
      <c r="K78" t="s" s="78">
        <v>503</v>
      </c>
      <c r="L78" t="s" s="78">
        <v>504</v>
      </c>
      <c r="M78" t="s" s="78">
        <v>505</v>
      </c>
      <c r="N78" t="s" s="78">
        <v>282</v>
      </c>
      <c r="O78" s="80">
        <v>0</v>
      </c>
      <c r="P78" t="str" s="49">
        <v>Reserva</v>
      </c>
      <c r="Q78" s="81"/>
    </row>
    <row r="79" ht="24.65" customHeight="1">
      <c r="A79" t="s" s="78">
        <v>506</v>
      </c>
      <c r="B79" t="str" s="79" cm="1">
        <f t="array" ref="B79">"5-8|"&amp;F79</f>
        <v>5-8|Ciencias de la Tierra</v>
      </c>
      <c r="C79" t="s" s="78">
        <v>115</v>
      </c>
      <c r="D79" t="s" s="78">
        <v>248</v>
      </c>
      <c r="E79" t="s" s="78">
        <v>258</v>
      </c>
      <c r="F79" t="s" s="78">
        <v>216</v>
      </c>
      <c r="G79" s="80">
        <v>7</v>
      </c>
      <c r="H79" s="80">
        <v>6</v>
      </c>
      <c r="I79" t="s" s="78">
        <v>502</v>
      </c>
      <c r="J79" s="79"/>
      <c r="K79" t="s" s="78">
        <v>507</v>
      </c>
      <c r="L79" t="s" s="78">
        <v>508</v>
      </c>
      <c r="M79" t="s" s="78">
        <v>509</v>
      </c>
      <c r="N79" t="s" s="78">
        <v>291</v>
      </c>
      <c r="O79" s="80">
        <v>0</v>
      </c>
      <c r="P79" t="str" s="49">
        <v>Reserva</v>
      </c>
      <c r="Q79" s="81"/>
    </row>
    <row r="80" ht="24.65" customHeight="1">
      <c r="A80" t="s" s="78">
        <v>510</v>
      </c>
      <c r="B80" t="str" s="79" cm="1">
        <f t="array" ref="B80">"5-8|"&amp;F80</f>
        <v>5-8|Ciencias de la Tierra</v>
      </c>
      <c r="C80" t="s" s="78">
        <v>115</v>
      </c>
      <c r="D80" t="s" s="78">
        <v>248</v>
      </c>
      <c r="E80" t="s" s="78">
        <v>258</v>
      </c>
      <c r="F80" t="s" s="78">
        <v>216</v>
      </c>
      <c r="G80" s="80">
        <v>8</v>
      </c>
      <c r="H80" s="80">
        <v>8</v>
      </c>
      <c r="I80" t="s" s="78">
        <v>511</v>
      </c>
      <c r="J80" s="79"/>
      <c r="K80" t="s" s="78">
        <v>512</v>
      </c>
      <c r="L80" t="s" s="78">
        <v>513</v>
      </c>
      <c r="M80" t="s" s="78">
        <v>514</v>
      </c>
      <c r="N80" t="s" s="78">
        <v>282</v>
      </c>
      <c r="O80" s="80">
        <v>0</v>
      </c>
      <c r="P80" t="str" s="49">
        <v>Reserva</v>
      </c>
      <c r="Q80" s="81"/>
    </row>
    <row r="81" ht="24.65" customHeight="1">
      <c r="A81" t="s" s="78">
        <v>515</v>
      </c>
      <c r="B81" t="str" s="79" cm="1">
        <f t="array" ref="B81">"5-8|"&amp;F81</f>
        <v>5-8|Ciencias de la Tierra</v>
      </c>
      <c r="C81" t="s" s="78">
        <v>115</v>
      </c>
      <c r="D81" t="s" s="78">
        <v>248</v>
      </c>
      <c r="E81" t="s" s="78">
        <v>258</v>
      </c>
      <c r="F81" t="s" s="78">
        <v>216</v>
      </c>
      <c r="G81" s="80">
        <v>9</v>
      </c>
      <c r="H81" s="80">
        <v>6</v>
      </c>
      <c r="I81" t="s" s="78">
        <v>502</v>
      </c>
      <c r="J81" s="79"/>
      <c r="K81" t="s" s="78">
        <v>516</v>
      </c>
      <c r="L81" t="s" s="78">
        <v>517</v>
      </c>
      <c r="M81" t="s" s="78">
        <v>518</v>
      </c>
      <c r="N81" t="s" s="78">
        <v>282</v>
      </c>
      <c r="O81" s="80">
        <v>0</v>
      </c>
      <c r="P81" t="str" s="49">
        <v>Reserva</v>
      </c>
      <c r="Q81" s="81"/>
    </row>
    <row r="82" ht="24.65" customHeight="1">
      <c r="A82" t="s" s="78">
        <v>519</v>
      </c>
      <c r="B82" t="str" s="79" cm="1">
        <f t="array" ref="B82">"5-8|"&amp;F82</f>
        <v>5-8|Ciencias de la Tierra</v>
      </c>
      <c r="C82" t="s" s="78">
        <v>115</v>
      </c>
      <c r="D82" t="s" s="78">
        <v>248</v>
      </c>
      <c r="E82" t="s" s="78">
        <v>258</v>
      </c>
      <c r="F82" t="s" s="78">
        <v>216</v>
      </c>
      <c r="G82" s="80">
        <v>10</v>
      </c>
      <c r="H82" s="80">
        <v>6</v>
      </c>
      <c r="I82" t="s" s="78">
        <v>502</v>
      </c>
      <c r="J82" s="79"/>
      <c r="K82" t="s" s="78">
        <v>520</v>
      </c>
      <c r="L82" t="s" s="78">
        <v>521</v>
      </c>
      <c r="M82" t="s" s="78">
        <v>522</v>
      </c>
      <c r="N82" t="s" s="78">
        <v>282</v>
      </c>
      <c r="O82" s="80">
        <v>0</v>
      </c>
      <c r="P82" t="str" s="49">
        <v>Reserva</v>
      </c>
      <c r="Q82" s="81"/>
    </row>
    <row r="83" ht="24.65" customHeight="1">
      <c r="A83" t="s" s="78">
        <v>523</v>
      </c>
      <c r="B83" t="str" s="79" cm="1">
        <f t="array" ref="B83">"5-8|"&amp;F83</f>
        <v>5-8|Ciencias de la Tierra</v>
      </c>
      <c r="C83" t="s" s="78">
        <v>115</v>
      </c>
      <c r="D83" t="s" s="78">
        <v>248</v>
      </c>
      <c r="E83" t="s" s="78">
        <v>258</v>
      </c>
      <c r="F83" t="s" s="78">
        <v>216</v>
      </c>
      <c r="G83" s="80">
        <v>11</v>
      </c>
      <c r="H83" s="80">
        <v>8</v>
      </c>
      <c r="I83" t="s" s="78">
        <v>485</v>
      </c>
      <c r="J83" s="79"/>
      <c r="K83" t="s" s="78">
        <v>524</v>
      </c>
      <c r="L83" t="s" s="78">
        <v>525</v>
      </c>
      <c r="M83" t="s" s="78">
        <v>526</v>
      </c>
      <c r="N83" t="s" s="78">
        <v>282</v>
      </c>
      <c r="O83" s="80">
        <v>0</v>
      </c>
      <c r="P83" t="str" s="49">
        <v>Reserva</v>
      </c>
      <c r="Q83" s="81"/>
    </row>
    <row r="84" ht="24.65" customHeight="1">
      <c r="A84" t="s" s="78">
        <v>527</v>
      </c>
      <c r="B84" t="str" s="79" cm="1">
        <f t="array" ref="B84">"5-8|"&amp;F84</f>
        <v>5-8|Física</v>
      </c>
      <c r="C84" t="s" s="78">
        <v>115</v>
      </c>
      <c r="D84" t="s" s="78">
        <v>248</v>
      </c>
      <c r="E84" t="s" s="78">
        <v>249</v>
      </c>
      <c r="F84" t="s" s="78">
        <v>222</v>
      </c>
      <c r="G84" s="80">
        <v>1</v>
      </c>
      <c r="H84" s="80">
        <v>7</v>
      </c>
      <c r="I84" t="s" s="78">
        <v>529</v>
      </c>
      <c r="J84" s="79"/>
      <c r="K84" t="s" s="78">
        <v>530</v>
      </c>
      <c r="L84" t="s" s="78">
        <v>531</v>
      </c>
      <c r="M84" t="s" s="78">
        <v>532</v>
      </c>
      <c r="N84" t="s" s="78">
        <v>282</v>
      </c>
      <c r="O84" s="80">
        <v>0</v>
      </c>
      <c r="P84" t="str" s="49">
        <v>Sí (cobertura)</v>
      </c>
      <c r="Q84" s="81"/>
    </row>
    <row r="85" ht="46.65" customHeight="1">
      <c r="A85" t="s" s="78">
        <v>533</v>
      </c>
      <c r="B85" t="str" s="79" cm="1">
        <f t="array" ref="B85">"5-8|"&amp;F85</f>
        <v>5-8|Física</v>
      </c>
      <c r="C85" t="s" s="78">
        <v>115</v>
      </c>
      <c r="D85" t="s" s="78">
        <v>343</v>
      </c>
      <c r="E85" s="79"/>
      <c r="F85" t="s" s="78">
        <v>222</v>
      </c>
      <c r="G85" s="80">
        <v>1</v>
      </c>
      <c r="H85" s="80">
        <v>8</v>
      </c>
      <c r="I85" t="s" s="78">
        <v>480</v>
      </c>
      <c r="J85" t="s" s="78">
        <v>534</v>
      </c>
      <c r="K85" t="s" s="78">
        <v>535</v>
      </c>
      <c r="L85" t="s" s="78">
        <v>536</v>
      </c>
      <c r="M85" t="s" s="78">
        <v>537</v>
      </c>
      <c r="N85" t="s" s="78">
        <v>254</v>
      </c>
      <c r="O85" s="80">
        <v>1</v>
      </c>
      <c r="P85" t="str" s="49">
        <v>Sí</v>
      </c>
      <c r="Q85" s="81"/>
    </row>
    <row r="86" ht="46.65" customHeight="1">
      <c r="A86" t="s" s="78">
        <v>538</v>
      </c>
      <c r="B86" t="str" s="79" cm="1">
        <f t="array" ref="B86">"5-8|"&amp;F86</f>
        <v>5-8|Física</v>
      </c>
      <c r="C86" t="s" s="78">
        <v>115</v>
      </c>
      <c r="D86" t="s" s="78">
        <v>343</v>
      </c>
      <c r="E86" s="79"/>
      <c r="F86" t="s" s="78">
        <v>222</v>
      </c>
      <c r="G86" s="80">
        <v>2</v>
      </c>
      <c r="H86" s="80">
        <v>8</v>
      </c>
      <c r="I86" t="s" s="78">
        <v>511</v>
      </c>
      <c r="J86" t="s" s="78">
        <v>539</v>
      </c>
      <c r="K86" t="s" s="78">
        <v>540</v>
      </c>
      <c r="L86" t="s" s="78">
        <v>541</v>
      </c>
      <c r="M86" t="s" s="78">
        <v>542</v>
      </c>
      <c r="N86" t="s" s="78">
        <v>254</v>
      </c>
      <c r="O86" s="80">
        <v>1</v>
      </c>
      <c r="P86" t="str" s="49">
        <v>Reserva</v>
      </c>
      <c r="Q86" s="81"/>
    </row>
    <row r="87" ht="46.65" customHeight="1">
      <c r="A87" t="s" s="78">
        <v>543</v>
      </c>
      <c r="B87" t="str" s="79" cm="1">
        <f t="array" ref="B87">"5-8|"&amp;F87</f>
        <v>5-8|Física</v>
      </c>
      <c r="C87" t="s" s="78">
        <v>115</v>
      </c>
      <c r="D87" t="s" s="78">
        <v>343</v>
      </c>
      <c r="E87" s="79"/>
      <c r="F87" t="s" s="78">
        <v>222</v>
      </c>
      <c r="G87" s="80">
        <v>3</v>
      </c>
      <c r="H87" s="80">
        <v>8</v>
      </c>
      <c r="I87" t="s" s="78">
        <v>511</v>
      </c>
      <c r="J87" t="s" s="78">
        <v>544</v>
      </c>
      <c r="K87" t="s" s="78">
        <v>545</v>
      </c>
      <c r="L87" t="s" s="78">
        <v>546</v>
      </c>
      <c r="M87" t="s" s="78">
        <v>547</v>
      </c>
      <c r="N87" t="s" s="78">
        <v>254</v>
      </c>
      <c r="O87" s="80">
        <v>1</v>
      </c>
      <c r="P87" t="str" s="49">
        <v>Reserva</v>
      </c>
      <c r="Q87" s="81"/>
    </row>
    <row r="88" ht="46.65" customHeight="1">
      <c r="A88" t="s" s="78">
        <v>548</v>
      </c>
      <c r="B88" t="str" s="79" cm="1">
        <f t="array" ref="B88">"5-8|"&amp;F88</f>
        <v>5-8|Física</v>
      </c>
      <c r="C88" t="s" s="78">
        <v>115</v>
      </c>
      <c r="D88" t="s" s="78">
        <v>343</v>
      </c>
      <c r="E88" s="79"/>
      <c r="F88" t="s" s="78">
        <v>222</v>
      </c>
      <c r="G88" s="80">
        <v>4</v>
      </c>
      <c r="H88" s="80">
        <v>8</v>
      </c>
      <c r="I88" t="s" s="78">
        <v>511</v>
      </c>
      <c r="J88" t="s" s="78">
        <v>549</v>
      </c>
      <c r="K88" t="s" s="78">
        <v>540</v>
      </c>
      <c r="L88" t="s" s="78">
        <v>550</v>
      </c>
      <c r="M88" t="s" s="78">
        <v>551</v>
      </c>
      <c r="N88" t="s" s="78">
        <v>254</v>
      </c>
      <c r="O88" s="80">
        <v>1</v>
      </c>
      <c r="P88" t="str" s="49">
        <v>Reserva</v>
      </c>
      <c r="Q88" s="81"/>
    </row>
    <row r="89" ht="24.65" customHeight="1">
      <c r="A89" t="s" s="78">
        <v>552</v>
      </c>
      <c r="B89" t="str" s="79" cm="1">
        <f t="array" ref="B89">"5-8|"&amp;F89</f>
        <v>5-8|Física</v>
      </c>
      <c r="C89" t="s" s="78">
        <v>115</v>
      </c>
      <c r="D89" t="s" s="78">
        <v>343</v>
      </c>
      <c r="E89" s="79"/>
      <c r="F89" t="s" s="78">
        <v>222</v>
      </c>
      <c r="G89" s="80">
        <v>5</v>
      </c>
      <c r="H89" s="80">
        <v>6</v>
      </c>
      <c r="I89" t="s" s="78">
        <v>493</v>
      </c>
      <c r="J89" t="s" s="78">
        <v>553</v>
      </c>
      <c r="K89" t="s" s="78">
        <v>554</v>
      </c>
      <c r="L89" t="s" s="78">
        <v>555</v>
      </c>
      <c r="M89" t="s" s="78">
        <v>556</v>
      </c>
      <c r="N89" t="s" s="78">
        <v>254</v>
      </c>
      <c r="O89" s="80">
        <v>1</v>
      </c>
      <c r="P89" t="str" s="49">
        <v>Reserva</v>
      </c>
      <c r="Q89" s="81"/>
    </row>
    <row r="90" ht="24.65" customHeight="1">
      <c r="A90" t="s" s="78">
        <v>557</v>
      </c>
      <c r="B90" t="str" s="79" cm="1">
        <f t="array" ref="B90">"5-8|"&amp;F90</f>
        <v>5-8|Física</v>
      </c>
      <c r="C90" t="s" s="78">
        <v>115</v>
      </c>
      <c r="D90" t="s" s="78">
        <v>343</v>
      </c>
      <c r="E90" s="79"/>
      <c r="F90" t="s" s="78">
        <v>222</v>
      </c>
      <c r="G90" s="80">
        <v>6</v>
      </c>
      <c r="H90" s="80">
        <v>6</v>
      </c>
      <c r="I90" t="s" s="78">
        <v>493</v>
      </c>
      <c r="J90" t="s" s="78">
        <v>558</v>
      </c>
      <c r="K90" t="s" s="78">
        <v>535</v>
      </c>
      <c r="L90" t="s" s="78">
        <v>559</v>
      </c>
      <c r="M90" t="s" s="78">
        <v>560</v>
      </c>
      <c r="N90" t="s" s="78">
        <v>254</v>
      </c>
      <c r="O90" s="80">
        <v>1</v>
      </c>
      <c r="P90" t="str" s="49">
        <v>Reserva</v>
      </c>
      <c r="Q90" s="81"/>
    </row>
    <row r="91" ht="46.65" customHeight="1">
      <c r="A91" t="s" s="78">
        <v>561</v>
      </c>
      <c r="B91" t="str" s="79" cm="1">
        <f t="array" ref="B91">"5-8|"&amp;F91</f>
        <v>5-8|Física</v>
      </c>
      <c r="C91" t="s" s="78">
        <v>115</v>
      </c>
      <c r="D91" t="s" s="78">
        <v>343</v>
      </c>
      <c r="E91" s="79"/>
      <c r="F91" t="s" s="78">
        <v>222</v>
      </c>
      <c r="G91" s="80">
        <v>7</v>
      </c>
      <c r="H91" s="80">
        <v>6</v>
      </c>
      <c r="I91" t="s" s="78">
        <v>562</v>
      </c>
      <c r="J91" t="s" s="78">
        <v>563</v>
      </c>
      <c r="K91" t="s" s="78">
        <v>564</v>
      </c>
      <c r="L91" t="s" s="78">
        <v>565</v>
      </c>
      <c r="M91" t="s" s="78">
        <v>566</v>
      </c>
      <c r="N91" t="s" s="78">
        <v>254</v>
      </c>
      <c r="O91" s="80">
        <v>1</v>
      </c>
      <c r="P91" t="str" s="49">
        <v>Reserva</v>
      </c>
      <c r="Q91" s="81"/>
    </row>
    <row r="92" ht="46.65" customHeight="1">
      <c r="A92" t="s" s="78">
        <v>567</v>
      </c>
      <c r="B92" t="str" s="79" cm="1">
        <f t="array" ref="B92">"5-8|"&amp;F92</f>
        <v>5-8|Física</v>
      </c>
      <c r="C92" t="s" s="78">
        <v>115</v>
      </c>
      <c r="D92" t="s" s="78">
        <v>343</v>
      </c>
      <c r="E92" s="79"/>
      <c r="F92" t="s" s="78">
        <v>222</v>
      </c>
      <c r="G92" s="80">
        <v>8</v>
      </c>
      <c r="H92" s="80">
        <v>8</v>
      </c>
      <c r="I92" t="s" s="78">
        <v>511</v>
      </c>
      <c r="J92" t="s" s="78">
        <v>568</v>
      </c>
      <c r="K92" t="s" s="78">
        <v>569</v>
      </c>
      <c r="L92" t="s" s="78">
        <v>570</v>
      </c>
      <c r="M92" t="s" s="78">
        <v>571</v>
      </c>
      <c r="N92" t="s" s="78">
        <v>254</v>
      </c>
      <c r="O92" s="80">
        <v>1</v>
      </c>
      <c r="P92" t="str" s="49">
        <v>Reserva</v>
      </c>
      <c r="Q92" s="81"/>
    </row>
    <row r="93" ht="46.65" customHeight="1">
      <c r="A93" t="s" s="78">
        <v>572</v>
      </c>
      <c r="B93" t="str" s="79" cm="1">
        <f t="array" ref="B93">"5-8|"&amp;F93</f>
        <v>5-8|Física</v>
      </c>
      <c r="C93" t="s" s="78">
        <v>115</v>
      </c>
      <c r="D93" t="s" s="78">
        <v>343</v>
      </c>
      <c r="E93" s="79"/>
      <c r="F93" t="s" s="78">
        <v>222</v>
      </c>
      <c r="G93" s="80">
        <v>9</v>
      </c>
      <c r="H93" s="80">
        <v>8</v>
      </c>
      <c r="I93" t="s" s="78">
        <v>573</v>
      </c>
      <c r="J93" t="s" s="78">
        <v>574</v>
      </c>
      <c r="K93" t="s" s="78">
        <v>575</v>
      </c>
      <c r="L93" t="s" s="78">
        <v>576</v>
      </c>
      <c r="M93" t="s" s="78">
        <v>577</v>
      </c>
      <c r="N93" t="s" s="78">
        <v>282</v>
      </c>
      <c r="O93" s="80">
        <v>1</v>
      </c>
      <c r="P93" t="str" s="49">
        <v>Reserva</v>
      </c>
      <c r="Q93" s="81"/>
    </row>
    <row r="94" ht="46.65" customHeight="1">
      <c r="A94" t="s" s="78">
        <v>578</v>
      </c>
      <c r="B94" t="str" s="79" cm="1">
        <f t="array" ref="B94">"5-8|"&amp;F94</f>
        <v>5-8|Física</v>
      </c>
      <c r="C94" t="s" s="78">
        <v>115</v>
      </c>
      <c r="D94" t="s" s="78">
        <v>343</v>
      </c>
      <c r="E94" s="79"/>
      <c r="F94" t="s" s="78">
        <v>222</v>
      </c>
      <c r="G94" s="80">
        <v>10</v>
      </c>
      <c r="H94" s="80">
        <v>8</v>
      </c>
      <c r="I94" t="s" s="78">
        <v>573</v>
      </c>
      <c r="J94" t="s" s="78">
        <v>579</v>
      </c>
      <c r="K94" t="s" s="78">
        <v>575</v>
      </c>
      <c r="L94" t="s" s="78">
        <v>580</v>
      </c>
      <c r="M94" t="s" s="78">
        <v>581</v>
      </c>
      <c r="N94" t="s" s="78">
        <v>282</v>
      </c>
      <c r="O94" s="80">
        <v>1</v>
      </c>
      <c r="P94" t="str" s="49">
        <v>Reserva</v>
      </c>
      <c r="Q94" s="81"/>
    </row>
    <row r="95" ht="46.65" customHeight="1">
      <c r="A95" t="s" s="78">
        <v>582</v>
      </c>
      <c r="B95" t="str" s="79" cm="1">
        <f t="array" ref="B95">"5-8|"&amp;F95</f>
        <v>5-8|Física</v>
      </c>
      <c r="C95" t="s" s="78">
        <v>115</v>
      </c>
      <c r="D95" t="s" s="78">
        <v>343</v>
      </c>
      <c r="E95" s="79"/>
      <c r="F95" t="s" s="78">
        <v>222</v>
      </c>
      <c r="G95" s="80">
        <v>11</v>
      </c>
      <c r="H95" s="80">
        <v>8</v>
      </c>
      <c r="I95" t="s" s="78">
        <v>511</v>
      </c>
      <c r="J95" t="s" s="78">
        <v>583</v>
      </c>
      <c r="K95" t="s" s="78">
        <v>575</v>
      </c>
      <c r="L95" t="s" s="78">
        <v>584</v>
      </c>
      <c r="M95" t="s" s="78">
        <v>585</v>
      </c>
      <c r="N95" t="s" s="78">
        <v>282</v>
      </c>
      <c r="O95" s="80">
        <v>1</v>
      </c>
      <c r="P95" t="str" s="49">
        <v>Reserva</v>
      </c>
      <c r="Q95" s="81"/>
    </row>
    <row r="96" ht="46.65" customHeight="1">
      <c r="A96" t="s" s="78">
        <v>586</v>
      </c>
      <c r="B96" t="str" s="79" cm="1">
        <f t="array" ref="B96">"5-8|"&amp;F96</f>
        <v>5-8|Física</v>
      </c>
      <c r="C96" t="s" s="78">
        <v>115</v>
      </c>
      <c r="D96" t="s" s="78">
        <v>343</v>
      </c>
      <c r="E96" s="79"/>
      <c r="F96" t="s" s="78">
        <v>222</v>
      </c>
      <c r="G96" s="80">
        <v>12</v>
      </c>
      <c r="H96" s="80">
        <v>8</v>
      </c>
      <c r="I96" t="s" s="78">
        <v>480</v>
      </c>
      <c r="J96" t="s" s="78">
        <v>587</v>
      </c>
      <c r="K96" t="s" s="78">
        <v>588</v>
      </c>
      <c r="L96" t="s" s="78">
        <v>589</v>
      </c>
      <c r="M96" t="s" s="78">
        <v>590</v>
      </c>
      <c r="N96" t="s" s="78">
        <v>254</v>
      </c>
      <c r="O96" s="80">
        <v>1</v>
      </c>
      <c r="P96" t="str" s="49">
        <v>Reserva</v>
      </c>
      <c r="Q96" s="81"/>
    </row>
    <row r="97" ht="46.65" customHeight="1">
      <c r="A97" t="s" s="78">
        <v>591</v>
      </c>
      <c r="B97" t="str" s="79" cm="1">
        <f t="array" ref="B97">"5-8|"&amp;F97</f>
        <v>5-8|Química</v>
      </c>
      <c r="C97" t="s" s="78">
        <v>115</v>
      </c>
      <c r="D97" t="s" s="78">
        <v>343</v>
      </c>
      <c r="E97" s="79"/>
      <c r="F97" t="s" s="78">
        <v>220</v>
      </c>
      <c r="G97" s="80">
        <v>1</v>
      </c>
      <c r="H97" s="80">
        <v>8</v>
      </c>
      <c r="I97" t="s" s="78">
        <v>593</v>
      </c>
      <c r="J97" t="s" s="78">
        <v>594</v>
      </c>
      <c r="K97" t="s" s="78">
        <v>595</v>
      </c>
      <c r="L97" t="s" s="78">
        <v>596</v>
      </c>
      <c r="M97" t="s" s="78">
        <v>597</v>
      </c>
      <c r="N97" t="s" s="78">
        <v>254</v>
      </c>
      <c r="O97" s="80">
        <v>1</v>
      </c>
      <c r="P97" t="str" s="49">
        <v>Reserva</v>
      </c>
      <c r="Q97" s="81"/>
    </row>
    <row r="98" ht="46.65" customHeight="1">
      <c r="A98" t="s" s="78">
        <v>598</v>
      </c>
      <c r="B98" t="str" s="79" cm="1">
        <f t="array" ref="B98">"5-8|"&amp;F98</f>
        <v>5-8|Química</v>
      </c>
      <c r="C98" t="s" s="78">
        <v>115</v>
      </c>
      <c r="D98" t="s" s="78">
        <v>343</v>
      </c>
      <c r="E98" s="79"/>
      <c r="F98" t="s" s="78">
        <v>220</v>
      </c>
      <c r="G98" s="80">
        <v>2</v>
      </c>
      <c r="H98" s="80">
        <v>5</v>
      </c>
      <c r="I98" t="s" s="78">
        <v>599</v>
      </c>
      <c r="J98" t="s" s="78">
        <v>600</v>
      </c>
      <c r="K98" t="s" s="78">
        <v>601</v>
      </c>
      <c r="L98" t="s" s="78">
        <v>602</v>
      </c>
      <c r="M98" t="s" s="78">
        <v>603</v>
      </c>
      <c r="N98" t="s" s="78">
        <v>254</v>
      </c>
      <c r="O98" s="80">
        <v>1</v>
      </c>
      <c r="P98" t="str" s="49">
        <v>Reserva</v>
      </c>
      <c r="Q98" s="81"/>
    </row>
    <row r="99" ht="46.65" customHeight="1">
      <c r="A99" t="s" s="78">
        <v>604</v>
      </c>
      <c r="B99" t="str" s="79" cm="1">
        <f t="array" ref="B99">"5-8|"&amp;F99</f>
        <v>5-8|Química</v>
      </c>
      <c r="C99" t="s" s="78">
        <v>115</v>
      </c>
      <c r="D99" t="s" s="78">
        <v>343</v>
      </c>
      <c r="E99" s="79"/>
      <c r="F99" t="s" s="78">
        <v>220</v>
      </c>
      <c r="G99" s="80">
        <v>3</v>
      </c>
      <c r="H99" s="80">
        <v>8</v>
      </c>
      <c r="I99" t="s" s="78">
        <v>593</v>
      </c>
      <c r="J99" t="s" s="78">
        <v>605</v>
      </c>
      <c r="K99" t="s" s="78">
        <v>606</v>
      </c>
      <c r="L99" t="s" s="78">
        <v>607</v>
      </c>
      <c r="M99" t="s" s="78">
        <v>608</v>
      </c>
      <c r="N99" t="s" s="78">
        <v>254</v>
      </c>
      <c r="O99" s="80">
        <v>1</v>
      </c>
      <c r="P99" t="str" s="49">
        <v>Reserva</v>
      </c>
      <c r="Q99" s="81"/>
    </row>
    <row r="100" ht="35.65" customHeight="1">
      <c r="A100" t="s" s="78">
        <v>609</v>
      </c>
      <c r="B100" t="str" s="79" cm="1">
        <f t="array" ref="B100">"5-8|"&amp;F100</f>
        <v>5-8|Química</v>
      </c>
      <c r="C100" t="s" s="78">
        <v>115</v>
      </c>
      <c r="D100" t="s" s="78">
        <v>343</v>
      </c>
      <c r="E100" s="79"/>
      <c r="F100" t="s" s="78">
        <v>220</v>
      </c>
      <c r="G100" s="80">
        <v>4</v>
      </c>
      <c r="H100" s="80">
        <v>5</v>
      </c>
      <c r="I100" t="s" s="78">
        <v>599</v>
      </c>
      <c r="J100" t="s" s="78">
        <v>610</v>
      </c>
      <c r="K100" t="s" s="78">
        <v>601</v>
      </c>
      <c r="L100" t="s" s="78">
        <v>611</v>
      </c>
      <c r="M100" t="s" s="78">
        <v>612</v>
      </c>
      <c r="N100" t="s" s="78">
        <v>254</v>
      </c>
      <c r="O100" s="80">
        <v>1</v>
      </c>
      <c r="P100" t="str" s="49">
        <v>Reserva</v>
      </c>
      <c r="Q100" s="81"/>
    </row>
    <row r="101" ht="46.65" customHeight="1">
      <c r="A101" t="s" s="78">
        <v>613</v>
      </c>
      <c r="B101" t="str" s="79" cm="1">
        <f t="array" ref="B101">"5-8|"&amp;F101</f>
        <v>5-8|Química</v>
      </c>
      <c r="C101" t="s" s="78">
        <v>115</v>
      </c>
      <c r="D101" t="s" s="78">
        <v>343</v>
      </c>
      <c r="E101" s="79"/>
      <c r="F101" t="s" s="78">
        <v>220</v>
      </c>
      <c r="G101" s="80">
        <v>5</v>
      </c>
      <c r="H101" s="80">
        <v>8</v>
      </c>
      <c r="I101" t="s" s="78">
        <v>593</v>
      </c>
      <c r="J101" t="s" s="78">
        <v>614</v>
      </c>
      <c r="K101" t="s" s="78">
        <v>615</v>
      </c>
      <c r="L101" t="s" s="78">
        <v>616</v>
      </c>
      <c r="M101" t="s" s="78">
        <v>617</v>
      </c>
      <c r="N101" t="s" s="78">
        <v>254</v>
      </c>
      <c r="O101" s="80">
        <v>1</v>
      </c>
      <c r="P101" t="str" s="49">
        <v>Reserva</v>
      </c>
      <c r="Q101" s="81"/>
    </row>
    <row r="102" ht="24.65" customHeight="1">
      <c r="A102" t="s" s="78">
        <v>618</v>
      </c>
      <c r="B102" t="str" s="79" cm="1">
        <f t="array" ref="B102">"5-8|"&amp;F102</f>
        <v>5-8|Química</v>
      </c>
      <c r="C102" t="s" s="78">
        <v>115</v>
      </c>
      <c r="D102" t="s" s="78">
        <v>343</v>
      </c>
      <c r="E102" s="79"/>
      <c r="F102" t="s" s="78">
        <v>220</v>
      </c>
      <c r="G102" s="80">
        <v>6</v>
      </c>
      <c r="H102" s="80">
        <v>5</v>
      </c>
      <c r="I102" t="s" s="78">
        <v>599</v>
      </c>
      <c r="J102" t="s" s="78">
        <v>619</v>
      </c>
      <c r="K102" t="s" s="78">
        <v>601</v>
      </c>
      <c r="L102" t="s" s="78">
        <v>620</v>
      </c>
      <c r="M102" t="s" s="78">
        <v>621</v>
      </c>
      <c r="N102" t="s" s="78">
        <v>282</v>
      </c>
      <c r="O102" s="80">
        <v>1</v>
      </c>
      <c r="P102" t="str" s="49">
        <v>Reserva</v>
      </c>
      <c r="Q102" s="81"/>
    </row>
    <row r="103" ht="35.65" customHeight="1">
      <c r="A103" t="s" s="78">
        <v>622</v>
      </c>
      <c r="B103" t="str" s="79" cm="1">
        <f t="array" ref="B103">"5-8|"&amp;F103</f>
        <v>5-8|Biología</v>
      </c>
      <c r="C103" t="s" s="78">
        <v>115</v>
      </c>
      <c r="D103" t="s" s="78">
        <v>424</v>
      </c>
      <c r="E103" s="79"/>
      <c r="F103" t="s" s="78">
        <v>210</v>
      </c>
      <c r="G103" s="80">
        <v>1</v>
      </c>
      <c r="H103" s="80">
        <v>5</v>
      </c>
      <c r="I103" t="s" s="78">
        <v>458</v>
      </c>
      <c r="J103" t="s" s="78">
        <v>623</v>
      </c>
      <c r="K103" t="s" s="78">
        <v>624</v>
      </c>
      <c r="L103" t="s" s="78">
        <v>625</v>
      </c>
      <c r="M103" t="s" s="78">
        <v>626</v>
      </c>
      <c r="N103" t="s" s="78">
        <v>282</v>
      </c>
      <c r="O103" s="80">
        <v>0</v>
      </c>
      <c r="P103" t="str" s="49">
        <v>Opcional (no cambia el total)</v>
      </c>
      <c r="Q103" s="81"/>
    </row>
    <row r="104" ht="35.65" customHeight="1">
      <c r="A104" t="s" s="78">
        <v>627</v>
      </c>
      <c r="B104" t="str" s="79" cm="1">
        <f t="array" ref="B104">"5-8|"&amp;F104</f>
        <v>5-8|Biología</v>
      </c>
      <c r="C104" t="s" s="78">
        <v>115</v>
      </c>
      <c r="D104" t="s" s="78">
        <v>424</v>
      </c>
      <c r="E104" s="79"/>
      <c r="F104" t="s" s="78">
        <v>210</v>
      </c>
      <c r="G104" s="80">
        <v>2</v>
      </c>
      <c r="H104" s="80">
        <v>5</v>
      </c>
      <c r="I104" t="s" s="78">
        <v>458</v>
      </c>
      <c r="J104" t="s" s="78">
        <v>628</v>
      </c>
      <c r="K104" t="s" s="78">
        <v>629</v>
      </c>
      <c r="L104" t="s" s="78">
        <v>630</v>
      </c>
      <c r="M104" t="s" s="78">
        <v>631</v>
      </c>
      <c r="N104" t="s" s="78">
        <v>282</v>
      </c>
      <c r="O104" s="80">
        <v>0</v>
      </c>
      <c r="P104" t="str" s="49">
        <v>Opcional (no cambia el total)</v>
      </c>
      <c r="Q104" s="81"/>
    </row>
    <row r="105" ht="35.65" customHeight="1">
      <c r="A105" t="s" s="78">
        <v>632</v>
      </c>
      <c r="B105" t="str" s="79" cm="1">
        <f t="array" ref="B105">"5-8|"&amp;F105</f>
        <v>5-8|Biología</v>
      </c>
      <c r="C105" t="s" s="78">
        <v>115</v>
      </c>
      <c r="D105" t="s" s="78">
        <v>424</v>
      </c>
      <c r="E105" s="79"/>
      <c r="F105" t="s" s="78">
        <v>210</v>
      </c>
      <c r="G105" s="80">
        <v>3</v>
      </c>
      <c r="H105" s="80">
        <v>5</v>
      </c>
      <c r="I105" t="s" s="78">
        <v>458</v>
      </c>
      <c r="J105" t="s" s="78">
        <v>633</v>
      </c>
      <c r="K105" t="s" s="78">
        <v>634</v>
      </c>
      <c r="L105" t="s" s="78">
        <v>635</v>
      </c>
      <c r="M105" t="s" s="78">
        <v>636</v>
      </c>
      <c r="N105" t="s" s="78">
        <v>282</v>
      </c>
      <c r="O105" s="80">
        <v>0</v>
      </c>
      <c r="P105" t="str" s="49">
        <v>Opcional (no cambia el total)</v>
      </c>
      <c r="Q105" s="81"/>
    </row>
    <row r="106" ht="35.65" customHeight="1">
      <c r="A106" t="s" s="78">
        <v>637</v>
      </c>
      <c r="B106" t="str" s="79" cm="1">
        <f t="array" ref="B106">"5-8|"&amp;F106</f>
        <v>5-8|Ciencias de la Tierra</v>
      </c>
      <c r="C106" t="s" s="78">
        <v>115</v>
      </c>
      <c r="D106" t="s" s="78">
        <v>424</v>
      </c>
      <c r="E106" s="79"/>
      <c r="F106" t="s" s="78">
        <v>216</v>
      </c>
      <c r="G106" s="80">
        <v>1</v>
      </c>
      <c r="H106" s="80">
        <v>8</v>
      </c>
      <c r="I106" t="s" s="78">
        <v>511</v>
      </c>
      <c r="J106" t="s" s="78">
        <v>638</v>
      </c>
      <c r="K106" t="s" s="78">
        <v>524</v>
      </c>
      <c r="L106" t="s" s="78">
        <v>639</v>
      </c>
      <c r="M106" t="s" s="78">
        <v>640</v>
      </c>
      <c r="N106" t="s" s="78">
        <v>282</v>
      </c>
      <c r="O106" s="80">
        <v>0</v>
      </c>
      <c r="P106" t="str" s="49">
        <v>Opcional (no cambia el total)</v>
      </c>
      <c r="Q106" s="81"/>
    </row>
    <row r="107" ht="35.65" customHeight="1">
      <c r="A107" t="s" s="78">
        <v>641</v>
      </c>
      <c r="B107" t="str" s="79" cm="1">
        <f t="array" ref="B107">"5-8|"&amp;F107</f>
        <v>5-8|Física</v>
      </c>
      <c r="C107" t="s" s="78">
        <v>115</v>
      </c>
      <c r="D107" t="s" s="78">
        <v>424</v>
      </c>
      <c r="E107" s="79"/>
      <c r="F107" t="s" s="78">
        <v>222</v>
      </c>
      <c r="G107" s="80">
        <v>1</v>
      </c>
      <c r="H107" s="80">
        <v>7</v>
      </c>
      <c r="I107" t="s" s="78">
        <v>642</v>
      </c>
      <c r="J107" t="s" s="78">
        <v>643</v>
      </c>
      <c r="K107" t="s" s="78">
        <v>644</v>
      </c>
      <c r="L107" t="s" s="78">
        <v>645</v>
      </c>
      <c r="M107" t="s" s="78">
        <v>646</v>
      </c>
      <c r="N107" t="s" s="78">
        <v>254</v>
      </c>
      <c r="O107" s="80">
        <v>0</v>
      </c>
      <c r="P107" t="str" s="49">
        <v>Opcional (no cambia el total)</v>
      </c>
      <c r="Q107" s="81"/>
    </row>
    <row r="108" ht="35.65" customHeight="1">
      <c r="A108" t="s" s="78">
        <v>647</v>
      </c>
      <c r="B108" t="str" s="79" cm="1">
        <f t="array" ref="B108">"5-8|"&amp;F108</f>
        <v>5-8|Química</v>
      </c>
      <c r="C108" t="s" s="78">
        <v>115</v>
      </c>
      <c r="D108" t="s" s="78">
        <v>424</v>
      </c>
      <c r="E108" s="79"/>
      <c r="F108" t="s" s="78">
        <v>220</v>
      </c>
      <c r="G108" s="80">
        <v>1</v>
      </c>
      <c r="H108" s="80">
        <v>7</v>
      </c>
      <c r="I108" t="s" s="78">
        <v>648</v>
      </c>
      <c r="J108" t="s" s="78">
        <v>649</v>
      </c>
      <c r="K108" t="s" s="78">
        <v>601</v>
      </c>
      <c r="L108" t="s" s="78">
        <v>650</v>
      </c>
      <c r="M108" t="s" s="78">
        <v>651</v>
      </c>
      <c r="N108" t="s" s="78">
        <v>254</v>
      </c>
      <c r="O108" s="80">
        <v>0</v>
      </c>
      <c r="P108" t="str" s="49">
        <v>Opcional (no cambia el total)</v>
      </c>
      <c r="Q108" s="81"/>
    </row>
    <row r="109" ht="46.65" customHeight="1">
      <c r="A109" t="s" s="78">
        <v>652</v>
      </c>
      <c r="B109" t="str" s="79" cm="1">
        <f t="array" ref="B109">"7-9|"&amp;F109</f>
        <v>7-9|Sistemas de la Tierra y el espacio</v>
      </c>
      <c r="C109" t="s" s="78">
        <v>139</v>
      </c>
      <c r="D109" t="s" s="78">
        <v>248</v>
      </c>
      <c r="E109" t="s" s="78">
        <v>258</v>
      </c>
      <c r="F109" t="s" s="78">
        <v>188</v>
      </c>
      <c r="G109" s="80">
        <v>1</v>
      </c>
      <c r="H109" s="80">
        <v>8</v>
      </c>
      <c r="I109" t="s" s="78">
        <v>654</v>
      </c>
      <c r="J109" s="79"/>
      <c r="K109" t="s" s="78">
        <v>655</v>
      </c>
      <c r="L109" t="s" s="78">
        <v>656</v>
      </c>
      <c r="M109" t="s" s="78">
        <v>657</v>
      </c>
      <c r="N109" t="s" s="78">
        <v>254</v>
      </c>
      <c r="O109" s="80">
        <v>0</v>
      </c>
      <c r="P109" t="str" s="49">
        <v>Sí</v>
      </c>
      <c r="Q109" s="81"/>
    </row>
    <row r="110" ht="46.65" customHeight="1">
      <c r="A110" t="s" s="78">
        <v>658</v>
      </c>
      <c r="B110" t="str" s="79" cm="1">
        <f t="array" ref="B110">"7-9|"&amp;F110</f>
        <v>7-9|Sistemas de la Tierra y el espacio</v>
      </c>
      <c r="C110" t="s" s="78">
        <v>139</v>
      </c>
      <c r="D110" t="s" s="78">
        <v>248</v>
      </c>
      <c r="E110" t="s" s="78">
        <v>258</v>
      </c>
      <c r="F110" t="s" s="78">
        <v>188</v>
      </c>
      <c r="G110" s="80">
        <v>2</v>
      </c>
      <c r="H110" s="80">
        <v>8</v>
      </c>
      <c r="I110" t="s" s="78">
        <v>654</v>
      </c>
      <c r="J110" s="79"/>
      <c r="K110" t="s" s="78">
        <v>659</v>
      </c>
      <c r="L110" t="s" s="78">
        <v>660</v>
      </c>
      <c r="M110" t="s" s="78">
        <v>661</v>
      </c>
      <c r="N110" t="s" s="78">
        <v>254</v>
      </c>
      <c r="O110" s="80">
        <v>0</v>
      </c>
      <c r="P110" t="str" s="49">
        <v>Sí</v>
      </c>
      <c r="Q110" s="81"/>
    </row>
    <row r="111" ht="46.65" customHeight="1">
      <c r="A111" t="s" s="78">
        <v>662</v>
      </c>
      <c r="B111" t="str" s="79" cm="1">
        <f t="array" ref="B111">"7-9|"&amp;F111</f>
        <v>7-9|Sistemas de la Tierra y el espacio</v>
      </c>
      <c r="C111" t="s" s="78">
        <v>139</v>
      </c>
      <c r="D111" t="s" s="78">
        <v>248</v>
      </c>
      <c r="E111" t="s" s="78">
        <v>258</v>
      </c>
      <c r="F111" t="s" s="78">
        <v>188</v>
      </c>
      <c r="G111" s="80">
        <v>3</v>
      </c>
      <c r="H111" s="80">
        <v>8</v>
      </c>
      <c r="I111" t="s" s="78">
        <v>654</v>
      </c>
      <c r="J111" s="79"/>
      <c r="K111" t="s" s="78">
        <v>663</v>
      </c>
      <c r="L111" t="s" s="78">
        <v>664</v>
      </c>
      <c r="M111" t="s" s="78">
        <v>665</v>
      </c>
      <c r="N111" t="s" s="78">
        <v>254</v>
      </c>
      <c r="O111" s="80">
        <v>0</v>
      </c>
      <c r="P111" t="str" s="49">
        <v>Sí</v>
      </c>
      <c r="Q111" s="81"/>
    </row>
    <row r="112" ht="46.65" customHeight="1">
      <c r="A112" t="s" s="78">
        <v>666</v>
      </c>
      <c r="B112" t="str" s="79" cm="1">
        <f t="array" ref="B112">"7-9|"&amp;F112</f>
        <v>7-9|Sistemas de la Tierra y el espacio</v>
      </c>
      <c r="C112" t="s" s="78">
        <v>139</v>
      </c>
      <c r="D112" t="s" s="78">
        <v>248</v>
      </c>
      <c r="E112" t="s" s="78">
        <v>258</v>
      </c>
      <c r="F112" t="s" s="78">
        <v>188</v>
      </c>
      <c r="G112" s="80">
        <v>4</v>
      </c>
      <c r="H112" s="80">
        <v>8</v>
      </c>
      <c r="I112" t="s" s="78">
        <v>654</v>
      </c>
      <c r="J112" s="79"/>
      <c r="K112" t="s" s="78">
        <v>667</v>
      </c>
      <c r="L112" t="s" s="78">
        <v>668</v>
      </c>
      <c r="M112" t="s" s="78">
        <v>669</v>
      </c>
      <c r="N112" t="s" s="78">
        <v>254</v>
      </c>
      <c r="O112" s="80">
        <v>0</v>
      </c>
      <c r="P112" t="str" s="49">
        <v>Sí</v>
      </c>
      <c r="Q112" s="81"/>
    </row>
    <row r="113" ht="46.65" customHeight="1">
      <c r="A113" t="s" s="78">
        <v>670</v>
      </c>
      <c r="B113" t="str" s="79" cm="1">
        <f t="array" ref="B113">"7-9|"&amp;F113</f>
        <v>7-9|Sistemas de la Tierra y el espacio</v>
      </c>
      <c r="C113" t="s" s="78">
        <v>139</v>
      </c>
      <c r="D113" t="s" s="78">
        <v>248</v>
      </c>
      <c r="E113" t="s" s="78">
        <v>258</v>
      </c>
      <c r="F113" t="s" s="78">
        <v>188</v>
      </c>
      <c r="G113" s="80">
        <v>5</v>
      </c>
      <c r="H113" s="80">
        <v>8</v>
      </c>
      <c r="I113" t="s" s="78">
        <v>654</v>
      </c>
      <c r="J113" s="79"/>
      <c r="K113" t="s" s="78">
        <v>671</v>
      </c>
      <c r="L113" t="s" s="78">
        <v>672</v>
      </c>
      <c r="M113" t="s" s="78">
        <v>673</v>
      </c>
      <c r="N113" t="s" s="78">
        <v>254</v>
      </c>
      <c r="O113" s="80">
        <v>0</v>
      </c>
      <c r="P113" t="str" s="49">
        <v>Sí</v>
      </c>
      <c r="Q113" s="81"/>
    </row>
    <row r="114" ht="46.65" customHeight="1">
      <c r="A114" t="s" s="78">
        <v>674</v>
      </c>
      <c r="B114" t="str" s="79" cm="1">
        <f t="array" ref="B114">"7-9|"&amp;F114</f>
        <v>7-9|Sistemas de la Tierra y el espacio</v>
      </c>
      <c r="C114" t="s" s="78">
        <v>139</v>
      </c>
      <c r="D114" t="s" s="78">
        <v>248</v>
      </c>
      <c r="E114" t="s" s="78">
        <v>258</v>
      </c>
      <c r="F114" t="s" s="78">
        <v>188</v>
      </c>
      <c r="G114" s="80">
        <v>6</v>
      </c>
      <c r="H114" s="80">
        <v>8</v>
      </c>
      <c r="I114" t="s" s="78">
        <v>654</v>
      </c>
      <c r="J114" s="79"/>
      <c r="K114" t="s" s="78">
        <v>667</v>
      </c>
      <c r="L114" t="s" s="78">
        <v>675</v>
      </c>
      <c r="M114" t="s" s="78">
        <v>676</v>
      </c>
      <c r="N114" t="s" s="78">
        <v>254</v>
      </c>
      <c r="O114" s="80">
        <v>0</v>
      </c>
      <c r="P114" t="str" s="49">
        <v>Sí</v>
      </c>
      <c r="Q114" s="81"/>
    </row>
    <row r="115" ht="46.65" customHeight="1">
      <c r="A115" t="s" s="78">
        <v>677</v>
      </c>
      <c r="B115" t="str" s="79" cm="1">
        <f t="array" ref="B115">"7-9|"&amp;F115</f>
        <v>7-9|Sistemas de la Tierra y el espacio</v>
      </c>
      <c r="C115" t="s" s="78">
        <v>139</v>
      </c>
      <c r="D115" t="s" s="78">
        <v>248</v>
      </c>
      <c r="E115" t="s" s="78">
        <v>258</v>
      </c>
      <c r="F115" t="s" s="78">
        <v>188</v>
      </c>
      <c r="G115" s="80">
        <v>7</v>
      </c>
      <c r="H115" s="80">
        <v>8</v>
      </c>
      <c r="I115" t="s" s="78">
        <v>654</v>
      </c>
      <c r="J115" s="79"/>
      <c r="K115" t="s" s="78">
        <v>678</v>
      </c>
      <c r="L115" t="s" s="78">
        <v>679</v>
      </c>
      <c r="M115" t="s" s="78">
        <v>680</v>
      </c>
      <c r="N115" t="s" s="78">
        <v>254</v>
      </c>
      <c r="O115" s="80">
        <v>0</v>
      </c>
      <c r="P115" t="str" s="49">
        <v>Sí</v>
      </c>
      <c r="Q115" s="81"/>
    </row>
    <row r="116" ht="35.65" customHeight="1">
      <c r="A116" t="s" s="78">
        <v>681</v>
      </c>
      <c r="B116" t="str" s="79" cm="1">
        <f t="array" ref="B116">"7-9|"&amp;F116</f>
        <v>7-9|Sistemas de la Tierra y el espacio</v>
      </c>
      <c r="C116" t="s" s="78">
        <v>139</v>
      </c>
      <c r="D116" t="s" s="78">
        <v>248</v>
      </c>
      <c r="E116" t="s" s="78">
        <v>258</v>
      </c>
      <c r="F116" t="s" s="78">
        <v>188</v>
      </c>
      <c r="G116" s="80">
        <v>8</v>
      </c>
      <c r="H116" s="80">
        <v>8</v>
      </c>
      <c r="I116" t="s" s="78">
        <v>682</v>
      </c>
      <c r="J116" s="79"/>
      <c r="K116" t="s" s="78">
        <v>683</v>
      </c>
      <c r="L116" t="s" s="78">
        <v>684</v>
      </c>
      <c r="M116" t="s" s="78">
        <v>685</v>
      </c>
      <c r="N116" t="s" s="78">
        <v>254</v>
      </c>
      <c r="O116" s="80">
        <v>0</v>
      </c>
      <c r="P116" t="str" s="49">
        <v>Sí</v>
      </c>
      <c r="Q116" s="81"/>
    </row>
    <row r="117" ht="35.65" customHeight="1">
      <c r="A117" t="s" s="78">
        <v>686</v>
      </c>
      <c r="B117" t="str" s="79" cm="1">
        <f t="array" ref="B117">"7-9|"&amp;F117</f>
        <v>7-9|Sistemas de la Tierra y el espacio</v>
      </c>
      <c r="C117" t="s" s="78">
        <v>139</v>
      </c>
      <c r="D117" t="s" s="78">
        <v>248</v>
      </c>
      <c r="E117" t="s" s="78">
        <v>258</v>
      </c>
      <c r="F117" t="s" s="78">
        <v>188</v>
      </c>
      <c r="G117" s="80">
        <v>9</v>
      </c>
      <c r="H117" s="80">
        <v>8</v>
      </c>
      <c r="I117" t="s" s="78">
        <v>682</v>
      </c>
      <c r="J117" s="79"/>
      <c r="K117" t="s" s="78">
        <v>683</v>
      </c>
      <c r="L117" t="s" s="78">
        <v>687</v>
      </c>
      <c r="M117" t="s" s="78">
        <v>688</v>
      </c>
      <c r="N117" t="s" s="78">
        <v>254</v>
      </c>
      <c r="O117" s="80">
        <v>0</v>
      </c>
      <c r="P117" t="str" s="49">
        <v>Sí</v>
      </c>
      <c r="Q117" s="81"/>
    </row>
    <row r="118" ht="35.65" customHeight="1">
      <c r="A118" t="s" s="78">
        <v>689</v>
      </c>
      <c r="B118" t="str" s="79" cm="1">
        <f t="array" ref="B118">"7-9|"&amp;F118</f>
        <v>7-9|Sistemas de la Tierra y el espacio</v>
      </c>
      <c r="C118" t="s" s="78">
        <v>139</v>
      </c>
      <c r="D118" t="s" s="78">
        <v>248</v>
      </c>
      <c r="E118" t="s" s="78">
        <v>258</v>
      </c>
      <c r="F118" t="s" s="78">
        <v>188</v>
      </c>
      <c r="G118" s="80">
        <v>10</v>
      </c>
      <c r="H118" s="80">
        <v>8</v>
      </c>
      <c r="I118" t="s" s="78">
        <v>485</v>
      </c>
      <c r="J118" s="79"/>
      <c r="K118" t="s" s="78">
        <v>690</v>
      </c>
      <c r="L118" t="s" s="78">
        <v>691</v>
      </c>
      <c r="M118" t="s" s="78">
        <v>692</v>
      </c>
      <c r="N118" t="s" s="78">
        <v>254</v>
      </c>
      <c r="O118" s="80">
        <v>0</v>
      </c>
      <c r="P118" t="str" s="49">
        <v>Sí</v>
      </c>
      <c r="Q118" s="81"/>
    </row>
    <row r="119" ht="35.65" customHeight="1">
      <c r="A119" t="s" s="78">
        <v>693</v>
      </c>
      <c r="B119" t="str" s="79" cm="1">
        <f t="array" ref="B119">"7-9|"&amp;F119</f>
        <v>7-9|Sistemas de la Tierra y el espacio</v>
      </c>
      <c r="C119" t="s" s="78">
        <v>139</v>
      </c>
      <c r="D119" t="s" s="78">
        <v>248</v>
      </c>
      <c r="E119" t="s" s="78">
        <v>258</v>
      </c>
      <c r="F119" t="s" s="78">
        <v>188</v>
      </c>
      <c r="G119" s="80">
        <v>11</v>
      </c>
      <c r="H119" s="80">
        <v>8</v>
      </c>
      <c r="I119" t="s" s="78">
        <v>682</v>
      </c>
      <c r="J119" s="79"/>
      <c r="K119" t="s" s="78">
        <v>694</v>
      </c>
      <c r="L119" t="s" s="78">
        <v>695</v>
      </c>
      <c r="M119" t="s" s="78">
        <v>696</v>
      </c>
      <c r="N119" t="s" s="78">
        <v>282</v>
      </c>
      <c r="O119" s="80">
        <v>0</v>
      </c>
      <c r="P119" t="str" s="49">
        <v>Sí</v>
      </c>
      <c r="Q119" s="81"/>
    </row>
    <row r="120" ht="46.65" customHeight="1">
      <c r="A120" t="s" s="78">
        <v>697</v>
      </c>
      <c r="B120" t="str" s="79" cm="1">
        <f t="array" ref="B120">"7-9|"&amp;F120</f>
        <v>7-9|Sistemas de la Tierra y el espacio</v>
      </c>
      <c r="C120" t="s" s="78">
        <v>139</v>
      </c>
      <c r="D120" t="s" s="78">
        <v>248</v>
      </c>
      <c r="E120" t="s" s="78">
        <v>258</v>
      </c>
      <c r="F120" t="s" s="78">
        <v>188</v>
      </c>
      <c r="G120" s="80">
        <v>12</v>
      </c>
      <c r="H120" s="80">
        <v>8</v>
      </c>
      <c r="I120" t="s" s="78">
        <v>654</v>
      </c>
      <c r="J120" s="79"/>
      <c r="K120" t="s" s="78">
        <v>698</v>
      </c>
      <c r="L120" t="s" s="78">
        <v>699</v>
      </c>
      <c r="M120" t="s" s="78">
        <v>700</v>
      </c>
      <c r="N120" t="s" s="78">
        <v>282</v>
      </c>
      <c r="O120" s="80">
        <v>0</v>
      </c>
      <c r="P120" t="str" s="49">
        <v>Sí</v>
      </c>
      <c r="Q120" s="81"/>
    </row>
    <row r="121" ht="57.65" customHeight="1">
      <c r="A121" t="s" s="78">
        <v>701</v>
      </c>
      <c r="B121" t="str" s="79" cm="1">
        <f t="array" ref="B121">"7-9|"&amp;F121</f>
        <v>7-9|Sistemas de la Tierra y el espacio</v>
      </c>
      <c r="C121" t="s" s="78">
        <v>139</v>
      </c>
      <c r="D121" t="s" s="78">
        <v>248</v>
      </c>
      <c r="E121" t="s" s="78">
        <v>258</v>
      </c>
      <c r="F121" t="s" s="78">
        <v>188</v>
      </c>
      <c r="G121" s="80">
        <v>13</v>
      </c>
      <c r="H121" s="80">
        <v>8</v>
      </c>
      <c r="I121" t="s" s="78">
        <v>702</v>
      </c>
      <c r="J121" s="79"/>
      <c r="K121" t="s" s="78">
        <v>703</v>
      </c>
      <c r="L121" t="s" s="78">
        <v>704</v>
      </c>
      <c r="M121" t="s" s="78">
        <v>705</v>
      </c>
      <c r="N121" t="s" s="78">
        <v>254</v>
      </c>
      <c r="O121" s="80">
        <v>0</v>
      </c>
      <c r="P121" t="str" s="49">
        <v>Sí</v>
      </c>
      <c r="Q121" s="81"/>
    </row>
    <row r="122" ht="35.65" customHeight="1">
      <c r="A122" t="s" s="78">
        <v>706</v>
      </c>
      <c r="B122" t="str" s="79" cm="1">
        <f t="array" ref="B122">"7-9|"&amp;F122</f>
        <v>7-9|Sistemas de la Tierra y el espacio</v>
      </c>
      <c r="C122" t="s" s="78">
        <v>139</v>
      </c>
      <c r="D122" t="s" s="78">
        <v>248</v>
      </c>
      <c r="E122" t="s" s="78">
        <v>258</v>
      </c>
      <c r="F122" t="s" s="78">
        <v>188</v>
      </c>
      <c r="G122" s="80">
        <v>14</v>
      </c>
      <c r="H122" s="80">
        <v>9</v>
      </c>
      <c r="I122" t="s" s="78">
        <v>707</v>
      </c>
      <c r="J122" s="79"/>
      <c r="K122" t="s" s="78">
        <v>708</v>
      </c>
      <c r="L122" t="s" s="78">
        <v>709</v>
      </c>
      <c r="M122" t="s" s="78">
        <v>710</v>
      </c>
      <c r="N122" t="s" s="78">
        <v>254</v>
      </c>
      <c r="O122" s="80">
        <v>0</v>
      </c>
      <c r="P122" t="str" s="49">
        <v>Sí</v>
      </c>
      <c r="Q122" s="81"/>
    </row>
    <row r="123" ht="35.65" customHeight="1">
      <c r="A123" t="s" s="78">
        <v>711</v>
      </c>
      <c r="B123" t="str" s="79" cm="1">
        <f t="array" ref="B123">"7-9|"&amp;F123</f>
        <v>7-9|Sistemas de la Tierra y el espacio</v>
      </c>
      <c r="C123" t="s" s="78">
        <v>139</v>
      </c>
      <c r="D123" t="s" s="78">
        <v>248</v>
      </c>
      <c r="E123" t="s" s="78">
        <v>258</v>
      </c>
      <c r="F123" t="s" s="78">
        <v>188</v>
      </c>
      <c r="G123" s="80">
        <v>15</v>
      </c>
      <c r="H123" s="80">
        <v>9</v>
      </c>
      <c r="I123" t="s" s="78">
        <v>712</v>
      </c>
      <c r="J123" s="79"/>
      <c r="K123" t="s" s="78">
        <v>713</v>
      </c>
      <c r="L123" t="s" s="78">
        <v>714</v>
      </c>
      <c r="M123" t="s" s="78">
        <v>715</v>
      </c>
      <c r="N123" t="s" s="78">
        <v>282</v>
      </c>
      <c r="O123" s="80">
        <v>0</v>
      </c>
      <c r="P123" t="str" s="49">
        <v>Sí</v>
      </c>
      <c r="Q123" s="81"/>
    </row>
    <row r="124" ht="57.65" customHeight="1">
      <c r="A124" t="s" s="78">
        <v>716</v>
      </c>
      <c r="B124" t="str" s="79" cm="1">
        <f t="array" ref="B124">"7-9|"&amp;F124</f>
        <v>7-9|Sistemas de la Tierra y el espacio</v>
      </c>
      <c r="C124" t="s" s="78">
        <v>139</v>
      </c>
      <c r="D124" t="s" s="78">
        <v>248</v>
      </c>
      <c r="E124" t="s" s="78">
        <v>258</v>
      </c>
      <c r="F124" t="s" s="78">
        <v>188</v>
      </c>
      <c r="G124" s="80">
        <v>16</v>
      </c>
      <c r="H124" s="80">
        <v>8</v>
      </c>
      <c r="I124" t="s" s="78">
        <v>702</v>
      </c>
      <c r="J124" s="79"/>
      <c r="K124" t="s" s="78">
        <v>717</v>
      </c>
      <c r="L124" t="s" s="78">
        <v>718</v>
      </c>
      <c r="M124" t="s" s="78">
        <v>719</v>
      </c>
      <c r="N124" t="s" s="78">
        <v>282</v>
      </c>
      <c r="O124" s="80">
        <v>0</v>
      </c>
      <c r="P124" t="str" s="49">
        <v>Sí</v>
      </c>
      <c r="Q124" s="81"/>
    </row>
    <row r="125" ht="57.65" customHeight="1">
      <c r="A125" t="s" s="78">
        <v>720</v>
      </c>
      <c r="B125" t="str" s="79" cm="1">
        <f t="array" ref="B125">"7-9|"&amp;F125</f>
        <v>7-9|Sistemas de la Tierra y el espacio</v>
      </c>
      <c r="C125" t="s" s="78">
        <v>139</v>
      </c>
      <c r="D125" t="s" s="78">
        <v>248</v>
      </c>
      <c r="E125" t="s" s="78">
        <v>258</v>
      </c>
      <c r="F125" t="s" s="78">
        <v>188</v>
      </c>
      <c r="G125" s="80">
        <v>17</v>
      </c>
      <c r="H125" s="80">
        <v>8</v>
      </c>
      <c r="I125" t="s" s="78">
        <v>702</v>
      </c>
      <c r="J125" s="79"/>
      <c r="K125" t="s" s="78">
        <v>721</v>
      </c>
      <c r="L125" t="s" s="78">
        <v>722</v>
      </c>
      <c r="M125" t="s" s="78">
        <v>723</v>
      </c>
      <c r="N125" t="s" s="78">
        <v>282</v>
      </c>
      <c r="O125" s="80">
        <v>0</v>
      </c>
      <c r="P125" t="str" s="49">
        <v>Sí</v>
      </c>
      <c r="Q125" s="81"/>
    </row>
    <row r="126" ht="57.65" customHeight="1">
      <c r="A126" t="s" s="78">
        <v>724</v>
      </c>
      <c r="B126" t="str" s="79" cm="1">
        <f t="array" ref="B126">"7-9|"&amp;F126</f>
        <v>7-9|Sistemas de la Tierra y el espacio</v>
      </c>
      <c r="C126" t="s" s="78">
        <v>139</v>
      </c>
      <c r="D126" t="s" s="78">
        <v>248</v>
      </c>
      <c r="E126" t="s" s="78">
        <v>258</v>
      </c>
      <c r="F126" t="s" s="78">
        <v>188</v>
      </c>
      <c r="G126" s="80">
        <v>18</v>
      </c>
      <c r="H126" s="80">
        <v>8</v>
      </c>
      <c r="I126" t="s" s="78">
        <v>702</v>
      </c>
      <c r="J126" s="79"/>
      <c r="K126" t="s" s="78">
        <v>725</v>
      </c>
      <c r="L126" t="s" s="78">
        <v>726</v>
      </c>
      <c r="M126" t="s" s="78">
        <v>727</v>
      </c>
      <c r="N126" t="s" s="78">
        <v>282</v>
      </c>
      <c r="O126" s="80">
        <v>0</v>
      </c>
      <c r="P126" t="str" s="49">
        <v>Reserva</v>
      </c>
      <c r="Q126" s="81"/>
    </row>
    <row r="127" ht="35.65" customHeight="1">
      <c r="A127" t="s" s="78">
        <v>728</v>
      </c>
      <c r="B127" t="str" s="79" cm="1">
        <f t="array" ref="B127">"7-9|"&amp;F127</f>
        <v>7-9|Sistemas de la Tierra y el espacio</v>
      </c>
      <c r="C127" t="s" s="78">
        <v>139</v>
      </c>
      <c r="D127" t="s" s="78">
        <v>248</v>
      </c>
      <c r="E127" t="s" s="78">
        <v>258</v>
      </c>
      <c r="F127" t="s" s="78">
        <v>188</v>
      </c>
      <c r="G127" s="80">
        <v>19</v>
      </c>
      <c r="H127" s="80">
        <v>8</v>
      </c>
      <c r="I127" t="s" s="78">
        <v>485</v>
      </c>
      <c r="J127" s="79"/>
      <c r="K127" t="s" s="78">
        <v>729</v>
      </c>
      <c r="L127" t="s" s="78">
        <v>730</v>
      </c>
      <c r="M127" t="s" s="78">
        <v>731</v>
      </c>
      <c r="N127" t="s" s="78">
        <v>254</v>
      </c>
      <c r="O127" s="80">
        <v>0</v>
      </c>
      <c r="P127" t="str" s="49">
        <v>Reserva</v>
      </c>
      <c r="Q127" s="81"/>
    </row>
    <row r="128" ht="57.65" customHeight="1">
      <c r="A128" t="s" s="78">
        <v>732</v>
      </c>
      <c r="B128" t="str" s="79" cm="1">
        <f t="array" ref="B128">"7-9|"&amp;F128</f>
        <v>7-9|Sistemas de la Tierra y el espacio</v>
      </c>
      <c r="C128" t="s" s="78">
        <v>139</v>
      </c>
      <c r="D128" t="s" s="78">
        <v>248</v>
      </c>
      <c r="E128" t="s" s="78">
        <v>258</v>
      </c>
      <c r="F128" t="s" s="78">
        <v>188</v>
      </c>
      <c r="G128" s="80">
        <v>20</v>
      </c>
      <c r="H128" s="80">
        <v>8</v>
      </c>
      <c r="I128" t="s" s="78">
        <v>702</v>
      </c>
      <c r="J128" s="79"/>
      <c r="K128" t="s" s="78">
        <v>733</v>
      </c>
      <c r="L128" t="s" s="78">
        <v>734</v>
      </c>
      <c r="M128" t="s" s="78">
        <v>735</v>
      </c>
      <c r="N128" t="s" s="78">
        <v>282</v>
      </c>
      <c r="O128" s="80">
        <v>0</v>
      </c>
      <c r="P128" t="str" s="49">
        <v>Reserva</v>
      </c>
      <c r="Q128" s="81"/>
    </row>
    <row r="129" ht="35.65" customHeight="1">
      <c r="A129" t="s" s="78">
        <v>736</v>
      </c>
      <c r="B129" t="str" s="79" cm="1">
        <f t="array" ref="B129">"7-9|"&amp;F129</f>
        <v>7-9|Sistemas de la Tierra y el espacio</v>
      </c>
      <c r="C129" t="s" s="78">
        <v>139</v>
      </c>
      <c r="D129" t="s" s="78">
        <v>248</v>
      </c>
      <c r="E129" t="s" s="78">
        <v>258</v>
      </c>
      <c r="F129" t="s" s="78">
        <v>188</v>
      </c>
      <c r="G129" s="80">
        <v>21</v>
      </c>
      <c r="H129" s="80">
        <v>8</v>
      </c>
      <c r="I129" t="s" s="78">
        <v>485</v>
      </c>
      <c r="J129" s="79"/>
      <c r="K129" t="s" s="78">
        <v>737</v>
      </c>
      <c r="L129" t="s" s="78">
        <v>738</v>
      </c>
      <c r="M129" t="s" s="78">
        <v>739</v>
      </c>
      <c r="N129" t="s" s="78">
        <v>291</v>
      </c>
      <c r="O129" s="80">
        <v>0</v>
      </c>
      <c r="P129" t="str" s="49">
        <v>Reserva</v>
      </c>
      <c r="Q129" s="81"/>
    </row>
    <row r="130" ht="24.65" customHeight="1">
      <c r="A130" t="s" s="78">
        <v>740</v>
      </c>
      <c r="B130" t="str" s="79" cm="1">
        <f t="array" ref="B130">"7-9|"&amp;F130</f>
        <v>7-9|Sistemas vivos</v>
      </c>
      <c r="C130" t="s" s="78">
        <v>139</v>
      </c>
      <c r="D130" t="s" s="78">
        <v>248</v>
      </c>
      <c r="E130" t="s" s="78">
        <v>258</v>
      </c>
      <c r="F130" t="s" s="78">
        <v>187</v>
      </c>
      <c r="G130" s="80">
        <v>1</v>
      </c>
      <c r="H130" s="80">
        <v>9</v>
      </c>
      <c r="I130" t="s" s="78">
        <v>742</v>
      </c>
      <c r="J130" s="79"/>
      <c r="K130" t="s" s="78">
        <v>743</v>
      </c>
      <c r="L130" t="s" s="78">
        <v>744</v>
      </c>
      <c r="M130" t="s" s="78">
        <v>745</v>
      </c>
      <c r="N130" t="s" s="78">
        <v>254</v>
      </c>
      <c r="O130" s="80">
        <v>0</v>
      </c>
      <c r="P130" t="str" s="49">
        <v>Sí</v>
      </c>
      <c r="Q130" s="81"/>
    </row>
    <row r="131" ht="35.65" customHeight="1">
      <c r="A131" t="s" s="78">
        <v>746</v>
      </c>
      <c r="B131" t="str" s="79" cm="1">
        <f t="array" ref="B131">"7-9|"&amp;F131</f>
        <v>7-9|Sistemas vivos</v>
      </c>
      <c r="C131" t="s" s="78">
        <v>139</v>
      </c>
      <c r="D131" t="s" s="78">
        <v>248</v>
      </c>
      <c r="E131" t="s" s="78">
        <v>258</v>
      </c>
      <c r="F131" t="s" s="78">
        <v>187</v>
      </c>
      <c r="G131" s="80">
        <v>2</v>
      </c>
      <c r="H131" s="80">
        <v>9</v>
      </c>
      <c r="I131" t="s" s="78">
        <v>747</v>
      </c>
      <c r="J131" s="79"/>
      <c r="K131" t="s" s="78">
        <v>748</v>
      </c>
      <c r="L131" t="s" s="78">
        <v>749</v>
      </c>
      <c r="M131" t="s" s="78">
        <v>750</v>
      </c>
      <c r="N131" t="s" s="78">
        <v>254</v>
      </c>
      <c r="O131" s="80">
        <v>0</v>
      </c>
      <c r="P131" t="str" s="49">
        <v>Sí</v>
      </c>
      <c r="Q131" s="81"/>
    </row>
    <row r="132" ht="35.65" customHeight="1">
      <c r="A132" t="s" s="78">
        <v>751</v>
      </c>
      <c r="B132" t="str" s="79" cm="1">
        <f t="array" ref="B132">"7-9|"&amp;F132</f>
        <v>7-9|Sistemas vivos</v>
      </c>
      <c r="C132" t="s" s="78">
        <v>139</v>
      </c>
      <c r="D132" t="s" s="78">
        <v>248</v>
      </c>
      <c r="E132" t="s" s="78">
        <v>258</v>
      </c>
      <c r="F132" t="s" s="78">
        <v>187</v>
      </c>
      <c r="G132" s="80">
        <v>3</v>
      </c>
      <c r="H132" s="80">
        <v>9</v>
      </c>
      <c r="I132" t="s" s="78">
        <v>747</v>
      </c>
      <c r="J132" s="79"/>
      <c r="K132" t="s" s="78">
        <v>752</v>
      </c>
      <c r="L132" t="s" s="78">
        <v>753</v>
      </c>
      <c r="M132" t="s" s="78">
        <v>754</v>
      </c>
      <c r="N132" t="s" s="78">
        <v>254</v>
      </c>
      <c r="O132" s="80">
        <v>0</v>
      </c>
      <c r="P132" t="str" s="49">
        <v>Sí</v>
      </c>
      <c r="Q132" s="81"/>
    </row>
    <row r="133" ht="57.65" customHeight="1">
      <c r="A133" t="s" s="78">
        <v>755</v>
      </c>
      <c r="B133" t="str" s="79" cm="1">
        <f t="array" ref="B133">"7-9|"&amp;F133</f>
        <v>7-9|Sistemas vivos</v>
      </c>
      <c r="C133" t="s" s="78">
        <v>139</v>
      </c>
      <c r="D133" t="s" s="78">
        <v>248</v>
      </c>
      <c r="E133" t="s" s="78">
        <v>258</v>
      </c>
      <c r="F133" t="s" s="78">
        <v>187</v>
      </c>
      <c r="G133" s="80">
        <v>4</v>
      </c>
      <c r="H133" s="80">
        <v>9</v>
      </c>
      <c r="I133" t="s" s="78">
        <v>756</v>
      </c>
      <c r="J133" s="79"/>
      <c r="K133" t="s" s="78">
        <v>757</v>
      </c>
      <c r="L133" t="s" s="78">
        <v>758</v>
      </c>
      <c r="M133" t="s" s="78">
        <v>759</v>
      </c>
      <c r="N133" t="s" s="78">
        <v>254</v>
      </c>
      <c r="O133" s="80">
        <v>0</v>
      </c>
      <c r="P133" t="str" s="49">
        <v>Sí</v>
      </c>
      <c r="Q133" s="81"/>
    </row>
    <row r="134" ht="57.65" customHeight="1">
      <c r="A134" t="s" s="78">
        <v>760</v>
      </c>
      <c r="B134" t="str" s="79" cm="1">
        <f t="array" ref="B134">"7-9|"&amp;F134</f>
        <v>7-9|Sistemas vivos</v>
      </c>
      <c r="C134" t="s" s="78">
        <v>139</v>
      </c>
      <c r="D134" t="s" s="78">
        <v>248</v>
      </c>
      <c r="E134" t="s" s="78">
        <v>258</v>
      </c>
      <c r="F134" t="s" s="78">
        <v>187</v>
      </c>
      <c r="G134" s="80">
        <v>5</v>
      </c>
      <c r="H134" s="80">
        <v>9</v>
      </c>
      <c r="I134" t="s" s="78">
        <v>756</v>
      </c>
      <c r="J134" s="79"/>
      <c r="K134" t="s" s="78">
        <v>761</v>
      </c>
      <c r="L134" t="s" s="78">
        <v>762</v>
      </c>
      <c r="M134" t="s" s="78">
        <v>763</v>
      </c>
      <c r="N134" t="s" s="78">
        <v>254</v>
      </c>
      <c r="O134" s="80">
        <v>0</v>
      </c>
      <c r="P134" t="str" s="49">
        <v>Sí</v>
      </c>
      <c r="Q134" s="81"/>
    </row>
    <row r="135" ht="24.65" customHeight="1">
      <c r="A135" t="s" s="78">
        <v>764</v>
      </c>
      <c r="B135" t="str" s="79" cm="1">
        <f t="array" ref="B135">"7-9|"&amp;F135</f>
        <v>7-9|Sistemas vivos</v>
      </c>
      <c r="C135" t="s" s="78">
        <v>139</v>
      </c>
      <c r="D135" t="s" s="78">
        <v>248</v>
      </c>
      <c r="E135" t="s" s="78">
        <v>258</v>
      </c>
      <c r="F135" t="s" s="78">
        <v>187</v>
      </c>
      <c r="G135" s="80">
        <v>6</v>
      </c>
      <c r="H135" s="80">
        <v>9</v>
      </c>
      <c r="I135" t="s" s="78">
        <v>742</v>
      </c>
      <c r="J135" s="79"/>
      <c r="K135" t="s" s="78">
        <v>765</v>
      </c>
      <c r="L135" t="s" s="78">
        <v>766</v>
      </c>
      <c r="M135" t="s" s="78">
        <v>767</v>
      </c>
      <c r="N135" t="s" s="78">
        <v>254</v>
      </c>
      <c r="O135" s="80">
        <v>0</v>
      </c>
      <c r="P135" t="str" s="49">
        <v>Sí</v>
      </c>
      <c r="Q135" s="81"/>
    </row>
    <row r="136" ht="24.65" customHeight="1">
      <c r="A136" t="s" s="78">
        <v>768</v>
      </c>
      <c r="B136" t="str" s="79" cm="1">
        <f t="array" ref="B136">"7-9|"&amp;F136</f>
        <v>7-9|Sistemas vivos</v>
      </c>
      <c r="C136" t="s" s="78">
        <v>139</v>
      </c>
      <c r="D136" t="s" s="78">
        <v>248</v>
      </c>
      <c r="E136" t="s" s="78">
        <v>258</v>
      </c>
      <c r="F136" t="s" s="78">
        <v>187</v>
      </c>
      <c r="G136" s="80">
        <v>7</v>
      </c>
      <c r="H136" s="80">
        <v>9</v>
      </c>
      <c r="I136" t="s" s="78">
        <v>742</v>
      </c>
      <c r="J136" s="79"/>
      <c r="K136" t="s" s="78">
        <v>769</v>
      </c>
      <c r="L136" t="s" s="78">
        <v>770</v>
      </c>
      <c r="M136" t="s" s="78">
        <v>771</v>
      </c>
      <c r="N136" t="s" s="78">
        <v>254</v>
      </c>
      <c r="O136" s="80">
        <v>0</v>
      </c>
      <c r="P136" t="str" s="49">
        <v>Sí</v>
      </c>
      <c r="Q136" s="81"/>
    </row>
    <row r="137" ht="24.65" customHeight="1">
      <c r="A137" t="s" s="78">
        <v>772</v>
      </c>
      <c r="B137" t="str" s="79" cm="1">
        <f t="array" ref="B137">"7-9|"&amp;F137</f>
        <v>7-9|Sistemas vivos</v>
      </c>
      <c r="C137" t="s" s="78">
        <v>139</v>
      </c>
      <c r="D137" t="s" s="78">
        <v>248</v>
      </c>
      <c r="E137" t="s" s="78">
        <v>258</v>
      </c>
      <c r="F137" t="s" s="78">
        <v>187</v>
      </c>
      <c r="G137" s="80">
        <v>8</v>
      </c>
      <c r="H137" s="80">
        <v>9</v>
      </c>
      <c r="I137" t="s" s="78">
        <v>742</v>
      </c>
      <c r="J137" s="79"/>
      <c r="K137" t="s" s="78">
        <v>773</v>
      </c>
      <c r="L137" t="s" s="78">
        <v>774</v>
      </c>
      <c r="M137" t="s" s="78">
        <v>775</v>
      </c>
      <c r="N137" t="s" s="78">
        <v>254</v>
      </c>
      <c r="O137" s="80">
        <v>0</v>
      </c>
      <c r="P137" t="str" s="49">
        <v>Sí</v>
      </c>
      <c r="Q137" s="81"/>
    </row>
    <row r="138" ht="46.65" customHeight="1">
      <c r="A138" t="s" s="78">
        <v>776</v>
      </c>
      <c r="B138" t="str" s="79" cm="1">
        <f t="array" ref="B138">"7-9|"&amp;F138</f>
        <v>7-9|Sistemas vivos</v>
      </c>
      <c r="C138" t="s" s="78">
        <v>139</v>
      </c>
      <c r="D138" t="s" s="78">
        <v>248</v>
      </c>
      <c r="E138" t="s" s="78">
        <v>258</v>
      </c>
      <c r="F138" t="s" s="78">
        <v>187</v>
      </c>
      <c r="G138" s="80">
        <v>9</v>
      </c>
      <c r="H138" s="80">
        <v>9</v>
      </c>
      <c r="I138" t="s" s="78">
        <v>777</v>
      </c>
      <c r="J138" s="79"/>
      <c r="K138" t="s" s="78">
        <v>778</v>
      </c>
      <c r="L138" t="s" s="78">
        <v>779</v>
      </c>
      <c r="M138" t="s" s="78">
        <v>780</v>
      </c>
      <c r="N138" t="s" s="78">
        <v>254</v>
      </c>
      <c r="O138" s="80">
        <v>0</v>
      </c>
      <c r="P138" t="str" s="49">
        <v>Sí</v>
      </c>
      <c r="Q138" s="81"/>
    </row>
    <row r="139" ht="46.65" customHeight="1">
      <c r="A139" t="s" s="78">
        <v>781</v>
      </c>
      <c r="B139" t="str" s="79" cm="1">
        <f t="array" ref="B139">"7-9|"&amp;F139</f>
        <v>7-9|Sistemas vivos</v>
      </c>
      <c r="C139" t="s" s="78">
        <v>139</v>
      </c>
      <c r="D139" t="s" s="78">
        <v>248</v>
      </c>
      <c r="E139" t="s" s="78">
        <v>258</v>
      </c>
      <c r="F139" t="s" s="78">
        <v>187</v>
      </c>
      <c r="G139" s="80">
        <v>10</v>
      </c>
      <c r="H139" s="80">
        <v>9</v>
      </c>
      <c r="I139" t="s" s="78">
        <v>777</v>
      </c>
      <c r="J139" s="79"/>
      <c r="K139" t="s" s="78">
        <v>782</v>
      </c>
      <c r="L139" t="s" s="78">
        <v>783</v>
      </c>
      <c r="M139" t="s" s="78">
        <v>784</v>
      </c>
      <c r="N139" t="s" s="78">
        <v>254</v>
      </c>
      <c r="O139" s="80">
        <v>0</v>
      </c>
      <c r="P139" t="str" s="49">
        <v>Sí</v>
      </c>
      <c r="Q139" s="81"/>
    </row>
    <row r="140" ht="46.65" customHeight="1">
      <c r="A140" t="s" s="78">
        <v>785</v>
      </c>
      <c r="B140" t="str" s="79" cm="1">
        <f t="array" ref="B140">"7-9|"&amp;F140</f>
        <v>7-9|Sistemas vivos</v>
      </c>
      <c r="C140" t="s" s="78">
        <v>139</v>
      </c>
      <c r="D140" t="s" s="78">
        <v>248</v>
      </c>
      <c r="E140" t="s" s="78">
        <v>258</v>
      </c>
      <c r="F140" t="s" s="78">
        <v>187</v>
      </c>
      <c r="G140" s="80">
        <v>11</v>
      </c>
      <c r="H140" s="80">
        <v>9</v>
      </c>
      <c r="I140" t="s" s="78">
        <v>777</v>
      </c>
      <c r="J140" s="79"/>
      <c r="K140" t="s" s="78">
        <v>786</v>
      </c>
      <c r="L140" t="s" s="78">
        <v>787</v>
      </c>
      <c r="M140" t="s" s="78">
        <v>788</v>
      </c>
      <c r="N140" t="s" s="78">
        <v>282</v>
      </c>
      <c r="O140" s="80">
        <v>0</v>
      </c>
      <c r="P140" t="str" s="49">
        <v>Sí</v>
      </c>
      <c r="Q140" s="81"/>
    </row>
    <row r="141" ht="35.65" customHeight="1">
      <c r="A141" t="s" s="78">
        <v>789</v>
      </c>
      <c r="B141" t="str" s="79" cm="1">
        <f t="array" ref="B141">"7-9|"&amp;F141</f>
        <v>7-9|Sistemas vivos</v>
      </c>
      <c r="C141" t="s" s="78">
        <v>139</v>
      </c>
      <c r="D141" t="s" s="78">
        <v>248</v>
      </c>
      <c r="E141" t="s" s="78">
        <v>258</v>
      </c>
      <c r="F141" t="s" s="78">
        <v>187</v>
      </c>
      <c r="G141" s="80">
        <v>12</v>
      </c>
      <c r="H141" s="80">
        <v>9</v>
      </c>
      <c r="I141" t="s" s="78">
        <v>747</v>
      </c>
      <c r="J141" s="79"/>
      <c r="K141" t="s" s="78">
        <v>790</v>
      </c>
      <c r="L141" t="s" s="78">
        <v>791</v>
      </c>
      <c r="M141" t="s" s="78">
        <v>792</v>
      </c>
      <c r="N141" t="s" s="78">
        <v>254</v>
      </c>
      <c r="O141" s="80">
        <v>0</v>
      </c>
      <c r="P141" t="str" s="49">
        <v>Sí</v>
      </c>
      <c r="Q141" s="81"/>
    </row>
    <row r="142" ht="35.65" customHeight="1">
      <c r="A142" t="s" s="78">
        <v>793</v>
      </c>
      <c r="B142" t="str" s="79" cm="1">
        <f t="array" ref="B142">"7-9|"&amp;F142</f>
        <v>7-9|Sistemas vivos</v>
      </c>
      <c r="C142" t="s" s="78">
        <v>139</v>
      </c>
      <c r="D142" t="s" s="78">
        <v>248</v>
      </c>
      <c r="E142" t="s" s="78">
        <v>258</v>
      </c>
      <c r="F142" t="s" s="78">
        <v>187</v>
      </c>
      <c r="G142" s="80">
        <v>13</v>
      </c>
      <c r="H142" s="80">
        <v>9</v>
      </c>
      <c r="I142" t="s" s="78">
        <v>747</v>
      </c>
      <c r="J142" s="79"/>
      <c r="K142" t="s" s="78">
        <v>790</v>
      </c>
      <c r="L142" t="s" s="78">
        <v>794</v>
      </c>
      <c r="M142" t="s" s="78">
        <v>795</v>
      </c>
      <c r="N142" t="s" s="78">
        <v>254</v>
      </c>
      <c r="O142" s="80">
        <v>0</v>
      </c>
      <c r="P142" t="str" s="49">
        <v>Sí</v>
      </c>
      <c r="Q142" s="81"/>
    </row>
    <row r="143" ht="35.65" customHeight="1">
      <c r="A143" t="s" s="78">
        <v>796</v>
      </c>
      <c r="B143" t="str" s="79" cm="1">
        <f t="array" ref="B143">"7-9|"&amp;F143</f>
        <v>7-9|Sistemas vivos</v>
      </c>
      <c r="C143" t="s" s="78">
        <v>139</v>
      </c>
      <c r="D143" t="s" s="78">
        <v>248</v>
      </c>
      <c r="E143" t="s" s="78">
        <v>258</v>
      </c>
      <c r="F143" t="s" s="78">
        <v>187</v>
      </c>
      <c r="G143" s="80">
        <v>14</v>
      </c>
      <c r="H143" s="80">
        <v>9</v>
      </c>
      <c r="I143" t="s" s="78">
        <v>747</v>
      </c>
      <c r="J143" s="79"/>
      <c r="K143" t="s" s="78">
        <v>790</v>
      </c>
      <c r="L143" t="s" s="78">
        <v>797</v>
      </c>
      <c r="M143" t="s" s="78">
        <v>798</v>
      </c>
      <c r="N143" t="s" s="78">
        <v>282</v>
      </c>
      <c r="O143" s="80">
        <v>0</v>
      </c>
      <c r="P143" t="str" s="49">
        <v>Sí</v>
      </c>
      <c r="Q143" s="81"/>
    </row>
    <row r="144" ht="24.65" customHeight="1">
      <c r="A144" t="s" s="78">
        <v>799</v>
      </c>
      <c r="B144" t="str" s="79" cm="1">
        <f t="array" ref="B144">"7-9|"&amp;F144</f>
        <v>7-9|Sistemas vivos</v>
      </c>
      <c r="C144" t="s" s="78">
        <v>139</v>
      </c>
      <c r="D144" t="s" s="78">
        <v>248</v>
      </c>
      <c r="E144" t="s" s="78">
        <v>258</v>
      </c>
      <c r="F144" t="s" s="78">
        <v>187</v>
      </c>
      <c r="G144" s="80">
        <v>15</v>
      </c>
      <c r="H144" s="80">
        <v>9</v>
      </c>
      <c r="I144" t="s" s="78">
        <v>800</v>
      </c>
      <c r="J144" s="79"/>
      <c r="K144" t="s" s="78">
        <v>801</v>
      </c>
      <c r="L144" t="s" s="78">
        <v>802</v>
      </c>
      <c r="M144" t="s" s="78">
        <v>803</v>
      </c>
      <c r="N144" t="s" s="78">
        <v>254</v>
      </c>
      <c r="O144" s="80">
        <v>0</v>
      </c>
      <c r="P144" t="str" s="49">
        <v>Sí</v>
      </c>
      <c r="Q144" s="81"/>
    </row>
    <row r="145" ht="35.65" customHeight="1">
      <c r="A145" t="s" s="78">
        <v>804</v>
      </c>
      <c r="B145" t="str" s="79" cm="1">
        <f t="array" ref="B145">"7-9|"&amp;F145</f>
        <v>7-9|Sistemas vivos</v>
      </c>
      <c r="C145" t="s" s="78">
        <v>139</v>
      </c>
      <c r="D145" t="s" s="78">
        <v>248</v>
      </c>
      <c r="E145" t="s" s="78">
        <v>258</v>
      </c>
      <c r="F145" t="s" s="78">
        <v>187</v>
      </c>
      <c r="G145" s="80">
        <v>16</v>
      </c>
      <c r="H145" s="80">
        <v>9</v>
      </c>
      <c r="I145" t="s" s="78">
        <v>747</v>
      </c>
      <c r="J145" s="79"/>
      <c r="K145" t="s" s="78">
        <v>805</v>
      </c>
      <c r="L145" t="s" s="78">
        <v>806</v>
      </c>
      <c r="M145" t="s" s="78">
        <v>807</v>
      </c>
      <c r="N145" t="s" s="78">
        <v>282</v>
      </c>
      <c r="O145" s="80">
        <v>0</v>
      </c>
      <c r="P145" t="str" s="49">
        <v>Sí</v>
      </c>
      <c r="Q145" s="81"/>
    </row>
    <row r="146" ht="24.65" customHeight="1">
      <c r="A146" t="s" s="78">
        <v>808</v>
      </c>
      <c r="B146" t="str" s="79" cm="1">
        <f t="array" ref="B146">"7-9|"&amp;F146</f>
        <v>7-9|Sistemas vivos</v>
      </c>
      <c r="C146" t="s" s="78">
        <v>139</v>
      </c>
      <c r="D146" t="s" s="78">
        <v>248</v>
      </c>
      <c r="E146" t="s" s="78">
        <v>258</v>
      </c>
      <c r="F146" t="s" s="78">
        <v>187</v>
      </c>
      <c r="G146" s="80">
        <v>17</v>
      </c>
      <c r="H146" s="80">
        <v>9</v>
      </c>
      <c r="I146" t="s" s="78">
        <v>707</v>
      </c>
      <c r="J146" s="79"/>
      <c r="K146" t="s" s="78">
        <v>809</v>
      </c>
      <c r="L146" t="s" s="78">
        <v>810</v>
      </c>
      <c r="M146" t="s" s="78">
        <v>811</v>
      </c>
      <c r="N146" t="s" s="78">
        <v>282</v>
      </c>
      <c r="O146" s="80">
        <v>0</v>
      </c>
      <c r="P146" t="str" s="49">
        <v>Reserva</v>
      </c>
      <c r="Q146" s="81"/>
    </row>
    <row r="147" ht="35.65" customHeight="1">
      <c r="A147" t="s" s="78">
        <v>812</v>
      </c>
      <c r="B147" t="str" s="79" cm="1">
        <f t="array" ref="B147">"7-9|"&amp;F147</f>
        <v>7-9|Sistemas vivos</v>
      </c>
      <c r="C147" t="s" s="78">
        <v>139</v>
      </c>
      <c r="D147" t="s" s="78">
        <v>248</v>
      </c>
      <c r="E147" t="s" s="78">
        <v>258</v>
      </c>
      <c r="F147" t="s" s="78">
        <v>187</v>
      </c>
      <c r="G147" s="80">
        <v>18</v>
      </c>
      <c r="H147" s="80">
        <v>8</v>
      </c>
      <c r="I147" t="s" s="78">
        <v>453</v>
      </c>
      <c r="J147" s="79"/>
      <c r="K147" t="s" s="78">
        <v>790</v>
      </c>
      <c r="L147" t="s" s="78">
        <v>813</v>
      </c>
      <c r="M147" t="s" s="78">
        <v>814</v>
      </c>
      <c r="N147" t="s" s="78">
        <v>254</v>
      </c>
      <c r="O147" s="80">
        <v>0</v>
      </c>
      <c r="P147" t="str" s="49">
        <v>Reserva</v>
      </c>
      <c r="Q147" s="81"/>
    </row>
    <row r="148" ht="35.65" customHeight="1">
      <c r="A148" t="s" s="78">
        <v>815</v>
      </c>
      <c r="B148" t="str" s="79" cm="1">
        <f t="array" ref="B148">"7-9|"&amp;F148</f>
        <v>7-9|Sistemas vivos</v>
      </c>
      <c r="C148" t="s" s="78">
        <v>139</v>
      </c>
      <c r="D148" t="s" s="78">
        <v>248</v>
      </c>
      <c r="E148" t="s" s="78">
        <v>258</v>
      </c>
      <c r="F148" t="s" s="78">
        <v>187</v>
      </c>
      <c r="G148" s="80">
        <v>19</v>
      </c>
      <c r="H148" s="80">
        <v>8</v>
      </c>
      <c r="I148" t="s" s="78">
        <v>816</v>
      </c>
      <c r="J148" s="79"/>
      <c r="K148" t="s" s="78">
        <v>817</v>
      </c>
      <c r="L148" t="s" s="78">
        <v>818</v>
      </c>
      <c r="M148" t="s" s="78">
        <v>819</v>
      </c>
      <c r="N148" t="s" s="78">
        <v>282</v>
      </c>
      <c r="O148" s="80">
        <v>0</v>
      </c>
      <c r="P148" t="str" s="49">
        <v>Reserva</v>
      </c>
      <c r="Q148" s="81"/>
    </row>
    <row r="149" ht="46.65" customHeight="1">
      <c r="A149" t="s" s="78">
        <v>820</v>
      </c>
      <c r="B149" t="str" s="79" cm="1">
        <f t="array" ref="B149">"7-9|"&amp;F149</f>
        <v>7-9|Sistemas físicos</v>
      </c>
      <c r="C149" t="s" s="78">
        <v>139</v>
      </c>
      <c r="D149" t="s" s="78">
        <v>343</v>
      </c>
      <c r="E149" s="79"/>
      <c r="F149" t="s" s="78">
        <v>186</v>
      </c>
      <c r="G149" s="80">
        <v>1</v>
      </c>
      <c r="H149" s="80">
        <v>8</v>
      </c>
      <c r="I149" t="s" s="78">
        <v>593</v>
      </c>
      <c r="J149" t="s" s="78">
        <v>594</v>
      </c>
      <c r="K149" t="s" s="78">
        <v>822</v>
      </c>
      <c r="L149" t="s" s="78">
        <v>823</v>
      </c>
      <c r="M149" t="s" s="78">
        <v>824</v>
      </c>
      <c r="N149" t="s" s="78">
        <v>254</v>
      </c>
      <c r="O149" s="80">
        <v>1</v>
      </c>
      <c r="P149" t="str" s="49">
        <v>Sí</v>
      </c>
      <c r="Q149" s="81"/>
    </row>
    <row r="150" ht="46.65" customHeight="1">
      <c r="A150" t="s" s="78">
        <v>825</v>
      </c>
      <c r="B150" t="str" s="79" cm="1">
        <f t="array" ref="B150">"7-9|"&amp;F150</f>
        <v>7-9|Sistemas físicos</v>
      </c>
      <c r="C150" t="s" s="78">
        <v>139</v>
      </c>
      <c r="D150" t="s" s="78">
        <v>343</v>
      </c>
      <c r="E150" s="79"/>
      <c r="F150" t="s" s="78">
        <v>186</v>
      </c>
      <c r="G150" s="80">
        <v>2</v>
      </c>
      <c r="H150" s="80">
        <v>8</v>
      </c>
      <c r="I150" t="s" s="78">
        <v>511</v>
      </c>
      <c r="J150" t="s" s="78">
        <v>539</v>
      </c>
      <c r="K150" t="s" s="78">
        <v>826</v>
      </c>
      <c r="L150" t="s" s="78">
        <v>827</v>
      </c>
      <c r="M150" t="s" s="78">
        <v>828</v>
      </c>
      <c r="N150" t="s" s="78">
        <v>254</v>
      </c>
      <c r="O150" s="80">
        <v>1</v>
      </c>
      <c r="P150" t="str" s="49">
        <v>Sí</v>
      </c>
      <c r="Q150" s="81"/>
    </row>
    <row r="151" ht="46.65" customHeight="1">
      <c r="A151" t="s" s="78">
        <v>829</v>
      </c>
      <c r="B151" t="str" s="79" cm="1">
        <f t="array" ref="B151">"7-9|"&amp;F151</f>
        <v>7-9|Sistemas físicos</v>
      </c>
      <c r="C151" t="s" s="78">
        <v>139</v>
      </c>
      <c r="D151" t="s" s="78">
        <v>343</v>
      </c>
      <c r="E151" s="79"/>
      <c r="F151" t="s" s="78">
        <v>186</v>
      </c>
      <c r="G151" s="80">
        <v>3</v>
      </c>
      <c r="H151" s="80">
        <v>8</v>
      </c>
      <c r="I151" t="s" s="78">
        <v>511</v>
      </c>
      <c r="J151" t="s" s="78">
        <v>544</v>
      </c>
      <c r="K151" t="s" s="78">
        <v>826</v>
      </c>
      <c r="L151" t="s" s="78">
        <v>830</v>
      </c>
      <c r="M151" t="s" s="78">
        <v>831</v>
      </c>
      <c r="N151" t="s" s="78">
        <v>254</v>
      </c>
      <c r="O151" s="80">
        <v>1</v>
      </c>
      <c r="P151" t="str" s="49">
        <v>Sí</v>
      </c>
      <c r="Q151" s="81"/>
    </row>
    <row r="152" ht="46.65" customHeight="1">
      <c r="A152" t="s" s="78">
        <v>832</v>
      </c>
      <c r="B152" t="str" s="79" cm="1">
        <f t="array" ref="B152">"7-9|"&amp;F152</f>
        <v>7-9|Sistemas físicos</v>
      </c>
      <c r="C152" t="s" s="78">
        <v>139</v>
      </c>
      <c r="D152" t="s" s="78">
        <v>343</v>
      </c>
      <c r="E152" s="79"/>
      <c r="F152" t="s" s="78">
        <v>186</v>
      </c>
      <c r="G152" s="80">
        <v>4</v>
      </c>
      <c r="H152" s="80">
        <v>8</v>
      </c>
      <c r="I152" t="s" s="78">
        <v>511</v>
      </c>
      <c r="J152" t="s" s="78">
        <v>549</v>
      </c>
      <c r="K152" t="s" s="78">
        <v>826</v>
      </c>
      <c r="L152" t="s" s="78">
        <v>833</v>
      </c>
      <c r="M152" t="s" s="78">
        <v>834</v>
      </c>
      <c r="N152" t="s" s="78">
        <v>254</v>
      </c>
      <c r="O152" s="80">
        <v>1</v>
      </c>
      <c r="P152" t="str" s="49">
        <v>Sí</v>
      </c>
      <c r="Q152" s="81"/>
    </row>
    <row r="153" ht="46.65" customHeight="1">
      <c r="A153" t="s" s="78">
        <v>835</v>
      </c>
      <c r="B153" t="str" s="79" cm="1">
        <f t="array" ref="B153">"7-9|"&amp;F153</f>
        <v>7-9|Sistemas físicos</v>
      </c>
      <c r="C153" t="s" s="78">
        <v>139</v>
      </c>
      <c r="D153" t="s" s="78">
        <v>343</v>
      </c>
      <c r="E153" s="79"/>
      <c r="F153" t="s" s="78">
        <v>186</v>
      </c>
      <c r="G153" s="80">
        <v>5</v>
      </c>
      <c r="H153" s="80">
        <v>9</v>
      </c>
      <c r="I153" t="s" s="78">
        <v>836</v>
      </c>
      <c r="J153" t="s" s="78">
        <v>837</v>
      </c>
      <c r="K153" t="s" s="78">
        <v>838</v>
      </c>
      <c r="L153" t="s" s="78">
        <v>839</v>
      </c>
      <c r="M153" t="s" s="78">
        <v>840</v>
      </c>
      <c r="N153" t="s" s="78">
        <v>254</v>
      </c>
      <c r="O153" s="80">
        <v>1</v>
      </c>
      <c r="P153" t="str" s="49">
        <v>Sí</v>
      </c>
      <c r="Q153" s="81"/>
    </row>
    <row r="154" ht="46.65" customHeight="1">
      <c r="A154" t="s" s="78">
        <v>841</v>
      </c>
      <c r="B154" t="str" s="79" cm="1">
        <f t="array" ref="B154">"7-9|"&amp;F154</f>
        <v>7-9|Sistemas físicos</v>
      </c>
      <c r="C154" t="s" s="78">
        <v>139</v>
      </c>
      <c r="D154" t="s" s="78">
        <v>343</v>
      </c>
      <c r="E154" s="79"/>
      <c r="F154" t="s" s="78">
        <v>186</v>
      </c>
      <c r="G154" s="80">
        <v>6</v>
      </c>
      <c r="H154" s="80">
        <v>9</v>
      </c>
      <c r="I154" t="s" s="78">
        <v>836</v>
      </c>
      <c r="J154" t="s" s="78">
        <v>842</v>
      </c>
      <c r="K154" t="s" s="78">
        <v>843</v>
      </c>
      <c r="L154" t="s" s="78">
        <v>844</v>
      </c>
      <c r="M154" t="s" s="78">
        <v>845</v>
      </c>
      <c r="N154" t="s" s="78">
        <v>254</v>
      </c>
      <c r="O154" s="80">
        <v>1</v>
      </c>
      <c r="P154" t="str" s="49">
        <v>Sí</v>
      </c>
      <c r="Q154" s="81"/>
    </row>
    <row r="155" ht="35.65" customHeight="1">
      <c r="A155" t="s" s="78">
        <v>846</v>
      </c>
      <c r="B155" t="str" s="79" cm="1">
        <f t="array" ref="B155">"7-9|"&amp;F155</f>
        <v>7-9|Sistemas físicos</v>
      </c>
      <c r="C155" t="s" s="78">
        <v>139</v>
      </c>
      <c r="D155" t="s" s="78">
        <v>343</v>
      </c>
      <c r="E155" s="79"/>
      <c r="F155" t="s" s="78">
        <v>186</v>
      </c>
      <c r="G155" s="80">
        <v>7</v>
      </c>
      <c r="H155" s="80">
        <v>9</v>
      </c>
      <c r="I155" t="s" s="78">
        <v>836</v>
      </c>
      <c r="J155" t="s" s="78">
        <v>847</v>
      </c>
      <c r="K155" t="s" s="78">
        <v>848</v>
      </c>
      <c r="L155" t="s" s="78">
        <v>849</v>
      </c>
      <c r="M155" t="s" s="78">
        <v>850</v>
      </c>
      <c r="N155" t="s" s="78">
        <v>254</v>
      </c>
      <c r="O155" s="80">
        <v>1</v>
      </c>
      <c r="P155" t="str" s="49">
        <v>Sí</v>
      </c>
      <c r="Q155" s="81"/>
    </row>
    <row r="156" ht="46.65" customHeight="1">
      <c r="A156" t="s" s="78">
        <v>851</v>
      </c>
      <c r="B156" t="str" s="79" cm="1">
        <f t="array" ref="B156">"7-9|"&amp;F156</f>
        <v>7-9|Sistemas físicos</v>
      </c>
      <c r="C156" t="s" s="78">
        <v>139</v>
      </c>
      <c r="D156" t="s" s="78">
        <v>343</v>
      </c>
      <c r="E156" s="79"/>
      <c r="F156" t="s" s="78">
        <v>186</v>
      </c>
      <c r="G156" s="80">
        <v>8</v>
      </c>
      <c r="H156" s="80">
        <v>9</v>
      </c>
      <c r="I156" t="s" s="78">
        <v>852</v>
      </c>
      <c r="J156" t="s" s="78">
        <v>853</v>
      </c>
      <c r="K156" t="s" s="78">
        <v>854</v>
      </c>
      <c r="L156" t="s" s="78">
        <v>855</v>
      </c>
      <c r="M156" t="s" s="78">
        <v>856</v>
      </c>
      <c r="N156" t="s" s="78">
        <v>254</v>
      </c>
      <c r="O156" s="80">
        <v>1</v>
      </c>
      <c r="P156" t="str" s="49">
        <v>Sí</v>
      </c>
      <c r="Q156" s="81"/>
    </row>
    <row r="157" ht="46.65" customHeight="1">
      <c r="A157" t="s" s="78">
        <v>857</v>
      </c>
      <c r="B157" t="str" s="79" cm="1">
        <f t="array" ref="B157">"7-9|"&amp;F157</f>
        <v>7-9|Sistemas físicos</v>
      </c>
      <c r="C157" t="s" s="78">
        <v>139</v>
      </c>
      <c r="D157" t="s" s="78">
        <v>343</v>
      </c>
      <c r="E157" s="79"/>
      <c r="F157" t="s" s="78">
        <v>186</v>
      </c>
      <c r="G157" s="80">
        <v>9</v>
      </c>
      <c r="H157" s="80">
        <v>9</v>
      </c>
      <c r="I157" t="s" s="78">
        <v>852</v>
      </c>
      <c r="J157" t="s" s="78">
        <v>858</v>
      </c>
      <c r="K157" t="s" s="78">
        <v>859</v>
      </c>
      <c r="L157" t="s" s="78">
        <v>860</v>
      </c>
      <c r="M157" t="s" s="78">
        <v>861</v>
      </c>
      <c r="N157" t="s" s="78">
        <v>254</v>
      </c>
      <c r="O157" s="80">
        <v>1</v>
      </c>
      <c r="P157" t="str" s="49">
        <v>Sí</v>
      </c>
      <c r="Q157" s="81"/>
    </row>
    <row r="158" ht="46.65" customHeight="1">
      <c r="A158" t="s" s="78">
        <v>862</v>
      </c>
      <c r="B158" t="str" s="79" cm="1">
        <f t="array" ref="B158">"7-9|"&amp;F158</f>
        <v>7-9|Sistemas físicos</v>
      </c>
      <c r="C158" t="s" s="78">
        <v>139</v>
      </c>
      <c r="D158" t="s" s="78">
        <v>343</v>
      </c>
      <c r="E158" s="79"/>
      <c r="F158" t="s" s="78">
        <v>186</v>
      </c>
      <c r="G158" s="80">
        <v>10</v>
      </c>
      <c r="H158" s="80">
        <v>9</v>
      </c>
      <c r="I158" t="s" s="78">
        <v>852</v>
      </c>
      <c r="J158" t="s" s="78">
        <v>863</v>
      </c>
      <c r="K158" t="s" s="78">
        <v>859</v>
      </c>
      <c r="L158" t="s" s="78">
        <v>864</v>
      </c>
      <c r="M158" t="s" s="78">
        <v>865</v>
      </c>
      <c r="N158" t="s" s="78">
        <v>254</v>
      </c>
      <c r="O158" s="80">
        <v>1</v>
      </c>
      <c r="P158" t="str" s="49">
        <v>Sí</v>
      </c>
      <c r="Q158" s="81"/>
    </row>
    <row r="159" ht="57.65" customHeight="1">
      <c r="A159" t="s" s="78">
        <v>866</v>
      </c>
      <c r="B159" t="str" s="79" cm="1">
        <f t="array" ref="B159">"7-9|"&amp;F159</f>
        <v>7-9|Sistemas físicos</v>
      </c>
      <c r="C159" t="s" s="78">
        <v>139</v>
      </c>
      <c r="D159" t="s" s="78">
        <v>343</v>
      </c>
      <c r="E159" s="79"/>
      <c r="F159" t="s" s="78">
        <v>186</v>
      </c>
      <c r="G159" s="80">
        <v>11</v>
      </c>
      <c r="H159" s="80">
        <v>9</v>
      </c>
      <c r="I159" t="s" s="78">
        <v>867</v>
      </c>
      <c r="J159" t="s" s="78">
        <v>868</v>
      </c>
      <c r="K159" t="s" s="78">
        <v>869</v>
      </c>
      <c r="L159" t="s" s="78">
        <v>870</v>
      </c>
      <c r="M159" t="s" s="78">
        <v>871</v>
      </c>
      <c r="N159" t="s" s="78">
        <v>282</v>
      </c>
      <c r="O159" s="80">
        <v>2</v>
      </c>
      <c r="P159" t="str" s="49">
        <v>Sí</v>
      </c>
      <c r="Q159" s="81"/>
    </row>
    <row r="160" ht="46.65" customHeight="1">
      <c r="A160" t="s" s="78">
        <v>872</v>
      </c>
      <c r="B160" t="str" s="79" cm="1">
        <f t="array" ref="B160">"7-9|"&amp;F160</f>
        <v>7-9|Sistemas físicos</v>
      </c>
      <c r="C160" t="s" s="78">
        <v>139</v>
      </c>
      <c r="D160" t="s" s="78">
        <v>343</v>
      </c>
      <c r="E160" s="79"/>
      <c r="F160" t="s" s="78">
        <v>186</v>
      </c>
      <c r="G160" s="80">
        <v>12</v>
      </c>
      <c r="H160" s="80">
        <v>9</v>
      </c>
      <c r="I160" t="s" s="78">
        <v>867</v>
      </c>
      <c r="J160" t="s" s="78">
        <v>873</v>
      </c>
      <c r="K160" t="s" s="78">
        <v>869</v>
      </c>
      <c r="L160" t="s" s="78">
        <v>874</v>
      </c>
      <c r="M160" t="s" s="78">
        <v>875</v>
      </c>
      <c r="N160" t="s" s="78">
        <v>254</v>
      </c>
      <c r="O160" s="80">
        <v>1</v>
      </c>
      <c r="P160" t="str" s="49">
        <v>Sí</v>
      </c>
      <c r="Q160" s="81"/>
    </row>
    <row r="161" ht="46.65" customHeight="1">
      <c r="A161" t="s" s="78">
        <v>876</v>
      </c>
      <c r="B161" t="str" s="79" cm="1">
        <f t="array" ref="B161">"7-9|"&amp;F161</f>
        <v>7-9|Sistemas físicos</v>
      </c>
      <c r="C161" t="s" s="78">
        <v>139</v>
      </c>
      <c r="D161" t="s" s="78">
        <v>343</v>
      </c>
      <c r="E161" s="79"/>
      <c r="F161" t="s" s="78">
        <v>186</v>
      </c>
      <c r="G161" s="80">
        <v>13</v>
      </c>
      <c r="H161" s="80">
        <v>9</v>
      </c>
      <c r="I161" t="s" s="78">
        <v>867</v>
      </c>
      <c r="J161" t="s" s="78">
        <v>877</v>
      </c>
      <c r="K161" t="s" s="78">
        <v>869</v>
      </c>
      <c r="L161" t="s" s="78">
        <v>878</v>
      </c>
      <c r="M161" t="s" s="78">
        <v>879</v>
      </c>
      <c r="N161" t="s" s="78">
        <v>254</v>
      </c>
      <c r="O161" s="80">
        <v>1</v>
      </c>
      <c r="P161" t="str" s="49">
        <v>Sí</v>
      </c>
      <c r="Q161" s="81"/>
    </row>
    <row r="162" ht="46.65" customHeight="1">
      <c r="A162" t="s" s="78">
        <v>880</v>
      </c>
      <c r="B162" t="str" s="79" cm="1">
        <f t="array" ref="B162">"7-9|"&amp;F162</f>
        <v>7-9|Sistemas físicos</v>
      </c>
      <c r="C162" t="s" s="78">
        <v>139</v>
      </c>
      <c r="D162" t="s" s="78">
        <v>343</v>
      </c>
      <c r="E162" s="79"/>
      <c r="F162" t="s" s="78">
        <v>186</v>
      </c>
      <c r="G162" s="80">
        <v>14</v>
      </c>
      <c r="H162" s="80">
        <v>9</v>
      </c>
      <c r="I162" t="s" s="78">
        <v>867</v>
      </c>
      <c r="J162" t="s" s="78">
        <v>881</v>
      </c>
      <c r="K162" t="s" s="78">
        <v>869</v>
      </c>
      <c r="L162" t="s" s="78">
        <v>882</v>
      </c>
      <c r="M162" t="s" s="78">
        <v>883</v>
      </c>
      <c r="N162" t="s" s="78">
        <v>254</v>
      </c>
      <c r="O162" s="80">
        <v>1</v>
      </c>
      <c r="P162" t="str" s="49">
        <v>Sí</v>
      </c>
      <c r="Q162" s="81"/>
    </row>
    <row r="163" ht="46.65" customHeight="1">
      <c r="A163" t="s" s="78">
        <v>884</v>
      </c>
      <c r="B163" t="str" s="79" cm="1">
        <f t="array" ref="B163">"7-9|"&amp;F163</f>
        <v>7-9|Sistemas físicos</v>
      </c>
      <c r="C163" t="s" s="78">
        <v>139</v>
      </c>
      <c r="D163" t="s" s="78">
        <v>343</v>
      </c>
      <c r="E163" s="79"/>
      <c r="F163" t="s" s="78">
        <v>186</v>
      </c>
      <c r="G163" s="80">
        <v>15</v>
      </c>
      <c r="H163" s="80">
        <v>9</v>
      </c>
      <c r="I163" t="s" s="78">
        <v>867</v>
      </c>
      <c r="J163" t="s" s="78">
        <v>885</v>
      </c>
      <c r="K163" t="s" s="78">
        <v>869</v>
      </c>
      <c r="L163" t="s" s="78">
        <v>886</v>
      </c>
      <c r="M163" t="s" s="78">
        <v>887</v>
      </c>
      <c r="N163" t="s" s="78">
        <v>254</v>
      </c>
      <c r="O163" s="80">
        <v>1</v>
      </c>
      <c r="P163" t="str" s="49">
        <v>Sí</v>
      </c>
      <c r="Q163" s="81"/>
    </row>
    <row r="164" ht="46.65" customHeight="1">
      <c r="A164" t="s" s="78">
        <v>888</v>
      </c>
      <c r="B164" t="str" s="79" cm="1">
        <f t="array" ref="B164">"7-9|"&amp;F164</f>
        <v>7-9|Sistemas físicos</v>
      </c>
      <c r="C164" t="s" s="78">
        <v>139</v>
      </c>
      <c r="D164" t="s" s="78">
        <v>343</v>
      </c>
      <c r="E164" s="79"/>
      <c r="F164" t="s" s="78">
        <v>186</v>
      </c>
      <c r="G164" s="80">
        <v>16</v>
      </c>
      <c r="H164" s="80">
        <v>9</v>
      </c>
      <c r="I164" t="s" s="78">
        <v>889</v>
      </c>
      <c r="J164" t="s" s="78">
        <v>890</v>
      </c>
      <c r="K164" t="s" s="78">
        <v>838</v>
      </c>
      <c r="L164" t="s" s="78">
        <v>891</v>
      </c>
      <c r="M164" t="s" s="78">
        <v>892</v>
      </c>
      <c r="N164" t="s" s="78">
        <v>254</v>
      </c>
      <c r="O164" s="80">
        <v>1</v>
      </c>
      <c r="P164" t="str" s="49">
        <v>Sí</v>
      </c>
      <c r="Q164" s="81"/>
    </row>
    <row r="165" ht="35.65" customHeight="1">
      <c r="A165" t="s" s="78">
        <v>893</v>
      </c>
      <c r="B165" t="str" s="79" cm="1">
        <f t="array" ref="B165">"7-9|"&amp;F165</f>
        <v>7-9|Sistemas físicos</v>
      </c>
      <c r="C165" t="s" s="78">
        <v>139</v>
      </c>
      <c r="D165" t="s" s="78">
        <v>343</v>
      </c>
      <c r="E165" s="79"/>
      <c r="F165" t="s" s="78">
        <v>186</v>
      </c>
      <c r="G165" s="80">
        <v>17</v>
      </c>
      <c r="H165" s="80">
        <v>9</v>
      </c>
      <c r="I165" t="s" s="78">
        <v>889</v>
      </c>
      <c r="J165" t="s" s="78">
        <v>894</v>
      </c>
      <c r="K165" t="s" s="78">
        <v>843</v>
      </c>
      <c r="L165" t="s" s="78">
        <v>895</v>
      </c>
      <c r="M165" t="s" s="78">
        <v>896</v>
      </c>
      <c r="N165" t="s" s="78">
        <v>254</v>
      </c>
      <c r="O165" s="80">
        <v>1</v>
      </c>
      <c r="P165" t="str" s="49">
        <v>Sí</v>
      </c>
      <c r="Q165" s="81"/>
    </row>
    <row r="166" ht="46.65" customHeight="1">
      <c r="A166" t="s" s="78">
        <v>897</v>
      </c>
      <c r="B166" t="str" s="79" cm="1">
        <f t="array" ref="B166">"7-9|"&amp;F166</f>
        <v>7-9|Sistemas físicos</v>
      </c>
      <c r="C166" t="s" s="78">
        <v>139</v>
      </c>
      <c r="D166" t="s" s="78">
        <v>343</v>
      </c>
      <c r="E166" s="79"/>
      <c r="F166" t="s" s="78">
        <v>186</v>
      </c>
      <c r="G166" s="80">
        <v>18</v>
      </c>
      <c r="H166" s="80">
        <v>9</v>
      </c>
      <c r="I166" t="s" s="78">
        <v>898</v>
      </c>
      <c r="J166" t="s" s="78">
        <v>899</v>
      </c>
      <c r="K166" t="s" s="78">
        <v>859</v>
      </c>
      <c r="L166" t="s" s="78">
        <v>900</v>
      </c>
      <c r="M166" t="s" s="78">
        <v>901</v>
      </c>
      <c r="N166" t="s" s="78">
        <v>254</v>
      </c>
      <c r="O166" s="80">
        <v>1</v>
      </c>
      <c r="P166" t="str" s="49">
        <v>Sí</v>
      </c>
      <c r="Q166" s="81"/>
    </row>
    <row r="167" ht="46.65" customHeight="1">
      <c r="A167" t="s" s="78">
        <v>902</v>
      </c>
      <c r="B167" t="str" s="79" cm="1">
        <f t="array" ref="B167">"7-9|"&amp;F167</f>
        <v>7-9|Sistemas físicos</v>
      </c>
      <c r="C167" t="s" s="78">
        <v>139</v>
      </c>
      <c r="D167" t="s" s="78">
        <v>343</v>
      </c>
      <c r="E167" s="79"/>
      <c r="F167" t="s" s="78">
        <v>186</v>
      </c>
      <c r="G167" s="80">
        <v>19</v>
      </c>
      <c r="H167" s="80">
        <v>9</v>
      </c>
      <c r="I167" t="s" s="78">
        <v>898</v>
      </c>
      <c r="J167" t="s" s="78">
        <v>903</v>
      </c>
      <c r="K167" t="s" s="78">
        <v>838</v>
      </c>
      <c r="L167" t="s" s="78">
        <v>904</v>
      </c>
      <c r="M167" t="s" s="78">
        <v>905</v>
      </c>
      <c r="N167" t="s" s="78">
        <v>254</v>
      </c>
      <c r="O167" s="80">
        <v>1</v>
      </c>
      <c r="P167" t="str" s="49">
        <v>Sí</v>
      </c>
      <c r="Q167" s="81"/>
    </row>
    <row r="168" ht="46.65" customHeight="1">
      <c r="A168" t="s" s="78">
        <v>906</v>
      </c>
      <c r="B168" t="str" s="79" cm="1">
        <f t="array" ref="B168">"7-9|"&amp;F168</f>
        <v>7-9|Sistemas físicos</v>
      </c>
      <c r="C168" t="s" s="78">
        <v>139</v>
      </c>
      <c r="D168" t="s" s="78">
        <v>343</v>
      </c>
      <c r="E168" s="79"/>
      <c r="F168" t="s" s="78">
        <v>186</v>
      </c>
      <c r="G168" s="80">
        <v>20</v>
      </c>
      <c r="H168" s="80">
        <v>9</v>
      </c>
      <c r="I168" t="s" s="78">
        <v>852</v>
      </c>
      <c r="J168" t="s" s="78">
        <v>907</v>
      </c>
      <c r="K168" t="s" s="78">
        <v>854</v>
      </c>
      <c r="L168" t="s" s="78">
        <v>908</v>
      </c>
      <c r="M168" t="s" s="78">
        <v>909</v>
      </c>
      <c r="N168" t="s" s="78">
        <v>282</v>
      </c>
      <c r="O168" s="80">
        <v>1</v>
      </c>
      <c r="P168" t="str" s="49">
        <v>Sí</v>
      </c>
      <c r="Q168" s="81"/>
    </row>
    <row r="169" ht="68.65" customHeight="1">
      <c r="A169" t="s" s="78">
        <v>910</v>
      </c>
      <c r="B169" t="str" s="79" cm="1">
        <f t="array" ref="B169">"7-9|"&amp;F169</f>
        <v>7-9|Sistemas físicos</v>
      </c>
      <c r="C169" t="s" s="78">
        <v>139</v>
      </c>
      <c r="D169" t="s" s="78">
        <v>343</v>
      </c>
      <c r="E169" s="79"/>
      <c r="F169" t="s" s="78">
        <v>186</v>
      </c>
      <c r="G169" s="80">
        <v>21</v>
      </c>
      <c r="H169" s="80">
        <v>9</v>
      </c>
      <c r="I169" t="s" s="78">
        <v>836</v>
      </c>
      <c r="J169" t="s" s="78">
        <v>911</v>
      </c>
      <c r="K169" t="s" s="78">
        <v>848</v>
      </c>
      <c r="L169" t="s" s="78">
        <v>912</v>
      </c>
      <c r="M169" t="s" s="78">
        <v>913</v>
      </c>
      <c r="N169" t="s" s="78">
        <v>282</v>
      </c>
      <c r="O169" s="80">
        <v>2</v>
      </c>
      <c r="P169" t="str" s="49">
        <v>Sí</v>
      </c>
      <c r="Q169" s="81"/>
    </row>
    <row r="170" ht="46.65" customHeight="1">
      <c r="A170" t="s" s="78">
        <v>914</v>
      </c>
      <c r="B170" t="str" s="79" cm="1">
        <f t="array" ref="B170">"7-9|"&amp;F170</f>
        <v>7-9|Sistemas físicos</v>
      </c>
      <c r="C170" t="s" s="78">
        <v>139</v>
      </c>
      <c r="D170" t="s" s="78">
        <v>343</v>
      </c>
      <c r="E170" s="79"/>
      <c r="F170" t="s" s="78">
        <v>186</v>
      </c>
      <c r="G170" s="80">
        <v>22</v>
      </c>
      <c r="H170" s="80">
        <v>9</v>
      </c>
      <c r="I170" t="s" s="78">
        <v>867</v>
      </c>
      <c r="J170" t="s" s="78">
        <v>915</v>
      </c>
      <c r="K170" t="s" s="78">
        <v>869</v>
      </c>
      <c r="L170" t="s" s="78">
        <v>916</v>
      </c>
      <c r="M170" t="s" s="78">
        <v>917</v>
      </c>
      <c r="N170" t="s" s="78">
        <v>282</v>
      </c>
      <c r="O170" s="80">
        <v>1</v>
      </c>
      <c r="P170" t="str" s="49">
        <v>Sí</v>
      </c>
      <c r="Q170" s="81"/>
    </row>
    <row r="171" ht="46.65" customHeight="1">
      <c r="A171" t="s" s="78">
        <v>918</v>
      </c>
      <c r="B171" t="str" s="79" cm="1">
        <f t="array" ref="B171">"7-9|"&amp;F171</f>
        <v>7-9|Sistemas físicos</v>
      </c>
      <c r="C171" t="s" s="78">
        <v>139</v>
      </c>
      <c r="D171" t="s" s="78">
        <v>343</v>
      </c>
      <c r="E171" s="79"/>
      <c r="F171" t="s" s="78">
        <v>186</v>
      </c>
      <c r="G171" s="80">
        <v>23</v>
      </c>
      <c r="H171" s="80">
        <v>9</v>
      </c>
      <c r="I171" t="s" s="78">
        <v>867</v>
      </c>
      <c r="J171" t="s" s="78">
        <v>919</v>
      </c>
      <c r="K171" t="s" s="78">
        <v>869</v>
      </c>
      <c r="L171" t="s" s="78">
        <v>920</v>
      </c>
      <c r="M171" t="s" s="78">
        <v>921</v>
      </c>
      <c r="N171" t="s" s="78">
        <v>282</v>
      </c>
      <c r="O171" s="80">
        <v>1</v>
      </c>
      <c r="P171" t="str" s="49">
        <v>Sí</v>
      </c>
      <c r="Q171" s="81"/>
    </row>
    <row r="172" ht="46.65" customHeight="1">
      <c r="A172" t="s" s="78">
        <v>922</v>
      </c>
      <c r="B172" t="str" s="79" cm="1">
        <f t="array" ref="B172">"7-9|"&amp;F172</f>
        <v>7-9|Sistemas físicos</v>
      </c>
      <c r="C172" t="s" s="78">
        <v>139</v>
      </c>
      <c r="D172" t="s" s="78">
        <v>343</v>
      </c>
      <c r="E172" s="79"/>
      <c r="F172" t="s" s="78">
        <v>186</v>
      </c>
      <c r="G172" s="80">
        <v>24</v>
      </c>
      <c r="H172" s="80">
        <v>8</v>
      </c>
      <c r="I172" t="s" s="78">
        <v>573</v>
      </c>
      <c r="J172" t="s" s="78">
        <v>579</v>
      </c>
      <c r="K172" t="s" s="78">
        <v>854</v>
      </c>
      <c r="L172" t="s" s="78">
        <v>923</v>
      </c>
      <c r="M172" t="s" s="78">
        <v>581</v>
      </c>
      <c r="N172" t="s" s="78">
        <v>254</v>
      </c>
      <c r="O172" s="80">
        <v>1</v>
      </c>
      <c r="P172" t="str" s="49">
        <v>Sí</v>
      </c>
      <c r="Q172" s="81"/>
    </row>
    <row r="173" ht="46.65" customHeight="1">
      <c r="A173" t="s" s="78">
        <v>924</v>
      </c>
      <c r="B173" t="str" s="79" cm="1">
        <f t="array" ref="B173">"7-9|"&amp;F173</f>
        <v>7-9|Sistemas físicos</v>
      </c>
      <c r="C173" t="s" s="78">
        <v>139</v>
      </c>
      <c r="D173" t="s" s="78">
        <v>343</v>
      </c>
      <c r="E173" s="79"/>
      <c r="F173" t="s" s="78">
        <v>186</v>
      </c>
      <c r="G173" s="80">
        <v>25</v>
      </c>
      <c r="H173" s="80">
        <v>8</v>
      </c>
      <c r="I173" t="s" s="78">
        <v>511</v>
      </c>
      <c r="J173" t="s" s="78">
        <v>583</v>
      </c>
      <c r="K173" t="s" s="78">
        <v>854</v>
      </c>
      <c r="L173" t="s" s="78">
        <v>925</v>
      </c>
      <c r="M173" t="s" s="78">
        <v>926</v>
      </c>
      <c r="N173" t="s" s="78">
        <v>254</v>
      </c>
      <c r="O173" s="80">
        <v>1</v>
      </c>
      <c r="P173" t="str" s="49">
        <v>Sí</v>
      </c>
      <c r="Q173" s="81"/>
    </row>
    <row r="174" ht="46.65" customHeight="1">
      <c r="A174" t="s" s="78">
        <v>927</v>
      </c>
      <c r="B174" t="str" s="79" cm="1">
        <f t="array" ref="B174">"7-9|"&amp;F174</f>
        <v>7-9|Sistemas físicos</v>
      </c>
      <c r="C174" t="s" s="78">
        <v>139</v>
      </c>
      <c r="D174" t="s" s="78">
        <v>343</v>
      </c>
      <c r="E174" s="79"/>
      <c r="F174" t="s" s="78">
        <v>186</v>
      </c>
      <c r="G174" s="80">
        <v>26</v>
      </c>
      <c r="H174" s="80">
        <v>8</v>
      </c>
      <c r="I174" t="s" s="78">
        <v>511</v>
      </c>
      <c r="J174" t="s" s="78">
        <v>568</v>
      </c>
      <c r="K174" t="s" s="78">
        <v>838</v>
      </c>
      <c r="L174" t="s" s="78">
        <v>928</v>
      </c>
      <c r="M174" t="s" s="78">
        <v>929</v>
      </c>
      <c r="N174" t="s" s="78">
        <v>254</v>
      </c>
      <c r="O174" s="80">
        <v>1</v>
      </c>
      <c r="P174" t="str" s="49">
        <v>Sí</v>
      </c>
      <c r="Q174" s="81"/>
    </row>
    <row r="175" ht="46.65" customHeight="1">
      <c r="A175" t="s" s="78">
        <v>930</v>
      </c>
      <c r="B175" t="str" s="79" cm="1">
        <f t="array" ref="B175">"7-9|"&amp;F175</f>
        <v>7-9|Sistemas físicos</v>
      </c>
      <c r="C175" t="s" s="78">
        <v>139</v>
      </c>
      <c r="D175" t="s" s="78">
        <v>343</v>
      </c>
      <c r="E175" s="79"/>
      <c r="F175" t="s" s="78">
        <v>186</v>
      </c>
      <c r="G175" s="80">
        <v>27</v>
      </c>
      <c r="H175" s="80">
        <v>8</v>
      </c>
      <c r="I175" t="s" s="78">
        <v>480</v>
      </c>
      <c r="J175" t="s" s="78">
        <v>534</v>
      </c>
      <c r="K175" t="s" s="78">
        <v>838</v>
      </c>
      <c r="L175" t="s" s="78">
        <v>931</v>
      </c>
      <c r="M175" t="s" s="78">
        <v>932</v>
      </c>
      <c r="N175" t="s" s="78">
        <v>254</v>
      </c>
      <c r="O175" s="80">
        <v>1</v>
      </c>
      <c r="P175" t="str" s="49">
        <v>Sí</v>
      </c>
      <c r="Q175" s="81"/>
    </row>
    <row r="176" ht="46.65" customHeight="1">
      <c r="A176" t="s" s="78">
        <v>933</v>
      </c>
      <c r="B176" t="str" s="79" cm="1">
        <f t="array" ref="B176">"7-9|"&amp;F176</f>
        <v>7-9|Sistemas físicos</v>
      </c>
      <c r="C176" t="s" s="78">
        <v>139</v>
      </c>
      <c r="D176" t="s" s="78">
        <v>343</v>
      </c>
      <c r="E176" s="79"/>
      <c r="F176" t="s" s="78">
        <v>186</v>
      </c>
      <c r="G176" s="80">
        <v>28</v>
      </c>
      <c r="H176" s="80">
        <v>8</v>
      </c>
      <c r="I176" t="s" s="78">
        <v>593</v>
      </c>
      <c r="J176" t="s" s="78">
        <v>934</v>
      </c>
      <c r="K176" t="s" s="78">
        <v>822</v>
      </c>
      <c r="L176" t="s" s="78">
        <v>935</v>
      </c>
      <c r="M176" t="s" s="78">
        <v>936</v>
      </c>
      <c r="N176" t="s" s="78">
        <v>254</v>
      </c>
      <c r="O176" s="80">
        <v>1</v>
      </c>
      <c r="P176" t="str" s="49">
        <v>Sí</v>
      </c>
      <c r="Q176" s="81"/>
    </row>
    <row r="177" ht="46.65" customHeight="1">
      <c r="A177" t="s" s="78">
        <v>937</v>
      </c>
      <c r="B177" t="str" s="79" cm="1">
        <f t="array" ref="B177">"7-9|"&amp;F177</f>
        <v>7-9|Sistemas físicos</v>
      </c>
      <c r="C177" t="s" s="78">
        <v>139</v>
      </c>
      <c r="D177" t="s" s="78">
        <v>343</v>
      </c>
      <c r="E177" s="79"/>
      <c r="F177" t="s" s="78">
        <v>186</v>
      </c>
      <c r="G177" s="80">
        <v>29</v>
      </c>
      <c r="H177" s="80">
        <v>8</v>
      </c>
      <c r="I177" t="s" s="78">
        <v>593</v>
      </c>
      <c r="J177" t="s" s="78">
        <v>938</v>
      </c>
      <c r="K177" t="s" s="78">
        <v>869</v>
      </c>
      <c r="L177" t="s" s="78">
        <v>939</v>
      </c>
      <c r="M177" t="s" s="78">
        <v>940</v>
      </c>
      <c r="N177" t="s" s="78">
        <v>254</v>
      </c>
      <c r="O177" s="80">
        <v>1</v>
      </c>
      <c r="P177" t="str" s="49">
        <v>Sí</v>
      </c>
      <c r="Q177" s="81"/>
    </row>
    <row r="178" ht="46.65" customHeight="1">
      <c r="A178" t="s" s="78">
        <v>941</v>
      </c>
      <c r="B178" t="str" s="79" cm="1">
        <f t="array" ref="B178">"7-9|"&amp;F178</f>
        <v>7-9|Sistemas físicos</v>
      </c>
      <c r="C178" t="s" s="78">
        <v>139</v>
      </c>
      <c r="D178" t="s" s="78">
        <v>343</v>
      </c>
      <c r="E178" s="79"/>
      <c r="F178" t="s" s="78">
        <v>186</v>
      </c>
      <c r="G178" s="80">
        <v>30</v>
      </c>
      <c r="H178" s="80">
        <v>8</v>
      </c>
      <c r="I178" t="s" s="78">
        <v>593</v>
      </c>
      <c r="J178" t="s" s="78">
        <v>942</v>
      </c>
      <c r="K178" t="s" s="78">
        <v>822</v>
      </c>
      <c r="L178" t="s" s="78">
        <v>943</v>
      </c>
      <c r="M178" t="s" s="78">
        <v>944</v>
      </c>
      <c r="N178" t="s" s="78">
        <v>254</v>
      </c>
      <c r="O178" s="80">
        <v>1</v>
      </c>
      <c r="P178" t="str" s="49">
        <v>Sí</v>
      </c>
      <c r="Q178" s="81"/>
    </row>
    <row r="179" ht="46.65" customHeight="1">
      <c r="A179" t="s" s="78">
        <v>945</v>
      </c>
      <c r="B179" t="str" s="79" cm="1">
        <f t="array" ref="B179">"7-9|"&amp;F179</f>
        <v>7-9|Sistemas físicos</v>
      </c>
      <c r="C179" t="s" s="78">
        <v>139</v>
      </c>
      <c r="D179" t="s" s="78">
        <v>343</v>
      </c>
      <c r="E179" s="79"/>
      <c r="F179" t="s" s="78">
        <v>186</v>
      </c>
      <c r="G179" s="80">
        <v>31</v>
      </c>
      <c r="H179" s="80">
        <v>8</v>
      </c>
      <c r="I179" t="s" s="78">
        <v>593</v>
      </c>
      <c r="J179" t="s" s="78">
        <v>605</v>
      </c>
      <c r="K179" t="s" s="78">
        <v>822</v>
      </c>
      <c r="L179" t="s" s="78">
        <v>946</v>
      </c>
      <c r="M179" t="s" s="78">
        <v>947</v>
      </c>
      <c r="N179" t="s" s="78">
        <v>254</v>
      </c>
      <c r="O179" s="80">
        <v>1</v>
      </c>
      <c r="P179" t="str" s="49">
        <v>Sí</v>
      </c>
      <c r="Q179" s="81"/>
    </row>
    <row r="180" ht="46.65" customHeight="1">
      <c r="A180" t="s" s="78">
        <v>948</v>
      </c>
      <c r="B180" t="str" s="79" cm="1">
        <f t="array" ref="B180">"7-9|"&amp;F180</f>
        <v>7-9|Sistemas físicos</v>
      </c>
      <c r="C180" t="s" s="78">
        <v>139</v>
      </c>
      <c r="D180" t="s" s="78">
        <v>343</v>
      </c>
      <c r="E180" s="79"/>
      <c r="F180" t="s" s="78">
        <v>186</v>
      </c>
      <c r="G180" s="80">
        <v>32</v>
      </c>
      <c r="H180" s="80">
        <v>8</v>
      </c>
      <c r="I180" t="s" s="78">
        <v>593</v>
      </c>
      <c r="J180" t="s" s="78">
        <v>949</v>
      </c>
      <c r="K180" t="s" s="78">
        <v>822</v>
      </c>
      <c r="L180" t="s" s="78">
        <v>950</v>
      </c>
      <c r="M180" t="s" s="78">
        <v>951</v>
      </c>
      <c r="N180" t="s" s="78">
        <v>282</v>
      </c>
      <c r="O180" s="80">
        <v>1</v>
      </c>
      <c r="P180" t="str" s="49">
        <v>Reserva</v>
      </c>
      <c r="Q180" s="81"/>
    </row>
    <row r="181" ht="46.65" customHeight="1">
      <c r="A181" t="s" s="78">
        <v>952</v>
      </c>
      <c r="B181" t="str" s="79" cm="1">
        <f t="array" ref="B181">"7-9|"&amp;F181</f>
        <v>7-9|Sistemas físicos</v>
      </c>
      <c r="C181" t="s" s="78">
        <v>139</v>
      </c>
      <c r="D181" t="s" s="78">
        <v>343</v>
      </c>
      <c r="E181" s="79"/>
      <c r="F181" t="s" s="78">
        <v>186</v>
      </c>
      <c r="G181" s="80">
        <v>33</v>
      </c>
      <c r="H181" s="80">
        <v>8</v>
      </c>
      <c r="I181" t="s" s="78">
        <v>593</v>
      </c>
      <c r="J181" t="s" s="78">
        <v>614</v>
      </c>
      <c r="K181" t="s" s="78">
        <v>822</v>
      </c>
      <c r="L181" t="s" s="78">
        <v>953</v>
      </c>
      <c r="M181" t="s" s="78">
        <v>954</v>
      </c>
      <c r="N181" t="s" s="78">
        <v>254</v>
      </c>
      <c r="O181" s="80">
        <v>1</v>
      </c>
      <c r="P181" t="str" s="49">
        <v>Reserva</v>
      </c>
      <c r="Q181" s="81"/>
    </row>
    <row r="182" ht="46.65" customHeight="1">
      <c r="A182" t="s" s="78">
        <v>955</v>
      </c>
      <c r="B182" t="str" s="79" cm="1">
        <f t="array" ref="B182">"7-9|"&amp;F182</f>
        <v>7-9|Sistemas físicos</v>
      </c>
      <c r="C182" t="s" s="78">
        <v>139</v>
      </c>
      <c r="D182" t="s" s="78">
        <v>343</v>
      </c>
      <c r="E182" s="79"/>
      <c r="F182" t="s" s="78">
        <v>186</v>
      </c>
      <c r="G182" s="80">
        <v>34</v>
      </c>
      <c r="H182" s="80">
        <v>8</v>
      </c>
      <c r="I182" t="s" s="78">
        <v>593</v>
      </c>
      <c r="J182" t="s" s="78">
        <v>956</v>
      </c>
      <c r="K182" t="s" s="78">
        <v>822</v>
      </c>
      <c r="L182" t="s" s="78">
        <v>957</v>
      </c>
      <c r="M182" t="s" s="78">
        <v>958</v>
      </c>
      <c r="N182" t="s" s="78">
        <v>254</v>
      </c>
      <c r="O182" s="80">
        <v>1</v>
      </c>
      <c r="P182" t="str" s="49">
        <v>Reserva</v>
      </c>
      <c r="Q182" s="81"/>
    </row>
    <row r="183" ht="35.65" customHeight="1">
      <c r="A183" t="s" s="78">
        <v>959</v>
      </c>
      <c r="B183" t="str" s="79" cm="1">
        <f t="array" ref="B183">"7-9|"&amp;F183</f>
        <v>7-9|Sistemas físicos</v>
      </c>
      <c r="C183" t="s" s="78">
        <v>139</v>
      </c>
      <c r="D183" t="s" s="78">
        <v>343</v>
      </c>
      <c r="E183" s="79"/>
      <c r="F183" t="s" s="78">
        <v>186</v>
      </c>
      <c r="G183" s="80">
        <v>35</v>
      </c>
      <c r="H183" s="80">
        <v>8</v>
      </c>
      <c r="I183" t="s" s="78">
        <v>573</v>
      </c>
      <c r="J183" t="s" s="78">
        <v>960</v>
      </c>
      <c r="K183" t="s" s="78">
        <v>843</v>
      </c>
      <c r="L183" t="s" s="78">
        <v>961</v>
      </c>
      <c r="M183" t="s" s="78">
        <v>962</v>
      </c>
      <c r="N183" t="s" s="78">
        <v>282</v>
      </c>
      <c r="O183" s="80">
        <v>1</v>
      </c>
      <c r="P183" t="str" s="49">
        <v>Reserva</v>
      </c>
      <c r="Q183" s="81"/>
    </row>
    <row r="184" ht="46.65" customHeight="1">
      <c r="A184" t="s" s="78">
        <v>963</v>
      </c>
      <c r="B184" t="str" s="79" cm="1">
        <f t="array" ref="B184">"7-9|"&amp;F184</f>
        <v>7-9|Sistemas físicos</v>
      </c>
      <c r="C184" t="s" s="78">
        <v>139</v>
      </c>
      <c r="D184" t="s" s="78">
        <v>343</v>
      </c>
      <c r="E184" s="79"/>
      <c r="F184" t="s" s="78">
        <v>186</v>
      </c>
      <c r="G184" s="80">
        <v>36</v>
      </c>
      <c r="H184" s="80">
        <v>8</v>
      </c>
      <c r="I184" t="s" s="78">
        <v>480</v>
      </c>
      <c r="J184" t="s" s="78">
        <v>964</v>
      </c>
      <c r="K184" t="s" s="78">
        <v>838</v>
      </c>
      <c r="L184" t="s" s="78">
        <v>965</v>
      </c>
      <c r="M184" t="s" s="78">
        <v>966</v>
      </c>
      <c r="N184" t="s" s="78">
        <v>282</v>
      </c>
      <c r="O184" s="80">
        <v>1</v>
      </c>
      <c r="P184" t="str" s="49">
        <v>Reserva</v>
      </c>
      <c r="Q184" s="81"/>
    </row>
    <row r="185" ht="46.65" customHeight="1">
      <c r="A185" t="s" s="78">
        <v>967</v>
      </c>
      <c r="B185" t="str" s="79" cm="1">
        <f t="array" ref="B185">"7-9|"&amp;F185</f>
        <v>7-9|Sistemas físicos</v>
      </c>
      <c r="C185" t="s" s="78">
        <v>139</v>
      </c>
      <c r="D185" t="s" s="78">
        <v>343</v>
      </c>
      <c r="E185" s="79"/>
      <c r="F185" t="s" s="78">
        <v>186</v>
      </c>
      <c r="G185" s="80">
        <v>37</v>
      </c>
      <c r="H185" s="80">
        <v>8</v>
      </c>
      <c r="I185" t="s" s="78">
        <v>480</v>
      </c>
      <c r="J185" t="s" s="78">
        <v>968</v>
      </c>
      <c r="K185" t="s" s="78">
        <v>838</v>
      </c>
      <c r="L185" t="s" s="78">
        <v>969</v>
      </c>
      <c r="M185" t="s" s="78">
        <v>970</v>
      </c>
      <c r="N185" t="s" s="78">
        <v>291</v>
      </c>
      <c r="O185" s="80">
        <v>1</v>
      </c>
      <c r="P185" t="str" s="49">
        <v>Reserva</v>
      </c>
      <c r="Q185" s="81"/>
    </row>
    <row r="186" ht="35.65" customHeight="1">
      <c r="A186" t="s" s="78">
        <v>971</v>
      </c>
      <c r="B186" t="str" s="79" cm="1">
        <f t="array" ref="B186">"7-9|"&amp;F186</f>
        <v>7-9|Sistemas físicos</v>
      </c>
      <c r="C186" t="s" s="78">
        <v>139</v>
      </c>
      <c r="D186" t="s" s="78">
        <v>424</v>
      </c>
      <c r="E186" s="79"/>
      <c r="F186" t="s" s="78">
        <v>186</v>
      </c>
      <c r="G186" s="80">
        <v>1</v>
      </c>
      <c r="H186" s="80">
        <v>7</v>
      </c>
      <c r="I186" t="s" s="78">
        <v>529</v>
      </c>
      <c r="J186" t="s" s="78">
        <v>972</v>
      </c>
      <c r="K186" t="s" s="78">
        <v>854</v>
      </c>
      <c r="L186" t="s" s="78">
        <v>973</v>
      </c>
      <c r="M186" t="s" s="78">
        <v>974</v>
      </c>
      <c r="N186" t="s" s="78">
        <v>282</v>
      </c>
      <c r="O186" s="80">
        <v>0</v>
      </c>
      <c r="P186" t="str" s="49">
        <v>Opcional (no cambia el total)</v>
      </c>
      <c r="Q186" s="81"/>
    </row>
    <row r="187" ht="35.65" customHeight="1">
      <c r="A187" t="s" s="78">
        <v>975</v>
      </c>
      <c r="B187" t="str" s="79" cm="1">
        <f t="array" ref="B187">"7-9|"&amp;F187</f>
        <v>7-9|Sistemas físicos</v>
      </c>
      <c r="C187" t="s" s="78">
        <v>139</v>
      </c>
      <c r="D187" t="s" s="78">
        <v>424</v>
      </c>
      <c r="E187" s="79"/>
      <c r="F187" t="s" s="78">
        <v>186</v>
      </c>
      <c r="G187" s="80">
        <v>2</v>
      </c>
      <c r="H187" s="80">
        <v>7</v>
      </c>
      <c r="I187" t="s" s="78">
        <v>648</v>
      </c>
      <c r="J187" t="s" s="78">
        <v>976</v>
      </c>
      <c r="K187" t="s" s="78">
        <v>869</v>
      </c>
      <c r="L187" t="s" s="78">
        <v>977</v>
      </c>
      <c r="M187" t="s" s="78">
        <v>978</v>
      </c>
      <c r="N187" t="s" s="78">
        <v>291</v>
      </c>
      <c r="O187" s="80">
        <v>0</v>
      </c>
      <c r="P187" t="str" s="49">
        <v>Opcional (no cambia el total)</v>
      </c>
      <c r="Q187" s="81"/>
    </row>
    <row r="188" ht="35.65" customHeight="1">
      <c r="A188" t="s" s="78">
        <v>979</v>
      </c>
      <c r="B188" t="str" s="79" cm="1">
        <f t="array" ref="B188">"7-9|"&amp;F188</f>
        <v>7-9|Sistemas vivos</v>
      </c>
      <c r="C188" t="s" s="78">
        <v>139</v>
      </c>
      <c r="D188" t="s" s="78">
        <v>424</v>
      </c>
      <c r="E188" s="79"/>
      <c r="F188" t="s" s="78">
        <v>187</v>
      </c>
      <c r="G188" s="80">
        <v>1</v>
      </c>
      <c r="H188" s="80">
        <v>9</v>
      </c>
      <c r="I188" t="s" s="78">
        <v>747</v>
      </c>
      <c r="J188" t="s" s="78">
        <v>980</v>
      </c>
      <c r="K188" t="s" s="78">
        <v>786</v>
      </c>
      <c r="L188" t="s" s="78">
        <v>981</v>
      </c>
      <c r="M188" t="s" s="78">
        <v>982</v>
      </c>
      <c r="N188" t="s" s="78">
        <v>282</v>
      </c>
      <c r="O188" s="80">
        <v>0</v>
      </c>
      <c r="P188" t="str" s="49">
        <v>Opcional (no cambia el total)</v>
      </c>
      <c r="Q188" s="81"/>
    </row>
    <row r="189" ht="35.65" customHeight="1">
      <c r="A189" t="s" s="78">
        <v>983</v>
      </c>
      <c r="B189" t="str" s="79" cm="1">
        <f t="array" ref="B189">"7-9|"&amp;F189</f>
        <v>7-9|Sistemas vivos</v>
      </c>
      <c r="C189" t="s" s="78">
        <v>139</v>
      </c>
      <c r="D189" t="s" s="78">
        <v>424</v>
      </c>
      <c r="E189" s="79"/>
      <c r="F189" t="s" s="78">
        <v>187</v>
      </c>
      <c r="G189" s="80">
        <v>2</v>
      </c>
      <c r="H189" s="80">
        <v>9</v>
      </c>
      <c r="I189" t="s" s="78">
        <v>747</v>
      </c>
      <c r="J189" t="s" s="78">
        <v>984</v>
      </c>
      <c r="K189" t="s" s="78">
        <v>786</v>
      </c>
      <c r="L189" t="s" s="78">
        <v>985</v>
      </c>
      <c r="M189" t="s" s="78">
        <v>986</v>
      </c>
      <c r="N189" t="s" s="78">
        <v>282</v>
      </c>
      <c r="O189" s="80">
        <v>0</v>
      </c>
      <c r="P189" t="str" s="49">
        <v>Opcional (no cambia el total)</v>
      </c>
      <c r="Q189" s="81"/>
    </row>
    <row r="190" ht="46.65" customHeight="1">
      <c r="A190" t="s" s="78">
        <v>987</v>
      </c>
      <c r="B190" t="str" s="79" cm="1">
        <f t="array" ref="B190">"7-9|"&amp;F190</f>
        <v>7-9|Sistemas vivos</v>
      </c>
      <c r="C190" t="s" s="78">
        <v>139</v>
      </c>
      <c r="D190" t="s" s="78">
        <v>424</v>
      </c>
      <c r="E190" s="79"/>
      <c r="F190" t="s" s="78">
        <v>187</v>
      </c>
      <c r="G190" s="80">
        <v>3</v>
      </c>
      <c r="H190" s="80">
        <v>9</v>
      </c>
      <c r="I190" t="s" s="78">
        <v>777</v>
      </c>
      <c r="J190" t="s" s="78">
        <v>988</v>
      </c>
      <c r="K190" t="s" s="78">
        <v>989</v>
      </c>
      <c r="L190" t="s" s="78">
        <v>990</v>
      </c>
      <c r="M190" t="s" s="78">
        <v>991</v>
      </c>
      <c r="N190" t="s" s="78">
        <v>282</v>
      </c>
      <c r="O190" s="80">
        <v>0</v>
      </c>
      <c r="P190" t="str" s="49">
        <v>Opcional (no cambia el total)</v>
      </c>
      <c r="Q190" s="81"/>
    </row>
    <row r="191" ht="35.65" customHeight="1">
      <c r="A191" t="s" s="78">
        <v>992</v>
      </c>
      <c r="B191" t="str" s="79" cm="1">
        <f t="array" ref="B191">"7-9|"&amp;F191</f>
        <v>7-9|Sistemas vivos</v>
      </c>
      <c r="C191" t="s" s="78">
        <v>139</v>
      </c>
      <c r="D191" t="s" s="78">
        <v>424</v>
      </c>
      <c r="E191" s="79"/>
      <c r="F191" t="s" s="78">
        <v>187</v>
      </c>
      <c r="G191" s="80">
        <v>4</v>
      </c>
      <c r="H191" s="80">
        <v>9</v>
      </c>
      <c r="I191" t="s" s="78">
        <v>747</v>
      </c>
      <c r="J191" t="s" s="78">
        <v>993</v>
      </c>
      <c r="K191" t="s" s="78">
        <v>994</v>
      </c>
      <c r="L191" t="s" s="78">
        <v>995</v>
      </c>
      <c r="M191" t="s" s="78">
        <v>996</v>
      </c>
      <c r="N191" t="s" s="78">
        <v>282</v>
      </c>
      <c r="O191" s="80">
        <v>0</v>
      </c>
      <c r="P191" t="str" s="49">
        <v>Opcional (no cambia el total)</v>
      </c>
      <c r="Q191" s="81"/>
    </row>
    <row r="192" ht="13.55" customHeight="1">
      <c r="A192" s="42"/>
      <c r="B192" s="18"/>
      <c r="C192" s="18"/>
      <c r="D192" s="18"/>
      <c r="E192" s="18"/>
      <c r="F192" s="18"/>
      <c r="G192" s="18"/>
      <c r="H192" s="18"/>
      <c r="I192" s="18"/>
      <c r="J192" s="18"/>
      <c r="K192" s="18"/>
      <c r="L192" s="18"/>
      <c r="M192" s="18"/>
      <c r="N192" s="18"/>
      <c r="O192" s="18"/>
      <c r="P192" s="18"/>
      <c r="Q192" s="51"/>
    </row>
    <row r="193" ht="98" customHeight="1">
      <c r="A193" t="s" s="54">
        <v>997</v>
      </c>
      <c r="B193" s="24"/>
      <c r="C193" s="24"/>
      <c r="D193" s="24"/>
      <c r="E193" s="24"/>
      <c r="F193" s="24"/>
      <c r="G193" s="24"/>
      <c r="H193" s="24"/>
      <c r="I193" s="24"/>
      <c r="J193" s="24"/>
      <c r="K193" s="24"/>
      <c r="L193" s="24"/>
      <c r="M193" s="24"/>
      <c r="N193" s="24"/>
      <c r="O193" s="24"/>
      <c r="P193" s="24"/>
      <c r="Q193" s="25"/>
    </row>
  </sheetData>
  <mergeCells count="3">
    <mergeCell ref="A3:Q3"/>
    <mergeCell ref="A193:N193"/>
    <mergeCell ref="A2:N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O22"/>
  <sheetViews>
    <sheetView workbookViewId="0" showGridLines="0" defaultGridColor="1"/>
  </sheetViews>
  <sheetFormatPr defaultColWidth="8.83333" defaultRowHeight="15" customHeight="1" outlineLevelRow="0" outlineLevelCol="0"/>
  <cols>
    <col min="1" max="1" width="12" style="82" customWidth="1"/>
    <col min="2" max="2" width="22" style="82" customWidth="1"/>
    <col min="3" max="3" width="26" style="82" customWidth="1"/>
    <col min="4" max="4" width="11" style="82" customWidth="1"/>
    <col min="5" max="5" width="13" style="82" customWidth="1"/>
    <col min="6" max="7" width="9" style="82" customWidth="1"/>
    <col min="8" max="8" width="11" style="82" customWidth="1"/>
    <col min="9" max="9" width="13" style="82" customWidth="1"/>
    <col min="10" max="10" width="10" style="82" customWidth="1"/>
    <col min="11" max="11" width="22" style="82" customWidth="1"/>
    <col min="12" max="13" width="14" style="82" customWidth="1"/>
    <col min="14" max="14" width="12" style="82" customWidth="1"/>
    <col min="15" max="15" width="16" style="82" customWidth="1"/>
    <col min="16" max="16384" width="8.85156" style="82" customWidth="1"/>
  </cols>
  <sheetData>
    <row r="1" ht="18.5" customHeight="1">
      <c r="A1" t="s" s="83">
        <v>999</v>
      </c>
      <c r="B1" s="9"/>
      <c r="C1" s="9"/>
      <c r="D1" s="9"/>
      <c r="E1" s="9"/>
      <c r="F1" s="9"/>
      <c r="G1" s="9"/>
      <c r="H1" s="28"/>
      <c r="I1" s="9"/>
      <c r="J1" s="9"/>
      <c r="K1" s="9"/>
      <c r="L1" s="9"/>
      <c r="M1" s="9"/>
      <c r="N1" s="9"/>
      <c r="O1" s="10"/>
    </row>
    <row r="2" ht="13.65" customHeight="1">
      <c r="A2" t="s" s="84">
        <v>1000</v>
      </c>
      <c r="B2" s="44"/>
      <c r="C2" s="44"/>
      <c r="D2" s="44"/>
      <c r="E2" s="44"/>
      <c r="F2" s="44"/>
      <c r="G2" s="85"/>
      <c r="H2" s="58">
        <v>0.05</v>
      </c>
      <c r="I2" s="86"/>
      <c r="J2" s="44"/>
      <c r="K2" s="44"/>
      <c r="L2" s="44"/>
      <c r="M2" s="44"/>
      <c r="N2" s="44"/>
      <c r="O2" s="14"/>
    </row>
    <row r="3" ht="83" customHeight="1">
      <c r="A3" t="str" s="29" cm="1">
        <f t="array" ref="A3">"TIMSS 2027"&amp;"
"&amp;IF(COUNTIF($K$6:$K$8,"En meta")=ROWS($K$6:$K$8),"BIEN · ","OJO · ")&amp;"TIMSS 4.° (2.°–4.°): "&amp;IF(COUNTIF($K$6:$K$8,"En meta")=ROWS($K$6:$K$8),"los "&amp;ROWS($K$6:$K$8)&amp;" dominios están en meta.","faltan "&amp;FIXED(MAX($I$6:$I$8),0)&amp;" temas de "&amp;INDEX($C$6:$C$8,MATCH(MAX($I$6:$I$8),$I$6:$I$8,0))&amp;" y sobran "&amp;FIXED(-MIN($I$6:$I$8),0)&amp;" de "&amp;INDEX($C$6:$C$8,MATCH(MIN($I$6:$I$8),$I$6:$I$8,0))&amp;".")&amp;"
"&amp;IF(COUNTIF($K$11:$K$14,"En meta")=ROWS($K$11:$K$14),"BIEN · ","OJO · ")&amp;"TIMSS 8.° (5.°–8.°): "&amp;IF(COUNTIF($K$11:$K$14,"En meta")=ROWS($K$11:$K$14),"los "&amp;ROWS($K$11:$K$14)&amp;" dominios están en meta.","faltan "&amp;FIXED(MAX($I$11:$I$14),0)&amp;" temas de "&amp;INDEX($C$11:$C$14,MATCH(MAX($I$11:$I$14),$I$11:$I$14,0))&amp;" y sobran "&amp;FIXED(-MIN($I$11:$I$14),0)&amp;" de "&amp;INDEX($C$11:$C$14,MATCH(MIN($I$11:$I$14),$I$11:$I$14,0))&amp;".")&amp;"
"&amp;IF(COUNTIF($K$17:$K$19,"En meta")=ROWS($K$17:$K$19),"BIEN · ","OJO · ")&amp;"TIMSS Advanced (Física 10.°–11.°): "&amp;IF(COUNTIF($K$17:$K$19,"En meta")=ROWS($K$17:$K$19),"los "&amp;ROWS($K$17:$K$19)&amp;" dominios están en meta.","faltan "&amp;FIXED(MAX($I$17:$I$19),0)&amp;" temas de "&amp;INDEX($C$17:$C$19,MATCH(MAX($I$17:$I$19),$I$17:$I$19,0))&amp;" y sobran "&amp;FIXED(-MIN($I$17:$I$19),0)&amp;" de "&amp;INDEX($C$17:$C$19,MATCH(MIN($I$17:$I$19),$I$17:$I$19,0))&amp;".")&amp;"
"&amp;"→ Esta es la comparación más justa: TIMSS evalúa lo acumulado, no cada grado. PISA: hoja «PISA - Contenidos»."</f>
        <v>TIMSS 2027
OJO · TIMSS 4.° (2.°–4.°): faltan 9 temas de Ciencias físicas y sobran 12 de Biología.
BIEN · TIMSS 8.° (5.°–8.°): los 4 dominios están en meta.
OJO · TIMSS Advanced (Física 10.°–11.°): faltan 9 temas de Mecánica y termodinámica y sobran 15 de Ondas y física atómica/nuclear.
→ Esta es la comparación más justa: TIMSS evalúa lo acumulado, no cada grado. PISA: hoja «PISA - Contenidos».</v>
      </c>
      <c r="B3" s="30"/>
      <c r="C3" s="31"/>
      <c r="D3" s="31"/>
      <c r="E3" s="31"/>
      <c r="F3" s="31"/>
      <c r="G3" s="31"/>
      <c r="H3" s="31"/>
      <c r="I3" s="31"/>
      <c r="J3" s="31"/>
      <c r="K3" s="31"/>
      <c r="L3" s="31"/>
      <c r="M3" s="31"/>
      <c r="N3" s="32"/>
      <c r="O3" s="87"/>
    </row>
    <row r="4" ht="13.55" customHeight="1">
      <c r="A4" s="71"/>
      <c r="B4" s="31"/>
      <c r="C4" s="31"/>
      <c r="D4" s="31"/>
      <c r="E4" s="31"/>
      <c r="F4" s="31"/>
      <c r="G4" s="31"/>
      <c r="H4" s="31"/>
      <c r="I4" s="31"/>
      <c r="J4" s="31"/>
      <c r="K4" s="31"/>
      <c r="L4" s="31"/>
      <c r="M4" s="31"/>
      <c r="N4" s="31"/>
      <c r="O4" s="45"/>
    </row>
    <row r="5" ht="66" customHeight="1">
      <c r="A5" t="s" s="34">
        <v>56</v>
      </c>
      <c r="B5" t="s" s="34">
        <v>57</v>
      </c>
      <c r="C5" t="s" s="34">
        <v>1002</v>
      </c>
      <c r="D5" t="s" s="34">
        <v>1003</v>
      </c>
      <c r="E5" t="s" s="34">
        <v>1004</v>
      </c>
      <c r="F5" t="s" s="34">
        <v>1005</v>
      </c>
      <c r="G5" t="s" s="34">
        <v>1006</v>
      </c>
      <c r="H5" t="s" s="34">
        <v>1007</v>
      </c>
      <c r="I5" t="s" s="34">
        <v>1008</v>
      </c>
      <c r="J5" t="s" s="34">
        <v>1009</v>
      </c>
      <c r="K5" t="s" s="34">
        <v>203</v>
      </c>
      <c r="L5" t="s" s="34">
        <v>1010</v>
      </c>
      <c r="M5" t="s" s="34">
        <v>1011</v>
      </c>
      <c r="N5" t="s" s="34">
        <v>1012</v>
      </c>
      <c r="O5" t="s" s="34">
        <v>1013</v>
      </c>
    </row>
    <row r="6" ht="13.65" customHeight="1">
      <c r="A6" t="s" s="35">
        <v>112</v>
      </c>
      <c r="B6" t="s" s="35">
        <v>70</v>
      </c>
      <c r="C6" t="s" s="35">
        <v>210</v>
      </c>
      <c r="D6" s="36" cm="1">
        <f t="array" ref="D6">_xlfn.COUNTIFS('Datos - Temas'!$W$5:$W$1264,$A6,'Datos - Temas'!$M$5:$M$1264,$C6)</f>
        <v>94</v>
      </c>
      <c r="E6" s="36" cm="1">
        <f t="array" ref="E6">_xlfn.COUNTIFS('Datos - Temas'!$W$5:$W$1264,$A6)-_xlfn.COUNTIFS('Datos - Temas'!$W$5:$W$1264,$A6,'Datos - Temas'!$K$5:$K$1264,"FUERA")-_xlfn.COUNTIFS('Datos - Temas'!$W$5:$W$1264,$A6,'Datos - Temas'!$K$5:$K$1264,"PENDIENTE")</f>
        <v>182</v>
      </c>
      <c r="F6" s="38" cm="1">
        <f t="array" ref="F6">IF(E6=0,0,D6/E6)</f>
        <v>0.516483516483516</v>
      </c>
      <c r="G6" s="58">
        <v>0.45</v>
      </c>
      <c r="H6" s="70" cm="1">
        <f t="array" ref="H6">G6*E6</f>
        <v>81.90000000000001</v>
      </c>
      <c r="I6" s="70" cm="1">
        <f t="array" ref="I6">H6-D6</f>
        <v>-12.1</v>
      </c>
      <c r="J6" s="88" cm="1">
        <f t="array" ref="J6">(G6-F6)*100</f>
        <v>-6.6483516483516</v>
      </c>
      <c r="K6" t="str" s="89" cm="1">
        <f t="array" ref="K6">IF(ABS(G6-F6)&lt;=$H$2,"En meta",IF(I6&gt;0,"Faltan "&amp;FIXED(I6,0)&amp;" temas","Sobran "&amp;FIXED(-I6,0)&amp;" temas"))</f>
        <v>Sobran 12 temas</v>
      </c>
      <c r="L6" s="70" cm="1">
        <f t="array" ref="L6">MAX(D6/G6,D7/G7,D8/G8)</f>
        <v>208.888888888889</v>
      </c>
      <c r="M6" s="36" cm="1">
        <f t="array" ref="M6">MAX(0,ROUNDUP(G6*L6-D6,0))</f>
        <v>1</v>
      </c>
      <c r="N6" s="36" cm="1">
        <f t="array" ref="N6">_xlfn.COUNTIFS('Datos - Temas'!$W$5:$W$1264,$A6,'Datos - Temas'!$K$5:$K$1264,"FUERA")</f>
        <v>26</v>
      </c>
      <c r="O6" s="38" cm="1">
        <f t="array" ref="O6">ABS(F6-G6)</f>
        <v>0.066483516483516</v>
      </c>
    </row>
    <row r="7" ht="13.65" customHeight="1">
      <c r="A7" t="s" s="35">
        <v>112</v>
      </c>
      <c r="B7" t="s" s="35">
        <v>70</v>
      </c>
      <c r="C7" t="s" s="35">
        <v>213</v>
      </c>
      <c r="D7" s="36" cm="1">
        <f t="array" ref="D7">_xlfn.COUNTIFS('Datos - Temas'!$W$5:$W$1264,$A7,'Datos - Temas'!$M$5:$M$1264,$C7)</f>
        <v>55</v>
      </c>
      <c r="E7" s="36" cm="1">
        <f t="array" ref="E7">_xlfn.COUNTIFS('Datos - Temas'!$W$5:$W$1264,$A7)-_xlfn.COUNTIFS('Datos - Temas'!$W$5:$W$1264,$A7,'Datos - Temas'!$K$5:$K$1264,"FUERA")-_xlfn.COUNTIFS('Datos - Temas'!$W$5:$W$1264,$A7,'Datos - Temas'!$K$5:$K$1264,"PENDIENTE")</f>
        <v>182</v>
      </c>
      <c r="F7" s="38" cm="1">
        <f t="array" ref="F7">IF(E7=0,0,D7/E7)</f>
        <v>0.302197802197802</v>
      </c>
      <c r="G7" s="58">
        <v>0.35</v>
      </c>
      <c r="H7" s="70" cm="1">
        <f t="array" ref="H7">G7*E7</f>
        <v>63.7</v>
      </c>
      <c r="I7" s="70" cm="1">
        <f t="array" ref="I7">H7-D7</f>
        <v>8.699999999999999</v>
      </c>
      <c r="J7" s="88" cm="1">
        <f t="array" ref="J7">(G7-F7)*100</f>
        <v>4.7802197802198</v>
      </c>
      <c r="K7" t="str" s="89" cm="1">
        <f t="array" ref="K7">IF(ABS(G7-F7)&lt;=$H$2,"En meta",IF(I7&gt;0,"Faltan "&amp;FIXED(I7,0)&amp;" temas","Sobran "&amp;FIXED(-I7,0)&amp;" temas"))</f>
        <v>En meta</v>
      </c>
      <c r="L7" s="70" cm="1">
        <f t="array" ref="L7">MAX(D6/G6,D7/G7,D8/G8)</f>
        <v>208.888888888889</v>
      </c>
      <c r="M7" s="36" cm="1">
        <f t="array" ref="M7">MAX(0,ROUNDUP(G7*L7-D7,0))</f>
        <v>19</v>
      </c>
      <c r="N7" s="36" cm="1">
        <f t="array" ref="N7">_xlfn.COUNTIFS('Datos - Temas'!$W$5:$W$1264,$A7,'Datos - Temas'!$K$5:$K$1264,"FUERA")</f>
        <v>26</v>
      </c>
      <c r="O7" s="38" cm="1">
        <f t="array" ref="O7">ABS(F7-G7)</f>
        <v>0.047802197802198</v>
      </c>
    </row>
    <row r="8" ht="13.65" customHeight="1">
      <c r="A8" t="s" s="35">
        <v>112</v>
      </c>
      <c r="B8" t="s" s="35">
        <v>70</v>
      </c>
      <c r="C8" t="s" s="35">
        <v>216</v>
      </c>
      <c r="D8" s="36" cm="1">
        <f t="array" ref="D8">_xlfn.COUNTIFS('Datos - Temas'!$W$5:$W$1264,$A8,'Datos - Temas'!$M$5:$M$1264,$C8)</f>
        <v>33</v>
      </c>
      <c r="E8" s="36" cm="1">
        <f t="array" ref="E8">_xlfn.COUNTIFS('Datos - Temas'!$W$5:$W$1264,$A8)-_xlfn.COUNTIFS('Datos - Temas'!$W$5:$W$1264,$A8,'Datos - Temas'!$K$5:$K$1264,"FUERA")-_xlfn.COUNTIFS('Datos - Temas'!$W$5:$W$1264,$A8,'Datos - Temas'!$K$5:$K$1264,"PENDIENTE")</f>
        <v>182</v>
      </c>
      <c r="F8" s="38" cm="1">
        <f t="array" ref="F8">IF(E8=0,0,D8/E8)</f>
        <v>0.181318681318681</v>
      </c>
      <c r="G8" s="58">
        <v>0.2</v>
      </c>
      <c r="H8" s="70" cm="1">
        <f t="array" ref="H8">G8*E8</f>
        <v>36.4</v>
      </c>
      <c r="I8" s="70" cm="1">
        <f t="array" ref="I8">H8-D8</f>
        <v>3.4</v>
      </c>
      <c r="J8" s="88" cm="1">
        <f t="array" ref="J8">(G8-F8)*100</f>
        <v>1.8681318681319</v>
      </c>
      <c r="K8" t="str" s="89" cm="1">
        <f t="array" ref="K8">IF(ABS(G8-F8)&lt;=$H$2,"En meta",IF(I8&gt;0,"Faltan "&amp;FIXED(I8,0)&amp;" temas","Sobran "&amp;FIXED(-I8,0)&amp;" temas"))</f>
        <v>En meta</v>
      </c>
      <c r="L8" s="70" cm="1">
        <f t="array" ref="L8">MAX(D6/G6,D7/G7,D8/G8)</f>
        <v>208.888888888889</v>
      </c>
      <c r="M8" s="36" cm="1">
        <f t="array" ref="M8">MAX(0,ROUNDUP(G8*L8-D8,0))</f>
        <v>9</v>
      </c>
      <c r="N8" s="36" cm="1">
        <f t="array" ref="N8">_xlfn.COUNTIFS('Datos - Temas'!$W$5:$W$1264,$A8,'Datos - Temas'!$K$5:$K$1264,"FUERA")</f>
        <v>26</v>
      </c>
      <c r="O8" s="38" cm="1">
        <f t="array" ref="O8">ABS(F8-G8)</f>
        <v>0.018681318681319</v>
      </c>
    </row>
    <row r="9" ht="13.65" customHeight="1">
      <c r="A9" s="64"/>
      <c r="B9" s="64"/>
      <c r="C9" t="s" s="63">
        <v>1016</v>
      </c>
      <c r="D9" s="77" cm="1">
        <f t="array" ref="D9">SUM(D6:D8)</f>
        <v>182</v>
      </c>
      <c r="E9" s="64"/>
      <c r="F9" s="64"/>
      <c r="G9" s="90" cm="1">
        <f t="array" ref="G9">SUM(G6:G8)</f>
        <v>1</v>
      </c>
      <c r="H9" s="64"/>
      <c r="I9" s="64"/>
      <c r="J9" s="64"/>
      <c r="K9" s="64"/>
      <c r="L9" s="64"/>
      <c r="M9" s="77" cm="1">
        <f t="array" ref="M9">SUM(M6:M8)</f>
        <v>29</v>
      </c>
      <c r="N9" s="64"/>
      <c r="O9" s="65" cm="1">
        <f t="array" ref="O9">1-SUM(O6:O8)/2</f>
        <v>0.933516483516484</v>
      </c>
    </row>
    <row r="10" ht="13.55" customHeight="1">
      <c r="A10" s="71"/>
      <c r="B10" s="31"/>
      <c r="C10" s="31"/>
      <c r="D10" s="31"/>
      <c r="E10" s="31"/>
      <c r="F10" s="31"/>
      <c r="G10" s="31"/>
      <c r="H10" s="31"/>
      <c r="I10" s="31"/>
      <c r="J10" s="31"/>
      <c r="K10" s="31"/>
      <c r="L10" s="31"/>
      <c r="M10" s="31"/>
      <c r="N10" s="31"/>
      <c r="O10" s="91"/>
    </row>
    <row r="11" ht="13.65" customHeight="1">
      <c r="A11" t="s" s="35">
        <v>115</v>
      </c>
      <c r="B11" t="s" s="35">
        <v>80</v>
      </c>
      <c r="C11" t="s" s="35">
        <v>210</v>
      </c>
      <c r="D11" s="36" cm="1">
        <f t="array" ref="D11">_xlfn.COUNTIFS('Datos - Temas'!$W$5:$W$1264,$A11,'Datos - Temas'!$M$5:$M$1264,$C11)</f>
        <v>103</v>
      </c>
      <c r="E11" s="36" cm="1">
        <f t="array" ref="E11">_xlfn.COUNTIFS('Datos - Temas'!$W$5:$W$1264,$A11)-_xlfn.COUNTIFS('Datos - Temas'!$W$5:$W$1264,$A11,'Datos - Temas'!$K$5:$K$1264,"FUERA")-_xlfn.COUNTIFS('Datos - Temas'!$W$5:$W$1264,$A11,'Datos - Temas'!$K$5:$K$1264,"PENDIENTE")</f>
        <v>302</v>
      </c>
      <c r="F11" s="38" cm="1">
        <f t="array" ref="F11">IF(E11=0,0,D11/E11)</f>
        <v>0.341059602649007</v>
      </c>
      <c r="G11" s="58">
        <v>0.35</v>
      </c>
      <c r="H11" s="70" cm="1">
        <f t="array" ref="H11">G11*E11</f>
        <v>105.7</v>
      </c>
      <c r="I11" s="70" cm="1">
        <f t="array" ref="I11">H11-D11</f>
        <v>2.7</v>
      </c>
      <c r="J11" s="88" cm="1">
        <f t="array" ref="J11">(G11-F11)*100</f>
        <v>0.8940397350993</v>
      </c>
      <c r="K11" t="str" s="89" cm="1">
        <f t="array" ref="K11">IF(ABS(G11-F11)&lt;=$H$2,"En meta",IF(I11&gt;0,"Faltan "&amp;FIXED(I11,0)&amp;" temas","Sobran "&amp;FIXED(-I11,0)&amp;" temas"))</f>
        <v>En meta</v>
      </c>
      <c r="L11" s="70" cm="1">
        <f t="array" ref="L11">MAX(D11/G11,D12/G12,D13/G13,D14/G14)</f>
        <v>332</v>
      </c>
      <c r="M11" s="36" cm="1">
        <f t="array" ref="M11">MAX(0,ROUNDUP(G11*L11-D11,0))</f>
        <v>14</v>
      </c>
      <c r="N11" s="36" cm="1">
        <f t="array" ref="N11">_xlfn.COUNTIFS('Datos - Temas'!$W$5:$W$1264,$A11,'Datos - Temas'!$K$5:$K$1264,"FUERA")</f>
        <v>22</v>
      </c>
      <c r="O11" s="38" cm="1">
        <f t="array" ref="O11">ABS(F11-G11)</f>
        <v>0.008940397350993</v>
      </c>
    </row>
    <row r="12" ht="13.65" customHeight="1">
      <c r="A12" t="s" s="35">
        <v>115</v>
      </c>
      <c r="B12" t="s" s="35">
        <v>80</v>
      </c>
      <c r="C12" t="s" s="35">
        <v>220</v>
      </c>
      <c r="D12" s="36" cm="1">
        <f t="array" ref="D12">_xlfn.COUNTIFS('Datos - Temas'!$W$5:$W$1264,$A12,'Datos - Temas'!$M$5:$M$1264,$C12)</f>
        <v>63</v>
      </c>
      <c r="E12" s="36" cm="1">
        <f t="array" ref="E12">_xlfn.COUNTIFS('Datos - Temas'!$W$5:$W$1264,$A12)-_xlfn.COUNTIFS('Datos - Temas'!$W$5:$W$1264,$A12,'Datos - Temas'!$K$5:$K$1264,"FUERA")-_xlfn.COUNTIFS('Datos - Temas'!$W$5:$W$1264,$A12,'Datos - Temas'!$K$5:$K$1264,"PENDIENTE")</f>
        <v>302</v>
      </c>
      <c r="F12" s="38" cm="1">
        <f t="array" ref="F12">IF(E12=0,0,D12/E12)</f>
        <v>0.208609271523179</v>
      </c>
      <c r="G12" s="58">
        <v>0.2</v>
      </c>
      <c r="H12" s="70" cm="1">
        <f t="array" ref="H12">G12*E12</f>
        <v>60.4</v>
      </c>
      <c r="I12" s="70" cm="1">
        <f t="array" ref="I12">H12-D12</f>
        <v>-2.6</v>
      </c>
      <c r="J12" s="88" cm="1">
        <f t="array" ref="J12">(G12-F12)*100</f>
        <v>-0.8609271523179</v>
      </c>
      <c r="K12" t="str" s="89" cm="1">
        <f t="array" ref="K12">IF(ABS(G12-F12)&lt;=$H$2,"En meta",IF(I12&gt;0,"Faltan "&amp;FIXED(I12,0)&amp;" temas","Sobran "&amp;FIXED(-I12,0)&amp;" temas"))</f>
        <v>En meta</v>
      </c>
      <c r="L12" s="70" cm="1">
        <f t="array" ref="L12">MAX(D11/G11,D12/G12,D13/G13,D14/G14)</f>
        <v>332</v>
      </c>
      <c r="M12" s="36" cm="1">
        <f t="array" ref="M12">MAX(0,ROUNDUP(G12*L12-D12,0))</f>
        <v>4</v>
      </c>
      <c r="N12" s="36" cm="1">
        <f t="array" ref="N12">_xlfn.COUNTIFS('Datos - Temas'!$W$5:$W$1264,$A12,'Datos - Temas'!$K$5:$K$1264,"FUERA")</f>
        <v>22</v>
      </c>
      <c r="O12" s="38" cm="1">
        <f t="array" ref="O12">ABS(F12-G12)</f>
        <v>0.008609271523179</v>
      </c>
    </row>
    <row r="13" ht="13.65" customHeight="1">
      <c r="A13" t="s" s="35">
        <v>115</v>
      </c>
      <c r="B13" t="s" s="35">
        <v>80</v>
      </c>
      <c r="C13" t="s" s="35">
        <v>222</v>
      </c>
      <c r="D13" s="36" cm="1">
        <f t="array" ref="D13">_xlfn.COUNTIFS('Datos - Temas'!$W$5:$W$1264,$A13,'Datos - Temas'!$M$5:$M$1264,$C13)</f>
        <v>83</v>
      </c>
      <c r="E13" s="36" cm="1">
        <f t="array" ref="E13">_xlfn.COUNTIFS('Datos - Temas'!$W$5:$W$1264,$A13)-_xlfn.COUNTIFS('Datos - Temas'!$W$5:$W$1264,$A13,'Datos - Temas'!$K$5:$K$1264,"FUERA")-_xlfn.COUNTIFS('Datos - Temas'!$W$5:$W$1264,$A13,'Datos - Temas'!$K$5:$K$1264,"PENDIENTE")</f>
        <v>302</v>
      </c>
      <c r="F13" s="38" cm="1">
        <f t="array" ref="F13">IF(E13=0,0,D13/E13)</f>
        <v>0.274834437086093</v>
      </c>
      <c r="G13" s="58">
        <v>0.25</v>
      </c>
      <c r="H13" s="70" cm="1">
        <f t="array" ref="H13">G13*E13</f>
        <v>75.5</v>
      </c>
      <c r="I13" s="70" cm="1">
        <f t="array" ref="I13">H13-D13</f>
        <v>-7.5</v>
      </c>
      <c r="J13" s="88" cm="1">
        <f t="array" ref="J13">(G13-F13)*100</f>
        <v>-2.4834437086093</v>
      </c>
      <c r="K13" t="str" s="89" cm="1">
        <f t="array" ref="K13">IF(ABS(G13-F13)&lt;=$H$2,"En meta",IF(I13&gt;0,"Faltan "&amp;FIXED(I13,0)&amp;" temas","Sobran "&amp;FIXED(-I13,0)&amp;" temas"))</f>
        <v>En meta</v>
      </c>
      <c r="L13" s="70" cm="1">
        <f t="array" ref="L13">MAX(D11/G11,D12/G12,D13/G13,D14/G14)</f>
        <v>332</v>
      </c>
      <c r="M13" s="36" cm="1">
        <f t="array" ref="M13">MAX(0,ROUNDUP(G13*L13-D13,0))</f>
        <v>0</v>
      </c>
      <c r="N13" s="36" cm="1">
        <f t="array" ref="N13">_xlfn.COUNTIFS('Datos - Temas'!$W$5:$W$1264,$A13,'Datos - Temas'!$K$5:$K$1264,"FUERA")</f>
        <v>22</v>
      </c>
      <c r="O13" s="38" cm="1">
        <f t="array" ref="O13">ABS(F13-G13)</f>
        <v>0.024834437086093</v>
      </c>
    </row>
    <row r="14" ht="13.65" customHeight="1">
      <c r="A14" t="s" s="35">
        <v>115</v>
      </c>
      <c r="B14" t="s" s="35">
        <v>80</v>
      </c>
      <c r="C14" t="s" s="35">
        <v>216</v>
      </c>
      <c r="D14" s="36" cm="1">
        <f t="array" ref="D14">_xlfn.COUNTIFS('Datos - Temas'!$W$5:$W$1264,$A14,'Datos - Temas'!$M$5:$M$1264,$C14)</f>
        <v>53</v>
      </c>
      <c r="E14" s="36" cm="1">
        <f t="array" ref="E14">_xlfn.COUNTIFS('Datos - Temas'!$W$5:$W$1264,$A14)-_xlfn.COUNTIFS('Datos - Temas'!$W$5:$W$1264,$A14,'Datos - Temas'!$K$5:$K$1264,"FUERA")-_xlfn.COUNTIFS('Datos - Temas'!$W$5:$W$1264,$A14,'Datos - Temas'!$K$5:$K$1264,"PENDIENTE")</f>
        <v>302</v>
      </c>
      <c r="F14" s="38" cm="1">
        <f t="array" ref="F14">IF(E14=0,0,D14/E14)</f>
        <v>0.175496688741722</v>
      </c>
      <c r="G14" s="58">
        <v>0.2</v>
      </c>
      <c r="H14" s="70" cm="1">
        <f t="array" ref="H14">G14*E14</f>
        <v>60.4</v>
      </c>
      <c r="I14" s="70" cm="1">
        <f t="array" ref="I14">H14-D14</f>
        <v>7.4</v>
      </c>
      <c r="J14" s="88" cm="1">
        <f t="array" ref="J14">(G14-F14)*100</f>
        <v>2.4503311258278</v>
      </c>
      <c r="K14" t="str" s="89" cm="1">
        <f t="array" ref="K14">IF(ABS(G14-F14)&lt;=$H$2,"En meta",IF(I14&gt;0,"Faltan "&amp;FIXED(I14,0)&amp;" temas","Sobran "&amp;FIXED(-I14,0)&amp;" temas"))</f>
        <v>En meta</v>
      </c>
      <c r="L14" s="70" cm="1">
        <f t="array" ref="L14">MAX(D11/G11,D12/G12,D13/G13,D14/G14)</f>
        <v>332</v>
      </c>
      <c r="M14" s="36" cm="1">
        <f t="array" ref="M14">MAX(0,ROUNDUP(G14*L14-D14,0))</f>
        <v>14</v>
      </c>
      <c r="N14" s="36" cm="1">
        <f t="array" ref="N14">_xlfn.COUNTIFS('Datos - Temas'!$W$5:$W$1264,$A14,'Datos - Temas'!$K$5:$K$1264,"FUERA")</f>
        <v>22</v>
      </c>
      <c r="O14" s="38" cm="1">
        <f t="array" ref="O14">ABS(F14-G14)</f>
        <v>0.024503311258278</v>
      </c>
    </row>
    <row r="15" ht="13.65" customHeight="1">
      <c r="A15" s="64"/>
      <c r="B15" s="64"/>
      <c r="C15" t="s" s="63">
        <v>1016</v>
      </c>
      <c r="D15" s="77" cm="1">
        <f t="array" ref="D15">SUM(D11:D14)</f>
        <v>302</v>
      </c>
      <c r="E15" s="64"/>
      <c r="F15" s="64"/>
      <c r="G15" s="90" cm="1">
        <f t="array" ref="G15">SUM(G11:G14)</f>
        <v>1</v>
      </c>
      <c r="H15" s="64"/>
      <c r="I15" s="64"/>
      <c r="J15" s="64"/>
      <c r="K15" s="64"/>
      <c r="L15" s="64"/>
      <c r="M15" s="77" cm="1">
        <f t="array" ref="M15">SUM(M11:M14)</f>
        <v>32</v>
      </c>
      <c r="N15" s="64"/>
      <c r="O15" s="65" cm="1">
        <f t="array" ref="O15">1-SUM(O11:O14)/2</f>
        <v>0.966556291390729</v>
      </c>
    </row>
    <row r="16" ht="13.55" customHeight="1">
      <c r="A16" s="71"/>
      <c r="B16" s="31"/>
      <c r="C16" s="31"/>
      <c r="D16" s="31"/>
      <c r="E16" s="31"/>
      <c r="F16" s="31"/>
      <c r="G16" s="31"/>
      <c r="H16" s="31"/>
      <c r="I16" s="31"/>
      <c r="J16" s="31"/>
      <c r="K16" s="31"/>
      <c r="L16" s="31"/>
      <c r="M16" s="31"/>
      <c r="N16" s="31"/>
      <c r="O16" s="91"/>
    </row>
    <row r="17" ht="13.65" customHeight="1">
      <c r="A17" t="s" s="35">
        <v>119</v>
      </c>
      <c r="B17" t="s" s="35">
        <v>88</v>
      </c>
      <c r="C17" t="s" s="35">
        <v>1017</v>
      </c>
      <c r="D17" s="36" cm="1">
        <f t="array" ref="D17">_xlfn.COUNTIFS('Datos - Temas'!$W$5:$W$1264,$A17,'Datos - Temas'!$M$5:$M$1264,$C17)</f>
        <v>71</v>
      </c>
      <c r="E17" s="36" cm="1">
        <f t="array" ref="E17">_xlfn.COUNTIFS('Datos - Temas'!$W$5:$W$1264,$A17)-_xlfn.COUNTIFS('Datos - Temas'!$W$5:$W$1264,$A17,'Datos - Temas'!$K$5:$K$1264,"FUERA")-_xlfn.COUNTIFS('Datos - Temas'!$W$5:$W$1264,$A17,'Datos - Temas'!$K$5:$K$1264,"PENDIENTE")</f>
        <v>199</v>
      </c>
      <c r="F17" s="38" cm="1">
        <f t="array" ref="F17">IF(E17=0,0,D17/E17)</f>
        <v>0.35678391959799</v>
      </c>
      <c r="G17" s="58">
        <v>0.4</v>
      </c>
      <c r="H17" s="70" cm="1">
        <f t="array" ref="H17">G17*E17</f>
        <v>79.59999999999999</v>
      </c>
      <c r="I17" s="70" cm="1">
        <f t="array" ref="I17">H17-D17</f>
        <v>8.6</v>
      </c>
      <c r="J17" s="88" cm="1">
        <f t="array" ref="J17">(G17-F17)*100</f>
        <v>4.321608040201</v>
      </c>
      <c r="K17" t="str" s="89" cm="1">
        <f t="array" ref="K17">IF(ABS(G17-F17)&lt;=$H$2,"En meta",IF(I17&gt;0,"Faltan "&amp;FIXED(I17,0)&amp;" temas","Sobran "&amp;FIXED(-I17,0)&amp;" temas"))</f>
        <v>En meta</v>
      </c>
      <c r="L17" s="70" cm="1">
        <f t="array" ref="L17">MAX(D17/G17,D18/G18,D19/G19)</f>
        <v>242.857142857143</v>
      </c>
      <c r="M17" s="36" cm="1">
        <f t="array" ref="M17">MAX(0,ROUNDUP(G17*L17-D17,0))</f>
        <v>27</v>
      </c>
      <c r="N17" s="36" cm="1">
        <f t="array" ref="N17">_xlfn.COUNTIFS('Datos - Temas'!$W$5:$W$1264,$A17,'Datos - Temas'!$K$5:$K$1264,"FUERA")</f>
        <v>68</v>
      </c>
      <c r="O17" s="38" cm="1">
        <f t="array" ref="O17">ABS(F17-G17)</f>
        <v>0.04321608040201</v>
      </c>
    </row>
    <row r="18" ht="13.65" customHeight="1">
      <c r="A18" t="s" s="35">
        <v>119</v>
      </c>
      <c r="B18" t="s" s="35">
        <v>88</v>
      </c>
      <c r="C18" t="s" s="35">
        <v>1018</v>
      </c>
      <c r="D18" s="36" cm="1">
        <f t="array" ref="D18">_xlfn.COUNTIFS('Datos - Temas'!$W$5:$W$1264,$A18,'Datos - Temas'!$M$5:$M$1264,$C18)</f>
        <v>43</v>
      </c>
      <c r="E18" s="36" cm="1">
        <f t="array" ref="E18">_xlfn.COUNTIFS('Datos - Temas'!$W$5:$W$1264,$A18)-_xlfn.COUNTIFS('Datos - Temas'!$W$5:$W$1264,$A18,'Datos - Temas'!$K$5:$K$1264,"FUERA")-_xlfn.COUNTIFS('Datos - Temas'!$W$5:$W$1264,$A18,'Datos - Temas'!$K$5:$K$1264,"PENDIENTE")</f>
        <v>199</v>
      </c>
      <c r="F18" s="38" cm="1">
        <f t="array" ref="F18">IF(E18=0,0,D18/E18)</f>
        <v>0.21608040201005</v>
      </c>
      <c r="G18" s="58">
        <v>0.25</v>
      </c>
      <c r="H18" s="70" cm="1">
        <f t="array" ref="H18">G18*E18</f>
        <v>49.75</v>
      </c>
      <c r="I18" s="70" cm="1">
        <f t="array" ref="I18">H18-D18</f>
        <v>6.75</v>
      </c>
      <c r="J18" s="88" cm="1">
        <f t="array" ref="J18">(G18-F18)*100</f>
        <v>3.391959798995</v>
      </c>
      <c r="K18" t="str" s="89" cm="1">
        <f t="array" ref="K18">IF(ABS(G18-F18)&lt;=$H$2,"En meta",IF(I18&gt;0,"Faltan "&amp;FIXED(I18,0)&amp;" temas","Sobran "&amp;FIXED(-I18,0)&amp;" temas"))</f>
        <v>En meta</v>
      </c>
      <c r="L18" s="70" cm="1">
        <f t="array" ref="L18">MAX(D17/G17,D18/G18,D19/G19)</f>
        <v>242.857142857143</v>
      </c>
      <c r="M18" s="36" cm="1">
        <f t="array" ref="M18">MAX(0,ROUNDUP(G18*L18-D18,0))</f>
        <v>18</v>
      </c>
      <c r="N18" s="36" cm="1">
        <f t="array" ref="N18">_xlfn.COUNTIFS('Datos - Temas'!$W$5:$W$1264,$A18,'Datos - Temas'!$K$5:$K$1264,"FUERA")</f>
        <v>68</v>
      </c>
      <c r="O18" s="38" cm="1">
        <f t="array" ref="O18">ABS(F18-G18)</f>
        <v>0.03391959798995</v>
      </c>
    </row>
    <row r="19" ht="13.65" customHeight="1">
      <c r="A19" t="s" s="35">
        <v>119</v>
      </c>
      <c r="B19" t="s" s="35">
        <v>88</v>
      </c>
      <c r="C19" t="s" s="35">
        <v>1019</v>
      </c>
      <c r="D19" s="36" cm="1">
        <f t="array" ref="D19">_xlfn.COUNTIFS('Datos - Temas'!$W$5:$W$1264,$A19,'Datos - Temas'!$M$5:$M$1264,$C19)</f>
        <v>85</v>
      </c>
      <c r="E19" s="36" cm="1">
        <f t="array" ref="E19">_xlfn.COUNTIFS('Datos - Temas'!$W$5:$W$1264,$A19)-_xlfn.COUNTIFS('Datos - Temas'!$W$5:$W$1264,$A19,'Datos - Temas'!$K$5:$K$1264,"FUERA")-_xlfn.COUNTIFS('Datos - Temas'!$W$5:$W$1264,$A19,'Datos - Temas'!$K$5:$K$1264,"PENDIENTE")</f>
        <v>199</v>
      </c>
      <c r="F19" s="38" cm="1">
        <f t="array" ref="F19">IF(E19=0,0,D19/E19)</f>
        <v>0.42713567839196</v>
      </c>
      <c r="G19" s="58">
        <v>0.35</v>
      </c>
      <c r="H19" s="70" cm="1">
        <f t="array" ref="H19">G19*E19</f>
        <v>69.65000000000001</v>
      </c>
      <c r="I19" s="70" cm="1">
        <f t="array" ref="I19">H19-D19</f>
        <v>-15.35</v>
      </c>
      <c r="J19" s="88" cm="1">
        <f t="array" ref="J19">(G19-F19)*100</f>
        <v>-7.713567839196</v>
      </c>
      <c r="K19" t="str" s="89" cm="1">
        <f t="array" ref="K19">IF(ABS(G19-F19)&lt;=$H$2,"En meta",IF(I19&gt;0,"Faltan "&amp;FIXED(I19,0)&amp;" temas","Sobran "&amp;FIXED(-I19,0)&amp;" temas"))</f>
        <v>Sobran 15 temas</v>
      </c>
      <c r="L19" s="70" cm="1">
        <f t="array" ref="L19">MAX(D17/G17,D18/G18,D19/G19)</f>
        <v>242.857142857143</v>
      </c>
      <c r="M19" s="36" cm="1">
        <f t="array" ref="M19">MAX(0,ROUNDUP(G19*L19-D19,0))</f>
        <v>1</v>
      </c>
      <c r="N19" s="36" cm="1">
        <f t="array" ref="N19">_xlfn.COUNTIFS('Datos - Temas'!$W$5:$W$1264,$A19,'Datos - Temas'!$K$5:$K$1264,"FUERA")</f>
        <v>68</v>
      </c>
      <c r="O19" s="38" cm="1">
        <f t="array" ref="O19">ABS(F19-G19)</f>
        <v>0.07713567839196001</v>
      </c>
    </row>
    <row r="20" ht="13.65" customHeight="1">
      <c r="A20" s="64"/>
      <c r="B20" s="64"/>
      <c r="C20" t="s" s="63">
        <v>1016</v>
      </c>
      <c r="D20" s="77" cm="1">
        <f t="array" ref="D20">SUM(D17:D19)</f>
        <v>199</v>
      </c>
      <c r="E20" s="64"/>
      <c r="F20" s="64"/>
      <c r="G20" s="90" cm="1">
        <f t="array" ref="G20">SUM(G17:G19)</f>
        <v>1</v>
      </c>
      <c r="H20" s="64"/>
      <c r="I20" s="64"/>
      <c r="J20" s="64"/>
      <c r="K20" s="64"/>
      <c r="L20" s="64"/>
      <c r="M20" s="77" cm="1">
        <f t="array" ref="M20">SUM(M17:M19)</f>
        <v>46</v>
      </c>
      <c r="N20" s="64"/>
      <c r="O20" s="65" cm="1">
        <f t="array" ref="O20">1-SUM(O17:O19)/2</f>
        <v>0.92286432160804</v>
      </c>
    </row>
    <row r="21" ht="13.55" customHeight="1">
      <c r="A21" s="42"/>
      <c r="B21" s="18"/>
      <c r="C21" s="18"/>
      <c r="D21" s="18"/>
      <c r="E21" s="18"/>
      <c r="F21" s="18"/>
      <c r="G21" s="18"/>
      <c r="H21" s="18"/>
      <c r="I21" s="18"/>
      <c r="J21" s="18"/>
      <c r="K21" s="18"/>
      <c r="L21" s="18"/>
      <c r="M21" s="18"/>
      <c r="N21" s="18"/>
      <c r="O21" s="51"/>
    </row>
    <row r="22" ht="56" customHeight="1">
      <c r="A22" t="s" s="54">
        <v>1021</v>
      </c>
      <c r="B22" s="24"/>
      <c r="C22" s="24"/>
      <c r="D22" s="24"/>
      <c r="E22" s="24"/>
      <c r="F22" s="24"/>
      <c r="G22" s="24"/>
      <c r="H22" s="24"/>
      <c r="I22" s="24"/>
      <c r="J22" s="24"/>
      <c r="K22" s="24"/>
      <c r="L22" s="24"/>
      <c r="M22" s="24"/>
      <c r="N22" s="24"/>
      <c r="O22" s="25"/>
    </row>
  </sheetData>
  <mergeCells count="2">
    <mergeCell ref="A3:N3"/>
    <mergeCell ref="A22:N2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7.xml><?xml version="1.0" encoding="utf-8"?>
<worksheet xmlns:r="http://schemas.openxmlformats.org/officeDocument/2006/relationships" xmlns="http://schemas.openxmlformats.org/spreadsheetml/2006/main">
  <dimension ref="A1:O55"/>
  <sheetViews>
    <sheetView workbookViewId="0" showGridLines="0" defaultGridColor="1"/>
  </sheetViews>
  <sheetFormatPr defaultColWidth="8.83333" defaultRowHeight="15" customHeight="1" outlineLevelRow="0" outlineLevelCol="0"/>
  <cols>
    <col min="1" max="1" width="12" style="92" customWidth="1"/>
    <col min="2" max="2" width="22" style="92" customWidth="1"/>
    <col min="3" max="3" width="26" style="92" customWidth="1"/>
    <col min="4" max="4" width="11" style="92" customWidth="1"/>
    <col min="5" max="5" width="13" style="92" customWidth="1"/>
    <col min="6" max="7" width="9" style="92" customWidth="1"/>
    <col min="8" max="8" width="11" style="92" customWidth="1"/>
    <col min="9" max="9" width="13" style="92" customWidth="1"/>
    <col min="10" max="10" width="10" style="92" customWidth="1"/>
    <col min="11" max="11" width="22" style="92" customWidth="1"/>
    <col min="12" max="13" width="14" style="92" customWidth="1"/>
    <col min="14" max="14" width="12" style="92" customWidth="1"/>
    <col min="15" max="15" width="16" style="92" customWidth="1"/>
    <col min="16" max="16384" width="8.85156" style="92" customWidth="1"/>
  </cols>
  <sheetData>
    <row r="1" ht="18.5" customHeight="1">
      <c r="A1" t="s" s="83">
        <v>1023</v>
      </c>
      <c r="B1" s="9"/>
      <c r="C1" s="9"/>
      <c r="D1" s="9"/>
      <c r="E1" s="9"/>
      <c r="F1" s="9"/>
      <c r="G1" s="9"/>
      <c r="H1" s="28"/>
      <c r="I1" s="9"/>
      <c r="J1" s="9"/>
      <c r="K1" s="9"/>
      <c r="L1" s="9"/>
      <c r="M1" s="9"/>
      <c r="N1" s="9"/>
      <c r="O1" s="10"/>
    </row>
    <row r="2" ht="13.65" customHeight="1">
      <c r="A2" t="s" s="84">
        <v>1000</v>
      </c>
      <c r="B2" s="44"/>
      <c r="C2" s="44"/>
      <c r="D2" s="44"/>
      <c r="E2" s="44"/>
      <c r="F2" s="44"/>
      <c r="G2" s="85"/>
      <c r="H2" s="58">
        <v>0.05</v>
      </c>
      <c r="I2" s="86"/>
      <c r="J2" s="44"/>
      <c r="K2" s="44"/>
      <c r="L2" s="44"/>
      <c r="M2" s="44"/>
      <c r="N2" s="44"/>
      <c r="O2" s="14"/>
    </row>
    <row r="3" ht="53" customHeight="1">
      <c r="A3" t="str" s="29" cm="1">
        <f t="array" ref="A3">"TIMSS 2027"&amp;"
"&amp;"● 2.°–8.°: la mayor falta es "&amp;FIXED(MAX($I$6:$I$43),0)&amp;" temas de "&amp;INDEX($C$6:$C$43,MATCH(MAX($I$6:$I$43),$I$6:$I$43,0))&amp;" en "&amp;SUBSTITUTE(INDEX($A$6:$A$43,MATCH(MAX($I$6:$I$43),$I$6:$I$43,0)),"°",".°")&amp;"; la mayor sobra, "&amp;FIXED(-MIN($I$6:$I$43),0)&amp;" de "&amp;INDEX($C$6:$C$43,MATCH(MIN($I$6:$I$43),$I$6:$I$43,0))&amp;" en "&amp;SUBSTITUTE(INDEX($A$6:$A$43,MATCH(MIN($I$6:$I$43),$I$6:$I$43,0)),"°",".°")&amp;"."&amp;"
"&amp;"● Por grado las brechas se compensan entre grados: decide con «TIMSS - Balance por ciclo»."</f>
        <v>TIMSS 2027
● 2.°–8.°: la mayor falta es 19 temas de Biología en 5.°; la mayor sobra, 15 de Biología en 7.°.
● Por grado las brechas se compensan entre grados: decide con «TIMSS - Balance por ciclo».</v>
      </c>
      <c r="B3" s="30"/>
      <c r="C3" s="31"/>
      <c r="D3" s="31"/>
      <c r="E3" s="31"/>
      <c r="F3" s="31"/>
      <c r="G3" s="31"/>
      <c r="H3" s="31"/>
      <c r="I3" s="31"/>
      <c r="J3" s="31"/>
      <c r="K3" s="31"/>
      <c r="L3" s="31"/>
      <c r="M3" s="31"/>
      <c r="N3" s="32"/>
      <c r="O3" s="87"/>
    </row>
    <row r="4" ht="13.55" customHeight="1">
      <c r="A4" s="71"/>
      <c r="B4" s="31"/>
      <c r="C4" s="31"/>
      <c r="D4" s="31"/>
      <c r="E4" s="31"/>
      <c r="F4" s="31"/>
      <c r="G4" s="31"/>
      <c r="H4" s="31"/>
      <c r="I4" s="31"/>
      <c r="J4" s="31"/>
      <c r="K4" s="31"/>
      <c r="L4" s="31"/>
      <c r="M4" s="31"/>
      <c r="N4" s="31"/>
      <c r="O4" s="45"/>
    </row>
    <row r="5" ht="66" customHeight="1">
      <c r="A5" t="s" s="34">
        <v>56</v>
      </c>
      <c r="B5" t="s" s="34">
        <v>57</v>
      </c>
      <c r="C5" t="s" s="34">
        <v>1002</v>
      </c>
      <c r="D5" t="s" s="34">
        <v>1003</v>
      </c>
      <c r="E5" t="s" s="34">
        <v>1004</v>
      </c>
      <c r="F5" t="s" s="34">
        <v>1005</v>
      </c>
      <c r="G5" t="s" s="34">
        <v>1006</v>
      </c>
      <c r="H5" t="s" s="34">
        <v>1007</v>
      </c>
      <c r="I5" t="s" s="34">
        <v>1008</v>
      </c>
      <c r="J5" t="s" s="34">
        <v>1009</v>
      </c>
      <c r="K5" t="s" s="34">
        <v>203</v>
      </c>
      <c r="L5" t="s" s="34">
        <v>1010</v>
      </c>
      <c r="M5" t="s" s="34">
        <v>1011</v>
      </c>
      <c r="N5" t="s" s="34">
        <v>1012</v>
      </c>
      <c r="O5" t="s" s="34">
        <v>1013</v>
      </c>
    </row>
    <row r="6" ht="13.65" customHeight="1">
      <c r="A6" t="s" s="35">
        <v>69</v>
      </c>
      <c r="B6" t="s" s="35">
        <v>70</v>
      </c>
      <c r="C6" t="s" s="35">
        <v>210</v>
      </c>
      <c r="D6" s="36" cm="1">
        <f t="array" ref="D6">_xlfn.COUNTIFS('Datos - Temas'!$V$5:$V$1264,$A6,'Datos - Temas'!$M$5:$M$1264,$C6)</f>
        <v>24</v>
      </c>
      <c r="E6" s="36" cm="1">
        <f t="array" ref="E6">_xlfn.COUNTIFS('Datos - Temas'!$V$5:$V$1264,$A6)-_xlfn.COUNTIFS('Datos - Temas'!$V$5:$V$1264,$A6,'Datos - Temas'!$K$5:$K$1264,"FUERA")-_xlfn.COUNTIFS('Datos - Temas'!$V$5:$V$1264,$A6,'Datos - Temas'!$K$5:$K$1264,"PENDIENTE")</f>
        <v>59</v>
      </c>
      <c r="F6" s="38" cm="1">
        <f t="array" ref="F6">IF(E6=0,0,D6/E6)</f>
        <v>0.406779661016949</v>
      </c>
      <c r="G6" s="58">
        <v>0.45</v>
      </c>
      <c r="H6" s="70" cm="1">
        <f t="array" ref="H6">G6*E6</f>
        <v>26.55</v>
      </c>
      <c r="I6" s="70" cm="1">
        <f t="array" ref="I6">H6-D6</f>
        <v>2.55</v>
      </c>
      <c r="J6" s="88" cm="1">
        <f t="array" ref="J6">(G6-F6)*100</f>
        <v>4.3220338983051</v>
      </c>
      <c r="K6" t="str" s="89" cm="1">
        <f t="array" ref="K6">IF(ABS(G6-F6)&lt;=$H$2,"En meta",IF(I6&gt;0,"Faltan "&amp;FIXED(I6,0)&amp;" temas","Sobran "&amp;FIXED(-I6,0)&amp;" temas"))</f>
        <v>En meta</v>
      </c>
      <c r="L6" s="70" cm="1">
        <f t="array" ref="L6">MAX(D6/G6,D7/G7,D8/G8)</f>
        <v>77.1428571428571</v>
      </c>
      <c r="M6" s="36" cm="1">
        <f t="array" ref="M6">MAX(0,ROUNDUP(G6*L6-D6,0))</f>
        <v>11</v>
      </c>
      <c r="N6" s="36" cm="1">
        <f t="array" ref="N6">_xlfn.COUNTIFS('Datos - Temas'!$V$5:$V$1264,$A6,'Datos - Temas'!$K$5:$K$1264,"FUERA")</f>
        <v>11</v>
      </c>
      <c r="O6" s="38" cm="1">
        <f t="array" ref="O6">ABS(F6-G6)</f>
        <v>0.043220338983051</v>
      </c>
    </row>
    <row r="7" ht="13.65" customHeight="1">
      <c r="A7" t="s" s="35">
        <v>69</v>
      </c>
      <c r="B7" t="s" s="35">
        <v>70</v>
      </c>
      <c r="C7" t="s" s="35">
        <v>213</v>
      </c>
      <c r="D7" s="36" cm="1">
        <f t="array" ref="D7">_xlfn.COUNTIFS('Datos - Temas'!$V$5:$V$1264,$A7,'Datos - Temas'!$M$5:$M$1264,$C7)</f>
        <v>27</v>
      </c>
      <c r="E7" s="36" cm="1">
        <f t="array" ref="E7">_xlfn.COUNTIFS('Datos - Temas'!$V$5:$V$1264,$A7)-_xlfn.COUNTIFS('Datos - Temas'!$V$5:$V$1264,$A7,'Datos - Temas'!$K$5:$K$1264,"FUERA")-_xlfn.COUNTIFS('Datos - Temas'!$V$5:$V$1264,$A7,'Datos - Temas'!$K$5:$K$1264,"PENDIENTE")</f>
        <v>59</v>
      </c>
      <c r="F7" s="38" cm="1">
        <f t="array" ref="F7">IF(E7=0,0,D7/E7)</f>
        <v>0.457627118644068</v>
      </c>
      <c r="G7" s="58">
        <v>0.35</v>
      </c>
      <c r="H7" s="70" cm="1">
        <f t="array" ref="H7">G7*E7</f>
        <v>20.65</v>
      </c>
      <c r="I7" s="70" cm="1">
        <f t="array" ref="I7">H7-D7</f>
        <v>-6.35</v>
      </c>
      <c r="J7" s="88" cm="1">
        <f t="array" ref="J7">(G7-F7)*100</f>
        <v>-10.7627118644068</v>
      </c>
      <c r="K7" t="str" s="89" cm="1">
        <f t="array" ref="K7">IF(ABS(G7-F7)&lt;=$H$2,"En meta",IF(I7&gt;0,"Faltan "&amp;FIXED(I7,0)&amp;" temas","Sobran "&amp;FIXED(-I7,0)&amp;" temas"))</f>
        <v>Sobran 6 temas</v>
      </c>
      <c r="L7" s="70" cm="1">
        <f t="array" ref="L7">MAX(D6/G6,D7/G7,D8/G8)</f>
        <v>77.1428571428571</v>
      </c>
      <c r="M7" s="36" cm="1">
        <f t="array" ref="M7">MAX(0,ROUNDUP(G7*L7-D7,0))</f>
        <v>0</v>
      </c>
      <c r="N7" s="36" cm="1">
        <f t="array" ref="N7">_xlfn.COUNTIFS('Datos - Temas'!$V$5:$V$1264,$A7,'Datos - Temas'!$K$5:$K$1264,"FUERA")</f>
        <v>11</v>
      </c>
      <c r="O7" s="38" cm="1">
        <f t="array" ref="O7">ABS(F7-G7)</f>
        <v>0.107627118644068</v>
      </c>
    </row>
    <row r="8" ht="13.65" customHeight="1">
      <c r="A8" t="s" s="35">
        <v>69</v>
      </c>
      <c r="B8" t="s" s="35">
        <v>70</v>
      </c>
      <c r="C8" t="s" s="35">
        <v>216</v>
      </c>
      <c r="D8" s="36" cm="1">
        <f t="array" ref="D8">_xlfn.COUNTIFS('Datos - Temas'!$V$5:$V$1264,$A8,'Datos - Temas'!$M$5:$M$1264,$C8)</f>
        <v>8</v>
      </c>
      <c r="E8" s="36" cm="1">
        <f t="array" ref="E8">_xlfn.COUNTIFS('Datos - Temas'!$V$5:$V$1264,$A8)-_xlfn.COUNTIFS('Datos - Temas'!$V$5:$V$1264,$A8,'Datos - Temas'!$K$5:$K$1264,"FUERA")-_xlfn.COUNTIFS('Datos - Temas'!$V$5:$V$1264,$A8,'Datos - Temas'!$K$5:$K$1264,"PENDIENTE")</f>
        <v>59</v>
      </c>
      <c r="F8" s="38" cm="1">
        <f t="array" ref="F8">IF(E8=0,0,D8/E8)</f>
        <v>0.135593220338983</v>
      </c>
      <c r="G8" s="58">
        <v>0.2</v>
      </c>
      <c r="H8" s="70" cm="1">
        <f t="array" ref="H8">G8*E8</f>
        <v>11.8</v>
      </c>
      <c r="I8" s="70" cm="1">
        <f t="array" ref="I8">H8-D8</f>
        <v>3.8</v>
      </c>
      <c r="J8" s="88" cm="1">
        <f t="array" ref="J8">(G8-F8)*100</f>
        <v>6.4406779661017</v>
      </c>
      <c r="K8" t="str" s="89" cm="1">
        <f t="array" ref="K8">IF(ABS(G8-F8)&lt;=$H$2,"En meta",IF(I8&gt;0,"Faltan "&amp;FIXED(I8,0)&amp;" temas","Sobran "&amp;FIXED(-I8,0)&amp;" temas"))</f>
        <v>Faltan 4 temas</v>
      </c>
      <c r="L8" s="70" cm="1">
        <f t="array" ref="L8">MAX(D6/G6,D7/G7,D8/G8)</f>
        <v>77.1428571428571</v>
      </c>
      <c r="M8" s="36" cm="1">
        <f t="array" ref="M8">MAX(0,ROUNDUP(G8*L8-D8,0))</f>
        <v>8</v>
      </c>
      <c r="N8" s="36" cm="1">
        <f t="array" ref="N8">_xlfn.COUNTIFS('Datos - Temas'!$V$5:$V$1264,$A8,'Datos - Temas'!$K$5:$K$1264,"FUERA")</f>
        <v>11</v>
      </c>
      <c r="O8" s="38" cm="1">
        <f t="array" ref="O8">ABS(F8-G8)</f>
        <v>0.064406779661017</v>
      </c>
    </row>
    <row r="9" ht="13.65" customHeight="1">
      <c r="A9" s="64"/>
      <c r="B9" s="64"/>
      <c r="C9" t="s" s="63">
        <v>1016</v>
      </c>
      <c r="D9" s="77" cm="1">
        <f t="array" ref="D9">SUM(D6:D8)</f>
        <v>59</v>
      </c>
      <c r="E9" s="64"/>
      <c r="F9" s="64"/>
      <c r="G9" s="90" cm="1">
        <f t="array" ref="G9">SUM(G6:G8)</f>
        <v>1</v>
      </c>
      <c r="H9" s="64"/>
      <c r="I9" s="64"/>
      <c r="J9" s="64"/>
      <c r="K9" s="64"/>
      <c r="L9" s="64"/>
      <c r="M9" s="77" cm="1">
        <f t="array" ref="M9">SUM(M6:M8)</f>
        <v>19</v>
      </c>
      <c r="N9" s="64"/>
      <c r="O9" s="65" cm="1">
        <f t="array" ref="O9">1-SUM(O6:O8)/2</f>
        <v>0.892372881355932</v>
      </c>
    </row>
    <row r="10" ht="13.55" customHeight="1">
      <c r="A10" s="71"/>
      <c r="B10" s="31"/>
      <c r="C10" s="31"/>
      <c r="D10" s="31"/>
      <c r="E10" s="31"/>
      <c r="F10" s="31"/>
      <c r="G10" s="31"/>
      <c r="H10" s="31"/>
      <c r="I10" s="31"/>
      <c r="J10" s="31"/>
      <c r="K10" s="31"/>
      <c r="L10" s="31"/>
      <c r="M10" s="31"/>
      <c r="N10" s="31"/>
      <c r="O10" s="91"/>
    </row>
    <row r="11" ht="13.65" customHeight="1">
      <c r="A11" t="s" s="35">
        <v>74</v>
      </c>
      <c r="B11" t="s" s="35">
        <v>70</v>
      </c>
      <c r="C11" t="s" s="35">
        <v>210</v>
      </c>
      <c r="D11" s="36" cm="1">
        <f t="array" ref="D11">_xlfn.COUNTIFS('Datos - Temas'!$V$5:$V$1264,$A11,'Datos - Temas'!$M$5:$M$1264,$C11)</f>
        <v>32</v>
      </c>
      <c r="E11" s="36" cm="1">
        <f t="array" ref="E11">_xlfn.COUNTIFS('Datos - Temas'!$V$5:$V$1264,$A11)-_xlfn.COUNTIFS('Datos - Temas'!$V$5:$V$1264,$A11,'Datos - Temas'!$K$5:$K$1264,"FUERA")-_xlfn.COUNTIFS('Datos - Temas'!$V$5:$V$1264,$A11,'Datos - Temas'!$K$5:$K$1264,"PENDIENTE")</f>
        <v>60</v>
      </c>
      <c r="F11" s="38" cm="1">
        <f t="array" ref="F11">IF(E11=0,0,D11/E11)</f>
        <v>0.533333333333333</v>
      </c>
      <c r="G11" s="58">
        <v>0.45</v>
      </c>
      <c r="H11" s="70" cm="1">
        <f t="array" ref="H11">G11*E11</f>
        <v>27</v>
      </c>
      <c r="I11" s="70" cm="1">
        <f t="array" ref="I11">H11-D11</f>
        <v>-5</v>
      </c>
      <c r="J11" s="88" cm="1">
        <f t="array" ref="J11">(G11-F11)*100</f>
        <v>-8.3333333333333</v>
      </c>
      <c r="K11" t="str" s="89" cm="1">
        <f t="array" ref="K11">IF(ABS(G11-F11)&lt;=$H$2,"En meta",IF(I11&gt;0,"Faltan "&amp;FIXED(I11,0)&amp;" temas","Sobran "&amp;FIXED(-I11,0)&amp;" temas"))</f>
        <v>Sobran 5 temas</v>
      </c>
      <c r="L11" s="70" cm="1">
        <f t="array" ref="L11">MAX(D11/G11,D12/G12,D13/G13)</f>
        <v>71.1111111111111</v>
      </c>
      <c r="M11" s="36" cm="1">
        <f t="array" ref="M11">MAX(0,ROUNDUP(G11*L11-D11,0))</f>
        <v>0</v>
      </c>
      <c r="N11" s="36" cm="1">
        <f t="array" ref="N11">_xlfn.COUNTIFS('Datos - Temas'!$V$5:$V$1264,$A11,'Datos - Temas'!$K$5:$K$1264,"FUERA")</f>
        <v>6</v>
      </c>
      <c r="O11" s="38" cm="1">
        <f t="array" ref="O11">ABS(F11-G11)</f>
        <v>0.083333333333333</v>
      </c>
    </row>
    <row r="12" ht="13.65" customHeight="1">
      <c r="A12" t="s" s="35">
        <v>74</v>
      </c>
      <c r="B12" t="s" s="35">
        <v>70</v>
      </c>
      <c r="C12" t="s" s="35">
        <v>213</v>
      </c>
      <c r="D12" s="36" cm="1">
        <f t="array" ref="D12">_xlfn.COUNTIFS('Datos - Temas'!$V$5:$V$1264,$A12,'Datos - Temas'!$M$5:$M$1264,$C12)</f>
        <v>19</v>
      </c>
      <c r="E12" s="36" cm="1">
        <f t="array" ref="E12">_xlfn.COUNTIFS('Datos - Temas'!$V$5:$V$1264,$A12)-_xlfn.COUNTIFS('Datos - Temas'!$V$5:$V$1264,$A12,'Datos - Temas'!$K$5:$K$1264,"FUERA")-_xlfn.COUNTIFS('Datos - Temas'!$V$5:$V$1264,$A12,'Datos - Temas'!$K$5:$K$1264,"PENDIENTE")</f>
        <v>60</v>
      </c>
      <c r="F12" s="38" cm="1">
        <f t="array" ref="F12">IF(E12=0,0,D12/E12)</f>
        <v>0.316666666666667</v>
      </c>
      <c r="G12" s="58">
        <v>0.35</v>
      </c>
      <c r="H12" s="70" cm="1">
        <f t="array" ref="H12">G12*E12</f>
        <v>21</v>
      </c>
      <c r="I12" s="70" cm="1">
        <f t="array" ref="I12">H12-D12</f>
        <v>2</v>
      </c>
      <c r="J12" s="88" cm="1">
        <f t="array" ref="J12">(G12-F12)*100</f>
        <v>3.3333333333333</v>
      </c>
      <c r="K12" t="str" s="89" cm="1">
        <f t="array" ref="K12">IF(ABS(G12-F12)&lt;=$H$2,"En meta",IF(I12&gt;0,"Faltan "&amp;FIXED(I12,0)&amp;" temas","Sobran "&amp;FIXED(-I12,0)&amp;" temas"))</f>
        <v>En meta</v>
      </c>
      <c r="L12" s="70" cm="1">
        <f t="array" ref="L12">MAX(D11/G11,D12/G12,D13/G13)</f>
        <v>71.1111111111111</v>
      </c>
      <c r="M12" s="36" cm="1">
        <f t="array" ref="M12">MAX(0,ROUNDUP(G12*L12-D12,0))</f>
        <v>6</v>
      </c>
      <c r="N12" s="36" cm="1">
        <f t="array" ref="N12">_xlfn.COUNTIFS('Datos - Temas'!$V$5:$V$1264,$A12,'Datos - Temas'!$K$5:$K$1264,"FUERA")</f>
        <v>6</v>
      </c>
      <c r="O12" s="38" cm="1">
        <f t="array" ref="O12">ABS(F12-G12)</f>
        <v>0.033333333333333</v>
      </c>
    </row>
    <row r="13" ht="13.65" customHeight="1">
      <c r="A13" t="s" s="35">
        <v>74</v>
      </c>
      <c r="B13" t="s" s="35">
        <v>70</v>
      </c>
      <c r="C13" t="s" s="35">
        <v>216</v>
      </c>
      <c r="D13" s="36" cm="1">
        <f t="array" ref="D13">_xlfn.COUNTIFS('Datos - Temas'!$V$5:$V$1264,$A13,'Datos - Temas'!$M$5:$M$1264,$C13)</f>
        <v>9</v>
      </c>
      <c r="E13" s="36" cm="1">
        <f t="array" ref="E13">_xlfn.COUNTIFS('Datos - Temas'!$V$5:$V$1264,$A13)-_xlfn.COUNTIFS('Datos - Temas'!$V$5:$V$1264,$A13,'Datos - Temas'!$K$5:$K$1264,"FUERA")-_xlfn.COUNTIFS('Datos - Temas'!$V$5:$V$1264,$A13,'Datos - Temas'!$K$5:$K$1264,"PENDIENTE")</f>
        <v>60</v>
      </c>
      <c r="F13" s="38" cm="1">
        <f t="array" ref="F13">IF(E13=0,0,D13/E13)</f>
        <v>0.15</v>
      </c>
      <c r="G13" s="58">
        <v>0.2</v>
      </c>
      <c r="H13" s="70" cm="1">
        <f t="array" ref="H13">G13*E13</f>
        <v>12</v>
      </c>
      <c r="I13" s="70" cm="1">
        <f t="array" ref="I13">H13-D13</f>
        <v>3</v>
      </c>
      <c r="J13" s="88" cm="1">
        <f t="array" ref="J13">(G13-F13)*100</f>
        <v>5</v>
      </c>
      <c r="K13" t="str" s="89" cm="1">
        <f t="array" ref="K13">IF(ABS(G13-F13)&lt;=$H$2,"En meta",IF(I13&gt;0,"Faltan "&amp;FIXED(I13,0)&amp;" temas","Sobran "&amp;FIXED(-I13,0)&amp;" temas"))</f>
        <v>En meta</v>
      </c>
      <c r="L13" s="70" cm="1">
        <f t="array" ref="L13">MAX(D11/G11,D12/G12,D13/G13)</f>
        <v>71.1111111111111</v>
      </c>
      <c r="M13" s="36" cm="1">
        <f t="array" ref="M13">MAX(0,ROUNDUP(G13*L13-D13,0))</f>
        <v>6</v>
      </c>
      <c r="N13" s="36" cm="1">
        <f t="array" ref="N13">_xlfn.COUNTIFS('Datos - Temas'!$V$5:$V$1264,$A13,'Datos - Temas'!$K$5:$K$1264,"FUERA")</f>
        <v>6</v>
      </c>
      <c r="O13" s="38" cm="1">
        <f t="array" ref="O13">ABS(F13-G13)</f>
        <v>0.05</v>
      </c>
    </row>
    <row r="14" ht="13.65" customHeight="1">
      <c r="A14" s="64"/>
      <c r="B14" s="64"/>
      <c r="C14" t="s" s="63">
        <v>1016</v>
      </c>
      <c r="D14" s="77" cm="1">
        <f t="array" ref="D14">SUM(D11:D13)</f>
        <v>60</v>
      </c>
      <c r="E14" s="64"/>
      <c r="F14" s="64"/>
      <c r="G14" s="90" cm="1">
        <f t="array" ref="G14">SUM(G11:G13)</f>
        <v>1</v>
      </c>
      <c r="H14" s="64"/>
      <c r="I14" s="64"/>
      <c r="J14" s="64"/>
      <c r="K14" s="64"/>
      <c r="L14" s="64"/>
      <c r="M14" s="77" cm="1">
        <f t="array" ref="M14">SUM(M11:M13)</f>
        <v>12</v>
      </c>
      <c r="N14" s="64"/>
      <c r="O14" s="65" cm="1">
        <f t="array" ref="O14">1-SUM(O11:O13)/2</f>
        <v>0.916666666666667</v>
      </c>
    </row>
    <row r="15" ht="13.55" customHeight="1">
      <c r="A15" s="71"/>
      <c r="B15" s="31"/>
      <c r="C15" s="31"/>
      <c r="D15" s="31"/>
      <c r="E15" s="31"/>
      <c r="F15" s="31"/>
      <c r="G15" s="31"/>
      <c r="H15" s="31"/>
      <c r="I15" s="31"/>
      <c r="J15" s="31"/>
      <c r="K15" s="31"/>
      <c r="L15" s="31"/>
      <c r="M15" s="31"/>
      <c r="N15" s="31"/>
      <c r="O15" s="91"/>
    </row>
    <row r="16" ht="13.65" customHeight="1">
      <c r="A16" t="s" s="35">
        <v>77</v>
      </c>
      <c r="B16" t="s" s="35">
        <v>70</v>
      </c>
      <c r="C16" t="s" s="35">
        <v>210</v>
      </c>
      <c r="D16" s="36" cm="1">
        <f t="array" ref="D16">_xlfn.COUNTIFS('Datos - Temas'!$V$5:$V$1264,$A16,'Datos - Temas'!$M$5:$M$1264,$C16)</f>
        <v>38</v>
      </c>
      <c r="E16" s="36" cm="1">
        <f t="array" ref="E16">_xlfn.COUNTIFS('Datos - Temas'!$V$5:$V$1264,$A16)-_xlfn.COUNTIFS('Datos - Temas'!$V$5:$V$1264,$A16,'Datos - Temas'!$K$5:$K$1264,"FUERA")-_xlfn.COUNTIFS('Datos - Temas'!$V$5:$V$1264,$A16,'Datos - Temas'!$K$5:$K$1264,"PENDIENTE")</f>
        <v>63</v>
      </c>
      <c r="F16" s="38" cm="1">
        <f t="array" ref="F16">IF(E16=0,0,D16/E16)</f>
        <v>0.603174603174603</v>
      </c>
      <c r="G16" s="58">
        <v>0.45</v>
      </c>
      <c r="H16" s="70" cm="1">
        <f t="array" ref="H16">G16*E16</f>
        <v>28.35</v>
      </c>
      <c r="I16" s="70" cm="1">
        <f t="array" ref="I16">H16-D16</f>
        <v>-9.65</v>
      </c>
      <c r="J16" s="88" cm="1">
        <f t="array" ref="J16">(G16-F16)*100</f>
        <v>-15.3174603174603</v>
      </c>
      <c r="K16" t="str" s="89" cm="1">
        <f t="array" ref="K16">IF(ABS(G16-F16)&lt;=$H$2,"En meta",IF(I16&gt;0,"Faltan "&amp;FIXED(I16,0)&amp;" temas","Sobran "&amp;FIXED(-I16,0)&amp;" temas"))</f>
        <v>Sobran 10 temas</v>
      </c>
      <c r="L16" s="70" cm="1">
        <f t="array" ref="L16">MAX(D16/G16,D17/G17,D18/G18)</f>
        <v>84.4444444444444</v>
      </c>
      <c r="M16" s="36" cm="1">
        <f t="array" ref="M16">MAX(0,ROUNDUP(G16*L16-D16,0))</f>
        <v>0</v>
      </c>
      <c r="N16" s="36" cm="1">
        <f t="array" ref="N16">_xlfn.COUNTIFS('Datos - Temas'!$V$5:$V$1264,$A16,'Datos - Temas'!$K$5:$K$1264,"FUERA")</f>
        <v>9</v>
      </c>
      <c r="O16" s="38" cm="1">
        <f t="array" ref="O16">ABS(F16-G16)</f>
        <v>0.153174603174603</v>
      </c>
    </row>
    <row r="17" ht="13.65" customHeight="1">
      <c r="A17" t="s" s="35">
        <v>77</v>
      </c>
      <c r="B17" t="s" s="35">
        <v>70</v>
      </c>
      <c r="C17" t="s" s="35">
        <v>213</v>
      </c>
      <c r="D17" s="36" cm="1">
        <f t="array" ref="D17">_xlfn.COUNTIFS('Datos - Temas'!$V$5:$V$1264,$A17,'Datos - Temas'!$M$5:$M$1264,$C17)</f>
        <v>9</v>
      </c>
      <c r="E17" s="36" cm="1">
        <f t="array" ref="E17">_xlfn.COUNTIFS('Datos - Temas'!$V$5:$V$1264,$A17)-_xlfn.COUNTIFS('Datos - Temas'!$V$5:$V$1264,$A17,'Datos - Temas'!$K$5:$K$1264,"FUERA")-_xlfn.COUNTIFS('Datos - Temas'!$V$5:$V$1264,$A17,'Datos - Temas'!$K$5:$K$1264,"PENDIENTE")</f>
        <v>63</v>
      </c>
      <c r="F17" s="38" cm="1">
        <f t="array" ref="F17">IF(E17=0,0,D17/E17)</f>
        <v>0.142857142857143</v>
      </c>
      <c r="G17" s="58">
        <v>0.35</v>
      </c>
      <c r="H17" s="70" cm="1">
        <f t="array" ref="H17">G17*E17</f>
        <v>22.05</v>
      </c>
      <c r="I17" s="70" cm="1">
        <f t="array" ref="I17">H17-D17</f>
        <v>13.05</v>
      </c>
      <c r="J17" s="88" cm="1">
        <f t="array" ref="J17">(G17-F17)*100</f>
        <v>20.7142857142857</v>
      </c>
      <c r="K17" t="str" s="89" cm="1">
        <f t="array" ref="K17">IF(ABS(G17-F17)&lt;=$H$2,"En meta",IF(I17&gt;0,"Faltan "&amp;FIXED(I17,0)&amp;" temas","Sobran "&amp;FIXED(-I17,0)&amp;" temas"))</f>
        <v>Faltan 13 temas</v>
      </c>
      <c r="L17" s="70" cm="1">
        <f t="array" ref="L17">MAX(D16/G16,D17/G17,D18/G18)</f>
        <v>84.4444444444444</v>
      </c>
      <c r="M17" s="36" cm="1">
        <f t="array" ref="M17">MAX(0,ROUNDUP(G17*L17-D17,0))</f>
        <v>21</v>
      </c>
      <c r="N17" s="36" cm="1">
        <f t="array" ref="N17">_xlfn.COUNTIFS('Datos - Temas'!$V$5:$V$1264,$A17,'Datos - Temas'!$K$5:$K$1264,"FUERA")</f>
        <v>9</v>
      </c>
      <c r="O17" s="38" cm="1">
        <f t="array" ref="O17">ABS(F17-G17)</f>
        <v>0.207142857142857</v>
      </c>
    </row>
    <row r="18" ht="13.65" customHeight="1">
      <c r="A18" t="s" s="35">
        <v>77</v>
      </c>
      <c r="B18" t="s" s="35">
        <v>70</v>
      </c>
      <c r="C18" t="s" s="35">
        <v>216</v>
      </c>
      <c r="D18" s="36" cm="1">
        <f t="array" ref="D18">_xlfn.COUNTIFS('Datos - Temas'!$V$5:$V$1264,$A18,'Datos - Temas'!$M$5:$M$1264,$C18)</f>
        <v>16</v>
      </c>
      <c r="E18" s="36" cm="1">
        <f t="array" ref="E18">_xlfn.COUNTIFS('Datos - Temas'!$V$5:$V$1264,$A18)-_xlfn.COUNTIFS('Datos - Temas'!$V$5:$V$1264,$A18,'Datos - Temas'!$K$5:$K$1264,"FUERA")-_xlfn.COUNTIFS('Datos - Temas'!$V$5:$V$1264,$A18,'Datos - Temas'!$K$5:$K$1264,"PENDIENTE")</f>
        <v>63</v>
      </c>
      <c r="F18" s="38" cm="1">
        <f t="array" ref="F18">IF(E18=0,0,D18/E18)</f>
        <v>0.253968253968254</v>
      </c>
      <c r="G18" s="58">
        <v>0.2</v>
      </c>
      <c r="H18" s="70" cm="1">
        <f t="array" ref="H18">G18*E18</f>
        <v>12.6</v>
      </c>
      <c r="I18" s="70" cm="1">
        <f t="array" ref="I18">H18-D18</f>
        <v>-3.4</v>
      </c>
      <c r="J18" s="88" cm="1">
        <f t="array" ref="J18">(G18-F18)*100</f>
        <v>-5.3968253968254</v>
      </c>
      <c r="K18" t="str" s="89" cm="1">
        <f t="array" ref="K18">IF(ABS(G18-F18)&lt;=$H$2,"En meta",IF(I18&gt;0,"Faltan "&amp;FIXED(I18,0)&amp;" temas","Sobran "&amp;FIXED(-I18,0)&amp;" temas"))</f>
        <v>Sobran 3 temas</v>
      </c>
      <c r="L18" s="70" cm="1">
        <f t="array" ref="L18">MAX(D16/G16,D17/G17,D18/G18)</f>
        <v>84.4444444444444</v>
      </c>
      <c r="M18" s="36" cm="1">
        <f t="array" ref="M18">MAX(0,ROUNDUP(G18*L18-D18,0))</f>
        <v>1</v>
      </c>
      <c r="N18" s="36" cm="1">
        <f t="array" ref="N18">_xlfn.COUNTIFS('Datos - Temas'!$V$5:$V$1264,$A18,'Datos - Temas'!$K$5:$K$1264,"FUERA")</f>
        <v>9</v>
      </c>
      <c r="O18" s="38" cm="1">
        <f t="array" ref="O18">ABS(F18-G18)</f>
        <v>0.053968253968254</v>
      </c>
    </row>
    <row r="19" ht="13.65" customHeight="1">
      <c r="A19" s="64"/>
      <c r="B19" s="64"/>
      <c r="C19" t="s" s="63">
        <v>1016</v>
      </c>
      <c r="D19" s="77" cm="1">
        <f t="array" ref="D19">SUM(D16:D18)</f>
        <v>63</v>
      </c>
      <c r="E19" s="64"/>
      <c r="F19" s="64"/>
      <c r="G19" s="90" cm="1">
        <f t="array" ref="G19">SUM(G16:G18)</f>
        <v>1</v>
      </c>
      <c r="H19" s="64"/>
      <c r="I19" s="64"/>
      <c r="J19" s="64"/>
      <c r="K19" s="64"/>
      <c r="L19" s="64"/>
      <c r="M19" s="77" cm="1">
        <f t="array" ref="M19">SUM(M16:M18)</f>
        <v>22</v>
      </c>
      <c r="N19" s="64"/>
      <c r="O19" s="65" cm="1">
        <f t="array" ref="O19">1-SUM(O16:O18)/2</f>
        <v>0.792857142857143</v>
      </c>
    </row>
    <row r="20" ht="13.55" customHeight="1">
      <c r="A20" s="71"/>
      <c r="B20" s="31"/>
      <c r="C20" s="31"/>
      <c r="D20" s="31"/>
      <c r="E20" s="31"/>
      <c r="F20" s="31"/>
      <c r="G20" s="31"/>
      <c r="H20" s="31"/>
      <c r="I20" s="31"/>
      <c r="J20" s="31"/>
      <c r="K20" s="31"/>
      <c r="L20" s="31"/>
      <c r="M20" s="31"/>
      <c r="N20" s="31"/>
      <c r="O20" s="91"/>
    </row>
    <row r="21" ht="13.65" customHeight="1">
      <c r="A21" t="s" s="35">
        <v>79</v>
      </c>
      <c r="B21" t="s" s="35">
        <v>80</v>
      </c>
      <c r="C21" t="s" s="35">
        <v>210</v>
      </c>
      <c r="D21" s="36" cm="1">
        <f t="array" ref="D21">_xlfn.COUNTIFS('Datos - Temas'!$V$5:$V$1264,$A21,'Datos - Temas'!$M$5:$M$1264,$C21)</f>
        <v>2</v>
      </c>
      <c r="E21" s="36" cm="1">
        <f t="array" ref="E21">_xlfn.COUNTIFS('Datos - Temas'!$V$5:$V$1264,$A21)-_xlfn.COUNTIFS('Datos - Temas'!$V$5:$V$1264,$A21,'Datos - Temas'!$K$5:$K$1264,"FUERA")-_xlfn.COUNTIFS('Datos - Temas'!$V$5:$V$1264,$A21,'Datos - Temas'!$K$5:$K$1264,"PENDIENTE")</f>
        <v>61</v>
      </c>
      <c r="F21" s="38" cm="1">
        <f t="array" ref="F21">IF(E21=0,0,D21/E21)</f>
        <v>0.0327868852459016</v>
      </c>
      <c r="G21" s="58">
        <v>0.35</v>
      </c>
      <c r="H21" s="70" cm="1">
        <f t="array" ref="H21">G21*E21</f>
        <v>21.35</v>
      </c>
      <c r="I21" s="70" cm="1">
        <f t="array" ref="I21">H21-D21</f>
        <v>19.35</v>
      </c>
      <c r="J21" s="88" cm="1">
        <f t="array" ref="J21">(G21-F21)*100</f>
        <v>31.7213114754098</v>
      </c>
      <c r="K21" t="str" s="89" cm="1">
        <f t="array" ref="K21">IF(ABS(G21-F21)&lt;=$H$2,"En meta",IF(I21&gt;0,"Faltan "&amp;FIXED(I21,0)&amp;" temas","Sobran "&amp;FIXED(-I21,0)&amp;" temas"))</f>
        <v>Faltan 19 temas</v>
      </c>
      <c r="L21" s="70" cm="1">
        <f t="array" ref="L21">MAX(D21/G21,D22/G22,D23/G23,D24/G24)</f>
        <v>100</v>
      </c>
      <c r="M21" s="36" cm="1">
        <f t="array" ref="M21">MAX(0,ROUNDUP(G21*L21-D21,0))</f>
        <v>33</v>
      </c>
      <c r="N21" s="36" cm="1">
        <f t="array" ref="N21">_xlfn.COUNTIFS('Datos - Temas'!$V$5:$V$1264,$A21,'Datos - Temas'!$K$5:$K$1264,"FUERA")</f>
        <v>11</v>
      </c>
      <c r="O21" s="38" cm="1">
        <f t="array" ref="O21">ABS(F21-G21)</f>
        <v>0.317213114754098</v>
      </c>
    </row>
    <row r="22" ht="13.65" customHeight="1">
      <c r="A22" t="s" s="35">
        <v>79</v>
      </c>
      <c r="B22" t="s" s="35">
        <v>80</v>
      </c>
      <c r="C22" t="s" s="35">
        <v>220</v>
      </c>
      <c r="D22" s="36" cm="1">
        <f t="array" ref="D22">_xlfn.COUNTIFS('Datos - Temas'!$V$5:$V$1264,$A22,'Datos - Temas'!$M$5:$M$1264,$C22)</f>
        <v>19</v>
      </c>
      <c r="E22" s="36" cm="1">
        <f t="array" ref="E22">_xlfn.COUNTIFS('Datos - Temas'!$V$5:$V$1264,$A22)-_xlfn.COUNTIFS('Datos - Temas'!$V$5:$V$1264,$A22,'Datos - Temas'!$K$5:$K$1264,"FUERA")-_xlfn.COUNTIFS('Datos - Temas'!$V$5:$V$1264,$A22,'Datos - Temas'!$K$5:$K$1264,"PENDIENTE")</f>
        <v>61</v>
      </c>
      <c r="F22" s="38" cm="1">
        <f t="array" ref="F22">IF(E22=0,0,D22/E22)</f>
        <v>0.311475409836066</v>
      </c>
      <c r="G22" s="58">
        <v>0.2</v>
      </c>
      <c r="H22" s="70" cm="1">
        <f t="array" ref="H22">G22*E22</f>
        <v>12.2</v>
      </c>
      <c r="I22" s="70" cm="1">
        <f t="array" ref="I22">H22-D22</f>
        <v>-6.8</v>
      </c>
      <c r="J22" s="88" cm="1">
        <f t="array" ref="J22">(G22-F22)*100</f>
        <v>-11.1475409836066</v>
      </c>
      <c r="K22" t="str" s="89" cm="1">
        <f t="array" ref="K22">IF(ABS(G22-F22)&lt;=$H$2,"En meta",IF(I22&gt;0,"Faltan "&amp;FIXED(I22,0)&amp;" temas","Sobran "&amp;FIXED(-I22,0)&amp;" temas"))</f>
        <v>Sobran 7 temas</v>
      </c>
      <c r="L22" s="70" cm="1">
        <f t="array" ref="L22">MAX(D21/G21,D22/G22,D23/G23,D24/G24)</f>
        <v>100</v>
      </c>
      <c r="M22" s="36" cm="1">
        <f t="array" ref="M22">MAX(0,ROUNDUP(G22*L22-D22,0))</f>
        <v>1</v>
      </c>
      <c r="N22" s="36" cm="1">
        <f t="array" ref="N22">_xlfn.COUNTIFS('Datos - Temas'!$V$5:$V$1264,$A22,'Datos - Temas'!$K$5:$K$1264,"FUERA")</f>
        <v>11</v>
      </c>
      <c r="O22" s="38" cm="1">
        <f t="array" ref="O22">ABS(F22-G22)</f>
        <v>0.111475409836066</v>
      </c>
    </row>
    <row r="23" ht="13.65" customHeight="1">
      <c r="A23" t="s" s="35">
        <v>79</v>
      </c>
      <c r="B23" t="s" s="35">
        <v>80</v>
      </c>
      <c r="C23" t="s" s="35">
        <v>222</v>
      </c>
      <c r="D23" s="36" cm="1">
        <f t="array" ref="D23">_xlfn.COUNTIFS('Datos - Temas'!$V$5:$V$1264,$A23,'Datos - Temas'!$M$5:$M$1264,$C23)</f>
        <v>20</v>
      </c>
      <c r="E23" s="36" cm="1">
        <f t="array" ref="E23">_xlfn.COUNTIFS('Datos - Temas'!$V$5:$V$1264,$A23)-_xlfn.COUNTIFS('Datos - Temas'!$V$5:$V$1264,$A23,'Datos - Temas'!$K$5:$K$1264,"FUERA")-_xlfn.COUNTIFS('Datos - Temas'!$V$5:$V$1264,$A23,'Datos - Temas'!$K$5:$K$1264,"PENDIENTE")</f>
        <v>61</v>
      </c>
      <c r="F23" s="38" cm="1">
        <f t="array" ref="F23">IF(E23=0,0,D23/E23)</f>
        <v>0.327868852459016</v>
      </c>
      <c r="G23" s="58">
        <v>0.25</v>
      </c>
      <c r="H23" s="70" cm="1">
        <f t="array" ref="H23">G23*E23</f>
        <v>15.25</v>
      </c>
      <c r="I23" s="70" cm="1">
        <f t="array" ref="I23">H23-D23</f>
        <v>-4.75</v>
      </c>
      <c r="J23" s="88" cm="1">
        <f t="array" ref="J23">(G23-F23)*100</f>
        <v>-7.7868852459016</v>
      </c>
      <c r="K23" t="str" s="89" cm="1">
        <f t="array" ref="K23">IF(ABS(G23-F23)&lt;=$H$2,"En meta",IF(I23&gt;0,"Faltan "&amp;FIXED(I23,0)&amp;" temas","Sobran "&amp;FIXED(-I23,0)&amp;" temas"))</f>
        <v>Sobran 5 temas</v>
      </c>
      <c r="L23" s="70" cm="1">
        <f t="array" ref="L23">MAX(D21/G21,D22/G22,D23/G23,D24/G24)</f>
        <v>100</v>
      </c>
      <c r="M23" s="36" cm="1">
        <f t="array" ref="M23">MAX(0,ROUNDUP(G23*L23-D23,0))</f>
        <v>5</v>
      </c>
      <c r="N23" s="36" cm="1">
        <f t="array" ref="N23">_xlfn.COUNTIFS('Datos - Temas'!$V$5:$V$1264,$A23,'Datos - Temas'!$K$5:$K$1264,"FUERA")</f>
        <v>11</v>
      </c>
      <c r="O23" s="38" cm="1">
        <f t="array" ref="O23">ABS(F23-G23)</f>
        <v>0.07786885245901599</v>
      </c>
    </row>
    <row r="24" ht="13.65" customHeight="1">
      <c r="A24" t="s" s="35">
        <v>79</v>
      </c>
      <c r="B24" t="s" s="35">
        <v>80</v>
      </c>
      <c r="C24" t="s" s="35">
        <v>216</v>
      </c>
      <c r="D24" s="36" cm="1">
        <f t="array" ref="D24">_xlfn.COUNTIFS('Datos - Temas'!$V$5:$V$1264,$A24,'Datos - Temas'!$M$5:$M$1264,$C24)</f>
        <v>20</v>
      </c>
      <c r="E24" s="36" cm="1">
        <f t="array" ref="E24">_xlfn.COUNTIFS('Datos - Temas'!$V$5:$V$1264,$A24)-_xlfn.COUNTIFS('Datos - Temas'!$V$5:$V$1264,$A24,'Datos - Temas'!$K$5:$K$1264,"FUERA")-_xlfn.COUNTIFS('Datos - Temas'!$V$5:$V$1264,$A24,'Datos - Temas'!$K$5:$K$1264,"PENDIENTE")</f>
        <v>61</v>
      </c>
      <c r="F24" s="38" cm="1">
        <f t="array" ref="F24">IF(E24=0,0,D24/E24)</f>
        <v>0.327868852459016</v>
      </c>
      <c r="G24" s="58">
        <v>0.2</v>
      </c>
      <c r="H24" s="70" cm="1">
        <f t="array" ref="H24">G24*E24</f>
        <v>12.2</v>
      </c>
      <c r="I24" s="70" cm="1">
        <f t="array" ref="I24">H24-D24</f>
        <v>-7.8</v>
      </c>
      <c r="J24" s="88" cm="1">
        <f t="array" ref="J24">(G24-F24)*100</f>
        <v>-12.7868852459016</v>
      </c>
      <c r="K24" t="str" s="89" cm="1">
        <f t="array" ref="K24">IF(ABS(G24-F24)&lt;=$H$2,"En meta",IF(I24&gt;0,"Faltan "&amp;FIXED(I24,0)&amp;" temas","Sobran "&amp;FIXED(-I24,0)&amp;" temas"))</f>
        <v>Sobran 8 temas</v>
      </c>
      <c r="L24" s="70" cm="1">
        <f t="array" ref="L24">MAX(D21/G21,D22/G22,D23/G23,D24/G24)</f>
        <v>100</v>
      </c>
      <c r="M24" s="36" cm="1">
        <f t="array" ref="M24">MAX(0,ROUNDUP(G24*L24-D24,0))</f>
        <v>0</v>
      </c>
      <c r="N24" s="36" cm="1">
        <f t="array" ref="N24">_xlfn.COUNTIFS('Datos - Temas'!$V$5:$V$1264,$A24,'Datos - Temas'!$K$5:$K$1264,"FUERA")</f>
        <v>11</v>
      </c>
      <c r="O24" s="38" cm="1">
        <f t="array" ref="O24">ABS(F24-G24)</f>
        <v>0.127868852459016</v>
      </c>
    </row>
    <row r="25" ht="13.65" customHeight="1">
      <c r="A25" s="64"/>
      <c r="B25" s="64"/>
      <c r="C25" t="s" s="63">
        <v>1016</v>
      </c>
      <c r="D25" s="77" cm="1">
        <f t="array" ref="D25">SUM(D21:D24)</f>
        <v>61</v>
      </c>
      <c r="E25" s="64"/>
      <c r="F25" s="64"/>
      <c r="G25" s="90" cm="1">
        <f t="array" ref="G25">SUM(G21:G24)</f>
        <v>1</v>
      </c>
      <c r="H25" s="64"/>
      <c r="I25" s="64"/>
      <c r="J25" s="64"/>
      <c r="K25" s="64"/>
      <c r="L25" s="64"/>
      <c r="M25" s="77" cm="1">
        <f t="array" ref="M25">SUM(M21:M24)</f>
        <v>39</v>
      </c>
      <c r="N25" s="64"/>
      <c r="O25" s="65" cm="1">
        <f t="array" ref="O25">1-SUM(O21:O24)/2</f>
        <v>0.682786885245902</v>
      </c>
    </row>
    <row r="26" ht="13.55" customHeight="1">
      <c r="A26" s="71"/>
      <c r="B26" s="31"/>
      <c r="C26" s="31"/>
      <c r="D26" s="31"/>
      <c r="E26" s="31"/>
      <c r="F26" s="31"/>
      <c r="G26" s="31"/>
      <c r="H26" s="31"/>
      <c r="I26" s="31"/>
      <c r="J26" s="31"/>
      <c r="K26" s="31"/>
      <c r="L26" s="31"/>
      <c r="M26" s="31"/>
      <c r="N26" s="31"/>
      <c r="O26" s="91"/>
    </row>
    <row r="27" ht="13.65" customHeight="1">
      <c r="A27" t="s" s="35">
        <v>82</v>
      </c>
      <c r="B27" t="s" s="35">
        <v>80</v>
      </c>
      <c r="C27" t="s" s="35">
        <v>210</v>
      </c>
      <c r="D27" s="36" cm="1">
        <f t="array" ref="D27">_xlfn.COUNTIFS('Datos - Temas'!$V$5:$V$1264,$A27,'Datos - Temas'!$M$5:$M$1264,$C27)</f>
        <v>29</v>
      </c>
      <c r="E27" s="36" cm="1">
        <f t="array" ref="E27">_xlfn.COUNTIFS('Datos - Temas'!$V$5:$V$1264,$A27)-_xlfn.COUNTIFS('Datos - Temas'!$V$5:$V$1264,$A27,'Datos - Temas'!$K$5:$K$1264,"FUERA")-_xlfn.COUNTIFS('Datos - Temas'!$V$5:$V$1264,$A27,'Datos - Temas'!$K$5:$K$1264,"PENDIENTE")</f>
        <v>63</v>
      </c>
      <c r="F27" s="38" cm="1">
        <f t="array" ref="F27">IF(E27=0,0,D27/E27)</f>
        <v>0.46031746031746</v>
      </c>
      <c r="G27" s="58">
        <v>0.35</v>
      </c>
      <c r="H27" s="70" cm="1">
        <f t="array" ref="H27">G27*E27</f>
        <v>22.05</v>
      </c>
      <c r="I27" s="70" cm="1">
        <f t="array" ref="I27">H27-D27</f>
        <v>-6.95</v>
      </c>
      <c r="J27" s="88" cm="1">
        <f t="array" ref="J27">(G27-F27)*100</f>
        <v>-11.031746031746</v>
      </c>
      <c r="K27" t="str" s="89" cm="1">
        <f t="array" ref="K27">IF(ABS(G27-F27)&lt;=$H$2,"En meta",IF(I27&gt;0,"Faltan "&amp;FIXED(I27,0)&amp;" temas","Sobran "&amp;FIXED(-I27,0)&amp;" temas"))</f>
        <v>Sobran 7 temas</v>
      </c>
      <c r="L27" s="70" cm="1">
        <f t="array" ref="L27">MAX(D27/G27,D28/G28,D29/G29,D30/G30)</f>
        <v>96</v>
      </c>
      <c r="M27" s="36" cm="1">
        <f t="array" ref="M27">MAX(0,ROUNDUP(G27*L27-D27,0))</f>
        <v>5</v>
      </c>
      <c r="N27" s="36" cm="1">
        <f t="array" ref="N27">_xlfn.COUNTIFS('Datos - Temas'!$V$5:$V$1264,$A27,'Datos - Temas'!$K$5:$K$1264,"FUERA")</f>
        <v>5</v>
      </c>
      <c r="O27" s="38" cm="1">
        <f t="array" ref="O27">ABS(F27-G27)</f>
        <v>0.11031746031746</v>
      </c>
    </row>
    <row r="28" ht="13.65" customHeight="1">
      <c r="A28" t="s" s="35">
        <v>82</v>
      </c>
      <c r="B28" t="s" s="35">
        <v>80</v>
      </c>
      <c r="C28" t="s" s="35">
        <v>220</v>
      </c>
      <c r="D28" s="36" cm="1">
        <f t="array" ref="D28">_xlfn.COUNTIFS('Datos - Temas'!$V$5:$V$1264,$A28,'Datos - Temas'!$M$5:$M$1264,$C28)</f>
        <v>10</v>
      </c>
      <c r="E28" s="36" cm="1">
        <f t="array" ref="E28">_xlfn.COUNTIFS('Datos - Temas'!$V$5:$V$1264,$A28)-_xlfn.COUNTIFS('Datos - Temas'!$V$5:$V$1264,$A28,'Datos - Temas'!$K$5:$K$1264,"FUERA")-_xlfn.COUNTIFS('Datos - Temas'!$V$5:$V$1264,$A28,'Datos - Temas'!$K$5:$K$1264,"PENDIENTE")</f>
        <v>63</v>
      </c>
      <c r="F28" s="38" cm="1">
        <f t="array" ref="F28">IF(E28=0,0,D28/E28)</f>
        <v>0.158730158730159</v>
      </c>
      <c r="G28" s="58">
        <v>0.2</v>
      </c>
      <c r="H28" s="70" cm="1">
        <f t="array" ref="H28">G28*E28</f>
        <v>12.6</v>
      </c>
      <c r="I28" s="70" cm="1">
        <f t="array" ref="I28">H28-D28</f>
        <v>2.6</v>
      </c>
      <c r="J28" s="88" cm="1">
        <f t="array" ref="J28">(G28-F28)*100</f>
        <v>4.1269841269841</v>
      </c>
      <c r="K28" t="str" s="89" cm="1">
        <f t="array" ref="K28">IF(ABS(G28-F28)&lt;=$H$2,"En meta",IF(I28&gt;0,"Faltan "&amp;FIXED(I28,0)&amp;" temas","Sobran "&amp;FIXED(-I28,0)&amp;" temas"))</f>
        <v>En meta</v>
      </c>
      <c r="L28" s="70" cm="1">
        <f t="array" ref="L28">MAX(D27/G27,D28/G28,D29/G29,D30/G30)</f>
        <v>96</v>
      </c>
      <c r="M28" s="36" cm="1">
        <f t="array" ref="M28">MAX(0,ROUNDUP(G28*L28-D28,0))</f>
        <v>10</v>
      </c>
      <c r="N28" s="36" cm="1">
        <f t="array" ref="N28">_xlfn.COUNTIFS('Datos - Temas'!$V$5:$V$1264,$A28,'Datos - Temas'!$K$5:$K$1264,"FUERA")</f>
        <v>5</v>
      </c>
      <c r="O28" s="38" cm="1">
        <f t="array" ref="O28">ABS(F28-G28)</f>
        <v>0.041269841269841</v>
      </c>
    </row>
    <row r="29" ht="13.65" customHeight="1">
      <c r="A29" t="s" s="35">
        <v>82</v>
      </c>
      <c r="B29" t="s" s="35">
        <v>80</v>
      </c>
      <c r="C29" t="s" s="35">
        <v>222</v>
      </c>
      <c r="D29" s="36" cm="1">
        <f t="array" ref="D29">_xlfn.COUNTIFS('Datos - Temas'!$V$5:$V$1264,$A29,'Datos - Temas'!$M$5:$M$1264,$C29)</f>
        <v>24</v>
      </c>
      <c r="E29" s="36" cm="1">
        <f t="array" ref="E29">_xlfn.COUNTIFS('Datos - Temas'!$V$5:$V$1264,$A29)-_xlfn.COUNTIFS('Datos - Temas'!$V$5:$V$1264,$A29,'Datos - Temas'!$K$5:$K$1264,"FUERA")-_xlfn.COUNTIFS('Datos - Temas'!$V$5:$V$1264,$A29,'Datos - Temas'!$K$5:$K$1264,"PENDIENTE")</f>
        <v>63</v>
      </c>
      <c r="F29" s="38" cm="1">
        <f t="array" ref="F29">IF(E29=0,0,D29/E29)</f>
        <v>0.380952380952381</v>
      </c>
      <c r="G29" s="58">
        <v>0.25</v>
      </c>
      <c r="H29" s="70" cm="1">
        <f t="array" ref="H29">G29*E29</f>
        <v>15.75</v>
      </c>
      <c r="I29" s="70" cm="1">
        <f t="array" ref="I29">H29-D29</f>
        <v>-8.25</v>
      </c>
      <c r="J29" s="88" cm="1">
        <f t="array" ref="J29">(G29-F29)*100</f>
        <v>-13.0952380952381</v>
      </c>
      <c r="K29" t="str" s="89" cm="1">
        <f t="array" ref="K29">IF(ABS(G29-F29)&lt;=$H$2,"En meta",IF(I29&gt;0,"Faltan "&amp;FIXED(I29,0)&amp;" temas","Sobran "&amp;FIXED(-I29,0)&amp;" temas"))</f>
        <v>Sobran 8 temas</v>
      </c>
      <c r="L29" s="70" cm="1">
        <f t="array" ref="L29">MAX(D27/G27,D28/G28,D29/G29,D30/G30)</f>
        <v>96</v>
      </c>
      <c r="M29" s="36" cm="1">
        <f t="array" ref="M29">MAX(0,ROUNDUP(G29*L29-D29,0))</f>
        <v>0</v>
      </c>
      <c r="N29" s="36" cm="1">
        <f t="array" ref="N29">_xlfn.COUNTIFS('Datos - Temas'!$V$5:$V$1264,$A29,'Datos - Temas'!$K$5:$K$1264,"FUERA")</f>
        <v>5</v>
      </c>
      <c r="O29" s="38" cm="1">
        <f t="array" ref="O29">ABS(F29-G29)</f>
        <v>0.130952380952381</v>
      </c>
    </row>
    <row r="30" ht="13.65" customHeight="1">
      <c r="A30" t="s" s="35">
        <v>82</v>
      </c>
      <c r="B30" t="s" s="35">
        <v>80</v>
      </c>
      <c r="C30" t="s" s="35">
        <v>216</v>
      </c>
      <c r="D30" s="36" cm="1">
        <f t="array" ref="D30">_xlfn.COUNTIFS('Datos - Temas'!$V$5:$V$1264,$A30,'Datos - Temas'!$M$5:$M$1264,$C30)</f>
        <v>0</v>
      </c>
      <c r="E30" s="36" cm="1">
        <f t="array" ref="E30">_xlfn.COUNTIFS('Datos - Temas'!$V$5:$V$1264,$A30)-_xlfn.COUNTIFS('Datos - Temas'!$V$5:$V$1264,$A30,'Datos - Temas'!$K$5:$K$1264,"FUERA")-_xlfn.COUNTIFS('Datos - Temas'!$V$5:$V$1264,$A30,'Datos - Temas'!$K$5:$K$1264,"PENDIENTE")</f>
        <v>63</v>
      </c>
      <c r="F30" s="38" cm="1">
        <f t="array" ref="F30">IF(E30=0,0,D30/E30)</f>
        <v>0</v>
      </c>
      <c r="G30" s="58">
        <v>0.2</v>
      </c>
      <c r="H30" s="70" cm="1">
        <f t="array" ref="H30">G30*E30</f>
        <v>12.6</v>
      </c>
      <c r="I30" s="70" cm="1">
        <f t="array" ref="I30">H30-D30</f>
        <v>12.6</v>
      </c>
      <c r="J30" s="88" cm="1">
        <f t="array" ref="J30">(G30-F30)*100</f>
        <v>20</v>
      </c>
      <c r="K30" t="str" s="89" cm="1">
        <f t="array" ref="K30">IF(ABS(G30-F30)&lt;=$H$2,"En meta",IF(I30&gt;0,"Faltan "&amp;FIXED(I30,0)&amp;" temas","Sobran "&amp;FIXED(-I30,0)&amp;" temas"))</f>
        <v>Faltan 13 temas</v>
      </c>
      <c r="L30" s="70" cm="1">
        <f t="array" ref="L30">MAX(D27/G27,D28/G28,D29/G29,D30/G30)</f>
        <v>96</v>
      </c>
      <c r="M30" s="36" cm="1">
        <f t="array" ref="M30">MAX(0,ROUNDUP(G30*L30-D30,0))</f>
        <v>20</v>
      </c>
      <c r="N30" s="36" cm="1">
        <f t="array" ref="N30">_xlfn.COUNTIFS('Datos - Temas'!$V$5:$V$1264,$A30,'Datos - Temas'!$K$5:$K$1264,"FUERA")</f>
        <v>5</v>
      </c>
      <c r="O30" s="38" cm="1">
        <f t="array" ref="O30">ABS(F30-G30)</f>
        <v>0.2</v>
      </c>
    </row>
    <row r="31" ht="13.65" customHeight="1">
      <c r="A31" s="64"/>
      <c r="B31" s="64"/>
      <c r="C31" t="s" s="63">
        <v>1016</v>
      </c>
      <c r="D31" s="77" cm="1">
        <f t="array" ref="D31">SUM(D27:D30)</f>
        <v>63</v>
      </c>
      <c r="E31" s="64"/>
      <c r="F31" s="64"/>
      <c r="G31" s="90" cm="1">
        <f t="array" ref="G31">SUM(G27:G30)</f>
        <v>1</v>
      </c>
      <c r="H31" s="64"/>
      <c r="I31" s="64"/>
      <c r="J31" s="64"/>
      <c r="K31" s="64"/>
      <c r="L31" s="64"/>
      <c r="M31" s="77" cm="1">
        <f t="array" ref="M31">SUM(M27:M30)</f>
        <v>35</v>
      </c>
      <c r="N31" s="64"/>
      <c r="O31" s="65" cm="1">
        <f t="array" ref="O31">1-SUM(O27:O30)/2</f>
        <v>0.758730158730159</v>
      </c>
    </row>
    <row r="32" ht="13.55" customHeight="1">
      <c r="A32" s="71"/>
      <c r="B32" s="31"/>
      <c r="C32" s="31"/>
      <c r="D32" s="31"/>
      <c r="E32" s="31"/>
      <c r="F32" s="31"/>
      <c r="G32" s="31"/>
      <c r="H32" s="31"/>
      <c r="I32" s="31"/>
      <c r="J32" s="31"/>
      <c r="K32" s="31"/>
      <c r="L32" s="31"/>
      <c r="M32" s="31"/>
      <c r="N32" s="31"/>
      <c r="O32" s="91"/>
    </row>
    <row r="33" ht="13.65" customHeight="1">
      <c r="A33" t="s" s="35">
        <v>85</v>
      </c>
      <c r="B33" t="s" s="35">
        <v>80</v>
      </c>
      <c r="C33" t="s" s="35">
        <v>210</v>
      </c>
      <c r="D33" s="36" cm="1">
        <f t="array" ref="D33">_xlfn.COUNTIFS('Datos - Temas'!$V$5:$V$1264,$A33,'Datos - Temas'!$M$5:$M$1264,$C33)</f>
        <v>45</v>
      </c>
      <c r="E33" s="36" cm="1">
        <f t="array" ref="E33">_xlfn.COUNTIFS('Datos - Temas'!$V$5:$V$1264,$A33)-_xlfn.COUNTIFS('Datos - Temas'!$V$5:$V$1264,$A33,'Datos - Temas'!$K$5:$K$1264,"FUERA")-_xlfn.COUNTIFS('Datos - Temas'!$V$5:$V$1264,$A33,'Datos - Temas'!$K$5:$K$1264,"PENDIENTE")</f>
        <v>85</v>
      </c>
      <c r="F33" s="38" cm="1">
        <f t="array" ref="F33">IF(E33=0,0,D33/E33)</f>
        <v>0.529411764705882</v>
      </c>
      <c r="G33" s="58">
        <v>0.35</v>
      </c>
      <c r="H33" s="70" cm="1">
        <f t="array" ref="H33">G33*E33</f>
        <v>29.75</v>
      </c>
      <c r="I33" s="70" cm="1">
        <f t="array" ref="I33">H33-D33</f>
        <v>-15.25</v>
      </c>
      <c r="J33" s="88" cm="1">
        <f t="array" ref="J33">(G33-F33)*100</f>
        <v>-17.9411764705882</v>
      </c>
      <c r="K33" t="str" s="89" cm="1">
        <f t="array" ref="K33">IF(ABS(G33-F33)&lt;=$H$2,"En meta",IF(I33&gt;0,"Faltan "&amp;FIXED(I33,0)&amp;" temas","Sobran "&amp;FIXED(-I33,0)&amp;" temas"))</f>
        <v>Sobran 15 temas</v>
      </c>
      <c r="L33" s="70" cm="1">
        <f t="array" ref="L33">MAX(D33/G33,D34/G34,D35/G35,D36/G36)</f>
        <v>145</v>
      </c>
      <c r="M33" s="36" cm="1">
        <f t="array" ref="M33">MAX(0,ROUNDUP(G33*L33-D33,0))</f>
        <v>6</v>
      </c>
      <c r="N33" s="36" cm="1">
        <f t="array" ref="N33">_xlfn.COUNTIFS('Datos - Temas'!$V$5:$V$1264,$A33,'Datos - Temas'!$K$5:$K$1264,"FUERA")</f>
        <v>6</v>
      </c>
      <c r="O33" s="38" cm="1">
        <f t="array" ref="O33">ABS(F33-G33)</f>
        <v>0.179411764705882</v>
      </c>
    </row>
    <row r="34" ht="13.65" customHeight="1">
      <c r="A34" t="s" s="35">
        <v>85</v>
      </c>
      <c r="B34" t="s" s="35">
        <v>80</v>
      </c>
      <c r="C34" t="s" s="35">
        <v>220</v>
      </c>
      <c r="D34" s="36" cm="1">
        <f t="array" ref="D34">_xlfn.COUNTIFS('Datos - Temas'!$V$5:$V$1264,$A34,'Datos - Temas'!$M$5:$M$1264,$C34)</f>
        <v>9</v>
      </c>
      <c r="E34" s="36" cm="1">
        <f t="array" ref="E34">_xlfn.COUNTIFS('Datos - Temas'!$V$5:$V$1264,$A34)-_xlfn.COUNTIFS('Datos - Temas'!$V$5:$V$1264,$A34,'Datos - Temas'!$K$5:$K$1264,"FUERA")-_xlfn.COUNTIFS('Datos - Temas'!$V$5:$V$1264,$A34,'Datos - Temas'!$K$5:$K$1264,"PENDIENTE")</f>
        <v>85</v>
      </c>
      <c r="F34" s="38" cm="1">
        <f t="array" ref="F34">IF(E34=0,0,D34/E34)</f>
        <v>0.105882352941176</v>
      </c>
      <c r="G34" s="58">
        <v>0.2</v>
      </c>
      <c r="H34" s="70" cm="1">
        <f t="array" ref="H34">G34*E34</f>
        <v>17</v>
      </c>
      <c r="I34" s="70" cm="1">
        <f t="array" ref="I34">H34-D34</f>
        <v>8</v>
      </c>
      <c r="J34" s="88" cm="1">
        <f t="array" ref="J34">(G34-F34)*100</f>
        <v>9.411764705882399</v>
      </c>
      <c r="K34" t="str" s="89" cm="1">
        <f t="array" ref="K34">IF(ABS(G34-F34)&lt;=$H$2,"En meta",IF(I34&gt;0,"Faltan "&amp;FIXED(I34,0)&amp;" temas","Sobran "&amp;FIXED(-I34,0)&amp;" temas"))</f>
        <v>Faltan 8 temas</v>
      </c>
      <c r="L34" s="70" cm="1">
        <f t="array" ref="L34">MAX(D33/G33,D34/G34,D35/G35,D36/G36)</f>
        <v>145</v>
      </c>
      <c r="M34" s="36" cm="1">
        <f t="array" ref="M34">MAX(0,ROUNDUP(G34*L34-D34,0))</f>
        <v>20</v>
      </c>
      <c r="N34" s="36" cm="1">
        <f t="array" ref="N34">_xlfn.COUNTIFS('Datos - Temas'!$V$5:$V$1264,$A34,'Datos - Temas'!$K$5:$K$1264,"FUERA")</f>
        <v>6</v>
      </c>
      <c r="O34" s="38" cm="1">
        <f t="array" ref="O34">ABS(F34-G34)</f>
        <v>0.094117647058824</v>
      </c>
    </row>
    <row r="35" ht="13.65" customHeight="1">
      <c r="A35" t="s" s="35">
        <v>85</v>
      </c>
      <c r="B35" t="s" s="35">
        <v>80</v>
      </c>
      <c r="C35" t="s" s="35">
        <v>222</v>
      </c>
      <c r="D35" s="36" cm="1">
        <f t="array" ref="D35">_xlfn.COUNTIFS('Datos - Temas'!$V$5:$V$1264,$A35,'Datos - Temas'!$M$5:$M$1264,$C35)</f>
        <v>2</v>
      </c>
      <c r="E35" s="36" cm="1">
        <f t="array" ref="E35">_xlfn.COUNTIFS('Datos - Temas'!$V$5:$V$1264,$A35)-_xlfn.COUNTIFS('Datos - Temas'!$V$5:$V$1264,$A35,'Datos - Temas'!$K$5:$K$1264,"FUERA")-_xlfn.COUNTIFS('Datos - Temas'!$V$5:$V$1264,$A35,'Datos - Temas'!$K$5:$K$1264,"PENDIENTE")</f>
        <v>85</v>
      </c>
      <c r="F35" s="38" cm="1">
        <f t="array" ref="F35">IF(E35=0,0,D35/E35)</f>
        <v>0.0235294117647059</v>
      </c>
      <c r="G35" s="58">
        <v>0.25</v>
      </c>
      <c r="H35" s="70" cm="1">
        <f t="array" ref="H35">G35*E35</f>
        <v>21.25</v>
      </c>
      <c r="I35" s="70" cm="1">
        <f t="array" ref="I35">H35-D35</f>
        <v>19.25</v>
      </c>
      <c r="J35" s="88" cm="1">
        <f t="array" ref="J35">(G35-F35)*100</f>
        <v>22.6470588235294</v>
      </c>
      <c r="K35" t="str" s="89" cm="1">
        <f t="array" ref="K35">IF(ABS(G35-F35)&lt;=$H$2,"En meta",IF(I35&gt;0,"Faltan "&amp;FIXED(I35,0)&amp;" temas","Sobran "&amp;FIXED(-I35,0)&amp;" temas"))</f>
        <v>Faltan 19 temas</v>
      </c>
      <c r="L35" s="70" cm="1">
        <f t="array" ref="L35">MAX(D33/G33,D34/G34,D35/G35,D36/G36)</f>
        <v>145</v>
      </c>
      <c r="M35" s="36" cm="1">
        <f t="array" ref="M35">MAX(0,ROUNDUP(G35*L35-D35,0))</f>
        <v>35</v>
      </c>
      <c r="N35" s="36" cm="1">
        <f t="array" ref="N35">_xlfn.COUNTIFS('Datos - Temas'!$V$5:$V$1264,$A35,'Datos - Temas'!$K$5:$K$1264,"FUERA")</f>
        <v>6</v>
      </c>
      <c r="O35" s="38" cm="1">
        <f t="array" ref="O35">ABS(F35-G35)</f>
        <v>0.226470588235294</v>
      </c>
    </row>
    <row r="36" ht="13.65" customHeight="1">
      <c r="A36" t="s" s="35">
        <v>85</v>
      </c>
      <c r="B36" t="s" s="35">
        <v>80</v>
      </c>
      <c r="C36" t="s" s="35">
        <v>216</v>
      </c>
      <c r="D36" s="36" cm="1">
        <f t="array" ref="D36">_xlfn.COUNTIFS('Datos - Temas'!$V$5:$V$1264,$A36,'Datos - Temas'!$M$5:$M$1264,$C36)</f>
        <v>29</v>
      </c>
      <c r="E36" s="36" cm="1">
        <f t="array" ref="E36">_xlfn.COUNTIFS('Datos - Temas'!$V$5:$V$1264,$A36)-_xlfn.COUNTIFS('Datos - Temas'!$V$5:$V$1264,$A36,'Datos - Temas'!$K$5:$K$1264,"FUERA")-_xlfn.COUNTIFS('Datos - Temas'!$V$5:$V$1264,$A36,'Datos - Temas'!$K$5:$K$1264,"PENDIENTE")</f>
        <v>85</v>
      </c>
      <c r="F36" s="38" cm="1">
        <f t="array" ref="F36">IF(E36=0,0,D36/E36)</f>
        <v>0.341176470588235</v>
      </c>
      <c r="G36" s="58">
        <v>0.2</v>
      </c>
      <c r="H36" s="70" cm="1">
        <f t="array" ref="H36">G36*E36</f>
        <v>17</v>
      </c>
      <c r="I36" s="70" cm="1">
        <f t="array" ref="I36">H36-D36</f>
        <v>-12</v>
      </c>
      <c r="J36" s="88" cm="1">
        <f t="array" ref="J36">(G36-F36)*100</f>
        <v>-14.1176470588235</v>
      </c>
      <c r="K36" t="str" s="89" cm="1">
        <f t="array" ref="K36">IF(ABS(G36-F36)&lt;=$H$2,"En meta",IF(I36&gt;0,"Faltan "&amp;FIXED(I36,0)&amp;" temas","Sobran "&amp;FIXED(-I36,0)&amp;" temas"))</f>
        <v>Sobran 12 temas</v>
      </c>
      <c r="L36" s="70" cm="1">
        <f t="array" ref="L36">MAX(D33/G33,D34/G34,D35/G35,D36/G36)</f>
        <v>145</v>
      </c>
      <c r="M36" s="36" cm="1">
        <f t="array" ref="M36">MAX(0,ROUNDUP(G36*L36-D36,0))</f>
        <v>0</v>
      </c>
      <c r="N36" s="36" cm="1">
        <f t="array" ref="N36">_xlfn.COUNTIFS('Datos - Temas'!$V$5:$V$1264,$A36,'Datos - Temas'!$K$5:$K$1264,"FUERA")</f>
        <v>6</v>
      </c>
      <c r="O36" s="38" cm="1">
        <f t="array" ref="O36">ABS(F36-G36)</f>
        <v>0.141176470588235</v>
      </c>
    </row>
    <row r="37" ht="13.65" customHeight="1">
      <c r="A37" s="64"/>
      <c r="B37" s="64"/>
      <c r="C37" t="s" s="63">
        <v>1016</v>
      </c>
      <c r="D37" s="77" cm="1">
        <f t="array" ref="D37">SUM(D33:D36)</f>
        <v>85</v>
      </c>
      <c r="E37" s="64"/>
      <c r="F37" s="64"/>
      <c r="G37" s="90" cm="1">
        <f t="array" ref="G37">SUM(G33:G36)</f>
        <v>1</v>
      </c>
      <c r="H37" s="64"/>
      <c r="I37" s="64"/>
      <c r="J37" s="64"/>
      <c r="K37" s="64"/>
      <c r="L37" s="64"/>
      <c r="M37" s="77" cm="1">
        <f t="array" ref="M37">SUM(M33:M36)</f>
        <v>61</v>
      </c>
      <c r="N37" s="64"/>
      <c r="O37" s="65" cm="1">
        <f t="array" ref="O37">1-SUM(O33:O36)/2</f>
        <v>0.679411764705883</v>
      </c>
    </row>
    <row r="38" ht="13.55" customHeight="1">
      <c r="A38" s="71"/>
      <c r="B38" s="31"/>
      <c r="C38" s="31"/>
      <c r="D38" s="31"/>
      <c r="E38" s="31"/>
      <c r="F38" s="31"/>
      <c r="G38" s="31"/>
      <c r="H38" s="31"/>
      <c r="I38" s="31"/>
      <c r="J38" s="31"/>
      <c r="K38" s="31"/>
      <c r="L38" s="31"/>
      <c r="M38" s="31"/>
      <c r="N38" s="31"/>
      <c r="O38" s="91"/>
    </row>
    <row r="39" ht="13.65" customHeight="1">
      <c r="A39" t="s" s="35">
        <v>86</v>
      </c>
      <c r="B39" t="s" s="35">
        <v>80</v>
      </c>
      <c r="C39" t="s" s="35">
        <v>210</v>
      </c>
      <c r="D39" s="36" cm="1">
        <f t="array" ref="D39">_xlfn.COUNTIFS('Datos - Temas'!$V$5:$V$1264,$A39,'Datos - Temas'!$M$5:$M$1264,$C39)</f>
        <v>27</v>
      </c>
      <c r="E39" s="36" cm="1">
        <f t="array" ref="E39">_xlfn.COUNTIFS('Datos - Temas'!$V$5:$V$1264,$A39)-_xlfn.COUNTIFS('Datos - Temas'!$V$5:$V$1264,$A39,'Datos - Temas'!$K$5:$K$1264,"FUERA")-_xlfn.COUNTIFS('Datos - Temas'!$V$5:$V$1264,$A39,'Datos - Temas'!$K$5:$K$1264,"PENDIENTE")</f>
        <v>93</v>
      </c>
      <c r="F39" s="38" cm="1">
        <f t="array" ref="F39">IF(E39=0,0,D39/E39)</f>
        <v>0.290322580645161</v>
      </c>
      <c r="G39" s="58">
        <v>0.35</v>
      </c>
      <c r="H39" s="70" cm="1">
        <f t="array" ref="H39">G39*E39</f>
        <v>32.55</v>
      </c>
      <c r="I39" s="70" cm="1">
        <f t="array" ref="I39">H39-D39</f>
        <v>5.55</v>
      </c>
      <c r="J39" s="88" cm="1">
        <f t="array" ref="J39">(G39-F39)*100</f>
        <v>5.9677419354839</v>
      </c>
      <c r="K39" t="str" s="89" cm="1">
        <f t="array" ref="K39">IF(ABS(G39-F39)&lt;=$H$2,"En meta",IF(I39&gt;0,"Faltan "&amp;FIXED(I39,0)&amp;" temas","Sobran "&amp;FIXED(-I39,0)&amp;" temas"))</f>
        <v>Faltan 6 temas</v>
      </c>
      <c r="L39" s="70" cm="1">
        <f t="array" ref="L39">MAX(D39/G39,D40/G40,D41/G41,D42/G42)</f>
        <v>148</v>
      </c>
      <c r="M39" s="36" cm="1">
        <f t="array" ref="M39">MAX(0,ROUNDUP(G39*L39-D39,0))</f>
        <v>25</v>
      </c>
      <c r="N39" s="36" cm="1">
        <f t="array" ref="N39">_xlfn.COUNTIFS('Datos - Temas'!$V$5:$V$1264,$A39,'Datos - Temas'!$K$5:$K$1264,"FUERA")</f>
        <v>0</v>
      </c>
      <c r="O39" s="38" cm="1">
        <f t="array" ref="O39">ABS(F39-G39)</f>
        <v>0.059677419354839</v>
      </c>
    </row>
    <row r="40" ht="13.65" customHeight="1">
      <c r="A40" t="s" s="35">
        <v>86</v>
      </c>
      <c r="B40" t="s" s="35">
        <v>80</v>
      </c>
      <c r="C40" t="s" s="35">
        <v>220</v>
      </c>
      <c r="D40" s="36" cm="1">
        <f t="array" ref="D40">_xlfn.COUNTIFS('Datos - Temas'!$V$5:$V$1264,$A40,'Datos - Temas'!$M$5:$M$1264,$C40)</f>
        <v>25</v>
      </c>
      <c r="E40" s="36" cm="1">
        <f t="array" ref="E40">_xlfn.COUNTIFS('Datos - Temas'!$V$5:$V$1264,$A40)-_xlfn.COUNTIFS('Datos - Temas'!$V$5:$V$1264,$A40,'Datos - Temas'!$K$5:$K$1264,"FUERA")-_xlfn.COUNTIFS('Datos - Temas'!$V$5:$V$1264,$A40,'Datos - Temas'!$K$5:$K$1264,"PENDIENTE")</f>
        <v>93</v>
      </c>
      <c r="F40" s="38" cm="1">
        <f t="array" ref="F40">IF(E40=0,0,D40/E40)</f>
        <v>0.268817204301075</v>
      </c>
      <c r="G40" s="58">
        <v>0.2</v>
      </c>
      <c r="H40" s="70" cm="1">
        <f t="array" ref="H40">G40*E40</f>
        <v>18.6</v>
      </c>
      <c r="I40" s="70" cm="1">
        <f t="array" ref="I40">H40-D40</f>
        <v>-6.4</v>
      </c>
      <c r="J40" s="88" cm="1">
        <f t="array" ref="J40">(G40-F40)*100</f>
        <v>-6.8817204301075</v>
      </c>
      <c r="K40" t="str" s="89" cm="1">
        <f t="array" ref="K40">IF(ABS(G40-F40)&lt;=$H$2,"En meta",IF(I40&gt;0,"Faltan "&amp;FIXED(I40,0)&amp;" temas","Sobran "&amp;FIXED(-I40,0)&amp;" temas"))</f>
        <v>Sobran 6 temas</v>
      </c>
      <c r="L40" s="70" cm="1">
        <f t="array" ref="L40">MAX(D39/G39,D40/G40,D41/G41,D42/G42)</f>
        <v>148</v>
      </c>
      <c r="M40" s="36" cm="1">
        <f t="array" ref="M40">MAX(0,ROUNDUP(G40*L40-D40,0))</f>
        <v>5</v>
      </c>
      <c r="N40" s="36" cm="1">
        <f t="array" ref="N40">_xlfn.COUNTIFS('Datos - Temas'!$V$5:$V$1264,$A40,'Datos - Temas'!$K$5:$K$1264,"FUERA")</f>
        <v>0</v>
      </c>
      <c r="O40" s="38" cm="1">
        <f t="array" ref="O40">ABS(F40-G40)</f>
        <v>0.06881720430107501</v>
      </c>
    </row>
    <row r="41" ht="13.65" customHeight="1">
      <c r="A41" t="s" s="35">
        <v>86</v>
      </c>
      <c r="B41" t="s" s="35">
        <v>80</v>
      </c>
      <c r="C41" t="s" s="35">
        <v>222</v>
      </c>
      <c r="D41" s="36" cm="1">
        <f t="array" ref="D41">_xlfn.COUNTIFS('Datos - Temas'!$V$5:$V$1264,$A41,'Datos - Temas'!$M$5:$M$1264,$C41)</f>
        <v>37</v>
      </c>
      <c r="E41" s="36" cm="1">
        <f t="array" ref="E41">_xlfn.COUNTIFS('Datos - Temas'!$V$5:$V$1264,$A41)-_xlfn.COUNTIFS('Datos - Temas'!$V$5:$V$1264,$A41,'Datos - Temas'!$K$5:$K$1264,"FUERA")-_xlfn.COUNTIFS('Datos - Temas'!$V$5:$V$1264,$A41,'Datos - Temas'!$K$5:$K$1264,"PENDIENTE")</f>
        <v>93</v>
      </c>
      <c r="F41" s="38" cm="1">
        <f t="array" ref="F41">IF(E41=0,0,D41/E41)</f>
        <v>0.397849462365591</v>
      </c>
      <c r="G41" s="58">
        <v>0.25</v>
      </c>
      <c r="H41" s="70" cm="1">
        <f t="array" ref="H41">G41*E41</f>
        <v>23.25</v>
      </c>
      <c r="I41" s="70" cm="1">
        <f t="array" ref="I41">H41-D41</f>
        <v>-13.75</v>
      </c>
      <c r="J41" s="88" cm="1">
        <f t="array" ref="J41">(G41-F41)*100</f>
        <v>-14.7849462365591</v>
      </c>
      <c r="K41" t="str" s="89" cm="1">
        <f t="array" ref="K41">IF(ABS(G41-F41)&lt;=$H$2,"En meta",IF(I41&gt;0,"Faltan "&amp;FIXED(I41,0)&amp;" temas","Sobran "&amp;FIXED(-I41,0)&amp;" temas"))</f>
        <v>Sobran 14 temas</v>
      </c>
      <c r="L41" s="70" cm="1">
        <f t="array" ref="L41">MAX(D39/G39,D40/G40,D41/G41,D42/G42)</f>
        <v>148</v>
      </c>
      <c r="M41" s="36" cm="1">
        <f t="array" ref="M41">MAX(0,ROUNDUP(G41*L41-D41,0))</f>
        <v>0</v>
      </c>
      <c r="N41" s="36" cm="1">
        <f t="array" ref="N41">_xlfn.COUNTIFS('Datos - Temas'!$V$5:$V$1264,$A41,'Datos - Temas'!$K$5:$K$1264,"FUERA")</f>
        <v>0</v>
      </c>
      <c r="O41" s="38" cm="1">
        <f t="array" ref="O41">ABS(F41-G41)</f>
        <v>0.147849462365591</v>
      </c>
    </row>
    <row r="42" ht="13.65" customHeight="1">
      <c r="A42" t="s" s="35">
        <v>86</v>
      </c>
      <c r="B42" t="s" s="35">
        <v>80</v>
      </c>
      <c r="C42" t="s" s="35">
        <v>216</v>
      </c>
      <c r="D42" s="36" cm="1">
        <f t="array" ref="D42">_xlfn.COUNTIFS('Datos - Temas'!$V$5:$V$1264,$A42,'Datos - Temas'!$M$5:$M$1264,$C42)</f>
        <v>4</v>
      </c>
      <c r="E42" s="36" cm="1">
        <f t="array" ref="E42">_xlfn.COUNTIFS('Datos - Temas'!$V$5:$V$1264,$A42)-_xlfn.COUNTIFS('Datos - Temas'!$V$5:$V$1264,$A42,'Datos - Temas'!$K$5:$K$1264,"FUERA")-_xlfn.COUNTIFS('Datos - Temas'!$V$5:$V$1264,$A42,'Datos - Temas'!$K$5:$K$1264,"PENDIENTE")</f>
        <v>93</v>
      </c>
      <c r="F42" s="38" cm="1">
        <f t="array" ref="F42">IF(E42=0,0,D42/E42)</f>
        <v>0.043010752688172</v>
      </c>
      <c r="G42" s="58">
        <v>0.2</v>
      </c>
      <c r="H42" s="70" cm="1">
        <f t="array" ref="H42">G42*E42</f>
        <v>18.6</v>
      </c>
      <c r="I42" s="70" cm="1">
        <f t="array" ref="I42">H42-D42</f>
        <v>14.6</v>
      </c>
      <c r="J42" s="88" cm="1">
        <f t="array" ref="J42">(G42-F42)*100</f>
        <v>15.6989247311828</v>
      </c>
      <c r="K42" t="str" s="89" cm="1">
        <f t="array" ref="K42">IF(ABS(G42-F42)&lt;=$H$2,"En meta",IF(I42&gt;0,"Faltan "&amp;FIXED(I42,0)&amp;" temas","Sobran "&amp;FIXED(-I42,0)&amp;" temas"))</f>
        <v>Faltan 15 temas</v>
      </c>
      <c r="L42" s="70" cm="1">
        <f t="array" ref="L42">MAX(D39/G39,D40/G40,D41/G41,D42/G42)</f>
        <v>148</v>
      </c>
      <c r="M42" s="36" cm="1">
        <f t="array" ref="M42">MAX(0,ROUNDUP(G42*L42-D42,0))</f>
        <v>26</v>
      </c>
      <c r="N42" s="36" cm="1">
        <f t="array" ref="N42">_xlfn.COUNTIFS('Datos - Temas'!$V$5:$V$1264,$A42,'Datos - Temas'!$K$5:$K$1264,"FUERA")</f>
        <v>0</v>
      </c>
      <c r="O42" s="38" cm="1">
        <f t="array" ref="O42">ABS(F42-G42)</f>
        <v>0.156989247311828</v>
      </c>
    </row>
    <row r="43" ht="13.65" customHeight="1">
      <c r="A43" s="64"/>
      <c r="B43" s="64"/>
      <c r="C43" t="s" s="63">
        <v>1016</v>
      </c>
      <c r="D43" s="77" cm="1">
        <f t="array" ref="D43">SUM(D39:D42)</f>
        <v>93</v>
      </c>
      <c r="E43" s="64"/>
      <c r="F43" s="64"/>
      <c r="G43" s="90" cm="1">
        <f t="array" ref="G43">SUM(G39:G42)</f>
        <v>1</v>
      </c>
      <c r="H43" s="64"/>
      <c r="I43" s="64"/>
      <c r="J43" s="64"/>
      <c r="K43" s="64"/>
      <c r="L43" s="64"/>
      <c r="M43" s="77" cm="1">
        <f t="array" ref="M43">SUM(M39:M42)</f>
        <v>56</v>
      </c>
      <c r="N43" s="64"/>
      <c r="O43" s="65" cm="1">
        <f t="array" ref="O43">1-SUM(O39:O42)/2</f>
        <v>0.783333333333334</v>
      </c>
    </row>
    <row r="44" ht="13.55" customHeight="1">
      <c r="A44" s="71"/>
      <c r="B44" s="31"/>
      <c r="C44" s="31"/>
      <c r="D44" s="31"/>
      <c r="E44" s="31"/>
      <c r="F44" s="31"/>
      <c r="G44" s="31"/>
      <c r="H44" s="31"/>
      <c r="I44" s="31"/>
      <c r="J44" s="31"/>
      <c r="K44" s="31"/>
      <c r="L44" s="31"/>
      <c r="M44" s="31"/>
      <c r="N44" s="31"/>
      <c r="O44" s="91"/>
    </row>
    <row r="45" ht="13.65" customHeight="1">
      <c r="A45" t="s" s="35">
        <v>87</v>
      </c>
      <c r="B45" t="s" s="35">
        <v>88</v>
      </c>
      <c r="C45" t="s" s="35">
        <v>1017</v>
      </c>
      <c r="D45" s="36" cm="1">
        <f t="array" ref="D45">_xlfn.COUNTIFS('Datos - Temas'!$V$5:$V$1264,$A45,'Datos - Temas'!$M$5:$M$1264,$C45)</f>
        <v>67</v>
      </c>
      <c r="E45" s="36" cm="1">
        <f t="array" ref="E45">_xlfn.COUNTIFS('Datos - Temas'!$V$5:$V$1264,$A45)-_xlfn.COUNTIFS('Datos - Temas'!$V$5:$V$1264,$A45,'Datos - Temas'!$K$5:$K$1264,"FUERA")-_xlfn.COUNTIFS('Datos - Temas'!$V$5:$V$1264,$A45,'Datos - Temas'!$K$5:$K$1264,"PENDIENTE")</f>
        <v>80</v>
      </c>
      <c r="F45" s="38" cm="1">
        <f t="array" ref="F45">IF(E45=0,0,D45/E45)</f>
        <v>0.8375</v>
      </c>
      <c r="G45" s="58">
        <v>0.4</v>
      </c>
      <c r="H45" s="70" cm="1">
        <f t="array" ref="H45">G45*E45</f>
        <v>32</v>
      </c>
      <c r="I45" s="70" cm="1">
        <f t="array" ref="I45">H45-D45</f>
        <v>-35</v>
      </c>
      <c r="J45" s="88" cm="1">
        <f t="array" ref="J45">(G45-F45)*100</f>
        <v>-43.75</v>
      </c>
      <c r="K45" t="str" s="89" cm="1">
        <f t="array" ref="K45">IF(ABS(G45-F45)&lt;=$H$2,"En meta",IF(I45&gt;0,"Faltan "&amp;FIXED(I45,0)&amp;" temas","Sobran "&amp;FIXED(-I45,0)&amp;" temas"))</f>
        <v>Sobran 35 temas</v>
      </c>
      <c r="L45" s="70" cm="1">
        <f t="array" ref="L45">MAX(D45/G45,D46/G46,D47/G47)</f>
        <v>167.5</v>
      </c>
      <c r="M45" s="36" cm="1">
        <f t="array" ref="M45">MAX(0,ROUNDUP(G45*L45-D45,0))</f>
        <v>0</v>
      </c>
      <c r="N45" s="36" cm="1">
        <f t="array" ref="N45">_xlfn.COUNTIFS('Datos - Temas'!$V$5:$V$1264,$A45,'Datos - Temas'!$K$5:$K$1264,"FUERA")</f>
        <v>41</v>
      </c>
      <c r="O45" s="38" cm="1">
        <f t="array" ref="O45">ABS(F45-G45)</f>
        <v>0.4375</v>
      </c>
    </row>
    <row r="46" ht="13.65" customHeight="1">
      <c r="A46" t="s" s="35">
        <v>87</v>
      </c>
      <c r="B46" t="s" s="35">
        <v>88</v>
      </c>
      <c r="C46" t="s" s="35">
        <v>1018</v>
      </c>
      <c r="D46" s="36" cm="1">
        <f t="array" ref="D46">_xlfn.COUNTIFS('Datos - Temas'!$V$5:$V$1264,$A46,'Datos - Temas'!$M$5:$M$1264,$C46)</f>
        <v>0</v>
      </c>
      <c r="E46" s="36" cm="1">
        <f t="array" ref="E46">_xlfn.COUNTIFS('Datos - Temas'!$V$5:$V$1264,$A46)-_xlfn.COUNTIFS('Datos - Temas'!$V$5:$V$1264,$A46,'Datos - Temas'!$K$5:$K$1264,"FUERA")-_xlfn.COUNTIFS('Datos - Temas'!$V$5:$V$1264,$A46,'Datos - Temas'!$K$5:$K$1264,"PENDIENTE")</f>
        <v>80</v>
      </c>
      <c r="F46" s="38" cm="1">
        <f t="array" ref="F46">IF(E46=0,0,D46/E46)</f>
        <v>0</v>
      </c>
      <c r="G46" s="58">
        <v>0.25</v>
      </c>
      <c r="H46" s="70" cm="1">
        <f t="array" ref="H46">G46*E46</f>
        <v>20</v>
      </c>
      <c r="I46" s="70" cm="1">
        <f t="array" ref="I46">H46-D46</f>
        <v>20</v>
      </c>
      <c r="J46" s="88" cm="1">
        <f t="array" ref="J46">(G46-F46)*100</f>
        <v>25</v>
      </c>
      <c r="K46" t="str" s="89" cm="1">
        <f t="array" ref="K46">IF(ABS(G46-F46)&lt;=$H$2,"En meta",IF(I46&gt;0,"Faltan "&amp;FIXED(I46,0)&amp;" temas","Sobran "&amp;FIXED(-I46,0)&amp;" temas"))</f>
        <v>Faltan 20 temas</v>
      </c>
      <c r="L46" s="70" cm="1">
        <f t="array" ref="L46">MAX(D45/G45,D46/G46,D47/G47)</f>
        <v>167.5</v>
      </c>
      <c r="M46" s="36" cm="1">
        <f t="array" ref="M46">MAX(0,ROUNDUP(G46*L46-D46,0))</f>
        <v>42</v>
      </c>
      <c r="N46" s="36" cm="1">
        <f t="array" ref="N46">_xlfn.COUNTIFS('Datos - Temas'!$V$5:$V$1264,$A46,'Datos - Temas'!$K$5:$K$1264,"FUERA")</f>
        <v>41</v>
      </c>
      <c r="O46" s="38" cm="1">
        <f t="array" ref="O46">ABS(F46-G46)</f>
        <v>0.25</v>
      </c>
    </row>
    <row r="47" ht="13.65" customHeight="1">
      <c r="A47" t="s" s="35">
        <v>87</v>
      </c>
      <c r="B47" t="s" s="35">
        <v>88</v>
      </c>
      <c r="C47" t="s" s="35">
        <v>1019</v>
      </c>
      <c r="D47" s="36" cm="1">
        <f t="array" ref="D47">_xlfn.COUNTIFS('Datos - Temas'!$V$5:$V$1264,$A47,'Datos - Temas'!$M$5:$M$1264,$C47)</f>
        <v>13</v>
      </c>
      <c r="E47" s="36" cm="1">
        <f t="array" ref="E47">_xlfn.COUNTIFS('Datos - Temas'!$V$5:$V$1264,$A47)-_xlfn.COUNTIFS('Datos - Temas'!$V$5:$V$1264,$A47,'Datos - Temas'!$K$5:$K$1264,"FUERA")-_xlfn.COUNTIFS('Datos - Temas'!$V$5:$V$1264,$A47,'Datos - Temas'!$K$5:$K$1264,"PENDIENTE")</f>
        <v>80</v>
      </c>
      <c r="F47" s="38" cm="1">
        <f t="array" ref="F47">IF(E47=0,0,D47/E47)</f>
        <v>0.1625</v>
      </c>
      <c r="G47" s="58">
        <v>0.35</v>
      </c>
      <c r="H47" s="70" cm="1">
        <f t="array" ref="H47">G47*E47</f>
        <v>28</v>
      </c>
      <c r="I47" s="70" cm="1">
        <f t="array" ref="I47">H47-D47</f>
        <v>15</v>
      </c>
      <c r="J47" s="88" cm="1">
        <f t="array" ref="J47">(G47-F47)*100</f>
        <v>18.75</v>
      </c>
      <c r="K47" t="str" s="89" cm="1">
        <f t="array" ref="K47">IF(ABS(G47-F47)&lt;=$H$2,"En meta",IF(I47&gt;0,"Faltan "&amp;FIXED(I47,0)&amp;" temas","Sobran "&amp;FIXED(-I47,0)&amp;" temas"))</f>
        <v>Faltan 15 temas</v>
      </c>
      <c r="L47" s="70" cm="1">
        <f t="array" ref="L47">MAX(D45/G45,D46/G46,D47/G47)</f>
        <v>167.5</v>
      </c>
      <c r="M47" s="36" cm="1">
        <f t="array" ref="M47">MAX(0,ROUNDUP(G47*L47-D47,0))</f>
        <v>46</v>
      </c>
      <c r="N47" s="36" cm="1">
        <f t="array" ref="N47">_xlfn.COUNTIFS('Datos - Temas'!$V$5:$V$1264,$A47,'Datos - Temas'!$K$5:$K$1264,"FUERA")</f>
        <v>41</v>
      </c>
      <c r="O47" s="38" cm="1">
        <f t="array" ref="O47">ABS(F47-G47)</f>
        <v>0.1875</v>
      </c>
    </row>
    <row r="48" ht="13.65" customHeight="1">
      <c r="A48" s="64"/>
      <c r="B48" s="64"/>
      <c r="C48" t="s" s="63">
        <v>1016</v>
      </c>
      <c r="D48" s="77" cm="1">
        <f t="array" ref="D48">SUM(D45:D47)</f>
        <v>80</v>
      </c>
      <c r="E48" s="64"/>
      <c r="F48" s="64"/>
      <c r="G48" s="90" cm="1">
        <f t="array" ref="G48">SUM(G45:G47)</f>
        <v>1</v>
      </c>
      <c r="H48" s="64"/>
      <c r="I48" s="64"/>
      <c r="J48" s="64"/>
      <c r="K48" s="64"/>
      <c r="L48" s="64"/>
      <c r="M48" s="77" cm="1">
        <f t="array" ref="M48">SUM(M45:M47)</f>
        <v>88</v>
      </c>
      <c r="N48" s="64"/>
      <c r="O48" s="65" cm="1">
        <f t="array" ref="O48">1-SUM(O45:O47)/2</f>
        <v>0.5625</v>
      </c>
    </row>
    <row r="49" ht="13.55" customHeight="1">
      <c r="A49" s="71"/>
      <c r="B49" s="31"/>
      <c r="C49" s="31"/>
      <c r="D49" s="31"/>
      <c r="E49" s="31"/>
      <c r="F49" s="31"/>
      <c r="G49" s="31"/>
      <c r="H49" s="31"/>
      <c r="I49" s="31"/>
      <c r="J49" s="31"/>
      <c r="K49" s="31"/>
      <c r="L49" s="31"/>
      <c r="M49" s="31"/>
      <c r="N49" s="31"/>
      <c r="O49" s="91"/>
    </row>
    <row r="50" ht="13.65" customHeight="1">
      <c r="A50" t="s" s="35">
        <v>91</v>
      </c>
      <c r="B50" t="s" s="35">
        <v>88</v>
      </c>
      <c r="C50" t="s" s="35">
        <v>1017</v>
      </c>
      <c r="D50" s="36" cm="1">
        <f t="array" ref="D50">_xlfn.COUNTIFS('Datos - Temas'!$V$5:$V$1264,$A50,'Datos - Temas'!$M$5:$M$1264,$C50)</f>
        <v>4</v>
      </c>
      <c r="E50" s="36" cm="1">
        <f t="array" ref="E50">_xlfn.COUNTIFS('Datos - Temas'!$V$5:$V$1264,$A50)-_xlfn.COUNTIFS('Datos - Temas'!$V$5:$V$1264,$A50,'Datos - Temas'!$K$5:$K$1264,"FUERA")-_xlfn.COUNTIFS('Datos - Temas'!$V$5:$V$1264,$A50,'Datos - Temas'!$K$5:$K$1264,"PENDIENTE")</f>
        <v>119</v>
      </c>
      <c r="F50" s="38" cm="1">
        <f t="array" ref="F50">IF(E50=0,0,D50/E50)</f>
        <v>0.0336134453781513</v>
      </c>
      <c r="G50" s="58">
        <v>0.4</v>
      </c>
      <c r="H50" s="70" cm="1">
        <f t="array" ref="H50">G50*E50</f>
        <v>47.6</v>
      </c>
      <c r="I50" s="70" cm="1">
        <f t="array" ref="I50">H50-D50</f>
        <v>43.6</v>
      </c>
      <c r="J50" s="88" cm="1">
        <f t="array" ref="J50">(G50-F50)*100</f>
        <v>36.6386554621849</v>
      </c>
      <c r="K50" t="str" s="89" cm="1">
        <f t="array" ref="K50">IF(ABS(G50-F50)&lt;=$H$2,"En meta",IF(I50&gt;0,"Faltan "&amp;FIXED(I50,0)&amp;" temas","Sobran "&amp;FIXED(-I50,0)&amp;" temas"))</f>
        <v>Faltan 44 temas</v>
      </c>
      <c r="L50" s="70" cm="1">
        <f t="array" ref="L50">MAX(D50/G50,D51/G51,D52/G52)</f>
        <v>205.714285714286</v>
      </c>
      <c r="M50" s="36" cm="1">
        <f t="array" ref="M50">MAX(0,ROUNDUP(G50*L50-D50,0))</f>
        <v>79</v>
      </c>
      <c r="N50" s="36" cm="1">
        <f t="array" ref="N50">_xlfn.COUNTIFS('Datos - Temas'!$V$5:$V$1264,$A50,'Datos - Temas'!$K$5:$K$1264,"FUERA")</f>
        <v>27</v>
      </c>
      <c r="O50" s="38" cm="1">
        <f t="array" ref="O50">ABS(F50-G50)</f>
        <v>0.366386554621849</v>
      </c>
    </row>
    <row r="51" ht="13.65" customHeight="1">
      <c r="A51" t="s" s="35">
        <v>91</v>
      </c>
      <c r="B51" t="s" s="35">
        <v>88</v>
      </c>
      <c r="C51" t="s" s="35">
        <v>1018</v>
      </c>
      <c r="D51" s="36" cm="1">
        <f t="array" ref="D51">_xlfn.COUNTIFS('Datos - Temas'!$V$5:$V$1264,$A51,'Datos - Temas'!$M$5:$M$1264,$C51)</f>
        <v>43</v>
      </c>
      <c r="E51" s="36" cm="1">
        <f t="array" ref="E51">_xlfn.COUNTIFS('Datos - Temas'!$V$5:$V$1264,$A51)-_xlfn.COUNTIFS('Datos - Temas'!$V$5:$V$1264,$A51,'Datos - Temas'!$K$5:$K$1264,"FUERA")-_xlfn.COUNTIFS('Datos - Temas'!$V$5:$V$1264,$A51,'Datos - Temas'!$K$5:$K$1264,"PENDIENTE")</f>
        <v>119</v>
      </c>
      <c r="F51" s="38" cm="1">
        <f t="array" ref="F51">IF(E51=0,0,D51/E51)</f>
        <v>0.361344537815126</v>
      </c>
      <c r="G51" s="58">
        <v>0.25</v>
      </c>
      <c r="H51" s="70" cm="1">
        <f t="array" ref="H51">G51*E51</f>
        <v>29.75</v>
      </c>
      <c r="I51" s="70" cm="1">
        <f t="array" ref="I51">H51-D51</f>
        <v>-13.25</v>
      </c>
      <c r="J51" s="88" cm="1">
        <f t="array" ref="J51">(G51-F51)*100</f>
        <v>-11.1344537815126</v>
      </c>
      <c r="K51" t="str" s="89" cm="1">
        <f t="array" ref="K51">IF(ABS(G51-F51)&lt;=$H$2,"En meta",IF(I51&gt;0,"Faltan "&amp;FIXED(I51,0)&amp;" temas","Sobran "&amp;FIXED(-I51,0)&amp;" temas"))</f>
        <v>Sobran 13 temas</v>
      </c>
      <c r="L51" s="70" cm="1">
        <f t="array" ref="L51">MAX(D50/G50,D51/G51,D52/G52)</f>
        <v>205.714285714286</v>
      </c>
      <c r="M51" s="36" cm="1">
        <f t="array" ref="M51">MAX(0,ROUNDUP(G51*L51-D51,0))</f>
        <v>9</v>
      </c>
      <c r="N51" s="36" cm="1">
        <f t="array" ref="N51">_xlfn.COUNTIFS('Datos - Temas'!$V$5:$V$1264,$A51,'Datos - Temas'!$K$5:$K$1264,"FUERA")</f>
        <v>27</v>
      </c>
      <c r="O51" s="38" cm="1">
        <f t="array" ref="O51">ABS(F51-G51)</f>
        <v>0.111344537815126</v>
      </c>
    </row>
    <row r="52" ht="13.65" customHeight="1">
      <c r="A52" t="s" s="35">
        <v>91</v>
      </c>
      <c r="B52" t="s" s="35">
        <v>88</v>
      </c>
      <c r="C52" t="s" s="35">
        <v>1019</v>
      </c>
      <c r="D52" s="36" cm="1">
        <f t="array" ref="D52">_xlfn.COUNTIFS('Datos - Temas'!$V$5:$V$1264,$A52,'Datos - Temas'!$M$5:$M$1264,$C52)</f>
        <v>72</v>
      </c>
      <c r="E52" s="36" cm="1">
        <f t="array" ref="E52">_xlfn.COUNTIFS('Datos - Temas'!$V$5:$V$1264,$A52)-_xlfn.COUNTIFS('Datos - Temas'!$V$5:$V$1264,$A52,'Datos - Temas'!$K$5:$K$1264,"FUERA")-_xlfn.COUNTIFS('Datos - Temas'!$V$5:$V$1264,$A52,'Datos - Temas'!$K$5:$K$1264,"PENDIENTE")</f>
        <v>119</v>
      </c>
      <c r="F52" s="38" cm="1">
        <f t="array" ref="F52">IF(E52=0,0,D52/E52)</f>
        <v>0.605042016806723</v>
      </c>
      <c r="G52" s="58">
        <v>0.35</v>
      </c>
      <c r="H52" s="70" cm="1">
        <f t="array" ref="H52">G52*E52</f>
        <v>41.65</v>
      </c>
      <c r="I52" s="70" cm="1">
        <f t="array" ref="I52">H52-D52</f>
        <v>-30.35</v>
      </c>
      <c r="J52" s="88" cm="1">
        <f t="array" ref="J52">(G52-F52)*100</f>
        <v>-25.5042016806723</v>
      </c>
      <c r="K52" t="str" s="89" cm="1">
        <f t="array" ref="K52">IF(ABS(G52-F52)&lt;=$H$2,"En meta",IF(I52&gt;0,"Faltan "&amp;FIXED(I52,0)&amp;" temas","Sobran "&amp;FIXED(-I52,0)&amp;" temas"))</f>
        <v>Sobran 30 temas</v>
      </c>
      <c r="L52" s="70" cm="1">
        <f t="array" ref="L52">MAX(D50/G50,D51/G51,D52/G52)</f>
        <v>205.714285714286</v>
      </c>
      <c r="M52" s="36" cm="1">
        <f t="array" ref="M52">MAX(0,ROUNDUP(G52*L52-D52,0))</f>
        <v>1</v>
      </c>
      <c r="N52" s="36" cm="1">
        <f t="array" ref="N52">_xlfn.COUNTIFS('Datos - Temas'!$V$5:$V$1264,$A52,'Datos - Temas'!$K$5:$K$1264,"FUERA")</f>
        <v>27</v>
      </c>
      <c r="O52" s="38" cm="1">
        <f t="array" ref="O52">ABS(F52-G52)</f>
        <v>0.255042016806723</v>
      </c>
    </row>
    <row r="53" ht="13.65" customHeight="1">
      <c r="A53" s="64"/>
      <c r="B53" s="64"/>
      <c r="C53" t="s" s="63">
        <v>1016</v>
      </c>
      <c r="D53" s="77" cm="1">
        <f t="array" ref="D53">SUM(D50:D52)</f>
        <v>119</v>
      </c>
      <c r="E53" s="64"/>
      <c r="F53" s="64"/>
      <c r="G53" s="90" cm="1">
        <f t="array" ref="G53">SUM(G50:G52)</f>
        <v>1</v>
      </c>
      <c r="H53" s="64"/>
      <c r="I53" s="64"/>
      <c r="J53" s="64"/>
      <c r="K53" s="64"/>
      <c r="L53" s="64"/>
      <c r="M53" s="77" cm="1">
        <f t="array" ref="M53">SUM(M50:M52)</f>
        <v>89</v>
      </c>
      <c r="N53" s="64"/>
      <c r="O53" s="65" cm="1">
        <f t="array" ref="O53">1-SUM(O50:O52)/2</f>
        <v>0.633613445378151</v>
      </c>
    </row>
    <row r="54" ht="13.55" customHeight="1">
      <c r="A54" s="42"/>
      <c r="B54" s="18"/>
      <c r="C54" s="18"/>
      <c r="D54" s="18"/>
      <c r="E54" s="18"/>
      <c r="F54" s="18"/>
      <c r="G54" s="18"/>
      <c r="H54" s="18"/>
      <c r="I54" s="18"/>
      <c r="J54" s="18"/>
      <c r="K54" s="18"/>
      <c r="L54" s="18"/>
      <c r="M54" s="18"/>
      <c r="N54" s="18"/>
      <c r="O54" s="51"/>
    </row>
    <row r="55" ht="84" customHeight="1">
      <c r="A55" t="s" s="54">
        <v>1043</v>
      </c>
      <c r="B55" s="24"/>
      <c r="C55" s="24"/>
      <c r="D55" s="24"/>
      <c r="E55" s="24"/>
      <c r="F55" s="24"/>
      <c r="G55" s="24"/>
      <c r="H55" s="24"/>
      <c r="I55" s="24"/>
      <c r="J55" s="24"/>
      <c r="K55" s="24"/>
      <c r="L55" s="24"/>
      <c r="M55" s="24"/>
      <c r="N55" s="24"/>
      <c r="O55" s="25"/>
    </row>
  </sheetData>
  <mergeCells count="2">
    <mergeCell ref="A3:N3"/>
    <mergeCell ref="A55:N55"/>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dimension ref="A1:T126"/>
  <sheetViews>
    <sheetView workbookViewId="0" showGridLines="0" defaultGridColor="1"/>
  </sheetViews>
  <sheetFormatPr defaultColWidth="8.83333" defaultRowHeight="15" customHeight="1" outlineLevelRow="0" outlineLevelCol="0"/>
  <cols>
    <col min="1" max="1" width="12" style="93" customWidth="1"/>
    <col min="2" max="2" width="7" style="93" customWidth="1"/>
    <col min="3" max="3" width="22" style="93" customWidth="1"/>
    <col min="4" max="4" width="30" style="93" customWidth="1"/>
    <col min="5" max="5" width="52" style="93" customWidth="1"/>
    <col min="6" max="14" width="7" style="93" customWidth="1"/>
    <col min="15" max="15" width="8" style="93" customWidth="1"/>
    <col min="16" max="17" width="9" style="93" customWidth="1"/>
    <col min="18" max="18" width="17" style="93" customWidth="1"/>
    <col min="19" max="19" width="12" style="93" customWidth="1"/>
    <col min="20" max="20" width="70" style="93" customWidth="1"/>
    <col min="21" max="16384" width="8.85156" style="93" customWidth="1"/>
  </cols>
  <sheetData>
    <row r="1" ht="18.5" customHeight="1">
      <c r="A1" t="s" s="27">
        <v>1045</v>
      </c>
      <c r="B1" s="28"/>
      <c r="C1" s="28"/>
      <c r="D1" s="28"/>
      <c r="E1" s="28"/>
      <c r="F1" s="28"/>
      <c r="G1" s="28"/>
      <c r="H1" s="28"/>
      <c r="I1" s="28"/>
      <c r="J1" s="28"/>
      <c r="K1" s="28"/>
      <c r="L1" s="28"/>
      <c r="M1" s="28"/>
      <c r="N1" s="28"/>
      <c r="O1" s="9"/>
      <c r="P1" s="9"/>
      <c r="Q1" s="9"/>
      <c r="R1" s="9"/>
      <c r="S1" s="9"/>
      <c r="T1" s="10"/>
    </row>
    <row r="2" ht="68" customHeight="1">
      <c r="A2" t="str" s="29" cm="1">
        <f t="array" ref="A2">"TIMSS 2027 (2.°–8.°) y TIMSS Advanced (Física)"&amp;"
"&amp;IF(COUNTIF($R$5:$R$107,"No cubierto")=0,"BIEN · ","OJO · ")&amp;"Rojo: "&amp;COUNTIF($R$5:$R$107,"No cubierto")&amp;" objetivos de TIMSS sin ningún tema. Amarillo: "&amp;COUNTIF($R$5:$R$107,"Débil (1 tema)")&amp;" con un solo tema."&amp;"
"&amp;"● Cubiertos: "&amp;COUNTIF($Q$5:$Q$107,"Sí")&amp;" de "&amp;ROWS($Q$5:$Q$107)&amp;" objetivos. «N/A» = ese grado no lo evalúa ese TIMSS (no es un problema)."&amp;"
"&amp;"→ Filtra «Estado» por rojo o amarillo; la última columna dice qué hacer. Lo de PISA está en «PISA - Contenidos»."</f>
        <v>TIMSS 2027 (2.°–8.°) y TIMSS Advanced (Física)
OJO · Rojo: 4 objetivos de TIMSS sin ningún tema. Amarillo: 7 con un solo tema.
● Cubiertos: 99 de 103 objetivos. «N/A» = ese grado no lo evalúa ese TIMSS (no es un problema).
→ Filtra «Estado» por rojo o amarillo; la última columna dice qué hacer. Lo de PISA está en «PISA - Contenidos».</v>
      </c>
      <c r="B2" s="30"/>
      <c r="C2" s="31"/>
      <c r="D2" s="31"/>
      <c r="E2" s="31"/>
      <c r="F2" s="31"/>
      <c r="G2" s="31"/>
      <c r="H2" s="31"/>
      <c r="I2" s="31"/>
      <c r="J2" s="31"/>
      <c r="K2" s="31"/>
      <c r="L2" s="31"/>
      <c r="M2" s="31"/>
      <c r="N2" s="32"/>
      <c r="O2" s="17"/>
      <c r="P2" s="13"/>
      <c r="Q2" s="13"/>
      <c r="R2" s="13"/>
      <c r="S2" s="13"/>
      <c r="T2" s="14"/>
    </row>
    <row r="3" ht="13.55" customHeight="1">
      <c r="A3" s="71"/>
      <c r="B3" s="31"/>
      <c r="C3" s="31"/>
      <c r="D3" s="31"/>
      <c r="E3" s="31"/>
      <c r="F3" s="31"/>
      <c r="G3" s="31"/>
      <c r="H3" s="31"/>
      <c r="I3" s="31"/>
      <c r="J3" s="31"/>
      <c r="K3" s="31"/>
      <c r="L3" s="31"/>
      <c r="M3" s="31"/>
      <c r="N3" s="31"/>
      <c r="O3" s="44"/>
      <c r="P3" s="44"/>
      <c r="Q3" s="44"/>
      <c r="R3" s="44"/>
      <c r="S3" s="44"/>
      <c r="T3" s="14"/>
    </row>
    <row r="4" ht="45" customHeight="1">
      <c r="A4" t="s" s="34">
        <v>1047</v>
      </c>
      <c r="B4" t="s" s="34">
        <v>155</v>
      </c>
      <c r="C4" t="s" s="34">
        <v>1002</v>
      </c>
      <c r="D4" t="s" s="34">
        <v>1048</v>
      </c>
      <c r="E4" t="s" s="34">
        <v>1049</v>
      </c>
      <c r="F4" t="s" s="34">
        <v>69</v>
      </c>
      <c r="G4" t="s" s="34">
        <v>74</v>
      </c>
      <c r="H4" t="s" s="34">
        <v>77</v>
      </c>
      <c r="I4" t="s" s="34">
        <v>79</v>
      </c>
      <c r="J4" t="s" s="34">
        <v>82</v>
      </c>
      <c r="K4" t="s" s="34">
        <v>85</v>
      </c>
      <c r="L4" t="s" s="34">
        <v>86</v>
      </c>
      <c r="M4" t="s" s="34">
        <v>87</v>
      </c>
      <c r="N4" t="s" s="34">
        <v>91</v>
      </c>
      <c r="O4" t="s" s="34">
        <v>1050</v>
      </c>
      <c r="P4" t="s" s="34">
        <v>1051</v>
      </c>
      <c r="Q4" t="s" s="34">
        <v>1052</v>
      </c>
      <c r="R4" t="s" s="34">
        <v>1053</v>
      </c>
      <c r="S4" t="s" s="34">
        <v>1054</v>
      </c>
      <c r="T4" s="94"/>
    </row>
    <row r="5" ht="24.65" customHeight="1">
      <c r="A5" t="s" s="78">
        <v>427</v>
      </c>
      <c r="B5" t="s" s="78">
        <v>1055</v>
      </c>
      <c r="C5" t="s" s="78">
        <v>210</v>
      </c>
      <c r="D5" t="s" s="78">
        <v>1056</v>
      </c>
      <c r="E5" t="s" s="78">
        <v>1057</v>
      </c>
      <c r="F5" s="80" cm="1">
        <f t="array" ref="F5">_xlfn.COUNTIFS('Datos - Temas'!$V$5:$V$1264,F$4,'Datos - Temas'!$K$5:$K$1264,$A5)+_xlfn.COUNTIFS('Datos - Temas'!$V$5:$V$1264,F$4,'Datos - Temas'!$L$5:$L$1264,$A5)</f>
        <v>5</v>
      </c>
      <c r="G5" s="80" cm="1">
        <f t="array" ref="G5">_xlfn.COUNTIFS('Datos - Temas'!$V$5:$V$1264,G$4,'Datos - Temas'!$K$5:$K$1264,$A5)+_xlfn.COUNTIFS('Datos - Temas'!$V$5:$V$1264,G$4,'Datos - Temas'!$L$5:$L$1264,$A5)</f>
        <v>5</v>
      </c>
      <c r="H5" s="80" cm="1">
        <f t="array" ref="H5">_xlfn.COUNTIFS('Datos - Temas'!$V$5:$V$1264,H$4,'Datos - Temas'!$K$5:$K$1264,$A5)+_xlfn.COUNTIFS('Datos - Temas'!$V$5:$V$1264,H$4,'Datos - Temas'!$L$5:$L$1264,$A5)</f>
        <v>3</v>
      </c>
      <c r="I5" t="s" s="78">
        <v>1058</v>
      </c>
      <c r="J5" t="s" s="78">
        <v>1058</v>
      </c>
      <c r="K5" t="s" s="78">
        <v>1058</v>
      </c>
      <c r="L5" t="s" s="78">
        <v>1058</v>
      </c>
      <c r="M5" t="s" s="78">
        <v>1058</v>
      </c>
      <c r="N5" t="s" s="78">
        <v>1058</v>
      </c>
      <c r="O5" s="80">
        <v>13</v>
      </c>
      <c r="P5" s="80" cm="1">
        <f t="array" ref="P5">_xlfn.COUNTIFS('Datos - Temas'!$K$5:$K$1264,$A5)</f>
        <v>9</v>
      </c>
      <c r="Q5" t="str" s="79" cm="1">
        <f t="array" ref="Q5">IF(O5&gt;0,"Sí","No")</f>
        <v>Sí</v>
      </c>
      <c r="R5" t="str" s="79" cm="1">
        <f t="array" ref="R5">IF(O5=0,"No cubierto",IF(O5=1,"Débil (1 tema)",IF(O5&lt;=3,"Básica (2–3)","Sólida (4+)")))</f>
        <v>Sólida (4+)</v>
      </c>
      <c r="S5" t="str" s="79" cm="1">
        <f t="array" ref="S5">_xlfn.IFERROR(INDEX($F$4:$H$4,MATCH(TRUE,INDEX(F5:H5&gt;0,0),0)),"—")</f>
        <v>2°</v>
      </c>
      <c r="T5" t="s" s="78">
        <v>1061</v>
      </c>
    </row>
    <row r="6" ht="24.65" customHeight="1">
      <c r="A6" t="s" s="78">
        <v>388</v>
      </c>
      <c r="B6" t="s" s="78">
        <v>1055</v>
      </c>
      <c r="C6" t="s" s="78">
        <v>210</v>
      </c>
      <c r="D6" t="s" s="78">
        <v>1056</v>
      </c>
      <c r="E6" t="s" s="78">
        <v>1062</v>
      </c>
      <c r="F6" s="80" cm="1">
        <f t="array" ref="F6">_xlfn.COUNTIFS('Datos - Temas'!$V$5:$V$1264,F$4,'Datos - Temas'!$K$5:$K$1264,$A6)+_xlfn.COUNTIFS('Datos - Temas'!$V$5:$V$1264,F$4,'Datos - Temas'!$L$5:$L$1264,$A6)</f>
        <v>5</v>
      </c>
      <c r="G6" s="80" cm="1">
        <f t="array" ref="G6">_xlfn.COUNTIFS('Datos - Temas'!$V$5:$V$1264,G$4,'Datos - Temas'!$K$5:$K$1264,$A6)+_xlfn.COUNTIFS('Datos - Temas'!$V$5:$V$1264,G$4,'Datos - Temas'!$L$5:$L$1264,$A6)</f>
        <v>13</v>
      </c>
      <c r="H6" s="80" cm="1">
        <f t="array" ref="H6">_xlfn.COUNTIFS('Datos - Temas'!$V$5:$V$1264,H$4,'Datos - Temas'!$K$5:$K$1264,$A6)+_xlfn.COUNTIFS('Datos - Temas'!$V$5:$V$1264,H$4,'Datos - Temas'!$L$5:$L$1264,$A6)</f>
        <v>0</v>
      </c>
      <c r="I6" t="s" s="78">
        <v>1058</v>
      </c>
      <c r="J6" t="s" s="78">
        <v>1058</v>
      </c>
      <c r="K6" t="s" s="78">
        <v>1058</v>
      </c>
      <c r="L6" t="s" s="78">
        <v>1058</v>
      </c>
      <c r="M6" t="s" s="78">
        <v>1058</v>
      </c>
      <c r="N6" t="s" s="78">
        <v>1058</v>
      </c>
      <c r="O6" s="80">
        <v>18</v>
      </c>
      <c r="P6" s="80" cm="1">
        <f t="array" ref="P6">_xlfn.COUNTIFS('Datos - Temas'!$K$5:$K$1264,$A6)</f>
        <v>17</v>
      </c>
      <c r="Q6" t="str" s="79" cm="1">
        <f t="array" ref="Q6">IF(O6&gt;0,"Sí","No")</f>
        <v>Sí</v>
      </c>
      <c r="R6" t="str" s="79" cm="1">
        <f t="array" ref="R6">IF(O6=0,"No cubierto",IF(O6=1,"Débil (1 tema)",IF(O6&lt;=3,"Básica (2–3)","Sólida (4+)")))</f>
        <v>Sólida (4+)</v>
      </c>
      <c r="S6" t="str" s="79" cm="1">
        <f t="array" ref="S6">_xlfn.IFERROR(INDEX($F$4:$H$4,MATCH(TRUE,INDEX(F6:H6&gt;0,0),0)),"—")</f>
        <v>2°</v>
      </c>
      <c r="T6" t="s" s="78">
        <v>1063</v>
      </c>
    </row>
    <row r="7" ht="24.65" customHeight="1">
      <c r="A7" t="s" s="78">
        <v>383</v>
      </c>
      <c r="B7" t="s" s="78">
        <v>1055</v>
      </c>
      <c r="C7" t="s" s="78">
        <v>210</v>
      </c>
      <c r="D7" t="s" s="78">
        <v>1056</v>
      </c>
      <c r="E7" t="s" s="78">
        <v>1064</v>
      </c>
      <c r="F7" s="80" cm="1">
        <f t="array" ref="F7">_xlfn.COUNTIFS('Datos - Temas'!$V$5:$V$1264,F$4,'Datos - Temas'!$K$5:$K$1264,$A7)+_xlfn.COUNTIFS('Datos - Temas'!$V$5:$V$1264,F$4,'Datos - Temas'!$L$5:$L$1264,$A7)</f>
        <v>1</v>
      </c>
      <c r="G7" s="80" cm="1">
        <f t="array" ref="G7">_xlfn.COUNTIFS('Datos - Temas'!$V$5:$V$1264,G$4,'Datos - Temas'!$K$5:$K$1264,$A7)+_xlfn.COUNTIFS('Datos - Temas'!$V$5:$V$1264,G$4,'Datos - Temas'!$L$5:$L$1264,$A7)</f>
        <v>5</v>
      </c>
      <c r="H7" s="80" cm="1">
        <f t="array" ref="H7">_xlfn.COUNTIFS('Datos - Temas'!$V$5:$V$1264,H$4,'Datos - Temas'!$K$5:$K$1264,$A7)+_xlfn.COUNTIFS('Datos - Temas'!$V$5:$V$1264,H$4,'Datos - Temas'!$L$5:$L$1264,$A7)</f>
        <v>18</v>
      </c>
      <c r="I7" t="s" s="78">
        <v>1058</v>
      </c>
      <c r="J7" t="s" s="78">
        <v>1058</v>
      </c>
      <c r="K7" t="s" s="78">
        <v>1058</v>
      </c>
      <c r="L7" t="s" s="78">
        <v>1058</v>
      </c>
      <c r="M7" t="s" s="78">
        <v>1058</v>
      </c>
      <c r="N7" t="s" s="78">
        <v>1058</v>
      </c>
      <c r="O7" s="80">
        <v>24</v>
      </c>
      <c r="P7" s="80" cm="1">
        <f t="array" ref="P7">_xlfn.COUNTIFS('Datos - Temas'!$K$5:$K$1264,$A7)</f>
        <v>23</v>
      </c>
      <c r="Q7" t="str" s="79" cm="1">
        <f t="array" ref="Q7">IF(O7&gt;0,"Sí","No")</f>
        <v>Sí</v>
      </c>
      <c r="R7" t="str" s="79" cm="1">
        <f t="array" ref="R7">IF(O7=0,"No cubierto",IF(O7=1,"Débil (1 tema)",IF(O7&lt;=3,"Básica (2–3)","Sólida (4+)")))</f>
        <v>Sólida (4+)</v>
      </c>
      <c r="S7" t="str" s="79" cm="1">
        <f t="array" ref="S7">_xlfn.IFERROR(INDEX($F$4:$H$4,MATCH(TRUE,INDEX(F7:H7&gt;0,0),0)),"—")</f>
        <v>2°</v>
      </c>
      <c r="T7" t="s" s="78">
        <v>1065</v>
      </c>
    </row>
    <row r="8" ht="24.65" customHeight="1">
      <c r="A8" t="s" s="78">
        <v>1066</v>
      </c>
      <c r="B8" t="s" s="78">
        <v>1055</v>
      </c>
      <c r="C8" t="s" s="78">
        <v>210</v>
      </c>
      <c r="D8" t="s" s="78">
        <v>1056</v>
      </c>
      <c r="E8" t="s" s="78">
        <v>1067</v>
      </c>
      <c r="F8" s="80" cm="1">
        <f t="array" ref="F8">_xlfn.COUNTIFS('Datos - Temas'!$V$5:$V$1264,F$4,'Datos - Temas'!$K$5:$K$1264,$A8)+_xlfn.COUNTIFS('Datos - Temas'!$V$5:$V$1264,F$4,'Datos - Temas'!$L$5:$L$1264,$A8)</f>
        <v>2</v>
      </c>
      <c r="G8" s="80" cm="1">
        <f t="array" ref="G8">_xlfn.COUNTIFS('Datos - Temas'!$V$5:$V$1264,G$4,'Datos - Temas'!$K$5:$K$1264,$A8)+_xlfn.COUNTIFS('Datos - Temas'!$V$5:$V$1264,G$4,'Datos - Temas'!$L$5:$L$1264,$A8)</f>
        <v>5</v>
      </c>
      <c r="H8" s="80" cm="1">
        <f t="array" ref="H8">_xlfn.COUNTIFS('Datos - Temas'!$V$5:$V$1264,H$4,'Datos - Temas'!$K$5:$K$1264,$A8)+_xlfn.COUNTIFS('Datos - Temas'!$V$5:$V$1264,H$4,'Datos - Temas'!$L$5:$L$1264,$A8)</f>
        <v>3</v>
      </c>
      <c r="I8" t="s" s="78">
        <v>1058</v>
      </c>
      <c r="J8" t="s" s="78">
        <v>1058</v>
      </c>
      <c r="K8" t="s" s="78">
        <v>1058</v>
      </c>
      <c r="L8" t="s" s="78">
        <v>1058</v>
      </c>
      <c r="M8" t="s" s="78">
        <v>1058</v>
      </c>
      <c r="N8" t="s" s="78">
        <v>1058</v>
      </c>
      <c r="O8" s="80">
        <v>10</v>
      </c>
      <c r="P8" s="80" cm="1">
        <f t="array" ref="P8">_xlfn.COUNTIFS('Datos - Temas'!$K$5:$K$1264,$A8)</f>
        <v>5</v>
      </c>
      <c r="Q8" t="str" s="79" cm="1">
        <f t="array" ref="Q8">IF(O8&gt;0,"Sí","No")</f>
        <v>Sí</v>
      </c>
      <c r="R8" t="str" s="79" cm="1">
        <f t="array" ref="R8">IF(O8=0,"No cubierto",IF(O8=1,"Débil (1 tema)",IF(O8&lt;=3,"Básica (2–3)","Sólida (4+)")))</f>
        <v>Sólida (4+)</v>
      </c>
      <c r="S8" t="str" s="79" cm="1">
        <f t="array" ref="S8">_xlfn.IFERROR(INDEX($F$4:$H$4,MATCH(TRUE,INDEX(F8:H8&gt;0,0),0)),"—")</f>
        <v>2°</v>
      </c>
      <c r="T8" t="s" s="78">
        <v>1068</v>
      </c>
    </row>
    <row r="9" ht="35.65" customHeight="1">
      <c r="A9" t="s" s="78">
        <v>1069</v>
      </c>
      <c r="B9" t="s" s="78">
        <v>1055</v>
      </c>
      <c r="C9" t="s" s="78">
        <v>210</v>
      </c>
      <c r="D9" t="s" s="78">
        <v>1070</v>
      </c>
      <c r="E9" t="s" s="78">
        <v>1071</v>
      </c>
      <c r="F9" s="80" cm="1">
        <f t="array" ref="F9">_xlfn.COUNTIFS('Datos - Temas'!$V$5:$V$1264,F$4,'Datos - Temas'!$K$5:$K$1264,$A9)+_xlfn.COUNTIFS('Datos - Temas'!$V$5:$V$1264,F$4,'Datos - Temas'!$L$5:$L$1264,$A9)</f>
        <v>1</v>
      </c>
      <c r="G9" s="80" cm="1">
        <f t="array" ref="G9">_xlfn.COUNTIFS('Datos - Temas'!$V$5:$V$1264,G$4,'Datos - Temas'!$K$5:$K$1264,$A9)+_xlfn.COUNTIFS('Datos - Temas'!$V$5:$V$1264,G$4,'Datos - Temas'!$L$5:$L$1264,$A9)</f>
        <v>1</v>
      </c>
      <c r="H9" s="80" cm="1">
        <f t="array" ref="H9">_xlfn.COUNTIFS('Datos - Temas'!$V$5:$V$1264,H$4,'Datos - Temas'!$K$5:$K$1264,$A9)+_xlfn.COUNTIFS('Datos - Temas'!$V$5:$V$1264,H$4,'Datos - Temas'!$L$5:$L$1264,$A9)</f>
        <v>0</v>
      </c>
      <c r="I9" t="s" s="78">
        <v>1058</v>
      </c>
      <c r="J9" t="s" s="78">
        <v>1058</v>
      </c>
      <c r="K9" t="s" s="78">
        <v>1058</v>
      </c>
      <c r="L9" t="s" s="78">
        <v>1058</v>
      </c>
      <c r="M9" t="s" s="78">
        <v>1058</v>
      </c>
      <c r="N9" t="s" s="78">
        <v>1058</v>
      </c>
      <c r="O9" s="80">
        <v>2</v>
      </c>
      <c r="P9" s="80" cm="1">
        <f t="array" ref="P9">_xlfn.COUNTIFS('Datos - Temas'!$K$5:$K$1264,$A9)</f>
        <v>2</v>
      </c>
      <c r="Q9" t="str" s="79" cm="1">
        <f t="array" ref="Q9">IF(O9&gt;0,"Sí","No")</f>
        <v>Sí</v>
      </c>
      <c r="R9" t="str" s="79" cm="1">
        <f t="array" ref="R9">IF(O9=0,"No cubierto",IF(O9=1,"Débil (1 tema)",IF(O9&lt;=3,"Básica (2–3)","Sólida (4+)")))</f>
        <v>Básica (2–3)</v>
      </c>
      <c r="S9" t="str" s="79" cm="1">
        <f t="array" ref="S9">_xlfn.IFERROR(INDEX($F$4:$H$4,MATCH(TRUE,INDEX(F9:H9&gt;0,0),0)),"—")</f>
        <v>2°</v>
      </c>
      <c r="T9" t="s" s="78">
        <v>1073</v>
      </c>
    </row>
    <row r="10" ht="35.65" customHeight="1">
      <c r="A10" t="s" s="78">
        <v>1074</v>
      </c>
      <c r="B10" t="s" s="78">
        <v>1055</v>
      </c>
      <c r="C10" t="s" s="78">
        <v>210</v>
      </c>
      <c r="D10" t="s" s="78">
        <v>1070</v>
      </c>
      <c r="E10" t="s" s="78">
        <v>1075</v>
      </c>
      <c r="F10" s="80" cm="1">
        <f t="array" ref="F10">_xlfn.COUNTIFS('Datos - Temas'!$V$5:$V$1264,F$4,'Datos - Temas'!$K$5:$K$1264,$A10)+_xlfn.COUNTIFS('Datos - Temas'!$V$5:$V$1264,F$4,'Datos - Temas'!$L$5:$L$1264,$A10)</f>
        <v>0</v>
      </c>
      <c r="G10" s="80" cm="1">
        <f t="array" ref="G10">_xlfn.COUNTIFS('Datos - Temas'!$V$5:$V$1264,G$4,'Datos - Temas'!$K$5:$K$1264,$A10)+_xlfn.COUNTIFS('Datos - Temas'!$V$5:$V$1264,G$4,'Datos - Temas'!$L$5:$L$1264,$A10)</f>
        <v>0</v>
      </c>
      <c r="H10" s="80" cm="1">
        <f t="array" ref="H10">_xlfn.COUNTIFS('Datos - Temas'!$V$5:$V$1264,H$4,'Datos - Temas'!$K$5:$K$1264,$A10)+_xlfn.COUNTIFS('Datos - Temas'!$V$5:$V$1264,H$4,'Datos - Temas'!$L$5:$L$1264,$A10)</f>
        <v>0</v>
      </c>
      <c r="I10" t="s" s="78">
        <v>1058</v>
      </c>
      <c r="J10" t="s" s="78">
        <v>1058</v>
      </c>
      <c r="K10" t="s" s="78">
        <v>1058</v>
      </c>
      <c r="L10" t="s" s="78">
        <v>1058</v>
      </c>
      <c r="M10" t="s" s="78">
        <v>1058</v>
      </c>
      <c r="N10" t="s" s="78">
        <v>1058</v>
      </c>
      <c r="O10" s="80">
        <v>0</v>
      </c>
      <c r="P10" s="80" cm="1">
        <f t="array" ref="P10">_xlfn.COUNTIFS('Datos - Temas'!$K$5:$K$1264,$A10)</f>
        <v>0</v>
      </c>
      <c r="Q10" t="str" s="79" cm="1">
        <f t="array" ref="Q10">IF(O10&gt;0,"Sí","No")</f>
        <v>No</v>
      </c>
      <c r="R10" t="str" s="79" cm="1">
        <f t="array" ref="R10">IF(O10=0,"No cubierto",IF(O10=1,"Débil (1 tema)",IF(O10&lt;=3,"Básica (2–3)","Sólida (4+)")))</f>
        <v>No cubierto</v>
      </c>
      <c r="S10" t="str" s="79" cm="1">
        <f t="array" ref="S10">_xlfn.IFERROR(INDEX($F$4:$H$4,MATCH(TRUE,INDEX(F10:H10&gt;0,0),0)),"—")</f>
        <v>—</v>
      </c>
      <c r="T10" t="s" s="78">
        <v>1078</v>
      </c>
    </row>
    <row r="11" ht="13.65" customHeight="1">
      <c r="A11" t="s" s="78">
        <v>1079</v>
      </c>
      <c r="B11" t="s" s="78">
        <v>1055</v>
      </c>
      <c r="C11" t="s" s="78">
        <v>210</v>
      </c>
      <c r="D11" t="s" s="78">
        <v>1080</v>
      </c>
      <c r="E11" t="s" s="78">
        <v>1081</v>
      </c>
      <c r="F11" s="80" cm="1">
        <f t="array" ref="F11">_xlfn.COUNTIFS('Datos - Temas'!$V$5:$V$1264,F$4,'Datos - Temas'!$K$5:$K$1264,$A11)+_xlfn.COUNTIFS('Datos - Temas'!$V$5:$V$1264,F$4,'Datos - Temas'!$L$5:$L$1264,$A11)</f>
        <v>2</v>
      </c>
      <c r="G11" s="80" cm="1">
        <f t="array" ref="G11">_xlfn.COUNTIFS('Datos - Temas'!$V$5:$V$1264,G$4,'Datos - Temas'!$K$5:$K$1264,$A11)+_xlfn.COUNTIFS('Datos - Temas'!$V$5:$V$1264,G$4,'Datos - Temas'!$L$5:$L$1264,$A11)</f>
        <v>0</v>
      </c>
      <c r="H11" s="80" cm="1">
        <f t="array" ref="H11">_xlfn.COUNTIFS('Datos - Temas'!$V$5:$V$1264,H$4,'Datos - Temas'!$K$5:$K$1264,$A11)+_xlfn.COUNTIFS('Datos - Temas'!$V$5:$V$1264,H$4,'Datos - Temas'!$L$5:$L$1264,$A11)</f>
        <v>0</v>
      </c>
      <c r="I11" t="s" s="78">
        <v>1058</v>
      </c>
      <c r="J11" t="s" s="78">
        <v>1058</v>
      </c>
      <c r="K11" t="s" s="78">
        <v>1058</v>
      </c>
      <c r="L11" t="s" s="78">
        <v>1058</v>
      </c>
      <c r="M11" t="s" s="78">
        <v>1058</v>
      </c>
      <c r="N11" t="s" s="78">
        <v>1058</v>
      </c>
      <c r="O11" s="80">
        <v>2</v>
      </c>
      <c r="P11" s="80" cm="1">
        <f t="array" ref="P11">_xlfn.COUNTIFS('Datos - Temas'!$K$5:$K$1264,$A11)</f>
        <v>1</v>
      </c>
      <c r="Q11" t="str" s="79" cm="1">
        <f t="array" ref="Q11">IF(O11&gt;0,"Sí","No")</f>
        <v>Sí</v>
      </c>
      <c r="R11" t="str" s="79" cm="1">
        <f t="array" ref="R11">IF(O11=0,"No cubierto",IF(O11=1,"Débil (1 tema)",IF(O11&lt;=3,"Básica (2–3)","Sólida (4+)")))</f>
        <v>Básica (2–3)</v>
      </c>
      <c r="S11" t="str" s="79" cm="1">
        <f t="array" ref="S11">_xlfn.IFERROR(INDEX($F$4:$H$4,MATCH(TRUE,INDEX(F11:H11&gt;0,0),0)),"—")</f>
        <v>2°</v>
      </c>
      <c r="T11" t="s" s="78">
        <v>1082</v>
      </c>
    </row>
    <row r="12" ht="13.65" customHeight="1">
      <c r="A12" t="s" s="78">
        <v>416</v>
      </c>
      <c r="B12" t="s" s="78">
        <v>1055</v>
      </c>
      <c r="C12" t="s" s="78">
        <v>210</v>
      </c>
      <c r="D12" t="s" s="78">
        <v>1083</v>
      </c>
      <c r="E12" t="s" s="78">
        <v>1084</v>
      </c>
      <c r="F12" s="80" cm="1">
        <f t="array" ref="F12">_xlfn.COUNTIFS('Datos - Temas'!$V$5:$V$1264,F$4,'Datos - Temas'!$K$5:$K$1264,$A12)+_xlfn.COUNTIFS('Datos - Temas'!$V$5:$V$1264,F$4,'Datos - Temas'!$L$5:$L$1264,$A12)</f>
        <v>3</v>
      </c>
      <c r="G12" s="80" cm="1">
        <f t="array" ref="G12">_xlfn.COUNTIFS('Datos - Temas'!$V$5:$V$1264,G$4,'Datos - Temas'!$K$5:$K$1264,$A12)+_xlfn.COUNTIFS('Datos - Temas'!$V$5:$V$1264,G$4,'Datos - Temas'!$L$5:$L$1264,$A12)</f>
        <v>0</v>
      </c>
      <c r="H12" s="80" cm="1">
        <f t="array" ref="H12">_xlfn.COUNTIFS('Datos - Temas'!$V$5:$V$1264,H$4,'Datos - Temas'!$K$5:$K$1264,$A12)+_xlfn.COUNTIFS('Datos - Temas'!$V$5:$V$1264,H$4,'Datos - Temas'!$L$5:$L$1264,$A12)</f>
        <v>5</v>
      </c>
      <c r="I12" t="s" s="78">
        <v>1058</v>
      </c>
      <c r="J12" t="s" s="78">
        <v>1058</v>
      </c>
      <c r="K12" t="s" s="78">
        <v>1058</v>
      </c>
      <c r="L12" t="s" s="78">
        <v>1058</v>
      </c>
      <c r="M12" t="s" s="78">
        <v>1058</v>
      </c>
      <c r="N12" t="s" s="78">
        <v>1058</v>
      </c>
      <c r="O12" s="80">
        <v>8</v>
      </c>
      <c r="P12" s="80" cm="1">
        <f t="array" ref="P12">_xlfn.COUNTIFS('Datos - Temas'!$K$5:$K$1264,$A12)</f>
        <v>7</v>
      </c>
      <c r="Q12" t="str" s="79" cm="1">
        <f t="array" ref="Q12">IF(O12&gt;0,"Sí","No")</f>
        <v>Sí</v>
      </c>
      <c r="R12" t="str" s="79" cm="1">
        <f t="array" ref="R12">IF(O12=0,"No cubierto",IF(O12=1,"Débil (1 tema)",IF(O12&lt;=3,"Básica (2–3)","Sólida (4+)")))</f>
        <v>Sólida (4+)</v>
      </c>
      <c r="S12" t="str" s="79" cm="1">
        <f t="array" ref="S12">_xlfn.IFERROR(INDEX($F$4:$H$4,MATCH(TRUE,INDEX(F12:H12&gt;0,0),0)),"—")</f>
        <v>2°</v>
      </c>
      <c r="T12" t="s" s="78">
        <v>1085</v>
      </c>
    </row>
    <row r="13" ht="13.65" customHeight="1">
      <c r="A13" t="s" s="78">
        <v>1086</v>
      </c>
      <c r="B13" t="s" s="78">
        <v>1055</v>
      </c>
      <c r="C13" t="s" s="78">
        <v>210</v>
      </c>
      <c r="D13" t="s" s="78">
        <v>1083</v>
      </c>
      <c r="E13" t="s" s="78">
        <v>1087</v>
      </c>
      <c r="F13" s="80" cm="1">
        <f t="array" ref="F13">_xlfn.COUNTIFS('Datos - Temas'!$V$5:$V$1264,F$4,'Datos - Temas'!$K$5:$K$1264,$A13)+_xlfn.COUNTIFS('Datos - Temas'!$V$5:$V$1264,F$4,'Datos - Temas'!$L$5:$L$1264,$A13)</f>
        <v>0</v>
      </c>
      <c r="G13" s="80" cm="1">
        <f t="array" ref="G13">_xlfn.COUNTIFS('Datos - Temas'!$V$5:$V$1264,G$4,'Datos - Temas'!$K$5:$K$1264,$A13)+_xlfn.COUNTIFS('Datos - Temas'!$V$5:$V$1264,G$4,'Datos - Temas'!$L$5:$L$1264,$A13)</f>
        <v>1</v>
      </c>
      <c r="H13" s="80" cm="1">
        <f t="array" ref="H13">_xlfn.COUNTIFS('Datos - Temas'!$V$5:$V$1264,H$4,'Datos - Temas'!$K$5:$K$1264,$A13)+_xlfn.COUNTIFS('Datos - Temas'!$V$5:$V$1264,H$4,'Datos - Temas'!$L$5:$L$1264,$A13)</f>
        <v>4</v>
      </c>
      <c r="I13" t="s" s="78">
        <v>1058</v>
      </c>
      <c r="J13" t="s" s="78">
        <v>1058</v>
      </c>
      <c r="K13" t="s" s="78">
        <v>1058</v>
      </c>
      <c r="L13" t="s" s="78">
        <v>1058</v>
      </c>
      <c r="M13" t="s" s="78">
        <v>1058</v>
      </c>
      <c r="N13" t="s" s="78">
        <v>1058</v>
      </c>
      <c r="O13" s="80">
        <v>5</v>
      </c>
      <c r="P13" s="80" cm="1">
        <f t="array" ref="P13">_xlfn.COUNTIFS('Datos - Temas'!$K$5:$K$1264,$A13)</f>
        <v>4</v>
      </c>
      <c r="Q13" t="str" s="79" cm="1">
        <f t="array" ref="Q13">IF(O13&gt;0,"Sí","No")</f>
        <v>Sí</v>
      </c>
      <c r="R13" t="str" s="79" cm="1">
        <f t="array" ref="R13">IF(O13=0,"No cubierto",IF(O13=1,"Débil (1 tema)",IF(O13&lt;=3,"Básica (2–3)","Sólida (4+)")))</f>
        <v>Sólida (4+)</v>
      </c>
      <c r="S13" t="str" s="79" cm="1">
        <f t="array" ref="S13">_xlfn.IFERROR(INDEX($F$4:$H$4,MATCH(TRUE,INDEX(F13:H13&gt;0,0),0)),"—")</f>
        <v>3°</v>
      </c>
      <c r="T13" t="s" s="78">
        <v>1089</v>
      </c>
    </row>
    <row r="14" ht="13.65" customHeight="1">
      <c r="A14" t="s" s="78">
        <v>1090</v>
      </c>
      <c r="B14" t="s" s="78">
        <v>1055</v>
      </c>
      <c r="C14" t="s" s="78">
        <v>210</v>
      </c>
      <c r="D14" t="s" s="78">
        <v>1083</v>
      </c>
      <c r="E14" t="s" s="78">
        <v>1091</v>
      </c>
      <c r="F14" s="80" cm="1">
        <f t="array" ref="F14">_xlfn.COUNTIFS('Datos - Temas'!$V$5:$V$1264,F$4,'Datos - Temas'!$K$5:$K$1264,$A14)+_xlfn.COUNTIFS('Datos - Temas'!$V$5:$V$1264,F$4,'Datos - Temas'!$L$5:$L$1264,$A14)</f>
        <v>5</v>
      </c>
      <c r="G14" s="80" cm="1">
        <f t="array" ref="G14">_xlfn.COUNTIFS('Datos - Temas'!$V$5:$V$1264,G$4,'Datos - Temas'!$K$5:$K$1264,$A14)+_xlfn.COUNTIFS('Datos - Temas'!$V$5:$V$1264,G$4,'Datos - Temas'!$L$5:$L$1264,$A14)</f>
        <v>1</v>
      </c>
      <c r="H14" s="80" cm="1">
        <f t="array" ref="H14">_xlfn.COUNTIFS('Datos - Temas'!$V$5:$V$1264,H$4,'Datos - Temas'!$K$5:$K$1264,$A14)+_xlfn.COUNTIFS('Datos - Temas'!$V$5:$V$1264,H$4,'Datos - Temas'!$L$5:$L$1264,$A14)</f>
        <v>0</v>
      </c>
      <c r="I14" t="s" s="78">
        <v>1058</v>
      </c>
      <c r="J14" t="s" s="78">
        <v>1058</v>
      </c>
      <c r="K14" t="s" s="78">
        <v>1058</v>
      </c>
      <c r="L14" t="s" s="78">
        <v>1058</v>
      </c>
      <c r="M14" t="s" s="78">
        <v>1058</v>
      </c>
      <c r="N14" t="s" s="78">
        <v>1058</v>
      </c>
      <c r="O14" s="80">
        <v>6</v>
      </c>
      <c r="P14" s="80" cm="1">
        <f t="array" ref="P14">_xlfn.COUNTIFS('Datos - Temas'!$K$5:$K$1264,$A14)</f>
        <v>4</v>
      </c>
      <c r="Q14" t="str" s="79" cm="1">
        <f t="array" ref="Q14">IF(O14&gt;0,"Sí","No")</f>
        <v>Sí</v>
      </c>
      <c r="R14" t="str" s="79" cm="1">
        <f t="array" ref="R14">IF(O14=0,"No cubierto",IF(O14=1,"Débil (1 tema)",IF(O14&lt;=3,"Básica (2–3)","Sólida (4+)")))</f>
        <v>Sólida (4+)</v>
      </c>
      <c r="S14" t="str" s="79" cm="1">
        <f t="array" ref="S14">_xlfn.IFERROR(INDEX($F$4:$H$4,MATCH(TRUE,INDEX(F14:H14&gt;0,0),0)),"—")</f>
        <v>2°</v>
      </c>
      <c r="T14" t="s" s="78">
        <v>1092</v>
      </c>
    </row>
    <row r="15" ht="13.65" customHeight="1">
      <c r="A15" t="s" s="78">
        <v>1093</v>
      </c>
      <c r="B15" t="s" s="78">
        <v>1055</v>
      </c>
      <c r="C15" t="s" s="78">
        <v>210</v>
      </c>
      <c r="D15" t="s" s="78">
        <v>1094</v>
      </c>
      <c r="E15" t="s" s="78">
        <v>1095</v>
      </c>
      <c r="F15" s="80" cm="1">
        <f t="array" ref="F15">_xlfn.COUNTIFS('Datos - Temas'!$V$5:$V$1264,F$4,'Datos - Temas'!$K$5:$K$1264,$A15)+_xlfn.COUNTIFS('Datos - Temas'!$V$5:$V$1264,F$4,'Datos - Temas'!$L$5:$L$1264,$A15)</f>
        <v>3</v>
      </c>
      <c r="G15" s="80" cm="1">
        <f t="array" ref="G15">_xlfn.COUNTIFS('Datos - Temas'!$V$5:$V$1264,G$4,'Datos - Temas'!$K$5:$K$1264,$A15)+_xlfn.COUNTIFS('Datos - Temas'!$V$5:$V$1264,G$4,'Datos - Temas'!$L$5:$L$1264,$A15)</f>
        <v>5</v>
      </c>
      <c r="H15" s="80" cm="1">
        <f t="array" ref="H15">_xlfn.COUNTIFS('Datos - Temas'!$V$5:$V$1264,H$4,'Datos - Temas'!$K$5:$K$1264,$A15)+_xlfn.COUNTIFS('Datos - Temas'!$V$5:$V$1264,H$4,'Datos - Temas'!$L$5:$L$1264,$A15)</f>
        <v>1</v>
      </c>
      <c r="I15" t="s" s="78">
        <v>1058</v>
      </c>
      <c r="J15" t="s" s="78">
        <v>1058</v>
      </c>
      <c r="K15" t="s" s="78">
        <v>1058</v>
      </c>
      <c r="L15" t="s" s="78">
        <v>1058</v>
      </c>
      <c r="M15" t="s" s="78">
        <v>1058</v>
      </c>
      <c r="N15" t="s" s="78">
        <v>1058</v>
      </c>
      <c r="O15" s="80">
        <v>9</v>
      </c>
      <c r="P15" s="80" cm="1">
        <f t="array" ref="P15">_xlfn.COUNTIFS('Datos - Temas'!$K$5:$K$1264,$A15)</f>
        <v>8</v>
      </c>
      <c r="Q15" t="str" s="79" cm="1">
        <f t="array" ref="Q15">IF(O15&gt;0,"Sí","No")</f>
        <v>Sí</v>
      </c>
      <c r="R15" t="str" s="79" cm="1">
        <f t="array" ref="R15">IF(O15=0,"No cubierto",IF(O15=1,"Débil (1 tema)",IF(O15&lt;=3,"Básica (2–3)","Sólida (4+)")))</f>
        <v>Sólida (4+)</v>
      </c>
      <c r="S15" t="str" s="79" cm="1">
        <f t="array" ref="S15">_xlfn.IFERROR(INDEX($F$4:$H$4,MATCH(TRUE,INDEX(F15:H15&gt;0,0),0)),"—")</f>
        <v>2°</v>
      </c>
      <c r="T15" t="s" s="78">
        <v>1096</v>
      </c>
    </row>
    <row r="16" ht="13.65" customHeight="1">
      <c r="A16" t="s" s="78">
        <v>346</v>
      </c>
      <c r="B16" t="s" s="78">
        <v>1055</v>
      </c>
      <c r="C16" t="s" s="78">
        <v>210</v>
      </c>
      <c r="D16" t="s" s="78">
        <v>1094</v>
      </c>
      <c r="E16" t="s" s="78">
        <v>1097</v>
      </c>
      <c r="F16" s="80" cm="1">
        <f t="array" ref="F16">_xlfn.COUNTIFS('Datos - Temas'!$V$5:$V$1264,F$4,'Datos - Temas'!$K$5:$K$1264,$A16)+_xlfn.COUNTIFS('Datos - Temas'!$V$5:$V$1264,F$4,'Datos - Temas'!$L$5:$L$1264,$A16)</f>
        <v>1</v>
      </c>
      <c r="G16" s="80" cm="1">
        <f t="array" ref="G16">_xlfn.COUNTIFS('Datos - Temas'!$V$5:$V$1264,G$4,'Datos - Temas'!$K$5:$K$1264,$A16)+_xlfn.COUNTIFS('Datos - Temas'!$V$5:$V$1264,G$4,'Datos - Temas'!$L$5:$L$1264,$A16)</f>
        <v>0</v>
      </c>
      <c r="H16" s="80" cm="1">
        <f t="array" ref="H16">_xlfn.COUNTIFS('Datos - Temas'!$V$5:$V$1264,H$4,'Datos - Temas'!$K$5:$K$1264,$A16)+_xlfn.COUNTIFS('Datos - Temas'!$V$5:$V$1264,H$4,'Datos - Temas'!$L$5:$L$1264,$A16)</f>
        <v>13</v>
      </c>
      <c r="I16" t="s" s="78">
        <v>1058</v>
      </c>
      <c r="J16" t="s" s="78">
        <v>1058</v>
      </c>
      <c r="K16" t="s" s="78">
        <v>1058</v>
      </c>
      <c r="L16" t="s" s="78">
        <v>1058</v>
      </c>
      <c r="M16" t="s" s="78">
        <v>1058</v>
      </c>
      <c r="N16" t="s" s="78">
        <v>1058</v>
      </c>
      <c r="O16" s="80">
        <v>14</v>
      </c>
      <c r="P16" s="80" cm="1">
        <f t="array" ref="P16">_xlfn.COUNTIFS('Datos - Temas'!$K$5:$K$1264,$A16)</f>
        <v>12</v>
      </c>
      <c r="Q16" t="str" s="79" cm="1">
        <f t="array" ref="Q16">IF(O16&gt;0,"Sí","No")</f>
        <v>Sí</v>
      </c>
      <c r="R16" t="str" s="79" cm="1">
        <f t="array" ref="R16">IF(O16=0,"No cubierto",IF(O16=1,"Débil (1 tema)",IF(O16&lt;=3,"Básica (2–3)","Sólida (4+)")))</f>
        <v>Sólida (4+)</v>
      </c>
      <c r="S16" t="str" s="79" cm="1">
        <f t="array" ref="S16">_xlfn.IFERROR(INDEX($F$4:$H$4,MATCH(TRUE,INDEX(F16:H16&gt;0,0),0)),"—")</f>
        <v>2°</v>
      </c>
      <c r="T16" t="s" s="78">
        <v>1098</v>
      </c>
    </row>
    <row r="17" ht="13.65" customHeight="1">
      <c r="A17" t="s" s="78">
        <v>1099</v>
      </c>
      <c r="B17" t="s" s="78">
        <v>1055</v>
      </c>
      <c r="C17" t="s" s="78">
        <v>210</v>
      </c>
      <c r="D17" t="s" s="78">
        <v>1100</v>
      </c>
      <c r="E17" t="s" s="78">
        <v>1101</v>
      </c>
      <c r="F17" s="80" cm="1">
        <f t="array" ref="F17">_xlfn.COUNTIFS('Datos - Temas'!$V$5:$V$1264,F$4,'Datos - Temas'!$K$5:$K$1264,$A17)+_xlfn.COUNTIFS('Datos - Temas'!$V$5:$V$1264,F$4,'Datos - Temas'!$L$5:$L$1264,$A17)</f>
        <v>1</v>
      </c>
      <c r="G17" s="80" cm="1">
        <f t="array" ref="G17">_xlfn.COUNTIFS('Datos - Temas'!$V$5:$V$1264,G$4,'Datos - Temas'!$K$5:$K$1264,$A17)+_xlfn.COUNTIFS('Datos - Temas'!$V$5:$V$1264,G$4,'Datos - Temas'!$L$5:$L$1264,$A17)</f>
        <v>10</v>
      </c>
      <c r="H17" s="80" cm="1">
        <f t="array" ref="H17">_xlfn.COUNTIFS('Datos - Temas'!$V$5:$V$1264,H$4,'Datos - Temas'!$K$5:$K$1264,$A17)+_xlfn.COUNTIFS('Datos - Temas'!$V$5:$V$1264,H$4,'Datos - Temas'!$L$5:$L$1264,$A17)</f>
        <v>2</v>
      </c>
      <c r="I17" t="s" s="78">
        <v>1058</v>
      </c>
      <c r="J17" t="s" s="78">
        <v>1058</v>
      </c>
      <c r="K17" t="s" s="78">
        <v>1058</v>
      </c>
      <c r="L17" t="s" s="78">
        <v>1058</v>
      </c>
      <c r="M17" t="s" s="78">
        <v>1058</v>
      </c>
      <c r="N17" t="s" s="78">
        <v>1058</v>
      </c>
      <c r="O17" s="80">
        <v>13</v>
      </c>
      <c r="P17" s="80" cm="1">
        <f t="array" ref="P17">_xlfn.COUNTIFS('Datos - Temas'!$K$5:$K$1264,$A17)</f>
        <v>2</v>
      </c>
      <c r="Q17" t="str" s="79" cm="1">
        <f t="array" ref="Q17">IF(O17&gt;0,"Sí","No")</f>
        <v>Sí</v>
      </c>
      <c r="R17" t="str" s="79" cm="1">
        <f t="array" ref="R17">IF(O17=0,"No cubierto",IF(O17=1,"Débil (1 tema)",IF(O17&lt;=3,"Básica (2–3)","Sólida (4+)")))</f>
        <v>Sólida (4+)</v>
      </c>
      <c r="S17" t="str" s="79" cm="1">
        <f t="array" ref="S17">_xlfn.IFERROR(INDEX($F$4:$H$4,MATCH(TRUE,INDEX(F17:H17&gt;0,0),0)),"—")</f>
        <v>2°</v>
      </c>
      <c r="T17" t="s" s="78">
        <v>1102</v>
      </c>
    </row>
    <row r="18" ht="35.65" customHeight="1">
      <c r="A18" t="s" s="78">
        <v>313</v>
      </c>
      <c r="B18" t="s" s="78">
        <v>1055</v>
      </c>
      <c r="C18" t="s" s="78">
        <v>213</v>
      </c>
      <c r="D18" t="s" s="78">
        <v>1103</v>
      </c>
      <c r="E18" t="s" s="78">
        <v>1104</v>
      </c>
      <c r="F18" s="80" cm="1">
        <f t="array" ref="F18">_xlfn.COUNTIFS('Datos - Temas'!$V$5:$V$1264,F$4,'Datos - Temas'!$K$5:$K$1264,$A18)+_xlfn.COUNTIFS('Datos - Temas'!$V$5:$V$1264,F$4,'Datos - Temas'!$L$5:$L$1264,$A18)</f>
        <v>1</v>
      </c>
      <c r="G18" s="80" cm="1">
        <f t="array" ref="G18">_xlfn.COUNTIFS('Datos - Temas'!$V$5:$V$1264,G$4,'Datos - Temas'!$K$5:$K$1264,$A18)+_xlfn.COUNTIFS('Datos - Temas'!$V$5:$V$1264,G$4,'Datos - Temas'!$L$5:$L$1264,$A18)</f>
        <v>1</v>
      </c>
      <c r="H18" s="80" cm="1">
        <f t="array" ref="H18">_xlfn.COUNTIFS('Datos - Temas'!$V$5:$V$1264,H$4,'Datos - Temas'!$K$5:$K$1264,$A18)+_xlfn.COUNTIFS('Datos - Temas'!$V$5:$V$1264,H$4,'Datos - Temas'!$L$5:$L$1264,$A18)</f>
        <v>0</v>
      </c>
      <c r="I18" t="s" s="78">
        <v>1058</v>
      </c>
      <c r="J18" t="s" s="78">
        <v>1058</v>
      </c>
      <c r="K18" t="s" s="78">
        <v>1058</v>
      </c>
      <c r="L18" t="s" s="78">
        <v>1058</v>
      </c>
      <c r="M18" t="s" s="78">
        <v>1058</v>
      </c>
      <c r="N18" t="s" s="78">
        <v>1058</v>
      </c>
      <c r="O18" s="80">
        <v>2</v>
      </c>
      <c r="P18" s="80" cm="1">
        <f t="array" ref="P18">_xlfn.COUNTIFS('Datos - Temas'!$K$5:$K$1264,$A18)</f>
        <v>1</v>
      </c>
      <c r="Q18" t="str" s="79" cm="1">
        <f t="array" ref="Q18">IF(O18&gt;0,"Sí","No")</f>
        <v>Sí</v>
      </c>
      <c r="R18" t="str" s="79" cm="1">
        <f t="array" ref="R18">IF(O18=0,"No cubierto",IF(O18=1,"Débil (1 tema)",IF(O18&lt;=3,"Básica (2–3)","Sólida (4+)")))</f>
        <v>Básica (2–3)</v>
      </c>
      <c r="S18" t="str" s="79" cm="1">
        <f t="array" ref="S18">_xlfn.IFERROR(INDEX($F$4:$H$4,MATCH(TRUE,INDEX(F18:H18&gt;0,0),0)),"—")</f>
        <v>2°</v>
      </c>
      <c r="T18" t="s" s="78">
        <v>1105</v>
      </c>
    </row>
    <row r="19" ht="35.65" customHeight="1">
      <c r="A19" t="s" s="78">
        <v>1106</v>
      </c>
      <c r="B19" t="s" s="78">
        <v>1055</v>
      </c>
      <c r="C19" t="s" s="78">
        <v>213</v>
      </c>
      <c r="D19" t="s" s="78">
        <v>1103</v>
      </c>
      <c r="E19" t="s" s="78">
        <v>1107</v>
      </c>
      <c r="F19" s="80" cm="1">
        <f t="array" ref="F19">_xlfn.COUNTIFS('Datos - Temas'!$V$5:$V$1264,F$4,'Datos - Temas'!$K$5:$K$1264,$A19)+_xlfn.COUNTIFS('Datos - Temas'!$V$5:$V$1264,F$4,'Datos - Temas'!$L$5:$L$1264,$A19)</f>
        <v>6</v>
      </c>
      <c r="G19" s="80" cm="1">
        <f t="array" ref="G19">_xlfn.COUNTIFS('Datos - Temas'!$V$5:$V$1264,G$4,'Datos - Temas'!$K$5:$K$1264,$A19)+_xlfn.COUNTIFS('Datos - Temas'!$V$5:$V$1264,G$4,'Datos - Temas'!$L$5:$L$1264,$A19)</f>
        <v>1</v>
      </c>
      <c r="H19" s="80" cm="1">
        <f t="array" ref="H19">_xlfn.COUNTIFS('Datos - Temas'!$V$5:$V$1264,H$4,'Datos - Temas'!$K$5:$K$1264,$A19)+_xlfn.COUNTIFS('Datos - Temas'!$V$5:$V$1264,H$4,'Datos - Temas'!$L$5:$L$1264,$A19)</f>
        <v>0</v>
      </c>
      <c r="I19" t="s" s="78">
        <v>1058</v>
      </c>
      <c r="J19" t="s" s="78">
        <v>1058</v>
      </c>
      <c r="K19" t="s" s="78">
        <v>1058</v>
      </c>
      <c r="L19" t="s" s="78">
        <v>1058</v>
      </c>
      <c r="M19" t="s" s="78">
        <v>1058</v>
      </c>
      <c r="N19" t="s" s="78">
        <v>1058</v>
      </c>
      <c r="O19" s="80">
        <v>7</v>
      </c>
      <c r="P19" s="80" cm="1">
        <f t="array" ref="P19">_xlfn.COUNTIFS('Datos - Temas'!$K$5:$K$1264,$A19)</f>
        <v>6</v>
      </c>
      <c r="Q19" t="str" s="79" cm="1">
        <f t="array" ref="Q19">IF(O19&gt;0,"Sí","No")</f>
        <v>Sí</v>
      </c>
      <c r="R19" t="str" s="79" cm="1">
        <f t="array" ref="R19">IF(O19=0,"No cubierto",IF(O19=1,"Débil (1 tema)",IF(O19&lt;=3,"Básica (2–3)","Sólida (4+)")))</f>
        <v>Sólida (4+)</v>
      </c>
      <c r="S19" t="str" s="79" cm="1">
        <f t="array" ref="S19">_xlfn.IFERROR(INDEX($F$4:$H$4,MATCH(TRUE,INDEX(F19:H19&gt;0,0),0)),"—")</f>
        <v>2°</v>
      </c>
      <c r="T19" t="s" s="78">
        <v>1108</v>
      </c>
    </row>
    <row r="20" ht="13.65" customHeight="1">
      <c r="A20" t="s" s="78">
        <v>1109</v>
      </c>
      <c r="B20" t="s" s="78">
        <v>1055</v>
      </c>
      <c r="C20" t="s" s="78">
        <v>213</v>
      </c>
      <c r="D20" t="s" s="78">
        <v>1103</v>
      </c>
      <c r="E20" t="s" s="78">
        <v>1110</v>
      </c>
      <c r="F20" s="80" cm="1">
        <f t="array" ref="F20">_xlfn.COUNTIFS('Datos - Temas'!$V$5:$V$1264,F$4,'Datos - Temas'!$K$5:$K$1264,$A20)+_xlfn.COUNTIFS('Datos - Temas'!$V$5:$V$1264,F$4,'Datos - Temas'!$L$5:$L$1264,$A20)</f>
        <v>3</v>
      </c>
      <c r="G20" s="80" cm="1">
        <f t="array" ref="G20">_xlfn.COUNTIFS('Datos - Temas'!$V$5:$V$1264,G$4,'Datos - Temas'!$K$5:$K$1264,$A20)+_xlfn.COUNTIFS('Datos - Temas'!$V$5:$V$1264,G$4,'Datos - Temas'!$L$5:$L$1264,$A20)</f>
        <v>12</v>
      </c>
      <c r="H20" s="80" cm="1">
        <f t="array" ref="H20">_xlfn.COUNTIFS('Datos - Temas'!$V$5:$V$1264,H$4,'Datos - Temas'!$K$5:$K$1264,$A20)+_xlfn.COUNTIFS('Datos - Temas'!$V$5:$V$1264,H$4,'Datos - Temas'!$L$5:$L$1264,$A20)</f>
        <v>0</v>
      </c>
      <c r="I20" t="s" s="78">
        <v>1058</v>
      </c>
      <c r="J20" t="s" s="78">
        <v>1058</v>
      </c>
      <c r="K20" t="s" s="78">
        <v>1058</v>
      </c>
      <c r="L20" t="s" s="78">
        <v>1058</v>
      </c>
      <c r="M20" t="s" s="78">
        <v>1058</v>
      </c>
      <c r="N20" t="s" s="78">
        <v>1058</v>
      </c>
      <c r="O20" s="80">
        <v>15</v>
      </c>
      <c r="P20" s="80" cm="1">
        <f t="array" ref="P20">_xlfn.COUNTIFS('Datos - Temas'!$K$5:$K$1264,$A20)</f>
        <v>15</v>
      </c>
      <c r="Q20" t="str" s="79" cm="1">
        <f t="array" ref="Q20">IF(O20&gt;0,"Sí","No")</f>
        <v>Sí</v>
      </c>
      <c r="R20" t="str" s="79" cm="1">
        <f t="array" ref="R20">IF(O20=0,"No cubierto",IF(O20=1,"Débil (1 tema)",IF(O20&lt;=3,"Básica (2–3)","Sólida (4+)")))</f>
        <v>Sólida (4+)</v>
      </c>
      <c r="S20" t="str" s="79" cm="1">
        <f t="array" ref="S20">_xlfn.IFERROR(INDEX($F$4:$H$4,MATCH(TRUE,INDEX(F20:H20&gt;0,0),0)),"—")</f>
        <v>2°</v>
      </c>
      <c r="T20" t="s" s="78">
        <v>1111</v>
      </c>
    </row>
    <row r="21" ht="13.65" customHeight="1">
      <c r="A21" t="s" s="78">
        <v>1112</v>
      </c>
      <c r="B21" t="s" s="78">
        <v>1055</v>
      </c>
      <c r="C21" t="s" s="78">
        <v>213</v>
      </c>
      <c r="D21" t="s" s="78">
        <v>1113</v>
      </c>
      <c r="E21" t="s" s="78">
        <v>1114</v>
      </c>
      <c r="F21" s="80" cm="1">
        <f t="array" ref="F21">_xlfn.COUNTIFS('Datos - Temas'!$V$5:$V$1264,F$4,'Datos - Temas'!$K$5:$K$1264,$A21)+_xlfn.COUNTIFS('Datos - Temas'!$V$5:$V$1264,F$4,'Datos - Temas'!$L$5:$L$1264,$A21)</f>
        <v>5</v>
      </c>
      <c r="G21" s="80" cm="1">
        <f t="array" ref="G21">_xlfn.COUNTIFS('Datos - Temas'!$V$5:$V$1264,G$4,'Datos - Temas'!$K$5:$K$1264,$A21)+_xlfn.COUNTIFS('Datos - Temas'!$V$5:$V$1264,G$4,'Datos - Temas'!$L$5:$L$1264,$A21)</f>
        <v>0</v>
      </c>
      <c r="H21" s="80" cm="1">
        <f t="array" ref="H21">_xlfn.COUNTIFS('Datos - Temas'!$V$5:$V$1264,H$4,'Datos - Temas'!$K$5:$K$1264,$A21)+_xlfn.COUNTIFS('Datos - Temas'!$V$5:$V$1264,H$4,'Datos - Temas'!$L$5:$L$1264,$A21)</f>
        <v>3</v>
      </c>
      <c r="I21" t="s" s="78">
        <v>1058</v>
      </c>
      <c r="J21" t="s" s="78">
        <v>1058</v>
      </c>
      <c r="K21" t="s" s="78">
        <v>1058</v>
      </c>
      <c r="L21" t="s" s="78">
        <v>1058</v>
      </c>
      <c r="M21" t="s" s="78">
        <v>1058</v>
      </c>
      <c r="N21" t="s" s="78">
        <v>1058</v>
      </c>
      <c r="O21" s="80">
        <v>8</v>
      </c>
      <c r="P21" s="80" cm="1">
        <f t="array" ref="P21">_xlfn.COUNTIFS('Datos - Temas'!$K$5:$K$1264,$A21)</f>
        <v>6</v>
      </c>
      <c r="Q21" t="str" s="79" cm="1">
        <f t="array" ref="Q21">IF(O21&gt;0,"Sí","No")</f>
        <v>Sí</v>
      </c>
      <c r="R21" t="str" s="79" cm="1">
        <f t="array" ref="R21">IF(O21=0,"No cubierto",IF(O21=1,"Débil (1 tema)",IF(O21&lt;=3,"Básica (2–3)","Sólida (4+)")))</f>
        <v>Sólida (4+)</v>
      </c>
      <c r="S21" t="str" s="79" cm="1">
        <f t="array" ref="S21">_xlfn.IFERROR(INDEX($F$4:$H$4,MATCH(TRUE,INDEX(F21:H21&gt;0,0),0)),"—")</f>
        <v>2°</v>
      </c>
      <c r="T21" t="s" s="78">
        <v>1115</v>
      </c>
    </row>
    <row r="22" ht="35.65" customHeight="1">
      <c r="A22" t="s" s="78">
        <v>1116</v>
      </c>
      <c r="B22" t="s" s="78">
        <v>1055</v>
      </c>
      <c r="C22" t="s" s="78">
        <v>213</v>
      </c>
      <c r="D22" t="s" s="78">
        <v>1113</v>
      </c>
      <c r="E22" t="s" s="78">
        <v>1117</v>
      </c>
      <c r="F22" s="80" cm="1">
        <f t="array" ref="F22">_xlfn.COUNTIFS('Datos - Temas'!$V$5:$V$1264,F$4,'Datos - Temas'!$K$5:$K$1264,$A22)+_xlfn.COUNTIFS('Datos - Temas'!$V$5:$V$1264,F$4,'Datos - Temas'!$L$5:$L$1264,$A22)</f>
        <v>1</v>
      </c>
      <c r="G22" s="80" cm="1">
        <f t="array" ref="G22">_xlfn.COUNTIFS('Datos - Temas'!$V$5:$V$1264,G$4,'Datos - Temas'!$K$5:$K$1264,$A22)+_xlfn.COUNTIFS('Datos - Temas'!$V$5:$V$1264,G$4,'Datos - Temas'!$L$5:$L$1264,$A22)</f>
        <v>0</v>
      </c>
      <c r="H22" s="80" cm="1">
        <f t="array" ref="H22">_xlfn.COUNTIFS('Datos - Temas'!$V$5:$V$1264,H$4,'Datos - Temas'!$K$5:$K$1264,$A22)+_xlfn.COUNTIFS('Datos - Temas'!$V$5:$V$1264,H$4,'Datos - Temas'!$L$5:$L$1264,$A22)</f>
        <v>0</v>
      </c>
      <c r="I22" t="s" s="78">
        <v>1058</v>
      </c>
      <c r="J22" t="s" s="78">
        <v>1058</v>
      </c>
      <c r="K22" t="s" s="78">
        <v>1058</v>
      </c>
      <c r="L22" t="s" s="78">
        <v>1058</v>
      </c>
      <c r="M22" t="s" s="78">
        <v>1058</v>
      </c>
      <c r="N22" t="s" s="78">
        <v>1058</v>
      </c>
      <c r="O22" s="80">
        <v>1</v>
      </c>
      <c r="P22" s="80" cm="1">
        <f t="array" ref="P22">_xlfn.COUNTIFS('Datos - Temas'!$K$5:$K$1264,$A22)</f>
        <v>1</v>
      </c>
      <c r="Q22" t="str" s="79" cm="1">
        <f t="array" ref="Q22">IF(O22&gt;0,"Sí","No")</f>
        <v>Sí</v>
      </c>
      <c r="R22" t="str" s="79" cm="1">
        <f t="array" ref="R22">IF(O22=0,"No cubierto",IF(O22=1,"Débil (1 tema)",IF(O22&lt;=3,"Básica (2–3)","Sólida (4+)")))</f>
        <v>Débil (1 tema)</v>
      </c>
      <c r="S22" t="str" s="79" cm="1">
        <f t="array" ref="S22">_xlfn.IFERROR(INDEX($F$4:$H$4,MATCH(TRUE,INDEX(F22:H22&gt;0,0),0)),"—")</f>
        <v>2°</v>
      </c>
      <c r="T22" t="s" s="78">
        <v>1119</v>
      </c>
    </row>
    <row r="23" ht="24.65" customHeight="1">
      <c r="A23" t="s" s="78">
        <v>317</v>
      </c>
      <c r="B23" t="s" s="78">
        <v>1055</v>
      </c>
      <c r="C23" t="s" s="78">
        <v>213</v>
      </c>
      <c r="D23" t="s" s="78">
        <v>1120</v>
      </c>
      <c r="E23" t="s" s="78">
        <v>1121</v>
      </c>
      <c r="F23" s="80" cm="1">
        <f t="array" ref="F23">_xlfn.COUNTIFS('Datos - Temas'!$V$5:$V$1264,F$4,'Datos - Temas'!$K$5:$K$1264,$A23)+_xlfn.COUNTIFS('Datos - Temas'!$V$5:$V$1264,F$4,'Datos - Temas'!$L$5:$L$1264,$A23)</f>
        <v>2</v>
      </c>
      <c r="G23" s="80" cm="1">
        <f t="array" ref="G23">_xlfn.COUNTIFS('Datos - Temas'!$V$5:$V$1264,G$4,'Datos - Temas'!$K$5:$K$1264,$A23)+_xlfn.COUNTIFS('Datos - Temas'!$V$5:$V$1264,G$4,'Datos - Temas'!$L$5:$L$1264,$A23)</f>
        <v>0</v>
      </c>
      <c r="H23" s="80" cm="1">
        <f t="array" ref="H23">_xlfn.COUNTIFS('Datos - Temas'!$V$5:$V$1264,H$4,'Datos - Temas'!$K$5:$K$1264,$A23)+_xlfn.COUNTIFS('Datos - Temas'!$V$5:$V$1264,H$4,'Datos - Temas'!$L$5:$L$1264,$A23)</f>
        <v>0</v>
      </c>
      <c r="I23" t="s" s="78">
        <v>1058</v>
      </c>
      <c r="J23" t="s" s="78">
        <v>1058</v>
      </c>
      <c r="K23" t="s" s="78">
        <v>1058</v>
      </c>
      <c r="L23" t="s" s="78">
        <v>1058</v>
      </c>
      <c r="M23" t="s" s="78">
        <v>1058</v>
      </c>
      <c r="N23" t="s" s="78">
        <v>1058</v>
      </c>
      <c r="O23" s="80">
        <v>2</v>
      </c>
      <c r="P23" s="80" cm="1">
        <f t="array" ref="P23">_xlfn.COUNTIFS('Datos - Temas'!$K$5:$K$1264,$A23)</f>
        <v>2</v>
      </c>
      <c r="Q23" t="str" s="79" cm="1">
        <f t="array" ref="Q23">IF(O23&gt;0,"Sí","No")</f>
        <v>Sí</v>
      </c>
      <c r="R23" t="str" s="79" cm="1">
        <f t="array" ref="R23">IF(O23=0,"No cubierto",IF(O23=1,"Débil (1 tema)",IF(O23&lt;=3,"Básica (2–3)","Sólida (4+)")))</f>
        <v>Básica (2–3)</v>
      </c>
      <c r="S23" t="str" s="79" cm="1">
        <f t="array" ref="S23">_xlfn.IFERROR(INDEX($F$4:$H$4,MATCH(TRUE,INDEX(F23:H23&gt;0,0),0)),"—")</f>
        <v>2°</v>
      </c>
      <c r="T23" t="s" s="78">
        <v>1122</v>
      </c>
    </row>
    <row r="24" ht="24.65" customHeight="1">
      <c r="A24" t="s" s="78">
        <v>303</v>
      </c>
      <c r="B24" t="s" s="78">
        <v>1055</v>
      </c>
      <c r="C24" t="s" s="78">
        <v>213</v>
      </c>
      <c r="D24" t="s" s="78">
        <v>1120</v>
      </c>
      <c r="E24" t="s" s="78">
        <v>1123</v>
      </c>
      <c r="F24" s="80" cm="1">
        <f t="array" ref="F24">_xlfn.COUNTIFS('Datos - Temas'!$V$5:$V$1264,F$4,'Datos - Temas'!$K$5:$K$1264,$A24)+_xlfn.COUNTIFS('Datos - Temas'!$V$5:$V$1264,F$4,'Datos - Temas'!$L$5:$L$1264,$A24)</f>
        <v>1</v>
      </c>
      <c r="G24" s="80" cm="1">
        <f t="array" ref="G24">_xlfn.COUNTIFS('Datos - Temas'!$V$5:$V$1264,G$4,'Datos - Temas'!$K$5:$K$1264,$A24)+_xlfn.COUNTIFS('Datos - Temas'!$V$5:$V$1264,G$4,'Datos - Temas'!$L$5:$L$1264,$A24)</f>
        <v>0</v>
      </c>
      <c r="H24" s="80" cm="1">
        <f t="array" ref="H24">_xlfn.COUNTIFS('Datos - Temas'!$V$5:$V$1264,H$4,'Datos - Temas'!$K$5:$K$1264,$A24)+_xlfn.COUNTIFS('Datos - Temas'!$V$5:$V$1264,H$4,'Datos - Temas'!$L$5:$L$1264,$A24)</f>
        <v>0</v>
      </c>
      <c r="I24" t="s" s="78">
        <v>1058</v>
      </c>
      <c r="J24" t="s" s="78">
        <v>1058</v>
      </c>
      <c r="K24" t="s" s="78">
        <v>1058</v>
      </c>
      <c r="L24" t="s" s="78">
        <v>1058</v>
      </c>
      <c r="M24" t="s" s="78">
        <v>1058</v>
      </c>
      <c r="N24" t="s" s="78">
        <v>1058</v>
      </c>
      <c r="O24" s="80">
        <v>1</v>
      </c>
      <c r="P24" s="80" cm="1">
        <f t="array" ref="P24">_xlfn.COUNTIFS('Datos - Temas'!$K$5:$K$1264,$A24)</f>
        <v>1</v>
      </c>
      <c r="Q24" t="str" s="79" cm="1">
        <f t="array" ref="Q24">IF(O24&gt;0,"Sí","No")</f>
        <v>Sí</v>
      </c>
      <c r="R24" t="str" s="79" cm="1">
        <f t="array" ref="R24">IF(O24=0,"No cubierto",IF(O24=1,"Débil (1 tema)",IF(O24&lt;=3,"Básica (2–3)","Sólida (4+)")))</f>
        <v>Débil (1 tema)</v>
      </c>
      <c r="S24" t="str" s="79" cm="1">
        <f t="array" ref="S24">_xlfn.IFERROR(INDEX($F$4:$H$4,MATCH(TRUE,INDEX(F24:H24&gt;0,0),0)),"—")</f>
        <v>2°</v>
      </c>
      <c r="T24" t="s" s="78">
        <v>1124</v>
      </c>
    </row>
    <row r="25" ht="35.65" customHeight="1">
      <c r="A25" t="s" s="78">
        <v>295</v>
      </c>
      <c r="B25" t="s" s="78">
        <v>1055</v>
      </c>
      <c r="C25" t="s" s="78">
        <v>213</v>
      </c>
      <c r="D25" t="s" s="78">
        <v>1018</v>
      </c>
      <c r="E25" t="s" s="78">
        <v>1125</v>
      </c>
      <c r="F25" s="80" cm="1">
        <f t="array" ref="F25">_xlfn.COUNTIFS('Datos - Temas'!$V$5:$V$1264,F$4,'Datos - Temas'!$K$5:$K$1264,$A25)+_xlfn.COUNTIFS('Datos - Temas'!$V$5:$V$1264,F$4,'Datos - Temas'!$L$5:$L$1264,$A25)</f>
        <v>1</v>
      </c>
      <c r="G25" s="80" cm="1">
        <f t="array" ref="G25">_xlfn.COUNTIFS('Datos - Temas'!$V$5:$V$1264,G$4,'Datos - Temas'!$K$5:$K$1264,$A25)+_xlfn.COUNTIFS('Datos - Temas'!$V$5:$V$1264,G$4,'Datos - Temas'!$L$5:$L$1264,$A25)</f>
        <v>0</v>
      </c>
      <c r="H25" s="80" cm="1">
        <f t="array" ref="H25">_xlfn.COUNTIFS('Datos - Temas'!$V$5:$V$1264,H$4,'Datos - Temas'!$K$5:$K$1264,$A25)+_xlfn.COUNTIFS('Datos - Temas'!$V$5:$V$1264,H$4,'Datos - Temas'!$L$5:$L$1264,$A25)</f>
        <v>2</v>
      </c>
      <c r="I25" t="s" s="78">
        <v>1058</v>
      </c>
      <c r="J25" t="s" s="78">
        <v>1058</v>
      </c>
      <c r="K25" t="s" s="78">
        <v>1058</v>
      </c>
      <c r="L25" t="s" s="78">
        <v>1058</v>
      </c>
      <c r="M25" t="s" s="78">
        <v>1058</v>
      </c>
      <c r="N25" t="s" s="78">
        <v>1058</v>
      </c>
      <c r="O25" s="80">
        <v>3</v>
      </c>
      <c r="P25" s="80" cm="1">
        <f t="array" ref="P25">_xlfn.COUNTIFS('Datos - Temas'!$K$5:$K$1264,$A25)</f>
        <v>2</v>
      </c>
      <c r="Q25" t="str" s="79" cm="1">
        <f t="array" ref="Q25">IF(O25&gt;0,"Sí","No")</f>
        <v>Sí</v>
      </c>
      <c r="R25" t="str" s="79" cm="1">
        <f t="array" ref="R25">IF(O25=0,"No cubierto",IF(O25=1,"Débil (1 tema)",IF(O25&lt;=3,"Básica (2–3)","Sólida (4+)")))</f>
        <v>Básica (2–3)</v>
      </c>
      <c r="S25" t="str" s="79" cm="1">
        <f t="array" ref="S25">_xlfn.IFERROR(INDEX($F$4:$H$4,MATCH(TRUE,INDEX(F25:H25&gt;0,0),0)),"—")</f>
        <v>2°</v>
      </c>
      <c r="T25" t="s" s="78">
        <v>1126</v>
      </c>
    </row>
    <row r="26" ht="24.65" customHeight="1">
      <c r="A26" t="s" s="78">
        <v>308</v>
      </c>
      <c r="B26" t="s" s="78">
        <v>1055</v>
      </c>
      <c r="C26" t="s" s="78">
        <v>213</v>
      </c>
      <c r="D26" t="s" s="78">
        <v>1018</v>
      </c>
      <c r="E26" t="s" s="78">
        <v>1127</v>
      </c>
      <c r="F26" s="80" cm="1">
        <f t="array" ref="F26">_xlfn.COUNTIFS('Datos - Temas'!$V$5:$V$1264,F$4,'Datos - Temas'!$K$5:$K$1264,$A26)+_xlfn.COUNTIFS('Datos - Temas'!$V$5:$V$1264,F$4,'Datos - Temas'!$L$5:$L$1264,$A26)</f>
        <v>0</v>
      </c>
      <c r="G26" s="80" cm="1">
        <f t="array" ref="G26">_xlfn.COUNTIFS('Datos - Temas'!$V$5:$V$1264,G$4,'Datos - Temas'!$K$5:$K$1264,$A26)+_xlfn.COUNTIFS('Datos - Temas'!$V$5:$V$1264,G$4,'Datos - Temas'!$L$5:$L$1264,$A26)</f>
        <v>1</v>
      </c>
      <c r="H26" s="80" cm="1">
        <f t="array" ref="H26">_xlfn.COUNTIFS('Datos - Temas'!$V$5:$V$1264,H$4,'Datos - Temas'!$K$5:$K$1264,$A26)+_xlfn.COUNTIFS('Datos - Temas'!$V$5:$V$1264,H$4,'Datos - Temas'!$L$5:$L$1264,$A26)</f>
        <v>0</v>
      </c>
      <c r="I26" t="s" s="78">
        <v>1058</v>
      </c>
      <c r="J26" t="s" s="78">
        <v>1058</v>
      </c>
      <c r="K26" t="s" s="78">
        <v>1058</v>
      </c>
      <c r="L26" t="s" s="78">
        <v>1058</v>
      </c>
      <c r="M26" t="s" s="78">
        <v>1058</v>
      </c>
      <c r="N26" t="s" s="78">
        <v>1058</v>
      </c>
      <c r="O26" s="80">
        <v>1</v>
      </c>
      <c r="P26" s="80" cm="1">
        <f t="array" ref="P26">_xlfn.COUNTIFS('Datos - Temas'!$K$5:$K$1264,$A26)</f>
        <v>1</v>
      </c>
      <c r="Q26" t="str" s="79" cm="1">
        <f t="array" ref="Q26">IF(O26&gt;0,"Sí","No")</f>
        <v>Sí</v>
      </c>
      <c r="R26" t="str" s="79" cm="1">
        <f t="array" ref="R26">IF(O26=0,"No cubierto",IF(O26=1,"Débil (1 tema)",IF(O26&lt;=3,"Básica (2–3)","Sólida (4+)")))</f>
        <v>Débil (1 tema)</v>
      </c>
      <c r="S26" t="str" s="79" cm="1">
        <f t="array" ref="S26">_xlfn.IFERROR(INDEX($F$4:$H$4,MATCH(TRUE,INDEX(F26:H26&gt;0,0),0)),"—")</f>
        <v>3°</v>
      </c>
      <c r="T26" t="s" s="78">
        <v>1128</v>
      </c>
    </row>
    <row r="27" ht="35.65" customHeight="1">
      <c r="A27" t="s" s="78">
        <v>332</v>
      </c>
      <c r="B27" t="s" s="78">
        <v>1055</v>
      </c>
      <c r="C27" t="s" s="78">
        <v>213</v>
      </c>
      <c r="D27" t="s" s="78">
        <v>1129</v>
      </c>
      <c r="E27" t="s" s="78">
        <v>1130</v>
      </c>
      <c r="F27" s="80" cm="1">
        <f t="array" ref="F27">_xlfn.COUNTIFS('Datos - Temas'!$V$5:$V$1264,F$4,'Datos - Temas'!$K$5:$K$1264,$A27)+_xlfn.COUNTIFS('Datos - Temas'!$V$5:$V$1264,F$4,'Datos - Temas'!$L$5:$L$1264,$A27)</f>
        <v>4</v>
      </c>
      <c r="G27" s="80" cm="1">
        <f t="array" ref="G27">_xlfn.COUNTIFS('Datos - Temas'!$V$5:$V$1264,G$4,'Datos - Temas'!$K$5:$K$1264,$A27)+_xlfn.COUNTIFS('Datos - Temas'!$V$5:$V$1264,G$4,'Datos - Temas'!$L$5:$L$1264,$A27)</f>
        <v>4</v>
      </c>
      <c r="H27" s="80" cm="1">
        <f t="array" ref="H27">_xlfn.COUNTIFS('Datos - Temas'!$V$5:$V$1264,H$4,'Datos - Temas'!$K$5:$K$1264,$A27)+_xlfn.COUNTIFS('Datos - Temas'!$V$5:$V$1264,H$4,'Datos - Temas'!$L$5:$L$1264,$A27)</f>
        <v>0</v>
      </c>
      <c r="I27" t="s" s="78">
        <v>1058</v>
      </c>
      <c r="J27" t="s" s="78">
        <v>1058</v>
      </c>
      <c r="K27" t="s" s="78">
        <v>1058</v>
      </c>
      <c r="L27" t="s" s="78">
        <v>1058</v>
      </c>
      <c r="M27" t="s" s="78">
        <v>1058</v>
      </c>
      <c r="N27" t="s" s="78">
        <v>1058</v>
      </c>
      <c r="O27" s="80">
        <v>8</v>
      </c>
      <c r="P27" s="80" cm="1">
        <f t="array" ref="P27">_xlfn.COUNTIFS('Datos - Temas'!$K$5:$K$1264,$A27)</f>
        <v>7</v>
      </c>
      <c r="Q27" t="str" s="79" cm="1">
        <f t="array" ref="Q27">IF(O27&gt;0,"Sí","No")</f>
        <v>Sí</v>
      </c>
      <c r="R27" t="str" s="79" cm="1">
        <f t="array" ref="R27">IF(O27=0,"No cubierto",IF(O27=1,"Débil (1 tema)",IF(O27&lt;=3,"Básica (2–3)","Sólida (4+)")))</f>
        <v>Sólida (4+)</v>
      </c>
      <c r="S27" t="str" s="79" cm="1">
        <f t="array" ref="S27">_xlfn.IFERROR(INDEX($F$4:$H$4,MATCH(TRUE,INDEX(F27:H27&gt;0,0),0)),"—")</f>
        <v>2°</v>
      </c>
      <c r="T27" t="s" s="78">
        <v>1131</v>
      </c>
    </row>
    <row r="28" ht="13.65" customHeight="1">
      <c r="A28" t="s" s="78">
        <v>1132</v>
      </c>
      <c r="B28" t="s" s="78">
        <v>1055</v>
      </c>
      <c r="C28" t="s" s="78">
        <v>213</v>
      </c>
      <c r="D28" t="s" s="78">
        <v>1129</v>
      </c>
      <c r="E28" t="s" s="78">
        <v>1133</v>
      </c>
      <c r="F28" s="80" cm="1">
        <f t="array" ref="F28">_xlfn.COUNTIFS('Datos - Temas'!$V$5:$V$1264,F$4,'Datos - Temas'!$K$5:$K$1264,$A28)+_xlfn.COUNTIFS('Datos - Temas'!$V$5:$V$1264,F$4,'Datos - Temas'!$L$5:$L$1264,$A28)</f>
        <v>0</v>
      </c>
      <c r="G28" s="80" cm="1">
        <f t="array" ref="G28">_xlfn.COUNTIFS('Datos - Temas'!$V$5:$V$1264,G$4,'Datos - Temas'!$K$5:$K$1264,$A28)+_xlfn.COUNTIFS('Datos - Temas'!$V$5:$V$1264,G$4,'Datos - Temas'!$L$5:$L$1264,$A28)</f>
        <v>0</v>
      </c>
      <c r="H28" s="80" cm="1">
        <f t="array" ref="H28">_xlfn.COUNTIFS('Datos - Temas'!$V$5:$V$1264,H$4,'Datos - Temas'!$K$5:$K$1264,$A28)+_xlfn.COUNTIFS('Datos - Temas'!$V$5:$V$1264,H$4,'Datos - Temas'!$L$5:$L$1264,$A28)</f>
        <v>6</v>
      </c>
      <c r="I28" t="s" s="78">
        <v>1058</v>
      </c>
      <c r="J28" t="s" s="78">
        <v>1058</v>
      </c>
      <c r="K28" t="s" s="78">
        <v>1058</v>
      </c>
      <c r="L28" t="s" s="78">
        <v>1058</v>
      </c>
      <c r="M28" t="s" s="78">
        <v>1058</v>
      </c>
      <c r="N28" t="s" s="78">
        <v>1058</v>
      </c>
      <c r="O28" s="80">
        <v>6</v>
      </c>
      <c r="P28" s="80" cm="1">
        <f t="array" ref="P28">_xlfn.COUNTIFS('Datos - Temas'!$K$5:$K$1264,$A28)</f>
        <v>6</v>
      </c>
      <c r="Q28" t="str" s="79" cm="1">
        <f t="array" ref="Q28">IF(O28&gt;0,"Sí","No")</f>
        <v>Sí</v>
      </c>
      <c r="R28" t="str" s="79" cm="1">
        <f t="array" ref="R28">IF(O28=0,"No cubierto",IF(O28=1,"Débil (1 tema)",IF(O28&lt;=3,"Básica (2–3)","Sólida (4+)")))</f>
        <v>Sólida (4+)</v>
      </c>
      <c r="S28" t="str" s="79" cm="1">
        <f t="array" ref="S28">_xlfn.IFERROR(INDEX($F$4:$H$4,MATCH(TRUE,INDEX(F28:H28&gt;0,0),0)),"—")</f>
        <v>4°</v>
      </c>
      <c r="T28" t="s" s="78">
        <v>1135</v>
      </c>
    </row>
    <row r="29" ht="35.65" customHeight="1">
      <c r="A29" t="s" s="78">
        <v>1136</v>
      </c>
      <c r="B29" t="s" s="78">
        <v>1055</v>
      </c>
      <c r="C29" t="s" s="78">
        <v>213</v>
      </c>
      <c r="D29" t="s" s="78">
        <v>1137</v>
      </c>
      <c r="E29" t="s" s="78">
        <v>1138</v>
      </c>
      <c r="F29" s="80" cm="1">
        <f t="array" ref="F29">_xlfn.COUNTIFS('Datos - Temas'!$V$5:$V$1264,F$4,'Datos - Temas'!$K$5:$K$1264,$A29)+_xlfn.COUNTIFS('Datos - Temas'!$V$5:$V$1264,F$4,'Datos - Temas'!$L$5:$L$1264,$A29)</f>
        <v>8</v>
      </c>
      <c r="G29" s="80" cm="1">
        <f t="array" ref="G29">_xlfn.COUNTIFS('Datos - Temas'!$V$5:$V$1264,G$4,'Datos - Temas'!$K$5:$K$1264,$A29)+_xlfn.COUNTIFS('Datos - Temas'!$V$5:$V$1264,G$4,'Datos - Temas'!$L$5:$L$1264,$A29)</f>
        <v>6</v>
      </c>
      <c r="H29" s="80" cm="1">
        <f t="array" ref="H29">_xlfn.COUNTIFS('Datos - Temas'!$V$5:$V$1264,H$4,'Datos - Temas'!$K$5:$K$1264,$A29)+_xlfn.COUNTIFS('Datos - Temas'!$V$5:$V$1264,H$4,'Datos - Temas'!$L$5:$L$1264,$A29)</f>
        <v>0</v>
      </c>
      <c r="I29" t="s" s="78">
        <v>1058</v>
      </c>
      <c r="J29" t="s" s="78">
        <v>1058</v>
      </c>
      <c r="K29" t="s" s="78">
        <v>1058</v>
      </c>
      <c r="L29" t="s" s="78">
        <v>1058</v>
      </c>
      <c r="M29" t="s" s="78">
        <v>1058</v>
      </c>
      <c r="N29" t="s" s="78">
        <v>1058</v>
      </c>
      <c r="O29" s="80">
        <v>14</v>
      </c>
      <c r="P29" s="80" cm="1">
        <f t="array" ref="P29">_xlfn.COUNTIFS('Datos - Temas'!$K$5:$K$1264,$A29)</f>
        <v>7</v>
      </c>
      <c r="Q29" t="str" s="79" cm="1">
        <f t="array" ref="Q29">IF(O29&gt;0,"Sí","No")</f>
        <v>Sí</v>
      </c>
      <c r="R29" t="str" s="79" cm="1">
        <f t="array" ref="R29">IF(O29=0,"No cubierto",IF(O29=1,"Débil (1 tema)",IF(O29&lt;=3,"Básica (2–3)","Sólida (4+)")))</f>
        <v>Sólida (4+)</v>
      </c>
      <c r="S29" t="str" s="79" cm="1">
        <f t="array" ref="S29">_xlfn.IFERROR(INDEX($F$4:$H$4,MATCH(TRUE,INDEX(F29:H29&gt;0,0),0)),"—")</f>
        <v>2°</v>
      </c>
      <c r="T29" t="s" s="78">
        <v>1139</v>
      </c>
    </row>
    <row r="30" ht="35.65" customHeight="1">
      <c r="A30" t="s" s="78">
        <v>288</v>
      </c>
      <c r="B30" t="s" s="78">
        <v>1055</v>
      </c>
      <c r="C30" t="s" s="78">
        <v>216</v>
      </c>
      <c r="D30" t="s" s="78">
        <v>1140</v>
      </c>
      <c r="E30" t="s" s="78">
        <v>1141</v>
      </c>
      <c r="F30" s="80" cm="1">
        <f t="array" ref="F30">_xlfn.COUNTIFS('Datos - Temas'!$V$5:$V$1264,F$4,'Datos - Temas'!$K$5:$K$1264,$A30)+_xlfn.COUNTIFS('Datos - Temas'!$V$5:$V$1264,F$4,'Datos - Temas'!$L$5:$L$1264,$A30)</f>
        <v>0</v>
      </c>
      <c r="G30" s="80" cm="1">
        <f t="array" ref="G30">_xlfn.COUNTIFS('Datos - Temas'!$V$5:$V$1264,G$4,'Datos - Temas'!$K$5:$K$1264,$A30)+_xlfn.COUNTIFS('Datos - Temas'!$V$5:$V$1264,G$4,'Datos - Temas'!$L$5:$L$1264,$A30)</f>
        <v>6</v>
      </c>
      <c r="H30" s="80" cm="1">
        <f t="array" ref="H30">_xlfn.COUNTIFS('Datos - Temas'!$V$5:$V$1264,H$4,'Datos - Temas'!$K$5:$K$1264,$A30)+_xlfn.COUNTIFS('Datos - Temas'!$V$5:$V$1264,H$4,'Datos - Temas'!$L$5:$L$1264,$A30)</f>
        <v>0</v>
      </c>
      <c r="I30" t="s" s="78">
        <v>1058</v>
      </c>
      <c r="J30" t="s" s="78">
        <v>1058</v>
      </c>
      <c r="K30" t="s" s="78">
        <v>1058</v>
      </c>
      <c r="L30" t="s" s="78">
        <v>1058</v>
      </c>
      <c r="M30" t="s" s="78">
        <v>1058</v>
      </c>
      <c r="N30" t="s" s="78">
        <v>1058</v>
      </c>
      <c r="O30" s="80">
        <v>6</v>
      </c>
      <c r="P30" s="80" cm="1">
        <f t="array" ref="P30">_xlfn.COUNTIFS('Datos - Temas'!$K$5:$K$1264,$A30)</f>
        <v>5</v>
      </c>
      <c r="Q30" t="str" s="79" cm="1">
        <f t="array" ref="Q30">IF(O30&gt;0,"Sí","No")</f>
        <v>Sí</v>
      </c>
      <c r="R30" t="str" s="79" cm="1">
        <f t="array" ref="R30">IF(O30=0,"No cubierto",IF(O30=1,"Débil (1 tema)",IF(O30&lt;=3,"Básica (2–3)","Sólida (4+)")))</f>
        <v>Sólida (4+)</v>
      </c>
      <c r="S30" t="str" s="79" cm="1">
        <f t="array" ref="S30">_xlfn.IFERROR(INDEX($F$4:$H$4,MATCH(TRUE,INDEX(F30:H30&gt;0,0),0)),"—")</f>
        <v>3°</v>
      </c>
      <c r="T30" t="s" s="78">
        <v>1142</v>
      </c>
    </row>
    <row r="31" ht="24.65" customHeight="1">
      <c r="A31" t="s" s="78">
        <v>266</v>
      </c>
      <c r="B31" t="s" s="78">
        <v>1055</v>
      </c>
      <c r="C31" t="s" s="78">
        <v>216</v>
      </c>
      <c r="D31" t="s" s="78">
        <v>1140</v>
      </c>
      <c r="E31" t="s" s="78">
        <v>1143</v>
      </c>
      <c r="F31" s="80" cm="1">
        <f t="array" ref="F31">_xlfn.COUNTIFS('Datos - Temas'!$V$5:$V$1264,F$4,'Datos - Temas'!$K$5:$K$1264,$A31)+_xlfn.COUNTIFS('Datos - Temas'!$V$5:$V$1264,F$4,'Datos - Temas'!$L$5:$L$1264,$A31)</f>
        <v>0</v>
      </c>
      <c r="G31" s="80" cm="1">
        <f t="array" ref="G31">_xlfn.COUNTIFS('Datos - Temas'!$V$5:$V$1264,G$4,'Datos - Temas'!$K$5:$K$1264,$A31)+_xlfn.COUNTIFS('Datos - Temas'!$V$5:$V$1264,G$4,'Datos - Temas'!$L$5:$L$1264,$A31)</f>
        <v>2</v>
      </c>
      <c r="H31" s="80" cm="1">
        <f t="array" ref="H31">_xlfn.COUNTIFS('Datos - Temas'!$V$5:$V$1264,H$4,'Datos - Temas'!$K$5:$K$1264,$A31)+_xlfn.COUNTIFS('Datos - Temas'!$V$5:$V$1264,H$4,'Datos - Temas'!$L$5:$L$1264,$A31)</f>
        <v>2</v>
      </c>
      <c r="I31" t="s" s="78">
        <v>1058</v>
      </c>
      <c r="J31" t="s" s="78">
        <v>1058</v>
      </c>
      <c r="K31" t="s" s="78">
        <v>1058</v>
      </c>
      <c r="L31" t="s" s="78">
        <v>1058</v>
      </c>
      <c r="M31" t="s" s="78">
        <v>1058</v>
      </c>
      <c r="N31" t="s" s="78">
        <v>1058</v>
      </c>
      <c r="O31" s="80">
        <v>4</v>
      </c>
      <c r="P31" s="80" cm="1">
        <f t="array" ref="P31">_xlfn.COUNTIFS('Datos - Temas'!$K$5:$K$1264,$A31)</f>
        <v>4</v>
      </c>
      <c r="Q31" t="str" s="79" cm="1">
        <f t="array" ref="Q31">IF(O31&gt;0,"Sí","No")</f>
        <v>Sí</v>
      </c>
      <c r="R31" t="str" s="79" cm="1">
        <f t="array" ref="R31">IF(O31=0,"No cubierto",IF(O31=1,"Débil (1 tema)",IF(O31&lt;=3,"Básica (2–3)","Sólida (4+)")))</f>
        <v>Sólida (4+)</v>
      </c>
      <c r="S31" t="str" s="79" cm="1">
        <f t="array" ref="S31">_xlfn.IFERROR(INDEX($F$4:$H$4,MATCH(TRUE,INDEX(F31:H31&gt;0,0),0)),"—")</f>
        <v>3°</v>
      </c>
      <c r="T31" t="s" s="78">
        <v>1144</v>
      </c>
    </row>
    <row r="32" ht="24.65" customHeight="1">
      <c r="A32" t="s" s="78">
        <v>274</v>
      </c>
      <c r="B32" t="s" s="78">
        <v>1055</v>
      </c>
      <c r="C32" t="s" s="78">
        <v>216</v>
      </c>
      <c r="D32" t="s" s="78">
        <v>1145</v>
      </c>
      <c r="E32" t="s" s="78">
        <v>1146</v>
      </c>
      <c r="F32" s="80" cm="1">
        <f t="array" ref="F32">_xlfn.COUNTIFS('Datos - Temas'!$V$5:$V$1264,F$4,'Datos - Temas'!$K$5:$K$1264,$A32)+_xlfn.COUNTIFS('Datos - Temas'!$V$5:$V$1264,F$4,'Datos - Temas'!$L$5:$L$1264,$A32)</f>
        <v>2</v>
      </c>
      <c r="G32" s="80" cm="1">
        <f t="array" ref="G32">_xlfn.COUNTIFS('Datos - Temas'!$V$5:$V$1264,G$4,'Datos - Temas'!$K$5:$K$1264,$A32)+_xlfn.COUNTIFS('Datos - Temas'!$V$5:$V$1264,G$4,'Datos - Temas'!$L$5:$L$1264,$A32)</f>
        <v>0</v>
      </c>
      <c r="H32" s="80" cm="1">
        <f t="array" ref="H32">_xlfn.COUNTIFS('Datos - Temas'!$V$5:$V$1264,H$4,'Datos - Temas'!$K$5:$K$1264,$A32)+_xlfn.COUNTIFS('Datos - Temas'!$V$5:$V$1264,H$4,'Datos - Temas'!$L$5:$L$1264,$A32)</f>
        <v>3</v>
      </c>
      <c r="I32" t="s" s="78">
        <v>1058</v>
      </c>
      <c r="J32" t="s" s="78">
        <v>1058</v>
      </c>
      <c r="K32" t="s" s="78">
        <v>1058</v>
      </c>
      <c r="L32" t="s" s="78">
        <v>1058</v>
      </c>
      <c r="M32" t="s" s="78">
        <v>1058</v>
      </c>
      <c r="N32" t="s" s="78">
        <v>1058</v>
      </c>
      <c r="O32" s="80">
        <v>5</v>
      </c>
      <c r="P32" s="80" cm="1">
        <f t="array" ref="P32">_xlfn.COUNTIFS('Datos - Temas'!$K$5:$K$1264,$A32)</f>
        <v>5</v>
      </c>
      <c r="Q32" t="str" s="79" cm="1">
        <f t="array" ref="Q32">IF(O32&gt;0,"Sí","No")</f>
        <v>Sí</v>
      </c>
      <c r="R32" t="str" s="79" cm="1">
        <f t="array" ref="R32">IF(O32=0,"No cubierto",IF(O32=1,"Débil (1 tema)",IF(O32&lt;=3,"Básica (2–3)","Sólida (4+)")))</f>
        <v>Sólida (4+)</v>
      </c>
      <c r="S32" t="str" s="79" cm="1">
        <f t="array" ref="S32">_xlfn.IFERROR(INDEX($F$4:$H$4,MATCH(TRUE,INDEX(F32:H32&gt;0,0),0)),"—")</f>
        <v>2°</v>
      </c>
      <c r="T32" t="s" s="78">
        <v>1147</v>
      </c>
    </row>
    <row r="33" ht="24.65" customHeight="1">
      <c r="A33" t="s" s="78">
        <v>1148</v>
      </c>
      <c r="B33" t="s" s="78">
        <v>1055</v>
      </c>
      <c r="C33" t="s" s="78">
        <v>216</v>
      </c>
      <c r="D33" t="s" s="78">
        <v>1149</v>
      </c>
      <c r="E33" t="s" s="78">
        <v>1150</v>
      </c>
      <c r="F33" s="80" cm="1">
        <f t="array" ref="F33">_xlfn.COUNTIFS('Datos - Temas'!$V$5:$V$1264,F$4,'Datos - Temas'!$K$5:$K$1264,$A33)+_xlfn.COUNTIFS('Datos - Temas'!$V$5:$V$1264,F$4,'Datos - Temas'!$L$5:$L$1264,$A33)</f>
        <v>4</v>
      </c>
      <c r="G33" s="80" cm="1">
        <f t="array" ref="G33">_xlfn.COUNTIFS('Datos - Temas'!$V$5:$V$1264,G$4,'Datos - Temas'!$K$5:$K$1264,$A33)+_xlfn.COUNTIFS('Datos - Temas'!$V$5:$V$1264,G$4,'Datos - Temas'!$L$5:$L$1264,$A33)</f>
        <v>7</v>
      </c>
      <c r="H33" s="80" cm="1">
        <f t="array" ref="H33">_xlfn.COUNTIFS('Datos - Temas'!$V$5:$V$1264,H$4,'Datos - Temas'!$K$5:$K$1264,$A33)+_xlfn.COUNTIFS('Datos - Temas'!$V$5:$V$1264,H$4,'Datos - Temas'!$L$5:$L$1264,$A33)</f>
        <v>1</v>
      </c>
      <c r="I33" t="s" s="78">
        <v>1058</v>
      </c>
      <c r="J33" t="s" s="78">
        <v>1058</v>
      </c>
      <c r="K33" t="s" s="78">
        <v>1058</v>
      </c>
      <c r="L33" t="s" s="78">
        <v>1058</v>
      </c>
      <c r="M33" t="s" s="78">
        <v>1058</v>
      </c>
      <c r="N33" t="s" s="78">
        <v>1058</v>
      </c>
      <c r="O33" s="80">
        <v>12</v>
      </c>
      <c r="P33" s="80" cm="1">
        <f t="array" ref="P33">_xlfn.COUNTIFS('Datos - Temas'!$K$5:$K$1264,$A33)</f>
        <v>6</v>
      </c>
      <c r="Q33" t="str" s="79" cm="1">
        <f t="array" ref="Q33">IF(O33&gt;0,"Sí","No")</f>
        <v>Sí</v>
      </c>
      <c r="R33" t="str" s="79" cm="1">
        <f t="array" ref="R33">IF(O33=0,"No cubierto",IF(O33=1,"Débil (1 tema)",IF(O33&lt;=3,"Básica (2–3)","Sólida (4+)")))</f>
        <v>Sólida (4+)</v>
      </c>
      <c r="S33" t="str" s="79" cm="1">
        <f t="array" ref="S33">_xlfn.IFERROR(INDEX($F$4:$H$4,MATCH(TRUE,INDEX(F33:H33&gt;0,0),0)),"—")</f>
        <v>2°</v>
      </c>
      <c r="T33" t="s" s="78">
        <v>1151</v>
      </c>
    </row>
    <row r="34" ht="13.65" customHeight="1">
      <c r="A34" t="s" s="78">
        <v>1152</v>
      </c>
      <c r="B34" t="s" s="78">
        <v>1055</v>
      </c>
      <c r="C34" t="s" s="78">
        <v>216</v>
      </c>
      <c r="D34" t="s" s="78">
        <v>1153</v>
      </c>
      <c r="E34" t="s" s="78">
        <v>1154</v>
      </c>
      <c r="F34" s="80" cm="1">
        <f t="array" ref="F34">_xlfn.COUNTIFS('Datos - Temas'!$V$5:$V$1264,F$4,'Datos - Temas'!$K$5:$K$1264,$A34)+_xlfn.COUNTIFS('Datos - Temas'!$V$5:$V$1264,F$4,'Datos - Temas'!$L$5:$L$1264,$A34)</f>
        <v>0</v>
      </c>
      <c r="G34" s="80" cm="1">
        <f t="array" ref="G34">_xlfn.COUNTIFS('Datos - Temas'!$V$5:$V$1264,G$4,'Datos - Temas'!$K$5:$K$1264,$A34)+_xlfn.COUNTIFS('Datos - Temas'!$V$5:$V$1264,G$4,'Datos - Temas'!$L$5:$L$1264,$A34)</f>
        <v>0</v>
      </c>
      <c r="H34" s="80" cm="1">
        <f t="array" ref="H34">_xlfn.COUNTIFS('Datos - Temas'!$V$5:$V$1264,H$4,'Datos - Temas'!$K$5:$K$1264,$A34)+_xlfn.COUNTIFS('Datos - Temas'!$V$5:$V$1264,H$4,'Datos - Temas'!$L$5:$L$1264,$A34)</f>
        <v>10</v>
      </c>
      <c r="I34" t="s" s="78">
        <v>1058</v>
      </c>
      <c r="J34" t="s" s="78">
        <v>1058</v>
      </c>
      <c r="K34" t="s" s="78">
        <v>1058</v>
      </c>
      <c r="L34" t="s" s="78">
        <v>1058</v>
      </c>
      <c r="M34" t="s" s="78">
        <v>1058</v>
      </c>
      <c r="N34" t="s" s="78">
        <v>1058</v>
      </c>
      <c r="O34" s="80">
        <v>10</v>
      </c>
      <c r="P34" s="80" cm="1">
        <f t="array" ref="P34">_xlfn.COUNTIFS('Datos - Temas'!$K$5:$K$1264,$A34)</f>
        <v>10</v>
      </c>
      <c r="Q34" t="str" s="79" cm="1">
        <f t="array" ref="Q34">IF(O34&gt;0,"Sí","No")</f>
        <v>Sí</v>
      </c>
      <c r="R34" t="str" s="79" cm="1">
        <f t="array" ref="R34">IF(O34=0,"No cubierto",IF(O34=1,"Débil (1 tema)",IF(O34&lt;=3,"Básica (2–3)","Sólida (4+)")))</f>
        <v>Sólida (4+)</v>
      </c>
      <c r="S34" t="str" s="79" cm="1">
        <f t="array" ref="S34">_xlfn.IFERROR(INDEX($F$4:$H$4,MATCH(TRUE,INDEX(F34:H34&gt;0,0),0)),"—")</f>
        <v>4°</v>
      </c>
      <c r="T34" t="s" s="78">
        <v>1155</v>
      </c>
    </row>
    <row r="35" ht="24.65" customHeight="1">
      <c r="A35" t="s" s="78">
        <v>1156</v>
      </c>
      <c r="B35" t="s" s="78">
        <v>1055</v>
      </c>
      <c r="C35" t="s" s="78">
        <v>216</v>
      </c>
      <c r="D35" t="s" s="78">
        <v>1153</v>
      </c>
      <c r="E35" t="s" s="78">
        <v>1157</v>
      </c>
      <c r="F35" s="80" cm="1">
        <f t="array" ref="F35">_xlfn.COUNTIFS('Datos - Temas'!$V$5:$V$1264,F$4,'Datos - Temas'!$K$5:$K$1264,$A35)+_xlfn.COUNTIFS('Datos - Temas'!$V$5:$V$1264,F$4,'Datos - Temas'!$L$5:$L$1264,$A35)</f>
        <v>3</v>
      </c>
      <c r="G35" s="80" cm="1">
        <f t="array" ref="G35">_xlfn.COUNTIFS('Datos - Temas'!$V$5:$V$1264,G$4,'Datos - Temas'!$K$5:$K$1264,$A35)+_xlfn.COUNTIFS('Datos - Temas'!$V$5:$V$1264,G$4,'Datos - Temas'!$L$5:$L$1264,$A35)</f>
        <v>0</v>
      </c>
      <c r="H35" s="80" cm="1">
        <f t="array" ref="H35">_xlfn.COUNTIFS('Datos - Temas'!$V$5:$V$1264,H$4,'Datos - Temas'!$K$5:$K$1264,$A35)+_xlfn.COUNTIFS('Datos - Temas'!$V$5:$V$1264,H$4,'Datos - Temas'!$L$5:$L$1264,$A35)</f>
        <v>0</v>
      </c>
      <c r="I35" t="s" s="78">
        <v>1058</v>
      </c>
      <c r="J35" t="s" s="78">
        <v>1058</v>
      </c>
      <c r="K35" t="s" s="78">
        <v>1058</v>
      </c>
      <c r="L35" t="s" s="78">
        <v>1058</v>
      </c>
      <c r="M35" t="s" s="78">
        <v>1058</v>
      </c>
      <c r="N35" t="s" s="78">
        <v>1058</v>
      </c>
      <c r="O35" s="80">
        <v>3</v>
      </c>
      <c r="P35" s="80" cm="1">
        <f t="array" ref="P35">_xlfn.COUNTIFS('Datos - Temas'!$K$5:$K$1264,$A35)</f>
        <v>3</v>
      </c>
      <c r="Q35" t="str" s="79" cm="1">
        <f t="array" ref="Q35">IF(O35&gt;0,"Sí","No")</f>
        <v>Sí</v>
      </c>
      <c r="R35" t="str" s="79" cm="1">
        <f t="array" ref="R35">IF(O35=0,"No cubierto",IF(O35=1,"Débil (1 tema)",IF(O35&lt;=3,"Básica (2–3)","Sólida (4+)")))</f>
        <v>Básica (2–3)</v>
      </c>
      <c r="S35" t="str" s="79" cm="1">
        <f t="array" ref="S35">_xlfn.IFERROR(INDEX($F$4:$H$4,MATCH(TRUE,INDEX(F35:H35&gt;0,0),0)),"—")</f>
        <v>2°</v>
      </c>
      <c r="T35" t="s" s="78">
        <v>1158</v>
      </c>
    </row>
    <row r="36" ht="24.65" customHeight="1">
      <c r="A36" t="s" s="78">
        <v>1159</v>
      </c>
      <c r="B36" t="s" s="78">
        <v>1055</v>
      </c>
      <c r="C36" t="s" s="78">
        <v>216</v>
      </c>
      <c r="D36" t="s" s="78">
        <v>1160</v>
      </c>
      <c r="E36" t="s" s="78">
        <v>1161</v>
      </c>
      <c r="F36" s="80" cm="1">
        <f t="array" ref="F36">_xlfn.COUNTIFS('Datos - Temas'!$V$5:$V$1264,F$4,'Datos - Temas'!$K$5:$K$1264,$A36)+_xlfn.COUNTIFS('Datos - Temas'!$V$5:$V$1264,F$4,'Datos - Temas'!$L$5:$L$1264,$A36)</f>
        <v>0</v>
      </c>
      <c r="G36" s="80" cm="1">
        <f t="array" ref="G36">_xlfn.COUNTIFS('Datos - Temas'!$V$5:$V$1264,G$4,'Datos - Temas'!$K$5:$K$1264,$A36)+_xlfn.COUNTIFS('Datos - Temas'!$V$5:$V$1264,G$4,'Datos - Temas'!$L$5:$L$1264,$A36)</f>
        <v>0</v>
      </c>
      <c r="H36" s="80" cm="1">
        <f t="array" ref="H36">_xlfn.COUNTIFS('Datos - Temas'!$V$5:$V$1264,H$4,'Datos - Temas'!$K$5:$K$1264,$A36)+_xlfn.COUNTIFS('Datos - Temas'!$V$5:$V$1264,H$4,'Datos - Temas'!$L$5:$L$1264,$A36)</f>
        <v>1</v>
      </c>
      <c r="I36" t="s" s="78">
        <v>1058</v>
      </c>
      <c r="J36" t="s" s="78">
        <v>1058</v>
      </c>
      <c r="K36" t="s" s="78">
        <v>1058</v>
      </c>
      <c r="L36" t="s" s="78">
        <v>1058</v>
      </c>
      <c r="M36" t="s" s="78">
        <v>1058</v>
      </c>
      <c r="N36" t="s" s="78">
        <v>1058</v>
      </c>
      <c r="O36" s="80">
        <v>1</v>
      </c>
      <c r="P36" s="80" cm="1">
        <f t="array" ref="P36">_xlfn.COUNTIFS('Datos - Temas'!$K$5:$K$1264,$A36)</f>
        <v>0</v>
      </c>
      <c r="Q36" t="str" s="79" cm="1">
        <f t="array" ref="Q36">IF(O36&gt;0,"Sí","No")</f>
        <v>Sí</v>
      </c>
      <c r="R36" t="str" s="79" cm="1">
        <f t="array" ref="R36">IF(O36=0,"No cubierto",IF(O36=1,"Débil (1 tema)",IF(O36&lt;=3,"Básica (2–3)","Sólida (4+)")))</f>
        <v>Débil (1 tema)</v>
      </c>
      <c r="S36" t="str" s="79" cm="1">
        <f t="array" ref="S36">_xlfn.IFERROR(INDEX($F$4:$H$4,MATCH(TRUE,INDEX(F36:H36&gt;0,0),0)),"—")</f>
        <v>4°</v>
      </c>
      <c r="T36" t="s" s="78">
        <v>1162</v>
      </c>
    </row>
    <row r="37" ht="24.65" customHeight="1">
      <c r="A37" t="s" s="78">
        <v>1163</v>
      </c>
      <c r="B37" t="s" s="78">
        <v>1164</v>
      </c>
      <c r="C37" t="s" s="78">
        <v>210</v>
      </c>
      <c r="D37" t="s" s="78">
        <v>1056</v>
      </c>
      <c r="E37" t="s" s="78">
        <v>1165</v>
      </c>
      <c r="F37" t="s" s="78">
        <v>1058</v>
      </c>
      <c r="G37" t="s" s="78">
        <v>1058</v>
      </c>
      <c r="H37" t="s" s="78">
        <v>1058</v>
      </c>
      <c r="I37" s="80" cm="1">
        <f t="array" ref="I37">_xlfn.COUNTIFS('Datos - Temas'!$V$5:$V$1264,I$4,'Datos - Temas'!$K$5:$K$1264,$A37)+_xlfn.COUNTIFS('Datos - Temas'!$V$5:$V$1264,I$4,'Datos - Temas'!$L$5:$L$1264,$A37)</f>
        <v>0</v>
      </c>
      <c r="J37" s="80" cm="1">
        <f t="array" ref="J37">_xlfn.COUNTIFS('Datos - Temas'!$V$5:$V$1264,J$4,'Datos - Temas'!$K$5:$K$1264,$A37)+_xlfn.COUNTIFS('Datos - Temas'!$V$5:$V$1264,J$4,'Datos - Temas'!$L$5:$L$1264,$A37)</f>
        <v>1</v>
      </c>
      <c r="K37" s="80" cm="1">
        <f t="array" ref="K37">_xlfn.COUNTIFS('Datos - Temas'!$V$5:$V$1264,K$4,'Datos - Temas'!$K$5:$K$1264,$A37)+_xlfn.COUNTIFS('Datos - Temas'!$V$5:$V$1264,K$4,'Datos - Temas'!$L$5:$L$1264,$A37)</f>
        <v>11</v>
      </c>
      <c r="L37" s="80" cm="1">
        <f t="array" ref="L37">_xlfn.COUNTIFS('Datos - Temas'!$V$5:$V$1264,L$4,'Datos - Temas'!$K$5:$K$1264,$A37)+_xlfn.COUNTIFS('Datos - Temas'!$V$5:$V$1264,L$4,'Datos - Temas'!$L$5:$L$1264,$A37)</f>
        <v>0</v>
      </c>
      <c r="M37" t="s" s="78">
        <v>1058</v>
      </c>
      <c r="N37" t="s" s="78">
        <v>1058</v>
      </c>
      <c r="O37" s="80">
        <v>12</v>
      </c>
      <c r="P37" s="80" cm="1">
        <f t="array" ref="P37">_xlfn.COUNTIFS('Datos - Temas'!$K$5:$K$1264,$A37)</f>
        <v>9</v>
      </c>
      <c r="Q37" t="str" s="79" cm="1">
        <f t="array" ref="Q37">IF(O37&gt;0,"Sí","No")</f>
        <v>Sí</v>
      </c>
      <c r="R37" t="str" s="79" cm="1">
        <f t="array" ref="R37">IF(O37=0,"No cubierto",IF(O37=1,"Débil (1 tema)",IF(O37&lt;=3,"Básica (2–3)","Sólida (4+)")))</f>
        <v>Sólida (4+)</v>
      </c>
      <c r="S37" t="str" s="79" cm="1">
        <f t="array" ref="S37">_xlfn.IFERROR(INDEX($I$4:$L$4,MATCH(TRUE,INDEX(I37:L37&gt;0,0),0)),"—")</f>
        <v>6°</v>
      </c>
      <c r="T37" t="s" s="78">
        <v>1167</v>
      </c>
    </row>
    <row r="38" ht="35.65" customHeight="1">
      <c r="A38" t="s" s="78">
        <v>1168</v>
      </c>
      <c r="B38" t="s" s="78">
        <v>1164</v>
      </c>
      <c r="C38" t="s" s="78">
        <v>210</v>
      </c>
      <c r="D38" t="s" s="78">
        <v>1056</v>
      </c>
      <c r="E38" t="s" s="78">
        <v>1169</v>
      </c>
      <c r="F38" t="s" s="78">
        <v>1058</v>
      </c>
      <c r="G38" t="s" s="78">
        <v>1058</v>
      </c>
      <c r="H38" t="s" s="78">
        <v>1058</v>
      </c>
      <c r="I38" s="80" cm="1">
        <f t="array" ref="I38">_xlfn.COUNTIFS('Datos - Temas'!$V$5:$V$1264,I$4,'Datos - Temas'!$K$5:$K$1264,$A38)+_xlfn.COUNTIFS('Datos - Temas'!$V$5:$V$1264,I$4,'Datos - Temas'!$L$5:$L$1264,$A38)</f>
        <v>0</v>
      </c>
      <c r="J38" s="80" cm="1">
        <f t="array" ref="J38">_xlfn.COUNTIFS('Datos - Temas'!$V$5:$V$1264,J$4,'Datos - Temas'!$K$5:$K$1264,$A38)+_xlfn.COUNTIFS('Datos - Temas'!$V$5:$V$1264,J$4,'Datos - Temas'!$L$5:$L$1264,$A38)</f>
        <v>1</v>
      </c>
      <c r="K38" s="80" cm="1">
        <f t="array" ref="K38">_xlfn.COUNTIFS('Datos - Temas'!$V$5:$V$1264,K$4,'Datos - Temas'!$K$5:$K$1264,$A38)+_xlfn.COUNTIFS('Datos - Temas'!$V$5:$V$1264,K$4,'Datos - Temas'!$L$5:$L$1264,$A38)</f>
        <v>0</v>
      </c>
      <c r="L38" s="80" cm="1">
        <f t="array" ref="L38">_xlfn.COUNTIFS('Datos - Temas'!$V$5:$V$1264,L$4,'Datos - Temas'!$K$5:$K$1264,$A38)+_xlfn.COUNTIFS('Datos - Temas'!$V$5:$V$1264,L$4,'Datos - Temas'!$L$5:$L$1264,$A38)</f>
        <v>14</v>
      </c>
      <c r="M38" t="s" s="78">
        <v>1058</v>
      </c>
      <c r="N38" t="s" s="78">
        <v>1058</v>
      </c>
      <c r="O38" s="80">
        <v>15</v>
      </c>
      <c r="P38" s="80" cm="1">
        <f t="array" ref="P38">_xlfn.COUNTIFS('Datos - Temas'!$K$5:$K$1264,$A38)</f>
        <v>14</v>
      </c>
      <c r="Q38" t="str" s="79" cm="1">
        <f t="array" ref="Q38">IF(O38&gt;0,"Sí","No")</f>
        <v>Sí</v>
      </c>
      <c r="R38" t="str" s="79" cm="1">
        <f t="array" ref="R38">IF(O38=0,"No cubierto",IF(O38=1,"Débil (1 tema)",IF(O38&lt;=3,"Básica (2–3)","Sólida (4+)")))</f>
        <v>Sólida (4+)</v>
      </c>
      <c r="S38" t="str" s="79" cm="1">
        <f t="array" ref="S38">_xlfn.IFERROR(INDEX($I$4:$L$4,MATCH(TRUE,INDEX(I38:L38&gt;0,0),0)),"—")</f>
        <v>6°</v>
      </c>
      <c r="T38" t="s" s="78">
        <v>1170</v>
      </c>
    </row>
    <row r="39" ht="24.65" customHeight="1">
      <c r="A39" t="s" s="78">
        <v>1171</v>
      </c>
      <c r="B39" t="s" s="78">
        <v>1164</v>
      </c>
      <c r="C39" t="s" s="78">
        <v>210</v>
      </c>
      <c r="D39" t="s" s="78">
        <v>1056</v>
      </c>
      <c r="E39" t="s" s="78">
        <v>1172</v>
      </c>
      <c r="F39" t="s" s="78">
        <v>1058</v>
      </c>
      <c r="G39" t="s" s="78">
        <v>1058</v>
      </c>
      <c r="H39" t="s" s="78">
        <v>1058</v>
      </c>
      <c r="I39" s="80" cm="1">
        <f t="array" ref="I39">_xlfn.COUNTIFS('Datos - Temas'!$V$5:$V$1264,I$4,'Datos - Temas'!$K$5:$K$1264,$A39)+_xlfn.COUNTIFS('Datos - Temas'!$V$5:$V$1264,I$4,'Datos - Temas'!$L$5:$L$1264,$A39)</f>
        <v>0</v>
      </c>
      <c r="J39" s="80" cm="1">
        <f t="array" ref="J39">_xlfn.COUNTIFS('Datos - Temas'!$V$5:$V$1264,J$4,'Datos - Temas'!$K$5:$K$1264,$A39)+_xlfn.COUNTIFS('Datos - Temas'!$V$5:$V$1264,J$4,'Datos - Temas'!$L$5:$L$1264,$A39)</f>
        <v>6</v>
      </c>
      <c r="K39" s="80" cm="1">
        <f t="array" ref="K39">_xlfn.COUNTIFS('Datos - Temas'!$V$5:$V$1264,K$4,'Datos - Temas'!$K$5:$K$1264,$A39)+_xlfn.COUNTIFS('Datos - Temas'!$V$5:$V$1264,K$4,'Datos - Temas'!$L$5:$L$1264,$A39)</f>
        <v>0</v>
      </c>
      <c r="L39" s="80" cm="1">
        <f t="array" ref="L39">_xlfn.COUNTIFS('Datos - Temas'!$V$5:$V$1264,L$4,'Datos - Temas'!$K$5:$K$1264,$A39)+_xlfn.COUNTIFS('Datos - Temas'!$V$5:$V$1264,L$4,'Datos - Temas'!$L$5:$L$1264,$A39)</f>
        <v>6</v>
      </c>
      <c r="M39" t="s" s="78">
        <v>1058</v>
      </c>
      <c r="N39" t="s" s="78">
        <v>1058</v>
      </c>
      <c r="O39" s="80">
        <v>12</v>
      </c>
      <c r="P39" s="80" cm="1">
        <f t="array" ref="P39">_xlfn.COUNTIFS('Datos - Temas'!$K$5:$K$1264,$A39)</f>
        <v>7</v>
      </c>
      <c r="Q39" t="str" s="79" cm="1">
        <f t="array" ref="Q39">IF(O39&gt;0,"Sí","No")</f>
        <v>Sí</v>
      </c>
      <c r="R39" t="str" s="79" cm="1">
        <f t="array" ref="R39">IF(O39=0,"No cubierto",IF(O39=1,"Débil (1 tema)",IF(O39&lt;=3,"Básica (2–3)","Sólida (4+)")))</f>
        <v>Sólida (4+)</v>
      </c>
      <c r="S39" t="str" s="79" cm="1">
        <f t="array" ref="S39">_xlfn.IFERROR(INDEX($I$4:$L$4,MATCH(TRUE,INDEX(I39:L39&gt;0,0),0)),"—")</f>
        <v>6°</v>
      </c>
      <c r="T39" t="s" s="78">
        <v>1173</v>
      </c>
    </row>
    <row r="40" ht="13.65" customHeight="1">
      <c r="A40" t="s" s="78">
        <v>1174</v>
      </c>
      <c r="B40" t="s" s="78">
        <v>1164</v>
      </c>
      <c r="C40" t="s" s="78">
        <v>210</v>
      </c>
      <c r="D40" t="s" s="78">
        <v>1175</v>
      </c>
      <c r="E40" t="s" s="78">
        <v>1176</v>
      </c>
      <c r="F40" t="s" s="78">
        <v>1058</v>
      </c>
      <c r="G40" t="s" s="78">
        <v>1058</v>
      </c>
      <c r="H40" t="s" s="78">
        <v>1058</v>
      </c>
      <c r="I40" s="80" cm="1">
        <f t="array" ref="I40">_xlfn.COUNTIFS('Datos - Temas'!$V$5:$V$1264,I$4,'Datos - Temas'!$K$5:$K$1264,$A40)+_xlfn.COUNTIFS('Datos - Temas'!$V$5:$V$1264,I$4,'Datos - Temas'!$L$5:$L$1264,$A40)</f>
        <v>0</v>
      </c>
      <c r="J40" s="80" cm="1">
        <f t="array" ref="J40">_xlfn.COUNTIFS('Datos - Temas'!$V$5:$V$1264,J$4,'Datos - Temas'!$K$5:$K$1264,$A40)+_xlfn.COUNTIFS('Datos - Temas'!$V$5:$V$1264,J$4,'Datos - Temas'!$L$5:$L$1264,$A40)</f>
        <v>18</v>
      </c>
      <c r="K40" s="80" cm="1">
        <f t="array" ref="K40">_xlfn.COUNTIFS('Datos - Temas'!$V$5:$V$1264,K$4,'Datos - Temas'!$K$5:$K$1264,$A40)+_xlfn.COUNTIFS('Datos - Temas'!$V$5:$V$1264,K$4,'Datos - Temas'!$L$5:$L$1264,$A40)</f>
        <v>1</v>
      </c>
      <c r="L40" s="80" cm="1">
        <f t="array" ref="L40">_xlfn.COUNTIFS('Datos - Temas'!$V$5:$V$1264,L$4,'Datos - Temas'!$K$5:$K$1264,$A40)+_xlfn.COUNTIFS('Datos - Temas'!$V$5:$V$1264,L$4,'Datos - Temas'!$L$5:$L$1264,$A40)</f>
        <v>9</v>
      </c>
      <c r="M40" t="s" s="78">
        <v>1058</v>
      </c>
      <c r="N40" t="s" s="78">
        <v>1058</v>
      </c>
      <c r="O40" s="80">
        <v>28</v>
      </c>
      <c r="P40" s="80" cm="1">
        <f t="array" ref="P40">_xlfn.COUNTIFS('Datos - Temas'!$K$5:$K$1264,$A40)</f>
        <v>25</v>
      </c>
      <c r="Q40" t="str" s="79" cm="1">
        <f t="array" ref="Q40">IF(O40&gt;0,"Sí","No")</f>
        <v>Sí</v>
      </c>
      <c r="R40" t="str" s="79" cm="1">
        <f t="array" ref="R40">IF(O40=0,"No cubierto",IF(O40=1,"Débil (1 tema)",IF(O40&lt;=3,"Básica (2–3)","Sólida (4+)")))</f>
        <v>Sólida (4+)</v>
      </c>
      <c r="S40" t="str" s="79" cm="1">
        <f t="array" ref="S40">_xlfn.IFERROR(INDEX($I$4:$L$4,MATCH(TRUE,INDEX(I40:L40&gt;0,0),0)),"—")</f>
        <v>6°</v>
      </c>
      <c r="T40" t="s" s="78">
        <v>1177</v>
      </c>
    </row>
    <row r="41" ht="13.65" customHeight="1">
      <c r="A41" t="s" s="78">
        <v>1178</v>
      </c>
      <c r="B41" t="s" s="78">
        <v>1164</v>
      </c>
      <c r="C41" t="s" s="78">
        <v>210</v>
      </c>
      <c r="D41" t="s" s="78">
        <v>1070</v>
      </c>
      <c r="E41" t="s" s="78">
        <v>1179</v>
      </c>
      <c r="F41" t="s" s="78">
        <v>1058</v>
      </c>
      <c r="G41" t="s" s="78">
        <v>1058</v>
      </c>
      <c r="H41" t="s" s="78">
        <v>1058</v>
      </c>
      <c r="I41" s="80" cm="1">
        <f t="array" ref="I41">_xlfn.COUNTIFS('Datos - Temas'!$V$5:$V$1264,I$4,'Datos - Temas'!$K$5:$K$1264,$A41)+_xlfn.COUNTIFS('Datos - Temas'!$V$5:$V$1264,I$4,'Datos - Temas'!$L$5:$L$1264,$A41)</f>
        <v>0</v>
      </c>
      <c r="J41" s="80" cm="1">
        <f t="array" ref="J41">_xlfn.COUNTIFS('Datos - Temas'!$V$5:$V$1264,J$4,'Datos - Temas'!$K$5:$K$1264,$A41)+_xlfn.COUNTIFS('Datos - Temas'!$V$5:$V$1264,J$4,'Datos - Temas'!$L$5:$L$1264,$A41)</f>
        <v>6</v>
      </c>
      <c r="K41" s="80" cm="1">
        <f t="array" ref="K41">_xlfn.COUNTIFS('Datos - Temas'!$V$5:$V$1264,K$4,'Datos - Temas'!$K$5:$K$1264,$A41)+_xlfn.COUNTIFS('Datos - Temas'!$V$5:$V$1264,K$4,'Datos - Temas'!$L$5:$L$1264,$A41)</f>
        <v>14</v>
      </c>
      <c r="L41" s="80" cm="1">
        <f t="array" ref="L41">_xlfn.COUNTIFS('Datos - Temas'!$V$5:$V$1264,L$4,'Datos - Temas'!$K$5:$K$1264,$A41)+_xlfn.COUNTIFS('Datos - Temas'!$V$5:$V$1264,L$4,'Datos - Temas'!$L$5:$L$1264,$A41)</f>
        <v>0</v>
      </c>
      <c r="M41" t="s" s="78">
        <v>1058</v>
      </c>
      <c r="N41" t="s" s="78">
        <v>1058</v>
      </c>
      <c r="O41" s="80">
        <v>20</v>
      </c>
      <c r="P41" s="80" cm="1">
        <f t="array" ref="P41">_xlfn.COUNTIFS('Datos - Temas'!$K$5:$K$1264,$A41)</f>
        <v>18</v>
      </c>
      <c r="Q41" t="str" s="79" cm="1">
        <f t="array" ref="Q41">IF(O41&gt;0,"Sí","No")</f>
        <v>Sí</v>
      </c>
      <c r="R41" t="str" s="79" cm="1">
        <f t="array" ref="R41">IF(O41=0,"No cubierto",IF(O41=1,"Débil (1 tema)",IF(O41&lt;=3,"Básica (2–3)","Sólida (4+)")))</f>
        <v>Sólida (4+)</v>
      </c>
      <c r="S41" t="str" s="79" cm="1">
        <f t="array" ref="S41">_xlfn.IFERROR(INDEX($I$4:$L$4,MATCH(TRUE,INDEX(I41:L41&gt;0,0),0)),"—")</f>
        <v>6°</v>
      </c>
      <c r="T41" t="s" s="78">
        <v>1180</v>
      </c>
    </row>
    <row r="42" ht="24.65" customHeight="1">
      <c r="A42" t="s" s="78">
        <v>1181</v>
      </c>
      <c r="B42" t="s" s="78">
        <v>1164</v>
      </c>
      <c r="C42" t="s" s="78">
        <v>210</v>
      </c>
      <c r="D42" t="s" s="78">
        <v>1182</v>
      </c>
      <c r="E42" t="s" s="78">
        <v>1183</v>
      </c>
      <c r="F42" t="s" s="78">
        <v>1058</v>
      </c>
      <c r="G42" t="s" s="78">
        <v>1058</v>
      </c>
      <c r="H42" t="s" s="78">
        <v>1058</v>
      </c>
      <c r="I42" s="80" cm="1">
        <f t="array" ref="I42">_xlfn.COUNTIFS('Datos - Temas'!$V$5:$V$1264,I$4,'Datos - Temas'!$K$5:$K$1264,$A42)+_xlfn.COUNTIFS('Datos - Temas'!$V$5:$V$1264,I$4,'Datos - Temas'!$L$5:$L$1264,$A42)</f>
        <v>1</v>
      </c>
      <c r="J42" s="80" cm="1">
        <f t="array" ref="J42">_xlfn.COUNTIFS('Datos - Temas'!$V$5:$V$1264,J$4,'Datos - Temas'!$K$5:$K$1264,$A42)+_xlfn.COUNTIFS('Datos - Temas'!$V$5:$V$1264,J$4,'Datos - Temas'!$L$5:$L$1264,$A42)</f>
        <v>0</v>
      </c>
      <c r="K42" s="80" cm="1">
        <f t="array" ref="K42">_xlfn.COUNTIFS('Datos - Temas'!$V$5:$V$1264,K$4,'Datos - Temas'!$K$5:$K$1264,$A42)+_xlfn.COUNTIFS('Datos - Temas'!$V$5:$V$1264,K$4,'Datos - Temas'!$L$5:$L$1264,$A42)</f>
        <v>7</v>
      </c>
      <c r="L42" s="80" cm="1">
        <f t="array" ref="L42">_xlfn.COUNTIFS('Datos - Temas'!$V$5:$V$1264,L$4,'Datos - Temas'!$K$5:$K$1264,$A42)+_xlfn.COUNTIFS('Datos - Temas'!$V$5:$V$1264,L$4,'Datos - Temas'!$L$5:$L$1264,$A42)</f>
        <v>0</v>
      </c>
      <c r="M42" t="s" s="78">
        <v>1058</v>
      </c>
      <c r="N42" t="s" s="78">
        <v>1058</v>
      </c>
      <c r="O42" s="80">
        <v>8</v>
      </c>
      <c r="P42" s="80" cm="1">
        <f t="array" ref="P42">_xlfn.COUNTIFS('Datos - Temas'!$K$5:$K$1264,$A42)</f>
        <v>5</v>
      </c>
      <c r="Q42" t="str" s="79" cm="1">
        <f t="array" ref="Q42">IF(O42&gt;0,"Sí","No")</f>
        <v>Sí</v>
      </c>
      <c r="R42" t="str" s="79" cm="1">
        <f t="array" ref="R42">IF(O42=0,"No cubierto",IF(O42=1,"Débil (1 tema)",IF(O42&lt;=3,"Básica (2–3)","Sólida (4+)")))</f>
        <v>Sólida (4+)</v>
      </c>
      <c r="S42" t="str" s="79" cm="1">
        <f t="array" ref="S42">_xlfn.IFERROR(INDEX($I$4:$L$4,MATCH(TRUE,INDEX(I42:L42&gt;0,0),0)),"—")</f>
        <v>5°</v>
      </c>
      <c r="T42" t="s" s="78">
        <v>1185</v>
      </c>
    </row>
    <row r="43" ht="24.65" customHeight="1">
      <c r="A43" t="s" s="78">
        <v>1186</v>
      </c>
      <c r="B43" t="s" s="78">
        <v>1164</v>
      </c>
      <c r="C43" t="s" s="78">
        <v>210</v>
      </c>
      <c r="D43" t="s" s="78">
        <v>1182</v>
      </c>
      <c r="E43" t="s" s="78">
        <v>1187</v>
      </c>
      <c r="F43" t="s" s="78">
        <v>1058</v>
      </c>
      <c r="G43" t="s" s="78">
        <v>1058</v>
      </c>
      <c r="H43" t="s" s="78">
        <v>1058</v>
      </c>
      <c r="I43" s="80" cm="1">
        <f t="array" ref="I43">_xlfn.COUNTIFS('Datos - Temas'!$V$5:$V$1264,I$4,'Datos - Temas'!$K$5:$K$1264,$A43)+_xlfn.COUNTIFS('Datos - Temas'!$V$5:$V$1264,I$4,'Datos - Temas'!$L$5:$L$1264,$A43)</f>
        <v>3</v>
      </c>
      <c r="J43" s="80" cm="1">
        <f t="array" ref="J43">_xlfn.COUNTIFS('Datos - Temas'!$V$5:$V$1264,J$4,'Datos - Temas'!$K$5:$K$1264,$A43)+_xlfn.COUNTIFS('Datos - Temas'!$V$5:$V$1264,J$4,'Datos - Temas'!$L$5:$L$1264,$A43)</f>
        <v>0</v>
      </c>
      <c r="K43" s="80" cm="1">
        <f t="array" ref="K43">_xlfn.COUNTIFS('Datos - Temas'!$V$5:$V$1264,K$4,'Datos - Temas'!$K$5:$K$1264,$A43)+_xlfn.COUNTIFS('Datos - Temas'!$V$5:$V$1264,K$4,'Datos - Temas'!$L$5:$L$1264,$A43)</f>
        <v>2</v>
      </c>
      <c r="L43" s="80" cm="1">
        <f t="array" ref="L43">_xlfn.COUNTIFS('Datos - Temas'!$V$5:$V$1264,L$4,'Datos - Temas'!$K$5:$K$1264,$A43)+_xlfn.COUNTIFS('Datos - Temas'!$V$5:$V$1264,L$4,'Datos - Temas'!$L$5:$L$1264,$A43)</f>
        <v>0</v>
      </c>
      <c r="M43" t="s" s="78">
        <v>1058</v>
      </c>
      <c r="N43" t="s" s="78">
        <v>1058</v>
      </c>
      <c r="O43" s="80">
        <v>5</v>
      </c>
      <c r="P43" s="80" cm="1">
        <f t="array" ref="P43">_xlfn.COUNTIFS('Datos - Temas'!$K$5:$K$1264,$A43)</f>
        <v>4</v>
      </c>
      <c r="Q43" t="str" s="79" cm="1">
        <f t="array" ref="Q43">IF(O43&gt;0,"Sí","No")</f>
        <v>Sí</v>
      </c>
      <c r="R43" t="str" s="79" cm="1">
        <f t="array" ref="R43">IF(O43=0,"No cubierto",IF(O43=1,"Débil (1 tema)",IF(O43&lt;=3,"Básica (2–3)","Sólida (4+)")))</f>
        <v>Sólida (4+)</v>
      </c>
      <c r="S43" t="str" s="79" cm="1">
        <f t="array" ref="S43">_xlfn.IFERROR(INDEX($I$4:$L$4,MATCH(TRUE,INDEX(I43:L43&gt;0,0),0)),"—")</f>
        <v>5°</v>
      </c>
      <c r="T43" t="s" s="78">
        <v>1188</v>
      </c>
    </row>
    <row r="44" ht="35.65" customHeight="1">
      <c r="A44" t="s" s="78">
        <v>1189</v>
      </c>
      <c r="B44" t="s" s="78">
        <v>1164</v>
      </c>
      <c r="C44" t="s" s="78">
        <v>210</v>
      </c>
      <c r="D44" t="s" s="78">
        <v>1083</v>
      </c>
      <c r="E44" t="s" s="78">
        <v>1190</v>
      </c>
      <c r="F44" t="s" s="78">
        <v>1058</v>
      </c>
      <c r="G44" t="s" s="78">
        <v>1058</v>
      </c>
      <c r="H44" t="s" s="78">
        <v>1058</v>
      </c>
      <c r="I44" s="80" cm="1">
        <f t="array" ref="I44">_xlfn.COUNTIFS('Datos - Temas'!$V$5:$V$1264,I$4,'Datos - Temas'!$K$5:$K$1264,$A44)+_xlfn.COUNTIFS('Datos - Temas'!$V$5:$V$1264,I$4,'Datos - Temas'!$L$5:$L$1264,$A44)</f>
        <v>0</v>
      </c>
      <c r="J44" s="80" cm="1">
        <f t="array" ref="J44">_xlfn.COUNTIFS('Datos - Temas'!$V$5:$V$1264,J$4,'Datos - Temas'!$K$5:$K$1264,$A44)+_xlfn.COUNTIFS('Datos - Temas'!$V$5:$V$1264,J$4,'Datos - Temas'!$L$5:$L$1264,$A44)</f>
        <v>0</v>
      </c>
      <c r="K44" s="80" cm="1">
        <f t="array" ref="K44">_xlfn.COUNTIFS('Datos - Temas'!$V$5:$V$1264,K$4,'Datos - Temas'!$K$5:$K$1264,$A44)+_xlfn.COUNTIFS('Datos - Temas'!$V$5:$V$1264,K$4,'Datos - Temas'!$L$5:$L$1264,$A44)</f>
        <v>4</v>
      </c>
      <c r="L44" s="80" cm="1">
        <f t="array" ref="L44">_xlfn.COUNTIFS('Datos - Temas'!$V$5:$V$1264,L$4,'Datos - Temas'!$K$5:$K$1264,$A44)+_xlfn.COUNTIFS('Datos - Temas'!$V$5:$V$1264,L$4,'Datos - Temas'!$L$5:$L$1264,$A44)</f>
        <v>0</v>
      </c>
      <c r="M44" t="s" s="78">
        <v>1058</v>
      </c>
      <c r="N44" t="s" s="78">
        <v>1058</v>
      </c>
      <c r="O44" s="80">
        <v>4</v>
      </c>
      <c r="P44" s="80" cm="1">
        <f t="array" ref="P44">_xlfn.COUNTIFS('Datos - Temas'!$K$5:$K$1264,$A44)</f>
        <v>4</v>
      </c>
      <c r="Q44" t="str" s="79" cm="1">
        <f t="array" ref="Q44">IF(O44&gt;0,"Sí","No")</f>
        <v>Sí</v>
      </c>
      <c r="R44" t="str" s="79" cm="1">
        <f t="array" ref="R44">IF(O44=0,"No cubierto",IF(O44=1,"Débil (1 tema)",IF(O44&lt;=3,"Básica (2–3)","Sólida (4+)")))</f>
        <v>Sólida (4+)</v>
      </c>
      <c r="S44" t="str" s="79" cm="1">
        <f t="array" ref="S44">_xlfn.IFERROR(INDEX($I$4:$L$4,MATCH(TRUE,INDEX(I44:L44&gt;0,0),0)),"—")</f>
        <v>7°</v>
      </c>
      <c r="T44" t="s" s="78">
        <v>1192</v>
      </c>
    </row>
    <row r="45" ht="35.65" customHeight="1">
      <c r="A45" t="s" s="78">
        <v>459</v>
      </c>
      <c r="B45" t="s" s="78">
        <v>1164</v>
      </c>
      <c r="C45" t="s" s="78">
        <v>210</v>
      </c>
      <c r="D45" t="s" s="78">
        <v>1083</v>
      </c>
      <c r="E45" t="s" s="78">
        <v>1193</v>
      </c>
      <c r="F45" t="s" s="78">
        <v>1058</v>
      </c>
      <c r="G45" t="s" s="78">
        <v>1058</v>
      </c>
      <c r="H45" t="s" s="78">
        <v>1058</v>
      </c>
      <c r="I45" s="80" cm="1">
        <f t="array" ref="I45">_xlfn.COUNTIFS('Datos - Temas'!$V$5:$V$1264,I$4,'Datos - Temas'!$K$5:$K$1264,$A45)+_xlfn.COUNTIFS('Datos - Temas'!$V$5:$V$1264,I$4,'Datos - Temas'!$L$5:$L$1264,$A45)</f>
        <v>0</v>
      </c>
      <c r="J45" s="80" cm="1">
        <f t="array" ref="J45">_xlfn.COUNTIFS('Datos - Temas'!$V$5:$V$1264,J$4,'Datos - Temas'!$K$5:$K$1264,$A45)+_xlfn.COUNTIFS('Datos - Temas'!$V$5:$V$1264,J$4,'Datos - Temas'!$L$5:$L$1264,$A45)</f>
        <v>0</v>
      </c>
      <c r="K45" s="80" cm="1">
        <f t="array" ref="K45">_xlfn.COUNTIFS('Datos - Temas'!$V$5:$V$1264,K$4,'Datos - Temas'!$K$5:$K$1264,$A45)+_xlfn.COUNTIFS('Datos - Temas'!$V$5:$V$1264,K$4,'Datos - Temas'!$L$5:$L$1264,$A45)</f>
        <v>1</v>
      </c>
      <c r="L45" s="80" cm="1">
        <f t="array" ref="L45">_xlfn.COUNTIFS('Datos - Temas'!$V$5:$V$1264,L$4,'Datos - Temas'!$K$5:$K$1264,$A45)+_xlfn.COUNTIFS('Datos - Temas'!$V$5:$V$1264,L$4,'Datos - Temas'!$L$5:$L$1264,$A45)</f>
        <v>0</v>
      </c>
      <c r="M45" t="s" s="78">
        <v>1058</v>
      </c>
      <c r="N45" t="s" s="78">
        <v>1058</v>
      </c>
      <c r="O45" s="80">
        <v>1</v>
      </c>
      <c r="P45" s="80" cm="1">
        <f t="array" ref="P45">_xlfn.COUNTIFS('Datos - Temas'!$K$5:$K$1264,$A45)</f>
        <v>1</v>
      </c>
      <c r="Q45" t="str" s="79" cm="1">
        <f t="array" ref="Q45">IF(O45&gt;0,"Sí","No")</f>
        <v>Sí</v>
      </c>
      <c r="R45" t="str" s="79" cm="1">
        <f t="array" ref="R45">IF(O45=0,"No cubierto",IF(O45=1,"Débil (1 tema)",IF(O45&lt;=3,"Básica (2–3)","Sólida (4+)")))</f>
        <v>Débil (1 tema)</v>
      </c>
      <c r="S45" t="str" s="79" cm="1">
        <f t="array" ref="S45">_xlfn.IFERROR(INDEX($I$4:$L$4,MATCH(TRUE,INDEX(I45:L45&gt;0,0),0)),"—")</f>
        <v>7°</v>
      </c>
      <c r="T45" t="s" s="78">
        <v>1194</v>
      </c>
    </row>
    <row r="46" ht="35.65" customHeight="1">
      <c r="A46" t="s" s="78">
        <v>1195</v>
      </c>
      <c r="B46" t="s" s="78">
        <v>1164</v>
      </c>
      <c r="C46" t="s" s="78">
        <v>210</v>
      </c>
      <c r="D46" t="s" s="78">
        <v>1083</v>
      </c>
      <c r="E46" t="s" s="78">
        <v>1196</v>
      </c>
      <c r="F46" t="s" s="78">
        <v>1058</v>
      </c>
      <c r="G46" t="s" s="78">
        <v>1058</v>
      </c>
      <c r="H46" t="s" s="78">
        <v>1058</v>
      </c>
      <c r="I46" s="80" cm="1">
        <f t="array" ref="I46">_xlfn.COUNTIFS('Datos - Temas'!$V$5:$V$1264,I$4,'Datos - Temas'!$K$5:$K$1264,$A46)+_xlfn.COUNTIFS('Datos - Temas'!$V$5:$V$1264,I$4,'Datos - Temas'!$L$5:$L$1264,$A46)</f>
        <v>0</v>
      </c>
      <c r="J46" s="80" cm="1">
        <f t="array" ref="J46">_xlfn.COUNTIFS('Datos - Temas'!$V$5:$V$1264,J$4,'Datos - Temas'!$K$5:$K$1264,$A46)+_xlfn.COUNTIFS('Datos - Temas'!$V$5:$V$1264,J$4,'Datos - Temas'!$L$5:$L$1264,$A46)</f>
        <v>0</v>
      </c>
      <c r="K46" s="80" cm="1">
        <f t="array" ref="K46">_xlfn.COUNTIFS('Datos - Temas'!$V$5:$V$1264,K$4,'Datos - Temas'!$K$5:$K$1264,$A46)+_xlfn.COUNTIFS('Datos - Temas'!$V$5:$V$1264,K$4,'Datos - Temas'!$L$5:$L$1264,$A46)</f>
        <v>1</v>
      </c>
      <c r="L46" s="80" cm="1">
        <f t="array" ref="L46">_xlfn.COUNTIFS('Datos - Temas'!$V$5:$V$1264,L$4,'Datos - Temas'!$K$5:$K$1264,$A46)+_xlfn.COUNTIFS('Datos - Temas'!$V$5:$V$1264,L$4,'Datos - Temas'!$L$5:$L$1264,$A46)</f>
        <v>0</v>
      </c>
      <c r="M46" t="s" s="78">
        <v>1058</v>
      </c>
      <c r="N46" t="s" s="78">
        <v>1058</v>
      </c>
      <c r="O46" s="80">
        <v>1</v>
      </c>
      <c r="P46" s="80" cm="1">
        <f t="array" ref="P46">_xlfn.COUNTIFS('Datos - Temas'!$K$5:$K$1264,$A46)</f>
        <v>0</v>
      </c>
      <c r="Q46" t="str" s="79" cm="1">
        <f t="array" ref="Q46">IF(O46&gt;0,"Sí","No")</f>
        <v>Sí</v>
      </c>
      <c r="R46" t="str" s="79" cm="1">
        <f t="array" ref="R46">IF(O46=0,"No cubierto",IF(O46=1,"Débil (1 tema)",IF(O46&lt;=3,"Básica (2–3)","Sólida (4+)")))</f>
        <v>Débil (1 tema)</v>
      </c>
      <c r="S46" t="str" s="79" cm="1">
        <f t="array" ref="S46">_xlfn.IFERROR(INDEX($I$4:$L$4,MATCH(TRUE,INDEX(I46:L46&gt;0,0),0)),"—")</f>
        <v>7°</v>
      </c>
      <c r="T46" t="s" s="78">
        <v>1197</v>
      </c>
    </row>
    <row r="47" ht="13.65" customHeight="1">
      <c r="A47" t="s" s="78">
        <v>634</v>
      </c>
      <c r="B47" t="s" s="78">
        <v>1164</v>
      </c>
      <c r="C47" t="s" s="78">
        <v>210</v>
      </c>
      <c r="D47" t="s" s="78">
        <v>1083</v>
      </c>
      <c r="E47" t="s" s="78">
        <v>1087</v>
      </c>
      <c r="F47" t="s" s="78">
        <v>1058</v>
      </c>
      <c r="G47" t="s" s="78">
        <v>1058</v>
      </c>
      <c r="H47" t="s" s="78">
        <v>1058</v>
      </c>
      <c r="I47" s="80" cm="1">
        <f t="array" ref="I47">_xlfn.COUNTIFS('Datos - Temas'!$V$5:$V$1264,I$4,'Datos - Temas'!$K$5:$K$1264,$A47)+_xlfn.COUNTIFS('Datos - Temas'!$V$5:$V$1264,I$4,'Datos - Temas'!$L$5:$L$1264,$A47)</f>
        <v>0</v>
      </c>
      <c r="J47" s="80" cm="1">
        <f t="array" ref="J47">_xlfn.COUNTIFS('Datos - Temas'!$V$5:$V$1264,J$4,'Datos - Temas'!$K$5:$K$1264,$A47)+_xlfn.COUNTIFS('Datos - Temas'!$V$5:$V$1264,J$4,'Datos - Temas'!$L$5:$L$1264,$A47)</f>
        <v>0</v>
      </c>
      <c r="K47" s="80" cm="1">
        <f t="array" ref="K47">_xlfn.COUNTIFS('Datos - Temas'!$V$5:$V$1264,K$4,'Datos - Temas'!$K$5:$K$1264,$A47)+_xlfn.COUNTIFS('Datos - Temas'!$V$5:$V$1264,K$4,'Datos - Temas'!$L$5:$L$1264,$A47)</f>
        <v>3</v>
      </c>
      <c r="L47" s="80" cm="1">
        <f t="array" ref="L47">_xlfn.COUNTIFS('Datos - Temas'!$V$5:$V$1264,L$4,'Datos - Temas'!$K$5:$K$1264,$A47)+_xlfn.COUNTIFS('Datos - Temas'!$V$5:$V$1264,L$4,'Datos - Temas'!$L$5:$L$1264,$A47)</f>
        <v>0</v>
      </c>
      <c r="M47" t="s" s="78">
        <v>1058</v>
      </c>
      <c r="N47" t="s" s="78">
        <v>1058</v>
      </c>
      <c r="O47" s="80">
        <v>3</v>
      </c>
      <c r="P47" s="80" cm="1">
        <f t="array" ref="P47">_xlfn.COUNTIFS('Datos - Temas'!$K$5:$K$1264,$A47)</f>
        <v>4</v>
      </c>
      <c r="Q47" t="str" s="79" cm="1">
        <f t="array" ref="Q47">IF(O47&gt;0,"Sí","No")</f>
        <v>Sí</v>
      </c>
      <c r="R47" t="str" s="79" cm="1">
        <f t="array" ref="R47">IF(O47=0,"No cubierto",IF(O47=1,"Débil (1 tema)",IF(O47&lt;=3,"Básica (2–3)","Sólida (4+)")))</f>
        <v>Básica (2–3)</v>
      </c>
      <c r="S47" t="str" s="79" cm="1">
        <f t="array" ref="S47">_xlfn.IFERROR(INDEX($I$4:$L$4,MATCH(TRUE,INDEX(I47:L47&gt;0,0),0)),"—")</f>
        <v>7°</v>
      </c>
      <c r="T47" t="s" s="78">
        <v>1198</v>
      </c>
    </row>
    <row r="48" ht="35.65" customHeight="1">
      <c r="A48" t="s" s="78">
        <v>475</v>
      </c>
      <c r="B48" t="s" s="78">
        <v>1164</v>
      </c>
      <c r="C48" t="s" s="78">
        <v>210</v>
      </c>
      <c r="D48" t="s" s="78">
        <v>1083</v>
      </c>
      <c r="E48" t="s" s="78">
        <v>1199</v>
      </c>
      <c r="F48" t="s" s="78">
        <v>1058</v>
      </c>
      <c r="G48" t="s" s="78">
        <v>1058</v>
      </c>
      <c r="H48" t="s" s="78">
        <v>1058</v>
      </c>
      <c r="I48" s="80" cm="1">
        <f t="array" ref="I48">_xlfn.COUNTIFS('Datos - Temas'!$V$5:$V$1264,I$4,'Datos - Temas'!$K$5:$K$1264,$A48)+_xlfn.COUNTIFS('Datos - Temas'!$V$5:$V$1264,I$4,'Datos - Temas'!$L$5:$L$1264,$A48)</f>
        <v>0</v>
      </c>
      <c r="J48" s="80" cm="1">
        <f t="array" ref="J48">_xlfn.COUNTIFS('Datos - Temas'!$V$5:$V$1264,J$4,'Datos - Temas'!$K$5:$K$1264,$A48)+_xlfn.COUNTIFS('Datos - Temas'!$V$5:$V$1264,J$4,'Datos - Temas'!$L$5:$L$1264,$A48)</f>
        <v>1</v>
      </c>
      <c r="K48" s="80" cm="1">
        <f t="array" ref="K48">_xlfn.COUNTIFS('Datos - Temas'!$V$5:$V$1264,K$4,'Datos - Temas'!$K$5:$K$1264,$A48)+_xlfn.COUNTIFS('Datos - Temas'!$V$5:$V$1264,K$4,'Datos - Temas'!$L$5:$L$1264,$A48)</f>
        <v>3</v>
      </c>
      <c r="L48" s="80" cm="1">
        <f t="array" ref="L48">_xlfn.COUNTIFS('Datos - Temas'!$V$5:$V$1264,L$4,'Datos - Temas'!$K$5:$K$1264,$A48)+_xlfn.COUNTIFS('Datos - Temas'!$V$5:$V$1264,L$4,'Datos - Temas'!$L$5:$L$1264,$A48)</f>
        <v>0</v>
      </c>
      <c r="M48" t="s" s="78">
        <v>1058</v>
      </c>
      <c r="N48" t="s" s="78">
        <v>1058</v>
      </c>
      <c r="O48" s="80">
        <v>4</v>
      </c>
      <c r="P48" s="80" cm="1">
        <f t="array" ref="P48">_xlfn.COUNTIFS('Datos - Temas'!$K$5:$K$1264,$A48)</f>
        <v>4</v>
      </c>
      <c r="Q48" t="str" s="79" cm="1">
        <f t="array" ref="Q48">IF(O48&gt;0,"Sí","No")</f>
        <v>Sí</v>
      </c>
      <c r="R48" t="str" s="79" cm="1">
        <f t="array" ref="R48">IF(O48=0,"No cubierto",IF(O48=1,"Débil (1 tema)",IF(O48&lt;=3,"Básica (2–3)","Sólida (4+)")))</f>
        <v>Sólida (4+)</v>
      </c>
      <c r="S48" t="str" s="79" cm="1">
        <f t="array" ref="S48">_xlfn.IFERROR(INDEX($I$4:$L$4,MATCH(TRUE,INDEX(I48:L48&gt;0,0),0)),"—")</f>
        <v>6°</v>
      </c>
      <c r="T48" t="s" s="78">
        <v>1200</v>
      </c>
    </row>
    <row r="49" ht="35.65" customHeight="1">
      <c r="A49" t="s" s="78">
        <v>1201</v>
      </c>
      <c r="B49" t="s" s="78">
        <v>1164</v>
      </c>
      <c r="C49" t="s" s="78">
        <v>210</v>
      </c>
      <c r="D49" t="s" s="78">
        <v>1083</v>
      </c>
      <c r="E49" t="s" s="78">
        <v>1091</v>
      </c>
      <c r="F49" t="s" s="78">
        <v>1058</v>
      </c>
      <c r="G49" t="s" s="78">
        <v>1058</v>
      </c>
      <c r="H49" t="s" s="78">
        <v>1058</v>
      </c>
      <c r="I49" s="80" cm="1">
        <f t="array" ref="I49">_xlfn.COUNTIFS('Datos - Temas'!$V$5:$V$1264,I$4,'Datos - Temas'!$K$5:$K$1264,$A49)+_xlfn.COUNTIFS('Datos - Temas'!$V$5:$V$1264,I$4,'Datos - Temas'!$L$5:$L$1264,$A49)</f>
        <v>2</v>
      </c>
      <c r="J49" s="80" cm="1">
        <f t="array" ref="J49">_xlfn.COUNTIFS('Datos - Temas'!$V$5:$V$1264,J$4,'Datos - Temas'!$K$5:$K$1264,$A49)+_xlfn.COUNTIFS('Datos - Temas'!$V$5:$V$1264,J$4,'Datos - Temas'!$L$5:$L$1264,$A49)</f>
        <v>0</v>
      </c>
      <c r="K49" s="80" cm="1">
        <f t="array" ref="K49">_xlfn.COUNTIFS('Datos - Temas'!$V$5:$V$1264,K$4,'Datos - Temas'!$K$5:$K$1264,$A49)+_xlfn.COUNTIFS('Datos - Temas'!$V$5:$V$1264,K$4,'Datos - Temas'!$L$5:$L$1264,$A49)</f>
        <v>11</v>
      </c>
      <c r="L49" s="80" cm="1">
        <f t="array" ref="L49">_xlfn.COUNTIFS('Datos - Temas'!$V$5:$V$1264,L$4,'Datos - Temas'!$K$5:$K$1264,$A49)+_xlfn.COUNTIFS('Datos - Temas'!$V$5:$V$1264,L$4,'Datos - Temas'!$L$5:$L$1264,$A49)</f>
        <v>1</v>
      </c>
      <c r="M49" t="s" s="78">
        <v>1058</v>
      </c>
      <c r="N49" t="s" s="78">
        <v>1058</v>
      </c>
      <c r="O49" s="80">
        <v>14</v>
      </c>
      <c r="P49" s="80" cm="1">
        <f t="array" ref="P49">_xlfn.COUNTIFS('Datos - Temas'!$K$5:$K$1264,$A49)</f>
        <v>7</v>
      </c>
      <c r="Q49" t="str" s="79" cm="1">
        <f t="array" ref="Q49">IF(O49&gt;0,"Sí","No")</f>
        <v>Sí</v>
      </c>
      <c r="R49" t="str" s="79" cm="1">
        <f t="array" ref="R49">IF(O49=0,"No cubierto",IF(O49=1,"Débil (1 tema)",IF(O49&lt;=3,"Básica (2–3)","Sólida (4+)")))</f>
        <v>Sólida (4+)</v>
      </c>
      <c r="S49" t="str" s="79" cm="1">
        <f t="array" ref="S49">_xlfn.IFERROR(INDEX($I$4:$L$4,MATCH(TRUE,INDEX(I49:L49&gt;0,0),0)),"—")</f>
        <v>5°</v>
      </c>
      <c r="T49" t="s" s="78">
        <v>1202</v>
      </c>
    </row>
    <row r="50" ht="35.65" customHeight="1">
      <c r="A50" t="s" s="78">
        <v>454</v>
      </c>
      <c r="B50" t="s" s="78">
        <v>1164</v>
      </c>
      <c r="C50" t="s" s="78">
        <v>210</v>
      </c>
      <c r="D50" t="s" s="78">
        <v>1094</v>
      </c>
      <c r="E50" t="s" s="78">
        <v>1203</v>
      </c>
      <c r="F50" t="s" s="78">
        <v>1058</v>
      </c>
      <c r="G50" t="s" s="78">
        <v>1058</v>
      </c>
      <c r="H50" t="s" s="78">
        <v>1058</v>
      </c>
      <c r="I50" s="80" cm="1">
        <f t="array" ref="I50">_xlfn.COUNTIFS('Datos - Temas'!$V$5:$V$1264,I$4,'Datos - Temas'!$K$5:$K$1264,$A50)+_xlfn.COUNTIFS('Datos - Temas'!$V$5:$V$1264,I$4,'Datos - Temas'!$L$5:$L$1264,$A50)</f>
        <v>0</v>
      </c>
      <c r="J50" s="80" cm="1">
        <f t="array" ref="J50">_xlfn.COUNTIFS('Datos - Temas'!$V$5:$V$1264,J$4,'Datos - Temas'!$K$5:$K$1264,$A50)+_xlfn.COUNTIFS('Datos - Temas'!$V$5:$V$1264,J$4,'Datos - Temas'!$L$5:$L$1264,$A50)</f>
        <v>0</v>
      </c>
      <c r="K50" s="80" cm="1">
        <f t="array" ref="K50">_xlfn.COUNTIFS('Datos - Temas'!$V$5:$V$1264,K$4,'Datos - Temas'!$K$5:$K$1264,$A50)+_xlfn.COUNTIFS('Datos - Temas'!$V$5:$V$1264,K$4,'Datos - Temas'!$L$5:$L$1264,$A50)</f>
        <v>1</v>
      </c>
      <c r="L50" s="80" cm="1">
        <f t="array" ref="L50">_xlfn.COUNTIFS('Datos - Temas'!$V$5:$V$1264,L$4,'Datos - Temas'!$K$5:$K$1264,$A50)+_xlfn.COUNTIFS('Datos - Temas'!$V$5:$V$1264,L$4,'Datos - Temas'!$L$5:$L$1264,$A50)</f>
        <v>0</v>
      </c>
      <c r="M50" t="s" s="78">
        <v>1058</v>
      </c>
      <c r="N50" t="s" s="78">
        <v>1058</v>
      </c>
      <c r="O50" s="80">
        <v>1</v>
      </c>
      <c r="P50" s="80" cm="1">
        <f t="array" ref="P50">_xlfn.COUNTIFS('Datos - Temas'!$K$5:$K$1264,$A50)</f>
        <v>0</v>
      </c>
      <c r="Q50" t="str" s="79" cm="1">
        <f t="array" ref="Q50">IF(O50&gt;0,"Sí","No")</f>
        <v>Sí</v>
      </c>
      <c r="R50" t="str" s="79" cm="1">
        <f t="array" ref="R50">IF(O50=0,"No cubierto",IF(O50=1,"Débil (1 tema)",IF(O50&lt;=3,"Básica (2–3)","Sólida (4+)")))</f>
        <v>Débil (1 tema)</v>
      </c>
      <c r="S50" t="str" s="79" cm="1">
        <f t="array" ref="S50">_xlfn.IFERROR(INDEX($I$4:$L$4,MATCH(TRUE,INDEX(I50:L50&gt;0,0),0)),"—")</f>
        <v>7°</v>
      </c>
      <c r="T50" t="s" s="78">
        <v>1204</v>
      </c>
    </row>
    <row r="51" ht="35.65" customHeight="1">
      <c r="A51" t="s" s="78">
        <v>1205</v>
      </c>
      <c r="B51" t="s" s="78">
        <v>1164</v>
      </c>
      <c r="C51" t="s" s="78">
        <v>210</v>
      </c>
      <c r="D51" t="s" s="78">
        <v>1094</v>
      </c>
      <c r="E51" t="s" s="78">
        <v>1097</v>
      </c>
      <c r="F51" t="s" s="78">
        <v>1058</v>
      </c>
      <c r="G51" t="s" s="78">
        <v>1058</v>
      </c>
      <c r="H51" t="s" s="78">
        <v>1058</v>
      </c>
      <c r="I51" s="80" cm="1">
        <f t="array" ref="I51">_xlfn.COUNTIFS('Datos - Temas'!$V$5:$V$1264,I$4,'Datos - Temas'!$K$5:$K$1264,$A51)+_xlfn.COUNTIFS('Datos - Temas'!$V$5:$V$1264,I$4,'Datos - Temas'!$L$5:$L$1264,$A51)</f>
        <v>0</v>
      </c>
      <c r="J51" s="80" cm="1">
        <f t="array" ref="J51">_xlfn.COUNTIFS('Datos - Temas'!$V$5:$V$1264,J$4,'Datos - Temas'!$K$5:$K$1264,$A51)+_xlfn.COUNTIFS('Datos - Temas'!$V$5:$V$1264,J$4,'Datos - Temas'!$L$5:$L$1264,$A51)</f>
        <v>1</v>
      </c>
      <c r="K51" s="80" cm="1">
        <f t="array" ref="K51">_xlfn.COUNTIFS('Datos - Temas'!$V$5:$V$1264,K$4,'Datos - Temas'!$K$5:$K$1264,$A51)+_xlfn.COUNTIFS('Datos - Temas'!$V$5:$V$1264,K$4,'Datos - Temas'!$L$5:$L$1264,$A51)</f>
        <v>1</v>
      </c>
      <c r="L51" s="80" cm="1">
        <f t="array" ref="L51">_xlfn.COUNTIFS('Datos - Temas'!$V$5:$V$1264,L$4,'Datos - Temas'!$K$5:$K$1264,$A51)+_xlfn.COUNTIFS('Datos - Temas'!$V$5:$V$1264,L$4,'Datos - Temas'!$L$5:$L$1264,$A51)</f>
        <v>0</v>
      </c>
      <c r="M51" t="s" s="78">
        <v>1058</v>
      </c>
      <c r="N51" t="s" s="78">
        <v>1058</v>
      </c>
      <c r="O51" s="80">
        <v>2</v>
      </c>
      <c r="P51" s="80" cm="1">
        <f t="array" ref="P51">_xlfn.COUNTIFS('Datos - Temas'!$K$5:$K$1264,$A51)</f>
        <v>1</v>
      </c>
      <c r="Q51" t="str" s="79" cm="1">
        <f t="array" ref="Q51">IF(O51&gt;0,"Sí","No")</f>
        <v>Sí</v>
      </c>
      <c r="R51" t="str" s="79" cm="1">
        <f t="array" ref="R51">IF(O51=0,"No cubierto",IF(O51=1,"Débil (1 tema)",IF(O51&lt;=3,"Básica (2–3)","Sólida (4+)")))</f>
        <v>Básica (2–3)</v>
      </c>
      <c r="S51" t="str" s="79" cm="1">
        <f t="array" ref="S51">_xlfn.IFERROR(INDEX($I$4:$L$4,MATCH(TRUE,INDEX(I51:L51&gt;0,0),0)),"—")</f>
        <v>6°</v>
      </c>
      <c r="T51" t="s" s="78">
        <v>1206</v>
      </c>
    </row>
    <row r="52" ht="13.65" customHeight="1">
      <c r="A52" t="s" s="78">
        <v>1207</v>
      </c>
      <c r="B52" t="s" s="78">
        <v>1164</v>
      </c>
      <c r="C52" t="s" s="78">
        <v>210</v>
      </c>
      <c r="D52" t="s" s="78">
        <v>1100</v>
      </c>
      <c r="E52" t="s" s="78">
        <v>1101</v>
      </c>
      <c r="F52" t="s" s="78">
        <v>1058</v>
      </c>
      <c r="G52" t="s" s="78">
        <v>1058</v>
      </c>
      <c r="H52" t="s" s="78">
        <v>1058</v>
      </c>
      <c r="I52" s="80" cm="1">
        <f t="array" ref="I52">_xlfn.COUNTIFS('Datos - Temas'!$V$5:$V$1264,I$4,'Datos - Temas'!$K$5:$K$1264,$A52)+_xlfn.COUNTIFS('Datos - Temas'!$V$5:$V$1264,I$4,'Datos - Temas'!$L$5:$L$1264,$A52)</f>
        <v>0</v>
      </c>
      <c r="J52" s="80" cm="1">
        <f t="array" ref="J52">_xlfn.COUNTIFS('Datos - Temas'!$V$5:$V$1264,J$4,'Datos - Temas'!$K$5:$K$1264,$A52)+_xlfn.COUNTIFS('Datos - Temas'!$V$5:$V$1264,J$4,'Datos - Temas'!$L$5:$L$1264,$A52)</f>
        <v>4</v>
      </c>
      <c r="K52" s="80" cm="1">
        <f t="array" ref="K52">_xlfn.COUNTIFS('Datos - Temas'!$V$5:$V$1264,K$4,'Datos - Temas'!$K$5:$K$1264,$A52)+_xlfn.COUNTIFS('Datos - Temas'!$V$5:$V$1264,K$4,'Datos - Temas'!$L$5:$L$1264,$A52)</f>
        <v>4</v>
      </c>
      <c r="L52" s="80" cm="1">
        <f t="array" ref="L52">_xlfn.COUNTIFS('Datos - Temas'!$V$5:$V$1264,L$4,'Datos - Temas'!$K$5:$K$1264,$A52)+_xlfn.COUNTIFS('Datos - Temas'!$V$5:$V$1264,L$4,'Datos - Temas'!$L$5:$L$1264,$A52)</f>
        <v>6</v>
      </c>
      <c r="M52" t="s" s="78">
        <v>1058</v>
      </c>
      <c r="N52" t="s" s="78">
        <v>1058</v>
      </c>
      <c r="O52" s="80">
        <v>14</v>
      </c>
      <c r="P52" s="80" cm="1">
        <f t="array" ref="P52">_xlfn.COUNTIFS('Datos - Temas'!$K$5:$K$1264,$A52)</f>
        <v>3</v>
      </c>
      <c r="Q52" t="str" s="79" cm="1">
        <f t="array" ref="Q52">IF(O52&gt;0,"Sí","No")</f>
        <v>Sí</v>
      </c>
      <c r="R52" t="str" s="79" cm="1">
        <f t="array" ref="R52">IF(O52=0,"No cubierto",IF(O52=1,"Débil (1 tema)",IF(O52&lt;=3,"Básica (2–3)","Sólida (4+)")))</f>
        <v>Sólida (4+)</v>
      </c>
      <c r="S52" t="str" s="79" cm="1">
        <f t="array" ref="S52">_xlfn.IFERROR(INDEX($I$4:$L$4,MATCH(TRUE,INDEX(I52:L52&gt;0,0),0)),"—")</f>
        <v>6°</v>
      </c>
      <c r="T52" t="s" s="78">
        <v>1208</v>
      </c>
    </row>
    <row r="53" ht="13.65" customHeight="1">
      <c r="A53" t="s" s="78">
        <v>601</v>
      </c>
      <c r="B53" t="s" s="78">
        <v>1164</v>
      </c>
      <c r="C53" t="s" s="78">
        <v>220</v>
      </c>
      <c r="D53" t="s" s="78">
        <v>1209</v>
      </c>
      <c r="E53" t="s" s="78">
        <v>1210</v>
      </c>
      <c r="F53" t="s" s="78">
        <v>1058</v>
      </c>
      <c r="G53" t="s" s="78">
        <v>1058</v>
      </c>
      <c r="H53" t="s" s="78">
        <v>1058</v>
      </c>
      <c r="I53" s="80" cm="1">
        <f t="array" ref="I53">_xlfn.COUNTIFS('Datos - Temas'!$V$5:$V$1264,I$4,'Datos - Temas'!$K$5:$K$1264,$A53)+_xlfn.COUNTIFS('Datos - Temas'!$V$5:$V$1264,I$4,'Datos - Temas'!$L$5:$L$1264,$A53)</f>
        <v>14</v>
      </c>
      <c r="J53" s="80" cm="1">
        <f t="array" ref="J53">_xlfn.COUNTIFS('Datos - Temas'!$V$5:$V$1264,J$4,'Datos - Temas'!$K$5:$K$1264,$A53)+_xlfn.COUNTIFS('Datos - Temas'!$V$5:$V$1264,J$4,'Datos - Temas'!$L$5:$L$1264,$A53)</f>
        <v>6</v>
      </c>
      <c r="K53" s="80" cm="1">
        <f t="array" ref="K53">_xlfn.COUNTIFS('Datos - Temas'!$V$5:$V$1264,K$4,'Datos - Temas'!$K$5:$K$1264,$A53)+_xlfn.COUNTIFS('Datos - Temas'!$V$5:$V$1264,K$4,'Datos - Temas'!$L$5:$L$1264,$A53)</f>
        <v>0</v>
      </c>
      <c r="L53" s="80" cm="1">
        <f t="array" ref="L53">_xlfn.COUNTIFS('Datos - Temas'!$V$5:$V$1264,L$4,'Datos - Temas'!$K$5:$K$1264,$A53)+_xlfn.COUNTIFS('Datos - Temas'!$V$5:$V$1264,L$4,'Datos - Temas'!$L$5:$L$1264,$A53)</f>
        <v>4</v>
      </c>
      <c r="M53" t="s" s="78">
        <v>1058</v>
      </c>
      <c r="N53" t="s" s="78">
        <v>1058</v>
      </c>
      <c r="O53" s="80">
        <v>24</v>
      </c>
      <c r="P53" s="80" cm="1">
        <f t="array" ref="P53">_xlfn.COUNTIFS('Datos - Temas'!$K$5:$K$1264,$A53)</f>
        <v>24</v>
      </c>
      <c r="Q53" t="str" s="79" cm="1">
        <f t="array" ref="Q53">IF(O53&gt;0,"Sí","No")</f>
        <v>Sí</v>
      </c>
      <c r="R53" t="str" s="79" cm="1">
        <f t="array" ref="R53">IF(O53=0,"No cubierto",IF(O53=1,"Débil (1 tema)",IF(O53&lt;=3,"Básica (2–3)","Sólida (4+)")))</f>
        <v>Sólida (4+)</v>
      </c>
      <c r="S53" t="str" s="79" cm="1">
        <f t="array" ref="S53">_xlfn.IFERROR(INDEX($I$4:$L$4,MATCH(TRUE,INDEX(I53:L53&gt;0,0),0)),"—")</f>
        <v>5°</v>
      </c>
      <c r="T53" t="s" s="78">
        <v>1211</v>
      </c>
    </row>
    <row r="54" ht="13.65" customHeight="1">
      <c r="A54" t="s" s="78">
        <v>1212</v>
      </c>
      <c r="B54" t="s" s="78">
        <v>1164</v>
      </c>
      <c r="C54" t="s" s="78">
        <v>220</v>
      </c>
      <c r="D54" t="s" s="78">
        <v>1209</v>
      </c>
      <c r="E54" t="s" s="78">
        <v>1213</v>
      </c>
      <c r="F54" t="s" s="78">
        <v>1058</v>
      </c>
      <c r="G54" t="s" s="78">
        <v>1058</v>
      </c>
      <c r="H54" t="s" s="78">
        <v>1058</v>
      </c>
      <c r="I54" s="80" cm="1">
        <f t="array" ref="I54">_xlfn.COUNTIFS('Datos - Temas'!$V$5:$V$1264,I$4,'Datos - Temas'!$K$5:$K$1264,$A54)+_xlfn.COUNTIFS('Datos - Temas'!$V$5:$V$1264,I$4,'Datos - Temas'!$L$5:$L$1264,$A54)</f>
        <v>1</v>
      </c>
      <c r="J54" s="80" cm="1">
        <f t="array" ref="J54">_xlfn.COUNTIFS('Datos - Temas'!$V$5:$V$1264,J$4,'Datos - Temas'!$K$5:$K$1264,$A54)+_xlfn.COUNTIFS('Datos - Temas'!$V$5:$V$1264,J$4,'Datos - Temas'!$L$5:$L$1264,$A54)</f>
        <v>0</v>
      </c>
      <c r="K54" s="80" cm="1">
        <f t="array" ref="K54">_xlfn.COUNTIFS('Datos - Temas'!$V$5:$V$1264,K$4,'Datos - Temas'!$K$5:$K$1264,$A54)+_xlfn.COUNTIFS('Datos - Temas'!$V$5:$V$1264,K$4,'Datos - Temas'!$L$5:$L$1264,$A54)</f>
        <v>4</v>
      </c>
      <c r="L54" s="80" cm="1">
        <f t="array" ref="L54">_xlfn.COUNTIFS('Datos - Temas'!$V$5:$V$1264,L$4,'Datos - Temas'!$K$5:$K$1264,$A54)+_xlfn.COUNTIFS('Datos - Temas'!$V$5:$V$1264,L$4,'Datos - Temas'!$L$5:$L$1264,$A54)</f>
        <v>4</v>
      </c>
      <c r="M54" t="s" s="78">
        <v>1058</v>
      </c>
      <c r="N54" t="s" s="78">
        <v>1058</v>
      </c>
      <c r="O54" s="80">
        <v>9</v>
      </c>
      <c r="P54" s="80" cm="1">
        <f t="array" ref="P54">_xlfn.COUNTIFS('Datos - Temas'!$K$5:$K$1264,$A54)</f>
        <v>7</v>
      </c>
      <c r="Q54" t="str" s="79" cm="1">
        <f t="array" ref="Q54">IF(O54&gt;0,"Sí","No")</f>
        <v>Sí</v>
      </c>
      <c r="R54" t="str" s="79" cm="1">
        <f t="array" ref="R54">IF(O54=0,"No cubierto",IF(O54=1,"Débil (1 tema)",IF(O54&lt;=3,"Básica (2–3)","Sólida (4+)")))</f>
        <v>Sólida (4+)</v>
      </c>
      <c r="S54" t="str" s="79" cm="1">
        <f t="array" ref="S54">_xlfn.IFERROR(INDEX($I$4:$L$4,MATCH(TRUE,INDEX(I54:L54&gt;0,0),0)),"—")</f>
        <v>5°</v>
      </c>
      <c r="T54" t="s" s="78">
        <v>1214</v>
      </c>
    </row>
    <row r="55" ht="13.65" customHeight="1">
      <c r="A55" t="s" s="78">
        <v>1215</v>
      </c>
      <c r="B55" t="s" s="78">
        <v>1164</v>
      </c>
      <c r="C55" t="s" s="78">
        <v>220</v>
      </c>
      <c r="D55" t="s" s="78">
        <v>1209</v>
      </c>
      <c r="E55" t="s" s="78">
        <v>1216</v>
      </c>
      <c r="F55" t="s" s="78">
        <v>1058</v>
      </c>
      <c r="G55" t="s" s="78">
        <v>1058</v>
      </c>
      <c r="H55" t="s" s="78">
        <v>1058</v>
      </c>
      <c r="I55" s="80" cm="1">
        <f t="array" ref="I55">_xlfn.COUNTIFS('Datos - Temas'!$V$5:$V$1264,I$4,'Datos - Temas'!$K$5:$K$1264,$A55)+_xlfn.COUNTIFS('Datos - Temas'!$V$5:$V$1264,I$4,'Datos - Temas'!$L$5:$L$1264,$A55)</f>
        <v>6</v>
      </c>
      <c r="J55" s="80" cm="1">
        <f t="array" ref="J55">_xlfn.COUNTIFS('Datos - Temas'!$V$5:$V$1264,J$4,'Datos - Temas'!$K$5:$K$1264,$A55)+_xlfn.COUNTIFS('Datos - Temas'!$V$5:$V$1264,J$4,'Datos - Temas'!$L$5:$L$1264,$A55)</f>
        <v>0</v>
      </c>
      <c r="K55" s="80" cm="1">
        <f t="array" ref="K55">_xlfn.COUNTIFS('Datos - Temas'!$V$5:$V$1264,K$4,'Datos - Temas'!$K$5:$K$1264,$A55)+_xlfn.COUNTIFS('Datos - Temas'!$V$5:$V$1264,K$4,'Datos - Temas'!$L$5:$L$1264,$A55)</f>
        <v>0</v>
      </c>
      <c r="L55" s="80" cm="1">
        <f t="array" ref="L55">_xlfn.COUNTIFS('Datos - Temas'!$V$5:$V$1264,L$4,'Datos - Temas'!$K$5:$K$1264,$A55)+_xlfn.COUNTIFS('Datos - Temas'!$V$5:$V$1264,L$4,'Datos - Temas'!$L$5:$L$1264,$A55)</f>
        <v>0</v>
      </c>
      <c r="M55" t="s" s="78">
        <v>1058</v>
      </c>
      <c r="N55" t="s" s="78">
        <v>1058</v>
      </c>
      <c r="O55" s="80">
        <v>6</v>
      </c>
      <c r="P55" s="80" cm="1">
        <f t="array" ref="P55">_xlfn.COUNTIFS('Datos - Temas'!$K$5:$K$1264,$A55)</f>
        <v>4</v>
      </c>
      <c r="Q55" t="str" s="79" cm="1">
        <f t="array" ref="Q55">IF(O55&gt;0,"Sí","No")</f>
        <v>Sí</v>
      </c>
      <c r="R55" t="str" s="79" cm="1">
        <f t="array" ref="R55">IF(O55=0,"No cubierto",IF(O55=1,"Débil (1 tema)",IF(O55&lt;=3,"Básica (2–3)","Sólida (4+)")))</f>
        <v>Sólida (4+)</v>
      </c>
      <c r="S55" t="str" s="79" cm="1">
        <f t="array" ref="S55">_xlfn.IFERROR(INDEX($I$4:$L$4,MATCH(TRUE,INDEX(I55:L55&gt;0,0),0)),"—")</f>
        <v>5°</v>
      </c>
      <c r="T55" t="s" s="78">
        <v>1217</v>
      </c>
    </row>
    <row r="56" ht="13.65" customHeight="1">
      <c r="A56" t="s" s="78">
        <v>1218</v>
      </c>
      <c r="B56" t="s" s="78">
        <v>1164</v>
      </c>
      <c r="C56" t="s" s="78">
        <v>220</v>
      </c>
      <c r="D56" t="s" s="78">
        <v>1219</v>
      </c>
      <c r="E56" t="s" s="78">
        <v>1220</v>
      </c>
      <c r="F56" t="s" s="78">
        <v>1058</v>
      </c>
      <c r="G56" t="s" s="78">
        <v>1058</v>
      </c>
      <c r="H56" t="s" s="78">
        <v>1058</v>
      </c>
      <c r="I56" s="80" cm="1">
        <f t="array" ref="I56">_xlfn.COUNTIFS('Datos - Temas'!$V$5:$V$1264,I$4,'Datos - Temas'!$K$5:$K$1264,$A56)+_xlfn.COUNTIFS('Datos - Temas'!$V$5:$V$1264,I$4,'Datos - Temas'!$L$5:$L$1264,$A56)</f>
        <v>1</v>
      </c>
      <c r="J56" s="80" cm="1">
        <f t="array" ref="J56">_xlfn.COUNTIFS('Datos - Temas'!$V$5:$V$1264,J$4,'Datos - Temas'!$K$5:$K$1264,$A56)+_xlfn.COUNTIFS('Datos - Temas'!$V$5:$V$1264,J$4,'Datos - Temas'!$L$5:$L$1264,$A56)</f>
        <v>2</v>
      </c>
      <c r="K56" s="80" cm="1">
        <f t="array" ref="K56">_xlfn.COUNTIFS('Datos - Temas'!$V$5:$V$1264,K$4,'Datos - Temas'!$K$5:$K$1264,$A56)+_xlfn.COUNTIFS('Datos - Temas'!$V$5:$V$1264,K$4,'Datos - Temas'!$L$5:$L$1264,$A56)</f>
        <v>0</v>
      </c>
      <c r="L56" s="80" cm="1">
        <f t="array" ref="L56">_xlfn.COUNTIFS('Datos - Temas'!$V$5:$V$1264,L$4,'Datos - Temas'!$K$5:$K$1264,$A56)+_xlfn.COUNTIFS('Datos - Temas'!$V$5:$V$1264,L$4,'Datos - Temas'!$L$5:$L$1264,$A56)</f>
        <v>2</v>
      </c>
      <c r="M56" t="s" s="78">
        <v>1058</v>
      </c>
      <c r="N56" t="s" s="78">
        <v>1058</v>
      </c>
      <c r="O56" s="80">
        <v>5</v>
      </c>
      <c r="P56" s="80" cm="1">
        <f t="array" ref="P56">_xlfn.COUNTIFS('Datos - Temas'!$K$5:$K$1264,$A56)</f>
        <v>3</v>
      </c>
      <c r="Q56" t="str" s="79" cm="1">
        <f t="array" ref="Q56">IF(O56&gt;0,"Sí","No")</f>
        <v>Sí</v>
      </c>
      <c r="R56" t="str" s="79" cm="1">
        <f t="array" ref="R56">IF(O56=0,"No cubierto",IF(O56=1,"Débil (1 tema)",IF(O56&lt;=3,"Básica (2–3)","Sólida (4+)")))</f>
        <v>Sólida (4+)</v>
      </c>
      <c r="S56" t="str" s="79" cm="1">
        <f t="array" ref="S56">_xlfn.IFERROR(INDEX($I$4:$L$4,MATCH(TRUE,INDEX(I56:L56&gt;0,0),0)),"—")</f>
        <v>5°</v>
      </c>
      <c r="T56" t="s" s="78">
        <v>1221</v>
      </c>
    </row>
    <row r="57" ht="13.65" customHeight="1">
      <c r="A57" t="s" s="78">
        <v>615</v>
      </c>
      <c r="B57" t="s" s="78">
        <v>1164</v>
      </c>
      <c r="C57" t="s" s="78">
        <v>220</v>
      </c>
      <c r="D57" t="s" s="78">
        <v>1219</v>
      </c>
      <c r="E57" t="s" s="78">
        <v>1222</v>
      </c>
      <c r="F57" t="s" s="78">
        <v>1058</v>
      </c>
      <c r="G57" t="s" s="78">
        <v>1058</v>
      </c>
      <c r="H57" t="s" s="78">
        <v>1058</v>
      </c>
      <c r="I57" s="80" cm="1">
        <f t="array" ref="I57">_xlfn.COUNTIFS('Datos - Temas'!$V$5:$V$1264,I$4,'Datos - Temas'!$K$5:$K$1264,$A57)+_xlfn.COUNTIFS('Datos - Temas'!$V$5:$V$1264,I$4,'Datos - Temas'!$L$5:$L$1264,$A57)</f>
        <v>0</v>
      </c>
      <c r="J57" s="80" cm="1">
        <f t="array" ref="J57">_xlfn.COUNTIFS('Datos - Temas'!$V$5:$V$1264,J$4,'Datos - Temas'!$K$5:$K$1264,$A57)+_xlfn.COUNTIFS('Datos - Temas'!$V$5:$V$1264,J$4,'Datos - Temas'!$L$5:$L$1264,$A57)</f>
        <v>1</v>
      </c>
      <c r="K57" s="80" cm="1">
        <f t="array" ref="K57">_xlfn.COUNTIFS('Datos - Temas'!$V$5:$V$1264,K$4,'Datos - Temas'!$K$5:$K$1264,$A57)+_xlfn.COUNTIFS('Datos - Temas'!$V$5:$V$1264,K$4,'Datos - Temas'!$L$5:$L$1264,$A57)</f>
        <v>0</v>
      </c>
      <c r="L57" s="80" cm="1">
        <f t="array" ref="L57">_xlfn.COUNTIFS('Datos - Temas'!$V$5:$V$1264,L$4,'Datos - Temas'!$K$5:$K$1264,$A57)+_xlfn.COUNTIFS('Datos - Temas'!$V$5:$V$1264,L$4,'Datos - Temas'!$L$5:$L$1264,$A57)</f>
        <v>15</v>
      </c>
      <c r="M57" t="s" s="78">
        <v>1058</v>
      </c>
      <c r="N57" t="s" s="78">
        <v>1058</v>
      </c>
      <c r="O57" s="80">
        <v>16</v>
      </c>
      <c r="P57" s="80" cm="1">
        <f t="array" ref="P57">_xlfn.COUNTIFS('Datos - Temas'!$K$5:$K$1264,$A57)</f>
        <v>13</v>
      </c>
      <c r="Q57" t="str" s="79" cm="1">
        <f t="array" ref="Q57">IF(O57&gt;0,"Sí","No")</f>
        <v>Sí</v>
      </c>
      <c r="R57" t="str" s="79" cm="1">
        <f t="array" ref="R57">IF(O57=0,"No cubierto",IF(O57=1,"Débil (1 tema)",IF(O57&lt;=3,"Básica (2–3)","Sólida (4+)")))</f>
        <v>Sólida (4+)</v>
      </c>
      <c r="S57" t="str" s="79" cm="1">
        <f t="array" ref="S57">_xlfn.IFERROR(INDEX($I$4:$L$4,MATCH(TRUE,INDEX(I57:L57&gt;0,0),0)),"—")</f>
        <v>6°</v>
      </c>
      <c r="T57" t="s" s="78">
        <v>1223</v>
      </c>
    </row>
    <row r="58" ht="13.65" customHeight="1">
      <c r="A58" t="s" s="78">
        <v>1224</v>
      </c>
      <c r="B58" t="s" s="78">
        <v>1164</v>
      </c>
      <c r="C58" t="s" s="78">
        <v>220</v>
      </c>
      <c r="D58" t="s" s="78">
        <v>1219</v>
      </c>
      <c r="E58" t="s" s="78">
        <v>1225</v>
      </c>
      <c r="F58" t="s" s="78">
        <v>1058</v>
      </c>
      <c r="G58" t="s" s="78">
        <v>1058</v>
      </c>
      <c r="H58" t="s" s="78">
        <v>1058</v>
      </c>
      <c r="I58" s="80" cm="1">
        <f t="array" ref="I58">_xlfn.COUNTIFS('Datos - Temas'!$V$5:$V$1264,I$4,'Datos - Temas'!$K$5:$K$1264,$A58)+_xlfn.COUNTIFS('Datos - Temas'!$V$5:$V$1264,I$4,'Datos - Temas'!$L$5:$L$1264,$A58)</f>
        <v>0</v>
      </c>
      <c r="J58" s="80" cm="1">
        <f t="array" ref="J58">_xlfn.COUNTIFS('Datos - Temas'!$V$5:$V$1264,J$4,'Datos - Temas'!$K$5:$K$1264,$A58)+_xlfn.COUNTIFS('Datos - Temas'!$V$5:$V$1264,J$4,'Datos - Temas'!$L$5:$L$1264,$A58)</f>
        <v>0</v>
      </c>
      <c r="K58" s="80" cm="1">
        <f t="array" ref="K58">_xlfn.COUNTIFS('Datos - Temas'!$V$5:$V$1264,K$4,'Datos - Temas'!$K$5:$K$1264,$A58)+_xlfn.COUNTIFS('Datos - Temas'!$V$5:$V$1264,K$4,'Datos - Temas'!$L$5:$L$1264,$A58)</f>
        <v>2</v>
      </c>
      <c r="L58" s="80" cm="1">
        <f t="array" ref="L58">_xlfn.COUNTIFS('Datos - Temas'!$V$5:$V$1264,L$4,'Datos - Temas'!$K$5:$K$1264,$A58)+_xlfn.COUNTIFS('Datos - Temas'!$V$5:$V$1264,L$4,'Datos - Temas'!$L$5:$L$1264,$A58)</f>
        <v>0</v>
      </c>
      <c r="M58" t="s" s="78">
        <v>1058</v>
      </c>
      <c r="N58" t="s" s="78">
        <v>1058</v>
      </c>
      <c r="O58" s="80">
        <v>2</v>
      </c>
      <c r="P58" s="80" cm="1">
        <f t="array" ref="P58">_xlfn.COUNTIFS('Datos - Temas'!$K$5:$K$1264,$A58)</f>
        <v>15</v>
      </c>
      <c r="Q58" t="str" s="79" cm="1">
        <f t="array" ref="Q58">IF(O58&gt;0,"Sí","No")</f>
        <v>Sí</v>
      </c>
      <c r="R58" t="str" s="79" cm="1">
        <f t="array" ref="R58">IF(O58=0,"No cubierto",IF(O58=1,"Débil (1 tema)",IF(O58&lt;=3,"Básica (2–3)","Sólida (4+)")))</f>
        <v>Básica (2–3)</v>
      </c>
      <c r="S58" t="str" s="79" cm="1">
        <f t="array" ref="S58">_xlfn.IFERROR(INDEX($I$4:$L$4,MATCH(TRUE,INDEX(I58:L58&gt;0,0),0)),"—")</f>
        <v>7°</v>
      </c>
      <c r="T58" t="s" s="78">
        <v>1226</v>
      </c>
    </row>
    <row r="59" ht="13.65" customHeight="1">
      <c r="A59" t="s" s="78">
        <v>1227</v>
      </c>
      <c r="B59" t="s" s="78">
        <v>1164</v>
      </c>
      <c r="C59" t="s" s="78">
        <v>220</v>
      </c>
      <c r="D59" t="s" s="78">
        <v>1228</v>
      </c>
      <c r="E59" t="s" s="78">
        <v>1229</v>
      </c>
      <c r="F59" t="s" s="78">
        <v>1058</v>
      </c>
      <c r="G59" t="s" s="78">
        <v>1058</v>
      </c>
      <c r="H59" t="s" s="78">
        <v>1058</v>
      </c>
      <c r="I59" s="80" cm="1">
        <f t="array" ref="I59">_xlfn.COUNTIFS('Datos - Temas'!$V$5:$V$1264,I$4,'Datos - Temas'!$K$5:$K$1264,$A59)+_xlfn.COUNTIFS('Datos - Temas'!$V$5:$V$1264,I$4,'Datos - Temas'!$L$5:$L$1264,$A59)</f>
        <v>1</v>
      </c>
      <c r="J59" s="80" cm="1">
        <f t="array" ref="J59">_xlfn.COUNTIFS('Datos - Temas'!$V$5:$V$1264,J$4,'Datos - Temas'!$K$5:$K$1264,$A59)+_xlfn.COUNTIFS('Datos - Temas'!$V$5:$V$1264,J$4,'Datos - Temas'!$L$5:$L$1264,$A59)</f>
        <v>2</v>
      </c>
      <c r="K59" s="80" cm="1">
        <f t="array" ref="K59">_xlfn.COUNTIFS('Datos - Temas'!$V$5:$V$1264,K$4,'Datos - Temas'!$K$5:$K$1264,$A59)+_xlfn.COUNTIFS('Datos - Temas'!$V$5:$V$1264,K$4,'Datos - Temas'!$L$5:$L$1264,$A59)</f>
        <v>0</v>
      </c>
      <c r="L59" s="80" cm="1">
        <f t="array" ref="L59">_xlfn.COUNTIFS('Datos - Temas'!$V$5:$V$1264,L$4,'Datos - Temas'!$K$5:$K$1264,$A59)+_xlfn.COUNTIFS('Datos - Temas'!$V$5:$V$1264,L$4,'Datos - Temas'!$L$5:$L$1264,$A59)</f>
        <v>0</v>
      </c>
      <c r="M59" t="s" s="78">
        <v>1058</v>
      </c>
      <c r="N59" t="s" s="78">
        <v>1058</v>
      </c>
      <c r="O59" s="80">
        <v>3</v>
      </c>
      <c r="P59" s="80" cm="1">
        <f t="array" ref="P59">_xlfn.COUNTIFS('Datos - Temas'!$K$5:$K$1264,$A59)</f>
        <v>3</v>
      </c>
      <c r="Q59" t="str" s="79" cm="1">
        <f t="array" ref="Q59">IF(O59&gt;0,"Sí","No")</f>
        <v>Sí</v>
      </c>
      <c r="R59" t="str" s="79" cm="1">
        <f t="array" ref="R59">IF(O59=0,"No cubierto",IF(O59=1,"Débil (1 tema)",IF(O59&lt;=3,"Básica (2–3)","Sólida (4+)")))</f>
        <v>Básica (2–3)</v>
      </c>
      <c r="S59" t="str" s="79" cm="1">
        <f t="array" ref="S59">_xlfn.IFERROR(INDEX($I$4:$L$4,MATCH(TRUE,INDEX(I59:L59&gt;0,0),0)),"—")</f>
        <v>5°</v>
      </c>
      <c r="T59" t="s" s="78">
        <v>1230</v>
      </c>
    </row>
    <row r="60" ht="13.65" customHeight="1">
      <c r="A60" t="s" s="78">
        <v>1231</v>
      </c>
      <c r="B60" t="s" s="78">
        <v>1164</v>
      </c>
      <c r="C60" t="s" s="78">
        <v>220</v>
      </c>
      <c r="D60" t="s" s="78">
        <v>1228</v>
      </c>
      <c r="E60" t="s" s="78">
        <v>1232</v>
      </c>
      <c r="F60" t="s" s="78">
        <v>1058</v>
      </c>
      <c r="G60" t="s" s="78">
        <v>1058</v>
      </c>
      <c r="H60" t="s" s="78">
        <v>1058</v>
      </c>
      <c r="I60" s="80" cm="1">
        <f t="array" ref="I60">_xlfn.COUNTIFS('Datos - Temas'!$V$5:$V$1264,I$4,'Datos - Temas'!$K$5:$K$1264,$A60)+_xlfn.COUNTIFS('Datos - Temas'!$V$5:$V$1264,I$4,'Datos - Temas'!$L$5:$L$1264,$A60)</f>
        <v>0</v>
      </c>
      <c r="J60" s="80" cm="1">
        <f t="array" ref="J60">_xlfn.COUNTIFS('Datos - Temas'!$V$5:$V$1264,J$4,'Datos - Temas'!$K$5:$K$1264,$A60)+_xlfn.COUNTIFS('Datos - Temas'!$V$5:$V$1264,J$4,'Datos - Temas'!$L$5:$L$1264,$A60)</f>
        <v>2</v>
      </c>
      <c r="K60" s="80" cm="1">
        <f t="array" ref="K60">_xlfn.COUNTIFS('Datos - Temas'!$V$5:$V$1264,K$4,'Datos - Temas'!$K$5:$K$1264,$A60)+_xlfn.COUNTIFS('Datos - Temas'!$V$5:$V$1264,K$4,'Datos - Temas'!$L$5:$L$1264,$A60)</f>
        <v>4</v>
      </c>
      <c r="L60" s="80" cm="1">
        <f t="array" ref="L60">_xlfn.COUNTIFS('Datos - Temas'!$V$5:$V$1264,L$4,'Datos - Temas'!$K$5:$K$1264,$A60)+_xlfn.COUNTIFS('Datos - Temas'!$V$5:$V$1264,L$4,'Datos - Temas'!$L$5:$L$1264,$A60)</f>
        <v>2</v>
      </c>
      <c r="M60" t="s" s="78">
        <v>1058</v>
      </c>
      <c r="N60" t="s" s="78">
        <v>1058</v>
      </c>
      <c r="O60" s="80">
        <v>8</v>
      </c>
      <c r="P60" s="80" cm="1">
        <f t="array" ref="P60">_xlfn.COUNTIFS('Datos - Temas'!$K$5:$K$1264,$A60)</f>
        <v>14</v>
      </c>
      <c r="Q60" t="str" s="79" cm="1">
        <f t="array" ref="Q60">IF(O60&gt;0,"Sí","No")</f>
        <v>Sí</v>
      </c>
      <c r="R60" t="str" s="79" cm="1">
        <f t="array" ref="R60">IF(O60=0,"No cubierto",IF(O60=1,"Débil (1 tema)",IF(O60&lt;=3,"Básica (2–3)","Sólida (4+)")))</f>
        <v>Sólida (4+)</v>
      </c>
      <c r="S60" t="str" s="79" cm="1">
        <f t="array" ref="S60">_xlfn.IFERROR(INDEX($I$4:$L$4,MATCH(TRUE,INDEX(I60:L60&gt;0,0),0)),"—")</f>
        <v>6°</v>
      </c>
      <c r="T60" t="s" s="78">
        <v>1233</v>
      </c>
    </row>
    <row r="61" ht="13.65" customHeight="1">
      <c r="A61" t="s" s="78">
        <v>1234</v>
      </c>
      <c r="B61" t="s" s="78">
        <v>1164</v>
      </c>
      <c r="C61" t="s" s="78">
        <v>220</v>
      </c>
      <c r="D61" t="s" s="78">
        <v>1235</v>
      </c>
      <c r="E61" t="s" s="78">
        <v>1236</v>
      </c>
      <c r="F61" t="s" s="78">
        <v>1058</v>
      </c>
      <c r="G61" t="s" s="78">
        <v>1058</v>
      </c>
      <c r="H61" t="s" s="78">
        <v>1058</v>
      </c>
      <c r="I61" s="80" cm="1">
        <f t="array" ref="I61">_xlfn.COUNTIFS('Datos - Temas'!$V$5:$V$1264,I$4,'Datos - Temas'!$K$5:$K$1264,$A61)+_xlfn.COUNTIFS('Datos - Temas'!$V$5:$V$1264,I$4,'Datos - Temas'!$L$5:$L$1264,$A61)</f>
        <v>0</v>
      </c>
      <c r="J61" s="80" cm="1">
        <f t="array" ref="J61">_xlfn.COUNTIFS('Datos - Temas'!$V$5:$V$1264,J$4,'Datos - Temas'!$K$5:$K$1264,$A61)+_xlfn.COUNTIFS('Datos - Temas'!$V$5:$V$1264,J$4,'Datos - Temas'!$L$5:$L$1264,$A61)</f>
        <v>0</v>
      </c>
      <c r="K61" s="80" cm="1">
        <f t="array" ref="K61">_xlfn.COUNTIFS('Datos - Temas'!$V$5:$V$1264,K$4,'Datos - Temas'!$K$5:$K$1264,$A61)+_xlfn.COUNTIFS('Datos - Temas'!$V$5:$V$1264,K$4,'Datos - Temas'!$L$5:$L$1264,$A61)</f>
        <v>1</v>
      </c>
      <c r="L61" s="80" cm="1">
        <f t="array" ref="L61">_xlfn.COUNTIFS('Datos - Temas'!$V$5:$V$1264,L$4,'Datos - Temas'!$K$5:$K$1264,$A61)+_xlfn.COUNTIFS('Datos - Temas'!$V$5:$V$1264,L$4,'Datos - Temas'!$L$5:$L$1264,$A61)</f>
        <v>1</v>
      </c>
      <c r="M61" t="s" s="78">
        <v>1058</v>
      </c>
      <c r="N61" t="s" s="78">
        <v>1058</v>
      </c>
      <c r="O61" s="80">
        <v>2</v>
      </c>
      <c r="P61" s="80" cm="1">
        <f t="array" ref="P61">_xlfn.COUNTIFS('Datos - Temas'!$K$5:$K$1264,$A61)</f>
        <v>0</v>
      </c>
      <c r="Q61" t="str" s="79" cm="1">
        <f t="array" ref="Q61">IF(O61&gt;0,"Sí","No")</f>
        <v>Sí</v>
      </c>
      <c r="R61" t="str" s="79" cm="1">
        <f t="array" ref="R61">IF(O61=0,"No cubierto",IF(O61=1,"Débil (1 tema)",IF(O61&lt;=3,"Básica (2–3)","Sólida (4+)")))</f>
        <v>Básica (2–3)</v>
      </c>
      <c r="S61" t="str" s="79" cm="1">
        <f t="array" ref="S61">_xlfn.IFERROR(INDEX($I$4:$L$4,MATCH(TRUE,INDEX(I61:L61&gt;0,0),0)),"—")</f>
        <v>7°</v>
      </c>
      <c r="T61" t="s" s="78">
        <v>1237</v>
      </c>
    </row>
    <row r="62" ht="24.65" customHeight="1">
      <c r="A62" t="s" s="78">
        <v>554</v>
      </c>
      <c r="B62" t="s" s="78">
        <v>1164</v>
      </c>
      <c r="C62" t="s" s="78">
        <v>222</v>
      </c>
      <c r="D62" t="s" s="78">
        <v>1238</v>
      </c>
      <c r="E62" t="s" s="78">
        <v>1239</v>
      </c>
      <c r="F62" t="s" s="78">
        <v>1058</v>
      </c>
      <c r="G62" t="s" s="78">
        <v>1058</v>
      </c>
      <c r="H62" t="s" s="78">
        <v>1058</v>
      </c>
      <c r="I62" s="80" cm="1">
        <f t="array" ref="I62">_xlfn.COUNTIFS('Datos - Temas'!$V$5:$V$1264,I$4,'Datos - Temas'!$K$5:$K$1264,$A62)+_xlfn.COUNTIFS('Datos - Temas'!$V$5:$V$1264,I$4,'Datos - Temas'!$L$5:$L$1264,$A62)</f>
        <v>0</v>
      </c>
      <c r="J62" s="80" cm="1">
        <f t="array" ref="J62">_xlfn.COUNTIFS('Datos - Temas'!$V$5:$V$1264,J$4,'Datos - Temas'!$K$5:$K$1264,$A62)+_xlfn.COUNTIFS('Datos - Temas'!$V$5:$V$1264,J$4,'Datos - Temas'!$L$5:$L$1264,$A62)</f>
        <v>7</v>
      </c>
      <c r="K62" s="80" cm="1">
        <f t="array" ref="K62">_xlfn.COUNTIFS('Datos - Temas'!$V$5:$V$1264,K$4,'Datos - Temas'!$K$5:$K$1264,$A62)+_xlfn.COUNTIFS('Datos - Temas'!$V$5:$V$1264,K$4,'Datos - Temas'!$L$5:$L$1264,$A62)</f>
        <v>0</v>
      </c>
      <c r="L62" s="80" cm="1">
        <f t="array" ref="L62">_xlfn.COUNTIFS('Datos - Temas'!$V$5:$V$1264,L$4,'Datos - Temas'!$K$5:$K$1264,$A62)+_xlfn.COUNTIFS('Datos - Temas'!$V$5:$V$1264,L$4,'Datos - Temas'!$L$5:$L$1264,$A62)</f>
        <v>1</v>
      </c>
      <c r="M62" t="s" s="78">
        <v>1058</v>
      </c>
      <c r="N62" t="s" s="78">
        <v>1058</v>
      </c>
      <c r="O62" s="80">
        <v>8</v>
      </c>
      <c r="P62" s="80" cm="1">
        <f t="array" ref="P62">_xlfn.COUNTIFS('Datos - Temas'!$K$5:$K$1264,$A62)</f>
        <v>9</v>
      </c>
      <c r="Q62" t="str" s="79" cm="1">
        <f t="array" ref="Q62">IF(O62&gt;0,"Sí","No")</f>
        <v>Sí</v>
      </c>
      <c r="R62" t="str" s="79" cm="1">
        <f t="array" ref="R62">IF(O62=0,"No cubierto",IF(O62=1,"Débil (1 tema)",IF(O62&lt;=3,"Básica (2–3)","Sólida (4+)")))</f>
        <v>Sólida (4+)</v>
      </c>
      <c r="S62" t="str" s="79" cm="1">
        <f t="array" ref="S62">_xlfn.IFERROR(INDEX($I$4:$L$4,MATCH(TRUE,INDEX(I62:L62&gt;0,0),0)),"—")</f>
        <v>6°</v>
      </c>
      <c r="T62" t="s" s="78">
        <v>1240</v>
      </c>
    </row>
    <row r="63" ht="24.65" customHeight="1">
      <c r="A63" t="s" s="78">
        <v>1241</v>
      </c>
      <c r="B63" t="s" s="78">
        <v>1164</v>
      </c>
      <c r="C63" t="s" s="78">
        <v>222</v>
      </c>
      <c r="D63" t="s" s="78">
        <v>1238</v>
      </c>
      <c r="E63" t="s" s="78">
        <v>1242</v>
      </c>
      <c r="F63" t="s" s="78">
        <v>1058</v>
      </c>
      <c r="G63" t="s" s="78">
        <v>1058</v>
      </c>
      <c r="H63" t="s" s="78">
        <v>1058</v>
      </c>
      <c r="I63" s="80" cm="1">
        <f t="array" ref="I63">_xlfn.COUNTIFS('Datos - Temas'!$V$5:$V$1264,I$4,'Datos - Temas'!$K$5:$K$1264,$A63)+_xlfn.COUNTIFS('Datos - Temas'!$V$5:$V$1264,I$4,'Datos - Temas'!$L$5:$L$1264,$A63)</f>
        <v>0</v>
      </c>
      <c r="J63" s="80" cm="1">
        <f t="array" ref="J63">_xlfn.COUNTIFS('Datos - Temas'!$V$5:$V$1264,J$4,'Datos - Temas'!$K$5:$K$1264,$A63)+_xlfn.COUNTIFS('Datos - Temas'!$V$5:$V$1264,J$4,'Datos - Temas'!$L$5:$L$1264,$A63)</f>
        <v>2</v>
      </c>
      <c r="K63" s="80" cm="1">
        <f t="array" ref="K63">_xlfn.COUNTIFS('Datos - Temas'!$V$5:$V$1264,K$4,'Datos - Temas'!$K$5:$K$1264,$A63)+_xlfn.COUNTIFS('Datos - Temas'!$V$5:$V$1264,K$4,'Datos - Temas'!$L$5:$L$1264,$A63)</f>
        <v>0</v>
      </c>
      <c r="L63" s="80" cm="1">
        <f t="array" ref="L63">_xlfn.COUNTIFS('Datos - Temas'!$V$5:$V$1264,L$4,'Datos - Temas'!$K$5:$K$1264,$A63)+_xlfn.COUNTIFS('Datos - Temas'!$V$5:$V$1264,L$4,'Datos - Temas'!$L$5:$L$1264,$A63)</f>
        <v>2</v>
      </c>
      <c r="M63" t="s" s="78">
        <v>1058</v>
      </c>
      <c r="N63" t="s" s="78">
        <v>1058</v>
      </c>
      <c r="O63" s="80">
        <v>4</v>
      </c>
      <c r="P63" s="80" cm="1">
        <f t="array" ref="P63">_xlfn.COUNTIFS('Datos - Temas'!$K$5:$K$1264,$A63)</f>
        <v>4</v>
      </c>
      <c r="Q63" t="str" s="79" cm="1">
        <f t="array" ref="Q63">IF(O63&gt;0,"Sí","No")</f>
        <v>Sí</v>
      </c>
      <c r="R63" t="str" s="79" cm="1">
        <f t="array" ref="R63">IF(O63=0,"No cubierto",IF(O63=1,"Débil (1 tema)",IF(O63&lt;=3,"Básica (2–3)","Sólida (4+)")))</f>
        <v>Sólida (4+)</v>
      </c>
      <c r="S63" t="str" s="79" cm="1">
        <f t="array" ref="S63">_xlfn.IFERROR(INDEX($I$4:$L$4,MATCH(TRUE,INDEX(I63:L63&gt;0,0),0)),"—")</f>
        <v>6°</v>
      </c>
      <c r="T63" t="s" s="78">
        <v>1243</v>
      </c>
    </row>
    <row r="64" ht="24.65" customHeight="1">
      <c r="A64" t="s" s="78">
        <v>575</v>
      </c>
      <c r="B64" t="s" s="78">
        <v>1164</v>
      </c>
      <c r="C64" t="s" s="78">
        <v>222</v>
      </c>
      <c r="D64" t="s" s="78">
        <v>1244</v>
      </c>
      <c r="E64" t="s" s="78">
        <v>1245</v>
      </c>
      <c r="F64" t="s" s="78">
        <v>1058</v>
      </c>
      <c r="G64" t="s" s="78">
        <v>1058</v>
      </c>
      <c r="H64" t="s" s="78">
        <v>1058</v>
      </c>
      <c r="I64" s="80" cm="1">
        <f t="array" ref="I64">_xlfn.COUNTIFS('Datos - Temas'!$V$5:$V$1264,I$4,'Datos - Temas'!$K$5:$K$1264,$A64)+_xlfn.COUNTIFS('Datos - Temas'!$V$5:$V$1264,I$4,'Datos - Temas'!$L$5:$L$1264,$A64)</f>
        <v>4</v>
      </c>
      <c r="J64" s="80" cm="1">
        <f t="array" ref="J64">_xlfn.COUNTIFS('Datos - Temas'!$V$5:$V$1264,J$4,'Datos - Temas'!$K$5:$K$1264,$A64)+_xlfn.COUNTIFS('Datos - Temas'!$V$5:$V$1264,J$4,'Datos - Temas'!$L$5:$L$1264,$A64)</f>
        <v>0</v>
      </c>
      <c r="K64" s="80" cm="1">
        <f t="array" ref="K64">_xlfn.COUNTIFS('Datos - Temas'!$V$5:$V$1264,K$4,'Datos - Temas'!$K$5:$K$1264,$A64)+_xlfn.COUNTIFS('Datos - Temas'!$V$5:$V$1264,K$4,'Datos - Temas'!$L$5:$L$1264,$A64)</f>
        <v>4</v>
      </c>
      <c r="L64" s="80" cm="1">
        <f t="array" ref="L64">_xlfn.COUNTIFS('Datos - Temas'!$V$5:$V$1264,L$4,'Datos - Temas'!$K$5:$K$1264,$A64)+_xlfn.COUNTIFS('Datos - Temas'!$V$5:$V$1264,L$4,'Datos - Temas'!$L$5:$L$1264,$A64)</f>
        <v>13</v>
      </c>
      <c r="M64" t="s" s="78">
        <v>1058</v>
      </c>
      <c r="N64" t="s" s="78">
        <v>1058</v>
      </c>
      <c r="O64" s="80">
        <v>21</v>
      </c>
      <c r="P64" s="80" cm="1">
        <f t="array" ref="P64">_xlfn.COUNTIFS('Datos - Temas'!$K$5:$K$1264,$A64)</f>
        <v>22</v>
      </c>
      <c r="Q64" t="str" s="79" cm="1">
        <f t="array" ref="Q64">IF(O64&gt;0,"Sí","No")</f>
        <v>Sí</v>
      </c>
      <c r="R64" t="str" s="79" cm="1">
        <f t="array" ref="R64">IF(O64=0,"No cubierto",IF(O64=1,"Débil (1 tema)",IF(O64&lt;=3,"Básica (2–3)","Sólida (4+)")))</f>
        <v>Sólida (4+)</v>
      </c>
      <c r="S64" t="str" s="79" cm="1">
        <f t="array" ref="S64">_xlfn.IFERROR(INDEX($I$4:$L$4,MATCH(TRUE,INDEX(I64:L64&gt;0,0),0)),"—")</f>
        <v>5°</v>
      </c>
      <c r="T64" t="s" s="78">
        <v>1246</v>
      </c>
    </row>
    <row r="65" ht="35.65" customHeight="1">
      <c r="A65" t="s" s="78">
        <v>1247</v>
      </c>
      <c r="B65" t="s" s="78">
        <v>1164</v>
      </c>
      <c r="C65" t="s" s="78">
        <v>222</v>
      </c>
      <c r="D65" t="s" s="78">
        <v>1244</v>
      </c>
      <c r="E65" t="s" s="78">
        <v>1248</v>
      </c>
      <c r="F65" t="s" s="78">
        <v>1058</v>
      </c>
      <c r="G65" t="s" s="78">
        <v>1058</v>
      </c>
      <c r="H65" t="s" s="78">
        <v>1058</v>
      </c>
      <c r="I65" s="80" cm="1">
        <f t="array" ref="I65">_xlfn.COUNTIFS('Datos - Temas'!$V$5:$V$1264,I$4,'Datos - Temas'!$K$5:$K$1264,$A65)+_xlfn.COUNTIFS('Datos - Temas'!$V$5:$V$1264,I$4,'Datos - Temas'!$L$5:$L$1264,$A65)</f>
        <v>0</v>
      </c>
      <c r="J65" s="80" cm="1">
        <f t="array" ref="J65">_xlfn.COUNTIFS('Datos - Temas'!$V$5:$V$1264,J$4,'Datos - Temas'!$K$5:$K$1264,$A65)+_xlfn.COUNTIFS('Datos - Temas'!$V$5:$V$1264,J$4,'Datos - Temas'!$L$5:$L$1264,$A65)</f>
        <v>2</v>
      </c>
      <c r="K65" s="80" cm="1">
        <f t="array" ref="K65">_xlfn.COUNTIFS('Datos - Temas'!$V$5:$V$1264,K$4,'Datos - Temas'!$K$5:$K$1264,$A65)+_xlfn.COUNTIFS('Datos - Temas'!$V$5:$V$1264,K$4,'Datos - Temas'!$L$5:$L$1264,$A65)</f>
        <v>0</v>
      </c>
      <c r="L65" s="80" cm="1">
        <f t="array" ref="L65">_xlfn.COUNTIFS('Datos - Temas'!$V$5:$V$1264,L$4,'Datos - Temas'!$K$5:$K$1264,$A65)+_xlfn.COUNTIFS('Datos - Temas'!$V$5:$V$1264,L$4,'Datos - Temas'!$L$5:$L$1264,$A65)</f>
        <v>0</v>
      </c>
      <c r="M65" t="s" s="78">
        <v>1058</v>
      </c>
      <c r="N65" t="s" s="78">
        <v>1058</v>
      </c>
      <c r="O65" s="80">
        <v>2</v>
      </c>
      <c r="P65" s="80" cm="1">
        <f t="array" ref="P65">_xlfn.COUNTIFS('Datos - Temas'!$K$5:$K$1264,$A65)</f>
        <v>4</v>
      </c>
      <c r="Q65" t="str" s="79" cm="1">
        <f t="array" ref="Q65">IF(O65&gt;0,"Sí","No")</f>
        <v>Sí</v>
      </c>
      <c r="R65" t="str" s="79" cm="1">
        <f t="array" ref="R65">IF(O65=0,"No cubierto",IF(O65=1,"Débil (1 tema)",IF(O65&lt;=3,"Básica (2–3)","Sólida (4+)")))</f>
        <v>Básica (2–3)</v>
      </c>
      <c r="S65" t="str" s="79" cm="1">
        <f t="array" ref="S65">_xlfn.IFERROR(INDEX($I$4:$L$4,MATCH(TRUE,INDEX(I65:L65&gt;0,0),0)),"—")</f>
        <v>6°</v>
      </c>
      <c r="T65" t="s" s="78">
        <v>1249</v>
      </c>
    </row>
    <row r="66" ht="35.65" customHeight="1">
      <c r="A66" t="s" s="78">
        <v>1250</v>
      </c>
      <c r="B66" t="s" s="78">
        <v>1164</v>
      </c>
      <c r="C66" t="s" s="78">
        <v>222</v>
      </c>
      <c r="D66" t="s" s="78">
        <v>1120</v>
      </c>
      <c r="E66" t="s" s="78">
        <v>1251</v>
      </c>
      <c r="F66" t="s" s="78">
        <v>1058</v>
      </c>
      <c r="G66" t="s" s="78">
        <v>1058</v>
      </c>
      <c r="H66" t="s" s="78">
        <v>1058</v>
      </c>
      <c r="I66" s="80" cm="1">
        <f t="array" ref="I66">_xlfn.COUNTIFS('Datos - Temas'!$V$5:$V$1264,I$4,'Datos - Temas'!$K$5:$K$1264,$A66)+_xlfn.COUNTIFS('Datos - Temas'!$V$5:$V$1264,I$4,'Datos - Temas'!$L$5:$L$1264,$A66)</f>
        <v>0</v>
      </c>
      <c r="J66" s="80" cm="1">
        <f t="array" ref="J66">_xlfn.COUNTIFS('Datos - Temas'!$V$5:$V$1264,J$4,'Datos - Temas'!$K$5:$K$1264,$A66)+_xlfn.COUNTIFS('Datos - Temas'!$V$5:$V$1264,J$4,'Datos - Temas'!$L$5:$L$1264,$A66)</f>
        <v>0</v>
      </c>
      <c r="K66" s="80" cm="1">
        <f t="array" ref="K66">_xlfn.COUNTIFS('Datos - Temas'!$V$5:$V$1264,K$4,'Datos - Temas'!$K$5:$K$1264,$A66)+_xlfn.COUNTIFS('Datos - Temas'!$V$5:$V$1264,K$4,'Datos - Temas'!$L$5:$L$1264,$A66)</f>
        <v>0</v>
      </c>
      <c r="L66" s="80" cm="1">
        <f t="array" ref="L66">_xlfn.COUNTIFS('Datos - Temas'!$V$5:$V$1264,L$4,'Datos - Temas'!$K$5:$K$1264,$A66)+_xlfn.COUNTIFS('Datos - Temas'!$V$5:$V$1264,L$4,'Datos - Temas'!$L$5:$L$1264,$A66)</f>
        <v>0</v>
      </c>
      <c r="M66" t="s" s="78">
        <v>1058</v>
      </c>
      <c r="N66" t="s" s="78">
        <v>1058</v>
      </c>
      <c r="O66" s="80">
        <v>0</v>
      </c>
      <c r="P66" s="80" cm="1">
        <f t="array" ref="P66">_xlfn.COUNTIFS('Datos - Temas'!$K$5:$K$1264,$A66)</f>
        <v>0</v>
      </c>
      <c r="Q66" t="str" s="79" cm="1">
        <f t="array" ref="Q66">IF(O66&gt;0,"Sí","No")</f>
        <v>No</v>
      </c>
      <c r="R66" t="str" s="79" cm="1">
        <f t="array" ref="R66">IF(O66=0,"No cubierto",IF(O66=1,"Débil (1 tema)",IF(O66&lt;=3,"Básica (2–3)","Sólida (4+)")))</f>
        <v>No cubierto</v>
      </c>
      <c r="S66" t="str" s="79" cm="1">
        <f t="array" ref="S66">_xlfn.IFERROR(INDEX($I$4:$L$4,MATCH(TRUE,INDEX(I66:L66&gt;0,0),0)),"—")</f>
        <v>—</v>
      </c>
      <c r="T66" t="s" s="78">
        <v>1252</v>
      </c>
    </row>
    <row r="67" ht="13.65" customHeight="1">
      <c r="A67" t="s" s="78">
        <v>540</v>
      </c>
      <c r="B67" t="s" s="78">
        <v>1164</v>
      </c>
      <c r="C67" t="s" s="78">
        <v>222</v>
      </c>
      <c r="D67" t="s" s="78">
        <v>1120</v>
      </c>
      <c r="E67" t="s" s="78">
        <v>1253</v>
      </c>
      <c r="F67" t="s" s="78">
        <v>1058</v>
      </c>
      <c r="G67" t="s" s="78">
        <v>1058</v>
      </c>
      <c r="H67" t="s" s="78">
        <v>1058</v>
      </c>
      <c r="I67" s="80" cm="1">
        <f t="array" ref="I67">_xlfn.COUNTIFS('Datos - Temas'!$V$5:$V$1264,I$4,'Datos - Temas'!$K$5:$K$1264,$A67)+_xlfn.COUNTIFS('Datos - Temas'!$V$5:$V$1264,I$4,'Datos - Temas'!$L$5:$L$1264,$A67)</f>
        <v>0</v>
      </c>
      <c r="J67" s="80" cm="1">
        <f t="array" ref="J67">_xlfn.COUNTIFS('Datos - Temas'!$V$5:$V$1264,J$4,'Datos - Temas'!$K$5:$K$1264,$A67)+_xlfn.COUNTIFS('Datos - Temas'!$V$5:$V$1264,J$4,'Datos - Temas'!$L$5:$L$1264,$A67)</f>
        <v>0</v>
      </c>
      <c r="K67" s="80" cm="1">
        <f t="array" ref="K67">_xlfn.COUNTIFS('Datos - Temas'!$V$5:$V$1264,K$4,'Datos - Temas'!$K$5:$K$1264,$A67)+_xlfn.COUNTIFS('Datos - Temas'!$V$5:$V$1264,K$4,'Datos - Temas'!$L$5:$L$1264,$A67)</f>
        <v>0</v>
      </c>
      <c r="L67" s="80" cm="1">
        <f t="array" ref="L67">_xlfn.COUNTIFS('Datos - Temas'!$V$5:$V$1264,L$4,'Datos - Temas'!$K$5:$K$1264,$A67)+_xlfn.COUNTIFS('Datos - Temas'!$V$5:$V$1264,L$4,'Datos - Temas'!$L$5:$L$1264,$A67)</f>
        <v>6</v>
      </c>
      <c r="M67" t="s" s="78">
        <v>1058</v>
      </c>
      <c r="N67" t="s" s="78">
        <v>1058</v>
      </c>
      <c r="O67" s="80">
        <v>6</v>
      </c>
      <c r="P67" s="80" cm="1">
        <f t="array" ref="P67">_xlfn.COUNTIFS('Datos - Temas'!$K$5:$K$1264,$A67)</f>
        <v>6</v>
      </c>
      <c r="Q67" t="str" s="79" cm="1">
        <f t="array" ref="Q67">IF(O67&gt;0,"Sí","No")</f>
        <v>Sí</v>
      </c>
      <c r="R67" t="str" s="79" cm="1">
        <f t="array" ref="R67">IF(O67=0,"No cubierto",IF(O67=1,"Débil (1 tema)",IF(O67&lt;=3,"Básica (2–3)","Sólida (4+)")))</f>
        <v>Sólida (4+)</v>
      </c>
      <c r="S67" t="str" s="79" cm="1">
        <f t="array" ref="S67">_xlfn.IFERROR(INDEX($I$4:$L$4,MATCH(TRUE,INDEX(I67:L67&gt;0,0),0)),"—")</f>
        <v>8°</v>
      </c>
      <c r="T67" t="s" s="78">
        <v>1255</v>
      </c>
    </row>
    <row r="68" ht="13.65" customHeight="1">
      <c r="A68" t="s" s="78">
        <v>1256</v>
      </c>
      <c r="B68" t="s" s="78">
        <v>1164</v>
      </c>
      <c r="C68" t="s" s="78">
        <v>222</v>
      </c>
      <c r="D68" t="s" s="78">
        <v>1018</v>
      </c>
      <c r="E68" t="s" s="78">
        <v>1257</v>
      </c>
      <c r="F68" t="s" s="78">
        <v>1058</v>
      </c>
      <c r="G68" t="s" s="78">
        <v>1058</v>
      </c>
      <c r="H68" t="s" s="78">
        <v>1058</v>
      </c>
      <c r="I68" s="80" cm="1">
        <f t="array" ref="I68">_xlfn.COUNTIFS('Datos - Temas'!$V$5:$V$1264,I$4,'Datos - Temas'!$K$5:$K$1264,$A68)+_xlfn.COUNTIFS('Datos - Temas'!$V$5:$V$1264,I$4,'Datos - Temas'!$L$5:$L$1264,$A68)</f>
        <v>0</v>
      </c>
      <c r="J68" s="80" cm="1">
        <f t="array" ref="J68">_xlfn.COUNTIFS('Datos - Temas'!$V$5:$V$1264,J$4,'Datos - Temas'!$K$5:$K$1264,$A68)+_xlfn.COUNTIFS('Datos - Temas'!$V$5:$V$1264,J$4,'Datos - Temas'!$L$5:$L$1264,$A68)</f>
        <v>7</v>
      </c>
      <c r="K68" s="80" cm="1">
        <f t="array" ref="K68">_xlfn.COUNTIFS('Datos - Temas'!$V$5:$V$1264,K$4,'Datos - Temas'!$K$5:$K$1264,$A68)+_xlfn.COUNTIFS('Datos - Temas'!$V$5:$V$1264,K$4,'Datos - Temas'!$L$5:$L$1264,$A68)</f>
        <v>0</v>
      </c>
      <c r="L68" s="80" cm="1">
        <f t="array" ref="L68">_xlfn.COUNTIFS('Datos - Temas'!$V$5:$V$1264,L$4,'Datos - Temas'!$K$5:$K$1264,$A68)+_xlfn.COUNTIFS('Datos - Temas'!$V$5:$V$1264,L$4,'Datos - Temas'!$L$5:$L$1264,$A68)</f>
        <v>0</v>
      </c>
      <c r="M68" t="s" s="78">
        <v>1058</v>
      </c>
      <c r="N68" t="s" s="78">
        <v>1058</v>
      </c>
      <c r="O68" s="80">
        <v>7</v>
      </c>
      <c r="P68" s="80" cm="1">
        <f t="array" ref="P68">_xlfn.COUNTIFS('Datos - Temas'!$K$5:$K$1264,$A68)</f>
        <v>12</v>
      </c>
      <c r="Q68" t="str" s="79" cm="1">
        <f t="array" ref="Q68">IF(O68&gt;0,"Sí","No")</f>
        <v>Sí</v>
      </c>
      <c r="R68" t="str" s="79" cm="1">
        <f t="array" ref="R68">IF(O68=0,"No cubierto",IF(O68=1,"Débil (1 tema)",IF(O68&lt;=3,"Básica (2–3)","Sólida (4+)")))</f>
        <v>Sólida (4+)</v>
      </c>
      <c r="S68" t="str" s="79" cm="1">
        <f t="array" ref="S68">_xlfn.IFERROR(INDEX($I$4:$L$4,MATCH(TRUE,INDEX(I68:L68&gt;0,0),0)),"—")</f>
        <v>6°</v>
      </c>
      <c r="T68" t="s" s="78">
        <v>1258</v>
      </c>
    </row>
    <row r="69" ht="13.65" customHeight="1">
      <c r="A69" t="s" s="78">
        <v>1259</v>
      </c>
      <c r="B69" t="s" s="78">
        <v>1164</v>
      </c>
      <c r="C69" t="s" s="78">
        <v>222</v>
      </c>
      <c r="D69" t="s" s="78">
        <v>1018</v>
      </c>
      <c r="E69" t="s" s="78">
        <v>1260</v>
      </c>
      <c r="F69" t="s" s="78">
        <v>1058</v>
      </c>
      <c r="G69" t="s" s="78">
        <v>1058</v>
      </c>
      <c r="H69" t="s" s="78">
        <v>1058</v>
      </c>
      <c r="I69" s="80" cm="1">
        <f t="array" ref="I69">_xlfn.COUNTIFS('Datos - Temas'!$V$5:$V$1264,I$4,'Datos - Temas'!$K$5:$K$1264,$A69)+_xlfn.COUNTIFS('Datos - Temas'!$V$5:$V$1264,I$4,'Datos - Temas'!$L$5:$L$1264,$A69)</f>
        <v>1</v>
      </c>
      <c r="J69" s="80" cm="1">
        <f t="array" ref="J69">_xlfn.COUNTIFS('Datos - Temas'!$V$5:$V$1264,J$4,'Datos - Temas'!$K$5:$K$1264,$A69)+_xlfn.COUNTIFS('Datos - Temas'!$V$5:$V$1264,J$4,'Datos - Temas'!$L$5:$L$1264,$A69)</f>
        <v>2</v>
      </c>
      <c r="K69" s="80" cm="1">
        <f t="array" ref="K69">_xlfn.COUNTIFS('Datos - Temas'!$V$5:$V$1264,K$4,'Datos - Temas'!$K$5:$K$1264,$A69)+_xlfn.COUNTIFS('Datos - Temas'!$V$5:$V$1264,K$4,'Datos - Temas'!$L$5:$L$1264,$A69)</f>
        <v>0</v>
      </c>
      <c r="L69" s="80" cm="1">
        <f t="array" ref="L69">_xlfn.COUNTIFS('Datos - Temas'!$V$5:$V$1264,L$4,'Datos - Temas'!$K$5:$K$1264,$A69)+_xlfn.COUNTIFS('Datos - Temas'!$V$5:$V$1264,L$4,'Datos - Temas'!$L$5:$L$1264,$A69)</f>
        <v>0</v>
      </c>
      <c r="M69" t="s" s="78">
        <v>1058</v>
      </c>
      <c r="N69" t="s" s="78">
        <v>1058</v>
      </c>
      <c r="O69" s="80">
        <v>3</v>
      </c>
      <c r="P69" s="80" cm="1">
        <f t="array" ref="P69">_xlfn.COUNTIFS('Datos - Temas'!$K$5:$K$1264,$A69)</f>
        <v>9</v>
      </c>
      <c r="Q69" t="str" s="79" cm="1">
        <f t="array" ref="Q69">IF(O69&gt;0,"Sí","No")</f>
        <v>Sí</v>
      </c>
      <c r="R69" t="str" s="79" cm="1">
        <f t="array" ref="R69">IF(O69=0,"No cubierto",IF(O69=1,"Débil (1 tema)",IF(O69&lt;=3,"Básica (2–3)","Sólida (4+)")))</f>
        <v>Básica (2–3)</v>
      </c>
      <c r="S69" t="str" s="79" cm="1">
        <f t="array" ref="S69">_xlfn.IFERROR(INDEX($I$4:$L$4,MATCH(TRUE,INDEX(I69:L69&gt;0,0),0)),"—")</f>
        <v>5°</v>
      </c>
      <c r="T69" t="s" s="78">
        <v>1261</v>
      </c>
    </row>
    <row r="70" ht="13.65" customHeight="1">
      <c r="A70" t="s" s="78">
        <v>1262</v>
      </c>
      <c r="B70" t="s" s="78">
        <v>1164</v>
      </c>
      <c r="C70" t="s" s="78">
        <v>222</v>
      </c>
      <c r="D70" t="s" s="78">
        <v>1129</v>
      </c>
      <c r="E70" t="s" s="78">
        <v>1263</v>
      </c>
      <c r="F70" t="s" s="78">
        <v>1058</v>
      </c>
      <c r="G70" t="s" s="78">
        <v>1058</v>
      </c>
      <c r="H70" t="s" s="78">
        <v>1058</v>
      </c>
      <c r="I70" s="80" cm="1">
        <f t="array" ref="I70">_xlfn.COUNTIFS('Datos - Temas'!$V$5:$V$1264,I$4,'Datos - Temas'!$K$5:$K$1264,$A70)+_xlfn.COUNTIFS('Datos - Temas'!$V$5:$V$1264,I$4,'Datos - Temas'!$L$5:$L$1264,$A70)</f>
        <v>6</v>
      </c>
      <c r="J70" s="80" cm="1">
        <f t="array" ref="J70">_xlfn.COUNTIFS('Datos - Temas'!$V$5:$V$1264,J$4,'Datos - Temas'!$K$5:$K$1264,$A70)+_xlfn.COUNTIFS('Datos - Temas'!$V$5:$V$1264,J$4,'Datos - Temas'!$L$5:$L$1264,$A70)</f>
        <v>0</v>
      </c>
      <c r="K70" s="80" cm="1">
        <f t="array" ref="K70">_xlfn.COUNTIFS('Datos - Temas'!$V$5:$V$1264,K$4,'Datos - Temas'!$K$5:$K$1264,$A70)+_xlfn.COUNTIFS('Datos - Temas'!$V$5:$V$1264,K$4,'Datos - Temas'!$L$5:$L$1264,$A70)</f>
        <v>0</v>
      </c>
      <c r="L70" s="80" cm="1">
        <f t="array" ref="L70">_xlfn.COUNTIFS('Datos - Temas'!$V$5:$V$1264,L$4,'Datos - Temas'!$K$5:$K$1264,$A70)+_xlfn.COUNTIFS('Datos - Temas'!$V$5:$V$1264,L$4,'Datos - Temas'!$L$5:$L$1264,$A70)</f>
        <v>3</v>
      </c>
      <c r="M70" t="s" s="78">
        <v>1058</v>
      </c>
      <c r="N70" t="s" s="78">
        <v>1058</v>
      </c>
      <c r="O70" s="80">
        <v>9</v>
      </c>
      <c r="P70" s="80" cm="1">
        <f t="array" ref="P70">_xlfn.COUNTIFS('Datos - Temas'!$K$5:$K$1264,$A70)</f>
        <v>9</v>
      </c>
      <c r="Q70" t="str" s="79" cm="1">
        <f t="array" ref="Q70">IF(O70&gt;0,"Sí","No")</f>
        <v>Sí</v>
      </c>
      <c r="R70" t="str" s="79" cm="1">
        <f t="array" ref="R70">IF(O70=0,"No cubierto",IF(O70=1,"Débil (1 tema)",IF(O70&lt;=3,"Básica (2–3)","Sólida (4+)")))</f>
        <v>Sólida (4+)</v>
      </c>
      <c r="S70" t="str" s="79" cm="1">
        <f t="array" ref="S70">_xlfn.IFERROR(INDEX($I$4:$L$4,MATCH(TRUE,INDEX(I70:L70&gt;0,0),0)),"—")</f>
        <v>5°</v>
      </c>
      <c r="T70" t="s" s="78">
        <v>1264</v>
      </c>
    </row>
    <row r="71" ht="35.65" customHeight="1">
      <c r="A71" t="s" s="78">
        <v>588</v>
      </c>
      <c r="B71" t="s" s="78">
        <v>1164</v>
      </c>
      <c r="C71" t="s" s="78">
        <v>222</v>
      </c>
      <c r="D71" t="s" s="78">
        <v>1129</v>
      </c>
      <c r="E71" t="s" s="78">
        <v>1265</v>
      </c>
      <c r="F71" t="s" s="78">
        <v>1058</v>
      </c>
      <c r="G71" t="s" s="78">
        <v>1058</v>
      </c>
      <c r="H71" t="s" s="78">
        <v>1058</v>
      </c>
      <c r="I71" s="80" cm="1">
        <f t="array" ref="I71">_xlfn.COUNTIFS('Datos - Temas'!$V$5:$V$1264,I$4,'Datos - Temas'!$K$5:$K$1264,$A71)+_xlfn.COUNTIFS('Datos - Temas'!$V$5:$V$1264,I$4,'Datos - Temas'!$L$5:$L$1264,$A71)</f>
        <v>3</v>
      </c>
      <c r="J71" s="80" cm="1">
        <f t="array" ref="J71">_xlfn.COUNTIFS('Datos - Temas'!$V$5:$V$1264,J$4,'Datos - Temas'!$K$5:$K$1264,$A71)+_xlfn.COUNTIFS('Datos - Temas'!$V$5:$V$1264,J$4,'Datos - Temas'!$L$5:$L$1264,$A71)</f>
        <v>0</v>
      </c>
      <c r="K71" s="80" cm="1">
        <f t="array" ref="K71">_xlfn.COUNTIFS('Datos - Temas'!$V$5:$V$1264,K$4,'Datos - Temas'!$K$5:$K$1264,$A71)+_xlfn.COUNTIFS('Datos - Temas'!$V$5:$V$1264,K$4,'Datos - Temas'!$L$5:$L$1264,$A71)</f>
        <v>0</v>
      </c>
      <c r="L71" s="80" cm="1">
        <f t="array" ref="L71">_xlfn.COUNTIFS('Datos - Temas'!$V$5:$V$1264,L$4,'Datos - Temas'!$K$5:$K$1264,$A71)+_xlfn.COUNTIFS('Datos - Temas'!$V$5:$V$1264,L$4,'Datos - Temas'!$L$5:$L$1264,$A71)</f>
        <v>6</v>
      </c>
      <c r="M71" t="s" s="78">
        <v>1058</v>
      </c>
      <c r="N71" t="s" s="78">
        <v>1058</v>
      </c>
      <c r="O71" s="80">
        <v>9</v>
      </c>
      <c r="P71" s="80" cm="1">
        <f t="array" ref="P71">_xlfn.COUNTIFS('Datos - Temas'!$K$5:$K$1264,$A71)</f>
        <v>8</v>
      </c>
      <c r="Q71" t="str" s="79" cm="1">
        <f t="array" ref="Q71">IF(O71&gt;0,"Sí","No")</f>
        <v>Sí</v>
      </c>
      <c r="R71" t="str" s="79" cm="1">
        <f t="array" ref="R71">IF(O71=0,"No cubierto",IF(O71=1,"Débil (1 tema)",IF(O71&lt;=3,"Básica (2–3)","Sólida (4+)")))</f>
        <v>Sólida (4+)</v>
      </c>
      <c r="S71" t="str" s="79" cm="1">
        <f t="array" ref="S71">_xlfn.IFERROR(INDEX($I$4:$L$4,MATCH(TRUE,INDEX(I71:L71&gt;0,0),0)),"—")</f>
        <v>5°</v>
      </c>
      <c r="T71" t="s" s="78">
        <v>1266</v>
      </c>
    </row>
    <row r="72" ht="13.65" customHeight="1">
      <c r="A72" t="s" s="78">
        <v>535</v>
      </c>
      <c r="B72" t="s" s="78">
        <v>1164</v>
      </c>
      <c r="C72" t="s" s="78">
        <v>222</v>
      </c>
      <c r="D72" t="s" s="78">
        <v>1129</v>
      </c>
      <c r="E72" t="s" s="78">
        <v>1267</v>
      </c>
      <c r="F72" t="s" s="78">
        <v>1058</v>
      </c>
      <c r="G72" t="s" s="78">
        <v>1058</v>
      </c>
      <c r="H72" t="s" s="78">
        <v>1058</v>
      </c>
      <c r="I72" s="80" cm="1">
        <f t="array" ref="I72">_xlfn.COUNTIFS('Datos - Temas'!$V$5:$V$1264,I$4,'Datos - Temas'!$K$5:$K$1264,$A72)+_xlfn.COUNTIFS('Datos - Temas'!$V$5:$V$1264,I$4,'Datos - Temas'!$L$5:$L$1264,$A72)</f>
        <v>3</v>
      </c>
      <c r="J72" s="80" cm="1">
        <f t="array" ref="J72">_xlfn.COUNTIFS('Datos - Temas'!$V$5:$V$1264,J$4,'Datos - Temas'!$K$5:$K$1264,$A72)+_xlfn.COUNTIFS('Datos - Temas'!$V$5:$V$1264,J$4,'Datos - Temas'!$L$5:$L$1264,$A72)</f>
        <v>4</v>
      </c>
      <c r="K72" s="80" cm="1">
        <f t="array" ref="K72">_xlfn.COUNTIFS('Datos - Temas'!$V$5:$V$1264,K$4,'Datos - Temas'!$K$5:$K$1264,$A72)+_xlfn.COUNTIFS('Datos - Temas'!$V$5:$V$1264,K$4,'Datos - Temas'!$L$5:$L$1264,$A72)</f>
        <v>0</v>
      </c>
      <c r="L72" s="80" cm="1">
        <f t="array" ref="L72">_xlfn.COUNTIFS('Datos - Temas'!$V$5:$V$1264,L$4,'Datos - Temas'!$K$5:$K$1264,$A72)+_xlfn.COUNTIFS('Datos - Temas'!$V$5:$V$1264,L$4,'Datos - Temas'!$L$5:$L$1264,$A72)</f>
        <v>8</v>
      </c>
      <c r="M72" t="s" s="78">
        <v>1058</v>
      </c>
      <c r="N72" t="s" s="78">
        <v>1058</v>
      </c>
      <c r="O72" s="80">
        <v>15</v>
      </c>
      <c r="P72" s="80" cm="1">
        <f t="array" ref="P72">_xlfn.COUNTIFS('Datos - Temas'!$K$5:$K$1264,$A72)</f>
        <v>26</v>
      </c>
      <c r="Q72" t="str" s="79" cm="1">
        <f t="array" ref="Q72">IF(O72&gt;0,"Sí","No")</f>
        <v>Sí</v>
      </c>
      <c r="R72" t="str" s="79" cm="1">
        <f t="array" ref="R72">IF(O72=0,"No cubierto",IF(O72=1,"Débil (1 tema)",IF(O72&lt;=3,"Básica (2–3)","Sólida (4+)")))</f>
        <v>Sólida (4+)</v>
      </c>
      <c r="S72" t="str" s="79" cm="1">
        <f t="array" ref="S72">_xlfn.IFERROR(INDEX($I$4:$L$4,MATCH(TRUE,INDEX(I72:L72&gt;0,0),0)),"—")</f>
        <v>5°</v>
      </c>
      <c r="T72" t="s" s="78">
        <v>1268</v>
      </c>
    </row>
    <row r="73" ht="13.65" customHeight="1">
      <c r="A73" t="s" s="78">
        <v>569</v>
      </c>
      <c r="B73" t="s" s="78">
        <v>1164</v>
      </c>
      <c r="C73" t="s" s="78">
        <v>222</v>
      </c>
      <c r="D73" t="s" s="78">
        <v>1269</v>
      </c>
      <c r="E73" t="s" s="78">
        <v>1270</v>
      </c>
      <c r="F73" t="s" s="78">
        <v>1058</v>
      </c>
      <c r="G73" t="s" s="78">
        <v>1058</v>
      </c>
      <c r="H73" t="s" s="78">
        <v>1058</v>
      </c>
      <c r="I73" s="80" cm="1">
        <f t="array" ref="I73">_xlfn.COUNTIFS('Datos - Temas'!$V$5:$V$1264,I$4,'Datos - Temas'!$K$5:$K$1264,$A73)+_xlfn.COUNTIFS('Datos - Temas'!$V$5:$V$1264,I$4,'Datos - Temas'!$L$5:$L$1264,$A73)</f>
        <v>6</v>
      </c>
      <c r="J73" s="80" cm="1">
        <f t="array" ref="J73">_xlfn.COUNTIFS('Datos - Temas'!$V$5:$V$1264,J$4,'Datos - Temas'!$K$5:$K$1264,$A73)+_xlfn.COUNTIFS('Datos - Temas'!$V$5:$V$1264,J$4,'Datos - Temas'!$L$5:$L$1264,$A73)</f>
        <v>4</v>
      </c>
      <c r="K73" s="80" cm="1">
        <f t="array" ref="K73">_xlfn.COUNTIFS('Datos - Temas'!$V$5:$V$1264,K$4,'Datos - Temas'!$K$5:$K$1264,$A73)+_xlfn.COUNTIFS('Datos - Temas'!$V$5:$V$1264,K$4,'Datos - Temas'!$L$5:$L$1264,$A73)</f>
        <v>0</v>
      </c>
      <c r="L73" s="80" cm="1">
        <f t="array" ref="L73">_xlfn.COUNTIFS('Datos - Temas'!$V$5:$V$1264,L$4,'Datos - Temas'!$K$5:$K$1264,$A73)+_xlfn.COUNTIFS('Datos - Temas'!$V$5:$V$1264,L$4,'Datos - Temas'!$L$5:$L$1264,$A73)</f>
        <v>8</v>
      </c>
      <c r="M73" t="s" s="78">
        <v>1058</v>
      </c>
      <c r="N73" t="s" s="78">
        <v>1058</v>
      </c>
      <c r="O73" s="80">
        <v>18</v>
      </c>
      <c r="P73" s="80" cm="1">
        <f t="array" ref="P73">_xlfn.COUNTIFS('Datos - Temas'!$K$5:$K$1264,$A73)</f>
        <v>13</v>
      </c>
      <c r="Q73" t="str" s="79" cm="1">
        <f t="array" ref="Q73">IF(O73&gt;0,"Sí","No")</f>
        <v>Sí</v>
      </c>
      <c r="R73" t="str" s="79" cm="1">
        <f t="array" ref="R73">IF(O73=0,"No cubierto",IF(O73=1,"Débil (1 tema)",IF(O73&lt;=3,"Básica (2–3)","Sólida (4+)")))</f>
        <v>Sólida (4+)</v>
      </c>
      <c r="S73" t="str" s="79" cm="1">
        <f t="array" ref="S73">_xlfn.IFERROR(INDEX($I$4:$L$4,MATCH(TRUE,INDEX(I73:L73&gt;0,0),0)),"—")</f>
        <v>5°</v>
      </c>
      <c r="T73" t="s" s="78">
        <v>1271</v>
      </c>
    </row>
    <row r="74" ht="35.65" customHeight="1">
      <c r="A74" t="s" s="78">
        <v>1272</v>
      </c>
      <c r="B74" t="s" s="78">
        <v>1164</v>
      </c>
      <c r="C74" t="s" s="78">
        <v>216</v>
      </c>
      <c r="D74" t="s" s="78">
        <v>1140</v>
      </c>
      <c r="E74" t="s" s="78">
        <v>1273</v>
      </c>
      <c r="F74" t="s" s="78">
        <v>1058</v>
      </c>
      <c r="G74" t="s" s="78">
        <v>1058</v>
      </c>
      <c r="H74" t="s" s="78">
        <v>1058</v>
      </c>
      <c r="I74" s="80" cm="1">
        <f t="array" ref="I74">_xlfn.COUNTIFS('Datos - Temas'!$V$5:$V$1264,I$4,'Datos - Temas'!$K$5:$K$1264,$A74)+_xlfn.COUNTIFS('Datos - Temas'!$V$5:$V$1264,I$4,'Datos - Temas'!$L$5:$L$1264,$A74)</f>
        <v>4</v>
      </c>
      <c r="J74" s="80" cm="1">
        <f t="array" ref="J74">_xlfn.COUNTIFS('Datos - Temas'!$V$5:$V$1264,J$4,'Datos - Temas'!$K$5:$K$1264,$A74)+_xlfn.COUNTIFS('Datos - Temas'!$V$5:$V$1264,J$4,'Datos - Temas'!$L$5:$L$1264,$A74)</f>
        <v>0</v>
      </c>
      <c r="K74" s="80" cm="1">
        <f t="array" ref="K74">_xlfn.COUNTIFS('Datos - Temas'!$V$5:$V$1264,K$4,'Datos - Temas'!$K$5:$K$1264,$A74)+_xlfn.COUNTIFS('Datos - Temas'!$V$5:$V$1264,K$4,'Datos - Temas'!$L$5:$L$1264,$A74)</f>
        <v>4</v>
      </c>
      <c r="L74" s="80" cm="1">
        <f t="array" ref="L74">_xlfn.COUNTIFS('Datos - Temas'!$V$5:$V$1264,L$4,'Datos - Temas'!$K$5:$K$1264,$A74)+_xlfn.COUNTIFS('Datos - Temas'!$V$5:$V$1264,L$4,'Datos - Temas'!$L$5:$L$1264,$A74)</f>
        <v>0</v>
      </c>
      <c r="M74" t="s" s="78">
        <v>1058</v>
      </c>
      <c r="N74" t="s" s="78">
        <v>1058</v>
      </c>
      <c r="O74" s="80">
        <v>8</v>
      </c>
      <c r="P74" s="80" cm="1">
        <f t="array" ref="P74">_xlfn.COUNTIFS('Datos - Temas'!$K$5:$K$1264,$A74)</f>
        <v>9</v>
      </c>
      <c r="Q74" t="str" s="79" cm="1">
        <f t="array" ref="Q74">IF(O74&gt;0,"Sí","No")</f>
        <v>Sí</v>
      </c>
      <c r="R74" t="str" s="79" cm="1">
        <f t="array" ref="R74">IF(O74=0,"No cubierto",IF(O74=1,"Débil (1 tema)",IF(O74&lt;=3,"Básica (2–3)","Sólida (4+)")))</f>
        <v>Sólida (4+)</v>
      </c>
      <c r="S74" t="str" s="79" cm="1">
        <f t="array" ref="S74">_xlfn.IFERROR(INDEX($I$4:$L$4,MATCH(TRUE,INDEX(I74:L74&gt;0,0),0)),"—")</f>
        <v>5°</v>
      </c>
      <c r="T74" t="s" s="78">
        <v>1274</v>
      </c>
    </row>
    <row r="75" ht="35.65" customHeight="1">
      <c r="A75" t="s" s="78">
        <v>524</v>
      </c>
      <c r="B75" t="s" s="78">
        <v>1164</v>
      </c>
      <c r="C75" t="s" s="78">
        <v>216</v>
      </c>
      <c r="D75" t="s" s="78">
        <v>1140</v>
      </c>
      <c r="E75" t="s" s="78">
        <v>1275</v>
      </c>
      <c r="F75" t="s" s="78">
        <v>1058</v>
      </c>
      <c r="G75" t="s" s="78">
        <v>1058</v>
      </c>
      <c r="H75" t="s" s="78">
        <v>1058</v>
      </c>
      <c r="I75" s="80" cm="1">
        <f t="array" ref="I75">_xlfn.COUNTIFS('Datos - Temas'!$V$5:$V$1264,I$4,'Datos - Temas'!$K$5:$K$1264,$A75)+_xlfn.COUNTIFS('Datos - Temas'!$V$5:$V$1264,I$4,'Datos - Temas'!$L$5:$L$1264,$A75)</f>
        <v>14</v>
      </c>
      <c r="J75" s="80" cm="1">
        <f t="array" ref="J75">_xlfn.COUNTIFS('Datos - Temas'!$V$5:$V$1264,J$4,'Datos - Temas'!$K$5:$K$1264,$A75)+_xlfn.COUNTIFS('Datos - Temas'!$V$5:$V$1264,J$4,'Datos - Temas'!$L$5:$L$1264,$A75)</f>
        <v>0</v>
      </c>
      <c r="K75" s="80" cm="1">
        <f t="array" ref="K75">_xlfn.COUNTIFS('Datos - Temas'!$V$5:$V$1264,K$4,'Datos - Temas'!$K$5:$K$1264,$A75)+_xlfn.COUNTIFS('Datos - Temas'!$V$5:$V$1264,K$4,'Datos - Temas'!$L$5:$L$1264,$A75)</f>
        <v>0</v>
      </c>
      <c r="L75" s="80" cm="1">
        <f t="array" ref="L75">_xlfn.COUNTIFS('Datos - Temas'!$V$5:$V$1264,L$4,'Datos - Temas'!$K$5:$K$1264,$A75)+_xlfn.COUNTIFS('Datos - Temas'!$V$5:$V$1264,L$4,'Datos - Temas'!$L$5:$L$1264,$A75)</f>
        <v>2</v>
      </c>
      <c r="M75" t="s" s="78">
        <v>1058</v>
      </c>
      <c r="N75" t="s" s="78">
        <v>1058</v>
      </c>
      <c r="O75" s="80">
        <v>16</v>
      </c>
      <c r="P75" s="80" cm="1">
        <f t="array" ref="P75">_xlfn.COUNTIFS('Datos - Temas'!$K$5:$K$1264,$A75)</f>
        <v>25</v>
      </c>
      <c r="Q75" t="str" s="79" cm="1">
        <f t="array" ref="Q75">IF(O75&gt;0,"Sí","No")</f>
        <v>Sí</v>
      </c>
      <c r="R75" t="str" s="79" cm="1">
        <f t="array" ref="R75">IF(O75=0,"No cubierto",IF(O75=1,"Débil (1 tema)",IF(O75&lt;=3,"Básica (2–3)","Sólida (4+)")))</f>
        <v>Sólida (4+)</v>
      </c>
      <c r="S75" t="str" s="79" cm="1">
        <f t="array" ref="S75">_xlfn.IFERROR(INDEX($I$4:$L$4,MATCH(TRUE,INDEX(I75:L75&gt;0,0),0)),"—")</f>
        <v>5°</v>
      </c>
      <c r="T75" t="s" s="78">
        <v>1276</v>
      </c>
    </row>
    <row r="76" ht="24.65" customHeight="1">
      <c r="A76" t="s" s="78">
        <v>494</v>
      </c>
      <c r="B76" t="s" s="78">
        <v>1164</v>
      </c>
      <c r="C76" t="s" s="78">
        <v>216</v>
      </c>
      <c r="D76" t="s" s="78">
        <v>1145</v>
      </c>
      <c r="E76" t="s" s="78">
        <v>1277</v>
      </c>
      <c r="F76" t="s" s="78">
        <v>1058</v>
      </c>
      <c r="G76" t="s" s="78">
        <v>1058</v>
      </c>
      <c r="H76" t="s" s="78">
        <v>1058</v>
      </c>
      <c r="I76" s="80" cm="1">
        <f t="array" ref="I76">_xlfn.COUNTIFS('Datos - Temas'!$V$5:$V$1264,I$4,'Datos - Temas'!$K$5:$K$1264,$A76)+_xlfn.COUNTIFS('Datos - Temas'!$V$5:$V$1264,I$4,'Datos - Temas'!$L$5:$L$1264,$A76)</f>
        <v>0</v>
      </c>
      <c r="J76" s="80" cm="1">
        <f t="array" ref="J76">_xlfn.COUNTIFS('Datos - Temas'!$V$5:$V$1264,J$4,'Datos - Temas'!$K$5:$K$1264,$A76)+_xlfn.COUNTIFS('Datos - Temas'!$V$5:$V$1264,J$4,'Datos - Temas'!$L$5:$L$1264,$A76)</f>
        <v>0</v>
      </c>
      <c r="K76" s="80" cm="1">
        <f t="array" ref="K76">_xlfn.COUNTIFS('Datos - Temas'!$V$5:$V$1264,K$4,'Datos - Temas'!$K$5:$K$1264,$A76)+_xlfn.COUNTIFS('Datos - Temas'!$V$5:$V$1264,K$4,'Datos - Temas'!$L$5:$L$1264,$A76)</f>
        <v>2</v>
      </c>
      <c r="L76" s="80" cm="1">
        <f t="array" ref="L76">_xlfn.COUNTIFS('Datos - Temas'!$V$5:$V$1264,L$4,'Datos - Temas'!$K$5:$K$1264,$A76)+_xlfn.COUNTIFS('Datos - Temas'!$V$5:$V$1264,L$4,'Datos - Temas'!$L$5:$L$1264,$A76)</f>
        <v>0</v>
      </c>
      <c r="M76" t="s" s="78">
        <v>1058</v>
      </c>
      <c r="N76" t="s" s="78">
        <v>1058</v>
      </c>
      <c r="O76" s="80">
        <v>2</v>
      </c>
      <c r="P76" s="80" cm="1">
        <f t="array" ref="P76">_xlfn.COUNTIFS('Datos - Temas'!$K$5:$K$1264,$A76)</f>
        <v>1</v>
      </c>
      <c r="Q76" t="str" s="79" cm="1">
        <f t="array" ref="Q76">IF(O76&gt;0,"Sí","No")</f>
        <v>Sí</v>
      </c>
      <c r="R76" t="str" s="79" cm="1">
        <f t="array" ref="R76">IF(O76=0,"No cubierto",IF(O76=1,"Débil (1 tema)",IF(O76&lt;=3,"Básica (2–3)","Sólida (4+)")))</f>
        <v>Básica (2–3)</v>
      </c>
      <c r="S76" t="str" s="79" cm="1">
        <f t="array" ref="S76">_xlfn.IFERROR(INDEX($I$4:$L$4,MATCH(TRUE,INDEX(I76:L76&gt;0,0),0)),"—")</f>
        <v>7°</v>
      </c>
      <c r="T76" t="s" s="78">
        <v>1278</v>
      </c>
    </row>
    <row r="77" ht="35.65" customHeight="1">
      <c r="A77" t="s" s="78">
        <v>520</v>
      </c>
      <c r="B77" t="s" s="78">
        <v>1164</v>
      </c>
      <c r="C77" t="s" s="78">
        <v>216</v>
      </c>
      <c r="D77" t="s" s="78">
        <v>1145</v>
      </c>
      <c r="E77" t="s" s="78">
        <v>1279</v>
      </c>
      <c r="F77" t="s" s="78">
        <v>1058</v>
      </c>
      <c r="G77" t="s" s="78">
        <v>1058</v>
      </c>
      <c r="H77" t="s" s="78">
        <v>1058</v>
      </c>
      <c r="I77" s="80" cm="1">
        <f t="array" ref="I77">_xlfn.COUNTIFS('Datos - Temas'!$V$5:$V$1264,I$4,'Datos - Temas'!$K$5:$K$1264,$A77)+_xlfn.COUNTIFS('Datos - Temas'!$V$5:$V$1264,I$4,'Datos - Temas'!$L$5:$L$1264,$A77)</f>
        <v>0</v>
      </c>
      <c r="J77" s="80" cm="1">
        <f t="array" ref="J77">_xlfn.COUNTIFS('Datos - Temas'!$V$5:$V$1264,J$4,'Datos - Temas'!$K$5:$K$1264,$A77)+_xlfn.COUNTIFS('Datos - Temas'!$V$5:$V$1264,J$4,'Datos - Temas'!$L$5:$L$1264,$A77)</f>
        <v>0</v>
      </c>
      <c r="K77" s="80" cm="1">
        <f t="array" ref="K77">_xlfn.COUNTIFS('Datos - Temas'!$V$5:$V$1264,K$4,'Datos - Temas'!$K$5:$K$1264,$A77)+_xlfn.COUNTIFS('Datos - Temas'!$V$5:$V$1264,K$4,'Datos - Temas'!$L$5:$L$1264,$A77)</f>
        <v>5</v>
      </c>
      <c r="L77" s="80" cm="1">
        <f t="array" ref="L77">_xlfn.COUNTIFS('Datos - Temas'!$V$5:$V$1264,L$4,'Datos - Temas'!$K$5:$K$1264,$A77)+_xlfn.COUNTIFS('Datos - Temas'!$V$5:$V$1264,L$4,'Datos - Temas'!$L$5:$L$1264,$A77)</f>
        <v>0</v>
      </c>
      <c r="M77" t="s" s="78">
        <v>1058</v>
      </c>
      <c r="N77" t="s" s="78">
        <v>1058</v>
      </c>
      <c r="O77" s="80">
        <v>5</v>
      </c>
      <c r="P77" s="80" cm="1">
        <f t="array" ref="P77">_xlfn.COUNTIFS('Datos - Temas'!$K$5:$K$1264,$A77)</f>
        <v>2</v>
      </c>
      <c r="Q77" t="str" s="79" cm="1">
        <f t="array" ref="Q77">IF(O77&gt;0,"Sí","No")</f>
        <v>Sí</v>
      </c>
      <c r="R77" t="str" s="79" cm="1">
        <f t="array" ref="R77">IF(O77=0,"No cubierto",IF(O77=1,"Débil (1 tema)",IF(O77&lt;=3,"Básica (2–3)","Sólida (4+)")))</f>
        <v>Sólida (4+)</v>
      </c>
      <c r="S77" t="str" s="79" cm="1">
        <f t="array" ref="S77">_xlfn.IFERROR(INDEX($I$4:$L$4,MATCH(TRUE,INDEX(I77:L77&gt;0,0),0)),"—")</f>
        <v>7°</v>
      </c>
      <c r="T77" t="s" s="78">
        <v>1280</v>
      </c>
    </row>
    <row r="78" ht="24.65" customHeight="1">
      <c r="A78" t="s" s="78">
        <v>1281</v>
      </c>
      <c r="B78" t="s" s="78">
        <v>1164</v>
      </c>
      <c r="C78" t="s" s="78">
        <v>216</v>
      </c>
      <c r="D78" t="s" s="78">
        <v>1145</v>
      </c>
      <c r="E78" t="s" s="78">
        <v>1282</v>
      </c>
      <c r="F78" t="s" s="78">
        <v>1058</v>
      </c>
      <c r="G78" t="s" s="78">
        <v>1058</v>
      </c>
      <c r="H78" t="s" s="78">
        <v>1058</v>
      </c>
      <c r="I78" s="80" cm="1">
        <f t="array" ref="I78">_xlfn.COUNTIFS('Datos - Temas'!$V$5:$V$1264,I$4,'Datos - Temas'!$K$5:$K$1264,$A78)+_xlfn.COUNTIFS('Datos - Temas'!$V$5:$V$1264,I$4,'Datos - Temas'!$L$5:$L$1264,$A78)</f>
        <v>0</v>
      </c>
      <c r="J78" s="80" cm="1">
        <f t="array" ref="J78">_xlfn.COUNTIFS('Datos - Temas'!$V$5:$V$1264,J$4,'Datos - Temas'!$K$5:$K$1264,$A78)+_xlfn.COUNTIFS('Datos - Temas'!$V$5:$V$1264,J$4,'Datos - Temas'!$L$5:$L$1264,$A78)</f>
        <v>0</v>
      </c>
      <c r="K78" s="80" cm="1">
        <f t="array" ref="K78">_xlfn.COUNTIFS('Datos - Temas'!$V$5:$V$1264,K$4,'Datos - Temas'!$K$5:$K$1264,$A78)+_xlfn.COUNTIFS('Datos - Temas'!$V$5:$V$1264,K$4,'Datos - Temas'!$L$5:$L$1264,$A78)</f>
        <v>7</v>
      </c>
      <c r="L78" s="80" cm="1">
        <f t="array" ref="L78">_xlfn.COUNTIFS('Datos - Temas'!$V$5:$V$1264,L$4,'Datos - Temas'!$K$5:$K$1264,$A78)+_xlfn.COUNTIFS('Datos - Temas'!$V$5:$V$1264,L$4,'Datos - Temas'!$L$5:$L$1264,$A78)</f>
        <v>0</v>
      </c>
      <c r="M78" t="s" s="78">
        <v>1058</v>
      </c>
      <c r="N78" t="s" s="78">
        <v>1058</v>
      </c>
      <c r="O78" s="80">
        <v>7</v>
      </c>
      <c r="P78" s="80" cm="1">
        <f t="array" ref="P78">_xlfn.COUNTIFS('Datos - Temas'!$K$5:$K$1264,$A78)</f>
        <v>10</v>
      </c>
      <c r="Q78" t="str" s="79" cm="1">
        <f t="array" ref="Q78">IF(O78&gt;0,"Sí","No")</f>
        <v>Sí</v>
      </c>
      <c r="R78" t="str" s="79" cm="1">
        <f t="array" ref="R78">IF(O78=0,"No cubierto",IF(O78=1,"Débil (1 tema)",IF(O78&lt;=3,"Básica (2–3)","Sólida (4+)")))</f>
        <v>Sólida (4+)</v>
      </c>
      <c r="S78" t="str" s="79" cm="1">
        <f t="array" ref="S78">_xlfn.IFERROR(INDEX($I$4:$L$4,MATCH(TRUE,INDEX(I78:L78&gt;0,0),0)),"—")</f>
        <v>7°</v>
      </c>
      <c r="T78" t="s" s="78">
        <v>1283</v>
      </c>
    </row>
    <row r="79" ht="35.65" customHeight="1">
      <c r="A79" t="s" s="78">
        <v>1284</v>
      </c>
      <c r="B79" t="s" s="78">
        <v>1164</v>
      </c>
      <c r="C79" t="s" s="78">
        <v>216</v>
      </c>
      <c r="D79" t="s" s="78">
        <v>1145</v>
      </c>
      <c r="E79" t="s" s="78">
        <v>1285</v>
      </c>
      <c r="F79" t="s" s="78">
        <v>1058</v>
      </c>
      <c r="G79" t="s" s="78">
        <v>1058</v>
      </c>
      <c r="H79" t="s" s="78">
        <v>1058</v>
      </c>
      <c r="I79" s="80" cm="1">
        <f t="array" ref="I79">_xlfn.COUNTIFS('Datos - Temas'!$V$5:$V$1264,I$4,'Datos - Temas'!$K$5:$K$1264,$A79)+_xlfn.COUNTIFS('Datos - Temas'!$V$5:$V$1264,I$4,'Datos - Temas'!$L$5:$L$1264,$A79)</f>
        <v>0</v>
      </c>
      <c r="J79" s="80" cm="1">
        <f t="array" ref="J79">_xlfn.COUNTIFS('Datos - Temas'!$V$5:$V$1264,J$4,'Datos - Temas'!$K$5:$K$1264,$A79)+_xlfn.COUNTIFS('Datos - Temas'!$V$5:$V$1264,J$4,'Datos - Temas'!$L$5:$L$1264,$A79)</f>
        <v>0</v>
      </c>
      <c r="K79" s="80" cm="1">
        <f t="array" ref="K79">_xlfn.COUNTIFS('Datos - Temas'!$V$5:$V$1264,K$4,'Datos - Temas'!$K$5:$K$1264,$A79)+_xlfn.COUNTIFS('Datos - Temas'!$V$5:$V$1264,K$4,'Datos - Temas'!$L$5:$L$1264,$A79)</f>
        <v>3</v>
      </c>
      <c r="L79" s="80" cm="1">
        <f t="array" ref="L79">_xlfn.COUNTIFS('Datos - Temas'!$V$5:$V$1264,L$4,'Datos - Temas'!$K$5:$K$1264,$A79)+_xlfn.COUNTIFS('Datos - Temas'!$V$5:$V$1264,L$4,'Datos - Temas'!$L$5:$L$1264,$A79)</f>
        <v>0</v>
      </c>
      <c r="M79" t="s" s="78">
        <v>1058</v>
      </c>
      <c r="N79" t="s" s="78">
        <v>1058</v>
      </c>
      <c r="O79" s="80">
        <v>3</v>
      </c>
      <c r="P79" s="80" cm="1">
        <f t="array" ref="P79">_xlfn.COUNTIFS('Datos - Temas'!$K$5:$K$1264,$A79)</f>
        <v>3</v>
      </c>
      <c r="Q79" t="str" s="79" cm="1">
        <f t="array" ref="Q79">IF(O79&gt;0,"Sí","No")</f>
        <v>Sí</v>
      </c>
      <c r="R79" t="str" s="79" cm="1">
        <f t="array" ref="R79">IF(O79=0,"No cubierto",IF(O79=1,"Débil (1 tema)",IF(O79&lt;=3,"Básica (2–3)","Sólida (4+)")))</f>
        <v>Básica (2–3)</v>
      </c>
      <c r="S79" t="str" s="79" cm="1">
        <f t="array" ref="S79">_xlfn.IFERROR(INDEX($I$4:$L$4,MATCH(TRUE,INDEX(I79:L79&gt;0,0),0)),"—")</f>
        <v>7°</v>
      </c>
      <c r="T79" t="s" s="78">
        <v>1286</v>
      </c>
    </row>
    <row r="80" ht="35.65" customHeight="1">
      <c r="A80" t="s" s="78">
        <v>1287</v>
      </c>
      <c r="B80" t="s" s="78">
        <v>1164</v>
      </c>
      <c r="C80" t="s" s="78">
        <v>216</v>
      </c>
      <c r="D80" t="s" s="78">
        <v>1149</v>
      </c>
      <c r="E80" t="s" s="78">
        <v>1288</v>
      </c>
      <c r="F80" t="s" s="78">
        <v>1058</v>
      </c>
      <c r="G80" t="s" s="78">
        <v>1058</v>
      </c>
      <c r="H80" t="s" s="78">
        <v>1058</v>
      </c>
      <c r="I80" s="80" cm="1">
        <f t="array" ref="I80">_xlfn.COUNTIFS('Datos - Temas'!$V$5:$V$1264,I$4,'Datos - Temas'!$K$5:$K$1264,$A80)+_xlfn.COUNTIFS('Datos - Temas'!$V$5:$V$1264,I$4,'Datos - Temas'!$L$5:$L$1264,$A80)</f>
        <v>0</v>
      </c>
      <c r="J80" s="80" cm="1">
        <f t="array" ref="J80">_xlfn.COUNTIFS('Datos - Temas'!$V$5:$V$1264,J$4,'Datos - Temas'!$K$5:$K$1264,$A80)+_xlfn.COUNTIFS('Datos - Temas'!$V$5:$V$1264,J$4,'Datos - Temas'!$L$5:$L$1264,$A80)</f>
        <v>0</v>
      </c>
      <c r="K80" s="80" cm="1">
        <f t="array" ref="K80">_xlfn.COUNTIFS('Datos - Temas'!$V$5:$V$1264,K$4,'Datos - Temas'!$K$5:$K$1264,$A80)+_xlfn.COUNTIFS('Datos - Temas'!$V$5:$V$1264,K$4,'Datos - Temas'!$L$5:$L$1264,$A80)</f>
        <v>9</v>
      </c>
      <c r="L80" s="80" cm="1">
        <f t="array" ref="L80">_xlfn.COUNTIFS('Datos - Temas'!$V$5:$V$1264,L$4,'Datos - Temas'!$K$5:$K$1264,$A80)+_xlfn.COUNTIFS('Datos - Temas'!$V$5:$V$1264,L$4,'Datos - Temas'!$L$5:$L$1264,$A80)</f>
        <v>0</v>
      </c>
      <c r="M80" t="s" s="78">
        <v>1058</v>
      </c>
      <c r="N80" t="s" s="78">
        <v>1058</v>
      </c>
      <c r="O80" s="80">
        <v>9</v>
      </c>
      <c r="P80" s="80" cm="1">
        <f t="array" ref="P80">_xlfn.COUNTIFS('Datos - Temas'!$K$5:$K$1264,$A80)</f>
        <v>6</v>
      </c>
      <c r="Q80" t="str" s="79" cm="1">
        <f t="array" ref="Q80">IF(O80&gt;0,"Sí","No")</f>
        <v>Sí</v>
      </c>
      <c r="R80" t="str" s="79" cm="1">
        <f t="array" ref="R80">IF(O80=0,"No cubierto",IF(O80=1,"Débil (1 tema)",IF(O80&lt;=3,"Básica (2–3)","Sólida (4+)")))</f>
        <v>Sólida (4+)</v>
      </c>
      <c r="S80" t="str" s="79" cm="1">
        <f t="array" ref="S80">_xlfn.IFERROR(INDEX($I$4:$L$4,MATCH(TRUE,INDEX(I80:L80&gt;0,0),0)),"—")</f>
        <v>7°</v>
      </c>
      <c r="T80" t="s" s="78">
        <v>1289</v>
      </c>
    </row>
    <row r="81" ht="24.65" customHeight="1">
      <c r="A81" t="s" s="78">
        <v>1290</v>
      </c>
      <c r="B81" t="s" s="78">
        <v>1164</v>
      </c>
      <c r="C81" t="s" s="78">
        <v>216</v>
      </c>
      <c r="D81" t="s" s="78">
        <v>1149</v>
      </c>
      <c r="E81" t="s" s="78">
        <v>1291</v>
      </c>
      <c r="F81" t="s" s="78">
        <v>1058</v>
      </c>
      <c r="G81" t="s" s="78">
        <v>1058</v>
      </c>
      <c r="H81" t="s" s="78">
        <v>1058</v>
      </c>
      <c r="I81" s="80" cm="1">
        <f t="array" ref="I81">_xlfn.COUNTIFS('Datos - Temas'!$V$5:$V$1264,I$4,'Datos - Temas'!$K$5:$K$1264,$A81)+_xlfn.COUNTIFS('Datos - Temas'!$V$5:$V$1264,I$4,'Datos - Temas'!$L$5:$L$1264,$A81)</f>
        <v>3</v>
      </c>
      <c r="J81" s="80" cm="1">
        <f t="array" ref="J81">_xlfn.COUNTIFS('Datos - Temas'!$V$5:$V$1264,J$4,'Datos - Temas'!$K$5:$K$1264,$A81)+_xlfn.COUNTIFS('Datos - Temas'!$V$5:$V$1264,J$4,'Datos - Temas'!$L$5:$L$1264,$A81)</f>
        <v>1</v>
      </c>
      <c r="K81" s="80" cm="1">
        <f t="array" ref="K81">_xlfn.COUNTIFS('Datos - Temas'!$V$5:$V$1264,K$4,'Datos - Temas'!$K$5:$K$1264,$A81)+_xlfn.COUNTIFS('Datos - Temas'!$V$5:$V$1264,K$4,'Datos - Temas'!$L$5:$L$1264,$A81)</f>
        <v>9</v>
      </c>
      <c r="L81" s="80" cm="1">
        <f t="array" ref="L81">_xlfn.COUNTIFS('Datos - Temas'!$V$5:$V$1264,L$4,'Datos - Temas'!$K$5:$K$1264,$A81)+_xlfn.COUNTIFS('Datos - Temas'!$V$5:$V$1264,L$4,'Datos - Temas'!$L$5:$L$1264,$A81)</f>
        <v>3</v>
      </c>
      <c r="M81" t="s" s="78">
        <v>1058</v>
      </c>
      <c r="N81" t="s" s="78">
        <v>1058</v>
      </c>
      <c r="O81" s="80">
        <v>16</v>
      </c>
      <c r="P81" s="80" cm="1">
        <f t="array" ref="P81">_xlfn.COUNTIFS('Datos - Temas'!$K$5:$K$1264,$A81)</f>
        <v>14</v>
      </c>
      <c r="Q81" t="str" s="79" cm="1">
        <f t="array" ref="Q81">IF(O81&gt;0,"Sí","No")</f>
        <v>Sí</v>
      </c>
      <c r="R81" t="str" s="79" cm="1">
        <f t="array" ref="R81">IF(O81=0,"No cubierto",IF(O81=1,"Débil (1 tema)",IF(O81&lt;=3,"Básica (2–3)","Sólida (4+)")))</f>
        <v>Sólida (4+)</v>
      </c>
      <c r="S81" t="str" s="79" cm="1">
        <f t="array" ref="S81">_xlfn.IFERROR(INDEX($I$4:$L$4,MATCH(TRUE,INDEX(I81:L81&gt;0,0),0)),"—")</f>
        <v>5°</v>
      </c>
      <c r="T81" t="s" s="78">
        <v>1292</v>
      </c>
    </row>
    <row r="82" ht="35.65" customHeight="1">
      <c r="A82" t="s" s="78">
        <v>481</v>
      </c>
      <c r="B82" t="s" s="78">
        <v>1164</v>
      </c>
      <c r="C82" t="s" s="78">
        <v>216</v>
      </c>
      <c r="D82" t="s" s="78">
        <v>1153</v>
      </c>
      <c r="E82" t="s" s="78">
        <v>1293</v>
      </c>
      <c r="F82" t="s" s="78">
        <v>1058</v>
      </c>
      <c r="G82" t="s" s="78">
        <v>1058</v>
      </c>
      <c r="H82" t="s" s="78">
        <v>1058</v>
      </c>
      <c r="I82" s="80" cm="1">
        <f t="array" ref="I82">_xlfn.COUNTIFS('Datos - Temas'!$V$5:$V$1264,I$4,'Datos - Temas'!$K$5:$K$1264,$A82)+_xlfn.COUNTIFS('Datos - Temas'!$V$5:$V$1264,I$4,'Datos - Temas'!$L$5:$L$1264,$A82)</f>
        <v>0</v>
      </c>
      <c r="J82" s="80" cm="1">
        <f t="array" ref="J82">_xlfn.COUNTIFS('Datos - Temas'!$V$5:$V$1264,J$4,'Datos - Temas'!$K$5:$K$1264,$A82)+_xlfn.COUNTIFS('Datos - Temas'!$V$5:$V$1264,J$4,'Datos - Temas'!$L$5:$L$1264,$A82)</f>
        <v>0</v>
      </c>
      <c r="K82" s="80" cm="1">
        <f t="array" ref="K82">_xlfn.COUNTIFS('Datos - Temas'!$V$5:$V$1264,K$4,'Datos - Temas'!$K$5:$K$1264,$A82)+_xlfn.COUNTIFS('Datos - Temas'!$V$5:$V$1264,K$4,'Datos - Temas'!$L$5:$L$1264,$A82)</f>
        <v>0</v>
      </c>
      <c r="L82" s="80" cm="1">
        <f t="array" ref="L82">_xlfn.COUNTIFS('Datos - Temas'!$V$5:$V$1264,L$4,'Datos - Temas'!$K$5:$K$1264,$A82)+_xlfn.COUNTIFS('Datos - Temas'!$V$5:$V$1264,L$4,'Datos - Temas'!$L$5:$L$1264,$A82)</f>
        <v>0</v>
      </c>
      <c r="M82" t="s" s="78">
        <v>1058</v>
      </c>
      <c r="N82" t="s" s="78">
        <v>1058</v>
      </c>
      <c r="O82" s="80">
        <v>0</v>
      </c>
      <c r="P82" s="80" cm="1">
        <f t="array" ref="P82">_xlfn.COUNTIFS('Datos - Temas'!$K$5:$K$1264,$A82)</f>
        <v>1</v>
      </c>
      <c r="Q82" t="str" s="79" cm="1">
        <f t="array" ref="Q82">IF(O82&gt;0,"Sí","No")</f>
        <v>No</v>
      </c>
      <c r="R82" t="str" s="79" cm="1">
        <f t="array" ref="R82">IF(O82=0,"No cubierto",IF(O82=1,"Débil (1 tema)",IF(O82&lt;=3,"Básica (2–3)","Sólida (4+)")))</f>
        <v>No cubierto</v>
      </c>
      <c r="S82" t="str" s="79" cm="1">
        <f t="array" ref="S82">_xlfn.IFERROR(INDEX($I$4:$L$4,MATCH(TRUE,INDEX(I82:L82&gt;0,0),0)),"—")</f>
        <v>—</v>
      </c>
      <c r="T82" t="s" s="78">
        <v>1294</v>
      </c>
    </row>
    <row r="83" ht="35.65" customHeight="1">
      <c r="A83" t="s" s="78">
        <v>507</v>
      </c>
      <c r="B83" t="s" s="78">
        <v>1164</v>
      </c>
      <c r="C83" t="s" s="78">
        <v>216</v>
      </c>
      <c r="D83" t="s" s="78">
        <v>1153</v>
      </c>
      <c r="E83" t="s" s="78">
        <v>1295</v>
      </c>
      <c r="F83" t="s" s="78">
        <v>1058</v>
      </c>
      <c r="G83" t="s" s="78">
        <v>1058</v>
      </c>
      <c r="H83" t="s" s="78">
        <v>1058</v>
      </c>
      <c r="I83" s="80" cm="1">
        <f t="array" ref="I83">_xlfn.COUNTIFS('Datos - Temas'!$V$5:$V$1264,I$4,'Datos - Temas'!$K$5:$K$1264,$A83)+_xlfn.COUNTIFS('Datos - Temas'!$V$5:$V$1264,I$4,'Datos - Temas'!$L$5:$L$1264,$A83)</f>
        <v>2</v>
      </c>
      <c r="J83" s="80" cm="1">
        <f t="array" ref="J83">_xlfn.COUNTIFS('Datos - Temas'!$V$5:$V$1264,J$4,'Datos - Temas'!$K$5:$K$1264,$A83)+_xlfn.COUNTIFS('Datos - Temas'!$V$5:$V$1264,J$4,'Datos - Temas'!$L$5:$L$1264,$A83)</f>
        <v>0</v>
      </c>
      <c r="K83" s="80" cm="1">
        <f t="array" ref="K83">_xlfn.COUNTIFS('Datos - Temas'!$V$5:$V$1264,K$4,'Datos - Temas'!$K$5:$K$1264,$A83)+_xlfn.COUNTIFS('Datos - Temas'!$V$5:$V$1264,K$4,'Datos - Temas'!$L$5:$L$1264,$A83)</f>
        <v>0</v>
      </c>
      <c r="L83" s="80" cm="1">
        <f t="array" ref="L83">_xlfn.COUNTIFS('Datos - Temas'!$V$5:$V$1264,L$4,'Datos - Temas'!$K$5:$K$1264,$A83)+_xlfn.COUNTIFS('Datos - Temas'!$V$5:$V$1264,L$4,'Datos - Temas'!$L$5:$L$1264,$A83)</f>
        <v>0</v>
      </c>
      <c r="M83" t="s" s="78">
        <v>1058</v>
      </c>
      <c r="N83" t="s" s="78">
        <v>1058</v>
      </c>
      <c r="O83" s="80">
        <v>2</v>
      </c>
      <c r="P83" s="80" cm="1">
        <f t="array" ref="P83">_xlfn.COUNTIFS('Datos - Temas'!$K$5:$K$1264,$A83)</f>
        <v>2</v>
      </c>
      <c r="Q83" t="str" s="79" cm="1">
        <f t="array" ref="Q83">IF(O83&gt;0,"Sí","No")</f>
        <v>Sí</v>
      </c>
      <c r="R83" t="str" s="79" cm="1">
        <f t="array" ref="R83">IF(O83=0,"No cubierto",IF(O83=1,"Débil (1 tema)",IF(O83&lt;=3,"Básica (2–3)","Sólida (4+)")))</f>
        <v>Básica (2–3)</v>
      </c>
      <c r="S83" t="str" s="79" cm="1">
        <f t="array" ref="S83">_xlfn.IFERROR(INDEX($I$4:$L$4,MATCH(TRUE,INDEX(I83:L83&gt;0,0),0)),"—")</f>
        <v>5°</v>
      </c>
      <c r="T83" t="s" s="78">
        <v>1296</v>
      </c>
    </row>
    <row r="84" ht="35.65" customHeight="1">
      <c r="A84" t="s" s="78">
        <v>1297</v>
      </c>
      <c r="B84" t="s" s="78">
        <v>1164</v>
      </c>
      <c r="C84" t="s" s="78">
        <v>216</v>
      </c>
      <c r="D84" t="s" s="78">
        <v>1160</v>
      </c>
      <c r="E84" t="s" s="78">
        <v>1298</v>
      </c>
      <c r="F84" t="s" s="78">
        <v>1058</v>
      </c>
      <c r="G84" t="s" s="78">
        <v>1058</v>
      </c>
      <c r="H84" t="s" s="78">
        <v>1058</v>
      </c>
      <c r="I84" s="80" cm="1">
        <f t="array" ref="I84">_xlfn.COUNTIFS('Datos - Temas'!$V$5:$V$1264,I$4,'Datos - Temas'!$K$5:$K$1264,$A84)+_xlfn.COUNTIFS('Datos - Temas'!$V$5:$V$1264,I$4,'Datos - Temas'!$L$5:$L$1264,$A84)</f>
        <v>0</v>
      </c>
      <c r="J84" s="80" cm="1">
        <f t="array" ref="J84">_xlfn.COUNTIFS('Datos - Temas'!$V$5:$V$1264,J$4,'Datos - Temas'!$K$5:$K$1264,$A84)+_xlfn.COUNTIFS('Datos - Temas'!$V$5:$V$1264,J$4,'Datos - Temas'!$L$5:$L$1264,$A84)</f>
        <v>0</v>
      </c>
      <c r="K84" s="80" cm="1">
        <f t="array" ref="K84">_xlfn.COUNTIFS('Datos - Temas'!$V$5:$V$1264,K$4,'Datos - Temas'!$K$5:$K$1264,$A84)+_xlfn.COUNTIFS('Datos - Temas'!$V$5:$V$1264,K$4,'Datos - Temas'!$L$5:$L$1264,$A84)</f>
        <v>0</v>
      </c>
      <c r="L84" s="80" cm="1">
        <f t="array" ref="L84">_xlfn.COUNTIFS('Datos - Temas'!$V$5:$V$1264,L$4,'Datos - Temas'!$K$5:$K$1264,$A84)+_xlfn.COUNTIFS('Datos - Temas'!$V$5:$V$1264,L$4,'Datos - Temas'!$L$5:$L$1264,$A84)</f>
        <v>0</v>
      </c>
      <c r="M84" t="s" s="78">
        <v>1058</v>
      </c>
      <c r="N84" t="s" s="78">
        <v>1058</v>
      </c>
      <c r="O84" s="80">
        <v>0</v>
      </c>
      <c r="P84" s="80" cm="1">
        <f t="array" ref="P84">_xlfn.COUNTIFS('Datos - Temas'!$K$5:$K$1264,$A84)</f>
        <v>0</v>
      </c>
      <c r="Q84" t="str" s="79" cm="1">
        <f t="array" ref="Q84">IF(O84&gt;0,"Sí","No")</f>
        <v>No</v>
      </c>
      <c r="R84" t="str" s="79" cm="1">
        <f t="array" ref="R84">IF(O84=0,"No cubierto",IF(O84=1,"Débil (1 tema)",IF(O84&lt;=3,"Básica (2–3)","Sólida (4+)")))</f>
        <v>No cubierto</v>
      </c>
      <c r="S84" t="str" s="79" cm="1">
        <f t="array" ref="S84">_xlfn.IFERROR(INDEX($I$4:$L$4,MATCH(TRUE,INDEX(I84:L84&gt;0,0),0)),"—")</f>
        <v>—</v>
      </c>
      <c r="T84" t="s" s="78">
        <v>1299</v>
      </c>
    </row>
    <row r="85" ht="13.65" customHeight="1">
      <c r="A85" t="s" s="78">
        <v>1300</v>
      </c>
      <c r="B85" t="s" s="78">
        <v>1301</v>
      </c>
      <c r="C85" t="s" s="78">
        <v>1017</v>
      </c>
      <c r="D85" t="s" s="78">
        <v>1302</v>
      </c>
      <c r="E85" t="s" s="78">
        <v>1303</v>
      </c>
      <c r="F85" t="s" s="78">
        <v>1058</v>
      </c>
      <c r="G85" t="s" s="78">
        <v>1058</v>
      </c>
      <c r="H85" t="s" s="78">
        <v>1058</v>
      </c>
      <c r="I85" t="s" s="78">
        <v>1058</v>
      </c>
      <c r="J85" t="s" s="78">
        <v>1058</v>
      </c>
      <c r="K85" t="s" s="78">
        <v>1058</v>
      </c>
      <c r="L85" t="s" s="78">
        <v>1058</v>
      </c>
      <c r="M85" s="80" cm="1">
        <f t="array" ref="M85">_xlfn.COUNTIFS('Datos - Temas'!$V$5:$V$1264,M$4,'Datos - Temas'!$K$5:$K$1264,$A85)+_xlfn.COUNTIFS('Datos - Temas'!$V$5:$V$1264,M$4,'Datos - Temas'!$L$5:$L$1264,$A85)</f>
        <v>18</v>
      </c>
      <c r="N85" s="80" cm="1">
        <f t="array" ref="N85">_xlfn.COUNTIFS('Datos - Temas'!$V$5:$V$1264,N$4,'Datos - Temas'!$K$5:$K$1264,$A85)+_xlfn.COUNTIFS('Datos - Temas'!$V$5:$V$1264,N$4,'Datos - Temas'!$L$5:$L$1264,$A85)</f>
        <v>0</v>
      </c>
      <c r="O85" s="80">
        <v>18</v>
      </c>
      <c r="P85" s="80" cm="1">
        <f t="array" ref="P85">_xlfn.COUNTIFS('Datos - Temas'!$K$5:$K$1264,$A85)</f>
        <v>16</v>
      </c>
      <c r="Q85" t="str" s="79" cm="1">
        <f t="array" ref="Q85">IF(O85&gt;0,"Sí","No")</f>
        <v>Sí</v>
      </c>
      <c r="R85" t="str" s="79" cm="1">
        <f t="array" ref="R85">IF(O85=0,"No cubierto",IF(O85=1,"Débil (1 tema)",IF(O85&lt;=3,"Básica (2–3)","Sólida (4+)")))</f>
        <v>Sólida (4+)</v>
      </c>
      <c r="S85" t="str" s="79" cm="1">
        <f t="array" ref="S85">_xlfn.IFERROR(INDEX($M$4:$N$4,MATCH(TRUE,INDEX(M85:N85&gt;0,0),0)),"—")</f>
        <v>Física 10°</v>
      </c>
      <c r="T85" t="s" s="78">
        <v>1305</v>
      </c>
    </row>
    <row r="86" ht="24.65" customHeight="1">
      <c r="A86" t="s" s="78">
        <v>1306</v>
      </c>
      <c r="B86" t="s" s="78">
        <v>1301</v>
      </c>
      <c r="C86" t="s" s="78">
        <v>1017</v>
      </c>
      <c r="D86" t="s" s="78">
        <v>1302</v>
      </c>
      <c r="E86" t="s" s="78">
        <v>1307</v>
      </c>
      <c r="F86" t="s" s="78">
        <v>1058</v>
      </c>
      <c r="G86" t="s" s="78">
        <v>1058</v>
      </c>
      <c r="H86" t="s" s="78">
        <v>1058</v>
      </c>
      <c r="I86" t="s" s="78">
        <v>1058</v>
      </c>
      <c r="J86" t="s" s="78">
        <v>1058</v>
      </c>
      <c r="K86" t="s" s="78">
        <v>1058</v>
      </c>
      <c r="L86" t="s" s="78">
        <v>1058</v>
      </c>
      <c r="M86" s="80" cm="1">
        <f t="array" ref="M86">_xlfn.COUNTIFS('Datos - Temas'!$V$5:$V$1264,M$4,'Datos - Temas'!$K$5:$K$1264,$A86)+_xlfn.COUNTIFS('Datos - Temas'!$V$5:$V$1264,M$4,'Datos - Temas'!$L$5:$L$1264,$A86)</f>
        <v>10</v>
      </c>
      <c r="N86" s="80" cm="1">
        <f t="array" ref="N86">_xlfn.COUNTIFS('Datos - Temas'!$V$5:$V$1264,N$4,'Datos - Temas'!$K$5:$K$1264,$A86)+_xlfn.COUNTIFS('Datos - Temas'!$V$5:$V$1264,N$4,'Datos - Temas'!$L$5:$L$1264,$A86)</f>
        <v>1</v>
      </c>
      <c r="O86" s="80">
        <v>11</v>
      </c>
      <c r="P86" s="80" cm="1">
        <f t="array" ref="P86">_xlfn.COUNTIFS('Datos - Temas'!$K$5:$K$1264,$A86)</f>
        <v>8</v>
      </c>
      <c r="Q86" t="str" s="79" cm="1">
        <f t="array" ref="Q86">IF(O86&gt;0,"Sí","No")</f>
        <v>Sí</v>
      </c>
      <c r="R86" t="str" s="79" cm="1">
        <f t="array" ref="R86">IF(O86=0,"No cubierto",IF(O86=1,"Débil (1 tema)",IF(O86&lt;=3,"Básica (2–3)","Sólida (4+)")))</f>
        <v>Sólida (4+)</v>
      </c>
      <c r="S86" t="str" s="79" cm="1">
        <f t="array" ref="S86">_xlfn.IFERROR(INDEX($M$4:$N$4,MATCH(TRUE,INDEX(M86:N86&gt;0,0),0)),"—")</f>
        <v>Física 10°</v>
      </c>
      <c r="T86" t="s" s="78">
        <v>1308</v>
      </c>
    </row>
    <row r="87" ht="13.65" customHeight="1">
      <c r="A87" t="s" s="78">
        <v>1309</v>
      </c>
      <c r="B87" t="s" s="78">
        <v>1301</v>
      </c>
      <c r="C87" t="s" s="78">
        <v>1017</v>
      </c>
      <c r="D87" t="s" s="78">
        <v>1302</v>
      </c>
      <c r="E87" t="s" s="78">
        <v>1310</v>
      </c>
      <c r="F87" t="s" s="78">
        <v>1058</v>
      </c>
      <c r="G87" t="s" s="78">
        <v>1058</v>
      </c>
      <c r="H87" t="s" s="78">
        <v>1058</v>
      </c>
      <c r="I87" t="s" s="78">
        <v>1058</v>
      </c>
      <c r="J87" t="s" s="78">
        <v>1058</v>
      </c>
      <c r="K87" t="s" s="78">
        <v>1058</v>
      </c>
      <c r="L87" t="s" s="78">
        <v>1058</v>
      </c>
      <c r="M87" s="80" cm="1">
        <f t="array" ref="M87">_xlfn.COUNTIFS('Datos - Temas'!$V$5:$V$1264,M$4,'Datos - Temas'!$K$5:$K$1264,$A87)+_xlfn.COUNTIFS('Datos - Temas'!$V$5:$V$1264,M$4,'Datos - Temas'!$L$5:$L$1264,$A87)</f>
        <v>8</v>
      </c>
      <c r="N87" s="80" cm="1">
        <f t="array" ref="N87">_xlfn.COUNTIFS('Datos - Temas'!$V$5:$V$1264,N$4,'Datos - Temas'!$K$5:$K$1264,$A87)+_xlfn.COUNTIFS('Datos - Temas'!$V$5:$V$1264,N$4,'Datos - Temas'!$L$5:$L$1264,$A87)</f>
        <v>1</v>
      </c>
      <c r="O87" s="80">
        <v>9</v>
      </c>
      <c r="P87" s="80" cm="1">
        <f t="array" ref="P87">_xlfn.COUNTIFS('Datos - Temas'!$K$5:$K$1264,$A87)</f>
        <v>7</v>
      </c>
      <c r="Q87" t="str" s="79" cm="1">
        <f t="array" ref="Q87">IF(O87&gt;0,"Sí","No")</f>
        <v>Sí</v>
      </c>
      <c r="R87" t="str" s="79" cm="1">
        <f t="array" ref="R87">IF(O87=0,"No cubierto",IF(O87=1,"Débil (1 tema)",IF(O87&lt;=3,"Básica (2–3)","Sólida (4+)")))</f>
        <v>Sólida (4+)</v>
      </c>
      <c r="S87" t="str" s="79" cm="1">
        <f t="array" ref="S87">_xlfn.IFERROR(INDEX($M$4:$N$4,MATCH(TRUE,INDEX(M87:N87&gt;0,0),0)),"—")</f>
        <v>Física 10°</v>
      </c>
      <c r="T87" t="s" s="78">
        <v>1311</v>
      </c>
    </row>
    <row r="88" ht="13.65" customHeight="1">
      <c r="A88" t="s" s="78">
        <v>1312</v>
      </c>
      <c r="B88" t="s" s="78">
        <v>1301</v>
      </c>
      <c r="C88" t="s" s="78">
        <v>1017</v>
      </c>
      <c r="D88" t="s" s="78">
        <v>1302</v>
      </c>
      <c r="E88" t="s" s="78">
        <v>1313</v>
      </c>
      <c r="F88" t="s" s="78">
        <v>1058</v>
      </c>
      <c r="G88" t="s" s="78">
        <v>1058</v>
      </c>
      <c r="H88" t="s" s="78">
        <v>1058</v>
      </c>
      <c r="I88" t="s" s="78">
        <v>1058</v>
      </c>
      <c r="J88" t="s" s="78">
        <v>1058</v>
      </c>
      <c r="K88" t="s" s="78">
        <v>1058</v>
      </c>
      <c r="L88" t="s" s="78">
        <v>1058</v>
      </c>
      <c r="M88" s="80" cm="1">
        <f t="array" ref="M88">_xlfn.COUNTIFS('Datos - Temas'!$V$5:$V$1264,M$4,'Datos - Temas'!$K$5:$K$1264,$A88)+_xlfn.COUNTIFS('Datos - Temas'!$V$5:$V$1264,M$4,'Datos - Temas'!$L$5:$L$1264,$A88)</f>
        <v>3</v>
      </c>
      <c r="N88" s="80" cm="1">
        <f t="array" ref="N88">_xlfn.COUNTIFS('Datos - Temas'!$V$5:$V$1264,N$4,'Datos - Temas'!$K$5:$K$1264,$A88)+_xlfn.COUNTIFS('Datos - Temas'!$V$5:$V$1264,N$4,'Datos - Temas'!$L$5:$L$1264,$A88)</f>
        <v>2</v>
      </c>
      <c r="O88" s="80">
        <v>5</v>
      </c>
      <c r="P88" s="80" cm="1">
        <f t="array" ref="P88">_xlfn.COUNTIFS('Datos - Temas'!$K$5:$K$1264,$A88)</f>
        <v>4</v>
      </c>
      <c r="Q88" t="str" s="79" cm="1">
        <f t="array" ref="Q88">IF(O88&gt;0,"Sí","No")</f>
        <v>Sí</v>
      </c>
      <c r="R88" t="str" s="79" cm="1">
        <f t="array" ref="R88">IF(O88=0,"No cubierto",IF(O88=1,"Débil (1 tema)",IF(O88&lt;=3,"Básica (2–3)","Sólida (4+)")))</f>
        <v>Sólida (4+)</v>
      </c>
      <c r="S88" t="str" s="79" cm="1">
        <f t="array" ref="S88">_xlfn.IFERROR(INDEX($M$4:$N$4,MATCH(TRUE,INDEX(M88:N88&gt;0,0),0)),"—")</f>
        <v>Física 10°</v>
      </c>
      <c r="T88" t="s" s="78">
        <v>1314</v>
      </c>
    </row>
    <row r="89" ht="24.65" customHeight="1">
      <c r="A89" t="s" s="78">
        <v>1315</v>
      </c>
      <c r="B89" t="s" s="78">
        <v>1301</v>
      </c>
      <c r="C89" t="s" s="78">
        <v>1017</v>
      </c>
      <c r="D89" t="s" s="78">
        <v>1316</v>
      </c>
      <c r="E89" t="s" s="78">
        <v>1317</v>
      </c>
      <c r="F89" t="s" s="78">
        <v>1058</v>
      </c>
      <c r="G89" t="s" s="78">
        <v>1058</v>
      </c>
      <c r="H89" t="s" s="78">
        <v>1058</v>
      </c>
      <c r="I89" t="s" s="78">
        <v>1058</v>
      </c>
      <c r="J89" t="s" s="78">
        <v>1058</v>
      </c>
      <c r="K89" t="s" s="78">
        <v>1058</v>
      </c>
      <c r="L89" t="s" s="78">
        <v>1058</v>
      </c>
      <c r="M89" s="80" cm="1">
        <f t="array" ref="M89">_xlfn.COUNTIFS('Datos - Temas'!$V$5:$V$1264,M$4,'Datos - Temas'!$K$5:$K$1264,$A89)+_xlfn.COUNTIFS('Datos - Temas'!$V$5:$V$1264,M$4,'Datos - Temas'!$L$5:$L$1264,$A89)</f>
        <v>11</v>
      </c>
      <c r="N89" s="80" cm="1">
        <f t="array" ref="N89">_xlfn.COUNTIFS('Datos - Temas'!$V$5:$V$1264,N$4,'Datos - Temas'!$K$5:$K$1264,$A89)+_xlfn.COUNTIFS('Datos - Temas'!$V$5:$V$1264,N$4,'Datos - Temas'!$L$5:$L$1264,$A89)</f>
        <v>2</v>
      </c>
      <c r="O89" s="80">
        <v>13</v>
      </c>
      <c r="P89" s="80" cm="1">
        <f t="array" ref="P89">_xlfn.COUNTIFS('Datos - Temas'!$K$5:$K$1264,$A89)</f>
        <v>11</v>
      </c>
      <c r="Q89" t="str" s="79" cm="1">
        <f t="array" ref="Q89">IF(O89&gt;0,"Sí","No")</f>
        <v>Sí</v>
      </c>
      <c r="R89" t="str" s="79" cm="1">
        <f t="array" ref="R89">IF(O89=0,"No cubierto",IF(O89=1,"Débil (1 tema)",IF(O89&lt;=3,"Básica (2–3)","Sólida (4+)")))</f>
        <v>Sólida (4+)</v>
      </c>
      <c r="S89" t="str" s="79" cm="1">
        <f t="array" ref="S89">_xlfn.IFERROR(INDEX($M$4:$N$4,MATCH(TRUE,INDEX(M89:N89&gt;0,0),0)),"—")</f>
        <v>Física 10°</v>
      </c>
      <c r="T89" t="s" s="78">
        <v>1318</v>
      </c>
    </row>
    <row r="90" ht="13.65" customHeight="1">
      <c r="A90" t="s" s="78">
        <v>1319</v>
      </c>
      <c r="B90" t="s" s="78">
        <v>1301</v>
      </c>
      <c r="C90" t="s" s="78">
        <v>1017</v>
      </c>
      <c r="D90" t="s" s="78">
        <v>1316</v>
      </c>
      <c r="E90" t="s" s="78">
        <v>1320</v>
      </c>
      <c r="F90" t="s" s="78">
        <v>1058</v>
      </c>
      <c r="G90" t="s" s="78">
        <v>1058</v>
      </c>
      <c r="H90" t="s" s="78">
        <v>1058</v>
      </c>
      <c r="I90" t="s" s="78">
        <v>1058</v>
      </c>
      <c r="J90" t="s" s="78">
        <v>1058</v>
      </c>
      <c r="K90" t="s" s="78">
        <v>1058</v>
      </c>
      <c r="L90" t="s" s="78">
        <v>1058</v>
      </c>
      <c r="M90" s="80" cm="1">
        <f t="array" ref="M90">_xlfn.COUNTIFS('Datos - Temas'!$V$5:$V$1264,M$4,'Datos - Temas'!$K$5:$K$1264,$A90)+_xlfn.COUNTIFS('Datos - Temas'!$V$5:$V$1264,M$4,'Datos - Temas'!$L$5:$L$1264,$A90)</f>
        <v>5</v>
      </c>
      <c r="N90" s="80" cm="1">
        <f t="array" ref="N90">_xlfn.COUNTIFS('Datos - Temas'!$V$5:$V$1264,N$4,'Datos - Temas'!$K$5:$K$1264,$A90)+_xlfn.COUNTIFS('Datos - Temas'!$V$5:$V$1264,N$4,'Datos - Temas'!$L$5:$L$1264,$A90)</f>
        <v>1</v>
      </c>
      <c r="O90" s="80">
        <v>6</v>
      </c>
      <c r="P90" s="80" cm="1">
        <f t="array" ref="P90">_xlfn.COUNTIFS('Datos - Temas'!$K$5:$K$1264,$A90)</f>
        <v>5</v>
      </c>
      <c r="Q90" t="str" s="79" cm="1">
        <f t="array" ref="Q90">IF(O90&gt;0,"Sí","No")</f>
        <v>Sí</v>
      </c>
      <c r="R90" t="str" s="79" cm="1">
        <f t="array" ref="R90">IF(O90=0,"No cubierto",IF(O90=1,"Débil (1 tema)",IF(O90&lt;=3,"Básica (2–3)","Sólida (4+)")))</f>
        <v>Sólida (4+)</v>
      </c>
      <c r="S90" t="str" s="79" cm="1">
        <f t="array" ref="S90">_xlfn.IFERROR(INDEX($M$4:$N$4,MATCH(TRUE,INDEX(M90:N90&gt;0,0),0)),"—")</f>
        <v>Física 10°</v>
      </c>
      <c r="T90" t="s" s="78">
        <v>1321</v>
      </c>
    </row>
    <row r="91" ht="13.65" customHeight="1">
      <c r="A91" t="s" s="78">
        <v>1322</v>
      </c>
      <c r="B91" t="s" s="78">
        <v>1301</v>
      </c>
      <c r="C91" t="s" s="78">
        <v>1017</v>
      </c>
      <c r="D91" t="s" s="78">
        <v>1316</v>
      </c>
      <c r="E91" t="s" s="78">
        <v>1323</v>
      </c>
      <c r="F91" t="s" s="78">
        <v>1058</v>
      </c>
      <c r="G91" t="s" s="78">
        <v>1058</v>
      </c>
      <c r="H91" t="s" s="78">
        <v>1058</v>
      </c>
      <c r="I91" t="s" s="78">
        <v>1058</v>
      </c>
      <c r="J91" t="s" s="78">
        <v>1058</v>
      </c>
      <c r="K91" t="s" s="78">
        <v>1058</v>
      </c>
      <c r="L91" t="s" s="78">
        <v>1058</v>
      </c>
      <c r="M91" s="80" cm="1">
        <f t="array" ref="M91">_xlfn.COUNTIFS('Datos - Temas'!$V$5:$V$1264,M$4,'Datos - Temas'!$K$5:$K$1264,$A91)+_xlfn.COUNTIFS('Datos - Temas'!$V$5:$V$1264,M$4,'Datos - Temas'!$L$5:$L$1264,$A91)</f>
        <v>8</v>
      </c>
      <c r="N91" s="80" cm="1">
        <f t="array" ref="N91">_xlfn.COUNTIFS('Datos - Temas'!$V$5:$V$1264,N$4,'Datos - Temas'!$K$5:$K$1264,$A91)+_xlfn.COUNTIFS('Datos - Temas'!$V$5:$V$1264,N$4,'Datos - Temas'!$L$5:$L$1264,$A91)</f>
        <v>0</v>
      </c>
      <c r="O91" s="80">
        <v>8</v>
      </c>
      <c r="P91" s="80" cm="1">
        <f t="array" ref="P91">_xlfn.COUNTIFS('Datos - Temas'!$K$5:$K$1264,$A91)</f>
        <v>7</v>
      </c>
      <c r="Q91" t="str" s="79" cm="1">
        <f t="array" ref="Q91">IF(O91&gt;0,"Sí","No")</f>
        <v>Sí</v>
      </c>
      <c r="R91" t="str" s="79" cm="1">
        <f t="array" ref="R91">IF(O91=0,"No cubierto",IF(O91=1,"Débil (1 tema)",IF(O91&lt;=3,"Básica (2–3)","Sólida (4+)")))</f>
        <v>Sólida (4+)</v>
      </c>
      <c r="S91" t="str" s="79" cm="1">
        <f t="array" ref="S91">_xlfn.IFERROR(INDEX($M$4:$N$4,MATCH(TRUE,INDEX(M91:N91&gt;0,0),0)),"—")</f>
        <v>Física 10°</v>
      </c>
      <c r="T91" t="s" s="78">
        <v>1324</v>
      </c>
    </row>
    <row r="92" ht="24.65" customHeight="1">
      <c r="A92" t="s" s="78">
        <v>1325</v>
      </c>
      <c r="B92" t="s" s="78">
        <v>1301</v>
      </c>
      <c r="C92" t="s" s="78">
        <v>1017</v>
      </c>
      <c r="D92" t="s" s="78">
        <v>1326</v>
      </c>
      <c r="E92" t="s" s="78">
        <v>1327</v>
      </c>
      <c r="F92" t="s" s="78">
        <v>1058</v>
      </c>
      <c r="G92" t="s" s="78">
        <v>1058</v>
      </c>
      <c r="H92" t="s" s="78">
        <v>1058</v>
      </c>
      <c r="I92" t="s" s="78">
        <v>1058</v>
      </c>
      <c r="J92" t="s" s="78">
        <v>1058</v>
      </c>
      <c r="K92" t="s" s="78">
        <v>1058</v>
      </c>
      <c r="L92" t="s" s="78">
        <v>1058</v>
      </c>
      <c r="M92" s="80" cm="1">
        <f t="array" ref="M92">_xlfn.COUNTIFS('Datos - Temas'!$V$5:$V$1264,M$4,'Datos - Temas'!$K$5:$K$1264,$A92)+_xlfn.COUNTIFS('Datos - Temas'!$V$5:$V$1264,M$4,'Datos - Temas'!$L$5:$L$1264,$A92)</f>
        <v>10</v>
      </c>
      <c r="N92" s="80" cm="1">
        <f t="array" ref="N92">_xlfn.COUNTIFS('Datos - Temas'!$V$5:$V$1264,N$4,'Datos - Temas'!$K$5:$K$1264,$A92)+_xlfn.COUNTIFS('Datos - Temas'!$V$5:$V$1264,N$4,'Datos - Temas'!$L$5:$L$1264,$A92)</f>
        <v>0</v>
      </c>
      <c r="O92" s="80">
        <v>10</v>
      </c>
      <c r="P92" s="80" cm="1">
        <f t="array" ref="P92">_xlfn.COUNTIFS('Datos - Temas'!$K$5:$K$1264,$A92)</f>
        <v>8</v>
      </c>
      <c r="Q92" t="str" s="79" cm="1">
        <f t="array" ref="Q92">IF(O92&gt;0,"Sí","No")</f>
        <v>Sí</v>
      </c>
      <c r="R92" t="str" s="79" cm="1">
        <f t="array" ref="R92">IF(O92=0,"No cubierto",IF(O92=1,"Débil (1 tema)",IF(O92&lt;=3,"Básica (2–3)","Sólida (4+)")))</f>
        <v>Sólida (4+)</v>
      </c>
      <c r="S92" t="str" s="79" cm="1">
        <f t="array" ref="S92">_xlfn.IFERROR(INDEX($M$4:$N$4,MATCH(TRUE,INDEX(M92:N92&gt;0,0),0)),"—")</f>
        <v>Física 10°</v>
      </c>
      <c r="T92" t="s" s="78">
        <v>1328</v>
      </c>
    </row>
    <row r="93" ht="13.65" customHeight="1">
      <c r="A93" t="s" s="78">
        <v>1329</v>
      </c>
      <c r="B93" t="s" s="78">
        <v>1301</v>
      </c>
      <c r="C93" t="s" s="78">
        <v>1017</v>
      </c>
      <c r="D93" t="s" s="78">
        <v>1326</v>
      </c>
      <c r="E93" t="s" s="78">
        <v>1330</v>
      </c>
      <c r="F93" t="s" s="78">
        <v>1058</v>
      </c>
      <c r="G93" t="s" s="78">
        <v>1058</v>
      </c>
      <c r="H93" t="s" s="78">
        <v>1058</v>
      </c>
      <c r="I93" t="s" s="78">
        <v>1058</v>
      </c>
      <c r="J93" t="s" s="78">
        <v>1058</v>
      </c>
      <c r="K93" t="s" s="78">
        <v>1058</v>
      </c>
      <c r="L93" t="s" s="78">
        <v>1058</v>
      </c>
      <c r="M93" s="80" cm="1">
        <f t="array" ref="M93">_xlfn.COUNTIFS('Datos - Temas'!$V$5:$V$1264,M$4,'Datos - Temas'!$K$5:$K$1264,$A93)+_xlfn.COUNTIFS('Datos - Temas'!$V$5:$V$1264,M$4,'Datos - Temas'!$L$5:$L$1264,$A93)</f>
        <v>7</v>
      </c>
      <c r="N93" s="80" cm="1">
        <f t="array" ref="N93">_xlfn.COUNTIFS('Datos - Temas'!$V$5:$V$1264,N$4,'Datos - Temas'!$K$5:$K$1264,$A93)+_xlfn.COUNTIFS('Datos - Temas'!$V$5:$V$1264,N$4,'Datos - Temas'!$L$5:$L$1264,$A93)</f>
        <v>0</v>
      </c>
      <c r="O93" s="80">
        <v>7</v>
      </c>
      <c r="P93" s="80" cm="1">
        <f t="array" ref="P93">_xlfn.COUNTIFS('Datos - Temas'!$K$5:$K$1264,$A93)</f>
        <v>5</v>
      </c>
      <c r="Q93" t="str" s="79" cm="1">
        <f t="array" ref="Q93">IF(O93&gt;0,"Sí","No")</f>
        <v>Sí</v>
      </c>
      <c r="R93" t="str" s="79" cm="1">
        <f t="array" ref="R93">IF(O93=0,"No cubierto",IF(O93=1,"Débil (1 tema)",IF(O93&lt;=3,"Básica (2–3)","Sólida (4+)")))</f>
        <v>Sólida (4+)</v>
      </c>
      <c r="S93" t="str" s="79" cm="1">
        <f t="array" ref="S93">_xlfn.IFERROR(INDEX($M$4:$N$4,MATCH(TRUE,INDEX(M93:N93&gt;0,0),0)),"—")</f>
        <v>Física 10°</v>
      </c>
      <c r="T93" t="s" s="78">
        <v>1331</v>
      </c>
    </row>
    <row r="94" ht="13.65" customHeight="1">
      <c r="A94" t="s" s="78">
        <v>1332</v>
      </c>
      <c r="B94" t="s" s="78">
        <v>1301</v>
      </c>
      <c r="C94" t="s" s="78">
        <v>1018</v>
      </c>
      <c r="D94" t="s" s="78">
        <v>1333</v>
      </c>
      <c r="E94" t="s" s="78">
        <v>1334</v>
      </c>
      <c r="F94" t="s" s="78">
        <v>1058</v>
      </c>
      <c r="G94" t="s" s="78">
        <v>1058</v>
      </c>
      <c r="H94" t="s" s="78">
        <v>1058</v>
      </c>
      <c r="I94" t="s" s="78">
        <v>1058</v>
      </c>
      <c r="J94" t="s" s="78">
        <v>1058</v>
      </c>
      <c r="K94" t="s" s="78">
        <v>1058</v>
      </c>
      <c r="L94" t="s" s="78">
        <v>1058</v>
      </c>
      <c r="M94" s="80" cm="1">
        <f t="array" ref="M94">_xlfn.COUNTIFS('Datos - Temas'!$V$5:$V$1264,M$4,'Datos - Temas'!$K$5:$K$1264,$A94)+_xlfn.COUNTIFS('Datos - Temas'!$V$5:$V$1264,M$4,'Datos - Temas'!$L$5:$L$1264,$A94)</f>
        <v>0</v>
      </c>
      <c r="N94" s="80" cm="1">
        <f t="array" ref="N94">_xlfn.COUNTIFS('Datos - Temas'!$V$5:$V$1264,N$4,'Datos - Temas'!$K$5:$K$1264,$A94)+_xlfn.COUNTIFS('Datos - Temas'!$V$5:$V$1264,N$4,'Datos - Temas'!$L$5:$L$1264,$A94)</f>
        <v>7</v>
      </c>
      <c r="O94" s="80">
        <v>7</v>
      </c>
      <c r="P94" s="80" cm="1">
        <f t="array" ref="P94">_xlfn.COUNTIFS('Datos - Temas'!$K$5:$K$1264,$A94)</f>
        <v>5</v>
      </c>
      <c r="Q94" t="str" s="79" cm="1">
        <f t="array" ref="Q94">IF(O94&gt;0,"Sí","No")</f>
        <v>Sí</v>
      </c>
      <c r="R94" t="str" s="79" cm="1">
        <f t="array" ref="R94">IF(O94=0,"No cubierto",IF(O94=1,"Débil (1 tema)",IF(O94&lt;=3,"Básica (2–3)","Sólida (4+)")))</f>
        <v>Sólida (4+)</v>
      </c>
      <c r="S94" t="str" s="79" cm="1">
        <f t="array" ref="S94">_xlfn.IFERROR(INDEX($M$4:$N$4,MATCH(TRUE,INDEX(M94:N94&gt;0,0),0)),"—")</f>
        <v>Física 11°</v>
      </c>
      <c r="T94" t="s" s="78">
        <v>1336</v>
      </c>
    </row>
    <row r="95" ht="13.65" customHeight="1">
      <c r="A95" t="s" s="78">
        <v>1337</v>
      </c>
      <c r="B95" t="s" s="78">
        <v>1301</v>
      </c>
      <c r="C95" t="s" s="78">
        <v>1018</v>
      </c>
      <c r="D95" t="s" s="78">
        <v>1333</v>
      </c>
      <c r="E95" t="s" s="78">
        <v>1338</v>
      </c>
      <c r="F95" t="s" s="78">
        <v>1058</v>
      </c>
      <c r="G95" t="s" s="78">
        <v>1058</v>
      </c>
      <c r="H95" t="s" s="78">
        <v>1058</v>
      </c>
      <c r="I95" t="s" s="78">
        <v>1058</v>
      </c>
      <c r="J95" t="s" s="78">
        <v>1058</v>
      </c>
      <c r="K95" t="s" s="78">
        <v>1058</v>
      </c>
      <c r="L95" t="s" s="78">
        <v>1058</v>
      </c>
      <c r="M95" s="80" cm="1">
        <f t="array" ref="M95">_xlfn.COUNTIFS('Datos - Temas'!$V$5:$V$1264,M$4,'Datos - Temas'!$K$5:$K$1264,$A95)+_xlfn.COUNTIFS('Datos - Temas'!$V$5:$V$1264,M$4,'Datos - Temas'!$L$5:$L$1264,$A95)</f>
        <v>0</v>
      </c>
      <c r="N95" s="80" cm="1">
        <f t="array" ref="N95">_xlfn.COUNTIFS('Datos - Temas'!$V$5:$V$1264,N$4,'Datos - Temas'!$K$5:$K$1264,$A95)+_xlfn.COUNTIFS('Datos - Temas'!$V$5:$V$1264,N$4,'Datos - Temas'!$L$5:$L$1264,$A95)</f>
        <v>11</v>
      </c>
      <c r="O95" s="80">
        <v>11</v>
      </c>
      <c r="P95" s="80" cm="1">
        <f t="array" ref="P95">_xlfn.COUNTIFS('Datos - Temas'!$K$5:$K$1264,$A95)</f>
        <v>10</v>
      </c>
      <c r="Q95" t="str" s="79" cm="1">
        <f t="array" ref="Q95">IF(O95&gt;0,"Sí","No")</f>
        <v>Sí</v>
      </c>
      <c r="R95" t="str" s="79" cm="1">
        <f t="array" ref="R95">IF(O95=0,"No cubierto",IF(O95=1,"Débil (1 tema)",IF(O95&lt;=3,"Básica (2–3)","Sólida (4+)")))</f>
        <v>Sólida (4+)</v>
      </c>
      <c r="S95" t="str" s="79" cm="1">
        <f t="array" ref="S95">_xlfn.IFERROR(INDEX($M$4:$N$4,MATCH(TRUE,INDEX(M95:N95&gt;0,0),0)),"—")</f>
        <v>Física 11°</v>
      </c>
      <c r="T95" t="s" s="78">
        <v>1339</v>
      </c>
    </row>
    <row r="96" ht="13.65" customHeight="1">
      <c r="A96" t="s" s="78">
        <v>1340</v>
      </c>
      <c r="B96" t="s" s="78">
        <v>1301</v>
      </c>
      <c r="C96" t="s" s="78">
        <v>1018</v>
      </c>
      <c r="D96" t="s" s="78">
        <v>1333</v>
      </c>
      <c r="E96" t="s" s="78">
        <v>1341</v>
      </c>
      <c r="F96" t="s" s="78">
        <v>1058</v>
      </c>
      <c r="G96" t="s" s="78">
        <v>1058</v>
      </c>
      <c r="H96" t="s" s="78">
        <v>1058</v>
      </c>
      <c r="I96" t="s" s="78">
        <v>1058</v>
      </c>
      <c r="J96" t="s" s="78">
        <v>1058</v>
      </c>
      <c r="K96" t="s" s="78">
        <v>1058</v>
      </c>
      <c r="L96" t="s" s="78">
        <v>1058</v>
      </c>
      <c r="M96" s="80" cm="1">
        <f t="array" ref="M96">_xlfn.COUNTIFS('Datos - Temas'!$V$5:$V$1264,M$4,'Datos - Temas'!$K$5:$K$1264,$A96)+_xlfn.COUNTIFS('Datos - Temas'!$V$5:$V$1264,M$4,'Datos - Temas'!$L$5:$L$1264,$A96)</f>
        <v>0</v>
      </c>
      <c r="N96" s="80" cm="1">
        <f t="array" ref="N96">_xlfn.COUNTIFS('Datos - Temas'!$V$5:$V$1264,N$4,'Datos - Temas'!$K$5:$K$1264,$A96)+_xlfn.COUNTIFS('Datos - Temas'!$V$5:$V$1264,N$4,'Datos - Temas'!$L$5:$L$1264,$A96)</f>
        <v>15</v>
      </c>
      <c r="O96" s="80">
        <v>15</v>
      </c>
      <c r="P96" s="80" cm="1">
        <f t="array" ref="P96">_xlfn.COUNTIFS('Datos - Temas'!$K$5:$K$1264,$A96)</f>
        <v>14</v>
      </c>
      <c r="Q96" t="str" s="79" cm="1">
        <f t="array" ref="Q96">IF(O96&gt;0,"Sí","No")</f>
        <v>Sí</v>
      </c>
      <c r="R96" t="str" s="79" cm="1">
        <f t="array" ref="R96">IF(O96=0,"No cubierto",IF(O96=1,"Débil (1 tema)",IF(O96&lt;=3,"Básica (2–3)","Sólida (4+)")))</f>
        <v>Sólida (4+)</v>
      </c>
      <c r="S96" t="str" s="79" cm="1">
        <f t="array" ref="S96">_xlfn.IFERROR(INDEX($M$4:$N$4,MATCH(TRUE,INDEX(M96:N96&gt;0,0),0)),"—")</f>
        <v>Física 11°</v>
      </c>
      <c r="T96" t="s" s="78">
        <v>1342</v>
      </c>
    </row>
    <row r="97" ht="24.65" customHeight="1">
      <c r="A97" t="s" s="78">
        <v>1343</v>
      </c>
      <c r="B97" t="s" s="78">
        <v>1301</v>
      </c>
      <c r="C97" t="s" s="78">
        <v>1018</v>
      </c>
      <c r="D97" t="s" s="78">
        <v>1344</v>
      </c>
      <c r="E97" t="s" s="78">
        <v>1345</v>
      </c>
      <c r="F97" t="s" s="78">
        <v>1058</v>
      </c>
      <c r="G97" t="s" s="78">
        <v>1058</v>
      </c>
      <c r="H97" t="s" s="78">
        <v>1058</v>
      </c>
      <c r="I97" t="s" s="78">
        <v>1058</v>
      </c>
      <c r="J97" t="s" s="78">
        <v>1058</v>
      </c>
      <c r="K97" t="s" s="78">
        <v>1058</v>
      </c>
      <c r="L97" t="s" s="78">
        <v>1058</v>
      </c>
      <c r="M97" s="80" cm="1">
        <f t="array" ref="M97">_xlfn.COUNTIFS('Datos - Temas'!$V$5:$V$1264,M$4,'Datos - Temas'!$K$5:$K$1264,$A97)+_xlfn.COUNTIFS('Datos - Temas'!$V$5:$V$1264,M$4,'Datos - Temas'!$L$5:$L$1264,$A97)</f>
        <v>0</v>
      </c>
      <c r="N97" s="80" cm="1">
        <f t="array" ref="N97">_xlfn.COUNTIFS('Datos - Temas'!$V$5:$V$1264,N$4,'Datos - Temas'!$K$5:$K$1264,$A97)+_xlfn.COUNTIFS('Datos - Temas'!$V$5:$V$1264,N$4,'Datos - Temas'!$L$5:$L$1264,$A97)</f>
        <v>6</v>
      </c>
      <c r="O97" s="80">
        <v>6</v>
      </c>
      <c r="P97" s="80" cm="1">
        <f t="array" ref="P97">_xlfn.COUNTIFS('Datos - Temas'!$K$5:$K$1264,$A97)</f>
        <v>5</v>
      </c>
      <c r="Q97" t="str" s="79" cm="1">
        <f t="array" ref="Q97">IF(O97&gt;0,"Sí","No")</f>
        <v>Sí</v>
      </c>
      <c r="R97" t="str" s="79" cm="1">
        <f t="array" ref="R97">IF(O97=0,"No cubierto",IF(O97=1,"Débil (1 tema)",IF(O97&lt;=3,"Básica (2–3)","Sólida (4+)")))</f>
        <v>Sólida (4+)</v>
      </c>
      <c r="S97" t="str" s="79" cm="1">
        <f t="array" ref="S97">_xlfn.IFERROR(INDEX($M$4:$N$4,MATCH(TRUE,INDEX(M97:N97&gt;0,0),0)),"—")</f>
        <v>Física 11°</v>
      </c>
      <c r="T97" t="s" s="78">
        <v>1346</v>
      </c>
    </row>
    <row r="98" ht="24.65" customHeight="1">
      <c r="A98" t="s" s="78">
        <v>1347</v>
      </c>
      <c r="B98" t="s" s="78">
        <v>1301</v>
      </c>
      <c r="C98" t="s" s="78">
        <v>1018</v>
      </c>
      <c r="D98" t="s" s="78">
        <v>1344</v>
      </c>
      <c r="E98" t="s" s="78">
        <v>1348</v>
      </c>
      <c r="F98" t="s" s="78">
        <v>1058</v>
      </c>
      <c r="G98" t="s" s="78">
        <v>1058</v>
      </c>
      <c r="H98" t="s" s="78">
        <v>1058</v>
      </c>
      <c r="I98" t="s" s="78">
        <v>1058</v>
      </c>
      <c r="J98" t="s" s="78">
        <v>1058</v>
      </c>
      <c r="K98" t="s" s="78">
        <v>1058</v>
      </c>
      <c r="L98" t="s" s="78">
        <v>1058</v>
      </c>
      <c r="M98" s="80" cm="1">
        <f t="array" ref="M98">_xlfn.COUNTIFS('Datos - Temas'!$V$5:$V$1264,M$4,'Datos - Temas'!$K$5:$K$1264,$A98)+_xlfn.COUNTIFS('Datos - Temas'!$V$5:$V$1264,M$4,'Datos - Temas'!$L$5:$L$1264,$A98)</f>
        <v>0</v>
      </c>
      <c r="N98" s="80" cm="1">
        <f t="array" ref="N98">_xlfn.COUNTIFS('Datos - Temas'!$V$5:$V$1264,N$4,'Datos - Temas'!$K$5:$K$1264,$A98)+_xlfn.COUNTIFS('Datos - Temas'!$V$5:$V$1264,N$4,'Datos - Temas'!$L$5:$L$1264,$A98)</f>
        <v>7</v>
      </c>
      <c r="O98" s="80">
        <v>7</v>
      </c>
      <c r="P98" s="80" cm="1">
        <f t="array" ref="P98">_xlfn.COUNTIFS('Datos - Temas'!$K$5:$K$1264,$A98)</f>
        <v>5</v>
      </c>
      <c r="Q98" t="str" s="79" cm="1">
        <f t="array" ref="Q98">IF(O98&gt;0,"Sí","No")</f>
        <v>Sí</v>
      </c>
      <c r="R98" t="str" s="79" cm="1">
        <f t="array" ref="R98">IF(O98=0,"No cubierto",IF(O98=1,"Débil (1 tema)",IF(O98&lt;=3,"Básica (2–3)","Sólida (4+)")))</f>
        <v>Sólida (4+)</v>
      </c>
      <c r="S98" t="str" s="79" cm="1">
        <f t="array" ref="S98">_xlfn.IFERROR(INDEX($M$4:$N$4,MATCH(TRUE,INDEX(M98:N98&gt;0,0),0)),"—")</f>
        <v>Física 11°</v>
      </c>
      <c r="T98" t="s" s="78">
        <v>1349</v>
      </c>
    </row>
    <row r="99" ht="24.65" customHeight="1">
      <c r="A99" t="s" s="78">
        <v>1350</v>
      </c>
      <c r="B99" t="s" s="78">
        <v>1301</v>
      </c>
      <c r="C99" t="s" s="78">
        <v>1018</v>
      </c>
      <c r="D99" t="s" s="78">
        <v>1344</v>
      </c>
      <c r="E99" t="s" s="78">
        <v>1351</v>
      </c>
      <c r="F99" t="s" s="78">
        <v>1058</v>
      </c>
      <c r="G99" t="s" s="78">
        <v>1058</v>
      </c>
      <c r="H99" t="s" s="78">
        <v>1058</v>
      </c>
      <c r="I99" t="s" s="78">
        <v>1058</v>
      </c>
      <c r="J99" t="s" s="78">
        <v>1058</v>
      </c>
      <c r="K99" t="s" s="78">
        <v>1058</v>
      </c>
      <c r="L99" t="s" s="78">
        <v>1058</v>
      </c>
      <c r="M99" s="80" cm="1">
        <f t="array" ref="M99">_xlfn.COUNTIFS('Datos - Temas'!$V$5:$V$1264,M$4,'Datos - Temas'!$K$5:$K$1264,$A99)+_xlfn.COUNTIFS('Datos - Temas'!$V$5:$V$1264,M$4,'Datos - Temas'!$L$5:$L$1264,$A99)</f>
        <v>0</v>
      </c>
      <c r="N99" s="80" cm="1">
        <f t="array" ref="N99">_xlfn.COUNTIFS('Datos - Temas'!$V$5:$V$1264,N$4,'Datos - Temas'!$K$5:$K$1264,$A99)+_xlfn.COUNTIFS('Datos - Temas'!$V$5:$V$1264,N$4,'Datos - Temas'!$L$5:$L$1264,$A99)</f>
        <v>5</v>
      </c>
      <c r="O99" s="80">
        <v>5</v>
      </c>
      <c r="P99" s="80" cm="1">
        <f t="array" ref="P99">_xlfn.COUNTIFS('Datos - Temas'!$K$5:$K$1264,$A99)</f>
        <v>4</v>
      </c>
      <c r="Q99" t="str" s="79" cm="1">
        <f t="array" ref="Q99">IF(O99&gt;0,"Sí","No")</f>
        <v>Sí</v>
      </c>
      <c r="R99" t="str" s="79" cm="1">
        <f t="array" ref="R99">IF(O99=0,"No cubierto",IF(O99=1,"Débil (1 tema)",IF(O99&lt;=3,"Básica (2–3)","Sólida (4+)")))</f>
        <v>Sólida (4+)</v>
      </c>
      <c r="S99" t="str" s="79" cm="1">
        <f t="array" ref="S99">_xlfn.IFERROR(INDEX($M$4:$N$4,MATCH(TRUE,INDEX(M99:N99&gt;0,0),0)),"—")</f>
        <v>Física 11°</v>
      </c>
      <c r="T99" t="s" s="78">
        <v>1352</v>
      </c>
    </row>
    <row r="100" ht="24.65" customHeight="1">
      <c r="A100" t="s" s="78">
        <v>1353</v>
      </c>
      <c r="B100" t="s" s="78">
        <v>1301</v>
      </c>
      <c r="C100" t="s" s="78">
        <v>1019</v>
      </c>
      <c r="D100" t="s" s="78">
        <v>1354</v>
      </c>
      <c r="E100" t="s" s="78">
        <v>1355</v>
      </c>
      <c r="F100" t="s" s="78">
        <v>1058</v>
      </c>
      <c r="G100" t="s" s="78">
        <v>1058</v>
      </c>
      <c r="H100" t="s" s="78">
        <v>1058</v>
      </c>
      <c r="I100" t="s" s="78">
        <v>1058</v>
      </c>
      <c r="J100" t="s" s="78">
        <v>1058</v>
      </c>
      <c r="K100" t="s" s="78">
        <v>1058</v>
      </c>
      <c r="L100" t="s" s="78">
        <v>1058</v>
      </c>
      <c r="M100" s="80" cm="1">
        <f t="array" ref="M100">_xlfn.COUNTIFS('Datos - Temas'!$V$5:$V$1264,M$4,'Datos - Temas'!$K$5:$K$1264,$A100)+_xlfn.COUNTIFS('Datos - Temas'!$V$5:$V$1264,M$4,'Datos - Temas'!$L$5:$L$1264,$A100)</f>
        <v>0</v>
      </c>
      <c r="N100" s="80" cm="1">
        <f t="array" ref="N100">_xlfn.COUNTIFS('Datos - Temas'!$V$5:$V$1264,N$4,'Datos - Temas'!$K$5:$K$1264,$A100)+_xlfn.COUNTIFS('Datos - Temas'!$V$5:$V$1264,N$4,'Datos - Temas'!$L$5:$L$1264,$A100)</f>
        <v>15</v>
      </c>
      <c r="O100" s="80">
        <v>15</v>
      </c>
      <c r="P100" s="80" cm="1">
        <f t="array" ref="P100">_xlfn.COUNTIFS('Datos - Temas'!$K$5:$K$1264,$A100)</f>
        <v>14</v>
      </c>
      <c r="Q100" t="str" s="79" cm="1">
        <f t="array" ref="Q100">IF(O100&gt;0,"Sí","No")</f>
        <v>Sí</v>
      </c>
      <c r="R100" t="str" s="79" cm="1">
        <f t="array" ref="R100">IF(O100=0,"No cubierto",IF(O100=1,"Débil (1 tema)",IF(O100&lt;=3,"Básica (2–3)","Sólida (4+)")))</f>
        <v>Sólida (4+)</v>
      </c>
      <c r="S100" t="str" s="79" cm="1">
        <f t="array" ref="S100">_xlfn.IFERROR(INDEX($M$4:$N$4,MATCH(TRUE,INDEX(M100:N100&gt;0,0),0)),"—")</f>
        <v>Física 11°</v>
      </c>
      <c r="T100" t="s" s="78">
        <v>1356</v>
      </c>
    </row>
    <row r="101" ht="24.65" customHeight="1">
      <c r="A101" t="s" s="78">
        <v>1357</v>
      </c>
      <c r="B101" t="s" s="78">
        <v>1301</v>
      </c>
      <c r="C101" t="s" s="78">
        <v>1019</v>
      </c>
      <c r="D101" t="s" s="78">
        <v>1354</v>
      </c>
      <c r="E101" t="s" s="78">
        <v>1358</v>
      </c>
      <c r="F101" t="s" s="78">
        <v>1058</v>
      </c>
      <c r="G101" t="s" s="78">
        <v>1058</v>
      </c>
      <c r="H101" t="s" s="78">
        <v>1058</v>
      </c>
      <c r="I101" t="s" s="78">
        <v>1058</v>
      </c>
      <c r="J101" t="s" s="78">
        <v>1058</v>
      </c>
      <c r="K101" t="s" s="78">
        <v>1058</v>
      </c>
      <c r="L101" t="s" s="78">
        <v>1058</v>
      </c>
      <c r="M101" s="80" cm="1">
        <f t="array" ref="M101">_xlfn.COUNTIFS('Datos - Temas'!$V$5:$V$1264,M$4,'Datos - Temas'!$K$5:$K$1264,$A101)+_xlfn.COUNTIFS('Datos - Temas'!$V$5:$V$1264,M$4,'Datos - Temas'!$L$5:$L$1264,$A101)</f>
        <v>2</v>
      </c>
      <c r="N101" s="80" cm="1">
        <f t="array" ref="N101">_xlfn.COUNTIFS('Datos - Temas'!$V$5:$V$1264,N$4,'Datos - Temas'!$K$5:$K$1264,$A101)+_xlfn.COUNTIFS('Datos - Temas'!$V$5:$V$1264,N$4,'Datos - Temas'!$L$5:$L$1264,$A101)</f>
        <v>11</v>
      </c>
      <c r="O101" s="80">
        <v>13</v>
      </c>
      <c r="P101" s="80" cm="1">
        <f t="array" ref="P101">_xlfn.COUNTIFS('Datos - Temas'!$K$5:$K$1264,$A101)</f>
        <v>9</v>
      </c>
      <c r="Q101" t="str" s="79" cm="1">
        <f t="array" ref="Q101">IF(O101&gt;0,"Sí","No")</f>
        <v>Sí</v>
      </c>
      <c r="R101" t="str" s="79" cm="1">
        <f t="array" ref="R101">IF(O101=0,"No cubierto",IF(O101=1,"Débil (1 tema)",IF(O101&lt;=3,"Básica (2–3)","Sólida (4+)")))</f>
        <v>Sólida (4+)</v>
      </c>
      <c r="S101" t="str" s="79" cm="1">
        <f t="array" ref="S101">_xlfn.IFERROR(INDEX($M$4:$N$4,MATCH(TRUE,INDEX(M101:N101&gt;0,0),0)),"—")</f>
        <v>Física 10°</v>
      </c>
      <c r="T101" t="s" s="78">
        <v>1359</v>
      </c>
    </row>
    <row r="102" ht="24.65" customHeight="1">
      <c r="A102" t="s" s="78">
        <v>1360</v>
      </c>
      <c r="B102" t="s" s="78">
        <v>1301</v>
      </c>
      <c r="C102" t="s" s="78">
        <v>1019</v>
      </c>
      <c r="D102" t="s" s="78">
        <v>1354</v>
      </c>
      <c r="E102" t="s" s="78">
        <v>1361</v>
      </c>
      <c r="F102" t="s" s="78">
        <v>1058</v>
      </c>
      <c r="G102" t="s" s="78">
        <v>1058</v>
      </c>
      <c r="H102" t="s" s="78">
        <v>1058</v>
      </c>
      <c r="I102" t="s" s="78">
        <v>1058</v>
      </c>
      <c r="J102" t="s" s="78">
        <v>1058</v>
      </c>
      <c r="K102" t="s" s="78">
        <v>1058</v>
      </c>
      <c r="L102" t="s" s="78">
        <v>1058</v>
      </c>
      <c r="M102" s="80" cm="1">
        <f t="array" ref="M102">_xlfn.COUNTIFS('Datos - Temas'!$V$5:$V$1264,M$4,'Datos - Temas'!$K$5:$K$1264,$A102)+_xlfn.COUNTIFS('Datos - Temas'!$V$5:$V$1264,M$4,'Datos - Temas'!$L$5:$L$1264,$A102)</f>
        <v>1</v>
      </c>
      <c r="N102" s="80" cm="1">
        <f t="array" ref="N102">_xlfn.COUNTIFS('Datos - Temas'!$V$5:$V$1264,N$4,'Datos - Temas'!$K$5:$K$1264,$A102)+_xlfn.COUNTIFS('Datos - Temas'!$V$5:$V$1264,N$4,'Datos - Temas'!$L$5:$L$1264,$A102)</f>
        <v>2</v>
      </c>
      <c r="O102" s="80">
        <v>3</v>
      </c>
      <c r="P102" s="80" cm="1">
        <f t="array" ref="P102">_xlfn.COUNTIFS('Datos - Temas'!$K$5:$K$1264,$A102)</f>
        <v>3</v>
      </c>
      <c r="Q102" t="str" s="79" cm="1">
        <f t="array" ref="Q102">IF(O102&gt;0,"Sí","No")</f>
        <v>Sí</v>
      </c>
      <c r="R102" t="str" s="79" cm="1">
        <f t="array" ref="R102">IF(O102=0,"No cubierto",IF(O102=1,"Débil (1 tema)",IF(O102&lt;=3,"Básica (2–3)","Sólida (4+)")))</f>
        <v>Básica (2–3)</v>
      </c>
      <c r="S102" t="str" s="79" cm="1">
        <f t="array" ref="S102">_xlfn.IFERROR(INDEX($M$4:$N$4,MATCH(TRUE,INDEX(M102:N102&gt;0,0),0)),"—")</f>
        <v>Física 10°</v>
      </c>
      <c r="T102" t="s" s="78">
        <v>1362</v>
      </c>
    </row>
    <row r="103" ht="24.65" customHeight="1">
      <c r="A103" t="s" s="78">
        <v>1363</v>
      </c>
      <c r="B103" t="s" s="78">
        <v>1301</v>
      </c>
      <c r="C103" t="s" s="78">
        <v>1019</v>
      </c>
      <c r="D103" t="s" s="78">
        <v>1354</v>
      </c>
      <c r="E103" t="s" s="78">
        <v>1364</v>
      </c>
      <c r="F103" t="s" s="78">
        <v>1058</v>
      </c>
      <c r="G103" t="s" s="78">
        <v>1058</v>
      </c>
      <c r="H103" t="s" s="78">
        <v>1058</v>
      </c>
      <c r="I103" t="s" s="78">
        <v>1058</v>
      </c>
      <c r="J103" t="s" s="78">
        <v>1058</v>
      </c>
      <c r="K103" t="s" s="78">
        <v>1058</v>
      </c>
      <c r="L103" t="s" s="78">
        <v>1058</v>
      </c>
      <c r="M103" s="80" cm="1">
        <f t="array" ref="M103">_xlfn.COUNTIFS('Datos - Temas'!$V$5:$V$1264,M$4,'Datos - Temas'!$K$5:$K$1264,$A103)+_xlfn.COUNTIFS('Datos - Temas'!$V$5:$V$1264,M$4,'Datos - Temas'!$L$5:$L$1264,$A103)</f>
        <v>12</v>
      </c>
      <c r="N103" s="80" cm="1">
        <f t="array" ref="N103">_xlfn.COUNTIFS('Datos - Temas'!$V$5:$V$1264,N$4,'Datos - Temas'!$K$5:$K$1264,$A103)+_xlfn.COUNTIFS('Datos - Temas'!$V$5:$V$1264,N$4,'Datos - Temas'!$L$5:$L$1264,$A103)</f>
        <v>31</v>
      </c>
      <c r="O103" s="80">
        <v>43</v>
      </c>
      <c r="P103" s="80" cm="1">
        <f t="array" ref="P103">_xlfn.COUNTIFS('Datos - Temas'!$K$5:$K$1264,$A103)</f>
        <v>39</v>
      </c>
      <c r="Q103" t="str" s="79" cm="1">
        <f t="array" ref="Q103">IF(O103&gt;0,"Sí","No")</f>
        <v>Sí</v>
      </c>
      <c r="R103" t="str" s="79" cm="1">
        <f t="array" ref="R103">IF(O103=0,"No cubierto",IF(O103=1,"Débil (1 tema)",IF(O103&lt;=3,"Básica (2–3)","Sólida (4+)")))</f>
        <v>Sólida (4+)</v>
      </c>
      <c r="S103" t="str" s="79" cm="1">
        <f t="array" ref="S103">_xlfn.IFERROR(INDEX($M$4:$N$4,MATCH(TRUE,INDEX(M103:N103&gt;0,0),0)),"—")</f>
        <v>Física 10°</v>
      </c>
      <c r="T103" t="s" s="78">
        <v>1365</v>
      </c>
    </row>
    <row r="104" ht="24.65" customHeight="1">
      <c r="A104" t="s" s="78">
        <v>1366</v>
      </c>
      <c r="B104" t="s" s="78">
        <v>1301</v>
      </c>
      <c r="C104" t="s" s="78">
        <v>1019</v>
      </c>
      <c r="D104" t="s" s="78">
        <v>1367</v>
      </c>
      <c r="E104" t="s" s="78">
        <v>1368</v>
      </c>
      <c r="F104" t="s" s="78">
        <v>1058</v>
      </c>
      <c r="G104" t="s" s="78">
        <v>1058</v>
      </c>
      <c r="H104" t="s" s="78">
        <v>1058</v>
      </c>
      <c r="I104" t="s" s="78">
        <v>1058</v>
      </c>
      <c r="J104" t="s" s="78">
        <v>1058</v>
      </c>
      <c r="K104" t="s" s="78">
        <v>1058</v>
      </c>
      <c r="L104" t="s" s="78">
        <v>1058</v>
      </c>
      <c r="M104" s="80" cm="1">
        <f t="array" ref="M104">_xlfn.COUNTIFS('Datos - Temas'!$V$5:$V$1264,M$4,'Datos - Temas'!$K$5:$K$1264,$A104)+_xlfn.COUNTIFS('Datos - Temas'!$V$5:$V$1264,M$4,'Datos - Temas'!$L$5:$L$1264,$A104)</f>
        <v>0</v>
      </c>
      <c r="N104" s="80" cm="1">
        <f t="array" ref="N104">_xlfn.COUNTIFS('Datos - Temas'!$V$5:$V$1264,N$4,'Datos - Temas'!$K$5:$K$1264,$A104)+_xlfn.COUNTIFS('Datos - Temas'!$V$5:$V$1264,N$4,'Datos - Temas'!$L$5:$L$1264,$A104)</f>
        <v>3</v>
      </c>
      <c r="O104" s="80">
        <v>3</v>
      </c>
      <c r="P104" s="80" cm="1">
        <f t="array" ref="P104">_xlfn.COUNTIFS('Datos - Temas'!$K$5:$K$1264,$A104)</f>
        <v>1</v>
      </c>
      <c r="Q104" t="str" s="79" cm="1">
        <f t="array" ref="Q104">IF(O104&gt;0,"Sí","No")</f>
        <v>Sí</v>
      </c>
      <c r="R104" t="str" s="79" cm="1">
        <f t="array" ref="R104">IF(O104=0,"No cubierto",IF(O104=1,"Débil (1 tema)",IF(O104&lt;=3,"Básica (2–3)","Sólida (4+)")))</f>
        <v>Básica (2–3)</v>
      </c>
      <c r="S104" t="str" s="79" cm="1">
        <f t="array" ref="S104">_xlfn.IFERROR(INDEX($M$4:$N$4,MATCH(TRUE,INDEX(M104:N104&gt;0,0),0)),"—")</f>
        <v>Física 11°</v>
      </c>
      <c r="T104" t="s" s="78">
        <v>1369</v>
      </c>
    </row>
    <row r="105" ht="24.65" customHeight="1">
      <c r="A105" t="s" s="78">
        <v>1370</v>
      </c>
      <c r="B105" t="s" s="78">
        <v>1301</v>
      </c>
      <c r="C105" t="s" s="78">
        <v>1019</v>
      </c>
      <c r="D105" t="s" s="78">
        <v>1367</v>
      </c>
      <c r="E105" t="s" s="78">
        <v>1371</v>
      </c>
      <c r="F105" t="s" s="78">
        <v>1058</v>
      </c>
      <c r="G105" t="s" s="78">
        <v>1058</v>
      </c>
      <c r="H105" t="s" s="78">
        <v>1058</v>
      </c>
      <c r="I105" t="s" s="78">
        <v>1058</v>
      </c>
      <c r="J105" t="s" s="78">
        <v>1058</v>
      </c>
      <c r="K105" t="s" s="78">
        <v>1058</v>
      </c>
      <c r="L105" t="s" s="78">
        <v>1058</v>
      </c>
      <c r="M105" s="80" cm="1">
        <f t="array" ref="M105">_xlfn.COUNTIFS('Datos - Temas'!$V$5:$V$1264,M$4,'Datos - Temas'!$K$5:$K$1264,$A105)+_xlfn.COUNTIFS('Datos - Temas'!$V$5:$V$1264,M$4,'Datos - Temas'!$L$5:$L$1264,$A105)</f>
        <v>0</v>
      </c>
      <c r="N105" s="80" cm="1">
        <f t="array" ref="N105">_xlfn.COUNTIFS('Datos - Temas'!$V$5:$V$1264,N$4,'Datos - Temas'!$K$5:$K$1264,$A105)+_xlfn.COUNTIFS('Datos - Temas'!$V$5:$V$1264,N$4,'Datos - Temas'!$L$5:$L$1264,$A105)</f>
        <v>6</v>
      </c>
      <c r="O105" s="80">
        <v>6</v>
      </c>
      <c r="P105" s="80" cm="1">
        <f t="array" ref="P105">_xlfn.COUNTIFS('Datos - Temas'!$K$5:$K$1264,$A105)</f>
        <v>5</v>
      </c>
      <c r="Q105" t="str" s="79" cm="1">
        <f t="array" ref="Q105">IF(O105&gt;0,"Sí","No")</f>
        <v>Sí</v>
      </c>
      <c r="R105" t="str" s="79" cm="1">
        <f t="array" ref="R105">IF(O105=0,"No cubierto",IF(O105=1,"Débil (1 tema)",IF(O105&lt;=3,"Básica (2–3)","Sólida (4+)")))</f>
        <v>Sólida (4+)</v>
      </c>
      <c r="S105" t="str" s="79" cm="1">
        <f t="array" ref="S105">_xlfn.IFERROR(INDEX($M$4:$N$4,MATCH(TRUE,INDEX(M105:N105&gt;0,0),0)),"—")</f>
        <v>Física 11°</v>
      </c>
      <c r="T105" t="s" s="78">
        <v>1372</v>
      </c>
    </row>
    <row r="106" ht="24.65" customHeight="1">
      <c r="A106" t="s" s="78">
        <v>1373</v>
      </c>
      <c r="B106" t="s" s="78">
        <v>1301</v>
      </c>
      <c r="C106" t="s" s="78">
        <v>1019</v>
      </c>
      <c r="D106" t="s" s="78">
        <v>1367</v>
      </c>
      <c r="E106" t="s" s="78">
        <v>1374</v>
      </c>
      <c r="F106" t="s" s="78">
        <v>1058</v>
      </c>
      <c r="G106" t="s" s="78">
        <v>1058</v>
      </c>
      <c r="H106" t="s" s="78">
        <v>1058</v>
      </c>
      <c r="I106" t="s" s="78">
        <v>1058</v>
      </c>
      <c r="J106" t="s" s="78">
        <v>1058</v>
      </c>
      <c r="K106" t="s" s="78">
        <v>1058</v>
      </c>
      <c r="L106" t="s" s="78">
        <v>1058</v>
      </c>
      <c r="M106" s="80" cm="1">
        <f t="array" ref="M106">_xlfn.COUNTIFS('Datos - Temas'!$V$5:$V$1264,M$4,'Datos - Temas'!$K$5:$K$1264,$A106)+_xlfn.COUNTIFS('Datos - Temas'!$V$5:$V$1264,M$4,'Datos - Temas'!$L$5:$L$1264,$A106)</f>
        <v>0</v>
      </c>
      <c r="N106" s="80" cm="1">
        <f t="array" ref="N106">_xlfn.COUNTIFS('Datos - Temas'!$V$5:$V$1264,N$4,'Datos - Temas'!$K$5:$K$1264,$A106)+_xlfn.COUNTIFS('Datos - Temas'!$V$5:$V$1264,N$4,'Datos - Temas'!$L$5:$L$1264,$A106)</f>
        <v>13</v>
      </c>
      <c r="O106" s="80">
        <v>13</v>
      </c>
      <c r="P106" s="80" cm="1">
        <f t="array" ref="P106">_xlfn.COUNTIFS('Datos - Temas'!$K$5:$K$1264,$A106)</f>
        <v>12</v>
      </c>
      <c r="Q106" t="str" s="79" cm="1">
        <f t="array" ref="Q106">IF(O106&gt;0,"Sí","No")</f>
        <v>Sí</v>
      </c>
      <c r="R106" t="str" s="79" cm="1">
        <f t="array" ref="R106">IF(O106=0,"No cubierto",IF(O106=1,"Débil (1 tema)",IF(O106&lt;=3,"Básica (2–3)","Sólida (4+)")))</f>
        <v>Sólida (4+)</v>
      </c>
      <c r="S106" t="str" s="79" cm="1">
        <f t="array" ref="S106">_xlfn.IFERROR(INDEX($M$4:$N$4,MATCH(TRUE,INDEX(M106:N106&gt;0,0),0)),"—")</f>
        <v>Física 11°</v>
      </c>
      <c r="T106" t="s" s="78">
        <v>1375</v>
      </c>
    </row>
    <row r="107" ht="24.65" customHeight="1">
      <c r="A107" t="s" s="78">
        <v>1376</v>
      </c>
      <c r="B107" t="s" s="78">
        <v>1301</v>
      </c>
      <c r="C107" t="s" s="78">
        <v>1019</v>
      </c>
      <c r="D107" t="s" s="78">
        <v>1367</v>
      </c>
      <c r="E107" t="s" s="78">
        <v>1377</v>
      </c>
      <c r="F107" t="s" s="78">
        <v>1058</v>
      </c>
      <c r="G107" t="s" s="78">
        <v>1058</v>
      </c>
      <c r="H107" t="s" s="78">
        <v>1058</v>
      </c>
      <c r="I107" t="s" s="78">
        <v>1058</v>
      </c>
      <c r="J107" t="s" s="78">
        <v>1058</v>
      </c>
      <c r="K107" t="s" s="78">
        <v>1058</v>
      </c>
      <c r="L107" t="s" s="78">
        <v>1058</v>
      </c>
      <c r="M107" s="80" cm="1">
        <f t="array" ref="M107">_xlfn.COUNTIFS('Datos - Temas'!$V$5:$V$1264,M$4,'Datos - Temas'!$K$5:$K$1264,$A107)+_xlfn.COUNTIFS('Datos - Temas'!$V$5:$V$1264,M$4,'Datos - Temas'!$L$5:$L$1264,$A107)</f>
        <v>0</v>
      </c>
      <c r="N107" s="80" cm="1">
        <f t="array" ref="N107">_xlfn.COUNTIFS('Datos - Temas'!$V$5:$V$1264,N$4,'Datos - Temas'!$K$5:$K$1264,$A107)+_xlfn.COUNTIFS('Datos - Temas'!$V$5:$V$1264,N$4,'Datos - Temas'!$L$5:$L$1264,$A107)</f>
        <v>4</v>
      </c>
      <c r="O107" s="80">
        <v>4</v>
      </c>
      <c r="P107" s="80" cm="1">
        <f t="array" ref="P107">_xlfn.COUNTIFS('Datos - Temas'!$K$5:$K$1264,$A107)</f>
        <v>2</v>
      </c>
      <c r="Q107" t="str" s="79" cm="1">
        <f t="array" ref="Q107">IF(O107&gt;0,"Sí","No")</f>
        <v>Sí</v>
      </c>
      <c r="R107" t="str" s="79" cm="1">
        <f t="array" ref="R107">IF(O107=0,"No cubierto",IF(O107=1,"Débil (1 tema)",IF(O107&lt;=3,"Básica (2–3)","Sólida (4+)")))</f>
        <v>Sólida (4+)</v>
      </c>
      <c r="S107" t="str" s="79" cm="1">
        <f t="array" ref="S107">_xlfn.IFERROR(INDEX($M$4:$N$4,MATCH(TRUE,INDEX(M107:N107&gt;0,0),0)),"—")</f>
        <v>Física 11°</v>
      </c>
      <c r="T107" t="s" s="78">
        <v>1378</v>
      </c>
    </row>
    <row r="108" ht="13.55" customHeight="1">
      <c r="A108" s="42"/>
      <c r="B108" s="18"/>
      <c r="C108" s="18"/>
      <c r="D108" s="18"/>
      <c r="E108" s="18"/>
      <c r="F108" s="18"/>
      <c r="G108" s="18"/>
      <c r="H108" s="18"/>
      <c r="I108" s="18"/>
      <c r="J108" s="18"/>
      <c r="K108" s="18"/>
      <c r="L108" s="18"/>
      <c r="M108" s="18"/>
      <c r="N108" s="18"/>
      <c r="O108" s="18"/>
      <c r="P108" s="18"/>
      <c r="Q108" s="18"/>
      <c r="R108" s="18"/>
      <c r="S108" s="18"/>
      <c r="T108" s="51"/>
    </row>
    <row r="109" ht="13.55" customHeight="1">
      <c r="A109" s="11"/>
      <c r="B109" s="13"/>
      <c r="C109" s="13"/>
      <c r="D109" s="13"/>
      <c r="E109" s="13"/>
      <c r="F109" s="13"/>
      <c r="G109" s="13"/>
      <c r="H109" s="13"/>
      <c r="I109" s="13"/>
      <c r="J109" s="13"/>
      <c r="K109" s="13"/>
      <c r="L109" s="13"/>
      <c r="M109" s="13"/>
      <c r="N109" s="13"/>
      <c r="O109" s="13"/>
      <c r="P109" s="13"/>
      <c r="Q109" s="13"/>
      <c r="R109" s="13"/>
      <c r="S109" s="13"/>
      <c r="T109" s="14"/>
    </row>
    <row r="110" ht="14.6" customHeight="1">
      <c r="A110" t="s" s="43">
        <v>1379</v>
      </c>
      <c r="B110" s="44"/>
      <c r="C110" s="44"/>
      <c r="D110" s="44"/>
      <c r="E110" s="44"/>
      <c r="F110" s="44"/>
      <c r="G110" s="44"/>
      <c r="H110" s="13"/>
      <c r="I110" s="13"/>
      <c r="J110" s="13"/>
      <c r="K110" s="13"/>
      <c r="L110" s="13"/>
      <c r="M110" s="13"/>
      <c r="N110" s="13"/>
      <c r="O110" s="13"/>
      <c r="P110" s="13"/>
      <c r="Q110" s="13"/>
      <c r="R110" s="13"/>
      <c r="S110" s="13"/>
      <c r="T110" s="14"/>
    </row>
    <row r="111" ht="57.65" customHeight="1">
      <c r="A111" t="s" s="34">
        <v>155</v>
      </c>
      <c r="B111" t="s" s="34">
        <v>1002</v>
      </c>
      <c r="C111" t="s" s="34">
        <v>1380</v>
      </c>
      <c r="D111" t="s" s="34">
        <v>103</v>
      </c>
      <c r="E111" t="s" s="34">
        <v>1381</v>
      </c>
      <c r="F111" t="s" s="34">
        <v>1382</v>
      </c>
      <c r="G111" t="s" s="34">
        <v>1383</v>
      </c>
      <c r="H111" s="17"/>
      <c r="I111" s="13"/>
      <c r="J111" s="13"/>
      <c r="K111" s="13"/>
      <c r="L111" s="13"/>
      <c r="M111" s="13"/>
      <c r="N111" s="13"/>
      <c r="O111" s="13"/>
      <c r="P111" s="13"/>
      <c r="Q111" s="13"/>
      <c r="R111" s="13"/>
      <c r="S111" s="13"/>
      <c r="T111" s="14"/>
    </row>
    <row r="112" ht="13.65" customHeight="1">
      <c r="A112" t="s" s="35">
        <v>1055</v>
      </c>
      <c r="B112" t="s" s="35">
        <v>210</v>
      </c>
      <c r="C112" s="36" cm="1">
        <f t="array" ref="C112">_xlfn.COUNTIFS($B$5:$B$107,$A112,$C$5:$C$107,$B112)</f>
        <v>13</v>
      </c>
      <c r="D112" s="36" cm="1">
        <f t="array" ref="D112">_xlfn.COUNTIFS($B$5:$B$107,$A112,$C$5:$C$107,$B112,$Q$5:$Q$107,"Sí")</f>
        <v>12</v>
      </c>
      <c r="E112" s="38" cm="1">
        <f t="array" ref="E112">IF(C112=0,0,D112/C112)</f>
        <v>0.923076923076923</v>
      </c>
      <c r="F112" s="36" cm="1">
        <f t="array" ref="F112">C112-D112</f>
        <v>1</v>
      </c>
      <c r="G112" s="36" cm="1">
        <f t="array" ref="G112">_xlfn.COUNTIFS($B$5:$B$107,$A112,$C$5:$C$107,$B112,$R$5:$R$107,"Débil (1 tema)")</f>
        <v>0</v>
      </c>
      <c r="H112" s="17"/>
      <c r="I112" s="13"/>
      <c r="J112" s="13"/>
      <c r="K112" s="13"/>
      <c r="L112" s="13"/>
      <c r="M112" s="13"/>
      <c r="N112" s="13"/>
      <c r="O112" s="13"/>
      <c r="P112" s="13"/>
      <c r="Q112" s="13"/>
      <c r="R112" s="13"/>
      <c r="S112" s="13"/>
      <c r="T112" s="14"/>
    </row>
    <row r="113" ht="13.65" customHeight="1">
      <c r="A113" t="s" s="35">
        <v>1055</v>
      </c>
      <c r="B113" t="s" s="35">
        <v>213</v>
      </c>
      <c r="C113" s="36" cm="1">
        <f t="array" ref="C113">_xlfn.COUNTIFS($B$5:$B$107,$A113,$C$5:$C$107,$B113)</f>
        <v>12</v>
      </c>
      <c r="D113" s="36" cm="1">
        <f t="array" ref="D113">_xlfn.COUNTIFS($B$5:$B$107,$A113,$C$5:$C$107,$B113,$Q$5:$Q$107,"Sí")</f>
        <v>12</v>
      </c>
      <c r="E113" s="38" cm="1">
        <f t="array" ref="E113">IF(C113=0,0,D113/C113)</f>
        <v>1</v>
      </c>
      <c r="F113" s="36" cm="1">
        <f t="array" ref="F113">C113-D113</f>
        <v>0</v>
      </c>
      <c r="G113" s="36" cm="1">
        <f t="array" ref="G113">_xlfn.COUNTIFS($B$5:$B$107,$A113,$C$5:$C$107,$B113,$R$5:$R$107,"Débil (1 tema)")</f>
        <v>3</v>
      </c>
      <c r="H113" s="17"/>
      <c r="I113" s="13"/>
      <c r="J113" s="13"/>
      <c r="K113" s="13"/>
      <c r="L113" s="13"/>
      <c r="M113" s="13"/>
      <c r="N113" s="13"/>
      <c r="O113" s="13"/>
      <c r="P113" s="13"/>
      <c r="Q113" s="13"/>
      <c r="R113" s="13"/>
      <c r="S113" s="13"/>
      <c r="T113" s="14"/>
    </row>
    <row r="114" ht="13.65" customHeight="1">
      <c r="A114" t="s" s="35">
        <v>1055</v>
      </c>
      <c r="B114" t="s" s="35">
        <v>216</v>
      </c>
      <c r="C114" s="36" cm="1">
        <f t="array" ref="C114">_xlfn.COUNTIFS($B$5:$B$107,$A114,$C$5:$C$107,$B114)</f>
        <v>7</v>
      </c>
      <c r="D114" s="36" cm="1">
        <f t="array" ref="D114">_xlfn.COUNTIFS($B$5:$B$107,$A114,$C$5:$C$107,$B114,$Q$5:$Q$107,"Sí")</f>
        <v>7</v>
      </c>
      <c r="E114" s="38" cm="1">
        <f t="array" ref="E114">IF(C114=0,0,D114/C114)</f>
        <v>1</v>
      </c>
      <c r="F114" s="36" cm="1">
        <f t="array" ref="F114">C114-D114</f>
        <v>0</v>
      </c>
      <c r="G114" s="36" cm="1">
        <f t="array" ref="G114">_xlfn.COUNTIFS($B$5:$B$107,$A114,$C$5:$C$107,$B114,$R$5:$R$107,"Débil (1 tema)")</f>
        <v>1</v>
      </c>
      <c r="H114" s="17"/>
      <c r="I114" s="13"/>
      <c r="J114" s="13"/>
      <c r="K114" s="13"/>
      <c r="L114" s="13"/>
      <c r="M114" s="13"/>
      <c r="N114" s="13"/>
      <c r="O114" s="13"/>
      <c r="P114" s="13"/>
      <c r="Q114" s="13"/>
      <c r="R114" s="13"/>
      <c r="S114" s="13"/>
      <c r="T114" s="14"/>
    </row>
    <row r="115" ht="13.65" customHeight="1">
      <c r="A115" t="s" s="63">
        <v>1055</v>
      </c>
      <c r="B115" t="s" s="63">
        <v>1384</v>
      </c>
      <c r="C115" s="77" cm="1">
        <f t="array" ref="C115">_xlfn.COUNTIFS($B$5:$B$107,$A115,$C$5:$C$107,"*")</f>
        <v>32</v>
      </c>
      <c r="D115" s="77" cm="1">
        <f t="array" ref="D115">_xlfn.COUNTIFS($B$5:$B$107,$A115,$C$5:$C$107,"*",$Q$5:$Q$107,"Sí")</f>
        <v>31</v>
      </c>
      <c r="E115" s="65" cm="1">
        <f t="array" ref="E115">IF(C115=0,0,D115/C115)</f>
        <v>0.96875</v>
      </c>
      <c r="F115" s="77" cm="1">
        <f t="array" ref="F115">C115-D115</f>
        <v>1</v>
      </c>
      <c r="G115" s="77" cm="1">
        <f t="array" ref="G115">_xlfn.COUNTIFS($B$5:$B$107,$A115,$C$5:$C$107,"*",$R$5:$R$107,"Débil (1 tema)")</f>
        <v>4</v>
      </c>
      <c r="H115" s="17"/>
      <c r="I115" s="13"/>
      <c r="J115" s="13"/>
      <c r="K115" s="13"/>
      <c r="L115" s="13"/>
      <c r="M115" s="13"/>
      <c r="N115" s="13"/>
      <c r="O115" s="13"/>
      <c r="P115" s="13"/>
      <c r="Q115" s="13"/>
      <c r="R115" s="13"/>
      <c r="S115" s="13"/>
      <c r="T115" s="14"/>
    </row>
    <row r="116" ht="13.65" customHeight="1">
      <c r="A116" t="s" s="35">
        <v>1164</v>
      </c>
      <c r="B116" t="s" s="35">
        <v>210</v>
      </c>
      <c r="C116" s="36" cm="1">
        <f t="array" ref="C116">_xlfn.COUNTIFS($B$5:$B$107,$A116,$C$5:$C$107,$B116)</f>
        <v>16</v>
      </c>
      <c r="D116" s="36" cm="1">
        <f t="array" ref="D116">_xlfn.COUNTIFS($B$5:$B$107,$A116,$C$5:$C$107,$B116,$Q$5:$Q$107,"Sí")</f>
        <v>16</v>
      </c>
      <c r="E116" s="38" cm="1">
        <f t="array" ref="E116">IF(C116=0,0,D116/C116)</f>
        <v>1</v>
      </c>
      <c r="F116" s="36" cm="1">
        <f t="array" ref="F116">C116-D116</f>
        <v>0</v>
      </c>
      <c r="G116" s="36" cm="1">
        <f t="array" ref="G116">_xlfn.COUNTIFS($B$5:$B$107,$A116,$C$5:$C$107,$B116,$R$5:$R$107,"Débil (1 tema)")</f>
        <v>3</v>
      </c>
      <c r="H116" s="17"/>
      <c r="I116" s="13"/>
      <c r="J116" s="13"/>
      <c r="K116" s="13"/>
      <c r="L116" s="13"/>
      <c r="M116" s="13"/>
      <c r="N116" s="13"/>
      <c r="O116" s="13"/>
      <c r="P116" s="13"/>
      <c r="Q116" s="13"/>
      <c r="R116" s="13"/>
      <c r="S116" s="13"/>
      <c r="T116" s="14"/>
    </row>
    <row r="117" ht="13.65" customHeight="1">
      <c r="A117" t="s" s="35">
        <v>1164</v>
      </c>
      <c r="B117" t="s" s="35">
        <v>220</v>
      </c>
      <c r="C117" s="36" cm="1">
        <f t="array" ref="C117">_xlfn.COUNTIFS($B$5:$B$107,$A117,$C$5:$C$107,$B117)</f>
        <v>9</v>
      </c>
      <c r="D117" s="36" cm="1">
        <f t="array" ref="D117">_xlfn.COUNTIFS($B$5:$B$107,$A117,$C$5:$C$107,$B117,$Q$5:$Q$107,"Sí")</f>
        <v>9</v>
      </c>
      <c r="E117" s="38" cm="1">
        <f t="array" ref="E117">IF(C117=0,0,D117/C117)</f>
        <v>1</v>
      </c>
      <c r="F117" s="36" cm="1">
        <f t="array" ref="F117">C117-D117</f>
        <v>0</v>
      </c>
      <c r="G117" s="36" cm="1">
        <f t="array" ref="G117">_xlfn.COUNTIFS($B$5:$B$107,$A117,$C$5:$C$107,$B117,$R$5:$R$107,"Débil (1 tema)")</f>
        <v>0</v>
      </c>
      <c r="H117" s="17"/>
      <c r="I117" s="13"/>
      <c r="J117" s="13"/>
      <c r="K117" s="13"/>
      <c r="L117" s="13"/>
      <c r="M117" s="13"/>
      <c r="N117" s="13"/>
      <c r="O117" s="13"/>
      <c r="P117" s="13"/>
      <c r="Q117" s="13"/>
      <c r="R117" s="13"/>
      <c r="S117" s="13"/>
      <c r="T117" s="14"/>
    </row>
    <row r="118" ht="13.65" customHeight="1">
      <c r="A118" t="s" s="35">
        <v>1164</v>
      </c>
      <c r="B118" t="s" s="35">
        <v>222</v>
      </c>
      <c r="C118" s="36" cm="1">
        <f t="array" ref="C118">_xlfn.COUNTIFS($B$5:$B$107,$A118,$C$5:$C$107,$B118)</f>
        <v>12</v>
      </c>
      <c r="D118" s="36" cm="1">
        <f t="array" ref="D118">_xlfn.COUNTIFS($B$5:$B$107,$A118,$C$5:$C$107,$B118,$Q$5:$Q$107,"Sí")</f>
        <v>11</v>
      </c>
      <c r="E118" s="38" cm="1">
        <f t="array" ref="E118">IF(C118=0,0,D118/C118)</f>
        <v>0.916666666666667</v>
      </c>
      <c r="F118" s="36" cm="1">
        <f t="array" ref="F118">C118-D118</f>
        <v>1</v>
      </c>
      <c r="G118" s="36" cm="1">
        <f t="array" ref="G118">_xlfn.COUNTIFS($B$5:$B$107,$A118,$C$5:$C$107,$B118,$R$5:$R$107,"Débil (1 tema)")</f>
        <v>0</v>
      </c>
      <c r="H118" s="17"/>
      <c r="I118" s="13"/>
      <c r="J118" s="13"/>
      <c r="K118" s="13"/>
      <c r="L118" s="13"/>
      <c r="M118" s="13"/>
      <c r="N118" s="13"/>
      <c r="O118" s="13"/>
      <c r="P118" s="13"/>
      <c r="Q118" s="13"/>
      <c r="R118" s="13"/>
      <c r="S118" s="13"/>
      <c r="T118" s="14"/>
    </row>
    <row r="119" ht="13.65" customHeight="1">
      <c r="A119" t="s" s="35">
        <v>1164</v>
      </c>
      <c r="B119" t="s" s="35">
        <v>216</v>
      </c>
      <c r="C119" s="36" cm="1">
        <f t="array" ref="C119">_xlfn.COUNTIFS($B$5:$B$107,$A119,$C$5:$C$107,$B119)</f>
        <v>11</v>
      </c>
      <c r="D119" s="36" cm="1">
        <f t="array" ref="D119">_xlfn.COUNTIFS($B$5:$B$107,$A119,$C$5:$C$107,$B119,$Q$5:$Q$107,"Sí")</f>
        <v>9</v>
      </c>
      <c r="E119" s="38" cm="1">
        <f t="array" ref="E119">IF(C119=0,0,D119/C119)</f>
        <v>0.818181818181818</v>
      </c>
      <c r="F119" s="36" cm="1">
        <f t="array" ref="F119">C119-D119</f>
        <v>2</v>
      </c>
      <c r="G119" s="36" cm="1">
        <f t="array" ref="G119">_xlfn.COUNTIFS($B$5:$B$107,$A119,$C$5:$C$107,$B119,$R$5:$R$107,"Débil (1 tema)")</f>
        <v>0</v>
      </c>
      <c r="H119" s="17"/>
      <c r="I119" s="13"/>
      <c r="J119" s="13"/>
      <c r="K119" s="13"/>
      <c r="L119" s="13"/>
      <c r="M119" s="13"/>
      <c r="N119" s="13"/>
      <c r="O119" s="13"/>
      <c r="P119" s="13"/>
      <c r="Q119" s="13"/>
      <c r="R119" s="13"/>
      <c r="S119" s="13"/>
      <c r="T119" s="14"/>
    </row>
    <row r="120" ht="13.65" customHeight="1">
      <c r="A120" t="s" s="63">
        <v>1164</v>
      </c>
      <c r="B120" t="s" s="63">
        <v>1384</v>
      </c>
      <c r="C120" s="77" cm="1">
        <f t="array" ref="C120">_xlfn.COUNTIFS($B$5:$B$107,$A120,$C$5:$C$107,"*")</f>
        <v>48</v>
      </c>
      <c r="D120" s="77" cm="1">
        <f t="array" ref="D120">_xlfn.COUNTIFS($B$5:$B$107,$A120,$C$5:$C$107,"*",$Q$5:$Q$107,"Sí")</f>
        <v>45</v>
      </c>
      <c r="E120" s="65" cm="1">
        <f t="array" ref="E120">IF(C120=0,0,D120/C120)</f>
        <v>0.9375</v>
      </c>
      <c r="F120" s="77" cm="1">
        <f t="array" ref="F120">C120-D120</f>
        <v>3</v>
      </c>
      <c r="G120" s="77" cm="1">
        <f t="array" ref="G120">_xlfn.COUNTIFS($B$5:$B$107,$A120,$C$5:$C$107,"*",$R$5:$R$107,"Débil (1 tema)")</f>
        <v>3</v>
      </c>
      <c r="H120" s="17"/>
      <c r="I120" s="13"/>
      <c r="J120" s="13"/>
      <c r="K120" s="13"/>
      <c r="L120" s="13"/>
      <c r="M120" s="13"/>
      <c r="N120" s="13"/>
      <c r="O120" s="13"/>
      <c r="P120" s="13"/>
      <c r="Q120" s="13"/>
      <c r="R120" s="13"/>
      <c r="S120" s="13"/>
      <c r="T120" s="14"/>
    </row>
    <row r="121" ht="13.65" customHeight="1">
      <c r="A121" t="s" s="35">
        <v>1301</v>
      </c>
      <c r="B121" t="s" s="35">
        <v>1017</v>
      </c>
      <c r="C121" s="36" cm="1">
        <f t="array" ref="C121">_xlfn.COUNTIFS($B$5:$B$107,$A121,$C$5:$C$107,$B121)</f>
        <v>9</v>
      </c>
      <c r="D121" s="36" cm="1">
        <f t="array" ref="D121">_xlfn.COUNTIFS($B$5:$B$107,$A121,$C$5:$C$107,$B121,$Q$5:$Q$107,"Sí")</f>
        <v>9</v>
      </c>
      <c r="E121" s="38" cm="1">
        <f t="array" ref="E121">IF(C121=0,0,D121/C121)</f>
        <v>1</v>
      </c>
      <c r="F121" s="36" cm="1">
        <f t="array" ref="F121">C121-D121</f>
        <v>0</v>
      </c>
      <c r="G121" s="36" cm="1">
        <f t="array" ref="G121">_xlfn.COUNTIFS($B$5:$B$107,$A121,$C$5:$C$107,$B121,$R$5:$R$107,"Débil (1 tema)")</f>
        <v>0</v>
      </c>
      <c r="H121" s="17"/>
      <c r="I121" s="13"/>
      <c r="J121" s="13"/>
      <c r="K121" s="13"/>
      <c r="L121" s="13"/>
      <c r="M121" s="13"/>
      <c r="N121" s="13"/>
      <c r="O121" s="13"/>
      <c r="P121" s="13"/>
      <c r="Q121" s="13"/>
      <c r="R121" s="13"/>
      <c r="S121" s="13"/>
      <c r="T121" s="14"/>
    </row>
    <row r="122" ht="13.65" customHeight="1">
      <c r="A122" t="s" s="35">
        <v>1301</v>
      </c>
      <c r="B122" t="s" s="35">
        <v>1018</v>
      </c>
      <c r="C122" s="36" cm="1">
        <f t="array" ref="C122">_xlfn.COUNTIFS($B$5:$B$107,$A122,$C$5:$C$107,$B122)</f>
        <v>6</v>
      </c>
      <c r="D122" s="36" cm="1">
        <f t="array" ref="D122">_xlfn.COUNTIFS($B$5:$B$107,$A122,$C$5:$C$107,$B122,$Q$5:$Q$107,"Sí")</f>
        <v>6</v>
      </c>
      <c r="E122" s="38" cm="1">
        <f t="array" ref="E122">IF(C122=0,0,D122/C122)</f>
        <v>1</v>
      </c>
      <c r="F122" s="36" cm="1">
        <f t="array" ref="F122">C122-D122</f>
        <v>0</v>
      </c>
      <c r="G122" s="36" cm="1">
        <f t="array" ref="G122">_xlfn.COUNTIFS($B$5:$B$107,$A122,$C$5:$C$107,$B122,$R$5:$R$107,"Débil (1 tema)")</f>
        <v>0</v>
      </c>
      <c r="H122" s="17"/>
      <c r="I122" s="13"/>
      <c r="J122" s="13"/>
      <c r="K122" s="13"/>
      <c r="L122" s="13"/>
      <c r="M122" s="13"/>
      <c r="N122" s="13"/>
      <c r="O122" s="13"/>
      <c r="P122" s="13"/>
      <c r="Q122" s="13"/>
      <c r="R122" s="13"/>
      <c r="S122" s="13"/>
      <c r="T122" s="14"/>
    </row>
    <row r="123" ht="13.65" customHeight="1">
      <c r="A123" t="s" s="35">
        <v>1301</v>
      </c>
      <c r="B123" t="s" s="35">
        <v>1019</v>
      </c>
      <c r="C123" s="36" cm="1">
        <f t="array" ref="C123">_xlfn.COUNTIFS($B$5:$B$107,$A123,$C$5:$C$107,$B123)</f>
        <v>8</v>
      </c>
      <c r="D123" s="36" cm="1">
        <f t="array" ref="D123">_xlfn.COUNTIFS($B$5:$B$107,$A123,$C$5:$C$107,$B123,$Q$5:$Q$107,"Sí")</f>
        <v>8</v>
      </c>
      <c r="E123" s="38" cm="1">
        <f t="array" ref="E123">IF(C123=0,0,D123/C123)</f>
        <v>1</v>
      </c>
      <c r="F123" s="36" cm="1">
        <f t="array" ref="F123">C123-D123</f>
        <v>0</v>
      </c>
      <c r="G123" s="36" cm="1">
        <f t="array" ref="G123">_xlfn.COUNTIFS($B$5:$B$107,$A123,$C$5:$C$107,$B123,$R$5:$R$107,"Débil (1 tema)")</f>
        <v>0</v>
      </c>
      <c r="H123" s="17"/>
      <c r="I123" s="13"/>
      <c r="J123" s="13"/>
      <c r="K123" s="13"/>
      <c r="L123" s="13"/>
      <c r="M123" s="13"/>
      <c r="N123" s="13"/>
      <c r="O123" s="13"/>
      <c r="P123" s="13"/>
      <c r="Q123" s="13"/>
      <c r="R123" s="13"/>
      <c r="S123" s="13"/>
      <c r="T123" s="14"/>
    </row>
    <row r="124" ht="13.65" customHeight="1">
      <c r="A124" t="s" s="63">
        <v>1301</v>
      </c>
      <c r="B124" t="s" s="63">
        <v>1384</v>
      </c>
      <c r="C124" s="77" cm="1">
        <f t="array" ref="C124">_xlfn.COUNTIFS($B$5:$B$107,$A124,$C$5:$C$107,"*")</f>
        <v>23</v>
      </c>
      <c r="D124" s="77" cm="1">
        <f t="array" ref="D124">_xlfn.COUNTIFS($B$5:$B$107,$A124,$C$5:$C$107,"*",$Q$5:$Q$107,"Sí")</f>
        <v>23</v>
      </c>
      <c r="E124" s="65" cm="1">
        <f t="array" ref="E124">IF(C124=0,0,D124/C124)</f>
        <v>1</v>
      </c>
      <c r="F124" s="77" cm="1">
        <f t="array" ref="F124">C124-D124</f>
        <v>0</v>
      </c>
      <c r="G124" s="77" cm="1">
        <f t="array" ref="G124">_xlfn.COUNTIFS($B$5:$B$107,$A124,$C$5:$C$107,"*",$R$5:$R$107,"Débil (1 tema)")</f>
        <v>0</v>
      </c>
      <c r="H124" s="17"/>
      <c r="I124" s="13"/>
      <c r="J124" s="13"/>
      <c r="K124" s="13"/>
      <c r="L124" s="13"/>
      <c r="M124" s="13"/>
      <c r="N124" s="13"/>
      <c r="O124" s="13"/>
      <c r="P124" s="13"/>
      <c r="Q124" s="13"/>
      <c r="R124" s="13"/>
      <c r="S124" s="13"/>
      <c r="T124" s="14"/>
    </row>
    <row r="125" ht="13.55" customHeight="1">
      <c r="A125" s="42"/>
      <c r="B125" s="18"/>
      <c r="C125" s="18"/>
      <c r="D125" s="18"/>
      <c r="E125" s="18"/>
      <c r="F125" s="18"/>
      <c r="G125" s="18"/>
      <c r="H125" s="13"/>
      <c r="I125" s="13"/>
      <c r="J125" s="13"/>
      <c r="K125" s="13"/>
      <c r="L125" s="13"/>
      <c r="M125" s="13"/>
      <c r="N125" s="13"/>
      <c r="O125" s="13"/>
      <c r="P125" s="13"/>
      <c r="Q125" s="13"/>
      <c r="R125" s="13"/>
      <c r="S125" s="13"/>
      <c r="T125" s="14"/>
    </row>
    <row r="126" ht="70" customHeight="1">
      <c r="A126" t="s" s="54">
        <v>1385</v>
      </c>
      <c r="B126" s="24"/>
      <c r="C126" s="24"/>
      <c r="D126" s="24"/>
      <c r="E126" s="24"/>
      <c r="F126" s="24"/>
      <c r="G126" s="24"/>
      <c r="H126" s="24"/>
      <c r="I126" s="24"/>
      <c r="J126" s="24"/>
      <c r="K126" s="24"/>
      <c r="L126" s="24"/>
      <c r="M126" s="24"/>
      <c r="N126" s="24"/>
      <c r="O126" s="24"/>
      <c r="P126" s="24"/>
      <c r="Q126" s="24"/>
      <c r="R126" s="24"/>
      <c r="S126" s="24"/>
      <c r="T126" s="25"/>
    </row>
  </sheetData>
  <mergeCells count="2">
    <mergeCell ref="A126:N126"/>
    <mergeCell ref="A2:N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O19"/>
  <sheetViews>
    <sheetView workbookViewId="0" showGridLines="0" defaultGridColor="1"/>
  </sheetViews>
  <sheetFormatPr defaultColWidth="8.83333" defaultRowHeight="15" customHeight="1" outlineLevelRow="0" outlineLevelCol="0"/>
  <cols>
    <col min="1" max="1" width="13" style="95" customWidth="1"/>
    <col min="2" max="2" width="26" style="95" customWidth="1"/>
    <col min="3" max="3" width="8" style="95" customWidth="1"/>
    <col min="4" max="6" width="11" style="95" customWidth="1"/>
    <col min="7" max="12" width="9" style="95" customWidth="1"/>
    <col min="13" max="13" width="11" style="95" customWidth="1"/>
    <col min="14" max="14" width="46" style="95" customWidth="1"/>
    <col min="15" max="15" width="15" style="95" customWidth="1"/>
    <col min="16" max="16384" width="8.85156" style="95" customWidth="1"/>
  </cols>
  <sheetData>
    <row r="1" ht="18.5" customHeight="1">
      <c r="A1" t="s" s="27">
        <v>1387</v>
      </c>
      <c r="B1" s="28"/>
      <c r="C1" s="28"/>
      <c r="D1" s="28"/>
      <c r="E1" s="28"/>
      <c r="F1" s="28"/>
      <c r="G1" s="28"/>
      <c r="H1" s="28"/>
      <c r="I1" s="28"/>
      <c r="J1" s="28"/>
      <c r="K1" s="28"/>
      <c r="L1" s="28"/>
      <c r="M1" s="28"/>
      <c r="N1" s="28"/>
      <c r="O1" s="10"/>
    </row>
    <row r="2" ht="68" customHeight="1">
      <c r="A2" t="str" s="29" cm="1">
        <f t="array" ref="A2">"TIMSS 2027 (2.°–8.°) y Advanced"&amp;"
"&amp;"OJO · Menos Razonar: "&amp;SUBSTITUTE(INDEX($A$5:$A$11,MATCH(MIN($I$5:$I$11),$I$5:$I$11,0)),"°",".°")&amp;" ("&amp;FIXED((MIN($I$5:$I$11))*100,0)&amp;" %"&amp;"). TIMSS pide 25 % en 4.° y 30 % en 8.°."&amp;"
"&amp;"● Grados de 2.° a 8.° con Razonar en línea con TIMSS: "&amp;COUNTIF($N$5:$N$11,"Razonar en línea*")&amp;" de "&amp;ROWS($N$5:$N$11)&amp;"."&amp;"
"&amp;"● Sale de la columna «Habilidad TIMSS» que escribió el equipo de Ciencias. Las competencias PISA están en «PISA - Competencias»."</f>
        <v>TIMSS 2027 (2.°–8.°) y Advanced
OJO · Menos Razonar: 6.° (19 %). TIMSS pide 25 % en 4.° y 30 % en 8.°.
● Grados de 2.° a 8.° con Razonar en línea con TIMSS: 4 de 7.
● Sale de la columna «Habilidad TIMSS» que escribió el equipo de Ciencias. Las competencias PISA están en «PISA - Competencias».</v>
      </c>
      <c r="B2" s="30"/>
      <c r="C2" s="31"/>
      <c r="D2" s="31"/>
      <c r="E2" s="31"/>
      <c r="F2" s="31"/>
      <c r="G2" s="31"/>
      <c r="H2" s="31"/>
      <c r="I2" s="31"/>
      <c r="J2" s="31"/>
      <c r="K2" s="31"/>
      <c r="L2" s="31"/>
      <c r="M2" s="31"/>
      <c r="N2" s="32"/>
      <c r="O2" s="87"/>
    </row>
    <row r="3" ht="13.55" customHeight="1">
      <c r="A3" s="71"/>
      <c r="B3" s="31"/>
      <c r="C3" s="31"/>
      <c r="D3" s="31"/>
      <c r="E3" s="31"/>
      <c r="F3" s="31"/>
      <c r="G3" s="31"/>
      <c r="H3" s="31"/>
      <c r="I3" s="31"/>
      <c r="J3" s="31"/>
      <c r="K3" s="31"/>
      <c r="L3" s="31"/>
      <c r="M3" s="31"/>
      <c r="N3" s="31"/>
      <c r="O3" s="45"/>
    </row>
    <row r="4" ht="45" customHeight="1">
      <c r="A4" t="s" s="34">
        <v>56</v>
      </c>
      <c r="B4" t="s" s="34">
        <v>1389</v>
      </c>
      <c r="C4" t="s" s="34">
        <v>1390</v>
      </c>
      <c r="D4" t="s" s="34">
        <v>1391</v>
      </c>
      <c r="E4" t="s" s="34">
        <v>1392</v>
      </c>
      <c r="F4" t="s" s="34">
        <v>1393</v>
      </c>
      <c r="G4" t="s" s="34">
        <v>1394</v>
      </c>
      <c r="H4" t="s" s="34">
        <v>1395</v>
      </c>
      <c r="I4" t="s" s="34">
        <v>1396</v>
      </c>
      <c r="J4" t="s" s="34">
        <v>1397</v>
      </c>
      <c r="K4" t="s" s="34">
        <v>1398</v>
      </c>
      <c r="L4" t="s" s="34">
        <v>1399</v>
      </c>
      <c r="M4" t="s" s="34">
        <v>1400</v>
      </c>
      <c r="N4" t="s" s="34">
        <v>160</v>
      </c>
      <c r="O4" t="s" s="34">
        <v>1401</v>
      </c>
    </row>
    <row r="5" ht="13.65" customHeight="1">
      <c r="A5" t="s" s="35">
        <v>69</v>
      </c>
      <c r="B5" t="s" s="35">
        <v>70</v>
      </c>
      <c r="C5" s="36" cm="1">
        <f t="array" ref="C5">_xlfn.COUNTIFS('Datos - Temas'!$V$5:$V$1264,$A5)</f>
        <v>70</v>
      </c>
      <c r="D5" s="70" cm="1">
        <f t="array" ref="D5">_xlfn.SUMIFS('Datos - Temas'!$S$5:$S$1264,'Datos - Temas'!$V$5:$V$1264,$A5)</f>
        <v>12.5</v>
      </c>
      <c r="E5" s="70" cm="1">
        <f t="array" ref="E5">_xlfn.SUMIFS('Datos - Temas'!$T$5:$T$1264,'Datos - Temas'!$V$5:$V$1264,$A5)</f>
        <v>38.5</v>
      </c>
      <c r="F5" s="70" cm="1">
        <f t="array" ref="F5">_xlfn.SUMIFS('Datos - Temas'!$U$5:$U$1264,'Datos - Temas'!$V$5:$V$1264,$A5)</f>
        <v>19</v>
      </c>
      <c r="G5" s="38" cm="1">
        <f t="array" ref="G5">IF($C5=0,0,D5/$C5)</f>
        <v>0.178571428571429</v>
      </c>
      <c r="H5" s="38" cm="1">
        <f t="array" ref="H5">IF($C5=0,0,E5/$C5)</f>
        <v>0.55</v>
      </c>
      <c r="I5" s="38" cm="1">
        <f t="array" ref="I5">IF($C5=0,0,F5/$C5)</f>
        <v>0.271428571428571</v>
      </c>
      <c r="J5" s="58">
        <v>0.35</v>
      </c>
      <c r="K5" s="58">
        <v>0.4</v>
      </c>
      <c r="L5" s="58">
        <v>0.25</v>
      </c>
      <c r="M5" s="88" cm="1">
        <f t="array" ref="M5">(I5-L5)*100</f>
        <v>2.1428571428571</v>
      </c>
      <c r="N5" t="str" s="39" cm="1">
        <f t="array" ref="N5">IF(ABS(M5)&lt;=5,"Razonar en línea con la meta",IF(M5&gt;0,"Más Razonar que la meta (revisar si la etiqueta está inflada)","Menos Razonar que la meta: faltan tareas de análisis y argumentación"))</f>
        <v>Razonar en línea con la meta</v>
      </c>
      <c r="O5" s="38" cm="1">
        <f t="array" ref="O5">1-(ABS(G5-J5)+ABS(H5-K5)+ABS(I5-L5))/2</f>
        <v>0.828571428571429</v>
      </c>
    </row>
    <row r="6" ht="13.65" customHeight="1">
      <c r="A6" t="s" s="35">
        <v>74</v>
      </c>
      <c r="B6" t="s" s="35">
        <v>70</v>
      </c>
      <c r="C6" s="36" cm="1">
        <f t="array" ref="C6">_xlfn.COUNTIFS('Datos - Temas'!$V$5:$V$1264,$A6)</f>
        <v>66</v>
      </c>
      <c r="D6" s="70" cm="1">
        <f t="array" ref="D6">_xlfn.SUMIFS('Datos - Temas'!$S$5:$S$1264,'Datos - Temas'!$V$5:$V$1264,$A6)</f>
        <v>14.5</v>
      </c>
      <c r="E6" s="70" cm="1">
        <f t="array" ref="E6">_xlfn.SUMIFS('Datos - Temas'!$T$5:$T$1264,'Datos - Temas'!$V$5:$V$1264,$A6)</f>
        <v>34</v>
      </c>
      <c r="F6" s="70" cm="1">
        <f t="array" ref="F6">_xlfn.SUMIFS('Datos - Temas'!$U$5:$U$1264,'Datos - Temas'!$V$5:$V$1264,$A6)</f>
        <v>17.5</v>
      </c>
      <c r="G6" s="38" cm="1">
        <f t="array" ref="G6">IF($C6=0,0,D6/$C6)</f>
        <v>0.21969696969697</v>
      </c>
      <c r="H6" s="38" cm="1">
        <f t="array" ref="H6">IF($C6=0,0,E6/$C6)</f>
        <v>0.515151515151515</v>
      </c>
      <c r="I6" s="38" cm="1">
        <f t="array" ref="I6">IF($C6=0,0,F6/$C6)</f>
        <v>0.265151515151515</v>
      </c>
      <c r="J6" s="58">
        <v>0.35</v>
      </c>
      <c r="K6" s="58">
        <v>0.4</v>
      </c>
      <c r="L6" s="58">
        <v>0.25</v>
      </c>
      <c r="M6" s="88" cm="1">
        <f t="array" ref="M6">(I6-L6)*100</f>
        <v>1.5151515151515</v>
      </c>
      <c r="N6" t="str" s="39" cm="1">
        <f t="array" ref="N6">IF(ABS(M6)&lt;=5,"Razonar en línea con la meta",IF(M6&gt;0,"Más Razonar que la meta (revisar si la etiqueta está inflada)","Menos Razonar que la meta: faltan tareas de análisis y argumentación"))</f>
        <v>Razonar en línea con la meta</v>
      </c>
      <c r="O6" s="38" cm="1">
        <f t="array" ref="O6">1-(ABS(G6-J6)+ABS(H6-K6)+ABS(I6-L6))/2</f>
        <v>0.86969696969697</v>
      </c>
    </row>
    <row r="7" ht="13.65" customHeight="1">
      <c r="A7" t="s" s="35">
        <v>77</v>
      </c>
      <c r="B7" t="s" s="35">
        <v>70</v>
      </c>
      <c r="C7" s="36" cm="1">
        <f t="array" ref="C7">_xlfn.COUNTIFS('Datos - Temas'!$V$5:$V$1264,$A7)</f>
        <v>72</v>
      </c>
      <c r="D7" s="70" cm="1">
        <f t="array" ref="D7">_xlfn.SUMIFS('Datos - Temas'!$S$5:$S$1264,'Datos - Temas'!$V$5:$V$1264,$A7)</f>
        <v>17</v>
      </c>
      <c r="E7" s="70" cm="1">
        <f t="array" ref="E7">_xlfn.SUMIFS('Datos - Temas'!$T$5:$T$1264,'Datos - Temas'!$V$5:$V$1264,$A7)</f>
        <v>40.5</v>
      </c>
      <c r="F7" s="70" cm="1">
        <f t="array" ref="F7">_xlfn.SUMIFS('Datos - Temas'!$U$5:$U$1264,'Datos - Temas'!$V$5:$V$1264,$A7)</f>
        <v>14.5</v>
      </c>
      <c r="G7" s="38" cm="1">
        <f t="array" ref="G7">IF($C7=0,0,D7/$C7)</f>
        <v>0.236111111111111</v>
      </c>
      <c r="H7" s="38" cm="1">
        <f t="array" ref="H7">IF($C7=0,0,E7/$C7)</f>
        <v>0.5625</v>
      </c>
      <c r="I7" s="38" cm="1">
        <f t="array" ref="I7">IF($C7=0,0,F7/$C7)</f>
        <v>0.201388888888889</v>
      </c>
      <c r="J7" s="58">
        <v>0.35</v>
      </c>
      <c r="K7" s="58">
        <v>0.4</v>
      </c>
      <c r="L7" s="58">
        <v>0.25</v>
      </c>
      <c r="M7" s="88" cm="1">
        <f t="array" ref="M7">(I7-L7)*100</f>
        <v>-4.8611111111111</v>
      </c>
      <c r="N7" t="str" s="39" cm="1">
        <f t="array" ref="N7">IF(ABS(M7)&lt;=5,"Razonar en línea con la meta",IF(M7&gt;0,"Más Razonar que la meta (revisar si la etiqueta está inflada)","Menos Razonar que la meta: faltan tareas de análisis y argumentación"))</f>
        <v>Razonar en línea con la meta</v>
      </c>
      <c r="O7" s="38" cm="1">
        <f t="array" ref="O7">1-(ABS(G7-J7)+ABS(H7-K7)+ABS(I7-L7))/2</f>
        <v>0.8375</v>
      </c>
    </row>
    <row r="8" ht="13.65" customHeight="1">
      <c r="A8" t="s" s="35">
        <v>79</v>
      </c>
      <c r="B8" t="s" s="35">
        <v>80</v>
      </c>
      <c r="C8" s="36" cm="1">
        <f t="array" ref="C8">_xlfn.COUNTIFS('Datos - Temas'!$V$5:$V$1264,$A8)</f>
        <v>72</v>
      </c>
      <c r="D8" s="70" cm="1">
        <f t="array" ref="D8">_xlfn.SUMIFS('Datos - Temas'!$S$5:$S$1264,'Datos - Temas'!$V$5:$V$1264,$A8)</f>
        <v>7</v>
      </c>
      <c r="E8" s="70" cm="1">
        <f t="array" ref="E8">_xlfn.SUMIFS('Datos - Temas'!$T$5:$T$1264,'Datos - Temas'!$V$5:$V$1264,$A8)</f>
        <v>47.5</v>
      </c>
      <c r="F8" s="70" cm="1">
        <f t="array" ref="F8">_xlfn.SUMIFS('Datos - Temas'!$U$5:$U$1264,'Datos - Temas'!$V$5:$V$1264,$A8)</f>
        <v>17.5</v>
      </c>
      <c r="G8" s="38" cm="1">
        <f t="array" ref="G8">IF($C8=0,0,D8/$C8)</f>
        <v>0.0972222222222222</v>
      </c>
      <c r="H8" s="38" cm="1">
        <f t="array" ref="H8">IF($C8=0,0,E8/$C8)</f>
        <v>0.659722222222222</v>
      </c>
      <c r="I8" s="38" cm="1">
        <f t="array" ref="I8">IF($C8=0,0,F8/$C8)</f>
        <v>0.243055555555556</v>
      </c>
      <c r="J8" s="58">
        <v>0.35</v>
      </c>
      <c r="K8" s="58">
        <v>0.35</v>
      </c>
      <c r="L8" s="58">
        <v>0.3</v>
      </c>
      <c r="M8" s="88" cm="1">
        <f t="array" ref="M8">(I8-L8)*100</f>
        <v>-5.6944444444444</v>
      </c>
      <c r="N8" t="str" s="39" cm="1">
        <f t="array" ref="N8">IF(ABS(M8)&lt;=5,"Razonar en línea con la meta",IF(M8&gt;0,"Más Razonar que la meta (revisar si la etiqueta está inflada)","Menos Razonar que la meta: faltan tareas de análisis y argumentación"))</f>
        <v>Menos Razonar que la meta: faltan tareas de análisis y argumentación</v>
      </c>
      <c r="O8" s="38" cm="1">
        <f t="array" ref="O8">1-(ABS(G8-J8)+ABS(H8-K8)+ABS(I8-L8))/2</f>
        <v>0.690277777777778</v>
      </c>
    </row>
    <row r="9" ht="13.65" customHeight="1">
      <c r="A9" t="s" s="35">
        <v>82</v>
      </c>
      <c r="B9" t="s" s="35">
        <v>80</v>
      </c>
      <c r="C9" s="36" cm="1">
        <f t="array" ref="C9">_xlfn.COUNTIFS('Datos - Temas'!$V$5:$V$1264,$A9)</f>
        <v>68</v>
      </c>
      <c r="D9" s="70" cm="1">
        <f t="array" ref="D9">_xlfn.SUMIFS('Datos - Temas'!$S$5:$S$1264,'Datos - Temas'!$V$5:$V$1264,$A9)</f>
        <v>8.5</v>
      </c>
      <c r="E9" s="70" cm="1">
        <f t="array" ref="E9">_xlfn.SUMIFS('Datos - Temas'!$T$5:$T$1264,'Datos - Temas'!$V$5:$V$1264,$A9)</f>
        <v>46.5</v>
      </c>
      <c r="F9" s="70" cm="1">
        <f t="array" ref="F9">_xlfn.SUMIFS('Datos - Temas'!$U$5:$U$1264,'Datos - Temas'!$V$5:$V$1264,$A9)</f>
        <v>13</v>
      </c>
      <c r="G9" s="38" cm="1">
        <f t="array" ref="G9">IF($C9=0,0,D9/$C9)</f>
        <v>0.125</v>
      </c>
      <c r="H9" s="38" cm="1">
        <f t="array" ref="H9">IF($C9=0,0,E9/$C9)</f>
        <v>0.6838235294117651</v>
      </c>
      <c r="I9" s="38" cm="1">
        <f t="array" ref="I9">IF($C9=0,0,F9/$C9)</f>
        <v>0.191176470588235</v>
      </c>
      <c r="J9" s="58">
        <v>0.35</v>
      </c>
      <c r="K9" s="58">
        <v>0.35</v>
      </c>
      <c r="L9" s="58">
        <v>0.3</v>
      </c>
      <c r="M9" s="88" cm="1">
        <f t="array" ref="M9">(I9-L9)*100</f>
        <v>-10.8823529411765</v>
      </c>
      <c r="N9" t="str" s="39" cm="1">
        <f t="array" ref="N9">IF(ABS(M9)&lt;=5,"Razonar en línea con la meta",IF(M9&gt;0,"Más Razonar que la meta (revisar si la etiqueta está inflada)","Menos Razonar que la meta: faltan tareas de análisis y argumentación"))</f>
        <v>Menos Razonar que la meta: faltan tareas de análisis y argumentación</v>
      </c>
      <c r="O9" s="38" cm="1">
        <f t="array" ref="O9">1-(ABS(G9-J9)+ABS(H9-K9)+ABS(I9-L9))/2</f>
        <v>0.666176470588235</v>
      </c>
    </row>
    <row r="10" ht="13.65" customHeight="1">
      <c r="A10" t="s" s="35">
        <v>85</v>
      </c>
      <c r="B10" t="s" s="35">
        <v>80</v>
      </c>
      <c r="C10" s="36" cm="1">
        <f t="array" ref="C10">_xlfn.COUNTIFS('Datos - Temas'!$V$5:$V$1264,$A10)</f>
        <v>91</v>
      </c>
      <c r="D10" s="70" cm="1">
        <f t="array" ref="D10">_xlfn.SUMIFS('Datos - Temas'!$S$5:$S$1264,'Datos - Temas'!$V$5:$V$1264,$A10)</f>
        <v>18</v>
      </c>
      <c r="E10" s="70" cm="1">
        <f t="array" ref="E10">_xlfn.SUMIFS('Datos - Temas'!$T$5:$T$1264,'Datos - Temas'!$V$5:$V$1264,$A10)</f>
        <v>47</v>
      </c>
      <c r="F10" s="70" cm="1">
        <f t="array" ref="F10">_xlfn.SUMIFS('Datos - Temas'!$U$5:$U$1264,'Datos - Temas'!$V$5:$V$1264,$A10)</f>
        <v>26</v>
      </c>
      <c r="G10" s="38" cm="1">
        <f t="array" ref="G10">IF($C10=0,0,D10/$C10)</f>
        <v>0.197802197802198</v>
      </c>
      <c r="H10" s="38" cm="1">
        <f t="array" ref="H10">IF($C10=0,0,E10/$C10)</f>
        <v>0.516483516483516</v>
      </c>
      <c r="I10" s="38" cm="1">
        <f t="array" ref="I10">IF($C10=0,0,F10/$C10)</f>
        <v>0.285714285714286</v>
      </c>
      <c r="J10" s="58">
        <v>0.35</v>
      </c>
      <c r="K10" s="58">
        <v>0.35</v>
      </c>
      <c r="L10" s="58">
        <v>0.3</v>
      </c>
      <c r="M10" s="88" cm="1">
        <f t="array" ref="M10">(I10-L10)*100</f>
        <v>-1.4285714285714</v>
      </c>
      <c r="N10" t="str" s="39" cm="1">
        <f t="array" ref="N10">IF(ABS(M10)&lt;=5,"Razonar en línea con la meta",IF(M10&gt;0,"Más Razonar que la meta (revisar si la etiqueta está inflada)","Menos Razonar que la meta: faltan tareas de análisis y argumentación"))</f>
        <v>Razonar en línea con la meta</v>
      </c>
      <c r="O10" s="38" cm="1">
        <f t="array" ref="O10">1-(ABS(G10-J10)+ABS(H10-K10)+ABS(I10-L10))/2</f>
        <v>0.833516483516484</v>
      </c>
    </row>
    <row r="11" ht="13.65" customHeight="1">
      <c r="A11" t="s" s="35">
        <v>86</v>
      </c>
      <c r="B11" t="s" s="35">
        <v>80</v>
      </c>
      <c r="C11" s="36" cm="1">
        <f t="array" ref="C11">_xlfn.COUNTIFS('Datos - Temas'!$V$5:$V$1264,$A11)</f>
        <v>93</v>
      </c>
      <c r="D11" s="70" cm="1">
        <f t="array" ref="D11">_xlfn.SUMIFS('Datos - Temas'!$S$5:$S$1264,'Datos - Temas'!$V$5:$V$1264,$A11)</f>
        <v>14</v>
      </c>
      <c r="E11" s="70" cm="1">
        <f t="array" ref="E11">_xlfn.SUMIFS('Datos - Temas'!$T$5:$T$1264,'Datos - Temas'!$V$5:$V$1264,$A11)</f>
        <v>59.5</v>
      </c>
      <c r="F11" s="70" cm="1">
        <f t="array" ref="F11">_xlfn.SUMIFS('Datos - Temas'!$U$5:$U$1264,'Datos - Temas'!$V$5:$V$1264,$A11)</f>
        <v>19.5</v>
      </c>
      <c r="G11" s="38" cm="1">
        <f t="array" ref="G11">IF($C11=0,0,D11/$C11)</f>
        <v>0.150537634408602</v>
      </c>
      <c r="H11" s="38" cm="1">
        <f t="array" ref="H11">IF($C11=0,0,E11/$C11)</f>
        <v>0.639784946236559</v>
      </c>
      <c r="I11" s="38" cm="1">
        <f t="array" ref="I11">IF($C11=0,0,F11/$C11)</f>
        <v>0.209677419354839</v>
      </c>
      <c r="J11" s="58">
        <v>0.35</v>
      </c>
      <c r="K11" s="58">
        <v>0.35</v>
      </c>
      <c r="L11" s="58">
        <v>0.3</v>
      </c>
      <c r="M11" s="88" cm="1">
        <f t="array" ref="M11">(I11-L11)*100</f>
        <v>-9.0322580645161</v>
      </c>
      <c r="N11" t="str" s="39" cm="1">
        <f t="array" ref="N11">IF(ABS(M11)&lt;=5,"Razonar en línea con la meta",IF(M11&gt;0,"Más Razonar que la meta (revisar si la etiqueta está inflada)","Menos Razonar que la meta: faltan tareas de análisis y argumentación"))</f>
        <v>Menos Razonar que la meta: faltan tareas de análisis y argumentación</v>
      </c>
      <c r="O11" s="38" cm="1">
        <f t="array" ref="O11">1-(ABS(G11-J11)+ABS(H11-K11)+ABS(I11-L11))/2</f>
        <v>0.710215053763441</v>
      </c>
    </row>
    <row r="12" ht="13.65" customHeight="1">
      <c r="A12" t="s" s="35">
        <v>87</v>
      </c>
      <c r="B12" t="s" s="35">
        <v>88</v>
      </c>
      <c r="C12" s="36" cm="1">
        <f t="array" ref="C12">_xlfn.COUNTIFS('Datos - Temas'!$V$5:$V$1264,$A12)</f>
        <v>121</v>
      </c>
      <c r="D12" s="70" cm="1">
        <f t="array" ref="D12">_xlfn.SUMIFS('Datos - Temas'!$S$5:$S$1264,'Datos - Temas'!$V$5:$V$1264,$A12)</f>
        <v>8.166666666666661</v>
      </c>
      <c r="E12" s="70" cm="1">
        <f t="array" ref="E12">_xlfn.SUMIFS('Datos - Temas'!$T$5:$T$1264,'Datos - Temas'!$V$5:$V$1264,$A12)</f>
        <v>54.6666666666667</v>
      </c>
      <c r="F12" s="70" cm="1">
        <f t="array" ref="F12">_xlfn.SUMIFS('Datos - Temas'!$U$5:$U$1264,'Datos - Temas'!$V$5:$V$1264,$A12)</f>
        <v>58.1666666666667</v>
      </c>
      <c r="G12" s="38" cm="1">
        <f t="array" ref="G12">IF($C12=0,0,D12/$C12)</f>
        <v>0.06749311294765831</v>
      </c>
      <c r="H12" s="38" cm="1">
        <f t="array" ref="H12">IF($C12=0,0,E12/$C12)</f>
        <v>0.451790633608816</v>
      </c>
      <c r="I12" s="38" cm="1">
        <f t="array" ref="I12">IF($C12=0,0,F12/$C12)</f>
        <v>0.480716253443526</v>
      </c>
      <c r="J12" s="58">
        <v>0.3</v>
      </c>
      <c r="K12" s="58">
        <v>0.4</v>
      </c>
      <c r="L12" s="58">
        <v>0.3</v>
      </c>
      <c r="M12" s="88" cm="1">
        <f t="array" ref="M12">(I12-L12)*100</f>
        <v>18.0716253443526</v>
      </c>
      <c r="N12" t="str" s="39" cm="1">
        <f t="array" ref="N12">IF(ABS(M12)&lt;=5,"Razonar en línea con la meta",IF(M12&gt;0,"Más Razonar que la meta (revisar si la etiqueta está inflada)","Menos Razonar que la meta: faltan tareas de análisis y argumentación"))</f>
        <v>Más Razonar que la meta (revisar si la etiqueta está inflada)</v>
      </c>
      <c r="O12" s="38" cm="1">
        <f t="array" ref="O12">1-(ABS(G12-J12)+ABS(H12-K12)+ABS(I12-L12))/2</f>
        <v>0.767493112947658</v>
      </c>
    </row>
    <row r="13" ht="13.65" customHeight="1">
      <c r="A13" t="s" s="35">
        <v>91</v>
      </c>
      <c r="B13" t="s" s="35">
        <v>88</v>
      </c>
      <c r="C13" s="36" cm="1">
        <f t="array" ref="C13">_xlfn.COUNTIFS('Datos - Temas'!$V$5:$V$1264,$A13)</f>
        <v>146</v>
      </c>
      <c r="D13" s="70" cm="1">
        <f t="array" ref="D13">_xlfn.SUMIFS('Datos - Temas'!$S$5:$S$1264,'Datos - Temas'!$V$5:$V$1264,$A13)</f>
        <v>14.5</v>
      </c>
      <c r="E13" s="70" cm="1">
        <f t="array" ref="E13">_xlfn.SUMIFS('Datos - Temas'!$T$5:$T$1264,'Datos - Temas'!$V$5:$V$1264,$A13)</f>
        <v>63.5</v>
      </c>
      <c r="F13" s="70" cm="1">
        <f t="array" ref="F13">_xlfn.SUMIFS('Datos - Temas'!$U$5:$U$1264,'Datos - Temas'!$V$5:$V$1264,$A13)</f>
        <v>68</v>
      </c>
      <c r="G13" s="38" cm="1">
        <f t="array" ref="G13">IF($C13=0,0,D13/$C13)</f>
        <v>0.09931506849315069</v>
      </c>
      <c r="H13" s="38" cm="1">
        <f t="array" ref="H13">IF($C13=0,0,E13/$C13)</f>
        <v>0.434931506849315</v>
      </c>
      <c r="I13" s="38" cm="1">
        <f t="array" ref="I13">IF($C13=0,0,F13/$C13)</f>
        <v>0.465753424657534</v>
      </c>
      <c r="J13" s="58">
        <v>0.3</v>
      </c>
      <c r="K13" s="58">
        <v>0.4</v>
      </c>
      <c r="L13" s="58">
        <v>0.3</v>
      </c>
      <c r="M13" s="88" cm="1">
        <f t="array" ref="M13">(I13-L13)*100</f>
        <v>16.5753424657534</v>
      </c>
      <c r="N13" t="str" s="39" cm="1">
        <f t="array" ref="N13">IF(ABS(M13)&lt;=5,"Razonar en línea con la meta",IF(M13&gt;0,"Más Razonar que la meta (revisar si la etiqueta está inflada)","Menos Razonar que la meta: faltan tareas de análisis y argumentación"))</f>
        <v>Más Razonar que la meta (revisar si la etiqueta está inflada)</v>
      </c>
      <c r="O13" s="38" cm="1">
        <f t="array" ref="O13">1-(ABS(G13-J13)+ABS(H13-K13)+ABS(I13-L13))/2</f>
        <v>0.799315068493151</v>
      </c>
    </row>
    <row r="14" ht="13.65" customHeight="1">
      <c r="A14" t="s" s="35">
        <v>1405</v>
      </c>
      <c r="B14" t="s" s="35">
        <v>1406</v>
      </c>
      <c r="C14" s="36" cm="1">
        <f t="array" ref="C14">_xlfn.COUNTIFS('Datos - Temas'!$V$5:$V$1264,$A14)</f>
        <v>112</v>
      </c>
      <c r="D14" s="70" cm="1">
        <f t="array" ref="D14">_xlfn.SUMIFS('Datos - Temas'!$S$5:$S$1264,'Datos - Temas'!$V$5:$V$1264,$A14)</f>
        <v>12.8333333333333</v>
      </c>
      <c r="E14" s="70" cm="1">
        <f t="array" ref="E14">_xlfn.SUMIFS('Datos - Temas'!$T$5:$T$1264,'Datos - Temas'!$V$5:$V$1264,$A14)</f>
        <v>46.8333333333333</v>
      </c>
      <c r="F14" s="70" cm="1">
        <f t="array" ref="F14">_xlfn.SUMIFS('Datos - Temas'!$U$5:$U$1264,'Datos - Temas'!$V$5:$V$1264,$A14)</f>
        <v>52.3333333333333</v>
      </c>
      <c r="G14" s="38" cm="1">
        <f t="array" ref="G14">IF($C14=0,0,D14/$C14)</f>
        <v>0.114583333333333</v>
      </c>
      <c r="H14" s="38" cm="1">
        <f t="array" ref="H14">IF($C14=0,0,E14/$C14)</f>
        <v>0.418154761904762</v>
      </c>
      <c r="I14" s="38" cm="1">
        <f t="array" ref="I14">IF($C14=0,0,F14/$C14)</f>
        <v>0.467261904761904</v>
      </c>
      <c r="J14" s="58">
        <v>0.3</v>
      </c>
      <c r="K14" s="58">
        <v>0.4</v>
      </c>
      <c r="L14" s="58">
        <v>0.3</v>
      </c>
      <c r="M14" s="88" cm="1">
        <f t="array" ref="M14">(I14-L14)*100</f>
        <v>16.7261904761904</v>
      </c>
      <c r="N14" t="str" s="39" cm="1">
        <f t="array" ref="N14">IF(ABS(M14)&lt;=5,"Razonar en línea con la meta",IF(M14&gt;0,"Más Razonar que la meta (revisar si la etiqueta está inflada)","Menos Razonar que la meta: faltan tareas de análisis y argumentación"))</f>
        <v>Más Razonar que la meta (revisar si la etiqueta está inflada)</v>
      </c>
      <c r="O14" s="38" cm="1">
        <f t="array" ref="O14">1-(ABS(G14-J14)+ABS(H14-K14)+ABS(I14-L14))/2</f>
        <v>0.814583333333334</v>
      </c>
    </row>
    <row r="15" ht="13.65" customHeight="1">
      <c r="A15" t="s" s="35">
        <v>1407</v>
      </c>
      <c r="B15" t="s" s="35">
        <v>1406</v>
      </c>
      <c r="C15" s="36" cm="1">
        <f t="array" ref="C15">_xlfn.COUNTIFS('Datos - Temas'!$V$5:$V$1264,$A15)</f>
        <v>97</v>
      </c>
      <c r="D15" s="70" cm="1">
        <f t="array" ref="D15">_xlfn.SUMIFS('Datos - Temas'!$S$5:$S$1264,'Datos - Temas'!$V$5:$V$1264,$A15)</f>
        <v>12.5</v>
      </c>
      <c r="E15" s="70" cm="1">
        <f t="array" ref="E15">_xlfn.SUMIFS('Datos - Temas'!$T$5:$T$1264,'Datos - Temas'!$V$5:$V$1264,$A15)</f>
        <v>39.5</v>
      </c>
      <c r="F15" s="70" cm="1">
        <f t="array" ref="F15">_xlfn.SUMIFS('Datos - Temas'!$U$5:$U$1264,'Datos - Temas'!$V$5:$V$1264,$A15)</f>
        <v>45</v>
      </c>
      <c r="G15" s="38" cm="1">
        <f t="array" ref="G15">IF($C15=0,0,D15/$C15)</f>
        <v>0.128865979381443</v>
      </c>
      <c r="H15" s="38" cm="1">
        <f t="array" ref="H15">IF($C15=0,0,E15/$C15)</f>
        <v>0.407216494845361</v>
      </c>
      <c r="I15" s="38" cm="1">
        <f t="array" ref="I15">IF($C15=0,0,F15/$C15)</f>
        <v>0.463917525773196</v>
      </c>
      <c r="J15" s="58">
        <v>0.3</v>
      </c>
      <c r="K15" s="58">
        <v>0.4</v>
      </c>
      <c r="L15" s="58">
        <v>0.3</v>
      </c>
      <c r="M15" s="88" cm="1">
        <f t="array" ref="M15">(I15-L15)*100</f>
        <v>16.3917525773196</v>
      </c>
      <c r="N15" t="str" s="39" cm="1">
        <f t="array" ref="N15">IF(ABS(M15)&lt;=5,"Razonar en línea con la meta",IF(M15&gt;0,"Más Razonar que la meta (revisar si la etiqueta está inflada)","Menos Razonar que la meta: faltan tareas de análisis y argumentación"))</f>
        <v>Más Razonar que la meta (revisar si la etiqueta está inflada)</v>
      </c>
      <c r="O15" s="38" cm="1">
        <f t="array" ref="O15">1-(ABS(G15-J15)+ABS(H15-K15)+ABS(I15-L15))/2</f>
        <v>0.828865979381443</v>
      </c>
    </row>
    <row r="16" ht="13.65" customHeight="1">
      <c r="A16" t="s" s="35">
        <v>1408</v>
      </c>
      <c r="B16" t="s" s="35">
        <v>1406</v>
      </c>
      <c r="C16" s="36" cm="1">
        <f t="array" ref="C16">_xlfn.COUNTIFS('Datos - Temas'!$V$5:$V$1264,$A16)</f>
        <v>70</v>
      </c>
      <c r="D16" s="70" cm="1">
        <f t="array" ref="D16">_xlfn.SUMIFS('Datos - Temas'!$S$5:$S$1264,'Datos - Temas'!$V$5:$V$1264,$A16)</f>
        <v>10.8333333333333</v>
      </c>
      <c r="E16" s="70" cm="1">
        <f t="array" ref="E16">_xlfn.SUMIFS('Datos - Temas'!$T$5:$T$1264,'Datos - Temas'!$V$5:$V$1264,$A16)</f>
        <v>27.3333333333333</v>
      </c>
      <c r="F16" s="70" cm="1">
        <f t="array" ref="F16">_xlfn.SUMIFS('Datos - Temas'!$U$5:$U$1264,'Datos - Temas'!$V$5:$V$1264,$A16)</f>
        <v>31.8333333333333</v>
      </c>
      <c r="G16" s="38" cm="1">
        <f t="array" ref="G16">IF($C16=0,0,D16/$C16)</f>
        <v>0.154761904761904</v>
      </c>
      <c r="H16" s="38" cm="1">
        <f t="array" ref="H16">IF($C16=0,0,E16/$C16)</f>
        <v>0.39047619047619</v>
      </c>
      <c r="I16" s="38" cm="1">
        <f t="array" ref="I16">IF($C16=0,0,F16/$C16)</f>
        <v>0.454761904761904</v>
      </c>
      <c r="J16" s="58">
        <v>0.3</v>
      </c>
      <c r="K16" s="58">
        <v>0.4</v>
      </c>
      <c r="L16" s="58">
        <v>0.3</v>
      </c>
      <c r="M16" s="88" cm="1">
        <f t="array" ref="M16">(I16-L16)*100</f>
        <v>15.4761904761904</v>
      </c>
      <c r="N16" t="str" s="39" cm="1">
        <f t="array" ref="N16">IF(ABS(M16)&lt;=5,"Razonar en línea con la meta",IF(M16&gt;0,"Más Razonar que la meta (revisar si la etiqueta está inflada)","Menos Razonar que la meta: faltan tareas de análisis y argumentación"))</f>
        <v>Más Razonar que la meta (revisar si la etiqueta está inflada)</v>
      </c>
      <c r="O16" s="38" cm="1">
        <f t="array" ref="O16">1-(ABS(G16-J16)+ABS(H16-K16)+ABS(I16-L16))/2</f>
        <v>0.845238095238095</v>
      </c>
    </row>
    <row r="17" ht="13.65" customHeight="1">
      <c r="A17" t="s" s="35">
        <v>1409</v>
      </c>
      <c r="B17" t="s" s="35">
        <v>1406</v>
      </c>
      <c r="C17" s="36" cm="1">
        <f t="array" ref="C17">_xlfn.COUNTIFS('Datos - Temas'!$V$5:$V$1264,$A17)</f>
        <v>92</v>
      </c>
      <c r="D17" s="70" cm="1">
        <f t="array" ref="D17">_xlfn.SUMIFS('Datos - Temas'!$S$5:$S$1264,'Datos - Temas'!$V$5:$V$1264,$A17)</f>
        <v>19.3333333333333</v>
      </c>
      <c r="E17" s="70" cm="1">
        <f t="array" ref="E17">_xlfn.SUMIFS('Datos - Temas'!$T$5:$T$1264,'Datos - Temas'!$V$5:$V$1264,$A17)</f>
        <v>32.8333333333333</v>
      </c>
      <c r="F17" s="70" cm="1">
        <f t="array" ref="F17">_xlfn.SUMIFS('Datos - Temas'!$U$5:$U$1264,'Datos - Temas'!$V$5:$V$1264,$A17)</f>
        <v>39.8333333333333</v>
      </c>
      <c r="G17" s="38" cm="1">
        <f t="array" ref="G17">IF($C17=0,0,D17/$C17)</f>
        <v>0.210144927536232</v>
      </c>
      <c r="H17" s="38" cm="1">
        <f t="array" ref="H17">IF($C17=0,0,E17/$C17)</f>
        <v>0.356884057971014</v>
      </c>
      <c r="I17" s="38" cm="1">
        <f t="array" ref="I17">IF($C17=0,0,F17/$C17)</f>
        <v>0.432971014492753</v>
      </c>
      <c r="J17" s="58">
        <v>0.3</v>
      </c>
      <c r="K17" s="58">
        <v>0.4</v>
      </c>
      <c r="L17" s="58">
        <v>0.3</v>
      </c>
      <c r="M17" s="88" cm="1">
        <f t="array" ref="M17">(I17-L17)*100</f>
        <v>13.2971014492753</v>
      </c>
      <c r="N17" t="str" s="39" cm="1">
        <f t="array" ref="N17">IF(ABS(M17)&lt;=5,"Razonar en línea con la meta",IF(M17&gt;0,"Más Razonar que la meta (revisar si la etiqueta está inflada)","Menos Razonar que la meta: faltan tareas de análisis y argumentación"))</f>
        <v>Más Razonar que la meta (revisar si la etiqueta está inflada)</v>
      </c>
      <c r="O17" s="38" cm="1">
        <f t="array" ref="O17">1-(ABS(G17-J17)+ABS(H17-K17)+ABS(I17-L17))/2</f>
        <v>0.8670289855072471</v>
      </c>
    </row>
    <row r="18" ht="13.55" customHeight="1">
      <c r="A18" s="42"/>
      <c r="B18" s="18"/>
      <c r="C18" s="18"/>
      <c r="D18" s="18"/>
      <c r="E18" s="18"/>
      <c r="F18" s="18"/>
      <c r="G18" s="18"/>
      <c r="H18" s="18"/>
      <c r="I18" s="18"/>
      <c r="J18" s="18"/>
      <c r="K18" s="18"/>
      <c r="L18" s="18"/>
      <c r="M18" s="18"/>
      <c r="N18" s="18"/>
      <c r="O18" s="51"/>
    </row>
    <row r="19" ht="56" customHeight="1">
      <c r="A19" t="s" s="54">
        <v>1410</v>
      </c>
      <c r="B19" s="24"/>
      <c r="C19" s="24"/>
      <c r="D19" s="24"/>
      <c r="E19" s="24"/>
      <c r="F19" s="24"/>
      <c r="G19" s="24"/>
      <c r="H19" s="24"/>
      <c r="I19" s="24"/>
      <c r="J19" s="24"/>
      <c r="K19" s="24"/>
      <c r="L19" s="24"/>
      <c r="M19" s="24"/>
      <c r="N19" s="24"/>
      <c r="O19" s="25"/>
    </row>
  </sheetData>
  <mergeCells count="2">
    <mergeCell ref="A19:N19"/>
    <mergeCell ref="A2:N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L51"/>
  <sheetViews>
    <sheetView workbookViewId="0" showGridLines="0" defaultGridColor="1"/>
  </sheetViews>
  <sheetFormatPr defaultColWidth="8.83333" defaultRowHeight="15" customHeight="1" outlineLevelRow="0" outlineLevelCol="0"/>
  <cols>
    <col min="1" max="2" width="16" style="96" customWidth="1"/>
    <col min="3" max="3" width="13" style="96" customWidth="1"/>
    <col min="4" max="4" width="15" style="96" customWidth="1"/>
    <col min="5" max="6" width="11" style="96" customWidth="1"/>
    <col min="7" max="7" width="12" style="96" customWidth="1"/>
    <col min="8" max="8" width="48" style="96" customWidth="1"/>
    <col min="9" max="12" width="8.85156" style="96" customWidth="1"/>
    <col min="13" max="16384" width="8.85156" style="96" customWidth="1"/>
  </cols>
  <sheetData>
    <row r="1" ht="18.5" customHeight="1">
      <c r="A1" t="s" s="27">
        <v>1412</v>
      </c>
      <c r="B1" s="28"/>
      <c r="C1" s="28"/>
      <c r="D1" s="28"/>
      <c r="E1" s="28"/>
      <c r="F1" s="28"/>
      <c r="G1" s="28"/>
      <c r="H1" s="28"/>
      <c r="I1" s="28"/>
      <c r="J1" s="28"/>
      <c r="K1" s="28"/>
      <c r="L1" s="97"/>
    </row>
    <row r="2" ht="68" customHeight="1">
      <c r="A2" t="str" s="29" cm="1">
        <f t="array" ref="A2">"TIMSS 2027 (2.°–8.°)"&amp;"
"&amp;IF(MIN(E16,E17)&gt;=$E$3-$H$3,"BIEN · ","OJO · ")&amp;"Temas sobre medio ambiente: "&amp;FIXED((E16)*100,0)&amp;" %"&amp;" en 2.°–4.° y "&amp;FIXED((E17)*100,0)&amp;" %"&amp;" en 5.°–8.° (la prueba: 25 %)."&amp;"
"&amp;IF(MIN($E$7:$E$13)&gt;=$E$3-$H$3,"BIEN · ","OJO · ")&amp;"Grado con menos: "&amp;SUBSTITUTE(INDEX($A$7:$A$13,MATCH(MIN($E$7:$E$13),$E$7:$E$13,0)),"°",".°")&amp;" ("&amp;FIXED((MIN($E$7:$E$13))*100,0)&amp;" %"&amp;")."&amp;"
"&amp;"● Objetivos ambientales de TIMSS presentes: "&amp;(C48+C49)&amp;" de "&amp;(B48+B49)&amp;"."</f>
        <v>TIMSS 2027 (2.°–8.°)
BIEN · Temas sobre medio ambiente: 30 % en 2.°–4.° y 29 % en 5.°–8.° (la prueba: 25 %).
OJO · Grado con menos: 8.° (12 %).
● Objetivos ambientales de TIMSS presentes: 24 de 24.</v>
      </c>
      <c r="B2" s="30"/>
      <c r="C2" s="31"/>
      <c r="D2" s="31"/>
      <c r="E2" s="31"/>
      <c r="F2" s="31"/>
      <c r="G2" s="31"/>
      <c r="H2" s="31"/>
      <c r="I2" s="31"/>
      <c r="J2" s="31"/>
      <c r="K2" s="31"/>
      <c r="L2" s="32"/>
    </row>
    <row r="3" ht="13.65" customHeight="1">
      <c r="A3" t="s" s="98">
        <v>1414</v>
      </c>
      <c r="B3" s="18"/>
      <c r="C3" s="18"/>
      <c r="D3" s="99"/>
      <c r="E3" s="58">
        <v>0.25</v>
      </c>
      <c r="F3" t="s" s="100">
        <v>1415</v>
      </c>
      <c r="G3" s="99"/>
      <c r="H3" s="58">
        <v>0.05</v>
      </c>
      <c r="I3" s="101"/>
      <c r="J3" s="18"/>
      <c r="K3" s="18"/>
      <c r="L3" s="51"/>
    </row>
    <row r="4" ht="13.55" customHeight="1">
      <c r="A4" s="74"/>
      <c r="B4" s="44"/>
      <c r="C4" s="44"/>
      <c r="D4" s="44"/>
      <c r="E4" s="31"/>
      <c r="F4" s="44"/>
      <c r="G4" s="44"/>
      <c r="H4" s="31"/>
      <c r="I4" s="13"/>
      <c r="J4" s="13"/>
      <c r="K4" s="13"/>
      <c r="L4" s="14"/>
    </row>
    <row r="5" ht="48" customHeight="1">
      <c r="A5" t="s" s="34">
        <v>154</v>
      </c>
      <c r="B5" t="s" s="34">
        <v>155</v>
      </c>
      <c r="C5" t="s" s="34">
        <v>1416</v>
      </c>
      <c r="D5" t="s" s="34">
        <v>1417</v>
      </c>
      <c r="E5" t="s" s="34">
        <v>1418</v>
      </c>
      <c r="F5" t="s" s="34">
        <v>1389</v>
      </c>
      <c r="G5" t="s" s="34">
        <v>1419</v>
      </c>
      <c r="H5" t="s" s="34">
        <v>160</v>
      </c>
      <c r="I5" s="17"/>
      <c r="J5" s="13"/>
      <c r="K5" s="13"/>
      <c r="L5" s="14"/>
    </row>
    <row r="6" ht="14.6" customHeight="1">
      <c r="A6" t="s" s="102">
        <v>1420</v>
      </c>
      <c r="B6" s="31"/>
      <c r="C6" s="31"/>
      <c r="D6" s="31"/>
      <c r="E6" s="31"/>
      <c r="F6" s="31"/>
      <c r="G6" s="31"/>
      <c r="H6" s="31"/>
      <c r="I6" s="13"/>
      <c r="J6" s="13"/>
      <c r="K6" s="13"/>
      <c r="L6" s="14"/>
    </row>
    <row r="7" ht="13.65" customHeight="1">
      <c r="A7" t="s" s="35">
        <v>69</v>
      </c>
      <c r="B7" t="s" s="35">
        <v>70</v>
      </c>
      <c r="C7" s="36" cm="1">
        <f t="array" ref="C7">_xlfn.COUNTIFS('Datos - Temas'!$V$5:$V$1264,$A7)-_xlfn.COUNTIFS('Datos - Temas'!$V$5:$V$1264,$A7,'Datos - Temas'!$K$5:$K$1264,"FUERA")-_xlfn.COUNTIFS('Datos - Temas'!$V$5:$V$1264,$A7,'Datos - Temas'!$K$5:$K$1264,"PENDIENTE")</f>
        <v>59</v>
      </c>
      <c r="D7" s="36" cm="1">
        <f t="array" ref="D7">_xlfn.COUNTIFS('Datos - Temas'!$V$5:$V$1264,$A7,'Datos - Temas'!$X$5:$X$1264,1)</f>
        <v>19</v>
      </c>
      <c r="E7" s="38" cm="1">
        <f t="array" ref="E7">IF(C7=0,0,D7/C7)</f>
        <v>0.322033898305085</v>
      </c>
      <c r="F7" s="41" cm="1">
        <f t="array" ref="F7">$E$3</f>
        <v>0.25</v>
      </c>
      <c r="G7" s="88" cm="1">
        <f t="array" ref="G7">(E7-F7)*100</f>
        <v>7.2033898305085</v>
      </c>
      <c r="H7" t="str" s="89" cm="1">
        <f t="array" ref="H7">IF(ABS(E7-F7)&lt;=$H$3,"Cerca de la referencia",IF(E7&lt;F7,"Menos contenido ambiental que la referencia","Más contenido ambiental que la referencia"))</f>
        <v>Más contenido ambiental que la referencia</v>
      </c>
      <c r="I7" s="17"/>
      <c r="J7" s="13"/>
      <c r="K7" s="13"/>
      <c r="L7" s="14"/>
    </row>
    <row r="8" ht="13.65" customHeight="1">
      <c r="A8" t="s" s="35">
        <v>74</v>
      </c>
      <c r="B8" t="s" s="35">
        <v>70</v>
      </c>
      <c r="C8" s="36" cm="1">
        <f t="array" ref="C8">_xlfn.COUNTIFS('Datos - Temas'!$V$5:$V$1264,$A8)-_xlfn.COUNTIFS('Datos - Temas'!$V$5:$V$1264,$A8,'Datos - Temas'!$K$5:$K$1264,"FUERA")-_xlfn.COUNTIFS('Datos - Temas'!$V$5:$V$1264,$A8,'Datos - Temas'!$K$5:$K$1264,"PENDIENTE")</f>
        <v>60</v>
      </c>
      <c r="D8" s="36" cm="1">
        <f t="array" ref="D8">_xlfn.COUNTIFS('Datos - Temas'!$V$5:$V$1264,$A8,'Datos - Temas'!$X$5:$X$1264,1)</f>
        <v>19</v>
      </c>
      <c r="E8" s="38" cm="1">
        <f t="array" ref="E8">IF(C8=0,0,D8/C8)</f>
        <v>0.316666666666667</v>
      </c>
      <c r="F8" s="41" cm="1">
        <f t="array" ref="F8">$E$3</f>
        <v>0.25</v>
      </c>
      <c r="G8" s="88" cm="1">
        <f t="array" ref="G8">(E8-F8)*100</f>
        <v>6.6666666666667</v>
      </c>
      <c r="H8" t="str" s="89" cm="1">
        <f t="array" ref="H8">IF(ABS(E8-F8)&lt;=$H$3,"Cerca de la referencia",IF(E8&lt;F8,"Menos contenido ambiental que la referencia","Más contenido ambiental que la referencia"))</f>
        <v>Más contenido ambiental que la referencia</v>
      </c>
      <c r="I8" s="17"/>
      <c r="J8" s="13"/>
      <c r="K8" s="13"/>
      <c r="L8" s="14"/>
    </row>
    <row r="9" ht="13.65" customHeight="1">
      <c r="A9" t="s" s="35">
        <v>77</v>
      </c>
      <c r="B9" t="s" s="35">
        <v>70</v>
      </c>
      <c r="C9" s="36" cm="1">
        <f t="array" ref="C9">_xlfn.COUNTIFS('Datos - Temas'!$V$5:$V$1264,$A9)-_xlfn.COUNTIFS('Datos - Temas'!$V$5:$V$1264,$A9,'Datos - Temas'!$K$5:$K$1264,"FUERA")-_xlfn.COUNTIFS('Datos - Temas'!$V$5:$V$1264,$A9,'Datos - Temas'!$K$5:$K$1264,"PENDIENTE")</f>
        <v>63</v>
      </c>
      <c r="D9" s="36" cm="1">
        <f t="array" ref="D9">_xlfn.COUNTIFS('Datos - Temas'!$V$5:$V$1264,$A9,'Datos - Temas'!$X$5:$X$1264,1)</f>
        <v>16</v>
      </c>
      <c r="E9" s="38" cm="1">
        <f t="array" ref="E9">IF(C9=0,0,D9/C9)</f>
        <v>0.253968253968254</v>
      </c>
      <c r="F9" s="41" cm="1">
        <f t="array" ref="F9">$E$3</f>
        <v>0.25</v>
      </c>
      <c r="G9" s="88" cm="1">
        <f t="array" ref="G9">(E9-F9)*100</f>
        <v>0.3968253968254</v>
      </c>
      <c r="H9" t="str" s="89" cm="1">
        <f t="array" ref="H9">IF(ABS(E9-F9)&lt;=$H$3,"Cerca de la referencia",IF(E9&lt;F9,"Menos contenido ambiental que la referencia","Más contenido ambiental que la referencia"))</f>
        <v>Cerca de la referencia</v>
      </c>
      <c r="I9" s="17"/>
      <c r="J9" s="13"/>
      <c r="K9" s="13"/>
      <c r="L9" s="14"/>
    </row>
    <row r="10" ht="13.65" customHeight="1">
      <c r="A10" t="s" s="35">
        <v>79</v>
      </c>
      <c r="B10" t="s" s="35">
        <v>80</v>
      </c>
      <c r="C10" s="36" cm="1">
        <f t="array" ref="C10">_xlfn.COUNTIFS('Datos - Temas'!$V$5:$V$1264,$A10)-_xlfn.COUNTIFS('Datos - Temas'!$V$5:$V$1264,$A10,'Datos - Temas'!$K$5:$K$1264,"FUERA")-_xlfn.COUNTIFS('Datos - Temas'!$V$5:$V$1264,$A10,'Datos - Temas'!$K$5:$K$1264,"PENDIENTE")</f>
        <v>61</v>
      </c>
      <c r="D10" s="36" cm="1">
        <f t="array" ref="D10">_xlfn.COUNTIFS('Datos - Temas'!$V$5:$V$1264,$A10,'Datos - Temas'!$X$5:$X$1264,1)</f>
        <v>21</v>
      </c>
      <c r="E10" s="38" cm="1">
        <f t="array" ref="E10">IF(C10=0,0,D10/C10)</f>
        <v>0.344262295081967</v>
      </c>
      <c r="F10" s="41" cm="1">
        <f t="array" ref="F10">$E$3</f>
        <v>0.25</v>
      </c>
      <c r="G10" s="88" cm="1">
        <f t="array" ref="G10">(E10-F10)*100</f>
        <v>9.4262295081967</v>
      </c>
      <c r="H10" t="str" s="89" cm="1">
        <f t="array" ref="H10">IF(ABS(E10-F10)&lt;=$H$3,"Cerca de la referencia",IF(E10&lt;F10,"Menos contenido ambiental que la referencia","Más contenido ambiental que la referencia"))</f>
        <v>Más contenido ambiental que la referencia</v>
      </c>
      <c r="I10" s="17"/>
      <c r="J10" s="13"/>
      <c r="K10" s="13"/>
      <c r="L10" s="14"/>
    </row>
    <row r="11" ht="13.65" customHeight="1">
      <c r="A11" t="s" s="35">
        <v>82</v>
      </c>
      <c r="B11" t="s" s="35">
        <v>80</v>
      </c>
      <c r="C11" s="36" cm="1">
        <f t="array" ref="C11">_xlfn.COUNTIFS('Datos - Temas'!$V$5:$V$1264,$A11)-_xlfn.COUNTIFS('Datos - Temas'!$V$5:$V$1264,$A11,'Datos - Temas'!$K$5:$K$1264,"FUERA")-_xlfn.COUNTIFS('Datos - Temas'!$V$5:$V$1264,$A11,'Datos - Temas'!$K$5:$K$1264,"PENDIENTE")</f>
        <v>63</v>
      </c>
      <c r="D11" s="36" cm="1">
        <f t="array" ref="D11">_xlfn.COUNTIFS('Datos - Temas'!$V$5:$V$1264,$A11,'Datos - Temas'!$X$5:$X$1264,1)</f>
        <v>8</v>
      </c>
      <c r="E11" s="38" cm="1">
        <f t="array" ref="E11">IF(C11=0,0,D11/C11)</f>
        <v>0.126984126984127</v>
      </c>
      <c r="F11" s="41" cm="1">
        <f t="array" ref="F11">$E$3</f>
        <v>0.25</v>
      </c>
      <c r="G11" s="88" cm="1">
        <f t="array" ref="G11">(E11-F11)*100</f>
        <v>-12.3015873015873</v>
      </c>
      <c r="H11" t="str" s="89" cm="1">
        <f t="array" ref="H11">IF(ABS(E11-F11)&lt;=$H$3,"Cerca de la referencia",IF(E11&lt;F11,"Menos contenido ambiental que la referencia","Más contenido ambiental que la referencia"))</f>
        <v>Menos contenido ambiental que la referencia</v>
      </c>
      <c r="I11" s="17"/>
      <c r="J11" s="13"/>
      <c r="K11" s="13"/>
      <c r="L11" s="14"/>
    </row>
    <row r="12" ht="13.65" customHeight="1">
      <c r="A12" t="s" s="35">
        <v>85</v>
      </c>
      <c r="B12" t="s" s="35">
        <v>80</v>
      </c>
      <c r="C12" s="36" cm="1">
        <f t="array" ref="C12">_xlfn.COUNTIFS('Datos - Temas'!$V$5:$V$1264,$A12)-_xlfn.COUNTIFS('Datos - Temas'!$V$5:$V$1264,$A12,'Datos - Temas'!$K$5:$K$1264,"FUERA")-_xlfn.COUNTIFS('Datos - Temas'!$V$5:$V$1264,$A12,'Datos - Temas'!$K$5:$K$1264,"PENDIENTE")</f>
        <v>85</v>
      </c>
      <c r="D12" s="36" cm="1">
        <f t="array" ref="D12">_xlfn.COUNTIFS('Datos - Temas'!$V$5:$V$1264,$A12,'Datos - Temas'!$X$5:$X$1264,1)</f>
        <v>48</v>
      </c>
      <c r="E12" s="38" cm="1">
        <f t="array" ref="E12">IF(C12=0,0,D12/C12)</f>
        <v>0.5647058823529409</v>
      </c>
      <c r="F12" s="41" cm="1">
        <f t="array" ref="F12">$E$3</f>
        <v>0.25</v>
      </c>
      <c r="G12" s="88" cm="1">
        <f t="array" ref="G12">(E12-F12)*100</f>
        <v>31.4705882352941</v>
      </c>
      <c r="H12" t="str" s="89" cm="1">
        <f t="array" ref="H12">IF(ABS(E12-F12)&lt;=$H$3,"Cerca de la referencia",IF(E12&lt;F12,"Menos contenido ambiental que la referencia","Más contenido ambiental que la referencia"))</f>
        <v>Más contenido ambiental que la referencia</v>
      </c>
      <c r="I12" s="17"/>
      <c r="J12" s="13"/>
      <c r="K12" s="13"/>
      <c r="L12" s="14"/>
    </row>
    <row r="13" ht="13.65" customHeight="1">
      <c r="A13" t="s" s="35">
        <v>86</v>
      </c>
      <c r="B13" t="s" s="35">
        <v>80</v>
      </c>
      <c r="C13" s="36" cm="1">
        <f t="array" ref="C13">_xlfn.COUNTIFS('Datos - Temas'!$V$5:$V$1264,$A13)-_xlfn.COUNTIFS('Datos - Temas'!$V$5:$V$1264,$A13,'Datos - Temas'!$K$5:$K$1264,"FUERA")-_xlfn.COUNTIFS('Datos - Temas'!$V$5:$V$1264,$A13,'Datos - Temas'!$K$5:$K$1264,"PENDIENTE")</f>
        <v>93</v>
      </c>
      <c r="D13" s="36" cm="1">
        <f t="array" ref="D13">_xlfn.COUNTIFS('Datos - Temas'!$V$5:$V$1264,$A13,'Datos - Temas'!$X$5:$X$1264,1)</f>
        <v>11</v>
      </c>
      <c r="E13" s="38" cm="1">
        <f t="array" ref="E13">IF(C13=0,0,D13/C13)</f>
        <v>0.118279569892473</v>
      </c>
      <c r="F13" s="41" cm="1">
        <f t="array" ref="F13">$E$3</f>
        <v>0.25</v>
      </c>
      <c r="G13" s="88" cm="1">
        <f t="array" ref="G13">(E13-F13)*100</f>
        <v>-13.1720430107527</v>
      </c>
      <c r="H13" t="str" s="89" cm="1">
        <f t="array" ref="H13">IF(ABS(E13-F13)&lt;=$H$3,"Cerca de la referencia",IF(E13&lt;F13,"Menos contenido ambiental que la referencia","Más contenido ambiental que la referencia"))</f>
        <v>Menos contenido ambiental que la referencia</v>
      </c>
      <c r="I13" s="17"/>
      <c r="J13" s="13"/>
      <c r="K13" s="13"/>
      <c r="L13" s="14"/>
    </row>
    <row r="14" ht="13.55" customHeight="1">
      <c r="A14" s="42"/>
      <c r="B14" s="18"/>
      <c r="C14" s="18"/>
      <c r="D14" s="18"/>
      <c r="E14" s="18"/>
      <c r="F14" s="18"/>
      <c r="G14" s="18"/>
      <c r="H14" s="18"/>
      <c r="I14" s="13"/>
      <c r="J14" s="13"/>
      <c r="K14" s="13"/>
      <c r="L14" s="14"/>
    </row>
    <row r="15" ht="14.6" customHeight="1">
      <c r="A15" t="s" s="43">
        <v>1424</v>
      </c>
      <c r="B15" s="44"/>
      <c r="C15" s="44"/>
      <c r="D15" s="44"/>
      <c r="E15" s="44"/>
      <c r="F15" s="44"/>
      <c r="G15" s="44"/>
      <c r="H15" s="44"/>
      <c r="I15" s="13"/>
      <c r="J15" s="13"/>
      <c r="K15" s="13"/>
      <c r="L15" s="14"/>
    </row>
    <row r="16" ht="13.65" customHeight="1">
      <c r="A16" t="s" s="35">
        <v>112</v>
      </c>
      <c r="B16" t="s" s="35">
        <v>70</v>
      </c>
      <c r="C16" s="36" cm="1">
        <f t="array" ref="C16">_xlfn.COUNTIFS('Datos - Temas'!$W$5:$W$1264,$A16)-_xlfn.COUNTIFS('Datos - Temas'!$W$5:$W$1264,$A16,'Datos - Temas'!$K$5:$K$1264,"FUERA")-_xlfn.COUNTIFS('Datos - Temas'!$W$5:$W$1264,$A16,'Datos - Temas'!$K$5:$K$1264,"PENDIENTE")</f>
        <v>182</v>
      </c>
      <c r="D16" s="36" cm="1">
        <f t="array" ref="D16">_xlfn.COUNTIFS('Datos - Temas'!$W$5:$W$1264,$A16,'Datos - Temas'!$X$5:$X$1264,1)</f>
        <v>54</v>
      </c>
      <c r="E16" s="38" cm="1">
        <f t="array" ref="E16">IF(C16=0,0,D16/C16)</f>
        <v>0.296703296703297</v>
      </c>
      <c r="F16" s="41" cm="1">
        <f t="array" ref="F16">$E$3</f>
        <v>0.25</v>
      </c>
      <c r="G16" s="88" cm="1">
        <f t="array" ref="G16">(E16-F16)*100</f>
        <v>4.6703296703297</v>
      </c>
      <c r="H16" t="str" s="89" cm="1">
        <f t="array" ref="H16">IF(ABS(E16-F16)&lt;=$H$3,"Cerca de la referencia",IF(E16&lt;F16,"Menos contenido ambiental que la referencia","Más contenido ambiental que la referencia"))</f>
        <v>Cerca de la referencia</v>
      </c>
      <c r="I16" s="17"/>
      <c r="J16" s="13"/>
      <c r="K16" s="13"/>
      <c r="L16" s="14"/>
    </row>
    <row r="17" ht="13.65" customHeight="1">
      <c r="A17" t="s" s="35">
        <v>115</v>
      </c>
      <c r="B17" t="s" s="35">
        <v>80</v>
      </c>
      <c r="C17" s="36" cm="1">
        <f t="array" ref="C17">_xlfn.COUNTIFS('Datos - Temas'!$W$5:$W$1264,$A17)-_xlfn.COUNTIFS('Datos - Temas'!$W$5:$W$1264,$A17,'Datos - Temas'!$K$5:$K$1264,"FUERA")-_xlfn.COUNTIFS('Datos - Temas'!$W$5:$W$1264,$A17,'Datos - Temas'!$K$5:$K$1264,"PENDIENTE")</f>
        <v>302</v>
      </c>
      <c r="D17" s="36" cm="1">
        <f t="array" ref="D17">_xlfn.COUNTIFS('Datos - Temas'!$W$5:$W$1264,$A17,'Datos - Temas'!$X$5:$X$1264,1)</f>
        <v>88</v>
      </c>
      <c r="E17" s="38" cm="1">
        <f t="array" ref="E17">IF(C17=0,0,D17/C17)</f>
        <v>0.291390728476821</v>
      </c>
      <c r="F17" s="41" cm="1">
        <f t="array" ref="F17">$E$3</f>
        <v>0.25</v>
      </c>
      <c r="G17" s="88" cm="1">
        <f t="array" ref="G17">(E17-F17)*100</f>
        <v>4.1390728476821</v>
      </c>
      <c r="H17" t="str" s="89" cm="1">
        <f t="array" ref="H17">IF(ABS(E17-F17)&lt;=$H$3,"Cerca de la referencia",IF(E17&lt;F17,"Menos contenido ambiental que la referencia","Más contenido ambiental que la referencia"))</f>
        <v>Cerca de la referencia</v>
      </c>
      <c r="I17" s="17"/>
      <c r="J17" s="13"/>
      <c r="K17" s="13"/>
      <c r="L17" s="14"/>
    </row>
    <row r="18" ht="13.55" customHeight="1">
      <c r="A18" s="42"/>
      <c r="B18" s="18"/>
      <c r="C18" s="18"/>
      <c r="D18" s="18"/>
      <c r="E18" s="18"/>
      <c r="F18" s="18"/>
      <c r="G18" s="18"/>
      <c r="H18" s="18"/>
      <c r="I18" s="13"/>
      <c r="J18" s="13"/>
      <c r="K18" s="13"/>
      <c r="L18" s="14"/>
    </row>
    <row r="19" ht="13.55" customHeight="1">
      <c r="A19" s="11"/>
      <c r="B19" s="13"/>
      <c r="C19" s="13"/>
      <c r="D19" s="13"/>
      <c r="E19" s="13"/>
      <c r="F19" s="13"/>
      <c r="G19" s="13"/>
      <c r="H19" s="13"/>
      <c r="I19" s="13"/>
      <c r="J19" s="13"/>
      <c r="K19" s="13"/>
      <c r="L19" s="14"/>
    </row>
    <row r="20" ht="14.6" customHeight="1">
      <c r="A20" t="s" s="43">
        <v>1425</v>
      </c>
      <c r="B20" s="44"/>
      <c r="C20" s="44"/>
      <c r="D20" s="44"/>
      <c r="E20" s="44"/>
      <c r="F20" s="44"/>
      <c r="G20" s="44"/>
      <c r="H20" s="44"/>
      <c r="I20" s="13"/>
      <c r="J20" s="13"/>
      <c r="K20" s="13"/>
      <c r="L20" s="14"/>
    </row>
    <row r="21" ht="32" customHeight="1">
      <c r="A21" t="s" s="34">
        <v>1047</v>
      </c>
      <c r="B21" t="s" s="34">
        <v>155</v>
      </c>
      <c r="C21" t="s" s="34">
        <v>1002</v>
      </c>
      <c r="D21" t="s" s="34">
        <v>1049</v>
      </c>
      <c r="E21" t="s" s="34">
        <v>1426</v>
      </c>
      <c r="F21" t="s" s="34">
        <v>1427</v>
      </c>
      <c r="G21" s="103"/>
      <c r="H21" s="103"/>
      <c r="I21" s="17"/>
      <c r="J21" s="13"/>
      <c r="K21" s="13"/>
      <c r="L21" s="14"/>
    </row>
    <row r="22" ht="68.65" customHeight="1">
      <c r="A22" t="s" s="78">
        <v>427</v>
      </c>
      <c r="B22" t="s" s="78">
        <v>1055</v>
      </c>
      <c r="C22" t="s" s="78">
        <v>210</v>
      </c>
      <c r="D22" t="s" s="78">
        <v>1057</v>
      </c>
      <c r="E22" s="46" cm="1">
        <f t="array" ref="E22">INDEX('TIMSS - Semáforo de objetivos'!$O$5:$O$107,MATCH($A22,'TIMSS - Semáforo de objetivos'!$A$5:$A$107,0))</f>
        <v>13</v>
      </c>
      <c r="F22" t="str" s="48" cm="1">
        <f t="array" ref="F22">INDEX('TIMSS - Semáforo de objetivos'!$R$5:$R$107,MATCH($A22,'TIMSS - Semáforo de objetivos'!$A$5:$A$107,0))</f>
        <v>Sólida (4+)</v>
      </c>
      <c r="G22" s="101"/>
      <c r="H22" s="18"/>
      <c r="I22" s="13"/>
      <c r="J22" s="13"/>
      <c r="K22" s="13"/>
      <c r="L22" s="14"/>
    </row>
    <row r="23" ht="57.65" customHeight="1">
      <c r="A23" t="s" s="78">
        <v>1066</v>
      </c>
      <c r="B23" t="s" s="78">
        <v>1055</v>
      </c>
      <c r="C23" t="s" s="78">
        <v>210</v>
      </c>
      <c r="D23" t="s" s="78">
        <v>1067</v>
      </c>
      <c r="E23" s="46" cm="1">
        <f t="array" ref="E23">INDEX('TIMSS - Semáforo de objetivos'!$O$5:$O$107,MATCH($A23,'TIMSS - Semáforo de objetivos'!$A$5:$A$107,0))</f>
        <v>10</v>
      </c>
      <c r="F23" t="str" s="48" cm="1">
        <f t="array" ref="F23">INDEX('TIMSS - Semáforo de objetivos'!$R$5:$R$107,MATCH($A23,'TIMSS - Semáforo de objetivos'!$A$5:$A$107,0))</f>
        <v>Sólida (4+)</v>
      </c>
      <c r="G23" s="17"/>
      <c r="H23" s="13"/>
      <c r="I23" s="13"/>
      <c r="J23" s="13"/>
      <c r="K23" s="13"/>
      <c r="L23" s="14"/>
    </row>
    <row r="24" ht="57.65" customHeight="1">
      <c r="A24" t="s" s="78">
        <v>1079</v>
      </c>
      <c r="B24" t="s" s="78">
        <v>1055</v>
      </c>
      <c r="C24" t="s" s="78">
        <v>210</v>
      </c>
      <c r="D24" t="s" s="78">
        <v>1081</v>
      </c>
      <c r="E24" s="46" cm="1">
        <f t="array" ref="E24">INDEX('TIMSS - Semáforo de objetivos'!$O$5:$O$107,MATCH($A24,'TIMSS - Semáforo de objetivos'!$A$5:$A$107,0))</f>
        <v>2</v>
      </c>
      <c r="F24" t="str" s="48" cm="1">
        <f t="array" ref="F24">INDEX('TIMSS - Semáforo de objetivos'!$R$5:$R$107,MATCH($A24,'TIMSS - Semáforo de objetivos'!$A$5:$A$107,0))</f>
        <v>Básica (2–3)</v>
      </c>
      <c r="G24" s="17"/>
      <c r="H24" s="13"/>
      <c r="I24" s="13"/>
      <c r="J24" s="13"/>
      <c r="K24" s="13"/>
      <c r="L24" s="14"/>
    </row>
    <row r="25" ht="24.65" customHeight="1">
      <c r="A25" t="s" s="78">
        <v>416</v>
      </c>
      <c r="B25" t="s" s="78">
        <v>1055</v>
      </c>
      <c r="C25" t="s" s="78">
        <v>210</v>
      </c>
      <c r="D25" t="s" s="78">
        <v>1084</v>
      </c>
      <c r="E25" s="46" cm="1">
        <f t="array" ref="E25">INDEX('TIMSS - Semáforo de objetivos'!$O$5:$O$107,MATCH($A25,'TIMSS - Semáforo de objetivos'!$A$5:$A$107,0))</f>
        <v>8</v>
      </c>
      <c r="F25" t="str" s="48" cm="1">
        <f t="array" ref="F25">INDEX('TIMSS - Semáforo de objetivos'!$R$5:$R$107,MATCH($A25,'TIMSS - Semáforo de objetivos'!$A$5:$A$107,0))</f>
        <v>Sólida (4+)</v>
      </c>
      <c r="G25" s="17"/>
      <c r="H25" s="13"/>
      <c r="I25" s="13"/>
      <c r="J25" s="13"/>
      <c r="K25" s="13"/>
      <c r="L25" s="14"/>
    </row>
    <row r="26" ht="24.65" customHeight="1">
      <c r="A26" t="s" s="78">
        <v>1086</v>
      </c>
      <c r="B26" t="s" s="78">
        <v>1055</v>
      </c>
      <c r="C26" t="s" s="78">
        <v>210</v>
      </c>
      <c r="D26" t="s" s="78">
        <v>1087</v>
      </c>
      <c r="E26" s="46" cm="1">
        <f t="array" ref="E26">INDEX('TIMSS - Semáforo de objetivos'!$O$5:$O$107,MATCH($A26,'TIMSS - Semáforo de objetivos'!$A$5:$A$107,0))</f>
        <v>5</v>
      </c>
      <c r="F26" t="str" s="48" cm="1">
        <f t="array" ref="F26">INDEX('TIMSS - Semáforo de objetivos'!$R$5:$R$107,MATCH($A26,'TIMSS - Semáforo de objetivos'!$A$5:$A$107,0))</f>
        <v>Sólida (4+)</v>
      </c>
      <c r="G26" s="17"/>
      <c r="H26" s="13"/>
      <c r="I26" s="13"/>
      <c r="J26" s="13"/>
      <c r="K26" s="13"/>
      <c r="L26" s="14"/>
    </row>
    <row r="27" ht="35.65" customHeight="1">
      <c r="A27" t="s" s="78">
        <v>1090</v>
      </c>
      <c r="B27" t="s" s="78">
        <v>1055</v>
      </c>
      <c r="C27" t="s" s="78">
        <v>210</v>
      </c>
      <c r="D27" t="s" s="78">
        <v>1091</v>
      </c>
      <c r="E27" s="46" cm="1">
        <f t="array" ref="E27">INDEX('TIMSS - Semáforo de objetivos'!$O$5:$O$107,MATCH($A27,'TIMSS - Semáforo de objetivos'!$A$5:$A$107,0))</f>
        <v>6</v>
      </c>
      <c r="F27" t="str" s="48" cm="1">
        <f t="array" ref="F27">INDEX('TIMSS - Semáforo de objetivos'!$R$5:$R$107,MATCH($A27,'TIMSS - Semáforo de objetivos'!$A$5:$A$107,0))</f>
        <v>Sólida (4+)</v>
      </c>
      <c r="G27" s="17"/>
      <c r="H27" s="13"/>
      <c r="I27" s="13"/>
      <c r="J27" s="13"/>
      <c r="K27" s="13"/>
      <c r="L27" s="14"/>
    </row>
    <row r="28" ht="35.65" customHeight="1">
      <c r="A28" t="s" s="78">
        <v>288</v>
      </c>
      <c r="B28" t="s" s="78">
        <v>1055</v>
      </c>
      <c r="C28" t="s" s="78">
        <v>216</v>
      </c>
      <c r="D28" t="s" s="78">
        <v>1141</v>
      </c>
      <c r="E28" s="46" cm="1">
        <f t="array" ref="E28">INDEX('TIMSS - Semáforo de objetivos'!$O$5:$O$107,MATCH($A28,'TIMSS - Semáforo de objetivos'!$A$5:$A$107,0))</f>
        <v>6</v>
      </c>
      <c r="F28" t="str" s="48" cm="1">
        <f t="array" ref="F28">INDEX('TIMSS - Semáforo de objetivos'!$R$5:$R$107,MATCH($A28,'TIMSS - Semáforo de objetivos'!$A$5:$A$107,0))</f>
        <v>Sólida (4+)</v>
      </c>
      <c r="G28" s="17"/>
      <c r="H28" s="13"/>
      <c r="I28" s="13"/>
      <c r="J28" s="13"/>
      <c r="K28" s="13"/>
      <c r="L28" s="14"/>
    </row>
    <row r="29" ht="35.65" customHeight="1">
      <c r="A29" t="s" s="78">
        <v>274</v>
      </c>
      <c r="B29" t="s" s="78">
        <v>1055</v>
      </c>
      <c r="C29" t="s" s="78">
        <v>216</v>
      </c>
      <c r="D29" t="s" s="78">
        <v>1146</v>
      </c>
      <c r="E29" s="46" cm="1">
        <f t="array" ref="E29">INDEX('TIMSS - Semáforo de objetivos'!$O$5:$O$107,MATCH($A29,'TIMSS - Semáforo de objetivos'!$A$5:$A$107,0))</f>
        <v>5</v>
      </c>
      <c r="F29" t="str" s="48" cm="1">
        <f t="array" ref="F29">INDEX('TIMSS - Semáforo de objetivos'!$R$5:$R$107,MATCH($A29,'TIMSS - Semáforo de objetivos'!$A$5:$A$107,0))</f>
        <v>Sólida (4+)</v>
      </c>
      <c r="G29" s="17"/>
      <c r="H29" s="13"/>
      <c r="I29" s="13"/>
      <c r="J29" s="13"/>
      <c r="K29" s="13"/>
      <c r="L29" s="14"/>
    </row>
    <row r="30" ht="24.65" customHeight="1">
      <c r="A30" t="s" s="78">
        <v>1148</v>
      </c>
      <c r="B30" t="s" s="78">
        <v>1055</v>
      </c>
      <c r="C30" t="s" s="78">
        <v>216</v>
      </c>
      <c r="D30" t="s" s="78">
        <v>1150</v>
      </c>
      <c r="E30" s="46" cm="1">
        <f t="array" ref="E30">INDEX('TIMSS - Semáforo de objetivos'!$O$5:$O$107,MATCH($A30,'TIMSS - Semáforo de objetivos'!$A$5:$A$107,0))</f>
        <v>12</v>
      </c>
      <c r="F30" t="str" s="48" cm="1">
        <f t="array" ref="F30">INDEX('TIMSS - Semáforo de objetivos'!$R$5:$R$107,MATCH($A30,'TIMSS - Semáforo de objetivos'!$A$5:$A$107,0))</f>
        <v>Sólida (4+)</v>
      </c>
      <c r="G30" s="17"/>
      <c r="H30" s="13"/>
      <c r="I30" s="13"/>
      <c r="J30" s="13"/>
      <c r="K30" s="13"/>
      <c r="L30" s="14"/>
    </row>
    <row r="31" ht="35.65" customHeight="1">
      <c r="A31" t="s" s="78">
        <v>1171</v>
      </c>
      <c r="B31" t="s" s="78">
        <v>1164</v>
      </c>
      <c r="C31" t="s" s="78">
        <v>210</v>
      </c>
      <c r="D31" t="s" s="78">
        <v>1172</v>
      </c>
      <c r="E31" s="46" cm="1">
        <f t="array" ref="E31">INDEX('TIMSS - Semáforo de objetivos'!$O$5:$O$107,MATCH($A31,'TIMSS - Semáforo de objetivos'!$A$5:$A$107,0))</f>
        <v>12</v>
      </c>
      <c r="F31" t="str" s="48" cm="1">
        <f t="array" ref="F31">INDEX('TIMSS - Semáforo de objetivos'!$R$5:$R$107,MATCH($A31,'TIMSS - Semáforo de objetivos'!$A$5:$A$107,0))</f>
        <v>Sólida (4+)</v>
      </c>
      <c r="G31" s="17"/>
      <c r="H31" s="13"/>
      <c r="I31" s="13"/>
      <c r="J31" s="13"/>
      <c r="K31" s="13"/>
      <c r="L31" s="14"/>
    </row>
    <row r="32" ht="35.65" customHeight="1">
      <c r="A32" t="s" s="78">
        <v>1189</v>
      </c>
      <c r="B32" t="s" s="78">
        <v>1164</v>
      </c>
      <c r="C32" t="s" s="78">
        <v>210</v>
      </c>
      <c r="D32" t="s" s="78">
        <v>1190</v>
      </c>
      <c r="E32" s="46" cm="1">
        <f t="array" ref="E32">INDEX('TIMSS - Semáforo de objetivos'!$O$5:$O$107,MATCH($A32,'TIMSS - Semáforo de objetivos'!$A$5:$A$107,0))</f>
        <v>4</v>
      </c>
      <c r="F32" t="str" s="48" cm="1">
        <f t="array" ref="F32">INDEX('TIMSS - Semáforo de objetivos'!$R$5:$R$107,MATCH($A32,'TIMSS - Semáforo de objetivos'!$A$5:$A$107,0))</f>
        <v>Sólida (4+)</v>
      </c>
      <c r="G32" s="17"/>
      <c r="H32" s="13"/>
      <c r="I32" s="13"/>
      <c r="J32" s="13"/>
      <c r="K32" s="13"/>
      <c r="L32" s="14"/>
    </row>
    <row r="33" ht="35.65" customHeight="1">
      <c r="A33" t="s" s="78">
        <v>459</v>
      </c>
      <c r="B33" t="s" s="78">
        <v>1164</v>
      </c>
      <c r="C33" t="s" s="78">
        <v>210</v>
      </c>
      <c r="D33" t="s" s="78">
        <v>1193</v>
      </c>
      <c r="E33" s="46" cm="1">
        <f t="array" ref="E33">INDEX('TIMSS - Semáforo de objetivos'!$O$5:$O$107,MATCH($A33,'TIMSS - Semáforo de objetivos'!$A$5:$A$107,0))</f>
        <v>1</v>
      </c>
      <c r="F33" t="str" s="48" cm="1">
        <f t="array" ref="F33">INDEX('TIMSS - Semáforo de objetivos'!$R$5:$R$107,MATCH($A33,'TIMSS - Semáforo de objetivos'!$A$5:$A$107,0))</f>
        <v>Débil (1 tema)</v>
      </c>
      <c r="G33" s="17"/>
      <c r="H33" s="13"/>
      <c r="I33" s="13"/>
      <c r="J33" s="13"/>
      <c r="K33" s="13"/>
      <c r="L33" s="14"/>
    </row>
    <row r="34" ht="46.65" customHeight="1">
      <c r="A34" t="s" s="78">
        <v>1195</v>
      </c>
      <c r="B34" t="s" s="78">
        <v>1164</v>
      </c>
      <c r="C34" t="s" s="78">
        <v>210</v>
      </c>
      <c r="D34" t="s" s="78">
        <v>1196</v>
      </c>
      <c r="E34" s="46" cm="1">
        <f t="array" ref="E34">INDEX('TIMSS - Semáforo de objetivos'!$O$5:$O$107,MATCH($A34,'TIMSS - Semáforo de objetivos'!$A$5:$A$107,0))</f>
        <v>1</v>
      </c>
      <c r="F34" t="str" s="48" cm="1">
        <f t="array" ref="F34">INDEX('TIMSS - Semáforo de objetivos'!$R$5:$R$107,MATCH($A34,'TIMSS - Semáforo de objetivos'!$A$5:$A$107,0))</f>
        <v>Débil (1 tema)</v>
      </c>
      <c r="G34" s="17"/>
      <c r="H34" s="13"/>
      <c r="I34" s="13"/>
      <c r="J34" s="13"/>
      <c r="K34" s="13"/>
      <c r="L34" s="14"/>
    </row>
    <row r="35" ht="24.65" customHeight="1">
      <c r="A35" t="s" s="78">
        <v>634</v>
      </c>
      <c r="B35" t="s" s="78">
        <v>1164</v>
      </c>
      <c r="C35" t="s" s="78">
        <v>210</v>
      </c>
      <c r="D35" t="s" s="78">
        <v>1087</v>
      </c>
      <c r="E35" s="46" cm="1">
        <f t="array" ref="E35">INDEX('TIMSS - Semáforo de objetivos'!$O$5:$O$107,MATCH($A35,'TIMSS - Semáforo de objetivos'!$A$5:$A$107,0))</f>
        <v>3</v>
      </c>
      <c r="F35" t="str" s="48" cm="1">
        <f t="array" ref="F35">INDEX('TIMSS - Semáforo de objetivos'!$R$5:$R$107,MATCH($A35,'TIMSS - Semáforo de objetivos'!$A$5:$A$107,0))</f>
        <v>Básica (2–3)</v>
      </c>
      <c r="G35" s="17"/>
      <c r="H35" s="13"/>
      <c r="I35" s="13"/>
      <c r="J35" s="13"/>
      <c r="K35" s="13"/>
      <c r="L35" s="14"/>
    </row>
    <row r="36" ht="35.65" customHeight="1">
      <c r="A36" t="s" s="78">
        <v>475</v>
      </c>
      <c r="B36" t="s" s="78">
        <v>1164</v>
      </c>
      <c r="C36" t="s" s="78">
        <v>210</v>
      </c>
      <c r="D36" t="s" s="78">
        <v>1199</v>
      </c>
      <c r="E36" s="46" cm="1">
        <f t="array" ref="E36">INDEX('TIMSS - Semáforo de objetivos'!$O$5:$O$107,MATCH($A36,'TIMSS - Semáforo de objetivos'!$A$5:$A$107,0))</f>
        <v>4</v>
      </c>
      <c r="F36" t="str" s="48" cm="1">
        <f t="array" ref="F36">INDEX('TIMSS - Semáforo de objetivos'!$R$5:$R$107,MATCH($A36,'TIMSS - Semáforo de objetivos'!$A$5:$A$107,0))</f>
        <v>Sólida (4+)</v>
      </c>
      <c r="G36" s="17"/>
      <c r="H36" s="13"/>
      <c r="I36" s="13"/>
      <c r="J36" s="13"/>
      <c r="K36" s="13"/>
      <c r="L36" s="14"/>
    </row>
    <row r="37" ht="35.65" customHeight="1">
      <c r="A37" t="s" s="78">
        <v>1201</v>
      </c>
      <c r="B37" t="s" s="78">
        <v>1164</v>
      </c>
      <c r="C37" t="s" s="78">
        <v>210</v>
      </c>
      <c r="D37" t="s" s="78">
        <v>1091</v>
      </c>
      <c r="E37" s="46" cm="1">
        <f t="array" ref="E37">INDEX('TIMSS - Semáforo de objetivos'!$O$5:$O$107,MATCH($A37,'TIMSS - Semáforo de objetivos'!$A$5:$A$107,0))</f>
        <v>14</v>
      </c>
      <c r="F37" t="str" s="48" cm="1">
        <f t="array" ref="F37">INDEX('TIMSS - Semáforo de objetivos'!$R$5:$R$107,MATCH($A37,'TIMSS - Semáforo de objetivos'!$A$5:$A$107,0))</f>
        <v>Sólida (4+)</v>
      </c>
      <c r="G37" s="17"/>
      <c r="H37" s="13"/>
      <c r="I37" s="13"/>
      <c r="J37" s="13"/>
      <c r="K37" s="13"/>
      <c r="L37" s="14"/>
    </row>
    <row r="38" ht="46.65" customHeight="1">
      <c r="A38" t="s" s="78">
        <v>1272</v>
      </c>
      <c r="B38" t="s" s="78">
        <v>1164</v>
      </c>
      <c r="C38" t="s" s="78">
        <v>216</v>
      </c>
      <c r="D38" t="s" s="78">
        <v>1273</v>
      </c>
      <c r="E38" s="46" cm="1">
        <f t="array" ref="E38">INDEX('TIMSS - Semáforo de objetivos'!$O$5:$O$107,MATCH($A38,'TIMSS - Semáforo de objetivos'!$A$5:$A$107,0))</f>
        <v>8</v>
      </c>
      <c r="F38" t="str" s="48" cm="1">
        <f t="array" ref="F38">INDEX('TIMSS - Semáforo de objetivos'!$R$5:$R$107,MATCH($A38,'TIMSS - Semáforo de objetivos'!$A$5:$A$107,0))</f>
        <v>Sólida (4+)</v>
      </c>
      <c r="G38" s="17"/>
      <c r="H38" s="13"/>
      <c r="I38" s="13"/>
      <c r="J38" s="13"/>
      <c r="K38" s="13"/>
      <c r="L38" s="14"/>
    </row>
    <row r="39" ht="24.65" customHeight="1">
      <c r="A39" t="s" s="78">
        <v>524</v>
      </c>
      <c r="B39" t="s" s="78">
        <v>1164</v>
      </c>
      <c r="C39" t="s" s="78">
        <v>216</v>
      </c>
      <c r="D39" t="s" s="78">
        <v>1275</v>
      </c>
      <c r="E39" s="46" cm="1">
        <f t="array" ref="E39">INDEX('TIMSS - Semáforo de objetivos'!$O$5:$O$107,MATCH($A39,'TIMSS - Semáforo de objetivos'!$A$5:$A$107,0))</f>
        <v>16</v>
      </c>
      <c r="F39" t="str" s="48" cm="1">
        <f t="array" ref="F39">INDEX('TIMSS - Semáforo de objetivos'!$R$5:$R$107,MATCH($A39,'TIMSS - Semáforo de objetivos'!$A$5:$A$107,0))</f>
        <v>Sólida (4+)</v>
      </c>
      <c r="G39" s="17"/>
      <c r="H39" s="13"/>
      <c r="I39" s="13"/>
      <c r="J39" s="13"/>
      <c r="K39" s="13"/>
      <c r="L39" s="14"/>
    </row>
    <row r="40" ht="46.65" customHeight="1">
      <c r="A40" t="s" s="78">
        <v>494</v>
      </c>
      <c r="B40" t="s" s="78">
        <v>1164</v>
      </c>
      <c r="C40" t="s" s="78">
        <v>216</v>
      </c>
      <c r="D40" t="s" s="78">
        <v>1277</v>
      </c>
      <c r="E40" s="46" cm="1">
        <f t="array" ref="E40">INDEX('TIMSS - Semáforo de objetivos'!$O$5:$O$107,MATCH($A40,'TIMSS - Semáforo de objetivos'!$A$5:$A$107,0))</f>
        <v>2</v>
      </c>
      <c r="F40" t="str" s="48" cm="1">
        <f t="array" ref="F40">INDEX('TIMSS - Semáforo de objetivos'!$R$5:$R$107,MATCH($A40,'TIMSS - Semáforo de objetivos'!$A$5:$A$107,0))</f>
        <v>Básica (2–3)</v>
      </c>
      <c r="G40" s="17"/>
      <c r="H40" s="13"/>
      <c r="I40" s="13"/>
      <c r="J40" s="13"/>
      <c r="K40" s="13"/>
      <c r="L40" s="14"/>
    </row>
    <row r="41" ht="24.65" customHeight="1">
      <c r="A41" t="s" s="78">
        <v>520</v>
      </c>
      <c r="B41" t="s" s="78">
        <v>1164</v>
      </c>
      <c r="C41" t="s" s="78">
        <v>216</v>
      </c>
      <c r="D41" t="s" s="78">
        <v>1279</v>
      </c>
      <c r="E41" s="46" cm="1">
        <f t="array" ref="E41">INDEX('TIMSS - Semáforo de objetivos'!$O$5:$O$107,MATCH($A41,'TIMSS - Semáforo de objetivos'!$A$5:$A$107,0))</f>
        <v>5</v>
      </c>
      <c r="F41" t="str" s="48" cm="1">
        <f t="array" ref="F41">INDEX('TIMSS - Semáforo de objetivos'!$R$5:$R$107,MATCH($A41,'TIMSS - Semáforo de objetivos'!$A$5:$A$107,0))</f>
        <v>Sólida (4+)</v>
      </c>
      <c r="G41" s="17"/>
      <c r="H41" s="13"/>
      <c r="I41" s="13"/>
      <c r="J41" s="13"/>
      <c r="K41" s="13"/>
      <c r="L41" s="14"/>
    </row>
    <row r="42" ht="35.65" customHeight="1">
      <c r="A42" t="s" s="78">
        <v>1281</v>
      </c>
      <c r="B42" t="s" s="78">
        <v>1164</v>
      </c>
      <c r="C42" t="s" s="78">
        <v>216</v>
      </c>
      <c r="D42" t="s" s="78">
        <v>1282</v>
      </c>
      <c r="E42" s="46" cm="1">
        <f t="array" ref="E42">INDEX('TIMSS - Semáforo de objetivos'!$O$5:$O$107,MATCH($A42,'TIMSS - Semáforo de objetivos'!$A$5:$A$107,0))</f>
        <v>7</v>
      </c>
      <c r="F42" t="str" s="48" cm="1">
        <f t="array" ref="F42">INDEX('TIMSS - Semáforo de objetivos'!$R$5:$R$107,MATCH($A42,'TIMSS - Semáforo de objetivos'!$A$5:$A$107,0))</f>
        <v>Sólida (4+)</v>
      </c>
      <c r="G42" s="17"/>
      <c r="H42" s="13"/>
      <c r="I42" s="13"/>
      <c r="J42" s="13"/>
      <c r="K42" s="13"/>
      <c r="L42" s="14"/>
    </row>
    <row r="43" ht="24.65" customHeight="1">
      <c r="A43" t="s" s="78">
        <v>1284</v>
      </c>
      <c r="B43" t="s" s="78">
        <v>1164</v>
      </c>
      <c r="C43" t="s" s="78">
        <v>216</v>
      </c>
      <c r="D43" t="s" s="78">
        <v>1285</v>
      </c>
      <c r="E43" s="46" cm="1">
        <f t="array" ref="E43">INDEX('TIMSS - Semáforo de objetivos'!$O$5:$O$107,MATCH($A43,'TIMSS - Semáforo de objetivos'!$A$5:$A$107,0))</f>
        <v>3</v>
      </c>
      <c r="F43" t="str" s="48" cm="1">
        <f t="array" ref="F43">INDEX('TIMSS - Semáforo de objetivos'!$R$5:$R$107,MATCH($A43,'TIMSS - Semáforo de objetivos'!$A$5:$A$107,0))</f>
        <v>Básica (2–3)</v>
      </c>
      <c r="G43" s="17"/>
      <c r="H43" s="13"/>
      <c r="I43" s="13"/>
      <c r="J43" s="13"/>
      <c r="K43" s="13"/>
      <c r="L43" s="14"/>
    </row>
    <row r="44" ht="24.65" customHeight="1">
      <c r="A44" t="s" s="78">
        <v>1287</v>
      </c>
      <c r="B44" t="s" s="78">
        <v>1164</v>
      </c>
      <c r="C44" t="s" s="78">
        <v>216</v>
      </c>
      <c r="D44" t="s" s="78">
        <v>1288</v>
      </c>
      <c r="E44" s="46" cm="1">
        <f t="array" ref="E44">INDEX('TIMSS - Semáforo de objetivos'!$O$5:$O$107,MATCH($A44,'TIMSS - Semáforo de objetivos'!$A$5:$A$107,0))</f>
        <v>9</v>
      </c>
      <c r="F44" t="str" s="48" cm="1">
        <f t="array" ref="F44">INDEX('TIMSS - Semáforo de objetivos'!$R$5:$R$107,MATCH($A44,'TIMSS - Semáforo de objetivos'!$A$5:$A$107,0))</f>
        <v>Sólida (4+)</v>
      </c>
      <c r="G44" s="17"/>
      <c r="H44" s="13"/>
      <c r="I44" s="13"/>
      <c r="J44" s="13"/>
      <c r="K44" s="13"/>
      <c r="L44" s="14"/>
    </row>
    <row r="45" ht="35.65" customHeight="1">
      <c r="A45" t="s" s="78">
        <v>1290</v>
      </c>
      <c r="B45" t="s" s="78">
        <v>1164</v>
      </c>
      <c r="C45" t="s" s="78">
        <v>216</v>
      </c>
      <c r="D45" t="s" s="78">
        <v>1291</v>
      </c>
      <c r="E45" s="46" cm="1">
        <f t="array" ref="E45">INDEX('TIMSS - Semáforo de objetivos'!$O$5:$O$107,MATCH($A45,'TIMSS - Semáforo de objetivos'!$A$5:$A$107,0))</f>
        <v>16</v>
      </c>
      <c r="F45" t="str" s="48" cm="1">
        <f t="array" ref="F45">INDEX('TIMSS - Semáforo de objetivos'!$R$5:$R$107,MATCH($A45,'TIMSS - Semáforo de objetivos'!$A$5:$A$107,0))</f>
        <v>Sólida (4+)</v>
      </c>
      <c r="G45" s="17"/>
      <c r="H45" s="13"/>
      <c r="I45" s="13"/>
      <c r="J45" s="13"/>
      <c r="K45" s="13"/>
      <c r="L45" s="14"/>
    </row>
    <row r="46" ht="13.55" customHeight="1">
      <c r="A46" s="71"/>
      <c r="B46" s="31"/>
      <c r="C46" s="31"/>
      <c r="D46" s="31"/>
      <c r="E46" s="31"/>
      <c r="F46" s="31"/>
      <c r="G46" s="13"/>
      <c r="H46" s="13"/>
      <c r="I46" s="13"/>
      <c r="J46" s="13"/>
      <c r="K46" s="13"/>
      <c r="L46" s="14"/>
    </row>
    <row r="47" ht="32" customHeight="1">
      <c r="A47" t="s" s="34">
        <v>155</v>
      </c>
      <c r="B47" t="s" s="34">
        <v>1431</v>
      </c>
      <c r="C47" t="s" s="34">
        <v>1432</v>
      </c>
      <c r="D47" t="s" s="34">
        <v>1381</v>
      </c>
      <c r="E47" t="s" s="34">
        <v>1433</v>
      </c>
      <c r="F47" t="s" s="34">
        <v>1434</v>
      </c>
      <c r="G47" s="17"/>
      <c r="H47" s="13"/>
      <c r="I47" s="13"/>
      <c r="J47" s="13"/>
      <c r="K47" s="13"/>
      <c r="L47" s="14"/>
    </row>
    <row r="48" ht="13.65" customHeight="1">
      <c r="A48" t="s" s="63">
        <v>1055</v>
      </c>
      <c r="B48" s="77" cm="1">
        <f t="array" ref="B48">_xlfn.COUNTIFS($B$22:$B$45,$A48)</f>
        <v>9</v>
      </c>
      <c r="C48" s="77" cm="1">
        <f t="array" ref="C48">_xlfn.COUNTIFS($B$22:$B$45,$A48,$E$22:$E$45,"&gt;0")</f>
        <v>9</v>
      </c>
      <c r="D48" s="65" cm="1">
        <f t="array" ref="D48">IF(B48=0,0,C48/B48)</f>
        <v>1</v>
      </c>
      <c r="E48" s="77" cm="1">
        <f t="array" ref="E48">B48-C48</f>
        <v>0</v>
      </c>
      <c r="F48" s="77" cm="1">
        <f t="array" ref="F48">_xlfn.COUNTIFS($B$22:$B$45,$A48,$F$22:$F$45,"Débil (1 tema)")</f>
        <v>0</v>
      </c>
      <c r="G48" s="17"/>
      <c r="H48" s="13"/>
      <c r="I48" s="13"/>
      <c r="J48" s="13"/>
      <c r="K48" s="13"/>
      <c r="L48" s="14"/>
    </row>
    <row r="49" ht="13.65" customHeight="1">
      <c r="A49" t="s" s="63">
        <v>1164</v>
      </c>
      <c r="B49" s="77" cm="1">
        <f t="array" ref="B49">_xlfn.COUNTIFS($B$22:$B$45,$A49)</f>
        <v>15</v>
      </c>
      <c r="C49" s="77" cm="1">
        <f t="array" ref="C49">_xlfn.COUNTIFS($B$22:$B$45,$A49,$E$22:$E$45,"&gt;0")</f>
        <v>15</v>
      </c>
      <c r="D49" s="65" cm="1">
        <f t="array" ref="D49">IF(B49=0,0,C49/B49)</f>
        <v>1</v>
      </c>
      <c r="E49" s="77" cm="1">
        <f t="array" ref="E49">B49-C49</f>
        <v>0</v>
      </c>
      <c r="F49" s="77" cm="1">
        <f t="array" ref="F49">_xlfn.COUNTIFS($B$22:$B$45,$A49,$F$22:$F$45,"Débil (1 tema)")</f>
        <v>2</v>
      </c>
      <c r="G49" s="17"/>
      <c r="H49" s="13"/>
      <c r="I49" s="13"/>
      <c r="J49" s="13"/>
      <c r="K49" s="13"/>
      <c r="L49" s="14"/>
    </row>
    <row r="50" ht="13.55" customHeight="1">
      <c r="A50" s="42"/>
      <c r="B50" s="18"/>
      <c r="C50" s="18"/>
      <c r="D50" s="18"/>
      <c r="E50" s="18"/>
      <c r="F50" s="18"/>
      <c r="G50" s="13"/>
      <c r="H50" s="13"/>
      <c r="I50" s="13"/>
      <c r="J50" s="13"/>
      <c r="K50" s="13"/>
      <c r="L50" s="14"/>
    </row>
    <row r="51" ht="56" customHeight="1">
      <c r="A51" t="s" s="54">
        <v>1435</v>
      </c>
      <c r="B51" s="24"/>
      <c r="C51" s="24"/>
      <c r="D51" s="24"/>
      <c r="E51" s="24"/>
      <c r="F51" s="24"/>
      <c r="G51" s="24"/>
      <c r="H51" s="24"/>
      <c r="I51" s="24"/>
      <c r="J51" s="24"/>
      <c r="K51" s="24"/>
      <c r="L51" s="25"/>
    </row>
  </sheetData>
  <mergeCells count="2">
    <mergeCell ref="A51:L51"/>
    <mergeCell ref="A2:L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1.xml><?xml version="1.0" encoding="utf-8"?>
<worksheet xmlns:r="http://schemas.openxmlformats.org/officeDocument/2006/relationships" xmlns="http://schemas.openxmlformats.org/spreadsheetml/2006/main">
  <dimension ref="A1:L29"/>
  <sheetViews>
    <sheetView workbookViewId="0" showGridLines="0" defaultGridColor="1"/>
  </sheetViews>
  <sheetFormatPr defaultColWidth="8.83333" defaultRowHeight="15" customHeight="1" outlineLevelRow="0" outlineLevelCol="0"/>
  <cols>
    <col min="1" max="1" width="16" style="104" customWidth="1"/>
    <col min="2" max="2" width="11" style="104" customWidth="1"/>
    <col min="3" max="5" width="14" style="104" customWidth="1"/>
    <col min="6" max="6" width="11" style="104" customWidth="1"/>
    <col min="7" max="7" width="14" style="104" customWidth="1"/>
    <col min="8" max="8" width="16" style="104" customWidth="1"/>
    <col min="9" max="9" width="10" style="104" customWidth="1"/>
    <col min="10" max="12" width="8.85156" style="104" customWidth="1"/>
    <col min="13" max="16384" width="8.85156" style="104" customWidth="1"/>
  </cols>
  <sheetData>
    <row r="1" ht="18.5" customHeight="1">
      <c r="A1" t="s" s="27">
        <v>1437</v>
      </c>
      <c r="B1" s="28"/>
      <c r="C1" s="28"/>
      <c r="D1" s="28"/>
      <c r="E1" s="28"/>
      <c r="F1" s="28"/>
      <c r="G1" s="28"/>
      <c r="H1" s="28"/>
      <c r="I1" s="28"/>
      <c r="J1" s="28"/>
      <c r="K1" s="28"/>
      <c r="L1" s="97"/>
    </row>
    <row r="2" ht="68" customHeight="1">
      <c r="A2" t="str" s="29" cm="1">
        <f t="array" ref="A2">"TIMSS 2027 (2.°–8.°)"&amp;"
"&amp;"● Temas centrados en investigar: "&amp;C15&amp;" en 2.°–4.° y "&amp;C16&amp;" en 5.°–8.°."&amp;"
"&amp;"● "&amp;(H15+H16)&amp;" temas que TIMSS 2023 dejaba fuera ahora cuentan (área nueva de 2027)."&amp;"
"&amp;"→ Investigar = el foco es medir, registrar, analizar datos o concluir."</f>
        <v>TIMSS 2027 (2.°–8.°)
● Temas centrados en investigar: 9 en 2.°–4.° y 15 en 5.°–8.°.
● 16 temas que TIMSS 2023 dejaba fuera ahora cuentan (área nueva de 2027).
→ Investigar = el foco es medir, registrar, analizar datos o concluir.</v>
      </c>
      <c r="B2" s="30"/>
      <c r="C2" s="31"/>
      <c r="D2" s="31"/>
      <c r="E2" s="31"/>
      <c r="F2" s="31"/>
      <c r="G2" s="31"/>
      <c r="H2" s="31"/>
      <c r="I2" s="31"/>
      <c r="J2" s="31"/>
      <c r="K2" s="31"/>
      <c r="L2" s="32"/>
    </row>
    <row r="3" ht="13.55" customHeight="1">
      <c r="A3" s="71"/>
      <c r="B3" s="31"/>
      <c r="C3" s="31"/>
      <c r="D3" s="31"/>
      <c r="E3" s="31"/>
      <c r="F3" s="31"/>
      <c r="G3" s="31"/>
      <c r="H3" s="31"/>
      <c r="I3" s="31"/>
      <c r="J3" s="18"/>
      <c r="K3" s="18"/>
      <c r="L3" s="51"/>
    </row>
    <row r="4" ht="58" customHeight="1">
      <c r="A4" t="s" s="34">
        <v>154</v>
      </c>
      <c r="B4" t="s" s="34">
        <v>95</v>
      </c>
      <c r="C4" t="s" s="34">
        <v>1439</v>
      </c>
      <c r="D4" t="s" s="34">
        <v>1440</v>
      </c>
      <c r="E4" t="s" s="34">
        <v>1441</v>
      </c>
      <c r="F4" t="s" s="34">
        <v>1442</v>
      </c>
      <c r="G4" t="s" s="34">
        <v>1443</v>
      </c>
      <c r="H4" t="s" s="34">
        <v>1444</v>
      </c>
      <c r="I4" t="s" s="34">
        <v>1445</v>
      </c>
      <c r="J4" s="17"/>
      <c r="K4" s="13"/>
      <c r="L4" s="14"/>
    </row>
    <row r="5" ht="14.6" customHeight="1">
      <c r="A5" t="s" s="102">
        <v>1420</v>
      </c>
      <c r="B5" s="31"/>
      <c r="C5" s="31"/>
      <c r="D5" s="31"/>
      <c r="E5" s="31"/>
      <c r="F5" s="31"/>
      <c r="G5" s="31"/>
      <c r="H5" s="31"/>
      <c r="I5" s="31"/>
      <c r="J5" s="13"/>
      <c r="K5" s="13"/>
      <c r="L5" s="14"/>
    </row>
    <row r="6" ht="13.65" customHeight="1">
      <c r="A6" t="s" s="35">
        <v>69</v>
      </c>
      <c r="B6" s="36" cm="1">
        <f t="array" ref="B6">_xlfn.COUNTIFS('Datos - Temas'!$V$5:$V$1264,$A6)-_xlfn.COUNTIFS('Datos - Temas'!$V$5:$V$1264,$A6,'Datos - Temas'!$K$5:$K$1264,"FUERA")-_xlfn.COUNTIFS('Datos - Temas'!$V$5:$V$1264,$A6,'Datos - Temas'!$K$5:$K$1264,"PENDIENTE")</f>
        <v>59</v>
      </c>
      <c r="C6" s="36" cm="1">
        <f t="array" ref="C6">_xlfn.COUNTIFS('Datos - Temas'!$V$5:$V$1264,$A6,'Datos - Temas'!$Y$5:$Y$1264,1)</f>
        <v>5</v>
      </c>
      <c r="D6" s="36" cm="1">
        <f t="array" ref="D6">_xlfn.COUNTIFS('Datos - Temas'!$V$5:$V$1264,$A6,'Datos - Temas'!$Y$5:$Y$1264,0,'Datos - Temas'!$Z$5:$Z$1264,1)</f>
        <v>4</v>
      </c>
      <c r="E6" s="36" cm="1">
        <f t="array" ref="E6">C6+D6</f>
        <v>9</v>
      </c>
      <c r="F6" s="38" cm="1">
        <f t="array" ref="F6">IF(B6=0,0,E6/B6)</f>
        <v>0.152542372881356</v>
      </c>
      <c r="G6" s="36" cm="1">
        <f t="array" ref="G6">_xlfn.COUNTIFS('Datos - Temas'!$V$5:$V$1264,$A6,'Datos - Temas'!$Y$5:$Y$1264,1,'Datos - Temas'!$AA$5:$AA$1264,"FUERA")</f>
        <v>5</v>
      </c>
      <c r="H6" s="36" cm="1">
        <f t="array" ref="H6">_xlfn.COUNTIFS('Datos - Temas'!$V$5:$V$1264,$A6,'Datos - Temas'!$AA$5:$AA$1264,"FUERA",'Datos - Temas'!$K$5:$K$1264,"&lt;&gt;FUERA")</f>
        <v>5</v>
      </c>
      <c r="I6" s="36" cm="1">
        <f t="array" ref="I6">_xlfn.COUNTIFS('Datos - Temas'!$V$5:$V$1264,$A6,'Datos - Temas'!$K$5:$K$1264,"FUERA")</f>
        <v>11</v>
      </c>
      <c r="J6" s="17"/>
      <c r="K6" s="13"/>
      <c r="L6" s="14"/>
    </row>
    <row r="7" ht="13.65" customHeight="1">
      <c r="A7" t="s" s="35">
        <v>74</v>
      </c>
      <c r="B7" s="36" cm="1">
        <f t="array" ref="B7">_xlfn.COUNTIFS('Datos - Temas'!$V$5:$V$1264,$A7)-_xlfn.COUNTIFS('Datos - Temas'!$V$5:$V$1264,$A7,'Datos - Temas'!$K$5:$K$1264,"FUERA")-_xlfn.COUNTIFS('Datos - Temas'!$V$5:$V$1264,$A7,'Datos - Temas'!$K$5:$K$1264,"PENDIENTE")</f>
        <v>60</v>
      </c>
      <c r="C7" s="36" cm="1">
        <f t="array" ref="C7">_xlfn.COUNTIFS('Datos - Temas'!$V$5:$V$1264,$A7,'Datos - Temas'!$Y$5:$Y$1264,1)</f>
        <v>3</v>
      </c>
      <c r="D7" s="36" cm="1">
        <f t="array" ref="D7">_xlfn.COUNTIFS('Datos - Temas'!$V$5:$V$1264,$A7,'Datos - Temas'!$Y$5:$Y$1264,0,'Datos - Temas'!$Z$5:$Z$1264,1)</f>
        <v>13</v>
      </c>
      <c r="E7" s="36" cm="1">
        <f t="array" ref="E7">C7+D7</f>
        <v>16</v>
      </c>
      <c r="F7" s="38" cm="1">
        <f t="array" ref="F7">IF(B7=0,0,E7/B7)</f>
        <v>0.266666666666667</v>
      </c>
      <c r="G7" s="36" cm="1">
        <f t="array" ref="G7">_xlfn.COUNTIFS('Datos - Temas'!$V$5:$V$1264,$A7,'Datos - Temas'!$Y$5:$Y$1264,1,'Datos - Temas'!$AA$5:$AA$1264,"FUERA")</f>
        <v>3</v>
      </c>
      <c r="H7" s="36" cm="1">
        <f t="array" ref="H7">_xlfn.COUNTIFS('Datos - Temas'!$V$5:$V$1264,$A7,'Datos - Temas'!$AA$5:$AA$1264,"FUERA",'Datos - Temas'!$K$5:$K$1264,"&lt;&gt;FUERA")</f>
        <v>3</v>
      </c>
      <c r="I7" s="36" cm="1">
        <f t="array" ref="I7">_xlfn.COUNTIFS('Datos - Temas'!$V$5:$V$1264,$A7,'Datos - Temas'!$K$5:$K$1264,"FUERA")</f>
        <v>6</v>
      </c>
      <c r="J7" s="17"/>
      <c r="K7" s="13"/>
      <c r="L7" s="14"/>
    </row>
    <row r="8" ht="13.65" customHeight="1">
      <c r="A8" t="s" s="35">
        <v>77</v>
      </c>
      <c r="B8" s="36" cm="1">
        <f t="array" ref="B8">_xlfn.COUNTIFS('Datos - Temas'!$V$5:$V$1264,$A8)-_xlfn.COUNTIFS('Datos - Temas'!$V$5:$V$1264,$A8,'Datos - Temas'!$K$5:$K$1264,"FUERA")-_xlfn.COUNTIFS('Datos - Temas'!$V$5:$V$1264,$A8,'Datos - Temas'!$K$5:$K$1264,"PENDIENTE")</f>
        <v>63</v>
      </c>
      <c r="C8" s="36" cm="1">
        <f t="array" ref="C8">_xlfn.COUNTIFS('Datos - Temas'!$V$5:$V$1264,$A8,'Datos - Temas'!$Y$5:$Y$1264,1)</f>
        <v>1</v>
      </c>
      <c r="D8" s="36" cm="1">
        <f t="array" ref="D8">_xlfn.COUNTIFS('Datos - Temas'!$V$5:$V$1264,$A8,'Datos - Temas'!$Y$5:$Y$1264,0,'Datos - Temas'!$Z$5:$Z$1264,1)</f>
        <v>2</v>
      </c>
      <c r="E8" s="36" cm="1">
        <f t="array" ref="E8">C8+D8</f>
        <v>3</v>
      </c>
      <c r="F8" s="38" cm="1">
        <f t="array" ref="F8">IF(B8=0,0,E8/B8)</f>
        <v>0.0476190476190476</v>
      </c>
      <c r="G8" s="36" cm="1">
        <f t="array" ref="G8">_xlfn.COUNTIFS('Datos - Temas'!$V$5:$V$1264,$A8,'Datos - Temas'!$Y$5:$Y$1264,1,'Datos - Temas'!$AA$5:$AA$1264,"FUERA")</f>
        <v>1</v>
      </c>
      <c r="H8" s="36" cm="1">
        <f t="array" ref="H8">_xlfn.COUNTIFS('Datos - Temas'!$V$5:$V$1264,$A8,'Datos - Temas'!$AA$5:$AA$1264,"FUERA",'Datos - Temas'!$K$5:$K$1264,"&lt;&gt;FUERA")</f>
        <v>1</v>
      </c>
      <c r="I8" s="36" cm="1">
        <f t="array" ref="I8">_xlfn.COUNTIFS('Datos - Temas'!$V$5:$V$1264,$A8,'Datos - Temas'!$K$5:$K$1264,"FUERA")</f>
        <v>9</v>
      </c>
      <c r="J8" s="17"/>
      <c r="K8" s="13"/>
      <c r="L8" s="14"/>
    </row>
    <row r="9" ht="13.65" customHeight="1">
      <c r="A9" t="s" s="35">
        <v>79</v>
      </c>
      <c r="B9" s="36" cm="1">
        <f t="array" ref="B9">_xlfn.COUNTIFS('Datos - Temas'!$V$5:$V$1264,$A9)-_xlfn.COUNTIFS('Datos - Temas'!$V$5:$V$1264,$A9,'Datos - Temas'!$K$5:$K$1264,"FUERA")-_xlfn.COUNTIFS('Datos - Temas'!$V$5:$V$1264,$A9,'Datos - Temas'!$K$5:$K$1264,"PENDIENTE")</f>
        <v>61</v>
      </c>
      <c r="C9" s="36" cm="1">
        <f t="array" ref="C9">_xlfn.COUNTIFS('Datos - Temas'!$V$5:$V$1264,$A9,'Datos - Temas'!$Y$5:$Y$1264,1)</f>
        <v>5</v>
      </c>
      <c r="D9" s="36" cm="1">
        <f t="array" ref="D9">_xlfn.COUNTIFS('Datos - Temas'!$V$5:$V$1264,$A9,'Datos - Temas'!$Y$5:$Y$1264,0,'Datos - Temas'!$Z$5:$Z$1264,1)</f>
        <v>1</v>
      </c>
      <c r="E9" s="36" cm="1">
        <f t="array" ref="E9">C9+D9</f>
        <v>6</v>
      </c>
      <c r="F9" s="38" cm="1">
        <f t="array" ref="F9">IF(B9=0,0,E9/B9)</f>
        <v>0.0983606557377049</v>
      </c>
      <c r="G9" s="36" cm="1">
        <f t="array" ref="G9">_xlfn.COUNTIFS('Datos - Temas'!$V$5:$V$1264,$A9,'Datos - Temas'!$Y$5:$Y$1264,1,'Datos - Temas'!$AA$5:$AA$1264,"FUERA")</f>
        <v>5</v>
      </c>
      <c r="H9" s="36" cm="1">
        <f t="array" ref="H9">_xlfn.COUNTIFS('Datos - Temas'!$V$5:$V$1264,$A9,'Datos - Temas'!$AA$5:$AA$1264,"FUERA",'Datos - Temas'!$K$5:$K$1264,"&lt;&gt;FUERA")</f>
        <v>5</v>
      </c>
      <c r="I9" s="36" cm="1">
        <f t="array" ref="I9">_xlfn.COUNTIFS('Datos - Temas'!$V$5:$V$1264,$A9,'Datos - Temas'!$K$5:$K$1264,"FUERA")</f>
        <v>11</v>
      </c>
      <c r="J9" s="17"/>
      <c r="K9" s="13"/>
      <c r="L9" s="14"/>
    </row>
    <row r="10" ht="13.65" customHeight="1">
      <c r="A10" t="s" s="35">
        <v>82</v>
      </c>
      <c r="B10" s="36" cm="1">
        <f t="array" ref="B10">_xlfn.COUNTIFS('Datos - Temas'!$V$5:$V$1264,$A10)-_xlfn.COUNTIFS('Datos - Temas'!$V$5:$V$1264,$A10,'Datos - Temas'!$K$5:$K$1264,"FUERA")-_xlfn.COUNTIFS('Datos - Temas'!$V$5:$V$1264,$A10,'Datos - Temas'!$K$5:$K$1264,"PENDIENTE")</f>
        <v>63</v>
      </c>
      <c r="C10" s="36" cm="1">
        <f t="array" ref="C10">_xlfn.COUNTIFS('Datos - Temas'!$V$5:$V$1264,$A10,'Datos - Temas'!$Y$5:$Y$1264,1)</f>
        <v>1</v>
      </c>
      <c r="D10" s="36" cm="1">
        <f t="array" ref="D10">_xlfn.COUNTIFS('Datos - Temas'!$V$5:$V$1264,$A10,'Datos - Temas'!$Y$5:$Y$1264,0,'Datos - Temas'!$Z$5:$Z$1264,1)</f>
        <v>7</v>
      </c>
      <c r="E10" s="36" cm="1">
        <f t="array" ref="E10">C10+D10</f>
        <v>8</v>
      </c>
      <c r="F10" s="38" cm="1">
        <f t="array" ref="F10">IF(B10=0,0,E10/B10)</f>
        <v>0.126984126984127</v>
      </c>
      <c r="G10" s="36" cm="1">
        <f t="array" ref="G10">_xlfn.COUNTIFS('Datos - Temas'!$V$5:$V$1264,$A10,'Datos - Temas'!$Y$5:$Y$1264,1,'Datos - Temas'!$AA$5:$AA$1264,"FUERA")</f>
        <v>0</v>
      </c>
      <c r="H10" s="36" cm="1">
        <f t="array" ref="H10">_xlfn.COUNTIFS('Datos - Temas'!$V$5:$V$1264,$A10,'Datos - Temas'!$AA$5:$AA$1264,"FUERA",'Datos - Temas'!$K$5:$K$1264,"&lt;&gt;FUERA")</f>
        <v>0</v>
      </c>
      <c r="I10" s="36" cm="1">
        <f t="array" ref="I10">_xlfn.COUNTIFS('Datos - Temas'!$V$5:$V$1264,$A10,'Datos - Temas'!$K$5:$K$1264,"FUERA")</f>
        <v>5</v>
      </c>
      <c r="J10" s="17"/>
      <c r="K10" s="13"/>
      <c r="L10" s="14"/>
    </row>
    <row r="11" ht="13.65" customHeight="1">
      <c r="A11" t="s" s="35">
        <v>85</v>
      </c>
      <c r="B11" s="36" cm="1">
        <f t="array" ref="B11">_xlfn.COUNTIFS('Datos - Temas'!$V$5:$V$1264,$A11)-_xlfn.COUNTIFS('Datos - Temas'!$V$5:$V$1264,$A11,'Datos - Temas'!$K$5:$K$1264,"FUERA")-_xlfn.COUNTIFS('Datos - Temas'!$V$5:$V$1264,$A11,'Datos - Temas'!$K$5:$K$1264,"PENDIENTE")</f>
        <v>85</v>
      </c>
      <c r="C11" s="36" cm="1">
        <f t="array" ref="C11">_xlfn.COUNTIFS('Datos - Temas'!$V$5:$V$1264,$A11,'Datos - Temas'!$Y$5:$Y$1264,1)</f>
        <v>1</v>
      </c>
      <c r="D11" s="36" cm="1">
        <f t="array" ref="D11">_xlfn.COUNTIFS('Datos - Temas'!$V$5:$V$1264,$A11,'Datos - Temas'!$Y$5:$Y$1264,0,'Datos - Temas'!$Z$5:$Z$1264,1)</f>
        <v>4</v>
      </c>
      <c r="E11" s="36" cm="1">
        <f t="array" ref="E11">C11+D11</f>
        <v>5</v>
      </c>
      <c r="F11" s="38" cm="1">
        <f t="array" ref="F11">IF(B11=0,0,E11/B11)</f>
        <v>0.0588235294117647</v>
      </c>
      <c r="G11" s="36" cm="1">
        <f t="array" ref="G11">_xlfn.COUNTIFS('Datos - Temas'!$V$5:$V$1264,$A11,'Datos - Temas'!$Y$5:$Y$1264,1,'Datos - Temas'!$AA$5:$AA$1264,"FUERA")</f>
        <v>0</v>
      </c>
      <c r="H11" s="36" cm="1">
        <f t="array" ref="H11">_xlfn.COUNTIFS('Datos - Temas'!$V$5:$V$1264,$A11,'Datos - Temas'!$AA$5:$AA$1264,"FUERA",'Datos - Temas'!$K$5:$K$1264,"&lt;&gt;FUERA")</f>
        <v>0</v>
      </c>
      <c r="I11" s="36" cm="1">
        <f t="array" ref="I11">_xlfn.COUNTIFS('Datos - Temas'!$V$5:$V$1264,$A11,'Datos - Temas'!$K$5:$K$1264,"FUERA")</f>
        <v>6</v>
      </c>
      <c r="J11" s="17"/>
      <c r="K11" s="13"/>
      <c r="L11" s="14"/>
    </row>
    <row r="12" ht="13.65" customHeight="1">
      <c r="A12" t="s" s="35">
        <v>86</v>
      </c>
      <c r="B12" s="36" cm="1">
        <f t="array" ref="B12">_xlfn.COUNTIFS('Datos - Temas'!$V$5:$V$1264,$A12)-_xlfn.COUNTIFS('Datos - Temas'!$V$5:$V$1264,$A12,'Datos - Temas'!$K$5:$K$1264,"FUERA")-_xlfn.COUNTIFS('Datos - Temas'!$V$5:$V$1264,$A12,'Datos - Temas'!$K$5:$K$1264,"PENDIENTE")</f>
        <v>93</v>
      </c>
      <c r="C12" s="36" cm="1">
        <f t="array" ref="C12">_xlfn.COUNTIFS('Datos - Temas'!$V$5:$V$1264,$A12,'Datos - Temas'!$Y$5:$Y$1264,1)</f>
        <v>8</v>
      </c>
      <c r="D12" s="36" cm="1">
        <f t="array" ref="D12">_xlfn.COUNTIFS('Datos - Temas'!$V$5:$V$1264,$A12,'Datos - Temas'!$Y$5:$Y$1264,0,'Datos - Temas'!$Z$5:$Z$1264,1)</f>
        <v>7</v>
      </c>
      <c r="E12" s="36" cm="1">
        <f t="array" ref="E12">C12+D12</f>
        <v>15</v>
      </c>
      <c r="F12" s="38" cm="1">
        <f t="array" ref="F12">IF(B12=0,0,E12/B12)</f>
        <v>0.161290322580645</v>
      </c>
      <c r="G12" s="36" cm="1">
        <f t="array" ref="G12">_xlfn.COUNTIFS('Datos - Temas'!$V$5:$V$1264,$A12,'Datos - Temas'!$Y$5:$Y$1264,1,'Datos - Temas'!$AA$5:$AA$1264,"FUERA")</f>
        <v>2</v>
      </c>
      <c r="H12" s="36" cm="1">
        <f t="array" ref="H12">_xlfn.COUNTIFS('Datos - Temas'!$V$5:$V$1264,$A12,'Datos - Temas'!$AA$5:$AA$1264,"FUERA",'Datos - Temas'!$K$5:$K$1264,"&lt;&gt;FUERA")</f>
        <v>2</v>
      </c>
      <c r="I12" s="36" cm="1">
        <f t="array" ref="I12">_xlfn.COUNTIFS('Datos - Temas'!$V$5:$V$1264,$A12,'Datos - Temas'!$K$5:$K$1264,"FUERA")</f>
        <v>0</v>
      </c>
      <c r="J12" s="17"/>
      <c r="K12" s="13"/>
      <c r="L12" s="14"/>
    </row>
    <row r="13" ht="13.55" customHeight="1">
      <c r="A13" s="42"/>
      <c r="B13" s="18"/>
      <c r="C13" s="18"/>
      <c r="D13" s="18"/>
      <c r="E13" s="18"/>
      <c r="F13" s="18"/>
      <c r="G13" s="18"/>
      <c r="H13" s="18"/>
      <c r="I13" s="18"/>
      <c r="J13" s="13"/>
      <c r="K13" s="13"/>
      <c r="L13" s="14"/>
    </row>
    <row r="14" ht="14.6" customHeight="1">
      <c r="A14" t="s" s="43">
        <v>1424</v>
      </c>
      <c r="B14" s="44"/>
      <c r="C14" s="44"/>
      <c r="D14" s="44"/>
      <c r="E14" s="44"/>
      <c r="F14" s="44"/>
      <c r="G14" s="44"/>
      <c r="H14" s="44"/>
      <c r="I14" s="44"/>
      <c r="J14" s="13"/>
      <c r="K14" s="13"/>
      <c r="L14" s="14"/>
    </row>
    <row r="15" ht="13.65" customHeight="1">
      <c r="A15" t="s" s="35">
        <v>112</v>
      </c>
      <c r="B15" s="36" cm="1">
        <f t="array" ref="B15">_xlfn.COUNTIFS('Datos - Temas'!$W$5:$W$1264,$A15)-_xlfn.COUNTIFS('Datos - Temas'!$W$5:$W$1264,$A15,'Datos - Temas'!$K$5:$K$1264,"FUERA")-_xlfn.COUNTIFS('Datos - Temas'!$W$5:$W$1264,$A15,'Datos - Temas'!$K$5:$K$1264,"PENDIENTE")</f>
        <v>182</v>
      </c>
      <c r="C15" s="36" cm="1">
        <f t="array" ref="C15">_xlfn.COUNTIFS('Datos - Temas'!$W$5:$W$1264,$A15,'Datos - Temas'!$Y$5:$Y$1264,1)</f>
        <v>9</v>
      </c>
      <c r="D15" s="36" cm="1">
        <f t="array" ref="D15">_xlfn.COUNTIFS('Datos - Temas'!$W$5:$W$1264,$A15,'Datos - Temas'!$Y$5:$Y$1264,0,'Datos - Temas'!$Z$5:$Z$1264,1)</f>
        <v>19</v>
      </c>
      <c r="E15" s="36" cm="1">
        <f t="array" ref="E15">C15+D15</f>
        <v>28</v>
      </c>
      <c r="F15" s="38" cm="1">
        <f t="array" ref="F15">IF(B15=0,0,E15/B15)</f>
        <v>0.153846153846154</v>
      </c>
      <c r="G15" s="36" cm="1">
        <f t="array" ref="G15">_xlfn.COUNTIFS('Datos - Temas'!$W$5:$W$1264,$A15,'Datos - Temas'!$Y$5:$Y$1264,1,'Datos - Temas'!$AA$5:$AA$1264,"FUERA")</f>
        <v>9</v>
      </c>
      <c r="H15" s="36" cm="1">
        <f t="array" ref="H15">_xlfn.COUNTIFS('Datos - Temas'!$W$5:$W$1264,$A15,'Datos - Temas'!$AA$5:$AA$1264,"FUERA",'Datos - Temas'!$K$5:$K$1264,"&lt;&gt;FUERA")</f>
        <v>9</v>
      </c>
      <c r="I15" s="36" cm="1">
        <f t="array" ref="I15">_xlfn.COUNTIFS('Datos - Temas'!$W$5:$W$1264,$A15,'Datos - Temas'!$K$5:$K$1264,"FUERA")</f>
        <v>26</v>
      </c>
      <c r="J15" s="17"/>
      <c r="K15" s="13"/>
      <c r="L15" s="14"/>
    </row>
    <row r="16" ht="13.65" customHeight="1">
      <c r="A16" t="s" s="35">
        <v>115</v>
      </c>
      <c r="B16" s="36" cm="1">
        <f t="array" ref="B16">_xlfn.COUNTIFS('Datos - Temas'!$W$5:$W$1264,$A16)-_xlfn.COUNTIFS('Datos - Temas'!$W$5:$W$1264,$A16,'Datos - Temas'!$K$5:$K$1264,"FUERA")-_xlfn.COUNTIFS('Datos - Temas'!$W$5:$W$1264,$A16,'Datos - Temas'!$K$5:$K$1264,"PENDIENTE")</f>
        <v>302</v>
      </c>
      <c r="C16" s="36" cm="1">
        <f t="array" ref="C16">_xlfn.COUNTIFS('Datos - Temas'!$W$5:$W$1264,$A16,'Datos - Temas'!$Y$5:$Y$1264,1)</f>
        <v>15</v>
      </c>
      <c r="D16" s="36" cm="1">
        <f t="array" ref="D16">_xlfn.COUNTIFS('Datos - Temas'!$W$5:$W$1264,$A16,'Datos - Temas'!$Y$5:$Y$1264,0,'Datos - Temas'!$Z$5:$Z$1264,1)</f>
        <v>19</v>
      </c>
      <c r="E16" s="36" cm="1">
        <f t="array" ref="E16">C16+D16</f>
        <v>34</v>
      </c>
      <c r="F16" s="38" cm="1">
        <f t="array" ref="F16">IF(B16=0,0,E16/B16)</f>
        <v>0.112582781456954</v>
      </c>
      <c r="G16" s="36" cm="1">
        <f t="array" ref="G16">_xlfn.COUNTIFS('Datos - Temas'!$W$5:$W$1264,$A16,'Datos - Temas'!$Y$5:$Y$1264,1,'Datos - Temas'!$AA$5:$AA$1264,"FUERA")</f>
        <v>7</v>
      </c>
      <c r="H16" s="36" cm="1">
        <f t="array" ref="H16">_xlfn.COUNTIFS('Datos - Temas'!$W$5:$W$1264,$A16,'Datos - Temas'!$AA$5:$AA$1264,"FUERA",'Datos - Temas'!$K$5:$K$1264,"&lt;&gt;FUERA")</f>
        <v>7</v>
      </c>
      <c r="I16" s="36" cm="1">
        <f t="array" ref="I16">_xlfn.COUNTIFS('Datos - Temas'!$W$5:$W$1264,$A16,'Datos - Temas'!$K$5:$K$1264,"FUERA")</f>
        <v>22</v>
      </c>
      <c r="J16" s="17"/>
      <c r="K16" s="13"/>
      <c r="L16" s="14"/>
    </row>
    <row r="17" ht="13.55" customHeight="1">
      <c r="A17" s="42"/>
      <c r="B17" s="18"/>
      <c r="C17" s="18"/>
      <c r="D17" s="18"/>
      <c r="E17" s="18"/>
      <c r="F17" s="18"/>
      <c r="G17" s="18"/>
      <c r="H17" s="18"/>
      <c r="I17" s="18"/>
      <c r="J17" s="13"/>
      <c r="K17" s="13"/>
      <c r="L17" s="14"/>
    </row>
    <row r="18" ht="13.55" customHeight="1">
      <c r="A18" s="11"/>
      <c r="B18" s="13"/>
      <c r="C18" s="13"/>
      <c r="D18" s="13"/>
      <c r="E18" s="13"/>
      <c r="F18" s="13"/>
      <c r="G18" s="13"/>
      <c r="H18" s="13"/>
      <c r="I18" s="13"/>
      <c r="J18" s="13"/>
      <c r="K18" s="13"/>
      <c r="L18" s="14"/>
    </row>
    <row r="19" ht="14.6" customHeight="1">
      <c r="A19" t="s" s="43">
        <v>1446</v>
      </c>
      <c r="B19" s="44"/>
      <c r="C19" s="44"/>
      <c r="D19" s="44"/>
      <c r="E19" s="44"/>
      <c r="F19" s="44"/>
      <c r="G19" s="44"/>
      <c r="H19" s="44"/>
      <c r="I19" s="44"/>
      <c r="J19" s="44"/>
      <c r="K19" s="44"/>
      <c r="L19" s="45"/>
    </row>
    <row r="20" ht="32" customHeight="1">
      <c r="A20" t="s" s="34">
        <v>1047</v>
      </c>
      <c r="B20" t="s" s="34">
        <v>201</v>
      </c>
      <c r="C20" t="s" s="34">
        <v>1049</v>
      </c>
      <c r="D20" t="s" s="34">
        <v>69</v>
      </c>
      <c r="E20" t="s" s="34">
        <v>74</v>
      </c>
      <c r="F20" t="s" s="34">
        <v>77</v>
      </c>
      <c r="G20" t="s" s="34">
        <v>79</v>
      </c>
      <c r="H20" t="s" s="34">
        <v>82</v>
      </c>
      <c r="I20" t="s" s="34">
        <v>85</v>
      </c>
      <c r="J20" t="s" s="34">
        <v>86</v>
      </c>
      <c r="K20" t="s" s="34">
        <v>1447</v>
      </c>
      <c r="L20" t="s" s="34">
        <v>1427</v>
      </c>
    </row>
    <row r="21" ht="46.65" customHeight="1">
      <c r="A21" t="s" s="78">
        <v>1099</v>
      </c>
      <c r="B21" t="s" s="78">
        <v>1100</v>
      </c>
      <c r="C21" t="s" s="78">
        <v>1101</v>
      </c>
      <c r="D21" s="80" cm="1">
        <f t="array" ref="D21">_xlfn.COUNTIFS('Datos - Temas'!$V$5:$V$1264,D$20,'Datos - Temas'!$K$5:$K$1264,$A21)+_xlfn.COUNTIFS('Datos - Temas'!$V$5:$V$1264,D$20,'Datos - Temas'!$L$5:$L$1264,$A21)</f>
        <v>1</v>
      </c>
      <c r="E21" s="80" cm="1">
        <f t="array" ref="E21">_xlfn.COUNTIFS('Datos - Temas'!$V$5:$V$1264,E$20,'Datos - Temas'!$K$5:$K$1264,$A21)+_xlfn.COUNTIFS('Datos - Temas'!$V$5:$V$1264,E$20,'Datos - Temas'!$L$5:$L$1264,$A21)</f>
        <v>10</v>
      </c>
      <c r="F21" s="80" cm="1">
        <f t="array" ref="F21">_xlfn.COUNTIFS('Datos - Temas'!$V$5:$V$1264,F$20,'Datos - Temas'!$K$5:$K$1264,$A21)+_xlfn.COUNTIFS('Datos - Temas'!$V$5:$V$1264,F$20,'Datos - Temas'!$L$5:$L$1264,$A21)</f>
        <v>2</v>
      </c>
      <c r="G21" s="80" cm="1">
        <f t="array" ref="G21">_xlfn.COUNTIFS('Datos - Temas'!$V$5:$V$1264,G$20,'Datos - Temas'!$K$5:$K$1264,$A21)+_xlfn.COUNTIFS('Datos - Temas'!$V$5:$V$1264,G$20,'Datos - Temas'!$L$5:$L$1264,$A21)</f>
        <v>0</v>
      </c>
      <c r="H21" s="80" cm="1">
        <f t="array" ref="H21">_xlfn.COUNTIFS('Datos - Temas'!$V$5:$V$1264,H$20,'Datos - Temas'!$K$5:$K$1264,$A21)+_xlfn.COUNTIFS('Datos - Temas'!$V$5:$V$1264,H$20,'Datos - Temas'!$L$5:$L$1264,$A21)</f>
        <v>0</v>
      </c>
      <c r="I21" s="80" cm="1">
        <f t="array" ref="I21">_xlfn.COUNTIFS('Datos - Temas'!$V$5:$V$1264,I$20,'Datos - Temas'!$K$5:$K$1264,$A21)+_xlfn.COUNTIFS('Datos - Temas'!$V$5:$V$1264,I$20,'Datos - Temas'!$L$5:$L$1264,$A21)</f>
        <v>0</v>
      </c>
      <c r="J21" s="80" cm="1">
        <f t="array" ref="J21">_xlfn.COUNTIFS('Datos - Temas'!$V$5:$V$1264,J$20,'Datos - Temas'!$K$5:$K$1264,$A21)+_xlfn.COUNTIFS('Datos - Temas'!$V$5:$V$1264,J$20,'Datos - Temas'!$L$5:$L$1264,$A21)</f>
        <v>0</v>
      </c>
      <c r="K21" s="46" cm="1">
        <f t="array" ref="K21">INDEX('TIMSS - Semáforo de objetivos'!$O$5:$O$107,MATCH($A21,'TIMSS - Semáforo de objetivos'!$A$5:$A$107,0))</f>
        <v>13</v>
      </c>
      <c r="L21" t="str" s="48" cm="1">
        <f t="array" ref="L21">INDEX('TIMSS - Semáforo de objetivos'!$R$5:$R$107,MATCH($A21,'TIMSS - Semáforo de objetivos'!$A$5:$A$107,0))</f>
        <v>Sólida (4+)</v>
      </c>
    </row>
    <row r="22" ht="46.65" customHeight="1">
      <c r="A22" t="s" s="78">
        <v>1136</v>
      </c>
      <c r="B22" t="s" s="78">
        <v>1137</v>
      </c>
      <c r="C22" t="s" s="78">
        <v>1138</v>
      </c>
      <c r="D22" s="80" cm="1">
        <f t="array" ref="D22">_xlfn.COUNTIFS('Datos - Temas'!$V$5:$V$1264,D$20,'Datos - Temas'!$K$5:$K$1264,$A22)+_xlfn.COUNTIFS('Datos - Temas'!$V$5:$V$1264,D$20,'Datos - Temas'!$L$5:$L$1264,$A22)</f>
        <v>8</v>
      </c>
      <c r="E22" s="80" cm="1">
        <f t="array" ref="E22">_xlfn.COUNTIFS('Datos - Temas'!$V$5:$V$1264,E$20,'Datos - Temas'!$K$5:$K$1264,$A22)+_xlfn.COUNTIFS('Datos - Temas'!$V$5:$V$1264,E$20,'Datos - Temas'!$L$5:$L$1264,$A22)</f>
        <v>6</v>
      </c>
      <c r="F22" s="80" cm="1">
        <f t="array" ref="F22">_xlfn.COUNTIFS('Datos - Temas'!$V$5:$V$1264,F$20,'Datos - Temas'!$K$5:$K$1264,$A22)+_xlfn.COUNTIFS('Datos - Temas'!$V$5:$V$1264,F$20,'Datos - Temas'!$L$5:$L$1264,$A22)</f>
        <v>0</v>
      </c>
      <c r="G22" s="80" cm="1">
        <f t="array" ref="G22">_xlfn.COUNTIFS('Datos - Temas'!$V$5:$V$1264,G$20,'Datos - Temas'!$K$5:$K$1264,$A22)+_xlfn.COUNTIFS('Datos - Temas'!$V$5:$V$1264,G$20,'Datos - Temas'!$L$5:$L$1264,$A22)</f>
        <v>0</v>
      </c>
      <c r="H22" s="80" cm="1">
        <f t="array" ref="H22">_xlfn.COUNTIFS('Datos - Temas'!$V$5:$V$1264,H$20,'Datos - Temas'!$K$5:$K$1264,$A22)+_xlfn.COUNTIFS('Datos - Temas'!$V$5:$V$1264,H$20,'Datos - Temas'!$L$5:$L$1264,$A22)</f>
        <v>0</v>
      </c>
      <c r="I22" s="80" cm="1">
        <f t="array" ref="I22">_xlfn.COUNTIFS('Datos - Temas'!$V$5:$V$1264,I$20,'Datos - Temas'!$K$5:$K$1264,$A22)+_xlfn.COUNTIFS('Datos - Temas'!$V$5:$V$1264,I$20,'Datos - Temas'!$L$5:$L$1264,$A22)</f>
        <v>0</v>
      </c>
      <c r="J22" s="80" cm="1">
        <f t="array" ref="J22">_xlfn.COUNTIFS('Datos - Temas'!$V$5:$V$1264,J$20,'Datos - Temas'!$K$5:$K$1264,$A22)+_xlfn.COUNTIFS('Datos - Temas'!$V$5:$V$1264,J$20,'Datos - Temas'!$L$5:$L$1264,$A22)</f>
        <v>0</v>
      </c>
      <c r="K22" s="46" cm="1">
        <f t="array" ref="K22">INDEX('TIMSS - Semáforo de objetivos'!$O$5:$O$107,MATCH($A22,'TIMSS - Semáforo de objetivos'!$A$5:$A$107,0))</f>
        <v>14</v>
      </c>
      <c r="L22" t="str" s="48" cm="1">
        <f t="array" ref="L22">INDEX('TIMSS - Semáforo de objetivos'!$R$5:$R$107,MATCH($A22,'TIMSS - Semáforo de objetivos'!$A$5:$A$107,0))</f>
        <v>Sólida (4+)</v>
      </c>
    </row>
    <row r="23" ht="46.65" customHeight="1">
      <c r="A23" t="s" s="78">
        <v>1159</v>
      </c>
      <c r="B23" t="s" s="78">
        <v>1160</v>
      </c>
      <c r="C23" t="s" s="78">
        <v>1161</v>
      </c>
      <c r="D23" s="80" cm="1">
        <f t="array" ref="D23">_xlfn.COUNTIFS('Datos - Temas'!$V$5:$V$1264,D$20,'Datos - Temas'!$K$5:$K$1264,$A23)+_xlfn.COUNTIFS('Datos - Temas'!$V$5:$V$1264,D$20,'Datos - Temas'!$L$5:$L$1264,$A23)</f>
        <v>0</v>
      </c>
      <c r="E23" s="80" cm="1">
        <f t="array" ref="E23">_xlfn.COUNTIFS('Datos - Temas'!$V$5:$V$1264,E$20,'Datos - Temas'!$K$5:$K$1264,$A23)+_xlfn.COUNTIFS('Datos - Temas'!$V$5:$V$1264,E$20,'Datos - Temas'!$L$5:$L$1264,$A23)</f>
        <v>0</v>
      </c>
      <c r="F23" s="80" cm="1">
        <f t="array" ref="F23">_xlfn.COUNTIFS('Datos - Temas'!$V$5:$V$1264,F$20,'Datos - Temas'!$K$5:$K$1264,$A23)+_xlfn.COUNTIFS('Datos - Temas'!$V$5:$V$1264,F$20,'Datos - Temas'!$L$5:$L$1264,$A23)</f>
        <v>1</v>
      </c>
      <c r="G23" s="80" cm="1">
        <f t="array" ref="G23">_xlfn.COUNTIFS('Datos - Temas'!$V$5:$V$1264,G$20,'Datos - Temas'!$K$5:$K$1264,$A23)+_xlfn.COUNTIFS('Datos - Temas'!$V$5:$V$1264,G$20,'Datos - Temas'!$L$5:$L$1264,$A23)</f>
        <v>0</v>
      </c>
      <c r="H23" s="80" cm="1">
        <f t="array" ref="H23">_xlfn.COUNTIFS('Datos - Temas'!$V$5:$V$1264,H$20,'Datos - Temas'!$K$5:$K$1264,$A23)+_xlfn.COUNTIFS('Datos - Temas'!$V$5:$V$1264,H$20,'Datos - Temas'!$L$5:$L$1264,$A23)</f>
        <v>0</v>
      </c>
      <c r="I23" s="80" cm="1">
        <f t="array" ref="I23">_xlfn.COUNTIFS('Datos - Temas'!$V$5:$V$1264,I$20,'Datos - Temas'!$K$5:$K$1264,$A23)+_xlfn.COUNTIFS('Datos - Temas'!$V$5:$V$1264,I$20,'Datos - Temas'!$L$5:$L$1264,$A23)</f>
        <v>0</v>
      </c>
      <c r="J23" s="80" cm="1">
        <f t="array" ref="J23">_xlfn.COUNTIFS('Datos - Temas'!$V$5:$V$1264,J$20,'Datos - Temas'!$K$5:$K$1264,$A23)+_xlfn.COUNTIFS('Datos - Temas'!$V$5:$V$1264,J$20,'Datos - Temas'!$L$5:$L$1264,$A23)</f>
        <v>0</v>
      </c>
      <c r="K23" s="46" cm="1">
        <f t="array" ref="K23">INDEX('TIMSS - Semáforo de objetivos'!$O$5:$O$107,MATCH($A23,'TIMSS - Semáforo de objetivos'!$A$5:$A$107,0))</f>
        <v>1</v>
      </c>
      <c r="L23" t="str" s="48" cm="1">
        <f t="array" ref="L23">INDEX('TIMSS - Semáforo de objetivos'!$R$5:$R$107,MATCH($A23,'TIMSS - Semáforo de objetivos'!$A$5:$A$107,0))</f>
        <v>Débil (1 tema)</v>
      </c>
    </row>
    <row r="24" ht="46.65" customHeight="1">
      <c r="A24" t="s" s="78">
        <v>1207</v>
      </c>
      <c r="B24" t="s" s="78">
        <v>1100</v>
      </c>
      <c r="C24" t="s" s="78">
        <v>1101</v>
      </c>
      <c r="D24" s="80" cm="1">
        <f t="array" ref="D24">_xlfn.COUNTIFS('Datos - Temas'!$V$5:$V$1264,D$20,'Datos - Temas'!$K$5:$K$1264,$A24)+_xlfn.COUNTIFS('Datos - Temas'!$V$5:$V$1264,D$20,'Datos - Temas'!$L$5:$L$1264,$A24)</f>
        <v>0</v>
      </c>
      <c r="E24" s="80" cm="1">
        <f t="array" ref="E24">_xlfn.COUNTIFS('Datos - Temas'!$V$5:$V$1264,E$20,'Datos - Temas'!$K$5:$K$1264,$A24)+_xlfn.COUNTIFS('Datos - Temas'!$V$5:$V$1264,E$20,'Datos - Temas'!$L$5:$L$1264,$A24)</f>
        <v>0</v>
      </c>
      <c r="F24" s="80" cm="1">
        <f t="array" ref="F24">_xlfn.COUNTIFS('Datos - Temas'!$V$5:$V$1264,F$20,'Datos - Temas'!$K$5:$K$1264,$A24)+_xlfn.COUNTIFS('Datos - Temas'!$V$5:$V$1264,F$20,'Datos - Temas'!$L$5:$L$1264,$A24)</f>
        <v>0</v>
      </c>
      <c r="G24" s="80" cm="1">
        <f t="array" ref="G24">_xlfn.COUNTIFS('Datos - Temas'!$V$5:$V$1264,G$20,'Datos - Temas'!$K$5:$K$1264,$A24)+_xlfn.COUNTIFS('Datos - Temas'!$V$5:$V$1264,G$20,'Datos - Temas'!$L$5:$L$1264,$A24)</f>
        <v>0</v>
      </c>
      <c r="H24" s="80" cm="1">
        <f t="array" ref="H24">_xlfn.COUNTIFS('Datos - Temas'!$V$5:$V$1264,H$20,'Datos - Temas'!$K$5:$K$1264,$A24)+_xlfn.COUNTIFS('Datos - Temas'!$V$5:$V$1264,H$20,'Datos - Temas'!$L$5:$L$1264,$A24)</f>
        <v>4</v>
      </c>
      <c r="I24" s="80" cm="1">
        <f t="array" ref="I24">_xlfn.COUNTIFS('Datos - Temas'!$V$5:$V$1264,I$20,'Datos - Temas'!$K$5:$K$1264,$A24)+_xlfn.COUNTIFS('Datos - Temas'!$V$5:$V$1264,I$20,'Datos - Temas'!$L$5:$L$1264,$A24)</f>
        <v>4</v>
      </c>
      <c r="J24" s="80" cm="1">
        <f t="array" ref="J24">_xlfn.COUNTIFS('Datos - Temas'!$V$5:$V$1264,J$20,'Datos - Temas'!$K$5:$K$1264,$A24)+_xlfn.COUNTIFS('Datos - Temas'!$V$5:$V$1264,J$20,'Datos - Temas'!$L$5:$L$1264,$A24)</f>
        <v>6</v>
      </c>
      <c r="K24" s="46" cm="1">
        <f t="array" ref="K24">INDEX('TIMSS - Semáforo de objetivos'!$O$5:$O$107,MATCH($A24,'TIMSS - Semáforo de objetivos'!$A$5:$A$107,0))</f>
        <v>14</v>
      </c>
      <c r="L24" t="str" s="48" cm="1">
        <f t="array" ref="L24">INDEX('TIMSS - Semáforo de objetivos'!$R$5:$R$107,MATCH($A24,'TIMSS - Semáforo de objetivos'!$A$5:$A$107,0))</f>
        <v>Sólida (4+)</v>
      </c>
    </row>
    <row r="25" ht="46.65" customHeight="1">
      <c r="A25" t="s" s="78">
        <v>1234</v>
      </c>
      <c r="B25" t="s" s="78">
        <v>1235</v>
      </c>
      <c r="C25" t="s" s="78">
        <v>1236</v>
      </c>
      <c r="D25" s="80" cm="1">
        <f t="array" ref="D25">_xlfn.COUNTIFS('Datos - Temas'!$V$5:$V$1264,D$20,'Datos - Temas'!$K$5:$K$1264,$A25)+_xlfn.COUNTIFS('Datos - Temas'!$V$5:$V$1264,D$20,'Datos - Temas'!$L$5:$L$1264,$A25)</f>
        <v>0</v>
      </c>
      <c r="E25" s="80" cm="1">
        <f t="array" ref="E25">_xlfn.COUNTIFS('Datos - Temas'!$V$5:$V$1264,E$20,'Datos - Temas'!$K$5:$K$1264,$A25)+_xlfn.COUNTIFS('Datos - Temas'!$V$5:$V$1264,E$20,'Datos - Temas'!$L$5:$L$1264,$A25)</f>
        <v>0</v>
      </c>
      <c r="F25" s="80" cm="1">
        <f t="array" ref="F25">_xlfn.COUNTIFS('Datos - Temas'!$V$5:$V$1264,F$20,'Datos - Temas'!$K$5:$K$1264,$A25)+_xlfn.COUNTIFS('Datos - Temas'!$V$5:$V$1264,F$20,'Datos - Temas'!$L$5:$L$1264,$A25)</f>
        <v>0</v>
      </c>
      <c r="G25" s="80" cm="1">
        <f t="array" ref="G25">_xlfn.COUNTIFS('Datos - Temas'!$V$5:$V$1264,G$20,'Datos - Temas'!$K$5:$K$1264,$A25)+_xlfn.COUNTIFS('Datos - Temas'!$V$5:$V$1264,G$20,'Datos - Temas'!$L$5:$L$1264,$A25)</f>
        <v>0</v>
      </c>
      <c r="H25" s="80" cm="1">
        <f t="array" ref="H25">_xlfn.COUNTIFS('Datos - Temas'!$V$5:$V$1264,H$20,'Datos - Temas'!$K$5:$K$1264,$A25)+_xlfn.COUNTIFS('Datos - Temas'!$V$5:$V$1264,H$20,'Datos - Temas'!$L$5:$L$1264,$A25)</f>
        <v>0</v>
      </c>
      <c r="I25" s="80" cm="1">
        <f t="array" ref="I25">_xlfn.COUNTIFS('Datos - Temas'!$V$5:$V$1264,I$20,'Datos - Temas'!$K$5:$K$1264,$A25)+_xlfn.COUNTIFS('Datos - Temas'!$V$5:$V$1264,I$20,'Datos - Temas'!$L$5:$L$1264,$A25)</f>
        <v>1</v>
      </c>
      <c r="J25" s="80" cm="1">
        <f t="array" ref="J25">_xlfn.COUNTIFS('Datos - Temas'!$V$5:$V$1264,J$20,'Datos - Temas'!$K$5:$K$1264,$A25)+_xlfn.COUNTIFS('Datos - Temas'!$V$5:$V$1264,J$20,'Datos - Temas'!$L$5:$L$1264,$A25)</f>
        <v>1</v>
      </c>
      <c r="K25" s="46" cm="1">
        <f t="array" ref="K25">INDEX('TIMSS - Semáforo de objetivos'!$O$5:$O$107,MATCH($A25,'TIMSS - Semáforo de objetivos'!$A$5:$A$107,0))</f>
        <v>2</v>
      </c>
      <c r="L25" t="str" s="48" cm="1">
        <f t="array" ref="L25">INDEX('TIMSS - Semáforo de objetivos'!$R$5:$R$107,MATCH($A25,'TIMSS - Semáforo de objetivos'!$A$5:$A$107,0))</f>
        <v>Básica (2–3)</v>
      </c>
    </row>
    <row r="26" ht="46.65" customHeight="1">
      <c r="A26" t="s" s="78">
        <v>569</v>
      </c>
      <c r="B26" t="s" s="78">
        <v>1269</v>
      </c>
      <c r="C26" t="s" s="78">
        <v>1270</v>
      </c>
      <c r="D26" s="80" cm="1">
        <f t="array" ref="D26">_xlfn.COUNTIFS('Datos - Temas'!$V$5:$V$1264,D$20,'Datos - Temas'!$K$5:$K$1264,$A26)+_xlfn.COUNTIFS('Datos - Temas'!$V$5:$V$1264,D$20,'Datos - Temas'!$L$5:$L$1264,$A26)</f>
        <v>0</v>
      </c>
      <c r="E26" s="80" cm="1">
        <f t="array" ref="E26">_xlfn.COUNTIFS('Datos - Temas'!$V$5:$V$1264,E$20,'Datos - Temas'!$K$5:$K$1264,$A26)+_xlfn.COUNTIFS('Datos - Temas'!$V$5:$V$1264,E$20,'Datos - Temas'!$L$5:$L$1264,$A26)</f>
        <v>0</v>
      </c>
      <c r="F26" s="80" cm="1">
        <f t="array" ref="F26">_xlfn.COUNTIFS('Datos - Temas'!$V$5:$V$1264,F$20,'Datos - Temas'!$K$5:$K$1264,$A26)+_xlfn.COUNTIFS('Datos - Temas'!$V$5:$V$1264,F$20,'Datos - Temas'!$L$5:$L$1264,$A26)</f>
        <v>0</v>
      </c>
      <c r="G26" s="80" cm="1">
        <f t="array" ref="G26">_xlfn.COUNTIFS('Datos - Temas'!$V$5:$V$1264,G$20,'Datos - Temas'!$K$5:$K$1264,$A26)+_xlfn.COUNTIFS('Datos - Temas'!$V$5:$V$1264,G$20,'Datos - Temas'!$L$5:$L$1264,$A26)</f>
        <v>6</v>
      </c>
      <c r="H26" s="80" cm="1">
        <f t="array" ref="H26">_xlfn.COUNTIFS('Datos - Temas'!$V$5:$V$1264,H$20,'Datos - Temas'!$K$5:$K$1264,$A26)+_xlfn.COUNTIFS('Datos - Temas'!$V$5:$V$1264,H$20,'Datos - Temas'!$L$5:$L$1264,$A26)</f>
        <v>4</v>
      </c>
      <c r="I26" s="80" cm="1">
        <f t="array" ref="I26">_xlfn.COUNTIFS('Datos - Temas'!$V$5:$V$1264,I$20,'Datos - Temas'!$K$5:$K$1264,$A26)+_xlfn.COUNTIFS('Datos - Temas'!$V$5:$V$1264,I$20,'Datos - Temas'!$L$5:$L$1264,$A26)</f>
        <v>0</v>
      </c>
      <c r="J26" s="80" cm="1">
        <f t="array" ref="J26">_xlfn.COUNTIFS('Datos - Temas'!$V$5:$V$1264,J$20,'Datos - Temas'!$K$5:$K$1264,$A26)+_xlfn.COUNTIFS('Datos - Temas'!$V$5:$V$1264,J$20,'Datos - Temas'!$L$5:$L$1264,$A26)</f>
        <v>8</v>
      </c>
      <c r="K26" s="46" cm="1">
        <f t="array" ref="K26">INDEX('TIMSS - Semáforo de objetivos'!$O$5:$O$107,MATCH($A26,'TIMSS - Semáforo de objetivos'!$A$5:$A$107,0))</f>
        <v>18</v>
      </c>
      <c r="L26" t="str" s="48" cm="1">
        <f t="array" ref="L26">INDEX('TIMSS - Semáforo de objetivos'!$R$5:$R$107,MATCH($A26,'TIMSS - Semáforo de objetivos'!$A$5:$A$107,0))</f>
        <v>Sólida (4+)</v>
      </c>
    </row>
    <row r="27" ht="46.65" customHeight="1">
      <c r="A27" t="s" s="78">
        <v>1297</v>
      </c>
      <c r="B27" t="s" s="78">
        <v>1160</v>
      </c>
      <c r="C27" t="s" s="78">
        <v>1298</v>
      </c>
      <c r="D27" s="80" cm="1">
        <f t="array" ref="D27">_xlfn.COUNTIFS('Datos - Temas'!$V$5:$V$1264,D$20,'Datos - Temas'!$K$5:$K$1264,$A27)+_xlfn.COUNTIFS('Datos - Temas'!$V$5:$V$1264,D$20,'Datos - Temas'!$L$5:$L$1264,$A27)</f>
        <v>0</v>
      </c>
      <c r="E27" s="80" cm="1">
        <f t="array" ref="E27">_xlfn.COUNTIFS('Datos - Temas'!$V$5:$V$1264,E$20,'Datos - Temas'!$K$5:$K$1264,$A27)+_xlfn.COUNTIFS('Datos - Temas'!$V$5:$V$1264,E$20,'Datos - Temas'!$L$5:$L$1264,$A27)</f>
        <v>0</v>
      </c>
      <c r="F27" s="80" cm="1">
        <f t="array" ref="F27">_xlfn.COUNTIFS('Datos - Temas'!$V$5:$V$1264,F$20,'Datos - Temas'!$K$5:$K$1264,$A27)+_xlfn.COUNTIFS('Datos - Temas'!$V$5:$V$1264,F$20,'Datos - Temas'!$L$5:$L$1264,$A27)</f>
        <v>0</v>
      </c>
      <c r="G27" s="80" cm="1">
        <f t="array" ref="G27">_xlfn.COUNTIFS('Datos - Temas'!$V$5:$V$1264,G$20,'Datos - Temas'!$K$5:$K$1264,$A27)+_xlfn.COUNTIFS('Datos - Temas'!$V$5:$V$1264,G$20,'Datos - Temas'!$L$5:$L$1264,$A27)</f>
        <v>0</v>
      </c>
      <c r="H27" s="80" cm="1">
        <f t="array" ref="H27">_xlfn.COUNTIFS('Datos - Temas'!$V$5:$V$1264,H$20,'Datos - Temas'!$K$5:$K$1264,$A27)+_xlfn.COUNTIFS('Datos - Temas'!$V$5:$V$1264,H$20,'Datos - Temas'!$L$5:$L$1264,$A27)</f>
        <v>0</v>
      </c>
      <c r="I27" s="80" cm="1">
        <f t="array" ref="I27">_xlfn.COUNTIFS('Datos - Temas'!$V$5:$V$1264,I$20,'Datos - Temas'!$K$5:$K$1264,$A27)+_xlfn.COUNTIFS('Datos - Temas'!$V$5:$V$1264,I$20,'Datos - Temas'!$L$5:$L$1264,$A27)</f>
        <v>0</v>
      </c>
      <c r="J27" s="80" cm="1">
        <f t="array" ref="J27">_xlfn.COUNTIFS('Datos - Temas'!$V$5:$V$1264,J$20,'Datos - Temas'!$K$5:$K$1264,$A27)+_xlfn.COUNTIFS('Datos - Temas'!$V$5:$V$1264,J$20,'Datos - Temas'!$L$5:$L$1264,$A27)</f>
        <v>0</v>
      </c>
      <c r="K27" s="46" cm="1">
        <f t="array" ref="K27">INDEX('TIMSS - Semáforo de objetivos'!$O$5:$O$107,MATCH($A27,'TIMSS - Semáforo de objetivos'!$A$5:$A$107,0))</f>
        <v>0</v>
      </c>
      <c r="L27" t="str" s="48" cm="1">
        <f t="array" ref="L27">INDEX('TIMSS - Semáforo de objetivos'!$R$5:$R$107,MATCH($A27,'TIMSS - Semáforo de objetivos'!$A$5:$A$107,0))</f>
        <v>No cubierto</v>
      </c>
    </row>
    <row r="28" ht="13.55" customHeight="1">
      <c r="A28" s="42"/>
      <c r="B28" s="18"/>
      <c r="C28" s="18"/>
      <c r="D28" s="18"/>
      <c r="E28" s="18"/>
      <c r="F28" s="18"/>
      <c r="G28" s="18"/>
      <c r="H28" s="18"/>
      <c r="I28" s="18"/>
      <c r="J28" s="18"/>
      <c r="K28" s="18"/>
      <c r="L28" s="51"/>
    </row>
    <row r="29" ht="56" customHeight="1">
      <c r="A29" t="s" s="54">
        <v>1449</v>
      </c>
      <c r="B29" s="24"/>
      <c r="C29" s="24"/>
      <c r="D29" s="24"/>
      <c r="E29" s="24"/>
      <c r="F29" s="24"/>
      <c r="G29" s="24"/>
      <c r="H29" s="24"/>
      <c r="I29" s="24"/>
      <c r="J29" s="24"/>
      <c r="K29" s="24"/>
      <c r="L29" s="25"/>
    </row>
  </sheetData>
  <mergeCells count="2">
    <mergeCell ref="A2:L2"/>
    <mergeCell ref="A29:L29"/>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AW102"/>
  <sheetViews>
    <sheetView workbookViewId="0" showGridLines="0" defaultGridColor="1"/>
  </sheetViews>
  <sheetFormatPr defaultColWidth="8.83333" defaultRowHeight="15" customHeight="1" outlineLevelRow="0" outlineLevelCol="0"/>
  <cols>
    <col min="1" max="1" width="12" style="105" customWidth="1"/>
    <col min="2" max="2" width="7" style="105" customWidth="1"/>
    <col min="3" max="3" width="20" style="105" customWidth="1"/>
    <col min="4" max="4" width="50" style="105" customWidth="1"/>
    <col min="5" max="9" width="10" style="105" customWidth="1"/>
    <col min="10" max="10" width="11" style="105" customWidth="1"/>
    <col min="11" max="11" width="30" style="105" customWidth="1"/>
    <col min="12" max="12" width="10" style="105" customWidth="1"/>
    <col min="13" max="13" width="8.85156" style="105" customWidth="1"/>
    <col min="14" max="49" width="6" style="105" customWidth="1"/>
    <col min="50" max="16384" width="8.85156" style="105" customWidth="1"/>
  </cols>
  <sheetData>
    <row r="1" ht="18.5" customHeight="1">
      <c r="A1" t="s" s="27">
        <v>1451</v>
      </c>
      <c r="B1" s="28"/>
      <c r="C1" s="28"/>
      <c r="D1" s="28"/>
      <c r="E1" s="28"/>
      <c r="F1" s="28"/>
      <c r="G1" s="28"/>
      <c r="H1" s="28"/>
      <c r="I1" s="28"/>
      <c r="J1" s="28"/>
      <c r="K1" s="28"/>
      <c r="L1" s="28"/>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10"/>
    </row>
    <row r="2" ht="68" customHeight="1">
      <c r="A2" t="str" s="29" cm="1">
        <f t="array" ref="A2">"TIMSS 2027 (objetivos de 4.° y 8.°)"&amp;"
"&amp;"● El Salvador enseña "&amp;COUNTIF($K$5:$K$84,"El Salvador llega más tarde")&amp;" objetivos de TIMSS más tarde que Uruguay, Colombia y Singapur, y "&amp;COUNTIF($K$5:$K$84,"El Salvador va adelantado")&amp;" antes."&amp;"
"&amp;IF(COUNTIF($K$5:$K$84,"El Salvador no llega")=0,"BIEN · ","OJO · ")&amp;"No enseña "&amp;COUNTIF($K$5:$K$84,"El Salvador no llega")&amp;" que otros sí. Mayor atraso ("&amp;FIXED(MAX($J$5:$J$84),0)&amp;" grados): "&amp;INDEX($D$5:$D$84,MATCH(MAX($J$5:$J$84),$J$5:$J$84,0))&amp;"."&amp;"
"&amp;"● Chile no está: su sitio bloqueó la descarga."</f>
        <v>TIMSS 2027 (objetivos de 4.° y 8.°)
● El Salvador enseña 24 objetivos de TIMSS más tarde que Uruguay, Colombia y Singapur, y 40 antes.
OJO · No enseña 2 que otros sí. Mayor atraso (4 grados): Fenómenos observables por los movimientos de la Tierra y la Luna.
● Chile no está: su sitio bloqueó la descarga.</v>
      </c>
      <c r="B2" s="30"/>
      <c r="C2" s="31"/>
      <c r="D2" s="31"/>
      <c r="E2" s="31"/>
      <c r="F2" s="31"/>
      <c r="G2" s="31"/>
      <c r="H2" s="31"/>
      <c r="I2" s="31"/>
      <c r="J2" s="31"/>
      <c r="K2" s="31"/>
      <c r="L2" s="32"/>
      <c r="M2" s="17"/>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4"/>
    </row>
    <row r="3" ht="13.65" customHeight="1">
      <c r="A3" t="s" s="106">
        <v>1453</v>
      </c>
      <c r="B3" s="31"/>
      <c r="C3" s="31"/>
      <c r="D3" s="31"/>
      <c r="E3" s="31"/>
      <c r="F3" s="31"/>
      <c r="G3" s="31"/>
      <c r="H3" s="31"/>
      <c r="I3" s="31"/>
      <c r="J3" s="31"/>
      <c r="K3" s="32"/>
      <c r="L3" s="107">
        <v>2</v>
      </c>
      <c r="M3" s="17"/>
      <c r="N3" s="108">
        <v>1</v>
      </c>
      <c r="O3" s="108">
        <v>2</v>
      </c>
      <c r="P3" s="108">
        <v>3</v>
      </c>
      <c r="Q3" s="108">
        <v>4</v>
      </c>
      <c r="R3" s="108">
        <v>5</v>
      </c>
      <c r="S3" s="108">
        <v>6</v>
      </c>
      <c r="T3" s="108">
        <v>7</v>
      </c>
      <c r="U3" s="108">
        <v>8</v>
      </c>
      <c r="V3" s="108">
        <v>9</v>
      </c>
      <c r="W3" s="108">
        <v>1</v>
      </c>
      <c r="X3" s="108">
        <v>2</v>
      </c>
      <c r="Y3" s="108">
        <v>3</v>
      </c>
      <c r="Z3" s="108">
        <v>4</v>
      </c>
      <c r="AA3" s="108">
        <v>5</v>
      </c>
      <c r="AB3" s="108">
        <v>6</v>
      </c>
      <c r="AC3" s="108">
        <v>7</v>
      </c>
      <c r="AD3" s="108">
        <v>8</v>
      </c>
      <c r="AE3" s="108">
        <v>9</v>
      </c>
      <c r="AF3" s="108">
        <v>1</v>
      </c>
      <c r="AG3" s="108">
        <v>2</v>
      </c>
      <c r="AH3" s="108">
        <v>3</v>
      </c>
      <c r="AI3" s="108">
        <v>4</v>
      </c>
      <c r="AJ3" s="108">
        <v>5</v>
      </c>
      <c r="AK3" s="108">
        <v>6</v>
      </c>
      <c r="AL3" s="108">
        <v>7</v>
      </c>
      <c r="AM3" s="108">
        <v>8</v>
      </c>
      <c r="AN3" s="108">
        <v>9</v>
      </c>
      <c r="AO3" s="108">
        <v>1</v>
      </c>
      <c r="AP3" s="108">
        <v>2</v>
      </c>
      <c r="AQ3" s="108">
        <v>3</v>
      </c>
      <c r="AR3" s="108">
        <v>4</v>
      </c>
      <c r="AS3" s="108">
        <v>5</v>
      </c>
      <c r="AT3" s="108">
        <v>6</v>
      </c>
      <c r="AU3" s="108">
        <v>7</v>
      </c>
      <c r="AV3" s="108">
        <v>8</v>
      </c>
      <c r="AW3" s="109">
        <v>9</v>
      </c>
    </row>
    <row r="4" ht="48" customHeight="1">
      <c r="A4" t="s" s="34">
        <v>1047</v>
      </c>
      <c r="B4" t="s" s="34">
        <v>155</v>
      </c>
      <c r="C4" t="s" s="34">
        <v>1002</v>
      </c>
      <c r="D4" t="s" s="34">
        <v>1049</v>
      </c>
      <c r="E4" t="s" s="34">
        <v>1454</v>
      </c>
      <c r="F4" t="s" s="34">
        <v>1455</v>
      </c>
      <c r="G4" t="s" s="34">
        <v>1456</v>
      </c>
      <c r="H4" t="s" s="34">
        <v>1457</v>
      </c>
      <c r="I4" t="s" s="34">
        <v>1458</v>
      </c>
      <c r="J4" t="s" s="34">
        <v>1459</v>
      </c>
      <c r="K4" t="s" s="34">
        <v>160</v>
      </c>
      <c r="L4" t="s" s="34">
        <v>1460</v>
      </c>
      <c r="M4" s="110"/>
      <c r="N4" t="s" s="34">
        <v>1461</v>
      </c>
      <c r="O4" t="s" s="34">
        <v>1462</v>
      </c>
      <c r="P4" t="s" s="34">
        <v>1463</v>
      </c>
      <c r="Q4" t="s" s="34">
        <v>1464</v>
      </c>
      <c r="R4" t="s" s="34">
        <v>1465</v>
      </c>
      <c r="S4" t="s" s="34">
        <v>1466</v>
      </c>
      <c r="T4" t="s" s="34">
        <v>1467</v>
      </c>
      <c r="U4" t="s" s="34">
        <v>1468</v>
      </c>
      <c r="V4" t="s" s="34">
        <v>1469</v>
      </c>
      <c r="W4" t="s" s="34">
        <v>1470</v>
      </c>
      <c r="X4" t="s" s="34">
        <v>1471</v>
      </c>
      <c r="Y4" t="s" s="34">
        <v>1472</v>
      </c>
      <c r="Z4" t="s" s="34">
        <v>1473</v>
      </c>
      <c r="AA4" t="s" s="34">
        <v>1474</v>
      </c>
      <c r="AB4" t="s" s="34">
        <v>1475</v>
      </c>
      <c r="AC4" t="s" s="34">
        <v>1476</v>
      </c>
      <c r="AD4" t="s" s="34">
        <v>1477</v>
      </c>
      <c r="AE4" t="s" s="34">
        <v>1478</v>
      </c>
      <c r="AF4" t="s" s="34">
        <v>1479</v>
      </c>
      <c r="AG4" t="s" s="34">
        <v>1480</v>
      </c>
      <c r="AH4" t="s" s="34">
        <v>1481</v>
      </c>
      <c r="AI4" t="s" s="34">
        <v>1482</v>
      </c>
      <c r="AJ4" t="s" s="34">
        <v>1483</v>
      </c>
      <c r="AK4" t="s" s="34">
        <v>1484</v>
      </c>
      <c r="AL4" t="s" s="34">
        <v>1485</v>
      </c>
      <c r="AM4" t="s" s="34">
        <v>1486</v>
      </c>
      <c r="AN4" t="s" s="34">
        <v>1487</v>
      </c>
      <c r="AO4" t="s" s="34">
        <v>1488</v>
      </c>
      <c r="AP4" t="s" s="34">
        <v>1489</v>
      </c>
      <c r="AQ4" t="s" s="34">
        <v>1490</v>
      </c>
      <c r="AR4" t="s" s="34">
        <v>1491</v>
      </c>
      <c r="AS4" t="s" s="34">
        <v>1492</v>
      </c>
      <c r="AT4" t="s" s="34">
        <v>1493</v>
      </c>
      <c r="AU4" t="s" s="34">
        <v>1494</v>
      </c>
      <c r="AV4" t="s" s="34">
        <v>1495</v>
      </c>
      <c r="AW4" t="s" s="34">
        <v>1496</v>
      </c>
    </row>
    <row r="5" ht="24.65" customHeight="1">
      <c r="A5" t="s" s="78">
        <v>427</v>
      </c>
      <c r="B5" t="s" s="78">
        <v>1055</v>
      </c>
      <c r="C5" t="s" s="78">
        <v>210</v>
      </c>
      <c r="D5" t="s" s="78">
        <v>1057</v>
      </c>
      <c r="E5" s="80" cm="1">
        <f t="array" ref="E5">_xlfn.IFERROR(MAX($L$3,INDEX($N$3:$V$3,MATCH(TRUE,INDEX(N5:V5&gt;0,0),0))),"—")</f>
        <v>2</v>
      </c>
      <c r="F5" t="str" s="79" cm="1">
        <f t="array" ref="F5">_xlfn.IFERROR(MAX($L$3,INDEX($W$3:$AE$3,MATCH(TRUE,INDEX(W5:AE5&gt;0,0),0))),"—")</f>
        <v>—</v>
      </c>
      <c r="G5" s="80" cm="1">
        <f t="array" ref="G5">_xlfn.IFERROR(MAX($L$3,INDEX($AF$3:$AN$3,MATCH(TRUE,INDEX(AF5:AN5&gt;0,0),0))),"—")</f>
        <v>2</v>
      </c>
      <c r="H5" s="80" cm="1">
        <f t="array" ref="H5">_xlfn.IFERROR(MAX($L$3,INDEX($AO$3:$AW$3,MATCH(TRUE,INDEX(AO5:AW5&gt;0,0),0))),"—")</f>
        <v>3</v>
      </c>
      <c r="I5" s="111" cm="1">
        <f t="array" ref="I5">IF(L5=0,"—",MEDIAN(F5:H5))</f>
        <v>2.5</v>
      </c>
      <c r="J5" s="111" cm="1">
        <f t="array" ref="J5">IF(OR(E5="—",I5="—"),"—",E5-I5)</f>
        <v>-0.5</v>
      </c>
      <c r="K5" t="str" s="49" cm="1">
        <f t="array" ref="K5">IF(E5="—",IF(L5=0,"Nadie lo trabaja","El Salvador no llega"),IF(L5=0,"Solo El Salvador",IF(J5&gt;0,"El Salvador llega más tarde",IF(J5&lt;0,"El Salvador va adelantado","Mismo grado"))))</f>
        <v>El Salvador va adelantado</v>
      </c>
      <c r="L5" s="80" cm="1">
        <f t="array" ref="L5">COUNT(F5:H5)</f>
        <v>2</v>
      </c>
      <c r="M5" s="110"/>
      <c r="N5" s="36" cm="1">
        <f t="array" ref="N5">_xlfn.COUNTIFS('Datos - Temas'!$C$5:$C$1264,"Ciencias",'Datos - Temas'!$B$5:$B$1264,N$3,'Datos - Temas'!$K$5:$K$1264,$A5)+_xlfn.COUNTIFS('Datos - Temas'!$C$5:$C$1264,"Ciencias",'Datos - Temas'!$B$5:$B$1264,N$3,'Datos - Temas'!$L$5:$L$1264,$A5)</f>
        <v>0</v>
      </c>
      <c r="O5" s="36" cm="1">
        <f t="array" ref="O5">_xlfn.COUNTIFS('Datos - Temas'!$C$5:$C$1264,"Ciencias",'Datos - Temas'!$B$5:$B$1264,O$3,'Datos - Temas'!$K$5:$K$1264,$A5)+_xlfn.COUNTIFS('Datos - Temas'!$C$5:$C$1264,"Ciencias",'Datos - Temas'!$B$5:$B$1264,O$3,'Datos - Temas'!$L$5:$L$1264,$A5)</f>
        <v>5</v>
      </c>
      <c r="P5" s="36" cm="1">
        <f t="array" ref="P5">_xlfn.COUNTIFS('Datos - Temas'!$C$5:$C$1264,"Ciencias",'Datos - Temas'!$B$5:$B$1264,P$3,'Datos - Temas'!$K$5:$K$1264,$A5)+_xlfn.COUNTIFS('Datos - Temas'!$C$5:$C$1264,"Ciencias",'Datos - Temas'!$B$5:$B$1264,P$3,'Datos - Temas'!$L$5:$L$1264,$A5)</f>
        <v>5</v>
      </c>
      <c r="Q5" s="36" cm="1">
        <f t="array" ref="Q5">_xlfn.COUNTIFS('Datos - Temas'!$C$5:$C$1264,"Ciencias",'Datos - Temas'!$B$5:$B$1264,Q$3,'Datos - Temas'!$K$5:$K$1264,$A5)+_xlfn.COUNTIFS('Datos - Temas'!$C$5:$C$1264,"Ciencias",'Datos - Temas'!$B$5:$B$1264,Q$3,'Datos - Temas'!$L$5:$L$1264,$A5)</f>
        <v>3</v>
      </c>
      <c r="R5" s="36" cm="1">
        <f t="array" ref="R5">_xlfn.COUNTIFS('Datos - Temas'!$C$5:$C$1264,"Ciencias",'Datos - Temas'!$B$5:$B$1264,R$3,'Datos - Temas'!$K$5:$K$1264,$A5)+_xlfn.COUNTIFS('Datos - Temas'!$C$5:$C$1264,"Ciencias",'Datos - Temas'!$B$5:$B$1264,R$3,'Datos - Temas'!$L$5:$L$1264,$A5)</f>
        <v>0</v>
      </c>
      <c r="S5" s="36" cm="1">
        <f t="array" ref="S5">_xlfn.COUNTIFS('Datos - Temas'!$C$5:$C$1264,"Ciencias",'Datos - Temas'!$B$5:$B$1264,S$3,'Datos - Temas'!$K$5:$K$1264,$A5)+_xlfn.COUNTIFS('Datos - Temas'!$C$5:$C$1264,"Ciencias",'Datos - Temas'!$B$5:$B$1264,S$3,'Datos - Temas'!$L$5:$L$1264,$A5)</f>
        <v>0</v>
      </c>
      <c r="T5" s="36" cm="1">
        <f t="array" ref="T5">_xlfn.COUNTIFS('Datos - Temas'!$C$5:$C$1264,"Ciencias",'Datos - Temas'!$B$5:$B$1264,T$3,'Datos - Temas'!$K$5:$K$1264,$A5)+_xlfn.COUNTIFS('Datos - Temas'!$C$5:$C$1264,"Ciencias",'Datos - Temas'!$B$5:$B$1264,T$3,'Datos - Temas'!$L$5:$L$1264,$A5)</f>
        <v>0</v>
      </c>
      <c r="U5" s="36" cm="1">
        <f t="array" ref="U5">_xlfn.COUNTIFS('Datos - Temas'!$C$5:$C$1264,"Ciencias",'Datos - Temas'!$B$5:$B$1264,U$3,'Datos - Temas'!$K$5:$K$1264,$A5)+_xlfn.COUNTIFS('Datos - Temas'!$C$5:$C$1264,"Ciencias",'Datos - Temas'!$B$5:$B$1264,U$3,'Datos - Temas'!$L$5:$L$1264,$A5)</f>
        <v>0</v>
      </c>
      <c r="V5" s="36" cm="1">
        <f t="array" ref="V5">_xlfn.COUNTIFS('Datos - Temas'!$C$5:$C$1264,"Ciencias",'Datos - Temas'!$B$5:$B$1264,V$3,'Datos - Temas'!$K$5:$K$1264,$A5)+_xlfn.COUNTIFS('Datos - Temas'!$C$5:$C$1264,"Ciencias",'Datos - Temas'!$B$5:$B$1264,V$3,'Datos - Temas'!$L$5:$L$1264,$A5)</f>
        <v>0</v>
      </c>
      <c r="W5" s="36" cm="1">
        <f t="array" ref="W5">_xlfn.COUNTIFS('Datos - Objetivos de países'!$B$5:$B$510,"Uruguay",'Datos - Objetivos de países'!$F$5:$F$510,W$3,'Datos - Objetivos de países'!$J$5:$J$510,$A5)+_xlfn.COUNTIFS('Datos - Objetivos de países'!$B$5:$B$510,"Uruguay",'Datos - Objetivos de países'!$F$5:$F$510,W$3,'Datos - Objetivos de países'!$K$5:$K$510,$A5)</f>
        <v>0</v>
      </c>
      <c r="X5" s="36" cm="1">
        <f t="array" ref="X5">_xlfn.COUNTIFS('Datos - Objetivos de países'!$B$5:$B$510,"Uruguay",'Datos - Objetivos de países'!$F$5:$F$510,X$3,'Datos - Objetivos de países'!$J$5:$J$510,$A5)+_xlfn.COUNTIFS('Datos - Objetivos de países'!$B$5:$B$510,"Uruguay",'Datos - Objetivos de países'!$F$5:$F$510,X$3,'Datos - Objetivos de países'!$K$5:$K$510,$A5)</f>
        <v>0</v>
      </c>
      <c r="Y5" s="36" cm="1">
        <f t="array" ref="Y5">_xlfn.COUNTIFS('Datos - Objetivos de países'!$B$5:$B$510,"Uruguay",'Datos - Objetivos de países'!$F$5:$F$510,Y$3,'Datos - Objetivos de países'!$J$5:$J$510,$A5)+_xlfn.COUNTIFS('Datos - Objetivos de países'!$B$5:$B$510,"Uruguay",'Datos - Objetivos de países'!$F$5:$F$510,Y$3,'Datos - Objetivos de países'!$K$5:$K$510,$A5)</f>
        <v>0</v>
      </c>
      <c r="Z5" s="36" cm="1">
        <f t="array" ref="Z5">_xlfn.COUNTIFS('Datos - Objetivos de países'!$B$5:$B$510,"Uruguay",'Datos - Objetivos de países'!$F$5:$F$510,Z$3,'Datos - Objetivos de países'!$J$5:$J$510,$A5)+_xlfn.COUNTIFS('Datos - Objetivos de países'!$B$5:$B$510,"Uruguay",'Datos - Objetivos de países'!$F$5:$F$510,Z$3,'Datos - Objetivos de países'!$K$5:$K$510,$A5)</f>
        <v>0</v>
      </c>
      <c r="AA5" s="36" cm="1">
        <f t="array" ref="AA5">_xlfn.COUNTIFS('Datos - Objetivos de países'!$B$5:$B$510,"Uruguay",'Datos - Objetivos de países'!$F$5:$F$510,AA$3,'Datos - Objetivos de países'!$J$5:$J$510,$A5)+_xlfn.COUNTIFS('Datos - Objetivos de países'!$B$5:$B$510,"Uruguay",'Datos - Objetivos de países'!$F$5:$F$510,AA$3,'Datos - Objetivos de países'!$K$5:$K$510,$A5)</f>
        <v>0</v>
      </c>
      <c r="AB5" s="36" cm="1">
        <f t="array" ref="AB5">_xlfn.COUNTIFS('Datos - Objetivos de países'!$B$5:$B$510,"Uruguay",'Datos - Objetivos de países'!$F$5:$F$510,AB$3,'Datos - Objetivos de países'!$J$5:$J$510,$A5)+_xlfn.COUNTIFS('Datos - Objetivos de países'!$B$5:$B$510,"Uruguay",'Datos - Objetivos de países'!$F$5:$F$510,AB$3,'Datos - Objetivos de países'!$K$5:$K$510,$A5)</f>
        <v>0</v>
      </c>
      <c r="AC5" s="36" cm="1">
        <f t="array" ref="AC5">_xlfn.COUNTIFS('Datos - Objetivos de países'!$B$5:$B$510,"Uruguay",'Datos - Objetivos de países'!$F$5:$F$510,AC$3,'Datos - Objetivos de países'!$J$5:$J$510,$A5)+_xlfn.COUNTIFS('Datos - Objetivos de países'!$B$5:$B$510,"Uruguay",'Datos - Objetivos de países'!$F$5:$F$510,AC$3,'Datos - Objetivos de países'!$K$5:$K$510,$A5)</f>
        <v>0</v>
      </c>
      <c r="AD5" s="36" cm="1">
        <f t="array" ref="AD5">_xlfn.COUNTIFS('Datos - Objetivos de países'!$B$5:$B$510,"Uruguay",'Datos - Objetivos de países'!$F$5:$F$510,AD$3,'Datos - Objetivos de países'!$J$5:$J$510,$A5)+_xlfn.COUNTIFS('Datos - Objetivos de países'!$B$5:$B$510,"Uruguay",'Datos - Objetivos de países'!$F$5:$F$510,AD$3,'Datos - Objetivos de países'!$K$5:$K$510,$A5)</f>
        <v>0</v>
      </c>
      <c r="AE5" s="36" cm="1">
        <f t="array" ref="AE5">_xlfn.COUNTIFS('Datos - Objetivos de países'!$B$5:$B$510,"Uruguay",'Datos - Objetivos de países'!$F$5:$F$510,AE$3,'Datos - Objetivos de países'!$J$5:$J$510,$A5)+_xlfn.COUNTIFS('Datos - Objetivos de países'!$B$5:$B$510,"Uruguay",'Datos - Objetivos de países'!$F$5:$F$510,AE$3,'Datos - Objetivos de países'!$K$5:$K$510,$A5)</f>
        <v>0</v>
      </c>
      <c r="AF5" s="36" cm="1">
        <f t="array" ref="AF5">_xlfn.COUNTIFS('Datos - Objetivos de países'!$B$5:$B$510,"Colombia",'Datos - Objetivos de países'!$F$5:$F$510,AF$3,'Datos - Objetivos de países'!$J$5:$J$510,$A5)+_xlfn.COUNTIFS('Datos - Objetivos de países'!$B$5:$B$510,"Colombia",'Datos - Objetivos de países'!$F$5:$F$510,AF$3,'Datos - Objetivos de países'!$K$5:$K$510,$A5)</f>
        <v>4</v>
      </c>
      <c r="AG5" s="36" cm="1">
        <f t="array" ref="AG5">_xlfn.COUNTIFS('Datos - Objetivos de países'!$B$5:$B$510,"Colombia",'Datos - Objetivos de países'!$F$5:$F$510,AG$3,'Datos - Objetivos de países'!$J$5:$J$510,$A5)+_xlfn.COUNTIFS('Datos - Objetivos de países'!$B$5:$B$510,"Colombia",'Datos - Objetivos de países'!$F$5:$F$510,AG$3,'Datos - Objetivos de países'!$K$5:$K$510,$A5)</f>
        <v>1</v>
      </c>
      <c r="AH5" s="36" cm="1">
        <f t="array" ref="AH5">_xlfn.COUNTIFS('Datos - Objetivos de países'!$B$5:$B$510,"Colombia",'Datos - Objetivos de países'!$F$5:$F$510,AH$3,'Datos - Objetivos de países'!$J$5:$J$510,$A5)+_xlfn.COUNTIFS('Datos - Objetivos de países'!$B$5:$B$510,"Colombia",'Datos - Objetivos de países'!$F$5:$F$510,AH$3,'Datos - Objetivos de países'!$K$5:$K$510,$A5)</f>
        <v>1</v>
      </c>
      <c r="AI5" s="36" cm="1">
        <f t="array" ref="AI5">_xlfn.COUNTIFS('Datos - Objetivos de países'!$B$5:$B$510,"Colombia",'Datos - Objetivos de países'!$F$5:$F$510,AI$3,'Datos - Objetivos de países'!$J$5:$J$510,$A5)+_xlfn.COUNTIFS('Datos - Objetivos de países'!$B$5:$B$510,"Colombia",'Datos - Objetivos de países'!$F$5:$F$510,AI$3,'Datos - Objetivos de países'!$K$5:$K$510,$A5)</f>
        <v>0</v>
      </c>
      <c r="AJ5" s="36" cm="1">
        <f t="array" ref="AJ5">_xlfn.COUNTIFS('Datos - Objetivos de países'!$B$5:$B$510,"Colombia",'Datos - Objetivos de países'!$F$5:$F$510,AJ$3,'Datos - Objetivos de países'!$J$5:$J$510,$A5)+_xlfn.COUNTIFS('Datos - Objetivos de países'!$B$5:$B$510,"Colombia",'Datos - Objetivos de países'!$F$5:$F$510,AJ$3,'Datos - Objetivos de países'!$K$5:$K$510,$A5)</f>
        <v>0</v>
      </c>
      <c r="AK5" s="36" cm="1">
        <f t="array" ref="AK5">_xlfn.COUNTIFS('Datos - Objetivos de países'!$B$5:$B$510,"Colombia",'Datos - Objetivos de países'!$F$5:$F$510,AK$3,'Datos - Objetivos de países'!$J$5:$J$510,$A5)+_xlfn.COUNTIFS('Datos - Objetivos de países'!$B$5:$B$510,"Colombia",'Datos - Objetivos de países'!$F$5:$F$510,AK$3,'Datos - Objetivos de países'!$K$5:$K$510,$A5)</f>
        <v>0</v>
      </c>
      <c r="AL5" s="36" cm="1">
        <f t="array" ref="AL5">_xlfn.COUNTIFS('Datos - Objetivos de países'!$B$5:$B$510,"Colombia",'Datos - Objetivos de países'!$F$5:$F$510,AL$3,'Datos - Objetivos de países'!$J$5:$J$510,$A5)+_xlfn.COUNTIFS('Datos - Objetivos de países'!$B$5:$B$510,"Colombia",'Datos - Objetivos de países'!$F$5:$F$510,AL$3,'Datos - Objetivos de países'!$K$5:$K$510,$A5)</f>
        <v>0</v>
      </c>
      <c r="AM5" s="36" cm="1">
        <f t="array" ref="AM5">_xlfn.COUNTIFS('Datos - Objetivos de países'!$B$5:$B$510,"Colombia",'Datos - Objetivos de países'!$F$5:$F$510,AM$3,'Datos - Objetivos de países'!$J$5:$J$510,$A5)+_xlfn.COUNTIFS('Datos - Objetivos de países'!$B$5:$B$510,"Colombia",'Datos - Objetivos de países'!$F$5:$F$510,AM$3,'Datos - Objetivos de países'!$K$5:$K$510,$A5)</f>
        <v>0</v>
      </c>
      <c r="AN5" s="36" cm="1">
        <f t="array" ref="AN5">_xlfn.COUNTIFS('Datos - Objetivos de países'!$B$5:$B$510,"Colombia",'Datos - Objetivos de países'!$F$5:$F$510,AN$3,'Datos - Objetivos de países'!$J$5:$J$510,$A5)+_xlfn.COUNTIFS('Datos - Objetivos de países'!$B$5:$B$510,"Colombia",'Datos - Objetivos de países'!$F$5:$F$510,AN$3,'Datos - Objetivos de países'!$K$5:$K$510,$A5)</f>
        <v>0</v>
      </c>
      <c r="AO5" s="36" cm="1">
        <f t="array" ref="AO5">_xlfn.COUNTIFS('Datos - Objetivos de países'!$B$5:$B$510,"Singapur",'Datos - Objetivos de países'!$F$5:$F$510,AO$3,'Datos - Objetivos de países'!$J$5:$J$510,$A5)+_xlfn.COUNTIFS('Datos - Objetivos de países'!$B$5:$B$510,"Singapur",'Datos - Objetivos de países'!$F$5:$F$510,AO$3,'Datos - Objetivos de países'!$K$5:$K$510,$A5)</f>
        <v>0</v>
      </c>
      <c r="AP5" s="36" cm="1">
        <f t="array" ref="AP5">_xlfn.COUNTIFS('Datos - Objetivos de países'!$B$5:$B$510,"Singapur",'Datos - Objetivos de países'!$F$5:$F$510,AP$3,'Datos - Objetivos de países'!$J$5:$J$510,$A5)+_xlfn.COUNTIFS('Datos - Objetivos de países'!$B$5:$B$510,"Singapur",'Datos - Objetivos de países'!$F$5:$F$510,AP$3,'Datos - Objetivos de países'!$K$5:$K$510,$A5)</f>
        <v>0</v>
      </c>
      <c r="AQ5" s="36" cm="1">
        <f t="array" ref="AQ5">_xlfn.COUNTIFS('Datos - Objetivos de países'!$B$5:$B$510,"Singapur",'Datos - Objetivos de países'!$F$5:$F$510,AQ$3,'Datos - Objetivos de países'!$J$5:$J$510,$A5)+_xlfn.COUNTIFS('Datos - Objetivos de países'!$B$5:$B$510,"Singapur",'Datos - Objetivos de países'!$F$5:$F$510,AQ$3,'Datos - Objetivos de países'!$K$5:$K$510,$A5)</f>
        <v>2</v>
      </c>
      <c r="AR5" s="36" cm="1">
        <f t="array" ref="AR5">_xlfn.COUNTIFS('Datos - Objetivos de países'!$B$5:$B$510,"Singapur",'Datos - Objetivos de países'!$F$5:$F$510,AR$3,'Datos - Objetivos de países'!$J$5:$J$510,$A5)+_xlfn.COUNTIFS('Datos - Objetivos de países'!$B$5:$B$510,"Singapur",'Datos - Objetivos de países'!$F$5:$F$510,AR$3,'Datos - Objetivos de países'!$K$5:$K$510,$A5)</f>
        <v>0</v>
      </c>
      <c r="AS5" s="36" cm="1">
        <f t="array" ref="AS5">_xlfn.COUNTIFS('Datos - Objetivos de países'!$B$5:$B$510,"Singapur",'Datos - Objetivos de países'!$F$5:$F$510,AS$3,'Datos - Objetivos de países'!$J$5:$J$510,$A5)+_xlfn.COUNTIFS('Datos - Objetivos de países'!$B$5:$B$510,"Singapur",'Datos - Objetivos de países'!$F$5:$F$510,AS$3,'Datos - Objetivos de países'!$K$5:$K$510,$A5)</f>
        <v>0</v>
      </c>
      <c r="AT5" s="36" cm="1">
        <f t="array" ref="AT5">_xlfn.COUNTIFS('Datos - Objetivos de países'!$B$5:$B$510,"Singapur",'Datos - Objetivos de países'!$F$5:$F$510,AT$3,'Datos - Objetivos de países'!$J$5:$J$510,$A5)+_xlfn.COUNTIFS('Datos - Objetivos de países'!$B$5:$B$510,"Singapur",'Datos - Objetivos de países'!$F$5:$F$510,AT$3,'Datos - Objetivos de países'!$K$5:$K$510,$A5)</f>
        <v>0</v>
      </c>
      <c r="AU5" s="36" cm="1">
        <f t="array" ref="AU5">_xlfn.COUNTIFS('Datos - Objetivos de países'!$B$5:$B$510,"Singapur",'Datos - Objetivos de países'!$F$5:$F$510,AU$3,'Datos - Objetivos de países'!$J$5:$J$510,$A5)+_xlfn.COUNTIFS('Datos - Objetivos de países'!$B$5:$B$510,"Singapur",'Datos - Objetivos de países'!$F$5:$F$510,AU$3,'Datos - Objetivos de países'!$K$5:$K$510,$A5)</f>
        <v>0</v>
      </c>
      <c r="AV5" s="36" cm="1">
        <f t="array" ref="AV5">_xlfn.COUNTIFS('Datos - Objetivos de países'!$B$5:$B$510,"Singapur",'Datos - Objetivos de países'!$F$5:$F$510,AV$3,'Datos - Objetivos de países'!$J$5:$J$510,$A5)+_xlfn.COUNTIFS('Datos - Objetivos de países'!$B$5:$B$510,"Singapur",'Datos - Objetivos de países'!$F$5:$F$510,AV$3,'Datos - Objetivos de países'!$K$5:$K$510,$A5)</f>
        <v>0</v>
      </c>
      <c r="AW5" s="36" cm="1">
        <f t="array" ref="AW5">_xlfn.COUNTIFS('Datos - Objetivos de países'!$B$5:$B$510,"Singapur",'Datos - Objetivos de países'!$F$5:$F$510,AW$3,'Datos - Objetivos de países'!$J$5:$J$510,$A5)+_xlfn.COUNTIFS('Datos - Objetivos de países'!$B$5:$B$510,"Singapur",'Datos - Objetivos de países'!$F$5:$F$510,AW$3,'Datos - Objetivos de países'!$K$5:$K$510,$A5)</f>
        <v>0</v>
      </c>
    </row>
    <row r="6" ht="24.65" customHeight="1">
      <c r="A6" t="s" s="78">
        <v>388</v>
      </c>
      <c r="B6" t="s" s="78">
        <v>1055</v>
      </c>
      <c r="C6" t="s" s="78">
        <v>210</v>
      </c>
      <c r="D6" t="s" s="78">
        <v>1062</v>
      </c>
      <c r="E6" s="80" cm="1">
        <f t="array" ref="E6">_xlfn.IFERROR(MAX($L$3,INDEX($N$3:$V$3,MATCH(TRUE,INDEX(N6:V6&gt;0,0),0))),"—")</f>
        <v>2</v>
      </c>
      <c r="F6" t="str" s="79" cm="1">
        <f t="array" ref="F6">_xlfn.IFERROR(MAX($L$3,INDEX($W$3:$AE$3,MATCH(TRUE,INDEX(W6:AE6&gt;0,0),0))),"—")</f>
        <v>—</v>
      </c>
      <c r="G6" s="80" cm="1">
        <f t="array" ref="G6">_xlfn.IFERROR(MAX($L$3,INDEX($AF$3:$AN$3,MATCH(TRUE,INDEX(AF6:AN6&gt;0,0),0))),"—")</f>
        <v>2</v>
      </c>
      <c r="H6" s="80" cm="1">
        <f t="array" ref="H6">_xlfn.IFERROR(MAX($L$3,INDEX($AO$3:$AW$3,MATCH(TRUE,INDEX(AO6:AW6&gt;0,0),0))),"—")</f>
        <v>3</v>
      </c>
      <c r="I6" s="111" cm="1">
        <f t="array" ref="I6">IF(L6=0,"—",MEDIAN(F6:H6))</f>
        <v>2.5</v>
      </c>
      <c r="J6" s="111" cm="1">
        <f t="array" ref="J6">IF(OR(E6="—",I6="—"),"—",E6-I6)</f>
        <v>-0.5</v>
      </c>
      <c r="K6" t="str" s="49" cm="1">
        <f t="array" ref="K6">IF(E6="—",IF(L6=0,"Nadie lo trabaja","El Salvador no llega"),IF(L6=0,"Solo El Salvador",IF(J6&gt;0,"El Salvador llega más tarde",IF(J6&lt;0,"El Salvador va adelantado","Mismo grado"))))</f>
        <v>El Salvador va adelantado</v>
      </c>
      <c r="L6" s="80" cm="1">
        <f t="array" ref="L6">COUNT(F6:H6)</f>
        <v>2</v>
      </c>
      <c r="M6" s="110"/>
      <c r="N6" s="36" cm="1">
        <f t="array" ref="N6">_xlfn.COUNTIFS('Datos - Temas'!$C$5:$C$1264,"Ciencias",'Datos - Temas'!$B$5:$B$1264,N$3,'Datos - Temas'!$K$5:$K$1264,$A6)+_xlfn.COUNTIFS('Datos - Temas'!$C$5:$C$1264,"Ciencias",'Datos - Temas'!$B$5:$B$1264,N$3,'Datos - Temas'!$L$5:$L$1264,$A6)</f>
        <v>0</v>
      </c>
      <c r="O6" s="36" cm="1">
        <f t="array" ref="O6">_xlfn.COUNTIFS('Datos - Temas'!$C$5:$C$1264,"Ciencias",'Datos - Temas'!$B$5:$B$1264,O$3,'Datos - Temas'!$K$5:$K$1264,$A6)+_xlfn.COUNTIFS('Datos - Temas'!$C$5:$C$1264,"Ciencias",'Datos - Temas'!$B$5:$B$1264,O$3,'Datos - Temas'!$L$5:$L$1264,$A6)</f>
        <v>5</v>
      </c>
      <c r="P6" s="36" cm="1">
        <f t="array" ref="P6">_xlfn.COUNTIFS('Datos - Temas'!$C$5:$C$1264,"Ciencias",'Datos - Temas'!$B$5:$B$1264,P$3,'Datos - Temas'!$K$5:$K$1264,$A6)+_xlfn.COUNTIFS('Datos - Temas'!$C$5:$C$1264,"Ciencias",'Datos - Temas'!$B$5:$B$1264,P$3,'Datos - Temas'!$L$5:$L$1264,$A6)</f>
        <v>13</v>
      </c>
      <c r="Q6" s="36" cm="1">
        <f t="array" ref="Q6">_xlfn.COUNTIFS('Datos - Temas'!$C$5:$C$1264,"Ciencias",'Datos - Temas'!$B$5:$B$1264,Q$3,'Datos - Temas'!$K$5:$K$1264,$A6)+_xlfn.COUNTIFS('Datos - Temas'!$C$5:$C$1264,"Ciencias",'Datos - Temas'!$B$5:$B$1264,Q$3,'Datos - Temas'!$L$5:$L$1264,$A6)</f>
        <v>0</v>
      </c>
      <c r="R6" s="36" cm="1">
        <f t="array" ref="R6">_xlfn.COUNTIFS('Datos - Temas'!$C$5:$C$1264,"Ciencias",'Datos - Temas'!$B$5:$B$1264,R$3,'Datos - Temas'!$K$5:$K$1264,$A6)+_xlfn.COUNTIFS('Datos - Temas'!$C$5:$C$1264,"Ciencias",'Datos - Temas'!$B$5:$B$1264,R$3,'Datos - Temas'!$L$5:$L$1264,$A6)</f>
        <v>0</v>
      </c>
      <c r="S6" s="36" cm="1">
        <f t="array" ref="S6">_xlfn.COUNTIFS('Datos - Temas'!$C$5:$C$1264,"Ciencias",'Datos - Temas'!$B$5:$B$1264,S$3,'Datos - Temas'!$K$5:$K$1264,$A6)+_xlfn.COUNTIFS('Datos - Temas'!$C$5:$C$1264,"Ciencias",'Datos - Temas'!$B$5:$B$1264,S$3,'Datos - Temas'!$L$5:$L$1264,$A6)</f>
        <v>0</v>
      </c>
      <c r="T6" s="36" cm="1">
        <f t="array" ref="T6">_xlfn.COUNTIFS('Datos - Temas'!$C$5:$C$1264,"Ciencias",'Datos - Temas'!$B$5:$B$1264,T$3,'Datos - Temas'!$K$5:$K$1264,$A6)+_xlfn.COUNTIFS('Datos - Temas'!$C$5:$C$1264,"Ciencias",'Datos - Temas'!$B$5:$B$1264,T$3,'Datos - Temas'!$L$5:$L$1264,$A6)</f>
        <v>0</v>
      </c>
      <c r="U6" s="36" cm="1">
        <f t="array" ref="U6">_xlfn.COUNTIFS('Datos - Temas'!$C$5:$C$1264,"Ciencias",'Datos - Temas'!$B$5:$B$1264,U$3,'Datos - Temas'!$K$5:$K$1264,$A6)+_xlfn.COUNTIFS('Datos - Temas'!$C$5:$C$1264,"Ciencias",'Datos - Temas'!$B$5:$B$1264,U$3,'Datos - Temas'!$L$5:$L$1264,$A6)</f>
        <v>0</v>
      </c>
      <c r="V6" s="36" cm="1">
        <f t="array" ref="V6">_xlfn.COUNTIFS('Datos - Temas'!$C$5:$C$1264,"Ciencias",'Datos - Temas'!$B$5:$B$1264,V$3,'Datos - Temas'!$K$5:$K$1264,$A6)+_xlfn.COUNTIFS('Datos - Temas'!$C$5:$C$1264,"Ciencias",'Datos - Temas'!$B$5:$B$1264,V$3,'Datos - Temas'!$L$5:$L$1264,$A6)</f>
        <v>0</v>
      </c>
      <c r="W6" s="36" cm="1">
        <f t="array" ref="W6">_xlfn.COUNTIFS('Datos - Objetivos de países'!$B$5:$B$510,"Uruguay",'Datos - Objetivos de países'!$F$5:$F$510,W$3,'Datos - Objetivos de países'!$J$5:$J$510,$A6)+_xlfn.COUNTIFS('Datos - Objetivos de países'!$B$5:$B$510,"Uruguay",'Datos - Objetivos de países'!$F$5:$F$510,W$3,'Datos - Objetivos de países'!$K$5:$K$510,$A6)</f>
        <v>0</v>
      </c>
      <c r="X6" s="36" cm="1">
        <f t="array" ref="X6">_xlfn.COUNTIFS('Datos - Objetivos de países'!$B$5:$B$510,"Uruguay",'Datos - Objetivos de países'!$F$5:$F$510,X$3,'Datos - Objetivos de países'!$J$5:$J$510,$A6)+_xlfn.COUNTIFS('Datos - Objetivos de países'!$B$5:$B$510,"Uruguay",'Datos - Objetivos de países'!$F$5:$F$510,X$3,'Datos - Objetivos de países'!$K$5:$K$510,$A6)</f>
        <v>0</v>
      </c>
      <c r="Y6" s="36" cm="1">
        <f t="array" ref="Y6">_xlfn.COUNTIFS('Datos - Objetivos de países'!$B$5:$B$510,"Uruguay",'Datos - Objetivos de países'!$F$5:$F$510,Y$3,'Datos - Objetivos de países'!$J$5:$J$510,$A6)+_xlfn.COUNTIFS('Datos - Objetivos de países'!$B$5:$B$510,"Uruguay",'Datos - Objetivos de países'!$F$5:$F$510,Y$3,'Datos - Objetivos de países'!$K$5:$K$510,$A6)</f>
        <v>0</v>
      </c>
      <c r="Z6" s="36" cm="1">
        <f t="array" ref="Z6">_xlfn.COUNTIFS('Datos - Objetivos de países'!$B$5:$B$510,"Uruguay",'Datos - Objetivos de países'!$F$5:$F$510,Z$3,'Datos - Objetivos de países'!$J$5:$J$510,$A6)+_xlfn.COUNTIFS('Datos - Objetivos de países'!$B$5:$B$510,"Uruguay",'Datos - Objetivos de países'!$F$5:$F$510,Z$3,'Datos - Objetivos de países'!$K$5:$K$510,$A6)</f>
        <v>0</v>
      </c>
      <c r="AA6" s="36" cm="1">
        <f t="array" ref="AA6">_xlfn.COUNTIFS('Datos - Objetivos de países'!$B$5:$B$510,"Uruguay",'Datos - Objetivos de países'!$F$5:$F$510,AA$3,'Datos - Objetivos de países'!$J$5:$J$510,$A6)+_xlfn.COUNTIFS('Datos - Objetivos de países'!$B$5:$B$510,"Uruguay",'Datos - Objetivos de países'!$F$5:$F$510,AA$3,'Datos - Objetivos de países'!$K$5:$K$510,$A6)</f>
        <v>0</v>
      </c>
      <c r="AB6" s="36" cm="1">
        <f t="array" ref="AB6">_xlfn.COUNTIFS('Datos - Objetivos de países'!$B$5:$B$510,"Uruguay",'Datos - Objetivos de países'!$F$5:$F$510,AB$3,'Datos - Objetivos de países'!$J$5:$J$510,$A6)+_xlfn.COUNTIFS('Datos - Objetivos de países'!$B$5:$B$510,"Uruguay",'Datos - Objetivos de países'!$F$5:$F$510,AB$3,'Datos - Objetivos de países'!$K$5:$K$510,$A6)</f>
        <v>0</v>
      </c>
      <c r="AC6" s="36" cm="1">
        <f t="array" ref="AC6">_xlfn.COUNTIFS('Datos - Objetivos de países'!$B$5:$B$510,"Uruguay",'Datos - Objetivos de países'!$F$5:$F$510,AC$3,'Datos - Objetivos de países'!$J$5:$J$510,$A6)+_xlfn.COUNTIFS('Datos - Objetivos de países'!$B$5:$B$510,"Uruguay",'Datos - Objetivos de países'!$F$5:$F$510,AC$3,'Datos - Objetivos de países'!$K$5:$K$510,$A6)</f>
        <v>0</v>
      </c>
      <c r="AD6" s="36" cm="1">
        <f t="array" ref="AD6">_xlfn.COUNTIFS('Datos - Objetivos de países'!$B$5:$B$510,"Uruguay",'Datos - Objetivos de países'!$F$5:$F$510,AD$3,'Datos - Objetivos de países'!$J$5:$J$510,$A6)+_xlfn.COUNTIFS('Datos - Objetivos de países'!$B$5:$B$510,"Uruguay",'Datos - Objetivos de países'!$F$5:$F$510,AD$3,'Datos - Objetivos de países'!$K$5:$K$510,$A6)</f>
        <v>0</v>
      </c>
      <c r="AE6" s="36" cm="1">
        <f t="array" ref="AE6">_xlfn.COUNTIFS('Datos - Objetivos de países'!$B$5:$B$510,"Uruguay",'Datos - Objetivos de países'!$F$5:$F$510,AE$3,'Datos - Objetivos de países'!$J$5:$J$510,$A6)+_xlfn.COUNTIFS('Datos - Objetivos de países'!$B$5:$B$510,"Uruguay",'Datos - Objetivos de países'!$F$5:$F$510,AE$3,'Datos - Objetivos de países'!$K$5:$K$510,$A6)</f>
        <v>0</v>
      </c>
      <c r="AF6" s="36" cm="1">
        <f t="array" ref="AF6">_xlfn.COUNTIFS('Datos - Objetivos de países'!$B$5:$B$510,"Colombia",'Datos - Objetivos de países'!$F$5:$F$510,AF$3,'Datos - Objetivos de países'!$J$5:$J$510,$A6)+_xlfn.COUNTIFS('Datos - Objetivos de países'!$B$5:$B$510,"Colombia",'Datos - Objetivos de países'!$F$5:$F$510,AF$3,'Datos - Objetivos de países'!$K$5:$K$510,$A6)</f>
        <v>2</v>
      </c>
      <c r="AG6" s="36" cm="1">
        <f t="array" ref="AG6">_xlfn.COUNTIFS('Datos - Objetivos de países'!$B$5:$B$510,"Colombia",'Datos - Objetivos de países'!$F$5:$F$510,AG$3,'Datos - Objetivos de países'!$J$5:$J$510,$A6)+_xlfn.COUNTIFS('Datos - Objetivos de países'!$B$5:$B$510,"Colombia",'Datos - Objetivos de países'!$F$5:$F$510,AG$3,'Datos - Objetivos de países'!$K$5:$K$510,$A6)</f>
        <v>0</v>
      </c>
      <c r="AH6" s="36" cm="1">
        <f t="array" ref="AH6">_xlfn.COUNTIFS('Datos - Objetivos de países'!$B$5:$B$510,"Colombia",'Datos - Objetivos de países'!$F$5:$F$510,AH$3,'Datos - Objetivos de países'!$J$5:$J$510,$A6)+_xlfn.COUNTIFS('Datos - Objetivos de países'!$B$5:$B$510,"Colombia",'Datos - Objetivos de países'!$F$5:$F$510,AH$3,'Datos - Objetivos de países'!$K$5:$K$510,$A6)</f>
        <v>0</v>
      </c>
      <c r="AI6" s="36" cm="1">
        <f t="array" ref="AI6">_xlfn.COUNTIFS('Datos - Objetivos de países'!$B$5:$B$510,"Colombia",'Datos - Objetivos de países'!$F$5:$F$510,AI$3,'Datos - Objetivos de países'!$J$5:$J$510,$A6)+_xlfn.COUNTIFS('Datos - Objetivos de países'!$B$5:$B$510,"Colombia",'Datos - Objetivos de países'!$F$5:$F$510,AI$3,'Datos - Objetivos de países'!$K$5:$K$510,$A6)</f>
        <v>1</v>
      </c>
      <c r="AJ6" s="36" cm="1">
        <f t="array" ref="AJ6">_xlfn.COUNTIFS('Datos - Objetivos de países'!$B$5:$B$510,"Colombia",'Datos - Objetivos de países'!$F$5:$F$510,AJ$3,'Datos - Objetivos de países'!$J$5:$J$510,$A6)+_xlfn.COUNTIFS('Datos - Objetivos de países'!$B$5:$B$510,"Colombia",'Datos - Objetivos de países'!$F$5:$F$510,AJ$3,'Datos - Objetivos de países'!$K$5:$K$510,$A6)</f>
        <v>0</v>
      </c>
      <c r="AK6" s="36" cm="1">
        <f t="array" ref="AK6">_xlfn.COUNTIFS('Datos - Objetivos de países'!$B$5:$B$510,"Colombia",'Datos - Objetivos de países'!$F$5:$F$510,AK$3,'Datos - Objetivos de países'!$J$5:$J$510,$A6)+_xlfn.COUNTIFS('Datos - Objetivos de países'!$B$5:$B$510,"Colombia",'Datos - Objetivos de países'!$F$5:$F$510,AK$3,'Datos - Objetivos de países'!$K$5:$K$510,$A6)</f>
        <v>0</v>
      </c>
      <c r="AL6" s="36" cm="1">
        <f t="array" ref="AL6">_xlfn.COUNTIFS('Datos - Objetivos de países'!$B$5:$B$510,"Colombia",'Datos - Objetivos de países'!$F$5:$F$510,AL$3,'Datos - Objetivos de países'!$J$5:$J$510,$A6)+_xlfn.COUNTIFS('Datos - Objetivos de países'!$B$5:$B$510,"Colombia",'Datos - Objetivos de países'!$F$5:$F$510,AL$3,'Datos - Objetivos de países'!$K$5:$K$510,$A6)</f>
        <v>0</v>
      </c>
      <c r="AM6" s="36" cm="1">
        <f t="array" ref="AM6">_xlfn.COUNTIFS('Datos - Objetivos de países'!$B$5:$B$510,"Colombia",'Datos - Objetivos de países'!$F$5:$F$510,AM$3,'Datos - Objetivos de países'!$J$5:$J$510,$A6)+_xlfn.COUNTIFS('Datos - Objetivos de países'!$B$5:$B$510,"Colombia",'Datos - Objetivos de países'!$F$5:$F$510,AM$3,'Datos - Objetivos de países'!$K$5:$K$510,$A6)</f>
        <v>0</v>
      </c>
      <c r="AN6" s="36" cm="1">
        <f t="array" ref="AN6">_xlfn.COUNTIFS('Datos - Objetivos de países'!$B$5:$B$510,"Colombia",'Datos - Objetivos de países'!$F$5:$F$510,AN$3,'Datos - Objetivos de países'!$J$5:$J$510,$A6)+_xlfn.COUNTIFS('Datos - Objetivos de países'!$B$5:$B$510,"Colombia",'Datos - Objetivos de países'!$F$5:$F$510,AN$3,'Datos - Objetivos de países'!$K$5:$K$510,$A6)</f>
        <v>0</v>
      </c>
      <c r="AO6" s="36" cm="1">
        <f t="array" ref="AO6">_xlfn.COUNTIFS('Datos - Objetivos de países'!$B$5:$B$510,"Singapur",'Datos - Objetivos de países'!$F$5:$F$510,AO$3,'Datos - Objetivos de países'!$J$5:$J$510,$A6)+_xlfn.COUNTIFS('Datos - Objetivos de países'!$B$5:$B$510,"Singapur",'Datos - Objetivos de países'!$F$5:$F$510,AO$3,'Datos - Objetivos de países'!$K$5:$K$510,$A6)</f>
        <v>0</v>
      </c>
      <c r="AP6" s="36" cm="1">
        <f t="array" ref="AP6">_xlfn.COUNTIFS('Datos - Objetivos de países'!$B$5:$B$510,"Singapur",'Datos - Objetivos de países'!$F$5:$F$510,AP$3,'Datos - Objetivos de países'!$J$5:$J$510,$A6)+_xlfn.COUNTIFS('Datos - Objetivos de países'!$B$5:$B$510,"Singapur",'Datos - Objetivos de países'!$F$5:$F$510,AP$3,'Datos - Objetivos de países'!$K$5:$K$510,$A6)</f>
        <v>0</v>
      </c>
      <c r="AQ6" s="36" cm="1">
        <f t="array" ref="AQ6">_xlfn.COUNTIFS('Datos - Objetivos de países'!$B$5:$B$510,"Singapur",'Datos - Objetivos de países'!$F$5:$F$510,AQ$3,'Datos - Objetivos de países'!$J$5:$J$510,$A6)+_xlfn.COUNTIFS('Datos - Objetivos de países'!$B$5:$B$510,"Singapur",'Datos - Objetivos de países'!$F$5:$F$510,AQ$3,'Datos - Objetivos de países'!$K$5:$K$510,$A6)</f>
        <v>2</v>
      </c>
      <c r="AR6" s="36" cm="1">
        <f t="array" ref="AR6">_xlfn.COUNTIFS('Datos - Objetivos de países'!$B$5:$B$510,"Singapur",'Datos - Objetivos de países'!$F$5:$F$510,AR$3,'Datos - Objetivos de países'!$J$5:$J$510,$A6)+_xlfn.COUNTIFS('Datos - Objetivos de países'!$B$5:$B$510,"Singapur",'Datos - Objetivos de países'!$F$5:$F$510,AR$3,'Datos - Objetivos de países'!$K$5:$K$510,$A6)</f>
        <v>0</v>
      </c>
      <c r="AS6" s="36" cm="1">
        <f t="array" ref="AS6">_xlfn.COUNTIFS('Datos - Objetivos de países'!$B$5:$B$510,"Singapur",'Datos - Objetivos de países'!$F$5:$F$510,AS$3,'Datos - Objetivos de países'!$J$5:$J$510,$A6)+_xlfn.COUNTIFS('Datos - Objetivos de países'!$B$5:$B$510,"Singapur",'Datos - Objetivos de países'!$F$5:$F$510,AS$3,'Datos - Objetivos de países'!$K$5:$K$510,$A6)</f>
        <v>0</v>
      </c>
      <c r="AT6" s="36" cm="1">
        <f t="array" ref="AT6">_xlfn.COUNTIFS('Datos - Objetivos de países'!$B$5:$B$510,"Singapur",'Datos - Objetivos de países'!$F$5:$F$510,AT$3,'Datos - Objetivos de países'!$J$5:$J$510,$A6)+_xlfn.COUNTIFS('Datos - Objetivos de países'!$B$5:$B$510,"Singapur",'Datos - Objetivos de países'!$F$5:$F$510,AT$3,'Datos - Objetivos de países'!$K$5:$K$510,$A6)</f>
        <v>0</v>
      </c>
      <c r="AU6" s="36" cm="1">
        <f t="array" ref="AU6">_xlfn.COUNTIFS('Datos - Objetivos de países'!$B$5:$B$510,"Singapur",'Datos - Objetivos de países'!$F$5:$F$510,AU$3,'Datos - Objetivos de países'!$J$5:$J$510,$A6)+_xlfn.COUNTIFS('Datos - Objetivos de países'!$B$5:$B$510,"Singapur",'Datos - Objetivos de países'!$F$5:$F$510,AU$3,'Datos - Objetivos de países'!$K$5:$K$510,$A6)</f>
        <v>0</v>
      </c>
      <c r="AV6" s="36" cm="1">
        <f t="array" ref="AV6">_xlfn.COUNTIFS('Datos - Objetivos de países'!$B$5:$B$510,"Singapur",'Datos - Objetivos de países'!$F$5:$F$510,AV$3,'Datos - Objetivos de países'!$J$5:$J$510,$A6)+_xlfn.COUNTIFS('Datos - Objetivos de países'!$B$5:$B$510,"Singapur",'Datos - Objetivos de países'!$F$5:$F$510,AV$3,'Datos - Objetivos de países'!$K$5:$K$510,$A6)</f>
        <v>0</v>
      </c>
      <c r="AW6" s="36" cm="1">
        <f t="array" ref="AW6">_xlfn.COUNTIFS('Datos - Objetivos de países'!$B$5:$B$510,"Singapur",'Datos - Objetivos de países'!$F$5:$F$510,AW$3,'Datos - Objetivos de países'!$J$5:$J$510,$A6)+_xlfn.COUNTIFS('Datos - Objetivos de países'!$B$5:$B$510,"Singapur",'Datos - Objetivos de países'!$F$5:$F$510,AW$3,'Datos - Objetivos de países'!$K$5:$K$510,$A6)</f>
        <v>0</v>
      </c>
    </row>
    <row r="7" ht="13.65" customHeight="1">
      <c r="A7" t="s" s="78">
        <v>383</v>
      </c>
      <c r="B7" t="s" s="78">
        <v>1055</v>
      </c>
      <c r="C7" t="s" s="78">
        <v>210</v>
      </c>
      <c r="D7" t="s" s="78">
        <v>1064</v>
      </c>
      <c r="E7" s="80" cm="1">
        <f t="array" ref="E7">_xlfn.IFERROR(MAX($L$3,INDEX($N$3:$V$3,MATCH(TRUE,INDEX(N7:V7&gt;0,0),0))),"—")</f>
        <v>2</v>
      </c>
      <c r="F7" s="80" cm="1">
        <f t="array" ref="F7">_xlfn.IFERROR(MAX($L$3,INDEX($W$3:$AE$3,MATCH(TRUE,INDEX(W7:AE7&gt;0,0),0))),"—")</f>
        <v>3</v>
      </c>
      <c r="G7" s="80" cm="1">
        <f t="array" ref="G7">_xlfn.IFERROR(MAX($L$3,INDEX($AF$3:$AN$3,MATCH(TRUE,INDEX(AF7:AN7&gt;0,0),0))),"—")</f>
        <v>2</v>
      </c>
      <c r="H7" s="80" cm="1">
        <f t="array" ref="H7">_xlfn.IFERROR(MAX($L$3,INDEX($AO$3:$AW$3,MATCH(TRUE,INDEX(AO7:AW7&gt;0,0),0))),"—")</f>
        <v>4</v>
      </c>
      <c r="I7" s="111" cm="1">
        <f t="array" ref="I7">IF(L7=0,"—",MEDIAN(F7:H7))</f>
        <v>3</v>
      </c>
      <c r="J7" s="111" cm="1">
        <f t="array" ref="J7">IF(OR(E7="—",I7="—"),"—",E7-I7)</f>
        <v>-1</v>
      </c>
      <c r="K7" t="str" s="49" cm="1">
        <f t="array" ref="K7">IF(E7="—",IF(L7=0,"Nadie lo trabaja","El Salvador no llega"),IF(L7=0,"Solo El Salvador",IF(J7&gt;0,"El Salvador llega más tarde",IF(J7&lt;0,"El Salvador va adelantado","Mismo grado"))))</f>
        <v>El Salvador va adelantado</v>
      </c>
      <c r="L7" s="80" cm="1">
        <f t="array" ref="L7">COUNT(F7:H7)</f>
        <v>3</v>
      </c>
      <c r="M7" s="110"/>
      <c r="N7" s="36" cm="1">
        <f t="array" ref="N7">_xlfn.COUNTIFS('Datos - Temas'!$C$5:$C$1264,"Ciencias",'Datos - Temas'!$B$5:$B$1264,N$3,'Datos - Temas'!$K$5:$K$1264,$A7)+_xlfn.COUNTIFS('Datos - Temas'!$C$5:$C$1264,"Ciencias",'Datos - Temas'!$B$5:$B$1264,N$3,'Datos - Temas'!$L$5:$L$1264,$A7)</f>
        <v>0</v>
      </c>
      <c r="O7" s="36" cm="1">
        <f t="array" ref="O7">_xlfn.COUNTIFS('Datos - Temas'!$C$5:$C$1264,"Ciencias",'Datos - Temas'!$B$5:$B$1264,O$3,'Datos - Temas'!$K$5:$K$1264,$A7)+_xlfn.COUNTIFS('Datos - Temas'!$C$5:$C$1264,"Ciencias",'Datos - Temas'!$B$5:$B$1264,O$3,'Datos - Temas'!$L$5:$L$1264,$A7)</f>
        <v>1</v>
      </c>
      <c r="P7" s="36" cm="1">
        <f t="array" ref="P7">_xlfn.COUNTIFS('Datos - Temas'!$C$5:$C$1264,"Ciencias",'Datos - Temas'!$B$5:$B$1264,P$3,'Datos - Temas'!$K$5:$K$1264,$A7)+_xlfn.COUNTIFS('Datos - Temas'!$C$5:$C$1264,"Ciencias",'Datos - Temas'!$B$5:$B$1264,P$3,'Datos - Temas'!$L$5:$L$1264,$A7)</f>
        <v>5</v>
      </c>
      <c r="Q7" s="36" cm="1">
        <f t="array" ref="Q7">_xlfn.COUNTIFS('Datos - Temas'!$C$5:$C$1264,"Ciencias",'Datos - Temas'!$B$5:$B$1264,Q$3,'Datos - Temas'!$K$5:$K$1264,$A7)+_xlfn.COUNTIFS('Datos - Temas'!$C$5:$C$1264,"Ciencias",'Datos - Temas'!$B$5:$B$1264,Q$3,'Datos - Temas'!$L$5:$L$1264,$A7)</f>
        <v>18</v>
      </c>
      <c r="R7" s="36" cm="1">
        <f t="array" ref="R7">_xlfn.COUNTIFS('Datos - Temas'!$C$5:$C$1264,"Ciencias",'Datos - Temas'!$B$5:$B$1264,R$3,'Datos - Temas'!$K$5:$K$1264,$A7)+_xlfn.COUNTIFS('Datos - Temas'!$C$5:$C$1264,"Ciencias",'Datos - Temas'!$B$5:$B$1264,R$3,'Datos - Temas'!$L$5:$L$1264,$A7)</f>
        <v>0</v>
      </c>
      <c r="S7" s="36" cm="1">
        <f t="array" ref="S7">_xlfn.COUNTIFS('Datos - Temas'!$C$5:$C$1264,"Ciencias",'Datos - Temas'!$B$5:$B$1264,S$3,'Datos - Temas'!$K$5:$K$1264,$A7)+_xlfn.COUNTIFS('Datos - Temas'!$C$5:$C$1264,"Ciencias",'Datos - Temas'!$B$5:$B$1264,S$3,'Datos - Temas'!$L$5:$L$1264,$A7)</f>
        <v>0</v>
      </c>
      <c r="T7" s="36" cm="1">
        <f t="array" ref="T7">_xlfn.COUNTIFS('Datos - Temas'!$C$5:$C$1264,"Ciencias",'Datos - Temas'!$B$5:$B$1264,T$3,'Datos - Temas'!$K$5:$K$1264,$A7)+_xlfn.COUNTIFS('Datos - Temas'!$C$5:$C$1264,"Ciencias",'Datos - Temas'!$B$5:$B$1264,T$3,'Datos - Temas'!$L$5:$L$1264,$A7)</f>
        <v>0</v>
      </c>
      <c r="U7" s="36" cm="1">
        <f t="array" ref="U7">_xlfn.COUNTIFS('Datos - Temas'!$C$5:$C$1264,"Ciencias",'Datos - Temas'!$B$5:$B$1264,U$3,'Datos - Temas'!$K$5:$K$1264,$A7)+_xlfn.COUNTIFS('Datos - Temas'!$C$5:$C$1264,"Ciencias",'Datos - Temas'!$B$5:$B$1264,U$3,'Datos - Temas'!$L$5:$L$1264,$A7)</f>
        <v>0</v>
      </c>
      <c r="V7" s="36" cm="1">
        <f t="array" ref="V7">_xlfn.COUNTIFS('Datos - Temas'!$C$5:$C$1264,"Ciencias",'Datos - Temas'!$B$5:$B$1264,V$3,'Datos - Temas'!$K$5:$K$1264,$A7)+_xlfn.COUNTIFS('Datos - Temas'!$C$5:$C$1264,"Ciencias",'Datos - Temas'!$B$5:$B$1264,V$3,'Datos - Temas'!$L$5:$L$1264,$A7)</f>
        <v>0</v>
      </c>
      <c r="W7" s="36" cm="1">
        <f t="array" ref="W7">_xlfn.COUNTIFS('Datos - Objetivos de países'!$B$5:$B$510,"Uruguay",'Datos - Objetivos de países'!$F$5:$F$510,W$3,'Datos - Objetivos de países'!$J$5:$J$510,$A7)+_xlfn.COUNTIFS('Datos - Objetivos de países'!$B$5:$B$510,"Uruguay",'Datos - Objetivos de países'!$F$5:$F$510,W$3,'Datos - Objetivos de países'!$K$5:$K$510,$A7)</f>
        <v>0</v>
      </c>
      <c r="X7" s="36" cm="1">
        <f t="array" ref="X7">_xlfn.COUNTIFS('Datos - Objetivos de países'!$B$5:$B$510,"Uruguay",'Datos - Objetivos de países'!$F$5:$F$510,X$3,'Datos - Objetivos de países'!$J$5:$J$510,$A7)+_xlfn.COUNTIFS('Datos - Objetivos de países'!$B$5:$B$510,"Uruguay",'Datos - Objetivos de países'!$F$5:$F$510,X$3,'Datos - Objetivos de países'!$K$5:$K$510,$A7)</f>
        <v>0</v>
      </c>
      <c r="Y7" s="36" cm="1">
        <f t="array" ref="Y7">_xlfn.COUNTIFS('Datos - Objetivos de países'!$B$5:$B$510,"Uruguay",'Datos - Objetivos de países'!$F$5:$F$510,Y$3,'Datos - Objetivos de países'!$J$5:$J$510,$A7)+_xlfn.COUNTIFS('Datos - Objetivos de países'!$B$5:$B$510,"Uruguay",'Datos - Objetivos de países'!$F$5:$F$510,Y$3,'Datos - Objetivos de países'!$K$5:$K$510,$A7)</f>
        <v>2</v>
      </c>
      <c r="Z7" s="36" cm="1">
        <f t="array" ref="Z7">_xlfn.COUNTIFS('Datos - Objetivos de países'!$B$5:$B$510,"Uruguay",'Datos - Objetivos de países'!$F$5:$F$510,Z$3,'Datos - Objetivos de países'!$J$5:$J$510,$A7)+_xlfn.COUNTIFS('Datos - Objetivos de países'!$B$5:$B$510,"Uruguay",'Datos - Objetivos de países'!$F$5:$F$510,Z$3,'Datos - Objetivos de países'!$K$5:$K$510,$A7)</f>
        <v>2</v>
      </c>
      <c r="AA7" s="36" cm="1">
        <f t="array" ref="AA7">_xlfn.COUNTIFS('Datos - Objetivos de países'!$B$5:$B$510,"Uruguay",'Datos - Objetivos de países'!$F$5:$F$510,AA$3,'Datos - Objetivos de países'!$J$5:$J$510,$A7)+_xlfn.COUNTIFS('Datos - Objetivos de países'!$B$5:$B$510,"Uruguay",'Datos - Objetivos de países'!$F$5:$F$510,AA$3,'Datos - Objetivos de países'!$K$5:$K$510,$A7)</f>
        <v>0</v>
      </c>
      <c r="AB7" s="36" cm="1">
        <f t="array" ref="AB7">_xlfn.COUNTIFS('Datos - Objetivos de países'!$B$5:$B$510,"Uruguay",'Datos - Objetivos de países'!$F$5:$F$510,AB$3,'Datos - Objetivos de países'!$J$5:$J$510,$A7)+_xlfn.COUNTIFS('Datos - Objetivos de países'!$B$5:$B$510,"Uruguay",'Datos - Objetivos de países'!$F$5:$F$510,AB$3,'Datos - Objetivos de países'!$K$5:$K$510,$A7)</f>
        <v>0</v>
      </c>
      <c r="AC7" s="36" cm="1">
        <f t="array" ref="AC7">_xlfn.COUNTIFS('Datos - Objetivos de países'!$B$5:$B$510,"Uruguay",'Datos - Objetivos de países'!$F$5:$F$510,AC$3,'Datos - Objetivos de países'!$J$5:$J$510,$A7)+_xlfn.COUNTIFS('Datos - Objetivos de países'!$B$5:$B$510,"Uruguay",'Datos - Objetivos de países'!$F$5:$F$510,AC$3,'Datos - Objetivos de países'!$K$5:$K$510,$A7)</f>
        <v>0</v>
      </c>
      <c r="AD7" s="36" cm="1">
        <f t="array" ref="AD7">_xlfn.COUNTIFS('Datos - Objetivos de países'!$B$5:$B$510,"Uruguay",'Datos - Objetivos de países'!$F$5:$F$510,AD$3,'Datos - Objetivos de países'!$J$5:$J$510,$A7)+_xlfn.COUNTIFS('Datos - Objetivos de países'!$B$5:$B$510,"Uruguay",'Datos - Objetivos de países'!$F$5:$F$510,AD$3,'Datos - Objetivos de países'!$K$5:$K$510,$A7)</f>
        <v>0</v>
      </c>
      <c r="AE7" s="36" cm="1">
        <f t="array" ref="AE7">_xlfn.COUNTIFS('Datos - Objetivos de países'!$B$5:$B$510,"Uruguay",'Datos - Objetivos de países'!$F$5:$F$510,AE$3,'Datos - Objetivos de países'!$J$5:$J$510,$A7)+_xlfn.COUNTIFS('Datos - Objetivos de países'!$B$5:$B$510,"Uruguay",'Datos - Objetivos de países'!$F$5:$F$510,AE$3,'Datos - Objetivos de países'!$K$5:$K$510,$A7)</f>
        <v>0</v>
      </c>
      <c r="AF7" s="36" cm="1">
        <f t="array" ref="AF7">_xlfn.COUNTIFS('Datos - Objetivos de países'!$B$5:$B$510,"Colombia",'Datos - Objetivos de países'!$F$5:$F$510,AF$3,'Datos - Objetivos de países'!$J$5:$J$510,$A7)+_xlfn.COUNTIFS('Datos - Objetivos de países'!$B$5:$B$510,"Colombia",'Datos - Objetivos de países'!$F$5:$F$510,AF$3,'Datos - Objetivos de países'!$K$5:$K$510,$A7)</f>
        <v>3</v>
      </c>
      <c r="AG7" s="36" cm="1">
        <f t="array" ref="AG7">_xlfn.COUNTIFS('Datos - Objetivos de países'!$B$5:$B$510,"Colombia",'Datos - Objetivos de países'!$F$5:$F$510,AG$3,'Datos - Objetivos de países'!$J$5:$J$510,$A7)+_xlfn.COUNTIFS('Datos - Objetivos de países'!$B$5:$B$510,"Colombia",'Datos - Objetivos de países'!$F$5:$F$510,AG$3,'Datos - Objetivos de países'!$K$5:$K$510,$A7)</f>
        <v>0</v>
      </c>
      <c r="AH7" s="36" cm="1">
        <f t="array" ref="AH7">_xlfn.COUNTIFS('Datos - Objetivos de países'!$B$5:$B$510,"Colombia",'Datos - Objetivos de países'!$F$5:$F$510,AH$3,'Datos - Objetivos de países'!$J$5:$J$510,$A7)+_xlfn.COUNTIFS('Datos - Objetivos de países'!$B$5:$B$510,"Colombia",'Datos - Objetivos de países'!$F$5:$F$510,AH$3,'Datos - Objetivos de países'!$K$5:$K$510,$A7)</f>
        <v>0</v>
      </c>
      <c r="AI7" s="36" cm="1">
        <f t="array" ref="AI7">_xlfn.COUNTIFS('Datos - Objetivos de países'!$B$5:$B$510,"Colombia",'Datos - Objetivos de países'!$F$5:$F$510,AI$3,'Datos - Objetivos de países'!$J$5:$J$510,$A7)+_xlfn.COUNTIFS('Datos - Objetivos de países'!$B$5:$B$510,"Colombia",'Datos - Objetivos de países'!$F$5:$F$510,AI$3,'Datos - Objetivos de países'!$K$5:$K$510,$A7)</f>
        <v>5</v>
      </c>
      <c r="AJ7" s="36" cm="1">
        <f t="array" ref="AJ7">_xlfn.COUNTIFS('Datos - Objetivos de países'!$B$5:$B$510,"Colombia",'Datos - Objetivos de países'!$F$5:$F$510,AJ$3,'Datos - Objetivos de países'!$J$5:$J$510,$A7)+_xlfn.COUNTIFS('Datos - Objetivos de países'!$B$5:$B$510,"Colombia",'Datos - Objetivos de países'!$F$5:$F$510,AJ$3,'Datos - Objetivos de países'!$K$5:$K$510,$A7)</f>
        <v>0</v>
      </c>
      <c r="AK7" s="36" cm="1">
        <f t="array" ref="AK7">_xlfn.COUNTIFS('Datos - Objetivos de países'!$B$5:$B$510,"Colombia",'Datos - Objetivos de países'!$F$5:$F$510,AK$3,'Datos - Objetivos de países'!$J$5:$J$510,$A7)+_xlfn.COUNTIFS('Datos - Objetivos de países'!$B$5:$B$510,"Colombia",'Datos - Objetivos de países'!$F$5:$F$510,AK$3,'Datos - Objetivos de países'!$K$5:$K$510,$A7)</f>
        <v>0</v>
      </c>
      <c r="AL7" s="36" cm="1">
        <f t="array" ref="AL7">_xlfn.COUNTIFS('Datos - Objetivos de países'!$B$5:$B$510,"Colombia",'Datos - Objetivos de países'!$F$5:$F$510,AL$3,'Datos - Objetivos de países'!$J$5:$J$510,$A7)+_xlfn.COUNTIFS('Datos - Objetivos de países'!$B$5:$B$510,"Colombia",'Datos - Objetivos de países'!$F$5:$F$510,AL$3,'Datos - Objetivos de países'!$K$5:$K$510,$A7)</f>
        <v>0</v>
      </c>
      <c r="AM7" s="36" cm="1">
        <f t="array" ref="AM7">_xlfn.COUNTIFS('Datos - Objetivos de países'!$B$5:$B$510,"Colombia",'Datos - Objetivos de países'!$F$5:$F$510,AM$3,'Datos - Objetivos de países'!$J$5:$J$510,$A7)+_xlfn.COUNTIFS('Datos - Objetivos de países'!$B$5:$B$510,"Colombia",'Datos - Objetivos de países'!$F$5:$F$510,AM$3,'Datos - Objetivos de países'!$K$5:$K$510,$A7)</f>
        <v>0</v>
      </c>
      <c r="AN7" s="36" cm="1">
        <f t="array" ref="AN7">_xlfn.COUNTIFS('Datos - Objetivos de países'!$B$5:$B$510,"Colombia",'Datos - Objetivos de países'!$F$5:$F$510,AN$3,'Datos - Objetivos de países'!$J$5:$J$510,$A7)+_xlfn.COUNTIFS('Datos - Objetivos de países'!$B$5:$B$510,"Colombia",'Datos - Objetivos de países'!$F$5:$F$510,AN$3,'Datos - Objetivos de países'!$K$5:$K$510,$A7)</f>
        <v>0</v>
      </c>
      <c r="AO7" s="36" cm="1">
        <f t="array" ref="AO7">_xlfn.COUNTIFS('Datos - Objetivos de países'!$B$5:$B$510,"Singapur",'Datos - Objetivos de países'!$F$5:$F$510,AO$3,'Datos - Objetivos de países'!$J$5:$J$510,$A7)+_xlfn.COUNTIFS('Datos - Objetivos de países'!$B$5:$B$510,"Singapur",'Datos - Objetivos de países'!$F$5:$F$510,AO$3,'Datos - Objetivos de países'!$K$5:$K$510,$A7)</f>
        <v>0</v>
      </c>
      <c r="AP7" s="36" cm="1">
        <f t="array" ref="AP7">_xlfn.COUNTIFS('Datos - Objetivos de países'!$B$5:$B$510,"Singapur",'Datos - Objetivos de países'!$F$5:$F$510,AP$3,'Datos - Objetivos de países'!$J$5:$J$510,$A7)+_xlfn.COUNTIFS('Datos - Objetivos de países'!$B$5:$B$510,"Singapur",'Datos - Objetivos de países'!$F$5:$F$510,AP$3,'Datos - Objetivos de países'!$K$5:$K$510,$A7)</f>
        <v>0</v>
      </c>
      <c r="AQ7" s="36" cm="1">
        <f t="array" ref="AQ7">_xlfn.COUNTIFS('Datos - Objetivos de países'!$B$5:$B$510,"Singapur",'Datos - Objetivos de países'!$F$5:$F$510,AQ$3,'Datos - Objetivos de países'!$J$5:$J$510,$A7)+_xlfn.COUNTIFS('Datos - Objetivos de países'!$B$5:$B$510,"Singapur",'Datos - Objetivos de países'!$F$5:$F$510,AQ$3,'Datos - Objetivos de países'!$K$5:$K$510,$A7)</f>
        <v>0</v>
      </c>
      <c r="AR7" s="36" cm="1">
        <f t="array" ref="AR7">_xlfn.COUNTIFS('Datos - Objetivos de países'!$B$5:$B$510,"Singapur",'Datos - Objetivos de países'!$F$5:$F$510,AR$3,'Datos - Objetivos de países'!$J$5:$J$510,$A7)+_xlfn.COUNTIFS('Datos - Objetivos de países'!$B$5:$B$510,"Singapur",'Datos - Objetivos de países'!$F$5:$F$510,AR$3,'Datos - Objetivos de países'!$K$5:$K$510,$A7)</f>
        <v>4</v>
      </c>
      <c r="AS7" s="36" cm="1">
        <f t="array" ref="AS7">_xlfn.COUNTIFS('Datos - Objetivos de países'!$B$5:$B$510,"Singapur",'Datos - Objetivos de países'!$F$5:$F$510,AS$3,'Datos - Objetivos de países'!$J$5:$J$510,$A7)+_xlfn.COUNTIFS('Datos - Objetivos de países'!$B$5:$B$510,"Singapur",'Datos - Objetivos de países'!$F$5:$F$510,AS$3,'Datos - Objetivos de países'!$K$5:$K$510,$A7)</f>
        <v>0</v>
      </c>
      <c r="AT7" s="36" cm="1">
        <f t="array" ref="AT7">_xlfn.COUNTIFS('Datos - Objetivos de países'!$B$5:$B$510,"Singapur",'Datos - Objetivos de países'!$F$5:$F$510,AT$3,'Datos - Objetivos de países'!$J$5:$J$510,$A7)+_xlfn.COUNTIFS('Datos - Objetivos de países'!$B$5:$B$510,"Singapur",'Datos - Objetivos de países'!$F$5:$F$510,AT$3,'Datos - Objetivos de países'!$K$5:$K$510,$A7)</f>
        <v>0</v>
      </c>
      <c r="AU7" s="36" cm="1">
        <f t="array" ref="AU7">_xlfn.COUNTIFS('Datos - Objetivos de países'!$B$5:$B$510,"Singapur",'Datos - Objetivos de países'!$F$5:$F$510,AU$3,'Datos - Objetivos de países'!$J$5:$J$510,$A7)+_xlfn.COUNTIFS('Datos - Objetivos de países'!$B$5:$B$510,"Singapur",'Datos - Objetivos de países'!$F$5:$F$510,AU$3,'Datos - Objetivos de países'!$K$5:$K$510,$A7)</f>
        <v>0</v>
      </c>
      <c r="AV7" s="36" cm="1">
        <f t="array" ref="AV7">_xlfn.COUNTIFS('Datos - Objetivos de países'!$B$5:$B$510,"Singapur",'Datos - Objetivos de países'!$F$5:$F$510,AV$3,'Datos - Objetivos de países'!$J$5:$J$510,$A7)+_xlfn.COUNTIFS('Datos - Objetivos de países'!$B$5:$B$510,"Singapur",'Datos - Objetivos de países'!$F$5:$F$510,AV$3,'Datos - Objetivos de países'!$K$5:$K$510,$A7)</f>
        <v>0</v>
      </c>
      <c r="AW7" s="36" cm="1">
        <f t="array" ref="AW7">_xlfn.COUNTIFS('Datos - Objetivos de países'!$B$5:$B$510,"Singapur",'Datos - Objetivos de países'!$F$5:$F$510,AW$3,'Datos - Objetivos de países'!$J$5:$J$510,$A7)+_xlfn.COUNTIFS('Datos - Objetivos de países'!$B$5:$B$510,"Singapur",'Datos - Objetivos de países'!$F$5:$F$510,AW$3,'Datos - Objetivos de países'!$K$5:$K$510,$A7)</f>
        <v>0</v>
      </c>
    </row>
    <row r="8" ht="24.65" customHeight="1">
      <c r="A8" t="s" s="78">
        <v>1066</v>
      </c>
      <c r="B8" t="s" s="78">
        <v>1055</v>
      </c>
      <c r="C8" t="s" s="78">
        <v>210</v>
      </c>
      <c r="D8" t="s" s="78">
        <v>1067</v>
      </c>
      <c r="E8" s="80" cm="1">
        <f t="array" ref="E8">_xlfn.IFERROR(MAX($L$3,INDEX($N$3:$V$3,MATCH(TRUE,INDEX(N8:V8&gt;0,0),0))),"—")</f>
        <v>2</v>
      </c>
      <c r="F8" s="80" cm="1">
        <f t="array" ref="F8">_xlfn.IFERROR(MAX($L$3,INDEX($W$3:$AE$3,MATCH(TRUE,INDEX(W8:AE8&gt;0,0),0))),"—")</f>
        <v>3</v>
      </c>
      <c r="G8" s="80" cm="1">
        <f t="array" ref="G8">_xlfn.IFERROR(MAX($L$3,INDEX($AF$3:$AN$3,MATCH(TRUE,INDEX(AF8:AN8&gt;0,0),0))),"—")</f>
        <v>2</v>
      </c>
      <c r="H8" t="str" s="79" cm="1">
        <f t="array" ref="H8">_xlfn.IFERROR(MAX($L$3,INDEX($AO$3:$AW$3,MATCH(TRUE,INDEX(AO8:AW8&gt;0,0),0))),"—")</f>
        <v>—</v>
      </c>
      <c r="I8" s="111" cm="1">
        <f t="array" ref="I8">IF(L8=0,"—",MEDIAN(F8:H8))</f>
        <v>2.5</v>
      </c>
      <c r="J8" s="111" cm="1">
        <f t="array" ref="J8">IF(OR(E8="—",I8="—"),"—",E8-I8)</f>
        <v>-0.5</v>
      </c>
      <c r="K8" t="str" s="49" cm="1">
        <f t="array" ref="K8">IF(E8="—",IF(L8=0,"Nadie lo trabaja","El Salvador no llega"),IF(L8=0,"Solo El Salvador",IF(J8&gt;0,"El Salvador llega más tarde",IF(J8&lt;0,"El Salvador va adelantado","Mismo grado"))))</f>
        <v>El Salvador va adelantado</v>
      </c>
      <c r="L8" s="80" cm="1">
        <f t="array" ref="L8">COUNT(F8:H8)</f>
        <v>2</v>
      </c>
      <c r="M8" s="110"/>
      <c r="N8" s="36" cm="1">
        <f t="array" ref="N8">_xlfn.COUNTIFS('Datos - Temas'!$C$5:$C$1264,"Ciencias",'Datos - Temas'!$B$5:$B$1264,N$3,'Datos - Temas'!$K$5:$K$1264,$A8)+_xlfn.COUNTIFS('Datos - Temas'!$C$5:$C$1264,"Ciencias",'Datos - Temas'!$B$5:$B$1264,N$3,'Datos - Temas'!$L$5:$L$1264,$A8)</f>
        <v>0</v>
      </c>
      <c r="O8" s="36" cm="1">
        <f t="array" ref="O8">_xlfn.COUNTIFS('Datos - Temas'!$C$5:$C$1264,"Ciencias",'Datos - Temas'!$B$5:$B$1264,O$3,'Datos - Temas'!$K$5:$K$1264,$A8)+_xlfn.COUNTIFS('Datos - Temas'!$C$5:$C$1264,"Ciencias",'Datos - Temas'!$B$5:$B$1264,O$3,'Datos - Temas'!$L$5:$L$1264,$A8)</f>
        <v>2</v>
      </c>
      <c r="P8" s="36" cm="1">
        <f t="array" ref="P8">_xlfn.COUNTIFS('Datos - Temas'!$C$5:$C$1264,"Ciencias",'Datos - Temas'!$B$5:$B$1264,P$3,'Datos - Temas'!$K$5:$K$1264,$A8)+_xlfn.COUNTIFS('Datos - Temas'!$C$5:$C$1264,"Ciencias",'Datos - Temas'!$B$5:$B$1264,P$3,'Datos - Temas'!$L$5:$L$1264,$A8)</f>
        <v>5</v>
      </c>
      <c r="Q8" s="36" cm="1">
        <f t="array" ref="Q8">_xlfn.COUNTIFS('Datos - Temas'!$C$5:$C$1264,"Ciencias",'Datos - Temas'!$B$5:$B$1264,Q$3,'Datos - Temas'!$K$5:$K$1264,$A8)+_xlfn.COUNTIFS('Datos - Temas'!$C$5:$C$1264,"Ciencias",'Datos - Temas'!$B$5:$B$1264,Q$3,'Datos - Temas'!$L$5:$L$1264,$A8)</f>
        <v>3</v>
      </c>
      <c r="R8" s="36" cm="1">
        <f t="array" ref="R8">_xlfn.COUNTIFS('Datos - Temas'!$C$5:$C$1264,"Ciencias",'Datos - Temas'!$B$5:$B$1264,R$3,'Datos - Temas'!$K$5:$K$1264,$A8)+_xlfn.COUNTIFS('Datos - Temas'!$C$5:$C$1264,"Ciencias",'Datos - Temas'!$B$5:$B$1264,R$3,'Datos - Temas'!$L$5:$L$1264,$A8)</f>
        <v>0</v>
      </c>
      <c r="S8" s="36" cm="1">
        <f t="array" ref="S8">_xlfn.COUNTIFS('Datos - Temas'!$C$5:$C$1264,"Ciencias",'Datos - Temas'!$B$5:$B$1264,S$3,'Datos - Temas'!$K$5:$K$1264,$A8)+_xlfn.COUNTIFS('Datos - Temas'!$C$5:$C$1264,"Ciencias",'Datos - Temas'!$B$5:$B$1264,S$3,'Datos - Temas'!$L$5:$L$1264,$A8)</f>
        <v>0</v>
      </c>
      <c r="T8" s="36" cm="1">
        <f t="array" ref="T8">_xlfn.COUNTIFS('Datos - Temas'!$C$5:$C$1264,"Ciencias",'Datos - Temas'!$B$5:$B$1264,T$3,'Datos - Temas'!$K$5:$K$1264,$A8)+_xlfn.COUNTIFS('Datos - Temas'!$C$5:$C$1264,"Ciencias",'Datos - Temas'!$B$5:$B$1264,T$3,'Datos - Temas'!$L$5:$L$1264,$A8)</f>
        <v>0</v>
      </c>
      <c r="U8" s="36" cm="1">
        <f t="array" ref="U8">_xlfn.COUNTIFS('Datos - Temas'!$C$5:$C$1264,"Ciencias",'Datos - Temas'!$B$5:$B$1264,U$3,'Datos - Temas'!$K$5:$K$1264,$A8)+_xlfn.COUNTIFS('Datos - Temas'!$C$5:$C$1264,"Ciencias",'Datos - Temas'!$B$5:$B$1264,U$3,'Datos - Temas'!$L$5:$L$1264,$A8)</f>
        <v>0</v>
      </c>
      <c r="V8" s="36" cm="1">
        <f t="array" ref="V8">_xlfn.COUNTIFS('Datos - Temas'!$C$5:$C$1264,"Ciencias",'Datos - Temas'!$B$5:$B$1264,V$3,'Datos - Temas'!$K$5:$K$1264,$A8)+_xlfn.COUNTIFS('Datos - Temas'!$C$5:$C$1264,"Ciencias",'Datos - Temas'!$B$5:$B$1264,V$3,'Datos - Temas'!$L$5:$L$1264,$A8)</f>
        <v>0</v>
      </c>
      <c r="W8" s="36" cm="1">
        <f t="array" ref="W8">_xlfn.COUNTIFS('Datos - Objetivos de países'!$B$5:$B$510,"Uruguay",'Datos - Objetivos de países'!$F$5:$F$510,W$3,'Datos - Objetivos de países'!$J$5:$J$510,$A8)+_xlfn.COUNTIFS('Datos - Objetivos de países'!$B$5:$B$510,"Uruguay",'Datos - Objetivos de países'!$F$5:$F$510,W$3,'Datos - Objetivos de países'!$K$5:$K$510,$A8)</f>
        <v>0</v>
      </c>
      <c r="X8" s="36" cm="1">
        <f t="array" ref="X8">_xlfn.COUNTIFS('Datos - Objetivos de países'!$B$5:$B$510,"Uruguay",'Datos - Objetivos de países'!$F$5:$F$510,X$3,'Datos - Objetivos de países'!$J$5:$J$510,$A8)+_xlfn.COUNTIFS('Datos - Objetivos de países'!$B$5:$B$510,"Uruguay",'Datos - Objetivos de países'!$F$5:$F$510,X$3,'Datos - Objetivos de países'!$K$5:$K$510,$A8)</f>
        <v>0</v>
      </c>
      <c r="Y8" s="36" cm="1">
        <f t="array" ref="Y8">_xlfn.COUNTIFS('Datos - Objetivos de países'!$B$5:$B$510,"Uruguay",'Datos - Objetivos de países'!$F$5:$F$510,Y$3,'Datos - Objetivos de países'!$J$5:$J$510,$A8)+_xlfn.COUNTIFS('Datos - Objetivos de países'!$B$5:$B$510,"Uruguay",'Datos - Objetivos de países'!$F$5:$F$510,Y$3,'Datos - Objetivos de países'!$K$5:$K$510,$A8)</f>
        <v>2</v>
      </c>
      <c r="Z8" s="36" cm="1">
        <f t="array" ref="Z8">_xlfn.COUNTIFS('Datos - Objetivos de países'!$B$5:$B$510,"Uruguay",'Datos - Objetivos de países'!$F$5:$F$510,Z$3,'Datos - Objetivos de países'!$J$5:$J$510,$A8)+_xlfn.COUNTIFS('Datos - Objetivos de países'!$B$5:$B$510,"Uruguay",'Datos - Objetivos de países'!$F$5:$F$510,Z$3,'Datos - Objetivos de países'!$K$5:$K$510,$A8)</f>
        <v>1</v>
      </c>
      <c r="AA8" s="36" cm="1">
        <f t="array" ref="AA8">_xlfn.COUNTIFS('Datos - Objetivos de países'!$B$5:$B$510,"Uruguay",'Datos - Objetivos de países'!$F$5:$F$510,AA$3,'Datos - Objetivos de países'!$J$5:$J$510,$A8)+_xlfn.COUNTIFS('Datos - Objetivos de países'!$B$5:$B$510,"Uruguay",'Datos - Objetivos de países'!$F$5:$F$510,AA$3,'Datos - Objetivos de países'!$K$5:$K$510,$A8)</f>
        <v>0</v>
      </c>
      <c r="AB8" s="36" cm="1">
        <f t="array" ref="AB8">_xlfn.COUNTIFS('Datos - Objetivos de países'!$B$5:$B$510,"Uruguay",'Datos - Objetivos de países'!$F$5:$F$510,AB$3,'Datos - Objetivos de países'!$J$5:$J$510,$A8)+_xlfn.COUNTIFS('Datos - Objetivos de países'!$B$5:$B$510,"Uruguay",'Datos - Objetivos de países'!$F$5:$F$510,AB$3,'Datos - Objetivos de países'!$K$5:$K$510,$A8)</f>
        <v>0</v>
      </c>
      <c r="AC8" s="36" cm="1">
        <f t="array" ref="AC8">_xlfn.COUNTIFS('Datos - Objetivos de países'!$B$5:$B$510,"Uruguay",'Datos - Objetivos de países'!$F$5:$F$510,AC$3,'Datos - Objetivos de países'!$J$5:$J$510,$A8)+_xlfn.COUNTIFS('Datos - Objetivos de países'!$B$5:$B$510,"Uruguay",'Datos - Objetivos de países'!$F$5:$F$510,AC$3,'Datos - Objetivos de países'!$K$5:$K$510,$A8)</f>
        <v>0</v>
      </c>
      <c r="AD8" s="36" cm="1">
        <f t="array" ref="AD8">_xlfn.COUNTIFS('Datos - Objetivos de países'!$B$5:$B$510,"Uruguay",'Datos - Objetivos de países'!$F$5:$F$510,AD$3,'Datos - Objetivos de países'!$J$5:$J$510,$A8)+_xlfn.COUNTIFS('Datos - Objetivos de países'!$B$5:$B$510,"Uruguay",'Datos - Objetivos de países'!$F$5:$F$510,AD$3,'Datos - Objetivos de países'!$K$5:$K$510,$A8)</f>
        <v>0</v>
      </c>
      <c r="AE8" s="36" cm="1">
        <f t="array" ref="AE8">_xlfn.COUNTIFS('Datos - Objetivos de países'!$B$5:$B$510,"Uruguay",'Datos - Objetivos de países'!$F$5:$F$510,AE$3,'Datos - Objetivos de países'!$J$5:$J$510,$A8)+_xlfn.COUNTIFS('Datos - Objetivos de países'!$B$5:$B$510,"Uruguay",'Datos - Objetivos de países'!$F$5:$F$510,AE$3,'Datos - Objetivos de países'!$K$5:$K$510,$A8)</f>
        <v>0</v>
      </c>
      <c r="AF8" s="36" cm="1">
        <f t="array" ref="AF8">_xlfn.COUNTIFS('Datos - Objetivos de países'!$B$5:$B$510,"Colombia",'Datos - Objetivos de países'!$F$5:$F$510,AF$3,'Datos - Objetivos de países'!$J$5:$J$510,$A8)+_xlfn.COUNTIFS('Datos - Objetivos de países'!$B$5:$B$510,"Colombia",'Datos - Objetivos de países'!$F$5:$F$510,AF$3,'Datos - Objetivos de países'!$K$5:$K$510,$A8)</f>
        <v>1</v>
      </c>
      <c r="AG8" s="36" cm="1">
        <f t="array" ref="AG8">_xlfn.COUNTIFS('Datos - Objetivos de países'!$B$5:$B$510,"Colombia",'Datos - Objetivos de países'!$F$5:$F$510,AG$3,'Datos - Objetivos de países'!$J$5:$J$510,$A8)+_xlfn.COUNTIFS('Datos - Objetivos de países'!$B$5:$B$510,"Colombia",'Datos - Objetivos de países'!$F$5:$F$510,AG$3,'Datos - Objetivos de países'!$K$5:$K$510,$A8)</f>
        <v>0</v>
      </c>
      <c r="AH8" s="36" cm="1">
        <f t="array" ref="AH8">_xlfn.COUNTIFS('Datos - Objetivos de países'!$B$5:$B$510,"Colombia",'Datos - Objetivos de países'!$F$5:$F$510,AH$3,'Datos - Objetivos de países'!$J$5:$J$510,$A8)+_xlfn.COUNTIFS('Datos - Objetivos de países'!$B$5:$B$510,"Colombia",'Datos - Objetivos de países'!$F$5:$F$510,AH$3,'Datos - Objetivos de países'!$K$5:$K$510,$A8)</f>
        <v>0</v>
      </c>
      <c r="AI8" s="36" cm="1">
        <f t="array" ref="AI8">_xlfn.COUNTIFS('Datos - Objetivos de países'!$B$5:$B$510,"Colombia",'Datos - Objetivos de países'!$F$5:$F$510,AI$3,'Datos - Objetivos de países'!$J$5:$J$510,$A8)+_xlfn.COUNTIFS('Datos - Objetivos de países'!$B$5:$B$510,"Colombia",'Datos - Objetivos de países'!$F$5:$F$510,AI$3,'Datos - Objetivos de países'!$K$5:$K$510,$A8)</f>
        <v>2</v>
      </c>
      <c r="AJ8" s="36" cm="1">
        <f t="array" ref="AJ8">_xlfn.COUNTIFS('Datos - Objetivos de países'!$B$5:$B$510,"Colombia",'Datos - Objetivos de países'!$F$5:$F$510,AJ$3,'Datos - Objetivos de países'!$J$5:$J$510,$A8)+_xlfn.COUNTIFS('Datos - Objetivos de países'!$B$5:$B$510,"Colombia",'Datos - Objetivos de países'!$F$5:$F$510,AJ$3,'Datos - Objetivos de países'!$K$5:$K$510,$A8)</f>
        <v>0</v>
      </c>
      <c r="AK8" s="36" cm="1">
        <f t="array" ref="AK8">_xlfn.COUNTIFS('Datos - Objetivos de países'!$B$5:$B$510,"Colombia",'Datos - Objetivos de países'!$F$5:$F$510,AK$3,'Datos - Objetivos de países'!$J$5:$J$510,$A8)+_xlfn.COUNTIFS('Datos - Objetivos de países'!$B$5:$B$510,"Colombia",'Datos - Objetivos de países'!$F$5:$F$510,AK$3,'Datos - Objetivos de países'!$K$5:$K$510,$A8)</f>
        <v>0</v>
      </c>
      <c r="AL8" s="36" cm="1">
        <f t="array" ref="AL8">_xlfn.COUNTIFS('Datos - Objetivos de países'!$B$5:$B$510,"Colombia",'Datos - Objetivos de países'!$F$5:$F$510,AL$3,'Datos - Objetivos de países'!$J$5:$J$510,$A8)+_xlfn.COUNTIFS('Datos - Objetivos de países'!$B$5:$B$510,"Colombia",'Datos - Objetivos de países'!$F$5:$F$510,AL$3,'Datos - Objetivos de países'!$K$5:$K$510,$A8)</f>
        <v>0</v>
      </c>
      <c r="AM8" s="36" cm="1">
        <f t="array" ref="AM8">_xlfn.COUNTIFS('Datos - Objetivos de países'!$B$5:$B$510,"Colombia",'Datos - Objetivos de países'!$F$5:$F$510,AM$3,'Datos - Objetivos de países'!$J$5:$J$510,$A8)+_xlfn.COUNTIFS('Datos - Objetivos de países'!$B$5:$B$510,"Colombia",'Datos - Objetivos de países'!$F$5:$F$510,AM$3,'Datos - Objetivos de países'!$K$5:$K$510,$A8)</f>
        <v>0</v>
      </c>
      <c r="AN8" s="36" cm="1">
        <f t="array" ref="AN8">_xlfn.COUNTIFS('Datos - Objetivos de países'!$B$5:$B$510,"Colombia",'Datos - Objetivos de países'!$F$5:$F$510,AN$3,'Datos - Objetivos de países'!$J$5:$J$510,$A8)+_xlfn.COUNTIFS('Datos - Objetivos de países'!$B$5:$B$510,"Colombia",'Datos - Objetivos de países'!$F$5:$F$510,AN$3,'Datos - Objetivos de países'!$K$5:$K$510,$A8)</f>
        <v>0</v>
      </c>
      <c r="AO8" s="36" cm="1">
        <f t="array" ref="AO8">_xlfn.COUNTIFS('Datos - Objetivos de países'!$B$5:$B$510,"Singapur",'Datos - Objetivos de países'!$F$5:$F$510,AO$3,'Datos - Objetivos de países'!$J$5:$J$510,$A8)+_xlfn.COUNTIFS('Datos - Objetivos de países'!$B$5:$B$510,"Singapur",'Datos - Objetivos de países'!$F$5:$F$510,AO$3,'Datos - Objetivos de países'!$K$5:$K$510,$A8)</f>
        <v>0</v>
      </c>
      <c r="AP8" s="36" cm="1">
        <f t="array" ref="AP8">_xlfn.COUNTIFS('Datos - Objetivos de países'!$B$5:$B$510,"Singapur",'Datos - Objetivos de países'!$F$5:$F$510,AP$3,'Datos - Objetivos de países'!$J$5:$J$510,$A8)+_xlfn.COUNTIFS('Datos - Objetivos de países'!$B$5:$B$510,"Singapur",'Datos - Objetivos de países'!$F$5:$F$510,AP$3,'Datos - Objetivos de países'!$K$5:$K$510,$A8)</f>
        <v>0</v>
      </c>
      <c r="AQ8" s="36" cm="1">
        <f t="array" ref="AQ8">_xlfn.COUNTIFS('Datos - Objetivos de países'!$B$5:$B$510,"Singapur",'Datos - Objetivos de países'!$F$5:$F$510,AQ$3,'Datos - Objetivos de países'!$J$5:$J$510,$A8)+_xlfn.COUNTIFS('Datos - Objetivos de países'!$B$5:$B$510,"Singapur",'Datos - Objetivos de países'!$F$5:$F$510,AQ$3,'Datos - Objetivos de países'!$K$5:$K$510,$A8)</f>
        <v>0</v>
      </c>
      <c r="AR8" s="36" cm="1">
        <f t="array" ref="AR8">_xlfn.COUNTIFS('Datos - Objetivos de países'!$B$5:$B$510,"Singapur",'Datos - Objetivos de países'!$F$5:$F$510,AR$3,'Datos - Objetivos de países'!$J$5:$J$510,$A8)+_xlfn.COUNTIFS('Datos - Objetivos de países'!$B$5:$B$510,"Singapur",'Datos - Objetivos de países'!$F$5:$F$510,AR$3,'Datos - Objetivos de países'!$K$5:$K$510,$A8)</f>
        <v>0</v>
      </c>
      <c r="AS8" s="36" cm="1">
        <f t="array" ref="AS8">_xlfn.COUNTIFS('Datos - Objetivos de países'!$B$5:$B$510,"Singapur",'Datos - Objetivos de países'!$F$5:$F$510,AS$3,'Datos - Objetivos de países'!$J$5:$J$510,$A8)+_xlfn.COUNTIFS('Datos - Objetivos de países'!$B$5:$B$510,"Singapur",'Datos - Objetivos de países'!$F$5:$F$510,AS$3,'Datos - Objetivos de países'!$K$5:$K$510,$A8)</f>
        <v>0</v>
      </c>
      <c r="AT8" s="36" cm="1">
        <f t="array" ref="AT8">_xlfn.COUNTIFS('Datos - Objetivos de países'!$B$5:$B$510,"Singapur",'Datos - Objetivos de países'!$F$5:$F$510,AT$3,'Datos - Objetivos de países'!$J$5:$J$510,$A8)+_xlfn.COUNTIFS('Datos - Objetivos de países'!$B$5:$B$510,"Singapur",'Datos - Objetivos de países'!$F$5:$F$510,AT$3,'Datos - Objetivos de países'!$K$5:$K$510,$A8)</f>
        <v>0</v>
      </c>
      <c r="AU8" s="36" cm="1">
        <f t="array" ref="AU8">_xlfn.COUNTIFS('Datos - Objetivos de países'!$B$5:$B$510,"Singapur",'Datos - Objetivos de países'!$F$5:$F$510,AU$3,'Datos - Objetivos de países'!$J$5:$J$510,$A8)+_xlfn.COUNTIFS('Datos - Objetivos de países'!$B$5:$B$510,"Singapur",'Datos - Objetivos de países'!$F$5:$F$510,AU$3,'Datos - Objetivos de países'!$K$5:$K$510,$A8)</f>
        <v>0</v>
      </c>
      <c r="AV8" s="36" cm="1">
        <f t="array" ref="AV8">_xlfn.COUNTIFS('Datos - Objetivos de países'!$B$5:$B$510,"Singapur",'Datos - Objetivos de países'!$F$5:$F$510,AV$3,'Datos - Objetivos de países'!$J$5:$J$510,$A8)+_xlfn.COUNTIFS('Datos - Objetivos de países'!$B$5:$B$510,"Singapur",'Datos - Objetivos de países'!$F$5:$F$510,AV$3,'Datos - Objetivos de países'!$K$5:$K$510,$A8)</f>
        <v>0</v>
      </c>
      <c r="AW8" s="36" cm="1">
        <f t="array" ref="AW8">_xlfn.COUNTIFS('Datos - Objetivos de países'!$B$5:$B$510,"Singapur",'Datos - Objetivos de países'!$F$5:$F$510,AW$3,'Datos - Objetivos de países'!$J$5:$J$510,$A8)+_xlfn.COUNTIFS('Datos - Objetivos de países'!$B$5:$B$510,"Singapur",'Datos - Objetivos de países'!$F$5:$F$510,AW$3,'Datos - Objetivos de países'!$K$5:$K$510,$A8)</f>
        <v>0</v>
      </c>
    </row>
    <row r="9" ht="24.65" customHeight="1">
      <c r="A9" t="s" s="78">
        <v>1069</v>
      </c>
      <c r="B9" t="s" s="78">
        <v>1055</v>
      </c>
      <c r="C9" t="s" s="78">
        <v>210</v>
      </c>
      <c r="D9" t="s" s="78">
        <v>1071</v>
      </c>
      <c r="E9" s="80" cm="1">
        <f t="array" ref="E9">_xlfn.IFERROR(MAX($L$3,INDEX($N$3:$V$3,MATCH(TRUE,INDEX(N9:V9&gt;0,0),0))),"—")</f>
        <v>2</v>
      </c>
      <c r="F9" s="80" cm="1">
        <f t="array" ref="F9">_xlfn.IFERROR(MAX($L$3,INDEX($W$3:$AE$3,MATCH(TRUE,INDEX(W9:AE9&gt;0,0),0))),"—")</f>
        <v>3</v>
      </c>
      <c r="G9" s="80" cm="1">
        <f t="array" ref="G9">_xlfn.IFERROR(MAX($L$3,INDEX($AF$3:$AN$3,MATCH(TRUE,INDEX(AF9:AN9&gt;0,0),0))),"—")</f>
        <v>2</v>
      </c>
      <c r="H9" s="80" cm="1">
        <f t="array" ref="H9">_xlfn.IFERROR(MAX($L$3,INDEX($AO$3:$AW$3,MATCH(TRUE,INDEX(AO9:AW9&gt;0,0),0))),"—")</f>
        <v>3</v>
      </c>
      <c r="I9" s="111" cm="1">
        <f t="array" ref="I9">IF(L9=0,"—",MEDIAN(F9:H9))</f>
        <v>3</v>
      </c>
      <c r="J9" s="111" cm="1">
        <f t="array" ref="J9">IF(OR(E9="—",I9="—"),"—",E9-I9)</f>
        <v>-1</v>
      </c>
      <c r="K9" t="str" s="49" cm="1">
        <f t="array" ref="K9">IF(E9="—",IF(L9=0,"Nadie lo trabaja","El Salvador no llega"),IF(L9=0,"Solo El Salvador",IF(J9&gt;0,"El Salvador llega más tarde",IF(J9&lt;0,"El Salvador va adelantado","Mismo grado"))))</f>
        <v>El Salvador va adelantado</v>
      </c>
      <c r="L9" s="80" cm="1">
        <f t="array" ref="L9">COUNT(F9:H9)</f>
        <v>3</v>
      </c>
      <c r="M9" s="110"/>
      <c r="N9" s="36" cm="1">
        <f t="array" ref="N9">_xlfn.COUNTIFS('Datos - Temas'!$C$5:$C$1264,"Ciencias",'Datos - Temas'!$B$5:$B$1264,N$3,'Datos - Temas'!$K$5:$K$1264,$A9)+_xlfn.COUNTIFS('Datos - Temas'!$C$5:$C$1264,"Ciencias",'Datos - Temas'!$B$5:$B$1264,N$3,'Datos - Temas'!$L$5:$L$1264,$A9)</f>
        <v>0</v>
      </c>
      <c r="O9" s="36" cm="1">
        <f t="array" ref="O9">_xlfn.COUNTIFS('Datos - Temas'!$C$5:$C$1264,"Ciencias",'Datos - Temas'!$B$5:$B$1264,O$3,'Datos - Temas'!$K$5:$K$1264,$A9)+_xlfn.COUNTIFS('Datos - Temas'!$C$5:$C$1264,"Ciencias",'Datos - Temas'!$B$5:$B$1264,O$3,'Datos - Temas'!$L$5:$L$1264,$A9)</f>
        <v>1</v>
      </c>
      <c r="P9" s="36" cm="1">
        <f t="array" ref="P9">_xlfn.COUNTIFS('Datos - Temas'!$C$5:$C$1264,"Ciencias",'Datos - Temas'!$B$5:$B$1264,P$3,'Datos - Temas'!$K$5:$K$1264,$A9)+_xlfn.COUNTIFS('Datos - Temas'!$C$5:$C$1264,"Ciencias",'Datos - Temas'!$B$5:$B$1264,P$3,'Datos - Temas'!$L$5:$L$1264,$A9)</f>
        <v>1</v>
      </c>
      <c r="Q9" s="36" cm="1">
        <f t="array" ref="Q9">_xlfn.COUNTIFS('Datos - Temas'!$C$5:$C$1264,"Ciencias",'Datos - Temas'!$B$5:$B$1264,Q$3,'Datos - Temas'!$K$5:$K$1264,$A9)+_xlfn.COUNTIFS('Datos - Temas'!$C$5:$C$1264,"Ciencias",'Datos - Temas'!$B$5:$B$1264,Q$3,'Datos - Temas'!$L$5:$L$1264,$A9)</f>
        <v>0</v>
      </c>
      <c r="R9" s="36" cm="1">
        <f t="array" ref="R9">_xlfn.COUNTIFS('Datos - Temas'!$C$5:$C$1264,"Ciencias",'Datos - Temas'!$B$5:$B$1264,R$3,'Datos - Temas'!$K$5:$K$1264,$A9)+_xlfn.COUNTIFS('Datos - Temas'!$C$5:$C$1264,"Ciencias",'Datos - Temas'!$B$5:$B$1264,R$3,'Datos - Temas'!$L$5:$L$1264,$A9)</f>
        <v>0</v>
      </c>
      <c r="S9" s="36" cm="1">
        <f t="array" ref="S9">_xlfn.COUNTIFS('Datos - Temas'!$C$5:$C$1264,"Ciencias",'Datos - Temas'!$B$5:$B$1264,S$3,'Datos - Temas'!$K$5:$K$1264,$A9)+_xlfn.COUNTIFS('Datos - Temas'!$C$5:$C$1264,"Ciencias",'Datos - Temas'!$B$5:$B$1264,S$3,'Datos - Temas'!$L$5:$L$1264,$A9)</f>
        <v>0</v>
      </c>
      <c r="T9" s="36" cm="1">
        <f t="array" ref="T9">_xlfn.COUNTIFS('Datos - Temas'!$C$5:$C$1264,"Ciencias",'Datos - Temas'!$B$5:$B$1264,T$3,'Datos - Temas'!$K$5:$K$1264,$A9)+_xlfn.COUNTIFS('Datos - Temas'!$C$5:$C$1264,"Ciencias",'Datos - Temas'!$B$5:$B$1264,T$3,'Datos - Temas'!$L$5:$L$1264,$A9)</f>
        <v>0</v>
      </c>
      <c r="U9" s="36" cm="1">
        <f t="array" ref="U9">_xlfn.COUNTIFS('Datos - Temas'!$C$5:$C$1264,"Ciencias",'Datos - Temas'!$B$5:$B$1264,U$3,'Datos - Temas'!$K$5:$K$1264,$A9)+_xlfn.COUNTIFS('Datos - Temas'!$C$5:$C$1264,"Ciencias",'Datos - Temas'!$B$5:$B$1264,U$3,'Datos - Temas'!$L$5:$L$1264,$A9)</f>
        <v>0</v>
      </c>
      <c r="V9" s="36" cm="1">
        <f t="array" ref="V9">_xlfn.COUNTIFS('Datos - Temas'!$C$5:$C$1264,"Ciencias",'Datos - Temas'!$B$5:$B$1264,V$3,'Datos - Temas'!$K$5:$K$1264,$A9)+_xlfn.COUNTIFS('Datos - Temas'!$C$5:$C$1264,"Ciencias",'Datos - Temas'!$B$5:$B$1264,V$3,'Datos - Temas'!$L$5:$L$1264,$A9)</f>
        <v>0</v>
      </c>
      <c r="W9" s="36" cm="1">
        <f t="array" ref="W9">_xlfn.COUNTIFS('Datos - Objetivos de países'!$B$5:$B$510,"Uruguay",'Datos - Objetivos de países'!$F$5:$F$510,W$3,'Datos - Objetivos de países'!$J$5:$J$510,$A9)+_xlfn.COUNTIFS('Datos - Objetivos de países'!$B$5:$B$510,"Uruguay",'Datos - Objetivos de países'!$F$5:$F$510,W$3,'Datos - Objetivos de países'!$K$5:$K$510,$A9)</f>
        <v>0</v>
      </c>
      <c r="X9" s="36" cm="1">
        <f t="array" ref="X9">_xlfn.COUNTIFS('Datos - Objetivos de países'!$B$5:$B$510,"Uruguay",'Datos - Objetivos de países'!$F$5:$F$510,X$3,'Datos - Objetivos de países'!$J$5:$J$510,$A9)+_xlfn.COUNTIFS('Datos - Objetivos de países'!$B$5:$B$510,"Uruguay",'Datos - Objetivos de países'!$F$5:$F$510,X$3,'Datos - Objetivos de países'!$K$5:$K$510,$A9)</f>
        <v>0</v>
      </c>
      <c r="Y9" s="36" cm="1">
        <f t="array" ref="Y9">_xlfn.COUNTIFS('Datos - Objetivos de países'!$B$5:$B$510,"Uruguay",'Datos - Objetivos de países'!$F$5:$F$510,Y$3,'Datos - Objetivos de países'!$J$5:$J$510,$A9)+_xlfn.COUNTIFS('Datos - Objetivos de países'!$B$5:$B$510,"Uruguay",'Datos - Objetivos de países'!$F$5:$F$510,Y$3,'Datos - Objetivos de países'!$K$5:$K$510,$A9)</f>
        <v>1</v>
      </c>
      <c r="Z9" s="36" cm="1">
        <f t="array" ref="Z9">_xlfn.COUNTIFS('Datos - Objetivos de países'!$B$5:$B$510,"Uruguay",'Datos - Objetivos de países'!$F$5:$F$510,Z$3,'Datos - Objetivos de países'!$J$5:$J$510,$A9)+_xlfn.COUNTIFS('Datos - Objetivos de países'!$B$5:$B$510,"Uruguay",'Datos - Objetivos de países'!$F$5:$F$510,Z$3,'Datos - Objetivos de países'!$K$5:$K$510,$A9)</f>
        <v>1</v>
      </c>
      <c r="AA9" s="36" cm="1">
        <f t="array" ref="AA9">_xlfn.COUNTIFS('Datos - Objetivos de países'!$B$5:$B$510,"Uruguay",'Datos - Objetivos de países'!$F$5:$F$510,AA$3,'Datos - Objetivos de países'!$J$5:$J$510,$A9)+_xlfn.COUNTIFS('Datos - Objetivos de países'!$B$5:$B$510,"Uruguay",'Datos - Objetivos de países'!$F$5:$F$510,AA$3,'Datos - Objetivos de países'!$K$5:$K$510,$A9)</f>
        <v>0</v>
      </c>
      <c r="AB9" s="36" cm="1">
        <f t="array" ref="AB9">_xlfn.COUNTIFS('Datos - Objetivos de países'!$B$5:$B$510,"Uruguay",'Datos - Objetivos de países'!$F$5:$F$510,AB$3,'Datos - Objetivos de países'!$J$5:$J$510,$A9)+_xlfn.COUNTIFS('Datos - Objetivos de países'!$B$5:$B$510,"Uruguay",'Datos - Objetivos de países'!$F$5:$F$510,AB$3,'Datos - Objetivos de países'!$K$5:$K$510,$A9)</f>
        <v>0</v>
      </c>
      <c r="AC9" s="36" cm="1">
        <f t="array" ref="AC9">_xlfn.COUNTIFS('Datos - Objetivos de países'!$B$5:$B$510,"Uruguay",'Datos - Objetivos de países'!$F$5:$F$510,AC$3,'Datos - Objetivos de países'!$J$5:$J$510,$A9)+_xlfn.COUNTIFS('Datos - Objetivos de países'!$B$5:$B$510,"Uruguay",'Datos - Objetivos de países'!$F$5:$F$510,AC$3,'Datos - Objetivos de países'!$K$5:$K$510,$A9)</f>
        <v>0</v>
      </c>
      <c r="AD9" s="36" cm="1">
        <f t="array" ref="AD9">_xlfn.COUNTIFS('Datos - Objetivos de países'!$B$5:$B$510,"Uruguay",'Datos - Objetivos de países'!$F$5:$F$510,AD$3,'Datos - Objetivos de países'!$J$5:$J$510,$A9)+_xlfn.COUNTIFS('Datos - Objetivos de países'!$B$5:$B$510,"Uruguay",'Datos - Objetivos de países'!$F$5:$F$510,AD$3,'Datos - Objetivos de países'!$K$5:$K$510,$A9)</f>
        <v>0</v>
      </c>
      <c r="AE9" s="36" cm="1">
        <f t="array" ref="AE9">_xlfn.COUNTIFS('Datos - Objetivos de países'!$B$5:$B$510,"Uruguay",'Datos - Objetivos de países'!$F$5:$F$510,AE$3,'Datos - Objetivos de países'!$J$5:$J$510,$A9)+_xlfn.COUNTIFS('Datos - Objetivos de países'!$B$5:$B$510,"Uruguay",'Datos - Objetivos de países'!$F$5:$F$510,AE$3,'Datos - Objetivos de países'!$K$5:$K$510,$A9)</f>
        <v>0</v>
      </c>
      <c r="AF9" s="36" cm="1">
        <f t="array" ref="AF9">_xlfn.COUNTIFS('Datos - Objetivos de países'!$B$5:$B$510,"Colombia",'Datos - Objetivos de países'!$F$5:$F$510,AF$3,'Datos - Objetivos de países'!$J$5:$J$510,$A9)+_xlfn.COUNTIFS('Datos - Objetivos de países'!$B$5:$B$510,"Colombia",'Datos - Objetivos de países'!$F$5:$F$510,AF$3,'Datos - Objetivos de países'!$K$5:$K$510,$A9)</f>
        <v>3</v>
      </c>
      <c r="AG9" s="36" cm="1">
        <f t="array" ref="AG9">_xlfn.COUNTIFS('Datos - Objetivos de países'!$B$5:$B$510,"Colombia",'Datos - Objetivos de países'!$F$5:$F$510,AG$3,'Datos - Objetivos de países'!$J$5:$J$510,$A9)+_xlfn.COUNTIFS('Datos - Objetivos de países'!$B$5:$B$510,"Colombia",'Datos - Objetivos de países'!$F$5:$F$510,AG$3,'Datos - Objetivos de países'!$K$5:$K$510,$A9)</f>
        <v>1</v>
      </c>
      <c r="AH9" s="36" cm="1">
        <f t="array" ref="AH9">_xlfn.COUNTIFS('Datos - Objetivos de países'!$B$5:$B$510,"Colombia",'Datos - Objetivos de países'!$F$5:$F$510,AH$3,'Datos - Objetivos de países'!$J$5:$J$510,$A9)+_xlfn.COUNTIFS('Datos - Objetivos de países'!$B$5:$B$510,"Colombia",'Datos - Objetivos de países'!$F$5:$F$510,AH$3,'Datos - Objetivos de países'!$K$5:$K$510,$A9)</f>
        <v>0</v>
      </c>
      <c r="AI9" s="36" cm="1">
        <f t="array" ref="AI9">_xlfn.COUNTIFS('Datos - Objetivos de países'!$B$5:$B$510,"Colombia",'Datos - Objetivos de países'!$F$5:$F$510,AI$3,'Datos - Objetivos de países'!$J$5:$J$510,$A9)+_xlfn.COUNTIFS('Datos - Objetivos de países'!$B$5:$B$510,"Colombia",'Datos - Objetivos de países'!$F$5:$F$510,AI$3,'Datos - Objetivos de países'!$K$5:$K$510,$A9)</f>
        <v>0</v>
      </c>
      <c r="AJ9" s="36" cm="1">
        <f t="array" ref="AJ9">_xlfn.COUNTIFS('Datos - Objetivos de países'!$B$5:$B$510,"Colombia",'Datos - Objetivos de países'!$F$5:$F$510,AJ$3,'Datos - Objetivos de países'!$J$5:$J$510,$A9)+_xlfn.COUNTIFS('Datos - Objetivos de países'!$B$5:$B$510,"Colombia",'Datos - Objetivos de países'!$F$5:$F$510,AJ$3,'Datos - Objetivos de países'!$K$5:$K$510,$A9)</f>
        <v>0</v>
      </c>
      <c r="AK9" s="36" cm="1">
        <f t="array" ref="AK9">_xlfn.COUNTIFS('Datos - Objetivos de países'!$B$5:$B$510,"Colombia",'Datos - Objetivos de países'!$F$5:$F$510,AK$3,'Datos - Objetivos de países'!$J$5:$J$510,$A9)+_xlfn.COUNTIFS('Datos - Objetivos de países'!$B$5:$B$510,"Colombia",'Datos - Objetivos de países'!$F$5:$F$510,AK$3,'Datos - Objetivos de países'!$K$5:$K$510,$A9)</f>
        <v>0</v>
      </c>
      <c r="AL9" s="36" cm="1">
        <f t="array" ref="AL9">_xlfn.COUNTIFS('Datos - Objetivos de países'!$B$5:$B$510,"Colombia",'Datos - Objetivos de países'!$F$5:$F$510,AL$3,'Datos - Objetivos de países'!$J$5:$J$510,$A9)+_xlfn.COUNTIFS('Datos - Objetivos de países'!$B$5:$B$510,"Colombia",'Datos - Objetivos de países'!$F$5:$F$510,AL$3,'Datos - Objetivos de países'!$K$5:$K$510,$A9)</f>
        <v>0</v>
      </c>
      <c r="AM9" s="36" cm="1">
        <f t="array" ref="AM9">_xlfn.COUNTIFS('Datos - Objetivos de países'!$B$5:$B$510,"Colombia",'Datos - Objetivos de países'!$F$5:$F$510,AM$3,'Datos - Objetivos de países'!$J$5:$J$510,$A9)+_xlfn.COUNTIFS('Datos - Objetivos de países'!$B$5:$B$510,"Colombia",'Datos - Objetivos de países'!$F$5:$F$510,AM$3,'Datos - Objetivos de países'!$K$5:$K$510,$A9)</f>
        <v>0</v>
      </c>
      <c r="AN9" s="36" cm="1">
        <f t="array" ref="AN9">_xlfn.COUNTIFS('Datos - Objetivos de países'!$B$5:$B$510,"Colombia",'Datos - Objetivos de países'!$F$5:$F$510,AN$3,'Datos - Objetivos de países'!$J$5:$J$510,$A9)+_xlfn.COUNTIFS('Datos - Objetivos de países'!$B$5:$B$510,"Colombia",'Datos - Objetivos de países'!$F$5:$F$510,AN$3,'Datos - Objetivos de países'!$K$5:$K$510,$A9)</f>
        <v>0</v>
      </c>
      <c r="AO9" s="36" cm="1">
        <f t="array" ref="AO9">_xlfn.COUNTIFS('Datos - Objetivos de países'!$B$5:$B$510,"Singapur",'Datos - Objetivos de países'!$F$5:$F$510,AO$3,'Datos - Objetivos de países'!$J$5:$J$510,$A9)+_xlfn.COUNTIFS('Datos - Objetivos de países'!$B$5:$B$510,"Singapur",'Datos - Objetivos de países'!$F$5:$F$510,AO$3,'Datos - Objetivos de países'!$K$5:$K$510,$A9)</f>
        <v>0</v>
      </c>
      <c r="AP9" s="36" cm="1">
        <f t="array" ref="AP9">_xlfn.COUNTIFS('Datos - Objetivos de países'!$B$5:$B$510,"Singapur",'Datos - Objetivos de países'!$F$5:$F$510,AP$3,'Datos - Objetivos de países'!$J$5:$J$510,$A9)+_xlfn.COUNTIFS('Datos - Objetivos de países'!$B$5:$B$510,"Singapur",'Datos - Objetivos de países'!$F$5:$F$510,AP$3,'Datos - Objetivos de países'!$K$5:$K$510,$A9)</f>
        <v>0</v>
      </c>
      <c r="AQ9" s="36" cm="1">
        <f t="array" ref="AQ9">_xlfn.COUNTIFS('Datos - Objetivos de países'!$B$5:$B$510,"Singapur",'Datos - Objetivos de países'!$F$5:$F$510,AQ$3,'Datos - Objetivos de países'!$J$5:$J$510,$A9)+_xlfn.COUNTIFS('Datos - Objetivos de países'!$B$5:$B$510,"Singapur",'Datos - Objetivos de países'!$F$5:$F$510,AQ$3,'Datos - Objetivos de países'!$K$5:$K$510,$A9)</f>
        <v>3</v>
      </c>
      <c r="AR9" s="36" cm="1">
        <f t="array" ref="AR9">_xlfn.COUNTIFS('Datos - Objetivos de países'!$B$5:$B$510,"Singapur",'Datos - Objetivos de países'!$F$5:$F$510,AR$3,'Datos - Objetivos de países'!$J$5:$J$510,$A9)+_xlfn.COUNTIFS('Datos - Objetivos de países'!$B$5:$B$510,"Singapur",'Datos - Objetivos de países'!$F$5:$F$510,AR$3,'Datos - Objetivos de países'!$K$5:$K$510,$A9)</f>
        <v>0</v>
      </c>
      <c r="AS9" s="36" cm="1">
        <f t="array" ref="AS9">_xlfn.COUNTIFS('Datos - Objetivos de países'!$B$5:$B$510,"Singapur",'Datos - Objetivos de países'!$F$5:$F$510,AS$3,'Datos - Objetivos de países'!$J$5:$J$510,$A9)+_xlfn.COUNTIFS('Datos - Objetivos de países'!$B$5:$B$510,"Singapur",'Datos - Objetivos de países'!$F$5:$F$510,AS$3,'Datos - Objetivos de países'!$K$5:$K$510,$A9)</f>
        <v>0</v>
      </c>
      <c r="AT9" s="36" cm="1">
        <f t="array" ref="AT9">_xlfn.COUNTIFS('Datos - Objetivos de países'!$B$5:$B$510,"Singapur",'Datos - Objetivos de países'!$F$5:$F$510,AT$3,'Datos - Objetivos de países'!$J$5:$J$510,$A9)+_xlfn.COUNTIFS('Datos - Objetivos de países'!$B$5:$B$510,"Singapur",'Datos - Objetivos de países'!$F$5:$F$510,AT$3,'Datos - Objetivos de países'!$K$5:$K$510,$A9)</f>
        <v>0</v>
      </c>
      <c r="AU9" s="36" cm="1">
        <f t="array" ref="AU9">_xlfn.COUNTIFS('Datos - Objetivos de países'!$B$5:$B$510,"Singapur",'Datos - Objetivos de países'!$F$5:$F$510,AU$3,'Datos - Objetivos de países'!$J$5:$J$510,$A9)+_xlfn.COUNTIFS('Datos - Objetivos de países'!$B$5:$B$510,"Singapur",'Datos - Objetivos de países'!$F$5:$F$510,AU$3,'Datos - Objetivos de países'!$K$5:$K$510,$A9)</f>
        <v>0</v>
      </c>
      <c r="AV9" s="36" cm="1">
        <f t="array" ref="AV9">_xlfn.COUNTIFS('Datos - Objetivos de países'!$B$5:$B$510,"Singapur",'Datos - Objetivos de países'!$F$5:$F$510,AV$3,'Datos - Objetivos de países'!$J$5:$J$510,$A9)+_xlfn.COUNTIFS('Datos - Objetivos de países'!$B$5:$B$510,"Singapur",'Datos - Objetivos de países'!$F$5:$F$510,AV$3,'Datos - Objetivos de países'!$K$5:$K$510,$A9)</f>
        <v>0</v>
      </c>
      <c r="AW9" s="36" cm="1">
        <f t="array" ref="AW9">_xlfn.COUNTIFS('Datos - Objetivos de países'!$B$5:$B$510,"Singapur",'Datos - Objetivos de países'!$F$5:$F$510,AW$3,'Datos - Objetivos de países'!$J$5:$J$510,$A9)+_xlfn.COUNTIFS('Datos - Objetivos de países'!$B$5:$B$510,"Singapur",'Datos - Objetivos de países'!$F$5:$F$510,AW$3,'Datos - Objetivos de países'!$K$5:$K$510,$A9)</f>
        <v>0</v>
      </c>
    </row>
    <row r="10" ht="13.65" customHeight="1">
      <c r="A10" t="s" s="78">
        <v>1074</v>
      </c>
      <c r="B10" t="s" s="78">
        <v>1055</v>
      </c>
      <c r="C10" t="s" s="78">
        <v>210</v>
      </c>
      <c r="D10" t="s" s="78">
        <v>1075</v>
      </c>
      <c r="E10" t="str" s="79" cm="1">
        <f t="array" ref="E10">_xlfn.IFERROR(MAX($L$3,INDEX($N$3:$V$3,MATCH(TRUE,INDEX(N10:V10&gt;0,0),0))),"—")</f>
        <v>—</v>
      </c>
      <c r="F10" s="80" cm="1">
        <f t="array" ref="F10">_xlfn.IFERROR(MAX($L$3,INDEX($W$3:$AE$3,MATCH(TRUE,INDEX(W10:AE10&gt;0,0),0))),"—")</f>
        <v>3</v>
      </c>
      <c r="G10" s="80" cm="1">
        <f t="array" ref="G10">_xlfn.IFERROR(MAX($L$3,INDEX($AF$3:$AN$3,MATCH(TRUE,INDEX(AF10:AN10&gt;0,0),0))),"—")</f>
        <v>2</v>
      </c>
      <c r="H10" t="str" s="79" cm="1">
        <f t="array" ref="H10">_xlfn.IFERROR(MAX($L$3,INDEX($AO$3:$AW$3,MATCH(TRUE,INDEX(AO10:AW10&gt;0,0),0))),"—")</f>
        <v>—</v>
      </c>
      <c r="I10" s="111" cm="1">
        <f t="array" ref="I10">IF(L10=0,"—",MEDIAN(F10:H10))</f>
        <v>2.5</v>
      </c>
      <c r="J10" t="str" s="79" cm="1">
        <f t="array" ref="J10">IF(OR(E10="—",I10="—"),"—",E10-I10)</f>
        <v>—</v>
      </c>
      <c r="K10" t="str" s="49" cm="1">
        <f t="array" ref="K10">IF(E10="—",IF(L10=0,"Nadie lo trabaja","El Salvador no llega"),IF(L10=0,"Solo El Salvador",IF(J10&gt;0,"El Salvador llega más tarde",IF(J10&lt;0,"El Salvador va adelantado","Mismo grado"))))</f>
        <v>El Salvador no llega</v>
      </c>
      <c r="L10" s="80" cm="1">
        <f t="array" ref="L10">COUNT(F10:H10)</f>
        <v>2</v>
      </c>
      <c r="M10" s="110"/>
      <c r="N10" s="36" cm="1">
        <f t="array" ref="N10">_xlfn.COUNTIFS('Datos - Temas'!$C$5:$C$1264,"Ciencias",'Datos - Temas'!$B$5:$B$1264,N$3,'Datos - Temas'!$K$5:$K$1264,$A10)+_xlfn.COUNTIFS('Datos - Temas'!$C$5:$C$1264,"Ciencias",'Datos - Temas'!$B$5:$B$1264,N$3,'Datos - Temas'!$L$5:$L$1264,$A10)</f>
        <v>0</v>
      </c>
      <c r="O10" s="36" cm="1">
        <f t="array" ref="O10">_xlfn.COUNTIFS('Datos - Temas'!$C$5:$C$1264,"Ciencias",'Datos - Temas'!$B$5:$B$1264,O$3,'Datos - Temas'!$K$5:$K$1264,$A10)+_xlfn.COUNTIFS('Datos - Temas'!$C$5:$C$1264,"Ciencias",'Datos - Temas'!$B$5:$B$1264,O$3,'Datos - Temas'!$L$5:$L$1264,$A10)</f>
        <v>0</v>
      </c>
      <c r="P10" s="36" cm="1">
        <f t="array" ref="P10">_xlfn.COUNTIFS('Datos - Temas'!$C$5:$C$1264,"Ciencias",'Datos - Temas'!$B$5:$B$1264,P$3,'Datos - Temas'!$K$5:$K$1264,$A10)+_xlfn.COUNTIFS('Datos - Temas'!$C$5:$C$1264,"Ciencias",'Datos - Temas'!$B$5:$B$1264,P$3,'Datos - Temas'!$L$5:$L$1264,$A10)</f>
        <v>0</v>
      </c>
      <c r="Q10" s="36" cm="1">
        <f t="array" ref="Q10">_xlfn.COUNTIFS('Datos - Temas'!$C$5:$C$1264,"Ciencias",'Datos - Temas'!$B$5:$B$1264,Q$3,'Datos - Temas'!$K$5:$K$1264,$A10)+_xlfn.COUNTIFS('Datos - Temas'!$C$5:$C$1264,"Ciencias",'Datos - Temas'!$B$5:$B$1264,Q$3,'Datos - Temas'!$L$5:$L$1264,$A10)</f>
        <v>0</v>
      </c>
      <c r="R10" s="36" cm="1">
        <f t="array" ref="R10">_xlfn.COUNTIFS('Datos - Temas'!$C$5:$C$1264,"Ciencias",'Datos - Temas'!$B$5:$B$1264,R$3,'Datos - Temas'!$K$5:$K$1264,$A10)+_xlfn.COUNTIFS('Datos - Temas'!$C$5:$C$1264,"Ciencias",'Datos - Temas'!$B$5:$B$1264,R$3,'Datos - Temas'!$L$5:$L$1264,$A10)</f>
        <v>0</v>
      </c>
      <c r="S10" s="36" cm="1">
        <f t="array" ref="S10">_xlfn.COUNTIFS('Datos - Temas'!$C$5:$C$1264,"Ciencias",'Datos - Temas'!$B$5:$B$1264,S$3,'Datos - Temas'!$K$5:$K$1264,$A10)+_xlfn.COUNTIFS('Datos - Temas'!$C$5:$C$1264,"Ciencias",'Datos - Temas'!$B$5:$B$1264,S$3,'Datos - Temas'!$L$5:$L$1264,$A10)</f>
        <v>0</v>
      </c>
      <c r="T10" s="36" cm="1">
        <f t="array" ref="T10">_xlfn.COUNTIFS('Datos - Temas'!$C$5:$C$1264,"Ciencias",'Datos - Temas'!$B$5:$B$1264,T$3,'Datos - Temas'!$K$5:$K$1264,$A10)+_xlfn.COUNTIFS('Datos - Temas'!$C$5:$C$1264,"Ciencias",'Datos - Temas'!$B$5:$B$1264,T$3,'Datos - Temas'!$L$5:$L$1264,$A10)</f>
        <v>0</v>
      </c>
      <c r="U10" s="36" cm="1">
        <f t="array" ref="U10">_xlfn.COUNTIFS('Datos - Temas'!$C$5:$C$1264,"Ciencias",'Datos - Temas'!$B$5:$B$1264,U$3,'Datos - Temas'!$K$5:$K$1264,$A10)+_xlfn.COUNTIFS('Datos - Temas'!$C$5:$C$1264,"Ciencias",'Datos - Temas'!$B$5:$B$1264,U$3,'Datos - Temas'!$L$5:$L$1264,$A10)</f>
        <v>0</v>
      </c>
      <c r="V10" s="36" cm="1">
        <f t="array" ref="V10">_xlfn.COUNTIFS('Datos - Temas'!$C$5:$C$1264,"Ciencias",'Datos - Temas'!$B$5:$B$1264,V$3,'Datos - Temas'!$K$5:$K$1264,$A10)+_xlfn.COUNTIFS('Datos - Temas'!$C$5:$C$1264,"Ciencias",'Datos - Temas'!$B$5:$B$1264,V$3,'Datos - Temas'!$L$5:$L$1264,$A10)</f>
        <v>0</v>
      </c>
      <c r="W10" s="36" cm="1">
        <f t="array" ref="W10">_xlfn.COUNTIFS('Datos - Objetivos de países'!$B$5:$B$510,"Uruguay",'Datos - Objetivos de países'!$F$5:$F$510,W$3,'Datos - Objetivos de países'!$J$5:$J$510,$A10)+_xlfn.COUNTIFS('Datos - Objetivos de países'!$B$5:$B$510,"Uruguay",'Datos - Objetivos de países'!$F$5:$F$510,W$3,'Datos - Objetivos de países'!$K$5:$K$510,$A10)</f>
        <v>0</v>
      </c>
      <c r="X10" s="36" cm="1">
        <f t="array" ref="X10">_xlfn.COUNTIFS('Datos - Objetivos de países'!$B$5:$B$510,"Uruguay",'Datos - Objetivos de países'!$F$5:$F$510,X$3,'Datos - Objetivos de países'!$J$5:$J$510,$A10)+_xlfn.COUNTIFS('Datos - Objetivos de países'!$B$5:$B$510,"Uruguay",'Datos - Objetivos de países'!$F$5:$F$510,X$3,'Datos - Objetivos de países'!$K$5:$K$510,$A10)</f>
        <v>0</v>
      </c>
      <c r="Y10" s="36" cm="1">
        <f t="array" ref="Y10">_xlfn.COUNTIFS('Datos - Objetivos de países'!$B$5:$B$510,"Uruguay",'Datos - Objetivos de países'!$F$5:$F$510,Y$3,'Datos - Objetivos de países'!$J$5:$J$510,$A10)+_xlfn.COUNTIFS('Datos - Objetivos de países'!$B$5:$B$510,"Uruguay",'Datos - Objetivos de países'!$F$5:$F$510,Y$3,'Datos - Objetivos de países'!$K$5:$K$510,$A10)</f>
        <v>1</v>
      </c>
      <c r="Z10" s="36" cm="1">
        <f t="array" ref="Z10">_xlfn.COUNTIFS('Datos - Objetivos de países'!$B$5:$B$510,"Uruguay",'Datos - Objetivos de países'!$F$5:$F$510,Z$3,'Datos - Objetivos de países'!$J$5:$J$510,$A10)+_xlfn.COUNTIFS('Datos - Objetivos de países'!$B$5:$B$510,"Uruguay",'Datos - Objetivos de países'!$F$5:$F$510,Z$3,'Datos - Objetivos de países'!$K$5:$K$510,$A10)</f>
        <v>2</v>
      </c>
      <c r="AA10" s="36" cm="1">
        <f t="array" ref="AA10">_xlfn.COUNTIFS('Datos - Objetivos de países'!$B$5:$B$510,"Uruguay",'Datos - Objetivos de países'!$F$5:$F$510,AA$3,'Datos - Objetivos de países'!$J$5:$J$510,$A10)+_xlfn.COUNTIFS('Datos - Objetivos de países'!$B$5:$B$510,"Uruguay",'Datos - Objetivos de países'!$F$5:$F$510,AA$3,'Datos - Objetivos de países'!$K$5:$K$510,$A10)</f>
        <v>0</v>
      </c>
      <c r="AB10" s="36" cm="1">
        <f t="array" ref="AB10">_xlfn.COUNTIFS('Datos - Objetivos de países'!$B$5:$B$510,"Uruguay",'Datos - Objetivos de países'!$F$5:$F$510,AB$3,'Datos - Objetivos de países'!$J$5:$J$510,$A10)+_xlfn.COUNTIFS('Datos - Objetivos de países'!$B$5:$B$510,"Uruguay",'Datos - Objetivos de países'!$F$5:$F$510,AB$3,'Datos - Objetivos de países'!$K$5:$K$510,$A10)</f>
        <v>0</v>
      </c>
      <c r="AC10" s="36" cm="1">
        <f t="array" ref="AC10">_xlfn.COUNTIFS('Datos - Objetivos de países'!$B$5:$B$510,"Uruguay",'Datos - Objetivos de países'!$F$5:$F$510,AC$3,'Datos - Objetivos de países'!$J$5:$J$510,$A10)+_xlfn.COUNTIFS('Datos - Objetivos de países'!$B$5:$B$510,"Uruguay",'Datos - Objetivos de países'!$F$5:$F$510,AC$3,'Datos - Objetivos de países'!$K$5:$K$510,$A10)</f>
        <v>0</v>
      </c>
      <c r="AD10" s="36" cm="1">
        <f t="array" ref="AD10">_xlfn.COUNTIFS('Datos - Objetivos de países'!$B$5:$B$510,"Uruguay",'Datos - Objetivos de países'!$F$5:$F$510,AD$3,'Datos - Objetivos de países'!$J$5:$J$510,$A10)+_xlfn.COUNTIFS('Datos - Objetivos de países'!$B$5:$B$510,"Uruguay",'Datos - Objetivos de países'!$F$5:$F$510,AD$3,'Datos - Objetivos de países'!$K$5:$K$510,$A10)</f>
        <v>0</v>
      </c>
      <c r="AE10" s="36" cm="1">
        <f t="array" ref="AE10">_xlfn.COUNTIFS('Datos - Objetivos de países'!$B$5:$B$510,"Uruguay",'Datos - Objetivos de países'!$F$5:$F$510,AE$3,'Datos - Objetivos de países'!$J$5:$J$510,$A10)+_xlfn.COUNTIFS('Datos - Objetivos de países'!$B$5:$B$510,"Uruguay",'Datos - Objetivos de países'!$F$5:$F$510,AE$3,'Datos - Objetivos de países'!$K$5:$K$510,$A10)</f>
        <v>0</v>
      </c>
      <c r="AF10" s="36" cm="1">
        <f t="array" ref="AF10">_xlfn.COUNTIFS('Datos - Objetivos de países'!$B$5:$B$510,"Colombia",'Datos - Objetivos de países'!$F$5:$F$510,AF$3,'Datos - Objetivos de países'!$J$5:$J$510,$A10)+_xlfn.COUNTIFS('Datos - Objetivos de países'!$B$5:$B$510,"Colombia",'Datos - Objetivos de países'!$F$5:$F$510,AF$3,'Datos - Objetivos de países'!$K$5:$K$510,$A10)</f>
        <v>2</v>
      </c>
      <c r="AG10" s="36" cm="1">
        <f t="array" ref="AG10">_xlfn.COUNTIFS('Datos - Objetivos de países'!$B$5:$B$510,"Colombia",'Datos - Objetivos de países'!$F$5:$F$510,AG$3,'Datos - Objetivos de países'!$J$5:$J$510,$A10)+_xlfn.COUNTIFS('Datos - Objetivos de países'!$B$5:$B$510,"Colombia",'Datos - Objetivos de países'!$F$5:$F$510,AG$3,'Datos - Objetivos de países'!$K$5:$K$510,$A10)</f>
        <v>0</v>
      </c>
      <c r="AH10" s="36" cm="1">
        <f t="array" ref="AH10">_xlfn.COUNTIFS('Datos - Objetivos de países'!$B$5:$B$510,"Colombia",'Datos - Objetivos de países'!$F$5:$F$510,AH$3,'Datos - Objetivos de países'!$J$5:$J$510,$A10)+_xlfn.COUNTIFS('Datos - Objetivos de países'!$B$5:$B$510,"Colombia",'Datos - Objetivos de países'!$F$5:$F$510,AH$3,'Datos - Objetivos de países'!$K$5:$K$510,$A10)</f>
        <v>0</v>
      </c>
      <c r="AI10" s="36" cm="1">
        <f t="array" ref="AI10">_xlfn.COUNTIFS('Datos - Objetivos de países'!$B$5:$B$510,"Colombia",'Datos - Objetivos de países'!$F$5:$F$510,AI$3,'Datos - Objetivos de países'!$J$5:$J$510,$A10)+_xlfn.COUNTIFS('Datos - Objetivos de países'!$B$5:$B$510,"Colombia",'Datos - Objetivos de países'!$F$5:$F$510,AI$3,'Datos - Objetivos de países'!$K$5:$K$510,$A10)</f>
        <v>0</v>
      </c>
      <c r="AJ10" s="36" cm="1">
        <f t="array" ref="AJ10">_xlfn.COUNTIFS('Datos - Objetivos de países'!$B$5:$B$510,"Colombia",'Datos - Objetivos de países'!$F$5:$F$510,AJ$3,'Datos - Objetivos de países'!$J$5:$J$510,$A10)+_xlfn.COUNTIFS('Datos - Objetivos de países'!$B$5:$B$510,"Colombia",'Datos - Objetivos de países'!$F$5:$F$510,AJ$3,'Datos - Objetivos de países'!$K$5:$K$510,$A10)</f>
        <v>0</v>
      </c>
      <c r="AK10" s="36" cm="1">
        <f t="array" ref="AK10">_xlfn.COUNTIFS('Datos - Objetivos de países'!$B$5:$B$510,"Colombia",'Datos - Objetivos de países'!$F$5:$F$510,AK$3,'Datos - Objetivos de países'!$J$5:$J$510,$A10)+_xlfn.COUNTIFS('Datos - Objetivos de países'!$B$5:$B$510,"Colombia",'Datos - Objetivos de países'!$F$5:$F$510,AK$3,'Datos - Objetivos de países'!$K$5:$K$510,$A10)</f>
        <v>0</v>
      </c>
      <c r="AL10" s="36" cm="1">
        <f t="array" ref="AL10">_xlfn.COUNTIFS('Datos - Objetivos de países'!$B$5:$B$510,"Colombia",'Datos - Objetivos de países'!$F$5:$F$510,AL$3,'Datos - Objetivos de países'!$J$5:$J$510,$A10)+_xlfn.COUNTIFS('Datos - Objetivos de países'!$B$5:$B$510,"Colombia",'Datos - Objetivos de países'!$F$5:$F$510,AL$3,'Datos - Objetivos de países'!$K$5:$K$510,$A10)</f>
        <v>0</v>
      </c>
      <c r="AM10" s="36" cm="1">
        <f t="array" ref="AM10">_xlfn.COUNTIFS('Datos - Objetivos de países'!$B$5:$B$510,"Colombia",'Datos - Objetivos de países'!$F$5:$F$510,AM$3,'Datos - Objetivos de países'!$J$5:$J$510,$A10)+_xlfn.COUNTIFS('Datos - Objetivos de países'!$B$5:$B$510,"Colombia",'Datos - Objetivos de países'!$F$5:$F$510,AM$3,'Datos - Objetivos de países'!$K$5:$K$510,$A10)</f>
        <v>0</v>
      </c>
      <c r="AN10" s="36" cm="1">
        <f t="array" ref="AN10">_xlfn.COUNTIFS('Datos - Objetivos de países'!$B$5:$B$510,"Colombia",'Datos - Objetivos de países'!$F$5:$F$510,AN$3,'Datos - Objetivos de países'!$J$5:$J$510,$A10)+_xlfn.COUNTIFS('Datos - Objetivos de países'!$B$5:$B$510,"Colombia",'Datos - Objetivos de países'!$F$5:$F$510,AN$3,'Datos - Objetivos de países'!$K$5:$K$510,$A10)</f>
        <v>0</v>
      </c>
      <c r="AO10" s="36" cm="1">
        <f t="array" ref="AO10">_xlfn.COUNTIFS('Datos - Objetivos de países'!$B$5:$B$510,"Singapur",'Datos - Objetivos de países'!$F$5:$F$510,AO$3,'Datos - Objetivos de países'!$J$5:$J$510,$A10)+_xlfn.COUNTIFS('Datos - Objetivos de países'!$B$5:$B$510,"Singapur",'Datos - Objetivos de países'!$F$5:$F$510,AO$3,'Datos - Objetivos de países'!$K$5:$K$510,$A10)</f>
        <v>0</v>
      </c>
      <c r="AP10" s="36" cm="1">
        <f t="array" ref="AP10">_xlfn.COUNTIFS('Datos - Objetivos de países'!$B$5:$B$510,"Singapur",'Datos - Objetivos de países'!$F$5:$F$510,AP$3,'Datos - Objetivos de países'!$J$5:$J$510,$A10)+_xlfn.COUNTIFS('Datos - Objetivos de países'!$B$5:$B$510,"Singapur",'Datos - Objetivos de países'!$F$5:$F$510,AP$3,'Datos - Objetivos de países'!$K$5:$K$510,$A10)</f>
        <v>0</v>
      </c>
      <c r="AQ10" s="36" cm="1">
        <f t="array" ref="AQ10">_xlfn.COUNTIFS('Datos - Objetivos de países'!$B$5:$B$510,"Singapur",'Datos - Objetivos de países'!$F$5:$F$510,AQ$3,'Datos - Objetivos de países'!$J$5:$J$510,$A10)+_xlfn.COUNTIFS('Datos - Objetivos de países'!$B$5:$B$510,"Singapur",'Datos - Objetivos de países'!$F$5:$F$510,AQ$3,'Datos - Objetivos de países'!$K$5:$K$510,$A10)</f>
        <v>0</v>
      </c>
      <c r="AR10" s="36" cm="1">
        <f t="array" ref="AR10">_xlfn.COUNTIFS('Datos - Objetivos de países'!$B$5:$B$510,"Singapur",'Datos - Objetivos de países'!$F$5:$F$510,AR$3,'Datos - Objetivos de países'!$J$5:$J$510,$A10)+_xlfn.COUNTIFS('Datos - Objetivos de países'!$B$5:$B$510,"Singapur",'Datos - Objetivos de países'!$F$5:$F$510,AR$3,'Datos - Objetivos de países'!$K$5:$K$510,$A10)</f>
        <v>0</v>
      </c>
      <c r="AS10" s="36" cm="1">
        <f t="array" ref="AS10">_xlfn.COUNTIFS('Datos - Objetivos de países'!$B$5:$B$510,"Singapur",'Datos - Objetivos de países'!$F$5:$F$510,AS$3,'Datos - Objetivos de países'!$J$5:$J$510,$A10)+_xlfn.COUNTIFS('Datos - Objetivos de países'!$B$5:$B$510,"Singapur",'Datos - Objetivos de países'!$F$5:$F$510,AS$3,'Datos - Objetivos de países'!$K$5:$K$510,$A10)</f>
        <v>0</v>
      </c>
      <c r="AT10" s="36" cm="1">
        <f t="array" ref="AT10">_xlfn.COUNTIFS('Datos - Objetivos de países'!$B$5:$B$510,"Singapur",'Datos - Objetivos de países'!$F$5:$F$510,AT$3,'Datos - Objetivos de países'!$J$5:$J$510,$A10)+_xlfn.COUNTIFS('Datos - Objetivos de países'!$B$5:$B$510,"Singapur",'Datos - Objetivos de países'!$F$5:$F$510,AT$3,'Datos - Objetivos de países'!$K$5:$K$510,$A10)</f>
        <v>0</v>
      </c>
      <c r="AU10" s="36" cm="1">
        <f t="array" ref="AU10">_xlfn.COUNTIFS('Datos - Objetivos de países'!$B$5:$B$510,"Singapur",'Datos - Objetivos de países'!$F$5:$F$510,AU$3,'Datos - Objetivos de países'!$J$5:$J$510,$A10)+_xlfn.COUNTIFS('Datos - Objetivos de países'!$B$5:$B$510,"Singapur",'Datos - Objetivos de países'!$F$5:$F$510,AU$3,'Datos - Objetivos de países'!$K$5:$K$510,$A10)</f>
        <v>0</v>
      </c>
      <c r="AV10" s="36" cm="1">
        <f t="array" ref="AV10">_xlfn.COUNTIFS('Datos - Objetivos de países'!$B$5:$B$510,"Singapur",'Datos - Objetivos de países'!$F$5:$F$510,AV$3,'Datos - Objetivos de países'!$J$5:$J$510,$A10)+_xlfn.COUNTIFS('Datos - Objetivos de países'!$B$5:$B$510,"Singapur",'Datos - Objetivos de países'!$F$5:$F$510,AV$3,'Datos - Objetivos de países'!$K$5:$K$510,$A10)</f>
        <v>0</v>
      </c>
      <c r="AW10" s="36" cm="1">
        <f t="array" ref="AW10">_xlfn.COUNTIFS('Datos - Objetivos de países'!$B$5:$B$510,"Singapur",'Datos - Objetivos de países'!$F$5:$F$510,AW$3,'Datos - Objetivos de países'!$J$5:$J$510,$A10)+_xlfn.COUNTIFS('Datos - Objetivos de países'!$B$5:$B$510,"Singapur",'Datos - Objetivos de países'!$F$5:$F$510,AW$3,'Datos - Objetivos de países'!$K$5:$K$510,$A10)</f>
        <v>0</v>
      </c>
    </row>
    <row r="11" ht="24.65" customHeight="1">
      <c r="A11" t="s" s="78">
        <v>1079</v>
      </c>
      <c r="B11" t="s" s="78">
        <v>1055</v>
      </c>
      <c r="C11" t="s" s="78">
        <v>210</v>
      </c>
      <c r="D11" t="s" s="78">
        <v>1081</v>
      </c>
      <c r="E11" s="80" cm="1">
        <f t="array" ref="E11">_xlfn.IFERROR(MAX($L$3,INDEX($N$3:$V$3,MATCH(TRUE,INDEX(N11:V11&gt;0,0),0))),"—")</f>
        <v>2</v>
      </c>
      <c r="F11" s="80" cm="1">
        <f t="array" ref="F11">_xlfn.IFERROR(MAX($L$3,INDEX($W$3:$AE$3,MATCH(TRUE,INDEX(W11:AE11&gt;0,0),0))),"—")</f>
        <v>3</v>
      </c>
      <c r="G11" s="80" cm="1">
        <f t="array" ref="G11">_xlfn.IFERROR(MAX($L$3,INDEX($AF$3:$AN$3,MATCH(TRUE,INDEX(AF11:AN11&gt;0,0),0))),"—")</f>
        <v>2</v>
      </c>
      <c r="H11" t="str" s="79" cm="1">
        <f t="array" ref="H11">_xlfn.IFERROR(MAX($L$3,INDEX($AO$3:$AW$3,MATCH(TRUE,INDEX(AO11:AW11&gt;0,0),0))),"—")</f>
        <v>—</v>
      </c>
      <c r="I11" s="111" cm="1">
        <f t="array" ref="I11">IF(L11=0,"—",MEDIAN(F11:H11))</f>
        <v>2.5</v>
      </c>
      <c r="J11" s="111" cm="1">
        <f t="array" ref="J11">IF(OR(E11="—",I11="—"),"—",E11-I11)</f>
        <v>-0.5</v>
      </c>
      <c r="K11" t="str" s="49" cm="1">
        <f t="array" ref="K11">IF(E11="—",IF(L11=0,"Nadie lo trabaja","El Salvador no llega"),IF(L11=0,"Solo El Salvador",IF(J11&gt;0,"El Salvador llega más tarde",IF(J11&lt;0,"El Salvador va adelantado","Mismo grado"))))</f>
        <v>El Salvador va adelantado</v>
      </c>
      <c r="L11" s="80" cm="1">
        <f t="array" ref="L11">COUNT(F11:H11)</f>
        <v>2</v>
      </c>
      <c r="M11" s="110"/>
      <c r="N11" s="36" cm="1">
        <f t="array" ref="N11">_xlfn.COUNTIFS('Datos - Temas'!$C$5:$C$1264,"Ciencias",'Datos - Temas'!$B$5:$B$1264,N$3,'Datos - Temas'!$K$5:$K$1264,$A11)+_xlfn.COUNTIFS('Datos - Temas'!$C$5:$C$1264,"Ciencias",'Datos - Temas'!$B$5:$B$1264,N$3,'Datos - Temas'!$L$5:$L$1264,$A11)</f>
        <v>0</v>
      </c>
      <c r="O11" s="36" cm="1">
        <f t="array" ref="O11">_xlfn.COUNTIFS('Datos - Temas'!$C$5:$C$1264,"Ciencias",'Datos - Temas'!$B$5:$B$1264,O$3,'Datos - Temas'!$K$5:$K$1264,$A11)+_xlfn.COUNTIFS('Datos - Temas'!$C$5:$C$1264,"Ciencias",'Datos - Temas'!$B$5:$B$1264,O$3,'Datos - Temas'!$L$5:$L$1264,$A11)</f>
        <v>2</v>
      </c>
      <c r="P11" s="36" cm="1">
        <f t="array" ref="P11">_xlfn.COUNTIFS('Datos - Temas'!$C$5:$C$1264,"Ciencias",'Datos - Temas'!$B$5:$B$1264,P$3,'Datos - Temas'!$K$5:$K$1264,$A11)+_xlfn.COUNTIFS('Datos - Temas'!$C$5:$C$1264,"Ciencias",'Datos - Temas'!$B$5:$B$1264,P$3,'Datos - Temas'!$L$5:$L$1264,$A11)</f>
        <v>0</v>
      </c>
      <c r="Q11" s="36" cm="1">
        <f t="array" ref="Q11">_xlfn.COUNTIFS('Datos - Temas'!$C$5:$C$1264,"Ciencias",'Datos - Temas'!$B$5:$B$1264,Q$3,'Datos - Temas'!$K$5:$K$1264,$A11)+_xlfn.COUNTIFS('Datos - Temas'!$C$5:$C$1264,"Ciencias",'Datos - Temas'!$B$5:$B$1264,Q$3,'Datos - Temas'!$L$5:$L$1264,$A11)</f>
        <v>0</v>
      </c>
      <c r="R11" s="36" cm="1">
        <f t="array" ref="R11">_xlfn.COUNTIFS('Datos - Temas'!$C$5:$C$1264,"Ciencias",'Datos - Temas'!$B$5:$B$1264,R$3,'Datos - Temas'!$K$5:$K$1264,$A11)+_xlfn.COUNTIFS('Datos - Temas'!$C$5:$C$1264,"Ciencias",'Datos - Temas'!$B$5:$B$1264,R$3,'Datos - Temas'!$L$5:$L$1264,$A11)</f>
        <v>0</v>
      </c>
      <c r="S11" s="36" cm="1">
        <f t="array" ref="S11">_xlfn.COUNTIFS('Datos - Temas'!$C$5:$C$1264,"Ciencias",'Datos - Temas'!$B$5:$B$1264,S$3,'Datos - Temas'!$K$5:$K$1264,$A11)+_xlfn.COUNTIFS('Datos - Temas'!$C$5:$C$1264,"Ciencias",'Datos - Temas'!$B$5:$B$1264,S$3,'Datos - Temas'!$L$5:$L$1264,$A11)</f>
        <v>0</v>
      </c>
      <c r="T11" s="36" cm="1">
        <f t="array" ref="T11">_xlfn.COUNTIFS('Datos - Temas'!$C$5:$C$1264,"Ciencias",'Datos - Temas'!$B$5:$B$1264,T$3,'Datos - Temas'!$K$5:$K$1264,$A11)+_xlfn.COUNTIFS('Datos - Temas'!$C$5:$C$1264,"Ciencias",'Datos - Temas'!$B$5:$B$1264,T$3,'Datos - Temas'!$L$5:$L$1264,$A11)</f>
        <v>0</v>
      </c>
      <c r="U11" s="36" cm="1">
        <f t="array" ref="U11">_xlfn.COUNTIFS('Datos - Temas'!$C$5:$C$1264,"Ciencias",'Datos - Temas'!$B$5:$B$1264,U$3,'Datos - Temas'!$K$5:$K$1264,$A11)+_xlfn.COUNTIFS('Datos - Temas'!$C$5:$C$1264,"Ciencias",'Datos - Temas'!$B$5:$B$1264,U$3,'Datos - Temas'!$L$5:$L$1264,$A11)</f>
        <v>0</v>
      </c>
      <c r="V11" s="36" cm="1">
        <f t="array" ref="V11">_xlfn.COUNTIFS('Datos - Temas'!$C$5:$C$1264,"Ciencias",'Datos - Temas'!$B$5:$B$1264,V$3,'Datos - Temas'!$K$5:$K$1264,$A11)+_xlfn.COUNTIFS('Datos - Temas'!$C$5:$C$1264,"Ciencias",'Datos - Temas'!$B$5:$B$1264,V$3,'Datos - Temas'!$L$5:$L$1264,$A11)</f>
        <v>0</v>
      </c>
      <c r="W11" s="36" cm="1">
        <f t="array" ref="W11">_xlfn.COUNTIFS('Datos - Objetivos de países'!$B$5:$B$510,"Uruguay",'Datos - Objetivos de países'!$F$5:$F$510,W$3,'Datos - Objetivos de países'!$J$5:$J$510,$A11)+_xlfn.COUNTIFS('Datos - Objetivos de países'!$B$5:$B$510,"Uruguay",'Datos - Objetivos de países'!$F$5:$F$510,W$3,'Datos - Objetivos de países'!$K$5:$K$510,$A11)</f>
        <v>0</v>
      </c>
      <c r="X11" s="36" cm="1">
        <f t="array" ref="X11">_xlfn.COUNTIFS('Datos - Objetivos de países'!$B$5:$B$510,"Uruguay",'Datos - Objetivos de países'!$F$5:$F$510,X$3,'Datos - Objetivos de países'!$J$5:$J$510,$A11)+_xlfn.COUNTIFS('Datos - Objetivos de países'!$B$5:$B$510,"Uruguay",'Datos - Objetivos de países'!$F$5:$F$510,X$3,'Datos - Objetivos de países'!$K$5:$K$510,$A11)</f>
        <v>0</v>
      </c>
      <c r="Y11" s="36" cm="1">
        <f t="array" ref="Y11">_xlfn.COUNTIFS('Datos - Objetivos de países'!$B$5:$B$510,"Uruguay",'Datos - Objetivos de países'!$F$5:$F$510,Y$3,'Datos - Objetivos de países'!$J$5:$J$510,$A11)+_xlfn.COUNTIFS('Datos - Objetivos de países'!$B$5:$B$510,"Uruguay",'Datos - Objetivos de países'!$F$5:$F$510,Y$3,'Datos - Objetivos de países'!$K$5:$K$510,$A11)</f>
        <v>2</v>
      </c>
      <c r="Z11" s="36" cm="1">
        <f t="array" ref="Z11">_xlfn.COUNTIFS('Datos - Objetivos de países'!$B$5:$B$510,"Uruguay",'Datos - Objetivos de países'!$F$5:$F$510,Z$3,'Datos - Objetivos de países'!$J$5:$J$510,$A11)+_xlfn.COUNTIFS('Datos - Objetivos de países'!$B$5:$B$510,"Uruguay",'Datos - Objetivos de países'!$F$5:$F$510,Z$3,'Datos - Objetivos de países'!$K$5:$K$510,$A11)</f>
        <v>0</v>
      </c>
      <c r="AA11" s="36" cm="1">
        <f t="array" ref="AA11">_xlfn.COUNTIFS('Datos - Objetivos de países'!$B$5:$B$510,"Uruguay",'Datos - Objetivos de países'!$F$5:$F$510,AA$3,'Datos - Objetivos de países'!$J$5:$J$510,$A11)+_xlfn.COUNTIFS('Datos - Objetivos de países'!$B$5:$B$510,"Uruguay",'Datos - Objetivos de países'!$F$5:$F$510,AA$3,'Datos - Objetivos de países'!$K$5:$K$510,$A11)</f>
        <v>0</v>
      </c>
      <c r="AB11" s="36" cm="1">
        <f t="array" ref="AB11">_xlfn.COUNTIFS('Datos - Objetivos de países'!$B$5:$B$510,"Uruguay",'Datos - Objetivos de países'!$F$5:$F$510,AB$3,'Datos - Objetivos de países'!$J$5:$J$510,$A11)+_xlfn.COUNTIFS('Datos - Objetivos de países'!$B$5:$B$510,"Uruguay",'Datos - Objetivos de países'!$F$5:$F$510,AB$3,'Datos - Objetivos de países'!$K$5:$K$510,$A11)</f>
        <v>0</v>
      </c>
      <c r="AC11" s="36" cm="1">
        <f t="array" ref="AC11">_xlfn.COUNTIFS('Datos - Objetivos de países'!$B$5:$B$510,"Uruguay",'Datos - Objetivos de países'!$F$5:$F$510,AC$3,'Datos - Objetivos de países'!$J$5:$J$510,$A11)+_xlfn.COUNTIFS('Datos - Objetivos de países'!$B$5:$B$510,"Uruguay",'Datos - Objetivos de países'!$F$5:$F$510,AC$3,'Datos - Objetivos de países'!$K$5:$K$510,$A11)</f>
        <v>0</v>
      </c>
      <c r="AD11" s="36" cm="1">
        <f t="array" ref="AD11">_xlfn.COUNTIFS('Datos - Objetivos de países'!$B$5:$B$510,"Uruguay",'Datos - Objetivos de países'!$F$5:$F$510,AD$3,'Datos - Objetivos de países'!$J$5:$J$510,$A11)+_xlfn.COUNTIFS('Datos - Objetivos de países'!$B$5:$B$510,"Uruguay",'Datos - Objetivos de países'!$F$5:$F$510,AD$3,'Datos - Objetivos de países'!$K$5:$K$510,$A11)</f>
        <v>0</v>
      </c>
      <c r="AE11" s="36" cm="1">
        <f t="array" ref="AE11">_xlfn.COUNTIFS('Datos - Objetivos de países'!$B$5:$B$510,"Uruguay",'Datos - Objetivos de países'!$F$5:$F$510,AE$3,'Datos - Objetivos de países'!$J$5:$J$510,$A11)+_xlfn.COUNTIFS('Datos - Objetivos de países'!$B$5:$B$510,"Uruguay",'Datos - Objetivos de países'!$F$5:$F$510,AE$3,'Datos - Objetivos de países'!$K$5:$K$510,$A11)</f>
        <v>0</v>
      </c>
      <c r="AF11" s="36" cm="1">
        <f t="array" ref="AF11">_xlfn.COUNTIFS('Datos - Objetivos de países'!$B$5:$B$510,"Colombia",'Datos - Objetivos de países'!$F$5:$F$510,AF$3,'Datos - Objetivos de países'!$J$5:$J$510,$A11)+_xlfn.COUNTIFS('Datos - Objetivos de países'!$B$5:$B$510,"Colombia",'Datos - Objetivos de países'!$F$5:$F$510,AF$3,'Datos - Objetivos de países'!$K$5:$K$510,$A11)</f>
        <v>1</v>
      </c>
      <c r="AG11" s="36" cm="1">
        <f t="array" ref="AG11">_xlfn.COUNTIFS('Datos - Objetivos de países'!$B$5:$B$510,"Colombia",'Datos - Objetivos de países'!$F$5:$F$510,AG$3,'Datos - Objetivos de países'!$J$5:$J$510,$A11)+_xlfn.COUNTIFS('Datos - Objetivos de países'!$B$5:$B$510,"Colombia",'Datos - Objetivos de países'!$F$5:$F$510,AG$3,'Datos - Objetivos de países'!$K$5:$K$510,$A11)</f>
        <v>1</v>
      </c>
      <c r="AH11" s="36" cm="1">
        <f t="array" ref="AH11">_xlfn.COUNTIFS('Datos - Objetivos de países'!$B$5:$B$510,"Colombia",'Datos - Objetivos de países'!$F$5:$F$510,AH$3,'Datos - Objetivos de países'!$J$5:$J$510,$A11)+_xlfn.COUNTIFS('Datos - Objetivos de países'!$B$5:$B$510,"Colombia",'Datos - Objetivos de países'!$F$5:$F$510,AH$3,'Datos - Objetivos de países'!$K$5:$K$510,$A11)</f>
        <v>0</v>
      </c>
      <c r="AI11" s="36" cm="1">
        <f t="array" ref="AI11">_xlfn.COUNTIFS('Datos - Objetivos de países'!$B$5:$B$510,"Colombia",'Datos - Objetivos de países'!$F$5:$F$510,AI$3,'Datos - Objetivos de países'!$J$5:$J$510,$A11)+_xlfn.COUNTIFS('Datos - Objetivos de países'!$B$5:$B$510,"Colombia",'Datos - Objetivos de países'!$F$5:$F$510,AI$3,'Datos - Objetivos de países'!$K$5:$K$510,$A11)</f>
        <v>2</v>
      </c>
      <c r="AJ11" s="36" cm="1">
        <f t="array" ref="AJ11">_xlfn.COUNTIFS('Datos - Objetivos de países'!$B$5:$B$510,"Colombia",'Datos - Objetivos de países'!$F$5:$F$510,AJ$3,'Datos - Objetivos de países'!$J$5:$J$510,$A11)+_xlfn.COUNTIFS('Datos - Objetivos de países'!$B$5:$B$510,"Colombia",'Datos - Objetivos de países'!$F$5:$F$510,AJ$3,'Datos - Objetivos de países'!$K$5:$K$510,$A11)</f>
        <v>0</v>
      </c>
      <c r="AK11" s="36" cm="1">
        <f t="array" ref="AK11">_xlfn.COUNTIFS('Datos - Objetivos de países'!$B$5:$B$510,"Colombia",'Datos - Objetivos de países'!$F$5:$F$510,AK$3,'Datos - Objetivos de países'!$J$5:$J$510,$A11)+_xlfn.COUNTIFS('Datos - Objetivos de países'!$B$5:$B$510,"Colombia",'Datos - Objetivos de países'!$F$5:$F$510,AK$3,'Datos - Objetivos de países'!$K$5:$K$510,$A11)</f>
        <v>0</v>
      </c>
      <c r="AL11" s="36" cm="1">
        <f t="array" ref="AL11">_xlfn.COUNTIFS('Datos - Objetivos de países'!$B$5:$B$510,"Colombia",'Datos - Objetivos de países'!$F$5:$F$510,AL$3,'Datos - Objetivos de países'!$J$5:$J$510,$A11)+_xlfn.COUNTIFS('Datos - Objetivos de países'!$B$5:$B$510,"Colombia",'Datos - Objetivos de países'!$F$5:$F$510,AL$3,'Datos - Objetivos de países'!$K$5:$K$510,$A11)</f>
        <v>0</v>
      </c>
      <c r="AM11" s="36" cm="1">
        <f t="array" ref="AM11">_xlfn.COUNTIFS('Datos - Objetivos de países'!$B$5:$B$510,"Colombia",'Datos - Objetivos de países'!$F$5:$F$510,AM$3,'Datos - Objetivos de países'!$J$5:$J$510,$A11)+_xlfn.COUNTIFS('Datos - Objetivos de países'!$B$5:$B$510,"Colombia",'Datos - Objetivos de países'!$F$5:$F$510,AM$3,'Datos - Objetivos de países'!$K$5:$K$510,$A11)</f>
        <v>0</v>
      </c>
      <c r="AN11" s="36" cm="1">
        <f t="array" ref="AN11">_xlfn.COUNTIFS('Datos - Objetivos de países'!$B$5:$B$510,"Colombia",'Datos - Objetivos de países'!$F$5:$F$510,AN$3,'Datos - Objetivos de países'!$J$5:$J$510,$A11)+_xlfn.COUNTIFS('Datos - Objetivos de países'!$B$5:$B$510,"Colombia",'Datos - Objetivos de países'!$F$5:$F$510,AN$3,'Datos - Objetivos de países'!$K$5:$K$510,$A11)</f>
        <v>0</v>
      </c>
      <c r="AO11" s="36" cm="1">
        <f t="array" ref="AO11">_xlfn.COUNTIFS('Datos - Objetivos de países'!$B$5:$B$510,"Singapur",'Datos - Objetivos de países'!$F$5:$F$510,AO$3,'Datos - Objetivos de países'!$J$5:$J$510,$A11)+_xlfn.COUNTIFS('Datos - Objetivos de países'!$B$5:$B$510,"Singapur",'Datos - Objetivos de países'!$F$5:$F$510,AO$3,'Datos - Objetivos de países'!$K$5:$K$510,$A11)</f>
        <v>0</v>
      </c>
      <c r="AP11" s="36" cm="1">
        <f t="array" ref="AP11">_xlfn.COUNTIFS('Datos - Objetivos de países'!$B$5:$B$510,"Singapur",'Datos - Objetivos de países'!$F$5:$F$510,AP$3,'Datos - Objetivos de países'!$J$5:$J$510,$A11)+_xlfn.COUNTIFS('Datos - Objetivos de países'!$B$5:$B$510,"Singapur",'Datos - Objetivos de países'!$F$5:$F$510,AP$3,'Datos - Objetivos de países'!$K$5:$K$510,$A11)</f>
        <v>0</v>
      </c>
      <c r="AQ11" s="36" cm="1">
        <f t="array" ref="AQ11">_xlfn.COUNTIFS('Datos - Objetivos de países'!$B$5:$B$510,"Singapur",'Datos - Objetivos de países'!$F$5:$F$510,AQ$3,'Datos - Objetivos de países'!$J$5:$J$510,$A11)+_xlfn.COUNTIFS('Datos - Objetivos de países'!$B$5:$B$510,"Singapur",'Datos - Objetivos de países'!$F$5:$F$510,AQ$3,'Datos - Objetivos de países'!$K$5:$K$510,$A11)</f>
        <v>0</v>
      </c>
      <c r="AR11" s="36" cm="1">
        <f t="array" ref="AR11">_xlfn.COUNTIFS('Datos - Objetivos de países'!$B$5:$B$510,"Singapur",'Datos - Objetivos de países'!$F$5:$F$510,AR$3,'Datos - Objetivos de países'!$J$5:$J$510,$A11)+_xlfn.COUNTIFS('Datos - Objetivos de países'!$B$5:$B$510,"Singapur",'Datos - Objetivos de países'!$F$5:$F$510,AR$3,'Datos - Objetivos de países'!$K$5:$K$510,$A11)</f>
        <v>0</v>
      </c>
      <c r="AS11" s="36" cm="1">
        <f t="array" ref="AS11">_xlfn.COUNTIFS('Datos - Objetivos de países'!$B$5:$B$510,"Singapur",'Datos - Objetivos de países'!$F$5:$F$510,AS$3,'Datos - Objetivos de países'!$J$5:$J$510,$A11)+_xlfn.COUNTIFS('Datos - Objetivos de países'!$B$5:$B$510,"Singapur",'Datos - Objetivos de países'!$F$5:$F$510,AS$3,'Datos - Objetivos de países'!$K$5:$K$510,$A11)</f>
        <v>0</v>
      </c>
      <c r="AT11" s="36" cm="1">
        <f t="array" ref="AT11">_xlfn.COUNTIFS('Datos - Objetivos de países'!$B$5:$B$510,"Singapur",'Datos - Objetivos de países'!$F$5:$F$510,AT$3,'Datos - Objetivos de países'!$J$5:$J$510,$A11)+_xlfn.COUNTIFS('Datos - Objetivos de países'!$B$5:$B$510,"Singapur",'Datos - Objetivos de países'!$F$5:$F$510,AT$3,'Datos - Objetivos de países'!$K$5:$K$510,$A11)</f>
        <v>0</v>
      </c>
      <c r="AU11" s="36" cm="1">
        <f t="array" ref="AU11">_xlfn.COUNTIFS('Datos - Objetivos de países'!$B$5:$B$510,"Singapur",'Datos - Objetivos de países'!$F$5:$F$510,AU$3,'Datos - Objetivos de países'!$J$5:$J$510,$A11)+_xlfn.COUNTIFS('Datos - Objetivos de países'!$B$5:$B$510,"Singapur",'Datos - Objetivos de países'!$F$5:$F$510,AU$3,'Datos - Objetivos de países'!$K$5:$K$510,$A11)</f>
        <v>0</v>
      </c>
      <c r="AV11" s="36" cm="1">
        <f t="array" ref="AV11">_xlfn.COUNTIFS('Datos - Objetivos de países'!$B$5:$B$510,"Singapur",'Datos - Objetivos de países'!$F$5:$F$510,AV$3,'Datos - Objetivos de países'!$J$5:$J$510,$A11)+_xlfn.COUNTIFS('Datos - Objetivos de países'!$B$5:$B$510,"Singapur",'Datos - Objetivos de países'!$F$5:$F$510,AV$3,'Datos - Objetivos de países'!$K$5:$K$510,$A11)</f>
        <v>0</v>
      </c>
      <c r="AW11" s="36" cm="1">
        <f t="array" ref="AW11">_xlfn.COUNTIFS('Datos - Objetivos de países'!$B$5:$B$510,"Singapur",'Datos - Objetivos de países'!$F$5:$F$510,AW$3,'Datos - Objetivos de países'!$J$5:$J$510,$A11)+_xlfn.COUNTIFS('Datos - Objetivos de países'!$B$5:$B$510,"Singapur",'Datos - Objetivos de países'!$F$5:$F$510,AW$3,'Datos - Objetivos de países'!$K$5:$K$510,$A11)</f>
        <v>0</v>
      </c>
    </row>
    <row r="12" ht="13.65" customHeight="1">
      <c r="A12" t="s" s="78">
        <v>416</v>
      </c>
      <c r="B12" t="s" s="78">
        <v>1055</v>
      </c>
      <c r="C12" t="s" s="78">
        <v>210</v>
      </c>
      <c r="D12" t="s" s="78">
        <v>1084</v>
      </c>
      <c r="E12" s="80" cm="1">
        <f t="array" ref="E12">_xlfn.IFERROR(MAX($L$3,INDEX($N$3:$V$3,MATCH(TRUE,INDEX(N12:V12&gt;0,0),0))),"—")</f>
        <v>2</v>
      </c>
      <c r="F12" s="80" cm="1">
        <f t="array" ref="F12">_xlfn.IFERROR(MAX($L$3,INDEX($W$3:$AE$3,MATCH(TRUE,INDEX(W12:AE12&gt;0,0),0))),"—")</f>
        <v>3</v>
      </c>
      <c r="G12" s="80" cm="1">
        <f t="array" ref="G12">_xlfn.IFERROR(MAX($L$3,INDEX($AF$3:$AN$3,MATCH(TRUE,INDEX(AF12:AN12&gt;0,0),0))),"—")</f>
        <v>2</v>
      </c>
      <c r="H12" t="str" s="79" cm="1">
        <f t="array" ref="H12">_xlfn.IFERROR(MAX($L$3,INDEX($AO$3:$AW$3,MATCH(TRUE,INDEX(AO12:AW12&gt;0,0),0))),"—")</f>
        <v>—</v>
      </c>
      <c r="I12" s="111" cm="1">
        <f t="array" ref="I12">IF(L12=0,"—",MEDIAN(F12:H12))</f>
        <v>2.5</v>
      </c>
      <c r="J12" s="111" cm="1">
        <f t="array" ref="J12">IF(OR(E12="—",I12="—"),"—",E12-I12)</f>
        <v>-0.5</v>
      </c>
      <c r="K12" t="str" s="49" cm="1">
        <f t="array" ref="K12">IF(E12="—",IF(L12=0,"Nadie lo trabaja","El Salvador no llega"),IF(L12=0,"Solo El Salvador",IF(J12&gt;0,"El Salvador llega más tarde",IF(J12&lt;0,"El Salvador va adelantado","Mismo grado"))))</f>
        <v>El Salvador va adelantado</v>
      </c>
      <c r="L12" s="80" cm="1">
        <f t="array" ref="L12">COUNT(F12:H12)</f>
        <v>2</v>
      </c>
      <c r="M12" s="110"/>
      <c r="N12" s="36" cm="1">
        <f t="array" ref="N12">_xlfn.COUNTIFS('Datos - Temas'!$C$5:$C$1264,"Ciencias",'Datos - Temas'!$B$5:$B$1264,N$3,'Datos - Temas'!$K$5:$K$1264,$A12)+_xlfn.COUNTIFS('Datos - Temas'!$C$5:$C$1264,"Ciencias",'Datos - Temas'!$B$5:$B$1264,N$3,'Datos - Temas'!$L$5:$L$1264,$A12)</f>
        <v>0</v>
      </c>
      <c r="O12" s="36" cm="1">
        <f t="array" ref="O12">_xlfn.COUNTIFS('Datos - Temas'!$C$5:$C$1264,"Ciencias",'Datos - Temas'!$B$5:$B$1264,O$3,'Datos - Temas'!$K$5:$K$1264,$A12)+_xlfn.COUNTIFS('Datos - Temas'!$C$5:$C$1264,"Ciencias",'Datos - Temas'!$B$5:$B$1264,O$3,'Datos - Temas'!$L$5:$L$1264,$A12)</f>
        <v>3</v>
      </c>
      <c r="P12" s="36" cm="1">
        <f t="array" ref="P12">_xlfn.COUNTIFS('Datos - Temas'!$C$5:$C$1264,"Ciencias",'Datos - Temas'!$B$5:$B$1264,P$3,'Datos - Temas'!$K$5:$K$1264,$A12)+_xlfn.COUNTIFS('Datos - Temas'!$C$5:$C$1264,"Ciencias",'Datos - Temas'!$B$5:$B$1264,P$3,'Datos - Temas'!$L$5:$L$1264,$A12)</f>
        <v>0</v>
      </c>
      <c r="Q12" s="36" cm="1">
        <f t="array" ref="Q12">_xlfn.COUNTIFS('Datos - Temas'!$C$5:$C$1264,"Ciencias",'Datos - Temas'!$B$5:$B$1264,Q$3,'Datos - Temas'!$K$5:$K$1264,$A12)+_xlfn.COUNTIFS('Datos - Temas'!$C$5:$C$1264,"Ciencias",'Datos - Temas'!$B$5:$B$1264,Q$3,'Datos - Temas'!$L$5:$L$1264,$A12)</f>
        <v>5</v>
      </c>
      <c r="R12" s="36" cm="1">
        <f t="array" ref="R12">_xlfn.COUNTIFS('Datos - Temas'!$C$5:$C$1264,"Ciencias",'Datos - Temas'!$B$5:$B$1264,R$3,'Datos - Temas'!$K$5:$K$1264,$A12)+_xlfn.COUNTIFS('Datos - Temas'!$C$5:$C$1264,"Ciencias",'Datos - Temas'!$B$5:$B$1264,R$3,'Datos - Temas'!$L$5:$L$1264,$A12)</f>
        <v>0</v>
      </c>
      <c r="S12" s="36" cm="1">
        <f t="array" ref="S12">_xlfn.COUNTIFS('Datos - Temas'!$C$5:$C$1264,"Ciencias",'Datos - Temas'!$B$5:$B$1264,S$3,'Datos - Temas'!$K$5:$K$1264,$A12)+_xlfn.COUNTIFS('Datos - Temas'!$C$5:$C$1264,"Ciencias",'Datos - Temas'!$B$5:$B$1264,S$3,'Datos - Temas'!$L$5:$L$1264,$A12)</f>
        <v>0</v>
      </c>
      <c r="T12" s="36" cm="1">
        <f t="array" ref="T12">_xlfn.COUNTIFS('Datos - Temas'!$C$5:$C$1264,"Ciencias",'Datos - Temas'!$B$5:$B$1264,T$3,'Datos - Temas'!$K$5:$K$1264,$A12)+_xlfn.COUNTIFS('Datos - Temas'!$C$5:$C$1264,"Ciencias",'Datos - Temas'!$B$5:$B$1264,T$3,'Datos - Temas'!$L$5:$L$1264,$A12)</f>
        <v>0</v>
      </c>
      <c r="U12" s="36" cm="1">
        <f t="array" ref="U12">_xlfn.COUNTIFS('Datos - Temas'!$C$5:$C$1264,"Ciencias",'Datos - Temas'!$B$5:$B$1264,U$3,'Datos - Temas'!$K$5:$K$1264,$A12)+_xlfn.COUNTIFS('Datos - Temas'!$C$5:$C$1264,"Ciencias",'Datos - Temas'!$B$5:$B$1264,U$3,'Datos - Temas'!$L$5:$L$1264,$A12)</f>
        <v>0</v>
      </c>
      <c r="V12" s="36" cm="1">
        <f t="array" ref="V12">_xlfn.COUNTIFS('Datos - Temas'!$C$5:$C$1264,"Ciencias",'Datos - Temas'!$B$5:$B$1264,V$3,'Datos - Temas'!$K$5:$K$1264,$A12)+_xlfn.COUNTIFS('Datos - Temas'!$C$5:$C$1264,"Ciencias",'Datos - Temas'!$B$5:$B$1264,V$3,'Datos - Temas'!$L$5:$L$1264,$A12)</f>
        <v>0</v>
      </c>
      <c r="W12" s="36" cm="1">
        <f t="array" ref="W12">_xlfn.COUNTIFS('Datos - Objetivos de países'!$B$5:$B$510,"Uruguay",'Datos - Objetivos de países'!$F$5:$F$510,W$3,'Datos - Objetivos de países'!$J$5:$J$510,$A12)+_xlfn.COUNTIFS('Datos - Objetivos de países'!$B$5:$B$510,"Uruguay",'Datos - Objetivos de países'!$F$5:$F$510,W$3,'Datos - Objetivos de países'!$K$5:$K$510,$A12)</f>
        <v>0</v>
      </c>
      <c r="X12" s="36" cm="1">
        <f t="array" ref="X12">_xlfn.COUNTIFS('Datos - Objetivos de países'!$B$5:$B$510,"Uruguay",'Datos - Objetivos de países'!$F$5:$F$510,X$3,'Datos - Objetivos de países'!$J$5:$J$510,$A12)+_xlfn.COUNTIFS('Datos - Objetivos de países'!$B$5:$B$510,"Uruguay",'Datos - Objetivos de países'!$F$5:$F$510,X$3,'Datos - Objetivos de países'!$K$5:$K$510,$A12)</f>
        <v>0</v>
      </c>
      <c r="Y12" s="36" cm="1">
        <f t="array" ref="Y12">_xlfn.COUNTIFS('Datos - Objetivos de países'!$B$5:$B$510,"Uruguay",'Datos - Objetivos de países'!$F$5:$F$510,Y$3,'Datos - Objetivos de países'!$J$5:$J$510,$A12)+_xlfn.COUNTIFS('Datos - Objetivos de países'!$B$5:$B$510,"Uruguay",'Datos - Objetivos de países'!$F$5:$F$510,Y$3,'Datos - Objetivos de países'!$K$5:$K$510,$A12)</f>
        <v>2</v>
      </c>
      <c r="Z12" s="36" cm="1">
        <f t="array" ref="Z12">_xlfn.COUNTIFS('Datos - Objetivos de países'!$B$5:$B$510,"Uruguay",'Datos - Objetivos de países'!$F$5:$F$510,Z$3,'Datos - Objetivos de países'!$J$5:$J$510,$A12)+_xlfn.COUNTIFS('Datos - Objetivos de países'!$B$5:$B$510,"Uruguay",'Datos - Objetivos de países'!$F$5:$F$510,Z$3,'Datos - Objetivos de países'!$K$5:$K$510,$A12)</f>
        <v>0</v>
      </c>
      <c r="AA12" s="36" cm="1">
        <f t="array" ref="AA12">_xlfn.COUNTIFS('Datos - Objetivos de países'!$B$5:$B$510,"Uruguay",'Datos - Objetivos de países'!$F$5:$F$510,AA$3,'Datos - Objetivos de países'!$J$5:$J$510,$A12)+_xlfn.COUNTIFS('Datos - Objetivos de países'!$B$5:$B$510,"Uruguay",'Datos - Objetivos de países'!$F$5:$F$510,AA$3,'Datos - Objetivos de países'!$K$5:$K$510,$A12)</f>
        <v>0</v>
      </c>
      <c r="AB12" s="36" cm="1">
        <f t="array" ref="AB12">_xlfn.COUNTIFS('Datos - Objetivos de países'!$B$5:$B$510,"Uruguay",'Datos - Objetivos de países'!$F$5:$F$510,AB$3,'Datos - Objetivos de países'!$J$5:$J$510,$A12)+_xlfn.COUNTIFS('Datos - Objetivos de países'!$B$5:$B$510,"Uruguay",'Datos - Objetivos de países'!$F$5:$F$510,AB$3,'Datos - Objetivos de países'!$K$5:$K$510,$A12)</f>
        <v>0</v>
      </c>
      <c r="AC12" s="36" cm="1">
        <f t="array" ref="AC12">_xlfn.COUNTIFS('Datos - Objetivos de países'!$B$5:$B$510,"Uruguay",'Datos - Objetivos de países'!$F$5:$F$510,AC$3,'Datos - Objetivos de países'!$J$5:$J$510,$A12)+_xlfn.COUNTIFS('Datos - Objetivos de países'!$B$5:$B$510,"Uruguay",'Datos - Objetivos de países'!$F$5:$F$510,AC$3,'Datos - Objetivos de países'!$K$5:$K$510,$A12)</f>
        <v>0</v>
      </c>
      <c r="AD12" s="36" cm="1">
        <f t="array" ref="AD12">_xlfn.COUNTIFS('Datos - Objetivos de países'!$B$5:$B$510,"Uruguay",'Datos - Objetivos de países'!$F$5:$F$510,AD$3,'Datos - Objetivos de países'!$J$5:$J$510,$A12)+_xlfn.COUNTIFS('Datos - Objetivos de países'!$B$5:$B$510,"Uruguay",'Datos - Objetivos de países'!$F$5:$F$510,AD$3,'Datos - Objetivos de países'!$K$5:$K$510,$A12)</f>
        <v>0</v>
      </c>
      <c r="AE12" s="36" cm="1">
        <f t="array" ref="AE12">_xlfn.COUNTIFS('Datos - Objetivos de países'!$B$5:$B$510,"Uruguay",'Datos - Objetivos de países'!$F$5:$F$510,AE$3,'Datos - Objetivos de países'!$J$5:$J$510,$A12)+_xlfn.COUNTIFS('Datos - Objetivos de países'!$B$5:$B$510,"Uruguay",'Datos - Objetivos de países'!$F$5:$F$510,AE$3,'Datos - Objetivos de países'!$K$5:$K$510,$A12)</f>
        <v>0</v>
      </c>
      <c r="AF12" s="36" cm="1">
        <f t="array" ref="AF12">_xlfn.COUNTIFS('Datos - Objetivos de países'!$B$5:$B$510,"Colombia",'Datos - Objetivos de países'!$F$5:$F$510,AF$3,'Datos - Objetivos de países'!$J$5:$J$510,$A12)+_xlfn.COUNTIFS('Datos - Objetivos de países'!$B$5:$B$510,"Colombia",'Datos - Objetivos de países'!$F$5:$F$510,AF$3,'Datos - Objetivos de países'!$K$5:$K$510,$A12)</f>
        <v>1</v>
      </c>
      <c r="AG12" s="36" cm="1">
        <f t="array" ref="AG12">_xlfn.COUNTIFS('Datos - Objetivos de países'!$B$5:$B$510,"Colombia",'Datos - Objetivos de países'!$F$5:$F$510,AG$3,'Datos - Objetivos de países'!$J$5:$J$510,$A12)+_xlfn.COUNTIFS('Datos - Objetivos de países'!$B$5:$B$510,"Colombia",'Datos - Objetivos de países'!$F$5:$F$510,AG$3,'Datos - Objetivos de países'!$K$5:$K$510,$A12)</f>
        <v>0</v>
      </c>
      <c r="AH12" s="36" cm="1">
        <f t="array" ref="AH12">_xlfn.COUNTIFS('Datos - Objetivos de países'!$B$5:$B$510,"Colombia",'Datos - Objetivos de países'!$F$5:$F$510,AH$3,'Datos - Objetivos de países'!$J$5:$J$510,$A12)+_xlfn.COUNTIFS('Datos - Objetivos de países'!$B$5:$B$510,"Colombia",'Datos - Objetivos de países'!$F$5:$F$510,AH$3,'Datos - Objetivos de países'!$K$5:$K$510,$A12)</f>
        <v>1</v>
      </c>
      <c r="AI12" s="36" cm="1">
        <f t="array" ref="AI12">_xlfn.COUNTIFS('Datos - Objetivos de países'!$B$5:$B$510,"Colombia",'Datos - Objetivos de países'!$F$5:$F$510,AI$3,'Datos - Objetivos de países'!$J$5:$J$510,$A12)+_xlfn.COUNTIFS('Datos - Objetivos de países'!$B$5:$B$510,"Colombia",'Datos - Objetivos de países'!$F$5:$F$510,AI$3,'Datos - Objetivos de países'!$K$5:$K$510,$A12)</f>
        <v>3</v>
      </c>
      <c r="AJ12" s="36" cm="1">
        <f t="array" ref="AJ12">_xlfn.COUNTIFS('Datos - Objetivos de países'!$B$5:$B$510,"Colombia",'Datos - Objetivos de países'!$F$5:$F$510,AJ$3,'Datos - Objetivos de países'!$J$5:$J$510,$A12)+_xlfn.COUNTIFS('Datos - Objetivos de países'!$B$5:$B$510,"Colombia",'Datos - Objetivos de países'!$F$5:$F$510,AJ$3,'Datos - Objetivos de países'!$K$5:$K$510,$A12)</f>
        <v>0</v>
      </c>
      <c r="AK12" s="36" cm="1">
        <f t="array" ref="AK12">_xlfn.COUNTIFS('Datos - Objetivos de países'!$B$5:$B$510,"Colombia",'Datos - Objetivos de países'!$F$5:$F$510,AK$3,'Datos - Objetivos de países'!$J$5:$J$510,$A12)+_xlfn.COUNTIFS('Datos - Objetivos de países'!$B$5:$B$510,"Colombia",'Datos - Objetivos de países'!$F$5:$F$510,AK$3,'Datos - Objetivos de países'!$K$5:$K$510,$A12)</f>
        <v>0</v>
      </c>
      <c r="AL12" s="36" cm="1">
        <f t="array" ref="AL12">_xlfn.COUNTIFS('Datos - Objetivos de países'!$B$5:$B$510,"Colombia",'Datos - Objetivos de países'!$F$5:$F$510,AL$3,'Datos - Objetivos de países'!$J$5:$J$510,$A12)+_xlfn.COUNTIFS('Datos - Objetivos de países'!$B$5:$B$510,"Colombia",'Datos - Objetivos de países'!$F$5:$F$510,AL$3,'Datos - Objetivos de países'!$K$5:$K$510,$A12)</f>
        <v>0</v>
      </c>
      <c r="AM12" s="36" cm="1">
        <f t="array" ref="AM12">_xlfn.COUNTIFS('Datos - Objetivos de países'!$B$5:$B$510,"Colombia",'Datos - Objetivos de países'!$F$5:$F$510,AM$3,'Datos - Objetivos de países'!$J$5:$J$510,$A12)+_xlfn.COUNTIFS('Datos - Objetivos de países'!$B$5:$B$510,"Colombia",'Datos - Objetivos de países'!$F$5:$F$510,AM$3,'Datos - Objetivos de países'!$K$5:$K$510,$A12)</f>
        <v>0</v>
      </c>
      <c r="AN12" s="36" cm="1">
        <f t="array" ref="AN12">_xlfn.COUNTIFS('Datos - Objetivos de países'!$B$5:$B$510,"Colombia",'Datos - Objetivos de países'!$F$5:$F$510,AN$3,'Datos - Objetivos de países'!$J$5:$J$510,$A12)+_xlfn.COUNTIFS('Datos - Objetivos de países'!$B$5:$B$510,"Colombia",'Datos - Objetivos de países'!$F$5:$F$510,AN$3,'Datos - Objetivos de países'!$K$5:$K$510,$A12)</f>
        <v>0</v>
      </c>
      <c r="AO12" s="36" cm="1">
        <f t="array" ref="AO12">_xlfn.COUNTIFS('Datos - Objetivos de países'!$B$5:$B$510,"Singapur",'Datos - Objetivos de países'!$F$5:$F$510,AO$3,'Datos - Objetivos de países'!$J$5:$J$510,$A12)+_xlfn.COUNTIFS('Datos - Objetivos de países'!$B$5:$B$510,"Singapur",'Datos - Objetivos de países'!$F$5:$F$510,AO$3,'Datos - Objetivos de países'!$K$5:$K$510,$A12)</f>
        <v>0</v>
      </c>
      <c r="AP12" s="36" cm="1">
        <f t="array" ref="AP12">_xlfn.COUNTIFS('Datos - Objetivos de países'!$B$5:$B$510,"Singapur",'Datos - Objetivos de países'!$F$5:$F$510,AP$3,'Datos - Objetivos de países'!$J$5:$J$510,$A12)+_xlfn.COUNTIFS('Datos - Objetivos de países'!$B$5:$B$510,"Singapur",'Datos - Objetivos de países'!$F$5:$F$510,AP$3,'Datos - Objetivos de países'!$K$5:$K$510,$A12)</f>
        <v>0</v>
      </c>
      <c r="AQ12" s="36" cm="1">
        <f t="array" ref="AQ12">_xlfn.COUNTIFS('Datos - Objetivos de países'!$B$5:$B$510,"Singapur",'Datos - Objetivos de países'!$F$5:$F$510,AQ$3,'Datos - Objetivos de países'!$J$5:$J$510,$A12)+_xlfn.COUNTIFS('Datos - Objetivos de países'!$B$5:$B$510,"Singapur",'Datos - Objetivos de países'!$F$5:$F$510,AQ$3,'Datos - Objetivos de países'!$K$5:$K$510,$A12)</f>
        <v>0</v>
      </c>
      <c r="AR12" s="36" cm="1">
        <f t="array" ref="AR12">_xlfn.COUNTIFS('Datos - Objetivos de países'!$B$5:$B$510,"Singapur",'Datos - Objetivos de países'!$F$5:$F$510,AR$3,'Datos - Objetivos de países'!$J$5:$J$510,$A12)+_xlfn.COUNTIFS('Datos - Objetivos de países'!$B$5:$B$510,"Singapur",'Datos - Objetivos de países'!$F$5:$F$510,AR$3,'Datos - Objetivos de países'!$K$5:$K$510,$A12)</f>
        <v>0</v>
      </c>
      <c r="AS12" s="36" cm="1">
        <f t="array" ref="AS12">_xlfn.COUNTIFS('Datos - Objetivos de países'!$B$5:$B$510,"Singapur",'Datos - Objetivos de países'!$F$5:$F$510,AS$3,'Datos - Objetivos de países'!$J$5:$J$510,$A12)+_xlfn.COUNTIFS('Datos - Objetivos de países'!$B$5:$B$510,"Singapur",'Datos - Objetivos de países'!$F$5:$F$510,AS$3,'Datos - Objetivos de países'!$K$5:$K$510,$A12)</f>
        <v>0</v>
      </c>
      <c r="AT12" s="36" cm="1">
        <f t="array" ref="AT12">_xlfn.COUNTIFS('Datos - Objetivos de países'!$B$5:$B$510,"Singapur",'Datos - Objetivos de países'!$F$5:$F$510,AT$3,'Datos - Objetivos de países'!$J$5:$J$510,$A12)+_xlfn.COUNTIFS('Datos - Objetivos de países'!$B$5:$B$510,"Singapur",'Datos - Objetivos de países'!$F$5:$F$510,AT$3,'Datos - Objetivos de países'!$K$5:$K$510,$A12)</f>
        <v>0</v>
      </c>
      <c r="AU12" s="36" cm="1">
        <f t="array" ref="AU12">_xlfn.COUNTIFS('Datos - Objetivos de países'!$B$5:$B$510,"Singapur",'Datos - Objetivos de países'!$F$5:$F$510,AU$3,'Datos - Objetivos de países'!$J$5:$J$510,$A12)+_xlfn.COUNTIFS('Datos - Objetivos de países'!$B$5:$B$510,"Singapur",'Datos - Objetivos de países'!$F$5:$F$510,AU$3,'Datos - Objetivos de países'!$K$5:$K$510,$A12)</f>
        <v>0</v>
      </c>
      <c r="AV12" s="36" cm="1">
        <f t="array" ref="AV12">_xlfn.COUNTIFS('Datos - Objetivos de países'!$B$5:$B$510,"Singapur",'Datos - Objetivos de países'!$F$5:$F$510,AV$3,'Datos - Objetivos de países'!$J$5:$J$510,$A12)+_xlfn.COUNTIFS('Datos - Objetivos de países'!$B$5:$B$510,"Singapur",'Datos - Objetivos de países'!$F$5:$F$510,AV$3,'Datos - Objetivos de países'!$K$5:$K$510,$A12)</f>
        <v>0</v>
      </c>
      <c r="AW12" s="36" cm="1">
        <f t="array" ref="AW12">_xlfn.COUNTIFS('Datos - Objetivos de países'!$B$5:$B$510,"Singapur",'Datos - Objetivos de países'!$F$5:$F$510,AW$3,'Datos - Objetivos de países'!$J$5:$J$510,$A12)+_xlfn.COUNTIFS('Datos - Objetivos de países'!$B$5:$B$510,"Singapur",'Datos - Objetivos de países'!$F$5:$F$510,AW$3,'Datos - Objetivos de países'!$K$5:$K$510,$A12)</f>
        <v>0</v>
      </c>
    </row>
    <row r="13" ht="13.65" customHeight="1">
      <c r="A13" t="s" s="78">
        <v>1086</v>
      </c>
      <c r="B13" t="s" s="78">
        <v>1055</v>
      </c>
      <c r="C13" t="s" s="78">
        <v>210</v>
      </c>
      <c r="D13" t="s" s="78">
        <v>1087</v>
      </c>
      <c r="E13" s="80" cm="1">
        <f t="array" ref="E13">_xlfn.IFERROR(MAX($L$3,INDEX($N$3:$V$3,MATCH(TRUE,INDEX(N13:V13&gt;0,0),0))),"—")</f>
        <v>3</v>
      </c>
      <c r="F13" s="80" cm="1">
        <f t="array" ref="F13">_xlfn.IFERROR(MAX($L$3,INDEX($W$3:$AE$3,MATCH(TRUE,INDEX(W13:AE13&gt;0,0),0))),"—")</f>
        <v>3</v>
      </c>
      <c r="G13" s="80" cm="1">
        <f t="array" ref="G13">_xlfn.IFERROR(MAX($L$3,INDEX($AF$3:$AN$3,MATCH(TRUE,INDEX(AF13:AN13&gt;0,0),0))),"—")</f>
        <v>3</v>
      </c>
      <c r="H13" t="str" s="79" cm="1">
        <f t="array" ref="H13">_xlfn.IFERROR(MAX($L$3,INDEX($AO$3:$AW$3,MATCH(TRUE,INDEX(AO13:AW13&gt;0,0),0))),"—")</f>
        <v>—</v>
      </c>
      <c r="I13" s="111" cm="1">
        <f t="array" ref="I13">IF(L13=0,"—",MEDIAN(F13:H13))</f>
        <v>3</v>
      </c>
      <c r="J13" s="111" cm="1">
        <f t="array" ref="J13">IF(OR(E13="—",I13="—"),"—",E13-I13)</f>
        <v>0</v>
      </c>
      <c r="K13" t="str" s="49" cm="1">
        <f t="array" ref="K13">IF(E13="—",IF(L13=0,"Nadie lo trabaja","El Salvador no llega"),IF(L13=0,"Solo El Salvador",IF(J13&gt;0,"El Salvador llega más tarde",IF(J13&lt;0,"El Salvador va adelantado","Mismo grado"))))</f>
        <v>Mismo grado</v>
      </c>
      <c r="L13" s="80" cm="1">
        <f t="array" ref="L13">COUNT(F13:H13)</f>
        <v>2</v>
      </c>
      <c r="M13" s="110"/>
      <c r="N13" s="36" cm="1">
        <f t="array" ref="N13">_xlfn.COUNTIFS('Datos - Temas'!$C$5:$C$1264,"Ciencias",'Datos - Temas'!$B$5:$B$1264,N$3,'Datos - Temas'!$K$5:$K$1264,$A13)+_xlfn.COUNTIFS('Datos - Temas'!$C$5:$C$1264,"Ciencias",'Datos - Temas'!$B$5:$B$1264,N$3,'Datos - Temas'!$L$5:$L$1264,$A13)</f>
        <v>0</v>
      </c>
      <c r="O13" s="36" cm="1">
        <f t="array" ref="O13">_xlfn.COUNTIFS('Datos - Temas'!$C$5:$C$1264,"Ciencias",'Datos - Temas'!$B$5:$B$1264,O$3,'Datos - Temas'!$K$5:$K$1264,$A13)+_xlfn.COUNTIFS('Datos - Temas'!$C$5:$C$1264,"Ciencias",'Datos - Temas'!$B$5:$B$1264,O$3,'Datos - Temas'!$L$5:$L$1264,$A13)</f>
        <v>0</v>
      </c>
      <c r="P13" s="36" cm="1">
        <f t="array" ref="P13">_xlfn.COUNTIFS('Datos - Temas'!$C$5:$C$1264,"Ciencias",'Datos - Temas'!$B$5:$B$1264,P$3,'Datos - Temas'!$K$5:$K$1264,$A13)+_xlfn.COUNTIFS('Datos - Temas'!$C$5:$C$1264,"Ciencias",'Datos - Temas'!$B$5:$B$1264,P$3,'Datos - Temas'!$L$5:$L$1264,$A13)</f>
        <v>1</v>
      </c>
      <c r="Q13" s="36" cm="1">
        <f t="array" ref="Q13">_xlfn.COUNTIFS('Datos - Temas'!$C$5:$C$1264,"Ciencias",'Datos - Temas'!$B$5:$B$1264,Q$3,'Datos - Temas'!$K$5:$K$1264,$A13)+_xlfn.COUNTIFS('Datos - Temas'!$C$5:$C$1264,"Ciencias",'Datos - Temas'!$B$5:$B$1264,Q$3,'Datos - Temas'!$L$5:$L$1264,$A13)</f>
        <v>4</v>
      </c>
      <c r="R13" s="36" cm="1">
        <f t="array" ref="R13">_xlfn.COUNTIFS('Datos - Temas'!$C$5:$C$1264,"Ciencias",'Datos - Temas'!$B$5:$B$1264,R$3,'Datos - Temas'!$K$5:$K$1264,$A13)+_xlfn.COUNTIFS('Datos - Temas'!$C$5:$C$1264,"Ciencias",'Datos - Temas'!$B$5:$B$1264,R$3,'Datos - Temas'!$L$5:$L$1264,$A13)</f>
        <v>0</v>
      </c>
      <c r="S13" s="36" cm="1">
        <f t="array" ref="S13">_xlfn.COUNTIFS('Datos - Temas'!$C$5:$C$1264,"Ciencias",'Datos - Temas'!$B$5:$B$1264,S$3,'Datos - Temas'!$K$5:$K$1264,$A13)+_xlfn.COUNTIFS('Datos - Temas'!$C$5:$C$1264,"Ciencias",'Datos - Temas'!$B$5:$B$1264,S$3,'Datos - Temas'!$L$5:$L$1264,$A13)</f>
        <v>0</v>
      </c>
      <c r="T13" s="36" cm="1">
        <f t="array" ref="T13">_xlfn.COUNTIFS('Datos - Temas'!$C$5:$C$1264,"Ciencias",'Datos - Temas'!$B$5:$B$1264,T$3,'Datos - Temas'!$K$5:$K$1264,$A13)+_xlfn.COUNTIFS('Datos - Temas'!$C$5:$C$1264,"Ciencias",'Datos - Temas'!$B$5:$B$1264,T$3,'Datos - Temas'!$L$5:$L$1264,$A13)</f>
        <v>0</v>
      </c>
      <c r="U13" s="36" cm="1">
        <f t="array" ref="U13">_xlfn.COUNTIFS('Datos - Temas'!$C$5:$C$1264,"Ciencias",'Datos - Temas'!$B$5:$B$1264,U$3,'Datos - Temas'!$K$5:$K$1264,$A13)+_xlfn.COUNTIFS('Datos - Temas'!$C$5:$C$1264,"Ciencias",'Datos - Temas'!$B$5:$B$1264,U$3,'Datos - Temas'!$L$5:$L$1264,$A13)</f>
        <v>0</v>
      </c>
      <c r="V13" s="36" cm="1">
        <f t="array" ref="V13">_xlfn.COUNTIFS('Datos - Temas'!$C$5:$C$1264,"Ciencias",'Datos - Temas'!$B$5:$B$1264,V$3,'Datos - Temas'!$K$5:$K$1264,$A13)+_xlfn.COUNTIFS('Datos - Temas'!$C$5:$C$1264,"Ciencias",'Datos - Temas'!$B$5:$B$1264,V$3,'Datos - Temas'!$L$5:$L$1264,$A13)</f>
        <v>0</v>
      </c>
      <c r="W13" s="36" cm="1">
        <f t="array" ref="W13">_xlfn.COUNTIFS('Datos - Objetivos de países'!$B$5:$B$510,"Uruguay",'Datos - Objetivos de países'!$F$5:$F$510,W$3,'Datos - Objetivos de países'!$J$5:$J$510,$A13)+_xlfn.COUNTIFS('Datos - Objetivos de países'!$B$5:$B$510,"Uruguay",'Datos - Objetivos de países'!$F$5:$F$510,W$3,'Datos - Objetivos de países'!$K$5:$K$510,$A13)</f>
        <v>0</v>
      </c>
      <c r="X13" s="36" cm="1">
        <f t="array" ref="X13">_xlfn.COUNTIFS('Datos - Objetivos de países'!$B$5:$B$510,"Uruguay",'Datos - Objetivos de países'!$F$5:$F$510,X$3,'Datos - Objetivos de países'!$J$5:$J$510,$A13)+_xlfn.COUNTIFS('Datos - Objetivos de países'!$B$5:$B$510,"Uruguay",'Datos - Objetivos de países'!$F$5:$F$510,X$3,'Datos - Objetivos de países'!$K$5:$K$510,$A13)</f>
        <v>0</v>
      </c>
      <c r="Y13" s="36" cm="1">
        <f t="array" ref="Y13">_xlfn.COUNTIFS('Datos - Objetivos de países'!$B$5:$B$510,"Uruguay",'Datos - Objetivos de países'!$F$5:$F$510,Y$3,'Datos - Objetivos de países'!$J$5:$J$510,$A13)+_xlfn.COUNTIFS('Datos - Objetivos de países'!$B$5:$B$510,"Uruguay",'Datos - Objetivos de países'!$F$5:$F$510,Y$3,'Datos - Objetivos de países'!$K$5:$K$510,$A13)</f>
        <v>2</v>
      </c>
      <c r="Z13" s="36" cm="1">
        <f t="array" ref="Z13">_xlfn.COUNTIFS('Datos - Objetivos de países'!$B$5:$B$510,"Uruguay",'Datos - Objetivos de países'!$F$5:$F$510,Z$3,'Datos - Objetivos de países'!$J$5:$J$510,$A13)+_xlfn.COUNTIFS('Datos - Objetivos de países'!$B$5:$B$510,"Uruguay",'Datos - Objetivos de países'!$F$5:$F$510,Z$3,'Datos - Objetivos de países'!$K$5:$K$510,$A13)</f>
        <v>0</v>
      </c>
      <c r="AA13" s="36" cm="1">
        <f t="array" ref="AA13">_xlfn.COUNTIFS('Datos - Objetivos de países'!$B$5:$B$510,"Uruguay",'Datos - Objetivos de países'!$F$5:$F$510,AA$3,'Datos - Objetivos de países'!$J$5:$J$510,$A13)+_xlfn.COUNTIFS('Datos - Objetivos de países'!$B$5:$B$510,"Uruguay",'Datos - Objetivos de países'!$F$5:$F$510,AA$3,'Datos - Objetivos de países'!$K$5:$K$510,$A13)</f>
        <v>0</v>
      </c>
      <c r="AB13" s="36" cm="1">
        <f t="array" ref="AB13">_xlfn.COUNTIFS('Datos - Objetivos de países'!$B$5:$B$510,"Uruguay",'Datos - Objetivos de países'!$F$5:$F$510,AB$3,'Datos - Objetivos de países'!$J$5:$J$510,$A13)+_xlfn.COUNTIFS('Datos - Objetivos de países'!$B$5:$B$510,"Uruguay",'Datos - Objetivos de países'!$F$5:$F$510,AB$3,'Datos - Objetivos de países'!$K$5:$K$510,$A13)</f>
        <v>0</v>
      </c>
      <c r="AC13" s="36" cm="1">
        <f t="array" ref="AC13">_xlfn.COUNTIFS('Datos - Objetivos de países'!$B$5:$B$510,"Uruguay",'Datos - Objetivos de países'!$F$5:$F$510,AC$3,'Datos - Objetivos de países'!$J$5:$J$510,$A13)+_xlfn.COUNTIFS('Datos - Objetivos de países'!$B$5:$B$510,"Uruguay",'Datos - Objetivos de países'!$F$5:$F$510,AC$3,'Datos - Objetivos de países'!$K$5:$K$510,$A13)</f>
        <v>0</v>
      </c>
      <c r="AD13" s="36" cm="1">
        <f t="array" ref="AD13">_xlfn.COUNTIFS('Datos - Objetivos de países'!$B$5:$B$510,"Uruguay",'Datos - Objetivos de países'!$F$5:$F$510,AD$3,'Datos - Objetivos de países'!$J$5:$J$510,$A13)+_xlfn.COUNTIFS('Datos - Objetivos de países'!$B$5:$B$510,"Uruguay",'Datos - Objetivos de países'!$F$5:$F$510,AD$3,'Datos - Objetivos de países'!$K$5:$K$510,$A13)</f>
        <v>0</v>
      </c>
      <c r="AE13" s="36" cm="1">
        <f t="array" ref="AE13">_xlfn.COUNTIFS('Datos - Objetivos de países'!$B$5:$B$510,"Uruguay",'Datos - Objetivos de países'!$F$5:$F$510,AE$3,'Datos - Objetivos de países'!$J$5:$J$510,$A13)+_xlfn.COUNTIFS('Datos - Objetivos de países'!$B$5:$B$510,"Uruguay",'Datos - Objetivos de países'!$F$5:$F$510,AE$3,'Datos - Objetivos de países'!$K$5:$K$510,$A13)</f>
        <v>0</v>
      </c>
      <c r="AF13" s="36" cm="1">
        <f t="array" ref="AF13">_xlfn.COUNTIFS('Datos - Objetivos de países'!$B$5:$B$510,"Colombia",'Datos - Objetivos de países'!$F$5:$F$510,AF$3,'Datos - Objetivos de países'!$J$5:$J$510,$A13)+_xlfn.COUNTIFS('Datos - Objetivos de países'!$B$5:$B$510,"Colombia",'Datos - Objetivos de países'!$F$5:$F$510,AF$3,'Datos - Objetivos de países'!$K$5:$K$510,$A13)</f>
        <v>0</v>
      </c>
      <c r="AG13" s="36" cm="1">
        <f t="array" ref="AG13">_xlfn.COUNTIFS('Datos - Objetivos de países'!$B$5:$B$510,"Colombia",'Datos - Objetivos de países'!$F$5:$F$510,AG$3,'Datos - Objetivos de países'!$J$5:$J$510,$A13)+_xlfn.COUNTIFS('Datos - Objetivos de países'!$B$5:$B$510,"Colombia",'Datos - Objetivos de países'!$F$5:$F$510,AG$3,'Datos - Objetivos de países'!$K$5:$K$510,$A13)</f>
        <v>0</v>
      </c>
      <c r="AH13" s="36" cm="1">
        <f t="array" ref="AH13">_xlfn.COUNTIFS('Datos - Objetivos de países'!$B$5:$B$510,"Colombia",'Datos - Objetivos de países'!$F$5:$F$510,AH$3,'Datos - Objetivos de países'!$J$5:$J$510,$A13)+_xlfn.COUNTIFS('Datos - Objetivos de países'!$B$5:$B$510,"Colombia",'Datos - Objetivos de países'!$F$5:$F$510,AH$3,'Datos - Objetivos de países'!$K$5:$K$510,$A13)</f>
        <v>1</v>
      </c>
      <c r="AI13" s="36" cm="1">
        <f t="array" ref="AI13">_xlfn.COUNTIFS('Datos - Objetivos de países'!$B$5:$B$510,"Colombia",'Datos - Objetivos de países'!$F$5:$F$510,AI$3,'Datos - Objetivos de países'!$J$5:$J$510,$A13)+_xlfn.COUNTIFS('Datos - Objetivos de países'!$B$5:$B$510,"Colombia",'Datos - Objetivos de países'!$F$5:$F$510,AI$3,'Datos - Objetivos de países'!$K$5:$K$510,$A13)</f>
        <v>2</v>
      </c>
      <c r="AJ13" s="36" cm="1">
        <f t="array" ref="AJ13">_xlfn.COUNTIFS('Datos - Objetivos de países'!$B$5:$B$510,"Colombia",'Datos - Objetivos de países'!$F$5:$F$510,AJ$3,'Datos - Objetivos de países'!$J$5:$J$510,$A13)+_xlfn.COUNTIFS('Datos - Objetivos de países'!$B$5:$B$510,"Colombia",'Datos - Objetivos de países'!$F$5:$F$510,AJ$3,'Datos - Objetivos de países'!$K$5:$K$510,$A13)</f>
        <v>0</v>
      </c>
      <c r="AK13" s="36" cm="1">
        <f t="array" ref="AK13">_xlfn.COUNTIFS('Datos - Objetivos de países'!$B$5:$B$510,"Colombia",'Datos - Objetivos de países'!$F$5:$F$510,AK$3,'Datos - Objetivos de países'!$J$5:$J$510,$A13)+_xlfn.COUNTIFS('Datos - Objetivos de países'!$B$5:$B$510,"Colombia",'Datos - Objetivos de países'!$F$5:$F$510,AK$3,'Datos - Objetivos de países'!$K$5:$K$510,$A13)</f>
        <v>0</v>
      </c>
      <c r="AL13" s="36" cm="1">
        <f t="array" ref="AL13">_xlfn.COUNTIFS('Datos - Objetivos de países'!$B$5:$B$510,"Colombia",'Datos - Objetivos de países'!$F$5:$F$510,AL$3,'Datos - Objetivos de países'!$J$5:$J$510,$A13)+_xlfn.COUNTIFS('Datos - Objetivos de países'!$B$5:$B$510,"Colombia",'Datos - Objetivos de países'!$F$5:$F$510,AL$3,'Datos - Objetivos de países'!$K$5:$K$510,$A13)</f>
        <v>0</v>
      </c>
      <c r="AM13" s="36" cm="1">
        <f t="array" ref="AM13">_xlfn.COUNTIFS('Datos - Objetivos de países'!$B$5:$B$510,"Colombia",'Datos - Objetivos de países'!$F$5:$F$510,AM$3,'Datos - Objetivos de países'!$J$5:$J$510,$A13)+_xlfn.COUNTIFS('Datos - Objetivos de países'!$B$5:$B$510,"Colombia",'Datos - Objetivos de países'!$F$5:$F$510,AM$3,'Datos - Objetivos de países'!$K$5:$K$510,$A13)</f>
        <v>0</v>
      </c>
      <c r="AN13" s="36" cm="1">
        <f t="array" ref="AN13">_xlfn.COUNTIFS('Datos - Objetivos de países'!$B$5:$B$510,"Colombia",'Datos - Objetivos de países'!$F$5:$F$510,AN$3,'Datos - Objetivos de países'!$J$5:$J$510,$A13)+_xlfn.COUNTIFS('Datos - Objetivos de países'!$B$5:$B$510,"Colombia",'Datos - Objetivos de países'!$F$5:$F$510,AN$3,'Datos - Objetivos de países'!$K$5:$K$510,$A13)</f>
        <v>0</v>
      </c>
      <c r="AO13" s="36" cm="1">
        <f t="array" ref="AO13">_xlfn.COUNTIFS('Datos - Objetivos de países'!$B$5:$B$510,"Singapur",'Datos - Objetivos de países'!$F$5:$F$510,AO$3,'Datos - Objetivos de países'!$J$5:$J$510,$A13)+_xlfn.COUNTIFS('Datos - Objetivos de países'!$B$5:$B$510,"Singapur",'Datos - Objetivos de países'!$F$5:$F$510,AO$3,'Datos - Objetivos de países'!$K$5:$K$510,$A13)</f>
        <v>0</v>
      </c>
      <c r="AP13" s="36" cm="1">
        <f t="array" ref="AP13">_xlfn.COUNTIFS('Datos - Objetivos de países'!$B$5:$B$510,"Singapur",'Datos - Objetivos de países'!$F$5:$F$510,AP$3,'Datos - Objetivos de países'!$J$5:$J$510,$A13)+_xlfn.COUNTIFS('Datos - Objetivos de países'!$B$5:$B$510,"Singapur",'Datos - Objetivos de países'!$F$5:$F$510,AP$3,'Datos - Objetivos de países'!$K$5:$K$510,$A13)</f>
        <v>0</v>
      </c>
      <c r="AQ13" s="36" cm="1">
        <f t="array" ref="AQ13">_xlfn.COUNTIFS('Datos - Objetivos de países'!$B$5:$B$510,"Singapur",'Datos - Objetivos de países'!$F$5:$F$510,AQ$3,'Datos - Objetivos de países'!$J$5:$J$510,$A13)+_xlfn.COUNTIFS('Datos - Objetivos de países'!$B$5:$B$510,"Singapur",'Datos - Objetivos de países'!$F$5:$F$510,AQ$3,'Datos - Objetivos de países'!$K$5:$K$510,$A13)</f>
        <v>0</v>
      </c>
      <c r="AR13" s="36" cm="1">
        <f t="array" ref="AR13">_xlfn.COUNTIFS('Datos - Objetivos de países'!$B$5:$B$510,"Singapur",'Datos - Objetivos de países'!$F$5:$F$510,AR$3,'Datos - Objetivos de países'!$J$5:$J$510,$A13)+_xlfn.COUNTIFS('Datos - Objetivos de países'!$B$5:$B$510,"Singapur",'Datos - Objetivos de países'!$F$5:$F$510,AR$3,'Datos - Objetivos de países'!$K$5:$K$510,$A13)</f>
        <v>0</v>
      </c>
      <c r="AS13" s="36" cm="1">
        <f t="array" ref="AS13">_xlfn.COUNTIFS('Datos - Objetivos de países'!$B$5:$B$510,"Singapur",'Datos - Objetivos de países'!$F$5:$F$510,AS$3,'Datos - Objetivos de países'!$J$5:$J$510,$A13)+_xlfn.COUNTIFS('Datos - Objetivos de países'!$B$5:$B$510,"Singapur",'Datos - Objetivos de países'!$F$5:$F$510,AS$3,'Datos - Objetivos de países'!$K$5:$K$510,$A13)</f>
        <v>0</v>
      </c>
      <c r="AT13" s="36" cm="1">
        <f t="array" ref="AT13">_xlfn.COUNTIFS('Datos - Objetivos de países'!$B$5:$B$510,"Singapur",'Datos - Objetivos de países'!$F$5:$F$510,AT$3,'Datos - Objetivos de países'!$J$5:$J$510,$A13)+_xlfn.COUNTIFS('Datos - Objetivos de países'!$B$5:$B$510,"Singapur",'Datos - Objetivos de países'!$F$5:$F$510,AT$3,'Datos - Objetivos de países'!$K$5:$K$510,$A13)</f>
        <v>0</v>
      </c>
      <c r="AU13" s="36" cm="1">
        <f t="array" ref="AU13">_xlfn.COUNTIFS('Datos - Objetivos de países'!$B$5:$B$510,"Singapur",'Datos - Objetivos de países'!$F$5:$F$510,AU$3,'Datos - Objetivos de países'!$J$5:$J$510,$A13)+_xlfn.COUNTIFS('Datos - Objetivos de países'!$B$5:$B$510,"Singapur",'Datos - Objetivos de países'!$F$5:$F$510,AU$3,'Datos - Objetivos de países'!$K$5:$K$510,$A13)</f>
        <v>0</v>
      </c>
      <c r="AV13" s="36" cm="1">
        <f t="array" ref="AV13">_xlfn.COUNTIFS('Datos - Objetivos de países'!$B$5:$B$510,"Singapur",'Datos - Objetivos de países'!$F$5:$F$510,AV$3,'Datos - Objetivos de países'!$J$5:$J$510,$A13)+_xlfn.COUNTIFS('Datos - Objetivos de países'!$B$5:$B$510,"Singapur",'Datos - Objetivos de países'!$F$5:$F$510,AV$3,'Datos - Objetivos de países'!$K$5:$K$510,$A13)</f>
        <v>0</v>
      </c>
      <c r="AW13" s="36" cm="1">
        <f t="array" ref="AW13">_xlfn.COUNTIFS('Datos - Objetivos de países'!$B$5:$B$510,"Singapur",'Datos - Objetivos de países'!$F$5:$F$510,AW$3,'Datos - Objetivos de países'!$J$5:$J$510,$A13)+_xlfn.COUNTIFS('Datos - Objetivos de países'!$B$5:$B$510,"Singapur",'Datos - Objetivos de países'!$F$5:$F$510,AW$3,'Datos - Objetivos de países'!$K$5:$K$510,$A13)</f>
        <v>0</v>
      </c>
    </row>
    <row r="14" ht="13.65" customHeight="1">
      <c r="A14" t="s" s="78">
        <v>1090</v>
      </c>
      <c r="B14" t="s" s="78">
        <v>1055</v>
      </c>
      <c r="C14" t="s" s="78">
        <v>210</v>
      </c>
      <c r="D14" t="s" s="78">
        <v>1091</v>
      </c>
      <c r="E14" s="80" cm="1">
        <f t="array" ref="E14">_xlfn.IFERROR(MAX($L$3,INDEX($N$3:$V$3,MATCH(TRUE,INDEX(N14:V14&gt;0,0),0))),"—")</f>
        <v>2</v>
      </c>
      <c r="F14" s="80" cm="1">
        <f t="array" ref="F14">_xlfn.IFERROR(MAX($L$3,INDEX($W$3:$AE$3,MATCH(TRUE,INDEX(W14:AE14&gt;0,0),0))),"—")</f>
        <v>3</v>
      </c>
      <c r="G14" s="80" cm="1">
        <f t="array" ref="G14">_xlfn.IFERROR(MAX($L$3,INDEX($AF$3:$AN$3,MATCH(TRUE,INDEX(AF14:AN14&gt;0,0),0))),"—")</f>
        <v>4</v>
      </c>
      <c r="H14" t="str" s="79" cm="1">
        <f t="array" ref="H14">_xlfn.IFERROR(MAX($L$3,INDEX($AO$3:$AW$3,MATCH(TRUE,INDEX(AO14:AW14&gt;0,0),0))),"—")</f>
        <v>—</v>
      </c>
      <c r="I14" s="111" cm="1">
        <f t="array" ref="I14">IF(L14=0,"—",MEDIAN(F14:H14))</f>
        <v>3.5</v>
      </c>
      <c r="J14" s="111" cm="1">
        <f t="array" ref="J14">IF(OR(E14="—",I14="—"),"—",E14-I14)</f>
        <v>-1.5</v>
      </c>
      <c r="K14" t="str" s="49" cm="1">
        <f t="array" ref="K14">IF(E14="—",IF(L14=0,"Nadie lo trabaja","El Salvador no llega"),IF(L14=0,"Solo El Salvador",IF(J14&gt;0,"El Salvador llega más tarde",IF(J14&lt;0,"El Salvador va adelantado","Mismo grado"))))</f>
        <v>El Salvador va adelantado</v>
      </c>
      <c r="L14" s="80" cm="1">
        <f t="array" ref="L14">COUNT(F14:H14)</f>
        <v>2</v>
      </c>
      <c r="M14" s="110"/>
      <c r="N14" s="36" cm="1">
        <f t="array" ref="N14">_xlfn.COUNTIFS('Datos - Temas'!$C$5:$C$1264,"Ciencias",'Datos - Temas'!$B$5:$B$1264,N$3,'Datos - Temas'!$K$5:$K$1264,$A14)+_xlfn.COUNTIFS('Datos - Temas'!$C$5:$C$1264,"Ciencias",'Datos - Temas'!$B$5:$B$1264,N$3,'Datos - Temas'!$L$5:$L$1264,$A14)</f>
        <v>0</v>
      </c>
      <c r="O14" s="36" cm="1">
        <f t="array" ref="O14">_xlfn.COUNTIFS('Datos - Temas'!$C$5:$C$1264,"Ciencias",'Datos - Temas'!$B$5:$B$1264,O$3,'Datos - Temas'!$K$5:$K$1264,$A14)+_xlfn.COUNTIFS('Datos - Temas'!$C$5:$C$1264,"Ciencias",'Datos - Temas'!$B$5:$B$1264,O$3,'Datos - Temas'!$L$5:$L$1264,$A14)</f>
        <v>5</v>
      </c>
      <c r="P14" s="36" cm="1">
        <f t="array" ref="P14">_xlfn.COUNTIFS('Datos - Temas'!$C$5:$C$1264,"Ciencias",'Datos - Temas'!$B$5:$B$1264,P$3,'Datos - Temas'!$K$5:$K$1264,$A14)+_xlfn.COUNTIFS('Datos - Temas'!$C$5:$C$1264,"Ciencias",'Datos - Temas'!$B$5:$B$1264,P$3,'Datos - Temas'!$L$5:$L$1264,$A14)</f>
        <v>1</v>
      </c>
      <c r="Q14" s="36" cm="1">
        <f t="array" ref="Q14">_xlfn.COUNTIFS('Datos - Temas'!$C$5:$C$1264,"Ciencias",'Datos - Temas'!$B$5:$B$1264,Q$3,'Datos - Temas'!$K$5:$K$1264,$A14)+_xlfn.COUNTIFS('Datos - Temas'!$C$5:$C$1264,"Ciencias",'Datos - Temas'!$B$5:$B$1264,Q$3,'Datos - Temas'!$L$5:$L$1264,$A14)</f>
        <v>0</v>
      </c>
      <c r="R14" s="36" cm="1">
        <f t="array" ref="R14">_xlfn.COUNTIFS('Datos - Temas'!$C$5:$C$1264,"Ciencias",'Datos - Temas'!$B$5:$B$1264,R$3,'Datos - Temas'!$K$5:$K$1264,$A14)+_xlfn.COUNTIFS('Datos - Temas'!$C$5:$C$1264,"Ciencias",'Datos - Temas'!$B$5:$B$1264,R$3,'Datos - Temas'!$L$5:$L$1264,$A14)</f>
        <v>0</v>
      </c>
      <c r="S14" s="36" cm="1">
        <f t="array" ref="S14">_xlfn.COUNTIFS('Datos - Temas'!$C$5:$C$1264,"Ciencias",'Datos - Temas'!$B$5:$B$1264,S$3,'Datos - Temas'!$K$5:$K$1264,$A14)+_xlfn.COUNTIFS('Datos - Temas'!$C$5:$C$1264,"Ciencias",'Datos - Temas'!$B$5:$B$1264,S$3,'Datos - Temas'!$L$5:$L$1264,$A14)</f>
        <v>0</v>
      </c>
      <c r="T14" s="36" cm="1">
        <f t="array" ref="T14">_xlfn.COUNTIFS('Datos - Temas'!$C$5:$C$1264,"Ciencias",'Datos - Temas'!$B$5:$B$1264,T$3,'Datos - Temas'!$K$5:$K$1264,$A14)+_xlfn.COUNTIFS('Datos - Temas'!$C$5:$C$1264,"Ciencias",'Datos - Temas'!$B$5:$B$1264,T$3,'Datos - Temas'!$L$5:$L$1264,$A14)</f>
        <v>0</v>
      </c>
      <c r="U14" s="36" cm="1">
        <f t="array" ref="U14">_xlfn.COUNTIFS('Datos - Temas'!$C$5:$C$1264,"Ciencias",'Datos - Temas'!$B$5:$B$1264,U$3,'Datos - Temas'!$K$5:$K$1264,$A14)+_xlfn.COUNTIFS('Datos - Temas'!$C$5:$C$1264,"Ciencias",'Datos - Temas'!$B$5:$B$1264,U$3,'Datos - Temas'!$L$5:$L$1264,$A14)</f>
        <v>0</v>
      </c>
      <c r="V14" s="36" cm="1">
        <f t="array" ref="V14">_xlfn.COUNTIFS('Datos - Temas'!$C$5:$C$1264,"Ciencias",'Datos - Temas'!$B$5:$B$1264,V$3,'Datos - Temas'!$K$5:$K$1264,$A14)+_xlfn.COUNTIFS('Datos - Temas'!$C$5:$C$1264,"Ciencias",'Datos - Temas'!$B$5:$B$1264,V$3,'Datos - Temas'!$L$5:$L$1264,$A14)</f>
        <v>0</v>
      </c>
      <c r="W14" s="36" cm="1">
        <f t="array" ref="W14">_xlfn.COUNTIFS('Datos - Objetivos de países'!$B$5:$B$510,"Uruguay",'Datos - Objetivos de países'!$F$5:$F$510,W$3,'Datos - Objetivos de países'!$J$5:$J$510,$A14)+_xlfn.COUNTIFS('Datos - Objetivos de países'!$B$5:$B$510,"Uruguay",'Datos - Objetivos de países'!$F$5:$F$510,W$3,'Datos - Objetivos de países'!$K$5:$K$510,$A14)</f>
        <v>0</v>
      </c>
      <c r="X14" s="36" cm="1">
        <f t="array" ref="X14">_xlfn.COUNTIFS('Datos - Objetivos de países'!$B$5:$B$510,"Uruguay",'Datos - Objetivos de países'!$F$5:$F$510,X$3,'Datos - Objetivos de países'!$J$5:$J$510,$A14)+_xlfn.COUNTIFS('Datos - Objetivos de países'!$B$5:$B$510,"Uruguay",'Datos - Objetivos de países'!$F$5:$F$510,X$3,'Datos - Objetivos de países'!$K$5:$K$510,$A14)</f>
        <v>0</v>
      </c>
      <c r="Y14" s="36" cm="1">
        <f t="array" ref="Y14">_xlfn.COUNTIFS('Datos - Objetivos de países'!$B$5:$B$510,"Uruguay",'Datos - Objetivos de países'!$F$5:$F$510,Y$3,'Datos - Objetivos de países'!$J$5:$J$510,$A14)+_xlfn.COUNTIFS('Datos - Objetivos de países'!$B$5:$B$510,"Uruguay",'Datos - Objetivos de países'!$F$5:$F$510,Y$3,'Datos - Objetivos de países'!$K$5:$K$510,$A14)</f>
        <v>1</v>
      </c>
      <c r="Z14" s="36" cm="1">
        <f t="array" ref="Z14">_xlfn.COUNTIFS('Datos - Objetivos de países'!$B$5:$B$510,"Uruguay",'Datos - Objetivos de países'!$F$5:$F$510,Z$3,'Datos - Objetivos de países'!$J$5:$J$510,$A14)+_xlfn.COUNTIFS('Datos - Objetivos de países'!$B$5:$B$510,"Uruguay",'Datos - Objetivos de países'!$F$5:$F$510,Z$3,'Datos - Objetivos de países'!$K$5:$K$510,$A14)</f>
        <v>1</v>
      </c>
      <c r="AA14" s="36" cm="1">
        <f t="array" ref="AA14">_xlfn.COUNTIFS('Datos - Objetivos de países'!$B$5:$B$510,"Uruguay",'Datos - Objetivos de países'!$F$5:$F$510,AA$3,'Datos - Objetivos de países'!$J$5:$J$510,$A14)+_xlfn.COUNTIFS('Datos - Objetivos de países'!$B$5:$B$510,"Uruguay",'Datos - Objetivos de países'!$F$5:$F$510,AA$3,'Datos - Objetivos de países'!$K$5:$K$510,$A14)</f>
        <v>0</v>
      </c>
      <c r="AB14" s="36" cm="1">
        <f t="array" ref="AB14">_xlfn.COUNTIFS('Datos - Objetivos de países'!$B$5:$B$510,"Uruguay",'Datos - Objetivos de países'!$F$5:$F$510,AB$3,'Datos - Objetivos de países'!$J$5:$J$510,$A14)+_xlfn.COUNTIFS('Datos - Objetivos de países'!$B$5:$B$510,"Uruguay",'Datos - Objetivos de países'!$F$5:$F$510,AB$3,'Datos - Objetivos de países'!$K$5:$K$510,$A14)</f>
        <v>0</v>
      </c>
      <c r="AC14" s="36" cm="1">
        <f t="array" ref="AC14">_xlfn.COUNTIFS('Datos - Objetivos de países'!$B$5:$B$510,"Uruguay",'Datos - Objetivos de países'!$F$5:$F$510,AC$3,'Datos - Objetivos de países'!$J$5:$J$510,$A14)+_xlfn.COUNTIFS('Datos - Objetivos de países'!$B$5:$B$510,"Uruguay",'Datos - Objetivos de países'!$F$5:$F$510,AC$3,'Datos - Objetivos de países'!$K$5:$K$510,$A14)</f>
        <v>0</v>
      </c>
      <c r="AD14" s="36" cm="1">
        <f t="array" ref="AD14">_xlfn.COUNTIFS('Datos - Objetivos de países'!$B$5:$B$510,"Uruguay",'Datos - Objetivos de países'!$F$5:$F$510,AD$3,'Datos - Objetivos de países'!$J$5:$J$510,$A14)+_xlfn.COUNTIFS('Datos - Objetivos de países'!$B$5:$B$510,"Uruguay",'Datos - Objetivos de países'!$F$5:$F$510,AD$3,'Datos - Objetivos de países'!$K$5:$K$510,$A14)</f>
        <v>0</v>
      </c>
      <c r="AE14" s="36" cm="1">
        <f t="array" ref="AE14">_xlfn.COUNTIFS('Datos - Objetivos de países'!$B$5:$B$510,"Uruguay",'Datos - Objetivos de países'!$F$5:$F$510,AE$3,'Datos - Objetivos de países'!$J$5:$J$510,$A14)+_xlfn.COUNTIFS('Datos - Objetivos de países'!$B$5:$B$510,"Uruguay",'Datos - Objetivos de países'!$F$5:$F$510,AE$3,'Datos - Objetivos de países'!$K$5:$K$510,$A14)</f>
        <v>0</v>
      </c>
      <c r="AF14" s="36" cm="1">
        <f t="array" ref="AF14">_xlfn.COUNTIFS('Datos - Objetivos de países'!$B$5:$B$510,"Colombia",'Datos - Objetivos de países'!$F$5:$F$510,AF$3,'Datos - Objetivos de países'!$J$5:$J$510,$A14)+_xlfn.COUNTIFS('Datos - Objetivos de países'!$B$5:$B$510,"Colombia",'Datos - Objetivos de países'!$F$5:$F$510,AF$3,'Datos - Objetivos de países'!$K$5:$K$510,$A14)</f>
        <v>0</v>
      </c>
      <c r="AG14" s="36" cm="1">
        <f t="array" ref="AG14">_xlfn.COUNTIFS('Datos - Objetivos de países'!$B$5:$B$510,"Colombia",'Datos - Objetivos de países'!$F$5:$F$510,AG$3,'Datos - Objetivos de países'!$J$5:$J$510,$A14)+_xlfn.COUNTIFS('Datos - Objetivos de países'!$B$5:$B$510,"Colombia",'Datos - Objetivos de países'!$F$5:$F$510,AG$3,'Datos - Objetivos de países'!$K$5:$K$510,$A14)</f>
        <v>0</v>
      </c>
      <c r="AH14" s="36" cm="1">
        <f t="array" ref="AH14">_xlfn.COUNTIFS('Datos - Objetivos de países'!$B$5:$B$510,"Colombia",'Datos - Objetivos de países'!$F$5:$F$510,AH$3,'Datos - Objetivos de países'!$J$5:$J$510,$A14)+_xlfn.COUNTIFS('Datos - Objetivos de países'!$B$5:$B$510,"Colombia",'Datos - Objetivos de países'!$F$5:$F$510,AH$3,'Datos - Objetivos de países'!$K$5:$K$510,$A14)</f>
        <v>0</v>
      </c>
      <c r="AI14" s="36" cm="1">
        <f t="array" ref="AI14">_xlfn.COUNTIFS('Datos - Objetivos de países'!$B$5:$B$510,"Colombia",'Datos - Objetivos de países'!$F$5:$F$510,AI$3,'Datos - Objetivos de países'!$J$5:$J$510,$A14)+_xlfn.COUNTIFS('Datos - Objetivos de países'!$B$5:$B$510,"Colombia",'Datos - Objetivos de países'!$F$5:$F$510,AI$3,'Datos - Objetivos de países'!$K$5:$K$510,$A14)</f>
        <v>2</v>
      </c>
      <c r="AJ14" s="36" cm="1">
        <f t="array" ref="AJ14">_xlfn.COUNTIFS('Datos - Objetivos de países'!$B$5:$B$510,"Colombia",'Datos - Objetivos de países'!$F$5:$F$510,AJ$3,'Datos - Objetivos de países'!$J$5:$J$510,$A14)+_xlfn.COUNTIFS('Datos - Objetivos de países'!$B$5:$B$510,"Colombia",'Datos - Objetivos de países'!$F$5:$F$510,AJ$3,'Datos - Objetivos de países'!$K$5:$K$510,$A14)</f>
        <v>0</v>
      </c>
      <c r="AK14" s="36" cm="1">
        <f t="array" ref="AK14">_xlfn.COUNTIFS('Datos - Objetivos de países'!$B$5:$B$510,"Colombia",'Datos - Objetivos de países'!$F$5:$F$510,AK$3,'Datos - Objetivos de países'!$J$5:$J$510,$A14)+_xlfn.COUNTIFS('Datos - Objetivos de países'!$B$5:$B$510,"Colombia",'Datos - Objetivos de países'!$F$5:$F$510,AK$3,'Datos - Objetivos de países'!$K$5:$K$510,$A14)</f>
        <v>0</v>
      </c>
      <c r="AL14" s="36" cm="1">
        <f t="array" ref="AL14">_xlfn.COUNTIFS('Datos - Objetivos de países'!$B$5:$B$510,"Colombia",'Datos - Objetivos de países'!$F$5:$F$510,AL$3,'Datos - Objetivos de países'!$J$5:$J$510,$A14)+_xlfn.COUNTIFS('Datos - Objetivos de países'!$B$5:$B$510,"Colombia",'Datos - Objetivos de países'!$F$5:$F$510,AL$3,'Datos - Objetivos de países'!$K$5:$K$510,$A14)</f>
        <v>0</v>
      </c>
      <c r="AM14" s="36" cm="1">
        <f t="array" ref="AM14">_xlfn.COUNTIFS('Datos - Objetivos de países'!$B$5:$B$510,"Colombia",'Datos - Objetivos de países'!$F$5:$F$510,AM$3,'Datos - Objetivos de países'!$J$5:$J$510,$A14)+_xlfn.COUNTIFS('Datos - Objetivos de países'!$B$5:$B$510,"Colombia",'Datos - Objetivos de países'!$F$5:$F$510,AM$3,'Datos - Objetivos de países'!$K$5:$K$510,$A14)</f>
        <v>0</v>
      </c>
      <c r="AN14" s="36" cm="1">
        <f t="array" ref="AN14">_xlfn.COUNTIFS('Datos - Objetivos de países'!$B$5:$B$510,"Colombia",'Datos - Objetivos de países'!$F$5:$F$510,AN$3,'Datos - Objetivos de países'!$J$5:$J$510,$A14)+_xlfn.COUNTIFS('Datos - Objetivos de países'!$B$5:$B$510,"Colombia",'Datos - Objetivos de países'!$F$5:$F$510,AN$3,'Datos - Objetivos de países'!$K$5:$K$510,$A14)</f>
        <v>0</v>
      </c>
      <c r="AO14" s="36" cm="1">
        <f t="array" ref="AO14">_xlfn.COUNTIFS('Datos - Objetivos de países'!$B$5:$B$510,"Singapur",'Datos - Objetivos de países'!$F$5:$F$510,AO$3,'Datos - Objetivos de países'!$J$5:$J$510,$A14)+_xlfn.COUNTIFS('Datos - Objetivos de países'!$B$5:$B$510,"Singapur",'Datos - Objetivos de países'!$F$5:$F$510,AO$3,'Datos - Objetivos de países'!$K$5:$K$510,$A14)</f>
        <v>0</v>
      </c>
      <c r="AP14" s="36" cm="1">
        <f t="array" ref="AP14">_xlfn.COUNTIFS('Datos - Objetivos de países'!$B$5:$B$510,"Singapur",'Datos - Objetivos de países'!$F$5:$F$510,AP$3,'Datos - Objetivos de países'!$J$5:$J$510,$A14)+_xlfn.COUNTIFS('Datos - Objetivos de países'!$B$5:$B$510,"Singapur",'Datos - Objetivos de países'!$F$5:$F$510,AP$3,'Datos - Objetivos de países'!$K$5:$K$510,$A14)</f>
        <v>0</v>
      </c>
      <c r="AQ14" s="36" cm="1">
        <f t="array" ref="AQ14">_xlfn.COUNTIFS('Datos - Objetivos de países'!$B$5:$B$510,"Singapur",'Datos - Objetivos de países'!$F$5:$F$510,AQ$3,'Datos - Objetivos de países'!$J$5:$J$510,$A14)+_xlfn.COUNTIFS('Datos - Objetivos de países'!$B$5:$B$510,"Singapur",'Datos - Objetivos de países'!$F$5:$F$510,AQ$3,'Datos - Objetivos de países'!$K$5:$K$510,$A14)</f>
        <v>0</v>
      </c>
      <c r="AR14" s="36" cm="1">
        <f t="array" ref="AR14">_xlfn.COUNTIFS('Datos - Objetivos de países'!$B$5:$B$510,"Singapur",'Datos - Objetivos de países'!$F$5:$F$510,AR$3,'Datos - Objetivos de países'!$J$5:$J$510,$A14)+_xlfn.COUNTIFS('Datos - Objetivos de países'!$B$5:$B$510,"Singapur",'Datos - Objetivos de países'!$F$5:$F$510,AR$3,'Datos - Objetivos de países'!$K$5:$K$510,$A14)</f>
        <v>0</v>
      </c>
      <c r="AS14" s="36" cm="1">
        <f t="array" ref="AS14">_xlfn.COUNTIFS('Datos - Objetivos de países'!$B$5:$B$510,"Singapur",'Datos - Objetivos de países'!$F$5:$F$510,AS$3,'Datos - Objetivos de países'!$J$5:$J$510,$A14)+_xlfn.COUNTIFS('Datos - Objetivos de países'!$B$5:$B$510,"Singapur",'Datos - Objetivos de países'!$F$5:$F$510,AS$3,'Datos - Objetivos de países'!$K$5:$K$510,$A14)</f>
        <v>0</v>
      </c>
      <c r="AT14" s="36" cm="1">
        <f t="array" ref="AT14">_xlfn.COUNTIFS('Datos - Objetivos de países'!$B$5:$B$510,"Singapur",'Datos - Objetivos de países'!$F$5:$F$510,AT$3,'Datos - Objetivos de países'!$J$5:$J$510,$A14)+_xlfn.COUNTIFS('Datos - Objetivos de países'!$B$5:$B$510,"Singapur",'Datos - Objetivos de países'!$F$5:$F$510,AT$3,'Datos - Objetivos de países'!$K$5:$K$510,$A14)</f>
        <v>0</v>
      </c>
      <c r="AU14" s="36" cm="1">
        <f t="array" ref="AU14">_xlfn.COUNTIFS('Datos - Objetivos de países'!$B$5:$B$510,"Singapur",'Datos - Objetivos de países'!$F$5:$F$510,AU$3,'Datos - Objetivos de países'!$J$5:$J$510,$A14)+_xlfn.COUNTIFS('Datos - Objetivos de países'!$B$5:$B$510,"Singapur",'Datos - Objetivos de países'!$F$5:$F$510,AU$3,'Datos - Objetivos de países'!$K$5:$K$510,$A14)</f>
        <v>0</v>
      </c>
      <c r="AV14" s="36" cm="1">
        <f t="array" ref="AV14">_xlfn.COUNTIFS('Datos - Objetivos de países'!$B$5:$B$510,"Singapur",'Datos - Objetivos de países'!$F$5:$F$510,AV$3,'Datos - Objetivos de países'!$J$5:$J$510,$A14)+_xlfn.COUNTIFS('Datos - Objetivos de países'!$B$5:$B$510,"Singapur",'Datos - Objetivos de países'!$F$5:$F$510,AV$3,'Datos - Objetivos de países'!$K$5:$K$510,$A14)</f>
        <v>0</v>
      </c>
      <c r="AW14" s="36" cm="1">
        <f t="array" ref="AW14">_xlfn.COUNTIFS('Datos - Objetivos de países'!$B$5:$B$510,"Singapur",'Datos - Objetivos de países'!$F$5:$F$510,AW$3,'Datos - Objetivos de países'!$J$5:$J$510,$A14)+_xlfn.COUNTIFS('Datos - Objetivos de países'!$B$5:$B$510,"Singapur",'Datos - Objetivos de países'!$F$5:$F$510,AW$3,'Datos - Objetivos de países'!$K$5:$K$510,$A14)</f>
        <v>0</v>
      </c>
    </row>
    <row r="15" ht="13.65" customHeight="1">
      <c r="A15" t="s" s="78">
        <v>1093</v>
      </c>
      <c r="B15" t="s" s="78">
        <v>1055</v>
      </c>
      <c r="C15" t="s" s="78">
        <v>210</v>
      </c>
      <c r="D15" t="s" s="78">
        <v>1095</v>
      </c>
      <c r="E15" s="80" cm="1">
        <f t="array" ref="E15">_xlfn.IFERROR(MAX($L$3,INDEX($N$3:$V$3,MATCH(TRUE,INDEX(N15:V15&gt;0,0),0))),"—")</f>
        <v>2</v>
      </c>
      <c r="F15" s="80" cm="1">
        <f t="array" ref="F15">_xlfn.IFERROR(MAX($L$3,INDEX($W$3:$AE$3,MATCH(TRUE,INDEX(W15:AE15&gt;0,0),0))),"—")</f>
        <v>4</v>
      </c>
      <c r="G15" s="80" cm="1">
        <f t="array" ref="G15">_xlfn.IFERROR(MAX($L$3,INDEX($AF$3:$AN$3,MATCH(TRUE,INDEX(AF15:AN15&gt;0,0),0))),"—")</f>
        <v>2</v>
      </c>
      <c r="H15" t="str" s="79" cm="1">
        <f t="array" ref="H15">_xlfn.IFERROR(MAX($L$3,INDEX($AO$3:$AW$3,MATCH(TRUE,INDEX(AO15:AW15&gt;0,0),0))),"—")</f>
        <v>—</v>
      </c>
      <c r="I15" s="111" cm="1">
        <f t="array" ref="I15">IF(L15=0,"—",MEDIAN(F15:H15))</f>
        <v>3</v>
      </c>
      <c r="J15" s="111" cm="1">
        <f t="array" ref="J15">IF(OR(E15="—",I15="—"),"—",E15-I15)</f>
        <v>-1</v>
      </c>
      <c r="K15" t="str" s="49" cm="1">
        <f t="array" ref="K15">IF(E15="—",IF(L15=0,"Nadie lo trabaja","El Salvador no llega"),IF(L15=0,"Solo El Salvador",IF(J15&gt;0,"El Salvador llega más tarde",IF(J15&lt;0,"El Salvador va adelantado","Mismo grado"))))</f>
        <v>El Salvador va adelantado</v>
      </c>
      <c r="L15" s="80" cm="1">
        <f t="array" ref="L15">COUNT(F15:H15)</f>
        <v>2</v>
      </c>
      <c r="M15" s="110"/>
      <c r="N15" s="36" cm="1">
        <f t="array" ref="N15">_xlfn.COUNTIFS('Datos - Temas'!$C$5:$C$1264,"Ciencias",'Datos - Temas'!$B$5:$B$1264,N$3,'Datos - Temas'!$K$5:$K$1264,$A15)+_xlfn.COUNTIFS('Datos - Temas'!$C$5:$C$1264,"Ciencias",'Datos - Temas'!$B$5:$B$1264,N$3,'Datos - Temas'!$L$5:$L$1264,$A15)</f>
        <v>0</v>
      </c>
      <c r="O15" s="36" cm="1">
        <f t="array" ref="O15">_xlfn.COUNTIFS('Datos - Temas'!$C$5:$C$1264,"Ciencias",'Datos - Temas'!$B$5:$B$1264,O$3,'Datos - Temas'!$K$5:$K$1264,$A15)+_xlfn.COUNTIFS('Datos - Temas'!$C$5:$C$1264,"Ciencias",'Datos - Temas'!$B$5:$B$1264,O$3,'Datos - Temas'!$L$5:$L$1264,$A15)</f>
        <v>3</v>
      </c>
      <c r="P15" s="36" cm="1">
        <f t="array" ref="P15">_xlfn.COUNTIFS('Datos - Temas'!$C$5:$C$1264,"Ciencias",'Datos - Temas'!$B$5:$B$1264,P$3,'Datos - Temas'!$K$5:$K$1264,$A15)+_xlfn.COUNTIFS('Datos - Temas'!$C$5:$C$1264,"Ciencias",'Datos - Temas'!$B$5:$B$1264,P$3,'Datos - Temas'!$L$5:$L$1264,$A15)</f>
        <v>5</v>
      </c>
      <c r="Q15" s="36" cm="1">
        <f t="array" ref="Q15">_xlfn.COUNTIFS('Datos - Temas'!$C$5:$C$1264,"Ciencias",'Datos - Temas'!$B$5:$B$1264,Q$3,'Datos - Temas'!$K$5:$K$1264,$A15)+_xlfn.COUNTIFS('Datos - Temas'!$C$5:$C$1264,"Ciencias",'Datos - Temas'!$B$5:$B$1264,Q$3,'Datos - Temas'!$L$5:$L$1264,$A15)</f>
        <v>1</v>
      </c>
      <c r="R15" s="36" cm="1">
        <f t="array" ref="R15">_xlfn.COUNTIFS('Datos - Temas'!$C$5:$C$1264,"Ciencias",'Datos - Temas'!$B$5:$B$1264,R$3,'Datos - Temas'!$K$5:$K$1264,$A15)+_xlfn.COUNTIFS('Datos - Temas'!$C$5:$C$1264,"Ciencias",'Datos - Temas'!$B$5:$B$1264,R$3,'Datos - Temas'!$L$5:$L$1264,$A15)</f>
        <v>0</v>
      </c>
      <c r="S15" s="36" cm="1">
        <f t="array" ref="S15">_xlfn.COUNTIFS('Datos - Temas'!$C$5:$C$1264,"Ciencias",'Datos - Temas'!$B$5:$B$1264,S$3,'Datos - Temas'!$K$5:$K$1264,$A15)+_xlfn.COUNTIFS('Datos - Temas'!$C$5:$C$1264,"Ciencias",'Datos - Temas'!$B$5:$B$1264,S$3,'Datos - Temas'!$L$5:$L$1264,$A15)</f>
        <v>0</v>
      </c>
      <c r="T15" s="36" cm="1">
        <f t="array" ref="T15">_xlfn.COUNTIFS('Datos - Temas'!$C$5:$C$1264,"Ciencias",'Datos - Temas'!$B$5:$B$1264,T$3,'Datos - Temas'!$K$5:$K$1264,$A15)+_xlfn.COUNTIFS('Datos - Temas'!$C$5:$C$1264,"Ciencias",'Datos - Temas'!$B$5:$B$1264,T$3,'Datos - Temas'!$L$5:$L$1264,$A15)</f>
        <v>0</v>
      </c>
      <c r="U15" s="36" cm="1">
        <f t="array" ref="U15">_xlfn.COUNTIFS('Datos - Temas'!$C$5:$C$1264,"Ciencias",'Datos - Temas'!$B$5:$B$1264,U$3,'Datos - Temas'!$K$5:$K$1264,$A15)+_xlfn.COUNTIFS('Datos - Temas'!$C$5:$C$1264,"Ciencias",'Datos - Temas'!$B$5:$B$1264,U$3,'Datos - Temas'!$L$5:$L$1264,$A15)</f>
        <v>0</v>
      </c>
      <c r="V15" s="36" cm="1">
        <f t="array" ref="V15">_xlfn.COUNTIFS('Datos - Temas'!$C$5:$C$1264,"Ciencias",'Datos - Temas'!$B$5:$B$1264,V$3,'Datos - Temas'!$K$5:$K$1264,$A15)+_xlfn.COUNTIFS('Datos - Temas'!$C$5:$C$1264,"Ciencias",'Datos - Temas'!$B$5:$B$1264,V$3,'Datos - Temas'!$L$5:$L$1264,$A15)</f>
        <v>0</v>
      </c>
      <c r="W15" s="36" cm="1">
        <f t="array" ref="W15">_xlfn.COUNTIFS('Datos - Objetivos de países'!$B$5:$B$510,"Uruguay",'Datos - Objetivos de países'!$F$5:$F$510,W$3,'Datos - Objetivos de países'!$J$5:$J$510,$A15)+_xlfn.COUNTIFS('Datos - Objetivos de países'!$B$5:$B$510,"Uruguay",'Datos - Objetivos de países'!$F$5:$F$510,W$3,'Datos - Objetivos de países'!$K$5:$K$510,$A15)</f>
        <v>0</v>
      </c>
      <c r="X15" s="36" cm="1">
        <f t="array" ref="X15">_xlfn.COUNTIFS('Datos - Objetivos de países'!$B$5:$B$510,"Uruguay",'Datos - Objetivos de países'!$F$5:$F$510,X$3,'Datos - Objetivos de países'!$J$5:$J$510,$A15)+_xlfn.COUNTIFS('Datos - Objetivos de países'!$B$5:$B$510,"Uruguay",'Datos - Objetivos de países'!$F$5:$F$510,X$3,'Datos - Objetivos de países'!$K$5:$K$510,$A15)</f>
        <v>0</v>
      </c>
      <c r="Y15" s="36" cm="1">
        <f t="array" ref="Y15">_xlfn.COUNTIFS('Datos - Objetivos de países'!$B$5:$B$510,"Uruguay",'Datos - Objetivos de países'!$F$5:$F$510,Y$3,'Datos - Objetivos de países'!$J$5:$J$510,$A15)+_xlfn.COUNTIFS('Datos - Objetivos de países'!$B$5:$B$510,"Uruguay",'Datos - Objetivos de países'!$F$5:$F$510,Y$3,'Datos - Objetivos de países'!$K$5:$K$510,$A15)</f>
        <v>0</v>
      </c>
      <c r="Z15" s="36" cm="1">
        <f t="array" ref="Z15">_xlfn.COUNTIFS('Datos - Objetivos de países'!$B$5:$B$510,"Uruguay",'Datos - Objetivos de países'!$F$5:$F$510,Z$3,'Datos - Objetivos de países'!$J$5:$J$510,$A15)+_xlfn.COUNTIFS('Datos - Objetivos de países'!$B$5:$B$510,"Uruguay",'Datos - Objetivos de países'!$F$5:$F$510,Z$3,'Datos - Objetivos de países'!$K$5:$K$510,$A15)</f>
        <v>2</v>
      </c>
      <c r="AA15" s="36" cm="1">
        <f t="array" ref="AA15">_xlfn.COUNTIFS('Datos - Objetivos de países'!$B$5:$B$510,"Uruguay",'Datos - Objetivos de países'!$F$5:$F$510,AA$3,'Datos - Objetivos de países'!$J$5:$J$510,$A15)+_xlfn.COUNTIFS('Datos - Objetivos de países'!$B$5:$B$510,"Uruguay",'Datos - Objetivos de países'!$F$5:$F$510,AA$3,'Datos - Objetivos de países'!$K$5:$K$510,$A15)</f>
        <v>0</v>
      </c>
      <c r="AB15" s="36" cm="1">
        <f t="array" ref="AB15">_xlfn.COUNTIFS('Datos - Objetivos de países'!$B$5:$B$510,"Uruguay",'Datos - Objetivos de países'!$F$5:$F$510,AB$3,'Datos - Objetivos de países'!$J$5:$J$510,$A15)+_xlfn.COUNTIFS('Datos - Objetivos de países'!$B$5:$B$510,"Uruguay",'Datos - Objetivos de países'!$F$5:$F$510,AB$3,'Datos - Objetivos de países'!$K$5:$K$510,$A15)</f>
        <v>0</v>
      </c>
      <c r="AC15" s="36" cm="1">
        <f t="array" ref="AC15">_xlfn.COUNTIFS('Datos - Objetivos de países'!$B$5:$B$510,"Uruguay",'Datos - Objetivos de países'!$F$5:$F$510,AC$3,'Datos - Objetivos de países'!$J$5:$J$510,$A15)+_xlfn.COUNTIFS('Datos - Objetivos de países'!$B$5:$B$510,"Uruguay",'Datos - Objetivos de países'!$F$5:$F$510,AC$3,'Datos - Objetivos de países'!$K$5:$K$510,$A15)</f>
        <v>0</v>
      </c>
      <c r="AD15" s="36" cm="1">
        <f t="array" ref="AD15">_xlfn.COUNTIFS('Datos - Objetivos de países'!$B$5:$B$510,"Uruguay",'Datos - Objetivos de países'!$F$5:$F$510,AD$3,'Datos - Objetivos de países'!$J$5:$J$510,$A15)+_xlfn.COUNTIFS('Datos - Objetivos de países'!$B$5:$B$510,"Uruguay",'Datos - Objetivos de países'!$F$5:$F$510,AD$3,'Datos - Objetivos de países'!$K$5:$K$510,$A15)</f>
        <v>0</v>
      </c>
      <c r="AE15" s="36" cm="1">
        <f t="array" ref="AE15">_xlfn.COUNTIFS('Datos - Objetivos de países'!$B$5:$B$510,"Uruguay",'Datos - Objetivos de países'!$F$5:$F$510,AE$3,'Datos - Objetivos de países'!$J$5:$J$510,$A15)+_xlfn.COUNTIFS('Datos - Objetivos de países'!$B$5:$B$510,"Uruguay",'Datos - Objetivos de países'!$F$5:$F$510,AE$3,'Datos - Objetivos de países'!$K$5:$K$510,$A15)</f>
        <v>0</v>
      </c>
      <c r="AF15" s="36" cm="1">
        <f t="array" ref="AF15">_xlfn.COUNTIFS('Datos - Objetivos de países'!$B$5:$B$510,"Colombia",'Datos - Objetivos de países'!$F$5:$F$510,AF$3,'Datos - Objetivos de países'!$J$5:$J$510,$A15)+_xlfn.COUNTIFS('Datos - Objetivos de países'!$B$5:$B$510,"Colombia",'Datos - Objetivos de países'!$F$5:$F$510,AF$3,'Datos - Objetivos de países'!$K$5:$K$510,$A15)</f>
        <v>1</v>
      </c>
      <c r="AG15" s="36" cm="1">
        <f t="array" ref="AG15">_xlfn.COUNTIFS('Datos - Objetivos de países'!$B$5:$B$510,"Colombia",'Datos - Objetivos de países'!$F$5:$F$510,AG$3,'Datos - Objetivos de países'!$J$5:$J$510,$A15)+_xlfn.COUNTIFS('Datos - Objetivos de países'!$B$5:$B$510,"Colombia",'Datos - Objetivos de países'!$F$5:$F$510,AG$3,'Datos - Objetivos de países'!$K$5:$K$510,$A15)</f>
        <v>0</v>
      </c>
      <c r="AH15" s="36" cm="1">
        <f t="array" ref="AH15">_xlfn.COUNTIFS('Datos - Objetivos de países'!$B$5:$B$510,"Colombia",'Datos - Objetivos de países'!$F$5:$F$510,AH$3,'Datos - Objetivos de países'!$J$5:$J$510,$A15)+_xlfn.COUNTIFS('Datos - Objetivos de países'!$B$5:$B$510,"Colombia",'Datos - Objetivos de países'!$F$5:$F$510,AH$3,'Datos - Objetivos de países'!$K$5:$K$510,$A15)</f>
        <v>0</v>
      </c>
      <c r="AI15" s="36" cm="1">
        <f t="array" ref="AI15">_xlfn.COUNTIFS('Datos - Objetivos de países'!$B$5:$B$510,"Colombia",'Datos - Objetivos de países'!$F$5:$F$510,AI$3,'Datos - Objetivos de países'!$J$5:$J$510,$A15)+_xlfn.COUNTIFS('Datos - Objetivos de países'!$B$5:$B$510,"Colombia",'Datos - Objetivos de países'!$F$5:$F$510,AI$3,'Datos - Objetivos de países'!$K$5:$K$510,$A15)</f>
        <v>1</v>
      </c>
      <c r="AJ15" s="36" cm="1">
        <f t="array" ref="AJ15">_xlfn.COUNTIFS('Datos - Objetivos de países'!$B$5:$B$510,"Colombia",'Datos - Objetivos de países'!$F$5:$F$510,AJ$3,'Datos - Objetivos de países'!$J$5:$J$510,$A15)+_xlfn.COUNTIFS('Datos - Objetivos de países'!$B$5:$B$510,"Colombia",'Datos - Objetivos de países'!$F$5:$F$510,AJ$3,'Datos - Objetivos de países'!$K$5:$K$510,$A15)</f>
        <v>0</v>
      </c>
      <c r="AK15" s="36" cm="1">
        <f t="array" ref="AK15">_xlfn.COUNTIFS('Datos - Objetivos de países'!$B$5:$B$510,"Colombia",'Datos - Objetivos de países'!$F$5:$F$510,AK$3,'Datos - Objetivos de países'!$J$5:$J$510,$A15)+_xlfn.COUNTIFS('Datos - Objetivos de países'!$B$5:$B$510,"Colombia",'Datos - Objetivos de países'!$F$5:$F$510,AK$3,'Datos - Objetivos de países'!$K$5:$K$510,$A15)</f>
        <v>0</v>
      </c>
      <c r="AL15" s="36" cm="1">
        <f t="array" ref="AL15">_xlfn.COUNTIFS('Datos - Objetivos de países'!$B$5:$B$510,"Colombia",'Datos - Objetivos de países'!$F$5:$F$510,AL$3,'Datos - Objetivos de países'!$J$5:$J$510,$A15)+_xlfn.COUNTIFS('Datos - Objetivos de países'!$B$5:$B$510,"Colombia",'Datos - Objetivos de países'!$F$5:$F$510,AL$3,'Datos - Objetivos de países'!$K$5:$K$510,$A15)</f>
        <v>0</v>
      </c>
      <c r="AM15" s="36" cm="1">
        <f t="array" ref="AM15">_xlfn.COUNTIFS('Datos - Objetivos de países'!$B$5:$B$510,"Colombia",'Datos - Objetivos de países'!$F$5:$F$510,AM$3,'Datos - Objetivos de países'!$J$5:$J$510,$A15)+_xlfn.COUNTIFS('Datos - Objetivos de países'!$B$5:$B$510,"Colombia",'Datos - Objetivos de países'!$F$5:$F$510,AM$3,'Datos - Objetivos de países'!$K$5:$K$510,$A15)</f>
        <v>0</v>
      </c>
      <c r="AN15" s="36" cm="1">
        <f t="array" ref="AN15">_xlfn.COUNTIFS('Datos - Objetivos de países'!$B$5:$B$510,"Colombia",'Datos - Objetivos de países'!$F$5:$F$510,AN$3,'Datos - Objetivos de países'!$J$5:$J$510,$A15)+_xlfn.COUNTIFS('Datos - Objetivos de países'!$B$5:$B$510,"Colombia",'Datos - Objetivos de países'!$F$5:$F$510,AN$3,'Datos - Objetivos de países'!$K$5:$K$510,$A15)</f>
        <v>0</v>
      </c>
      <c r="AO15" s="36" cm="1">
        <f t="array" ref="AO15">_xlfn.COUNTIFS('Datos - Objetivos de países'!$B$5:$B$510,"Singapur",'Datos - Objetivos de países'!$F$5:$F$510,AO$3,'Datos - Objetivos de países'!$J$5:$J$510,$A15)+_xlfn.COUNTIFS('Datos - Objetivos de países'!$B$5:$B$510,"Singapur",'Datos - Objetivos de países'!$F$5:$F$510,AO$3,'Datos - Objetivos de países'!$K$5:$K$510,$A15)</f>
        <v>0</v>
      </c>
      <c r="AP15" s="36" cm="1">
        <f t="array" ref="AP15">_xlfn.COUNTIFS('Datos - Objetivos de países'!$B$5:$B$510,"Singapur",'Datos - Objetivos de países'!$F$5:$F$510,AP$3,'Datos - Objetivos de países'!$J$5:$J$510,$A15)+_xlfn.COUNTIFS('Datos - Objetivos de países'!$B$5:$B$510,"Singapur",'Datos - Objetivos de países'!$F$5:$F$510,AP$3,'Datos - Objetivos de países'!$K$5:$K$510,$A15)</f>
        <v>0</v>
      </c>
      <c r="AQ15" s="36" cm="1">
        <f t="array" ref="AQ15">_xlfn.COUNTIFS('Datos - Objetivos de países'!$B$5:$B$510,"Singapur",'Datos - Objetivos de países'!$F$5:$F$510,AQ$3,'Datos - Objetivos de países'!$J$5:$J$510,$A15)+_xlfn.COUNTIFS('Datos - Objetivos de países'!$B$5:$B$510,"Singapur",'Datos - Objetivos de países'!$F$5:$F$510,AQ$3,'Datos - Objetivos de países'!$K$5:$K$510,$A15)</f>
        <v>0</v>
      </c>
      <c r="AR15" s="36" cm="1">
        <f t="array" ref="AR15">_xlfn.COUNTIFS('Datos - Objetivos de países'!$B$5:$B$510,"Singapur",'Datos - Objetivos de países'!$F$5:$F$510,AR$3,'Datos - Objetivos de países'!$J$5:$J$510,$A15)+_xlfn.COUNTIFS('Datos - Objetivos de países'!$B$5:$B$510,"Singapur",'Datos - Objetivos de países'!$F$5:$F$510,AR$3,'Datos - Objetivos de países'!$K$5:$K$510,$A15)</f>
        <v>0</v>
      </c>
      <c r="AS15" s="36" cm="1">
        <f t="array" ref="AS15">_xlfn.COUNTIFS('Datos - Objetivos de países'!$B$5:$B$510,"Singapur",'Datos - Objetivos de países'!$F$5:$F$510,AS$3,'Datos - Objetivos de países'!$J$5:$J$510,$A15)+_xlfn.COUNTIFS('Datos - Objetivos de países'!$B$5:$B$510,"Singapur",'Datos - Objetivos de países'!$F$5:$F$510,AS$3,'Datos - Objetivos de países'!$K$5:$K$510,$A15)</f>
        <v>0</v>
      </c>
      <c r="AT15" s="36" cm="1">
        <f t="array" ref="AT15">_xlfn.COUNTIFS('Datos - Objetivos de países'!$B$5:$B$510,"Singapur",'Datos - Objetivos de países'!$F$5:$F$510,AT$3,'Datos - Objetivos de países'!$J$5:$J$510,$A15)+_xlfn.COUNTIFS('Datos - Objetivos de países'!$B$5:$B$510,"Singapur",'Datos - Objetivos de países'!$F$5:$F$510,AT$3,'Datos - Objetivos de países'!$K$5:$K$510,$A15)</f>
        <v>0</v>
      </c>
      <c r="AU15" s="36" cm="1">
        <f t="array" ref="AU15">_xlfn.COUNTIFS('Datos - Objetivos de países'!$B$5:$B$510,"Singapur",'Datos - Objetivos de países'!$F$5:$F$510,AU$3,'Datos - Objetivos de países'!$J$5:$J$510,$A15)+_xlfn.COUNTIFS('Datos - Objetivos de países'!$B$5:$B$510,"Singapur",'Datos - Objetivos de países'!$F$5:$F$510,AU$3,'Datos - Objetivos de países'!$K$5:$K$510,$A15)</f>
        <v>0</v>
      </c>
      <c r="AV15" s="36" cm="1">
        <f t="array" ref="AV15">_xlfn.COUNTIFS('Datos - Objetivos de países'!$B$5:$B$510,"Singapur",'Datos - Objetivos de países'!$F$5:$F$510,AV$3,'Datos - Objetivos de países'!$J$5:$J$510,$A15)+_xlfn.COUNTIFS('Datos - Objetivos de países'!$B$5:$B$510,"Singapur",'Datos - Objetivos de países'!$F$5:$F$510,AV$3,'Datos - Objetivos de países'!$K$5:$K$510,$A15)</f>
        <v>0</v>
      </c>
      <c r="AW15" s="36" cm="1">
        <f t="array" ref="AW15">_xlfn.COUNTIFS('Datos - Objetivos de países'!$B$5:$B$510,"Singapur",'Datos - Objetivos de países'!$F$5:$F$510,AW$3,'Datos - Objetivos de países'!$J$5:$J$510,$A15)+_xlfn.COUNTIFS('Datos - Objetivos de países'!$B$5:$B$510,"Singapur",'Datos - Objetivos de países'!$F$5:$F$510,AW$3,'Datos - Objetivos de países'!$K$5:$K$510,$A15)</f>
        <v>0</v>
      </c>
    </row>
    <row r="16" ht="13.65" customHeight="1">
      <c r="A16" t="s" s="78">
        <v>346</v>
      </c>
      <c r="B16" t="s" s="78">
        <v>1055</v>
      </c>
      <c r="C16" t="s" s="78">
        <v>210</v>
      </c>
      <c r="D16" t="s" s="78">
        <v>1097</v>
      </c>
      <c r="E16" s="80" cm="1">
        <f t="array" ref="E16">_xlfn.IFERROR(MAX($L$3,INDEX($N$3:$V$3,MATCH(TRUE,INDEX(N16:V16&gt;0,0),0))),"—")</f>
        <v>2</v>
      </c>
      <c r="F16" s="80" cm="1">
        <f t="array" ref="F16">_xlfn.IFERROR(MAX($L$3,INDEX($W$3:$AE$3,MATCH(TRUE,INDEX(W16:AE16&gt;0,0),0))),"—")</f>
        <v>3</v>
      </c>
      <c r="G16" s="80" cm="1">
        <f t="array" ref="G16">_xlfn.IFERROR(MAX($L$3,INDEX($AF$3:$AN$3,MATCH(TRUE,INDEX(AF16:AN16&gt;0,0),0))),"—")</f>
        <v>2</v>
      </c>
      <c r="H16" t="str" s="79" cm="1">
        <f t="array" ref="H16">_xlfn.IFERROR(MAX($L$3,INDEX($AO$3:$AW$3,MATCH(TRUE,INDEX(AO16:AW16&gt;0,0),0))),"—")</f>
        <v>—</v>
      </c>
      <c r="I16" s="111" cm="1">
        <f t="array" ref="I16">IF(L16=0,"—",MEDIAN(F16:H16))</f>
        <v>2.5</v>
      </c>
      <c r="J16" s="111" cm="1">
        <f t="array" ref="J16">IF(OR(E16="—",I16="—"),"—",E16-I16)</f>
        <v>-0.5</v>
      </c>
      <c r="K16" t="str" s="49" cm="1">
        <f t="array" ref="K16">IF(E16="—",IF(L16=0,"Nadie lo trabaja","El Salvador no llega"),IF(L16=0,"Solo El Salvador",IF(J16&gt;0,"El Salvador llega más tarde",IF(J16&lt;0,"El Salvador va adelantado","Mismo grado"))))</f>
        <v>El Salvador va adelantado</v>
      </c>
      <c r="L16" s="80" cm="1">
        <f t="array" ref="L16">COUNT(F16:H16)</f>
        <v>2</v>
      </c>
      <c r="M16" s="110"/>
      <c r="N16" s="36" cm="1">
        <f t="array" ref="N16">_xlfn.COUNTIFS('Datos - Temas'!$C$5:$C$1264,"Ciencias",'Datos - Temas'!$B$5:$B$1264,N$3,'Datos - Temas'!$K$5:$K$1264,$A16)+_xlfn.COUNTIFS('Datos - Temas'!$C$5:$C$1264,"Ciencias",'Datos - Temas'!$B$5:$B$1264,N$3,'Datos - Temas'!$L$5:$L$1264,$A16)</f>
        <v>0</v>
      </c>
      <c r="O16" s="36" cm="1">
        <f t="array" ref="O16">_xlfn.COUNTIFS('Datos - Temas'!$C$5:$C$1264,"Ciencias",'Datos - Temas'!$B$5:$B$1264,O$3,'Datos - Temas'!$K$5:$K$1264,$A16)+_xlfn.COUNTIFS('Datos - Temas'!$C$5:$C$1264,"Ciencias",'Datos - Temas'!$B$5:$B$1264,O$3,'Datos - Temas'!$L$5:$L$1264,$A16)</f>
        <v>1</v>
      </c>
      <c r="P16" s="36" cm="1">
        <f t="array" ref="P16">_xlfn.COUNTIFS('Datos - Temas'!$C$5:$C$1264,"Ciencias",'Datos - Temas'!$B$5:$B$1264,P$3,'Datos - Temas'!$K$5:$K$1264,$A16)+_xlfn.COUNTIFS('Datos - Temas'!$C$5:$C$1264,"Ciencias",'Datos - Temas'!$B$5:$B$1264,P$3,'Datos - Temas'!$L$5:$L$1264,$A16)</f>
        <v>0</v>
      </c>
      <c r="Q16" s="36" cm="1">
        <f t="array" ref="Q16">_xlfn.COUNTIFS('Datos - Temas'!$C$5:$C$1264,"Ciencias",'Datos - Temas'!$B$5:$B$1264,Q$3,'Datos - Temas'!$K$5:$K$1264,$A16)+_xlfn.COUNTIFS('Datos - Temas'!$C$5:$C$1264,"Ciencias",'Datos - Temas'!$B$5:$B$1264,Q$3,'Datos - Temas'!$L$5:$L$1264,$A16)</f>
        <v>13</v>
      </c>
      <c r="R16" s="36" cm="1">
        <f t="array" ref="R16">_xlfn.COUNTIFS('Datos - Temas'!$C$5:$C$1264,"Ciencias",'Datos - Temas'!$B$5:$B$1264,R$3,'Datos - Temas'!$K$5:$K$1264,$A16)+_xlfn.COUNTIFS('Datos - Temas'!$C$5:$C$1264,"Ciencias",'Datos - Temas'!$B$5:$B$1264,R$3,'Datos - Temas'!$L$5:$L$1264,$A16)</f>
        <v>0</v>
      </c>
      <c r="S16" s="36" cm="1">
        <f t="array" ref="S16">_xlfn.COUNTIFS('Datos - Temas'!$C$5:$C$1264,"Ciencias",'Datos - Temas'!$B$5:$B$1264,S$3,'Datos - Temas'!$K$5:$K$1264,$A16)+_xlfn.COUNTIFS('Datos - Temas'!$C$5:$C$1264,"Ciencias",'Datos - Temas'!$B$5:$B$1264,S$3,'Datos - Temas'!$L$5:$L$1264,$A16)</f>
        <v>0</v>
      </c>
      <c r="T16" s="36" cm="1">
        <f t="array" ref="T16">_xlfn.COUNTIFS('Datos - Temas'!$C$5:$C$1264,"Ciencias",'Datos - Temas'!$B$5:$B$1264,T$3,'Datos - Temas'!$K$5:$K$1264,$A16)+_xlfn.COUNTIFS('Datos - Temas'!$C$5:$C$1264,"Ciencias",'Datos - Temas'!$B$5:$B$1264,T$3,'Datos - Temas'!$L$5:$L$1264,$A16)</f>
        <v>0</v>
      </c>
      <c r="U16" s="36" cm="1">
        <f t="array" ref="U16">_xlfn.COUNTIFS('Datos - Temas'!$C$5:$C$1264,"Ciencias",'Datos - Temas'!$B$5:$B$1264,U$3,'Datos - Temas'!$K$5:$K$1264,$A16)+_xlfn.COUNTIFS('Datos - Temas'!$C$5:$C$1264,"Ciencias",'Datos - Temas'!$B$5:$B$1264,U$3,'Datos - Temas'!$L$5:$L$1264,$A16)</f>
        <v>0</v>
      </c>
      <c r="V16" s="36" cm="1">
        <f t="array" ref="V16">_xlfn.COUNTIFS('Datos - Temas'!$C$5:$C$1264,"Ciencias",'Datos - Temas'!$B$5:$B$1264,V$3,'Datos - Temas'!$K$5:$K$1264,$A16)+_xlfn.COUNTIFS('Datos - Temas'!$C$5:$C$1264,"Ciencias",'Datos - Temas'!$B$5:$B$1264,V$3,'Datos - Temas'!$L$5:$L$1264,$A16)</f>
        <v>0</v>
      </c>
      <c r="W16" s="36" cm="1">
        <f t="array" ref="W16">_xlfn.COUNTIFS('Datos - Objetivos de países'!$B$5:$B$510,"Uruguay",'Datos - Objetivos de países'!$F$5:$F$510,W$3,'Datos - Objetivos de países'!$J$5:$J$510,$A16)+_xlfn.COUNTIFS('Datos - Objetivos de países'!$B$5:$B$510,"Uruguay",'Datos - Objetivos de países'!$F$5:$F$510,W$3,'Datos - Objetivos de países'!$K$5:$K$510,$A16)</f>
        <v>0</v>
      </c>
      <c r="X16" s="36" cm="1">
        <f t="array" ref="X16">_xlfn.COUNTIFS('Datos - Objetivos de países'!$B$5:$B$510,"Uruguay",'Datos - Objetivos de países'!$F$5:$F$510,X$3,'Datos - Objetivos de países'!$J$5:$J$510,$A16)+_xlfn.COUNTIFS('Datos - Objetivos de países'!$B$5:$B$510,"Uruguay",'Datos - Objetivos de países'!$F$5:$F$510,X$3,'Datos - Objetivos de países'!$K$5:$K$510,$A16)</f>
        <v>0</v>
      </c>
      <c r="Y16" s="36" cm="1">
        <f t="array" ref="Y16">_xlfn.COUNTIFS('Datos - Objetivos de países'!$B$5:$B$510,"Uruguay",'Datos - Objetivos de países'!$F$5:$F$510,Y$3,'Datos - Objetivos de países'!$J$5:$J$510,$A16)+_xlfn.COUNTIFS('Datos - Objetivos de países'!$B$5:$B$510,"Uruguay",'Datos - Objetivos de países'!$F$5:$F$510,Y$3,'Datos - Objetivos de países'!$K$5:$K$510,$A16)</f>
        <v>2</v>
      </c>
      <c r="Z16" s="36" cm="1">
        <f t="array" ref="Z16">_xlfn.COUNTIFS('Datos - Objetivos de países'!$B$5:$B$510,"Uruguay",'Datos - Objetivos de países'!$F$5:$F$510,Z$3,'Datos - Objetivos de países'!$J$5:$J$510,$A16)+_xlfn.COUNTIFS('Datos - Objetivos de países'!$B$5:$B$510,"Uruguay",'Datos - Objetivos de países'!$F$5:$F$510,Z$3,'Datos - Objetivos de países'!$K$5:$K$510,$A16)</f>
        <v>2</v>
      </c>
      <c r="AA16" s="36" cm="1">
        <f t="array" ref="AA16">_xlfn.COUNTIFS('Datos - Objetivos de países'!$B$5:$B$510,"Uruguay",'Datos - Objetivos de países'!$F$5:$F$510,AA$3,'Datos - Objetivos de países'!$J$5:$J$510,$A16)+_xlfn.COUNTIFS('Datos - Objetivos de países'!$B$5:$B$510,"Uruguay",'Datos - Objetivos de países'!$F$5:$F$510,AA$3,'Datos - Objetivos de países'!$K$5:$K$510,$A16)</f>
        <v>0</v>
      </c>
      <c r="AB16" s="36" cm="1">
        <f t="array" ref="AB16">_xlfn.COUNTIFS('Datos - Objetivos de países'!$B$5:$B$510,"Uruguay",'Datos - Objetivos de países'!$F$5:$F$510,AB$3,'Datos - Objetivos de países'!$J$5:$J$510,$A16)+_xlfn.COUNTIFS('Datos - Objetivos de países'!$B$5:$B$510,"Uruguay",'Datos - Objetivos de países'!$F$5:$F$510,AB$3,'Datos - Objetivos de países'!$K$5:$K$510,$A16)</f>
        <v>0</v>
      </c>
      <c r="AC16" s="36" cm="1">
        <f t="array" ref="AC16">_xlfn.COUNTIFS('Datos - Objetivos de países'!$B$5:$B$510,"Uruguay",'Datos - Objetivos de países'!$F$5:$F$510,AC$3,'Datos - Objetivos de países'!$J$5:$J$510,$A16)+_xlfn.COUNTIFS('Datos - Objetivos de países'!$B$5:$B$510,"Uruguay",'Datos - Objetivos de países'!$F$5:$F$510,AC$3,'Datos - Objetivos de países'!$K$5:$K$510,$A16)</f>
        <v>0</v>
      </c>
      <c r="AD16" s="36" cm="1">
        <f t="array" ref="AD16">_xlfn.COUNTIFS('Datos - Objetivos de países'!$B$5:$B$510,"Uruguay",'Datos - Objetivos de países'!$F$5:$F$510,AD$3,'Datos - Objetivos de países'!$J$5:$J$510,$A16)+_xlfn.COUNTIFS('Datos - Objetivos de países'!$B$5:$B$510,"Uruguay",'Datos - Objetivos de países'!$F$5:$F$510,AD$3,'Datos - Objetivos de países'!$K$5:$K$510,$A16)</f>
        <v>0</v>
      </c>
      <c r="AE16" s="36" cm="1">
        <f t="array" ref="AE16">_xlfn.COUNTIFS('Datos - Objetivos de países'!$B$5:$B$510,"Uruguay",'Datos - Objetivos de países'!$F$5:$F$510,AE$3,'Datos - Objetivos de países'!$J$5:$J$510,$A16)+_xlfn.COUNTIFS('Datos - Objetivos de países'!$B$5:$B$510,"Uruguay",'Datos - Objetivos de países'!$F$5:$F$510,AE$3,'Datos - Objetivos de países'!$K$5:$K$510,$A16)</f>
        <v>0</v>
      </c>
      <c r="AF16" s="36" cm="1">
        <f t="array" ref="AF16">_xlfn.COUNTIFS('Datos - Objetivos de países'!$B$5:$B$510,"Colombia",'Datos - Objetivos de países'!$F$5:$F$510,AF$3,'Datos - Objetivos de países'!$J$5:$J$510,$A16)+_xlfn.COUNTIFS('Datos - Objetivos de países'!$B$5:$B$510,"Colombia",'Datos - Objetivos de países'!$F$5:$F$510,AF$3,'Datos - Objetivos de países'!$K$5:$K$510,$A16)</f>
        <v>1</v>
      </c>
      <c r="AG16" s="36" cm="1">
        <f t="array" ref="AG16">_xlfn.COUNTIFS('Datos - Objetivos de países'!$B$5:$B$510,"Colombia",'Datos - Objetivos de países'!$F$5:$F$510,AG$3,'Datos - Objetivos de países'!$J$5:$J$510,$A16)+_xlfn.COUNTIFS('Datos - Objetivos de países'!$B$5:$B$510,"Colombia",'Datos - Objetivos de países'!$F$5:$F$510,AG$3,'Datos - Objetivos de países'!$K$5:$K$510,$A16)</f>
        <v>0</v>
      </c>
      <c r="AH16" s="36" cm="1">
        <f t="array" ref="AH16">_xlfn.COUNTIFS('Datos - Objetivos de países'!$B$5:$B$510,"Colombia",'Datos - Objetivos de países'!$F$5:$F$510,AH$3,'Datos - Objetivos de países'!$J$5:$J$510,$A16)+_xlfn.COUNTIFS('Datos - Objetivos de países'!$B$5:$B$510,"Colombia",'Datos - Objetivos de países'!$F$5:$F$510,AH$3,'Datos - Objetivos de países'!$K$5:$K$510,$A16)</f>
        <v>0</v>
      </c>
      <c r="AI16" s="36" cm="1">
        <f t="array" ref="AI16">_xlfn.COUNTIFS('Datos - Objetivos de países'!$B$5:$B$510,"Colombia",'Datos - Objetivos de países'!$F$5:$F$510,AI$3,'Datos - Objetivos de países'!$J$5:$J$510,$A16)+_xlfn.COUNTIFS('Datos - Objetivos de países'!$B$5:$B$510,"Colombia",'Datos - Objetivos de países'!$F$5:$F$510,AI$3,'Datos - Objetivos de países'!$K$5:$K$510,$A16)</f>
        <v>2</v>
      </c>
      <c r="AJ16" s="36" cm="1">
        <f t="array" ref="AJ16">_xlfn.COUNTIFS('Datos - Objetivos de países'!$B$5:$B$510,"Colombia",'Datos - Objetivos de países'!$F$5:$F$510,AJ$3,'Datos - Objetivos de países'!$J$5:$J$510,$A16)+_xlfn.COUNTIFS('Datos - Objetivos de países'!$B$5:$B$510,"Colombia",'Datos - Objetivos de países'!$F$5:$F$510,AJ$3,'Datos - Objetivos de países'!$K$5:$K$510,$A16)</f>
        <v>0</v>
      </c>
      <c r="AK16" s="36" cm="1">
        <f t="array" ref="AK16">_xlfn.COUNTIFS('Datos - Objetivos de países'!$B$5:$B$510,"Colombia",'Datos - Objetivos de países'!$F$5:$F$510,AK$3,'Datos - Objetivos de países'!$J$5:$J$510,$A16)+_xlfn.COUNTIFS('Datos - Objetivos de países'!$B$5:$B$510,"Colombia",'Datos - Objetivos de países'!$F$5:$F$510,AK$3,'Datos - Objetivos de países'!$K$5:$K$510,$A16)</f>
        <v>0</v>
      </c>
      <c r="AL16" s="36" cm="1">
        <f t="array" ref="AL16">_xlfn.COUNTIFS('Datos - Objetivos de países'!$B$5:$B$510,"Colombia",'Datos - Objetivos de países'!$F$5:$F$510,AL$3,'Datos - Objetivos de países'!$J$5:$J$510,$A16)+_xlfn.COUNTIFS('Datos - Objetivos de países'!$B$5:$B$510,"Colombia",'Datos - Objetivos de países'!$F$5:$F$510,AL$3,'Datos - Objetivos de países'!$K$5:$K$510,$A16)</f>
        <v>0</v>
      </c>
      <c r="AM16" s="36" cm="1">
        <f t="array" ref="AM16">_xlfn.COUNTIFS('Datos - Objetivos de países'!$B$5:$B$510,"Colombia",'Datos - Objetivos de países'!$F$5:$F$510,AM$3,'Datos - Objetivos de países'!$J$5:$J$510,$A16)+_xlfn.COUNTIFS('Datos - Objetivos de países'!$B$5:$B$510,"Colombia",'Datos - Objetivos de países'!$F$5:$F$510,AM$3,'Datos - Objetivos de países'!$K$5:$K$510,$A16)</f>
        <v>0</v>
      </c>
      <c r="AN16" s="36" cm="1">
        <f t="array" ref="AN16">_xlfn.COUNTIFS('Datos - Objetivos de países'!$B$5:$B$510,"Colombia",'Datos - Objetivos de países'!$F$5:$F$510,AN$3,'Datos - Objetivos de países'!$J$5:$J$510,$A16)+_xlfn.COUNTIFS('Datos - Objetivos de países'!$B$5:$B$510,"Colombia",'Datos - Objetivos de países'!$F$5:$F$510,AN$3,'Datos - Objetivos de países'!$K$5:$K$510,$A16)</f>
        <v>0</v>
      </c>
      <c r="AO16" s="36" cm="1">
        <f t="array" ref="AO16">_xlfn.COUNTIFS('Datos - Objetivos de países'!$B$5:$B$510,"Singapur",'Datos - Objetivos de países'!$F$5:$F$510,AO$3,'Datos - Objetivos de países'!$J$5:$J$510,$A16)+_xlfn.COUNTIFS('Datos - Objetivos de países'!$B$5:$B$510,"Singapur",'Datos - Objetivos de países'!$F$5:$F$510,AO$3,'Datos - Objetivos de países'!$K$5:$K$510,$A16)</f>
        <v>0</v>
      </c>
      <c r="AP16" s="36" cm="1">
        <f t="array" ref="AP16">_xlfn.COUNTIFS('Datos - Objetivos de países'!$B$5:$B$510,"Singapur",'Datos - Objetivos de países'!$F$5:$F$510,AP$3,'Datos - Objetivos de países'!$J$5:$J$510,$A16)+_xlfn.COUNTIFS('Datos - Objetivos de países'!$B$5:$B$510,"Singapur",'Datos - Objetivos de países'!$F$5:$F$510,AP$3,'Datos - Objetivos de países'!$K$5:$K$510,$A16)</f>
        <v>0</v>
      </c>
      <c r="AQ16" s="36" cm="1">
        <f t="array" ref="AQ16">_xlfn.COUNTIFS('Datos - Objetivos de países'!$B$5:$B$510,"Singapur",'Datos - Objetivos de países'!$F$5:$F$510,AQ$3,'Datos - Objetivos de países'!$J$5:$J$510,$A16)+_xlfn.COUNTIFS('Datos - Objetivos de países'!$B$5:$B$510,"Singapur",'Datos - Objetivos de países'!$F$5:$F$510,AQ$3,'Datos - Objetivos de países'!$K$5:$K$510,$A16)</f>
        <v>0</v>
      </c>
      <c r="AR16" s="36" cm="1">
        <f t="array" ref="AR16">_xlfn.COUNTIFS('Datos - Objetivos de países'!$B$5:$B$510,"Singapur",'Datos - Objetivos de países'!$F$5:$F$510,AR$3,'Datos - Objetivos de países'!$J$5:$J$510,$A16)+_xlfn.COUNTIFS('Datos - Objetivos de países'!$B$5:$B$510,"Singapur",'Datos - Objetivos de países'!$F$5:$F$510,AR$3,'Datos - Objetivos de países'!$K$5:$K$510,$A16)</f>
        <v>0</v>
      </c>
      <c r="AS16" s="36" cm="1">
        <f t="array" ref="AS16">_xlfn.COUNTIFS('Datos - Objetivos de países'!$B$5:$B$510,"Singapur",'Datos - Objetivos de países'!$F$5:$F$510,AS$3,'Datos - Objetivos de países'!$J$5:$J$510,$A16)+_xlfn.COUNTIFS('Datos - Objetivos de países'!$B$5:$B$510,"Singapur",'Datos - Objetivos de países'!$F$5:$F$510,AS$3,'Datos - Objetivos de países'!$K$5:$K$510,$A16)</f>
        <v>0</v>
      </c>
      <c r="AT16" s="36" cm="1">
        <f t="array" ref="AT16">_xlfn.COUNTIFS('Datos - Objetivos de países'!$B$5:$B$510,"Singapur",'Datos - Objetivos de países'!$F$5:$F$510,AT$3,'Datos - Objetivos de países'!$J$5:$J$510,$A16)+_xlfn.COUNTIFS('Datos - Objetivos de países'!$B$5:$B$510,"Singapur",'Datos - Objetivos de países'!$F$5:$F$510,AT$3,'Datos - Objetivos de países'!$K$5:$K$510,$A16)</f>
        <v>0</v>
      </c>
      <c r="AU16" s="36" cm="1">
        <f t="array" ref="AU16">_xlfn.COUNTIFS('Datos - Objetivos de países'!$B$5:$B$510,"Singapur",'Datos - Objetivos de países'!$F$5:$F$510,AU$3,'Datos - Objetivos de países'!$J$5:$J$510,$A16)+_xlfn.COUNTIFS('Datos - Objetivos de países'!$B$5:$B$510,"Singapur",'Datos - Objetivos de países'!$F$5:$F$510,AU$3,'Datos - Objetivos de países'!$K$5:$K$510,$A16)</f>
        <v>0</v>
      </c>
      <c r="AV16" s="36" cm="1">
        <f t="array" ref="AV16">_xlfn.COUNTIFS('Datos - Objetivos de países'!$B$5:$B$510,"Singapur",'Datos - Objetivos de países'!$F$5:$F$510,AV$3,'Datos - Objetivos de países'!$J$5:$J$510,$A16)+_xlfn.COUNTIFS('Datos - Objetivos de países'!$B$5:$B$510,"Singapur",'Datos - Objetivos de países'!$F$5:$F$510,AV$3,'Datos - Objetivos de países'!$K$5:$K$510,$A16)</f>
        <v>0</v>
      </c>
      <c r="AW16" s="36" cm="1">
        <f t="array" ref="AW16">_xlfn.COUNTIFS('Datos - Objetivos de países'!$B$5:$B$510,"Singapur",'Datos - Objetivos de países'!$F$5:$F$510,AW$3,'Datos - Objetivos de países'!$J$5:$J$510,$A16)+_xlfn.COUNTIFS('Datos - Objetivos de países'!$B$5:$B$510,"Singapur",'Datos - Objetivos de países'!$F$5:$F$510,AW$3,'Datos - Objetivos de países'!$K$5:$K$510,$A16)</f>
        <v>0</v>
      </c>
    </row>
    <row r="17" ht="13.65" customHeight="1">
      <c r="A17" t="s" s="78">
        <v>1099</v>
      </c>
      <c r="B17" t="s" s="78">
        <v>1055</v>
      </c>
      <c r="C17" t="s" s="78">
        <v>210</v>
      </c>
      <c r="D17" t="s" s="78">
        <v>1101</v>
      </c>
      <c r="E17" s="80" cm="1">
        <f t="array" ref="E17">_xlfn.IFERROR(MAX($L$3,INDEX($N$3:$V$3,MATCH(TRUE,INDEX(N17:V17&gt;0,0),0))),"—")</f>
        <v>2</v>
      </c>
      <c r="F17" s="80" cm="1">
        <f t="array" ref="F17">_xlfn.IFERROR(MAX($L$3,INDEX($W$3:$AE$3,MATCH(TRUE,INDEX(W17:AE17&gt;0,0),0))),"—")</f>
        <v>3</v>
      </c>
      <c r="G17" s="80" cm="1">
        <f t="array" ref="G17">_xlfn.IFERROR(MAX($L$3,INDEX($AF$3:$AN$3,MATCH(TRUE,INDEX(AF17:AN17&gt;0,0),0))),"—")</f>
        <v>2</v>
      </c>
      <c r="H17" s="80" cm="1">
        <f t="array" ref="H17">_xlfn.IFERROR(MAX($L$3,INDEX($AO$3:$AW$3,MATCH(TRUE,INDEX(AO17:AW17&gt;0,0),0))),"—")</f>
        <v>3</v>
      </c>
      <c r="I17" s="111" cm="1">
        <f t="array" ref="I17">IF(L17=0,"—",MEDIAN(F17:H17))</f>
        <v>3</v>
      </c>
      <c r="J17" s="111" cm="1">
        <f t="array" ref="J17">IF(OR(E17="—",I17="—"),"—",E17-I17)</f>
        <v>-1</v>
      </c>
      <c r="K17" t="str" s="49" cm="1">
        <f t="array" ref="K17">IF(E17="—",IF(L17=0,"Nadie lo trabaja","El Salvador no llega"),IF(L17=0,"Solo El Salvador",IF(J17&gt;0,"El Salvador llega más tarde",IF(J17&lt;0,"El Salvador va adelantado","Mismo grado"))))</f>
        <v>El Salvador va adelantado</v>
      </c>
      <c r="L17" s="80" cm="1">
        <f t="array" ref="L17">COUNT(F17:H17)</f>
        <v>3</v>
      </c>
      <c r="M17" s="110"/>
      <c r="N17" s="36" cm="1">
        <f t="array" ref="N17">_xlfn.COUNTIFS('Datos - Temas'!$C$5:$C$1264,"Ciencias",'Datos - Temas'!$B$5:$B$1264,N$3,'Datos - Temas'!$K$5:$K$1264,$A17)+_xlfn.COUNTIFS('Datos - Temas'!$C$5:$C$1264,"Ciencias",'Datos - Temas'!$B$5:$B$1264,N$3,'Datos - Temas'!$L$5:$L$1264,$A17)</f>
        <v>0</v>
      </c>
      <c r="O17" s="36" cm="1">
        <f t="array" ref="O17">_xlfn.COUNTIFS('Datos - Temas'!$C$5:$C$1264,"Ciencias",'Datos - Temas'!$B$5:$B$1264,O$3,'Datos - Temas'!$K$5:$K$1264,$A17)+_xlfn.COUNTIFS('Datos - Temas'!$C$5:$C$1264,"Ciencias",'Datos - Temas'!$B$5:$B$1264,O$3,'Datos - Temas'!$L$5:$L$1264,$A17)</f>
        <v>1</v>
      </c>
      <c r="P17" s="36" cm="1">
        <f t="array" ref="P17">_xlfn.COUNTIFS('Datos - Temas'!$C$5:$C$1264,"Ciencias",'Datos - Temas'!$B$5:$B$1264,P$3,'Datos - Temas'!$K$5:$K$1264,$A17)+_xlfn.COUNTIFS('Datos - Temas'!$C$5:$C$1264,"Ciencias",'Datos - Temas'!$B$5:$B$1264,P$3,'Datos - Temas'!$L$5:$L$1264,$A17)</f>
        <v>10</v>
      </c>
      <c r="Q17" s="36" cm="1">
        <f t="array" ref="Q17">_xlfn.COUNTIFS('Datos - Temas'!$C$5:$C$1264,"Ciencias",'Datos - Temas'!$B$5:$B$1264,Q$3,'Datos - Temas'!$K$5:$K$1264,$A17)+_xlfn.COUNTIFS('Datos - Temas'!$C$5:$C$1264,"Ciencias",'Datos - Temas'!$B$5:$B$1264,Q$3,'Datos - Temas'!$L$5:$L$1264,$A17)</f>
        <v>2</v>
      </c>
      <c r="R17" s="36" cm="1">
        <f t="array" ref="R17">_xlfn.COUNTIFS('Datos - Temas'!$C$5:$C$1264,"Ciencias",'Datos - Temas'!$B$5:$B$1264,R$3,'Datos - Temas'!$K$5:$K$1264,$A17)+_xlfn.COUNTIFS('Datos - Temas'!$C$5:$C$1264,"Ciencias",'Datos - Temas'!$B$5:$B$1264,R$3,'Datos - Temas'!$L$5:$L$1264,$A17)</f>
        <v>0</v>
      </c>
      <c r="S17" s="36" cm="1">
        <f t="array" ref="S17">_xlfn.COUNTIFS('Datos - Temas'!$C$5:$C$1264,"Ciencias",'Datos - Temas'!$B$5:$B$1264,S$3,'Datos - Temas'!$K$5:$K$1264,$A17)+_xlfn.COUNTIFS('Datos - Temas'!$C$5:$C$1264,"Ciencias",'Datos - Temas'!$B$5:$B$1264,S$3,'Datos - Temas'!$L$5:$L$1264,$A17)</f>
        <v>0</v>
      </c>
      <c r="T17" s="36" cm="1">
        <f t="array" ref="T17">_xlfn.COUNTIFS('Datos - Temas'!$C$5:$C$1264,"Ciencias",'Datos - Temas'!$B$5:$B$1264,T$3,'Datos - Temas'!$K$5:$K$1264,$A17)+_xlfn.COUNTIFS('Datos - Temas'!$C$5:$C$1264,"Ciencias",'Datos - Temas'!$B$5:$B$1264,T$3,'Datos - Temas'!$L$5:$L$1264,$A17)</f>
        <v>0</v>
      </c>
      <c r="U17" s="36" cm="1">
        <f t="array" ref="U17">_xlfn.COUNTIFS('Datos - Temas'!$C$5:$C$1264,"Ciencias",'Datos - Temas'!$B$5:$B$1264,U$3,'Datos - Temas'!$K$5:$K$1264,$A17)+_xlfn.COUNTIFS('Datos - Temas'!$C$5:$C$1264,"Ciencias",'Datos - Temas'!$B$5:$B$1264,U$3,'Datos - Temas'!$L$5:$L$1264,$A17)</f>
        <v>0</v>
      </c>
      <c r="V17" s="36" cm="1">
        <f t="array" ref="V17">_xlfn.COUNTIFS('Datos - Temas'!$C$5:$C$1264,"Ciencias",'Datos - Temas'!$B$5:$B$1264,V$3,'Datos - Temas'!$K$5:$K$1264,$A17)+_xlfn.COUNTIFS('Datos - Temas'!$C$5:$C$1264,"Ciencias",'Datos - Temas'!$B$5:$B$1264,V$3,'Datos - Temas'!$L$5:$L$1264,$A17)</f>
        <v>0</v>
      </c>
      <c r="W17" s="36" cm="1">
        <f t="array" ref="W17">_xlfn.COUNTIFS('Datos - Objetivos de países'!$B$5:$B$510,"Uruguay",'Datos - Objetivos de países'!$F$5:$F$510,W$3,'Datos - Objetivos de países'!$J$5:$J$510,$A17)+_xlfn.COUNTIFS('Datos - Objetivos de países'!$B$5:$B$510,"Uruguay",'Datos - Objetivos de países'!$F$5:$F$510,W$3,'Datos - Objetivos de países'!$K$5:$K$510,$A17)</f>
        <v>0</v>
      </c>
      <c r="X17" s="36" cm="1">
        <f t="array" ref="X17">_xlfn.COUNTIFS('Datos - Objetivos de países'!$B$5:$B$510,"Uruguay",'Datos - Objetivos de países'!$F$5:$F$510,X$3,'Datos - Objetivos de países'!$J$5:$J$510,$A17)+_xlfn.COUNTIFS('Datos - Objetivos de países'!$B$5:$B$510,"Uruguay",'Datos - Objetivos de países'!$F$5:$F$510,X$3,'Datos - Objetivos de países'!$K$5:$K$510,$A17)</f>
        <v>0</v>
      </c>
      <c r="Y17" s="36" cm="1">
        <f t="array" ref="Y17">_xlfn.COUNTIFS('Datos - Objetivos de países'!$B$5:$B$510,"Uruguay",'Datos - Objetivos de países'!$F$5:$F$510,Y$3,'Datos - Objetivos de países'!$J$5:$J$510,$A17)+_xlfn.COUNTIFS('Datos - Objetivos de países'!$B$5:$B$510,"Uruguay",'Datos - Objetivos de países'!$F$5:$F$510,Y$3,'Datos - Objetivos de países'!$K$5:$K$510,$A17)</f>
        <v>1</v>
      </c>
      <c r="Z17" s="36" cm="1">
        <f t="array" ref="Z17">_xlfn.COUNTIFS('Datos - Objetivos de países'!$B$5:$B$510,"Uruguay",'Datos - Objetivos de países'!$F$5:$F$510,Z$3,'Datos - Objetivos de países'!$J$5:$J$510,$A17)+_xlfn.COUNTIFS('Datos - Objetivos de países'!$B$5:$B$510,"Uruguay",'Datos - Objetivos de países'!$F$5:$F$510,Z$3,'Datos - Objetivos de países'!$K$5:$K$510,$A17)</f>
        <v>0</v>
      </c>
      <c r="AA17" s="36" cm="1">
        <f t="array" ref="AA17">_xlfn.COUNTIFS('Datos - Objetivos de países'!$B$5:$B$510,"Uruguay",'Datos - Objetivos de países'!$F$5:$F$510,AA$3,'Datos - Objetivos de países'!$J$5:$J$510,$A17)+_xlfn.COUNTIFS('Datos - Objetivos de países'!$B$5:$B$510,"Uruguay",'Datos - Objetivos de países'!$F$5:$F$510,AA$3,'Datos - Objetivos de países'!$K$5:$K$510,$A17)</f>
        <v>0</v>
      </c>
      <c r="AB17" s="36" cm="1">
        <f t="array" ref="AB17">_xlfn.COUNTIFS('Datos - Objetivos de países'!$B$5:$B$510,"Uruguay",'Datos - Objetivos de países'!$F$5:$F$510,AB$3,'Datos - Objetivos de países'!$J$5:$J$510,$A17)+_xlfn.COUNTIFS('Datos - Objetivos de países'!$B$5:$B$510,"Uruguay",'Datos - Objetivos de países'!$F$5:$F$510,AB$3,'Datos - Objetivos de países'!$K$5:$K$510,$A17)</f>
        <v>0</v>
      </c>
      <c r="AC17" s="36" cm="1">
        <f t="array" ref="AC17">_xlfn.COUNTIFS('Datos - Objetivos de países'!$B$5:$B$510,"Uruguay",'Datos - Objetivos de países'!$F$5:$F$510,AC$3,'Datos - Objetivos de países'!$J$5:$J$510,$A17)+_xlfn.COUNTIFS('Datos - Objetivos de países'!$B$5:$B$510,"Uruguay",'Datos - Objetivos de países'!$F$5:$F$510,AC$3,'Datos - Objetivos de países'!$K$5:$K$510,$A17)</f>
        <v>0</v>
      </c>
      <c r="AD17" s="36" cm="1">
        <f t="array" ref="AD17">_xlfn.COUNTIFS('Datos - Objetivos de países'!$B$5:$B$510,"Uruguay",'Datos - Objetivos de países'!$F$5:$F$510,AD$3,'Datos - Objetivos de países'!$J$5:$J$510,$A17)+_xlfn.COUNTIFS('Datos - Objetivos de países'!$B$5:$B$510,"Uruguay",'Datos - Objetivos de países'!$F$5:$F$510,AD$3,'Datos - Objetivos de países'!$K$5:$K$510,$A17)</f>
        <v>0</v>
      </c>
      <c r="AE17" s="36" cm="1">
        <f t="array" ref="AE17">_xlfn.COUNTIFS('Datos - Objetivos de países'!$B$5:$B$510,"Uruguay",'Datos - Objetivos de países'!$F$5:$F$510,AE$3,'Datos - Objetivos de países'!$J$5:$J$510,$A17)+_xlfn.COUNTIFS('Datos - Objetivos de países'!$B$5:$B$510,"Uruguay",'Datos - Objetivos de países'!$F$5:$F$510,AE$3,'Datos - Objetivos de países'!$K$5:$K$510,$A17)</f>
        <v>0</v>
      </c>
      <c r="AF17" s="36" cm="1">
        <f t="array" ref="AF17">_xlfn.COUNTIFS('Datos - Objetivos de países'!$B$5:$B$510,"Colombia",'Datos - Objetivos de países'!$F$5:$F$510,AF$3,'Datos - Objetivos de países'!$J$5:$J$510,$A17)+_xlfn.COUNTIFS('Datos - Objetivos de países'!$B$5:$B$510,"Colombia",'Datos - Objetivos de países'!$F$5:$F$510,AF$3,'Datos - Objetivos de países'!$K$5:$K$510,$A17)</f>
        <v>4</v>
      </c>
      <c r="AG17" s="36" cm="1">
        <f t="array" ref="AG17">_xlfn.COUNTIFS('Datos - Objetivos de países'!$B$5:$B$510,"Colombia",'Datos - Objetivos de países'!$F$5:$F$510,AG$3,'Datos - Objetivos de países'!$J$5:$J$510,$A17)+_xlfn.COUNTIFS('Datos - Objetivos de países'!$B$5:$B$510,"Colombia",'Datos - Objetivos de países'!$F$5:$F$510,AG$3,'Datos - Objetivos de países'!$K$5:$K$510,$A17)</f>
        <v>0</v>
      </c>
      <c r="AH17" s="36" cm="1">
        <f t="array" ref="AH17">_xlfn.COUNTIFS('Datos - Objetivos de países'!$B$5:$B$510,"Colombia",'Datos - Objetivos de países'!$F$5:$F$510,AH$3,'Datos - Objetivos de países'!$J$5:$J$510,$A17)+_xlfn.COUNTIFS('Datos - Objetivos de países'!$B$5:$B$510,"Colombia",'Datos - Objetivos de países'!$F$5:$F$510,AH$3,'Datos - Objetivos de países'!$K$5:$K$510,$A17)</f>
        <v>0</v>
      </c>
      <c r="AI17" s="36" cm="1">
        <f t="array" ref="AI17">_xlfn.COUNTIFS('Datos - Objetivos de países'!$B$5:$B$510,"Colombia",'Datos - Objetivos de países'!$F$5:$F$510,AI$3,'Datos - Objetivos de países'!$J$5:$J$510,$A17)+_xlfn.COUNTIFS('Datos - Objetivos de países'!$B$5:$B$510,"Colombia",'Datos - Objetivos de países'!$F$5:$F$510,AI$3,'Datos - Objetivos de países'!$K$5:$K$510,$A17)</f>
        <v>3</v>
      </c>
      <c r="AJ17" s="36" cm="1">
        <f t="array" ref="AJ17">_xlfn.COUNTIFS('Datos - Objetivos de países'!$B$5:$B$510,"Colombia",'Datos - Objetivos de países'!$F$5:$F$510,AJ$3,'Datos - Objetivos de países'!$J$5:$J$510,$A17)+_xlfn.COUNTIFS('Datos - Objetivos de países'!$B$5:$B$510,"Colombia",'Datos - Objetivos de países'!$F$5:$F$510,AJ$3,'Datos - Objetivos de países'!$K$5:$K$510,$A17)</f>
        <v>0</v>
      </c>
      <c r="AK17" s="36" cm="1">
        <f t="array" ref="AK17">_xlfn.COUNTIFS('Datos - Objetivos de países'!$B$5:$B$510,"Colombia",'Datos - Objetivos de países'!$F$5:$F$510,AK$3,'Datos - Objetivos de países'!$J$5:$J$510,$A17)+_xlfn.COUNTIFS('Datos - Objetivos de países'!$B$5:$B$510,"Colombia",'Datos - Objetivos de países'!$F$5:$F$510,AK$3,'Datos - Objetivos de países'!$K$5:$K$510,$A17)</f>
        <v>0</v>
      </c>
      <c r="AL17" s="36" cm="1">
        <f t="array" ref="AL17">_xlfn.COUNTIFS('Datos - Objetivos de países'!$B$5:$B$510,"Colombia",'Datos - Objetivos de países'!$F$5:$F$510,AL$3,'Datos - Objetivos de países'!$J$5:$J$510,$A17)+_xlfn.COUNTIFS('Datos - Objetivos de países'!$B$5:$B$510,"Colombia",'Datos - Objetivos de países'!$F$5:$F$510,AL$3,'Datos - Objetivos de países'!$K$5:$K$510,$A17)</f>
        <v>0</v>
      </c>
      <c r="AM17" s="36" cm="1">
        <f t="array" ref="AM17">_xlfn.COUNTIFS('Datos - Objetivos de países'!$B$5:$B$510,"Colombia",'Datos - Objetivos de países'!$F$5:$F$510,AM$3,'Datos - Objetivos de países'!$J$5:$J$510,$A17)+_xlfn.COUNTIFS('Datos - Objetivos de países'!$B$5:$B$510,"Colombia",'Datos - Objetivos de países'!$F$5:$F$510,AM$3,'Datos - Objetivos de países'!$K$5:$K$510,$A17)</f>
        <v>0</v>
      </c>
      <c r="AN17" s="36" cm="1">
        <f t="array" ref="AN17">_xlfn.COUNTIFS('Datos - Objetivos de países'!$B$5:$B$510,"Colombia",'Datos - Objetivos de países'!$F$5:$F$510,AN$3,'Datos - Objetivos de países'!$J$5:$J$510,$A17)+_xlfn.COUNTIFS('Datos - Objetivos de países'!$B$5:$B$510,"Colombia",'Datos - Objetivos de países'!$F$5:$F$510,AN$3,'Datos - Objetivos de países'!$K$5:$K$510,$A17)</f>
        <v>0</v>
      </c>
      <c r="AO17" s="36" cm="1">
        <f t="array" ref="AO17">_xlfn.COUNTIFS('Datos - Objetivos de países'!$B$5:$B$510,"Singapur",'Datos - Objetivos de países'!$F$5:$F$510,AO$3,'Datos - Objetivos de países'!$J$5:$J$510,$A17)+_xlfn.COUNTIFS('Datos - Objetivos de países'!$B$5:$B$510,"Singapur",'Datos - Objetivos de países'!$F$5:$F$510,AO$3,'Datos - Objetivos de países'!$K$5:$K$510,$A17)</f>
        <v>0</v>
      </c>
      <c r="AP17" s="36" cm="1">
        <f t="array" ref="AP17">_xlfn.COUNTIFS('Datos - Objetivos de países'!$B$5:$B$510,"Singapur",'Datos - Objetivos de países'!$F$5:$F$510,AP$3,'Datos - Objetivos de países'!$J$5:$J$510,$A17)+_xlfn.COUNTIFS('Datos - Objetivos de países'!$B$5:$B$510,"Singapur",'Datos - Objetivos de países'!$F$5:$F$510,AP$3,'Datos - Objetivos de países'!$K$5:$K$510,$A17)</f>
        <v>0</v>
      </c>
      <c r="AQ17" s="36" cm="1">
        <f t="array" ref="AQ17">_xlfn.COUNTIFS('Datos - Objetivos de países'!$B$5:$B$510,"Singapur",'Datos - Objetivos de países'!$F$5:$F$510,AQ$3,'Datos - Objetivos de países'!$J$5:$J$510,$A17)+_xlfn.COUNTIFS('Datos - Objetivos de países'!$B$5:$B$510,"Singapur",'Datos - Objetivos de países'!$F$5:$F$510,AQ$3,'Datos - Objetivos de países'!$K$5:$K$510,$A17)</f>
        <v>4</v>
      </c>
      <c r="AR17" s="36" cm="1">
        <f t="array" ref="AR17">_xlfn.COUNTIFS('Datos - Objetivos de países'!$B$5:$B$510,"Singapur",'Datos - Objetivos de países'!$F$5:$F$510,AR$3,'Datos - Objetivos de países'!$J$5:$J$510,$A17)+_xlfn.COUNTIFS('Datos - Objetivos de países'!$B$5:$B$510,"Singapur",'Datos - Objetivos de países'!$F$5:$F$510,AR$3,'Datos - Objetivos de países'!$K$5:$K$510,$A17)</f>
        <v>1</v>
      </c>
      <c r="AS17" s="36" cm="1">
        <f t="array" ref="AS17">_xlfn.COUNTIFS('Datos - Objetivos de países'!$B$5:$B$510,"Singapur",'Datos - Objetivos de países'!$F$5:$F$510,AS$3,'Datos - Objetivos de países'!$J$5:$J$510,$A17)+_xlfn.COUNTIFS('Datos - Objetivos de países'!$B$5:$B$510,"Singapur",'Datos - Objetivos de países'!$F$5:$F$510,AS$3,'Datos - Objetivos de países'!$K$5:$K$510,$A17)</f>
        <v>0</v>
      </c>
      <c r="AT17" s="36" cm="1">
        <f t="array" ref="AT17">_xlfn.COUNTIFS('Datos - Objetivos de países'!$B$5:$B$510,"Singapur",'Datos - Objetivos de países'!$F$5:$F$510,AT$3,'Datos - Objetivos de países'!$J$5:$J$510,$A17)+_xlfn.COUNTIFS('Datos - Objetivos de países'!$B$5:$B$510,"Singapur",'Datos - Objetivos de países'!$F$5:$F$510,AT$3,'Datos - Objetivos de países'!$K$5:$K$510,$A17)</f>
        <v>0</v>
      </c>
      <c r="AU17" s="36" cm="1">
        <f t="array" ref="AU17">_xlfn.COUNTIFS('Datos - Objetivos de países'!$B$5:$B$510,"Singapur",'Datos - Objetivos de países'!$F$5:$F$510,AU$3,'Datos - Objetivos de países'!$J$5:$J$510,$A17)+_xlfn.COUNTIFS('Datos - Objetivos de países'!$B$5:$B$510,"Singapur",'Datos - Objetivos de países'!$F$5:$F$510,AU$3,'Datos - Objetivos de países'!$K$5:$K$510,$A17)</f>
        <v>0</v>
      </c>
      <c r="AV17" s="36" cm="1">
        <f t="array" ref="AV17">_xlfn.COUNTIFS('Datos - Objetivos de países'!$B$5:$B$510,"Singapur",'Datos - Objetivos de países'!$F$5:$F$510,AV$3,'Datos - Objetivos de países'!$J$5:$J$510,$A17)+_xlfn.COUNTIFS('Datos - Objetivos de países'!$B$5:$B$510,"Singapur",'Datos - Objetivos de países'!$F$5:$F$510,AV$3,'Datos - Objetivos de países'!$K$5:$K$510,$A17)</f>
        <v>0</v>
      </c>
      <c r="AW17" s="36" cm="1">
        <f t="array" ref="AW17">_xlfn.COUNTIFS('Datos - Objetivos de países'!$B$5:$B$510,"Singapur",'Datos - Objetivos de países'!$F$5:$F$510,AW$3,'Datos - Objetivos de países'!$J$5:$J$510,$A17)+_xlfn.COUNTIFS('Datos - Objetivos de países'!$B$5:$B$510,"Singapur",'Datos - Objetivos de países'!$F$5:$F$510,AW$3,'Datos - Objetivos de países'!$K$5:$K$510,$A17)</f>
        <v>0</v>
      </c>
    </row>
    <row r="18" ht="13.65" customHeight="1">
      <c r="A18" t="s" s="78">
        <v>313</v>
      </c>
      <c r="B18" t="s" s="78">
        <v>1055</v>
      </c>
      <c r="C18" t="s" s="78">
        <v>213</v>
      </c>
      <c r="D18" t="s" s="78">
        <v>1104</v>
      </c>
      <c r="E18" s="80" cm="1">
        <f t="array" ref="E18">_xlfn.IFERROR(MAX($L$3,INDEX($N$3:$V$3,MATCH(TRUE,INDEX(N18:V18&gt;0,0),0))),"—")</f>
        <v>2</v>
      </c>
      <c r="F18" s="80" cm="1">
        <f t="array" ref="F18">_xlfn.IFERROR(MAX($L$3,INDEX($W$3:$AE$3,MATCH(TRUE,INDEX(W18:AE18&gt;0,0),0))),"—")</f>
        <v>3</v>
      </c>
      <c r="G18" s="80" cm="1">
        <f t="array" ref="G18">_xlfn.IFERROR(MAX($L$3,INDEX($AF$3:$AN$3,MATCH(TRUE,INDEX(AF18:AN18&gt;0,0),0))),"—")</f>
        <v>2</v>
      </c>
      <c r="H18" s="80" cm="1">
        <f t="array" ref="H18">_xlfn.IFERROR(MAX($L$3,INDEX($AO$3:$AW$3,MATCH(TRUE,INDEX(AO18:AW18&gt;0,0),0))),"—")</f>
        <v>4</v>
      </c>
      <c r="I18" s="111" cm="1">
        <f t="array" ref="I18">IF(L18=0,"—",MEDIAN(F18:H18))</f>
        <v>3</v>
      </c>
      <c r="J18" s="111" cm="1">
        <f t="array" ref="J18">IF(OR(E18="—",I18="—"),"—",E18-I18)</f>
        <v>-1</v>
      </c>
      <c r="K18" t="str" s="49" cm="1">
        <f t="array" ref="K18">IF(E18="—",IF(L18=0,"Nadie lo trabaja","El Salvador no llega"),IF(L18=0,"Solo El Salvador",IF(J18&gt;0,"El Salvador llega más tarde",IF(J18&lt;0,"El Salvador va adelantado","Mismo grado"))))</f>
        <v>El Salvador va adelantado</v>
      </c>
      <c r="L18" s="80" cm="1">
        <f t="array" ref="L18">COUNT(F18:H18)</f>
        <v>3</v>
      </c>
      <c r="M18" s="110"/>
      <c r="N18" s="36" cm="1">
        <f t="array" ref="N18">_xlfn.COUNTIFS('Datos - Temas'!$C$5:$C$1264,"Ciencias",'Datos - Temas'!$B$5:$B$1264,N$3,'Datos - Temas'!$K$5:$K$1264,$A18)+_xlfn.COUNTIFS('Datos - Temas'!$C$5:$C$1264,"Ciencias",'Datos - Temas'!$B$5:$B$1264,N$3,'Datos - Temas'!$L$5:$L$1264,$A18)</f>
        <v>0</v>
      </c>
      <c r="O18" s="36" cm="1">
        <f t="array" ref="O18">_xlfn.COUNTIFS('Datos - Temas'!$C$5:$C$1264,"Ciencias",'Datos - Temas'!$B$5:$B$1264,O$3,'Datos - Temas'!$K$5:$K$1264,$A18)+_xlfn.COUNTIFS('Datos - Temas'!$C$5:$C$1264,"Ciencias",'Datos - Temas'!$B$5:$B$1264,O$3,'Datos - Temas'!$L$5:$L$1264,$A18)</f>
        <v>1</v>
      </c>
      <c r="P18" s="36" cm="1">
        <f t="array" ref="P18">_xlfn.COUNTIFS('Datos - Temas'!$C$5:$C$1264,"Ciencias",'Datos - Temas'!$B$5:$B$1264,P$3,'Datos - Temas'!$K$5:$K$1264,$A18)+_xlfn.COUNTIFS('Datos - Temas'!$C$5:$C$1264,"Ciencias",'Datos - Temas'!$B$5:$B$1264,P$3,'Datos - Temas'!$L$5:$L$1264,$A18)</f>
        <v>1</v>
      </c>
      <c r="Q18" s="36" cm="1">
        <f t="array" ref="Q18">_xlfn.COUNTIFS('Datos - Temas'!$C$5:$C$1264,"Ciencias",'Datos - Temas'!$B$5:$B$1264,Q$3,'Datos - Temas'!$K$5:$K$1264,$A18)+_xlfn.COUNTIFS('Datos - Temas'!$C$5:$C$1264,"Ciencias",'Datos - Temas'!$B$5:$B$1264,Q$3,'Datos - Temas'!$L$5:$L$1264,$A18)</f>
        <v>0</v>
      </c>
      <c r="R18" s="36" cm="1">
        <f t="array" ref="R18">_xlfn.COUNTIFS('Datos - Temas'!$C$5:$C$1264,"Ciencias",'Datos - Temas'!$B$5:$B$1264,R$3,'Datos - Temas'!$K$5:$K$1264,$A18)+_xlfn.COUNTIFS('Datos - Temas'!$C$5:$C$1264,"Ciencias",'Datos - Temas'!$B$5:$B$1264,R$3,'Datos - Temas'!$L$5:$L$1264,$A18)</f>
        <v>0</v>
      </c>
      <c r="S18" s="36" cm="1">
        <f t="array" ref="S18">_xlfn.COUNTIFS('Datos - Temas'!$C$5:$C$1264,"Ciencias",'Datos - Temas'!$B$5:$B$1264,S$3,'Datos - Temas'!$K$5:$K$1264,$A18)+_xlfn.COUNTIFS('Datos - Temas'!$C$5:$C$1264,"Ciencias",'Datos - Temas'!$B$5:$B$1264,S$3,'Datos - Temas'!$L$5:$L$1264,$A18)</f>
        <v>0</v>
      </c>
      <c r="T18" s="36" cm="1">
        <f t="array" ref="T18">_xlfn.COUNTIFS('Datos - Temas'!$C$5:$C$1264,"Ciencias",'Datos - Temas'!$B$5:$B$1264,T$3,'Datos - Temas'!$K$5:$K$1264,$A18)+_xlfn.COUNTIFS('Datos - Temas'!$C$5:$C$1264,"Ciencias",'Datos - Temas'!$B$5:$B$1264,T$3,'Datos - Temas'!$L$5:$L$1264,$A18)</f>
        <v>0</v>
      </c>
      <c r="U18" s="36" cm="1">
        <f t="array" ref="U18">_xlfn.COUNTIFS('Datos - Temas'!$C$5:$C$1264,"Ciencias",'Datos - Temas'!$B$5:$B$1264,U$3,'Datos - Temas'!$K$5:$K$1264,$A18)+_xlfn.COUNTIFS('Datos - Temas'!$C$5:$C$1264,"Ciencias",'Datos - Temas'!$B$5:$B$1264,U$3,'Datos - Temas'!$L$5:$L$1264,$A18)</f>
        <v>0</v>
      </c>
      <c r="V18" s="36" cm="1">
        <f t="array" ref="V18">_xlfn.COUNTIFS('Datos - Temas'!$C$5:$C$1264,"Ciencias",'Datos - Temas'!$B$5:$B$1264,V$3,'Datos - Temas'!$K$5:$K$1264,$A18)+_xlfn.COUNTIFS('Datos - Temas'!$C$5:$C$1264,"Ciencias",'Datos - Temas'!$B$5:$B$1264,V$3,'Datos - Temas'!$L$5:$L$1264,$A18)</f>
        <v>0</v>
      </c>
      <c r="W18" s="36" cm="1">
        <f t="array" ref="W18">_xlfn.COUNTIFS('Datos - Objetivos de países'!$B$5:$B$510,"Uruguay",'Datos - Objetivos de países'!$F$5:$F$510,W$3,'Datos - Objetivos de países'!$J$5:$J$510,$A18)+_xlfn.COUNTIFS('Datos - Objetivos de países'!$B$5:$B$510,"Uruguay",'Datos - Objetivos de países'!$F$5:$F$510,W$3,'Datos - Objetivos de países'!$K$5:$K$510,$A18)</f>
        <v>0</v>
      </c>
      <c r="X18" s="36" cm="1">
        <f t="array" ref="X18">_xlfn.COUNTIFS('Datos - Objetivos de países'!$B$5:$B$510,"Uruguay",'Datos - Objetivos de países'!$F$5:$F$510,X$3,'Datos - Objetivos de países'!$J$5:$J$510,$A18)+_xlfn.COUNTIFS('Datos - Objetivos de países'!$B$5:$B$510,"Uruguay",'Datos - Objetivos de países'!$F$5:$F$510,X$3,'Datos - Objetivos de países'!$K$5:$K$510,$A18)</f>
        <v>0</v>
      </c>
      <c r="Y18" s="36" cm="1">
        <f t="array" ref="Y18">_xlfn.COUNTIFS('Datos - Objetivos de países'!$B$5:$B$510,"Uruguay",'Datos - Objetivos de países'!$F$5:$F$510,Y$3,'Datos - Objetivos de países'!$J$5:$J$510,$A18)+_xlfn.COUNTIFS('Datos - Objetivos de países'!$B$5:$B$510,"Uruguay",'Datos - Objetivos de países'!$F$5:$F$510,Y$3,'Datos - Objetivos de países'!$K$5:$K$510,$A18)</f>
        <v>3</v>
      </c>
      <c r="Z18" s="36" cm="1">
        <f t="array" ref="Z18">_xlfn.COUNTIFS('Datos - Objetivos de países'!$B$5:$B$510,"Uruguay",'Datos - Objetivos de países'!$F$5:$F$510,Z$3,'Datos - Objetivos de países'!$J$5:$J$510,$A18)+_xlfn.COUNTIFS('Datos - Objetivos de países'!$B$5:$B$510,"Uruguay",'Datos - Objetivos de países'!$F$5:$F$510,Z$3,'Datos - Objetivos de países'!$K$5:$K$510,$A18)</f>
        <v>2</v>
      </c>
      <c r="AA18" s="36" cm="1">
        <f t="array" ref="AA18">_xlfn.COUNTIFS('Datos - Objetivos de países'!$B$5:$B$510,"Uruguay",'Datos - Objetivos de países'!$F$5:$F$510,AA$3,'Datos - Objetivos de países'!$J$5:$J$510,$A18)+_xlfn.COUNTIFS('Datos - Objetivos de países'!$B$5:$B$510,"Uruguay",'Datos - Objetivos de países'!$F$5:$F$510,AA$3,'Datos - Objetivos de países'!$K$5:$K$510,$A18)</f>
        <v>0</v>
      </c>
      <c r="AB18" s="36" cm="1">
        <f t="array" ref="AB18">_xlfn.COUNTIFS('Datos - Objetivos de países'!$B$5:$B$510,"Uruguay",'Datos - Objetivos de países'!$F$5:$F$510,AB$3,'Datos - Objetivos de países'!$J$5:$J$510,$A18)+_xlfn.COUNTIFS('Datos - Objetivos de países'!$B$5:$B$510,"Uruguay",'Datos - Objetivos de países'!$F$5:$F$510,AB$3,'Datos - Objetivos de países'!$K$5:$K$510,$A18)</f>
        <v>0</v>
      </c>
      <c r="AC18" s="36" cm="1">
        <f t="array" ref="AC18">_xlfn.COUNTIFS('Datos - Objetivos de países'!$B$5:$B$510,"Uruguay",'Datos - Objetivos de países'!$F$5:$F$510,AC$3,'Datos - Objetivos de países'!$J$5:$J$510,$A18)+_xlfn.COUNTIFS('Datos - Objetivos de países'!$B$5:$B$510,"Uruguay",'Datos - Objetivos de países'!$F$5:$F$510,AC$3,'Datos - Objetivos de países'!$K$5:$K$510,$A18)</f>
        <v>0</v>
      </c>
      <c r="AD18" s="36" cm="1">
        <f t="array" ref="AD18">_xlfn.COUNTIFS('Datos - Objetivos de países'!$B$5:$B$510,"Uruguay",'Datos - Objetivos de países'!$F$5:$F$510,AD$3,'Datos - Objetivos de países'!$J$5:$J$510,$A18)+_xlfn.COUNTIFS('Datos - Objetivos de países'!$B$5:$B$510,"Uruguay",'Datos - Objetivos de países'!$F$5:$F$510,AD$3,'Datos - Objetivos de países'!$K$5:$K$510,$A18)</f>
        <v>0</v>
      </c>
      <c r="AE18" s="36" cm="1">
        <f t="array" ref="AE18">_xlfn.COUNTIFS('Datos - Objetivos de países'!$B$5:$B$510,"Uruguay",'Datos - Objetivos de países'!$F$5:$F$510,AE$3,'Datos - Objetivos de países'!$J$5:$J$510,$A18)+_xlfn.COUNTIFS('Datos - Objetivos de países'!$B$5:$B$510,"Uruguay",'Datos - Objetivos de países'!$F$5:$F$510,AE$3,'Datos - Objetivos de países'!$K$5:$K$510,$A18)</f>
        <v>0</v>
      </c>
      <c r="AF18" s="36" cm="1">
        <f t="array" ref="AF18">_xlfn.COUNTIFS('Datos - Objetivos de países'!$B$5:$B$510,"Colombia",'Datos - Objetivos de países'!$F$5:$F$510,AF$3,'Datos - Objetivos de países'!$J$5:$J$510,$A18)+_xlfn.COUNTIFS('Datos - Objetivos de países'!$B$5:$B$510,"Colombia",'Datos - Objetivos de países'!$F$5:$F$510,AF$3,'Datos - Objetivos de países'!$K$5:$K$510,$A18)</f>
        <v>1</v>
      </c>
      <c r="AG18" s="36" cm="1">
        <f t="array" ref="AG18">_xlfn.COUNTIFS('Datos - Objetivos de países'!$B$5:$B$510,"Colombia",'Datos - Objetivos de países'!$F$5:$F$510,AG$3,'Datos - Objetivos de países'!$J$5:$J$510,$A18)+_xlfn.COUNTIFS('Datos - Objetivos de países'!$B$5:$B$510,"Colombia",'Datos - Objetivos de países'!$F$5:$F$510,AG$3,'Datos - Objetivos de países'!$K$5:$K$510,$A18)</f>
        <v>1</v>
      </c>
      <c r="AH18" s="36" cm="1">
        <f t="array" ref="AH18">_xlfn.COUNTIFS('Datos - Objetivos de países'!$B$5:$B$510,"Colombia",'Datos - Objetivos de países'!$F$5:$F$510,AH$3,'Datos - Objetivos de países'!$J$5:$J$510,$A18)+_xlfn.COUNTIFS('Datos - Objetivos de países'!$B$5:$B$510,"Colombia",'Datos - Objetivos de países'!$F$5:$F$510,AH$3,'Datos - Objetivos de países'!$K$5:$K$510,$A18)</f>
        <v>1</v>
      </c>
      <c r="AI18" s="36" cm="1">
        <f t="array" ref="AI18">_xlfn.COUNTIFS('Datos - Objetivos de países'!$B$5:$B$510,"Colombia",'Datos - Objetivos de países'!$F$5:$F$510,AI$3,'Datos - Objetivos de países'!$J$5:$J$510,$A18)+_xlfn.COUNTIFS('Datos - Objetivos de países'!$B$5:$B$510,"Colombia",'Datos - Objetivos de países'!$F$5:$F$510,AI$3,'Datos - Objetivos de países'!$K$5:$K$510,$A18)</f>
        <v>1</v>
      </c>
      <c r="AJ18" s="36" cm="1">
        <f t="array" ref="AJ18">_xlfn.COUNTIFS('Datos - Objetivos de países'!$B$5:$B$510,"Colombia",'Datos - Objetivos de países'!$F$5:$F$510,AJ$3,'Datos - Objetivos de países'!$J$5:$J$510,$A18)+_xlfn.COUNTIFS('Datos - Objetivos de países'!$B$5:$B$510,"Colombia",'Datos - Objetivos de países'!$F$5:$F$510,AJ$3,'Datos - Objetivos de países'!$K$5:$K$510,$A18)</f>
        <v>0</v>
      </c>
      <c r="AK18" s="36" cm="1">
        <f t="array" ref="AK18">_xlfn.COUNTIFS('Datos - Objetivos de países'!$B$5:$B$510,"Colombia",'Datos - Objetivos de países'!$F$5:$F$510,AK$3,'Datos - Objetivos de países'!$J$5:$J$510,$A18)+_xlfn.COUNTIFS('Datos - Objetivos de países'!$B$5:$B$510,"Colombia",'Datos - Objetivos de países'!$F$5:$F$510,AK$3,'Datos - Objetivos de países'!$K$5:$K$510,$A18)</f>
        <v>0</v>
      </c>
      <c r="AL18" s="36" cm="1">
        <f t="array" ref="AL18">_xlfn.COUNTIFS('Datos - Objetivos de países'!$B$5:$B$510,"Colombia",'Datos - Objetivos de países'!$F$5:$F$510,AL$3,'Datos - Objetivos de países'!$J$5:$J$510,$A18)+_xlfn.COUNTIFS('Datos - Objetivos de países'!$B$5:$B$510,"Colombia",'Datos - Objetivos de países'!$F$5:$F$510,AL$3,'Datos - Objetivos de países'!$K$5:$K$510,$A18)</f>
        <v>0</v>
      </c>
      <c r="AM18" s="36" cm="1">
        <f t="array" ref="AM18">_xlfn.COUNTIFS('Datos - Objetivos de países'!$B$5:$B$510,"Colombia",'Datos - Objetivos de países'!$F$5:$F$510,AM$3,'Datos - Objetivos de países'!$J$5:$J$510,$A18)+_xlfn.COUNTIFS('Datos - Objetivos de países'!$B$5:$B$510,"Colombia",'Datos - Objetivos de países'!$F$5:$F$510,AM$3,'Datos - Objetivos de países'!$K$5:$K$510,$A18)</f>
        <v>0</v>
      </c>
      <c r="AN18" s="36" cm="1">
        <f t="array" ref="AN18">_xlfn.COUNTIFS('Datos - Objetivos de países'!$B$5:$B$510,"Colombia",'Datos - Objetivos de países'!$F$5:$F$510,AN$3,'Datos - Objetivos de países'!$J$5:$J$510,$A18)+_xlfn.COUNTIFS('Datos - Objetivos de países'!$B$5:$B$510,"Colombia",'Datos - Objetivos de países'!$F$5:$F$510,AN$3,'Datos - Objetivos de países'!$K$5:$K$510,$A18)</f>
        <v>0</v>
      </c>
      <c r="AO18" s="36" cm="1">
        <f t="array" ref="AO18">_xlfn.COUNTIFS('Datos - Objetivos de países'!$B$5:$B$510,"Singapur",'Datos - Objetivos de países'!$F$5:$F$510,AO$3,'Datos - Objetivos de países'!$J$5:$J$510,$A18)+_xlfn.COUNTIFS('Datos - Objetivos de países'!$B$5:$B$510,"Singapur",'Datos - Objetivos de países'!$F$5:$F$510,AO$3,'Datos - Objetivos de países'!$K$5:$K$510,$A18)</f>
        <v>0</v>
      </c>
      <c r="AP18" s="36" cm="1">
        <f t="array" ref="AP18">_xlfn.COUNTIFS('Datos - Objetivos de países'!$B$5:$B$510,"Singapur",'Datos - Objetivos de países'!$F$5:$F$510,AP$3,'Datos - Objetivos de países'!$J$5:$J$510,$A18)+_xlfn.COUNTIFS('Datos - Objetivos de países'!$B$5:$B$510,"Singapur",'Datos - Objetivos de países'!$F$5:$F$510,AP$3,'Datos - Objetivos de países'!$K$5:$K$510,$A18)</f>
        <v>0</v>
      </c>
      <c r="AQ18" s="36" cm="1">
        <f t="array" ref="AQ18">_xlfn.COUNTIFS('Datos - Objetivos de países'!$B$5:$B$510,"Singapur",'Datos - Objetivos de países'!$F$5:$F$510,AQ$3,'Datos - Objetivos de países'!$J$5:$J$510,$A18)+_xlfn.COUNTIFS('Datos - Objetivos de países'!$B$5:$B$510,"Singapur",'Datos - Objetivos de países'!$F$5:$F$510,AQ$3,'Datos - Objetivos de países'!$K$5:$K$510,$A18)</f>
        <v>0</v>
      </c>
      <c r="AR18" s="36" cm="1">
        <f t="array" ref="AR18">_xlfn.COUNTIFS('Datos - Objetivos de países'!$B$5:$B$510,"Singapur",'Datos - Objetivos de países'!$F$5:$F$510,AR$3,'Datos - Objetivos de países'!$J$5:$J$510,$A18)+_xlfn.COUNTIFS('Datos - Objetivos de países'!$B$5:$B$510,"Singapur",'Datos - Objetivos de países'!$F$5:$F$510,AR$3,'Datos - Objetivos de países'!$K$5:$K$510,$A18)</f>
        <v>2</v>
      </c>
      <c r="AS18" s="36" cm="1">
        <f t="array" ref="AS18">_xlfn.COUNTIFS('Datos - Objetivos de países'!$B$5:$B$510,"Singapur",'Datos - Objetivos de países'!$F$5:$F$510,AS$3,'Datos - Objetivos de países'!$J$5:$J$510,$A18)+_xlfn.COUNTIFS('Datos - Objetivos de países'!$B$5:$B$510,"Singapur",'Datos - Objetivos de países'!$F$5:$F$510,AS$3,'Datos - Objetivos de países'!$K$5:$K$510,$A18)</f>
        <v>0</v>
      </c>
      <c r="AT18" s="36" cm="1">
        <f t="array" ref="AT18">_xlfn.COUNTIFS('Datos - Objetivos de países'!$B$5:$B$510,"Singapur",'Datos - Objetivos de países'!$F$5:$F$510,AT$3,'Datos - Objetivos de países'!$J$5:$J$510,$A18)+_xlfn.COUNTIFS('Datos - Objetivos de países'!$B$5:$B$510,"Singapur",'Datos - Objetivos de países'!$F$5:$F$510,AT$3,'Datos - Objetivos de países'!$K$5:$K$510,$A18)</f>
        <v>0</v>
      </c>
      <c r="AU18" s="36" cm="1">
        <f t="array" ref="AU18">_xlfn.COUNTIFS('Datos - Objetivos de países'!$B$5:$B$510,"Singapur",'Datos - Objetivos de países'!$F$5:$F$510,AU$3,'Datos - Objetivos de países'!$J$5:$J$510,$A18)+_xlfn.COUNTIFS('Datos - Objetivos de países'!$B$5:$B$510,"Singapur",'Datos - Objetivos de países'!$F$5:$F$510,AU$3,'Datos - Objetivos de países'!$K$5:$K$510,$A18)</f>
        <v>0</v>
      </c>
      <c r="AV18" s="36" cm="1">
        <f t="array" ref="AV18">_xlfn.COUNTIFS('Datos - Objetivos de países'!$B$5:$B$510,"Singapur",'Datos - Objetivos de países'!$F$5:$F$510,AV$3,'Datos - Objetivos de países'!$J$5:$J$510,$A18)+_xlfn.COUNTIFS('Datos - Objetivos de países'!$B$5:$B$510,"Singapur",'Datos - Objetivos de países'!$F$5:$F$510,AV$3,'Datos - Objetivos de países'!$K$5:$K$510,$A18)</f>
        <v>0</v>
      </c>
      <c r="AW18" s="36" cm="1">
        <f t="array" ref="AW18">_xlfn.COUNTIFS('Datos - Objetivos de países'!$B$5:$B$510,"Singapur",'Datos - Objetivos de países'!$F$5:$F$510,AW$3,'Datos - Objetivos de países'!$J$5:$J$510,$A18)+_xlfn.COUNTIFS('Datos - Objetivos de países'!$B$5:$B$510,"Singapur",'Datos - Objetivos de países'!$F$5:$F$510,AW$3,'Datos - Objetivos de países'!$K$5:$K$510,$A18)</f>
        <v>0</v>
      </c>
    </row>
    <row r="19" ht="13.65" customHeight="1">
      <c r="A19" t="s" s="78">
        <v>1106</v>
      </c>
      <c r="B19" t="s" s="78">
        <v>1055</v>
      </c>
      <c r="C19" t="s" s="78">
        <v>213</v>
      </c>
      <c r="D19" t="s" s="78">
        <v>1107</v>
      </c>
      <c r="E19" s="80" cm="1">
        <f t="array" ref="E19">_xlfn.IFERROR(MAX($L$3,INDEX($N$3:$V$3,MATCH(TRUE,INDEX(N19:V19&gt;0,0),0))),"—")</f>
        <v>2</v>
      </c>
      <c r="F19" s="80" cm="1">
        <f t="array" ref="F19">_xlfn.IFERROR(MAX($L$3,INDEX($W$3:$AE$3,MATCH(TRUE,INDEX(W19:AE19&gt;0,0),0))),"—")</f>
        <v>3</v>
      </c>
      <c r="G19" s="80" cm="1">
        <f t="array" ref="G19">_xlfn.IFERROR(MAX($L$3,INDEX($AF$3:$AN$3,MATCH(TRUE,INDEX(AF19:AN19&gt;0,0),0))),"—")</f>
        <v>2</v>
      </c>
      <c r="H19" s="80" cm="1">
        <f t="array" ref="H19">_xlfn.IFERROR(MAX($L$3,INDEX($AO$3:$AW$3,MATCH(TRUE,INDEX(AO19:AW19&gt;0,0),0))),"—")</f>
        <v>3</v>
      </c>
      <c r="I19" s="111" cm="1">
        <f t="array" ref="I19">IF(L19=0,"—",MEDIAN(F19:H19))</f>
        <v>3</v>
      </c>
      <c r="J19" s="111" cm="1">
        <f t="array" ref="J19">IF(OR(E19="—",I19="—"),"—",E19-I19)</f>
        <v>-1</v>
      </c>
      <c r="K19" t="str" s="49" cm="1">
        <f t="array" ref="K19">IF(E19="—",IF(L19=0,"Nadie lo trabaja","El Salvador no llega"),IF(L19=0,"Solo El Salvador",IF(J19&gt;0,"El Salvador llega más tarde",IF(J19&lt;0,"El Salvador va adelantado","Mismo grado"))))</f>
        <v>El Salvador va adelantado</v>
      </c>
      <c r="L19" s="80" cm="1">
        <f t="array" ref="L19">COUNT(F19:H19)</f>
        <v>3</v>
      </c>
      <c r="M19" s="110"/>
      <c r="N19" s="36" cm="1">
        <f t="array" ref="N19">_xlfn.COUNTIFS('Datos - Temas'!$C$5:$C$1264,"Ciencias",'Datos - Temas'!$B$5:$B$1264,N$3,'Datos - Temas'!$K$5:$K$1264,$A19)+_xlfn.COUNTIFS('Datos - Temas'!$C$5:$C$1264,"Ciencias",'Datos - Temas'!$B$5:$B$1264,N$3,'Datos - Temas'!$L$5:$L$1264,$A19)</f>
        <v>0</v>
      </c>
      <c r="O19" s="36" cm="1">
        <f t="array" ref="O19">_xlfn.COUNTIFS('Datos - Temas'!$C$5:$C$1264,"Ciencias",'Datos - Temas'!$B$5:$B$1264,O$3,'Datos - Temas'!$K$5:$K$1264,$A19)+_xlfn.COUNTIFS('Datos - Temas'!$C$5:$C$1264,"Ciencias",'Datos - Temas'!$B$5:$B$1264,O$3,'Datos - Temas'!$L$5:$L$1264,$A19)</f>
        <v>6</v>
      </c>
      <c r="P19" s="36" cm="1">
        <f t="array" ref="P19">_xlfn.COUNTIFS('Datos - Temas'!$C$5:$C$1264,"Ciencias",'Datos - Temas'!$B$5:$B$1264,P$3,'Datos - Temas'!$K$5:$K$1264,$A19)+_xlfn.COUNTIFS('Datos - Temas'!$C$5:$C$1264,"Ciencias",'Datos - Temas'!$B$5:$B$1264,P$3,'Datos - Temas'!$L$5:$L$1264,$A19)</f>
        <v>1</v>
      </c>
      <c r="Q19" s="36" cm="1">
        <f t="array" ref="Q19">_xlfn.COUNTIFS('Datos - Temas'!$C$5:$C$1264,"Ciencias",'Datos - Temas'!$B$5:$B$1264,Q$3,'Datos - Temas'!$K$5:$K$1264,$A19)+_xlfn.COUNTIFS('Datos - Temas'!$C$5:$C$1264,"Ciencias",'Datos - Temas'!$B$5:$B$1264,Q$3,'Datos - Temas'!$L$5:$L$1264,$A19)</f>
        <v>0</v>
      </c>
      <c r="R19" s="36" cm="1">
        <f t="array" ref="R19">_xlfn.COUNTIFS('Datos - Temas'!$C$5:$C$1264,"Ciencias",'Datos - Temas'!$B$5:$B$1264,R$3,'Datos - Temas'!$K$5:$K$1264,$A19)+_xlfn.COUNTIFS('Datos - Temas'!$C$5:$C$1264,"Ciencias",'Datos - Temas'!$B$5:$B$1264,R$3,'Datos - Temas'!$L$5:$L$1264,$A19)</f>
        <v>0</v>
      </c>
      <c r="S19" s="36" cm="1">
        <f t="array" ref="S19">_xlfn.COUNTIFS('Datos - Temas'!$C$5:$C$1264,"Ciencias",'Datos - Temas'!$B$5:$B$1264,S$3,'Datos - Temas'!$K$5:$K$1264,$A19)+_xlfn.COUNTIFS('Datos - Temas'!$C$5:$C$1264,"Ciencias",'Datos - Temas'!$B$5:$B$1264,S$3,'Datos - Temas'!$L$5:$L$1264,$A19)</f>
        <v>0</v>
      </c>
      <c r="T19" s="36" cm="1">
        <f t="array" ref="T19">_xlfn.COUNTIFS('Datos - Temas'!$C$5:$C$1264,"Ciencias",'Datos - Temas'!$B$5:$B$1264,T$3,'Datos - Temas'!$K$5:$K$1264,$A19)+_xlfn.COUNTIFS('Datos - Temas'!$C$5:$C$1264,"Ciencias",'Datos - Temas'!$B$5:$B$1264,T$3,'Datos - Temas'!$L$5:$L$1264,$A19)</f>
        <v>0</v>
      </c>
      <c r="U19" s="36" cm="1">
        <f t="array" ref="U19">_xlfn.COUNTIFS('Datos - Temas'!$C$5:$C$1264,"Ciencias",'Datos - Temas'!$B$5:$B$1264,U$3,'Datos - Temas'!$K$5:$K$1264,$A19)+_xlfn.COUNTIFS('Datos - Temas'!$C$5:$C$1264,"Ciencias",'Datos - Temas'!$B$5:$B$1264,U$3,'Datos - Temas'!$L$5:$L$1264,$A19)</f>
        <v>0</v>
      </c>
      <c r="V19" s="36" cm="1">
        <f t="array" ref="V19">_xlfn.COUNTIFS('Datos - Temas'!$C$5:$C$1264,"Ciencias",'Datos - Temas'!$B$5:$B$1264,V$3,'Datos - Temas'!$K$5:$K$1264,$A19)+_xlfn.COUNTIFS('Datos - Temas'!$C$5:$C$1264,"Ciencias",'Datos - Temas'!$B$5:$B$1264,V$3,'Datos - Temas'!$L$5:$L$1264,$A19)</f>
        <v>0</v>
      </c>
      <c r="W19" s="36" cm="1">
        <f t="array" ref="W19">_xlfn.COUNTIFS('Datos - Objetivos de países'!$B$5:$B$510,"Uruguay",'Datos - Objetivos de países'!$F$5:$F$510,W$3,'Datos - Objetivos de países'!$J$5:$J$510,$A19)+_xlfn.COUNTIFS('Datos - Objetivos de países'!$B$5:$B$510,"Uruguay",'Datos - Objetivos de países'!$F$5:$F$510,W$3,'Datos - Objetivos de países'!$K$5:$K$510,$A19)</f>
        <v>0</v>
      </c>
      <c r="X19" s="36" cm="1">
        <f t="array" ref="X19">_xlfn.COUNTIFS('Datos - Objetivos de países'!$B$5:$B$510,"Uruguay",'Datos - Objetivos de países'!$F$5:$F$510,X$3,'Datos - Objetivos de países'!$J$5:$J$510,$A19)+_xlfn.COUNTIFS('Datos - Objetivos de países'!$B$5:$B$510,"Uruguay",'Datos - Objetivos de países'!$F$5:$F$510,X$3,'Datos - Objetivos de países'!$K$5:$K$510,$A19)</f>
        <v>0</v>
      </c>
      <c r="Y19" s="36" cm="1">
        <f t="array" ref="Y19">_xlfn.COUNTIFS('Datos - Objetivos de países'!$B$5:$B$510,"Uruguay",'Datos - Objetivos de países'!$F$5:$F$510,Y$3,'Datos - Objetivos de países'!$J$5:$J$510,$A19)+_xlfn.COUNTIFS('Datos - Objetivos de países'!$B$5:$B$510,"Uruguay",'Datos - Objetivos de países'!$F$5:$F$510,Y$3,'Datos - Objetivos de países'!$K$5:$K$510,$A19)</f>
        <v>3</v>
      </c>
      <c r="Z19" s="36" cm="1">
        <f t="array" ref="Z19">_xlfn.COUNTIFS('Datos - Objetivos de países'!$B$5:$B$510,"Uruguay",'Datos - Objetivos de países'!$F$5:$F$510,Z$3,'Datos - Objetivos de países'!$J$5:$J$510,$A19)+_xlfn.COUNTIFS('Datos - Objetivos de países'!$B$5:$B$510,"Uruguay",'Datos - Objetivos de países'!$F$5:$F$510,Z$3,'Datos - Objetivos de países'!$K$5:$K$510,$A19)</f>
        <v>3</v>
      </c>
      <c r="AA19" s="36" cm="1">
        <f t="array" ref="AA19">_xlfn.COUNTIFS('Datos - Objetivos de países'!$B$5:$B$510,"Uruguay",'Datos - Objetivos de países'!$F$5:$F$510,AA$3,'Datos - Objetivos de países'!$J$5:$J$510,$A19)+_xlfn.COUNTIFS('Datos - Objetivos de países'!$B$5:$B$510,"Uruguay",'Datos - Objetivos de países'!$F$5:$F$510,AA$3,'Datos - Objetivos de países'!$K$5:$K$510,$A19)</f>
        <v>0</v>
      </c>
      <c r="AB19" s="36" cm="1">
        <f t="array" ref="AB19">_xlfn.COUNTIFS('Datos - Objetivos de países'!$B$5:$B$510,"Uruguay",'Datos - Objetivos de países'!$F$5:$F$510,AB$3,'Datos - Objetivos de países'!$J$5:$J$510,$A19)+_xlfn.COUNTIFS('Datos - Objetivos de países'!$B$5:$B$510,"Uruguay",'Datos - Objetivos de países'!$F$5:$F$510,AB$3,'Datos - Objetivos de países'!$K$5:$K$510,$A19)</f>
        <v>0</v>
      </c>
      <c r="AC19" s="36" cm="1">
        <f t="array" ref="AC19">_xlfn.COUNTIFS('Datos - Objetivos de países'!$B$5:$B$510,"Uruguay",'Datos - Objetivos de países'!$F$5:$F$510,AC$3,'Datos - Objetivos de países'!$J$5:$J$510,$A19)+_xlfn.COUNTIFS('Datos - Objetivos de países'!$B$5:$B$510,"Uruguay",'Datos - Objetivos de países'!$F$5:$F$510,AC$3,'Datos - Objetivos de países'!$K$5:$K$510,$A19)</f>
        <v>0</v>
      </c>
      <c r="AD19" s="36" cm="1">
        <f t="array" ref="AD19">_xlfn.COUNTIFS('Datos - Objetivos de países'!$B$5:$B$510,"Uruguay",'Datos - Objetivos de países'!$F$5:$F$510,AD$3,'Datos - Objetivos de países'!$J$5:$J$510,$A19)+_xlfn.COUNTIFS('Datos - Objetivos de países'!$B$5:$B$510,"Uruguay",'Datos - Objetivos de países'!$F$5:$F$510,AD$3,'Datos - Objetivos de países'!$K$5:$K$510,$A19)</f>
        <v>0</v>
      </c>
      <c r="AE19" s="36" cm="1">
        <f t="array" ref="AE19">_xlfn.COUNTIFS('Datos - Objetivos de países'!$B$5:$B$510,"Uruguay",'Datos - Objetivos de países'!$F$5:$F$510,AE$3,'Datos - Objetivos de países'!$J$5:$J$510,$A19)+_xlfn.COUNTIFS('Datos - Objetivos de países'!$B$5:$B$510,"Uruguay",'Datos - Objetivos de países'!$F$5:$F$510,AE$3,'Datos - Objetivos de países'!$K$5:$K$510,$A19)</f>
        <v>0</v>
      </c>
      <c r="AF19" s="36" cm="1">
        <f t="array" ref="AF19">_xlfn.COUNTIFS('Datos - Objetivos de países'!$B$5:$B$510,"Colombia",'Datos - Objetivos de países'!$F$5:$F$510,AF$3,'Datos - Objetivos de países'!$J$5:$J$510,$A19)+_xlfn.COUNTIFS('Datos - Objetivos de países'!$B$5:$B$510,"Colombia",'Datos - Objetivos de países'!$F$5:$F$510,AF$3,'Datos - Objetivos de países'!$K$5:$K$510,$A19)</f>
        <v>6</v>
      </c>
      <c r="AG19" s="36" cm="1">
        <f t="array" ref="AG19">_xlfn.COUNTIFS('Datos - Objetivos de países'!$B$5:$B$510,"Colombia",'Datos - Objetivos de países'!$F$5:$F$510,AG$3,'Datos - Objetivos de países'!$J$5:$J$510,$A19)+_xlfn.COUNTIFS('Datos - Objetivos de países'!$B$5:$B$510,"Colombia",'Datos - Objetivos de países'!$F$5:$F$510,AG$3,'Datos - Objetivos de países'!$K$5:$K$510,$A19)</f>
        <v>1</v>
      </c>
      <c r="AH19" s="36" cm="1">
        <f t="array" ref="AH19">_xlfn.COUNTIFS('Datos - Objetivos de países'!$B$5:$B$510,"Colombia",'Datos - Objetivos de países'!$F$5:$F$510,AH$3,'Datos - Objetivos de países'!$J$5:$J$510,$A19)+_xlfn.COUNTIFS('Datos - Objetivos de países'!$B$5:$B$510,"Colombia",'Datos - Objetivos de países'!$F$5:$F$510,AH$3,'Datos - Objetivos de países'!$K$5:$K$510,$A19)</f>
        <v>0</v>
      </c>
      <c r="AI19" s="36" cm="1">
        <f t="array" ref="AI19">_xlfn.COUNTIFS('Datos - Objetivos de países'!$B$5:$B$510,"Colombia",'Datos - Objetivos de países'!$F$5:$F$510,AI$3,'Datos - Objetivos de países'!$J$5:$J$510,$A19)+_xlfn.COUNTIFS('Datos - Objetivos de países'!$B$5:$B$510,"Colombia",'Datos - Objetivos de países'!$F$5:$F$510,AI$3,'Datos - Objetivos de países'!$K$5:$K$510,$A19)</f>
        <v>2</v>
      </c>
      <c r="AJ19" s="36" cm="1">
        <f t="array" ref="AJ19">_xlfn.COUNTIFS('Datos - Objetivos de países'!$B$5:$B$510,"Colombia",'Datos - Objetivos de países'!$F$5:$F$510,AJ$3,'Datos - Objetivos de países'!$J$5:$J$510,$A19)+_xlfn.COUNTIFS('Datos - Objetivos de países'!$B$5:$B$510,"Colombia",'Datos - Objetivos de países'!$F$5:$F$510,AJ$3,'Datos - Objetivos de países'!$K$5:$K$510,$A19)</f>
        <v>0</v>
      </c>
      <c r="AK19" s="36" cm="1">
        <f t="array" ref="AK19">_xlfn.COUNTIFS('Datos - Objetivos de países'!$B$5:$B$510,"Colombia",'Datos - Objetivos de países'!$F$5:$F$510,AK$3,'Datos - Objetivos de países'!$J$5:$J$510,$A19)+_xlfn.COUNTIFS('Datos - Objetivos de países'!$B$5:$B$510,"Colombia",'Datos - Objetivos de países'!$F$5:$F$510,AK$3,'Datos - Objetivos de países'!$K$5:$K$510,$A19)</f>
        <v>0</v>
      </c>
      <c r="AL19" s="36" cm="1">
        <f t="array" ref="AL19">_xlfn.COUNTIFS('Datos - Objetivos de países'!$B$5:$B$510,"Colombia",'Datos - Objetivos de países'!$F$5:$F$510,AL$3,'Datos - Objetivos de países'!$J$5:$J$510,$A19)+_xlfn.COUNTIFS('Datos - Objetivos de países'!$B$5:$B$510,"Colombia",'Datos - Objetivos de países'!$F$5:$F$510,AL$3,'Datos - Objetivos de países'!$K$5:$K$510,$A19)</f>
        <v>0</v>
      </c>
      <c r="AM19" s="36" cm="1">
        <f t="array" ref="AM19">_xlfn.COUNTIFS('Datos - Objetivos de países'!$B$5:$B$510,"Colombia",'Datos - Objetivos de países'!$F$5:$F$510,AM$3,'Datos - Objetivos de países'!$J$5:$J$510,$A19)+_xlfn.COUNTIFS('Datos - Objetivos de países'!$B$5:$B$510,"Colombia",'Datos - Objetivos de países'!$F$5:$F$510,AM$3,'Datos - Objetivos de países'!$K$5:$K$510,$A19)</f>
        <v>0</v>
      </c>
      <c r="AN19" s="36" cm="1">
        <f t="array" ref="AN19">_xlfn.COUNTIFS('Datos - Objetivos de países'!$B$5:$B$510,"Colombia",'Datos - Objetivos de países'!$F$5:$F$510,AN$3,'Datos - Objetivos de países'!$J$5:$J$510,$A19)+_xlfn.COUNTIFS('Datos - Objetivos de países'!$B$5:$B$510,"Colombia",'Datos - Objetivos de países'!$F$5:$F$510,AN$3,'Datos - Objetivos de países'!$K$5:$K$510,$A19)</f>
        <v>0</v>
      </c>
      <c r="AO19" s="36" cm="1">
        <f t="array" ref="AO19">_xlfn.COUNTIFS('Datos - Objetivos de países'!$B$5:$B$510,"Singapur",'Datos - Objetivos de países'!$F$5:$F$510,AO$3,'Datos - Objetivos de países'!$J$5:$J$510,$A19)+_xlfn.COUNTIFS('Datos - Objetivos de países'!$B$5:$B$510,"Singapur",'Datos - Objetivos de países'!$F$5:$F$510,AO$3,'Datos - Objetivos de países'!$K$5:$K$510,$A19)</f>
        <v>0</v>
      </c>
      <c r="AP19" s="36" cm="1">
        <f t="array" ref="AP19">_xlfn.COUNTIFS('Datos - Objetivos de países'!$B$5:$B$510,"Singapur",'Datos - Objetivos de países'!$F$5:$F$510,AP$3,'Datos - Objetivos de países'!$J$5:$J$510,$A19)+_xlfn.COUNTIFS('Datos - Objetivos de países'!$B$5:$B$510,"Singapur",'Datos - Objetivos de países'!$F$5:$F$510,AP$3,'Datos - Objetivos de países'!$K$5:$K$510,$A19)</f>
        <v>0</v>
      </c>
      <c r="AQ19" s="36" cm="1">
        <f t="array" ref="AQ19">_xlfn.COUNTIFS('Datos - Objetivos de países'!$B$5:$B$510,"Singapur",'Datos - Objetivos de países'!$F$5:$F$510,AQ$3,'Datos - Objetivos de países'!$J$5:$J$510,$A19)+_xlfn.COUNTIFS('Datos - Objetivos de países'!$B$5:$B$510,"Singapur",'Datos - Objetivos de países'!$F$5:$F$510,AQ$3,'Datos - Objetivos de países'!$K$5:$K$510,$A19)</f>
        <v>3</v>
      </c>
      <c r="AR19" s="36" cm="1">
        <f t="array" ref="AR19">_xlfn.COUNTIFS('Datos - Objetivos de países'!$B$5:$B$510,"Singapur",'Datos - Objetivos de países'!$F$5:$F$510,AR$3,'Datos - Objetivos de países'!$J$5:$J$510,$A19)+_xlfn.COUNTIFS('Datos - Objetivos de países'!$B$5:$B$510,"Singapur",'Datos - Objetivos de países'!$F$5:$F$510,AR$3,'Datos - Objetivos de países'!$K$5:$K$510,$A19)</f>
        <v>3</v>
      </c>
      <c r="AS19" s="36" cm="1">
        <f t="array" ref="AS19">_xlfn.COUNTIFS('Datos - Objetivos de países'!$B$5:$B$510,"Singapur",'Datos - Objetivos de países'!$F$5:$F$510,AS$3,'Datos - Objetivos de países'!$J$5:$J$510,$A19)+_xlfn.COUNTIFS('Datos - Objetivos de países'!$B$5:$B$510,"Singapur",'Datos - Objetivos de países'!$F$5:$F$510,AS$3,'Datos - Objetivos de países'!$K$5:$K$510,$A19)</f>
        <v>0</v>
      </c>
      <c r="AT19" s="36" cm="1">
        <f t="array" ref="AT19">_xlfn.COUNTIFS('Datos - Objetivos de países'!$B$5:$B$510,"Singapur",'Datos - Objetivos de países'!$F$5:$F$510,AT$3,'Datos - Objetivos de países'!$J$5:$J$510,$A19)+_xlfn.COUNTIFS('Datos - Objetivos de países'!$B$5:$B$510,"Singapur",'Datos - Objetivos de países'!$F$5:$F$510,AT$3,'Datos - Objetivos de países'!$K$5:$K$510,$A19)</f>
        <v>0</v>
      </c>
      <c r="AU19" s="36" cm="1">
        <f t="array" ref="AU19">_xlfn.COUNTIFS('Datos - Objetivos de países'!$B$5:$B$510,"Singapur",'Datos - Objetivos de países'!$F$5:$F$510,AU$3,'Datos - Objetivos de países'!$J$5:$J$510,$A19)+_xlfn.COUNTIFS('Datos - Objetivos de países'!$B$5:$B$510,"Singapur",'Datos - Objetivos de países'!$F$5:$F$510,AU$3,'Datos - Objetivos de países'!$K$5:$K$510,$A19)</f>
        <v>0</v>
      </c>
      <c r="AV19" s="36" cm="1">
        <f t="array" ref="AV19">_xlfn.COUNTIFS('Datos - Objetivos de países'!$B$5:$B$510,"Singapur",'Datos - Objetivos de países'!$F$5:$F$510,AV$3,'Datos - Objetivos de países'!$J$5:$J$510,$A19)+_xlfn.COUNTIFS('Datos - Objetivos de países'!$B$5:$B$510,"Singapur",'Datos - Objetivos de países'!$F$5:$F$510,AV$3,'Datos - Objetivos de países'!$K$5:$K$510,$A19)</f>
        <v>0</v>
      </c>
      <c r="AW19" s="36" cm="1">
        <f t="array" ref="AW19">_xlfn.COUNTIFS('Datos - Objetivos de países'!$B$5:$B$510,"Singapur",'Datos - Objetivos de países'!$F$5:$F$510,AW$3,'Datos - Objetivos de países'!$J$5:$J$510,$A19)+_xlfn.COUNTIFS('Datos - Objetivos de países'!$B$5:$B$510,"Singapur",'Datos - Objetivos de países'!$F$5:$F$510,AW$3,'Datos - Objetivos de países'!$K$5:$K$510,$A19)</f>
        <v>0</v>
      </c>
    </row>
    <row r="20" ht="13.65" customHeight="1">
      <c r="A20" t="s" s="78">
        <v>1109</v>
      </c>
      <c r="B20" t="s" s="78">
        <v>1055</v>
      </c>
      <c r="C20" t="s" s="78">
        <v>213</v>
      </c>
      <c r="D20" t="s" s="78">
        <v>1110</v>
      </c>
      <c r="E20" s="80" cm="1">
        <f t="array" ref="E20">_xlfn.IFERROR(MAX($L$3,INDEX($N$3:$V$3,MATCH(TRUE,INDEX(N20:V20&gt;0,0),0))),"—")</f>
        <v>2</v>
      </c>
      <c r="F20" t="str" s="79" cm="1">
        <f t="array" ref="F20">_xlfn.IFERROR(MAX($L$3,INDEX($W$3:$AE$3,MATCH(TRUE,INDEX(W20:AE20&gt;0,0),0))),"—")</f>
        <v>—</v>
      </c>
      <c r="G20" s="80" cm="1">
        <f t="array" ref="G20">_xlfn.IFERROR(MAX($L$3,INDEX($AF$3:$AN$3,MATCH(TRUE,INDEX(AF20:AN20&gt;0,0),0))),"—")</f>
        <v>4</v>
      </c>
      <c r="H20" t="str" s="79" cm="1">
        <f t="array" ref="H20">_xlfn.IFERROR(MAX($L$3,INDEX($AO$3:$AW$3,MATCH(TRUE,INDEX(AO20:AW20&gt;0,0),0))),"—")</f>
        <v>—</v>
      </c>
      <c r="I20" s="111" cm="1">
        <f t="array" ref="I20">IF(L20=0,"—",MEDIAN(F20:H20))</f>
        <v>4</v>
      </c>
      <c r="J20" s="111" cm="1">
        <f t="array" ref="J20">IF(OR(E20="—",I20="—"),"—",E20-I20)</f>
        <v>-2</v>
      </c>
      <c r="K20" t="str" s="49" cm="1">
        <f t="array" ref="K20">IF(E20="—",IF(L20=0,"Nadie lo trabaja","El Salvador no llega"),IF(L20=0,"Solo El Salvador",IF(J20&gt;0,"El Salvador llega más tarde",IF(J20&lt;0,"El Salvador va adelantado","Mismo grado"))))</f>
        <v>El Salvador va adelantado</v>
      </c>
      <c r="L20" s="80" cm="1">
        <f t="array" ref="L20">COUNT(F20:H20)</f>
        <v>1</v>
      </c>
      <c r="M20" s="110"/>
      <c r="N20" s="36" cm="1">
        <f t="array" ref="N20">_xlfn.COUNTIFS('Datos - Temas'!$C$5:$C$1264,"Ciencias",'Datos - Temas'!$B$5:$B$1264,N$3,'Datos - Temas'!$K$5:$K$1264,$A20)+_xlfn.COUNTIFS('Datos - Temas'!$C$5:$C$1264,"Ciencias",'Datos - Temas'!$B$5:$B$1264,N$3,'Datos - Temas'!$L$5:$L$1264,$A20)</f>
        <v>0</v>
      </c>
      <c r="O20" s="36" cm="1">
        <f t="array" ref="O20">_xlfn.COUNTIFS('Datos - Temas'!$C$5:$C$1264,"Ciencias",'Datos - Temas'!$B$5:$B$1264,O$3,'Datos - Temas'!$K$5:$K$1264,$A20)+_xlfn.COUNTIFS('Datos - Temas'!$C$5:$C$1264,"Ciencias",'Datos - Temas'!$B$5:$B$1264,O$3,'Datos - Temas'!$L$5:$L$1264,$A20)</f>
        <v>3</v>
      </c>
      <c r="P20" s="36" cm="1">
        <f t="array" ref="P20">_xlfn.COUNTIFS('Datos - Temas'!$C$5:$C$1264,"Ciencias",'Datos - Temas'!$B$5:$B$1264,P$3,'Datos - Temas'!$K$5:$K$1264,$A20)+_xlfn.COUNTIFS('Datos - Temas'!$C$5:$C$1264,"Ciencias",'Datos - Temas'!$B$5:$B$1264,P$3,'Datos - Temas'!$L$5:$L$1264,$A20)</f>
        <v>12</v>
      </c>
      <c r="Q20" s="36" cm="1">
        <f t="array" ref="Q20">_xlfn.COUNTIFS('Datos - Temas'!$C$5:$C$1264,"Ciencias",'Datos - Temas'!$B$5:$B$1264,Q$3,'Datos - Temas'!$K$5:$K$1264,$A20)+_xlfn.COUNTIFS('Datos - Temas'!$C$5:$C$1264,"Ciencias",'Datos - Temas'!$B$5:$B$1264,Q$3,'Datos - Temas'!$L$5:$L$1264,$A20)</f>
        <v>0</v>
      </c>
      <c r="R20" s="36" cm="1">
        <f t="array" ref="R20">_xlfn.COUNTIFS('Datos - Temas'!$C$5:$C$1264,"Ciencias",'Datos - Temas'!$B$5:$B$1264,R$3,'Datos - Temas'!$K$5:$K$1264,$A20)+_xlfn.COUNTIFS('Datos - Temas'!$C$5:$C$1264,"Ciencias",'Datos - Temas'!$B$5:$B$1264,R$3,'Datos - Temas'!$L$5:$L$1264,$A20)</f>
        <v>0</v>
      </c>
      <c r="S20" s="36" cm="1">
        <f t="array" ref="S20">_xlfn.COUNTIFS('Datos - Temas'!$C$5:$C$1264,"Ciencias",'Datos - Temas'!$B$5:$B$1264,S$3,'Datos - Temas'!$K$5:$K$1264,$A20)+_xlfn.COUNTIFS('Datos - Temas'!$C$5:$C$1264,"Ciencias",'Datos - Temas'!$B$5:$B$1264,S$3,'Datos - Temas'!$L$5:$L$1264,$A20)</f>
        <v>0</v>
      </c>
      <c r="T20" s="36" cm="1">
        <f t="array" ref="T20">_xlfn.COUNTIFS('Datos - Temas'!$C$5:$C$1264,"Ciencias",'Datos - Temas'!$B$5:$B$1264,T$3,'Datos - Temas'!$K$5:$K$1264,$A20)+_xlfn.COUNTIFS('Datos - Temas'!$C$5:$C$1264,"Ciencias",'Datos - Temas'!$B$5:$B$1264,T$3,'Datos - Temas'!$L$5:$L$1264,$A20)</f>
        <v>0</v>
      </c>
      <c r="U20" s="36" cm="1">
        <f t="array" ref="U20">_xlfn.COUNTIFS('Datos - Temas'!$C$5:$C$1264,"Ciencias",'Datos - Temas'!$B$5:$B$1264,U$3,'Datos - Temas'!$K$5:$K$1264,$A20)+_xlfn.COUNTIFS('Datos - Temas'!$C$5:$C$1264,"Ciencias",'Datos - Temas'!$B$5:$B$1264,U$3,'Datos - Temas'!$L$5:$L$1264,$A20)</f>
        <v>0</v>
      </c>
      <c r="V20" s="36" cm="1">
        <f t="array" ref="V20">_xlfn.COUNTIFS('Datos - Temas'!$C$5:$C$1264,"Ciencias",'Datos - Temas'!$B$5:$B$1264,V$3,'Datos - Temas'!$K$5:$K$1264,$A20)+_xlfn.COUNTIFS('Datos - Temas'!$C$5:$C$1264,"Ciencias",'Datos - Temas'!$B$5:$B$1264,V$3,'Datos - Temas'!$L$5:$L$1264,$A20)</f>
        <v>0</v>
      </c>
      <c r="W20" s="36" cm="1">
        <f t="array" ref="W20">_xlfn.COUNTIFS('Datos - Objetivos de países'!$B$5:$B$510,"Uruguay",'Datos - Objetivos de países'!$F$5:$F$510,W$3,'Datos - Objetivos de países'!$J$5:$J$510,$A20)+_xlfn.COUNTIFS('Datos - Objetivos de países'!$B$5:$B$510,"Uruguay",'Datos - Objetivos de países'!$F$5:$F$510,W$3,'Datos - Objetivos de países'!$K$5:$K$510,$A20)</f>
        <v>0</v>
      </c>
      <c r="X20" s="36" cm="1">
        <f t="array" ref="X20">_xlfn.COUNTIFS('Datos - Objetivos de países'!$B$5:$B$510,"Uruguay",'Datos - Objetivos de países'!$F$5:$F$510,X$3,'Datos - Objetivos de países'!$J$5:$J$510,$A20)+_xlfn.COUNTIFS('Datos - Objetivos de países'!$B$5:$B$510,"Uruguay",'Datos - Objetivos de países'!$F$5:$F$510,X$3,'Datos - Objetivos de países'!$K$5:$K$510,$A20)</f>
        <v>0</v>
      </c>
      <c r="Y20" s="36" cm="1">
        <f t="array" ref="Y20">_xlfn.COUNTIFS('Datos - Objetivos de países'!$B$5:$B$510,"Uruguay",'Datos - Objetivos de países'!$F$5:$F$510,Y$3,'Datos - Objetivos de países'!$J$5:$J$510,$A20)+_xlfn.COUNTIFS('Datos - Objetivos de países'!$B$5:$B$510,"Uruguay",'Datos - Objetivos de países'!$F$5:$F$510,Y$3,'Datos - Objetivos de países'!$K$5:$K$510,$A20)</f>
        <v>0</v>
      </c>
      <c r="Z20" s="36" cm="1">
        <f t="array" ref="Z20">_xlfn.COUNTIFS('Datos - Objetivos de países'!$B$5:$B$510,"Uruguay",'Datos - Objetivos de países'!$F$5:$F$510,Z$3,'Datos - Objetivos de países'!$J$5:$J$510,$A20)+_xlfn.COUNTIFS('Datos - Objetivos de países'!$B$5:$B$510,"Uruguay",'Datos - Objetivos de países'!$F$5:$F$510,Z$3,'Datos - Objetivos de países'!$K$5:$K$510,$A20)</f>
        <v>0</v>
      </c>
      <c r="AA20" s="36" cm="1">
        <f t="array" ref="AA20">_xlfn.COUNTIFS('Datos - Objetivos de países'!$B$5:$B$510,"Uruguay",'Datos - Objetivos de países'!$F$5:$F$510,AA$3,'Datos - Objetivos de países'!$J$5:$J$510,$A20)+_xlfn.COUNTIFS('Datos - Objetivos de países'!$B$5:$B$510,"Uruguay",'Datos - Objetivos de países'!$F$5:$F$510,AA$3,'Datos - Objetivos de países'!$K$5:$K$510,$A20)</f>
        <v>0</v>
      </c>
      <c r="AB20" s="36" cm="1">
        <f t="array" ref="AB20">_xlfn.COUNTIFS('Datos - Objetivos de países'!$B$5:$B$510,"Uruguay",'Datos - Objetivos de países'!$F$5:$F$510,AB$3,'Datos - Objetivos de países'!$J$5:$J$510,$A20)+_xlfn.COUNTIFS('Datos - Objetivos de países'!$B$5:$B$510,"Uruguay",'Datos - Objetivos de países'!$F$5:$F$510,AB$3,'Datos - Objetivos de países'!$K$5:$K$510,$A20)</f>
        <v>0</v>
      </c>
      <c r="AC20" s="36" cm="1">
        <f t="array" ref="AC20">_xlfn.COUNTIFS('Datos - Objetivos de países'!$B$5:$B$510,"Uruguay",'Datos - Objetivos de países'!$F$5:$F$510,AC$3,'Datos - Objetivos de países'!$J$5:$J$510,$A20)+_xlfn.COUNTIFS('Datos - Objetivos de países'!$B$5:$B$510,"Uruguay",'Datos - Objetivos de países'!$F$5:$F$510,AC$3,'Datos - Objetivos de países'!$K$5:$K$510,$A20)</f>
        <v>0</v>
      </c>
      <c r="AD20" s="36" cm="1">
        <f t="array" ref="AD20">_xlfn.COUNTIFS('Datos - Objetivos de países'!$B$5:$B$510,"Uruguay",'Datos - Objetivos de países'!$F$5:$F$510,AD$3,'Datos - Objetivos de países'!$J$5:$J$510,$A20)+_xlfn.COUNTIFS('Datos - Objetivos de países'!$B$5:$B$510,"Uruguay",'Datos - Objetivos de países'!$F$5:$F$510,AD$3,'Datos - Objetivos de países'!$K$5:$K$510,$A20)</f>
        <v>0</v>
      </c>
      <c r="AE20" s="36" cm="1">
        <f t="array" ref="AE20">_xlfn.COUNTIFS('Datos - Objetivos de países'!$B$5:$B$510,"Uruguay",'Datos - Objetivos de países'!$F$5:$F$510,AE$3,'Datos - Objetivos de países'!$J$5:$J$510,$A20)+_xlfn.COUNTIFS('Datos - Objetivos de países'!$B$5:$B$510,"Uruguay",'Datos - Objetivos de países'!$F$5:$F$510,AE$3,'Datos - Objetivos de países'!$K$5:$K$510,$A20)</f>
        <v>0</v>
      </c>
      <c r="AF20" s="36" cm="1">
        <f t="array" ref="AF20">_xlfn.COUNTIFS('Datos - Objetivos de países'!$B$5:$B$510,"Colombia",'Datos - Objetivos de países'!$F$5:$F$510,AF$3,'Datos - Objetivos de países'!$J$5:$J$510,$A20)+_xlfn.COUNTIFS('Datos - Objetivos de países'!$B$5:$B$510,"Colombia",'Datos - Objetivos de países'!$F$5:$F$510,AF$3,'Datos - Objetivos de países'!$K$5:$K$510,$A20)</f>
        <v>0</v>
      </c>
      <c r="AG20" s="36" cm="1">
        <f t="array" ref="AG20">_xlfn.COUNTIFS('Datos - Objetivos de países'!$B$5:$B$510,"Colombia",'Datos - Objetivos de países'!$F$5:$F$510,AG$3,'Datos - Objetivos de países'!$J$5:$J$510,$A20)+_xlfn.COUNTIFS('Datos - Objetivos de países'!$B$5:$B$510,"Colombia",'Datos - Objetivos de países'!$F$5:$F$510,AG$3,'Datos - Objetivos de países'!$K$5:$K$510,$A20)</f>
        <v>0</v>
      </c>
      <c r="AH20" s="36" cm="1">
        <f t="array" ref="AH20">_xlfn.COUNTIFS('Datos - Objetivos de países'!$B$5:$B$510,"Colombia",'Datos - Objetivos de países'!$F$5:$F$510,AH$3,'Datos - Objetivos de países'!$J$5:$J$510,$A20)+_xlfn.COUNTIFS('Datos - Objetivos de países'!$B$5:$B$510,"Colombia",'Datos - Objetivos de países'!$F$5:$F$510,AH$3,'Datos - Objetivos de países'!$K$5:$K$510,$A20)</f>
        <v>0</v>
      </c>
      <c r="AI20" s="36" cm="1">
        <f t="array" ref="AI20">_xlfn.COUNTIFS('Datos - Objetivos de países'!$B$5:$B$510,"Colombia",'Datos - Objetivos de países'!$F$5:$F$510,AI$3,'Datos - Objetivos de países'!$J$5:$J$510,$A20)+_xlfn.COUNTIFS('Datos - Objetivos de países'!$B$5:$B$510,"Colombia",'Datos - Objetivos de países'!$F$5:$F$510,AI$3,'Datos - Objetivos de países'!$K$5:$K$510,$A20)</f>
        <v>4</v>
      </c>
      <c r="AJ20" s="36" cm="1">
        <f t="array" ref="AJ20">_xlfn.COUNTIFS('Datos - Objetivos de países'!$B$5:$B$510,"Colombia",'Datos - Objetivos de países'!$F$5:$F$510,AJ$3,'Datos - Objetivos de países'!$J$5:$J$510,$A20)+_xlfn.COUNTIFS('Datos - Objetivos de países'!$B$5:$B$510,"Colombia",'Datos - Objetivos de países'!$F$5:$F$510,AJ$3,'Datos - Objetivos de países'!$K$5:$K$510,$A20)</f>
        <v>0</v>
      </c>
      <c r="AK20" s="36" cm="1">
        <f t="array" ref="AK20">_xlfn.COUNTIFS('Datos - Objetivos de países'!$B$5:$B$510,"Colombia",'Datos - Objetivos de países'!$F$5:$F$510,AK$3,'Datos - Objetivos de países'!$J$5:$J$510,$A20)+_xlfn.COUNTIFS('Datos - Objetivos de países'!$B$5:$B$510,"Colombia",'Datos - Objetivos de países'!$F$5:$F$510,AK$3,'Datos - Objetivos de países'!$K$5:$K$510,$A20)</f>
        <v>0</v>
      </c>
      <c r="AL20" s="36" cm="1">
        <f t="array" ref="AL20">_xlfn.COUNTIFS('Datos - Objetivos de países'!$B$5:$B$510,"Colombia",'Datos - Objetivos de países'!$F$5:$F$510,AL$3,'Datos - Objetivos de países'!$J$5:$J$510,$A20)+_xlfn.COUNTIFS('Datos - Objetivos de países'!$B$5:$B$510,"Colombia",'Datos - Objetivos de países'!$F$5:$F$510,AL$3,'Datos - Objetivos de países'!$K$5:$K$510,$A20)</f>
        <v>0</v>
      </c>
      <c r="AM20" s="36" cm="1">
        <f t="array" ref="AM20">_xlfn.COUNTIFS('Datos - Objetivos de países'!$B$5:$B$510,"Colombia",'Datos - Objetivos de países'!$F$5:$F$510,AM$3,'Datos - Objetivos de países'!$J$5:$J$510,$A20)+_xlfn.COUNTIFS('Datos - Objetivos de países'!$B$5:$B$510,"Colombia",'Datos - Objetivos de países'!$F$5:$F$510,AM$3,'Datos - Objetivos de países'!$K$5:$K$510,$A20)</f>
        <v>0</v>
      </c>
      <c r="AN20" s="36" cm="1">
        <f t="array" ref="AN20">_xlfn.COUNTIFS('Datos - Objetivos de países'!$B$5:$B$510,"Colombia",'Datos - Objetivos de países'!$F$5:$F$510,AN$3,'Datos - Objetivos de países'!$J$5:$J$510,$A20)+_xlfn.COUNTIFS('Datos - Objetivos de países'!$B$5:$B$510,"Colombia",'Datos - Objetivos de países'!$F$5:$F$510,AN$3,'Datos - Objetivos de países'!$K$5:$K$510,$A20)</f>
        <v>0</v>
      </c>
      <c r="AO20" s="36" cm="1">
        <f t="array" ref="AO20">_xlfn.COUNTIFS('Datos - Objetivos de países'!$B$5:$B$510,"Singapur",'Datos - Objetivos de países'!$F$5:$F$510,AO$3,'Datos - Objetivos de países'!$J$5:$J$510,$A20)+_xlfn.COUNTIFS('Datos - Objetivos de países'!$B$5:$B$510,"Singapur",'Datos - Objetivos de países'!$F$5:$F$510,AO$3,'Datos - Objetivos de países'!$K$5:$K$510,$A20)</f>
        <v>0</v>
      </c>
      <c r="AP20" s="36" cm="1">
        <f t="array" ref="AP20">_xlfn.COUNTIFS('Datos - Objetivos de países'!$B$5:$B$510,"Singapur",'Datos - Objetivos de países'!$F$5:$F$510,AP$3,'Datos - Objetivos de países'!$J$5:$J$510,$A20)+_xlfn.COUNTIFS('Datos - Objetivos de países'!$B$5:$B$510,"Singapur",'Datos - Objetivos de países'!$F$5:$F$510,AP$3,'Datos - Objetivos de países'!$K$5:$K$510,$A20)</f>
        <v>0</v>
      </c>
      <c r="AQ20" s="36" cm="1">
        <f t="array" ref="AQ20">_xlfn.COUNTIFS('Datos - Objetivos de países'!$B$5:$B$510,"Singapur",'Datos - Objetivos de países'!$F$5:$F$510,AQ$3,'Datos - Objetivos de países'!$J$5:$J$510,$A20)+_xlfn.COUNTIFS('Datos - Objetivos de países'!$B$5:$B$510,"Singapur",'Datos - Objetivos de países'!$F$5:$F$510,AQ$3,'Datos - Objetivos de países'!$K$5:$K$510,$A20)</f>
        <v>0</v>
      </c>
      <c r="AR20" s="36" cm="1">
        <f t="array" ref="AR20">_xlfn.COUNTIFS('Datos - Objetivos de países'!$B$5:$B$510,"Singapur",'Datos - Objetivos de países'!$F$5:$F$510,AR$3,'Datos - Objetivos de países'!$J$5:$J$510,$A20)+_xlfn.COUNTIFS('Datos - Objetivos de países'!$B$5:$B$510,"Singapur",'Datos - Objetivos de países'!$F$5:$F$510,AR$3,'Datos - Objetivos de países'!$K$5:$K$510,$A20)</f>
        <v>0</v>
      </c>
      <c r="AS20" s="36" cm="1">
        <f t="array" ref="AS20">_xlfn.COUNTIFS('Datos - Objetivos de países'!$B$5:$B$510,"Singapur",'Datos - Objetivos de países'!$F$5:$F$510,AS$3,'Datos - Objetivos de países'!$J$5:$J$510,$A20)+_xlfn.COUNTIFS('Datos - Objetivos de países'!$B$5:$B$510,"Singapur",'Datos - Objetivos de países'!$F$5:$F$510,AS$3,'Datos - Objetivos de países'!$K$5:$K$510,$A20)</f>
        <v>0</v>
      </c>
      <c r="AT20" s="36" cm="1">
        <f t="array" ref="AT20">_xlfn.COUNTIFS('Datos - Objetivos de países'!$B$5:$B$510,"Singapur",'Datos - Objetivos de países'!$F$5:$F$510,AT$3,'Datos - Objetivos de países'!$J$5:$J$510,$A20)+_xlfn.COUNTIFS('Datos - Objetivos de países'!$B$5:$B$510,"Singapur",'Datos - Objetivos de países'!$F$5:$F$510,AT$3,'Datos - Objetivos de países'!$K$5:$K$510,$A20)</f>
        <v>0</v>
      </c>
      <c r="AU20" s="36" cm="1">
        <f t="array" ref="AU20">_xlfn.COUNTIFS('Datos - Objetivos de países'!$B$5:$B$510,"Singapur",'Datos - Objetivos de países'!$F$5:$F$510,AU$3,'Datos - Objetivos de países'!$J$5:$J$510,$A20)+_xlfn.COUNTIFS('Datos - Objetivos de países'!$B$5:$B$510,"Singapur",'Datos - Objetivos de países'!$F$5:$F$510,AU$3,'Datos - Objetivos de países'!$K$5:$K$510,$A20)</f>
        <v>0</v>
      </c>
      <c r="AV20" s="36" cm="1">
        <f t="array" ref="AV20">_xlfn.COUNTIFS('Datos - Objetivos de países'!$B$5:$B$510,"Singapur",'Datos - Objetivos de países'!$F$5:$F$510,AV$3,'Datos - Objetivos de países'!$J$5:$J$510,$A20)+_xlfn.COUNTIFS('Datos - Objetivos de países'!$B$5:$B$510,"Singapur",'Datos - Objetivos de países'!$F$5:$F$510,AV$3,'Datos - Objetivos de países'!$K$5:$K$510,$A20)</f>
        <v>0</v>
      </c>
      <c r="AW20" s="36" cm="1">
        <f t="array" ref="AW20">_xlfn.COUNTIFS('Datos - Objetivos de países'!$B$5:$B$510,"Singapur",'Datos - Objetivos de países'!$F$5:$F$510,AW$3,'Datos - Objetivos de países'!$J$5:$J$510,$A20)+_xlfn.COUNTIFS('Datos - Objetivos de países'!$B$5:$B$510,"Singapur",'Datos - Objetivos de países'!$F$5:$F$510,AW$3,'Datos - Objetivos de países'!$K$5:$K$510,$A20)</f>
        <v>0</v>
      </c>
    </row>
    <row r="21" ht="13.65" customHeight="1">
      <c r="A21" t="s" s="78">
        <v>1112</v>
      </c>
      <c r="B21" t="s" s="78">
        <v>1055</v>
      </c>
      <c r="C21" t="s" s="78">
        <v>213</v>
      </c>
      <c r="D21" t="s" s="78">
        <v>1114</v>
      </c>
      <c r="E21" s="80" cm="1">
        <f t="array" ref="E21">_xlfn.IFERROR(MAX($L$3,INDEX($N$3:$V$3,MATCH(TRUE,INDEX(N21:V21&gt;0,0),0))),"—")</f>
        <v>2</v>
      </c>
      <c r="F21" t="str" s="79" cm="1">
        <f t="array" ref="F21">_xlfn.IFERROR(MAX($L$3,INDEX($W$3:$AE$3,MATCH(TRUE,INDEX(W21:AE21&gt;0,0),0))),"—")</f>
        <v>—</v>
      </c>
      <c r="G21" s="80" cm="1">
        <f t="array" ref="G21">_xlfn.IFERROR(MAX($L$3,INDEX($AF$3:$AN$3,MATCH(TRUE,INDEX(AF21:AN21&gt;0,0),0))),"—")</f>
        <v>2</v>
      </c>
      <c r="H21" s="80" cm="1">
        <f t="array" ref="H21">_xlfn.IFERROR(MAX($L$3,INDEX($AO$3:$AW$3,MATCH(TRUE,INDEX(AO21:AW21&gt;0,0),0))),"—")</f>
        <v>4</v>
      </c>
      <c r="I21" s="111" cm="1">
        <f t="array" ref="I21">IF(L21=0,"—",MEDIAN(F21:H21))</f>
        <v>3</v>
      </c>
      <c r="J21" s="111" cm="1">
        <f t="array" ref="J21">IF(OR(E21="—",I21="—"),"—",E21-I21)</f>
        <v>-1</v>
      </c>
      <c r="K21" t="str" s="49" cm="1">
        <f t="array" ref="K21">IF(E21="—",IF(L21=0,"Nadie lo trabaja","El Salvador no llega"),IF(L21=0,"Solo El Salvador",IF(J21&gt;0,"El Salvador llega más tarde",IF(J21&lt;0,"El Salvador va adelantado","Mismo grado"))))</f>
        <v>El Salvador va adelantado</v>
      </c>
      <c r="L21" s="80" cm="1">
        <f t="array" ref="L21">COUNT(F21:H21)</f>
        <v>2</v>
      </c>
      <c r="M21" s="110"/>
      <c r="N21" s="36" cm="1">
        <f t="array" ref="N21">_xlfn.COUNTIFS('Datos - Temas'!$C$5:$C$1264,"Ciencias",'Datos - Temas'!$B$5:$B$1264,N$3,'Datos - Temas'!$K$5:$K$1264,$A21)+_xlfn.COUNTIFS('Datos - Temas'!$C$5:$C$1264,"Ciencias",'Datos - Temas'!$B$5:$B$1264,N$3,'Datos - Temas'!$L$5:$L$1264,$A21)</f>
        <v>0</v>
      </c>
      <c r="O21" s="36" cm="1">
        <f t="array" ref="O21">_xlfn.COUNTIFS('Datos - Temas'!$C$5:$C$1264,"Ciencias",'Datos - Temas'!$B$5:$B$1264,O$3,'Datos - Temas'!$K$5:$K$1264,$A21)+_xlfn.COUNTIFS('Datos - Temas'!$C$5:$C$1264,"Ciencias",'Datos - Temas'!$B$5:$B$1264,O$3,'Datos - Temas'!$L$5:$L$1264,$A21)</f>
        <v>5</v>
      </c>
      <c r="P21" s="36" cm="1">
        <f t="array" ref="P21">_xlfn.COUNTIFS('Datos - Temas'!$C$5:$C$1264,"Ciencias",'Datos - Temas'!$B$5:$B$1264,P$3,'Datos - Temas'!$K$5:$K$1264,$A21)+_xlfn.COUNTIFS('Datos - Temas'!$C$5:$C$1264,"Ciencias",'Datos - Temas'!$B$5:$B$1264,P$3,'Datos - Temas'!$L$5:$L$1264,$A21)</f>
        <v>0</v>
      </c>
      <c r="Q21" s="36" cm="1">
        <f t="array" ref="Q21">_xlfn.COUNTIFS('Datos - Temas'!$C$5:$C$1264,"Ciencias",'Datos - Temas'!$B$5:$B$1264,Q$3,'Datos - Temas'!$K$5:$K$1264,$A21)+_xlfn.COUNTIFS('Datos - Temas'!$C$5:$C$1264,"Ciencias",'Datos - Temas'!$B$5:$B$1264,Q$3,'Datos - Temas'!$L$5:$L$1264,$A21)</f>
        <v>3</v>
      </c>
      <c r="R21" s="36" cm="1">
        <f t="array" ref="R21">_xlfn.COUNTIFS('Datos - Temas'!$C$5:$C$1264,"Ciencias",'Datos - Temas'!$B$5:$B$1264,R$3,'Datos - Temas'!$K$5:$K$1264,$A21)+_xlfn.COUNTIFS('Datos - Temas'!$C$5:$C$1264,"Ciencias",'Datos - Temas'!$B$5:$B$1264,R$3,'Datos - Temas'!$L$5:$L$1264,$A21)</f>
        <v>0</v>
      </c>
      <c r="S21" s="36" cm="1">
        <f t="array" ref="S21">_xlfn.COUNTIFS('Datos - Temas'!$C$5:$C$1264,"Ciencias",'Datos - Temas'!$B$5:$B$1264,S$3,'Datos - Temas'!$K$5:$K$1264,$A21)+_xlfn.COUNTIFS('Datos - Temas'!$C$5:$C$1264,"Ciencias",'Datos - Temas'!$B$5:$B$1264,S$3,'Datos - Temas'!$L$5:$L$1264,$A21)</f>
        <v>0</v>
      </c>
      <c r="T21" s="36" cm="1">
        <f t="array" ref="T21">_xlfn.COUNTIFS('Datos - Temas'!$C$5:$C$1264,"Ciencias",'Datos - Temas'!$B$5:$B$1264,T$3,'Datos - Temas'!$K$5:$K$1264,$A21)+_xlfn.COUNTIFS('Datos - Temas'!$C$5:$C$1264,"Ciencias",'Datos - Temas'!$B$5:$B$1264,T$3,'Datos - Temas'!$L$5:$L$1264,$A21)</f>
        <v>0</v>
      </c>
      <c r="U21" s="36" cm="1">
        <f t="array" ref="U21">_xlfn.COUNTIFS('Datos - Temas'!$C$5:$C$1264,"Ciencias",'Datos - Temas'!$B$5:$B$1264,U$3,'Datos - Temas'!$K$5:$K$1264,$A21)+_xlfn.COUNTIFS('Datos - Temas'!$C$5:$C$1264,"Ciencias",'Datos - Temas'!$B$5:$B$1264,U$3,'Datos - Temas'!$L$5:$L$1264,$A21)</f>
        <v>0</v>
      </c>
      <c r="V21" s="36" cm="1">
        <f t="array" ref="V21">_xlfn.COUNTIFS('Datos - Temas'!$C$5:$C$1264,"Ciencias",'Datos - Temas'!$B$5:$B$1264,V$3,'Datos - Temas'!$K$5:$K$1264,$A21)+_xlfn.COUNTIFS('Datos - Temas'!$C$5:$C$1264,"Ciencias",'Datos - Temas'!$B$5:$B$1264,V$3,'Datos - Temas'!$L$5:$L$1264,$A21)</f>
        <v>0</v>
      </c>
      <c r="W21" s="36" cm="1">
        <f t="array" ref="W21">_xlfn.COUNTIFS('Datos - Objetivos de países'!$B$5:$B$510,"Uruguay",'Datos - Objetivos de países'!$F$5:$F$510,W$3,'Datos - Objetivos de países'!$J$5:$J$510,$A21)+_xlfn.COUNTIFS('Datos - Objetivos de países'!$B$5:$B$510,"Uruguay",'Datos - Objetivos de países'!$F$5:$F$510,W$3,'Datos - Objetivos de países'!$K$5:$K$510,$A21)</f>
        <v>0</v>
      </c>
      <c r="X21" s="36" cm="1">
        <f t="array" ref="X21">_xlfn.COUNTIFS('Datos - Objetivos de países'!$B$5:$B$510,"Uruguay",'Datos - Objetivos de países'!$F$5:$F$510,X$3,'Datos - Objetivos de países'!$J$5:$J$510,$A21)+_xlfn.COUNTIFS('Datos - Objetivos de países'!$B$5:$B$510,"Uruguay",'Datos - Objetivos de países'!$F$5:$F$510,X$3,'Datos - Objetivos de países'!$K$5:$K$510,$A21)</f>
        <v>0</v>
      </c>
      <c r="Y21" s="36" cm="1">
        <f t="array" ref="Y21">_xlfn.COUNTIFS('Datos - Objetivos de países'!$B$5:$B$510,"Uruguay",'Datos - Objetivos de países'!$F$5:$F$510,Y$3,'Datos - Objetivos de países'!$J$5:$J$510,$A21)+_xlfn.COUNTIFS('Datos - Objetivos de países'!$B$5:$B$510,"Uruguay",'Datos - Objetivos de países'!$F$5:$F$510,Y$3,'Datos - Objetivos de países'!$K$5:$K$510,$A21)</f>
        <v>0</v>
      </c>
      <c r="Z21" s="36" cm="1">
        <f t="array" ref="Z21">_xlfn.COUNTIFS('Datos - Objetivos de países'!$B$5:$B$510,"Uruguay",'Datos - Objetivos de países'!$F$5:$F$510,Z$3,'Datos - Objetivos de países'!$J$5:$J$510,$A21)+_xlfn.COUNTIFS('Datos - Objetivos de países'!$B$5:$B$510,"Uruguay",'Datos - Objetivos de países'!$F$5:$F$510,Z$3,'Datos - Objetivos de países'!$K$5:$K$510,$A21)</f>
        <v>0</v>
      </c>
      <c r="AA21" s="36" cm="1">
        <f t="array" ref="AA21">_xlfn.COUNTIFS('Datos - Objetivos de países'!$B$5:$B$510,"Uruguay",'Datos - Objetivos de países'!$F$5:$F$510,AA$3,'Datos - Objetivos de países'!$J$5:$J$510,$A21)+_xlfn.COUNTIFS('Datos - Objetivos de países'!$B$5:$B$510,"Uruguay",'Datos - Objetivos de países'!$F$5:$F$510,AA$3,'Datos - Objetivos de países'!$K$5:$K$510,$A21)</f>
        <v>0</v>
      </c>
      <c r="AB21" s="36" cm="1">
        <f t="array" ref="AB21">_xlfn.COUNTIFS('Datos - Objetivos de países'!$B$5:$B$510,"Uruguay",'Datos - Objetivos de países'!$F$5:$F$510,AB$3,'Datos - Objetivos de países'!$J$5:$J$510,$A21)+_xlfn.COUNTIFS('Datos - Objetivos de países'!$B$5:$B$510,"Uruguay",'Datos - Objetivos de países'!$F$5:$F$510,AB$3,'Datos - Objetivos de países'!$K$5:$K$510,$A21)</f>
        <v>0</v>
      </c>
      <c r="AC21" s="36" cm="1">
        <f t="array" ref="AC21">_xlfn.COUNTIFS('Datos - Objetivos de países'!$B$5:$B$510,"Uruguay",'Datos - Objetivos de países'!$F$5:$F$510,AC$3,'Datos - Objetivos de países'!$J$5:$J$510,$A21)+_xlfn.COUNTIFS('Datos - Objetivos de países'!$B$5:$B$510,"Uruguay",'Datos - Objetivos de países'!$F$5:$F$510,AC$3,'Datos - Objetivos de países'!$K$5:$K$510,$A21)</f>
        <v>0</v>
      </c>
      <c r="AD21" s="36" cm="1">
        <f t="array" ref="AD21">_xlfn.COUNTIFS('Datos - Objetivos de países'!$B$5:$B$510,"Uruguay",'Datos - Objetivos de países'!$F$5:$F$510,AD$3,'Datos - Objetivos de países'!$J$5:$J$510,$A21)+_xlfn.COUNTIFS('Datos - Objetivos de países'!$B$5:$B$510,"Uruguay",'Datos - Objetivos de países'!$F$5:$F$510,AD$3,'Datos - Objetivos de países'!$K$5:$K$510,$A21)</f>
        <v>0</v>
      </c>
      <c r="AE21" s="36" cm="1">
        <f t="array" ref="AE21">_xlfn.COUNTIFS('Datos - Objetivos de países'!$B$5:$B$510,"Uruguay",'Datos - Objetivos de países'!$F$5:$F$510,AE$3,'Datos - Objetivos de países'!$J$5:$J$510,$A21)+_xlfn.COUNTIFS('Datos - Objetivos de países'!$B$5:$B$510,"Uruguay",'Datos - Objetivos de países'!$F$5:$F$510,AE$3,'Datos - Objetivos de países'!$K$5:$K$510,$A21)</f>
        <v>0</v>
      </c>
      <c r="AF21" s="36" cm="1">
        <f t="array" ref="AF21">_xlfn.COUNTIFS('Datos - Objetivos de países'!$B$5:$B$510,"Colombia",'Datos - Objetivos de países'!$F$5:$F$510,AF$3,'Datos - Objetivos de países'!$J$5:$J$510,$A21)+_xlfn.COUNTIFS('Datos - Objetivos de países'!$B$5:$B$510,"Colombia",'Datos - Objetivos de países'!$F$5:$F$510,AF$3,'Datos - Objetivos de países'!$K$5:$K$510,$A21)</f>
        <v>2</v>
      </c>
      <c r="AG21" s="36" cm="1">
        <f t="array" ref="AG21">_xlfn.COUNTIFS('Datos - Objetivos de países'!$B$5:$B$510,"Colombia",'Datos - Objetivos de países'!$F$5:$F$510,AG$3,'Datos - Objetivos de países'!$J$5:$J$510,$A21)+_xlfn.COUNTIFS('Datos - Objetivos de países'!$B$5:$B$510,"Colombia",'Datos - Objetivos de países'!$F$5:$F$510,AG$3,'Datos - Objetivos de países'!$K$5:$K$510,$A21)</f>
        <v>0</v>
      </c>
      <c r="AH21" s="36" cm="1">
        <f t="array" ref="AH21">_xlfn.COUNTIFS('Datos - Objetivos de países'!$B$5:$B$510,"Colombia",'Datos - Objetivos de países'!$F$5:$F$510,AH$3,'Datos - Objetivos de países'!$J$5:$J$510,$A21)+_xlfn.COUNTIFS('Datos - Objetivos de países'!$B$5:$B$510,"Colombia",'Datos - Objetivos de países'!$F$5:$F$510,AH$3,'Datos - Objetivos de países'!$K$5:$K$510,$A21)</f>
        <v>0</v>
      </c>
      <c r="AI21" s="36" cm="1">
        <f t="array" ref="AI21">_xlfn.COUNTIFS('Datos - Objetivos de países'!$B$5:$B$510,"Colombia",'Datos - Objetivos de países'!$F$5:$F$510,AI$3,'Datos - Objetivos de países'!$J$5:$J$510,$A21)+_xlfn.COUNTIFS('Datos - Objetivos de países'!$B$5:$B$510,"Colombia",'Datos - Objetivos de países'!$F$5:$F$510,AI$3,'Datos - Objetivos de países'!$K$5:$K$510,$A21)</f>
        <v>1</v>
      </c>
      <c r="AJ21" s="36" cm="1">
        <f t="array" ref="AJ21">_xlfn.COUNTIFS('Datos - Objetivos de países'!$B$5:$B$510,"Colombia",'Datos - Objetivos de países'!$F$5:$F$510,AJ$3,'Datos - Objetivos de países'!$J$5:$J$510,$A21)+_xlfn.COUNTIFS('Datos - Objetivos de países'!$B$5:$B$510,"Colombia",'Datos - Objetivos de países'!$F$5:$F$510,AJ$3,'Datos - Objetivos de países'!$K$5:$K$510,$A21)</f>
        <v>0</v>
      </c>
      <c r="AK21" s="36" cm="1">
        <f t="array" ref="AK21">_xlfn.COUNTIFS('Datos - Objetivos de países'!$B$5:$B$510,"Colombia",'Datos - Objetivos de países'!$F$5:$F$510,AK$3,'Datos - Objetivos de países'!$J$5:$J$510,$A21)+_xlfn.COUNTIFS('Datos - Objetivos de países'!$B$5:$B$510,"Colombia",'Datos - Objetivos de países'!$F$5:$F$510,AK$3,'Datos - Objetivos de países'!$K$5:$K$510,$A21)</f>
        <v>0</v>
      </c>
      <c r="AL21" s="36" cm="1">
        <f t="array" ref="AL21">_xlfn.COUNTIFS('Datos - Objetivos de países'!$B$5:$B$510,"Colombia",'Datos - Objetivos de países'!$F$5:$F$510,AL$3,'Datos - Objetivos de países'!$J$5:$J$510,$A21)+_xlfn.COUNTIFS('Datos - Objetivos de países'!$B$5:$B$510,"Colombia",'Datos - Objetivos de países'!$F$5:$F$510,AL$3,'Datos - Objetivos de países'!$K$5:$K$510,$A21)</f>
        <v>0</v>
      </c>
      <c r="AM21" s="36" cm="1">
        <f t="array" ref="AM21">_xlfn.COUNTIFS('Datos - Objetivos de países'!$B$5:$B$510,"Colombia",'Datos - Objetivos de países'!$F$5:$F$510,AM$3,'Datos - Objetivos de países'!$J$5:$J$510,$A21)+_xlfn.COUNTIFS('Datos - Objetivos de países'!$B$5:$B$510,"Colombia",'Datos - Objetivos de países'!$F$5:$F$510,AM$3,'Datos - Objetivos de países'!$K$5:$K$510,$A21)</f>
        <v>0</v>
      </c>
      <c r="AN21" s="36" cm="1">
        <f t="array" ref="AN21">_xlfn.COUNTIFS('Datos - Objetivos de países'!$B$5:$B$510,"Colombia",'Datos - Objetivos de países'!$F$5:$F$510,AN$3,'Datos - Objetivos de países'!$J$5:$J$510,$A21)+_xlfn.COUNTIFS('Datos - Objetivos de países'!$B$5:$B$510,"Colombia",'Datos - Objetivos de países'!$F$5:$F$510,AN$3,'Datos - Objetivos de países'!$K$5:$K$510,$A21)</f>
        <v>0</v>
      </c>
      <c r="AO21" s="36" cm="1">
        <f t="array" ref="AO21">_xlfn.COUNTIFS('Datos - Objetivos de países'!$B$5:$B$510,"Singapur",'Datos - Objetivos de países'!$F$5:$F$510,AO$3,'Datos - Objetivos de países'!$J$5:$J$510,$A21)+_xlfn.COUNTIFS('Datos - Objetivos de países'!$B$5:$B$510,"Singapur",'Datos - Objetivos de países'!$F$5:$F$510,AO$3,'Datos - Objetivos de países'!$K$5:$K$510,$A21)</f>
        <v>0</v>
      </c>
      <c r="AP21" s="36" cm="1">
        <f t="array" ref="AP21">_xlfn.COUNTIFS('Datos - Objetivos de países'!$B$5:$B$510,"Singapur",'Datos - Objetivos de países'!$F$5:$F$510,AP$3,'Datos - Objetivos de países'!$J$5:$J$510,$A21)+_xlfn.COUNTIFS('Datos - Objetivos de países'!$B$5:$B$510,"Singapur",'Datos - Objetivos de países'!$F$5:$F$510,AP$3,'Datos - Objetivos de países'!$K$5:$K$510,$A21)</f>
        <v>0</v>
      </c>
      <c r="AQ21" s="36" cm="1">
        <f t="array" ref="AQ21">_xlfn.COUNTIFS('Datos - Objetivos de países'!$B$5:$B$510,"Singapur",'Datos - Objetivos de países'!$F$5:$F$510,AQ$3,'Datos - Objetivos de países'!$J$5:$J$510,$A21)+_xlfn.COUNTIFS('Datos - Objetivos de países'!$B$5:$B$510,"Singapur",'Datos - Objetivos de países'!$F$5:$F$510,AQ$3,'Datos - Objetivos de países'!$K$5:$K$510,$A21)</f>
        <v>0</v>
      </c>
      <c r="AR21" s="36" cm="1">
        <f t="array" ref="AR21">_xlfn.COUNTIFS('Datos - Objetivos de países'!$B$5:$B$510,"Singapur",'Datos - Objetivos de países'!$F$5:$F$510,AR$3,'Datos - Objetivos de países'!$J$5:$J$510,$A21)+_xlfn.COUNTIFS('Datos - Objetivos de países'!$B$5:$B$510,"Singapur",'Datos - Objetivos de países'!$F$5:$F$510,AR$3,'Datos - Objetivos de países'!$K$5:$K$510,$A21)</f>
        <v>2</v>
      </c>
      <c r="AS21" s="36" cm="1">
        <f t="array" ref="AS21">_xlfn.COUNTIFS('Datos - Objetivos de países'!$B$5:$B$510,"Singapur",'Datos - Objetivos de países'!$F$5:$F$510,AS$3,'Datos - Objetivos de países'!$J$5:$J$510,$A21)+_xlfn.COUNTIFS('Datos - Objetivos de países'!$B$5:$B$510,"Singapur",'Datos - Objetivos de países'!$F$5:$F$510,AS$3,'Datos - Objetivos de países'!$K$5:$K$510,$A21)</f>
        <v>0</v>
      </c>
      <c r="AT21" s="36" cm="1">
        <f t="array" ref="AT21">_xlfn.COUNTIFS('Datos - Objetivos de países'!$B$5:$B$510,"Singapur",'Datos - Objetivos de países'!$F$5:$F$510,AT$3,'Datos - Objetivos de países'!$J$5:$J$510,$A21)+_xlfn.COUNTIFS('Datos - Objetivos de países'!$B$5:$B$510,"Singapur",'Datos - Objetivos de países'!$F$5:$F$510,AT$3,'Datos - Objetivos de países'!$K$5:$K$510,$A21)</f>
        <v>0</v>
      </c>
      <c r="AU21" s="36" cm="1">
        <f t="array" ref="AU21">_xlfn.COUNTIFS('Datos - Objetivos de países'!$B$5:$B$510,"Singapur",'Datos - Objetivos de países'!$F$5:$F$510,AU$3,'Datos - Objetivos de países'!$J$5:$J$510,$A21)+_xlfn.COUNTIFS('Datos - Objetivos de países'!$B$5:$B$510,"Singapur",'Datos - Objetivos de países'!$F$5:$F$510,AU$3,'Datos - Objetivos de países'!$K$5:$K$510,$A21)</f>
        <v>0</v>
      </c>
      <c r="AV21" s="36" cm="1">
        <f t="array" ref="AV21">_xlfn.COUNTIFS('Datos - Objetivos de países'!$B$5:$B$510,"Singapur",'Datos - Objetivos de países'!$F$5:$F$510,AV$3,'Datos - Objetivos de países'!$J$5:$J$510,$A21)+_xlfn.COUNTIFS('Datos - Objetivos de países'!$B$5:$B$510,"Singapur",'Datos - Objetivos de países'!$F$5:$F$510,AV$3,'Datos - Objetivos de países'!$K$5:$K$510,$A21)</f>
        <v>0</v>
      </c>
      <c r="AW21" s="36" cm="1">
        <f t="array" ref="AW21">_xlfn.COUNTIFS('Datos - Objetivos de países'!$B$5:$B$510,"Singapur",'Datos - Objetivos de países'!$F$5:$F$510,AW$3,'Datos - Objetivos de países'!$J$5:$J$510,$A21)+_xlfn.COUNTIFS('Datos - Objetivos de países'!$B$5:$B$510,"Singapur",'Datos - Objetivos de países'!$F$5:$F$510,AW$3,'Datos - Objetivos de países'!$K$5:$K$510,$A21)</f>
        <v>0</v>
      </c>
    </row>
    <row r="22" ht="13.65" customHeight="1">
      <c r="A22" t="s" s="78">
        <v>1116</v>
      </c>
      <c r="B22" t="s" s="78">
        <v>1055</v>
      </c>
      <c r="C22" t="s" s="78">
        <v>213</v>
      </c>
      <c r="D22" t="s" s="78">
        <v>1117</v>
      </c>
      <c r="E22" s="80" cm="1">
        <f t="array" ref="E22">_xlfn.IFERROR(MAX($L$3,INDEX($N$3:$V$3,MATCH(TRUE,INDEX(N22:V22&gt;0,0),0))),"—")</f>
        <v>2</v>
      </c>
      <c r="F22" s="80" cm="1">
        <f t="array" ref="F22">_xlfn.IFERROR(MAX($L$3,INDEX($W$3:$AE$3,MATCH(TRUE,INDEX(W22:AE22&gt;0,0),0))),"—")</f>
        <v>3</v>
      </c>
      <c r="G22" s="80" cm="1">
        <f t="array" ref="G22">_xlfn.IFERROR(MAX($L$3,INDEX($AF$3:$AN$3,MATCH(TRUE,INDEX(AF22:AN22&gt;0,0),0))),"—")</f>
        <v>2</v>
      </c>
      <c r="H22" s="80" cm="1">
        <f t="array" ref="H22">_xlfn.IFERROR(MAX($L$3,INDEX($AO$3:$AW$3,MATCH(TRUE,INDEX(AO22:AW22&gt;0,0),0))),"—")</f>
        <v>4</v>
      </c>
      <c r="I22" s="111" cm="1">
        <f t="array" ref="I22">IF(L22=0,"—",MEDIAN(F22:H22))</f>
        <v>3</v>
      </c>
      <c r="J22" s="111" cm="1">
        <f t="array" ref="J22">IF(OR(E22="—",I22="—"),"—",E22-I22)</f>
        <v>-1</v>
      </c>
      <c r="K22" t="str" s="49" cm="1">
        <f t="array" ref="K22">IF(E22="—",IF(L22=0,"Nadie lo trabaja","El Salvador no llega"),IF(L22=0,"Solo El Salvador",IF(J22&gt;0,"El Salvador llega más tarde",IF(J22&lt;0,"El Salvador va adelantado","Mismo grado"))))</f>
        <v>El Salvador va adelantado</v>
      </c>
      <c r="L22" s="80" cm="1">
        <f t="array" ref="L22">COUNT(F22:H22)</f>
        <v>3</v>
      </c>
      <c r="M22" s="110"/>
      <c r="N22" s="36" cm="1">
        <f t="array" ref="N22">_xlfn.COUNTIFS('Datos - Temas'!$C$5:$C$1264,"Ciencias",'Datos - Temas'!$B$5:$B$1264,N$3,'Datos - Temas'!$K$5:$K$1264,$A22)+_xlfn.COUNTIFS('Datos - Temas'!$C$5:$C$1264,"Ciencias",'Datos - Temas'!$B$5:$B$1264,N$3,'Datos - Temas'!$L$5:$L$1264,$A22)</f>
        <v>0</v>
      </c>
      <c r="O22" s="36" cm="1">
        <f t="array" ref="O22">_xlfn.COUNTIFS('Datos - Temas'!$C$5:$C$1264,"Ciencias",'Datos - Temas'!$B$5:$B$1264,O$3,'Datos - Temas'!$K$5:$K$1264,$A22)+_xlfn.COUNTIFS('Datos - Temas'!$C$5:$C$1264,"Ciencias",'Datos - Temas'!$B$5:$B$1264,O$3,'Datos - Temas'!$L$5:$L$1264,$A22)</f>
        <v>1</v>
      </c>
      <c r="P22" s="36" cm="1">
        <f t="array" ref="P22">_xlfn.COUNTIFS('Datos - Temas'!$C$5:$C$1264,"Ciencias",'Datos - Temas'!$B$5:$B$1264,P$3,'Datos - Temas'!$K$5:$K$1264,$A22)+_xlfn.COUNTIFS('Datos - Temas'!$C$5:$C$1264,"Ciencias",'Datos - Temas'!$B$5:$B$1264,P$3,'Datos - Temas'!$L$5:$L$1264,$A22)</f>
        <v>0</v>
      </c>
      <c r="Q22" s="36" cm="1">
        <f t="array" ref="Q22">_xlfn.COUNTIFS('Datos - Temas'!$C$5:$C$1264,"Ciencias",'Datos - Temas'!$B$5:$B$1264,Q$3,'Datos - Temas'!$K$5:$K$1264,$A22)+_xlfn.COUNTIFS('Datos - Temas'!$C$5:$C$1264,"Ciencias",'Datos - Temas'!$B$5:$B$1264,Q$3,'Datos - Temas'!$L$5:$L$1264,$A22)</f>
        <v>0</v>
      </c>
      <c r="R22" s="36" cm="1">
        <f t="array" ref="R22">_xlfn.COUNTIFS('Datos - Temas'!$C$5:$C$1264,"Ciencias",'Datos - Temas'!$B$5:$B$1264,R$3,'Datos - Temas'!$K$5:$K$1264,$A22)+_xlfn.COUNTIFS('Datos - Temas'!$C$5:$C$1264,"Ciencias",'Datos - Temas'!$B$5:$B$1264,R$3,'Datos - Temas'!$L$5:$L$1264,$A22)</f>
        <v>0</v>
      </c>
      <c r="S22" s="36" cm="1">
        <f t="array" ref="S22">_xlfn.COUNTIFS('Datos - Temas'!$C$5:$C$1264,"Ciencias",'Datos - Temas'!$B$5:$B$1264,S$3,'Datos - Temas'!$K$5:$K$1264,$A22)+_xlfn.COUNTIFS('Datos - Temas'!$C$5:$C$1264,"Ciencias",'Datos - Temas'!$B$5:$B$1264,S$3,'Datos - Temas'!$L$5:$L$1264,$A22)</f>
        <v>0</v>
      </c>
      <c r="T22" s="36" cm="1">
        <f t="array" ref="T22">_xlfn.COUNTIFS('Datos - Temas'!$C$5:$C$1264,"Ciencias",'Datos - Temas'!$B$5:$B$1264,T$3,'Datos - Temas'!$K$5:$K$1264,$A22)+_xlfn.COUNTIFS('Datos - Temas'!$C$5:$C$1264,"Ciencias",'Datos - Temas'!$B$5:$B$1264,T$3,'Datos - Temas'!$L$5:$L$1264,$A22)</f>
        <v>0</v>
      </c>
      <c r="U22" s="36" cm="1">
        <f t="array" ref="U22">_xlfn.COUNTIFS('Datos - Temas'!$C$5:$C$1264,"Ciencias",'Datos - Temas'!$B$5:$B$1264,U$3,'Datos - Temas'!$K$5:$K$1264,$A22)+_xlfn.COUNTIFS('Datos - Temas'!$C$5:$C$1264,"Ciencias",'Datos - Temas'!$B$5:$B$1264,U$3,'Datos - Temas'!$L$5:$L$1264,$A22)</f>
        <v>0</v>
      </c>
      <c r="V22" s="36" cm="1">
        <f t="array" ref="V22">_xlfn.COUNTIFS('Datos - Temas'!$C$5:$C$1264,"Ciencias",'Datos - Temas'!$B$5:$B$1264,V$3,'Datos - Temas'!$K$5:$K$1264,$A22)+_xlfn.COUNTIFS('Datos - Temas'!$C$5:$C$1264,"Ciencias",'Datos - Temas'!$B$5:$B$1264,V$3,'Datos - Temas'!$L$5:$L$1264,$A22)</f>
        <v>0</v>
      </c>
      <c r="W22" s="36" cm="1">
        <f t="array" ref="W22">_xlfn.COUNTIFS('Datos - Objetivos de países'!$B$5:$B$510,"Uruguay",'Datos - Objetivos de países'!$F$5:$F$510,W$3,'Datos - Objetivos de países'!$J$5:$J$510,$A22)+_xlfn.COUNTIFS('Datos - Objetivos de países'!$B$5:$B$510,"Uruguay",'Datos - Objetivos de países'!$F$5:$F$510,W$3,'Datos - Objetivos de países'!$K$5:$K$510,$A22)</f>
        <v>0</v>
      </c>
      <c r="X22" s="36" cm="1">
        <f t="array" ref="X22">_xlfn.COUNTIFS('Datos - Objetivos de países'!$B$5:$B$510,"Uruguay",'Datos - Objetivos de países'!$F$5:$F$510,X$3,'Datos - Objetivos de países'!$J$5:$J$510,$A22)+_xlfn.COUNTIFS('Datos - Objetivos de países'!$B$5:$B$510,"Uruguay",'Datos - Objetivos de países'!$F$5:$F$510,X$3,'Datos - Objetivos de países'!$K$5:$K$510,$A22)</f>
        <v>0</v>
      </c>
      <c r="Y22" s="36" cm="1">
        <f t="array" ref="Y22">_xlfn.COUNTIFS('Datos - Objetivos de países'!$B$5:$B$510,"Uruguay",'Datos - Objetivos de países'!$F$5:$F$510,Y$3,'Datos - Objetivos de países'!$J$5:$J$510,$A22)+_xlfn.COUNTIFS('Datos - Objetivos de países'!$B$5:$B$510,"Uruguay",'Datos - Objetivos de países'!$F$5:$F$510,Y$3,'Datos - Objetivos de países'!$K$5:$K$510,$A22)</f>
        <v>3</v>
      </c>
      <c r="Z22" s="36" cm="1">
        <f t="array" ref="Z22">_xlfn.COUNTIFS('Datos - Objetivos de países'!$B$5:$B$510,"Uruguay",'Datos - Objetivos de países'!$F$5:$F$510,Z$3,'Datos - Objetivos de países'!$J$5:$J$510,$A22)+_xlfn.COUNTIFS('Datos - Objetivos de países'!$B$5:$B$510,"Uruguay",'Datos - Objetivos de países'!$F$5:$F$510,Z$3,'Datos - Objetivos de países'!$K$5:$K$510,$A22)</f>
        <v>1</v>
      </c>
      <c r="AA22" s="36" cm="1">
        <f t="array" ref="AA22">_xlfn.COUNTIFS('Datos - Objetivos de países'!$B$5:$B$510,"Uruguay",'Datos - Objetivos de países'!$F$5:$F$510,AA$3,'Datos - Objetivos de países'!$J$5:$J$510,$A22)+_xlfn.COUNTIFS('Datos - Objetivos de países'!$B$5:$B$510,"Uruguay",'Datos - Objetivos de países'!$F$5:$F$510,AA$3,'Datos - Objetivos de países'!$K$5:$K$510,$A22)</f>
        <v>0</v>
      </c>
      <c r="AB22" s="36" cm="1">
        <f t="array" ref="AB22">_xlfn.COUNTIFS('Datos - Objetivos de países'!$B$5:$B$510,"Uruguay",'Datos - Objetivos de países'!$F$5:$F$510,AB$3,'Datos - Objetivos de países'!$J$5:$J$510,$A22)+_xlfn.COUNTIFS('Datos - Objetivos de países'!$B$5:$B$510,"Uruguay",'Datos - Objetivos de países'!$F$5:$F$510,AB$3,'Datos - Objetivos de países'!$K$5:$K$510,$A22)</f>
        <v>0</v>
      </c>
      <c r="AC22" s="36" cm="1">
        <f t="array" ref="AC22">_xlfn.COUNTIFS('Datos - Objetivos de países'!$B$5:$B$510,"Uruguay",'Datos - Objetivos de países'!$F$5:$F$510,AC$3,'Datos - Objetivos de países'!$J$5:$J$510,$A22)+_xlfn.COUNTIFS('Datos - Objetivos de países'!$B$5:$B$510,"Uruguay",'Datos - Objetivos de países'!$F$5:$F$510,AC$3,'Datos - Objetivos de países'!$K$5:$K$510,$A22)</f>
        <v>0</v>
      </c>
      <c r="AD22" s="36" cm="1">
        <f t="array" ref="AD22">_xlfn.COUNTIFS('Datos - Objetivos de países'!$B$5:$B$510,"Uruguay",'Datos - Objetivos de países'!$F$5:$F$510,AD$3,'Datos - Objetivos de países'!$J$5:$J$510,$A22)+_xlfn.COUNTIFS('Datos - Objetivos de países'!$B$5:$B$510,"Uruguay",'Datos - Objetivos de países'!$F$5:$F$510,AD$3,'Datos - Objetivos de países'!$K$5:$K$510,$A22)</f>
        <v>0</v>
      </c>
      <c r="AE22" s="36" cm="1">
        <f t="array" ref="AE22">_xlfn.COUNTIFS('Datos - Objetivos de países'!$B$5:$B$510,"Uruguay",'Datos - Objetivos de países'!$F$5:$F$510,AE$3,'Datos - Objetivos de países'!$J$5:$J$510,$A22)+_xlfn.COUNTIFS('Datos - Objetivos de países'!$B$5:$B$510,"Uruguay",'Datos - Objetivos de países'!$F$5:$F$510,AE$3,'Datos - Objetivos de países'!$K$5:$K$510,$A22)</f>
        <v>0</v>
      </c>
      <c r="AF22" s="36" cm="1">
        <f t="array" ref="AF22">_xlfn.COUNTIFS('Datos - Objetivos de países'!$B$5:$B$510,"Colombia",'Datos - Objetivos de países'!$F$5:$F$510,AF$3,'Datos - Objetivos de países'!$J$5:$J$510,$A22)+_xlfn.COUNTIFS('Datos - Objetivos de países'!$B$5:$B$510,"Colombia",'Datos - Objetivos de países'!$F$5:$F$510,AF$3,'Datos - Objetivos de países'!$K$5:$K$510,$A22)</f>
        <v>1</v>
      </c>
      <c r="AG22" s="36" cm="1">
        <f t="array" ref="AG22">_xlfn.COUNTIFS('Datos - Objetivos de países'!$B$5:$B$510,"Colombia",'Datos - Objetivos de países'!$F$5:$F$510,AG$3,'Datos - Objetivos de países'!$J$5:$J$510,$A22)+_xlfn.COUNTIFS('Datos - Objetivos de países'!$B$5:$B$510,"Colombia",'Datos - Objetivos de países'!$F$5:$F$510,AG$3,'Datos - Objetivos de países'!$K$5:$K$510,$A22)</f>
        <v>0</v>
      </c>
      <c r="AH22" s="36" cm="1">
        <f t="array" ref="AH22">_xlfn.COUNTIFS('Datos - Objetivos de países'!$B$5:$B$510,"Colombia",'Datos - Objetivos de países'!$F$5:$F$510,AH$3,'Datos - Objetivos de países'!$J$5:$J$510,$A22)+_xlfn.COUNTIFS('Datos - Objetivos de países'!$B$5:$B$510,"Colombia",'Datos - Objetivos de países'!$F$5:$F$510,AH$3,'Datos - Objetivos de países'!$K$5:$K$510,$A22)</f>
        <v>0</v>
      </c>
      <c r="AI22" s="36" cm="1">
        <f t="array" ref="AI22">_xlfn.COUNTIFS('Datos - Objetivos de países'!$B$5:$B$510,"Colombia",'Datos - Objetivos de países'!$F$5:$F$510,AI$3,'Datos - Objetivos de países'!$J$5:$J$510,$A22)+_xlfn.COUNTIFS('Datos - Objetivos de países'!$B$5:$B$510,"Colombia",'Datos - Objetivos de países'!$F$5:$F$510,AI$3,'Datos - Objetivos de países'!$K$5:$K$510,$A22)</f>
        <v>1</v>
      </c>
      <c r="AJ22" s="36" cm="1">
        <f t="array" ref="AJ22">_xlfn.COUNTIFS('Datos - Objetivos de países'!$B$5:$B$510,"Colombia",'Datos - Objetivos de países'!$F$5:$F$510,AJ$3,'Datos - Objetivos de países'!$J$5:$J$510,$A22)+_xlfn.COUNTIFS('Datos - Objetivos de países'!$B$5:$B$510,"Colombia",'Datos - Objetivos de países'!$F$5:$F$510,AJ$3,'Datos - Objetivos de países'!$K$5:$K$510,$A22)</f>
        <v>0</v>
      </c>
      <c r="AK22" s="36" cm="1">
        <f t="array" ref="AK22">_xlfn.COUNTIFS('Datos - Objetivos de países'!$B$5:$B$510,"Colombia",'Datos - Objetivos de países'!$F$5:$F$510,AK$3,'Datos - Objetivos de países'!$J$5:$J$510,$A22)+_xlfn.COUNTIFS('Datos - Objetivos de países'!$B$5:$B$510,"Colombia",'Datos - Objetivos de países'!$F$5:$F$510,AK$3,'Datos - Objetivos de países'!$K$5:$K$510,$A22)</f>
        <v>0</v>
      </c>
      <c r="AL22" s="36" cm="1">
        <f t="array" ref="AL22">_xlfn.COUNTIFS('Datos - Objetivos de países'!$B$5:$B$510,"Colombia",'Datos - Objetivos de países'!$F$5:$F$510,AL$3,'Datos - Objetivos de países'!$J$5:$J$510,$A22)+_xlfn.COUNTIFS('Datos - Objetivos de países'!$B$5:$B$510,"Colombia",'Datos - Objetivos de países'!$F$5:$F$510,AL$3,'Datos - Objetivos de países'!$K$5:$K$510,$A22)</f>
        <v>0</v>
      </c>
      <c r="AM22" s="36" cm="1">
        <f t="array" ref="AM22">_xlfn.COUNTIFS('Datos - Objetivos de países'!$B$5:$B$510,"Colombia",'Datos - Objetivos de países'!$F$5:$F$510,AM$3,'Datos - Objetivos de países'!$J$5:$J$510,$A22)+_xlfn.COUNTIFS('Datos - Objetivos de países'!$B$5:$B$510,"Colombia",'Datos - Objetivos de países'!$F$5:$F$510,AM$3,'Datos - Objetivos de países'!$K$5:$K$510,$A22)</f>
        <v>0</v>
      </c>
      <c r="AN22" s="36" cm="1">
        <f t="array" ref="AN22">_xlfn.COUNTIFS('Datos - Objetivos de países'!$B$5:$B$510,"Colombia",'Datos - Objetivos de países'!$F$5:$F$510,AN$3,'Datos - Objetivos de países'!$J$5:$J$510,$A22)+_xlfn.COUNTIFS('Datos - Objetivos de países'!$B$5:$B$510,"Colombia",'Datos - Objetivos de países'!$F$5:$F$510,AN$3,'Datos - Objetivos de países'!$K$5:$K$510,$A22)</f>
        <v>0</v>
      </c>
      <c r="AO22" s="36" cm="1">
        <f t="array" ref="AO22">_xlfn.COUNTIFS('Datos - Objetivos de países'!$B$5:$B$510,"Singapur",'Datos - Objetivos de países'!$F$5:$F$510,AO$3,'Datos - Objetivos de países'!$J$5:$J$510,$A22)+_xlfn.COUNTIFS('Datos - Objetivos de países'!$B$5:$B$510,"Singapur",'Datos - Objetivos de países'!$F$5:$F$510,AO$3,'Datos - Objetivos de países'!$K$5:$K$510,$A22)</f>
        <v>0</v>
      </c>
      <c r="AP22" s="36" cm="1">
        <f t="array" ref="AP22">_xlfn.COUNTIFS('Datos - Objetivos de países'!$B$5:$B$510,"Singapur",'Datos - Objetivos de países'!$F$5:$F$510,AP$3,'Datos - Objetivos de países'!$J$5:$J$510,$A22)+_xlfn.COUNTIFS('Datos - Objetivos de países'!$B$5:$B$510,"Singapur",'Datos - Objetivos de países'!$F$5:$F$510,AP$3,'Datos - Objetivos de países'!$K$5:$K$510,$A22)</f>
        <v>0</v>
      </c>
      <c r="AQ22" s="36" cm="1">
        <f t="array" ref="AQ22">_xlfn.COUNTIFS('Datos - Objetivos de países'!$B$5:$B$510,"Singapur",'Datos - Objetivos de países'!$F$5:$F$510,AQ$3,'Datos - Objetivos de países'!$J$5:$J$510,$A22)+_xlfn.COUNTIFS('Datos - Objetivos de países'!$B$5:$B$510,"Singapur",'Datos - Objetivos de países'!$F$5:$F$510,AQ$3,'Datos - Objetivos de países'!$K$5:$K$510,$A22)</f>
        <v>0</v>
      </c>
      <c r="AR22" s="36" cm="1">
        <f t="array" ref="AR22">_xlfn.COUNTIFS('Datos - Objetivos de países'!$B$5:$B$510,"Singapur",'Datos - Objetivos de países'!$F$5:$F$510,AR$3,'Datos - Objetivos de países'!$J$5:$J$510,$A22)+_xlfn.COUNTIFS('Datos - Objetivos de países'!$B$5:$B$510,"Singapur",'Datos - Objetivos de países'!$F$5:$F$510,AR$3,'Datos - Objetivos de países'!$K$5:$K$510,$A22)</f>
        <v>7</v>
      </c>
      <c r="AS22" s="36" cm="1">
        <f t="array" ref="AS22">_xlfn.COUNTIFS('Datos - Objetivos de países'!$B$5:$B$510,"Singapur",'Datos - Objetivos de países'!$F$5:$F$510,AS$3,'Datos - Objetivos de países'!$J$5:$J$510,$A22)+_xlfn.COUNTIFS('Datos - Objetivos de países'!$B$5:$B$510,"Singapur",'Datos - Objetivos de países'!$F$5:$F$510,AS$3,'Datos - Objetivos de países'!$K$5:$K$510,$A22)</f>
        <v>0</v>
      </c>
      <c r="AT22" s="36" cm="1">
        <f t="array" ref="AT22">_xlfn.COUNTIFS('Datos - Objetivos de países'!$B$5:$B$510,"Singapur",'Datos - Objetivos de países'!$F$5:$F$510,AT$3,'Datos - Objetivos de países'!$J$5:$J$510,$A22)+_xlfn.COUNTIFS('Datos - Objetivos de países'!$B$5:$B$510,"Singapur",'Datos - Objetivos de países'!$F$5:$F$510,AT$3,'Datos - Objetivos de países'!$K$5:$K$510,$A22)</f>
        <v>0</v>
      </c>
      <c r="AU22" s="36" cm="1">
        <f t="array" ref="AU22">_xlfn.COUNTIFS('Datos - Objetivos de países'!$B$5:$B$510,"Singapur",'Datos - Objetivos de países'!$F$5:$F$510,AU$3,'Datos - Objetivos de países'!$J$5:$J$510,$A22)+_xlfn.COUNTIFS('Datos - Objetivos de países'!$B$5:$B$510,"Singapur",'Datos - Objetivos de países'!$F$5:$F$510,AU$3,'Datos - Objetivos de países'!$K$5:$K$510,$A22)</f>
        <v>0</v>
      </c>
      <c r="AV22" s="36" cm="1">
        <f t="array" ref="AV22">_xlfn.COUNTIFS('Datos - Objetivos de países'!$B$5:$B$510,"Singapur",'Datos - Objetivos de países'!$F$5:$F$510,AV$3,'Datos - Objetivos de países'!$J$5:$J$510,$A22)+_xlfn.COUNTIFS('Datos - Objetivos de países'!$B$5:$B$510,"Singapur",'Datos - Objetivos de países'!$F$5:$F$510,AV$3,'Datos - Objetivos de países'!$K$5:$K$510,$A22)</f>
        <v>0</v>
      </c>
      <c r="AW22" s="36" cm="1">
        <f t="array" ref="AW22">_xlfn.COUNTIFS('Datos - Objetivos de países'!$B$5:$B$510,"Singapur",'Datos - Objetivos de países'!$F$5:$F$510,AW$3,'Datos - Objetivos de países'!$J$5:$J$510,$A22)+_xlfn.COUNTIFS('Datos - Objetivos de países'!$B$5:$B$510,"Singapur",'Datos - Objetivos de países'!$F$5:$F$510,AW$3,'Datos - Objetivos de países'!$K$5:$K$510,$A22)</f>
        <v>0</v>
      </c>
    </row>
    <row r="23" ht="13.65" customHeight="1">
      <c r="A23" t="s" s="78">
        <v>317</v>
      </c>
      <c r="B23" t="s" s="78">
        <v>1055</v>
      </c>
      <c r="C23" t="s" s="78">
        <v>213</v>
      </c>
      <c r="D23" t="s" s="78">
        <v>1121</v>
      </c>
      <c r="E23" s="80" cm="1">
        <f t="array" ref="E23">_xlfn.IFERROR(MAX($L$3,INDEX($N$3:$V$3,MATCH(TRUE,INDEX(N23:V23&gt;0,0),0))),"—")</f>
        <v>2</v>
      </c>
      <c r="F23" s="80" cm="1">
        <f t="array" ref="F23">_xlfn.IFERROR(MAX($L$3,INDEX($W$3:$AE$3,MATCH(TRUE,INDEX(W23:AE23&gt;0,0),0))),"—")</f>
        <v>3</v>
      </c>
      <c r="G23" s="80" cm="1">
        <f t="array" ref="G23">_xlfn.IFERROR(MAX($L$3,INDEX($AF$3:$AN$3,MATCH(TRUE,INDEX(AF23:AN23&gt;0,0),0))),"—")</f>
        <v>2</v>
      </c>
      <c r="H23" s="80" cm="1">
        <f t="array" ref="H23">_xlfn.IFERROR(MAX($L$3,INDEX($AO$3:$AW$3,MATCH(TRUE,INDEX(AO23:AW23&gt;0,0),0))),"—")</f>
        <v>4</v>
      </c>
      <c r="I23" s="111" cm="1">
        <f t="array" ref="I23">IF(L23=0,"—",MEDIAN(F23:H23))</f>
        <v>3</v>
      </c>
      <c r="J23" s="111" cm="1">
        <f t="array" ref="J23">IF(OR(E23="—",I23="—"),"—",E23-I23)</f>
        <v>-1</v>
      </c>
      <c r="K23" t="str" s="49" cm="1">
        <f t="array" ref="K23">IF(E23="—",IF(L23=0,"Nadie lo trabaja","El Salvador no llega"),IF(L23=0,"Solo El Salvador",IF(J23&gt;0,"El Salvador llega más tarde",IF(J23&lt;0,"El Salvador va adelantado","Mismo grado"))))</f>
        <v>El Salvador va adelantado</v>
      </c>
      <c r="L23" s="80" cm="1">
        <f t="array" ref="L23">COUNT(F23:H23)</f>
        <v>3</v>
      </c>
      <c r="M23" s="110"/>
      <c r="N23" s="36" cm="1">
        <f t="array" ref="N23">_xlfn.COUNTIFS('Datos - Temas'!$C$5:$C$1264,"Ciencias",'Datos - Temas'!$B$5:$B$1264,N$3,'Datos - Temas'!$K$5:$K$1264,$A23)+_xlfn.COUNTIFS('Datos - Temas'!$C$5:$C$1264,"Ciencias",'Datos - Temas'!$B$5:$B$1264,N$3,'Datos - Temas'!$L$5:$L$1264,$A23)</f>
        <v>0</v>
      </c>
      <c r="O23" s="36" cm="1">
        <f t="array" ref="O23">_xlfn.COUNTIFS('Datos - Temas'!$C$5:$C$1264,"Ciencias",'Datos - Temas'!$B$5:$B$1264,O$3,'Datos - Temas'!$K$5:$K$1264,$A23)+_xlfn.COUNTIFS('Datos - Temas'!$C$5:$C$1264,"Ciencias",'Datos - Temas'!$B$5:$B$1264,O$3,'Datos - Temas'!$L$5:$L$1264,$A23)</f>
        <v>2</v>
      </c>
      <c r="P23" s="36" cm="1">
        <f t="array" ref="P23">_xlfn.COUNTIFS('Datos - Temas'!$C$5:$C$1264,"Ciencias",'Datos - Temas'!$B$5:$B$1264,P$3,'Datos - Temas'!$K$5:$K$1264,$A23)+_xlfn.COUNTIFS('Datos - Temas'!$C$5:$C$1264,"Ciencias",'Datos - Temas'!$B$5:$B$1264,P$3,'Datos - Temas'!$L$5:$L$1264,$A23)</f>
        <v>0</v>
      </c>
      <c r="Q23" s="36" cm="1">
        <f t="array" ref="Q23">_xlfn.COUNTIFS('Datos - Temas'!$C$5:$C$1264,"Ciencias",'Datos - Temas'!$B$5:$B$1264,Q$3,'Datos - Temas'!$K$5:$K$1264,$A23)+_xlfn.COUNTIFS('Datos - Temas'!$C$5:$C$1264,"Ciencias",'Datos - Temas'!$B$5:$B$1264,Q$3,'Datos - Temas'!$L$5:$L$1264,$A23)</f>
        <v>0</v>
      </c>
      <c r="R23" s="36" cm="1">
        <f t="array" ref="R23">_xlfn.COUNTIFS('Datos - Temas'!$C$5:$C$1264,"Ciencias",'Datos - Temas'!$B$5:$B$1264,R$3,'Datos - Temas'!$K$5:$K$1264,$A23)+_xlfn.COUNTIFS('Datos - Temas'!$C$5:$C$1264,"Ciencias",'Datos - Temas'!$B$5:$B$1264,R$3,'Datos - Temas'!$L$5:$L$1264,$A23)</f>
        <v>0</v>
      </c>
      <c r="S23" s="36" cm="1">
        <f t="array" ref="S23">_xlfn.COUNTIFS('Datos - Temas'!$C$5:$C$1264,"Ciencias",'Datos - Temas'!$B$5:$B$1264,S$3,'Datos - Temas'!$K$5:$K$1264,$A23)+_xlfn.COUNTIFS('Datos - Temas'!$C$5:$C$1264,"Ciencias",'Datos - Temas'!$B$5:$B$1264,S$3,'Datos - Temas'!$L$5:$L$1264,$A23)</f>
        <v>0</v>
      </c>
      <c r="T23" s="36" cm="1">
        <f t="array" ref="T23">_xlfn.COUNTIFS('Datos - Temas'!$C$5:$C$1264,"Ciencias",'Datos - Temas'!$B$5:$B$1264,T$3,'Datos - Temas'!$K$5:$K$1264,$A23)+_xlfn.COUNTIFS('Datos - Temas'!$C$5:$C$1264,"Ciencias",'Datos - Temas'!$B$5:$B$1264,T$3,'Datos - Temas'!$L$5:$L$1264,$A23)</f>
        <v>0</v>
      </c>
      <c r="U23" s="36" cm="1">
        <f t="array" ref="U23">_xlfn.COUNTIFS('Datos - Temas'!$C$5:$C$1264,"Ciencias",'Datos - Temas'!$B$5:$B$1264,U$3,'Datos - Temas'!$K$5:$K$1264,$A23)+_xlfn.COUNTIFS('Datos - Temas'!$C$5:$C$1264,"Ciencias",'Datos - Temas'!$B$5:$B$1264,U$3,'Datos - Temas'!$L$5:$L$1264,$A23)</f>
        <v>0</v>
      </c>
      <c r="V23" s="36" cm="1">
        <f t="array" ref="V23">_xlfn.COUNTIFS('Datos - Temas'!$C$5:$C$1264,"Ciencias",'Datos - Temas'!$B$5:$B$1264,V$3,'Datos - Temas'!$K$5:$K$1264,$A23)+_xlfn.COUNTIFS('Datos - Temas'!$C$5:$C$1264,"Ciencias",'Datos - Temas'!$B$5:$B$1264,V$3,'Datos - Temas'!$L$5:$L$1264,$A23)</f>
        <v>0</v>
      </c>
      <c r="W23" s="36" cm="1">
        <f t="array" ref="W23">_xlfn.COUNTIFS('Datos - Objetivos de países'!$B$5:$B$510,"Uruguay",'Datos - Objetivos de países'!$F$5:$F$510,W$3,'Datos - Objetivos de países'!$J$5:$J$510,$A23)+_xlfn.COUNTIFS('Datos - Objetivos de países'!$B$5:$B$510,"Uruguay",'Datos - Objetivos de países'!$F$5:$F$510,W$3,'Datos - Objetivos de países'!$K$5:$K$510,$A23)</f>
        <v>0</v>
      </c>
      <c r="X23" s="36" cm="1">
        <f t="array" ref="X23">_xlfn.COUNTIFS('Datos - Objetivos de países'!$B$5:$B$510,"Uruguay",'Datos - Objetivos de países'!$F$5:$F$510,X$3,'Datos - Objetivos de países'!$J$5:$J$510,$A23)+_xlfn.COUNTIFS('Datos - Objetivos de países'!$B$5:$B$510,"Uruguay",'Datos - Objetivos de países'!$F$5:$F$510,X$3,'Datos - Objetivos de países'!$K$5:$K$510,$A23)</f>
        <v>0</v>
      </c>
      <c r="Y23" s="36" cm="1">
        <f t="array" ref="Y23">_xlfn.COUNTIFS('Datos - Objetivos de países'!$B$5:$B$510,"Uruguay",'Datos - Objetivos de países'!$F$5:$F$510,Y$3,'Datos - Objetivos de países'!$J$5:$J$510,$A23)+_xlfn.COUNTIFS('Datos - Objetivos de países'!$B$5:$B$510,"Uruguay",'Datos - Objetivos de países'!$F$5:$F$510,Y$3,'Datos - Objetivos de países'!$K$5:$K$510,$A23)</f>
        <v>1</v>
      </c>
      <c r="Z23" s="36" cm="1">
        <f t="array" ref="Z23">_xlfn.COUNTIFS('Datos - Objetivos de países'!$B$5:$B$510,"Uruguay",'Datos - Objetivos de países'!$F$5:$F$510,Z$3,'Datos - Objetivos de países'!$J$5:$J$510,$A23)+_xlfn.COUNTIFS('Datos - Objetivos de países'!$B$5:$B$510,"Uruguay",'Datos - Objetivos de países'!$F$5:$F$510,Z$3,'Datos - Objetivos de países'!$K$5:$K$510,$A23)</f>
        <v>2</v>
      </c>
      <c r="AA23" s="36" cm="1">
        <f t="array" ref="AA23">_xlfn.COUNTIFS('Datos - Objetivos de países'!$B$5:$B$510,"Uruguay",'Datos - Objetivos de países'!$F$5:$F$510,AA$3,'Datos - Objetivos de países'!$J$5:$J$510,$A23)+_xlfn.COUNTIFS('Datos - Objetivos de países'!$B$5:$B$510,"Uruguay",'Datos - Objetivos de países'!$F$5:$F$510,AA$3,'Datos - Objetivos de países'!$K$5:$K$510,$A23)</f>
        <v>0</v>
      </c>
      <c r="AB23" s="36" cm="1">
        <f t="array" ref="AB23">_xlfn.COUNTIFS('Datos - Objetivos de países'!$B$5:$B$510,"Uruguay",'Datos - Objetivos de países'!$F$5:$F$510,AB$3,'Datos - Objetivos de países'!$J$5:$J$510,$A23)+_xlfn.COUNTIFS('Datos - Objetivos de países'!$B$5:$B$510,"Uruguay",'Datos - Objetivos de países'!$F$5:$F$510,AB$3,'Datos - Objetivos de países'!$K$5:$K$510,$A23)</f>
        <v>0</v>
      </c>
      <c r="AC23" s="36" cm="1">
        <f t="array" ref="AC23">_xlfn.COUNTIFS('Datos - Objetivos de países'!$B$5:$B$510,"Uruguay",'Datos - Objetivos de países'!$F$5:$F$510,AC$3,'Datos - Objetivos de países'!$J$5:$J$510,$A23)+_xlfn.COUNTIFS('Datos - Objetivos de países'!$B$5:$B$510,"Uruguay",'Datos - Objetivos de países'!$F$5:$F$510,AC$3,'Datos - Objetivos de países'!$K$5:$K$510,$A23)</f>
        <v>0</v>
      </c>
      <c r="AD23" s="36" cm="1">
        <f t="array" ref="AD23">_xlfn.COUNTIFS('Datos - Objetivos de países'!$B$5:$B$510,"Uruguay",'Datos - Objetivos de países'!$F$5:$F$510,AD$3,'Datos - Objetivos de países'!$J$5:$J$510,$A23)+_xlfn.COUNTIFS('Datos - Objetivos de países'!$B$5:$B$510,"Uruguay",'Datos - Objetivos de países'!$F$5:$F$510,AD$3,'Datos - Objetivos de países'!$K$5:$K$510,$A23)</f>
        <v>0</v>
      </c>
      <c r="AE23" s="36" cm="1">
        <f t="array" ref="AE23">_xlfn.COUNTIFS('Datos - Objetivos de países'!$B$5:$B$510,"Uruguay",'Datos - Objetivos de países'!$F$5:$F$510,AE$3,'Datos - Objetivos de países'!$J$5:$J$510,$A23)+_xlfn.COUNTIFS('Datos - Objetivos de países'!$B$5:$B$510,"Uruguay",'Datos - Objetivos de países'!$F$5:$F$510,AE$3,'Datos - Objetivos de países'!$K$5:$K$510,$A23)</f>
        <v>0</v>
      </c>
      <c r="AF23" s="36" cm="1">
        <f t="array" ref="AF23">_xlfn.COUNTIFS('Datos - Objetivos de países'!$B$5:$B$510,"Colombia",'Datos - Objetivos de países'!$F$5:$F$510,AF$3,'Datos - Objetivos de países'!$J$5:$J$510,$A23)+_xlfn.COUNTIFS('Datos - Objetivos de países'!$B$5:$B$510,"Colombia",'Datos - Objetivos de países'!$F$5:$F$510,AF$3,'Datos - Objetivos de países'!$K$5:$K$510,$A23)</f>
        <v>4</v>
      </c>
      <c r="AG23" s="36" cm="1">
        <f t="array" ref="AG23">_xlfn.COUNTIFS('Datos - Objetivos de países'!$B$5:$B$510,"Colombia",'Datos - Objetivos de países'!$F$5:$F$510,AG$3,'Datos - Objetivos de países'!$J$5:$J$510,$A23)+_xlfn.COUNTIFS('Datos - Objetivos de países'!$B$5:$B$510,"Colombia",'Datos - Objetivos de países'!$F$5:$F$510,AG$3,'Datos - Objetivos de países'!$K$5:$K$510,$A23)</f>
        <v>0</v>
      </c>
      <c r="AH23" s="36" cm="1">
        <f t="array" ref="AH23">_xlfn.COUNTIFS('Datos - Objetivos de países'!$B$5:$B$510,"Colombia",'Datos - Objetivos de países'!$F$5:$F$510,AH$3,'Datos - Objetivos de países'!$J$5:$J$510,$A23)+_xlfn.COUNTIFS('Datos - Objetivos de países'!$B$5:$B$510,"Colombia",'Datos - Objetivos de países'!$F$5:$F$510,AH$3,'Datos - Objetivos de países'!$K$5:$K$510,$A23)</f>
        <v>2</v>
      </c>
      <c r="AI23" s="36" cm="1">
        <f t="array" ref="AI23">_xlfn.COUNTIFS('Datos - Objetivos de países'!$B$5:$B$510,"Colombia",'Datos - Objetivos de países'!$F$5:$F$510,AI$3,'Datos - Objetivos de países'!$J$5:$J$510,$A23)+_xlfn.COUNTIFS('Datos - Objetivos de países'!$B$5:$B$510,"Colombia",'Datos - Objetivos de países'!$F$5:$F$510,AI$3,'Datos - Objetivos de países'!$K$5:$K$510,$A23)</f>
        <v>0</v>
      </c>
      <c r="AJ23" s="36" cm="1">
        <f t="array" ref="AJ23">_xlfn.COUNTIFS('Datos - Objetivos de países'!$B$5:$B$510,"Colombia",'Datos - Objetivos de países'!$F$5:$F$510,AJ$3,'Datos - Objetivos de países'!$J$5:$J$510,$A23)+_xlfn.COUNTIFS('Datos - Objetivos de países'!$B$5:$B$510,"Colombia",'Datos - Objetivos de países'!$F$5:$F$510,AJ$3,'Datos - Objetivos de países'!$K$5:$K$510,$A23)</f>
        <v>0</v>
      </c>
      <c r="AK23" s="36" cm="1">
        <f t="array" ref="AK23">_xlfn.COUNTIFS('Datos - Objetivos de países'!$B$5:$B$510,"Colombia",'Datos - Objetivos de países'!$F$5:$F$510,AK$3,'Datos - Objetivos de países'!$J$5:$J$510,$A23)+_xlfn.COUNTIFS('Datos - Objetivos de países'!$B$5:$B$510,"Colombia",'Datos - Objetivos de países'!$F$5:$F$510,AK$3,'Datos - Objetivos de países'!$K$5:$K$510,$A23)</f>
        <v>0</v>
      </c>
      <c r="AL23" s="36" cm="1">
        <f t="array" ref="AL23">_xlfn.COUNTIFS('Datos - Objetivos de países'!$B$5:$B$510,"Colombia",'Datos - Objetivos de países'!$F$5:$F$510,AL$3,'Datos - Objetivos de países'!$J$5:$J$510,$A23)+_xlfn.COUNTIFS('Datos - Objetivos de países'!$B$5:$B$510,"Colombia",'Datos - Objetivos de países'!$F$5:$F$510,AL$3,'Datos - Objetivos de países'!$K$5:$K$510,$A23)</f>
        <v>0</v>
      </c>
      <c r="AM23" s="36" cm="1">
        <f t="array" ref="AM23">_xlfn.COUNTIFS('Datos - Objetivos de países'!$B$5:$B$510,"Colombia",'Datos - Objetivos de países'!$F$5:$F$510,AM$3,'Datos - Objetivos de países'!$J$5:$J$510,$A23)+_xlfn.COUNTIFS('Datos - Objetivos de países'!$B$5:$B$510,"Colombia",'Datos - Objetivos de países'!$F$5:$F$510,AM$3,'Datos - Objetivos de países'!$K$5:$K$510,$A23)</f>
        <v>0</v>
      </c>
      <c r="AN23" s="36" cm="1">
        <f t="array" ref="AN23">_xlfn.COUNTIFS('Datos - Objetivos de países'!$B$5:$B$510,"Colombia",'Datos - Objetivos de países'!$F$5:$F$510,AN$3,'Datos - Objetivos de países'!$J$5:$J$510,$A23)+_xlfn.COUNTIFS('Datos - Objetivos de países'!$B$5:$B$510,"Colombia",'Datos - Objetivos de países'!$F$5:$F$510,AN$3,'Datos - Objetivos de países'!$K$5:$K$510,$A23)</f>
        <v>0</v>
      </c>
      <c r="AO23" s="36" cm="1">
        <f t="array" ref="AO23">_xlfn.COUNTIFS('Datos - Objetivos de países'!$B$5:$B$510,"Singapur",'Datos - Objetivos de países'!$F$5:$F$510,AO$3,'Datos - Objetivos de países'!$J$5:$J$510,$A23)+_xlfn.COUNTIFS('Datos - Objetivos de países'!$B$5:$B$510,"Singapur",'Datos - Objetivos de países'!$F$5:$F$510,AO$3,'Datos - Objetivos de países'!$K$5:$K$510,$A23)</f>
        <v>0</v>
      </c>
      <c r="AP23" s="36" cm="1">
        <f t="array" ref="AP23">_xlfn.COUNTIFS('Datos - Objetivos de países'!$B$5:$B$510,"Singapur",'Datos - Objetivos de países'!$F$5:$F$510,AP$3,'Datos - Objetivos de países'!$J$5:$J$510,$A23)+_xlfn.COUNTIFS('Datos - Objetivos de países'!$B$5:$B$510,"Singapur",'Datos - Objetivos de países'!$F$5:$F$510,AP$3,'Datos - Objetivos de países'!$K$5:$K$510,$A23)</f>
        <v>0</v>
      </c>
      <c r="AQ23" s="36" cm="1">
        <f t="array" ref="AQ23">_xlfn.COUNTIFS('Datos - Objetivos de países'!$B$5:$B$510,"Singapur",'Datos - Objetivos de países'!$F$5:$F$510,AQ$3,'Datos - Objetivos de países'!$J$5:$J$510,$A23)+_xlfn.COUNTIFS('Datos - Objetivos de países'!$B$5:$B$510,"Singapur",'Datos - Objetivos de países'!$F$5:$F$510,AQ$3,'Datos - Objetivos de países'!$K$5:$K$510,$A23)</f>
        <v>0</v>
      </c>
      <c r="AR23" s="36" cm="1">
        <f t="array" ref="AR23">_xlfn.COUNTIFS('Datos - Objetivos de países'!$B$5:$B$510,"Singapur",'Datos - Objetivos de países'!$F$5:$F$510,AR$3,'Datos - Objetivos de países'!$J$5:$J$510,$A23)+_xlfn.COUNTIFS('Datos - Objetivos de países'!$B$5:$B$510,"Singapur",'Datos - Objetivos de países'!$F$5:$F$510,AR$3,'Datos - Objetivos de países'!$K$5:$K$510,$A23)</f>
        <v>3</v>
      </c>
      <c r="AS23" s="36" cm="1">
        <f t="array" ref="AS23">_xlfn.COUNTIFS('Datos - Objetivos de países'!$B$5:$B$510,"Singapur",'Datos - Objetivos de países'!$F$5:$F$510,AS$3,'Datos - Objetivos de países'!$J$5:$J$510,$A23)+_xlfn.COUNTIFS('Datos - Objetivos de países'!$B$5:$B$510,"Singapur",'Datos - Objetivos de países'!$F$5:$F$510,AS$3,'Datos - Objetivos de países'!$K$5:$K$510,$A23)</f>
        <v>0</v>
      </c>
      <c r="AT23" s="36" cm="1">
        <f t="array" ref="AT23">_xlfn.COUNTIFS('Datos - Objetivos de países'!$B$5:$B$510,"Singapur",'Datos - Objetivos de países'!$F$5:$F$510,AT$3,'Datos - Objetivos de países'!$J$5:$J$510,$A23)+_xlfn.COUNTIFS('Datos - Objetivos de países'!$B$5:$B$510,"Singapur",'Datos - Objetivos de países'!$F$5:$F$510,AT$3,'Datos - Objetivos de países'!$K$5:$K$510,$A23)</f>
        <v>0</v>
      </c>
      <c r="AU23" s="36" cm="1">
        <f t="array" ref="AU23">_xlfn.COUNTIFS('Datos - Objetivos de países'!$B$5:$B$510,"Singapur",'Datos - Objetivos de países'!$F$5:$F$510,AU$3,'Datos - Objetivos de países'!$J$5:$J$510,$A23)+_xlfn.COUNTIFS('Datos - Objetivos de países'!$B$5:$B$510,"Singapur",'Datos - Objetivos de países'!$F$5:$F$510,AU$3,'Datos - Objetivos de países'!$K$5:$K$510,$A23)</f>
        <v>0</v>
      </c>
      <c r="AV23" s="36" cm="1">
        <f t="array" ref="AV23">_xlfn.COUNTIFS('Datos - Objetivos de países'!$B$5:$B$510,"Singapur",'Datos - Objetivos de países'!$F$5:$F$510,AV$3,'Datos - Objetivos de países'!$J$5:$J$510,$A23)+_xlfn.COUNTIFS('Datos - Objetivos de países'!$B$5:$B$510,"Singapur",'Datos - Objetivos de países'!$F$5:$F$510,AV$3,'Datos - Objetivos de países'!$K$5:$K$510,$A23)</f>
        <v>0</v>
      </c>
      <c r="AW23" s="36" cm="1">
        <f t="array" ref="AW23">_xlfn.COUNTIFS('Datos - Objetivos de países'!$B$5:$B$510,"Singapur",'Datos - Objetivos de países'!$F$5:$F$510,AW$3,'Datos - Objetivos de países'!$J$5:$J$510,$A23)+_xlfn.COUNTIFS('Datos - Objetivos de países'!$B$5:$B$510,"Singapur",'Datos - Objetivos de países'!$F$5:$F$510,AW$3,'Datos - Objetivos de países'!$K$5:$K$510,$A23)</f>
        <v>0</v>
      </c>
    </row>
    <row r="24" ht="13.65" customHeight="1">
      <c r="A24" t="s" s="78">
        <v>303</v>
      </c>
      <c r="B24" t="s" s="78">
        <v>1055</v>
      </c>
      <c r="C24" t="s" s="78">
        <v>213</v>
      </c>
      <c r="D24" t="s" s="78">
        <v>1123</v>
      </c>
      <c r="E24" s="80" cm="1">
        <f t="array" ref="E24">_xlfn.IFERROR(MAX($L$3,INDEX($N$3:$V$3,MATCH(TRUE,INDEX(N24:V24&gt;0,0),0))),"—")</f>
        <v>2</v>
      </c>
      <c r="F24" t="str" s="79" cm="1">
        <f t="array" ref="F24">_xlfn.IFERROR(MAX($L$3,INDEX($W$3:$AE$3,MATCH(TRUE,INDEX(W24:AE24&gt;0,0),0))),"—")</f>
        <v>—</v>
      </c>
      <c r="G24" s="80" cm="1">
        <f t="array" ref="G24">_xlfn.IFERROR(MAX($L$3,INDEX($AF$3:$AN$3,MATCH(TRUE,INDEX(AF24:AN24&gt;0,0),0))),"—")</f>
        <v>2</v>
      </c>
      <c r="H24" t="str" s="79" cm="1">
        <f t="array" ref="H24">_xlfn.IFERROR(MAX($L$3,INDEX($AO$3:$AW$3,MATCH(TRUE,INDEX(AO24:AW24&gt;0,0),0))),"—")</f>
        <v>—</v>
      </c>
      <c r="I24" s="111" cm="1">
        <f t="array" ref="I24">IF(L24=0,"—",MEDIAN(F24:H24))</f>
        <v>2</v>
      </c>
      <c r="J24" s="111" cm="1">
        <f t="array" ref="J24">IF(OR(E24="—",I24="—"),"—",E24-I24)</f>
        <v>0</v>
      </c>
      <c r="K24" t="str" s="49" cm="1">
        <f t="array" ref="K24">IF(E24="—",IF(L24=0,"Nadie lo trabaja","El Salvador no llega"),IF(L24=0,"Solo El Salvador",IF(J24&gt;0,"El Salvador llega más tarde",IF(J24&lt;0,"El Salvador va adelantado","Mismo grado"))))</f>
        <v>Mismo grado</v>
      </c>
      <c r="L24" s="80" cm="1">
        <f t="array" ref="L24">COUNT(F24:H24)</f>
        <v>1</v>
      </c>
      <c r="M24" s="110"/>
      <c r="N24" s="36" cm="1">
        <f t="array" ref="N24">_xlfn.COUNTIFS('Datos - Temas'!$C$5:$C$1264,"Ciencias",'Datos - Temas'!$B$5:$B$1264,N$3,'Datos - Temas'!$K$5:$K$1264,$A24)+_xlfn.COUNTIFS('Datos - Temas'!$C$5:$C$1264,"Ciencias",'Datos - Temas'!$B$5:$B$1264,N$3,'Datos - Temas'!$L$5:$L$1264,$A24)</f>
        <v>0</v>
      </c>
      <c r="O24" s="36" cm="1">
        <f t="array" ref="O24">_xlfn.COUNTIFS('Datos - Temas'!$C$5:$C$1264,"Ciencias",'Datos - Temas'!$B$5:$B$1264,O$3,'Datos - Temas'!$K$5:$K$1264,$A24)+_xlfn.COUNTIFS('Datos - Temas'!$C$5:$C$1264,"Ciencias",'Datos - Temas'!$B$5:$B$1264,O$3,'Datos - Temas'!$L$5:$L$1264,$A24)</f>
        <v>1</v>
      </c>
      <c r="P24" s="36" cm="1">
        <f t="array" ref="P24">_xlfn.COUNTIFS('Datos - Temas'!$C$5:$C$1264,"Ciencias",'Datos - Temas'!$B$5:$B$1264,P$3,'Datos - Temas'!$K$5:$K$1264,$A24)+_xlfn.COUNTIFS('Datos - Temas'!$C$5:$C$1264,"Ciencias",'Datos - Temas'!$B$5:$B$1264,P$3,'Datos - Temas'!$L$5:$L$1264,$A24)</f>
        <v>0</v>
      </c>
      <c r="Q24" s="36" cm="1">
        <f t="array" ref="Q24">_xlfn.COUNTIFS('Datos - Temas'!$C$5:$C$1264,"Ciencias",'Datos - Temas'!$B$5:$B$1264,Q$3,'Datos - Temas'!$K$5:$K$1264,$A24)+_xlfn.COUNTIFS('Datos - Temas'!$C$5:$C$1264,"Ciencias",'Datos - Temas'!$B$5:$B$1264,Q$3,'Datos - Temas'!$L$5:$L$1264,$A24)</f>
        <v>0</v>
      </c>
      <c r="R24" s="36" cm="1">
        <f t="array" ref="R24">_xlfn.COUNTIFS('Datos - Temas'!$C$5:$C$1264,"Ciencias",'Datos - Temas'!$B$5:$B$1264,R$3,'Datos - Temas'!$K$5:$K$1264,$A24)+_xlfn.COUNTIFS('Datos - Temas'!$C$5:$C$1264,"Ciencias",'Datos - Temas'!$B$5:$B$1264,R$3,'Datos - Temas'!$L$5:$L$1264,$A24)</f>
        <v>0</v>
      </c>
      <c r="S24" s="36" cm="1">
        <f t="array" ref="S24">_xlfn.COUNTIFS('Datos - Temas'!$C$5:$C$1264,"Ciencias",'Datos - Temas'!$B$5:$B$1264,S$3,'Datos - Temas'!$K$5:$K$1264,$A24)+_xlfn.COUNTIFS('Datos - Temas'!$C$5:$C$1264,"Ciencias",'Datos - Temas'!$B$5:$B$1264,S$3,'Datos - Temas'!$L$5:$L$1264,$A24)</f>
        <v>0</v>
      </c>
      <c r="T24" s="36" cm="1">
        <f t="array" ref="T24">_xlfn.COUNTIFS('Datos - Temas'!$C$5:$C$1264,"Ciencias",'Datos - Temas'!$B$5:$B$1264,T$3,'Datos - Temas'!$K$5:$K$1264,$A24)+_xlfn.COUNTIFS('Datos - Temas'!$C$5:$C$1264,"Ciencias",'Datos - Temas'!$B$5:$B$1264,T$3,'Datos - Temas'!$L$5:$L$1264,$A24)</f>
        <v>0</v>
      </c>
      <c r="U24" s="36" cm="1">
        <f t="array" ref="U24">_xlfn.COUNTIFS('Datos - Temas'!$C$5:$C$1264,"Ciencias",'Datos - Temas'!$B$5:$B$1264,U$3,'Datos - Temas'!$K$5:$K$1264,$A24)+_xlfn.COUNTIFS('Datos - Temas'!$C$5:$C$1264,"Ciencias",'Datos - Temas'!$B$5:$B$1264,U$3,'Datos - Temas'!$L$5:$L$1264,$A24)</f>
        <v>0</v>
      </c>
      <c r="V24" s="36" cm="1">
        <f t="array" ref="V24">_xlfn.COUNTIFS('Datos - Temas'!$C$5:$C$1264,"Ciencias",'Datos - Temas'!$B$5:$B$1264,V$3,'Datos - Temas'!$K$5:$K$1264,$A24)+_xlfn.COUNTIFS('Datos - Temas'!$C$5:$C$1264,"Ciencias",'Datos - Temas'!$B$5:$B$1264,V$3,'Datos - Temas'!$L$5:$L$1264,$A24)</f>
        <v>0</v>
      </c>
      <c r="W24" s="36" cm="1">
        <f t="array" ref="W24">_xlfn.COUNTIFS('Datos - Objetivos de países'!$B$5:$B$510,"Uruguay",'Datos - Objetivos de países'!$F$5:$F$510,W$3,'Datos - Objetivos de países'!$J$5:$J$510,$A24)+_xlfn.COUNTIFS('Datos - Objetivos de países'!$B$5:$B$510,"Uruguay",'Datos - Objetivos de países'!$F$5:$F$510,W$3,'Datos - Objetivos de países'!$K$5:$K$510,$A24)</f>
        <v>0</v>
      </c>
      <c r="X24" s="36" cm="1">
        <f t="array" ref="X24">_xlfn.COUNTIFS('Datos - Objetivos de países'!$B$5:$B$510,"Uruguay",'Datos - Objetivos de países'!$F$5:$F$510,X$3,'Datos - Objetivos de países'!$J$5:$J$510,$A24)+_xlfn.COUNTIFS('Datos - Objetivos de países'!$B$5:$B$510,"Uruguay",'Datos - Objetivos de países'!$F$5:$F$510,X$3,'Datos - Objetivos de países'!$K$5:$K$510,$A24)</f>
        <v>0</v>
      </c>
      <c r="Y24" s="36" cm="1">
        <f t="array" ref="Y24">_xlfn.COUNTIFS('Datos - Objetivos de países'!$B$5:$B$510,"Uruguay",'Datos - Objetivos de países'!$F$5:$F$510,Y$3,'Datos - Objetivos de países'!$J$5:$J$510,$A24)+_xlfn.COUNTIFS('Datos - Objetivos de países'!$B$5:$B$510,"Uruguay",'Datos - Objetivos de países'!$F$5:$F$510,Y$3,'Datos - Objetivos de países'!$K$5:$K$510,$A24)</f>
        <v>0</v>
      </c>
      <c r="Z24" s="36" cm="1">
        <f t="array" ref="Z24">_xlfn.COUNTIFS('Datos - Objetivos de países'!$B$5:$B$510,"Uruguay",'Datos - Objetivos de países'!$F$5:$F$510,Z$3,'Datos - Objetivos de países'!$J$5:$J$510,$A24)+_xlfn.COUNTIFS('Datos - Objetivos de países'!$B$5:$B$510,"Uruguay",'Datos - Objetivos de países'!$F$5:$F$510,Z$3,'Datos - Objetivos de países'!$K$5:$K$510,$A24)</f>
        <v>0</v>
      </c>
      <c r="AA24" s="36" cm="1">
        <f t="array" ref="AA24">_xlfn.COUNTIFS('Datos - Objetivos de países'!$B$5:$B$510,"Uruguay",'Datos - Objetivos de países'!$F$5:$F$510,AA$3,'Datos - Objetivos de países'!$J$5:$J$510,$A24)+_xlfn.COUNTIFS('Datos - Objetivos de países'!$B$5:$B$510,"Uruguay",'Datos - Objetivos de países'!$F$5:$F$510,AA$3,'Datos - Objetivos de países'!$K$5:$K$510,$A24)</f>
        <v>0</v>
      </c>
      <c r="AB24" s="36" cm="1">
        <f t="array" ref="AB24">_xlfn.COUNTIFS('Datos - Objetivos de países'!$B$5:$B$510,"Uruguay",'Datos - Objetivos de países'!$F$5:$F$510,AB$3,'Datos - Objetivos de países'!$J$5:$J$510,$A24)+_xlfn.COUNTIFS('Datos - Objetivos de países'!$B$5:$B$510,"Uruguay",'Datos - Objetivos de países'!$F$5:$F$510,AB$3,'Datos - Objetivos de países'!$K$5:$K$510,$A24)</f>
        <v>0</v>
      </c>
      <c r="AC24" s="36" cm="1">
        <f t="array" ref="AC24">_xlfn.COUNTIFS('Datos - Objetivos de países'!$B$5:$B$510,"Uruguay",'Datos - Objetivos de países'!$F$5:$F$510,AC$3,'Datos - Objetivos de países'!$J$5:$J$510,$A24)+_xlfn.COUNTIFS('Datos - Objetivos de países'!$B$5:$B$510,"Uruguay",'Datos - Objetivos de países'!$F$5:$F$510,AC$3,'Datos - Objetivos de países'!$K$5:$K$510,$A24)</f>
        <v>0</v>
      </c>
      <c r="AD24" s="36" cm="1">
        <f t="array" ref="AD24">_xlfn.COUNTIFS('Datos - Objetivos de países'!$B$5:$B$510,"Uruguay",'Datos - Objetivos de países'!$F$5:$F$510,AD$3,'Datos - Objetivos de países'!$J$5:$J$510,$A24)+_xlfn.COUNTIFS('Datos - Objetivos de países'!$B$5:$B$510,"Uruguay",'Datos - Objetivos de países'!$F$5:$F$510,AD$3,'Datos - Objetivos de países'!$K$5:$K$510,$A24)</f>
        <v>0</v>
      </c>
      <c r="AE24" s="36" cm="1">
        <f t="array" ref="AE24">_xlfn.COUNTIFS('Datos - Objetivos de países'!$B$5:$B$510,"Uruguay",'Datos - Objetivos de países'!$F$5:$F$510,AE$3,'Datos - Objetivos de países'!$J$5:$J$510,$A24)+_xlfn.COUNTIFS('Datos - Objetivos de países'!$B$5:$B$510,"Uruguay",'Datos - Objetivos de países'!$F$5:$F$510,AE$3,'Datos - Objetivos de países'!$K$5:$K$510,$A24)</f>
        <v>0</v>
      </c>
      <c r="AF24" s="36" cm="1">
        <f t="array" ref="AF24">_xlfn.COUNTIFS('Datos - Objetivos de países'!$B$5:$B$510,"Colombia",'Datos - Objetivos de países'!$F$5:$F$510,AF$3,'Datos - Objetivos de países'!$J$5:$J$510,$A24)+_xlfn.COUNTIFS('Datos - Objetivos de países'!$B$5:$B$510,"Colombia",'Datos - Objetivos de países'!$F$5:$F$510,AF$3,'Datos - Objetivos de países'!$K$5:$K$510,$A24)</f>
        <v>3</v>
      </c>
      <c r="AG24" s="36" cm="1">
        <f t="array" ref="AG24">_xlfn.COUNTIFS('Datos - Objetivos de países'!$B$5:$B$510,"Colombia",'Datos - Objetivos de países'!$F$5:$F$510,AG$3,'Datos - Objetivos de países'!$J$5:$J$510,$A24)+_xlfn.COUNTIFS('Datos - Objetivos de países'!$B$5:$B$510,"Colombia",'Datos - Objetivos de países'!$F$5:$F$510,AG$3,'Datos - Objetivos de países'!$K$5:$K$510,$A24)</f>
        <v>0</v>
      </c>
      <c r="AH24" s="36" cm="1">
        <f t="array" ref="AH24">_xlfn.COUNTIFS('Datos - Objetivos de países'!$B$5:$B$510,"Colombia",'Datos - Objetivos de países'!$F$5:$F$510,AH$3,'Datos - Objetivos de países'!$J$5:$J$510,$A24)+_xlfn.COUNTIFS('Datos - Objetivos de países'!$B$5:$B$510,"Colombia",'Datos - Objetivos de países'!$F$5:$F$510,AH$3,'Datos - Objetivos de países'!$K$5:$K$510,$A24)</f>
        <v>1</v>
      </c>
      <c r="AI24" s="36" cm="1">
        <f t="array" ref="AI24">_xlfn.COUNTIFS('Datos - Objetivos de países'!$B$5:$B$510,"Colombia",'Datos - Objetivos de países'!$F$5:$F$510,AI$3,'Datos - Objetivos de países'!$J$5:$J$510,$A24)+_xlfn.COUNTIFS('Datos - Objetivos de países'!$B$5:$B$510,"Colombia",'Datos - Objetivos de países'!$F$5:$F$510,AI$3,'Datos - Objetivos de países'!$K$5:$K$510,$A24)</f>
        <v>0</v>
      </c>
      <c r="AJ24" s="36" cm="1">
        <f t="array" ref="AJ24">_xlfn.COUNTIFS('Datos - Objetivos de países'!$B$5:$B$510,"Colombia",'Datos - Objetivos de países'!$F$5:$F$510,AJ$3,'Datos - Objetivos de países'!$J$5:$J$510,$A24)+_xlfn.COUNTIFS('Datos - Objetivos de países'!$B$5:$B$510,"Colombia",'Datos - Objetivos de países'!$F$5:$F$510,AJ$3,'Datos - Objetivos de países'!$K$5:$K$510,$A24)</f>
        <v>0</v>
      </c>
      <c r="AK24" s="36" cm="1">
        <f t="array" ref="AK24">_xlfn.COUNTIFS('Datos - Objetivos de países'!$B$5:$B$510,"Colombia",'Datos - Objetivos de países'!$F$5:$F$510,AK$3,'Datos - Objetivos de países'!$J$5:$J$510,$A24)+_xlfn.COUNTIFS('Datos - Objetivos de países'!$B$5:$B$510,"Colombia",'Datos - Objetivos de países'!$F$5:$F$510,AK$3,'Datos - Objetivos de países'!$K$5:$K$510,$A24)</f>
        <v>0</v>
      </c>
      <c r="AL24" s="36" cm="1">
        <f t="array" ref="AL24">_xlfn.COUNTIFS('Datos - Objetivos de países'!$B$5:$B$510,"Colombia",'Datos - Objetivos de países'!$F$5:$F$510,AL$3,'Datos - Objetivos de países'!$J$5:$J$510,$A24)+_xlfn.COUNTIFS('Datos - Objetivos de países'!$B$5:$B$510,"Colombia",'Datos - Objetivos de países'!$F$5:$F$510,AL$3,'Datos - Objetivos de países'!$K$5:$K$510,$A24)</f>
        <v>0</v>
      </c>
      <c r="AM24" s="36" cm="1">
        <f t="array" ref="AM24">_xlfn.COUNTIFS('Datos - Objetivos de países'!$B$5:$B$510,"Colombia",'Datos - Objetivos de países'!$F$5:$F$510,AM$3,'Datos - Objetivos de países'!$J$5:$J$510,$A24)+_xlfn.COUNTIFS('Datos - Objetivos de países'!$B$5:$B$510,"Colombia",'Datos - Objetivos de países'!$F$5:$F$510,AM$3,'Datos - Objetivos de países'!$K$5:$K$510,$A24)</f>
        <v>0</v>
      </c>
      <c r="AN24" s="36" cm="1">
        <f t="array" ref="AN24">_xlfn.COUNTIFS('Datos - Objetivos de países'!$B$5:$B$510,"Colombia",'Datos - Objetivos de países'!$F$5:$F$510,AN$3,'Datos - Objetivos de países'!$J$5:$J$510,$A24)+_xlfn.COUNTIFS('Datos - Objetivos de países'!$B$5:$B$510,"Colombia",'Datos - Objetivos de países'!$F$5:$F$510,AN$3,'Datos - Objetivos de países'!$K$5:$K$510,$A24)</f>
        <v>0</v>
      </c>
      <c r="AO24" s="36" cm="1">
        <f t="array" ref="AO24">_xlfn.COUNTIFS('Datos - Objetivos de países'!$B$5:$B$510,"Singapur",'Datos - Objetivos de países'!$F$5:$F$510,AO$3,'Datos - Objetivos de países'!$J$5:$J$510,$A24)+_xlfn.COUNTIFS('Datos - Objetivos de países'!$B$5:$B$510,"Singapur",'Datos - Objetivos de países'!$F$5:$F$510,AO$3,'Datos - Objetivos de países'!$K$5:$K$510,$A24)</f>
        <v>0</v>
      </c>
      <c r="AP24" s="36" cm="1">
        <f t="array" ref="AP24">_xlfn.COUNTIFS('Datos - Objetivos de países'!$B$5:$B$510,"Singapur",'Datos - Objetivos de países'!$F$5:$F$510,AP$3,'Datos - Objetivos de países'!$J$5:$J$510,$A24)+_xlfn.COUNTIFS('Datos - Objetivos de países'!$B$5:$B$510,"Singapur",'Datos - Objetivos de países'!$F$5:$F$510,AP$3,'Datos - Objetivos de países'!$K$5:$K$510,$A24)</f>
        <v>0</v>
      </c>
      <c r="AQ24" s="36" cm="1">
        <f t="array" ref="AQ24">_xlfn.COUNTIFS('Datos - Objetivos de países'!$B$5:$B$510,"Singapur",'Datos - Objetivos de países'!$F$5:$F$510,AQ$3,'Datos - Objetivos de países'!$J$5:$J$510,$A24)+_xlfn.COUNTIFS('Datos - Objetivos de países'!$B$5:$B$510,"Singapur",'Datos - Objetivos de países'!$F$5:$F$510,AQ$3,'Datos - Objetivos de países'!$K$5:$K$510,$A24)</f>
        <v>0</v>
      </c>
      <c r="AR24" s="36" cm="1">
        <f t="array" ref="AR24">_xlfn.COUNTIFS('Datos - Objetivos de países'!$B$5:$B$510,"Singapur",'Datos - Objetivos de países'!$F$5:$F$510,AR$3,'Datos - Objetivos de países'!$J$5:$J$510,$A24)+_xlfn.COUNTIFS('Datos - Objetivos de países'!$B$5:$B$510,"Singapur",'Datos - Objetivos de países'!$F$5:$F$510,AR$3,'Datos - Objetivos de países'!$K$5:$K$510,$A24)</f>
        <v>0</v>
      </c>
      <c r="AS24" s="36" cm="1">
        <f t="array" ref="AS24">_xlfn.COUNTIFS('Datos - Objetivos de países'!$B$5:$B$510,"Singapur",'Datos - Objetivos de países'!$F$5:$F$510,AS$3,'Datos - Objetivos de países'!$J$5:$J$510,$A24)+_xlfn.COUNTIFS('Datos - Objetivos de países'!$B$5:$B$510,"Singapur",'Datos - Objetivos de países'!$F$5:$F$510,AS$3,'Datos - Objetivos de países'!$K$5:$K$510,$A24)</f>
        <v>0</v>
      </c>
      <c r="AT24" s="36" cm="1">
        <f t="array" ref="AT24">_xlfn.COUNTIFS('Datos - Objetivos de países'!$B$5:$B$510,"Singapur",'Datos - Objetivos de países'!$F$5:$F$510,AT$3,'Datos - Objetivos de países'!$J$5:$J$510,$A24)+_xlfn.COUNTIFS('Datos - Objetivos de países'!$B$5:$B$510,"Singapur",'Datos - Objetivos de países'!$F$5:$F$510,AT$3,'Datos - Objetivos de países'!$K$5:$K$510,$A24)</f>
        <v>0</v>
      </c>
      <c r="AU24" s="36" cm="1">
        <f t="array" ref="AU24">_xlfn.COUNTIFS('Datos - Objetivos de países'!$B$5:$B$510,"Singapur",'Datos - Objetivos de países'!$F$5:$F$510,AU$3,'Datos - Objetivos de países'!$J$5:$J$510,$A24)+_xlfn.COUNTIFS('Datos - Objetivos de países'!$B$5:$B$510,"Singapur",'Datos - Objetivos de países'!$F$5:$F$510,AU$3,'Datos - Objetivos de países'!$K$5:$K$510,$A24)</f>
        <v>0</v>
      </c>
      <c r="AV24" s="36" cm="1">
        <f t="array" ref="AV24">_xlfn.COUNTIFS('Datos - Objetivos de países'!$B$5:$B$510,"Singapur",'Datos - Objetivos de países'!$F$5:$F$510,AV$3,'Datos - Objetivos de países'!$J$5:$J$510,$A24)+_xlfn.COUNTIFS('Datos - Objetivos de países'!$B$5:$B$510,"Singapur",'Datos - Objetivos de países'!$F$5:$F$510,AV$3,'Datos - Objetivos de países'!$K$5:$K$510,$A24)</f>
        <v>0</v>
      </c>
      <c r="AW24" s="36" cm="1">
        <f t="array" ref="AW24">_xlfn.COUNTIFS('Datos - Objetivos de países'!$B$5:$B$510,"Singapur",'Datos - Objetivos de países'!$F$5:$F$510,AW$3,'Datos - Objetivos de países'!$J$5:$J$510,$A24)+_xlfn.COUNTIFS('Datos - Objetivos de países'!$B$5:$B$510,"Singapur",'Datos - Objetivos de países'!$F$5:$F$510,AW$3,'Datos - Objetivos de países'!$K$5:$K$510,$A24)</f>
        <v>0</v>
      </c>
    </row>
    <row r="25" ht="13.65" customHeight="1">
      <c r="A25" t="s" s="78">
        <v>295</v>
      </c>
      <c r="B25" t="s" s="78">
        <v>1055</v>
      </c>
      <c r="C25" t="s" s="78">
        <v>213</v>
      </c>
      <c r="D25" t="s" s="78">
        <v>1125</v>
      </c>
      <c r="E25" s="80" cm="1">
        <f t="array" ref="E25">_xlfn.IFERROR(MAX($L$3,INDEX($N$3:$V$3,MATCH(TRUE,INDEX(N25:V25&gt;0,0),0))),"—")</f>
        <v>2</v>
      </c>
      <c r="F25" t="str" s="79" cm="1">
        <f t="array" ref="F25">_xlfn.IFERROR(MAX($L$3,INDEX($W$3:$AE$3,MATCH(TRUE,INDEX(W25:AE25&gt;0,0),0))),"—")</f>
        <v>—</v>
      </c>
      <c r="G25" s="80" cm="1">
        <f t="array" ref="G25">_xlfn.IFERROR(MAX($L$3,INDEX($AF$3:$AN$3,MATCH(TRUE,INDEX(AF25:AN25&gt;0,0),0))),"—")</f>
        <v>2</v>
      </c>
      <c r="H25" t="str" s="79" cm="1">
        <f t="array" ref="H25">_xlfn.IFERROR(MAX($L$3,INDEX($AO$3:$AW$3,MATCH(TRUE,INDEX(AO25:AW25&gt;0,0),0))),"—")</f>
        <v>—</v>
      </c>
      <c r="I25" s="111" cm="1">
        <f t="array" ref="I25">IF(L25=0,"—",MEDIAN(F25:H25))</f>
        <v>2</v>
      </c>
      <c r="J25" s="111" cm="1">
        <f t="array" ref="J25">IF(OR(E25="—",I25="—"),"—",E25-I25)</f>
        <v>0</v>
      </c>
      <c r="K25" t="str" s="49" cm="1">
        <f t="array" ref="K25">IF(E25="—",IF(L25=0,"Nadie lo trabaja","El Salvador no llega"),IF(L25=0,"Solo El Salvador",IF(J25&gt;0,"El Salvador llega más tarde",IF(J25&lt;0,"El Salvador va adelantado","Mismo grado"))))</f>
        <v>Mismo grado</v>
      </c>
      <c r="L25" s="80" cm="1">
        <f t="array" ref="L25">COUNT(F25:H25)</f>
        <v>1</v>
      </c>
      <c r="M25" s="110"/>
      <c r="N25" s="36" cm="1">
        <f t="array" ref="N25">_xlfn.COUNTIFS('Datos - Temas'!$C$5:$C$1264,"Ciencias",'Datos - Temas'!$B$5:$B$1264,N$3,'Datos - Temas'!$K$5:$K$1264,$A25)+_xlfn.COUNTIFS('Datos - Temas'!$C$5:$C$1264,"Ciencias",'Datos - Temas'!$B$5:$B$1264,N$3,'Datos - Temas'!$L$5:$L$1264,$A25)</f>
        <v>0</v>
      </c>
      <c r="O25" s="36" cm="1">
        <f t="array" ref="O25">_xlfn.COUNTIFS('Datos - Temas'!$C$5:$C$1264,"Ciencias",'Datos - Temas'!$B$5:$B$1264,O$3,'Datos - Temas'!$K$5:$K$1264,$A25)+_xlfn.COUNTIFS('Datos - Temas'!$C$5:$C$1264,"Ciencias",'Datos - Temas'!$B$5:$B$1264,O$3,'Datos - Temas'!$L$5:$L$1264,$A25)</f>
        <v>1</v>
      </c>
      <c r="P25" s="36" cm="1">
        <f t="array" ref="P25">_xlfn.COUNTIFS('Datos - Temas'!$C$5:$C$1264,"Ciencias",'Datos - Temas'!$B$5:$B$1264,P$3,'Datos - Temas'!$K$5:$K$1264,$A25)+_xlfn.COUNTIFS('Datos - Temas'!$C$5:$C$1264,"Ciencias",'Datos - Temas'!$B$5:$B$1264,P$3,'Datos - Temas'!$L$5:$L$1264,$A25)</f>
        <v>0</v>
      </c>
      <c r="Q25" s="36" cm="1">
        <f t="array" ref="Q25">_xlfn.COUNTIFS('Datos - Temas'!$C$5:$C$1264,"Ciencias",'Datos - Temas'!$B$5:$B$1264,Q$3,'Datos - Temas'!$K$5:$K$1264,$A25)+_xlfn.COUNTIFS('Datos - Temas'!$C$5:$C$1264,"Ciencias",'Datos - Temas'!$B$5:$B$1264,Q$3,'Datos - Temas'!$L$5:$L$1264,$A25)</f>
        <v>2</v>
      </c>
      <c r="R25" s="36" cm="1">
        <f t="array" ref="R25">_xlfn.COUNTIFS('Datos - Temas'!$C$5:$C$1264,"Ciencias",'Datos - Temas'!$B$5:$B$1264,R$3,'Datos - Temas'!$K$5:$K$1264,$A25)+_xlfn.COUNTIFS('Datos - Temas'!$C$5:$C$1264,"Ciencias",'Datos - Temas'!$B$5:$B$1264,R$3,'Datos - Temas'!$L$5:$L$1264,$A25)</f>
        <v>0</v>
      </c>
      <c r="S25" s="36" cm="1">
        <f t="array" ref="S25">_xlfn.COUNTIFS('Datos - Temas'!$C$5:$C$1264,"Ciencias",'Datos - Temas'!$B$5:$B$1264,S$3,'Datos - Temas'!$K$5:$K$1264,$A25)+_xlfn.COUNTIFS('Datos - Temas'!$C$5:$C$1264,"Ciencias",'Datos - Temas'!$B$5:$B$1264,S$3,'Datos - Temas'!$L$5:$L$1264,$A25)</f>
        <v>0</v>
      </c>
      <c r="T25" s="36" cm="1">
        <f t="array" ref="T25">_xlfn.COUNTIFS('Datos - Temas'!$C$5:$C$1264,"Ciencias",'Datos - Temas'!$B$5:$B$1264,T$3,'Datos - Temas'!$K$5:$K$1264,$A25)+_xlfn.COUNTIFS('Datos - Temas'!$C$5:$C$1264,"Ciencias",'Datos - Temas'!$B$5:$B$1264,T$3,'Datos - Temas'!$L$5:$L$1264,$A25)</f>
        <v>0</v>
      </c>
      <c r="U25" s="36" cm="1">
        <f t="array" ref="U25">_xlfn.COUNTIFS('Datos - Temas'!$C$5:$C$1264,"Ciencias",'Datos - Temas'!$B$5:$B$1264,U$3,'Datos - Temas'!$K$5:$K$1264,$A25)+_xlfn.COUNTIFS('Datos - Temas'!$C$5:$C$1264,"Ciencias",'Datos - Temas'!$B$5:$B$1264,U$3,'Datos - Temas'!$L$5:$L$1264,$A25)</f>
        <v>0</v>
      </c>
      <c r="V25" s="36" cm="1">
        <f t="array" ref="V25">_xlfn.COUNTIFS('Datos - Temas'!$C$5:$C$1264,"Ciencias",'Datos - Temas'!$B$5:$B$1264,V$3,'Datos - Temas'!$K$5:$K$1264,$A25)+_xlfn.COUNTIFS('Datos - Temas'!$C$5:$C$1264,"Ciencias",'Datos - Temas'!$B$5:$B$1264,V$3,'Datos - Temas'!$L$5:$L$1264,$A25)</f>
        <v>0</v>
      </c>
      <c r="W25" s="36" cm="1">
        <f t="array" ref="W25">_xlfn.COUNTIFS('Datos - Objetivos de países'!$B$5:$B$510,"Uruguay",'Datos - Objetivos de países'!$F$5:$F$510,W$3,'Datos - Objetivos de países'!$J$5:$J$510,$A25)+_xlfn.COUNTIFS('Datos - Objetivos de países'!$B$5:$B$510,"Uruguay",'Datos - Objetivos de países'!$F$5:$F$510,W$3,'Datos - Objetivos de países'!$K$5:$K$510,$A25)</f>
        <v>0</v>
      </c>
      <c r="X25" s="36" cm="1">
        <f t="array" ref="X25">_xlfn.COUNTIFS('Datos - Objetivos de países'!$B$5:$B$510,"Uruguay",'Datos - Objetivos de países'!$F$5:$F$510,X$3,'Datos - Objetivos de países'!$J$5:$J$510,$A25)+_xlfn.COUNTIFS('Datos - Objetivos de países'!$B$5:$B$510,"Uruguay",'Datos - Objetivos de países'!$F$5:$F$510,X$3,'Datos - Objetivos de países'!$K$5:$K$510,$A25)</f>
        <v>0</v>
      </c>
      <c r="Y25" s="36" cm="1">
        <f t="array" ref="Y25">_xlfn.COUNTIFS('Datos - Objetivos de países'!$B$5:$B$510,"Uruguay",'Datos - Objetivos de países'!$F$5:$F$510,Y$3,'Datos - Objetivos de países'!$J$5:$J$510,$A25)+_xlfn.COUNTIFS('Datos - Objetivos de países'!$B$5:$B$510,"Uruguay",'Datos - Objetivos de países'!$F$5:$F$510,Y$3,'Datos - Objetivos de países'!$K$5:$K$510,$A25)</f>
        <v>0</v>
      </c>
      <c r="Z25" s="36" cm="1">
        <f t="array" ref="Z25">_xlfn.COUNTIFS('Datos - Objetivos de países'!$B$5:$B$510,"Uruguay",'Datos - Objetivos de países'!$F$5:$F$510,Z$3,'Datos - Objetivos de países'!$J$5:$J$510,$A25)+_xlfn.COUNTIFS('Datos - Objetivos de países'!$B$5:$B$510,"Uruguay",'Datos - Objetivos de países'!$F$5:$F$510,Z$3,'Datos - Objetivos de países'!$K$5:$K$510,$A25)</f>
        <v>0</v>
      </c>
      <c r="AA25" s="36" cm="1">
        <f t="array" ref="AA25">_xlfn.COUNTIFS('Datos - Objetivos de países'!$B$5:$B$510,"Uruguay",'Datos - Objetivos de países'!$F$5:$F$510,AA$3,'Datos - Objetivos de países'!$J$5:$J$510,$A25)+_xlfn.COUNTIFS('Datos - Objetivos de países'!$B$5:$B$510,"Uruguay",'Datos - Objetivos de países'!$F$5:$F$510,AA$3,'Datos - Objetivos de países'!$K$5:$K$510,$A25)</f>
        <v>0</v>
      </c>
      <c r="AB25" s="36" cm="1">
        <f t="array" ref="AB25">_xlfn.COUNTIFS('Datos - Objetivos de países'!$B$5:$B$510,"Uruguay",'Datos - Objetivos de países'!$F$5:$F$510,AB$3,'Datos - Objetivos de países'!$J$5:$J$510,$A25)+_xlfn.COUNTIFS('Datos - Objetivos de países'!$B$5:$B$510,"Uruguay",'Datos - Objetivos de países'!$F$5:$F$510,AB$3,'Datos - Objetivos de países'!$K$5:$K$510,$A25)</f>
        <v>0</v>
      </c>
      <c r="AC25" s="36" cm="1">
        <f t="array" ref="AC25">_xlfn.COUNTIFS('Datos - Objetivos de países'!$B$5:$B$510,"Uruguay",'Datos - Objetivos de países'!$F$5:$F$510,AC$3,'Datos - Objetivos de países'!$J$5:$J$510,$A25)+_xlfn.COUNTIFS('Datos - Objetivos de países'!$B$5:$B$510,"Uruguay",'Datos - Objetivos de países'!$F$5:$F$510,AC$3,'Datos - Objetivos de países'!$K$5:$K$510,$A25)</f>
        <v>0</v>
      </c>
      <c r="AD25" s="36" cm="1">
        <f t="array" ref="AD25">_xlfn.COUNTIFS('Datos - Objetivos de países'!$B$5:$B$510,"Uruguay",'Datos - Objetivos de países'!$F$5:$F$510,AD$3,'Datos - Objetivos de países'!$J$5:$J$510,$A25)+_xlfn.COUNTIFS('Datos - Objetivos de países'!$B$5:$B$510,"Uruguay",'Datos - Objetivos de países'!$F$5:$F$510,AD$3,'Datos - Objetivos de países'!$K$5:$K$510,$A25)</f>
        <v>0</v>
      </c>
      <c r="AE25" s="36" cm="1">
        <f t="array" ref="AE25">_xlfn.COUNTIFS('Datos - Objetivos de países'!$B$5:$B$510,"Uruguay",'Datos - Objetivos de países'!$F$5:$F$510,AE$3,'Datos - Objetivos de países'!$J$5:$J$510,$A25)+_xlfn.COUNTIFS('Datos - Objetivos de países'!$B$5:$B$510,"Uruguay",'Datos - Objetivos de países'!$F$5:$F$510,AE$3,'Datos - Objetivos de países'!$K$5:$K$510,$A25)</f>
        <v>0</v>
      </c>
      <c r="AF25" s="36" cm="1">
        <f t="array" ref="AF25">_xlfn.COUNTIFS('Datos - Objetivos de países'!$B$5:$B$510,"Colombia",'Datos - Objetivos de países'!$F$5:$F$510,AF$3,'Datos - Objetivos de países'!$J$5:$J$510,$A25)+_xlfn.COUNTIFS('Datos - Objetivos de países'!$B$5:$B$510,"Colombia",'Datos - Objetivos de países'!$F$5:$F$510,AF$3,'Datos - Objetivos de países'!$K$5:$K$510,$A25)</f>
        <v>3</v>
      </c>
      <c r="AG25" s="36" cm="1">
        <f t="array" ref="AG25">_xlfn.COUNTIFS('Datos - Objetivos de países'!$B$5:$B$510,"Colombia",'Datos - Objetivos de países'!$F$5:$F$510,AG$3,'Datos - Objetivos de países'!$J$5:$J$510,$A25)+_xlfn.COUNTIFS('Datos - Objetivos de países'!$B$5:$B$510,"Colombia",'Datos - Objetivos de países'!$F$5:$F$510,AG$3,'Datos - Objetivos de países'!$K$5:$K$510,$A25)</f>
        <v>0</v>
      </c>
      <c r="AH25" s="36" cm="1">
        <f t="array" ref="AH25">_xlfn.COUNTIFS('Datos - Objetivos de países'!$B$5:$B$510,"Colombia",'Datos - Objetivos de países'!$F$5:$F$510,AH$3,'Datos - Objetivos de países'!$J$5:$J$510,$A25)+_xlfn.COUNTIFS('Datos - Objetivos de países'!$B$5:$B$510,"Colombia",'Datos - Objetivos de países'!$F$5:$F$510,AH$3,'Datos - Objetivos de países'!$K$5:$K$510,$A25)</f>
        <v>0</v>
      </c>
      <c r="AI25" s="36" cm="1">
        <f t="array" ref="AI25">_xlfn.COUNTIFS('Datos - Objetivos de países'!$B$5:$B$510,"Colombia",'Datos - Objetivos de países'!$F$5:$F$510,AI$3,'Datos - Objetivos de países'!$J$5:$J$510,$A25)+_xlfn.COUNTIFS('Datos - Objetivos de países'!$B$5:$B$510,"Colombia",'Datos - Objetivos de países'!$F$5:$F$510,AI$3,'Datos - Objetivos de países'!$K$5:$K$510,$A25)</f>
        <v>3</v>
      </c>
      <c r="AJ25" s="36" cm="1">
        <f t="array" ref="AJ25">_xlfn.COUNTIFS('Datos - Objetivos de países'!$B$5:$B$510,"Colombia",'Datos - Objetivos de países'!$F$5:$F$510,AJ$3,'Datos - Objetivos de países'!$J$5:$J$510,$A25)+_xlfn.COUNTIFS('Datos - Objetivos de países'!$B$5:$B$510,"Colombia",'Datos - Objetivos de países'!$F$5:$F$510,AJ$3,'Datos - Objetivos de países'!$K$5:$K$510,$A25)</f>
        <v>0</v>
      </c>
      <c r="AK25" s="36" cm="1">
        <f t="array" ref="AK25">_xlfn.COUNTIFS('Datos - Objetivos de países'!$B$5:$B$510,"Colombia",'Datos - Objetivos de países'!$F$5:$F$510,AK$3,'Datos - Objetivos de países'!$J$5:$J$510,$A25)+_xlfn.COUNTIFS('Datos - Objetivos de países'!$B$5:$B$510,"Colombia",'Datos - Objetivos de países'!$F$5:$F$510,AK$3,'Datos - Objetivos de países'!$K$5:$K$510,$A25)</f>
        <v>0</v>
      </c>
      <c r="AL25" s="36" cm="1">
        <f t="array" ref="AL25">_xlfn.COUNTIFS('Datos - Objetivos de países'!$B$5:$B$510,"Colombia",'Datos - Objetivos de países'!$F$5:$F$510,AL$3,'Datos - Objetivos de países'!$J$5:$J$510,$A25)+_xlfn.COUNTIFS('Datos - Objetivos de países'!$B$5:$B$510,"Colombia",'Datos - Objetivos de países'!$F$5:$F$510,AL$3,'Datos - Objetivos de países'!$K$5:$K$510,$A25)</f>
        <v>0</v>
      </c>
      <c r="AM25" s="36" cm="1">
        <f t="array" ref="AM25">_xlfn.COUNTIFS('Datos - Objetivos de países'!$B$5:$B$510,"Colombia",'Datos - Objetivos de países'!$F$5:$F$510,AM$3,'Datos - Objetivos de países'!$J$5:$J$510,$A25)+_xlfn.COUNTIFS('Datos - Objetivos de países'!$B$5:$B$510,"Colombia",'Datos - Objetivos de países'!$F$5:$F$510,AM$3,'Datos - Objetivos de países'!$K$5:$K$510,$A25)</f>
        <v>0</v>
      </c>
      <c r="AN25" s="36" cm="1">
        <f t="array" ref="AN25">_xlfn.COUNTIFS('Datos - Objetivos de países'!$B$5:$B$510,"Colombia",'Datos - Objetivos de países'!$F$5:$F$510,AN$3,'Datos - Objetivos de países'!$J$5:$J$510,$A25)+_xlfn.COUNTIFS('Datos - Objetivos de países'!$B$5:$B$510,"Colombia",'Datos - Objetivos de países'!$F$5:$F$510,AN$3,'Datos - Objetivos de países'!$K$5:$K$510,$A25)</f>
        <v>0</v>
      </c>
      <c r="AO25" s="36" cm="1">
        <f t="array" ref="AO25">_xlfn.COUNTIFS('Datos - Objetivos de países'!$B$5:$B$510,"Singapur",'Datos - Objetivos de países'!$F$5:$F$510,AO$3,'Datos - Objetivos de países'!$J$5:$J$510,$A25)+_xlfn.COUNTIFS('Datos - Objetivos de países'!$B$5:$B$510,"Singapur",'Datos - Objetivos de países'!$F$5:$F$510,AO$3,'Datos - Objetivos de países'!$K$5:$K$510,$A25)</f>
        <v>0</v>
      </c>
      <c r="AP25" s="36" cm="1">
        <f t="array" ref="AP25">_xlfn.COUNTIFS('Datos - Objetivos de países'!$B$5:$B$510,"Singapur",'Datos - Objetivos de países'!$F$5:$F$510,AP$3,'Datos - Objetivos de países'!$J$5:$J$510,$A25)+_xlfn.COUNTIFS('Datos - Objetivos de países'!$B$5:$B$510,"Singapur",'Datos - Objetivos de países'!$F$5:$F$510,AP$3,'Datos - Objetivos de países'!$K$5:$K$510,$A25)</f>
        <v>0</v>
      </c>
      <c r="AQ25" s="36" cm="1">
        <f t="array" ref="AQ25">_xlfn.COUNTIFS('Datos - Objetivos de países'!$B$5:$B$510,"Singapur",'Datos - Objetivos de países'!$F$5:$F$510,AQ$3,'Datos - Objetivos de países'!$J$5:$J$510,$A25)+_xlfn.COUNTIFS('Datos - Objetivos de países'!$B$5:$B$510,"Singapur",'Datos - Objetivos de países'!$F$5:$F$510,AQ$3,'Datos - Objetivos de países'!$K$5:$K$510,$A25)</f>
        <v>0</v>
      </c>
      <c r="AR25" s="36" cm="1">
        <f t="array" ref="AR25">_xlfn.COUNTIFS('Datos - Objetivos de países'!$B$5:$B$510,"Singapur",'Datos - Objetivos de países'!$F$5:$F$510,AR$3,'Datos - Objetivos de países'!$J$5:$J$510,$A25)+_xlfn.COUNTIFS('Datos - Objetivos de países'!$B$5:$B$510,"Singapur",'Datos - Objetivos de países'!$F$5:$F$510,AR$3,'Datos - Objetivos de países'!$K$5:$K$510,$A25)</f>
        <v>0</v>
      </c>
      <c r="AS25" s="36" cm="1">
        <f t="array" ref="AS25">_xlfn.COUNTIFS('Datos - Objetivos de países'!$B$5:$B$510,"Singapur",'Datos - Objetivos de países'!$F$5:$F$510,AS$3,'Datos - Objetivos de países'!$J$5:$J$510,$A25)+_xlfn.COUNTIFS('Datos - Objetivos de países'!$B$5:$B$510,"Singapur",'Datos - Objetivos de países'!$F$5:$F$510,AS$3,'Datos - Objetivos de países'!$K$5:$K$510,$A25)</f>
        <v>0</v>
      </c>
      <c r="AT25" s="36" cm="1">
        <f t="array" ref="AT25">_xlfn.COUNTIFS('Datos - Objetivos de países'!$B$5:$B$510,"Singapur",'Datos - Objetivos de países'!$F$5:$F$510,AT$3,'Datos - Objetivos de países'!$J$5:$J$510,$A25)+_xlfn.COUNTIFS('Datos - Objetivos de países'!$B$5:$B$510,"Singapur",'Datos - Objetivos de países'!$F$5:$F$510,AT$3,'Datos - Objetivos de países'!$K$5:$K$510,$A25)</f>
        <v>0</v>
      </c>
      <c r="AU25" s="36" cm="1">
        <f t="array" ref="AU25">_xlfn.COUNTIFS('Datos - Objetivos de países'!$B$5:$B$510,"Singapur",'Datos - Objetivos de países'!$F$5:$F$510,AU$3,'Datos - Objetivos de países'!$J$5:$J$510,$A25)+_xlfn.COUNTIFS('Datos - Objetivos de países'!$B$5:$B$510,"Singapur",'Datos - Objetivos de países'!$F$5:$F$510,AU$3,'Datos - Objetivos de países'!$K$5:$K$510,$A25)</f>
        <v>0</v>
      </c>
      <c r="AV25" s="36" cm="1">
        <f t="array" ref="AV25">_xlfn.COUNTIFS('Datos - Objetivos de países'!$B$5:$B$510,"Singapur",'Datos - Objetivos de países'!$F$5:$F$510,AV$3,'Datos - Objetivos de países'!$J$5:$J$510,$A25)+_xlfn.COUNTIFS('Datos - Objetivos de países'!$B$5:$B$510,"Singapur",'Datos - Objetivos de países'!$F$5:$F$510,AV$3,'Datos - Objetivos de países'!$K$5:$K$510,$A25)</f>
        <v>0</v>
      </c>
      <c r="AW25" s="36" cm="1">
        <f t="array" ref="AW25">_xlfn.COUNTIFS('Datos - Objetivos de países'!$B$5:$B$510,"Singapur",'Datos - Objetivos de países'!$F$5:$F$510,AW$3,'Datos - Objetivos de países'!$J$5:$J$510,$A25)+_xlfn.COUNTIFS('Datos - Objetivos de países'!$B$5:$B$510,"Singapur",'Datos - Objetivos de países'!$F$5:$F$510,AW$3,'Datos - Objetivos de países'!$K$5:$K$510,$A25)</f>
        <v>0</v>
      </c>
    </row>
    <row r="26" ht="13.65" customHeight="1">
      <c r="A26" t="s" s="78">
        <v>308</v>
      </c>
      <c r="B26" t="s" s="78">
        <v>1055</v>
      </c>
      <c r="C26" t="s" s="78">
        <v>213</v>
      </c>
      <c r="D26" t="s" s="78">
        <v>1127</v>
      </c>
      <c r="E26" s="80" cm="1">
        <f t="array" ref="E26">_xlfn.IFERROR(MAX($L$3,INDEX($N$3:$V$3,MATCH(TRUE,INDEX(N26:V26&gt;0,0),0))),"—")</f>
        <v>3</v>
      </c>
      <c r="F26" t="str" s="79" cm="1">
        <f t="array" ref="F26">_xlfn.IFERROR(MAX($L$3,INDEX($W$3:$AE$3,MATCH(TRUE,INDEX(W26:AE26&gt;0,0),0))),"—")</f>
        <v>—</v>
      </c>
      <c r="G26" s="80" cm="1">
        <f t="array" ref="G26">_xlfn.IFERROR(MAX($L$3,INDEX($AF$3:$AN$3,MATCH(TRUE,INDEX(AF26:AN26&gt;0,0),0))),"—")</f>
        <v>2</v>
      </c>
      <c r="H26" s="80" cm="1">
        <f t="array" ref="H26">_xlfn.IFERROR(MAX($L$3,INDEX($AO$3:$AW$3,MATCH(TRUE,INDEX(AO26:AW26&gt;0,0),0))),"—")</f>
        <v>3</v>
      </c>
      <c r="I26" s="111" cm="1">
        <f t="array" ref="I26">IF(L26=0,"—",MEDIAN(F26:H26))</f>
        <v>2.5</v>
      </c>
      <c r="J26" s="111" cm="1">
        <f t="array" ref="J26">IF(OR(E26="—",I26="—"),"—",E26-I26)</f>
        <v>0.5</v>
      </c>
      <c r="K26" t="str" s="49" cm="1">
        <f t="array" ref="K26">IF(E26="—",IF(L26=0,"Nadie lo trabaja","El Salvador no llega"),IF(L26=0,"Solo El Salvador",IF(J26&gt;0,"El Salvador llega más tarde",IF(J26&lt;0,"El Salvador va adelantado","Mismo grado"))))</f>
        <v>El Salvador llega más tarde</v>
      </c>
      <c r="L26" s="80" cm="1">
        <f t="array" ref="L26">COUNT(F26:H26)</f>
        <v>2</v>
      </c>
      <c r="M26" s="110"/>
      <c r="N26" s="36" cm="1">
        <f t="array" ref="N26">_xlfn.COUNTIFS('Datos - Temas'!$C$5:$C$1264,"Ciencias",'Datos - Temas'!$B$5:$B$1264,N$3,'Datos - Temas'!$K$5:$K$1264,$A26)+_xlfn.COUNTIFS('Datos - Temas'!$C$5:$C$1264,"Ciencias",'Datos - Temas'!$B$5:$B$1264,N$3,'Datos - Temas'!$L$5:$L$1264,$A26)</f>
        <v>0</v>
      </c>
      <c r="O26" s="36" cm="1">
        <f t="array" ref="O26">_xlfn.COUNTIFS('Datos - Temas'!$C$5:$C$1264,"Ciencias",'Datos - Temas'!$B$5:$B$1264,O$3,'Datos - Temas'!$K$5:$K$1264,$A26)+_xlfn.COUNTIFS('Datos - Temas'!$C$5:$C$1264,"Ciencias",'Datos - Temas'!$B$5:$B$1264,O$3,'Datos - Temas'!$L$5:$L$1264,$A26)</f>
        <v>0</v>
      </c>
      <c r="P26" s="36" cm="1">
        <f t="array" ref="P26">_xlfn.COUNTIFS('Datos - Temas'!$C$5:$C$1264,"Ciencias",'Datos - Temas'!$B$5:$B$1264,P$3,'Datos - Temas'!$K$5:$K$1264,$A26)+_xlfn.COUNTIFS('Datos - Temas'!$C$5:$C$1264,"Ciencias",'Datos - Temas'!$B$5:$B$1264,P$3,'Datos - Temas'!$L$5:$L$1264,$A26)</f>
        <v>1</v>
      </c>
      <c r="Q26" s="36" cm="1">
        <f t="array" ref="Q26">_xlfn.COUNTIFS('Datos - Temas'!$C$5:$C$1264,"Ciencias",'Datos - Temas'!$B$5:$B$1264,Q$3,'Datos - Temas'!$K$5:$K$1264,$A26)+_xlfn.COUNTIFS('Datos - Temas'!$C$5:$C$1264,"Ciencias",'Datos - Temas'!$B$5:$B$1264,Q$3,'Datos - Temas'!$L$5:$L$1264,$A26)</f>
        <v>0</v>
      </c>
      <c r="R26" s="36" cm="1">
        <f t="array" ref="R26">_xlfn.COUNTIFS('Datos - Temas'!$C$5:$C$1264,"Ciencias",'Datos - Temas'!$B$5:$B$1264,R$3,'Datos - Temas'!$K$5:$K$1264,$A26)+_xlfn.COUNTIFS('Datos - Temas'!$C$5:$C$1264,"Ciencias",'Datos - Temas'!$B$5:$B$1264,R$3,'Datos - Temas'!$L$5:$L$1264,$A26)</f>
        <v>0</v>
      </c>
      <c r="S26" s="36" cm="1">
        <f t="array" ref="S26">_xlfn.COUNTIFS('Datos - Temas'!$C$5:$C$1264,"Ciencias",'Datos - Temas'!$B$5:$B$1264,S$3,'Datos - Temas'!$K$5:$K$1264,$A26)+_xlfn.COUNTIFS('Datos - Temas'!$C$5:$C$1264,"Ciencias",'Datos - Temas'!$B$5:$B$1264,S$3,'Datos - Temas'!$L$5:$L$1264,$A26)</f>
        <v>0</v>
      </c>
      <c r="T26" s="36" cm="1">
        <f t="array" ref="T26">_xlfn.COUNTIFS('Datos - Temas'!$C$5:$C$1264,"Ciencias",'Datos - Temas'!$B$5:$B$1264,T$3,'Datos - Temas'!$K$5:$K$1264,$A26)+_xlfn.COUNTIFS('Datos - Temas'!$C$5:$C$1264,"Ciencias",'Datos - Temas'!$B$5:$B$1264,T$3,'Datos - Temas'!$L$5:$L$1264,$A26)</f>
        <v>0</v>
      </c>
      <c r="U26" s="36" cm="1">
        <f t="array" ref="U26">_xlfn.COUNTIFS('Datos - Temas'!$C$5:$C$1264,"Ciencias",'Datos - Temas'!$B$5:$B$1264,U$3,'Datos - Temas'!$K$5:$K$1264,$A26)+_xlfn.COUNTIFS('Datos - Temas'!$C$5:$C$1264,"Ciencias",'Datos - Temas'!$B$5:$B$1264,U$3,'Datos - Temas'!$L$5:$L$1264,$A26)</f>
        <v>0</v>
      </c>
      <c r="V26" s="36" cm="1">
        <f t="array" ref="V26">_xlfn.COUNTIFS('Datos - Temas'!$C$5:$C$1264,"Ciencias",'Datos - Temas'!$B$5:$B$1264,V$3,'Datos - Temas'!$K$5:$K$1264,$A26)+_xlfn.COUNTIFS('Datos - Temas'!$C$5:$C$1264,"Ciencias",'Datos - Temas'!$B$5:$B$1264,V$3,'Datos - Temas'!$L$5:$L$1264,$A26)</f>
        <v>0</v>
      </c>
      <c r="W26" s="36" cm="1">
        <f t="array" ref="W26">_xlfn.COUNTIFS('Datos - Objetivos de países'!$B$5:$B$510,"Uruguay",'Datos - Objetivos de países'!$F$5:$F$510,W$3,'Datos - Objetivos de países'!$J$5:$J$510,$A26)+_xlfn.COUNTIFS('Datos - Objetivos de países'!$B$5:$B$510,"Uruguay",'Datos - Objetivos de países'!$F$5:$F$510,W$3,'Datos - Objetivos de países'!$K$5:$K$510,$A26)</f>
        <v>0</v>
      </c>
      <c r="X26" s="36" cm="1">
        <f t="array" ref="X26">_xlfn.COUNTIFS('Datos - Objetivos de países'!$B$5:$B$510,"Uruguay",'Datos - Objetivos de países'!$F$5:$F$510,X$3,'Datos - Objetivos de países'!$J$5:$J$510,$A26)+_xlfn.COUNTIFS('Datos - Objetivos de países'!$B$5:$B$510,"Uruguay",'Datos - Objetivos de países'!$F$5:$F$510,X$3,'Datos - Objetivos de países'!$K$5:$K$510,$A26)</f>
        <v>0</v>
      </c>
      <c r="Y26" s="36" cm="1">
        <f t="array" ref="Y26">_xlfn.COUNTIFS('Datos - Objetivos de países'!$B$5:$B$510,"Uruguay",'Datos - Objetivos de países'!$F$5:$F$510,Y$3,'Datos - Objetivos de países'!$J$5:$J$510,$A26)+_xlfn.COUNTIFS('Datos - Objetivos de países'!$B$5:$B$510,"Uruguay",'Datos - Objetivos de países'!$F$5:$F$510,Y$3,'Datos - Objetivos de países'!$K$5:$K$510,$A26)</f>
        <v>0</v>
      </c>
      <c r="Z26" s="36" cm="1">
        <f t="array" ref="Z26">_xlfn.COUNTIFS('Datos - Objetivos de países'!$B$5:$B$510,"Uruguay",'Datos - Objetivos de países'!$F$5:$F$510,Z$3,'Datos - Objetivos de países'!$J$5:$J$510,$A26)+_xlfn.COUNTIFS('Datos - Objetivos de países'!$B$5:$B$510,"Uruguay",'Datos - Objetivos de países'!$F$5:$F$510,Z$3,'Datos - Objetivos de países'!$K$5:$K$510,$A26)</f>
        <v>0</v>
      </c>
      <c r="AA26" s="36" cm="1">
        <f t="array" ref="AA26">_xlfn.COUNTIFS('Datos - Objetivos de países'!$B$5:$B$510,"Uruguay",'Datos - Objetivos de países'!$F$5:$F$510,AA$3,'Datos - Objetivos de países'!$J$5:$J$510,$A26)+_xlfn.COUNTIFS('Datos - Objetivos de países'!$B$5:$B$510,"Uruguay",'Datos - Objetivos de países'!$F$5:$F$510,AA$3,'Datos - Objetivos de países'!$K$5:$K$510,$A26)</f>
        <v>0</v>
      </c>
      <c r="AB26" s="36" cm="1">
        <f t="array" ref="AB26">_xlfn.COUNTIFS('Datos - Objetivos de países'!$B$5:$B$510,"Uruguay",'Datos - Objetivos de países'!$F$5:$F$510,AB$3,'Datos - Objetivos de países'!$J$5:$J$510,$A26)+_xlfn.COUNTIFS('Datos - Objetivos de países'!$B$5:$B$510,"Uruguay",'Datos - Objetivos de países'!$F$5:$F$510,AB$3,'Datos - Objetivos de países'!$K$5:$K$510,$A26)</f>
        <v>0</v>
      </c>
      <c r="AC26" s="36" cm="1">
        <f t="array" ref="AC26">_xlfn.COUNTIFS('Datos - Objetivos de países'!$B$5:$B$510,"Uruguay",'Datos - Objetivos de países'!$F$5:$F$510,AC$3,'Datos - Objetivos de países'!$J$5:$J$510,$A26)+_xlfn.COUNTIFS('Datos - Objetivos de países'!$B$5:$B$510,"Uruguay",'Datos - Objetivos de países'!$F$5:$F$510,AC$3,'Datos - Objetivos de países'!$K$5:$K$510,$A26)</f>
        <v>0</v>
      </c>
      <c r="AD26" s="36" cm="1">
        <f t="array" ref="AD26">_xlfn.COUNTIFS('Datos - Objetivos de países'!$B$5:$B$510,"Uruguay",'Datos - Objetivos de países'!$F$5:$F$510,AD$3,'Datos - Objetivos de países'!$J$5:$J$510,$A26)+_xlfn.COUNTIFS('Datos - Objetivos de países'!$B$5:$B$510,"Uruguay",'Datos - Objetivos de países'!$F$5:$F$510,AD$3,'Datos - Objetivos de países'!$K$5:$K$510,$A26)</f>
        <v>0</v>
      </c>
      <c r="AE26" s="36" cm="1">
        <f t="array" ref="AE26">_xlfn.COUNTIFS('Datos - Objetivos de países'!$B$5:$B$510,"Uruguay",'Datos - Objetivos de países'!$F$5:$F$510,AE$3,'Datos - Objetivos de países'!$J$5:$J$510,$A26)+_xlfn.COUNTIFS('Datos - Objetivos de países'!$B$5:$B$510,"Uruguay",'Datos - Objetivos de países'!$F$5:$F$510,AE$3,'Datos - Objetivos de países'!$K$5:$K$510,$A26)</f>
        <v>0</v>
      </c>
      <c r="AF26" s="36" cm="1">
        <f t="array" ref="AF26">_xlfn.COUNTIFS('Datos - Objetivos de países'!$B$5:$B$510,"Colombia",'Datos - Objetivos de países'!$F$5:$F$510,AF$3,'Datos - Objetivos de países'!$J$5:$J$510,$A26)+_xlfn.COUNTIFS('Datos - Objetivos de países'!$B$5:$B$510,"Colombia",'Datos - Objetivos de países'!$F$5:$F$510,AF$3,'Datos - Objetivos de países'!$K$5:$K$510,$A26)</f>
        <v>1</v>
      </c>
      <c r="AG26" s="36" cm="1">
        <f t="array" ref="AG26">_xlfn.COUNTIFS('Datos - Objetivos de países'!$B$5:$B$510,"Colombia",'Datos - Objetivos de países'!$F$5:$F$510,AG$3,'Datos - Objetivos de países'!$J$5:$J$510,$A26)+_xlfn.COUNTIFS('Datos - Objetivos de países'!$B$5:$B$510,"Colombia",'Datos - Objetivos de países'!$F$5:$F$510,AG$3,'Datos - Objetivos de países'!$K$5:$K$510,$A26)</f>
        <v>0</v>
      </c>
      <c r="AH26" s="36" cm="1">
        <f t="array" ref="AH26">_xlfn.COUNTIFS('Datos - Objetivos de países'!$B$5:$B$510,"Colombia",'Datos - Objetivos de países'!$F$5:$F$510,AH$3,'Datos - Objetivos de países'!$J$5:$J$510,$A26)+_xlfn.COUNTIFS('Datos - Objetivos de países'!$B$5:$B$510,"Colombia",'Datos - Objetivos de países'!$F$5:$F$510,AH$3,'Datos - Objetivos de países'!$K$5:$K$510,$A26)</f>
        <v>0</v>
      </c>
      <c r="AI26" s="36" cm="1">
        <f t="array" ref="AI26">_xlfn.COUNTIFS('Datos - Objetivos de países'!$B$5:$B$510,"Colombia",'Datos - Objetivos de países'!$F$5:$F$510,AI$3,'Datos - Objetivos de países'!$J$5:$J$510,$A26)+_xlfn.COUNTIFS('Datos - Objetivos de países'!$B$5:$B$510,"Colombia",'Datos - Objetivos de países'!$F$5:$F$510,AI$3,'Datos - Objetivos de países'!$K$5:$K$510,$A26)</f>
        <v>0</v>
      </c>
      <c r="AJ26" s="36" cm="1">
        <f t="array" ref="AJ26">_xlfn.COUNTIFS('Datos - Objetivos de países'!$B$5:$B$510,"Colombia",'Datos - Objetivos de países'!$F$5:$F$510,AJ$3,'Datos - Objetivos de países'!$J$5:$J$510,$A26)+_xlfn.COUNTIFS('Datos - Objetivos de países'!$B$5:$B$510,"Colombia",'Datos - Objetivos de países'!$F$5:$F$510,AJ$3,'Datos - Objetivos de países'!$K$5:$K$510,$A26)</f>
        <v>0</v>
      </c>
      <c r="AK26" s="36" cm="1">
        <f t="array" ref="AK26">_xlfn.COUNTIFS('Datos - Objetivos de países'!$B$5:$B$510,"Colombia",'Datos - Objetivos de países'!$F$5:$F$510,AK$3,'Datos - Objetivos de países'!$J$5:$J$510,$A26)+_xlfn.COUNTIFS('Datos - Objetivos de países'!$B$5:$B$510,"Colombia",'Datos - Objetivos de países'!$F$5:$F$510,AK$3,'Datos - Objetivos de países'!$K$5:$K$510,$A26)</f>
        <v>0</v>
      </c>
      <c r="AL26" s="36" cm="1">
        <f t="array" ref="AL26">_xlfn.COUNTIFS('Datos - Objetivos de países'!$B$5:$B$510,"Colombia",'Datos - Objetivos de países'!$F$5:$F$510,AL$3,'Datos - Objetivos de países'!$J$5:$J$510,$A26)+_xlfn.COUNTIFS('Datos - Objetivos de países'!$B$5:$B$510,"Colombia",'Datos - Objetivos de países'!$F$5:$F$510,AL$3,'Datos - Objetivos de países'!$K$5:$K$510,$A26)</f>
        <v>0</v>
      </c>
      <c r="AM26" s="36" cm="1">
        <f t="array" ref="AM26">_xlfn.COUNTIFS('Datos - Objetivos de países'!$B$5:$B$510,"Colombia",'Datos - Objetivos de países'!$F$5:$F$510,AM$3,'Datos - Objetivos de países'!$J$5:$J$510,$A26)+_xlfn.COUNTIFS('Datos - Objetivos de países'!$B$5:$B$510,"Colombia",'Datos - Objetivos de países'!$F$5:$F$510,AM$3,'Datos - Objetivos de países'!$K$5:$K$510,$A26)</f>
        <v>0</v>
      </c>
      <c r="AN26" s="36" cm="1">
        <f t="array" ref="AN26">_xlfn.COUNTIFS('Datos - Objetivos de países'!$B$5:$B$510,"Colombia",'Datos - Objetivos de países'!$F$5:$F$510,AN$3,'Datos - Objetivos de países'!$J$5:$J$510,$A26)+_xlfn.COUNTIFS('Datos - Objetivos de países'!$B$5:$B$510,"Colombia",'Datos - Objetivos de países'!$F$5:$F$510,AN$3,'Datos - Objetivos de países'!$K$5:$K$510,$A26)</f>
        <v>0</v>
      </c>
      <c r="AO26" s="36" cm="1">
        <f t="array" ref="AO26">_xlfn.COUNTIFS('Datos - Objetivos de países'!$B$5:$B$510,"Singapur",'Datos - Objetivos de países'!$F$5:$F$510,AO$3,'Datos - Objetivos de países'!$J$5:$J$510,$A26)+_xlfn.COUNTIFS('Datos - Objetivos de países'!$B$5:$B$510,"Singapur",'Datos - Objetivos de países'!$F$5:$F$510,AO$3,'Datos - Objetivos de países'!$K$5:$K$510,$A26)</f>
        <v>0</v>
      </c>
      <c r="AP26" s="36" cm="1">
        <f t="array" ref="AP26">_xlfn.COUNTIFS('Datos - Objetivos de países'!$B$5:$B$510,"Singapur",'Datos - Objetivos de países'!$F$5:$F$510,AP$3,'Datos - Objetivos de países'!$J$5:$J$510,$A26)+_xlfn.COUNTIFS('Datos - Objetivos de países'!$B$5:$B$510,"Singapur",'Datos - Objetivos de países'!$F$5:$F$510,AP$3,'Datos - Objetivos de países'!$K$5:$K$510,$A26)</f>
        <v>0</v>
      </c>
      <c r="AQ26" s="36" cm="1">
        <f t="array" ref="AQ26">_xlfn.COUNTIFS('Datos - Objetivos de países'!$B$5:$B$510,"Singapur",'Datos - Objetivos de países'!$F$5:$F$510,AQ$3,'Datos - Objetivos de países'!$J$5:$J$510,$A26)+_xlfn.COUNTIFS('Datos - Objetivos de países'!$B$5:$B$510,"Singapur",'Datos - Objetivos de países'!$F$5:$F$510,AQ$3,'Datos - Objetivos de países'!$K$5:$K$510,$A26)</f>
        <v>5</v>
      </c>
      <c r="AR26" s="36" cm="1">
        <f t="array" ref="AR26">_xlfn.COUNTIFS('Datos - Objetivos de países'!$B$5:$B$510,"Singapur",'Datos - Objetivos de países'!$F$5:$F$510,AR$3,'Datos - Objetivos de países'!$J$5:$J$510,$A26)+_xlfn.COUNTIFS('Datos - Objetivos de países'!$B$5:$B$510,"Singapur",'Datos - Objetivos de países'!$F$5:$F$510,AR$3,'Datos - Objetivos de países'!$K$5:$K$510,$A26)</f>
        <v>0</v>
      </c>
      <c r="AS26" s="36" cm="1">
        <f t="array" ref="AS26">_xlfn.COUNTIFS('Datos - Objetivos de países'!$B$5:$B$510,"Singapur",'Datos - Objetivos de países'!$F$5:$F$510,AS$3,'Datos - Objetivos de países'!$J$5:$J$510,$A26)+_xlfn.COUNTIFS('Datos - Objetivos de países'!$B$5:$B$510,"Singapur",'Datos - Objetivos de países'!$F$5:$F$510,AS$3,'Datos - Objetivos de países'!$K$5:$K$510,$A26)</f>
        <v>0</v>
      </c>
      <c r="AT26" s="36" cm="1">
        <f t="array" ref="AT26">_xlfn.COUNTIFS('Datos - Objetivos de países'!$B$5:$B$510,"Singapur",'Datos - Objetivos de países'!$F$5:$F$510,AT$3,'Datos - Objetivos de países'!$J$5:$J$510,$A26)+_xlfn.COUNTIFS('Datos - Objetivos de países'!$B$5:$B$510,"Singapur",'Datos - Objetivos de países'!$F$5:$F$510,AT$3,'Datos - Objetivos de países'!$K$5:$K$510,$A26)</f>
        <v>0</v>
      </c>
      <c r="AU26" s="36" cm="1">
        <f t="array" ref="AU26">_xlfn.COUNTIFS('Datos - Objetivos de países'!$B$5:$B$510,"Singapur",'Datos - Objetivos de países'!$F$5:$F$510,AU$3,'Datos - Objetivos de países'!$J$5:$J$510,$A26)+_xlfn.COUNTIFS('Datos - Objetivos de países'!$B$5:$B$510,"Singapur",'Datos - Objetivos de países'!$F$5:$F$510,AU$3,'Datos - Objetivos de países'!$K$5:$K$510,$A26)</f>
        <v>0</v>
      </c>
      <c r="AV26" s="36" cm="1">
        <f t="array" ref="AV26">_xlfn.COUNTIFS('Datos - Objetivos de países'!$B$5:$B$510,"Singapur",'Datos - Objetivos de países'!$F$5:$F$510,AV$3,'Datos - Objetivos de países'!$J$5:$J$510,$A26)+_xlfn.COUNTIFS('Datos - Objetivos de países'!$B$5:$B$510,"Singapur",'Datos - Objetivos de países'!$F$5:$F$510,AV$3,'Datos - Objetivos de países'!$K$5:$K$510,$A26)</f>
        <v>0</v>
      </c>
      <c r="AW26" s="36" cm="1">
        <f t="array" ref="AW26">_xlfn.COUNTIFS('Datos - Objetivos de países'!$B$5:$B$510,"Singapur",'Datos - Objetivos de países'!$F$5:$F$510,AW$3,'Datos - Objetivos de países'!$J$5:$J$510,$A26)+_xlfn.COUNTIFS('Datos - Objetivos de países'!$B$5:$B$510,"Singapur",'Datos - Objetivos de países'!$F$5:$F$510,AW$3,'Datos - Objetivos de países'!$K$5:$K$510,$A26)</f>
        <v>0</v>
      </c>
    </row>
    <row r="27" ht="13.65" customHeight="1">
      <c r="A27" t="s" s="78">
        <v>332</v>
      </c>
      <c r="B27" t="s" s="78">
        <v>1055</v>
      </c>
      <c r="C27" t="s" s="78">
        <v>213</v>
      </c>
      <c r="D27" t="s" s="78">
        <v>1130</v>
      </c>
      <c r="E27" s="80" cm="1">
        <f t="array" ref="E27">_xlfn.IFERROR(MAX($L$3,INDEX($N$3:$V$3,MATCH(TRUE,INDEX(N27:V27&gt;0,0),0))),"—")</f>
        <v>2</v>
      </c>
      <c r="F27" s="80" cm="1">
        <f t="array" ref="F27">_xlfn.IFERROR(MAX($L$3,INDEX($W$3:$AE$3,MATCH(TRUE,INDEX(W27:AE27&gt;0,0),0))),"—")</f>
        <v>3</v>
      </c>
      <c r="G27" s="80" cm="1">
        <f t="array" ref="G27">_xlfn.IFERROR(MAX($L$3,INDEX($AF$3:$AN$3,MATCH(TRUE,INDEX(AF27:AN27&gt;0,0),0))),"—")</f>
        <v>2</v>
      </c>
      <c r="H27" s="80" cm="1">
        <f t="array" ref="H27">_xlfn.IFERROR(MAX($L$3,INDEX($AO$3:$AW$3,MATCH(TRUE,INDEX(AO27:AW27&gt;0,0),0))),"—")</f>
        <v>3</v>
      </c>
      <c r="I27" s="111" cm="1">
        <f t="array" ref="I27">IF(L27=0,"—",MEDIAN(F27:H27))</f>
        <v>3</v>
      </c>
      <c r="J27" s="111" cm="1">
        <f t="array" ref="J27">IF(OR(E27="—",I27="—"),"—",E27-I27)</f>
        <v>-1</v>
      </c>
      <c r="K27" t="str" s="49" cm="1">
        <f t="array" ref="K27">IF(E27="—",IF(L27=0,"Nadie lo trabaja","El Salvador no llega"),IF(L27=0,"Solo El Salvador",IF(J27&gt;0,"El Salvador llega más tarde",IF(J27&lt;0,"El Salvador va adelantado","Mismo grado"))))</f>
        <v>El Salvador va adelantado</v>
      </c>
      <c r="L27" s="80" cm="1">
        <f t="array" ref="L27">COUNT(F27:H27)</f>
        <v>3</v>
      </c>
      <c r="M27" s="110"/>
      <c r="N27" s="36" cm="1">
        <f t="array" ref="N27">_xlfn.COUNTIFS('Datos - Temas'!$C$5:$C$1264,"Ciencias",'Datos - Temas'!$B$5:$B$1264,N$3,'Datos - Temas'!$K$5:$K$1264,$A27)+_xlfn.COUNTIFS('Datos - Temas'!$C$5:$C$1264,"Ciencias",'Datos - Temas'!$B$5:$B$1264,N$3,'Datos - Temas'!$L$5:$L$1264,$A27)</f>
        <v>0</v>
      </c>
      <c r="O27" s="36" cm="1">
        <f t="array" ref="O27">_xlfn.COUNTIFS('Datos - Temas'!$C$5:$C$1264,"Ciencias",'Datos - Temas'!$B$5:$B$1264,O$3,'Datos - Temas'!$K$5:$K$1264,$A27)+_xlfn.COUNTIFS('Datos - Temas'!$C$5:$C$1264,"Ciencias",'Datos - Temas'!$B$5:$B$1264,O$3,'Datos - Temas'!$L$5:$L$1264,$A27)</f>
        <v>4</v>
      </c>
      <c r="P27" s="36" cm="1">
        <f t="array" ref="P27">_xlfn.COUNTIFS('Datos - Temas'!$C$5:$C$1264,"Ciencias",'Datos - Temas'!$B$5:$B$1264,P$3,'Datos - Temas'!$K$5:$K$1264,$A27)+_xlfn.COUNTIFS('Datos - Temas'!$C$5:$C$1264,"Ciencias",'Datos - Temas'!$B$5:$B$1264,P$3,'Datos - Temas'!$L$5:$L$1264,$A27)</f>
        <v>4</v>
      </c>
      <c r="Q27" s="36" cm="1">
        <f t="array" ref="Q27">_xlfn.COUNTIFS('Datos - Temas'!$C$5:$C$1264,"Ciencias",'Datos - Temas'!$B$5:$B$1264,Q$3,'Datos - Temas'!$K$5:$K$1264,$A27)+_xlfn.COUNTIFS('Datos - Temas'!$C$5:$C$1264,"Ciencias",'Datos - Temas'!$B$5:$B$1264,Q$3,'Datos - Temas'!$L$5:$L$1264,$A27)</f>
        <v>0</v>
      </c>
      <c r="R27" s="36" cm="1">
        <f t="array" ref="R27">_xlfn.COUNTIFS('Datos - Temas'!$C$5:$C$1264,"Ciencias",'Datos - Temas'!$B$5:$B$1264,R$3,'Datos - Temas'!$K$5:$K$1264,$A27)+_xlfn.COUNTIFS('Datos - Temas'!$C$5:$C$1264,"Ciencias",'Datos - Temas'!$B$5:$B$1264,R$3,'Datos - Temas'!$L$5:$L$1264,$A27)</f>
        <v>0</v>
      </c>
      <c r="S27" s="36" cm="1">
        <f t="array" ref="S27">_xlfn.COUNTIFS('Datos - Temas'!$C$5:$C$1264,"Ciencias",'Datos - Temas'!$B$5:$B$1264,S$3,'Datos - Temas'!$K$5:$K$1264,$A27)+_xlfn.COUNTIFS('Datos - Temas'!$C$5:$C$1264,"Ciencias",'Datos - Temas'!$B$5:$B$1264,S$3,'Datos - Temas'!$L$5:$L$1264,$A27)</f>
        <v>0</v>
      </c>
      <c r="T27" s="36" cm="1">
        <f t="array" ref="T27">_xlfn.COUNTIFS('Datos - Temas'!$C$5:$C$1264,"Ciencias",'Datos - Temas'!$B$5:$B$1264,T$3,'Datos - Temas'!$K$5:$K$1264,$A27)+_xlfn.COUNTIFS('Datos - Temas'!$C$5:$C$1264,"Ciencias",'Datos - Temas'!$B$5:$B$1264,T$3,'Datos - Temas'!$L$5:$L$1264,$A27)</f>
        <v>0</v>
      </c>
      <c r="U27" s="36" cm="1">
        <f t="array" ref="U27">_xlfn.COUNTIFS('Datos - Temas'!$C$5:$C$1264,"Ciencias",'Datos - Temas'!$B$5:$B$1264,U$3,'Datos - Temas'!$K$5:$K$1264,$A27)+_xlfn.COUNTIFS('Datos - Temas'!$C$5:$C$1264,"Ciencias",'Datos - Temas'!$B$5:$B$1264,U$3,'Datos - Temas'!$L$5:$L$1264,$A27)</f>
        <v>0</v>
      </c>
      <c r="V27" s="36" cm="1">
        <f t="array" ref="V27">_xlfn.COUNTIFS('Datos - Temas'!$C$5:$C$1264,"Ciencias",'Datos - Temas'!$B$5:$B$1264,V$3,'Datos - Temas'!$K$5:$K$1264,$A27)+_xlfn.COUNTIFS('Datos - Temas'!$C$5:$C$1264,"Ciencias",'Datos - Temas'!$B$5:$B$1264,V$3,'Datos - Temas'!$L$5:$L$1264,$A27)</f>
        <v>0</v>
      </c>
      <c r="W27" s="36" cm="1">
        <f t="array" ref="W27">_xlfn.COUNTIFS('Datos - Objetivos de países'!$B$5:$B$510,"Uruguay",'Datos - Objetivos de países'!$F$5:$F$510,W$3,'Datos - Objetivos de países'!$J$5:$J$510,$A27)+_xlfn.COUNTIFS('Datos - Objetivos de países'!$B$5:$B$510,"Uruguay",'Datos - Objetivos de países'!$F$5:$F$510,W$3,'Datos - Objetivos de países'!$K$5:$K$510,$A27)</f>
        <v>0</v>
      </c>
      <c r="X27" s="36" cm="1">
        <f t="array" ref="X27">_xlfn.COUNTIFS('Datos - Objetivos de países'!$B$5:$B$510,"Uruguay",'Datos - Objetivos de países'!$F$5:$F$510,X$3,'Datos - Objetivos de países'!$J$5:$J$510,$A27)+_xlfn.COUNTIFS('Datos - Objetivos de países'!$B$5:$B$510,"Uruguay",'Datos - Objetivos de países'!$F$5:$F$510,X$3,'Datos - Objetivos de países'!$K$5:$K$510,$A27)</f>
        <v>0</v>
      </c>
      <c r="Y27" s="36" cm="1">
        <f t="array" ref="Y27">_xlfn.COUNTIFS('Datos - Objetivos de países'!$B$5:$B$510,"Uruguay",'Datos - Objetivos de países'!$F$5:$F$510,Y$3,'Datos - Objetivos de países'!$J$5:$J$510,$A27)+_xlfn.COUNTIFS('Datos - Objetivos de países'!$B$5:$B$510,"Uruguay",'Datos - Objetivos de países'!$F$5:$F$510,Y$3,'Datos - Objetivos de países'!$K$5:$K$510,$A27)</f>
        <v>1</v>
      </c>
      <c r="Z27" s="36" cm="1">
        <f t="array" ref="Z27">_xlfn.COUNTIFS('Datos - Objetivos de países'!$B$5:$B$510,"Uruguay",'Datos - Objetivos de países'!$F$5:$F$510,Z$3,'Datos - Objetivos de países'!$J$5:$J$510,$A27)+_xlfn.COUNTIFS('Datos - Objetivos de países'!$B$5:$B$510,"Uruguay",'Datos - Objetivos de países'!$F$5:$F$510,Z$3,'Datos - Objetivos de países'!$K$5:$K$510,$A27)</f>
        <v>4</v>
      </c>
      <c r="AA27" s="36" cm="1">
        <f t="array" ref="AA27">_xlfn.COUNTIFS('Datos - Objetivos de países'!$B$5:$B$510,"Uruguay",'Datos - Objetivos de países'!$F$5:$F$510,AA$3,'Datos - Objetivos de países'!$J$5:$J$510,$A27)+_xlfn.COUNTIFS('Datos - Objetivos de países'!$B$5:$B$510,"Uruguay",'Datos - Objetivos de países'!$F$5:$F$510,AA$3,'Datos - Objetivos de países'!$K$5:$K$510,$A27)</f>
        <v>0</v>
      </c>
      <c r="AB27" s="36" cm="1">
        <f t="array" ref="AB27">_xlfn.COUNTIFS('Datos - Objetivos de países'!$B$5:$B$510,"Uruguay",'Datos - Objetivos de países'!$F$5:$F$510,AB$3,'Datos - Objetivos de países'!$J$5:$J$510,$A27)+_xlfn.COUNTIFS('Datos - Objetivos de países'!$B$5:$B$510,"Uruguay",'Datos - Objetivos de países'!$F$5:$F$510,AB$3,'Datos - Objetivos de países'!$K$5:$K$510,$A27)</f>
        <v>0</v>
      </c>
      <c r="AC27" s="36" cm="1">
        <f t="array" ref="AC27">_xlfn.COUNTIFS('Datos - Objetivos de países'!$B$5:$B$510,"Uruguay",'Datos - Objetivos de países'!$F$5:$F$510,AC$3,'Datos - Objetivos de países'!$J$5:$J$510,$A27)+_xlfn.COUNTIFS('Datos - Objetivos de países'!$B$5:$B$510,"Uruguay",'Datos - Objetivos de países'!$F$5:$F$510,AC$3,'Datos - Objetivos de países'!$K$5:$K$510,$A27)</f>
        <v>0</v>
      </c>
      <c r="AD27" s="36" cm="1">
        <f t="array" ref="AD27">_xlfn.COUNTIFS('Datos - Objetivos de países'!$B$5:$B$510,"Uruguay",'Datos - Objetivos de países'!$F$5:$F$510,AD$3,'Datos - Objetivos de países'!$J$5:$J$510,$A27)+_xlfn.COUNTIFS('Datos - Objetivos de países'!$B$5:$B$510,"Uruguay",'Datos - Objetivos de países'!$F$5:$F$510,AD$3,'Datos - Objetivos de países'!$K$5:$K$510,$A27)</f>
        <v>0</v>
      </c>
      <c r="AE27" s="36" cm="1">
        <f t="array" ref="AE27">_xlfn.COUNTIFS('Datos - Objetivos de países'!$B$5:$B$510,"Uruguay",'Datos - Objetivos de países'!$F$5:$F$510,AE$3,'Datos - Objetivos de países'!$J$5:$J$510,$A27)+_xlfn.COUNTIFS('Datos - Objetivos de países'!$B$5:$B$510,"Uruguay",'Datos - Objetivos de países'!$F$5:$F$510,AE$3,'Datos - Objetivos de países'!$K$5:$K$510,$A27)</f>
        <v>0</v>
      </c>
      <c r="AF27" s="36" cm="1">
        <f t="array" ref="AF27">_xlfn.COUNTIFS('Datos - Objetivos de países'!$B$5:$B$510,"Colombia",'Datos - Objetivos de países'!$F$5:$F$510,AF$3,'Datos - Objetivos de países'!$J$5:$J$510,$A27)+_xlfn.COUNTIFS('Datos - Objetivos de países'!$B$5:$B$510,"Colombia",'Datos - Objetivos de países'!$F$5:$F$510,AF$3,'Datos - Objetivos de países'!$K$5:$K$510,$A27)</f>
        <v>1</v>
      </c>
      <c r="AG27" s="36" cm="1">
        <f t="array" ref="AG27">_xlfn.COUNTIFS('Datos - Objetivos de países'!$B$5:$B$510,"Colombia",'Datos - Objetivos de países'!$F$5:$F$510,AG$3,'Datos - Objetivos de países'!$J$5:$J$510,$A27)+_xlfn.COUNTIFS('Datos - Objetivos de países'!$B$5:$B$510,"Colombia",'Datos - Objetivos de países'!$F$5:$F$510,AG$3,'Datos - Objetivos de países'!$K$5:$K$510,$A27)</f>
        <v>1</v>
      </c>
      <c r="AH27" s="36" cm="1">
        <f t="array" ref="AH27">_xlfn.COUNTIFS('Datos - Objetivos de países'!$B$5:$B$510,"Colombia",'Datos - Objetivos de países'!$F$5:$F$510,AH$3,'Datos - Objetivos de países'!$J$5:$J$510,$A27)+_xlfn.COUNTIFS('Datos - Objetivos de países'!$B$5:$B$510,"Colombia",'Datos - Objetivos de países'!$F$5:$F$510,AH$3,'Datos - Objetivos de países'!$K$5:$K$510,$A27)</f>
        <v>0</v>
      </c>
      <c r="AI27" s="36" cm="1">
        <f t="array" ref="AI27">_xlfn.COUNTIFS('Datos - Objetivos de países'!$B$5:$B$510,"Colombia",'Datos - Objetivos de países'!$F$5:$F$510,AI$3,'Datos - Objetivos de países'!$J$5:$J$510,$A27)+_xlfn.COUNTIFS('Datos - Objetivos de países'!$B$5:$B$510,"Colombia",'Datos - Objetivos de países'!$F$5:$F$510,AI$3,'Datos - Objetivos de países'!$K$5:$K$510,$A27)</f>
        <v>5</v>
      </c>
      <c r="AJ27" s="36" cm="1">
        <f t="array" ref="AJ27">_xlfn.COUNTIFS('Datos - Objetivos de países'!$B$5:$B$510,"Colombia",'Datos - Objetivos de países'!$F$5:$F$510,AJ$3,'Datos - Objetivos de países'!$J$5:$J$510,$A27)+_xlfn.COUNTIFS('Datos - Objetivos de países'!$B$5:$B$510,"Colombia",'Datos - Objetivos de países'!$F$5:$F$510,AJ$3,'Datos - Objetivos de países'!$K$5:$K$510,$A27)</f>
        <v>0</v>
      </c>
      <c r="AK27" s="36" cm="1">
        <f t="array" ref="AK27">_xlfn.COUNTIFS('Datos - Objetivos de países'!$B$5:$B$510,"Colombia",'Datos - Objetivos de países'!$F$5:$F$510,AK$3,'Datos - Objetivos de países'!$J$5:$J$510,$A27)+_xlfn.COUNTIFS('Datos - Objetivos de países'!$B$5:$B$510,"Colombia",'Datos - Objetivos de países'!$F$5:$F$510,AK$3,'Datos - Objetivos de países'!$K$5:$K$510,$A27)</f>
        <v>0</v>
      </c>
      <c r="AL27" s="36" cm="1">
        <f t="array" ref="AL27">_xlfn.COUNTIFS('Datos - Objetivos de países'!$B$5:$B$510,"Colombia",'Datos - Objetivos de países'!$F$5:$F$510,AL$3,'Datos - Objetivos de países'!$J$5:$J$510,$A27)+_xlfn.COUNTIFS('Datos - Objetivos de países'!$B$5:$B$510,"Colombia",'Datos - Objetivos de países'!$F$5:$F$510,AL$3,'Datos - Objetivos de países'!$K$5:$K$510,$A27)</f>
        <v>0</v>
      </c>
      <c r="AM27" s="36" cm="1">
        <f t="array" ref="AM27">_xlfn.COUNTIFS('Datos - Objetivos de países'!$B$5:$B$510,"Colombia",'Datos - Objetivos de países'!$F$5:$F$510,AM$3,'Datos - Objetivos de países'!$J$5:$J$510,$A27)+_xlfn.COUNTIFS('Datos - Objetivos de países'!$B$5:$B$510,"Colombia",'Datos - Objetivos de países'!$F$5:$F$510,AM$3,'Datos - Objetivos de países'!$K$5:$K$510,$A27)</f>
        <v>0</v>
      </c>
      <c r="AN27" s="36" cm="1">
        <f t="array" ref="AN27">_xlfn.COUNTIFS('Datos - Objetivos de países'!$B$5:$B$510,"Colombia",'Datos - Objetivos de países'!$F$5:$F$510,AN$3,'Datos - Objetivos de países'!$J$5:$J$510,$A27)+_xlfn.COUNTIFS('Datos - Objetivos de países'!$B$5:$B$510,"Colombia",'Datos - Objetivos de países'!$F$5:$F$510,AN$3,'Datos - Objetivos de países'!$K$5:$K$510,$A27)</f>
        <v>0</v>
      </c>
      <c r="AO27" s="36" cm="1">
        <f t="array" ref="AO27">_xlfn.COUNTIFS('Datos - Objetivos de países'!$B$5:$B$510,"Singapur",'Datos - Objetivos de países'!$F$5:$F$510,AO$3,'Datos - Objetivos de países'!$J$5:$J$510,$A27)+_xlfn.COUNTIFS('Datos - Objetivos de países'!$B$5:$B$510,"Singapur",'Datos - Objetivos de países'!$F$5:$F$510,AO$3,'Datos - Objetivos de países'!$K$5:$K$510,$A27)</f>
        <v>0</v>
      </c>
      <c r="AP27" s="36" cm="1">
        <f t="array" ref="AP27">_xlfn.COUNTIFS('Datos - Objetivos de países'!$B$5:$B$510,"Singapur",'Datos - Objetivos de países'!$F$5:$F$510,AP$3,'Datos - Objetivos de países'!$J$5:$J$510,$A27)+_xlfn.COUNTIFS('Datos - Objetivos de países'!$B$5:$B$510,"Singapur",'Datos - Objetivos de países'!$F$5:$F$510,AP$3,'Datos - Objetivos de países'!$K$5:$K$510,$A27)</f>
        <v>0</v>
      </c>
      <c r="AQ27" s="36" cm="1">
        <f t="array" ref="AQ27">_xlfn.COUNTIFS('Datos - Objetivos de países'!$B$5:$B$510,"Singapur",'Datos - Objetivos de países'!$F$5:$F$510,AQ$3,'Datos - Objetivos de países'!$J$5:$J$510,$A27)+_xlfn.COUNTIFS('Datos - Objetivos de países'!$B$5:$B$510,"Singapur",'Datos - Objetivos de países'!$F$5:$F$510,AQ$3,'Datos - Objetivos de países'!$K$5:$K$510,$A27)</f>
        <v>1</v>
      </c>
      <c r="AR27" s="36" cm="1">
        <f t="array" ref="AR27">_xlfn.COUNTIFS('Datos - Objetivos de países'!$B$5:$B$510,"Singapur",'Datos - Objetivos de países'!$F$5:$F$510,AR$3,'Datos - Objetivos de países'!$J$5:$J$510,$A27)+_xlfn.COUNTIFS('Datos - Objetivos de países'!$B$5:$B$510,"Singapur",'Datos - Objetivos de países'!$F$5:$F$510,AR$3,'Datos - Objetivos de países'!$K$5:$K$510,$A27)</f>
        <v>0</v>
      </c>
      <c r="AS27" s="36" cm="1">
        <f t="array" ref="AS27">_xlfn.COUNTIFS('Datos - Objetivos de países'!$B$5:$B$510,"Singapur",'Datos - Objetivos de países'!$F$5:$F$510,AS$3,'Datos - Objetivos de países'!$J$5:$J$510,$A27)+_xlfn.COUNTIFS('Datos - Objetivos de países'!$B$5:$B$510,"Singapur",'Datos - Objetivos de países'!$F$5:$F$510,AS$3,'Datos - Objetivos de países'!$K$5:$K$510,$A27)</f>
        <v>0</v>
      </c>
      <c r="AT27" s="36" cm="1">
        <f t="array" ref="AT27">_xlfn.COUNTIFS('Datos - Objetivos de países'!$B$5:$B$510,"Singapur",'Datos - Objetivos de países'!$F$5:$F$510,AT$3,'Datos - Objetivos de países'!$J$5:$J$510,$A27)+_xlfn.COUNTIFS('Datos - Objetivos de países'!$B$5:$B$510,"Singapur",'Datos - Objetivos de países'!$F$5:$F$510,AT$3,'Datos - Objetivos de países'!$K$5:$K$510,$A27)</f>
        <v>0</v>
      </c>
      <c r="AU27" s="36" cm="1">
        <f t="array" ref="AU27">_xlfn.COUNTIFS('Datos - Objetivos de países'!$B$5:$B$510,"Singapur",'Datos - Objetivos de países'!$F$5:$F$510,AU$3,'Datos - Objetivos de países'!$J$5:$J$510,$A27)+_xlfn.COUNTIFS('Datos - Objetivos de países'!$B$5:$B$510,"Singapur",'Datos - Objetivos de países'!$F$5:$F$510,AU$3,'Datos - Objetivos de países'!$K$5:$K$510,$A27)</f>
        <v>0</v>
      </c>
      <c r="AV27" s="36" cm="1">
        <f t="array" ref="AV27">_xlfn.COUNTIFS('Datos - Objetivos de países'!$B$5:$B$510,"Singapur",'Datos - Objetivos de países'!$F$5:$F$510,AV$3,'Datos - Objetivos de países'!$J$5:$J$510,$A27)+_xlfn.COUNTIFS('Datos - Objetivos de países'!$B$5:$B$510,"Singapur",'Datos - Objetivos de países'!$F$5:$F$510,AV$3,'Datos - Objetivos de países'!$K$5:$K$510,$A27)</f>
        <v>0</v>
      </c>
      <c r="AW27" s="36" cm="1">
        <f t="array" ref="AW27">_xlfn.COUNTIFS('Datos - Objetivos de países'!$B$5:$B$510,"Singapur",'Datos - Objetivos de países'!$F$5:$F$510,AW$3,'Datos - Objetivos de países'!$J$5:$J$510,$A27)+_xlfn.COUNTIFS('Datos - Objetivos de países'!$B$5:$B$510,"Singapur",'Datos - Objetivos de países'!$F$5:$F$510,AW$3,'Datos - Objetivos de países'!$K$5:$K$510,$A27)</f>
        <v>0</v>
      </c>
    </row>
    <row r="28" ht="13.65" customHeight="1">
      <c r="A28" t="s" s="78">
        <v>1132</v>
      </c>
      <c r="B28" t="s" s="78">
        <v>1055</v>
      </c>
      <c r="C28" t="s" s="78">
        <v>213</v>
      </c>
      <c r="D28" t="s" s="78">
        <v>1133</v>
      </c>
      <c r="E28" s="80" cm="1">
        <f t="array" ref="E28">_xlfn.IFERROR(MAX($L$3,INDEX($N$3:$V$3,MATCH(TRUE,INDEX(N28:V28&gt;0,0),0))),"—")</f>
        <v>4</v>
      </c>
      <c r="F28" t="str" s="79" cm="1">
        <f t="array" ref="F28">_xlfn.IFERROR(MAX($L$3,INDEX($W$3:$AE$3,MATCH(TRUE,INDEX(W28:AE28&gt;0,0),0))),"—")</f>
        <v>—</v>
      </c>
      <c r="G28" s="80" cm="1">
        <f t="array" ref="G28">_xlfn.IFERROR(MAX($L$3,INDEX($AF$3:$AN$3,MATCH(TRUE,INDEX(AF28:AN28&gt;0,0),0))),"—")</f>
        <v>4</v>
      </c>
      <c r="H28" t="str" s="79" cm="1">
        <f t="array" ref="H28">_xlfn.IFERROR(MAX($L$3,INDEX($AO$3:$AW$3,MATCH(TRUE,INDEX(AO28:AW28&gt;0,0),0))),"—")</f>
        <v>—</v>
      </c>
      <c r="I28" s="111" cm="1">
        <f t="array" ref="I28">IF(L28=0,"—",MEDIAN(F28:H28))</f>
        <v>4</v>
      </c>
      <c r="J28" s="111" cm="1">
        <f t="array" ref="J28">IF(OR(E28="—",I28="—"),"—",E28-I28)</f>
        <v>0</v>
      </c>
      <c r="K28" t="str" s="49" cm="1">
        <f t="array" ref="K28">IF(E28="—",IF(L28=0,"Nadie lo trabaja","El Salvador no llega"),IF(L28=0,"Solo El Salvador",IF(J28&gt;0,"El Salvador llega más tarde",IF(J28&lt;0,"El Salvador va adelantado","Mismo grado"))))</f>
        <v>Mismo grado</v>
      </c>
      <c r="L28" s="80" cm="1">
        <f t="array" ref="L28">COUNT(F28:H28)</f>
        <v>1</v>
      </c>
      <c r="M28" s="110"/>
      <c r="N28" s="36" cm="1">
        <f t="array" ref="N28">_xlfn.COUNTIFS('Datos - Temas'!$C$5:$C$1264,"Ciencias",'Datos - Temas'!$B$5:$B$1264,N$3,'Datos - Temas'!$K$5:$K$1264,$A28)+_xlfn.COUNTIFS('Datos - Temas'!$C$5:$C$1264,"Ciencias",'Datos - Temas'!$B$5:$B$1264,N$3,'Datos - Temas'!$L$5:$L$1264,$A28)</f>
        <v>0</v>
      </c>
      <c r="O28" s="36" cm="1">
        <f t="array" ref="O28">_xlfn.COUNTIFS('Datos - Temas'!$C$5:$C$1264,"Ciencias",'Datos - Temas'!$B$5:$B$1264,O$3,'Datos - Temas'!$K$5:$K$1264,$A28)+_xlfn.COUNTIFS('Datos - Temas'!$C$5:$C$1264,"Ciencias",'Datos - Temas'!$B$5:$B$1264,O$3,'Datos - Temas'!$L$5:$L$1264,$A28)</f>
        <v>0</v>
      </c>
      <c r="P28" s="36" cm="1">
        <f t="array" ref="P28">_xlfn.COUNTIFS('Datos - Temas'!$C$5:$C$1264,"Ciencias",'Datos - Temas'!$B$5:$B$1264,P$3,'Datos - Temas'!$K$5:$K$1264,$A28)+_xlfn.COUNTIFS('Datos - Temas'!$C$5:$C$1264,"Ciencias",'Datos - Temas'!$B$5:$B$1264,P$3,'Datos - Temas'!$L$5:$L$1264,$A28)</f>
        <v>0</v>
      </c>
      <c r="Q28" s="36" cm="1">
        <f t="array" ref="Q28">_xlfn.COUNTIFS('Datos - Temas'!$C$5:$C$1264,"Ciencias",'Datos - Temas'!$B$5:$B$1264,Q$3,'Datos - Temas'!$K$5:$K$1264,$A28)+_xlfn.COUNTIFS('Datos - Temas'!$C$5:$C$1264,"Ciencias",'Datos - Temas'!$B$5:$B$1264,Q$3,'Datos - Temas'!$L$5:$L$1264,$A28)</f>
        <v>6</v>
      </c>
      <c r="R28" s="36" cm="1">
        <f t="array" ref="R28">_xlfn.COUNTIFS('Datos - Temas'!$C$5:$C$1264,"Ciencias",'Datos - Temas'!$B$5:$B$1264,R$3,'Datos - Temas'!$K$5:$K$1264,$A28)+_xlfn.COUNTIFS('Datos - Temas'!$C$5:$C$1264,"Ciencias",'Datos - Temas'!$B$5:$B$1264,R$3,'Datos - Temas'!$L$5:$L$1264,$A28)</f>
        <v>0</v>
      </c>
      <c r="S28" s="36" cm="1">
        <f t="array" ref="S28">_xlfn.COUNTIFS('Datos - Temas'!$C$5:$C$1264,"Ciencias",'Datos - Temas'!$B$5:$B$1264,S$3,'Datos - Temas'!$K$5:$K$1264,$A28)+_xlfn.COUNTIFS('Datos - Temas'!$C$5:$C$1264,"Ciencias",'Datos - Temas'!$B$5:$B$1264,S$3,'Datos - Temas'!$L$5:$L$1264,$A28)</f>
        <v>0</v>
      </c>
      <c r="T28" s="36" cm="1">
        <f t="array" ref="T28">_xlfn.COUNTIFS('Datos - Temas'!$C$5:$C$1264,"Ciencias",'Datos - Temas'!$B$5:$B$1264,T$3,'Datos - Temas'!$K$5:$K$1264,$A28)+_xlfn.COUNTIFS('Datos - Temas'!$C$5:$C$1264,"Ciencias",'Datos - Temas'!$B$5:$B$1264,T$3,'Datos - Temas'!$L$5:$L$1264,$A28)</f>
        <v>0</v>
      </c>
      <c r="U28" s="36" cm="1">
        <f t="array" ref="U28">_xlfn.COUNTIFS('Datos - Temas'!$C$5:$C$1264,"Ciencias",'Datos - Temas'!$B$5:$B$1264,U$3,'Datos - Temas'!$K$5:$K$1264,$A28)+_xlfn.COUNTIFS('Datos - Temas'!$C$5:$C$1264,"Ciencias",'Datos - Temas'!$B$5:$B$1264,U$3,'Datos - Temas'!$L$5:$L$1264,$A28)</f>
        <v>0</v>
      </c>
      <c r="V28" s="36" cm="1">
        <f t="array" ref="V28">_xlfn.COUNTIFS('Datos - Temas'!$C$5:$C$1264,"Ciencias",'Datos - Temas'!$B$5:$B$1264,V$3,'Datos - Temas'!$K$5:$K$1264,$A28)+_xlfn.COUNTIFS('Datos - Temas'!$C$5:$C$1264,"Ciencias",'Datos - Temas'!$B$5:$B$1264,V$3,'Datos - Temas'!$L$5:$L$1264,$A28)</f>
        <v>0</v>
      </c>
      <c r="W28" s="36" cm="1">
        <f t="array" ref="W28">_xlfn.COUNTIFS('Datos - Objetivos de países'!$B$5:$B$510,"Uruguay",'Datos - Objetivos de países'!$F$5:$F$510,W$3,'Datos - Objetivos de países'!$J$5:$J$510,$A28)+_xlfn.COUNTIFS('Datos - Objetivos de países'!$B$5:$B$510,"Uruguay",'Datos - Objetivos de países'!$F$5:$F$510,W$3,'Datos - Objetivos de países'!$K$5:$K$510,$A28)</f>
        <v>0</v>
      </c>
      <c r="X28" s="36" cm="1">
        <f t="array" ref="X28">_xlfn.COUNTIFS('Datos - Objetivos de países'!$B$5:$B$510,"Uruguay",'Datos - Objetivos de países'!$F$5:$F$510,X$3,'Datos - Objetivos de países'!$J$5:$J$510,$A28)+_xlfn.COUNTIFS('Datos - Objetivos de países'!$B$5:$B$510,"Uruguay",'Datos - Objetivos de países'!$F$5:$F$510,X$3,'Datos - Objetivos de países'!$K$5:$K$510,$A28)</f>
        <v>0</v>
      </c>
      <c r="Y28" s="36" cm="1">
        <f t="array" ref="Y28">_xlfn.COUNTIFS('Datos - Objetivos de países'!$B$5:$B$510,"Uruguay",'Datos - Objetivos de países'!$F$5:$F$510,Y$3,'Datos - Objetivos de países'!$J$5:$J$510,$A28)+_xlfn.COUNTIFS('Datos - Objetivos de países'!$B$5:$B$510,"Uruguay",'Datos - Objetivos de países'!$F$5:$F$510,Y$3,'Datos - Objetivos de países'!$K$5:$K$510,$A28)</f>
        <v>0</v>
      </c>
      <c r="Z28" s="36" cm="1">
        <f t="array" ref="Z28">_xlfn.COUNTIFS('Datos - Objetivos de países'!$B$5:$B$510,"Uruguay",'Datos - Objetivos de países'!$F$5:$F$510,Z$3,'Datos - Objetivos de países'!$J$5:$J$510,$A28)+_xlfn.COUNTIFS('Datos - Objetivos de países'!$B$5:$B$510,"Uruguay",'Datos - Objetivos de países'!$F$5:$F$510,Z$3,'Datos - Objetivos de países'!$K$5:$K$510,$A28)</f>
        <v>0</v>
      </c>
      <c r="AA28" s="36" cm="1">
        <f t="array" ref="AA28">_xlfn.COUNTIFS('Datos - Objetivos de países'!$B$5:$B$510,"Uruguay",'Datos - Objetivos de países'!$F$5:$F$510,AA$3,'Datos - Objetivos de países'!$J$5:$J$510,$A28)+_xlfn.COUNTIFS('Datos - Objetivos de países'!$B$5:$B$510,"Uruguay",'Datos - Objetivos de países'!$F$5:$F$510,AA$3,'Datos - Objetivos de países'!$K$5:$K$510,$A28)</f>
        <v>0</v>
      </c>
      <c r="AB28" s="36" cm="1">
        <f t="array" ref="AB28">_xlfn.COUNTIFS('Datos - Objetivos de países'!$B$5:$B$510,"Uruguay",'Datos - Objetivos de países'!$F$5:$F$510,AB$3,'Datos - Objetivos de países'!$J$5:$J$510,$A28)+_xlfn.COUNTIFS('Datos - Objetivos de países'!$B$5:$B$510,"Uruguay",'Datos - Objetivos de países'!$F$5:$F$510,AB$3,'Datos - Objetivos de países'!$K$5:$K$510,$A28)</f>
        <v>0</v>
      </c>
      <c r="AC28" s="36" cm="1">
        <f t="array" ref="AC28">_xlfn.COUNTIFS('Datos - Objetivos de países'!$B$5:$B$510,"Uruguay",'Datos - Objetivos de países'!$F$5:$F$510,AC$3,'Datos - Objetivos de países'!$J$5:$J$510,$A28)+_xlfn.COUNTIFS('Datos - Objetivos de países'!$B$5:$B$510,"Uruguay",'Datos - Objetivos de países'!$F$5:$F$510,AC$3,'Datos - Objetivos de países'!$K$5:$K$510,$A28)</f>
        <v>0</v>
      </c>
      <c r="AD28" s="36" cm="1">
        <f t="array" ref="AD28">_xlfn.COUNTIFS('Datos - Objetivos de países'!$B$5:$B$510,"Uruguay",'Datos - Objetivos de países'!$F$5:$F$510,AD$3,'Datos - Objetivos de países'!$J$5:$J$510,$A28)+_xlfn.COUNTIFS('Datos - Objetivos de países'!$B$5:$B$510,"Uruguay",'Datos - Objetivos de países'!$F$5:$F$510,AD$3,'Datos - Objetivos de países'!$K$5:$K$510,$A28)</f>
        <v>0</v>
      </c>
      <c r="AE28" s="36" cm="1">
        <f t="array" ref="AE28">_xlfn.COUNTIFS('Datos - Objetivos de países'!$B$5:$B$510,"Uruguay",'Datos - Objetivos de países'!$F$5:$F$510,AE$3,'Datos - Objetivos de países'!$J$5:$J$510,$A28)+_xlfn.COUNTIFS('Datos - Objetivos de países'!$B$5:$B$510,"Uruguay",'Datos - Objetivos de países'!$F$5:$F$510,AE$3,'Datos - Objetivos de países'!$K$5:$K$510,$A28)</f>
        <v>0</v>
      </c>
      <c r="AF28" s="36" cm="1">
        <f t="array" ref="AF28">_xlfn.COUNTIFS('Datos - Objetivos de países'!$B$5:$B$510,"Colombia",'Datos - Objetivos de países'!$F$5:$F$510,AF$3,'Datos - Objetivos de países'!$J$5:$J$510,$A28)+_xlfn.COUNTIFS('Datos - Objetivos de países'!$B$5:$B$510,"Colombia",'Datos - Objetivos de países'!$F$5:$F$510,AF$3,'Datos - Objetivos de países'!$K$5:$K$510,$A28)</f>
        <v>0</v>
      </c>
      <c r="AG28" s="36" cm="1">
        <f t="array" ref="AG28">_xlfn.COUNTIFS('Datos - Objetivos de países'!$B$5:$B$510,"Colombia",'Datos - Objetivos de países'!$F$5:$F$510,AG$3,'Datos - Objetivos de países'!$J$5:$J$510,$A28)+_xlfn.COUNTIFS('Datos - Objetivos de países'!$B$5:$B$510,"Colombia",'Datos - Objetivos de países'!$F$5:$F$510,AG$3,'Datos - Objetivos de países'!$K$5:$K$510,$A28)</f>
        <v>0</v>
      </c>
      <c r="AH28" s="36" cm="1">
        <f t="array" ref="AH28">_xlfn.COUNTIFS('Datos - Objetivos de países'!$B$5:$B$510,"Colombia",'Datos - Objetivos de países'!$F$5:$F$510,AH$3,'Datos - Objetivos de países'!$J$5:$J$510,$A28)+_xlfn.COUNTIFS('Datos - Objetivos de países'!$B$5:$B$510,"Colombia",'Datos - Objetivos de países'!$F$5:$F$510,AH$3,'Datos - Objetivos de países'!$K$5:$K$510,$A28)</f>
        <v>0</v>
      </c>
      <c r="AI28" s="36" cm="1">
        <f t="array" ref="AI28">_xlfn.COUNTIFS('Datos - Objetivos de países'!$B$5:$B$510,"Colombia",'Datos - Objetivos de países'!$F$5:$F$510,AI$3,'Datos - Objetivos de países'!$J$5:$J$510,$A28)+_xlfn.COUNTIFS('Datos - Objetivos de países'!$B$5:$B$510,"Colombia",'Datos - Objetivos de países'!$F$5:$F$510,AI$3,'Datos - Objetivos de países'!$K$5:$K$510,$A28)</f>
        <v>6</v>
      </c>
      <c r="AJ28" s="36" cm="1">
        <f t="array" ref="AJ28">_xlfn.COUNTIFS('Datos - Objetivos de países'!$B$5:$B$510,"Colombia",'Datos - Objetivos de países'!$F$5:$F$510,AJ$3,'Datos - Objetivos de países'!$J$5:$J$510,$A28)+_xlfn.COUNTIFS('Datos - Objetivos de países'!$B$5:$B$510,"Colombia",'Datos - Objetivos de países'!$F$5:$F$510,AJ$3,'Datos - Objetivos de países'!$K$5:$K$510,$A28)</f>
        <v>0</v>
      </c>
      <c r="AK28" s="36" cm="1">
        <f t="array" ref="AK28">_xlfn.COUNTIFS('Datos - Objetivos de países'!$B$5:$B$510,"Colombia",'Datos - Objetivos de países'!$F$5:$F$510,AK$3,'Datos - Objetivos de países'!$J$5:$J$510,$A28)+_xlfn.COUNTIFS('Datos - Objetivos de países'!$B$5:$B$510,"Colombia",'Datos - Objetivos de países'!$F$5:$F$510,AK$3,'Datos - Objetivos de países'!$K$5:$K$510,$A28)</f>
        <v>0</v>
      </c>
      <c r="AL28" s="36" cm="1">
        <f t="array" ref="AL28">_xlfn.COUNTIFS('Datos - Objetivos de países'!$B$5:$B$510,"Colombia",'Datos - Objetivos de países'!$F$5:$F$510,AL$3,'Datos - Objetivos de países'!$J$5:$J$510,$A28)+_xlfn.COUNTIFS('Datos - Objetivos de países'!$B$5:$B$510,"Colombia",'Datos - Objetivos de países'!$F$5:$F$510,AL$3,'Datos - Objetivos de países'!$K$5:$K$510,$A28)</f>
        <v>0</v>
      </c>
      <c r="AM28" s="36" cm="1">
        <f t="array" ref="AM28">_xlfn.COUNTIFS('Datos - Objetivos de países'!$B$5:$B$510,"Colombia",'Datos - Objetivos de países'!$F$5:$F$510,AM$3,'Datos - Objetivos de países'!$J$5:$J$510,$A28)+_xlfn.COUNTIFS('Datos - Objetivos de países'!$B$5:$B$510,"Colombia",'Datos - Objetivos de países'!$F$5:$F$510,AM$3,'Datos - Objetivos de países'!$K$5:$K$510,$A28)</f>
        <v>0</v>
      </c>
      <c r="AN28" s="36" cm="1">
        <f t="array" ref="AN28">_xlfn.COUNTIFS('Datos - Objetivos de países'!$B$5:$B$510,"Colombia",'Datos - Objetivos de países'!$F$5:$F$510,AN$3,'Datos - Objetivos de países'!$J$5:$J$510,$A28)+_xlfn.COUNTIFS('Datos - Objetivos de países'!$B$5:$B$510,"Colombia",'Datos - Objetivos de países'!$F$5:$F$510,AN$3,'Datos - Objetivos de países'!$K$5:$K$510,$A28)</f>
        <v>0</v>
      </c>
      <c r="AO28" s="36" cm="1">
        <f t="array" ref="AO28">_xlfn.COUNTIFS('Datos - Objetivos de países'!$B$5:$B$510,"Singapur",'Datos - Objetivos de países'!$F$5:$F$510,AO$3,'Datos - Objetivos de países'!$J$5:$J$510,$A28)+_xlfn.COUNTIFS('Datos - Objetivos de países'!$B$5:$B$510,"Singapur",'Datos - Objetivos de países'!$F$5:$F$510,AO$3,'Datos - Objetivos de países'!$K$5:$K$510,$A28)</f>
        <v>0</v>
      </c>
      <c r="AP28" s="36" cm="1">
        <f t="array" ref="AP28">_xlfn.COUNTIFS('Datos - Objetivos de países'!$B$5:$B$510,"Singapur",'Datos - Objetivos de países'!$F$5:$F$510,AP$3,'Datos - Objetivos de países'!$J$5:$J$510,$A28)+_xlfn.COUNTIFS('Datos - Objetivos de países'!$B$5:$B$510,"Singapur",'Datos - Objetivos de países'!$F$5:$F$510,AP$3,'Datos - Objetivos de países'!$K$5:$K$510,$A28)</f>
        <v>0</v>
      </c>
      <c r="AQ28" s="36" cm="1">
        <f t="array" ref="AQ28">_xlfn.COUNTIFS('Datos - Objetivos de países'!$B$5:$B$510,"Singapur",'Datos - Objetivos de países'!$F$5:$F$510,AQ$3,'Datos - Objetivos de países'!$J$5:$J$510,$A28)+_xlfn.COUNTIFS('Datos - Objetivos de países'!$B$5:$B$510,"Singapur",'Datos - Objetivos de países'!$F$5:$F$510,AQ$3,'Datos - Objetivos de países'!$K$5:$K$510,$A28)</f>
        <v>0</v>
      </c>
      <c r="AR28" s="36" cm="1">
        <f t="array" ref="AR28">_xlfn.COUNTIFS('Datos - Objetivos de países'!$B$5:$B$510,"Singapur",'Datos - Objetivos de países'!$F$5:$F$510,AR$3,'Datos - Objetivos de países'!$J$5:$J$510,$A28)+_xlfn.COUNTIFS('Datos - Objetivos de países'!$B$5:$B$510,"Singapur",'Datos - Objetivos de países'!$F$5:$F$510,AR$3,'Datos - Objetivos de países'!$K$5:$K$510,$A28)</f>
        <v>0</v>
      </c>
      <c r="AS28" s="36" cm="1">
        <f t="array" ref="AS28">_xlfn.COUNTIFS('Datos - Objetivos de países'!$B$5:$B$510,"Singapur",'Datos - Objetivos de países'!$F$5:$F$510,AS$3,'Datos - Objetivos de países'!$J$5:$J$510,$A28)+_xlfn.COUNTIFS('Datos - Objetivos de países'!$B$5:$B$510,"Singapur",'Datos - Objetivos de países'!$F$5:$F$510,AS$3,'Datos - Objetivos de países'!$K$5:$K$510,$A28)</f>
        <v>0</v>
      </c>
      <c r="AT28" s="36" cm="1">
        <f t="array" ref="AT28">_xlfn.COUNTIFS('Datos - Objetivos de países'!$B$5:$B$510,"Singapur",'Datos - Objetivos de países'!$F$5:$F$510,AT$3,'Datos - Objetivos de países'!$J$5:$J$510,$A28)+_xlfn.COUNTIFS('Datos - Objetivos de países'!$B$5:$B$510,"Singapur",'Datos - Objetivos de países'!$F$5:$F$510,AT$3,'Datos - Objetivos de países'!$K$5:$K$510,$A28)</f>
        <v>0</v>
      </c>
      <c r="AU28" s="36" cm="1">
        <f t="array" ref="AU28">_xlfn.COUNTIFS('Datos - Objetivos de países'!$B$5:$B$510,"Singapur",'Datos - Objetivos de países'!$F$5:$F$510,AU$3,'Datos - Objetivos de países'!$J$5:$J$510,$A28)+_xlfn.COUNTIFS('Datos - Objetivos de países'!$B$5:$B$510,"Singapur",'Datos - Objetivos de países'!$F$5:$F$510,AU$3,'Datos - Objetivos de países'!$K$5:$K$510,$A28)</f>
        <v>0</v>
      </c>
      <c r="AV28" s="36" cm="1">
        <f t="array" ref="AV28">_xlfn.COUNTIFS('Datos - Objetivos de países'!$B$5:$B$510,"Singapur",'Datos - Objetivos de países'!$F$5:$F$510,AV$3,'Datos - Objetivos de países'!$J$5:$J$510,$A28)+_xlfn.COUNTIFS('Datos - Objetivos de países'!$B$5:$B$510,"Singapur",'Datos - Objetivos de países'!$F$5:$F$510,AV$3,'Datos - Objetivos de países'!$K$5:$K$510,$A28)</f>
        <v>0</v>
      </c>
      <c r="AW28" s="36" cm="1">
        <f t="array" ref="AW28">_xlfn.COUNTIFS('Datos - Objetivos de países'!$B$5:$B$510,"Singapur",'Datos - Objetivos de países'!$F$5:$F$510,AW$3,'Datos - Objetivos de países'!$J$5:$J$510,$A28)+_xlfn.COUNTIFS('Datos - Objetivos de países'!$B$5:$B$510,"Singapur",'Datos - Objetivos de países'!$F$5:$F$510,AW$3,'Datos - Objetivos de países'!$K$5:$K$510,$A28)</f>
        <v>0</v>
      </c>
    </row>
    <row r="29" ht="13.65" customHeight="1">
      <c r="A29" t="s" s="78">
        <v>1136</v>
      </c>
      <c r="B29" t="s" s="78">
        <v>1055</v>
      </c>
      <c r="C29" t="s" s="78">
        <v>213</v>
      </c>
      <c r="D29" t="s" s="78">
        <v>1138</v>
      </c>
      <c r="E29" s="80" cm="1">
        <f t="array" ref="E29">_xlfn.IFERROR(MAX($L$3,INDEX($N$3:$V$3,MATCH(TRUE,INDEX(N29:V29&gt;0,0),0))),"—")</f>
        <v>2</v>
      </c>
      <c r="F29" s="80" cm="1">
        <f t="array" ref="F29">_xlfn.IFERROR(MAX($L$3,INDEX($W$3:$AE$3,MATCH(TRUE,INDEX(W29:AE29&gt;0,0),0))),"—")</f>
        <v>3</v>
      </c>
      <c r="G29" s="80" cm="1">
        <f t="array" ref="G29">_xlfn.IFERROR(MAX($L$3,INDEX($AF$3:$AN$3,MATCH(TRUE,INDEX(AF29:AN29&gt;0,0),0))),"—")</f>
        <v>2</v>
      </c>
      <c r="H29" s="80" cm="1">
        <f t="array" ref="H29">_xlfn.IFERROR(MAX($L$3,INDEX($AO$3:$AW$3,MATCH(TRUE,INDEX(AO29:AW29&gt;0,0),0))),"—")</f>
        <v>3</v>
      </c>
      <c r="I29" s="111" cm="1">
        <f t="array" ref="I29">IF(L29=0,"—",MEDIAN(F29:H29))</f>
        <v>3</v>
      </c>
      <c r="J29" s="111" cm="1">
        <f t="array" ref="J29">IF(OR(E29="—",I29="—"),"—",E29-I29)</f>
        <v>-1</v>
      </c>
      <c r="K29" t="str" s="49" cm="1">
        <f t="array" ref="K29">IF(E29="—",IF(L29=0,"Nadie lo trabaja","El Salvador no llega"),IF(L29=0,"Solo El Salvador",IF(J29&gt;0,"El Salvador llega más tarde",IF(J29&lt;0,"El Salvador va adelantado","Mismo grado"))))</f>
        <v>El Salvador va adelantado</v>
      </c>
      <c r="L29" s="80" cm="1">
        <f t="array" ref="L29">COUNT(F29:H29)</f>
        <v>3</v>
      </c>
      <c r="M29" s="110"/>
      <c r="N29" s="36" cm="1">
        <f t="array" ref="N29">_xlfn.COUNTIFS('Datos - Temas'!$C$5:$C$1264,"Ciencias",'Datos - Temas'!$B$5:$B$1264,N$3,'Datos - Temas'!$K$5:$K$1264,$A29)+_xlfn.COUNTIFS('Datos - Temas'!$C$5:$C$1264,"Ciencias",'Datos - Temas'!$B$5:$B$1264,N$3,'Datos - Temas'!$L$5:$L$1264,$A29)</f>
        <v>0</v>
      </c>
      <c r="O29" s="36" cm="1">
        <f t="array" ref="O29">_xlfn.COUNTIFS('Datos - Temas'!$C$5:$C$1264,"Ciencias",'Datos - Temas'!$B$5:$B$1264,O$3,'Datos - Temas'!$K$5:$K$1264,$A29)+_xlfn.COUNTIFS('Datos - Temas'!$C$5:$C$1264,"Ciencias",'Datos - Temas'!$B$5:$B$1264,O$3,'Datos - Temas'!$L$5:$L$1264,$A29)</f>
        <v>8</v>
      </c>
      <c r="P29" s="36" cm="1">
        <f t="array" ref="P29">_xlfn.COUNTIFS('Datos - Temas'!$C$5:$C$1264,"Ciencias",'Datos - Temas'!$B$5:$B$1264,P$3,'Datos - Temas'!$K$5:$K$1264,$A29)+_xlfn.COUNTIFS('Datos - Temas'!$C$5:$C$1264,"Ciencias",'Datos - Temas'!$B$5:$B$1264,P$3,'Datos - Temas'!$L$5:$L$1264,$A29)</f>
        <v>6</v>
      </c>
      <c r="Q29" s="36" cm="1">
        <f t="array" ref="Q29">_xlfn.COUNTIFS('Datos - Temas'!$C$5:$C$1264,"Ciencias",'Datos - Temas'!$B$5:$B$1264,Q$3,'Datos - Temas'!$K$5:$K$1264,$A29)+_xlfn.COUNTIFS('Datos - Temas'!$C$5:$C$1264,"Ciencias",'Datos - Temas'!$B$5:$B$1264,Q$3,'Datos - Temas'!$L$5:$L$1264,$A29)</f>
        <v>0</v>
      </c>
      <c r="R29" s="36" cm="1">
        <f t="array" ref="R29">_xlfn.COUNTIFS('Datos - Temas'!$C$5:$C$1264,"Ciencias",'Datos - Temas'!$B$5:$B$1264,R$3,'Datos - Temas'!$K$5:$K$1264,$A29)+_xlfn.COUNTIFS('Datos - Temas'!$C$5:$C$1264,"Ciencias",'Datos - Temas'!$B$5:$B$1264,R$3,'Datos - Temas'!$L$5:$L$1264,$A29)</f>
        <v>0</v>
      </c>
      <c r="S29" s="36" cm="1">
        <f t="array" ref="S29">_xlfn.COUNTIFS('Datos - Temas'!$C$5:$C$1264,"Ciencias",'Datos - Temas'!$B$5:$B$1264,S$3,'Datos - Temas'!$K$5:$K$1264,$A29)+_xlfn.COUNTIFS('Datos - Temas'!$C$5:$C$1264,"Ciencias",'Datos - Temas'!$B$5:$B$1264,S$3,'Datos - Temas'!$L$5:$L$1264,$A29)</f>
        <v>0</v>
      </c>
      <c r="T29" s="36" cm="1">
        <f t="array" ref="T29">_xlfn.COUNTIFS('Datos - Temas'!$C$5:$C$1264,"Ciencias",'Datos - Temas'!$B$5:$B$1264,T$3,'Datos - Temas'!$K$5:$K$1264,$A29)+_xlfn.COUNTIFS('Datos - Temas'!$C$5:$C$1264,"Ciencias",'Datos - Temas'!$B$5:$B$1264,T$3,'Datos - Temas'!$L$5:$L$1264,$A29)</f>
        <v>0</v>
      </c>
      <c r="U29" s="36" cm="1">
        <f t="array" ref="U29">_xlfn.COUNTIFS('Datos - Temas'!$C$5:$C$1264,"Ciencias",'Datos - Temas'!$B$5:$B$1264,U$3,'Datos - Temas'!$K$5:$K$1264,$A29)+_xlfn.COUNTIFS('Datos - Temas'!$C$5:$C$1264,"Ciencias",'Datos - Temas'!$B$5:$B$1264,U$3,'Datos - Temas'!$L$5:$L$1264,$A29)</f>
        <v>0</v>
      </c>
      <c r="V29" s="36" cm="1">
        <f t="array" ref="V29">_xlfn.COUNTIFS('Datos - Temas'!$C$5:$C$1264,"Ciencias",'Datos - Temas'!$B$5:$B$1264,V$3,'Datos - Temas'!$K$5:$K$1264,$A29)+_xlfn.COUNTIFS('Datos - Temas'!$C$5:$C$1264,"Ciencias",'Datos - Temas'!$B$5:$B$1264,V$3,'Datos - Temas'!$L$5:$L$1264,$A29)</f>
        <v>0</v>
      </c>
      <c r="W29" s="36" cm="1">
        <f t="array" ref="W29">_xlfn.COUNTIFS('Datos - Objetivos de países'!$B$5:$B$510,"Uruguay",'Datos - Objetivos de países'!$F$5:$F$510,W$3,'Datos - Objetivos de países'!$J$5:$J$510,$A29)+_xlfn.COUNTIFS('Datos - Objetivos de países'!$B$5:$B$510,"Uruguay",'Datos - Objetivos de países'!$F$5:$F$510,W$3,'Datos - Objetivos de países'!$K$5:$K$510,$A29)</f>
        <v>0</v>
      </c>
      <c r="X29" s="36" cm="1">
        <f t="array" ref="X29">_xlfn.COUNTIFS('Datos - Objetivos de países'!$B$5:$B$510,"Uruguay",'Datos - Objetivos de países'!$F$5:$F$510,X$3,'Datos - Objetivos de países'!$J$5:$J$510,$A29)+_xlfn.COUNTIFS('Datos - Objetivos de países'!$B$5:$B$510,"Uruguay",'Datos - Objetivos de países'!$F$5:$F$510,X$3,'Datos - Objetivos de países'!$K$5:$K$510,$A29)</f>
        <v>0</v>
      </c>
      <c r="Y29" s="36" cm="1">
        <f t="array" ref="Y29">_xlfn.COUNTIFS('Datos - Objetivos de países'!$B$5:$B$510,"Uruguay",'Datos - Objetivos de países'!$F$5:$F$510,Y$3,'Datos - Objetivos de países'!$J$5:$J$510,$A29)+_xlfn.COUNTIFS('Datos - Objetivos de países'!$B$5:$B$510,"Uruguay",'Datos - Objetivos de países'!$F$5:$F$510,Y$3,'Datos - Objetivos de países'!$K$5:$K$510,$A29)</f>
        <v>1</v>
      </c>
      <c r="Z29" s="36" cm="1">
        <f t="array" ref="Z29">_xlfn.COUNTIFS('Datos - Objetivos de países'!$B$5:$B$510,"Uruguay",'Datos - Objetivos de países'!$F$5:$F$510,Z$3,'Datos - Objetivos de países'!$J$5:$J$510,$A29)+_xlfn.COUNTIFS('Datos - Objetivos de países'!$B$5:$B$510,"Uruguay",'Datos - Objetivos de países'!$F$5:$F$510,Z$3,'Datos - Objetivos de países'!$K$5:$K$510,$A29)</f>
        <v>2</v>
      </c>
      <c r="AA29" s="36" cm="1">
        <f t="array" ref="AA29">_xlfn.COUNTIFS('Datos - Objetivos de países'!$B$5:$B$510,"Uruguay",'Datos - Objetivos de países'!$F$5:$F$510,AA$3,'Datos - Objetivos de países'!$J$5:$J$510,$A29)+_xlfn.COUNTIFS('Datos - Objetivos de países'!$B$5:$B$510,"Uruguay",'Datos - Objetivos de países'!$F$5:$F$510,AA$3,'Datos - Objetivos de países'!$K$5:$K$510,$A29)</f>
        <v>0</v>
      </c>
      <c r="AB29" s="36" cm="1">
        <f t="array" ref="AB29">_xlfn.COUNTIFS('Datos - Objetivos de países'!$B$5:$B$510,"Uruguay",'Datos - Objetivos de países'!$F$5:$F$510,AB$3,'Datos - Objetivos de países'!$J$5:$J$510,$A29)+_xlfn.COUNTIFS('Datos - Objetivos de países'!$B$5:$B$510,"Uruguay",'Datos - Objetivos de países'!$F$5:$F$510,AB$3,'Datos - Objetivos de países'!$K$5:$K$510,$A29)</f>
        <v>0</v>
      </c>
      <c r="AC29" s="36" cm="1">
        <f t="array" ref="AC29">_xlfn.COUNTIFS('Datos - Objetivos de países'!$B$5:$B$510,"Uruguay",'Datos - Objetivos de países'!$F$5:$F$510,AC$3,'Datos - Objetivos de países'!$J$5:$J$510,$A29)+_xlfn.COUNTIFS('Datos - Objetivos de países'!$B$5:$B$510,"Uruguay",'Datos - Objetivos de países'!$F$5:$F$510,AC$3,'Datos - Objetivos de países'!$K$5:$K$510,$A29)</f>
        <v>0</v>
      </c>
      <c r="AD29" s="36" cm="1">
        <f t="array" ref="AD29">_xlfn.COUNTIFS('Datos - Objetivos de países'!$B$5:$B$510,"Uruguay",'Datos - Objetivos de países'!$F$5:$F$510,AD$3,'Datos - Objetivos de países'!$J$5:$J$510,$A29)+_xlfn.COUNTIFS('Datos - Objetivos de países'!$B$5:$B$510,"Uruguay",'Datos - Objetivos de países'!$F$5:$F$510,AD$3,'Datos - Objetivos de países'!$K$5:$K$510,$A29)</f>
        <v>0</v>
      </c>
      <c r="AE29" s="36" cm="1">
        <f t="array" ref="AE29">_xlfn.COUNTIFS('Datos - Objetivos de países'!$B$5:$B$510,"Uruguay",'Datos - Objetivos de países'!$F$5:$F$510,AE$3,'Datos - Objetivos de países'!$J$5:$J$510,$A29)+_xlfn.COUNTIFS('Datos - Objetivos de países'!$B$5:$B$510,"Uruguay",'Datos - Objetivos de países'!$F$5:$F$510,AE$3,'Datos - Objetivos de países'!$K$5:$K$510,$A29)</f>
        <v>0</v>
      </c>
      <c r="AF29" s="36" cm="1">
        <f t="array" ref="AF29">_xlfn.COUNTIFS('Datos - Objetivos de países'!$B$5:$B$510,"Colombia",'Datos - Objetivos de países'!$F$5:$F$510,AF$3,'Datos - Objetivos de países'!$J$5:$J$510,$A29)+_xlfn.COUNTIFS('Datos - Objetivos de países'!$B$5:$B$510,"Colombia",'Datos - Objetivos de países'!$F$5:$F$510,AF$3,'Datos - Objetivos de países'!$K$5:$K$510,$A29)</f>
        <v>6</v>
      </c>
      <c r="AG29" s="36" cm="1">
        <f t="array" ref="AG29">_xlfn.COUNTIFS('Datos - Objetivos de países'!$B$5:$B$510,"Colombia",'Datos - Objetivos de países'!$F$5:$F$510,AG$3,'Datos - Objetivos de países'!$J$5:$J$510,$A29)+_xlfn.COUNTIFS('Datos - Objetivos de países'!$B$5:$B$510,"Colombia",'Datos - Objetivos de países'!$F$5:$F$510,AG$3,'Datos - Objetivos de países'!$K$5:$K$510,$A29)</f>
        <v>0</v>
      </c>
      <c r="AH29" s="36" cm="1">
        <f t="array" ref="AH29">_xlfn.COUNTIFS('Datos - Objetivos de países'!$B$5:$B$510,"Colombia",'Datos - Objetivos de países'!$F$5:$F$510,AH$3,'Datos - Objetivos de países'!$J$5:$J$510,$A29)+_xlfn.COUNTIFS('Datos - Objetivos de países'!$B$5:$B$510,"Colombia",'Datos - Objetivos de países'!$F$5:$F$510,AH$3,'Datos - Objetivos de países'!$K$5:$K$510,$A29)</f>
        <v>0</v>
      </c>
      <c r="AI29" s="36" cm="1">
        <f t="array" ref="AI29">_xlfn.COUNTIFS('Datos - Objetivos de países'!$B$5:$B$510,"Colombia",'Datos - Objetivos de países'!$F$5:$F$510,AI$3,'Datos - Objetivos de países'!$J$5:$J$510,$A29)+_xlfn.COUNTIFS('Datos - Objetivos de países'!$B$5:$B$510,"Colombia",'Datos - Objetivos de países'!$F$5:$F$510,AI$3,'Datos - Objetivos de países'!$K$5:$K$510,$A29)</f>
        <v>6</v>
      </c>
      <c r="AJ29" s="36" cm="1">
        <f t="array" ref="AJ29">_xlfn.COUNTIFS('Datos - Objetivos de países'!$B$5:$B$510,"Colombia",'Datos - Objetivos de países'!$F$5:$F$510,AJ$3,'Datos - Objetivos de países'!$J$5:$J$510,$A29)+_xlfn.COUNTIFS('Datos - Objetivos de países'!$B$5:$B$510,"Colombia",'Datos - Objetivos de países'!$F$5:$F$510,AJ$3,'Datos - Objetivos de países'!$K$5:$K$510,$A29)</f>
        <v>0</v>
      </c>
      <c r="AK29" s="36" cm="1">
        <f t="array" ref="AK29">_xlfn.COUNTIFS('Datos - Objetivos de países'!$B$5:$B$510,"Colombia",'Datos - Objetivos de países'!$F$5:$F$510,AK$3,'Datos - Objetivos de países'!$J$5:$J$510,$A29)+_xlfn.COUNTIFS('Datos - Objetivos de países'!$B$5:$B$510,"Colombia",'Datos - Objetivos de países'!$F$5:$F$510,AK$3,'Datos - Objetivos de países'!$K$5:$K$510,$A29)</f>
        <v>0</v>
      </c>
      <c r="AL29" s="36" cm="1">
        <f t="array" ref="AL29">_xlfn.COUNTIFS('Datos - Objetivos de países'!$B$5:$B$510,"Colombia",'Datos - Objetivos de países'!$F$5:$F$510,AL$3,'Datos - Objetivos de países'!$J$5:$J$510,$A29)+_xlfn.COUNTIFS('Datos - Objetivos de países'!$B$5:$B$510,"Colombia",'Datos - Objetivos de países'!$F$5:$F$510,AL$3,'Datos - Objetivos de países'!$K$5:$K$510,$A29)</f>
        <v>0</v>
      </c>
      <c r="AM29" s="36" cm="1">
        <f t="array" ref="AM29">_xlfn.COUNTIFS('Datos - Objetivos de países'!$B$5:$B$510,"Colombia",'Datos - Objetivos de países'!$F$5:$F$510,AM$3,'Datos - Objetivos de países'!$J$5:$J$510,$A29)+_xlfn.COUNTIFS('Datos - Objetivos de países'!$B$5:$B$510,"Colombia",'Datos - Objetivos de países'!$F$5:$F$510,AM$3,'Datos - Objetivos de países'!$K$5:$K$510,$A29)</f>
        <v>0</v>
      </c>
      <c r="AN29" s="36" cm="1">
        <f t="array" ref="AN29">_xlfn.COUNTIFS('Datos - Objetivos de países'!$B$5:$B$510,"Colombia",'Datos - Objetivos de países'!$F$5:$F$510,AN$3,'Datos - Objetivos de países'!$J$5:$J$510,$A29)+_xlfn.COUNTIFS('Datos - Objetivos de países'!$B$5:$B$510,"Colombia",'Datos - Objetivos de países'!$F$5:$F$510,AN$3,'Datos - Objetivos de países'!$K$5:$K$510,$A29)</f>
        <v>0</v>
      </c>
      <c r="AO29" s="36" cm="1">
        <f t="array" ref="AO29">_xlfn.COUNTIFS('Datos - Objetivos de países'!$B$5:$B$510,"Singapur",'Datos - Objetivos de países'!$F$5:$F$510,AO$3,'Datos - Objetivos de países'!$J$5:$J$510,$A29)+_xlfn.COUNTIFS('Datos - Objetivos de países'!$B$5:$B$510,"Singapur",'Datos - Objetivos de países'!$F$5:$F$510,AO$3,'Datos - Objetivos de países'!$K$5:$K$510,$A29)</f>
        <v>0</v>
      </c>
      <c r="AP29" s="36" cm="1">
        <f t="array" ref="AP29">_xlfn.COUNTIFS('Datos - Objetivos de países'!$B$5:$B$510,"Singapur",'Datos - Objetivos de países'!$F$5:$F$510,AP$3,'Datos - Objetivos de países'!$J$5:$J$510,$A29)+_xlfn.COUNTIFS('Datos - Objetivos de países'!$B$5:$B$510,"Singapur",'Datos - Objetivos de países'!$F$5:$F$510,AP$3,'Datos - Objetivos de países'!$K$5:$K$510,$A29)</f>
        <v>0</v>
      </c>
      <c r="AQ29" s="36" cm="1">
        <f t="array" ref="AQ29">_xlfn.COUNTIFS('Datos - Objetivos de países'!$B$5:$B$510,"Singapur",'Datos - Objetivos de países'!$F$5:$F$510,AQ$3,'Datos - Objetivos de países'!$J$5:$J$510,$A29)+_xlfn.COUNTIFS('Datos - Objetivos de países'!$B$5:$B$510,"Singapur",'Datos - Objetivos de países'!$F$5:$F$510,AQ$3,'Datos - Objetivos de países'!$K$5:$K$510,$A29)</f>
        <v>6</v>
      </c>
      <c r="AR29" s="36" cm="1">
        <f t="array" ref="AR29">_xlfn.COUNTIFS('Datos - Objetivos de países'!$B$5:$B$510,"Singapur",'Datos - Objetivos de países'!$F$5:$F$510,AR$3,'Datos - Objetivos de países'!$J$5:$J$510,$A29)+_xlfn.COUNTIFS('Datos - Objetivos de países'!$B$5:$B$510,"Singapur",'Datos - Objetivos de países'!$F$5:$F$510,AR$3,'Datos - Objetivos de países'!$K$5:$K$510,$A29)</f>
        <v>3</v>
      </c>
      <c r="AS29" s="36" cm="1">
        <f t="array" ref="AS29">_xlfn.COUNTIFS('Datos - Objetivos de países'!$B$5:$B$510,"Singapur",'Datos - Objetivos de países'!$F$5:$F$510,AS$3,'Datos - Objetivos de países'!$J$5:$J$510,$A29)+_xlfn.COUNTIFS('Datos - Objetivos de países'!$B$5:$B$510,"Singapur",'Datos - Objetivos de países'!$F$5:$F$510,AS$3,'Datos - Objetivos de países'!$K$5:$K$510,$A29)</f>
        <v>0</v>
      </c>
      <c r="AT29" s="36" cm="1">
        <f t="array" ref="AT29">_xlfn.COUNTIFS('Datos - Objetivos de países'!$B$5:$B$510,"Singapur",'Datos - Objetivos de países'!$F$5:$F$510,AT$3,'Datos - Objetivos de países'!$J$5:$J$510,$A29)+_xlfn.COUNTIFS('Datos - Objetivos de países'!$B$5:$B$510,"Singapur",'Datos - Objetivos de países'!$F$5:$F$510,AT$3,'Datos - Objetivos de países'!$K$5:$K$510,$A29)</f>
        <v>0</v>
      </c>
      <c r="AU29" s="36" cm="1">
        <f t="array" ref="AU29">_xlfn.COUNTIFS('Datos - Objetivos de países'!$B$5:$B$510,"Singapur",'Datos - Objetivos de países'!$F$5:$F$510,AU$3,'Datos - Objetivos de países'!$J$5:$J$510,$A29)+_xlfn.COUNTIFS('Datos - Objetivos de países'!$B$5:$B$510,"Singapur",'Datos - Objetivos de países'!$F$5:$F$510,AU$3,'Datos - Objetivos de países'!$K$5:$K$510,$A29)</f>
        <v>0</v>
      </c>
      <c r="AV29" s="36" cm="1">
        <f t="array" ref="AV29">_xlfn.COUNTIFS('Datos - Objetivos de países'!$B$5:$B$510,"Singapur",'Datos - Objetivos de países'!$F$5:$F$510,AV$3,'Datos - Objetivos de países'!$J$5:$J$510,$A29)+_xlfn.COUNTIFS('Datos - Objetivos de países'!$B$5:$B$510,"Singapur",'Datos - Objetivos de países'!$F$5:$F$510,AV$3,'Datos - Objetivos de países'!$K$5:$K$510,$A29)</f>
        <v>0</v>
      </c>
      <c r="AW29" s="36" cm="1">
        <f t="array" ref="AW29">_xlfn.COUNTIFS('Datos - Objetivos de países'!$B$5:$B$510,"Singapur",'Datos - Objetivos de países'!$F$5:$F$510,AW$3,'Datos - Objetivos de países'!$J$5:$J$510,$A29)+_xlfn.COUNTIFS('Datos - Objetivos de países'!$B$5:$B$510,"Singapur",'Datos - Objetivos de países'!$F$5:$F$510,AW$3,'Datos - Objetivos de países'!$K$5:$K$510,$A29)</f>
        <v>0</v>
      </c>
    </row>
    <row r="30" ht="13.65" customHeight="1">
      <c r="A30" t="s" s="78">
        <v>288</v>
      </c>
      <c r="B30" t="s" s="78">
        <v>1055</v>
      </c>
      <c r="C30" t="s" s="78">
        <v>216</v>
      </c>
      <c r="D30" t="s" s="78">
        <v>1141</v>
      </c>
      <c r="E30" s="80" cm="1">
        <f t="array" ref="E30">_xlfn.IFERROR(MAX($L$3,INDEX($N$3:$V$3,MATCH(TRUE,INDEX(N30:V30&gt;0,0),0))),"—")</f>
        <v>3</v>
      </c>
      <c r="F30" s="80" cm="1">
        <f t="array" ref="F30">_xlfn.IFERROR(MAX($L$3,INDEX($W$3:$AE$3,MATCH(TRUE,INDEX(W30:AE30&gt;0,0),0))),"—")</f>
        <v>3</v>
      </c>
      <c r="G30" s="80" cm="1">
        <f t="array" ref="G30">_xlfn.IFERROR(MAX($L$3,INDEX($AF$3:$AN$3,MATCH(TRUE,INDEX(AF30:AN30&gt;0,0),0))),"—")</f>
        <v>4</v>
      </c>
      <c r="H30" t="str" s="79" cm="1">
        <f t="array" ref="H30">_xlfn.IFERROR(MAX($L$3,INDEX($AO$3:$AW$3,MATCH(TRUE,INDEX(AO30:AW30&gt;0,0),0))),"—")</f>
        <v>—</v>
      </c>
      <c r="I30" s="111" cm="1">
        <f t="array" ref="I30">IF(L30=0,"—",MEDIAN(F30:H30))</f>
        <v>3.5</v>
      </c>
      <c r="J30" s="111" cm="1">
        <f t="array" ref="J30">IF(OR(E30="—",I30="—"),"—",E30-I30)</f>
        <v>-0.5</v>
      </c>
      <c r="K30" t="str" s="49" cm="1">
        <f t="array" ref="K30">IF(E30="—",IF(L30=0,"Nadie lo trabaja","El Salvador no llega"),IF(L30=0,"Solo El Salvador",IF(J30&gt;0,"El Salvador llega más tarde",IF(J30&lt;0,"El Salvador va adelantado","Mismo grado"))))</f>
        <v>El Salvador va adelantado</v>
      </c>
      <c r="L30" s="80" cm="1">
        <f t="array" ref="L30">COUNT(F30:H30)</f>
        <v>2</v>
      </c>
      <c r="M30" s="110"/>
      <c r="N30" s="36" cm="1">
        <f t="array" ref="N30">_xlfn.COUNTIFS('Datos - Temas'!$C$5:$C$1264,"Ciencias",'Datos - Temas'!$B$5:$B$1264,N$3,'Datos - Temas'!$K$5:$K$1264,$A30)+_xlfn.COUNTIFS('Datos - Temas'!$C$5:$C$1264,"Ciencias",'Datos - Temas'!$B$5:$B$1264,N$3,'Datos - Temas'!$L$5:$L$1264,$A30)</f>
        <v>0</v>
      </c>
      <c r="O30" s="36" cm="1">
        <f t="array" ref="O30">_xlfn.COUNTIFS('Datos - Temas'!$C$5:$C$1264,"Ciencias",'Datos - Temas'!$B$5:$B$1264,O$3,'Datos - Temas'!$K$5:$K$1264,$A30)+_xlfn.COUNTIFS('Datos - Temas'!$C$5:$C$1264,"Ciencias",'Datos - Temas'!$B$5:$B$1264,O$3,'Datos - Temas'!$L$5:$L$1264,$A30)</f>
        <v>0</v>
      </c>
      <c r="P30" s="36" cm="1">
        <f t="array" ref="P30">_xlfn.COUNTIFS('Datos - Temas'!$C$5:$C$1264,"Ciencias",'Datos - Temas'!$B$5:$B$1264,P$3,'Datos - Temas'!$K$5:$K$1264,$A30)+_xlfn.COUNTIFS('Datos - Temas'!$C$5:$C$1264,"Ciencias",'Datos - Temas'!$B$5:$B$1264,P$3,'Datos - Temas'!$L$5:$L$1264,$A30)</f>
        <v>6</v>
      </c>
      <c r="Q30" s="36" cm="1">
        <f t="array" ref="Q30">_xlfn.COUNTIFS('Datos - Temas'!$C$5:$C$1264,"Ciencias",'Datos - Temas'!$B$5:$B$1264,Q$3,'Datos - Temas'!$K$5:$K$1264,$A30)+_xlfn.COUNTIFS('Datos - Temas'!$C$5:$C$1264,"Ciencias",'Datos - Temas'!$B$5:$B$1264,Q$3,'Datos - Temas'!$L$5:$L$1264,$A30)</f>
        <v>0</v>
      </c>
      <c r="R30" s="36" cm="1">
        <f t="array" ref="R30">_xlfn.COUNTIFS('Datos - Temas'!$C$5:$C$1264,"Ciencias",'Datos - Temas'!$B$5:$B$1264,R$3,'Datos - Temas'!$K$5:$K$1264,$A30)+_xlfn.COUNTIFS('Datos - Temas'!$C$5:$C$1264,"Ciencias",'Datos - Temas'!$B$5:$B$1264,R$3,'Datos - Temas'!$L$5:$L$1264,$A30)</f>
        <v>0</v>
      </c>
      <c r="S30" s="36" cm="1">
        <f t="array" ref="S30">_xlfn.COUNTIFS('Datos - Temas'!$C$5:$C$1264,"Ciencias",'Datos - Temas'!$B$5:$B$1264,S$3,'Datos - Temas'!$K$5:$K$1264,$A30)+_xlfn.COUNTIFS('Datos - Temas'!$C$5:$C$1264,"Ciencias",'Datos - Temas'!$B$5:$B$1264,S$3,'Datos - Temas'!$L$5:$L$1264,$A30)</f>
        <v>0</v>
      </c>
      <c r="T30" s="36" cm="1">
        <f t="array" ref="T30">_xlfn.COUNTIFS('Datos - Temas'!$C$5:$C$1264,"Ciencias",'Datos - Temas'!$B$5:$B$1264,T$3,'Datos - Temas'!$K$5:$K$1264,$A30)+_xlfn.COUNTIFS('Datos - Temas'!$C$5:$C$1264,"Ciencias",'Datos - Temas'!$B$5:$B$1264,T$3,'Datos - Temas'!$L$5:$L$1264,$A30)</f>
        <v>0</v>
      </c>
      <c r="U30" s="36" cm="1">
        <f t="array" ref="U30">_xlfn.COUNTIFS('Datos - Temas'!$C$5:$C$1264,"Ciencias",'Datos - Temas'!$B$5:$B$1264,U$3,'Datos - Temas'!$K$5:$K$1264,$A30)+_xlfn.COUNTIFS('Datos - Temas'!$C$5:$C$1264,"Ciencias",'Datos - Temas'!$B$5:$B$1264,U$3,'Datos - Temas'!$L$5:$L$1264,$A30)</f>
        <v>0</v>
      </c>
      <c r="V30" s="36" cm="1">
        <f t="array" ref="V30">_xlfn.COUNTIFS('Datos - Temas'!$C$5:$C$1264,"Ciencias",'Datos - Temas'!$B$5:$B$1264,V$3,'Datos - Temas'!$K$5:$K$1264,$A30)+_xlfn.COUNTIFS('Datos - Temas'!$C$5:$C$1264,"Ciencias",'Datos - Temas'!$B$5:$B$1264,V$3,'Datos - Temas'!$L$5:$L$1264,$A30)</f>
        <v>0</v>
      </c>
      <c r="W30" s="36" cm="1">
        <f t="array" ref="W30">_xlfn.COUNTIFS('Datos - Objetivos de países'!$B$5:$B$510,"Uruguay",'Datos - Objetivos de países'!$F$5:$F$510,W$3,'Datos - Objetivos de países'!$J$5:$J$510,$A30)+_xlfn.COUNTIFS('Datos - Objetivos de países'!$B$5:$B$510,"Uruguay",'Datos - Objetivos de países'!$F$5:$F$510,W$3,'Datos - Objetivos de países'!$K$5:$K$510,$A30)</f>
        <v>0</v>
      </c>
      <c r="X30" s="36" cm="1">
        <f t="array" ref="X30">_xlfn.COUNTIFS('Datos - Objetivos de países'!$B$5:$B$510,"Uruguay",'Datos - Objetivos de países'!$F$5:$F$510,X$3,'Datos - Objetivos de países'!$J$5:$J$510,$A30)+_xlfn.COUNTIFS('Datos - Objetivos de países'!$B$5:$B$510,"Uruguay",'Datos - Objetivos de países'!$F$5:$F$510,X$3,'Datos - Objetivos de países'!$K$5:$K$510,$A30)</f>
        <v>0</v>
      </c>
      <c r="Y30" s="36" cm="1">
        <f t="array" ref="Y30">_xlfn.COUNTIFS('Datos - Objetivos de países'!$B$5:$B$510,"Uruguay",'Datos - Objetivos de países'!$F$5:$F$510,Y$3,'Datos - Objetivos de países'!$J$5:$J$510,$A30)+_xlfn.COUNTIFS('Datos - Objetivos de países'!$B$5:$B$510,"Uruguay",'Datos - Objetivos de países'!$F$5:$F$510,Y$3,'Datos - Objetivos de países'!$K$5:$K$510,$A30)</f>
        <v>1</v>
      </c>
      <c r="Z30" s="36" cm="1">
        <f t="array" ref="Z30">_xlfn.COUNTIFS('Datos - Objetivos de países'!$B$5:$B$510,"Uruguay",'Datos - Objetivos de países'!$F$5:$F$510,Z$3,'Datos - Objetivos de países'!$J$5:$J$510,$A30)+_xlfn.COUNTIFS('Datos - Objetivos de países'!$B$5:$B$510,"Uruguay",'Datos - Objetivos de países'!$F$5:$F$510,Z$3,'Datos - Objetivos de países'!$K$5:$K$510,$A30)</f>
        <v>2</v>
      </c>
      <c r="AA30" s="36" cm="1">
        <f t="array" ref="AA30">_xlfn.COUNTIFS('Datos - Objetivos de países'!$B$5:$B$510,"Uruguay",'Datos - Objetivos de países'!$F$5:$F$510,AA$3,'Datos - Objetivos de países'!$J$5:$J$510,$A30)+_xlfn.COUNTIFS('Datos - Objetivos de países'!$B$5:$B$510,"Uruguay",'Datos - Objetivos de países'!$F$5:$F$510,AA$3,'Datos - Objetivos de países'!$K$5:$K$510,$A30)</f>
        <v>0</v>
      </c>
      <c r="AB30" s="36" cm="1">
        <f t="array" ref="AB30">_xlfn.COUNTIFS('Datos - Objetivos de países'!$B$5:$B$510,"Uruguay",'Datos - Objetivos de países'!$F$5:$F$510,AB$3,'Datos - Objetivos de países'!$J$5:$J$510,$A30)+_xlfn.COUNTIFS('Datos - Objetivos de países'!$B$5:$B$510,"Uruguay",'Datos - Objetivos de países'!$F$5:$F$510,AB$3,'Datos - Objetivos de países'!$K$5:$K$510,$A30)</f>
        <v>0</v>
      </c>
      <c r="AC30" s="36" cm="1">
        <f t="array" ref="AC30">_xlfn.COUNTIFS('Datos - Objetivos de países'!$B$5:$B$510,"Uruguay",'Datos - Objetivos de países'!$F$5:$F$510,AC$3,'Datos - Objetivos de países'!$J$5:$J$510,$A30)+_xlfn.COUNTIFS('Datos - Objetivos de países'!$B$5:$B$510,"Uruguay",'Datos - Objetivos de países'!$F$5:$F$510,AC$3,'Datos - Objetivos de países'!$K$5:$K$510,$A30)</f>
        <v>0</v>
      </c>
      <c r="AD30" s="36" cm="1">
        <f t="array" ref="AD30">_xlfn.COUNTIFS('Datos - Objetivos de países'!$B$5:$B$510,"Uruguay",'Datos - Objetivos de países'!$F$5:$F$510,AD$3,'Datos - Objetivos de países'!$J$5:$J$510,$A30)+_xlfn.COUNTIFS('Datos - Objetivos de países'!$B$5:$B$510,"Uruguay",'Datos - Objetivos de países'!$F$5:$F$510,AD$3,'Datos - Objetivos de países'!$K$5:$K$510,$A30)</f>
        <v>0</v>
      </c>
      <c r="AE30" s="36" cm="1">
        <f t="array" ref="AE30">_xlfn.COUNTIFS('Datos - Objetivos de países'!$B$5:$B$510,"Uruguay",'Datos - Objetivos de países'!$F$5:$F$510,AE$3,'Datos - Objetivos de países'!$J$5:$J$510,$A30)+_xlfn.COUNTIFS('Datos - Objetivos de países'!$B$5:$B$510,"Uruguay",'Datos - Objetivos de países'!$F$5:$F$510,AE$3,'Datos - Objetivos de países'!$K$5:$K$510,$A30)</f>
        <v>0</v>
      </c>
      <c r="AF30" s="36" cm="1">
        <f t="array" ref="AF30">_xlfn.COUNTIFS('Datos - Objetivos de países'!$B$5:$B$510,"Colombia",'Datos - Objetivos de países'!$F$5:$F$510,AF$3,'Datos - Objetivos de países'!$J$5:$J$510,$A30)+_xlfn.COUNTIFS('Datos - Objetivos de países'!$B$5:$B$510,"Colombia",'Datos - Objetivos de países'!$F$5:$F$510,AF$3,'Datos - Objetivos de países'!$K$5:$K$510,$A30)</f>
        <v>0</v>
      </c>
      <c r="AG30" s="36" cm="1">
        <f t="array" ref="AG30">_xlfn.COUNTIFS('Datos - Objetivos de países'!$B$5:$B$510,"Colombia",'Datos - Objetivos de países'!$F$5:$F$510,AG$3,'Datos - Objetivos de países'!$J$5:$J$510,$A30)+_xlfn.COUNTIFS('Datos - Objetivos de países'!$B$5:$B$510,"Colombia",'Datos - Objetivos de países'!$F$5:$F$510,AG$3,'Datos - Objetivos de países'!$K$5:$K$510,$A30)</f>
        <v>0</v>
      </c>
      <c r="AH30" s="36" cm="1">
        <f t="array" ref="AH30">_xlfn.COUNTIFS('Datos - Objetivos de países'!$B$5:$B$510,"Colombia",'Datos - Objetivos de países'!$F$5:$F$510,AH$3,'Datos - Objetivos de países'!$J$5:$J$510,$A30)+_xlfn.COUNTIFS('Datos - Objetivos de países'!$B$5:$B$510,"Colombia",'Datos - Objetivos de países'!$F$5:$F$510,AH$3,'Datos - Objetivos de países'!$K$5:$K$510,$A30)</f>
        <v>0</v>
      </c>
      <c r="AI30" s="36" cm="1">
        <f t="array" ref="AI30">_xlfn.COUNTIFS('Datos - Objetivos de países'!$B$5:$B$510,"Colombia",'Datos - Objetivos de países'!$F$5:$F$510,AI$3,'Datos - Objetivos de países'!$J$5:$J$510,$A30)+_xlfn.COUNTIFS('Datos - Objetivos de países'!$B$5:$B$510,"Colombia",'Datos - Objetivos de países'!$F$5:$F$510,AI$3,'Datos - Objetivos de países'!$K$5:$K$510,$A30)</f>
        <v>2</v>
      </c>
      <c r="AJ30" s="36" cm="1">
        <f t="array" ref="AJ30">_xlfn.COUNTIFS('Datos - Objetivos de países'!$B$5:$B$510,"Colombia",'Datos - Objetivos de países'!$F$5:$F$510,AJ$3,'Datos - Objetivos de países'!$J$5:$J$510,$A30)+_xlfn.COUNTIFS('Datos - Objetivos de países'!$B$5:$B$510,"Colombia",'Datos - Objetivos de países'!$F$5:$F$510,AJ$3,'Datos - Objetivos de países'!$K$5:$K$510,$A30)</f>
        <v>0</v>
      </c>
      <c r="AK30" s="36" cm="1">
        <f t="array" ref="AK30">_xlfn.COUNTIFS('Datos - Objetivos de países'!$B$5:$B$510,"Colombia",'Datos - Objetivos de países'!$F$5:$F$510,AK$3,'Datos - Objetivos de países'!$J$5:$J$510,$A30)+_xlfn.COUNTIFS('Datos - Objetivos de países'!$B$5:$B$510,"Colombia",'Datos - Objetivos de países'!$F$5:$F$510,AK$3,'Datos - Objetivos de países'!$K$5:$K$510,$A30)</f>
        <v>0</v>
      </c>
      <c r="AL30" s="36" cm="1">
        <f t="array" ref="AL30">_xlfn.COUNTIFS('Datos - Objetivos de países'!$B$5:$B$510,"Colombia",'Datos - Objetivos de países'!$F$5:$F$510,AL$3,'Datos - Objetivos de países'!$J$5:$J$510,$A30)+_xlfn.COUNTIFS('Datos - Objetivos de países'!$B$5:$B$510,"Colombia",'Datos - Objetivos de países'!$F$5:$F$510,AL$3,'Datos - Objetivos de países'!$K$5:$K$510,$A30)</f>
        <v>0</v>
      </c>
      <c r="AM30" s="36" cm="1">
        <f t="array" ref="AM30">_xlfn.COUNTIFS('Datos - Objetivos de países'!$B$5:$B$510,"Colombia",'Datos - Objetivos de países'!$F$5:$F$510,AM$3,'Datos - Objetivos de países'!$J$5:$J$510,$A30)+_xlfn.COUNTIFS('Datos - Objetivos de países'!$B$5:$B$510,"Colombia",'Datos - Objetivos de países'!$F$5:$F$510,AM$3,'Datos - Objetivos de países'!$K$5:$K$510,$A30)</f>
        <v>0</v>
      </c>
      <c r="AN30" s="36" cm="1">
        <f t="array" ref="AN30">_xlfn.COUNTIFS('Datos - Objetivos de países'!$B$5:$B$510,"Colombia",'Datos - Objetivos de países'!$F$5:$F$510,AN$3,'Datos - Objetivos de países'!$J$5:$J$510,$A30)+_xlfn.COUNTIFS('Datos - Objetivos de países'!$B$5:$B$510,"Colombia",'Datos - Objetivos de países'!$F$5:$F$510,AN$3,'Datos - Objetivos de países'!$K$5:$K$510,$A30)</f>
        <v>0</v>
      </c>
      <c r="AO30" s="36" cm="1">
        <f t="array" ref="AO30">_xlfn.COUNTIFS('Datos - Objetivos de países'!$B$5:$B$510,"Singapur",'Datos - Objetivos de países'!$F$5:$F$510,AO$3,'Datos - Objetivos de países'!$J$5:$J$510,$A30)+_xlfn.COUNTIFS('Datos - Objetivos de países'!$B$5:$B$510,"Singapur",'Datos - Objetivos de países'!$F$5:$F$510,AO$3,'Datos - Objetivos de países'!$K$5:$K$510,$A30)</f>
        <v>0</v>
      </c>
      <c r="AP30" s="36" cm="1">
        <f t="array" ref="AP30">_xlfn.COUNTIFS('Datos - Objetivos de países'!$B$5:$B$510,"Singapur",'Datos - Objetivos de países'!$F$5:$F$510,AP$3,'Datos - Objetivos de países'!$J$5:$J$510,$A30)+_xlfn.COUNTIFS('Datos - Objetivos de países'!$B$5:$B$510,"Singapur",'Datos - Objetivos de países'!$F$5:$F$510,AP$3,'Datos - Objetivos de países'!$K$5:$K$510,$A30)</f>
        <v>0</v>
      </c>
      <c r="AQ30" s="36" cm="1">
        <f t="array" ref="AQ30">_xlfn.COUNTIFS('Datos - Objetivos de países'!$B$5:$B$510,"Singapur",'Datos - Objetivos de países'!$F$5:$F$510,AQ$3,'Datos - Objetivos de países'!$J$5:$J$510,$A30)+_xlfn.COUNTIFS('Datos - Objetivos de países'!$B$5:$B$510,"Singapur",'Datos - Objetivos de países'!$F$5:$F$510,AQ$3,'Datos - Objetivos de países'!$K$5:$K$510,$A30)</f>
        <v>0</v>
      </c>
      <c r="AR30" s="36" cm="1">
        <f t="array" ref="AR30">_xlfn.COUNTIFS('Datos - Objetivos de países'!$B$5:$B$510,"Singapur",'Datos - Objetivos de países'!$F$5:$F$510,AR$3,'Datos - Objetivos de países'!$J$5:$J$510,$A30)+_xlfn.COUNTIFS('Datos - Objetivos de países'!$B$5:$B$510,"Singapur",'Datos - Objetivos de países'!$F$5:$F$510,AR$3,'Datos - Objetivos de países'!$K$5:$K$510,$A30)</f>
        <v>0</v>
      </c>
      <c r="AS30" s="36" cm="1">
        <f t="array" ref="AS30">_xlfn.COUNTIFS('Datos - Objetivos de países'!$B$5:$B$510,"Singapur",'Datos - Objetivos de países'!$F$5:$F$510,AS$3,'Datos - Objetivos de países'!$J$5:$J$510,$A30)+_xlfn.COUNTIFS('Datos - Objetivos de países'!$B$5:$B$510,"Singapur",'Datos - Objetivos de países'!$F$5:$F$510,AS$3,'Datos - Objetivos de países'!$K$5:$K$510,$A30)</f>
        <v>0</v>
      </c>
      <c r="AT30" s="36" cm="1">
        <f t="array" ref="AT30">_xlfn.COUNTIFS('Datos - Objetivos de países'!$B$5:$B$510,"Singapur",'Datos - Objetivos de países'!$F$5:$F$510,AT$3,'Datos - Objetivos de países'!$J$5:$J$510,$A30)+_xlfn.COUNTIFS('Datos - Objetivos de países'!$B$5:$B$510,"Singapur",'Datos - Objetivos de países'!$F$5:$F$510,AT$3,'Datos - Objetivos de países'!$K$5:$K$510,$A30)</f>
        <v>0</v>
      </c>
      <c r="AU30" s="36" cm="1">
        <f t="array" ref="AU30">_xlfn.COUNTIFS('Datos - Objetivos de países'!$B$5:$B$510,"Singapur",'Datos - Objetivos de países'!$F$5:$F$510,AU$3,'Datos - Objetivos de países'!$J$5:$J$510,$A30)+_xlfn.COUNTIFS('Datos - Objetivos de países'!$B$5:$B$510,"Singapur",'Datos - Objetivos de países'!$F$5:$F$510,AU$3,'Datos - Objetivos de países'!$K$5:$K$510,$A30)</f>
        <v>0</v>
      </c>
      <c r="AV30" s="36" cm="1">
        <f t="array" ref="AV30">_xlfn.COUNTIFS('Datos - Objetivos de países'!$B$5:$B$510,"Singapur",'Datos - Objetivos de países'!$F$5:$F$510,AV$3,'Datos - Objetivos de países'!$J$5:$J$510,$A30)+_xlfn.COUNTIFS('Datos - Objetivos de países'!$B$5:$B$510,"Singapur",'Datos - Objetivos de países'!$F$5:$F$510,AV$3,'Datos - Objetivos de países'!$K$5:$K$510,$A30)</f>
        <v>0</v>
      </c>
      <c r="AW30" s="36" cm="1">
        <f t="array" ref="AW30">_xlfn.COUNTIFS('Datos - Objetivos de países'!$B$5:$B$510,"Singapur",'Datos - Objetivos de países'!$F$5:$F$510,AW$3,'Datos - Objetivos de países'!$J$5:$J$510,$A30)+_xlfn.COUNTIFS('Datos - Objetivos de países'!$B$5:$B$510,"Singapur",'Datos - Objetivos de países'!$F$5:$F$510,AW$3,'Datos - Objetivos de países'!$K$5:$K$510,$A30)</f>
        <v>0</v>
      </c>
    </row>
    <row r="31" ht="13.65" customHeight="1">
      <c r="A31" t="s" s="78">
        <v>266</v>
      </c>
      <c r="B31" t="s" s="78">
        <v>1055</v>
      </c>
      <c r="C31" t="s" s="78">
        <v>216</v>
      </c>
      <c r="D31" t="s" s="78">
        <v>1143</v>
      </c>
      <c r="E31" s="80" cm="1">
        <f t="array" ref="E31">_xlfn.IFERROR(MAX($L$3,INDEX($N$3:$V$3,MATCH(TRUE,INDEX(N31:V31&gt;0,0),0))),"—")</f>
        <v>3</v>
      </c>
      <c r="F31" s="80" cm="1">
        <f t="array" ref="F31">_xlfn.IFERROR(MAX($L$3,INDEX($W$3:$AE$3,MATCH(TRUE,INDEX(W31:AE31&gt;0,0),0))),"—")</f>
        <v>3</v>
      </c>
      <c r="G31" s="80" cm="1">
        <f t="array" ref="G31">_xlfn.IFERROR(MAX($L$3,INDEX($AF$3:$AN$3,MATCH(TRUE,INDEX(AF31:AN31&gt;0,0),0))),"—")</f>
        <v>2</v>
      </c>
      <c r="H31" t="str" s="79" cm="1">
        <f t="array" ref="H31">_xlfn.IFERROR(MAX($L$3,INDEX($AO$3:$AW$3,MATCH(TRUE,INDEX(AO31:AW31&gt;0,0),0))),"—")</f>
        <v>—</v>
      </c>
      <c r="I31" s="111" cm="1">
        <f t="array" ref="I31">IF(L31=0,"—",MEDIAN(F31:H31))</f>
        <v>2.5</v>
      </c>
      <c r="J31" s="111" cm="1">
        <f t="array" ref="J31">IF(OR(E31="—",I31="—"),"—",E31-I31)</f>
        <v>0.5</v>
      </c>
      <c r="K31" t="str" s="49" cm="1">
        <f t="array" ref="K31">IF(E31="—",IF(L31=0,"Nadie lo trabaja","El Salvador no llega"),IF(L31=0,"Solo El Salvador",IF(J31&gt;0,"El Salvador llega más tarde",IF(J31&lt;0,"El Salvador va adelantado","Mismo grado"))))</f>
        <v>El Salvador llega más tarde</v>
      </c>
      <c r="L31" s="80" cm="1">
        <f t="array" ref="L31">COUNT(F31:H31)</f>
        <v>2</v>
      </c>
      <c r="M31" s="110"/>
      <c r="N31" s="36" cm="1">
        <f t="array" ref="N31">_xlfn.COUNTIFS('Datos - Temas'!$C$5:$C$1264,"Ciencias",'Datos - Temas'!$B$5:$B$1264,N$3,'Datos - Temas'!$K$5:$K$1264,$A31)+_xlfn.COUNTIFS('Datos - Temas'!$C$5:$C$1264,"Ciencias",'Datos - Temas'!$B$5:$B$1264,N$3,'Datos - Temas'!$L$5:$L$1264,$A31)</f>
        <v>0</v>
      </c>
      <c r="O31" s="36" cm="1">
        <f t="array" ref="O31">_xlfn.COUNTIFS('Datos - Temas'!$C$5:$C$1264,"Ciencias",'Datos - Temas'!$B$5:$B$1264,O$3,'Datos - Temas'!$K$5:$K$1264,$A31)+_xlfn.COUNTIFS('Datos - Temas'!$C$5:$C$1264,"Ciencias",'Datos - Temas'!$B$5:$B$1264,O$3,'Datos - Temas'!$L$5:$L$1264,$A31)</f>
        <v>0</v>
      </c>
      <c r="P31" s="36" cm="1">
        <f t="array" ref="P31">_xlfn.COUNTIFS('Datos - Temas'!$C$5:$C$1264,"Ciencias",'Datos - Temas'!$B$5:$B$1264,P$3,'Datos - Temas'!$K$5:$K$1264,$A31)+_xlfn.COUNTIFS('Datos - Temas'!$C$5:$C$1264,"Ciencias",'Datos - Temas'!$B$5:$B$1264,P$3,'Datos - Temas'!$L$5:$L$1264,$A31)</f>
        <v>2</v>
      </c>
      <c r="Q31" s="36" cm="1">
        <f t="array" ref="Q31">_xlfn.COUNTIFS('Datos - Temas'!$C$5:$C$1264,"Ciencias",'Datos - Temas'!$B$5:$B$1264,Q$3,'Datos - Temas'!$K$5:$K$1264,$A31)+_xlfn.COUNTIFS('Datos - Temas'!$C$5:$C$1264,"Ciencias",'Datos - Temas'!$B$5:$B$1264,Q$3,'Datos - Temas'!$L$5:$L$1264,$A31)</f>
        <v>2</v>
      </c>
      <c r="R31" s="36" cm="1">
        <f t="array" ref="R31">_xlfn.COUNTIFS('Datos - Temas'!$C$5:$C$1264,"Ciencias",'Datos - Temas'!$B$5:$B$1264,R$3,'Datos - Temas'!$K$5:$K$1264,$A31)+_xlfn.COUNTIFS('Datos - Temas'!$C$5:$C$1264,"Ciencias",'Datos - Temas'!$B$5:$B$1264,R$3,'Datos - Temas'!$L$5:$L$1264,$A31)</f>
        <v>0</v>
      </c>
      <c r="S31" s="36" cm="1">
        <f t="array" ref="S31">_xlfn.COUNTIFS('Datos - Temas'!$C$5:$C$1264,"Ciencias",'Datos - Temas'!$B$5:$B$1264,S$3,'Datos - Temas'!$K$5:$K$1264,$A31)+_xlfn.COUNTIFS('Datos - Temas'!$C$5:$C$1264,"Ciencias",'Datos - Temas'!$B$5:$B$1264,S$3,'Datos - Temas'!$L$5:$L$1264,$A31)</f>
        <v>0</v>
      </c>
      <c r="T31" s="36" cm="1">
        <f t="array" ref="T31">_xlfn.COUNTIFS('Datos - Temas'!$C$5:$C$1264,"Ciencias",'Datos - Temas'!$B$5:$B$1264,T$3,'Datos - Temas'!$K$5:$K$1264,$A31)+_xlfn.COUNTIFS('Datos - Temas'!$C$5:$C$1264,"Ciencias",'Datos - Temas'!$B$5:$B$1264,T$3,'Datos - Temas'!$L$5:$L$1264,$A31)</f>
        <v>0</v>
      </c>
      <c r="U31" s="36" cm="1">
        <f t="array" ref="U31">_xlfn.COUNTIFS('Datos - Temas'!$C$5:$C$1264,"Ciencias",'Datos - Temas'!$B$5:$B$1264,U$3,'Datos - Temas'!$K$5:$K$1264,$A31)+_xlfn.COUNTIFS('Datos - Temas'!$C$5:$C$1264,"Ciencias",'Datos - Temas'!$B$5:$B$1264,U$3,'Datos - Temas'!$L$5:$L$1264,$A31)</f>
        <v>0</v>
      </c>
      <c r="V31" s="36" cm="1">
        <f t="array" ref="V31">_xlfn.COUNTIFS('Datos - Temas'!$C$5:$C$1264,"Ciencias",'Datos - Temas'!$B$5:$B$1264,V$3,'Datos - Temas'!$K$5:$K$1264,$A31)+_xlfn.COUNTIFS('Datos - Temas'!$C$5:$C$1264,"Ciencias",'Datos - Temas'!$B$5:$B$1264,V$3,'Datos - Temas'!$L$5:$L$1264,$A31)</f>
        <v>0</v>
      </c>
      <c r="W31" s="36" cm="1">
        <f t="array" ref="W31">_xlfn.COUNTIFS('Datos - Objetivos de países'!$B$5:$B$510,"Uruguay",'Datos - Objetivos de países'!$F$5:$F$510,W$3,'Datos - Objetivos de países'!$J$5:$J$510,$A31)+_xlfn.COUNTIFS('Datos - Objetivos de países'!$B$5:$B$510,"Uruguay",'Datos - Objetivos de países'!$F$5:$F$510,W$3,'Datos - Objetivos de países'!$K$5:$K$510,$A31)</f>
        <v>0</v>
      </c>
      <c r="X31" s="36" cm="1">
        <f t="array" ref="X31">_xlfn.COUNTIFS('Datos - Objetivos de países'!$B$5:$B$510,"Uruguay",'Datos - Objetivos de países'!$F$5:$F$510,X$3,'Datos - Objetivos de países'!$J$5:$J$510,$A31)+_xlfn.COUNTIFS('Datos - Objetivos de países'!$B$5:$B$510,"Uruguay",'Datos - Objetivos de países'!$F$5:$F$510,X$3,'Datos - Objetivos de países'!$K$5:$K$510,$A31)</f>
        <v>0</v>
      </c>
      <c r="Y31" s="36" cm="1">
        <f t="array" ref="Y31">_xlfn.COUNTIFS('Datos - Objetivos de países'!$B$5:$B$510,"Uruguay",'Datos - Objetivos de países'!$F$5:$F$510,Y$3,'Datos - Objetivos de países'!$J$5:$J$510,$A31)+_xlfn.COUNTIFS('Datos - Objetivos de países'!$B$5:$B$510,"Uruguay",'Datos - Objetivos de países'!$F$5:$F$510,Y$3,'Datos - Objetivos de países'!$K$5:$K$510,$A31)</f>
        <v>1</v>
      </c>
      <c r="Z31" s="36" cm="1">
        <f t="array" ref="Z31">_xlfn.COUNTIFS('Datos - Objetivos de países'!$B$5:$B$510,"Uruguay",'Datos - Objetivos de países'!$F$5:$F$510,Z$3,'Datos - Objetivos de países'!$J$5:$J$510,$A31)+_xlfn.COUNTIFS('Datos - Objetivos de países'!$B$5:$B$510,"Uruguay",'Datos - Objetivos de países'!$F$5:$F$510,Z$3,'Datos - Objetivos de países'!$K$5:$K$510,$A31)</f>
        <v>1</v>
      </c>
      <c r="AA31" s="36" cm="1">
        <f t="array" ref="AA31">_xlfn.COUNTIFS('Datos - Objetivos de países'!$B$5:$B$510,"Uruguay",'Datos - Objetivos de países'!$F$5:$F$510,AA$3,'Datos - Objetivos de países'!$J$5:$J$510,$A31)+_xlfn.COUNTIFS('Datos - Objetivos de países'!$B$5:$B$510,"Uruguay",'Datos - Objetivos de países'!$F$5:$F$510,AA$3,'Datos - Objetivos de países'!$K$5:$K$510,$A31)</f>
        <v>0</v>
      </c>
      <c r="AB31" s="36" cm="1">
        <f t="array" ref="AB31">_xlfn.COUNTIFS('Datos - Objetivos de países'!$B$5:$B$510,"Uruguay",'Datos - Objetivos de países'!$F$5:$F$510,AB$3,'Datos - Objetivos de países'!$J$5:$J$510,$A31)+_xlfn.COUNTIFS('Datos - Objetivos de países'!$B$5:$B$510,"Uruguay",'Datos - Objetivos de países'!$F$5:$F$510,AB$3,'Datos - Objetivos de países'!$K$5:$K$510,$A31)</f>
        <v>0</v>
      </c>
      <c r="AC31" s="36" cm="1">
        <f t="array" ref="AC31">_xlfn.COUNTIFS('Datos - Objetivos de países'!$B$5:$B$510,"Uruguay",'Datos - Objetivos de países'!$F$5:$F$510,AC$3,'Datos - Objetivos de países'!$J$5:$J$510,$A31)+_xlfn.COUNTIFS('Datos - Objetivos de países'!$B$5:$B$510,"Uruguay",'Datos - Objetivos de países'!$F$5:$F$510,AC$3,'Datos - Objetivos de países'!$K$5:$K$510,$A31)</f>
        <v>0</v>
      </c>
      <c r="AD31" s="36" cm="1">
        <f t="array" ref="AD31">_xlfn.COUNTIFS('Datos - Objetivos de países'!$B$5:$B$510,"Uruguay",'Datos - Objetivos de países'!$F$5:$F$510,AD$3,'Datos - Objetivos de países'!$J$5:$J$510,$A31)+_xlfn.COUNTIFS('Datos - Objetivos de países'!$B$5:$B$510,"Uruguay",'Datos - Objetivos de países'!$F$5:$F$510,AD$3,'Datos - Objetivos de países'!$K$5:$K$510,$A31)</f>
        <v>0</v>
      </c>
      <c r="AE31" s="36" cm="1">
        <f t="array" ref="AE31">_xlfn.COUNTIFS('Datos - Objetivos de países'!$B$5:$B$510,"Uruguay",'Datos - Objetivos de países'!$F$5:$F$510,AE$3,'Datos - Objetivos de países'!$J$5:$J$510,$A31)+_xlfn.COUNTIFS('Datos - Objetivos de países'!$B$5:$B$510,"Uruguay",'Datos - Objetivos de países'!$F$5:$F$510,AE$3,'Datos - Objetivos de países'!$K$5:$K$510,$A31)</f>
        <v>0</v>
      </c>
      <c r="AF31" s="36" cm="1">
        <f t="array" ref="AF31">_xlfn.COUNTIFS('Datos - Objetivos de países'!$B$5:$B$510,"Colombia",'Datos - Objetivos de países'!$F$5:$F$510,AF$3,'Datos - Objetivos de países'!$J$5:$J$510,$A31)+_xlfn.COUNTIFS('Datos - Objetivos de países'!$B$5:$B$510,"Colombia",'Datos - Objetivos de países'!$F$5:$F$510,AF$3,'Datos - Objetivos de países'!$K$5:$K$510,$A31)</f>
        <v>1</v>
      </c>
      <c r="AG31" s="36" cm="1">
        <f t="array" ref="AG31">_xlfn.COUNTIFS('Datos - Objetivos de países'!$B$5:$B$510,"Colombia",'Datos - Objetivos de países'!$F$5:$F$510,AG$3,'Datos - Objetivos de países'!$J$5:$J$510,$A31)+_xlfn.COUNTIFS('Datos - Objetivos de países'!$B$5:$B$510,"Colombia",'Datos - Objetivos de países'!$F$5:$F$510,AG$3,'Datos - Objetivos de países'!$K$5:$K$510,$A31)</f>
        <v>0</v>
      </c>
      <c r="AH31" s="36" cm="1">
        <f t="array" ref="AH31">_xlfn.COUNTIFS('Datos - Objetivos de países'!$B$5:$B$510,"Colombia",'Datos - Objetivos de países'!$F$5:$F$510,AH$3,'Datos - Objetivos de países'!$J$5:$J$510,$A31)+_xlfn.COUNTIFS('Datos - Objetivos de países'!$B$5:$B$510,"Colombia",'Datos - Objetivos de países'!$F$5:$F$510,AH$3,'Datos - Objetivos de países'!$K$5:$K$510,$A31)</f>
        <v>0</v>
      </c>
      <c r="AI31" s="36" cm="1">
        <f t="array" ref="AI31">_xlfn.COUNTIFS('Datos - Objetivos de países'!$B$5:$B$510,"Colombia",'Datos - Objetivos de países'!$F$5:$F$510,AI$3,'Datos - Objetivos de países'!$J$5:$J$510,$A31)+_xlfn.COUNTIFS('Datos - Objetivos de países'!$B$5:$B$510,"Colombia",'Datos - Objetivos de países'!$F$5:$F$510,AI$3,'Datos - Objetivos de países'!$K$5:$K$510,$A31)</f>
        <v>1</v>
      </c>
      <c r="AJ31" s="36" cm="1">
        <f t="array" ref="AJ31">_xlfn.COUNTIFS('Datos - Objetivos de países'!$B$5:$B$510,"Colombia",'Datos - Objetivos de países'!$F$5:$F$510,AJ$3,'Datos - Objetivos de países'!$J$5:$J$510,$A31)+_xlfn.COUNTIFS('Datos - Objetivos de países'!$B$5:$B$510,"Colombia",'Datos - Objetivos de países'!$F$5:$F$510,AJ$3,'Datos - Objetivos de países'!$K$5:$K$510,$A31)</f>
        <v>0</v>
      </c>
      <c r="AK31" s="36" cm="1">
        <f t="array" ref="AK31">_xlfn.COUNTIFS('Datos - Objetivos de países'!$B$5:$B$510,"Colombia",'Datos - Objetivos de países'!$F$5:$F$510,AK$3,'Datos - Objetivos de países'!$J$5:$J$510,$A31)+_xlfn.COUNTIFS('Datos - Objetivos de países'!$B$5:$B$510,"Colombia",'Datos - Objetivos de países'!$F$5:$F$510,AK$3,'Datos - Objetivos de países'!$K$5:$K$510,$A31)</f>
        <v>0</v>
      </c>
      <c r="AL31" s="36" cm="1">
        <f t="array" ref="AL31">_xlfn.COUNTIFS('Datos - Objetivos de países'!$B$5:$B$510,"Colombia",'Datos - Objetivos de países'!$F$5:$F$510,AL$3,'Datos - Objetivos de países'!$J$5:$J$510,$A31)+_xlfn.COUNTIFS('Datos - Objetivos de países'!$B$5:$B$510,"Colombia",'Datos - Objetivos de países'!$F$5:$F$510,AL$3,'Datos - Objetivos de países'!$K$5:$K$510,$A31)</f>
        <v>0</v>
      </c>
      <c r="AM31" s="36" cm="1">
        <f t="array" ref="AM31">_xlfn.COUNTIFS('Datos - Objetivos de países'!$B$5:$B$510,"Colombia",'Datos - Objetivos de países'!$F$5:$F$510,AM$3,'Datos - Objetivos de países'!$J$5:$J$510,$A31)+_xlfn.COUNTIFS('Datos - Objetivos de países'!$B$5:$B$510,"Colombia",'Datos - Objetivos de países'!$F$5:$F$510,AM$3,'Datos - Objetivos de países'!$K$5:$K$510,$A31)</f>
        <v>0</v>
      </c>
      <c r="AN31" s="36" cm="1">
        <f t="array" ref="AN31">_xlfn.COUNTIFS('Datos - Objetivos de países'!$B$5:$B$510,"Colombia",'Datos - Objetivos de países'!$F$5:$F$510,AN$3,'Datos - Objetivos de países'!$J$5:$J$510,$A31)+_xlfn.COUNTIFS('Datos - Objetivos de países'!$B$5:$B$510,"Colombia",'Datos - Objetivos de países'!$F$5:$F$510,AN$3,'Datos - Objetivos de países'!$K$5:$K$510,$A31)</f>
        <v>0</v>
      </c>
      <c r="AO31" s="36" cm="1">
        <f t="array" ref="AO31">_xlfn.COUNTIFS('Datos - Objetivos de países'!$B$5:$B$510,"Singapur",'Datos - Objetivos de países'!$F$5:$F$510,AO$3,'Datos - Objetivos de países'!$J$5:$J$510,$A31)+_xlfn.COUNTIFS('Datos - Objetivos de países'!$B$5:$B$510,"Singapur",'Datos - Objetivos de países'!$F$5:$F$510,AO$3,'Datos - Objetivos de países'!$K$5:$K$510,$A31)</f>
        <v>0</v>
      </c>
      <c r="AP31" s="36" cm="1">
        <f t="array" ref="AP31">_xlfn.COUNTIFS('Datos - Objetivos de países'!$B$5:$B$510,"Singapur",'Datos - Objetivos de países'!$F$5:$F$510,AP$3,'Datos - Objetivos de países'!$J$5:$J$510,$A31)+_xlfn.COUNTIFS('Datos - Objetivos de países'!$B$5:$B$510,"Singapur",'Datos - Objetivos de países'!$F$5:$F$510,AP$3,'Datos - Objetivos de países'!$K$5:$K$510,$A31)</f>
        <v>0</v>
      </c>
      <c r="AQ31" s="36" cm="1">
        <f t="array" ref="AQ31">_xlfn.COUNTIFS('Datos - Objetivos de países'!$B$5:$B$510,"Singapur",'Datos - Objetivos de países'!$F$5:$F$510,AQ$3,'Datos - Objetivos de países'!$J$5:$J$510,$A31)+_xlfn.COUNTIFS('Datos - Objetivos de países'!$B$5:$B$510,"Singapur",'Datos - Objetivos de países'!$F$5:$F$510,AQ$3,'Datos - Objetivos de países'!$K$5:$K$510,$A31)</f>
        <v>0</v>
      </c>
      <c r="AR31" s="36" cm="1">
        <f t="array" ref="AR31">_xlfn.COUNTIFS('Datos - Objetivos de países'!$B$5:$B$510,"Singapur",'Datos - Objetivos de países'!$F$5:$F$510,AR$3,'Datos - Objetivos de países'!$J$5:$J$510,$A31)+_xlfn.COUNTIFS('Datos - Objetivos de países'!$B$5:$B$510,"Singapur",'Datos - Objetivos de países'!$F$5:$F$510,AR$3,'Datos - Objetivos de países'!$K$5:$K$510,$A31)</f>
        <v>0</v>
      </c>
      <c r="AS31" s="36" cm="1">
        <f t="array" ref="AS31">_xlfn.COUNTIFS('Datos - Objetivos de países'!$B$5:$B$510,"Singapur",'Datos - Objetivos de países'!$F$5:$F$510,AS$3,'Datos - Objetivos de países'!$J$5:$J$510,$A31)+_xlfn.COUNTIFS('Datos - Objetivos de países'!$B$5:$B$510,"Singapur",'Datos - Objetivos de países'!$F$5:$F$510,AS$3,'Datos - Objetivos de países'!$K$5:$K$510,$A31)</f>
        <v>0</v>
      </c>
      <c r="AT31" s="36" cm="1">
        <f t="array" ref="AT31">_xlfn.COUNTIFS('Datos - Objetivos de países'!$B$5:$B$510,"Singapur",'Datos - Objetivos de países'!$F$5:$F$510,AT$3,'Datos - Objetivos de países'!$J$5:$J$510,$A31)+_xlfn.COUNTIFS('Datos - Objetivos de países'!$B$5:$B$510,"Singapur",'Datos - Objetivos de países'!$F$5:$F$510,AT$3,'Datos - Objetivos de países'!$K$5:$K$510,$A31)</f>
        <v>0</v>
      </c>
      <c r="AU31" s="36" cm="1">
        <f t="array" ref="AU31">_xlfn.COUNTIFS('Datos - Objetivos de países'!$B$5:$B$510,"Singapur",'Datos - Objetivos de países'!$F$5:$F$510,AU$3,'Datos - Objetivos de países'!$J$5:$J$510,$A31)+_xlfn.COUNTIFS('Datos - Objetivos de países'!$B$5:$B$510,"Singapur",'Datos - Objetivos de países'!$F$5:$F$510,AU$3,'Datos - Objetivos de países'!$K$5:$K$510,$A31)</f>
        <v>0</v>
      </c>
      <c r="AV31" s="36" cm="1">
        <f t="array" ref="AV31">_xlfn.COUNTIFS('Datos - Objetivos de países'!$B$5:$B$510,"Singapur",'Datos - Objetivos de países'!$F$5:$F$510,AV$3,'Datos - Objetivos de países'!$J$5:$J$510,$A31)+_xlfn.COUNTIFS('Datos - Objetivos de países'!$B$5:$B$510,"Singapur",'Datos - Objetivos de países'!$F$5:$F$510,AV$3,'Datos - Objetivos de países'!$K$5:$K$510,$A31)</f>
        <v>0</v>
      </c>
      <c r="AW31" s="36" cm="1">
        <f t="array" ref="AW31">_xlfn.COUNTIFS('Datos - Objetivos de países'!$B$5:$B$510,"Singapur",'Datos - Objetivos de países'!$F$5:$F$510,AW$3,'Datos - Objetivos de países'!$J$5:$J$510,$A31)+_xlfn.COUNTIFS('Datos - Objetivos de países'!$B$5:$B$510,"Singapur",'Datos - Objetivos de países'!$F$5:$F$510,AW$3,'Datos - Objetivos de países'!$K$5:$K$510,$A31)</f>
        <v>0</v>
      </c>
    </row>
    <row r="32" ht="13.65" customHeight="1">
      <c r="A32" t="s" s="78">
        <v>274</v>
      </c>
      <c r="B32" t="s" s="78">
        <v>1055</v>
      </c>
      <c r="C32" t="s" s="78">
        <v>216</v>
      </c>
      <c r="D32" t="s" s="78">
        <v>1146</v>
      </c>
      <c r="E32" s="80" cm="1">
        <f t="array" ref="E32">_xlfn.IFERROR(MAX($L$3,INDEX($N$3:$V$3,MATCH(TRUE,INDEX(N32:V32&gt;0,0),0))),"—")</f>
        <v>2</v>
      </c>
      <c r="F32" s="80" cm="1">
        <f t="array" ref="F32">_xlfn.IFERROR(MAX($L$3,INDEX($W$3:$AE$3,MATCH(TRUE,INDEX(W32:AE32&gt;0,0),0))),"—")</f>
        <v>3</v>
      </c>
      <c r="G32" s="80" cm="1">
        <f t="array" ref="G32">_xlfn.IFERROR(MAX($L$3,INDEX($AF$3:$AN$3,MATCH(TRUE,INDEX(AF32:AN32&gt;0,0),0))),"—")</f>
        <v>2</v>
      </c>
      <c r="H32" t="str" s="79" cm="1">
        <f t="array" ref="H32">_xlfn.IFERROR(MAX($L$3,INDEX($AO$3:$AW$3,MATCH(TRUE,INDEX(AO32:AW32&gt;0,0),0))),"—")</f>
        <v>—</v>
      </c>
      <c r="I32" s="111" cm="1">
        <f t="array" ref="I32">IF(L32=0,"—",MEDIAN(F32:H32))</f>
        <v>2.5</v>
      </c>
      <c r="J32" s="111" cm="1">
        <f t="array" ref="J32">IF(OR(E32="—",I32="—"),"—",E32-I32)</f>
        <v>-0.5</v>
      </c>
      <c r="K32" t="str" s="49" cm="1">
        <f t="array" ref="K32">IF(E32="—",IF(L32=0,"Nadie lo trabaja","El Salvador no llega"),IF(L32=0,"Solo El Salvador",IF(J32&gt;0,"El Salvador llega más tarde",IF(J32&lt;0,"El Salvador va adelantado","Mismo grado"))))</f>
        <v>El Salvador va adelantado</v>
      </c>
      <c r="L32" s="80" cm="1">
        <f t="array" ref="L32">COUNT(F32:H32)</f>
        <v>2</v>
      </c>
      <c r="M32" s="110"/>
      <c r="N32" s="36" cm="1">
        <f t="array" ref="N32">_xlfn.COUNTIFS('Datos - Temas'!$C$5:$C$1264,"Ciencias",'Datos - Temas'!$B$5:$B$1264,N$3,'Datos - Temas'!$K$5:$K$1264,$A32)+_xlfn.COUNTIFS('Datos - Temas'!$C$5:$C$1264,"Ciencias",'Datos - Temas'!$B$5:$B$1264,N$3,'Datos - Temas'!$L$5:$L$1264,$A32)</f>
        <v>0</v>
      </c>
      <c r="O32" s="36" cm="1">
        <f t="array" ref="O32">_xlfn.COUNTIFS('Datos - Temas'!$C$5:$C$1264,"Ciencias",'Datos - Temas'!$B$5:$B$1264,O$3,'Datos - Temas'!$K$5:$K$1264,$A32)+_xlfn.COUNTIFS('Datos - Temas'!$C$5:$C$1264,"Ciencias",'Datos - Temas'!$B$5:$B$1264,O$3,'Datos - Temas'!$L$5:$L$1264,$A32)</f>
        <v>2</v>
      </c>
      <c r="P32" s="36" cm="1">
        <f t="array" ref="P32">_xlfn.COUNTIFS('Datos - Temas'!$C$5:$C$1264,"Ciencias",'Datos - Temas'!$B$5:$B$1264,P$3,'Datos - Temas'!$K$5:$K$1264,$A32)+_xlfn.COUNTIFS('Datos - Temas'!$C$5:$C$1264,"Ciencias",'Datos - Temas'!$B$5:$B$1264,P$3,'Datos - Temas'!$L$5:$L$1264,$A32)</f>
        <v>0</v>
      </c>
      <c r="Q32" s="36" cm="1">
        <f t="array" ref="Q32">_xlfn.COUNTIFS('Datos - Temas'!$C$5:$C$1264,"Ciencias",'Datos - Temas'!$B$5:$B$1264,Q$3,'Datos - Temas'!$K$5:$K$1264,$A32)+_xlfn.COUNTIFS('Datos - Temas'!$C$5:$C$1264,"Ciencias",'Datos - Temas'!$B$5:$B$1264,Q$3,'Datos - Temas'!$L$5:$L$1264,$A32)</f>
        <v>3</v>
      </c>
      <c r="R32" s="36" cm="1">
        <f t="array" ref="R32">_xlfn.COUNTIFS('Datos - Temas'!$C$5:$C$1264,"Ciencias",'Datos - Temas'!$B$5:$B$1264,R$3,'Datos - Temas'!$K$5:$K$1264,$A32)+_xlfn.COUNTIFS('Datos - Temas'!$C$5:$C$1264,"Ciencias",'Datos - Temas'!$B$5:$B$1264,R$3,'Datos - Temas'!$L$5:$L$1264,$A32)</f>
        <v>0</v>
      </c>
      <c r="S32" s="36" cm="1">
        <f t="array" ref="S32">_xlfn.COUNTIFS('Datos - Temas'!$C$5:$C$1264,"Ciencias",'Datos - Temas'!$B$5:$B$1264,S$3,'Datos - Temas'!$K$5:$K$1264,$A32)+_xlfn.COUNTIFS('Datos - Temas'!$C$5:$C$1264,"Ciencias",'Datos - Temas'!$B$5:$B$1264,S$3,'Datos - Temas'!$L$5:$L$1264,$A32)</f>
        <v>0</v>
      </c>
      <c r="T32" s="36" cm="1">
        <f t="array" ref="T32">_xlfn.COUNTIFS('Datos - Temas'!$C$5:$C$1264,"Ciencias",'Datos - Temas'!$B$5:$B$1264,T$3,'Datos - Temas'!$K$5:$K$1264,$A32)+_xlfn.COUNTIFS('Datos - Temas'!$C$5:$C$1264,"Ciencias",'Datos - Temas'!$B$5:$B$1264,T$3,'Datos - Temas'!$L$5:$L$1264,$A32)</f>
        <v>0</v>
      </c>
      <c r="U32" s="36" cm="1">
        <f t="array" ref="U32">_xlfn.COUNTIFS('Datos - Temas'!$C$5:$C$1264,"Ciencias",'Datos - Temas'!$B$5:$B$1264,U$3,'Datos - Temas'!$K$5:$K$1264,$A32)+_xlfn.COUNTIFS('Datos - Temas'!$C$5:$C$1264,"Ciencias",'Datos - Temas'!$B$5:$B$1264,U$3,'Datos - Temas'!$L$5:$L$1264,$A32)</f>
        <v>0</v>
      </c>
      <c r="V32" s="36" cm="1">
        <f t="array" ref="V32">_xlfn.COUNTIFS('Datos - Temas'!$C$5:$C$1264,"Ciencias",'Datos - Temas'!$B$5:$B$1264,V$3,'Datos - Temas'!$K$5:$K$1264,$A32)+_xlfn.COUNTIFS('Datos - Temas'!$C$5:$C$1264,"Ciencias",'Datos - Temas'!$B$5:$B$1264,V$3,'Datos - Temas'!$L$5:$L$1264,$A32)</f>
        <v>0</v>
      </c>
      <c r="W32" s="36" cm="1">
        <f t="array" ref="W32">_xlfn.COUNTIFS('Datos - Objetivos de países'!$B$5:$B$510,"Uruguay",'Datos - Objetivos de países'!$F$5:$F$510,W$3,'Datos - Objetivos de países'!$J$5:$J$510,$A32)+_xlfn.COUNTIFS('Datos - Objetivos de países'!$B$5:$B$510,"Uruguay",'Datos - Objetivos de países'!$F$5:$F$510,W$3,'Datos - Objetivos de países'!$K$5:$K$510,$A32)</f>
        <v>0</v>
      </c>
      <c r="X32" s="36" cm="1">
        <f t="array" ref="X32">_xlfn.COUNTIFS('Datos - Objetivos de países'!$B$5:$B$510,"Uruguay",'Datos - Objetivos de países'!$F$5:$F$510,X$3,'Datos - Objetivos de países'!$J$5:$J$510,$A32)+_xlfn.COUNTIFS('Datos - Objetivos de países'!$B$5:$B$510,"Uruguay",'Datos - Objetivos de países'!$F$5:$F$510,X$3,'Datos - Objetivos de países'!$K$5:$K$510,$A32)</f>
        <v>0</v>
      </c>
      <c r="Y32" s="36" cm="1">
        <f t="array" ref="Y32">_xlfn.COUNTIFS('Datos - Objetivos de países'!$B$5:$B$510,"Uruguay",'Datos - Objetivos de países'!$F$5:$F$510,Y$3,'Datos - Objetivos de países'!$J$5:$J$510,$A32)+_xlfn.COUNTIFS('Datos - Objetivos de países'!$B$5:$B$510,"Uruguay",'Datos - Objetivos de países'!$F$5:$F$510,Y$3,'Datos - Objetivos de países'!$K$5:$K$510,$A32)</f>
        <v>2</v>
      </c>
      <c r="Z32" s="36" cm="1">
        <f t="array" ref="Z32">_xlfn.COUNTIFS('Datos - Objetivos de países'!$B$5:$B$510,"Uruguay",'Datos - Objetivos de países'!$F$5:$F$510,Z$3,'Datos - Objetivos de países'!$J$5:$J$510,$A32)+_xlfn.COUNTIFS('Datos - Objetivos de países'!$B$5:$B$510,"Uruguay",'Datos - Objetivos de países'!$F$5:$F$510,Z$3,'Datos - Objetivos de países'!$K$5:$K$510,$A32)</f>
        <v>0</v>
      </c>
      <c r="AA32" s="36" cm="1">
        <f t="array" ref="AA32">_xlfn.COUNTIFS('Datos - Objetivos de países'!$B$5:$B$510,"Uruguay",'Datos - Objetivos de países'!$F$5:$F$510,AA$3,'Datos - Objetivos de países'!$J$5:$J$510,$A32)+_xlfn.COUNTIFS('Datos - Objetivos de países'!$B$5:$B$510,"Uruguay",'Datos - Objetivos de países'!$F$5:$F$510,AA$3,'Datos - Objetivos de países'!$K$5:$K$510,$A32)</f>
        <v>0</v>
      </c>
      <c r="AB32" s="36" cm="1">
        <f t="array" ref="AB32">_xlfn.COUNTIFS('Datos - Objetivos de países'!$B$5:$B$510,"Uruguay",'Datos - Objetivos de países'!$F$5:$F$510,AB$3,'Datos - Objetivos de países'!$J$5:$J$510,$A32)+_xlfn.COUNTIFS('Datos - Objetivos de países'!$B$5:$B$510,"Uruguay",'Datos - Objetivos de países'!$F$5:$F$510,AB$3,'Datos - Objetivos de países'!$K$5:$K$510,$A32)</f>
        <v>0</v>
      </c>
      <c r="AC32" s="36" cm="1">
        <f t="array" ref="AC32">_xlfn.COUNTIFS('Datos - Objetivos de países'!$B$5:$B$510,"Uruguay",'Datos - Objetivos de países'!$F$5:$F$510,AC$3,'Datos - Objetivos de países'!$J$5:$J$510,$A32)+_xlfn.COUNTIFS('Datos - Objetivos de países'!$B$5:$B$510,"Uruguay",'Datos - Objetivos de países'!$F$5:$F$510,AC$3,'Datos - Objetivos de países'!$K$5:$K$510,$A32)</f>
        <v>0</v>
      </c>
      <c r="AD32" s="36" cm="1">
        <f t="array" ref="AD32">_xlfn.COUNTIFS('Datos - Objetivos de países'!$B$5:$B$510,"Uruguay",'Datos - Objetivos de países'!$F$5:$F$510,AD$3,'Datos - Objetivos de países'!$J$5:$J$510,$A32)+_xlfn.COUNTIFS('Datos - Objetivos de países'!$B$5:$B$510,"Uruguay",'Datos - Objetivos de países'!$F$5:$F$510,AD$3,'Datos - Objetivos de países'!$K$5:$K$510,$A32)</f>
        <v>0</v>
      </c>
      <c r="AE32" s="36" cm="1">
        <f t="array" ref="AE32">_xlfn.COUNTIFS('Datos - Objetivos de países'!$B$5:$B$510,"Uruguay",'Datos - Objetivos de países'!$F$5:$F$510,AE$3,'Datos - Objetivos de países'!$J$5:$J$510,$A32)+_xlfn.COUNTIFS('Datos - Objetivos de países'!$B$5:$B$510,"Uruguay",'Datos - Objetivos de países'!$F$5:$F$510,AE$3,'Datos - Objetivos de países'!$K$5:$K$510,$A32)</f>
        <v>0</v>
      </c>
      <c r="AF32" s="36" cm="1">
        <f t="array" ref="AF32">_xlfn.COUNTIFS('Datos - Objetivos de países'!$B$5:$B$510,"Colombia",'Datos - Objetivos de países'!$F$5:$F$510,AF$3,'Datos - Objetivos de países'!$J$5:$J$510,$A32)+_xlfn.COUNTIFS('Datos - Objetivos de países'!$B$5:$B$510,"Colombia",'Datos - Objetivos de países'!$F$5:$F$510,AF$3,'Datos - Objetivos de países'!$K$5:$K$510,$A32)</f>
        <v>1</v>
      </c>
      <c r="AG32" s="36" cm="1">
        <f t="array" ref="AG32">_xlfn.COUNTIFS('Datos - Objetivos de países'!$B$5:$B$510,"Colombia",'Datos - Objetivos de países'!$F$5:$F$510,AG$3,'Datos - Objetivos de países'!$J$5:$J$510,$A32)+_xlfn.COUNTIFS('Datos - Objetivos de países'!$B$5:$B$510,"Colombia",'Datos - Objetivos de países'!$F$5:$F$510,AG$3,'Datos - Objetivos de países'!$K$5:$K$510,$A32)</f>
        <v>0</v>
      </c>
      <c r="AH32" s="36" cm="1">
        <f t="array" ref="AH32">_xlfn.COUNTIFS('Datos - Objetivos de países'!$B$5:$B$510,"Colombia",'Datos - Objetivos de países'!$F$5:$F$510,AH$3,'Datos - Objetivos de países'!$J$5:$J$510,$A32)+_xlfn.COUNTIFS('Datos - Objetivos de países'!$B$5:$B$510,"Colombia",'Datos - Objetivos de países'!$F$5:$F$510,AH$3,'Datos - Objetivos de países'!$K$5:$K$510,$A32)</f>
        <v>0</v>
      </c>
      <c r="AI32" s="36" cm="1">
        <f t="array" ref="AI32">_xlfn.COUNTIFS('Datos - Objetivos de países'!$B$5:$B$510,"Colombia",'Datos - Objetivos de países'!$F$5:$F$510,AI$3,'Datos - Objetivos de países'!$J$5:$J$510,$A32)+_xlfn.COUNTIFS('Datos - Objetivos de países'!$B$5:$B$510,"Colombia",'Datos - Objetivos de países'!$F$5:$F$510,AI$3,'Datos - Objetivos de países'!$K$5:$K$510,$A32)</f>
        <v>4</v>
      </c>
      <c r="AJ32" s="36" cm="1">
        <f t="array" ref="AJ32">_xlfn.COUNTIFS('Datos - Objetivos de países'!$B$5:$B$510,"Colombia",'Datos - Objetivos de países'!$F$5:$F$510,AJ$3,'Datos - Objetivos de países'!$J$5:$J$510,$A32)+_xlfn.COUNTIFS('Datos - Objetivos de países'!$B$5:$B$510,"Colombia",'Datos - Objetivos de países'!$F$5:$F$510,AJ$3,'Datos - Objetivos de países'!$K$5:$K$510,$A32)</f>
        <v>0</v>
      </c>
      <c r="AK32" s="36" cm="1">
        <f t="array" ref="AK32">_xlfn.COUNTIFS('Datos - Objetivos de países'!$B$5:$B$510,"Colombia",'Datos - Objetivos de países'!$F$5:$F$510,AK$3,'Datos - Objetivos de países'!$J$5:$J$510,$A32)+_xlfn.COUNTIFS('Datos - Objetivos de países'!$B$5:$B$510,"Colombia",'Datos - Objetivos de países'!$F$5:$F$510,AK$3,'Datos - Objetivos de países'!$K$5:$K$510,$A32)</f>
        <v>0</v>
      </c>
      <c r="AL32" s="36" cm="1">
        <f t="array" ref="AL32">_xlfn.COUNTIFS('Datos - Objetivos de países'!$B$5:$B$510,"Colombia",'Datos - Objetivos de países'!$F$5:$F$510,AL$3,'Datos - Objetivos de países'!$J$5:$J$510,$A32)+_xlfn.COUNTIFS('Datos - Objetivos de países'!$B$5:$B$510,"Colombia",'Datos - Objetivos de países'!$F$5:$F$510,AL$3,'Datos - Objetivos de países'!$K$5:$K$510,$A32)</f>
        <v>0</v>
      </c>
      <c r="AM32" s="36" cm="1">
        <f t="array" ref="AM32">_xlfn.COUNTIFS('Datos - Objetivos de países'!$B$5:$B$510,"Colombia",'Datos - Objetivos de países'!$F$5:$F$510,AM$3,'Datos - Objetivos de países'!$J$5:$J$510,$A32)+_xlfn.COUNTIFS('Datos - Objetivos de países'!$B$5:$B$510,"Colombia",'Datos - Objetivos de países'!$F$5:$F$510,AM$3,'Datos - Objetivos de países'!$K$5:$K$510,$A32)</f>
        <v>0</v>
      </c>
      <c r="AN32" s="36" cm="1">
        <f t="array" ref="AN32">_xlfn.COUNTIFS('Datos - Objetivos de países'!$B$5:$B$510,"Colombia",'Datos - Objetivos de países'!$F$5:$F$510,AN$3,'Datos - Objetivos de países'!$J$5:$J$510,$A32)+_xlfn.COUNTIFS('Datos - Objetivos de países'!$B$5:$B$510,"Colombia",'Datos - Objetivos de países'!$F$5:$F$510,AN$3,'Datos - Objetivos de países'!$K$5:$K$510,$A32)</f>
        <v>0</v>
      </c>
      <c r="AO32" s="36" cm="1">
        <f t="array" ref="AO32">_xlfn.COUNTIFS('Datos - Objetivos de países'!$B$5:$B$510,"Singapur",'Datos - Objetivos de países'!$F$5:$F$510,AO$3,'Datos - Objetivos de países'!$J$5:$J$510,$A32)+_xlfn.COUNTIFS('Datos - Objetivos de países'!$B$5:$B$510,"Singapur",'Datos - Objetivos de países'!$F$5:$F$510,AO$3,'Datos - Objetivos de países'!$K$5:$K$510,$A32)</f>
        <v>0</v>
      </c>
      <c r="AP32" s="36" cm="1">
        <f t="array" ref="AP32">_xlfn.COUNTIFS('Datos - Objetivos de países'!$B$5:$B$510,"Singapur",'Datos - Objetivos de países'!$F$5:$F$510,AP$3,'Datos - Objetivos de países'!$J$5:$J$510,$A32)+_xlfn.COUNTIFS('Datos - Objetivos de países'!$B$5:$B$510,"Singapur",'Datos - Objetivos de países'!$F$5:$F$510,AP$3,'Datos - Objetivos de países'!$K$5:$K$510,$A32)</f>
        <v>0</v>
      </c>
      <c r="AQ32" s="36" cm="1">
        <f t="array" ref="AQ32">_xlfn.COUNTIFS('Datos - Objetivos de países'!$B$5:$B$510,"Singapur",'Datos - Objetivos de países'!$F$5:$F$510,AQ$3,'Datos - Objetivos de países'!$J$5:$J$510,$A32)+_xlfn.COUNTIFS('Datos - Objetivos de países'!$B$5:$B$510,"Singapur",'Datos - Objetivos de países'!$F$5:$F$510,AQ$3,'Datos - Objetivos de países'!$K$5:$K$510,$A32)</f>
        <v>0</v>
      </c>
      <c r="AR32" s="36" cm="1">
        <f t="array" ref="AR32">_xlfn.COUNTIFS('Datos - Objetivos de países'!$B$5:$B$510,"Singapur",'Datos - Objetivos de países'!$F$5:$F$510,AR$3,'Datos - Objetivos de países'!$J$5:$J$510,$A32)+_xlfn.COUNTIFS('Datos - Objetivos de países'!$B$5:$B$510,"Singapur",'Datos - Objetivos de países'!$F$5:$F$510,AR$3,'Datos - Objetivos de países'!$K$5:$K$510,$A32)</f>
        <v>0</v>
      </c>
      <c r="AS32" s="36" cm="1">
        <f t="array" ref="AS32">_xlfn.COUNTIFS('Datos - Objetivos de países'!$B$5:$B$510,"Singapur",'Datos - Objetivos de países'!$F$5:$F$510,AS$3,'Datos - Objetivos de países'!$J$5:$J$510,$A32)+_xlfn.COUNTIFS('Datos - Objetivos de países'!$B$5:$B$510,"Singapur",'Datos - Objetivos de países'!$F$5:$F$510,AS$3,'Datos - Objetivos de países'!$K$5:$K$510,$A32)</f>
        <v>0</v>
      </c>
      <c r="AT32" s="36" cm="1">
        <f t="array" ref="AT32">_xlfn.COUNTIFS('Datos - Objetivos de países'!$B$5:$B$510,"Singapur",'Datos - Objetivos de países'!$F$5:$F$510,AT$3,'Datos - Objetivos de países'!$J$5:$J$510,$A32)+_xlfn.COUNTIFS('Datos - Objetivos de países'!$B$5:$B$510,"Singapur",'Datos - Objetivos de países'!$F$5:$F$510,AT$3,'Datos - Objetivos de países'!$K$5:$K$510,$A32)</f>
        <v>0</v>
      </c>
      <c r="AU32" s="36" cm="1">
        <f t="array" ref="AU32">_xlfn.COUNTIFS('Datos - Objetivos de países'!$B$5:$B$510,"Singapur",'Datos - Objetivos de países'!$F$5:$F$510,AU$3,'Datos - Objetivos de países'!$J$5:$J$510,$A32)+_xlfn.COUNTIFS('Datos - Objetivos de países'!$B$5:$B$510,"Singapur",'Datos - Objetivos de países'!$F$5:$F$510,AU$3,'Datos - Objetivos de países'!$K$5:$K$510,$A32)</f>
        <v>0</v>
      </c>
      <c r="AV32" s="36" cm="1">
        <f t="array" ref="AV32">_xlfn.COUNTIFS('Datos - Objetivos de países'!$B$5:$B$510,"Singapur",'Datos - Objetivos de países'!$F$5:$F$510,AV$3,'Datos - Objetivos de países'!$J$5:$J$510,$A32)+_xlfn.COUNTIFS('Datos - Objetivos de países'!$B$5:$B$510,"Singapur",'Datos - Objetivos de países'!$F$5:$F$510,AV$3,'Datos - Objetivos de países'!$K$5:$K$510,$A32)</f>
        <v>0</v>
      </c>
      <c r="AW32" s="36" cm="1">
        <f t="array" ref="AW32">_xlfn.COUNTIFS('Datos - Objetivos de países'!$B$5:$B$510,"Singapur",'Datos - Objetivos de países'!$F$5:$F$510,AW$3,'Datos - Objetivos de países'!$J$5:$J$510,$A32)+_xlfn.COUNTIFS('Datos - Objetivos de países'!$B$5:$B$510,"Singapur",'Datos - Objetivos de países'!$F$5:$F$510,AW$3,'Datos - Objetivos de países'!$K$5:$K$510,$A32)</f>
        <v>0</v>
      </c>
    </row>
    <row r="33" ht="13.65" customHeight="1">
      <c r="A33" t="s" s="78">
        <v>1148</v>
      </c>
      <c r="B33" t="s" s="78">
        <v>1055</v>
      </c>
      <c r="C33" t="s" s="78">
        <v>216</v>
      </c>
      <c r="D33" t="s" s="78">
        <v>1150</v>
      </c>
      <c r="E33" s="80" cm="1">
        <f t="array" ref="E33">_xlfn.IFERROR(MAX($L$3,INDEX($N$3:$V$3,MATCH(TRUE,INDEX(N33:V33&gt;0,0),0))),"—")</f>
        <v>2</v>
      </c>
      <c r="F33" s="80" cm="1">
        <f t="array" ref="F33">_xlfn.IFERROR(MAX($L$3,INDEX($W$3:$AE$3,MATCH(TRUE,INDEX(W33:AE33&gt;0,0),0))),"—")</f>
        <v>3</v>
      </c>
      <c r="G33" s="80" cm="1">
        <f t="array" ref="G33">_xlfn.IFERROR(MAX($L$3,INDEX($AF$3:$AN$3,MATCH(TRUE,INDEX(AF33:AN33&gt;0,0),0))),"—")</f>
        <v>2</v>
      </c>
      <c r="H33" t="str" s="79" cm="1">
        <f t="array" ref="H33">_xlfn.IFERROR(MAX($L$3,INDEX($AO$3:$AW$3,MATCH(TRUE,INDEX(AO33:AW33&gt;0,0),0))),"—")</f>
        <v>—</v>
      </c>
      <c r="I33" s="111" cm="1">
        <f t="array" ref="I33">IF(L33=0,"—",MEDIAN(F33:H33))</f>
        <v>2.5</v>
      </c>
      <c r="J33" s="111" cm="1">
        <f t="array" ref="J33">IF(OR(E33="—",I33="—"),"—",E33-I33)</f>
        <v>-0.5</v>
      </c>
      <c r="K33" t="str" s="49" cm="1">
        <f t="array" ref="K33">IF(E33="—",IF(L33=0,"Nadie lo trabaja","El Salvador no llega"),IF(L33=0,"Solo El Salvador",IF(J33&gt;0,"El Salvador llega más tarde",IF(J33&lt;0,"El Salvador va adelantado","Mismo grado"))))</f>
        <v>El Salvador va adelantado</v>
      </c>
      <c r="L33" s="80" cm="1">
        <f t="array" ref="L33">COUNT(F33:H33)</f>
        <v>2</v>
      </c>
      <c r="M33" s="110"/>
      <c r="N33" s="36" cm="1">
        <f t="array" ref="N33">_xlfn.COUNTIFS('Datos - Temas'!$C$5:$C$1264,"Ciencias",'Datos - Temas'!$B$5:$B$1264,N$3,'Datos - Temas'!$K$5:$K$1264,$A33)+_xlfn.COUNTIFS('Datos - Temas'!$C$5:$C$1264,"Ciencias",'Datos - Temas'!$B$5:$B$1264,N$3,'Datos - Temas'!$L$5:$L$1264,$A33)</f>
        <v>0</v>
      </c>
      <c r="O33" s="36" cm="1">
        <f t="array" ref="O33">_xlfn.COUNTIFS('Datos - Temas'!$C$5:$C$1264,"Ciencias",'Datos - Temas'!$B$5:$B$1264,O$3,'Datos - Temas'!$K$5:$K$1264,$A33)+_xlfn.COUNTIFS('Datos - Temas'!$C$5:$C$1264,"Ciencias",'Datos - Temas'!$B$5:$B$1264,O$3,'Datos - Temas'!$L$5:$L$1264,$A33)</f>
        <v>4</v>
      </c>
      <c r="P33" s="36" cm="1">
        <f t="array" ref="P33">_xlfn.COUNTIFS('Datos - Temas'!$C$5:$C$1264,"Ciencias",'Datos - Temas'!$B$5:$B$1264,P$3,'Datos - Temas'!$K$5:$K$1264,$A33)+_xlfn.COUNTIFS('Datos - Temas'!$C$5:$C$1264,"Ciencias",'Datos - Temas'!$B$5:$B$1264,P$3,'Datos - Temas'!$L$5:$L$1264,$A33)</f>
        <v>7</v>
      </c>
      <c r="Q33" s="36" cm="1">
        <f t="array" ref="Q33">_xlfn.COUNTIFS('Datos - Temas'!$C$5:$C$1264,"Ciencias",'Datos - Temas'!$B$5:$B$1264,Q$3,'Datos - Temas'!$K$5:$K$1264,$A33)+_xlfn.COUNTIFS('Datos - Temas'!$C$5:$C$1264,"Ciencias",'Datos - Temas'!$B$5:$B$1264,Q$3,'Datos - Temas'!$L$5:$L$1264,$A33)</f>
        <v>1</v>
      </c>
      <c r="R33" s="36" cm="1">
        <f t="array" ref="R33">_xlfn.COUNTIFS('Datos - Temas'!$C$5:$C$1264,"Ciencias",'Datos - Temas'!$B$5:$B$1264,R$3,'Datos - Temas'!$K$5:$K$1264,$A33)+_xlfn.COUNTIFS('Datos - Temas'!$C$5:$C$1264,"Ciencias",'Datos - Temas'!$B$5:$B$1264,R$3,'Datos - Temas'!$L$5:$L$1264,$A33)</f>
        <v>0</v>
      </c>
      <c r="S33" s="36" cm="1">
        <f t="array" ref="S33">_xlfn.COUNTIFS('Datos - Temas'!$C$5:$C$1264,"Ciencias",'Datos - Temas'!$B$5:$B$1264,S$3,'Datos - Temas'!$K$5:$K$1264,$A33)+_xlfn.COUNTIFS('Datos - Temas'!$C$5:$C$1264,"Ciencias",'Datos - Temas'!$B$5:$B$1264,S$3,'Datos - Temas'!$L$5:$L$1264,$A33)</f>
        <v>0</v>
      </c>
      <c r="T33" s="36" cm="1">
        <f t="array" ref="T33">_xlfn.COUNTIFS('Datos - Temas'!$C$5:$C$1264,"Ciencias",'Datos - Temas'!$B$5:$B$1264,T$3,'Datos - Temas'!$K$5:$K$1264,$A33)+_xlfn.COUNTIFS('Datos - Temas'!$C$5:$C$1264,"Ciencias",'Datos - Temas'!$B$5:$B$1264,T$3,'Datos - Temas'!$L$5:$L$1264,$A33)</f>
        <v>0</v>
      </c>
      <c r="U33" s="36" cm="1">
        <f t="array" ref="U33">_xlfn.COUNTIFS('Datos - Temas'!$C$5:$C$1264,"Ciencias",'Datos - Temas'!$B$5:$B$1264,U$3,'Datos - Temas'!$K$5:$K$1264,$A33)+_xlfn.COUNTIFS('Datos - Temas'!$C$5:$C$1264,"Ciencias",'Datos - Temas'!$B$5:$B$1264,U$3,'Datos - Temas'!$L$5:$L$1264,$A33)</f>
        <v>0</v>
      </c>
      <c r="V33" s="36" cm="1">
        <f t="array" ref="V33">_xlfn.COUNTIFS('Datos - Temas'!$C$5:$C$1264,"Ciencias",'Datos - Temas'!$B$5:$B$1264,V$3,'Datos - Temas'!$K$5:$K$1264,$A33)+_xlfn.COUNTIFS('Datos - Temas'!$C$5:$C$1264,"Ciencias",'Datos - Temas'!$B$5:$B$1264,V$3,'Datos - Temas'!$L$5:$L$1264,$A33)</f>
        <v>0</v>
      </c>
      <c r="W33" s="36" cm="1">
        <f t="array" ref="W33">_xlfn.COUNTIFS('Datos - Objetivos de países'!$B$5:$B$510,"Uruguay",'Datos - Objetivos de países'!$F$5:$F$510,W$3,'Datos - Objetivos de países'!$J$5:$J$510,$A33)+_xlfn.COUNTIFS('Datos - Objetivos de países'!$B$5:$B$510,"Uruguay",'Datos - Objetivos de países'!$F$5:$F$510,W$3,'Datos - Objetivos de países'!$K$5:$K$510,$A33)</f>
        <v>0</v>
      </c>
      <c r="X33" s="36" cm="1">
        <f t="array" ref="X33">_xlfn.COUNTIFS('Datos - Objetivos de países'!$B$5:$B$510,"Uruguay",'Datos - Objetivos de países'!$F$5:$F$510,X$3,'Datos - Objetivos de países'!$J$5:$J$510,$A33)+_xlfn.COUNTIFS('Datos - Objetivos de países'!$B$5:$B$510,"Uruguay",'Datos - Objetivos de países'!$F$5:$F$510,X$3,'Datos - Objetivos de países'!$K$5:$K$510,$A33)</f>
        <v>0</v>
      </c>
      <c r="Y33" s="36" cm="1">
        <f t="array" ref="Y33">_xlfn.COUNTIFS('Datos - Objetivos de países'!$B$5:$B$510,"Uruguay",'Datos - Objetivos de países'!$F$5:$F$510,Y$3,'Datos - Objetivos de países'!$J$5:$J$510,$A33)+_xlfn.COUNTIFS('Datos - Objetivos de países'!$B$5:$B$510,"Uruguay",'Datos - Objetivos de países'!$F$5:$F$510,Y$3,'Datos - Objetivos de países'!$K$5:$K$510,$A33)</f>
        <v>1</v>
      </c>
      <c r="Z33" s="36" cm="1">
        <f t="array" ref="Z33">_xlfn.COUNTIFS('Datos - Objetivos de países'!$B$5:$B$510,"Uruguay",'Datos - Objetivos de países'!$F$5:$F$510,Z$3,'Datos - Objetivos de países'!$J$5:$J$510,$A33)+_xlfn.COUNTIFS('Datos - Objetivos de países'!$B$5:$B$510,"Uruguay",'Datos - Objetivos de países'!$F$5:$F$510,Z$3,'Datos - Objetivos de países'!$K$5:$K$510,$A33)</f>
        <v>3</v>
      </c>
      <c r="AA33" s="36" cm="1">
        <f t="array" ref="AA33">_xlfn.COUNTIFS('Datos - Objetivos de países'!$B$5:$B$510,"Uruguay",'Datos - Objetivos de países'!$F$5:$F$510,AA$3,'Datos - Objetivos de países'!$J$5:$J$510,$A33)+_xlfn.COUNTIFS('Datos - Objetivos de países'!$B$5:$B$510,"Uruguay",'Datos - Objetivos de países'!$F$5:$F$510,AA$3,'Datos - Objetivos de países'!$K$5:$K$510,$A33)</f>
        <v>0</v>
      </c>
      <c r="AB33" s="36" cm="1">
        <f t="array" ref="AB33">_xlfn.COUNTIFS('Datos - Objetivos de países'!$B$5:$B$510,"Uruguay",'Datos - Objetivos de países'!$F$5:$F$510,AB$3,'Datos - Objetivos de países'!$J$5:$J$510,$A33)+_xlfn.COUNTIFS('Datos - Objetivos de países'!$B$5:$B$510,"Uruguay",'Datos - Objetivos de países'!$F$5:$F$510,AB$3,'Datos - Objetivos de países'!$K$5:$K$510,$A33)</f>
        <v>0</v>
      </c>
      <c r="AC33" s="36" cm="1">
        <f t="array" ref="AC33">_xlfn.COUNTIFS('Datos - Objetivos de países'!$B$5:$B$510,"Uruguay",'Datos - Objetivos de países'!$F$5:$F$510,AC$3,'Datos - Objetivos de países'!$J$5:$J$510,$A33)+_xlfn.COUNTIFS('Datos - Objetivos de países'!$B$5:$B$510,"Uruguay",'Datos - Objetivos de países'!$F$5:$F$510,AC$3,'Datos - Objetivos de países'!$K$5:$K$510,$A33)</f>
        <v>0</v>
      </c>
      <c r="AD33" s="36" cm="1">
        <f t="array" ref="AD33">_xlfn.COUNTIFS('Datos - Objetivos de países'!$B$5:$B$510,"Uruguay",'Datos - Objetivos de países'!$F$5:$F$510,AD$3,'Datos - Objetivos de países'!$J$5:$J$510,$A33)+_xlfn.COUNTIFS('Datos - Objetivos de países'!$B$5:$B$510,"Uruguay",'Datos - Objetivos de países'!$F$5:$F$510,AD$3,'Datos - Objetivos de países'!$K$5:$K$510,$A33)</f>
        <v>0</v>
      </c>
      <c r="AE33" s="36" cm="1">
        <f t="array" ref="AE33">_xlfn.COUNTIFS('Datos - Objetivos de países'!$B$5:$B$510,"Uruguay",'Datos - Objetivos de países'!$F$5:$F$510,AE$3,'Datos - Objetivos de países'!$J$5:$J$510,$A33)+_xlfn.COUNTIFS('Datos - Objetivos de países'!$B$5:$B$510,"Uruguay",'Datos - Objetivos de países'!$F$5:$F$510,AE$3,'Datos - Objetivos de países'!$K$5:$K$510,$A33)</f>
        <v>0</v>
      </c>
      <c r="AF33" s="36" cm="1">
        <f t="array" ref="AF33">_xlfn.COUNTIFS('Datos - Objetivos de países'!$B$5:$B$510,"Colombia",'Datos - Objetivos de países'!$F$5:$F$510,AF$3,'Datos - Objetivos de países'!$J$5:$J$510,$A33)+_xlfn.COUNTIFS('Datos - Objetivos de países'!$B$5:$B$510,"Colombia",'Datos - Objetivos de países'!$F$5:$F$510,AF$3,'Datos - Objetivos de países'!$K$5:$K$510,$A33)</f>
        <v>1</v>
      </c>
      <c r="AG33" s="36" cm="1">
        <f t="array" ref="AG33">_xlfn.COUNTIFS('Datos - Objetivos de países'!$B$5:$B$510,"Colombia",'Datos - Objetivos de países'!$F$5:$F$510,AG$3,'Datos - Objetivos de países'!$J$5:$J$510,$A33)+_xlfn.COUNTIFS('Datos - Objetivos de países'!$B$5:$B$510,"Colombia",'Datos - Objetivos de países'!$F$5:$F$510,AG$3,'Datos - Objetivos de países'!$K$5:$K$510,$A33)</f>
        <v>0</v>
      </c>
      <c r="AH33" s="36" cm="1">
        <f t="array" ref="AH33">_xlfn.COUNTIFS('Datos - Objetivos de países'!$B$5:$B$510,"Colombia",'Datos - Objetivos de países'!$F$5:$F$510,AH$3,'Datos - Objetivos de países'!$J$5:$J$510,$A33)+_xlfn.COUNTIFS('Datos - Objetivos de países'!$B$5:$B$510,"Colombia",'Datos - Objetivos de países'!$F$5:$F$510,AH$3,'Datos - Objetivos de países'!$K$5:$K$510,$A33)</f>
        <v>0</v>
      </c>
      <c r="AI33" s="36" cm="1">
        <f t="array" ref="AI33">_xlfn.COUNTIFS('Datos - Objetivos de países'!$B$5:$B$510,"Colombia",'Datos - Objetivos de países'!$F$5:$F$510,AI$3,'Datos - Objetivos de países'!$J$5:$J$510,$A33)+_xlfn.COUNTIFS('Datos - Objetivos de países'!$B$5:$B$510,"Colombia",'Datos - Objetivos de países'!$F$5:$F$510,AI$3,'Datos - Objetivos de países'!$K$5:$K$510,$A33)</f>
        <v>2</v>
      </c>
      <c r="AJ33" s="36" cm="1">
        <f t="array" ref="AJ33">_xlfn.COUNTIFS('Datos - Objetivos de países'!$B$5:$B$510,"Colombia",'Datos - Objetivos de países'!$F$5:$F$510,AJ$3,'Datos - Objetivos de países'!$J$5:$J$510,$A33)+_xlfn.COUNTIFS('Datos - Objetivos de países'!$B$5:$B$510,"Colombia",'Datos - Objetivos de países'!$F$5:$F$510,AJ$3,'Datos - Objetivos de países'!$K$5:$K$510,$A33)</f>
        <v>0</v>
      </c>
      <c r="AK33" s="36" cm="1">
        <f t="array" ref="AK33">_xlfn.COUNTIFS('Datos - Objetivos de países'!$B$5:$B$510,"Colombia",'Datos - Objetivos de países'!$F$5:$F$510,AK$3,'Datos - Objetivos de países'!$J$5:$J$510,$A33)+_xlfn.COUNTIFS('Datos - Objetivos de países'!$B$5:$B$510,"Colombia",'Datos - Objetivos de países'!$F$5:$F$510,AK$3,'Datos - Objetivos de países'!$K$5:$K$510,$A33)</f>
        <v>0</v>
      </c>
      <c r="AL33" s="36" cm="1">
        <f t="array" ref="AL33">_xlfn.COUNTIFS('Datos - Objetivos de países'!$B$5:$B$510,"Colombia",'Datos - Objetivos de países'!$F$5:$F$510,AL$3,'Datos - Objetivos de países'!$J$5:$J$510,$A33)+_xlfn.COUNTIFS('Datos - Objetivos de países'!$B$5:$B$510,"Colombia",'Datos - Objetivos de países'!$F$5:$F$510,AL$3,'Datos - Objetivos de países'!$K$5:$K$510,$A33)</f>
        <v>0</v>
      </c>
      <c r="AM33" s="36" cm="1">
        <f t="array" ref="AM33">_xlfn.COUNTIFS('Datos - Objetivos de países'!$B$5:$B$510,"Colombia",'Datos - Objetivos de países'!$F$5:$F$510,AM$3,'Datos - Objetivos de países'!$J$5:$J$510,$A33)+_xlfn.COUNTIFS('Datos - Objetivos de países'!$B$5:$B$510,"Colombia",'Datos - Objetivos de países'!$F$5:$F$510,AM$3,'Datos - Objetivos de países'!$K$5:$K$510,$A33)</f>
        <v>0</v>
      </c>
      <c r="AN33" s="36" cm="1">
        <f t="array" ref="AN33">_xlfn.COUNTIFS('Datos - Objetivos de países'!$B$5:$B$510,"Colombia",'Datos - Objetivos de países'!$F$5:$F$510,AN$3,'Datos - Objetivos de países'!$J$5:$J$510,$A33)+_xlfn.COUNTIFS('Datos - Objetivos de países'!$B$5:$B$510,"Colombia",'Datos - Objetivos de países'!$F$5:$F$510,AN$3,'Datos - Objetivos de países'!$K$5:$K$510,$A33)</f>
        <v>0</v>
      </c>
      <c r="AO33" s="36" cm="1">
        <f t="array" ref="AO33">_xlfn.COUNTIFS('Datos - Objetivos de países'!$B$5:$B$510,"Singapur",'Datos - Objetivos de países'!$F$5:$F$510,AO$3,'Datos - Objetivos de países'!$J$5:$J$510,$A33)+_xlfn.COUNTIFS('Datos - Objetivos de países'!$B$5:$B$510,"Singapur",'Datos - Objetivos de países'!$F$5:$F$510,AO$3,'Datos - Objetivos de países'!$K$5:$K$510,$A33)</f>
        <v>0</v>
      </c>
      <c r="AP33" s="36" cm="1">
        <f t="array" ref="AP33">_xlfn.COUNTIFS('Datos - Objetivos de países'!$B$5:$B$510,"Singapur",'Datos - Objetivos de países'!$F$5:$F$510,AP$3,'Datos - Objetivos de países'!$J$5:$J$510,$A33)+_xlfn.COUNTIFS('Datos - Objetivos de países'!$B$5:$B$510,"Singapur",'Datos - Objetivos de países'!$F$5:$F$510,AP$3,'Datos - Objetivos de países'!$K$5:$K$510,$A33)</f>
        <v>0</v>
      </c>
      <c r="AQ33" s="36" cm="1">
        <f t="array" ref="AQ33">_xlfn.COUNTIFS('Datos - Objetivos de países'!$B$5:$B$510,"Singapur",'Datos - Objetivos de países'!$F$5:$F$510,AQ$3,'Datos - Objetivos de países'!$J$5:$J$510,$A33)+_xlfn.COUNTIFS('Datos - Objetivos de países'!$B$5:$B$510,"Singapur",'Datos - Objetivos de países'!$F$5:$F$510,AQ$3,'Datos - Objetivos de países'!$K$5:$K$510,$A33)</f>
        <v>0</v>
      </c>
      <c r="AR33" s="36" cm="1">
        <f t="array" ref="AR33">_xlfn.COUNTIFS('Datos - Objetivos de países'!$B$5:$B$510,"Singapur",'Datos - Objetivos de países'!$F$5:$F$510,AR$3,'Datos - Objetivos de países'!$J$5:$J$510,$A33)+_xlfn.COUNTIFS('Datos - Objetivos de países'!$B$5:$B$510,"Singapur",'Datos - Objetivos de países'!$F$5:$F$510,AR$3,'Datos - Objetivos de países'!$K$5:$K$510,$A33)</f>
        <v>0</v>
      </c>
      <c r="AS33" s="36" cm="1">
        <f t="array" ref="AS33">_xlfn.COUNTIFS('Datos - Objetivos de países'!$B$5:$B$510,"Singapur",'Datos - Objetivos de países'!$F$5:$F$510,AS$3,'Datos - Objetivos de países'!$J$5:$J$510,$A33)+_xlfn.COUNTIFS('Datos - Objetivos de países'!$B$5:$B$510,"Singapur",'Datos - Objetivos de países'!$F$5:$F$510,AS$3,'Datos - Objetivos de países'!$K$5:$K$510,$A33)</f>
        <v>0</v>
      </c>
      <c r="AT33" s="36" cm="1">
        <f t="array" ref="AT33">_xlfn.COUNTIFS('Datos - Objetivos de países'!$B$5:$B$510,"Singapur",'Datos - Objetivos de países'!$F$5:$F$510,AT$3,'Datos - Objetivos de países'!$J$5:$J$510,$A33)+_xlfn.COUNTIFS('Datos - Objetivos de países'!$B$5:$B$510,"Singapur",'Datos - Objetivos de países'!$F$5:$F$510,AT$3,'Datos - Objetivos de países'!$K$5:$K$510,$A33)</f>
        <v>0</v>
      </c>
      <c r="AU33" s="36" cm="1">
        <f t="array" ref="AU33">_xlfn.COUNTIFS('Datos - Objetivos de países'!$B$5:$B$510,"Singapur",'Datos - Objetivos de países'!$F$5:$F$510,AU$3,'Datos - Objetivos de países'!$J$5:$J$510,$A33)+_xlfn.COUNTIFS('Datos - Objetivos de países'!$B$5:$B$510,"Singapur",'Datos - Objetivos de países'!$F$5:$F$510,AU$3,'Datos - Objetivos de países'!$K$5:$K$510,$A33)</f>
        <v>0</v>
      </c>
      <c r="AV33" s="36" cm="1">
        <f t="array" ref="AV33">_xlfn.COUNTIFS('Datos - Objetivos de países'!$B$5:$B$510,"Singapur",'Datos - Objetivos de países'!$F$5:$F$510,AV$3,'Datos - Objetivos de países'!$J$5:$J$510,$A33)+_xlfn.COUNTIFS('Datos - Objetivos de países'!$B$5:$B$510,"Singapur",'Datos - Objetivos de países'!$F$5:$F$510,AV$3,'Datos - Objetivos de países'!$K$5:$K$510,$A33)</f>
        <v>0</v>
      </c>
      <c r="AW33" s="36" cm="1">
        <f t="array" ref="AW33">_xlfn.COUNTIFS('Datos - Objetivos de países'!$B$5:$B$510,"Singapur",'Datos - Objetivos de países'!$F$5:$F$510,AW$3,'Datos - Objetivos de países'!$J$5:$J$510,$A33)+_xlfn.COUNTIFS('Datos - Objetivos de países'!$B$5:$B$510,"Singapur",'Datos - Objetivos de países'!$F$5:$F$510,AW$3,'Datos - Objetivos de países'!$K$5:$K$510,$A33)</f>
        <v>0</v>
      </c>
    </row>
    <row r="34" ht="13.65" customHeight="1">
      <c r="A34" t="s" s="78">
        <v>1152</v>
      </c>
      <c r="B34" t="s" s="78">
        <v>1055</v>
      </c>
      <c r="C34" t="s" s="78">
        <v>216</v>
      </c>
      <c r="D34" t="s" s="78">
        <v>1154</v>
      </c>
      <c r="E34" s="80" cm="1">
        <f t="array" ref="E34">_xlfn.IFERROR(MAX($L$3,INDEX($N$3:$V$3,MATCH(TRUE,INDEX(N34:V34&gt;0,0),0))),"—")</f>
        <v>4</v>
      </c>
      <c r="F34" s="80" cm="1">
        <f t="array" ref="F34">_xlfn.IFERROR(MAX($L$3,INDEX($W$3:$AE$3,MATCH(TRUE,INDEX(W34:AE34&gt;0,0),0))),"—")</f>
        <v>4</v>
      </c>
      <c r="G34" s="80" cm="1">
        <f t="array" ref="G34">_xlfn.IFERROR(MAX($L$3,INDEX($AF$3:$AN$3,MATCH(TRUE,INDEX(AF34:AN34&gt;0,0),0))),"—")</f>
        <v>2</v>
      </c>
      <c r="H34" t="str" s="79" cm="1">
        <f t="array" ref="H34">_xlfn.IFERROR(MAX($L$3,INDEX($AO$3:$AW$3,MATCH(TRUE,INDEX(AO34:AW34&gt;0,0),0))),"—")</f>
        <v>—</v>
      </c>
      <c r="I34" s="111" cm="1">
        <f t="array" ref="I34">IF(L34=0,"—",MEDIAN(F34:H34))</f>
        <v>3</v>
      </c>
      <c r="J34" s="111" cm="1">
        <f t="array" ref="J34">IF(OR(E34="—",I34="—"),"—",E34-I34)</f>
        <v>1</v>
      </c>
      <c r="K34" t="str" s="49" cm="1">
        <f t="array" ref="K34">IF(E34="—",IF(L34=0,"Nadie lo trabaja","El Salvador no llega"),IF(L34=0,"Solo El Salvador",IF(J34&gt;0,"El Salvador llega más tarde",IF(J34&lt;0,"El Salvador va adelantado","Mismo grado"))))</f>
        <v>El Salvador llega más tarde</v>
      </c>
      <c r="L34" s="80" cm="1">
        <f t="array" ref="L34">COUNT(F34:H34)</f>
        <v>2</v>
      </c>
      <c r="M34" s="110"/>
      <c r="N34" s="36" cm="1">
        <f t="array" ref="N34">_xlfn.COUNTIFS('Datos - Temas'!$C$5:$C$1264,"Ciencias",'Datos - Temas'!$B$5:$B$1264,N$3,'Datos - Temas'!$K$5:$K$1264,$A34)+_xlfn.COUNTIFS('Datos - Temas'!$C$5:$C$1264,"Ciencias",'Datos - Temas'!$B$5:$B$1264,N$3,'Datos - Temas'!$L$5:$L$1264,$A34)</f>
        <v>0</v>
      </c>
      <c r="O34" s="36" cm="1">
        <f t="array" ref="O34">_xlfn.COUNTIFS('Datos - Temas'!$C$5:$C$1264,"Ciencias",'Datos - Temas'!$B$5:$B$1264,O$3,'Datos - Temas'!$K$5:$K$1264,$A34)+_xlfn.COUNTIFS('Datos - Temas'!$C$5:$C$1264,"Ciencias",'Datos - Temas'!$B$5:$B$1264,O$3,'Datos - Temas'!$L$5:$L$1264,$A34)</f>
        <v>0</v>
      </c>
      <c r="P34" s="36" cm="1">
        <f t="array" ref="P34">_xlfn.COUNTIFS('Datos - Temas'!$C$5:$C$1264,"Ciencias",'Datos - Temas'!$B$5:$B$1264,P$3,'Datos - Temas'!$K$5:$K$1264,$A34)+_xlfn.COUNTIFS('Datos - Temas'!$C$5:$C$1264,"Ciencias",'Datos - Temas'!$B$5:$B$1264,P$3,'Datos - Temas'!$L$5:$L$1264,$A34)</f>
        <v>0</v>
      </c>
      <c r="Q34" s="36" cm="1">
        <f t="array" ref="Q34">_xlfn.COUNTIFS('Datos - Temas'!$C$5:$C$1264,"Ciencias",'Datos - Temas'!$B$5:$B$1264,Q$3,'Datos - Temas'!$K$5:$K$1264,$A34)+_xlfn.COUNTIFS('Datos - Temas'!$C$5:$C$1264,"Ciencias",'Datos - Temas'!$B$5:$B$1264,Q$3,'Datos - Temas'!$L$5:$L$1264,$A34)</f>
        <v>10</v>
      </c>
      <c r="R34" s="36" cm="1">
        <f t="array" ref="R34">_xlfn.COUNTIFS('Datos - Temas'!$C$5:$C$1264,"Ciencias",'Datos - Temas'!$B$5:$B$1264,R$3,'Datos - Temas'!$K$5:$K$1264,$A34)+_xlfn.COUNTIFS('Datos - Temas'!$C$5:$C$1264,"Ciencias",'Datos - Temas'!$B$5:$B$1264,R$3,'Datos - Temas'!$L$5:$L$1264,$A34)</f>
        <v>0</v>
      </c>
      <c r="S34" s="36" cm="1">
        <f t="array" ref="S34">_xlfn.COUNTIFS('Datos - Temas'!$C$5:$C$1264,"Ciencias",'Datos - Temas'!$B$5:$B$1264,S$3,'Datos - Temas'!$K$5:$K$1264,$A34)+_xlfn.COUNTIFS('Datos - Temas'!$C$5:$C$1264,"Ciencias",'Datos - Temas'!$B$5:$B$1264,S$3,'Datos - Temas'!$L$5:$L$1264,$A34)</f>
        <v>0</v>
      </c>
      <c r="T34" s="36" cm="1">
        <f t="array" ref="T34">_xlfn.COUNTIFS('Datos - Temas'!$C$5:$C$1264,"Ciencias",'Datos - Temas'!$B$5:$B$1264,T$3,'Datos - Temas'!$K$5:$K$1264,$A34)+_xlfn.COUNTIFS('Datos - Temas'!$C$5:$C$1264,"Ciencias",'Datos - Temas'!$B$5:$B$1264,T$3,'Datos - Temas'!$L$5:$L$1264,$A34)</f>
        <v>0</v>
      </c>
      <c r="U34" s="36" cm="1">
        <f t="array" ref="U34">_xlfn.COUNTIFS('Datos - Temas'!$C$5:$C$1264,"Ciencias",'Datos - Temas'!$B$5:$B$1264,U$3,'Datos - Temas'!$K$5:$K$1264,$A34)+_xlfn.COUNTIFS('Datos - Temas'!$C$5:$C$1264,"Ciencias",'Datos - Temas'!$B$5:$B$1264,U$3,'Datos - Temas'!$L$5:$L$1264,$A34)</f>
        <v>0</v>
      </c>
      <c r="V34" s="36" cm="1">
        <f t="array" ref="V34">_xlfn.COUNTIFS('Datos - Temas'!$C$5:$C$1264,"Ciencias",'Datos - Temas'!$B$5:$B$1264,V$3,'Datos - Temas'!$K$5:$K$1264,$A34)+_xlfn.COUNTIFS('Datos - Temas'!$C$5:$C$1264,"Ciencias",'Datos - Temas'!$B$5:$B$1264,V$3,'Datos - Temas'!$L$5:$L$1264,$A34)</f>
        <v>0</v>
      </c>
      <c r="W34" s="36" cm="1">
        <f t="array" ref="W34">_xlfn.COUNTIFS('Datos - Objetivos de países'!$B$5:$B$510,"Uruguay",'Datos - Objetivos de países'!$F$5:$F$510,W$3,'Datos - Objetivos de países'!$J$5:$J$510,$A34)+_xlfn.COUNTIFS('Datos - Objetivos de países'!$B$5:$B$510,"Uruguay",'Datos - Objetivos de países'!$F$5:$F$510,W$3,'Datos - Objetivos de países'!$K$5:$K$510,$A34)</f>
        <v>0</v>
      </c>
      <c r="X34" s="36" cm="1">
        <f t="array" ref="X34">_xlfn.COUNTIFS('Datos - Objetivos de países'!$B$5:$B$510,"Uruguay",'Datos - Objetivos de países'!$F$5:$F$510,X$3,'Datos - Objetivos de países'!$J$5:$J$510,$A34)+_xlfn.COUNTIFS('Datos - Objetivos de países'!$B$5:$B$510,"Uruguay",'Datos - Objetivos de países'!$F$5:$F$510,X$3,'Datos - Objetivos de países'!$K$5:$K$510,$A34)</f>
        <v>0</v>
      </c>
      <c r="Y34" s="36" cm="1">
        <f t="array" ref="Y34">_xlfn.COUNTIFS('Datos - Objetivos de países'!$B$5:$B$510,"Uruguay",'Datos - Objetivos de países'!$F$5:$F$510,Y$3,'Datos - Objetivos de países'!$J$5:$J$510,$A34)+_xlfn.COUNTIFS('Datos - Objetivos de países'!$B$5:$B$510,"Uruguay",'Datos - Objetivos de países'!$F$5:$F$510,Y$3,'Datos - Objetivos de países'!$K$5:$K$510,$A34)</f>
        <v>0</v>
      </c>
      <c r="Z34" s="36" cm="1">
        <f t="array" ref="Z34">_xlfn.COUNTIFS('Datos - Objetivos de países'!$B$5:$B$510,"Uruguay",'Datos - Objetivos de países'!$F$5:$F$510,Z$3,'Datos - Objetivos de países'!$J$5:$J$510,$A34)+_xlfn.COUNTIFS('Datos - Objetivos de países'!$B$5:$B$510,"Uruguay",'Datos - Objetivos de países'!$F$5:$F$510,Z$3,'Datos - Objetivos de países'!$K$5:$K$510,$A34)</f>
        <v>1</v>
      </c>
      <c r="AA34" s="36" cm="1">
        <f t="array" ref="AA34">_xlfn.COUNTIFS('Datos - Objetivos de países'!$B$5:$B$510,"Uruguay",'Datos - Objetivos de países'!$F$5:$F$510,AA$3,'Datos - Objetivos de países'!$J$5:$J$510,$A34)+_xlfn.COUNTIFS('Datos - Objetivos de países'!$B$5:$B$510,"Uruguay",'Datos - Objetivos de países'!$F$5:$F$510,AA$3,'Datos - Objetivos de países'!$K$5:$K$510,$A34)</f>
        <v>0</v>
      </c>
      <c r="AB34" s="36" cm="1">
        <f t="array" ref="AB34">_xlfn.COUNTIFS('Datos - Objetivos de países'!$B$5:$B$510,"Uruguay",'Datos - Objetivos de países'!$F$5:$F$510,AB$3,'Datos - Objetivos de países'!$J$5:$J$510,$A34)+_xlfn.COUNTIFS('Datos - Objetivos de países'!$B$5:$B$510,"Uruguay",'Datos - Objetivos de países'!$F$5:$F$510,AB$3,'Datos - Objetivos de países'!$K$5:$K$510,$A34)</f>
        <v>0</v>
      </c>
      <c r="AC34" s="36" cm="1">
        <f t="array" ref="AC34">_xlfn.COUNTIFS('Datos - Objetivos de países'!$B$5:$B$510,"Uruguay",'Datos - Objetivos de países'!$F$5:$F$510,AC$3,'Datos - Objetivos de países'!$J$5:$J$510,$A34)+_xlfn.COUNTIFS('Datos - Objetivos de países'!$B$5:$B$510,"Uruguay",'Datos - Objetivos de países'!$F$5:$F$510,AC$3,'Datos - Objetivos de países'!$K$5:$K$510,$A34)</f>
        <v>0</v>
      </c>
      <c r="AD34" s="36" cm="1">
        <f t="array" ref="AD34">_xlfn.COUNTIFS('Datos - Objetivos de países'!$B$5:$B$510,"Uruguay",'Datos - Objetivos de países'!$F$5:$F$510,AD$3,'Datos - Objetivos de países'!$J$5:$J$510,$A34)+_xlfn.COUNTIFS('Datos - Objetivos de países'!$B$5:$B$510,"Uruguay",'Datos - Objetivos de países'!$F$5:$F$510,AD$3,'Datos - Objetivos de países'!$K$5:$K$510,$A34)</f>
        <v>0</v>
      </c>
      <c r="AE34" s="36" cm="1">
        <f t="array" ref="AE34">_xlfn.COUNTIFS('Datos - Objetivos de países'!$B$5:$B$510,"Uruguay",'Datos - Objetivos de países'!$F$5:$F$510,AE$3,'Datos - Objetivos de países'!$J$5:$J$510,$A34)+_xlfn.COUNTIFS('Datos - Objetivos de países'!$B$5:$B$510,"Uruguay",'Datos - Objetivos de países'!$F$5:$F$510,AE$3,'Datos - Objetivos de países'!$K$5:$K$510,$A34)</f>
        <v>0</v>
      </c>
      <c r="AF34" s="36" cm="1">
        <f t="array" ref="AF34">_xlfn.COUNTIFS('Datos - Objetivos de países'!$B$5:$B$510,"Colombia",'Datos - Objetivos de países'!$F$5:$F$510,AF$3,'Datos - Objetivos de países'!$J$5:$J$510,$A34)+_xlfn.COUNTIFS('Datos - Objetivos de países'!$B$5:$B$510,"Colombia",'Datos - Objetivos de países'!$F$5:$F$510,AF$3,'Datos - Objetivos de países'!$K$5:$K$510,$A34)</f>
        <v>1</v>
      </c>
      <c r="AG34" s="36" cm="1">
        <f t="array" ref="AG34">_xlfn.COUNTIFS('Datos - Objetivos de países'!$B$5:$B$510,"Colombia",'Datos - Objetivos de países'!$F$5:$F$510,AG$3,'Datos - Objetivos de países'!$J$5:$J$510,$A34)+_xlfn.COUNTIFS('Datos - Objetivos de países'!$B$5:$B$510,"Colombia",'Datos - Objetivos de países'!$F$5:$F$510,AG$3,'Datos - Objetivos de países'!$K$5:$K$510,$A34)</f>
        <v>0</v>
      </c>
      <c r="AH34" s="36" cm="1">
        <f t="array" ref="AH34">_xlfn.COUNTIFS('Datos - Objetivos de países'!$B$5:$B$510,"Colombia",'Datos - Objetivos de países'!$F$5:$F$510,AH$3,'Datos - Objetivos de países'!$J$5:$J$510,$A34)+_xlfn.COUNTIFS('Datos - Objetivos de países'!$B$5:$B$510,"Colombia",'Datos - Objetivos de países'!$F$5:$F$510,AH$3,'Datos - Objetivos de países'!$K$5:$K$510,$A34)</f>
        <v>0</v>
      </c>
      <c r="AI34" s="36" cm="1">
        <f t="array" ref="AI34">_xlfn.COUNTIFS('Datos - Objetivos de países'!$B$5:$B$510,"Colombia",'Datos - Objetivos de países'!$F$5:$F$510,AI$3,'Datos - Objetivos de países'!$J$5:$J$510,$A34)+_xlfn.COUNTIFS('Datos - Objetivos de países'!$B$5:$B$510,"Colombia",'Datos - Objetivos de países'!$F$5:$F$510,AI$3,'Datos - Objetivos de países'!$K$5:$K$510,$A34)</f>
        <v>3</v>
      </c>
      <c r="AJ34" s="36" cm="1">
        <f t="array" ref="AJ34">_xlfn.COUNTIFS('Datos - Objetivos de países'!$B$5:$B$510,"Colombia",'Datos - Objetivos de países'!$F$5:$F$510,AJ$3,'Datos - Objetivos de países'!$J$5:$J$510,$A34)+_xlfn.COUNTIFS('Datos - Objetivos de países'!$B$5:$B$510,"Colombia",'Datos - Objetivos de países'!$F$5:$F$510,AJ$3,'Datos - Objetivos de países'!$K$5:$K$510,$A34)</f>
        <v>0</v>
      </c>
      <c r="AK34" s="36" cm="1">
        <f t="array" ref="AK34">_xlfn.COUNTIFS('Datos - Objetivos de países'!$B$5:$B$510,"Colombia",'Datos - Objetivos de países'!$F$5:$F$510,AK$3,'Datos - Objetivos de países'!$J$5:$J$510,$A34)+_xlfn.COUNTIFS('Datos - Objetivos de países'!$B$5:$B$510,"Colombia",'Datos - Objetivos de países'!$F$5:$F$510,AK$3,'Datos - Objetivos de países'!$K$5:$K$510,$A34)</f>
        <v>0</v>
      </c>
      <c r="AL34" s="36" cm="1">
        <f t="array" ref="AL34">_xlfn.COUNTIFS('Datos - Objetivos de países'!$B$5:$B$510,"Colombia",'Datos - Objetivos de países'!$F$5:$F$510,AL$3,'Datos - Objetivos de países'!$J$5:$J$510,$A34)+_xlfn.COUNTIFS('Datos - Objetivos de países'!$B$5:$B$510,"Colombia",'Datos - Objetivos de países'!$F$5:$F$510,AL$3,'Datos - Objetivos de países'!$K$5:$K$510,$A34)</f>
        <v>0</v>
      </c>
      <c r="AM34" s="36" cm="1">
        <f t="array" ref="AM34">_xlfn.COUNTIFS('Datos - Objetivos de países'!$B$5:$B$510,"Colombia",'Datos - Objetivos de países'!$F$5:$F$510,AM$3,'Datos - Objetivos de países'!$J$5:$J$510,$A34)+_xlfn.COUNTIFS('Datos - Objetivos de países'!$B$5:$B$510,"Colombia",'Datos - Objetivos de países'!$F$5:$F$510,AM$3,'Datos - Objetivos de países'!$K$5:$K$510,$A34)</f>
        <v>0</v>
      </c>
      <c r="AN34" s="36" cm="1">
        <f t="array" ref="AN34">_xlfn.COUNTIFS('Datos - Objetivos de países'!$B$5:$B$510,"Colombia",'Datos - Objetivos de países'!$F$5:$F$510,AN$3,'Datos - Objetivos de países'!$J$5:$J$510,$A34)+_xlfn.COUNTIFS('Datos - Objetivos de países'!$B$5:$B$510,"Colombia",'Datos - Objetivos de países'!$F$5:$F$510,AN$3,'Datos - Objetivos de países'!$K$5:$K$510,$A34)</f>
        <v>0</v>
      </c>
      <c r="AO34" s="36" cm="1">
        <f t="array" ref="AO34">_xlfn.COUNTIFS('Datos - Objetivos de países'!$B$5:$B$510,"Singapur",'Datos - Objetivos de países'!$F$5:$F$510,AO$3,'Datos - Objetivos de países'!$J$5:$J$510,$A34)+_xlfn.COUNTIFS('Datos - Objetivos de países'!$B$5:$B$510,"Singapur",'Datos - Objetivos de países'!$F$5:$F$510,AO$3,'Datos - Objetivos de países'!$K$5:$K$510,$A34)</f>
        <v>0</v>
      </c>
      <c r="AP34" s="36" cm="1">
        <f t="array" ref="AP34">_xlfn.COUNTIFS('Datos - Objetivos de países'!$B$5:$B$510,"Singapur",'Datos - Objetivos de países'!$F$5:$F$510,AP$3,'Datos - Objetivos de países'!$J$5:$J$510,$A34)+_xlfn.COUNTIFS('Datos - Objetivos de países'!$B$5:$B$510,"Singapur",'Datos - Objetivos de países'!$F$5:$F$510,AP$3,'Datos - Objetivos de países'!$K$5:$K$510,$A34)</f>
        <v>0</v>
      </c>
      <c r="AQ34" s="36" cm="1">
        <f t="array" ref="AQ34">_xlfn.COUNTIFS('Datos - Objetivos de países'!$B$5:$B$510,"Singapur",'Datos - Objetivos de países'!$F$5:$F$510,AQ$3,'Datos - Objetivos de países'!$J$5:$J$510,$A34)+_xlfn.COUNTIFS('Datos - Objetivos de países'!$B$5:$B$510,"Singapur",'Datos - Objetivos de países'!$F$5:$F$510,AQ$3,'Datos - Objetivos de países'!$K$5:$K$510,$A34)</f>
        <v>0</v>
      </c>
      <c r="AR34" s="36" cm="1">
        <f t="array" ref="AR34">_xlfn.COUNTIFS('Datos - Objetivos de países'!$B$5:$B$510,"Singapur",'Datos - Objetivos de países'!$F$5:$F$510,AR$3,'Datos - Objetivos de países'!$J$5:$J$510,$A34)+_xlfn.COUNTIFS('Datos - Objetivos de países'!$B$5:$B$510,"Singapur",'Datos - Objetivos de países'!$F$5:$F$510,AR$3,'Datos - Objetivos de países'!$K$5:$K$510,$A34)</f>
        <v>0</v>
      </c>
      <c r="AS34" s="36" cm="1">
        <f t="array" ref="AS34">_xlfn.COUNTIFS('Datos - Objetivos de países'!$B$5:$B$510,"Singapur",'Datos - Objetivos de países'!$F$5:$F$510,AS$3,'Datos - Objetivos de países'!$J$5:$J$510,$A34)+_xlfn.COUNTIFS('Datos - Objetivos de países'!$B$5:$B$510,"Singapur",'Datos - Objetivos de países'!$F$5:$F$510,AS$3,'Datos - Objetivos de países'!$K$5:$K$510,$A34)</f>
        <v>0</v>
      </c>
      <c r="AT34" s="36" cm="1">
        <f t="array" ref="AT34">_xlfn.COUNTIFS('Datos - Objetivos de países'!$B$5:$B$510,"Singapur",'Datos - Objetivos de países'!$F$5:$F$510,AT$3,'Datos - Objetivos de países'!$J$5:$J$510,$A34)+_xlfn.COUNTIFS('Datos - Objetivos de países'!$B$5:$B$510,"Singapur",'Datos - Objetivos de países'!$F$5:$F$510,AT$3,'Datos - Objetivos de países'!$K$5:$K$510,$A34)</f>
        <v>0</v>
      </c>
      <c r="AU34" s="36" cm="1">
        <f t="array" ref="AU34">_xlfn.COUNTIFS('Datos - Objetivos de países'!$B$5:$B$510,"Singapur",'Datos - Objetivos de países'!$F$5:$F$510,AU$3,'Datos - Objetivos de países'!$J$5:$J$510,$A34)+_xlfn.COUNTIFS('Datos - Objetivos de países'!$B$5:$B$510,"Singapur",'Datos - Objetivos de países'!$F$5:$F$510,AU$3,'Datos - Objetivos de países'!$K$5:$K$510,$A34)</f>
        <v>0</v>
      </c>
      <c r="AV34" s="36" cm="1">
        <f t="array" ref="AV34">_xlfn.COUNTIFS('Datos - Objetivos de países'!$B$5:$B$510,"Singapur",'Datos - Objetivos de países'!$F$5:$F$510,AV$3,'Datos - Objetivos de países'!$J$5:$J$510,$A34)+_xlfn.COUNTIFS('Datos - Objetivos de países'!$B$5:$B$510,"Singapur",'Datos - Objetivos de países'!$F$5:$F$510,AV$3,'Datos - Objetivos de países'!$K$5:$K$510,$A34)</f>
        <v>0</v>
      </c>
      <c r="AW34" s="36" cm="1">
        <f t="array" ref="AW34">_xlfn.COUNTIFS('Datos - Objetivos de países'!$B$5:$B$510,"Singapur",'Datos - Objetivos de países'!$F$5:$F$510,AW$3,'Datos - Objetivos de países'!$J$5:$J$510,$A34)+_xlfn.COUNTIFS('Datos - Objetivos de países'!$B$5:$B$510,"Singapur",'Datos - Objetivos de países'!$F$5:$F$510,AW$3,'Datos - Objetivos de países'!$K$5:$K$510,$A34)</f>
        <v>0</v>
      </c>
    </row>
    <row r="35" ht="13.65" customHeight="1">
      <c r="A35" t="s" s="78">
        <v>1156</v>
      </c>
      <c r="B35" t="s" s="78">
        <v>1055</v>
      </c>
      <c r="C35" t="s" s="78">
        <v>216</v>
      </c>
      <c r="D35" t="s" s="78">
        <v>1157</v>
      </c>
      <c r="E35" s="80" cm="1">
        <f t="array" ref="E35">_xlfn.IFERROR(MAX($L$3,INDEX($N$3:$V$3,MATCH(TRUE,INDEX(N35:V35&gt;0,0),0))),"—")</f>
        <v>2</v>
      </c>
      <c r="F35" s="80" cm="1">
        <f t="array" ref="F35">_xlfn.IFERROR(MAX($L$3,INDEX($W$3:$AE$3,MATCH(TRUE,INDEX(W35:AE35&gt;0,0),0))),"—")</f>
        <v>3</v>
      </c>
      <c r="G35" s="80" cm="1">
        <f t="array" ref="G35">_xlfn.IFERROR(MAX($L$3,INDEX($AF$3:$AN$3,MATCH(TRUE,INDEX(AF35:AN35&gt;0,0),0))),"—")</f>
        <v>2</v>
      </c>
      <c r="H35" t="str" s="79" cm="1">
        <f t="array" ref="H35">_xlfn.IFERROR(MAX($L$3,INDEX($AO$3:$AW$3,MATCH(TRUE,INDEX(AO35:AW35&gt;0,0),0))),"—")</f>
        <v>—</v>
      </c>
      <c r="I35" s="111" cm="1">
        <f t="array" ref="I35">IF(L35=0,"—",MEDIAN(F35:H35))</f>
        <v>2.5</v>
      </c>
      <c r="J35" s="111" cm="1">
        <f t="array" ref="J35">IF(OR(E35="—",I35="—"),"—",E35-I35)</f>
        <v>-0.5</v>
      </c>
      <c r="K35" t="str" s="49" cm="1">
        <f t="array" ref="K35">IF(E35="—",IF(L35=0,"Nadie lo trabaja","El Salvador no llega"),IF(L35=0,"Solo El Salvador",IF(J35&gt;0,"El Salvador llega más tarde",IF(J35&lt;0,"El Salvador va adelantado","Mismo grado"))))</f>
        <v>El Salvador va adelantado</v>
      </c>
      <c r="L35" s="80" cm="1">
        <f t="array" ref="L35">COUNT(F35:H35)</f>
        <v>2</v>
      </c>
      <c r="M35" s="110"/>
      <c r="N35" s="36" cm="1">
        <f t="array" ref="N35">_xlfn.COUNTIFS('Datos - Temas'!$C$5:$C$1264,"Ciencias",'Datos - Temas'!$B$5:$B$1264,N$3,'Datos - Temas'!$K$5:$K$1264,$A35)+_xlfn.COUNTIFS('Datos - Temas'!$C$5:$C$1264,"Ciencias",'Datos - Temas'!$B$5:$B$1264,N$3,'Datos - Temas'!$L$5:$L$1264,$A35)</f>
        <v>0</v>
      </c>
      <c r="O35" s="36" cm="1">
        <f t="array" ref="O35">_xlfn.COUNTIFS('Datos - Temas'!$C$5:$C$1264,"Ciencias",'Datos - Temas'!$B$5:$B$1264,O$3,'Datos - Temas'!$K$5:$K$1264,$A35)+_xlfn.COUNTIFS('Datos - Temas'!$C$5:$C$1264,"Ciencias",'Datos - Temas'!$B$5:$B$1264,O$3,'Datos - Temas'!$L$5:$L$1264,$A35)</f>
        <v>3</v>
      </c>
      <c r="P35" s="36" cm="1">
        <f t="array" ref="P35">_xlfn.COUNTIFS('Datos - Temas'!$C$5:$C$1264,"Ciencias",'Datos - Temas'!$B$5:$B$1264,P$3,'Datos - Temas'!$K$5:$K$1264,$A35)+_xlfn.COUNTIFS('Datos - Temas'!$C$5:$C$1264,"Ciencias",'Datos - Temas'!$B$5:$B$1264,P$3,'Datos - Temas'!$L$5:$L$1264,$A35)</f>
        <v>0</v>
      </c>
      <c r="Q35" s="36" cm="1">
        <f t="array" ref="Q35">_xlfn.COUNTIFS('Datos - Temas'!$C$5:$C$1264,"Ciencias",'Datos - Temas'!$B$5:$B$1264,Q$3,'Datos - Temas'!$K$5:$K$1264,$A35)+_xlfn.COUNTIFS('Datos - Temas'!$C$5:$C$1264,"Ciencias",'Datos - Temas'!$B$5:$B$1264,Q$3,'Datos - Temas'!$L$5:$L$1264,$A35)</f>
        <v>0</v>
      </c>
      <c r="R35" s="36" cm="1">
        <f t="array" ref="R35">_xlfn.COUNTIFS('Datos - Temas'!$C$5:$C$1264,"Ciencias",'Datos - Temas'!$B$5:$B$1264,R$3,'Datos - Temas'!$K$5:$K$1264,$A35)+_xlfn.COUNTIFS('Datos - Temas'!$C$5:$C$1264,"Ciencias",'Datos - Temas'!$B$5:$B$1264,R$3,'Datos - Temas'!$L$5:$L$1264,$A35)</f>
        <v>0</v>
      </c>
      <c r="S35" s="36" cm="1">
        <f t="array" ref="S35">_xlfn.COUNTIFS('Datos - Temas'!$C$5:$C$1264,"Ciencias",'Datos - Temas'!$B$5:$B$1264,S$3,'Datos - Temas'!$K$5:$K$1264,$A35)+_xlfn.COUNTIFS('Datos - Temas'!$C$5:$C$1264,"Ciencias",'Datos - Temas'!$B$5:$B$1264,S$3,'Datos - Temas'!$L$5:$L$1264,$A35)</f>
        <v>0</v>
      </c>
      <c r="T35" s="36" cm="1">
        <f t="array" ref="T35">_xlfn.COUNTIFS('Datos - Temas'!$C$5:$C$1264,"Ciencias",'Datos - Temas'!$B$5:$B$1264,T$3,'Datos - Temas'!$K$5:$K$1264,$A35)+_xlfn.COUNTIFS('Datos - Temas'!$C$5:$C$1264,"Ciencias",'Datos - Temas'!$B$5:$B$1264,T$3,'Datos - Temas'!$L$5:$L$1264,$A35)</f>
        <v>0</v>
      </c>
      <c r="U35" s="36" cm="1">
        <f t="array" ref="U35">_xlfn.COUNTIFS('Datos - Temas'!$C$5:$C$1264,"Ciencias",'Datos - Temas'!$B$5:$B$1264,U$3,'Datos - Temas'!$K$5:$K$1264,$A35)+_xlfn.COUNTIFS('Datos - Temas'!$C$5:$C$1264,"Ciencias",'Datos - Temas'!$B$5:$B$1264,U$3,'Datos - Temas'!$L$5:$L$1264,$A35)</f>
        <v>0</v>
      </c>
      <c r="V35" s="36" cm="1">
        <f t="array" ref="V35">_xlfn.COUNTIFS('Datos - Temas'!$C$5:$C$1264,"Ciencias",'Datos - Temas'!$B$5:$B$1264,V$3,'Datos - Temas'!$K$5:$K$1264,$A35)+_xlfn.COUNTIFS('Datos - Temas'!$C$5:$C$1264,"Ciencias",'Datos - Temas'!$B$5:$B$1264,V$3,'Datos - Temas'!$L$5:$L$1264,$A35)</f>
        <v>0</v>
      </c>
      <c r="W35" s="36" cm="1">
        <f t="array" ref="W35">_xlfn.COUNTIFS('Datos - Objetivos de países'!$B$5:$B$510,"Uruguay",'Datos - Objetivos de países'!$F$5:$F$510,W$3,'Datos - Objetivos de países'!$J$5:$J$510,$A35)+_xlfn.COUNTIFS('Datos - Objetivos de países'!$B$5:$B$510,"Uruguay",'Datos - Objetivos de países'!$F$5:$F$510,W$3,'Datos - Objetivos de países'!$K$5:$K$510,$A35)</f>
        <v>0</v>
      </c>
      <c r="X35" s="36" cm="1">
        <f t="array" ref="X35">_xlfn.COUNTIFS('Datos - Objetivos de países'!$B$5:$B$510,"Uruguay",'Datos - Objetivos de países'!$F$5:$F$510,X$3,'Datos - Objetivos de países'!$J$5:$J$510,$A35)+_xlfn.COUNTIFS('Datos - Objetivos de países'!$B$5:$B$510,"Uruguay",'Datos - Objetivos de países'!$F$5:$F$510,X$3,'Datos - Objetivos de países'!$K$5:$K$510,$A35)</f>
        <v>0</v>
      </c>
      <c r="Y35" s="36" cm="1">
        <f t="array" ref="Y35">_xlfn.COUNTIFS('Datos - Objetivos de países'!$B$5:$B$510,"Uruguay",'Datos - Objetivos de países'!$F$5:$F$510,Y$3,'Datos - Objetivos de países'!$J$5:$J$510,$A35)+_xlfn.COUNTIFS('Datos - Objetivos de países'!$B$5:$B$510,"Uruguay",'Datos - Objetivos de países'!$F$5:$F$510,Y$3,'Datos - Objetivos de países'!$K$5:$K$510,$A35)</f>
        <v>1</v>
      </c>
      <c r="Z35" s="36" cm="1">
        <f t="array" ref="Z35">_xlfn.COUNTIFS('Datos - Objetivos de países'!$B$5:$B$510,"Uruguay",'Datos - Objetivos de países'!$F$5:$F$510,Z$3,'Datos - Objetivos de países'!$J$5:$J$510,$A35)+_xlfn.COUNTIFS('Datos - Objetivos de países'!$B$5:$B$510,"Uruguay",'Datos - Objetivos de países'!$F$5:$F$510,Z$3,'Datos - Objetivos de países'!$K$5:$K$510,$A35)</f>
        <v>0</v>
      </c>
      <c r="AA35" s="36" cm="1">
        <f t="array" ref="AA35">_xlfn.COUNTIFS('Datos - Objetivos de países'!$B$5:$B$510,"Uruguay",'Datos - Objetivos de países'!$F$5:$F$510,AA$3,'Datos - Objetivos de países'!$J$5:$J$510,$A35)+_xlfn.COUNTIFS('Datos - Objetivos de países'!$B$5:$B$510,"Uruguay",'Datos - Objetivos de países'!$F$5:$F$510,AA$3,'Datos - Objetivos de países'!$K$5:$K$510,$A35)</f>
        <v>0</v>
      </c>
      <c r="AB35" s="36" cm="1">
        <f t="array" ref="AB35">_xlfn.COUNTIFS('Datos - Objetivos de países'!$B$5:$B$510,"Uruguay",'Datos - Objetivos de países'!$F$5:$F$510,AB$3,'Datos - Objetivos de países'!$J$5:$J$510,$A35)+_xlfn.COUNTIFS('Datos - Objetivos de países'!$B$5:$B$510,"Uruguay",'Datos - Objetivos de países'!$F$5:$F$510,AB$3,'Datos - Objetivos de países'!$K$5:$K$510,$A35)</f>
        <v>0</v>
      </c>
      <c r="AC35" s="36" cm="1">
        <f t="array" ref="AC35">_xlfn.COUNTIFS('Datos - Objetivos de países'!$B$5:$B$510,"Uruguay",'Datos - Objetivos de países'!$F$5:$F$510,AC$3,'Datos - Objetivos de países'!$J$5:$J$510,$A35)+_xlfn.COUNTIFS('Datos - Objetivos de países'!$B$5:$B$510,"Uruguay",'Datos - Objetivos de países'!$F$5:$F$510,AC$3,'Datos - Objetivos de países'!$K$5:$K$510,$A35)</f>
        <v>0</v>
      </c>
      <c r="AD35" s="36" cm="1">
        <f t="array" ref="AD35">_xlfn.COUNTIFS('Datos - Objetivos de países'!$B$5:$B$510,"Uruguay",'Datos - Objetivos de países'!$F$5:$F$510,AD$3,'Datos - Objetivos de países'!$J$5:$J$510,$A35)+_xlfn.COUNTIFS('Datos - Objetivos de países'!$B$5:$B$510,"Uruguay",'Datos - Objetivos de países'!$F$5:$F$510,AD$3,'Datos - Objetivos de países'!$K$5:$K$510,$A35)</f>
        <v>0</v>
      </c>
      <c r="AE35" s="36" cm="1">
        <f t="array" ref="AE35">_xlfn.COUNTIFS('Datos - Objetivos de países'!$B$5:$B$510,"Uruguay",'Datos - Objetivos de países'!$F$5:$F$510,AE$3,'Datos - Objetivos de países'!$J$5:$J$510,$A35)+_xlfn.COUNTIFS('Datos - Objetivos de países'!$B$5:$B$510,"Uruguay",'Datos - Objetivos de países'!$F$5:$F$510,AE$3,'Datos - Objetivos de países'!$K$5:$K$510,$A35)</f>
        <v>0</v>
      </c>
      <c r="AF35" s="36" cm="1">
        <f t="array" ref="AF35">_xlfn.COUNTIFS('Datos - Objetivos de países'!$B$5:$B$510,"Colombia",'Datos - Objetivos de países'!$F$5:$F$510,AF$3,'Datos - Objetivos de países'!$J$5:$J$510,$A35)+_xlfn.COUNTIFS('Datos - Objetivos de países'!$B$5:$B$510,"Colombia",'Datos - Objetivos de países'!$F$5:$F$510,AF$3,'Datos - Objetivos de países'!$K$5:$K$510,$A35)</f>
        <v>1</v>
      </c>
      <c r="AG35" s="36" cm="1">
        <f t="array" ref="AG35">_xlfn.COUNTIFS('Datos - Objetivos de países'!$B$5:$B$510,"Colombia",'Datos - Objetivos de países'!$F$5:$F$510,AG$3,'Datos - Objetivos de países'!$J$5:$J$510,$A35)+_xlfn.COUNTIFS('Datos - Objetivos de países'!$B$5:$B$510,"Colombia",'Datos - Objetivos de países'!$F$5:$F$510,AG$3,'Datos - Objetivos de países'!$K$5:$K$510,$A35)</f>
        <v>0</v>
      </c>
      <c r="AH35" s="36" cm="1">
        <f t="array" ref="AH35">_xlfn.COUNTIFS('Datos - Objetivos de países'!$B$5:$B$510,"Colombia",'Datos - Objetivos de países'!$F$5:$F$510,AH$3,'Datos - Objetivos de países'!$J$5:$J$510,$A35)+_xlfn.COUNTIFS('Datos - Objetivos de países'!$B$5:$B$510,"Colombia",'Datos - Objetivos de países'!$F$5:$F$510,AH$3,'Datos - Objetivos de países'!$K$5:$K$510,$A35)</f>
        <v>0</v>
      </c>
      <c r="AI35" s="36" cm="1">
        <f t="array" ref="AI35">_xlfn.COUNTIFS('Datos - Objetivos de países'!$B$5:$B$510,"Colombia",'Datos - Objetivos de países'!$F$5:$F$510,AI$3,'Datos - Objetivos de países'!$J$5:$J$510,$A35)+_xlfn.COUNTIFS('Datos - Objetivos de países'!$B$5:$B$510,"Colombia",'Datos - Objetivos de países'!$F$5:$F$510,AI$3,'Datos - Objetivos de países'!$K$5:$K$510,$A35)</f>
        <v>2</v>
      </c>
      <c r="AJ35" s="36" cm="1">
        <f t="array" ref="AJ35">_xlfn.COUNTIFS('Datos - Objetivos de países'!$B$5:$B$510,"Colombia",'Datos - Objetivos de países'!$F$5:$F$510,AJ$3,'Datos - Objetivos de países'!$J$5:$J$510,$A35)+_xlfn.COUNTIFS('Datos - Objetivos de países'!$B$5:$B$510,"Colombia",'Datos - Objetivos de países'!$F$5:$F$510,AJ$3,'Datos - Objetivos de países'!$K$5:$K$510,$A35)</f>
        <v>0</v>
      </c>
      <c r="AK35" s="36" cm="1">
        <f t="array" ref="AK35">_xlfn.COUNTIFS('Datos - Objetivos de países'!$B$5:$B$510,"Colombia",'Datos - Objetivos de países'!$F$5:$F$510,AK$3,'Datos - Objetivos de países'!$J$5:$J$510,$A35)+_xlfn.COUNTIFS('Datos - Objetivos de países'!$B$5:$B$510,"Colombia",'Datos - Objetivos de países'!$F$5:$F$510,AK$3,'Datos - Objetivos de países'!$K$5:$K$510,$A35)</f>
        <v>0</v>
      </c>
      <c r="AL35" s="36" cm="1">
        <f t="array" ref="AL35">_xlfn.COUNTIFS('Datos - Objetivos de países'!$B$5:$B$510,"Colombia",'Datos - Objetivos de países'!$F$5:$F$510,AL$3,'Datos - Objetivos de países'!$J$5:$J$510,$A35)+_xlfn.COUNTIFS('Datos - Objetivos de países'!$B$5:$B$510,"Colombia",'Datos - Objetivos de países'!$F$5:$F$510,AL$3,'Datos - Objetivos de países'!$K$5:$K$510,$A35)</f>
        <v>0</v>
      </c>
      <c r="AM35" s="36" cm="1">
        <f t="array" ref="AM35">_xlfn.COUNTIFS('Datos - Objetivos de países'!$B$5:$B$510,"Colombia",'Datos - Objetivos de países'!$F$5:$F$510,AM$3,'Datos - Objetivos de países'!$J$5:$J$510,$A35)+_xlfn.COUNTIFS('Datos - Objetivos de países'!$B$5:$B$510,"Colombia",'Datos - Objetivos de países'!$F$5:$F$510,AM$3,'Datos - Objetivos de países'!$K$5:$K$510,$A35)</f>
        <v>0</v>
      </c>
      <c r="AN35" s="36" cm="1">
        <f t="array" ref="AN35">_xlfn.COUNTIFS('Datos - Objetivos de países'!$B$5:$B$510,"Colombia",'Datos - Objetivos de países'!$F$5:$F$510,AN$3,'Datos - Objetivos de países'!$J$5:$J$510,$A35)+_xlfn.COUNTIFS('Datos - Objetivos de países'!$B$5:$B$510,"Colombia",'Datos - Objetivos de países'!$F$5:$F$510,AN$3,'Datos - Objetivos de países'!$K$5:$K$510,$A35)</f>
        <v>0</v>
      </c>
      <c r="AO35" s="36" cm="1">
        <f t="array" ref="AO35">_xlfn.COUNTIFS('Datos - Objetivos de países'!$B$5:$B$510,"Singapur",'Datos - Objetivos de países'!$F$5:$F$510,AO$3,'Datos - Objetivos de países'!$J$5:$J$510,$A35)+_xlfn.COUNTIFS('Datos - Objetivos de países'!$B$5:$B$510,"Singapur",'Datos - Objetivos de países'!$F$5:$F$510,AO$3,'Datos - Objetivos de países'!$K$5:$K$510,$A35)</f>
        <v>0</v>
      </c>
      <c r="AP35" s="36" cm="1">
        <f t="array" ref="AP35">_xlfn.COUNTIFS('Datos - Objetivos de países'!$B$5:$B$510,"Singapur",'Datos - Objetivos de países'!$F$5:$F$510,AP$3,'Datos - Objetivos de países'!$J$5:$J$510,$A35)+_xlfn.COUNTIFS('Datos - Objetivos de países'!$B$5:$B$510,"Singapur",'Datos - Objetivos de países'!$F$5:$F$510,AP$3,'Datos - Objetivos de países'!$K$5:$K$510,$A35)</f>
        <v>0</v>
      </c>
      <c r="AQ35" s="36" cm="1">
        <f t="array" ref="AQ35">_xlfn.COUNTIFS('Datos - Objetivos de países'!$B$5:$B$510,"Singapur",'Datos - Objetivos de países'!$F$5:$F$510,AQ$3,'Datos - Objetivos de países'!$J$5:$J$510,$A35)+_xlfn.COUNTIFS('Datos - Objetivos de países'!$B$5:$B$510,"Singapur",'Datos - Objetivos de países'!$F$5:$F$510,AQ$3,'Datos - Objetivos de países'!$K$5:$K$510,$A35)</f>
        <v>0</v>
      </c>
      <c r="AR35" s="36" cm="1">
        <f t="array" ref="AR35">_xlfn.COUNTIFS('Datos - Objetivos de países'!$B$5:$B$510,"Singapur",'Datos - Objetivos de países'!$F$5:$F$510,AR$3,'Datos - Objetivos de países'!$J$5:$J$510,$A35)+_xlfn.COUNTIFS('Datos - Objetivos de países'!$B$5:$B$510,"Singapur",'Datos - Objetivos de países'!$F$5:$F$510,AR$3,'Datos - Objetivos de países'!$K$5:$K$510,$A35)</f>
        <v>0</v>
      </c>
      <c r="AS35" s="36" cm="1">
        <f t="array" ref="AS35">_xlfn.COUNTIFS('Datos - Objetivos de países'!$B$5:$B$510,"Singapur",'Datos - Objetivos de países'!$F$5:$F$510,AS$3,'Datos - Objetivos de países'!$J$5:$J$510,$A35)+_xlfn.COUNTIFS('Datos - Objetivos de países'!$B$5:$B$510,"Singapur",'Datos - Objetivos de países'!$F$5:$F$510,AS$3,'Datos - Objetivos de países'!$K$5:$K$510,$A35)</f>
        <v>0</v>
      </c>
      <c r="AT35" s="36" cm="1">
        <f t="array" ref="AT35">_xlfn.COUNTIFS('Datos - Objetivos de países'!$B$5:$B$510,"Singapur",'Datos - Objetivos de países'!$F$5:$F$510,AT$3,'Datos - Objetivos de países'!$J$5:$J$510,$A35)+_xlfn.COUNTIFS('Datos - Objetivos de países'!$B$5:$B$510,"Singapur",'Datos - Objetivos de países'!$F$5:$F$510,AT$3,'Datos - Objetivos de países'!$K$5:$K$510,$A35)</f>
        <v>0</v>
      </c>
      <c r="AU35" s="36" cm="1">
        <f t="array" ref="AU35">_xlfn.COUNTIFS('Datos - Objetivos de países'!$B$5:$B$510,"Singapur",'Datos - Objetivos de países'!$F$5:$F$510,AU$3,'Datos - Objetivos de países'!$J$5:$J$510,$A35)+_xlfn.COUNTIFS('Datos - Objetivos de países'!$B$5:$B$510,"Singapur",'Datos - Objetivos de países'!$F$5:$F$510,AU$3,'Datos - Objetivos de países'!$K$5:$K$510,$A35)</f>
        <v>0</v>
      </c>
      <c r="AV35" s="36" cm="1">
        <f t="array" ref="AV35">_xlfn.COUNTIFS('Datos - Objetivos de países'!$B$5:$B$510,"Singapur",'Datos - Objetivos de países'!$F$5:$F$510,AV$3,'Datos - Objetivos de países'!$J$5:$J$510,$A35)+_xlfn.COUNTIFS('Datos - Objetivos de países'!$B$5:$B$510,"Singapur",'Datos - Objetivos de países'!$F$5:$F$510,AV$3,'Datos - Objetivos de países'!$K$5:$K$510,$A35)</f>
        <v>0</v>
      </c>
      <c r="AW35" s="36" cm="1">
        <f t="array" ref="AW35">_xlfn.COUNTIFS('Datos - Objetivos de países'!$B$5:$B$510,"Singapur",'Datos - Objetivos de países'!$F$5:$F$510,AW$3,'Datos - Objetivos de países'!$J$5:$J$510,$A35)+_xlfn.COUNTIFS('Datos - Objetivos de países'!$B$5:$B$510,"Singapur",'Datos - Objetivos de países'!$F$5:$F$510,AW$3,'Datos - Objetivos de países'!$K$5:$K$510,$A35)</f>
        <v>0</v>
      </c>
    </row>
    <row r="36" ht="13.65" customHeight="1">
      <c r="A36" t="s" s="78">
        <v>1159</v>
      </c>
      <c r="B36" t="s" s="78">
        <v>1055</v>
      </c>
      <c r="C36" t="s" s="78">
        <v>216</v>
      </c>
      <c r="D36" t="s" s="78">
        <v>1161</v>
      </c>
      <c r="E36" s="80" cm="1">
        <f t="array" ref="E36">_xlfn.IFERROR(MAX($L$3,INDEX($N$3:$V$3,MATCH(TRUE,INDEX(N36:V36&gt;0,0),0))),"—")</f>
        <v>4</v>
      </c>
      <c r="F36" t="str" s="79" cm="1">
        <f t="array" ref="F36">_xlfn.IFERROR(MAX($L$3,INDEX($W$3:$AE$3,MATCH(TRUE,INDEX(W36:AE36&gt;0,0),0))),"—")</f>
        <v>—</v>
      </c>
      <c r="G36" s="80" cm="1">
        <f t="array" ref="G36">_xlfn.IFERROR(MAX($L$3,INDEX($AF$3:$AN$3,MATCH(TRUE,INDEX(AF36:AN36&gt;0,0),0))),"—")</f>
        <v>2</v>
      </c>
      <c r="H36" t="str" s="79" cm="1">
        <f t="array" ref="H36">_xlfn.IFERROR(MAX($L$3,INDEX($AO$3:$AW$3,MATCH(TRUE,INDEX(AO36:AW36&gt;0,0),0))),"—")</f>
        <v>—</v>
      </c>
      <c r="I36" s="111" cm="1">
        <f t="array" ref="I36">IF(L36=0,"—",MEDIAN(F36:H36))</f>
        <v>2</v>
      </c>
      <c r="J36" s="111" cm="1">
        <f t="array" ref="J36">IF(OR(E36="—",I36="—"),"—",E36-I36)</f>
        <v>2</v>
      </c>
      <c r="K36" t="str" s="49" cm="1">
        <f t="array" ref="K36">IF(E36="—",IF(L36=0,"Nadie lo trabaja","El Salvador no llega"),IF(L36=0,"Solo El Salvador",IF(J36&gt;0,"El Salvador llega más tarde",IF(J36&lt;0,"El Salvador va adelantado","Mismo grado"))))</f>
        <v>El Salvador llega más tarde</v>
      </c>
      <c r="L36" s="80" cm="1">
        <f t="array" ref="L36">COUNT(F36:H36)</f>
        <v>1</v>
      </c>
      <c r="M36" s="110"/>
      <c r="N36" s="36" cm="1">
        <f t="array" ref="N36">_xlfn.COUNTIFS('Datos - Temas'!$C$5:$C$1264,"Ciencias",'Datos - Temas'!$B$5:$B$1264,N$3,'Datos - Temas'!$K$5:$K$1264,$A36)+_xlfn.COUNTIFS('Datos - Temas'!$C$5:$C$1264,"Ciencias",'Datos - Temas'!$B$5:$B$1264,N$3,'Datos - Temas'!$L$5:$L$1264,$A36)</f>
        <v>0</v>
      </c>
      <c r="O36" s="36" cm="1">
        <f t="array" ref="O36">_xlfn.COUNTIFS('Datos - Temas'!$C$5:$C$1264,"Ciencias",'Datos - Temas'!$B$5:$B$1264,O$3,'Datos - Temas'!$K$5:$K$1264,$A36)+_xlfn.COUNTIFS('Datos - Temas'!$C$5:$C$1264,"Ciencias",'Datos - Temas'!$B$5:$B$1264,O$3,'Datos - Temas'!$L$5:$L$1264,$A36)</f>
        <v>0</v>
      </c>
      <c r="P36" s="36" cm="1">
        <f t="array" ref="P36">_xlfn.COUNTIFS('Datos - Temas'!$C$5:$C$1264,"Ciencias",'Datos - Temas'!$B$5:$B$1264,P$3,'Datos - Temas'!$K$5:$K$1264,$A36)+_xlfn.COUNTIFS('Datos - Temas'!$C$5:$C$1264,"Ciencias",'Datos - Temas'!$B$5:$B$1264,P$3,'Datos - Temas'!$L$5:$L$1264,$A36)</f>
        <v>0</v>
      </c>
      <c r="Q36" s="36" cm="1">
        <f t="array" ref="Q36">_xlfn.COUNTIFS('Datos - Temas'!$C$5:$C$1264,"Ciencias",'Datos - Temas'!$B$5:$B$1264,Q$3,'Datos - Temas'!$K$5:$K$1264,$A36)+_xlfn.COUNTIFS('Datos - Temas'!$C$5:$C$1264,"Ciencias",'Datos - Temas'!$B$5:$B$1264,Q$3,'Datos - Temas'!$L$5:$L$1264,$A36)</f>
        <v>1</v>
      </c>
      <c r="R36" s="36" cm="1">
        <f t="array" ref="R36">_xlfn.COUNTIFS('Datos - Temas'!$C$5:$C$1264,"Ciencias",'Datos - Temas'!$B$5:$B$1264,R$3,'Datos - Temas'!$K$5:$K$1264,$A36)+_xlfn.COUNTIFS('Datos - Temas'!$C$5:$C$1264,"Ciencias",'Datos - Temas'!$B$5:$B$1264,R$3,'Datos - Temas'!$L$5:$L$1264,$A36)</f>
        <v>0</v>
      </c>
      <c r="S36" s="36" cm="1">
        <f t="array" ref="S36">_xlfn.COUNTIFS('Datos - Temas'!$C$5:$C$1264,"Ciencias",'Datos - Temas'!$B$5:$B$1264,S$3,'Datos - Temas'!$K$5:$K$1264,$A36)+_xlfn.COUNTIFS('Datos - Temas'!$C$5:$C$1264,"Ciencias",'Datos - Temas'!$B$5:$B$1264,S$3,'Datos - Temas'!$L$5:$L$1264,$A36)</f>
        <v>0</v>
      </c>
      <c r="T36" s="36" cm="1">
        <f t="array" ref="T36">_xlfn.COUNTIFS('Datos - Temas'!$C$5:$C$1264,"Ciencias",'Datos - Temas'!$B$5:$B$1264,T$3,'Datos - Temas'!$K$5:$K$1264,$A36)+_xlfn.COUNTIFS('Datos - Temas'!$C$5:$C$1264,"Ciencias",'Datos - Temas'!$B$5:$B$1264,T$3,'Datos - Temas'!$L$5:$L$1264,$A36)</f>
        <v>0</v>
      </c>
      <c r="U36" s="36" cm="1">
        <f t="array" ref="U36">_xlfn.COUNTIFS('Datos - Temas'!$C$5:$C$1264,"Ciencias",'Datos - Temas'!$B$5:$B$1264,U$3,'Datos - Temas'!$K$5:$K$1264,$A36)+_xlfn.COUNTIFS('Datos - Temas'!$C$5:$C$1264,"Ciencias",'Datos - Temas'!$B$5:$B$1264,U$3,'Datos - Temas'!$L$5:$L$1264,$A36)</f>
        <v>0</v>
      </c>
      <c r="V36" s="36" cm="1">
        <f t="array" ref="V36">_xlfn.COUNTIFS('Datos - Temas'!$C$5:$C$1264,"Ciencias",'Datos - Temas'!$B$5:$B$1264,V$3,'Datos - Temas'!$K$5:$K$1264,$A36)+_xlfn.COUNTIFS('Datos - Temas'!$C$5:$C$1264,"Ciencias",'Datos - Temas'!$B$5:$B$1264,V$3,'Datos - Temas'!$L$5:$L$1264,$A36)</f>
        <v>0</v>
      </c>
      <c r="W36" s="36" cm="1">
        <f t="array" ref="W36">_xlfn.COUNTIFS('Datos - Objetivos de países'!$B$5:$B$510,"Uruguay",'Datos - Objetivos de países'!$F$5:$F$510,W$3,'Datos - Objetivos de países'!$J$5:$J$510,$A36)+_xlfn.COUNTIFS('Datos - Objetivos de países'!$B$5:$B$510,"Uruguay",'Datos - Objetivos de países'!$F$5:$F$510,W$3,'Datos - Objetivos de países'!$K$5:$K$510,$A36)</f>
        <v>0</v>
      </c>
      <c r="X36" s="36" cm="1">
        <f t="array" ref="X36">_xlfn.COUNTIFS('Datos - Objetivos de países'!$B$5:$B$510,"Uruguay",'Datos - Objetivos de países'!$F$5:$F$510,X$3,'Datos - Objetivos de países'!$J$5:$J$510,$A36)+_xlfn.COUNTIFS('Datos - Objetivos de países'!$B$5:$B$510,"Uruguay",'Datos - Objetivos de países'!$F$5:$F$510,X$3,'Datos - Objetivos de países'!$K$5:$K$510,$A36)</f>
        <v>0</v>
      </c>
      <c r="Y36" s="36" cm="1">
        <f t="array" ref="Y36">_xlfn.COUNTIFS('Datos - Objetivos de países'!$B$5:$B$510,"Uruguay",'Datos - Objetivos de países'!$F$5:$F$510,Y$3,'Datos - Objetivos de países'!$J$5:$J$510,$A36)+_xlfn.COUNTIFS('Datos - Objetivos de países'!$B$5:$B$510,"Uruguay",'Datos - Objetivos de países'!$F$5:$F$510,Y$3,'Datos - Objetivos de países'!$K$5:$K$510,$A36)</f>
        <v>0</v>
      </c>
      <c r="Z36" s="36" cm="1">
        <f t="array" ref="Z36">_xlfn.COUNTIFS('Datos - Objetivos de países'!$B$5:$B$510,"Uruguay",'Datos - Objetivos de países'!$F$5:$F$510,Z$3,'Datos - Objetivos de países'!$J$5:$J$510,$A36)+_xlfn.COUNTIFS('Datos - Objetivos de países'!$B$5:$B$510,"Uruguay",'Datos - Objetivos de países'!$F$5:$F$510,Z$3,'Datos - Objetivos de países'!$K$5:$K$510,$A36)</f>
        <v>0</v>
      </c>
      <c r="AA36" s="36" cm="1">
        <f t="array" ref="AA36">_xlfn.COUNTIFS('Datos - Objetivos de países'!$B$5:$B$510,"Uruguay",'Datos - Objetivos de países'!$F$5:$F$510,AA$3,'Datos - Objetivos de países'!$J$5:$J$510,$A36)+_xlfn.COUNTIFS('Datos - Objetivos de países'!$B$5:$B$510,"Uruguay",'Datos - Objetivos de países'!$F$5:$F$510,AA$3,'Datos - Objetivos de países'!$K$5:$K$510,$A36)</f>
        <v>0</v>
      </c>
      <c r="AB36" s="36" cm="1">
        <f t="array" ref="AB36">_xlfn.COUNTIFS('Datos - Objetivos de países'!$B$5:$B$510,"Uruguay",'Datos - Objetivos de países'!$F$5:$F$510,AB$3,'Datos - Objetivos de países'!$J$5:$J$510,$A36)+_xlfn.COUNTIFS('Datos - Objetivos de países'!$B$5:$B$510,"Uruguay",'Datos - Objetivos de países'!$F$5:$F$510,AB$3,'Datos - Objetivos de países'!$K$5:$K$510,$A36)</f>
        <v>0</v>
      </c>
      <c r="AC36" s="36" cm="1">
        <f t="array" ref="AC36">_xlfn.COUNTIFS('Datos - Objetivos de países'!$B$5:$B$510,"Uruguay",'Datos - Objetivos de países'!$F$5:$F$510,AC$3,'Datos - Objetivos de países'!$J$5:$J$510,$A36)+_xlfn.COUNTIFS('Datos - Objetivos de países'!$B$5:$B$510,"Uruguay",'Datos - Objetivos de países'!$F$5:$F$510,AC$3,'Datos - Objetivos de países'!$K$5:$K$510,$A36)</f>
        <v>0</v>
      </c>
      <c r="AD36" s="36" cm="1">
        <f t="array" ref="AD36">_xlfn.COUNTIFS('Datos - Objetivos de países'!$B$5:$B$510,"Uruguay",'Datos - Objetivos de países'!$F$5:$F$510,AD$3,'Datos - Objetivos de países'!$J$5:$J$510,$A36)+_xlfn.COUNTIFS('Datos - Objetivos de países'!$B$5:$B$510,"Uruguay",'Datos - Objetivos de países'!$F$5:$F$510,AD$3,'Datos - Objetivos de países'!$K$5:$K$510,$A36)</f>
        <v>0</v>
      </c>
      <c r="AE36" s="36" cm="1">
        <f t="array" ref="AE36">_xlfn.COUNTIFS('Datos - Objetivos de países'!$B$5:$B$510,"Uruguay",'Datos - Objetivos de países'!$F$5:$F$510,AE$3,'Datos - Objetivos de países'!$J$5:$J$510,$A36)+_xlfn.COUNTIFS('Datos - Objetivos de países'!$B$5:$B$510,"Uruguay",'Datos - Objetivos de países'!$F$5:$F$510,AE$3,'Datos - Objetivos de países'!$K$5:$K$510,$A36)</f>
        <v>0</v>
      </c>
      <c r="AF36" s="36" cm="1">
        <f t="array" ref="AF36">_xlfn.COUNTIFS('Datos - Objetivos de países'!$B$5:$B$510,"Colombia",'Datos - Objetivos de países'!$F$5:$F$510,AF$3,'Datos - Objetivos de países'!$J$5:$J$510,$A36)+_xlfn.COUNTIFS('Datos - Objetivos de países'!$B$5:$B$510,"Colombia",'Datos - Objetivos de países'!$F$5:$F$510,AF$3,'Datos - Objetivos de países'!$K$5:$K$510,$A36)</f>
        <v>1</v>
      </c>
      <c r="AG36" s="36" cm="1">
        <f t="array" ref="AG36">_xlfn.COUNTIFS('Datos - Objetivos de países'!$B$5:$B$510,"Colombia",'Datos - Objetivos de países'!$F$5:$F$510,AG$3,'Datos - Objetivos de países'!$J$5:$J$510,$A36)+_xlfn.COUNTIFS('Datos - Objetivos de países'!$B$5:$B$510,"Colombia",'Datos - Objetivos de países'!$F$5:$F$510,AG$3,'Datos - Objetivos de países'!$K$5:$K$510,$A36)</f>
        <v>0</v>
      </c>
      <c r="AH36" s="36" cm="1">
        <f t="array" ref="AH36">_xlfn.COUNTIFS('Datos - Objetivos de países'!$B$5:$B$510,"Colombia",'Datos - Objetivos de países'!$F$5:$F$510,AH$3,'Datos - Objetivos de países'!$J$5:$J$510,$A36)+_xlfn.COUNTIFS('Datos - Objetivos de países'!$B$5:$B$510,"Colombia",'Datos - Objetivos de países'!$F$5:$F$510,AH$3,'Datos - Objetivos de países'!$K$5:$K$510,$A36)</f>
        <v>0</v>
      </c>
      <c r="AI36" s="36" cm="1">
        <f t="array" ref="AI36">_xlfn.COUNTIFS('Datos - Objetivos de países'!$B$5:$B$510,"Colombia",'Datos - Objetivos de países'!$F$5:$F$510,AI$3,'Datos - Objetivos de países'!$J$5:$J$510,$A36)+_xlfn.COUNTIFS('Datos - Objetivos de países'!$B$5:$B$510,"Colombia",'Datos - Objetivos de países'!$F$5:$F$510,AI$3,'Datos - Objetivos de países'!$K$5:$K$510,$A36)</f>
        <v>1</v>
      </c>
      <c r="AJ36" s="36" cm="1">
        <f t="array" ref="AJ36">_xlfn.COUNTIFS('Datos - Objetivos de países'!$B$5:$B$510,"Colombia",'Datos - Objetivos de países'!$F$5:$F$510,AJ$3,'Datos - Objetivos de países'!$J$5:$J$510,$A36)+_xlfn.COUNTIFS('Datos - Objetivos de países'!$B$5:$B$510,"Colombia",'Datos - Objetivos de países'!$F$5:$F$510,AJ$3,'Datos - Objetivos de países'!$K$5:$K$510,$A36)</f>
        <v>0</v>
      </c>
      <c r="AK36" s="36" cm="1">
        <f t="array" ref="AK36">_xlfn.COUNTIFS('Datos - Objetivos de países'!$B$5:$B$510,"Colombia",'Datos - Objetivos de países'!$F$5:$F$510,AK$3,'Datos - Objetivos de países'!$J$5:$J$510,$A36)+_xlfn.COUNTIFS('Datos - Objetivos de países'!$B$5:$B$510,"Colombia",'Datos - Objetivos de países'!$F$5:$F$510,AK$3,'Datos - Objetivos de países'!$K$5:$K$510,$A36)</f>
        <v>0</v>
      </c>
      <c r="AL36" s="36" cm="1">
        <f t="array" ref="AL36">_xlfn.COUNTIFS('Datos - Objetivos de países'!$B$5:$B$510,"Colombia",'Datos - Objetivos de países'!$F$5:$F$510,AL$3,'Datos - Objetivos de países'!$J$5:$J$510,$A36)+_xlfn.COUNTIFS('Datos - Objetivos de países'!$B$5:$B$510,"Colombia",'Datos - Objetivos de países'!$F$5:$F$510,AL$3,'Datos - Objetivos de países'!$K$5:$K$510,$A36)</f>
        <v>0</v>
      </c>
      <c r="AM36" s="36" cm="1">
        <f t="array" ref="AM36">_xlfn.COUNTIFS('Datos - Objetivos de países'!$B$5:$B$510,"Colombia",'Datos - Objetivos de países'!$F$5:$F$510,AM$3,'Datos - Objetivos de países'!$J$5:$J$510,$A36)+_xlfn.COUNTIFS('Datos - Objetivos de países'!$B$5:$B$510,"Colombia",'Datos - Objetivos de países'!$F$5:$F$510,AM$3,'Datos - Objetivos de países'!$K$5:$K$510,$A36)</f>
        <v>0</v>
      </c>
      <c r="AN36" s="36" cm="1">
        <f t="array" ref="AN36">_xlfn.COUNTIFS('Datos - Objetivos de países'!$B$5:$B$510,"Colombia",'Datos - Objetivos de países'!$F$5:$F$510,AN$3,'Datos - Objetivos de países'!$J$5:$J$510,$A36)+_xlfn.COUNTIFS('Datos - Objetivos de países'!$B$5:$B$510,"Colombia",'Datos - Objetivos de países'!$F$5:$F$510,AN$3,'Datos - Objetivos de países'!$K$5:$K$510,$A36)</f>
        <v>0</v>
      </c>
      <c r="AO36" s="36" cm="1">
        <f t="array" ref="AO36">_xlfn.COUNTIFS('Datos - Objetivos de países'!$B$5:$B$510,"Singapur",'Datos - Objetivos de países'!$F$5:$F$510,AO$3,'Datos - Objetivos de países'!$J$5:$J$510,$A36)+_xlfn.COUNTIFS('Datos - Objetivos de países'!$B$5:$B$510,"Singapur",'Datos - Objetivos de países'!$F$5:$F$510,AO$3,'Datos - Objetivos de países'!$K$5:$K$510,$A36)</f>
        <v>0</v>
      </c>
      <c r="AP36" s="36" cm="1">
        <f t="array" ref="AP36">_xlfn.COUNTIFS('Datos - Objetivos de países'!$B$5:$B$510,"Singapur",'Datos - Objetivos de países'!$F$5:$F$510,AP$3,'Datos - Objetivos de países'!$J$5:$J$510,$A36)+_xlfn.COUNTIFS('Datos - Objetivos de países'!$B$5:$B$510,"Singapur",'Datos - Objetivos de países'!$F$5:$F$510,AP$3,'Datos - Objetivos de países'!$K$5:$K$510,$A36)</f>
        <v>0</v>
      </c>
      <c r="AQ36" s="36" cm="1">
        <f t="array" ref="AQ36">_xlfn.COUNTIFS('Datos - Objetivos de países'!$B$5:$B$510,"Singapur",'Datos - Objetivos de países'!$F$5:$F$510,AQ$3,'Datos - Objetivos de países'!$J$5:$J$510,$A36)+_xlfn.COUNTIFS('Datos - Objetivos de países'!$B$5:$B$510,"Singapur",'Datos - Objetivos de países'!$F$5:$F$510,AQ$3,'Datos - Objetivos de países'!$K$5:$K$510,$A36)</f>
        <v>0</v>
      </c>
      <c r="AR36" s="36" cm="1">
        <f t="array" ref="AR36">_xlfn.COUNTIFS('Datos - Objetivos de países'!$B$5:$B$510,"Singapur",'Datos - Objetivos de países'!$F$5:$F$510,AR$3,'Datos - Objetivos de países'!$J$5:$J$510,$A36)+_xlfn.COUNTIFS('Datos - Objetivos de países'!$B$5:$B$510,"Singapur",'Datos - Objetivos de países'!$F$5:$F$510,AR$3,'Datos - Objetivos de países'!$K$5:$K$510,$A36)</f>
        <v>0</v>
      </c>
      <c r="AS36" s="36" cm="1">
        <f t="array" ref="AS36">_xlfn.COUNTIFS('Datos - Objetivos de países'!$B$5:$B$510,"Singapur",'Datos - Objetivos de países'!$F$5:$F$510,AS$3,'Datos - Objetivos de países'!$J$5:$J$510,$A36)+_xlfn.COUNTIFS('Datos - Objetivos de países'!$B$5:$B$510,"Singapur",'Datos - Objetivos de países'!$F$5:$F$510,AS$3,'Datos - Objetivos de países'!$K$5:$K$510,$A36)</f>
        <v>0</v>
      </c>
      <c r="AT36" s="36" cm="1">
        <f t="array" ref="AT36">_xlfn.COUNTIFS('Datos - Objetivos de países'!$B$5:$B$510,"Singapur",'Datos - Objetivos de países'!$F$5:$F$510,AT$3,'Datos - Objetivos de países'!$J$5:$J$510,$A36)+_xlfn.COUNTIFS('Datos - Objetivos de países'!$B$5:$B$510,"Singapur",'Datos - Objetivos de países'!$F$5:$F$510,AT$3,'Datos - Objetivos de países'!$K$5:$K$510,$A36)</f>
        <v>0</v>
      </c>
      <c r="AU36" s="36" cm="1">
        <f t="array" ref="AU36">_xlfn.COUNTIFS('Datos - Objetivos de países'!$B$5:$B$510,"Singapur",'Datos - Objetivos de países'!$F$5:$F$510,AU$3,'Datos - Objetivos de países'!$J$5:$J$510,$A36)+_xlfn.COUNTIFS('Datos - Objetivos de países'!$B$5:$B$510,"Singapur",'Datos - Objetivos de países'!$F$5:$F$510,AU$3,'Datos - Objetivos de países'!$K$5:$K$510,$A36)</f>
        <v>0</v>
      </c>
      <c r="AV36" s="36" cm="1">
        <f t="array" ref="AV36">_xlfn.COUNTIFS('Datos - Objetivos de países'!$B$5:$B$510,"Singapur",'Datos - Objetivos de países'!$F$5:$F$510,AV$3,'Datos - Objetivos de países'!$J$5:$J$510,$A36)+_xlfn.COUNTIFS('Datos - Objetivos de países'!$B$5:$B$510,"Singapur",'Datos - Objetivos de países'!$F$5:$F$510,AV$3,'Datos - Objetivos de países'!$K$5:$K$510,$A36)</f>
        <v>0</v>
      </c>
      <c r="AW36" s="36" cm="1">
        <f t="array" ref="AW36">_xlfn.COUNTIFS('Datos - Objetivos de países'!$B$5:$B$510,"Singapur",'Datos - Objetivos de países'!$F$5:$F$510,AW$3,'Datos - Objetivos de países'!$J$5:$J$510,$A36)+_xlfn.COUNTIFS('Datos - Objetivos de países'!$B$5:$B$510,"Singapur",'Datos - Objetivos de países'!$F$5:$F$510,AW$3,'Datos - Objetivos de países'!$K$5:$K$510,$A36)</f>
        <v>0</v>
      </c>
    </row>
    <row r="37" ht="13.65" customHeight="1">
      <c r="A37" t="s" s="78">
        <v>1163</v>
      </c>
      <c r="B37" t="s" s="78">
        <v>1164</v>
      </c>
      <c r="C37" t="s" s="78">
        <v>210</v>
      </c>
      <c r="D37" t="s" s="78">
        <v>1165</v>
      </c>
      <c r="E37" s="80" cm="1">
        <f t="array" ref="E37">_xlfn.IFERROR(MAX($L$3,INDEX($N$3:$V$3,MATCH(TRUE,INDEX(N37:V37&gt;0,0),0))),"—")</f>
        <v>6</v>
      </c>
      <c r="F37" s="80" cm="1">
        <f t="array" ref="F37">_xlfn.IFERROR(MAX($L$3,INDEX($W$3:$AE$3,MATCH(TRUE,INDEX(W37:AE37&gt;0,0),0))),"—")</f>
        <v>6</v>
      </c>
      <c r="G37" s="80" cm="1">
        <f t="array" ref="G37">_xlfn.IFERROR(MAX($L$3,INDEX($AF$3:$AN$3,MATCH(TRUE,INDEX(AF37:AN37&gt;0,0),0))),"—")</f>
        <v>6</v>
      </c>
      <c r="H37" t="str" s="79" cm="1">
        <f t="array" ref="H37">_xlfn.IFERROR(MAX($L$3,INDEX($AO$3:$AW$3,MATCH(TRUE,INDEX(AO37:AW37&gt;0,0),0))),"—")</f>
        <v>—</v>
      </c>
      <c r="I37" s="111" cm="1">
        <f t="array" ref="I37">IF(L37=0,"—",MEDIAN(F37:H37))</f>
        <v>6</v>
      </c>
      <c r="J37" s="111" cm="1">
        <f t="array" ref="J37">IF(OR(E37="—",I37="—"),"—",E37-I37)</f>
        <v>0</v>
      </c>
      <c r="K37" t="str" s="49" cm="1">
        <f t="array" ref="K37">IF(E37="—",IF(L37=0,"Nadie lo trabaja","El Salvador no llega"),IF(L37=0,"Solo El Salvador",IF(J37&gt;0,"El Salvador llega más tarde",IF(J37&lt;0,"El Salvador va adelantado","Mismo grado"))))</f>
        <v>Mismo grado</v>
      </c>
      <c r="L37" s="80" cm="1">
        <f t="array" ref="L37">COUNT(F37:H37)</f>
        <v>2</v>
      </c>
      <c r="M37" s="110"/>
      <c r="N37" s="36" cm="1">
        <f t="array" ref="N37">_xlfn.COUNTIFS('Datos - Temas'!$C$5:$C$1264,"Ciencias",'Datos - Temas'!$B$5:$B$1264,N$3,'Datos - Temas'!$K$5:$K$1264,$A37)+_xlfn.COUNTIFS('Datos - Temas'!$C$5:$C$1264,"Ciencias",'Datos - Temas'!$B$5:$B$1264,N$3,'Datos - Temas'!$L$5:$L$1264,$A37)</f>
        <v>0</v>
      </c>
      <c r="O37" s="36" cm="1">
        <f t="array" ref="O37">_xlfn.COUNTIFS('Datos - Temas'!$C$5:$C$1264,"Ciencias",'Datos - Temas'!$B$5:$B$1264,O$3,'Datos - Temas'!$K$5:$K$1264,$A37)+_xlfn.COUNTIFS('Datos - Temas'!$C$5:$C$1264,"Ciencias",'Datos - Temas'!$B$5:$B$1264,O$3,'Datos - Temas'!$L$5:$L$1264,$A37)</f>
        <v>0</v>
      </c>
      <c r="P37" s="36" cm="1">
        <f t="array" ref="P37">_xlfn.COUNTIFS('Datos - Temas'!$C$5:$C$1264,"Ciencias",'Datos - Temas'!$B$5:$B$1264,P$3,'Datos - Temas'!$K$5:$K$1264,$A37)+_xlfn.COUNTIFS('Datos - Temas'!$C$5:$C$1264,"Ciencias",'Datos - Temas'!$B$5:$B$1264,P$3,'Datos - Temas'!$L$5:$L$1264,$A37)</f>
        <v>0</v>
      </c>
      <c r="Q37" s="36" cm="1">
        <f t="array" ref="Q37">_xlfn.COUNTIFS('Datos - Temas'!$C$5:$C$1264,"Ciencias",'Datos - Temas'!$B$5:$B$1264,Q$3,'Datos - Temas'!$K$5:$K$1264,$A37)+_xlfn.COUNTIFS('Datos - Temas'!$C$5:$C$1264,"Ciencias",'Datos - Temas'!$B$5:$B$1264,Q$3,'Datos - Temas'!$L$5:$L$1264,$A37)</f>
        <v>0</v>
      </c>
      <c r="R37" s="36" cm="1">
        <f t="array" ref="R37">_xlfn.COUNTIFS('Datos - Temas'!$C$5:$C$1264,"Ciencias",'Datos - Temas'!$B$5:$B$1264,R$3,'Datos - Temas'!$K$5:$K$1264,$A37)+_xlfn.COUNTIFS('Datos - Temas'!$C$5:$C$1264,"Ciencias",'Datos - Temas'!$B$5:$B$1264,R$3,'Datos - Temas'!$L$5:$L$1264,$A37)</f>
        <v>0</v>
      </c>
      <c r="S37" s="36" cm="1">
        <f t="array" ref="S37">_xlfn.COUNTIFS('Datos - Temas'!$C$5:$C$1264,"Ciencias",'Datos - Temas'!$B$5:$B$1264,S$3,'Datos - Temas'!$K$5:$K$1264,$A37)+_xlfn.COUNTIFS('Datos - Temas'!$C$5:$C$1264,"Ciencias",'Datos - Temas'!$B$5:$B$1264,S$3,'Datos - Temas'!$L$5:$L$1264,$A37)</f>
        <v>1</v>
      </c>
      <c r="T37" s="36" cm="1">
        <f t="array" ref="T37">_xlfn.COUNTIFS('Datos - Temas'!$C$5:$C$1264,"Ciencias",'Datos - Temas'!$B$5:$B$1264,T$3,'Datos - Temas'!$K$5:$K$1264,$A37)+_xlfn.COUNTIFS('Datos - Temas'!$C$5:$C$1264,"Ciencias",'Datos - Temas'!$B$5:$B$1264,T$3,'Datos - Temas'!$L$5:$L$1264,$A37)</f>
        <v>11</v>
      </c>
      <c r="U37" s="36" cm="1">
        <f t="array" ref="U37">_xlfn.COUNTIFS('Datos - Temas'!$C$5:$C$1264,"Ciencias",'Datos - Temas'!$B$5:$B$1264,U$3,'Datos - Temas'!$K$5:$K$1264,$A37)+_xlfn.COUNTIFS('Datos - Temas'!$C$5:$C$1264,"Ciencias",'Datos - Temas'!$B$5:$B$1264,U$3,'Datos - Temas'!$L$5:$L$1264,$A37)</f>
        <v>0</v>
      </c>
      <c r="V37" s="36" cm="1">
        <f t="array" ref="V37">_xlfn.COUNTIFS('Datos - Temas'!$C$5:$C$1264,"Ciencias",'Datos - Temas'!$B$5:$B$1264,V$3,'Datos - Temas'!$K$5:$K$1264,$A37)+_xlfn.COUNTIFS('Datos - Temas'!$C$5:$C$1264,"Ciencias",'Datos - Temas'!$B$5:$B$1264,V$3,'Datos - Temas'!$L$5:$L$1264,$A37)</f>
        <v>0</v>
      </c>
      <c r="W37" s="36" cm="1">
        <f t="array" ref="W37">_xlfn.COUNTIFS('Datos - Objetivos de países'!$B$5:$B$510,"Uruguay",'Datos - Objetivos de países'!$F$5:$F$510,W$3,'Datos - Objetivos de países'!$J$5:$J$510,$A37)+_xlfn.COUNTIFS('Datos - Objetivos de países'!$B$5:$B$510,"Uruguay",'Datos - Objetivos de países'!$F$5:$F$510,W$3,'Datos - Objetivos de países'!$K$5:$K$510,$A37)</f>
        <v>0</v>
      </c>
      <c r="X37" s="36" cm="1">
        <f t="array" ref="X37">_xlfn.COUNTIFS('Datos - Objetivos de países'!$B$5:$B$510,"Uruguay",'Datos - Objetivos de países'!$F$5:$F$510,X$3,'Datos - Objetivos de países'!$J$5:$J$510,$A37)+_xlfn.COUNTIFS('Datos - Objetivos de países'!$B$5:$B$510,"Uruguay",'Datos - Objetivos de países'!$F$5:$F$510,X$3,'Datos - Objetivos de países'!$K$5:$K$510,$A37)</f>
        <v>0</v>
      </c>
      <c r="Y37" s="36" cm="1">
        <f t="array" ref="Y37">_xlfn.COUNTIFS('Datos - Objetivos de países'!$B$5:$B$510,"Uruguay",'Datos - Objetivos de países'!$F$5:$F$510,Y$3,'Datos - Objetivos de países'!$J$5:$J$510,$A37)+_xlfn.COUNTIFS('Datos - Objetivos de países'!$B$5:$B$510,"Uruguay",'Datos - Objetivos de países'!$F$5:$F$510,Y$3,'Datos - Objetivos de países'!$K$5:$K$510,$A37)</f>
        <v>0</v>
      </c>
      <c r="Z37" s="36" cm="1">
        <f t="array" ref="Z37">_xlfn.COUNTIFS('Datos - Objetivos de países'!$B$5:$B$510,"Uruguay",'Datos - Objetivos de países'!$F$5:$F$510,Z$3,'Datos - Objetivos de países'!$J$5:$J$510,$A37)+_xlfn.COUNTIFS('Datos - Objetivos de países'!$B$5:$B$510,"Uruguay",'Datos - Objetivos de países'!$F$5:$F$510,Z$3,'Datos - Objetivos de países'!$K$5:$K$510,$A37)</f>
        <v>0</v>
      </c>
      <c r="AA37" s="36" cm="1">
        <f t="array" ref="AA37">_xlfn.COUNTIFS('Datos - Objetivos de países'!$B$5:$B$510,"Uruguay",'Datos - Objetivos de países'!$F$5:$F$510,AA$3,'Datos - Objetivos de países'!$J$5:$J$510,$A37)+_xlfn.COUNTIFS('Datos - Objetivos de países'!$B$5:$B$510,"Uruguay",'Datos - Objetivos de países'!$F$5:$F$510,AA$3,'Datos - Objetivos de países'!$K$5:$K$510,$A37)</f>
        <v>0</v>
      </c>
      <c r="AB37" s="36" cm="1">
        <f t="array" ref="AB37">_xlfn.COUNTIFS('Datos - Objetivos de países'!$B$5:$B$510,"Uruguay",'Datos - Objetivos de países'!$F$5:$F$510,AB$3,'Datos - Objetivos de países'!$J$5:$J$510,$A37)+_xlfn.COUNTIFS('Datos - Objetivos de países'!$B$5:$B$510,"Uruguay",'Datos - Objetivos de países'!$F$5:$F$510,AB$3,'Datos - Objetivos de países'!$K$5:$K$510,$A37)</f>
        <v>1</v>
      </c>
      <c r="AC37" s="36" cm="1">
        <f t="array" ref="AC37">_xlfn.COUNTIFS('Datos - Objetivos de países'!$B$5:$B$510,"Uruguay",'Datos - Objetivos de países'!$F$5:$F$510,AC$3,'Datos - Objetivos de países'!$J$5:$J$510,$A37)+_xlfn.COUNTIFS('Datos - Objetivos de países'!$B$5:$B$510,"Uruguay",'Datos - Objetivos de países'!$F$5:$F$510,AC$3,'Datos - Objetivos de países'!$K$5:$K$510,$A37)</f>
        <v>1</v>
      </c>
      <c r="AD37" s="36" cm="1">
        <f t="array" ref="AD37">_xlfn.COUNTIFS('Datos - Objetivos de países'!$B$5:$B$510,"Uruguay",'Datos - Objetivos de países'!$F$5:$F$510,AD$3,'Datos - Objetivos de países'!$J$5:$J$510,$A37)+_xlfn.COUNTIFS('Datos - Objetivos de países'!$B$5:$B$510,"Uruguay",'Datos - Objetivos de países'!$F$5:$F$510,AD$3,'Datos - Objetivos de países'!$K$5:$K$510,$A37)</f>
        <v>0</v>
      </c>
      <c r="AE37" s="36" cm="1">
        <f t="array" ref="AE37">_xlfn.COUNTIFS('Datos - Objetivos de países'!$B$5:$B$510,"Uruguay",'Datos - Objetivos de países'!$F$5:$F$510,AE$3,'Datos - Objetivos de países'!$J$5:$J$510,$A37)+_xlfn.COUNTIFS('Datos - Objetivos de países'!$B$5:$B$510,"Uruguay",'Datos - Objetivos de países'!$F$5:$F$510,AE$3,'Datos - Objetivos de países'!$K$5:$K$510,$A37)</f>
        <v>0</v>
      </c>
      <c r="AF37" s="36" cm="1">
        <f t="array" ref="AF37">_xlfn.COUNTIFS('Datos - Objetivos de países'!$B$5:$B$510,"Colombia",'Datos - Objetivos de países'!$F$5:$F$510,AF$3,'Datos - Objetivos de países'!$J$5:$J$510,$A37)+_xlfn.COUNTIFS('Datos - Objetivos de países'!$B$5:$B$510,"Colombia",'Datos - Objetivos de países'!$F$5:$F$510,AF$3,'Datos - Objetivos de países'!$K$5:$K$510,$A37)</f>
        <v>0</v>
      </c>
      <c r="AG37" s="36" cm="1">
        <f t="array" ref="AG37">_xlfn.COUNTIFS('Datos - Objetivos de países'!$B$5:$B$510,"Colombia",'Datos - Objetivos de países'!$F$5:$F$510,AG$3,'Datos - Objetivos de países'!$J$5:$J$510,$A37)+_xlfn.COUNTIFS('Datos - Objetivos de países'!$B$5:$B$510,"Colombia",'Datos - Objetivos de países'!$F$5:$F$510,AG$3,'Datos - Objetivos de países'!$K$5:$K$510,$A37)</f>
        <v>0</v>
      </c>
      <c r="AH37" s="36" cm="1">
        <f t="array" ref="AH37">_xlfn.COUNTIFS('Datos - Objetivos de países'!$B$5:$B$510,"Colombia",'Datos - Objetivos de países'!$F$5:$F$510,AH$3,'Datos - Objetivos de países'!$J$5:$J$510,$A37)+_xlfn.COUNTIFS('Datos - Objetivos de países'!$B$5:$B$510,"Colombia",'Datos - Objetivos de países'!$F$5:$F$510,AH$3,'Datos - Objetivos de países'!$K$5:$K$510,$A37)</f>
        <v>0</v>
      </c>
      <c r="AI37" s="36" cm="1">
        <f t="array" ref="AI37">_xlfn.COUNTIFS('Datos - Objetivos de países'!$B$5:$B$510,"Colombia",'Datos - Objetivos de países'!$F$5:$F$510,AI$3,'Datos - Objetivos de países'!$J$5:$J$510,$A37)+_xlfn.COUNTIFS('Datos - Objetivos de países'!$B$5:$B$510,"Colombia",'Datos - Objetivos de países'!$F$5:$F$510,AI$3,'Datos - Objetivos de países'!$K$5:$K$510,$A37)</f>
        <v>0</v>
      </c>
      <c r="AJ37" s="36" cm="1">
        <f t="array" ref="AJ37">_xlfn.COUNTIFS('Datos - Objetivos de países'!$B$5:$B$510,"Colombia",'Datos - Objetivos de países'!$F$5:$F$510,AJ$3,'Datos - Objetivos de países'!$J$5:$J$510,$A37)+_xlfn.COUNTIFS('Datos - Objetivos de países'!$B$5:$B$510,"Colombia",'Datos - Objetivos de países'!$F$5:$F$510,AJ$3,'Datos - Objetivos de países'!$K$5:$K$510,$A37)</f>
        <v>0</v>
      </c>
      <c r="AK37" s="36" cm="1">
        <f t="array" ref="AK37">_xlfn.COUNTIFS('Datos - Objetivos de países'!$B$5:$B$510,"Colombia",'Datos - Objetivos de países'!$F$5:$F$510,AK$3,'Datos - Objetivos de países'!$J$5:$J$510,$A37)+_xlfn.COUNTIFS('Datos - Objetivos de países'!$B$5:$B$510,"Colombia",'Datos - Objetivos de países'!$F$5:$F$510,AK$3,'Datos - Objetivos de países'!$K$5:$K$510,$A37)</f>
        <v>3</v>
      </c>
      <c r="AL37" s="36" cm="1">
        <f t="array" ref="AL37">_xlfn.COUNTIFS('Datos - Objetivos de países'!$B$5:$B$510,"Colombia",'Datos - Objetivos de países'!$F$5:$F$510,AL$3,'Datos - Objetivos de países'!$J$5:$J$510,$A37)+_xlfn.COUNTIFS('Datos - Objetivos de países'!$B$5:$B$510,"Colombia",'Datos - Objetivos de países'!$F$5:$F$510,AL$3,'Datos - Objetivos de países'!$K$5:$K$510,$A37)</f>
        <v>0</v>
      </c>
      <c r="AM37" s="36" cm="1">
        <f t="array" ref="AM37">_xlfn.COUNTIFS('Datos - Objetivos de países'!$B$5:$B$510,"Colombia",'Datos - Objetivos de países'!$F$5:$F$510,AM$3,'Datos - Objetivos de países'!$J$5:$J$510,$A37)+_xlfn.COUNTIFS('Datos - Objetivos de países'!$B$5:$B$510,"Colombia",'Datos - Objetivos de países'!$F$5:$F$510,AM$3,'Datos - Objetivos de países'!$K$5:$K$510,$A37)</f>
        <v>3</v>
      </c>
      <c r="AN37" s="36" cm="1">
        <f t="array" ref="AN37">_xlfn.COUNTIFS('Datos - Objetivos de países'!$B$5:$B$510,"Colombia",'Datos - Objetivos de países'!$F$5:$F$510,AN$3,'Datos - Objetivos de países'!$J$5:$J$510,$A37)+_xlfn.COUNTIFS('Datos - Objetivos de países'!$B$5:$B$510,"Colombia",'Datos - Objetivos de países'!$F$5:$F$510,AN$3,'Datos - Objetivos de países'!$K$5:$K$510,$A37)</f>
        <v>0</v>
      </c>
      <c r="AO37" s="36" cm="1">
        <f t="array" ref="AO37">_xlfn.COUNTIFS('Datos - Objetivos de países'!$B$5:$B$510,"Singapur",'Datos - Objetivos de países'!$F$5:$F$510,AO$3,'Datos - Objetivos de países'!$J$5:$J$510,$A37)+_xlfn.COUNTIFS('Datos - Objetivos de países'!$B$5:$B$510,"Singapur",'Datos - Objetivos de países'!$F$5:$F$510,AO$3,'Datos - Objetivos de países'!$K$5:$K$510,$A37)</f>
        <v>0</v>
      </c>
      <c r="AP37" s="36" cm="1">
        <f t="array" ref="AP37">_xlfn.COUNTIFS('Datos - Objetivos de países'!$B$5:$B$510,"Singapur",'Datos - Objetivos de países'!$F$5:$F$510,AP$3,'Datos - Objetivos de países'!$J$5:$J$510,$A37)+_xlfn.COUNTIFS('Datos - Objetivos de países'!$B$5:$B$510,"Singapur",'Datos - Objetivos de países'!$F$5:$F$510,AP$3,'Datos - Objetivos de países'!$K$5:$K$510,$A37)</f>
        <v>0</v>
      </c>
      <c r="AQ37" s="36" cm="1">
        <f t="array" ref="AQ37">_xlfn.COUNTIFS('Datos - Objetivos de países'!$B$5:$B$510,"Singapur",'Datos - Objetivos de países'!$F$5:$F$510,AQ$3,'Datos - Objetivos de países'!$J$5:$J$510,$A37)+_xlfn.COUNTIFS('Datos - Objetivos de países'!$B$5:$B$510,"Singapur",'Datos - Objetivos de países'!$F$5:$F$510,AQ$3,'Datos - Objetivos de países'!$K$5:$K$510,$A37)</f>
        <v>0</v>
      </c>
      <c r="AR37" s="36" cm="1">
        <f t="array" ref="AR37">_xlfn.COUNTIFS('Datos - Objetivos de países'!$B$5:$B$510,"Singapur",'Datos - Objetivos de países'!$F$5:$F$510,AR$3,'Datos - Objetivos de países'!$J$5:$J$510,$A37)+_xlfn.COUNTIFS('Datos - Objetivos de países'!$B$5:$B$510,"Singapur",'Datos - Objetivos de países'!$F$5:$F$510,AR$3,'Datos - Objetivos de países'!$K$5:$K$510,$A37)</f>
        <v>0</v>
      </c>
      <c r="AS37" s="36" cm="1">
        <f t="array" ref="AS37">_xlfn.COUNTIFS('Datos - Objetivos de países'!$B$5:$B$510,"Singapur",'Datos - Objetivos de países'!$F$5:$F$510,AS$3,'Datos - Objetivos de países'!$J$5:$J$510,$A37)+_xlfn.COUNTIFS('Datos - Objetivos de países'!$B$5:$B$510,"Singapur",'Datos - Objetivos de países'!$F$5:$F$510,AS$3,'Datos - Objetivos de países'!$K$5:$K$510,$A37)</f>
        <v>0</v>
      </c>
      <c r="AT37" s="36" cm="1">
        <f t="array" ref="AT37">_xlfn.COUNTIFS('Datos - Objetivos de países'!$B$5:$B$510,"Singapur",'Datos - Objetivos de países'!$F$5:$F$510,AT$3,'Datos - Objetivos de países'!$J$5:$J$510,$A37)+_xlfn.COUNTIFS('Datos - Objetivos de países'!$B$5:$B$510,"Singapur",'Datos - Objetivos de países'!$F$5:$F$510,AT$3,'Datos - Objetivos de países'!$K$5:$K$510,$A37)</f>
        <v>0</v>
      </c>
      <c r="AU37" s="36" cm="1">
        <f t="array" ref="AU37">_xlfn.COUNTIFS('Datos - Objetivos de países'!$B$5:$B$510,"Singapur",'Datos - Objetivos de países'!$F$5:$F$510,AU$3,'Datos - Objetivos de países'!$J$5:$J$510,$A37)+_xlfn.COUNTIFS('Datos - Objetivos de países'!$B$5:$B$510,"Singapur",'Datos - Objetivos de países'!$F$5:$F$510,AU$3,'Datos - Objetivos de países'!$K$5:$K$510,$A37)</f>
        <v>0</v>
      </c>
      <c r="AV37" s="36" cm="1">
        <f t="array" ref="AV37">_xlfn.COUNTIFS('Datos - Objetivos de países'!$B$5:$B$510,"Singapur",'Datos - Objetivos de países'!$F$5:$F$510,AV$3,'Datos - Objetivos de países'!$J$5:$J$510,$A37)+_xlfn.COUNTIFS('Datos - Objetivos de países'!$B$5:$B$510,"Singapur",'Datos - Objetivos de países'!$F$5:$F$510,AV$3,'Datos - Objetivos de países'!$K$5:$K$510,$A37)</f>
        <v>0</v>
      </c>
      <c r="AW37" s="36" cm="1">
        <f t="array" ref="AW37">_xlfn.COUNTIFS('Datos - Objetivos de países'!$B$5:$B$510,"Singapur",'Datos - Objetivos de países'!$F$5:$F$510,AW$3,'Datos - Objetivos de países'!$J$5:$J$510,$A37)+_xlfn.COUNTIFS('Datos - Objetivos de países'!$B$5:$B$510,"Singapur",'Datos - Objetivos de países'!$F$5:$F$510,AW$3,'Datos - Objetivos de países'!$K$5:$K$510,$A37)</f>
        <v>0</v>
      </c>
    </row>
    <row r="38" ht="13.65" customHeight="1">
      <c r="A38" t="s" s="78">
        <v>1168</v>
      </c>
      <c r="B38" t="s" s="78">
        <v>1164</v>
      </c>
      <c r="C38" t="s" s="78">
        <v>210</v>
      </c>
      <c r="D38" t="s" s="78">
        <v>1169</v>
      </c>
      <c r="E38" s="80" cm="1">
        <f t="array" ref="E38">_xlfn.IFERROR(MAX($L$3,INDEX($N$3:$V$3,MATCH(TRUE,INDEX(N38:V38&gt;0,0),0))),"—")</f>
        <v>6</v>
      </c>
      <c r="F38" s="80" cm="1">
        <f t="array" ref="F38">_xlfn.IFERROR(MAX($L$3,INDEX($W$3:$AE$3,MATCH(TRUE,INDEX(W38:AE38&gt;0,0),0))),"—")</f>
        <v>5</v>
      </c>
      <c r="G38" s="80" cm="1">
        <f t="array" ref="G38">_xlfn.IFERROR(MAX($L$3,INDEX($AF$3:$AN$3,MATCH(TRUE,INDEX(AF38:AN38&gt;0,0),0))),"—")</f>
        <v>5</v>
      </c>
      <c r="H38" s="80" cm="1">
        <f t="array" ref="H38">_xlfn.IFERROR(MAX($L$3,INDEX($AO$3:$AW$3,MATCH(TRUE,INDEX(AO38:AW38&gt;0,0),0))),"—")</f>
        <v>5</v>
      </c>
      <c r="I38" s="111" cm="1">
        <f t="array" ref="I38">IF(L38=0,"—",MEDIAN(F38:H38))</f>
        <v>5</v>
      </c>
      <c r="J38" s="111" cm="1">
        <f t="array" ref="J38">IF(OR(E38="—",I38="—"),"—",E38-I38)</f>
        <v>1</v>
      </c>
      <c r="K38" t="str" s="49" cm="1">
        <f t="array" ref="K38">IF(E38="—",IF(L38=0,"Nadie lo trabaja","El Salvador no llega"),IF(L38=0,"Solo El Salvador",IF(J38&gt;0,"El Salvador llega más tarde",IF(J38&lt;0,"El Salvador va adelantado","Mismo grado"))))</f>
        <v>El Salvador llega más tarde</v>
      </c>
      <c r="L38" s="80" cm="1">
        <f t="array" ref="L38">COUNT(F38:H38)</f>
        <v>3</v>
      </c>
      <c r="M38" s="110"/>
      <c r="N38" s="36" cm="1">
        <f t="array" ref="N38">_xlfn.COUNTIFS('Datos - Temas'!$C$5:$C$1264,"Ciencias",'Datos - Temas'!$B$5:$B$1264,N$3,'Datos - Temas'!$K$5:$K$1264,$A38)+_xlfn.COUNTIFS('Datos - Temas'!$C$5:$C$1264,"Ciencias",'Datos - Temas'!$B$5:$B$1264,N$3,'Datos - Temas'!$L$5:$L$1264,$A38)</f>
        <v>0</v>
      </c>
      <c r="O38" s="36" cm="1">
        <f t="array" ref="O38">_xlfn.COUNTIFS('Datos - Temas'!$C$5:$C$1264,"Ciencias",'Datos - Temas'!$B$5:$B$1264,O$3,'Datos - Temas'!$K$5:$K$1264,$A38)+_xlfn.COUNTIFS('Datos - Temas'!$C$5:$C$1264,"Ciencias",'Datos - Temas'!$B$5:$B$1264,O$3,'Datos - Temas'!$L$5:$L$1264,$A38)</f>
        <v>0</v>
      </c>
      <c r="P38" s="36" cm="1">
        <f t="array" ref="P38">_xlfn.COUNTIFS('Datos - Temas'!$C$5:$C$1264,"Ciencias",'Datos - Temas'!$B$5:$B$1264,P$3,'Datos - Temas'!$K$5:$K$1264,$A38)+_xlfn.COUNTIFS('Datos - Temas'!$C$5:$C$1264,"Ciencias",'Datos - Temas'!$B$5:$B$1264,P$3,'Datos - Temas'!$L$5:$L$1264,$A38)</f>
        <v>0</v>
      </c>
      <c r="Q38" s="36" cm="1">
        <f t="array" ref="Q38">_xlfn.COUNTIFS('Datos - Temas'!$C$5:$C$1264,"Ciencias",'Datos - Temas'!$B$5:$B$1264,Q$3,'Datos - Temas'!$K$5:$K$1264,$A38)+_xlfn.COUNTIFS('Datos - Temas'!$C$5:$C$1264,"Ciencias",'Datos - Temas'!$B$5:$B$1264,Q$3,'Datos - Temas'!$L$5:$L$1264,$A38)</f>
        <v>0</v>
      </c>
      <c r="R38" s="36" cm="1">
        <f t="array" ref="R38">_xlfn.COUNTIFS('Datos - Temas'!$C$5:$C$1264,"Ciencias",'Datos - Temas'!$B$5:$B$1264,R$3,'Datos - Temas'!$K$5:$K$1264,$A38)+_xlfn.COUNTIFS('Datos - Temas'!$C$5:$C$1264,"Ciencias",'Datos - Temas'!$B$5:$B$1264,R$3,'Datos - Temas'!$L$5:$L$1264,$A38)</f>
        <v>0</v>
      </c>
      <c r="S38" s="36" cm="1">
        <f t="array" ref="S38">_xlfn.COUNTIFS('Datos - Temas'!$C$5:$C$1264,"Ciencias",'Datos - Temas'!$B$5:$B$1264,S$3,'Datos - Temas'!$K$5:$K$1264,$A38)+_xlfn.COUNTIFS('Datos - Temas'!$C$5:$C$1264,"Ciencias",'Datos - Temas'!$B$5:$B$1264,S$3,'Datos - Temas'!$L$5:$L$1264,$A38)</f>
        <v>1</v>
      </c>
      <c r="T38" s="36" cm="1">
        <f t="array" ref="T38">_xlfn.COUNTIFS('Datos - Temas'!$C$5:$C$1264,"Ciencias",'Datos - Temas'!$B$5:$B$1264,T$3,'Datos - Temas'!$K$5:$K$1264,$A38)+_xlfn.COUNTIFS('Datos - Temas'!$C$5:$C$1264,"Ciencias",'Datos - Temas'!$B$5:$B$1264,T$3,'Datos - Temas'!$L$5:$L$1264,$A38)</f>
        <v>0</v>
      </c>
      <c r="U38" s="36" cm="1">
        <f t="array" ref="U38">_xlfn.COUNTIFS('Datos - Temas'!$C$5:$C$1264,"Ciencias",'Datos - Temas'!$B$5:$B$1264,U$3,'Datos - Temas'!$K$5:$K$1264,$A38)+_xlfn.COUNTIFS('Datos - Temas'!$C$5:$C$1264,"Ciencias",'Datos - Temas'!$B$5:$B$1264,U$3,'Datos - Temas'!$L$5:$L$1264,$A38)</f>
        <v>14</v>
      </c>
      <c r="V38" s="36" cm="1">
        <f t="array" ref="V38">_xlfn.COUNTIFS('Datos - Temas'!$C$5:$C$1264,"Ciencias",'Datos - Temas'!$B$5:$B$1264,V$3,'Datos - Temas'!$K$5:$K$1264,$A38)+_xlfn.COUNTIFS('Datos - Temas'!$C$5:$C$1264,"Ciencias",'Datos - Temas'!$B$5:$B$1264,V$3,'Datos - Temas'!$L$5:$L$1264,$A38)</f>
        <v>0</v>
      </c>
      <c r="W38" s="36" cm="1">
        <f t="array" ref="W38">_xlfn.COUNTIFS('Datos - Objetivos de países'!$B$5:$B$510,"Uruguay",'Datos - Objetivos de países'!$F$5:$F$510,W$3,'Datos - Objetivos de países'!$J$5:$J$510,$A38)+_xlfn.COUNTIFS('Datos - Objetivos de países'!$B$5:$B$510,"Uruguay",'Datos - Objetivos de países'!$F$5:$F$510,W$3,'Datos - Objetivos de países'!$K$5:$K$510,$A38)</f>
        <v>0</v>
      </c>
      <c r="X38" s="36" cm="1">
        <f t="array" ref="X38">_xlfn.COUNTIFS('Datos - Objetivos de países'!$B$5:$B$510,"Uruguay",'Datos - Objetivos de países'!$F$5:$F$510,X$3,'Datos - Objetivos de países'!$J$5:$J$510,$A38)+_xlfn.COUNTIFS('Datos - Objetivos de países'!$B$5:$B$510,"Uruguay",'Datos - Objetivos de países'!$F$5:$F$510,X$3,'Datos - Objetivos de países'!$K$5:$K$510,$A38)</f>
        <v>0</v>
      </c>
      <c r="Y38" s="36" cm="1">
        <f t="array" ref="Y38">_xlfn.COUNTIFS('Datos - Objetivos de países'!$B$5:$B$510,"Uruguay",'Datos - Objetivos de países'!$F$5:$F$510,Y$3,'Datos - Objetivos de países'!$J$5:$J$510,$A38)+_xlfn.COUNTIFS('Datos - Objetivos de países'!$B$5:$B$510,"Uruguay",'Datos - Objetivos de países'!$F$5:$F$510,Y$3,'Datos - Objetivos de países'!$K$5:$K$510,$A38)</f>
        <v>0</v>
      </c>
      <c r="Z38" s="36" cm="1">
        <f t="array" ref="Z38">_xlfn.COUNTIFS('Datos - Objetivos de países'!$B$5:$B$510,"Uruguay",'Datos - Objetivos de países'!$F$5:$F$510,Z$3,'Datos - Objetivos de países'!$J$5:$J$510,$A38)+_xlfn.COUNTIFS('Datos - Objetivos de países'!$B$5:$B$510,"Uruguay",'Datos - Objetivos de países'!$F$5:$F$510,Z$3,'Datos - Objetivos de países'!$K$5:$K$510,$A38)</f>
        <v>0</v>
      </c>
      <c r="AA38" s="36" cm="1">
        <f t="array" ref="AA38">_xlfn.COUNTIFS('Datos - Objetivos de países'!$B$5:$B$510,"Uruguay",'Datos - Objetivos de países'!$F$5:$F$510,AA$3,'Datos - Objetivos de países'!$J$5:$J$510,$A38)+_xlfn.COUNTIFS('Datos - Objetivos de países'!$B$5:$B$510,"Uruguay",'Datos - Objetivos de países'!$F$5:$F$510,AA$3,'Datos - Objetivos de países'!$K$5:$K$510,$A38)</f>
        <v>4</v>
      </c>
      <c r="AB38" s="36" cm="1">
        <f t="array" ref="AB38">_xlfn.COUNTIFS('Datos - Objetivos de países'!$B$5:$B$510,"Uruguay",'Datos - Objetivos de países'!$F$5:$F$510,AB$3,'Datos - Objetivos de países'!$J$5:$J$510,$A38)+_xlfn.COUNTIFS('Datos - Objetivos de países'!$B$5:$B$510,"Uruguay",'Datos - Objetivos de países'!$F$5:$F$510,AB$3,'Datos - Objetivos de países'!$K$5:$K$510,$A38)</f>
        <v>1</v>
      </c>
      <c r="AC38" s="36" cm="1">
        <f t="array" ref="AC38">_xlfn.COUNTIFS('Datos - Objetivos de países'!$B$5:$B$510,"Uruguay",'Datos - Objetivos de países'!$F$5:$F$510,AC$3,'Datos - Objetivos de países'!$J$5:$J$510,$A38)+_xlfn.COUNTIFS('Datos - Objetivos de países'!$B$5:$B$510,"Uruguay",'Datos - Objetivos de países'!$F$5:$F$510,AC$3,'Datos - Objetivos de países'!$K$5:$K$510,$A38)</f>
        <v>2</v>
      </c>
      <c r="AD38" s="36" cm="1">
        <f t="array" ref="AD38">_xlfn.COUNTIFS('Datos - Objetivos de países'!$B$5:$B$510,"Uruguay",'Datos - Objetivos de países'!$F$5:$F$510,AD$3,'Datos - Objetivos de países'!$J$5:$J$510,$A38)+_xlfn.COUNTIFS('Datos - Objetivos de países'!$B$5:$B$510,"Uruguay",'Datos - Objetivos de países'!$F$5:$F$510,AD$3,'Datos - Objetivos de países'!$K$5:$K$510,$A38)</f>
        <v>12</v>
      </c>
      <c r="AE38" s="36" cm="1">
        <f t="array" ref="AE38">_xlfn.COUNTIFS('Datos - Objetivos de países'!$B$5:$B$510,"Uruguay",'Datos - Objetivos de países'!$F$5:$F$510,AE$3,'Datos - Objetivos de países'!$J$5:$J$510,$A38)+_xlfn.COUNTIFS('Datos - Objetivos de países'!$B$5:$B$510,"Uruguay",'Datos - Objetivos de países'!$F$5:$F$510,AE$3,'Datos - Objetivos de países'!$K$5:$K$510,$A38)</f>
        <v>2</v>
      </c>
      <c r="AF38" s="36" cm="1">
        <f t="array" ref="AF38">_xlfn.COUNTIFS('Datos - Objetivos de países'!$B$5:$B$510,"Colombia",'Datos - Objetivos de países'!$F$5:$F$510,AF$3,'Datos - Objetivos de países'!$J$5:$J$510,$A38)+_xlfn.COUNTIFS('Datos - Objetivos de países'!$B$5:$B$510,"Colombia",'Datos - Objetivos de países'!$F$5:$F$510,AF$3,'Datos - Objetivos de países'!$K$5:$K$510,$A38)</f>
        <v>0</v>
      </c>
      <c r="AG38" s="36" cm="1">
        <f t="array" ref="AG38">_xlfn.COUNTIFS('Datos - Objetivos de países'!$B$5:$B$510,"Colombia",'Datos - Objetivos de países'!$F$5:$F$510,AG$3,'Datos - Objetivos de países'!$J$5:$J$510,$A38)+_xlfn.COUNTIFS('Datos - Objetivos de países'!$B$5:$B$510,"Colombia",'Datos - Objetivos de países'!$F$5:$F$510,AG$3,'Datos - Objetivos de países'!$K$5:$K$510,$A38)</f>
        <v>0</v>
      </c>
      <c r="AH38" s="36" cm="1">
        <f t="array" ref="AH38">_xlfn.COUNTIFS('Datos - Objetivos de países'!$B$5:$B$510,"Colombia",'Datos - Objetivos de países'!$F$5:$F$510,AH$3,'Datos - Objetivos de países'!$J$5:$J$510,$A38)+_xlfn.COUNTIFS('Datos - Objetivos de países'!$B$5:$B$510,"Colombia",'Datos - Objetivos de países'!$F$5:$F$510,AH$3,'Datos - Objetivos de países'!$K$5:$K$510,$A38)</f>
        <v>0</v>
      </c>
      <c r="AI38" s="36" cm="1">
        <f t="array" ref="AI38">_xlfn.COUNTIFS('Datos - Objetivos de países'!$B$5:$B$510,"Colombia",'Datos - Objetivos de países'!$F$5:$F$510,AI$3,'Datos - Objetivos de países'!$J$5:$J$510,$A38)+_xlfn.COUNTIFS('Datos - Objetivos de países'!$B$5:$B$510,"Colombia",'Datos - Objetivos de países'!$F$5:$F$510,AI$3,'Datos - Objetivos de países'!$K$5:$K$510,$A38)</f>
        <v>0</v>
      </c>
      <c r="AJ38" s="36" cm="1">
        <f t="array" ref="AJ38">_xlfn.COUNTIFS('Datos - Objetivos de países'!$B$5:$B$510,"Colombia",'Datos - Objetivos de países'!$F$5:$F$510,AJ$3,'Datos - Objetivos de países'!$J$5:$J$510,$A38)+_xlfn.COUNTIFS('Datos - Objetivos de países'!$B$5:$B$510,"Colombia",'Datos - Objetivos de países'!$F$5:$F$510,AJ$3,'Datos - Objetivos de países'!$K$5:$K$510,$A38)</f>
        <v>2</v>
      </c>
      <c r="AK38" s="36" cm="1">
        <f t="array" ref="AK38">_xlfn.COUNTIFS('Datos - Objetivos de países'!$B$5:$B$510,"Colombia",'Datos - Objetivos de países'!$F$5:$F$510,AK$3,'Datos - Objetivos de países'!$J$5:$J$510,$A38)+_xlfn.COUNTIFS('Datos - Objetivos de países'!$B$5:$B$510,"Colombia",'Datos - Objetivos de países'!$F$5:$F$510,AK$3,'Datos - Objetivos de países'!$K$5:$K$510,$A38)</f>
        <v>1</v>
      </c>
      <c r="AL38" s="36" cm="1">
        <f t="array" ref="AL38">_xlfn.COUNTIFS('Datos - Objetivos de países'!$B$5:$B$510,"Colombia",'Datos - Objetivos de países'!$F$5:$F$510,AL$3,'Datos - Objetivos de países'!$J$5:$J$510,$A38)+_xlfn.COUNTIFS('Datos - Objetivos de países'!$B$5:$B$510,"Colombia",'Datos - Objetivos de países'!$F$5:$F$510,AL$3,'Datos - Objetivos de países'!$K$5:$K$510,$A38)</f>
        <v>0</v>
      </c>
      <c r="AM38" s="36" cm="1">
        <f t="array" ref="AM38">_xlfn.COUNTIFS('Datos - Objetivos de países'!$B$5:$B$510,"Colombia",'Datos - Objetivos de países'!$F$5:$F$510,AM$3,'Datos - Objetivos de países'!$J$5:$J$510,$A38)+_xlfn.COUNTIFS('Datos - Objetivos de países'!$B$5:$B$510,"Colombia",'Datos - Objetivos de países'!$F$5:$F$510,AM$3,'Datos - Objetivos de países'!$K$5:$K$510,$A38)</f>
        <v>4</v>
      </c>
      <c r="AN38" s="36" cm="1">
        <f t="array" ref="AN38">_xlfn.COUNTIFS('Datos - Objetivos de países'!$B$5:$B$510,"Colombia",'Datos - Objetivos de países'!$F$5:$F$510,AN$3,'Datos - Objetivos de países'!$J$5:$J$510,$A38)+_xlfn.COUNTIFS('Datos - Objetivos de países'!$B$5:$B$510,"Colombia",'Datos - Objetivos de países'!$F$5:$F$510,AN$3,'Datos - Objetivos de países'!$K$5:$K$510,$A38)</f>
        <v>0</v>
      </c>
      <c r="AO38" s="36" cm="1">
        <f t="array" ref="AO38">_xlfn.COUNTIFS('Datos - Objetivos de países'!$B$5:$B$510,"Singapur",'Datos - Objetivos de países'!$F$5:$F$510,AO$3,'Datos - Objetivos de países'!$J$5:$J$510,$A38)+_xlfn.COUNTIFS('Datos - Objetivos de países'!$B$5:$B$510,"Singapur",'Datos - Objetivos de países'!$F$5:$F$510,AO$3,'Datos - Objetivos de países'!$K$5:$K$510,$A38)</f>
        <v>0</v>
      </c>
      <c r="AP38" s="36" cm="1">
        <f t="array" ref="AP38">_xlfn.COUNTIFS('Datos - Objetivos de países'!$B$5:$B$510,"Singapur",'Datos - Objetivos de países'!$F$5:$F$510,AP$3,'Datos - Objetivos de países'!$J$5:$J$510,$A38)+_xlfn.COUNTIFS('Datos - Objetivos de países'!$B$5:$B$510,"Singapur",'Datos - Objetivos de países'!$F$5:$F$510,AP$3,'Datos - Objetivos de países'!$K$5:$K$510,$A38)</f>
        <v>0</v>
      </c>
      <c r="AQ38" s="36" cm="1">
        <f t="array" ref="AQ38">_xlfn.COUNTIFS('Datos - Objetivos de países'!$B$5:$B$510,"Singapur",'Datos - Objetivos de países'!$F$5:$F$510,AQ$3,'Datos - Objetivos de países'!$J$5:$J$510,$A38)+_xlfn.COUNTIFS('Datos - Objetivos de países'!$B$5:$B$510,"Singapur",'Datos - Objetivos de países'!$F$5:$F$510,AQ$3,'Datos - Objetivos de países'!$K$5:$K$510,$A38)</f>
        <v>0</v>
      </c>
      <c r="AR38" s="36" cm="1">
        <f t="array" ref="AR38">_xlfn.COUNTIFS('Datos - Objetivos de países'!$B$5:$B$510,"Singapur",'Datos - Objetivos de países'!$F$5:$F$510,AR$3,'Datos - Objetivos de países'!$J$5:$J$510,$A38)+_xlfn.COUNTIFS('Datos - Objetivos de países'!$B$5:$B$510,"Singapur",'Datos - Objetivos de países'!$F$5:$F$510,AR$3,'Datos - Objetivos de países'!$K$5:$K$510,$A38)</f>
        <v>0</v>
      </c>
      <c r="AS38" s="36" cm="1">
        <f t="array" ref="AS38">_xlfn.COUNTIFS('Datos - Objetivos de países'!$B$5:$B$510,"Singapur",'Datos - Objetivos de países'!$F$5:$F$510,AS$3,'Datos - Objetivos de países'!$J$5:$J$510,$A38)+_xlfn.COUNTIFS('Datos - Objetivos de países'!$B$5:$B$510,"Singapur",'Datos - Objetivos de países'!$F$5:$F$510,AS$3,'Datos - Objetivos de países'!$K$5:$K$510,$A38)</f>
        <v>6</v>
      </c>
      <c r="AT38" s="36" cm="1">
        <f t="array" ref="AT38">_xlfn.COUNTIFS('Datos - Objetivos de países'!$B$5:$B$510,"Singapur",'Datos - Objetivos de países'!$F$5:$F$510,AT$3,'Datos - Objetivos de países'!$J$5:$J$510,$A38)+_xlfn.COUNTIFS('Datos - Objetivos de países'!$B$5:$B$510,"Singapur",'Datos - Objetivos de países'!$F$5:$F$510,AT$3,'Datos - Objetivos de países'!$K$5:$K$510,$A38)</f>
        <v>0</v>
      </c>
      <c r="AU38" s="36" cm="1">
        <f t="array" ref="AU38">_xlfn.COUNTIFS('Datos - Objetivos de países'!$B$5:$B$510,"Singapur",'Datos - Objetivos de países'!$F$5:$F$510,AU$3,'Datos - Objetivos de países'!$J$5:$J$510,$A38)+_xlfn.COUNTIFS('Datos - Objetivos de países'!$B$5:$B$510,"Singapur",'Datos - Objetivos de países'!$F$5:$F$510,AU$3,'Datos - Objetivos de países'!$K$5:$K$510,$A38)</f>
        <v>0</v>
      </c>
      <c r="AV38" s="36" cm="1">
        <f t="array" ref="AV38">_xlfn.COUNTIFS('Datos - Objetivos de países'!$B$5:$B$510,"Singapur",'Datos - Objetivos de países'!$F$5:$F$510,AV$3,'Datos - Objetivos de países'!$J$5:$J$510,$A38)+_xlfn.COUNTIFS('Datos - Objetivos de países'!$B$5:$B$510,"Singapur",'Datos - Objetivos de países'!$F$5:$F$510,AV$3,'Datos - Objetivos de países'!$K$5:$K$510,$A38)</f>
        <v>0</v>
      </c>
      <c r="AW38" s="36" cm="1">
        <f t="array" ref="AW38">_xlfn.COUNTIFS('Datos - Objetivos de países'!$B$5:$B$510,"Singapur",'Datos - Objetivos de países'!$F$5:$F$510,AW$3,'Datos - Objetivos de países'!$J$5:$J$510,$A38)+_xlfn.COUNTIFS('Datos - Objetivos de países'!$B$5:$B$510,"Singapur",'Datos - Objetivos de países'!$F$5:$F$510,AW$3,'Datos - Objetivos de países'!$K$5:$K$510,$A38)</f>
        <v>0</v>
      </c>
    </row>
    <row r="39" ht="13.65" customHeight="1">
      <c r="A39" t="s" s="78">
        <v>1171</v>
      </c>
      <c r="B39" t="s" s="78">
        <v>1164</v>
      </c>
      <c r="C39" t="s" s="78">
        <v>210</v>
      </c>
      <c r="D39" t="s" s="78">
        <v>1172</v>
      </c>
      <c r="E39" s="80" cm="1">
        <f t="array" ref="E39">_xlfn.IFERROR(MAX($L$3,INDEX($N$3:$V$3,MATCH(TRUE,INDEX(N39:V39&gt;0,0),0))),"—")</f>
        <v>6</v>
      </c>
      <c r="F39" s="80" cm="1">
        <f t="array" ref="F39">_xlfn.IFERROR(MAX($L$3,INDEX($W$3:$AE$3,MATCH(TRUE,INDEX(W39:AE39&gt;0,0),0))),"—")</f>
        <v>5</v>
      </c>
      <c r="G39" s="80" cm="1">
        <f t="array" ref="G39">_xlfn.IFERROR(MAX($L$3,INDEX($AF$3:$AN$3,MATCH(TRUE,INDEX(AF39:AN39&gt;0,0),0))),"—")</f>
        <v>6</v>
      </c>
      <c r="H39" s="80" cm="1">
        <f t="array" ref="H39">_xlfn.IFERROR(MAX($L$3,INDEX($AO$3:$AW$3,MATCH(TRUE,INDEX(AO39:AW39&gt;0,0),0))),"—")</f>
        <v>5</v>
      </c>
      <c r="I39" s="111" cm="1">
        <f t="array" ref="I39">IF(L39=0,"—",MEDIAN(F39:H39))</f>
        <v>5</v>
      </c>
      <c r="J39" s="111" cm="1">
        <f t="array" ref="J39">IF(OR(E39="—",I39="—"),"—",E39-I39)</f>
        <v>1</v>
      </c>
      <c r="K39" t="str" s="49" cm="1">
        <f t="array" ref="K39">IF(E39="—",IF(L39=0,"Nadie lo trabaja","El Salvador no llega"),IF(L39=0,"Solo El Salvador",IF(J39&gt;0,"El Salvador llega más tarde",IF(J39&lt;0,"El Salvador va adelantado","Mismo grado"))))</f>
        <v>El Salvador llega más tarde</v>
      </c>
      <c r="L39" s="80" cm="1">
        <f t="array" ref="L39">COUNT(F39:H39)</f>
        <v>3</v>
      </c>
      <c r="M39" s="110"/>
      <c r="N39" s="36" cm="1">
        <f t="array" ref="N39">_xlfn.COUNTIFS('Datos - Temas'!$C$5:$C$1264,"Ciencias",'Datos - Temas'!$B$5:$B$1264,N$3,'Datos - Temas'!$K$5:$K$1264,$A39)+_xlfn.COUNTIFS('Datos - Temas'!$C$5:$C$1264,"Ciencias",'Datos - Temas'!$B$5:$B$1264,N$3,'Datos - Temas'!$L$5:$L$1264,$A39)</f>
        <v>0</v>
      </c>
      <c r="O39" s="36" cm="1">
        <f t="array" ref="O39">_xlfn.COUNTIFS('Datos - Temas'!$C$5:$C$1264,"Ciencias",'Datos - Temas'!$B$5:$B$1264,O$3,'Datos - Temas'!$K$5:$K$1264,$A39)+_xlfn.COUNTIFS('Datos - Temas'!$C$5:$C$1264,"Ciencias",'Datos - Temas'!$B$5:$B$1264,O$3,'Datos - Temas'!$L$5:$L$1264,$A39)</f>
        <v>0</v>
      </c>
      <c r="P39" s="36" cm="1">
        <f t="array" ref="P39">_xlfn.COUNTIFS('Datos - Temas'!$C$5:$C$1264,"Ciencias",'Datos - Temas'!$B$5:$B$1264,P$3,'Datos - Temas'!$K$5:$K$1264,$A39)+_xlfn.COUNTIFS('Datos - Temas'!$C$5:$C$1264,"Ciencias",'Datos - Temas'!$B$5:$B$1264,P$3,'Datos - Temas'!$L$5:$L$1264,$A39)</f>
        <v>0</v>
      </c>
      <c r="Q39" s="36" cm="1">
        <f t="array" ref="Q39">_xlfn.COUNTIFS('Datos - Temas'!$C$5:$C$1264,"Ciencias",'Datos - Temas'!$B$5:$B$1264,Q$3,'Datos - Temas'!$K$5:$K$1264,$A39)+_xlfn.COUNTIFS('Datos - Temas'!$C$5:$C$1264,"Ciencias",'Datos - Temas'!$B$5:$B$1264,Q$3,'Datos - Temas'!$L$5:$L$1264,$A39)</f>
        <v>0</v>
      </c>
      <c r="R39" s="36" cm="1">
        <f t="array" ref="R39">_xlfn.COUNTIFS('Datos - Temas'!$C$5:$C$1264,"Ciencias",'Datos - Temas'!$B$5:$B$1264,R$3,'Datos - Temas'!$K$5:$K$1264,$A39)+_xlfn.COUNTIFS('Datos - Temas'!$C$5:$C$1264,"Ciencias",'Datos - Temas'!$B$5:$B$1264,R$3,'Datos - Temas'!$L$5:$L$1264,$A39)</f>
        <v>0</v>
      </c>
      <c r="S39" s="36" cm="1">
        <f t="array" ref="S39">_xlfn.COUNTIFS('Datos - Temas'!$C$5:$C$1264,"Ciencias",'Datos - Temas'!$B$5:$B$1264,S$3,'Datos - Temas'!$K$5:$K$1264,$A39)+_xlfn.COUNTIFS('Datos - Temas'!$C$5:$C$1264,"Ciencias",'Datos - Temas'!$B$5:$B$1264,S$3,'Datos - Temas'!$L$5:$L$1264,$A39)</f>
        <v>6</v>
      </c>
      <c r="T39" s="36" cm="1">
        <f t="array" ref="T39">_xlfn.COUNTIFS('Datos - Temas'!$C$5:$C$1264,"Ciencias",'Datos - Temas'!$B$5:$B$1264,T$3,'Datos - Temas'!$K$5:$K$1264,$A39)+_xlfn.COUNTIFS('Datos - Temas'!$C$5:$C$1264,"Ciencias",'Datos - Temas'!$B$5:$B$1264,T$3,'Datos - Temas'!$L$5:$L$1264,$A39)</f>
        <v>0</v>
      </c>
      <c r="U39" s="36" cm="1">
        <f t="array" ref="U39">_xlfn.COUNTIFS('Datos - Temas'!$C$5:$C$1264,"Ciencias",'Datos - Temas'!$B$5:$B$1264,U$3,'Datos - Temas'!$K$5:$K$1264,$A39)+_xlfn.COUNTIFS('Datos - Temas'!$C$5:$C$1264,"Ciencias",'Datos - Temas'!$B$5:$B$1264,U$3,'Datos - Temas'!$L$5:$L$1264,$A39)</f>
        <v>6</v>
      </c>
      <c r="V39" s="36" cm="1">
        <f t="array" ref="V39">_xlfn.COUNTIFS('Datos - Temas'!$C$5:$C$1264,"Ciencias",'Datos - Temas'!$B$5:$B$1264,V$3,'Datos - Temas'!$K$5:$K$1264,$A39)+_xlfn.COUNTIFS('Datos - Temas'!$C$5:$C$1264,"Ciencias",'Datos - Temas'!$B$5:$B$1264,V$3,'Datos - Temas'!$L$5:$L$1264,$A39)</f>
        <v>0</v>
      </c>
      <c r="W39" s="36" cm="1">
        <f t="array" ref="W39">_xlfn.COUNTIFS('Datos - Objetivos de países'!$B$5:$B$510,"Uruguay",'Datos - Objetivos de países'!$F$5:$F$510,W$3,'Datos - Objetivos de países'!$J$5:$J$510,$A39)+_xlfn.COUNTIFS('Datos - Objetivos de países'!$B$5:$B$510,"Uruguay",'Datos - Objetivos de países'!$F$5:$F$510,W$3,'Datos - Objetivos de países'!$K$5:$K$510,$A39)</f>
        <v>0</v>
      </c>
      <c r="X39" s="36" cm="1">
        <f t="array" ref="X39">_xlfn.COUNTIFS('Datos - Objetivos de países'!$B$5:$B$510,"Uruguay",'Datos - Objetivos de países'!$F$5:$F$510,X$3,'Datos - Objetivos de países'!$J$5:$J$510,$A39)+_xlfn.COUNTIFS('Datos - Objetivos de países'!$B$5:$B$510,"Uruguay",'Datos - Objetivos de países'!$F$5:$F$510,X$3,'Datos - Objetivos de países'!$K$5:$K$510,$A39)</f>
        <v>0</v>
      </c>
      <c r="Y39" s="36" cm="1">
        <f t="array" ref="Y39">_xlfn.COUNTIFS('Datos - Objetivos de países'!$B$5:$B$510,"Uruguay",'Datos - Objetivos de países'!$F$5:$F$510,Y$3,'Datos - Objetivos de países'!$J$5:$J$510,$A39)+_xlfn.COUNTIFS('Datos - Objetivos de países'!$B$5:$B$510,"Uruguay",'Datos - Objetivos de países'!$F$5:$F$510,Y$3,'Datos - Objetivos de países'!$K$5:$K$510,$A39)</f>
        <v>0</v>
      </c>
      <c r="Z39" s="36" cm="1">
        <f t="array" ref="Z39">_xlfn.COUNTIFS('Datos - Objetivos de países'!$B$5:$B$510,"Uruguay",'Datos - Objetivos de países'!$F$5:$F$510,Z$3,'Datos - Objetivos de países'!$J$5:$J$510,$A39)+_xlfn.COUNTIFS('Datos - Objetivos de países'!$B$5:$B$510,"Uruguay",'Datos - Objetivos de países'!$F$5:$F$510,Z$3,'Datos - Objetivos de países'!$K$5:$K$510,$A39)</f>
        <v>0</v>
      </c>
      <c r="AA39" s="36" cm="1">
        <f t="array" ref="AA39">_xlfn.COUNTIFS('Datos - Objetivos de países'!$B$5:$B$510,"Uruguay",'Datos - Objetivos de países'!$F$5:$F$510,AA$3,'Datos - Objetivos de países'!$J$5:$J$510,$A39)+_xlfn.COUNTIFS('Datos - Objetivos de países'!$B$5:$B$510,"Uruguay",'Datos - Objetivos de países'!$F$5:$F$510,AA$3,'Datos - Objetivos de países'!$K$5:$K$510,$A39)</f>
        <v>1</v>
      </c>
      <c r="AB39" s="36" cm="1">
        <f t="array" ref="AB39">_xlfn.COUNTIFS('Datos - Objetivos de países'!$B$5:$B$510,"Uruguay",'Datos - Objetivos de países'!$F$5:$F$510,AB$3,'Datos - Objetivos de países'!$J$5:$J$510,$A39)+_xlfn.COUNTIFS('Datos - Objetivos de países'!$B$5:$B$510,"Uruguay",'Datos - Objetivos de países'!$F$5:$F$510,AB$3,'Datos - Objetivos de países'!$K$5:$K$510,$A39)</f>
        <v>1</v>
      </c>
      <c r="AC39" s="36" cm="1">
        <f t="array" ref="AC39">_xlfn.COUNTIFS('Datos - Objetivos de países'!$B$5:$B$510,"Uruguay",'Datos - Objetivos de países'!$F$5:$F$510,AC$3,'Datos - Objetivos de países'!$J$5:$J$510,$A39)+_xlfn.COUNTIFS('Datos - Objetivos de países'!$B$5:$B$510,"Uruguay",'Datos - Objetivos de países'!$F$5:$F$510,AC$3,'Datos - Objetivos de países'!$K$5:$K$510,$A39)</f>
        <v>1</v>
      </c>
      <c r="AD39" s="36" cm="1">
        <f t="array" ref="AD39">_xlfn.COUNTIFS('Datos - Objetivos de países'!$B$5:$B$510,"Uruguay",'Datos - Objetivos de países'!$F$5:$F$510,AD$3,'Datos - Objetivos de países'!$J$5:$J$510,$A39)+_xlfn.COUNTIFS('Datos - Objetivos de países'!$B$5:$B$510,"Uruguay",'Datos - Objetivos de países'!$F$5:$F$510,AD$3,'Datos - Objetivos de países'!$K$5:$K$510,$A39)</f>
        <v>2</v>
      </c>
      <c r="AE39" s="36" cm="1">
        <f t="array" ref="AE39">_xlfn.COUNTIFS('Datos - Objetivos de países'!$B$5:$B$510,"Uruguay",'Datos - Objetivos de países'!$F$5:$F$510,AE$3,'Datos - Objetivos de países'!$J$5:$J$510,$A39)+_xlfn.COUNTIFS('Datos - Objetivos de países'!$B$5:$B$510,"Uruguay",'Datos - Objetivos de países'!$F$5:$F$510,AE$3,'Datos - Objetivos de países'!$K$5:$K$510,$A39)</f>
        <v>1</v>
      </c>
      <c r="AF39" s="36" cm="1">
        <f t="array" ref="AF39">_xlfn.COUNTIFS('Datos - Objetivos de países'!$B$5:$B$510,"Colombia",'Datos - Objetivos de países'!$F$5:$F$510,AF$3,'Datos - Objetivos de países'!$J$5:$J$510,$A39)+_xlfn.COUNTIFS('Datos - Objetivos de países'!$B$5:$B$510,"Colombia",'Datos - Objetivos de países'!$F$5:$F$510,AF$3,'Datos - Objetivos de países'!$K$5:$K$510,$A39)</f>
        <v>0</v>
      </c>
      <c r="AG39" s="36" cm="1">
        <f t="array" ref="AG39">_xlfn.COUNTIFS('Datos - Objetivos de países'!$B$5:$B$510,"Colombia",'Datos - Objetivos de países'!$F$5:$F$510,AG$3,'Datos - Objetivos de países'!$J$5:$J$510,$A39)+_xlfn.COUNTIFS('Datos - Objetivos de países'!$B$5:$B$510,"Colombia",'Datos - Objetivos de países'!$F$5:$F$510,AG$3,'Datos - Objetivos de países'!$K$5:$K$510,$A39)</f>
        <v>0</v>
      </c>
      <c r="AH39" s="36" cm="1">
        <f t="array" ref="AH39">_xlfn.COUNTIFS('Datos - Objetivos de países'!$B$5:$B$510,"Colombia",'Datos - Objetivos de países'!$F$5:$F$510,AH$3,'Datos - Objetivos de países'!$J$5:$J$510,$A39)+_xlfn.COUNTIFS('Datos - Objetivos de países'!$B$5:$B$510,"Colombia",'Datos - Objetivos de países'!$F$5:$F$510,AH$3,'Datos - Objetivos de países'!$K$5:$K$510,$A39)</f>
        <v>0</v>
      </c>
      <c r="AI39" s="36" cm="1">
        <f t="array" ref="AI39">_xlfn.COUNTIFS('Datos - Objetivos de países'!$B$5:$B$510,"Colombia",'Datos - Objetivos de países'!$F$5:$F$510,AI$3,'Datos - Objetivos de países'!$J$5:$J$510,$A39)+_xlfn.COUNTIFS('Datos - Objetivos de países'!$B$5:$B$510,"Colombia",'Datos - Objetivos de países'!$F$5:$F$510,AI$3,'Datos - Objetivos de países'!$K$5:$K$510,$A39)</f>
        <v>0</v>
      </c>
      <c r="AJ39" s="36" cm="1">
        <f t="array" ref="AJ39">_xlfn.COUNTIFS('Datos - Objetivos de países'!$B$5:$B$510,"Colombia",'Datos - Objetivos de países'!$F$5:$F$510,AJ$3,'Datos - Objetivos de países'!$J$5:$J$510,$A39)+_xlfn.COUNTIFS('Datos - Objetivos de países'!$B$5:$B$510,"Colombia",'Datos - Objetivos de países'!$F$5:$F$510,AJ$3,'Datos - Objetivos de países'!$K$5:$K$510,$A39)</f>
        <v>0</v>
      </c>
      <c r="AK39" s="36" cm="1">
        <f t="array" ref="AK39">_xlfn.COUNTIFS('Datos - Objetivos de países'!$B$5:$B$510,"Colombia",'Datos - Objetivos de países'!$F$5:$F$510,AK$3,'Datos - Objetivos de países'!$J$5:$J$510,$A39)+_xlfn.COUNTIFS('Datos - Objetivos de países'!$B$5:$B$510,"Colombia",'Datos - Objetivos de países'!$F$5:$F$510,AK$3,'Datos - Objetivos de países'!$K$5:$K$510,$A39)</f>
        <v>2</v>
      </c>
      <c r="AL39" s="36" cm="1">
        <f t="array" ref="AL39">_xlfn.COUNTIFS('Datos - Objetivos de países'!$B$5:$B$510,"Colombia",'Datos - Objetivos de países'!$F$5:$F$510,AL$3,'Datos - Objetivos de países'!$J$5:$J$510,$A39)+_xlfn.COUNTIFS('Datos - Objetivos de países'!$B$5:$B$510,"Colombia",'Datos - Objetivos de países'!$F$5:$F$510,AL$3,'Datos - Objetivos de países'!$K$5:$K$510,$A39)</f>
        <v>1</v>
      </c>
      <c r="AM39" s="36" cm="1">
        <f t="array" ref="AM39">_xlfn.COUNTIFS('Datos - Objetivos de países'!$B$5:$B$510,"Colombia",'Datos - Objetivos de países'!$F$5:$F$510,AM$3,'Datos - Objetivos de países'!$J$5:$J$510,$A39)+_xlfn.COUNTIFS('Datos - Objetivos de países'!$B$5:$B$510,"Colombia",'Datos - Objetivos de países'!$F$5:$F$510,AM$3,'Datos - Objetivos de países'!$K$5:$K$510,$A39)</f>
        <v>2</v>
      </c>
      <c r="AN39" s="36" cm="1">
        <f t="array" ref="AN39">_xlfn.COUNTIFS('Datos - Objetivos de países'!$B$5:$B$510,"Colombia",'Datos - Objetivos de países'!$F$5:$F$510,AN$3,'Datos - Objetivos de países'!$J$5:$J$510,$A39)+_xlfn.COUNTIFS('Datos - Objetivos de países'!$B$5:$B$510,"Colombia",'Datos - Objetivos de países'!$F$5:$F$510,AN$3,'Datos - Objetivos de países'!$K$5:$K$510,$A39)</f>
        <v>0</v>
      </c>
      <c r="AO39" s="36" cm="1">
        <f t="array" ref="AO39">_xlfn.COUNTIFS('Datos - Objetivos de países'!$B$5:$B$510,"Singapur",'Datos - Objetivos de países'!$F$5:$F$510,AO$3,'Datos - Objetivos de países'!$J$5:$J$510,$A39)+_xlfn.COUNTIFS('Datos - Objetivos de países'!$B$5:$B$510,"Singapur",'Datos - Objetivos de países'!$F$5:$F$510,AO$3,'Datos - Objetivos de países'!$K$5:$K$510,$A39)</f>
        <v>0</v>
      </c>
      <c r="AP39" s="36" cm="1">
        <f t="array" ref="AP39">_xlfn.COUNTIFS('Datos - Objetivos de países'!$B$5:$B$510,"Singapur",'Datos - Objetivos de países'!$F$5:$F$510,AP$3,'Datos - Objetivos de países'!$J$5:$J$510,$A39)+_xlfn.COUNTIFS('Datos - Objetivos de países'!$B$5:$B$510,"Singapur",'Datos - Objetivos de países'!$F$5:$F$510,AP$3,'Datos - Objetivos de países'!$K$5:$K$510,$A39)</f>
        <v>0</v>
      </c>
      <c r="AQ39" s="36" cm="1">
        <f t="array" ref="AQ39">_xlfn.COUNTIFS('Datos - Objetivos de países'!$B$5:$B$510,"Singapur",'Datos - Objetivos de países'!$F$5:$F$510,AQ$3,'Datos - Objetivos de países'!$J$5:$J$510,$A39)+_xlfn.COUNTIFS('Datos - Objetivos de países'!$B$5:$B$510,"Singapur",'Datos - Objetivos de países'!$F$5:$F$510,AQ$3,'Datos - Objetivos de países'!$K$5:$K$510,$A39)</f>
        <v>0</v>
      </c>
      <c r="AR39" s="36" cm="1">
        <f t="array" ref="AR39">_xlfn.COUNTIFS('Datos - Objetivos de países'!$B$5:$B$510,"Singapur",'Datos - Objetivos de países'!$F$5:$F$510,AR$3,'Datos - Objetivos de países'!$J$5:$J$510,$A39)+_xlfn.COUNTIFS('Datos - Objetivos de países'!$B$5:$B$510,"Singapur",'Datos - Objetivos de países'!$F$5:$F$510,AR$3,'Datos - Objetivos de países'!$K$5:$K$510,$A39)</f>
        <v>0</v>
      </c>
      <c r="AS39" s="36" cm="1">
        <f t="array" ref="AS39">_xlfn.COUNTIFS('Datos - Objetivos de países'!$B$5:$B$510,"Singapur",'Datos - Objetivos de países'!$F$5:$F$510,AS$3,'Datos - Objetivos de países'!$J$5:$J$510,$A39)+_xlfn.COUNTIFS('Datos - Objetivos de países'!$B$5:$B$510,"Singapur",'Datos - Objetivos de países'!$F$5:$F$510,AS$3,'Datos - Objetivos de países'!$K$5:$K$510,$A39)</f>
        <v>1</v>
      </c>
      <c r="AT39" s="36" cm="1">
        <f t="array" ref="AT39">_xlfn.COUNTIFS('Datos - Objetivos de países'!$B$5:$B$510,"Singapur",'Datos - Objetivos de países'!$F$5:$F$510,AT$3,'Datos - Objetivos de países'!$J$5:$J$510,$A39)+_xlfn.COUNTIFS('Datos - Objetivos de países'!$B$5:$B$510,"Singapur",'Datos - Objetivos de países'!$F$5:$F$510,AT$3,'Datos - Objetivos de países'!$K$5:$K$510,$A39)</f>
        <v>3</v>
      </c>
      <c r="AU39" s="36" cm="1">
        <f t="array" ref="AU39">_xlfn.COUNTIFS('Datos - Objetivos de países'!$B$5:$B$510,"Singapur",'Datos - Objetivos de países'!$F$5:$F$510,AU$3,'Datos - Objetivos de países'!$J$5:$J$510,$A39)+_xlfn.COUNTIFS('Datos - Objetivos de países'!$B$5:$B$510,"Singapur",'Datos - Objetivos de países'!$F$5:$F$510,AU$3,'Datos - Objetivos de países'!$K$5:$K$510,$A39)</f>
        <v>0</v>
      </c>
      <c r="AV39" s="36" cm="1">
        <f t="array" ref="AV39">_xlfn.COUNTIFS('Datos - Objetivos de países'!$B$5:$B$510,"Singapur",'Datos - Objetivos de países'!$F$5:$F$510,AV$3,'Datos - Objetivos de países'!$J$5:$J$510,$A39)+_xlfn.COUNTIFS('Datos - Objetivos de países'!$B$5:$B$510,"Singapur",'Datos - Objetivos de países'!$F$5:$F$510,AV$3,'Datos - Objetivos de países'!$K$5:$K$510,$A39)</f>
        <v>0</v>
      </c>
      <c r="AW39" s="36" cm="1">
        <f t="array" ref="AW39">_xlfn.COUNTIFS('Datos - Objetivos de países'!$B$5:$B$510,"Singapur",'Datos - Objetivos de países'!$F$5:$F$510,AW$3,'Datos - Objetivos de países'!$J$5:$J$510,$A39)+_xlfn.COUNTIFS('Datos - Objetivos de países'!$B$5:$B$510,"Singapur",'Datos - Objetivos de países'!$F$5:$F$510,AW$3,'Datos - Objetivos de países'!$K$5:$K$510,$A39)</f>
        <v>0</v>
      </c>
    </row>
    <row r="40" ht="13.65" customHeight="1">
      <c r="A40" t="s" s="78">
        <v>1174</v>
      </c>
      <c r="B40" t="s" s="78">
        <v>1164</v>
      </c>
      <c r="C40" t="s" s="78">
        <v>210</v>
      </c>
      <c r="D40" t="s" s="78">
        <v>1176</v>
      </c>
      <c r="E40" s="80" cm="1">
        <f t="array" ref="E40">_xlfn.IFERROR(MAX($L$3,INDEX($N$3:$V$3,MATCH(TRUE,INDEX(N40:V40&gt;0,0),0))),"—")</f>
        <v>6</v>
      </c>
      <c r="F40" s="80" cm="1">
        <f t="array" ref="F40">_xlfn.IFERROR(MAX($L$3,INDEX($W$3:$AE$3,MATCH(TRUE,INDEX(W40:AE40&gt;0,0),0))),"—")</f>
        <v>5</v>
      </c>
      <c r="G40" s="80" cm="1">
        <f t="array" ref="G40">_xlfn.IFERROR(MAX($L$3,INDEX($AF$3:$AN$3,MATCH(TRUE,INDEX(AF40:AN40&gt;0,0),0))),"—")</f>
        <v>5</v>
      </c>
      <c r="H40" s="80" cm="1">
        <f t="array" ref="H40">_xlfn.IFERROR(MAX($L$3,INDEX($AO$3:$AW$3,MATCH(TRUE,INDEX(AO40:AW40&gt;0,0),0))),"—")</f>
        <v>5</v>
      </c>
      <c r="I40" s="111" cm="1">
        <f t="array" ref="I40">IF(L40=0,"—",MEDIAN(F40:H40))</f>
        <v>5</v>
      </c>
      <c r="J40" s="111" cm="1">
        <f t="array" ref="J40">IF(OR(E40="—",I40="—"),"—",E40-I40)</f>
        <v>1</v>
      </c>
      <c r="K40" t="str" s="49" cm="1">
        <f t="array" ref="K40">IF(E40="—",IF(L40=0,"Nadie lo trabaja","El Salvador no llega"),IF(L40=0,"Solo El Salvador",IF(J40&gt;0,"El Salvador llega más tarde",IF(J40&lt;0,"El Salvador va adelantado","Mismo grado"))))</f>
        <v>El Salvador llega más tarde</v>
      </c>
      <c r="L40" s="80" cm="1">
        <f t="array" ref="L40">COUNT(F40:H40)</f>
        <v>3</v>
      </c>
      <c r="M40" s="110"/>
      <c r="N40" s="36" cm="1">
        <f t="array" ref="N40">_xlfn.COUNTIFS('Datos - Temas'!$C$5:$C$1264,"Ciencias",'Datos - Temas'!$B$5:$B$1264,N$3,'Datos - Temas'!$K$5:$K$1264,$A40)+_xlfn.COUNTIFS('Datos - Temas'!$C$5:$C$1264,"Ciencias",'Datos - Temas'!$B$5:$B$1264,N$3,'Datos - Temas'!$L$5:$L$1264,$A40)</f>
        <v>0</v>
      </c>
      <c r="O40" s="36" cm="1">
        <f t="array" ref="O40">_xlfn.COUNTIFS('Datos - Temas'!$C$5:$C$1264,"Ciencias",'Datos - Temas'!$B$5:$B$1264,O$3,'Datos - Temas'!$K$5:$K$1264,$A40)+_xlfn.COUNTIFS('Datos - Temas'!$C$5:$C$1264,"Ciencias",'Datos - Temas'!$B$5:$B$1264,O$3,'Datos - Temas'!$L$5:$L$1264,$A40)</f>
        <v>0</v>
      </c>
      <c r="P40" s="36" cm="1">
        <f t="array" ref="P40">_xlfn.COUNTIFS('Datos - Temas'!$C$5:$C$1264,"Ciencias",'Datos - Temas'!$B$5:$B$1264,P$3,'Datos - Temas'!$K$5:$K$1264,$A40)+_xlfn.COUNTIFS('Datos - Temas'!$C$5:$C$1264,"Ciencias",'Datos - Temas'!$B$5:$B$1264,P$3,'Datos - Temas'!$L$5:$L$1264,$A40)</f>
        <v>0</v>
      </c>
      <c r="Q40" s="36" cm="1">
        <f t="array" ref="Q40">_xlfn.COUNTIFS('Datos - Temas'!$C$5:$C$1264,"Ciencias",'Datos - Temas'!$B$5:$B$1264,Q$3,'Datos - Temas'!$K$5:$K$1264,$A40)+_xlfn.COUNTIFS('Datos - Temas'!$C$5:$C$1264,"Ciencias",'Datos - Temas'!$B$5:$B$1264,Q$3,'Datos - Temas'!$L$5:$L$1264,$A40)</f>
        <v>0</v>
      </c>
      <c r="R40" s="36" cm="1">
        <f t="array" ref="R40">_xlfn.COUNTIFS('Datos - Temas'!$C$5:$C$1264,"Ciencias",'Datos - Temas'!$B$5:$B$1264,R$3,'Datos - Temas'!$K$5:$K$1264,$A40)+_xlfn.COUNTIFS('Datos - Temas'!$C$5:$C$1264,"Ciencias",'Datos - Temas'!$B$5:$B$1264,R$3,'Datos - Temas'!$L$5:$L$1264,$A40)</f>
        <v>0</v>
      </c>
      <c r="S40" s="36" cm="1">
        <f t="array" ref="S40">_xlfn.COUNTIFS('Datos - Temas'!$C$5:$C$1264,"Ciencias",'Datos - Temas'!$B$5:$B$1264,S$3,'Datos - Temas'!$K$5:$K$1264,$A40)+_xlfn.COUNTIFS('Datos - Temas'!$C$5:$C$1264,"Ciencias",'Datos - Temas'!$B$5:$B$1264,S$3,'Datos - Temas'!$L$5:$L$1264,$A40)</f>
        <v>18</v>
      </c>
      <c r="T40" s="36" cm="1">
        <f t="array" ref="T40">_xlfn.COUNTIFS('Datos - Temas'!$C$5:$C$1264,"Ciencias",'Datos - Temas'!$B$5:$B$1264,T$3,'Datos - Temas'!$K$5:$K$1264,$A40)+_xlfn.COUNTIFS('Datos - Temas'!$C$5:$C$1264,"Ciencias",'Datos - Temas'!$B$5:$B$1264,T$3,'Datos - Temas'!$L$5:$L$1264,$A40)</f>
        <v>1</v>
      </c>
      <c r="U40" s="36" cm="1">
        <f t="array" ref="U40">_xlfn.COUNTIFS('Datos - Temas'!$C$5:$C$1264,"Ciencias",'Datos - Temas'!$B$5:$B$1264,U$3,'Datos - Temas'!$K$5:$K$1264,$A40)+_xlfn.COUNTIFS('Datos - Temas'!$C$5:$C$1264,"Ciencias",'Datos - Temas'!$B$5:$B$1264,U$3,'Datos - Temas'!$L$5:$L$1264,$A40)</f>
        <v>9</v>
      </c>
      <c r="V40" s="36" cm="1">
        <f t="array" ref="V40">_xlfn.COUNTIFS('Datos - Temas'!$C$5:$C$1264,"Ciencias",'Datos - Temas'!$B$5:$B$1264,V$3,'Datos - Temas'!$K$5:$K$1264,$A40)+_xlfn.COUNTIFS('Datos - Temas'!$C$5:$C$1264,"Ciencias",'Datos - Temas'!$B$5:$B$1264,V$3,'Datos - Temas'!$L$5:$L$1264,$A40)</f>
        <v>0</v>
      </c>
      <c r="W40" s="36" cm="1">
        <f t="array" ref="W40">_xlfn.COUNTIFS('Datos - Objetivos de países'!$B$5:$B$510,"Uruguay",'Datos - Objetivos de países'!$F$5:$F$510,W$3,'Datos - Objetivos de países'!$J$5:$J$510,$A40)+_xlfn.COUNTIFS('Datos - Objetivos de países'!$B$5:$B$510,"Uruguay",'Datos - Objetivos de países'!$F$5:$F$510,W$3,'Datos - Objetivos de países'!$K$5:$K$510,$A40)</f>
        <v>0</v>
      </c>
      <c r="X40" s="36" cm="1">
        <f t="array" ref="X40">_xlfn.COUNTIFS('Datos - Objetivos de países'!$B$5:$B$510,"Uruguay",'Datos - Objetivos de países'!$F$5:$F$510,X$3,'Datos - Objetivos de países'!$J$5:$J$510,$A40)+_xlfn.COUNTIFS('Datos - Objetivos de países'!$B$5:$B$510,"Uruguay",'Datos - Objetivos de países'!$F$5:$F$510,X$3,'Datos - Objetivos de países'!$K$5:$K$510,$A40)</f>
        <v>0</v>
      </c>
      <c r="Y40" s="36" cm="1">
        <f t="array" ref="Y40">_xlfn.COUNTIFS('Datos - Objetivos de países'!$B$5:$B$510,"Uruguay",'Datos - Objetivos de países'!$F$5:$F$510,Y$3,'Datos - Objetivos de países'!$J$5:$J$510,$A40)+_xlfn.COUNTIFS('Datos - Objetivos de países'!$B$5:$B$510,"Uruguay",'Datos - Objetivos de países'!$F$5:$F$510,Y$3,'Datos - Objetivos de países'!$K$5:$K$510,$A40)</f>
        <v>0</v>
      </c>
      <c r="Z40" s="36" cm="1">
        <f t="array" ref="Z40">_xlfn.COUNTIFS('Datos - Objetivos de países'!$B$5:$B$510,"Uruguay",'Datos - Objetivos de países'!$F$5:$F$510,Z$3,'Datos - Objetivos de países'!$J$5:$J$510,$A40)+_xlfn.COUNTIFS('Datos - Objetivos de países'!$B$5:$B$510,"Uruguay",'Datos - Objetivos de países'!$F$5:$F$510,Z$3,'Datos - Objetivos de países'!$K$5:$K$510,$A40)</f>
        <v>0</v>
      </c>
      <c r="AA40" s="36" cm="1">
        <f t="array" ref="AA40">_xlfn.COUNTIFS('Datos - Objetivos de países'!$B$5:$B$510,"Uruguay",'Datos - Objetivos de países'!$F$5:$F$510,AA$3,'Datos - Objetivos de países'!$J$5:$J$510,$A40)+_xlfn.COUNTIFS('Datos - Objetivos de países'!$B$5:$B$510,"Uruguay",'Datos - Objetivos de países'!$F$5:$F$510,AA$3,'Datos - Objetivos de países'!$K$5:$K$510,$A40)</f>
        <v>1</v>
      </c>
      <c r="AB40" s="36" cm="1">
        <f t="array" ref="AB40">_xlfn.COUNTIFS('Datos - Objetivos de países'!$B$5:$B$510,"Uruguay",'Datos - Objetivos de países'!$F$5:$F$510,AB$3,'Datos - Objetivos de países'!$J$5:$J$510,$A40)+_xlfn.COUNTIFS('Datos - Objetivos de países'!$B$5:$B$510,"Uruguay",'Datos - Objetivos de países'!$F$5:$F$510,AB$3,'Datos - Objetivos de países'!$K$5:$K$510,$A40)</f>
        <v>1</v>
      </c>
      <c r="AC40" s="36" cm="1">
        <f t="array" ref="AC40">_xlfn.COUNTIFS('Datos - Objetivos de países'!$B$5:$B$510,"Uruguay",'Datos - Objetivos de países'!$F$5:$F$510,AC$3,'Datos - Objetivos de países'!$J$5:$J$510,$A40)+_xlfn.COUNTIFS('Datos - Objetivos de países'!$B$5:$B$510,"Uruguay",'Datos - Objetivos de países'!$F$5:$F$510,AC$3,'Datos - Objetivos de países'!$K$5:$K$510,$A40)</f>
        <v>1</v>
      </c>
      <c r="AD40" s="36" cm="1">
        <f t="array" ref="AD40">_xlfn.COUNTIFS('Datos - Objetivos de países'!$B$5:$B$510,"Uruguay",'Datos - Objetivos de países'!$F$5:$F$510,AD$3,'Datos - Objetivos de países'!$J$5:$J$510,$A40)+_xlfn.COUNTIFS('Datos - Objetivos de países'!$B$5:$B$510,"Uruguay",'Datos - Objetivos de países'!$F$5:$F$510,AD$3,'Datos - Objetivos de países'!$K$5:$K$510,$A40)</f>
        <v>0</v>
      </c>
      <c r="AE40" s="36" cm="1">
        <f t="array" ref="AE40">_xlfn.COUNTIFS('Datos - Objetivos de países'!$B$5:$B$510,"Uruguay",'Datos - Objetivos de países'!$F$5:$F$510,AE$3,'Datos - Objetivos de países'!$J$5:$J$510,$A40)+_xlfn.COUNTIFS('Datos - Objetivos de países'!$B$5:$B$510,"Uruguay",'Datos - Objetivos de países'!$F$5:$F$510,AE$3,'Datos - Objetivos de países'!$K$5:$K$510,$A40)</f>
        <v>0</v>
      </c>
      <c r="AF40" s="36" cm="1">
        <f t="array" ref="AF40">_xlfn.COUNTIFS('Datos - Objetivos de países'!$B$5:$B$510,"Colombia",'Datos - Objetivos de países'!$F$5:$F$510,AF$3,'Datos - Objetivos de países'!$J$5:$J$510,$A40)+_xlfn.COUNTIFS('Datos - Objetivos de países'!$B$5:$B$510,"Colombia",'Datos - Objetivos de países'!$F$5:$F$510,AF$3,'Datos - Objetivos de países'!$K$5:$K$510,$A40)</f>
        <v>0</v>
      </c>
      <c r="AG40" s="36" cm="1">
        <f t="array" ref="AG40">_xlfn.COUNTIFS('Datos - Objetivos de países'!$B$5:$B$510,"Colombia",'Datos - Objetivos de países'!$F$5:$F$510,AG$3,'Datos - Objetivos de países'!$J$5:$J$510,$A40)+_xlfn.COUNTIFS('Datos - Objetivos de países'!$B$5:$B$510,"Colombia",'Datos - Objetivos de países'!$F$5:$F$510,AG$3,'Datos - Objetivos de países'!$K$5:$K$510,$A40)</f>
        <v>0</v>
      </c>
      <c r="AH40" s="36" cm="1">
        <f t="array" ref="AH40">_xlfn.COUNTIFS('Datos - Objetivos de países'!$B$5:$B$510,"Colombia",'Datos - Objetivos de países'!$F$5:$F$510,AH$3,'Datos - Objetivos de países'!$J$5:$J$510,$A40)+_xlfn.COUNTIFS('Datos - Objetivos de países'!$B$5:$B$510,"Colombia",'Datos - Objetivos de países'!$F$5:$F$510,AH$3,'Datos - Objetivos de países'!$K$5:$K$510,$A40)</f>
        <v>0</v>
      </c>
      <c r="AI40" s="36" cm="1">
        <f t="array" ref="AI40">_xlfn.COUNTIFS('Datos - Objetivos de países'!$B$5:$B$510,"Colombia",'Datos - Objetivos de países'!$F$5:$F$510,AI$3,'Datos - Objetivos de países'!$J$5:$J$510,$A40)+_xlfn.COUNTIFS('Datos - Objetivos de países'!$B$5:$B$510,"Colombia",'Datos - Objetivos de países'!$F$5:$F$510,AI$3,'Datos - Objetivos de países'!$K$5:$K$510,$A40)</f>
        <v>0</v>
      </c>
      <c r="AJ40" s="36" cm="1">
        <f t="array" ref="AJ40">_xlfn.COUNTIFS('Datos - Objetivos de países'!$B$5:$B$510,"Colombia",'Datos - Objetivos de países'!$F$5:$F$510,AJ$3,'Datos - Objetivos de países'!$J$5:$J$510,$A40)+_xlfn.COUNTIFS('Datos - Objetivos de países'!$B$5:$B$510,"Colombia",'Datos - Objetivos de países'!$F$5:$F$510,AJ$3,'Datos - Objetivos de países'!$K$5:$K$510,$A40)</f>
        <v>1</v>
      </c>
      <c r="AK40" s="36" cm="1">
        <f t="array" ref="AK40">_xlfn.COUNTIFS('Datos - Objetivos de países'!$B$5:$B$510,"Colombia",'Datos - Objetivos de países'!$F$5:$F$510,AK$3,'Datos - Objetivos de países'!$J$5:$J$510,$A40)+_xlfn.COUNTIFS('Datos - Objetivos de países'!$B$5:$B$510,"Colombia",'Datos - Objetivos de países'!$F$5:$F$510,AK$3,'Datos - Objetivos de países'!$K$5:$K$510,$A40)</f>
        <v>6</v>
      </c>
      <c r="AL40" s="36" cm="1">
        <f t="array" ref="AL40">_xlfn.COUNTIFS('Datos - Objetivos de países'!$B$5:$B$510,"Colombia",'Datos - Objetivos de países'!$F$5:$F$510,AL$3,'Datos - Objetivos de países'!$J$5:$J$510,$A40)+_xlfn.COUNTIFS('Datos - Objetivos de países'!$B$5:$B$510,"Colombia",'Datos - Objetivos de países'!$F$5:$F$510,AL$3,'Datos - Objetivos de países'!$K$5:$K$510,$A40)</f>
        <v>0</v>
      </c>
      <c r="AM40" s="36" cm="1">
        <f t="array" ref="AM40">_xlfn.COUNTIFS('Datos - Objetivos de países'!$B$5:$B$510,"Colombia",'Datos - Objetivos de países'!$F$5:$F$510,AM$3,'Datos - Objetivos de países'!$J$5:$J$510,$A40)+_xlfn.COUNTIFS('Datos - Objetivos de países'!$B$5:$B$510,"Colombia",'Datos - Objetivos de países'!$F$5:$F$510,AM$3,'Datos - Objetivos de países'!$K$5:$K$510,$A40)</f>
        <v>2</v>
      </c>
      <c r="AN40" s="36" cm="1">
        <f t="array" ref="AN40">_xlfn.COUNTIFS('Datos - Objetivos de países'!$B$5:$B$510,"Colombia",'Datos - Objetivos de países'!$F$5:$F$510,AN$3,'Datos - Objetivos de países'!$J$5:$J$510,$A40)+_xlfn.COUNTIFS('Datos - Objetivos de países'!$B$5:$B$510,"Colombia",'Datos - Objetivos de países'!$F$5:$F$510,AN$3,'Datos - Objetivos de países'!$K$5:$K$510,$A40)</f>
        <v>0</v>
      </c>
      <c r="AO40" s="36" cm="1">
        <f t="array" ref="AO40">_xlfn.COUNTIFS('Datos - Objetivos de países'!$B$5:$B$510,"Singapur",'Datos - Objetivos de países'!$F$5:$F$510,AO$3,'Datos - Objetivos de países'!$J$5:$J$510,$A40)+_xlfn.COUNTIFS('Datos - Objetivos de países'!$B$5:$B$510,"Singapur",'Datos - Objetivos de países'!$F$5:$F$510,AO$3,'Datos - Objetivos de países'!$K$5:$K$510,$A40)</f>
        <v>0</v>
      </c>
      <c r="AP40" s="36" cm="1">
        <f t="array" ref="AP40">_xlfn.COUNTIFS('Datos - Objetivos de países'!$B$5:$B$510,"Singapur",'Datos - Objetivos de países'!$F$5:$F$510,AP$3,'Datos - Objetivos de países'!$J$5:$J$510,$A40)+_xlfn.COUNTIFS('Datos - Objetivos de países'!$B$5:$B$510,"Singapur",'Datos - Objetivos de países'!$F$5:$F$510,AP$3,'Datos - Objetivos de países'!$K$5:$K$510,$A40)</f>
        <v>0</v>
      </c>
      <c r="AQ40" s="36" cm="1">
        <f t="array" ref="AQ40">_xlfn.COUNTIFS('Datos - Objetivos de países'!$B$5:$B$510,"Singapur",'Datos - Objetivos de países'!$F$5:$F$510,AQ$3,'Datos - Objetivos de países'!$J$5:$J$510,$A40)+_xlfn.COUNTIFS('Datos - Objetivos de países'!$B$5:$B$510,"Singapur",'Datos - Objetivos de países'!$F$5:$F$510,AQ$3,'Datos - Objetivos de países'!$K$5:$K$510,$A40)</f>
        <v>0</v>
      </c>
      <c r="AR40" s="36" cm="1">
        <f t="array" ref="AR40">_xlfn.COUNTIFS('Datos - Objetivos de países'!$B$5:$B$510,"Singapur",'Datos - Objetivos de países'!$F$5:$F$510,AR$3,'Datos - Objetivos de países'!$J$5:$J$510,$A40)+_xlfn.COUNTIFS('Datos - Objetivos de países'!$B$5:$B$510,"Singapur",'Datos - Objetivos de países'!$F$5:$F$510,AR$3,'Datos - Objetivos de países'!$K$5:$K$510,$A40)</f>
        <v>0</v>
      </c>
      <c r="AS40" s="36" cm="1">
        <f t="array" ref="AS40">_xlfn.COUNTIFS('Datos - Objetivos de países'!$B$5:$B$510,"Singapur",'Datos - Objetivos de países'!$F$5:$F$510,AS$3,'Datos - Objetivos de países'!$J$5:$J$510,$A40)+_xlfn.COUNTIFS('Datos - Objetivos de países'!$B$5:$B$510,"Singapur",'Datos - Objetivos de países'!$F$5:$F$510,AS$3,'Datos - Objetivos de países'!$K$5:$K$510,$A40)</f>
        <v>1</v>
      </c>
      <c r="AT40" s="36" cm="1">
        <f t="array" ref="AT40">_xlfn.COUNTIFS('Datos - Objetivos de países'!$B$5:$B$510,"Singapur",'Datos - Objetivos de países'!$F$5:$F$510,AT$3,'Datos - Objetivos de países'!$J$5:$J$510,$A40)+_xlfn.COUNTIFS('Datos - Objetivos de países'!$B$5:$B$510,"Singapur",'Datos - Objetivos de países'!$F$5:$F$510,AT$3,'Datos - Objetivos de países'!$K$5:$K$510,$A40)</f>
        <v>0</v>
      </c>
      <c r="AU40" s="36" cm="1">
        <f t="array" ref="AU40">_xlfn.COUNTIFS('Datos - Objetivos de países'!$B$5:$B$510,"Singapur",'Datos - Objetivos de países'!$F$5:$F$510,AU$3,'Datos - Objetivos de países'!$J$5:$J$510,$A40)+_xlfn.COUNTIFS('Datos - Objetivos de países'!$B$5:$B$510,"Singapur",'Datos - Objetivos de países'!$F$5:$F$510,AU$3,'Datos - Objetivos de países'!$K$5:$K$510,$A40)</f>
        <v>0</v>
      </c>
      <c r="AV40" s="36" cm="1">
        <f t="array" ref="AV40">_xlfn.COUNTIFS('Datos - Objetivos de países'!$B$5:$B$510,"Singapur",'Datos - Objetivos de países'!$F$5:$F$510,AV$3,'Datos - Objetivos de países'!$J$5:$J$510,$A40)+_xlfn.COUNTIFS('Datos - Objetivos de países'!$B$5:$B$510,"Singapur",'Datos - Objetivos de países'!$F$5:$F$510,AV$3,'Datos - Objetivos de países'!$K$5:$K$510,$A40)</f>
        <v>0</v>
      </c>
      <c r="AW40" s="36" cm="1">
        <f t="array" ref="AW40">_xlfn.COUNTIFS('Datos - Objetivos de países'!$B$5:$B$510,"Singapur",'Datos - Objetivos de países'!$F$5:$F$510,AW$3,'Datos - Objetivos de países'!$J$5:$J$510,$A40)+_xlfn.COUNTIFS('Datos - Objetivos de países'!$B$5:$B$510,"Singapur",'Datos - Objetivos de países'!$F$5:$F$510,AW$3,'Datos - Objetivos de países'!$K$5:$K$510,$A40)</f>
        <v>0</v>
      </c>
    </row>
    <row r="41" ht="13.65" customHeight="1">
      <c r="A41" t="s" s="78">
        <v>1178</v>
      </c>
      <c r="B41" t="s" s="78">
        <v>1164</v>
      </c>
      <c r="C41" t="s" s="78">
        <v>210</v>
      </c>
      <c r="D41" t="s" s="78">
        <v>1179</v>
      </c>
      <c r="E41" s="80" cm="1">
        <f t="array" ref="E41">_xlfn.IFERROR(MAX($L$3,INDEX($N$3:$V$3,MATCH(TRUE,INDEX(N41:V41&gt;0,0),0))),"—")</f>
        <v>6</v>
      </c>
      <c r="F41" s="80" cm="1">
        <f t="array" ref="F41">_xlfn.IFERROR(MAX($L$3,INDEX($W$3:$AE$3,MATCH(TRUE,INDEX(W41:AE41&gt;0,0),0))),"—")</f>
        <v>5</v>
      </c>
      <c r="G41" s="80" cm="1">
        <f t="array" ref="G41">_xlfn.IFERROR(MAX($L$3,INDEX($AF$3:$AN$3,MATCH(TRUE,INDEX(AF41:AN41&gt;0,0),0))),"—")</f>
        <v>6</v>
      </c>
      <c r="H41" s="80" cm="1">
        <f t="array" ref="H41">_xlfn.IFERROR(MAX($L$3,INDEX($AO$3:$AW$3,MATCH(TRUE,INDEX(AO41:AW41&gt;0,0),0))),"—")</f>
        <v>5</v>
      </c>
      <c r="I41" s="111" cm="1">
        <f t="array" ref="I41">IF(L41=0,"—",MEDIAN(F41:H41))</f>
        <v>5</v>
      </c>
      <c r="J41" s="111" cm="1">
        <f t="array" ref="J41">IF(OR(E41="—",I41="—"),"—",E41-I41)</f>
        <v>1</v>
      </c>
      <c r="K41" t="str" s="49" cm="1">
        <f t="array" ref="K41">IF(E41="—",IF(L41=0,"Nadie lo trabaja","El Salvador no llega"),IF(L41=0,"Solo El Salvador",IF(J41&gt;0,"El Salvador llega más tarde",IF(J41&lt;0,"El Salvador va adelantado","Mismo grado"))))</f>
        <v>El Salvador llega más tarde</v>
      </c>
      <c r="L41" s="80" cm="1">
        <f t="array" ref="L41">COUNT(F41:H41)</f>
        <v>3</v>
      </c>
      <c r="M41" s="110"/>
      <c r="N41" s="36" cm="1">
        <f t="array" ref="N41">_xlfn.COUNTIFS('Datos - Temas'!$C$5:$C$1264,"Ciencias",'Datos - Temas'!$B$5:$B$1264,N$3,'Datos - Temas'!$K$5:$K$1264,$A41)+_xlfn.COUNTIFS('Datos - Temas'!$C$5:$C$1264,"Ciencias",'Datos - Temas'!$B$5:$B$1264,N$3,'Datos - Temas'!$L$5:$L$1264,$A41)</f>
        <v>0</v>
      </c>
      <c r="O41" s="36" cm="1">
        <f t="array" ref="O41">_xlfn.COUNTIFS('Datos - Temas'!$C$5:$C$1264,"Ciencias",'Datos - Temas'!$B$5:$B$1264,O$3,'Datos - Temas'!$K$5:$K$1264,$A41)+_xlfn.COUNTIFS('Datos - Temas'!$C$5:$C$1264,"Ciencias",'Datos - Temas'!$B$5:$B$1264,O$3,'Datos - Temas'!$L$5:$L$1264,$A41)</f>
        <v>0</v>
      </c>
      <c r="P41" s="36" cm="1">
        <f t="array" ref="P41">_xlfn.COUNTIFS('Datos - Temas'!$C$5:$C$1264,"Ciencias",'Datos - Temas'!$B$5:$B$1264,P$3,'Datos - Temas'!$K$5:$K$1264,$A41)+_xlfn.COUNTIFS('Datos - Temas'!$C$5:$C$1264,"Ciencias",'Datos - Temas'!$B$5:$B$1264,P$3,'Datos - Temas'!$L$5:$L$1264,$A41)</f>
        <v>0</v>
      </c>
      <c r="Q41" s="36" cm="1">
        <f t="array" ref="Q41">_xlfn.COUNTIFS('Datos - Temas'!$C$5:$C$1264,"Ciencias",'Datos - Temas'!$B$5:$B$1264,Q$3,'Datos - Temas'!$K$5:$K$1264,$A41)+_xlfn.COUNTIFS('Datos - Temas'!$C$5:$C$1264,"Ciencias",'Datos - Temas'!$B$5:$B$1264,Q$3,'Datos - Temas'!$L$5:$L$1264,$A41)</f>
        <v>0</v>
      </c>
      <c r="R41" s="36" cm="1">
        <f t="array" ref="R41">_xlfn.COUNTIFS('Datos - Temas'!$C$5:$C$1264,"Ciencias",'Datos - Temas'!$B$5:$B$1264,R$3,'Datos - Temas'!$K$5:$K$1264,$A41)+_xlfn.COUNTIFS('Datos - Temas'!$C$5:$C$1264,"Ciencias",'Datos - Temas'!$B$5:$B$1264,R$3,'Datos - Temas'!$L$5:$L$1264,$A41)</f>
        <v>0</v>
      </c>
      <c r="S41" s="36" cm="1">
        <f t="array" ref="S41">_xlfn.COUNTIFS('Datos - Temas'!$C$5:$C$1264,"Ciencias",'Datos - Temas'!$B$5:$B$1264,S$3,'Datos - Temas'!$K$5:$K$1264,$A41)+_xlfn.COUNTIFS('Datos - Temas'!$C$5:$C$1264,"Ciencias",'Datos - Temas'!$B$5:$B$1264,S$3,'Datos - Temas'!$L$5:$L$1264,$A41)</f>
        <v>6</v>
      </c>
      <c r="T41" s="36" cm="1">
        <f t="array" ref="T41">_xlfn.COUNTIFS('Datos - Temas'!$C$5:$C$1264,"Ciencias",'Datos - Temas'!$B$5:$B$1264,T$3,'Datos - Temas'!$K$5:$K$1264,$A41)+_xlfn.COUNTIFS('Datos - Temas'!$C$5:$C$1264,"Ciencias",'Datos - Temas'!$B$5:$B$1264,T$3,'Datos - Temas'!$L$5:$L$1264,$A41)</f>
        <v>14</v>
      </c>
      <c r="U41" s="36" cm="1">
        <f t="array" ref="U41">_xlfn.COUNTIFS('Datos - Temas'!$C$5:$C$1264,"Ciencias",'Datos - Temas'!$B$5:$B$1264,U$3,'Datos - Temas'!$K$5:$K$1264,$A41)+_xlfn.COUNTIFS('Datos - Temas'!$C$5:$C$1264,"Ciencias",'Datos - Temas'!$B$5:$B$1264,U$3,'Datos - Temas'!$L$5:$L$1264,$A41)</f>
        <v>0</v>
      </c>
      <c r="V41" s="36" cm="1">
        <f t="array" ref="V41">_xlfn.COUNTIFS('Datos - Temas'!$C$5:$C$1264,"Ciencias",'Datos - Temas'!$B$5:$B$1264,V$3,'Datos - Temas'!$K$5:$K$1264,$A41)+_xlfn.COUNTIFS('Datos - Temas'!$C$5:$C$1264,"Ciencias",'Datos - Temas'!$B$5:$B$1264,V$3,'Datos - Temas'!$L$5:$L$1264,$A41)</f>
        <v>0</v>
      </c>
      <c r="W41" s="36" cm="1">
        <f t="array" ref="W41">_xlfn.COUNTIFS('Datos - Objetivos de países'!$B$5:$B$510,"Uruguay",'Datos - Objetivos de países'!$F$5:$F$510,W$3,'Datos - Objetivos de países'!$J$5:$J$510,$A41)+_xlfn.COUNTIFS('Datos - Objetivos de países'!$B$5:$B$510,"Uruguay",'Datos - Objetivos de países'!$F$5:$F$510,W$3,'Datos - Objetivos de países'!$K$5:$K$510,$A41)</f>
        <v>0</v>
      </c>
      <c r="X41" s="36" cm="1">
        <f t="array" ref="X41">_xlfn.COUNTIFS('Datos - Objetivos de países'!$B$5:$B$510,"Uruguay",'Datos - Objetivos de países'!$F$5:$F$510,X$3,'Datos - Objetivos de países'!$J$5:$J$510,$A41)+_xlfn.COUNTIFS('Datos - Objetivos de países'!$B$5:$B$510,"Uruguay",'Datos - Objetivos de países'!$F$5:$F$510,X$3,'Datos - Objetivos de países'!$K$5:$K$510,$A41)</f>
        <v>0</v>
      </c>
      <c r="Y41" s="36" cm="1">
        <f t="array" ref="Y41">_xlfn.COUNTIFS('Datos - Objetivos de países'!$B$5:$B$510,"Uruguay",'Datos - Objetivos de países'!$F$5:$F$510,Y$3,'Datos - Objetivos de países'!$J$5:$J$510,$A41)+_xlfn.COUNTIFS('Datos - Objetivos de países'!$B$5:$B$510,"Uruguay",'Datos - Objetivos de países'!$F$5:$F$510,Y$3,'Datos - Objetivos de países'!$K$5:$K$510,$A41)</f>
        <v>0</v>
      </c>
      <c r="Z41" s="36" cm="1">
        <f t="array" ref="Z41">_xlfn.COUNTIFS('Datos - Objetivos de países'!$B$5:$B$510,"Uruguay",'Datos - Objetivos de países'!$F$5:$F$510,Z$3,'Datos - Objetivos de países'!$J$5:$J$510,$A41)+_xlfn.COUNTIFS('Datos - Objetivos de países'!$B$5:$B$510,"Uruguay",'Datos - Objetivos de países'!$F$5:$F$510,Z$3,'Datos - Objetivos de países'!$K$5:$K$510,$A41)</f>
        <v>0</v>
      </c>
      <c r="AA41" s="36" cm="1">
        <f t="array" ref="AA41">_xlfn.COUNTIFS('Datos - Objetivos de países'!$B$5:$B$510,"Uruguay",'Datos - Objetivos de países'!$F$5:$F$510,AA$3,'Datos - Objetivos de países'!$J$5:$J$510,$A41)+_xlfn.COUNTIFS('Datos - Objetivos de países'!$B$5:$B$510,"Uruguay",'Datos - Objetivos de países'!$F$5:$F$510,AA$3,'Datos - Objetivos de países'!$K$5:$K$510,$A41)</f>
        <v>1</v>
      </c>
      <c r="AB41" s="36" cm="1">
        <f t="array" ref="AB41">_xlfn.COUNTIFS('Datos - Objetivos de países'!$B$5:$B$510,"Uruguay",'Datos - Objetivos de países'!$F$5:$F$510,AB$3,'Datos - Objetivos de países'!$J$5:$J$510,$A41)+_xlfn.COUNTIFS('Datos - Objetivos de países'!$B$5:$B$510,"Uruguay",'Datos - Objetivos de países'!$F$5:$F$510,AB$3,'Datos - Objetivos de países'!$K$5:$K$510,$A41)</f>
        <v>2</v>
      </c>
      <c r="AC41" s="36" cm="1">
        <f t="array" ref="AC41">_xlfn.COUNTIFS('Datos - Objetivos de países'!$B$5:$B$510,"Uruguay",'Datos - Objetivos de países'!$F$5:$F$510,AC$3,'Datos - Objetivos de países'!$J$5:$J$510,$A41)+_xlfn.COUNTIFS('Datos - Objetivos de países'!$B$5:$B$510,"Uruguay",'Datos - Objetivos de países'!$F$5:$F$510,AC$3,'Datos - Objetivos de países'!$K$5:$K$510,$A41)</f>
        <v>1</v>
      </c>
      <c r="AD41" s="36" cm="1">
        <f t="array" ref="AD41">_xlfn.COUNTIFS('Datos - Objetivos de países'!$B$5:$B$510,"Uruguay",'Datos - Objetivos de países'!$F$5:$F$510,AD$3,'Datos - Objetivos de países'!$J$5:$J$510,$A41)+_xlfn.COUNTIFS('Datos - Objetivos de países'!$B$5:$B$510,"Uruguay",'Datos - Objetivos de países'!$F$5:$F$510,AD$3,'Datos - Objetivos de países'!$K$5:$K$510,$A41)</f>
        <v>0</v>
      </c>
      <c r="AE41" s="36" cm="1">
        <f t="array" ref="AE41">_xlfn.COUNTIFS('Datos - Objetivos de países'!$B$5:$B$510,"Uruguay",'Datos - Objetivos de países'!$F$5:$F$510,AE$3,'Datos - Objetivos de países'!$J$5:$J$510,$A41)+_xlfn.COUNTIFS('Datos - Objetivos de países'!$B$5:$B$510,"Uruguay",'Datos - Objetivos de países'!$F$5:$F$510,AE$3,'Datos - Objetivos de países'!$K$5:$K$510,$A41)</f>
        <v>4</v>
      </c>
      <c r="AF41" s="36" cm="1">
        <f t="array" ref="AF41">_xlfn.COUNTIFS('Datos - Objetivos de países'!$B$5:$B$510,"Colombia",'Datos - Objetivos de países'!$F$5:$F$510,AF$3,'Datos - Objetivos de países'!$J$5:$J$510,$A41)+_xlfn.COUNTIFS('Datos - Objetivos de países'!$B$5:$B$510,"Colombia",'Datos - Objetivos de países'!$F$5:$F$510,AF$3,'Datos - Objetivos de países'!$K$5:$K$510,$A41)</f>
        <v>0</v>
      </c>
      <c r="AG41" s="36" cm="1">
        <f t="array" ref="AG41">_xlfn.COUNTIFS('Datos - Objetivos de países'!$B$5:$B$510,"Colombia",'Datos - Objetivos de países'!$F$5:$F$510,AG$3,'Datos - Objetivos de países'!$J$5:$J$510,$A41)+_xlfn.COUNTIFS('Datos - Objetivos de países'!$B$5:$B$510,"Colombia",'Datos - Objetivos de países'!$F$5:$F$510,AG$3,'Datos - Objetivos de países'!$K$5:$K$510,$A41)</f>
        <v>0</v>
      </c>
      <c r="AH41" s="36" cm="1">
        <f t="array" ref="AH41">_xlfn.COUNTIFS('Datos - Objetivos de países'!$B$5:$B$510,"Colombia",'Datos - Objetivos de países'!$F$5:$F$510,AH$3,'Datos - Objetivos de países'!$J$5:$J$510,$A41)+_xlfn.COUNTIFS('Datos - Objetivos de países'!$B$5:$B$510,"Colombia",'Datos - Objetivos de países'!$F$5:$F$510,AH$3,'Datos - Objetivos de países'!$K$5:$K$510,$A41)</f>
        <v>0</v>
      </c>
      <c r="AI41" s="36" cm="1">
        <f t="array" ref="AI41">_xlfn.COUNTIFS('Datos - Objetivos de países'!$B$5:$B$510,"Colombia",'Datos - Objetivos de países'!$F$5:$F$510,AI$3,'Datos - Objetivos de países'!$J$5:$J$510,$A41)+_xlfn.COUNTIFS('Datos - Objetivos de países'!$B$5:$B$510,"Colombia",'Datos - Objetivos de países'!$F$5:$F$510,AI$3,'Datos - Objetivos de países'!$K$5:$K$510,$A41)</f>
        <v>0</v>
      </c>
      <c r="AJ41" s="36" cm="1">
        <f t="array" ref="AJ41">_xlfn.COUNTIFS('Datos - Objetivos de países'!$B$5:$B$510,"Colombia",'Datos - Objetivos de países'!$F$5:$F$510,AJ$3,'Datos - Objetivos de países'!$J$5:$J$510,$A41)+_xlfn.COUNTIFS('Datos - Objetivos de países'!$B$5:$B$510,"Colombia",'Datos - Objetivos de países'!$F$5:$F$510,AJ$3,'Datos - Objetivos de países'!$K$5:$K$510,$A41)</f>
        <v>0</v>
      </c>
      <c r="AK41" s="36" cm="1">
        <f t="array" ref="AK41">_xlfn.COUNTIFS('Datos - Objetivos de países'!$B$5:$B$510,"Colombia",'Datos - Objetivos de países'!$F$5:$F$510,AK$3,'Datos - Objetivos de países'!$J$5:$J$510,$A41)+_xlfn.COUNTIFS('Datos - Objetivos de países'!$B$5:$B$510,"Colombia",'Datos - Objetivos de países'!$F$5:$F$510,AK$3,'Datos - Objetivos de países'!$K$5:$K$510,$A41)</f>
        <v>1</v>
      </c>
      <c r="AL41" s="36" cm="1">
        <f t="array" ref="AL41">_xlfn.COUNTIFS('Datos - Objetivos de países'!$B$5:$B$510,"Colombia",'Datos - Objetivos de países'!$F$5:$F$510,AL$3,'Datos - Objetivos de países'!$J$5:$J$510,$A41)+_xlfn.COUNTIFS('Datos - Objetivos de países'!$B$5:$B$510,"Colombia",'Datos - Objetivos de países'!$F$5:$F$510,AL$3,'Datos - Objetivos de países'!$K$5:$K$510,$A41)</f>
        <v>0</v>
      </c>
      <c r="AM41" s="36" cm="1">
        <f t="array" ref="AM41">_xlfn.COUNTIFS('Datos - Objetivos de países'!$B$5:$B$510,"Colombia",'Datos - Objetivos de países'!$F$5:$F$510,AM$3,'Datos - Objetivos de países'!$J$5:$J$510,$A41)+_xlfn.COUNTIFS('Datos - Objetivos de países'!$B$5:$B$510,"Colombia",'Datos - Objetivos de países'!$F$5:$F$510,AM$3,'Datos - Objetivos de países'!$K$5:$K$510,$A41)</f>
        <v>9</v>
      </c>
      <c r="AN41" s="36" cm="1">
        <f t="array" ref="AN41">_xlfn.COUNTIFS('Datos - Objetivos de países'!$B$5:$B$510,"Colombia",'Datos - Objetivos de países'!$F$5:$F$510,AN$3,'Datos - Objetivos de países'!$J$5:$J$510,$A41)+_xlfn.COUNTIFS('Datos - Objetivos de países'!$B$5:$B$510,"Colombia",'Datos - Objetivos de países'!$F$5:$F$510,AN$3,'Datos - Objetivos de países'!$K$5:$K$510,$A41)</f>
        <v>2</v>
      </c>
      <c r="AO41" s="36" cm="1">
        <f t="array" ref="AO41">_xlfn.COUNTIFS('Datos - Objetivos de países'!$B$5:$B$510,"Singapur",'Datos - Objetivos de países'!$F$5:$F$510,AO$3,'Datos - Objetivos de países'!$J$5:$J$510,$A41)+_xlfn.COUNTIFS('Datos - Objetivos de países'!$B$5:$B$510,"Singapur",'Datos - Objetivos de países'!$F$5:$F$510,AO$3,'Datos - Objetivos de países'!$K$5:$K$510,$A41)</f>
        <v>0</v>
      </c>
      <c r="AP41" s="36" cm="1">
        <f t="array" ref="AP41">_xlfn.COUNTIFS('Datos - Objetivos de países'!$B$5:$B$510,"Singapur",'Datos - Objetivos de países'!$F$5:$F$510,AP$3,'Datos - Objetivos de países'!$J$5:$J$510,$A41)+_xlfn.COUNTIFS('Datos - Objetivos de países'!$B$5:$B$510,"Singapur",'Datos - Objetivos de países'!$F$5:$F$510,AP$3,'Datos - Objetivos de países'!$K$5:$K$510,$A41)</f>
        <v>0</v>
      </c>
      <c r="AQ41" s="36" cm="1">
        <f t="array" ref="AQ41">_xlfn.COUNTIFS('Datos - Objetivos de países'!$B$5:$B$510,"Singapur",'Datos - Objetivos de países'!$F$5:$F$510,AQ$3,'Datos - Objetivos de países'!$J$5:$J$510,$A41)+_xlfn.COUNTIFS('Datos - Objetivos de países'!$B$5:$B$510,"Singapur",'Datos - Objetivos de países'!$F$5:$F$510,AQ$3,'Datos - Objetivos de países'!$K$5:$K$510,$A41)</f>
        <v>0</v>
      </c>
      <c r="AR41" s="36" cm="1">
        <f t="array" ref="AR41">_xlfn.COUNTIFS('Datos - Objetivos de países'!$B$5:$B$510,"Singapur",'Datos - Objetivos de países'!$F$5:$F$510,AR$3,'Datos - Objetivos de países'!$J$5:$J$510,$A41)+_xlfn.COUNTIFS('Datos - Objetivos de países'!$B$5:$B$510,"Singapur",'Datos - Objetivos de países'!$F$5:$F$510,AR$3,'Datos - Objetivos de países'!$K$5:$K$510,$A41)</f>
        <v>0</v>
      </c>
      <c r="AS41" s="36" cm="1">
        <f t="array" ref="AS41">_xlfn.COUNTIFS('Datos - Objetivos de países'!$B$5:$B$510,"Singapur",'Datos - Objetivos de países'!$F$5:$F$510,AS$3,'Datos - Objetivos de países'!$J$5:$J$510,$A41)+_xlfn.COUNTIFS('Datos - Objetivos de países'!$B$5:$B$510,"Singapur",'Datos - Objetivos de países'!$F$5:$F$510,AS$3,'Datos - Objetivos de países'!$K$5:$K$510,$A41)</f>
        <v>5</v>
      </c>
      <c r="AT41" s="36" cm="1">
        <f t="array" ref="AT41">_xlfn.COUNTIFS('Datos - Objetivos de países'!$B$5:$B$510,"Singapur",'Datos - Objetivos de países'!$F$5:$F$510,AT$3,'Datos - Objetivos de países'!$J$5:$J$510,$A41)+_xlfn.COUNTIFS('Datos - Objetivos de países'!$B$5:$B$510,"Singapur",'Datos - Objetivos de países'!$F$5:$F$510,AT$3,'Datos - Objetivos de países'!$K$5:$K$510,$A41)</f>
        <v>0</v>
      </c>
      <c r="AU41" s="36" cm="1">
        <f t="array" ref="AU41">_xlfn.COUNTIFS('Datos - Objetivos de países'!$B$5:$B$510,"Singapur",'Datos - Objetivos de países'!$F$5:$F$510,AU$3,'Datos - Objetivos de países'!$J$5:$J$510,$A41)+_xlfn.COUNTIFS('Datos - Objetivos de países'!$B$5:$B$510,"Singapur",'Datos - Objetivos de países'!$F$5:$F$510,AU$3,'Datos - Objetivos de países'!$K$5:$K$510,$A41)</f>
        <v>0</v>
      </c>
      <c r="AV41" s="36" cm="1">
        <f t="array" ref="AV41">_xlfn.COUNTIFS('Datos - Objetivos de países'!$B$5:$B$510,"Singapur",'Datos - Objetivos de países'!$F$5:$F$510,AV$3,'Datos - Objetivos de países'!$J$5:$J$510,$A41)+_xlfn.COUNTIFS('Datos - Objetivos de países'!$B$5:$B$510,"Singapur",'Datos - Objetivos de países'!$F$5:$F$510,AV$3,'Datos - Objetivos de países'!$K$5:$K$510,$A41)</f>
        <v>0</v>
      </c>
      <c r="AW41" s="36" cm="1">
        <f t="array" ref="AW41">_xlfn.COUNTIFS('Datos - Objetivos de países'!$B$5:$B$510,"Singapur",'Datos - Objetivos de países'!$F$5:$F$510,AW$3,'Datos - Objetivos de países'!$J$5:$J$510,$A41)+_xlfn.COUNTIFS('Datos - Objetivos de países'!$B$5:$B$510,"Singapur",'Datos - Objetivos de países'!$F$5:$F$510,AW$3,'Datos - Objetivos de países'!$K$5:$K$510,$A41)</f>
        <v>0</v>
      </c>
    </row>
    <row r="42" ht="13.65" customHeight="1">
      <c r="A42" t="s" s="78">
        <v>1181</v>
      </c>
      <c r="B42" t="s" s="78">
        <v>1164</v>
      </c>
      <c r="C42" t="s" s="78">
        <v>210</v>
      </c>
      <c r="D42" t="s" s="78">
        <v>1183</v>
      </c>
      <c r="E42" s="80" cm="1">
        <f t="array" ref="E42">_xlfn.IFERROR(MAX($L$3,INDEX($N$3:$V$3,MATCH(TRUE,INDEX(N42:V42&gt;0,0),0))),"—")</f>
        <v>5</v>
      </c>
      <c r="F42" t="str" s="79" cm="1">
        <f t="array" ref="F42">_xlfn.IFERROR(MAX($L$3,INDEX($W$3:$AE$3,MATCH(TRUE,INDEX(W42:AE42&gt;0,0),0))),"—")</f>
        <v>—</v>
      </c>
      <c r="G42" s="80" cm="1">
        <f t="array" ref="G42">_xlfn.IFERROR(MAX($L$3,INDEX($AF$3:$AN$3,MATCH(TRUE,INDEX(AF42:AN42&gt;0,0),0))),"—")</f>
        <v>6</v>
      </c>
      <c r="H42" s="80" cm="1">
        <f t="array" ref="H42">_xlfn.IFERROR(MAX($L$3,INDEX($AO$3:$AW$3,MATCH(TRUE,INDEX(AO42:AW42&gt;0,0),0))),"—")</f>
        <v>6</v>
      </c>
      <c r="I42" s="111" cm="1">
        <f t="array" ref="I42">IF(L42=0,"—",MEDIAN(F42:H42))</f>
        <v>6</v>
      </c>
      <c r="J42" s="111" cm="1">
        <f t="array" ref="J42">IF(OR(E42="—",I42="—"),"—",E42-I42)</f>
        <v>-1</v>
      </c>
      <c r="K42" t="str" s="49" cm="1">
        <f t="array" ref="K42">IF(E42="—",IF(L42=0,"Nadie lo trabaja","El Salvador no llega"),IF(L42=0,"Solo El Salvador",IF(J42&gt;0,"El Salvador llega más tarde",IF(J42&lt;0,"El Salvador va adelantado","Mismo grado"))))</f>
        <v>El Salvador va adelantado</v>
      </c>
      <c r="L42" s="80" cm="1">
        <f t="array" ref="L42">COUNT(F42:H42)</f>
        <v>2</v>
      </c>
      <c r="M42" s="110"/>
      <c r="N42" s="36" cm="1">
        <f t="array" ref="N42">_xlfn.COUNTIFS('Datos - Temas'!$C$5:$C$1264,"Ciencias",'Datos - Temas'!$B$5:$B$1264,N$3,'Datos - Temas'!$K$5:$K$1264,$A42)+_xlfn.COUNTIFS('Datos - Temas'!$C$5:$C$1264,"Ciencias",'Datos - Temas'!$B$5:$B$1264,N$3,'Datos - Temas'!$L$5:$L$1264,$A42)</f>
        <v>0</v>
      </c>
      <c r="O42" s="36" cm="1">
        <f t="array" ref="O42">_xlfn.COUNTIFS('Datos - Temas'!$C$5:$C$1264,"Ciencias",'Datos - Temas'!$B$5:$B$1264,O$3,'Datos - Temas'!$K$5:$K$1264,$A42)+_xlfn.COUNTIFS('Datos - Temas'!$C$5:$C$1264,"Ciencias",'Datos - Temas'!$B$5:$B$1264,O$3,'Datos - Temas'!$L$5:$L$1264,$A42)</f>
        <v>0</v>
      </c>
      <c r="P42" s="36" cm="1">
        <f t="array" ref="P42">_xlfn.COUNTIFS('Datos - Temas'!$C$5:$C$1264,"Ciencias",'Datos - Temas'!$B$5:$B$1264,P$3,'Datos - Temas'!$K$5:$K$1264,$A42)+_xlfn.COUNTIFS('Datos - Temas'!$C$5:$C$1264,"Ciencias",'Datos - Temas'!$B$5:$B$1264,P$3,'Datos - Temas'!$L$5:$L$1264,$A42)</f>
        <v>0</v>
      </c>
      <c r="Q42" s="36" cm="1">
        <f t="array" ref="Q42">_xlfn.COUNTIFS('Datos - Temas'!$C$5:$C$1264,"Ciencias",'Datos - Temas'!$B$5:$B$1264,Q$3,'Datos - Temas'!$K$5:$K$1264,$A42)+_xlfn.COUNTIFS('Datos - Temas'!$C$5:$C$1264,"Ciencias",'Datos - Temas'!$B$5:$B$1264,Q$3,'Datos - Temas'!$L$5:$L$1264,$A42)</f>
        <v>0</v>
      </c>
      <c r="R42" s="36" cm="1">
        <f t="array" ref="R42">_xlfn.COUNTIFS('Datos - Temas'!$C$5:$C$1264,"Ciencias",'Datos - Temas'!$B$5:$B$1264,R$3,'Datos - Temas'!$K$5:$K$1264,$A42)+_xlfn.COUNTIFS('Datos - Temas'!$C$5:$C$1264,"Ciencias",'Datos - Temas'!$B$5:$B$1264,R$3,'Datos - Temas'!$L$5:$L$1264,$A42)</f>
        <v>1</v>
      </c>
      <c r="S42" s="36" cm="1">
        <f t="array" ref="S42">_xlfn.COUNTIFS('Datos - Temas'!$C$5:$C$1264,"Ciencias",'Datos - Temas'!$B$5:$B$1264,S$3,'Datos - Temas'!$K$5:$K$1264,$A42)+_xlfn.COUNTIFS('Datos - Temas'!$C$5:$C$1264,"Ciencias",'Datos - Temas'!$B$5:$B$1264,S$3,'Datos - Temas'!$L$5:$L$1264,$A42)</f>
        <v>0</v>
      </c>
      <c r="T42" s="36" cm="1">
        <f t="array" ref="T42">_xlfn.COUNTIFS('Datos - Temas'!$C$5:$C$1264,"Ciencias",'Datos - Temas'!$B$5:$B$1264,T$3,'Datos - Temas'!$K$5:$K$1264,$A42)+_xlfn.COUNTIFS('Datos - Temas'!$C$5:$C$1264,"Ciencias",'Datos - Temas'!$B$5:$B$1264,T$3,'Datos - Temas'!$L$5:$L$1264,$A42)</f>
        <v>7</v>
      </c>
      <c r="U42" s="36" cm="1">
        <f t="array" ref="U42">_xlfn.COUNTIFS('Datos - Temas'!$C$5:$C$1264,"Ciencias",'Datos - Temas'!$B$5:$B$1264,U$3,'Datos - Temas'!$K$5:$K$1264,$A42)+_xlfn.COUNTIFS('Datos - Temas'!$C$5:$C$1264,"Ciencias",'Datos - Temas'!$B$5:$B$1264,U$3,'Datos - Temas'!$L$5:$L$1264,$A42)</f>
        <v>0</v>
      </c>
      <c r="V42" s="36" cm="1">
        <f t="array" ref="V42">_xlfn.COUNTIFS('Datos - Temas'!$C$5:$C$1264,"Ciencias",'Datos - Temas'!$B$5:$B$1264,V$3,'Datos - Temas'!$K$5:$K$1264,$A42)+_xlfn.COUNTIFS('Datos - Temas'!$C$5:$C$1264,"Ciencias",'Datos - Temas'!$B$5:$B$1264,V$3,'Datos - Temas'!$L$5:$L$1264,$A42)</f>
        <v>0</v>
      </c>
      <c r="W42" s="36" cm="1">
        <f t="array" ref="W42">_xlfn.COUNTIFS('Datos - Objetivos de países'!$B$5:$B$510,"Uruguay",'Datos - Objetivos de países'!$F$5:$F$510,W$3,'Datos - Objetivos de países'!$J$5:$J$510,$A42)+_xlfn.COUNTIFS('Datos - Objetivos de países'!$B$5:$B$510,"Uruguay",'Datos - Objetivos de países'!$F$5:$F$510,W$3,'Datos - Objetivos de países'!$K$5:$K$510,$A42)</f>
        <v>0</v>
      </c>
      <c r="X42" s="36" cm="1">
        <f t="array" ref="X42">_xlfn.COUNTIFS('Datos - Objetivos de países'!$B$5:$B$510,"Uruguay",'Datos - Objetivos de países'!$F$5:$F$510,X$3,'Datos - Objetivos de países'!$J$5:$J$510,$A42)+_xlfn.COUNTIFS('Datos - Objetivos de países'!$B$5:$B$510,"Uruguay",'Datos - Objetivos de países'!$F$5:$F$510,X$3,'Datos - Objetivos de países'!$K$5:$K$510,$A42)</f>
        <v>0</v>
      </c>
      <c r="Y42" s="36" cm="1">
        <f t="array" ref="Y42">_xlfn.COUNTIFS('Datos - Objetivos de países'!$B$5:$B$510,"Uruguay",'Datos - Objetivos de países'!$F$5:$F$510,Y$3,'Datos - Objetivos de países'!$J$5:$J$510,$A42)+_xlfn.COUNTIFS('Datos - Objetivos de países'!$B$5:$B$510,"Uruguay",'Datos - Objetivos de países'!$F$5:$F$510,Y$3,'Datos - Objetivos de países'!$K$5:$K$510,$A42)</f>
        <v>0</v>
      </c>
      <c r="Z42" s="36" cm="1">
        <f t="array" ref="Z42">_xlfn.COUNTIFS('Datos - Objetivos de países'!$B$5:$B$510,"Uruguay",'Datos - Objetivos de países'!$F$5:$F$510,Z$3,'Datos - Objetivos de países'!$J$5:$J$510,$A42)+_xlfn.COUNTIFS('Datos - Objetivos de países'!$B$5:$B$510,"Uruguay",'Datos - Objetivos de países'!$F$5:$F$510,Z$3,'Datos - Objetivos de países'!$K$5:$K$510,$A42)</f>
        <v>0</v>
      </c>
      <c r="AA42" s="36" cm="1">
        <f t="array" ref="AA42">_xlfn.COUNTIFS('Datos - Objetivos de países'!$B$5:$B$510,"Uruguay",'Datos - Objetivos de países'!$F$5:$F$510,AA$3,'Datos - Objetivos de países'!$J$5:$J$510,$A42)+_xlfn.COUNTIFS('Datos - Objetivos de países'!$B$5:$B$510,"Uruguay",'Datos - Objetivos de países'!$F$5:$F$510,AA$3,'Datos - Objetivos de países'!$K$5:$K$510,$A42)</f>
        <v>0</v>
      </c>
      <c r="AB42" s="36" cm="1">
        <f t="array" ref="AB42">_xlfn.COUNTIFS('Datos - Objetivos de países'!$B$5:$B$510,"Uruguay",'Datos - Objetivos de países'!$F$5:$F$510,AB$3,'Datos - Objetivos de países'!$J$5:$J$510,$A42)+_xlfn.COUNTIFS('Datos - Objetivos de países'!$B$5:$B$510,"Uruguay",'Datos - Objetivos de países'!$F$5:$F$510,AB$3,'Datos - Objetivos de países'!$K$5:$K$510,$A42)</f>
        <v>0</v>
      </c>
      <c r="AC42" s="36" cm="1">
        <f t="array" ref="AC42">_xlfn.COUNTIFS('Datos - Objetivos de países'!$B$5:$B$510,"Uruguay",'Datos - Objetivos de países'!$F$5:$F$510,AC$3,'Datos - Objetivos de países'!$J$5:$J$510,$A42)+_xlfn.COUNTIFS('Datos - Objetivos de países'!$B$5:$B$510,"Uruguay",'Datos - Objetivos de países'!$F$5:$F$510,AC$3,'Datos - Objetivos de países'!$K$5:$K$510,$A42)</f>
        <v>0</v>
      </c>
      <c r="AD42" s="36" cm="1">
        <f t="array" ref="AD42">_xlfn.COUNTIFS('Datos - Objetivos de países'!$B$5:$B$510,"Uruguay",'Datos - Objetivos de países'!$F$5:$F$510,AD$3,'Datos - Objetivos de países'!$J$5:$J$510,$A42)+_xlfn.COUNTIFS('Datos - Objetivos de países'!$B$5:$B$510,"Uruguay",'Datos - Objetivos de países'!$F$5:$F$510,AD$3,'Datos - Objetivos de países'!$K$5:$K$510,$A42)</f>
        <v>0</v>
      </c>
      <c r="AE42" s="36" cm="1">
        <f t="array" ref="AE42">_xlfn.COUNTIFS('Datos - Objetivos de países'!$B$5:$B$510,"Uruguay",'Datos - Objetivos de países'!$F$5:$F$510,AE$3,'Datos - Objetivos de países'!$J$5:$J$510,$A42)+_xlfn.COUNTIFS('Datos - Objetivos de países'!$B$5:$B$510,"Uruguay",'Datos - Objetivos de países'!$F$5:$F$510,AE$3,'Datos - Objetivos de países'!$K$5:$K$510,$A42)</f>
        <v>0</v>
      </c>
      <c r="AF42" s="36" cm="1">
        <f t="array" ref="AF42">_xlfn.COUNTIFS('Datos - Objetivos de países'!$B$5:$B$510,"Colombia",'Datos - Objetivos de países'!$F$5:$F$510,AF$3,'Datos - Objetivos de países'!$J$5:$J$510,$A42)+_xlfn.COUNTIFS('Datos - Objetivos de países'!$B$5:$B$510,"Colombia",'Datos - Objetivos de países'!$F$5:$F$510,AF$3,'Datos - Objetivos de países'!$K$5:$K$510,$A42)</f>
        <v>0</v>
      </c>
      <c r="AG42" s="36" cm="1">
        <f t="array" ref="AG42">_xlfn.COUNTIFS('Datos - Objetivos de países'!$B$5:$B$510,"Colombia",'Datos - Objetivos de países'!$F$5:$F$510,AG$3,'Datos - Objetivos de países'!$J$5:$J$510,$A42)+_xlfn.COUNTIFS('Datos - Objetivos de países'!$B$5:$B$510,"Colombia",'Datos - Objetivos de países'!$F$5:$F$510,AG$3,'Datos - Objetivos de países'!$K$5:$K$510,$A42)</f>
        <v>0</v>
      </c>
      <c r="AH42" s="36" cm="1">
        <f t="array" ref="AH42">_xlfn.COUNTIFS('Datos - Objetivos de países'!$B$5:$B$510,"Colombia",'Datos - Objetivos de países'!$F$5:$F$510,AH$3,'Datos - Objetivos de países'!$J$5:$J$510,$A42)+_xlfn.COUNTIFS('Datos - Objetivos de países'!$B$5:$B$510,"Colombia",'Datos - Objetivos de países'!$F$5:$F$510,AH$3,'Datos - Objetivos de países'!$K$5:$K$510,$A42)</f>
        <v>0</v>
      </c>
      <c r="AI42" s="36" cm="1">
        <f t="array" ref="AI42">_xlfn.COUNTIFS('Datos - Objetivos de países'!$B$5:$B$510,"Colombia",'Datos - Objetivos de países'!$F$5:$F$510,AI$3,'Datos - Objetivos de países'!$J$5:$J$510,$A42)+_xlfn.COUNTIFS('Datos - Objetivos de países'!$B$5:$B$510,"Colombia",'Datos - Objetivos de países'!$F$5:$F$510,AI$3,'Datos - Objetivos de países'!$K$5:$K$510,$A42)</f>
        <v>0</v>
      </c>
      <c r="AJ42" s="36" cm="1">
        <f t="array" ref="AJ42">_xlfn.COUNTIFS('Datos - Objetivos de países'!$B$5:$B$510,"Colombia",'Datos - Objetivos de países'!$F$5:$F$510,AJ$3,'Datos - Objetivos de países'!$J$5:$J$510,$A42)+_xlfn.COUNTIFS('Datos - Objetivos de países'!$B$5:$B$510,"Colombia",'Datos - Objetivos de países'!$F$5:$F$510,AJ$3,'Datos - Objetivos de países'!$K$5:$K$510,$A42)</f>
        <v>0</v>
      </c>
      <c r="AK42" s="36" cm="1">
        <f t="array" ref="AK42">_xlfn.COUNTIFS('Datos - Objetivos de países'!$B$5:$B$510,"Colombia",'Datos - Objetivos de países'!$F$5:$F$510,AK$3,'Datos - Objetivos de países'!$J$5:$J$510,$A42)+_xlfn.COUNTIFS('Datos - Objetivos de países'!$B$5:$B$510,"Colombia",'Datos - Objetivos de países'!$F$5:$F$510,AK$3,'Datos - Objetivos de países'!$K$5:$K$510,$A42)</f>
        <v>3</v>
      </c>
      <c r="AL42" s="36" cm="1">
        <f t="array" ref="AL42">_xlfn.COUNTIFS('Datos - Objetivos de países'!$B$5:$B$510,"Colombia",'Datos - Objetivos de países'!$F$5:$F$510,AL$3,'Datos - Objetivos de países'!$J$5:$J$510,$A42)+_xlfn.COUNTIFS('Datos - Objetivos de países'!$B$5:$B$510,"Colombia",'Datos - Objetivos de países'!$F$5:$F$510,AL$3,'Datos - Objetivos de países'!$K$5:$K$510,$A42)</f>
        <v>0</v>
      </c>
      <c r="AM42" s="36" cm="1">
        <f t="array" ref="AM42">_xlfn.COUNTIFS('Datos - Objetivos de países'!$B$5:$B$510,"Colombia",'Datos - Objetivos de países'!$F$5:$F$510,AM$3,'Datos - Objetivos de países'!$J$5:$J$510,$A42)+_xlfn.COUNTIFS('Datos - Objetivos de países'!$B$5:$B$510,"Colombia",'Datos - Objetivos de países'!$F$5:$F$510,AM$3,'Datos - Objetivos de países'!$K$5:$K$510,$A42)</f>
        <v>6</v>
      </c>
      <c r="AN42" s="36" cm="1">
        <f t="array" ref="AN42">_xlfn.COUNTIFS('Datos - Objetivos de países'!$B$5:$B$510,"Colombia",'Datos - Objetivos de países'!$F$5:$F$510,AN$3,'Datos - Objetivos de países'!$J$5:$J$510,$A42)+_xlfn.COUNTIFS('Datos - Objetivos de países'!$B$5:$B$510,"Colombia",'Datos - Objetivos de países'!$F$5:$F$510,AN$3,'Datos - Objetivos de países'!$K$5:$K$510,$A42)</f>
        <v>2</v>
      </c>
      <c r="AO42" s="36" cm="1">
        <f t="array" ref="AO42">_xlfn.COUNTIFS('Datos - Objetivos de países'!$B$5:$B$510,"Singapur",'Datos - Objetivos de países'!$F$5:$F$510,AO$3,'Datos - Objetivos de países'!$J$5:$J$510,$A42)+_xlfn.COUNTIFS('Datos - Objetivos de países'!$B$5:$B$510,"Singapur",'Datos - Objetivos de países'!$F$5:$F$510,AO$3,'Datos - Objetivos de países'!$K$5:$K$510,$A42)</f>
        <v>0</v>
      </c>
      <c r="AP42" s="36" cm="1">
        <f t="array" ref="AP42">_xlfn.COUNTIFS('Datos - Objetivos de países'!$B$5:$B$510,"Singapur",'Datos - Objetivos de países'!$F$5:$F$510,AP$3,'Datos - Objetivos de países'!$J$5:$J$510,$A42)+_xlfn.COUNTIFS('Datos - Objetivos de países'!$B$5:$B$510,"Singapur",'Datos - Objetivos de países'!$F$5:$F$510,AP$3,'Datos - Objetivos de países'!$K$5:$K$510,$A42)</f>
        <v>0</v>
      </c>
      <c r="AQ42" s="36" cm="1">
        <f t="array" ref="AQ42">_xlfn.COUNTIFS('Datos - Objetivos de países'!$B$5:$B$510,"Singapur",'Datos - Objetivos de países'!$F$5:$F$510,AQ$3,'Datos - Objetivos de países'!$J$5:$J$510,$A42)+_xlfn.COUNTIFS('Datos - Objetivos de países'!$B$5:$B$510,"Singapur",'Datos - Objetivos de países'!$F$5:$F$510,AQ$3,'Datos - Objetivos de países'!$K$5:$K$510,$A42)</f>
        <v>0</v>
      </c>
      <c r="AR42" s="36" cm="1">
        <f t="array" ref="AR42">_xlfn.COUNTIFS('Datos - Objetivos de países'!$B$5:$B$510,"Singapur",'Datos - Objetivos de países'!$F$5:$F$510,AR$3,'Datos - Objetivos de países'!$J$5:$J$510,$A42)+_xlfn.COUNTIFS('Datos - Objetivos de países'!$B$5:$B$510,"Singapur",'Datos - Objetivos de países'!$F$5:$F$510,AR$3,'Datos - Objetivos de países'!$K$5:$K$510,$A42)</f>
        <v>0</v>
      </c>
      <c r="AS42" s="36" cm="1">
        <f t="array" ref="AS42">_xlfn.COUNTIFS('Datos - Objetivos de países'!$B$5:$B$510,"Singapur",'Datos - Objetivos de países'!$F$5:$F$510,AS$3,'Datos - Objetivos de países'!$J$5:$J$510,$A42)+_xlfn.COUNTIFS('Datos - Objetivos de países'!$B$5:$B$510,"Singapur",'Datos - Objetivos de países'!$F$5:$F$510,AS$3,'Datos - Objetivos de países'!$K$5:$K$510,$A42)</f>
        <v>0</v>
      </c>
      <c r="AT42" s="36" cm="1">
        <f t="array" ref="AT42">_xlfn.COUNTIFS('Datos - Objetivos de países'!$B$5:$B$510,"Singapur",'Datos - Objetivos de países'!$F$5:$F$510,AT$3,'Datos - Objetivos de países'!$J$5:$J$510,$A42)+_xlfn.COUNTIFS('Datos - Objetivos de países'!$B$5:$B$510,"Singapur",'Datos - Objetivos de países'!$F$5:$F$510,AT$3,'Datos - Objetivos de países'!$K$5:$K$510,$A42)</f>
        <v>2</v>
      </c>
      <c r="AU42" s="36" cm="1">
        <f t="array" ref="AU42">_xlfn.COUNTIFS('Datos - Objetivos de países'!$B$5:$B$510,"Singapur",'Datos - Objetivos de países'!$F$5:$F$510,AU$3,'Datos - Objetivos de países'!$J$5:$J$510,$A42)+_xlfn.COUNTIFS('Datos - Objetivos de países'!$B$5:$B$510,"Singapur",'Datos - Objetivos de países'!$F$5:$F$510,AU$3,'Datos - Objetivos de países'!$K$5:$K$510,$A42)</f>
        <v>0</v>
      </c>
      <c r="AV42" s="36" cm="1">
        <f t="array" ref="AV42">_xlfn.COUNTIFS('Datos - Objetivos de países'!$B$5:$B$510,"Singapur",'Datos - Objetivos de países'!$F$5:$F$510,AV$3,'Datos - Objetivos de países'!$J$5:$J$510,$A42)+_xlfn.COUNTIFS('Datos - Objetivos de países'!$B$5:$B$510,"Singapur",'Datos - Objetivos de países'!$F$5:$F$510,AV$3,'Datos - Objetivos de países'!$K$5:$K$510,$A42)</f>
        <v>0</v>
      </c>
      <c r="AW42" s="36" cm="1">
        <f t="array" ref="AW42">_xlfn.COUNTIFS('Datos - Objetivos de países'!$B$5:$B$510,"Singapur",'Datos - Objetivos de países'!$F$5:$F$510,AW$3,'Datos - Objetivos de países'!$J$5:$J$510,$A42)+_xlfn.COUNTIFS('Datos - Objetivos de países'!$B$5:$B$510,"Singapur",'Datos - Objetivos de países'!$F$5:$F$510,AW$3,'Datos - Objetivos de países'!$K$5:$K$510,$A42)</f>
        <v>0</v>
      </c>
    </row>
    <row r="43" ht="13.65" customHeight="1">
      <c r="A43" t="s" s="78">
        <v>1186</v>
      </c>
      <c r="B43" t="s" s="78">
        <v>1164</v>
      </c>
      <c r="C43" t="s" s="78">
        <v>210</v>
      </c>
      <c r="D43" t="s" s="78">
        <v>1187</v>
      </c>
      <c r="E43" s="80" cm="1">
        <f t="array" ref="E43">_xlfn.IFERROR(MAX($L$3,INDEX($N$3:$V$3,MATCH(TRUE,INDEX(N43:V43&gt;0,0),0))),"—")</f>
        <v>5</v>
      </c>
      <c r="F43" s="80" cm="1">
        <f t="array" ref="F43">_xlfn.IFERROR(MAX($L$3,INDEX($W$3:$AE$3,MATCH(TRUE,INDEX(W43:AE43&gt;0,0),0))),"—")</f>
        <v>6</v>
      </c>
      <c r="G43" s="80" cm="1">
        <f t="array" ref="G43">_xlfn.IFERROR(MAX($L$3,INDEX($AF$3:$AN$3,MATCH(TRUE,INDEX(AF43:AN43&gt;0,0),0))),"—")</f>
        <v>6</v>
      </c>
      <c r="H43" t="str" s="79" cm="1">
        <f t="array" ref="H43">_xlfn.IFERROR(MAX($L$3,INDEX($AO$3:$AW$3,MATCH(TRUE,INDEX(AO43:AW43&gt;0,0),0))),"—")</f>
        <v>—</v>
      </c>
      <c r="I43" s="111" cm="1">
        <f t="array" ref="I43">IF(L43=0,"—",MEDIAN(F43:H43))</f>
        <v>6</v>
      </c>
      <c r="J43" s="111" cm="1">
        <f t="array" ref="J43">IF(OR(E43="—",I43="—"),"—",E43-I43)</f>
        <v>-1</v>
      </c>
      <c r="K43" t="str" s="49" cm="1">
        <f t="array" ref="K43">IF(E43="—",IF(L43=0,"Nadie lo trabaja","El Salvador no llega"),IF(L43=0,"Solo El Salvador",IF(J43&gt;0,"El Salvador llega más tarde",IF(J43&lt;0,"El Salvador va adelantado","Mismo grado"))))</f>
        <v>El Salvador va adelantado</v>
      </c>
      <c r="L43" s="80" cm="1">
        <f t="array" ref="L43">COUNT(F43:H43)</f>
        <v>2</v>
      </c>
      <c r="M43" s="110"/>
      <c r="N43" s="36" cm="1">
        <f t="array" ref="N43">_xlfn.COUNTIFS('Datos - Temas'!$C$5:$C$1264,"Ciencias",'Datos - Temas'!$B$5:$B$1264,N$3,'Datos - Temas'!$K$5:$K$1264,$A43)+_xlfn.COUNTIFS('Datos - Temas'!$C$5:$C$1264,"Ciencias",'Datos - Temas'!$B$5:$B$1264,N$3,'Datos - Temas'!$L$5:$L$1264,$A43)</f>
        <v>0</v>
      </c>
      <c r="O43" s="36" cm="1">
        <f t="array" ref="O43">_xlfn.COUNTIFS('Datos - Temas'!$C$5:$C$1264,"Ciencias",'Datos - Temas'!$B$5:$B$1264,O$3,'Datos - Temas'!$K$5:$K$1264,$A43)+_xlfn.COUNTIFS('Datos - Temas'!$C$5:$C$1264,"Ciencias",'Datos - Temas'!$B$5:$B$1264,O$3,'Datos - Temas'!$L$5:$L$1264,$A43)</f>
        <v>0</v>
      </c>
      <c r="P43" s="36" cm="1">
        <f t="array" ref="P43">_xlfn.COUNTIFS('Datos - Temas'!$C$5:$C$1264,"Ciencias",'Datos - Temas'!$B$5:$B$1264,P$3,'Datos - Temas'!$K$5:$K$1264,$A43)+_xlfn.COUNTIFS('Datos - Temas'!$C$5:$C$1264,"Ciencias",'Datos - Temas'!$B$5:$B$1264,P$3,'Datos - Temas'!$L$5:$L$1264,$A43)</f>
        <v>0</v>
      </c>
      <c r="Q43" s="36" cm="1">
        <f t="array" ref="Q43">_xlfn.COUNTIFS('Datos - Temas'!$C$5:$C$1264,"Ciencias",'Datos - Temas'!$B$5:$B$1264,Q$3,'Datos - Temas'!$K$5:$K$1264,$A43)+_xlfn.COUNTIFS('Datos - Temas'!$C$5:$C$1264,"Ciencias",'Datos - Temas'!$B$5:$B$1264,Q$3,'Datos - Temas'!$L$5:$L$1264,$A43)</f>
        <v>0</v>
      </c>
      <c r="R43" s="36" cm="1">
        <f t="array" ref="R43">_xlfn.COUNTIFS('Datos - Temas'!$C$5:$C$1264,"Ciencias",'Datos - Temas'!$B$5:$B$1264,R$3,'Datos - Temas'!$K$5:$K$1264,$A43)+_xlfn.COUNTIFS('Datos - Temas'!$C$5:$C$1264,"Ciencias",'Datos - Temas'!$B$5:$B$1264,R$3,'Datos - Temas'!$L$5:$L$1264,$A43)</f>
        <v>3</v>
      </c>
      <c r="S43" s="36" cm="1">
        <f t="array" ref="S43">_xlfn.COUNTIFS('Datos - Temas'!$C$5:$C$1264,"Ciencias",'Datos - Temas'!$B$5:$B$1264,S$3,'Datos - Temas'!$K$5:$K$1264,$A43)+_xlfn.COUNTIFS('Datos - Temas'!$C$5:$C$1264,"Ciencias",'Datos - Temas'!$B$5:$B$1264,S$3,'Datos - Temas'!$L$5:$L$1264,$A43)</f>
        <v>0</v>
      </c>
      <c r="T43" s="36" cm="1">
        <f t="array" ref="T43">_xlfn.COUNTIFS('Datos - Temas'!$C$5:$C$1264,"Ciencias",'Datos - Temas'!$B$5:$B$1264,T$3,'Datos - Temas'!$K$5:$K$1264,$A43)+_xlfn.COUNTIFS('Datos - Temas'!$C$5:$C$1264,"Ciencias",'Datos - Temas'!$B$5:$B$1264,T$3,'Datos - Temas'!$L$5:$L$1264,$A43)</f>
        <v>2</v>
      </c>
      <c r="U43" s="36" cm="1">
        <f t="array" ref="U43">_xlfn.COUNTIFS('Datos - Temas'!$C$5:$C$1264,"Ciencias",'Datos - Temas'!$B$5:$B$1264,U$3,'Datos - Temas'!$K$5:$K$1264,$A43)+_xlfn.COUNTIFS('Datos - Temas'!$C$5:$C$1264,"Ciencias",'Datos - Temas'!$B$5:$B$1264,U$3,'Datos - Temas'!$L$5:$L$1264,$A43)</f>
        <v>0</v>
      </c>
      <c r="V43" s="36" cm="1">
        <f t="array" ref="V43">_xlfn.COUNTIFS('Datos - Temas'!$C$5:$C$1264,"Ciencias",'Datos - Temas'!$B$5:$B$1264,V$3,'Datos - Temas'!$K$5:$K$1264,$A43)+_xlfn.COUNTIFS('Datos - Temas'!$C$5:$C$1264,"Ciencias",'Datos - Temas'!$B$5:$B$1264,V$3,'Datos - Temas'!$L$5:$L$1264,$A43)</f>
        <v>0</v>
      </c>
      <c r="W43" s="36" cm="1">
        <f t="array" ref="W43">_xlfn.COUNTIFS('Datos - Objetivos de países'!$B$5:$B$510,"Uruguay",'Datos - Objetivos de países'!$F$5:$F$510,W$3,'Datos - Objetivos de países'!$J$5:$J$510,$A43)+_xlfn.COUNTIFS('Datos - Objetivos de países'!$B$5:$B$510,"Uruguay",'Datos - Objetivos de países'!$F$5:$F$510,W$3,'Datos - Objetivos de países'!$K$5:$K$510,$A43)</f>
        <v>0</v>
      </c>
      <c r="X43" s="36" cm="1">
        <f t="array" ref="X43">_xlfn.COUNTIFS('Datos - Objetivos de países'!$B$5:$B$510,"Uruguay",'Datos - Objetivos de países'!$F$5:$F$510,X$3,'Datos - Objetivos de países'!$J$5:$J$510,$A43)+_xlfn.COUNTIFS('Datos - Objetivos de países'!$B$5:$B$510,"Uruguay",'Datos - Objetivos de países'!$F$5:$F$510,X$3,'Datos - Objetivos de países'!$K$5:$K$510,$A43)</f>
        <v>0</v>
      </c>
      <c r="Y43" s="36" cm="1">
        <f t="array" ref="Y43">_xlfn.COUNTIFS('Datos - Objetivos de países'!$B$5:$B$510,"Uruguay",'Datos - Objetivos de países'!$F$5:$F$510,Y$3,'Datos - Objetivos de países'!$J$5:$J$510,$A43)+_xlfn.COUNTIFS('Datos - Objetivos de países'!$B$5:$B$510,"Uruguay",'Datos - Objetivos de países'!$F$5:$F$510,Y$3,'Datos - Objetivos de países'!$K$5:$K$510,$A43)</f>
        <v>0</v>
      </c>
      <c r="Z43" s="36" cm="1">
        <f t="array" ref="Z43">_xlfn.COUNTIFS('Datos - Objetivos de países'!$B$5:$B$510,"Uruguay",'Datos - Objetivos de países'!$F$5:$F$510,Z$3,'Datos - Objetivos de países'!$J$5:$J$510,$A43)+_xlfn.COUNTIFS('Datos - Objetivos de países'!$B$5:$B$510,"Uruguay",'Datos - Objetivos de países'!$F$5:$F$510,Z$3,'Datos - Objetivos de países'!$K$5:$K$510,$A43)</f>
        <v>0</v>
      </c>
      <c r="AA43" s="36" cm="1">
        <f t="array" ref="AA43">_xlfn.COUNTIFS('Datos - Objetivos de países'!$B$5:$B$510,"Uruguay",'Datos - Objetivos de países'!$F$5:$F$510,AA$3,'Datos - Objetivos de países'!$J$5:$J$510,$A43)+_xlfn.COUNTIFS('Datos - Objetivos de países'!$B$5:$B$510,"Uruguay",'Datos - Objetivos de países'!$F$5:$F$510,AA$3,'Datos - Objetivos de países'!$K$5:$K$510,$A43)</f>
        <v>0</v>
      </c>
      <c r="AB43" s="36" cm="1">
        <f t="array" ref="AB43">_xlfn.COUNTIFS('Datos - Objetivos de países'!$B$5:$B$510,"Uruguay",'Datos - Objetivos de países'!$F$5:$F$510,AB$3,'Datos - Objetivos de países'!$J$5:$J$510,$A43)+_xlfn.COUNTIFS('Datos - Objetivos de países'!$B$5:$B$510,"Uruguay",'Datos - Objetivos de países'!$F$5:$F$510,AB$3,'Datos - Objetivos de países'!$K$5:$K$510,$A43)</f>
        <v>1</v>
      </c>
      <c r="AC43" s="36" cm="1">
        <f t="array" ref="AC43">_xlfn.COUNTIFS('Datos - Objetivos de países'!$B$5:$B$510,"Uruguay",'Datos - Objetivos de países'!$F$5:$F$510,AC$3,'Datos - Objetivos de países'!$J$5:$J$510,$A43)+_xlfn.COUNTIFS('Datos - Objetivos de países'!$B$5:$B$510,"Uruguay",'Datos - Objetivos de países'!$F$5:$F$510,AC$3,'Datos - Objetivos de países'!$K$5:$K$510,$A43)</f>
        <v>0</v>
      </c>
      <c r="AD43" s="36" cm="1">
        <f t="array" ref="AD43">_xlfn.COUNTIFS('Datos - Objetivos de países'!$B$5:$B$510,"Uruguay",'Datos - Objetivos de países'!$F$5:$F$510,AD$3,'Datos - Objetivos de países'!$J$5:$J$510,$A43)+_xlfn.COUNTIFS('Datos - Objetivos de países'!$B$5:$B$510,"Uruguay",'Datos - Objetivos de países'!$F$5:$F$510,AD$3,'Datos - Objetivos de países'!$K$5:$K$510,$A43)</f>
        <v>0</v>
      </c>
      <c r="AE43" s="36" cm="1">
        <f t="array" ref="AE43">_xlfn.COUNTIFS('Datos - Objetivos de países'!$B$5:$B$510,"Uruguay",'Datos - Objetivos de países'!$F$5:$F$510,AE$3,'Datos - Objetivos de países'!$J$5:$J$510,$A43)+_xlfn.COUNTIFS('Datos - Objetivos de países'!$B$5:$B$510,"Uruguay",'Datos - Objetivos de países'!$F$5:$F$510,AE$3,'Datos - Objetivos de países'!$K$5:$K$510,$A43)</f>
        <v>0</v>
      </c>
      <c r="AF43" s="36" cm="1">
        <f t="array" ref="AF43">_xlfn.COUNTIFS('Datos - Objetivos de países'!$B$5:$B$510,"Colombia",'Datos - Objetivos de países'!$F$5:$F$510,AF$3,'Datos - Objetivos de países'!$J$5:$J$510,$A43)+_xlfn.COUNTIFS('Datos - Objetivos de países'!$B$5:$B$510,"Colombia",'Datos - Objetivos de países'!$F$5:$F$510,AF$3,'Datos - Objetivos de países'!$K$5:$K$510,$A43)</f>
        <v>0</v>
      </c>
      <c r="AG43" s="36" cm="1">
        <f t="array" ref="AG43">_xlfn.COUNTIFS('Datos - Objetivos de países'!$B$5:$B$510,"Colombia",'Datos - Objetivos de países'!$F$5:$F$510,AG$3,'Datos - Objetivos de países'!$J$5:$J$510,$A43)+_xlfn.COUNTIFS('Datos - Objetivos de países'!$B$5:$B$510,"Colombia",'Datos - Objetivos de países'!$F$5:$F$510,AG$3,'Datos - Objetivos de países'!$K$5:$K$510,$A43)</f>
        <v>0</v>
      </c>
      <c r="AH43" s="36" cm="1">
        <f t="array" ref="AH43">_xlfn.COUNTIFS('Datos - Objetivos de países'!$B$5:$B$510,"Colombia",'Datos - Objetivos de países'!$F$5:$F$510,AH$3,'Datos - Objetivos de países'!$J$5:$J$510,$A43)+_xlfn.COUNTIFS('Datos - Objetivos de países'!$B$5:$B$510,"Colombia",'Datos - Objetivos de países'!$F$5:$F$510,AH$3,'Datos - Objetivos de países'!$K$5:$K$510,$A43)</f>
        <v>0</v>
      </c>
      <c r="AI43" s="36" cm="1">
        <f t="array" ref="AI43">_xlfn.COUNTIFS('Datos - Objetivos de países'!$B$5:$B$510,"Colombia",'Datos - Objetivos de países'!$F$5:$F$510,AI$3,'Datos - Objetivos de países'!$J$5:$J$510,$A43)+_xlfn.COUNTIFS('Datos - Objetivos de países'!$B$5:$B$510,"Colombia",'Datos - Objetivos de países'!$F$5:$F$510,AI$3,'Datos - Objetivos de países'!$K$5:$K$510,$A43)</f>
        <v>0</v>
      </c>
      <c r="AJ43" s="36" cm="1">
        <f t="array" ref="AJ43">_xlfn.COUNTIFS('Datos - Objetivos de países'!$B$5:$B$510,"Colombia",'Datos - Objetivos de países'!$F$5:$F$510,AJ$3,'Datos - Objetivos de países'!$J$5:$J$510,$A43)+_xlfn.COUNTIFS('Datos - Objetivos de países'!$B$5:$B$510,"Colombia",'Datos - Objetivos de países'!$F$5:$F$510,AJ$3,'Datos - Objetivos de países'!$K$5:$K$510,$A43)</f>
        <v>0</v>
      </c>
      <c r="AK43" s="36" cm="1">
        <f t="array" ref="AK43">_xlfn.COUNTIFS('Datos - Objetivos de países'!$B$5:$B$510,"Colombia",'Datos - Objetivos de países'!$F$5:$F$510,AK$3,'Datos - Objetivos de países'!$J$5:$J$510,$A43)+_xlfn.COUNTIFS('Datos - Objetivos de países'!$B$5:$B$510,"Colombia",'Datos - Objetivos de países'!$F$5:$F$510,AK$3,'Datos - Objetivos de países'!$K$5:$K$510,$A43)</f>
        <v>2</v>
      </c>
      <c r="AL43" s="36" cm="1">
        <f t="array" ref="AL43">_xlfn.COUNTIFS('Datos - Objetivos de países'!$B$5:$B$510,"Colombia",'Datos - Objetivos de países'!$F$5:$F$510,AL$3,'Datos - Objetivos de países'!$J$5:$J$510,$A43)+_xlfn.COUNTIFS('Datos - Objetivos de países'!$B$5:$B$510,"Colombia",'Datos - Objetivos de países'!$F$5:$F$510,AL$3,'Datos - Objetivos de países'!$K$5:$K$510,$A43)</f>
        <v>0</v>
      </c>
      <c r="AM43" s="36" cm="1">
        <f t="array" ref="AM43">_xlfn.COUNTIFS('Datos - Objetivos de países'!$B$5:$B$510,"Colombia",'Datos - Objetivos de países'!$F$5:$F$510,AM$3,'Datos - Objetivos de países'!$J$5:$J$510,$A43)+_xlfn.COUNTIFS('Datos - Objetivos de países'!$B$5:$B$510,"Colombia",'Datos - Objetivos de países'!$F$5:$F$510,AM$3,'Datos - Objetivos de países'!$K$5:$K$510,$A43)</f>
        <v>2</v>
      </c>
      <c r="AN43" s="36" cm="1">
        <f t="array" ref="AN43">_xlfn.COUNTIFS('Datos - Objetivos de países'!$B$5:$B$510,"Colombia",'Datos - Objetivos de países'!$F$5:$F$510,AN$3,'Datos - Objetivos de países'!$J$5:$J$510,$A43)+_xlfn.COUNTIFS('Datos - Objetivos de países'!$B$5:$B$510,"Colombia",'Datos - Objetivos de países'!$F$5:$F$510,AN$3,'Datos - Objetivos de países'!$K$5:$K$510,$A43)</f>
        <v>1</v>
      </c>
      <c r="AO43" s="36" cm="1">
        <f t="array" ref="AO43">_xlfn.COUNTIFS('Datos - Objetivos de países'!$B$5:$B$510,"Singapur",'Datos - Objetivos de países'!$F$5:$F$510,AO$3,'Datos - Objetivos de países'!$J$5:$J$510,$A43)+_xlfn.COUNTIFS('Datos - Objetivos de países'!$B$5:$B$510,"Singapur",'Datos - Objetivos de países'!$F$5:$F$510,AO$3,'Datos - Objetivos de países'!$K$5:$K$510,$A43)</f>
        <v>0</v>
      </c>
      <c r="AP43" s="36" cm="1">
        <f t="array" ref="AP43">_xlfn.COUNTIFS('Datos - Objetivos de países'!$B$5:$B$510,"Singapur",'Datos - Objetivos de países'!$F$5:$F$510,AP$3,'Datos - Objetivos de países'!$J$5:$J$510,$A43)+_xlfn.COUNTIFS('Datos - Objetivos de países'!$B$5:$B$510,"Singapur",'Datos - Objetivos de países'!$F$5:$F$510,AP$3,'Datos - Objetivos de países'!$K$5:$K$510,$A43)</f>
        <v>0</v>
      </c>
      <c r="AQ43" s="36" cm="1">
        <f t="array" ref="AQ43">_xlfn.COUNTIFS('Datos - Objetivos de países'!$B$5:$B$510,"Singapur",'Datos - Objetivos de países'!$F$5:$F$510,AQ$3,'Datos - Objetivos de países'!$J$5:$J$510,$A43)+_xlfn.COUNTIFS('Datos - Objetivos de países'!$B$5:$B$510,"Singapur",'Datos - Objetivos de países'!$F$5:$F$510,AQ$3,'Datos - Objetivos de países'!$K$5:$K$510,$A43)</f>
        <v>0</v>
      </c>
      <c r="AR43" s="36" cm="1">
        <f t="array" ref="AR43">_xlfn.COUNTIFS('Datos - Objetivos de países'!$B$5:$B$510,"Singapur",'Datos - Objetivos de países'!$F$5:$F$510,AR$3,'Datos - Objetivos de países'!$J$5:$J$510,$A43)+_xlfn.COUNTIFS('Datos - Objetivos de países'!$B$5:$B$510,"Singapur",'Datos - Objetivos de países'!$F$5:$F$510,AR$3,'Datos - Objetivos de países'!$K$5:$K$510,$A43)</f>
        <v>0</v>
      </c>
      <c r="AS43" s="36" cm="1">
        <f t="array" ref="AS43">_xlfn.COUNTIFS('Datos - Objetivos de países'!$B$5:$B$510,"Singapur",'Datos - Objetivos de países'!$F$5:$F$510,AS$3,'Datos - Objetivos de países'!$J$5:$J$510,$A43)+_xlfn.COUNTIFS('Datos - Objetivos de países'!$B$5:$B$510,"Singapur",'Datos - Objetivos de países'!$F$5:$F$510,AS$3,'Datos - Objetivos de países'!$K$5:$K$510,$A43)</f>
        <v>0</v>
      </c>
      <c r="AT43" s="36" cm="1">
        <f t="array" ref="AT43">_xlfn.COUNTIFS('Datos - Objetivos de países'!$B$5:$B$510,"Singapur",'Datos - Objetivos de países'!$F$5:$F$510,AT$3,'Datos - Objetivos de países'!$J$5:$J$510,$A43)+_xlfn.COUNTIFS('Datos - Objetivos de países'!$B$5:$B$510,"Singapur",'Datos - Objetivos de países'!$F$5:$F$510,AT$3,'Datos - Objetivos de países'!$K$5:$K$510,$A43)</f>
        <v>0</v>
      </c>
      <c r="AU43" s="36" cm="1">
        <f t="array" ref="AU43">_xlfn.COUNTIFS('Datos - Objetivos de países'!$B$5:$B$510,"Singapur",'Datos - Objetivos de países'!$F$5:$F$510,AU$3,'Datos - Objetivos de países'!$J$5:$J$510,$A43)+_xlfn.COUNTIFS('Datos - Objetivos de países'!$B$5:$B$510,"Singapur",'Datos - Objetivos de países'!$F$5:$F$510,AU$3,'Datos - Objetivos de países'!$K$5:$K$510,$A43)</f>
        <v>0</v>
      </c>
      <c r="AV43" s="36" cm="1">
        <f t="array" ref="AV43">_xlfn.COUNTIFS('Datos - Objetivos de países'!$B$5:$B$510,"Singapur",'Datos - Objetivos de países'!$F$5:$F$510,AV$3,'Datos - Objetivos de países'!$J$5:$J$510,$A43)+_xlfn.COUNTIFS('Datos - Objetivos de países'!$B$5:$B$510,"Singapur",'Datos - Objetivos de países'!$F$5:$F$510,AV$3,'Datos - Objetivos de países'!$K$5:$K$510,$A43)</f>
        <v>0</v>
      </c>
      <c r="AW43" s="36" cm="1">
        <f t="array" ref="AW43">_xlfn.COUNTIFS('Datos - Objetivos de países'!$B$5:$B$510,"Singapur",'Datos - Objetivos de países'!$F$5:$F$510,AW$3,'Datos - Objetivos de países'!$J$5:$J$510,$A43)+_xlfn.COUNTIFS('Datos - Objetivos de países'!$B$5:$B$510,"Singapur",'Datos - Objetivos de países'!$F$5:$F$510,AW$3,'Datos - Objetivos de países'!$K$5:$K$510,$A43)</f>
        <v>0</v>
      </c>
    </row>
    <row r="44" ht="13.65" customHeight="1">
      <c r="A44" t="s" s="78">
        <v>1189</v>
      </c>
      <c r="B44" t="s" s="78">
        <v>1164</v>
      </c>
      <c r="C44" t="s" s="78">
        <v>210</v>
      </c>
      <c r="D44" t="s" s="78">
        <v>1190</v>
      </c>
      <c r="E44" s="80" cm="1">
        <f t="array" ref="E44">_xlfn.IFERROR(MAX($L$3,INDEX($N$3:$V$3,MATCH(TRUE,INDEX(N44:V44&gt;0,0),0))),"—")</f>
        <v>7</v>
      </c>
      <c r="F44" s="80" cm="1">
        <f t="array" ref="F44">_xlfn.IFERROR(MAX($L$3,INDEX($W$3:$AE$3,MATCH(TRUE,INDEX(W44:AE44&gt;0,0),0))),"—")</f>
        <v>8</v>
      </c>
      <c r="G44" s="80" cm="1">
        <f t="array" ref="G44">_xlfn.IFERROR(MAX($L$3,INDEX($AF$3:$AN$3,MATCH(TRUE,INDEX(AF44:AN44&gt;0,0),0))),"—")</f>
        <v>6</v>
      </c>
      <c r="H44" s="80" cm="1">
        <f t="array" ref="H44">_xlfn.IFERROR(MAX($L$3,INDEX($AO$3:$AW$3,MATCH(TRUE,INDEX(AO44:AW44&gt;0,0),0))),"—")</f>
        <v>6</v>
      </c>
      <c r="I44" s="111" cm="1">
        <f t="array" ref="I44">IF(L44=0,"—",MEDIAN(F44:H44))</f>
        <v>6</v>
      </c>
      <c r="J44" s="111" cm="1">
        <f t="array" ref="J44">IF(OR(E44="—",I44="—"),"—",E44-I44)</f>
        <v>1</v>
      </c>
      <c r="K44" t="str" s="49" cm="1">
        <f t="array" ref="K44">IF(E44="—",IF(L44=0,"Nadie lo trabaja","El Salvador no llega"),IF(L44=0,"Solo El Salvador",IF(J44&gt;0,"El Salvador llega más tarde",IF(J44&lt;0,"El Salvador va adelantado","Mismo grado"))))</f>
        <v>El Salvador llega más tarde</v>
      </c>
      <c r="L44" s="80" cm="1">
        <f t="array" ref="L44">COUNT(F44:H44)</f>
        <v>3</v>
      </c>
      <c r="M44" s="110"/>
      <c r="N44" s="36" cm="1">
        <f t="array" ref="N44">_xlfn.COUNTIFS('Datos - Temas'!$C$5:$C$1264,"Ciencias",'Datos - Temas'!$B$5:$B$1264,N$3,'Datos - Temas'!$K$5:$K$1264,$A44)+_xlfn.COUNTIFS('Datos - Temas'!$C$5:$C$1264,"Ciencias",'Datos - Temas'!$B$5:$B$1264,N$3,'Datos - Temas'!$L$5:$L$1264,$A44)</f>
        <v>0</v>
      </c>
      <c r="O44" s="36" cm="1">
        <f t="array" ref="O44">_xlfn.COUNTIFS('Datos - Temas'!$C$5:$C$1264,"Ciencias",'Datos - Temas'!$B$5:$B$1264,O$3,'Datos - Temas'!$K$5:$K$1264,$A44)+_xlfn.COUNTIFS('Datos - Temas'!$C$5:$C$1264,"Ciencias",'Datos - Temas'!$B$5:$B$1264,O$3,'Datos - Temas'!$L$5:$L$1264,$A44)</f>
        <v>0</v>
      </c>
      <c r="P44" s="36" cm="1">
        <f t="array" ref="P44">_xlfn.COUNTIFS('Datos - Temas'!$C$5:$C$1264,"Ciencias",'Datos - Temas'!$B$5:$B$1264,P$3,'Datos - Temas'!$K$5:$K$1264,$A44)+_xlfn.COUNTIFS('Datos - Temas'!$C$5:$C$1264,"Ciencias",'Datos - Temas'!$B$5:$B$1264,P$3,'Datos - Temas'!$L$5:$L$1264,$A44)</f>
        <v>0</v>
      </c>
      <c r="Q44" s="36" cm="1">
        <f t="array" ref="Q44">_xlfn.COUNTIFS('Datos - Temas'!$C$5:$C$1264,"Ciencias",'Datos - Temas'!$B$5:$B$1264,Q$3,'Datos - Temas'!$K$5:$K$1264,$A44)+_xlfn.COUNTIFS('Datos - Temas'!$C$5:$C$1264,"Ciencias",'Datos - Temas'!$B$5:$B$1264,Q$3,'Datos - Temas'!$L$5:$L$1264,$A44)</f>
        <v>0</v>
      </c>
      <c r="R44" s="36" cm="1">
        <f t="array" ref="R44">_xlfn.COUNTIFS('Datos - Temas'!$C$5:$C$1264,"Ciencias",'Datos - Temas'!$B$5:$B$1264,R$3,'Datos - Temas'!$K$5:$K$1264,$A44)+_xlfn.COUNTIFS('Datos - Temas'!$C$5:$C$1264,"Ciencias",'Datos - Temas'!$B$5:$B$1264,R$3,'Datos - Temas'!$L$5:$L$1264,$A44)</f>
        <v>0</v>
      </c>
      <c r="S44" s="36" cm="1">
        <f t="array" ref="S44">_xlfn.COUNTIFS('Datos - Temas'!$C$5:$C$1264,"Ciencias",'Datos - Temas'!$B$5:$B$1264,S$3,'Datos - Temas'!$K$5:$K$1264,$A44)+_xlfn.COUNTIFS('Datos - Temas'!$C$5:$C$1264,"Ciencias",'Datos - Temas'!$B$5:$B$1264,S$3,'Datos - Temas'!$L$5:$L$1264,$A44)</f>
        <v>0</v>
      </c>
      <c r="T44" s="36" cm="1">
        <f t="array" ref="T44">_xlfn.COUNTIFS('Datos - Temas'!$C$5:$C$1264,"Ciencias",'Datos - Temas'!$B$5:$B$1264,T$3,'Datos - Temas'!$K$5:$K$1264,$A44)+_xlfn.COUNTIFS('Datos - Temas'!$C$5:$C$1264,"Ciencias",'Datos - Temas'!$B$5:$B$1264,T$3,'Datos - Temas'!$L$5:$L$1264,$A44)</f>
        <v>4</v>
      </c>
      <c r="U44" s="36" cm="1">
        <f t="array" ref="U44">_xlfn.COUNTIFS('Datos - Temas'!$C$5:$C$1264,"Ciencias",'Datos - Temas'!$B$5:$B$1264,U$3,'Datos - Temas'!$K$5:$K$1264,$A44)+_xlfn.COUNTIFS('Datos - Temas'!$C$5:$C$1264,"Ciencias",'Datos - Temas'!$B$5:$B$1264,U$3,'Datos - Temas'!$L$5:$L$1264,$A44)</f>
        <v>0</v>
      </c>
      <c r="V44" s="36" cm="1">
        <f t="array" ref="V44">_xlfn.COUNTIFS('Datos - Temas'!$C$5:$C$1264,"Ciencias",'Datos - Temas'!$B$5:$B$1264,V$3,'Datos - Temas'!$K$5:$K$1264,$A44)+_xlfn.COUNTIFS('Datos - Temas'!$C$5:$C$1264,"Ciencias",'Datos - Temas'!$B$5:$B$1264,V$3,'Datos - Temas'!$L$5:$L$1264,$A44)</f>
        <v>2</v>
      </c>
      <c r="W44" s="36" cm="1">
        <f t="array" ref="W44">_xlfn.COUNTIFS('Datos - Objetivos de países'!$B$5:$B$510,"Uruguay",'Datos - Objetivos de países'!$F$5:$F$510,W$3,'Datos - Objetivos de países'!$J$5:$J$510,$A44)+_xlfn.COUNTIFS('Datos - Objetivos de países'!$B$5:$B$510,"Uruguay",'Datos - Objetivos de países'!$F$5:$F$510,W$3,'Datos - Objetivos de países'!$K$5:$K$510,$A44)</f>
        <v>0</v>
      </c>
      <c r="X44" s="36" cm="1">
        <f t="array" ref="X44">_xlfn.COUNTIFS('Datos - Objetivos de países'!$B$5:$B$510,"Uruguay",'Datos - Objetivos de países'!$F$5:$F$510,X$3,'Datos - Objetivos de países'!$J$5:$J$510,$A44)+_xlfn.COUNTIFS('Datos - Objetivos de países'!$B$5:$B$510,"Uruguay",'Datos - Objetivos de países'!$F$5:$F$510,X$3,'Datos - Objetivos de países'!$K$5:$K$510,$A44)</f>
        <v>0</v>
      </c>
      <c r="Y44" s="36" cm="1">
        <f t="array" ref="Y44">_xlfn.COUNTIFS('Datos - Objetivos de países'!$B$5:$B$510,"Uruguay",'Datos - Objetivos de países'!$F$5:$F$510,Y$3,'Datos - Objetivos de países'!$J$5:$J$510,$A44)+_xlfn.COUNTIFS('Datos - Objetivos de países'!$B$5:$B$510,"Uruguay",'Datos - Objetivos de países'!$F$5:$F$510,Y$3,'Datos - Objetivos de países'!$K$5:$K$510,$A44)</f>
        <v>0</v>
      </c>
      <c r="Z44" s="36" cm="1">
        <f t="array" ref="Z44">_xlfn.COUNTIFS('Datos - Objetivos de países'!$B$5:$B$510,"Uruguay",'Datos - Objetivos de países'!$F$5:$F$510,Z$3,'Datos - Objetivos de países'!$J$5:$J$510,$A44)+_xlfn.COUNTIFS('Datos - Objetivos de países'!$B$5:$B$510,"Uruguay",'Datos - Objetivos de países'!$F$5:$F$510,Z$3,'Datos - Objetivos de países'!$K$5:$K$510,$A44)</f>
        <v>0</v>
      </c>
      <c r="AA44" s="36" cm="1">
        <f t="array" ref="AA44">_xlfn.COUNTIFS('Datos - Objetivos de países'!$B$5:$B$510,"Uruguay",'Datos - Objetivos de países'!$F$5:$F$510,AA$3,'Datos - Objetivos de países'!$J$5:$J$510,$A44)+_xlfn.COUNTIFS('Datos - Objetivos de países'!$B$5:$B$510,"Uruguay",'Datos - Objetivos de países'!$F$5:$F$510,AA$3,'Datos - Objetivos de países'!$K$5:$K$510,$A44)</f>
        <v>0</v>
      </c>
      <c r="AB44" s="36" cm="1">
        <f t="array" ref="AB44">_xlfn.COUNTIFS('Datos - Objetivos de países'!$B$5:$B$510,"Uruguay",'Datos - Objetivos de países'!$F$5:$F$510,AB$3,'Datos - Objetivos de países'!$J$5:$J$510,$A44)+_xlfn.COUNTIFS('Datos - Objetivos de países'!$B$5:$B$510,"Uruguay",'Datos - Objetivos de países'!$F$5:$F$510,AB$3,'Datos - Objetivos de países'!$K$5:$K$510,$A44)</f>
        <v>0</v>
      </c>
      <c r="AC44" s="36" cm="1">
        <f t="array" ref="AC44">_xlfn.COUNTIFS('Datos - Objetivos de países'!$B$5:$B$510,"Uruguay",'Datos - Objetivos de países'!$F$5:$F$510,AC$3,'Datos - Objetivos de países'!$J$5:$J$510,$A44)+_xlfn.COUNTIFS('Datos - Objetivos de países'!$B$5:$B$510,"Uruguay",'Datos - Objetivos de países'!$F$5:$F$510,AC$3,'Datos - Objetivos de países'!$K$5:$K$510,$A44)</f>
        <v>0</v>
      </c>
      <c r="AD44" s="36" cm="1">
        <f t="array" ref="AD44">_xlfn.COUNTIFS('Datos - Objetivos de países'!$B$5:$B$510,"Uruguay",'Datos - Objetivos de países'!$F$5:$F$510,AD$3,'Datos - Objetivos de países'!$J$5:$J$510,$A44)+_xlfn.COUNTIFS('Datos - Objetivos de países'!$B$5:$B$510,"Uruguay",'Datos - Objetivos de países'!$F$5:$F$510,AD$3,'Datos - Objetivos de países'!$K$5:$K$510,$A44)</f>
        <v>2</v>
      </c>
      <c r="AE44" s="36" cm="1">
        <f t="array" ref="AE44">_xlfn.COUNTIFS('Datos - Objetivos de países'!$B$5:$B$510,"Uruguay",'Datos - Objetivos de países'!$F$5:$F$510,AE$3,'Datos - Objetivos de países'!$J$5:$J$510,$A44)+_xlfn.COUNTIFS('Datos - Objetivos de países'!$B$5:$B$510,"Uruguay",'Datos - Objetivos de países'!$F$5:$F$510,AE$3,'Datos - Objetivos de países'!$K$5:$K$510,$A44)</f>
        <v>0</v>
      </c>
      <c r="AF44" s="36" cm="1">
        <f t="array" ref="AF44">_xlfn.COUNTIFS('Datos - Objetivos de países'!$B$5:$B$510,"Colombia",'Datos - Objetivos de países'!$F$5:$F$510,AF$3,'Datos - Objetivos de países'!$J$5:$J$510,$A44)+_xlfn.COUNTIFS('Datos - Objetivos de países'!$B$5:$B$510,"Colombia",'Datos - Objetivos de países'!$F$5:$F$510,AF$3,'Datos - Objetivos de países'!$K$5:$K$510,$A44)</f>
        <v>0</v>
      </c>
      <c r="AG44" s="36" cm="1">
        <f t="array" ref="AG44">_xlfn.COUNTIFS('Datos - Objetivos de países'!$B$5:$B$510,"Colombia",'Datos - Objetivos de países'!$F$5:$F$510,AG$3,'Datos - Objetivos de países'!$J$5:$J$510,$A44)+_xlfn.COUNTIFS('Datos - Objetivos de países'!$B$5:$B$510,"Colombia",'Datos - Objetivos de países'!$F$5:$F$510,AG$3,'Datos - Objetivos de países'!$K$5:$K$510,$A44)</f>
        <v>0</v>
      </c>
      <c r="AH44" s="36" cm="1">
        <f t="array" ref="AH44">_xlfn.COUNTIFS('Datos - Objetivos de países'!$B$5:$B$510,"Colombia",'Datos - Objetivos de países'!$F$5:$F$510,AH$3,'Datos - Objetivos de países'!$J$5:$J$510,$A44)+_xlfn.COUNTIFS('Datos - Objetivos de países'!$B$5:$B$510,"Colombia",'Datos - Objetivos de países'!$F$5:$F$510,AH$3,'Datos - Objetivos de países'!$K$5:$K$510,$A44)</f>
        <v>0</v>
      </c>
      <c r="AI44" s="36" cm="1">
        <f t="array" ref="AI44">_xlfn.COUNTIFS('Datos - Objetivos de países'!$B$5:$B$510,"Colombia",'Datos - Objetivos de países'!$F$5:$F$510,AI$3,'Datos - Objetivos de países'!$J$5:$J$510,$A44)+_xlfn.COUNTIFS('Datos - Objetivos de países'!$B$5:$B$510,"Colombia",'Datos - Objetivos de países'!$F$5:$F$510,AI$3,'Datos - Objetivos de países'!$K$5:$K$510,$A44)</f>
        <v>0</v>
      </c>
      <c r="AJ44" s="36" cm="1">
        <f t="array" ref="AJ44">_xlfn.COUNTIFS('Datos - Objetivos de países'!$B$5:$B$510,"Colombia",'Datos - Objetivos de países'!$F$5:$F$510,AJ$3,'Datos - Objetivos de países'!$J$5:$J$510,$A44)+_xlfn.COUNTIFS('Datos - Objetivos de países'!$B$5:$B$510,"Colombia",'Datos - Objetivos de países'!$F$5:$F$510,AJ$3,'Datos - Objetivos de países'!$K$5:$K$510,$A44)</f>
        <v>0</v>
      </c>
      <c r="AK44" s="36" cm="1">
        <f t="array" ref="AK44">_xlfn.COUNTIFS('Datos - Objetivos de países'!$B$5:$B$510,"Colombia",'Datos - Objetivos de países'!$F$5:$F$510,AK$3,'Datos - Objetivos de países'!$J$5:$J$510,$A44)+_xlfn.COUNTIFS('Datos - Objetivos de países'!$B$5:$B$510,"Colombia",'Datos - Objetivos de países'!$F$5:$F$510,AK$3,'Datos - Objetivos de países'!$K$5:$K$510,$A44)</f>
        <v>2</v>
      </c>
      <c r="AL44" s="36" cm="1">
        <f t="array" ref="AL44">_xlfn.COUNTIFS('Datos - Objetivos de países'!$B$5:$B$510,"Colombia",'Datos - Objetivos de países'!$F$5:$F$510,AL$3,'Datos - Objetivos de países'!$J$5:$J$510,$A44)+_xlfn.COUNTIFS('Datos - Objetivos de países'!$B$5:$B$510,"Colombia",'Datos - Objetivos de países'!$F$5:$F$510,AL$3,'Datos - Objetivos de países'!$K$5:$K$510,$A44)</f>
        <v>0</v>
      </c>
      <c r="AM44" s="36" cm="1">
        <f t="array" ref="AM44">_xlfn.COUNTIFS('Datos - Objetivos de países'!$B$5:$B$510,"Colombia",'Datos - Objetivos de países'!$F$5:$F$510,AM$3,'Datos - Objetivos de países'!$J$5:$J$510,$A44)+_xlfn.COUNTIFS('Datos - Objetivos de países'!$B$5:$B$510,"Colombia",'Datos - Objetivos de países'!$F$5:$F$510,AM$3,'Datos - Objetivos de países'!$K$5:$K$510,$A44)</f>
        <v>0</v>
      </c>
      <c r="AN44" s="36" cm="1">
        <f t="array" ref="AN44">_xlfn.COUNTIFS('Datos - Objetivos de países'!$B$5:$B$510,"Colombia",'Datos - Objetivos de países'!$F$5:$F$510,AN$3,'Datos - Objetivos de países'!$J$5:$J$510,$A44)+_xlfn.COUNTIFS('Datos - Objetivos de países'!$B$5:$B$510,"Colombia",'Datos - Objetivos de países'!$F$5:$F$510,AN$3,'Datos - Objetivos de países'!$K$5:$K$510,$A44)</f>
        <v>0</v>
      </c>
      <c r="AO44" s="36" cm="1">
        <f t="array" ref="AO44">_xlfn.COUNTIFS('Datos - Objetivos de países'!$B$5:$B$510,"Singapur",'Datos - Objetivos de países'!$F$5:$F$510,AO$3,'Datos - Objetivos de países'!$J$5:$J$510,$A44)+_xlfn.COUNTIFS('Datos - Objetivos de países'!$B$5:$B$510,"Singapur",'Datos - Objetivos de países'!$F$5:$F$510,AO$3,'Datos - Objetivos de países'!$K$5:$K$510,$A44)</f>
        <v>0</v>
      </c>
      <c r="AP44" s="36" cm="1">
        <f t="array" ref="AP44">_xlfn.COUNTIFS('Datos - Objetivos de países'!$B$5:$B$510,"Singapur",'Datos - Objetivos de países'!$F$5:$F$510,AP$3,'Datos - Objetivos de países'!$J$5:$J$510,$A44)+_xlfn.COUNTIFS('Datos - Objetivos de países'!$B$5:$B$510,"Singapur",'Datos - Objetivos de países'!$F$5:$F$510,AP$3,'Datos - Objetivos de países'!$K$5:$K$510,$A44)</f>
        <v>0</v>
      </c>
      <c r="AQ44" s="36" cm="1">
        <f t="array" ref="AQ44">_xlfn.COUNTIFS('Datos - Objetivos de países'!$B$5:$B$510,"Singapur",'Datos - Objetivos de países'!$F$5:$F$510,AQ$3,'Datos - Objetivos de países'!$J$5:$J$510,$A44)+_xlfn.COUNTIFS('Datos - Objetivos de países'!$B$5:$B$510,"Singapur",'Datos - Objetivos de países'!$F$5:$F$510,AQ$3,'Datos - Objetivos de países'!$K$5:$K$510,$A44)</f>
        <v>0</v>
      </c>
      <c r="AR44" s="36" cm="1">
        <f t="array" ref="AR44">_xlfn.COUNTIFS('Datos - Objetivos de países'!$B$5:$B$510,"Singapur",'Datos - Objetivos de países'!$F$5:$F$510,AR$3,'Datos - Objetivos de países'!$J$5:$J$510,$A44)+_xlfn.COUNTIFS('Datos - Objetivos de países'!$B$5:$B$510,"Singapur",'Datos - Objetivos de países'!$F$5:$F$510,AR$3,'Datos - Objetivos de países'!$K$5:$K$510,$A44)</f>
        <v>0</v>
      </c>
      <c r="AS44" s="36" cm="1">
        <f t="array" ref="AS44">_xlfn.COUNTIFS('Datos - Objetivos de países'!$B$5:$B$510,"Singapur",'Datos - Objetivos de países'!$F$5:$F$510,AS$3,'Datos - Objetivos de países'!$J$5:$J$510,$A44)+_xlfn.COUNTIFS('Datos - Objetivos de países'!$B$5:$B$510,"Singapur",'Datos - Objetivos de países'!$F$5:$F$510,AS$3,'Datos - Objetivos de países'!$K$5:$K$510,$A44)</f>
        <v>0</v>
      </c>
      <c r="AT44" s="36" cm="1">
        <f t="array" ref="AT44">_xlfn.COUNTIFS('Datos - Objetivos de países'!$B$5:$B$510,"Singapur",'Datos - Objetivos de países'!$F$5:$F$510,AT$3,'Datos - Objetivos de países'!$J$5:$J$510,$A44)+_xlfn.COUNTIFS('Datos - Objetivos de países'!$B$5:$B$510,"Singapur",'Datos - Objetivos de países'!$F$5:$F$510,AT$3,'Datos - Objetivos de países'!$K$5:$K$510,$A44)</f>
        <v>1</v>
      </c>
      <c r="AU44" s="36" cm="1">
        <f t="array" ref="AU44">_xlfn.COUNTIFS('Datos - Objetivos de países'!$B$5:$B$510,"Singapur",'Datos - Objetivos de países'!$F$5:$F$510,AU$3,'Datos - Objetivos de países'!$J$5:$J$510,$A44)+_xlfn.COUNTIFS('Datos - Objetivos de países'!$B$5:$B$510,"Singapur",'Datos - Objetivos de países'!$F$5:$F$510,AU$3,'Datos - Objetivos de países'!$K$5:$K$510,$A44)</f>
        <v>0</v>
      </c>
      <c r="AV44" s="36" cm="1">
        <f t="array" ref="AV44">_xlfn.COUNTIFS('Datos - Objetivos de países'!$B$5:$B$510,"Singapur",'Datos - Objetivos de países'!$F$5:$F$510,AV$3,'Datos - Objetivos de países'!$J$5:$J$510,$A44)+_xlfn.COUNTIFS('Datos - Objetivos de países'!$B$5:$B$510,"Singapur",'Datos - Objetivos de países'!$F$5:$F$510,AV$3,'Datos - Objetivos de países'!$K$5:$K$510,$A44)</f>
        <v>0</v>
      </c>
      <c r="AW44" s="36" cm="1">
        <f t="array" ref="AW44">_xlfn.COUNTIFS('Datos - Objetivos de países'!$B$5:$B$510,"Singapur",'Datos - Objetivos de países'!$F$5:$F$510,AW$3,'Datos - Objetivos de países'!$J$5:$J$510,$A44)+_xlfn.COUNTIFS('Datos - Objetivos de países'!$B$5:$B$510,"Singapur",'Datos - Objetivos de países'!$F$5:$F$510,AW$3,'Datos - Objetivos de países'!$K$5:$K$510,$A44)</f>
        <v>0</v>
      </c>
    </row>
    <row r="45" ht="13.65" customHeight="1">
      <c r="A45" t="s" s="78">
        <v>459</v>
      </c>
      <c r="B45" t="s" s="78">
        <v>1164</v>
      </c>
      <c r="C45" t="s" s="78">
        <v>210</v>
      </c>
      <c r="D45" t="s" s="78">
        <v>1193</v>
      </c>
      <c r="E45" s="80" cm="1">
        <f t="array" ref="E45">_xlfn.IFERROR(MAX($L$3,INDEX($N$3:$V$3,MATCH(TRUE,INDEX(N45:V45&gt;0,0),0))),"—")</f>
        <v>7</v>
      </c>
      <c r="F45" s="80" cm="1">
        <f t="array" ref="F45">_xlfn.IFERROR(MAX($L$3,INDEX($W$3:$AE$3,MATCH(TRUE,INDEX(W45:AE45&gt;0,0),0))),"—")</f>
        <v>6</v>
      </c>
      <c r="G45" s="80" cm="1">
        <f t="array" ref="G45">_xlfn.IFERROR(MAX($L$3,INDEX($AF$3:$AN$3,MATCH(TRUE,INDEX(AF45:AN45&gt;0,0),0))),"—")</f>
        <v>6</v>
      </c>
      <c r="H45" s="80" cm="1">
        <f t="array" ref="H45">_xlfn.IFERROR(MAX($L$3,INDEX($AO$3:$AW$3,MATCH(TRUE,INDEX(AO45:AW45&gt;0,0),0))),"—")</f>
        <v>6</v>
      </c>
      <c r="I45" s="111" cm="1">
        <f t="array" ref="I45">IF(L45=0,"—",MEDIAN(F45:H45))</f>
        <v>6</v>
      </c>
      <c r="J45" s="111" cm="1">
        <f t="array" ref="J45">IF(OR(E45="—",I45="—"),"—",E45-I45)</f>
        <v>1</v>
      </c>
      <c r="K45" t="str" s="49" cm="1">
        <f t="array" ref="K45">IF(E45="—",IF(L45=0,"Nadie lo trabaja","El Salvador no llega"),IF(L45=0,"Solo El Salvador",IF(J45&gt;0,"El Salvador llega más tarde",IF(J45&lt;0,"El Salvador va adelantado","Mismo grado"))))</f>
        <v>El Salvador llega más tarde</v>
      </c>
      <c r="L45" s="80" cm="1">
        <f t="array" ref="L45">COUNT(F45:H45)</f>
        <v>3</v>
      </c>
      <c r="M45" s="110"/>
      <c r="N45" s="36" cm="1">
        <f t="array" ref="N45">_xlfn.COUNTIFS('Datos - Temas'!$C$5:$C$1264,"Ciencias",'Datos - Temas'!$B$5:$B$1264,N$3,'Datos - Temas'!$K$5:$K$1264,$A45)+_xlfn.COUNTIFS('Datos - Temas'!$C$5:$C$1264,"Ciencias",'Datos - Temas'!$B$5:$B$1264,N$3,'Datos - Temas'!$L$5:$L$1264,$A45)</f>
        <v>0</v>
      </c>
      <c r="O45" s="36" cm="1">
        <f t="array" ref="O45">_xlfn.COUNTIFS('Datos - Temas'!$C$5:$C$1264,"Ciencias",'Datos - Temas'!$B$5:$B$1264,O$3,'Datos - Temas'!$K$5:$K$1264,$A45)+_xlfn.COUNTIFS('Datos - Temas'!$C$5:$C$1264,"Ciencias",'Datos - Temas'!$B$5:$B$1264,O$3,'Datos - Temas'!$L$5:$L$1264,$A45)</f>
        <v>0</v>
      </c>
      <c r="P45" s="36" cm="1">
        <f t="array" ref="P45">_xlfn.COUNTIFS('Datos - Temas'!$C$5:$C$1264,"Ciencias",'Datos - Temas'!$B$5:$B$1264,P$3,'Datos - Temas'!$K$5:$K$1264,$A45)+_xlfn.COUNTIFS('Datos - Temas'!$C$5:$C$1264,"Ciencias",'Datos - Temas'!$B$5:$B$1264,P$3,'Datos - Temas'!$L$5:$L$1264,$A45)</f>
        <v>0</v>
      </c>
      <c r="Q45" s="36" cm="1">
        <f t="array" ref="Q45">_xlfn.COUNTIFS('Datos - Temas'!$C$5:$C$1264,"Ciencias",'Datos - Temas'!$B$5:$B$1264,Q$3,'Datos - Temas'!$K$5:$K$1264,$A45)+_xlfn.COUNTIFS('Datos - Temas'!$C$5:$C$1264,"Ciencias",'Datos - Temas'!$B$5:$B$1264,Q$3,'Datos - Temas'!$L$5:$L$1264,$A45)</f>
        <v>0</v>
      </c>
      <c r="R45" s="36" cm="1">
        <f t="array" ref="R45">_xlfn.COUNTIFS('Datos - Temas'!$C$5:$C$1264,"Ciencias",'Datos - Temas'!$B$5:$B$1264,R$3,'Datos - Temas'!$K$5:$K$1264,$A45)+_xlfn.COUNTIFS('Datos - Temas'!$C$5:$C$1264,"Ciencias",'Datos - Temas'!$B$5:$B$1264,R$3,'Datos - Temas'!$L$5:$L$1264,$A45)</f>
        <v>0</v>
      </c>
      <c r="S45" s="36" cm="1">
        <f t="array" ref="S45">_xlfn.COUNTIFS('Datos - Temas'!$C$5:$C$1264,"Ciencias",'Datos - Temas'!$B$5:$B$1264,S$3,'Datos - Temas'!$K$5:$K$1264,$A45)+_xlfn.COUNTIFS('Datos - Temas'!$C$5:$C$1264,"Ciencias",'Datos - Temas'!$B$5:$B$1264,S$3,'Datos - Temas'!$L$5:$L$1264,$A45)</f>
        <v>0</v>
      </c>
      <c r="T45" s="36" cm="1">
        <f t="array" ref="T45">_xlfn.COUNTIFS('Datos - Temas'!$C$5:$C$1264,"Ciencias",'Datos - Temas'!$B$5:$B$1264,T$3,'Datos - Temas'!$K$5:$K$1264,$A45)+_xlfn.COUNTIFS('Datos - Temas'!$C$5:$C$1264,"Ciencias",'Datos - Temas'!$B$5:$B$1264,T$3,'Datos - Temas'!$L$5:$L$1264,$A45)</f>
        <v>1</v>
      </c>
      <c r="U45" s="36" cm="1">
        <f t="array" ref="U45">_xlfn.COUNTIFS('Datos - Temas'!$C$5:$C$1264,"Ciencias",'Datos - Temas'!$B$5:$B$1264,U$3,'Datos - Temas'!$K$5:$K$1264,$A45)+_xlfn.COUNTIFS('Datos - Temas'!$C$5:$C$1264,"Ciencias",'Datos - Temas'!$B$5:$B$1264,U$3,'Datos - Temas'!$L$5:$L$1264,$A45)</f>
        <v>0</v>
      </c>
      <c r="V45" s="36" cm="1">
        <f t="array" ref="V45">_xlfn.COUNTIFS('Datos - Temas'!$C$5:$C$1264,"Ciencias",'Datos - Temas'!$B$5:$B$1264,V$3,'Datos - Temas'!$K$5:$K$1264,$A45)+_xlfn.COUNTIFS('Datos - Temas'!$C$5:$C$1264,"Ciencias",'Datos - Temas'!$B$5:$B$1264,V$3,'Datos - Temas'!$L$5:$L$1264,$A45)</f>
        <v>0</v>
      </c>
      <c r="W45" s="36" cm="1">
        <f t="array" ref="W45">_xlfn.COUNTIFS('Datos - Objetivos de países'!$B$5:$B$510,"Uruguay",'Datos - Objetivos de países'!$F$5:$F$510,W$3,'Datos - Objetivos de países'!$J$5:$J$510,$A45)+_xlfn.COUNTIFS('Datos - Objetivos de países'!$B$5:$B$510,"Uruguay",'Datos - Objetivos de países'!$F$5:$F$510,W$3,'Datos - Objetivos de países'!$K$5:$K$510,$A45)</f>
        <v>0</v>
      </c>
      <c r="X45" s="36" cm="1">
        <f t="array" ref="X45">_xlfn.COUNTIFS('Datos - Objetivos de países'!$B$5:$B$510,"Uruguay",'Datos - Objetivos de países'!$F$5:$F$510,X$3,'Datos - Objetivos de países'!$J$5:$J$510,$A45)+_xlfn.COUNTIFS('Datos - Objetivos de países'!$B$5:$B$510,"Uruguay",'Datos - Objetivos de países'!$F$5:$F$510,X$3,'Datos - Objetivos de países'!$K$5:$K$510,$A45)</f>
        <v>0</v>
      </c>
      <c r="Y45" s="36" cm="1">
        <f t="array" ref="Y45">_xlfn.COUNTIFS('Datos - Objetivos de países'!$B$5:$B$510,"Uruguay",'Datos - Objetivos de países'!$F$5:$F$510,Y$3,'Datos - Objetivos de países'!$J$5:$J$510,$A45)+_xlfn.COUNTIFS('Datos - Objetivos de países'!$B$5:$B$510,"Uruguay",'Datos - Objetivos de países'!$F$5:$F$510,Y$3,'Datos - Objetivos de países'!$K$5:$K$510,$A45)</f>
        <v>0</v>
      </c>
      <c r="Z45" s="36" cm="1">
        <f t="array" ref="Z45">_xlfn.COUNTIFS('Datos - Objetivos de países'!$B$5:$B$510,"Uruguay",'Datos - Objetivos de países'!$F$5:$F$510,Z$3,'Datos - Objetivos de países'!$J$5:$J$510,$A45)+_xlfn.COUNTIFS('Datos - Objetivos de países'!$B$5:$B$510,"Uruguay",'Datos - Objetivos de países'!$F$5:$F$510,Z$3,'Datos - Objetivos de países'!$K$5:$K$510,$A45)</f>
        <v>0</v>
      </c>
      <c r="AA45" s="36" cm="1">
        <f t="array" ref="AA45">_xlfn.COUNTIFS('Datos - Objetivos de países'!$B$5:$B$510,"Uruguay",'Datos - Objetivos de países'!$F$5:$F$510,AA$3,'Datos - Objetivos de países'!$J$5:$J$510,$A45)+_xlfn.COUNTIFS('Datos - Objetivos de países'!$B$5:$B$510,"Uruguay",'Datos - Objetivos de países'!$F$5:$F$510,AA$3,'Datos - Objetivos de países'!$K$5:$K$510,$A45)</f>
        <v>0</v>
      </c>
      <c r="AB45" s="36" cm="1">
        <f t="array" ref="AB45">_xlfn.COUNTIFS('Datos - Objetivos de países'!$B$5:$B$510,"Uruguay",'Datos - Objetivos de países'!$F$5:$F$510,AB$3,'Datos - Objetivos de países'!$J$5:$J$510,$A45)+_xlfn.COUNTIFS('Datos - Objetivos de países'!$B$5:$B$510,"Uruguay",'Datos - Objetivos de países'!$F$5:$F$510,AB$3,'Datos - Objetivos de países'!$K$5:$K$510,$A45)</f>
        <v>1</v>
      </c>
      <c r="AC45" s="36" cm="1">
        <f t="array" ref="AC45">_xlfn.COUNTIFS('Datos - Objetivos de países'!$B$5:$B$510,"Uruguay",'Datos - Objetivos de países'!$F$5:$F$510,AC$3,'Datos - Objetivos de países'!$J$5:$J$510,$A45)+_xlfn.COUNTIFS('Datos - Objetivos de países'!$B$5:$B$510,"Uruguay",'Datos - Objetivos de países'!$F$5:$F$510,AC$3,'Datos - Objetivos de países'!$K$5:$K$510,$A45)</f>
        <v>1</v>
      </c>
      <c r="AD45" s="36" cm="1">
        <f t="array" ref="AD45">_xlfn.COUNTIFS('Datos - Objetivos de países'!$B$5:$B$510,"Uruguay",'Datos - Objetivos de países'!$F$5:$F$510,AD$3,'Datos - Objetivos de países'!$J$5:$J$510,$A45)+_xlfn.COUNTIFS('Datos - Objetivos de países'!$B$5:$B$510,"Uruguay",'Datos - Objetivos de países'!$F$5:$F$510,AD$3,'Datos - Objetivos de países'!$K$5:$K$510,$A45)</f>
        <v>0</v>
      </c>
      <c r="AE45" s="36" cm="1">
        <f t="array" ref="AE45">_xlfn.COUNTIFS('Datos - Objetivos de países'!$B$5:$B$510,"Uruguay",'Datos - Objetivos de países'!$F$5:$F$510,AE$3,'Datos - Objetivos de países'!$J$5:$J$510,$A45)+_xlfn.COUNTIFS('Datos - Objetivos de países'!$B$5:$B$510,"Uruguay",'Datos - Objetivos de países'!$F$5:$F$510,AE$3,'Datos - Objetivos de países'!$K$5:$K$510,$A45)</f>
        <v>0</v>
      </c>
      <c r="AF45" s="36" cm="1">
        <f t="array" ref="AF45">_xlfn.COUNTIFS('Datos - Objetivos de países'!$B$5:$B$510,"Colombia",'Datos - Objetivos de países'!$F$5:$F$510,AF$3,'Datos - Objetivos de países'!$J$5:$J$510,$A45)+_xlfn.COUNTIFS('Datos - Objetivos de países'!$B$5:$B$510,"Colombia",'Datos - Objetivos de países'!$F$5:$F$510,AF$3,'Datos - Objetivos de países'!$K$5:$K$510,$A45)</f>
        <v>0</v>
      </c>
      <c r="AG45" s="36" cm="1">
        <f t="array" ref="AG45">_xlfn.COUNTIFS('Datos - Objetivos de países'!$B$5:$B$510,"Colombia",'Datos - Objetivos de países'!$F$5:$F$510,AG$3,'Datos - Objetivos de países'!$J$5:$J$510,$A45)+_xlfn.COUNTIFS('Datos - Objetivos de países'!$B$5:$B$510,"Colombia",'Datos - Objetivos de países'!$F$5:$F$510,AG$3,'Datos - Objetivos de países'!$K$5:$K$510,$A45)</f>
        <v>0</v>
      </c>
      <c r="AH45" s="36" cm="1">
        <f t="array" ref="AH45">_xlfn.COUNTIFS('Datos - Objetivos de países'!$B$5:$B$510,"Colombia",'Datos - Objetivos de países'!$F$5:$F$510,AH$3,'Datos - Objetivos de países'!$J$5:$J$510,$A45)+_xlfn.COUNTIFS('Datos - Objetivos de países'!$B$5:$B$510,"Colombia",'Datos - Objetivos de países'!$F$5:$F$510,AH$3,'Datos - Objetivos de países'!$K$5:$K$510,$A45)</f>
        <v>0</v>
      </c>
      <c r="AI45" s="36" cm="1">
        <f t="array" ref="AI45">_xlfn.COUNTIFS('Datos - Objetivos de países'!$B$5:$B$510,"Colombia",'Datos - Objetivos de países'!$F$5:$F$510,AI$3,'Datos - Objetivos de países'!$J$5:$J$510,$A45)+_xlfn.COUNTIFS('Datos - Objetivos de países'!$B$5:$B$510,"Colombia",'Datos - Objetivos de países'!$F$5:$F$510,AI$3,'Datos - Objetivos de países'!$K$5:$K$510,$A45)</f>
        <v>0</v>
      </c>
      <c r="AJ45" s="36" cm="1">
        <f t="array" ref="AJ45">_xlfn.COUNTIFS('Datos - Objetivos de países'!$B$5:$B$510,"Colombia",'Datos - Objetivos de países'!$F$5:$F$510,AJ$3,'Datos - Objetivos de países'!$J$5:$J$510,$A45)+_xlfn.COUNTIFS('Datos - Objetivos de países'!$B$5:$B$510,"Colombia",'Datos - Objetivos de países'!$F$5:$F$510,AJ$3,'Datos - Objetivos de países'!$K$5:$K$510,$A45)</f>
        <v>0</v>
      </c>
      <c r="AK45" s="36" cm="1">
        <f t="array" ref="AK45">_xlfn.COUNTIFS('Datos - Objetivos de países'!$B$5:$B$510,"Colombia",'Datos - Objetivos de países'!$F$5:$F$510,AK$3,'Datos - Objetivos de países'!$J$5:$J$510,$A45)+_xlfn.COUNTIFS('Datos - Objetivos de países'!$B$5:$B$510,"Colombia",'Datos - Objetivos de países'!$F$5:$F$510,AK$3,'Datos - Objetivos de países'!$K$5:$K$510,$A45)</f>
        <v>1</v>
      </c>
      <c r="AL45" s="36" cm="1">
        <f t="array" ref="AL45">_xlfn.COUNTIFS('Datos - Objetivos de países'!$B$5:$B$510,"Colombia",'Datos - Objetivos de países'!$F$5:$F$510,AL$3,'Datos - Objetivos de países'!$J$5:$J$510,$A45)+_xlfn.COUNTIFS('Datos - Objetivos de países'!$B$5:$B$510,"Colombia",'Datos - Objetivos de países'!$F$5:$F$510,AL$3,'Datos - Objetivos de países'!$K$5:$K$510,$A45)</f>
        <v>1</v>
      </c>
      <c r="AM45" s="36" cm="1">
        <f t="array" ref="AM45">_xlfn.COUNTIFS('Datos - Objetivos de países'!$B$5:$B$510,"Colombia",'Datos - Objetivos de países'!$F$5:$F$510,AM$3,'Datos - Objetivos de países'!$J$5:$J$510,$A45)+_xlfn.COUNTIFS('Datos - Objetivos de países'!$B$5:$B$510,"Colombia",'Datos - Objetivos de países'!$F$5:$F$510,AM$3,'Datos - Objetivos de países'!$K$5:$K$510,$A45)</f>
        <v>0</v>
      </c>
      <c r="AN45" s="36" cm="1">
        <f t="array" ref="AN45">_xlfn.COUNTIFS('Datos - Objetivos de países'!$B$5:$B$510,"Colombia",'Datos - Objetivos de países'!$F$5:$F$510,AN$3,'Datos - Objetivos de países'!$J$5:$J$510,$A45)+_xlfn.COUNTIFS('Datos - Objetivos de países'!$B$5:$B$510,"Colombia",'Datos - Objetivos de países'!$F$5:$F$510,AN$3,'Datos - Objetivos de países'!$K$5:$K$510,$A45)</f>
        <v>0</v>
      </c>
      <c r="AO45" s="36" cm="1">
        <f t="array" ref="AO45">_xlfn.COUNTIFS('Datos - Objetivos de países'!$B$5:$B$510,"Singapur",'Datos - Objetivos de países'!$F$5:$F$510,AO$3,'Datos - Objetivos de países'!$J$5:$J$510,$A45)+_xlfn.COUNTIFS('Datos - Objetivos de países'!$B$5:$B$510,"Singapur",'Datos - Objetivos de países'!$F$5:$F$510,AO$3,'Datos - Objetivos de países'!$K$5:$K$510,$A45)</f>
        <v>0</v>
      </c>
      <c r="AP45" s="36" cm="1">
        <f t="array" ref="AP45">_xlfn.COUNTIFS('Datos - Objetivos de países'!$B$5:$B$510,"Singapur",'Datos - Objetivos de países'!$F$5:$F$510,AP$3,'Datos - Objetivos de países'!$J$5:$J$510,$A45)+_xlfn.COUNTIFS('Datos - Objetivos de países'!$B$5:$B$510,"Singapur",'Datos - Objetivos de países'!$F$5:$F$510,AP$3,'Datos - Objetivos de países'!$K$5:$K$510,$A45)</f>
        <v>0</v>
      </c>
      <c r="AQ45" s="36" cm="1">
        <f t="array" ref="AQ45">_xlfn.COUNTIFS('Datos - Objetivos de países'!$B$5:$B$510,"Singapur",'Datos - Objetivos de países'!$F$5:$F$510,AQ$3,'Datos - Objetivos de países'!$J$5:$J$510,$A45)+_xlfn.COUNTIFS('Datos - Objetivos de países'!$B$5:$B$510,"Singapur",'Datos - Objetivos de países'!$F$5:$F$510,AQ$3,'Datos - Objetivos de países'!$K$5:$K$510,$A45)</f>
        <v>0</v>
      </c>
      <c r="AR45" s="36" cm="1">
        <f t="array" ref="AR45">_xlfn.COUNTIFS('Datos - Objetivos de países'!$B$5:$B$510,"Singapur",'Datos - Objetivos de países'!$F$5:$F$510,AR$3,'Datos - Objetivos de países'!$J$5:$J$510,$A45)+_xlfn.COUNTIFS('Datos - Objetivos de países'!$B$5:$B$510,"Singapur",'Datos - Objetivos de países'!$F$5:$F$510,AR$3,'Datos - Objetivos de países'!$K$5:$K$510,$A45)</f>
        <v>0</v>
      </c>
      <c r="AS45" s="36" cm="1">
        <f t="array" ref="AS45">_xlfn.COUNTIFS('Datos - Objetivos de países'!$B$5:$B$510,"Singapur",'Datos - Objetivos de países'!$F$5:$F$510,AS$3,'Datos - Objetivos de países'!$J$5:$J$510,$A45)+_xlfn.COUNTIFS('Datos - Objetivos de países'!$B$5:$B$510,"Singapur",'Datos - Objetivos de países'!$F$5:$F$510,AS$3,'Datos - Objetivos de países'!$K$5:$K$510,$A45)</f>
        <v>0</v>
      </c>
      <c r="AT45" s="36" cm="1">
        <f t="array" ref="AT45">_xlfn.COUNTIFS('Datos - Objetivos de países'!$B$5:$B$510,"Singapur",'Datos - Objetivos de países'!$F$5:$F$510,AT$3,'Datos - Objetivos de países'!$J$5:$J$510,$A45)+_xlfn.COUNTIFS('Datos - Objetivos de países'!$B$5:$B$510,"Singapur",'Datos - Objetivos de países'!$F$5:$F$510,AT$3,'Datos - Objetivos de países'!$K$5:$K$510,$A45)</f>
        <v>2</v>
      </c>
      <c r="AU45" s="36" cm="1">
        <f t="array" ref="AU45">_xlfn.COUNTIFS('Datos - Objetivos de países'!$B$5:$B$510,"Singapur",'Datos - Objetivos de países'!$F$5:$F$510,AU$3,'Datos - Objetivos de países'!$J$5:$J$510,$A45)+_xlfn.COUNTIFS('Datos - Objetivos de países'!$B$5:$B$510,"Singapur",'Datos - Objetivos de países'!$F$5:$F$510,AU$3,'Datos - Objetivos de países'!$K$5:$K$510,$A45)</f>
        <v>0</v>
      </c>
      <c r="AV45" s="36" cm="1">
        <f t="array" ref="AV45">_xlfn.COUNTIFS('Datos - Objetivos de países'!$B$5:$B$510,"Singapur",'Datos - Objetivos de países'!$F$5:$F$510,AV$3,'Datos - Objetivos de países'!$J$5:$J$510,$A45)+_xlfn.COUNTIFS('Datos - Objetivos de países'!$B$5:$B$510,"Singapur",'Datos - Objetivos de países'!$F$5:$F$510,AV$3,'Datos - Objetivos de países'!$K$5:$K$510,$A45)</f>
        <v>0</v>
      </c>
      <c r="AW45" s="36" cm="1">
        <f t="array" ref="AW45">_xlfn.COUNTIFS('Datos - Objetivos de países'!$B$5:$B$510,"Singapur",'Datos - Objetivos de países'!$F$5:$F$510,AW$3,'Datos - Objetivos de países'!$J$5:$J$510,$A45)+_xlfn.COUNTIFS('Datos - Objetivos de países'!$B$5:$B$510,"Singapur",'Datos - Objetivos de países'!$F$5:$F$510,AW$3,'Datos - Objetivos de países'!$K$5:$K$510,$A45)</f>
        <v>0</v>
      </c>
    </row>
    <row r="46" ht="13.65" customHeight="1">
      <c r="A46" t="s" s="78">
        <v>1195</v>
      </c>
      <c r="B46" t="s" s="78">
        <v>1164</v>
      </c>
      <c r="C46" t="s" s="78">
        <v>210</v>
      </c>
      <c r="D46" t="s" s="78">
        <v>1196</v>
      </c>
      <c r="E46" s="80" cm="1">
        <f t="array" ref="E46">_xlfn.IFERROR(MAX($L$3,INDEX($N$3:$V$3,MATCH(TRUE,INDEX(N46:V46&gt;0,0),0))),"—")</f>
        <v>7</v>
      </c>
      <c r="F46" t="str" s="79" cm="1">
        <f t="array" ref="F46">_xlfn.IFERROR(MAX($L$3,INDEX($W$3:$AE$3,MATCH(TRUE,INDEX(W46:AE46&gt;0,0),0))),"—")</f>
        <v>—</v>
      </c>
      <c r="G46" s="80" cm="1">
        <f t="array" ref="G46">_xlfn.IFERROR(MAX($L$3,INDEX($AF$3:$AN$3,MATCH(TRUE,INDEX(AF46:AN46&gt;0,0),0))),"—")</f>
        <v>6</v>
      </c>
      <c r="H46" s="80" cm="1">
        <f t="array" ref="H46">_xlfn.IFERROR(MAX($L$3,INDEX($AO$3:$AW$3,MATCH(TRUE,INDEX(AO46:AW46&gt;0,0),0))),"—")</f>
        <v>5</v>
      </c>
      <c r="I46" s="111" cm="1">
        <f t="array" ref="I46">IF(L46=0,"—",MEDIAN(F46:H46))</f>
        <v>5.5</v>
      </c>
      <c r="J46" s="111" cm="1">
        <f t="array" ref="J46">IF(OR(E46="—",I46="—"),"—",E46-I46)</f>
        <v>1.5</v>
      </c>
      <c r="K46" t="str" s="49" cm="1">
        <f t="array" ref="K46">IF(E46="—",IF(L46=0,"Nadie lo trabaja","El Salvador no llega"),IF(L46=0,"Solo El Salvador",IF(J46&gt;0,"El Salvador llega más tarde",IF(J46&lt;0,"El Salvador va adelantado","Mismo grado"))))</f>
        <v>El Salvador llega más tarde</v>
      </c>
      <c r="L46" s="80" cm="1">
        <f t="array" ref="L46">COUNT(F46:H46)</f>
        <v>2</v>
      </c>
      <c r="M46" s="110"/>
      <c r="N46" s="36" cm="1">
        <f t="array" ref="N46">_xlfn.COUNTIFS('Datos - Temas'!$C$5:$C$1264,"Ciencias",'Datos - Temas'!$B$5:$B$1264,N$3,'Datos - Temas'!$K$5:$K$1264,$A46)+_xlfn.COUNTIFS('Datos - Temas'!$C$5:$C$1264,"Ciencias",'Datos - Temas'!$B$5:$B$1264,N$3,'Datos - Temas'!$L$5:$L$1264,$A46)</f>
        <v>0</v>
      </c>
      <c r="O46" s="36" cm="1">
        <f t="array" ref="O46">_xlfn.COUNTIFS('Datos - Temas'!$C$5:$C$1264,"Ciencias",'Datos - Temas'!$B$5:$B$1264,O$3,'Datos - Temas'!$K$5:$K$1264,$A46)+_xlfn.COUNTIFS('Datos - Temas'!$C$5:$C$1264,"Ciencias",'Datos - Temas'!$B$5:$B$1264,O$3,'Datos - Temas'!$L$5:$L$1264,$A46)</f>
        <v>0</v>
      </c>
      <c r="P46" s="36" cm="1">
        <f t="array" ref="P46">_xlfn.COUNTIFS('Datos - Temas'!$C$5:$C$1264,"Ciencias",'Datos - Temas'!$B$5:$B$1264,P$3,'Datos - Temas'!$K$5:$K$1264,$A46)+_xlfn.COUNTIFS('Datos - Temas'!$C$5:$C$1264,"Ciencias",'Datos - Temas'!$B$5:$B$1264,P$3,'Datos - Temas'!$L$5:$L$1264,$A46)</f>
        <v>0</v>
      </c>
      <c r="Q46" s="36" cm="1">
        <f t="array" ref="Q46">_xlfn.COUNTIFS('Datos - Temas'!$C$5:$C$1264,"Ciencias",'Datos - Temas'!$B$5:$B$1264,Q$3,'Datos - Temas'!$K$5:$K$1264,$A46)+_xlfn.COUNTIFS('Datos - Temas'!$C$5:$C$1264,"Ciencias",'Datos - Temas'!$B$5:$B$1264,Q$3,'Datos - Temas'!$L$5:$L$1264,$A46)</f>
        <v>0</v>
      </c>
      <c r="R46" s="36" cm="1">
        <f t="array" ref="R46">_xlfn.COUNTIFS('Datos - Temas'!$C$5:$C$1264,"Ciencias",'Datos - Temas'!$B$5:$B$1264,R$3,'Datos - Temas'!$K$5:$K$1264,$A46)+_xlfn.COUNTIFS('Datos - Temas'!$C$5:$C$1264,"Ciencias",'Datos - Temas'!$B$5:$B$1264,R$3,'Datos - Temas'!$L$5:$L$1264,$A46)</f>
        <v>0</v>
      </c>
      <c r="S46" s="36" cm="1">
        <f t="array" ref="S46">_xlfn.COUNTIFS('Datos - Temas'!$C$5:$C$1264,"Ciencias",'Datos - Temas'!$B$5:$B$1264,S$3,'Datos - Temas'!$K$5:$K$1264,$A46)+_xlfn.COUNTIFS('Datos - Temas'!$C$5:$C$1264,"Ciencias",'Datos - Temas'!$B$5:$B$1264,S$3,'Datos - Temas'!$L$5:$L$1264,$A46)</f>
        <v>0</v>
      </c>
      <c r="T46" s="36" cm="1">
        <f t="array" ref="T46">_xlfn.COUNTIFS('Datos - Temas'!$C$5:$C$1264,"Ciencias",'Datos - Temas'!$B$5:$B$1264,T$3,'Datos - Temas'!$K$5:$K$1264,$A46)+_xlfn.COUNTIFS('Datos - Temas'!$C$5:$C$1264,"Ciencias",'Datos - Temas'!$B$5:$B$1264,T$3,'Datos - Temas'!$L$5:$L$1264,$A46)</f>
        <v>1</v>
      </c>
      <c r="U46" s="36" cm="1">
        <f t="array" ref="U46">_xlfn.COUNTIFS('Datos - Temas'!$C$5:$C$1264,"Ciencias",'Datos - Temas'!$B$5:$B$1264,U$3,'Datos - Temas'!$K$5:$K$1264,$A46)+_xlfn.COUNTIFS('Datos - Temas'!$C$5:$C$1264,"Ciencias",'Datos - Temas'!$B$5:$B$1264,U$3,'Datos - Temas'!$L$5:$L$1264,$A46)</f>
        <v>0</v>
      </c>
      <c r="V46" s="36" cm="1">
        <f t="array" ref="V46">_xlfn.COUNTIFS('Datos - Temas'!$C$5:$C$1264,"Ciencias",'Datos - Temas'!$B$5:$B$1264,V$3,'Datos - Temas'!$K$5:$K$1264,$A46)+_xlfn.COUNTIFS('Datos - Temas'!$C$5:$C$1264,"Ciencias",'Datos - Temas'!$B$5:$B$1264,V$3,'Datos - Temas'!$L$5:$L$1264,$A46)</f>
        <v>0</v>
      </c>
      <c r="W46" s="36" cm="1">
        <f t="array" ref="W46">_xlfn.COUNTIFS('Datos - Objetivos de países'!$B$5:$B$510,"Uruguay",'Datos - Objetivos de países'!$F$5:$F$510,W$3,'Datos - Objetivos de países'!$J$5:$J$510,$A46)+_xlfn.COUNTIFS('Datos - Objetivos de países'!$B$5:$B$510,"Uruguay",'Datos - Objetivos de países'!$F$5:$F$510,W$3,'Datos - Objetivos de países'!$K$5:$K$510,$A46)</f>
        <v>0</v>
      </c>
      <c r="X46" s="36" cm="1">
        <f t="array" ref="X46">_xlfn.COUNTIFS('Datos - Objetivos de países'!$B$5:$B$510,"Uruguay",'Datos - Objetivos de países'!$F$5:$F$510,X$3,'Datos - Objetivos de países'!$J$5:$J$510,$A46)+_xlfn.COUNTIFS('Datos - Objetivos de países'!$B$5:$B$510,"Uruguay",'Datos - Objetivos de países'!$F$5:$F$510,X$3,'Datos - Objetivos de países'!$K$5:$K$510,$A46)</f>
        <v>0</v>
      </c>
      <c r="Y46" s="36" cm="1">
        <f t="array" ref="Y46">_xlfn.COUNTIFS('Datos - Objetivos de países'!$B$5:$B$510,"Uruguay",'Datos - Objetivos de países'!$F$5:$F$510,Y$3,'Datos - Objetivos de países'!$J$5:$J$510,$A46)+_xlfn.COUNTIFS('Datos - Objetivos de países'!$B$5:$B$510,"Uruguay",'Datos - Objetivos de países'!$F$5:$F$510,Y$3,'Datos - Objetivos de países'!$K$5:$K$510,$A46)</f>
        <v>0</v>
      </c>
      <c r="Z46" s="36" cm="1">
        <f t="array" ref="Z46">_xlfn.COUNTIFS('Datos - Objetivos de países'!$B$5:$B$510,"Uruguay",'Datos - Objetivos de países'!$F$5:$F$510,Z$3,'Datos - Objetivos de países'!$J$5:$J$510,$A46)+_xlfn.COUNTIFS('Datos - Objetivos de países'!$B$5:$B$510,"Uruguay",'Datos - Objetivos de países'!$F$5:$F$510,Z$3,'Datos - Objetivos de países'!$K$5:$K$510,$A46)</f>
        <v>0</v>
      </c>
      <c r="AA46" s="36" cm="1">
        <f t="array" ref="AA46">_xlfn.COUNTIFS('Datos - Objetivos de países'!$B$5:$B$510,"Uruguay",'Datos - Objetivos de países'!$F$5:$F$510,AA$3,'Datos - Objetivos de países'!$J$5:$J$510,$A46)+_xlfn.COUNTIFS('Datos - Objetivos de países'!$B$5:$B$510,"Uruguay",'Datos - Objetivos de países'!$F$5:$F$510,AA$3,'Datos - Objetivos de países'!$K$5:$K$510,$A46)</f>
        <v>0</v>
      </c>
      <c r="AB46" s="36" cm="1">
        <f t="array" ref="AB46">_xlfn.COUNTIFS('Datos - Objetivos de países'!$B$5:$B$510,"Uruguay",'Datos - Objetivos de países'!$F$5:$F$510,AB$3,'Datos - Objetivos de países'!$J$5:$J$510,$A46)+_xlfn.COUNTIFS('Datos - Objetivos de países'!$B$5:$B$510,"Uruguay",'Datos - Objetivos de países'!$F$5:$F$510,AB$3,'Datos - Objetivos de países'!$K$5:$K$510,$A46)</f>
        <v>0</v>
      </c>
      <c r="AC46" s="36" cm="1">
        <f t="array" ref="AC46">_xlfn.COUNTIFS('Datos - Objetivos de países'!$B$5:$B$510,"Uruguay",'Datos - Objetivos de países'!$F$5:$F$510,AC$3,'Datos - Objetivos de países'!$J$5:$J$510,$A46)+_xlfn.COUNTIFS('Datos - Objetivos de países'!$B$5:$B$510,"Uruguay",'Datos - Objetivos de países'!$F$5:$F$510,AC$3,'Datos - Objetivos de países'!$K$5:$K$510,$A46)</f>
        <v>0</v>
      </c>
      <c r="AD46" s="36" cm="1">
        <f t="array" ref="AD46">_xlfn.COUNTIFS('Datos - Objetivos de países'!$B$5:$B$510,"Uruguay",'Datos - Objetivos de países'!$F$5:$F$510,AD$3,'Datos - Objetivos de países'!$J$5:$J$510,$A46)+_xlfn.COUNTIFS('Datos - Objetivos de países'!$B$5:$B$510,"Uruguay",'Datos - Objetivos de países'!$F$5:$F$510,AD$3,'Datos - Objetivos de países'!$K$5:$K$510,$A46)</f>
        <v>0</v>
      </c>
      <c r="AE46" s="36" cm="1">
        <f t="array" ref="AE46">_xlfn.COUNTIFS('Datos - Objetivos de países'!$B$5:$B$510,"Uruguay",'Datos - Objetivos de países'!$F$5:$F$510,AE$3,'Datos - Objetivos de países'!$J$5:$J$510,$A46)+_xlfn.COUNTIFS('Datos - Objetivos de países'!$B$5:$B$510,"Uruguay",'Datos - Objetivos de países'!$F$5:$F$510,AE$3,'Datos - Objetivos de países'!$K$5:$K$510,$A46)</f>
        <v>0</v>
      </c>
      <c r="AF46" s="36" cm="1">
        <f t="array" ref="AF46">_xlfn.COUNTIFS('Datos - Objetivos de países'!$B$5:$B$510,"Colombia",'Datos - Objetivos de países'!$F$5:$F$510,AF$3,'Datos - Objetivos de países'!$J$5:$J$510,$A46)+_xlfn.COUNTIFS('Datos - Objetivos de países'!$B$5:$B$510,"Colombia",'Datos - Objetivos de países'!$F$5:$F$510,AF$3,'Datos - Objetivos de países'!$K$5:$K$510,$A46)</f>
        <v>0</v>
      </c>
      <c r="AG46" s="36" cm="1">
        <f t="array" ref="AG46">_xlfn.COUNTIFS('Datos - Objetivos de países'!$B$5:$B$510,"Colombia",'Datos - Objetivos de países'!$F$5:$F$510,AG$3,'Datos - Objetivos de países'!$J$5:$J$510,$A46)+_xlfn.COUNTIFS('Datos - Objetivos de países'!$B$5:$B$510,"Colombia",'Datos - Objetivos de países'!$F$5:$F$510,AG$3,'Datos - Objetivos de países'!$K$5:$K$510,$A46)</f>
        <v>0</v>
      </c>
      <c r="AH46" s="36" cm="1">
        <f t="array" ref="AH46">_xlfn.COUNTIFS('Datos - Objetivos de países'!$B$5:$B$510,"Colombia",'Datos - Objetivos de países'!$F$5:$F$510,AH$3,'Datos - Objetivos de países'!$J$5:$J$510,$A46)+_xlfn.COUNTIFS('Datos - Objetivos de países'!$B$5:$B$510,"Colombia",'Datos - Objetivos de países'!$F$5:$F$510,AH$3,'Datos - Objetivos de países'!$K$5:$K$510,$A46)</f>
        <v>0</v>
      </c>
      <c r="AI46" s="36" cm="1">
        <f t="array" ref="AI46">_xlfn.COUNTIFS('Datos - Objetivos de países'!$B$5:$B$510,"Colombia",'Datos - Objetivos de países'!$F$5:$F$510,AI$3,'Datos - Objetivos de países'!$J$5:$J$510,$A46)+_xlfn.COUNTIFS('Datos - Objetivos de países'!$B$5:$B$510,"Colombia",'Datos - Objetivos de países'!$F$5:$F$510,AI$3,'Datos - Objetivos de países'!$K$5:$K$510,$A46)</f>
        <v>0</v>
      </c>
      <c r="AJ46" s="36" cm="1">
        <f t="array" ref="AJ46">_xlfn.COUNTIFS('Datos - Objetivos de países'!$B$5:$B$510,"Colombia",'Datos - Objetivos de países'!$F$5:$F$510,AJ$3,'Datos - Objetivos de países'!$J$5:$J$510,$A46)+_xlfn.COUNTIFS('Datos - Objetivos de países'!$B$5:$B$510,"Colombia",'Datos - Objetivos de países'!$F$5:$F$510,AJ$3,'Datos - Objetivos de países'!$K$5:$K$510,$A46)</f>
        <v>0</v>
      </c>
      <c r="AK46" s="36" cm="1">
        <f t="array" ref="AK46">_xlfn.COUNTIFS('Datos - Objetivos de países'!$B$5:$B$510,"Colombia",'Datos - Objetivos de países'!$F$5:$F$510,AK$3,'Datos - Objetivos de países'!$J$5:$J$510,$A46)+_xlfn.COUNTIFS('Datos - Objetivos de países'!$B$5:$B$510,"Colombia",'Datos - Objetivos de países'!$F$5:$F$510,AK$3,'Datos - Objetivos de países'!$K$5:$K$510,$A46)</f>
        <v>3</v>
      </c>
      <c r="AL46" s="36" cm="1">
        <f t="array" ref="AL46">_xlfn.COUNTIFS('Datos - Objetivos de países'!$B$5:$B$510,"Colombia",'Datos - Objetivos de países'!$F$5:$F$510,AL$3,'Datos - Objetivos de países'!$J$5:$J$510,$A46)+_xlfn.COUNTIFS('Datos - Objetivos de países'!$B$5:$B$510,"Colombia",'Datos - Objetivos de países'!$F$5:$F$510,AL$3,'Datos - Objetivos de países'!$K$5:$K$510,$A46)</f>
        <v>1</v>
      </c>
      <c r="AM46" s="36" cm="1">
        <f t="array" ref="AM46">_xlfn.COUNTIFS('Datos - Objetivos de países'!$B$5:$B$510,"Colombia",'Datos - Objetivos de países'!$F$5:$F$510,AM$3,'Datos - Objetivos de países'!$J$5:$J$510,$A46)+_xlfn.COUNTIFS('Datos - Objetivos de países'!$B$5:$B$510,"Colombia",'Datos - Objetivos de países'!$F$5:$F$510,AM$3,'Datos - Objetivos de países'!$K$5:$K$510,$A46)</f>
        <v>0</v>
      </c>
      <c r="AN46" s="36" cm="1">
        <f t="array" ref="AN46">_xlfn.COUNTIFS('Datos - Objetivos de países'!$B$5:$B$510,"Colombia",'Datos - Objetivos de países'!$F$5:$F$510,AN$3,'Datos - Objetivos de países'!$J$5:$J$510,$A46)+_xlfn.COUNTIFS('Datos - Objetivos de países'!$B$5:$B$510,"Colombia",'Datos - Objetivos de países'!$F$5:$F$510,AN$3,'Datos - Objetivos de países'!$K$5:$K$510,$A46)</f>
        <v>0</v>
      </c>
      <c r="AO46" s="36" cm="1">
        <f t="array" ref="AO46">_xlfn.COUNTIFS('Datos - Objetivos de países'!$B$5:$B$510,"Singapur",'Datos - Objetivos de países'!$F$5:$F$510,AO$3,'Datos - Objetivos de países'!$J$5:$J$510,$A46)+_xlfn.COUNTIFS('Datos - Objetivos de países'!$B$5:$B$510,"Singapur",'Datos - Objetivos de países'!$F$5:$F$510,AO$3,'Datos - Objetivos de países'!$K$5:$K$510,$A46)</f>
        <v>0</v>
      </c>
      <c r="AP46" s="36" cm="1">
        <f t="array" ref="AP46">_xlfn.COUNTIFS('Datos - Objetivos de países'!$B$5:$B$510,"Singapur",'Datos - Objetivos de países'!$F$5:$F$510,AP$3,'Datos - Objetivos de países'!$J$5:$J$510,$A46)+_xlfn.COUNTIFS('Datos - Objetivos de países'!$B$5:$B$510,"Singapur",'Datos - Objetivos de países'!$F$5:$F$510,AP$3,'Datos - Objetivos de países'!$K$5:$K$510,$A46)</f>
        <v>0</v>
      </c>
      <c r="AQ46" s="36" cm="1">
        <f t="array" ref="AQ46">_xlfn.COUNTIFS('Datos - Objetivos de países'!$B$5:$B$510,"Singapur",'Datos - Objetivos de países'!$F$5:$F$510,AQ$3,'Datos - Objetivos de países'!$J$5:$J$510,$A46)+_xlfn.COUNTIFS('Datos - Objetivos de países'!$B$5:$B$510,"Singapur",'Datos - Objetivos de países'!$F$5:$F$510,AQ$3,'Datos - Objetivos de países'!$K$5:$K$510,$A46)</f>
        <v>0</v>
      </c>
      <c r="AR46" s="36" cm="1">
        <f t="array" ref="AR46">_xlfn.COUNTIFS('Datos - Objetivos de países'!$B$5:$B$510,"Singapur",'Datos - Objetivos de países'!$F$5:$F$510,AR$3,'Datos - Objetivos de países'!$J$5:$J$510,$A46)+_xlfn.COUNTIFS('Datos - Objetivos de países'!$B$5:$B$510,"Singapur",'Datos - Objetivos de países'!$F$5:$F$510,AR$3,'Datos - Objetivos de países'!$K$5:$K$510,$A46)</f>
        <v>0</v>
      </c>
      <c r="AS46" s="36" cm="1">
        <f t="array" ref="AS46">_xlfn.COUNTIFS('Datos - Objetivos de países'!$B$5:$B$510,"Singapur",'Datos - Objetivos de países'!$F$5:$F$510,AS$3,'Datos - Objetivos de países'!$J$5:$J$510,$A46)+_xlfn.COUNTIFS('Datos - Objetivos de países'!$B$5:$B$510,"Singapur",'Datos - Objetivos de países'!$F$5:$F$510,AS$3,'Datos - Objetivos de países'!$K$5:$K$510,$A46)</f>
        <v>1</v>
      </c>
      <c r="AT46" s="36" cm="1">
        <f t="array" ref="AT46">_xlfn.COUNTIFS('Datos - Objetivos de países'!$B$5:$B$510,"Singapur",'Datos - Objetivos de países'!$F$5:$F$510,AT$3,'Datos - Objetivos de países'!$J$5:$J$510,$A46)+_xlfn.COUNTIFS('Datos - Objetivos de países'!$B$5:$B$510,"Singapur",'Datos - Objetivos de países'!$F$5:$F$510,AT$3,'Datos - Objetivos de países'!$K$5:$K$510,$A46)</f>
        <v>0</v>
      </c>
      <c r="AU46" s="36" cm="1">
        <f t="array" ref="AU46">_xlfn.COUNTIFS('Datos - Objetivos de países'!$B$5:$B$510,"Singapur",'Datos - Objetivos de países'!$F$5:$F$510,AU$3,'Datos - Objetivos de países'!$J$5:$J$510,$A46)+_xlfn.COUNTIFS('Datos - Objetivos de países'!$B$5:$B$510,"Singapur",'Datos - Objetivos de países'!$F$5:$F$510,AU$3,'Datos - Objetivos de países'!$K$5:$K$510,$A46)</f>
        <v>0</v>
      </c>
      <c r="AV46" s="36" cm="1">
        <f t="array" ref="AV46">_xlfn.COUNTIFS('Datos - Objetivos de países'!$B$5:$B$510,"Singapur",'Datos - Objetivos de países'!$F$5:$F$510,AV$3,'Datos - Objetivos de países'!$J$5:$J$510,$A46)+_xlfn.COUNTIFS('Datos - Objetivos de países'!$B$5:$B$510,"Singapur",'Datos - Objetivos de países'!$F$5:$F$510,AV$3,'Datos - Objetivos de países'!$K$5:$K$510,$A46)</f>
        <v>0</v>
      </c>
      <c r="AW46" s="36" cm="1">
        <f t="array" ref="AW46">_xlfn.COUNTIFS('Datos - Objetivos de países'!$B$5:$B$510,"Singapur",'Datos - Objetivos de países'!$F$5:$F$510,AW$3,'Datos - Objetivos de países'!$J$5:$J$510,$A46)+_xlfn.COUNTIFS('Datos - Objetivos de países'!$B$5:$B$510,"Singapur",'Datos - Objetivos de países'!$F$5:$F$510,AW$3,'Datos - Objetivos de países'!$K$5:$K$510,$A46)</f>
        <v>0</v>
      </c>
    </row>
    <row r="47" ht="13.65" customHeight="1">
      <c r="A47" t="s" s="78">
        <v>634</v>
      </c>
      <c r="B47" t="s" s="78">
        <v>1164</v>
      </c>
      <c r="C47" t="s" s="78">
        <v>210</v>
      </c>
      <c r="D47" t="s" s="78">
        <v>1087</v>
      </c>
      <c r="E47" s="80" cm="1">
        <f t="array" ref="E47">_xlfn.IFERROR(MAX($L$3,INDEX($N$3:$V$3,MATCH(TRUE,INDEX(N47:V47&gt;0,0),0))),"—")</f>
        <v>7</v>
      </c>
      <c r="F47" s="80" cm="1">
        <f t="array" ref="F47">_xlfn.IFERROR(MAX($L$3,INDEX($W$3:$AE$3,MATCH(TRUE,INDEX(W47:AE47&gt;0,0),0))),"—")</f>
        <v>6</v>
      </c>
      <c r="G47" s="80" cm="1">
        <f t="array" ref="G47">_xlfn.IFERROR(MAX($L$3,INDEX($AF$3:$AN$3,MATCH(TRUE,INDEX(AF47:AN47&gt;0,0),0))),"—")</f>
        <v>8</v>
      </c>
      <c r="H47" s="80" cm="1">
        <f t="array" ref="H47">_xlfn.IFERROR(MAX($L$3,INDEX($AO$3:$AW$3,MATCH(TRUE,INDEX(AO47:AW47&gt;0,0),0))),"—")</f>
        <v>6</v>
      </c>
      <c r="I47" s="111" cm="1">
        <f t="array" ref="I47">IF(L47=0,"—",MEDIAN(F47:H47))</f>
        <v>6</v>
      </c>
      <c r="J47" s="111" cm="1">
        <f t="array" ref="J47">IF(OR(E47="—",I47="—"),"—",E47-I47)</f>
        <v>1</v>
      </c>
      <c r="K47" t="str" s="49" cm="1">
        <f t="array" ref="K47">IF(E47="—",IF(L47=0,"Nadie lo trabaja","El Salvador no llega"),IF(L47=0,"Solo El Salvador",IF(J47&gt;0,"El Salvador llega más tarde",IF(J47&lt;0,"El Salvador va adelantado","Mismo grado"))))</f>
        <v>El Salvador llega más tarde</v>
      </c>
      <c r="L47" s="80" cm="1">
        <f t="array" ref="L47">COUNT(F47:H47)</f>
        <v>3</v>
      </c>
      <c r="M47" s="110"/>
      <c r="N47" s="36" cm="1">
        <f t="array" ref="N47">_xlfn.COUNTIFS('Datos - Temas'!$C$5:$C$1264,"Ciencias",'Datos - Temas'!$B$5:$B$1264,N$3,'Datos - Temas'!$K$5:$K$1264,$A47)+_xlfn.COUNTIFS('Datos - Temas'!$C$5:$C$1264,"Ciencias",'Datos - Temas'!$B$5:$B$1264,N$3,'Datos - Temas'!$L$5:$L$1264,$A47)</f>
        <v>0</v>
      </c>
      <c r="O47" s="36" cm="1">
        <f t="array" ref="O47">_xlfn.COUNTIFS('Datos - Temas'!$C$5:$C$1264,"Ciencias",'Datos - Temas'!$B$5:$B$1264,O$3,'Datos - Temas'!$K$5:$K$1264,$A47)+_xlfn.COUNTIFS('Datos - Temas'!$C$5:$C$1264,"Ciencias",'Datos - Temas'!$B$5:$B$1264,O$3,'Datos - Temas'!$L$5:$L$1264,$A47)</f>
        <v>0</v>
      </c>
      <c r="P47" s="36" cm="1">
        <f t="array" ref="P47">_xlfn.COUNTIFS('Datos - Temas'!$C$5:$C$1264,"Ciencias",'Datos - Temas'!$B$5:$B$1264,P$3,'Datos - Temas'!$K$5:$K$1264,$A47)+_xlfn.COUNTIFS('Datos - Temas'!$C$5:$C$1264,"Ciencias",'Datos - Temas'!$B$5:$B$1264,P$3,'Datos - Temas'!$L$5:$L$1264,$A47)</f>
        <v>0</v>
      </c>
      <c r="Q47" s="36" cm="1">
        <f t="array" ref="Q47">_xlfn.COUNTIFS('Datos - Temas'!$C$5:$C$1264,"Ciencias",'Datos - Temas'!$B$5:$B$1264,Q$3,'Datos - Temas'!$K$5:$K$1264,$A47)+_xlfn.COUNTIFS('Datos - Temas'!$C$5:$C$1264,"Ciencias",'Datos - Temas'!$B$5:$B$1264,Q$3,'Datos - Temas'!$L$5:$L$1264,$A47)</f>
        <v>0</v>
      </c>
      <c r="R47" s="36" cm="1">
        <f t="array" ref="R47">_xlfn.COUNTIFS('Datos - Temas'!$C$5:$C$1264,"Ciencias",'Datos - Temas'!$B$5:$B$1264,R$3,'Datos - Temas'!$K$5:$K$1264,$A47)+_xlfn.COUNTIFS('Datos - Temas'!$C$5:$C$1264,"Ciencias",'Datos - Temas'!$B$5:$B$1264,R$3,'Datos - Temas'!$L$5:$L$1264,$A47)</f>
        <v>0</v>
      </c>
      <c r="S47" s="36" cm="1">
        <f t="array" ref="S47">_xlfn.COUNTIFS('Datos - Temas'!$C$5:$C$1264,"Ciencias",'Datos - Temas'!$B$5:$B$1264,S$3,'Datos - Temas'!$K$5:$K$1264,$A47)+_xlfn.COUNTIFS('Datos - Temas'!$C$5:$C$1264,"Ciencias",'Datos - Temas'!$B$5:$B$1264,S$3,'Datos - Temas'!$L$5:$L$1264,$A47)</f>
        <v>0</v>
      </c>
      <c r="T47" s="36" cm="1">
        <f t="array" ref="T47">_xlfn.COUNTIFS('Datos - Temas'!$C$5:$C$1264,"Ciencias",'Datos - Temas'!$B$5:$B$1264,T$3,'Datos - Temas'!$K$5:$K$1264,$A47)+_xlfn.COUNTIFS('Datos - Temas'!$C$5:$C$1264,"Ciencias",'Datos - Temas'!$B$5:$B$1264,T$3,'Datos - Temas'!$L$5:$L$1264,$A47)</f>
        <v>3</v>
      </c>
      <c r="U47" s="36" cm="1">
        <f t="array" ref="U47">_xlfn.COUNTIFS('Datos - Temas'!$C$5:$C$1264,"Ciencias",'Datos - Temas'!$B$5:$B$1264,U$3,'Datos - Temas'!$K$5:$K$1264,$A47)+_xlfn.COUNTIFS('Datos - Temas'!$C$5:$C$1264,"Ciencias",'Datos - Temas'!$B$5:$B$1264,U$3,'Datos - Temas'!$L$5:$L$1264,$A47)</f>
        <v>0</v>
      </c>
      <c r="V47" s="36" cm="1">
        <f t="array" ref="V47">_xlfn.COUNTIFS('Datos - Temas'!$C$5:$C$1264,"Ciencias",'Datos - Temas'!$B$5:$B$1264,V$3,'Datos - Temas'!$K$5:$K$1264,$A47)+_xlfn.COUNTIFS('Datos - Temas'!$C$5:$C$1264,"Ciencias",'Datos - Temas'!$B$5:$B$1264,V$3,'Datos - Temas'!$L$5:$L$1264,$A47)</f>
        <v>1</v>
      </c>
      <c r="W47" s="36" cm="1">
        <f t="array" ref="W47">_xlfn.COUNTIFS('Datos - Objetivos de países'!$B$5:$B$510,"Uruguay",'Datos - Objetivos de países'!$F$5:$F$510,W$3,'Datos - Objetivos de países'!$J$5:$J$510,$A47)+_xlfn.COUNTIFS('Datos - Objetivos de países'!$B$5:$B$510,"Uruguay",'Datos - Objetivos de países'!$F$5:$F$510,W$3,'Datos - Objetivos de países'!$K$5:$K$510,$A47)</f>
        <v>0</v>
      </c>
      <c r="X47" s="36" cm="1">
        <f t="array" ref="X47">_xlfn.COUNTIFS('Datos - Objetivos de países'!$B$5:$B$510,"Uruguay",'Datos - Objetivos de países'!$F$5:$F$510,X$3,'Datos - Objetivos de países'!$J$5:$J$510,$A47)+_xlfn.COUNTIFS('Datos - Objetivos de países'!$B$5:$B$510,"Uruguay",'Datos - Objetivos de países'!$F$5:$F$510,X$3,'Datos - Objetivos de países'!$K$5:$K$510,$A47)</f>
        <v>0</v>
      </c>
      <c r="Y47" s="36" cm="1">
        <f t="array" ref="Y47">_xlfn.COUNTIFS('Datos - Objetivos de países'!$B$5:$B$510,"Uruguay",'Datos - Objetivos de países'!$F$5:$F$510,Y$3,'Datos - Objetivos de países'!$J$5:$J$510,$A47)+_xlfn.COUNTIFS('Datos - Objetivos de países'!$B$5:$B$510,"Uruguay",'Datos - Objetivos de países'!$F$5:$F$510,Y$3,'Datos - Objetivos de países'!$K$5:$K$510,$A47)</f>
        <v>0</v>
      </c>
      <c r="Z47" s="36" cm="1">
        <f t="array" ref="Z47">_xlfn.COUNTIFS('Datos - Objetivos de países'!$B$5:$B$510,"Uruguay",'Datos - Objetivos de países'!$F$5:$F$510,Z$3,'Datos - Objetivos de países'!$J$5:$J$510,$A47)+_xlfn.COUNTIFS('Datos - Objetivos de países'!$B$5:$B$510,"Uruguay",'Datos - Objetivos de países'!$F$5:$F$510,Z$3,'Datos - Objetivos de países'!$K$5:$K$510,$A47)</f>
        <v>0</v>
      </c>
      <c r="AA47" s="36" cm="1">
        <f t="array" ref="AA47">_xlfn.COUNTIFS('Datos - Objetivos de países'!$B$5:$B$510,"Uruguay",'Datos - Objetivos de países'!$F$5:$F$510,AA$3,'Datos - Objetivos de países'!$J$5:$J$510,$A47)+_xlfn.COUNTIFS('Datos - Objetivos de países'!$B$5:$B$510,"Uruguay",'Datos - Objetivos de países'!$F$5:$F$510,AA$3,'Datos - Objetivos de países'!$K$5:$K$510,$A47)</f>
        <v>0</v>
      </c>
      <c r="AB47" s="36" cm="1">
        <f t="array" ref="AB47">_xlfn.COUNTIFS('Datos - Objetivos de países'!$B$5:$B$510,"Uruguay",'Datos - Objetivos de países'!$F$5:$F$510,AB$3,'Datos - Objetivos de países'!$J$5:$J$510,$A47)+_xlfn.COUNTIFS('Datos - Objetivos de países'!$B$5:$B$510,"Uruguay",'Datos - Objetivos de países'!$F$5:$F$510,AB$3,'Datos - Objetivos de países'!$K$5:$K$510,$A47)</f>
        <v>2</v>
      </c>
      <c r="AC47" s="36" cm="1">
        <f t="array" ref="AC47">_xlfn.COUNTIFS('Datos - Objetivos de países'!$B$5:$B$510,"Uruguay",'Datos - Objetivos de países'!$F$5:$F$510,AC$3,'Datos - Objetivos de países'!$J$5:$J$510,$A47)+_xlfn.COUNTIFS('Datos - Objetivos de países'!$B$5:$B$510,"Uruguay",'Datos - Objetivos de países'!$F$5:$F$510,AC$3,'Datos - Objetivos de países'!$K$5:$K$510,$A47)</f>
        <v>1</v>
      </c>
      <c r="AD47" s="36" cm="1">
        <f t="array" ref="AD47">_xlfn.COUNTIFS('Datos - Objetivos de países'!$B$5:$B$510,"Uruguay",'Datos - Objetivos de países'!$F$5:$F$510,AD$3,'Datos - Objetivos de países'!$J$5:$J$510,$A47)+_xlfn.COUNTIFS('Datos - Objetivos de países'!$B$5:$B$510,"Uruguay",'Datos - Objetivos de países'!$F$5:$F$510,AD$3,'Datos - Objetivos de países'!$K$5:$K$510,$A47)</f>
        <v>0</v>
      </c>
      <c r="AE47" s="36" cm="1">
        <f t="array" ref="AE47">_xlfn.COUNTIFS('Datos - Objetivos de países'!$B$5:$B$510,"Uruguay",'Datos - Objetivos de países'!$F$5:$F$510,AE$3,'Datos - Objetivos de países'!$J$5:$J$510,$A47)+_xlfn.COUNTIFS('Datos - Objetivos de países'!$B$5:$B$510,"Uruguay",'Datos - Objetivos de países'!$F$5:$F$510,AE$3,'Datos - Objetivos de países'!$K$5:$K$510,$A47)</f>
        <v>0</v>
      </c>
      <c r="AF47" s="36" cm="1">
        <f t="array" ref="AF47">_xlfn.COUNTIFS('Datos - Objetivos de países'!$B$5:$B$510,"Colombia",'Datos - Objetivos de países'!$F$5:$F$510,AF$3,'Datos - Objetivos de países'!$J$5:$J$510,$A47)+_xlfn.COUNTIFS('Datos - Objetivos de países'!$B$5:$B$510,"Colombia",'Datos - Objetivos de países'!$F$5:$F$510,AF$3,'Datos - Objetivos de países'!$K$5:$K$510,$A47)</f>
        <v>0</v>
      </c>
      <c r="AG47" s="36" cm="1">
        <f t="array" ref="AG47">_xlfn.COUNTIFS('Datos - Objetivos de países'!$B$5:$B$510,"Colombia",'Datos - Objetivos de países'!$F$5:$F$510,AG$3,'Datos - Objetivos de países'!$J$5:$J$510,$A47)+_xlfn.COUNTIFS('Datos - Objetivos de países'!$B$5:$B$510,"Colombia",'Datos - Objetivos de países'!$F$5:$F$510,AG$3,'Datos - Objetivos de países'!$K$5:$K$510,$A47)</f>
        <v>0</v>
      </c>
      <c r="AH47" s="36" cm="1">
        <f t="array" ref="AH47">_xlfn.COUNTIFS('Datos - Objetivos de países'!$B$5:$B$510,"Colombia",'Datos - Objetivos de países'!$F$5:$F$510,AH$3,'Datos - Objetivos de países'!$J$5:$J$510,$A47)+_xlfn.COUNTIFS('Datos - Objetivos de países'!$B$5:$B$510,"Colombia",'Datos - Objetivos de países'!$F$5:$F$510,AH$3,'Datos - Objetivos de países'!$K$5:$K$510,$A47)</f>
        <v>0</v>
      </c>
      <c r="AI47" s="36" cm="1">
        <f t="array" ref="AI47">_xlfn.COUNTIFS('Datos - Objetivos de países'!$B$5:$B$510,"Colombia",'Datos - Objetivos de países'!$F$5:$F$510,AI$3,'Datos - Objetivos de países'!$J$5:$J$510,$A47)+_xlfn.COUNTIFS('Datos - Objetivos de países'!$B$5:$B$510,"Colombia",'Datos - Objetivos de países'!$F$5:$F$510,AI$3,'Datos - Objetivos de países'!$K$5:$K$510,$A47)</f>
        <v>0</v>
      </c>
      <c r="AJ47" s="36" cm="1">
        <f t="array" ref="AJ47">_xlfn.COUNTIFS('Datos - Objetivos de países'!$B$5:$B$510,"Colombia",'Datos - Objetivos de países'!$F$5:$F$510,AJ$3,'Datos - Objetivos de países'!$J$5:$J$510,$A47)+_xlfn.COUNTIFS('Datos - Objetivos de países'!$B$5:$B$510,"Colombia",'Datos - Objetivos de países'!$F$5:$F$510,AJ$3,'Datos - Objetivos de países'!$K$5:$K$510,$A47)</f>
        <v>0</v>
      </c>
      <c r="AK47" s="36" cm="1">
        <f t="array" ref="AK47">_xlfn.COUNTIFS('Datos - Objetivos de países'!$B$5:$B$510,"Colombia",'Datos - Objetivos de países'!$F$5:$F$510,AK$3,'Datos - Objetivos de países'!$J$5:$J$510,$A47)+_xlfn.COUNTIFS('Datos - Objetivos de países'!$B$5:$B$510,"Colombia",'Datos - Objetivos de países'!$F$5:$F$510,AK$3,'Datos - Objetivos de países'!$K$5:$K$510,$A47)</f>
        <v>0</v>
      </c>
      <c r="AL47" s="36" cm="1">
        <f t="array" ref="AL47">_xlfn.COUNTIFS('Datos - Objetivos de países'!$B$5:$B$510,"Colombia",'Datos - Objetivos de países'!$F$5:$F$510,AL$3,'Datos - Objetivos de países'!$J$5:$J$510,$A47)+_xlfn.COUNTIFS('Datos - Objetivos de países'!$B$5:$B$510,"Colombia",'Datos - Objetivos de países'!$F$5:$F$510,AL$3,'Datos - Objetivos de países'!$K$5:$K$510,$A47)</f>
        <v>0</v>
      </c>
      <c r="AM47" s="36" cm="1">
        <f t="array" ref="AM47">_xlfn.COUNTIFS('Datos - Objetivos de países'!$B$5:$B$510,"Colombia",'Datos - Objetivos de países'!$F$5:$F$510,AM$3,'Datos - Objetivos de países'!$J$5:$J$510,$A47)+_xlfn.COUNTIFS('Datos - Objetivos de países'!$B$5:$B$510,"Colombia",'Datos - Objetivos de países'!$F$5:$F$510,AM$3,'Datos - Objetivos de países'!$K$5:$K$510,$A47)</f>
        <v>1</v>
      </c>
      <c r="AN47" s="36" cm="1">
        <f t="array" ref="AN47">_xlfn.COUNTIFS('Datos - Objetivos de países'!$B$5:$B$510,"Colombia",'Datos - Objetivos de países'!$F$5:$F$510,AN$3,'Datos - Objetivos de países'!$J$5:$J$510,$A47)+_xlfn.COUNTIFS('Datos - Objetivos de países'!$B$5:$B$510,"Colombia",'Datos - Objetivos de países'!$F$5:$F$510,AN$3,'Datos - Objetivos de países'!$K$5:$K$510,$A47)</f>
        <v>0</v>
      </c>
      <c r="AO47" s="36" cm="1">
        <f t="array" ref="AO47">_xlfn.COUNTIFS('Datos - Objetivos de países'!$B$5:$B$510,"Singapur",'Datos - Objetivos de países'!$F$5:$F$510,AO$3,'Datos - Objetivos de países'!$J$5:$J$510,$A47)+_xlfn.COUNTIFS('Datos - Objetivos de países'!$B$5:$B$510,"Singapur",'Datos - Objetivos de países'!$F$5:$F$510,AO$3,'Datos - Objetivos de países'!$K$5:$K$510,$A47)</f>
        <v>0</v>
      </c>
      <c r="AP47" s="36" cm="1">
        <f t="array" ref="AP47">_xlfn.COUNTIFS('Datos - Objetivos de países'!$B$5:$B$510,"Singapur",'Datos - Objetivos de países'!$F$5:$F$510,AP$3,'Datos - Objetivos de países'!$J$5:$J$510,$A47)+_xlfn.COUNTIFS('Datos - Objetivos de países'!$B$5:$B$510,"Singapur",'Datos - Objetivos de países'!$F$5:$F$510,AP$3,'Datos - Objetivos de países'!$K$5:$K$510,$A47)</f>
        <v>0</v>
      </c>
      <c r="AQ47" s="36" cm="1">
        <f t="array" ref="AQ47">_xlfn.COUNTIFS('Datos - Objetivos de países'!$B$5:$B$510,"Singapur",'Datos - Objetivos de países'!$F$5:$F$510,AQ$3,'Datos - Objetivos de países'!$J$5:$J$510,$A47)+_xlfn.COUNTIFS('Datos - Objetivos de países'!$B$5:$B$510,"Singapur",'Datos - Objetivos de países'!$F$5:$F$510,AQ$3,'Datos - Objetivos de países'!$K$5:$K$510,$A47)</f>
        <v>0</v>
      </c>
      <c r="AR47" s="36" cm="1">
        <f t="array" ref="AR47">_xlfn.COUNTIFS('Datos - Objetivos de países'!$B$5:$B$510,"Singapur",'Datos - Objetivos de países'!$F$5:$F$510,AR$3,'Datos - Objetivos de países'!$J$5:$J$510,$A47)+_xlfn.COUNTIFS('Datos - Objetivos de países'!$B$5:$B$510,"Singapur",'Datos - Objetivos de países'!$F$5:$F$510,AR$3,'Datos - Objetivos de países'!$K$5:$K$510,$A47)</f>
        <v>0</v>
      </c>
      <c r="AS47" s="36" cm="1">
        <f t="array" ref="AS47">_xlfn.COUNTIFS('Datos - Objetivos de países'!$B$5:$B$510,"Singapur",'Datos - Objetivos de países'!$F$5:$F$510,AS$3,'Datos - Objetivos de países'!$J$5:$J$510,$A47)+_xlfn.COUNTIFS('Datos - Objetivos de países'!$B$5:$B$510,"Singapur",'Datos - Objetivos de países'!$F$5:$F$510,AS$3,'Datos - Objetivos de países'!$K$5:$K$510,$A47)</f>
        <v>0</v>
      </c>
      <c r="AT47" s="36" cm="1">
        <f t="array" ref="AT47">_xlfn.COUNTIFS('Datos - Objetivos de países'!$B$5:$B$510,"Singapur",'Datos - Objetivos de países'!$F$5:$F$510,AT$3,'Datos - Objetivos de países'!$J$5:$J$510,$A47)+_xlfn.COUNTIFS('Datos - Objetivos de países'!$B$5:$B$510,"Singapur",'Datos - Objetivos de países'!$F$5:$F$510,AT$3,'Datos - Objetivos de países'!$K$5:$K$510,$A47)</f>
        <v>3</v>
      </c>
      <c r="AU47" s="36" cm="1">
        <f t="array" ref="AU47">_xlfn.COUNTIFS('Datos - Objetivos de países'!$B$5:$B$510,"Singapur",'Datos - Objetivos de países'!$F$5:$F$510,AU$3,'Datos - Objetivos de países'!$J$5:$J$510,$A47)+_xlfn.COUNTIFS('Datos - Objetivos de países'!$B$5:$B$510,"Singapur",'Datos - Objetivos de países'!$F$5:$F$510,AU$3,'Datos - Objetivos de países'!$K$5:$K$510,$A47)</f>
        <v>0</v>
      </c>
      <c r="AV47" s="36" cm="1">
        <f t="array" ref="AV47">_xlfn.COUNTIFS('Datos - Objetivos de países'!$B$5:$B$510,"Singapur",'Datos - Objetivos de países'!$F$5:$F$510,AV$3,'Datos - Objetivos de países'!$J$5:$J$510,$A47)+_xlfn.COUNTIFS('Datos - Objetivos de países'!$B$5:$B$510,"Singapur",'Datos - Objetivos de países'!$F$5:$F$510,AV$3,'Datos - Objetivos de países'!$K$5:$K$510,$A47)</f>
        <v>0</v>
      </c>
      <c r="AW47" s="36" cm="1">
        <f t="array" ref="AW47">_xlfn.COUNTIFS('Datos - Objetivos de países'!$B$5:$B$510,"Singapur",'Datos - Objetivos de países'!$F$5:$F$510,AW$3,'Datos - Objetivos de países'!$J$5:$J$510,$A47)+_xlfn.COUNTIFS('Datos - Objetivos de países'!$B$5:$B$510,"Singapur",'Datos - Objetivos de países'!$F$5:$F$510,AW$3,'Datos - Objetivos de países'!$K$5:$K$510,$A47)</f>
        <v>0</v>
      </c>
    </row>
    <row r="48" ht="13.65" customHeight="1">
      <c r="A48" t="s" s="78">
        <v>475</v>
      </c>
      <c r="B48" t="s" s="78">
        <v>1164</v>
      </c>
      <c r="C48" t="s" s="78">
        <v>210</v>
      </c>
      <c r="D48" t="s" s="78">
        <v>1199</v>
      </c>
      <c r="E48" s="80" cm="1">
        <f t="array" ref="E48">_xlfn.IFERROR(MAX($L$3,INDEX($N$3:$V$3,MATCH(TRUE,INDEX(N48:V48&gt;0,0),0))),"—")</f>
        <v>6</v>
      </c>
      <c r="F48" s="80" cm="1">
        <f t="array" ref="F48">_xlfn.IFERROR(MAX($L$3,INDEX($W$3:$AE$3,MATCH(TRUE,INDEX(W48:AE48&gt;0,0),0))),"—")</f>
        <v>6</v>
      </c>
      <c r="G48" s="80" cm="1">
        <f t="array" ref="G48">_xlfn.IFERROR(MAX($L$3,INDEX($AF$3:$AN$3,MATCH(TRUE,INDEX(AF48:AN48&gt;0,0),0))),"—")</f>
        <v>6</v>
      </c>
      <c r="H48" s="80" cm="1">
        <f t="array" ref="H48">_xlfn.IFERROR(MAX($L$3,INDEX($AO$3:$AW$3,MATCH(TRUE,INDEX(AO48:AW48&gt;0,0),0))),"—")</f>
        <v>6</v>
      </c>
      <c r="I48" s="111" cm="1">
        <f t="array" ref="I48">IF(L48=0,"—",MEDIAN(F48:H48))</f>
        <v>6</v>
      </c>
      <c r="J48" s="111" cm="1">
        <f t="array" ref="J48">IF(OR(E48="—",I48="—"),"—",E48-I48)</f>
        <v>0</v>
      </c>
      <c r="K48" t="str" s="49" cm="1">
        <f t="array" ref="K48">IF(E48="—",IF(L48=0,"Nadie lo trabaja","El Salvador no llega"),IF(L48=0,"Solo El Salvador",IF(J48&gt;0,"El Salvador llega más tarde",IF(J48&lt;0,"El Salvador va adelantado","Mismo grado"))))</f>
        <v>Mismo grado</v>
      </c>
      <c r="L48" s="80" cm="1">
        <f t="array" ref="L48">COUNT(F48:H48)</f>
        <v>3</v>
      </c>
      <c r="M48" s="110"/>
      <c r="N48" s="36" cm="1">
        <f t="array" ref="N48">_xlfn.COUNTIFS('Datos - Temas'!$C$5:$C$1264,"Ciencias",'Datos - Temas'!$B$5:$B$1264,N$3,'Datos - Temas'!$K$5:$K$1264,$A48)+_xlfn.COUNTIFS('Datos - Temas'!$C$5:$C$1264,"Ciencias",'Datos - Temas'!$B$5:$B$1264,N$3,'Datos - Temas'!$L$5:$L$1264,$A48)</f>
        <v>0</v>
      </c>
      <c r="O48" s="36" cm="1">
        <f t="array" ref="O48">_xlfn.COUNTIFS('Datos - Temas'!$C$5:$C$1264,"Ciencias",'Datos - Temas'!$B$5:$B$1264,O$3,'Datos - Temas'!$K$5:$K$1264,$A48)+_xlfn.COUNTIFS('Datos - Temas'!$C$5:$C$1264,"Ciencias",'Datos - Temas'!$B$5:$B$1264,O$3,'Datos - Temas'!$L$5:$L$1264,$A48)</f>
        <v>0</v>
      </c>
      <c r="P48" s="36" cm="1">
        <f t="array" ref="P48">_xlfn.COUNTIFS('Datos - Temas'!$C$5:$C$1264,"Ciencias",'Datos - Temas'!$B$5:$B$1264,P$3,'Datos - Temas'!$K$5:$K$1264,$A48)+_xlfn.COUNTIFS('Datos - Temas'!$C$5:$C$1264,"Ciencias",'Datos - Temas'!$B$5:$B$1264,P$3,'Datos - Temas'!$L$5:$L$1264,$A48)</f>
        <v>0</v>
      </c>
      <c r="Q48" s="36" cm="1">
        <f t="array" ref="Q48">_xlfn.COUNTIFS('Datos - Temas'!$C$5:$C$1264,"Ciencias",'Datos - Temas'!$B$5:$B$1264,Q$3,'Datos - Temas'!$K$5:$K$1264,$A48)+_xlfn.COUNTIFS('Datos - Temas'!$C$5:$C$1264,"Ciencias",'Datos - Temas'!$B$5:$B$1264,Q$3,'Datos - Temas'!$L$5:$L$1264,$A48)</f>
        <v>0</v>
      </c>
      <c r="R48" s="36" cm="1">
        <f t="array" ref="R48">_xlfn.COUNTIFS('Datos - Temas'!$C$5:$C$1264,"Ciencias",'Datos - Temas'!$B$5:$B$1264,R$3,'Datos - Temas'!$K$5:$K$1264,$A48)+_xlfn.COUNTIFS('Datos - Temas'!$C$5:$C$1264,"Ciencias",'Datos - Temas'!$B$5:$B$1264,R$3,'Datos - Temas'!$L$5:$L$1264,$A48)</f>
        <v>0</v>
      </c>
      <c r="S48" s="36" cm="1">
        <f t="array" ref="S48">_xlfn.COUNTIFS('Datos - Temas'!$C$5:$C$1264,"Ciencias",'Datos - Temas'!$B$5:$B$1264,S$3,'Datos - Temas'!$K$5:$K$1264,$A48)+_xlfn.COUNTIFS('Datos - Temas'!$C$5:$C$1264,"Ciencias",'Datos - Temas'!$B$5:$B$1264,S$3,'Datos - Temas'!$L$5:$L$1264,$A48)</f>
        <v>1</v>
      </c>
      <c r="T48" s="36" cm="1">
        <f t="array" ref="T48">_xlfn.COUNTIFS('Datos - Temas'!$C$5:$C$1264,"Ciencias",'Datos - Temas'!$B$5:$B$1264,T$3,'Datos - Temas'!$K$5:$K$1264,$A48)+_xlfn.COUNTIFS('Datos - Temas'!$C$5:$C$1264,"Ciencias",'Datos - Temas'!$B$5:$B$1264,T$3,'Datos - Temas'!$L$5:$L$1264,$A48)</f>
        <v>3</v>
      </c>
      <c r="U48" s="36" cm="1">
        <f t="array" ref="U48">_xlfn.COUNTIFS('Datos - Temas'!$C$5:$C$1264,"Ciencias",'Datos - Temas'!$B$5:$B$1264,U$3,'Datos - Temas'!$K$5:$K$1264,$A48)+_xlfn.COUNTIFS('Datos - Temas'!$C$5:$C$1264,"Ciencias",'Datos - Temas'!$B$5:$B$1264,U$3,'Datos - Temas'!$L$5:$L$1264,$A48)</f>
        <v>0</v>
      </c>
      <c r="V48" s="36" cm="1">
        <f t="array" ref="V48">_xlfn.COUNTIFS('Datos - Temas'!$C$5:$C$1264,"Ciencias",'Datos - Temas'!$B$5:$B$1264,V$3,'Datos - Temas'!$K$5:$K$1264,$A48)+_xlfn.COUNTIFS('Datos - Temas'!$C$5:$C$1264,"Ciencias",'Datos - Temas'!$B$5:$B$1264,V$3,'Datos - Temas'!$L$5:$L$1264,$A48)</f>
        <v>0</v>
      </c>
      <c r="W48" s="36" cm="1">
        <f t="array" ref="W48">_xlfn.COUNTIFS('Datos - Objetivos de países'!$B$5:$B$510,"Uruguay",'Datos - Objetivos de países'!$F$5:$F$510,W$3,'Datos - Objetivos de países'!$J$5:$J$510,$A48)+_xlfn.COUNTIFS('Datos - Objetivos de países'!$B$5:$B$510,"Uruguay",'Datos - Objetivos de países'!$F$5:$F$510,W$3,'Datos - Objetivos de países'!$K$5:$K$510,$A48)</f>
        <v>0</v>
      </c>
      <c r="X48" s="36" cm="1">
        <f t="array" ref="X48">_xlfn.COUNTIFS('Datos - Objetivos de países'!$B$5:$B$510,"Uruguay",'Datos - Objetivos de países'!$F$5:$F$510,X$3,'Datos - Objetivos de países'!$J$5:$J$510,$A48)+_xlfn.COUNTIFS('Datos - Objetivos de países'!$B$5:$B$510,"Uruguay",'Datos - Objetivos de países'!$F$5:$F$510,X$3,'Datos - Objetivos de países'!$K$5:$K$510,$A48)</f>
        <v>0</v>
      </c>
      <c r="Y48" s="36" cm="1">
        <f t="array" ref="Y48">_xlfn.COUNTIFS('Datos - Objetivos de países'!$B$5:$B$510,"Uruguay",'Datos - Objetivos de países'!$F$5:$F$510,Y$3,'Datos - Objetivos de países'!$J$5:$J$510,$A48)+_xlfn.COUNTIFS('Datos - Objetivos de países'!$B$5:$B$510,"Uruguay",'Datos - Objetivos de países'!$F$5:$F$510,Y$3,'Datos - Objetivos de países'!$K$5:$K$510,$A48)</f>
        <v>0</v>
      </c>
      <c r="Z48" s="36" cm="1">
        <f t="array" ref="Z48">_xlfn.COUNTIFS('Datos - Objetivos de países'!$B$5:$B$510,"Uruguay",'Datos - Objetivos de países'!$F$5:$F$510,Z$3,'Datos - Objetivos de países'!$J$5:$J$510,$A48)+_xlfn.COUNTIFS('Datos - Objetivos de países'!$B$5:$B$510,"Uruguay",'Datos - Objetivos de países'!$F$5:$F$510,Z$3,'Datos - Objetivos de países'!$K$5:$K$510,$A48)</f>
        <v>0</v>
      </c>
      <c r="AA48" s="36" cm="1">
        <f t="array" ref="AA48">_xlfn.COUNTIFS('Datos - Objetivos de países'!$B$5:$B$510,"Uruguay",'Datos - Objetivos de países'!$F$5:$F$510,AA$3,'Datos - Objetivos de países'!$J$5:$J$510,$A48)+_xlfn.COUNTIFS('Datos - Objetivos de países'!$B$5:$B$510,"Uruguay",'Datos - Objetivos de países'!$F$5:$F$510,AA$3,'Datos - Objetivos de países'!$K$5:$K$510,$A48)</f>
        <v>0</v>
      </c>
      <c r="AB48" s="36" cm="1">
        <f t="array" ref="AB48">_xlfn.COUNTIFS('Datos - Objetivos de países'!$B$5:$B$510,"Uruguay",'Datos - Objetivos de países'!$F$5:$F$510,AB$3,'Datos - Objetivos de países'!$J$5:$J$510,$A48)+_xlfn.COUNTIFS('Datos - Objetivos de países'!$B$5:$B$510,"Uruguay",'Datos - Objetivos de países'!$F$5:$F$510,AB$3,'Datos - Objetivos de países'!$K$5:$K$510,$A48)</f>
        <v>1</v>
      </c>
      <c r="AC48" s="36" cm="1">
        <f t="array" ref="AC48">_xlfn.COUNTIFS('Datos - Objetivos de países'!$B$5:$B$510,"Uruguay",'Datos - Objetivos de países'!$F$5:$F$510,AC$3,'Datos - Objetivos de países'!$J$5:$J$510,$A48)+_xlfn.COUNTIFS('Datos - Objetivos de países'!$B$5:$B$510,"Uruguay",'Datos - Objetivos de países'!$F$5:$F$510,AC$3,'Datos - Objetivos de países'!$K$5:$K$510,$A48)</f>
        <v>0</v>
      </c>
      <c r="AD48" s="36" cm="1">
        <f t="array" ref="AD48">_xlfn.COUNTIFS('Datos - Objetivos de países'!$B$5:$B$510,"Uruguay",'Datos - Objetivos de países'!$F$5:$F$510,AD$3,'Datos - Objetivos de países'!$J$5:$J$510,$A48)+_xlfn.COUNTIFS('Datos - Objetivos de países'!$B$5:$B$510,"Uruguay",'Datos - Objetivos de países'!$F$5:$F$510,AD$3,'Datos - Objetivos de países'!$K$5:$K$510,$A48)</f>
        <v>0</v>
      </c>
      <c r="AE48" s="36" cm="1">
        <f t="array" ref="AE48">_xlfn.COUNTIFS('Datos - Objetivos de países'!$B$5:$B$510,"Uruguay",'Datos - Objetivos de países'!$F$5:$F$510,AE$3,'Datos - Objetivos de países'!$J$5:$J$510,$A48)+_xlfn.COUNTIFS('Datos - Objetivos de países'!$B$5:$B$510,"Uruguay",'Datos - Objetivos de países'!$F$5:$F$510,AE$3,'Datos - Objetivos de países'!$K$5:$K$510,$A48)</f>
        <v>0</v>
      </c>
      <c r="AF48" s="36" cm="1">
        <f t="array" ref="AF48">_xlfn.COUNTIFS('Datos - Objetivos de países'!$B$5:$B$510,"Colombia",'Datos - Objetivos de países'!$F$5:$F$510,AF$3,'Datos - Objetivos de países'!$J$5:$J$510,$A48)+_xlfn.COUNTIFS('Datos - Objetivos de países'!$B$5:$B$510,"Colombia",'Datos - Objetivos de países'!$F$5:$F$510,AF$3,'Datos - Objetivos de países'!$K$5:$K$510,$A48)</f>
        <v>0</v>
      </c>
      <c r="AG48" s="36" cm="1">
        <f t="array" ref="AG48">_xlfn.COUNTIFS('Datos - Objetivos de países'!$B$5:$B$510,"Colombia",'Datos - Objetivos de países'!$F$5:$F$510,AG$3,'Datos - Objetivos de países'!$J$5:$J$510,$A48)+_xlfn.COUNTIFS('Datos - Objetivos de países'!$B$5:$B$510,"Colombia",'Datos - Objetivos de países'!$F$5:$F$510,AG$3,'Datos - Objetivos de países'!$K$5:$K$510,$A48)</f>
        <v>0</v>
      </c>
      <c r="AH48" s="36" cm="1">
        <f t="array" ref="AH48">_xlfn.COUNTIFS('Datos - Objetivos de países'!$B$5:$B$510,"Colombia",'Datos - Objetivos de países'!$F$5:$F$510,AH$3,'Datos - Objetivos de países'!$J$5:$J$510,$A48)+_xlfn.COUNTIFS('Datos - Objetivos de países'!$B$5:$B$510,"Colombia",'Datos - Objetivos de países'!$F$5:$F$510,AH$3,'Datos - Objetivos de países'!$K$5:$K$510,$A48)</f>
        <v>0</v>
      </c>
      <c r="AI48" s="36" cm="1">
        <f t="array" ref="AI48">_xlfn.COUNTIFS('Datos - Objetivos de países'!$B$5:$B$510,"Colombia",'Datos - Objetivos de países'!$F$5:$F$510,AI$3,'Datos - Objetivos de países'!$J$5:$J$510,$A48)+_xlfn.COUNTIFS('Datos - Objetivos de países'!$B$5:$B$510,"Colombia",'Datos - Objetivos de países'!$F$5:$F$510,AI$3,'Datos - Objetivos de países'!$K$5:$K$510,$A48)</f>
        <v>0</v>
      </c>
      <c r="AJ48" s="36" cm="1">
        <f t="array" ref="AJ48">_xlfn.COUNTIFS('Datos - Objetivos de países'!$B$5:$B$510,"Colombia",'Datos - Objetivos de países'!$F$5:$F$510,AJ$3,'Datos - Objetivos de países'!$J$5:$J$510,$A48)+_xlfn.COUNTIFS('Datos - Objetivos de países'!$B$5:$B$510,"Colombia",'Datos - Objetivos de países'!$F$5:$F$510,AJ$3,'Datos - Objetivos de países'!$K$5:$K$510,$A48)</f>
        <v>0</v>
      </c>
      <c r="AK48" s="36" cm="1">
        <f t="array" ref="AK48">_xlfn.COUNTIFS('Datos - Objetivos de países'!$B$5:$B$510,"Colombia",'Datos - Objetivos de países'!$F$5:$F$510,AK$3,'Datos - Objetivos de países'!$J$5:$J$510,$A48)+_xlfn.COUNTIFS('Datos - Objetivos de países'!$B$5:$B$510,"Colombia",'Datos - Objetivos de países'!$F$5:$F$510,AK$3,'Datos - Objetivos de países'!$K$5:$K$510,$A48)</f>
        <v>1</v>
      </c>
      <c r="AL48" s="36" cm="1">
        <f t="array" ref="AL48">_xlfn.COUNTIFS('Datos - Objetivos de países'!$B$5:$B$510,"Colombia",'Datos - Objetivos de países'!$F$5:$F$510,AL$3,'Datos - Objetivos de países'!$J$5:$J$510,$A48)+_xlfn.COUNTIFS('Datos - Objetivos de países'!$B$5:$B$510,"Colombia",'Datos - Objetivos de países'!$F$5:$F$510,AL$3,'Datos - Objetivos de países'!$K$5:$K$510,$A48)</f>
        <v>0</v>
      </c>
      <c r="AM48" s="36" cm="1">
        <f t="array" ref="AM48">_xlfn.COUNTIFS('Datos - Objetivos de países'!$B$5:$B$510,"Colombia",'Datos - Objetivos de países'!$F$5:$F$510,AM$3,'Datos - Objetivos de países'!$J$5:$J$510,$A48)+_xlfn.COUNTIFS('Datos - Objetivos de países'!$B$5:$B$510,"Colombia",'Datos - Objetivos de países'!$F$5:$F$510,AM$3,'Datos - Objetivos de países'!$K$5:$K$510,$A48)</f>
        <v>1</v>
      </c>
      <c r="AN48" s="36" cm="1">
        <f t="array" ref="AN48">_xlfn.COUNTIFS('Datos - Objetivos de países'!$B$5:$B$510,"Colombia",'Datos - Objetivos de países'!$F$5:$F$510,AN$3,'Datos - Objetivos de países'!$J$5:$J$510,$A48)+_xlfn.COUNTIFS('Datos - Objetivos de países'!$B$5:$B$510,"Colombia",'Datos - Objetivos de países'!$F$5:$F$510,AN$3,'Datos - Objetivos de países'!$K$5:$K$510,$A48)</f>
        <v>0</v>
      </c>
      <c r="AO48" s="36" cm="1">
        <f t="array" ref="AO48">_xlfn.COUNTIFS('Datos - Objetivos de países'!$B$5:$B$510,"Singapur",'Datos - Objetivos de países'!$F$5:$F$510,AO$3,'Datos - Objetivos de países'!$J$5:$J$510,$A48)+_xlfn.COUNTIFS('Datos - Objetivos de países'!$B$5:$B$510,"Singapur",'Datos - Objetivos de países'!$F$5:$F$510,AO$3,'Datos - Objetivos de países'!$K$5:$K$510,$A48)</f>
        <v>0</v>
      </c>
      <c r="AP48" s="36" cm="1">
        <f t="array" ref="AP48">_xlfn.COUNTIFS('Datos - Objetivos de países'!$B$5:$B$510,"Singapur",'Datos - Objetivos de países'!$F$5:$F$510,AP$3,'Datos - Objetivos de países'!$J$5:$J$510,$A48)+_xlfn.COUNTIFS('Datos - Objetivos de países'!$B$5:$B$510,"Singapur",'Datos - Objetivos de países'!$F$5:$F$510,AP$3,'Datos - Objetivos de países'!$K$5:$K$510,$A48)</f>
        <v>0</v>
      </c>
      <c r="AQ48" s="36" cm="1">
        <f t="array" ref="AQ48">_xlfn.COUNTIFS('Datos - Objetivos de países'!$B$5:$B$510,"Singapur",'Datos - Objetivos de países'!$F$5:$F$510,AQ$3,'Datos - Objetivos de países'!$J$5:$J$510,$A48)+_xlfn.COUNTIFS('Datos - Objetivos de países'!$B$5:$B$510,"Singapur",'Datos - Objetivos de países'!$F$5:$F$510,AQ$3,'Datos - Objetivos de países'!$K$5:$K$510,$A48)</f>
        <v>0</v>
      </c>
      <c r="AR48" s="36" cm="1">
        <f t="array" ref="AR48">_xlfn.COUNTIFS('Datos - Objetivos de países'!$B$5:$B$510,"Singapur",'Datos - Objetivos de países'!$F$5:$F$510,AR$3,'Datos - Objetivos de países'!$J$5:$J$510,$A48)+_xlfn.COUNTIFS('Datos - Objetivos de países'!$B$5:$B$510,"Singapur",'Datos - Objetivos de países'!$F$5:$F$510,AR$3,'Datos - Objetivos de países'!$K$5:$K$510,$A48)</f>
        <v>0</v>
      </c>
      <c r="AS48" s="36" cm="1">
        <f t="array" ref="AS48">_xlfn.COUNTIFS('Datos - Objetivos de países'!$B$5:$B$510,"Singapur",'Datos - Objetivos de países'!$F$5:$F$510,AS$3,'Datos - Objetivos de países'!$J$5:$J$510,$A48)+_xlfn.COUNTIFS('Datos - Objetivos de países'!$B$5:$B$510,"Singapur",'Datos - Objetivos de países'!$F$5:$F$510,AS$3,'Datos - Objetivos de países'!$K$5:$K$510,$A48)</f>
        <v>0</v>
      </c>
      <c r="AT48" s="36" cm="1">
        <f t="array" ref="AT48">_xlfn.COUNTIFS('Datos - Objetivos de países'!$B$5:$B$510,"Singapur",'Datos - Objetivos de países'!$F$5:$F$510,AT$3,'Datos - Objetivos de países'!$J$5:$J$510,$A48)+_xlfn.COUNTIFS('Datos - Objetivos de países'!$B$5:$B$510,"Singapur",'Datos - Objetivos de países'!$F$5:$F$510,AT$3,'Datos - Objetivos de países'!$K$5:$K$510,$A48)</f>
        <v>2</v>
      </c>
      <c r="AU48" s="36" cm="1">
        <f t="array" ref="AU48">_xlfn.COUNTIFS('Datos - Objetivos de países'!$B$5:$B$510,"Singapur",'Datos - Objetivos de países'!$F$5:$F$510,AU$3,'Datos - Objetivos de países'!$J$5:$J$510,$A48)+_xlfn.COUNTIFS('Datos - Objetivos de países'!$B$5:$B$510,"Singapur",'Datos - Objetivos de países'!$F$5:$F$510,AU$3,'Datos - Objetivos de países'!$K$5:$K$510,$A48)</f>
        <v>0</v>
      </c>
      <c r="AV48" s="36" cm="1">
        <f t="array" ref="AV48">_xlfn.COUNTIFS('Datos - Objetivos de países'!$B$5:$B$510,"Singapur",'Datos - Objetivos de países'!$F$5:$F$510,AV$3,'Datos - Objetivos de países'!$J$5:$J$510,$A48)+_xlfn.COUNTIFS('Datos - Objetivos de países'!$B$5:$B$510,"Singapur",'Datos - Objetivos de países'!$F$5:$F$510,AV$3,'Datos - Objetivos de países'!$K$5:$K$510,$A48)</f>
        <v>0</v>
      </c>
      <c r="AW48" s="36" cm="1">
        <f t="array" ref="AW48">_xlfn.COUNTIFS('Datos - Objetivos de países'!$B$5:$B$510,"Singapur",'Datos - Objetivos de países'!$F$5:$F$510,AW$3,'Datos - Objetivos de países'!$J$5:$J$510,$A48)+_xlfn.COUNTIFS('Datos - Objetivos de países'!$B$5:$B$510,"Singapur",'Datos - Objetivos de países'!$F$5:$F$510,AW$3,'Datos - Objetivos de países'!$K$5:$K$510,$A48)</f>
        <v>0</v>
      </c>
    </row>
    <row r="49" ht="13.65" customHeight="1">
      <c r="A49" t="s" s="78">
        <v>1201</v>
      </c>
      <c r="B49" t="s" s="78">
        <v>1164</v>
      </c>
      <c r="C49" t="s" s="78">
        <v>210</v>
      </c>
      <c r="D49" t="s" s="78">
        <v>1091</v>
      </c>
      <c r="E49" s="80" cm="1">
        <f t="array" ref="E49">_xlfn.IFERROR(MAX($L$3,INDEX($N$3:$V$3,MATCH(TRUE,INDEX(N49:V49&gt;0,0),0))),"—")</f>
        <v>5</v>
      </c>
      <c r="F49" s="80" cm="1">
        <f t="array" ref="F49">_xlfn.IFERROR(MAX($L$3,INDEX($W$3:$AE$3,MATCH(TRUE,INDEX(W49:AE49&gt;0,0),0))),"—")</f>
        <v>5</v>
      </c>
      <c r="G49" s="80" cm="1">
        <f t="array" ref="G49">_xlfn.IFERROR(MAX($L$3,INDEX($AF$3:$AN$3,MATCH(TRUE,INDEX(AF49:AN49&gt;0,0),0))),"—")</f>
        <v>6</v>
      </c>
      <c r="H49" s="80" cm="1">
        <f t="array" ref="H49">_xlfn.IFERROR(MAX($L$3,INDEX($AO$3:$AW$3,MATCH(TRUE,INDEX(AO49:AW49&gt;0,0),0))),"—")</f>
        <v>5</v>
      </c>
      <c r="I49" s="111" cm="1">
        <f t="array" ref="I49">IF(L49=0,"—",MEDIAN(F49:H49))</f>
        <v>5</v>
      </c>
      <c r="J49" s="111" cm="1">
        <f t="array" ref="J49">IF(OR(E49="—",I49="—"),"—",E49-I49)</f>
        <v>0</v>
      </c>
      <c r="K49" t="str" s="49" cm="1">
        <f t="array" ref="K49">IF(E49="—",IF(L49=0,"Nadie lo trabaja","El Salvador no llega"),IF(L49=0,"Solo El Salvador",IF(J49&gt;0,"El Salvador llega más tarde",IF(J49&lt;0,"El Salvador va adelantado","Mismo grado"))))</f>
        <v>Mismo grado</v>
      </c>
      <c r="L49" s="80" cm="1">
        <f t="array" ref="L49">COUNT(F49:H49)</f>
        <v>3</v>
      </c>
      <c r="M49" s="110"/>
      <c r="N49" s="36" cm="1">
        <f t="array" ref="N49">_xlfn.COUNTIFS('Datos - Temas'!$C$5:$C$1264,"Ciencias",'Datos - Temas'!$B$5:$B$1264,N$3,'Datos - Temas'!$K$5:$K$1264,$A49)+_xlfn.COUNTIFS('Datos - Temas'!$C$5:$C$1264,"Ciencias",'Datos - Temas'!$B$5:$B$1264,N$3,'Datos - Temas'!$L$5:$L$1264,$A49)</f>
        <v>0</v>
      </c>
      <c r="O49" s="36" cm="1">
        <f t="array" ref="O49">_xlfn.COUNTIFS('Datos - Temas'!$C$5:$C$1264,"Ciencias",'Datos - Temas'!$B$5:$B$1264,O$3,'Datos - Temas'!$K$5:$K$1264,$A49)+_xlfn.COUNTIFS('Datos - Temas'!$C$5:$C$1264,"Ciencias",'Datos - Temas'!$B$5:$B$1264,O$3,'Datos - Temas'!$L$5:$L$1264,$A49)</f>
        <v>0</v>
      </c>
      <c r="P49" s="36" cm="1">
        <f t="array" ref="P49">_xlfn.COUNTIFS('Datos - Temas'!$C$5:$C$1264,"Ciencias",'Datos - Temas'!$B$5:$B$1264,P$3,'Datos - Temas'!$K$5:$K$1264,$A49)+_xlfn.COUNTIFS('Datos - Temas'!$C$5:$C$1264,"Ciencias",'Datos - Temas'!$B$5:$B$1264,P$3,'Datos - Temas'!$L$5:$L$1264,$A49)</f>
        <v>0</v>
      </c>
      <c r="Q49" s="36" cm="1">
        <f t="array" ref="Q49">_xlfn.COUNTIFS('Datos - Temas'!$C$5:$C$1264,"Ciencias",'Datos - Temas'!$B$5:$B$1264,Q$3,'Datos - Temas'!$K$5:$K$1264,$A49)+_xlfn.COUNTIFS('Datos - Temas'!$C$5:$C$1264,"Ciencias",'Datos - Temas'!$B$5:$B$1264,Q$3,'Datos - Temas'!$L$5:$L$1264,$A49)</f>
        <v>0</v>
      </c>
      <c r="R49" s="36" cm="1">
        <f t="array" ref="R49">_xlfn.COUNTIFS('Datos - Temas'!$C$5:$C$1264,"Ciencias",'Datos - Temas'!$B$5:$B$1264,R$3,'Datos - Temas'!$K$5:$K$1264,$A49)+_xlfn.COUNTIFS('Datos - Temas'!$C$5:$C$1264,"Ciencias",'Datos - Temas'!$B$5:$B$1264,R$3,'Datos - Temas'!$L$5:$L$1264,$A49)</f>
        <v>2</v>
      </c>
      <c r="S49" s="36" cm="1">
        <f t="array" ref="S49">_xlfn.COUNTIFS('Datos - Temas'!$C$5:$C$1264,"Ciencias",'Datos - Temas'!$B$5:$B$1264,S$3,'Datos - Temas'!$K$5:$K$1264,$A49)+_xlfn.COUNTIFS('Datos - Temas'!$C$5:$C$1264,"Ciencias",'Datos - Temas'!$B$5:$B$1264,S$3,'Datos - Temas'!$L$5:$L$1264,$A49)</f>
        <v>0</v>
      </c>
      <c r="T49" s="36" cm="1">
        <f t="array" ref="T49">_xlfn.COUNTIFS('Datos - Temas'!$C$5:$C$1264,"Ciencias",'Datos - Temas'!$B$5:$B$1264,T$3,'Datos - Temas'!$K$5:$K$1264,$A49)+_xlfn.COUNTIFS('Datos - Temas'!$C$5:$C$1264,"Ciencias",'Datos - Temas'!$B$5:$B$1264,T$3,'Datos - Temas'!$L$5:$L$1264,$A49)</f>
        <v>11</v>
      </c>
      <c r="U49" s="36" cm="1">
        <f t="array" ref="U49">_xlfn.COUNTIFS('Datos - Temas'!$C$5:$C$1264,"Ciencias",'Datos - Temas'!$B$5:$B$1264,U$3,'Datos - Temas'!$K$5:$K$1264,$A49)+_xlfn.COUNTIFS('Datos - Temas'!$C$5:$C$1264,"Ciencias",'Datos - Temas'!$B$5:$B$1264,U$3,'Datos - Temas'!$L$5:$L$1264,$A49)</f>
        <v>1</v>
      </c>
      <c r="V49" s="36" cm="1">
        <f t="array" ref="V49">_xlfn.COUNTIFS('Datos - Temas'!$C$5:$C$1264,"Ciencias",'Datos - Temas'!$B$5:$B$1264,V$3,'Datos - Temas'!$K$5:$K$1264,$A49)+_xlfn.COUNTIFS('Datos - Temas'!$C$5:$C$1264,"Ciencias",'Datos - Temas'!$B$5:$B$1264,V$3,'Datos - Temas'!$L$5:$L$1264,$A49)</f>
        <v>1</v>
      </c>
      <c r="W49" s="36" cm="1">
        <f t="array" ref="W49">_xlfn.COUNTIFS('Datos - Objetivos de países'!$B$5:$B$510,"Uruguay",'Datos - Objetivos de países'!$F$5:$F$510,W$3,'Datos - Objetivos de países'!$J$5:$J$510,$A49)+_xlfn.COUNTIFS('Datos - Objetivos de países'!$B$5:$B$510,"Uruguay",'Datos - Objetivos de países'!$F$5:$F$510,W$3,'Datos - Objetivos de países'!$K$5:$K$510,$A49)</f>
        <v>0</v>
      </c>
      <c r="X49" s="36" cm="1">
        <f t="array" ref="X49">_xlfn.COUNTIFS('Datos - Objetivos de países'!$B$5:$B$510,"Uruguay",'Datos - Objetivos de países'!$F$5:$F$510,X$3,'Datos - Objetivos de países'!$J$5:$J$510,$A49)+_xlfn.COUNTIFS('Datos - Objetivos de países'!$B$5:$B$510,"Uruguay",'Datos - Objetivos de países'!$F$5:$F$510,X$3,'Datos - Objetivos de países'!$K$5:$K$510,$A49)</f>
        <v>0</v>
      </c>
      <c r="Y49" s="36" cm="1">
        <f t="array" ref="Y49">_xlfn.COUNTIFS('Datos - Objetivos de países'!$B$5:$B$510,"Uruguay",'Datos - Objetivos de países'!$F$5:$F$510,Y$3,'Datos - Objetivos de países'!$J$5:$J$510,$A49)+_xlfn.COUNTIFS('Datos - Objetivos de países'!$B$5:$B$510,"Uruguay",'Datos - Objetivos de países'!$F$5:$F$510,Y$3,'Datos - Objetivos de países'!$K$5:$K$510,$A49)</f>
        <v>0</v>
      </c>
      <c r="Z49" s="36" cm="1">
        <f t="array" ref="Z49">_xlfn.COUNTIFS('Datos - Objetivos de países'!$B$5:$B$510,"Uruguay",'Datos - Objetivos de países'!$F$5:$F$510,Z$3,'Datos - Objetivos de países'!$J$5:$J$510,$A49)+_xlfn.COUNTIFS('Datos - Objetivos de países'!$B$5:$B$510,"Uruguay",'Datos - Objetivos de países'!$F$5:$F$510,Z$3,'Datos - Objetivos de países'!$K$5:$K$510,$A49)</f>
        <v>0</v>
      </c>
      <c r="AA49" s="36" cm="1">
        <f t="array" ref="AA49">_xlfn.COUNTIFS('Datos - Objetivos de países'!$B$5:$B$510,"Uruguay",'Datos - Objetivos de países'!$F$5:$F$510,AA$3,'Datos - Objetivos de países'!$J$5:$J$510,$A49)+_xlfn.COUNTIFS('Datos - Objetivos de países'!$B$5:$B$510,"Uruguay",'Datos - Objetivos de países'!$F$5:$F$510,AA$3,'Datos - Objetivos de países'!$K$5:$K$510,$A49)</f>
        <v>3</v>
      </c>
      <c r="AB49" s="36" cm="1">
        <f t="array" ref="AB49">_xlfn.COUNTIFS('Datos - Objetivos de países'!$B$5:$B$510,"Uruguay",'Datos - Objetivos de países'!$F$5:$F$510,AB$3,'Datos - Objetivos de países'!$J$5:$J$510,$A49)+_xlfn.COUNTIFS('Datos - Objetivos de países'!$B$5:$B$510,"Uruguay",'Datos - Objetivos de países'!$F$5:$F$510,AB$3,'Datos - Objetivos de países'!$K$5:$K$510,$A49)</f>
        <v>0</v>
      </c>
      <c r="AC49" s="36" cm="1">
        <f t="array" ref="AC49">_xlfn.COUNTIFS('Datos - Objetivos de países'!$B$5:$B$510,"Uruguay",'Datos - Objetivos de países'!$F$5:$F$510,AC$3,'Datos - Objetivos de países'!$J$5:$J$510,$A49)+_xlfn.COUNTIFS('Datos - Objetivos de países'!$B$5:$B$510,"Uruguay",'Datos - Objetivos de países'!$F$5:$F$510,AC$3,'Datos - Objetivos de países'!$K$5:$K$510,$A49)</f>
        <v>1</v>
      </c>
      <c r="AD49" s="36" cm="1">
        <f t="array" ref="AD49">_xlfn.COUNTIFS('Datos - Objetivos de países'!$B$5:$B$510,"Uruguay",'Datos - Objetivos de países'!$F$5:$F$510,AD$3,'Datos - Objetivos de países'!$J$5:$J$510,$A49)+_xlfn.COUNTIFS('Datos - Objetivos de países'!$B$5:$B$510,"Uruguay",'Datos - Objetivos de países'!$F$5:$F$510,AD$3,'Datos - Objetivos de países'!$K$5:$K$510,$A49)</f>
        <v>0</v>
      </c>
      <c r="AE49" s="36" cm="1">
        <f t="array" ref="AE49">_xlfn.COUNTIFS('Datos - Objetivos de países'!$B$5:$B$510,"Uruguay",'Datos - Objetivos de países'!$F$5:$F$510,AE$3,'Datos - Objetivos de países'!$J$5:$J$510,$A49)+_xlfn.COUNTIFS('Datos - Objetivos de países'!$B$5:$B$510,"Uruguay",'Datos - Objetivos de países'!$F$5:$F$510,AE$3,'Datos - Objetivos de países'!$K$5:$K$510,$A49)</f>
        <v>1</v>
      </c>
      <c r="AF49" s="36" cm="1">
        <f t="array" ref="AF49">_xlfn.COUNTIFS('Datos - Objetivos de países'!$B$5:$B$510,"Colombia",'Datos - Objetivos de países'!$F$5:$F$510,AF$3,'Datos - Objetivos de países'!$J$5:$J$510,$A49)+_xlfn.COUNTIFS('Datos - Objetivos de países'!$B$5:$B$510,"Colombia",'Datos - Objetivos de países'!$F$5:$F$510,AF$3,'Datos - Objetivos de países'!$K$5:$K$510,$A49)</f>
        <v>0</v>
      </c>
      <c r="AG49" s="36" cm="1">
        <f t="array" ref="AG49">_xlfn.COUNTIFS('Datos - Objetivos de países'!$B$5:$B$510,"Colombia",'Datos - Objetivos de países'!$F$5:$F$510,AG$3,'Datos - Objetivos de países'!$J$5:$J$510,$A49)+_xlfn.COUNTIFS('Datos - Objetivos de países'!$B$5:$B$510,"Colombia",'Datos - Objetivos de países'!$F$5:$F$510,AG$3,'Datos - Objetivos de países'!$K$5:$K$510,$A49)</f>
        <v>0</v>
      </c>
      <c r="AH49" s="36" cm="1">
        <f t="array" ref="AH49">_xlfn.COUNTIFS('Datos - Objetivos de países'!$B$5:$B$510,"Colombia",'Datos - Objetivos de países'!$F$5:$F$510,AH$3,'Datos - Objetivos de países'!$J$5:$J$510,$A49)+_xlfn.COUNTIFS('Datos - Objetivos de países'!$B$5:$B$510,"Colombia",'Datos - Objetivos de países'!$F$5:$F$510,AH$3,'Datos - Objetivos de países'!$K$5:$K$510,$A49)</f>
        <v>0</v>
      </c>
      <c r="AI49" s="36" cm="1">
        <f t="array" ref="AI49">_xlfn.COUNTIFS('Datos - Objetivos de países'!$B$5:$B$510,"Colombia",'Datos - Objetivos de países'!$F$5:$F$510,AI$3,'Datos - Objetivos de países'!$J$5:$J$510,$A49)+_xlfn.COUNTIFS('Datos - Objetivos de países'!$B$5:$B$510,"Colombia",'Datos - Objetivos de países'!$F$5:$F$510,AI$3,'Datos - Objetivos de países'!$K$5:$K$510,$A49)</f>
        <v>0</v>
      </c>
      <c r="AJ49" s="36" cm="1">
        <f t="array" ref="AJ49">_xlfn.COUNTIFS('Datos - Objetivos de países'!$B$5:$B$510,"Colombia",'Datos - Objetivos de países'!$F$5:$F$510,AJ$3,'Datos - Objetivos de países'!$J$5:$J$510,$A49)+_xlfn.COUNTIFS('Datos - Objetivos de países'!$B$5:$B$510,"Colombia",'Datos - Objetivos de países'!$F$5:$F$510,AJ$3,'Datos - Objetivos de países'!$K$5:$K$510,$A49)</f>
        <v>0</v>
      </c>
      <c r="AK49" s="36" cm="1">
        <f t="array" ref="AK49">_xlfn.COUNTIFS('Datos - Objetivos de países'!$B$5:$B$510,"Colombia",'Datos - Objetivos de países'!$F$5:$F$510,AK$3,'Datos - Objetivos de países'!$J$5:$J$510,$A49)+_xlfn.COUNTIFS('Datos - Objetivos de países'!$B$5:$B$510,"Colombia",'Datos - Objetivos de países'!$F$5:$F$510,AK$3,'Datos - Objetivos de países'!$K$5:$K$510,$A49)</f>
        <v>2</v>
      </c>
      <c r="AL49" s="36" cm="1">
        <f t="array" ref="AL49">_xlfn.COUNTIFS('Datos - Objetivos de países'!$B$5:$B$510,"Colombia",'Datos - Objetivos de países'!$F$5:$F$510,AL$3,'Datos - Objetivos de países'!$J$5:$J$510,$A49)+_xlfn.COUNTIFS('Datos - Objetivos de países'!$B$5:$B$510,"Colombia",'Datos - Objetivos de países'!$F$5:$F$510,AL$3,'Datos - Objetivos de países'!$K$5:$K$510,$A49)</f>
        <v>0</v>
      </c>
      <c r="AM49" s="36" cm="1">
        <f t="array" ref="AM49">_xlfn.COUNTIFS('Datos - Objetivos de países'!$B$5:$B$510,"Colombia",'Datos - Objetivos de países'!$F$5:$F$510,AM$3,'Datos - Objetivos de países'!$J$5:$J$510,$A49)+_xlfn.COUNTIFS('Datos - Objetivos de países'!$B$5:$B$510,"Colombia",'Datos - Objetivos de países'!$F$5:$F$510,AM$3,'Datos - Objetivos de países'!$K$5:$K$510,$A49)</f>
        <v>2</v>
      </c>
      <c r="AN49" s="36" cm="1">
        <f t="array" ref="AN49">_xlfn.COUNTIFS('Datos - Objetivos de países'!$B$5:$B$510,"Colombia",'Datos - Objetivos de países'!$F$5:$F$510,AN$3,'Datos - Objetivos de países'!$J$5:$J$510,$A49)+_xlfn.COUNTIFS('Datos - Objetivos de países'!$B$5:$B$510,"Colombia",'Datos - Objetivos de países'!$F$5:$F$510,AN$3,'Datos - Objetivos de países'!$K$5:$K$510,$A49)</f>
        <v>0</v>
      </c>
      <c r="AO49" s="36" cm="1">
        <f t="array" ref="AO49">_xlfn.COUNTIFS('Datos - Objetivos de países'!$B$5:$B$510,"Singapur",'Datos - Objetivos de países'!$F$5:$F$510,AO$3,'Datos - Objetivos de países'!$J$5:$J$510,$A49)+_xlfn.COUNTIFS('Datos - Objetivos de países'!$B$5:$B$510,"Singapur",'Datos - Objetivos de países'!$F$5:$F$510,AO$3,'Datos - Objetivos de países'!$K$5:$K$510,$A49)</f>
        <v>0</v>
      </c>
      <c r="AP49" s="36" cm="1">
        <f t="array" ref="AP49">_xlfn.COUNTIFS('Datos - Objetivos de países'!$B$5:$B$510,"Singapur",'Datos - Objetivos de países'!$F$5:$F$510,AP$3,'Datos - Objetivos de países'!$J$5:$J$510,$A49)+_xlfn.COUNTIFS('Datos - Objetivos de países'!$B$5:$B$510,"Singapur",'Datos - Objetivos de países'!$F$5:$F$510,AP$3,'Datos - Objetivos de países'!$K$5:$K$510,$A49)</f>
        <v>0</v>
      </c>
      <c r="AQ49" s="36" cm="1">
        <f t="array" ref="AQ49">_xlfn.COUNTIFS('Datos - Objetivos de países'!$B$5:$B$510,"Singapur",'Datos - Objetivos de países'!$F$5:$F$510,AQ$3,'Datos - Objetivos de países'!$J$5:$J$510,$A49)+_xlfn.COUNTIFS('Datos - Objetivos de países'!$B$5:$B$510,"Singapur",'Datos - Objetivos de países'!$F$5:$F$510,AQ$3,'Datos - Objetivos de países'!$K$5:$K$510,$A49)</f>
        <v>0</v>
      </c>
      <c r="AR49" s="36" cm="1">
        <f t="array" ref="AR49">_xlfn.COUNTIFS('Datos - Objetivos de países'!$B$5:$B$510,"Singapur",'Datos - Objetivos de países'!$F$5:$F$510,AR$3,'Datos - Objetivos de países'!$J$5:$J$510,$A49)+_xlfn.COUNTIFS('Datos - Objetivos de países'!$B$5:$B$510,"Singapur",'Datos - Objetivos de países'!$F$5:$F$510,AR$3,'Datos - Objetivos de países'!$K$5:$K$510,$A49)</f>
        <v>0</v>
      </c>
      <c r="AS49" s="36" cm="1">
        <f t="array" ref="AS49">_xlfn.COUNTIFS('Datos - Objetivos de países'!$B$5:$B$510,"Singapur",'Datos - Objetivos de países'!$F$5:$F$510,AS$3,'Datos - Objetivos de países'!$J$5:$J$510,$A49)+_xlfn.COUNTIFS('Datos - Objetivos de países'!$B$5:$B$510,"Singapur",'Datos - Objetivos de países'!$F$5:$F$510,AS$3,'Datos - Objetivos de países'!$K$5:$K$510,$A49)</f>
        <v>1</v>
      </c>
      <c r="AT49" s="36" cm="1">
        <f t="array" ref="AT49">_xlfn.COUNTIFS('Datos - Objetivos de países'!$B$5:$B$510,"Singapur",'Datos - Objetivos de países'!$F$5:$F$510,AT$3,'Datos - Objetivos de países'!$J$5:$J$510,$A49)+_xlfn.COUNTIFS('Datos - Objetivos de países'!$B$5:$B$510,"Singapur",'Datos - Objetivos de países'!$F$5:$F$510,AT$3,'Datos - Objetivos de países'!$K$5:$K$510,$A49)</f>
        <v>1</v>
      </c>
      <c r="AU49" s="36" cm="1">
        <f t="array" ref="AU49">_xlfn.COUNTIFS('Datos - Objetivos de países'!$B$5:$B$510,"Singapur",'Datos - Objetivos de países'!$F$5:$F$510,AU$3,'Datos - Objetivos de países'!$J$5:$J$510,$A49)+_xlfn.COUNTIFS('Datos - Objetivos de países'!$B$5:$B$510,"Singapur",'Datos - Objetivos de países'!$F$5:$F$510,AU$3,'Datos - Objetivos de países'!$K$5:$K$510,$A49)</f>
        <v>0</v>
      </c>
      <c r="AV49" s="36" cm="1">
        <f t="array" ref="AV49">_xlfn.COUNTIFS('Datos - Objetivos de países'!$B$5:$B$510,"Singapur",'Datos - Objetivos de países'!$F$5:$F$510,AV$3,'Datos - Objetivos de países'!$J$5:$J$510,$A49)+_xlfn.COUNTIFS('Datos - Objetivos de países'!$B$5:$B$510,"Singapur",'Datos - Objetivos de países'!$F$5:$F$510,AV$3,'Datos - Objetivos de países'!$K$5:$K$510,$A49)</f>
        <v>0</v>
      </c>
      <c r="AW49" s="36" cm="1">
        <f t="array" ref="AW49">_xlfn.COUNTIFS('Datos - Objetivos de países'!$B$5:$B$510,"Singapur",'Datos - Objetivos de países'!$F$5:$F$510,AW$3,'Datos - Objetivos de países'!$J$5:$J$510,$A49)+_xlfn.COUNTIFS('Datos - Objetivos de países'!$B$5:$B$510,"Singapur",'Datos - Objetivos de países'!$F$5:$F$510,AW$3,'Datos - Objetivos de países'!$K$5:$K$510,$A49)</f>
        <v>0</v>
      </c>
    </row>
    <row r="50" ht="13.65" customHeight="1">
      <c r="A50" t="s" s="78">
        <v>454</v>
      </c>
      <c r="B50" t="s" s="78">
        <v>1164</v>
      </c>
      <c r="C50" t="s" s="78">
        <v>210</v>
      </c>
      <c r="D50" t="s" s="78">
        <v>1203</v>
      </c>
      <c r="E50" s="80" cm="1">
        <f t="array" ref="E50">_xlfn.IFERROR(MAX($L$3,INDEX($N$3:$V$3,MATCH(TRUE,INDEX(N50:V50&gt;0,0),0))),"—")</f>
        <v>7</v>
      </c>
      <c r="F50" s="80" cm="1">
        <f t="array" ref="F50">_xlfn.IFERROR(MAX($L$3,INDEX($W$3:$AE$3,MATCH(TRUE,INDEX(W50:AE50&gt;0,0),0))),"—")</f>
        <v>6</v>
      </c>
      <c r="G50" s="80" cm="1">
        <f t="array" ref="G50">_xlfn.IFERROR(MAX($L$3,INDEX($AF$3:$AN$3,MATCH(TRUE,INDEX(AF50:AN50&gt;0,0),0))),"—")</f>
        <v>6</v>
      </c>
      <c r="H50" t="str" s="79" cm="1">
        <f t="array" ref="H50">_xlfn.IFERROR(MAX($L$3,INDEX($AO$3:$AW$3,MATCH(TRUE,INDEX(AO50:AW50&gt;0,0),0))),"—")</f>
        <v>—</v>
      </c>
      <c r="I50" s="111" cm="1">
        <f t="array" ref="I50">IF(L50=0,"—",MEDIAN(F50:H50))</f>
        <v>6</v>
      </c>
      <c r="J50" s="111" cm="1">
        <f t="array" ref="J50">IF(OR(E50="—",I50="—"),"—",E50-I50)</f>
        <v>1</v>
      </c>
      <c r="K50" t="str" s="49" cm="1">
        <f t="array" ref="K50">IF(E50="—",IF(L50=0,"Nadie lo trabaja","El Salvador no llega"),IF(L50=0,"Solo El Salvador",IF(J50&gt;0,"El Salvador llega más tarde",IF(J50&lt;0,"El Salvador va adelantado","Mismo grado"))))</f>
        <v>El Salvador llega más tarde</v>
      </c>
      <c r="L50" s="80" cm="1">
        <f t="array" ref="L50">COUNT(F50:H50)</f>
        <v>2</v>
      </c>
      <c r="M50" s="110"/>
      <c r="N50" s="36" cm="1">
        <f t="array" ref="N50">_xlfn.COUNTIFS('Datos - Temas'!$C$5:$C$1264,"Ciencias",'Datos - Temas'!$B$5:$B$1264,N$3,'Datos - Temas'!$K$5:$K$1264,$A50)+_xlfn.COUNTIFS('Datos - Temas'!$C$5:$C$1264,"Ciencias",'Datos - Temas'!$B$5:$B$1264,N$3,'Datos - Temas'!$L$5:$L$1264,$A50)</f>
        <v>0</v>
      </c>
      <c r="O50" s="36" cm="1">
        <f t="array" ref="O50">_xlfn.COUNTIFS('Datos - Temas'!$C$5:$C$1264,"Ciencias",'Datos - Temas'!$B$5:$B$1264,O$3,'Datos - Temas'!$K$5:$K$1264,$A50)+_xlfn.COUNTIFS('Datos - Temas'!$C$5:$C$1264,"Ciencias",'Datos - Temas'!$B$5:$B$1264,O$3,'Datos - Temas'!$L$5:$L$1264,$A50)</f>
        <v>0</v>
      </c>
      <c r="P50" s="36" cm="1">
        <f t="array" ref="P50">_xlfn.COUNTIFS('Datos - Temas'!$C$5:$C$1264,"Ciencias",'Datos - Temas'!$B$5:$B$1264,P$3,'Datos - Temas'!$K$5:$K$1264,$A50)+_xlfn.COUNTIFS('Datos - Temas'!$C$5:$C$1264,"Ciencias",'Datos - Temas'!$B$5:$B$1264,P$3,'Datos - Temas'!$L$5:$L$1264,$A50)</f>
        <v>0</v>
      </c>
      <c r="Q50" s="36" cm="1">
        <f t="array" ref="Q50">_xlfn.COUNTIFS('Datos - Temas'!$C$5:$C$1264,"Ciencias",'Datos - Temas'!$B$5:$B$1264,Q$3,'Datos - Temas'!$K$5:$K$1264,$A50)+_xlfn.COUNTIFS('Datos - Temas'!$C$5:$C$1264,"Ciencias",'Datos - Temas'!$B$5:$B$1264,Q$3,'Datos - Temas'!$L$5:$L$1264,$A50)</f>
        <v>0</v>
      </c>
      <c r="R50" s="36" cm="1">
        <f t="array" ref="R50">_xlfn.COUNTIFS('Datos - Temas'!$C$5:$C$1264,"Ciencias",'Datos - Temas'!$B$5:$B$1264,R$3,'Datos - Temas'!$K$5:$K$1264,$A50)+_xlfn.COUNTIFS('Datos - Temas'!$C$5:$C$1264,"Ciencias",'Datos - Temas'!$B$5:$B$1264,R$3,'Datos - Temas'!$L$5:$L$1264,$A50)</f>
        <v>0</v>
      </c>
      <c r="S50" s="36" cm="1">
        <f t="array" ref="S50">_xlfn.COUNTIFS('Datos - Temas'!$C$5:$C$1264,"Ciencias",'Datos - Temas'!$B$5:$B$1264,S$3,'Datos - Temas'!$K$5:$K$1264,$A50)+_xlfn.COUNTIFS('Datos - Temas'!$C$5:$C$1264,"Ciencias",'Datos - Temas'!$B$5:$B$1264,S$3,'Datos - Temas'!$L$5:$L$1264,$A50)</f>
        <v>0</v>
      </c>
      <c r="T50" s="36" cm="1">
        <f t="array" ref="T50">_xlfn.COUNTIFS('Datos - Temas'!$C$5:$C$1264,"Ciencias",'Datos - Temas'!$B$5:$B$1264,T$3,'Datos - Temas'!$K$5:$K$1264,$A50)+_xlfn.COUNTIFS('Datos - Temas'!$C$5:$C$1264,"Ciencias",'Datos - Temas'!$B$5:$B$1264,T$3,'Datos - Temas'!$L$5:$L$1264,$A50)</f>
        <v>1</v>
      </c>
      <c r="U50" s="36" cm="1">
        <f t="array" ref="U50">_xlfn.COUNTIFS('Datos - Temas'!$C$5:$C$1264,"Ciencias",'Datos - Temas'!$B$5:$B$1264,U$3,'Datos - Temas'!$K$5:$K$1264,$A50)+_xlfn.COUNTIFS('Datos - Temas'!$C$5:$C$1264,"Ciencias",'Datos - Temas'!$B$5:$B$1264,U$3,'Datos - Temas'!$L$5:$L$1264,$A50)</f>
        <v>0</v>
      </c>
      <c r="V50" s="36" cm="1">
        <f t="array" ref="V50">_xlfn.COUNTIFS('Datos - Temas'!$C$5:$C$1264,"Ciencias",'Datos - Temas'!$B$5:$B$1264,V$3,'Datos - Temas'!$K$5:$K$1264,$A50)+_xlfn.COUNTIFS('Datos - Temas'!$C$5:$C$1264,"Ciencias",'Datos - Temas'!$B$5:$B$1264,V$3,'Datos - Temas'!$L$5:$L$1264,$A50)</f>
        <v>0</v>
      </c>
      <c r="W50" s="36" cm="1">
        <f t="array" ref="W50">_xlfn.COUNTIFS('Datos - Objetivos de países'!$B$5:$B$510,"Uruguay",'Datos - Objetivos de países'!$F$5:$F$510,W$3,'Datos - Objetivos de países'!$J$5:$J$510,$A50)+_xlfn.COUNTIFS('Datos - Objetivos de países'!$B$5:$B$510,"Uruguay",'Datos - Objetivos de países'!$F$5:$F$510,W$3,'Datos - Objetivos de países'!$K$5:$K$510,$A50)</f>
        <v>0</v>
      </c>
      <c r="X50" s="36" cm="1">
        <f t="array" ref="X50">_xlfn.COUNTIFS('Datos - Objetivos de países'!$B$5:$B$510,"Uruguay",'Datos - Objetivos de países'!$F$5:$F$510,X$3,'Datos - Objetivos de países'!$J$5:$J$510,$A50)+_xlfn.COUNTIFS('Datos - Objetivos de países'!$B$5:$B$510,"Uruguay",'Datos - Objetivos de países'!$F$5:$F$510,X$3,'Datos - Objetivos de países'!$K$5:$K$510,$A50)</f>
        <v>0</v>
      </c>
      <c r="Y50" s="36" cm="1">
        <f t="array" ref="Y50">_xlfn.COUNTIFS('Datos - Objetivos de países'!$B$5:$B$510,"Uruguay",'Datos - Objetivos de países'!$F$5:$F$510,Y$3,'Datos - Objetivos de países'!$J$5:$J$510,$A50)+_xlfn.COUNTIFS('Datos - Objetivos de países'!$B$5:$B$510,"Uruguay",'Datos - Objetivos de países'!$F$5:$F$510,Y$3,'Datos - Objetivos de países'!$K$5:$K$510,$A50)</f>
        <v>0</v>
      </c>
      <c r="Z50" s="36" cm="1">
        <f t="array" ref="Z50">_xlfn.COUNTIFS('Datos - Objetivos de países'!$B$5:$B$510,"Uruguay",'Datos - Objetivos de países'!$F$5:$F$510,Z$3,'Datos - Objetivos de países'!$J$5:$J$510,$A50)+_xlfn.COUNTIFS('Datos - Objetivos de países'!$B$5:$B$510,"Uruguay",'Datos - Objetivos de países'!$F$5:$F$510,Z$3,'Datos - Objetivos de países'!$K$5:$K$510,$A50)</f>
        <v>0</v>
      </c>
      <c r="AA50" s="36" cm="1">
        <f t="array" ref="AA50">_xlfn.COUNTIFS('Datos - Objetivos de países'!$B$5:$B$510,"Uruguay",'Datos - Objetivos de países'!$F$5:$F$510,AA$3,'Datos - Objetivos de países'!$J$5:$J$510,$A50)+_xlfn.COUNTIFS('Datos - Objetivos de países'!$B$5:$B$510,"Uruguay",'Datos - Objetivos de países'!$F$5:$F$510,AA$3,'Datos - Objetivos de países'!$K$5:$K$510,$A50)</f>
        <v>0</v>
      </c>
      <c r="AB50" s="36" cm="1">
        <f t="array" ref="AB50">_xlfn.COUNTIFS('Datos - Objetivos de países'!$B$5:$B$510,"Uruguay",'Datos - Objetivos de países'!$F$5:$F$510,AB$3,'Datos - Objetivos de países'!$J$5:$J$510,$A50)+_xlfn.COUNTIFS('Datos - Objetivos de países'!$B$5:$B$510,"Uruguay",'Datos - Objetivos de países'!$F$5:$F$510,AB$3,'Datos - Objetivos de países'!$K$5:$K$510,$A50)</f>
        <v>1</v>
      </c>
      <c r="AC50" s="36" cm="1">
        <f t="array" ref="AC50">_xlfn.COUNTIFS('Datos - Objetivos de países'!$B$5:$B$510,"Uruguay",'Datos - Objetivos de países'!$F$5:$F$510,AC$3,'Datos - Objetivos de países'!$J$5:$J$510,$A50)+_xlfn.COUNTIFS('Datos - Objetivos de países'!$B$5:$B$510,"Uruguay",'Datos - Objetivos de países'!$F$5:$F$510,AC$3,'Datos - Objetivos de países'!$K$5:$K$510,$A50)</f>
        <v>0</v>
      </c>
      <c r="AD50" s="36" cm="1">
        <f t="array" ref="AD50">_xlfn.COUNTIFS('Datos - Objetivos de países'!$B$5:$B$510,"Uruguay",'Datos - Objetivos de países'!$F$5:$F$510,AD$3,'Datos - Objetivos de países'!$J$5:$J$510,$A50)+_xlfn.COUNTIFS('Datos - Objetivos de países'!$B$5:$B$510,"Uruguay",'Datos - Objetivos de países'!$F$5:$F$510,AD$3,'Datos - Objetivos de países'!$K$5:$K$510,$A50)</f>
        <v>0</v>
      </c>
      <c r="AE50" s="36" cm="1">
        <f t="array" ref="AE50">_xlfn.COUNTIFS('Datos - Objetivos de países'!$B$5:$B$510,"Uruguay",'Datos - Objetivos de países'!$F$5:$F$510,AE$3,'Datos - Objetivos de países'!$J$5:$J$510,$A50)+_xlfn.COUNTIFS('Datos - Objetivos de países'!$B$5:$B$510,"Uruguay",'Datos - Objetivos de países'!$F$5:$F$510,AE$3,'Datos - Objetivos de países'!$K$5:$K$510,$A50)</f>
        <v>7</v>
      </c>
      <c r="AF50" s="36" cm="1">
        <f t="array" ref="AF50">_xlfn.COUNTIFS('Datos - Objetivos de países'!$B$5:$B$510,"Colombia",'Datos - Objetivos de países'!$F$5:$F$510,AF$3,'Datos - Objetivos de países'!$J$5:$J$510,$A50)+_xlfn.COUNTIFS('Datos - Objetivos de países'!$B$5:$B$510,"Colombia",'Datos - Objetivos de países'!$F$5:$F$510,AF$3,'Datos - Objetivos de países'!$K$5:$K$510,$A50)</f>
        <v>0</v>
      </c>
      <c r="AG50" s="36" cm="1">
        <f t="array" ref="AG50">_xlfn.COUNTIFS('Datos - Objetivos de países'!$B$5:$B$510,"Colombia",'Datos - Objetivos de países'!$F$5:$F$510,AG$3,'Datos - Objetivos de países'!$J$5:$J$510,$A50)+_xlfn.COUNTIFS('Datos - Objetivos de países'!$B$5:$B$510,"Colombia",'Datos - Objetivos de países'!$F$5:$F$510,AG$3,'Datos - Objetivos de países'!$K$5:$K$510,$A50)</f>
        <v>0</v>
      </c>
      <c r="AH50" s="36" cm="1">
        <f t="array" ref="AH50">_xlfn.COUNTIFS('Datos - Objetivos de países'!$B$5:$B$510,"Colombia",'Datos - Objetivos de países'!$F$5:$F$510,AH$3,'Datos - Objetivos de países'!$J$5:$J$510,$A50)+_xlfn.COUNTIFS('Datos - Objetivos de países'!$B$5:$B$510,"Colombia",'Datos - Objetivos de países'!$F$5:$F$510,AH$3,'Datos - Objetivos de países'!$K$5:$K$510,$A50)</f>
        <v>0</v>
      </c>
      <c r="AI50" s="36" cm="1">
        <f t="array" ref="AI50">_xlfn.COUNTIFS('Datos - Objetivos de países'!$B$5:$B$510,"Colombia",'Datos - Objetivos de países'!$F$5:$F$510,AI$3,'Datos - Objetivos de países'!$J$5:$J$510,$A50)+_xlfn.COUNTIFS('Datos - Objetivos de países'!$B$5:$B$510,"Colombia",'Datos - Objetivos de países'!$F$5:$F$510,AI$3,'Datos - Objetivos de países'!$K$5:$K$510,$A50)</f>
        <v>0</v>
      </c>
      <c r="AJ50" s="36" cm="1">
        <f t="array" ref="AJ50">_xlfn.COUNTIFS('Datos - Objetivos de países'!$B$5:$B$510,"Colombia",'Datos - Objetivos de países'!$F$5:$F$510,AJ$3,'Datos - Objetivos de países'!$J$5:$J$510,$A50)+_xlfn.COUNTIFS('Datos - Objetivos de países'!$B$5:$B$510,"Colombia",'Datos - Objetivos de países'!$F$5:$F$510,AJ$3,'Datos - Objetivos de países'!$K$5:$K$510,$A50)</f>
        <v>0</v>
      </c>
      <c r="AK50" s="36" cm="1">
        <f t="array" ref="AK50">_xlfn.COUNTIFS('Datos - Objetivos de países'!$B$5:$B$510,"Colombia",'Datos - Objetivos de países'!$F$5:$F$510,AK$3,'Datos - Objetivos de países'!$J$5:$J$510,$A50)+_xlfn.COUNTIFS('Datos - Objetivos de países'!$B$5:$B$510,"Colombia",'Datos - Objetivos de países'!$F$5:$F$510,AK$3,'Datos - Objetivos de países'!$K$5:$K$510,$A50)</f>
        <v>1</v>
      </c>
      <c r="AL50" s="36" cm="1">
        <f t="array" ref="AL50">_xlfn.COUNTIFS('Datos - Objetivos de países'!$B$5:$B$510,"Colombia",'Datos - Objetivos de países'!$F$5:$F$510,AL$3,'Datos - Objetivos de países'!$J$5:$J$510,$A50)+_xlfn.COUNTIFS('Datos - Objetivos de países'!$B$5:$B$510,"Colombia",'Datos - Objetivos de países'!$F$5:$F$510,AL$3,'Datos - Objetivos de países'!$K$5:$K$510,$A50)</f>
        <v>0</v>
      </c>
      <c r="AM50" s="36" cm="1">
        <f t="array" ref="AM50">_xlfn.COUNTIFS('Datos - Objetivos de países'!$B$5:$B$510,"Colombia",'Datos - Objetivos de países'!$F$5:$F$510,AM$3,'Datos - Objetivos de países'!$J$5:$J$510,$A50)+_xlfn.COUNTIFS('Datos - Objetivos de países'!$B$5:$B$510,"Colombia",'Datos - Objetivos de países'!$F$5:$F$510,AM$3,'Datos - Objetivos de países'!$K$5:$K$510,$A50)</f>
        <v>1</v>
      </c>
      <c r="AN50" s="36" cm="1">
        <f t="array" ref="AN50">_xlfn.COUNTIFS('Datos - Objetivos de países'!$B$5:$B$510,"Colombia",'Datos - Objetivos de países'!$F$5:$F$510,AN$3,'Datos - Objetivos de países'!$J$5:$J$510,$A50)+_xlfn.COUNTIFS('Datos - Objetivos de países'!$B$5:$B$510,"Colombia",'Datos - Objetivos de países'!$F$5:$F$510,AN$3,'Datos - Objetivos de países'!$K$5:$K$510,$A50)</f>
        <v>0</v>
      </c>
      <c r="AO50" s="36" cm="1">
        <f t="array" ref="AO50">_xlfn.COUNTIFS('Datos - Objetivos de países'!$B$5:$B$510,"Singapur",'Datos - Objetivos de países'!$F$5:$F$510,AO$3,'Datos - Objetivos de países'!$J$5:$J$510,$A50)+_xlfn.COUNTIFS('Datos - Objetivos de países'!$B$5:$B$510,"Singapur",'Datos - Objetivos de países'!$F$5:$F$510,AO$3,'Datos - Objetivos de países'!$K$5:$K$510,$A50)</f>
        <v>0</v>
      </c>
      <c r="AP50" s="36" cm="1">
        <f t="array" ref="AP50">_xlfn.COUNTIFS('Datos - Objetivos de países'!$B$5:$B$510,"Singapur",'Datos - Objetivos de países'!$F$5:$F$510,AP$3,'Datos - Objetivos de países'!$J$5:$J$510,$A50)+_xlfn.COUNTIFS('Datos - Objetivos de países'!$B$5:$B$510,"Singapur",'Datos - Objetivos de países'!$F$5:$F$510,AP$3,'Datos - Objetivos de países'!$K$5:$K$510,$A50)</f>
        <v>0</v>
      </c>
      <c r="AQ50" s="36" cm="1">
        <f t="array" ref="AQ50">_xlfn.COUNTIFS('Datos - Objetivos de países'!$B$5:$B$510,"Singapur",'Datos - Objetivos de países'!$F$5:$F$510,AQ$3,'Datos - Objetivos de países'!$J$5:$J$510,$A50)+_xlfn.COUNTIFS('Datos - Objetivos de países'!$B$5:$B$510,"Singapur",'Datos - Objetivos de países'!$F$5:$F$510,AQ$3,'Datos - Objetivos de países'!$K$5:$K$510,$A50)</f>
        <v>0</v>
      </c>
      <c r="AR50" s="36" cm="1">
        <f t="array" ref="AR50">_xlfn.COUNTIFS('Datos - Objetivos de países'!$B$5:$B$510,"Singapur",'Datos - Objetivos de países'!$F$5:$F$510,AR$3,'Datos - Objetivos de países'!$J$5:$J$510,$A50)+_xlfn.COUNTIFS('Datos - Objetivos de países'!$B$5:$B$510,"Singapur",'Datos - Objetivos de países'!$F$5:$F$510,AR$3,'Datos - Objetivos de países'!$K$5:$K$510,$A50)</f>
        <v>0</v>
      </c>
      <c r="AS50" s="36" cm="1">
        <f t="array" ref="AS50">_xlfn.COUNTIFS('Datos - Objetivos de países'!$B$5:$B$510,"Singapur",'Datos - Objetivos de países'!$F$5:$F$510,AS$3,'Datos - Objetivos de países'!$J$5:$J$510,$A50)+_xlfn.COUNTIFS('Datos - Objetivos de países'!$B$5:$B$510,"Singapur",'Datos - Objetivos de países'!$F$5:$F$510,AS$3,'Datos - Objetivos de países'!$K$5:$K$510,$A50)</f>
        <v>0</v>
      </c>
      <c r="AT50" s="36" cm="1">
        <f t="array" ref="AT50">_xlfn.COUNTIFS('Datos - Objetivos de países'!$B$5:$B$510,"Singapur",'Datos - Objetivos de países'!$F$5:$F$510,AT$3,'Datos - Objetivos de países'!$J$5:$J$510,$A50)+_xlfn.COUNTIFS('Datos - Objetivos de países'!$B$5:$B$510,"Singapur",'Datos - Objetivos de países'!$F$5:$F$510,AT$3,'Datos - Objetivos de países'!$K$5:$K$510,$A50)</f>
        <v>0</v>
      </c>
      <c r="AU50" s="36" cm="1">
        <f t="array" ref="AU50">_xlfn.COUNTIFS('Datos - Objetivos de países'!$B$5:$B$510,"Singapur",'Datos - Objetivos de países'!$F$5:$F$510,AU$3,'Datos - Objetivos de países'!$J$5:$J$510,$A50)+_xlfn.COUNTIFS('Datos - Objetivos de países'!$B$5:$B$510,"Singapur",'Datos - Objetivos de países'!$F$5:$F$510,AU$3,'Datos - Objetivos de países'!$K$5:$K$510,$A50)</f>
        <v>0</v>
      </c>
      <c r="AV50" s="36" cm="1">
        <f t="array" ref="AV50">_xlfn.COUNTIFS('Datos - Objetivos de países'!$B$5:$B$510,"Singapur",'Datos - Objetivos de países'!$F$5:$F$510,AV$3,'Datos - Objetivos de países'!$J$5:$J$510,$A50)+_xlfn.COUNTIFS('Datos - Objetivos de países'!$B$5:$B$510,"Singapur",'Datos - Objetivos de países'!$F$5:$F$510,AV$3,'Datos - Objetivos de países'!$K$5:$K$510,$A50)</f>
        <v>0</v>
      </c>
      <c r="AW50" s="36" cm="1">
        <f t="array" ref="AW50">_xlfn.COUNTIFS('Datos - Objetivos de países'!$B$5:$B$510,"Singapur",'Datos - Objetivos de países'!$F$5:$F$510,AW$3,'Datos - Objetivos de países'!$J$5:$J$510,$A50)+_xlfn.COUNTIFS('Datos - Objetivos de países'!$B$5:$B$510,"Singapur",'Datos - Objetivos de países'!$F$5:$F$510,AW$3,'Datos - Objetivos de países'!$K$5:$K$510,$A50)</f>
        <v>0</v>
      </c>
    </row>
    <row r="51" ht="13.65" customHeight="1">
      <c r="A51" t="s" s="78">
        <v>1205</v>
      </c>
      <c r="B51" t="s" s="78">
        <v>1164</v>
      </c>
      <c r="C51" t="s" s="78">
        <v>210</v>
      </c>
      <c r="D51" t="s" s="78">
        <v>1097</v>
      </c>
      <c r="E51" s="80" cm="1">
        <f t="array" ref="E51">_xlfn.IFERROR(MAX($L$3,INDEX($N$3:$V$3,MATCH(TRUE,INDEX(N51:V51&gt;0,0),0))),"—")</f>
        <v>6</v>
      </c>
      <c r="F51" s="80" cm="1">
        <f t="array" ref="F51">_xlfn.IFERROR(MAX($L$3,INDEX($W$3:$AE$3,MATCH(TRUE,INDEX(W51:AE51&gt;0,0),0))),"—")</f>
        <v>5</v>
      </c>
      <c r="G51" s="80" cm="1">
        <f t="array" ref="G51">_xlfn.IFERROR(MAX($L$3,INDEX($AF$3:$AN$3,MATCH(TRUE,INDEX(AF51:AN51&gt;0,0),0))),"—")</f>
        <v>6</v>
      </c>
      <c r="H51" t="str" s="79" cm="1">
        <f t="array" ref="H51">_xlfn.IFERROR(MAX($L$3,INDEX($AO$3:$AW$3,MATCH(TRUE,INDEX(AO51:AW51&gt;0,0),0))),"—")</f>
        <v>—</v>
      </c>
      <c r="I51" s="111" cm="1">
        <f t="array" ref="I51">IF(L51=0,"—",MEDIAN(F51:H51))</f>
        <v>5.5</v>
      </c>
      <c r="J51" s="111" cm="1">
        <f t="array" ref="J51">IF(OR(E51="—",I51="—"),"—",E51-I51)</f>
        <v>0.5</v>
      </c>
      <c r="K51" t="str" s="49" cm="1">
        <f t="array" ref="K51">IF(E51="—",IF(L51=0,"Nadie lo trabaja","El Salvador no llega"),IF(L51=0,"Solo El Salvador",IF(J51&gt;0,"El Salvador llega más tarde",IF(J51&lt;0,"El Salvador va adelantado","Mismo grado"))))</f>
        <v>El Salvador llega más tarde</v>
      </c>
      <c r="L51" s="80" cm="1">
        <f t="array" ref="L51">COUNT(F51:H51)</f>
        <v>2</v>
      </c>
      <c r="M51" s="110"/>
      <c r="N51" s="36" cm="1">
        <f t="array" ref="N51">_xlfn.COUNTIFS('Datos - Temas'!$C$5:$C$1264,"Ciencias",'Datos - Temas'!$B$5:$B$1264,N$3,'Datos - Temas'!$K$5:$K$1264,$A51)+_xlfn.COUNTIFS('Datos - Temas'!$C$5:$C$1264,"Ciencias",'Datos - Temas'!$B$5:$B$1264,N$3,'Datos - Temas'!$L$5:$L$1264,$A51)</f>
        <v>0</v>
      </c>
      <c r="O51" s="36" cm="1">
        <f t="array" ref="O51">_xlfn.COUNTIFS('Datos - Temas'!$C$5:$C$1264,"Ciencias",'Datos - Temas'!$B$5:$B$1264,O$3,'Datos - Temas'!$K$5:$K$1264,$A51)+_xlfn.COUNTIFS('Datos - Temas'!$C$5:$C$1264,"Ciencias",'Datos - Temas'!$B$5:$B$1264,O$3,'Datos - Temas'!$L$5:$L$1264,$A51)</f>
        <v>0</v>
      </c>
      <c r="P51" s="36" cm="1">
        <f t="array" ref="P51">_xlfn.COUNTIFS('Datos - Temas'!$C$5:$C$1264,"Ciencias",'Datos - Temas'!$B$5:$B$1264,P$3,'Datos - Temas'!$K$5:$K$1264,$A51)+_xlfn.COUNTIFS('Datos - Temas'!$C$5:$C$1264,"Ciencias",'Datos - Temas'!$B$5:$B$1264,P$3,'Datos - Temas'!$L$5:$L$1264,$A51)</f>
        <v>0</v>
      </c>
      <c r="Q51" s="36" cm="1">
        <f t="array" ref="Q51">_xlfn.COUNTIFS('Datos - Temas'!$C$5:$C$1264,"Ciencias",'Datos - Temas'!$B$5:$B$1264,Q$3,'Datos - Temas'!$K$5:$K$1264,$A51)+_xlfn.COUNTIFS('Datos - Temas'!$C$5:$C$1264,"Ciencias",'Datos - Temas'!$B$5:$B$1264,Q$3,'Datos - Temas'!$L$5:$L$1264,$A51)</f>
        <v>0</v>
      </c>
      <c r="R51" s="36" cm="1">
        <f t="array" ref="R51">_xlfn.COUNTIFS('Datos - Temas'!$C$5:$C$1264,"Ciencias",'Datos - Temas'!$B$5:$B$1264,R$3,'Datos - Temas'!$K$5:$K$1264,$A51)+_xlfn.COUNTIFS('Datos - Temas'!$C$5:$C$1264,"Ciencias",'Datos - Temas'!$B$5:$B$1264,R$3,'Datos - Temas'!$L$5:$L$1264,$A51)</f>
        <v>0</v>
      </c>
      <c r="S51" s="36" cm="1">
        <f t="array" ref="S51">_xlfn.COUNTIFS('Datos - Temas'!$C$5:$C$1264,"Ciencias",'Datos - Temas'!$B$5:$B$1264,S$3,'Datos - Temas'!$K$5:$K$1264,$A51)+_xlfn.COUNTIFS('Datos - Temas'!$C$5:$C$1264,"Ciencias",'Datos - Temas'!$B$5:$B$1264,S$3,'Datos - Temas'!$L$5:$L$1264,$A51)</f>
        <v>1</v>
      </c>
      <c r="T51" s="36" cm="1">
        <f t="array" ref="T51">_xlfn.COUNTIFS('Datos - Temas'!$C$5:$C$1264,"Ciencias",'Datos - Temas'!$B$5:$B$1264,T$3,'Datos - Temas'!$K$5:$K$1264,$A51)+_xlfn.COUNTIFS('Datos - Temas'!$C$5:$C$1264,"Ciencias",'Datos - Temas'!$B$5:$B$1264,T$3,'Datos - Temas'!$L$5:$L$1264,$A51)</f>
        <v>1</v>
      </c>
      <c r="U51" s="36" cm="1">
        <f t="array" ref="U51">_xlfn.COUNTIFS('Datos - Temas'!$C$5:$C$1264,"Ciencias",'Datos - Temas'!$B$5:$B$1264,U$3,'Datos - Temas'!$K$5:$K$1264,$A51)+_xlfn.COUNTIFS('Datos - Temas'!$C$5:$C$1264,"Ciencias",'Datos - Temas'!$B$5:$B$1264,U$3,'Datos - Temas'!$L$5:$L$1264,$A51)</f>
        <v>0</v>
      </c>
      <c r="V51" s="36" cm="1">
        <f t="array" ref="V51">_xlfn.COUNTIFS('Datos - Temas'!$C$5:$C$1264,"Ciencias",'Datos - Temas'!$B$5:$B$1264,V$3,'Datos - Temas'!$K$5:$K$1264,$A51)+_xlfn.COUNTIFS('Datos - Temas'!$C$5:$C$1264,"Ciencias",'Datos - Temas'!$B$5:$B$1264,V$3,'Datos - Temas'!$L$5:$L$1264,$A51)</f>
        <v>0</v>
      </c>
      <c r="W51" s="36" cm="1">
        <f t="array" ref="W51">_xlfn.COUNTIFS('Datos - Objetivos de países'!$B$5:$B$510,"Uruguay",'Datos - Objetivos de países'!$F$5:$F$510,W$3,'Datos - Objetivos de países'!$J$5:$J$510,$A51)+_xlfn.COUNTIFS('Datos - Objetivos de países'!$B$5:$B$510,"Uruguay",'Datos - Objetivos de países'!$F$5:$F$510,W$3,'Datos - Objetivos de países'!$K$5:$K$510,$A51)</f>
        <v>0</v>
      </c>
      <c r="X51" s="36" cm="1">
        <f t="array" ref="X51">_xlfn.COUNTIFS('Datos - Objetivos de países'!$B$5:$B$510,"Uruguay",'Datos - Objetivos de países'!$F$5:$F$510,X$3,'Datos - Objetivos de países'!$J$5:$J$510,$A51)+_xlfn.COUNTIFS('Datos - Objetivos de países'!$B$5:$B$510,"Uruguay",'Datos - Objetivos de países'!$F$5:$F$510,X$3,'Datos - Objetivos de países'!$K$5:$K$510,$A51)</f>
        <v>0</v>
      </c>
      <c r="Y51" s="36" cm="1">
        <f t="array" ref="Y51">_xlfn.COUNTIFS('Datos - Objetivos de países'!$B$5:$B$510,"Uruguay",'Datos - Objetivos de países'!$F$5:$F$510,Y$3,'Datos - Objetivos de países'!$J$5:$J$510,$A51)+_xlfn.COUNTIFS('Datos - Objetivos de países'!$B$5:$B$510,"Uruguay",'Datos - Objetivos de países'!$F$5:$F$510,Y$3,'Datos - Objetivos de países'!$K$5:$K$510,$A51)</f>
        <v>0</v>
      </c>
      <c r="Z51" s="36" cm="1">
        <f t="array" ref="Z51">_xlfn.COUNTIFS('Datos - Objetivos de países'!$B$5:$B$510,"Uruguay",'Datos - Objetivos de países'!$F$5:$F$510,Z$3,'Datos - Objetivos de países'!$J$5:$J$510,$A51)+_xlfn.COUNTIFS('Datos - Objetivos de países'!$B$5:$B$510,"Uruguay",'Datos - Objetivos de países'!$F$5:$F$510,Z$3,'Datos - Objetivos de países'!$K$5:$K$510,$A51)</f>
        <v>0</v>
      </c>
      <c r="AA51" s="36" cm="1">
        <f t="array" ref="AA51">_xlfn.COUNTIFS('Datos - Objetivos de países'!$B$5:$B$510,"Uruguay",'Datos - Objetivos de países'!$F$5:$F$510,AA$3,'Datos - Objetivos de países'!$J$5:$J$510,$A51)+_xlfn.COUNTIFS('Datos - Objetivos de países'!$B$5:$B$510,"Uruguay",'Datos - Objetivos de países'!$F$5:$F$510,AA$3,'Datos - Objetivos de países'!$K$5:$K$510,$A51)</f>
        <v>1</v>
      </c>
      <c r="AB51" s="36" cm="1">
        <f t="array" ref="AB51">_xlfn.COUNTIFS('Datos - Objetivos de países'!$B$5:$B$510,"Uruguay",'Datos - Objetivos de países'!$F$5:$F$510,AB$3,'Datos - Objetivos de países'!$J$5:$J$510,$A51)+_xlfn.COUNTIFS('Datos - Objetivos de países'!$B$5:$B$510,"Uruguay",'Datos - Objetivos de países'!$F$5:$F$510,AB$3,'Datos - Objetivos de países'!$K$5:$K$510,$A51)</f>
        <v>0</v>
      </c>
      <c r="AC51" s="36" cm="1">
        <f t="array" ref="AC51">_xlfn.COUNTIFS('Datos - Objetivos de países'!$B$5:$B$510,"Uruguay",'Datos - Objetivos de países'!$F$5:$F$510,AC$3,'Datos - Objetivos de países'!$J$5:$J$510,$A51)+_xlfn.COUNTIFS('Datos - Objetivos de países'!$B$5:$B$510,"Uruguay",'Datos - Objetivos de países'!$F$5:$F$510,AC$3,'Datos - Objetivos de países'!$K$5:$K$510,$A51)</f>
        <v>0</v>
      </c>
      <c r="AD51" s="36" cm="1">
        <f t="array" ref="AD51">_xlfn.COUNTIFS('Datos - Objetivos de países'!$B$5:$B$510,"Uruguay",'Datos - Objetivos de países'!$F$5:$F$510,AD$3,'Datos - Objetivos de países'!$J$5:$J$510,$A51)+_xlfn.COUNTIFS('Datos - Objetivos de países'!$B$5:$B$510,"Uruguay",'Datos - Objetivos de países'!$F$5:$F$510,AD$3,'Datos - Objetivos de países'!$K$5:$K$510,$A51)</f>
        <v>6</v>
      </c>
      <c r="AE51" s="36" cm="1">
        <f t="array" ref="AE51">_xlfn.COUNTIFS('Datos - Objetivos de países'!$B$5:$B$510,"Uruguay",'Datos - Objetivos de países'!$F$5:$F$510,AE$3,'Datos - Objetivos de países'!$J$5:$J$510,$A51)+_xlfn.COUNTIFS('Datos - Objetivos de países'!$B$5:$B$510,"Uruguay",'Datos - Objetivos de países'!$F$5:$F$510,AE$3,'Datos - Objetivos de países'!$K$5:$K$510,$A51)</f>
        <v>3</v>
      </c>
      <c r="AF51" s="36" cm="1">
        <f t="array" ref="AF51">_xlfn.COUNTIFS('Datos - Objetivos de países'!$B$5:$B$510,"Colombia",'Datos - Objetivos de países'!$F$5:$F$510,AF$3,'Datos - Objetivos de países'!$J$5:$J$510,$A51)+_xlfn.COUNTIFS('Datos - Objetivos de países'!$B$5:$B$510,"Colombia",'Datos - Objetivos de países'!$F$5:$F$510,AF$3,'Datos - Objetivos de países'!$K$5:$K$510,$A51)</f>
        <v>0</v>
      </c>
      <c r="AG51" s="36" cm="1">
        <f t="array" ref="AG51">_xlfn.COUNTIFS('Datos - Objetivos de países'!$B$5:$B$510,"Colombia",'Datos - Objetivos de países'!$F$5:$F$510,AG$3,'Datos - Objetivos de países'!$J$5:$J$510,$A51)+_xlfn.COUNTIFS('Datos - Objetivos de países'!$B$5:$B$510,"Colombia",'Datos - Objetivos de países'!$F$5:$F$510,AG$3,'Datos - Objetivos de países'!$K$5:$K$510,$A51)</f>
        <v>0</v>
      </c>
      <c r="AH51" s="36" cm="1">
        <f t="array" ref="AH51">_xlfn.COUNTIFS('Datos - Objetivos de países'!$B$5:$B$510,"Colombia",'Datos - Objetivos de países'!$F$5:$F$510,AH$3,'Datos - Objetivos de países'!$J$5:$J$510,$A51)+_xlfn.COUNTIFS('Datos - Objetivos de países'!$B$5:$B$510,"Colombia",'Datos - Objetivos de países'!$F$5:$F$510,AH$3,'Datos - Objetivos de países'!$K$5:$K$510,$A51)</f>
        <v>0</v>
      </c>
      <c r="AI51" s="36" cm="1">
        <f t="array" ref="AI51">_xlfn.COUNTIFS('Datos - Objetivos de países'!$B$5:$B$510,"Colombia",'Datos - Objetivos de países'!$F$5:$F$510,AI$3,'Datos - Objetivos de países'!$J$5:$J$510,$A51)+_xlfn.COUNTIFS('Datos - Objetivos de países'!$B$5:$B$510,"Colombia",'Datos - Objetivos de países'!$F$5:$F$510,AI$3,'Datos - Objetivos de países'!$K$5:$K$510,$A51)</f>
        <v>0</v>
      </c>
      <c r="AJ51" s="36" cm="1">
        <f t="array" ref="AJ51">_xlfn.COUNTIFS('Datos - Objetivos de países'!$B$5:$B$510,"Colombia",'Datos - Objetivos de países'!$F$5:$F$510,AJ$3,'Datos - Objetivos de países'!$J$5:$J$510,$A51)+_xlfn.COUNTIFS('Datos - Objetivos de países'!$B$5:$B$510,"Colombia",'Datos - Objetivos de países'!$F$5:$F$510,AJ$3,'Datos - Objetivos de países'!$K$5:$K$510,$A51)</f>
        <v>0</v>
      </c>
      <c r="AK51" s="36" cm="1">
        <f t="array" ref="AK51">_xlfn.COUNTIFS('Datos - Objetivos de países'!$B$5:$B$510,"Colombia",'Datos - Objetivos de países'!$F$5:$F$510,AK$3,'Datos - Objetivos de países'!$J$5:$J$510,$A51)+_xlfn.COUNTIFS('Datos - Objetivos de países'!$B$5:$B$510,"Colombia",'Datos - Objetivos de países'!$F$5:$F$510,AK$3,'Datos - Objetivos de países'!$K$5:$K$510,$A51)</f>
        <v>3</v>
      </c>
      <c r="AL51" s="36" cm="1">
        <f t="array" ref="AL51">_xlfn.COUNTIFS('Datos - Objetivos de países'!$B$5:$B$510,"Colombia",'Datos - Objetivos de países'!$F$5:$F$510,AL$3,'Datos - Objetivos de países'!$J$5:$J$510,$A51)+_xlfn.COUNTIFS('Datos - Objetivos de países'!$B$5:$B$510,"Colombia",'Datos - Objetivos de países'!$F$5:$F$510,AL$3,'Datos - Objetivos de países'!$K$5:$K$510,$A51)</f>
        <v>0</v>
      </c>
      <c r="AM51" s="36" cm="1">
        <f t="array" ref="AM51">_xlfn.COUNTIFS('Datos - Objetivos de países'!$B$5:$B$510,"Colombia",'Datos - Objetivos de países'!$F$5:$F$510,AM$3,'Datos - Objetivos de países'!$J$5:$J$510,$A51)+_xlfn.COUNTIFS('Datos - Objetivos de países'!$B$5:$B$510,"Colombia",'Datos - Objetivos de países'!$F$5:$F$510,AM$3,'Datos - Objetivos de países'!$K$5:$K$510,$A51)</f>
        <v>2</v>
      </c>
      <c r="AN51" s="36" cm="1">
        <f t="array" ref="AN51">_xlfn.COUNTIFS('Datos - Objetivos de países'!$B$5:$B$510,"Colombia",'Datos - Objetivos de países'!$F$5:$F$510,AN$3,'Datos - Objetivos de países'!$J$5:$J$510,$A51)+_xlfn.COUNTIFS('Datos - Objetivos de países'!$B$5:$B$510,"Colombia",'Datos - Objetivos de países'!$F$5:$F$510,AN$3,'Datos - Objetivos de países'!$K$5:$K$510,$A51)</f>
        <v>0</v>
      </c>
      <c r="AO51" s="36" cm="1">
        <f t="array" ref="AO51">_xlfn.COUNTIFS('Datos - Objetivos de países'!$B$5:$B$510,"Singapur",'Datos - Objetivos de países'!$F$5:$F$510,AO$3,'Datos - Objetivos de países'!$J$5:$J$510,$A51)+_xlfn.COUNTIFS('Datos - Objetivos de países'!$B$5:$B$510,"Singapur",'Datos - Objetivos de países'!$F$5:$F$510,AO$3,'Datos - Objetivos de países'!$K$5:$K$510,$A51)</f>
        <v>0</v>
      </c>
      <c r="AP51" s="36" cm="1">
        <f t="array" ref="AP51">_xlfn.COUNTIFS('Datos - Objetivos de países'!$B$5:$B$510,"Singapur",'Datos - Objetivos de países'!$F$5:$F$510,AP$3,'Datos - Objetivos de países'!$J$5:$J$510,$A51)+_xlfn.COUNTIFS('Datos - Objetivos de países'!$B$5:$B$510,"Singapur",'Datos - Objetivos de países'!$F$5:$F$510,AP$3,'Datos - Objetivos de países'!$K$5:$K$510,$A51)</f>
        <v>0</v>
      </c>
      <c r="AQ51" s="36" cm="1">
        <f t="array" ref="AQ51">_xlfn.COUNTIFS('Datos - Objetivos de países'!$B$5:$B$510,"Singapur",'Datos - Objetivos de países'!$F$5:$F$510,AQ$3,'Datos - Objetivos de países'!$J$5:$J$510,$A51)+_xlfn.COUNTIFS('Datos - Objetivos de países'!$B$5:$B$510,"Singapur",'Datos - Objetivos de países'!$F$5:$F$510,AQ$3,'Datos - Objetivos de países'!$K$5:$K$510,$A51)</f>
        <v>0</v>
      </c>
      <c r="AR51" s="36" cm="1">
        <f t="array" ref="AR51">_xlfn.COUNTIFS('Datos - Objetivos de países'!$B$5:$B$510,"Singapur",'Datos - Objetivos de países'!$F$5:$F$510,AR$3,'Datos - Objetivos de países'!$J$5:$J$510,$A51)+_xlfn.COUNTIFS('Datos - Objetivos de países'!$B$5:$B$510,"Singapur",'Datos - Objetivos de países'!$F$5:$F$510,AR$3,'Datos - Objetivos de países'!$K$5:$K$510,$A51)</f>
        <v>0</v>
      </c>
      <c r="AS51" s="36" cm="1">
        <f t="array" ref="AS51">_xlfn.COUNTIFS('Datos - Objetivos de países'!$B$5:$B$510,"Singapur",'Datos - Objetivos de países'!$F$5:$F$510,AS$3,'Datos - Objetivos de países'!$J$5:$J$510,$A51)+_xlfn.COUNTIFS('Datos - Objetivos de países'!$B$5:$B$510,"Singapur",'Datos - Objetivos de países'!$F$5:$F$510,AS$3,'Datos - Objetivos de países'!$K$5:$K$510,$A51)</f>
        <v>0</v>
      </c>
      <c r="AT51" s="36" cm="1">
        <f t="array" ref="AT51">_xlfn.COUNTIFS('Datos - Objetivos de países'!$B$5:$B$510,"Singapur",'Datos - Objetivos de países'!$F$5:$F$510,AT$3,'Datos - Objetivos de países'!$J$5:$J$510,$A51)+_xlfn.COUNTIFS('Datos - Objetivos de países'!$B$5:$B$510,"Singapur",'Datos - Objetivos de países'!$F$5:$F$510,AT$3,'Datos - Objetivos de países'!$K$5:$K$510,$A51)</f>
        <v>0</v>
      </c>
      <c r="AU51" s="36" cm="1">
        <f t="array" ref="AU51">_xlfn.COUNTIFS('Datos - Objetivos de países'!$B$5:$B$510,"Singapur",'Datos - Objetivos de países'!$F$5:$F$510,AU$3,'Datos - Objetivos de países'!$J$5:$J$510,$A51)+_xlfn.COUNTIFS('Datos - Objetivos de países'!$B$5:$B$510,"Singapur",'Datos - Objetivos de países'!$F$5:$F$510,AU$3,'Datos - Objetivos de países'!$K$5:$K$510,$A51)</f>
        <v>0</v>
      </c>
      <c r="AV51" s="36" cm="1">
        <f t="array" ref="AV51">_xlfn.COUNTIFS('Datos - Objetivos de países'!$B$5:$B$510,"Singapur",'Datos - Objetivos de países'!$F$5:$F$510,AV$3,'Datos - Objetivos de países'!$J$5:$J$510,$A51)+_xlfn.COUNTIFS('Datos - Objetivos de países'!$B$5:$B$510,"Singapur",'Datos - Objetivos de países'!$F$5:$F$510,AV$3,'Datos - Objetivos de países'!$K$5:$K$510,$A51)</f>
        <v>0</v>
      </c>
      <c r="AW51" s="36" cm="1">
        <f t="array" ref="AW51">_xlfn.COUNTIFS('Datos - Objetivos de países'!$B$5:$B$510,"Singapur",'Datos - Objetivos de países'!$F$5:$F$510,AW$3,'Datos - Objetivos de países'!$J$5:$J$510,$A51)+_xlfn.COUNTIFS('Datos - Objetivos de países'!$B$5:$B$510,"Singapur",'Datos - Objetivos de países'!$F$5:$F$510,AW$3,'Datos - Objetivos de países'!$K$5:$K$510,$A51)</f>
        <v>0</v>
      </c>
    </row>
    <row r="52" ht="13.65" customHeight="1">
      <c r="A52" t="s" s="78">
        <v>1207</v>
      </c>
      <c r="B52" t="s" s="78">
        <v>1164</v>
      </c>
      <c r="C52" t="s" s="78">
        <v>210</v>
      </c>
      <c r="D52" t="s" s="78">
        <v>1101</v>
      </c>
      <c r="E52" s="80" cm="1">
        <f t="array" ref="E52">_xlfn.IFERROR(MAX($L$3,INDEX($N$3:$V$3,MATCH(TRUE,INDEX(N52:V52&gt;0,0),0))),"—")</f>
        <v>6</v>
      </c>
      <c r="F52" s="80" cm="1">
        <f t="array" ref="F52">_xlfn.IFERROR(MAX($L$3,INDEX($W$3:$AE$3,MATCH(TRUE,INDEX(W52:AE52&gt;0,0),0))),"—")</f>
        <v>5</v>
      </c>
      <c r="G52" s="80" cm="1">
        <f t="array" ref="G52">_xlfn.IFERROR(MAX($L$3,INDEX($AF$3:$AN$3,MATCH(TRUE,INDEX(AF52:AN52&gt;0,0),0))),"—")</f>
        <v>6</v>
      </c>
      <c r="H52" s="80" cm="1">
        <f t="array" ref="H52">_xlfn.IFERROR(MAX($L$3,INDEX($AO$3:$AW$3,MATCH(TRUE,INDEX(AO52:AW52&gt;0,0),0))),"—")</f>
        <v>5</v>
      </c>
      <c r="I52" s="111" cm="1">
        <f t="array" ref="I52">IF(L52=0,"—",MEDIAN(F52:H52))</f>
        <v>5</v>
      </c>
      <c r="J52" s="111" cm="1">
        <f t="array" ref="J52">IF(OR(E52="—",I52="—"),"—",E52-I52)</f>
        <v>1</v>
      </c>
      <c r="K52" t="str" s="49" cm="1">
        <f t="array" ref="K52">IF(E52="—",IF(L52=0,"Nadie lo trabaja","El Salvador no llega"),IF(L52=0,"Solo El Salvador",IF(J52&gt;0,"El Salvador llega más tarde",IF(J52&lt;0,"El Salvador va adelantado","Mismo grado"))))</f>
        <v>El Salvador llega más tarde</v>
      </c>
      <c r="L52" s="80" cm="1">
        <f t="array" ref="L52">COUNT(F52:H52)</f>
        <v>3</v>
      </c>
      <c r="M52" s="110"/>
      <c r="N52" s="36" cm="1">
        <f t="array" ref="N52">_xlfn.COUNTIFS('Datos - Temas'!$C$5:$C$1264,"Ciencias",'Datos - Temas'!$B$5:$B$1264,N$3,'Datos - Temas'!$K$5:$K$1264,$A52)+_xlfn.COUNTIFS('Datos - Temas'!$C$5:$C$1264,"Ciencias",'Datos - Temas'!$B$5:$B$1264,N$3,'Datos - Temas'!$L$5:$L$1264,$A52)</f>
        <v>0</v>
      </c>
      <c r="O52" s="36" cm="1">
        <f t="array" ref="O52">_xlfn.COUNTIFS('Datos - Temas'!$C$5:$C$1264,"Ciencias",'Datos - Temas'!$B$5:$B$1264,O$3,'Datos - Temas'!$K$5:$K$1264,$A52)+_xlfn.COUNTIFS('Datos - Temas'!$C$5:$C$1264,"Ciencias",'Datos - Temas'!$B$5:$B$1264,O$3,'Datos - Temas'!$L$5:$L$1264,$A52)</f>
        <v>0</v>
      </c>
      <c r="P52" s="36" cm="1">
        <f t="array" ref="P52">_xlfn.COUNTIFS('Datos - Temas'!$C$5:$C$1264,"Ciencias",'Datos - Temas'!$B$5:$B$1264,P$3,'Datos - Temas'!$K$5:$K$1264,$A52)+_xlfn.COUNTIFS('Datos - Temas'!$C$5:$C$1264,"Ciencias",'Datos - Temas'!$B$5:$B$1264,P$3,'Datos - Temas'!$L$5:$L$1264,$A52)</f>
        <v>0</v>
      </c>
      <c r="Q52" s="36" cm="1">
        <f t="array" ref="Q52">_xlfn.COUNTIFS('Datos - Temas'!$C$5:$C$1264,"Ciencias",'Datos - Temas'!$B$5:$B$1264,Q$3,'Datos - Temas'!$K$5:$K$1264,$A52)+_xlfn.COUNTIFS('Datos - Temas'!$C$5:$C$1264,"Ciencias",'Datos - Temas'!$B$5:$B$1264,Q$3,'Datos - Temas'!$L$5:$L$1264,$A52)</f>
        <v>0</v>
      </c>
      <c r="R52" s="36" cm="1">
        <f t="array" ref="R52">_xlfn.COUNTIFS('Datos - Temas'!$C$5:$C$1264,"Ciencias",'Datos - Temas'!$B$5:$B$1264,R$3,'Datos - Temas'!$K$5:$K$1264,$A52)+_xlfn.COUNTIFS('Datos - Temas'!$C$5:$C$1264,"Ciencias",'Datos - Temas'!$B$5:$B$1264,R$3,'Datos - Temas'!$L$5:$L$1264,$A52)</f>
        <v>0</v>
      </c>
      <c r="S52" s="36" cm="1">
        <f t="array" ref="S52">_xlfn.COUNTIFS('Datos - Temas'!$C$5:$C$1264,"Ciencias",'Datos - Temas'!$B$5:$B$1264,S$3,'Datos - Temas'!$K$5:$K$1264,$A52)+_xlfn.COUNTIFS('Datos - Temas'!$C$5:$C$1264,"Ciencias",'Datos - Temas'!$B$5:$B$1264,S$3,'Datos - Temas'!$L$5:$L$1264,$A52)</f>
        <v>4</v>
      </c>
      <c r="T52" s="36" cm="1">
        <f t="array" ref="T52">_xlfn.COUNTIFS('Datos - Temas'!$C$5:$C$1264,"Ciencias",'Datos - Temas'!$B$5:$B$1264,T$3,'Datos - Temas'!$K$5:$K$1264,$A52)+_xlfn.COUNTIFS('Datos - Temas'!$C$5:$C$1264,"Ciencias",'Datos - Temas'!$B$5:$B$1264,T$3,'Datos - Temas'!$L$5:$L$1264,$A52)</f>
        <v>4</v>
      </c>
      <c r="U52" s="36" cm="1">
        <f t="array" ref="U52">_xlfn.COUNTIFS('Datos - Temas'!$C$5:$C$1264,"Ciencias",'Datos - Temas'!$B$5:$B$1264,U$3,'Datos - Temas'!$K$5:$K$1264,$A52)+_xlfn.COUNTIFS('Datos - Temas'!$C$5:$C$1264,"Ciencias",'Datos - Temas'!$B$5:$B$1264,U$3,'Datos - Temas'!$L$5:$L$1264,$A52)</f>
        <v>6</v>
      </c>
      <c r="V52" s="36" cm="1">
        <f t="array" ref="V52">_xlfn.COUNTIFS('Datos - Temas'!$C$5:$C$1264,"Ciencias",'Datos - Temas'!$B$5:$B$1264,V$3,'Datos - Temas'!$K$5:$K$1264,$A52)+_xlfn.COUNTIFS('Datos - Temas'!$C$5:$C$1264,"Ciencias",'Datos - Temas'!$B$5:$B$1264,V$3,'Datos - Temas'!$L$5:$L$1264,$A52)</f>
        <v>0</v>
      </c>
      <c r="W52" s="36" cm="1">
        <f t="array" ref="W52">_xlfn.COUNTIFS('Datos - Objetivos de países'!$B$5:$B$510,"Uruguay",'Datos - Objetivos de países'!$F$5:$F$510,W$3,'Datos - Objetivos de países'!$J$5:$J$510,$A52)+_xlfn.COUNTIFS('Datos - Objetivos de países'!$B$5:$B$510,"Uruguay",'Datos - Objetivos de países'!$F$5:$F$510,W$3,'Datos - Objetivos de países'!$K$5:$K$510,$A52)</f>
        <v>0</v>
      </c>
      <c r="X52" s="36" cm="1">
        <f t="array" ref="X52">_xlfn.COUNTIFS('Datos - Objetivos de países'!$B$5:$B$510,"Uruguay",'Datos - Objetivos de países'!$F$5:$F$510,X$3,'Datos - Objetivos de países'!$J$5:$J$510,$A52)+_xlfn.COUNTIFS('Datos - Objetivos de países'!$B$5:$B$510,"Uruguay",'Datos - Objetivos de países'!$F$5:$F$510,X$3,'Datos - Objetivos de países'!$K$5:$K$510,$A52)</f>
        <v>0</v>
      </c>
      <c r="Y52" s="36" cm="1">
        <f t="array" ref="Y52">_xlfn.COUNTIFS('Datos - Objetivos de países'!$B$5:$B$510,"Uruguay",'Datos - Objetivos de países'!$F$5:$F$510,Y$3,'Datos - Objetivos de países'!$J$5:$J$510,$A52)+_xlfn.COUNTIFS('Datos - Objetivos de países'!$B$5:$B$510,"Uruguay",'Datos - Objetivos de países'!$F$5:$F$510,Y$3,'Datos - Objetivos de países'!$K$5:$K$510,$A52)</f>
        <v>0</v>
      </c>
      <c r="Z52" s="36" cm="1">
        <f t="array" ref="Z52">_xlfn.COUNTIFS('Datos - Objetivos de países'!$B$5:$B$510,"Uruguay",'Datos - Objetivos de países'!$F$5:$F$510,Z$3,'Datos - Objetivos de países'!$J$5:$J$510,$A52)+_xlfn.COUNTIFS('Datos - Objetivos de países'!$B$5:$B$510,"Uruguay",'Datos - Objetivos de países'!$F$5:$F$510,Z$3,'Datos - Objetivos de países'!$K$5:$K$510,$A52)</f>
        <v>0</v>
      </c>
      <c r="AA52" s="36" cm="1">
        <f t="array" ref="AA52">_xlfn.COUNTIFS('Datos - Objetivos de países'!$B$5:$B$510,"Uruguay",'Datos - Objetivos de países'!$F$5:$F$510,AA$3,'Datos - Objetivos de países'!$J$5:$J$510,$A52)+_xlfn.COUNTIFS('Datos - Objetivos de países'!$B$5:$B$510,"Uruguay",'Datos - Objetivos de países'!$F$5:$F$510,AA$3,'Datos - Objetivos de países'!$K$5:$K$510,$A52)</f>
        <v>1</v>
      </c>
      <c r="AB52" s="36" cm="1">
        <f t="array" ref="AB52">_xlfn.COUNTIFS('Datos - Objetivos de países'!$B$5:$B$510,"Uruguay",'Datos - Objetivos de países'!$F$5:$F$510,AB$3,'Datos - Objetivos de países'!$J$5:$J$510,$A52)+_xlfn.COUNTIFS('Datos - Objetivos de países'!$B$5:$B$510,"Uruguay",'Datos - Objetivos de países'!$F$5:$F$510,AB$3,'Datos - Objetivos de países'!$K$5:$K$510,$A52)</f>
        <v>0</v>
      </c>
      <c r="AC52" s="36" cm="1">
        <f t="array" ref="AC52">_xlfn.COUNTIFS('Datos - Objetivos de países'!$B$5:$B$510,"Uruguay",'Datos - Objetivos de países'!$F$5:$F$510,AC$3,'Datos - Objetivos de países'!$J$5:$J$510,$A52)+_xlfn.COUNTIFS('Datos - Objetivos de países'!$B$5:$B$510,"Uruguay",'Datos - Objetivos de países'!$F$5:$F$510,AC$3,'Datos - Objetivos de países'!$K$5:$K$510,$A52)</f>
        <v>0</v>
      </c>
      <c r="AD52" s="36" cm="1">
        <f t="array" ref="AD52">_xlfn.COUNTIFS('Datos - Objetivos de países'!$B$5:$B$510,"Uruguay",'Datos - Objetivos de países'!$F$5:$F$510,AD$3,'Datos - Objetivos de países'!$J$5:$J$510,$A52)+_xlfn.COUNTIFS('Datos - Objetivos de países'!$B$5:$B$510,"Uruguay",'Datos - Objetivos de países'!$F$5:$F$510,AD$3,'Datos - Objetivos de países'!$K$5:$K$510,$A52)</f>
        <v>0</v>
      </c>
      <c r="AE52" s="36" cm="1">
        <f t="array" ref="AE52">_xlfn.COUNTIFS('Datos - Objetivos de países'!$B$5:$B$510,"Uruguay",'Datos - Objetivos de países'!$F$5:$F$510,AE$3,'Datos - Objetivos de países'!$J$5:$J$510,$A52)+_xlfn.COUNTIFS('Datos - Objetivos de países'!$B$5:$B$510,"Uruguay",'Datos - Objetivos de países'!$F$5:$F$510,AE$3,'Datos - Objetivos de países'!$K$5:$K$510,$A52)</f>
        <v>0</v>
      </c>
      <c r="AF52" s="36" cm="1">
        <f t="array" ref="AF52">_xlfn.COUNTIFS('Datos - Objetivos de países'!$B$5:$B$510,"Colombia",'Datos - Objetivos de países'!$F$5:$F$510,AF$3,'Datos - Objetivos de países'!$J$5:$J$510,$A52)+_xlfn.COUNTIFS('Datos - Objetivos de países'!$B$5:$B$510,"Colombia",'Datos - Objetivos de países'!$F$5:$F$510,AF$3,'Datos - Objetivos de países'!$K$5:$K$510,$A52)</f>
        <v>0</v>
      </c>
      <c r="AG52" s="36" cm="1">
        <f t="array" ref="AG52">_xlfn.COUNTIFS('Datos - Objetivos de países'!$B$5:$B$510,"Colombia",'Datos - Objetivos de países'!$F$5:$F$510,AG$3,'Datos - Objetivos de países'!$J$5:$J$510,$A52)+_xlfn.COUNTIFS('Datos - Objetivos de países'!$B$5:$B$510,"Colombia",'Datos - Objetivos de países'!$F$5:$F$510,AG$3,'Datos - Objetivos de países'!$K$5:$K$510,$A52)</f>
        <v>0</v>
      </c>
      <c r="AH52" s="36" cm="1">
        <f t="array" ref="AH52">_xlfn.COUNTIFS('Datos - Objetivos de países'!$B$5:$B$510,"Colombia",'Datos - Objetivos de países'!$F$5:$F$510,AH$3,'Datos - Objetivos de países'!$J$5:$J$510,$A52)+_xlfn.COUNTIFS('Datos - Objetivos de países'!$B$5:$B$510,"Colombia",'Datos - Objetivos de países'!$F$5:$F$510,AH$3,'Datos - Objetivos de países'!$K$5:$K$510,$A52)</f>
        <v>0</v>
      </c>
      <c r="AI52" s="36" cm="1">
        <f t="array" ref="AI52">_xlfn.COUNTIFS('Datos - Objetivos de países'!$B$5:$B$510,"Colombia",'Datos - Objetivos de países'!$F$5:$F$510,AI$3,'Datos - Objetivos de países'!$J$5:$J$510,$A52)+_xlfn.COUNTIFS('Datos - Objetivos de países'!$B$5:$B$510,"Colombia",'Datos - Objetivos de países'!$F$5:$F$510,AI$3,'Datos - Objetivos de países'!$K$5:$K$510,$A52)</f>
        <v>0</v>
      </c>
      <c r="AJ52" s="36" cm="1">
        <f t="array" ref="AJ52">_xlfn.COUNTIFS('Datos - Objetivos de países'!$B$5:$B$510,"Colombia",'Datos - Objetivos de países'!$F$5:$F$510,AJ$3,'Datos - Objetivos de países'!$J$5:$J$510,$A52)+_xlfn.COUNTIFS('Datos - Objetivos de países'!$B$5:$B$510,"Colombia",'Datos - Objetivos de países'!$F$5:$F$510,AJ$3,'Datos - Objetivos de países'!$K$5:$K$510,$A52)</f>
        <v>0</v>
      </c>
      <c r="AK52" s="36" cm="1">
        <f t="array" ref="AK52">_xlfn.COUNTIFS('Datos - Objetivos de países'!$B$5:$B$510,"Colombia",'Datos - Objetivos de países'!$F$5:$F$510,AK$3,'Datos - Objetivos de países'!$J$5:$J$510,$A52)+_xlfn.COUNTIFS('Datos - Objetivos de países'!$B$5:$B$510,"Colombia",'Datos - Objetivos de países'!$F$5:$F$510,AK$3,'Datos - Objetivos de países'!$K$5:$K$510,$A52)</f>
        <v>2</v>
      </c>
      <c r="AL52" s="36" cm="1">
        <f t="array" ref="AL52">_xlfn.COUNTIFS('Datos - Objetivos de países'!$B$5:$B$510,"Colombia",'Datos - Objetivos de países'!$F$5:$F$510,AL$3,'Datos - Objetivos de países'!$J$5:$J$510,$A52)+_xlfn.COUNTIFS('Datos - Objetivos de países'!$B$5:$B$510,"Colombia",'Datos - Objetivos de países'!$F$5:$F$510,AL$3,'Datos - Objetivos de países'!$K$5:$K$510,$A52)</f>
        <v>0</v>
      </c>
      <c r="AM52" s="36" cm="1">
        <f t="array" ref="AM52">_xlfn.COUNTIFS('Datos - Objetivos de países'!$B$5:$B$510,"Colombia",'Datos - Objetivos de países'!$F$5:$F$510,AM$3,'Datos - Objetivos de países'!$J$5:$J$510,$A52)+_xlfn.COUNTIFS('Datos - Objetivos de países'!$B$5:$B$510,"Colombia",'Datos - Objetivos de países'!$F$5:$F$510,AM$3,'Datos - Objetivos de países'!$K$5:$K$510,$A52)</f>
        <v>1</v>
      </c>
      <c r="AN52" s="36" cm="1">
        <f t="array" ref="AN52">_xlfn.COUNTIFS('Datos - Objetivos de países'!$B$5:$B$510,"Colombia",'Datos - Objetivos de países'!$F$5:$F$510,AN$3,'Datos - Objetivos de países'!$J$5:$J$510,$A52)+_xlfn.COUNTIFS('Datos - Objetivos de países'!$B$5:$B$510,"Colombia",'Datos - Objetivos de países'!$F$5:$F$510,AN$3,'Datos - Objetivos de países'!$K$5:$K$510,$A52)</f>
        <v>0</v>
      </c>
      <c r="AO52" s="36" cm="1">
        <f t="array" ref="AO52">_xlfn.COUNTIFS('Datos - Objetivos de países'!$B$5:$B$510,"Singapur",'Datos - Objetivos de países'!$F$5:$F$510,AO$3,'Datos - Objetivos de países'!$J$5:$J$510,$A52)+_xlfn.COUNTIFS('Datos - Objetivos de países'!$B$5:$B$510,"Singapur",'Datos - Objetivos de países'!$F$5:$F$510,AO$3,'Datos - Objetivos de países'!$K$5:$K$510,$A52)</f>
        <v>0</v>
      </c>
      <c r="AP52" s="36" cm="1">
        <f t="array" ref="AP52">_xlfn.COUNTIFS('Datos - Objetivos de países'!$B$5:$B$510,"Singapur",'Datos - Objetivos de países'!$F$5:$F$510,AP$3,'Datos - Objetivos de países'!$J$5:$J$510,$A52)+_xlfn.COUNTIFS('Datos - Objetivos de países'!$B$5:$B$510,"Singapur",'Datos - Objetivos de países'!$F$5:$F$510,AP$3,'Datos - Objetivos de países'!$K$5:$K$510,$A52)</f>
        <v>0</v>
      </c>
      <c r="AQ52" s="36" cm="1">
        <f t="array" ref="AQ52">_xlfn.COUNTIFS('Datos - Objetivos de países'!$B$5:$B$510,"Singapur",'Datos - Objetivos de países'!$F$5:$F$510,AQ$3,'Datos - Objetivos de países'!$J$5:$J$510,$A52)+_xlfn.COUNTIFS('Datos - Objetivos de países'!$B$5:$B$510,"Singapur",'Datos - Objetivos de países'!$F$5:$F$510,AQ$3,'Datos - Objetivos de países'!$K$5:$K$510,$A52)</f>
        <v>0</v>
      </c>
      <c r="AR52" s="36" cm="1">
        <f t="array" ref="AR52">_xlfn.COUNTIFS('Datos - Objetivos de países'!$B$5:$B$510,"Singapur",'Datos - Objetivos de países'!$F$5:$F$510,AR$3,'Datos - Objetivos de países'!$J$5:$J$510,$A52)+_xlfn.COUNTIFS('Datos - Objetivos de países'!$B$5:$B$510,"Singapur",'Datos - Objetivos de países'!$F$5:$F$510,AR$3,'Datos - Objetivos de países'!$K$5:$K$510,$A52)</f>
        <v>0</v>
      </c>
      <c r="AS52" s="36" cm="1">
        <f t="array" ref="AS52">_xlfn.COUNTIFS('Datos - Objetivos de países'!$B$5:$B$510,"Singapur",'Datos - Objetivos de países'!$F$5:$F$510,AS$3,'Datos - Objetivos de países'!$J$5:$J$510,$A52)+_xlfn.COUNTIFS('Datos - Objetivos de países'!$B$5:$B$510,"Singapur",'Datos - Objetivos de países'!$F$5:$F$510,AS$3,'Datos - Objetivos de países'!$K$5:$K$510,$A52)</f>
        <v>3</v>
      </c>
      <c r="AT52" s="36" cm="1">
        <f t="array" ref="AT52">_xlfn.COUNTIFS('Datos - Objetivos de países'!$B$5:$B$510,"Singapur",'Datos - Objetivos de países'!$F$5:$F$510,AT$3,'Datos - Objetivos de países'!$J$5:$J$510,$A52)+_xlfn.COUNTIFS('Datos - Objetivos de países'!$B$5:$B$510,"Singapur",'Datos - Objetivos de países'!$F$5:$F$510,AT$3,'Datos - Objetivos de países'!$K$5:$K$510,$A52)</f>
        <v>2</v>
      </c>
      <c r="AU52" s="36" cm="1">
        <f t="array" ref="AU52">_xlfn.COUNTIFS('Datos - Objetivos de países'!$B$5:$B$510,"Singapur",'Datos - Objetivos de países'!$F$5:$F$510,AU$3,'Datos - Objetivos de países'!$J$5:$J$510,$A52)+_xlfn.COUNTIFS('Datos - Objetivos de países'!$B$5:$B$510,"Singapur",'Datos - Objetivos de países'!$F$5:$F$510,AU$3,'Datos - Objetivos de países'!$K$5:$K$510,$A52)</f>
        <v>0</v>
      </c>
      <c r="AV52" s="36" cm="1">
        <f t="array" ref="AV52">_xlfn.COUNTIFS('Datos - Objetivos de países'!$B$5:$B$510,"Singapur",'Datos - Objetivos de países'!$F$5:$F$510,AV$3,'Datos - Objetivos de países'!$J$5:$J$510,$A52)+_xlfn.COUNTIFS('Datos - Objetivos de países'!$B$5:$B$510,"Singapur",'Datos - Objetivos de países'!$F$5:$F$510,AV$3,'Datos - Objetivos de países'!$K$5:$K$510,$A52)</f>
        <v>0</v>
      </c>
      <c r="AW52" s="36" cm="1">
        <f t="array" ref="AW52">_xlfn.COUNTIFS('Datos - Objetivos de países'!$B$5:$B$510,"Singapur",'Datos - Objetivos de países'!$F$5:$F$510,AW$3,'Datos - Objetivos de países'!$J$5:$J$510,$A52)+_xlfn.COUNTIFS('Datos - Objetivos de países'!$B$5:$B$510,"Singapur",'Datos - Objetivos de países'!$F$5:$F$510,AW$3,'Datos - Objetivos de países'!$K$5:$K$510,$A52)</f>
        <v>0</v>
      </c>
    </row>
    <row r="53" ht="13.65" customHeight="1">
      <c r="A53" t="s" s="78">
        <v>601</v>
      </c>
      <c r="B53" t="s" s="78">
        <v>1164</v>
      </c>
      <c r="C53" t="s" s="78">
        <v>220</v>
      </c>
      <c r="D53" t="s" s="78">
        <v>1210</v>
      </c>
      <c r="E53" s="80" cm="1">
        <f t="array" ref="E53">_xlfn.IFERROR(MAX($L$3,INDEX($N$3:$V$3,MATCH(TRUE,INDEX(N53:V53&gt;0,0),0))),"—")</f>
        <v>5</v>
      </c>
      <c r="F53" s="80" cm="1">
        <f t="array" ref="F53">_xlfn.IFERROR(MAX($L$3,INDEX($W$3:$AE$3,MATCH(TRUE,INDEX(W53:AE53&gt;0,0),0))),"—")</f>
        <v>5</v>
      </c>
      <c r="G53" s="80" cm="1">
        <f t="array" ref="G53">_xlfn.IFERROR(MAX($L$3,INDEX($AF$3:$AN$3,MATCH(TRUE,INDEX(AF53:AN53&gt;0,0),0))),"—")</f>
        <v>6</v>
      </c>
      <c r="H53" t="str" s="79" cm="1">
        <f t="array" ref="H53">_xlfn.IFERROR(MAX($L$3,INDEX($AO$3:$AW$3,MATCH(TRUE,INDEX(AO53:AW53&gt;0,0),0))),"—")</f>
        <v>—</v>
      </c>
      <c r="I53" s="111" cm="1">
        <f t="array" ref="I53">IF(L53=0,"—",MEDIAN(F53:H53))</f>
        <v>5.5</v>
      </c>
      <c r="J53" s="111" cm="1">
        <f t="array" ref="J53">IF(OR(E53="—",I53="—"),"—",E53-I53)</f>
        <v>-0.5</v>
      </c>
      <c r="K53" t="str" s="49" cm="1">
        <f t="array" ref="K53">IF(E53="—",IF(L53=0,"Nadie lo trabaja","El Salvador no llega"),IF(L53=0,"Solo El Salvador",IF(J53&gt;0,"El Salvador llega más tarde",IF(J53&lt;0,"El Salvador va adelantado","Mismo grado"))))</f>
        <v>El Salvador va adelantado</v>
      </c>
      <c r="L53" s="80" cm="1">
        <f t="array" ref="L53">COUNT(F53:H53)</f>
        <v>2</v>
      </c>
      <c r="M53" s="110"/>
      <c r="N53" s="36" cm="1">
        <f t="array" ref="N53">_xlfn.COUNTIFS('Datos - Temas'!$C$5:$C$1264,"Ciencias",'Datos - Temas'!$B$5:$B$1264,N$3,'Datos - Temas'!$K$5:$K$1264,$A53)+_xlfn.COUNTIFS('Datos - Temas'!$C$5:$C$1264,"Ciencias",'Datos - Temas'!$B$5:$B$1264,N$3,'Datos - Temas'!$L$5:$L$1264,$A53)</f>
        <v>0</v>
      </c>
      <c r="O53" s="36" cm="1">
        <f t="array" ref="O53">_xlfn.COUNTIFS('Datos - Temas'!$C$5:$C$1264,"Ciencias",'Datos - Temas'!$B$5:$B$1264,O$3,'Datos - Temas'!$K$5:$K$1264,$A53)+_xlfn.COUNTIFS('Datos - Temas'!$C$5:$C$1264,"Ciencias",'Datos - Temas'!$B$5:$B$1264,O$3,'Datos - Temas'!$L$5:$L$1264,$A53)</f>
        <v>0</v>
      </c>
      <c r="P53" s="36" cm="1">
        <f t="array" ref="P53">_xlfn.COUNTIFS('Datos - Temas'!$C$5:$C$1264,"Ciencias",'Datos - Temas'!$B$5:$B$1264,P$3,'Datos - Temas'!$K$5:$K$1264,$A53)+_xlfn.COUNTIFS('Datos - Temas'!$C$5:$C$1264,"Ciencias",'Datos - Temas'!$B$5:$B$1264,P$3,'Datos - Temas'!$L$5:$L$1264,$A53)</f>
        <v>0</v>
      </c>
      <c r="Q53" s="36" cm="1">
        <f t="array" ref="Q53">_xlfn.COUNTIFS('Datos - Temas'!$C$5:$C$1264,"Ciencias",'Datos - Temas'!$B$5:$B$1264,Q$3,'Datos - Temas'!$K$5:$K$1264,$A53)+_xlfn.COUNTIFS('Datos - Temas'!$C$5:$C$1264,"Ciencias",'Datos - Temas'!$B$5:$B$1264,Q$3,'Datos - Temas'!$L$5:$L$1264,$A53)</f>
        <v>0</v>
      </c>
      <c r="R53" s="36" cm="1">
        <f t="array" ref="R53">_xlfn.COUNTIFS('Datos - Temas'!$C$5:$C$1264,"Ciencias",'Datos - Temas'!$B$5:$B$1264,R$3,'Datos - Temas'!$K$5:$K$1264,$A53)+_xlfn.COUNTIFS('Datos - Temas'!$C$5:$C$1264,"Ciencias",'Datos - Temas'!$B$5:$B$1264,R$3,'Datos - Temas'!$L$5:$L$1264,$A53)</f>
        <v>14</v>
      </c>
      <c r="S53" s="36" cm="1">
        <f t="array" ref="S53">_xlfn.COUNTIFS('Datos - Temas'!$C$5:$C$1264,"Ciencias",'Datos - Temas'!$B$5:$B$1264,S$3,'Datos - Temas'!$K$5:$K$1264,$A53)+_xlfn.COUNTIFS('Datos - Temas'!$C$5:$C$1264,"Ciencias",'Datos - Temas'!$B$5:$B$1264,S$3,'Datos - Temas'!$L$5:$L$1264,$A53)</f>
        <v>6</v>
      </c>
      <c r="T53" s="36" cm="1">
        <f t="array" ref="T53">_xlfn.COUNTIFS('Datos - Temas'!$C$5:$C$1264,"Ciencias",'Datos - Temas'!$B$5:$B$1264,T$3,'Datos - Temas'!$K$5:$K$1264,$A53)+_xlfn.COUNTIFS('Datos - Temas'!$C$5:$C$1264,"Ciencias",'Datos - Temas'!$B$5:$B$1264,T$3,'Datos - Temas'!$L$5:$L$1264,$A53)</f>
        <v>0</v>
      </c>
      <c r="U53" s="36" cm="1">
        <f t="array" ref="U53">_xlfn.COUNTIFS('Datos - Temas'!$C$5:$C$1264,"Ciencias",'Datos - Temas'!$B$5:$B$1264,U$3,'Datos - Temas'!$K$5:$K$1264,$A53)+_xlfn.COUNTIFS('Datos - Temas'!$C$5:$C$1264,"Ciencias",'Datos - Temas'!$B$5:$B$1264,U$3,'Datos - Temas'!$L$5:$L$1264,$A53)</f>
        <v>4</v>
      </c>
      <c r="V53" s="36" cm="1">
        <f t="array" ref="V53">_xlfn.COUNTIFS('Datos - Temas'!$C$5:$C$1264,"Ciencias",'Datos - Temas'!$B$5:$B$1264,V$3,'Datos - Temas'!$K$5:$K$1264,$A53)+_xlfn.COUNTIFS('Datos - Temas'!$C$5:$C$1264,"Ciencias",'Datos - Temas'!$B$5:$B$1264,V$3,'Datos - Temas'!$L$5:$L$1264,$A53)</f>
        <v>0</v>
      </c>
      <c r="W53" s="36" cm="1">
        <f t="array" ref="W53">_xlfn.COUNTIFS('Datos - Objetivos de países'!$B$5:$B$510,"Uruguay",'Datos - Objetivos de países'!$F$5:$F$510,W$3,'Datos - Objetivos de países'!$J$5:$J$510,$A53)+_xlfn.COUNTIFS('Datos - Objetivos de países'!$B$5:$B$510,"Uruguay",'Datos - Objetivos de países'!$F$5:$F$510,W$3,'Datos - Objetivos de países'!$K$5:$K$510,$A53)</f>
        <v>0</v>
      </c>
      <c r="X53" s="36" cm="1">
        <f t="array" ref="X53">_xlfn.COUNTIFS('Datos - Objetivos de países'!$B$5:$B$510,"Uruguay",'Datos - Objetivos de países'!$F$5:$F$510,X$3,'Datos - Objetivos de países'!$J$5:$J$510,$A53)+_xlfn.COUNTIFS('Datos - Objetivos de países'!$B$5:$B$510,"Uruguay",'Datos - Objetivos de países'!$F$5:$F$510,X$3,'Datos - Objetivos de países'!$K$5:$K$510,$A53)</f>
        <v>0</v>
      </c>
      <c r="Y53" s="36" cm="1">
        <f t="array" ref="Y53">_xlfn.COUNTIFS('Datos - Objetivos de países'!$B$5:$B$510,"Uruguay",'Datos - Objetivos de países'!$F$5:$F$510,Y$3,'Datos - Objetivos de países'!$J$5:$J$510,$A53)+_xlfn.COUNTIFS('Datos - Objetivos de países'!$B$5:$B$510,"Uruguay",'Datos - Objetivos de países'!$F$5:$F$510,Y$3,'Datos - Objetivos de países'!$K$5:$K$510,$A53)</f>
        <v>0</v>
      </c>
      <c r="Z53" s="36" cm="1">
        <f t="array" ref="Z53">_xlfn.COUNTIFS('Datos - Objetivos de países'!$B$5:$B$510,"Uruguay",'Datos - Objetivos de países'!$F$5:$F$510,Z$3,'Datos - Objetivos de países'!$J$5:$J$510,$A53)+_xlfn.COUNTIFS('Datos - Objetivos de países'!$B$5:$B$510,"Uruguay",'Datos - Objetivos de países'!$F$5:$F$510,Z$3,'Datos - Objetivos de países'!$K$5:$K$510,$A53)</f>
        <v>0</v>
      </c>
      <c r="AA53" s="36" cm="1">
        <f t="array" ref="AA53">_xlfn.COUNTIFS('Datos - Objetivos de países'!$B$5:$B$510,"Uruguay",'Datos - Objetivos de países'!$F$5:$F$510,AA$3,'Datos - Objetivos de países'!$J$5:$J$510,$A53)+_xlfn.COUNTIFS('Datos - Objetivos de países'!$B$5:$B$510,"Uruguay",'Datos - Objetivos de países'!$F$5:$F$510,AA$3,'Datos - Objetivos de países'!$K$5:$K$510,$A53)</f>
        <v>1</v>
      </c>
      <c r="AB53" s="36" cm="1">
        <f t="array" ref="AB53">_xlfn.COUNTIFS('Datos - Objetivos de países'!$B$5:$B$510,"Uruguay",'Datos - Objetivos de países'!$F$5:$F$510,AB$3,'Datos - Objetivos de países'!$J$5:$J$510,$A53)+_xlfn.COUNTIFS('Datos - Objetivos de países'!$B$5:$B$510,"Uruguay",'Datos - Objetivos de países'!$F$5:$F$510,AB$3,'Datos - Objetivos de países'!$K$5:$K$510,$A53)</f>
        <v>1</v>
      </c>
      <c r="AC53" s="36" cm="1">
        <f t="array" ref="AC53">_xlfn.COUNTIFS('Datos - Objetivos de países'!$B$5:$B$510,"Uruguay",'Datos - Objetivos de países'!$F$5:$F$510,AC$3,'Datos - Objetivos de países'!$J$5:$J$510,$A53)+_xlfn.COUNTIFS('Datos - Objetivos de países'!$B$5:$B$510,"Uruguay",'Datos - Objetivos de países'!$F$5:$F$510,AC$3,'Datos - Objetivos de países'!$K$5:$K$510,$A53)</f>
        <v>0</v>
      </c>
      <c r="AD53" s="36" cm="1">
        <f t="array" ref="AD53">_xlfn.COUNTIFS('Datos - Objetivos de países'!$B$5:$B$510,"Uruguay",'Datos - Objetivos de países'!$F$5:$F$510,AD$3,'Datos - Objetivos de países'!$J$5:$J$510,$A53)+_xlfn.COUNTIFS('Datos - Objetivos de países'!$B$5:$B$510,"Uruguay",'Datos - Objetivos de países'!$F$5:$F$510,AD$3,'Datos - Objetivos de países'!$K$5:$K$510,$A53)</f>
        <v>0</v>
      </c>
      <c r="AE53" s="36" cm="1">
        <f t="array" ref="AE53">_xlfn.COUNTIFS('Datos - Objetivos de países'!$B$5:$B$510,"Uruguay",'Datos - Objetivos de países'!$F$5:$F$510,AE$3,'Datos - Objetivos de países'!$J$5:$J$510,$A53)+_xlfn.COUNTIFS('Datos - Objetivos de países'!$B$5:$B$510,"Uruguay",'Datos - Objetivos de países'!$F$5:$F$510,AE$3,'Datos - Objetivos de países'!$K$5:$K$510,$A53)</f>
        <v>2</v>
      </c>
      <c r="AF53" s="36" cm="1">
        <f t="array" ref="AF53">_xlfn.COUNTIFS('Datos - Objetivos de países'!$B$5:$B$510,"Colombia",'Datos - Objetivos de países'!$F$5:$F$510,AF$3,'Datos - Objetivos de países'!$J$5:$J$510,$A53)+_xlfn.COUNTIFS('Datos - Objetivos de países'!$B$5:$B$510,"Colombia",'Datos - Objetivos de países'!$F$5:$F$510,AF$3,'Datos - Objetivos de países'!$K$5:$K$510,$A53)</f>
        <v>0</v>
      </c>
      <c r="AG53" s="36" cm="1">
        <f t="array" ref="AG53">_xlfn.COUNTIFS('Datos - Objetivos de países'!$B$5:$B$510,"Colombia",'Datos - Objetivos de países'!$F$5:$F$510,AG$3,'Datos - Objetivos de países'!$J$5:$J$510,$A53)+_xlfn.COUNTIFS('Datos - Objetivos de países'!$B$5:$B$510,"Colombia",'Datos - Objetivos de países'!$F$5:$F$510,AG$3,'Datos - Objetivos de países'!$K$5:$K$510,$A53)</f>
        <v>0</v>
      </c>
      <c r="AH53" s="36" cm="1">
        <f t="array" ref="AH53">_xlfn.COUNTIFS('Datos - Objetivos de países'!$B$5:$B$510,"Colombia",'Datos - Objetivos de países'!$F$5:$F$510,AH$3,'Datos - Objetivos de países'!$J$5:$J$510,$A53)+_xlfn.COUNTIFS('Datos - Objetivos de países'!$B$5:$B$510,"Colombia",'Datos - Objetivos de países'!$F$5:$F$510,AH$3,'Datos - Objetivos de países'!$K$5:$K$510,$A53)</f>
        <v>0</v>
      </c>
      <c r="AI53" s="36" cm="1">
        <f t="array" ref="AI53">_xlfn.COUNTIFS('Datos - Objetivos de países'!$B$5:$B$510,"Colombia",'Datos - Objetivos de países'!$F$5:$F$510,AI$3,'Datos - Objetivos de países'!$J$5:$J$510,$A53)+_xlfn.COUNTIFS('Datos - Objetivos de países'!$B$5:$B$510,"Colombia",'Datos - Objetivos de países'!$F$5:$F$510,AI$3,'Datos - Objetivos de países'!$K$5:$K$510,$A53)</f>
        <v>0</v>
      </c>
      <c r="AJ53" s="36" cm="1">
        <f t="array" ref="AJ53">_xlfn.COUNTIFS('Datos - Objetivos de países'!$B$5:$B$510,"Colombia",'Datos - Objetivos de países'!$F$5:$F$510,AJ$3,'Datos - Objetivos de países'!$J$5:$J$510,$A53)+_xlfn.COUNTIFS('Datos - Objetivos de países'!$B$5:$B$510,"Colombia",'Datos - Objetivos de países'!$F$5:$F$510,AJ$3,'Datos - Objetivos de países'!$K$5:$K$510,$A53)</f>
        <v>0</v>
      </c>
      <c r="AK53" s="36" cm="1">
        <f t="array" ref="AK53">_xlfn.COUNTIFS('Datos - Objetivos de países'!$B$5:$B$510,"Colombia",'Datos - Objetivos de países'!$F$5:$F$510,AK$3,'Datos - Objetivos de países'!$J$5:$J$510,$A53)+_xlfn.COUNTIFS('Datos - Objetivos de países'!$B$5:$B$510,"Colombia",'Datos - Objetivos de países'!$F$5:$F$510,AK$3,'Datos - Objetivos de países'!$K$5:$K$510,$A53)</f>
        <v>3</v>
      </c>
      <c r="AL53" s="36" cm="1">
        <f t="array" ref="AL53">_xlfn.COUNTIFS('Datos - Objetivos de países'!$B$5:$B$510,"Colombia",'Datos - Objetivos de países'!$F$5:$F$510,AL$3,'Datos - Objetivos de países'!$J$5:$J$510,$A53)+_xlfn.COUNTIFS('Datos - Objetivos de países'!$B$5:$B$510,"Colombia",'Datos - Objetivos de países'!$F$5:$F$510,AL$3,'Datos - Objetivos de países'!$K$5:$K$510,$A53)</f>
        <v>1</v>
      </c>
      <c r="AM53" s="36" cm="1">
        <f t="array" ref="AM53">_xlfn.COUNTIFS('Datos - Objetivos de países'!$B$5:$B$510,"Colombia",'Datos - Objetivos de países'!$F$5:$F$510,AM$3,'Datos - Objetivos de países'!$J$5:$J$510,$A53)+_xlfn.COUNTIFS('Datos - Objetivos de países'!$B$5:$B$510,"Colombia",'Datos - Objetivos de países'!$F$5:$F$510,AM$3,'Datos - Objetivos de países'!$K$5:$K$510,$A53)</f>
        <v>1</v>
      </c>
      <c r="AN53" s="36" cm="1">
        <f t="array" ref="AN53">_xlfn.COUNTIFS('Datos - Objetivos de países'!$B$5:$B$510,"Colombia",'Datos - Objetivos de países'!$F$5:$F$510,AN$3,'Datos - Objetivos de países'!$J$5:$J$510,$A53)+_xlfn.COUNTIFS('Datos - Objetivos de países'!$B$5:$B$510,"Colombia",'Datos - Objetivos de países'!$F$5:$F$510,AN$3,'Datos - Objetivos de países'!$K$5:$K$510,$A53)</f>
        <v>0</v>
      </c>
      <c r="AO53" s="36" cm="1">
        <f t="array" ref="AO53">_xlfn.COUNTIFS('Datos - Objetivos de países'!$B$5:$B$510,"Singapur",'Datos - Objetivos de países'!$F$5:$F$510,AO$3,'Datos - Objetivos de países'!$J$5:$J$510,$A53)+_xlfn.COUNTIFS('Datos - Objetivos de países'!$B$5:$B$510,"Singapur",'Datos - Objetivos de países'!$F$5:$F$510,AO$3,'Datos - Objetivos de países'!$K$5:$K$510,$A53)</f>
        <v>0</v>
      </c>
      <c r="AP53" s="36" cm="1">
        <f t="array" ref="AP53">_xlfn.COUNTIFS('Datos - Objetivos de países'!$B$5:$B$510,"Singapur",'Datos - Objetivos de países'!$F$5:$F$510,AP$3,'Datos - Objetivos de países'!$J$5:$J$510,$A53)+_xlfn.COUNTIFS('Datos - Objetivos de países'!$B$5:$B$510,"Singapur",'Datos - Objetivos de países'!$F$5:$F$510,AP$3,'Datos - Objetivos de países'!$K$5:$K$510,$A53)</f>
        <v>0</v>
      </c>
      <c r="AQ53" s="36" cm="1">
        <f t="array" ref="AQ53">_xlfn.COUNTIFS('Datos - Objetivos de países'!$B$5:$B$510,"Singapur",'Datos - Objetivos de países'!$F$5:$F$510,AQ$3,'Datos - Objetivos de países'!$J$5:$J$510,$A53)+_xlfn.COUNTIFS('Datos - Objetivos de países'!$B$5:$B$510,"Singapur",'Datos - Objetivos de países'!$F$5:$F$510,AQ$3,'Datos - Objetivos de países'!$K$5:$K$510,$A53)</f>
        <v>0</v>
      </c>
      <c r="AR53" s="36" cm="1">
        <f t="array" ref="AR53">_xlfn.COUNTIFS('Datos - Objetivos de países'!$B$5:$B$510,"Singapur",'Datos - Objetivos de países'!$F$5:$F$510,AR$3,'Datos - Objetivos de países'!$J$5:$J$510,$A53)+_xlfn.COUNTIFS('Datos - Objetivos de países'!$B$5:$B$510,"Singapur",'Datos - Objetivos de países'!$F$5:$F$510,AR$3,'Datos - Objetivos de países'!$K$5:$K$510,$A53)</f>
        <v>0</v>
      </c>
      <c r="AS53" s="36" cm="1">
        <f t="array" ref="AS53">_xlfn.COUNTIFS('Datos - Objetivos de países'!$B$5:$B$510,"Singapur",'Datos - Objetivos de países'!$F$5:$F$510,AS$3,'Datos - Objetivos de países'!$J$5:$J$510,$A53)+_xlfn.COUNTIFS('Datos - Objetivos de países'!$B$5:$B$510,"Singapur",'Datos - Objetivos de países'!$F$5:$F$510,AS$3,'Datos - Objetivos de países'!$K$5:$K$510,$A53)</f>
        <v>0</v>
      </c>
      <c r="AT53" s="36" cm="1">
        <f t="array" ref="AT53">_xlfn.COUNTIFS('Datos - Objetivos de países'!$B$5:$B$510,"Singapur",'Datos - Objetivos de países'!$F$5:$F$510,AT$3,'Datos - Objetivos de países'!$J$5:$J$510,$A53)+_xlfn.COUNTIFS('Datos - Objetivos de países'!$B$5:$B$510,"Singapur",'Datos - Objetivos de países'!$F$5:$F$510,AT$3,'Datos - Objetivos de países'!$K$5:$K$510,$A53)</f>
        <v>0</v>
      </c>
      <c r="AU53" s="36" cm="1">
        <f t="array" ref="AU53">_xlfn.COUNTIFS('Datos - Objetivos de países'!$B$5:$B$510,"Singapur",'Datos - Objetivos de países'!$F$5:$F$510,AU$3,'Datos - Objetivos de países'!$J$5:$J$510,$A53)+_xlfn.COUNTIFS('Datos - Objetivos de países'!$B$5:$B$510,"Singapur",'Datos - Objetivos de países'!$F$5:$F$510,AU$3,'Datos - Objetivos de países'!$K$5:$K$510,$A53)</f>
        <v>0</v>
      </c>
      <c r="AV53" s="36" cm="1">
        <f t="array" ref="AV53">_xlfn.COUNTIFS('Datos - Objetivos de países'!$B$5:$B$510,"Singapur",'Datos - Objetivos de países'!$F$5:$F$510,AV$3,'Datos - Objetivos de países'!$J$5:$J$510,$A53)+_xlfn.COUNTIFS('Datos - Objetivos de países'!$B$5:$B$510,"Singapur",'Datos - Objetivos de países'!$F$5:$F$510,AV$3,'Datos - Objetivos de países'!$K$5:$K$510,$A53)</f>
        <v>0</v>
      </c>
      <c r="AW53" s="36" cm="1">
        <f t="array" ref="AW53">_xlfn.COUNTIFS('Datos - Objetivos de países'!$B$5:$B$510,"Singapur",'Datos - Objetivos de países'!$F$5:$F$510,AW$3,'Datos - Objetivos de países'!$J$5:$J$510,$A53)+_xlfn.COUNTIFS('Datos - Objetivos de países'!$B$5:$B$510,"Singapur",'Datos - Objetivos de países'!$F$5:$F$510,AW$3,'Datos - Objetivos de países'!$K$5:$K$510,$A53)</f>
        <v>0</v>
      </c>
    </row>
    <row r="54" ht="13.65" customHeight="1">
      <c r="A54" t="s" s="78">
        <v>1212</v>
      </c>
      <c r="B54" t="s" s="78">
        <v>1164</v>
      </c>
      <c r="C54" t="s" s="78">
        <v>220</v>
      </c>
      <c r="D54" t="s" s="78">
        <v>1213</v>
      </c>
      <c r="E54" s="80" cm="1">
        <f t="array" ref="E54">_xlfn.IFERROR(MAX($L$3,INDEX($N$3:$V$3,MATCH(TRUE,INDEX(N54:V54&gt;0,0),0))),"—")</f>
        <v>5</v>
      </c>
      <c r="F54" s="80" cm="1">
        <f t="array" ref="F54">_xlfn.IFERROR(MAX($L$3,INDEX($W$3:$AE$3,MATCH(TRUE,INDEX(W54:AE54&gt;0,0),0))),"—")</f>
        <v>5</v>
      </c>
      <c r="G54" s="80" cm="1">
        <f t="array" ref="G54">_xlfn.IFERROR(MAX($L$3,INDEX($AF$3:$AN$3,MATCH(TRUE,INDEX(AF54:AN54&gt;0,0),0))),"—")</f>
        <v>6</v>
      </c>
      <c r="H54" t="str" s="79" cm="1">
        <f t="array" ref="H54">_xlfn.IFERROR(MAX($L$3,INDEX($AO$3:$AW$3,MATCH(TRUE,INDEX(AO54:AW54&gt;0,0),0))),"—")</f>
        <v>—</v>
      </c>
      <c r="I54" s="111" cm="1">
        <f t="array" ref="I54">IF(L54=0,"—",MEDIAN(F54:H54))</f>
        <v>5.5</v>
      </c>
      <c r="J54" s="111" cm="1">
        <f t="array" ref="J54">IF(OR(E54="—",I54="—"),"—",E54-I54)</f>
        <v>-0.5</v>
      </c>
      <c r="K54" t="str" s="49" cm="1">
        <f t="array" ref="K54">IF(E54="—",IF(L54=0,"Nadie lo trabaja","El Salvador no llega"),IF(L54=0,"Solo El Salvador",IF(J54&gt;0,"El Salvador llega más tarde",IF(J54&lt;0,"El Salvador va adelantado","Mismo grado"))))</f>
        <v>El Salvador va adelantado</v>
      </c>
      <c r="L54" s="80" cm="1">
        <f t="array" ref="L54">COUNT(F54:H54)</f>
        <v>2</v>
      </c>
      <c r="M54" s="110"/>
      <c r="N54" s="36" cm="1">
        <f t="array" ref="N54">_xlfn.COUNTIFS('Datos - Temas'!$C$5:$C$1264,"Ciencias",'Datos - Temas'!$B$5:$B$1264,N$3,'Datos - Temas'!$K$5:$K$1264,$A54)+_xlfn.COUNTIFS('Datos - Temas'!$C$5:$C$1264,"Ciencias",'Datos - Temas'!$B$5:$B$1264,N$3,'Datos - Temas'!$L$5:$L$1264,$A54)</f>
        <v>0</v>
      </c>
      <c r="O54" s="36" cm="1">
        <f t="array" ref="O54">_xlfn.COUNTIFS('Datos - Temas'!$C$5:$C$1264,"Ciencias",'Datos - Temas'!$B$5:$B$1264,O$3,'Datos - Temas'!$K$5:$K$1264,$A54)+_xlfn.COUNTIFS('Datos - Temas'!$C$5:$C$1264,"Ciencias",'Datos - Temas'!$B$5:$B$1264,O$3,'Datos - Temas'!$L$5:$L$1264,$A54)</f>
        <v>0</v>
      </c>
      <c r="P54" s="36" cm="1">
        <f t="array" ref="P54">_xlfn.COUNTIFS('Datos - Temas'!$C$5:$C$1264,"Ciencias",'Datos - Temas'!$B$5:$B$1264,P$3,'Datos - Temas'!$K$5:$K$1264,$A54)+_xlfn.COUNTIFS('Datos - Temas'!$C$5:$C$1264,"Ciencias",'Datos - Temas'!$B$5:$B$1264,P$3,'Datos - Temas'!$L$5:$L$1264,$A54)</f>
        <v>0</v>
      </c>
      <c r="Q54" s="36" cm="1">
        <f t="array" ref="Q54">_xlfn.COUNTIFS('Datos - Temas'!$C$5:$C$1264,"Ciencias",'Datos - Temas'!$B$5:$B$1264,Q$3,'Datos - Temas'!$K$5:$K$1264,$A54)+_xlfn.COUNTIFS('Datos - Temas'!$C$5:$C$1264,"Ciencias",'Datos - Temas'!$B$5:$B$1264,Q$3,'Datos - Temas'!$L$5:$L$1264,$A54)</f>
        <v>0</v>
      </c>
      <c r="R54" s="36" cm="1">
        <f t="array" ref="R54">_xlfn.COUNTIFS('Datos - Temas'!$C$5:$C$1264,"Ciencias",'Datos - Temas'!$B$5:$B$1264,R$3,'Datos - Temas'!$K$5:$K$1264,$A54)+_xlfn.COUNTIFS('Datos - Temas'!$C$5:$C$1264,"Ciencias",'Datos - Temas'!$B$5:$B$1264,R$3,'Datos - Temas'!$L$5:$L$1264,$A54)</f>
        <v>1</v>
      </c>
      <c r="S54" s="36" cm="1">
        <f t="array" ref="S54">_xlfn.COUNTIFS('Datos - Temas'!$C$5:$C$1264,"Ciencias",'Datos - Temas'!$B$5:$B$1264,S$3,'Datos - Temas'!$K$5:$K$1264,$A54)+_xlfn.COUNTIFS('Datos - Temas'!$C$5:$C$1264,"Ciencias",'Datos - Temas'!$B$5:$B$1264,S$3,'Datos - Temas'!$L$5:$L$1264,$A54)</f>
        <v>0</v>
      </c>
      <c r="T54" s="36" cm="1">
        <f t="array" ref="T54">_xlfn.COUNTIFS('Datos - Temas'!$C$5:$C$1264,"Ciencias",'Datos - Temas'!$B$5:$B$1264,T$3,'Datos - Temas'!$K$5:$K$1264,$A54)+_xlfn.COUNTIFS('Datos - Temas'!$C$5:$C$1264,"Ciencias",'Datos - Temas'!$B$5:$B$1264,T$3,'Datos - Temas'!$L$5:$L$1264,$A54)</f>
        <v>4</v>
      </c>
      <c r="U54" s="36" cm="1">
        <f t="array" ref="U54">_xlfn.COUNTIFS('Datos - Temas'!$C$5:$C$1264,"Ciencias",'Datos - Temas'!$B$5:$B$1264,U$3,'Datos - Temas'!$K$5:$K$1264,$A54)+_xlfn.COUNTIFS('Datos - Temas'!$C$5:$C$1264,"Ciencias",'Datos - Temas'!$B$5:$B$1264,U$3,'Datos - Temas'!$L$5:$L$1264,$A54)</f>
        <v>4</v>
      </c>
      <c r="V54" s="36" cm="1">
        <f t="array" ref="V54">_xlfn.COUNTIFS('Datos - Temas'!$C$5:$C$1264,"Ciencias",'Datos - Temas'!$B$5:$B$1264,V$3,'Datos - Temas'!$K$5:$K$1264,$A54)+_xlfn.COUNTIFS('Datos - Temas'!$C$5:$C$1264,"Ciencias",'Datos - Temas'!$B$5:$B$1264,V$3,'Datos - Temas'!$L$5:$L$1264,$A54)</f>
        <v>0</v>
      </c>
      <c r="W54" s="36" cm="1">
        <f t="array" ref="W54">_xlfn.COUNTIFS('Datos - Objetivos de países'!$B$5:$B$510,"Uruguay",'Datos - Objetivos de países'!$F$5:$F$510,W$3,'Datos - Objetivos de países'!$J$5:$J$510,$A54)+_xlfn.COUNTIFS('Datos - Objetivos de países'!$B$5:$B$510,"Uruguay",'Datos - Objetivos de países'!$F$5:$F$510,W$3,'Datos - Objetivos de países'!$K$5:$K$510,$A54)</f>
        <v>0</v>
      </c>
      <c r="X54" s="36" cm="1">
        <f t="array" ref="X54">_xlfn.COUNTIFS('Datos - Objetivos de países'!$B$5:$B$510,"Uruguay",'Datos - Objetivos de países'!$F$5:$F$510,X$3,'Datos - Objetivos de países'!$J$5:$J$510,$A54)+_xlfn.COUNTIFS('Datos - Objetivos de países'!$B$5:$B$510,"Uruguay",'Datos - Objetivos de países'!$F$5:$F$510,X$3,'Datos - Objetivos de países'!$K$5:$K$510,$A54)</f>
        <v>0</v>
      </c>
      <c r="Y54" s="36" cm="1">
        <f t="array" ref="Y54">_xlfn.COUNTIFS('Datos - Objetivos de países'!$B$5:$B$510,"Uruguay",'Datos - Objetivos de países'!$F$5:$F$510,Y$3,'Datos - Objetivos de países'!$J$5:$J$510,$A54)+_xlfn.COUNTIFS('Datos - Objetivos de países'!$B$5:$B$510,"Uruguay",'Datos - Objetivos de países'!$F$5:$F$510,Y$3,'Datos - Objetivos de países'!$K$5:$K$510,$A54)</f>
        <v>0</v>
      </c>
      <c r="Z54" s="36" cm="1">
        <f t="array" ref="Z54">_xlfn.COUNTIFS('Datos - Objetivos de países'!$B$5:$B$510,"Uruguay",'Datos - Objetivos de países'!$F$5:$F$510,Z$3,'Datos - Objetivos de países'!$J$5:$J$510,$A54)+_xlfn.COUNTIFS('Datos - Objetivos de países'!$B$5:$B$510,"Uruguay",'Datos - Objetivos de países'!$F$5:$F$510,Z$3,'Datos - Objetivos de países'!$K$5:$K$510,$A54)</f>
        <v>0</v>
      </c>
      <c r="AA54" s="36" cm="1">
        <f t="array" ref="AA54">_xlfn.COUNTIFS('Datos - Objetivos de países'!$B$5:$B$510,"Uruguay",'Datos - Objetivos de países'!$F$5:$F$510,AA$3,'Datos - Objetivos de países'!$J$5:$J$510,$A54)+_xlfn.COUNTIFS('Datos - Objetivos de países'!$B$5:$B$510,"Uruguay",'Datos - Objetivos de países'!$F$5:$F$510,AA$3,'Datos - Objetivos de países'!$K$5:$K$510,$A54)</f>
        <v>1</v>
      </c>
      <c r="AB54" s="36" cm="1">
        <f t="array" ref="AB54">_xlfn.COUNTIFS('Datos - Objetivos de países'!$B$5:$B$510,"Uruguay",'Datos - Objetivos de países'!$F$5:$F$510,AB$3,'Datos - Objetivos de países'!$J$5:$J$510,$A54)+_xlfn.COUNTIFS('Datos - Objetivos de países'!$B$5:$B$510,"Uruguay",'Datos - Objetivos de países'!$F$5:$F$510,AB$3,'Datos - Objetivos de países'!$K$5:$K$510,$A54)</f>
        <v>1</v>
      </c>
      <c r="AC54" s="36" cm="1">
        <f t="array" ref="AC54">_xlfn.COUNTIFS('Datos - Objetivos de países'!$B$5:$B$510,"Uruguay",'Datos - Objetivos de países'!$F$5:$F$510,AC$3,'Datos - Objetivos de países'!$J$5:$J$510,$A54)+_xlfn.COUNTIFS('Datos - Objetivos de países'!$B$5:$B$510,"Uruguay",'Datos - Objetivos de países'!$F$5:$F$510,AC$3,'Datos - Objetivos de países'!$K$5:$K$510,$A54)</f>
        <v>0</v>
      </c>
      <c r="AD54" s="36" cm="1">
        <f t="array" ref="AD54">_xlfn.COUNTIFS('Datos - Objetivos de países'!$B$5:$B$510,"Uruguay",'Datos - Objetivos de países'!$F$5:$F$510,AD$3,'Datos - Objetivos de países'!$J$5:$J$510,$A54)+_xlfn.COUNTIFS('Datos - Objetivos de países'!$B$5:$B$510,"Uruguay",'Datos - Objetivos de países'!$F$5:$F$510,AD$3,'Datos - Objetivos de países'!$K$5:$K$510,$A54)</f>
        <v>1</v>
      </c>
      <c r="AE54" s="36" cm="1">
        <f t="array" ref="AE54">_xlfn.COUNTIFS('Datos - Objetivos de países'!$B$5:$B$510,"Uruguay",'Datos - Objetivos de países'!$F$5:$F$510,AE$3,'Datos - Objetivos de países'!$J$5:$J$510,$A54)+_xlfn.COUNTIFS('Datos - Objetivos de países'!$B$5:$B$510,"Uruguay",'Datos - Objetivos de países'!$F$5:$F$510,AE$3,'Datos - Objetivos de países'!$K$5:$K$510,$A54)</f>
        <v>1</v>
      </c>
      <c r="AF54" s="36" cm="1">
        <f t="array" ref="AF54">_xlfn.COUNTIFS('Datos - Objetivos de países'!$B$5:$B$510,"Colombia",'Datos - Objetivos de países'!$F$5:$F$510,AF$3,'Datos - Objetivos de países'!$J$5:$J$510,$A54)+_xlfn.COUNTIFS('Datos - Objetivos de países'!$B$5:$B$510,"Colombia",'Datos - Objetivos de países'!$F$5:$F$510,AF$3,'Datos - Objetivos de países'!$K$5:$K$510,$A54)</f>
        <v>0</v>
      </c>
      <c r="AG54" s="36" cm="1">
        <f t="array" ref="AG54">_xlfn.COUNTIFS('Datos - Objetivos de países'!$B$5:$B$510,"Colombia",'Datos - Objetivos de países'!$F$5:$F$510,AG$3,'Datos - Objetivos de países'!$J$5:$J$510,$A54)+_xlfn.COUNTIFS('Datos - Objetivos de países'!$B$5:$B$510,"Colombia",'Datos - Objetivos de países'!$F$5:$F$510,AG$3,'Datos - Objetivos de países'!$K$5:$K$510,$A54)</f>
        <v>0</v>
      </c>
      <c r="AH54" s="36" cm="1">
        <f t="array" ref="AH54">_xlfn.COUNTIFS('Datos - Objetivos de países'!$B$5:$B$510,"Colombia",'Datos - Objetivos de países'!$F$5:$F$510,AH$3,'Datos - Objetivos de países'!$J$5:$J$510,$A54)+_xlfn.COUNTIFS('Datos - Objetivos de países'!$B$5:$B$510,"Colombia",'Datos - Objetivos de países'!$F$5:$F$510,AH$3,'Datos - Objetivos de países'!$K$5:$K$510,$A54)</f>
        <v>0</v>
      </c>
      <c r="AI54" s="36" cm="1">
        <f t="array" ref="AI54">_xlfn.COUNTIFS('Datos - Objetivos de países'!$B$5:$B$510,"Colombia",'Datos - Objetivos de países'!$F$5:$F$510,AI$3,'Datos - Objetivos de países'!$J$5:$J$510,$A54)+_xlfn.COUNTIFS('Datos - Objetivos de países'!$B$5:$B$510,"Colombia",'Datos - Objetivos de países'!$F$5:$F$510,AI$3,'Datos - Objetivos de países'!$K$5:$K$510,$A54)</f>
        <v>0</v>
      </c>
      <c r="AJ54" s="36" cm="1">
        <f t="array" ref="AJ54">_xlfn.COUNTIFS('Datos - Objetivos de países'!$B$5:$B$510,"Colombia",'Datos - Objetivos de países'!$F$5:$F$510,AJ$3,'Datos - Objetivos de países'!$J$5:$J$510,$A54)+_xlfn.COUNTIFS('Datos - Objetivos de países'!$B$5:$B$510,"Colombia",'Datos - Objetivos de países'!$F$5:$F$510,AJ$3,'Datos - Objetivos de países'!$K$5:$K$510,$A54)</f>
        <v>0</v>
      </c>
      <c r="AK54" s="36" cm="1">
        <f t="array" ref="AK54">_xlfn.COUNTIFS('Datos - Objetivos de países'!$B$5:$B$510,"Colombia",'Datos - Objetivos de países'!$F$5:$F$510,AK$3,'Datos - Objetivos de países'!$J$5:$J$510,$A54)+_xlfn.COUNTIFS('Datos - Objetivos de países'!$B$5:$B$510,"Colombia",'Datos - Objetivos de países'!$F$5:$F$510,AK$3,'Datos - Objetivos de países'!$K$5:$K$510,$A54)</f>
        <v>3</v>
      </c>
      <c r="AL54" s="36" cm="1">
        <f t="array" ref="AL54">_xlfn.COUNTIFS('Datos - Objetivos de países'!$B$5:$B$510,"Colombia",'Datos - Objetivos de países'!$F$5:$F$510,AL$3,'Datos - Objetivos de países'!$J$5:$J$510,$A54)+_xlfn.COUNTIFS('Datos - Objetivos de países'!$B$5:$B$510,"Colombia",'Datos - Objetivos de países'!$F$5:$F$510,AL$3,'Datos - Objetivos de países'!$K$5:$K$510,$A54)</f>
        <v>0</v>
      </c>
      <c r="AM54" s="36" cm="1">
        <f t="array" ref="AM54">_xlfn.COUNTIFS('Datos - Objetivos de países'!$B$5:$B$510,"Colombia",'Datos - Objetivos de países'!$F$5:$F$510,AM$3,'Datos - Objetivos de países'!$J$5:$J$510,$A54)+_xlfn.COUNTIFS('Datos - Objetivos de países'!$B$5:$B$510,"Colombia",'Datos - Objetivos de países'!$F$5:$F$510,AM$3,'Datos - Objetivos de países'!$K$5:$K$510,$A54)</f>
        <v>1</v>
      </c>
      <c r="AN54" s="36" cm="1">
        <f t="array" ref="AN54">_xlfn.COUNTIFS('Datos - Objetivos de países'!$B$5:$B$510,"Colombia",'Datos - Objetivos de países'!$F$5:$F$510,AN$3,'Datos - Objetivos de países'!$J$5:$J$510,$A54)+_xlfn.COUNTIFS('Datos - Objetivos de países'!$B$5:$B$510,"Colombia",'Datos - Objetivos de países'!$F$5:$F$510,AN$3,'Datos - Objetivos de países'!$K$5:$K$510,$A54)</f>
        <v>0</v>
      </c>
      <c r="AO54" s="36" cm="1">
        <f t="array" ref="AO54">_xlfn.COUNTIFS('Datos - Objetivos de países'!$B$5:$B$510,"Singapur",'Datos - Objetivos de países'!$F$5:$F$510,AO$3,'Datos - Objetivos de países'!$J$5:$J$510,$A54)+_xlfn.COUNTIFS('Datos - Objetivos de países'!$B$5:$B$510,"Singapur",'Datos - Objetivos de países'!$F$5:$F$510,AO$3,'Datos - Objetivos de países'!$K$5:$K$510,$A54)</f>
        <v>0</v>
      </c>
      <c r="AP54" s="36" cm="1">
        <f t="array" ref="AP54">_xlfn.COUNTIFS('Datos - Objetivos de países'!$B$5:$B$510,"Singapur",'Datos - Objetivos de países'!$F$5:$F$510,AP$3,'Datos - Objetivos de países'!$J$5:$J$510,$A54)+_xlfn.COUNTIFS('Datos - Objetivos de países'!$B$5:$B$510,"Singapur",'Datos - Objetivos de países'!$F$5:$F$510,AP$3,'Datos - Objetivos de países'!$K$5:$K$510,$A54)</f>
        <v>0</v>
      </c>
      <c r="AQ54" s="36" cm="1">
        <f t="array" ref="AQ54">_xlfn.COUNTIFS('Datos - Objetivos de países'!$B$5:$B$510,"Singapur",'Datos - Objetivos de países'!$F$5:$F$510,AQ$3,'Datos - Objetivos de países'!$J$5:$J$510,$A54)+_xlfn.COUNTIFS('Datos - Objetivos de países'!$B$5:$B$510,"Singapur",'Datos - Objetivos de países'!$F$5:$F$510,AQ$3,'Datos - Objetivos de países'!$K$5:$K$510,$A54)</f>
        <v>0</v>
      </c>
      <c r="AR54" s="36" cm="1">
        <f t="array" ref="AR54">_xlfn.COUNTIFS('Datos - Objetivos de países'!$B$5:$B$510,"Singapur",'Datos - Objetivos de países'!$F$5:$F$510,AR$3,'Datos - Objetivos de países'!$J$5:$J$510,$A54)+_xlfn.COUNTIFS('Datos - Objetivos de países'!$B$5:$B$510,"Singapur",'Datos - Objetivos de países'!$F$5:$F$510,AR$3,'Datos - Objetivos de países'!$K$5:$K$510,$A54)</f>
        <v>0</v>
      </c>
      <c r="AS54" s="36" cm="1">
        <f t="array" ref="AS54">_xlfn.COUNTIFS('Datos - Objetivos de países'!$B$5:$B$510,"Singapur",'Datos - Objetivos de países'!$F$5:$F$510,AS$3,'Datos - Objetivos de países'!$J$5:$J$510,$A54)+_xlfn.COUNTIFS('Datos - Objetivos de países'!$B$5:$B$510,"Singapur",'Datos - Objetivos de países'!$F$5:$F$510,AS$3,'Datos - Objetivos de países'!$K$5:$K$510,$A54)</f>
        <v>0</v>
      </c>
      <c r="AT54" s="36" cm="1">
        <f t="array" ref="AT54">_xlfn.COUNTIFS('Datos - Objetivos de países'!$B$5:$B$510,"Singapur",'Datos - Objetivos de países'!$F$5:$F$510,AT$3,'Datos - Objetivos de países'!$J$5:$J$510,$A54)+_xlfn.COUNTIFS('Datos - Objetivos de países'!$B$5:$B$510,"Singapur",'Datos - Objetivos de países'!$F$5:$F$510,AT$3,'Datos - Objetivos de países'!$K$5:$K$510,$A54)</f>
        <v>0</v>
      </c>
      <c r="AU54" s="36" cm="1">
        <f t="array" ref="AU54">_xlfn.COUNTIFS('Datos - Objetivos de países'!$B$5:$B$510,"Singapur",'Datos - Objetivos de países'!$F$5:$F$510,AU$3,'Datos - Objetivos de países'!$J$5:$J$510,$A54)+_xlfn.COUNTIFS('Datos - Objetivos de países'!$B$5:$B$510,"Singapur",'Datos - Objetivos de países'!$F$5:$F$510,AU$3,'Datos - Objetivos de países'!$K$5:$K$510,$A54)</f>
        <v>0</v>
      </c>
      <c r="AV54" s="36" cm="1">
        <f t="array" ref="AV54">_xlfn.COUNTIFS('Datos - Objetivos de países'!$B$5:$B$510,"Singapur",'Datos - Objetivos de países'!$F$5:$F$510,AV$3,'Datos - Objetivos de países'!$J$5:$J$510,$A54)+_xlfn.COUNTIFS('Datos - Objetivos de países'!$B$5:$B$510,"Singapur",'Datos - Objetivos de países'!$F$5:$F$510,AV$3,'Datos - Objetivos de países'!$K$5:$K$510,$A54)</f>
        <v>0</v>
      </c>
      <c r="AW54" s="36" cm="1">
        <f t="array" ref="AW54">_xlfn.COUNTIFS('Datos - Objetivos de países'!$B$5:$B$510,"Singapur",'Datos - Objetivos de países'!$F$5:$F$510,AW$3,'Datos - Objetivos de países'!$J$5:$J$510,$A54)+_xlfn.COUNTIFS('Datos - Objetivos de países'!$B$5:$B$510,"Singapur",'Datos - Objetivos de países'!$F$5:$F$510,AW$3,'Datos - Objetivos de países'!$K$5:$K$510,$A54)</f>
        <v>0</v>
      </c>
    </row>
    <row r="55" ht="13.65" customHeight="1">
      <c r="A55" t="s" s="78">
        <v>1215</v>
      </c>
      <c r="B55" t="s" s="78">
        <v>1164</v>
      </c>
      <c r="C55" t="s" s="78">
        <v>220</v>
      </c>
      <c r="D55" t="s" s="78">
        <v>1216</v>
      </c>
      <c r="E55" s="80" cm="1">
        <f t="array" ref="E55">_xlfn.IFERROR(MAX($L$3,INDEX($N$3:$V$3,MATCH(TRUE,INDEX(N55:V55&gt;0,0),0))),"—")</f>
        <v>5</v>
      </c>
      <c r="F55" s="80" cm="1">
        <f t="array" ref="F55">_xlfn.IFERROR(MAX($L$3,INDEX($W$3:$AE$3,MATCH(TRUE,INDEX(W55:AE55&gt;0,0),0))),"—")</f>
        <v>5</v>
      </c>
      <c r="G55" s="80" cm="1">
        <f t="array" ref="G55">_xlfn.IFERROR(MAX($L$3,INDEX($AF$3:$AN$3,MATCH(TRUE,INDEX(AF55:AN55&gt;0,0),0))),"—")</f>
        <v>6</v>
      </c>
      <c r="H55" t="str" s="79" cm="1">
        <f t="array" ref="H55">_xlfn.IFERROR(MAX($L$3,INDEX($AO$3:$AW$3,MATCH(TRUE,INDEX(AO55:AW55&gt;0,0),0))),"—")</f>
        <v>—</v>
      </c>
      <c r="I55" s="111" cm="1">
        <f t="array" ref="I55">IF(L55=0,"—",MEDIAN(F55:H55))</f>
        <v>5.5</v>
      </c>
      <c r="J55" s="111" cm="1">
        <f t="array" ref="J55">IF(OR(E55="—",I55="—"),"—",E55-I55)</f>
        <v>-0.5</v>
      </c>
      <c r="K55" t="str" s="49" cm="1">
        <f t="array" ref="K55">IF(E55="—",IF(L55=0,"Nadie lo trabaja","El Salvador no llega"),IF(L55=0,"Solo El Salvador",IF(J55&gt;0,"El Salvador llega más tarde",IF(J55&lt;0,"El Salvador va adelantado","Mismo grado"))))</f>
        <v>El Salvador va adelantado</v>
      </c>
      <c r="L55" s="80" cm="1">
        <f t="array" ref="L55">COUNT(F55:H55)</f>
        <v>2</v>
      </c>
      <c r="M55" s="110"/>
      <c r="N55" s="36" cm="1">
        <f t="array" ref="N55">_xlfn.COUNTIFS('Datos - Temas'!$C$5:$C$1264,"Ciencias",'Datos - Temas'!$B$5:$B$1264,N$3,'Datos - Temas'!$K$5:$K$1264,$A55)+_xlfn.COUNTIFS('Datos - Temas'!$C$5:$C$1264,"Ciencias",'Datos - Temas'!$B$5:$B$1264,N$3,'Datos - Temas'!$L$5:$L$1264,$A55)</f>
        <v>0</v>
      </c>
      <c r="O55" s="36" cm="1">
        <f t="array" ref="O55">_xlfn.COUNTIFS('Datos - Temas'!$C$5:$C$1264,"Ciencias",'Datos - Temas'!$B$5:$B$1264,O$3,'Datos - Temas'!$K$5:$K$1264,$A55)+_xlfn.COUNTIFS('Datos - Temas'!$C$5:$C$1264,"Ciencias",'Datos - Temas'!$B$5:$B$1264,O$3,'Datos - Temas'!$L$5:$L$1264,$A55)</f>
        <v>0</v>
      </c>
      <c r="P55" s="36" cm="1">
        <f t="array" ref="P55">_xlfn.COUNTIFS('Datos - Temas'!$C$5:$C$1264,"Ciencias",'Datos - Temas'!$B$5:$B$1264,P$3,'Datos - Temas'!$K$5:$K$1264,$A55)+_xlfn.COUNTIFS('Datos - Temas'!$C$5:$C$1264,"Ciencias",'Datos - Temas'!$B$5:$B$1264,P$3,'Datos - Temas'!$L$5:$L$1264,$A55)</f>
        <v>0</v>
      </c>
      <c r="Q55" s="36" cm="1">
        <f t="array" ref="Q55">_xlfn.COUNTIFS('Datos - Temas'!$C$5:$C$1264,"Ciencias",'Datos - Temas'!$B$5:$B$1264,Q$3,'Datos - Temas'!$K$5:$K$1264,$A55)+_xlfn.COUNTIFS('Datos - Temas'!$C$5:$C$1264,"Ciencias",'Datos - Temas'!$B$5:$B$1264,Q$3,'Datos - Temas'!$L$5:$L$1264,$A55)</f>
        <v>0</v>
      </c>
      <c r="R55" s="36" cm="1">
        <f t="array" ref="R55">_xlfn.COUNTIFS('Datos - Temas'!$C$5:$C$1264,"Ciencias",'Datos - Temas'!$B$5:$B$1264,R$3,'Datos - Temas'!$K$5:$K$1264,$A55)+_xlfn.COUNTIFS('Datos - Temas'!$C$5:$C$1264,"Ciencias",'Datos - Temas'!$B$5:$B$1264,R$3,'Datos - Temas'!$L$5:$L$1264,$A55)</f>
        <v>6</v>
      </c>
      <c r="S55" s="36" cm="1">
        <f t="array" ref="S55">_xlfn.COUNTIFS('Datos - Temas'!$C$5:$C$1264,"Ciencias",'Datos - Temas'!$B$5:$B$1264,S$3,'Datos - Temas'!$K$5:$K$1264,$A55)+_xlfn.COUNTIFS('Datos - Temas'!$C$5:$C$1264,"Ciencias",'Datos - Temas'!$B$5:$B$1264,S$3,'Datos - Temas'!$L$5:$L$1264,$A55)</f>
        <v>0</v>
      </c>
      <c r="T55" s="36" cm="1">
        <f t="array" ref="T55">_xlfn.COUNTIFS('Datos - Temas'!$C$5:$C$1264,"Ciencias",'Datos - Temas'!$B$5:$B$1264,T$3,'Datos - Temas'!$K$5:$K$1264,$A55)+_xlfn.COUNTIFS('Datos - Temas'!$C$5:$C$1264,"Ciencias",'Datos - Temas'!$B$5:$B$1264,T$3,'Datos - Temas'!$L$5:$L$1264,$A55)</f>
        <v>0</v>
      </c>
      <c r="U55" s="36" cm="1">
        <f t="array" ref="U55">_xlfn.COUNTIFS('Datos - Temas'!$C$5:$C$1264,"Ciencias",'Datos - Temas'!$B$5:$B$1264,U$3,'Datos - Temas'!$K$5:$K$1264,$A55)+_xlfn.COUNTIFS('Datos - Temas'!$C$5:$C$1264,"Ciencias",'Datos - Temas'!$B$5:$B$1264,U$3,'Datos - Temas'!$L$5:$L$1264,$A55)</f>
        <v>0</v>
      </c>
      <c r="V55" s="36" cm="1">
        <f t="array" ref="V55">_xlfn.COUNTIFS('Datos - Temas'!$C$5:$C$1264,"Ciencias",'Datos - Temas'!$B$5:$B$1264,V$3,'Datos - Temas'!$K$5:$K$1264,$A55)+_xlfn.COUNTIFS('Datos - Temas'!$C$5:$C$1264,"Ciencias",'Datos - Temas'!$B$5:$B$1264,V$3,'Datos - Temas'!$L$5:$L$1264,$A55)</f>
        <v>0</v>
      </c>
      <c r="W55" s="36" cm="1">
        <f t="array" ref="W55">_xlfn.COUNTIFS('Datos - Objetivos de países'!$B$5:$B$510,"Uruguay",'Datos - Objetivos de países'!$F$5:$F$510,W$3,'Datos - Objetivos de países'!$J$5:$J$510,$A55)+_xlfn.COUNTIFS('Datos - Objetivos de países'!$B$5:$B$510,"Uruguay",'Datos - Objetivos de países'!$F$5:$F$510,W$3,'Datos - Objetivos de países'!$K$5:$K$510,$A55)</f>
        <v>0</v>
      </c>
      <c r="X55" s="36" cm="1">
        <f t="array" ref="X55">_xlfn.COUNTIFS('Datos - Objetivos de países'!$B$5:$B$510,"Uruguay",'Datos - Objetivos de países'!$F$5:$F$510,X$3,'Datos - Objetivos de países'!$J$5:$J$510,$A55)+_xlfn.COUNTIFS('Datos - Objetivos de países'!$B$5:$B$510,"Uruguay",'Datos - Objetivos de países'!$F$5:$F$510,X$3,'Datos - Objetivos de países'!$K$5:$K$510,$A55)</f>
        <v>0</v>
      </c>
      <c r="Y55" s="36" cm="1">
        <f t="array" ref="Y55">_xlfn.COUNTIFS('Datos - Objetivos de países'!$B$5:$B$510,"Uruguay",'Datos - Objetivos de países'!$F$5:$F$510,Y$3,'Datos - Objetivos de países'!$J$5:$J$510,$A55)+_xlfn.COUNTIFS('Datos - Objetivos de países'!$B$5:$B$510,"Uruguay",'Datos - Objetivos de países'!$F$5:$F$510,Y$3,'Datos - Objetivos de países'!$K$5:$K$510,$A55)</f>
        <v>0</v>
      </c>
      <c r="Z55" s="36" cm="1">
        <f t="array" ref="Z55">_xlfn.COUNTIFS('Datos - Objetivos de países'!$B$5:$B$510,"Uruguay",'Datos - Objetivos de países'!$F$5:$F$510,Z$3,'Datos - Objetivos de países'!$J$5:$J$510,$A55)+_xlfn.COUNTIFS('Datos - Objetivos de países'!$B$5:$B$510,"Uruguay",'Datos - Objetivos de países'!$F$5:$F$510,Z$3,'Datos - Objetivos de países'!$K$5:$K$510,$A55)</f>
        <v>0</v>
      </c>
      <c r="AA55" s="36" cm="1">
        <f t="array" ref="AA55">_xlfn.COUNTIFS('Datos - Objetivos de países'!$B$5:$B$510,"Uruguay",'Datos - Objetivos de países'!$F$5:$F$510,AA$3,'Datos - Objetivos de países'!$J$5:$J$510,$A55)+_xlfn.COUNTIFS('Datos - Objetivos de países'!$B$5:$B$510,"Uruguay",'Datos - Objetivos de países'!$F$5:$F$510,AA$3,'Datos - Objetivos de países'!$K$5:$K$510,$A55)</f>
        <v>1</v>
      </c>
      <c r="AB55" s="36" cm="1">
        <f t="array" ref="AB55">_xlfn.COUNTIFS('Datos - Objetivos de países'!$B$5:$B$510,"Uruguay",'Datos - Objetivos de países'!$F$5:$F$510,AB$3,'Datos - Objetivos de países'!$J$5:$J$510,$A55)+_xlfn.COUNTIFS('Datos - Objetivos de países'!$B$5:$B$510,"Uruguay",'Datos - Objetivos de países'!$F$5:$F$510,AB$3,'Datos - Objetivos de países'!$K$5:$K$510,$A55)</f>
        <v>0</v>
      </c>
      <c r="AC55" s="36" cm="1">
        <f t="array" ref="AC55">_xlfn.COUNTIFS('Datos - Objetivos de países'!$B$5:$B$510,"Uruguay",'Datos - Objetivos de países'!$F$5:$F$510,AC$3,'Datos - Objetivos de países'!$J$5:$J$510,$A55)+_xlfn.COUNTIFS('Datos - Objetivos de países'!$B$5:$B$510,"Uruguay",'Datos - Objetivos de países'!$F$5:$F$510,AC$3,'Datos - Objetivos de países'!$K$5:$K$510,$A55)</f>
        <v>0</v>
      </c>
      <c r="AD55" s="36" cm="1">
        <f t="array" ref="AD55">_xlfn.COUNTIFS('Datos - Objetivos de países'!$B$5:$B$510,"Uruguay",'Datos - Objetivos de países'!$F$5:$F$510,AD$3,'Datos - Objetivos de países'!$J$5:$J$510,$A55)+_xlfn.COUNTIFS('Datos - Objetivos de países'!$B$5:$B$510,"Uruguay",'Datos - Objetivos de países'!$F$5:$F$510,AD$3,'Datos - Objetivos de países'!$K$5:$K$510,$A55)</f>
        <v>0</v>
      </c>
      <c r="AE55" s="36" cm="1">
        <f t="array" ref="AE55">_xlfn.COUNTIFS('Datos - Objetivos de países'!$B$5:$B$510,"Uruguay",'Datos - Objetivos de países'!$F$5:$F$510,AE$3,'Datos - Objetivos de países'!$J$5:$J$510,$A55)+_xlfn.COUNTIFS('Datos - Objetivos de países'!$B$5:$B$510,"Uruguay",'Datos - Objetivos de países'!$F$5:$F$510,AE$3,'Datos - Objetivos de países'!$K$5:$K$510,$A55)</f>
        <v>1</v>
      </c>
      <c r="AF55" s="36" cm="1">
        <f t="array" ref="AF55">_xlfn.COUNTIFS('Datos - Objetivos de países'!$B$5:$B$510,"Colombia",'Datos - Objetivos de países'!$F$5:$F$510,AF$3,'Datos - Objetivos de países'!$J$5:$J$510,$A55)+_xlfn.COUNTIFS('Datos - Objetivos de países'!$B$5:$B$510,"Colombia",'Datos - Objetivos de países'!$F$5:$F$510,AF$3,'Datos - Objetivos de países'!$K$5:$K$510,$A55)</f>
        <v>0</v>
      </c>
      <c r="AG55" s="36" cm="1">
        <f t="array" ref="AG55">_xlfn.COUNTIFS('Datos - Objetivos de países'!$B$5:$B$510,"Colombia",'Datos - Objetivos de países'!$F$5:$F$510,AG$3,'Datos - Objetivos de países'!$J$5:$J$510,$A55)+_xlfn.COUNTIFS('Datos - Objetivos de países'!$B$5:$B$510,"Colombia",'Datos - Objetivos de países'!$F$5:$F$510,AG$3,'Datos - Objetivos de países'!$K$5:$K$510,$A55)</f>
        <v>0</v>
      </c>
      <c r="AH55" s="36" cm="1">
        <f t="array" ref="AH55">_xlfn.COUNTIFS('Datos - Objetivos de países'!$B$5:$B$510,"Colombia",'Datos - Objetivos de países'!$F$5:$F$510,AH$3,'Datos - Objetivos de países'!$J$5:$J$510,$A55)+_xlfn.COUNTIFS('Datos - Objetivos de países'!$B$5:$B$510,"Colombia",'Datos - Objetivos de países'!$F$5:$F$510,AH$3,'Datos - Objetivos de países'!$K$5:$K$510,$A55)</f>
        <v>0</v>
      </c>
      <c r="AI55" s="36" cm="1">
        <f t="array" ref="AI55">_xlfn.COUNTIFS('Datos - Objetivos de países'!$B$5:$B$510,"Colombia",'Datos - Objetivos de países'!$F$5:$F$510,AI$3,'Datos - Objetivos de países'!$J$5:$J$510,$A55)+_xlfn.COUNTIFS('Datos - Objetivos de países'!$B$5:$B$510,"Colombia",'Datos - Objetivos de países'!$F$5:$F$510,AI$3,'Datos - Objetivos de países'!$K$5:$K$510,$A55)</f>
        <v>0</v>
      </c>
      <c r="AJ55" s="36" cm="1">
        <f t="array" ref="AJ55">_xlfn.COUNTIFS('Datos - Objetivos de países'!$B$5:$B$510,"Colombia",'Datos - Objetivos de países'!$F$5:$F$510,AJ$3,'Datos - Objetivos de países'!$J$5:$J$510,$A55)+_xlfn.COUNTIFS('Datos - Objetivos de países'!$B$5:$B$510,"Colombia",'Datos - Objetivos de países'!$F$5:$F$510,AJ$3,'Datos - Objetivos de países'!$K$5:$K$510,$A55)</f>
        <v>0</v>
      </c>
      <c r="AK55" s="36" cm="1">
        <f t="array" ref="AK55">_xlfn.COUNTIFS('Datos - Objetivos de países'!$B$5:$B$510,"Colombia",'Datos - Objetivos de países'!$F$5:$F$510,AK$3,'Datos - Objetivos de países'!$J$5:$J$510,$A55)+_xlfn.COUNTIFS('Datos - Objetivos de países'!$B$5:$B$510,"Colombia",'Datos - Objetivos de países'!$F$5:$F$510,AK$3,'Datos - Objetivos de países'!$K$5:$K$510,$A55)</f>
        <v>2</v>
      </c>
      <c r="AL55" s="36" cm="1">
        <f t="array" ref="AL55">_xlfn.COUNTIFS('Datos - Objetivos de países'!$B$5:$B$510,"Colombia",'Datos - Objetivos de países'!$F$5:$F$510,AL$3,'Datos - Objetivos de países'!$J$5:$J$510,$A55)+_xlfn.COUNTIFS('Datos - Objetivos de países'!$B$5:$B$510,"Colombia",'Datos - Objetivos de países'!$F$5:$F$510,AL$3,'Datos - Objetivos de países'!$K$5:$K$510,$A55)</f>
        <v>1</v>
      </c>
      <c r="AM55" s="36" cm="1">
        <f t="array" ref="AM55">_xlfn.COUNTIFS('Datos - Objetivos de países'!$B$5:$B$510,"Colombia",'Datos - Objetivos de países'!$F$5:$F$510,AM$3,'Datos - Objetivos de países'!$J$5:$J$510,$A55)+_xlfn.COUNTIFS('Datos - Objetivos de países'!$B$5:$B$510,"Colombia",'Datos - Objetivos de países'!$F$5:$F$510,AM$3,'Datos - Objetivos de países'!$K$5:$K$510,$A55)</f>
        <v>0</v>
      </c>
      <c r="AN55" s="36" cm="1">
        <f t="array" ref="AN55">_xlfn.COUNTIFS('Datos - Objetivos de países'!$B$5:$B$510,"Colombia",'Datos - Objetivos de países'!$F$5:$F$510,AN$3,'Datos - Objetivos de países'!$J$5:$J$510,$A55)+_xlfn.COUNTIFS('Datos - Objetivos de países'!$B$5:$B$510,"Colombia",'Datos - Objetivos de países'!$F$5:$F$510,AN$3,'Datos - Objetivos de países'!$K$5:$K$510,$A55)</f>
        <v>0</v>
      </c>
      <c r="AO55" s="36" cm="1">
        <f t="array" ref="AO55">_xlfn.COUNTIFS('Datos - Objetivos de países'!$B$5:$B$510,"Singapur",'Datos - Objetivos de países'!$F$5:$F$510,AO$3,'Datos - Objetivos de países'!$J$5:$J$510,$A55)+_xlfn.COUNTIFS('Datos - Objetivos de países'!$B$5:$B$510,"Singapur",'Datos - Objetivos de países'!$F$5:$F$510,AO$3,'Datos - Objetivos de países'!$K$5:$K$510,$A55)</f>
        <v>0</v>
      </c>
      <c r="AP55" s="36" cm="1">
        <f t="array" ref="AP55">_xlfn.COUNTIFS('Datos - Objetivos de países'!$B$5:$B$510,"Singapur",'Datos - Objetivos de países'!$F$5:$F$510,AP$3,'Datos - Objetivos de países'!$J$5:$J$510,$A55)+_xlfn.COUNTIFS('Datos - Objetivos de países'!$B$5:$B$510,"Singapur",'Datos - Objetivos de países'!$F$5:$F$510,AP$3,'Datos - Objetivos de países'!$K$5:$K$510,$A55)</f>
        <v>0</v>
      </c>
      <c r="AQ55" s="36" cm="1">
        <f t="array" ref="AQ55">_xlfn.COUNTIFS('Datos - Objetivos de países'!$B$5:$B$510,"Singapur",'Datos - Objetivos de países'!$F$5:$F$510,AQ$3,'Datos - Objetivos de países'!$J$5:$J$510,$A55)+_xlfn.COUNTIFS('Datos - Objetivos de países'!$B$5:$B$510,"Singapur",'Datos - Objetivos de países'!$F$5:$F$510,AQ$3,'Datos - Objetivos de países'!$K$5:$K$510,$A55)</f>
        <v>0</v>
      </c>
      <c r="AR55" s="36" cm="1">
        <f t="array" ref="AR55">_xlfn.COUNTIFS('Datos - Objetivos de países'!$B$5:$B$510,"Singapur",'Datos - Objetivos de países'!$F$5:$F$510,AR$3,'Datos - Objetivos de países'!$J$5:$J$510,$A55)+_xlfn.COUNTIFS('Datos - Objetivos de países'!$B$5:$B$510,"Singapur",'Datos - Objetivos de países'!$F$5:$F$510,AR$3,'Datos - Objetivos de países'!$K$5:$K$510,$A55)</f>
        <v>0</v>
      </c>
      <c r="AS55" s="36" cm="1">
        <f t="array" ref="AS55">_xlfn.COUNTIFS('Datos - Objetivos de países'!$B$5:$B$510,"Singapur",'Datos - Objetivos de países'!$F$5:$F$510,AS$3,'Datos - Objetivos de países'!$J$5:$J$510,$A55)+_xlfn.COUNTIFS('Datos - Objetivos de países'!$B$5:$B$510,"Singapur",'Datos - Objetivos de países'!$F$5:$F$510,AS$3,'Datos - Objetivos de países'!$K$5:$K$510,$A55)</f>
        <v>0</v>
      </c>
      <c r="AT55" s="36" cm="1">
        <f t="array" ref="AT55">_xlfn.COUNTIFS('Datos - Objetivos de países'!$B$5:$B$510,"Singapur",'Datos - Objetivos de países'!$F$5:$F$510,AT$3,'Datos - Objetivos de países'!$J$5:$J$510,$A55)+_xlfn.COUNTIFS('Datos - Objetivos de países'!$B$5:$B$510,"Singapur",'Datos - Objetivos de países'!$F$5:$F$510,AT$3,'Datos - Objetivos de países'!$K$5:$K$510,$A55)</f>
        <v>0</v>
      </c>
      <c r="AU55" s="36" cm="1">
        <f t="array" ref="AU55">_xlfn.COUNTIFS('Datos - Objetivos de países'!$B$5:$B$510,"Singapur",'Datos - Objetivos de países'!$F$5:$F$510,AU$3,'Datos - Objetivos de países'!$J$5:$J$510,$A55)+_xlfn.COUNTIFS('Datos - Objetivos de países'!$B$5:$B$510,"Singapur",'Datos - Objetivos de países'!$F$5:$F$510,AU$3,'Datos - Objetivos de países'!$K$5:$K$510,$A55)</f>
        <v>0</v>
      </c>
      <c r="AV55" s="36" cm="1">
        <f t="array" ref="AV55">_xlfn.COUNTIFS('Datos - Objetivos de países'!$B$5:$B$510,"Singapur",'Datos - Objetivos de países'!$F$5:$F$510,AV$3,'Datos - Objetivos de países'!$J$5:$J$510,$A55)+_xlfn.COUNTIFS('Datos - Objetivos de países'!$B$5:$B$510,"Singapur",'Datos - Objetivos de países'!$F$5:$F$510,AV$3,'Datos - Objetivos de países'!$K$5:$K$510,$A55)</f>
        <v>0</v>
      </c>
      <c r="AW55" s="36" cm="1">
        <f t="array" ref="AW55">_xlfn.COUNTIFS('Datos - Objetivos de países'!$B$5:$B$510,"Singapur",'Datos - Objetivos de países'!$F$5:$F$510,AW$3,'Datos - Objetivos de países'!$J$5:$J$510,$A55)+_xlfn.COUNTIFS('Datos - Objetivos de países'!$B$5:$B$510,"Singapur",'Datos - Objetivos de países'!$F$5:$F$510,AW$3,'Datos - Objetivos de países'!$K$5:$K$510,$A55)</f>
        <v>0</v>
      </c>
    </row>
    <row r="56" ht="13.65" customHeight="1">
      <c r="A56" t="s" s="78">
        <v>1218</v>
      </c>
      <c r="B56" t="s" s="78">
        <v>1164</v>
      </c>
      <c r="C56" t="s" s="78">
        <v>220</v>
      </c>
      <c r="D56" t="s" s="78">
        <v>1220</v>
      </c>
      <c r="E56" s="80" cm="1">
        <f t="array" ref="E56">_xlfn.IFERROR(MAX($L$3,INDEX($N$3:$V$3,MATCH(TRUE,INDEX(N56:V56&gt;0,0),0))),"—")</f>
        <v>5</v>
      </c>
      <c r="F56" s="80" cm="1">
        <f t="array" ref="F56">_xlfn.IFERROR(MAX($L$3,INDEX($W$3:$AE$3,MATCH(TRUE,INDEX(W56:AE56&gt;0,0),0))),"—")</f>
        <v>5</v>
      </c>
      <c r="G56" s="80" cm="1">
        <f t="array" ref="G56">_xlfn.IFERROR(MAX($L$3,INDEX($AF$3:$AN$3,MATCH(TRUE,INDEX(AF56:AN56&gt;0,0),0))),"—")</f>
        <v>6</v>
      </c>
      <c r="H56" t="str" s="79" cm="1">
        <f t="array" ref="H56">_xlfn.IFERROR(MAX($L$3,INDEX($AO$3:$AW$3,MATCH(TRUE,INDEX(AO56:AW56&gt;0,0),0))),"—")</f>
        <v>—</v>
      </c>
      <c r="I56" s="111" cm="1">
        <f t="array" ref="I56">IF(L56=0,"—",MEDIAN(F56:H56))</f>
        <v>5.5</v>
      </c>
      <c r="J56" s="111" cm="1">
        <f t="array" ref="J56">IF(OR(E56="—",I56="—"),"—",E56-I56)</f>
        <v>-0.5</v>
      </c>
      <c r="K56" t="str" s="49" cm="1">
        <f t="array" ref="K56">IF(E56="—",IF(L56=0,"Nadie lo trabaja","El Salvador no llega"),IF(L56=0,"Solo El Salvador",IF(J56&gt;0,"El Salvador llega más tarde",IF(J56&lt;0,"El Salvador va adelantado","Mismo grado"))))</f>
        <v>El Salvador va adelantado</v>
      </c>
      <c r="L56" s="80" cm="1">
        <f t="array" ref="L56">COUNT(F56:H56)</f>
        <v>2</v>
      </c>
      <c r="M56" s="110"/>
      <c r="N56" s="36" cm="1">
        <f t="array" ref="N56">_xlfn.COUNTIFS('Datos - Temas'!$C$5:$C$1264,"Ciencias",'Datos - Temas'!$B$5:$B$1264,N$3,'Datos - Temas'!$K$5:$K$1264,$A56)+_xlfn.COUNTIFS('Datos - Temas'!$C$5:$C$1264,"Ciencias",'Datos - Temas'!$B$5:$B$1264,N$3,'Datos - Temas'!$L$5:$L$1264,$A56)</f>
        <v>0</v>
      </c>
      <c r="O56" s="36" cm="1">
        <f t="array" ref="O56">_xlfn.COUNTIFS('Datos - Temas'!$C$5:$C$1264,"Ciencias",'Datos - Temas'!$B$5:$B$1264,O$3,'Datos - Temas'!$K$5:$K$1264,$A56)+_xlfn.COUNTIFS('Datos - Temas'!$C$5:$C$1264,"Ciencias",'Datos - Temas'!$B$5:$B$1264,O$3,'Datos - Temas'!$L$5:$L$1264,$A56)</f>
        <v>0</v>
      </c>
      <c r="P56" s="36" cm="1">
        <f t="array" ref="P56">_xlfn.COUNTIFS('Datos - Temas'!$C$5:$C$1264,"Ciencias",'Datos - Temas'!$B$5:$B$1264,P$3,'Datos - Temas'!$K$5:$K$1264,$A56)+_xlfn.COUNTIFS('Datos - Temas'!$C$5:$C$1264,"Ciencias",'Datos - Temas'!$B$5:$B$1264,P$3,'Datos - Temas'!$L$5:$L$1264,$A56)</f>
        <v>0</v>
      </c>
      <c r="Q56" s="36" cm="1">
        <f t="array" ref="Q56">_xlfn.COUNTIFS('Datos - Temas'!$C$5:$C$1264,"Ciencias",'Datos - Temas'!$B$5:$B$1264,Q$3,'Datos - Temas'!$K$5:$K$1264,$A56)+_xlfn.COUNTIFS('Datos - Temas'!$C$5:$C$1264,"Ciencias",'Datos - Temas'!$B$5:$B$1264,Q$3,'Datos - Temas'!$L$5:$L$1264,$A56)</f>
        <v>0</v>
      </c>
      <c r="R56" s="36" cm="1">
        <f t="array" ref="R56">_xlfn.COUNTIFS('Datos - Temas'!$C$5:$C$1264,"Ciencias",'Datos - Temas'!$B$5:$B$1264,R$3,'Datos - Temas'!$K$5:$K$1264,$A56)+_xlfn.COUNTIFS('Datos - Temas'!$C$5:$C$1264,"Ciencias",'Datos - Temas'!$B$5:$B$1264,R$3,'Datos - Temas'!$L$5:$L$1264,$A56)</f>
        <v>1</v>
      </c>
      <c r="S56" s="36" cm="1">
        <f t="array" ref="S56">_xlfn.COUNTIFS('Datos - Temas'!$C$5:$C$1264,"Ciencias",'Datos - Temas'!$B$5:$B$1264,S$3,'Datos - Temas'!$K$5:$K$1264,$A56)+_xlfn.COUNTIFS('Datos - Temas'!$C$5:$C$1264,"Ciencias",'Datos - Temas'!$B$5:$B$1264,S$3,'Datos - Temas'!$L$5:$L$1264,$A56)</f>
        <v>2</v>
      </c>
      <c r="T56" s="36" cm="1">
        <f t="array" ref="T56">_xlfn.COUNTIFS('Datos - Temas'!$C$5:$C$1264,"Ciencias",'Datos - Temas'!$B$5:$B$1264,T$3,'Datos - Temas'!$K$5:$K$1264,$A56)+_xlfn.COUNTIFS('Datos - Temas'!$C$5:$C$1264,"Ciencias",'Datos - Temas'!$B$5:$B$1264,T$3,'Datos - Temas'!$L$5:$L$1264,$A56)</f>
        <v>0</v>
      </c>
      <c r="U56" s="36" cm="1">
        <f t="array" ref="U56">_xlfn.COUNTIFS('Datos - Temas'!$C$5:$C$1264,"Ciencias",'Datos - Temas'!$B$5:$B$1264,U$3,'Datos - Temas'!$K$5:$K$1264,$A56)+_xlfn.COUNTIFS('Datos - Temas'!$C$5:$C$1264,"Ciencias",'Datos - Temas'!$B$5:$B$1264,U$3,'Datos - Temas'!$L$5:$L$1264,$A56)</f>
        <v>2</v>
      </c>
      <c r="V56" s="36" cm="1">
        <f t="array" ref="V56">_xlfn.COUNTIFS('Datos - Temas'!$C$5:$C$1264,"Ciencias",'Datos - Temas'!$B$5:$B$1264,V$3,'Datos - Temas'!$K$5:$K$1264,$A56)+_xlfn.COUNTIFS('Datos - Temas'!$C$5:$C$1264,"Ciencias",'Datos - Temas'!$B$5:$B$1264,V$3,'Datos - Temas'!$L$5:$L$1264,$A56)</f>
        <v>0</v>
      </c>
      <c r="W56" s="36" cm="1">
        <f t="array" ref="W56">_xlfn.COUNTIFS('Datos - Objetivos de países'!$B$5:$B$510,"Uruguay",'Datos - Objetivos de países'!$F$5:$F$510,W$3,'Datos - Objetivos de países'!$J$5:$J$510,$A56)+_xlfn.COUNTIFS('Datos - Objetivos de países'!$B$5:$B$510,"Uruguay",'Datos - Objetivos de países'!$F$5:$F$510,W$3,'Datos - Objetivos de países'!$K$5:$K$510,$A56)</f>
        <v>0</v>
      </c>
      <c r="X56" s="36" cm="1">
        <f t="array" ref="X56">_xlfn.COUNTIFS('Datos - Objetivos de países'!$B$5:$B$510,"Uruguay",'Datos - Objetivos de países'!$F$5:$F$510,X$3,'Datos - Objetivos de países'!$J$5:$J$510,$A56)+_xlfn.COUNTIFS('Datos - Objetivos de países'!$B$5:$B$510,"Uruguay",'Datos - Objetivos de países'!$F$5:$F$510,X$3,'Datos - Objetivos de países'!$K$5:$K$510,$A56)</f>
        <v>0</v>
      </c>
      <c r="Y56" s="36" cm="1">
        <f t="array" ref="Y56">_xlfn.COUNTIFS('Datos - Objetivos de países'!$B$5:$B$510,"Uruguay",'Datos - Objetivos de países'!$F$5:$F$510,Y$3,'Datos - Objetivos de países'!$J$5:$J$510,$A56)+_xlfn.COUNTIFS('Datos - Objetivos de países'!$B$5:$B$510,"Uruguay",'Datos - Objetivos de países'!$F$5:$F$510,Y$3,'Datos - Objetivos de países'!$K$5:$K$510,$A56)</f>
        <v>0</v>
      </c>
      <c r="Z56" s="36" cm="1">
        <f t="array" ref="Z56">_xlfn.COUNTIFS('Datos - Objetivos de países'!$B$5:$B$510,"Uruguay",'Datos - Objetivos de países'!$F$5:$F$510,Z$3,'Datos - Objetivos de países'!$J$5:$J$510,$A56)+_xlfn.COUNTIFS('Datos - Objetivos de países'!$B$5:$B$510,"Uruguay",'Datos - Objetivos de países'!$F$5:$F$510,Z$3,'Datos - Objetivos de países'!$K$5:$K$510,$A56)</f>
        <v>0</v>
      </c>
      <c r="AA56" s="36" cm="1">
        <f t="array" ref="AA56">_xlfn.COUNTIFS('Datos - Objetivos de países'!$B$5:$B$510,"Uruguay",'Datos - Objetivos de países'!$F$5:$F$510,AA$3,'Datos - Objetivos de países'!$J$5:$J$510,$A56)+_xlfn.COUNTIFS('Datos - Objetivos de países'!$B$5:$B$510,"Uruguay",'Datos - Objetivos de países'!$F$5:$F$510,AA$3,'Datos - Objetivos de países'!$K$5:$K$510,$A56)</f>
        <v>2</v>
      </c>
      <c r="AB56" s="36" cm="1">
        <f t="array" ref="AB56">_xlfn.COUNTIFS('Datos - Objetivos de países'!$B$5:$B$510,"Uruguay",'Datos - Objetivos de países'!$F$5:$F$510,AB$3,'Datos - Objetivos de países'!$J$5:$J$510,$A56)+_xlfn.COUNTIFS('Datos - Objetivos de países'!$B$5:$B$510,"Uruguay",'Datos - Objetivos de países'!$F$5:$F$510,AB$3,'Datos - Objetivos de países'!$K$5:$K$510,$A56)</f>
        <v>0</v>
      </c>
      <c r="AC56" s="36" cm="1">
        <f t="array" ref="AC56">_xlfn.COUNTIFS('Datos - Objetivos de países'!$B$5:$B$510,"Uruguay",'Datos - Objetivos de países'!$F$5:$F$510,AC$3,'Datos - Objetivos de países'!$J$5:$J$510,$A56)+_xlfn.COUNTIFS('Datos - Objetivos de países'!$B$5:$B$510,"Uruguay",'Datos - Objetivos de países'!$F$5:$F$510,AC$3,'Datos - Objetivos de países'!$K$5:$K$510,$A56)</f>
        <v>0</v>
      </c>
      <c r="AD56" s="36" cm="1">
        <f t="array" ref="AD56">_xlfn.COUNTIFS('Datos - Objetivos de países'!$B$5:$B$510,"Uruguay",'Datos - Objetivos de países'!$F$5:$F$510,AD$3,'Datos - Objetivos de países'!$J$5:$J$510,$A56)+_xlfn.COUNTIFS('Datos - Objetivos de países'!$B$5:$B$510,"Uruguay",'Datos - Objetivos de países'!$F$5:$F$510,AD$3,'Datos - Objetivos de países'!$K$5:$K$510,$A56)</f>
        <v>1</v>
      </c>
      <c r="AE56" s="36" cm="1">
        <f t="array" ref="AE56">_xlfn.COUNTIFS('Datos - Objetivos de países'!$B$5:$B$510,"Uruguay",'Datos - Objetivos de países'!$F$5:$F$510,AE$3,'Datos - Objetivos de países'!$J$5:$J$510,$A56)+_xlfn.COUNTIFS('Datos - Objetivos de países'!$B$5:$B$510,"Uruguay",'Datos - Objetivos de países'!$F$5:$F$510,AE$3,'Datos - Objetivos de países'!$K$5:$K$510,$A56)</f>
        <v>1</v>
      </c>
      <c r="AF56" s="36" cm="1">
        <f t="array" ref="AF56">_xlfn.COUNTIFS('Datos - Objetivos de países'!$B$5:$B$510,"Colombia",'Datos - Objetivos de países'!$F$5:$F$510,AF$3,'Datos - Objetivos de países'!$J$5:$J$510,$A56)+_xlfn.COUNTIFS('Datos - Objetivos de países'!$B$5:$B$510,"Colombia",'Datos - Objetivos de países'!$F$5:$F$510,AF$3,'Datos - Objetivos de países'!$K$5:$K$510,$A56)</f>
        <v>0</v>
      </c>
      <c r="AG56" s="36" cm="1">
        <f t="array" ref="AG56">_xlfn.COUNTIFS('Datos - Objetivos de países'!$B$5:$B$510,"Colombia",'Datos - Objetivos de países'!$F$5:$F$510,AG$3,'Datos - Objetivos de países'!$J$5:$J$510,$A56)+_xlfn.COUNTIFS('Datos - Objetivos de países'!$B$5:$B$510,"Colombia",'Datos - Objetivos de países'!$F$5:$F$510,AG$3,'Datos - Objetivos de países'!$K$5:$K$510,$A56)</f>
        <v>0</v>
      </c>
      <c r="AH56" s="36" cm="1">
        <f t="array" ref="AH56">_xlfn.COUNTIFS('Datos - Objetivos de países'!$B$5:$B$510,"Colombia",'Datos - Objetivos de países'!$F$5:$F$510,AH$3,'Datos - Objetivos de países'!$J$5:$J$510,$A56)+_xlfn.COUNTIFS('Datos - Objetivos de países'!$B$5:$B$510,"Colombia",'Datos - Objetivos de países'!$F$5:$F$510,AH$3,'Datos - Objetivos de países'!$K$5:$K$510,$A56)</f>
        <v>0</v>
      </c>
      <c r="AI56" s="36" cm="1">
        <f t="array" ref="AI56">_xlfn.COUNTIFS('Datos - Objetivos de países'!$B$5:$B$510,"Colombia",'Datos - Objetivos de países'!$F$5:$F$510,AI$3,'Datos - Objetivos de países'!$J$5:$J$510,$A56)+_xlfn.COUNTIFS('Datos - Objetivos de países'!$B$5:$B$510,"Colombia",'Datos - Objetivos de países'!$F$5:$F$510,AI$3,'Datos - Objetivos de países'!$K$5:$K$510,$A56)</f>
        <v>0</v>
      </c>
      <c r="AJ56" s="36" cm="1">
        <f t="array" ref="AJ56">_xlfn.COUNTIFS('Datos - Objetivos de países'!$B$5:$B$510,"Colombia",'Datos - Objetivos de países'!$F$5:$F$510,AJ$3,'Datos - Objetivos de países'!$J$5:$J$510,$A56)+_xlfn.COUNTIFS('Datos - Objetivos de países'!$B$5:$B$510,"Colombia",'Datos - Objetivos de países'!$F$5:$F$510,AJ$3,'Datos - Objetivos de países'!$K$5:$K$510,$A56)</f>
        <v>0</v>
      </c>
      <c r="AK56" s="36" cm="1">
        <f t="array" ref="AK56">_xlfn.COUNTIFS('Datos - Objetivos de países'!$B$5:$B$510,"Colombia",'Datos - Objetivos de países'!$F$5:$F$510,AK$3,'Datos - Objetivos de países'!$J$5:$J$510,$A56)+_xlfn.COUNTIFS('Datos - Objetivos de países'!$B$5:$B$510,"Colombia",'Datos - Objetivos de países'!$F$5:$F$510,AK$3,'Datos - Objetivos de países'!$K$5:$K$510,$A56)</f>
        <v>3</v>
      </c>
      <c r="AL56" s="36" cm="1">
        <f t="array" ref="AL56">_xlfn.COUNTIFS('Datos - Objetivos de países'!$B$5:$B$510,"Colombia",'Datos - Objetivos de países'!$F$5:$F$510,AL$3,'Datos - Objetivos de países'!$J$5:$J$510,$A56)+_xlfn.COUNTIFS('Datos - Objetivos de países'!$B$5:$B$510,"Colombia",'Datos - Objetivos de países'!$F$5:$F$510,AL$3,'Datos - Objetivos de países'!$K$5:$K$510,$A56)</f>
        <v>0</v>
      </c>
      <c r="AM56" s="36" cm="1">
        <f t="array" ref="AM56">_xlfn.COUNTIFS('Datos - Objetivos de países'!$B$5:$B$510,"Colombia",'Datos - Objetivos de países'!$F$5:$F$510,AM$3,'Datos - Objetivos de países'!$J$5:$J$510,$A56)+_xlfn.COUNTIFS('Datos - Objetivos de países'!$B$5:$B$510,"Colombia",'Datos - Objetivos de países'!$F$5:$F$510,AM$3,'Datos - Objetivos de países'!$K$5:$K$510,$A56)</f>
        <v>2</v>
      </c>
      <c r="AN56" s="36" cm="1">
        <f t="array" ref="AN56">_xlfn.COUNTIFS('Datos - Objetivos de países'!$B$5:$B$510,"Colombia",'Datos - Objetivos de países'!$F$5:$F$510,AN$3,'Datos - Objetivos de países'!$J$5:$J$510,$A56)+_xlfn.COUNTIFS('Datos - Objetivos de países'!$B$5:$B$510,"Colombia",'Datos - Objetivos de países'!$F$5:$F$510,AN$3,'Datos - Objetivos de países'!$K$5:$K$510,$A56)</f>
        <v>0</v>
      </c>
      <c r="AO56" s="36" cm="1">
        <f t="array" ref="AO56">_xlfn.COUNTIFS('Datos - Objetivos de países'!$B$5:$B$510,"Singapur",'Datos - Objetivos de países'!$F$5:$F$510,AO$3,'Datos - Objetivos de países'!$J$5:$J$510,$A56)+_xlfn.COUNTIFS('Datos - Objetivos de países'!$B$5:$B$510,"Singapur",'Datos - Objetivos de países'!$F$5:$F$510,AO$3,'Datos - Objetivos de países'!$K$5:$K$510,$A56)</f>
        <v>0</v>
      </c>
      <c r="AP56" s="36" cm="1">
        <f t="array" ref="AP56">_xlfn.COUNTIFS('Datos - Objetivos de países'!$B$5:$B$510,"Singapur",'Datos - Objetivos de países'!$F$5:$F$510,AP$3,'Datos - Objetivos de países'!$J$5:$J$510,$A56)+_xlfn.COUNTIFS('Datos - Objetivos de países'!$B$5:$B$510,"Singapur",'Datos - Objetivos de países'!$F$5:$F$510,AP$3,'Datos - Objetivos de países'!$K$5:$K$510,$A56)</f>
        <v>0</v>
      </c>
      <c r="AQ56" s="36" cm="1">
        <f t="array" ref="AQ56">_xlfn.COUNTIFS('Datos - Objetivos de países'!$B$5:$B$510,"Singapur",'Datos - Objetivos de países'!$F$5:$F$510,AQ$3,'Datos - Objetivos de países'!$J$5:$J$510,$A56)+_xlfn.COUNTIFS('Datos - Objetivos de países'!$B$5:$B$510,"Singapur",'Datos - Objetivos de países'!$F$5:$F$510,AQ$3,'Datos - Objetivos de países'!$K$5:$K$510,$A56)</f>
        <v>0</v>
      </c>
      <c r="AR56" s="36" cm="1">
        <f t="array" ref="AR56">_xlfn.COUNTIFS('Datos - Objetivos de países'!$B$5:$B$510,"Singapur",'Datos - Objetivos de países'!$F$5:$F$510,AR$3,'Datos - Objetivos de países'!$J$5:$J$510,$A56)+_xlfn.COUNTIFS('Datos - Objetivos de países'!$B$5:$B$510,"Singapur",'Datos - Objetivos de países'!$F$5:$F$510,AR$3,'Datos - Objetivos de países'!$K$5:$K$510,$A56)</f>
        <v>0</v>
      </c>
      <c r="AS56" s="36" cm="1">
        <f t="array" ref="AS56">_xlfn.COUNTIFS('Datos - Objetivos de países'!$B$5:$B$510,"Singapur",'Datos - Objetivos de países'!$F$5:$F$510,AS$3,'Datos - Objetivos de países'!$J$5:$J$510,$A56)+_xlfn.COUNTIFS('Datos - Objetivos de países'!$B$5:$B$510,"Singapur",'Datos - Objetivos de países'!$F$5:$F$510,AS$3,'Datos - Objetivos de países'!$K$5:$K$510,$A56)</f>
        <v>0</v>
      </c>
      <c r="AT56" s="36" cm="1">
        <f t="array" ref="AT56">_xlfn.COUNTIFS('Datos - Objetivos de países'!$B$5:$B$510,"Singapur",'Datos - Objetivos de países'!$F$5:$F$510,AT$3,'Datos - Objetivos de países'!$J$5:$J$510,$A56)+_xlfn.COUNTIFS('Datos - Objetivos de países'!$B$5:$B$510,"Singapur",'Datos - Objetivos de países'!$F$5:$F$510,AT$3,'Datos - Objetivos de países'!$K$5:$K$510,$A56)</f>
        <v>0</v>
      </c>
      <c r="AU56" s="36" cm="1">
        <f t="array" ref="AU56">_xlfn.COUNTIFS('Datos - Objetivos de países'!$B$5:$B$510,"Singapur",'Datos - Objetivos de países'!$F$5:$F$510,AU$3,'Datos - Objetivos de países'!$J$5:$J$510,$A56)+_xlfn.COUNTIFS('Datos - Objetivos de países'!$B$5:$B$510,"Singapur",'Datos - Objetivos de países'!$F$5:$F$510,AU$3,'Datos - Objetivos de países'!$K$5:$K$510,$A56)</f>
        <v>0</v>
      </c>
      <c r="AV56" s="36" cm="1">
        <f t="array" ref="AV56">_xlfn.COUNTIFS('Datos - Objetivos de países'!$B$5:$B$510,"Singapur",'Datos - Objetivos de países'!$F$5:$F$510,AV$3,'Datos - Objetivos de países'!$J$5:$J$510,$A56)+_xlfn.COUNTIFS('Datos - Objetivos de países'!$B$5:$B$510,"Singapur",'Datos - Objetivos de países'!$F$5:$F$510,AV$3,'Datos - Objetivos de países'!$K$5:$K$510,$A56)</f>
        <v>0</v>
      </c>
      <c r="AW56" s="36" cm="1">
        <f t="array" ref="AW56">_xlfn.COUNTIFS('Datos - Objetivos de países'!$B$5:$B$510,"Singapur",'Datos - Objetivos de países'!$F$5:$F$510,AW$3,'Datos - Objetivos de países'!$J$5:$J$510,$A56)+_xlfn.COUNTIFS('Datos - Objetivos de países'!$B$5:$B$510,"Singapur",'Datos - Objetivos de países'!$F$5:$F$510,AW$3,'Datos - Objetivos de países'!$K$5:$K$510,$A56)</f>
        <v>0</v>
      </c>
    </row>
    <row r="57" ht="13.65" customHeight="1">
      <c r="A57" t="s" s="78">
        <v>615</v>
      </c>
      <c r="B57" t="s" s="78">
        <v>1164</v>
      </c>
      <c r="C57" t="s" s="78">
        <v>220</v>
      </c>
      <c r="D57" t="s" s="78">
        <v>1222</v>
      </c>
      <c r="E57" s="80" cm="1">
        <f t="array" ref="E57">_xlfn.IFERROR(MAX($L$3,INDEX($N$3:$V$3,MATCH(TRUE,INDEX(N57:V57&gt;0,0),0))),"—")</f>
        <v>6</v>
      </c>
      <c r="F57" s="80" cm="1">
        <f t="array" ref="F57">_xlfn.IFERROR(MAX($L$3,INDEX($W$3:$AE$3,MATCH(TRUE,INDEX(W57:AE57&gt;0,0),0))),"—")</f>
        <v>5</v>
      </c>
      <c r="G57" s="80" cm="1">
        <f t="array" ref="G57">_xlfn.IFERROR(MAX($L$3,INDEX($AF$3:$AN$3,MATCH(TRUE,INDEX(AF57:AN57&gt;0,0),0))),"—")</f>
        <v>6</v>
      </c>
      <c r="H57" t="str" s="79" cm="1">
        <f t="array" ref="H57">_xlfn.IFERROR(MAX($L$3,INDEX($AO$3:$AW$3,MATCH(TRUE,INDEX(AO57:AW57&gt;0,0),0))),"—")</f>
        <v>—</v>
      </c>
      <c r="I57" s="111" cm="1">
        <f t="array" ref="I57">IF(L57=0,"—",MEDIAN(F57:H57))</f>
        <v>5.5</v>
      </c>
      <c r="J57" s="111" cm="1">
        <f t="array" ref="J57">IF(OR(E57="—",I57="—"),"—",E57-I57)</f>
        <v>0.5</v>
      </c>
      <c r="K57" t="str" s="49" cm="1">
        <f t="array" ref="K57">IF(E57="—",IF(L57=0,"Nadie lo trabaja","El Salvador no llega"),IF(L57=0,"Solo El Salvador",IF(J57&gt;0,"El Salvador llega más tarde",IF(J57&lt;0,"El Salvador va adelantado","Mismo grado"))))</f>
        <v>El Salvador llega más tarde</v>
      </c>
      <c r="L57" s="80" cm="1">
        <f t="array" ref="L57">COUNT(F57:H57)</f>
        <v>2</v>
      </c>
      <c r="M57" s="110"/>
      <c r="N57" s="36" cm="1">
        <f t="array" ref="N57">_xlfn.COUNTIFS('Datos - Temas'!$C$5:$C$1264,"Ciencias",'Datos - Temas'!$B$5:$B$1264,N$3,'Datos - Temas'!$K$5:$K$1264,$A57)+_xlfn.COUNTIFS('Datos - Temas'!$C$5:$C$1264,"Ciencias",'Datos - Temas'!$B$5:$B$1264,N$3,'Datos - Temas'!$L$5:$L$1264,$A57)</f>
        <v>0</v>
      </c>
      <c r="O57" s="36" cm="1">
        <f t="array" ref="O57">_xlfn.COUNTIFS('Datos - Temas'!$C$5:$C$1264,"Ciencias",'Datos - Temas'!$B$5:$B$1264,O$3,'Datos - Temas'!$K$5:$K$1264,$A57)+_xlfn.COUNTIFS('Datos - Temas'!$C$5:$C$1264,"Ciencias",'Datos - Temas'!$B$5:$B$1264,O$3,'Datos - Temas'!$L$5:$L$1264,$A57)</f>
        <v>0</v>
      </c>
      <c r="P57" s="36" cm="1">
        <f t="array" ref="P57">_xlfn.COUNTIFS('Datos - Temas'!$C$5:$C$1264,"Ciencias",'Datos - Temas'!$B$5:$B$1264,P$3,'Datos - Temas'!$K$5:$K$1264,$A57)+_xlfn.COUNTIFS('Datos - Temas'!$C$5:$C$1264,"Ciencias",'Datos - Temas'!$B$5:$B$1264,P$3,'Datos - Temas'!$L$5:$L$1264,$A57)</f>
        <v>0</v>
      </c>
      <c r="Q57" s="36" cm="1">
        <f t="array" ref="Q57">_xlfn.COUNTIFS('Datos - Temas'!$C$5:$C$1264,"Ciencias",'Datos - Temas'!$B$5:$B$1264,Q$3,'Datos - Temas'!$K$5:$K$1264,$A57)+_xlfn.COUNTIFS('Datos - Temas'!$C$5:$C$1264,"Ciencias",'Datos - Temas'!$B$5:$B$1264,Q$3,'Datos - Temas'!$L$5:$L$1264,$A57)</f>
        <v>0</v>
      </c>
      <c r="R57" s="36" cm="1">
        <f t="array" ref="R57">_xlfn.COUNTIFS('Datos - Temas'!$C$5:$C$1264,"Ciencias",'Datos - Temas'!$B$5:$B$1264,R$3,'Datos - Temas'!$K$5:$K$1264,$A57)+_xlfn.COUNTIFS('Datos - Temas'!$C$5:$C$1264,"Ciencias",'Datos - Temas'!$B$5:$B$1264,R$3,'Datos - Temas'!$L$5:$L$1264,$A57)</f>
        <v>0</v>
      </c>
      <c r="S57" s="36" cm="1">
        <f t="array" ref="S57">_xlfn.COUNTIFS('Datos - Temas'!$C$5:$C$1264,"Ciencias",'Datos - Temas'!$B$5:$B$1264,S$3,'Datos - Temas'!$K$5:$K$1264,$A57)+_xlfn.COUNTIFS('Datos - Temas'!$C$5:$C$1264,"Ciencias",'Datos - Temas'!$B$5:$B$1264,S$3,'Datos - Temas'!$L$5:$L$1264,$A57)</f>
        <v>1</v>
      </c>
      <c r="T57" s="36" cm="1">
        <f t="array" ref="T57">_xlfn.COUNTIFS('Datos - Temas'!$C$5:$C$1264,"Ciencias",'Datos - Temas'!$B$5:$B$1264,T$3,'Datos - Temas'!$K$5:$K$1264,$A57)+_xlfn.COUNTIFS('Datos - Temas'!$C$5:$C$1264,"Ciencias",'Datos - Temas'!$B$5:$B$1264,T$3,'Datos - Temas'!$L$5:$L$1264,$A57)</f>
        <v>0</v>
      </c>
      <c r="U57" s="36" cm="1">
        <f t="array" ref="U57">_xlfn.COUNTIFS('Datos - Temas'!$C$5:$C$1264,"Ciencias",'Datos - Temas'!$B$5:$B$1264,U$3,'Datos - Temas'!$K$5:$K$1264,$A57)+_xlfn.COUNTIFS('Datos - Temas'!$C$5:$C$1264,"Ciencias",'Datos - Temas'!$B$5:$B$1264,U$3,'Datos - Temas'!$L$5:$L$1264,$A57)</f>
        <v>15</v>
      </c>
      <c r="V57" s="36" cm="1">
        <f t="array" ref="V57">_xlfn.COUNTIFS('Datos - Temas'!$C$5:$C$1264,"Ciencias",'Datos - Temas'!$B$5:$B$1264,V$3,'Datos - Temas'!$K$5:$K$1264,$A57)+_xlfn.COUNTIFS('Datos - Temas'!$C$5:$C$1264,"Ciencias",'Datos - Temas'!$B$5:$B$1264,V$3,'Datos - Temas'!$L$5:$L$1264,$A57)</f>
        <v>0</v>
      </c>
      <c r="W57" s="36" cm="1">
        <f t="array" ref="W57">_xlfn.COUNTIFS('Datos - Objetivos de países'!$B$5:$B$510,"Uruguay",'Datos - Objetivos de países'!$F$5:$F$510,W$3,'Datos - Objetivos de países'!$J$5:$J$510,$A57)+_xlfn.COUNTIFS('Datos - Objetivos de países'!$B$5:$B$510,"Uruguay",'Datos - Objetivos de países'!$F$5:$F$510,W$3,'Datos - Objetivos de países'!$K$5:$K$510,$A57)</f>
        <v>0</v>
      </c>
      <c r="X57" s="36" cm="1">
        <f t="array" ref="X57">_xlfn.COUNTIFS('Datos - Objetivos de países'!$B$5:$B$510,"Uruguay",'Datos - Objetivos de países'!$F$5:$F$510,X$3,'Datos - Objetivos de países'!$J$5:$J$510,$A57)+_xlfn.COUNTIFS('Datos - Objetivos de países'!$B$5:$B$510,"Uruguay",'Datos - Objetivos de países'!$F$5:$F$510,X$3,'Datos - Objetivos de países'!$K$5:$K$510,$A57)</f>
        <v>0</v>
      </c>
      <c r="Y57" s="36" cm="1">
        <f t="array" ref="Y57">_xlfn.COUNTIFS('Datos - Objetivos de países'!$B$5:$B$510,"Uruguay",'Datos - Objetivos de países'!$F$5:$F$510,Y$3,'Datos - Objetivos de países'!$J$5:$J$510,$A57)+_xlfn.COUNTIFS('Datos - Objetivos de países'!$B$5:$B$510,"Uruguay",'Datos - Objetivos de países'!$F$5:$F$510,Y$3,'Datos - Objetivos de países'!$K$5:$K$510,$A57)</f>
        <v>0</v>
      </c>
      <c r="Z57" s="36" cm="1">
        <f t="array" ref="Z57">_xlfn.COUNTIFS('Datos - Objetivos de países'!$B$5:$B$510,"Uruguay",'Datos - Objetivos de países'!$F$5:$F$510,Z$3,'Datos - Objetivos de países'!$J$5:$J$510,$A57)+_xlfn.COUNTIFS('Datos - Objetivos de países'!$B$5:$B$510,"Uruguay",'Datos - Objetivos de países'!$F$5:$F$510,Z$3,'Datos - Objetivos de países'!$K$5:$K$510,$A57)</f>
        <v>0</v>
      </c>
      <c r="AA57" s="36" cm="1">
        <f t="array" ref="AA57">_xlfn.COUNTIFS('Datos - Objetivos de países'!$B$5:$B$510,"Uruguay",'Datos - Objetivos de países'!$F$5:$F$510,AA$3,'Datos - Objetivos de países'!$J$5:$J$510,$A57)+_xlfn.COUNTIFS('Datos - Objetivos de países'!$B$5:$B$510,"Uruguay",'Datos - Objetivos de países'!$F$5:$F$510,AA$3,'Datos - Objetivos de países'!$K$5:$K$510,$A57)</f>
        <v>2</v>
      </c>
      <c r="AB57" s="36" cm="1">
        <f t="array" ref="AB57">_xlfn.COUNTIFS('Datos - Objetivos de países'!$B$5:$B$510,"Uruguay",'Datos - Objetivos de países'!$F$5:$F$510,AB$3,'Datos - Objetivos de países'!$J$5:$J$510,$A57)+_xlfn.COUNTIFS('Datos - Objetivos de países'!$B$5:$B$510,"Uruguay",'Datos - Objetivos de países'!$F$5:$F$510,AB$3,'Datos - Objetivos de países'!$K$5:$K$510,$A57)</f>
        <v>0</v>
      </c>
      <c r="AC57" s="36" cm="1">
        <f t="array" ref="AC57">_xlfn.COUNTIFS('Datos - Objetivos de países'!$B$5:$B$510,"Uruguay",'Datos - Objetivos de países'!$F$5:$F$510,AC$3,'Datos - Objetivos de países'!$J$5:$J$510,$A57)+_xlfn.COUNTIFS('Datos - Objetivos de países'!$B$5:$B$510,"Uruguay",'Datos - Objetivos de países'!$F$5:$F$510,AC$3,'Datos - Objetivos de países'!$K$5:$K$510,$A57)</f>
        <v>0</v>
      </c>
      <c r="AD57" s="36" cm="1">
        <f t="array" ref="AD57">_xlfn.COUNTIFS('Datos - Objetivos de países'!$B$5:$B$510,"Uruguay",'Datos - Objetivos de países'!$F$5:$F$510,AD$3,'Datos - Objetivos de países'!$J$5:$J$510,$A57)+_xlfn.COUNTIFS('Datos - Objetivos de países'!$B$5:$B$510,"Uruguay",'Datos - Objetivos de países'!$F$5:$F$510,AD$3,'Datos - Objetivos de países'!$K$5:$K$510,$A57)</f>
        <v>0</v>
      </c>
      <c r="AE57" s="36" cm="1">
        <f t="array" ref="AE57">_xlfn.COUNTIFS('Datos - Objetivos de países'!$B$5:$B$510,"Uruguay",'Datos - Objetivos de países'!$F$5:$F$510,AE$3,'Datos - Objetivos de países'!$J$5:$J$510,$A57)+_xlfn.COUNTIFS('Datos - Objetivos de países'!$B$5:$B$510,"Uruguay",'Datos - Objetivos de países'!$F$5:$F$510,AE$3,'Datos - Objetivos de países'!$K$5:$K$510,$A57)</f>
        <v>1</v>
      </c>
      <c r="AF57" s="36" cm="1">
        <f t="array" ref="AF57">_xlfn.COUNTIFS('Datos - Objetivos de países'!$B$5:$B$510,"Colombia",'Datos - Objetivos de países'!$F$5:$F$510,AF$3,'Datos - Objetivos de países'!$J$5:$J$510,$A57)+_xlfn.COUNTIFS('Datos - Objetivos de países'!$B$5:$B$510,"Colombia",'Datos - Objetivos de países'!$F$5:$F$510,AF$3,'Datos - Objetivos de países'!$K$5:$K$510,$A57)</f>
        <v>0</v>
      </c>
      <c r="AG57" s="36" cm="1">
        <f t="array" ref="AG57">_xlfn.COUNTIFS('Datos - Objetivos de países'!$B$5:$B$510,"Colombia",'Datos - Objetivos de países'!$F$5:$F$510,AG$3,'Datos - Objetivos de países'!$J$5:$J$510,$A57)+_xlfn.COUNTIFS('Datos - Objetivos de países'!$B$5:$B$510,"Colombia",'Datos - Objetivos de países'!$F$5:$F$510,AG$3,'Datos - Objetivos de países'!$K$5:$K$510,$A57)</f>
        <v>0</v>
      </c>
      <c r="AH57" s="36" cm="1">
        <f t="array" ref="AH57">_xlfn.COUNTIFS('Datos - Objetivos de países'!$B$5:$B$510,"Colombia",'Datos - Objetivos de países'!$F$5:$F$510,AH$3,'Datos - Objetivos de países'!$J$5:$J$510,$A57)+_xlfn.COUNTIFS('Datos - Objetivos de países'!$B$5:$B$510,"Colombia",'Datos - Objetivos de países'!$F$5:$F$510,AH$3,'Datos - Objetivos de países'!$K$5:$K$510,$A57)</f>
        <v>0</v>
      </c>
      <c r="AI57" s="36" cm="1">
        <f t="array" ref="AI57">_xlfn.COUNTIFS('Datos - Objetivos de países'!$B$5:$B$510,"Colombia",'Datos - Objetivos de países'!$F$5:$F$510,AI$3,'Datos - Objetivos de países'!$J$5:$J$510,$A57)+_xlfn.COUNTIFS('Datos - Objetivos de países'!$B$5:$B$510,"Colombia",'Datos - Objetivos de países'!$F$5:$F$510,AI$3,'Datos - Objetivos de países'!$K$5:$K$510,$A57)</f>
        <v>0</v>
      </c>
      <c r="AJ57" s="36" cm="1">
        <f t="array" ref="AJ57">_xlfn.COUNTIFS('Datos - Objetivos de países'!$B$5:$B$510,"Colombia",'Datos - Objetivos de países'!$F$5:$F$510,AJ$3,'Datos - Objetivos de países'!$J$5:$J$510,$A57)+_xlfn.COUNTIFS('Datos - Objetivos de países'!$B$5:$B$510,"Colombia",'Datos - Objetivos de países'!$F$5:$F$510,AJ$3,'Datos - Objetivos de países'!$K$5:$K$510,$A57)</f>
        <v>0</v>
      </c>
      <c r="AK57" s="36" cm="1">
        <f t="array" ref="AK57">_xlfn.COUNTIFS('Datos - Objetivos de países'!$B$5:$B$510,"Colombia",'Datos - Objetivos de países'!$F$5:$F$510,AK$3,'Datos - Objetivos de países'!$J$5:$J$510,$A57)+_xlfn.COUNTIFS('Datos - Objetivos de países'!$B$5:$B$510,"Colombia",'Datos - Objetivos de países'!$F$5:$F$510,AK$3,'Datos - Objetivos de países'!$K$5:$K$510,$A57)</f>
        <v>3</v>
      </c>
      <c r="AL57" s="36" cm="1">
        <f t="array" ref="AL57">_xlfn.COUNTIFS('Datos - Objetivos de países'!$B$5:$B$510,"Colombia",'Datos - Objetivos de países'!$F$5:$F$510,AL$3,'Datos - Objetivos de países'!$J$5:$J$510,$A57)+_xlfn.COUNTIFS('Datos - Objetivos de países'!$B$5:$B$510,"Colombia",'Datos - Objetivos de países'!$F$5:$F$510,AL$3,'Datos - Objetivos de países'!$K$5:$K$510,$A57)</f>
        <v>0</v>
      </c>
      <c r="AM57" s="36" cm="1">
        <f t="array" ref="AM57">_xlfn.COUNTIFS('Datos - Objetivos de países'!$B$5:$B$510,"Colombia",'Datos - Objetivos de países'!$F$5:$F$510,AM$3,'Datos - Objetivos de países'!$J$5:$J$510,$A57)+_xlfn.COUNTIFS('Datos - Objetivos de países'!$B$5:$B$510,"Colombia",'Datos - Objetivos de países'!$F$5:$F$510,AM$3,'Datos - Objetivos de países'!$K$5:$K$510,$A57)</f>
        <v>1</v>
      </c>
      <c r="AN57" s="36" cm="1">
        <f t="array" ref="AN57">_xlfn.COUNTIFS('Datos - Objetivos de países'!$B$5:$B$510,"Colombia",'Datos - Objetivos de países'!$F$5:$F$510,AN$3,'Datos - Objetivos de países'!$J$5:$J$510,$A57)+_xlfn.COUNTIFS('Datos - Objetivos de países'!$B$5:$B$510,"Colombia",'Datos - Objetivos de países'!$F$5:$F$510,AN$3,'Datos - Objetivos de países'!$K$5:$K$510,$A57)</f>
        <v>1</v>
      </c>
      <c r="AO57" s="36" cm="1">
        <f t="array" ref="AO57">_xlfn.COUNTIFS('Datos - Objetivos de países'!$B$5:$B$510,"Singapur",'Datos - Objetivos de países'!$F$5:$F$510,AO$3,'Datos - Objetivos de países'!$J$5:$J$510,$A57)+_xlfn.COUNTIFS('Datos - Objetivos de países'!$B$5:$B$510,"Singapur",'Datos - Objetivos de países'!$F$5:$F$510,AO$3,'Datos - Objetivos de países'!$K$5:$K$510,$A57)</f>
        <v>0</v>
      </c>
      <c r="AP57" s="36" cm="1">
        <f t="array" ref="AP57">_xlfn.COUNTIFS('Datos - Objetivos de países'!$B$5:$B$510,"Singapur",'Datos - Objetivos de países'!$F$5:$F$510,AP$3,'Datos - Objetivos de países'!$J$5:$J$510,$A57)+_xlfn.COUNTIFS('Datos - Objetivos de países'!$B$5:$B$510,"Singapur",'Datos - Objetivos de países'!$F$5:$F$510,AP$3,'Datos - Objetivos de países'!$K$5:$K$510,$A57)</f>
        <v>0</v>
      </c>
      <c r="AQ57" s="36" cm="1">
        <f t="array" ref="AQ57">_xlfn.COUNTIFS('Datos - Objetivos de países'!$B$5:$B$510,"Singapur",'Datos - Objetivos de países'!$F$5:$F$510,AQ$3,'Datos - Objetivos de países'!$J$5:$J$510,$A57)+_xlfn.COUNTIFS('Datos - Objetivos de países'!$B$5:$B$510,"Singapur",'Datos - Objetivos de países'!$F$5:$F$510,AQ$3,'Datos - Objetivos de países'!$K$5:$K$510,$A57)</f>
        <v>0</v>
      </c>
      <c r="AR57" s="36" cm="1">
        <f t="array" ref="AR57">_xlfn.COUNTIFS('Datos - Objetivos de países'!$B$5:$B$510,"Singapur",'Datos - Objetivos de países'!$F$5:$F$510,AR$3,'Datos - Objetivos de países'!$J$5:$J$510,$A57)+_xlfn.COUNTIFS('Datos - Objetivos de países'!$B$5:$B$510,"Singapur",'Datos - Objetivos de países'!$F$5:$F$510,AR$3,'Datos - Objetivos de países'!$K$5:$K$510,$A57)</f>
        <v>0</v>
      </c>
      <c r="AS57" s="36" cm="1">
        <f t="array" ref="AS57">_xlfn.COUNTIFS('Datos - Objetivos de países'!$B$5:$B$510,"Singapur",'Datos - Objetivos de países'!$F$5:$F$510,AS$3,'Datos - Objetivos de países'!$J$5:$J$510,$A57)+_xlfn.COUNTIFS('Datos - Objetivos de países'!$B$5:$B$510,"Singapur",'Datos - Objetivos de países'!$F$5:$F$510,AS$3,'Datos - Objetivos de países'!$K$5:$K$510,$A57)</f>
        <v>0</v>
      </c>
      <c r="AT57" s="36" cm="1">
        <f t="array" ref="AT57">_xlfn.COUNTIFS('Datos - Objetivos de países'!$B$5:$B$510,"Singapur",'Datos - Objetivos de países'!$F$5:$F$510,AT$3,'Datos - Objetivos de países'!$J$5:$J$510,$A57)+_xlfn.COUNTIFS('Datos - Objetivos de países'!$B$5:$B$510,"Singapur",'Datos - Objetivos de países'!$F$5:$F$510,AT$3,'Datos - Objetivos de países'!$K$5:$K$510,$A57)</f>
        <v>0</v>
      </c>
      <c r="AU57" s="36" cm="1">
        <f t="array" ref="AU57">_xlfn.COUNTIFS('Datos - Objetivos de países'!$B$5:$B$510,"Singapur",'Datos - Objetivos de países'!$F$5:$F$510,AU$3,'Datos - Objetivos de países'!$J$5:$J$510,$A57)+_xlfn.COUNTIFS('Datos - Objetivos de países'!$B$5:$B$510,"Singapur",'Datos - Objetivos de países'!$F$5:$F$510,AU$3,'Datos - Objetivos de países'!$K$5:$K$510,$A57)</f>
        <v>0</v>
      </c>
      <c r="AV57" s="36" cm="1">
        <f t="array" ref="AV57">_xlfn.COUNTIFS('Datos - Objetivos de países'!$B$5:$B$510,"Singapur",'Datos - Objetivos de países'!$F$5:$F$510,AV$3,'Datos - Objetivos de países'!$J$5:$J$510,$A57)+_xlfn.COUNTIFS('Datos - Objetivos de países'!$B$5:$B$510,"Singapur",'Datos - Objetivos de países'!$F$5:$F$510,AV$3,'Datos - Objetivos de países'!$K$5:$K$510,$A57)</f>
        <v>0</v>
      </c>
      <c r="AW57" s="36" cm="1">
        <f t="array" ref="AW57">_xlfn.COUNTIFS('Datos - Objetivos de países'!$B$5:$B$510,"Singapur",'Datos - Objetivos de países'!$F$5:$F$510,AW$3,'Datos - Objetivos de países'!$J$5:$J$510,$A57)+_xlfn.COUNTIFS('Datos - Objetivos de países'!$B$5:$B$510,"Singapur",'Datos - Objetivos de países'!$F$5:$F$510,AW$3,'Datos - Objetivos de países'!$K$5:$K$510,$A57)</f>
        <v>0</v>
      </c>
    </row>
    <row r="58" ht="13.65" customHeight="1">
      <c r="A58" t="s" s="78">
        <v>1224</v>
      </c>
      <c r="B58" t="s" s="78">
        <v>1164</v>
      </c>
      <c r="C58" t="s" s="78">
        <v>220</v>
      </c>
      <c r="D58" t="s" s="78">
        <v>1225</v>
      </c>
      <c r="E58" s="80" cm="1">
        <f t="array" ref="E58">_xlfn.IFERROR(MAX($L$3,INDEX($N$3:$V$3,MATCH(TRUE,INDEX(N58:V58&gt;0,0),0))),"—")</f>
        <v>7</v>
      </c>
      <c r="F58" s="80" cm="1">
        <f t="array" ref="F58">_xlfn.IFERROR(MAX($L$3,INDEX($W$3:$AE$3,MATCH(TRUE,INDEX(W58:AE58&gt;0,0),0))),"—")</f>
        <v>9</v>
      </c>
      <c r="G58" s="80" cm="1">
        <f t="array" ref="G58">_xlfn.IFERROR(MAX($L$3,INDEX($AF$3:$AN$3,MATCH(TRUE,INDEX(AF58:AN58&gt;0,0),0))),"—")</f>
        <v>8</v>
      </c>
      <c r="H58" t="str" s="79" cm="1">
        <f t="array" ref="H58">_xlfn.IFERROR(MAX($L$3,INDEX($AO$3:$AW$3,MATCH(TRUE,INDEX(AO58:AW58&gt;0,0),0))),"—")</f>
        <v>—</v>
      </c>
      <c r="I58" s="111" cm="1">
        <f t="array" ref="I58">IF(L58=0,"—",MEDIAN(F58:H58))</f>
        <v>8.5</v>
      </c>
      <c r="J58" s="111" cm="1">
        <f t="array" ref="J58">IF(OR(E58="—",I58="—"),"—",E58-I58)</f>
        <v>-1.5</v>
      </c>
      <c r="K58" t="str" s="49" cm="1">
        <f t="array" ref="K58">IF(E58="—",IF(L58=0,"Nadie lo trabaja","El Salvador no llega"),IF(L58=0,"Solo El Salvador",IF(J58&gt;0,"El Salvador llega más tarde",IF(J58&lt;0,"El Salvador va adelantado","Mismo grado"))))</f>
        <v>El Salvador va adelantado</v>
      </c>
      <c r="L58" s="80" cm="1">
        <f t="array" ref="L58">COUNT(F58:H58)</f>
        <v>2</v>
      </c>
      <c r="M58" s="110"/>
      <c r="N58" s="36" cm="1">
        <f t="array" ref="N58">_xlfn.COUNTIFS('Datos - Temas'!$C$5:$C$1264,"Ciencias",'Datos - Temas'!$B$5:$B$1264,N$3,'Datos - Temas'!$K$5:$K$1264,$A58)+_xlfn.COUNTIFS('Datos - Temas'!$C$5:$C$1264,"Ciencias",'Datos - Temas'!$B$5:$B$1264,N$3,'Datos - Temas'!$L$5:$L$1264,$A58)</f>
        <v>0</v>
      </c>
      <c r="O58" s="36" cm="1">
        <f t="array" ref="O58">_xlfn.COUNTIFS('Datos - Temas'!$C$5:$C$1264,"Ciencias",'Datos - Temas'!$B$5:$B$1264,O$3,'Datos - Temas'!$K$5:$K$1264,$A58)+_xlfn.COUNTIFS('Datos - Temas'!$C$5:$C$1264,"Ciencias",'Datos - Temas'!$B$5:$B$1264,O$3,'Datos - Temas'!$L$5:$L$1264,$A58)</f>
        <v>0</v>
      </c>
      <c r="P58" s="36" cm="1">
        <f t="array" ref="P58">_xlfn.COUNTIFS('Datos - Temas'!$C$5:$C$1264,"Ciencias",'Datos - Temas'!$B$5:$B$1264,P$3,'Datos - Temas'!$K$5:$K$1264,$A58)+_xlfn.COUNTIFS('Datos - Temas'!$C$5:$C$1264,"Ciencias",'Datos - Temas'!$B$5:$B$1264,P$3,'Datos - Temas'!$L$5:$L$1264,$A58)</f>
        <v>0</v>
      </c>
      <c r="Q58" s="36" cm="1">
        <f t="array" ref="Q58">_xlfn.COUNTIFS('Datos - Temas'!$C$5:$C$1264,"Ciencias",'Datos - Temas'!$B$5:$B$1264,Q$3,'Datos - Temas'!$K$5:$K$1264,$A58)+_xlfn.COUNTIFS('Datos - Temas'!$C$5:$C$1264,"Ciencias",'Datos - Temas'!$B$5:$B$1264,Q$3,'Datos - Temas'!$L$5:$L$1264,$A58)</f>
        <v>0</v>
      </c>
      <c r="R58" s="36" cm="1">
        <f t="array" ref="R58">_xlfn.COUNTIFS('Datos - Temas'!$C$5:$C$1264,"Ciencias",'Datos - Temas'!$B$5:$B$1264,R$3,'Datos - Temas'!$K$5:$K$1264,$A58)+_xlfn.COUNTIFS('Datos - Temas'!$C$5:$C$1264,"Ciencias",'Datos - Temas'!$B$5:$B$1264,R$3,'Datos - Temas'!$L$5:$L$1264,$A58)</f>
        <v>0</v>
      </c>
      <c r="S58" s="36" cm="1">
        <f t="array" ref="S58">_xlfn.COUNTIFS('Datos - Temas'!$C$5:$C$1264,"Ciencias",'Datos - Temas'!$B$5:$B$1264,S$3,'Datos - Temas'!$K$5:$K$1264,$A58)+_xlfn.COUNTIFS('Datos - Temas'!$C$5:$C$1264,"Ciencias",'Datos - Temas'!$B$5:$B$1264,S$3,'Datos - Temas'!$L$5:$L$1264,$A58)</f>
        <v>0</v>
      </c>
      <c r="T58" s="36" cm="1">
        <f t="array" ref="T58">_xlfn.COUNTIFS('Datos - Temas'!$C$5:$C$1264,"Ciencias",'Datos - Temas'!$B$5:$B$1264,T$3,'Datos - Temas'!$K$5:$K$1264,$A58)+_xlfn.COUNTIFS('Datos - Temas'!$C$5:$C$1264,"Ciencias",'Datos - Temas'!$B$5:$B$1264,T$3,'Datos - Temas'!$L$5:$L$1264,$A58)</f>
        <v>2</v>
      </c>
      <c r="U58" s="36" cm="1">
        <f t="array" ref="U58">_xlfn.COUNTIFS('Datos - Temas'!$C$5:$C$1264,"Ciencias",'Datos - Temas'!$B$5:$B$1264,U$3,'Datos - Temas'!$K$5:$K$1264,$A58)+_xlfn.COUNTIFS('Datos - Temas'!$C$5:$C$1264,"Ciencias",'Datos - Temas'!$B$5:$B$1264,U$3,'Datos - Temas'!$L$5:$L$1264,$A58)</f>
        <v>0</v>
      </c>
      <c r="V58" s="36" cm="1">
        <f t="array" ref="V58">_xlfn.COUNTIFS('Datos - Temas'!$C$5:$C$1264,"Ciencias",'Datos - Temas'!$B$5:$B$1264,V$3,'Datos - Temas'!$K$5:$K$1264,$A58)+_xlfn.COUNTIFS('Datos - Temas'!$C$5:$C$1264,"Ciencias",'Datos - Temas'!$B$5:$B$1264,V$3,'Datos - Temas'!$L$5:$L$1264,$A58)</f>
        <v>13</v>
      </c>
      <c r="W58" s="36" cm="1">
        <f t="array" ref="W58">_xlfn.COUNTIFS('Datos - Objetivos de países'!$B$5:$B$510,"Uruguay",'Datos - Objetivos de países'!$F$5:$F$510,W$3,'Datos - Objetivos de países'!$J$5:$J$510,$A58)+_xlfn.COUNTIFS('Datos - Objetivos de países'!$B$5:$B$510,"Uruguay",'Datos - Objetivos de países'!$F$5:$F$510,W$3,'Datos - Objetivos de países'!$K$5:$K$510,$A58)</f>
        <v>0</v>
      </c>
      <c r="X58" s="36" cm="1">
        <f t="array" ref="X58">_xlfn.COUNTIFS('Datos - Objetivos de países'!$B$5:$B$510,"Uruguay",'Datos - Objetivos de países'!$F$5:$F$510,X$3,'Datos - Objetivos de países'!$J$5:$J$510,$A58)+_xlfn.COUNTIFS('Datos - Objetivos de países'!$B$5:$B$510,"Uruguay",'Datos - Objetivos de países'!$F$5:$F$510,X$3,'Datos - Objetivos de países'!$K$5:$K$510,$A58)</f>
        <v>0</v>
      </c>
      <c r="Y58" s="36" cm="1">
        <f t="array" ref="Y58">_xlfn.COUNTIFS('Datos - Objetivos de países'!$B$5:$B$510,"Uruguay",'Datos - Objetivos de países'!$F$5:$F$510,Y$3,'Datos - Objetivos de países'!$J$5:$J$510,$A58)+_xlfn.COUNTIFS('Datos - Objetivos de países'!$B$5:$B$510,"Uruguay",'Datos - Objetivos de países'!$F$5:$F$510,Y$3,'Datos - Objetivos de países'!$K$5:$K$510,$A58)</f>
        <v>0</v>
      </c>
      <c r="Z58" s="36" cm="1">
        <f t="array" ref="Z58">_xlfn.COUNTIFS('Datos - Objetivos de países'!$B$5:$B$510,"Uruguay",'Datos - Objetivos de países'!$F$5:$F$510,Z$3,'Datos - Objetivos de países'!$J$5:$J$510,$A58)+_xlfn.COUNTIFS('Datos - Objetivos de países'!$B$5:$B$510,"Uruguay",'Datos - Objetivos de países'!$F$5:$F$510,Z$3,'Datos - Objetivos de países'!$K$5:$K$510,$A58)</f>
        <v>0</v>
      </c>
      <c r="AA58" s="36" cm="1">
        <f t="array" ref="AA58">_xlfn.COUNTIFS('Datos - Objetivos de países'!$B$5:$B$510,"Uruguay",'Datos - Objetivos de países'!$F$5:$F$510,AA$3,'Datos - Objetivos de países'!$J$5:$J$510,$A58)+_xlfn.COUNTIFS('Datos - Objetivos de países'!$B$5:$B$510,"Uruguay",'Datos - Objetivos de países'!$F$5:$F$510,AA$3,'Datos - Objetivos de países'!$K$5:$K$510,$A58)</f>
        <v>0</v>
      </c>
      <c r="AB58" s="36" cm="1">
        <f t="array" ref="AB58">_xlfn.COUNTIFS('Datos - Objetivos de países'!$B$5:$B$510,"Uruguay",'Datos - Objetivos de países'!$F$5:$F$510,AB$3,'Datos - Objetivos de países'!$J$5:$J$510,$A58)+_xlfn.COUNTIFS('Datos - Objetivos de países'!$B$5:$B$510,"Uruguay",'Datos - Objetivos de países'!$F$5:$F$510,AB$3,'Datos - Objetivos de países'!$K$5:$K$510,$A58)</f>
        <v>0</v>
      </c>
      <c r="AC58" s="36" cm="1">
        <f t="array" ref="AC58">_xlfn.COUNTIFS('Datos - Objetivos de países'!$B$5:$B$510,"Uruguay",'Datos - Objetivos de países'!$F$5:$F$510,AC$3,'Datos - Objetivos de países'!$J$5:$J$510,$A58)+_xlfn.COUNTIFS('Datos - Objetivos de países'!$B$5:$B$510,"Uruguay",'Datos - Objetivos de países'!$F$5:$F$510,AC$3,'Datos - Objetivos de países'!$K$5:$K$510,$A58)</f>
        <v>0</v>
      </c>
      <c r="AD58" s="36" cm="1">
        <f t="array" ref="AD58">_xlfn.COUNTIFS('Datos - Objetivos de países'!$B$5:$B$510,"Uruguay",'Datos - Objetivos de países'!$F$5:$F$510,AD$3,'Datos - Objetivos de países'!$J$5:$J$510,$A58)+_xlfn.COUNTIFS('Datos - Objetivos de países'!$B$5:$B$510,"Uruguay",'Datos - Objetivos de países'!$F$5:$F$510,AD$3,'Datos - Objetivos de países'!$K$5:$K$510,$A58)</f>
        <v>0</v>
      </c>
      <c r="AE58" s="36" cm="1">
        <f t="array" ref="AE58">_xlfn.COUNTIFS('Datos - Objetivos de países'!$B$5:$B$510,"Uruguay",'Datos - Objetivos de países'!$F$5:$F$510,AE$3,'Datos - Objetivos de países'!$J$5:$J$510,$A58)+_xlfn.COUNTIFS('Datos - Objetivos de países'!$B$5:$B$510,"Uruguay",'Datos - Objetivos de países'!$F$5:$F$510,AE$3,'Datos - Objetivos de países'!$K$5:$K$510,$A58)</f>
        <v>1</v>
      </c>
      <c r="AF58" s="36" cm="1">
        <f t="array" ref="AF58">_xlfn.COUNTIFS('Datos - Objetivos de países'!$B$5:$B$510,"Colombia",'Datos - Objetivos de países'!$F$5:$F$510,AF$3,'Datos - Objetivos de países'!$J$5:$J$510,$A58)+_xlfn.COUNTIFS('Datos - Objetivos de países'!$B$5:$B$510,"Colombia",'Datos - Objetivos de países'!$F$5:$F$510,AF$3,'Datos - Objetivos de países'!$K$5:$K$510,$A58)</f>
        <v>0</v>
      </c>
      <c r="AG58" s="36" cm="1">
        <f t="array" ref="AG58">_xlfn.COUNTIFS('Datos - Objetivos de países'!$B$5:$B$510,"Colombia",'Datos - Objetivos de países'!$F$5:$F$510,AG$3,'Datos - Objetivos de países'!$J$5:$J$510,$A58)+_xlfn.COUNTIFS('Datos - Objetivos de países'!$B$5:$B$510,"Colombia",'Datos - Objetivos de países'!$F$5:$F$510,AG$3,'Datos - Objetivos de países'!$K$5:$K$510,$A58)</f>
        <v>0</v>
      </c>
      <c r="AH58" s="36" cm="1">
        <f t="array" ref="AH58">_xlfn.COUNTIFS('Datos - Objetivos de países'!$B$5:$B$510,"Colombia",'Datos - Objetivos de países'!$F$5:$F$510,AH$3,'Datos - Objetivos de países'!$J$5:$J$510,$A58)+_xlfn.COUNTIFS('Datos - Objetivos de países'!$B$5:$B$510,"Colombia",'Datos - Objetivos de países'!$F$5:$F$510,AH$3,'Datos - Objetivos de países'!$K$5:$K$510,$A58)</f>
        <v>0</v>
      </c>
      <c r="AI58" s="36" cm="1">
        <f t="array" ref="AI58">_xlfn.COUNTIFS('Datos - Objetivos de países'!$B$5:$B$510,"Colombia",'Datos - Objetivos de países'!$F$5:$F$510,AI$3,'Datos - Objetivos de países'!$J$5:$J$510,$A58)+_xlfn.COUNTIFS('Datos - Objetivos de países'!$B$5:$B$510,"Colombia",'Datos - Objetivos de países'!$F$5:$F$510,AI$3,'Datos - Objetivos de países'!$K$5:$K$510,$A58)</f>
        <v>0</v>
      </c>
      <c r="AJ58" s="36" cm="1">
        <f t="array" ref="AJ58">_xlfn.COUNTIFS('Datos - Objetivos de países'!$B$5:$B$510,"Colombia",'Datos - Objetivos de países'!$F$5:$F$510,AJ$3,'Datos - Objetivos de países'!$J$5:$J$510,$A58)+_xlfn.COUNTIFS('Datos - Objetivos de países'!$B$5:$B$510,"Colombia",'Datos - Objetivos de países'!$F$5:$F$510,AJ$3,'Datos - Objetivos de países'!$K$5:$K$510,$A58)</f>
        <v>0</v>
      </c>
      <c r="AK58" s="36" cm="1">
        <f t="array" ref="AK58">_xlfn.COUNTIFS('Datos - Objetivos de países'!$B$5:$B$510,"Colombia",'Datos - Objetivos de países'!$F$5:$F$510,AK$3,'Datos - Objetivos de países'!$J$5:$J$510,$A58)+_xlfn.COUNTIFS('Datos - Objetivos de países'!$B$5:$B$510,"Colombia",'Datos - Objetivos de países'!$F$5:$F$510,AK$3,'Datos - Objetivos de países'!$K$5:$K$510,$A58)</f>
        <v>0</v>
      </c>
      <c r="AL58" s="36" cm="1">
        <f t="array" ref="AL58">_xlfn.COUNTIFS('Datos - Objetivos de países'!$B$5:$B$510,"Colombia",'Datos - Objetivos de países'!$F$5:$F$510,AL$3,'Datos - Objetivos de países'!$J$5:$J$510,$A58)+_xlfn.COUNTIFS('Datos - Objetivos de países'!$B$5:$B$510,"Colombia",'Datos - Objetivos de países'!$F$5:$F$510,AL$3,'Datos - Objetivos de países'!$K$5:$K$510,$A58)</f>
        <v>0</v>
      </c>
      <c r="AM58" s="36" cm="1">
        <f t="array" ref="AM58">_xlfn.COUNTIFS('Datos - Objetivos de países'!$B$5:$B$510,"Colombia",'Datos - Objetivos de países'!$F$5:$F$510,AM$3,'Datos - Objetivos de países'!$J$5:$J$510,$A58)+_xlfn.COUNTIFS('Datos - Objetivos de países'!$B$5:$B$510,"Colombia",'Datos - Objetivos de países'!$F$5:$F$510,AM$3,'Datos - Objetivos de países'!$K$5:$K$510,$A58)</f>
        <v>2</v>
      </c>
      <c r="AN58" s="36" cm="1">
        <f t="array" ref="AN58">_xlfn.COUNTIFS('Datos - Objetivos de países'!$B$5:$B$510,"Colombia",'Datos - Objetivos de países'!$F$5:$F$510,AN$3,'Datos - Objetivos de países'!$J$5:$J$510,$A58)+_xlfn.COUNTIFS('Datos - Objetivos de países'!$B$5:$B$510,"Colombia",'Datos - Objetivos de países'!$F$5:$F$510,AN$3,'Datos - Objetivos de países'!$K$5:$K$510,$A58)</f>
        <v>1</v>
      </c>
      <c r="AO58" s="36" cm="1">
        <f t="array" ref="AO58">_xlfn.COUNTIFS('Datos - Objetivos de países'!$B$5:$B$510,"Singapur",'Datos - Objetivos de países'!$F$5:$F$510,AO$3,'Datos - Objetivos de países'!$J$5:$J$510,$A58)+_xlfn.COUNTIFS('Datos - Objetivos de países'!$B$5:$B$510,"Singapur",'Datos - Objetivos de países'!$F$5:$F$510,AO$3,'Datos - Objetivos de países'!$K$5:$K$510,$A58)</f>
        <v>0</v>
      </c>
      <c r="AP58" s="36" cm="1">
        <f t="array" ref="AP58">_xlfn.COUNTIFS('Datos - Objetivos de países'!$B$5:$B$510,"Singapur",'Datos - Objetivos de países'!$F$5:$F$510,AP$3,'Datos - Objetivos de países'!$J$5:$J$510,$A58)+_xlfn.COUNTIFS('Datos - Objetivos de países'!$B$5:$B$510,"Singapur",'Datos - Objetivos de países'!$F$5:$F$510,AP$3,'Datos - Objetivos de países'!$K$5:$K$510,$A58)</f>
        <v>0</v>
      </c>
      <c r="AQ58" s="36" cm="1">
        <f t="array" ref="AQ58">_xlfn.COUNTIFS('Datos - Objetivos de países'!$B$5:$B$510,"Singapur",'Datos - Objetivos de países'!$F$5:$F$510,AQ$3,'Datos - Objetivos de países'!$J$5:$J$510,$A58)+_xlfn.COUNTIFS('Datos - Objetivos de países'!$B$5:$B$510,"Singapur",'Datos - Objetivos de países'!$F$5:$F$510,AQ$3,'Datos - Objetivos de países'!$K$5:$K$510,$A58)</f>
        <v>0</v>
      </c>
      <c r="AR58" s="36" cm="1">
        <f t="array" ref="AR58">_xlfn.COUNTIFS('Datos - Objetivos de países'!$B$5:$B$510,"Singapur",'Datos - Objetivos de países'!$F$5:$F$510,AR$3,'Datos - Objetivos de países'!$J$5:$J$510,$A58)+_xlfn.COUNTIFS('Datos - Objetivos de países'!$B$5:$B$510,"Singapur",'Datos - Objetivos de países'!$F$5:$F$510,AR$3,'Datos - Objetivos de países'!$K$5:$K$510,$A58)</f>
        <v>0</v>
      </c>
      <c r="AS58" s="36" cm="1">
        <f t="array" ref="AS58">_xlfn.COUNTIFS('Datos - Objetivos de países'!$B$5:$B$510,"Singapur",'Datos - Objetivos de países'!$F$5:$F$510,AS$3,'Datos - Objetivos de países'!$J$5:$J$510,$A58)+_xlfn.COUNTIFS('Datos - Objetivos de países'!$B$5:$B$510,"Singapur",'Datos - Objetivos de países'!$F$5:$F$510,AS$3,'Datos - Objetivos de países'!$K$5:$K$510,$A58)</f>
        <v>0</v>
      </c>
      <c r="AT58" s="36" cm="1">
        <f t="array" ref="AT58">_xlfn.COUNTIFS('Datos - Objetivos de países'!$B$5:$B$510,"Singapur",'Datos - Objetivos de países'!$F$5:$F$510,AT$3,'Datos - Objetivos de países'!$J$5:$J$510,$A58)+_xlfn.COUNTIFS('Datos - Objetivos de países'!$B$5:$B$510,"Singapur",'Datos - Objetivos de países'!$F$5:$F$510,AT$3,'Datos - Objetivos de países'!$K$5:$K$510,$A58)</f>
        <v>0</v>
      </c>
      <c r="AU58" s="36" cm="1">
        <f t="array" ref="AU58">_xlfn.COUNTIFS('Datos - Objetivos de países'!$B$5:$B$510,"Singapur",'Datos - Objetivos de países'!$F$5:$F$510,AU$3,'Datos - Objetivos de países'!$J$5:$J$510,$A58)+_xlfn.COUNTIFS('Datos - Objetivos de países'!$B$5:$B$510,"Singapur",'Datos - Objetivos de países'!$F$5:$F$510,AU$3,'Datos - Objetivos de países'!$K$5:$K$510,$A58)</f>
        <v>0</v>
      </c>
      <c r="AV58" s="36" cm="1">
        <f t="array" ref="AV58">_xlfn.COUNTIFS('Datos - Objetivos de países'!$B$5:$B$510,"Singapur",'Datos - Objetivos de países'!$F$5:$F$510,AV$3,'Datos - Objetivos de países'!$J$5:$J$510,$A58)+_xlfn.COUNTIFS('Datos - Objetivos de países'!$B$5:$B$510,"Singapur",'Datos - Objetivos de países'!$F$5:$F$510,AV$3,'Datos - Objetivos de países'!$K$5:$K$510,$A58)</f>
        <v>0</v>
      </c>
      <c r="AW58" s="36" cm="1">
        <f t="array" ref="AW58">_xlfn.COUNTIFS('Datos - Objetivos de países'!$B$5:$B$510,"Singapur",'Datos - Objetivos de países'!$F$5:$F$510,AW$3,'Datos - Objetivos de países'!$J$5:$J$510,$A58)+_xlfn.COUNTIFS('Datos - Objetivos de países'!$B$5:$B$510,"Singapur",'Datos - Objetivos de países'!$F$5:$F$510,AW$3,'Datos - Objetivos de países'!$K$5:$K$510,$A58)</f>
        <v>0</v>
      </c>
    </row>
    <row r="59" ht="13.65" customHeight="1">
      <c r="A59" t="s" s="78">
        <v>1227</v>
      </c>
      <c r="B59" t="s" s="78">
        <v>1164</v>
      </c>
      <c r="C59" t="s" s="78">
        <v>220</v>
      </c>
      <c r="D59" t="s" s="78">
        <v>1229</v>
      </c>
      <c r="E59" s="80" cm="1">
        <f t="array" ref="E59">_xlfn.IFERROR(MAX($L$3,INDEX($N$3:$V$3,MATCH(TRUE,INDEX(N59:V59&gt;0,0),0))),"—")</f>
        <v>5</v>
      </c>
      <c r="F59" s="80" cm="1">
        <f t="array" ref="F59">_xlfn.IFERROR(MAX($L$3,INDEX($W$3:$AE$3,MATCH(TRUE,INDEX(W59:AE59&gt;0,0),0))),"—")</f>
        <v>5</v>
      </c>
      <c r="G59" s="80" cm="1">
        <f t="array" ref="G59">_xlfn.IFERROR(MAX($L$3,INDEX($AF$3:$AN$3,MATCH(TRUE,INDEX(AF59:AN59&gt;0,0),0))),"—")</f>
        <v>8</v>
      </c>
      <c r="H59" t="str" s="79" cm="1">
        <f t="array" ref="H59">_xlfn.IFERROR(MAX($L$3,INDEX($AO$3:$AW$3,MATCH(TRUE,INDEX(AO59:AW59&gt;0,0),0))),"—")</f>
        <v>—</v>
      </c>
      <c r="I59" s="111" cm="1">
        <f t="array" ref="I59">IF(L59=0,"—",MEDIAN(F59:H59))</f>
        <v>6.5</v>
      </c>
      <c r="J59" s="111" cm="1">
        <f t="array" ref="J59">IF(OR(E59="—",I59="—"),"—",E59-I59)</f>
        <v>-1.5</v>
      </c>
      <c r="K59" t="str" s="49" cm="1">
        <f t="array" ref="K59">IF(E59="—",IF(L59=0,"Nadie lo trabaja","El Salvador no llega"),IF(L59=0,"Solo El Salvador",IF(J59&gt;0,"El Salvador llega más tarde",IF(J59&lt;0,"El Salvador va adelantado","Mismo grado"))))</f>
        <v>El Salvador va adelantado</v>
      </c>
      <c r="L59" s="80" cm="1">
        <f t="array" ref="L59">COUNT(F59:H59)</f>
        <v>2</v>
      </c>
      <c r="M59" s="110"/>
      <c r="N59" s="36" cm="1">
        <f t="array" ref="N59">_xlfn.COUNTIFS('Datos - Temas'!$C$5:$C$1264,"Ciencias",'Datos - Temas'!$B$5:$B$1264,N$3,'Datos - Temas'!$K$5:$K$1264,$A59)+_xlfn.COUNTIFS('Datos - Temas'!$C$5:$C$1264,"Ciencias",'Datos - Temas'!$B$5:$B$1264,N$3,'Datos - Temas'!$L$5:$L$1264,$A59)</f>
        <v>0</v>
      </c>
      <c r="O59" s="36" cm="1">
        <f t="array" ref="O59">_xlfn.COUNTIFS('Datos - Temas'!$C$5:$C$1264,"Ciencias",'Datos - Temas'!$B$5:$B$1264,O$3,'Datos - Temas'!$K$5:$K$1264,$A59)+_xlfn.COUNTIFS('Datos - Temas'!$C$5:$C$1264,"Ciencias",'Datos - Temas'!$B$5:$B$1264,O$3,'Datos - Temas'!$L$5:$L$1264,$A59)</f>
        <v>0</v>
      </c>
      <c r="P59" s="36" cm="1">
        <f t="array" ref="P59">_xlfn.COUNTIFS('Datos - Temas'!$C$5:$C$1264,"Ciencias",'Datos - Temas'!$B$5:$B$1264,P$3,'Datos - Temas'!$K$5:$K$1264,$A59)+_xlfn.COUNTIFS('Datos - Temas'!$C$5:$C$1264,"Ciencias",'Datos - Temas'!$B$5:$B$1264,P$3,'Datos - Temas'!$L$5:$L$1264,$A59)</f>
        <v>0</v>
      </c>
      <c r="Q59" s="36" cm="1">
        <f t="array" ref="Q59">_xlfn.COUNTIFS('Datos - Temas'!$C$5:$C$1264,"Ciencias",'Datos - Temas'!$B$5:$B$1264,Q$3,'Datos - Temas'!$K$5:$K$1264,$A59)+_xlfn.COUNTIFS('Datos - Temas'!$C$5:$C$1264,"Ciencias",'Datos - Temas'!$B$5:$B$1264,Q$3,'Datos - Temas'!$L$5:$L$1264,$A59)</f>
        <v>0</v>
      </c>
      <c r="R59" s="36" cm="1">
        <f t="array" ref="R59">_xlfn.COUNTIFS('Datos - Temas'!$C$5:$C$1264,"Ciencias",'Datos - Temas'!$B$5:$B$1264,R$3,'Datos - Temas'!$K$5:$K$1264,$A59)+_xlfn.COUNTIFS('Datos - Temas'!$C$5:$C$1264,"Ciencias",'Datos - Temas'!$B$5:$B$1264,R$3,'Datos - Temas'!$L$5:$L$1264,$A59)</f>
        <v>1</v>
      </c>
      <c r="S59" s="36" cm="1">
        <f t="array" ref="S59">_xlfn.COUNTIFS('Datos - Temas'!$C$5:$C$1264,"Ciencias",'Datos - Temas'!$B$5:$B$1264,S$3,'Datos - Temas'!$K$5:$K$1264,$A59)+_xlfn.COUNTIFS('Datos - Temas'!$C$5:$C$1264,"Ciencias",'Datos - Temas'!$B$5:$B$1264,S$3,'Datos - Temas'!$L$5:$L$1264,$A59)</f>
        <v>2</v>
      </c>
      <c r="T59" s="36" cm="1">
        <f t="array" ref="T59">_xlfn.COUNTIFS('Datos - Temas'!$C$5:$C$1264,"Ciencias",'Datos - Temas'!$B$5:$B$1264,T$3,'Datos - Temas'!$K$5:$K$1264,$A59)+_xlfn.COUNTIFS('Datos - Temas'!$C$5:$C$1264,"Ciencias",'Datos - Temas'!$B$5:$B$1264,T$3,'Datos - Temas'!$L$5:$L$1264,$A59)</f>
        <v>0</v>
      </c>
      <c r="U59" s="36" cm="1">
        <f t="array" ref="U59">_xlfn.COUNTIFS('Datos - Temas'!$C$5:$C$1264,"Ciencias",'Datos - Temas'!$B$5:$B$1264,U$3,'Datos - Temas'!$K$5:$K$1264,$A59)+_xlfn.COUNTIFS('Datos - Temas'!$C$5:$C$1264,"Ciencias",'Datos - Temas'!$B$5:$B$1264,U$3,'Datos - Temas'!$L$5:$L$1264,$A59)</f>
        <v>0</v>
      </c>
      <c r="V59" s="36" cm="1">
        <f t="array" ref="V59">_xlfn.COUNTIFS('Datos - Temas'!$C$5:$C$1264,"Ciencias",'Datos - Temas'!$B$5:$B$1264,V$3,'Datos - Temas'!$K$5:$K$1264,$A59)+_xlfn.COUNTIFS('Datos - Temas'!$C$5:$C$1264,"Ciencias",'Datos - Temas'!$B$5:$B$1264,V$3,'Datos - Temas'!$L$5:$L$1264,$A59)</f>
        <v>1</v>
      </c>
      <c r="W59" s="36" cm="1">
        <f t="array" ref="W59">_xlfn.COUNTIFS('Datos - Objetivos de países'!$B$5:$B$510,"Uruguay",'Datos - Objetivos de países'!$F$5:$F$510,W$3,'Datos - Objetivos de países'!$J$5:$J$510,$A59)+_xlfn.COUNTIFS('Datos - Objetivos de países'!$B$5:$B$510,"Uruguay",'Datos - Objetivos de países'!$F$5:$F$510,W$3,'Datos - Objetivos de países'!$K$5:$K$510,$A59)</f>
        <v>0</v>
      </c>
      <c r="X59" s="36" cm="1">
        <f t="array" ref="X59">_xlfn.COUNTIFS('Datos - Objetivos de países'!$B$5:$B$510,"Uruguay",'Datos - Objetivos de países'!$F$5:$F$510,X$3,'Datos - Objetivos de países'!$J$5:$J$510,$A59)+_xlfn.COUNTIFS('Datos - Objetivos de países'!$B$5:$B$510,"Uruguay",'Datos - Objetivos de países'!$F$5:$F$510,X$3,'Datos - Objetivos de países'!$K$5:$K$510,$A59)</f>
        <v>0</v>
      </c>
      <c r="Y59" s="36" cm="1">
        <f t="array" ref="Y59">_xlfn.COUNTIFS('Datos - Objetivos de países'!$B$5:$B$510,"Uruguay",'Datos - Objetivos de países'!$F$5:$F$510,Y$3,'Datos - Objetivos de países'!$J$5:$J$510,$A59)+_xlfn.COUNTIFS('Datos - Objetivos de países'!$B$5:$B$510,"Uruguay",'Datos - Objetivos de países'!$F$5:$F$510,Y$3,'Datos - Objetivos de países'!$K$5:$K$510,$A59)</f>
        <v>0</v>
      </c>
      <c r="Z59" s="36" cm="1">
        <f t="array" ref="Z59">_xlfn.COUNTIFS('Datos - Objetivos de países'!$B$5:$B$510,"Uruguay",'Datos - Objetivos de países'!$F$5:$F$510,Z$3,'Datos - Objetivos de países'!$J$5:$J$510,$A59)+_xlfn.COUNTIFS('Datos - Objetivos de países'!$B$5:$B$510,"Uruguay",'Datos - Objetivos de países'!$F$5:$F$510,Z$3,'Datos - Objetivos de países'!$K$5:$K$510,$A59)</f>
        <v>0</v>
      </c>
      <c r="AA59" s="36" cm="1">
        <f t="array" ref="AA59">_xlfn.COUNTIFS('Datos - Objetivos de países'!$B$5:$B$510,"Uruguay",'Datos - Objetivos de países'!$F$5:$F$510,AA$3,'Datos - Objetivos de países'!$J$5:$J$510,$A59)+_xlfn.COUNTIFS('Datos - Objetivos de países'!$B$5:$B$510,"Uruguay",'Datos - Objetivos de países'!$F$5:$F$510,AA$3,'Datos - Objetivos de países'!$K$5:$K$510,$A59)</f>
        <v>1</v>
      </c>
      <c r="AB59" s="36" cm="1">
        <f t="array" ref="AB59">_xlfn.COUNTIFS('Datos - Objetivos de países'!$B$5:$B$510,"Uruguay",'Datos - Objetivos de países'!$F$5:$F$510,AB$3,'Datos - Objetivos de países'!$J$5:$J$510,$A59)+_xlfn.COUNTIFS('Datos - Objetivos de países'!$B$5:$B$510,"Uruguay",'Datos - Objetivos de países'!$F$5:$F$510,AB$3,'Datos - Objetivos de países'!$K$5:$K$510,$A59)</f>
        <v>0</v>
      </c>
      <c r="AC59" s="36" cm="1">
        <f t="array" ref="AC59">_xlfn.COUNTIFS('Datos - Objetivos de países'!$B$5:$B$510,"Uruguay",'Datos - Objetivos de países'!$F$5:$F$510,AC$3,'Datos - Objetivos de países'!$J$5:$J$510,$A59)+_xlfn.COUNTIFS('Datos - Objetivos de países'!$B$5:$B$510,"Uruguay",'Datos - Objetivos de países'!$F$5:$F$510,AC$3,'Datos - Objetivos de países'!$K$5:$K$510,$A59)</f>
        <v>0</v>
      </c>
      <c r="AD59" s="36" cm="1">
        <f t="array" ref="AD59">_xlfn.COUNTIFS('Datos - Objetivos de países'!$B$5:$B$510,"Uruguay",'Datos - Objetivos de países'!$F$5:$F$510,AD$3,'Datos - Objetivos de países'!$J$5:$J$510,$A59)+_xlfn.COUNTIFS('Datos - Objetivos de países'!$B$5:$B$510,"Uruguay",'Datos - Objetivos de países'!$F$5:$F$510,AD$3,'Datos - Objetivos de países'!$K$5:$K$510,$A59)</f>
        <v>0</v>
      </c>
      <c r="AE59" s="36" cm="1">
        <f t="array" ref="AE59">_xlfn.COUNTIFS('Datos - Objetivos de países'!$B$5:$B$510,"Uruguay",'Datos - Objetivos de países'!$F$5:$F$510,AE$3,'Datos - Objetivos de países'!$J$5:$J$510,$A59)+_xlfn.COUNTIFS('Datos - Objetivos de países'!$B$5:$B$510,"Uruguay",'Datos - Objetivos de países'!$F$5:$F$510,AE$3,'Datos - Objetivos de países'!$K$5:$K$510,$A59)</f>
        <v>0</v>
      </c>
      <c r="AF59" s="36" cm="1">
        <f t="array" ref="AF59">_xlfn.COUNTIFS('Datos - Objetivos de países'!$B$5:$B$510,"Colombia",'Datos - Objetivos de países'!$F$5:$F$510,AF$3,'Datos - Objetivos de países'!$J$5:$J$510,$A59)+_xlfn.COUNTIFS('Datos - Objetivos de países'!$B$5:$B$510,"Colombia",'Datos - Objetivos de países'!$F$5:$F$510,AF$3,'Datos - Objetivos de países'!$K$5:$K$510,$A59)</f>
        <v>0</v>
      </c>
      <c r="AG59" s="36" cm="1">
        <f t="array" ref="AG59">_xlfn.COUNTIFS('Datos - Objetivos de países'!$B$5:$B$510,"Colombia",'Datos - Objetivos de países'!$F$5:$F$510,AG$3,'Datos - Objetivos de países'!$J$5:$J$510,$A59)+_xlfn.COUNTIFS('Datos - Objetivos de países'!$B$5:$B$510,"Colombia",'Datos - Objetivos de países'!$F$5:$F$510,AG$3,'Datos - Objetivos de países'!$K$5:$K$510,$A59)</f>
        <v>0</v>
      </c>
      <c r="AH59" s="36" cm="1">
        <f t="array" ref="AH59">_xlfn.COUNTIFS('Datos - Objetivos de países'!$B$5:$B$510,"Colombia",'Datos - Objetivos de países'!$F$5:$F$510,AH$3,'Datos - Objetivos de países'!$J$5:$J$510,$A59)+_xlfn.COUNTIFS('Datos - Objetivos de países'!$B$5:$B$510,"Colombia",'Datos - Objetivos de países'!$F$5:$F$510,AH$3,'Datos - Objetivos de países'!$K$5:$K$510,$A59)</f>
        <v>0</v>
      </c>
      <c r="AI59" s="36" cm="1">
        <f t="array" ref="AI59">_xlfn.COUNTIFS('Datos - Objetivos de países'!$B$5:$B$510,"Colombia",'Datos - Objetivos de países'!$F$5:$F$510,AI$3,'Datos - Objetivos de países'!$J$5:$J$510,$A59)+_xlfn.COUNTIFS('Datos - Objetivos de países'!$B$5:$B$510,"Colombia",'Datos - Objetivos de países'!$F$5:$F$510,AI$3,'Datos - Objetivos de países'!$K$5:$K$510,$A59)</f>
        <v>0</v>
      </c>
      <c r="AJ59" s="36" cm="1">
        <f t="array" ref="AJ59">_xlfn.COUNTIFS('Datos - Objetivos de países'!$B$5:$B$510,"Colombia",'Datos - Objetivos de países'!$F$5:$F$510,AJ$3,'Datos - Objetivos de países'!$J$5:$J$510,$A59)+_xlfn.COUNTIFS('Datos - Objetivos de países'!$B$5:$B$510,"Colombia",'Datos - Objetivos de países'!$F$5:$F$510,AJ$3,'Datos - Objetivos de países'!$K$5:$K$510,$A59)</f>
        <v>0</v>
      </c>
      <c r="AK59" s="36" cm="1">
        <f t="array" ref="AK59">_xlfn.COUNTIFS('Datos - Objetivos de países'!$B$5:$B$510,"Colombia",'Datos - Objetivos de países'!$F$5:$F$510,AK$3,'Datos - Objetivos de países'!$J$5:$J$510,$A59)+_xlfn.COUNTIFS('Datos - Objetivos de países'!$B$5:$B$510,"Colombia",'Datos - Objetivos de países'!$F$5:$F$510,AK$3,'Datos - Objetivos de países'!$K$5:$K$510,$A59)</f>
        <v>0</v>
      </c>
      <c r="AL59" s="36" cm="1">
        <f t="array" ref="AL59">_xlfn.COUNTIFS('Datos - Objetivos de países'!$B$5:$B$510,"Colombia",'Datos - Objetivos de países'!$F$5:$F$510,AL$3,'Datos - Objetivos de países'!$J$5:$J$510,$A59)+_xlfn.COUNTIFS('Datos - Objetivos de países'!$B$5:$B$510,"Colombia",'Datos - Objetivos de países'!$F$5:$F$510,AL$3,'Datos - Objetivos de países'!$K$5:$K$510,$A59)</f>
        <v>0</v>
      </c>
      <c r="AM59" s="36" cm="1">
        <f t="array" ref="AM59">_xlfn.COUNTIFS('Datos - Objetivos de países'!$B$5:$B$510,"Colombia",'Datos - Objetivos de países'!$F$5:$F$510,AM$3,'Datos - Objetivos de países'!$J$5:$J$510,$A59)+_xlfn.COUNTIFS('Datos - Objetivos de países'!$B$5:$B$510,"Colombia",'Datos - Objetivos de países'!$F$5:$F$510,AM$3,'Datos - Objetivos de países'!$K$5:$K$510,$A59)</f>
        <v>1</v>
      </c>
      <c r="AN59" s="36" cm="1">
        <f t="array" ref="AN59">_xlfn.COUNTIFS('Datos - Objetivos de países'!$B$5:$B$510,"Colombia",'Datos - Objetivos de países'!$F$5:$F$510,AN$3,'Datos - Objetivos de países'!$J$5:$J$510,$A59)+_xlfn.COUNTIFS('Datos - Objetivos de países'!$B$5:$B$510,"Colombia",'Datos - Objetivos de países'!$F$5:$F$510,AN$3,'Datos - Objetivos de países'!$K$5:$K$510,$A59)</f>
        <v>0</v>
      </c>
      <c r="AO59" s="36" cm="1">
        <f t="array" ref="AO59">_xlfn.COUNTIFS('Datos - Objetivos de países'!$B$5:$B$510,"Singapur",'Datos - Objetivos de países'!$F$5:$F$510,AO$3,'Datos - Objetivos de países'!$J$5:$J$510,$A59)+_xlfn.COUNTIFS('Datos - Objetivos de países'!$B$5:$B$510,"Singapur",'Datos - Objetivos de países'!$F$5:$F$510,AO$3,'Datos - Objetivos de países'!$K$5:$K$510,$A59)</f>
        <v>0</v>
      </c>
      <c r="AP59" s="36" cm="1">
        <f t="array" ref="AP59">_xlfn.COUNTIFS('Datos - Objetivos de países'!$B$5:$B$510,"Singapur",'Datos - Objetivos de países'!$F$5:$F$510,AP$3,'Datos - Objetivos de países'!$J$5:$J$510,$A59)+_xlfn.COUNTIFS('Datos - Objetivos de países'!$B$5:$B$510,"Singapur",'Datos - Objetivos de países'!$F$5:$F$510,AP$3,'Datos - Objetivos de países'!$K$5:$K$510,$A59)</f>
        <v>0</v>
      </c>
      <c r="AQ59" s="36" cm="1">
        <f t="array" ref="AQ59">_xlfn.COUNTIFS('Datos - Objetivos de países'!$B$5:$B$510,"Singapur",'Datos - Objetivos de países'!$F$5:$F$510,AQ$3,'Datos - Objetivos de países'!$J$5:$J$510,$A59)+_xlfn.COUNTIFS('Datos - Objetivos de países'!$B$5:$B$510,"Singapur",'Datos - Objetivos de países'!$F$5:$F$510,AQ$3,'Datos - Objetivos de países'!$K$5:$K$510,$A59)</f>
        <v>0</v>
      </c>
      <c r="AR59" s="36" cm="1">
        <f t="array" ref="AR59">_xlfn.COUNTIFS('Datos - Objetivos de países'!$B$5:$B$510,"Singapur",'Datos - Objetivos de países'!$F$5:$F$510,AR$3,'Datos - Objetivos de países'!$J$5:$J$510,$A59)+_xlfn.COUNTIFS('Datos - Objetivos de países'!$B$5:$B$510,"Singapur",'Datos - Objetivos de países'!$F$5:$F$510,AR$3,'Datos - Objetivos de países'!$K$5:$K$510,$A59)</f>
        <v>0</v>
      </c>
      <c r="AS59" s="36" cm="1">
        <f t="array" ref="AS59">_xlfn.COUNTIFS('Datos - Objetivos de países'!$B$5:$B$510,"Singapur",'Datos - Objetivos de países'!$F$5:$F$510,AS$3,'Datos - Objetivos de países'!$J$5:$J$510,$A59)+_xlfn.COUNTIFS('Datos - Objetivos de países'!$B$5:$B$510,"Singapur",'Datos - Objetivos de países'!$F$5:$F$510,AS$3,'Datos - Objetivos de países'!$K$5:$K$510,$A59)</f>
        <v>0</v>
      </c>
      <c r="AT59" s="36" cm="1">
        <f t="array" ref="AT59">_xlfn.COUNTIFS('Datos - Objetivos de países'!$B$5:$B$510,"Singapur",'Datos - Objetivos de países'!$F$5:$F$510,AT$3,'Datos - Objetivos de países'!$J$5:$J$510,$A59)+_xlfn.COUNTIFS('Datos - Objetivos de países'!$B$5:$B$510,"Singapur",'Datos - Objetivos de países'!$F$5:$F$510,AT$3,'Datos - Objetivos de países'!$K$5:$K$510,$A59)</f>
        <v>0</v>
      </c>
      <c r="AU59" s="36" cm="1">
        <f t="array" ref="AU59">_xlfn.COUNTIFS('Datos - Objetivos de países'!$B$5:$B$510,"Singapur",'Datos - Objetivos de países'!$F$5:$F$510,AU$3,'Datos - Objetivos de países'!$J$5:$J$510,$A59)+_xlfn.COUNTIFS('Datos - Objetivos de países'!$B$5:$B$510,"Singapur",'Datos - Objetivos de países'!$F$5:$F$510,AU$3,'Datos - Objetivos de países'!$K$5:$K$510,$A59)</f>
        <v>0</v>
      </c>
      <c r="AV59" s="36" cm="1">
        <f t="array" ref="AV59">_xlfn.COUNTIFS('Datos - Objetivos de países'!$B$5:$B$510,"Singapur",'Datos - Objetivos de países'!$F$5:$F$510,AV$3,'Datos - Objetivos de países'!$J$5:$J$510,$A59)+_xlfn.COUNTIFS('Datos - Objetivos de países'!$B$5:$B$510,"Singapur",'Datos - Objetivos de países'!$F$5:$F$510,AV$3,'Datos - Objetivos de países'!$K$5:$K$510,$A59)</f>
        <v>0</v>
      </c>
      <c r="AW59" s="36" cm="1">
        <f t="array" ref="AW59">_xlfn.COUNTIFS('Datos - Objetivos de países'!$B$5:$B$510,"Singapur",'Datos - Objetivos de países'!$F$5:$F$510,AW$3,'Datos - Objetivos de países'!$J$5:$J$510,$A59)+_xlfn.COUNTIFS('Datos - Objetivos de países'!$B$5:$B$510,"Singapur",'Datos - Objetivos de países'!$F$5:$F$510,AW$3,'Datos - Objetivos de países'!$K$5:$K$510,$A59)</f>
        <v>0</v>
      </c>
    </row>
    <row r="60" ht="13.65" customHeight="1">
      <c r="A60" t="s" s="78">
        <v>1231</v>
      </c>
      <c r="B60" t="s" s="78">
        <v>1164</v>
      </c>
      <c r="C60" t="s" s="78">
        <v>220</v>
      </c>
      <c r="D60" t="s" s="78">
        <v>1232</v>
      </c>
      <c r="E60" s="80" cm="1">
        <f t="array" ref="E60">_xlfn.IFERROR(MAX($L$3,INDEX($N$3:$V$3,MATCH(TRUE,INDEX(N60:V60&gt;0,0),0))),"—")</f>
        <v>6</v>
      </c>
      <c r="F60" s="80" cm="1">
        <f t="array" ref="F60">_xlfn.IFERROR(MAX($L$3,INDEX($W$3:$AE$3,MATCH(TRUE,INDEX(W60:AE60&gt;0,0),0))),"—")</f>
        <v>9</v>
      </c>
      <c r="G60" s="80" cm="1">
        <f t="array" ref="G60">_xlfn.IFERROR(MAX($L$3,INDEX($AF$3:$AN$3,MATCH(TRUE,INDEX(AF60:AN60&gt;0,0),0))),"—")</f>
        <v>8</v>
      </c>
      <c r="H60" t="str" s="79" cm="1">
        <f t="array" ref="H60">_xlfn.IFERROR(MAX($L$3,INDEX($AO$3:$AW$3,MATCH(TRUE,INDEX(AO60:AW60&gt;0,0),0))),"—")</f>
        <v>—</v>
      </c>
      <c r="I60" s="111" cm="1">
        <f t="array" ref="I60">IF(L60=0,"—",MEDIAN(F60:H60))</f>
        <v>8.5</v>
      </c>
      <c r="J60" s="111" cm="1">
        <f t="array" ref="J60">IF(OR(E60="—",I60="—"),"—",E60-I60)</f>
        <v>-2.5</v>
      </c>
      <c r="K60" t="str" s="49" cm="1">
        <f t="array" ref="K60">IF(E60="—",IF(L60=0,"Nadie lo trabaja","El Salvador no llega"),IF(L60=0,"Solo El Salvador",IF(J60&gt;0,"El Salvador llega más tarde",IF(J60&lt;0,"El Salvador va adelantado","Mismo grado"))))</f>
        <v>El Salvador va adelantado</v>
      </c>
      <c r="L60" s="80" cm="1">
        <f t="array" ref="L60">COUNT(F60:H60)</f>
        <v>2</v>
      </c>
      <c r="M60" s="110"/>
      <c r="N60" s="36" cm="1">
        <f t="array" ref="N60">_xlfn.COUNTIFS('Datos - Temas'!$C$5:$C$1264,"Ciencias",'Datos - Temas'!$B$5:$B$1264,N$3,'Datos - Temas'!$K$5:$K$1264,$A60)+_xlfn.COUNTIFS('Datos - Temas'!$C$5:$C$1264,"Ciencias",'Datos - Temas'!$B$5:$B$1264,N$3,'Datos - Temas'!$L$5:$L$1264,$A60)</f>
        <v>0</v>
      </c>
      <c r="O60" s="36" cm="1">
        <f t="array" ref="O60">_xlfn.COUNTIFS('Datos - Temas'!$C$5:$C$1264,"Ciencias",'Datos - Temas'!$B$5:$B$1264,O$3,'Datos - Temas'!$K$5:$K$1264,$A60)+_xlfn.COUNTIFS('Datos - Temas'!$C$5:$C$1264,"Ciencias",'Datos - Temas'!$B$5:$B$1264,O$3,'Datos - Temas'!$L$5:$L$1264,$A60)</f>
        <v>0</v>
      </c>
      <c r="P60" s="36" cm="1">
        <f t="array" ref="P60">_xlfn.COUNTIFS('Datos - Temas'!$C$5:$C$1264,"Ciencias",'Datos - Temas'!$B$5:$B$1264,P$3,'Datos - Temas'!$K$5:$K$1264,$A60)+_xlfn.COUNTIFS('Datos - Temas'!$C$5:$C$1264,"Ciencias",'Datos - Temas'!$B$5:$B$1264,P$3,'Datos - Temas'!$L$5:$L$1264,$A60)</f>
        <v>0</v>
      </c>
      <c r="Q60" s="36" cm="1">
        <f t="array" ref="Q60">_xlfn.COUNTIFS('Datos - Temas'!$C$5:$C$1264,"Ciencias",'Datos - Temas'!$B$5:$B$1264,Q$3,'Datos - Temas'!$K$5:$K$1264,$A60)+_xlfn.COUNTIFS('Datos - Temas'!$C$5:$C$1264,"Ciencias",'Datos - Temas'!$B$5:$B$1264,Q$3,'Datos - Temas'!$L$5:$L$1264,$A60)</f>
        <v>0</v>
      </c>
      <c r="R60" s="36" cm="1">
        <f t="array" ref="R60">_xlfn.COUNTIFS('Datos - Temas'!$C$5:$C$1264,"Ciencias",'Datos - Temas'!$B$5:$B$1264,R$3,'Datos - Temas'!$K$5:$K$1264,$A60)+_xlfn.COUNTIFS('Datos - Temas'!$C$5:$C$1264,"Ciencias",'Datos - Temas'!$B$5:$B$1264,R$3,'Datos - Temas'!$L$5:$L$1264,$A60)</f>
        <v>0</v>
      </c>
      <c r="S60" s="36" cm="1">
        <f t="array" ref="S60">_xlfn.COUNTIFS('Datos - Temas'!$C$5:$C$1264,"Ciencias",'Datos - Temas'!$B$5:$B$1264,S$3,'Datos - Temas'!$K$5:$K$1264,$A60)+_xlfn.COUNTIFS('Datos - Temas'!$C$5:$C$1264,"Ciencias",'Datos - Temas'!$B$5:$B$1264,S$3,'Datos - Temas'!$L$5:$L$1264,$A60)</f>
        <v>2</v>
      </c>
      <c r="T60" s="36" cm="1">
        <f t="array" ref="T60">_xlfn.COUNTIFS('Datos - Temas'!$C$5:$C$1264,"Ciencias",'Datos - Temas'!$B$5:$B$1264,T$3,'Datos - Temas'!$K$5:$K$1264,$A60)+_xlfn.COUNTIFS('Datos - Temas'!$C$5:$C$1264,"Ciencias",'Datos - Temas'!$B$5:$B$1264,T$3,'Datos - Temas'!$L$5:$L$1264,$A60)</f>
        <v>4</v>
      </c>
      <c r="U60" s="36" cm="1">
        <f t="array" ref="U60">_xlfn.COUNTIFS('Datos - Temas'!$C$5:$C$1264,"Ciencias",'Datos - Temas'!$B$5:$B$1264,U$3,'Datos - Temas'!$K$5:$K$1264,$A60)+_xlfn.COUNTIFS('Datos - Temas'!$C$5:$C$1264,"Ciencias",'Datos - Temas'!$B$5:$B$1264,U$3,'Datos - Temas'!$L$5:$L$1264,$A60)</f>
        <v>2</v>
      </c>
      <c r="V60" s="36" cm="1">
        <f t="array" ref="V60">_xlfn.COUNTIFS('Datos - Temas'!$C$5:$C$1264,"Ciencias",'Datos - Temas'!$B$5:$B$1264,V$3,'Datos - Temas'!$K$5:$K$1264,$A60)+_xlfn.COUNTIFS('Datos - Temas'!$C$5:$C$1264,"Ciencias",'Datos - Temas'!$B$5:$B$1264,V$3,'Datos - Temas'!$L$5:$L$1264,$A60)</f>
        <v>8</v>
      </c>
      <c r="W60" s="36" cm="1">
        <f t="array" ref="W60">_xlfn.COUNTIFS('Datos - Objetivos de países'!$B$5:$B$510,"Uruguay",'Datos - Objetivos de países'!$F$5:$F$510,W$3,'Datos - Objetivos de países'!$J$5:$J$510,$A60)+_xlfn.COUNTIFS('Datos - Objetivos de países'!$B$5:$B$510,"Uruguay",'Datos - Objetivos de países'!$F$5:$F$510,W$3,'Datos - Objetivos de países'!$K$5:$K$510,$A60)</f>
        <v>0</v>
      </c>
      <c r="X60" s="36" cm="1">
        <f t="array" ref="X60">_xlfn.COUNTIFS('Datos - Objetivos de países'!$B$5:$B$510,"Uruguay",'Datos - Objetivos de países'!$F$5:$F$510,X$3,'Datos - Objetivos de países'!$J$5:$J$510,$A60)+_xlfn.COUNTIFS('Datos - Objetivos de países'!$B$5:$B$510,"Uruguay",'Datos - Objetivos de países'!$F$5:$F$510,X$3,'Datos - Objetivos de países'!$K$5:$K$510,$A60)</f>
        <v>0</v>
      </c>
      <c r="Y60" s="36" cm="1">
        <f t="array" ref="Y60">_xlfn.COUNTIFS('Datos - Objetivos de países'!$B$5:$B$510,"Uruguay",'Datos - Objetivos de países'!$F$5:$F$510,Y$3,'Datos - Objetivos de países'!$J$5:$J$510,$A60)+_xlfn.COUNTIFS('Datos - Objetivos de países'!$B$5:$B$510,"Uruguay",'Datos - Objetivos de países'!$F$5:$F$510,Y$3,'Datos - Objetivos de países'!$K$5:$K$510,$A60)</f>
        <v>0</v>
      </c>
      <c r="Z60" s="36" cm="1">
        <f t="array" ref="Z60">_xlfn.COUNTIFS('Datos - Objetivos de países'!$B$5:$B$510,"Uruguay",'Datos - Objetivos de países'!$F$5:$F$510,Z$3,'Datos - Objetivos de países'!$J$5:$J$510,$A60)+_xlfn.COUNTIFS('Datos - Objetivos de países'!$B$5:$B$510,"Uruguay",'Datos - Objetivos de países'!$F$5:$F$510,Z$3,'Datos - Objetivos de países'!$K$5:$K$510,$A60)</f>
        <v>0</v>
      </c>
      <c r="AA60" s="36" cm="1">
        <f t="array" ref="AA60">_xlfn.COUNTIFS('Datos - Objetivos de países'!$B$5:$B$510,"Uruguay",'Datos - Objetivos de países'!$F$5:$F$510,AA$3,'Datos - Objetivos de países'!$J$5:$J$510,$A60)+_xlfn.COUNTIFS('Datos - Objetivos de países'!$B$5:$B$510,"Uruguay",'Datos - Objetivos de países'!$F$5:$F$510,AA$3,'Datos - Objetivos de países'!$K$5:$K$510,$A60)</f>
        <v>0</v>
      </c>
      <c r="AB60" s="36" cm="1">
        <f t="array" ref="AB60">_xlfn.COUNTIFS('Datos - Objetivos de países'!$B$5:$B$510,"Uruguay",'Datos - Objetivos de países'!$F$5:$F$510,AB$3,'Datos - Objetivos de países'!$J$5:$J$510,$A60)+_xlfn.COUNTIFS('Datos - Objetivos de países'!$B$5:$B$510,"Uruguay",'Datos - Objetivos de países'!$F$5:$F$510,AB$3,'Datos - Objetivos de países'!$K$5:$K$510,$A60)</f>
        <v>0</v>
      </c>
      <c r="AC60" s="36" cm="1">
        <f t="array" ref="AC60">_xlfn.COUNTIFS('Datos - Objetivos de países'!$B$5:$B$510,"Uruguay",'Datos - Objetivos de países'!$F$5:$F$510,AC$3,'Datos - Objetivos de países'!$J$5:$J$510,$A60)+_xlfn.COUNTIFS('Datos - Objetivos de países'!$B$5:$B$510,"Uruguay",'Datos - Objetivos de países'!$F$5:$F$510,AC$3,'Datos - Objetivos de países'!$K$5:$K$510,$A60)</f>
        <v>0</v>
      </c>
      <c r="AD60" s="36" cm="1">
        <f t="array" ref="AD60">_xlfn.COUNTIFS('Datos - Objetivos de países'!$B$5:$B$510,"Uruguay",'Datos - Objetivos de países'!$F$5:$F$510,AD$3,'Datos - Objetivos de países'!$J$5:$J$510,$A60)+_xlfn.COUNTIFS('Datos - Objetivos de países'!$B$5:$B$510,"Uruguay",'Datos - Objetivos de países'!$F$5:$F$510,AD$3,'Datos - Objetivos de países'!$K$5:$K$510,$A60)</f>
        <v>0</v>
      </c>
      <c r="AE60" s="36" cm="1">
        <f t="array" ref="AE60">_xlfn.COUNTIFS('Datos - Objetivos de países'!$B$5:$B$510,"Uruguay",'Datos - Objetivos de países'!$F$5:$F$510,AE$3,'Datos - Objetivos de países'!$J$5:$J$510,$A60)+_xlfn.COUNTIFS('Datos - Objetivos de países'!$B$5:$B$510,"Uruguay",'Datos - Objetivos de países'!$F$5:$F$510,AE$3,'Datos - Objetivos de países'!$K$5:$K$510,$A60)</f>
        <v>1</v>
      </c>
      <c r="AF60" s="36" cm="1">
        <f t="array" ref="AF60">_xlfn.COUNTIFS('Datos - Objetivos de países'!$B$5:$B$510,"Colombia",'Datos - Objetivos de países'!$F$5:$F$510,AF$3,'Datos - Objetivos de países'!$J$5:$J$510,$A60)+_xlfn.COUNTIFS('Datos - Objetivos de países'!$B$5:$B$510,"Colombia",'Datos - Objetivos de países'!$F$5:$F$510,AF$3,'Datos - Objetivos de países'!$K$5:$K$510,$A60)</f>
        <v>0</v>
      </c>
      <c r="AG60" s="36" cm="1">
        <f t="array" ref="AG60">_xlfn.COUNTIFS('Datos - Objetivos de países'!$B$5:$B$510,"Colombia",'Datos - Objetivos de países'!$F$5:$F$510,AG$3,'Datos - Objetivos de países'!$J$5:$J$510,$A60)+_xlfn.COUNTIFS('Datos - Objetivos de países'!$B$5:$B$510,"Colombia",'Datos - Objetivos de países'!$F$5:$F$510,AG$3,'Datos - Objetivos de países'!$K$5:$K$510,$A60)</f>
        <v>0</v>
      </c>
      <c r="AH60" s="36" cm="1">
        <f t="array" ref="AH60">_xlfn.COUNTIFS('Datos - Objetivos de países'!$B$5:$B$510,"Colombia",'Datos - Objetivos de países'!$F$5:$F$510,AH$3,'Datos - Objetivos de países'!$J$5:$J$510,$A60)+_xlfn.COUNTIFS('Datos - Objetivos de países'!$B$5:$B$510,"Colombia",'Datos - Objetivos de países'!$F$5:$F$510,AH$3,'Datos - Objetivos de países'!$K$5:$K$510,$A60)</f>
        <v>0</v>
      </c>
      <c r="AI60" s="36" cm="1">
        <f t="array" ref="AI60">_xlfn.COUNTIFS('Datos - Objetivos de países'!$B$5:$B$510,"Colombia",'Datos - Objetivos de países'!$F$5:$F$510,AI$3,'Datos - Objetivos de países'!$J$5:$J$510,$A60)+_xlfn.COUNTIFS('Datos - Objetivos de países'!$B$5:$B$510,"Colombia",'Datos - Objetivos de países'!$F$5:$F$510,AI$3,'Datos - Objetivos de países'!$K$5:$K$510,$A60)</f>
        <v>0</v>
      </c>
      <c r="AJ60" s="36" cm="1">
        <f t="array" ref="AJ60">_xlfn.COUNTIFS('Datos - Objetivos de países'!$B$5:$B$510,"Colombia",'Datos - Objetivos de países'!$F$5:$F$510,AJ$3,'Datos - Objetivos de países'!$J$5:$J$510,$A60)+_xlfn.COUNTIFS('Datos - Objetivos de países'!$B$5:$B$510,"Colombia",'Datos - Objetivos de países'!$F$5:$F$510,AJ$3,'Datos - Objetivos de países'!$K$5:$K$510,$A60)</f>
        <v>0</v>
      </c>
      <c r="AK60" s="36" cm="1">
        <f t="array" ref="AK60">_xlfn.COUNTIFS('Datos - Objetivos de países'!$B$5:$B$510,"Colombia",'Datos - Objetivos de países'!$F$5:$F$510,AK$3,'Datos - Objetivos de países'!$J$5:$J$510,$A60)+_xlfn.COUNTIFS('Datos - Objetivos de países'!$B$5:$B$510,"Colombia",'Datos - Objetivos de países'!$F$5:$F$510,AK$3,'Datos - Objetivos de países'!$K$5:$K$510,$A60)</f>
        <v>0</v>
      </c>
      <c r="AL60" s="36" cm="1">
        <f t="array" ref="AL60">_xlfn.COUNTIFS('Datos - Objetivos de países'!$B$5:$B$510,"Colombia",'Datos - Objetivos de países'!$F$5:$F$510,AL$3,'Datos - Objetivos de países'!$J$5:$J$510,$A60)+_xlfn.COUNTIFS('Datos - Objetivos de países'!$B$5:$B$510,"Colombia",'Datos - Objetivos de países'!$F$5:$F$510,AL$3,'Datos - Objetivos de países'!$K$5:$K$510,$A60)</f>
        <v>0</v>
      </c>
      <c r="AM60" s="36" cm="1">
        <f t="array" ref="AM60">_xlfn.COUNTIFS('Datos - Objetivos de países'!$B$5:$B$510,"Colombia",'Datos - Objetivos de países'!$F$5:$F$510,AM$3,'Datos - Objetivos de países'!$J$5:$J$510,$A60)+_xlfn.COUNTIFS('Datos - Objetivos de países'!$B$5:$B$510,"Colombia",'Datos - Objetivos de países'!$F$5:$F$510,AM$3,'Datos - Objetivos de países'!$K$5:$K$510,$A60)</f>
        <v>1</v>
      </c>
      <c r="AN60" s="36" cm="1">
        <f t="array" ref="AN60">_xlfn.COUNTIFS('Datos - Objetivos de países'!$B$5:$B$510,"Colombia",'Datos - Objetivos de países'!$F$5:$F$510,AN$3,'Datos - Objetivos de países'!$J$5:$J$510,$A60)+_xlfn.COUNTIFS('Datos - Objetivos de países'!$B$5:$B$510,"Colombia",'Datos - Objetivos de países'!$F$5:$F$510,AN$3,'Datos - Objetivos de países'!$K$5:$K$510,$A60)</f>
        <v>0</v>
      </c>
      <c r="AO60" s="36" cm="1">
        <f t="array" ref="AO60">_xlfn.COUNTIFS('Datos - Objetivos de países'!$B$5:$B$510,"Singapur",'Datos - Objetivos de países'!$F$5:$F$510,AO$3,'Datos - Objetivos de países'!$J$5:$J$510,$A60)+_xlfn.COUNTIFS('Datos - Objetivos de países'!$B$5:$B$510,"Singapur",'Datos - Objetivos de países'!$F$5:$F$510,AO$3,'Datos - Objetivos de países'!$K$5:$K$510,$A60)</f>
        <v>0</v>
      </c>
      <c r="AP60" s="36" cm="1">
        <f t="array" ref="AP60">_xlfn.COUNTIFS('Datos - Objetivos de países'!$B$5:$B$510,"Singapur",'Datos - Objetivos de países'!$F$5:$F$510,AP$3,'Datos - Objetivos de países'!$J$5:$J$510,$A60)+_xlfn.COUNTIFS('Datos - Objetivos de países'!$B$5:$B$510,"Singapur",'Datos - Objetivos de países'!$F$5:$F$510,AP$3,'Datos - Objetivos de países'!$K$5:$K$510,$A60)</f>
        <v>0</v>
      </c>
      <c r="AQ60" s="36" cm="1">
        <f t="array" ref="AQ60">_xlfn.COUNTIFS('Datos - Objetivos de países'!$B$5:$B$510,"Singapur",'Datos - Objetivos de países'!$F$5:$F$510,AQ$3,'Datos - Objetivos de países'!$J$5:$J$510,$A60)+_xlfn.COUNTIFS('Datos - Objetivos de países'!$B$5:$B$510,"Singapur",'Datos - Objetivos de países'!$F$5:$F$510,AQ$3,'Datos - Objetivos de países'!$K$5:$K$510,$A60)</f>
        <v>0</v>
      </c>
      <c r="AR60" s="36" cm="1">
        <f t="array" ref="AR60">_xlfn.COUNTIFS('Datos - Objetivos de países'!$B$5:$B$510,"Singapur",'Datos - Objetivos de países'!$F$5:$F$510,AR$3,'Datos - Objetivos de países'!$J$5:$J$510,$A60)+_xlfn.COUNTIFS('Datos - Objetivos de países'!$B$5:$B$510,"Singapur",'Datos - Objetivos de países'!$F$5:$F$510,AR$3,'Datos - Objetivos de países'!$K$5:$K$510,$A60)</f>
        <v>0</v>
      </c>
      <c r="AS60" s="36" cm="1">
        <f t="array" ref="AS60">_xlfn.COUNTIFS('Datos - Objetivos de países'!$B$5:$B$510,"Singapur",'Datos - Objetivos de países'!$F$5:$F$510,AS$3,'Datos - Objetivos de países'!$J$5:$J$510,$A60)+_xlfn.COUNTIFS('Datos - Objetivos de países'!$B$5:$B$510,"Singapur",'Datos - Objetivos de países'!$F$5:$F$510,AS$3,'Datos - Objetivos de países'!$K$5:$K$510,$A60)</f>
        <v>0</v>
      </c>
      <c r="AT60" s="36" cm="1">
        <f t="array" ref="AT60">_xlfn.COUNTIFS('Datos - Objetivos de países'!$B$5:$B$510,"Singapur",'Datos - Objetivos de países'!$F$5:$F$510,AT$3,'Datos - Objetivos de países'!$J$5:$J$510,$A60)+_xlfn.COUNTIFS('Datos - Objetivos de países'!$B$5:$B$510,"Singapur",'Datos - Objetivos de países'!$F$5:$F$510,AT$3,'Datos - Objetivos de países'!$K$5:$K$510,$A60)</f>
        <v>0</v>
      </c>
      <c r="AU60" s="36" cm="1">
        <f t="array" ref="AU60">_xlfn.COUNTIFS('Datos - Objetivos de países'!$B$5:$B$510,"Singapur",'Datos - Objetivos de países'!$F$5:$F$510,AU$3,'Datos - Objetivos de países'!$J$5:$J$510,$A60)+_xlfn.COUNTIFS('Datos - Objetivos de países'!$B$5:$B$510,"Singapur",'Datos - Objetivos de países'!$F$5:$F$510,AU$3,'Datos - Objetivos de países'!$K$5:$K$510,$A60)</f>
        <v>0</v>
      </c>
      <c r="AV60" s="36" cm="1">
        <f t="array" ref="AV60">_xlfn.COUNTIFS('Datos - Objetivos de países'!$B$5:$B$510,"Singapur",'Datos - Objetivos de países'!$F$5:$F$510,AV$3,'Datos - Objetivos de países'!$J$5:$J$510,$A60)+_xlfn.COUNTIFS('Datos - Objetivos de países'!$B$5:$B$510,"Singapur",'Datos - Objetivos de países'!$F$5:$F$510,AV$3,'Datos - Objetivos de países'!$K$5:$K$510,$A60)</f>
        <v>0</v>
      </c>
      <c r="AW60" s="36" cm="1">
        <f t="array" ref="AW60">_xlfn.COUNTIFS('Datos - Objetivos de países'!$B$5:$B$510,"Singapur",'Datos - Objetivos de países'!$F$5:$F$510,AW$3,'Datos - Objetivos de países'!$J$5:$J$510,$A60)+_xlfn.COUNTIFS('Datos - Objetivos de países'!$B$5:$B$510,"Singapur",'Datos - Objetivos de países'!$F$5:$F$510,AW$3,'Datos - Objetivos de países'!$K$5:$K$510,$A60)</f>
        <v>0</v>
      </c>
    </row>
    <row r="61" ht="13.65" customHeight="1">
      <c r="A61" t="s" s="78">
        <v>1234</v>
      </c>
      <c r="B61" t="s" s="78">
        <v>1164</v>
      </c>
      <c r="C61" t="s" s="78">
        <v>220</v>
      </c>
      <c r="D61" t="s" s="78">
        <v>1236</v>
      </c>
      <c r="E61" s="80" cm="1">
        <f t="array" ref="E61">_xlfn.IFERROR(MAX($L$3,INDEX($N$3:$V$3,MATCH(TRUE,INDEX(N61:V61&gt;0,0),0))),"—")</f>
        <v>7</v>
      </c>
      <c r="F61" s="80" cm="1">
        <f t="array" ref="F61">_xlfn.IFERROR(MAX($L$3,INDEX($W$3:$AE$3,MATCH(TRUE,INDEX(W61:AE61&gt;0,0),0))),"—")</f>
        <v>8</v>
      </c>
      <c r="G61" s="80" cm="1">
        <f t="array" ref="G61">_xlfn.IFERROR(MAX($L$3,INDEX($AF$3:$AN$3,MATCH(TRUE,INDEX(AF61:AN61&gt;0,0),0))),"—")</f>
        <v>6</v>
      </c>
      <c r="H61" t="str" s="79" cm="1">
        <f t="array" ref="H61">_xlfn.IFERROR(MAX($L$3,INDEX($AO$3:$AW$3,MATCH(TRUE,INDEX(AO61:AW61&gt;0,0),0))),"—")</f>
        <v>—</v>
      </c>
      <c r="I61" s="111" cm="1">
        <f t="array" ref="I61">IF(L61=0,"—",MEDIAN(F61:H61))</f>
        <v>7</v>
      </c>
      <c r="J61" s="111" cm="1">
        <f t="array" ref="J61">IF(OR(E61="—",I61="—"),"—",E61-I61)</f>
        <v>0</v>
      </c>
      <c r="K61" t="str" s="49" cm="1">
        <f t="array" ref="K61">IF(E61="—",IF(L61=0,"Nadie lo trabaja","El Salvador no llega"),IF(L61=0,"Solo El Salvador",IF(J61&gt;0,"El Salvador llega más tarde",IF(J61&lt;0,"El Salvador va adelantado","Mismo grado"))))</f>
        <v>Mismo grado</v>
      </c>
      <c r="L61" s="80" cm="1">
        <f t="array" ref="L61">COUNT(F61:H61)</f>
        <v>2</v>
      </c>
      <c r="M61" s="110"/>
      <c r="N61" s="36" cm="1">
        <f t="array" ref="N61">_xlfn.COUNTIFS('Datos - Temas'!$C$5:$C$1264,"Ciencias",'Datos - Temas'!$B$5:$B$1264,N$3,'Datos - Temas'!$K$5:$K$1264,$A61)+_xlfn.COUNTIFS('Datos - Temas'!$C$5:$C$1264,"Ciencias",'Datos - Temas'!$B$5:$B$1264,N$3,'Datos - Temas'!$L$5:$L$1264,$A61)</f>
        <v>0</v>
      </c>
      <c r="O61" s="36" cm="1">
        <f t="array" ref="O61">_xlfn.COUNTIFS('Datos - Temas'!$C$5:$C$1264,"Ciencias",'Datos - Temas'!$B$5:$B$1264,O$3,'Datos - Temas'!$K$5:$K$1264,$A61)+_xlfn.COUNTIFS('Datos - Temas'!$C$5:$C$1264,"Ciencias",'Datos - Temas'!$B$5:$B$1264,O$3,'Datos - Temas'!$L$5:$L$1264,$A61)</f>
        <v>0</v>
      </c>
      <c r="P61" s="36" cm="1">
        <f t="array" ref="P61">_xlfn.COUNTIFS('Datos - Temas'!$C$5:$C$1264,"Ciencias",'Datos - Temas'!$B$5:$B$1264,P$3,'Datos - Temas'!$K$5:$K$1264,$A61)+_xlfn.COUNTIFS('Datos - Temas'!$C$5:$C$1264,"Ciencias",'Datos - Temas'!$B$5:$B$1264,P$3,'Datos - Temas'!$L$5:$L$1264,$A61)</f>
        <v>0</v>
      </c>
      <c r="Q61" s="36" cm="1">
        <f t="array" ref="Q61">_xlfn.COUNTIFS('Datos - Temas'!$C$5:$C$1264,"Ciencias",'Datos - Temas'!$B$5:$B$1264,Q$3,'Datos - Temas'!$K$5:$K$1264,$A61)+_xlfn.COUNTIFS('Datos - Temas'!$C$5:$C$1264,"Ciencias",'Datos - Temas'!$B$5:$B$1264,Q$3,'Datos - Temas'!$L$5:$L$1264,$A61)</f>
        <v>0</v>
      </c>
      <c r="R61" s="36" cm="1">
        <f t="array" ref="R61">_xlfn.COUNTIFS('Datos - Temas'!$C$5:$C$1264,"Ciencias",'Datos - Temas'!$B$5:$B$1264,R$3,'Datos - Temas'!$K$5:$K$1264,$A61)+_xlfn.COUNTIFS('Datos - Temas'!$C$5:$C$1264,"Ciencias",'Datos - Temas'!$B$5:$B$1264,R$3,'Datos - Temas'!$L$5:$L$1264,$A61)</f>
        <v>0</v>
      </c>
      <c r="S61" s="36" cm="1">
        <f t="array" ref="S61">_xlfn.COUNTIFS('Datos - Temas'!$C$5:$C$1264,"Ciencias",'Datos - Temas'!$B$5:$B$1264,S$3,'Datos - Temas'!$K$5:$K$1264,$A61)+_xlfn.COUNTIFS('Datos - Temas'!$C$5:$C$1264,"Ciencias",'Datos - Temas'!$B$5:$B$1264,S$3,'Datos - Temas'!$L$5:$L$1264,$A61)</f>
        <v>0</v>
      </c>
      <c r="T61" s="36" cm="1">
        <f t="array" ref="T61">_xlfn.COUNTIFS('Datos - Temas'!$C$5:$C$1264,"Ciencias",'Datos - Temas'!$B$5:$B$1264,T$3,'Datos - Temas'!$K$5:$K$1264,$A61)+_xlfn.COUNTIFS('Datos - Temas'!$C$5:$C$1264,"Ciencias",'Datos - Temas'!$B$5:$B$1264,T$3,'Datos - Temas'!$L$5:$L$1264,$A61)</f>
        <v>1</v>
      </c>
      <c r="U61" s="36" cm="1">
        <f t="array" ref="U61">_xlfn.COUNTIFS('Datos - Temas'!$C$5:$C$1264,"Ciencias",'Datos - Temas'!$B$5:$B$1264,U$3,'Datos - Temas'!$K$5:$K$1264,$A61)+_xlfn.COUNTIFS('Datos - Temas'!$C$5:$C$1264,"Ciencias",'Datos - Temas'!$B$5:$B$1264,U$3,'Datos - Temas'!$L$5:$L$1264,$A61)</f>
        <v>1</v>
      </c>
      <c r="V61" s="36" cm="1">
        <f t="array" ref="V61">_xlfn.COUNTIFS('Datos - Temas'!$C$5:$C$1264,"Ciencias",'Datos - Temas'!$B$5:$B$1264,V$3,'Datos - Temas'!$K$5:$K$1264,$A61)+_xlfn.COUNTIFS('Datos - Temas'!$C$5:$C$1264,"Ciencias",'Datos - Temas'!$B$5:$B$1264,V$3,'Datos - Temas'!$L$5:$L$1264,$A61)</f>
        <v>3</v>
      </c>
      <c r="W61" s="36" cm="1">
        <f t="array" ref="W61">_xlfn.COUNTIFS('Datos - Objetivos de países'!$B$5:$B$510,"Uruguay",'Datos - Objetivos de países'!$F$5:$F$510,W$3,'Datos - Objetivos de países'!$J$5:$J$510,$A61)+_xlfn.COUNTIFS('Datos - Objetivos de países'!$B$5:$B$510,"Uruguay",'Datos - Objetivos de países'!$F$5:$F$510,W$3,'Datos - Objetivos de países'!$K$5:$K$510,$A61)</f>
        <v>0</v>
      </c>
      <c r="X61" s="36" cm="1">
        <f t="array" ref="X61">_xlfn.COUNTIFS('Datos - Objetivos de países'!$B$5:$B$510,"Uruguay",'Datos - Objetivos de países'!$F$5:$F$510,X$3,'Datos - Objetivos de países'!$J$5:$J$510,$A61)+_xlfn.COUNTIFS('Datos - Objetivos de países'!$B$5:$B$510,"Uruguay",'Datos - Objetivos de países'!$F$5:$F$510,X$3,'Datos - Objetivos de países'!$K$5:$K$510,$A61)</f>
        <v>0</v>
      </c>
      <c r="Y61" s="36" cm="1">
        <f t="array" ref="Y61">_xlfn.COUNTIFS('Datos - Objetivos de países'!$B$5:$B$510,"Uruguay",'Datos - Objetivos de países'!$F$5:$F$510,Y$3,'Datos - Objetivos de países'!$J$5:$J$510,$A61)+_xlfn.COUNTIFS('Datos - Objetivos de países'!$B$5:$B$510,"Uruguay",'Datos - Objetivos de países'!$F$5:$F$510,Y$3,'Datos - Objetivos de países'!$K$5:$K$510,$A61)</f>
        <v>0</v>
      </c>
      <c r="Z61" s="36" cm="1">
        <f t="array" ref="Z61">_xlfn.COUNTIFS('Datos - Objetivos de países'!$B$5:$B$510,"Uruguay",'Datos - Objetivos de países'!$F$5:$F$510,Z$3,'Datos - Objetivos de países'!$J$5:$J$510,$A61)+_xlfn.COUNTIFS('Datos - Objetivos de países'!$B$5:$B$510,"Uruguay",'Datos - Objetivos de países'!$F$5:$F$510,Z$3,'Datos - Objetivos de países'!$K$5:$K$510,$A61)</f>
        <v>0</v>
      </c>
      <c r="AA61" s="36" cm="1">
        <f t="array" ref="AA61">_xlfn.COUNTIFS('Datos - Objetivos de países'!$B$5:$B$510,"Uruguay",'Datos - Objetivos de países'!$F$5:$F$510,AA$3,'Datos - Objetivos de países'!$J$5:$J$510,$A61)+_xlfn.COUNTIFS('Datos - Objetivos de países'!$B$5:$B$510,"Uruguay",'Datos - Objetivos de países'!$F$5:$F$510,AA$3,'Datos - Objetivos de países'!$K$5:$K$510,$A61)</f>
        <v>0</v>
      </c>
      <c r="AB61" s="36" cm="1">
        <f t="array" ref="AB61">_xlfn.COUNTIFS('Datos - Objetivos de países'!$B$5:$B$510,"Uruguay",'Datos - Objetivos de países'!$F$5:$F$510,AB$3,'Datos - Objetivos de países'!$J$5:$J$510,$A61)+_xlfn.COUNTIFS('Datos - Objetivos de países'!$B$5:$B$510,"Uruguay",'Datos - Objetivos de países'!$F$5:$F$510,AB$3,'Datos - Objetivos de países'!$K$5:$K$510,$A61)</f>
        <v>0</v>
      </c>
      <c r="AC61" s="36" cm="1">
        <f t="array" ref="AC61">_xlfn.COUNTIFS('Datos - Objetivos de países'!$B$5:$B$510,"Uruguay",'Datos - Objetivos de países'!$F$5:$F$510,AC$3,'Datos - Objetivos de países'!$J$5:$J$510,$A61)+_xlfn.COUNTIFS('Datos - Objetivos de países'!$B$5:$B$510,"Uruguay",'Datos - Objetivos de países'!$F$5:$F$510,AC$3,'Datos - Objetivos de países'!$K$5:$K$510,$A61)</f>
        <v>0</v>
      </c>
      <c r="AD61" s="36" cm="1">
        <f t="array" ref="AD61">_xlfn.COUNTIFS('Datos - Objetivos de países'!$B$5:$B$510,"Uruguay",'Datos - Objetivos de países'!$F$5:$F$510,AD$3,'Datos - Objetivos de países'!$J$5:$J$510,$A61)+_xlfn.COUNTIFS('Datos - Objetivos de países'!$B$5:$B$510,"Uruguay",'Datos - Objetivos de países'!$F$5:$F$510,AD$3,'Datos - Objetivos de países'!$K$5:$K$510,$A61)</f>
        <v>2</v>
      </c>
      <c r="AE61" s="36" cm="1">
        <f t="array" ref="AE61">_xlfn.COUNTIFS('Datos - Objetivos de países'!$B$5:$B$510,"Uruguay",'Datos - Objetivos de países'!$F$5:$F$510,AE$3,'Datos - Objetivos de países'!$J$5:$J$510,$A61)+_xlfn.COUNTIFS('Datos - Objetivos de países'!$B$5:$B$510,"Uruguay",'Datos - Objetivos de países'!$F$5:$F$510,AE$3,'Datos - Objetivos de países'!$K$5:$K$510,$A61)</f>
        <v>1</v>
      </c>
      <c r="AF61" s="36" cm="1">
        <f t="array" ref="AF61">_xlfn.COUNTIFS('Datos - Objetivos de países'!$B$5:$B$510,"Colombia",'Datos - Objetivos de países'!$F$5:$F$510,AF$3,'Datos - Objetivos de países'!$J$5:$J$510,$A61)+_xlfn.COUNTIFS('Datos - Objetivos de países'!$B$5:$B$510,"Colombia",'Datos - Objetivos de países'!$F$5:$F$510,AF$3,'Datos - Objetivos de países'!$K$5:$K$510,$A61)</f>
        <v>0</v>
      </c>
      <c r="AG61" s="36" cm="1">
        <f t="array" ref="AG61">_xlfn.COUNTIFS('Datos - Objetivos de países'!$B$5:$B$510,"Colombia",'Datos - Objetivos de países'!$F$5:$F$510,AG$3,'Datos - Objetivos de países'!$J$5:$J$510,$A61)+_xlfn.COUNTIFS('Datos - Objetivos de países'!$B$5:$B$510,"Colombia",'Datos - Objetivos de países'!$F$5:$F$510,AG$3,'Datos - Objetivos de países'!$K$5:$K$510,$A61)</f>
        <v>0</v>
      </c>
      <c r="AH61" s="36" cm="1">
        <f t="array" ref="AH61">_xlfn.COUNTIFS('Datos - Objetivos de países'!$B$5:$B$510,"Colombia",'Datos - Objetivos de países'!$F$5:$F$510,AH$3,'Datos - Objetivos de países'!$J$5:$J$510,$A61)+_xlfn.COUNTIFS('Datos - Objetivos de países'!$B$5:$B$510,"Colombia",'Datos - Objetivos de países'!$F$5:$F$510,AH$3,'Datos - Objetivos de países'!$K$5:$K$510,$A61)</f>
        <v>0</v>
      </c>
      <c r="AI61" s="36" cm="1">
        <f t="array" ref="AI61">_xlfn.COUNTIFS('Datos - Objetivos de países'!$B$5:$B$510,"Colombia",'Datos - Objetivos de países'!$F$5:$F$510,AI$3,'Datos - Objetivos de países'!$J$5:$J$510,$A61)+_xlfn.COUNTIFS('Datos - Objetivos de países'!$B$5:$B$510,"Colombia",'Datos - Objetivos de países'!$F$5:$F$510,AI$3,'Datos - Objetivos de países'!$K$5:$K$510,$A61)</f>
        <v>0</v>
      </c>
      <c r="AJ61" s="36" cm="1">
        <f t="array" ref="AJ61">_xlfn.COUNTIFS('Datos - Objetivos de países'!$B$5:$B$510,"Colombia",'Datos - Objetivos de países'!$F$5:$F$510,AJ$3,'Datos - Objetivos de países'!$J$5:$J$510,$A61)+_xlfn.COUNTIFS('Datos - Objetivos de países'!$B$5:$B$510,"Colombia",'Datos - Objetivos de países'!$F$5:$F$510,AJ$3,'Datos - Objetivos de países'!$K$5:$K$510,$A61)</f>
        <v>0</v>
      </c>
      <c r="AK61" s="36" cm="1">
        <f t="array" ref="AK61">_xlfn.COUNTIFS('Datos - Objetivos de países'!$B$5:$B$510,"Colombia",'Datos - Objetivos de países'!$F$5:$F$510,AK$3,'Datos - Objetivos de países'!$J$5:$J$510,$A61)+_xlfn.COUNTIFS('Datos - Objetivos de países'!$B$5:$B$510,"Colombia",'Datos - Objetivos de países'!$F$5:$F$510,AK$3,'Datos - Objetivos de países'!$K$5:$K$510,$A61)</f>
        <v>4</v>
      </c>
      <c r="AL61" s="36" cm="1">
        <f t="array" ref="AL61">_xlfn.COUNTIFS('Datos - Objetivos de países'!$B$5:$B$510,"Colombia",'Datos - Objetivos de países'!$F$5:$F$510,AL$3,'Datos - Objetivos de países'!$J$5:$J$510,$A61)+_xlfn.COUNTIFS('Datos - Objetivos de países'!$B$5:$B$510,"Colombia",'Datos - Objetivos de países'!$F$5:$F$510,AL$3,'Datos - Objetivos de países'!$K$5:$K$510,$A61)</f>
        <v>0</v>
      </c>
      <c r="AM61" s="36" cm="1">
        <f t="array" ref="AM61">_xlfn.COUNTIFS('Datos - Objetivos de países'!$B$5:$B$510,"Colombia",'Datos - Objetivos de países'!$F$5:$F$510,AM$3,'Datos - Objetivos de países'!$J$5:$J$510,$A61)+_xlfn.COUNTIFS('Datos - Objetivos de países'!$B$5:$B$510,"Colombia",'Datos - Objetivos de países'!$F$5:$F$510,AM$3,'Datos - Objetivos de países'!$K$5:$K$510,$A61)</f>
        <v>2</v>
      </c>
      <c r="AN61" s="36" cm="1">
        <f t="array" ref="AN61">_xlfn.COUNTIFS('Datos - Objetivos de países'!$B$5:$B$510,"Colombia",'Datos - Objetivos de países'!$F$5:$F$510,AN$3,'Datos - Objetivos de países'!$J$5:$J$510,$A61)+_xlfn.COUNTIFS('Datos - Objetivos de países'!$B$5:$B$510,"Colombia",'Datos - Objetivos de países'!$F$5:$F$510,AN$3,'Datos - Objetivos de países'!$K$5:$K$510,$A61)</f>
        <v>0</v>
      </c>
      <c r="AO61" s="36" cm="1">
        <f t="array" ref="AO61">_xlfn.COUNTIFS('Datos - Objetivos de países'!$B$5:$B$510,"Singapur",'Datos - Objetivos de países'!$F$5:$F$510,AO$3,'Datos - Objetivos de países'!$J$5:$J$510,$A61)+_xlfn.COUNTIFS('Datos - Objetivos de países'!$B$5:$B$510,"Singapur",'Datos - Objetivos de países'!$F$5:$F$510,AO$3,'Datos - Objetivos de países'!$K$5:$K$510,$A61)</f>
        <v>0</v>
      </c>
      <c r="AP61" s="36" cm="1">
        <f t="array" ref="AP61">_xlfn.COUNTIFS('Datos - Objetivos de países'!$B$5:$B$510,"Singapur",'Datos - Objetivos de países'!$F$5:$F$510,AP$3,'Datos - Objetivos de países'!$J$5:$J$510,$A61)+_xlfn.COUNTIFS('Datos - Objetivos de países'!$B$5:$B$510,"Singapur",'Datos - Objetivos de países'!$F$5:$F$510,AP$3,'Datos - Objetivos de países'!$K$5:$K$510,$A61)</f>
        <v>0</v>
      </c>
      <c r="AQ61" s="36" cm="1">
        <f t="array" ref="AQ61">_xlfn.COUNTIFS('Datos - Objetivos de países'!$B$5:$B$510,"Singapur",'Datos - Objetivos de países'!$F$5:$F$510,AQ$3,'Datos - Objetivos de países'!$J$5:$J$510,$A61)+_xlfn.COUNTIFS('Datos - Objetivos de países'!$B$5:$B$510,"Singapur",'Datos - Objetivos de países'!$F$5:$F$510,AQ$3,'Datos - Objetivos de países'!$K$5:$K$510,$A61)</f>
        <v>0</v>
      </c>
      <c r="AR61" s="36" cm="1">
        <f t="array" ref="AR61">_xlfn.COUNTIFS('Datos - Objetivos de países'!$B$5:$B$510,"Singapur",'Datos - Objetivos de países'!$F$5:$F$510,AR$3,'Datos - Objetivos de países'!$J$5:$J$510,$A61)+_xlfn.COUNTIFS('Datos - Objetivos de países'!$B$5:$B$510,"Singapur",'Datos - Objetivos de países'!$F$5:$F$510,AR$3,'Datos - Objetivos de países'!$K$5:$K$510,$A61)</f>
        <v>0</v>
      </c>
      <c r="AS61" s="36" cm="1">
        <f t="array" ref="AS61">_xlfn.COUNTIFS('Datos - Objetivos de países'!$B$5:$B$510,"Singapur",'Datos - Objetivos de países'!$F$5:$F$510,AS$3,'Datos - Objetivos de países'!$J$5:$J$510,$A61)+_xlfn.COUNTIFS('Datos - Objetivos de países'!$B$5:$B$510,"Singapur",'Datos - Objetivos de países'!$F$5:$F$510,AS$3,'Datos - Objetivos de países'!$K$5:$K$510,$A61)</f>
        <v>0</v>
      </c>
      <c r="AT61" s="36" cm="1">
        <f t="array" ref="AT61">_xlfn.COUNTIFS('Datos - Objetivos de países'!$B$5:$B$510,"Singapur",'Datos - Objetivos de países'!$F$5:$F$510,AT$3,'Datos - Objetivos de países'!$J$5:$J$510,$A61)+_xlfn.COUNTIFS('Datos - Objetivos de países'!$B$5:$B$510,"Singapur",'Datos - Objetivos de países'!$F$5:$F$510,AT$3,'Datos - Objetivos de países'!$K$5:$K$510,$A61)</f>
        <v>0</v>
      </c>
      <c r="AU61" s="36" cm="1">
        <f t="array" ref="AU61">_xlfn.COUNTIFS('Datos - Objetivos de países'!$B$5:$B$510,"Singapur",'Datos - Objetivos de países'!$F$5:$F$510,AU$3,'Datos - Objetivos de países'!$J$5:$J$510,$A61)+_xlfn.COUNTIFS('Datos - Objetivos de países'!$B$5:$B$510,"Singapur",'Datos - Objetivos de países'!$F$5:$F$510,AU$3,'Datos - Objetivos de países'!$K$5:$K$510,$A61)</f>
        <v>0</v>
      </c>
      <c r="AV61" s="36" cm="1">
        <f t="array" ref="AV61">_xlfn.COUNTIFS('Datos - Objetivos de países'!$B$5:$B$510,"Singapur",'Datos - Objetivos de países'!$F$5:$F$510,AV$3,'Datos - Objetivos de países'!$J$5:$J$510,$A61)+_xlfn.COUNTIFS('Datos - Objetivos de países'!$B$5:$B$510,"Singapur",'Datos - Objetivos de países'!$F$5:$F$510,AV$3,'Datos - Objetivos de países'!$K$5:$K$510,$A61)</f>
        <v>0</v>
      </c>
      <c r="AW61" s="36" cm="1">
        <f t="array" ref="AW61">_xlfn.COUNTIFS('Datos - Objetivos de países'!$B$5:$B$510,"Singapur",'Datos - Objetivos de países'!$F$5:$F$510,AW$3,'Datos - Objetivos de países'!$J$5:$J$510,$A61)+_xlfn.COUNTIFS('Datos - Objetivos de países'!$B$5:$B$510,"Singapur",'Datos - Objetivos de países'!$F$5:$F$510,AW$3,'Datos - Objetivos de países'!$K$5:$K$510,$A61)</f>
        <v>0</v>
      </c>
    </row>
    <row r="62" ht="13.65" customHeight="1">
      <c r="A62" t="s" s="78">
        <v>554</v>
      </c>
      <c r="B62" t="s" s="78">
        <v>1164</v>
      </c>
      <c r="C62" t="s" s="78">
        <v>222</v>
      </c>
      <c r="D62" t="s" s="78">
        <v>1239</v>
      </c>
      <c r="E62" s="80" cm="1">
        <f t="array" ref="E62">_xlfn.IFERROR(MAX($L$3,INDEX($N$3:$V$3,MATCH(TRUE,INDEX(N62:V62&gt;0,0),0))),"—")</f>
        <v>6</v>
      </c>
      <c r="F62" s="80" cm="1">
        <f t="array" ref="F62">_xlfn.IFERROR(MAX($L$3,INDEX($W$3:$AE$3,MATCH(TRUE,INDEX(W62:AE62&gt;0,0),0))),"—")</f>
        <v>6</v>
      </c>
      <c r="G62" s="80" cm="1">
        <f t="array" ref="G62">_xlfn.IFERROR(MAX($L$3,INDEX($AF$3:$AN$3,MATCH(TRUE,INDEX(AF62:AN62&gt;0,0),0))),"—")</f>
        <v>6</v>
      </c>
      <c r="H62" s="80" cm="1">
        <f t="array" ref="H62">_xlfn.IFERROR(MAX($L$3,INDEX($AO$3:$AW$3,MATCH(TRUE,INDEX(AO62:AW62&gt;0,0),0))),"—")</f>
        <v>5</v>
      </c>
      <c r="I62" s="111" cm="1">
        <f t="array" ref="I62">IF(L62=0,"—",MEDIAN(F62:H62))</f>
        <v>6</v>
      </c>
      <c r="J62" s="111" cm="1">
        <f t="array" ref="J62">IF(OR(E62="—",I62="—"),"—",E62-I62)</f>
        <v>0</v>
      </c>
      <c r="K62" t="str" s="49" cm="1">
        <f t="array" ref="K62">IF(E62="—",IF(L62=0,"Nadie lo trabaja","El Salvador no llega"),IF(L62=0,"Solo El Salvador",IF(J62&gt;0,"El Salvador llega más tarde",IF(J62&lt;0,"El Salvador va adelantado","Mismo grado"))))</f>
        <v>Mismo grado</v>
      </c>
      <c r="L62" s="80" cm="1">
        <f t="array" ref="L62">COUNT(F62:H62)</f>
        <v>3</v>
      </c>
      <c r="M62" s="110"/>
      <c r="N62" s="36" cm="1">
        <f t="array" ref="N62">_xlfn.COUNTIFS('Datos - Temas'!$C$5:$C$1264,"Ciencias",'Datos - Temas'!$B$5:$B$1264,N$3,'Datos - Temas'!$K$5:$K$1264,$A62)+_xlfn.COUNTIFS('Datos - Temas'!$C$5:$C$1264,"Ciencias",'Datos - Temas'!$B$5:$B$1264,N$3,'Datos - Temas'!$L$5:$L$1264,$A62)</f>
        <v>0</v>
      </c>
      <c r="O62" s="36" cm="1">
        <f t="array" ref="O62">_xlfn.COUNTIFS('Datos - Temas'!$C$5:$C$1264,"Ciencias",'Datos - Temas'!$B$5:$B$1264,O$3,'Datos - Temas'!$K$5:$K$1264,$A62)+_xlfn.COUNTIFS('Datos - Temas'!$C$5:$C$1264,"Ciencias",'Datos - Temas'!$B$5:$B$1264,O$3,'Datos - Temas'!$L$5:$L$1264,$A62)</f>
        <v>0</v>
      </c>
      <c r="P62" s="36" cm="1">
        <f t="array" ref="P62">_xlfn.COUNTIFS('Datos - Temas'!$C$5:$C$1264,"Ciencias",'Datos - Temas'!$B$5:$B$1264,P$3,'Datos - Temas'!$K$5:$K$1264,$A62)+_xlfn.COUNTIFS('Datos - Temas'!$C$5:$C$1264,"Ciencias",'Datos - Temas'!$B$5:$B$1264,P$3,'Datos - Temas'!$L$5:$L$1264,$A62)</f>
        <v>0</v>
      </c>
      <c r="Q62" s="36" cm="1">
        <f t="array" ref="Q62">_xlfn.COUNTIFS('Datos - Temas'!$C$5:$C$1264,"Ciencias",'Datos - Temas'!$B$5:$B$1264,Q$3,'Datos - Temas'!$K$5:$K$1264,$A62)+_xlfn.COUNTIFS('Datos - Temas'!$C$5:$C$1264,"Ciencias",'Datos - Temas'!$B$5:$B$1264,Q$3,'Datos - Temas'!$L$5:$L$1264,$A62)</f>
        <v>0</v>
      </c>
      <c r="R62" s="36" cm="1">
        <f t="array" ref="R62">_xlfn.COUNTIFS('Datos - Temas'!$C$5:$C$1264,"Ciencias",'Datos - Temas'!$B$5:$B$1264,R$3,'Datos - Temas'!$K$5:$K$1264,$A62)+_xlfn.COUNTIFS('Datos - Temas'!$C$5:$C$1264,"Ciencias",'Datos - Temas'!$B$5:$B$1264,R$3,'Datos - Temas'!$L$5:$L$1264,$A62)</f>
        <v>0</v>
      </c>
      <c r="S62" s="36" cm="1">
        <f t="array" ref="S62">_xlfn.COUNTIFS('Datos - Temas'!$C$5:$C$1264,"Ciencias",'Datos - Temas'!$B$5:$B$1264,S$3,'Datos - Temas'!$K$5:$K$1264,$A62)+_xlfn.COUNTIFS('Datos - Temas'!$C$5:$C$1264,"Ciencias",'Datos - Temas'!$B$5:$B$1264,S$3,'Datos - Temas'!$L$5:$L$1264,$A62)</f>
        <v>7</v>
      </c>
      <c r="T62" s="36" cm="1">
        <f t="array" ref="T62">_xlfn.COUNTIFS('Datos - Temas'!$C$5:$C$1264,"Ciencias",'Datos - Temas'!$B$5:$B$1264,T$3,'Datos - Temas'!$K$5:$K$1264,$A62)+_xlfn.COUNTIFS('Datos - Temas'!$C$5:$C$1264,"Ciencias",'Datos - Temas'!$B$5:$B$1264,T$3,'Datos - Temas'!$L$5:$L$1264,$A62)</f>
        <v>0</v>
      </c>
      <c r="U62" s="36" cm="1">
        <f t="array" ref="U62">_xlfn.COUNTIFS('Datos - Temas'!$C$5:$C$1264,"Ciencias",'Datos - Temas'!$B$5:$B$1264,U$3,'Datos - Temas'!$K$5:$K$1264,$A62)+_xlfn.COUNTIFS('Datos - Temas'!$C$5:$C$1264,"Ciencias",'Datos - Temas'!$B$5:$B$1264,U$3,'Datos - Temas'!$L$5:$L$1264,$A62)</f>
        <v>1</v>
      </c>
      <c r="V62" s="36" cm="1">
        <f t="array" ref="V62">_xlfn.COUNTIFS('Datos - Temas'!$C$5:$C$1264,"Ciencias",'Datos - Temas'!$B$5:$B$1264,V$3,'Datos - Temas'!$K$5:$K$1264,$A62)+_xlfn.COUNTIFS('Datos - Temas'!$C$5:$C$1264,"Ciencias",'Datos - Temas'!$B$5:$B$1264,V$3,'Datos - Temas'!$L$5:$L$1264,$A62)</f>
        <v>2</v>
      </c>
      <c r="W62" s="36" cm="1">
        <f t="array" ref="W62">_xlfn.COUNTIFS('Datos - Objetivos de países'!$B$5:$B$510,"Uruguay",'Datos - Objetivos de países'!$F$5:$F$510,W$3,'Datos - Objetivos de países'!$J$5:$J$510,$A62)+_xlfn.COUNTIFS('Datos - Objetivos de países'!$B$5:$B$510,"Uruguay",'Datos - Objetivos de países'!$F$5:$F$510,W$3,'Datos - Objetivos de países'!$K$5:$K$510,$A62)</f>
        <v>0</v>
      </c>
      <c r="X62" s="36" cm="1">
        <f t="array" ref="X62">_xlfn.COUNTIFS('Datos - Objetivos de países'!$B$5:$B$510,"Uruguay",'Datos - Objetivos de países'!$F$5:$F$510,X$3,'Datos - Objetivos de países'!$J$5:$J$510,$A62)+_xlfn.COUNTIFS('Datos - Objetivos de países'!$B$5:$B$510,"Uruguay",'Datos - Objetivos de países'!$F$5:$F$510,X$3,'Datos - Objetivos de países'!$K$5:$K$510,$A62)</f>
        <v>0</v>
      </c>
      <c r="Y62" s="36" cm="1">
        <f t="array" ref="Y62">_xlfn.COUNTIFS('Datos - Objetivos de países'!$B$5:$B$510,"Uruguay",'Datos - Objetivos de países'!$F$5:$F$510,Y$3,'Datos - Objetivos de países'!$J$5:$J$510,$A62)+_xlfn.COUNTIFS('Datos - Objetivos de países'!$B$5:$B$510,"Uruguay",'Datos - Objetivos de países'!$F$5:$F$510,Y$3,'Datos - Objetivos de países'!$K$5:$K$510,$A62)</f>
        <v>0</v>
      </c>
      <c r="Z62" s="36" cm="1">
        <f t="array" ref="Z62">_xlfn.COUNTIFS('Datos - Objetivos de países'!$B$5:$B$510,"Uruguay",'Datos - Objetivos de países'!$F$5:$F$510,Z$3,'Datos - Objetivos de países'!$J$5:$J$510,$A62)+_xlfn.COUNTIFS('Datos - Objetivos de países'!$B$5:$B$510,"Uruguay",'Datos - Objetivos de países'!$F$5:$F$510,Z$3,'Datos - Objetivos de países'!$K$5:$K$510,$A62)</f>
        <v>0</v>
      </c>
      <c r="AA62" s="36" cm="1">
        <f t="array" ref="AA62">_xlfn.COUNTIFS('Datos - Objetivos de países'!$B$5:$B$510,"Uruguay",'Datos - Objetivos de países'!$F$5:$F$510,AA$3,'Datos - Objetivos de países'!$J$5:$J$510,$A62)+_xlfn.COUNTIFS('Datos - Objetivos de países'!$B$5:$B$510,"Uruguay",'Datos - Objetivos de países'!$F$5:$F$510,AA$3,'Datos - Objetivos de países'!$K$5:$K$510,$A62)</f>
        <v>0</v>
      </c>
      <c r="AB62" s="36" cm="1">
        <f t="array" ref="AB62">_xlfn.COUNTIFS('Datos - Objetivos de países'!$B$5:$B$510,"Uruguay",'Datos - Objetivos de países'!$F$5:$F$510,AB$3,'Datos - Objetivos de países'!$J$5:$J$510,$A62)+_xlfn.COUNTIFS('Datos - Objetivos de países'!$B$5:$B$510,"Uruguay",'Datos - Objetivos de países'!$F$5:$F$510,AB$3,'Datos - Objetivos de países'!$K$5:$K$510,$A62)</f>
        <v>1</v>
      </c>
      <c r="AC62" s="36" cm="1">
        <f t="array" ref="AC62">_xlfn.COUNTIFS('Datos - Objetivos de países'!$B$5:$B$510,"Uruguay",'Datos - Objetivos de países'!$F$5:$F$510,AC$3,'Datos - Objetivos de países'!$J$5:$J$510,$A62)+_xlfn.COUNTIFS('Datos - Objetivos de países'!$B$5:$B$510,"Uruguay",'Datos - Objetivos de países'!$F$5:$F$510,AC$3,'Datos - Objetivos de países'!$K$5:$K$510,$A62)</f>
        <v>0</v>
      </c>
      <c r="AD62" s="36" cm="1">
        <f t="array" ref="AD62">_xlfn.COUNTIFS('Datos - Objetivos de países'!$B$5:$B$510,"Uruguay",'Datos - Objetivos de países'!$F$5:$F$510,AD$3,'Datos - Objetivos de países'!$J$5:$J$510,$A62)+_xlfn.COUNTIFS('Datos - Objetivos de países'!$B$5:$B$510,"Uruguay",'Datos - Objetivos de países'!$F$5:$F$510,AD$3,'Datos - Objetivos de países'!$K$5:$K$510,$A62)</f>
        <v>0</v>
      </c>
      <c r="AE62" s="36" cm="1">
        <f t="array" ref="AE62">_xlfn.COUNTIFS('Datos - Objetivos de países'!$B$5:$B$510,"Uruguay",'Datos - Objetivos de países'!$F$5:$F$510,AE$3,'Datos - Objetivos de países'!$J$5:$J$510,$A62)+_xlfn.COUNTIFS('Datos - Objetivos de países'!$B$5:$B$510,"Uruguay",'Datos - Objetivos de países'!$F$5:$F$510,AE$3,'Datos - Objetivos de países'!$K$5:$K$510,$A62)</f>
        <v>0</v>
      </c>
      <c r="AF62" s="36" cm="1">
        <f t="array" ref="AF62">_xlfn.COUNTIFS('Datos - Objetivos de países'!$B$5:$B$510,"Colombia",'Datos - Objetivos de países'!$F$5:$F$510,AF$3,'Datos - Objetivos de países'!$J$5:$J$510,$A62)+_xlfn.COUNTIFS('Datos - Objetivos de países'!$B$5:$B$510,"Colombia",'Datos - Objetivos de países'!$F$5:$F$510,AF$3,'Datos - Objetivos de países'!$K$5:$K$510,$A62)</f>
        <v>0</v>
      </c>
      <c r="AG62" s="36" cm="1">
        <f t="array" ref="AG62">_xlfn.COUNTIFS('Datos - Objetivos de países'!$B$5:$B$510,"Colombia",'Datos - Objetivos de países'!$F$5:$F$510,AG$3,'Datos - Objetivos de países'!$J$5:$J$510,$A62)+_xlfn.COUNTIFS('Datos - Objetivos de países'!$B$5:$B$510,"Colombia",'Datos - Objetivos de países'!$F$5:$F$510,AG$3,'Datos - Objetivos de países'!$K$5:$K$510,$A62)</f>
        <v>0</v>
      </c>
      <c r="AH62" s="36" cm="1">
        <f t="array" ref="AH62">_xlfn.COUNTIFS('Datos - Objetivos de países'!$B$5:$B$510,"Colombia",'Datos - Objetivos de países'!$F$5:$F$510,AH$3,'Datos - Objetivos de países'!$J$5:$J$510,$A62)+_xlfn.COUNTIFS('Datos - Objetivos de países'!$B$5:$B$510,"Colombia",'Datos - Objetivos de países'!$F$5:$F$510,AH$3,'Datos - Objetivos de países'!$K$5:$K$510,$A62)</f>
        <v>0</v>
      </c>
      <c r="AI62" s="36" cm="1">
        <f t="array" ref="AI62">_xlfn.COUNTIFS('Datos - Objetivos de países'!$B$5:$B$510,"Colombia",'Datos - Objetivos de países'!$F$5:$F$510,AI$3,'Datos - Objetivos de países'!$J$5:$J$510,$A62)+_xlfn.COUNTIFS('Datos - Objetivos de países'!$B$5:$B$510,"Colombia",'Datos - Objetivos de países'!$F$5:$F$510,AI$3,'Datos - Objetivos de países'!$K$5:$K$510,$A62)</f>
        <v>0</v>
      </c>
      <c r="AJ62" s="36" cm="1">
        <f t="array" ref="AJ62">_xlfn.COUNTIFS('Datos - Objetivos de países'!$B$5:$B$510,"Colombia",'Datos - Objetivos de países'!$F$5:$F$510,AJ$3,'Datos - Objetivos de países'!$J$5:$J$510,$A62)+_xlfn.COUNTIFS('Datos - Objetivos de países'!$B$5:$B$510,"Colombia",'Datos - Objetivos de países'!$F$5:$F$510,AJ$3,'Datos - Objetivos de países'!$K$5:$K$510,$A62)</f>
        <v>0</v>
      </c>
      <c r="AK62" s="36" cm="1">
        <f t="array" ref="AK62">_xlfn.COUNTIFS('Datos - Objetivos de países'!$B$5:$B$510,"Colombia",'Datos - Objetivos de países'!$F$5:$F$510,AK$3,'Datos - Objetivos de países'!$J$5:$J$510,$A62)+_xlfn.COUNTIFS('Datos - Objetivos de países'!$B$5:$B$510,"Colombia",'Datos - Objetivos de países'!$F$5:$F$510,AK$3,'Datos - Objetivos de países'!$K$5:$K$510,$A62)</f>
        <v>1</v>
      </c>
      <c r="AL62" s="36" cm="1">
        <f t="array" ref="AL62">_xlfn.COUNTIFS('Datos - Objetivos de países'!$B$5:$B$510,"Colombia",'Datos - Objetivos de países'!$F$5:$F$510,AL$3,'Datos - Objetivos de países'!$J$5:$J$510,$A62)+_xlfn.COUNTIFS('Datos - Objetivos de países'!$B$5:$B$510,"Colombia",'Datos - Objetivos de países'!$F$5:$F$510,AL$3,'Datos - Objetivos de países'!$K$5:$K$510,$A62)</f>
        <v>0</v>
      </c>
      <c r="AM62" s="36" cm="1">
        <f t="array" ref="AM62">_xlfn.COUNTIFS('Datos - Objetivos de países'!$B$5:$B$510,"Colombia",'Datos - Objetivos de países'!$F$5:$F$510,AM$3,'Datos - Objetivos de países'!$J$5:$J$510,$A62)+_xlfn.COUNTIFS('Datos - Objetivos de países'!$B$5:$B$510,"Colombia",'Datos - Objetivos de países'!$F$5:$F$510,AM$3,'Datos - Objetivos de países'!$K$5:$K$510,$A62)</f>
        <v>4</v>
      </c>
      <c r="AN62" s="36" cm="1">
        <f t="array" ref="AN62">_xlfn.COUNTIFS('Datos - Objetivos de países'!$B$5:$B$510,"Colombia",'Datos - Objetivos de países'!$F$5:$F$510,AN$3,'Datos - Objetivos de países'!$J$5:$J$510,$A62)+_xlfn.COUNTIFS('Datos - Objetivos de países'!$B$5:$B$510,"Colombia",'Datos - Objetivos de países'!$F$5:$F$510,AN$3,'Datos - Objetivos de países'!$K$5:$K$510,$A62)</f>
        <v>0</v>
      </c>
      <c r="AO62" s="36" cm="1">
        <f t="array" ref="AO62">_xlfn.COUNTIFS('Datos - Objetivos de países'!$B$5:$B$510,"Singapur",'Datos - Objetivos de países'!$F$5:$F$510,AO$3,'Datos - Objetivos de países'!$J$5:$J$510,$A62)+_xlfn.COUNTIFS('Datos - Objetivos de países'!$B$5:$B$510,"Singapur",'Datos - Objetivos de países'!$F$5:$F$510,AO$3,'Datos - Objetivos de países'!$K$5:$K$510,$A62)</f>
        <v>0</v>
      </c>
      <c r="AP62" s="36" cm="1">
        <f t="array" ref="AP62">_xlfn.COUNTIFS('Datos - Objetivos de países'!$B$5:$B$510,"Singapur",'Datos - Objetivos de países'!$F$5:$F$510,AP$3,'Datos - Objetivos de países'!$J$5:$J$510,$A62)+_xlfn.COUNTIFS('Datos - Objetivos de países'!$B$5:$B$510,"Singapur",'Datos - Objetivos de países'!$F$5:$F$510,AP$3,'Datos - Objetivos de países'!$K$5:$K$510,$A62)</f>
        <v>0</v>
      </c>
      <c r="AQ62" s="36" cm="1">
        <f t="array" ref="AQ62">_xlfn.COUNTIFS('Datos - Objetivos de países'!$B$5:$B$510,"Singapur",'Datos - Objetivos de países'!$F$5:$F$510,AQ$3,'Datos - Objetivos de países'!$J$5:$J$510,$A62)+_xlfn.COUNTIFS('Datos - Objetivos de países'!$B$5:$B$510,"Singapur",'Datos - Objetivos de países'!$F$5:$F$510,AQ$3,'Datos - Objetivos de países'!$K$5:$K$510,$A62)</f>
        <v>0</v>
      </c>
      <c r="AR62" s="36" cm="1">
        <f t="array" ref="AR62">_xlfn.COUNTIFS('Datos - Objetivos de países'!$B$5:$B$510,"Singapur",'Datos - Objetivos de países'!$F$5:$F$510,AR$3,'Datos - Objetivos de países'!$J$5:$J$510,$A62)+_xlfn.COUNTIFS('Datos - Objetivos de países'!$B$5:$B$510,"Singapur",'Datos - Objetivos de países'!$F$5:$F$510,AR$3,'Datos - Objetivos de países'!$K$5:$K$510,$A62)</f>
        <v>0</v>
      </c>
      <c r="AS62" s="36" cm="1">
        <f t="array" ref="AS62">_xlfn.COUNTIFS('Datos - Objetivos de países'!$B$5:$B$510,"Singapur",'Datos - Objetivos de países'!$F$5:$F$510,AS$3,'Datos - Objetivos de países'!$J$5:$J$510,$A62)+_xlfn.COUNTIFS('Datos - Objetivos de países'!$B$5:$B$510,"Singapur",'Datos - Objetivos de países'!$F$5:$F$510,AS$3,'Datos - Objetivos de países'!$K$5:$K$510,$A62)</f>
        <v>1</v>
      </c>
      <c r="AT62" s="36" cm="1">
        <f t="array" ref="AT62">_xlfn.COUNTIFS('Datos - Objetivos de países'!$B$5:$B$510,"Singapur",'Datos - Objetivos de países'!$F$5:$F$510,AT$3,'Datos - Objetivos de países'!$J$5:$J$510,$A62)+_xlfn.COUNTIFS('Datos - Objetivos de países'!$B$5:$B$510,"Singapur",'Datos - Objetivos de países'!$F$5:$F$510,AT$3,'Datos - Objetivos de países'!$K$5:$K$510,$A62)</f>
        <v>0</v>
      </c>
      <c r="AU62" s="36" cm="1">
        <f t="array" ref="AU62">_xlfn.COUNTIFS('Datos - Objetivos de países'!$B$5:$B$510,"Singapur",'Datos - Objetivos de países'!$F$5:$F$510,AU$3,'Datos - Objetivos de países'!$J$5:$J$510,$A62)+_xlfn.COUNTIFS('Datos - Objetivos de países'!$B$5:$B$510,"Singapur",'Datos - Objetivos de países'!$F$5:$F$510,AU$3,'Datos - Objetivos de países'!$K$5:$K$510,$A62)</f>
        <v>0</v>
      </c>
      <c r="AV62" s="36" cm="1">
        <f t="array" ref="AV62">_xlfn.COUNTIFS('Datos - Objetivos de países'!$B$5:$B$510,"Singapur",'Datos - Objetivos de países'!$F$5:$F$510,AV$3,'Datos - Objetivos de países'!$J$5:$J$510,$A62)+_xlfn.COUNTIFS('Datos - Objetivos de países'!$B$5:$B$510,"Singapur",'Datos - Objetivos de países'!$F$5:$F$510,AV$3,'Datos - Objetivos de países'!$K$5:$K$510,$A62)</f>
        <v>0</v>
      </c>
      <c r="AW62" s="36" cm="1">
        <f t="array" ref="AW62">_xlfn.COUNTIFS('Datos - Objetivos de países'!$B$5:$B$510,"Singapur",'Datos - Objetivos de países'!$F$5:$F$510,AW$3,'Datos - Objetivos de países'!$J$5:$J$510,$A62)+_xlfn.COUNTIFS('Datos - Objetivos de países'!$B$5:$B$510,"Singapur",'Datos - Objetivos de países'!$F$5:$F$510,AW$3,'Datos - Objetivos de países'!$K$5:$K$510,$A62)</f>
        <v>0</v>
      </c>
    </row>
    <row r="63" ht="13.65" customHeight="1">
      <c r="A63" t="s" s="78">
        <v>1241</v>
      </c>
      <c r="B63" t="s" s="78">
        <v>1164</v>
      </c>
      <c r="C63" t="s" s="78">
        <v>222</v>
      </c>
      <c r="D63" t="s" s="78">
        <v>1242</v>
      </c>
      <c r="E63" s="80" cm="1">
        <f t="array" ref="E63">_xlfn.IFERROR(MAX($L$3,INDEX($N$3:$V$3,MATCH(TRUE,INDEX(N63:V63&gt;0,0),0))),"—")</f>
        <v>6</v>
      </c>
      <c r="F63" t="str" s="79" cm="1">
        <f t="array" ref="F63">_xlfn.IFERROR(MAX($L$3,INDEX($W$3:$AE$3,MATCH(TRUE,INDEX(W63:AE63&gt;0,0),0))),"—")</f>
        <v>—</v>
      </c>
      <c r="G63" s="80" cm="1">
        <f t="array" ref="G63">_xlfn.IFERROR(MAX($L$3,INDEX($AF$3:$AN$3,MATCH(TRUE,INDEX(AF63:AN63&gt;0,0),0))),"—")</f>
        <v>8</v>
      </c>
      <c r="H63" s="80" cm="1">
        <f t="array" ref="H63">_xlfn.IFERROR(MAX($L$3,INDEX($AO$3:$AW$3,MATCH(TRUE,INDEX(AO63:AW63&gt;0,0),0))),"—")</f>
        <v>5</v>
      </c>
      <c r="I63" s="111" cm="1">
        <f t="array" ref="I63">IF(L63=0,"—",MEDIAN(F63:H63))</f>
        <v>6.5</v>
      </c>
      <c r="J63" s="111" cm="1">
        <f t="array" ref="J63">IF(OR(E63="—",I63="—"),"—",E63-I63)</f>
        <v>-0.5</v>
      </c>
      <c r="K63" t="str" s="49" cm="1">
        <f t="array" ref="K63">IF(E63="—",IF(L63=0,"Nadie lo trabaja","El Salvador no llega"),IF(L63=0,"Solo El Salvador",IF(J63&gt;0,"El Salvador llega más tarde",IF(J63&lt;0,"El Salvador va adelantado","Mismo grado"))))</f>
        <v>El Salvador va adelantado</v>
      </c>
      <c r="L63" s="80" cm="1">
        <f t="array" ref="L63">COUNT(F63:H63)</f>
        <v>2</v>
      </c>
      <c r="M63" s="110"/>
      <c r="N63" s="36" cm="1">
        <f t="array" ref="N63">_xlfn.COUNTIFS('Datos - Temas'!$C$5:$C$1264,"Ciencias",'Datos - Temas'!$B$5:$B$1264,N$3,'Datos - Temas'!$K$5:$K$1264,$A63)+_xlfn.COUNTIFS('Datos - Temas'!$C$5:$C$1264,"Ciencias",'Datos - Temas'!$B$5:$B$1264,N$3,'Datos - Temas'!$L$5:$L$1264,$A63)</f>
        <v>0</v>
      </c>
      <c r="O63" s="36" cm="1">
        <f t="array" ref="O63">_xlfn.COUNTIFS('Datos - Temas'!$C$5:$C$1264,"Ciencias",'Datos - Temas'!$B$5:$B$1264,O$3,'Datos - Temas'!$K$5:$K$1264,$A63)+_xlfn.COUNTIFS('Datos - Temas'!$C$5:$C$1264,"Ciencias",'Datos - Temas'!$B$5:$B$1264,O$3,'Datos - Temas'!$L$5:$L$1264,$A63)</f>
        <v>0</v>
      </c>
      <c r="P63" s="36" cm="1">
        <f t="array" ref="P63">_xlfn.COUNTIFS('Datos - Temas'!$C$5:$C$1264,"Ciencias",'Datos - Temas'!$B$5:$B$1264,P$3,'Datos - Temas'!$K$5:$K$1264,$A63)+_xlfn.COUNTIFS('Datos - Temas'!$C$5:$C$1264,"Ciencias",'Datos - Temas'!$B$5:$B$1264,P$3,'Datos - Temas'!$L$5:$L$1264,$A63)</f>
        <v>0</v>
      </c>
      <c r="Q63" s="36" cm="1">
        <f t="array" ref="Q63">_xlfn.COUNTIFS('Datos - Temas'!$C$5:$C$1264,"Ciencias",'Datos - Temas'!$B$5:$B$1264,Q$3,'Datos - Temas'!$K$5:$K$1264,$A63)+_xlfn.COUNTIFS('Datos - Temas'!$C$5:$C$1264,"Ciencias",'Datos - Temas'!$B$5:$B$1264,Q$3,'Datos - Temas'!$L$5:$L$1264,$A63)</f>
        <v>0</v>
      </c>
      <c r="R63" s="36" cm="1">
        <f t="array" ref="R63">_xlfn.COUNTIFS('Datos - Temas'!$C$5:$C$1264,"Ciencias",'Datos - Temas'!$B$5:$B$1264,R$3,'Datos - Temas'!$K$5:$K$1264,$A63)+_xlfn.COUNTIFS('Datos - Temas'!$C$5:$C$1264,"Ciencias",'Datos - Temas'!$B$5:$B$1264,R$3,'Datos - Temas'!$L$5:$L$1264,$A63)</f>
        <v>0</v>
      </c>
      <c r="S63" s="36" cm="1">
        <f t="array" ref="S63">_xlfn.COUNTIFS('Datos - Temas'!$C$5:$C$1264,"Ciencias",'Datos - Temas'!$B$5:$B$1264,S$3,'Datos - Temas'!$K$5:$K$1264,$A63)+_xlfn.COUNTIFS('Datos - Temas'!$C$5:$C$1264,"Ciencias",'Datos - Temas'!$B$5:$B$1264,S$3,'Datos - Temas'!$L$5:$L$1264,$A63)</f>
        <v>2</v>
      </c>
      <c r="T63" s="36" cm="1">
        <f t="array" ref="T63">_xlfn.COUNTIFS('Datos - Temas'!$C$5:$C$1264,"Ciencias",'Datos - Temas'!$B$5:$B$1264,T$3,'Datos - Temas'!$K$5:$K$1264,$A63)+_xlfn.COUNTIFS('Datos - Temas'!$C$5:$C$1264,"Ciencias",'Datos - Temas'!$B$5:$B$1264,T$3,'Datos - Temas'!$L$5:$L$1264,$A63)</f>
        <v>0</v>
      </c>
      <c r="U63" s="36" cm="1">
        <f t="array" ref="U63">_xlfn.COUNTIFS('Datos - Temas'!$C$5:$C$1264,"Ciencias",'Datos - Temas'!$B$5:$B$1264,U$3,'Datos - Temas'!$K$5:$K$1264,$A63)+_xlfn.COUNTIFS('Datos - Temas'!$C$5:$C$1264,"Ciencias",'Datos - Temas'!$B$5:$B$1264,U$3,'Datos - Temas'!$L$5:$L$1264,$A63)</f>
        <v>2</v>
      </c>
      <c r="V63" s="36" cm="1">
        <f t="array" ref="V63">_xlfn.COUNTIFS('Datos - Temas'!$C$5:$C$1264,"Ciencias",'Datos - Temas'!$B$5:$B$1264,V$3,'Datos - Temas'!$K$5:$K$1264,$A63)+_xlfn.COUNTIFS('Datos - Temas'!$C$5:$C$1264,"Ciencias",'Datos - Temas'!$B$5:$B$1264,V$3,'Datos - Temas'!$L$5:$L$1264,$A63)</f>
        <v>3</v>
      </c>
      <c r="W63" s="36" cm="1">
        <f t="array" ref="W63">_xlfn.COUNTIFS('Datos - Objetivos de países'!$B$5:$B$510,"Uruguay",'Datos - Objetivos de países'!$F$5:$F$510,W$3,'Datos - Objetivos de países'!$J$5:$J$510,$A63)+_xlfn.COUNTIFS('Datos - Objetivos de países'!$B$5:$B$510,"Uruguay",'Datos - Objetivos de países'!$F$5:$F$510,W$3,'Datos - Objetivos de países'!$K$5:$K$510,$A63)</f>
        <v>0</v>
      </c>
      <c r="X63" s="36" cm="1">
        <f t="array" ref="X63">_xlfn.COUNTIFS('Datos - Objetivos de países'!$B$5:$B$510,"Uruguay",'Datos - Objetivos de países'!$F$5:$F$510,X$3,'Datos - Objetivos de países'!$J$5:$J$510,$A63)+_xlfn.COUNTIFS('Datos - Objetivos de países'!$B$5:$B$510,"Uruguay",'Datos - Objetivos de países'!$F$5:$F$510,X$3,'Datos - Objetivos de países'!$K$5:$K$510,$A63)</f>
        <v>0</v>
      </c>
      <c r="Y63" s="36" cm="1">
        <f t="array" ref="Y63">_xlfn.COUNTIFS('Datos - Objetivos de países'!$B$5:$B$510,"Uruguay",'Datos - Objetivos de países'!$F$5:$F$510,Y$3,'Datos - Objetivos de países'!$J$5:$J$510,$A63)+_xlfn.COUNTIFS('Datos - Objetivos de países'!$B$5:$B$510,"Uruguay",'Datos - Objetivos de países'!$F$5:$F$510,Y$3,'Datos - Objetivos de países'!$K$5:$K$510,$A63)</f>
        <v>0</v>
      </c>
      <c r="Z63" s="36" cm="1">
        <f t="array" ref="Z63">_xlfn.COUNTIFS('Datos - Objetivos de países'!$B$5:$B$510,"Uruguay",'Datos - Objetivos de países'!$F$5:$F$510,Z$3,'Datos - Objetivos de países'!$J$5:$J$510,$A63)+_xlfn.COUNTIFS('Datos - Objetivos de países'!$B$5:$B$510,"Uruguay",'Datos - Objetivos de países'!$F$5:$F$510,Z$3,'Datos - Objetivos de países'!$K$5:$K$510,$A63)</f>
        <v>0</v>
      </c>
      <c r="AA63" s="36" cm="1">
        <f t="array" ref="AA63">_xlfn.COUNTIFS('Datos - Objetivos de países'!$B$5:$B$510,"Uruguay",'Datos - Objetivos de países'!$F$5:$F$510,AA$3,'Datos - Objetivos de países'!$J$5:$J$510,$A63)+_xlfn.COUNTIFS('Datos - Objetivos de países'!$B$5:$B$510,"Uruguay",'Datos - Objetivos de países'!$F$5:$F$510,AA$3,'Datos - Objetivos de países'!$K$5:$K$510,$A63)</f>
        <v>0</v>
      </c>
      <c r="AB63" s="36" cm="1">
        <f t="array" ref="AB63">_xlfn.COUNTIFS('Datos - Objetivos de países'!$B$5:$B$510,"Uruguay",'Datos - Objetivos de países'!$F$5:$F$510,AB$3,'Datos - Objetivos de países'!$J$5:$J$510,$A63)+_xlfn.COUNTIFS('Datos - Objetivos de países'!$B$5:$B$510,"Uruguay",'Datos - Objetivos de países'!$F$5:$F$510,AB$3,'Datos - Objetivos de países'!$K$5:$K$510,$A63)</f>
        <v>0</v>
      </c>
      <c r="AC63" s="36" cm="1">
        <f t="array" ref="AC63">_xlfn.COUNTIFS('Datos - Objetivos de países'!$B$5:$B$510,"Uruguay",'Datos - Objetivos de países'!$F$5:$F$510,AC$3,'Datos - Objetivos de países'!$J$5:$J$510,$A63)+_xlfn.COUNTIFS('Datos - Objetivos de países'!$B$5:$B$510,"Uruguay",'Datos - Objetivos de países'!$F$5:$F$510,AC$3,'Datos - Objetivos de países'!$K$5:$K$510,$A63)</f>
        <v>0</v>
      </c>
      <c r="AD63" s="36" cm="1">
        <f t="array" ref="AD63">_xlfn.COUNTIFS('Datos - Objetivos de países'!$B$5:$B$510,"Uruguay",'Datos - Objetivos de países'!$F$5:$F$510,AD$3,'Datos - Objetivos de países'!$J$5:$J$510,$A63)+_xlfn.COUNTIFS('Datos - Objetivos de países'!$B$5:$B$510,"Uruguay",'Datos - Objetivos de países'!$F$5:$F$510,AD$3,'Datos - Objetivos de países'!$K$5:$K$510,$A63)</f>
        <v>0</v>
      </c>
      <c r="AE63" s="36" cm="1">
        <f t="array" ref="AE63">_xlfn.COUNTIFS('Datos - Objetivos de países'!$B$5:$B$510,"Uruguay",'Datos - Objetivos de países'!$F$5:$F$510,AE$3,'Datos - Objetivos de países'!$J$5:$J$510,$A63)+_xlfn.COUNTIFS('Datos - Objetivos de países'!$B$5:$B$510,"Uruguay",'Datos - Objetivos de países'!$F$5:$F$510,AE$3,'Datos - Objetivos de países'!$K$5:$K$510,$A63)</f>
        <v>0</v>
      </c>
      <c r="AF63" s="36" cm="1">
        <f t="array" ref="AF63">_xlfn.COUNTIFS('Datos - Objetivos de países'!$B$5:$B$510,"Colombia",'Datos - Objetivos de países'!$F$5:$F$510,AF$3,'Datos - Objetivos de países'!$J$5:$J$510,$A63)+_xlfn.COUNTIFS('Datos - Objetivos de países'!$B$5:$B$510,"Colombia",'Datos - Objetivos de países'!$F$5:$F$510,AF$3,'Datos - Objetivos de países'!$K$5:$K$510,$A63)</f>
        <v>0</v>
      </c>
      <c r="AG63" s="36" cm="1">
        <f t="array" ref="AG63">_xlfn.COUNTIFS('Datos - Objetivos de países'!$B$5:$B$510,"Colombia",'Datos - Objetivos de países'!$F$5:$F$510,AG$3,'Datos - Objetivos de países'!$J$5:$J$510,$A63)+_xlfn.COUNTIFS('Datos - Objetivos de países'!$B$5:$B$510,"Colombia",'Datos - Objetivos de países'!$F$5:$F$510,AG$3,'Datos - Objetivos de países'!$K$5:$K$510,$A63)</f>
        <v>0</v>
      </c>
      <c r="AH63" s="36" cm="1">
        <f t="array" ref="AH63">_xlfn.COUNTIFS('Datos - Objetivos de países'!$B$5:$B$510,"Colombia",'Datos - Objetivos de países'!$F$5:$F$510,AH$3,'Datos - Objetivos de países'!$J$5:$J$510,$A63)+_xlfn.COUNTIFS('Datos - Objetivos de países'!$B$5:$B$510,"Colombia",'Datos - Objetivos de países'!$F$5:$F$510,AH$3,'Datos - Objetivos de países'!$K$5:$K$510,$A63)</f>
        <v>0</v>
      </c>
      <c r="AI63" s="36" cm="1">
        <f t="array" ref="AI63">_xlfn.COUNTIFS('Datos - Objetivos de países'!$B$5:$B$510,"Colombia",'Datos - Objetivos de países'!$F$5:$F$510,AI$3,'Datos - Objetivos de países'!$J$5:$J$510,$A63)+_xlfn.COUNTIFS('Datos - Objetivos de países'!$B$5:$B$510,"Colombia",'Datos - Objetivos de países'!$F$5:$F$510,AI$3,'Datos - Objetivos de países'!$K$5:$K$510,$A63)</f>
        <v>0</v>
      </c>
      <c r="AJ63" s="36" cm="1">
        <f t="array" ref="AJ63">_xlfn.COUNTIFS('Datos - Objetivos de países'!$B$5:$B$510,"Colombia",'Datos - Objetivos de países'!$F$5:$F$510,AJ$3,'Datos - Objetivos de países'!$J$5:$J$510,$A63)+_xlfn.COUNTIFS('Datos - Objetivos de países'!$B$5:$B$510,"Colombia",'Datos - Objetivos de países'!$F$5:$F$510,AJ$3,'Datos - Objetivos de países'!$K$5:$K$510,$A63)</f>
        <v>0</v>
      </c>
      <c r="AK63" s="36" cm="1">
        <f t="array" ref="AK63">_xlfn.COUNTIFS('Datos - Objetivos de países'!$B$5:$B$510,"Colombia",'Datos - Objetivos de países'!$F$5:$F$510,AK$3,'Datos - Objetivos de países'!$J$5:$J$510,$A63)+_xlfn.COUNTIFS('Datos - Objetivos de países'!$B$5:$B$510,"Colombia",'Datos - Objetivos de países'!$F$5:$F$510,AK$3,'Datos - Objetivos de países'!$K$5:$K$510,$A63)</f>
        <v>0</v>
      </c>
      <c r="AL63" s="36" cm="1">
        <f t="array" ref="AL63">_xlfn.COUNTIFS('Datos - Objetivos de países'!$B$5:$B$510,"Colombia",'Datos - Objetivos de países'!$F$5:$F$510,AL$3,'Datos - Objetivos de países'!$J$5:$J$510,$A63)+_xlfn.COUNTIFS('Datos - Objetivos de países'!$B$5:$B$510,"Colombia",'Datos - Objetivos de países'!$F$5:$F$510,AL$3,'Datos - Objetivos de países'!$K$5:$K$510,$A63)</f>
        <v>0</v>
      </c>
      <c r="AM63" s="36" cm="1">
        <f t="array" ref="AM63">_xlfn.COUNTIFS('Datos - Objetivos de países'!$B$5:$B$510,"Colombia",'Datos - Objetivos de países'!$F$5:$F$510,AM$3,'Datos - Objetivos de países'!$J$5:$J$510,$A63)+_xlfn.COUNTIFS('Datos - Objetivos de países'!$B$5:$B$510,"Colombia",'Datos - Objetivos de países'!$F$5:$F$510,AM$3,'Datos - Objetivos de países'!$K$5:$K$510,$A63)</f>
        <v>1</v>
      </c>
      <c r="AN63" s="36" cm="1">
        <f t="array" ref="AN63">_xlfn.COUNTIFS('Datos - Objetivos de países'!$B$5:$B$510,"Colombia",'Datos - Objetivos de países'!$F$5:$F$510,AN$3,'Datos - Objetivos de países'!$J$5:$J$510,$A63)+_xlfn.COUNTIFS('Datos - Objetivos de países'!$B$5:$B$510,"Colombia",'Datos - Objetivos de países'!$F$5:$F$510,AN$3,'Datos - Objetivos de países'!$K$5:$K$510,$A63)</f>
        <v>0</v>
      </c>
      <c r="AO63" s="36" cm="1">
        <f t="array" ref="AO63">_xlfn.COUNTIFS('Datos - Objetivos de países'!$B$5:$B$510,"Singapur",'Datos - Objetivos de países'!$F$5:$F$510,AO$3,'Datos - Objetivos de países'!$J$5:$J$510,$A63)+_xlfn.COUNTIFS('Datos - Objetivos de países'!$B$5:$B$510,"Singapur",'Datos - Objetivos de países'!$F$5:$F$510,AO$3,'Datos - Objetivos de países'!$K$5:$K$510,$A63)</f>
        <v>0</v>
      </c>
      <c r="AP63" s="36" cm="1">
        <f t="array" ref="AP63">_xlfn.COUNTIFS('Datos - Objetivos de países'!$B$5:$B$510,"Singapur",'Datos - Objetivos de países'!$F$5:$F$510,AP$3,'Datos - Objetivos de países'!$J$5:$J$510,$A63)+_xlfn.COUNTIFS('Datos - Objetivos de países'!$B$5:$B$510,"Singapur",'Datos - Objetivos de países'!$F$5:$F$510,AP$3,'Datos - Objetivos de países'!$K$5:$K$510,$A63)</f>
        <v>0</v>
      </c>
      <c r="AQ63" s="36" cm="1">
        <f t="array" ref="AQ63">_xlfn.COUNTIFS('Datos - Objetivos de países'!$B$5:$B$510,"Singapur",'Datos - Objetivos de países'!$F$5:$F$510,AQ$3,'Datos - Objetivos de países'!$J$5:$J$510,$A63)+_xlfn.COUNTIFS('Datos - Objetivos de países'!$B$5:$B$510,"Singapur",'Datos - Objetivos de países'!$F$5:$F$510,AQ$3,'Datos - Objetivos de países'!$K$5:$K$510,$A63)</f>
        <v>0</v>
      </c>
      <c r="AR63" s="36" cm="1">
        <f t="array" ref="AR63">_xlfn.COUNTIFS('Datos - Objetivos de países'!$B$5:$B$510,"Singapur",'Datos - Objetivos de países'!$F$5:$F$510,AR$3,'Datos - Objetivos de países'!$J$5:$J$510,$A63)+_xlfn.COUNTIFS('Datos - Objetivos de países'!$B$5:$B$510,"Singapur",'Datos - Objetivos de países'!$F$5:$F$510,AR$3,'Datos - Objetivos de países'!$K$5:$K$510,$A63)</f>
        <v>0</v>
      </c>
      <c r="AS63" s="36" cm="1">
        <f t="array" ref="AS63">_xlfn.COUNTIFS('Datos - Objetivos de países'!$B$5:$B$510,"Singapur",'Datos - Objetivos de países'!$F$5:$F$510,AS$3,'Datos - Objetivos de países'!$J$5:$J$510,$A63)+_xlfn.COUNTIFS('Datos - Objetivos de países'!$B$5:$B$510,"Singapur",'Datos - Objetivos de países'!$F$5:$F$510,AS$3,'Datos - Objetivos de países'!$K$5:$K$510,$A63)</f>
        <v>6</v>
      </c>
      <c r="AT63" s="36" cm="1">
        <f t="array" ref="AT63">_xlfn.COUNTIFS('Datos - Objetivos de países'!$B$5:$B$510,"Singapur",'Datos - Objetivos de países'!$F$5:$F$510,AT$3,'Datos - Objetivos de países'!$J$5:$J$510,$A63)+_xlfn.COUNTIFS('Datos - Objetivos de países'!$B$5:$B$510,"Singapur",'Datos - Objetivos de países'!$F$5:$F$510,AT$3,'Datos - Objetivos de países'!$K$5:$K$510,$A63)</f>
        <v>0</v>
      </c>
      <c r="AU63" s="36" cm="1">
        <f t="array" ref="AU63">_xlfn.COUNTIFS('Datos - Objetivos de países'!$B$5:$B$510,"Singapur",'Datos - Objetivos de países'!$F$5:$F$510,AU$3,'Datos - Objetivos de países'!$J$5:$J$510,$A63)+_xlfn.COUNTIFS('Datos - Objetivos de países'!$B$5:$B$510,"Singapur",'Datos - Objetivos de países'!$F$5:$F$510,AU$3,'Datos - Objetivos de países'!$K$5:$K$510,$A63)</f>
        <v>0</v>
      </c>
      <c r="AV63" s="36" cm="1">
        <f t="array" ref="AV63">_xlfn.COUNTIFS('Datos - Objetivos de países'!$B$5:$B$510,"Singapur",'Datos - Objetivos de países'!$F$5:$F$510,AV$3,'Datos - Objetivos de países'!$J$5:$J$510,$A63)+_xlfn.COUNTIFS('Datos - Objetivos de países'!$B$5:$B$510,"Singapur",'Datos - Objetivos de países'!$F$5:$F$510,AV$3,'Datos - Objetivos de países'!$K$5:$K$510,$A63)</f>
        <v>0</v>
      </c>
      <c r="AW63" s="36" cm="1">
        <f t="array" ref="AW63">_xlfn.COUNTIFS('Datos - Objetivos de países'!$B$5:$B$510,"Singapur",'Datos - Objetivos de países'!$F$5:$F$510,AW$3,'Datos - Objetivos de países'!$J$5:$J$510,$A63)+_xlfn.COUNTIFS('Datos - Objetivos de países'!$B$5:$B$510,"Singapur",'Datos - Objetivos de países'!$F$5:$F$510,AW$3,'Datos - Objetivos de países'!$K$5:$K$510,$A63)</f>
        <v>0</v>
      </c>
    </row>
    <row r="64" ht="13.65" customHeight="1">
      <c r="A64" t="s" s="78">
        <v>575</v>
      </c>
      <c r="B64" t="s" s="78">
        <v>1164</v>
      </c>
      <c r="C64" t="s" s="78">
        <v>222</v>
      </c>
      <c r="D64" t="s" s="78">
        <v>1245</v>
      </c>
      <c r="E64" s="80" cm="1">
        <f t="array" ref="E64">_xlfn.IFERROR(MAX($L$3,INDEX($N$3:$V$3,MATCH(TRUE,INDEX(N64:V64&gt;0,0),0))),"—")</f>
        <v>5</v>
      </c>
      <c r="F64" s="80" cm="1">
        <f t="array" ref="F64">_xlfn.IFERROR(MAX($L$3,INDEX($W$3:$AE$3,MATCH(TRUE,INDEX(W64:AE64&gt;0,0),0))),"—")</f>
        <v>5</v>
      </c>
      <c r="G64" s="80" cm="1">
        <f t="array" ref="G64">_xlfn.IFERROR(MAX($L$3,INDEX($AF$3:$AN$3,MATCH(TRUE,INDEX(AF64:AN64&gt;0,0),0))),"—")</f>
        <v>5</v>
      </c>
      <c r="H64" s="80" cm="1">
        <f t="array" ref="H64">_xlfn.IFERROR(MAX($L$3,INDEX($AO$3:$AW$3,MATCH(TRUE,INDEX(AO64:AW64&gt;0,0),0))),"—")</f>
        <v>6</v>
      </c>
      <c r="I64" s="111" cm="1">
        <f t="array" ref="I64">IF(L64=0,"—",MEDIAN(F64:H64))</f>
        <v>5</v>
      </c>
      <c r="J64" s="111" cm="1">
        <f t="array" ref="J64">IF(OR(E64="—",I64="—"),"—",E64-I64)</f>
        <v>0</v>
      </c>
      <c r="K64" t="str" s="49" cm="1">
        <f t="array" ref="K64">IF(E64="—",IF(L64=0,"Nadie lo trabaja","El Salvador no llega"),IF(L64=0,"Solo El Salvador",IF(J64&gt;0,"El Salvador llega más tarde",IF(J64&lt;0,"El Salvador va adelantado","Mismo grado"))))</f>
        <v>Mismo grado</v>
      </c>
      <c r="L64" s="80" cm="1">
        <f t="array" ref="L64">COUNT(F64:H64)</f>
        <v>3</v>
      </c>
      <c r="M64" s="110"/>
      <c r="N64" s="36" cm="1">
        <f t="array" ref="N64">_xlfn.COUNTIFS('Datos - Temas'!$C$5:$C$1264,"Ciencias",'Datos - Temas'!$B$5:$B$1264,N$3,'Datos - Temas'!$K$5:$K$1264,$A64)+_xlfn.COUNTIFS('Datos - Temas'!$C$5:$C$1264,"Ciencias",'Datos - Temas'!$B$5:$B$1264,N$3,'Datos - Temas'!$L$5:$L$1264,$A64)</f>
        <v>0</v>
      </c>
      <c r="O64" s="36" cm="1">
        <f t="array" ref="O64">_xlfn.COUNTIFS('Datos - Temas'!$C$5:$C$1264,"Ciencias",'Datos - Temas'!$B$5:$B$1264,O$3,'Datos - Temas'!$K$5:$K$1264,$A64)+_xlfn.COUNTIFS('Datos - Temas'!$C$5:$C$1264,"Ciencias",'Datos - Temas'!$B$5:$B$1264,O$3,'Datos - Temas'!$L$5:$L$1264,$A64)</f>
        <v>0</v>
      </c>
      <c r="P64" s="36" cm="1">
        <f t="array" ref="P64">_xlfn.COUNTIFS('Datos - Temas'!$C$5:$C$1264,"Ciencias",'Datos - Temas'!$B$5:$B$1264,P$3,'Datos - Temas'!$K$5:$K$1264,$A64)+_xlfn.COUNTIFS('Datos - Temas'!$C$5:$C$1264,"Ciencias",'Datos - Temas'!$B$5:$B$1264,P$3,'Datos - Temas'!$L$5:$L$1264,$A64)</f>
        <v>0</v>
      </c>
      <c r="Q64" s="36" cm="1">
        <f t="array" ref="Q64">_xlfn.COUNTIFS('Datos - Temas'!$C$5:$C$1264,"Ciencias",'Datos - Temas'!$B$5:$B$1264,Q$3,'Datos - Temas'!$K$5:$K$1264,$A64)+_xlfn.COUNTIFS('Datos - Temas'!$C$5:$C$1264,"Ciencias",'Datos - Temas'!$B$5:$B$1264,Q$3,'Datos - Temas'!$L$5:$L$1264,$A64)</f>
        <v>0</v>
      </c>
      <c r="R64" s="36" cm="1">
        <f t="array" ref="R64">_xlfn.COUNTIFS('Datos - Temas'!$C$5:$C$1264,"Ciencias",'Datos - Temas'!$B$5:$B$1264,R$3,'Datos - Temas'!$K$5:$K$1264,$A64)+_xlfn.COUNTIFS('Datos - Temas'!$C$5:$C$1264,"Ciencias",'Datos - Temas'!$B$5:$B$1264,R$3,'Datos - Temas'!$L$5:$L$1264,$A64)</f>
        <v>4</v>
      </c>
      <c r="S64" s="36" cm="1">
        <f t="array" ref="S64">_xlfn.COUNTIFS('Datos - Temas'!$C$5:$C$1264,"Ciencias",'Datos - Temas'!$B$5:$B$1264,S$3,'Datos - Temas'!$K$5:$K$1264,$A64)+_xlfn.COUNTIFS('Datos - Temas'!$C$5:$C$1264,"Ciencias",'Datos - Temas'!$B$5:$B$1264,S$3,'Datos - Temas'!$L$5:$L$1264,$A64)</f>
        <v>0</v>
      </c>
      <c r="T64" s="36" cm="1">
        <f t="array" ref="T64">_xlfn.COUNTIFS('Datos - Temas'!$C$5:$C$1264,"Ciencias",'Datos - Temas'!$B$5:$B$1264,T$3,'Datos - Temas'!$K$5:$K$1264,$A64)+_xlfn.COUNTIFS('Datos - Temas'!$C$5:$C$1264,"Ciencias",'Datos - Temas'!$B$5:$B$1264,T$3,'Datos - Temas'!$L$5:$L$1264,$A64)</f>
        <v>4</v>
      </c>
      <c r="U64" s="36" cm="1">
        <f t="array" ref="U64">_xlfn.COUNTIFS('Datos - Temas'!$C$5:$C$1264,"Ciencias",'Datos - Temas'!$B$5:$B$1264,U$3,'Datos - Temas'!$K$5:$K$1264,$A64)+_xlfn.COUNTIFS('Datos - Temas'!$C$5:$C$1264,"Ciencias",'Datos - Temas'!$B$5:$B$1264,U$3,'Datos - Temas'!$L$5:$L$1264,$A64)</f>
        <v>13</v>
      </c>
      <c r="V64" s="36" cm="1">
        <f t="array" ref="V64">_xlfn.COUNTIFS('Datos - Temas'!$C$5:$C$1264,"Ciencias",'Datos - Temas'!$B$5:$B$1264,V$3,'Datos - Temas'!$K$5:$K$1264,$A64)+_xlfn.COUNTIFS('Datos - Temas'!$C$5:$C$1264,"Ciencias",'Datos - Temas'!$B$5:$B$1264,V$3,'Datos - Temas'!$L$5:$L$1264,$A64)</f>
        <v>10</v>
      </c>
      <c r="W64" s="36" cm="1">
        <f t="array" ref="W64">_xlfn.COUNTIFS('Datos - Objetivos de países'!$B$5:$B$510,"Uruguay",'Datos - Objetivos de países'!$F$5:$F$510,W$3,'Datos - Objetivos de países'!$J$5:$J$510,$A64)+_xlfn.COUNTIFS('Datos - Objetivos de países'!$B$5:$B$510,"Uruguay",'Datos - Objetivos de países'!$F$5:$F$510,W$3,'Datos - Objetivos de países'!$K$5:$K$510,$A64)</f>
        <v>0</v>
      </c>
      <c r="X64" s="36" cm="1">
        <f t="array" ref="X64">_xlfn.COUNTIFS('Datos - Objetivos de países'!$B$5:$B$510,"Uruguay",'Datos - Objetivos de países'!$F$5:$F$510,X$3,'Datos - Objetivos de países'!$J$5:$J$510,$A64)+_xlfn.COUNTIFS('Datos - Objetivos de países'!$B$5:$B$510,"Uruguay",'Datos - Objetivos de países'!$F$5:$F$510,X$3,'Datos - Objetivos de países'!$K$5:$K$510,$A64)</f>
        <v>0</v>
      </c>
      <c r="Y64" s="36" cm="1">
        <f t="array" ref="Y64">_xlfn.COUNTIFS('Datos - Objetivos de países'!$B$5:$B$510,"Uruguay",'Datos - Objetivos de países'!$F$5:$F$510,Y$3,'Datos - Objetivos de países'!$J$5:$J$510,$A64)+_xlfn.COUNTIFS('Datos - Objetivos de países'!$B$5:$B$510,"Uruguay",'Datos - Objetivos de países'!$F$5:$F$510,Y$3,'Datos - Objetivos de países'!$K$5:$K$510,$A64)</f>
        <v>0</v>
      </c>
      <c r="Z64" s="36" cm="1">
        <f t="array" ref="Z64">_xlfn.COUNTIFS('Datos - Objetivos de países'!$B$5:$B$510,"Uruguay",'Datos - Objetivos de países'!$F$5:$F$510,Z$3,'Datos - Objetivos de países'!$J$5:$J$510,$A64)+_xlfn.COUNTIFS('Datos - Objetivos de países'!$B$5:$B$510,"Uruguay",'Datos - Objetivos de países'!$F$5:$F$510,Z$3,'Datos - Objetivos de países'!$K$5:$K$510,$A64)</f>
        <v>0</v>
      </c>
      <c r="AA64" s="36" cm="1">
        <f t="array" ref="AA64">_xlfn.COUNTIFS('Datos - Objetivos de países'!$B$5:$B$510,"Uruguay",'Datos - Objetivos de países'!$F$5:$F$510,AA$3,'Datos - Objetivos de países'!$J$5:$J$510,$A64)+_xlfn.COUNTIFS('Datos - Objetivos de países'!$B$5:$B$510,"Uruguay",'Datos - Objetivos de países'!$F$5:$F$510,AA$3,'Datos - Objetivos de países'!$K$5:$K$510,$A64)</f>
        <v>2</v>
      </c>
      <c r="AB64" s="36" cm="1">
        <f t="array" ref="AB64">_xlfn.COUNTIFS('Datos - Objetivos de países'!$B$5:$B$510,"Uruguay",'Datos - Objetivos de países'!$F$5:$F$510,AB$3,'Datos - Objetivos de países'!$J$5:$J$510,$A64)+_xlfn.COUNTIFS('Datos - Objetivos de países'!$B$5:$B$510,"Uruguay",'Datos - Objetivos de países'!$F$5:$F$510,AB$3,'Datos - Objetivos de países'!$K$5:$K$510,$A64)</f>
        <v>2</v>
      </c>
      <c r="AC64" s="36" cm="1">
        <f t="array" ref="AC64">_xlfn.COUNTIFS('Datos - Objetivos de países'!$B$5:$B$510,"Uruguay",'Datos - Objetivos de países'!$F$5:$F$510,AC$3,'Datos - Objetivos de países'!$J$5:$J$510,$A64)+_xlfn.COUNTIFS('Datos - Objetivos de países'!$B$5:$B$510,"Uruguay",'Datos - Objetivos de países'!$F$5:$F$510,AC$3,'Datos - Objetivos de países'!$K$5:$K$510,$A64)</f>
        <v>0</v>
      </c>
      <c r="AD64" s="36" cm="1">
        <f t="array" ref="AD64">_xlfn.COUNTIFS('Datos - Objetivos de países'!$B$5:$B$510,"Uruguay",'Datos - Objetivos de países'!$F$5:$F$510,AD$3,'Datos - Objetivos de países'!$J$5:$J$510,$A64)+_xlfn.COUNTIFS('Datos - Objetivos de países'!$B$5:$B$510,"Uruguay",'Datos - Objetivos de países'!$F$5:$F$510,AD$3,'Datos - Objetivos de países'!$K$5:$K$510,$A64)</f>
        <v>1</v>
      </c>
      <c r="AE64" s="36" cm="1">
        <f t="array" ref="AE64">_xlfn.COUNTIFS('Datos - Objetivos de países'!$B$5:$B$510,"Uruguay",'Datos - Objetivos de países'!$F$5:$F$510,AE$3,'Datos - Objetivos de países'!$J$5:$J$510,$A64)+_xlfn.COUNTIFS('Datos - Objetivos de países'!$B$5:$B$510,"Uruguay",'Datos - Objetivos de países'!$F$5:$F$510,AE$3,'Datos - Objetivos de países'!$K$5:$K$510,$A64)</f>
        <v>1</v>
      </c>
      <c r="AF64" s="36" cm="1">
        <f t="array" ref="AF64">_xlfn.COUNTIFS('Datos - Objetivos de países'!$B$5:$B$510,"Colombia",'Datos - Objetivos de países'!$F$5:$F$510,AF$3,'Datos - Objetivos de países'!$J$5:$J$510,$A64)+_xlfn.COUNTIFS('Datos - Objetivos de países'!$B$5:$B$510,"Colombia",'Datos - Objetivos de países'!$F$5:$F$510,AF$3,'Datos - Objetivos de países'!$K$5:$K$510,$A64)</f>
        <v>0</v>
      </c>
      <c r="AG64" s="36" cm="1">
        <f t="array" ref="AG64">_xlfn.COUNTIFS('Datos - Objetivos de países'!$B$5:$B$510,"Colombia",'Datos - Objetivos de países'!$F$5:$F$510,AG$3,'Datos - Objetivos de países'!$J$5:$J$510,$A64)+_xlfn.COUNTIFS('Datos - Objetivos de países'!$B$5:$B$510,"Colombia",'Datos - Objetivos de países'!$F$5:$F$510,AG$3,'Datos - Objetivos de países'!$K$5:$K$510,$A64)</f>
        <v>0</v>
      </c>
      <c r="AH64" s="36" cm="1">
        <f t="array" ref="AH64">_xlfn.COUNTIFS('Datos - Objetivos de países'!$B$5:$B$510,"Colombia",'Datos - Objetivos de países'!$F$5:$F$510,AH$3,'Datos - Objetivos de países'!$J$5:$J$510,$A64)+_xlfn.COUNTIFS('Datos - Objetivos de países'!$B$5:$B$510,"Colombia",'Datos - Objetivos de países'!$F$5:$F$510,AH$3,'Datos - Objetivos de países'!$K$5:$K$510,$A64)</f>
        <v>0</v>
      </c>
      <c r="AI64" s="36" cm="1">
        <f t="array" ref="AI64">_xlfn.COUNTIFS('Datos - Objetivos de países'!$B$5:$B$510,"Colombia",'Datos - Objetivos de países'!$F$5:$F$510,AI$3,'Datos - Objetivos de países'!$J$5:$J$510,$A64)+_xlfn.COUNTIFS('Datos - Objetivos de países'!$B$5:$B$510,"Colombia",'Datos - Objetivos de países'!$F$5:$F$510,AI$3,'Datos - Objetivos de países'!$K$5:$K$510,$A64)</f>
        <v>0</v>
      </c>
      <c r="AJ64" s="36" cm="1">
        <f t="array" ref="AJ64">_xlfn.COUNTIFS('Datos - Objetivos de países'!$B$5:$B$510,"Colombia",'Datos - Objetivos de países'!$F$5:$F$510,AJ$3,'Datos - Objetivos de países'!$J$5:$J$510,$A64)+_xlfn.COUNTIFS('Datos - Objetivos de países'!$B$5:$B$510,"Colombia",'Datos - Objetivos de países'!$F$5:$F$510,AJ$3,'Datos - Objetivos de países'!$K$5:$K$510,$A64)</f>
        <v>1</v>
      </c>
      <c r="AK64" s="36" cm="1">
        <f t="array" ref="AK64">_xlfn.COUNTIFS('Datos - Objetivos de países'!$B$5:$B$510,"Colombia",'Datos - Objetivos de países'!$F$5:$F$510,AK$3,'Datos - Objetivos de países'!$J$5:$J$510,$A64)+_xlfn.COUNTIFS('Datos - Objetivos de países'!$B$5:$B$510,"Colombia",'Datos - Objetivos de países'!$F$5:$F$510,AK$3,'Datos - Objetivos de países'!$K$5:$K$510,$A64)</f>
        <v>1</v>
      </c>
      <c r="AL64" s="36" cm="1">
        <f t="array" ref="AL64">_xlfn.COUNTIFS('Datos - Objetivos de países'!$B$5:$B$510,"Colombia",'Datos - Objetivos de países'!$F$5:$F$510,AL$3,'Datos - Objetivos de países'!$J$5:$J$510,$A64)+_xlfn.COUNTIFS('Datos - Objetivos de países'!$B$5:$B$510,"Colombia",'Datos - Objetivos de países'!$F$5:$F$510,AL$3,'Datos - Objetivos de países'!$K$5:$K$510,$A64)</f>
        <v>1</v>
      </c>
      <c r="AM64" s="36" cm="1">
        <f t="array" ref="AM64">_xlfn.COUNTIFS('Datos - Objetivos de países'!$B$5:$B$510,"Colombia",'Datos - Objetivos de países'!$F$5:$F$510,AM$3,'Datos - Objetivos de países'!$J$5:$J$510,$A64)+_xlfn.COUNTIFS('Datos - Objetivos de países'!$B$5:$B$510,"Colombia",'Datos - Objetivos de países'!$F$5:$F$510,AM$3,'Datos - Objetivos de países'!$K$5:$K$510,$A64)</f>
        <v>4</v>
      </c>
      <c r="AN64" s="36" cm="1">
        <f t="array" ref="AN64">_xlfn.COUNTIFS('Datos - Objetivos de países'!$B$5:$B$510,"Colombia",'Datos - Objetivos de países'!$F$5:$F$510,AN$3,'Datos - Objetivos de países'!$J$5:$J$510,$A64)+_xlfn.COUNTIFS('Datos - Objetivos de países'!$B$5:$B$510,"Colombia",'Datos - Objetivos de países'!$F$5:$F$510,AN$3,'Datos - Objetivos de países'!$K$5:$K$510,$A64)</f>
        <v>0</v>
      </c>
      <c r="AO64" s="36" cm="1">
        <f t="array" ref="AO64">_xlfn.COUNTIFS('Datos - Objetivos de países'!$B$5:$B$510,"Singapur",'Datos - Objetivos de países'!$F$5:$F$510,AO$3,'Datos - Objetivos de países'!$J$5:$J$510,$A64)+_xlfn.COUNTIFS('Datos - Objetivos de países'!$B$5:$B$510,"Singapur",'Datos - Objetivos de países'!$F$5:$F$510,AO$3,'Datos - Objetivos de países'!$K$5:$K$510,$A64)</f>
        <v>0</v>
      </c>
      <c r="AP64" s="36" cm="1">
        <f t="array" ref="AP64">_xlfn.COUNTIFS('Datos - Objetivos de países'!$B$5:$B$510,"Singapur",'Datos - Objetivos de países'!$F$5:$F$510,AP$3,'Datos - Objetivos de países'!$J$5:$J$510,$A64)+_xlfn.COUNTIFS('Datos - Objetivos de países'!$B$5:$B$510,"Singapur",'Datos - Objetivos de países'!$F$5:$F$510,AP$3,'Datos - Objetivos de países'!$K$5:$K$510,$A64)</f>
        <v>0</v>
      </c>
      <c r="AQ64" s="36" cm="1">
        <f t="array" ref="AQ64">_xlfn.COUNTIFS('Datos - Objetivos de países'!$B$5:$B$510,"Singapur",'Datos - Objetivos de países'!$F$5:$F$510,AQ$3,'Datos - Objetivos de países'!$J$5:$J$510,$A64)+_xlfn.COUNTIFS('Datos - Objetivos de países'!$B$5:$B$510,"Singapur",'Datos - Objetivos de países'!$F$5:$F$510,AQ$3,'Datos - Objetivos de países'!$K$5:$K$510,$A64)</f>
        <v>0</v>
      </c>
      <c r="AR64" s="36" cm="1">
        <f t="array" ref="AR64">_xlfn.COUNTIFS('Datos - Objetivos de países'!$B$5:$B$510,"Singapur",'Datos - Objetivos de países'!$F$5:$F$510,AR$3,'Datos - Objetivos de países'!$J$5:$J$510,$A64)+_xlfn.COUNTIFS('Datos - Objetivos de países'!$B$5:$B$510,"Singapur",'Datos - Objetivos de países'!$F$5:$F$510,AR$3,'Datos - Objetivos de países'!$K$5:$K$510,$A64)</f>
        <v>0</v>
      </c>
      <c r="AS64" s="36" cm="1">
        <f t="array" ref="AS64">_xlfn.COUNTIFS('Datos - Objetivos de países'!$B$5:$B$510,"Singapur",'Datos - Objetivos de países'!$F$5:$F$510,AS$3,'Datos - Objetivos de países'!$J$5:$J$510,$A64)+_xlfn.COUNTIFS('Datos - Objetivos de países'!$B$5:$B$510,"Singapur",'Datos - Objetivos de países'!$F$5:$F$510,AS$3,'Datos - Objetivos de países'!$K$5:$K$510,$A64)</f>
        <v>0</v>
      </c>
      <c r="AT64" s="36" cm="1">
        <f t="array" ref="AT64">_xlfn.COUNTIFS('Datos - Objetivos de países'!$B$5:$B$510,"Singapur",'Datos - Objetivos de países'!$F$5:$F$510,AT$3,'Datos - Objetivos de países'!$J$5:$J$510,$A64)+_xlfn.COUNTIFS('Datos - Objetivos de países'!$B$5:$B$510,"Singapur",'Datos - Objetivos de países'!$F$5:$F$510,AT$3,'Datos - Objetivos de países'!$K$5:$K$510,$A64)</f>
        <v>4</v>
      </c>
      <c r="AU64" s="36" cm="1">
        <f t="array" ref="AU64">_xlfn.COUNTIFS('Datos - Objetivos de países'!$B$5:$B$510,"Singapur",'Datos - Objetivos de países'!$F$5:$F$510,AU$3,'Datos - Objetivos de países'!$J$5:$J$510,$A64)+_xlfn.COUNTIFS('Datos - Objetivos de países'!$B$5:$B$510,"Singapur",'Datos - Objetivos de países'!$F$5:$F$510,AU$3,'Datos - Objetivos de países'!$K$5:$K$510,$A64)</f>
        <v>0</v>
      </c>
      <c r="AV64" s="36" cm="1">
        <f t="array" ref="AV64">_xlfn.COUNTIFS('Datos - Objetivos de países'!$B$5:$B$510,"Singapur",'Datos - Objetivos de países'!$F$5:$F$510,AV$3,'Datos - Objetivos de países'!$J$5:$J$510,$A64)+_xlfn.COUNTIFS('Datos - Objetivos de países'!$B$5:$B$510,"Singapur",'Datos - Objetivos de países'!$F$5:$F$510,AV$3,'Datos - Objetivos de países'!$K$5:$K$510,$A64)</f>
        <v>0</v>
      </c>
      <c r="AW64" s="36" cm="1">
        <f t="array" ref="AW64">_xlfn.COUNTIFS('Datos - Objetivos de países'!$B$5:$B$510,"Singapur",'Datos - Objetivos de países'!$F$5:$F$510,AW$3,'Datos - Objetivos de países'!$J$5:$J$510,$A64)+_xlfn.COUNTIFS('Datos - Objetivos de países'!$B$5:$B$510,"Singapur",'Datos - Objetivos de países'!$F$5:$F$510,AW$3,'Datos - Objetivos de países'!$K$5:$K$510,$A64)</f>
        <v>0</v>
      </c>
    </row>
    <row r="65" ht="13.65" customHeight="1">
      <c r="A65" t="s" s="78">
        <v>1247</v>
      </c>
      <c r="B65" t="s" s="78">
        <v>1164</v>
      </c>
      <c r="C65" t="s" s="78">
        <v>222</v>
      </c>
      <c r="D65" t="s" s="78">
        <v>1248</v>
      </c>
      <c r="E65" s="80" cm="1">
        <f t="array" ref="E65">_xlfn.IFERROR(MAX($L$3,INDEX($N$3:$V$3,MATCH(TRUE,INDEX(N65:V65&gt;0,0),0))),"—")</f>
        <v>6</v>
      </c>
      <c r="F65" s="80" cm="1">
        <f t="array" ref="F65">_xlfn.IFERROR(MAX($L$3,INDEX($W$3:$AE$3,MATCH(TRUE,INDEX(W65:AE65&gt;0,0),0))),"—")</f>
        <v>5</v>
      </c>
      <c r="G65" s="80" cm="1">
        <f t="array" ref="G65">_xlfn.IFERROR(MAX($L$3,INDEX($AF$3:$AN$3,MATCH(TRUE,INDEX(AF65:AN65&gt;0,0),0))),"—")</f>
        <v>8</v>
      </c>
      <c r="H65" t="str" s="79" cm="1">
        <f t="array" ref="H65">_xlfn.IFERROR(MAX($L$3,INDEX($AO$3:$AW$3,MATCH(TRUE,INDEX(AO65:AW65&gt;0,0),0))),"—")</f>
        <v>—</v>
      </c>
      <c r="I65" s="111" cm="1">
        <f t="array" ref="I65">IF(L65=0,"—",MEDIAN(F65:H65))</f>
        <v>6.5</v>
      </c>
      <c r="J65" s="111" cm="1">
        <f t="array" ref="J65">IF(OR(E65="—",I65="—"),"—",E65-I65)</f>
        <v>-0.5</v>
      </c>
      <c r="K65" t="str" s="49" cm="1">
        <f t="array" ref="K65">IF(E65="—",IF(L65=0,"Nadie lo trabaja","El Salvador no llega"),IF(L65=0,"Solo El Salvador",IF(J65&gt;0,"El Salvador llega más tarde",IF(J65&lt;0,"El Salvador va adelantado","Mismo grado"))))</f>
        <v>El Salvador va adelantado</v>
      </c>
      <c r="L65" s="80" cm="1">
        <f t="array" ref="L65">COUNT(F65:H65)</f>
        <v>2</v>
      </c>
      <c r="M65" s="110"/>
      <c r="N65" s="36" cm="1">
        <f t="array" ref="N65">_xlfn.COUNTIFS('Datos - Temas'!$C$5:$C$1264,"Ciencias",'Datos - Temas'!$B$5:$B$1264,N$3,'Datos - Temas'!$K$5:$K$1264,$A65)+_xlfn.COUNTIFS('Datos - Temas'!$C$5:$C$1264,"Ciencias",'Datos - Temas'!$B$5:$B$1264,N$3,'Datos - Temas'!$L$5:$L$1264,$A65)</f>
        <v>0</v>
      </c>
      <c r="O65" s="36" cm="1">
        <f t="array" ref="O65">_xlfn.COUNTIFS('Datos - Temas'!$C$5:$C$1264,"Ciencias",'Datos - Temas'!$B$5:$B$1264,O$3,'Datos - Temas'!$K$5:$K$1264,$A65)+_xlfn.COUNTIFS('Datos - Temas'!$C$5:$C$1264,"Ciencias",'Datos - Temas'!$B$5:$B$1264,O$3,'Datos - Temas'!$L$5:$L$1264,$A65)</f>
        <v>0</v>
      </c>
      <c r="P65" s="36" cm="1">
        <f t="array" ref="P65">_xlfn.COUNTIFS('Datos - Temas'!$C$5:$C$1264,"Ciencias",'Datos - Temas'!$B$5:$B$1264,P$3,'Datos - Temas'!$K$5:$K$1264,$A65)+_xlfn.COUNTIFS('Datos - Temas'!$C$5:$C$1264,"Ciencias",'Datos - Temas'!$B$5:$B$1264,P$3,'Datos - Temas'!$L$5:$L$1264,$A65)</f>
        <v>0</v>
      </c>
      <c r="Q65" s="36" cm="1">
        <f t="array" ref="Q65">_xlfn.COUNTIFS('Datos - Temas'!$C$5:$C$1264,"Ciencias",'Datos - Temas'!$B$5:$B$1264,Q$3,'Datos - Temas'!$K$5:$K$1264,$A65)+_xlfn.COUNTIFS('Datos - Temas'!$C$5:$C$1264,"Ciencias",'Datos - Temas'!$B$5:$B$1264,Q$3,'Datos - Temas'!$L$5:$L$1264,$A65)</f>
        <v>0</v>
      </c>
      <c r="R65" s="36" cm="1">
        <f t="array" ref="R65">_xlfn.COUNTIFS('Datos - Temas'!$C$5:$C$1264,"Ciencias",'Datos - Temas'!$B$5:$B$1264,R$3,'Datos - Temas'!$K$5:$K$1264,$A65)+_xlfn.COUNTIFS('Datos - Temas'!$C$5:$C$1264,"Ciencias",'Datos - Temas'!$B$5:$B$1264,R$3,'Datos - Temas'!$L$5:$L$1264,$A65)</f>
        <v>0</v>
      </c>
      <c r="S65" s="36" cm="1">
        <f t="array" ref="S65">_xlfn.COUNTIFS('Datos - Temas'!$C$5:$C$1264,"Ciencias",'Datos - Temas'!$B$5:$B$1264,S$3,'Datos - Temas'!$K$5:$K$1264,$A65)+_xlfn.COUNTIFS('Datos - Temas'!$C$5:$C$1264,"Ciencias",'Datos - Temas'!$B$5:$B$1264,S$3,'Datos - Temas'!$L$5:$L$1264,$A65)</f>
        <v>2</v>
      </c>
      <c r="T65" s="36" cm="1">
        <f t="array" ref="T65">_xlfn.COUNTIFS('Datos - Temas'!$C$5:$C$1264,"Ciencias",'Datos - Temas'!$B$5:$B$1264,T$3,'Datos - Temas'!$K$5:$K$1264,$A65)+_xlfn.COUNTIFS('Datos - Temas'!$C$5:$C$1264,"Ciencias",'Datos - Temas'!$B$5:$B$1264,T$3,'Datos - Temas'!$L$5:$L$1264,$A65)</f>
        <v>0</v>
      </c>
      <c r="U65" s="36" cm="1">
        <f t="array" ref="U65">_xlfn.COUNTIFS('Datos - Temas'!$C$5:$C$1264,"Ciencias",'Datos - Temas'!$B$5:$B$1264,U$3,'Datos - Temas'!$K$5:$K$1264,$A65)+_xlfn.COUNTIFS('Datos - Temas'!$C$5:$C$1264,"Ciencias",'Datos - Temas'!$B$5:$B$1264,U$3,'Datos - Temas'!$L$5:$L$1264,$A65)</f>
        <v>0</v>
      </c>
      <c r="V65" s="36" cm="1">
        <f t="array" ref="V65">_xlfn.COUNTIFS('Datos - Temas'!$C$5:$C$1264,"Ciencias",'Datos - Temas'!$B$5:$B$1264,V$3,'Datos - Temas'!$K$5:$K$1264,$A65)+_xlfn.COUNTIFS('Datos - Temas'!$C$5:$C$1264,"Ciencias",'Datos - Temas'!$B$5:$B$1264,V$3,'Datos - Temas'!$L$5:$L$1264,$A65)</f>
        <v>4</v>
      </c>
      <c r="W65" s="36" cm="1">
        <f t="array" ref="W65">_xlfn.COUNTIFS('Datos - Objetivos de países'!$B$5:$B$510,"Uruguay",'Datos - Objetivos de países'!$F$5:$F$510,W$3,'Datos - Objetivos de países'!$J$5:$J$510,$A65)+_xlfn.COUNTIFS('Datos - Objetivos de países'!$B$5:$B$510,"Uruguay",'Datos - Objetivos de países'!$F$5:$F$510,W$3,'Datos - Objetivos de países'!$K$5:$K$510,$A65)</f>
        <v>0</v>
      </c>
      <c r="X65" s="36" cm="1">
        <f t="array" ref="X65">_xlfn.COUNTIFS('Datos - Objetivos de países'!$B$5:$B$510,"Uruguay",'Datos - Objetivos de países'!$F$5:$F$510,X$3,'Datos - Objetivos de países'!$J$5:$J$510,$A65)+_xlfn.COUNTIFS('Datos - Objetivos de países'!$B$5:$B$510,"Uruguay",'Datos - Objetivos de países'!$F$5:$F$510,X$3,'Datos - Objetivos de países'!$K$5:$K$510,$A65)</f>
        <v>0</v>
      </c>
      <c r="Y65" s="36" cm="1">
        <f t="array" ref="Y65">_xlfn.COUNTIFS('Datos - Objetivos de países'!$B$5:$B$510,"Uruguay",'Datos - Objetivos de países'!$F$5:$F$510,Y$3,'Datos - Objetivos de países'!$J$5:$J$510,$A65)+_xlfn.COUNTIFS('Datos - Objetivos de países'!$B$5:$B$510,"Uruguay",'Datos - Objetivos de países'!$F$5:$F$510,Y$3,'Datos - Objetivos de países'!$K$5:$K$510,$A65)</f>
        <v>0</v>
      </c>
      <c r="Z65" s="36" cm="1">
        <f t="array" ref="Z65">_xlfn.COUNTIFS('Datos - Objetivos de países'!$B$5:$B$510,"Uruguay",'Datos - Objetivos de países'!$F$5:$F$510,Z$3,'Datos - Objetivos de países'!$J$5:$J$510,$A65)+_xlfn.COUNTIFS('Datos - Objetivos de países'!$B$5:$B$510,"Uruguay",'Datos - Objetivos de países'!$F$5:$F$510,Z$3,'Datos - Objetivos de países'!$K$5:$K$510,$A65)</f>
        <v>0</v>
      </c>
      <c r="AA65" s="36" cm="1">
        <f t="array" ref="AA65">_xlfn.COUNTIFS('Datos - Objetivos de países'!$B$5:$B$510,"Uruguay",'Datos - Objetivos de países'!$F$5:$F$510,AA$3,'Datos - Objetivos de países'!$J$5:$J$510,$A65)+_xlfn.COUNTIFS('Datos - Objetivos de países'!$B$5:$B$510,"Uruguay",'Datos - Objetivos de países'!$F$5:$F$510,AA$3,'Datos - Objetivos de países'!$K$5:$K$510,$A65)</f>
        <v>2</v>
      </c>
      <c r="AB65" s="36" cm="1">
        <f t="array" ref="AB65">_xlfn.COUNTIFS('Datos - Objetivos de países'!$B$5:$B$510,"Uruguay",'Datos - Objetivos de países'!$F$5:$F$510,AB$3,'Datos - Objetivos de países'!$J$5:$J$510,$A65)+_xlfn.COUNTIFS('Datos - Objetivos de países'!$B$5:$B$510,"Uruguay",'Datos - Objetivos de países'!$F$5:$F$510,AB$3,'Datos - Objetivos de países'!$K$5:$K$510,$A65)</f>
        <v>0</v>
      </c>
      <c r="AC65" s="36" cm="1">
        <f t="array" ref="AC65">_xlfn.COUNTIFS('Datos - Objetivos de países'!$B$5:$B$510,"Uruguay",'Datos - Objetivos de países'!$F$5:$F$510,AC$3,'Datos - Objetivos de países'!$J$5:$J$510,$A65)+_xlfn.COUNTIFS('Datos - Objetivos de países'!$B$5:$B$510,"Uruguay",'Datos - Objetivos de países'!$F$5:$F$510,AC$3,'Datos - Objetivos de países'!$K$5:$K$510,$A65)</f>
        <v>0</v>
      </c>
      <c r="AD65" s="36" cm="1">
        <f t="array" ref="AD65">_xlfn.COUNTIFS('Datos - Objetivos de países'!$B$5:$B$510,"Uruguay",'Datos - Objetivos de países'!$F$5:$F$510,AD$3,'Datos - Objetivos de países'!$J$5:$J$510,$A65)+_xlfn.COUNTIFS('Datos - Objetivos de países'!$B$5:$B$510,"Uruguay",'Datos - Objetivos de países'!$F$5:$F$510,AD$3,'Datos - Objetivos de países'!$K$5:$K$510,$A65)</f>
        <v>1</v>
      </c>
      <c r="AE65" s="36" cm="1">
        <f t="array" ref="AE65">_xlfn.COUNTIFS('Datos - Objetivos de países'!$B$5:$B$510,"Uruguay",'Datos - Objetivos de países'!$F$5:$F$510,AE$3,'Datos - Objetivos de países'!$J$5:$J$510,$A65)+_xlfn.COUNTIFS('Datos - Objetivos de países'!$B$5:$B$510,"Uruguay",'Datos - Objetivos de países'!$F$5:$F$510,AE$3,'Datos - Objetivos de países'!$K$5:$K$510,$A65)</f>
        <v>0</v>
      </c>
      <c r="AF65" s="36" cm="1">
        <f t="array" ref="AF65">_xlfn.COUNTIFS('Datos - Objetivos de países'!$B$5:$B$510,"Colombia",'Datos - Objetivos de países'!$F$5:$F$510,AF$3,'Datos - Objetivos de países'!$J$5:$J$510,$A65)+_xlfn.COUNTIFS('Datos - Objetivos de países'!$B$5:$B$510,"Colombia",'Datos - Objetivos de países'!$F$5:$F$510,AF$3,'Datos - Objetivos de países'!$K$5:$K$510,$A65)</f>
        <v>0</v>
      </c>
      <c r="AG65" s="36" cm="1">
        <f t="array" ref="AG65">_xlfn.COUNTIFS('Datos - Objetivos de países'!$B$5:$B$510,"Colombia",'Datos - Objetivos de países'!$F$5:$F$510,AG$3,'Datos - Objetivos de países'!$J$5:$J$510,$A65)+_xlfn.COUNTIFS('Datos - Objetivos de países'!$B$5:$B$510,"Colombia",'Datos - Objetivos de países'!$F$5:$F$510,AG$3,'Datos - Objetivos de países'!$K$5:$K$510,$A65)</f>
        <v>0</v>
      </c>
      <c r="AH65" s="36" cm="1">
        <f t="array" ref="AH65">_xlfn.COUNTIFS('Datos - Objetivos de países'!$B$5:$B$510,"Colombia",'Datos - Objetivos de países'!$F$5:$F$510,AH$3,'Datos - Objetivos de países'!$J$5:$J$510,$A65)+_xlfn.COUNTIFS('Datos - Objetivos de países'!$B$5:$B$510,"Colombia",'Datos - Objetivos de países'!$F$5:$F$510,AH$3,'Datos - Objetivos de países'!$K$5:$K$510,$A65)</f>
        <v>0</v>
      </c>
      <c r="AI65" s="36" cm="1">
        <f t="array" ref="AI65">_xlfn.COUNTIFS('Datos - Objetivos de países'!$B$5:$B$510,"Colombia",'Datos - Objetivos de países'!$F$5:$F$510,AI$3,'Datos - Objetivos de países'!$J$5:$J$510,$A65)+_xlfn.COUNTIFS('Datos - Objetivos de países'!$B$5:$B$510,"Colombia",'Datos - Objetivos de países'!$F$5:$F$510,AI$3,'Datos - Objetivos de países'!$K$5:$K$510,$A65)</f>
        <v>0</v>
      </c>
      <c r="AJ65" s="36" cm="1">
        <f t="array" ref="AJ65">_xlfn.COUNTIFS('Datos - Objetivos de países'!$B$5:$B$510,"Colombia",'Datos - Objetivos de países'!$F$5:$F$510,AJ$3,'Datos - Objetivos de países'!$J$5:$J$510,$A65)+_xlfn.COUNTIFS('Datos - Objetivos de países'!$B$5:$B$510,"Colombia",'Datos - Objetivos de países'!$F$5:$F$510,AJ$3,'Datos - Objetivos de países'!$K$5:$K$510,$A65)</f>
        <v>0</v>
      </c>
      <c r="AK65" s="36" cm="1">
        <f t="array" ref="AK65">_xlfn.COUNTIFS('Datos - Objetivos de países'!$B$5:$B$510,"Colombia",'Datos - Objetivos de países'!$F$5:$F$510,AK$3,'Datos - Objetivos de países'!$J$5:$J$510,$A65)+_xlfn.COUNTIFS('Datos - Objetivos de países'!$B$5:$B$510,"Colombia",'Datos - Objetivos de países'!$F$5:$F$510,AK$3,'Datos - Objetivos de países'!$K$5:$K$510,$A65)</f>
        <v>0</v>
      </c>
      <c r="AL65" s="36" cm="1">
        <f t="array" ref="AL65">_xlfn.COUNTIFS('Datos - Objetivos de países'!$B$5:$B$510,"Colombia",'Datos - Objetivos de países'!$F$5:$F$510,AL$3,'Datos - Objetivos de países'!$J$5:$J$510,$A65)+_xlfn.COUNTIFS('Datos - Objetivos de países'!$B$5:$B$510,"Colombia",'Datos - Objetivos de países'!$F$5:$F$510,AL$3,'Datos - Objetivos de países'!$K$5:$K$510,$A65)</f>
        <v>0</v>
      </c>
      <c r="AM65" s="36" cm="1">
        <f t="array" ref="AM65">_xlfn.COUNTIFS('Datos - Objetivos de países'!$B$5:$B$510,"Colombia",'Datos - Objetivos de países'!$F$5:$F$510,AM$3,'Datos - Objetivos de países'!$J$5:$J$510,$A65)+_xlfn.COUNTIFS('Datos - Objetivos de países'!$B$5:$B$510,"Colombia",'Datos - Objetivos de países'!$F$5:$F$510,AM$3,'Datos - Objetivos de países'!$K$5:$K$510,$A65)</f>
        <v>4</v>
      </c>
      <c r="AN65" s="36" cm="1">
        <f t="array" ref="AN65">_xlfn.COUNTIFS('Datos - Objetivos de países'!$B$5:$B$510,"Colombia",'Datos - Objetivos de países'!$F$5:$F$510,AN$3,'Datos - Objetivos de países'!$J$5:$J$510,$A65)+_xlfn.COUNTIFS('Datos - Objetivos de países'!$B$5:$B$510,"Colombia",'Datos - Objetivos de países'!$F$5:$F$510,AN$3,'Datos - Objetivos de países'!$K$5:$K$510,$A65)</f>
        <v>0</v>
      </c>
      <c r="AO65" s="36" cm="1">
        <f t="array" ref="AO65">_xlfn.COUNTIFS('Datos - Objetivos de países'!$B$5:$B$510,"Singapur",'Datos - Objetivos de países'!$F$5:$F$510,AO$3,'Datos - Objetivos de países'!$J$5:$J$510,$A65)+_xlfn.COUNTIFS('Datos - Objetivos de países'!$B$5:$B$510,"Singapur",'Datos - Objetivos de países'!$F$5:$F$510,AO$3,'Datos - Objetivos de países'!$K$5:$K$510,$A65)</f>
        <v>0</v>
      </c>
      <c r="AP65" s="36" cm="1">
        <f t="array" ref="AP65">_xlfn.COUNTIFS('Datos - Objetivos de países'!$B$5:$B$510,"Singapur",'Datos - Objetivos de países'!$F$5:$F$510,AP$3,'Datos - Objetivos de países'!$J$5:$J$510,$A65)+_xlfn.COUNTIFS('Datos - Objetivos de países'!$B$5:$B$510,"Singapur",'Datos - Objetivos de países'!$F$5:$F$510,AP$3,'Datos - Objetivos de países'!$K$5:$K$510,$A65)</f>
        <v>0</v>
      </c>
      <c r="AQ65" s="36" cm="1">
        <f t="array" ref="AQ65">_xlfn.COUNTIFS('Datos - Objetivos de países'!$B$5:$B$510,"Singapur",'Datos - Objetivos de países'!$F$5:$F$510,AQ$3,'Datos - Objetivos de países'!$J$5:$J$510,$A65)+_xlfn.COUNTIFS('Datos - Objetivos de países'!$B$5:$B$510,"Singapur",'Datos - Objetivos de países'!$F$5:$F$510,AQ$3,'Datos - Objetivos de países'!$K$5:$K$510,$A65)</f>
        <v>0</v>
      </c>
      <c r="AR65" s="36" cm="1">
        <f t="array" ref="AR65">_xlfn.COUNTIFS('Datos - Objetivos de países'!$B$5:$B$510,"Singapur",'Datos - Objetivos de países'!$F$5:$F$510,AR$3,'Datos - Objetivos de países'!$J$5:$J$510,$A65)+_xlfn.COUNTIFS('Datos - Objetivos de países'!$B$5:$B$510,"Singapur",'Datos - Objetivos de países'!$F$5:$F$510,AR$3,'Datos - Objetivos de países'!$K$5:$K$510,$A65)</f>
        <v>0</v>
      </c>
      <c r="AS65" s="36" cm="1">
        <f t="array" ref="AS65">_xlfn.COUNTIFS('Datos - Objetivos de países'!$B$5:$B$510,"Singapur",'Datos - Objetivos de países'!$F$5:$F$510,AS$3,'Datos - Objetivos de países'!$J$5:$J$510,$A65)+_xlfn.COUNTIFS('Datos - Objetivos de países'!$B$5:$B$510,"Singapur",'Datos - Objetivos de países'!$F$5:$F$510,AS$3,'Datos - Objetivos de países'!$K$5:$K$510,$A65)</f>
        <v>0</v>
      </c>
      <c r="AT65" s="36" cm="1">
        <f t="array" ref="AT65">_xlfn.COUNTIFS('Datos - Objetivos de países'!$B$5:$B$510,"Singapur",'Datos - Objetivos de países'!$F$5:$F$510,AT$3,'Datos - Objetivos de países'!$J$5:$J$510,$A65)+_xlfn.COUNTIFS('Datos - Objetivos de países'!$B$5:$B$510,"Singapur",'Datos - Objetivos de países'!$F$5:$F$510,AT$3,'Datos - Objetivos de países'!$K$5:$K$510,$A65)</f>
        <v>0</v>
      </c>
      <c r="AU65" s="36" cm="1">
        <f t="array" ref="AU65">_xlfn.COUNTIFS('Datos - Objetivos de países'!$B$5:$B$510,"Singapur",'Datos - Objetivos de países'!$F$5:$F$510,AU$3,'Datos - Objetivos de países'!$J$5:$J$510,$A65)+_xlfn.COUNTIFS('Datos - Objetivos de países'!$B$5:$B$510,"Singapur",'Datos - Objetivos de países'!$F$5:$F$510,AU$3,'Datos - Objetivos de países'!$K$5:$K$510,$A65)</f>
        <v>0</v>
      </c>
      <c r="AV65" s="36" cm="1">
        <f t="array" ref="AV65">_xlfn.COUNTIFS('Datos - Objetivos de países'!$B$5:$B$510,"Singapur",'Datos - Objetivos de países'!$F$5:$F$510,AV$3,'Datos - Objetivos de países'!$J$5:$J$510,$A65)+_xlfn.COUNTIFS('Datos - Objetivos de países'!$B$5:$B$510,"Singapur",'Datos - Objetivos de países'!$F$5:$F$510,AV$3,'Datos - Objetivos de países'!$K$5:$K$510,$A65)</f>
        <v>0</v>
      </c>
      <c r="AW65" s="36" cm="1">
        <f t="array" ref="AW65">_xlfn.COUNTIFS('Datos - Objetivos de países'!$B$5:$B$510,"Singapur",'Datos - Objetivos de países'!$F$5:$F$510,AW$3,'Datos - Objetivos de países'!$J$5:$J$510,$A65)+_xlfn.COUNTIFS('Datos - Objetivos de países'!$B$5:$B$510,"Singapur",'Datos - Objetivos de países'!$F$5:$F$510,AW$3,'Datos - Objetivos de países'!$K$5:$K$510,$A65)</f>
        <v>0</v>
      </c>
    </row>
    <row r="66" ht="13.65" customHeight="1">
      <c r="A66" t="s" s="78">
        <v>1250</v>
      </c>
      <c r="B66" t="s" s="78">
        <v>1164</v>
      </c>
      <c r="C66" t="s" s="78">
        <v>222</v>
      </c>
      <c r="D66" t="s" s="78">
        <v>1251</v>
      </c>
      <c r="E66" t="str" s="79" cm="1">
        <f t="array" ref="E66">_xlfn.IFERROR(MAX($L$3,INDEX($N$3:$V$3,MATCH(TRUE,INDEX(N66:V66&gt;0,0),0))),"—")</f>
        <v>—</v>
      </c>
      <c r="F66" s="80" cm="1">
        <f t="array" ref="F66">_xlfn.IFERROR(MAX($L$3,INDEX($W$3:$AE$3,MATCH(TRUE,INDEX(W66:AE66&gt;0,0),0))),"—")</f>
        <v>5</v>
      </c>
      <c r="G66" s="80" cm="1">
        <f t="array" ref="G66">_xlfn.IFERROR(MAX($L$3,INDEX($AF$3:$AN$3,MATCH(TRUE,INDEX(AF66:AN66&gt;0,0),0))),"—")</f>
        <v>8</v>
      </c>
      <c r="H66" t="str" s="79" cm="1">
        <f t="array" ref="H66">_xlfn.IFERROR(MAX($L$3,INDEX($AO$3:$AW$3,MATCH(TRUE,INDEX(AO66:AW66&gt;0,0),0))),"—")</f>
        <v>—</v>
      </c>
      <c r="I66" s="111" cm="1">
        <f t="array" ref="I66">IF(L66=0,"—",MEDIAN(F66:H66))</f>
        <v>6.5</v>
      </c>
      <c r="J66" t="str" s="79" cm="1">
        <f t="array" ref="J66">IF(OR(E66="—",I66="—"),"—",E66-I66)</f>
        <v>—</v>
      </c>
      <c r="K66" t="str" s="49" cm="1">
        <f t="array" ref="K66">IF(E66="—",IF(L66=0,"Nadie lo trabaja","El Salvador no llega"),IF(L66=0,"Solo El Salvador",IF(J66&gt;0,"El Salvador llega más tarde",IF(J66&lt;0,"El Salvador va adelantado","Mismo grado"))))</f>
        <v>El Salvador no llega</v>
      </c>
      <c r="L66" s="80" cm="1">
        <f t="array" ref="L66">COUNT(F66:H66)</f>
        <v>2</v>
      </c>
      <c r="M66" s="110"/>
      <c r="N66" s="36" cm="1">
        <f t="array" ref="N66">_xlfn.COUNTIFS('Datos - Temas'!$C$5:$C$1264,"Ciencias",'Datos - Temas'!$B$5:$B$1264,N$3,'Datos - Temas'!$K$5:$K$1264,$A66)+_xlfn.COUNTIFS('Datos - Temas'!$C$5:$C$1264,"Ciencias",'Datos - Temas'!$B$5:$B$1264,N$3,'Datos - Temas'!$L$5:$L$1264,$A66)</f>
        <v>0</v>
      </c>
      <c r="O66" s="36" cm="1">
        <f t="array" ref="O66">_xlfn.COUNTIFS('Datos - Temas'!$C$5:$C$1264,"Ciencias",'Datos - Temas'!$B$5:$B$1264,O$3,'Datos - Temas'!$K$5:$K$1264,$A66)+_xlfn.COUNTIFS('Datos - Temas'!$C$5:$C$1264,"Ciencias",'Datos - Temas'!$B$5:$B$1264,O$3,'Datos - Temas'!$L$5:$L$1264,$A66)</f>
        <v>0</v>
      </c>
      <c r="P66" s="36" cm="1">
        <f t="array" ref="P66">_xlfn.COUNTIFS('Datos - Temas'!$C$5:$C$1264,"Ciencias",'Datos - Temas'!$B$5:$B$1264,P$3,'Datos - Temas'!$K$5:$K$1264,$A66)+_xlfn.COUNTIFS('Datos - Temas'!$C$5:$C$1264,"Ciencias",'Datos - Temas'!$B$5:$B$1264,P$3,'Datos - Temas'!$L$5:$L$1264,$A66)</f>
        <v>0</v>
      </c>
      <c r="Q66" s="36" cm="1">
        <f t="array" ref="Q66">_xlfn.COUNTIFS('Datos - Temas'!$C$5:$C$1264,"Ciencias",'Datos - Temas'!$B$5:$B$1264,Q$3,'Datos - Temas'!$K$5:$K$1264,$A66)+_xlfn.COUNTIFS('Datos - Temas'!$C$5:$C$1264,"Ciencias",'Datos - Temas'!$B$5:$B$1264,Q$3,'Datos - Temas'!$L$5:$L$1264,$A66)</f>
        <v>0</v>
      </c>
      <c r="R66" s="36" cm="1">
        <f t="array" ref="R66">_xlfn.COUNTIFS('Datos - Temas'!$C$5:$C$1264,"Ciencias",'Datos - Temas'!$B$5:$B$1264,R$3,'Datos - Temas'!$K$5:$K$1264,$A66)+_xlfn.COUNTIFS('Datos - Temas'!$C$5:$C$1264,"Ciencias",'Datos - Temas'!$B$5:$B$1264,R$3,'Datos - Temas'!$L$5:$L$1264,$A66)</f>
        <v>0</v>
      </c>
      <c r="S66" s="36" cm="1">
        <f t="array" ref="S66">_xlfn.COUNTIFS('Datos - Temas'!$C$5:$C$1264,"Ciencias",'Datos - Temas'!$B$5:$B$1264,S$3,'Datos - Temas'!$K$5:$K$1264,$A66)+_xlfn.COUNTIFS('Datos - Temas'!$C$5:$C$1264,"Ciencias",'Datos - Temas'!$B$5:$B$1264,S$3,'Datos - Temas'!$L$5:$L$1264,$A66)</f>
        <v>0</v>
      </c>
      <c r="T66" s="36" cm="1">
        <f t="array" ref="T66">_xlfn.COUNTIFS('Datos - Temas'!$C$5:$C$1264,"Ciencias",'Datos - Temas'!$B$5:$B$1264,T$3,'Datos - Temas'!$K$5:$K$1264,$A66)+_xlfn.COUNTIFS('Datos - Temas'!$C$5:$C$1264,"Ciencias",'Datos - Temas'!$B$5:$B$1264,T$3,'Datos - Temas'!$L$5:$L$1264,$A66)</f>
        <v>0</v>
      </c>
      <c r="U66" s="36" cm="1">
        <f t="array" ref="U66">_xlfn.COUNTIFS('Datos - Temas'!$C$5:$C$1264,"Ciencias",'Datos - Temas'!$B$5:$B$1264,U$3,'Datos - Temas'!$K$5:$K$1264,$A66)+_xlfn.COUNTIFS('Datos - Temas'!$C$5:$C$1264,"Ciencias",'Datos - Temas'!$B$5:$B$1264,U$3,'Datos - Temas'!$L$5:$L$1264,$A66)</f>
        <v>0</v>
      </c>
      <c r="V66" s="36" cm="1">
        <f t="array" ref="V66">_xlfn.COUNTIFS('Datos - Temas'!$C$5:$C$1264,"Ciencias",'Datos - Temas'!$B$5:$B$1264,V$3,'Datos - Temas'!$K$5:$K$1264,$A66)+_xlfn.COUNTIFS('Datos - Temas'!$C$5:$C$1264,"Ciencias",'Datos - Temas'!$B$5:$B$1264,V$3,'Datos - Temas'!$L$5:$L$1264,$A66)</f>
        <v>0</v>
      </c>
      <c r="W66" s="36" cm="1">
        <f t="array" ref="W66">_xlfn.COUNTIFS('Datos - Objetivos de países'!$B$5:$B$510,"Uruguay",'Datos - Objetivos de países'!$F$5:$F$510,W$3,'Datos - Objetivos de países'!$J$5:$J$510,$A66)+_xlfn.COUNTIFS('Datos - Objetivos de países'!$B$5:$B$510,"Uruguay",'Datos - Objetivos de países'!$F$5:$F$510,W$3,'Datos - Objetivos de países'!$K$5:$K$510,$A66)</f>
        <v>0</v>
      </c>
      <c r="X66" s="36" cm="1">
        <f t="array" ref="X66">_xlfn.COUNTIFS('Datos - Objetivos de países'!$B$5:$B$510,"Uruguay",'Datos - Objetivos de países'!$F$5:$F$510,X$3,'Datos - Objetivos de países'!$J$5:$J$510,$A66)+_xlfn.COUNTIFS('Datos - Objetivos de países'!$B$5:$B$510,"Uruguay",'Datos - Objetivos de países'!$F$5:$F$510,X$3,'Datos - Objetivos de países'!$K$5:$K$510,$A66)</f>
        <v>0</v>
      </c>
      <c r="Y66" s="36" cm="1">
        <f t="array" ref="Y66">_xlfn.COUNTIFS('Datos - Objetivos de países'!$B$5:$B$510,"Uruguay",'Datos - Objetivos de países'!$F$5:$F$510,Y$3,'Datos - Objetivos de países'!$J$5:$J$510,$A66)+_xlfn.COUNTIFS('Datos - Objetivos de países'!$B$5:$B$510,"Uruguay",'Datos - Objetivos de países'!$F$5:$F$510,Y$3,'Datos - Objetivos de países'!$K$5:$K$510,$A66)</f>
        <v>0</v>
      </c>
      <c r="Z66" s="36" cm="1">
        <f t="array" ref="Z66">_xlfn.COUNTIFS('Datos - Objetivos de países'!$B$5:$B$510,"Uruguay",'Datos - Objetivos de países'!$F$5:$F$510,Z$3,'Datos - Objetivos de países'!$J$5:$J$510,$A66)+_xlfn.COUNTIFS('Datos - Objetivos de países'!$B$5:$B$510,"Uruguay",'Datos - Objetivos de países'!$F$5:$F$510,Z$3,'Datos - Objetivos de países'!$K$5:$K$510,$A66)</f>
        <v>0</v>
      </c>
      <c r="AA66" s="36" cm="1">
        <f t="array" ref="AA66">_xlfn.COUNTIFS('Datos - Objetivos de países'!$B$5:$B$510,"Uruguay",'Datos - Objetivos de países'!$F$5:$F$510,AA$3,'Datos - Objetivos de países'!$J$5:$J$510,$A66)+_xlfn.COUNTIFS('Datos - Objetivos de países'!$B$5:$B$510,"Uruguay",'Datos - Objetivos de países'!$F$5:$F$510,AA$3,'Datos - Objetivos de países'!$K$5:$K$510,$A66)</f>
        <v>1</v>
      </c>
      <c r="AB66" s="36" cm="1">
        <f t="array" ref="AB66">_xlfn.COUNTIFS('Datos - Objetivos de países'!$B$5:$B$510,"Uruguay",'Datos - Objetivos de países'!$F$5:$F$510,AB$3,'Datos - Objetivos de países'!$J$5:$J$510,$A66)+_xlfn.COUNTIFS('Datos - Objetivos de países'!$B$5:$B$510,"Uruguay",'Datos - Objetivos de países'!$F$5:$F$510,AB$3,'Datos - Objetivos de países'!$K$5:$K$510,$A66)</f>
        <v>2</v>
      </c>
      <c r="AC66" s="36" cm="1">
        <f t="array" ref="AC66">_xlfn.COUNTIFS('Datos - Objetivos de países'!$B$5:$B$510,"Uruguay",'Datos - Objetivos de países'!$F$5:$F$510,AC$3,'Datos - Objetivos de países'!$J$5:$J$510,$A66)+_xlfn.COUNTIFS('Datos - Objetivos de países'!$B$5:$B$510,"Uruguay",'Datos - Objetivos de países'!$F$5:$F$510,AC$3,'Datos - Objetivos de países'!$K$5:$K$510,$A66)</f>
        <v>0</v>
      </c>
      <c r="AD66" s="36" cm="1">
        <f t="array" ref="AD66">_xlfn.COUNTIFS('Datos - Objetivos de países'!$B$5:$B$510,"Uruguay",'Datos - Objetivos de países'!$F$5:$F$510,AD$3,'Datos - Objetivos de países'!$J$5:$J$510,$A66)+_xlfn.COUNTIFS('Datos - Objetivos de países'!$B$5:$B$510,"Uruguay",'Datos - Objetivos de países'!$F$5:$F$510,AD$3,'Datos - Objetivos de países'!$K$5:$K$510,$A66)</f>
        <v>0</v>
      </c>
      <c r="AE66" s="36" cm="1">
        <f t="array" ref="AE66">_xlfn.COUNTIFS('Datos - Objetivos de países'!$B$5:$B$510,"Uruguay",'Datos - Objetivos de países'!$F$5:$F$510,AE$3,'Datos - Objetivos de países'!$J$5:$J$510,$A66)+_xlfn.COUNTIFS('Datos - Objetivos de países'!$B$5:$B$510,"Uruguay",'Datos - Objetivos de países'!$F$5:$F$510,AE$3,'Datos - Objetivos de países'!$K$5:$K$510,$A66)</f>
        <v>0</v>
      </c>
      <c r="AF66" s="36" cm="1">
        <f t="array" ref="AF66">_xlfn.COUNTIFS('Datos - Objetivos de países'!$B$5:$B$510,"Colombia",'Datos - Objetivos de países'!$F$5:$F$510,AF$3,'Datos - Objetivos de países'!$J$5:$J$510,$A66)+_xlfn.COUNTIFS('Datos - Objetivos de países'!$B$5:$B$510,"Colombia",'Datos - Objetivos de países'!$F$5:$F$510,AF$3,'Datos - Objetivos de países'!$K$5:$K$510,$A66)</f>
        <v>0</v>
      </c>
      <c r="AG66" s="36" cm="1">
        <f t="array" ref="AG66">_xlfn.COUNTIFS('Datos - Objetivos de países'!$B$5:$B$510,"Colombia",'Datos - Objetivos de países'!$F$5:$F$510,AG$3,'Datos - Objetivos de países'!$J$5:$J$510,$A66)+_xlfn.COUNTIFS('Datos - Objetivos de países'!$B$5:$B$510,"Colombia",'Datos - Objetivos de países'!$F$5:$F$510,AG$3,'Datos - Objetivos de países'!$K$5:$K$510,$A66)</f>
        <v>0</v>
      </c>
      <c r="AH66" s="36" cm="1">
        <f t="array" ref="AH66">_xlfn.COUNTIFS('Datos - Objetivos de países'!$B$5:$B$510,"Colombia",'Datos - Objetivos de países'!$F$5:$F$510,AH$3,'Datos - Objetivos de países'!$J$5:$J$510,$A66)+_xlfn.COUNTIFS('Datos - Objetivos de países'!$B$5:$B$510,"Colombia",'Datos - Objetivos de países'!$F$5:$F$510,AH$3,'Datos - Objetivos de países'!$K$5:$K$510,$A66)</f>
        <v>0</v>
      </c>
      <c r="AI66" s="36" cm="1">
        <f t="array" ref="AI66">_xlfn.COUNTIFS('Datos - Objetivos de países'!$B$5:$B$510,"Colombia",'Datos - Objetivos de países'!$F$5:$F$510,AI$3,'Datos - Objetivos de países'!$J$5:$J$510,$A66)+_xlfn.COUNTIFS('Datos - Objetivos de países'!$B$5:$B$510,"Colombia",'Datos - Objetivos de países'!$F$5:$F$510,AI$3,'Datos - Objetivos de países'!$K$5:$K$510,$A66)</f>
        <v>0</v>
      </c>
      <c r="AJ66" s="36" cm="1">
        <f t="array" ref="AJ66">_xlfn.COUNTIFS('Datos - Objetivos de países'!$B$5:$B$510,"Colombia",'Datos - Objetivos de países'!$F$5:$F$510,AJ$3,'Datos - Objetivos de países'!$J$5:$J$510,$A66)+_xlfn.COUNTIFS('Datos - Objetivos de países'!$B$5:$B$510,"Colombia",'Datos - Objetivos de países'!$F$5:$F$510,AJ$3,'Datos - Objetivos de países'!$K$5:$K$510,$A66)</f>
        <v>0</v>
      </c>
      <c r="AK66" s="36" cm="1">
        <f t="array" ref="AK66">_xlfn.COUNTIFS('Datos - Objetivos de países'!$B$5:$B$510,"Colombia",'Datos - Objetivos de países'!$F$5:$F$510,AK$3,'Datos - Objetivos de países'!$J$5:$J$510,$A66)+_xlfn.COUNTIFS('Datos - Objetivos de países'!$B$5:$B$510,"Colombia",'Datos - Objetivos de países'!$F$5:$F$510,AK$3,'Datos - Objetivos de países'!$K$5:$K$510,$A66)</f>
        <v>0</v>
      </c>
      <c r="AL66" s="36" cm="1">
        <f t="array" ref="AL66">_xlfn.COUNTIFS('Datos - Objetivos de países'!$B$5:$B$510,"Colombia",'Datos - Objetivos de países'!$F$5:$F$510,AL$3,'Datos - Objetivos de países'!$J$5:$J$510,$A66)+_xlfn.COUNTIFS('Datos - Objetivos de países'!$B$5:$B$510,"Colombia",'Datos - Objetivos de países'!$F$5:$F$510,AL$3,'Datos - Objetivos de países'!$K$5:$K$510,$A66)</f>
        <v>0</v>
      </c>
      <c r="AM66" s="36" cm="1">
        <f t="array" ref="AM66">_xlfn.COUNTIFS('Datos - Objetivos de países'!$B$5:$B$510,"Colombia",'Datos - Objetivos de países'!$F$5:$F$510,AM$3,'Datos - Objetivos de países'!$J$5:$J$510,$A66)+_xlfn.COUNTIFS('Datos - Objetivos de países'!$B$5:$B$510,"Colombia",'Datos - Objetivos de países'!$F$5:$F$510,AM$3,'Datos - Objetivos de países'!$K$5:$K$510,$A66)</f>
        <v>2</v>
      </c>
      <c r="AN66" s="36" cm="1">
        <f t="array" ref="AN66">_xlfn.COUNTIFS('Datos - Objetivos de países'!$B$5:$B$510,"Colombia",'Datos - Objetivos de países'!$F$5:$F$510,AN$3,'Datos - Objetivos de países'!$J$5:$J$510,$A66)+_xlfn.COUNTIFS('Datos - Objetivos de países'!$B$5:$B$510,"Colombia",'Datos - Objetivos de países'!$F$5:$F$510,AN$3,'Datos - Objetivos de países'!$K$5:$K$510,$A66)</f>
        <v>0</v>
      </c>
      <c r="AO66" s="36" cm="1">
        <f t="array" ref="AO66">_xlfn.COUNTIFS('Datos - Objetivos de países'!$B$5:$B$510,"Singapur",'Datos - Objetivos de países'!$F$5:$F$510,AO$3,'Datos - Objetivos de países'!$J$5:$J$510,$A66)+_xlfn.COUNTIFS('Datos - Objetivos de países'!$B$5:$B$510,"Singapur",'Datos - Objetivos de países'!$F$5:$F$510,AO$3,'Datos - Objetivos de países'!$K$5:$K$510,$A66)</f>
        <v>0</v>
      </c>
      <c r="AP66" s="36" cm="1">
        <f t="array" ref="AP66">_xlfn.COUNTIFS('Datos - Objetivos de países'!$B$5:$B$510,"Singapur",'Datos - Objetivos de países'!$F$5:$F$510,AP$3,'Datos - Objetivos de países'!$J$5:$J$510,$A66)+_xlfn.COUNTIFS('Datos - Objetivos de países'!$B$5:$B$510,"Singapur",'Datos - Objetivos de países'!$F$5:$F$510,AP$3,'Datos - Objetivos de países'!$K$5:$K$510,$A66)</f>
        <v>0</v>
      </c>
      <c r="AQ66" s="36" cm="1">
        <f t="array" ref="AQ66">_xlfn.COUNTIFS('Datos - Objetivos de países'!$B$5:$B$510,"Singapur",'Datos - Objetivos de países'!$F$5:$F$510,AQ$3,'Datos - Objetivos de países'!$J$5:$J$510,$A66)+_xlfn.COUNTIFS('Datos - Objetivos de países'!$B$5:$B$510,"Singapur",'Datos - Objetivos de países'!$F$5:$F$510,AQ$3,'Datos - Objetivos de países'!$K$5:$K$510,$A66)</f>
        <v>0</v>
      </c>
      <c r="AR66" s="36" cm="1">
        <f t="array" ref="AR66">_xlfn.COUNTIFS('Datos - Objetivos de países'!$B$5:$B$510,"Singapur",'Datos - Objetivos de países'!$F$5:$F$510,AR$3,'Datos - Objetivos de países'!$J$5:$J$510,$A66)+_xlfn.COUNTIFS('Datos - Objetivos de países'!$B$5:$B$510,"Singapur",'Datos - Objetivos de países'!$F$5:$F$510,AR$3,'Datos - Objetivos de países'!$K$5:$K$510,$A66)</f>
        <v>0</v>
      </c>
      <c r="AS66" s="36" cm="1">
        <f t="array" ref="AS66">_xlfn.COUNTIFS('Datos - Objetivos de países'!$B$5:$B$510,"Singapur",'Datos - Objetivos de países'!$F$5:$F$510,AS$3,'Datos - Objetivos de países'!$J$5:$J$510,$A66)+_xlfn.COUNTIFS('Datos - Objetivos de países'!$B$5:$B$510,"Singapur",'Datos - Objetivos de países'!$F$5:$F$510,AS$3,'Datos - Objetivos de países'!$K$5:$K$510,$A66)</f>
        <v>0</v>
      </c>
      <c r="AT66" s="36" cm="1">
        <f t="array" ref="AT66">_xlfn.COUNTIFS('Datos - Objetivos de países'!$B$5:$B$510,"Singapur",'Datos - Objetivos de países'!$F$5:$F$510,AT$3,'Datos - Objetivos de países'!$J$5:$J$510,$A66)+_xlfn.COUNTIFS('Datos - Objetivos de países'!$B$5:$B$510,"Singapur",'Datos - Objetivos de países'!$F$5:$F$510,AT$3,'Datos - Objetivos de países'!$K$5:$K$510,$A66)</f>
        <v>0</v>
      </c>
      <c r="AU66" s="36" cm="1">
        <f t="array" ref="AU66">_xlfn.COUNTIFS('Datos - Objetivos de países'!$B$5:$B$510,"Singapur",'Datos - Objetivos de países'!$F$5:$F$510,AU$3,'Datos - Objetivos de países'!$J$5:$J$510,$A66)+_xlfn.COUNTIFS('Datos - Objetivos de países'!$B$5:$B$510,"Singapur",'Datos - Objetivos de países'!$F$5:$F$510,AU$3,'Datos - Objetivos de países'!$K$5:$K$510,$A66)</f>
        <v>0</v>
      </c>
      <c r="AV66" s="36" cm="1">
        <f t="array" ref="AV66">_xlfn.COUNTIFS('Datos - Objetivos de países'!$B$5:$B$510,"Singapur",'Datos - Objetivos de países'!$F$5:$F$510,AV$3,'Datos - Objetivos de países'!$J$5:$J$510,$A66)+_xlfn.COUNTIFS('Datos - Objetivos de países'!$B$5:$B$510,"Singapur",'Datos - Objetivos de países'!$F$5:$F$510,AV$3,'Datos - Objetivos de países'!$K$5:$K$510,$A66)</f>
        <v>0</v>
      </c>
      <c r="AW66" s="36" cm="1">
        <f t="array" ref="AW66">_xlfn.COUNTIFS('Datos - Objetivos de países'!$B$5:$B$510,"Singapur",'Datos - Objetivos de países'!$F$5:$F$510,AW$3,'Datos - Objetivos de países'!$J$5:$J$510,$A66)+_xlfn.COUNTIFS('Datos - Objetivos de países'!$B$5:$B$510,"Singapur",'Datos - Objetivos de países'!$F$5:$F$510,AW$3,'Datos - Objetivos de países'!$K$5:$K$510,$A66)</f>
        <v>0</v>
      </c>
    </row>
    <row r="67" ht="13.65" customHeight="1">
      <c r="A67" t="s" s="78">
        <v>540</v>
      </c>
      <c r="B67" t="s" s="78">
        <v>1164</v>
      </c>
      <c r="C67" t="s" s="78">
        <v>222</v>
      </c>
      <c r="D67" t="s" s="78">
        <v>1253</v>
      </c>
      <c r="E67" s="80" cm="1">
        <f t="array" ref="E67">_xlfn.IFERROR(MAX($L$3,INDEX($N$3:$V$3,MATCH(TRUE,INDEX(N67:V67&gt;0,0),0))),"—")</f>
        <v>8</v>
      </c>
      <c r="F67" s="80" cm="1">
        <f t="array" ref="F67">_xlfn.IFERROR(MAX($L$3,INDEX($W$3:$AE$3,MATCH(TRUE,INDEX(W67:AE67&gt;0,0),0))),"—")</f>
        <v>6</v>
      </c>
      <c r="G67" s="80" cm="1">
        <f t="array" ref="G67">_xlfn.IFERROR(MAX($L$3,INDEX($AF$3:$AN$3,MATCH(TRUE,INDEX(AF67:AN67&gt;0,0),0))),"—")</f>
        <v>8</v>
      </c>
      <c r="H67" t="str" s="79" cm="1">
        <f t="array" ref="H67">_xlfn.IFERROR(MAX($L$3,INDEX($AO$3:$AW$3,MATCH(TRUE,INDEX(AO67:AW67&gt;0,0),0))),"—")</f>
        <v>—</v>
      </c>
      <c r="I67" s="111" cm="1">
        <f t="array" ref="I67">IF(L67=0,"—",MEDIAN(F67:H67))</f>
        <v>7</v>
      </c>
      <c r="J67" s="111" cm="1">
        <f t="array" ref="J67">IF(OR(E67="—",I67="—"),"—",E67-I67)</f>
        <v>1</v>
      </c>
      <c r="K67" t="str" s="49" cm="1">
        <f t="array" ref="K67">IF(E67="—",IF(L67=0,"Nadie lo trabaja","El Salvador no llega"),IF(L67=0,"Solo El Salvador",IF(J67&gt;0,"El Salvador llega más tarde",IF(J67&lt;0,"El Salvador va adelantado","Mismo grado"))))</f>
        <v>El Salvador llega más tarde</v>
      </c>
      <c r="L67" s="80" cm="1">
        <f t="array" ref="L67">COUNT(F67:H67)</f>
        <v>2</v>
      </c>
      <c r="M67" s="110"/>
      <c r="N67" s="36" cm="1">
        <f t="array" ref="N67">_xlfn.COUNTIFS('Datos - Temas'!$C$5:$C$1264,"Ciencias",'Datos - Temas'!$B$5:$B$1264,N$3,'Datos - Temas'!$K$5:$K$1264,$A67)+_xlfn.COUNTIFS('Datos - Temas'!$C$5:$C$1264,"Ciencias",'Datos - Temas'!$B$5:$B$1264,N$3,'Datos - Temas'!$L$5:$L$1264,$A67)</f>
        <v>0</v>
      </c>
      <c r="O67" s="36" cm="1">
        <f t="array" ref="O67">_xlfn.COUNTIFS('Datos - Temas'!$C$5:$C$1264,"Ciencias",'Datos - Temas'!$B$5:$B$1264,O$3,'Datos - Temas'!$K$5:$K$1264,$A67)+_xlfn.COUNTIFS('Datos - Temas'!$C$5:$C$1264,"Ciencias",'Datos - Temas'!$B$5:$B$1264,O$3,'Datos - Temas'!$L$5:$L$1264,$A67)</f>
        <v>0</v>
      </c>
      <c r="P67" s="36" cm="1">
        <f t="array" ref="P67">_xlfn.COUNTIFS('Datos - Temas'!$C$5:$C$1264,"Ciencias",'Datos - Temas'!$B$5:$B$1264,P$3,'Datos - Temas'!$K$5:$K$1264,$A67)+_xlfn.COUNTIFS('Datos - Temas'!$C$5:$C$1264,"Ciencias",'Datos - Temas'!$B$5:$B$1264,P$3,'Datos - Temas'!$L$5:$L$1264,$A67)</f>
        <v>0</v>
      </c>
      <c r="Q67" s="36" cm="1">
        <f t="array" ref="Q67">_xlfn.COUNTIFS('Datos - Temas'!$C$5:$C$1264,"Ciencias",'Datos - Temas'!$B$5:$B$1264,Q$3,'Datos - Temas'!$K$5:$K$1264,$A67)+_xlfn.COUNTIFS('Datos - Temas'!$C$5:$C$1264,"Ciencias",'Datos - Temas'!$B$5:$B$1264,Q$3,'Datos - Temas'!$L$5:$L$1264,$A67)</f>
        <v>0</v>
      </c>
      <c r="R67" s="36" cm="1">
        <f t="array" ref="R67">_xlfn.COUNTIFS('Datos - Temas'!$C$5:$C$1264,"Ciencias",'Datos - Temas'!$B$5:$B$1264,R$3,'Datos - Temas'!$K$5:$K$1264,$A67)+_xlfn.COUNTIFS('Datos - Temas'!$C$5:$C$1264,"Ciencias",'Datos - Temas'!$B$5:$B$1264,R$3,'Datos - Temas'!$L$5:$L$1264,$A67)</f>
        <v>0</v>
      </c>
      <c r="S67" s="36" cm="1">
        <f t="array" ref="S67">_xlfn.COUNTIFS('Datos - Temas'!$C$5:$C$1264,"Ciencias",'Datos - Temas'!$B$5:$B$1264,S$3,'Datos - Temas'!$K$5:$K$1264,$A67)+_xlfn.COUNTIFS('Datos - Temas'!$C$5:$C$1264,"Ciencias",'Datos - Temas'!$B$5:$B$1264,S$3,'Datos - Temas'!$L$5:$L$1264,$A67)</f>
        <v>0</v>
      </c>
      <c r="T67" s="36" cm="1">
        <f t="array" ref="T67">_xlfn.COUNTIFS('Datos - Temas'!$C$5:$C$1264,"Ciencias",'Datos - Temas'!$B$5:$B$1264,T$3,'Datos - Temas'!$K$5:$K$1264,$A67)+_xlfn.COUNTIFS('Datos - Temas'!$C$5:$C$1264,"Ciencias",'Datos - Temas'!$B$5:$B$1264,T$3,'Datos - Temas'!$L$5:$L$1264,$A67)</f>
        <v>0</v>
      </c>
      <c r="U67" s="36" cm="1">
        <f t="array" ref="U67">_xlfn.COUNTIFS('Datos - Temas'!$C$5:$C$1264,"Ciencias",'Datos - Temas'!$B$5:$B$1264,U$3,'Datos - Temas'!$K$5:$K$1264,$A67)+_xlfn.COUNTIFS('Datos - Temas'!$C$5:$C$1264,"Ciencias",'Datos - Temas'!$B$5:$B$1264,U$3,'Datos - Temas'!$L$5:$L$1264,$A67)</f>
        <v>6</v>
      </c>
      <c r="V67" s="36" cm="1">
        <f t="array" ref="V67">_xlfn.COUNTIFS('Datos - Temas'!$C$5:$C$1264,"Ciencias",'Datos - Temas'!$B$5:$B$1264,V$3,'Datos - Temas'!$K$5:$K$1264,$A67)+_xlfn.COUNTIFS('Datos - Temas'!$C$5:$C$1264,"Ciencias",'Datos - Temas'!$B$5:$B$1264,V$3,'Datos - Temas'!$L$5:$L$1264,$A67)</f>
        <v>0</v>
      </c>
      <c r="W67" s="36" cm="1">
        <f t="array" ref="W67">_xlfn.COUNTIFS('Datos - Objetivos de países'!$B$5:$B$510,"Uruguay",'Datos - Objetivos de países'!$F$5:$F$510,W$3,'Datos - Objetivos de países'!$J$5:$J$510,$A67)+_xlfn.COUNTIFS('Datos - Objetivos de países'!$B$5:$B$510,"Uruguay",'Datos - Objetivos de países'!$F$5:$F$510,W$3,'Datos - Objetivos de países'!$K$5:$K$510,$A67)</f>
        <v>0</v>
      </c>
      <c r="X67" s="36" cm="1">
        <f t="array" ref="X67">_xlfn.COUNTIFS('Datos - Objetivos de países'!$B$5:$B$510,"Uruguay",'Datos - Objetivos de países'!$F$5:$F$510,X$3,'Datos - Objetivos de países'!$J$5:$J$510,$A67)+_xlfn.COUNTIFS('Datos - Objetivos de países'!$B$5:$B$510,"Uruguay",'Datos - Objetivos de países'!$F$5:$F$510,X$3,'Datos - Objetivos de países'!$K$5:$K$510,$A67)</f>
        <v>0</v>
      </c>
      <c r="Y67" s="36" cm="1">
        <f t="array" ref="Y67">_xlfn.COUNTIFS('Datos - Objetivos de países'!$B$5:$B$510,"Uruguay",'Datos - Objetivos de países'!$F$5:$F$510,Y$3,'Datos - Objetivos de países'!$J$5:$J$510,$A67)+_xlfn.COUNTIFS('Datos - Objetivos de países'!$B$5:$B$510,"Uruguay",'Datos - Objetivos de países'!$F$5:$F$510,Y$3,'Datos - Objetivos de países'!$K$5:$K$510,$A67)</f>
        <v>0</v>
      </c>
      <c r="Z67" s="36" cm="1">
        <f t="array" ref="Z67">_xlfn.COUNTIFS('Datos - Objetivos de países'!$B$5:$B$510,"Uruguay",'Datos - Objetivos de países'!$F$5:$F$510,Z$3,'Datos - Objetivos de países'!$J$5:$J$510,$A67)+_xlfn.COUNTIFS('Datos - Objetivos de países'!$B$5:$B$510,"Uruguay",'Datos - Objetivos de países'!$F$5:$F$510,Z$3,'Datos - Objetivos de países'!$K$5:$K$510,$A67)</f>
        <v>0</v>
      </c>
      <c r="AA67" s="36" cm="1">
        <f t="array" ref="AA67">_xlfn.COUNTIFS('Datos - Objetivos de países'!$B$5:$B$510,"Uruguay",'Datos - Objetivos de países'!$F$5:$F$510,AA$3,'Datos - Objetivos de países'!$J$5:$J$510,$A67)+_xlfn.COUNTIFS('Datos - Objetivos de países'!$B$5:$B$510,"Uruguay",'Datos - Objetivos de países'!$F$5:$F$510,AA$3,'Datos - Objetivos de países'!$K$5:$K$510,$A67)</f>
        <v>0</v>
      </c>
      <c r="AB67" s="36" cm="1">
        <f t="array" ref="AB67">_xlfn.COUNTIFS('Datos - Objetivos de países'!$B$5:$B$510,"Uruguay",'Datos - Objetivos de países'!$F$5:$F$510,AB$3,'Datos - Objetivos de países'!$J$5:$J$510,$A67)+_xlfn.COUNTIFS('Datos - Objetivos de países'!$B$5:$B$510,"Uruguay",'Datos - Objetivos de países'!$F$5:$F$510,AB$3,'Datos - Objetivos de países'!$K$5:$K$510,$A67)</f>
        <v>1</v>
      </c>
      <c r="AC67" s="36" cm="1">
        <f t="array" ref="AC67">_xlfn.COUNTIFS('Datos - Objetivos de países'!$B$5:$B$510,"Uruguay",'Datos - Objetivos de países'!$F$5:$F$510,AC$3,'Datos - Objetivos de países'!$J$5:$J$510,$A67)+_xlfn.COUNTIFS('Datos - Objetivos de países'!$B$5:$B$510,"Uruguay",'Datos - Objetivos de países'!$F$5:$F$510,AC$3,'Datos - Objetivos de países'!$K$5:$K$510,$A67)</f>
        <v>0</v>
      </c>
      <c r="AD67" s="36" cm="1">
        <f t="array" ref="AD67">_xlfn.COUNTIFS('Datos - Objetivos de países'!$B$5:$B$510,"Uruguay",'Datos - Objetivos de países'!$F$5:$F$510,AD$3,'Datos - Objetivos de países'!$J$5:$J$510,$A67)+_xlfn.COUNTIFS('Datos - Objetivos de países'!$B$5:$B$510,"Uruguay",'Datos - Objetivos de países'!$F$5:$F$510,AD$3,'Datos - Objetivos de países'!$K$5:$K$510,$A67)</f>
        <v>0</v>
      </c>
      <c r="AE67" s="36" cm="1">
        <f t="array" ref="AE67">_xlfn.COUNTIFS('Datos - Objetivos de países'!$B$5:$B$510,"Uruguay",'Datos - Objetivos de países'!$F$5:$F$510,AE$3,'Datos - Objetivos de países'!$J$5:$J$510,$A67)+_xlfn.COUNTIFS('Datos - Objetivos de países'!$B$5:$B$510,"Uruguay",'Datos - Objetivos de países'!$F$5:$F$510,AE$3,'Datos - Objetivos de países'!$K$5:$K$510,$A67)</f>
        <v>0</v>
      </c>
      <c r="AF67" s="36" cm="1">
        <f t="array" ref="AF67">_xlfn.COUNTIFS('Datos - Objetivos de países'!$B$5:$B$510,"Colombia",'Datos - Objetivos de países'!$F$5:$F$510,AF$3,'Datos - Objetivos de países'!$J$5:$J$510,$A67)+_xlfn.COUNTIFS('Datos - Objetivos de países'!$B$5:$B$510,"Colombia",'Datos - Objetivos de países'!$F$5:$F$510,AF$3,'Datos - Objetivos de países'!$K$5:$K$510,$A67)</f>
        <v>0</v>
      </c>
      <c r="AG67" s="36" cm="1">
        <f t="array" ref="AG67">_xlfn.COUNTIFS('Datos - Objetivos de países'!$B$5:$B$510,"Colombia",'Datos - Objetivos de países'!$F$5:$F$510,AG$3,'Datos - Objetivos de países'!$J$5:$J$510,$A67)+_xlfn.COUNTIFS('Datos - Objetivos de países'!$B$5:$B$510,"Colombia",'Datos - Objetivos de países'!$F$5:$F$510,AG$3,'Datos - Objetivos de países'!$K$5:$K$510,$A67)</f>
        <v>0</v>
      </c>
      <c r="AH67" s="36" cm="1">
        <f t="array" ref="AH67">_xlfn.COUNTIFS('Datos - Objetivos de países'!$B$5:$B$510,"Colombia",'Datos - Objetivos de países'!$F$5:$F$510,AH$3,'Datos - Objetivos de países'!$J$5:$J$510,$A67)+_xlfn.COUNTIFS('Datos - Objetivos de países'!$B$5:$B$510,"Colombia",'Datos - Objetivos de países'!$F$5:$F$510,AH$3,'Datos - Objetivos de países'!$K$5:$K$510,$A67)</f>
        <v>0</v>
      </c>
      <c r="AI67" s="36" cm="1">
        <f t="array" ref="AI67">_xlfn.COUNTIFS('Datos - Objetivos de países'!$B$5:$B$510,"Colombia",'Datos - Objetivos de países'!$F$5:$F$510,AI$3,'Datos - Objetivos de países'!$J$5:$J$510,$A67)+_xlfn.COUNTIFS('Datos - Objetivos de países'!$B$5:$B$510,"Colombia",'Datos - Objetivos de países'!$F$5:$F$510,AI$3,'Datos - Objetivos de países'!$K$5:$K$510,$A67)</f>
        <v>0</v>
      </c>
      <c r="AJ67" s="36" cm="1">
        <f t="array" ref="AJ67">_xlfn.COUNTIFS('Datos - Objetivos de países'!$B$5:$B$510,"Colombia",'Datos - Objetivos de países'!$F$5:$F$510,AJ$3,'Datos - Objetivos de países'!$J$5:$J$510,$A67)+_xlfn.COUNTIFS('Datos - Objetivos de países'!$B$5:$B$510,"Colombia",'Datos - Objetivos de países'!$F$5:$F$510,AJ$3,'Datos - Objetivos de países'!$K$5:$K$510,$A67)</f>
        <v>0</v>
      </c>
      <c r="AK67" s="36" cm="1">
        <f t="array" ref="AK67">_xlfn.COUNTIFS('Datos - Objetivos de países'!$B$5:$B$510,"Colombia",'Datos - Objetivos de países'!$F$5:$F$510,AK$3,'Datos - Objetivos de países'!$J$5:$J$510,$A67)+_xlfn.COUNTIFS('Datos - Objetivos de países'!$B$5:$B$510,"Colombia",'Datos - Objetivos de países'!$F$5:$F$510,AK$3,'Datos - Objetivos de países'!$K$5:$K$510,$A67)</f>
        <v>0</v>
      </c>
      <c r="AL67" s="36" cm="1">
        <f t="array" ref="AL67">_xlfn.COUNTIFS('Datos - Objetivos de países'!$B$5:$B$510,"Colombia",'Datos - Objetivos de países'!$F$5:$F$510,AL$3,'Datos - Objetivos de países'!$J$5:$J$510,$A67)+_xlfn.COUNTIFS('Datos - Objetivos de países'!$B$5:$B$510,"Colombia",'Datos - Objetivos de países'!$F$5:$F$510,AL$3,'Datos - Objetivos de países'!$K$5:$K$510,$A67)</f>
        <v>0</v>
      </c>
      <c r="AM67" s="36" cm="1">
        <f t="array" ref="AM67">_xlfn.COUNTIFS('Datos - Objetivos de países'!$B$5:$B$510,"Colombia",'Datos - Objetivos de países'!$F$5:$F$510,AM$3,'Datos - Objetivos de países'!$J$5:$J$510,$A67)+_xlfn.COUNTIFS('Datos - Objetivos de países'!$B$5:$B$510,"Colombia",'Datos - Objetivos de países'!$F$5:$F$510,AM$3,'Datos - Objetivos de países'!$K$5:$K$510,$A67)</f>
        <v>3</v>
      </c>
      <c r="AN67" s="36" cm="1">
        <f t="array" ref="AN67">_xlfn.COUNTIFS('Datos - Objetivos de países'!$B$5:$B$510,"Colombia",'Datos - Objetivos de países'!$F$5:$F$510,AN$3,'Datos - Objetivos de países'!$J$5:$J$510,$A67)+_xlfn.COUNTIFS('Datos - Objetivos de países'!$B$5:$B$510,"Colombia",'Datos - Objetivos de países'!$F$5:$F$510,AN$3,'Datos - Objetivos de países'!$K$5:$K$510,$A67)</f>
        <v>0</v>
      </c>
      <c r="AO67" s="36" cm="1">
        <f t="array" ref="AO67">_xlfn.COUNTIFS('Datos - Objetivos de países'!$B$5:$B$510,"Singapur",'Datos - Objetivos de países'!$F$5:$F$510,AO$3,'Datos - Objetivos de países'!$J$5:$J$510,$A67)+_xlfn.COUNTIFS('Datos - Objetivos de países'!$B$5:$B$510,"Singapur",'Datos - Objetivos de países'!$F$5:$F$510,AO$3,'Datos - Objetivos de países'!$K$5:$K$510,$A67)</f>
        <v>0</v>
      </c>
      <c r="AP67" s="36" cm="1">
        <f t="array" ref="AP67">_xlfn.COUNTIFS('Datos - Objetivos de países'!$B$5:$B$510,"Singapur",'Datos - Objetivos de países'!$F$5:$F$510,AP$3,'Datos - Objetivos de países'!$J$5:$J$510,$A67)+_xlfn.COUNTIFS('Datos - Objetivos de países'!$B$5:$B$510,"Singapur",'Datos - Objetivos de países'!$F$5:$F$510,AP$3,'Datos - Objetivos de países'!$K$5:$K$510,$A67)</f>
        <v>0</v>
      </c>
      <c r="AQ67" s="36" cm="1">
        <f t="array" ref="AQ67">_xlfn.COUNTIFS('Datos - Objetivos de países'!$B$5:$B$510,"Singapur",'Datos - Objetivos de países'!$F$5:$F$510,AQ$3,'Datos - Objetivos de países'!$J$5:$J$510,$A67)+_xlfn.COUNTIFS('Datos - Objetivos de países'!$B$5:$B$510,"Singapur",'Datos - Objetivos de países'!$F$5:$F$510,AQ$3,'Datos - Objetivos de países'!$K$5:$K$510,$A67)</f>
        <v>0</v>
      </c>
      <c r="AR67" s="36" cm="1">
        <f t="array" ref="AR67">_xlfn.COUNTIFS('Datos - Objetivos de países'!$B$5:$B$510,"Singapur",'Datos - Objetivos de países'!$F$5:$F$510,AR$3,'Datos - Objetivos de países'!$J$5:$J$510,$A67)+_xlfn.COUNTIFS('Datos - Objetivos de países'!$B$5:$B$510,"Singapur",'Datos - Objetivos de países'!$F$5:$F$510,AR$3,'Datos - Objetivos de países'!$K$5:$K$510,$A67)</f>
        <v>0</v>
      </c>
      <c r="AS67" s="36" cm="1">
        <f t="array" ref="AS67">_xlfn.COUNTIFS('Datos - Objetivos de países'!$B$5:$B$510,"Singapur",'Datos - Objetivos de países'!$F$5:$F$510,AS$3,'Datos - Objetivos de países'!$J$5:$J$510,$A67)+_xlfn.COUNTIFS('Datos - Objetivos de países'!$B$5:$B$510,"Singapur",'Datos - Objetivos de países'!$F$5:$F$510,AS$3,'Datos - Objetivos de países'!$K$5:$K$510,$A67)</f>
        <v>0</v>
      </c>
      <c r="AT67" s="36" cm="1">
        <f t="array" ref="AT67">_xlfn.COUNTIFS('Datos - Objetivos de países'!$B$5:$B$510,"Singapur",'Datos - Objetivos de países'!$F$5:$F$510,AT$3,'Datos - Objetivos de países'!$J$5:$J$510,$A67)+_xlfn.COUNTIFS('Datos - Objetivos de países'!$B$5:$B$510,"Singapur",'Datos - Objetivos de países'!$F$5:$F$510,AT$3,'Datos - Objetivos de países'!$K$5:$K$510,$A67)</f>
        <v>0</v>
      </c>
      <c r="AU67" s="36" cm="1">
        <f t="array" ref="AU67">_xlfn.COUNTIFS('Datos - Objetivos de países'!$B$5:$B$510,"Singapur",'Datos - Objetivos de países'!$F$5:$F$510,AU$3,'Datos - Objetivos de países'!$J$5:$J$510,$A67)+_xlfn.COUNTIFS('Datos - Objetivos de países'!$B$5:$B$510,"Singapur",'Datos - Objetivos de países'!$F$5:$F$510,AU$3,'Datos - Objetivos de países'!$K$5:$K$510,$A67)</f>
        <v>0</v>
      </c>
      <c r="AV67" s="36" cm="1">
        <f t="array" ref="AV67">_xlfn.COUNTIFS('Datos - Objetivos de países'!$B$5:$B$510,"Singapur",'Datos - Objetivos de países'!$F$5:$F$510,AV$3,'Datos - Objetivos de países'!$J$5:$J$510,$A67)+_xlfn.COUNTIFS('Datos - Objetivos de países'!$B$5:$B$510,"Singapur",'Datos - Objetivos de países'!$F$5:$F$510,AV$3,'Datos - Objetivos de países'!$K$5:$K$510,$A67)</f>
        <v>0</v>
      </c>
      <c r="AW67" s="36" cm="1">
        <f t="array" ref="AW67">_xlfn.COUNTIFS('Datos - Objetivos de países'!$B$5:$B$510,"Singapur",'Datos - Objetivos de países'!$F$5:$F$510,AW$3,'Datos - Objetivos de países'!$J$5:$J$510,$A67)+_xlfn.COUNTIFS('Datos - Objetivos de países'!$B$5:$B$510,"Singapur",'Datos - Objetivos de países'!$F$5:$F$510,AW$3,'Datos - Objetivos de países'!$K$5:$K$510,$A67)</f>
        <v>0</v>
      </c>
    </row>
    <row r="68" ht="13.65" customHeight="1">
      <c r="A68" t="s" s="78">
        <v>1256</v>
      </c>
      <c r="B68" t="s" s="78">
        <v>1164</v>
      </c>
      <c r="C68" t="s" s="78">
        <v>222</v>
      </c>
      <c r="D68" t="s" s="78">
        <v>1257</v>
      </c>
      <c r="E68" s="80" cm="1">
        <f t="array" ref="E68">_xlfn.IFERROR(MAX($L$3,INDEX($N$3:$V$3,MATCH(TRUE,INDEX(N68:V68&gt;0,0),0))),"—")</f>
        <v>6</v>
      </c>
      <c r="F68" s="80" cm="1">
        <f t="array" ref="F68">_xlfn.IFERROR(MAX($L$3,INDEX($W$3:$AE$3,MATCH(TRUE,INDEX(W68:AE68&gt;0,0),0))),"—")</f>
        <v>5</v>
      </c>
      <c r="G68" s="80" cm="1">
        <f t="array" ref="G68">_xlfn.IFERROR(MAX($L$3,INDEX($AF$3:$AN$3,MATCH(TRUE,INDEX(AF68:AN68&gt;0,0),0))),"—")</f>
        <v>5</v>
      </c>
      <c r="H68" s="80" cm="1">
        <f t="array" ref="H68">_xlfn.IFERROR(MAX($L$3,INDEX($AO$3:$AW$3,MATCH(TRUE,INDEX(AO68:AW68&gt;0,0),0))),"—")</f>
        <v>5</v>
      </c>
      <c r="I68" s="111" cm="1">
        <f t="array" ref="I68">IF(L68=0,"—",MEDIAN(F68:H68))</f>
        <v>5</v>
      </c>
      <c r="J68" s="111" cm="1">
        <f t="array" ref="J68">IF(OR(E68="—",I68="—"),"—",E68-I68)</f>
        <v>1</v>
      </c>
      <c r="K68" t="str" s="49" cm="1">
        <f t="array" ref="K68">IF(E68="—",IF(L68=0,"Nadie lo trabaja","El Salvador no llega"),IF(L68=0,"Solo El Salvador",IF(J68&gt;0,"El Salvador llega más tarde",IF(J68&lt;0,"El Salvador va adelantado","Mismo grado"))))</f>
        <v>El Salvador llega más tarde</v>
      </c>
      <c r="L68" s="80" cm="1">
        <f t="array" ref="L68">COUNT(F68:H68)</f>
        <v>3</v>
      </c>
      <c r="M68" s="110"/>
      <c r="N68" s="36" cm="1">
        <f t="array" ref="N68">_xlfn.COUNTIFS('Datos - Temas'!$C$5:$C$1264,"Ciencias",'Datos - Temas'!$B$5:$B$1264,N$3,'Datos - Temas'!$K$5:$K$1264,$A68)+_xlfn.COUNTIFS('Datos - Temas'!$C$5:$C$1264,"Ciencias",'Datos - Temas'!$B$5:$B$1264,N$3,'Datos - Temas'!$L$5:$L$1264,$A68)</f>
        <v>0</v>
      </c>
      <c r="O68" s="36" cm="1">
        <f t="array" ref="O68">_xlfn.COUNTIFS('Datos - Temas'!$C$5:$C$1264,"Ciencias",'Datos - Temas'!$B$5:$B$1264,O$3,'Datos - Temas'!$K$5:$K$1264,$A68)+_xlfn.COUNTIFS('Datos - Temas'!$C$5:$C$1264,"Ciencias",'Datos - Temas'!$B$5:$B$1264,O$3,'Datos - Temas'!$L$5:$L$1264,$A68)</f>
        <v>0</v>
      </c>
      <c r="P68" s="36" cm="1">
        <f t="array" ref="P68">_xlfn.COUNTIFS('Datos - Temas'!$C$5:$C$1264,"Ciencias",'Datos - Temas'!$B$5:$B$1264,P$3,'Datos - Temas'!$K$5:$K$1264,$A68)+_xlfn.COUNTIFS('Datos - Temas'!$C$5:$C$1264,"Ciencias",'Datos - Temas'!$B$5:$B$1264,P$3,'Datos - Temas'!$L$5:$L$1264,$A68)</f>
        <v>0</v>
      </c>
      <c r="Q68" s="36" cm="1">
        <f t="array" ref="Q68">_xlfn.COUNTIFS('Datos - Temas'!$C$5:$C$1264,"Ciencias",'Datos - Temas'!$B$5:$B$1264,Q$3,'Datos - Temas'!$K$5:$K$1264,$A68)+_xlfn.COUNTIFS('Datos - Temas'!$C$5:$C$1264,"Ciencias",'Datos - Temas'!$B$5:$B$1264,Q$3,'Datos - Temas'!$L$5:$L$1264,$A68)</f>
        <v>0</v>
      </c>
      <c r="R68" s="36" cm="1">
        <f t="array" ref="R68">_xlfn.COUNTIFS('Datos - Temas'!$C$5:$C$1264,"Ciencias",'Datos - Temas'!$B$5:$B$1264,R$3,'Datos - Temas'!$K$5:$K$1264,$A68)+_xlfn.COUNTIFS('Datos - Temas'!$C$5:$C$1264,"Ciencias",'Datos - Temas'!$B$5:$B$1264,R$3,'Datos - Temas'!$L$5:$L$1264,$A68)</f>
        <v>0</v>
      </c>
      <c r="S68" s="36" cm="1">
        <f t="array" ref="S68">_xlfn.COUNTIFS('Datos - Temas'!$C$5:$C$1264,"Ciencias",'Datos - Temas'!$B$5:$B$1264,S$3,'Datos - Temas'!$K$5:$K$1264,$A68)+_xlfn.COUNTIFS('Datos - Temas'!$C$5:$C$1264,"Ciencias",'Datos - Temas'!$B$5:$B$1264,S$3,'Datos - Temas'!$L$5:$L$1264,$A68)</f>
        <v>7</v>
      </c>
      <c r="T68" s="36" cm="1">
        <f t="array" ref="T68">_xlfn.COUNTIFS('Datos - Temas'!$C$5:$C$1264,"Ciencias",'Datos - Temas'!$B$5:$B$1264,T$3,'Datos - Temas'!$K$5:$K$1264,$A68)+_xlfn.COUNTIFS('Datos - Temas'!$C$5:$C$1264,"Ciencias",'Datos - Temas'!$B$5:$B$1264,T$3,'Datos - Temas'!$L$5:$L$1264,$A68)</f>
        <v>0</v>
      </c>
      <c r="U68" s="36" cm="1">
        <f t="array" ref="U68">_xlfn.COUNTIFS('Datos - Temas'!$C$5:$C$1264,"Ciencias",'Datos - Temas'!$B$5:$B$1264,U$3,'Datos - Temas'!$K$5:$K$1264,$A68)+_xlfn.COUNTIFS('Datos - Temas'!$C$5:$C$1264,"Ciencias",'Datos - Temas'!$B$5:$B$1264,U$3,'Datos - Temas'!$L$5:$L$1264,$A68)</f>
        <v>0</v>
      </c>
      <c r="V68" s="36" cm="1">
        <f t="array" ref="V68">_xlfn.COUNTIFS('Datos - Temas'!$C$5:$C$1264,"Ciencias",'Datos - Temas'!$B$5:$B$1264,V$3,'Datos - Temas'!$K$5:$K$1264,$A68)+_xlfn.COUNTIFS('Datos - Temas'!$C$5:$C$1264,"Ciencias",'Datos - Temas'!$B$5:$B$1264,V$3,'Datos - Temas'!$L$5:$L$1264,$A68)</f>
        <v>7</v>
      </c>
      <c r="W68" s="36" cm="1">
        <f t="array" ref="W68">_xlfn.COUNTIFS('Datos - Objetivos de países'!$B$5:$B$510,"Uruguay",'Datos - Objetivos de países'!$F$5:$F$510,W$3,'Datos - Objetivos de países'!$J$5:$J$510,$A68)+_xlfn.COUNTIFS('Datos - Objetivos de países'!$B$5:$B$510,"Uruguay",'Datos - Objetivos de países'!$F$5:$F$510,W$3,'Datos - Objetivos de países'!$K$5:$K$510,$A68)</f>
        <v>0</v>
      </c>
      <c r="X68" s="36" cm="1">
        <f t="array" ref="X68">_xlfn.COUNTIFS('Datos - Objetivos de países'!$B$5:$B$510,"Uruguay",'Datos - Objetivos de países'!$F$5:$F$510,X$3,'Datos - Objetivos de países'!$J$5:$J$510,$A68)+_xlfn.COUNTIFS('Datos - Objetivos de países'!$B$5:$B$510,"Uruguay",'Datos - Objetivos de países'!$F$5:$F$510,X$3,'Datos - Objetivos de países'!$K$5:$K$510,$A68)</f>
        <v>0</v>
      </c>
      <c r="Y68" s="36" cm="1">
        <f t="array" ref="Y68">_xlfn.COUNTIFS('Datos - Objetivos de países'!$B$5:$B$510,"Uruguay",'Datos - Objetivos de países'!$F$5:$F$510,Y$3,'Datos - Objetivos de países'!$J$5:$J$510,$A68)+_xlfn.COUNTIFS('Datos - Objetivos de países'!$B$5:$B$510,"Uruguay",'Datos - Objetivos de países'!$F$5:$F$510,Y$3,'Datos - Objetivos de países'!$K$5:$K$510,$A68)</f>
        <v>0</v>
      </c>
      <c r="Z68" s="36" cm="1">
        <f t="array" ref="Z68">_xlfn.COUNTIFS('Datos - Objetivos de países'!$B$5:$B$510,"Uruguay",'Datos - Objetivos de países'!$F$5:$F$510,Z$3,'Datos - Objetivos de países'!$J$5:$J$510,$A68)+_xlfn.COUNTIFS('Datos - Objetivos de países'!$B$5:$B$510,"Uruguay",'Datos - Objetivos de países'!$F$5:$F$510,Z$3,'Datos - Objetivos de países'!$K$5:$K$510,$A68)</f>
        <v>0</v>
      </c>
      <c r="AA68" s="36" cm="1">
        <f t="array" ref="AA68">_xlfn.COUNTIFS('Datos - Objetivos de países'!$B$5:$B$510,"Uruguay",'Datos - Objetivos de países'!$F$5:$F$510,AA$3,'Datos - Objetivos de países'!$J$5:$J$510,$A68)+_xlfn.COUNTIFS('Datos - Objetivos de países'!$B$5:$B$510,"Uruguay",'Datos - Objetivos de países'!$F$5:$F$510,AA$3,'Datos - Objetivos de países'!$K$5:$K$510,$A68)</f>
        <v>1</v>
      </c>
      <c r="AB68" s="36" cm="1">
        <f t="array" ref="AB68">_xlfn.COUNTIFS('Datos - Objetivos de países'!$B$5:$B$510,"Uruguay",'Datos - Objetivos de países'!$F$5:$F$510,AB$3,'Datos - Objetivos de países'!$J$5:$J$510,$A68)+_xlfn.COUNTIFS('Datos - Objetivos de países'!$B$5:$B$510,"Uruguay",'Datos - Objetivos de países'!$F$5:$F$510,AB$3,'Datos - Objetivos de países'!$K$5:$K$510,$A68)</f>
        <v>0</v>
      </c>
      <c r="AC68" s="36" cm="1">
        <f t="array" ref="AC68">_xlfn.COUNTIFS('Datos - Objetivos de países'!$B$5:$B$510,"Uruguay",'Datos - Objetivos de países'!$F$5:$F$510,AC$3,'Datos - Objetivos de países'!$J$5:$J$510,$A68)+_xlfn.COUNTIFS('Datos - Objetivos de países'!$B$5:$B$510,"Uruguay",'Datos - Objetivos de países'!$F$5:$F$510,AC$3,'Datos - Objetivos de países'!$K$5:$K$510,$A68)</f>
        <v>0</v>
      </c>
      <c r="AD68" s="36" cm="1">
        <f t="array" ref="AD68">_xlfn.COUNTIFS('Datos - Objetivos de países'!$B$5:$B$510,"Uruguay",'Datos - Objetivos de países'!$F$5:$F$510,AD$3,'Datos - Objetivos de países'!$J$5:$J$510,$A68)+_xlfn.COUNTIFS('Datos - Objetivos de países'!$B$5:$B$510,"Uruguay",'Datos - Objetivos de países'!$F$5:$F$510,AD$3,'Datos - Objetivos de países'!$K$5:$K$510,$A68)</f>
        <v>0</v>
      </c>
      <c r="AE68" s="36" cm="1">
        <f t="array" ref="AE68">_xlfn.COUNTIFS('Datos - Objetivos de países'!$B$5:$B$510,"Uruguay",'Datos - Objetivos de países'!$F$5:$F$510,AE$3,'Datos - Objetivos de países'!$J$5:$J$510,$A68)+_xlfn.COUNTIFS('Datos - Objetivos de países'!$B$5:$B$510,"Uruguay",'Datos - Objetivos de países'!$F$5:$F$510,AE$3,'Datos - Objetivos de países'!$K$5:$K$510,$A68)</f>
        <v>1</v>
      </c>
      <c r="AF68" s="36" cm="1">
        <f t="array" ref="AF68">_xlfn.COUNTIFS('Datos - Objetivos de países'!$B$5:$B$510,"Colombia",'Datos - Objetivos de países'!$F$5:$F$510,AF$3,'Datos - Objetivos de países'!$J$5:$J$510,$A68)+_xlfn.COUNTIFS('Datos - Objetivos de países'!$B$5:$B$510,"Colombia",'Datos - Objetivos de países'!$F$5:$F$510,AF$3,'Datos - Objetivos de países'!$K$5:$K$510,$A68)</f>
        <v>0</v>
      </c>
      <c r="AG68" s="36" cm="1">
        <f t="array" ref="AG68">_xlfn.COUNTIFS('Datos - Objetivos de países'!$B$5:$B$510,"Colombia",'Datos - Objetivos de países'!$F$5:$F$510,AG$3,'Datos - Objetivos de países'!$J$5:$J$510,$A68)+_xlfn.COUNTIFS('Datos - Objetivos de países'!$B$5:$B$510,"Colombia",'Datos - Objetivos de países'!$F$5:$F$510,AG$3,'Datos - Objetivos de países'!$K$5:$K$510,$A68)</f>
        <v>0</v>
      </c>
      <c r="AH68" s="36" cm="1">
        <f t="array" ref="AH68">_xlfn.COUNTIFS('Datos - Objetivos de países'!$B$5:$B$510,"Colombia",'Datos - Objetivos de países'!$F$5:$F$510,AH$3,'Datos - Objetivos de países'!$J$5:$J$510,$A68)+_xlfn.COUNTIFS('Datos - Objetivos de países'!$B$5:$B$510,"Colombia",'Datos - Objetivos de países'!$F$5:$F$510,AH$3,'Datos - Objetivos de países'!$K$5:$K$510,$A68)</f>
        <v>0</v>
      </c>
      <c r="AI68" s="36" cm="1">
        <f t="array" ref="AI68">_xlfn.COUNTIFS('Datos - Objetivos de países'!$B$5:$B$510,"Colombia",'Datos - Objetivos de países'!$F$5:$F$510,AI$3,'Datos - Objetivos de países'!$J$5:$J$510,$A68)+_xlfn.COUNTIFS('Datos - Objetivos de países'!$B$5:$B$510,"Colombia",'Datos - Objetivos de países'!$F$5:$F$510,AI$3,'Datos - Objetivos de países'!$K$5:$K$510,$A68)</f>
        <v>0</v>
      </c>
      <c r="AJ68" s="36" cm="1">
        <f t="array" ref="AJ68">_xlfn.COUNTIFS('Datos - Objetivos de países'!$B$5:$B$510,"Colombia",'Datos - Objetivos de países'!$F$5:$F$510,AJ$3,'Datos - Objetivos de países'!$J$5:$J$510,$A68)+_xlfn.COUNTIFS('Datos - Objetivos de países'!$B$5:$B$510,"Colombia",'Datos - Objetivos de países'!$F$5:$F$510,AJ$3,'Datos - Objetivos de países'!$K$5:$K$510,$A68)</f>
        <v>2</v>
      </c>
      <c r="AK68" s="36" cm="1">
        <f t="array" ref="AK68">_xlfn.COUNTIFS('Datos - Objetivos de países'!$B$5:$B$510,"Colombia",'Datos - Objetivos de países'!$F$5:$F$510,AK$3,'Datos - Objetivos de países'!$J$5:$J$510,$A68)+_xlfn.COUNTIFS('Datos - Objetivos de países'!$B$5:$B$510,"Colombia",'Datos - Objetivos de países'!$F$5:$F$510,AK$3,'Datos - Objetivos de países'!$K$5:$K$510,$A68)</f>
        <v>0</v>
      </c>
      <c r="AL68" s="36" cm="1">
        <f t="array" ref="AL68">_xlfn.COUNTIFS('Datos - Objetivos de países'!$B$5:$B$510,"Colombia",'Datos - Objetivos de países'!$F$5:$F$510,AL$3,'Datos - Objetivos de países'!$J$5:$J$510,$A68)+_xlfn.COUNTIFS('Datos - Objetivos de países'!$B$5:$B$510,"Colombia",'Datos - Objetivos de países'!$F$5:$F$510,AL$3,'Datos - Objetivos de países'!$K$5:$K$510,$A68)</f>
        <v>0</v>
      </c>
      <c r="AM68" s="36" cm="1">
        <f t="array" ref="AM68">_xlfn.COUNTIFS('Datos - Objetivos de países'!$B$5:$B$510,"Colombia",'Datos - Objetivos de países'!$F$5:$F$510,AM$3,'Datos - Objetivos de países'!$J$5:$J$510,$A68)+_xlfn.COUNTIFS('Datos - Objetivos de países'!$B$5:$B$510,"Colombia",'Datos - Objetivos de países'!$F$5:$F$510,AM$3,'Datos - Objetivos de países'!$K$5:$K$510,$A68)</f>
        <v>0</v>
      </c>
      <c r="AN68" s="36" cm="1">
        <f t="array" ref="AN68">_xlfn.COUNTIFS('Datos - Objetivos de países'!$B$5:$B$510,"Colombia",'Datos - Objetivos de países'!$F$5:$F$510,AN$3,'Datos - Objetivos de países'!$J$5:$J$510,$A68)+_xlfn.COUNTIFS('Datos - Objetivos de países'!$B$5:$B$510,"Colombia",'Datos - Objetivos de países'!$F$5:$F$510,AN$3,'Datos - Objetivos de países'!$K$5:$K$510,$A68)</f>
        <v>0</v>
      </c>
      <c r="AO68" s="36" cm="1">
        <f t="array" ref="AO68">_xlfn.COUNTIFS('Datos - Objetivos de países'!$B$5:$B$510,"Singapur",'Datos - Objetivos de países'!$F$5:$F$510,AO$3,'Datos - Objetivos de países'!$J$5:$J$510,$A68)+_xlfn.COUNTIFS('Datos - Objetivos de países'!$B$5:$B$510,"Singapur",'Datos - Objetivos de países'!$F$5:$F$510,AO$3,'Datos - Objetivos de países'!$K$5:$K$510,$A68)</f>
        <v>0</v>
      </c>
      <c r="AP68" s="36" cm="1">
        <f t="array" ref="AP68">_xlfn.COUNTIFS('Datos - Objetivos de países'!$B$5:$B$510,"Singapur",'Datos - Objetivos de países'!$F$5:$F$510,AP$3,'Datos - Objetivos de países'!$J$5:$J$510,$A68)+_xlfn.COUNTIFS('Datos - Objetivos de países'!$B$5:$B$510,"Singapur",'Datos - Objetivos de países'!$F$5:$F$510,AP$3,'Datos - Objetivos de países'!$K$5:$K$510,$A68)</f>
        <v>0</v>
      </c>
      <c r="AQ68" s="36" cm="1">
        <f t="array" ref="AQ68">_xlfn.COUNTIFS('Datos - Objetivos de países'!$B$5:$B$510,"Singapur",'Datos - Objetivos de países'!$F$5:$F$510,AQ$3,'Datos - Objetivos de países'!$J$5:$J$510,$A68)+_xlfn.COUNTIFS('Datos - Objetivos de países'!$B$5:$B$510,"Singapur",'Datos - Objetivos de países'!$F$5:$F$510,AQ$3,'Datos - Objetivos de países'!$K$5:$K$510,$A68)</f>
        <v>0</v>
      </c>
      <c r="AR68" s="36" cm="1">
        <f t="array" ref="AR68">_xlfn.COUNTIFS('Datos - Objetivos de países'!$B$5:$B$510,"Singapur",'Datos - Objetivos de países'!$F$5:$F$510,AR$3,'Datos - Objetivos de países'!$J$5:$J$510,$A68)+_xlfn.COUNTIFS('Datos - Objetivos de países'!$B$5:$B$510,"Singapur",'Datos - Objetivos de países'!$F$5:$F$510,AR$3,'Datos - Objetivos de países'!$K$5:$K$510,$A68)</f>
        <v>0</v>
      </c>
      <c r="AS68" s="36" cm="1">
        <f t="array" ref="AS68">_xlfn.COUNTIFS('Datos - Objetivos de países'!$B$5:$B$510,"Singapur",'Datos - Objetivos de países'!$F$5:$F$510,AS$3,'Datos - Objetivos de países'!$J$5:$J$510,$A68)+_xlfn.COUNTIFS('Datos - Objetivos de países'!$B$5:$B$510,"Singapur",'Datos - Objetivos de países'!$F$5:$F$510,AS$3,'Datos - Objetivos de países'!$K$5:$K$510,$A68)</f>
        <v>5</v>
      </c>
      <c r="AT68" s="36" cm="1">
        <f t="array" ref="AT68">_xlfn.COUNTIFS('Datos - Objetivos de países'!$B$5:$B$510,"Singapur",'Datos - Objetivos de países'!$F$5:$F$510,AT$3,'Datos - Objetivos de países'!$J$5:$J$510,$A68)+_xlfn.COUNTIFS('Datos - Objetivos de países'!$B$5:$B$510,"Singapur",'Datos - Objetivos de países'!$F$5:$F$510,AT$3,'Datos - Objetivos de países'!$K$5:$K$510,$A68)</f>
        <v>0</v>
      </c>
      <c r="AU68" s="36" cm="1">
        <f t="array" ref="AU68">_xlfn.COUNTIFS('Datos - Objetivos de países'!$B$5:$B$510,"Singapur",'Datos - Objetivos de países'!$F$5:$F$510,AU$3,'Datos - Objetivos de países'!$J$5:$J$510,$A68)+_xlfn.COUNTIFS('Datos - Objetivos de países'!$B$5:$B$510,"Singapur",'Datos - Objetivos de países'!$F$5:$F$510,AU$3,'Datos - Objetivos de países'!$K$5:$K$510,$A68)</f>
        <v>0</v>
      </c>
      <c r="AV68" s="36" cm="1">
        <f t="array" ref="AV68">_xlfn.COUNTIFS('Datos - Objetivos de países'!$B$5:$B$510,"Singapur",'Datos - Objetivos de países'!$F$5:$F$510,AV$3,'Datos - Objetivos de países'!$J$5:$J$510,$A68)+_xlfn.COUNTIFS('Datos - Objetivos de países'!$B$5:$B$510,"Singapur",'Datos - Objetivos de países'!$F$5:$F$510,AV$3,'Datos - Objetivos de países'!$K$5:$K$510,$A68)</f>
        <v>0</v>
      </c>
      <c r="AW68" s="36" cm="1">
        <f t="array" ref="AW68">_xlfn.COUNTIFS('Datos - Objetivos de países'!$B$5:$B$510,"Singapur",'Datos - Objetivos de países'!$F$5:$F$510,AW$3,'Datos - Objetivos de países'!$J$5:$J$510,$A68)+_xlfn.COUNTIFS('Datos - Objetivos de países'!$B$5:$B$510,"Singapur",'Datos - Objetivos de países'!$F$5:$F$510,AW$3,'Datos - Objetivos de países'!$K$5:$K$510,$A68)</f>
        <v>0</v>
      </c>
    </row>
    <row r="69" ht="13.65" customHeight="1">
      <c r="A69" t="s" s="78">
        <v>1259</v>
      </c>
      <c r="B69" t="s" s="78">
        <v>1164</v>
      </c>
      <c r="C69" t="s" s="78">
        <v>222</v>
      </c>
      <c r="D69" t="s" s="78">
        <v>1260</v>
      </c>
      <c r="E69" s="80" cm="1">
        <f t="array" ref="E69">_xlfn.IFERROR(MAX($L$3,INDEX($N$3:$V$3,MATCH(TRUE,INDEX(N69:V69&gt;0,0),0))),"—")</f>
        <v>5</v>
      </c>
      <c r="F69" s="80" cm="1">
        <f t="array" ref="F69">_xlfn.IFERROR(MAX($L$3,INDEX($W$3:$AE$3,MATCH(TRUE,INDEX(W69:AE69&gt;0,0),0))),"—")</f>
        <v>5</v>
      </c>
      <c r="G69" s="80" cm="1">
        <f t="array" ref="G69">_xlfn.IFERROR(MAX($L$3,INDEX($AF$3:$AN$3,MATCH(TRUE,INDEX(AF69:AN69&gt;0,0),0))),"—")</f>
        <v>6</v>
      </c>
      <c r="H69" t="str" s="79" cm="1">
        <f t="array" ref="H69">_xlfn.IFERROR(MAX($L$3,INDEX($AO$3:$AW$3,MATCH(TRUE,INDEX(AO69:AW69&gt;0,0),0))),"—")</f>
        <v>—</v>
      </c>
      <c r="I69" s="111" cm="1">
        <f t="array" ref="I69">IF(L69=0,"—",MEDIAN(F69:H69))</f>
        <v>5.5</v>
      </c>
      <c r="J69" s="111" cm="1">
        <f t="array" ref="J69">IF(OR(E69="—",I69="—"),"—",E69-I69)</f>
        <v>-0.5</v>
      </c>
      <c r="K69" t="str" s="49" cm="1">
        <f t="array" ref="K69">IF(E69="—",IF(L69=0,"Nadie lo trabaja","El Salvador no llega"),IF(L69=0,"Solo El Salvador",IF(J69&gt;0,"El Salvador llega más tarde",IF(J69&lt;0,"El Salvador va adelantado","Mismo grado"))))</f>
        <v>El Salvador va adelantado</v>
      </c>
      <c r="L69" s="80" cm="1">
        <f t="array" ref="L69">COUNT(F69:H69)</f>
        <v>2</v>
      </c>
      <c r="M69" s="110"/>
      <c r="N69" s="36" cm="1">
        <f t="array" ref="N69">_xlfn.COUNTIFS('Datos - Temas'!$C$5:$C$1264,"Ciencias",'Datos - Temas'!$B$5:$B$1264,N$3,'Datos - Temas'!$K$5:$K$1264,$A69)+_xlfn.COUNTIFS('Datos - Temas'!$C$5:$C$1264,"Ciencias",'Datos - Temas'!$B$5:$B$1264,N$3,'Datos - Temas'!$L$5:$L$1264,$A69)</f>
        <v>0</v>
      </c>
      <c r="O69" s="36" cm="1">
        <f t="array" ref="O69">_xlfn.COUNTIFS('Datos - Temas'!$C$5:$C$1264,"Ciencias",'Datos - Temas'!$B$5:$B$1264,O$3,'Datos - Temas'!$K$5:$K$1264,$A69)+_xlfn.COUNTIFS('Datos - Temas'!$C$5:$C$1264,"Ciencias",'Datos - Temas'!$B$5:$B$1264,O$3,'Datos - Temas'!$L$5:$L$1264,$A69)</f>
        <v>0</v>
      </c>
      <c r="P69" s="36" cm="1">
        <f t="array" ref="P69">_xlfn.COUNTIFS('Datos - Temas'!$C$5:$C$1264,"Ciencias",'Datos - Temas'!$B$5:$B$1264,P$3,'Datos - Temas'!$K$5:$K$1264,$A69)+_xlfn.COUNTIFS('Datos - Temas'!$C$5:$C$1264,"Ciencias",'Datos - Temas'!$B$5:$B$1264,P$3,'Datos - Temas'!$L$5:$L$1264,$A69)</f>
        <v>0</v>
      </c>
      <c r="Q69" s="36" cm="1">
        <f t="array" ref="Q69">_xlfn.COUNTIFS('Datos - Temas'!$C$5:$C$1264,"Ciencias",'Datos - Temas'!$B$5:$B$1264,Q$3,'Datos - Temas'!$K$5:$K$1264,$A69)+_xlfn.COUNTIFS('Datos - Temas'!$C$5:$C$1264,"Ciencias",'Datos - Temas'!$B$5:$B$1264,Q$3,'Datos - Temas'!$L$5:$L$1264,$A69)</f>
        <v>0</v>
      </c>
      <c r="R69" s="36" cm="1">
        <f t="array" ref="R69">_xlfn.COUNTIFS('Datos - Temas'!$C$5:$C$1264,"Ciencias",'Datos - Temas'!$B$5:$B$1264,R$3,'Datos - Temas'!$K$5:$K$1264,$A69)+_xlfn.COUNTIFS('Datos - Temas'!$C$5:$C$1264,"Ciencias",'Datos - Temas'!$B$5:$B$1264,R$3,'Datos - Temas'!$L$5:$L$1264,$A69)</f>
        <v>1</v>
      </c>
      <c r="S69" s="36" cm="1">
        <f t="array" ref="S69">_xlfn.COUNTIFS('Datos - Temas'!$C$5:$C$1264,"Ciencias",'Datos - Temas'!$B$5:$B$1264,S$3,'Datos - Temas'!$K$5:$K$1264,$A69)+_xlfn.COUNTIFS('Datos - Temas'!$C$5:$C$1264,"Ciencias",'Datos - Temas'!$B$5:$B$1264,S$3,'Datos - Temas'!$L$5:$L$1264,$A69)</f>
        <v>2</v>
      </c>
      <c r="T69" s="36" cm="1">
        <f t="array" ref="T69">_xlfn.COUNTIFS('Datos - Temas'!$C$5:$C$1264,"Ciencias",'Datos - Temas'!$B$5:$B$1264,T$3,'Datos - Temas'!$K$5:$K$1264,$A69)+_xlfn.COUNTIFS('Datos - Temas'!$C$5:$C$1264,"Ciencias",'Datos - Temas'!$B$5:$B$1264,T$3,'Datos - Temas'!$L$5:$L$1264,$A69)</f>
        <v>0</v>
      </c>
      <c r="U69" s="36" cm="1">
        <f t="array" ref="U69">_xlfn.COUNTIFS('Datos - Temas'!$C$5:$C$1264,"Ciencias",'Datos - Temas'!$B$5:$B$1264,U$3,'Datos - Temas'!$K$5:$K$1264,$A69)+_xlfn.COUNTIFS('Datos - Temas'!$C$5:$C$1264,"Ciencias",'Datos - Temas'!$B$5:$B$1264,U$3,'Datos - Temas'!$L$5:$L$1264,$A69)</f>
        <v>0</v>
      </c>
      <c r="V69" s="36" cm="1">
        <f t="array" ref="V69">_xlfn.COUNTIFS('Datos - Temas'!$C$5:$C$1264,"Ciencias",'Datos - Temas'!$B$5:$B$1264,V$3,'Datos - Temas'!$K$5:$K$1264,$A69)+_xlfn.COUNTIFS('Datos - Temas'!$C$5:$C$1264,"Ciencias",'Datos - Temas'!$B$5:$B$1264,V$3,'Datos - Temas'!$L$5:$L$1264,$A69)</f>
        <v>6</v>
      </c>
      <c r="W69" s="36" cm="1">
        <f t="array" ref="W69">_xlfn.COUNTIFS('Datos - Objetivos de países'!$B$5:$B$510,"Uruguay",'Datos - Objetivos de países'!$F$5:$F$510,W$3,'Datos - Objetivos de países'!$J$5:$J$510,$A69)+_xlfn.COUNTIFS('Datos - Objetivos de países'!$B$5:$B$510,"Uruguay",'Datos - Objetivos de países'!$F$5:$F$510,W$3,'Datos - Objetivos de países'!$K$5:$K$510,$A69)</f>
        <v>0</v>
      </c>
      <c r="X69" s="36" cm="1">
        <f t="array" ref="X69">_xlfn.COUNTIFS('Datos - Objetivos de países'!$B$5:$B$510,"Uruguay",'Datos - Objetivos de países'!$F$5:$F$510,X$3,'Datos - Objetivos de países'!$J$5:$J$510,$A69)+_xlfn.COUNTIFS('Datos - Objetivos de países'!$B$5:$B$510,"Uruguay",'Datos - Objetivos de países'!$F$5:$F$510,X$3,'Datos - Objetivos de países'!$K$5:$K$510,$A69)</f>
        <v>0</v>
      </c>
      <c r="Y69" s="36" cm="1">
        <f t="array" ref="Y69">_xlfn.COUNTIFS('Datos - Objetivos de países'!$B$5:$B$510,"Uruguay",'Datos - Objetivos de países'!$F$5:$F$510,Y$3,'Datos - Objetivos de países'!$J$5:$J$510,$A69)+_xlfn.COUNTIFS('Datos - Objetivos de países'!$B$5:$B$510,"Uruguay",'Datos - Objetivos de países'!$F$5:$F$510,Y$3,'Datos - Objetivos de países'!$K$5:$K$510,$A69)</f>
        <v>0</v>
      </c>
      <c r="Z69" s="36" cm="1">
        <f t="array" ref="Z69">_xlfn.COUNTIFS('Datos - Objetivos de países'!$B$5:$B$510,"Uruguay",'Datos - Objetivos de países'!$F$5:$F$510,Z$3,'Datos - Objetivos de países'!$J$5:$J$510,$A69)+_xlfn.COUNTIFS('Datos - Objetivos de países'!$B$5:$B$510,"Uruguay",'Datos - Objetivos de países'!$F$5:$F$510,Z$3,'Datos - Objetivos de países'!$K$5:$K$510,$A69)</f>
        <v>0</v>
      </c>
      <c r="AA69" s="36" cm="1">
        <f t="array" ref="AA69">_xlfn.COUNTIFS('Datos - Objetivos de países'!$B$5:$B$510,"Uruguay",'Datos - Objetivos de países'!$F$5:$F$510,AA$3,'Datos - Objetivos de países'!$J$5:$J$510,$A69)+_xlfn.COUNTIFS('Datos - Objetivos de países'!$B$5:$B$510,"Uruguay",'Datos - Objetivos de países'!$F$5:$F$510,AA$3,'Datos - Objetivos de países'!$K$5:$K$510,$A69)</f>
        <v>1</v>
      </c>
      <c r="AB69" s="36" cm="1">
        <f t="array" ref="AB69">_xlfn.COUNTIFS('Datos - Objetivos de países'!$B$5:$B$510,"Uruguay",'Datos - Objetivos de países'!$F$5:$F$510,AB$3,'Datos - Objetivos de países'!$J$5:$J$510,$A69)+_xlfn.COUNTIFS('Datos - Objetivos de países'!$B$5:$B$510,"Uruguay",'Datos - Objetivos de países'!$F$5:$F$510,AB$3,'Datos - Objetivos de países'!$K$5:$K$510,$A69)</f>
        <v>0</v>
      </c>
      <c r="AC69" s="36" cm="1">
        <f t="array" ref="AC69">_xlfn.COUNTIFS('Datos - Objetivos de países'!$B$5:$B$510,"Uruguay",'Datos - Objetivos de países'!$F$5:$F$510,AC$3,'Datos - Objetivos de países'!$J$5:$J$510,$A69)+_xlfn.COUNTIFS('Datos - Objetivos de países'!$B$5:$B$510,"Uruguay",'Datos - Objetivos de países'!$F$5:$F$510,AC$3,'Datos - Objetivos de países'!$K$5:$K$510,$A69)</f>
        <v>0</v>
      </c>
      <c r="AD69" s="36" cm="1">
        <f t="array" ref="AD69">_xlfn.COUNTIFS('Datos - Objetivos de países'!$B$5:$B$510,"Uruguay",'Datos - Objetivos de países'!$F$5:$F$510,AD$3,'Datos - Objetivos de países'!$J$5:$J$510,$A69)+_xlfn.COUNTIFS('Datos - Objetivos de países'!$B$5:$B$510,"Uruguay",'Datos - Objetivos de países'!$F$5:$F$510,AD$3,'Datos - Objetivos de países'!$K$5:$K$510,$A69)</f>
        <v>0</v>
      </c>
      <c r="AE69" s="36" cm="1">
        <f t="array" ref="AE69">_xlfn.COUNTIFS('Datos - Objetivos de países'!$B$5:$B$510,"Uruguay",'Datos - Objetivos de países'!$F$5:$F$510,AE$3,'Datos - Objetivos de países'!$J$5:$J$510,$A69)+_xlfn.COUNTIFS('Datos - Objetivos de países'!$B$5:$B$510,"Uruguay",'Datos - Objetivos de países'!$F$5:$F$510,AE$3,'Datos - Objetivos de países'!$K$5:$K$510,$A69)</f>
        <v>0</v>
      </c>
      <c r="AF69" s="36" cm="1">
        <f t="array" ref="AF69">_xlfn.COUNTIFS('Datos - Objetivos de países'!$B$5:$B$510,"Colombia",'Datos - Objetivos de países'!$F$5:$F$510,AF$3,'Datos - Objetivos de países'!$J$5:$J$510,$A69)+_xlfn.COUNTIFS('Datos - Objetivos de países'!$B$5:$B$510,"Colombia",'Datos - Objetivos de países'!$F$5:$F$510,AF$3,'Datos - Objetivos de países'!$K$5:$K$510,$A69)</f>
        <v>0</v>
      </c>
      <c r="AG69" s="36" cm="1">
        <f t="array" ref="AG69">_xlfn.COUNTIFS('Datos - Objetivos de países'!$B$5:$B$510,"Colombia",'Datos - Objetivos de países'!$F$5:$F$510,AG$3,'Datos - Objetivos de países'!$J$5:$J$510,$A69)+_xlfn.COUNTIFS('Datos - Objetivos de países'!$B$5:$B$510,"Colombia",'Datos - Objetivos de países'!$F$5:$F$510,AG$3,'Datos - Objetivos de países'!$K$5:$K$510,$A69)</f>
        <v>0</v>
      </c>
      <c r="AH69" s="36" cm="1">
        <f t="array" ref="AH69">_xlfn.COUNTIFS('Datos - Objetivos de países'!$B$5:$B$510,"Colombia",'Datos - Objetivos de países'!$F$5:$F$510,AH$3,'Datos - Objetivos de países'!$J$5:$J$510,$A69)+_xlfn.COUNTIFS('Datos - Objetivos de países'!$B$5:$B$510,"Colombia",'Datos - Objetivos de países'!$F$5:$F$510,AH$3,'Datos - Objetivos de países'!$K$5:$K$510,$A69)</f>
        <v>0</v>
      </c>
      <c r="AI69" s="36" cm="1">
        <f t="array" ref="AI69">_xlfn.COUNTIFS('Datos - Objetivos de países'!$B$5:$B$510,"Colombia",'Datos - Objetivos de países'!$F$5:$F$510,AI$3,'Datos - Objetivos de países'!$J$5:$J$510,$A69)+_xlfn.COUNTIFS('Datos - Objetivos de países'!$B$5:$B$510,"Colombia",'Datos - Objetivos de países'!$F$5:$F$510,AI$3,'Datos - Objetivos de países'!$K$5:$K$510,$A69)</f>
        <v>0</v>
      </c>
      <c r="AJ69" s="36" cm="1">
        <f t="array" ref="AJ69">_xlfn.COUNTIFS('Datos - Objetivos de países'!$B$5:$B$510,"Colombia",'Datos - Objetivos de países'!$F$5:$F$510,AJ$3,'Datos - Objetivos de países'!$J$5:$J$510,$A69)+_xlfn.COUNTIFS('Datos - Objetivos de países'!$B$5:$B$510,"Colombia",'Datos - Objetivos de países'!$F$5:$F$510,AJ$3,'Datos - Objetivos de países'!$K$5:$K$510,$A69)</f>
        <v>0</v>
      </c>
      <c r="AK69" s="36" cm="1">
        <f t="array" ref="AK69">_xlfn.COUNTIFS('Datos - Objetivos de países'!$B$5:$B$510,"Colombia",'Datos - Objetivos de países'!$F$5:$F$510,AK$3,'Datos - Objetivos de países'!$J$5:$J$510,$A69)+_xlfn.COUNTIFS('Datos - Objetivos de países'!$B$5:$B$510,"Colombia",'Datos - Objetivos de países'!$F$5:$F$510,AK$3,'Datos - Objetivos de países'!$K$5:$K$510,$A69)</f>
        <v>1</v>
      </c>
      <c r="AL69" s="36" cm="1">
        <f t="array" ref="AL69">_xlfn.COUNTIFS('Datos - Objetivos de países'!$B$5:$B$510,"Colombia",'Datos - Objetivos de países'!$F$5:$F$510,AL$3,'Datos - Objetivos de países'!$J$5:$J$510,$A69)+_xlfn.COUNTIFS('Datos - Objetivos de países'!$B$5:$B$510,"Colombia",'Datos - Objetivos de países'!$F$5:$F$510,AL$3,'Datos - Objetivos de países'!$K$5:$K$510,$A69)</f>
        <v>0</v>
      </c>
      <c r="AM69" s="36" cm="1">
        <f t="array" ref="AM69">_xlfn.COUNTIFS('Datos - Objetivos de países'!$B$5:$B$510,"Colombia",'Datos - Objetivos de países'!$F$5:$F$510,AM$3,'Datos - Objetivos de países'!$J$5:$J$510,$A69)+_xlfn.COUNTIFS('Datos - Objetivos de países'!$B$5:$B$510,"Colombia",'Datos - Objetivos de países'!$F$5:$F$510,AM$3,'Datos - Objetivos de países'!$K$5:$K$510,$A69)</f>
        <v>0</v>
      </c>
      <c r="AN69" s="36" cm="1">
        <f t="array" ref="AN69">_xlfn.COUNTIFS('Datos - Objetivos de países'!$B$5:$B$510,"Colombia",'Datos - Objetivos de países'!$F$5:$F$510,AN$3,'Datos - Objetivos de países'!$J$5:$J$510,$A69)+_xlfn.COUNTIFS('Datos - Objetivos de países'!$B$5:$B$510,"Colombia",'Datos - Objetivos de países'!$F$5:$F$510,AN$3,'Datos - Objetivos de países'!$K$5:$K$510,$A69)</f>
        <v>0</v>
      </c>
      <c r="AO69" s="36" cm="1">
        <f t="array" ref="AO69">_xlfn.COUNTIFS('Datos - Objetivos de países'!$B$5:$B$510,"Singapur",'Datos - Objetivos de países'!$F$5:$F$510,AO$3,'Datos - Objetivos de países'!$J$5:$J$510,$A69)+_xlfn.COUNTIFS('Datos - Objetivos de países'!$B$5:$B$510,"Singapur",'Datos - Objetivos de países'!$F$5:$F$510,AO$3,'Datos - Objetivos de países'!$K$5:$K$510,$A69)</f>
        <v>0</v>
      </c>
      <c r="AP69" s="36" cm="1">
        <f t="array" ref="AP69">_xlfn.COUNTIFS('Datos - Objetivos de países'!$B$5:$B$510,"Singapur",'Datos - Objetivos de países'!$F$5:$F$510,AP$3,'Datos - Objetivos de países'!$J$5:$J$510,$A69)+_xlfn.COUNTIFS('Datos - Objetivos de países'!$B$5:$B$510,"Singapur",'Datos - Objetivos de países'!$F$5:$F$510,AP$3,'Datos - Objetivos de países'!$K$5:$K$510,$A69)</f>
        <v>0</v>
      </c>
      <c r="AQ69" s="36" cm="1">
        <f t="array" ref="AQ69">_xlfn.COUNTIFS('Datos - Objetivos de países'!$B$5:$B$510,"Singapur",'Datos - Objetivos de países'!$F$5:$F$510,AQ$3,'Datos - Objetivos de países'!$J$5:$J$510,$A69)+_xlfn.COUNTIFS('Datos - Objetivos de países'!$B$5:$B$510,"Singapur",'Datos - Objetivos de países'!$F$5:$F$510,AQ$3,'Datos - Objetivos de países'!$K$5:$K$510,$A69)</f>
        <v>0</v>
      </c>
      <c r="AR69" s="36" cm="1">
        <f t="array" ref="AR69">_xlfn.COUNTIFS('Datos - Objetivos de países'!$B$5:$B$510,"Singapur",'Datos - Objetivos de países'!$F$5:$F$510,AR$3,'Datos - Objetivos de países'!$J$5:$J$510,$A69)+_xlfn.COUNTIFS('Datos - Objetivos de países'!$B$5:$B$510,"Singapur",'Datos - Objetivos de países'!$F$5:$F$510,AR$3,'Datos - Objetivos de países'!$K$5:$K$510,$A69)</f>
        <v>0</v>
      </c>
      <c r="AS69" s="36" cm="1">
        <f t="array" ref="AS69">_xlfn.COUNTIFS('Datos - Objetivos de países'!$B$5:$B$510,"Singapur",'Datos - Objetivos de países'!$F$5:$F$510,AS$3,'Datos - Objetivos de países'!$J$5:$J$510,$A69)+_xlfn.COUNTIFS('Datos - Objetivos de países'!$B$5:$B$510,"Singapur",'Datos - Objetivos de países'!$F$5:$F$510,AS$3,'Datos - Objetivos de países'!$K$5:$K$510,$A69)</f>
        <v>0</v>
      </c>
      <c r="AT69" s="36" cm="1">
        <f t="array" ref="AT69">_xlfn.COUNTIFS('Datos - Objetivos de países'!$B$5:$B$510,"Singapur",'Datos - Objetivos de países'!$F$5:$F$510,AT$3,'Datos - Objetivos de países'!$J$5:$J$510,$A69)+_xlfn.COUNTIFS('Datos - Objetivos de países'!$B$5:$B$510,"Singapur",'Datos - Objetivos de países'!$F$5:$F$510,AT$3,'Datos - Objetivos de países'!$K$5:$K$510,$A69)</f>
        <v>0</v>
      </c>
      <c r="AU69" s="36" cm="1">
        <f t="array" ref="AU69">_xlfn.COUNTIFS('Datos - Objetivos de países'!$B$5:$B$510,"Singapur",'Datos - Objetivos de países'!$F$5:$F$510,AU$3,'Datos - Objetivos de países'!$J$5:$J$510,$A69)+_xlfn.COUNTIFS('Datos - Objetivos de países'!$B$5:$B$510,"Singapur",'Datos - Objetivos de países'!$F$5:$F$510,AU$3,'Datos - Objetivos de países'!$K$5:$K$510,$A69)</f>
        <v>0</v>
      </c>
      <c r="AV69" s="36" cm="1">
        <f t="array" ref="AV69">_xlfn.COUNTIFS('Datos - Objetivos de países'!$B$5:$B$510,"Singapur",'Datos - Objetivos de países'!$F$5:$F$510,AV$3,'Datos - Objetivos de países'!$J$5:$J$510,$A69)+_xlfn.COUNTIFS('Datos - Objetivos de países'!$B$5:$B$510,"Singapur",'Datos - Objetivos de países'!$F$5:$F$510,AV$3,'Datos - Objetivos de países'!$K$5:$K$510,$A69)</f>
        <v>0</v>
      </c>
      <c r="AW69" s="36" cm="1">
        <f t="array" ref="AW69">_xlfn.COUNTIFS('Datos - Objetivos de países'!$B$5:$B$510,"Singapur",'Datos - Objetivos de países'!$F$5:$F$510,AW$3,'Datos - Objetivos de países'!$J$5:$J$510,$A69)+_xlfn.COUNTIFS('Datos - Objetivos de países'!$B$5:$B$510,"Singapur",'Datos - Objetivos de países'!$F$5:$F$510,AW$3,'Datos - Objetivos de países'!$K$5:$K$510,$A69)</f>
        <v>0</v>
      </c>
    </row>
    <row r="70" ht="13.65" customHeight="1">
      <c r="A70" t="s" s="78">
        <v>1262</v>
      </c>
      <c r="B70" t="s" s="78">
        <v>1164</v>
      </c>
      <c r="C70" t="s" s="78">
        <v>222</v>
      </c>
      <c r="D70" t="s" s="78">
        <v>1263</v>
      </c>
      <c r="E70" s="80" cm="1">
        <f t="array" ref="E70">_xlfn.IFERROR(MAX($L$3,INDEX($N$3:$V$3,MATCH(TRUE,INDEX(N70:V70&gt;0,0),0))),"—")</f>
        <v>5</v>
      </c>
      <c r="F70" s="80" cm="1">
        <f t="array" ref="F70">_xlfn.IFERROR(MAX($L$3,INDEX($W$3:$AE$3,MATCH(TRUE,INDEX(W70:AE70&gt;0,0),0))),"—")</f>
        <v>5</v>
      </c>
      <c r="G70" s="80" cm="1">
        <f t="array" ref="G70">_xlfn.IFERROR(MAX($L$3,INDEX($AF$3:$AN$3,MATCH(TRUE,INDEX(AF70:AN70&gt;0,0),0))),"—")</f>
        <v>6</v>
      </c>
      <c r="H70" t="str" s="79" cm="1">
        <f t="array" ref="H70">_xlfn.IFERROR(MAX($L$3,INDEX($AO$3:$AW$3,MATCH(TRUE,INDEX(AO70:AW70&gt;0,0),0))),"—")</f>
        <v>—</v>
      </c>
      <c r="I70" s="111" cm="1">
        <f t="array" ref="I70">IF(L70=0,"—",MEDIAN(F70:H70))</f>
        <v>5.5</v>
      </c>
      <c r="J70" s="111" cm="1">
        <f t="array" ref="J70">IF(OR(E70="—",I70="—"),"—",E70-I70)</f>
        <v>-0.5</v>
      </c>
      <c r="K70" t="str" s="49" cm="1">
        <f t="array" ref="K70">IF(E70="—",IF(L70=0,"Nadie lo trabaja","El Salvador no llega"),IF(L70=0,"Solo El Salvador",IF(J70&gt;0,"El Salvador llega más tarde",IF(J70&lt;0,"El Salvador va adelantado","Mismo grado"))))</f>
        <v>El Salvador va adelantado</v>
      </c>
      <c r="L70" s="80" cm="1">
        <f t="array" ref="L70">COUNT(F70:H70)</f>
        <v>2</v>
      </c>
      <c r="M70" s="110"/>
      <c r="N70" s="36" cm="1">
        <f t="array" ref="N70">_xlfn.COUNTIFS('Datos - Temas'!$C$5:$C$1264,"Ciencias",'Datos - Temas'!$B$5:$B$1264,N$3,'Datos - Temas'!$K$5:$K$1264,$A70)+_xlfn.COUNTIFS('Datos - Temas'!$C$5:$C$1264,"Ciencias",'Datos - Temas'!$B$5:$B$1264,N$3,'Datos - Temas'!$L$5:$L$1264,$A70)</f>
        <v>0</v>
      </c>
      <c r="O70" s="36" cm="1">
        <f t="array" ref="O70">_xlfn.COUNTIFS('Datos - Temas'!$C$5:$C$1264,"Ciencias",'Datos - Temas'!$B$5:$B$1264,O$3,'Datos - Temas'!$K$5:$K$1264,$A70)+_xlfn.COUNTIFS('Datos - Temas'!$C$5:$C$1264,"Ciencias",'Datos - Temas'!$B$5:$B$1264,O$3,'Datos - Temas'!$L$5:$L$1264,$A70)</f>
        <v>0</v>
      </c>
      <c r="P70" s="36" cm="1">
        <f t="array" ref="P70">_xlfn.COUNTIFS('Datos - Temas'!$C$5:$C$1264,"Ciencias",'Datos - Temas'!$B$5:$B$1264,P$3,'Datos - Temas'!$K$5:$K$1264,$A70)+_xlfn.COUNTIFS('Datos - Temas'!$C$5:$C$1264,"Ciencias",'Datos - Temas'!$B$5:$B$1264,P$3,'Datos - Temas'!$L$5:$L$1264,$A70)</f>
        <v>0</v>
      </c>
      <c r="Q70" s="36" cm="1">
        <f t="array" ref="Q70">_xlfn.COUNTIFS('Datos - Temas'!$C$5:$C$1264,"Ciencias",'Datos - Temas'!$B$5:$B$1264,Q$3,'Datos - Temas'!$K$5:$K$1264,$A70)+_xlfn.COUNTIFS('Datos - Temas'!$C$5:$C$1264,"Ciencias",'Datos - Temas'!$B$5:$B$1264,Q$3,'Datos - Temas'!$L$5:$L$1264,$A70)</f>
        <v>0</v>
      </c>
      <c r="R70" s="36" cm="1">
        <f t="array" ref="R70">_xlfn.COUNTIFS('Datos - Temas'!$C$5:$C$1264,"Ciencias",'Datos - Temas'!$B$5:$B$1264,R$3,'Datos - Temas'!$K$5:$K$1264,$A70)+_xlfn.COUNTIFS('Datos - Temas'!$C$5:$C$1264,"Ciencias",'Datos - Temas'!$B$5:$B$1264,R$3,'Datos - Temas'!$L$5:$L$1264,$A70)</f>
        <v>6</v>
      </c>
      <c r="S70" s="36" cm="1">
        <f t="array" ref="S70">_xlfn.COUNTIFS('Datos - Temas'!$C$5:$C$1264,"Ciencias",'Datos - Temas'!$B$5:$B$1264,S$3,'Datos - Temas'!$K$5:$K$1264,$A70)+_xlfn.COUNTIFS('Datos - Temas'!$C$5:$C$1264,"Ciencias",'Datos - Temas'!$B$5:$B$1264,S$3,'Datos - Temas'!$L$5:$L$1264,$A70)</f>
        <v>0</v>
      </c>
      <c r="T70" s="36" cm="1">
        <f t="array" ref="T70">_xlfn.COUNTIFS('Datos - Temas'!$C$5:$C$1264,"Ciencias",'Datos - Temas'!$B$5:$B$1264,T$3,'Datos - Temas'!$K$5:$K$1264,$A70)+_xlfn.COUNTIFS('Datos - Temas'!$C$5:$C$1264,"Ciencias",'Datos - Temas'!$B$5:$B$1264,T$3,'Datos - Temas'!$L$5:$L$1264,$A70)</f>
        <v>0</v>
      </c>
      <c r="U70" s="36" cm="1">
        <f t="array" ref="U70">_xlfn.COUNTIFS('Datos - Temas'!$C$5:$C$1264,"Ciencias",'Datos - Temas'!$B$5:$B$1264,U$3,'Datos - Temas'!$K$5:$K$1264,$A70)+_xlfn.COUNTIFS('Datos - Temas'!$C$5:$C$1264,"Ciencias",'Datos - Temas'!$B$5:$B$1264,U$3,'Datos - Temas'!$L$5:$L$1264,$A70)</f>
        <v>3</v>
      </c>
      <c r="V70" s="36" cm="1">
        <f t="array" ref="V70">_xlfn.COUNTIFS('Datos - Temas'!$C$5:$C$1264,"Ciencias",'Datos - Temas'!$B$5:$B$1264,V$3,'Datos - Temas'!$K$5:$K$1264,$A70)+_xlfn.COUNTIFS('Datos - Temas'!$C$5:$C$1264,"Ciencias",'Datos - Temas'!$B$5:$B$1264,V$3,'Datos - Temas'!$L$5:$L$1264,$A70)</f>
        <v>0</v>
      </c>
      <c r="W70" s="36" cm="1">
        <f t="array" ref="W70">_xlfn.COUNTIFS('Datos - Objetivos de países'!$B$5:$B$510,"Uruguay",'Datos - Objetivos de países'!$F$5:$F$510,W$3,'Datos - Objetivos de países'!$J$5:$J$510,$A70)+_xlfn.COUNTIFS('Datos - Objetivos de países'!$B$5:$B$510,"Uruguay",'Datos - Objetivos de países'!$F$5:$F$510,W$3,'Datos - Objetivos de países'!$K$5:$K$510,$A70)</f>
        <v>0</v>
      </c>
      <c r="X70" s="36" cm="1">
        <f t="array" ref="X70">_xlfn.COUNTIFS('Datos - Objetivos de países'!$B$5:$B$510,"Uruguay",'Datos - Objetivos de países'!$F$5:$F$510,X$3,'Datos - Objetivos de países'!$J$5:$J$510,$A70)+_xlfn.COUNTIFS('Datos - Objetivos de países'!$B$5:$B$510,"Uruguay",'Datos - Objetivos de países'!$F$5:$F$510,X$3,'Datos - Objetivos de países'!$K$5:$K$510,$A70)</f>
        <v>0</v>
      </c>
      <c r="Y70" s="36" cm="1">
        <f t="array" ref="Y70">_xlfn.COUNTIFS('Datos - Objetivos de países'!$B$5:$B$510,"Uruguay",'Datos - Objetivos de países'!$F$5:$F$510,Y$3,'Datos - Objetivos de países'!$J$5:$J$510,$A70)+_xlfn.COUNTIFS('Datos - Objetivos de países'!$B$5:$B$510,"Uruguay",'Datos - Objetivos de países'!$F$5:$F$510,Y$3,'Datos - Objetivos de países'!$K$5:$K$510,$A70)</f>
        <v>0</v>
      </c>
      <c r="Z70" s="36" cm="1">
        <f t="array" ref="Z70">_xlfn.COUNTIFS('Datos - Objetivos de países'!$B$5:$B$510,"Uruguay",'Datos - Objetivos de países'!$F$5:$F$510,Z$3,'Datos - Objetivos de países'!$J$5:$J$510,$A70)+_xlfn.COUNTIFS('Datos - Objetivos de países'!$B$5:$B$510,"Uruguay",'Datos - Objetivos de países'!$F$5:$F$510,Z$3,'Datos - Objetivos de países'!$K$5:$K$510,$A70)</f>
        <v>0</v>
      </c>
      <c r="AA70" s="36" cm="1">
        <f t="array" ref="AA70">_xlfn.COUNTIFS('Datos - Objetivos de países'!$B$5:$B$510,"Uruguay",'Datos - Objetivos de países'!$F$5:$F$510,AA$3,'Datos - Objetivos de países'!$J$5:$J$510,$A70)+_xlfn.COUNTIFS('Datos - Objetivos de países'!$B$5:$B$510,"Uruguay",'Datos - Objetivos de países'!$F$5:$F$510,AA$3,'Datos - Objetivos de países'!$K$5:$K$510,$A70)</f>
        <v>1</v>
      </c>
      <c r="AB70" s="36" cm="1">
        <f t="array" ref="AB70">_xlfn.COUNTIFS('Datos - Objetivos de países'!$B$5:$B$510,"Uruguay",'Datos - Objetivos de países'!$F$5:$F$510,AB$3,'Datos - Objetivos de países'!$J$5:$J$510,$A70)+_xlfn.COUNTIFS('Datos - Objetivos de países'!$B$5:$B$510,"Uruguay",'Datos - Objetivos de países'!$F$5:$F$510,AB$3,'Datos - Objetivos de países'!$K$5:$K$510,$A70)</f>
        <v>0</v>
      </c>
      <c r="AC70" s="36" cm="1">
        <f t="array" ref="AC70">_xlfn.COUNTIFS('Datos - Objetivos de países'!$B$5:$B$510,"Uruguay",'Datos - Objetivos de países'!$F$5:$F$510,AC$3,'Datos - Objetivos de países'!$J$5:$J$510,$A70)+_xlfn.COUNTIFS('Datos - Objetivos de países'!$B$5:$B$510,"Uruguay",'Datos - Objetivos de países'!$F$5:$F$510,AC$3,'Datos - Objetivos de países'!$K$5:$K$510,$A70)</f>
        <v>0</v>
      </c>
      <c r="AD70" s="36" cm="1">
        <f t="array" ref="AD70">_xlfn.COUNTIFS('Datos - Objetivos de países'!$B$5:$B$510,"Uruguay",'Datos - Objetivos de países'!$F$5:$F$510,AD$3,'Datos - Objetivos de países'!$J$5:$J$510,$A70)+_xlfn.COUNTIFS('Datos - Objetivos de países'!$B$5:$B$510,"Uruguay",'Datos - Objetivos de países'!$F$5:$F$510,AD$3,'Datos - Objetivos de países'!$K$5:$K$510,$A70)</f>
        <v>0</v>
      </c>
      <c r="AE70" s="36" cm="1">
        <f t="array" ref="AE70">_xlfn.COUNTIFS('Datos - Objetivos de países'!$B$5:$B$510,"Uruguay",'Datos - Objetivos de países'!$F$5:$F$510,AE$3,'Datos - Objetivos de países'!$J$5:$J$510,$A70)+_xlfn.COUNTIFS('Datos - Objetivos de países'!$B$5:$B$510,"Uruguay",'Datos - Objetivos de países'!$F$5:$F$510,AE$3,'Datos - Objetivos de países'!$K$5:$K$510,$A70)</f>
        <v>1</v>
      </c>
      <c r="AF70" s="36" cm="1">
        <f t="array" ref="AF70">_xlfn.COUNTIFS('Datos - Objetivos de países'!$B$5:$B$510,"Colombia",'Datos - Objetivos de países'!$F$5:$F$510,AF$3,'Datos - Objetivos de países'!$J$5:$J$510,$A70)+_xlfn.COUNTIFS('Datos - Objetivos de países'!$B$5:$B$510,"Colombia",'Datos - Objetivos de países'!$F$5:$F$510,AF$3,'Datos - Objetivos de países'!$K$5:$K$510,$A70)</f>
        <v>0</v>
      </c>
      <c r="AG70" s="36" cm="1">
        <f t="array" ref="AG70">_xlfn.COUNTIFS('Datos - Objetivos de países'!$B$5:$B$510,"Colombia",'Datos - Objetivos de países'!$F$5:$F$510,AG$3,'Datos - Objetivos de países'!$J$5:$J$510,$A70)+_xlfn.COUNTIFS('Datos - Objetivos de países'!$B$5:$B$510,"Colombia",'Datos - Objetivos de países'!$F$5:$F$510,AG$3,'Datos - Objetivos de países'!$K$5:$K$510,$A70)</f>
        <v>0</v>
      </c>
      <c r="AH70" s="36" cm="1">
        <f t="array" ref="AH70">_xlfn.COUNTIFS('Datos - Objetivos de países'!$B$5:$B$510,"Colombia",'Datos - Objetivos de países'!$F$5:$F$510,AH$3,'Datos - Objetivos de países'!$J$5:$J$510,$A70)+_xlfn.COUNTIFS('Datos - Objetivos de países'!$B$5:$B$510,"Colombia",'Datos - Objetivos de países'!$F$5:$F$510,AH$3,'Datos - Objetivos de países'!$K$5:$K$510,$A70)</f>
        <v>0</v>
      </c>
      <c r="AI70" s="36" cm="1">
        <f t="array" ref="AI70">_xlfn.COUNTIFS('Datos - Objetivos de países'!$B$5:$B$510,"Colombia",'Datos - Objetivos de países'!$F$5:$F$510,AI$3,'Datos - Objetivos de países'!$J$5:$J$510,$A70)+_xlfn.COUNTIFS('Datos - Objetivos de países'!$B$5:$B$510,"Colombia",'Datos - Objetivos de países'!$F$5:$F$510,AI$3,'Datos - Objetivos de países'!$K$5:$K$510,$A70)</f>
        <v>0</v>
      </c>
      <c r="AJ70" s="36" cm="1">
        <f t="array" ref="AJ70">_xlfn.COUNTIFS('Datos - Objetivos de países'!$B$5:$B$510,"Colombia",'Datos - Objetivos de países'!$F$5:$F$510,AJ$3,'Datos - Objetivos de países'!$J$5:$J$510,$A70)+_xlfn.COUNTIFS('Datos - Objetivos de países'!$B$5:$B$510,"Colombia",'Datos - Objetivos de países'!$F$5:$F$510,AJ$3,'Datos - Objetivos de países'!$K$5:$K$510,$A70)</f>
        <v>0</v>
      </c>
      <c r="AK70" s="36" cm="1">
        <f t="array" ref="AK70">_xlfn.COUNTIFS('Datos - Objetivos de países'!$B$5:$B$510,"Colombia",'Datos - Objetivos de países'!$F$5:$F$510,AK$3,'Datos - Objetivos de países'!$J$5:$J$510,$A70)+_xlfn.COUNTIFS('Datos - Objetivos de países'!$B$5:$B$510,"Colombia",'Datos - Objetivos de países'!$F$5:$F$510,AK$3,'Datos - Objetivos de países'!$K$5:$K$510,$A70)</f>
        <v>2</v>
      </c>
      <c r="AL70" s="36" cm="1">
        <f t="array" ref="AL70">_xlfn.COUNTIFS('Datos - Objetivos de países'!$B$5:$B$510,"Colombia",'Datos - Objetivos de países'!$F$5:$F$510,AL$3,'Datos - Objetivos de países'!$J$5:$J$510,$A70)+_xlfn.COUNTIFS('Datos - Objetivos de países'!$B$5:$B$510,"Colombia",'Datos - Objetivos de países'!$F$5:$F$510,AL$3,'Datos - Objetivos de países'!$K$5:$K$510,$A70)</f>
        <v>0</v>
      </c>
      <c r="AM70" s="36" cm="1">
        <f t="array" ref="AM70">_xlfn.COUNTIFS('Datos - Objetivos de países'!$B$5:$B$510,"Colombia",'Datos - Objetivos de países'!$F$5:$F$510,AM$3,'Datos - Objetivos de países'!$J$5:$J$510,$A70)+_xlfn.COUNTIFS('Datos - Objetivos de países'!$B$5:$B$510,"Colombia",'Datos - Objetivos de países'!$F$5:$F$510,AM$3,'Datos - Objetivos de países'!$K$5:$K$510,$A70)</f>
        <v>0</v>
      </c>
      <c r="AN70" s="36" cm="1">
        <f t="array" ref="AN70">_xlfn.COUNTIFS('Datos - Objetivos de países'!$B$5:$B$510,"Colombia",'Datos - Objetivos de países'!$F$5:$F$510,AN$3,'Datos - Objetivos de países'!$J$5:$J$510,$A70)+_xlfn.COUNTIFS('Datos - Objetivos de países'!$B$5:$B$510,"Colombia",'Datos - Objetivos de países'!$F$5:$F$510,AN$3,'Datos - Objetivos de países'!$K$5:$K$510,$A70)</f>
        <v>1</v>
      </c>
      <c r="AO70" s="36" cm="1">
        <f t="array" ref="AO70">_xlfn.COUNTIFS('Datos - Objetivos de países'!$B$5:$B$510,"Singapur",'Datos - Objetivos de países'!$F$5:$F$510,AO$3,'Datos - Objetivos de países'!$J$5:$J$510,$A70)+_xlfn.COUNTIFS('Datos - Objetivos de países'!$B$5:$B$510,"Singapur",'Datos - Objetivos de países'!$F$5:$F$510,AO$3,'Datos - Objetivos de países'!$K$5:$K$510,$A70)</f>
        <v>0</v>
      </c>
      <c r="AP70" s="36" cm="1">
        <f t="array" ref="AP70">_xlfn.COUNTIFS('Datos - Objetivos de países'!$B$5:$B$510,"Singapur",'Datos - Objetivos de países'!$F$5:$F$510,AP$3,'Datos - Objetivos de países'!$J$5:$J$510,$A70)+_xlfn.COUNTIFS('Datos - Objetivos de países'!$B$5:$B$510,"Singapur",'Datos - Objetivos de países'!$F$5:$F$510,AP$3,'Datos - Objetivos de países'!$K$5:$K$510,$A70)</f>
        <v>0</v>
      </c>
      <c r="AQ70" s="36" cm="1">
        <f t="array" ref="AQ70">_xlfn.COUNTIFS('Datos - Objetivos de países'!$B$5:$B$510,"Singapur",'Datos - Objetivos de países'!$F$5:$F$510,AQ$3,'Datos - Objetivos de países'!$J$5:$J$510,$A70)+_xlfn.COUNTIFS('Datos - Objetivos de países'!$B$5:$B$510,"Singapur",'Datos - Objetivos de países'!$F$5:$F$510,AQ$3,'Datos - Objetivos de países'!$K$5:$K$510,$A70)</f>
        <v>0</v>
      </c>
      <c r="AR70" s="36" cm="1">
        <f t="array" ref="AR70">_xlfn.COUNTIFS('Datos - Objetivos de países'!$B$5:$B$510,"Singapur",'Datos - Objetivos de países'!$F$5:$F$510,AR$3,'Datos - Objetivos de países'!$J$5:$J$510,$A70)+_xlfn.COUNTIFS('Datos - Objetivos de países'!$B$5:$B$510,"Singapur",'Datos - Objetivos de países'!$F$5:$F$510,AR$3,'Datos - Objetivos de países'!$K$5:$K$510,$A70)</f>
        <v>0</v>
      </c>
      <c r="AS70" s="36" cm="1">
        <f t="array" ref="AS70">_xlfn.COUNTIFS('Datos - Objetivos de países'!$B$5:$B$510,"Singapur",'Datos - Objetivos de países'!$F$5:$F$510,AS$3,'Datos - Objetivos de países'!$J$5:$J$510,$A70)+_xlfn.COUNTIFS('Datos - Objetivos de países'!$B$5:$B$510,"Singapur",'Datos - Objetivos de países'!$F$5:$F$510,AS$3,'Datos - Objetivos de países'!$K$5:$K$510,$A70)</f>
        <v>0</v>
      </c>
      <c r="AT70" s="36" cm="1">
        <f t="array" ref="AT70">_xlfn.COUNTIFS('Datos - Objetivos de países'!$B$5:$B$510,"Singapur",'Datos - Objetivos de países'!$F$5:$F$510,AT$3,'Datos - Objetivos de países'!$J$5:$J$510,$A70)+_xlfn.COUNTIFS('Datos - Objetivos de países'!$B$5:$B$510,"Singapur",'Datos - Objetivos de países'!$F$5:$F$510,AT$3,'Datos - Objetivos de países'!$K$5:$K$510,$A70)</f>
        <v>0</v>
      </c>
      <c r="AU70" s="36" cm="1">
        <f t="array" ref="AU70">_xlfn.COUNTIFS('Datos - Objetivos de países'!$B$5:$B$510,"Singapur",'Datos - Objetivos de países'!$F$5:$F$510,AU$3,'Datos - Objetivos de países'!$J$5:$J$510,$A70)+_xlfn.COUNTIFS('Datos - Objetivos de países'!$B$5:$B$510,"Singapur",'Datos - Objetivos de países'!$F$5:$F$510,AU$3,'Datos - Objetivos de países'!$K$5:$K$510,$A70)</f>
        <v>0</v>
      </c>
      <c r="AV70" s="36" cm="1">
        <f t="array" ref="AV70">_xlfn.COUNTIFS('Datos - Objetivos de países'!$B$5:$B$510,"Singapur",'Datos - Objetivos de países'!$F$5:$F$510,AV$3,'Datos - Objetivos de países'!$J$5:$J$510,$A70)+_xlfn.COUNTIFS('Datos - Objetivos de países'!$B$5:$B$510,"Singapur",'Datos - Objetivos de países'!$F$5:$F$510,AV$3,'Datos - Objetivos de países'!$K$5:$K$510,$A70)</f>
        <v>0</v>
      </c>
      <c r="AW70" s="36" cm="1">
        <f t="array" ref="AW70">_xlfn.COUNTIFS('Datos - Objetivos de países'!$B$5:$B$510,"Singapur",'Datos - Objetivos de países'!$F$5:$F$510,AW$3,'Datos - Objetivos de países'!$J$5:$J$510,$A70)+_xlfn.COUNTIFS('Datos - Objetivos de países'!$B$5:$B$510,"Singapur",'Datos - Objetivos de países'!$F$5:$F$510,AW$3,'Datos - Objetivos de países'!$K$5:$K$510,$A70)</f>
        <v>0</v>
      </c>
    </row>
    <row r="71" ht="13.65" customHeight="1">
      <c r="A71" t="s" s="78">
        <v>588</v>
      </c>
      <c r="B71" t="s" s="78">
        <v>1164</v>
      </c>
      <c r="C71" t="s" s="78">
        <v>222</v>
      </c>
      <c r="D71" t="s" s="78">
        <v>1265</v>
      </c>
      <c r="E71" s="80" cm="1">
        <f t="array" ref="E71">_xlfn.IFERROR(MAX($L$3,INDEX($N$3:$V$3,MATCH(TRUE,INDEX(N71:V71&gt;0,0),0))),"—")</f>
        <v>5</v>
      </c>
      <c r="F71" s="80" cm="1">
        <f t="array" ref="F71">_xlfn.IFERROR(MAX($L$3,INDEX($W$3:$AE$3,MATCH(TRUE,INDEX(W71:AE71&gt;0,0),0))),"—")</f>
        <v>5</v>
      </c>
      <c r="G71" s="80" cm="1">
        <f t="array" ref="G71">_xlfn.IFERROR(MAX($L$3,INDEX($AF$3:$AN$3,MATCH(TRUE,INDEX(AF71:AN71&gt;0,0),0))),"—")</f>
        <v>6</v>
      </c>
      <c r="H71" s="80" cm="1">
        <f t="array" ref="H71">_xlfn.IFERROR(MAX($L$3,INDEX($AO$3:$AW$3,MATCH(TRUE,INDEX(AO71:AW71&gt;0,0),0))),"—")</f>
        <v>6</v>
      </c>
      <c r="I71" s="111" cm="1">
        <f t="array" ref="I71">IF(L71=0,"—",MEDIAN(F71:H71))</f>
        <v>6</v>
      </c>
      <c r="J71" s="111" cm="1">
        <f t="array" ref="J71">IF(OR(E71="—",I71="—"),"—",E71-I71)</f>
        <v>-1</v>
      </c>
      <c r="K71" t="str" s="49" cm="1">
        <f t="array" ref="K71">IF(E71="—",IF(L71=0,"Nadie lo trabaja","El Salvador no llega"),IF(L71=0,"Solo El Salvador",IF(J71&gt;0,"El Salvador llega más tarde",IF(J71&lt;0,"El Salvador va adelantado","Mismo grado"))))</f>
        <v>El Salvador va adelantado</v>
      </c>
      <c r="L71" s="80" cm="1">
        <f t="array" ref="L71">COUNT(F71:H71)</f>
        <v>3</v>
      </c>
      <c r="M71" s="110"/>
      <c r="N71" s="36" cm="1">
        <f t="array" ref="N71">_xlfn.COUNTIFS('Datos - Temas'!$C$5:$C$1264,"Ciencias",'Datos - Temas'!$B$5:$B$1264,N$3,'Datos - Temas'!$K$5:$K$1264,$A71)+_xlfn.COUNTIFS('Datos - Temas'!$C$5:$C$1264,"Ciencias",'Datos - Temas'!$B$5:$B$1264,N$3,'Datos - Temas'!$L$5:$L$1264,$A71)</f>
        <v>0</v>
      </c>
      <c r="O71" s="36" cm="1">
        <f t="array" ref="O71">_xlfn.COUNTIFS('Datos - Temas'!$C$5:$C$1264,"Ciencias",'Datos - Temas'!$B$5:$B$1264,O$3,'Datos - Temas'!$K$5:$K$1264,$A71)+_xlfn.COUNTIFS('Datos - Temas'!$C$5:$C$1264,"Ciencias",'Datos - Temas'!$B$5:$B$1264,O$3,'Datos - Temas'!$L$5:$L$1264,$A71)</f>
        <v>0</v>
      </c>
      <c r="P71" s="36" cm="1">
        <f t="array" ref="P71">_xlfn.COUNTIFS('Datos - Temas'!$C$5:$C$1264,"Ciencias",'Datos - Temas'!$B$5:$B$1264,P$3,'Datos - Temas'!$K$5:$K$1264,$A71)+_xlfn.COUNTIFS('Datos - Temas'!$C$5:$C$1264,"Ciencias",'Datos - Temas'!$B$5:$B$1264,P$3,'Datos - Temas'!$L$5:$L$1264,$A71)</f>
        <v>0</v>
      </c>
      <c r="Q71" s="36" cm="1">
        <f t="array" ref="Q71">_xlfn.COUNTIFS('Datos - Temas'!$C$5:$C$1264,"Ciencias",'Datos - Temas'!$B$5:$B$1264,Q$3,'Datos - Temas'!$K$5:$K$1264,$A71)+_xlfn.COUNTIFS('Datos - Temas'!$C$5:$C$1264,"Ciencias",'Datos - Temas'!$B$5:$B$1264,Q$3,'Datos - Temas'!$L$5:$L$1264,$A71)</f>
        <v>0</v>
      </c>
      <c r="R71" s="36" cm="1">
        <f t="array" ref="R71">_xlfn.COUNTIFS('Datos - Temas'!$C$5:$C$1264,"Ciencias",'Datos - Temas'!$B$5:$B$1264,R$3,'Datos - Temas'!$K$5:$K$1264,$A71)+_xlfn.COUNTIFS('Datos - Temas'!$C$5:$C$1264,"Ciencias",'Datos - Temas'!$B$5:$B$1264,R$3,'Datos - Temas'!$L$5:$L$1264,$A71)</f>
        <v>3</v>
      </c>
      <c r="S71" s="36" cm="1">
        <f t="array" ref="S71">_xlfn.COUNTIFS('Datos - Temas'!$C$5:$C$1264,"Ciencias",'Datos - Temas'!$B$5:$B$1264,S$3,'Datos - Temas'!$K$5:$K$1264,$A71)+_xlfn.COUNTIFS('Datos - Temas'!$C$5:$C$1264,"Ciencias",'Datos - Temas'!$B$5:$B$1264,S$3,'Datos - Temas'!$L$5:$L$1264,$A71)</f>
        <v>0</v>
      </c>
      <c r="T71" s="36" cm="1">
        <f t="array" ref="T71">_xlfn.COUNTIFS('Datos - Temas'!$C$5:$C$1264,"Ciencias",'Datos - Temas'!$B$5:$B$1264,T$3,'Datos - Temas'!$K$5:$K$1264,$A71)+_xlfn.COUNTIFS('Datos - Temas'!$C$5:$C$1264,"Ciencias",'Datos - Temas'!$B$5:$B$1264,T$3,'Datos - Temas'!$L$5:$L$1264,$A71)</f>
        <v>0</v>
      </c>
      <c r="U71" s="36" cm="1">
        <f t="array" ref="U71">_xlfn.COUNTIFS('Datos - Temas'!$C$5:$C$1264,"Ciencias",'Datos - Temas'!$B$5:$B$1264,U$3,'Datos - Temas'!$K$5:$K$1264,$A71)+_xlfn.COUNTIFS('Datos - Temas'!$C$5:$C$1264,"Ciencias",'Datos - Temas'!$B$5:$B$1264,U$3,'Datos - Temas'!$L$5:$L$1264,$A71)</f>
        <v>6</v>
      </c>
      <c r="V71" s="36" cm="1">
        <f t="array" ref="V71">_xlfn.COUNTIFS('Datos - Temas'!$C$5:$C$1264,"Ciencias",'Datos - Temas'!$B$5:$B$1264,V$3,'Datos - Temas'!$K$5:$K$1264,$A71)+_xlfn.COUNTIFS('Datos - Temas'!$C$5:$C$1264,"Ciencias",'Datos - Temas'!$B$5:$B$1264,V$3,'Datos - Temas'!$L$5:$L$1264,$A71)</f>
        <v>3</v>
      </c>
      <c r="W71" s="36" cm="1">
        <f t="array" ref="W71">_xlfn.COUNTIFS('Datos - Objetivos de países'!$B$5:$B$510,"Uruguay",'Datos - Objetivos de países'!$F$5:$F$510,W$3,'Datos - Objetivos de países'!$J$5:$J$510,$A71)+_xlfn.COUNTIFS('Datos - Objetivos de países'!$B$5:$B$510,"Uruguay",'Datos - Objetivos de países'!$F$5:$F$510,W$3,'Datos - Objetivos de países'!$K$5:$K$510,$A71)</f>
        <v>0</v>
      </c>
      <c r="X71" s="36" cm="1">
        <f t="array" ref="X71">_xlfn.COUNTIFS('Datos - Objetivos de países'!$B$5:$B$510,"Uruguay",'Datos - Objetivos de países'!$F$5:$F$510,X$3,'Datos - Objetivos de países'!$J$5:$J$510,$A71)+_xlfn.COUNTIFS('Datos - Objetivos de países'!$B$5:$B$510,"Uruguay",'Datos - Objetivos de países'!$F$5:$F$510,X$3,'Datos - Objetivos de países'!$K$5:$K$510,$A71)</f>
        <v>0</v>
      </c>
      <c r="Y71" s="36" cm="1">
        <f t="array" ref="Y71">_xlfn.COUNTIFS('Datos - Objetivos de países'!$B$5:$B$510,"Uruguay",'Datos - Objetivos de países'!$F$5:$F$510,Y$3,'Datos - Objetivos de países'!$J$5:$J$510,$A71)+_xlfn.COUNTIFS('Datos - Objetivos de países'!$B$5:$B$510,"Uruguay",'Datos - Objetivos de países'!$F$5:$F$510,Y$3,'Datos - Objetivos de países'!$K$5:$K$510,$A71)</f>
        <v>0</v>
      </c>
      <c r="Z71" s="36" cm="1">
        <f t="array" ref="Z71">_xlfn.COUNTIFS('Datos - Objetivos de países'!$B$5:$B$510,"Uruguay",'Datos - Objetivos de países'!$F$5:$F$510,Z$3,'Datos - Objetivos de países'!$J$5:$J$510,$A71)+_xlfn.COUNTIFS('Datos - Objetivos de países'!$B$5:$B$510,"Uruguay",'Datos - Objetivos de países'!$F$5:$F$510,Z$3,'Datos - Objetivos de países'!$K$5:$K$510,$A71)</f>
        <v>0</v>
      </c>
      <c r="AA71" s="36" cm="1">
        <f t="array" ref="AA71">_xlfn.COUNTIFS('Datos - Objetivos de países'!$B$5:$B$510,"Uruguay",'Datos - Objetivos de países'!$F$5:$F$510,AA$3,'Datos - Objetivos de países'!$J$5:$J$510,$A71)+_xlfn.COUNTIFS('Datos - Objetivos de países'!$B$5:$B$510,"Uruguay",'Datos - Objetivos de países'!$F$5:$F$510,AA$3,'Datos - Objetivos de países'!$K$5:$K$510,$A71)</f>
        <v>2</v>
      </c>
      <c r="AB71" s="36" cm="1">
        <f t="array" ref="AB71">_xlfn.COUNTIFS('Datos - Objetivos de países'!$B$5:$B$510,"Uruguay",'Datos - Objetivos de países'!$F$5:$F$510,AB$3,'Datos - Objetivos de países'!$J$5:$J$510,$A71)+_xlfn.COUNTIFS('Datos - Objetivos de países'!$B$5:$B$510,"Uruguay",'Datos - Objetivos de países'!$F$5:$F$510,AB$3,'Datos - Objetivos de países'!$K$5:$K$510,$A71)</f>
        <v>0</v>
      </c>
      <c r="AC71" s="36" cm="1">
        <f t="array" ref="AC71">_xlfn.COUNTIFS('Datos - Objetivos de países'!$B$5:$B$510,"Uruguay",'Datos - Objetivos de países'!$F$5:$F$510,AC$3,'Datos - Objetivos de países'!$J$5:$J$510,$A71)+_xlfn.COUNTIFS('Datos - Objetivos de países'!$B$5:$B$510,"Uruguay",'Datos - Objetivos de países'!$F$5:$F$510,AC$3,'Datos - Objetivos de países'!$K$5:$K$510,$A71)</f>
        <v>0</v>
      </c>
      <c r="AD71" s="36" cm="1">
        <f t="array" ref="AD71">_xlfn.COUNTIFS('Datos - Objetivos de países'!$B$5:$B$510,"Uruguay",'Datos - Objetivos de países'!$F$5:$F$510,AD$3,'Datos - Objetivos de países'!$J$5:$J$510,$A71)+_xlfn.COUNTIFS('Datos - Objetivos de países'!$B$5:$B$510,"Uruguay",'Datos - Objetivos de países'!$F$5:$F$510,AD$3,'Datos - Objetivos de países'!$K$5:$K$510,$A71)</f>
        <v>0</v>
      </c>
      <c r="AE71" s="36" cm="1">
        <f t="array" ref="AE71">_xlfn.COUNTIFS('Datos - Objetivos de países'!$B$5:$B$510,"Uruguay",'Datos - Objetivos de países'!$F$5:$F$510,AE$3,'Datos - Objetivos de países'!$J$5:$J$510,$A71)+_xlfn.COUNTIFS('Datos - Objetivos de países'!$B$5:$B$510,"Uruguay",'Datos - Objetivos de países'!$F$5:$F$510,AE$3,'Datos - Objetivos de países'!$K$5:$K$510,$A71)</f>
        <v>0</v>
      </c>
      <c r="AF71" s="36" cm="1">
        <f t="array" ref="AF71">_xlfn.COUNTIFS('Datos - Objetivos de países'!$B$5:$B$510,"Colombia",'Datos - Objetivos de países'!$F$5:$F$510,AF$3,'Datos - Objetivos de países'!$J$5:$J$510,$A71)+_xlfn.COUNTIFS('Datos - Objetivos de países'!$B$5:$B$510,"Colombia",'Datos - Objetivos de países'!$F$5:$F$510,AF$3,'Datos - Objetivos de países'!$K$5:$K$510,$A71)</f>
        <v>0</v>
      </c>
      <c r="AG71" s="36" cm="1">
        <f t="array" ref="AG71">_xlfn.COUNTIFS('Datos - Objetivos de países'!$B$5:$B$510,"Colombia",'Datos - Objetivos de países'!$F$5:$F$510,AG$3,'Datos - Objetivos de países'!$J$5:$J$510,$A71)+_xlfn.COUNTIFS('Datos - Objetivos de países'!$B$5:$B$510,"Colombia",'Datos - Objetivos de países'!$F$5:$F$510,AG$3,'Datos - Objetivos de países'!$K$5:$K$510,$A71)</f>
        <v>0</v>
      </c>
      <c r="AH71" s="36" cm="1">
        <f t="array" ref="AH71">_xlfn.COUNTIFS('Datos - Objetivos de países'!$B$5:$B$510,"Colombia",'Datos - Objetivos de países'!$F$5:$F$510,AH$3,'Datos - Objetivos de países'!$J$5:$J$510,$A71)+_xlfn.COUNTIFS('Datos - Objetivos de países'!$B$5:$B$510,"Colombia",'Datos - Objetivos de países'!$F$5:$F$510,AH$3,'Datos - Objetivos de países'!$K$5:$K$510,$A71)</f>
        <v>0</v>
      </c>
      <c r="AI71" s="36" cm="1">
        <f t="array" ref="AI71">_xlfn.COUNTIFS('Datos - Objetivos de países'!$B$5:$B$510,"Colombia",'Datos - Objetivos de países'!$F$5:$F$510,AI$3,'Datos - Objetivos de países'!$J$5:$J$510,$A71)+_xlfn.COUNTIFS('Datos - Objetivos de países'!$B$5:$B$510,"Colombia",'Datos - Objetivos de países'!$F$5:$F$510,AI$3,'Datos - Objetivos de países'!$K$5:$K$510,$A71)</f>
        <v>0</v>
      </c>
      <c r="AJ71" s="36" cm="1">
        <f t="array" ref="AJ71">_xlfn.COUNTIFS('Datos - Objetivos de países'!$B$5:$B$510,"Colombia",'Datos - Objetivos de países'!$F$5:$F$510,AJ$3,'Datos - Objetivos de países'!$J$5:$J$510,$A71)+_xlfn.COUNTIFS('Datos - Objetivos de países'!$B$5:$B$510,"Colombia",'Datos - Objetivos de países'!$F$5:$F$510,AJ$3,'Datos - Objetivos de países'!$K$5:$K$510,$A71)</f>
        <v>0</v>
      </c>
      <c r="AK71" s="36" cm="1">
        <f t="array" ref="AK71">_xlfn.COUNTIFS('Datos - Objetivos de países'!$B$5:$B$510,"Colombia",'Datos - Objetivos de países'!$F$5:$F$510,AK$3,'Datos - Objetivos de países'!$J$5:$J$510,$A71)+_xlfn.COUNTIFS('Datos - Objetivos de países'!$B$5:$B$510,"Colombia",'Datos - Objetivos de países'!$F$5:$F$510,AK$3,'Datos - Objetivos de países'!$K$5:$K$510,$A71)</f>
        <v>2</v>
      </c>
      <c r="AL71" s="36" cm="1">
        <f t="array" ref="AL71">_xlfn.COUNTIFS('Datos - Objetivos de países'!$B$5:$B$510,"Colombia",'Datos - Objetivos de países'!$F$5:$F$510,AL$3,'Datos - Objetivos de países'!$J$5:$J$510,$A71)+_xlfn.COUNTIFS('Datos - Objetivos de países'!$B$5:$B$510,"Colombia",'Datos - Objetivos de países'!$F$5:$F$510,AL$3,'Datos - Objetivos de países'!$K$5:$K$510,$A71)</f>
        <v>0</v>
      </c>
      <c r="AM71" s="36" cm="1">
        <f t="array" ref="AM71">_xlfn.COUNTIFS('Datos - Objetivos de países'!$B$5:$B$510,"Colombia",'Datos - Objetivos de países'!$F$5:$F$510,AM$3,'Datos - Objetivos de países'!$J$5:$J$510,$A71)+_xlfn.COUNTIFS('Datos - Objetivos de países'!$B$5:$B$510,"Colombia",'Datos - Objetivos de países'!$F$5:$F$510,AM$3,'Datos - Objetivos de países'!$K$5:$K$510,$A71)</f>
        <v>1</v>
      </c>
      <c r="AN71" s="36" cm="1">
        <f t="array" ref="AN71">_xlfn.COUNTIFS('Datos - Objetivos de países'!$B$5:$B$510,"Colombia",'Datos - Objetivos de países'!$F$5:$F$510,AN$3,'Datos - Objetivos de países'!$J$5:$J$510,$A71)+_xlfn.COUNTIFS('Datos - Objetivos de países'!$B$5:$B$510,"Colombia",'Datos - Objetivos de países'!$F$5:$F$510,AN$3,'Datos - Objetivos de países'!$K$5:$K$510,$A71)</f>
        <v>0</v>
      </c>
      <c r="AO71" s="36" cm="1">
        <f t="array" ref="AO71">_xlfn.COUNTIFS('Datos - Objetivos de países'!$B$5:$B$510,"Singapur",'Datos - Objetivos de países'!$F$5:$F$510,AO$3,'Datos - Objetivos de países'!$J$5:$J$510,$A71)+_xlfn.COUNTIFS('Datos - Objetivos de países'!$B$5:$B$510,"Singapur",'Datos - Objetivos de países'!$F$5:$F$510,AO$3,'Datos - Objetivos de países'!$K$5:$K$510,$A71)</f>
        <v>0</v>
      </c>
      <c r="AP71" s="36" cm="1">
        <f t="array" ref="AP71">_xlfn.COUNTIFS('Datos - Objetivos de países'!$B$5:$B$510,"Singapur",'Datos - Objetivos de países'!$F$5:$F$510,AP$3,'Datos - Objetivos de países'!$J$5:$J$510,$A71)+_xlfn.COUNTIFS('Datos - Objetivos de países'!$B$5:$B$510,"Singapur",'Datos - Objetivos de países'!$F$5:$F$510,AP$3,'Datos - Objetivos de países'!$K$5:$K$510,$A71)</f>
        <v>0</v>
      </c>
      <c r="AQ71" s="36" cm="1">
        <f t="array" ref="AQ71">_xlfn.COUNTIFS('Datos - Objetivos de países'!$B$5:$B$510,"Singapur",'Datos - Objetivos de países'!$F$5:$F$510,AQ$3,'Datos - Objetivos de países'!$J$5:$J$510,$A71)+_xlfn.COUNTIFS('Datos - Objetivos de países'!$B$5:$B$510,"Singapur",'Datos - Objetivos de países'!$F$5:$F$510,AQ$3,'Datos - Objetivos de países'!$K$5:$K$510,$A71)</f>
        <v>0</v>
      </c>
      <c r="AR71" s="36" cm="1">
        <f t="array" ref="AR71">_xlfn.COUNTIFS('Datos - Objetivos de países'!$B$5:$B$510,"Singapur",'Datos - Objetivos de países'!$F$5:$F$510,AR$3,'Datos - Objetivos de países'!$J$5:$J$510,$A71)+_xlfn.COUNTIFS('Datos - Objetivos de países'!$B$5:$B$510,"Singapur",'Datos - Objetivos de países'!$F$5:$F$510,AR$3,'Datos - Objetivos de países'!$K$5:$K$510,$A71)</f>
        <v>0</v>
      </c>
      <c r="AS71" s="36" cm="1">
        <f t="array" ref="AS71">_xlfn.COUNTIFS('Datos - Objetivos de países'!$B$5:$B$510,"Singapur",'Datos - Objetivos de países'!$F$5:$F$510,AS$3,'Datos - Objetivos de países'!$J$5:$J$510,$A71)+_xlfn.COUNTIFS('Datos - Objetivos de países'!$B$5:$B$510,"Singapur",'Datos - Objetivos de países'!$F$5:$F$510,AS$3,'Datos - Objetivos de países'!$K$5:$K$510,$A71)</f>
        <v>0</v>
      </c>
      <c r="AT71" s="36" cm="1">
        <f t="array" ref="AT71">_xlfn.COUNTIFS('Datos - Objetivos de países'!$B$5:$B$510,"Singapur",'Datos - Objetivos de países'!$F$5:$F$510,AT$3,'Datos - Objetivos de países'!$J$5:$J$510,$A71)+_xlfn.COUNTIFS('Datos - Objetivos de países'!$B$5:$B$510,"Singapur",'Datos - Objetivos de países'!$F$5:$F$510,AT$3,'Datos - Objetivos de países'!$K$5:$K$510,$A71)</f>
        <v>5</v>
      </c>
      <c r="AU71" s="36" cm="1">
        <f t="array" ref="AU71">_xlfn.COUNTIFS('Datos - Objetivos de países'!$B$5:$B$510,"Singapur",'Datos - Objetivos de países'!$F$5:$F$510,AU$3,'Datos - Objetivos de países'!$J$5:$J$510,$A71)+_xlfn.COUNTIFS('Datos - Objetivos de países'!$B$5:$B$510,"Singapur",'Datos - Objetivos de países'!$F$5:$F$510,AU$3,'Datos - Objetivos de países'!$K$5:$K$510,$A71)</f>
        <v>0</v>
      </c>
      <c r="AV71" s="36" cm="1">
        <f t="array" ref="AV71">_xlfn.COUNTIFS('Datos - Objetivos de países'!$B$5:$B$510,"Singapur",'Datos - Objetivos de países'!$F$5:$F$510,AV$3,'Datos - Objetivos de países'!$J$5:$J$510,$A71)+_xlfn.COUNTIFS('Datos - Objetivos de países'!$B$5:$B$510,"Singapur",'Datos - Objetivos de países'!$F$5:$F$510,AV$3,'Datos - Objetivos de países'!$K$5:$K$510,$A71)</f>
        <v>0</v>
      </c>
      <c r="AW71" s="36" cm="1">
        <f t="array" ref="AW71">_xlfn.COUNTIFS('Datos - Objetivos de países'!$B$5:$B$510,"Singapur",'Datos - Objetivos de países'!$F$5:$F$510,AW$3,'Datos - Objetivos de países'!$J$5:$J$510,$A71)+_xlfn.COUNTIFS('Datos - Objetivos de países'!$B$5:$B$510,"Singapur",'Datos - Objetivos de países'!$F$5:$F$510,AW$3,'Datos - Objetivos de países'!$K$5:$K$510,$A71)</f>
        <v>0</v>
      </c>
    </row>
    <row r="72" ht="13.65" customHeight="1">
      <c r="A72" t="s" s="78">
        <v>535</v>
      </c>
      <c r="B72" t="s" s="78">
        <v>1164</v>
      </c>
      <c r="C72" t="s" s="78">
        <v>222</v>
      </c>
      <c r="D72" t="s" s="78">
        <v>1267</v>
      </c>
      <c r="E72" s="80" cm="1">
        <f t="array" ref="E72">_xlfn.IFERROR(MAX($L$3,INDEX($N$3:$V$3,MATCH(TRUE,INDEX(N72:V72&gt;0,0),0))),"—")</f>
        <v>5</v>
      </c>
      <c r="F72" s="80" cm="1">
        <f t="array" ref="F72">_xlfn.IFERROR(MAX($L$3,INDEX($W$3:$AE$3,MATCH(TRUE,INDEX(W72:AE72&gt;0,0),0))),"—")</f>
        <v>9</v>
      </c>
      <c r="G72" s="80" cm="1">
        <f t="array" ref="G72">_xlfn.IFERROR(MAX($L$3,INDEX($AF$3:$AN$3,MATCH(TRUE,INDEX(AF72:AN72&gt;0,0),0))),"—")</f>
        <v>6</v>
      </c>
      <c r="H72" s="80" cm="1">
        <f t="array" ref="H72">_xlfn.IFERROR(MAX($L$3,INDEX($AO$3:$AW$3,MATCH(TRUE,INDEX(AO72:AW72&gt;0,0),0))),"—")</f>
        <v>6</v>
      </c>
      <c r="I72" s="111" cm="1">
        <f t="array" ref="I72">IF(L72=0,"—",MEDIAN(F72:H72))</f>
        <v>6</v>
      </c>
      <c r="J72" s="111" cm="1">
        <f t="array" ref="J72">IF(OR(E72="—",I72="—"),"—",E72-I72)</f>
        <v>-1</v>
      </c>
      <c r="K72" t="str" s="49" cm="1">
        <f t="array" ref="K72">IF(E72="—",IF(L72=0,"Nadie lo trabaja","El Salvador no llega"),IF(L72=0,"Solo El Salvador",IF(J72&gt;0,"El Salvador llega más tarde",IF(J72&lt;0,"El Salvador va adelantado","Mismo grado"))))</f>
        <v>El Salvador va adelantado</v>
      </c>
      <c r="L72" s="80" cm="1">
        <f t="array" ref="L72">COUNT(F72:H72)</f>
        <v>3</v>
      </c>
      <c r="M72" s="110"/>
      <c r="N72" s="36" cm="1">
        <f t="array" ref="N72">_xlfn.COUNTIFS('Datos - Temas'!$C$5:$C$1264,"Ciencias",'Datos - Temas'!$B$5:$B$1264,N$3,'Datos - Temas'!$K$5:$K$1264,$A72)+_xlfn.COUNTIFS('Datos - Temas'!$C$5:$C$1264,"Ciencias",'Datos - Temas'!$B$5:$B$1264,N$3,'Datos - Temas'!$L$5:$L$1264,$A72)</f>
        <v>0</v>
      </c>
      <c r="O72" s="36" cm="1">
        <f t="array" ref="O72">_xlfn.COUNTIFS('Datos - Temas'!$C$5:$C$1264,"Ciencias",'Datos - Temas'!$B$5:$B$1264,O$3,'Datos - Temas'!$K$5:$K$1264,$A72)+_xlfn.COUNTIFS('Datos - Temas'!$C$5:$C$1264,"Ciencias",'Datos - Temas'!$B$5:$B$1264,O$3,'Datos - Temas'!$L$5:$L$1264,$A72)</f>
        <v>0</v>
      </c>
      <c r="P72" s="36" cm="1">
        <f t="array" ref="P72">_xlfn.COUNTIFS('Datos - Temas'!$C$5:$C$1264,"Ciencias",'Datos - Temas'!$B$5:$B$1264,P$3,'Datos - Temas'!$K$5:$K$1264,$A72)+_xlfn.COUNTIFS('Datos - Temas'!$C$5:$C$1264,"Ciencias",'Datos - Temas'!$B$5:$B$1264,P$3,'Datos - Temas'!$L$5:$L$1264,$A72)</f>
        <v>0</v>
      </c>
      <c r="Q72" s="36" cm="1">
        <f t="array" ref="Q72">_xlfn.COUNTIFS('Datos - Temas'!$C$5:$C$1264,"Ciencias",'Datos - Temas'!$B$5:$B$1264,Q$3,'Datos - Temas'!$K$5:$K$1264,$A72)+_xlfn.COUNTIFS('Datos - Temas'!$C$5:$C$1264,"Ciencias",'Datos - Temas'!$B$5:$B$1264,Q$3,'Datos - Temas'!$L$5:$L$1264,$A72)</f>
        <v>0</v>
      </c>
      <c r="R72" s="36" cm="1">
        <f t="array" ref="R72">_xlfn.COUNTIFS('Datos - Temas'!$C$5:$C$1264,"Ciencias",'Datos - Temas'!$B$5:$B$1264,R$3,'Datos - Temas'!$K$5:$K$1264,$A72)+_xlfn.COUNTIFS('Datos - Temas'!$C$5:$C$1264,"Ciencias",'Datos - Temas'!$B$5:$B$1264,R$3,'Datos - Temas'!$L$5:$L$1264,$A72)</f>
        <v>3</v>
      </c>
      <c r="S72" s="36" cm="1">
        <f t="array" ref="S72">_xlfn.COUNTIFS('Datos - Temas'!$C$5:$C$1264,"Ciencias",'Datos - Temas'!$B$5:$B$1264,S$3,'Datos - Temas'!$K$5:$K$1264,$A72)+_xlfn.COUNTIFS('Datos - Temas'!$C$5:$C$1264,"Ciencias",'Datos - Temas'!$B$5:$B$1264,S$3,'Datos - Temas'!$L$5:$L$1264,$A72)</f>
        <v>4</v>
      </c>
      <c r="T72" s="36" cm="1">
        <f t="array" ref="T72">_xlfn.COUNTIFS('Datos - Temas'!$C$5:$C$1264,"Ciencias",'Datos - Temas'!$B$5:$B$1264,T$3,'Datos - Temas'!$K$5:$K$1264,$A72)+_xlfn.COUNTIFS('Datos - Temas'!$C$5:$C$1264,"Ciencias",'Datos - Temas'!$B$5:$B$1264,T$3,'Datos - Temas'!$L$5:$L$1264,$A72)</f>
        <v>0</v>
      </c>
      <c r="U72" s="36" cm="1">
        <f t="array" ref="U72">_xlfn.COUNTIFS('Datos - Temas'!$C$5:$C$1264,"Ciencias",'Datos - Temas'!$B$5:$B$1264,U$3,'Datos - Temas'!$K$5:$K$1264,$A72)+_xlfn.COUNTIFS('Datos - Temas'!$C$5:$C$1264,"Ciencias",'Datos - Temas'!$B$5:$B$1264,U$3,'Datos - Temas'!$L$5:$L$1264,$A72)</f>
        <v>8</v>
      </c>
      <c r="V72" s="36" cm="1">
        <f t="array" ref="V72">_xlfn.COUNTIFS('Datos - Temas'!$C$5:$C$1264,"Ciencias",'Datos - Temas'!$B$5:$B$1264,V$3,'Datos - Temas'!$K$5:$K$1264,$A72)+_xlfn.COUNTIFS('Datos - Temas'!$C$5:$C$1264,"Ciencias",'Datos - Temas'!$B$5:$B$1264,V$3,'Datos - Temas'!$L$5:$L$1264,$A72)</f>
        <v>14</v>
      </c>
      <c r="W72" s="36" cm="1">
        <f t="array" ref="W72">_xlfn.COUNTIFS('Datos - Objetivos de países'!$B$5:$B$510,"Uruguay",'Datos - Objetivos de países'!$F$5:$F$510,W$3,'Datos - Objetivos de países'!$J$5:$J$510,$A72)+_xlfn.COUNTIFS('Datos - Objetivos de países'!$B$5:$B$510,"Uruguay",'Datos - Objetivos de países'!$F$5:$F$510,W$3,'Datos - Objetivos de países'!$K$5:$K$510,$A72)</f>
        <v>0</v>
      </c>
      <c r="X72" s="36" cm="1">
        <f t="array" ref="X72">_xlfn.COUNTIFS('Datos - Objetivos de países'!$B$5:$B$510,"Uruguay",'Datos - Objetivos de países'!$F$5:$F$510,X$3,'Datos - Objetivos de países'!$J$5:$J$510,$A72)+_xlfn.COUNTIFS('Datos - Objetivos de países'!$B$5:$B$510,"Uruguay",'Datos - Objetivos de países'!$F$5:$F$510,X$3,'Datos - Objetivos de países'!$K$5:$K$510,$A72)</f>
        <v>0</v>
      </c>
      <c r="Y72" s="36" cm="1">
        <f t="array" ref="Y72">_xlfn.COUNTIFS('Datos - Objetivos de países'!$B$5:$B$510,"Uruguay",'Datos - Objetivos de países'!$F$5:$F$510,Y$3,'Datos - Objetivos de países'!$J$5:$J$510,$A72)+_xlfn.COUNTIFS('Datos - Objetivos de países'!$B$5:$B$510,"Uruguay",'Datos - Objetivos de países'!$F$5:$F$510,Y$3,'Datos - Objetivos de países'!$K$5:$K$510,$A72)</f>
        <v>0</v>
      </c>
      <c r="Z72" s="36" cm="1">
        <f t="array" ref="Z72">_xlfn.COUNTIFS('Datos - Objetivos de países'!$B$5:$B$510,"Uruguay",'Datos - Objetivos de países'!$F$5:$F$510,Z$3,'Datos - Objetivos de países'!$J$5:$J$510,$A72)+_xlfn.COUNTIFS('Datos - Objetivos de países'!$B$5:$B$510,"Uruguay",'Datos - Objetivos de países'!$F$5:$F$510,Z$3,'Datos - Objetivos de países'!$K$5:$K$510,$A72)</f>
        <v>0</v>
      </c>
      <c r="AA72" s="36" cm="1">
        <f t="array" ref="AA72">_xlfn.COUNTIFS('Datos - Objetivos de países'!$B$5:$B$510,"Uruguay",'Datos - Objetivos de países'!$F$5:$F$510,AA$3,'Datos - Objetivos de países'!$J$5:$J$510,$A72)+_xlfn.COUNTIFS('Datos - Objetivos de países'!$B$5:$B$510,"Uruguay",'Datos - Objetivos de países'!$F$5:$F$510,AA$3,'Datos - Objetivos de países'!$K$5:$K$510,$A72)</f>
        <v>0</v>
      </c>
      <c r="AB72" s="36" cm="1">
        <f t="array" ref="AB72">_xlfn.COUNTIFS('Datos - Objetivos de países'!$B$5:$B$510,"Uruguay",'Datos - Objetivos de países'!$F$5:$F$510,AB$3,'Datos - Objetivos de países'!$J$5:$J$510,$A72)+_xlfn.COUNTIFS('Datos - Objetivos de países'!$B$5:$B$510,"Uruguay",'Datos - Objetivos de países'!$F$5:$F$510,AB$3,'Datos - Objetivos de países'!$K$5:$K$510,$A72)</f>
        <v>0</v>
      </c>
      <c r="AC72" s="36" cm="1">
        <f t="array" ref="AC72">_xlfn.COUNTIFS('Datos - Objetivos de países'!$B$5:$B$510,"Uruguay",'Datos - Objetivos de países'!$F$5:$F$510,AC$3,'Datos - Objetivos de países'!$J$5:$J$510,$A72)+_xlfn.COUNTIFS('Datos - Objetivos de países'!$B$5:$B$510,"Uruguay",'Datos - Objetivos de países'!$F$5:$F$510,AC$3,'Datos - Objetivos de países'!$K$5:$K$510,$A72)</f>
        <v>0</v>
      </c>
      <c r="AD72" s="36" cm="1">
        <f t="array" ref="AD72">_xlfn.COUNTIFS('Datos - Objetivos de países'!$B$5:$B$510,"Uruguay",'Datos - Objetivos de países'!$F$5:$F$510,AD$3,'Datos - Objetivos de países'!$J$5:$J$510,$A72)+_xlfn.COUNTIFS('Datos - Objetivos de países'!$B$5:$B$510,"Uruguay",'Datos - Objetivos de países'!$F$5:$F$510,AD$3,'Datos - Objetivos de países'!$K$5:$K$510,$A72)</f>
        <v>0</v>
      </c>
      <c r="AE72" s="36" cm="1">
        <f t="array" ref="AE72">_xlfn.COUNTIFS('Datos - Objetivos de países'!$B$5:$B$510,"Uruguay",'Datos - Objetivos de países'!$F$5:$F$510,AE$3,'Datos - Objetivos de países'!$J$5:$J$510,$A72)+_xlfn.COUNTIFS('Datos - Objetivos de países'!$B$5:$B$510,"Uruguay",'Datos - Objetivos de países'!$F$5:$F$510,AE$3,'Datos - Objetivos de países'!$K$5:$K$510,$A72)</f>
        <v>1</v>
      </c>
      <c r="AF72" s="36" cm="1">
        <f t="array" ref="AF72">_xlfn.COUNTIFS('Datos - Objetivos de países'!$B$5:$B$510,"Colombia",'Datos - Objetivos de países'!$F$5:$F$510,AF$3,'Datos - Objetivos de países'!$J$5:$J$510,$A72)+_xlfn.COUNTIFS('Datos - Objetivos de países'!$B$5:$B$510,"Colombia",'Datos - Objetivos de países'!$F$5:$F$510,AF$3,'Datos - Objetivos de países'!$K$5:$K$510,$A72)</f>
        <v>0</v>
      </c>
      <c r="AG72" s="36" cm="1">
        <f t="array" ref="AG72">_xlfn.COUNTIFS('Datos - Objetivos de países'!$B$5:$B$510,"Colombia",'Datos - Objetivos de países'!$F$5:$F$510,AG$3,'Datos - Objetivos de países'!$J$5:$J$510,$A72)+_xlfn.COUNTIFS('Datos - Objetivos de países'!$B$5:$B$510,"Colombia",'Datos - Objetivos de países'!$F$5:$F$510,AG$3,'Datos - Objetivos de países'!$K$5:$K$510,$A72)</f>
        <v>0</v>
      </c>
      <c r="AH72" s="36" cm="1">
        <f t="array" ref="AH72">_xlfn.COUNTIFS('Datos - Objetivos de países'!$B$5:$B$510,"Colombia",'Datos - Objetivos de países'!$F$5:$F$510,AH$3,'Datos - Objetivos de países'!$J$5:$J$510,$A72)+_xlfn.COUNTIFS('Datos - Objetivos de países'!$B$5:$B$510,"Colombia",'Datos - Objetivos de países'!$F$5:$F$510,AH$3,'Datos - Objetivos de países'!$K$5:$K$510,$A72)</f>
        <v>0</v>
      </c>
      <c r="AI72" s="36" cm="1">
        <f t="array" ref="AI72">_xlfn.COUNTIFS('Datos - Objetivos de países'!$B$5:$B$510,"Colombia",'Datos - Objetivos de países'!$F$5:$F$510,AI$3,'Datos - Objetivos de países'!$J$5:$J$510,$A72)+_xlfn.COUNTIFS('Datos - Objetivos de países'!$B$5:$B$510,"Colombia",'Datos - Objetivos de países'!$F$5:$F$510,AI$3,'Datos - Objetivos de países'!$K$5:$K$510,$A72)</f>
        <v>0</v>
      </c>
      <c r="AJ72" s="36" cm="1">
        <f t="array" ref="AJ72">_xlfn.COUNTIFS('Datos - Objetivos de países'!$B$5:$B$510,"Colombia",'Datos - Objetivos de países'!$F$5:$F$510,AJ$3,'Datos - Objetivos de países'!$J$5:$J$510,$A72)+_xlfn.COUNTIFS('Datos - Objetivos de países'!$B$5:$B$510,"Colombia",'Datos - Objetivos de países'!$F$5:$F$510,AJ$3,'Datos - Objetivos de países'!$K$5:$K$510,$A72)</f>
        <v>0</v>
      </c>
      <c r="AK72" s="36" cm="1">
        <f t="array" ref="AK72">_xlfn.COUNTIFS('Datos - Objetivos de países'!$B$5:$B$510,"Colombia",'Datos - Objetivos de países'!$F$5:$F$510,AK$3,'Datos - Objetivos de países'!$J$5:$J$510,$A72)+_xlfn.COUNTIFS('Datos - Objetivos de países'!$B$5:$B$510,"Colombia",'Datos - Objetivos de países'!$F$5:$F$510,AK$3,'Datos - Objetivos de países'!$K$5:$K$510,$A72)</f>
        <v>1</v>
      </c>
      <c r="AL72" s="36" cm="1">
        <f t="array" ref="AL72">_xlfn.COUNTIFS('Datos - Objetivos de países'!$B$5:$B$510,"Colombia",'Datos - Objetivos de países'!$F$5:$F$510,AL$3,'Datos - Objetivos de países'!$J$5:$J$510,$A72)+_xlfn.COUNTIFS('Datos - Objetivos de países'!$B$5:$B$510,"Colombia",'Datos - Objetivos de países'!$F$5:$F$510,AL$3,'Datos - Objetivos de países'!$K$5:$K$510,$A72)</f>
        <v>0</v>
      </c>
      <c r="AM72" s="36" cm="1">
        <f t="array" ref="AM72">_xlfn.COUNTIFS('Datos - Objetivos de países'!$B$5:$B$510,"Colombia",'Datos - Objetivos de países'!$F$5:$F$510,AM$3,'Datos - Objetivos de países'!$J$5:$J$510,$A72)+_xlfn.COUNTIFS('Datos - Objetivos de países'!$B$5:$B$510,"Colombia",'Datos - Objetivos de países'!$F$5:$F$510,AM$3,'Datos - Objetivos de países'!$K$5:$K$510,$A72)</f>
        <v>0</v>
      </c>
      <c r="AN72" s="36" cm="1">
        <f t="array" ref="AN72">_xlfn.COUNTIFS('Datos - Objetivos de países'!$B$5:$B$510,"Colombia",'Datos - Objetivos de países'!$F$5:$F$510,AN$3,'Datos - Objetivos de países'!$J$5:$J$510,$A72)+_xlfn.COUNTIFS('Datos - Objetivos de países'!$B$5:$B$510,"Colombia",'Datos - Objetivos de países'!$F$5:$F$510,AN$3,'Datos - Objetivos de países'!$K$5:$K$510,$A72)</f>
        <v>0</v>
      </c>
      <c r="AO72" s="36" cm="1">
        <f t="array" ref="AO72">_xlfn.COUNTIFS('Datos - Objetivos de países'!$B$5:$B$510,"Singapur",'Datos - Objetivos de países'!$F$5:$F$510,AO$3,'Datos - Objetivos de países'!$J$5:$J$510,$A72)+_xlfn.COUNTIFS('Datos - Objetivos de países'!$B$5:$B$510,"Singapur",'Datos - Objetivos de países'!$F$5:$F$510,AO$3,'Datos - Objetivos de países'!$K$5:$K$510,$A72)</f>
        <v>0</v>
      </c>
      <c r="AP72" s="36" cm="1">
        <f t="array" ref="AP72">_xlfn.COUNTIFS('Datos - Objetivos de países'!$B$5:$B$510,"Singapur",'Datos - Objetivos de países'!$F$5:$F$510,AP$3,'Datos - Objetivos de países'!$J$5:$J$510,$A72)+_xlfn.COUNTIFS('Datos - Objetivos de países'!$B$5:$B$510,"Singapur",'Datos - Objetivos de países'!$F$5:$F$510,AP$3,'Datos - Objetivos de países'!$K$5:$K$510,$A72)</f>
        <v>0</v>
      </c>
      <c r="AQ72" s="36" cm="1">
        <f t="array" ref="AQ72">_xlfn.COUNTIFS('Datos - Objetivos de países'!$B$5:$B$510,"Singapur",'Datos - Objetivos de países'!$F$5:$F$510,AQ$3,'Datos - Objetivos de países'!$J$5:$J$510,$A72)+_xlfn.COUNTIFS('Datos - Objetivos de países'!$B$5:$B$510,"Singapur",'Datos - Objetivos de países'!$F$5:$F$510,AQ$3,'Datos - Objetivos de países'!$K$5:$K$510,$A72)</f>
        <v>0</v>
      </c>
      <c r="AR72" s="36" cm="1">
        <f t="array" ref="AR72">_xlfn.COUNTIFS('Datos - Objetivos de países'!$B$5:$B$510,"Singapur",'Datos - Objetivos de países'!$F$5:$F$510,AR$3,'Datos - Objetivos de países'!$J$5:$J$510,$A72)+_xlfn.COUNTIFS('Datos - Objetivos de países'!$B$5:$B$510,"Singapur",'Datos - Objetivos de países'!$F$5:$F$510,AR$3,'Datos - Objetivos de países'!$K$5:$K$510,$A72)</f>
        <v>0</v>
      </c>
      <c r="AS72" s="36" cm="1">
        <f t="array" ref="AS72">_xlfn.COUNTIFS('Datos - Objetivos de países'!$B$5:$B$510,"Singapur",'Datos - Objetivos de países'!$F$5:$F$510,AS$3,'Datos - Objetivos de países'!$J$5:$J$510,$A72)+_xlfn.COUNTIFS('Datos - Objetivos de países'!$B$5:$B$510,"Singapur",'Datos - Objetivos de países'!$F$5:$F$510,AS$3,'Datos - Objetivos de países'!$K$5:$K$510,$A72)</f>
        <v>0</v>
      </c>
      <c r="AT72" s="36" cm="1">
        <f t="array" ref="AT72">_xlfn.COUNTIFS('Datos - Objetivos de países'!$B$5:$B$510,"Singapur",'Datos - Objetivos de países'!$F$5:$F$510,AT$3,'Datos - Objetivos de países'!$J$5:$J$510,$A72)+_xlfn.COUNTIFS('Datos - Objetivos de países'!$B$5:$B$510,"Singapur",'Datos - Objetivos de países'!$F$5:$F$510,AT$3,'Datos - Objetivos de países'!$K$5:$K$510,$A72)</f>
        <v>2</v>
      </c>
      <c r="AU72" s="36" cm="1">
        <f t="array" ref="AU72">_xlfn.COUNTIFS('Datos - Objetivos de países'!$B$5:$B$510,"Singapur",'Datos - Objetivos de países'!$F$5:$F$510,AU$3,'Datos - Objetivos de países'!$J$5:$J$510,$A72)+_xlfn.COUNTIFS('Datos - Objetivos de países'!$B$5:$B$510,"Singapur",'Datos - Objetivos de países'!$F$5:$F$510,AU$3,'Datos - Objetivos de países'!$K$5:$K$510,$A72)</f>
        <v>0</v>
      </c>
      <c r="AV72" s="36" cm="1">
        <f t="array" ref="AV72">_xlfn.COUNTIFS('Datos - Objetivos de países'!$B$5:$B$510,"Singapur",'Datos - Objetivos de países'!$F$5:$F$510,AV$3,'Datos - Objetivos de países'!$J$5:$J$510,$A72)+_xlfn.COUNTIFS('Datos - Objetivos de países'!$B$5:$B$510,"Singapur",'Datos - Objetivos de países'!$F$5:$F$510,AV$3,'Datos - Objetivos de países'!$K$5:$K$510,$A72)</f>
        <v>0</v>
      </c>
      <c r="AW72" s="36" cm="1">
        <f t="array" ref="AW72">_xlfn.COUNTIFS('Datos - Objetivos de países'!$B$5:$B$510,"Singapur",'Datos - Objetivos de países'!$F$5:$F$510,AW$3,'Datos - Objetivos de países'!$J$5:$J$510,$A72)+_xlfn.COUNTIFS('Datos - Objetivos de países'!$B$5:$B$510,"Singapur",'Datos - Objetivos de países'!$F$5:$F$510,AW$3,'Datos - Objetivos de países'!$K$5:$K$510,$A72)</f>
        <v>0</v>
      </c>
    </row>
    <row r="73" ht="13.65" customHeight="1">
      <c r="A73" t="s" s="78">
        <v>569</v>
      </c>
      <c r="B73" t="s" s="78">
        <v>1164</v>
      </c>
      <c r="C73" t="s" s="78">
        <v>222</v>
      </c>
      <c r="D73" t="s" s="78">
        <v>1270</v>
      </c>
      <c r="E73" s="80" cm="1">
        <f t="array" ref="E73">_xlfn.IFERROR(MAX($L$3,INDEX($N$3:$V$3,MATCH(TRUE,INDEX(N73:V73&gt;0,0),0))),"—")</f>
        <v>5</v>
      </c>
      <c r="F73" s="80" cm="1">
        <f t="array" ref="F73">_xlfn.IFERROR(MAX($L$3,INDEX($W$3:$AE$3,MATCH(TRUE,INDEX(W73:AE73&gt;0,0),0))),"—")</f>
        <v>5</v>
      </c>
      <c r="G73" s="80" cm="1">
        <f t="array" ref="G73">_xlfn.IFERROR(MAX($L$3,INDEX($AF$3:$AN$3,MATCH(TRUE,INDEX(AF73:AN73&gt;0,0),0))),"—")</f>
        <v>6</v>
      </c>
      <c r="H73" s="80" cm="1">
        <f t="array" ref="H73">_xlfn.IFERROR(MAX($L$3,INDEX($AO$3:$AW$3,MATCH(TRUE,INDEX(AO73:AW73&gt;0,0),0))),"—")</f>
        <v>5</v>
      </c>
      <c r="I73" s="111" cm="1">
        <f t="array" ref="I73">IF(L73=0,"—",MEDIAN(F73:H73))</f>
        <v>5</v>
      </c>
      <c r="J73" s="111" cm="1">
        <f t="array" ref="J73">IF(OR(E73="—",I73="—"),"—",E73-I73)</f>
        <v>0</v>
      </c>
      <c r="K73" t="str" s="49" cm="1">
        <f t="array" ref="K73">IF(E73="—",IF(L73=0,"Nadie lo trabaja","El Salvador no llega"),IF(L73=0,"Solo El Salvador",IF(J73&gt;0,"El Salvador llega más tarde",IF(J73&lt;0,"El Salvador va adelantado","Mismo grado"))))</f>
        <v>Mismo grado</v>
      </c>
      <c r="L73" s="80" cm="1">
        <f t="array" ref="L73">COUNT(F73:H73)</f>
        <v>3</v>
      </c>
      <c r="M73" s="110"/>
      <c r="N73" s="36" cm="1">
        <f t="array" ref="N73">_xlfn.COUNTIFS('Datos - Temas'!$C$5:$C$1264,"Ciencias",'Datos - Temas'!$B$5:$B$1264,N$3,'Datos - Temas'!$K$5:$K$1264,$A73)+_xlfn.COUNTIFS('Datos - Temas'!$C$5:$C$1264,"Ciencias",'Datos - Temas'!$B$5:$B$1264,N$3,'Datos - Temas'!$L$5:$L$1264,$A73)</f>
        <v>0</v>
      </c>
      <c r="O73" s="36" cm="1">
        <f t="array" ref="O73">_xlfn.COUNTIFS('Datos - Temas'!$C$5:$C$1264,"Ciencias",'Datos - Temas'!$B$5:$B$1264,O$3,'Datos - Temas'!$K$5:$K$1264,$A73)+_xlfn.COUNTIFS('Datos - Temas'!$C$5:$C$1264,"Ciencias",'Datos - Temas'!$B$5:$B$1264,O$3,'Datos - Temas'!$L$5:$L$1264,$A73)</f>
        <v>0</v>
      </c>
      <c r="P73" s="36" cm="1">
        <f t="array" ref="P73">_xlfn.COUNTIFS('Datos - Temas'!$C$5:$C$1264,"Ciencias",'Datos - Temas'!$B$5:$B$1264,P$3,'Datos - Temas'!$K$5:$K$1264,$A73)+_xlfn.COUNTIFS('Datos - Temas'!$C$5:$C$1264,"Ciencias",'Datos - Temas'!$B$5:$B$1264,P$3,'Datos - Temas'!$L$5:$L$1264,$A73)</f>
        <v>0</v>
      </c>
      <c r="Q73" s="36" cm="1">
        <f t="array" ref="Q73">_xlfn.COUNTIFS('Datos - Temas'!$C$5:$C$1264,"Ciencias",'Datos - Temas'!$B$5:$B$1264,Q$3,'Datos - Temas'!$K$5:$K$1264,$A73)+_xlfn.COUNTIFS('Datos - Temas'!$C$5:$C$1264,"Ciencias",'Datos - Temas'!$B$5:$B$1264,Q$3,'Datos - Temas'!$L$5:$L$1264,$A73)</f>
        <v>0</v>
      </c>
      <c r="R73" s="36" cm="1">
        <f t="array" ref="R73">_xlfn.COUNTIFS('Datos - Temas'!$C$5:$C$1264,"Ciencias",'Datos - Temas'!$B$5:$B$1264,R$3,'Datos - Temas'!$K$5:$K$1264,$A73)+_xlfn.COUNTIFS('Datos - Temas'!$C$5:$C$1264,"Ciencias",'Datos - Temas'!$B$5:$B$1264,R$3,'Datos - Temas'!$L$5:$L$1264,$A73)</f>
        <v>6</v>
      </c>
      <c r="S73" s="36" cm="1">
        <f t="array" ref="S73">_xlfn.COUNTIFS('Datos - Temas'!$C$5:$C$1264,"Ciencias",'Datos - Temas'!$B$5:$B$1264,S$3,'Datos - Temas'!$K$5:$K$1264,$A73)+_xlfn.COUNTIFS('Datos - Temas'!$C$5:$C$1264,"Ciencias",'Datos - Temas'!$B$5:$B$1264,S$3,'Datos - Temas'!$L$5:$L$1264,$A73)</f>
        <v>4</v>
      </c>
      <c r="T73" s="36" cm="1">
        <f t="array" ref="T73">_xlfn.COUNTIFS('Datos - Temas'!$C$5:$C$1264,"Ciencias",'Datos - Temas'!$B$5:$B$1264,T$3,'Datos - Temas'!$K$5:$K$1264,$A73)+_xlfn.COUNTIFS('Datos - Temas'!$C$5:$C$1264,"Ciencias",'Datos - Temas'!$B$5:$B$1264,T$3,'Datos - Temas'!$L$5:$L$1264,$A73)</f>
        <v>0</v>
      </c>
      <c r="U73" s="36" cm="1">
        <f t="array" ref="U73">_xlfn.COUNTIFS('Datos - Temas'!$C$5:$C$1264,"Ciencias",'Datos - Temas'!$B$5:$B$1264,U$3,'Datos - Temas'!$K$5:$K$1264,$A73)+_xlfn.COUNTIFS('Datos - Temas'!$C$5:$C$1264,"Ciencias",'Datos - Temas'!$B$5:$B$1264,U$3,'Datos - Temas'!$L$5:$L$1264,$A73)</f>
        <v>8</v>
      </c>
      <c r="V73" s="36" cm="1">
        <f t="array" ref="V73">_xlfn.COUNTIFS('Datos - Temas'!$C$5:$C$1264,"Ciencias",'Datos - Temas'!$B$5:$B$1264,V$3,'Datos - Temas'!$K$5:$K$1264,$A73)+_xlfn.COUNTIFS('Datos - Temas'!$C$5:$C$1264,"Ciencias",'Datos - Temas'!$B$5:$B$1264,V$3,'Datos - Temas'!$L$5:$L$1264,$A73)</f>
        <v>6</v>
      </c>
      <c r="W73" s="36" cm="1">
        <f t="array" ref="W73">_xlfn.COUNTIFS('Datos - Objetivos de países'!$B$5:$B$510,"Uruguay",'Datos - Objetivos de países'!$F$5:$F$510,W$3,'Datos - Objetivos de países'!$J$5:$J$510,$A73)+_xlfn.COUNTIFS('Datos - Objetivos de países'!$B$5:$B$510,"Uruguay",'Datos - Objetivos de países'!$F$5:$F$510,W$3,'Datos - Objetivos de países'!$K$5:$K$510,$A73)</f>
        <v>0</v>
      </c>
      <c r="X73" s="36" cm="1">
        <f t="array" ref="X73">_xlfn.COUNTIFS('Datos - Objetivos de países'!$B$5:$B$510,"Uruguay",'Datos - Objetivos de países'!$F$5:$F$510,X$3,'Datos - Objetivos de países'!$J$5:$J$510,$A73)+_xlfn.COUNTIFS('Datos - Objetivos de países'!$B$5:$B$510,"Uruguay",'Datos - Objetivos de países'!$F$5:$F$510,X$3,'Datos - Objetivos de países'!$K$5:$K$510,$A73)</f>
        <v>0</v>
      </c>
      <c r="Y73" s="36" cm="1">
        <f t="array" ref="Y73">_xlfn.COUNTIFS('Datos - Objetivos de países'!$B$5:$B$510,"Uruguay",'Datos - Objetivos de países'!$F$5:$F$510,Y$3,'Datos - Objetivos de países'!$J$5:$J$510,$A73)+_xlfn.COUNTIFS('Datos - Objetivos de países'!$B$5:$B$510,"Uruguay",'Datos - Objetivos de países'!$F$5:$F$510,Y$3,'Datos - Objetivos de países'!$K$5:$K$510,$A73)</f>
        <v>0</v>
      </c>
      <c r="Z73" s="36" cm="1">
        <f t="array" ref="Z73">_xlfn.COUNTIFS('Datos - Objetivos de países'!$B$5:$B$510,"Uruguay",'Datos - Objetivos de países'!$F$5:$F$510,Z$3,'Datos - Objetivos de países'!$J$5:$J$510,$A73)+_xlfn.COUNTIFS('Datos - Objetivos de países'!$B$5:$B$510,"Uruguay",'Datos - Objetivos de países'!$F$5:$F$510,Z$3,'Datos - Objetivos de países'!$K$5:$K$510,$A73)</f>
        <v>0</v>
      </c>
      <c r="AA73" s="36" cm="1">
        <f t="array" ref="AA73">_xlfn.COUNTIFS('Datos - Objetivos de países'!$B$5:$B$510,"Uruguay",'Datos - Objetivos de países'!$F$5:$F$510,AA$3,'Datos - Objetivos de países'!$J$5:$J$510,$A73)+_xlfn.COUNTIFS('Datos - Objetivos de países'!$B$5:$B$510,"Uruguay",'Datos - Objetivos de países'!$F$5:$F$510,AA$3,'Datos - Objetivos de países'!$K$5:$K$510,$A73)</f>
        <v>1</v>
      </c>
      <c r="AB73" s="36" cm="1">
        <f t="array" ref="AB73">_xlfn.COUNTIFS('Datos - Objetivos de países'!$B$5:$B$510,"Uruguay",'Datos - Objetivos de países'!$F$5:$F$510,AB$3,'Datos - Objetivos de países'!$J$5:$J$510,$A73)+_xlfn.COUNTIFS('Datos - Objetivos de países'!$B$5:$B$510,"Uruguay",'Datos - Objetivos de países'!$F$5:$F$510,AB$3,'Datos - Objetivos de países'!$K$5:$K$510,$A73)</f>
        <v>1</v>
      </c>
      <c r="AC73" s="36" cm="1">
        <f t="array" ref="AC73">_xlfn.COUNTIFS('Datos - Objetivos de países'!$B$5:$B$510,"Uruguay",'Datos - Objetivos de países'!$F$5:$F$510,AC$3,'Datos - Objetivos de países'!$J$5:$J$510,$A73)+_xlfn.COUNTIFS('Datos - Objetivos de países'!$B$5:$B$510,"Uruguay",'Datos - Objetivos de países'!$F$5:$F$510,AC$3,'Datos - Objetivos de países'!$K$5:$K$510,$A73)</f>
        <v>0</v>
      </c>
      <c r="AD73" s="36" cm="1">
        <f t="array" ref="AD73">_xlfn.COUNTIFS('Datos - Objetivos de países'!$B$5:$B$510,"Uruguay",'Datos - Objetivos de países'!$F$5:$F$510,AD$3,'Datos - Objetivos de países'!$J$5:$J$510,$A73)+_xlfn.COUNTIFS('Datos - Objetivos de países'!$B$5:$B$510,"Uruguay",'Datos - Objetivos de países'!$F$5:$F$510,AD$3,'Datos - Objetivos de países'!$K$5:$K$510,$A73)</f>
        <v>2</v>
      </c>
      <c r="AE73" s="36" cm="1">
        <f t="array" ref="AE73">_xlfn.COUNTIFS('Datos - Objetivos de países'!$B$5:$B$510,"Uruguay",'Datos - Objetivos de países'!$F$5:$F$510,AE$3,'Datos - Objetivos de países'!$J$5:$J$510,$A73)+_xlfn.COUNTIFS('Datos - Objetivos de países'!$B$5:$B$510,"Uruguay",'Datos - Objetivos de países'!$F$5:$F$510,AE$3,'Datos - Objetivos de países'!$K$5:$K$510,$A73)</f>
        <v>2</v>
      </c>
      <c r="AF73" s="36" cm="1">
        <f t="array" ref="AF73">_xlfn.COUNTIFS('Datos - Objetivos de países'!$B$5:$B$510,"Colombia",'Datos - Objetivos de países'!$F$5:$F$510,AF$3,'Datos - Objetivos de países'!$J$5:$J$510,$A73)+_xlfn.COUNTIFS('Datos - Objetivos de países'!$B$5:$B$510,"Colombia",'Datos - Objetivos de países'!$F$5:$F$510,AF$3,'Datos - Objetivos de países'!$K$5:$K$510,$A73)</f>
        <v>0</v>
      </c>
      <c r="AG73" s="36" cm="1">
        <f t="array" ref="AG73">_xlfn.COUNTIFS('Datos - Objetivos de países'!$B$5:$B$510,"Colombia",'Datos - Objetivos de países'!$F$5:$F$510,AG$3,'Datos - Objetivos de países'!$J$5:$J$510,$A73)+_xlfn.COUNTIFS('Datos - Objetivos de países'!$B$5:$B$510,"Colombia",'Datos - Objetivos de países'!$F$5:$F$510,AG$3,'Datos - Objetivos de países'!$K$5:$K$510,$A73)</f>
        <v>0</v>
      </c>
      <c r="AH73" s="36" cm="1">
        <f t="array" ref="AH73">_xlfn.COUNTIFS('Datos - Objetivos de países'!$B$5:$B$510,"Colombia",'Datos - Objetivos de países'!$F$5:$F$510,AH$3,'Datos - Objetivos de países'!$J$5:$J$510,$A73)+_xlfn.COUNTIFS('Datos - Objetivos de países'!$B$5:$B$510,"Colombia",'Datos - Objetivos de países'!$F$5:$F$510,AH$3,'Datos - Objetivos de países'!$K$5:$K$510,$A73)</f>
        <v>0</v>
      </c>
      <c r="AI73" s="36" cm="1">
        <f t="array" ref="AI73">_xlfn.COUNTIFS('Datos - Objetivos de países'!$B$5:$B$510,"Colombia",'Datos - Objetivos de países'!$F$5:$F$510,AI$3,'Datos - Objetivos de países'!$J$5:$J$510,$A73)+_xlfn.COUNTIFS('Datos - Objetivos de países'!$B$5:$B$510,"Colombia",'Datos - Objetivos de países'!$F$5:$F$510,AI$3,'Datos - Objetivos de países'!$K$5:$K$510,$A73)</f>
        <v>0</v>
      </c>
      <c r="AJ73" s="36" cm="1">
        <f t="array" ref="AJ73">_xlfn.COUNTIFS('Datos - Objetivos de países'!$B$5:$B$510,"Colombia",'Datos - Objetivos de países'!$F$5:$F$510,AJ$3,'Datos - Objetivos de países'!$J$5:$J$510,$A73)+_xlfn.COUNTIFS('Datos - Objetivos de países'!$B$5:$B$510,"Colombia",'Datos - Objetivos de países'!$F$5:$F$510,AJ$3,'Datos - Objetivos de países'!$K$5:$K$510,$A73)</f>
        <v>0</v>
      </c>
      <c r="AK73" s="36" cm="1">
        <f t="array" ref="AK73">_xlfn.COUNTIFS('Datos - Objetivos de países'!$B$5:$B$510,"Colombia",'Datos - Objetivos de países'!$F$5:$F$510,AK$3,'Datos - Objetivos de países'!$J$5:$J$510,$A73)+_xlfn.COUNTIFS('Datos - Objetivos de países'!$B$5:$B$510,"Colombia",'Datos - Objetivos de países'!$F$5:$F$510,AK$3,'Datos - Objetivos de países'!$K$5:$K$510,$A73)</f>
        <v>15</v>
      </c>
      <c r="AL73" s="36" cm="1">
        <f t="array" ref="AL73">_xlfn.COUNTIFS('Datos - Objetivos de países'!$B$5:$B$510,"Colombia",'Datos - Objetivos de países'!$F$5:$F$510,AL$3,'Datos - Objetivos de países'!$J$5:$J$510,$A73)+_xlfn.COUNTIFS('Datos - Objetivos de países'!$B$5:$B$510,"Colombia",'Datos - Objetivos de países'!$F$5:$F$510,AL$3,'Datos - Objetivos de países'!$K$5:$K$510,$A73)</f>
        <v>0</v>
      </c>
      <c r="AM73" s="36" cm="1">
        <f t="array" ref="AM73">_xlfn.COUNTIFS('Datos - Objetivos de países'!$B$5:$B$510,"Colombia",'Datos - Objetivos de países'!$F$5:$F$510,AM$3,'Datos - Objetivos de países'!$J$5:$J$510,$A73)+_xlfn.COUNTIFS('Datos - Objetivos de países'!$B$5:$B$510,"Colombia",'Datos - Objetivos de países'!$F$5:$F$510,AM$3,'Datos - Objetivos de países'!$K$5:$K$510,$A73)</f>
        <v>15</v>
      </c>
      <c r="AN73" s="36" cm="1">
        <f t="array" ref="AN73">_xlfn.COUNTIFS('Datos - Objetivos de países'!$B$5:$B$510,"Colombia",'Datos - Objetivos de países'!$F$5:$F$510,AN$3,'Datos - Objetivos de países'!$J$5:$J$510,$A73)+_xlfn.COUNTIFS('Datos - Objetivos de países'!$B$5:$B$510,"Colombia",'Datos - Objetivos de países'!$F$5:$F$510,AN$3,'Datos - Objetivos de países'!$K$5:$K$510,$A73)</f>
        <v>0</v>
      </c>
      <c r="AO73" s="36" cm="1">
        <f t="array" ref="AO73">_xlfn.COUNTIFS('Datos - Objetivos de países'!$B$5:$B$510,"Singapur",'Datos - Objetivos de países'!$F$5:$F$510,AO$3,'Datos - Objetivos de países'!$J$5:$J$510,$A73)+_xlfn.COUNTIFS('Datos - Objetivos de países'!$B$5:$B$510,"Singapur",'Datos - Objetivos de países'!$F$5:$F$510,AO$3,'Datos - Objetivos de países'!$K$5:$K$510,$A73)</f>
        <v>0</v>
      </c>
      <c r="AP73" s="36" cm="1">
        <f t="array" ref="AP73">_xlfn.COUNTIFS('Datos - Objetivos de países'!$B$5:$B$510,"Singapur",'Datos - Objetivos de países'!$F$5:$F$510,AP$3,'Datos - Objetivos de países'!$J$5:$J$510,$A73)+_xlfn.COUNTIFS('Datos - Objetivos de países'!$B$5:$B$510,"Singapur",'Datos - Objetivos de países'!$F$5:$F$510,AP$3,'Datos - Objetivos de países'!$K$5:$K$510,$A73)</f>
        <v>0</v>
      </c>
      <c r="AQ73" s="36" cm="1">
        <f t="array" ref="AQ73">_xlfn.COUNTIFS('Datos - Objetivos de países'!$B$5:$B$510,"Singapur",'Datos - Objetivos de países'!$F$5:$F$510,AQ$3,'Datos - Objetivos de países'!$J$5:$J$510,$A73)+_xlfn.COUNTIFS('Datos - Objetivos de países'!$B$5:$B$510,"Singapur",'Datos - Objetivos de países'!$F$5:$F$510,AQ$3,'Datos - Objetivos de países'!$K$5:$K$510,$A73)</f>
        <v>0</v>
      </c>
      <c r="AR73" s="36" cm="1">
        <f t="array" ref="AR73">_xlfn.COUNTIFS('Datos - Objetivos de países'!$B$5:$B$510,"Singapur",'Datos - Objetivos de países'!$F$5:$F$510,AR$3,'Datos - Objetivos de países'!$J$5:$J$510,$A73)+_xlfn.COUNTIFS('Datos - Objetivos de países'!$B$5:$B$510,"Singapur",'Datos - Objetivos de países'!$F$5:$F$510,AR$3,'Datos - Objetivos de países'!$K$5:$K$510,$A73)</f>
        <v>0</v>
      </c>
      <c r="AS73" s="36" cm="1">
        <f t="array" ref="AS73">_xlfn.COUNTIFS('Datos - Objetivos de países'!$B$5:$B$510,"Singapur",'Datos - Objetivos de países'!$F$5:$F$510,AS$3,'Datos - Objetivos de países'!$J$5:$J$510,$A73)+_xlfn.COUNTIFS('Datos - Objetivos de países'!$B$5:$B$510,"Singapur",'Datos - Objetivos de países'!$F$5:$F$510,AS$3,'Datos - Objetivos de países'!$K$5:$K$510,$A73)</f>
        <v>8</v>
      </c>
      <c r="AT73" s="36" cm="1">
        <f t="array" ref="AT73">_xlfn.COUNTIFS('Datos - Objetivos de países'!$B$5:$B$510,"Singapur",'Datos - Objetivos de países'!$F$5:$F$510,AT$3,'Datos - Objetivos de países'!$J$5:$J$510,$A73)+_xlfn.COUNTIFS('Datos - Objetivos de países'!$B$5:$B$510,"Singapur",'Datos - Objetivos de países'!$F$5:$F$510,AT$3,'Datos - Objetivos de países'!$K$5:$K$510,$A73)</f>
        <v>3</v>
      </c>
      <c r="AU73" s="36" cm="1">
        <f t="array" ref="AU73">_xlfn.COUNTIFS('Datos - Objetivos de países'!$B$5:$B$510,"Singapur",'Datos - Objetivos de países'!$F$5:$F$510,AU$3,'Datos - Objetivos de países'!$J$5:$J$510,$A73)+_xlfn.COUNTIFS('Datos - Objetivos de países'!$B$5:$B$510,"Singapur",'Datos - Objetivos de países'!$F$5:$F$510,AU$3,'Datos - Objetivos de países'!$K$5:$K$510,$A73)</f>
        <v>0</v>
      </c>
      <c r="AV73" s="36" cm="1">
        <f t="array" ref="AV73">_xlfn.COUNTIFS('Datos - Objetivos de países'!$B$5:$B$510,"Singapur",'Datos - Objetivos de países'!$F$5:$F$510,AV$3,'Datos - Objetivos de países'!$J$5:$J$510,$A73)+_xlfn.COUNTIFS('Datos - Objetivos de países'!$B$5:$B$510,"Singapur",'Datos - Objetivos de países'!$F$5:$F$510,AV$3,'Datos - Objetivos de países'!$K$5:$K$510,$A73)</f>
        <v>0</v>
      </c>
      <c r="AW73" s="36" cm="1">
        <f t="array" ref="AW73">_xlfn.COUNTIFS('Datos - Objetivos de países'!$B$5:$B$510,"Singapur",'Datos - Objetivos de países'!$F$5:$F$510,AW$3,'Datos - Objetivos de países'!$J$5:$J$510,$A73)+_xlfn.COUNTIFS('Datos - Objetivos de países'!$B$5:$B$510,"Singapur",'Datos - Objetivos de países'!$F$5:$F$510,AW$3,'Datos - Objetivos de países'!$K$5:$K$510,$A73)</f>
        <v>0</v>
      </c>
    </row>
    <row r="74" ht="13.65" customHeight="1">
      <c r="A74" t="s" s="78">
        <v>1272</v>
      </c>
      <c r="B74" t="s" s="78">
        <v>1164</v>
      </c>
      <c r="C74" t="s" s="78">
        <v>216</v>
      </c>
      <c r="D74" t="s" s="78">
        <v>1273</v>
      </c>
      <c r="E74" s="80" cm="1">
        <f t="array" ref="E74">_xlfn.IFERROR(MAX($L$3,INDEX($N$3:$V$3,MATCH(TRUE,INDEX(N74:V74&gt;0,0),0))),"—")</f>
        <v>5</v>
      </c>
      <c r="F74" s="80" cm="1">
        <f t="array" ref="F74">_xlfn.IFERROR(MAX($L$3,INDEX($W$3:$AE$3,MATCH(TRUE,INDEX(W74:AE74&gt;0,0),0))),"—")</f>
        <v>5</v>
      </c>
      <c r="G74" t="str" s="79" cm="1">
        <f t="array" ref="G74">_xlfn.IFERROR(MAX($L$3,INDEX($AF$3:$AN$3,MATCH(TRUE,INDEX(AF74:AN74&gt;0,0),0))),"—")</f>
        <v>—</v>
      </c>
      <c r="H74" t="str" s="79" cm="1">
        <f t="array" ref="H74">_xlfn.IFERROR(MAX($L$3,INDEX($AO$3:$AW$3,MATCH(TRUE,INDEX(AO74:AW74&gt;0,0),0))),"—")</f>
        <v>—</v>
      </c>
      <c r="I74" s="111" cm="1">
        <f t="array" ref="I74">IF(L74=0,"—",MEDIAN(F74:H74))</f>
        <v>5</v>
      </c>
      <c r="J74" s="111" cm="1">
        <f t="array" ref="J74">IF(OR(E74="—",I74="—"),"—",E74-I74)</f>
        <v>0</v>
      </c>
      <c r="K74" t="str" s="49" cm="1">
        <f t="array" ref="K74">IF(E74="—",IF(L74=0,"Nadie lo trabaja","El Salvador no llega"),IF(L74=0,"Solo El Salvador",IF(J74&gt;0,"El Salvador llega más tarde",IF(J74&lt;0,"El Salvador va adelantado","Mismo grado"))))</f>
        <v>Mismo grado</v>
      </c>
      <c r="L74" s="80" cm="1">
        <f t="array" ref="L74">COUNT(F74:H74)</f>
        <v>1</v>
      </c>
      <c r="M74" s="110"/>
      <c r="N74" s="36" cm="1">
        <f t="array" ref="N74">_xlfn.COUNTIFS('Datos - Temas'!$C$5:$C$1264,"Ciencias",'Datos - Temas'!$B$5:$B$1264,N$3,'Datos - Temas'!$K$5:$K$1264,$A74)+_xlfn.COUNTIFS('Datos - Temas'!$C$5:$C$1264,"Ciencias",'Datos - Temas'!$B$5:$B$1264,N$3,'Datos - Temas'!$L$5:$L$1264,$A74)</f>
        <v>0</v>
      </c>
      <c r="O74" s="36" cm="1">
        <f t="array" ref="O74">_xlfn.COUNTIFS('Datos - Temas'!$C$5:$C$1264,"Ciencias",'Datos - Temas'!$B$5:$B$1264,O$3,'Datos - Temas'!$K$5:$K$1264,$A74)+_xlfn.COUNTIFS('Datos - Temas'!$C$5:$C$1264,"Ciencias",'Datos - Temas'!$B$5:$B$1264,O$3,'Datos - Temas'!$L$5:$L$1264,$A74)</f>
        <v>0</v>
      </c>
      <c r="P74" s="36" cm="1">
        <f t="array" ref="P74">_xlfn.COUNTIFS('Datos - Temas'!$C$5:$C$1264,"Ciencias",'Datos - Temas'!$B$5:$B$1264,P$3,'Datos - Temas'!$K$5:$K$1264,$A74)+_xlfn.COUNTIFS('Datos - Temas'!$C$5:$C$1264,"Ciencias",'Datos - Temas'!$B$5:$B$1264,P$3,'Datos - Temas'!$L$5:$L$1264,$A74)</f>
        <v>0</v>
      </c>
      <c r="Q74" s="36" cm="1">
        <f t="array" ref="Q74">_xlfn.COUNTIFS('Datos - Temas'!$C$5:$C$1264,"Ciencias",'Datos - Temas'!$B$5:$B$1264,Q$3,'Datos - Temas'!$K$5:$K$1264,$A74)+_xlfn.COUNTIFS('Datos - Temas'!$C$5:$C$1264,"Ciencias",'Datos - Temas'!$B$5:$B$1264,Q$3,'Datos - Temas'!$L$5:$L$1264,$A74)</f>
        <v>0</v>
      </c>
      <c r="R74" s="36" cm="1">
        <f t="array" ref="R74">_xlfn.COUNTIFS('Datos - Temas'!$C$5:$C$1264,"Ciencias",'Datos - Temas'!$B$5:$B$1264,R$3,'Datos - Temas'!$K$5:$K$1264,$A74)+_xlfn.COUNTIFS('Datos - Temas'!$C$5:$C$1264,"Ciencias",'Datos - Temas'!$B$5:$B$1264,R$3,'Datos - Temas'!$L$5:$L$1264,$A74)</f>
        <v>4</v>
      </c>
      <c r="S74" s="36" cm="1">
        <f t="array" ref="S74">_xlfn.COUNTIFS('Datos - Temas'!$C$5:$C$1264,"Ciencias",'Datos - Temas'!$B$5:$B$1264,S$3,'Datos - Temas'!$K$5:$K$1264,$A74)+_xlfn.COUNTIFS('Datos - Temas'!$C$5:$C$1264,"Ciencias",'Datos - Temas'!$B$5:$B$1264,S$3,'Datos - Temas'!$L$5:$L$1264,$A74)</f>
        <v>0</v>
      </c>
      <c r="T74" s="36" cm="1">
        <f t="array" ref="T74">_xlfn.COUNTIFS('Datos - Temas'!$C$5:$C$1264,"Ciencias",'Datos - Temas'!$B$5:$B$1264,T$3,'Datos - Temas'!$K$5:$K$1264,$A74)+_xlfn.COUNTIFS('Datos - Temas'!$C$5:$C$1264,"Ciencias",'Datos - Temas'!$B$5:$B$1264,T$3,'Datos - Temas'!$L$5:$L$1264,$A74)</f>
        <v>4</v>
      </c>
      <c r="U74" s="36" cm="1">
        <f t="array" ref="U74">_xlfn.COUNTIFS('Datos - Temas'!$C$5:$C$1264,"Ciencias",'Datos - Temas'!$B$5:$B$1264,U$3,'Datos - Temas'!$K$5:$K$1264,$A74)+_xlfn.COUNTIFS('Datos - Temas'!$C$5:$C$1264,"Ciencias",'Datos - Temas'!$B$5:$B$1264,U$3,'Datos - Temas'!$L$5:$L$1264,$A74)</f>
        <v>0</v>
      </c>
      <c r="V74" s="36" cm="1">
        <f t="array" ref="V74">_xlfn.COUNTIFS('Datos - Temas'!$C$5:$C$1264,"Ciencias",'Datos - Temas'!$B$5:$B$1264,V$3,'Datos - Temas'!$K$5:$K$1264,$A74)+_xlfn.COUNTIFS('Datos - Temas'!$C$5:$C$1264,"Ciencias",'Datos - Temas'!$B$5:$B$1264,V$3,'Datos - Temas'!$L$5:$L$1264,$A74)</f>
        <v>4</v>
      </c>
      <c r="W74" s="36" cm="1">
        <f t="array" ref="W74">_xlfn.COUNTIFS('Datos - Objetivos de países'!$B$5:$B$510,"Uruguay",'Datos - Objetivos de países'!$F$5:$F$510,W$3,'Datos - Objetivos de países'!$J$5:$J$510,$A74)+_xlfn.COUNTIFS('Datos - Objetivos de países'!$B$5:$B$510,"Uruguay",'Datos - Objetivos de países'!$F$5:$F$510,W$3,'Datos - Objetivos de países'!$K$5:$K$510,$A74)</f>
        <v>0</v>
      </c>
      <c r="X74" s="36" cm="1">
        <f t="array" ref="X74">_xlfn.COUNTIFS('Datos - Objetivos de países'!$B$5:$B$510,"Uruguay",'Datos - Objetivos de países'!$F$5:$F$510,X$3,'Datos - Objetivos de países'!$J$5:$J$510,$A74)+_xlfn.COUNTIFS('Datos - Objetivos de países'!$B$5:$B$510,"Uruguay",'Datos - Objetivos de países'!$F$5:$F$510,X$3,'Datos - Objetivos de países'!$K$5:$K$510,$A74)</f>
        <v>0</v>
      </c>
      <c r="Y74" s="36" cm="1">
        <f t="array" ref="Y74">_xlfn.COUNTIFS('Datos - Objetivos de países'!$B$5:$B$510,"Uruguay",'Datos - Objetivos de países'!$F$5:$F$510,Y$3,'Datos - Objetivos de países'!$J$5:$J$510,$A74)+_xlfn.COUNTIFS('Datos - Objetivos de países'!$B$5:$B$510,"Uruguay",'Datos - Objetivos de países'!$F$5:$F$510,Y$3,'Datos - Objetivos de países'!$K$5:$K$510,$A74)</f>
        <v>0</v>
      </c>
      <c r="Z74" s="36" cm="1">
        <f t="array" ref="Z74">_xlfn.COUNTIFS('Datos - Objetivos de países'!$B$5:$B$510,"Uruguay",'Datos - Objetivos de países'!$F$5:$F$510,Z$3,'Datos - Objetivos de países'!$J$5:$J$510,$A74)+_xlfn.COUNTIFS('Datos - Objetivos de países'!$B$5:$B$510,"Uruguay",'Datos - Objetivos de países'!$F$5:$F$510,Z$3,'Datos - Objetivos de países'!$K$5:$K$510,$A74)</f>
        <v>0</v>
      </c>
      <c r="AA74" s="36" cm="1">
        <f t="array" ref="AA74">_xlfn.COUNTIFS('Datos - Objetivos de países'!$B$5:$B$510,"Uruguay",'Datos - Objetivos de países'!$F$5:$F$510,AA$3,'Datos - Objetivos de países'!$J$5:$J$510,$A74)+_xlfn.COUNTIFS('Datos - Objetivos de países'!$B$5:$B$510,"Uruguay",'Datos - Objetivos de países'!$F$5:$F$510,AA$3,'Datos - Objetivos de países'!$K$5:$K$510,$A74)</f>
        <v>2</v>
      </c>
      <c r="AB74" s="36" cm="1">
        <f t="array" ref="AB74">_xlfn.COUNTIFS('Datos - Objetivos de países'!$B$5:$B$510,"Uruguay",'Datos - Objetivos de países'!$F$5:$F$510,AB$3,'Datos - Objetivos de países'!$J$5:$J$510,$A74)+_xlfn.COUNTIFS('Datos - Objetivos de países'!$B$5:$B$510,"Uruguay",'Datos - Objetivos de países'!$F$5:$F$510,AB$3,'Datos - Objetivos de países'!$K$5:$K$510,$A74)</f>
        <v>0</v>
      </c>
      <c r="AC74" s="36" cm="1">
        <f t="array" ref="AC74">_xlfn.COUNTIFS('Datos - Objetivos de países'!$B$5:$B$510,"Uruguay",'Datos - Objetivos de países'!$F$5:$F$510,AC$3,'Datos - Objetivos de países'!$J$5:$J$510,$A74)+_xlfn.COUNTIFS('Datos - Objetivos de países'!$B$5:$B$510,"Uruguay",'Datos - Objetivos de países'!$F$5:$F$510,AC$3,'Datos - Objetivos de países'!$K$5:$K$510,$A74)</f>
        <v>0</v>
      </c>
      <c r="AD74" s="36" cm="1">
        <f t="array" ref="AD74">_xlfn.COUNTIFS('Datos - Objetivos de países'!$B$5:$B$510,"Uruguay",'Datos - Objetivos de países'!$F$5:$F$510,AD$3,'Datos - Objetivos de países'!$J$5:$J$510,$A74)+_xlfn.COUNTIFS('Datos - Objetivos de países'!$B$5:$B$510,"Uruguay",'Datos - Objetivos de países'!$F$5:$F$510,AD$3,'Datos - Objetivos de países'!$K$5:$K$510,$A74)</f>
        <v>0</v>
      </c>
      <c r="AE74" s="36" cm="1">
        <f t="array" ref="AE74">_xlfn.COUNTIFS('Datos - Objetivos de países'!$B$5:$B$510,"Uruguay",'Datos - Objetivos de países'!$F$5:$F$510,AE$3,'Datos - Objetivos de países'!$J$5:$J$510,$A74)+_xlfn.COUNTIFS('Datos - Objetivos de países'!$B$5:$B$510,"Uruguay",'Datos - Objetivos de países'!$F$5:$F$510,AE$3,'Datos - Objetivos de países'!$K$5:$K$510,$A74)</f>
        <v>0</v>
      </c>
      <c r="AF74" s="36" cm="1">
        <f t="array" ref="AF74">_xlfn.COUNTIFS('Datos - Objetivos de países'!$B$5:$B$510,"Colombia",'Datos - Objetivos de países'!$F$5:$F$510,AF$3,'Datos - Objetivos de países'!$J$5:$J$510,$A74)+_xlfn.COUNTIFS('Datos - Objetivos de países'!$B$5:$B$510,"Colombia",'Datos - Objetivos de países'!$F$5:$F$510,AF$3,'Datos - Objetivos de países'!$K$5:$K$510,$A74)</f>
        <v>0</v>
      </c>
      <c r="AG74" s="36" cm="1">
        <f t="array" ref="AG74">_xlfn.COUNTIFS('Datos - Objetivos de países'!$B$5:$B$510,"Colombia",'Datos - Objetivos de países'!$F$5:$F$510,AG$3,'Datos - Objetivos de países'!$J$5:$J$510,$A74)+_xlfn.COUNTIFS('Datos - Objetivos de países'!$B$5:$B$510,"Colombia",'Datos - Objetivos de países'!$F$5:$F$510,AG$3,'Datos - Objetivos de países'!$K$5:$K$510,$A74)</f>
        <v>0</v>
      </c>
      <c r="AH74" s="36" cm="1">
        <f t="array" ref="AH74">_xlfn.COUNTIFS('Datos - Objetivos de países'!$B$5:$B$510,"Colombia",'Datos - Objetivos de países'!$F$5:$F$510,AH$3,'Datos - Objetivos de países'!$J$5:$J$510,$A74)+_xlfn.COUNTIFS('Datos - Objetivos de países'!$B$5:$B$510,"Colombia",'Datos - Objetivos de países'!$F$5:$F$510,AH$3,'Datos - Objetivos de países'!$K$5:$K$510,$A74)</f>
        <v>0</v>
      </c>
      <c r="AI74" s="36" cm="1">
        <f t="array" ref="AI74">_xlfn.COUNTIFS('Datos - Objetivos de países'!$B$5:$B$510,"Colombia",'Datos - Objetivos de países'!$F$5:$F$510,AI$3,'Datos - Objetivos de países'!$J$5:$J$510,$A74)+_xlfn.COUNTIFS('Datos - Objetivos de países'!$B$5:$B$510,"Colombia",'Datos - Objetivos de países'!$F$5:$F$510,AI$3,'Datos - Objetivos de países'!$K$5:$K$510,$A74)</f>
        <v>0</v>
      </c>
      <c r="AJ74" s="36" cm="1">
        <f t="array" ref="AJ74">_xlfn.COUNTIFS('Datos - Objetivos de países'!$B$5:$B$510,"Colombia",'Datos - Objetivos de países'!$F$5:$F$510,AJ$3,'Datos - Objetivos de países'!$J$5:$J$510,$A74)+_xlfn.COUNTIFS('Datos - Objetivos de países'!$B$5:$B$510,"Colombia",'Datos - Objetivos de países'!$F$5:$F$510,AJ$3,'Datos - Objetivos de países'!$K$5:$K$510,$A74)</f>
        <v>0</v>
      </c>
      <c r="AK74" s="36" cm="1">
        <f t="array" ref="AK74">_xlfn.COUNTIFS('Datos - Objetivos de países'!$B$5:$B$510,"Colombia",'Datos - Objetivos de países'!$F$5:$F$510,AK$3,'Datos - Objetivos de países'!$J$5:$J$510,$A74)+_xlfn.COUNTIFS('Datos - Objetivos de países'!$B$5:$B$510,"Colombia",'Datos - Objetivos de países'!$F$5:$F$510,AK$3,'Datos - Objetivos de países'!$K$5:$K$510,$A74)</f>
        <v>0</v>
      </c>
      <c r="AL74" s="36" cm="1">
        <f t="array" ref="AL74">_xlfn.COUNTIFS('Datos - Objetivos de países'!$B$5:$B$510,"Colombia",'Datos - Objetivos de países'!$F$5:$F$510,AL$3,'Datos - Objetivos de países'!$J$5:$J$510,$A74)+_xlfn.COUNTIFS('Datos - Objetivos de países'!$B$5:$B$510,"Colombia",'Datos - Objetivos de países'!$F$5:$F$510,AL$3,'Datos - Objetivos de países'!$K$5:$K$510,$A74)</f>
        <v>0</v>
      </c>
      <c r="AM74" s="36" cm="1">
        <f t="array" ref="AM74">_xlfn.COUNTIFS('Datos - Objetivos de países'!$B$5:$B$510,"Colombia",'Datos - Objetivos de países'!$F$5:$F$510,AM$3,'Datos - Objetivos de países'!$J$5:$J$510,$A74)+_xlfn.COUNTIFS('Datos - Objetivos de países'!$B$5:$B$510,"Colombia",'Datos - Objetivos de países'!$F$5:$F$510,AM$3,'Datos - Objetivos de países'!$K$5:$K$510,$A74)</f>
        <v>0</v>
      </c>
      <c r="AN74" s="36" cm="1">
        <f t="array" ref="AN74">_xlfn.COUNTIFS('Datos - Objetivos de países'!$B$5:$B$510,"Colombia",'Datos - Objetivos de países'!$F$5:$F$510,AN$3,'Datos - Objetivos de países'!$J$5:$J$510,$A74)+_xlfn.COUNTIFS('Datos - Objetivos de países'!$B$5:$B$510,"Colombia",'Datos - Objetivos de países'!$F$5:$F$510,AN$3,'Datos - Objetivos de países'!$K$5:$K$510,$A74)</f>
        <v>0</v>
      </c>
      <c r="AO74" s="36" cm="1">
        <f t="array" ref="AO74">_xlfn.COUNTIFS('Datos - Objetivos de países'!$B$5:$B$510,"Singapur",'Datos - Objetivos de países'!$F$5:$F$510,AO$3,'Datos - Objetivos de países'!$J$5:$J$510,$A74)+_xlfn.COUNTIFS('Datos - Objetivos de países'!$B$5:$B$510,"Singapur",'Datos - Objetivos de países'!$F$5:$F$510,AO$3,'Datos - Objetivos de países'!$K$5:$K$510,$A74)</f>
        <v>0</v>
      </c>
      <c r="AP74" s="36" cm="1">
        <f t="array" ref="AP74">_xlfn.COUNTIFS('Datos - Objetivos de países'!$B$5:$B$510,"Singapur",'Datos - Objetivos de países'!$F$5:$F$510,AP$3,'Datos - Objetivos de países'!$J$5:$J$510,$A74)+_xlfn.COUNTIFS('Datos - Objetivos de países'!$B$5:$B$510,"Singapur",'Datos - Objetivos de países'!$F$5:$F$510,AP$3,'Datos - Objetivos de países'!$K$5:$K$510,$A74)</f>
        <v>0</v>
      </c>
      <c r="AQ74" s="36" cm="1">
        <f t="array" ref="AQ74">_xlfn.COUNTIFS('Datos - Objetivos de países'!$B$5:$B$510,"Singapur",'Datos - Objetivos de países'!$F$5:$F$510,AQ$3,'Datos - Objetivos de países'!$J$5:$J$510,$A74)+_xlfn.COUNTIFS('Datos - Objetivos de países'!$B$5:$B$510,"Singapur",'Datos - Objetivos de países'!$F$5:$F$510,AQ$3,'Datos - Objetivos de países'!$K$5:$K$510,$A74)</f>
        <v>0</v>
      </c>
      <c r="AR74" s="36" cm="1">
        <f t="array" ref="AR74">_xlfn.COUNTIFS('Datos - Objetivos de países'!$B$5:$B$510,"Singapur",'Datos - Objetivos de países'!$F$5:$F$510,AR$3,'Datos - Objetivos de países'!$J$5:$J$510,$A74)+_xlfn.COUNTIFS('Datos - Objetivos de países'!$B$5:$B$510,"Singapur",'Datos - Objetivos de países'!$F$5:$F$510,AR$3,'Datos - Objetivos de países'!$K$5:$K$510,$A74)</f>
        <v>0</v>
      </c>
      <c r="AS74" s="36" cm="1">
        <f t="array" ref="AS74">_xlfn.COUNTIFS('Datos - Objetivos de países'!$B$5:$B$510,"Singapur",'Datos - Objetivos de países'!$F$5:$F$510,AS$3,'Datos - Objetivos de países'!$J$5:$J$510,$A74)+_xlfn.COUNTIFS('Datos - Objetivos de países'!$B$5:$B$510,"Singapur",'Datos - Objetivos de países'!$F$5:$F$510,AS$3,'Datos - Objetivos de países'!$K$5:$K$510,$A74)</f>
        <v>0</v>
      </c>
      <c r="AT74" s="36" cm="1">
        <f t="array" ref="AT74">_xlfn.COUNTIFS('Datos - Objetivos de países'!$B$5:$B$510,"Singapur",'Datos - Objetivos de países'!$F$5:$F$510,AT$3,'Datos - Objetivos de países'!$J$5:$J$510,$A74)+_xlfn.COUNTIFS('Datos - Objetivos de países'!$B$5:$B$510,"Singapur",'Datos - Objetivos de países'!$F$5:$F$510,AT$3,'Datos - Objetivos de países'!$K$5:$K$510,$A74)</f>
        <v>0</v>
      </c>
      <c r="AU74" s="36" cm="1">
        <f t="array" ref="AU74">_xlfn.COUNTIFS('Datos - Objetivos de países'!$B$5:$B$510,"Singapur",'Datos - Objetivos de países'!$F$5:$F$510,AU$3,'Datos - Objetivos de países'!$J$5:$J$510,$A74)+_xlfn.COUNTIFS('Datos - Objetivos de países'!$B$5:$B$510,"Singapur",'Datos - Objetivos de países'!$F$5:$F$510,AU$3,'Datos - Objetivos de países'!$K$5:$K$510,$A74)</f>
        <v>0</v>
      </c>
      <c r="AV74" s="36" cm="1">
        <f t="array" ref="AV74">_xlfn.COUNTIFS('Datos - Objetivos de países'!$B$5:$B$510,"Singapur",'Datos - Objetivos de países'!$F$5:$F$510,AV$3,'Datos - Objetivos de países'!$J$5:$J$510,$A74)+_xlfn.COUNTIFS('Datos - Objetivos de países'!$B$5:$B$510,"Singapur",'Datos - Objetivos de países'!$F$5:$F$510,AV$3,'Datos - Objetivos de países'!$K$5:$K$510,$A74)</f>
        <v>0</v>
      </c>
      <c r="AW74" s="36" cm="1">
        <f t="array" ref="AW74">_xlfn.COUNTIFS('Datos - Objetivos de países'!$B$5:$B$510,"Singapur",'Datos - Objetivos de países'!$F$5:$F$510,AW$3,'Datos - Objetivos de países'!$J$5:$J$510,$A74)+_xlfn.COUNTIFS('Datos - Objetivos de países'!$B$5:$B$510,"Singapur",'Datos - Objetivos de países'!$F$5:$F$510,AW$3,'Datos - Objetivos de países'!$K$5:$K$510,$A74)</f>
        <v>0</v>
      </c>
    </row>
    <row r="75" ht="13.65" customHeight="1">
      <c r="A75" t="s" s="78">
        <v>524</v>
      </c>
      <c r="B75" t="s" s="78">
        <v>1164</v>
      </c>
      <c r="C75" t="s" s="78">
        <v>216</v>
      </c>
      <c r="D75" t="s" s="78">
        <v>1275</v>
      </c>
      <c r="E75" s="80" cm="1">
        <f t="array" ref="E75">_xlfn.IFERROR(MAX($L$3,INDEX($N$3:$V$3,MATCH(TRUE,INDEX(N75:V75&gt;0,0),0))),"—")</f>
        <v>5</v>
      </c>
      <c r="F75" s="80" cm="1">
        <f t="array" ref="F75">_xlfn.IFERROR(MAX($L$3,INDEX($W$3:$AE$3,MATCH(TRUE,INDEX(W75:AE75&gt;0,0),0))),"—")</f>
        <v>5</v>
      </c>
      <c r="G75" s="80" cm="1">
        <f t="array" ref="G75">_xlfn.IFERROR(MAX($L$3,INDEX($AF$3:$AN$3,MATCH(TRUE,INDEX(AF75:AN75&gt;0,0),0))),"—")</f>
        <v>6</v>
      </c>
      <c r="H75" t="str" s="79" cm="1">
        <f t="array" ref="H75">_xlfn.IFERROR(MAX($L$3,INDEX($AO$3:$AW$3,MATCH(TRUE,INDEX(AO75:AW75&gt;0,0),0))),"—")</f>
        <v>—</v>
      </c>
      <c r="I75" s="111" cm="1">
        <f t="array" ref="I75">IF(L75=0,"—",MEDIAN(F75:H75))</f>
        <v>5.5</v>
      </c>
      <c r="J75" s="111" cm="1">
        <f t="array" ref="J75">IF(OR(E75="—",I75="—"),"—",E75-I75)</f>
        <v>-0.5</v>
      </c>
      <c r="K75" t="str" s="49" cm="1">
        <f t="array" ref="K75">IF(E75="—",IF(L75=0,"Nadie lo trabaja","El Salvador no llega"),IF(L75=0,"Solo El Salvador",IF(J75&gt;0,"El Salvador llega más tarde",IF(J75&lt;0,"El Salvador va adelantado","Mismo grado"))))</f>
        <v>El Salvador va adelantado</v>
      </c>
      <c r="L75" s="80" cm="1">
        <f t="array" ref="L75">COUNT(F75:H75)</f>
        <v>2</v>
      </c>
      <c r="M75" s="110"/>
      <c r="N75" s="36" cm="1">
        <f t="array" ref="N75">_xlfn.COUNTIFS('Datos - Temas'!$C$5:$C$1264,"Ciencias",'Datos - Temas'!$B$5:$B$1264,N$3,'Datos - Temas'!$K$5:$K$1264,$A75)+_xlfn.COUNTIFS('Datos - Temas'!$C$5:$C$1264,"Ciencias",'Datos - Temas'!$B$5:$B$1264,N$3,'Datos - Temas'!$L$5:$L$1264,$A75)</f>
        <v>0</v>
      </c>
      <c r="O75" s="36" cm="1">
        <f t="array" ref="O75">_xlfn.COUNTIFS('Datos - Temas'!$C$5:$C$1264,"Ciencias",'Datos - Temas'!$B$5:$B$1264,O$3,'Datos - Temas'!$K$5:$K$1264,$A75)+_xlfn.COUNTIFS('Datos - Temas'!$C$5:$C$1264,"Ciencias",'Datos - Temas'!$B$5:$B$1264,O$3,'Datos - Temas'!$L$5:$L$1264,$A75)</f>
        <v>0</v>
      </c>
      <c r="P75" s="36" cm="1">
        <f t="array" ref="P75">_xlfn.COUNTIFS('Datos - Temas'!$C$5:$C$1264,"Ciencias",'Datos - Temas'!$B$5:$B$1264,P$3,'Datos - Temas'!$K$5:$K$1264,$A75)+_xlfn.COUNTIFS('Datos - Temas'!$C$5:$C$1264,"Ciencias",'Datos - Temas'!$B$5:$B$1264,P$3,'Datos - Temas'!$L$5:$L$1264,$A75)</f>
        <v>0</v>
      </c>
      <c r="Q75" s="36" cm="1">
        <f t="array" ref="Q75">_xlfn.COUNTIFS('Datos - Temas'!$C$5:$C$1264,"Ciencias",'Datos - Temas'!$B$5:$B$1264,Q$3,'Datos - Temas'!$K$5:$K$1264,$A75)+_xlfn.COUNTIFS('Datos - Temas'!$C$5:$C$1264,"Ciencias",'Datos - Temas'!$B$5:$B$1264,Q$3,'Datos - Temas'!$L$5:$L$1264,$A75)</f>
        <v>0</v>
      </c>
      <c r="R75" s="36" cm="1">
        <f t="array" ref="R75">_xlfn.COUNTIFS('Datos - Temas'!$C$5:$C$1264,"Ciencias",'Datos - Temas'!$B$5:$B$1264,R$3,'Datos - Temas'!$K$5:$K$1264,$A75)+_xlfn.COUNTIFS('Datos - Temas'!$C$5:$C$1264,"Ciencias",'Datos - Temas'!$B$5:$B$1264,R$3,'Datos - Temas'!$L$5:$L$1264,$A75)</f>
        <v>14</v>
      </c>
      <c r="S75" s="36" cm="1">
        <f t="array" ref="S75">_xlfn.COUNTIFS('Datos - Temas'!$C$5:$C$1264,"Ciencias",'Datos - Temas'!$B$5:$B$1264,S$3,'Datos - Temas'!$K$5:$K$1264,$A75)+_xlfn.COUNTIFS('Datos - Temas'!$C$5:$C$1264,"Ciencias",'Datos - Temas'!$B$5:$B$1264,S$3,'Datos - Temas'!$L$5:$L$1264,$A75)</f>
        <v>0</v>
      </c>
      <c r="T75" s="36" cm="1">
        <f t="array" ref="T75">_xlfn.COUNTIFS('Datos - Temas'!$C$5:$C$1264,"Ciencias",'Datos - Temas'!$B$5:$B$1264,T$3,'Datos - Temas'!$K$5:$K$1264,$A75)+_xlfn.COUNTIFS('Datos - Temas'!$C$5:$C$1264,"Ciencias",'Datos - Temas'!$B$5:$B$1264,T$3,'Datos - Temas'!$L$5:$L$1264,$A75)</f>
        <v>0</v>
      </c>
      <c r="U75" s="36" cm="1">
        <f t="array" ref="U75">_xlfn.COUNTIFS('Datos - Temas'!$C$5:$C$1264,"Ciencias",'Datos - Temas'!$B$5:$B$1264,U$3,'Datos - Temas'!$K$5:$K$1264,$A75)+_xlfn.COUNTIFS('Datos - Temas'!$C$5:$C$1264,"Ciencias",'Datos - Temas'!$B$5:$B$1264,U$3,'Datos - Temas'!$L$5:$L$1264,$A75)</f>
        <v>2</v>
      </c>
      <c r="V75" s="36" cm="1">
        <f t="array" ref="V75">_xlfn.COUNTIFS('Datos - Temas'!$C$5:$C$1264,"Ciencias",'Datos - Temas'!$B$5:$B$1264,V$3,'Datos - Temas'!$K$5:$K$1264,$A75)+_xlfn.COUNTIFS('Datos - Temas'!$C$5:$C$1264,"Ciencias",'Datos - Temas'!$B$5:$B$1264,V$3,'Datos - Temas'!$L$5:$L$1264,$A75)</f>
        <v>12</v>
      </c>
      <c r="W75" s="36" cm="1">
        <f t="array" ref="W75">_xlfn.COUNTIFS('Datos - Objetivos de países'!$B$5:$B$510,"Uruguay",'Datos - Objetivos de países'!$F$5:$F$510,W$3,'Datos - Objetivos de países'!$J$5:$J$510,$A75)+_xlfn.COUNTIFS('Datos - Objetivos de países'!$B$5:$B$510,"Uruguay",'Datos - Objetivos de países'!$F$5:$F$510,W$3,'Datos - Objetivos de países'!$K$5:$K$510,$A75)</f>
        <v>0</v>
      </c>
      <c r="X75" s="36" cm="1">
        <f t="array" ref="X75">_xlfn.COUNTIFS('Datos - Objetivos de países'!$B$5:$B$510,"Uruguay",'Datos - Objetivos de países'!$F$5:$F$510,X$3,'Datos - Objetivos de países'!$J$5:$J$510,$A75)+_xlfn.COUNTIFS('Datos - Objetivos de países'!$B$5:$B$510,"Uruguay",'Datos - Objetivos de países'!$F$5:$F$510,X$3,'Datos - Objetivos de países'!$K$5:$K$510,$A75)</f>
        <v>0</v>
      </c>
      <c r="Y75" s="36" cm="1">
        <f t="array" ref="Y75">_xlfn.COUNTIFS('Datos - Objetivos de países'!$B$5:$B$510,"Uruguay",'Datos - Objetivos de países'!$F$5:$F$510,Y$3,'Datos - Objetivos de países'!$J$5:$J$510,$A75)+_xlfn.COUNTIFS('Datos - Objetivos de países'!$B$5:$B$510,"Uruguay",'Datos - Objetivos de países'!$F$5:$F$510,Y$3,'Datos - Objetivos de países'!$K$5:$K$510,$A75)</f>
        <v>0</v>
      </c>
      <c r="Z75" s="36" cm="1">
        <f t="array" ref="Z75">_xlfn.COUNTIFS('Datos - Objetivos de países'!$B$5:$B$510,"Uruguay",'Datos - Objetivos de países'!$F$5:$F$510,Z$3,'Datos - Objetivos de países'!$J$5:$J$510,$A75)+_xlfn.COUNTIFS('Datos - Objetivos de países'!$B$5:$B$510,"Uruguay",'Datos - Objetivos de países'!$F$5:$F$510,Z$3,'Datos - Objetivos de países'!$K$5:$K$510,$A75)</f>
        <v>0</v>
      </c>
      <c r="AA75" s="36" cm="1">
        <f t="array" ref="AA75">_xlfn.COUNTIFS('Datos - Objetivos de países'!$B$5:$B$510,"Uruguay",'Datos - Objetivos de países'!$F$5:$F$510,AA$3,'Datos - Objetivos de países'!$J$5:$J$510,$A75)+_xlfn.COUNTIFS('Datos - Objetivos de países'!$B$5:$B$510,"Uruguay",'Datos - Objetivos de países'!$F$5:$F$510,AA$3,'Datos - Objetivos de países'!$K$5:$K$510,$A75)</f>
        <v>1</v>
      </c>
      <c r="AB75" s="36" cm="1">
        <f t="array" ref="AB75">_xlfn.COUNTIFS('Datos - Objetivos de países'!$B$5:$B$510,"Uruguay",'Datos - Objetivos de países'!$F$5:$F$510,AB$3,'Datos - Objetivos de países'!$J$5:$J$510,$A75)+_xlfn.COUNTIFS('Datos - Objetivos de países'!$B$5:$B$510,"Uruguay",'Datos - Objetivos de países'!$F$5:$F$510,AB$3,'Datos - Objetivos de países'!$K$5:$K$510,$A75)</f>
        <v>2</v>
      </c>
      <c r="AC75" s="36" cm="1">
        <f t="array" ref="AC75">_xlfn.COUNTIFS('Datos - Objetivos de países'!$B$5:$B$510,"Uruguay",'Datos - Objetivos de países'!$F$5:$F$510,AC$3,'Datos - Objetivos de países'!$J$5:$J$510,$A75)+_xlfn.COUNTIFS('Datos - Objetivos de países'!$B$5:$B$510,"Uruguay",'Datos - Objetivos de países'!$F$5:$F$510,AC$3,'Datos - Objetivos de países'!$K$5:$K$510,$A75)</f>
        <v>0</v>
      </c>
      <c r="AD75" s="36" cm="1">
        <f t="array" ref="AD75">_xlfn.COUNTIFS('Datos - Objetivos de países'!$B$5:$B$510,"Uruguay",'Datos - Objetivos de países'!$F$5:$F$510,AD$3,'Datos - Objetivos de países'!$J$5:$J$510,$A75)+_xlfn.COUNTIFS('Datos - Objetivos de países'!$B$5:$B$510,"Uruguay",'Datos - Objetivos de países'!$F$5:$F$510,AD$3,'Datos - Objetivos de países'!$K$5:$K$510,$A75)</f>
        <v>0</v>
      </c>
      <c r="AE75" s="36" cm="1">
        <f t="array" ref="AE75">_xlfn.COUNTIFS('Datos - Objetivos de países'!$B$5:$B$510,"Uruguay",'Datos - Objetivos de países'!$F$5:$F$510,AE$3,'Datos - Objetivos de países'!$J$5:$J$510,$A75)+_xlfn.COUNTIFS('Datos - Objetivos de países'!$B$5:$B$510,"Uruguay",'Datos - Objetivos de países'!$F$5:$F$510,AE$3,'Datos - Objetivos de países'!$K$5:$K$510,$A75)</f>
        <v>0</v>
      </c>
      <c r="AF75" s="36" cm="1">
        <f t="array" ref="AF75">_xlfn.COUNTIFS('Datos - Objetivos de países'!$B$5:$B$510,"Colombia",'Datos - Objetivos de países'!$F$5:$F$510,AF$3,'Datos - Objetivos de países'!$J$5:$J$510,$A75)+_xlfn.COUNTIFS('Datos - Objetivos de países'!$B$5:$B$510,"Colombia",'Datos - Objetivos de países'!$F$5:$F$510,AF$3,'Datos - Objetivos de países'!$K$5:$K$510,$A75)</f>
        <v>0</v>
      </c>
      <c r="AG75" s="36" cm="1">
        <f t="array" ref="AG75">_xlfn.COUNTIFS('Datos - Objetivos de países'!$B$5:$B$510,"Colombia",'Datos - Objetivos de países'!$F$5:$F$510,AG$3,'Datos - Objetivos de países'!$J$5:$J$510,$A75)+_xlfn.COUNTIFS('Datos - Objetivos de países'!$B$5:$B$510,"Colombia",'Datos - Objetivos de países'!$F$5:$F$510,AG$3,'Datos - Objetivos de países'!$K$5:$K$510,$A75)</f>
        <v>0</v>
      </c>
      <c r="AH75" s="36" cm="1">
        <f t="array" ref="AH75">_xlfn.COUNTIFS('Datos - Objetivos de países'!$B$5:$B$510,"Colombia",'Datos - Objetivos de países'!$F$5:$F$510,AH$3,'Datos - Objetivos de países'!$J$5:$J$510,$A75)+_xlfn.COUNTIFS('Datos - Objetivos de países'!$B$5:$B$510,"Colombia",'Datos - Objetivos de países'!$F$5:$F$510,AH$3,'Datos - Objetivos de países'!$K$5:$K$510,$A75)</f>
        <v>0</v>
      </c>
      <c r="AI75" s="36" cm="1">
        <f t="array" ref="AI75">_xlfn.COUNTIFS('Datos - Objetivos de países'!$B$5:$B$510,"Colombia",'Datos - Objetivos de países'!$F$5:$F$510,AI$3,'Datos - Objetivos de países'!$J$5:$J$510,$A75)+_xlfn.COUNTIFS('Datos - Objetivos de países'!$B$5:$B$510,"Colombia",'Datos - Objetivos de países'!$F$5:$F$510,AI$3,'Datos - Objetivos de países'!$K$5:$K$510,$A75)</f>
        <v>0</v>
      </c>
      <c r="AJ75" s="36" cm="1">
        <f t="array" ref="AJ75">_xlfn.COUNTIFS('Datos - Objetivos de países'!$B$5:$B$510,"Colombia",'Datos - Objetivos de países'!$F$5:$F$510,AJ$3,'Datos - Objetivos de países'!$J$5:$J$510,$A75)+_xlfn.COUNTIFS('Datos - Objetivos de países'!$B$5:$B$510,"Colombia",'Datos - Objetivos de países'!$F$5:$F$510,AJ$3,'Datos - Objetivos de países'!$K$5:$K$510,$A75)</f>
        <v>0</v>
      </c>
      <c r="AK75" s="36" cm="1">
        <f t="array" ref="AK75">_xlfn.COUNTIFS('Datos - Objetivos de países'!$B$5:$B$510,"Colombia",'Datos - Objetivos de países'!$F$5:$F$510,AK$3,'Datos - Objetivos de países'!$J$5:$J$510,$A75)+_xlfn.COUNTIFS('Datos - Objetivos de países'!$B$5:$B$510,"Colombia",'Datos - Objetivos de países'!$F$5:$F$510,AK$3,'Datos - Objetivos de países'!$K$5:$K$510,$A75)</f>
        <v>2</v>
      </c>
      <c r="AL75" s="36" cm="1">
        <f t="array" ref="AL75">_xlfn.COUNTIFS('Datos - Objetivos de países'!$B$5:$B$510,"Colombia",'Datos - Objetivos de países'!$F$5:$F$510,AL$3,'Datos - Objetivos de países'!$J$5:$J$510,$A75)+_xlfn.COUNTIFS('Datos - Objetivos de países'!$B$5:$B$510,"Colombia",'Datos - Objetivos de países'!$F$5:$F$510,AL$3,'Datos - Objetivos de países'!$K$5:$K$510,$A75)</f>
        <v>0</v>
      </c>
      <c r="AM75" s="36" cm="1">
        <f t="array" ref="AM75">_xlfn.COUNTIFS('Datos - Objetivos de países'!$B$5:$B$510,"Colombia",'Datos - Objetivos de países'!$F$5:$F$510,AM$3,'Datos - Objetivos de países'!$J$5:$J$510,$A75)+_xlfn.COUNTIFS('Datos - Objetivos de países'!$B$5:$B$510,"Colombia",'Datos - Objetivos de países'!$F$5:$F$510,AM$3,'Datos - Objetivos de países'!$K$5:$K$510,$A75)</f>
        <v>1</v>
      </c>
      <c r="AN75" s="36" cm="1">
        <f t="array" ref="AN75">_xlfn.COUNTIFS('Datos - Objetivos de países'!$B$5:$B$510,"Colombia",'Datos - Objetivos de países'!$F$5:$F$510,AN$3,'Datos - Objetivos de países'!$J$5:$J$510,$A75)+_xlfn.COUNTIFS('Datos - Objetivos de países'!$B$5:$B$510,"Colombia",'Datos - Objetivos de países'!$F$5:$F$510,AN$3,'Datos - Objetivos de países'!$K$5:$K$510,$A75)</f>
        <v>0</v>
      </c>
      <c r="AO75" s="36" cm="1">
        <f t="array" ref="AO75">_xlfn.COUNTIFS('Datos - Objetivos de países'!$B$5:$B$510,"Singapur",'Datos - Objetivos de países'!$F$5:$F$510,AO$3,'Datos - Objetivos de países'!$J$5:$J$510,$A75)+_xlfn.COUNTIFS('Datos - Objetivos de países'!$B$5:$B$510,"Singapur",'Datos - Objetivos de países'!$F$5:$F$510,AO$3,'Datos - Objetivos de países'!$K$5:$K$510,$A75)</f>
        <v>0</v>
      </c>
      <c r="AP75" s="36" cm="1">
        <f t="array" ref="AP75">_xlfn.COUNTIFS('Datos - Objetivos de países'!$B$5:$B$510,"Singapur",'Datos - Objetivos de países'!$F$5:$F$510,AP$3,'Datos - Objetivos de países'!$J$5:$J$510,$A75)+_xlfn.COUNTIFS('Datos - Objetivos de países'!$B$5:$B$510,"Singapur",'Datos - Objetivos de países'!$F$5:$F$510,AP$3,'Datos - Objetivos de países'!$K$5:$K$510,$A75)</f>
        <v>0</v>
      </c>
      <c r="AQ75" s="36" cm="1">
        <f t="array" ref="AQ75">_xlfn.COUNTIFS('Datos - Objetivos de países'!$B$5:$B$510,"Singapur",'Datos - Objetivos de países'!$F$5:$F$510,AQ$3,'Datos - Objetivos de países'!$J$5:$J$510,$A75)+_xlfn.COUNTIFS('Datos - Objetivos de países'!$B$5:$B$510,"Singapur",'Datos - Objetivos de países'!$F$5:$F$510,AQ$3,'Datos - Objetivos de países'!$K$5:$K$510,$A75)</f>
        <v>0</v>
      </c>
      <c r="AR75" s="36" cm="1">
        <f t="array" ref="AR75">_xlfn.COUNTIFS('Datos - Objetivos de países'!$B$5:$B$510,"Singapur",'Datos - Objetivos de países'!$F$5:$F$510,AR$3,'Datos - Objetivos de países'!$J$5:$J$510,$A75)+_xlfn.COUNTIFS('Datos - Objetivos de países'!$B$5:$B$510,"Singapur",'Datos - Objetivos de países'!$F$5:$F$510,AR$3,'Datos - Objetivos de países'!$K$5:$K$510,$A75)</f>
        <v>0</v>
      </c>
      <c r="AS75" s="36" cm="1">
        <f t="array" ref="AS75">_xlfn.COUNTIFS('Datos - Objetivos de países'!$B$5:$B$510,"Singapur",'Datos - Objetivos de países'!$F$5:$F$510,AS$3,'Datos - Objetivos de países'!$J$5:$J$510,$A75)+_xlfn.COUNTIFS('Datos - Objetivos de países'!$B$5:$B$510,"Singapur",'Datos - Objetivos de países'!$F$5:$F$510,AS$3,'Datos - Objetivos de países'!$K$5:$K$510,$A75)</f>
        <v>0</v>
      </c>
      <c r="AT75" s="36" cm="1">
        <f t="array" ref="AT75">_xlfn.COUNTIFS('Datos - Objetivos de países'!$B$5:$B$510,"Singapur",'Datos - Objetivos de países'!$F$5:$F$510,AT$3,'Datos - Objetivos de países'!$J$5:$J$510,$A75)+_xlfn.COUNTIFS('Datos - Objetivos de países'!$B$5:$B$510,"Singapur",'Datos - Objetivos de países'!$F$5:$F$510,AT$3,'Datos - Objetivos de países'!$K$5:$K$510,$A75)</f>
        <v>0</v>
      </c>
      <c r="AU75" s="36" cm="1">
        <f t="array" ref="AU75">_xlfn.COUNTIFS('Datos - Objetivos de países'!$B$5:$B$510,"Singapur",'Datos - Objetivos de países'!$F$5:$F$510,AU$3,'Datos - Objetivos de países'!$J$5:$J$510,$A75)+_xlfn.COUNTIFS('Datos - Objetivos de países'!$B$5:$B$510,"Singapur",'Datos - Objetivos de países'!$F$5:$F$510,AU$3,'Datos - Objetivos de países'!$K$5:$K$510,$A75)</f>
        <v>0</v>
      </c>
      <c r="AV75" s="36" cm="1">
        <f t="array" ref="AV75">_xlfn.COUNTIFS('Datos - Objetivos de países'!$B$5:$B$510,"Singapur",'Datos - Objetivos de países'!$F$5:$F$510,AV$3,'Datos - Objetivos de países'!$J$5:$J$510,$A75)+_xlfn.COUNTIFS('Datos - Objetivos de países'!$B$5:$B$510,"Singapur",'Datos - Objetivos de países'!$F$5:$F$510,AV$3,'Datos - Objetivos de países'!$K$5:$K$510,$A75)</f>
        <v>0</v>
      </c>
      <c r="AW75" s="36" cm="1">
        <f t="array" ref="AW75">_xlfn.COUNTIFS('Datos - Objetivos de países'!$B$5:$B$510,"Singapur",'Datos - Objetivos de países'!$F$5:$F$510,AW$3,'Datos - Objetivos de países'!$J$5:$J$510,$A75)+_xlfn.COUNTIFS('Datos - Objetivos de países'!$B$5:$B$510,"Singapur",'Datos - Objetivos de países'!$F$5:$F$510,AW$3,'Datos - Objetivos de países'!$K$5:$K$510,$A75)</f>
        <v>0</v>
      </c>
    </row>
    <row r="76" ht="13.65" customHeight="1">
      <c r="A76" t="s" s="78">
        <v>494</v>
      </c>
      <c r="B76" t="s" s="78">
        <v>1164</v>
      </c>
      <c r="C76" t="s" s="78">
        <v>216</v>
      </c>
      <c r="D76" t="s" s="78">
        <v>1277</v>
      </c>
      <c r="E76" s="80" cm="1">
        <f t="array" ref="E76">_xlfn.IFERROR(MAX($L$3,INDEX($N$3:$V$3,MATCH(TRUE,INDEX(N76:V76&gt;0,0),0))),"—")</f>
        <v>7</v>
      </c>
      <c r="F76" s="80" cm="1">
        <f t="array" ref="F76">_xlfn.IFERROR(MAX($L$3,INDEX($W$3:$AE$3,MATCH(TRUE,INDEX(W76:AE76&gt;0,0),0))),"—")</f>
        <v>6</v>
      </c>
      <c r="G76" s="80" cm="1">
        <f t="array" ref="G76">_xlfn.IFERROR(MAX($L$3,INDEX($AF$3:$AN$3,MATCH(TRUE,INDEX(AF76:AN76&gt;0,0),0))),"—")</f>
        <v>8</v>
      </c>
      <c r="H76" s="80" cm="1">
        <f t="array" ref="H76">_xlfn.IFERROR(MAX($L$3,INDEX($AO$3:$AW$3,MATCH(TRUE,INDEX(AO76:AW76&gt;0,0),0))),"—")</f>
        <v>5</v>
      </c>
      <c r="I76" s="111" cm="1">
        <f t="array" ref="I76">IF(L76=0,"—",MEDIAN(F76:H76))</f>
        <v>6</v>
      </c>
      <c r="J76" s="111" cm="1">
        <f t="array" ref="J76">IF(OR(E76="—",I76="—"),"—",E76-I76)</f>
        <v>1</v>
      </c>
      <c r="K76" t="str" s="49" cm="1">
        <f t="array" ref="K76">IF(E76="—",IF(L76=0,"Nadie lo trabaja","El Salvador no llega"),IF(L76=0,"Solo El Salvador",IF(J76&gt;0,"El Salvador llega más tarde",IF(J76&lt;0,"El Salvador va adelantado","Mismo grado"))))</f>
        <v>El Salvador llega más tarde</v>
      </c>
      <c r="L76" s="80" cm="1">
        <f t="array" ref="L76">COUNT(F76:H76)</f>
        <v>3</v>
      </c>
      <c r="M76" s="110"/>
      <c r="N76" s="36" cm="1">
        <f t="array" ref="N76">_xlfn.COUNTIFS('Datos - Temas'!$C$5:$C$1264,"Ciencias",'Datos - Temas'!$B$5:$B$1264,N$3,'Datos - Temas'!$K$5:$K$1264,$A76)+_xlfn.COUNTIFS('Datos - Temas'!$C$5:$C$1264,"Ciencias",'Datos - Temas'!$B$5:$B$1264,N$3,'Datos - Temas'!$L$5:$L$1264,$A76)</f>
        <v>0</v>
      </c>
      <c r="O76" s="36" cm="1">
        <f t="array" ref="O76">_xlfn.COUNTIFS('Datos - Temas'!$C$5:$C$1264,"Ciencias",'Datos - Temas'!$B$5:$B$1264,O$3,'Datos - Temas'!$K$5:$K$1264,$A76)+_xlfn.COUNTIFS('Datos - Temas'!$C$5:$C$1264,"Ciencias",'Datos - Temas'!$B$5:$B$1264,O$3,'Datos - Temas'!$L$5:$L$1264,$A76)</f>
        <v>0</v>
      </c>
      <c r="P76" s="36" cm="1">
        <f t="array" ref="P76">_xlfn.COUNTIFS('Datos - Temas'!$C$5:$C$1264,"Ciencias",'Datos - Temas'!$B$5:$B$1264,P$3,'Datos - Temas'!$K$5:$K$1264,$A76)+_xlfn.COUNTIFS('Datos - Temas'!$C$5:$C$1264,"Ciencias",'Datos - Temas'!$B$5:$B$1264,P$3,'Datos - Temas'!$L$5:$L$1264,$A76)</f>
        <v>0</v>
      </c>
      <c r="Q76" s="36" cm="1">
        <f t="array" ref="Q76">_xlfn.COUNTIFS('Datos - Temas'!$C$5:$C$1264,"Ciencias",'Datos - Temas'!$B$5:$B$1264,Q$3,'Datos - Temas'!$K$5:$K$1264,$A76)+_xlfn.COUNTIFS('Datos - Temas'!$C$5:$C$1264,"Ciencias",'Datos - Temas'!$B$5:$B$1264,Q$3,'Datos - Temas'!$L$5:$L$1264,$A76)</f>
        <v>0</v>
      </c>
      <c r="R76" s="36" cm="1">
        <f t="array" ref="R76">_xlfn.COUNTIFS('Datos - Temas'!$C$5:$C$1264,"Ciencias",'Datos - Temas'!$B$5:$B$1264,R$3,'Datos - Temas'!$K$5:$K$1264,$A76)+_xlfn.COUNTIFS('Datos - Temas'!$C$5:$C$1264,"Ciencias",'Datos - Temas'!$B$5:$B$1264,R$3,'Datos - Temas'!$L$5:$L$1264,$A76)</f>
        <v>0</v>
      </c>
      <c r="S76" s="36" cm="1">
        <f t="array" ref="S76">_xlfn.COUNTIFS('Datos - Temas'!$C$5:$C$1264,"Ciencias",'Datos - Temas'!$B$5:$B$1264,S$3,'Datos - Temas'!$K$5:$K$1264,$A76)+_xlfn.COUNTIFS('Datos - Temas'!$C$5:$C$1264,"Ciencias",'Datos - Temas'!$B$5:$B$1264,S$3,'Datos - Temas'!$L$5:$L$1264,$A76)</f>
        <v>0</v>
      </c>
      <c r="T76" s="36" cm="1">
        <f t="array" ref="T76">_xlfn.COUNTIFS('Datos - Temas'!$C$5:$C$1264,"Ciencias",'Datos - Temas'!$B$5:$B$1264,T$3,'Datos - Temas'!$K$5:$K$1264,$A76)+_xlfn.COUNTIFS('Datos - Temas'!$C$5:$C$1264,"Ciencias",'Datos - Temas'!$B$5:$B$1264,T$3,'Datos - Temas'!$L$5:$L$1264,$A76)</f>
        <v>2</v>
      </c>
      <c r="U76" s="36" cm="1">
        <f t="array" ref="U76">_xlfn.COUNTIFS('Datos - Temas'!$C$5:$C$1264,"Ciencias",'Datos - Temas'!$B$5:$B$1264,U$3,'Datos - Temas'!$K$5:$K$1264,$A76)+_xlfn.COUNTIFS('Datos - Temas'!$C$5:$C$1264,"Ciencias",'Datos - Temas'!$B$5:$B$1264,U$3,'Datos - Temas'!$L$5:$L$1264,$A76)</f>
        <v>0</v>
      </c>
      <c r="V76" s="36" cm="1">
        <f t="array" ref="V76">_xlfn.COUNTIFS('Datos - Temas'!$C$5:$C$1264,"Ciencias",'Datos - Temas'!$B$5:$B$1264,V$3,'Datos - Temas'!$K$5:$K$1264,$A76)+_xlfn.COUNTIFS('Datos - Temas'!$C$5:$C$1264,"Ciencias",'Datos - Temas'!$B$5:$B$1264,V$3,'Datos - Temas'!$L$5:$L$1264,$A76)</f>
        <v>0</v>
      </c>
      <c r="W76" s="36" cm="1">
        <f t="array" ref="W76">_xlfn.COUNTIFS('Datos - Objetivos de países'!$B$5:$B$510,"Uruguay",'Datos - Objetivos de países'!$F$5:$F$510,W$3,'Datos - Objetivos de países'!$J$5:$J$510,$A76)+_xlfn.COUNTIFS('Datos - Objetivos de países'!$B$5:$B$510,"Uruguay",'Datos - Objetivos de países'!$F$5:$F$510,W$3,'Datos - Objetivos de países'!$K$5:$K$510,$A76)</f>
        <v>0</v>
      </c>
      <c r="X76" s="36" cm="1">
        <f t="array" ref="X76">_xlfn.COUNTIFS('Datos - Objetivos de países'!$B$5:$B$510,"Uruguay",'Datos - Objetivos de países'!$F$5:$F$510,X$3,'Datos - Objetivos de países'!$J$5:$J$510,$A76)+_xlfn.COUNTIFS('Datos - Objetivos de países'!$B$5:$B$510,"Uruguay",'Datos - Objetivos de países'!$F$5:$F$510,X$3,'Datos - Objetivos de países'!$K$5:$K$510,$A76)</f>
        <v>0</v>
      </c>
      <c r="Y76" s="36" cm="1">
        <f t="array" ref="Y76">_xlfn.COUNTIFS('Datos - Objetivos de países'!$B$5:$B$510,"Uruguay",'Datos - Objetivos de países'!$F$5:$F$510,Y$3,'Datos - Objetivos de países'!$J$5:$J$510,$A76)+_xlfn.COUNTIFS('Datos - Objetivos de países'!$B$5:$B$510,"Uruguay",'Datos - Objetivos de países'!$F$5:$F$510,Y$3,'Datos - Objetivos de países'!$K$5:$K$510,$A76)</f>
        <v>0</v>
      </c>
      <c r="Z76" s="36" cm="1">
        <f t="array" ref="Z76">_xlfn.COUNTIFS('Datos - Objetivos de países'!$B$5:$B$510,"Uruguay",'Datos - Objetivos de países'!$F$5:$F$510,Z$3,'Datos - Objetivos de países'!$J$5:$J$510,$A76)+_xlfn.COUNTIFS('Datos - Objetivos de países'!$B$5:$B$510,"Uruguay",'Datos - Objetivos de países'!$F$5:$F$510,Z$3,'Datos - Objetivos de países'!$K$5:$K$510,$A76)</f>
        <v>0</v>
      </c>
      <c r="AA76" s="36" cm="1">
        <f t="array" ref="AA76">_xlfn.COUNTIFS('Datos - Objetivos de países'!$B$5:$B$510,"Uruguay",'Datos - Objetivos de países'!$F$5:$F$510,AA$3,'Datos - Objetivos de países'!$J$5:$J$510,$A76)+_xlfn.COUNTIFS('Datos - Objetivos de países'!$B$5:$B$510,"Uruguay",'Datos - Objetivos de países'!$F$5:$F$510,AA$3,'Datos - Objetivos de países'!$K$5:$K$510,$A76)</f>
        <v>0</v>
      </c>
      <c r="AB76" s="36" cm="1">
        <f t="array" ref="AB76">_xlfn.COUNTIFS('Datos - Objetivos de países'!$B$5:$B$510,"Uruguay",'Datos - Objetivos de países'!$F$5:$F$510,AB$3,'Datos - Objetivos de países'!$J$5:$J$510,$A76)+_xlfn.COUNTIFS('Datos - Objetivos de países'!$B$5:$B$510,"Uruguay",'Datos - Objetivos de países'!$F$5:$F$510,AB$3,'Datos - Objetivos de países'!$K$5:$K$510,$A76)</f>
        <v>1</v>
      </c>
      <c r="AC76" s="36" cm="1">
        <f t="array" ref="AC76">_xlfn.COUNTIFS('Datos - Objetivos de países'!$B$5:$B$510,"Uruguay",'Datos - Objetivos de países'!$F$5:$F$510,AC$3,'Datos - Objetivos de países'!$J$5:$J$510,$A76)+_xlfn.COUNTIFS('Datos - Objetivos de países'!$B$5:$B$510,"Uruguay",'Datos - Objetivos de países'!$F$5:$F$510,AC$3,'Datos - Objetivos de países'!$K$5:$K$510,$A76)</f>
        <v>0</v>
      </c>
      <c r="AD76" s="36" cm="1">
        <f t="array" ref="AD76">_xlfn.COUNTIFS('Datos - Objetivos de países'!$B$5:$B$510,"Uruguay",'Datos - Objetivos de países'!$F$5:$F$510,AD$3,'Datos - Objetivos de países'!$J$5:$J$510,$A76)+_xlfn.COUNTIFS('Datos - Objetivos de países'!$B$5:$B$510,"Uruguay",'Datos - Objetivos de países'!$F$5:$F$510,AD$3,'Datos - Objetivos de países'!$K$5:$K$510,$A76)</f>
        <v>0</v>
      </c>
      <c r="AE76" s="36" cm="1">
        <f t="array" ref="AE76">_xlfn.COUNTIFS('Datos - Objetivos de países'!$B$5:$B$510,"Uruguay",'Datos - Objetivos de países'!$F$5:$F$510,AE$3,'Datos - Objetivos de países'!$J$5:$J$510,$A76)+_xlfn.COUNTIFS('Datos - Objetivos de países'!$B$5:$B$510,"Uruguay",'Datos - Objetivos de países'!$F$5:$F$510,AE$3,'Datos - Objetivos de países'!$K$5:$K$510,$A76)</f>
        <v>0</v>
      </c>
      <c r="AF76" s="36" cm="1">
        <f t="array" ref="AF76">_xlfn.COUNTIFS('Datos - Objetivos de países'!$B$5:$B$510,"Colombia",'Datos - Objetivos de países'!$F$5:$F$510,AF$3,'Datos - Objetivos de países'!$J$5:$J$510,$A76)+_xlfn.COUNTIFS('Datos - Objetivos de países'!$B$5:$B$510,"Colombia",'Datos - Objetivos de países'!$F$5:$F$510,AF$3,'Datos - Objetivos de países'!$K$5:$K$510,$A76)</f>
        <v>0</v>
      </c>
      <c r="AG76" s="36" cm="1">
        <f t="array" ref="AG76">_xlfn.COUNTIFS('Datos - Objetivos de países'!$B$5:$B$510,"Colombia",'Datos - Objetivos de países'!$F$5:$F$510,AG$3,'Datos - Objetivos de países'!$J$5:$J$510,$A76)+_xlfn.COUNTIFS('Datos - Objetivos de países'!$B$5:$B$510,"Colombia",'Datos - Objetivos de países'!$F$5:$F$510,AG$3,'Datos - Objetivos de países'!$K$5:$K$510,$A76)</f>
        <v>0</v>
      </c>
      <c r="AH76" s="36" cm="1">
        <f t="array" ref="AH76">_xlfn.COUNTIFS('Datos - Objetivos de países'!$B$5:$B$510,"Colombia",'Datos - Objetivos de países'!$F$5:$F$510,AH$3,'Datos - Objetivos de países'!$J$5:$J$510,$A76)+_xlfn.COUNTIFS('Datos - Objetivos de países'!$B$5:$B$510,"Colombia",'Datos - Objetivos de países'!$F$5:$F$510,AH$3,'Datos - Objetivos de países'!$K$5:$K$510,$A76)</f>
        <v>0</v>
      </c>
      <c r="AI76" s="36" cm="1">
        <f t="array" ref="AI76">_xlfn.COUNTIFS('Datos - Objetivos de países'!$B$5:$B$510,"Colombia",'Datos - Objetivos de países'!$F$5:$F$510,AI$3,'Datos - Objetivos de países'!$J$5:$J$510,$A76)+_xlfn.COUNTIFS('Datos - Objetivos de países'!$B$5:$B$510,"Colombia",'Datos - Objetivos de países'!$F$5:$F$510,AI$3,'Datos - Objetivos de países'!$K$5:$K$510,$A76)</f>
        <v>0</v>
      </c>
      <c r="AJ76" s="36" cm="1">
        <f t="array" ref="AJ76">_xlfn.COUNTIFS('Datos - Objetivos de países'!$B$5:$B$510,"Colombia",'Datos - Objetivos de países'!$F$5:$F$510,AJ$3,'Datos - Objetivos de países'!$J$5:$J$510,$A76)+_xlfn.COUNTIFS('Datos - Objetivos de países'!$B$5:$B$510,"Colombia",'Datos - Objetivos de países'!$F$5:$F$510,AJ$3,'Datos - Objetivos de países'!$K$5:$K$510,$A76)</f>
        <v>0</v>
      </c>
      <c r="AK76" s="36" cm="1">
        <f t="array" ref="AK76">_xlfn.COUNTIFS('Datos - Objetivos de países'!$B$5:$B$510,"Colombia",'Datos - Objetivos de países'!$F$5:$F$510,AK$3,'Datos - Objetivos de países'!$J$5:$J$510,$A76)+_xlfn.COUNTIFS('Datos - Objetivos de países'!$B$5:$B$510,"Colombia",'Datos - Objetivos de países'!$F$5:$F$510,AK$3,'Datos - Objetivos de países'!$K$5:$K$510,$A76)</f>
        <v>0</v>
      </c>
      <c r="AL76" s="36" cm="1">
        <f t="array" ref="AL76">_xlfn.COUNTIFS('Datos - Objetivos de países'!$B$5:$B$510,"Colombia",'Datos - Objetivos de países'!$F$5:$F$510,AL$3,'Datos - Objetivos de países'!$J$5:$J$510,$A76)+_xlfn.COUNTIFS('Datos - Objetivos de países'!$B$5:$B$510,"Colombia",'Datos - Objetivos de países'!$F$5:$F$510,AL$3,'Datos - Objetivos de países'!$K$5:$K$510,$A76)</f>
        <v>0</v>
      </c>
      <c r="AM76" s="36" cm="1">
        <f t="array" ref="AM76">_xlfn.COUNTIFS('Datos - Objetivos de países'!$B$5:$B$510,"Colombia",'Datos - Objetivos de países'!$F$5:$F$510,AM$3,'Datos - Objetivos de países'!$J$5:$J$510,$A76)+_xlfn.COUNTIFS('Datos - Objetivos de países'!$B$5:$B$510,"Colombia",'Datos - Objetivos de países'!$F$5:$F$510,AM$3,'Datos - Objetivos de países'!$K$5:$K$510,$A76)</f>
        <v>2</v>
      </c>
      <c r="AN76" s="36" cm="1">
        <f t="array" ref="AN76">_xlfn.COUNTIFS('Datos - Objetivos de países'!$B$5:$B$510,"Colombia",'Datos - Objetivos de países'!$F$5:$F$510,AN$3,'Datos - Objetivos de países'!$J$5:$J$510,$A76)+_xlfn.COUNTIFS('Datos - Objetivos de países'!$B$5:$B$510,"Colombia",'Datos - Objetivos de países'!$F$5:$F$510,AN$3,'Datos - Objetivos de países'!$K$5:$K$510,$A76)</f>
        <v>0</v>
      </c>
      <c r="AO76" s="36" cm="1">
        <f t="array" ref="AO76">_xlfn.COUNTIFS('Datos - Objetivos de países'!$B$5:$B$510,"Singapur",'Datos - Objetivos de países'!$F$5:$F$510,AO$3,'Datos - Objetivos de países'!$J$5:$J$510,$A76)+_xlfn.COUNTIFS('Datos - Objetivos de países'!$B$5:$B$510,"Singapur",'Datos - Objetivos de países'!$F$5:$F$510,AO$3,'Datos - Objetivos de países'!$K$5:$K$510,$A76)</f>
        <v>0</v>
      </c>
      <c r="AP76" s="36" cm="1">
        <f t="array" ref="AP76">_xlfn.COUNTIFS('Datos - Objetivos de países'!$B$5:$B$510,"Singapur",'Datos - Objetivos de países'!$F$5:$F$510,AP$3,'Datos - Objetivos de países'!$J$5:$J$510,$A76)+_xlfn.COUNTIFS('Datos - Objetivos de países'!$B$5:$B$510,"Singapur",'Datos - Objetivos de países'!$F$5:$F$510,AP$3,'Datos - Objetivos de países'!$K$5:$K$510,$A76)</f>
        <v>0</v>
      </c>
      <c r="AQ76" s="36" cm="1">
        <f t="array" ref="AQ76">_xlfn.COUNTIFS('Datos - Objetivos de países'!$B$5:$B$510,"Singapur",'Datos - Objetivos de países'!$F$5:$F$510,AQ$3,'Datos - Objetivos de países'!$J$5:$J$510,$A76)+_xlfn.COUNTIFS('Datos - Objetivos de países'!$B$5:$B$510,"Singapur",'Datos - Objetivos de países'!$F$5:$F$510,AQ$3,'Datos - Objetivos de países'!$K$5:$K$510,$A76)</f>
        <v>0</v>
      </c>
      <c r="AR76" s="36" cm="1">
        <f t="array" ref="AR76">_xlfn.COUNTIFS('Datos - Objetivos de países'!$B$5:$B$510,"Singapur",'Datos - Objetivos de países'!$F$5:$F$510,AR$3,'Datos - Objetivos de países'!$J$5:$J$510,$A76)+_xlfn.COUNTIFS('Datos - Objetivos de países'!$B$5:$B$510,"Singapur",'Datos - Objetivos de países'!$F$5:$F$510,AR$3,'Datos - Objetivos de países'!$K$5:$K$510,$A76)</f>
        <v>0</v>
      </c>
      <c r="AS76" s="36" cm="1">
        <f t="array" ref="AS76">_xlfn.COUNTIFS('Datos - Objetivos de países'!$B$5:$B$510,"Singapur",'Datos - Objetivos de países'!$F$5:$F$510,AS$3,'Datos - Objetivos de países'!$J$5:$J$510,$A76)+_xlfn.COUNTIFS('Datos - Objetivos de países'!$B$5:$B$510,"Singapur",'Datos - Objetivos de países'!$F$5:$F$510,AS$3,'Datos - Objetivos de países'!$K$5:$K$510,$A76)</f>
        <v>1</v>
      </c>
      <c r="AT76" s="36" cm="1">
        <f t="array" ref="AT76">_xlfn.COUNTIFS('Datos - Objetivos de países'!$B$5:$B$510,"Singapur",'Datos - Objetivos de países'!$F$5:$F$510,AT$3,'Datos - Objetivos de países'!$J$5:$J$510,$A76)+_xlfn.COUNTIFS('Datos - Objetivos de países'!$B$5:$B$510,"Singapur",'Datos - Objetivos de países'!$F$5:$F$510,AT$3,'Datos - Objetivos de países'!$K$5:$K$510,$A76)</f>
        <v>0</v>
      </c>
      <c r="AU76" s="36" cm="1">
        <f t="array" ref="AU76">_xlfn.COUNTIFS('Datos - Objetivos de países'!$B$5:$B$510,"Singapur",'Datos - Objetivos de países'!$F$5:$F$510,AU$3,'Datos - Objetivos de países'!$J$5:$J$510,$A76)+_xlfn.COUNTIFS('Datos - Objetivos de países'!$B$5:$B$510,"Singapur",'Datos - Objetivos de países'!$F$5:$F$510,AU$3,'Datos - Objetivos de países'!$K$5:$K$510,$A76)</f>
        <v>0</v>
      </c>
      <c r="AV76" s="36" cm="1">
        <f t="array" ref="AV76">_xlfn.COUNTIFS('Datos - Objetivos de países'!$B$5:$B$510,"Singapur",'Datos - Objetivos de países'!$F$5:$F$510,AV$3,'Datos - Objetivos de países'!$J$5:$J$510,$A76)+_xlfn.COUNTIFS('Datos - Objetivos de países'!$B$5:$B$510,"Singapur",'Datos - Objetivos de países'!$F$5:$F$510,AV$3,'Datos - Objetivos de países'!$K$5:$K$510,$A76)</f>
        <v>0</v>
      </c>
      <c r="AW76" s="36" cm="1">
        <f t="array" ref="AW76">_xlfn.COUNTIFS('Datos - Objetivos de países'!$B$5:$B$510,"Singapur",'Datos - Objetivos de países'!$F$5:$F$510,AW$3,'Datos - Objetivos de países'!$J$5:$J$510,$A76)+_xlfn.COUNTIFS('Datos - Objetivos de países'!$B$5:$B$510,"Singapur",'Datos - Objetivos de países'!$F$5:$F$510,AW$3,'Datos - Objetivos de países'!$K$5:$K$510,$A76)</f>
        <v>0</v>
      </c>
    </row>
    <row r="77" ht="13.65" customHeight="1">
      <c r="A77" t="s" s="78">
        <v>520</v>
      </c>
      <c r="B77" t="s" s="78">
        <v>1164</v>
      </c>
      <c r="C77" t="s" s="78">
        <v>216</v>
      </c>
      <c r="D77" t="s" s="78">
        <v>1279</v>
      </c>
      <c r="E77" s="80" cm="1">
        <f t="array" ref="E77">_xlfn.IFERROR(MAX($L$3,INDEX($N$3:$V$3,MATCH(TRUE,INDEX(N77:V77&gt;0,0),0))),"—")</f>
        <v>7</v>
      </c>
      <c r="F77" t="str" s="79" cm="1">
        <f t="array" ref="F77">_xlfn.IFERROR(MAX($L$3,INDEX($W$3:$AE$3,MATCH(TRUE,INDEX(W77:AE77&gt;0,0),0))),"—")</f>
        <v>—</v>
      </c>
      <c r="G77" t="str" s="79" cm="1">
        <f t="array" ref="G77">_xlfn.IFERROR(MAX($L$3,INDEX($AF$3:$AN$3,MATCH(TRUE,INDEX(AF77:AN77&gt;0,0),0))),"—")</f>
        <v>—</v>
      </c>
      <c r="H77" s="80" cm="1">
        <f t="array" ref="H77">_xlfn.IFERROR(MAX($L$3,INDEX($AO$3:$AW$3,MATCH(TRUE,INDEX(AO77:AW77&gt;0,0),0))),"—")</f>
        <v>5</v>
      </c>
      <c r="I77" s="111" cm="1">
        <f t="array" ref="I77">IF(L77=0,"—",MEDIAN(F77:H77))</f>
        <v>5</v>
      </c>
      <c r="J77" s="111" cm="1">
        <f t="array" ref="J77">IF(OR(E77="—",I77="—"),"—",E77-I77)</f>
        <v>2</v>
      </c>
      <c r="K77" t="str" s="49" cm="1">
        <f t="array" ref="K77">IF(E77="—",IF(L77=0,"Nadie lo trabaja","El Salvador no llega"),IF(L77=0,"Solo El Salvador",IF(J77&gt;0,"El Salvador llega más tarde",IF(J77&lt;0,"El Salvador va adelantado","Mismo grado"))))</f>
        <v>El Salvador llega más tarde</v>
      </c>
      <c r="L77" s="80" cm="1">
        <f t="array" ref="L77">COUNT(F77:H77)</f>
        <v>1</v>
      </c>
      <c r="M77" s="110"/>
      <c r="N77" s="36" cm="1">
        <f t="array" ref="N77">_xlfn.COUNTIFS('Datos - Temas'!$C$5:$C$1264,"Ciencias",'Datos - Temas'!$B$5:$B$1264,N$3,'Datos - Temas'!$K$5:$K$1264,$A77)+_xlfn.COUNTIFS('Datos - Temas'!$C$5:$C$1264,"Ciencias",'Datos - Temas'!$B$5:$B$1264,N$3,'Datos - Temas'!$L$5:$L$1264,$A77)</f>
        <v>0</v>
      </c>
      <c r="O77" s="36" cm="1">
        <f t="array" ref="O77">_xlfn.COUNTIFS('Datos - Temas'!$C$5:$C$1264,"Ciencias",'Datos - Temas'!$B$5:$B$1264,O$3,'Datos - Temas'!$K$5:$K$1264,$A77)+_xlfn.COUNTIFS('Datos - Temas'!$C$5:$C$1264,"Ciencias",'Datos - Temas'!$B$5:$B$1264,O$3,'Datos - Temas'!$L$5:$L$1264,$A77)</f>
        <v>0</v>
      </c>
      <c r="P77" s="36" cm="1">
        <f t="array" ref="P77">_xlfn.COUNTIFS('Datos - Temas'!$C$5:$C$1264,"Ciencias",'Datos - Temas'!$B$5:$B$1264,P$3,'Datos - Temas'!$K$5:$K$1264,$A77)+_xlfn.COUNTIFS('Datos - Temas'!$C$5:$C$1264,"Ciencias",'Datos - Temas'!$B$5:$B$1264,P$3,'Datos - Temas'!$L$5:$L$1264,$A77)</f>
        <v>0</v>
      </c>
      <c r="Q77" s="36" cm="1">
        <f t="array" ref="Q77">_xlfn.COUNTIFS('Datos - Temas'!$C$5:$C$1264,"Ciencias",'Datos - Temas'!$B$5:$B$1264,Q$3,'Datos - Temas'!$K$5:$K$1264,$A77)+_xlfn.COUNTIFS('Datos - Temas'!$C$5:$C$1264,"Ciencias",'Datos - Temas'!$B$5:$B$1264,Q$3,'Datos - Temas'!$L$5:$L$1264,$A77)</f>
        <v>0</v>
      </c>
      <c r="R77" s="36" cm="1">
        <f t="array" ref="R77">_xlfn.COUNTIFS('Datos - Temas'!$C$5:$C$1264,"Ciencias",'Datos - Temas'!$B$5:$B$1264,R$3,'Datos - Temas'!$K$5:$K$1264,$A77)+_xlfn.COUNTIFS('Datos - Temas'!$C$5:$C$1264,"Ciencias",'Datos - Temas'!$B$5:$B$1264,R$3,'Datos - Temas'!$L$5:$L$1264,$A77)</f>
        <v>0</v>
      </c>
      <c r="S77" s="36" cm="1">
        <f t="array" ref="S77">_xlfn.COUNTIFS('Datos - Temas'!$C$5:$C$1264,"Ciencias",'Datos - Temas'!$B$5:$B$1264,S$3,'Datos - Temas'!$K$5:$K$1264,$A77)+_xlfn.COUNTIFS('Datos - Temas'!$C$5:$C$1264,"Ciencias",'Datos - Temas'!$B$5:$B$1264,S$3,'Datos - Temas'!$L$5:$L$1264,$A77)</f>
        <v>0</v>
      </c>
      <c r="T77" s="36" cm="1">
        <f t="array" ref="T77">_xlfn.COUNTIFS('Datos - Temas'!$C$5:$C$1264,"Ciencias",'Datos - Temas'!$B$5:$B$1264,T$3,'Datos - Temas'!$K$5:$K$1264,$A77)+_xlfn.COUNTIFS('Datos - Temas'!$C$5:$C$1264,"Ciencias",'Datos - Temas'!$B$5:$B$1264,T$3,'Datos - Temas'!$L$5:$L$1264,$A77)</f>
        <v>5</v>
      </c>
      <c r="U77" s="36" cm="1">
        <f t="array" ref="U77">_xlfn.COUNTIFS('Datos - Temas'!$C$5:$C$1264,"Ciencias",'Datos - Temas'!$B$5:$B$1264,U$3,'Datos - Temas'!$K$5:$K$1264,$A77)+_xlfn.COUNTIFS('Datos - Temas'!$C$5:$C$1264,"Ciencias",'Datos - Temas'!$B$5:$B$1264,U$3,'Datos - Temas'!$L$5:$L$1264,$A77)</f>
        <v>0</v>
      </c>
      <c r="V77" s="36" cm="1">
        <f t="array" ref="V77">_xlfn.COUNTIFS('Datos - Temas'!$C$5:$C$1264,"Ciencias",'Datos - Temas'!$B$5:$B$1264,V$3,'Datos - Temas'!$K$5:$K$1264,$A77)+_xlfn.COUNTIFS('Datos - Temas'!$C$5:$C$1264,"Ciencias",'Datos - Temas'!$B$5:$B$1264,V$3,'Datos - Temas'!$L$5:$L$1264,$A77)</f>
        <v>0</v>
      </c>
      <c r="W77" s="36" cm="1">
        <f t="array" ref="W77">_xlfn.COUNTIFS('Datos - Objetivos de países'!$B$5:$B$510,"Uruguay",'Datos - Objetivos de países'!$F$5:$F$510,W$3,'Datos - Objetivos de países'!$J$5:$J$510,$A77)+_xlfn.COUNTIFS('Datos - Objetivos de países'!$B$5:$B$510,"Uruguay",'Datos - Objetivos de países'!$F$5:$F$510,W$3,'Datos - Objetivos de países'!$K$5:$K$510,$A77)</f>
        <v>0</v>
      </c>
      <c r="X77" s="36" cm="1">
        <f t="array" ref="X77">_xlfn.COUNTIFS('Datos - Objetivos de países'!$B$5:$B$510,"Uruguay",'Datos - Objetivos de países'!$F$5:$F$510,X$3,'Datos - Objetivos de países'!$J$5:$J$510,$A77)+_xlfn.COUNTIFS('Datos - Objetivos de países'!$B$5:$B$510,"Uruguay",'Datos - Objetivos de países'!$F$5:$F$510,X$3,'Datos - Objetivos de países'!$K$5:$K$510,$A77)</f>
        <v>0</v>
      </c>
      <c r="Y77" s="36" cm="1">
        <f t="array" ref="Y77">_xlfn.COUNTIFS('Datos - Objetivos de países'!$B$5:$B$510,"Uruguay",'Datos - Objetivos de países'!$F$5:$F$510,Y$3,'Datos - Objetivos de países'!$J$5:$J$510,$A77)+_xlfn.COUNTIFS('Datos - Objetivos de países'!$B$5:$B$510,"Uruguay",'Datos - Objetivos de países'!$F$5:$F$510,Y$3,'Datos - Objetivos de países'!$K$5:$K$510,$A77)</f>
        <v>0</v>
      </c>
      <c r="Z77" s="36" cm="1">
        <f t="array" ref="Z77">_xlfn.COUNTIFS('Datos - Objetivos de países'!$B$5:$B$510,"Uruguay",'Datos - Objetivos de países'!$F$5:$F$510,Z$3,'Datos - Objetivos de países'!$J$5:$J$510,$A77)+_xlfn.COUNTIFS('Datos - Objetivos de países'!$B$5:$B$510,"Uruguay",'Datos - Objetivos de países'!$F$5:$F$510,Z$3,'Datos - Objetivos de países'!$K$5:$K$510,$A77)</f>
        <v>0</v>
      </c>
      <c r="AA77" s="36" cm="1">
        <f t="array" ref="AA77">_xlfn.COUNTIFS('Datos - Objetivos de países'!$B$5:$B$510,"Uruguay",'Datos - Objetivos de países'!$F$5:$F$510,AA$3,'Datos - Objetivos de países'!$J$5:$J$510,$A77)+_xlfn.COUNTIFS('Datos - Objetivos de países'!$B$5:$B$510,"Uruguay",'Datos - Objetivos de países'!$F$5:$F$510,AA$3,'Datos - Objetivos de países'!$K$5:$K$510,$A77)</f>
        <v>0</v>
      </c>
      <c r="AB77" s="36" cm="1">
        <f t="array" ref="AB77">_xlfn.COUNTIFS('Datos - Objetivos de países'!$B$5:$B$510,"Uruguay",'Datos - Objetivos de países'!$F$5:$F$510,AB$3,'Datos - Objetivos de países'!$J$5:$J$510,$A77)+_xlfn.COUNTIFS('Datos - Objetivos de países'!$B$5:$B$510,"Uruguay",'Datos - Objetivos de países'!$F$5:$F$510,AB$3,'Datos - Objetivos de países'!$K$5:$K$510,$A77)</f>
        <v>0</v>
      </c>
      <c r="AC77" s="36" cm="1">
        <f t="array" ref="AC77">_xlfn.COUNTIFS('Datos - Objetivos de países'!$B$5:$B$510,"Uruguay",'Datos - Objetivos de países'!$F$5:$F$510,AC$3,'Datos - Objetivos de países'!$J$5:$J$510,$A77)+_xlfn.COUNTIFS('Datos - Objetivos de países'!$B$5:$B$510,"Uruguay",'Datos - Objetivos de países'!$F$5:$F$510,AC$3,'Datos - Objetivos de países'!$K$5:$K$510,$A77)</f>
        <v>0</v>
      </c>
      <c r="AD77" s="36" cm="1">
        <f t="array" ref="AD77">_xlfn.COUNTIFS('Datos - Objetivos de países'!$B$5:$B$510,"Uruguay",'Datos - Objetivos de países'!$F$5:$F$510,AD$3,'Datos - Objetivos de países'!$J$5:$J$510,$A77)+_xlfn.COUNTIFS('Datos - Objetivos de países'!$B$5:$B$510,"Uruguay",'Datos - Objetivos de países'!$F$5:$F$510,AD$3,'Datos - Objetivos de países'!$K$5:$K$510,$A77)</f>
        <v>0</v>
      </c>
      <c r="AE77" s="36" cm="1">
        <f t="array" ref="AE77">_xlfn.COUNTIFS('Datos - Objetivos de países'!$B$5:$B$510,"Uruguay",'Datos - Objetivos de países'!$F$5:$F$510,AE$3,'Datos - Objetivos de países'!$J$5:$J$510,$A77)+_xlfn.COUNTIFS('Datos - Objetivos de países'!$B$5:$B$510,"Uruguay",'Datos - Objetivos de países'!$F$5:$F$510,AE$3,'Datos - Objetivos de países'!$K$5:$K$510,$A77)</f>
        <v>0</v>
      </c>
      <c r="AF77" s="36" cm="1">
        <f t="array" ref="AF77">_xlfn.COUNTIFS('Datos - Objetivos de países'!$B$5:$B$510,"Colombia",'Datos - Objetivos de países'!$F$5:$F$510,AF$3,'Datos - Objetivos de países'!$J$5:$J$510,$A77)+_xlfn.COUNTIFS('Datos - Objetivos de países'!$B$5:$B$510,"Colombia",'Datos - Objetivos de países'!$F$5:$F$510,AF$3,'Datos - Objetivos de países'!$K$5:$K$510,$A77)</f>
        <v>0</v>
      </c>
      <c r="AG77" s="36" cm="1">
        <f t="array" ref="AG77">_xlfn.COUNTIFS('Datos - Objetivos de países'!$B$5:$B$510,"Colombia",'Datos - Objetivos de países'!$F$5:$F$510,AG$3,'Datos - Objetivos de países'!$J$5:$J$510,$A77)+_xlfn.COUNTIFS('Datos - Objetivos de países'!$B$5:$B$510,"Colombia",'Datos - Objetivos de países'!$F$5:$F$510,AG$3,'Datos - Objetivos de países'!$K$5:$K$510,$A77)</f>
        <v>0</v>
      </c>
      <c r="AH77" s="36" cm="1">
        <f t="array" ref="AH77">_xlfn.COUNTIFS('Datos - Objetivos de países'!$B$5:$B$510,"Colombia",'Datos - Objetivos de países'!$F$5:$F$510,AH$3,'Datos - Objetivos de países'!$J$5:$J$510,$A77)+_xlfn.COUNTIFS('Datos - Objetivos de países'!$B$5:$B$510,"Colombia",'Datos - Objetivos de países'!$F$5:$F$510,AH$3,'Datos - Objetivos de países'!$K$5:$K$510,$A77)</f>
        <v>0</v>
      </c>
      <c r="AI77" s="36" cm="1">
        <f t="array" ref="AI77">_xlfn.COUNTIFS('Datos - Objetivos de países'!$B$5:$B$510,"Colombia",'Datos - Objetivos de países'!$F$5:$F$510,AI$3,'Datos - Objetivos de países'!$J$5:$J$510,$A77)+_xlfn.COUNTIFS('Datos - Objetivos de países'!$B$5:$B$510,"Colombia",'Datos - Objetivos de países'!$F$5:$F$510,AI$3,'Datos - Objetivos de países'!$K$5:$K$510,$A77)</f>
        <v>0</v>
      </c>
      <c r="AJ77" s="36" cm="1">
        <f t="array" ref="AJ77">_xlfn.COUNTIFS('Datos - Objetivos de países'!$B$5:$B$510,"Colombia",'Datos - Objetivos de países'!$F$5:$F$510,AJ$3,'Datos - Objetivos de países'!$J$5:$J$510,$A77)+_xlfn.COUNTIFS('Datos - Objetivos de países'!$B$5:$B$510,"Colombia",'Datos - Objetivos de países'!$F$5:$F$510,AJ$3,'Datos - Objetivos de países'!$K$5:$K$510,$A77)</f>
        <v>0</v>
      </c>
      <c r="AK77" s="36" cm="1">
        <f t="array" ref="AK77">_xlfn.COUNTIFS('Datos - Objetivos de países'!$B$5:$B$510,"Colombia",'Datos - Objetivos de países'!$F$5:$F$510,AK$3,'Datos - Objetivos de países'!$J$5:$J$510,$A77)+_xlfn.COUNTIFS('Datos - Objetivos de países'!$B$5:$B$510,"Colombia",'Datos - Objetivos de países'!$F$5:$F$510,AK$3,'Datos - Objetivos de países'!$K$5:$K$510,$A77)</f>
        <v>0</v>
      </c>
      <c r="AL77" s="36" cm="1">
        <f t="array" ref="AL77">_xlfn.COUNTIFS('Datos - Objetivos de países'!$B$5:$B$510,"Colombia",'Datos - Objetivos de países'!$F$5:$F$510,AL$3,'Datos - Objetivos de países'!$J$5:$J$510,$A77)+_xlfn.COUNTIFS('Datos - Objetivos de países'!$B$5:$B$510,"Colombia",'Datos - Objetivos de países'!$F$5:$F$510,AL$3,'Datos - Objetivos de países'!$K$5:$K$510,$A77)</f>
        <v>0</v>
      </c>
      <c r="AM77" s="36" cm="1">
        <f t="array" ref="AM77">_xlfn.COUNTIFS('Datos - Objetivos de países'!$B$5:$B$510,"Colombia",'Datos - Objetivos de países'!$F$5:$F$510,AM$3,'Datos - Objetivos de países'!$J$5:$J$510,$A77)+_xlfn.COUNTIFS('Datos - Objetivos de países'!$B$5:$B$510,"Colombia",'Datos - Objetivos de países'!$F$5:$F$510,AM$3,'Datos - Objetivos de países'!$K$5:$K$510,$A77)</f>
        <v>0</v>
      </c>
      <c r="AN77" s="36" cm="1">
        <f t="array" ref="AN77">_xlfn.COUNTIFS('Datos - Objetivos de países'!$B$5:$B$510,"Colombia",'Datos - Objetivos de países'!$F$5:$F$510,AN$3,'Datos - Objetivos de países'!$J$5:$J$510,$A77)+_xlfn.COUNTIFS('Datos - Objetivos de países'!$B$5:$B$510,"Colombia",'Datos - Objetivos de países'!$F$5:$F$510,AN$3,'Datos - Objetivos de países'!$K$5:$K$510,$A77)</f>
        <v>0</v>
      </c>
      <c r="AO77" s="36" cm="1">
        <f t="array" ref="AO77">_xlfn.COUNTIFS('Datos - Objetivos de países'!$B$5:$B$510,"Singapur",'Datos - Objetivos de países'!$F$5:$F$510,AO$3,'Datos - Objetivos de países'!$J$5:$J$510,$A77)+_xlfn.COUNTIFS('Datos - Objetivos de países'!$B$5:$B$510,"Singapur",'Datos - Objetivos de países'!$F$5:$F$510,AO$3,'Datos - Objetivos de países'!$K$5:$K$510,$A77)</f>
        <v>0</v>
      </c>
      <c r="AP77" s="36" cm="1">
        <f t="array" ref="AP77">_xlfn.COUNTIFS('Datos - Objetivos de países'!$B$5:$B$510,"Singapur",'Datos - Objetivos de países'!$F$5:$F$510,AP$3,'Datos - Objetivos de países'!$J$5:$J$510,$A77)+_xlfn.COUNTIFS('Datos - Objetivos de países'!$B$5:$B$510,"Singapur",'Datos - Objetivos de países'!$F$5:$F$510,AP$3,'Datos - Objetivos de países'!$K$5:$K$510,$A77)</f>
        <v>0</v>
      </c>
      <c r="AQ77" s="36" cm="1">
        <f t="array" ref="AQ77">_xlfn.COUNTIFS('Datos - Objetivos de países'!$B$5:$B$510,"Singapur",'Datos - Objetivos de países'!$F$5:$F$510,AQ$3,'Datos - Objetivos de países'!$J$5:$J$510,$A77)+_xlfn.COUNTIFS('Datos - Objetivos de países'!$B$5:$B$510,"Singapur",'Datos - Objetivos de países'!$F$5:$F$510,AQ$3,'Datos - Objetivos de países'!$K$5:$K$510,$A77)</f>
        <v>0</v>
      </c>
      <c r="AR77" s="36" cm="1">
        <f t="array" ref="AR77">_xlfn.COUNTIFS('Datos - Objetivos de países'!$B$5:$B$510,"Singapur",'Datos - Objetivos de países'!$F$5:$F$510,AR$3,'Datos - Objetivos de países'!$J$5:$J$510,$A77)+_xlfn.COUNTIFS('Datos - Objetivos de países'!$B$5:$B$510,"Singapur",'Datos - Objetivos de países'!$F$5:$F$510,AR$3,'Datos - Objetivos de países'!$K$5:$K$510,$A77)</f>
        <v>0</v>
      </c>
      <c r="AS77" s="36" cm="1">
        <f t="array" ref="AS77">_xlfn.COUNTIFS('Datos - Objetivos de países'!$B$5:$B$510,"Singapur",'Datos - Objetivos de países'!$F$5:$F$510,AS$3,'Datos - Objetivos de países'!$J$5:$J$510,$A77)+_xlfn.COUNTIFS('Datos - Objetivos de países'!$B$5:$B$510,"Singapur",'Datos - Objetivos de países'!$F$5:$F$510,AS$3,'Datos - Objetivos de países'!$K$5:$K$510,$A77)</f>
        <v>2</v>
      </c>
      <c r="AT77" s="36" cm="1">
        <f t="array" ref="AT77">_xlfn.COUNTIFS('Datos - Objetivos de países'!$B$5:$B$510,"Singapur",'Datos - Objetivos de países'!$F$5:$F$510,AT$3,'Datos - Objetivos de países'!$J$5:$J$510,$A77)+_xlfn.COUNTIFS('Datos - Objetivos de países'!$B$5:$B$510,"Singapur",'Datos - Objetivos de países'!$F$5:$F$510,AT$3,'Datos - Objetivos de países'!$K$5:$K$510,$A77)</f>
        <v>0</v>
      </c>
      <c r="AU77" s="36" cm="1">
        <f t="array" ref="AU77">_xlfn.COUNTIFS('Datos - Objetivos de países'!$B$5:$B$510,"Singapur",'Datos - Objetivos de países'!$F$5:$F$510,AU$3,'Datos - Objetivos de países'!$J$5:$J$510,$A77)+_xlfn.COUNTIFS('Datos - Objetivos de países'!$B$5:$B$510,"Singapur",'Datos - Objetivos de países'!$F$5:$F$510,AU$3,'Datos - Objetivos de países'!$K$5:$K$510,$A77)</f>
        <v>0</v>
      </c>
      <c r="AV77" s="36" cm="1">
        <f t="array" ref="AV77">_xlfn.COUNTIFS('Datos - Objetivos de países'!$B$5:$B$510,"Singapur",'Datos - Objetivos de países'!$F$5:$F$510,AV$3,'Datos - Objetivos de países'!$J$5:$J$510,$A77)+_xlfn.COUNTIFS('Datos - Objetivos de países'!$B$5:$B$510,"Singapur",'Datos - Objetivos de países'!$F$5:$F$510,AV$3,'Datos - Objetivos de países'!$K$5:$K$510,$A77)</f>
        <v>0</v>
      </c>
      <c r="AW77" s="36" cm="1">
        <f t="array" ref="AW77">_xlfn.COUNTIFS('Datos - Objetivos de países'!$B$5:$B$510,"Singapur",'Datos - Objetivos de países'!$F$5:$F$510,AW$3,'Datos - Objetivos de países'!$J$5:$J$510,$A77)+_xlfn.COUNTIFS('Datos - Objetivos de países'!$B$5:$B$510,"Singapur",'Datos - Objetivos de países'!$F$5:$F$510,AW$3,'Datos - Objetivos de países'!$K$5:$K$510,$A77)</f>
        <v>0</v>
      </c>
    </row>
    <row r="78" ht="13.65" customHeight="1">
      <c r="A78" t="s" s="78">
        <v>1281</v>
      </c>
      <c r="B78" t="s" s="78">
        <v>1164</v>
      </c>
      <c r="C78" t="s" s="78">
        <v>216</v>
      </c>
      <c r="D78" t="s" s="78">
        <v>1282</v>
      </c>
      <c r="E78" s="80" cm="1">
        <f t="array" ref="E78">_xlfn.IFERROR(MAX($L$3,INDEX($N$3:$V$3,MATCH(TRUE,INDEX(N78:V78&gt;0,0),0))),"—")</f>
        <v>7</v>
      </c>
      <c r="F78" t="str" s="79" cm="1">
        <f t="array" ref="F78">_xlfn.IFERROR(MAX($L$3,INDEX($W$3:$AE$3,MATCH(TRUE,INDEX(W78:AE78&gt;0,0),0))),"—")</f>
        <v>—</v>
      </c>
      <c r="G78" t="str" s="79" cm="1">
        <f t="array" ref="G78">_xlfn.IFERROR(MAX($L$3,INDEX($AF$3:$AN$3,MATCH(TRUE,INDEX(AF78:AN78&gt;0,0),0))),"—")</f>
        <v>—</v>
      </c>
      <c r="H78" t="str" s="79" cm="1">
        <f t="array" ref="H78">_xlfn.IFERROR(MAX($L$3,INDEX($AO$3:$AW$3,MATCH(TRUE,INDEX(AO78:AW78&gt;0,0),0))),"—")</f>
        <v>—</v>
      </c>
      <c r="I78" t="str" s="79" cm="1">
        <f t="array" ref="I78">IF(L78=0,"—",MEDIAN(F78:H78))</f>
        <v>—</v>
      </c>
      <c r="J78" t="str" s="79" cm="1">
        <f t="array" ref="J78">IF(OR(E78="—",I78="—"),"—",E78-I78)</f>
        <v>—</v>
      </c>
      <c r="K78" t="str" s="49" cm="1">
        <f t="array" ref="K78">IF(E78="—",IF(L78=0,"Nadie lo trabaja","El Salvador no llega"),IF(L78=0,"Solo El Salvador",IF(J78&gt;0,"El Salvador llega más tarde",IF(J78&lt;0,"El Salvador va adelantado","Mismo grado"))))</f>
        <v>Solo El Salvador</v>
      </c>
      <c r="L78" s="80" cm="1">
        <f t="array" ref="L78">COUNT(F78:H78)</f>
        <v>0</v>
      </c>
      <c r="M78" s="110"/>
      <c r="N78" s="36" cm="1">
        <f t="array" ref="N78">_xlfn.COUNTIFS('Datos - Temas'!$C$5:$C$1264,"Ciencias",'Datos - Temas'!$B$5:$B$1264,N$3,'Datos - Temas'!$K$5:$K$1264,$A78)+_xlfn.COUNTIFS('Datos - Temas'!$C$5:$C$1264,"Ciencias",'Datos - Temas'!$B$5:$B$1264,N$3,'Datos - Temas'!$L$5:$L$1264,$A78)</f>
        <v>0</v>
      </c>
      <c r="O78" s="36" cm="1">
        <f t="array" ref="O78">_xlfn.COUNTIFS('Datos - Temas'!$C$5:$C$1264,"Ciencias",'Datos - Temas'!$B$5:$B$1264,O$3,'Datos - Temas'!$K$5:$K$1264,$A78)+_xlfn.COUNTIFS('Datos - Temas'!$C$5:$C$1264,"Ciencias",'Datos - Temas'!$B$5:$B$1264,O$3,'Datos - Temas'!$L$5:$L$1264,$A78)</f>
        <v>0</v>
      </c>
      <c r="P78" s="36" cm="1">
        <f t="array" ref="P78">_xlfn.COUNTIFS('Datos - Temas'!$C$5:$C$1264,"Ciencias",'Datos - Temas'!$B$5:$B$1264,P$3,'Datos - Temas'!$K$5:$K$1264,$A78)+_xlfn.COUNTIFS('Datos - Temas'!$C$5:$C$1264,"Ciencias",'Datos - Temas'!$B$5:$B$1264,P$3,'Datos - Temas'!$L$5:$L$1264,$A78)</f>
        <v>0</v>
      </c>
      <c r="Q78" s="36" cm="1">
        <f t="array" ref="Q78">_xlfn.COUNTIFS('Datos - Temas'!$C$5:$C$1264,"Ciencias",'Datos - Temas'!$B$5:$B$1264,Q$3,'Datos - Temas'!$K$5:$K$1264,$A78)+_xlfn.COUNTIFS('Datos - Temas'!$C$5:$C$1264,"Ciencias",'Datos - Temas'!$B$5:$B$1264,Q$3,'Datos - Temas'!$L$5:$L$1264,$A78)</f>
        <v>0</v>
      </c>
      <c r="R78" s="36" cm="1">
        <f t="array" ref="R78">_xlfn.COUNTIFS('Datos - Temas'!$C$5:$C$1264,"Ciencias",'Datos - Temas'!$B$5:$B$1264,R$3,'Datos - Temas'!$K$5:$K$1264,$A78)+_xlfn.COUNTIFS('Datos - Temas'!$C$5:$C$1264,"Ciencias",'Datos - Temas'!$B$5:$B$1264,R$3,'Datos - Temas'!$L$5:$L$1264,$A78)</f>
        <v>0</v>
      </c>
      <c r="S78" s="36" cm="1">
        <f t="array" ref="S78">_xlfn.COUNTIFS('Datos - Temas'!$C$5:$C$1264,"Ciencias",'Datos - Temas'!$B$5:$B$1264,S$3,'Datos - Temas'!$K$5:$K$1264,$A78)+_xlfn.COUNTIFS('Datos - Temas'!$C$5:$C$1264,"Ciencias",'Datos - Temas'!$B$5:$B$1264,S$3,'Datos - Temas'!$L$5:$L$1264,$A78)</f>
        <v>0</v>
      </c>
      <c r="T78" s="36" cm="1">
        <f t="array" ref="T78">_xlfn.COUNTIFS('Datos - Temas'!$C$5:$C$1264,"Ciencias",'Datos - Temas'!$B$5:$B$1264,T$3,'Datos - Temas'!$K$5:$K$1264,$A78)+_xlfn.COUNTIFS('Datos - Temas'!$C$5:$C$1264,"Ciencias",'Datos - Temas'!$B$5:$B$1264,T$3,'Datos - Temas'!$L$5:$L$1264,$A78)</f>
        <v>7</v>
      </c>
      <c r="U78" s="36" cm="1">
        <f t="array" ref="U78">_xlfn.COUNTIFS('Datos - Temas'!$C$5:$C$1264,"Ciencias",'Datos - Temas'!$B$5:$B$1264,U$3,'Datos - Temas'!$K$5:$K$1264,$A78)+_xlfn.COUNTIFS('Datos - Temas'!$C$5:$C$1264,"Ciencias",'Datos - Temas'!$B$5:$B$1264,U$3,'Datos - Temas'!$L$5:$L$1264,$A78)</f>
        <v>0</v>
      </c>
      <c r="V78" s="36" cm="1">
        <f t="array" ref="V78">_xlfn.COUNTIFS('Datos - Temas'!$C$5:$C$1264,"Ciencias",'Datos - Temas'!$B$5:$B$1264,V$3,'Datos - Temas'!$K$5:$K$1264,$A78)+_xlfn.COUNTIFS('Datos - Temas'!$C$5:$C$1264,"Ciencias",'Datos - Temas'!$B$5:$B$1264,V$3,'Datos - Temas'!$L$5:$L$1264,$A78)</f>
        <v>4</v>
      </c>
      <c r="W78" s="36" cm="1">
        <f t="array" ref="W78">_xlfn.COUNTIFS('Datos - Objetivos de países'!$B$5:$B$510,"Uruguay",'Datos - Objetivos de países'!$F$5:$F$510,W$3,'Datos - Objetivos de países'!$J$5:$J$510,$A78)+_xlfn.COUNTIFS('Datos - Objetivos de países'!$B$5:$B$510,"Uruguay",'Datos - Objetivos de países'!$F$5:$F$510,W$3,'Datos - Objetivos de países'!$K$5:$K$510,$A78)</f>
        <v>0</v>
      </c>
      <c r="X78" s="36" cm="1">
        <f t="array" ref="X78">_xlfn.COUNTIFS('Datos - Objetivos de países'!$B$5:$B$510,"Uruguay",'Datos - Objetivos de países'!$F$5:$F$510,X$3,'Datos - Objetivos de países'!$J$5:$J$510,$A78)+_xlfn.COUNTIFS('Datos - Objetivos de países'!$B$5:$B$510,"Uruguay",'Datos - Objetivos de países'!$F$5:$F$510,X$3,'Datos - Objetivos de países'!$K$5:$K$510,$A78)</f>
        <v>0</v>
      </c>
      <c r="Y78" s="36" cm="1">
        <f t="array" ref="Y78">_xlfn.COUNTIFS('Datos - Objetivos de países'!$B$5:$B$510,"Uruguay",'Datos - Objetivos de países'!$F$5:$F$510,Y$3,'Datos - Objetivos de países'!$J$5:$J$510,$A78)+_xlfn.COUNTIFS('Datos - Objetivos de países'!$B$5:$B$510,"Uruguay",'Datos - Objetivos de países'!$F$5:$F$510,Y$3,'Datos - Objetivos de países'!$K$5:$K$510,$A78)</f>
        <v>0</v>
      </c>
      <c r="Z78" s="36" cm="1">
        <f t="array" ref="Z78">_xlfn.COUNTIFS('Datos - Objetivos de países'!$B$5:$B$510,"Uruguay",'Datos - Objetivos de países'!$F$5:$F$510,Z$3,'Datos - Objetivos de países'!$J$5:$J$510,$A78)+_xlfn.COUNTIFS('Datos - Objetivos de países'!$B$5:$B$510,"Uruguay",'Datos - Objetivos de países'!$F$5:$F$510,Z$3,'Datos - Objetivos de países'!$K$5:$K$510,$A78)</f>
        <v>0</v>
      </c>
      <c r="AA78" s="36" cm="1">
        <f t="array" ref="AA78">_xlfn.COUNTIFS('Datos - Objetivos de países'!$B$5:$B$510,"Uruguay",'Datos - Objetivos de países'!$F$5:$F$510,AA$3,'Datos - Objetivos de países'!$J$5:$J$510,$A78)+_xlfn.COUNTIFS('Datos - Objetivos de países'!$B$5:$B$510,"Uruguay",'Datos - Objetivos de países'!$F$5:$F$510,AA$3,'Datos - Objetivos de países'!$K$5:$K$510,$A78)</f>
        <v>0</v>
      </c>
      <c r="AB78" s="36" cm="1">
        <f t="array" ref="AB78">_xlfn.COUNTIFS('Datos - Objetivos de países'!$B$5:$B$510,"Uruguay",'Datos - Objetivos de países'!$F$5:$F$510,AB$3,'Datos - Objetivos de países'!$J$5:$J$510,$A78)+_xlfn.COUNTIFS('Datos - Objetivos de países'!$B$5:$B$510,"Uruguay",'Datos - Objetivos de países'!$F$5:$F$510,AB$3,'Datos - Objetivos de países'!$K$5:$K$510,$A78)</f>
        <v>0</v>
      </c>
      <c r="AC78" s="36" cm="1">
        <f t="array" ref="AC78">_xlfn.COUNTIFS('Datos - Objetivos de países'!$B$5:$B$510,"Uruguay",'Datos - Objetivos de países'!$F$5:$F$510,AC$3,'Datos - Objetivos de países'!$J$5:$J$510,$A78)+_xlfn.COUNTIFS('Datos - Objetivos de países'!$B$5:$B$510,"Uruguay",'Datos - Objetivos de países'!$F$5:$F$510,AC$3,'Datos - Objetivos de países'!$K$5:$K$510,$A78)</f>
        <v>0</v>
      </c>
      <c r="AD78" s="36" cm="1">
        <f t="array" ref="AD78">_xlfn.COUNTIFS('Datos - Objetivos de países'!$B$5:$B$510,"Uruguay",'Datos - Objetivos de países'!$F$5:$F$510,AD$3,'Datos - Objetivos de países'!$J$5:$J$510,$A78)+_xlfn.COUNTIFS('Datos - Objetivos de países'!$B$5:$B$510,"Uruguay",'Datos - Objetivos de países'!$F$5:$F$510,AD$3,'Datos - Objetivos de países'!$K$5:$K$510,$A78)</f>
        <v>0</v>
      </c>
      <c r="AE78" s="36" cm="1">
        <f t="array" ref="AE78">_xlfn.COUNTIFS('Datos - Objetivos de países'!$B$5:$B$510,"Uruguay",'Datos - Objetivos de países'!$F$5:$F$510,AE$3,'Datos - Objetivos de países'!$J$5:$J$510,$A78)+_xlfn.COUNTIFS('Datos - Objetivos de países'!$B$5:$B$510,"Uruguay",'Datos - Objetivos de países'!$F$5:$F$510,AE$3,'Datos - Objetivos de países'!$K$5:$K$510,$A78)</f>
        <v>0</v>
      </c>
      <c r="AF78" s="36" cm="1">
        <f t="array" ref="AF78">_xlfn.COUNTIFS('Datos - Objetivos de países'!$B$5:$B$510,"Colombia",'Datos - Objetivos de países'!$F$5:$F$510,AF$3,'Datos - Objetivos de países'!$J$5:$J$510,$A78)+_xlfn.COUNTIFS('Datos - Objetivos de países'!$B$5:$B$510,"Colombia",'Datos - Objetivos de países'!$F$5:$F$510,AF$3,'Datos - Objetivos de países'!$K$5:$K$510,$A78)</f>
        <v>0</v>
      </c>
      <c r="AG78" s="36" cm="1">
        <f t="array" ref="AG78">_xlfn.COUNTIFS('Datos - Objetivos de países'!$B$5:$B$510,"Colombia",'Datos - Objetivos de países'!$F$5:$F$510,AG$3,'Datos - Objetivos de países'!$J$5:$J$510,$A78)+_xlfn.COUNTIFS('Datos - Objetivos de países'!$B$5:$B$510,"Colombia",'Datos - Objetivos de países'!$F$5:$F$510,AG$3,'Datos - Objetivos de países'!$K$5:$K$510,$A78)</f>
        <v>0</v>
      </c>
      <c r="AH78" s="36" cm="1">
        <f t="array" ref="AH78">_xlfn.COUNTIFS('Datos - Objetivos de países'!$B$5:$B$510,"Colombia",'Datos - Objetivos de países'!$F$5:$F$510,AH$3,'Datos - Objetivos de países'!$J$5:$J$510,$A78)+_xlfn.COUNTIFS('Datos - Objetivos de países'!$B$5:$B$510,"Colombia",'Datos - Objetivos de países'!$F$5:$F$510,AH$3,'Datos - Objetivos de países'!$K$5:$K$510,$A78)</f>
        <v>0</v>
      </c>
      <c r="AI78" s="36" cm="1">
        <f t="array" ref="AI78">_xlfn.COUNTIFS('Datos - Objetivos de países'!$B$5:$B$510,"Colombia",'Datos - Objetivos de países'!$F$5:$F$510,AI$3,'Datos - Objetivos de países'!$J$5:$J$510,$A78)+_xlfn.COUNTIFS('Datos - Objetivos de países'!$B$5:$B$510,"Colombia",'Datos - Objetivos de países'!$F$5:$F$510,AI$3,'Datos - Objetivos de países'!$K$5:$K$510,$A78)</f>
        <v>0</v>
      </c>
      <c r="AJ78" s="36" cm="1">
        <f t="array" ref="AJ78">_xlfn.COUNTIFS('Datos - Objetivos de países'!$B$5:$B$510,"Colombia",'Datos - Objetivos de países'!$F$5:$F$510,AJ$3,'Datos - Objetivos de países'!$J$5:$J$510,$A78)+_xlfn.COUNTIFS('Datos - Objetivos de países'!$B$5:$B$510,"Colombia",'Datos - Objetivos de países'!$F$5:$F$510,AJ$3,'Datos - Objetivos de países'!$K$5:$K$510,$A78)</f>
        <v>0</v>
      </c>
      <c r="AK78" s="36" cm="1">
        <f t="array" ref="AK78">_xlfn.COUNTIFS('Datos - Objetivos de países'!$B$5:$B$510,"Colombia",'Datos - Objetivos de países'!$F$5:$F$510,AK$3,'Datos - Objetivos de países'!$J$5:$J$510,$A78)+_xlfn.COUNTIFS('Datos - Objetivos de países'!$B$5:$B$510,"Colombia",'Datos - Objetivos de países'!$F$5:$F$510,AK$3,'Datos - Objetivos de países'!$K$5:$K$510,$A78)</f>
        <v>0</v>
      </c>
      <c r="AL78" s="36" cm="1">
        <f t="array" ref="AL78">_xlfn.COUNTIFS('Datos - Objetivos de países'!$B$5:$B$510,"Colombia",'Datos - Objetivos de países'!$F$5:$F$510,AL$3,'Datos - Objetivos de países'!$J$5:$J$510,$A78)+_xlfn.COUNTIFS('Datos - Objetivos de países'!$B$5:$B$510,"Colombia",'Datos - Objetivos de países'!$F$5:$F$510,AL$3,'Datos - Objetivos de países'!$K$5:$K$510,$A78)</f>
        <v>0</v>
      </c>
      <c r="AM78" s="36" cm="1">
        <f t="array" ref="AM78">_xlfn.COUNTIFS('Datos - Objetivos de países'!$B$5:$B$510,"Colombia",'Datos - Objetivos de países'!$F$5:$F$510,AM$3,'Datos - Objetivos de países'!$J$5:$J$510,$A78)+_xlfn.COUNTIFS('Datos - Objetivos de países'!$B$5:$B$510,"Colombia",'Datos - Objetivos de países'!$F$5:$F$510,AM$3,'Datos - Objetivos de países'!$K$5:$K$510,$A78)</f>
        <v>0</v>
      </c>
      <c r="AN78" s="36" cm="1">
        <f t="array" ref="AN78">_xlfn.COUNTIFS('Datos - Objetivos de países'!$B$5:$B$510,"Colombia",'Datos - Objetivos de países'!$F$5:$F$510,AN$3,'Datos - Objetivos de países'!$J$5:$J$510,$A78)+_xlfn.COUNTIFS('Datos - Objetivos de países'!$B$5:$B$510,"Colombia",'Datos - Objetivos de países'!$F$5:$F$510,AN$3,'Datos - Objetivos de países'!$K$5:$K$510,$A78)</f>
        <v>0</v>
      </c>
      <c r="AO78" s="36" cm="1">
        <f t="array" ref="AO78">_xlfn.COUNTIFS('Datos - Objetivos de países'!$B$5:$B$510,"Singapur",'Datos - Objetivos de países'!$F$5:$F$510,AO$3,'Datos - Objetivos de países'!$J$5:$J$510,$A78)+_xlfn.COUNTIFS('Datos - Objetivos de países'!$B$5:$B$510,"Singapur",'Datos - Objetivos de países'!$F$5:$F$510,AO$3,'Datos - Objetivos de países'!$K$5:$K$510,$A78)</f>
        <v>0</v>
      </c>
      <c r="AP78" s="36" cm="1">
        <f t="array" ref="AP78">_xlfn.COUNTIFS('Datos - Objetivos de países'!$B$5:$B$510,"Singapur",'Datos - Objetivos de países'!$F$5:$F$510,AP$3,'Datos - Objetivos de países'!$J$5:$J$510,$A78)+_xlfn.COUNTIFS('Datos - Objetivos de países'!$B$5:$B$510,"Singapur",'Datos - Objetivos de países'!$F$5:$F$510,AP$3,'Datos - Objetivos de países'!$K$5:$K$510,$A78)</f>
        <v>0</v>
      </c>
      <c r="AQ78" s="36" cm="1">
        <f t="array" ref="AQ78">_xlfn.COUNTIFS('Datos - Objetivos de países'!$B$5:$B$510,"Singapur",'Datos - Objetivos de países'!$F$5:$F$510,AQ$3,'Datos - Objetivos de países'!$J$5:$J$510,$A78)+_xlfn.COUNTIFS('Datos - Objetivos de países'!$B$5:$B$510,"Singapur",'Datos - Objetivos de países'!$F$5:$F$510,AQ$3,'Datos - Objetivos de países'!$K$5:$K$510,$A78)</f>
        <v>0</v>
      </c>
      <c r="AR78" s="36" cm="1">
        <f t="array" ref="AR78">_xlfn.COUNTIFS('Datos - Objetivos de países'!$B$5:$B$510,"Singapur",'Datos - Objetivos de países'!$F$5:$F$510,AR$3,'Datos - Objetivos de países'!$J$5:$J$510,$A78)+_xlfn.COUNTIFS('Datos - Objetivos de países'!$B$5:$B$510,"Singapur",'Datos - Objetivos de países'!$F$5:$F$510,AR$3,'Datos - Objetivos de países'!$K$5:$K$510,$A78)</f>
        <v>0</v>
      </c>
      <c r="AS78" s="36" cm="1">
        <f t="array" ref="AS78">_xlfn.COUNTIFS('Datos - Objetivos de países'!$B$5:$B$510,"Singapur",'Datos - Objetivos de países'!$F$5:$F$510,AS$3,'Datos - Objetivos de países'!$J$5:$J$510,$A78)+_xlfn.COUNTIFS('Datos - Objetivos de países'!$B$5:$B$510,"Singapur",'Datos - Objetivos de países'!$F$5:$F$510,AS$3,'Datos - Objetivos de países'!$K$5:$K$510,$A78)</f>
        <v>0</v>
      </c>
      <c r="AT78" s="36" cm="1">
        <f t="array" ref="AT78">_xlfn.COUNTIFS('Datos - Objetivos de países'!$B$5:$B$510,"Singapur",'Datos - Objetivos de países'!$F$5:$F$510,AT$3,'Datos - Objetivos de países'!$J$5:$J$510,$A78)+_xlfn.COUNTIFS('Datos - Objetivos de países'!$B$5:$B$510,"Singapur",'Datos - Objetivos de países'!$F$5:$F$510,AT$3,'Datos - Objetivos de países'!$K$5:$K$510,$A78)</f>
        <v>0</v>
      </c>
      <c r="AU78" s="36" cm="1">
        <f t="array" ref="AU78">_xlfn.COUNTIFS('Datos - Objetivos de países'!$B$5:$B$510,"Singapur",'Datos - Objetivos de países'!$F$5:$F$510,AU$3,'Datos - Objetivos de países'!$J$5:$J$510,$A78)+_xlfn.COUNTIFS('Datos - Objetivos de países'!$B$5:$B$510,"Singapur",'Datos - Objetivos de países'!$F$5:$F$510,AU$3,'Datos - Objetivos de países'!$K$5:$K$510,$A78)</f>
        <v>0</v>
      </c>
      <c r="AV78" s="36" cm="1">
        <f t="array" ref="AV78">_xlfn.COUNTIFS('Datos - Objetivos de países'!$B$5:$B$510,"Singapur",'Datos - Objetivos de países'!$F$5:$F$510,AV$3,'Datos - Objetivos de países'!$J$5:$J$510,$A78)+_xlfn.COUNTIFS('Datos - Objetivos de países'!$B$5:$B$510,"Singapur",'Datos - Objetivos de países'!$F$5:$F$510,AV$3,'Datos - Objetivos de países'!$K$5:$K$510,$A78)</f>
        <v>0</v>
      </c>
      <c r="AW78" s="36" cm="1">
        <f t="array" ref="AW78">_xlfn.COUNTIFS('Datos - Objetivos de países'!$B$5:$B$510,"Singapur",'Datos - Objetivos de países'!$F$5:$F$510,AW$3,'Datos - Objetivos de países'!$J$5:$J$510,$A78)+_xlfn.COUNTIFS('Datos - Objetivos de países'!$B$5:$B$510,"Singapur",'Datos - Objetivos de países'!$F$5:$F$510,AW$3,'Datos - Objetivos de países'!$K$5:$K$510,$A78)</f>
        <v>0</v>
      </c>
    </row>
    <row r="79" ht="13.65" customHeight="1">
      <c r="A79" t="s" s="78">
        <v>1284</v>
      </c>
      <c r="B79" t="s" s="78">
        <v>1164</v>
      </c>
      <c r="C79" t="s" s="78">
        <v>216</v>
      </c>
      <c r="D79" t="s" s="78">
        <v>1285</v>
      </c>
      <c r="E79" s="80" cm="1">
        <f t="array" ref="E79">_xlfn.IFERROR(MAX($L$3,INDEX($N$3:$V$3,MATCH(TRUE,INDEX(N79:V79&gt;0,0),0))),"—")</f>
        <v>7</v>
      </c>
      <c r="F79" s="80" cm="1">
        <f t="array" ref="F79">_xlfn.IFERROR(MAX($L$3,INDEX($W$3:$AE$3,MATCH(TRUE,INDEX(W79:AE79&gt;0,0),0))),"—")</f>
        <v>5</v>
      </c>
      <c r="G79" t="str" s="79" cm="1">
        <f t="array" ref="G79">_xlfn.IFERROR(MAX($L$3,INDEX($AF$3:$AN$3,MATCH(TRUE,INDEX(AF79:AN79&gt;0,0),0))),"—")</f>
        <v>—</v>
      </c>
      <c r="H79" t="str" s="79" cm="1">
        <f t="array" ref="H79">_xlfn.IFERROR(MAX($L$3,INDEX($AO$3:$AW$3,MATCH(TRUE,INDEX(AO79:AW79&gt;0,0),0))),"—")</f>
        <v>—</v>
      </c>
      <c r="I79" s="111" cm="1">
        <f t="array" ref="I79">IF(L79=0,"—",MEDIAN(F79:H79))</f>
        <v>5</v>
      </c>
      <c r="J79" s="111" cm="1">
        <f t="array" ref="J79">IF(OR(E79="—",I79="—"),"—",E79-I79)</f>
        <v>2</v>
      </c>
      <c r="K79" t="str" s="49" cm="1">
        <f t="array" ref="K79">IF(E79="—",IF(L79=0,"Nadie lo trabaja","El Salvador no llega"),IF(L79=0,"Solo El Salvador",IF(J79&gt;0,"El Salvador llega más tarde",IF(J79&lt;0,"El Salvador va adelantado","Mismo grado"))))</f>
        <v>El Salvador llega más tarde</v>
      </c>
      <c r="L79" s="80" cm="1">
        <f t="array" ref="L79">COUNT(F79:H79)</f>
        <v>1</v>
      </c>
      <c r="M79" s="110"/>
      <c r="N79" s="36" cm="1">
        <f t="array" ref="N79">_xlfn.COUNTIFS('Datos - Temas'!$C$5:$C$1264,"Ciencias",'Datos - Temas'!$B$5:$B$1264,N$3,'Datos - Temas'!$K$5:$K$1264,$A79)+_xlfn.COUNTIFS('Datos - Temas'!$C$5:$C$1264,"Ciencias",'Datos - Temas'!$B$5:$B$1264,N$3,'Datos - Temas'!$L$5:$L$1264,$A79)</f>
        <v>0</v>
      </c>
      <c r="O79" s="36" cm="1">
        <f t="array" ref="O79">_xlfn.COUNTIFS('Datos - Temas'!$C$5:$C$1264,"Ciencias",'Datos - Temas'!$B$5:$B$1264,O$3,'Datos - Temas'!$K$5:$K$1264,$A79)+_xlfn.COUNTIFS('Datos - Temas'!$C$5:$C$1264,"Ciencias",'Datos - Temas'!$B$5:$B$1264,O$3,'Datos - Temas'!$L$5:$L$1264,$A79)</f>
        <v>0</v>
      </c>
      <c r="P79" s="36" cm="1">
        <f t="array" ref="P79">_xlfn.COUNTIFS('Datos - Temas'!$C$5:$C$1264,"Ciencias",'Datos - Temas'!$B$5:$B$1264,P$3,'Datos - Temas'!$K$5:$K$1264,$A79)+_xlfn.COUNTIFS('Datos - Temas'!$C$5:$C$1264,"Ciencias",'Datos - Temas'!$B$5:$B$1264,P$3,'Datos - Temas'!$L$5:$L$1264,$A79)</f>
        <v>0</v>
      </c>
      <c r="Q79" s="36" cm="1">
        <f t="array" ref="Q79">_xlfn.COUNTIFS('Datos - Temas'!$C$5:$C$1264,"Ciencias",'Datos - Temas'!$B$5:$B$1264,Q$3,'Datos - Temas'!$K$5:$K$1264,$A79)+_xlfn.COUNTIFS('Datos - Temas'!$C$5:$C$1264,"Ciencias",'Datos - Temas'!$B$5:$B$1264,Q$3,'Datos - Temas'!$L$5:$L$1264,$A79)</f>
        <v>0</v>
      </c>
      <c r="R79" s="36" cm="1">
        <f t="array" ref="R79">_xlfn.COUNTIFS('Datos - Temas'!$C$5:$C$1264,"Ciencias",'Datos - Temas'!$B$5:$B$1264,R$3,'Datos - Temas'!$K$5:$K$1264,$A79)+_xlfn.COUNTIFS('Datos - Temas'!$C$5:$C$1264,"Ciencias",'Datos - Temas'!$B$5:$B$1264,R$3,'Datos - Temas'!$L$5:$L$1264,$A79)</f>
        <v>0</v>
      </c>
      <c r="S79" s="36" cm="1">
        <f t="array" ref="S79">_xlfn.COUNTIFS('Datos - Temas'!$C$5:$C$1264,"Ciencias",'Datos - Temas'!$B$5:$B$1264,S$3,'Datos - Temas'!$K$5:$K$1264,$A79)+_xlfn.COUNTIFS('Datos - Temas'!$C$5:$C$1264,"Ciencias",'Datos - Temas'!$B$5:$B$1264,S$3,'Datos - Temas'!$L$5:$L$1264,$A79)</f>
        <v>0</v>
      </c>
      <c r="T79" s="36" cm="1">
        <f t="array" ref="T79">_xlfn.COUNTIFS('Datos - Temas'!$C$5:$C$1264,"Ciencias",'Datos - Temas'!$B$5:$B$1264,T$3,'Datos - Temas'!$K$5:$K$1264,$A79)+_xlfn.COUNTIFS('Datos - Temas'!$C$5:$C$1264,"Ciencias",'Datos - Temas'!$B$5:$B$1264,T$3,'Datos - Temas'!$L$5:$L$1264,$A79)</f>
        <v>3</v>
      </c>
      <c r="U79" s="36" cm="1">
        <f t="array" ref="U79">_xlfn.COUNTIFS('Datos - Temas'!$C$5:$C$1264,"Ciencias",'Datos - Temas'!$B$5:$B$1264,U$3,'Datos - Temas'!$K$5:$K$1264,$A79)+_xlfn.COUNTIFS('Datos - Temas'!$C$5:$C$1264,"Ciencias",'Datos - Temas'!$B$5:$B$1264,U$3,'Datos - Temas'!$L$5:$L$1264,$A79)</f>
        <v>0</v>
      </c>
      <c r="V79" s="36" cm="1">
        <f t="array" ref="V79">_xlfn.COUNTIFS('Datos - Temas'!$C$5:$C$1264,"Ciencias",'Datos - Temas'!$B$5:$B$1264,V$3,'Datos - Temas'!$K$5:$K$1264,$A79)+_xlfn.COUNTIFS('Datos - Temas'!$C$5:$C$1264,"Ciencias",'Datos - Temas'!$B$5:$B$1264,V$3,'Datos - Temas'!$L$5:$L$1264,$A79)</f>
        <v>0</v>
      </c>
      <c r="W79" s="36" cm="1">
        <f t="array" ref="W79">_xlfn.COUNTIFS('Datos - Objetivos de países'!$B$5:$B$510,"Uruguay",'Datos - Objetivos de países'!$F$5:$F$510,W$3,'Datos - Objetivos de países'!$J$5:$J$510,$A79)+_xlfn.COUNTIFS('Datos - Objetivos de países'!$B$5:$B$510,"Uruguay",'Datos - Objetivos de países'!$F$5:$F$510,W$3,'Datos - Objetivos de países'!$K$5:$K$510,$A79)</f>
        <v>0</v>
      </c>
      <c r="X79" s="36" cm="1">
        <f t="array" ref="X79">_xlfn.COUNTIFS('Datos - Objetivos de países'!$B$5:$B$510,"Uruguay",'Datos - Objetivos de países'!$F$5:$F$510,X$3,'Datos - Objetivos de países'!$J$5:$J$510,$A79)+_xlfn.COUNTIFS('Datos - Objetivos de países'!$B$5:$B$510,"Uruguay",'Datos - Objetivos de países'!$F$5:$F$510,X$3,'Datos - Objetivos de países'!$K$5:$K$510,$A79)</f>
        <v>0</v>
      </c>
      <c r="Y79" s="36" cm="1">
        <f t="array" ref="Y79">_xlfn.COUNTIFS('Datos - Objetivos de países'!$B$5:$B$510,"Uruguay",'Datos - Objetivos de países'!$F$5:$F$510,Y$3,'Datos - Objetivos de países'!$J$5:$J$510,$A79)+_xlfn.COUNTIFS('Datos - Objetivos de países'!$B$5:$B$510,"Uruguay",'Datos - Objetivos de países'!$F$5:$F$510,Y$3,'Datos - Objetivos de países'!$K$5:$K$510,$A79)</f>
        <v>0</v>
      </c>
      <c r="Z79" s="36" cm="1">
        <f t="array" ref="Z79">_xlfn.COUNTIFS('Datos - Objetivos de países'!$B$5:$B$510,"Uruguay",'Datos - Objetivos de países'!$F$5:$F$510,Z$3,'Datos - Objetivos de países'!$J$5:$J$510,$A79)+_xlfn.COUNTIFS('Datos - Objetivos de países'!$B$5:$B$510,"Uruguay",'Datos - Objetivos de países'!$F$5:$F$510,Z$3,'Datos - Objetivos de países'!$K$5:$K$510,$A79)</f>
        <v>0</v>
      </c>
      <c r="AA79" s="36" cm="1">
        <f t="array" ref="AA79">_xlfn.COUNTIFS('Datos - Objetivos de países'!$B$5:$B$510,"Uruguay",'Datos - Objetivos de países'!$F$5:$F$510,AA$3,'Datos - Objetivos de países'!$J$5:$J$510,$A79)+_xlfn.COUNTIFS('Datos - Objetivos de países'!$B$5:$B$510,"Uruguay",'Datos - Objetivos de países'!$F$5:$F$510,AA$3,'Datos - Objetivos de países'!$K$5:$K$510,$A79)</f>
        <v>1</v>
      </c>
      <c r="AB79" s="36" cm="1">
        <f t="array" ref="AB79">_xlfn.COUNTIFS('Datos - Objetivos de países'!$B$5:$B$510,"Uruguay",'Datos - Objetivos de países'!$F$5:$F$510,AB$3,'Datos - Objetivos de países'!$J$5:$J$510,$A79)+_xlfn.COUNTIFS('Datos - Objetivos de países'!$B$5:$B$510,"Uruguay",'Datos - Objetivos de países'!$F$5:$F$510,AB$3,'Datos - Objetivos de países'!$K$5:$K$510,$A79)</f>
        <v>0</v>
      </c>
      <c r="AC79" s="36" cm="1">
        <f t="array" ref="AC79">_xlfn.COUNTIFS('Datos - Objetivos de países'!$B$5:$B$510,"Uruguay",'Datos - Objetivos de países'!$F$5:$F$510,AC$3,'Datos - Objetivos de países'!$J$5:$J$510,$A79)+_xlfn.COUNTIFS('Datos - Objetivos de países'!$B$5:$B$510,"Uruguay",'Datos - Objetivos de países'!$F$5:$F$510,AC$3,'Datos - Objetivos de países'!$K$5:$K$510,$A79)</f>
        <v>0</v>
      </c>
      <c r="AD79" s="36" cm="1">
        <f t="array" ref="AD79">_xlfn.COUNTIFS('Datos - Objetivos de países'!$B$5:$B$510,"Uruguay",'Datos - Objetivos de países'!$F$5:$F$510,AD$3,'Datos - Objetivos de países'!$J$5:$J$510,$A79)+_xlfn.COUNTIFS('Datos - Objetivos de países'!$B$5:$B$510,"Uruguay",'Datos - Objetivos de países'!$F$5:$F$510,AD$3,'Datos - Objetivos de países'!$K$5:$K$510,$A79)</f>
        <v>0</v>
      </c>
      <c r="AE79" s="36" cm="1">
        <f t="array" ref="AE79">_xlfn.COUNTIFS('Datos - Objetivos de países'!$B$5:$B$510,"Uruguay",'Datos - Objetivos de países'!$F$5:$F$510,AE$3,'Datos - Objetivos de países'!$J$5:$J$510,$A79)+_xlfn.COUNTIFS('Datos - Objetivos de países'!$B$5:$B$510,"Uruguay",'Datos - Objetivos de países'!$F$5:$F$510,AE$3,'Datos - Objetivos de países'!$K$5:$K$510,$A79)</f>
        <v>1</v>
      </c>
      <c r="AF79" s="36" cm="1">
        <f t="array" ref="AF79">_xlfn.COUNTIFS('Datos - Objetivos de países'!$B$5:$B$510,"Colombia",'Datos - Objetivos de países'!$F$5:$F$510,AF$3,'Datos - Objetivos de países'!$J$5:$J$510,$A79)+_xlfn.COUNTIFS('Datos - Objetivos de países'!$B$5:$B$510,"Colombia",'Datos - Objetivos de países'!$F$5:$F$510,AF$3,'Datos - Objetivos de países'!$K$5:$K$510,$A79)</f>
        <v>0</v>
      </c>
      <c r="AG79" s="36" cm="1">
        <f t="array" ref="AG79">_xlfn.COUNTIFS('Datos - Objetivos de países'!$B$5:$B$510,"Colombia",'Datos - Objetivos de países'!$F$5:$F$510,AG$3,'Datos - Objetivos de países'!$J$5:$J$510,$A79)+_xlfn.COUNTIFS('Datos - Objetivos de países'!$B$5:$B$510,"Colombia",'Datos - Objetivos de países'!$F$5:$F$510,AG$3,'Datos - Objetivos de países'!$K$5:$K$510,$A79)</f>
        <v>0</v>
      </c>
      <c r="AH79" s="36" cm="1">
        <f t="array" ref="AH79">_xlfn.COUNTIFS('Datos - Objetivos de países'!$B$5:$B$510,"Colombia",'Datos - Objetivos de países'!$F$5:$F$510,AH$3,'Datos - Objetivos de países'!$J$5:$J$510,$A79)+_xlfn.COUNTIFS('Datos - Objetivos de países'!$B$5:$B$510,"Colombia",'Datos - Objetivos de países'!$F$5:$F$510,AH$3,'Datos - Objetivos de países'!$K$5:$K$510,$A79)</f>
        <v>0</v>
      </c>
      <c r="AI79" s="36" cm="1">
        <f t="array" ref="AI79">_xlfn.COUNTIFS('Datos - Objetivos de países'!$B$5:$B$510,"Colombia",'Datos - Objetivos de países'!$F$5:$F$510,AI$3,'Datos - Objetivos de países'!$J$5:$J$510,$A79)+_xlfn.COUNTIFS('Datos - Objetivos de países'!$B$5:$B$510,"Colombia",'Datos - Objetivos de países'!$F$5:$F$510,AI$3,'Datos - Objetivos de países'!$K$5:$K$510,$A79)</f>
        <v>0</v>
      </c>
      <c r="AJ79" s="36" cm="1">
        <f t="array" ref="AJ79">_xlfn.COUNTIFS('Datos - Objetivos de países'!$B$5:$B$510,"Colombia",'Datos - Objetivos de países'!$F$5:$F$510,AJ$3,'Datos - Objetivos de países'!$J$5:$J$510,$A79)+_xlfn.COUNTIFS('Datos - Objetivos de países'!$B$5:$B$510,"Colombia",'Datos - Objetivos de países'!$F$5:$F$510,AJ$3,'Datos - Objetivos de países'!$K$5:$K$510,$A79)</f>
        <v>0</v>
      </c>
      <c r="AK79" s="36" cm="1">
        <f t="array" ref="AK79">_xlfn.COUNTIFS('Datos - Objetivos de países'!$B$5:$B$510,"Colombia",'Datos - Objetivos de países'!$F$5:$F$510,AK$3,'Datos - Objetivos de países'!$J$5:$J$510,$A79)+_xlfn.COUNTIFS('Datos - Objetivos de países'!$B$5:$B$510,"Colombia",'Datos - Objetivos de países'!$F$5:$F$510,AK$3,'Datos - Objetivos de países'!$K$5:$K$510,$A79)</f>
        <v>0</v>
      </c>
      <c r="AL79" s="36" cm="1">
        <f t="array" ref="AL79">_xlfn.COUNTIFS('Datos - Objetivos de países'!$B$5:$B$510,"Colombia",'Datos - Objetivos de países'!$F$5:$F$510,AL$3,'Datos - Objetivos de países'!$J$5:$J$510,$A79)+_xlfn.COUNTIFS('Datos - Objetivos de países'!$B$5:$B$510,"Colombia",'Datos - Objetivos de países'!$F$5:$F$510,AL$3,'Datos - Objetivos de países'!$K$5:$K$510,$A79)</f>
        <v>0</v>
      </c>
      <c r="AM79" s="36" cm="1">
        <f t="array" ref="AM79">_xlfn.COUNTIFS('Datos - Objetivos de países'!$B$5:$B$510,"Colombia",'Datos - Objetivos de países'!$F$5:$F$510,AM$3,'Datos - Objetivos de países'!$J$5:$J$510,$A79)+_xlfn.COUNTIFS('Datos - Objetivos de países'!$B$5:$B$510,"Colombia",'Datos - Objetivos de países'!$F$5:$F$510,AM$3,'Datos - Objetivos de países'!$K$5:$K$510,$A79)</f>
        <v>0</v>
      </c>
      <c r="AN79" s="36" cm="1">
        <f t="array" ref="AN79">_xlfn.COUNTIFS('Datos - Objetivos de países'!$B$5:$B$510,"Colombia",'Datos - Objetivos de países'!$F$5:$F$510,AN$3,'Datos - Objetivos de países'!$J$5:$J$510,$A79)+_xlfn.COUNTIFS('Datos - Objetivos de países'!$B$5:$B$510,"Colombia",'Datos - Objetivos de países'!$F$5:$F$510,AN$3,'Datos - Objetivos de países'!$K$5:$K$510,$A79)</f>
        <v>0</v>
      </c>
      <c r="AO79" s="36" cm="1">
        <f t="array" ref="AO79">_xlfn.COUNTIFS('Datos - Objetivos de países'!$B$5:$B$510,"Singapur",'Datos - Objetivos de países'!$F$5:$F$510,AO$3,'Datos - Objetivos de países'!$J$5:$J$510,$A79)+_xlfn.COUNTIFS('Datos - Objetivos de países'!$B$5:$B$510,"Singapur",'Datos - Objetivos de países'!$F$5:$F$510,AO$3,'Datos - Objetivos de países'!$K$5:$K$510,$A79)</f>
        <v>0</v>
      </c>
      <c r="AP79" s="36" cm="1">
        <f t="array" ref="AP79">_xlfn.COUNTIFS('Datos - Objetivos de países'!$B$5:$B$510,"Singapur",'Datos - Objetivos de países'!$F$5:$F$510,AP$3,'Datos - Objetivos de países'!$J$5:$J$510,$A79)+_xlfn.COUNTIFS('Datos - Objetivos de países'!$B$5:$B$510,"Singapur",'Datos - Objetivos de países'!$F$5:$F$510,AP$3,'Datos - Objetivos de países'!$K$5:$K$510,$A79)</f>
        <v>0</v>
      </c>
      <c r="AQ79" s="36" cm="1">
        <f t="array" ref="AQ79">_xlfn.COUNTIFS('Datos - Objetivos de países'!$B$5:$B$510,"Singapur",'Datos - Objetivos de países'!$F$5:$F$510,AQ$3,'Datos - Objetivos de países'!$J$5:$J$510,$A79)+_xlfn.COUNTIFS('Datos - Objetivos de países'!$B$5:$B$510,"Singapur",'Datos - Objetivos de países'!$F$5:$F$510,AQ$3,'Datos - Objetivos de países'!$K$5:$K$510,$A79)</f>
        <v>0</v>
      </c>
      <c r="AR79" s="36" cm="1">
        <f t="array" ref="AR79">_xlfn.COUNTIFS('Datos - Objetivos de países'!$B$5:$B$510,"Singapur",'Datos - Objetivos de países'!$F$5:$F$510,AR$3,'Datos - Objetivos de países'!$J$5:$J$510,$A79)+_xlfn.COUNTIFS('Datos - Objetivos de países'!$B$5:$B$510,"Singapur",'Datos - Objetivos de países'!$F$5:$F$510,AR$3,'Datos - Objetivos de países'!$K$5:$K$510,$A79)</f>
        <v>0</v>
      </c>
      <c r="AS79" s="36" cm="1">
        <f t="array" ref="AS79">_xlfn.COUNTIFS('Datos - Objetivos de países'!$B$5:$B$510,"Singapur",'Datos - Objetivos de países'!$F$5:$F$510,AS$3,'Datos - Objetivos de países'!$J$5:$J$510,$A79)+_xlfn.COUNTIFS('Datos - Objetivos de países'!$B$5:$B$510,"Singapur",'Datos - Objetivos de países'!$F$5:$F$510,AS$3,'Datos - Objetivos de países'!$K$5:$K$510,$A79)</f>
        <v>0</v>
      </c>
      <c r="AT79" s="36" cm="1">
        <f t="array" ref="AT79">_xlfn.COUNTIFS('Datos - Objetivos de países'!$B$5:$B$510,"Singapur",'Datos - Objetivos de países'!$F$5:$F$510,AT$3,'Datos - Objetivos de países'!$J$5:$J$510,$A79)+_xlfn.COUNTIFS('Datos - Objetivos de países'!$B$5:$B$510,"Singapur",'Datos - Objetivos de países'!$F$5:$F$510,AT$3,'Datos - Objetivos de países'!$K$5:$K$510,$A79)</f>
        <v>0</v>
      </c>
      <c r="AU79" s="36" cm="1">
        <f t="array" ref="AU79">_xlfn.COUNTIFS('Datos - Objetivos de países'!$B$5:$B$510,"Singapur",'Datos - Objetivos de países'!$F$5:$F$510,AU$3,'Datos - Objetivos de países'!$J$5:$J$510,$A79)+_xlfn.COUNTIFS('Datos - Objetivos de países'!$B$5:$B$510,"Singapur",'Datos - Objetivos de países'!$F$5:$F$510,AU$3,'Datos - Objetivos de países'!$K$5:$K$510,$A79)</f>
        <v>0</v>
      </c>
      <c r="AV79" s="36" cm="1">
        <f t="array" ref="AV79">_xlfn.COUNTIFS('Datos - Objetivos de países'!$B$5:$B$510,"Singapur",'Datos - Objetivos de países'!$F$5:$F$510,AV$3,'Datos - Objetivos de países'!$J$5:$J$510,$A79)+_xlfn.COUNTIFS('Datos - Objetivos de países'!$B$5:$B$510,"Singapur",'Datos - Objetivos de países'!$F$5:$F$510,AV$3,'Datos - Objetivos de países'!$K$5:$K$510,$A79)</f>
        <v>0</v>
      </c>
      <c r="AW79" s="36" cm="1">
        <f t="array" ref="AW79">_xlfn.COUNTIFS('Datos - Objetivos de países'!$B$5:$B$510,"Singapur",'Datos - Objetivos de países'!$F$5:$F$510,AW$3,'Datos - Objetivos de países'!$J$5:$J$510,$A79)+_xlfn.COUNTIFS('Datos - Objetivos de países'!$B$5:$B$510,"Singapur",'Datos - Objetivos de países'!$F$5:$F$510,AW$3,'Datos - Objetivos de países'!$K$5:$K$510,$A79)</f>
        <v>0</v>
      </c>
    </row>
    <row r="80" ht="13.65" customHeight="1">
      <c r="A80" t="s" s="78">
        <v>1287</v>
      </c>
      <c r="B80" t="s" s="78">
        <v>1164</v>
      </c>
      <c r="C80" t="s" s="78">
        <v>216</v>
      </c>
      <c r="D80" t="s" s="78">
        <v>1288</v>
      </c>
      <c r="E80" s="80" cm="1">
        <f t="array" ref="E80">_xlfn.IFERROR(MAX($L$3,INDEX($N$3:$V$3,MATCH(TRUE,INDEX(N80:V80&gt;0,0),0))),"—")</f>
        <v>7</v>
      </c>
      <c r="F80" s="80" cm="1">
        <f t="array" ref="F80">_xlfn.IFERROR(MAX($L$3,INDEX($W$3:$AE$3,MATCH(TRUE,INDEX(W80:AE80&gt;0,0),0))),"—")</f>
        <v>6</v>
      </c>
      <c r="G80" s="80" cm="1">
        <f t="array" ref="G80">_xlfn.IFERROR(MAX($L$3,INDEX($AF$3:$AN$3,MATCH(TRUE,INDEX(AF80:AN80&gt;0,0),0))),"—")</f>
        <v>6</v>
      </c>
      <c r="H80" s="80" cm="1">
        <f t="array" ref="H80">_xlfn.IFERROR(MAX($L$3,INDEX($AO$3:$AW$3,MATCH(TRUE,INDEX(AO80:AW80&gt;0,0),0))),"—")</f>
        <v>6</v>
      </c>
      <c r="I80" s="111" cm="1">
        <f t="array" ref="I80">IF(L80=0,"—",MEDIAN(F80:H80))</f>
        <v>6</v>
      </c>
      <c r="J80" s="111" cm="1">
        <f t="array" ref="J80">IF(OR(E80="—",I80="—"),"—",E80-I80)</f>
        <v>1</v>
      </c>
      <c r="K80" t="str" s="49" cm="1">
        <f t="array" ref="K80">IF(E80="—",IF(L80=0,"Nadie lo trabaja","El Salvador no llega"),IF(L80=0,"Solo El Salvador",IF(J80&gt;0,"El Salvador llega más tarde",IF(J80&lt;0,"El Salvador va adelantado","Mismo grado"))))</f>
        <v>El Salvador llega más tarde</v>
      </c>
      <c r="L80" s="80" cm="1">
        <f t="array" ref="L80">COUNT(F80:H80)</f>
        <v>3</v>
      </c>
      <c r="M80" s="110"/>
      <c r="N80" s="36" cm="1">
        <f t="array" ref="N80">_xlfn.COUNTIFS('Datos - Temas'!$C$5:$C$1264,"Ciencias",'Datos - Temas'!$B$5:$B$1264,N$3,'Datos - Temas'!$K$5:$K$1264,$A80)+_xlfn.COUNTIFS('Datos - Temas'!$C$5:$C$1264,"Ciencias",'Datos - Temas'!$B$5:$B$1264,N$3,'Datos - Temas'!$L$5:$L$1264,$A80)</f>
        <v>0</v>
      </c>
      <c r="O80" s="36" cm="1">
        <f t="array" ref="O80">_xlfn.COUNTIFS('Datos - Temas'!$C$5:$C$1264,"Ciencias",'Datos - Temas'!$B$5:$B$1264,O$3,'Datos - Temas'!$K$5:$K$1264,$A80)+_xlfn.COUNTIFS('Datos - Temas'!$C$5:$C$1264,"Ciencias",'Datos - Temas'!$B$5:$B$1264,O$3,'Datos - Temas'!$L$5:$L$1264,$A80)</f>
        <v>0</v>
      </c>
      <c r="P80" s="36" cm="1">
        <f t="array" ref="P80">_xlfn.COUNTIFS('Datos - Temas'!$C$5:$C$1264,"Ciencias",'Datos - Temas'!$B$5:$B$1264,P$3,'Datos - Temas'!$K$5:$K$1264,$A80)+_xlfn.COUNTIFS('Datos - Temas'!$C$5:$C$1264,"Ciencias",'Datos - Temas'!$B$5:$B$1264,P$3,'Datos - Temas'!$L$5:$L$1264,$A80)</f>
        <v>0</v>
      </c>
      <c r="Q80" s="36" cm="1">
        <f t="array" ref="Q80">_xlfn.COUNTIFS('Datos - Temas'!$C$5:$C$1264,"Ciencias",'Datos - Temas'!$B$5:$B$1264,Q$3,'Datos - Temas'!$K$5:$K$1264,$A80)+_xlfn.COUNTIFS('Datos - Temas'!$C$5:$C$1264,"Ciencias",'Datos - Temas'!$B$5:$B$1264,Q$3,'Datos - Temas'!$L$5:$L$1264,$A80)</f>
        <v>0</v>
      </c>
      <c r="R80" s="36" cm="1">
        <f t="array" ref="R80">_xlfn.COUNTIFS('Datos - Temas'!$C$5:$C$1264,"Ciencias",'Datos - Temas'!$B$5:$B$1264,R$3,'Datos - Temas'!$K$5:$K$1264,$A80)+_xlfn.COUNTIFS('Datos - Temas'!$C$5:$C$1264,"Ciencias",'Datos - Temas'!$B$5:$B$1264,R$3,'Datos - Temas'!$L$5:$L$1264,$A80)</f>
        <v>0</v>
      </c>
      <c r="S80" s="36" cm="1">
        <f t="array" ref="S80">_xlfn.COUNTIFS('Datos - Temas'!$C$5:$C$1264,"Ciencias",'Datos - Temas'!$B$5:$B$1264,S$3,'Datos - Temas'!$K$5:$K$1264,$A80)+_xlfn.COUNTIFS('Datos - Temas'!$C$5:$C$1264,"Ciencias",'Datos - Temas'!$B$5:$B$1264,S$3,'Datos - Temas'!$L$5:$L$1264,$A80)</f>
        <v>0</v>
      </c>
      <c r="T80" s="36" cm="1">
        <f t="array" ref="T80">_xlfn.COUNTIFS('Datos - Temas'!$C$5:$C$1264,"Ciencias",'Datos - Temas'!$B$5:$B$1264,T$3,'Datos - Temas'!$K$5:$K$1264,$A80)+_xlfn.COUNTIFS('Datos - Temas'!$C$5:$C$1264,"Ciencias",'Datos - Temas'!$B$5:$B$1264,T$3,'Datos - Temas'!$L$5:$L$1264,$A80)</f>
        <v>9</v>
      </c>
      <c r="U80" s="36" cm="1">
        <f t="array" ref="U80">_xlfn.COUNTIFS('Datos - Temas'!$C$5:$C$1264,"Ciencias",'Datos - Temas'!$B$5:$B$1264,U$3,'Datos - Temas'!$K$5:$K$1264,$A80)+_xlfn.COUNTIFS('Datos - Temas'!$C$5:$C$1264,"Ciencias",'Datos - Temas'!$B$5:$B$1264,U$3,'Datos - Temas'!$L$5:$L$1264,$A80)</f>
        <v>0</v>
      </c>
      <c r="V80" s="36" cm="1">
        <f t="array" ref="V80">_xlfn.COUNTIFS('Datos - Temas'!$C$5:$C$1264,"Ciencias",'Datos - Temas'!$B$5:$B$1264,V$3,'Datos - Temas'!$K$5:$K$1264,$A80)+_xlfn.COUNTIFS('Datos - Temas'!$C$5:$C$1264,"Ciencias",'Datos - Temas'!$B$5:$B$1264,V$3,'Datos - Temas'!$L$5:$L$1264,$A80)</f>
        <v>1</v>
      </c>
      <c r="W80" s="36" cm="1">
        <f t="array" ref="W80">_xlfn.COUNTIFS('Datos - Objetivos de países'!$B$5:$B$510,"Uruguay",'Datos - Objetivos de países'!$F$5:$F$510,W$3,'Datos - Objetivos de países'!$J$5:$J$510,$A80)+_xlfn.COUNTIFS('Datos - Objetivos de países'!$B$5:$B$510,"Uruguay",'Datos - Objetivos de países'!$F$5:$F$510,W$3,'Datos - Objetivos de países'!$K$5:$K$510,$A80)</f>
        <v>0</v>
      </c>
      <c r="X80" s="36" cm="1">
        <f t="array" ref="X80">_xlfn.COUNTIFS('Datos - Objetivos de países'!$B$5:$B$510,"Uruguay",'Datos - Objetivos de países'!$F$5:$F$510,X$3,'Datos - Objetivos de países'!$J$5:$J$510,$A80)+_xlfn.COUNTIFS('Datos - Objetivos de países'!$B$5:$B$510,"Uruguay",'Datos - Objetivos de países'!$F$5:$F$510,X$3,'Datos - Objetivos de países'!$K$5:$K$510,$A80)</f>
        <v>0</v>
      </c>
      <c r="Y80" s="36" cm="1">
        <f t="array" ref="Y80">_xlfn.COUNTIFS('Datos - Objetivos de países'!$B$5:$B$510,"Uruguay",'Datos - Objetivos de países'!$F$5:$F$510,Y$3,'Datos - Objetivos de países'!$J$5:$J$510,$A80)+_xlfn.COUNTIFS('Datos - Objetivos de países'!$B$5:$B$510,"Uruguay",'Datos - Objetivos de países'!$F$5:$F$510,Y$3,'Datos - Objetivos de países'!$K$5:$K$510,$A80)</f>
        <v>0</v>
      </c>
      <c r="Z80" s="36" cm="1">
        <f t="array" ref="Z80">_xlfn.COUNTIFS('Datos - Objetivos de países'!$B$5:$B$510,"Uruguay",'Datos - Objetivos de países'!$F$5:$F$510,Z$3,'Datos - Objetivos de países'!$J$5:$J$510,$A80)+_xlfn.COUNTIFS('Datos - Objetivos de países'!$B$5:$B$510,"Uruguay",'Datos - Objetivos de países'!$F$5:$F$510,Z$3,'Datos - Objetivos de países'!$K$5:$K$510,$A80)</f>
        <v>0</v>
      </c>
      <c r="AA80" s="36" cm="1">
        <f t="array" ref="AA80">_xlfn.COUNTIFS('Datos - Objetivos de países'!$B$5:$B$510,"Uruguay",'Datos - Objetivos de países'!$F$5:$F$510,AA$3,'Datos - Objetivos de países'!$J$5:$J$510,$A80)+_xlfn.COUNTIFS('Datos - Objetivos de países'!$B$5:$B$510,"Uruguay",'Datos - Objetivos de países'!$F$5:$F$510,AA$3,'Datos - Objetivos de países'!$K$5:$K$510,$A80)</f>
        <v>0</v>
      </c>
      <c r="AB80" s="36" cm="1">
        <f t="array" ref="AB80">_xlfn.COUNTIFS('Datos - Objetivos de países'!$B$5:$B$510,"Uruguay",'Datos - Objetivos de países'!$F$5:$F$510,AB$3,'Datos - Objetivos de países'!$J$5:$J$510,$A80)+_xlfn.COUNTIFS('Datos - Objetivos de países'!$B$5:$B$510,"Uruguay",'Datos - Objetivos de países'!$F$5:$F$510,AB$3,'Datos - Objetivos de países'!$K$5:$K$510,$A80)</f>
        <v>1</v>
      </c>
      <c r="AC80" s="36" cm="1">
        <f t="array" ref="AC80">_xlfn.COUNTIFS('Datos - Objetivos de países'!$B$5:$B$510,"Uruguay",'Datos - Objetivos de países'!$F$5:$F$510,AC$3,'Datos - Objetivos de países'!$J$5:$J$510,$A80)+_xlfn.COUNTIFS('Datos - Objetivos de países'!$B$5:$B$510,"Uruguay",'Datos - Objetivos de países'!$F$5:$F$510,AC$3,'Datos - Objetivos de países'!$K$5:$K$510,$A80)</f>
        <v>0</v>
      </c>
      <c r="AD80" s="36" cm="1">
        <f t="array" ref="AD80">_xlfn.COUNTIFS('Datos - Objetivos de países'!$B$5:$B$510,"Uruguay",'Datos - Objetivos de países'!$F$5:$F$510,AD$3,'Datos - Objetivos de países'!$J$5:$J$510,$A80)+_xlfn.COUNTIFS('Datos - Objetivos de países'!$B$5:$B$510,"Uruguay",'Datos - Objetivos de países'!$F$5:$F$510,AD$3,'Datos - Objetivos de países'!$K$5:$K$510,$A80)</f>
        <v>0</v>
      </c>
      <c r="AE80" s="36" cm="1">
        <f t="array" ref="AE80">_xlfn.COUNTIFS('Datos - Objetivos de países'!$B$5:$B$510,"Uruguay",'Datos - Objetivos de países'!$F$5:$F$510,AE$3,'Datos - Objetivos de países'!$J$5:$J$510,$A80)+_xlfn.COUNTIFS('Datos - Objetivos de países'!$B$5:$B$510,"Uruguay",'Datos - Objetivos de países'!$F$5:$F$510,AE$3,'Datos - Objetivos de países'!$K$5:$K$510,$A80)</f>
        <v>1</v>
      </c>
      <c r="AF80" s="36" cm="1">
        <f t="array" ref="AF80">_xlfn.COUNTIFS('Datos - Objetivos de países'!$B$5:$B$510,"Colombia",'Datos - Objetivos de países'!$F$5:$F$510,AF$3,'Datos - Objetivos de países'!$J$5:$J$510,$A80)+_xlfn.COUNTIFS('Datos - Objetivos de países'!$B$5:$B$510,"Colombia",'Datos - Objetivos de países'!$F$5:$F$510,AF$3,'Datos - Objetivos de países'!$K$5:$K$510,$A80)</f>
        <v>0</v>
      </c>
      <c r="AG80" s="36" cm="1">
        <f t="array" ref="AG80">_xlfn.COUNTIFS('Datos - Objetivos de países'!$B$5:$B$510,"Colombia",'Datos - Objetivos de países'!$F$5:$F$510,AG$3,'Datos - Objetivos de países'!$J$5:$J$510,$A80)+_xlfn.COUNTIFS('Datos - Objetivos de países'!$B$5:$B$510,"Colombia",'Datos - Objetivos de países'!$F$5:$F$510,AG$3,'Datos - Objetivos de países'!$K$5:$K$510,$A80)</f>
        <v>0</v>
      </c>
      <c r="AH80" s="36" cm="1">
        <f t="array" ref="AH80">_xlfn.COUNTIFS('Datos - Objetivos de países'!$B$5:$B$510,"Colombia",'Datos - Objetivos de países'!$F$5:$F$510,AH$3,'Datos - Objetivos de países'!$J$5:$J$510,$A80)+_xlfn.COUNTIFS('Datos - Objetivos de países'!$B$5:$B$510,"Colombia",'Datos - Objetivos de países'!$F$5:$F$510,AH$3,'Datos - Objetivos de países'!$K$5:$K$510,$A80)</f>
        <v>0</v>
      </c>
      <c r="AI80" s="36" cm="1">
        <f t="array" ref="AI80">_xlfn.COUNTIFS('Datos - Objetivos de países'!$B$5:$B$510,"Colombia",'Datos - Objetivos de países'!$F$5:$F$510,AI$3,'Datos - Objetivos de países'!$J$5:$J$510,$A80)+_xlfn.COUNTIFS('Datos - Objetivos de países'!$B$5:$B$510,"Colombia",'Datos - Objetivos de países'!$F$5:$F$510,AI$3,'Datos - Objetivos de países'!$K$5:$K$510,$A80)</f>
        <v>0</v>
      </c>
      <c r="AJ80" s="36" cm="1">
        <f t="array" ref="AJ80">_xlfn.COUNTIFS('Datos - Objetivos de países'!$B$5:$B$510,"Colombia",'Datos - Objetivos de países'!$F$5:$F$510,AJ$3,'Datos - Objetivos de países'!$J$5:$J$510,$A80)+_xlfn.COUNTIFS('Datos - Objetivos de países'!$B$5:$B$510,"Colombia",'Datos - Objetivos de países'!$F$5:$F$510,AJ$3,'Datos - Objetivos de países'!$K$5:$K$510,$A80)</f>
        <v>0</v>
      </c>
      <c r="AK80" s="36" cm="1">
        <f t="array" ref="AK80">_xlfn.COUNTIFS('Datos - Objetivos de países'!$B$5:$B$510,"Colombia",'Datos - Objetivos de países'!$F$5:$F$510,AK$3,'Datos - Objetivos de países'!$J$5:$J$510,$A80)+_xlfn.COUNTIFS('Datos - Objetivos de países'!$B$5:$B$510,"Colombia",'Datos - Objetivos de países'!$F$5:$F$510,AK$3,'Datos - Objetivos de países'!$K$5:$K$510,$A80)</f>
        <v>1</v>
      </c>
      <c r="AL80" s="36" cm="1">
        <f t="array" ref="AL80">_xlfn.COUNTIFS('Datos - Objetivos de países'!$B$5:$B$510,"Colombia",'Datos - Objetivos de países'!$F$5:$F$510,AL$3,'Datos - Objetivos de países'!$J$5:$J$510,$A80)+_xlfn.COUNTIFS('Datos - Objetivos de países'!$B$5:$B$510,"Colombia",'Datos - Objetivos de países'!$F$5:$F$510,AL$3,'Datos - Objetivos de países'!$K$5:$K$510,$A80)</f>
        <v>0</v>
      </c>
      <c r="AM80" s="36" cm="1">
        <f t="array" ref="AM80">_xlfn.COUNTIFS('Datos - Objetivos de países'!$B$5:$B$510,"Colombia",'Datos - Objetivos de países'!$F$5:$F$510,AM$3,'Datos - Objetivos de países'!$J$5:$J$510,$A80)+_xlfn.COUNTIFS('Datos - Objetivos de países'!$B$5:$B$510,"Colombia",'Datos - Objetivos de países'!$F$5:$F$510,AM$3,'Datos - Objetivos de países'!$K$5:$K$510,$A80)</f>
        <v>0</v>
      </c>
      <c r="AN80" s="36" cm="1">
        <f t="array" ref="AN80">_xlfn.COUNTIFS('Datos - Objetivos de países'!$B$5:$B$510,"Colombia",'Datos - Objetivos de países'!$F$5:$F$510,AN$3,'Datos - Objetivos de países'!$J$5:$J$510,$A80)+_xlfn.COUNTIFS('Datos - Objetivos de países'!$B$5:$B$510,"Colombia",'Datos - Objetivos de países'!$F$5:$F$510,AN$3,'Datos - Objetivos de países'!$K$5:$K$510,$A80)</f>
        <v>0</v>
      </c>
      <c r="AO80" s="36" cm="1">
        <f t="array" ref="AO80">_xlfn.COUNTIFS('Datos - Objetivos de países'!$B$5:$B$510,"Singapur",'Datos - Objetivos de países'!$F$5:$F$510,AO$3,'Datos - Objetivos de países'!$J$5:$J$510,$A80)+_xlfn.COUNTIFS('Datos - Objetivos de países'!$B$5:$B$510,"Singapur",'Datos - Objetivos de países'!$F$5:$F$510,AO$3,'Datos - Objetivos de países'!$K$5:$K$510,$A80)</f>
        <v>0</v>
      </c>
      <c r="AP80" s="36" cm="1">
        <f t="array" ref="AP80">_xlfn.COUNTIFS('Datos - Objetivos de países'!$B$5:$B$510,"Singapur",'Datos - Objetivos de países'!$F$5:$F$510,AP$3,'Datos - Objetivos de países'!$J$5:$J$510,$A80)+_xlfn.COUNTIFS('Datos - Objetivos de países'!$B$5:$B$510,"Singapur",'Datos - Objetivos de países'!$F$5:$F$510,AP$3,'Datos - Objetivos de países'!$K$5:$K$510,$A80)</f>
        <v>0</v>
      </c>
      <c r="AQ80" s="36" cm="1">
        <f t="array" ref="AQ80">_xlfn.COUNTIFS('Datos - Objetivos de países'!$B$5:$B$510,"Singapur",'Datos - Objetivos de países'!$F$5:$F$510,AQ$3,'Datos - Objetivos de países'!$J$5:$J$510,$A80)+_xlfn.COUNTIFS('Datos - Objetivos de países'!$B$5:$B$510,"Singapur",'Datos - Objetivos de países'!$F$5:$F$510,AQ$3,'Datos - Objetivos de países'!$K$5:$K$510,$A80)</f>
        <v>0</v>
      </c>
      <c r="AR80" s="36" cm="1">
        <f t="array" ref="AR80">_xlfn.COUNTIFS('Datos - Objetivos de países'!$B$5:$B$510,"Singapur",'Datos - Objetivos de países'!$F$5:$F$510,AR$3,'Datos - Objetivos de países'!$J$5:$J$510,$A80)+_xlfn.COUNTIFS('Datos - Objetivos de países'!$B$5:$B$510,"Singapur",'Datos - Objetivos de países'!$F$5:$F$510,AR$3,'Datos - Objetivos de países'!$K$5:$K$510,$A80)</f>
        <v>0</v>
      </c>
      <c r="AS80" s="36" cm="1">
        <f t="array" ref="AS80">_xlfn.COUNTIFS('Datos - Objetivos de países'!$B$5:$B$510,"Singapur",'Datos - Objetivos de países'!$F$5:$F$510,AS$3,'Datos - Objetivos de países'!$J$5:$J$510,$A80)+_xlfn.COUNTIFS('Datos - Objetivos de países'!$B$5:$B$510,"Singapur",'Datos - Objetivos de países'!$F$5:$F$510,AS$3,'Datos - Objetivos de países'!$K$5:$K$510,$A80)</f>
        <v>0</v>
      </c>
      <c r="AT80" s="36" cm="1">
        <f t="array" ref="AT80">_xlfn.COUNTIFS('Datos - Objetivos de países'!$B$5:$B$510,"Singapur",'Datos - Objetivos de países'!$F$5:$F$510,AT$3,'Datos - Objetivos de países'!$J$5:$J$510,$A80)+_xlfn.COUNTIFS('Datos - Objetivos de países'!$B$5:$B$510,"Singapur",'Datos - Objetivos de países'!$F$5:$F$510,AT$3,'Datos - Objetivos de países'!$K$5:$K$510,$A80)</f>
        <v>1</v>
      </c>
      <c r="AU80" s="36" cm="1">
        <f t="array" ref="AU80">_xlfn.COUNTIFS('Datos - Objetivos de países'!$B$5:$B$510,"Singapur",'Datos - Objetivos de países'!$F$5:$F$510,AU$3,'Datos - Objetivos de países'!$J$5:$J$510,$A80)+_xlfn.COUNTIFS('Datos - Objetivos de países'!$B$5:$B$510,"Singapur",'Datos - Objetivos de países'!$F$5:$F$510,AU$3,'Datos - Objetivos de países'!$K$5:$K$510,$A80)</f>
        <v>0</v>
      </c>
      <c r="AV80" s="36" cm="1">
        <f t="array" ref="AV80">_xlfn.COUNTIFS('Datos - Objetivos de países'!$B$5:$B$510,"Singapur",'Datos - Objetivos de países'!$F$5:$F$510,AV$3,'Datos - Objetivos de países'!$J$5:$J$510,$A80)+_xlfn.COUNTIFS('Datos - Objetivos de países'!$B$5:$B$510,"Singapur",'Datos - Objetivos de países'!$F$5:$F$510,AV$3,'Datos - Objetivos de países'!$K$5:$K$510,$A80)</f>
        <v>0</v>
      </c>
      <c r="AW80" s="36" cm="1">
        <f t="array" ref="AW80">_xlfn.COUNTIFS('Datos - Objetivos de países'!$B$5:$B$510,"Singapur",'Datos - Objetivos de países'!$F$5:$F$510,AW$3,'Datos - Objetivos de países'!$J$5:$J$510,$A80)+_xlfn.COUNTIFS('Datos - Objetivos de países'!$B$5:$B$510,"Singapur",'Datos - Objetivos de países'!$F$5:$F$510,AW$3,'Datos - Objetivos de países'!$K$5:$K$510,$A80)</f>
        <v>0</v>
      </c>
    </row>
    <row r="81" ht="13.65" customHeight="1">
      <c r="A81" t="s" s="78">
        <v>1290</v>
      </c>
      <c r="B81" t="s" s="78">
        <v>1164</v>
      </c>
      <c r="C81" t="s" s="78">
        <v>216</v>
      </c>
      <c r="D81" t="s" s="78">
        <v>1291</v>
      </c>
      <c r="E81" s="80" cm="1">
        <f t="array" ref="E81">_xlfn.IFERROR(MAX($L$3,INDEX($N$3:$V$3,MATCH(TRUE,INDEX(N81:V81&gt;0,0),0))),"—")</f>
        <v>5</v>
      </c>
      <c r="F81" s="80" cm="1">
        <f t="array" ref="F81">_xlfn.IFERROR(MAX($L$3,INDEX($W$3:$AE$3,MATCH(TRUE,INDEX(W81:AE81&gt;0,0),0))),"—")</f>
        <v>5</v>
      </c>
      <c r="G81" s="80" cm="1">
        <f t="array" ref="G81">_xlfn.IFERROR(MAX($L$3,INDEX($AF$3:$AN$3,MATCH(TRUE,INDEX(AF81:AN81&gt;0,0),0))),"—")</f>
        <v>6</v>
      </c>
      <c r="H81" s="80" cm="1">
        <f t="array" ref="H81">_xlfn.IFERROR(MAX($L$3,INDEX($AO$3:$AW$3,MATCH(TRUE,INDEX(AO81:AW81&gt;0,0),0))),"—")</f>
        <v>5</v>
      </c>
      <c r="I81" s="111" cm="1">
        <f t="array" ref="I81">IF(L81=0,"—",MEDIAN(F81:H81))</f>
        <v>5</v>
      </c>
      <c r="J81" s="111" cm="1">
        <f t="array" ref="J81">IF(OR(E81="—",I81="—"),"—",E81-I81)</f>
        <v>0</v>
      </c>
      <c r="K81" t="str" s="49" cm="1">
        <f t="array" ref="K81">IF(E81="—",IF(L81=0,"Nadie lo trabaja","El Salvador no llega"),IF(L81=0,"Solo El Salvador",IF(J81&gt;0,"El Salvador llega más tarde",IF(J81&lt;0,"El Salvador va adelantado","Mismo grado"))))</f>
        <v>Mismo grado</v>
      </c>
      <c r="L81" s="80" cm="1">
        <f t="array" ref="L81">COUNT(F81:H81)</f>
        <v>3</v>
      </c>
      <c r="M81" s="110"/>
      <c r="N81" s="36" cm="1">
        <f t="array" ref="N81">_xlfn.COUNTIFS('Datos - Temas'!$C$5:$C$1264,"Ciencias",'Datos - Temas'!$B$5:$B$1264,N$3,'Datos - Temas'!$K$5:$K$1264,$A81)+_xlfn.COUNTIFS('Datos - Temas'!$C$5:$C$1264,"Ciencias",'Datos - Temas'!$B$5:$B$1264,N$3,'Datos - Temas'!$L$5:$L$1264,$A81)</f>
        <v>0</v>
      </c>
      <c r="O81" s="36" cm="1">
        <f t="array" ref="O81">_xlfn.COUNTIFS('Datos - Temas'!$C$5:$C$1264,"Ciencias",'Datos - Temas'!$B$5:$B$1264,O$3,'Datos - Temas'!$K$5:$K$1264,$A81)+_xlfn.COUNTIFS('Datos - Temas'!$C$5:$C$1264,"Ciencias",'Datos - Temas'!$B$5:$B$1264,O$3,'Datos - Temas'!$L$5:$L$1264,$A81)</f>
        <v>0</v>
      </c>
      <c r="P81" s="36" cm="1">
        <f t="array" ref="P81">_xlfn.COUNTIFS('Datos - Temas'!$C$5:$C$1264,"Ciencias",'Datos - Temas'!$B$5:$B$1264,P$3,'Datos - Temas'!$K$5:$K$1264,$A81)+_xlfn.COUNTIFS('Datos - Temas'!$C$5:$C$1264,"Ciencias",'Datos - Temas'!$B$5:$B$1264,P$3,'Datos - Temas'!$L$5:$L$1264,$A81)</f>
        <v>0</v>
      </c>
      <c r="Q81" s="36" cm="1">
        <f t="array" ref="Q81">_xlfn.COUNTIFS('Datos - Temas'!$C$5:$C$1264,"Ciencias",'Datos - Temas'!$B$5:$B$1264,Q$3,'Datos - Temas'!$K$5:$K$1264,$A81)+_xlfn.COUNTIFS('Datos - Temas'!$C$5:$C$1264,"Ciencias",'Datos - Temas'!$B$5:$B$1264,Q$3,'Datos - Temas'!$L$5:$L$1264,$A81)</f>
        <v>0</v>
      </c>
      <c r="R81" s="36" cm="1">
        <f t="array" ref="R81">_xlfn.COUNTIFS('Datos - Temas'!$C$5:$C$1264,"Ciencias",'Datos - Temas'!$B$5:$B$1264,R$3,'Datos - Temas'!$K$5:$K$1264,$A81)+_xlfn.COUNTIFS('Datos - Temas'!$C$5:$C$1264,"Ciencias",'Datos - Temas'!$B$5:$B$1264,R$3,'Datos - Temas'!$L$5:$L$1264,$A81)</f>
        <v>3</v>
      </c>
      <c r="S81" s="36" cm="1">
        <f t="array" ref="S81">_xlfn.COUNTIFS('Datos - Temas'!$C$5:$C$1264,"Ciencias",'Datos - Temas'!$B$5:$B$1264,S$3,'Datos - Temas'!$K$5:$K$1264,$A81)+_xlfn.COUNTIFS('Datos - Temas'!$C$5:$C$1264,"Ciencias",'Datos - Temas'!$B$5:$B$1264,S$3,'Datos - Temas'!$L$5:$L$1264,$A81)</f>
        <v>1</v>
      </c>
      <c r="T81" s="36" cm="1">
        <f t="array" ref="T81">_xlfn.COUNTIFS('Datos - Temas'!$C$5:$C$1264,"Ciencias",'Datos - Temas'!$B$5:$B$1264,T$3,'Datos - Temas'!$K$5:$K$1264,$A81)+_xlfn.COUNTIFS('Datos - Temas'!$C$5:$C$1264,"Ciencias",'Datos - Temas'!$B$5:$B$1264,T$3,'Datos - Temas'!$L$5:$L$1264,$A81)</f>
        <v>9</v>
      </c>
      <c r="U81" s="36" cm="1">
        <f t="array" ref="U81">_xlfn.COUNTIFS('Datos - Temas'!$C$5:$C$1264,"Ciencias",'Datos - Temas'!$B$5:$B$1264,U$3,'Datos - Temas'!$K$5:$K$1264,$A81)+_xlfn.COUNTIFS('Datos - Temas'!$C$5:$C$1264,"Ciencias",'Datos - Temas'!$B$5:$B$1264,U$3,'Datos - Temas'!$L$5:$L$1264,$A81)</f>
        <v>3</v>
      </c>
      <c r="V81" s="36" cm="1">
        <f t="array" ref="V81">_xlfn.COUNTIFS('Datos - Temas'!$C$5:$C$1264,"Ciencias",'Datos - Temas'!$B$5:$B$1264,V$3,'Datos - Temas'!$K$5:$K$1264,$A81)+_xlfn.COUNTIFS('Datos - Temas'!$C$5:$C$1264,"Ciencias",'Datos - Temas'!$B$5:$B$1264,V$3,'Datos - Temas'!$L$5:$L$1264,$A81)</f>
        <v>1</v>
      </c>
      <c r="W81" s="36" cm="1">
        <f t="array" ref="W81">_xlfn.COUNTIFS('Datos - Objetivos de países'!$B$5:$B$510,"Uruguay",'Datos - Objetivos de países'!$F$5:$F$510,W$3,'Datos - Objetivos de países'!$J$5:$J$510,$A81)+_xlfn.COUNTIFS('Datos - Objetivos de países'!$B$5:$B$510,"Uruguay",'Datos - Objetivos de países'!$F$5:$F$510,W$3,'Datos - Objetivos de países'!$K$5:$K$510,$A81)</f>
        <v>0</v>
      </c>
      <c r="X81" s="36" cm="1">
        <f t="array" ref="X81">_xlfn.COUNTIFS('Datos - Objetivos de países'!$B$5:$B$510,"Uruguay",'Datos - Objetivos de países'!$F$5:$F$510,X$3,'Datos - Objetivos de países'!$J$5:$J$510,$A81)+_xlfn.COUNTIFS('Datos - Objetivos de países'!$B$5:$B$510,"Uruguay",'Datos - Objetivos de países'!$F$5:$F$510,X$3,'Datos - Objetivos de países'!$K$5:$K$510,$A81)</f>
        <v>0</v>
      </c>
      <c r="Y81" s="36" cm="1">
        <f t="array" ref="Y81">_xlfn.COUNTIFS('Datos - Objetivos de países'!$B$5:$B$510,"Uruguay",'Datos - Objetivos de países'!$F$5:$F$510,Y$3,'Datos - Objetivos de países'!$J$5:$J$510,$A81)+_xlfn.COUNTIFS('Datos - Objetivos de países'!$B$5:$B$510,"Uruguay",'Datos - Objetivos de países'!$F$5:$F$510,Y$3,'Datos - Objetivos de países'!$K$5:$K$510,$A81)</f>
        <v>0</v>
      </c>
      <c r="Z81" s="36" cm="1">
        <f t="array" ref="Z81">_xlfn.COUNTIFS('Datos - Objetivos de países'!$B$5:$B$510,"Uruguay",'Datos - Objetivos de países'!$F$5:$F$510,Z$3,'Datos - Objetivos de países'!$J$5:$J$510,$A81)+_xlfn.COUNTIFS('Datos - Objetivos de países'!$B$5:$B$510,"Uruguay",'Datos - Objetivos de países'!$F$5:$F$510,Z$3,'Datos - Objetivos de países'!$K$5:$K$510,$A81)</f>
        <v>0</v>
      </c>
      <c r="AA81" s="36" cm="1">
        <f t="array" ref="AA81">_xlfn.COUNTIFS('Datos - Objetivos de países'!$B$5:$B$510,"Uruguay",'Datos - Objetivos de países'!$F$5:$F$510,AA$3,'Datos - Objetivos de países'!$J$5:$J$510,$A81)+_xlfn.COUNTIFS('Datos - Objetivos de países'!$B$5:$B$510,"Uruguay",'Datos - Objetivos de países'!$F$5:$F$510,AA$3,'Datos - Objetivos de países'!$K$5:$K$510,$A81)</f>
        <v>2</v>
      </c>
      <c r="AB81" s="36" cm="1">
        <f t="array" ref="AB81">_xlfn.COUNTIFS('Datos - Objetivos de países'!$B$5:$B$510,"Uruguay",'Datos - Objetivos de países'!$F$5:$F$510,AB$3,'Datos - Objetivos de países'!$J$5:$J$510,$A81)+_xlfn.COUNTIFS('Datos - Objetivos de países'!$B$5:$B$510,"Uruguay",'Datos - Objetivos de países'!$F$5:$F$510,AB$3,'Datos - Objetivos de países'!$K$5:$K$510,$A81)</f>
        <v>0</v>
      </c>
      <c r="AC81" s="36" cm="1">
        <f t="array" ref="AC81">_xlfn.COUNTIFS('Datos - Objetivos de países'!$B$5:$B$510,"Uruguay",'Datos - Objetivos de países'!$F$5:$F$510,AC$3,'Datos - Objetivos de países'!$J$5:$J$510,$A81)+_xlfn.COUNTIFS('Datos - Objetivos de países'!$B$5:$B$510,"Uruguay",'Datos - Objetivos de países'!$F$5:$F$510,AC$3,'Datos - Objetivos de países'!$K$5:$K$510,$A81)</f>
        <v>1</v>
      </c>
      <c r="AD81" s="36" cm="1">
        <f t="array" ref="AD81">_xlfn.COUNTIFS('Datos - Objetivos de países'!$B$5:$B$510,"Uruguay",'Datos - Objetivos de países'!$F$5:$F$510,AD$3,'Datos - Objetivos de países'!$J$5:$J$510,$A81)+_xlfn.COUNTIFS('Datos - Objetivos de países'!$B$5:$B$510,"Uruguay",'Datos - Objetivos de países'!$F$5:$F$510,AD$3,'Datos - Objetivos de países'!$K$5:$K$510,$A81)</f>
        <v>1</v>
      </c>
      <c r="AE81" s="36" cm="1">
        <f t="array" ref="AE81">_xlfn.COUNTIFS('Datos - Objetivos de países'!$B$5:$B$510,"Uruguay",'Datos - Objetivos de países'!$F$5:$F$510,AE$3,'Datos - Objetivos de países'!$J$5:$J$510,$A81)+_xlfn.COUNTIFS('Datos - Objetivos de países'!$B$5:$B$510,"Uruguay",'Datos - Objetivos de países'!$F$5:$F$510,AE$3,'Datos - Objetivos de países'!$K$5:$K$510,$A81)</f>
        <v>0</v>
      </c>
      <c r="AF81" s="36" cm="1">
        <f t="array" ref="AF81">_xlfn.COUNTIFS('Datos - Objetivos de países'!$B$5:$B$510,"Colombia",'Datos - Objetivos de países'!$F$5:$F$510,AF$3,'Datos - Objetivos de países'!$J$5:$J$510,$A81)+_xlfn.COUNTIFS('Datos - Objetivos de países'!$B$5:$B$510,"Colombia",'Datos - Objetivos de países'!$F$5:$F$510,AF$3,'Datos - Objetivos de países'!$K$5:$K$510,$A81)</f>
        <v>0</v>
      </c>
      <c r="AG81" s="36" cm="1">
        <f t="array" ref="AG81">_xlfn.COUNTIFS('Datos - Objetivos de países'!$B$5:$B$510,"Colombia",'Datos - Objetivos de países'!$F$5:$F$510,AG$3,'Datos - Objetivos de países'!$J$5:$J$510,$A81)+_xlfn.COUNTIFS('Datos - Objetivos de países'!$B$5:$B$510,"Colombia",'Datos - Objetivos de países'!$F$5:$F$510,AG$3,'Datos - Objetivos de países'!$K$5:$K$510,$A81)</f>
        <v>0</v>
      </c>
      <c r="AH81" s="36" cm="1">
        <f t="array" ref="AH81">_xlfn.COUNTIFS('Datos - Objetivos de países'!$B$5:$B$510,"Colombia",'Datos - Objetivos de países'!$F$5:$F$510,AH$3,'Datos - Objetivos de países'!$J$5:$J$510,$A81)+_xlfn.COUNTIFS('Datos - Objetivos de países'!$B$5:$B$510,"Colombia",'Datos - Objetivos de países'!$F$5:$F$510,AH$3,'Datos - Objetivos de países'!$K$5:$K$510,$A81)</f>
        <v>0</v>
      </c>
      <c r="AI81" s="36" cm="1">
        <f t="array" ref="AI81">_xlfn.COUNTIFS('Datos - Objetivos de países'!$B$5:$B$510,"Colombia",'Datos - Objetivos de países'!$F$5:$F$510,AI$3,'Datos - Objetivos de países'!$J$5:$J$510,$A81)+_xlfn.COUNTIFS('Datos - Objetivos de países'!$B$5:$B$510,"Colombia",'Datos - Objetivos de países'!$F$5:$F$510,AI$3,'Datos - Objetivos de países'!$K$5:$K$510,$A81)</f>
        <v>0</v>
      </c>
      <c r="AJ81" s="36" cm="1">
        <f t="array" ref="AJ81">_xlfn.COUNTIFS('Datos - Objetivos de países'!$B$5:$B$510,"Colombia",'Datos - Objetivos de países'!$F$5:$F$510,AJ$3,'Datos - Objetivos de países'!$J$5:$J$510,$A81)+_xlfn.COUNTIFS('Datos - Objetivos de países'!$B$5:$B$510,"Colombia",'Datos - Objetivos de países'!$F$5:$F$510,AJ$3,'Datos - Objetivos de países'!$K$5:$K$510,$A81)</f>
        <v>0</v>
      </c>
      <c r="AK81" s="36" cm="1">
        <f t="array" ref="AK81">_xlfn.COUNTIFS('Datos - Objetivos de países'!$B$5:$B$510,"Colombia",'Datos - Objetivos de países'!$F$5:$F$510,AK$3,'Datos - Objetivos de países'!$J$5:$J$510,$A81)+_xlfn.COUNTIFS('Datos - Objetivos de países'!$B$5:$B$510,"Colombia",'Datos - Objetivos de países'!$F$5:$F$510,AK$3,'Datos - Objetivos de países'!$K$5:$K$510,$A81)</f>
        <v>2</v>
      </c>
      <c r="AL81" s="36" cm="1">
        <f t="array" ref="AL81">_xlfn.COUNTIFS('Datos - Objetivos de países'!$B$5:$B$510,"Colombia",'Datos - Objetivos de países'!$F$5:$F$510,AL$3,'Datos - Objetivos de países'!$J$5:$J$510,$A81)+_xlfn.COUNTIFS('Datos - Objetivos de países'!$B$5:$B$510,"Colombia",'Datos - Objetivos de países'!$F$5:$F$510,AL$3,'Datos - Objetivos de países'!$K$5:$K$510,$A81)</f>
        <v>0</v>
      </c>
      <c r="AM81" s="36" cm="1">
        <f t="array" ref="AM81">_xlfn.COUNTIFS('Datos - Objetivos de países'!$B$5:$B$510,"Colombia",'Datos - Objetivos de países'!$F$5:$F$510,AM$3,'Datos - Objetivos de países'!$J$5:$J$510,$A81)+_xlfn.COUNTIFS('Datos - Objetivos de países'!$B$5:$B$510,"Colombia",'Datos - Objetivos de países'!$F$5:$F$510,AM$3,'Datos - Objetivos de países'!$K$5:$K$510,$A81)</f>
        <v>1</v>
      </c>
      <c r="AN81" s="36" cm="1">
        <f t="array" ref="AN81">_xlfn.COUNTIFS('Datos - Objetivos de países'!$B$5:$B$510,"Colombia",'Datos - Objetivos de países'!$F$5:$F$510,AN$3,'Datos - Objetivos de países'!$J$5:$J$510,$A81)+_xlfn.COUNTIFS('Datos - Objetivos de países'!$B$5:$B$510,"Colombia",'Datos - Objetivos de países'!$F$5:$F$510,AN$3,'Datos - Objetivos de países'!$K$5:$K$510,$A81)</f>
        <v>0</v>
      </c>
      <c r="AO81" s="36" cm="1">
        <f t="array" ref="AO81">_xlfn.COUNTIFS('Datos - Objetivos de países'!$B$5:$B$510,"Singapur",'Datos - Objetivos de países'!$F$5:$F$510,AO$3,'Datos - Objetivos de países'!$J$5:$J$510,$A81)+_xlfn.COUNTIFS('Datos - Objetivos de países'!$B$5:$B$510,"Singapur",'Datos - Objetivos de países'!$F$5:$F$510,AO$3,'Datos - Objetivos de países'!$K$5:$K$510,$A81)</f>
        <v>0</v>
      </c>
      <c r="AP81" s="36" cm="1">
        <f t="array" ref="AP81">_xlfn.COUNTIFS('Datos - Objetivos de países'!$B$5:$B$510,"Singapur",'Datos - Objetivos de países'!$F$5:$F$510,AP$3,'Datos - Objetivos de países'!$J$5:$J$510,$A81)+_xlfn.COUNTIFS('Datos - Objetivos de países'!$B$5:$B$510,"Singapur",'Datos - Objetivos de países'!$F$5:$F$510,AP$3,'Datos - Objetivos de países'!$K$5:$K$510,$A81)</f>
        <v>0</v>
      </c>
      <c r="AQ81" s="36" cm="1">
        <f t="array" ref="AQ81">_xlfn.COUNTIFS('Datos - Objetivos de países'!$B$5:$B$510,"Singapur",'Datos - Objetivos de países'!$F$5:$F$510,AQ$3,'Datos - Objetivos de países'!$J$5:$J$510,$A81)+_xlfn.COUNTIFS('Datos - Objetivos de países'!$B$5:$B$510,"Singapur",'Datos - Objetivos de países'!$F$5:$F$510,AQ$3,'Datos - Objetivos de países'!$K$5:$K$510,$A81)</f>
        <v>0</v>
      </c>
      <c r="AR81" s="36" cm="1">
        <f t="array" ref="AR81">_xlfn.COUNTIFS('Datos - Objetivos de países'!$B$5:$B$510,"Singapur",'Datos - Objetivos de países'!$F$5:$F$510,AR$3,'Datos - Objetivos de países'!$J$5:$J$510,$A81)+_xlfn.COUNTIFS('Datos - Objetivos de países'!$B$5:$B$510,"Singapur",'Datos - Objetivos de países'!$F$5:$F$510,AR$3,'Datos - Objetivos de países'!$K$5:$K$510,$A81)</f>
        <v>0</v>
      </c>
      <c r="AS81" s="36" cm="1">
        <f t="array" ref="AS81">_xlfn.COUNTIFS('Datos - Objetivos de países'!$B$5:$B$510,"Singapur",'Datos - Objetivos de países'!$F$5:$F$510,AS$3,'Datos - Objetivos de países'!$J$5:$J$510,$A81)+_xlfn.COUNTIFS('Datos - Objetivos de países'!$B$5:$B$510,"Singapur",'Datos - Objetivos de países'!$F$5:$F$510,AS$3,'Datos - Objetivos de países'!$K$5:$K$510,$A81)</f>
        <v>1</v>
      </c>
      <c r="AT81" s="36" cm="1">
        <f t="array" ref="AT81">_xlfn.COUNTIFS('Datos - Objetivos de países'!$B$5:$B$510,"Singapur",'Datos - Objetivos de países'!$F$5:$F$510,AT$3,'Datos - Objetivos de países'!$J$5:$J$510,$A81)+_xlfn.COUNTIFS('Datos - Objetivos de países'!$B$5:$B$510,"Singapur",'Datos - Objetivos de países'!$F$5:$F$510,AT$3,'Datos - Objetivos de países'!$K$5:$K$510,$A81)</f>
        <v>1</v>
      </c>
      <c r="AU81" s="36" cm="1">
        <f t="array" ref="AU81">_xlfn.COUNTIFS('Datos - Objetivos de países'!$B$5:$B$510,"Singapur",'Datos - Objetivos de países'!$F$5:$F$510,AU$3,'Datos - Objetivos de países'!$J$5:$J$510,$A81)+_xlfn.COUNTIFS('Datos - Objetivos de países'!$B$5:$B$510,"Singapur",'Datos - Objetivos de países'!$F$5:$F$510,AU$3,'Datos - Objetivos de países'!$K$5:$K$510,$A81)</f>
        <v>0</v>
      </c>
      <c r="AV81" s="36" cm="1">
        <f t="array" ref="AV81">_xlfn.COUNTIFS('Datos - Objetivos de países'!$B$5:$B$510,"Singapur",'Datos - Objetivos de países'!$F$5:$F$510,AV$3,'Datos - Objetivos de países'!$J$5:$J$510,$A81)+_xlfn.COUNTIFS('Datos - Objetivos de países'!$B$5:$B$510,"Singapur",'Datos - Objetivos de países'!$F$5:$F$510,AV$3,'Datos - Objetivos de países'!$K$5:$K$510,$A81)</f>
        <v>0</v>
      </c>
      <c r="AW81" s="36" cm="1">
        <f t="array" ref="AW81">_xlfn.COUNTIFS('Datos - Objetivos de países'!$B$5:$B$510,"Singapur",'Datos - Objetivos de países'!$F$5:$F$510,AW$3,'Datos - Objetivos de países'!$J$5:$J$510,$A81)+_xlfn.COUNTIFS('Datos - Objetivos de países'!$B$5:$B$510,"Singapur",'Datos - Objetivos de países'!$F$5:$F$510,AW$3,'Datos - Objetivos de países'!$K$5:$K$510,$A81)</f>
        <v>0</v>
      </c>
    </row>
    <row r="82" ht="24.65" customHeight="1">
      <c r="A82" t="s" s="78">
        <v>481</v>
      </c>
      <c r="B82" t="s" s="78">
        <v>1164</v>
      </c>
      <c r="C82" t="s" s="78">
        <v>216</v>
      </c>
      <c r="D82" t="s" s="78">
        <v>1293</v>
      </c>
      <c r="E82" s="80" cm="1">
        <f t="array" ref="E82">_xlfn.IFERROR(MAX($L$3,INDEX($N$3:$V$3,MATCH(TRUE,INDEX(N82:V82&gt;0,0),0))),"—")</f>
        <v>9</v>
      </c>
      <c r="F82" s="80" cm="1">
        <f t="array" ref="F82">_xlfn.IFERROR(MAX($L$3,INDEX($W$3:$AE$3,MATCH(TRUE,INDEX(W82:AE82&gt;0,0),0))),"—")</f>
        <v>5</v>
      </c>
      <c r="G82" t="str" s="79" cm="1">
        <f t="array" ref="G82">_xlfn.IFERROR(MAX($L$3,INDEX($AF$3:$AN$3,MATCH(TRUE,INDEX(AF82:AN82&gt;0,0),0))),"—")</f>
        <v>—</v>
      </c>
      <c r="H82" t="str" s="79" cm="1">
        <f t="array" ref="H82">_xlfn.IFERROR(MAX($L$3,INDEX($AO$3:$AW$3,MATCH(TRUE,INDEX(AO82:AW82&gt;0,0),0))),"—")</f>
        <v>—</v>
      </c>
      <c r="I82" s="111" cm="1">
        <f t="array" ref="I82">IF(L82=0,"—",MEDIAN(F82:H82))</f>
        <v>5</v>
      </c>
      <c r="J82" s="111" cm="1">
        <f t="array" ref="J82">IF(OR(E82="—",I82="—"),"—",E82-I82)</f>
        <v>4</v>
      </c>
      <c r="K82" t="str" s="49" cm="1">
        <f t="array" ref="K82">IF(E82="—",IF(L82=0,"Nadie lo trabaja","El Salvador no llega"),IF(L82=0,"Solo El Salvador",IF(J82&gt;0,"El Salvador llega más tarde",IF(J82&lt;0,"El Salvador va adelantado","Mismo grado"))))</f>
        <v>El Salvador llega más tarde</v>
      </c>
      <c r="L82" s="80" cm="1">
        <f t="array" ref="L82">COUNT(F82:H82)</f>
        <v>1</v>
      </c>
      <c r="M82" s="110"/>
      <c r="N82" s="36" cm="1">
        <f t="array" ref="N82">_xlfn.COUNTIFS('Datos - Temas'!$C$5:$C$1264,"Ciencias",'Datos - Temas'!$B$5:$B$1264,N$3,'Datos - Temas'!$K$5:$K$1264,$A82)+_xlfn.COUNTIFS('Datos - Temas'!$C$5:$C$1264,"Ciencias",'Datos - Temas'!$B$5:$B$1264,N$3,'Datos - Temas'!$L$5:$L$1264,$A82)</f>
        <v>0</v>
      </c>
      <c r="O82" s="36" cm="1">
        <f t="array" ref="O82">_xlfn.COUNTIFS('Datos - Temas'!$C$5:$C$1264,"Ciencias",'Datos - Temas'!$B$5:$B$1264,O$3,'Datos - Temas'!$K$5:$K$1264,$A82)+_xlfn.COUNTIFS('Datos - Temas'!$C$5:$C$1264,"Ciencias",'Datos - Temas'!$B$5:$B$1264,O$3,'Datos - Temas'!$L$5:$L$1264,$A82)</f>
        <v>0</v>
      </c>
      <c r="P82" s="36" cm="1">
        <f t="array" ref="P82">_xlfn.COUNTIFS('Datos - Temas'!$C$5:$C$1264,"Ciencias",'Datos - Temas'!$B$5:$B$1264,P$3,'Datos - Temas'!$K$5:$K$1264,$A82)+_xlfn.COUNTIFS('Datos - Temas'!$C$5:$C$1264,"Ciencias",'Datos - Temas'!$B$5:$B$1264,P$3,'Datos - Temas'!$L$5:$L$1264,$A82)</f>
        <v>0</v>
      </c>
      <c r="Q82" s="36" cm="1">
        <f t="array" ref="Q82">_xlfn.COUNTIFS('Datos - Temas'!$C$5:$C$1264,"Ciencias",'Datos - Temas'!$B$5:$B$1264,Q$3,'Datos - Temas'!$K$5:$K$1264,$A82)+_xlfn.COUNTIFS('Datos - Temas'!$C$5:$C$1264,"Ciencias",'Datos - Temas'!$B$5:$B$1264,Q$3,'Datos - Temas'!$L$5:$L$1264,$A82)</f>
        <v>0</v>
      </c>
      <c r="R82" s="36" cm="1">
        <f t="array" ref="R82">_xlfn.COUNTIFS('Datos - Temas'!$C$5:$C$1264,"Ciencias",'Datos - Temas'!$B$5:$B$1264,R$3,'Datos - Temas'!$K$5:$K$1264,$A82)+_xlfn.COUNTIFS('Datos - Temas'!$C$5:$C$1264,"Ciencias",'Datos - Temas'!$B$5:$B$1264,R$3,'Datos - Temas'!$L$5:$L$1264,$A82)</f>
        <v>0</v>
      </c>
      <c r="S82" s="36" cm="1">
        <f t="array" ref="S82">_xlfn.COUNTIFS('Datos - Temas'!$C$5:$C$1264,"Ciencias",'Datos - Temas'!$B$5:$B$1264,S$3,'Datos - Temas'!$K$5:$K$1264,$A82)+_xlfn.COUNTIFS('Datos - Temas'!$C$5:$C$1264,"Ciencias",'Datos - Temas'!$B$5:$B$1264,S$3,'Datos - Temas'!$L$5:$L$1264,$A82)</f>
        <v>0</v>
      </c>
      <c r="T82" s="36" cm="1">
        <f t="array" ref="T82">_xlfn.COUNTIFS('Datos - Temas'!$C$5:$C$1264,"Ciencias",'Datos - Temas'!$B$5:$B$1264,T$3,'Datos - Temas'!$K$5:$K$1264,$A82)+_xlfn.COUNTIFS('Datos - Temas'!$C$5:$C$1264,"Ciencias",'Datos - Temas'!$B$5:$B$1264,T$3,'Datos - Temas'!$L$5:$L$1264,$A82)</f>
        <v>0</v>
      </c>
      <c r="U82" s="36" cm="1">
        <f t="array" ref="U82">_xlfn.COUNTIFS('Datos - Temas'!$C$5:$C$1264,"Ciencias",'Datos - Temas'!$B$5:$B$1264,U$3,'Datos - Temas'!$K$5:$K$1264,$A82)+_xlfn.COUNTIFS('Datos - Temas'!$C$5:$C$1264,"Ciencias",'Datos - Temas'!$B$5:$B$1264,U$3,'Datos - Temas'!$L$5:$L$1264,$A82)</f>
        <v>0</v>
      </c>
      <c r="V82" s="36" cm="1">
        <f t="array" ref="V82">_xlfn.COUNTIFS('Datos - Temas'!$C$5:$C$1264,"Ciencias",'Datos - Temas'!$B$5:$B$1264,V$3,'Datos - Temas'!$K$5:$K$1264,$A82)+_xlfn.COUNTIFS('Datos - Temas'!$C$5:$C$1264,"Ciencias",'Datos - Temas'!$B$5:$B$1264,V$3,'Datos - Temas'!$L$5:$L$1264,$A82)</f>
        <v>1</v>
      </c>
      <c r="W82" s="36" cm="1">
        <f t="array" ref="W82">_xlfn.COUNTIFS('Datos - Objetivos de países'!$B$5:$B$510,"Uruguay",'Datos - Objetivos de países'!$F$5:$F$510,W$3,'Datos - Objetivos de países'!$J$5:$J$510,$A82)+_xlfn.COUNTIFS('Datos - Objetivos de países'!$B$5:$B$510,"Uruguay",'Datos - Objetivos de países'!$F$5:$F$510,W$3,'Datos - Objetivos de países'!$K$5:$K$510,$A82)</f>
        <v>0</v>
      </c>
      <c r="X82" s="36" cm="1">
        <f t="array" ref="X82">_xlfn.COUNTIFS('Datos - Objetivos de países'!$B$5:$B$510,"Uruguay",'Datos - Objetivos de países'!$F$5:$F$510,X$3,'Datos - Objetivos de países'!$J$5:$J$510,$A82)+_xlfn.COUNTIFS('Datos - Objetivos de países'!$B$5:$B$510,"Uruguay",'Datos - Objetivos de países'!$F$5:$F$510,X$3,'Datos - Objetivos de países'!$K$5:$K$510,$A82)</f>
        <v>0</v>
      </c>
      <c r="Y82" s="36" cm="1">
        <f t="array" ref="Y82">_xlfn.COUNTIFS('Datos - Objetivos de países'!$B$5:$B$510,"Uruguay",'Datos - Objetivos de países'!$F$5:$F$510,Y$3,'Datos - Objetivos de países'!$J$5:$J$510,$A82)+_xlfn.COUNTIFS('Datos - Objetivos de países'!$B$5:$B$510,"Uruguay",'Datos - Objetivos de países'!$F$5:$F$510,Y$3,'Datos - Objetivos de países'!$K$5:$K$510,$A82)</f>
        <v>0</v>
      </c>
      <c r="Z82" s="36" cm="1">
        <f t="array" ref="Z82">_xlfn.COUNTIFS('Datos - Objetivos de países'!$B$5:$B$510,"Uruguay",'Datos - Objetivos de países'!$F$5:$F$510,Z$3,'Datos - Objetivos de países'!$J$5:$J$510,$A82)+_xlfn.COUNTIFS('Datos - Objetivos de países'!$B$5:$B$510,"Uruguay",'Datos - Objetivos de países'!$F$5:$F$510,Z$3,'Datos - Objetivos de países'!$K$5:$K$510,$A82)</f>
        <v>0</v>
      </c>
      <c r="AA82" s="36" cm="1">
        <f t="array" ref="AA82">_xlfn.COUNTIFS('Datos - Objetivos de países'!$B$5:$B$510,"Uruguay",'Datos - Objetivos de países'!$F$5:$F$510,AA$3,'Datos - Objetivos de países'!$J$5:$J$510,$A82)+_xlfn.COUNTIFS('Datos - Objetivos de países'!$B$5:$B$510,"Uruguay",'Datos - Objetivos de países'!$F$5:$F$510,AA$3,'Datos - Objetivos de países'!$K$5:$K$510,$A82)</f>
        <v>1</v>
      </c>
      <c r="AB82" s="36" cm="1">
        <f t="array" ref="AB82">_xlfn.COUNTIFS('Datos - Objetivos de países'!$B$5:$B$510,"Uruguay",'Datos - Objetivos de países'!$F$5:$F$510,AB$3,'Datos - Objetivos de países'!$J$5:$J$510,$A82)+_xlfn.COUNTIFS('Datos - Objetivos de países'!$B$5:$B$510,"Uruguay",'Datos - Objetivos de países'!$F$5:$F$510,AB$3,'Datos - Objetivos de países'!$K$5:$K$510,$A82)</f>
        <v>0</v>
      </c>
      <c r="AC82" s="36" cm="1">
        <f t="array" ref="AC82">_xlfn.COUNTIFS('Datos - Objetivos de países'!$B$5:$B$510,"Uruguay",'Datos - Objetivos de países'!$F$5:$F$510,AC$3,'Datos - Objetivos de países'!$J$5:$J$510,$A82)+_xlfn.COUNTIFS('Datos - Objetivos de países'!$B$5:$B$510,"Uruguay",'Datos - Objetivos de países'!$F$5:$F$510,AC$3,'Datos - Objetivos de países'!$K$5:$K$510,$A82)</f>
        <v>0</v>
      </c>
      <c r="AD82" s="36" cm="1">
        <f t="array" ref="AD82">_xlfn.COUNTIFS('Datos - Objetivos de países'!$B$5:$B$510,"Uruguay",'Datos - Objetivos de países'!$F$5:$F$510,AD$3,'Datos - Objetivos de países'!$J$5:$J$510,$A82)+_xlfn.COUNTIFS('Datos - Objetivos de países'!$B$5:$B$510,"Uruguay",'Datos - Objetivos de países'!$F$5:$F$510,AD$3,'Datos - Objetivos de países'!$K$5:$K$510,$A82)</f>
        <v>0</v>
      </c>
      <c r="AE82" s="36" cm="1">
        <f t="array" ref="AE82">_xlfn.COUNTIFS('Datos - Objetivos de países'!$B$5:$B$510,"Uruguay",'Datos - Objetivos de países'!$F$5:$F$510,AE$3,'Datos - Objetivos de países'!$J$5:$J$510,$A82)+_xlfn.COUNTIFS('Datos - Objetivos de países'!$B$5:$B$510,"Uruguay",'Datos - Objetivos de países'!$F$5:$F$510,AE$3,'Datos - Objetivos de países'!$K$5:$K$510,$A82)</f>
        <v>0</v>
      </c>
      <c r="AF82" s="36" cm="1">
        <f t="array" ref="AF82">_xlfn.COUNTIFS('Datos - Objetivos de países'!$B$5:$B$510,"Colombia",'Datos - Objetivos de países'!$F$5:$F$510,AF$3,'Datos - Objetivos de países'!$J$5:$J$510,$A82)+_xlfn.COUNTIFS('Datos - Objetivos de países'!$B$5:$B$510,"Colombia",'Datos - Objetivos de países'!$F$5:$F$510,AF$3,'Datos - Objetivos de países'!$K$5:$K$510,$A82)</f>
        <v>0</v>
      </c>
      <c r="AG82" s="36" cm="1">
        <f t="array" ref="AG82">_xlfn.COUNTIFS('Datos - Objetivos de países'!$B$5:$B$510,"Colombia",'Datos - Objetivos de países'!$F$5:$F$510,AG$3,'Datos - Objetivos de países'!$J$5:$J$510,$A82)+_xlfn.COUNTIFS('Datos - Objetivos de países'!$B$5:$B$510,"Colombia",'Datos - Objetivos de países'!$F$5:$F$510,AG$3,'Datos - Objetivos de países'!$K$5:$K$510,$A82)</f>
        <v>0</v>
      </c>
      <c r="AH82" s="36" cm="1">
        <f t="array" ref="AH82">_xlfn.COUNTIFS('Datos - Objetivos de países'!$B$5:$B$510,"Colombia",'Datos - Objetivos de países'!$F$5:$F$510,AH$3,'Datos - Objetivos de países'!$J$5:$J$510,$A82)+_xlfn.COUNTIFS('Datos - Objetivos de países'!$B$5:$B$510,"Colombia",'Datos - Objetivos de países'!$F$5:$F$510,AH$3,'Datos - Objetivos de países'!$K$5:$K$510,$A82)</f>
        <v>0</v>
      </c>
      <c r="AI82" s="36" cm="1">
        <f t="array" ref="AI82">_xlfn.COUNTIFS('Datos - Objetivos de países'!$B$5:$B$510,"Colombia",'Datos - Objetivos de países'!$F$5:$F$510,AI$3,'Datos - Objetivos de países'!$J$5:$J$510,$A82)+_xlfn.COUNTIFS('Datos - Objetivos de países'!$B$5:$B$510,"Colombia",'Datos - Objetivos de países'!$F$5:$F$510,AI$3,'Datos - Objetivos de países'!$K$5:$K$510,$A82)</f>
        <v>0</v>
      </c>
      <c r="AJ82" s="36" cm="1">
        <f t="array" ref="AJ82">_xlfn.COUNTIFS('Datos - Objetivos de países'!$B$5:$B$510,"Colombia",'Datos - Objetivos de países'!$F$5:$F$510,AJ$3,'Datos - Objetivos de países'!$J$5:$J$510,$A82)+_xlfn.COUNTIFS('Datos - Objetivos de países'!$B$5:$B$510,"Colombia",'Datos - Objetivos de países'!$F$5:$F$510,AJ$3,'Datos - Objetivos de países'!$K$5:$K$510,$A82)</f>
        <v>0</v>
      </c>
      <c r="AK82" s="36" cm="1">
        <f t="array" ref="AK82">_xlfn.COUNTIFS('Datos - Objetivos de países'!$B$5:$B$510,"Colombia",'Datos - Objetivos de países'!$F$5:$F$510,AK$3,'Datos - Objetivos de países'!$J$5:$J$510,$A82)+_xlfn.COUNTIFS('Datos - Objetivos de países'!$B$5:$B$510,"Colombia",'Datos - Objetivos de países'!$F$5:$F$510,AK$3,'Datos - Objetivos de países'!$K$5:$K$510,$A82)</f>
        <v>0</v>
      </c>
      <c r="AL82" s="36" cm="1">
        <f t="array" ref="AL82">_xlfn.COUNTIFS('Datos - Objetivos de países'!$B$5:$B$510,"Colombia",'Datos - Objetivos de países'!$F$5:$F$510,AL$3,'Datos - Objetivos de países'!$J$5:$J$510,$A82)+_xlfn.COUNTIFS('Datos - Objetivos de países'!$B$5:$B$510,"Colombia",'Datos - Objetivos de países'!$F$5:$F$510,AL$3,'Datos - Objetivos de países'!$K$5:$K$510,$A82)</f>
        <v>0</v>
      </c>
      <c r="AM82" s="36" cm="1">
        <f t="array" ref="AM82">_xlfn.COUNTIFS('Datos - Objetivos de países'!$B$5:$B$510,"Colombia",'Datos - Objetivos de países'!$F$5:$F$510,AM$3,'Datos - Objetivos de países'!$J$5:$J$510,$A82)+_xlfn.COUNTIFS('Datos - Objetivos de países'!$B$5:$B$510,"Colombia",'Datos - Objetivos de países'!$F$5:$F$510,AM$3,'Datos - Objetivos de países'!$K$5:$K$510,$A82)</f>
        <v>0</v>
      </c>
      <c r="AN82" s="36" cm="1">
        <f t="array" ref="AN82">_xlfn.COUNTIFS('Datos - Objetivos de países'!$B$5:$B$510,"Colombia",'Datos - Objetivos de países'!$F$5:$F$510,AN$3,'Datos - Objetivos de países'!$J$5:$J$510,$A82)+_xlfn.COUNTIFS('Datos - Objetivos de países'!$B$5:$B$510,"Colombia",'Datos - Objetivos de países'!$F$5:$F$510,AN$3,'Datos - Objetivos de países'!$K$5:$K$510,$A82)</f>
        <v>0</v>
      </c>
      <c r="AO82" s="36" cm="1">
        <f t="array" ref="AO82">_xlfn.COUNTIFS('Datos - Objetivos de países'!$B$5:$B$510,"Singapur",'Datos - Objetivos de países'!$F$5:$F$510,AO$3,'Datos - Objetivos de países'!$J$5:$J$510,$A82)+_xlfn.COUNTIFS('Datos - Objetivos de países'!$B$5:$B$510,"Singapur",'Datos - Objetivos de países'!$F$5:$F$510,AO$3,'Datos - Objetivos de países'!$K$5:$K$510,$A82)</f>
        <v>0</v>
      </c>
      <c r="AP82" s="36" cm="1">
        <f t="array" ref="AP82">_xlfn.COUNTIFS('Datos - Objetivos de países'!$B$5:$B$510,"Singapur",'Datos - Objetivos de países'!$F$5:$F$510,AP$3,'Datos - Objetivos de países'!$J$5:$J$510,$A82)+_xlfn.COUNTIFS('Datos - Objetivos de países'!$B$5:$B$510,"Singapur",'Datos - Objetivos de países'!$F$5:$F$510,AP$3,'Datos - Objetivos de países'!$K$5:$K$510,$A82)</f>
        <v>0</v>
      </c>
      <c r="AQ82" s="36" cm="1">
        <f t="array" ref="AQ82">_xlfn.COUNTIFS('Datos - Objetivos de países'!$B$5:$B$510,"Singapur",'Datos - Objetivos de países'!$F$5:$F$510,AQ$3,'Datos - Objetivos de países'!$J$5:$J$510,$A82)+_xlfn.COUNTIFS('Datos - Objetivos de países'!$B$5:$B$510,"Singapur",'Datos - Objetivos de países'!$F$5:$F$510,AQ$3,'Datos - Objetivos de países'!$K$5:$K$510,$A82)</f>
        <v>0</v>
      </c>
      <c r="AR82" s="36" cm="1">
        <f t="array" ref="AR82">_xlfn.COUNTIFS('Datos - Objetivos de países'!$B$5:$B$510,"Singapur",'Datos - Objetivos de países'!$F$5:$F$510,AR$3,'Datos - Objetivos de países'!$J$5:$J$510,$A82)+_xlfn.COUNTIFS('Datos - Objetivos de países'!$B$5:$B$510,"Singapur",'Datos - Objetivos de países'!$F$5:$F$510,AR$3,'Datos - Objetivos de países'!$K$5:$K$510,$A82)</f>
        <v>0</v>
      </c>
      <c r="AS82" s="36" cm="1">
        <f t="array" ref="AS82">_xlfn.COUNTIFS('Datos - Objetivos de países'!$B$5:$B$510,"Singapur",'Datos - Objetivos de países'!$F$5:$F$510,AS$3,'Datos - Objetivos de países'!$J$5:$J$510,$A82)+_xlfn.COUNTIFS('Datos - Objetivos de países'!$B$5:$B$510,"Singapur",'Datos - Objetivos de países'!$F$5:$F$510,AS$3,'Datos - Objetivos de países'!$K$5:$K$510,$A82)</f>
        <v>0</v>
      </c>
      <c r="AT82" s="36" cm="1">
        <f t="array" ref="AT82">_xlfn.COUNTIFS('Datos - Objetivos de países'!$B$5:$B$510,"Singapur",'Datos - Objetivos de países'!$F$5:$F$510,AT$3,'Datos - Objetivos de países'!$J$5:$J$510,$A82)+_xlfn.COUNTIFS('Datos - Objetivos de países'!$B$5:$B$510,"Singapur",'Datos - Objetivos de países'!$F$5:$F$510,AT$3,'Datos - Objetivos de países'!$K$5:$K$510,$A82)</f>
        <v>0</v>
      </c>
      <c r="AU82" s="36" cm="1">
        <f t="array" ref="AU82">_xlfn.COUNTIFS('Datos - Objetivos de países'!$B$5:$B$510,"Singapur",'Datos - Objetivos de países'!$F$5:$F$510,AU$3,'Datos - Objetivos de países'!$J$5:$J$510,$A82)+_xlfn.COUNTIFS('Datos - Objetivos de países'!$B$5:$B$510,"Singapur",'Datos - Objetivos de países'!$F$5:$F$510,AU$3,'Datos - Objetivos de países'!$K$5:$K$510,$A82)</f>
        <v>0</v>
      </c>
      <c r="AV82" s="36" cm="1">
        <f t="array" ref="AV82">_xlfn.COUNTIFS('Datos - Objetivos de países'!$B$5:$B$510,"Singapur",'Datos - Objetivos de países'!$F$5:$F$510,AV$3,'Datos - Objetivos de países'!$J$5:$J$510,$A82)+_xlfn.COUNTIFS('Datos - Objetivos de países'!$B$5:$B$510,"Singapur",'Datos - Objetivos de países'!$F$5:$F$510,AV$3,'Datos - Objetivos de países'!$K$5:$K$510,$A82)</f>
        <v>0</v>
      </c>
      <c r="AW82" s="36" cm="1">
        <f t="array" ref="AW82">_xlfn.COUNTIFS('Datos - Objetivos de países'!$B$5:$B$510,"Singapur",'Datos - Objetivos de países'!$F$5:$F$510,AW$3,'Datos - Objetivos de países'!$J$5:$J$510,$A82)+_xlfn.COUNTIFS('Datos - Objetivos de países'!$B$5:$B$510,"Singapur",'Datos - Objetivos de países'!$F$5:$F$510,AW$3,'Datos - Objetivos de países'!$K$5:$K$510,$A82)</f>
        <v>0</v>
      </c>
    </row>
    <row r="83" ht="13.65" customHeight="1">
      <c r="A83" t="s" s="78">
        <v>507</v>
      </c>
      <c r="B83" t="s" s="78">
        <v>1164</v>
      </c>
      <c r="C83" t="s" s="78">
        <v>216</v>
      </c>
      <c r="D83" t="s" s="78">
        <v>1295</v>
      </c>
      <c r="E83" s="80" cm="1">
        <f t="array" ref="E83">_xlfn.IFERROR(MAX($L$3,INDEX($N$3:$V$3,MATCH(TRUE,INDEX(N83:V83&gt;0,0),0))),"—")</f>
        <v>5</v>
      </c>
      <c r="F83" s="80" cm="1">
        <f t="array" ref="F83">_xlfn.IFERROR(MAX($L$3,INDEX($W$3:$AE$3,MATCH(TRUE,INDEX(W83:AE83&gt;0,0),0))),"—")</f>
        <v>5</v>
      </c>
      <c r="G83" s="80" cm="1">
        <f t="array" ref="G83">_xlfn.IFERROR(MAX($L$3,INDEX($AF$3:$AN$3,MATCH(TRUE,INDEX(AF83:AN83&gt;0,0),0))),"—")</f>
        <v>6</v>
      </c>
      <c r="H83" s="80" cm="1">
        <f t="array" ref="H83">_xlfn.IFERROR(MAX($L$3,INDEX($AO$3:$AW$3,MATCH(TRUE,INDEX(AO83:AW83&gt;0,0),0))),"—")</f>
        <v>6</v>
      </c>
      <c r="I83" s="111" cm="1">
        <f t="array" ref="I83">IF(L83=0,"—",MEDIAN(F83:H83))</f>
        <v>6</v>
      </c>
      <c r="J83" s="111" cm="1">
        <f t="array" ref="J83">IF(OR(E83="—",I83="—"),"—",E83-I83)</f>
        <v>-1</v>
      </c>
      <c r="K83" t="str" s="49" cm="1">
        <f t="array" ref="K83">IF(E83="—",IF(L83=0,"Nadie lo trabaja","El Salvador no llega"),IF(L83=0,"Solo El Salvador",IF(J83&gt;0,"El Salvador llega más tarde",IF(J83&lt;0,"El Salvador va adelantado","Mismo grado"))))</f>
        <v>El Salvador va adelantado</v>
      </c>
      <c r="L83" s="80" cm="1">
        <f t="array" ref="L83">COUNT(F83:H83)</f>
        <v>3</v>
      </c>
      <c r="M83" s="110"/>
      <c r="N83" s="36" cm="1">
        <f t="array" ref="N83">_xlfn.COUNTIFS('Datos - Temas'!$C$5:$C$1264,"Ciencias",'Datos - Temas'!$B$5:$B$1264,N$3,'Datos - Temas'!$K$5:$K$1264,$A83)+_xlfn.COUNTIFS('Datos - Temas'!$C$5:$C$1264,"Ciencias",'Datos - Temas'!$B$5:$B$1264,N$3,'Datos - Temas'!$L$5:$L$1264,$A83)</f>
        <v>0</v>
      </c>
      <c r="O83" s="36" cm="1">
        <f t="array" ref="O83">_xlfn.COUNTIFS('Datos - Temas'!$C$5:$C$1264,"Ciencias",'Datos - Temas'!$B$5:$B$1264,O$3,'Datos - Temas'!$K$5:$K$1264,$A83)+_xlfn.COUNTIFS('Datos - Temas'!$C$5:$C$1264,"Ciencias",'Datos - Temas'!$B$5:$B$1264,O$3,'Datos - Temas'!$L$5:$L$1264,$A83)</f>
        <v>0</v>
      </c>
      <c r="P83" s="36" cm="1">
        <f t="array" ref="P83">_xlfn.COUNTIFS('Datos - Temas'!$C$5:$C$1264,"Ciencias",'Datos - Temas'!$B$5:$B$1264,P$3,'Datos - Temas'!$K$5:$K$1264,$A83)+_xlfn.COUNTIFS('Datos - Temas'!$C$5:$C$1264,"Ciencias",'Datos - Temas'!$B$5:$B$1264,P$3,'Datos - Temas'!$L$5:$L$1264,$A83)</f>
        <v>0</v>
      </c>
      <c r="Q83" s="36" cm="1">
        <f t="array" ref="Q83">_xlfn.COUNTIFS('Datos - Temas'!$C$5:$C$1264,"Ciencias",'Datos - Temas'!$B$5:$B$1264,Q$3,'Datos - Temas'!$K$5:$K$1264,$A83)+_xlfn.COUNTIFS('Datos - Temas'!$C$5:$C$1264,"Ciencias",'Datos - Temas'!$B$5:$B$1264,Q$3,'Datos - Temas'!$L$5:$L$1264,$A83)</f>
        <v>0</v>
      </c>
      <c r="R83" s="36" cm="1">
        <f t="array" ref="R83">_xlfn.COUNTIFS('Datos - Temas'!$C$5:$C$1264,"Ciencias",'Datos - Temas'!$B$5:$B$1264,R$3,'Datos - Temas'!$K$5:$K$1264,$A83)+_xlfn.COUNTIFS('Datos - Temas'!$C$5:$C$1264,"Ciencias",'Datos - Temas'!$B$5:$B$1264,R$3,'Datos - Temas'!$L$5:$L$1264,$A83)</f>
        <v>2</v>
      </c>
      <c r="S83" s="36" cm="1">
        <f t="array" ref="S83">_xlfn.COUNTIFS('Datos - Temas'!$C$5:$C$1264,"Ciencias",'Datos - Temas'!$B$5:$B$1264,S$3,'Datos - Temas'!$K$5:$K$1264,$A83)+_xlfn.COUNTIFS('Datos - Temas'!$C$5:$C$1264,"Ciencias",'Datos - Temas'!$B$5:$B$1264,S$3,'Datos - Temas'!$L$5:$L$1264,$A83)</f>
        <v>0</v>
      </c>
      <c r="T83" s="36" cm="1">
        <f t="array" ref="T83">_xlfn.COUNTIFS('Datos - Temas'!$C$5:$C$1264,"Ciencias",'Datos - Temas'!$B$5:$B$1264,T$3,'Datos - Temas'!$K$5:$K$1264,$A83)+_xlfn.COUNTIFS('Datos - Temas'!$C$5:$C$1264,"Ciencias",'Datos - Temas'!$B$5:$B$1264,T$3,'Datos - Temas'!$L$5:$L$1264,$A83)</f>
        <v>0</v>
      </c>
      <c r="U83" s="36" cm="1">
        <f t="array" ref="U83">_xlfn.COUNTIFS('Datos - Temas'!$C$5:$C$1264,"Ciencias",'Datos - Temas'!$B$5:$B$1264,U$3,'Datos - Temas'!$K$5:$K$1264,$A83)+_xlfn.COUNTIFS('Datos - Temas'!$C$5:$C$1264,"Ciencias",'Datos - Temas'!$B$5:$B$1264,U$3,'Datos - Temas'!$L$5:$L$1264,$A83)</f>
        <v>0</v>
      </c>
      <c r="V83" s="36" cm="1">
        <f t="array" ref="V83">_xlfn.COUNTIFS('Datos - Temas'!$C$5:$C$1264,"Ciencias",'Datos - Temas'!$B$5:$B$1264,V$3,'Datos - Temas'!$K$5:$K$1264,$A83)+_xlfn.COUNTIFS('Datos - Temas'!$C$5:$C$1264,"Ciencias",'Datos - Temas'!$B$5:$B$1264,V$3,'Datos - Temas'!$L$5:$L$1264,$A83)</f>
        <v>1</v>
      </c>
      <c r="W83" s="36" cm="1">
        <f t="array" ref="W83">_xlfn.COUNTIFS('Datos - Objetivos de países'!$B$5:$B$510,"Uruguay",'Datos - Objetivos de países'!$F$5:$F$510,W$3,'Datos - Objetivos de países'!$J$5:$J$510,$A83)+_xlfn.COUNTIFS('Datos - Objetivos de países'!$B$5:$B$510,"Uruguay",'Datos - Objetivos de países'!$F$5:$F$510,W$3,'Datos - Objetivos de países'!$K$5:$K$510,$A83)</f>
        <v>0</v>
      </c>
      <c r="X83" s="36" cm="1">
        <f t="array" ref="X83">_xlfn.COUNTIFS('Datos - Objetivos de países'!$B$5:$B$510,"Uruguay",'Datos - Objetivos de países'!$F$5:$F$510,X$3,'Datos - Objetivos de países'!$J$5:$J$510,$A83)+_xlfn.COUNTIFS('Datos - Objetivos de países'!$B$5:$B$510,"Uruguay",'Datos - Objetivos de países'!$F$5:$F$510,X$3,'Datos - Objetivos de países'!$K$5:$K$510,$A83)</f>
        <v>0</v>
      </c>
      <c r="Y83" s="36" cm="1">
        <f t="array" ref="Y83">_xlfn.COUNTIFS('Datos - Objetivos de países'!$B$5:$B$510,"Uruguay",'Datos - Objetivos de países'!$F$5:$F$510,Y$3,'Datos - Objetivos de países'!$J$5:$J$510,$A83)+_xlfn.COUNTIFS('Datos - Objetivos de países'!$B$5:$B$510,"Uruguay",'Datos - Objetivos de países'!$F$5:$F$510,Y$3,'Datos - Objetivos de países'!$K$5:$K$510,$A83)</f>
        <v>0</v>
      </c>
      <c r="Z83" s="36" cm="1">
        <f t="array" ref="Z83">_xlfn.COUNTIFS('Datos - Objetivos de países'!$B$5:$B$510,"Uruguay",'Datos - Objetivos de países'!$F$5:$F$510,Z$3,'Datos - Objetivos de países'!$J$5:$J$510,$A83)+_xlfn.COUNTIFS('Datos - Objetivos de países'!$B$5:$B$510,"Uruguay",'Datos - Objetivos de países'!$F$5:$F$510,Z$3,'Datos - Objetivos de países'!$K$5:$K$510,$A83)</f>
        <v>0</v>
      </c>
      <c r="AA83" s="36" cm="1">
        <f t="array" ref="AA83">_xlfn.COUNTIFS('Datos - Objetivos de países'!$B$5:$B$510,"Uruguay",'Datos - Objetivos de países'!$F$5:$F$510,AA$3,'Datos - Objetivos de países'!$J$5:$J$510,$A83)+_xlfn.COUNTIFS('Datos - Objetivos de países'!$B$5:$B$510,"Uruguay",'Datos - Objetivos de países'!$F$5:$F$510,AA$3,'Datos - Objetivos de países'!$K$5:$K$510,$A83)</f>
        <v>2</v>
      </c>
      <c r="AB83" s="36" cm="1">
        <f t="array" ref="AB83">_xlfn.COUNTIFS('Datos - Objetivos de países'!$B$5:$B$510,"Uruguay",'Datos - Objetivos de países'!$F$5:$F$510,AB$3,'Datos - Objetivos de países'!$J$5:$J$510,$A83)+_xlfn.COUNTIFS('Datos - Objetivos de países'!$B$5:$B$510,"Uruguay",'Datos - Objetivos de países'!$F$5:$F$510,AB$3,'Datos - Objetivos de países'!$K$5:$K$510,$A83)</f>
        <v>1</v>
      </c>
      <c r="AC83" s="36" cm="1">
        <f t="array" ref="AC83">_xlfn.COUNTIFS('Datos - Objetivos de países'!$B$5:$B$510,"Uruguay",'Datos - Objetivos de países'!$F$5:$F$510,AC$3,'Datos - Objetivos de países'!$J$5:$J$510,$A83)+_xlfn.COUNTIFS('Datos - Objetivos de países'!$B$5:$B$510,"Uruguay",'Datos - Objetivos de países'!$F$5:$F$510,AC$3,'Datos - Objetivos de países'!$K$5:$K$510,$A83)</f>
        <v>0</v>
      </c>
      <c r="AD83" s="36" cm="1">
        <f t="array" ref="AD83">_xlfn.COUNTIFS('Datos - Objetivos de países'!$B$5:$B$510,"Uruguay",'Datos - Objetivos de países'!$F$5:$F$510,AD$3,'Datos - Objetivos de países'!$J$5:$J$510,$A83)+_xlfn.COUNTIFS('Datos - Objetivos de países'!$B$5:$B$510,"Uruguay",'Datos - Objetivos de países'!$F$5:$F$510,AD$3,'Datos - Objetivos de países'!$K$5:$K$510,$A83)</f>
        <v>0</v>
      </c>
      <c r="AE83" s="36" cm="1">
        <f t="array" ref="AE83">_xlfn.COUNTIFS('Datos - Objetivos de países'!$B$5:$B$510,"Uruguay",'Datos - Objetivos de países'!$F$5:$F$510,AE$3,'Datos - Objetivos de países'!$J$5:$J$510,$A83)+_xlfn.COUNTIFS('Datos - Objetivos de países'!$B$5:$B$510,"Uruguay",'Datos - Objetivos de países'!$F$5:$F$510,AE$3,'Datos - Objetivos de países'!$K$5:$K$510,$A83)</f>
        <v>0</v>
      </c>
      <c r="AF83" s="36" cm="1">
        <f t="array" ref="AF83">_xlfn.COUNTIFS('Datos - Objetivos de países'!$B$5:$B$510,"Colombia",'Datos - Objetivos de países'!$F$5:$F$510,AF$3,'Datos - Objetivos de países'!$J$5:$J$510,$A83)+_xlfn.COUNTIFS('Datos - Objetivos de países'!$B$5:$B$510,"Colombia",'Datos - Objetivos de países'!$F$5:$F$510,AF$3,'Datos - Objetivos de países'!$K$5:$K$510,$A83)</f>
        <v>0</v>
      </c>
      <c r="AG83" s="36" cm="1">
        <f t="array" ref="AG83">_xlfn.COUNTIFS('Datos - Objetivos de países'!$B$5:$B$510,"Colombia",'Datos - Objetivos de países'!$F$5:$F$510,AG$3,'Datos - Objetivos de países'!$J$5:$J$510,$A83)+_xlfn.COUNTIFS('Datos - Objetivos de países'!$B$5:$B$510,"Colombia",'Datos - Objetivos de países'!$F$5:$F$510,AG$3,'Datos - Objetivos de países'!$K$5:$K$510,$A83)</f>
        <v>0</v>
      </c>
      <c r="AH83" s="36" cm="1">
        <f t="array" ref="AH83">_xlfn.COUNTIFS('Datos - Objetivos de países'!$B$5:$B$510,"Colombia",'Datos - Objetivos de países'!$F$5:$F$510,AH$3,'Datos - Objetivos de países'!$J$5:$J$510,$A83)+_xlfn.COUNTIFS('Datos - Objetivos de países'!$B$5:$B$510,"Colombia",'Datos - Objetivos de países'!$F$5:$F$510,AH$3,'Datos - Objetivos de países'!$K$5:$K$510,$A83)</f>
        <v>0</v>
      </c>
      <c r="AI83" s="36" cm="1">
        <f t="array" ref="AI83">_xlfn.COUNTIFS('Datos - Objetivos de países'!$B$5:$B$510,"Colombia",'Datos - Objetivos de países'!$F$5:$F$510,AI$3,'Datos - Objetivos de países'!$J$5:$J$510,$A83)+_xlfn.COUNTIFS('Datos - Objetivos de países'!$B$5:$B$510,"Colombia",'Datos - Objetivos de países'!$F$5:$F$510,AI$3,'Datos - Objetivos de países'!$K$5:$K$510,$A83)</f>
        <v>0</v>
      </c>
      <c r="AJ83" s="36" cm="1">
        <f t="array" ref="AJ83">_xlfn.COUNTIFS('Datos - Objetivos de países'!$B$5:$B$510,"Colombia",'Datos - Objetivos de países'!$F$5:$F$510,AJ$3,'Datos - Objetivos de países'!$J$5:$J$510,$A83)+_xlfn.COUNTIFS('Datos - Objetivos de países'!$B$5:$B$510,"Colombia",'Datos - Objetivos de países'!$F$5:$F$510,AJ$3,'Datos - Objetivos de países'!$K$5:$K$510,$A83)</f>
        <v>0</v>
      </c>
      <c r="AK83" s="36" cm="1">
        <f t="array" ref="AK83">_xlfn.COUNTIFS('Datos - Objetivos de países'!$B$5:$B$510,"Colombia",'Datos - Objetivos de países'!$F$5:$F$510,AK$3,'Datos - Objetivos de países'!$J$5:$J$510,$A83)+_xlfn.COUNTIFS('Datos - Objetivos de países'!$B$5:$B$510,"Colombia",'Datos - Objetivos de países'!$F$5:$F$510,AK$3,'Datos - Objetivos de países'!$K$5:$K$510,$A83)</f>
        <v>3</v>
      </c>
      <c r="AL83" s="36" cm="1">
        <f t="array" ref="AL83">_xlfn.COUNTIFS('Datos - Objetivos de países'!$B$5:$B$510,"Colombia",'Datos - Objetivos de países'!$F$5:$F$510,AL$3,'Datos - Objetivos de países'!$J$5:$J$510,$A83)+_xlfn.COUNTIFS('Datos - Objetivos de países'!$B$5:$B$510,"Colombia",'Datos - Objetivos de países'!$F$5:$F$510,AL$3,'Datos - Objetivos de países'!$K$5:$K$510,$A83)</f>
        <v>0</v>
      </c>
      <c r="AM83" s="36" cm="1">
        <f t="array" ref="AM83">_xlfn.COUNTIFS('Datos - Objetivos de países'!$B$5:$B$510,"Colombia",'Datos - Objetivos de países'!$F$5:$F$510,AM$3,'Datos - Objetivos de países'!$J$5:$J$510,$A83)+_xlfn.COUNTIFS('Datos - Objetivos de países'!$B$5:$B$510,"Colombia",'Datos - Objetivos de países'!$F$5:$F$510,AM$3,'Datos - Objetivos de países'!$K$5:$K$510,$A83)</f>
        <v>0</v>
      </c>
      <c r="AN83" s="36" cm="1">
        <f t="array" ref="AN83">_xlfn.COUNTIFS('Datos - Objetivos de países'!$B$5:$B$510,"Colombia",'Datos - Objetivos de países'!$F$5:$F$510,AN$3,'Datos - Objetivos de países'!$J$5:$J$510,$A83)+_xlfn.COUNTIFS('Datos - Objetivos de países'!$B$5:$B$510,"Colombia",'Datos - Objetivos de países'!$F$5:$F$510,AN$3,'Datos - Objetivos de países'!$K$5:$K$510,$A83)</f>
        <v>0</v>
      </c>
      <c r="AO83" s="36" cm="1">
        <f t="array" ref="AO83">_xlfn.COUNTIFS('Datos - Objetivos de países'!$B$5:$B$510,"Singapur",'Datos - Objetivos de países'!$F$5:$F$510,AO$3,'Datos - Objetivos de países'!$J$5:$J$510,$A83)+_xlfn.COUNTIFS('Datos - Objetivos de países'!$B$5:$B$510,"Singapur",'Datos - Objetivos de países'!$F$5:$F$510,AO$3,'Datos - Objetivos de países'!$K$5:$K$510,$A83)</f>
        <v>0</v>
      </c>
      <c r="AP83" s="36" cm="1">
        <f t="array" ref="AP83">_xlfn.COUNTIFS('Datos - Objetivos de países'!$B$5:$B$510,"Singapur",'Datos - Objetivos de países'!$F$5:$F$510,AP$3,'Datos - Objetivos de países'!$J$5:$J$510,$A83)+_xlfn.COUNTIFS('Datos - Objetivos de países'!$B$5:$B$510,"Singapur",'Datos - Objetivos de países'!$F$5:$F$510,AP$3,'Datos - Objetivos de países'!$K$5:$K$510,$A83)</f>
        <v>0</v>
      </c>
      <c r="AQ83" s="36" cm="1">
        <f t="array" ref="AQ83">_xlfn.COUNTIFS('Datos - Objetivos de países'!$B$5:$B$510,"Singapur",'Datos - Objetivos de países'!$F$5:$F$510,AQ$3,'Datos - Objetivos de países'!$J$5:$J$510,$A83)+_xlfn.COUNTIFS('Datos - Objetivos de países'!$B$5:$B$510,"Singapur",'Datos - Objetivos de países'!$F$5:$F$510,AQ$3,'Datos - Objetivos de países'!$K$5:$K$510,$A83)</f>
        <v>0</v>
      </c>
      <c r="AR83" s="36" cm="1">
        <f t="array" ref="AR83">_xlfn.COUNTIFS('Datos - Objetivos de países'!$B$5:$B$510,"Singapur",'Datos - Objetivos de países'!$F$5:$F$510,AR$3,'Datos - Objetivos de países'!$J$5:$J$510,$A83)+_xlfn.COUNTIFS('Datos - Objetivos de países'!$B$5:$B$510,"Singapur",'Datos - Objetivos de países'!$F$5:$F$510,AR$3,'Datos - Objetivos de países'!$K$5:$K$510,$A83)</f>
        <v>0</v>
      </c>
      <c r="AS83" s="36" cm="1">
        <f t="array" ref="AS83">_xlfn.COUNTIFS('Datos - Objetivos de países'!$B$5:$B$510,"Singapur",'Datos - Objetivos de países'!$F$5:$F$510,AS$3,'Datos - Objetivos de países'!$J$5:$J$510,$A83)+_xlfn.COUNTIFS('Datos - Objetivos de países'!$B$5:$B$510,"Singapur",'Datos - Objetivos de países'!$F$5:$F$510,AS$3,'Datos - Objetivos de países'!$K$5:$K$510,$A83)</f>
        <v>0</v>
      </c>
      <c r="AT83" s="36" cm="1">
        <f t="array" ref="AT83">_xlfn.COUNTIFS('Datos - Objetivos de países'!$B$5:$B$510,"Singapur",'Datos - Objetivos de países'!$F$5:$F$510,AT$3,'Datos - Objetivos de países'!$J$5:$J$510,$A83)+_xlfn.COUNTIFS('Datos - Objetivos de países'!$B$5:$B$510,"Singapur",'Datos - Objetivos de países'!$F$5:$F$510,AT$3,'Datos - Objetivos de países'!$K$5:$K$510,$A83)</f>
        <v>1</v>
      </c>
      <c r="AU83" s="36" cm="1">
        <f t="array" ref="AU83">_xlfn.COUNTIFS('Datos - Objetivos de países'!$B$5:$B$510,"Singapur",'Datos - Objetivos de países'!$F$5:$F$510,AU$3,'Datos - Objetivos de países'!$J$5:$J$510,$A83)+_xlfn.COUNTIFS('Datos - Objetivos de países'!$B$5:$B$510,"Singapur",'Datos - Objetivos de países'!$F$5:$F$510,AU$3,'Datos - Objetivos de países'!$K$5:$K$510,$A83)</f>
        <v>0</v>
      </c>
      <c r="AV83" s="36" cm="1">
        <f t="array" ref="AV83">_xlfn.COUNTIFS('Datos - Objetivos de países'!$B$5:$B$510,"Singapur",'Datos - Objetivos de países'!$F$5:$F$510,AV$3,'Datos - Objetivos de países'!$J$5:$J$510,$A83)+_xlfn.COUNTIFS('Datos - Objetivos de países'!$B$5:$B$510,"Singapur",'Datos - Objetivos de países'!$F$5:$F$510,AV$3,'Datos - Objetivos de países'!$K$5:$K$510,$A83)</f>
        <v>0</v>
      </c>
      <c r="AW83" s="36" cm="1">
        <f t="array" ref="AW83">_xlfn.COUNTIFS('Datos - Objetivos de países'!$B$5:$B$510,"Singapur",'Datos - Objetivos de países'!$F$5:$F$510,AW$3,'Datos - Objetivos de países'!$J$5:$J$510,$A83)+_xlfn.COUNTIFS('Datos - Objetivos de países'!$B$5:$B$510,"Singapur",'Datos - Objetivos de países'!$F$5:$F$510,AW$3,'Datos - Objetivos de países'!$K$5:$K$510,$A83)</f>
        <v>0</v>
      </c>
    </row>
    <row r="84" ht="13.65" customHeight="1">
      <c r="A84" t="s" s="78">
        <v>1297</v>
      </c>
      <c r="B84" t="s" s="78">
        <v>1164</v>
      </c>
      <c r="C84" t="s" s="78">
        <v>216</v>
      </c>
      <c r="D84" t="s" s="78">
        <v>1298</v>
      </c>
      <c r="E84" s="80" cm="1">
        <f t="array" ref="E84">_xlfn.IFERROR(MAX($L$3,INDEX($N$3:$V$3,MATCH(TRUE,INDEX(N84:V84&gt;0,0),0))),"—")</f>
        <v>9</v>
      </c>
      <c r="F84" t="str" s="79" cm="1">
        <f t="array" ref="F84">_xlfn.IFERROR(MAX($L$3,INDEX($W$3:$AE$3,MATCH(TRUE,INDEX(W84:AE84&gt;0,0),0))),"—")</f>
        <v>—</v>
      </c>
      <c r="G84" s="80" cm="1">
        <f t="array" ref="G84">_xlfn.IFERROR(MAX($L$3,INDEX($AF$3:$AN$3,MATCH(TRUE,INDEX(AF84:AN84&gt;0,0),0))),"—")</f>
        <v>6</v>
      </c>
      <c r="H84" t="str" s="79" cm="1">
        <f t="array" ref="H84">_xlfn.IFERROR(MAX($L$3,INDEX($AO$3:$AW$3,MATCH(TRUE,INDEX(AO84:AW84&gt;0,0),0))),"—")</f>
        <v>—</v>
      </c>
      <c r="I84" s="111" cm="1">
        <f t="array" ref="I84">IF(L84=0,"—",MEDIAN(F84:H84))</f>
        <v>6</v>
      </c>
      <c r="J84" s="111" cm="1">
        <f t="array" ref="J84">IF(OR(E84="—",I84="—"),"—",E84-I84)</f>
        <v>3</v>
      </c>
      <c r="K84" t="str" s="49" cm="1">
        <f t="array" ref="K84">IF(E84="—",IF(L84=0,"Nadie lo trabaja","El Salvador no llega"),IF(L84=0,"Solo El Salvador",IF(J84&gt;0,"El Salvador llega más tarde",IF(J84&lt;0,"El Salvador va adelantado","Mismo grado"))))</f>
        <v>El Salvador llega más tarde</v>
      </c>
      <c r="L84" s="80" cm="1">
        <f t="array" ref="L84">COUNT(F84:H84)</f>
        <v>1</v>
      </c>
      <c r="M84" s="110"/>
      <c r="N84" s="36" cm="1">
        <f t="array" ref="N84">_xlfn.COUNTIFS('Datos - Temas'!$C$5:$C$1264,"Ciencias",'Datos - Temas'!$B$5:$B$1264,N$3,'Datos - Temas'!$K$5:$K$1264,$A84)+_xlfn.COUNTIFS('Datos - Temas'!$C$5:$C$1264,"Ciencias",'Datos - Temas'!$B$5:$B$1264,N$3,'Datos - Temas'!$L$5:$L$1264,$A84)</f>
        <v>0</v>
      </c>
      <c r="O84" s="36" cm="1">
        <f t="array" ref="O84">_xlfn.COUNTIFS('Datos - Temas'!$C$5:$C$1264,"Ciencias",'Datos - Temas'!$B$5:$B$1264,O$3,'Datos - Temas'!$K$5:$K$1264,$A84)+_xlfn.COUNTIFS('Datos - Temas'!$C$5:$C$1264,"Ciencias",'Datos - Temas'!$B$5:$B$1264,O$3,'Datos - Temas'!$L$5:$L$1264,$A84)</f>
        <v>0</v>
      </c>
      <c r="P84" s="36" cm="1">
        <f t="array" ref="P84">_xlfn.COUNTIFS('Datos - Temas'!$C$5:$C$1264,"Ciencias",'Datos - Temas'!$B$5:$B$1264,P$3,'Datos - Temas'!$K$5:$K$1264,$A84)+_xlfn.COUNTIFS('Datos - Temas'!$C$5:$C$1264,"Ciencias",'Datos - Temas'!$B$5:$B$1264,P$3,'Datos - Temas'!$L$5:$L$1264,$A84)</f>
        <v>0</v>
      </c>
      <c r="Q84" s="36" cm="1">
        <f t="array" ref="Q84">_xlfn.COUNTIFS('Datos - Temas'!$C$5:$C$1264,"Ciencias",'Datos - Temas'!$B$5:$B$1264,Q$3,'Datos - Temas'!$K$5:$K$1264,$A84)+_xlfn.COUNTIFS('Datos - Temas'!$C$5:$C$1264,"Ciencias",'Datos - Temas'!$B$5:$B$1264,Q$3,'Datos - Temas'!$L$5:$L$1264,$A84)</f>
        <v>0</v>
      </c>
      <c r="R84" s="36" cm="1">
        <f t="array" ref="R84">_xlfn.COUNTIFS('Datos - Temas'!$C$5:$C$1264,"Ciencias",'Datos - Temas'!$B$5:$B$1264,R$3,'Datos - Temas'!$K$5:$K$1264,$A84)+_xlfn.COUNTIFS('Datos - Temas'!$C$5:$C$1264,"Ciencias",'Datos - Temas'!$B$5:$B$1264,R$3,'Datos - Temas'!$L$5:$L$1264,$A84)</f>
        <v>0</v>
      </c>
      <c r="S84" s="36" cm="1">
        <f t="array" ref="S84">_xlfn.COUNTIFS('Datos - Temas'!$C$5:$C$1264,"Ciencias",'Datos - Temas'!$B$5:$B$1264,S$3,'Datos - Temas'!$K$5:$K$1264,$A84)+_xlfn.COUNTIFS('Datos - Temas'!$C$5:$C$1264,"Ciencias",'Datos - Temas'!$B$5:$B$1264,S$3,'Datos - Temas'!$L$5:$L$1264,$A84)</f>
        <v>0</v>
      </c>
      <c r="T84" s="36" cm="1">
        <f t="array" ref="T84">_xlfn.COUNTIFS('Datos - Temas'!$C$5:$C$1264,"Ciencias",'Datos - Temas'!$B$5:$B$1264,T$3,'Datos - Temas'!$K$5:$K$1264,$A84)+_xlfn.COUNTIFS('Datos - Temas'!$C$5:$C$1264,"Ciencias",'Datos - Temas'!$B$5:$B$1264,T$3,'Datos - Temas'!$L$5:$L$1264,$A84)</f>
        <v>0</v>
      </c>
      <c r="U84" s="36" cm="1">
        <f t="array" ref="U84">_xlfn.COUNTIFS('Datos - Temas'!$C$5:$C$1264,"Ciencias",'Datos - Temas'!$B$5:$B$1264,U$3,'Datos - Temas'!$K$5:$K$1264,$A84)+_xlfn.COUNTIFS('Datos - Temas'!$C$5:$C$1264,"Ciencias",'Datos - Temas'!$B$5:$B$1264,U$3,'Datos - Temas'!$L$5:$L$1264,$A84)</f>
        <v>0</v>
      </c>
      <c r="V84" s="36" cm="1">
        <f t="array" ref="V84">_xlfn.COUNTIFS('Datos - Temas'!$C$5:$C$1264,"Ciencias",'Datos - Temas'!$B$5:$B$1264,V$3,'Datos - Temas'!$K$5:$K$1264,$A84)+_xlfn.COUNTIFS('Datos - Temas'!$C$5:$C$1264,"Ciencias",'Datos - Temas'!$B$5:$B$1264,V$3,'Datos - Temas'!$L$5:$L$1264,$A84)</f>
        <v>1</v>
      </c>
      <c r="W84" s="36" cm="1">
        <f t="array" ref="W84">_xlfn.COUNTIFS('Datos - Objetivos de países'!$B$5:$B$510,"Uruguay",'Datos - Objetivos de países'!$F$5:$F$510,W$3,'Datos - Objetivos de países'!$J$5:$J$510,$A84)+_xlfn.COUNTIFS('Datos - Objetivos de países'!$B$5:$B$510,"Uruguay",'Datos - Objetivos de países'!$F$5:$F$510,W$3,'Datos - Objetivos de países'!$K$5:$K$510,$A84)</f>
        <v>0</v>
      </c>
      <c r="X84" s="36" cm="1">
        <f t="array" ref="X84">_xlfn.COUNTIFS('Datos - Objetivos de países'!$B$5:$B$510,"Uruguay",'Datos - Objetivos de países'!$F$5:$F$510,X$3,'Datos - Objetivos de países'!$J$5:$J$510,$A84)+_xlfn.COUNTIFS('Datos - Objetivos de países'!$B$5:$B$510,"Uruguay",'Datos - Objetivos de países'!$F$5:$F$510,X$3,'Datos - Objetivos de países'!$K$5:$K$510,$A84)</f>
        <v>0</v>
      </c>
      <c r="Y84" s="36" cm="1">
        <f t="array" ref="Y84">_xlfn.COUNTIFS('Datos - Objetivos de países'!$B$5:$B$510,"Uruguay",'Datos - Objetivos de países'!$F$5:$F$510,Y$3,'Datos - Objetivos de países'!$J$5:$J$510,$A84)+_xlfn.COUNTIFS('Datos - Objetivos de países'!$B$5:$B$510,"Uruguay",'Datos - Objetivos de países'!$F$5:$F$510,Y$3,'Datos - Objetivos de países'!$K$5:$K$510,$A84)</f>
        <v>0</v>
      </c>
      <c r="Z84" s="36" cm="1">
        <f t="array" ref="Z84">_xlfn.COUNTIFS('Datos - Objetivos de países'!$B$5:$B$510,"Uruguay",'Datos - Objetivos de países'!$F$5:$F$510,Z$3,'Datos - Objetivos de países'!$J$5:$J$510,$A84)+_xlfn.COUNTIFS('Datos - Objetivos de países'!$B$5:$B$510,"Uruguay",'Datos - Objetivos de países'!$F$5:$F$510,Z$3,'Datos - Objetivos de países'!$K$5:$K$510,$A84)</f>
        <v>0</v>
      </c>
      <c r="AA84" s="36" cm="1">
        <f t="array" ref="AA84">_xlfn.COUNTIFS('Datos - Objetivos de países'!$B$5:$B$510,"Uruguay",'Datos - Objetivos de países'!$F$5:$F$510,AA$3,'Datos - Objetivos de países'!$J$5:$J$510,$A84)+_xlfn.COUNTIFS('Datos - Objetivos de países'!$B$5:$B$510,"Uruguay",'Datos - Objetivos de países'!$F$5:$F$510,AA$3,'Datos - Objetivos de países'!$K$5:$K$510,$A84)</f>
        <v>0</v>
      </c>
      <c r="AB84" s="36" cm="1">
        <f t="array" ref="AB84">_xlfn.COUNTIFS('Datos - Objetivos de países'!$B$5:$B$510,"Uruguay",'Datos - Objetivos de países'!$F$5:$F$510,AB$3,'Datos - Objetivos de países'!$J$5:$J$510,$A84)+_xlfn.COUNTIFS('Datos - Objetivos de países'!$B$5:$B$510,"Uruguay",'Datos - Objetivos de países'!$F$5:$F$510,AB$3,'Datos - Objetivos de países'!$K$5:$K$510,$A84)</f>
        <v>0</v>
      </c>
      <c r="AC84" s="36" cm="1">
        <f t="array" ref="AC84">_xlfn.COUNTIFS('Datos - Objetivos de países'!$B$5:$B$510,"Uruguay",'Datos - Objetivos de países'!$F$5:$F$510,AC$3,'Datos - Objetivos de países'!$J$5:$J$510,$A84)+_xlfn.COUNTIFS('Datos - Objetivos de países'!$B$5:$B$510,"Uruguay",'Datos - Objetivos de países'!$F$5:$F$510,AC$3,'Datos - Objetivos de países'!$K$5:$K$510,$A84)</f>
        <v>0</v>
      </c>
      <c r="AD84" s="36" cm="1">
        <f t="array" ref="AD84">_xlfn.COUNTIFS('Datos - Objetivos de países'!$B$5:$B$510,"Uruguay",'Datos - Objetivos de países'!$F$5:$F$510,AD$3,'Datos - Objetivos de países'!$J$5:$J$510,$A84)+_xlfn.COUNTIFS('Datos - Objetivos de países'!$B$5:$B$510,"Uruguay",'Datos - Objetivos de países'!$F$5:$F$510,AD$3,'Datos - Objetivos de países'!$K$5:$K$510,$A84)</f>
        <v>0</v>
      </c>
      <c r="AE84" s="36" cm="1">
        <f t="array" ref="AE84">_xlfn.COUNTIFS('Datos - Objetivos de países'!$B$5:$B$510,"Uruguay",'Datos - Objetivos de países'!$F$5:$F$510,AE$3,'Datos - Objetivos de países'!$J$5:$J$510,$A84)+_xlfn.COUNTIFS('Datos - Objetivos de países'!$B$5:$B$510,"Uruguay",'Datos - Objetivos de países'!$F$5:$F$510,AE$3,'Datos - Objetivos de países'!$K$5:$K$510,$A84)</f>
        <v>0</v>
      </c>
      <c r="AF84" s="36" cm="1">
        <f t="array" ref="AF84">_xlfn.COUNTIFS('Datos - Objetivos de países'!$B$5:$B$510,"Colombia",'Datos - Objetivos de países'!$F$5:$F$510,AF$3,'Datos - Objetivos de países'!$J$5:$J$510,$A84)+_xlfn.COUNTIFS('Datos - Objetivos de países'!$B$5:$B$510,"Colombia",'Datos - Objetivos de países'!$F$5:$F$510,AF$3,'Datos - Objetivos de países'!$K$5:$K$510,$A84)</f>
        <v>0</v>
      </c>
      <c r="AG84" s="36" cm="1">
        <f t="array" ref="AG84">_xlfn.COUNTIFS('Datos - Objetivos de países'!$B$5:$B$510,"Colombia",'Datos - Objetivos de países'!$F$5:$F$510,AG$3,'Datos - Objetivos de países'!$J$5:$J$510,$A84)+_xlfn.COUNTIFS('Datos - Objetivos de países'!$B$5:$B$510,"Colombia",'Datos - Objetivos de países'!$F$5:$F$510,AG$3,'Datos - Objetivos de países'!$K$5:$K$510,$A84)</f>
        <v>0</v>
      </c>
      <c r="AH84" s="36" cm="1">
        <f t="array" ref="AH84">_xlfn.COUNTIFS('Datos - Objetivos de países'!$B$5:$B$510,"Colombia",'Datos - Objetivos de países'!$F$5:$F$510,AH$3,'Datos - Objetivos de países'!$J$5:$J$510,$A84)+_xlfn.COUNTIFS('Datos - Objetivos de países'!$B$5:$B$510,"Colombia",'Datos - Objetivos de países'!$F$5:$F$510,AH$3,'Datos - Objetivos de países'!$K$5:$K$510,$A84)</f>
        <v>0</v>
      </c>
      <c r="AI84" s="36" cm="1">
        <f t="array" ref="AI84">_xlfn.COUNTIFS('Datos - Objetivos de países'!$B$5:$B$510,"Colombia",'Datos - Objetivos de países'!$F$5:$F$510,AI$3,'Datos - Objetivos de países'!$J$5:$J$510,$A84)+_xlfn.COUNTIFS('Datos - Objetivos de países'!$B$5:$B$510,"Colombia",'Datos - Objetivos de países'!$F$5:$F$510,AI$3,'Datos - Objetivos de países'!$K$5:$K$510,$A84)</f>
        <v>0</v>
      </c>
      <c r="AJ84" s="36" cm="1">
        <f t="array" ref="AJ84">_xlfn.COUNTIFS('Datos - Objetivos de países'!$B$5:$B$510,"Colombia",'Datos - Objetivos de países'!$F$5:$F$510,AJ$3,'Datos - Objetivos de países'!$J$5:$J$510,$A84)+_xlfn.COUNTIFS('Datos - Objetivos de países'!$B$5:$B$510,"Colombia",'Datos - Objetivos de países'!$F$5:$F$510,AJ$3,'Datos - Objetivos de países'!$K$5:$K$510,$A84)</f>
        <v>0</v>
      </c>
      <c r="AK84" s="36" cm="1">
        <f t="array" ref="AK84">_xlfn.COUNTIFS('Datos - Objetivos de países'!$B$5:$B$510,"Colombia",'Datos - Objetivos de países'!$F$5:$F$510,AK$3,'Datos - Objetivos de países'!$J$5:$J$510,$A84)+_xlfn.COUNTIFS('Datos - Objetivos de países'!$B$5:$B$510,"Colombia",'Datos - Objetivos de países'!$F$5:$F$510,AK$3,'Datos - Objetivos de países'!$K$5:$K$510,$A84)</f>
        <v>1</v>
      </c>
      <c r="AL84" s="36" cm="1">
        <f t="array" ref="AL84">_xlfn.COUNTIFS('Datos - Objetivos de países'!$B$5:$B$510,"Colombia",'Datos - Objetivos de países'!$F$5:$F$510,AL$3,'Datos - Objetivos de países'!$J$5:$J$510,$A84)+_xlfn.COUNTIFS('Datos - Objetivos de países'!$B$5:$B$510,"Colombia",'Datos - Objetivos de países'!$F$5:$F$510,AL$3,'Datos - Objetivos de países'!$K$5:$K$510,$A84)</f>
        <v>0</v>
      </c>
      <c r="AM84" s="36" cm="1">
        <f t="array" ref="AM84">_xlfn.COUNTIFS('Datos - Objetivos de países'!$B$5:$B$510,"Colombia",'Datos - Objetivos de países'!$F$5:$F$510,AM$3,'Datos - Objetivos de países'!$J$5:$J$510,$A84)+_xlfn.COUNTIFS('Datos - Objetivos de países'!$B$5:$B$510,"Colombia",'Datos - Objetivos de países'!$F$5:$F$510,AM$3,'Datos - Objetivos de países'!$K$5:$K$510,$A84)</f>
        <v>0</v>
      </c>
      <c r="AN84" s="36" cm="1">
        <f t="array" ref="AN84">_xlfn.COUNTIFS('Datos - Objetivos de países'!$B$5:$B$510,"Colombia",'Datos - Objetivos de países'!$F$5:$F$510,AN$3,'Datos - Objetivos de países'!$J$5:$J$510,$A84)+_xlfn.COUNTIFS('Datos - Objetivos de países'!$B$5:$B$510,"Colombia",'Datos - Objetivos de países'!$F$5:$F$510,AN$3,'Datos - Objetivos de países'!$K$5:$K$510,$A84)</f>
        <v>0</v>
      </c>
      <c r="AO84" s="36" cm="1">
        <f t="array" ref="AO84">_xlfn.COUNTIFS('Datos - Objetivos de países'!$B$5:$B$510,"Singapur",'Datos - Objetivos de países'!$F$5:$F$510,AO$3,'Datos - Objetivos de países'!$J$5:$J$510,$A84)+_xlfn.COUNTIFS('Datos - Objetivos de países'!$B$5:$B$510,"Singapur",'Datos - Objetivos de países'!$F$5:$F$510,AO$3,'Datos - Objetivos de países'!$K$5:$K$510,$A84)</f>
        <v>0</v>
      </c>
      <c r="AP84" s="36" cm="1">
        <f t="array" ref="AP84">_xlfn.COUNTIFS('Datos - Objetivos de países'!$B$5:$B$510,"Singapur",'Datos - Objetivos de países'!$F$5:$F$510,AP$3,'Datos - Objetivos de países'!$J$5:$J$510,$A84)+_xlfn.COUNTIFS('Datos - Objetivos de países'!$B$5:$B$510,"Singapur",'Datos - Objetivos de países'!$F$5:$F$510,AP$3,'Datos - Objetivos de países'!$K$5:$K$510,$A84)</f>
        <v>0</v>
      </c>
      <c r="AQ84" s="36" cm="1">
        <f t="array" ref="AQ84">_xlfn.COUNTIFS('Datos - Objetivos de países'!$B$5:$B$510,"Singapur",'Datos - Objetivos de países'!$F$5:$F$510,AQ$3,'Datos - Objetivos de países'!$J$5:$J$510,$A84)+_xlfn.COUNTIFS('Datos - Objetivos de países'!$B$5:$B$510,"Singapur",'Datos - Objetivos de países'!$F$5:$F$510,AQ$3,'Datos - Objetivos de países'!$K$5:$K$510,$A84)</f>
        <v>0</v>
      </c>
      <c r="AR84" s="36" cm="1">
        <f t="array" ref="AR84">_xlfn.COUNTIFS('Datos - Objetivos de países'!$B$5:$B$510,"Singapur",'Datos - Objetivos de países'!$F$5:$F$510,AR$3,'Datos - Objetivos de países'!$J$5:$J$510,$A84)+_xlfn.COUNTIFS('Datos - Objetivos de países'!$B$5:$B$510,"Singapur",'Datos - Objetivos de países'!$F$5:$F$510,AR$3,'Datos - Objetivos de países'!$K$5:$K$510,$A84)</f>
        <v>0</v>
      </c>
      <c r="AS84" s="36" cm="1">
        <f t="array" ref="AS84">_xlfn.COUNTIFS('Datos - Objetivos de países'!$B$5:$B$510,"Singapur",'Datos - Objetivos de países'!$F$5:$F$510,AS$3,'Datos - Objetivos de países'!$J$5:$J$510,$A84)+_xlfn.COUNTIFS('Datos - Objetivos de países'!$B$5:$B$510,"Singapur",'Datos - Objetivos de países'!$F$5:$F$510,AS$3,'Datos - Objetivos de países'!$K$5:$K$510,$A84)</f>
        <v>0</v>
      </c>
      <c r="AT84" s="36" cm="1">
        <f t="array" ref="AT84">_xlfn.COUNTIFS('Datos - Objetivos de países'!$B$5:$B$510,"Singapur",'Datos - Objetivos de países'!$F$5:$F$510,AT$3,'Datos - Objetivos de países'!$J$5:$J$510,$A84)+_xlfn.COUNTIFS('Datos - Objetivos de países'!$B$5:$B$510,"Singapur",'Datos - Objetivos de países'!$F$5:$F$510,AT$3,'Datos - Objetivos de países'!$K$5:$K$510,$A84)</f>
        <v>0</v>
      </c>
      <c r="AU84" s="36" cm="1">
        <f t="array" ref="AU84">_xlfn.COUNTIFS('Datos - Objetivos de países'!$B$5:$B$510,"Singapur",'Datos - Objetivos de países'!$F$5:$F$510,AU$3,'Datos - Objetivos de países'!$J$5:$J$510,$A84)+_xlfn.COUNTIFS('Datos - Objetivos de países'!$B$5:$B$510,"Singapur",'Datos - Objetivos de países'!$F$5:$F$510,AU$3,'Datos - Objetivos de países'!$K$5:$K$510,$A84)</f>
        <v>0</v>
      </c>
      <c r="AV84" s="36" cm="1">
        <f t="array" ref="AV84">_xlfn.COUNTIFS('Datos - Objetivos de países'!$B$5:$B$510,"Singapur",'Datos - Objetivos de países'!$F$5:$F$510,AV$3,'Datos - Objetivos de países'!$J$5:$J$510,$A84)+_xlfn.COUNTIFS('Datos - Objetivos de países'!$B$5:$B$510,"Singapur",'Datos - Objetivos de países'!$F$5:$F$510,AV$3,'Datos - Objetivos de países'!$K$5:$K$510,$A84)</f>
        <v>0</v>
      </c>
      <c r="AW84" s="36" cm="1">
        <f t="array" ref="AW84">_xlfn.COUNTIFS('Datos - Objetivos de países'!$B$5:$B$510,"Singapur",'Datos - Objetivos de países'!$F$5:$F$510,AW$3,'Datos - Objetivos de países'!$J$5:$J$510,$A84)+_xlfn.COUNTIFS('Datos - Objetivos de países'!$B$5:$B$510,"Singapur",'Datos - Objetivos de países'!$F$5:$F$510,AW$3,'Datos - Objetivos de países'!$K$5:$K$510,$A84)</f>
        <v>0</v>
      </c>
    </row>
    <row r="85" ht="13.55" customHeight="1">
      <c r="A85" s="42"/>
      <c r="B85" s="18"/>
      <c r="C85" s="18"/>
      <c r="D85" s="18"/>
      <c r="E85" s="18"/>
      <c r="F85" s="18"/>
      <c r="G85" s="18"/>
      <c r="H85" s="18"/>
      <c r="I85" s="18"/>
      <c r="J85" s="18"/>
      <c r="K85" s="18"/>
      <c r="L85" s="18"/>
      <c r="M85" s="13"/>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51"/>
    </row>
    <row r="86" ht="13.55" customHeight="1">
      <c r="A86" s="11"/>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4"/>
    </row>
    <row r="87" ht="14.6" customHeight="1">
      <c r="A87" t="s" s="43">
        <v>1502</v>
      </c>
      <c r="B87" s="44"/>
      <c r="C87" s="44"/>
      <c r="D87" s="44"/>
      <c r="E87" s="44"/>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4"/>
    </row>
    <row r="88" ht="40" customHeight="1">
      <c r="A88" t="s" s="34">
        <v>1503</v>
      </c>
      <c r="B88" t="s" s="34">
        <v>1504</v>
      </c>
      <c r="C88" t="s" s="34">
        <v>1505</v>
      </c>
      <c r="D88" t="s" s="34">
        <v>1506</v>
      </c>
      <c r="E88" t="s" s="34">
        <v>1507</v>
      </c>
      <c r="F88" s="17"/>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4"/>
    </row>
    <row r="89" ht="13.65" customHeight="1">
      <c r="A89" t="s" s="35">
        <v>1508</v>
      </c>
      <c r="B89" s="36" cm="1">
        <f t="array" ref="B89">_xlfn.COUNTIFS('Datos - Temas'!$C$5:$C$1264,"Ciencias")</f>
        <v>622</v>
      </c>
      <c r="C89" s="36" cm="1">
        <f t="array" ref="C89">_xlfn.COUNTIFS('Datos - Temas'!$C$5:$C$1264,"Ciencias",'Datos - Temas'!$K$5:$K$1264,"FUERA")</f>
        <v>56</v>
      </c>
      <c r="D89" s="36" cm="1">
        <f t="array" ref="D89">_xlfn.COUNTIFS('Datos - Temas'!$C$5:$C$1264,"Ciencias",'Datos - Temas'!$P$5:$P$1264,"baja")</f>
        <v>83</v>
      </c>
      <c r="E89" s="36" cm="1">
        <f t="array" ref="E89">COUNT(E5:E84)</f>
        <v>78</v>
      </c>
      <c r="F89" s="17"/>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4"/>
    </row>
    <row r="90" ht="13.65" customHeight="1">
      <c r="A90" t="s" s="35">
        <v>1509</v>
      </c>
      <c r="B90" s="36" cm="1">
        <f t="array" ref="B90">_xlfn.COUNTIFS('Datos - Objetivos de países'!$B$5:$B$510,$A90)</f>
        <v>135</v>
      </c>
      <c r="C90" s="36" cm="1">
        <f t="array" ref="C90">_xlfn.COUNTIFS('Datos - Objetivos de países'!$B$5:$B$510,$A90,'Datos - Objetivos de países'!$J$5:$J$510,"FUERA")</f>
        <v>4</v>
      </c>
      <c r="D90" s="36" cm="1">
        <f t="array" ref="D90">_xlfn.COUNTIFS('Datos - Objetivos de países'!$B$5:$B$510,$A90,'Datos - Objetivos de países'!$L$5:$L$510,"baja")</f>
        <v>16</v>
      </c>
      <c r="E90" s="36" cm="1">
        <f t="array" ref="E90">COUNT(F5:F84)</f>
        <v>65</v>
      </c>
      <c r="F90" s="17"/>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4"/>
    </row>
    <row r="91" ht="13.65" customHeight="1">
      <c r="A91" t="s" s="35">
        <v>1510</v>
      </c>
      <c r="B91" s="36" cm="1">
        <f t="array" ref="B91">_xlfn.COUNTIFS('Datos - Objetivos de países'!$B$5:$B$510,$A91)</f>
        <v>272</v>
      </c>
      <c r="C91" s="36" cm="1">
        <f t="array" ref="C91">_xlfn.COUNTIFS('Datos - Objetivos de países'!$B$5:$B$510,$A91,'Datos - Objetivos de países'!$J$5:$J$510,"FUERA")</f>
        <v>34</v>
      </c>
      <c r="D91" s="36" cm="1">
        <f t="array" ref="D91">_xlfn.COUNTIFS('Datos - Objetivos de países'!$B$5:$B$510,$A91,'Datos - Objetivos de países'!$L$5:$L$510,"baja")</f>
        <v>51</v>
      </c>
      <c r="E91" s="36" cm="1">
        <f t="array" ref="E91">COUNT(G5:G84)</f>
        <v>75</v>
      </c>
      <c r="F91" s="17"/>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4"/>
    </row>
    <row r="92" ht="13.65" customHeight="1">
      <c r="A92" t="s" s="35">
        <v>1511</v>
      </c>
      <c r="B92" s="36" cm="1">
        <f t="array" ref="B92">_xlfn.COUNTIFS('Datos - Objetivos de países'!$B$5:$B$510,$A92)</f>
        <v>99</v>
      </c>
      <c r="C92" s="36" cm="1">
        <f t="array" ref="C92">_xlfn.COUNTIFS('Datos - Objetivos de países'!$B$5:$B$510,$A92,'Datos - Objetivos de países'!$J$5:$J$510,"FUERA")</f>
        <v>6</v>
      </c>
      <c r="D92" s="36" cm="1">
        <f t="array" ref="D92">_xlfn.COUNTIFS('Datos - Objetivos de países'!$B$5:$B$510,$A92,'Datos - Objetivos de países'!$L$5:$L$510,"baja")</f>
        <v>11</v>
      </c>
      <c r="E92" s="36" cm="1">
        <f t="array" ref="E92">COUNT(H5:H84)</f>
        <v>37</v>
      </c>
      <c r="F92" s="17"/>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4"/>
    </row>
    <row r="93" ht="13.55" customHeight="1">
      <c r="A93" s="71"/>
      <c r="B93" s="31"/>
      <c r="C93" s="18"/>
      <c r="D93" s="18"/>
      <c r="E93" s="18"/>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4"/>
    </row>
    <row r="94" ht="30" customHeight="1">
      <c r="A94" t="s" s="34">
        <v>160</v>
      </c>
      <c r="B94" t="s" s="34">
        <v>1512</v>
      </c>
      <c r="C94" s="17"/>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4"/>
    </row>
    <row r="95" ht="13.65" customHeight="1">
      <c r="A95" t="s" s="35">
        <v>1500</v>
      </c>
      <c r="B95" s="36" cm="1">
        <f t="array" ref="B95">_xlfn.COUNTIFS($K$5:$K$84,$A95)</f>
        <v>24</v>
      </c>
      <c r="C95" s="17"/>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4"/>
    </row>
    <row r="96" ht="13.65" customHeight="1">
      <c r="A96" t="s" s="35">
        <v>1497</v>
      </c>
      <c r="B96" s="36" cm="1">
        <f t="array" ref="B96">_xlfn.COUNTIFS($K$5:$K$84,$A96)</f>
        <v>40</v>
      </c>
      <c r="C96" s="17"/>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4"/>
    </row>
    <row r="97" ht="13.65" customHeight="1">
      <c r="A97" t="s" s="35">
        <v>1499</v>
      </c>
      <c r="B97" s="36" cm="1">
        <f t="array" ref="B97">_xlfn.COUNTIFS($K$5:$K$84,$A97)</f>
        <v>13</v>
      </c>
      <c r="C97" s="17"/>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4"/>
    </row>
    <row r="98" ht="13.65" customHeight="1">
      <c r="A98" t="s" s="35">
        <v>1498</v>
      </c>
      <c r="B98" s="36" cm="1">
        <f t="array" ref="B98">_xlfn.COUNTIFS($K$5:$K$84,$A98)</f>
        <v>2</v>
      </c>
      <c r="C98" s="17"/>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4"/>
    </row>
    <row r="99" ht="13.65" customHeight="1">
      <c r="A99" t="s" s="35">
        <v>1501</v>
      </c>
      <c r="B99" s="36" cm="1">
        <f t="array" ref="B99">_xlfn.COUNTIFS($K$5:$K$84,$A99)</f>
        <v>1</v>
      </c>
      <c r="C99" s="17"/>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4"/>
    </row>
    <row r="100" ht="13.65" customHeight="1">
      <c r="A100" t="s" s="35">
        <v>1513</v>
      </c>
      <c r="B100" s="36" cm="1">
        <f t="array" ref="B100">_xlfn.COUNTIFS($K$5:$K$84,$A100)</f>
        <v>0</v>
      </c>
      <c r="C100" s="17"/>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4"/>
    </row>
    <row r="101" ht="13.55" customHeight="1">
      <c r="A101" s="42"/>
      <c r="B101" s="18"/>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4"/>
    </row>
    <row r="102" ht="56" customHeight="1">
      <c r="A102" t="s" s="54">
        <v>1514</v>
      </c>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5"/>
    </row>
  </sheetData>
  <mergeCells count="2">
    <mergeCell ref="A2:L2"/>
    <mergeCell ref="A102:L10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3.xml><?xml version="1.0" encoding="utf-8"?>
<worksheet xmlns:r="http://schemas.openxmlformats.org/officeDocument/2006/relationships" xmlns="http://schemas.openxmlformats.org/spreadsheetml/2006/main">
  <dimension ref="A1:O57"/>
  <sheetViews>
    <sheetView workbookViewId="0" showGridLines="0" defaultGridColor="1"/>
  </sheetViews>
  <sheetFormatPr defaultColWidth="8.83333" defaultRowHeight="15" customHeight="1" outlineLevelRow="0" outlineLevelCol="0"/>
  <cols>
    <col min="1" max="1" width="12" style="112" customWidth="1"/>
    <col min="2" max="2" width="22" style="112" customWidth="1"/>
    <col min="3" max="3" width="60" style="112" customWidth="1"/>
    <col min="4" max="4" width="11" style="112" customWidth="1"/>
    <col min="5" max="5" width="13" style="112" customWidth="1"/>
    <col min="6" max="7" width="9" style="112" customWidth="1"/>
    <col min="8" max="8" width="11" style="112" customWidth="1"/>
    <col min="9" max="9" width="13" style="112" customWidth="1"/>
    <col min="10" max="10" width="10" style="112" customWidth="1"/>
    <col min="11" max="11" width="22" style="112" customWidth="1"/>
    <col min="12" max="13" width="14" style="112" customWidth="1"/>
    <col min="14" max="14" width="12" style="112" customWidth="1"/>
    <col min="15" max="15" width="16" style="112" customWidth="1"/>
    <col min="16" max="16384" width="8.85156" style="112" customWidth="1"/>
  </cols>
  <sheetData>
    <row r="1" ht="18.5" customHeight="1">
      <c r="A1" t="s" s="83">
        <v>1516</v>
      </c>
      <c r="B1" s="9"/>
      <c r="C1" s="9"/>
      <c r="D1" s="9"/>
      <c r="E1" s="9"/>
      <c r="F1" s="9"/>
      <c r="G1" s="9"/>
      <c r="H1" s="28"/>
      <c r="I1" s="9"/>
      <c r="J1" s="9"/>
      <c r="K1" s="9"/>
      <c r="L1" s="9"/>
      <c r="M1" s="9"/>
      <c r="N1" s="9"/>
      <c r="O1" s="10"/>
    </row>
    <row r="2" ht="13.65" customHeight="1">
      <c r="A2" t="s" s="84">
        <v>1000</v>
      </c>
      <c r="B2" s="44"/>
      <c r="C2" s="44"/>
      <c r="D2" s="44"/>
      <c r="E2" s="44"/>
      <c r="F2" s="44"/>
      <c r="G2" s="85"/>
      <c r="H2" s="58">
        <v>0.05</v>
      </c>
      <c r="I2" s="86"/>
      <c r="J2" s="44"/>
      <c r="K2" s="44"/>
      <c r="L2" s="44"/>
      <c r="M2" s="44"/>
      <c r="N2" s="44"/>
      <c r="O2" s="14"/>
    </row>
    <row r="3" ht="68" customHeight="1">
      <c r="A3" t="str" s="29" cm="1">
        <f t="array" ref="A3">"PISA 2025 (7.°–9.°)"&amp;"
"&amp;IF(COUNTIF($K$21:$K$23,"En meta")=3,"BIEN · ","OJO · ")&amp;"7.°–9.°: sobran "&amp;FIXED(-I21,0)&amp;" temas de sistemas físicos; faltan "&amp;FIXED(I22,0)&amp;" de sistemas vivos y "&amp;FIXED(I23,0)&amp;" de Tierra y espacio."&amp;"
"&amp;"OJO · 9.° tiene solo "&amp;D17&amp;" temas de biología; 8.° solo "&amp;D13&amp;" de Tierra y espacio."&amp;"
"&amp;"● Contenidos de PISA presentes: "&amp;C55&amp;" de "&amp;B55&amp;". La cobertura TIMSS está en «TIMSS - Semáforo de objetivos»."</f>
        <v>PISA 2025 (7.°–9.°)
OJO · 7.°–9.°: sobran 33 temas de sistemas físicos; faltan 16 de sistemas vivos y 17 de Tierra y espacio.
OJO · 9.° tiene solo 3 temas de biología; 8.° solo 6 de Tierra y espacio.
● Contenidos de PISA presentes: 20 de 21. La cobertura TIMSS está en «TIMSS - Semáforo de objetivos».</v>
      </c>
      <c r="B3" s="30"/>
      <c r="C3" s="31"/>
      <c r="D3" s="31"/>
      <c r="E3" s="31"/>
      <c r="F3" s="31"/>
      <c r="G3" s="31"/>
      <c r="H3" s="31"/>
      <c r="I3" s="31"/>
      <c r="J3" s="31"/>
      <c r="K3" s="31"/>
      <c r="L3" s="31"/>
      <c r="M3" s="31"/>
      <c r="N3" s="32"/>
      <c r="O3" s="87"/>
    </row>
    <row r="4" ht="13.55" customHeight="1">
      <c r="A4" s="71"/>
      <c r="B4" s="31"/>
      <c r="C4" s="31"/>
      <c r="D4" s="31"/>
      <c r="E4" s="31"/>
      <c r="F4" s="31"/>
      <c r="G4" s="31"/>
      <c r="H4" s="31"/>
      <c r="I4" s="31"/>
      <c r="J4" s="31"/>
      <c r="K4" s="31"/>
      <c r="L4" s="31"/>
      <c r="M4" s="31"/>
      <c r="N4" s="31"/>
      <c r="O4" s="45"/>
    </row>
    <row r="5" ht="66" customHeight="1">
      <c r="A5" t="s" s="34">
        <v>56</v>
      </c>
      <c r="B5" t="s" s="34">
        <v>57</v>
      </c>
      <c r="C5" t="s" s="34">
        <v>174</v>
      </c>
      <c r="D5" t="s" s="34">
        <v>1518</v>
      </c>
      <c r="E5" t="s" s="34">
        <v>1004</v>
      </c>
      <c r="F5" t="s" s="34">
        <v>1005</v>
      </c>
      <c r="G5" t="s" s="34">
        <v>1519</v>
      </c>
      <c r="H5" t="s" s="34">
        <v>1007</v>
      </c>
      <c r="I5" t="s" s="34">
        <v>1008</v>
      </c>
      <c r="J5" t="s" s="34">
        <v>1009</v>
      </c>
      <c r="K5" t="s" s="34">
        <v>203</v>
      </c>
      <c r="L5" t="s" s="34">
        <v>1010</v>
      </c>
      <c r="M5" t="s" s="34">
        <v>1011</v>
      </c>
      <c r="N5" t="s" s="34">
        <v>1012</v>
      </c>
      <c r="O5" t="s" s="34">
        <v>1013</v>
      </c>
    </row>
    <row r="6" ht="13.65" customHeight="1">
      <c r="A6" t="s" s="35">
        <v>85</v>
      </c>
      <c r="B6" t="s" s="35">
        <v>134</v>
      </c>
      <c r="C6" t="s" s="35">
        <v>186</v>
      </c>
      <c r="D6" s="36" cm="1">
        <f t="array" ref="D6">_xlfn.COUNTIFS('Datos - Temas'!$V$5:$V$1264,$A6,'Datos - Temas'!$AM$5:$AM$1264,$C6)</f>
        <v>16</v>
      </c>
      <c r="E6" s="36" cm="1">
        <f t="array" ref="E6">_xlfn.COUNTIFS('Datos - Temas'!$V$5:$V$1264,$A6)-_xlfn.COUNTIFS('Datos - Temas'!$V$5:$V$1264,$A6,'Datos - Temas'!$AK$5:$AK$1264,"FUERA")-_xlfn.COUNTIFS('Datos - Temas'!$V$5:$V$1264,$A6,'Datos - Temas'!$AK$5:$AK$1264,"PENDIENTE")</f>
        <v>90</v>
      </c>
      <c r="F6" s="38" cm="1">
        <f t="array" ref="F6">IF(E6=0,0,D6/E6)</f>
        <v>0.177777777777778</v>
      </c>
      <c r="G6" s="58">
        <v>0.37</v>
      </c>
      <c r="H6" s="70" cm="1">
        <f t="array" ref="H6">G6*E6</f>
        <v>33.3</v>
      </c>
      <c r="I6" s="70" cm="1">
        <f t="array" ref="I6">H6-D6</f>
        <v>17.3</v>
      </c>
      <c r="J6" s="88" cm="1">
        <f t="array" ref="J6">(G6-F6)*100</f>
        <v>19.2222222222222</v>
      </c>
      <c r="K6" t="str" s="89" cm="1">
        <f t="array" ref="K6">IF(ABS(G6-F6)&lt;=$H$2,"En meta",IF(I6&gt;0,"Faltan "&amp;FIXED(I6,0)&amp;" temas","Sobran "&amp;FIXED(-I6,0)&amp;" temas"))</f>
        <v>Faltan 17 temas</v>
      </c>
      <c r="L6" s="70" cm="1">
        <f t="array" ref="L6">MAX(D6/G6,D7/G7,D8/G8)</f>
        <v>137.837837837838</v>
      </c>
      <c r="M6" s="36" cm="1">
        <f t="array" ref="M6">MAX(0,ROUNDUP(G6*L6-D6,0))</f>
        <v>36</v>
      </c>
      <c r="N6" s="36" cm="1">
        <f t="array" ref="N6">_xlfn.COUNTIFS('Datos - Temas'!$V$5:$V$1264,$A6,'Datos - Temas'!$AK$5:$AK$1264,"FUERA")</f>
        <v>1</v>
      </c>
      <c r="O6" s="38" cm="1">
        <f t="array" ref="O6">ABS(F6-G6)</f>
        <v>0.192222222222222</v>
      </c>
    </row>
    <row r="7" ht="13.65" customHeight="1">
      <c r="A7" t="s" s="35">
        <v>85</v>
      </c>
      <c r="B7" t="s" s="35">
        <v>134</v>
      </c>
      <c r="C7" t="s" s="35">
        <v>187</v>
      </c>
      <c r="D7" s="36" cm="1">
        <f t="array" ref="D7">_xlfn.COUNTIFS('Datos - Temas'!$V$5:$V$1264,$A7,'Datos - Temas'!$AM$5:$AM$1264,$C7)</f>
        <v>51</v>
      </c>
      <c r="E7" s="36" cm="1">
        <f t="array" ref="E7">_xlfn.COUNTIFS('Datos - Temas'!$V$5:$V$1264,$A7)-_xlfn.COUNTIFS('Datos - Temas'!$V$5:$V$1264,$A7,'Datos - Temas'!$AK$5:$AK$1264,"FUERA")-_xlfn.COUNTIFS('Datos - Temas'!$V$5:$V$1264,$A7,'Datos - Temas'!$AK$5:$AK$1264,"PENDIENTE")</f>
        <v>90</v>
      </c>
      <c r="F7" s="38" cm="1">
        <f t="array" ref="F7">IF(E7=0,0,D7/E7)</f>
        <v>0.566666666666667</v>
      </c>
      <c r="G7" s="58">
        <v>0.37</v>
      </c>
      <c r="H7" s="70" cm="1">
        <f t="array" ref="H7">G7*E7</f>
        <v>33.3</v>
      </c>
      <c r="I7" s="70" cm="1">
        <f t="array" ref="I7">H7-D7</f>
        <v>-17.7</v>
      </c>
      <c r="J7" s="88" cm="1">
        <f t="array" ref="J7">(G7-F7)*100</f>
        <v>-19.6666666666667</v>
      </c>
      <c r="K7" t="str" s="89" cm="1">
        <f t="array" ref="K7">IF(ABS(G7-F7)&lt;=$H$2,"En meta",IF(I7&gt;0,"Faltan "&amp;FIXED(I7,0)&amp;" temas","Sobran "&amp;FIXED(-I7,0)&amp;" temas"))</f>
        <v>Sobran 18 temas</v>
      </c>
      <c r="L7" s="70" cm="1">
        <f t="array" ref="L7">MAX(D6/G6,D7/G7,D8/G8)</f>
        <v>137.837837837838</v>
      </c>
      <c r="M7" s="36" cm="1">
        <f t="array" ref="M7">MAX(0,ROUNDUP(G7*L7-D7,0))</f>
        <v>1</v>
      </c>
      <c r="N7" s="36" cm="1">
        <f t="array" ref="N7">_xlfn.COUNTIFS('Datos - Temas'!$V$5:$V$1264,$A7,'Datos - Temas'!$AK$5:$AK$1264,"FUERA")</f>
        <v>1</v>
      </c>
      <c r="O7" s="38" cm="1">
        <f t="array" ref="O7">ABS(F7-G7)</f>
        <v>0.196666666666667</v>
      </c>
    </row>
    <row r="8" ht="13.65" customHeight="1">
      <c r="A8" t="s" s="35">
        <v>85</v>
      </c>
      <c r="B8" t="s" s="35">
        <v>134</v>
      </c>
      <c r="C8" t="s" s="35">
        <v>188</v>
      </c>
      <c r="D8" s="36" cm="1">
        <f t="array" ref="D8">_xlfn.COUNTIFS('Datos - Temas'!$V$5:$V$1264,$A8,'Datos - Temas'!$AM$5:$AM$1264,$C8)</f>
        <v>23</v>
      </c>
      <c r="E8" s="36" cm="1">
        <f t="array" ref="E8">_xlfn.COUNTIFS('Datos - Temas'!$V$5:$V$1264,$A8)-_xlfn.COUNTIFS('Datos - Temas'!$V$5:$V$1264,$A8,'Datos - Temas'!$AK$5:$AK$1264,"FUERA")-_xlfn.COUNTIFS('Datos - Temas'!$V$5:$V$1264,$A8,'Datos - Temas'!$AK$5:$AK$1264,"PENDIENTE")</f>
        <v>90</v>
      </c>
      <c r="F8" s="38" cm="1">
        <f t="array" ref="F8">IF(E8=0,0,D8/E8)</f>
        <v>0.255555555555556</v>
      </c>
      <c r="G8" s="58">
        <v>0.26</v>
      </c>
      <c r="H8" s="70" cm="1">
        <f t="array" ref="H8">G8*E8</f>
        <v>23.4</v>
      </c>
      <c r="I8" s="70" cm="1">
        <f t="array" ref="I8">H8-D8</f>
        <v>0.4</v>
      </c>
      <c r="J8" s="88" cm="1">
        <f t="array" ref="J8">(G8-F8)*100</f>
        <v>0.4444444444444</v>
      </c>
      <c r="K8" t="str" s="89" cm="1">
        <f t="array" ref="K8">IF(ABS(G8-F8)&lt;=$H$2,"En meta",IF(I8&gt;0,"Faltan "&amp;FIXED(I8,0)&amp;" temas","Sobran "&amp;FIXED(-I8,0)&amp;" temas"))</f>
        <v>En meta</v>
      </c>
      <c r="L8" s="70" cm="1">
        <f t="array" ref="L8">MAX(D6/G6,D7/G7,D8/G8)</f>
        <v>137.837837837838</v>
      </c>
      <c r="M8" s="36" cm="1">
        <f t="array" ref="M8">MAX(0,ROUNDUP(G8*L8-D8,0))</f>
        <v>13</v>
      </c>
      <c r="N8" s="36" cm="1">
        <f t="array" ref="N8">_xlfn.COUNTIFS('Datos - Temas'!$V$5:$V$1264,$A8,'Datos - Temas'!$AK$5:$AK$1264,"FUERA")</f>
        <v>1</v>
      </c>
      <c r="O8" s="38" cm="1">
        <f t="array" ref="O8">ABS(F8-G8)</f>
        <v>0.004444444444444</v>
      </c>
    </row>
    <row r="9" ht="13.65" customHeight="1">
      <c r="A9" s="64"/>
      <c r="B9" s="64"/>
      <c r="C9" t="s" s="63">
        <v>1016</v>
      </c>
      <c r="D9" s="77" cm="1">
        <f t="array" ref="D9">SUM(D6:D8)</f>
        <v>90</v>
      </c>
      <c r="E9" s="64"/>
      <c r="F9" s="64"/>
      <c r="G9" s="90" cm="1">
        <f t="array" ref="G9">SUM(G6:G8)</f>
        <v>1</v>
      </c>
      <c r="H9" s="64"/>
      <c r="I9" s="64"/>
      <c r="J9" s="64"/>
      <c r="K9" s="64"/>
      <c r="L9" s="64"/>
      <c r="M9" s="77" cm="1">
        <f t="array" ref="M9">SUM(M6:M8)</f>
        <v>50</v>
      </c>
      <c r="N9" s="64"/>
      <c r="O9" s="65" cm="1">
        <f t="array" ref="O9">1-SUM(O6:O8)/2</f>
        <v>0.803333333333334</v>
      </c>
    </row>
    <row r="10" ht="13.55" customHeight="1">
      <c r="A10" s="71"/>
      <c r="B10" s="31"/>
      <c r="C10" s="31"/>
      <c r="D10" s="31"/>
      <c r="E10" s="31"/>
      <c r="F10" s="31"/>
      <c r="G10" s="31"/>
      <c r="H10" s="31"/>
      <c r="I10" s="31"/>
      <c r="J10" s="31"/>
      <c r="K10" s="31"/>
      <c r="L10" s="31"/>
      <c r="M10" s="31"/>
      <c r="N10" s="31"/>
      <c r="O10" s="91"/>
    </row>
    <row r="11" ht="13.65" customHeight="1">
      <c r="A11" t="s" s="35">
        <v>86</v>
      </c>
      <c r="B11" t="s" s="35">
        <v>134</v>
      </c>
      <c r="C11" t="s" s="35">
        <v>186</v>
      </c>
      <c r="D11" s="36" cm="1">
        <f t="array" ref="D11">_xlfn.COUNTIFS('Datos - Temas'!$V$5:$V$1264,$A11,'Datos - Temas'!$AM$5:$AM$1264,$C11)</f>
        <v>55</v>
      </c>
      <c r="E11" s="36" cm="1">
        <f t="array" ref="E11">_xlfn.COUNTIFS('Datos - Temas'!$V$5:$V$1264,$A11)-_xlfn.COUNTIFS('Datos - Temas'!$V$5:$V$1264,$A11,'Datos - Temas'!$AK$5:$AK$1264,"FUERA")-_xlfn.COUNTIFS('Datos - Temas'!$V$5:$V$1264,$A11,'Datos - Temas'!$AK$5:$AK$1264,"PENDIENTE")</f>
        <v>88</v>
      </c>
      <c r="F11" s="38" cm="1">
        <f t="array" ref="F11">IF(E11=0,0,D11/E11)</f>
        <v>0.625</v>
      </c>
      <c r="G11" s="58">
        <v>0.37</v>
      </c>
      <c r="H11" s="70" cm="1">
        <f t="array" ref="H11">G11*E11</f>
        <v>32.56</v>
      </c>
      <c r="I11" s="70" cm="1">
        <f t="array" ref="I11">H11-D11</f>
        <v>-22.44</v>
      </c>
      <c r="J11" s="88" cm="1">
        <f t="array" ref="J11">(G11-F11)*100</f>
        <v>-25.5</v>
      </c>
      <c r="K11" t="str" s="89" cm="1">
        <f t="array" ref="K11">IF(ABS(G11-F11)&lt;=$H$2,"En meta",IF(I11&gt;0,"Faltan "&amp;FIXED(I11,0)&amp;" temas","Sobran "&amp;FIXED(-I11,0)&amp;" temas"))</f>
        <v>Sobran 22 temas</v>
      </c>
      <c r="L11" s="70" cm="1">
        <f t="array" ref="L11">MAX(D11/G11,D12/G12,D13/G13)</f>
        <v>148.648648648649</v>
      </c>
      <c r="M11" s="36" cm="1">
        <f t="array" ref="M11">MAX(0,ROUNDUP(G11*L11-D11,0))</f>
        <v>1</v>
      </c>
      <c r="N11" s="36" cm="1">
        <f t="array" ref="N11">_xlfn.COUNTIFS('Datos - Temas'!$V$5:$V$1264,$A11,'Datos - Temas'!$AK$5:$AK$1264,"FUERA")</f>
        <v>5</v>
      </c>
      <c r="O11" s="38" cm="1">
        <f t="array" ref="O11">ABS(F11-G11)</f>
        <v>0.255</v>
      </c>
    </row>
    <row r="12" ht="13.65" customHeight="1">
      <c r="A12" t="s" s="35">
        <v>86</v>
      </c>
      <c r="B12" t="s" s="35">
        <v>134</v>
      </c>
      <c r="C12" t="s" s="35">
        <v>187</v>
      </c>
      <c r="D12" s="36" cm="1">
        <f t="array" ref="D12">_xlfn.COUNTIFS('Datos - Temas'!$V$5:$V$1264,$A12,'Datos - Temas'!$AM$5:$AM$1264,$C12)</f>
        <v>27</v>
      </c>
      <c r="E12" s="36" cm="1">
        <f t="array" ref="E12">_xlfn.COUNTIFS('Datos - Temas'!$V$5:$V$1264,$A12)-_xlfn.COUNTIFS('Datos - Temas'!$V$5:$V$1264,$A12,'Datos - Temas'!$AK$5:$AK$1264,"FUERA")-_xlfn.COUNTIFS('Datos - Temas'!$V$5:$V$1264,$A12,'Datos - Temas'!$AK$5:$AK$1264,"PENDIENTE")</f>
        <v>88</v>
      </c>
      <c r="F12" s="38" cm="1">
        <f t="array" ref="F12">IF(E12=0,0,D12/E12)</f>
        <v>0.306818181818182</v>
      </c>
      <c r="G12" s="58">
        <v>0.37</v>
      </c>
      <c r="H12" s="70" cm="1">
        <f t="array" ref="H12">G12*E12</f>
        <v>32.56</v>
      </c>
      <c r="I12" s="70" cm="1">
        <f t="array" ref="I12">H12-D12</f>
        <v>5.56</v>
      </c>
      <c r="J12" s="88" cm="1">
        <f t="array" ref="J12">(G12-F12)*100</f>
        <v>6.3181818181818</v>
      </c>
      <c r="K12" t="str" s="89" cm="1">
        <f t="array" ref="K12">IF(ABS(G12-F12)&lt;=$H$2,"En meta",IF(I12&gt;0,"Faltan "&amp;FIXED(I12,0)&amp;" temas","Sobran "&amp;FIXED(-I12,0)&amp;" temas"))</f>
        <v>Faltan 6 temas</v>
      </c>
      <c r="L12" s="70" cm="1">
        <f t="array" ref="L12">MAX(D11/G11,D12/G12,D13/G13)</f>
        <v>148.648648648649</v>
      </c>
      <c r="M12" s="36" cm="1">
        <f t="array" ref="M12">MAX(0,ROUNDUP(G12*L12-D12,0))</f>
        <v>29</v>
      </c>
      <c r="N12" s="36" cm="1">
        <f t="array" ref="N12">_xlfn.COUNTIFS('Datos - Temas'!$V$5:$V$1264,$A12,'Datos - Temas'!$AK$5:$AK$1264,"FUERA")</f>
        <v>5</v>
      </c>
      <c r="O12" s="38" cm="1">
        <f t="array" ref="O12">ABS(F12-G12)</f>
        <v>0.06318181818181801</v>
      </c>
    </row>
    <row r="13" ht="13.65" customHeight="1">
      <c r="A13" t="s" s="35">
        <v>86</v>
      </c>
      <c r="B13" t="s" s="35">
        <v>134</v>
      </c>
      <c r="C13" t="s" s="35">
        <v>188</v>
      </c>
      <c r="D13" s="36" cm="1">
        <f t="array" ref="D13">_xlfn.COUNTIFS('Datos - Temas'!$V$5:$V$1264,$A13,'Datos - Temas'!$AM$5:$AM$1264,$C13)</f>
        <v>6</v>
      </c>
      <c r="E13" s="36" cm="1">
        <f t="array" ref="E13">_xlfn.COUNTIFS('Datos - Temas'!$V$5:$V$1264,$A13)-_xlfn.COUNTIFS('Datos - Temas'!$V$5:$V$1264,$A13,'Datos - Temas'!$AK$5:$AK$1264,"FUERA")-_xlfn.COUNTIFS('Datos - Temas'!$V$5:$V$1264,$A13,'Datos - Temas'!$AK$5:$AK$1264,"PENDIENTE")</f>
        <v>88</v>
      </c>
      <c r="F13" s="38" cm="1">
        <f t="array" ref="F13">IF(E13=0,0,D13/E13)</f>
        <v>0.0681818181818182</v>
      </c>
      <c r="G13" s="58">
        <v>0.26</v>
      </c>
      <c r="H13" s="70" cm="1">
        <f t="array" ref="H13">G13*E13</f>
        <v>22.88</v>
      </c>
      <c r="I13" s="70" cm="1">
        <f t="array" ref="I13">H13-D13</f>
        <v>16.88</v>
      </c>
      <c r="J13" s="88" cm="1">
        <f t="array" ref="J13">(G13-F13)*100</f>
        <v>19.1818181818182</v>
      </c>
      <c r="K13" t="str" s="89" cm="1">
        <f t="array" ref="K13">IF(ABS(G13-F13)&lt;=$H$2,"En meta",IF(I13&gt;0,"Faltan "&amp;FIXED(I13,0)&amp;" temas","Sobran "&amp;FIXED(-I13,0)&amp;" temas"))</f>
        <v>Faltan 17 temas</v>
      </c>
      <c r="L13" s="70" cm="1">
        <f t="array" ref="L13">MAX(D11/G11,D12/G12,D13/G13)</f>
        <v>148.648648648649</v>
      </c>
      <c r="M13" s="36" cm="1">
        <f t="array" ref="M13">MAX(0,ROUNDUP(G13*L13-D13,0))</f>
        <v>33</v>
      </c>
      <c r="N13" s="36" cm="1">
        <f t="array" ref="N13">_xlfn.COUNTIFS('Datos - Temas'!$V$5:$V$1264,$A13,'Datos - Temas'!$AK$5:$AK$1264,"FUERA")</f>
        <v>5</v>
      </c>
      <c r="O13" s="38" cm="1">
        <f t="array" ref="O13">ABS(F13-G13)</f>
        <v>0.191818181818182</v>
      </c>
    </row>
    <row r="14" ht="13.65" customHeight="1">
      <c r="A14" s="64"/>
      <c r="B14" s="64"/>
      <c r="C14" t="s" s="63">
        <v>1016</v>
      </c>
      <c r="D14" s="77" cm="1">
        <f t="array" ref="D14">SUM(D11:D13)</f>
        <v>88</v>
      </c>
      <c r="E14" s="64"/>
      <c r="F14" s="64"/>
      <c r="G14" s="90" cm="1">
        <f t="array" ref="G14">SUM(G11:G13)</f>
        <v>1</v>
      </c>
      <c r="H14" s="64"/>
      <c r="I14" s="64"/>
      <c r="J14" s="64"/>
      <c r="K14" s="64"/>
      <c r="L14" s="64"/>
      <c r="M14" s="77" cm="1">
        <f t="array" ref="M14">SUM(M11:M13)</f>
        <v>63</v>
      </c>
      <c r="N14" s="64"/>
      <c r="O14" s="65" cm="1">
        <f t="array" ref="O14">1-SUM(O11:O13)/2</f>
        <v>0.745</v>
      </c>
    </row>
    <row r="15" ht="13.55" customHeight="1">
      <c r="A15" s="71"/>
      <c r="B15" s="31"/>
      <c r="C15" s="31"/>
      <c r="D15" s="31"/>
      <c r="E15" s="31"/>
      <c r="F15" s="31"/>
      <c r="G15" s="31"/>
      <c r="H15" s="31"/>
      <c r="I15" s="31"/>
      <c r="J15" s="31"/>
      <c r="K15" s="31"/>
      <c r="L15" s="31"/>
      <c r="M15" s="31"/>
      <c r="N15" s="31"/>
      <c r="O15" s="91"/>
    </row>
    <row r="16" ht="13.65" customHeight="1">
      <c r="A16" t="s" s="35">
        <v>138</v>
      </c>
      <c r="B16" t="s" s="35">
        <v>134</v>
      </c>
      <c r="C16" t="s" s="35">
        <v>186</v>
      </c>
      <c r="D16" s="36" cm="1">
        <f t="array" ref="D16">_xlfn.COUNTIFS('Datos - Temas'!$V$5:$V$1264,$A16,'Datos - Temas'!$AM$5:$AM$1264,$C16)</f>
        <v>59</v>
      </c>
      <c r="E16" s="36" cm="1">
        <f t="array" ref="E16">_xlfn.COUNTIFS('Datos - Temas'!$V$5:$V$1264,$A16)-_xlfn.COUNTIFS('Datos - Temas'!$V$5:$V$1264,$A16,'Datos - Temas'!$AK$5:$AK$1264,"FUERA")-_xlfn.COUNTIFS('Datos - Temas'!$V$5:$V$1264,$A16,'Datos - Temas'!$AK$5:$AK$1264,"PENDIENTE")</f>
        <v>84</v>
      </c>
      <c r="F16" s="38" cm="1">
        <f t="array" ref="F16">IF(E16=0,0,D16/E16)</f>
        <v>0.702380952380952</v>
      </c>
      <c r="G16" s="58">
        <v>0.37</v>
      </c>
      <c r="H16" s="70" cm="1">
        <f t="array" ref="H16">G16*E16</f>
        <v>31.08</v>
      </c>
      <c r="I16" s="70" cm="1">
        <f t="array" ref="I16">H16-D16</f>
        <v>-27.92</v>
      </c>
      <c r="J16" s="88" cm="1">
        <f t="array" ref="J16">(G16-F16)*100</f>
        <v>-33.2380952380952</v>
      </c>
      <c r="K16" t="str" s="89" cm="1">
        <f t="array" ref="K16">IF(ABS(G16-F16)&lt;=$H$2,"En meta",IF(I16&gt;0,"Faltan "&amp;FIXED(I16,0)&amp;" temas","Sobran "&amp;FIXED(-I16,0)&amp;" temas"))</f>
        <v>Sobran 28 temas</v>
      </c>
      <c r="L16" s="70" cm="1">
        <f t="array" ref="L16">MAX(D16/G16,D17/G17,D18/G18)</f>
        <v>159.459459459459</v>
      </c>
      <c r="M16" s="36" cm="1">
        <f t="array" ref="M16">MAX(0,ROUNDUP(G16*L16-D16,0))</f>
        <v>0</v>
      </c>
      <c r="N16" s="36" cm="1">
        <f t="array" ref="N16">_xlfn.COUNTIFS('Datos - Temas'!$V$5:$V$1264,$A16,'Datos - Temas'!$AK$5:$AK$1264,"FUERA")</f>
        <v>6</v>
      </c>
      <c r="O16" s="38" cm="1">
        <f t="array" ref="O16">ABS(F16-G16)</f>
        <v>0.332380952380952</v>
      </c>
    </row>
    <row r="17" ht="13.65" customHeight="1">
      <c r="A17" t="s" s="35">
        <v>138</v>
      </c>
      <c r="B17" t="s" s="35">
        <v>134</v>
      </c>
      <c r="C17" t="s" s="35">
        <v>187</v>
      </c>
      <c r="D17" s="36" cm="1">
        <f t="array" ref="D17">_xlfn.COUNTIFS('Datos - Temas'!$V$5:$V$1264,$A17,'Datos - Temas'!$AM$5:$AM$1264,$C17)</f>
        <v>3</v>
      </c>
      <c r="E17" s="36" cm="1">
        <f t="array" ref="E17">_xlfn.COUNTIFS('Datos - Temas'!$V$5:$V$1264,$A17)-_xlfn.COUNTIFS('Datos - Temas'!$V$5:$V$1264,$A17,'Datos - Temas'!$AK$5:$AK$1264,"FUERA")-_xlfn.COUNTIFS('Datos - Temas'!$V$5:$V$1264,$A17,'Datos - Temas'!$AK$5:$AK$1264,"PENDIENTE")</f>
        <v>84</v>
      </c>
      <c r="F17" s="38" cm="1">
        <f t="array" ref="F17">IF(E17=0,0,D17/E17)</f>
        <v>0.0357142857142857</v>
      </c>
      <c r="G17" s="58">
        <v>0.37</v>
      </c>
      <c r="H17" s="70" cm="1">
        <f t="array" ref="H17">G17*E17</f>
        <v>31.08</v>
      </c>
      <c r="I17" s="70" cm="1">
        <f t="array" ref="I17">H17-D17</f>
        <v>28.08</v>
      </c>
      <c r="J17" s="88" cm="1">
        <f t="array" ref="J17">(G17-F17)*100</f>
        <v>33.4285714285714</v>
      </c>
      <c r="K17" t="str" s="89" cm="1">
        <f t="array" ref="K17">IF(ABS(G17-F17)&lt;=$H$2,"En meta",IF(I17&gt;0,"Faltan "&amp;FIXED(I17,0)&amp;" temas","Sobran "&amp;FIXED(-I17,0)&amp;" temas"))</f>
        <v>Faltan 28 temas</v>
      </c>
      <c r="L17" s="70" cm="1">
        <f t="array" ref="L17">MAX(D16/G16,D17/G17,D18/G18)</f>
        <v>159.459459459459</v>
      </c>
      <c r="M17" s="36" cm="1">
        <f t="array" ref="M17">MAX(0,ROUNDUP(G17*L17-D17,0))</f>
        <v>56</v>
      </c>
      <c r="N17" s="36" cm="1">
        <f t="array" ref="N17">_xlfn.COUNTIFS('Datos - Temas'!$V$5:$V$1264,$A17,'Datos - Temas'!$AK$5:$AK$1264,"FUERA")</f>
        <v>6</v>
      </c>
      <c r="O17" s="38" cm="1">
        <f t="array" ref="O17">ABS(F17-G17)</f>
        <v>0.334285714285714</v>
      </c>
    </row>
    <row r="18" ht="13.65" customHeight="1">
      <c r="A18" t="s" s="35">
        <v>138</v>
      </c>
      <c r="B18" t="s" s="35">
        <v>134</v>
      </c>
      <c r="C18" t="s" s="35">
        <v>188</v>
      </c>
      <c r="D18" s="36" cm="1">
        <f t="array" ref="D18">_xlfn.COUNTIFS('Datos - Temas'!$V$5:$V$1264,$A18,'Datos - Temas'!$AM$5:$AM$1264,$C18)</f>
        <v>22</v>
      </c>
      <c r="E18" s="36" cm="1">
        <f t="array" ref="E18">_xlfn.COUNTIFS('Datos - Temas'!$V$5:$V$1264,$A18)-_xlfn.COUNTIFS('Datos - Temas'!$V$5:$V$1264,$A18,'Datos - Temas'!$AK$5:$AK$1264,"FUERA")-_xlfn.COUNTIFS('Datos - Temas'!$V$5:$V$1264,$A18,'Datos - Temas'!$AK$5:$AK$1264,"PENDIENTE")</f>
        <v>84</v>
      </c>
      <c r="F18" s="38" cm="1">
        <f t="array" ref="F18">IF(E18=0,0,D18/E18)</f>
        <v>0.261904761904762</v>
      </c>
      <c r="G18" s="58">
        <v>0.26</v>
      </c>
      <c r="H18" s="70" cm="1">
        <f t="array" ref="H18">G18*E18</f>
        <v>21.84</v>
      </c>
      <c r="I18" s="70" cm="1">
        <f t="array" ref="I18">H18-D18</f>
        <v>-0.16</v>
      </c>
      <c r="J18" s="88" cm="1">
        <f t="array" ref="J18">(G18-F18)*100</f>
        <v>-0.1904761904762</v>
      </c>
      <c r="K18" t="str" s="89" cm="1">
        <f t="array" ref="K18">IF(ABS(G18-F18)&lt;=$H$2,"En meta",IF(I18&gt;0,"Faltan "&amp;FIXED(I18,0)&amp;" temas","Sobran "&amp;FIXED(-I18,0)&amp;" temas"))</f>
        <v>En meta</v>
      </c>
      <c r="L18" s="70" cm="1">
        <f t="array" ref="L18">MAX(D16/G16,D17/G17,D18/G18)</f>
        <v>159.459459459459</v>
      </c>
      <c r="M18" s="36" cm="1">
        <f t="array" ref="M18">MAX(0,ROUNDUP(G18*L18-D18,0))</f>
        <v>20</v>
      </c>
      <c r="N18" s="36" cm="1">
        <f t="array" ref="N18">_xlfn.COUNTIFS('Datos - Temas'!$V$5:$V$1264,$A18,'Datos - Temas'!$AK$5:$AK$1264,"FUERA")</f>
        <v>6</v>
      </c>
      <c r="O18" s="38" cm="1">
        <f t="array" ref="O18">ABS(F18-G18)</f>
        <v>0.001904761904762</v>
      </c>
    </row>
    <row r="19" ht="13.65" customHeight="1">
      <c r="A19" s="64"/>
      <c r="B19" s="64"/>
      <c r="C19" t="s" s="63">
        <v>1016</v>
      </c>
      <c r="D19" s="77" cm="1">
        <f t="array" ref="D19">SUM(D16:D18)</f>
        <v>84</v>
      </c>
      <c r="E19" s="64"/>
      <c r="F19" s="64"/>
      <c r="G19" s="90" cm="1">
        <f t="array" ref="G19">SUM(G16:G18)</f>
        <v>1</v>
      </c>
      <c r="H19" s="64"/>
      <c r="I19" s="64"/>
      <c r="J19" s="64"/>
      <c r="K19" s="64"/>
      <c r="L19" s="64"/>
      <c r="M19" s="77" cm="1">
        <f t="array" ref="M19">SUM(M16:M18)</f>
        <v>76</v>
      </c>
      <c r="N19" s="64"/>
      <c r="O19" s="65" cm="1">
        <f t="array" ref="O19">1-SUM(O16:O18)/2</f>
        <v>0.665714285714286</v>
      </c>
    </row>
    <row r="20" ht="13.55" customHeight="1">
      <c r="A20" s="71"/>
      <c r="B20" s="31"/>
      <c r="C20" s="31"/>
      <c r="D20" s="31"/>
      <c r="E20" s="31"/>
      <c r="F20" s="31"/>
      <c r="G20" s="31"/>
      <c r="H20" s="31"/>
      <c r="I20" s="31"/>
      <c r="J20" s="31"/>
      <c r="K20" s="31"/>
      <c r="L20" s="31"/>
      <c r="M20" s="31"/>
      <c r="N20" s="31"/>
      <c r="O20" s="91"/>
    </row>
    <row r="21" ht="13.65" customHeight="1">
      <c r="A21" t="s" s="35">
        <v>139</v>
      </c>
      <c r="B21" t="s" s="35">
        <v>134</v>
      </c>
      <c r="C21" t="s" s="35">
        <v>186</v>
      </c>
      <c r="D21" s="36" cm="1">
        <f t="array" ref="D21">_xlfn.COUNTIFS('Datos - Temas'!$AV$5:$AV$1264,$A21,'Datos - Temas'!$AM$5:$AM$1264,$C21)</f>
        <v>130</v>
      </c>
      <c r="E21" s="36" cm="1">
        <f t="array" ref="E21">_xlfn.COUNTIFS('Datos - Temas'!$AV$5:$AV$1264,$A21)-_xlfn.COUNTIFS('Datos - Temas'!$AV$5:$AV$1264,$A21,'Datos - Temas'!$AK$5:$AK$1264,"FUERA")-_xlfn.COUNTIFS('Datos - Temas'!$AV$5:$AV$1264,$A21,'Datos - Temas'!$AK$5:$AK$1264,"PENDIENTE")</f>
        <v>262</v>
      </c>
      <c r="F21" s="38" cm="1">
        <f t="array" ref="F21">IF(E21=0,0,D21/E21)</f>
        <v>0.49618320610687</v>
      </c>
      <c r="G21" s="58">
        <v>0.37</v>
      </c>
      <c r="H21" s="70" cm="1">
        <f t="array" ref="H21">G21*E21</f>
        <v>96.94</v>
      </c>
      <c r="I21" s="70" cm="1">
        <f t="array" ref="I21">H21-D21</f>
        <v>-33.06</v>
      </c>
      <c r="J21" s="88" cm="1">
        <f t="array" ref="J21">(G21-F21)*100</f>
        <v>-12.618320610687</v>
      </c>
      <c r="K21" t="str" s="89" cm="1">
        <f t="array" ref="K21">IF(ABS(G21-F21)&lt;=$H$2,"En meta",IF(I21&gt;0,"Faltan "&amp;FIXED(I21,0)&amp;" temas","Sobran "&amp;FIXED(-I21,0)&amp;" temas"))</f>
        <v>Sobran 33 temas</v>
      </c>
      <c r="L21" s="70" cm="1">
        <f t="array" ref="L21">MAX(D21/G21,D22/G22,D23/G23)</f>
        <v>351.351351351351</v>
      </c>
      <c r="M21" s="36" cm="1">
        <f t="array" ref="M21">MAX(0,ROUNDUP(G21*L21-D21,0))</f>
        <v>0</v>
      </c>
      <c r="N21" s="36" cm="1">
        <f t="array" ref="N21">_xlfn.COUNTIFS('Datos - Temas'!$AV$5:$AV$1264,$A21,'Datos - Temas'!$AK$5:$AK$1264,"FUERA")</f>
        <v>12</v>
      </c>
      <c r="O21" s="38" cm="1">
        <f t="array" ref="O21">ABS(F21-G21)</f>
        <v>0.12618320610687</v>
      </c>
    </row>
    <row r="22" ht="13.65" customHeight="1">
      <c r="A22" t="s" s="35">
        <v>139</v>
      </c>
      <c r="B22" t="s" s="35">
        <v>134</v>
      </c>
      <c r="C22" t="s" s="35">
        <v>187</v>
      </c>
      <c r="D22" s="36" cm="1">
        <f t="array" ref="D22">_xlfn.COUNTIFS('Datos - Temas'!$AV$5:$AV$1264,$A22,'Datos - Temas'!$AM$5:$AM$1264,$C22)</f>
        <v>81</v>
      </c>
      <c r="E22" s="36" cm="1">
        <f t="array" ref="E22">_xlfn.COUNTIFS('Datos - Temas'!$AV$5:$AV$1264,$A22)-_xlfn.COUNTIFS('Datos - Temas'!$AV$5:$AV$1264,$A22,'Datos - Temas'!$AK$5:$AK$1264,"FUERA")-_xlfn.COUNTIFS('Datos - Temas'!$AV$5:$AV$1264,$A22,'Datos - Temas'!$AK$5:$AK$1264,"PENDIENTE")</f>
        <v>262</v>
      </c>
      <c r="F22" s="38" cm="1">
        <f t="array" ref="F22">IF(E22=0,0,D22/E22)</f>
        <v>0.309160305343511</v>
      </c>
      <c r="G22" s="58">
        <v>0.37</v>
      </c>
      <c r="H22" s="70" cm="1">
        <f t="array" ref="H22">G22*E22</f>
        <v>96.94</v>
      </c>
      <c r="I22" s="70" cm="1">
        <f t="array" ref="I22">H22-D22</f>
        <v>15.94</v>
      </c>
      <c r="J22" s="88" cm="1">
        <f t="array" ref="J22">(G22-F22)*100</f>
        <v>6.0839694656489</v>
      </c>
      <c r="K22" t="str" s="89" cm="1">
        <f t="array" ref="K22">IF(ABS(G22-F22)&lt;=$H$2,"En meta",IF(I22&gt;0,"Faltan "&amp;FIXED(I22,0)&amp;" temas","Sobran "&amp;FIXED(-I22,0)&amp;" temas"))</f>
        <v>Faltan 16 temas</v>
      </c>
      <c r="L22" s="70" cm="1">
        <f t="array" ref="L22">MAX(D21/G21,D22/G22,D23/G23)</f>
        <v>351.351351351351</v>
      </c>
      <c r="M22" s="36" cm="1">
        <f t="array" ref="M22">MAX(0,ROUNDUP(G22*L22-D22,0))</f>
        <v>49</v>
      </c>
      <c r="N22" s="36" cm="1">
        <f t="array" ref="N22">_xlfn.COUNTIFS('Datos - Temas'!$AV$5:$AV$1264,$A22,'Datos - Temas'!$AK$5:$AK$1264,"FUERA")</f>
        <v>12</v>
      </c>
      <c r="O22" s="38" cm="1">
        <f t="array" ref="O22">ABS(F22-G22)</f>
        <v>0.060839694656489</v>
      </c>
    </row>
    <row r="23" ht="13.65" customHeight="1">
      <c r="A23" t="s" s="35">
        <v>139</v>
      </c>
      <c r="B23" t="s" s="35">
        <v>134</v>
      </c>
      <c r="C23" t="s" s="35">
        <v>188</v>
      </c>
      <c r="D23" s="36" cm="1">
        <f t="array" ref="D23">_xlfn.COUNTIFS('Datos - Temas'!$AV$5:$AV$1264,$A23,'Datos - Temas'!$AM$5:$AM$1264,$C23)</f>
        <v>51</v>
      </c>
      <c r="E23" s="36" cm="1">
        <f t="array" ref="E23">_xlfn.COUNTIFS('Datos - Temas'!$AV$5:$AV$1264,$A23)-_xlfn.COUNTIFS('Datos - Temas'!$AV$5:$AV$1264,$A23,'Datos - Temas'!$AK$5:$AK$1264,"FUERA")-_xlfn.COUNTIFS('Datos - Temas'!$AV$5:$AV$1264,$A23,'Datos - Temas'!$AK$5:$AK$1264,"PENDIENTE")</f>
        <v>262</v>
      </c>
      <c r="F23" s="38" cm="1">
        <f t="array" ref="F23">IF(E23=0,0,D23/E23)</f>
        <v>0.194656488549618</v>
      </c>
      <c r="G23" s="58">
        <v>0.26</v>
      </c>
      <c r="H23" s="70" cm="1">
        <f t="array" ref="H23">G23*E23</f>
        <v>68.12</v>
      </c>
      <c r="I23" s="70" cm="1">
        <f t="array" ref="I23">H23-D23</f>
        <v>17.12</v>
      </c>
      <c r="J23" s="88" cm="1">
        <f t="array" ref="J23">(G23-F23)*100</f>
        <v>6.5343511450382</v>
      </c>
      <c r="K23" t="str" s="89" cm="1">
        <f t="array" ref="K23">IF(ABS(G23-F23)&lt;=$H$2,"En meta",IF(I23&gt;0,"Faltan "&amp;FIXED(I23,0)&amp;" temas","Sobran "&amp;FIXED(-I23,0)&amp;" temas"))</f>
        <v>Faltan 17 temas</v>
      </c>
      <c r="L23" s="70" cm="1">
        <f t="array" ref="L23">MAX(D21/G21,D22/G22,D23/G23)</f>
        <v>351.351351351351</v>
      </c>
      <c r="M23" s="36" cm="1">
        <f t="array" ref="M23">MAX(0,ROUNDUP(G23*L23-D23,0))</f>
        <v>41</v>
      </c>
      <c r="N23" s="36" cm="1">
        <f t="array" ref="N23">_xlfn.COUNTIFS('Datos - Temas'!$AV$5:$AV$1264,$A23,'Datos - Temas'!$AK$5:$AK$1264,"FUERA")</f>
        <v>12</v>
      </c>
      <c r="O23" s="38" cm="1">
        <f t="array" ref="O23">ABS(F23-G23)</f>
        <v>0.065343511450382</v>
      </c>
    </row>
    <row r="24" ht="13.65" customHeight="1">
      <c r="A24" s="64"/>
      <c r="B24" s="64"/>
      <c r="C24" t="s" s="63">
        <v>1016</v>
      </c>
      <c r="D24" s="77" cm="1">
        <f t="array" ref="D24">SUM(D21:D23)</f>
        <v>262</v>
      </c>
      <c r="E24" s="64"/>
      <c r="F24" s="64"/>
      <c r="G24" s="90" cm="1">
        <f t="array" ref="G24">SUM(G21:G23)</f>
        <v>1</v>
      </c>
      <c r="H24" s="64"/>
      <c r="I24" s="64"/>
      <c r="J24" s="64"/>
      <c r="K24" s="64"/>
      <c r="L24" s="64"/>
      <c r="M24" s="77" cm="1">
        <f t="array" ref="M24">SUM(M21:M23)</f>
        <v>90</v>
      </c>
      <c r="N24" s="64"/>
      <c r="O24" s="65" cm="1">
        <f t="array" ref="O24">1-SUM(O21:O23)/2</f>
        <v>0.8738167938931301</v>
      </c>
    </row>
    <row r="25" ht="13.55" customHeight="1">
      <c r="A25" s="42"/>
      <c r="B25" s="18"/>
      <c r="C25" s="18"/>
      <c r="D25" s="18"/>
      <c r="E25" s="18"/>
      <c r="F25" s="18"/>
      <c r="G25" s="18"/>
      <c r="H25" s="18"/>
      <c r="I25" s="18"/>
      <c r="J25" s="18"/>
      <c r="K25" s="18"/>
      <c r="L25" s="18"/>
      <c r="M25" s="18"/>
      <c r="N25" s="18"/>
      <c r="O25" s="51"/>
    </row>
    <row r="26" ht="13.55" customHeight="1">
      <c r="A26" s="11"/>
      <c r="B26" s="13"/>
      <c r="C26" s="13"/>
      <c r="D26" s="13"/>
      <c r="E26" s="13"/>
      <c r="F26" s="13"/>
      <c r="G26" s="13"/>
      <c r="H26" s="13"/>
      <c r="I26" s="13"/>
      <c r="J26" s="13"/>
      <c r="K26" s="13"/>
      <c r="L26" s="13"/>
      <c r="M26" s="13"/>
      <c r="N26" s="13"/>
      <c r="O26" s="14"/>
    </row>
    <row r="27" ht="14.6" customHeight="1">
      <c r="A27" t="s" s="43">
        <v>1527</v>
      </c>
      <c r="B27" s="44"/>
      <c r="C27" s="44"/>
      <c r="D27" s="44"/>
      <c r="E27" s="44"/>
      <c r="F27" s="44"/>
      <c r="G27" s="44"/>
      <c r="H27" s="44"/>
      <c r="I27" s="44"/>
      <c r="J27" s="13"/>
      <c r="K27" s="13"/>
      <c r="L27" s="13"/>
      <c r="M27" s="13"/>
      <c r="N27" s="13"/>
      <c r="O27" s="14"/>
    </row>
    <row r="28" ht="32" customHeight="1">
      <c r="A28" t="s" s="34">
        <v>1047</v>
      </c>
      <c r="B28" t="s" s="34">
        <v>174</v>
      </c>
      <c r="C28" t="s" s="34">
        <v>1528</v>
      </c>
      <c r="D28" t="s" s="34">
        <v>85</v>
      </c>
      <c r="E28" t="s" s="34">
        <v>86</v>
      </c>
      <c r="F28" t="s" s="34">
        <v>138</v>
      </c>
      <c r="G28" t="s" s="34">
        <v>1529</v>
      </c>
      <c r="H28" t="s" s="34">
        <v>1530</v>
      </c>
      <c r="I28" t="s" s="34">
        <v>1531</v>
      </c>
      <c r="J28" s="17"/>
      <c r="K28" s="13"/>
      <c r="L28" s="13"/>
      <c r="M28" s="13"/>
      <c r="N28" s="13"/>
      <c r="O28" s="14"/>
    </row>
    <row r="29" ht="24.65" customHeight="1">
      <c r="A29" t="s" s="78">
        <v>822</v>
      </c>
      <c r="B29" t="s" s="78">
        <v>186</v>
      </c>
      <c r="C29" t="s" s="78">
        <v>1532</v>
      </c>
      <c r="D29" s="80" cm="1">
        <f t="array" ref="D29">_xlfn.COUNTIFS('Datos - Temas'!$V$5:$V$1264,D$28,'Datos - Temas'!$AK$5:$AK$1264,$A29)+_xlfn.COUNTIFS('Datos - Temas'!$V$5:$V$1264,D$28,'Datos - Temas'!$AL$5:$AL$1264,$A29)</f>
        <v>8</v>
      </c>
      <c r="E29" s="80" cm="1">
        <f t="array" ref="E29">_xlfn.COUNTIFS('Datos - Temas'!$V$5:$V$1264,E$28,'Datos - Temas'!$AK$5:$AK$1264,$A29)+_xlfn.COUNTIFS('Datos - Temas'!$V$5:$V$1264,E$28,'Datos - Temas'!$AL$5:$AL$1264,$A29)</f>
        <v>23</v>
      </c>
      <c r="F29" s="80" cm="1">
        <f t="array" ref="F29">_xlfn.COUNTIFS('Datos - Temas'!$V$5:$V$1264,F$28,'Datos - Temas'!$AK$5:$AK$1264,$A29)+_xlfn.COUNTIFS('Datos - Temas'!$V$5:$V$1264,F$28,'Datos - Temas'!$AL$5:$AL$1264,$A29)</f>
        <v>14</v>
      </c>
      <c r="G29" s="80" cm="1">
        <f t="array" ref="G29">SUM(D29:F29)</f>
        <v>45</v>
      </c>
      <c r="H29" t="str" s="79" cm="1">
        <f t="array" ref="H29">IF(G29=0,"No cubierto",IF(G29=1,"Débil (1 tema)",IF(G29&lt;=3,"Básica (2–3)","Sólida (4+)")))</f>
        <v>Sólida (4+)</v>
      </c>
      <c r="I29" t="str" s="79" cm="1">
        <f t="array" ref="I29">_xlfn.IFERROR(INDEX($D$28:$F$28,MATCH(TRUE,INDEX(D29:F29&gt;0,0),0)),"—")</f>
        <v>7°</v>
      </c>
      <c r="J29" s="17"/>
      <c r="K29" s="13"/>
      <c r="L29" s="13"/>
      <c r="M29" s="13"/>
      <c r="N29" s="13"/>
      <c r="O29" s="14"/>
    </row>
    <row r="30" ht="24.65" customHeight="1">
      <c r="A30" t="s" s="78">
        <v>869</v>
      </c>
      <c r="B30" t="s" s="78">
        <v>186</v>
      </c>
      <c r="C30" t="s" s="78">
        <v>1533</v>
      </c>
      <c r="D30" s="80" cm="1">
        <f t="array" ref="D30">_xlfn.COUNTIFS('Datos - Temas'!$V$5:$V$1264,D$28,'Datos - Temas'!$AK$5:$AK$1264,$A30)+_xlfn.COUNTIFS('Datos - Temas'!$V$5:$V$1264,D$28,'Datos - Temas'!$AL$5:$AL$1264,$A30)</f>
        <v>8</v>
      </c>
      <c r="E30" s="80" cm="1">
        <f t="array" ref="E30">_xlfn.COUNTIFS('Datos - Temas'!$V$5:$V$1264,E$28,'Datos - Temas'!$AK$5:$AK$1264,$A30)+_xlfn.COUNTIFS('Datos - Temas'!$V$5:$V$1264,E$28,'Datos - Temas'!$AL$5:$AL$1264,$A30)</f>
        <v>2</v>
      </c>
      <c r="F30" s="80" cm="1">
        <f t="array" ref="F30">_xlfn.COUNTIFS('Datos - Temas'!$V$5:$V$1264,F$28,'Datos - Temas'!$AK$5:$AK$1264,$A30)+_xlfn.COUNTIFS('Datos - Temas'!$V$5:$V$1264,F$28,'Datos - Temas'!$AL$5:$AL$1264,$A30)</f>
        <v>20</v>
      </c>
      <c r="G30" s="80" cm="1">
        <f t="array" ref="G30">SUM(D30:F30)</f>
        <v>30</v>
      </c>
      <c r="H30" t="str" s="79" cm="1">
        <f t="array" ref="H30">IF(G30=0,"No cubierto",IF(G30=1,"Débil (1 tema)",IF(G30&lt;=3,"Básica (2–3)","Sólida (4+)")))</f>
        <v>Sólida (4+)</v>
      </c>
      <c r="I30" t="str" s="79" cm="1">
        <f t="array" ref="I30">_xlfn.IFERROR(INDEX($D$28:$F$28,MATCH(TRUE,INDEX(D30:F30&gt;0,0),0)),"—")</f>
        <v>7°</v>
      </c>
      <c r="J30" s="17"/>
      <c r="K30" s="13"/>
      <c r="L30" s="13"/>
      <c r="M30" s="13"/>
      <c r="N30" s="13"/>
      <c r="O30" s="14"/>
    </row>
    <row r="31" ht="24.65" customHeight="1">
      <c r="A31" t="s" s="78">
        <v>838</v>
      </c>
      <c r="B31" t="s" s="78">
        <v>186</v>
      </c>
      <c r="C31" t="s" s="78">
        <v>1534</v>
      </c>
      <c r="D31" s="80" cm="1">
        <f t="array" ref="D31">_xlfn.COUNTIFS('Datos - Temas'!$V$5:$V$1264,D$28,'Datos - Temas'!$AK$5:$AK$1264,$A31)+_xlfn.COUNTIFS('Datos - Temas'!$V$5:$V$1264,D$28,'Datos - Temas'!$AL$5:$AL$1264,$A31)</f>
        <v>0</v>
      </c>
      <c r="E31" s="80" cm="1">
        <f t="array" ref="E31">_xlfn.COUNTIFS('Datos - Temas'!$V$5:$V$1264,E$28,'Datos - Temas'!$AK$5:$AK$1264,$A31)+_xlfn.COUNTIFS('Datos - Temas'!$V$5:$V$1264,E$28,'Datos - Temas'!$AL$5:$AL$1264,$A31)</f>
        <v>18</v>
      </c>
      <c r="F31" s="80" cm="1">
        <f t="array" ref="F31">_xlfn.COUNTIFS('Datos - Temas'!$V$5:$V$1264,F$28,'Datos - Temas'!$AK$5:$AK$1264,$A31)+_xlfn.COUNTIFS('Datos - Temas'!$V$5:$V$1264,F$28,'Datos - Temas'!$AL$5:$AL$1264,$A31)</f>
        <v>22</v>
      </c>
      <c r="G31" s="80" cm="1">
        <f t="array" ref="G31">SUM(D31:F31)</f>
        <v>40</v>
      </c>
      <c r="H31" t="str" s="79" cm="1">
        <f t="array" ref="H31">IF(G31=0,"No cubierto",IF(G31=1,"Débil (1 tema)",IF(G31&lt;=3,"Básica (2–3)","Sólida (4+)")))</f>
        <v>Sólida (4+)</v>
      </c>
      <c r="I31" t="str" s="79" cm="1">
        <f t="array" ref="I31">_xlfn.IFERROR(INDEX($D$28:$F$28,MATCH(TRUE,INDEX(D31:F31&gt;0,0),0)),"—")</f>
        <v>8°</v>
      </c>
      <c r="J31" s="17"/>
      <c r="K31" s="13"/>
      <c r="L31" s="13"/>
      <c r="M31" s="13"/>
      <c r="N31" s="13"/>
      <c r="O31" s="14"/>
    </row>
    <row r="32" ht="13.65" customHeight="1">
      <c r="A32" t="s" s="78">
        <v>854</v>
      </c>
      <c r="B32" t="s" s="78">
        <v>186</v>
      </c>
      <c r="C32" t="s" s="78">
        <v>1535</v>
      </c>
      <c r="D32" s="80" cm="1">
        <f t="array" ref="D32">_xlfn.COUNTIFS('Datos - Temas'!$V$5:$V$1264,D$28,'Datos - Temas'!$AK$5:$AK$1264,$A32)+_xlfn.COUNTIFS('Datos - Temas'!$V$5:$V$1264,D$28,'Datos - Temas'!$AL$5:$AL$1264,$A32)</f>
        <v>5</v>
      </c>
      <c r="E32" s="80" cm="1">
        <f t="array" ref="E32">_xlfn.COUNTIFS('Datos - Temas'!$V$5:$V$1264,E$28,'Datos - Temas'!$AK$5:$AK$1264,$A32)+_xlfn.COUNTIFS('Datos - Temas'!$V$5:$V$1264,E$28,'Datos - Temas'!$AL$5:$AL$1264,$A32)</f>
        <v>14</v>
      </c>
      <c r="F32" s="80" cm="1">
        <f t="array" ref="F32">_xlfn.COUNTIFS('Datos - Temas'!$V$5:$V$1264,F$28,'Datos - Temas'!$AK$5:$AK$1264,$A32)+_xlfn.COUNTIFS('Datos - Temas'!$V$5:$V$1264,F$28,'Datos - Temas'!$AL$5:$AL$1264,$A32)</f>
        <v>18</v>
      </c>
      <c r="G32" s="80" cm="1">
        <f t="array" ref="G32">SUM(D32:F32)</f>
        <v>37</v>
      </c>
      <c r="H32" t="str" s="79" cm="1">
        <f t="array" ref="H32">IF(G32=0,"No cubierto",IF(G32=1,"Débil (1 tema)",IF(G32&lt;=3,"Básica (2–3)","Sólida (4+)")))</f>
        <v>Sólida (4+)</v>
      </c>
      <c r="I32" t="str" s="79" cm="1">
        <f t="array" ref="I32">_xlfn.IFERROR(INDEX($D$28:$F$28,MATCH(TRUE,INDEX(D32:F32&gt;0,0),0)),"—")</f>
        <v>7°</v>
      </c>
      <c r="J32" s="17"/>
      <c r="K32" s="13"/>
      <c r="L32" s="13"/>
      <c r="M32" s="13"/>
      <c r="N32" s="13"/>
      <c r="O32" s="14"/>
    </row>
    <row r="33" ht="24.65" customHeight="1">
      <c r="A33" t="s" s="78">
        <v>826</v>
      </c>
      <c r="B33" t="s" s="78">
        <v>186</v>
      </c>
      <c r="C33" t="s" s="78">
        <v>1536</v>
      </c>
      <c r="D33" s="80" cm="1">
        <f t="array" ref="D33">_xlfn.COUNTIFS('Datos - Temas'!$V$5:$V$1264,D$28,'Datos - Temas'!$AK$5:$AK$1264,$A33)+_xlfn.COUNTIFS('Datos - Temas'!$V$5:$V$1264,D$28,'Datos - Temas'!$AL$5:$AL$1264,$A33)</f>
        <v>1</v>
      </c>
      <c r="E33" s="80" cm="1">
        <f t="array" ref="E33">_xlfn.COUNTIFS('Datos - Temas'!$V$5:$V$1264,E$28,'Datos - Temas'!$AK$5:$AK$1264,$A33)+_xlfn.COUNTIFS('Datos - Temas'!$V$5:$V$1264,E$28,'Datos - Temas'!$AL$5:$AL$1264,$A33)</f>
        <v>6</v>
      </c>
      <c r="F33" s="80" cm="1">
        <f t="array" ref="F33">_xlfn.COUNTIFS('Datos - Temas'!$V$5:$V$1264,F$28,'Datos - Temas'!$AK$5:$AK$1264,$A33)+_xlfn.COUNTIFS('Datos - Temas'!$V$5:$V$1264,F$28,'Datos - Temas'!$AL$5:$AL$1264,$A33)</f>
        <v>3</v>
      </c>
      <c r="G33" s="80" cm="1">
        <f t="array" ref="G33">SUM(D33:F33)</f>
        <v>10</v>
      </c>
      <c r="H33" t="str" s="79" cm="1">
        <f t="array" ref="H33">IF(G33=0,"No cubierto",IF(G33=1,"Débil (1 tema)",IF(G33&lt;=3,"Básica (2–3)","Sólida (4+)")))</f>
        <v>Sólida (4+)</v>
      </c>
      <c r="I33" t="str" s="79" cm="1">
        <f t="array" ref="I33">_xlfn.IFERROR(INDEX($D$28:$F$28,MATCH(TRUE,INDEX(D33:F33&gt;0,0),0)),"—")</f>
        <v>7°</v>
      </c>
      <c r="J33" s="17"/>
      <c r="K33" s="13"/>
      <c r="L33" s="13"/>
      <c r="M33" s="13"/>
      <c r="N33" s="13"/>
      <c r="O33" s="14"/>
    </row>
    <row r="34" ht="24.65" customHeight="1">
      <c r="A34" t="s" s="78">
        <v>1537</v>
      </c>
      <c r="B34" t="s" s="78">
        <v>187</v>
      </c>
      <c r="C34" t="s" s="78">
        <v>1538</v>
      </c>
      <c r="D34" s="80" cm="1">
        <f t="array" ref="D34">_xlfn.COUNTIFS('Datos - Temas'!$V$5:$V$1264,D$28,'Datos - Temas'!$AK$5:$AK$1264,$A34)+_xlfn.COUNTIFS('Datos - Temas'!$V$5:$V$1264,D$28,'Datos - Temas'!$AL$5:$AL$1264,$A34)</f>
        <v>6</v>
      </c>
      <c r="E34" s="80" cm="1">
        <f t="array" ref="E34">_xlfn.COUNTIFS('Datos - Temas'!$V$5:$V$1264,E$28,'Datos - Temas'!$AK$5:$AK$1264,$A34)+_xlfn.COUNTIFS('Datos - Temas'!$V$5:$V$1264,E$28,'Datos - Temas'!$AL$5:$AL$1264,$A34)</f>
        <v>0</v>
      </c>
      <c r="F34" s="80" cm="1">
        <f t="array" ref="F34">_xlfn.COUNTIFS('Datos - Temas'!$V$5:$V$1264,F$28,'Datos - Temas'!$AK$5:$AK$1264,$A34)+_xlfn.COUNTIFS('Datos - Temas'!$V$5:$V$1264,F$28,'Datos - Temas'!$AL$5:$AL$1264,$A34)</f>
        <v>0</v>
      </c>
      <c r="G34" s="80" cm="1">
        <f t="array" ref="G34">SUM(D34:F34)</f>
        <v>6</v>
      </c>
      <c r="H34" t="str" s="79" cm="1">
        <f t="array" ref="H34">IF(G34=0,"No cubierto",IF(G34=1,"Débil (1 tema)",IF(G34&lt;=3,"Básica (2–3)","Sólida (4+)")))</f>
        <v>Sólida (4+)</v>
      </c>
      <c r="I34" t="str" s="79" cm="1">
        <f t="array" ref="I34">_xlfn.IFERROR(INDEX($D$28:$F$28,MATCH(TRUE,INDEX(D34:F34&gt;0,0),0)),"—")</f>
        <v>7°</v>
      </c>
      <c r="J34" s="17"/>
      <c r="K34" s="13"/>
      <c r="L34" s="13"/>
      <c r="M34" s="13"/>
      <c r="N34" s="13"/>
      <c r="O34" s="14"/>
    </row>
    <row r="35" ht="13.65" customHeight="1">
      <c r="A35" t="s" s="78">
        <v>786</v>
      </c>
      <c r="B35" t="s" s="78">
        <v>187</v>
      </c>
      <c r="C35" t="s" s="78">
        <v>1539</v>
      </c>
      <c r="D35" s="80" cm="1">
        <f t="array" ref="D35">_xlfn.COUNTIFS('Datos - Temas'!$V$5:$V$1264,D$28,'Datos - Temas'!$AK$5:$AK$1264,$A35)+_xlfn.COUNTIFS('Datos - Temas'!$V$5:$V$1264,D$28,'Datos - Temas'!$AL$5:$AL$1264,$A35)</f>
        <v>14</v>
      </c>
      <c r="E35" s="80" cm="1">
        <f t="array" ref="E35">_xlfn.COUNTIFS('Datos - Temas'!$V$5:$V$1264,E$28,'Datos - Temas'!$AK$5:$AK$1264,$A35)+_xlfn.COUNTIFS('Datos - Temas'!$V$5:$V$1264,E$28,'Datos - Temas'!$AL$5:$AL$1264,$A35)</f>
        <v>0</v>
      </c>
      <c r="F35" s="80" cm="1">
        <f t="array" ref="F35">_xlfn.COUNTIFS('Datos - Temas'!$V$5:$V$1264,F$28,'Datos - Temas'!$AK$5:$AK$1264,$A35)+_xlfn.COUNTIFS('Datos - Temas'!$V$5:$V$1264,F$28,'Datos - Temas'!$AL$5:$AL$1264,$A35)</f>
        <v>0</v>
      </c>
      <c r="G35" s="80" cm="1">
        <f t="array" ref="G35">SUM(D35:F35)</f>
        <v>14</v>
      </c>
      <c r="H35" t="str" s="79" cm="1">
        <f t="array" ref="H35">IF(G35=0,"No cubierto",IF(G35=1,"Débil (1 tema)",IF(G35&lt;=3,"Básica (2–3)","Sólida (4+)")))</f>
        <v>Sólida (4+)</v>
      </c>
      <c r="I35" t="str" s="79" cm="1">
        <f t="array" ref="I35">_xlfn.IFERROR(INDEX($D$28:$F$28,MATCH(TRUE,INDEX(D35:F35&gt;0,0),0)),"—")</f>
        <v>7°</v>
      </c>
      <c r="J35" s="17"/>
      <c r="K35" s="13"/>
      <c r="L35" s="13"/>
      <c r="M35" s="13"/>
      <c r="N35" s="13"/>
      <c r="O35" s="14"/>
    </row>
    <row r="36" ht="13.65" customHeight="1">
      <c r="A36" t="s" s="78">
        <v>765</v>
      </c>
      <c r="B36" t="s" s="78">
        <v>187</v>
      </c>
      <c r="C36" t="s" s="78">
        <v>1540</v>
      </c>
      <c r="D36" s="80" cm="1">
        <f t="array" ref="D36">_xlfn.COUNTIFS('Datos - Temas'!$V$5:$V$1264,D$28,'Datos - Temas'!$AK$5:$AK$1264,$A36)+_xlfn.COUNTIFS('Datos - Temas'!$V$5:$V$1264,D$28,'Datos - Temas'!$AL$5:$AL$1264,$A36)</f>
        <v>2</v>
      </c>
      <c r="E36" s="80" cm="1">
        <f t="array" ref="E36">_xlfn.COUNTIFS('Datos - Temas'!$V$5:$V$1264,E$28,'Datos - Temas'!$AK$5:$AK$1264,$A36)+_xlfn.COUNTIFS('Datos - Temas'!$V$5:$V$1264,E$28,'Datos - Temas'!$AL$5:$AL$1264,$A36)</f>
        <v>11</v>
      </c>
      <c r="F36" s="80" cm="1">
        <f t="array" ref="F36">_xlfn.COUNTIFS('Datos - Temas'!$V$5:$V$1264,F$28,'Datos - Temas'!$AK$5:$AK$1264,$A36)+_xlfn.COUNTIFS('Datos - Temas'!$V$5:$V$1264,F$28,'Datos - Temas'!$AL$5:$AL$1264,$A36)</f>
        <v>0</v>
      </c>
      <c r="G36" s="80" cm="1">
        <f t="array" ref="G36">SUM(D36:F36)</f>
        <v>13</v>
      </c>
      <c r="H36" t="str" s="79" cm="1">
        <f t="array" ref="H36">IF(G36=0,"No cubierto",IF(G36=1,"Débil (1 tema)",IF(G36&lt;=3,"Básica (2–3)","Sólida (4+)")))</f>
        <v>Sólida (4+)</v>
      </c>
      <c r="I36" t="str" s="79" cm="1">
        <f t="array" ref="I36">_xlfn.IFERROR(INDEX($D$28:$F$28,MATCH(TRUE,INDEX(D36:F36&gt;0,0),0)),"—")</f>
        <v>7°</v>
      </c>
      <c r="J36" s="17"/>
      <c r="K36" s="13"/>
      <c r="L36" s="13"/>
      <c r="M36" s="13"/>
      <c r="N36" s="13"/>
      <c r="O36" s="14"/>
    </row>
    <row r="37" ht="24.65" customHeight="1">
      <c r="A37" t="s" s="78">
        <v>790</v>
      </c>
      <c r="B37" t="s" s="78">
        <v>187</v>
      </c>
      <c r="C37" t="s" s="78">
        <v>1541</v>
      </c>
      <c r="D37" s="80" cm="1">
        <f t="array" ref="D37">_xlfn.COUNTIFS('Datos - Temas'!$V$5:$V$1264,D$28,'Datos - Temas'!$AK$5:$AK$1264,$A37)+_xlfn.COUNTIFS('Datos - Temas'!$V$5:$V$1264,D$28,'Datos - Temas'!$AL$5:$AL$1264,$A37)</f>
        <v>1</v>
      </c>
      <c r="E37" s="80" cm="1">
        <f t="array" ref="E37">_xlfn.COUNTIFS('Datos - Temas'!$V$5:$V$1264,E$28,'Datos - Temas'!$AK$5:$AK$1264,$A37)+_xlfn.COUNTIFS('Datos - Temas'!$V$5:$V$1264,E$28,'Datos - Temas'!$AL$5:$AL$1264,$A37)</f>
        <v>27</v>
      </c>
      <c r="F37" s="80" cm="1">
        <f t="array" ref="F37">_xlfn.COUNTIFS('Datos - Temas'!$V$5:$V$1264,F$28,'Datos - Temas'!$AK$5:$AK$1264,$A37)+_xlfn.COUNTIFS('Datos - Temas'!$V$5:$V$1264,F$28,'Datos - Temas'!$AL$5:$AL$1264,$A37)</f>
        <v>0</v>
      </c>
      <c r="G37" s="80" cm="1">
        <f t="array" ref="G37">SUM(D37:F37)</f>
        <v>28</v>
      </c>
      <c r="H37" t="str" s="79" cm="1">
        <f t="array" ref="H37">IF(G37=0,"No cubierto",IF(G37=1,"Débil (1 tema)",IF(G37&lt;=3,"Básica (2–3)","Sólida (4+)")))</f>
        <v>Sólida (4+)</v>
      </c>
      <c r="I37" t="str" s="79" cm="1">
        <f t="array" ref="I37">_xlfn.IFERROR(INDEX($D$28:$F$28,MATCH(TRUE,INDEX(D37:F37&gt;0,0),0)),"—")</f>
        <v>7°</v>
      </c>
      <c r="J37" s="17"/>
      <c r="K37" s="13"/>
      <c r="L37" s="13"/>
      <c r="M37" s="13"/>
      <c r="N37" s="13"/>
      <c r="O37" s="14"/>
    </row>
    <row r="38" ht="24.65" customHeight="1">
      <c r="A38" t="s" s="78">
        <v>1542</v>
      </c>
      <c r="B38" t="s" s="78">
        <v>187</v>
      </c>
      <c r="C38" t="s" s="78">
        <v>1543</v>
      </c>
      <c r="D38" s="80" cm="1">
        <f t="array" ref="D38">_xlfn.COUNTIFS('Datos - Temas'!$V$5:$V$1264,D$28,'Datos - Temas'!$AK$5:$AK$1264,$A38)+_xlfn.COUNTIFS('Datos - Temas'!$V$5:$V$1264,D$28,'Datos - Temas'!$AL$5:$AL$1264,$A38)</f>
        <v>19</v>
      </c>
      <c r="E38" s="80" cm="1">
        <f t="array" ref="E38">_xlfn.COUNTIFS('Datos - Temas'!$V$5:$V$1264,E$28,'Datos - Temas'!$AK$5:$AK$1264,$A38)+_xlfn.COUNTIFS('Datos - Temas'!$V$5:$V$1264,E$28,'Datos - Temas'!$AL$5:$AL$1264,$A38)</f>
        <v>0</v>
      </c>
      <c r="F38" s="80" cm="1">
        <f t="array" ref="F38">_xlfn.COUNTIFS('Datos - Temas'!$V$5:$V$1264,F$28,'Datos - Temas'!$AK$5:$AK$1264,$A38)+_xlfn.COUNTIFS('Datos - Temas'!$V$5:$V$1264,F$28,'Datos - Temas'!$AL$5:$AL$1264,$A38)</f>
        <v>0</v>
      </c>
      <c r="G38" s="80" cm="1">
        <f t="array" ref="G38">SUM(D38:F38)</f>
        <v>19</v>
      </c>
      <c r="H38" t="str" s="79" cm="1">
        <f t="array" ref="H38">IF(G38=0,"No cubierto",IF(G38=1,"Débil (1 tema)",IF(G38&lt;=3,"Básica (2–3)","Sólida (4+)")))</f>
        <v>Sólida (4+)</v>
      </c>
      <c r="I38" t="str" s="79" cm="1">
        <f t="array" ref="I38">_xlfn.IFERROR(INDEX($D$28:$F$28,MATCH(TRUE,INDEX(D38:F38&gt;0,0),0)),"—")</f>
        <v>7°</v>
      </c>
      <c r="J38" s="17"/>
      <c r="K38" s="13"/>
      <c r="L38" s="13"/>
      <c r="M38" s="13"/>
      <c r="N38" s="13"/>
      <c r="O38" s="14"/>
    </row>
    <row r="39" ht="24.65" customHeight="1">
      <c r="A39" t="s" s="78">
        <v>1544</v>
      </c>
      <c r="B39" t="s" s="78">
        <v>187</v>
      </c>
      <c r="C39" t="s" s="78">
        <v>1545</v>
      </c>
      <c r="D39" s="80" cm="1">
        <f t="array" ref="D39">_xlfn.COUNTIFS('Datos - Temas'!$V$5:$V$1264,D$28,'Datos - Temas'!$AK$5:$AK$1264,$A39)+_xlfn.COUNTIFS('Datos - Temas'!$V$5:$V$1264,D$28,'Datos - Temas'!$AL$5:$AL$1264,$A39)</f>
        <v>14</v>
      </c>
      <c r="E39" s="80" cm="1">
        <f t="array" ref="E39">_xlfn.COUNTIFS('Datos - Temas'!$V$5:$V$1264,E$28,'Datos - Temas'!$AK$5:$AK$1264,$A39)+_xlfn.COUNTIFS('Datos - Temas'!$V$5:$V$1264,E$28,'Datos - Temas'!$AL$5:$AL$1264,$A39)</f>
        <v>0</v>
      </c>
      <c r="F39" s="80" cm="1">
        <f t="array" ref="F39">_xlfn.COUNTIFS('Datos - Temas'!$V$5:$V$1264,F$28,'Datos - Temas'!$AK$5:$AK$1264,$A39)+_xlfn.COUNTIFS('Datos - Temas'!$V$5:$V$1264,F$28,'Datos - Temas'!$AL$5:$AL$1264,$A39)</f>
        <v>2</v>
      </c>
      <c r="G39" s="80" cm="1">
        <f t="array" ref="G39">SUM(D39:F39)</f>
        <v>16</v>
      </c>
      <c r="H39" t="str" s="79" cm="1">
        <f t="array" ref="H39">IF(G39=0,"No cubierto",IF(G39=1,"Débil (1 tema)",IF(G39&lt;=3,"Básica (2–3)","Sólida (4+)")))</f>
        <v>Sólida (4+)</v>
      </c>
      <c r="I39" t="str" s="79" cm="1">
        <f t="array" ref="I39">_xlfn.IFERROR(INDEX($D$28:$F$28,MATCH(TRUE,INDEX(D39:F39&gt;0,0),0)),"—")</f>
        <v>7°</v>
      </c>
      <c r="J39" s="17"/>
      <c r="K39" s="13"/>
      <c r="L39" s="13"/>
      <c r="M39" s="13"/>
      <c r="N39" s="13"/>
      <c r="O39" s="14"/>
    </row>
    <row r="40" ht="13.65" customHeight="1">
      <c r="A40" t="s" s="78">
        <v>1546</v>
      </c>
      <c r="B40" t="s" s="78">
        <v>187</v>
      </c>
      <c r="C40" t="s" s="78">
        <v>1547</v>
      </c>
      <c r="D40" s="80" cm="1">
        <f t="array" ref="D40">_xlfn.COUNTIFS('Datos - Temas'!$V$5:$V$1264,D$28,'Datos - Temas'!$AK$5:$AK$1264,$A40)+_xlfn.COUNTIFS('Datos - Temas'!$V$5:$V$1264,D$28,'Datos - Temas'!$AL$5:$AL$1264,$A40)</f>
        <v>3</v>
      </c>
      <c r="E40" s="80" cm="1">
        <f t="array" ref="E40">_xlfn.COUNTIFS('Datos - Temas'!$V$5:$V$1264,E$28,'Datos - Temas'!$AK$5:$AK$1264,$A40)+_xlfn.COUNTIFS('Datos - Temas'!$V$5:$V$1264,E$28,'Datos - Temas'!$AL$5:$AL$1264,$A40)</f>
        <v>0</v>
      </c>
      <c r="F40" s="80" cm="1">
        <f t="array" ref="F40">_xlfn.COUNTIFS('Datos - Temas'!$V$5:$V$1264,F$28,'Datos - Temas'!$AK$5:$AK$1264,$A40)+_xlfn.COUNTIFS('Datos - Temas'!$V$5:$V$1264,F$28,'Datos - Temas'!$AL$5:$AL$1264,$A40)</f>
        <v>0</v>
      </c>
      <c r="G40" s="80" cm="1">
        <f t="array" ref="G40">SUM(D40:F40)</f>
        <v>3</v>
      </c>
      <c r="H40" t="str" s="79" cm="1">
        <f t="array" ref="H40">IF(G40=0,"No cubierto",IF(G40=1,"Débil (1 tema)",IF(G40&lt;=3,"Básica (2–3)","Sólida (4+)")))</f>
        <v>Básica (2–3)</v>
      </c>
      <c r="I40" t="str" s="79" cm="1">
        <f t="array" ref="I40">_xlfn.IFERROR(INDEX($D$28:$F$28,MATCH(TRUE,INDEX(D40:F40&gt;0,0),0)),"—")</f>
        <v>7°</v>
      </c>
      <c r="J40" s="17"/>
      <c r="K40" s="13"/>
      <c r="L40" s="13"/>
      <c r="M40" s="13"/>
      <c r="N40" s="13"/>
      <c r="O40" s="14"/>
    </row>
    <row r="41" ht="24.65" customHeight="1">
      <c r="A41" t="s" s="78">
        <v>1548</v>
      </c>
      <c r="B41" t="s" s="78">
        <v>187</v>
      </c>
      <c r="C41" t="s" s="78">
        <v>1549</v>
      </c>
      <c r="D41" s="80" cm="1">
        <f t="array" ref="D41">_xlfn.COUNTIFS('Datos - Temas'!$V$5:$V$1264,D$28,'Datos - Temas'!$AK$5:$AK$1264,$A41)+_xlfn.COUNTIFS('Datos - Temas'!$V$5:$V$1264,D$28,'Datos - Temas'!$AL$5:$AL$1264,$A41)</f>
        <v>14</v>
      </c>
      <c r="E41" s="80" cm="1">
        <f t="array" ref="E41">_xlfn.COUNTIFS('Datos - Temas'!$V$5:$V$1264,E$28,'Datos - Temas'!$AK$5:$AK$1264,$A41)+_xlfn.COUNTIFS('Datos - Temas'!$V$5:$V$1264,E$28,'Datos - Temas'!$AL$5:$AL$1264,$A41)</f>
        <v>1</v>
      </c>
      <c r="F41" s="80" cm="1">
        <f t="array" ref="F41">_xlfn.COUNTIFS('Datos - Temas'!$V$5:$V$1264,F$28,'Datos - Temas'!$AK$5:$AK$1264,$A41)+_xlfn.COUNTIFS('Datos - Temas'!$V$5:$V$1264,F$28,'Datos - Temas'!$AL$5:$AL$1264,$A41)</f>
        <v>2</v>
      </c>
      <c r="G41" s="80" cm="1">
        <f t="array" ref="G41">SUM(D41:F41)</f>
        <v>17</v>
      </c>
      <c r="H41" t="str" s="79" cm="1">
        <f t="array" ref="H41">IF(G41=0,"No cubierto",IF(G41=1,"Débil (1 tema)",IF(G41&lt;=3,"Básica (2–3)","Sólida (4+)")))</f>
        <v>Sólida (4+)</v>
      </c>
      <c r="I41" t="str" s="79" cm="1">
        <f t="array" ref="I41">_xlfn.IFERROR(INDEX($D$28:$F$28,MATCH(TRUE,INDEX(D41:F41&gt;0,0),0)),"—")</f>
        <v>7°</v>
      </c>
      <c r="J41" s="17"/>
      <c r="K41" s="13"/>
      <c r="L41" s="13"/>
      <c r="M41" s="13"/>
      <c r="N41" s="13"/>
      <c r="O41" s="14"/>
    </row>
    <row r="42" ht="24.65" customHeight="1">
      <c r="A42" t="s" s="78">
        <v>1550</v>
      </c>
      <c r="B42" t="s" s="78">
        <v>188</v>
      </c>
      <c r="C42" t="s" s="78">
        <v>1551</v>
      </c>
      <c r="D42" s="80" cm="1">
        <f t="array" ref="D42">_xlfn.COUNTIFS('Datos - Temas'!$V$5:$V$1264,D$28,'Datos - Temas'!$AK$5:$AK$1264,$A42)+_xlfn.COUNTIFS('Datos - Temas'!$V$5:$V$1264,D$28,'Datos - Temas'!$AL$5:$AL$1264,$A42)</f>
        <v>11</v>
      </c>
      <c r="E42" s="80" cm="1">
        <f t="array" ref="E42">_xlfn.COUNTIFS('Datos - Temas'!$V$5:$V$1264,E$28,'Datos - Temas'!$AK$5:$AK$1264,$A42)+_xlfn.COUNTIFS('Datos - Temas'!$V$5:$V$1264,E$28,'Datos - Temas'!$AL$5:$AL$1264,$A42)</f>
        <v>6</v>
      </c>
      <c r="F42" s="80" cm="1">
        <f t="array" ref="F42">_xlfn.COUNTIFS('Datos - Temas'!$V$5:$V$1264,F$28,'Datos - Temas'!$AK$5:$AK$1264,$A42)+_xlfn.COUNTIFS('Datos - Temas'!$V$5:$V$1264,F$28,'Datos - Temas'!$AL$5:$AL$1264,$A42)</f>
        <v>19</v>
      </c>
      <c r="G42" s="80" cm="1">
        <f t="array" ref="G42">SUM(D42:F42)</f>
        <v>36</v>
      </c>
      <c r="H42" t="str" s="79" cm="1">
        <f t="array" ref="H42">IF(G42=0,"No cubierto",IF(G42=1,"Débil (1 tema)",IF(G42&lt;=3,"Básica (2–3)","Sólida (4+)")))</f>
        <v>Sólida (4+)</v>
      </c>
      <c r="I42" t="str" s="79" cm="1">
        <f t="array" ref="I42">_xlfn.IFERROR(INDEX($D$28:$F$28,MATCH(TRUE,INDEX(D42:F42&gt;0,0),0)),"—")</f>
        <v>7°</v>
      </c>
      <c r="J42" s="17"/>
      <c r="K42" s="13"/>
      <c r="L42" s="13"/>
      <c r="M42" s="13"/>
      <c r="N42" s="13"/>
      <c r="O42" s="14"/>
    </row>
    <row r="43" ht="24.65" customHeight="1">
      <c r="A43" t="s" s="78">
        <v>1552</v>
      </c>
      <c r="B43" t="s" s="78">
        <v>188</v>
      </c>
      <c r="C43" t="s" s="78">
        <v>1553</v>
      </c>
      <c r="D43" s="80" cm="1">
        <f t="array" ref="D43">_xlfn.COUNTIFS('Datos - Temas'!$V$5:$V$1264,D$28,'Datos - Temas'!$AK$5:$AK$1264,$A43)+_xlfn.COUNTIFS('Datos - Temas'!$V$5:$V$1264,D$28,'Datos - Temas'!$AL$5:$AL$1264,$A43)</f>
        <v>5</v>
      </c>
      <c r="E43" s="80" cm="1">
        <f t="array" ref="E43">_xlfn.COUNTIFS('Datos - Temas'!$V$5:$V$1264,E$28,'Datos - Temas'!$AK$5:$AK$1264,$A43)+_xlfn.COUNTIFS('Datos - Temas'!$V$5:$V$1264,E$28,'Datos - Temas'!$AL$5:$AL$1264,$A43)</f>
        <v>3</v>
      </c>
      <c r="F43" s="80" cm="1">
        <f t="array" ref="F43">_xlfn.COUNTIFS('Datos - Temas'!$V$5:$V$1264,F$28,'Datos - Temas'!$AK$5:$AK$1264,$A43)+_xlfn.COUNTIFS('Datos - Temas'!$V$5:$V$1264,F$28,'Datos - Temas'!$AL$5:$AL$1264,$A43)</f>
        <v>0</v>
      </c>
      <c r="G43" s="80" cm="1">
        <f t="array" ref="G43">SUM(D43:F43)</f>
        <v>8</v>
      </c>
      <c r="H43" t="str" s="79" cm="1">
        <f t="array" ref="H43">IF(G43=0,"No cubierto",IF(G43=1,"Débil (1 tema)",IF(G43&lt;=3,"Básica (2–3)","Sólida (4+)")))</f>
        <v>Sólida (4+)</v>
      </c>
      <c r="I43" t="str" s="79" cm="1">
        <f t="array" ref="I43">_xlfn.IFERROR(INDEX($D$28:$F$28,MATCH(TRUE,INDEX(D43:F43&gt;0,0),0)),"—")</f>
        <v>7°</v>
      </c>
      <c r="J43" s="17"/>
      <c r="K43" s="13"/>
      <c r="L43" s="13"/>
      <c r="M43" s="13"/>
      <c r="N43" s="13"/>
      <c r="O43" s="14"/>
    </row>
    <row r="44" ht="24.65" customHeight="1">
      <c r="A44" t="s" s="78">
        <v>1554</v>
      </c>
      <c r="B44" t="s" s="78">
        <v>188</v>
      </c>
      <c r="C44" t="s" s="78">
        <v>1555</v>
      </c>
      <c r="D44" s="80" cm="1">
        <f t="array" ref="D44">_xlfn.COUNTIFS('Datos - Temas'!$V$5:$V$1264,D$28,'Datos - Temas'!$AK$5:$AK$1264,$A44)+_xlfn.COUNTIFS('Datos - Temas'!$V$5:$V$1264,D$28,'Datos - Temas'!$AL$5:$AL$1264,$A44)</f>
        <v>12</v>
      </c>
      <c r="E44" s="80" cm="1">
        <f t="array" ref="E44">_xlfn.COUNTIFS('Datos - Temas'!$V$5:$V$1264,E$28,'Datos - Temas'!$AK$5:$AK$1264,$A44)+_xlfn.COUNTIFS('Datos - Temas'!$V$5:$V$1264,E$28,'Datos - Temas'!$AL$5:$AL$1264,$A44)</f>
        <v>0</v>
      </c>
      <c r="F44" s="80" cm="1">
        <f t="array" ref="F44">_xlfn.COUNTIFS('Datos - Temas'!$V$5:$V$1264,F$28,'Datos - Temas'!$AK$5:$AK$1264,$A44)+_xlfn.COUNTIFS('Datos - Temas'!$V$5:$V$1264,F$28,'Datos - Temas'!$AL$5:$AL$1264,$A44)</f>
        <v>4</v>
      </c>
      <c r="G44" s="80" cm="1">
        <f t="array" ref="G44">SUM(D44:F44)</f>
        <v>16</v>
      </c>
      <c r="H44" t="str" s="79" cm="1">
        <f t="array" ref="H44">IF(G44=0,"No cubierto",IF(G44=1,"Débil (1 tema)",IF(G44&lt;=3,"Básica (2–3)","Sólida (4+)")))</f>
        <v>Sólida (4+)</v>
      </c>
      <c r="I44" t="str" s="79" cm="1">
        <f t="array" ref="I44">_xlfn.IFERROR(INDEX($D$28:$F$28,MATCH(TRUE,INDEX(D44:F44&gt;0,0),0)),"—")</f>
        <v>7°</v>
      </c>
      <c r="J44" s="17"/>
      <c r="K44" s="13"/>
      <c r="L44" s="13"/>
      <c r="M44" s="13"/>
      <c r="N44" s="13"/>
      <c r="O44" s="14"/>
    </row>
    <row r="45" ht="24.65" customHeight="1">
      <c r="A45" t="s" s="78">
        <v>1556</v>
      </c>
      <c r="B45" t="s" s="78">
        <v>188</v>
      </c>
      <c r="C45" t="s" s="78">
        <v>1557</v>
      </c>
      <c r="D45" s="80" cm="1">
        <f t="array" ref="D45">_xlfn.COUNTIFS('Datos - Temas'!$V$5:$V$1264,D$28,'Datos - Temas'!$AK$5:$AK$1264,$A45)+_xlfn.COUNTIFS('Datos - Temas'!$V$5:$V$1264,D$28,'Datos - Temas'!$AL$5:$AL$1264,$A45)</f>
        <v>10</v>
      </c>
      <c r="E45" s="80" cm="1">
        <f t="array" ref="E45">_xlfn.COUNTIFS('Datos - Temas'!$V$5:$V$1264,E$28,'Datos - Temas'!$AK$5:$AK$1264,$A45)+_xlfn.COUNTIFS('Datos - Temas'!$V$5:$V$1264,E$28,'Datos - Temas'!$AL$5:$AL$1264,$A45)</f>
        <v>0</v>
      </c>
      <c r="F45" s="80" cm="1">
        <f t="array" ref="F45">_xlfn.COUNTIFS('Datos - Temas'!$V$5:$V$1264,F$28,'Datos - Temas'!$AK$5:$AK$1264,$A45)+_xlfn.COUNTIFS('Datos - Temas'!$V$5:$V$1264,F$28,'Datos - Temas'!$AL$5:$AL$1264,$A45)</f>
        <v>0</v>
      </c>
      <c r="G45" s="80" cm="1">
        <f t="array" ref="G45">SUM(D45:F45)</f>
        <v>10</v>
      </c>
      <c r="H45" t="str" s="79" cm="1">
        <f t="array" ref="H45">IF(G45=0,"No cubierto",IF(G45=1,"Débil (1 tema)",IF(G45&lt;=3,"Básica (2–3)","Sólida (4+)")))</f>
        <v>Sólida (4+)</v>
      </c>
      <c r="I45" t="str" s="79" cm="1">
        <f t="array" ref="I45">_xlfn.IFERROR(INDEX($D$28:$F$28,MATCH(TRUE,INDEX(D45:F45&gt;0,0),0)),"—")</f>
        <v>7°</v>
      </c>
      <c r="J45" s="17"/>
      <c r="K45" s="13"/>
      <c r="L45" s="13"/>
      <c r="M45" s="13"/>
      <c r="N45" s="13"/>
      <c r="O45" s="14"/>
    </row>
    <row r="46" ht="24.65" customHeight="1">
      <c r="A46" t="s" s="78">
        <v>1558</v>
      </c>
      <c r="B46" t="s" s="78">
        <v>188</v>
      </c>
      <c r="C46" t="s" s="78">
        <v>1559</v>
      </c>
      <c r="D46" s="80" cm="1">
        <f t="array" ref="D46">_xlfn.COUNTIFS('Datos - Temas'!$V$5:$V$1264,D$28,'Datos - Temas'!$AK$5:$AK$1264,$A46)+_xlfn.COUNTIFS('Datos - Temas'!$V$5:$V$1264,D$28,'Datos - Temas'!$AL$5:$AL$1264,$A46)</f>
        <v>3</v>
      </c>
      <c r="E46" s="80" cm="1">
        <f t="array" ref="E46">_xlfn.COUNTIFS('Datos - Temas'!$V$5:$V$1264,E$28,'Datos - Temas'!$AK$5:$AK$1264,$A46)+_xlfn.COUNTIFS('Datos - Temas'!$V$5:$V$1264,E$28,'Datos - Temas'!$AL$5:$AL$1264,$A46)</f>
        <v>0</v>
      </c>
      <c r="F46" s="80" cm="1">
        <f t="array" ref="F46">_xlfn.COUNTIFS('Datos - Temas'!$V$5:$V$1264,F$28,'Datos - Temas'!$AK$5:$AK$1264,$A46)+_xlfn.COUNTIFS('Datos - Temas'!$V$5:$V$1264,F$28,'Datos - Temas'!$AL$5:$AL$1264,$A46)</f>
        <v>6</v>
      </c>
      <c r="G46" s="80" cm="1">
        <f t="array" ref="G46">SUM(D46:F46)</f>
        <v>9</v>
      </c>
      <c r="H46" t="str" s="79" cm="1">
        <f t="array" ref="H46">IF(G46=0,"No cubierto",IF(G46=1,"Débil (1 tema)",IF(G46&lt;=3,"Básica (2–3)","Sólida (4+)")))</f>
        <v>Sólida (4+)</v>
      </c>
      <c r="I46" t="str" s="79" cm="1">
        <f t="array" ref="I46">_xlfn.IFERROR(INDEX($D$28:$F$28,MATCH(TRUE,INDEX(D46:F46&gt;0,0),0)),"—")</f>
        <v>7°</v>
      </c>
      <c r="J46" s="17"/>
      <c r="K46" s="13"/>
      <c r="L46" s="13"/>
      <c r="M46" s="13"/>
      <c r="N46" s="13"/>
      <c r="O46" s="14"/>
    </row>
    <row r="47" ht="24.65" customHeight="1">
      <c r="A47" t="s" s="78">
        <v>1560</v>
      </c>
      <c r="B47" t="s" s="78">
        <v>188</v>
      </c>
      <c r="C47" t="s" s="78">
        <v>1561</v>
      </c>
      <c r="D47" s="80" cm="1">
        <f t="array" ref="D47">_xlfn.COUNTIFS('Datos - Temas'!$V$5:$V$1264,D$28,'Datos - Temas'!$AK$5:$AK$1264,$A47)+_xlfn.COUNTIFS('Datos - Temas'!$V$5:$V$1264,D$28,'Datos - Temas'!$AL$5:$AL$1264,$A47)</f>
        <v>0</v>
      </c>
      <c r="E47" s="80" cm="1">
        <f t="array" ref="E47">_xlfn.COUNTIFS('Datos - Temas'!$V$5:$V$1264,E$28,'Datos - Temas'!$AK$5:$AK$1264,$A47)+_xlfn.COUNTIFS('Datos - Temas'!$V$5:$V$1264,E$28,'Datos - Temas'!$AL$5:$AL$1264,$A47)</f>
        <v>0</v>
      </c>
      <c r="F47" s="80" cm="1">
        <f t="array" ref="F47">_xlfn.COUNTIFS('Datos - Temas'!$V$5:$V$1264,F$28,'Datos - Temas'!$AK$5:$AK$1264,$A47)+_xlfn.COUNTIFS('Datos - Temas'!$V$5:$V$1264,F$28,'Datos - Temas'!$AL$5:$AL$1264,$A47)</f>
        <v>4</v>
      </c>
      <c r="G47" s="80" cm="1">
        <f t="array" ref="G47">SUM(D47:F47)</f>
        <v>4</v>
      </c>
      <c r="H47" t="str" s="79" cm="1">
        <f t="array" ref="H47">IF(G47=0,"No cubierto",IF(G47=1,"Débil (1 tema)",IF(G47&lt;=3,"Básica (2–3)","Sólida (4+)")))</f>
        <v>Sólida (4+)</v>
      </c>
      <c r="I47" t="str" s="79" cm="1">
        <f t="array" ref="I47">_xlfn.IFERROR(INDEX($D$28:$F$28,MATCH(TRUE,INDEX(D47:F47&gt;0,0),0)),"—")</f>
        <v>9°</v>
      </c>
      <c r="J47" s="17"/>
      <c r="K47" s="13"/>
      <c r="L47" s="13"/>
      <c r="M47" s="13"/>
      <c r="N47" s="13"/>
      <c r="O47" s="14"/>
    </row>
    <row r="48" ht="24.65" customHeight="1">
      <c r="A48" t="s" s="78">
        <v>667</v>
      </c>
      <c r="B48" t="s" s="78">
        <v>188</v>
      </c>
      <c r="C48" t="s" s="78">
        <v>1563</v>
      </c>
      <c r="D48" s="80" cm="1">
        <f t="array" ref="D48">_xlfn.COUNTIFS('Datos - Temas'!$V$5:$V$1264,D$28,'Datos - Temas'!$AK$5:$AK$1264,$A48)+_xlfn.COUNTIFS('Datos - Temas'!$V$5:$V$1264,D$28,'Datos - Temas'!$AL$5:$AL$1264,$A48)</f>
        <v>0</v>
      </c>
      <c r="E48" s="80" cm="1">
        <f t="array" ref="E48">_xlfn.COUNTIFS('Datos - Temas'!$V$5:$V$1264,E$28,'Datos - Temas'!$AK$5:$AK$1264,$A48)+_xlfn.COUNTIFS('Datos - Temas'!$V$5:$V$1264,E$28,'Datos - Temas'!$AL$5:$AL$1264,$A48)</f>
        <v>0</v>
      </c>
      <c r="F48" s="80" cm="1">
        <f t="array" ref="F48">_xlfn.COUNTIFS('Datos - Temas'!$V$5:$V$1264,F$28,'Datos - Temas'!$AK$5:$AK$1264,$A48)+_xlfn.COUNTIFS('Datos - Temas'!$V$5:$V$1264,F$28,'Datos - Temas'!$AL$5:$AL$1264,$A48)</f>
        <v>3</v>
      </c>
      <c r="G48" s="80" cm="1">
        <f t="array" ref="G48">SUM(D48:F48)</f>
        <v>3</v>
      </c>
      <c r="H48" t="str" s="79" cm="1">
        <f t="array" ref="H48">IF(G48=0,"No cubierto",IF(G48=1,"Débil (1 tema)",IF(G48&lt;=3,"Básica (2–3)","Sólida (4+)")))</f>
        <v>Básica (2–3)</v>
      </c>
      <c r="I48" t="str" s="79" cm="1">
        <f t="array" ref="I48">_xlfn.IFERROR(INDEX($D$28:$F$28,MATCH(TRUE,INDEX(D48:F48&gt;0,0),0)),"—")</f>
        <v>9°</v>
      </c>
      <c r="J48" s="17"/>
      <c r="K48" s="13"/>
      <c r="L48" s="13"/>
      <c r="M48" s="13"/>
      <c r="N48" s="13"/>
      <c r="O48" s="14"/>
    </row>
    <row r="49" ht="24.65" customHeight="1">
      <c r="A49" t="s" s="78">
        <v>655</v>
      </c>
      <c r="B49" t="s" s="78">
        <v>188</v>
      </c>
      <c r="C49" t="s" s="78">
        <v>1564</v>
      </c>
      <c r="D49" s="80" cm="1">
        <f t="array" ref="D49">_xlfn.COUNTIFS('Datos - Temas'!$V$5:$V$1264,D$28,'Datos - Temas'!$AK$5:$AK$1264,$A49)+_xlfn.COUNTIFS('Datos - Temas'!$V$5:$V$1264,D$28,'Datos - Temas'!$AL$5:$AL$1264,$A49)</f>
        <v>0</v>
      </c>
      <c r="E49" s="80" cm="1">
        <f t="array" ref="E49">_xlfn.COUNTIFS('Datos - Temas'!$V$5:$V$1264,E$28,'Datos - Temas'!$AK$5:$AK$1264,$A49)+_xlfn.COUNTIFS('Datos - Temas'!$V$5:$V$1264,E$28,'Datos - Temas'!$AL$5:$AL$1264,$A49)</f>
        <v>0</v>
      </c>
      <c r="F49" s="80" cm="1">
        <f t="array" ref="F49">_xlfn.COUNTIFS('Datos - Temas'!$V$5:$V$1264,F$28,'Datos - Temas'!$AK$5:$AK$1264,$A49)+_xlfn.COUNTIFS('Datos - Temas'!$V$5:$V$1264,F$28,'Datos - Temas'!$AL$5:$AL$1264,$A49)</f>
        <v>0</v>
      </c>
      <c r="G49" s="80" cm="1">
        <f t="array" ref="G49">SUM(D49:F49)</f>
        <v>0</v>
      </c>
      <c r="H49" t="str" s="79" cm="1">
        <f t="array" ref="H49">IF(G49=0,"No cubierto",IF(G49=1,"Débil (1 tema)",IF(G49&lt;=3,"Básica (2–3)","Sólida (4+)")))</f>
        <v>No cubierto</v>
      </c>
      <c r="I49" t="str" s="79" cm="1">
        <f t="array" ref="I49">_xlfn.IFERROR(INDEX($D$28:$F$28,MATCH(TRUE,INDEX(D49:F49&gt;0,0),0)),"—")</f>
        <v>—</v>
      </c>
      <c r="J49" s="17"/>
      <c r="K49" s="13"/>
      <c r="L49" s="13"/>
      <c r="M49" s="13"/>
      <c r="N49" s="13"/>
      <c r="O49" s="14"/>
    </row>
    <row r="50" ht="13.55" customHeight="1">
      <c r="A50" s="71"/>
      <c r="B50" s="31"/>
      <c r="C50" s="31"/>
      <c r="D50" s="31"/>
      <c r="E50" s="31"/>
      <c r="F50" s="31"/>
      <c r="G50" s="18"/>
      <c r="H50" s="18"/>
      <c r="I50" s="18"/>
      <c r="J50" s="13"/>
      <c r="K50" s="13"/>
      <c r="L50" s="13"/>
      <c r="M50" s="13"/>
      <c r="N50" s="13"/>
      <c r="O50" s="14"/>
    </row>
    <row r="51" ht="30" customHeight="1">
      <c r="A51" t="s" s="34">
        <v>174</v>
      </c>
      <c r="B51" t="s" s="34">
        <v>1565</v>
      </c>
      <c r="C51" t="s" s="34">
        <v>1566</v>
      </c>
      <c r="D51" t="s" s="34">
        <v>1381</v>
      </c>
      <c r="E51" t="s" s="34">
        <v>1567</v>
      </c>
      <c r="F51" t="s" s="34">
        <v>1434</v>
      </c>
      <c r="G51" s="17"/>
      <c r="H51" s="13"/>
      <c r="I51" s="13"/>
      <c r="J51" s="13"/>
      <c r="K51" s="13"/>
      <c r="L51" s="13"/>
      <c r="M51" s="13"/>
      <c r="N51" s="13"/>
      <c r="O51" s="14"/>
    </row>
    <row r="52" ht="13.65" customHeight="1">
      <c r="A52" t="s" s="35">
        <v>186</v>
      </c>
      <c r="B52" s="36" cm="1">
        <f t="array" ref="B52">_xlfn.COUNTIFS($B$29:$B$49,$A52)</f>
        <v>5</v>
      </c>
      <c r="C52" s="36" cm="1">
        <f t="array" ref="C52">_xlfn.COUNTIFS($B$29:$B$49,$A52,$G$29:$G$49,"&gt;0")</f>
        <v>5</v>
      </c>
      <c r="D52" s="38" cm="1">
        <f t="array" ref="D52">IF(B52=0,0,C52/B52)</f>
        <v>1</v>
      </c>
      <c r="E52" s="36" cm="1">
        <f t="array" ref="E52">B52-C52</f>
        <v>0</v>
      </c>
      <c r="F52" s="36" cm="1">
        <f t="array" ref="F52">_xlfn.COUNTIFS($B$29:$B$49,$A52,$H$29:$H$49,"Débil (1 tema)")</f>
        <v>0</v>
      </c>
      <c r="G52" s="17"/>
      <c r="H52" s="13"/>
      <c r="I52" s="13"/>
      <c r="J52" s="13"/>
      <c r="K52" s="13"/>
      <c r="L52" s="13"/>
      <c r="M52" s="13"/>
      <c r="N52" s="13"/>
      <c r="O52" s="14"/>
    </row>
    <row r="53" ht="13.65" customHeight="1">
      <c r="A53" t="s" s="35">
        <v>187</v>
      </c>
      <c r="B53" s="36" cm="1">
        <f t="array" ref="B53">_xlfn.COUNTIFS($B$29:$B$49,$A53)</f>
        <v>8</v>
      </c>
      <c r="C53" s="36" cm="1">
        <f t="array" ref="C53">_xlfn.COUNTIFS($B$29:$B$49,$A53,$G$29:$G$49,"&gt;0")</f>
        <v>8</v>
      </c>
      <c r="D53" s="38" cm="1">
        <f t="array" ref="D53">IF(B53=0,0,C53/B53)</f>
        <v>1</v>
      </c>
      <c r="E53" s="36" cm="1">
        <f t="array" ref="E53">B53-C53</f>
        <v>0</v>
      </c>
      <c r="F53" s="36" cm="1">
        <f t="array" ref="F53">_xlfn.COUNTIFS($B$29:$B$49,$A53,$H$29:$H$49,"Débil (1 tema)")</f>
        <v>0</v>
      </c>
      <c r="G53" s="17"/>
      <c r="H53" s="13"/>
      <c r="I53" s="13"/>
      <c r="J53" s="13"/>
      <c r="K53" s="13"/>
      <c r="L53" s="13"/>
      <c r="M53" s="13"/>
      <c r="N53" s="13"/>
      <c r="O53" s="14"/>
    </row>
    <row r="54" ht="13.65" customHeight="1">
      <c r="A54" t="s" s="35">
        <v>188</v>
      </c>
      <c r="B54" s="36" cm="1">
        <f t="array" ref="B54">_xlfn.COUNTIFS($B$29:$B$49,$A54)</f>
        <v>8</v>
      </c>
      <c r="C54" s="36" cm="1">
        <f t="array" ref="C54">_xlfn.COUNTIFS($B$29:$B$49,$A54,$G$29:$G$49,"&gt;0")</f>
        <v>7</v>
      </c>
      <c r="D54" s="38" cm="1">
        <f t="array" ref="D54">IF(B54=0,0,C54/B54)</f>
        <v>0.875</v>
      </c>
      <c r="E54" s="36" cm="1">
        <f t="array" ref="E54">B54-C54</f>
        <v>1</v>
      </c>
      <c r="F54" s="36" cm="1">
        <f t="array" ref="F54">_xlfn.COUNTIFS($B$29:$B$49,$A54,$H$29:$H$49,"Débil (1 tema)")</f>
        <v>0</v>
      </c>
      <c r="G54" s="17"/>
      <c r="H54" s="13"/>
      <c r="I54" s="13"/>
      <c r="J54" s="13"/>
      <c r="K54" s="13"/>
      <c r="L54" s="13"/>
      <c r="M54" s="13"/>
      <c r="N54" s="13"/>
      <c r="O54" s="14"/>
    </row>
    <row r="55" ht="13.65" customHeight="1">
      <c r="A55" t="s" s="63">
        <v>1384</v>
      </c>
      <c r="B55" s="77" cm="1">
        <f t="array" ref="B55">_xlfn.COUNTIFS($B$29:$B$49,"*")</f>
        <v>21</v>
      </c>
      <c r="C55" s="77" cm="1">
        <f t="array" ref="C55">_xlfn.COUNTIFS($B$29:$B$49,"*",$G$29:$G$49,"&gt;0")</f>
        <v>20</v>
      </c>
      <c r="D55" s="65" cm="1">
        <f t="array" ref="D55">IF(B55=0,0,C55/B55)</f>
        <v>0.952380952380952</v>
      </c>
      <c r="E55" s="77" cm="1">
        <f t="array" ref="E55">B55-C55</f>
        <v>1</v>
      </c>
      <c r="F55" s="77" cm="1">
        <f t="array" ref="F55">_xlfn.COUNTIFS($B$29:$B$49,"*",$H$29:$H$49,"Débil (1 tema)")</f>
        <v>0</v>
      </c>
      <c r="G55" s="17"/>
      <c r="H55" s="13"/>
      <c r="I55" s="13"/>
      <c r="J55" s="13"/>
      <c r="K55" s="13"/>
      <c r="L55" s="13"/>
      <c r="M55" s="13"/>
      <c r="N55" s="13"/>
      <c r="O55" s="14"/>
    </row>
    <row r="56" ht="13.55" customHeight="1">
      <c r="A56" s="42"/>
      <c r="B56" s="18"/>
      <c r="C56" s="18"/>
      <c r="D56" s="18"/>
      <c r="E56" s="18"/>
      <c r="F56" s="18"/>
      <c r="G56" s="13"/>
      <c r="H56" s="13"/>
      <c r="I56" s="13"/>
      <c r="J56" s="13"/>
      <c r="K56" s="13"/>
      <c r="L56" s="13"/>
      <c r="M56" s="13"/>
      <c r="N56" s="13"/>
      <c r="O56" s="14"/>
    </row>
    <row r="57" ht="70" customHeight="1">
      <c r="A57" t="s" s="54">
        <v>1568</v>
      </c>
      <c r="B57" s="24"/>
      <c r="C57" s="24"/>
      <c r="D57" s="24"/>
      <c r="E57" s="24"/>
      <c r="F57" s="24"/>
      <c r="G57" s="24"/>
      <c r="H57" s="24"/>
      <c r="I57" s="24"/>
      <c r="J57" s="24"/>
      <c r="K57" s="24"/>
      <c r="L57" s="24"/>
      <c r="M57" s="24"/>
      <c r="N57" s="24"/>
      <c r="O57" s="25"/>
    </row>
  </sheetData>
  <mergeCells count="2">
    <mergeCell ref="A57:N57"/>
    <mergeCell ref="A3:N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4.xml><?xml version="1.0" encoding="utf-8"?>
<worksheet xmlns:r="http://schemas.openxmlformats.org/officeDocument/2006/relationships" xmlns="http://schemas.openxmlformats.org/spreadsheetml/2006/main">
  <dimension ref="A1:L67"/>
  <sheetViews>
    <sheetView workbookViewId="0" showGridLines="0" defaultGridColor="1"/>
  </sheetViews>
  <sheetFormatPr defaultColWidth="8.83333" defaultRowHeight="15" customHeight="1" outlineLevelRow="0" outlineLevelCol="0"/>
  <cols>
    <col min="1" max="1" width="16" style="113" customWidth="1"/>
    <col min="2" max="5" width="10" style="113" customWidth="1"/>
    <col min="6" max="8" width="9" style="113" customWidth="1"/>
    <col min="9" max="11" width="18" style="113" customWidth="1"/>
    <col min="12" max="12" width="14" style="113" customWidth="1"/>
    <col min="13" max="16384" width="8.85156" style="113" customWidth="1"/>
  </cols>
  <sheetData>
    <row r="1" ht="18.5" customHeight="1">
      <c r="A1" t="s" s="27">
        <v>1570</v>
      </c>
      <c r="B1" s="28"/>
      <c r="C1" s="28"/>
      <c r="D1" s="28"/>
      <c r="E1" s="28"/>
      <c r="F1" s="28"/>
      <c r="G1" s="28"/>
      <c r="H1" s="28"/>
      <c r="I1" s="28"/>
      <c r="J1" s="28"/>
      <c r="K1" s="28"/>
      <c r="L1" s="97"/>
    </row>
    <row r="2" ht="83" customHeight="1">
      <c r="A2" t="str" s="29" cm="1">
        <f t="array" ref="A2">"PISA 2025 (7.°–9.°)"&amp;"
"&amp;IF(H16&gt;=$B$8,"BIEN · ","OJO · ")&amp;"Competencia 3 (evaluar información y decidir): "&amp;FIXED((H16)*100,0)&amp;" %"&amp;" de los temas. PISA pide 24–36 %."&amp;"
"&amp;IF(J16="Dentro del rango","BIEN · ","OJO · ")&amp;"Competencia 2 (diseñar y leer datos): "&amp;FIXED((G16)*100,0)&amp;" %"&amp;", "&amp;LOWER(J16)&amp;" (24–36 %)."&amp;"
"&amp;"● Subcompetencias débiles o ausentes: "&amp;(COUNTIF($I$27:$I$41,"Débil")+COUNTIF($I$27:$I$41,"No trabajada"))&amp;" de 15: distinguir evidencia de opinión, criticar argumentos y plantear hipótesis."&amp;"
"&amp;"→ Dato de la propia malla (columnas Competencia y Microhabilidades), sin IA."</f>
        <v>PISA 2025 (7.°–9.°)
OJO · Competencia 3 (evaluar información y decidir): 14 % de los temas. PISA pide 24–36 %.
OJO · Competencia 2 (diseñar y leer datos): 50 %, por encima del rango (24–36 %).
● Subcompetencias débiles o ausentes: 3 de 15: distinguir evidencia de opinión, criticar argumentos y plantear hipótesis.
→ Dato de la propia malla (columnas Competencia y Microhabilidades), sin IA.</v>
      </c>
      <c r="B2" s="30"/>
      <c r="C2" s="31"/>
      <c r="D2" s="31"/>
      <c r="E2" s="31"/>
      <c r="F2" s="31"/>
      <c r="G2" s="31"/>
      <c r="H2" s="31"/>
      <c r="I2" s="31"/>
      <c r="J2" s="31"/>
      <c r="K2" s="31"/>
      <c r="L2" s="32"/>
    </row>
    <row r="3" ht="13.55" customHeight="1">
      <c r="A3" s="42"/>
      <c r="B3" s="18"/>
      <c r="C3" s="18"/>
      <c r="D3" s="18"/>
      <c r="E3" s="18"/>
      <c r="F3" s="18"/>
      <c r="G3" s="18"/>
      <c r="H3" s="18"/>
      <c r="I3" s="18"/>
      <c r="J3" s="18"/>
      <c r="K3" s="18"/>
      <c r="L3" s="51"/>
    </row>
    <row r="4" ht="14.6" customHeight="1">
      <c r="A4" t="s" s="43">
        <v>1572</v>
      </c>
      <c r="B4" s="44"/>
      <c r="C4" s="44"/>
      <c r="D4" s="44"/>
      <c r="E4" s="13"/>
      <c r="F4" s="13"/>
      <c r="G4" s="13"/>
      <c r="H4" s="13"/>
      <c r="I4" s="13"/>
      <c r="J4" s="13"/>
      <c r="K4" s="13"/>
      <c r="L4" s="14"/>
    </row>
    <row r="5" ht="32" customHeight="1">
      <c r="A5" s="103"/>
      <c r="B5" t="s" s="34">
        <v>1573</v>
      </c>
      <c r="C5" t="s" s="34">
        <v>1574</v>
      </c>
      <c r="D5" t="s" s="34">
        <v>1575</v>
      </c>
      <c r="E5" s="17"/>
      <c r="F5" s="13"/>
      <c r="G5" s="13"/>
      <c r="H5" s="13"/>
      <c r="I5" s="13"/>
      <c r="J5" s="13"/>
      <c r="K5" s="13"/>
      <c r="L5" s="14"/>
    </row>
    <row r="6" ht="13.65" customHeight="1">
      <c r="A6" t="s" s="35">
        <v>1576</v>
      </c>
      <c r="B6" s="58">
        <v>0.36</v>
      </c>
      <c r="C6" s="58">
        <v>0.44</v>
      </c>
      <c r="D6" s="38" cm="1">
        <f t="array" ref="D6">AVERAGE(B6:C6)/((SUM($B$6:$B$8)+SUM($C$6:$C$8))/2)</f>
        <v>0.4</v>
      </c>
      <c r="E6" s="17"/>
      <c r="F6" s="13"/>
      <c r="G6" s="13"/>
      <c r="H6" s="13"/>
      <c r="I6" s="13"/>
      <c r="J6" s="13"/>
      <c r="K6" s="13"/>
      <c r="L6" s="14"/>
    </row>
    <row r="7" ht="13.65" customHeight="1">
      <c r="A7" t="s" s="35">
        <v>1577</v>
      </c>
      <c r="B7" s="58">
        <v>0.24</v>
      </c>
      <c r="C7" s="58">
        <v>0.36</v>
      </c>
      <c r="D7" s="38" cm="1">
        <f t="array" ref="D7">AVERAGE(B7:C7)/((SUM($B$6:$B$8)+SUM($C$6:$C$8))/2)</f>
        <v>0.3</v>
      </c>
      <c r="E7" s="17"/>
      <c r="F7" s="13"/>
      <c r="G7" s="13"/>
      <c r="H7" s="13"/>
      <c r="I7" s="13"/>
      <c r="J7" s="13"/>
      <c r="K7" s="13"/>
      <c r="L7" s="14"/>
    </row>
    <row r="8" ht="13.65" customHeight="1">
      <c r="A8" t="s" s="35">
        <v>1578</v>
      </c>
      <c r="B8" s="58">
        <v>0.24</v>
      </c>
      <c r="C8" s="58">
        <v>0.36</v>
      </c>
      <c r="D8" s="38" cm="1">
        <f t="array" ref="D8">AVERAGE(B8:C8)/((SUM($B$6:$B$8)+SUM($C$6:$C$8))/2)</f>
        <v>0.3</v>
      </c>
      <c r="E8" s="17"/>
      <c r="F8" s="13"/>
      <c r="G8" s="13"/>
      <c r="H8" s="13"/>
      <c r="I8" s="13"/>
      <c r="J8" s="13"/>
      <c r="K8" s="13"/>
      <c r="L8" s="14"/>
    </row>
    <row r="9" ht="28" customHeight="1">
      <c r="A9" t="s" s="73">
        <v>1579</v>
      </c>
      <c r="B9" s="18"/>
      <c r="C9" s="18"/>
      <c r="D9" s="18"/>
      <c r="E9" s="13"/>
      <c r="F9" s="13"/>
      <c r="G9" s="13"/>
      <c r="H9" s="13"/>
      <c r="I9" s="13"/>
      <c r="J9" s="13"/>
      <c r="K9" s="13"/>
      <c r="L9" s="14"/>
    </row>
    <row r="10" ht="13.55" customHeight="1">
      <c r="A10" s="11"/>
      <c r="B10" s="13"/>
      <c r="C10" s="13"/>
      <c r="D10" s="13"/>
      <c r="E10" s="13"/>
      <c r="F10" s="13"/>
      <c r="G10" s="13"/>
      <c r="H10" s="13"/>
      <c r="I10" s="13"/>
      <c r="J10" s="13"/>
      <c r="K10" s="13"/>
      <c r="L10" s="14"/>
    </row>
    <row r="11" ht="14.6" customHeight="1">
      <c r="A11" t="s" s="43">
        <v>1580</v>
      </c>
      <c r="B11" s="44"/>
      <c r="C11" s="44"/>
      <c r="D11" s="44"/>
      <c r="E11" s="44"/>
      <c r="F11" s="44"/>
      <c r="G11" s="44"/>
      <c r="H11" s="44"/>
      <c r="I11" s="44"/>
      <c r="J11" s="44"/>
      <c r="K11" s="44"/>
      <c r="L11" s="45"/>
    </row>
    <row r="12" ht="40" customHeight="1">
      <c r="A12" t="s" s="34">
        <v>154</v>
      </c>
      <c r="B12" t="s" s="34">
        <v>1390</v>
      </c>
      <c r="C12" t="s" s="34">
        <v>1581</v>
      </c>
      <c r="D12" t="s" s="34">
        <v>1582</v>
      </c>
      <c r="E12" t="s" s="34">
        <v>1583</v>
      </c>
      <c r="F12" t="s" s="34">
        <v>1584</v>
      </c>
      <c r="G12" t="s" s="34">
        <v>1585</v>
      </c>
      <c r="H12" t="s" s="34">
        <v>1586</v>
      </c>
      <c r="I12" t="s" s="34">
        <v>1587</v>
      </c>
      <c r="J12" t="s" s="34">
        <v>1588</v>
      </c>
      <c r="K12" t="s" s="34">
        <v>1589</v>
      </c>
      <c r="L12" t="s" s="34">
        <v>1590</v>
      </c>
    </row>
    <row r="13" ht="13.65" customHeight="1">
      <c r="A13" t="s" s="35">
        <v>85</v>
      </c>
      <c r="B13" s="36" cm="1">
        <f t="array" ref="B13">_xlfn.COUNTIFS('Datos - Temas'!$V$5:$V$1264,$A13,'Datos - Temas'!$C$5:$C$1264,"Ciencias")</f>
        <v>91</v>
      </c>
      <c r="C13" s="36" cm="1">
        <f t="array" ref="C13">_xlfn.COUNTIFS('Datos - Temas'!$V$5:$V$1264,$A13,'Datos - Temas'!$C$5:$C$1264,"Ciencias",'Datos - Temas'!$AE$5:$AE$1264,"C1")</f>
        <v>39</v>
      </c>
      <c r="D13" s="36" cm="1">
        <f t="array" ref="D13">_xlfn.COUNTIFS('Datos - Temas'!$V$5:$V$1264,$A13,'Datos - Temas'!$C$5:$C$1264,"Ciencias",'Datos - Temas'!$AE$5:$AE$1264,"C2")</f>
        <v>32</v>
      </c>
      <c r="E13" s="36" cm="1">
        <f t="array" ref="E13">_xlfn.COUNTIFS('Datos - Temas'!$V$5:$V$1264,$A13,'Datos - Temas'!$C$5:$C$1264,"Ciencias",'Datos - Temas'!$AE$5:$AE$1264,"C3")</f>
        <v>20</v>
      </c>
      <c r="F13" s="38" cm="1">
        <f t="array" ref="F13">IF($B13=0,0,C13/$B13)</f>
        <v>0.428571428571429</v>
      </c>
      <c r="G13" s="38" cm="1">
        <f t="array" ref="G13">IF($B13=0,0,D13/$B13)</f>
        <v>0.351648351648352</v>
      </c>
      <c r="H13" s="38" cm="1">
        <f t="array" ref="H13">IF($B13=0,0,E13/$B13)</f>
        <v>0.21978021978022</v>
      </c>
      <c r="I13" t="str" s="39" cm="1">
        <f t="array" ref="I13">IF(F13&lt;$B$6,"Por debajo del rango",IF(F13&gt;$C$6,"Por encima del rango","Dentro del rango"))</f>
        <v>Dentro del rango</v>
      </c>
      <c r="J13" t="str" s="39" cm="1">
        <f t="array" ref="J13">IF(G13&lt;$B$7,"Por debajo del rango",IF(G13&gt;$C$7,"Por encima del rango","Dentro del rango"))</f>
        <v>Dentro del rango</v>
      </c>
      <c r="K13" t="str" s="39" cm="1">
        <f t="array" ref="K13">IF(H13&lt;$B$8,"Por debajo del rango",IF(H13&gt;$C$8,"Por encima del rango","Dentro del rango"))</f>
        <v>Por debajo del rango</v>
      </c>
      <c r="L13" s="38" cm="1">
        <f t="array" ref="L13">1-(ABS(F13-$D$6)+ABS(G13-$D$7)+ABS(H13-$D$8))/2</f>
        <v>0.91978021978022</v>
      </c>
    </row>
    <row r="14" ht="13.65" customHeight="1">
      <c r="A14" t="s" s="35">
        <v>86</v>
      </c>
      <c r="B14" s="36" cm="1">
        <f t="array" ref="B14">_xlfn.COUNTIFS('Datos - Temas'!$V$5:$V$1264,$A14,'Datos - Temas'!$C$5:$C$1264,"Ciencias")</f>
        <v>93</v>
      </c>
      <c r="C14" s="36" cm="1">
        <f t="array" ref="C14">_xlfn.COUNTIFS('Datos - Temas'!$V$5:$V$1264,$A14,'Datos - Temas'!$C$5:$C$1264,"Ciencias",'Datos - Temas'!$AE$5:$AE$1264,"C1")</f>
        <v>29</v>
      </c>
      <c r="D14" s="36" cm="1">
        <f t="array" ref="D14">_xlfn.COUNTIFS('Datos - Temas'!$V$5:$V$1264,$A14,'Datos - Temas'!$C$5:$C$1264,"Ciencias",'Datos - Temas'!$AE$5:$AE$1264,"C2")</f>
        <v>58</v>
      </c>
      <c r="E14" s="36" cm="1">
        <f t="array" ref="E14">_xlfn.COUNTIFS('Datos - Temas'!$V$5:$V$1264,$A14,'Datos - Temas'!$C$5:$C$1264,"Ciencias",'Datos - Temas'!$AE$5:$AE$1264,"C3")</f>
        <v>6</v>
      </c>
      <c r="F14" s="38" cm="1">
        <f t="array" ref="F14">IF($B14=0,0,C14/$B14)</f>
        <v>0.311827956989247</v>
      </c>
      <c r="G14" s="38" cm="1">
        <f t="array" ref="G14">IF($B14=0,0,D14/$B14)</f>
        <v>0.623655913978495</v>
      </c>
      <c r="H14" s="38" cm="1">
        <f t="array" ref="H14">IF($B14=0,0,E14/$B14)</f>
        <v>0.0645161290322581</v>
      </c>
      <c r="I14" t="str" s="39" cm="1">
        <f t="array" ref="I14">IF(F14&lt;$B$6,"Por debajo del rango",IF(F14&gt;$C$6,"Por encima del rango","Dentro del rango"))</f>
        <v>Por debajo del rango</v>
      </c>
      <c r="J14" t="str" s="39" cm="1">
        <f t="array" ref="J14">IF(G14&lt;$B$7,"Por debajo del rango",IF(G14&gt;$C$7,"Por encima del rango","Dentro del rango"))</f>
        <v>Por encima del rango</v>
      </c>
      <c r="K14" t="str" s="39" cm="1">
        <f t="array" ref="K14">IF(H14&lt;$B$8,"Por debajo del rango",IF(H14&gt;$C$8,"Por encima del rango","Dentro del rango"))</f>
        <v>Por debajo del rango</v>
      </c>
      <c r="L14" s="38" cm="1">
        <f t="array" ref="L14">1-(ABS(F14-$D$6)+ABS(G14-$D$7)+ABS(H14-$D$8))/2</f>
        <v>0.676344086021505</v>
      </c>
    </row>
    <row r="15" ht="13.65" customHeight="1">
      <c r="A15" t="s" s="35">
        <v>138</v>
      </c>
      <c r="B15" s="36" cm="1">
        <f t="array" ref="B15">_xlfn.COUNTIFS('Datos - Temas'!$V$5:$V$1264,$A15,'Datos - Temas'!$C$5:$C$1264,"Ciencias")</f>
        <v>90</v>
      </c>
      <c r="C15" s="36" cm="1">
        <f t="array" ref="C15">_xlfn.COUNTIFS('Datos - Temas'!$V$5:$V$1264,$A15,'Datos - Temas'!$C$5:$C$1264,"Ciencias",'Datos - Temas'!$AE$5:$AE$1264,"C1")</f>
        <v>32</v>
      </c>
      <c r="D15" s="36" cm="1">
        <f t="array" ref="D15">_xlfn.COUNTIFS('Datos - Temas'!$V$5:$V$1264,$A15,'Datos - Temas'!$C$5:$C$1264,"Ciencias",'Datos - Temas'!$AE$5:$AE$1264,"C2")</f>
        <v>46</v>
      </c>
      <c r="E15" s="36" cm="1">
        <f t="array" ref="E15">_xlfn.COUNTIFS('Datos - Temas'!$V$5:$V$1264,$A15,'Datos - Temas'!$C$5:$C$1264,"Ciencias",'Datos - Temas'!$AE$5:$AE$1264,"C3")</f>
        <v>12</v>
      </c>
      <c r="F15" s="38" cm="1">
        <f t="array" ref="F15">IF($B15=0,0,C15/$B15)</f>
        <v>0.355555555555556</v>
      </c>
      <c r="G15" s="38" cm="1">
        <f t="array" ref="G15">IF($B15=0,0,D15/$B15)</f>
        <v>0.511111111111111</v>
      </c>
      <c r="H15" s="38" cm="1">
        <f t="array" ref="H15">IF($B15=0,0,E15/$B15)</f>
        <v>0.133333333333333</v>
      </c>
      <c r="I15" t="str" s="39" cm="1">
        <f t="array" ref="I15">IF(F15&lt;$B$6,"Por debajo del rango",IF(F15&gt;$C$6,"Por encima del rango","Dentro del rango"))</f>
        <v>Por debajo del rango</v>
      </c>
      <c r="J15" t="str" s="39" cm="1">
        <f t="array" ref="J15">IF(G15&lt;$B$7,"Por debajo del rango",IF(G15&gt;$C$7,"Por encima del rango","Dentro del rango"))</f>
        <v>Por encima del rango</v>
      </c>
      <c r="K15" t="str" s="39" cm="1">
        <f t="array" ref="K15">IF(H15&lt;$B$8,"Por debajo del rango",IF(H15&gt;$C$8,"Por encima del rango","Dentro del rango"))</f>
        <v>Por debajo del rango</v>
      </c>
      <c r="L15" s="38" cm="1">
        <f t="array" ref="L15">1-(ABS(F15-$D$6)+ABS(G15-$D$7)+ABS(H15-$D$8))/2</f>
        <v>0.788888888888889</v>
      </c>
    </row>
    <row r="16" ht="13.65" customHeight="1">
      <c r="A16" t="s" s="35">
        <v>139</v>
      </c>
      <c r="B16" s="36" cm="1">
        <f t="array" ref="B16">_xlfn.COUNTIFS('Datos - Temas'!$AV$5:$AV$1264,$A16,'Datos - Temas'!$C$5:$C$1264,"Ciencias")</f>
        <v>274</v>
      </c>
      <c r="C16" s="36" cm="1">
        <f t="array" ref="C16">_xlfn.COUNTIFS('Datos - Temas'!$AV$5:$AV$1264,$A16,'Datos - Temas'!$C$5:$C$1264,"Ciencias",'Datos - Temas'!$AE$5:$AE$1264,"C1")</f>
        <v>100</v>
      </c>
      <c r="D16" s="36" cm="1">
        <f t="array" ref="D16">_xlfn.COUNTIFS('Datos - Temas'!$AV$5:$AV$1264,$A16,'Datos - Temas'!$C$5:$C$1264,"Ciencias",'Datos - Temas'!$AE$5:$AE$1264,"C2")</f>
        <v>136</v>
      </c>
      <c r="E16" s="36" cm="1">
        <f t="array" ref="E16">_xlfn.COUNTIFS('Datos - Temas'!$AV$5:$AV$1264,$A16,'Datos - Temas'!$C$5:$C$1264,"Ciencias",'Datos - Temas'!$AE$5:$AE$1264,"C3")</f>
        <v>38</v>
      </c>
      <c r="F16" s="38" cm="1">
        <f t="array" ref="F16">IF($B16=0,0,C16/$B16)</f>
        <v>0.364963503649635</v>
      </c>
      <c r="G16" s="38" cm="1">
        <f t="array" ref="G16">IF($B16=0,0,D16/$B16)</f>
        <v>0.496350364963504</v>
      </c>
      <c r="H16" s="38" cm="1">
        <f t="array" ref="H16">IF($B16=0,0,E16/$B16)</f>
        <v>0.138686131386861</v>
      </c>
      <c r="I16" t="str" s="39" cm="1">
        <f t="array" ref="I16">IF(F16&lt;$B$6,"Por debajo del rango",IF(F16&gt;$C$6,"Por encima del rango","Dentro del rango"))</f>
        <v>Dentro del rango</v>
      </c>
      <c r="J16" t="str" s="39" cm="1">
        <f t="array" ref="J16">IF(G16&lt;$B$7,"Por debajo del rango",IF(G16&gt;$C$7,"Por encima del rango","Dentro del rango"))</f>
        <v>Por encima del rango</v>
      </c>
      <c r="K16" t="str" s="39" cm="1">
        <f t="array" ref="K16">IF(H16&lt;$B$8,"Por debajo del rango",IF(H16&gt;$C$8,"Por encima del rango","Dentro del rango"))</f>
        <v>Por debajo del rango</v>
      </c>
      <c r="L16" s="38" cm="1">
        <f t="array" ref="L16">1-(ABS(F16-$D$6)+ABS(G16-$D$7)+ABS(H16-$D$8))/2</f>
        <v>0.803649635036496</v>
      </c>
    </row>
    <row r="17" ht="13.55" customHeight="1">
      <c r="A17" t="s" s="67">
        <v>1594</v>
      </c>
      <c r="B17" s="31"/>
      <c r="C17" s="31"/>
      <c r="D17" s="31"/>
      <c r="E17" s="31"/>
      <c r="F17" s="31"/>
      <c r="G17" s="31"/>
      <c r="H17" s="31"/>
      <c r="I17" s="31"/>
      <c r="J17" s="31"/>
      <c r="K17" s="31"/>
      <c r="L17" s="91"/>
    </row>
    <row r="18" ht="13.65" customHeight="1">
      <c r="A18" t="s" s="35">
        <v>69</v>
      </c>
      <c r="B18" s="36" cm="1">
        <f t="array" ref="B18">_xlfn.COUNTIFS('Datos - Temas'!$V$5:$V$1264,$A18,'Datos - Temas'!$C$5:$C$1264,"Ciencias")</f>
        <v>70</v>
      </c>
      <c r="C18" s="36" cm="1">
        <f t="array" ref="C18">_xlfn.COUNTIFS('Datos - Temas'!$V$5:$V$1264,$A18,'Datos - Temas'!$C$5:$C$1264,"Ciencias",'Datos - Temas'!$AE$5:$AE$1264,"C1")</f>
        <v>25</v>
      </c>
      <c r="D18" s="36" cm="1">
        <f t="array" ref="D18">_xlfn.COUNTIFS('Datos - Temas'!$V$5:$V$1264,$A18,'Datos - Temas'!$C$5:$C$1264,"Ciencias",'Datos - Temas'!$AE$5:$AE$1264,"C2")</f>
        <v>32</v>
      </c>
      <c r="E18" s="36" cm="1">
        <f t="array" ref="E18">_xlfn.COUNTIFS('Datos - Temas'!$V$5:$V$1264,$A18,'Datos - Temas'!$C$5:$C$1264,"Ciencias",'Datos - Temas'!$AE$5:$AE$1264,"C3")</f>
        <v>13</v>
      </c>
      <c r="F18" s="38" cm="1">
        <f t="array" ref="F18">IF($B18=0,0,C18/$B18)</f>
        <v>0.357142857142857</v>
      </c>
      <c r="G18" s="38" cm="1">
        <f t="array" ref="G18">IF($B18=0,0,D18/$B18)</f>
        <v>0.457142857142857</v>
      </c>
      <c r="H18" s="38" cm="1">
        <f t="array" ref="H18">IF($B18=0,0,E18/$B18)</f>
        <v>0.185714285714286</v>
      </c>
      <c r="I18" t="str" s="39" cm="1">
        <f t="array" ref="I18">IF(F18&lt;$B$6,"Por debajo del rango",IF(F18&gt;$C$6,"Por encima del rango","Dentro del rango"))</f>
        <v>Por debajo del rango</v>
      </c>
      <c r="J18" t="str" s="39" cm="1">
        <f t="array" ref="J18">IF(G18&lt;$B$7,"Por debajo del rango",IF(G18&gt;$C$7,"Por encima del rango","Dentro del rango"))</f>
        <v>Por encima del rango</v>
      </c>
      <c r="K18" t="str" s="39" cm="1">
        <f t="array" ref="K18">IF(H18&lt;$B$8,"Por debajo del rango",IF(H18&gt;$C$8,"Por encima del rango","Dentro del rango"))</f>
        <v>Por debajo del rango</v>
      </c>
      <c r="L18" s="38" cm="1">
        <f t="array" ref="L18">1-(ABS(F18-$D$6)+ABS(G18-$D$7)+ABS(H18-$D$8))/2</f>
        <v>0.842857142857143</v>
      </c>
    </row>
    <row r="19" ht="13.65" customHeight="1">
      <c r="A19" t="s" s="35">
        <v>74</v>
      </c>
      <c r="B19" s="36" cm="1">
        <f t="array" ref="B19">_xlfn.COUNTIFS('Datos - Temas'!$V$5:$V$1264,$A19,'Datos - Temas'!$C$5:$C$1264,"Ciencias")</f>
        <v>66</v>
      </c>
      <c r="C19" s="36" cm="1">
        <f t="array" ref="C19">_xlfn.COUNTIFS('Datos - Temas'!$V$5:$V$1264,$A19,'Datos - Temas'!$C$5:$C$1264,"Ciencias",'Datos - Temas'!$AE$5:$AE$1264,"C1")</f>
        <v>31</v>
      </c>
      <c r="D19" s="36" cm="1">
        <f t="array" ref="D19">_xlfn.COUNTIFS('Datos - Temas'!$V$5:$V$1264,$A19,'Datos - Temas'!$C$5:$C$1264,"Ciencias",'Datos - Temas'!$AE$5:$AE$1264,"C2")</f>
        <v>28</v>
      </c>
      <c r="E19" s="36" cm="1">
        <f t="array" ref="E19">_xlfn.COUNTIFS('Datos - Temas'!$V$5:$V$1264,$A19,'Datos - Temas'!$C$5:$C$1264,"Ciencias",'Datos - Temas'!$AE$5:$AE$1264,"C3")</f>
        <v>7</v>
      </c>
      <c r="F19" s="38" cm="1">
        <f t="array" ref="F19">IF($B19=0,0,C19/$B19)</f>
        <v>0.46969696969697</v>
      </c>
      <c r="G19" s="38" cm="1">
        <f t="array" ref="G19">IF($B19=0,0,D19/$B19)</f>
        <v>0.424242424242424</v>
      </c>
      <c r="H19" s="38" cm="1">
        <f t="array" ref="H19">IF($B19=0,0,E19/$B19)</f>
        <v>0.106060606060606</v>
      </c>
      <c r="I19" t="str" s="39" cm="1">
        <f t="array" ref="I19">IF(F19&lt;$B$6,"Por debajo del rango",IF(F19&gt;$C$6,"Por encima del rango","Dentro del rango"))</f>
        <v>Por encima del rango</v>
      </c>
      <c r="J19" t="str" s="39" cm="1">
        <f t="array" ref="J19">IF(G19&lt;$B$7,"Por debajo del rango",IF(G19&gt;$C$7,"Por encima del rango","Dentro del rango"))</f>
        <v>Por encima del rango</v>
      </c>
      <c r="K19" t="str" s="39" cm="1">
        <f t="array" ref="K19">IF(H19&lt;$B$8,"Por debajo del rango",IF(H19&gt;$C$8,"Por encima del rango","Dentro del rango"))</f>
        <v>Por debajo del rango</v>
      </c>
      <c r="L19" s="38" cm="1">
        <f t="array" ref="L19">1-(ABS(F19-$D$6)+ABS(G19-$D$7)+ABS(H19-$D$8))/2</f>
        <v>0.806060606060606</v>
      </c>
    </row>
    <row r="20" ht="13.65" customHeight="1">
      <c r="A20" t="s" s="35">
        <v>77</v>
      </c>
      <c r="B20" s="36" cm="1">
        <f t="array" ref="B20">_xlfn.COUNTIFS('Datos - Temas'!$V$5:$V$1264,$A20,'Datos - Temas'!$C$5:$C$1264,"Ciencias")</f>
        <v>72</v>
      </c>
      <c r="C20" s="36" cm="1">
        <f t="array" ref="C20">_xlfn.COUNTIFS('Datos - Temas'!$V$5:$V$1264,$A20,'Datos - Temas'!$C$5:$C$1264,"Ciencias",'Datos - Temas'!$AE$5:$AE$1264,"C1")</f>
        <v>38</v>
      </c>
      <c r="D20" s="36" cm="1">
        <f t="array" ref="D20">_xlfn.COUNTIFS('Datos - Temas'!$V$5:$V$1264,$A20,'Datos - Temas'!$C$5:$C$1264,"Ciencias",'Datos - Temas'!$AE$5:$AE$1264,"C2")</f>
        <v>23</v>
      </c>
      <c r="E20" s="36" cm="1">
        <f t="array" ref="E20">_xlfn.COUNTIFS('Datos - Temas'!$V$5:$V$1264,$A20,'Datos - Temas'!$C$5:$C$1264,"Ciencias",'Datos - Temas'!$AE$5:$AE$1264,"C3")</f>
        <v>11</v>
      </c>
      <c r="F20" s="38" cm="1">
        <f t="array" ref="F20">IF($B20=0,0,C20/$B20)</f>
        <v>0.527777777777778</v>
      </c>
      <c r="G20" s="38" cm="1">
        <f t="array" ref="G20">IF($B20=0,0,D20/$B20)</f>
        <v>0.319444444444444</v>
      </c>
      <c r="H20" s="38" cm="1">
        <f t="array" ref="H20">IF($B20=0,0,E20/$B20)</f>
        <v>0.152777777777778</v>
      </c>
      <c r="I20" t="str" s="39" cm="1">
        <f t="array" ref="I20">IF(F20&lt;$B$6,"Por debajo del rango",IF(F20&gt;$C$6,"Por encima del rango","Dentro del rango"))</f>
        <v>Por encima del rango</v>
      </c>
      <c r="J20" t="str" s="39" cm="1">
        <f t="array" ref="J20">IF(G20&lt;$B$7,"Por debajo del rango",IF(G20&gt;$C$7,"Por encima del rango","Dentro del rango"))</f>
        <v>Dentro del rango</v>
      </c>
      <c r="K20" t="str" s="39" cm="1">
        <f t="array" ref="K20">IF(H20&lt;$B$8,"Por debajo del rango",IF(H20&gt;$C$8,"Por encima del rango","Dentro del rango"))</f>
        <v>Por debajo del rango</v>
      </c>
      <c r="L20" s="38" cm="1">
        <f t="array" ref="L20">1-(ABS(F20-$D$6)+ABS(G20-$D$7)+ABS(H20-$D$8))/2</f>
        <v>0.852777777777778</v>
      </c>
    </row>
    <row r="21" ht="13.65" customHeight="1">
      <c r="A21" t="s" s="35">
        <v>79</v>
      </c>
      <c r="B21" s="36" cm="1">
        <f t="array" ref="B21">_xlfn.COUNTIFS('Datos - Temas'!$V$5:$V$1264,$A21,'Datos - Temas'!$C$5:$C$1264,"Ciencias")</f>
        <v>72</v>
      </c>
      <c r="C21" s="36" cm="1">
        <f t="array" ref="C21">_xlfn.COUNTIFS('Datos - Temas'!$V$5:$V$1264,$A21,'Datos - Temas'!$C$5:$C$1264,"Ciencias",'Datos - Temas'!$AE$5:$AE$1264,"C1")</f>
        <v>23</v>
      </c>
      <c r="D21" s="36" cm="1">
        <f t="array" ref="D21">_xlfn.COUNTIFS('Datos - Temas'!$V$5:$V$1264,$A21,'Datos - Temas'!$C$5:$C$1264,"Ciencias",'Datos - Temas'!$AE$5:$AE$1264,"C2")</f>
        <v>38</v>
      </c>
      <c r="E21" s="36" cm="1">
        <f t="array" ref="E21">_xlfn.COUNTIFS('Datos - Temas'!$V$5:$V$1264,$A21,'Datos - Temas'!$C$5:$C$1264,"Ciencias",'Datos - Temas'!$AE$5:$AE$1264,"C3")</f>
        <v>11</v>
      </c>
      <c r="F21" s="38" cm="1">
        <f t="array" ref="F21">IF($B21=0,0,C21/$B21)</f>
        <v>0.319444444444444</v>
      </c>
      <c r="G21" s="38" cm="1">
        <f t="array" ref="G21">IF($B21=0,0,D21/$B21)</f>
        <v>0.527777777777778</v>
      </c>
      <c r="H21" s="38" cm="1">
        <f t="array" ref="H21">IF($B21=0,0,E21/$B21)</f>
        <v>0.152777777777778</v>
      </c>
      <c r="I21" t="str" s="39" cm="1">
        <f t="array" ref="I21">IF(F21&lt;$B$6,"Por debajo del rango",IF(F21&gt;$C$6,"Por encima del rango","Dentro del rango"))</f>
        <v>Por debajo del rango</v>
      </c>
      <c r="J21" t="str" s="39" cm="1">
        <f t="array" ref="J21">IF(G21&lt;$B$7,"Por debajo del rango",IF(G21&gt;$C$7,"Por encima del rango","Dentro del rango"))</f>
        <v>Por encima del rango</v>
      </c>
      <c r="K21" t="str" s="39" cm="1">
        <f t="array" ref="K21">IF(H21&lt;$B$8,"Por debajo del rango",IF(H21&gt;$C$8,"Por encima del rango","Dentro del rango"))</f>
        <v>Por debajo del rango</v>
      </c>
      <c r="L21" s="38" cm="1">
        <f t="array" ref="L21">1-(ABS(F21-$D$6)+ABS(G21-$D$7)+ABS(H21-$D$8))/2</f>
        <v>0.772222222222222</v>
      </c>
    </row>
    <row r="22" ht="13.65" customHeight="1">
      <c r="A22" t="s" s="35">
        <v>82</v>
      </c>
      <c r="B22" s="36" cm="1">
        <f t="array" ref="B22">_xlfn.COUNTIFS('Datos - Temas'!$V$5:$V$1264,$A22,'Datos - Temas'!$C$5:$C$1264,"Ciencias")</f>
        <v>68</v>
      </c>
      <c r="C22" s="36" cm="1">
        <f t="array" ref="C22">_xlfn.COUNTIFS('Datos - Temas'!$V$5:$V$1264,$A22,'Datos - Temas'!$C$5:$C$1264,"Ciencias",'Datos - Temas'!$AE$5:$AE$1264,"C1")</f>
        <v>30</v>
      </c>
      <c r="D22" s="36" cm="1">
        <f t="array" ref="D22">_xlfn.COUNTIFS('Datos - Temas'!$V$5:$V$1264,$A22,'Datos - Temas'!$C$5:$C$1264,"Ciencias",'Datos - Temas'!$AE$5:$AE$1264,"C2")</f>
        <v>36</v>
      </c>
      <c r="E22" s="36" cm="1">
        <f t="array" ref="E22">_xlfn.COUNTIFS('Datos - Temas'!$V$5:$V$1264,$A22,'Datos - Temas'!$C$5:$C$1264,"Ciencias",'Datos - Temas'!$AE$5:$AE$1264,"C3")</f>
        <v>2</v>
      </c>
      <c r="F22" s="38" cm="1">
        <f t="array" ref="F22">IF($B22=0,0,C22/$B22)</f>
        <v>0.441176470588235</v>
      </c>
      <c r="G22" s="38" cm="1">
        <f t="array" ref="G22">IF($B22=0,0,D22/$B22)</f>
        <v>0.529411764705882</v>
      </c>
      <c r="H22" s="38" cm="1">
        <f t="array" ref="H22">IF($B22=0,0,E22/$B22)</f>
        <v>0.0294117647058824</v>
      </c>
      <c r="I22" t="str" s="39" cm="1">
        <f t="array" ref="I22">IF(F22&lt;$B$6,"Por debajo del rango",IF(F22&gt;$C$6,"Por encima del rango","Dentro del rango"))</f>
        <v>Por encima del rango</v>
      </c>
      <c r="J22" t="str" s="39" cm="1">
        <f t="array" ref="J22">IF(G22&lt;$B$7,"Por debajo del rango",IF(G22&gt;$C$7,"Por encima del rango","Dentro del rango"))</f>
        <v>Por encima del rango</v>
      </c>
      <c r="K22" t="str" s="39" cm="1">
        <f t="array" ref="K22">IF(H22&lt;$B$8,"Por debajo del rango",IF(H22&gt;$C$8,"Por encima del rango","Dentro del rango"))</f>
        <v>Por debajo del rango</v>
      </c>
      <c r="L22" s="38" cm="1">
        <f t="array" ref="L22">1-(ABS(F22-$D$6)+ABS(G22-$D$7)+ABS(H22-$D$8))/2</f>
        <v>0.729411764705883</v>
      </c>
    </row>
    <row r="23" ht="13.55" customHeight="1">
      <c r="A23" s="42"/>
      <c r="B23" s="18"/>
      <c r="C23" s="18"/>
      <c r="D23" s="18"/>
      <c r="E23" s="18"/>
      <c r="F23" s="18"/>
      <c r="G23" s="18"/>
      <c r="H23" s="18"/>
      <c r="I23" s="18"/>
      <c r="J23" s="18"/>
      <c r="K23" s="18"/>
      <c r="L23" s="51"/>
    </row>
    <row r="24" ht="14.6" customHeight="1">
      <c r="A24" t="s" s="52">
        <v>1595</v>
      </c>
      <c r="B24" s="13"/>
      <c r="C24" s="13"/>
      <c r="D24" s="13"/>
      <c r="E24" s="13"/>
      <c r="F24" s="44"/>
      <c r="G24" s="13"/>
      <c r="H24" s="44"/>
      <c r="I24" s="13"/>
      <c r="J24" s="13"/>
      <c r="K24" s="13"/>
      <c r="L24" s="14"/>
    </row>
    <row r="25" ht="13.65" customHeight="1">
      <c r="A25" t="s" s="84">
        <v>1596</v>
      </c>
      <c r="B25" s="44"/>
      <c r="C25" s="44"/>
      <c r="D25" s="44"/>
      <c r="E25" t="s" s="114">
        <v>1597</v>
      </c>
      <c r="F25" s="58">
        <v>0.05</v>
      </c>
      <c r="G25" t="s" s="115">
        <v>1598</v>
      </c>
      <c r="H25" s="58">
        <v>0.15</v>
      </c>
      <c r="I25" s="86"/>
      <c r="J25" s="13"/>
      <c r="K25" s="13"/>
      <c r="L25" s="14"/>
    </row>
    <row r="26" ht="36" customHeight="1">
      <c r="A26" t="s" s="34">
        <v>1047</v>
      </c>
      <c r="B26" t="s" s="34">
        <v>1599</v>
      </c>
      <c r="C26" t="s" s="34">
        <v>1600</v>
      </c>
      <c r="D26" t="s" s="34">
        <v>85</v>
      </c>
      <c r="E26" t="s" s="34">
        <v>86</v>
      </c>
      <c r="F26" t="s" s="34">
        <v>138</v>
      </c>
      <c r="G26" t="s" s="34">
        <v>1529</v>
      </c>
      <c r="H26" t="s" s="34">
        <v>1601</v>
      </c>
      <c r="I26" t="s" s="34">
        <v>1530</v>
      </c>
      <c r="J26" s="17"/>
      <c r="K26" s="13"/>
      <c r="L26" s="14"/>
    </row>
    <row r="27" ht="57.65" customHeight="1">
      <c r="A27" t="s" s="78">
        <v>1602</v>
      </c>
      <c r="B27" t="s" s="78">
        <v>1576</v>
      </c>
      <c r="C27" t="s" s="78">
        <v>1603</v>
      </c>
      <c r="D27" s="80" cm="1">
        <f t="array" ref="D27">_xlfn.COUNTIFS('Datos - Temas'!$V$5:$V$1264,D$26,'Datos - Temas'!$C$5:$C$1264,"Ciencias",'Datos - Temas'!$AW$5:$AW$1264,"*"&amp;$A27&amp;"*")</f>
        <v>86</v>
      </c>
      <c r="E27" s="80" cm="1">
        <f t="array" ref="E27">_xlfn.COUNTIFS('Datos - Temas'!$V$5:$V$1264,E$26,'Datos - Temas'!$C$5:$C$1264,"Ciencias",'Datos - Temas'!$AW$5:$AW$1264,"*"&amp;$A27&amp;"*")</f>
        <v>92</v>
      </c>
      <c r="F27" s="80" cm="1">
        <f t="array" ref="F27">_xlfn.COUNTIFS('Datos - Temas'!$V$5:$V$1264,F$26,'Datos - Temas'!$C$5:$C$1264,"Ciencias",'Datos - Temas'!$AW$5:$AW$1264,"*"&amp;$A27&amp;"*")</f>
        <v>86</v>
      </c>
      <c r="G27" s="80" cm="1">
        <f t="array" ref="G27">SUM(D27:F27)</f>
        <v>264</v>
      </c>
      <c r="H27" s="116" cm="1">
        <f t="array" ref="H27">IF($B$16=0,0,G27/$B$16)</f>
        <v>0.963503649635036</v>
      </c>
      <c r="I27" t="str" s="79" cm="1">
        <f t="array" ref="I27">IF(G27=0,"No trabajada",IF(H27&lt;$F$25,"Débil",IF(H27&lt;$H$25,"Básica","Sólida")))</f>
        <v>Sólida</v>
      </c>
      <c r="J27" s="17"/>
      <c r="K27" s="13"/>
      <c r="L27" s="14"/>
    </row>
    <row r="28" ht="68.65" customHeight="1">
      <c r="A28" t="s" s="78">
        <v>1605</v>
      </c>
      <c r="B28" t="s" s="78">
        <v>1576</v>
      </c>
      <c r="C28" t="s" s="78">
        <v>1606</v>
      </c>
      <c r="D28" s="80" cm="1">
        <f t="array" ref="D28">_xlfn.COUNTIFS('Datos - Temas'!$V$5:$V$1264,D$26,'Datos - Temas'!$C$5:$C$1264,"Ciencias",'Datos - Temas'!$AW$5:$AW$1264,"*"&amp;$A28&amp;"*")</f>
        <v>20</v>
      </c>
      <c r="E28" s="80" cm="1">
        <f t="array" ref="E28">_xlfn.COUNTIFS('Datos - Temas'!$V$5:$V$1264,E$26,'Datos - Temas'!$C$5:$C$1264,"Ciencias",'Datos - Temas'!$AW$5:$AW$1264,"*"&amp;$A28&amp;"*")</f>
        <v>14</v>
      </c>
      <c r="F28" s="80" cm="1">
        <f t="array" ref="F28">_xlfn.COUNTIFS('Datos - Temas'!$V$5:$V$1264,F$26,'Datos - Temas'!$C$5:$C$1264,"Ciencias",'Datos - Temas'!$AW$5:$AW$1264,"*"&amp;$A28&amp;"*")</f>
        <v>13</v>
      </c>
      <c r="G28" s="80" cm="1">
        <f t="array" ref="G28">SUM(D28:F28)</f>
        <v>47</v>
      </c>
      <c r="H28" s="116" cm="1">
        <f t="array" ref="H28">IF($B$16=0,0,G28/$B$16)</f>
        <v>0.171532846715328</v>
      </c>
      <c r="I28" t="str" s="79" cm="1">
        <f t="array" ref="I28">IF(G28=0,"No trabajada",IF(H28&lt;$F$25,"Débil",IF(H28&lt;$H$25,"Básica","Sólida")))</f>
        <v>Sólida</v>
      </c>
      <c r="J28" s="17"/>
      <c r="K28" s="13"/>
      <c r="L28" s="14"/>
    </row>
    <row r="29" ht="68.65" customHeight="1">
      <c r="A29" t="s" s="78">
        <v>1607</v>
      </c>
      <c r="B29" t="s" s="78">
        <v>1576</v>
      </c>
      <c r="C29" t="s" s="78">
        <v>1608</v>
      </c>
      <c r="D29" s="80" cm="1">
        <f t="array" ref="D29">_xlfn.COUNTIFS('Datos - Temas'!$V$5:$V$1264,D$26,'Datos - Temas'!$C$5:$C$1264,"Ciencias",'Datos - Temas'!$AW$5:$AW$1264,"*"&amp;$A29&amp;"*")</f>
        <v>21</v>
      </c>
      <c r="E29" s="80" cm="1">
        <f t="array" ref="E29">_xlfn.COUNTIFS('Datos - Temas'!$V$5:$V$1264,E$26,'Datos - Temas'!$C$5:$C$1264,"Ciencias",'Datos - Temas'!$AW$5:$AW$1264,"*"&amp;$A29&amp;"*")</f>
        <v>41</v>
      </c>
      <c r="F29" s="80" cm="1">
        <f t="array" ref="F29">_xlfn.COUNTIFS('Datos - Temas'!$V$5:$V$1264,F$26,'Datos - Temas'!$C$5:$C$1264,"Ciencias",'Datos - Temas'!$AW$5:$AW$1264,"*"&amp;$A29&amp;"*")</f>
        <v>29</v>
      </c>
      <c r="G29" s="80" cm="1">
        <f t="array" ref="G29">SUM(D29:F29)</f>
        <v>91</v>
      </c>
      <c r="H29" s="116" cm="1">
        <f t="array" ref="H29">IF($B$16=0,0,G29/$B$16)</f>
        <v>0.332116788321168</v>
      </c>
      <c r="I29" t="str" s="79" cm="1">
        <f t="array" ref="I29">IF(G29=0,"No trabajada",IF(H29&lt;$F$25,"Débil",IF(H29&lt;$H$25,"Básica","Sólida")))</f>
        <v>Sólida</v>
      </c>
      <c r="J29" s="17"/>
      <c r="K29" s="13"/>
      <c r="L29" s="14"/>
    </row>
    <row r="30" ht="46.65" customHeight="1">
      <c r="A30" t="s" s="78">
        <v>1609</v>
      </c>
      <c r="B30" t="s" s="78">
        <v>1576</v>
      </c>
      <c r="C30" t="s" s="78">
        <v>1610</v>
      </c>
      <c r="D30" s="80" cm="1">
        <f t="array" ref="D30">_xlfn.COUNTIFS('Datos - Temas'!$V$5:$V$1264,D$26,'Datos - Temas'!$C$5:$C$1264,"Ciencias",'Datos - Temas'!$AW$5:$AW$1264,"*"&amp;$A30&amp;"*")</f>
        <v>11</v>
      </c>
      <c r="E30" s="80" cm="1">
        <f t="array" ref="E30">_xlfn.COUNTIFS('Datos - Temas'!$V$5:$V$1264,E$26,'Datos - Temas'!$C$5:$C$1264,"Ciencias",'Datos - Temas'!$AW$5:$AW$1264,"*"&amp;$A30&amp;"*")</f>
        <v>7</v>
      </c>
      <c r="F30" s="80" cm="1">
        <f t="array" ref="F30">_xlfn.COUNTIFS('Datos - Temas'!$V$5:$V$1264,F$26,'Datos - Temas'!$C$5:$C$1264,"Ciencias",'Datos - Temas'!$AW$5:$AW$1264,"*"&amp;$A30&amp;"*")</f>
        <v>12</v>
      </c>
      <c r="G30" s="80" cm="1">
        <f t="array" ref="G30">SUM(D30:F30)</f>
        <v>30</v>
      </c>
      <c r="H30" s="116" cm="1">
        <f t="array" ref="H30">IF($B$16=0,0,G30/$B$16)</f>
        <v>0.109489051094891</v>
      </c>
      <c r="I30" t="str" s="79" cm="1">
        <f t="array" ref="I30">IF(G30=0,"No trabajada",IF(H30&lt;$F$25,"Débil",IF(H30&lt;$H$25,"Básica","Sólida")))</f>
        <v>Básica</v>
      </c>
      <c r="J30" s="17"/>
      <c r="K30" s="13"/>
      <c r="L30" s="14"/>
    </row>
    <row r="31" ht="57.65" customHeight="1">
      <c r="A31" t="s" s="78">
        <v>1612</v>
      </c>
      <c r="B31" t="s" s="78">
        <v>1576</v>
      </c>
      <c r="C31" t="s" s="78">
        <v>1613</v>
      </c>
      <c r="D31" s="80" cm="1">
        <f t="array" ref="D31">_xlfn.COUNTIFS('Datos - Temas'!$V$5:$V$1264,D$26,'Datos - Temas'!$C$5:$C$1264,"Ciencias",'Datos - Temas'!$AW$5:$AW$1264,"*"&amp;$A31&amp;"*")</f>
        <v>3</v>
      </c>
      <c r="E31" s="80" cm="1">
        <f t="array" ref="E31">_xlfn.COUNTIFS('Datos - Temas'!$V$5:$V$1264,E$26,'Datos - Temas'!$C$5:$C$1264,"Ciencias",'Datos - Temas'!$AW$5:$AW$1264,"*"&amp;$A31&amp;"*")</f>
        <v>1</v>
      </c>
      <c r="F31" s="80" cm="1">
        <f t="array" ref="F31">_xlfn.COUNTIFS('Datos - Temas'!$V$5:$V$1264,F$26,'Datos - Temas'!$C$5:$C$1264,"Ciencias",'Datos - Temas'!$AW$5:$AW$1264,"*"&amp;$A31&amp;"*")</f>
        <v>0</v>
      </c>
      <c r="G31" s="80" cm="1">
        <f t="array" ref="G31">SUM(D31:F31)</f>
        <v>4</v>
      </c>
      <c r="H31" s="116" cm="1">
        <f t="array" ref="H31">IF($B$16=0,0,G31/$B$16)</f>
        <v>0.0145985401459854</v>
      </c>
      <c r="I31" t="str" s="79" cm="1">
        <f t="array" ref="I31">IF(G31=0,"No trabajada",IF(H31&lt;$F$25,"Débil",IF(H31&lt;$H$25,"Básica","Sólida")))</f>
        <v>Débil</v>
      </c>
      <c r="J31" s="17"/>
      <c r="K31" s="13"/>
      <c r="L31" s="14"/>
    </row>
    <row r="32" ht="79.65" customHeight="1">
      <c r="A32" t="s" s="78">
        <v>1615</v>
      </c>
      <c r="B32" t="s" s="78">
        <v>1576</v>
      </c>
      <c r="C32" t="s" s="78">
        <v>1616</v>
      </c>
      <c r="D32" s="80" cm="1">
        <f t="array" ref="D32">_xlfn.COUNTIFS('Datos - Temas'!$V$5:$V$1264,D$26,'Datos - Temas'!$C$5:$C$1264,"Ciencias",'Datos - Temas'!$AW$5:$AW$1264,"*"&amp;$A32&amp;"*")</f>
        <v>33</v>
      </c>
      <c r="E32" s="80" cm="1">
        <f t="array" ref="E32">_xlfn.COUNTIFS('Datos - Temas'!$V$5:$V$1264,E$26,'Datos - Temas'!$C$5:$C$1264,"Ciencias",'Datos - Temas'!$AW$5:$AW$1264,"*"&amp;$A32&amp;"*")</f>
        <v>20</v>
      </c>
      <c r="F32" s="80" cm="1">
        <f t="array" ref="F32">_xlfn.COUNTIFS('Datos - Temas'!$V$5:$V$1264,F$26,'Datos - Temas'!$C$5:$C$1264,"Ciencias",'Datos - Temas'!$AW$5:$AW$1264,"*"&amp;$A32&amp;"*")</f>
        <v>38</v>
      </c>
      <c r="G32" s="80" cm="1">
        <f t="array" ref="G32">SUM(D32:F32)</f>
        <v>91</v>
      </c>
      <c r="H32" s="116" cm="1">
        <f t="array" ref="H32">IF($B$16=0,0,G32/$B$16)</f>
        <v>0.332116788321168</v>
      </c>
      <c r="I32" t="str" s="79" cm="1">
        <f t="array" ref="I32">IF(G32=0,"No trabajada",IF(H32&lt;$F$25,"Débil",IF(H32&lt;$H$25,"Básica","Sólida")))</f>
        <v>Sólida</v>
      </c>
      <c r="J32" s="17"/>
      <c r="K32" s="13"/>
      <c r="L32" s="14"/>
    </row>
    <row r="33" ht="46.65" customHeight="1">
      <c r="A33" t="s" s="78">
        <v>1617</v>
      </c>
      <c r="B33" t="s" s="78">
        <v>1577</v>
      </c>
      <c r="C33" t="s" s="78">
        <v>1618</v>
      </c>
      <c r="D33" s="80" cm="1">
        <f t="array" ref="D33">_xlfn.COUNTIFS('Datos - Temas'!$V$5:$V$1264,D$26,'Datos - Temas'!$C$5:$C$1264,"Ciencias",'Datos - Temas'!$AW$5:$AW$1264,"*"&amp;$A33&amp;"*")</f>
        <v>81</v>
      </c>
      <c r="E33" s="80" cm="1">
        <f t="array" ref="E33">_xlfn.COUNTIFS('Datos - Temas'!$V$5:$V$1264,E$26,'Datos - Temas'!$C$5:$C$1264,"Ciencias",'Datos - Temas'!$AW$5:$AW$1264,"*"&amp;$A33&amp;"*")</f>
        <v>77</v>
      </c>
      <c r="F33" s="80" cm="1">
        <f t="array" ref="F33">_xlfn.COUNTIFS('Datos - Temas'!$V$5:$V$1264,F$26,'Datos - Temas'!$C$5:$C$1264,"Ciencias",'Datos - Temas'!$AW$5:$AW$1264,"*"&amp;$A33&amp;"*")</f>
        <v>77</v>
      </c>
      <c r="G33" s="80" cm="1">
        <f t="array" ref="G33">SUM(D33:F33)</f>
        <v>235</v>
      </c>
      <c r="H33" s="116" cm="1">
        <f t="array" ref="H33">IF($B$16=0,0,G33/$B$16)</f>
        <v>0.857664233576642</v>
      </c>
      <c r="I33" t="str" s="79" cm="1">
        <f t="array" ref="I33">IF(G33=0,"No trabajada",IF(H33&lt;$F$25,"Débil",IF(H33&lt;$H$25,"Básica","Sólida")))</f>
        <v>Sólida</v>
      </c>
      <c r="J33" s="17"/>
      <c r="K33" s="13"/>
      <c r="L33" s="14"/>
    </row>
    <row r="34" ht="57.65" customHeight="1">
      <c r="A34" t="s" s="78">
        <v>1619</v>
      </c>
      <c r="B34" t="s" s="78">
        <v>1577</v>
      </c>
      <c r="C34" t="s" s="78">
        <v>1620</v>
      </c>
      <c r="D34" s="80" cm="1">
        <f t="array" ref="D34">_xlfn.COUNTIFS('Datos - Temas'!$V$5:$V$1264,D$26,'Datos - Temas'!$C$5:$C$1264,"Ciencias",'Datos - Temas'!$AW$5:$AW$1264,"*"&amp;$A34&amp;"*")</f>
        <v>5</v>
      </c>
      <c r="E34" s="80" cm="1">
        <f t="array" ref="E34">_xlfn.COUNTIFS('Datos - Temas'!$V$5:$V$1264,E$26,'Datos - Temas'!$C$5:$C$1264,"Ciencias",'Datos - Temas'!$AW$5:$AW$1264,"*"&amp;$A34&amp;"*")</f>
        <v>6</v>
      </c>
      <c r="F34" s="80" cm="1">
        <f t="array" ref="F34">_xlfn.COUNTIFS('Datos - Temas'!$V$5:$V$1264,F$26,'Datos - Temas'!$C$5:$C$1264,"Ciencias",'Datos - Temas'!$AW$5:$AW$1264,"*"&amp;$A34&amp;"*")</f>
        <v>9</v>
      </c>
      <c r="G34" s="80" cm="1">
        <f t="array" ref="G34">SUM(D34:F34)</f>
        <v>20</v>
      </c>
      <c r="H34" s="116" cm="1">
        <f t="array" ref="H34">IF($B$16=0,0,G34/$B$16)</f>
        <v>0.072992700729927</v>
      </c>
      <c r="I34" t="str" s="79" cm="1">
        <f t="array" ref="I34">IF(G34=0,"No trabajada",IF(H34&lt;$F$25,"Débil",IF(H34&lt;$H$25,"Básica","Sólida")))</f>
        <v>Básica</v>
      </c>
      <c r="J34" s="17"/>
      <c r="K34" s="13"/>
      <c r="L34" s="14"/>
    </row>
    <row r="35" ht="68.65" customHeight="1">
      <c r="A35" t="s" s="78">
        <v>1621</v>
      </c>
      <c r="B35" t="s" s="78">
        <v>1577</v>
      </c>
      <c r="C35" t="s" s="78">
        <v>1622</v>
      </c>
      <c r="D35" s="80" cm="1">
        <f t="array" ref="D35">_xlfn.COUNTIFS('Datos - Temas'!$V$5:$V$1264,D$26,'Datos - Temas'!$C$5:$C$1264,"Ciencias",'Datos - Temas'!$AW$5:$AW$1264,"*"&amp;$A35&amp;"*")</f>
        <v>7</v>
      </c>
      <c r="E35" s="80" cm="1">
        <f t="array" ref="E35">_xlfn.COUNTIFS('Datos - Temas'!$V$5:$V$1264,E$26,'Datos - Temas'!$C$5:$C$1264,"Ciencias",'Datos - Temas'!$AW$5:$AW$1264,"*"&amp;$A35&amp;"*")</f>
        <v>6</v>
      </c>
      <c r="F35" s="80" cm="1">
        <f t="array" ref="F35">_xlfn.COUNTIFS('Datos - Temas'!$V$5:$V$1264,F$26,'Datos - Temas'!$C$5:$C$1264,"Ciencias",'Datos - Temas'!$AW$5:$AW$1264,"*"&amp;$A35&amp;"*")</f>
        <v>6</v>
      </c>
      <c r="G35" s="80" cm="1">
        <f t="array" ref="G35">SUM(D35:F35)</f>
        <v>19</v>
      </c>
      <c r="H35" s="116" cm="1">
        <f t="array" ref="H35">IF($B$16=0,0,G35/$B$16)</f>
        <v>0.0693430656934307</v>
      </c>
      <c r="I35" t="str" s="79" cm="1">
        <f t="array" ref="I35">IF(G35=0,"No trabajada",IF(H35&lt;$F$25,"Débil",IF(H35&lt;$H$25,"Básica","Sólida")))</f>
        <v>Básica</v>
      </c>
      <c r="J35" s="17"/>
      <c r="K35" s="13"/>
      <c r="L35" s="14"/>
    </row>
    <row r="36" ht="101.65" customHeight="1">
      <c r="A36" t="s" s="78">
        <v>1623</v>
      </c>
      <c r="B36" t="s" s="78">
        <v>1577</v>
      </c>
      <c r="C36" t="s" s="78">
        <v>1624</v>
      </c>
      <c r="D36" s="80" cm="1">
        <f t="array" ref="D36">_xlfn.COUNTIFS('Datos - Temas'!$V$5:$V$1264,D$26,'Datos - Temas'!$C$5:$C$1264,"Ciencias",'Datos - Temas'!$AW$5:$AW$1264,"*"&amp;$A36&amp;"*")</f>
        <v>58</v>
      </c>
      <c r="E36" s="80" cm="1">
        <f t="array" ref="E36">_xlfn.COUNTIFS('Datos - Temas'!$V$5:$V$1264,E$26,'Datos - Temas'!$C$5:$C$1264,"Ciencias",'Datos - Temas'!$AW$5:$AW$1264,"*"&amp;$A36&amp;"*")</f>
        <v>74</v>
      </c>
      <c r="F36" s="80" cm="1">
        <f t="array" ref="F36">_xlfn.COUNTIFS('Datos - Temas'!$V$5:$V$1264,F$26,'Datos - Temas'!$C$5:$C$1264,"Ciencias",'Datos - Temas'!$AW$5:$AW$1264,"*"&amp;$A36&amp;"*")</f>
        <v>64</v>
      </c>
      <c r="G36" s="80" cm="1">
        <f t="array" ref="G36">SUM(D36:F36)</f>
        <v>196</v>
      </c>
      <c r="H36" s="116" cm="1">
        <f t="array" ref="H36">IF($B$16=0,0,G36/$B$16)</f>
        <v>0.715328467153285</v>
      </c>
      <c r="I36" t="str" s="79" cm="1">
        <f t="array" ref="I36">IF(G36=0,"No trabajada",IF(H36&lt;$F$25,"Débil",IF(H36&lt;$H$25,"Básica","Sólida")))</f>
        <v>Sólida</v>
      </c>
      <c r="J36" s="17"/>
      <c r="K36" s="13"/>
      <c r="L36" s="14"/>
    </row>
    <row r="37" ht="79.65" customHeight="1">
      <c r="A37" t="s" s="78">
        <v>1625</v>
      </c>
      <c r="B37" t="s" s="78">
        <v>1578</v>
      </c>
      <c r="C37" t="s" s="78">
        <v>1626</v>
      </c>
      <c r="D37" s="80" cm="1">
        <f t="array" ref="D37">_xlfn.COUNTIFS('Datos - Temas'!$V$5:$V$1264,D$26,'Datos - Temas'!$C$5:$C$1264,"Ciencias",'Datos - Temas'!$AW$5:$AW$1264,"*"&amp;$A37&amp;"*")</f>
        <v>7</v>
      </c>
      <c r="E37" s="80" cm="1">
        <f t="array" ref="E37">_xlfn.COUNTIFS('Datos - Temas'!$V$5:$V$1264,E$26,'Datos - Temas'!$C$5:$C$1264,"Ciencias",'Datos - Temas'!$AW$5:$AW$1264,"*"&amp;$A37&amp;"*")</f>
        <v>5</v>
      </c>
      <c r="F37" s="80" cm="1">
        <f t="array" ref="F37">_xlfn.COUNTIFS('Datos - Temas'!$V$5:$V$1264,F$26,'Datos - Temas'!$C$5:$C$1264,"Ciencias",'Datos - Temas'!$AW$5:$AW$1264,"*"&amp;$A37&amp;"*")</f>
        <v>7</v>
      </c>
      <c r="G37" s="80" cm="1">
        <f t="array" ref="G37">SUM(D37:F37)</f>
        <v>19</v>
      </c>
      <c r="H37" s="116" cm="1">
        <f t="array" ref="H37">IF($B$16=0,0,G37/$B$16)</f>
        <v>0.0693430656934307</v>
      </c>
      <c r="I37" t="str" s="79" cm="1">
        <f t="array" ref="I37">IF(G37=0,"No trabajada",IF(H37&lt;$F$25,"Débil",IF(H37&lt;$H$25,"Básica","Sólida")))</f>
        <v>Básica</v>
      </c>
      <c r="J37" s="17"/>
      <c r="K37" s="13"/>
      <c r="L37" s="14"/>
    </row>
    <row r="38" ht="101.65" customHeight="1">
      <c r="A38" t="s" s="78">
        <v>1627</v>
      </c>
      <c r="B38" t="s" s="78">
        <v>1578</v>
      </c>
      <c r="C38" t="s" s="78">
        <v>1628</v>
      </c>
      <c r="D38" s="80" cm="1">
        <f t="array" ref="D38">_xlfn.COUNTIFS('Datos - Temas'!$V$5:$V$1264,D$26,'Datos - Temas'!$C$5:$C$1264,"Ciencias",'Datos - Temas'!$AW$5:$AW$1264,"*"&amp;$A38&amp;"*")</f>
        <v>1</v>
      </c>
      <c r="E38" s="80" cm="1">
        <f t="array" ref="E38">_xlfn.COUNTIFS('Datos - Temas'!$V$5:$V$1264,E$26,'Datos - Temas'!$C$5:$C$1264,"Ciencias",'Datos - Temas'!$AW$5:$AW$1264,"*"&amp;$A38&amp;"*")</f>
        <v>1</v>
      </c>
      <c r="F38" s="80" cm="1">
        <f t="array" ref="F38">_xlfn.COUNTIFS('Datos - Temas'!$V$5:$V$1264,F$26,'Datos - Temas'!$C$5:$C$1264,"Ciencias",'Datos - Temas'!$AW$5:$AW$1264,"*"&amp;$A38&amp;"*")</f>
        <v>2</v>
      </c>
      <c r="G38" s="80" cm="1">
        <f t="array" ref="G38">SUM(D38:F38)</f>
        <v>4</v>
      </c>
      <c r="H38" s="116" cm="1">
        <f t="array" ref="H38">IF($B$16=0,0,G38/$B$16)</f>
        <v>0.0145985401459854</v>
      </c>
      <c r="I38" t="str" s="79" cm="1">
        <f t="array" ref="I38">IF(G38=0,"No trabajada",IF(H38&lt;$F$25,"Débil",IF(H38&lt;$H$25,"Básica","Sólida")))</f>
        <v>Débil</v>
      </c>
      <c r="J38" s="17"/>
      <c r="K38" s="13"/>
      <c r="L38" s="14"/>
    </row>
    <row r="39" ht="57.65" customHeight="1">
      <c r="A39" t="s" s="78">
        <v>1629</v>
      </c>
      <c r="B39" t="s" s="78">
        <v>1578</v>
      </c>
      <c r="C39" t="s" s="78">
        <v>1630</v>
      </c>
      <c r="D39" s="80" cm="1">
        <f t="array" ref="D39">_xlfn.COUNTIFS('Datos - Temas'!$V$5:$V$1264,D$26,'Datos - Temas'!$C$5:$C$1264,"Ciencias",'Datos - Temas'!$AW$5:$AW$1264,"*"&amp;$A39&amp;"*")</f>
        <v>13</v>
      </c>
      <c r="E39" s="80" cm="1">
        <f t="array" ref="E39">_xlfn.COUNTIFS('Datos - Temas'!$V$5:$V$1264,E$26,'Datos - Temas'!$C$5:$C$1264,"Ciencias",'Datos - Temas'!$AW$5:$AW$1264,"*"&amp;$A39&amp;"*")</f>
        <v>0</v>
      </c>
      <c r="F39" s="80" cm="1">
        <f t="array" ref="F39">_xlfn.COUNTIFS('Datos - Temas'!$V$5:$V$1264,F$26,'Datos - Temas'!$C$5:$C$1264,"Ciencias",'Datos - Temas'!$AW$5:$AW$1264,"*"&amp;$A39&amp;"*")</f>
        <v>4</v>
      </c>
      <c r="G39" s="80" cm="1">
        <f t="array" ref="G39">SUM(D39:F39)</f>
        <v>17</v>
      </c>
      <c r="H39" s="116" cm="1">
        <f t="array" ref="H39">IF($B$16=0,0,G39/$B$16)</f>
        <v>0.062043795620438</v>
      </c>
      <c r="I39" t="str" s="79" cm="1">
        <f t="array" ref="I39">IF(G39=0,"No trabajada",IF(H39&lt;$F$25,"Débil",IF(H39&lt;$H$25,"Básica","Sólida")))</f>
        <v>Básica</v>
      </c>
      <c r="J39" s="17"/>
      <c r="K39" s="13"/>
      <c r="L39" s="14"/>
    </row>
    <row r="40" ht="57.65" customHeight="1">
      <c r="A40" t="s" s="78">
        <v>1631</v>
      </c>
      <c r="B40" t="s" s="78">
        <v>1578</v>
      </c>
      <c r="C40" t="s" s="78">
        <v>1632</v>
      </c>
      <c r="D40" s="80" cm="1">
        <f t="array" ref="D40">_xlfn.COUNTIFS('Datos - Temas'!$V$5:$V$1264,D$26,'Datos - Temas'!$C$5:$C$1264,"Ciencias",'Datos - Temas'!$AW$5:$AW$1264,"*"&amp;$A40&amp;"*")</f>
        <v>1</v>
      </c>
      <c r="E40" s="80" cm="1">
        <f t="array" ref="E40">_xlfn.COUNTIFS('Datos - Temas'!$V$5:$V$1264,E$26,'Datos - Temas'!$C$5:$C$1264,"Ciencias",'Datos - Temas'!$AW$5:$AW$1264,"*"&amp;$A40&amp;"*")</f>
        <v>1</v>
      </c>
      <c r="F40" s="80" cm="1">
        <f t="array" ref="F40">_xlfn.COUNTIFS('Datos - Temas'!$V$5:$V$1264,F$26,'Datos - Temas'!$C$5:$C$1264,"Ciencias",'Datos - Temas'!$AW$5:$AW$1264,"*"&amp;$A40&amp;"*")</f>
        <v>2</v>
      </c>
      <c r="G40" s="80" cm="1">
        <f t="array" ref="G40">SUM(D40:F40)</f>
        <v>4</v>
      </c>
      <c r="H40" s="116" cm="1">
        <f t="array" ref="H40">IF($B$16=0,0,G40/$B$16)</f>
        <v>0.0145985401459854</v>
      </c>
      <c r="I40" t="str" s="79" cm="1">
        <f t="array" ref="I40">IF(G40=0,"No trabajada",IF(H40&lt;$F$25,"Débil",IF(H40&lt;$H$25,"Básica","Sólida")))</f>
        <v>Débil</v>
      </c>
      <c r="J40" s="17"/>
      <c r="K40" s="13"/>
      <c r="L40" s="14"/>
    </row>
    <row r="41" ht="101.65" customHeight="1">
      <c r="A41" t="s" s="78">
        <v>1633</v>
      </c>
      <c r="B41" t="s" s="78">
        <v>1578</v>
      </c>
      <c r="C41" t="s" s="78">
        <v>1634</v>
      </c>
      <c r="D41" s="80" cm="1">
        <f t="array" ref="D41">_xlfn.COUNTIFS('Datos - Temas'!$V$5:$V$1264,D$26,'Datos - Temas'!$C$5:$C$1264,"Ciencias",'Datos - Temas'!$AW$5:$AW$1264,"*"&amp;$A41&amp;"*")</f>
        <v>24</v>
      </c>
      <c r="E41" s="80" cm="1">
        <f t="array" ref="E41">_xlfn.COUNTIFS('Datos - Temas'!$V$5:$V$1264,E$26,'Datos - Temas'!$C$5:$C$1264,"Ciencias",'Datos - Temas'!$AW$5:$AW$1264,"*"&amp;$A41&amp;"*")</f>
        <v>6</v>
      </c>
      <c r="F41" s="80" cm="1">
        <f t="array" ref="F41">_xlfn.COUNTIFS('Datos - Temas'!$V$5:$V$1264,F$26,'Datos - Temas'!$C$5:$C$1264,"Ciencias",'Datos - Temas'!$AW$5:$AW$1264,"*"&amp;$A41&amp;"*")</f>
        <v>11</v>
      </c>
      <c r="G41" s="80" cm="1">
        <f t="array" ref="G41">SUM(D41:F41)</f>
        <v>41</v>
      </c>
      <c r="H41" s="116" cm="1">
        <f t="array" ref="H41">IF($B$16=0,0,G41/$B$16)</f>
        <v>0.14963503649635</v>
      </c>
      <c r="I41" t="str" s="79" cm="1">
        <f t="array" ref="I41">IF(G41=0,"No trabajada",IF(H41&lt;$F$25,"Débil",IF(H41&lt;$H$25,"Básica","Sólida")))</f>
        <v>Básica</v>
      </c>
      <c r="J41" s="17"/>
      <c r="K41" s="13"/>
      <c r="L41" s="14"/>
    </row>
    <row r="42" ht="13.55" customHeight="1">
      <c r="A42" s="42"/>
      <c r="B42" s="18"/>
      <c r="C42" s="18"/>
      <c r="D42" s="18"/>
      <c r="E42" s="18"/>
      <c r="F42" s="18"/>
      <c r="G42" s="18"/>
      <c r="H42" s="18"/>
      <c r="I42" s="18"/>
      <c r="J42" s="13"/>
      <c r="K42" s="13"/>
      <c r="L42" s="14"/>
    </row>
    <row r="43" ht="14.6" customHeight="1">
      <c r="A43" t="s" s="43">
        <v>1635</v>
      </c>
      <c r="B43" s="44"/>
      <c r="C43" s="44"/>
      <c r="D43" s="44"/>
      <c r="E43" s="44"/>
      <c r="F43" s="13"/>
      <c r="G43" s="13"/>
      <c r="H43" s="13"/>
      <c r="I43" s="13"/>
      <c r="J43" s="13"/>
      <c r="K43" s="13"/>
      <c r="L43" s="14"/>
    </row>
    <row r="44" ht="32" customHeight="1">
      <c r="A44" t="s" s="34">
        <v>1599</v>
      </c>
      <c r="B44" t="s" s="34">
        <v>1636</v>
      </c>
      <c r="C44" t="s" s="34">
        <v>1637</v>
      </c>
      <c r="D44" t="s" s="34">
        <v>1638</v>
      </c>
      <c r="E44" t="s" s="34">
        <v>1419</v>
      </c>
      <c r="F44" s="17"/>
      <c r="G44" s="13"/>
      <c r="H44" s="13"/>
      <c r="I44" s="13"/>
      <c r="J44" s="13"/>
      <c r="K44" s="13"/>
      <c r="L44" s="14"/>
    </row>
    <row r="45" ht="13.65" customHeight="1">
      <c r="A45" t="s" s="35">
        <v>1576</v>
      </c>
      <c r="B45" s="36" cm="1">
        <f t="array" ref="B45">SUM(C51:G56)</f>
        <v>815</v>
      </c>
      <c r="C45" s="38" cm="1">
        <f t="array" ref="C45">IF(SUM($B$45:$B$47)=0,0,B45/SUM($B$45:$B$47))</f>
        <v>0.594890510948905</v>
      </c>
      <c r="D45" s="38" cm="1">
        <f t="array" ref="D45">$D$6</f>
        <v>0.4</v>
      </c>
      <c r="E45" s="88" cm="1">
        <f t="array" ref="E45">(C45-D45)*100</f>
        <v>19.4890510948905</v>
      </c>
      <c r="F45" s="17"/>
      <c r="G45" s="13"/>
      <c r="H45" s="13"/>
      <c r="I45" s="13"/>
      <c r="J45" s="13"/>
      <c r="K45" s="13"/>
      <c r="L45" s="14"/>
    </row>
    <row r="46" ht="13.65" customHeight="1">
      <c r="A46" t="s" s="35">
        <v>1577</v>
      </c>
      <c r="B46" s="36" cm="1">
        <f t="array" ref="B46">SUM(C57:G60)</f>
        <v>470</v>
      </c>
      <c r="C46" s="38" cm="1">
        <f t="array" ref="C46">IF(SUM($B$45:$B$47)=0,0,B46/SUM($B$45:$B$47))</f>
        <v>0.343065693430657</v>
      </c>
      <c r="D46" s="38" cm="1">
        <f t="array" ref="D46">$D$7</f>
        <v>0.3</v>
      </c>
      <c r="E46" s="88" cm="1">
        <f t="array" ref="E46">(C46-D46)*100</f>
        <v>4.3065693430657</v>
      </c>
      <c r="F46" s="17"/>
      <c r="G46" s="13"/>
      <c r="H46" s="13"/>
      <c r="I46" s="13"/>
      <c r="J46" s="13"/>
      <c r="K46" s="13"/>
      <c r="L46" s="14"/>
    </row>
    <row r="47" ht="13.65" customHeight="1">
      <c r="A47" t="s" s="35">
        <v>1578</v>
      </c>
      <c r="B47" s="36" cm="1">
        <f t="array" ref="B47">SUM(C61:G65)</f>
        <v>85</v>
      </c>
      <c r="C47" s="38" cm="1">
        <f t="array" ref="C47">IF(SUM($B$45:$B$47)=0,0,B47/SUM($B$45:$B$47))</f>
        <v>0.062043795620438</v>
      </c>
      <c r="D47" s="38" cm="1">
        <f t="array" ref="D47">$D$8</f>
        <v>0.3</v>
      </c>
      <c r="E47" s="88" cm="1">
        <f t="array" ref="E47">(C47-D47)*100</f>
        <v>-23.7956204379562</v>
      </c>
      <c r="F47" s="17"/>
      <c r="G47" s="13"/>
      <c r="H47" s="13"/>
      <c r="I47" s="13"/>
      <c r="J47" s="13"/>
      <c r="K47" s="13"/>
      <c r="L47" s="14"/>
    </row>
    <row r="48" ht="13.55" customHeight="1">
      <c r="A48" s="42"/>
      <c r="B48" s="18"/>
      <c r="C48" s="18"/>
      <c r="D48" s="18"/>
      <c r="E48" s="18"/>
      <c r="F48" s="13"/>
      <c r="G48" s="13"/>
      <c r="H48" s="13"/>
      <c r="I48" s="13"/>
      <c r="J48" s="13"/>
      <c r="K48" s="13"/>
      <c r="L48" s="14"/>
    </row>
    <row r="49" ht="14.6" customHeight="1">
      <c r="A49" t="s" s="43">
        <v>1639</v>
      </c>
      <c r="B49" s="44"/>
      <c r="C49" s="44"/>
      <c r="D49" s="44"/>
      <c r="E49" s="44"/>
      <c r="F49" s="44"/>
      <c r="G49" s="44"/>
      <c r="H49" s="13"/>
      <c r="I49" s="13"/>
      <c r="J49" s="13"/>
      <c r="K49" s="13"/>
      <c r="L49" s="14"/>
    </row>
    <row r="50" ht="30" customHeight="1">
      <c r="A50" t="s" s="34">
        <v>1047</v>
      </c>
      <c r="B50" t="s" s="34">
        <v>1640</v>
      </c>
      <c r="C50" t="s" s="34">
        <v>1641</v>
      </c>
      <c r="D50" t="s" s="34">
        <v>1642</v>
      </c>
      <c r="E50" t="s" s="34">
        <v>1643</v>
      </c>
      <c r="F50" t="s" s="34">
        <v>1644</v>
      </c>
      <c r="G50" t="s" s="34">
        <v>1645</v>
      </c>
      <c r="H50" s="17"/>
      <c r="I50" s="13"/>
      <c r="J50" s="13"/>
      <c r="K50" s="13"/>
      <c r="L50" s="14"/>
    </row>
    <row r="51" ht="13.65" customHeight="1">
      <c r="A51" t="s" s="35">
        <v>1602</v>
      </c>
      <c r="B51" t="s" s="35">
        <v>1603</v>
      </c>
      <c r="C51" s="36" cm="1">
        <f t="array" ref="C51">_xlfn.COUNTIFS('Datos - Temas'!$AV$5:$AV$1264,"Ciclo 7°–9°",'Datos - Temas'!$AF$5:$AF$1264,"*"&amp;$A51&amp;"*")</f>
        <v>247</v>
      </c>
      <c r="D51" s="36" cm="1">
        <f t="array" ref="D51">_xlfn.COUNTIFS('Datos - Temas'!$AV$5:$AV$1264,"Ciclo 7°–9°",'Datos - Temas'!$AG$5:$AG$1264,"*"&amp;$A51&amp;"*")</f>
        <v>0</v>
      </c>
      <c r="E51" s="36" cm="1">
        <f t="array" ref="E51">_xlfn.COUNTIFS('Datos - Temas'!$AV$5:$AV$1264,"Ciclo 7°–9°",'Datos - Temas'!$AH$5:$AH$1264,"*"&amp;$A51&amp;"*")</f>
        <v>193</v>
      </c>
      <c r="F51" s="36" cm="1">
        <f t="array" ref="F51">_xlfn.COUNTIFS('Datos - Temas'!$AV$5:$AV$1264,"Ciclo 7°–9°",'Datos - Temas'!$AI$5:$AI$1264,"*"&amp;$A51&amp;"*")</f>
        <v>0</v>
      </c>
      <c r="G51" s="36" cm="1">
        <f t="array" ref="G51">_xlfn.COUNTIFS('Datos - Temas'!$AV$5:$AV$1264,"Ciclo 7°–9°",'Datos - Temas'!$AJ$5:$AJ$1264,"*"&amp;$A51&amp;"*")</f>
        <v>83</v>
      </c>
      <c r="H51" s="17"/>
      <c r="I51" s="13"/>
      <c r="J51" s="13"/>
      <c r="K51" s="13"/>
      <c r="L51" s="14"/>
    </row>
    <row r="52" ht="13.65" customHeight="1">
      <c r="A52" t="s" s="35">
        <v>1605</v>
      </c>
      <c r="B52" t="s" s="35">
        <v>1606</v>
      </c>
      <c r="C52" s="36" cm="1">
        <f t="array" ref="C52">_xlfn.COUNTIFS('Datos - Temas'!$AV$5:$AV$1264,"Ciclo 7°–9°",'Datos - Temas'!$AF$5:$AF$1264,"*"&amp;$A52&amp;"*")</f>
        <v>0</v>
      </c>
      <c r="D52" s="36" cm="1">
        <f t="array" ref="D52">_xlfn.COUNTIFS('Datos - Temas'!$AV$5:$AV$1264,"Ciclo 7°–9°",'Datos - Temas'!$AG$5:$AG$1264,"*"&amp;$A52&amp;"*")</f>
        <v>0</v>
      </c>
      <c r="E52" s="36" cm="1">
        <f t="array" ref="E52">_xlfn.COUNTIFS('Datos - Temas'!$AV$5:$AV$1264,"Ciclo 7°–9°",'Datos - Temas'!$AH$5:$AH$1264,"*"&amp;$A52&amp;"*")</f>
        <v>47</v>
      </c>
      <c r="F52" s="36" cm="1">
        <f t="array" ref="F52">_xlfn.COUNTIFS('Datos - Temas'!$AV$5:$AV$1264,"Ciclo 7°–9°",'Datos - Temas'!$AI$5:$AI$1264,"*"&amp;$A52&amp;"*")</f>
        <v>0</v>
      </c>
      <c r="G52" s="36" cm="1">
        <f t="array" ref="G52">_xlfn.COUNTIFS('Datos - Temas'!$AV$5:$AV$1264,"Ciclo 7°–9°",'Datos - Temas'!$AJ$5:$AJ$1264,"*"&amp;$A52&amp;"*")</f>
        <v>0</v>
      </c>
      <c r="H52" s="17"/>
      <c r="I52" s="13"/>
      <c r="J52" s="13"/>
      <c r="K52" s="13"/>
      <c r="L52" s="14"/>
    </row>
    <row r="53" ht="13.65" customHeight="1">
      <c r="A53" t="s" s="35">
        <v>1607</v>
      </c>
      <c r="B53" t="s" s="35">
        <v>1608</v>
      </c>
      <c r="C53" s="36" cm="1">
        <f t="array" ref="C53">_xlfn.COUNTIFS('Datos - Temas'!$AV$5:$AV$1264,"Ciclo 7°–9°",'Datos - Temas'!$AF$5:$AF$1264,"*"&amp;$A53&amp;"*")</f>
        <v>0</v>
      </c>
      <c r="D53" s="36" cm="1">
        <f t="array" ref="D53">_xlfn.COUNTIFS('Datos - Temas'!$AV$5:$AV$1264,"Ciclo 7°–9°",'Datos - Temas'!$AG$5:$AG$1264,"*"&amp;$A53&amp;"*")</f>
        <v>35</v>
      </c>
      <c r="E53" s="36" cm="1">
        <f t="array" ref="E53">_xlfn.COUNTIFS('Datos - Temas'!$AV$5:$AV$1264,"Ciclo 7°–9°",'Datos - Temas'!$AH$5:$AH$1264,"*"&amp;$A53&amp;"*")</f>
        <v>4</v>
      </c>
      <c r="F53" s="36" cm="1">
        <f t="array" ref="F53">_xlfn.COUNTIFS('Datos - Temas'!$AV$5:$AV$1264,"Ciclo 7°–9°",'Datos - Temas'!$AI$5:$AI$1264,"*"&amp;$A53&amp;"*")</f>
        <v>0</v>
      </c>
      <c r="G53" s="36" cm="1">
        <f t="array" ref="G53">_xlfn.COUNTIFS('Datos - Temas'!$AV$5:$AV$1264,"Ciclo 7°–9°",'Datos - Temas'!$AJ$5:$AJ$1264,"*"&amp;$A53&amp;"*")</f>
        <v>61</v>
      </c>
      <c r="H53" s="17"/>
      <c r="I53" s="13"/>
      <c r="J53" s="13"/>
      <c r="K53" s="13"/>
      <c r="L53" s="14"/>
    </row>
    <row r="54" ht="13.65" customHeight="1">
      <c r="A54" t="s" s="35">
        <v>1609</v>
      </c>
      <c r="B54" t="s" s="35">
        <v>1610</v>
      </c>
      <c r="C54" s="36" cm="1">
        <f t="array" ref="C54">_xlfn.COUNTIFS('Datos - Temas'!$AV$5:$AV$1264,"Ciclo 7°–9°",'Datos - Temas'!$AF$5:$AF$1264,"*"&amp;$A54&amp;"*")</f>
        <v>0</v>
      </c>
      <c r="D54" s="36" cm="1">
        <f t="array" ref="D54">_xlfn.COUNTIFS('Datos - Temas'!$AV$5:$AV$1264,"Ciclo 7°–9°",'Datos - Temas'!$AG$5:$AG$1264,"*"&amp;$A54&amp;"*")</f>
        <v>0</v>
      </c>
      <c r="E54" s="36" cm="1">
        <f t="array" ref="E54">_xlfn.COUNTIFS('Datos - Temas'!$AV$5:$AV$1264,"Ciclo 7°–9°",'Datos - Temas'!$AH$5:$AH$1264,"*"&amp;$A54&amp;"*")</f>
        <v>30</v>
      </c>
      <c r="F54" s="36" cm="1">
        <f t="array" ref="F54">_xlfn.COUNTIFS('Datos - Temas'!$AV$5:$AV$1264,"Ciclo 7°–9°",'Datos - Temas'!$AI$5:$AI$1264,"*"&amp;$A54&amp;"*")</f>
        <v>6</v>
      </c>
      <c r="G54" s="36" cm="1">
        <f t="array" ref="G54">_xlfn.COUNTIFS('Datos - Temas'!$AV$5:$AV$1264,"Ciclo 7°–9°",'Datos - Temas'!$AJ$5:$AJ$1264,"*"&amp;$A54&amp;"*")</f>
        <v>0</v>
      </c>
      <c r="H54" s="17"/>
      <c r="I54" s="13"/>
      <c r="J54" s="13"/>
      <c r="K54" s="13"/>
      <c r="L54" s="14"/>
    </row>
    <row r="55" ht="13.65" customHeight="1">
      <c r="A55" t="s" s="35">
        <v>1612</v>
      </c>
      <c r="B55" t="s" s="35">
        <v>1613</v>
      </c>
      <c r="C55" s="36" cm="1">
        <f t="array" ref="C55">_xlfn.COUNTIFS('Datos - Temas'!$AV$5:$AV$1264,"Ciclo 7°–9°",'Datos - Temas'!$AF$5:$AF$1264,"*"&amp;$A55&amp;"*")</f>
        <v>0</v>
      </c>
      <c r="D55" s="36" cm="1">
        <f t="array" ref="D55">_xlfn.COUNTIFS('Datos - Temas'!$AV$5:$AV$1264,"Ciclo 7°–9°",'Datos - Temas'!$AG$5:$AG$1264,"*"&amp;$A55&amp;"*")</f>
        <v>4</v>
      </c>
      <c r="E55" s="36" cm="1">
        <f t="array" ref="E55">_xlfn.COUNTIFS('Datos - Temas'!$AV$5:$AV$1264,"Ciclo 7°–9°",'Datos - Temas'!$AH$5:$AH$1264,"*"&amp;$A55&amp;"*")</f>
        <v>0</v>
      </c>
      <c r="F55" s="36" cm="1">
        <f t="array" ref="F55">_xlfn.COUNTIFS('Datos - Temas'!$AV$5:$AV$1264,"Ciclo 7°–9°",'Datos - Temas'!$AI$5:$AI$1264,"*"&amp;$A55&amp;"*")</f>
        <v>0</v>
      </c>
      <c r="G55" s="36" cm="1">
        <f t="array" ref="G55">_xlfn.COUNTIFS('Datos - Temas'!$AV$5:$AV$1264,"Ciclo 7°–9°",'Datos - Temas'!$AJ$5:$AJ$1264,"*"&amp;$A55&amp;"*")</f>
        <v>0</v>
      </c>
      <c r="H55" s="17"/>
      <c r="I55" s="13"/>
      <c r="J55" s="13"/>
      <c r="K55" s="13"/>
      <c r="L55" s="14"/>
    </row>
    <row r="56" ht="13.65" customHeight="1">
      <c r="A56" t="s" s="35">
        <v>1615</v>
      </c>
      <c r="B56" t="s" s="35">
        <v>1616</v>
      </c>
      <c r="C56" s="36" cm="1">
        <f t="array" ref="C56">_xlfn.COUNTIFS('Datos - Temas'!$AV$5:$AV$1264,"Ciclo 7°–9°",'Datos - Temas'!$AF$5:$AF$1264,"*"&amp;$A56&amp;"*")</f>
        <v>27</v>
      </c>
      <c r="D56" s="36" cm="1">
        <f t="array" ref="D56">_xlfn.COUNTIFS('Datos - Temas'!$AV$5:$AV$1264,"Ciclo 7°–9°",'Datos - Temas'!$AG$5:$AG$1264,"*"&amp;$A56&amp;"*")</f>
        <v>0</v>
      </c>
      <c r="E56" s="36" cm="1">
        <f t="array" ref="E56">_xlfn.COUNTIFS('Datos - Temas'!$AV$5:$AV$1264,"Ciclo 7°–9°",'Datos - Temas'!$AH$5:$AH$1264,"*"&amp;$A56&amp;"*")</f>
        <v>0</v>
      </c>
      <c r="F56" s="36" cm="1">
        <f t="array" ref="F56">_xlfn.COUNTIFS('Datos - Temas'!$AV$5:$AV$1264,"Ciclo 7°–9°",'Datos - Temas'!$AI$5:$AI$1264,"*"&amp;$A56&amp;"*")</f>
        <v>0</v>
      </c>
      <c r="G56" s="36" cm="1">
        <f t="array" ref="G56">_xlfn.COUNTIFS('Datos - Temas'!$AV$5:$AV$1264,"Ciclo 7°–9°",'Datos - Temas'!$AJ$5:$AJ$1264,"*"&amp;$A56&amp;"*")</f>
        <v>78</v>
      </c>
      <c r="H56" s="17"/>
      <c r="I56" s="13"/>
      <c r="J56" s="13"/>
      <c r="K56" s="13"/>
      <c r="L56" s="14"/>
    </row>
    <row r="57" ht="13.65" customHeight="1">
      <c r="A57" t="s" s="35">
        <v>1617</v>
      </c>
      <c r="B57" t="s" s="35">
        <v>1618</v>
      </c>
      <c r="C57" s="36" cm="1">
        <f t="array" ref="C57">_xlfn.COUNTIFS('Datos - Temas'!$AV$5:$AV$1264,"Ciclo 7°–9°",'Datos - Temas'!$AF$5:$AF$1264,"*"&amp;$A57&amp;"*")</f>
        <v>0</v>
      </c>
      <c r="D57" s="36" cm="1">
        <f t="array" ref="D57">_xlfn.COUNTIFS('Datos - Temas'!$AV$5:$AV$1264,"Ciclo 7°–9°",'Datos - Temas'!$AG$5:$AG$1264,"*"&amp;$A57&amp;"*")</f>
        <v>235</v>
      </c>
      <c r="E57" s="36" cm="1">
        <f t="array" ref="E57">_xlfn.COUNTIFS('Datos - Temas'!$AV$5:$AV$1264,"Ciclo 7°–9°",'Datos - Temas'!$AH$5:$AH$1264,"*"&amp;$A57&amp;"*")</f>
        <v>0</v>
      </c>
      <c r="F57" s="36" cm="1">
        <f t="array" ref="F57">_xlfn.COUNTIFS('Datos - Temas'!$AV$5:$AV$1264,"Ciclo 7°–9°",'Datos - Temas'!$AI$5:$AI$1264,"*"&amp;$A57&amp;"*")</f>
        <v>0</v>
      </c>
      <c r="G57" s="36" cm="1">
        <f t="array" ref="G57">_xlfn.COUNTIFS('Datos - Temas'!$AV$5:$AV$1264,"Ciclo 7°–9°",'Datos - Temas'!$AJ$5:$AJ$1264,"*"&amp;$A57&amp;"*")</f>
        <v>0</v>
      </c>
      <c r="H57" s="17"/>
      <c r="I57" s="13"/>
      <c r="J57" s="13"/>
      <c r="K57" s="13"/>
      <c r="L57" s="14"/>
    </row>
    <row r="58" ht="13.65" customHeight="1">
      <c r="A58" t="s" s="35">
        <v>1619</v>
      </c>
      <c r="B58" t="s" s="35">
        <v>1620</v>
      </c>
      <c r="C58" s="36" cm="1">
        <f t="array" ref="C58">_xlfn.COUNTIFS('Datos - Temas'!$AV$5:$AV$1264,"Ciclo 7°–9°",'Datos - Temas'!$AF$5:$AF$1264,"*"&amp;$A58&amp;"*")</f>
        <v>0</v>
      </c>
      <c r="D58" s="36" cm="1">
        <f t="array" ref="D58">_xlfn.COUNTIFS('Datos - Temas'!$AV$5:$AV$1264,"Ciclo 7°–9°",'Datos - Temas'!$AG$5:$AG$1264,"*"&amp;$A58&amp;"*")</f>
        <v>0</v>
      </c>
      <c r="E58" s="36" cm="1">
        <f t="array" ref="E58">_xlfn.COUNTIFS('Datos - Temas'!$AV$5:$AV$1264,"Ciclo 7°–9°",'Datos - Temas'!$AH$5:$AH$1264,"*"&amp;$A58&amp;"*")</f>
        <v>0</v>
      </c>
      <c r="F58" s="36" cm="1">
        <f t="array" ref="F58">_xlfn.COUNTIFS('Datos - Temas'!$AV$5:$AV$1264,"Ciclo 7°–9°",'Datos - Temas'!$AI$5:$AI$1264,"*"&amp;$A58&amp;"*")</f>
        <v>20</v>
      </c>
      <c r="G58" s="36" cm="1">
        <f t="array" ref="G58">_xlfn.COUNTIFS('Datos - Temas'!$AV$5:$AV$1264,"Ciclo 7°–9°",'Datos - Temas'!$AJ$5:$AJ$1264,"*"&amp;$A58&amp;"*")</f>
        <v>0</v>
      </c>
      <c r="H58" s="17"/>
      <c r="I58" s="13"/>
      <c r="J58" s="13"/>
      <c r="K58" s="13"/>
      <c r="L58" s="14"/>
    </row>
    <row r="59" ht="13.65" customHeight="1">
      <c r="A59" t="s" s="35">
        <v>1621</v>
      </c>
      <c r="B59" t="s" s="35">
        <v>1622</v>
      </c>
      <c r="C59" s="36" cm="1">
        <f t="array" ref="C59">_xlfn.COUNTIFS('Datos - Temas'!$AV$5:$AV$1264,"Ciclo 7°–9°",'Datos - Temas'!$AF$5:$AF$1264,"*"&amp;$A59&amp;"*")</f>
        <v>0</v>
      </c>
      <c r="D59" s="36" cm="1">
        <f t="array" ref="D59">_xlfn.COUNTIFS('Datos - Temas'!$AV$5:$AV$1264,"Ciclo 7°–9°",'Datos - Temas'!$AG$5:$AG$1264,"*"&amp;$A59&amp;"*")</f>
        <v>0</v>
      </c>
      <c r="E59" s="36" cm="1">
        <f t="array" ref="E59">_xlfn.COUNTIFS('Datos - Temas'!$AV$5:$AV$1264,"Ciclo 7°–9°",'Datos - Temas'!$AH$5:$AH$1264,"*"&amp;$A59&amp;"*")</f>
        <v>0</v>
      </c>
      <c r="F59" s="36" cm="1">
        <f t="array" ref="F59">_xlfn.COUNTIFS('Datos - Temas'!$AV$5:$AV$1264,"Ciclo 7°–9°",'Datos - Temas'!$AI$5:$AI$1264,"*"&amp;$A59&amp;"*")</f>
        <v>14</v>
      </c>
      <c r="G59" s="36" cm="1">
        <f t="array" ref="G59">_xlfn.COUNTIFS('Datos - Temas'!$AV$5:$AV$1264,"Ciclo 7°–9°",'Datos - Temas'!$AJ$5:$AJ$1264,"*"&amp;$A59&amp;"*")</f>
        <v>5</v>
      </c>
      <c r="H59" s="17"/>
      <c r="I59" s="13"/>
      <c r="J59" s="13"/>
      <c r="K59" s="13"/>
      <c r="L59" s="14"/>
    </row>
    <row r="60" ht="13.65" customHeight="1">
      <c r="A60" t="s" s="35">
        <v>1623</v>
      </c>
      <c r="B60" t="s" s="35">
        <v>1624</v>
      </c>
      <c r="C60" s="36" cm="1">
        <f t="array" ref="C60">_xlfn.COUNTIFS('Datos - Temas'!$AV$5:$AV$1264,"Ciclo 7°–9°",'Datos - Temas'!$AF$5:$AF$1264,"*"&amp;$A60&amp;"*")</f>
        <v>0</v>
      </c>
      <c r="D60" s="36" cm="1">
        <f t="array" ref="D60">_xlfn.COUNTIFS('Datos - Temas'!$AV$5:$AV$1264,"Ciclo 7°–9°",'Datos - Temas'!$AG$5:$AG$1264,"*"&amp;$A60&amp;"*")</f>
        <v>0</v>
      </c>
      <c r="E60" s="36" cm="1">
        <f t="array" ref="E60">_xlfn.COUNTIFS('Datos - Temas'!$AV$5:$AV$1264,"Ciclo 7°–9°",'Datos - Temas'!$AH$5:$AH$1264,"*"&amp;$A60&amp;"*")</f>
        <v>0</v>
      </c>
      <c r="F60" s="36" cm="1">
        <f t="array" ref="F60">_xlfn.COUNTIFS('Datos - Temas'!$AV$5:$AV$1264,"Ciclo 7°–9°",'Datos - Temas'!$AI$5:$AI$1264,"*"&amp;$A60&amp;"*")</f>
        <v>196</v>
      </c>
      <c r="G60" s="36" cm="1">
        <f t="array" ref="G60">_xlfn.COUNTIFS('Datos - Temas'!$AV$5:$AV$1264,"Ciclo 7°–9°",'Datos - Temas'!$AJ$5:$AJ$1264,"*"&amp;$A60&amp;"*")</f>
        <v>0</v>
      </c>
      <c r="H60" s="17"/>
      <c r="I60" s="13"/>
      <c r="J60" s="13"/>
      <c r="K60" s="13"/>
      <c r="L60" s="14"/>
    </row>
    <row r="61" ht="13.65" customHeight="1">
      <c r="A61" t="s" s="35">
        <v>1625</v>
      </c>
      <c r="B61" t="s" s="35">
        <v>1626</v>
      </c>
      <c r="C61" s="36" cm="1">
        <f t="array" ref="C61">_xlfn.COUNTIFS('Datos - Temas'!$AV$5:$AV$1264,"Ciclo 7°–9°",'Datos - Temas'!$AF$5:$AF$1264,"*"&amp;$A61&amp;"*")</f>
        <v>0</v>
      </c>
      <c r="D61" s="36" cm="1">
        <f t="array" ref="D61">_xlfn.COUNTIFS('Datos - Temas'!$AV$5:$AV$1264,"Ciclo 7°–9°",'Datos - Temas'!$AG$5:$AG$1264,"*"&amp;$A61&amp;"*")</f>
        <v>0</v>
      </c>
      <c r="E61" s="36" cm="1">
        <f t="array" ref="E61">_xlfn.COUNTIFS('Datos - Temas'!$AV$5:$AV$1264,"Ciclo 7°–9°",'Datos - Temas'!$AH$5:$AH$1264,"*"&amp;$A61&amp;"*")</f>
        <v>0</v>
      </c>
      <c r="F61" s="36" cm="1">
        <f t="array" ref="F61">_xlfn.COUNTIFS('Datos - Temas'!$AV$5:$AV$1264,"Ciclo 7°–9°",'Datos - Temas'!$AI$5:$AI$1264,"*"&amp;$A61&amp;"*")</f>
        <v>19</v>
      </c>
      <c r="G61" s="36" cm="1">
        <f t="array" ref="G61">_xlfn.COUNTIFS('Datos - Temas'!$AV$5:$AV$1264,"Ciclo 7°–9°",'Datos - Temas'!$AJ$5:$AJ$1264,"*"&amp;$A61&amp;"*")</f>
        <v>0</v>
      </c>
      <c r="H61" s="17"/>
      <c r="I61" s="13"/>
      <c r="J61" s="13"/>
      <c r="K61" s="13"/>
      <c r="L61" s="14"/>
    </row>
    <row r="62" ht="13.65" customHeight="1">
      <c r="A62" t="s" s="35">
        <v>1627</v>
      </c>
      <c r="B62" t="s" s="35">
        <v>1628</v>
      </c>
      <c r="C62" s="36" cm="1">
        <f t="array" ref="C62">_xlfn.COUNTIFS('Datos - Temas'!$AV$5:$AV$1264,"Ciclo 7°–9°",'Datos - Temas'!$AF$5:$AF$1264,"*"&amp;$A62&amp;"*")</f>
        <v>0</v>
      </c>
      <c r="D62" s="36" cm="1">
        <f t="array" ref="D62">_xlfn.COUNTIFS('Datos - Temas'!$AV$5:$AV$1264,"Ciclo 7°–9°",'Datos - Temas'!$AG$5:$AG$1264,"*"&amp;$A62&amp;"*")</f>
        <v>0</v>
      </c>
      <c r="E62" s="36" cm="1">
        <f t="array" ref="E62">_xlfn.COUNTIFS('Datos - Temas'!$AV$5:$AV$1264,"Ciclo 7°–9°",'Datos - Temas'!$AH$5:$AH$1264,"*"&amp;$A62&amp;"*")</f>
        <v>0</v>
      </c>
      <c r="F62" s="36" cm="1">
        <f t="array" ref="F62">_xlfn.COUNTIFS('Datos - Temas'!$AV$5:$AV$1264,"Ciclo 7°–9°",'Datos - Temas'!$AI$5:$AI$1264,"*"&amp;$A62&amp;"*")</f>
        <v>2</v>
      </c>
      <c r="G62" s="36" cm="1">
        <f t="array" ref="G62">_xlfn.COUNTIFS('Datos - Temas'!$AV$5:$AV$1264,"Ciclo 7°–9°",'Datos - Temas'!$AJ$5:$AJ$1264,"*"&amp;$A62&amp;"*")</f>
        <v>2</v>
      </c>
      <c r="H62" s="17"/>
      <c r="I62" s="13"/>
      <c r="J62" s="13"/>
      <c r="K62" s="13"/>
      <c r="L62" s="14"/>
    </row>
    <row r="63" ht="13.65" customHeight="1">
      <c r="A63" t="s" s="35">
        <v>1629</v>
      </c>
      <c r="B63" t="s" s="35">
        <v>1630</v>
      </c>
      <c r="C63" s="36" cm="1">
        <f t="array" ref="C63">_xlfn.COUNTIFS('Datos - Temas'!$AV$5:$AV$1264,"Ciclo 7°–9°",'Datos - Temas'!$AF$5:$AF$1264,"*"&amp;$A63&amp;"*")</f>
        <v>0</v>
      </c>
      <c r="D63" s="36" cm="1">
        <f t="array" ref="D63">_xlfn.COUNTIFS('Datos - Temas'!$AV$5:$AV$1264,"Ciclo 7°–9°",'Datos - Temas'!$AG$5:$AG$1264,"*"&amp;$A63&amp;"*")</f>
        <v>0</v>
      </c>
      <c r="E63" s="36" cm="1">
        <f t="array" ref="E63">_xlfn.COUNTIFS('Datos - Temas'!$AV$5:$AV$1264,"Ciclo 7°–9°",'Datos - Temas'!$AH$5:$AH$1264,"*"&amp;$A63&amp;"*")</f>
        <v>0</v>
      </c>
      <c r="F63" s="36" cm="1">
        <f t="array" ref="F63">_xlfn.COUNTIFS('Datos - Temas'!$AV$5:$AV$1264,"Ciclo 7°–9°",'Datos - Temas'!$AI$5:$AI$1264,"*"&amp;$A63&amp;"*")</f>
        <v>16</v>
      </c>
      <c r="G63" s="36" cm="1">
        <f t="array" ref="G63">_xlfn.COUNTIFS('Datos - Temas'!$AV$5:$AV$1264,"Ciclo 7°–9°",'Datos - Temas'!$AJ$5:$AJ$1264,"*"&amp;$A63&amp;"*")</f>
        <v>1</v>
      </c>
      <c r="H63" s="17"/>
      <c r="I63" s="13"/>
      <c r="J63" s="13"/>
      <c r="K63" s="13"/>
      <c r="L63" s="14"/>
    </row>
    <row r="64" ht="13.65" customHeight="1">
      <c r="A64" t="s" s="35">
        <v>1631</v>
      </c>
      <c r="B64" t="s" s="35">
        <v>1632</v>
      </c>
      <c r="C64" s="36" cm="1">
        <f t="array" ref="C64">_xlfn.COUNTIFS('Datos - Temas'!$AV$5:$AV$1264,"Ciclo 7°–9°",'Datos - Temas'!$AF$5:$AF$1264,"*"&amp;$A64&amp;"*")</f>
        <v>0</v>
      </c>
      <c r="D64" s="36" cm="1">
        <f t="array" ref="D64">_xlfn.COUNTIFS('Datos - Temas'!$AV$5:$AV$1264,"Ciclo 7°–9°",'Datos - Temas'!$AG$5:$AG$1264,"*"&amp;$A64&amp;"*")</f>
        <v>0</v>
      </c>
      <c r="E64" s="36" cm="1">
        <f t="array" ref="E64">_xlfn.COUNTIFS('Datos - Temas'!$AV$5:$AV$1264,"Ciclo 7°–9°",'Datos - Temas'!$AH$5:$AH$1264,"*"&amp;$A64&amp;"*")</f>
        <v>0</v>
      </c>
      <c r="F64" s="36" cm="1">
        <f t="array" ref="F64">_xlfn.COUNTIFS('Datos - Temas'!$AV$5:$AV$1264,"Ciclo 7°–9°",'Datos - Temas'!$AI$5:$AI$1264,"*"&amp;$A64&amp;"*")</f>
        <v>1</v>
      </c>
      <c r="G64" s="36" cm="1">
        <f t="array" ref="G64">_xlfn.COUNTIFS('Datos - Temas'!$AV$5:$AV$1264,"Ciclo 7°–9°",'Datos - Temas'!$AJ$5:$AJ$1264,"*"&amp;$A64&amp;"*")</f>
        <v>3</v>
      </c>
      <c r="H64" s="17"/>
      <c r="I64" s="13"/>
      <c r="J64" s="13"/>
      <c r="K64" s="13"/>
      <c r="L64" s="14"/>
    </row>
    <row r="65" ht="13.65" customHeight="1">
      <c r="A65" t="s" s="35">
        <v>1633</v>
      </c>
      <c r="B65" t="s" s="35">
        <v>1634</v>
      </c>
      <c r="C65" s="36" cm="1">
        <f t="array" ref="C65">_xlfn.COUNTIFS('Datos - Temas'!$AV$5:$AV$1264,"Ciclo 7°–9°",'Datos - Temas'!$AF$5:$AF$1264,"*"&amp;$A65&amp;"*")</f>
        <v>0</v>
      </c>
      <c r="D65" s="36" cm="1">
        <f t="array" ref="D65">_xlfn.COUNTIFS('Datos - Temas'!$AV$5:$AV$1264,"Ciclo 7°–9°",'Datos - Temas'!$AG$5:$AG$1264,"*"&amp;$A65&amp;"*")</f>
        <v>0</v>
      </c>
      <c r="E65" s="36" cm="1">
        <f t="array" ref="E65">_xlfn.COUNTIFS('Datos - Temas'!$AV$5:$AV$1264,"Ciclo 7°–9°",'Datos - Temas'!$AH$5:$AH$1264,"*"&amp;$A65&amp;"*")</f>
        <v>0</v>
      </c>
      <c r="F65" s="36" cm="1">
        <f t="array" ref="F65">_xlfn.COUNTIFS('Datos - Temas'!$AV$5:$AV$1264,"Ciclo 7°–9°",'Datos - Temas'!$AI$5:$AI$1264,"*"&amp;$A65&amp;"*")</f>
        <v>0</v>
      </c>
      <c r="G65" s="36" cm="1">
        <f t="array" ref="G65">_xlfn.COUNTIFS('Datos - Temas'!$AV$5:$AV$1264,"Ciclo 7°–9°",'Datos - Temas'!$AJ$5:$AJ$1264,"*"&amp;$A65&amp;"*")</f>
        <v>41</v>
      </c>
      <c r="H65" s="17"/>
      <c r="I65" s="13"/>
      <c r="J65" s="13"/>
      <c r="K65" s="13"/>
      <c r="L65" s="14"/>
    </row>
    <row r="66" ht="13.55" customHeight="1">
      <c r="A66" s="42"/>
      <c r="B66" s="18"/>
      <c r="C66" s="18"/>
      <c r="D66" s="18"/>
      <c r="E66" s="18"/>
      <c r="F66" s="18"/>
      <c r="G66" s="18"/>
      <c r="H66" s="13"/>
      <c r="I66" s="13"/>
      <c r="J66" s="13"/>
      <c r="K66" s="13"/>
      <c r="L66" s="14"/>
    </row>
    <row r="67" ht="84" customHeight="1">
      <c r="A67" t="s" s="54">
        <v>1646</v>
      </c>
      <c r="B67" s="24"/>
      <c r="C67" s="24"/>
      <c r="D67" s="24"/>
      <c r="E67" s="24"/>
      <c r="F67" s="24"/>
      <c r="G67" s="24"/>
      <c r="H67" s="24"/>
      <c r="I67" s="24"/>
      <c r="J67" s="24"/>
      <c r="K67" s="24"/>
      <c r="L67" s="25"/>
    </row>
  </sheetData>
  <mergeCells count="3">
    <mergeCell ref="A2:L2"/>
    <mergeCell ref="A9:L9"/>
    <mergeCell ref="A67:L67"/>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M59"/>
  <sheetViews>
    <sheetView workbookViewId="0" showGridLines="0" defaultGridColor="1"/>
  </sheetViews>
  <sheetFormatPr defaultColWidth="8.83333" defaultRowHeight="15" customHeight="1" outlineLevelRow="0" outlineLevelCol="0"/>
  <cols>
    <col min="1" max="1" width="16" style="117" customWidth="1"/>
    <col min="2" max="2" width="9" style="117" customWidth="1"/>
    <col min="3" max="3" width="10" style="117" customWidth="1"/>
    <col min="4" max="4" width="50" style="117" customWidth="1"/>
    <col min="5" max="5" width="11" style="117" customWidth="1"/>
    <col min="6" max="6" width="10" style="117" customWidth="1"/>
    <col min="7" max="7" width="12" style="117" customWidth="1"/>
    <col min="8" max="8" width="11" style="117" customWidth="1"/>
    <col min="9" max="10" width="18" style="117" customWidth="1"/>
    <col min="11" max="12" width="15" style="117" customWidth="1"/>
    <col min="13" max="13" width="13" style="117" customWidth="1"/>
    <col min="14" max="16384" width="8.85156" style="117" customWidth="1"/>
  </cols>
  <sheetData>
    <row r="1" ht="18.5" customHeight="1">
      <c r="A1" t="s" s="27">
        <v>1648</v>
      </c>
      <c r="B1" s="28"/>
      <c r="C1" s="28"/>
      <c r="D1" s="28"/>
      <c r="E1" s="28"/>
      <c r="F1" s="28"/>
      <c r="G1" s="28"/>
      <c r="H1" s="28"/>
      <c r="I1" s="28"/>
      <c r="J1" s="28"/>
      <c r="K1" s="28"/>
      <c r="L1" s="28"/>
      <c r="M1" s="10"/>
    </row>
    <row r="2" ht="83" customHeight="1">
      <c r="A2" t="str" s="29" cm="1">
        <f t="array" ref="A2">"PISA 2025 (7.°–9.°)"&amp;"
"&amp;IF(G16&gt;=$B$7,"BIEN · ","OJO · ")&amp;"Temas centrados en cómo se obtienen datos (procedimental): "&amp;FIXED((G16)*100,0)&amp;" %"&amp;". PISA: 27–33 %."&amp;"
"&amp;IF(H16&gt;=$B$8,"BIEN · ","OJO · ")&amp;"Temas centrados en por qué confiamos en la ciencia (epistémico): "&amp;FIXED((H16)*100,0)&amp;" %"&amp;". PISA: 24–30 %."&amp;"
"&amp;"● "&amp;E57&amp;" de "&amp;B57&amp;" ideas epistémicas no aparecen (modelo vs. realidad, consenso, revisión por pares)."&amp;"
"&amp;"→ No hacen falta temas nuevos: basta una fase «Reforzar» por unidad que trabaje el porqué."</f>
        <v>PISA 2025 (7.°–9.°)
OJO · Temas centrados en cómo se obtienen datos (procedimental): 5 %. PISA: 27–33 %.
OJO · Temas centrados en por qué confiamos en la ciencia (epistémico): 0 %. PISA: 24–30 %.
● 12 de 20 ideas epistémicas no aparecen (modelo vs. realidad, consenso, revisión por pares).
→ No hacen falta temas nuevos: basta una fase «Reforzar» por unidad que trabaje el porqué.</v>
      </c>
      <c r="B2" s="30"/>
      <c r="C2" s="31"/>
      <c r="D2" s="31"/>
      <c r="E2" s="31"/>
      <c r="F2" s="31"/>
      <c r="G2" s="31"/>
      <c r="H2" s="31"/>
      <c r="I2" s="31"/>
      <c r="J2" s="31"/>
      <c r="K2" s="31"/>
      <c r="L2" s="32"/>
      <c r="M2" s="87"/>
    </row>
    <row r="3" ht="13.55" customHeight="1">
      <c r="A3" s="42"/>
      <c r="B3" s="18"/>
      <c r="C3" s="18"/>
      <c r="D3" s="18"/>
      <c r="E3" s="18"/>
      <c r="F3" s="18"/>
      <c r="G3" s="18"/>
      <c r="H3" s="18"/>
      <c r="I3" s="18"/>
      <c r="J3" s="18"/>
      <c r="K3" s="18"/>
      <c r="L3" s="18"/>
      <c r="M3" s="14"/>
    </row>
    <row r="4" ht="14.6" customHeight="1">
      <c r="A4" t="s" s="43">
        <v>1650</v>
      </c>
      <c r="B4" s="44"/>
      <c r="C4" s="44"/>
      <c r="D4" s="44"/>
      <c r="E4" s="13"/>
      <c r="F4" s="13"/>
      <c r="G4" s="13"/>
      <c r="H4" s="13"/>
      <c r="I4" s="13"/>
      <c r="J4" s="13"/>
      <c r="K4" s="13"/>
      <c r="L4" s="13"/>
      <c r="M4" s="14"/>
    </row>
    <row r="5" ht="32" customHeight="1">
      <c r="A5" s="103"/>
      <c r="B5" t="s" s="34">
        <v>1573</v>
      </c>
      <c r="C5" t="s" s="34">
        <v>1574</v>
      </c>
      <c r="D5" t="s" s="34">
        <v>1575</v>
      </c>
      <c r="E5" s="17"/>
      <c r="F5" s="13"/>
      <c r="G5" s="13"/>
      <c r="H5" s="13"/>
      <c r="I5" s="13"/>
      <c r="J5" s="13"/>
      <c r="K5" s="13"/>
      <c r="L5" s="13"/>
      <c r="M5" s="14"/>
    </row>
    <row r="6" ht="13.65" customHeight="1">
      <c r="A6" t="s" s="35">
        <v>1651</v>
      </c>
      <c r="B6" s="58">
        <v>0.38</v>
      </c>
      <c r="C6" s="58">
        <v>0.48</v>
      </c>
      <c r="D6" s="38" cm="1">
        <f t="array" ref="D6">AVERAGE(B6:C6)/((SUM($B$6:$B$8)+SUM($C$6:$C$8))/2)</f>
        <v>0.43</v>
      </c>
      <c r="E6" s="17"/>
      <c r="F6" s="13"/>
      <c r="G6" s="13"/>
      <c r="H6" s="13"/>
      <c r="I6" s="13"/>
      <c r="J6" s="13"/>
      <c r="K6" s="13"/>
      <c r="L6" s="13"/>
      <c r="M6" s="14"/>
    </row>
    <row r="7" ht="13.65" customHeight="1">
      <c r="A7" t="s" s="35">
        <v>1652</v>
      </c>
      <c r="B7" s="58">
        <v>0.27</v>
      </c>
      <c r="C7" s="58">
        <v>0.33</v>
      </c>
      <c r="D7" s="38" cm="1">
        <f t="array" ref="D7">AVERAGE(B7:C7)/((SUM($B$6:$B$8)+SUM($C$6:$C$8))/2)</f>
        <v>0.3</v>
      </c>
      <c r="E7" s="17"/>
      <c r="F7" s="13"/>
      <c r="G7" s="13"/>
      <c r="H7" s="13"/>
      <c r="I7" s="13"/>
      <c r="J7" s="13"/>
      <c r="K7" s="13"/>
      <c r="L7" s="13"/>
      <c r="M7" s="14"/>
    </row>
    <row r="8" ht="13.65" customHeight="1">
      <c r="A8" t="s" s="35">
        <v>1653</v>
      </c>
      <c r="B8" s="58">
        <v>0.24</v>
      </c>
      <c r="C8" s="58">
        <v>0.3</v>
      </c>
      <c r="D8" s="38" cm="1">
        <f t="array" ref="D8">AVERAGE(B8:C8)/((SUM($B$6:$B$8)+SUM($C$6:$C$8))/2)</f>
        <v>0.27</v>
      </c>
      <c r="E8" s="17"/>
      <c r="F8" s="13"/>
      <c r="G8" s="13"/>
      <c r="H8" s="13"/>
      <c r="I8" s="13"/>
      <c r="J8" s="13"/>
      <c r="K8" s="13"/>
      <c r="L8" s="13"/>
      <c r="M8" s="14"/>
    </row>
    <row r="9" ht="28" customHeight="1">
      <c r="A9" t="s" s="73">
        <v>1654</v>
      </c>
      <c r="B9" s="18"/>
      <c r="C9" s="18"/>
      <c r="D9" s="18"/>
      <c r="E9" s="13"/>
      <c r="F9" s="13"/>
      <c r="G9" s="13"/>
      <c r="H9" s="13"/>
      <c r="I9" s="13"/>
      <c r="J9" s="13"/>
      <c r="K9" s="13"/>
      <c r="L9" s="13"/>
      <c r="M9" s="14"/>
    </row>
    <row r="10" ht="13.55" customHeight="1">
      <c r="A10" s="11"/>
      <c r="B10" s="13"/>
      <c r="C10" s="13"/>
      <c r="D10" s="13"/>
      <c r="E10" s="13"/>
      <c r="F10" s="13"/>
      <c r="G10" s="13"/>
      <c r="H10" s="13"/>
      <c r="I10" s="13"/>
      <c r="J10" s="13"/>
      <c r="K10" s="13"/>
      <c r="L10" s="13"/>
      <c r="M10" s="14"/>
    </row>
    <row r="11" ht="14.6" customHeight="1">
      <c r="A11" t="s" s="43">
        <v>1655</v>
      </c>
      <c r="B11" s="44"/>
      <c r="C11" s="44"/>
      <c r="D11" s="44"/>
      <c r="E11" s="44"/>
      <c r="F11" s="44"/>
      <c r="G11" s="44"/>
      <c r="H11" s="44"/>
      <c r="I11" s="44"/>
      <c r="J11" s="44"/>
      <c r="K11" s="44"/>
      <c r="L11" s="44"/>
      <c r="M11" s="45"/>
    </row>
    <row r="12" ht="48" customHeight="1">
      <c r="A12" t="s" s="34">
        <v>154</v>
      </c>
      <c r="B12" t="s" s="34">
        <v>1390</v>
      </c>
      <c r="C12" t="s" s="34">
        <v>1651</v>
      </c>
      <c r="D12" t="s" s="34">
        <v>1652</v>
      </c>
      <c r="E12" t="s" s="34">
        <v>1653</v>
      </c>
      <c r="F12" t="s" s="34">
        <v>1656</v>
      </c>
      <c r="G12" t="s" s="34">
        <v>1657</v>
      </c>
      <c r="H12" t="s" s="34">
        <v>1658</v>
      </c>
      <c r="I12" t="s" s="34">
        <v>1659</v>
      </c>
      <c r="J12" t="s" s="34">
        <v>1660</v>
      </c>
      <c r="K12" t="s" s="34">
        <v>1661</v>
      </c>
      <c r="L12" t="s" s="34">
        <v>1662</v>
      </c>
      <c r="M12" t="s" s="34">
        <v>1590</v>
      </c>
    </row>
    <row r="13" ht="13.65" customHeight="1">
      <c r="A13" t="s" s="35">
        <v>85</v>
      </c>
      <c r="B13" s="36" cm="1">
        <f t="array" ref="B13">_xlfn.COUNTIFS('Datos - Temas'!$V$5:$V$1264,$A13,'Datos - Temas'!$AN$5:$AN$1264,"&lt;&gt;")</f>
        <v>91</v>
      </c>
      <c r="C13" s="36" cm="1">
        <f t="array" ref="C13">_xlfn.COUNTIFS('Datos - Temas'!$V$5:$V$1264,$A13,'Datos - Temas'!$AN$5:$AN$1264,"Contenido")</f>
        <v>84</v>
      </c>
      <c r="D13" s="36" cm="1">
        <f t="array" ref="D13">_xlfn.COUNTIFS('Datos - Temas'!$V$5:$V$1264,$A13,'Datos - Temas'!$AN$5:$AN$1264,"Procedimental")</f>
        <v>7</v>
      </c>
      <c r="E13" s="36" cm="1">
        <f t="array" ref="E13">_xlfn.COUNTIFS('Datos - Temas'!$V$5:$V$1264,$A13,'Datos - Temas'!$AN$5:$AN$1264,"Epistémico")</f>
        <v>0</v>
      </c>
      <c r="F13" s="38" cm="1">
        <f t="array" ref="F13">IF($B13=0,0,C13/$B13)</f>
        <v>0.923076923076923</v>
      </c>
      <c r="G13" s="38" cm="1">
        <f t="array" ref="G13">IF($B13=0,0,D13/$B13)</f>
        <v>0.0769230769230769</v>
      </c>
      <c r="H13" s="38" cm="1">
        <f t="array" ref="H13">IF($B13=0,0,E13/$B13)</f>
        <v>0</v>
      </c>
      <c r="I13" t="str" s="39" cm="1">
        <f t="array" ref="I13">IF(G13&lt;$B$7,"Por debajo del rango",IF(G13&gt;$C$7,"Por encima del rango","Dentro del rango"))</f>
        <v>Por debajo del rango</v>
      </c>
      <c r="J13" t="str" s="39" cm="1">
        <f t="array" ref="J13">IF(H13&lt;$B$8,"Por debajo del rango",IF(H13&gt;$C$8,"Por encima del rango","Dentro del rango"))</f>
        <v>Por debajo del rango</v>
      </c>
      <c r="K13" s="36" cm="1">
        <f t="array" ref="K13">_xlfn.COUNTIFS('Datos - Temas'!$V$5:$V$1264,$A13,'Datos - Temas'!$AO$5:$AO$1264,"&lt;&gt;")</f>
        <v>17</v>
      </c>
      <c r="L13" s="36" cm="1">
        <f t="array" ref="L13">_xlfn.COUNTIFS('Datos - Temas'!$V$5:$V$1264,$A13,'Datos - Temas'!$AP$5:$AP$1264,"&lt;&gt;")</f>
        <v>8</v>
      </c>
      <c r="M13" s="38" cm="1">
        <f t="array" ref="M13">1-(ABS(F13-$D$6)+ABS(G13-$D$7)+ABS(H13-$D$8))/2</f>
        <v>0.506923076923077</v>
      </c>
    </row>
    <row r="14" ht="13.65" customHeight="1">
      <c r="A14" t="s" s="35">
        <v>86</v>
      </c>
      <c r="B14" s="36" cm="1">
        <f t="array" ref="B14">_xlfn.COUNTIFS('Datos - Temas'!$V$5:$V$1264,$A14,'Datos - Temas'!$AN$5:$AN$1264,"&lt;&gt;")</f>
        <v>93</v>
      </c>
      <c r="C14" s="36" cm="1">
        <f t="array" ref="C14">_xlfn.COUNTIFS('Datos - Temas'!$V$5:$V$1264,$A14,'Datos - Temas'!$AN$5:$AN$1264,"Contenido")</f>
        <v>87</v>
      </c>
      <c r="D14" s="36" cm="1">
        <f t="array" ref="D14">_xlfn.COUNTIFS('Datos - Temas'!$V$5:$V$1264,$A14,'Datos - Temas'!$AN$5:$AN$1264,"Procedimental")</f>
        <v>6</v>
      </c>
      <c r="E14" s="36" cm="1">
        <f t="array" ref="E14">_xlfn.COUNTIFS('Datos - Temas'!$V$5:$V$1264,$A14,'Datos - Temas'!$AN$5:$AN$1264,"Epistémico")</f>
        <v>0</v>
      </c>
      <c r="F14" s="38" cm="1">
        <f t="array" ref="F14">IF($B14=0,0,C14/$B14)</f>
        <v>0.935483870967742</v>
      </c>
      <c r="G14" s="38" cm="1">
        <f t="array" ref="G14">IF($B14=0,0,D14/$B14)</f>
        <v>0.0645161290322581</v>
      </c>
      <c r="H14" s="38" cm="1">
        <f t="array" ref="H14">IF($B14=0,0,E14/$B14)</f>
        <v>0</v>
      </c>
      <c r="I14" t="str" s="39" cm="1">
        <f t="array" ref="I14">IF(G14&lt;$B$7,"Por debajo del rango",IF(G14&gt;$C$7,"Por encima del rango","Dentro del rango"))</f>
        <v>Por debajo del rango</v>
      </c>
      <c r="J14" t="str" s="39" cm="1">
        <f t="array" ref="J14">IF(H14&lt;$B$8,"Por debajo del rango",IF(H14&gt;$C$8,"Por encima del rango","Dentro del rango"))</f>
        <v>Por debajo del rango</v>
      </c>
      <c r="K14" s="36" cm="1">
        <f t="array" ref="K14">_xlfn.COUNTIFS('Datos - Temas'!$V$5:$V$1264,$A14,'Datos - Temas'!$AO$5:$AO$1264,"&lt;&gt;")</f>
        <v>31</v>
      </c>
      <c r="L14" s="36" cm="1">
        <f t="array" ref="L14">_xlfn.COUNTIFS('Datos - Temas'!$V$5:$V$1264,$A14,'Datos - Temas'!$AP$5:$AP$1264,"&lt;&gt;")</f>
        <v>12</v>
      </c>
      <c r="M14" s="38" cm="1">
        <f t="array" ref="M14">1-(ABS(F14-$D$6)+ABS(G14-$D$7)+ABS(H14-$D$8))/2</f>
        <v>0.494516129032258</v>
      </c>
    </row>
    <row r="15" ht="13.65" customHeight="1">
      <c r="A15" t="s" s="35">
        <v>138</v>
      </c>
      <c r="B15" s="36" cm="1">
        <f t="array" ref="B15">_xlfn.COUNTIFS('Datos - Temas'!$V$5:$V$1264,$A15,'Datos - Temas'!$AN$5:$AN$1264,"&lt;&gt;")</f>
        <v>90</v>
      </c>
      <c r="C15" s="36" cm="1">
        <f t="array" ref="C15">_xlfn.COUNTIFS('Datos - Temas'!$V$5:$V$1264,$A15,'Datos - Temas'!$AN$5:$AN$1264,"Contenido")</f>
        <v>88</v>
      </c>
      <c r="D15" s="36" cm="1">
        <f t="array" ref="D15">_xlfn.COUNTIFS('Datos - Temas'!$V$5:$V$1264,$A15,'Datos - Temas'!$AN$5:$AN$1264,"Procedimental")</f>
        <v>2</v>
      </c>
      <c r="E15" s="36" cm="1">
        <f t="array" ref="E15">_xlfn.COUNTIFS('Datos - Temas'!$V$5:$V$1264,$A15,'Datos - Temas'!$AN$5:$AN$1264,"Epistémico")</f>
        <v>0</v>
      </c>
      <c r="F15" s="38" cm="1">
        <f t="array" ref="F15">IF($B15=0,0,C15/$B15)</f>
        <v>0.977777777777778</v>
      </c>
      <c r="G15" s="38" cm="1">
        <f t="array" ref="G15">IF($B15=0,0,D15/$B15)</f>
        <v>0.0222222222222222</v>
      </c>
      <c r="H15" s="38" cm="1">
        <f t="array" ref="H15">IF($B15=0,0,E15/$B15)</f>
        <v>0</v>
      </c>
      <c r="I15" t="str" s="39" cm="1">
        <f t="array" ref="I15">IF(G15&lt;$B$7,"Por debajo del rango",IF(G15&gt;$C$7,"Por encima del rango","Dentro del rango"))</f>
        <v>Por debajo del rango</v>
      </c>
      <c r="J15" t="str" s="39" cm="1">
        <f t="array" ref="J15">IF(H15&lt;$B$8,"Por debajo del rango",IF(H15&gt;$C$8,"Por encima del rango","Dentro del rango"))</f>
        <v>Por debajo del rango</v>
      </c>
      <c r="K15" s="36" cm="1">
        <f t="array" ref="K15">_xlfn.COUNTIFS('Datos - Temas'!$V$5:$V$1264,$A15,'Datos - Temas'!$AO$5:$AO$1264,"&lt;&gt;")</f>
        <v>22</v>
      </c>
      <c r="L15" s="36" cm="1">
        <f t="array" ref="L15">_xlfn.COUNTIFS('Datos - Temas'!$V$5:$V$1264,$A15,'Datos - Temas'!$AP$5:$AP$1264,"&lt;&gt;")</f>
        <v>10</v>
      </c>
      <c r="M15" s="38" cm="1">
        <f t="array" ref="M15">1-(ABS(F15-$D$6)+ABS(G15-$D$7)+ABS(H15-$D$8))/2</f>
        <v>0.452222222222222</v>
      </c>
    </row>
    <row r="16" ht="13.65" customHeight="1">
      <c r="A16" t="s" s="35">
        <v>139</v>
      </c>
      <c r="B16" s="36" cm="1">
        <f t="array" ref="B16">_xlfn.COUNTIFS('Datos - Temas'!$AV$5:$AV$1264,$A16,'Datos - Temas'!$AN$5:$AN$1264,"&lt;&gt;")</f>
        <v>274</v>
      </c>
      <c r="C16" s="36" cm="1">
        <f t="array" ref="C16">_xlfn.COUNTIFS('Datos - Temas'!$AV$5:$AV$1264,$A16,'Datos - Temas'!$AN$5:$AN$1264,"Contenido")</f>
        <v>259</v>
      </c>
      <c r="D16" s="36" cm="1">
        <f t="array" ref="D16">_xlfn.COUNTIFS('Datos - Temas'!$AV$5:$AV$1264,$A16,'Datos - Temas'!$AN$5:$AN$1264,"Procedimental")</f>
        <v>15</v>
      </c>
      <c r="E16" s="36" cm="1">
        <f t="array" ref="E16">_xlfn.COUNTIFS('Datos - Temas'!$AV$5:$AV$1264,$A16,'Datos - Temas'!$AN$5:$AN$1264,"Epistémico")</f>
        <v>0</v>
      </c>
      <c r="F16" s="38" cm="1">
        <f t="array" ref="F16">IF($B16=0,0,C16/$B16)</f>
        <v>0.945255474452555</v>
      </c>
      <c r="G16" s="38" cm="1">
        <f t="array" ref="G16">IF($B16=0,0,D16/$B16)</f>
        <v>0.0547445255474453</v>
      </c>
      <c r="H16" s="38" cm="1">
        <f t="array" ref="H16">IF($B16=0,0,E16/$B16)</f>
        <v>0</v>
      </c>
      <c r="I16" t="str" s="39" cm="1">
        <f t="array" ref="I16">IF(G16&lt;$B$7,"Por debajo del rango",IF(G16&gt;$C$7,"Por encima del rango","Dentro del rango"))</f>
        <v>Por debajo del rango</v>
      </c>
      <c r="J16" t="str" s="39" cm="1">
        <f t="array" ref="J16">IF(H16&lt;$B$8,"Por debajo del rango",IF(H16&gt;$C$8,"Por encima del rango","Dentro del rango"))</f>
        <v>Por debajo del rango</v>
      </c>
      <c r="K16" s="36" cm="1">
        <f t="array" ref="K16">_xlfn.COUNTIFS('Datos - Temas'!$AV$5:$AV$1264,$A16,'Datos - Temas'!$AO$5:$AO$1264,"&lt;&gt;")</f>
        <v>70</v>
      </c>
      <c r="L16" s="36" cm="1">
        <f t="array" ref="L16">_xlfn.COUNTIFS('Datos - Temas'!$AV$5:$AV$1264,$A16,'Datos - Temas'!$AP$5:$AP$1264,"&lt;&gt;")</f>
        <v>30</v>
      </c>
      <c r="M16" s="38" cm="1">
        <f t="array" ref="M16">1-(ABS(F16-$D$6)+ABS(G16-$D$7)+ABS(H16-$D$8))/2</f>
        <v>0.484744525547445</v>
      </c>
    </row>
    <row r="17" ht="13.55" customHeight="1">
      <c r="A17" s="42"/>
      <c r="B17" s="18"/>
      <c r="C17" s="18"/>
      <c r="D17" s="18"/>
      <c r="E17" s="18"/>
      <c r="F17" s="18"/>
      <c r="G17" s="18"/>
      <c r="H17" s="18"/>
      <c r="I17" s="18"/>
      <c r="J17" s="18"/>
      <c r="K17" s="18"/>
      <c r="L17" s="18"/>
      <c r="M17" s="51"/>
    </row>
    <row r="18" ht="14.6" customHeight="1">
      <c r="A18" t="s" s="43">
        <v>1663</v>
      </c>
      <c r="B18" s="44"/>
      <c r="C18" s="44"/>
      <c r="D18" s="44"/>
      <c r="E18" s="44"/>
      <c r="F18" s="44"/>
      <c r="G18" s="44"/>
      <c r="H18" s="13"/>
      <c r="I18" s="13"/>
      <c r="J18" s="13"/>
      <c r="K18" s="13"/>
      <c r="L18" s="13"/>
      <c r="M18" s="14"/>
    </row>
    <row r="19" ht="48" customHeight="1">
      <c r="A19" t="s" s="34">
        <v>1664</v>
      </c>
      <c r="B19" t="s" s="34">
        <v>1665</v>
      </c>
      <c r="C19" t="s" s="34">
        <v>1666</v>
      </c>
      <c r="D19" t="s" s="34">
        <v>1667</v>
      </c>
      <c r="E19" t="s" s="34">
        <v>1668</v>
      </c>
      <c r="F19" t="s" s="34">
        <v>1669</v>
      </c>
      <c r="G19" t="s" s="34">
        <v>1670</v>
      </c>
      <c r="H19" s="17"/>
      <c r="I19" s="13"/>
      <c r="J19" s="13"/>
      <c r="K19" s="13"/>
      <c r="L19" s="13"/>
      <c r="M19" s="14"/>
    </row>
    <row r="20" ht="13.65" customHeight="1">
      <c r="A20" t="s" s="35">
        <v>1651</v>
      </c>
      <c r="B20" s="38" cm="1">
        <f t="array" ref="B20">IF((_xlfn.COUNTIFS('Datos - Temas'!$AV$5:$AV$1264,"Ciclo 7°–9°")-_xlfn.COUNTIFS('Datos - Temas'!$AV$5:$AV$1264,"Ciclo 7°–9°",'Datos - Temas'!$AK$5:$AK$1264,"FUERA"))=0,0,_xlfn.COUNTIFS('Datos - Temas'!$AV$5:$AV$1264,"Ciclo 7°–9°",'Datos - Temas'!$AN$5:$AN$1264,$A20,'Datos - Temas'!$AM$5:$AM$1264,"Sistemas físicos")/(_xlfn.COUNTIFS('Datos - Temas'!$AV$5:$AV$1264,"Ciclo 7°–9°")-_xlfn.COUNTIFS('Datos - Temas'!$AV$5:$AV$1264,"Ciclo 7°–9°",'Datos - Temas'!$AK$5:$AK$1264,"FUERA")))</f>
        <v>0.480916030534351</v>
      </c>
      <c r="C20" s="38" cm="1">
        <f t="array" ref="C20">IF((_xlfn.COUNTIFS('Datos - Temas'!$AV$5:$AV$1264,"Ciclo 7°–9°")-_xlfn.COUNTIFS('Datos - Temas'!$AV$5:$AV$1264,"Ciclo 7°–9°",'Datos - Temas'!$AK$5:$AK$1264,"FUERA"))=0,0,_xlfn.COUNTIFS('Datos - Temas'!$AV$5:$AV$1264,"Ciclo 7°–9°",'Datos - Temas'!$AN$5:$AN$1264,$A20,'Datos - Temas'!$AM$5:$AM$1264,"Sistemas vivos")/(_xlfn.COUNTIFS('Datos - Temas'!$AV$5:$AV$1264,"Ciclo 7°–9°")-_xlfn.COUNTIFS('Datos - Temas'!$AV$5:$AV$1264,"Ciclo 7°–9°",'Datos - Temas'!$AK$5:$AK$1264,"FUERA")))</f>
        <v>0.301526717557252</v>
      </c>
      <c r="D20" s="38" cm="1">
        <f t="array" ref="D20">IF((_xlfn.COUNTIFS('Datos - Temas'!$AV$5:$AV$1264,"Ciclo 7°–9°")-_xlfn.COUNTIFS('Datos - Temas'!$AV$5:$AV$1264,"Ciclo 7°–9°",'Datos - Temas'!$AK$5:$AK$1264,"FUERA"))=0,0,_xlfn.COUNTIFS('Datos - Temas'!$AV$5:$AV$1264,"Ciclo 7°–9°",'Datos - Temas'!$AN$5:$AN$1264,$A20,'Datos - Temas'!$AM$5:$AM$1264,"Sistemas de la Tierra y el espacio")/(_xlfn.COUNTIFS('Datos - Temas'!$AV$5:$AV$1264,"Ciclo 7°–9°")-_xlfn.COUNTIFS('Datos - Temas'!$AV$5:$AV$1264,"Ciclo 7°–9°",'Datos - Temas'!$AK$5:$AK$1264,"FUERA")))</f>
        <v>0.175572519083969</v>
      </c>
      <c r="E20" t="s" s="35">
        <v>1671</v>
      </c>
      <c r="F20" t="s" s="35">
        <v>1671</v>
      </c>
      <c r="G20" t="s" s="35">
        <v>1672</v>
      </c>
      <c r="H20" s="17"/>
      <c r="I20" s="13"/>
      <c r="J20" s="13"/>
      <c r="K20" s="13"/>
      <c r="L20" s="13"/>
      <c r="M20" s="14"/>
    </row>
    <row r="21" ht="13.65" customHeight="1">
      <c r="A21" t="s" s="35">
        <v>1652</v>
      </c>
      <c r="B21" s="38" cm="1">
        <f t="array" ref="B21">IF((_xlfn.COUNTIFS('Datos - Temas'!$AV$5:$AV$1264,"Ciclo 7°–9°")-_xlfn.COUNTIFS('Datos - Temas'!$AV$5:$AV$1264,"Ciclo 7°–9°",'Datos - Temas'!$AK$5:$AK$1264,"FUERA"))=0,0,_xlfn.COUNTIFS('Datos - Temas'!$AV$5:$AV$1264,"Ciclo 7°–9°",'Datos - Temas'!$AN$5:$AN$1264,$A21,'Datos - Temas'!$AM$5:$AM$1264,"Sistemas físicos")/(_xlfn.COUNTIFS('Datos - Temas'!$AV$5:$AV$1264,"Ciclo 7°–9°")-_xlfn.COUNTIFS('Datos - Temas'!$AV$5:$AV$1264,"Ciclo 7°–9°",'Datos - Temas'!$AK$5:$AK$1264,"FUERA")))</f>
        <v>0.0152671755725191</v>
      </c>
      <c r="C21" s="38" cm="1">
        <f t="array" ref="C21">IF((_xlfn.COUNTIFS('Datos - Temas'!$AV$5:$AV$1264,"Ciclo 7°–9°")-_xlfn.COUNTIFS('Datos - Temas'!$AV$5:$AV$1264,"Ciclo 7°–9°",'Datos - Temas'!$AK$5:$AK$1264,"FUERA"))=0,0,_xlfn.COUNTIFS('Datos - Temas'!$AV$5:$AV$1264,"Ciclo 7°–9°",'Datos - Temas'!$AN$5:$AN$1264,$A21,'Datos - Temas'!$AM$5:$AM$1264,"Sistemas vivos")/(_xlfn.COUNTIFS('Datos - Temas'!$AV$5:$AV$1264,"Ciclo 7°–9°")-_xlfn.COUNTIFS('Datos - Temas'!$AV$5:$AV$1264,"Ciclo 7°–9°",'Datos - Temas'!$AK$5:$AK$1264,"FUERA")))</f>
        <v>0.00763358778625954</v>
      </c>
      <c r="D21" s="38" cm="1">
        <f t="array" ref="D21">IF((_xlfn.COUNTIFS('Datos - Temas'!$AV$5:$AV$1264,"Ciclo 7°–9°")-_xlfn.COUNTIFS('Datos - Temas'!$AV$5:$AV$1264,"Ciclo 7°–9°",'Datos - Temas'!$AK$5:$AK$1264,"FUERA"))=0,0,_xlfn.COUNTIFS('Datos - Temas'!$AV$5:$AV$1264,"Ciclo 7°–9°",'Datos - Temas'!$AN$5:$AN$1264,$A21,'Datos - Temas'!$AM$5:$AM$1264,"Sistemas de la Tierra y el espacio")/(_xlfn.COUNTIFS('Datos - Temas'!$AV$5:$AV$1264,"Ciclo 7°–9°")-_xlfn.COUNTIFS('Datos - Temas'!$AV$5:$AV$1264,"Ciclo 7°–9°",'Datos - Temas'!$AK$5:$AK$1264,"FUERA")))</f>
        <v>0.0190839694656489</v>
      </c>
      <c r="E21" t="s" s="35">
        <v>1673</v>
      </c>
      <c r="F21" t="s" s="35">
        <v>1673</v>
      </c>
      <c r="G21" t="s" s="35">
        <v>1674</v>
      </c>
      <c r="H21" s="17"/>
      <c r="I21" s="13"/>
      <c r="J21" s="13"/>
      <c r="K21" s="13"/>
      <c r="L21" s="13"/>
      <c r="M21" s="14"/>
    </row>
    <row r="22" ht="13.65" customHeight="1">
      <c r="A22" t="s" s="35">
        <v>1653</v>
      </c>
      <c r="B22" s="38" cm="1">
        <f t="array" ref="B22">IF((_xlfn.COUNTIFS('Datos - Temas'!$AV$5:$AV$1264,"Ciclo 7°–9°")-_xlfn.COUNTIFS('Datos - Temas'!$AV$5:$AV$1264,"Ciclo 7°–9°",'Datos - Temas'!$AK$5:$AK$1264,"FUERA"))=0,0,_xlfn.COUNTIFS('Datos - Temas'!$AV$5:$AV$1264,"Ciclo 7°–9°",'Datos - Temas'!$AN$5:$AN$1264,$A22,'Datos - Temas'!$AM$5:$AM$1264,"Sistemas físicos")/(_xlfn.COUNTIFS('Datos - Temas'!$AV$5:$AV$1264,"Ciclo 7°–9°")-_xlfn.COUNTIFS('Datos - Temas'!$AV$5:$AV$1264,"Ciclo 7°–9°",'Datos - Temas'!$AK$5:$AK$1264,"FUERA")))</f>
        <v>0</v>
      </c>
      <c r="C22" s="38" cm="1">
        <f t="array" ref="C22">IF((_xlfn.COUNTIFS('Datos - Temas'!$AV$5:$AV$1264,"Ciclo 7°–9°")-_xlfn.COUNTIFS('Datos - Temas'!$AV$5:$AV$1264,"Ciclo 7°–9°",'Datos - Temas'!$AK$5:$AK$1264,"FUERA"))=0,0,_xlfn.COUNTIFS('Datos - Temas'!$AV$5:$AV$1264,"Ciclo 7°–9°",'Datos - Temas'!$AN$5:$AN$1264,$A22,'Datos - Temas'!$AM$5:$AM$1264,"Sistemas vivos")/(_xlfn.COUNTIFS('Datos - Temas'!$AV$5:$AV$1264,"Ciclo 7°–9°")-_xlfn.COUNTIFS('Datos - Temas'!$AV$5:$AV$1264,"Ciclo 7°–9°",'Datos - Temas'!$AK$5:$AK$1264,"FUERA")))</f>
        <v>0</v>
      </c>
      <c r="D22" s="38" cm="1">
        <f t="array" ref="D22">IF((_xlfn.COUNTIFS('Datos - Temas'!$AV$5:$AV$1264,"Ciclo 7°–9°")-_xlfn.COUNTIFS('Datos - Temas'!$AV$5:$AV$1264,"Ciclo 7°–9°",'Datos - Temas'!$AK$5:$AK$1264,"FUERA"))=0,0,_xlfn.COUNTIFS('Datos - Temas'!$AV$5:$AV$1264,"Ciclo 7°–9°",'Datos - Temas'!$AN$5:$AN$1264,$A22,'Datos - Temas'!$AM$5:$AM$1264,"Sistemas de la Tierra y el espacio")/(_xlfn.COUNTIFS('Datos - Temas'!$AV$5:$AV$1264,"Ciclo 7°–9°")-_xlfn.COUNTIFS('Datos - Temas'!$AV$5:$AV$1264,"Ciclo 7°–9°",'Datos - Temas'!$AK$5:$AK$1264,"FUERA")))</f>
        <v>0</v>
      </c>
      <c r="E22" t="s" s="35">
        <v>1675</v>
      </c>
      <c r="F22" t="s" s="35">
        <v>1675</v>
      </c>
      <c r="G22" t="s" s="35">
        <v>1674</v>
      </c>
      <c r="H22" s="17"/>
      <c r="I22" s="13"/>
      <c r="J22" s="13"/>
      <c r="K22" s="13"/>
      <c r="L22" s="13"/>
      <c r="M22" s="14"/>
    </row>
    <row r="23" ht="13.55" customHeight="1">
      <c r="A23" s="42"/>
      <c r="B23" s="18"/>
      <c r="C23" s="18"/>
      <c r="D23" s="18"/>
      <c r="E23" s="18"/>
      <c r="F23" s="18"/>
      <c r="G23" s="18"/>
      <c r="H23" s="13"/>
      <c r="I23" s="13"/>
      <c r="J23" s="13"/>
      <c r="K23" s="13"/>
      <c r="L23" s="13"/>
      <c r="M23" s="14"/>
    </row>
    <row r="24" ht="14.6" customHeight="1">
      <c r="A24" t="s" s="43">
        <v>1676</v>
      </c>
      <c r="B24" s="44"/>
      <c r="C24" s="44"/>
      <c r="D24" s="44"/>
      <c r="E24" s="44"/>
      <c r="F24" s="44"/>
      <c r="G24" s="44"/>
      <c r="H24" s="44"/>
      <c r="I24" s="44"/>
      <c r="J24" s="13"/>
      <c r="K24" s="13"/>
      <c r="L24" s="13"/>
      <c r="M24" s="14"/>
    </row>
    <row r="25" ht="32" customHeight="1">
      <c r="A25" t="s" s="34">
        <v>1047</v>
      </c>
      <c r="B25" t="s" s="34">
        <v>1677</v>
      </c>
      <c r="C25" t="s" s="34">
        <v>1678</v>
      </c>
      <c r="D25" t="s" s="34">
        <v>1679</v>
      </c>
      <c r="E25" t="s" s="34">
        <v>85</v>
      </c>
      <c r="F25" t="s" s="34">
        <v>86</v>
      </c>
      <c r="G25" t="s" s="34">
        <v>138</v>
      </c>
      <c r="H25" t="s" s="34">
        <v>1529</v>
      </c>
      <c r="I25" t="s" s="34">
        <v>1530</v>
      </c>
      <c r="J25" s="17"/>
      <c r="K25" s="13"/>
      <c r="L25" s="13"/>
      <c r="M25" s="14"/>
    </row>
    <row r="26" ht="46.65" customHeight="1">
      <c r="A26" t="s" s="78">
        <v>1680</v>
      </c>
      <c r="B26" t="s" s="78">
        <v>1652</v>
      </c>
      <c r="C26" t="s" s="78">
        <v>1681</v>
      </c>
      <c r="D26" t="s" s="78">
        <v>1682</v>
      </c>
      <c r="E26" s="80" cm="1">
        <f t="array" ref="E26">_xlfn.COUNTIFS('Datos - Temas'!$V$5:$V$1264,E$25,'Datos - Temas'!$AO$5:$AO$1264,"*"&amp;$A26&amp;";*")</f>
        <v>1</v>
      </c>
      <c r="F26" s="80" cm="1">
        <f t="array" ref="F26">_xlfn.COUNTIFS('Datos - Temas'!$V$5:$V$1264,F$25,'Datos - Temas'!$AO$5:$AO$1264,"*"&amp;$A26&amp;";*")</f>
        <v>10</v>
      </c>
      <c r="G26" s="80" cm="1">
        <f t="array" ref="G26">_xlfn.COUNTIFS('Datos - Temas'!$V$5:$V$1264,G$25,'Datos - Temas'!$AO$5:$AO$1264,"*"&amp;$A26&amp;";*")</f>
        <v>7</v>
      </c>
      <c r="H26" s="80" cm="1">
        <f t="array" ref="H26">SUM(E26:G26)</f>
        <v>18</v>
      </c>
      <c r="I26" t="str" s="79" cm="1">
        <f t="array" ref="I26">IF(H26=0,"No cubierto",IF(H26=1,"Débil (1 tema)",IF(H26&lt;=3,"Básica (2–3)","Sólida (4+)")))</f>
        <v>Sólida (4+)</v>
      </c>
      <c r="J26" s="17"/>
      <c r="K26" s="13"/>
      <c r="L26" s="13"/>
      <c r="M26" s="14"/>
    </row>
    <row r="27" ht="46.65" customHeight="1">
      <c r="A27" t="s" s="78">
        <v>1683</v>
      </c>
      <c r="B27" t="s" s="78">
        <v>1652</v>
      </c>
      <c r="C27" t="s" s="78">
        <v>1681</v>
      </c>
      <c r="D27" t="s" s="78">
        <v>1684</v>
      </c>
      <c r="E27" s="80" cm="1">
        <f t="array" ref="E27">_xlfn.COUNTIFS('Datos - Temas'!$V$5:$V$1264,E$25,'Datos - Temas'!$AO$5:$AO$1264,"*"&amp;$A27&amp;";*")</f>
        <v>11</v>
      </c>
      <c r="F27" s="80" cm="1">
        <f t="array" ref="F27">_xlfn.COUNTIFS('Datos - Temas'!$V$5:$V$1264,F$25,'Datos - Temas'!$AO$5:$AO$1264,"*"&amp;$A27&amp;";*")</f>
        <v>12</v>
      </c>
      <c r="G27" s="80" cm="1">
        <f t="array" ref="G27">_xlfn.COUNTIFS('Datos - Temas'!$V$5:$V$1264,G$25,'Datos - Temas'!$AO$5:$AO$1264,"*"&amp;$A27&amp;";*")</f>
        <v>8</v>
      </c>
      <c r="H27" s="80" cm="1">
        <f t="array" ref="H27">SUM(E27:G27)</f>
        <v>31</v>
      </c>
      <c r="I27" t="str" s="79" cm="1">
        <f t="array" ref="I27">IF(H27=0,"No cubierto",IF(H27=1,"Débil (1 tema)",IF(H27&lt;=3,"Básica (2–3)","Sólida (4+)")))</f>
        <v>Sólida (4+)</v>
      </c>
      <c r="J27" s="17"/>
      <c r="K27" s="13"/>
      <c r="L27" s="13"/>
      <c r="M27" s="14"/>
    </row>
    <row r="28" ht="46.65" customHeight="1">
      <c r="A28" t="s" s="78">
        <v>1685</v>
      </c>
      <c r="B28" t="s" s="78">
        <v>1652</v>
      </c>
      <c r="C28" t="s" s="78">
        <v>1681</v>
      </c>
      <c r="D28" t="s" s="78">
        <v>1686</v>
      </c>
      <c r="E28" s="80" cm="1">
        <f t="array" ref="E28">_xlfn.COUNTIFS('Datos - Temas'!$V$5:$V$1264,E$25,'Datos - Temas'!$AO$5:$AO$1264,"*"&amp;$A28&amp;";*")</f>
        <v>0</v>
      </c>
      <c r="F28" s="80" cm="1">
        <f t="array" ref="F28">_xlfn.COUNTIFS('Datos - Temas'!$V$5:$V$1264,F$25,'Datos - Temas'!$AO$5:$AO$1264,"*"&amp;$A28&amp;";*")</f>
        <v>1</v>
      </c>
      <c r="G28" s="80" cm="1">
        <f t="array" ref="G28">_xlfn.COUNTIFS('Datos - Temas'!$V$5:$V$1264,G$25,'Datos - Temas'!$AO$5:$AO$1264,"*"&amp;$A28&amp;";*")</f>
        <v>1</v>
      </c>
      <c r="H28" s="80" cm="1">
        <f t="array" ref="H28">SUM(E28:G28)</f>
        <v>2</v>
      </c>
      <c r="I28" t="str" s="79" cm="1">
        <f t="array" ref="I28">IF(H28=0,"No cubierto",IF(H28=1,"Débil (1 tema)",IF(H28&lt;=3,"Básica (2–3)","Sólida (4+)")))</f>
        <v>Básica (2–3)</v>
      </c>
      <c r="J28" s="17"/>
      <c r="K28" s="13"/>
      <c r="L28" s="13"/>
      <c r="M28" s="14"/>
    </row>
    <row r="29" ht="46.65" customHeight="1">
      <c r="A29" t="s" s="78">
        <v>1687</v>
      </c>
      <c r="B29" t="s" s="78">
        <v>1652</v>
      </c>
      <c r="C29" t="s" s="78">
        <v>1681</v>
      </c>
      <c r="D29" t="s" s="78">
        <v>1688</v>
      </c>
      <c r="E29" s="80" cm="1">
        <f t="array" ref="E29">_xlfn.COUNTIFS('Datos - Temas'!$V$5:$V$1264,E$25,'Datos - Temas'!$AO$5:$AO$1264,"*"&amp;$A29&amp;";*")</f>
        <v>2</v>
      </c>
      <c r="F29" s="80" cm="1">
        <f t="array" ref="F29">_xlfn.COUNTIFS('Datos - Temas'!$V$5:$V$1264,F$25,'Datos - Temas'!$AO$5:$AO$1264,"*"&amp;$A29&amp;";*")</f>
        <v>1</v>
      </c>
      <c r="G29" s="80" cm="1">
        <f t="array" ref="G29">_xlfn.COUNTIFS('Datos - Temas'!$V$5:$V$1264,G$25,'Datos - Temas'!$AO$5:$AO$1264,"*"&amp;$A29&amp;";*")</f>
        <v>2</v>
      </c>
      <c r="H29" s="80" cm="1">
        <f t="array" ref="H29">SUM(E29:G29)</f>
        <v>5</v>
      </c>
      <c r="I29" t="str" s="79" cm="1">
        <f t="array" ref="I29">IF(H29=0,"No cubierto",IF(H29=1,"Débil (1 tema)",IF(H29&lt;=3,"Básica (2–3)","Sólida (4+)")))</f>
        <v>Sólida (4+)</v>
      </c>
      <c r="J29" s="17"/>
      <c r="K29" s="13"/>
      <c r="L29" s="13"/>
      <c r="M29" s="14"/>
    </row>
    <row r="30" ht="46.65" customHeight="1">
      <c r="A30" t="s" s="78">
        <v>1689</v>
      </c>
      <c r="B30" t="s" s="78">
        <v>1652</v>
      </c>
      <c r="C30" t="s" s="78">
        <v>1681</v>
      </c>
      <c r="D30" t="s" s="78">
        <v>1690</v>
      </c>
      <c r="E30" s="80" cm="1">
        <f t="array" ref="E30">_xlfn.COUNTIFS('Datos - Temas'!$V$5:$V$1264,E$25,'Datos - Temas'!$AO$5:$AO$1264,"*"&amp;$A30&amp;";*")</f>
        <v>8</v>
      </c>
      <c r="F30" s="80" cm="1">
        <f t="array" ref="F30">_xlfn.COUNTIFS('Datos - Temas'!$V$5:$V$1264,F$25,'Datos - Temas'!$AO$5:$AO$1264,"*"&amp;$A30&amp;";*")</f>
        <v>12</v>
      </c>
      <c r="G30" s="80" cm="1">
        <f t="array" ref="G30">_xlfn.COUNTIFS('Datos - Temas'!$V$5:$V$1264,G$25,'Datos - Temas'!$AO$5:$AO$1264,"*"&amp;$A30&amp;";*")</f>
        <v>7</v>
      </c>
      <c r="H30" s="80" cm="1">
        <f t="array" ref="H30">SUM(E30:G30)</f>
        <v>27</v>
      </c>
      <c r="I30" t="str" s="79" cm="1">
        <f t="array" ref="I30">IF(H30=0,"No cubierto",IF(H30=1,"Débil (1 tema)",IF(H30&lt;=3,"Básica (2–3)","Sólida (4+)")))</f>
        <v>Sólida (4+)</v>
      </c>
      <c r="J30" s="17"/>
      <c r="K30" s="13"/>
      <c r="L30" s="13"/>
      <c r="M30" s="14"/>
    </row>
    <row r="31" ht="46.65" customHeight="1">
      <c r="A31" t="s" s="78">
        <v>1691</v>
      </c>
      <c r="B31" t="s" s="78">
        <v>1652</v>
      </c>
      <c r="C31" t="s" s="78">
        <v>1681</v>
      </c>
      <c r="D31" t="s" s="78">
        <v>1692</v>
      </c>
      <c r="E31" s="80" cm="1">
        <f t="array" ref="E31">_xlfn.COUNTIFS('Datos - Temas'!$V$5:$V$1264,E$25,'Datos - Temas'!$AO$5:$AO$1264,"*"&amp;$A31&amp;";*")</f>
        <v>0</v>
      </c>
      <c r="F31" s="80" cm="1">
        <f t="array" ref="F31">_xlfn.COUNTIFS('Datos - Temas'!$V$5:$V$1264,F$25,'Datos - Temas'!$AO$5:$AO$1264,"*"&amp;$A31&amp;";*")</f>
        <v>2</v>
      </c>
      <c r="G31" s="80" cm="1">
        <f t="array" ref="G31">_xlfn.COUNTIFS('Datos - Temas'!$V$5:$V$1264,G$25,'Datos - Temas'!$AO$5:$AO$1264,"*"&amp;$A31&amp;";*")</f>
        <v>2</v>
      </c>
      <c r="H31" s="80" cm="1">
        <f t="array" ref="H31">SUM(E31:G31)</f>
        <v>4</v>
      </c>
      <c r="I31" t="str" s="79" cm="1">
        <f t="array" ref="I31">IF(H31=0,"No cubierto",IF(H31=1,"Débil (1 tema)",IF(H31&lt;=3,"Básica (2–3)","Sólida (4+)")))</f>
        <v>Sólida (4+)</v>
      </c>
      <c r="J31" s="17"/>
      <c r="K31" s="13"/>
      <c r="L31" s="13"/>
      <c r="M31" s="14"/>
    </row>
    <row r="32" ht="46.65" customHeight="1">
      <c r="A32" t="s" s="78">
        <v>1693</v>
      </c>
      <c r="B32" t="s" s="78">
        <v>1652</v>
      </c>
      <c r="C32" t="s" s="78">
        <v>1681</v>
      </c>
      <c r="D32" t="s" s="78">
        <v>1694</v>
      </c>
      <c r="E32" s="80" cm="1">
        <f t="array" ref="E32">_xlfn.COUNTIFS('Datos - Temas'!$V$5:$V$1264,E$25,'Datos - Temas'!$AO$5:$AO$1264,"*"&amp;$A32&amp;";*")</f>
        <v>1</v>
      </c>
      <c r="F32" s="80" cm="1">
        <f t="array" ref="F32">_xlfn.COUNTIFS('Datos - Temas'!$V$5:$V$1264,F$25,'Datos - Temas'!$AO$5:$AO$1264,"*"&amp;$A32&amp;";*")</f>
        <v>3</v>
      </c>
      <c r="G32" s="80" cm="1">
        <f t="array" ref="G32">_xlfn.COUNTIFS('Datos - Temas'!$V$5:$V$1264,G$25,'Datos - Temas'!$AO$5:$AO$1264,"*"&amp;$A32&amp;";*")</f>
        <v>0</v>
      </c>
      <c r="H32" s="80" cm="1">
        <f t="array" ref="H32">SUM(E32:G32)</f>
        <v>4</v>
      </c>
      <c r="I32" t="str" s="79" cm="1">
        <f t="array" ref="I32">IF(H32=0,"No cubierto",IF(H32=1,"Débil (1 tema)",IF(H32&lt;=3,"Básica (2–3)","Sólida (4+)")))</f>
        <v>Sólida (4+)</v>
      </c>
      <c r="J32" s="17"/>
      <c r="K32" s="13"/>
      <c r="L32" s="13"/>
      <c r="M32" s="14"/>
    </row>
    <row r="33" ht="46.65" customHeight="1">
      <c r="A33" t="s" s="78">
        <v>1695</v>
      </c>
      <c r="B33" t="s" s="78">
        <v>1652</v>
      </c>
      <c r="C33" t="s" s="78">
        <v>1681</v>
      </c>
      <c r="D33" t="s" s="78">
        <v>1696</v>
      </c>
      <c r="E33" s="80" cm="1">
        <f t="array" ref="E33">_xlfn.COUNTIFS('Datos - Temas'!$V$5:$V$1264,E$25,'Datos - Temas'!$AO$5:$AO$1264,"*"&amp;$A33&amp;";*")</f>
        <v>0</v>
      </c>
      <c r="F33" s="80" cm="1">
        <f t="array" ref="F33">_xlfn.COUNTIFS('Datos - Temas'!$V$5:$V$1264,F$25,'Datos - Temas'!$AO$5:$AO$1264,"*"&amp;$A33&amp;";*")</f>
        <v>0</v>
      </c>
      <c r="G33" s="80" cm="1">
        <f t="array" ref="G33">_xlfn.COUNTIFS('Datos - Temas'!$V$5:$V$1264,G$25,'Datos - Temas'!$AO$5:$AO$1264,"*"&amp;$A33&amp;";*")</f>
        <v>0</v>
      </c>
      <c r="H33" s="80" cm="1">
        <f t="array" ref="H33">SUM(E33:G33)</f>
        <v>0</v>
      </c>
      <c r="I33" t="str" s="79" cm="1">
        <f t="array" ref="I33">IF(H33=0,"No cubierto",IF(H33=1,"Débil (1 tema)",IF(H33&lt;=3,"Básica (2–3)","Sólida (4+)")))</f>
        <v>No cubierto</v>
      </c>
      <c r="J33" s="17"/>
      <c r="K33" s="13"/>
      <c r="L33" s="13"/>
      <c r="M33" s="14"/>
    </row>
    <row r="34" ht="24.65" customHeight="1">
      <c r="A34" t="s" s="78">
        <v>1697</v>
      </c>
      <c r="B34" t="s" s="78">
        <v>1653</v>
      </c>
      <c r="C34" t="s" s="78">
        <v>1698</v>
      </c>
      <c r="D34" t="s" s="78">
        <v>1699</v>
      </c>
      <c r="E34" s="80" cm="1">
        <f t="array" ref="E34">_xlfn.COUNTIFS('Datos - Temas'!$V$5:$V$1264,E$25,'Datos - Temas'!$AP$5:$AP$1264,"*"&amp;$A34&amp;";*")</f>
        <v>0</v>
      </c>
      <c r="F34" s="80" cm="1">
        <f t="array" ref="F34">_xlfn.COUNTIFS('Datos - Temas'!$V$5:$V$1264,F$25,'Datos - Temas'!$AP$5:$AP$1264,"*"&amp;$A34&amp;";*")</f>
        <v>0</v>
      </c>
      <c r="G34" s="80" cm="1">
        <f t="array" ref="G34">_xlfn.COUNTIFS('Datos - Temas'!$V$5:$V$1264,G$25,'Datos - Temas'!$AP$5:$AP$1264,"*"&amp;$A34&amp;";*")</f>
        <v>1</v>
      </c>
      <c r="H34" s="80" cm="1">
        <f t="array" ref="H34">SUM(E34:G34)</f>
        <v>1</v>
      </c>
      <c r="I34" t="str" s="79" cm="1">
        <f t="array" ref="I34">IF(H34=0,"No cubierto",IF(H34=1,"Débil (1 tema)",IF(H34&lt;=3,"Básica (2–3)","Sólida (4+)")))</f>
        <v>Débil (1 tema)</v>
      </c>
      <c r="J34" s="17"/>
      <c r="K34" s="13"/>
      <c r="L34" s="13"/>
      <c r="M34" s="14"/>
    </row>
    <row r="35" ht="24.65" customHeight="1">
      <c r="A35" t="s" s="78">
        <v>1700</v>
      </c>
      <c r="B35" t="s" s="78">
        <v>1653</v>
      </c>
      <c r="C35" t="s" s="78">
        <v>1698</v>
      </c>
      <c r="D35" t="s" s="78">
        <v>1701</v>
      </c>
      <c r="E35" s="80" cm="1">
        <f t="array" ref="E35">_xlfn.COUNTIFS('Datos - Temas'!$V$5:$V$1264,E$25,'Datos - Temas'!$AP$5:$AP$1264,"*"&amp;$A35&amp;";*")</f>
        <v>0</v>
      </c>
      <c r="F35" s="80" cm="1">
        <f t="array" ref="F35">_xlfn.COUNTIFS('Datos - Temas'!$V$5:$V$1264,F$25,'Datos - Temas'!$AP$5:$AP$1264,"*"&amp;$A35&amp;";*")</f>
        <v>0</v>
      </c>
      <c r="G35" s="80" cm="1">
        <f t="array" ref="G35">_xlfn.COUNTIFS('Datos - Temas'!$V$5:$V$1264,G$25,'Datos - Temas'!$AP$5:$AP$1264,"*"&amp;$A35&amp;";*")</f>
        <v>0</v>
      </c>
      <c r="H35" s="80" cm="1">
        <f t="array" ref="H35">SUM(E35:G35)</f>
        <v>0</v>
      </c>
      <c r="I35" t="str" s="79" cm="1">
        <f t="array" ref="I35">IF(H35=0,"No cubierto",IF(H35=1,"Débil (1 tema)",IF(H35&lt;=3,"Básica (2–3)","Sólida (4+)")))</f>
        <v>No cubierto</v>
      </c>
      <c r="J35" s="17"/>
      <c r="K35" s="13"/>
      <c r="L35" s="13"/>
      <c r="M35" s="14"/>
    </row>
    <row r="36" ht="24.65" customHeight="1">
      <c r="A36" t="s" s="78">
        <v>1702</v>
      </c>
      <c r="B36" t="s" s="78">
        <v>1653</v>
      </c>
      <c r="C36" t="s" s="78">
        <v>1698</v>
      </c>
      <c r="D36" t="s" s="78">
        <v>1703</v>
      </c>
      <c r="E36" s="80" cm="1">
        <f t="array" ref="E36">_xlfn.COUNTIFS('Datos - Temas'!$V$5:$V$1264,E$25,'Datos - Temas'!$AP$5:$AP$1264,"*"&amp;$A36&amp;";*")</f>
        <v>0</v>
      </c>
      <c r="F36" s="80" cm="1">
        <f t="array" ref="F36">_xlfn.COUNTIFS('Datos - Temas'!$V$5:$V$1264,F$25,'Datos - Temas'!$AP$5:$AP$1264,"*"&amp;$A36&amp;";*")</f>
        <v>0</v>
      </c>
      <c r="G36" s="80" cm="1">
        <f t="array" ref="G36">_xlfn.COUNTIFS('Datos - Temas'!$V$5:$V$1264,G$25,'Datos - Temas'!$AP$5:$AP$1264,"*"&amp;$A36&amp;";*")</f>
        <v>0</v>
      </c>
      <c r="H36" s="80" cm="1">
        <f t="array" ref="H36">SUM(E36:G36)</f>
        <v>0</v>
      </c>
      <c r="I36" t="str" s="79" cm="1">
        <f t="array" ref="I36">IF(H36=0,"No cubierto",IF(H36=1,"Débil (1 tema)",IF(H36&lt;=3,"Básica (2–3)","Sólida (4+)")))</f>
        <v>No cubierto</v>
      </c>
      <c r="J36" s="17"/>
      <c r="K36" s="13"/>
      <c r="L36" s="13"/>
      <c r="M36" s="14"/>
    </row>
    <row r="37" ht="24.65" customHeight="1">
      <c r="A37" t="s" s="78">
        <v>1704</v>
      </c>
      <c r="B37" t="s" s="78">
        <v>1653</v>
      </c>
      <c r="C37" t="s" s="78">
        <v>1705</v>
      </c>
      <c r="D37" t="s" s="78">
        <v>1706</v>
      </c>
      <c r="E37" s="80" cm="1">
        <f t="array" ref="E37">_xlfn.COUNTIFS('Datos - Temas'!$V$5:$V$1264,E$25,'Datos - Temas'!$AP$5:$AP$1264,"*"&amp;$A37&amp;";*")</f>
        <v>7</v>
      </c>
      <c r="F37" s="80" cm="1">
        <f t="array" ref="F37">_xlfn.COUNTIFS('Datos - Temas'!$V$5:$V$1264,F$25,'Datos - Temas'!$AP$5:$AP$1264,"*"&amp;$A37&amp;";*")</f>
        <v>9</v>
      </c>
      <c r="G37" s="80" cm="1">
        <f t="array" ref="G37">_xlfn.COUNTIFS('Datos - Temas'!$V$5:$V$1264,G$25,'Datos - Temas'!$AP$5:$AP$1264,"*"&amp;$A37&amp;";*")</f>
        <v>6</v>
      </c>
      <c r="H37" s="80" cm="1">
        <f t="array" ref="H37">SUM(E37:G37)</f>
        <v>22</v>
      </c>
      <c r="I37" t="str" s="79" cm="1">
        <f t="array" ref="I37">IF(H37=0,"No cubierto",IF(H37=1,"Débil (1 tema)",IF(H37&lt;=3,"Básica (2–3)","Sólida (4+)")))</f>
        <v>Sólida (4+)</v>
      </c>
      <c r="J37" s="17"/>
      <c r="K37" s="13"/>
      <c r="L37" s="13"/>
      <c r="M37" s="14"/>
    </row>
    <row r="38" ht="13.65" customHeight="1">
      <c r="A38" t="s" s="78">
        <v>1707</v>
      </c>
      <c r="B38" t="s" s="78">
        <v>1653</v>
      </c>
      <c r="C38" t="s" s="78">
        <v>1705</v>
      </c>
      <c r="D38" t="s" s="78">
        <v>1708</v>
      </c>
      <c r="E38" s="80" cm="1">
        <f t="array" ref="E38">_xlfn.COUNTIFS('Datos - Temas'!$V$5:$V$1264,E$25,'Datos - Temas'!$AP$5:$AP$1264,"*"&amp;$A38&amp;";*")</f>
        <v>0</v>
      </c>
      <c r="F38" s="80" cm="1">
        <f t="array" ref="F38">_xlfn.COUNTIFS('Datos - Temas'!$V$5:$V$1264,F$25,'Datos - Temas'!$AP$5:$AP$1264,"*"&amp;$A38&amp;";*")</f>
        <v>0</v>
      </c>
      <c r="G38" s="80" cm="1">
        <f t="array" ref="G38">_xlfn.COUNTIFS('Datos - Temas'!$V$5:$V$1264,G$25,'Datos - Temas'!$AP$5:$AP$1264,"*"&amp;$A38&amp;";*")</f>
        <v>0</v>
      </c>
      <c r="H38" s="80" cm="1">
        <f t="array" ref="H38">SUM(E38:G38)</f>
        <v>0</v>
      </c>
      <c r="I38" t="str" s="79" cm="1">
        <f t="array" ref="I38">IF(H38=0,"No cubierto",IF(H38=1,"Débil (1 tema)",IF(H38&lt;=3,"Básica (2–3)","Sólida (4+)")))</f>
        <v>No cubierto</v>
      </c>
      <c r="J38" s="17"/>
      <c r="K38" s="13"/>
      <c r="L38" s="13"/>
      <c r="M38" s="14"/>
    </row>
    <row r="39" ht="13.65" customHeight="1">
      <c r="A39" t="s" s="78">
        <v>1709</v>
      </c>
      <c r="B39" t="s" s="78">
        <v>1653</v>
      </c>
      <c r="C39" t="s" s="78">
        <v>1705</v>
      </c>
      <c r="D39" t="s" s="78">
        <v>1710</v>
      </c>
      <c r="E39" s="80" cm="1">
        <f t="array" ref="E39">_xlfn.COUNTIFS('Datos - Temas'!$V$5:$V$1264,E$25,'Datos - Temas'!$AP$5:$AP$1264,"*"&amp;$A39&amp;";*")</f>
        <v>0</v>
      </c>
      <c r="F39" s="80" cm="1">
        <f t="array" ref="F39">_xlfn.COUNTIFS('Datos - Temas'!$V$5:$V$1264,F$25,'Datos - Temas'!$AP$5:$AP$1264,"*"&amp;$A39&amp;";*")</f>
        <v>1</v>
      </c>
      <c r="G39" s="80" cm="1">
        <f t="array" ref="G39">_xlfn.COUNTIFS('Datos - Temas'!$V$5:$V$1264,G$25,'Datos - Temas'!$AP$5:$AP$1264,"*"&amp;$A39&amp;";*")</f>
        <v>1</v>
      </c>
      <c r="H39" s="80" cm="1">
        <f t="array" ref="H39">SUM(E39:G39)</f>
        <v>2</v>
      </c>
      <c r="I39" t="str" s="79" cm="1">
        <f t="array" ref="I39">IF(H39=0,"No cubierto",IF(H39=1,"Débil (1 tema)",IF(H39&lt;=3,"Básica (2–3)","Sólida (4+)")))</f>
        <v>Básica (2–3)</v>
      </c>
      <c r="J39" s="17"/>
      <c r="K39" s="13"/>
      <c r="L39" s="13"/>
      <c r="M39" s="14"/>
    </row>
    <row r="40" ht="13.65" customHeight="1">
      <c r="A40" t="s" s="78">
        <v>1711</v>
      </c>
      <c r="B40" t="s" s="78">
        <v>1653</v>
      </c>
      <c r="C40" t="s" s="78">
        <v>1705</v>
      </c>
      <c r="D40" t="s" s="78">
        <v>1712</v>
      </c>
      <c r="E40" s="80" cm="1">
        <f t="array" ref="E40">_xlfn.COUNTIFS('Datos - Temas'!$V$5:$V$1264,E$25,'Datos - Temas'!$AP$5:$AP$1264,"*"&amp;$A40&amp;";*")</f>
        <v>0</v>
      </c>
      <c r="F40" s="80" cm="1">
        <f t="array" ref="F40">_xlfn.COUNTIFS('Datos - Temas'!$V$5:$V$1264,F$25,'Datos - Temas'!$AP$5:$AP$1264,"*"&amp;$A40&amp;";*")</f>
        <v>2</v>
      </c>
      <c r="G40" s="80" cm="1">
        <f t="array" ref="G40">_xlfn.COUNTIFS('Datos - Temas'!$V$5:$V$1264,G$25,'Datos - Temas'!$AP$5:$AP$1264,"*"&amp;$A40&amp;";*")</f>
        <v>0</v>
      </c>
      <c r="H40" s="80" cm="1">
        <f t="array" ref="H40">SUM(E40:G40)</f>
        <v>2</v>
      </c>
      <c r="I40" t="str" s="79" cm="1">
        <f t="array" ref="I40">IF(H40=0,"No cubierto",IF(H40=1,"Débil (1 tema)",IF(H40&lt;=3,"Básica (2–3)","Sólida (4+)")))</f>
        <v>Básica (2–3)</v>
      </c>
      <c r="J40" s="17"/>
      <c r="K40" s="13"/>
      <c r="L40" s="13"/>
      <c r="M40" s="14"/>
    </row>
    <row r="41" ht="24.65" customHeight="1">
      <c r="A41" t="s" s="78">
        <v>1713</v>
      </c>
      <c r="B41" t="s" s="78">
        <v>1653</v>
      </c>
      <c r="C41" t="s" s="78">
        <v>1714</v>
      </c>
      <c r="D41" t="s" s="78">
        <v>1715</v>
      </c>
      <c r="E41" s="80" cm="1">
        <f t="array" ref="E41">_xlfn.COUNTIFS('Datos - Temas'!$V$5:$V$1264,E$25,'Datos - Temas'!$AP$5:$AP$1264,"*"&amp;$A41&amp;";*")</f>
        <v>0</v>
      </c>
      <c r="F41" s="80" cm="1">
        <f t="array" ref="F41">_xlfn.COUNTIFS('Datos - Temas'!$V$5:$V$1264,F$25,'Datos - Temas'!$AP$5:$AP$1264,"*"&amp;$A41&amp;";*")</f>
        <v>0</v>
      </c>
      <c r="G41" s="80" cm="1">
        <f t="array" ref="G41">_xlfn.COUNTIFS('Datos - Temas'!$V$5:$V$1264,G$25,'Datos - Temas'!$AP$5:$AP$1264,"*"&amp;$A41&amp;";*")</f>
        <v>1</v>
      </c>
      <c r="H41" s="80" cm="1">
        <f t="array" ref="H41">SUM(E41:G41)</f>
        <v>1</v>
      </c>
      <c r="I41" t="str" s="79" cm="1">
        <f t="array" ref="I41">IF(H41=0,"No cubierto",IF(H41=1,"Débil (1 tema)",IF(H41&lt;=3,"Básica (2–3)","Sólida (4+)")))</f>
        <v>Débil (1 tema)</v>
      </c>
      <c r="J41" s="17"/>
      <c r="K41" s="13"/>
      <c r="L41" s="13"/>
      <c r="M41" s="14"/>
    </row>
    <row r="42" ht="24.65" customHeight="1">
      <c r="A42" t="s" s="78">
        <v>1716</v>
      </c>
      <c r="B42" t="s" s="78">
        <v>1653</v>
      </c>
      <c r="C42" t="s" s="78">
        <v>1714</v>
      </c>
      <c r="D42" t="s" s="78">
        <v>1717</v>
      </c>
      <c r="E42" s="80" cm="1">
        <f t="array" ref="E42">_xlfn.COUNTIFS('Datos - Temas'!$V$5:$V$1264,E$25,'Datos - Temas'!$AP$5:$AP$1264,"*"&amp;$A42&amp;";*")</f>
        <v>0</v>
      </c>
      <c r="F42" s="80" cm="1">
        <f t="array" ref="F42">_xlfn.COUNTIFS('Datos - Temas'!$V$5:$V$1264,F$25,'Datos - Temas'!$AP$5:$AP$1264,"*"&amp;$A42&amp;";*")</f>
        <v>0</v>
      </c>
      <c r="G42" s="80" cm="1">
        <f t="array" ref="G42">_xlfn.COUNTIFS('Datos - Temas'!$V$5:$V$1264,G$25,'Datos - Temas'!$AP$5:$AP$1264,"*"&amp;$A42&amp;";*")</f>
        <v>0</v>
      </c>
      <c r="H42" s="80" cm="1">
        <f t="array" ref="H42">SUM(E42:G42)</f>
        <v>0</v>
      </c>
      <c r="I42" t="str" s="79" cm="1">
        <f t="array" ref="I42">IF(H42=0,"No cubierto",IF(H42=1,"Débil (1 tema)",IF(H42&lt;=3,"Básica (2–3)","Sólida (4+)")))</f>
        <v>No cubierto</v>
      </c>
      <c r="J42" s="17"/>
      <c r="K42" s="13"/>
      <c r="L42" s="13"/>
      <c r="M42" s="14"/>
    </row>
    <row r="43" ht="24.65" customHeight="1">
      <c r="A43" t="s" s="78">
        <v>1718</v>
      </c>
      <c r="B43" t="s" s="78">
        <v>1653</v>
      </c>
      <c r="C43" t="s" s="78">
        <v>1714</v>
      </c>
      <c r="D43" t="s" s="78">
        <v>1719</v>
      </c>
      <c r="E43" s="80" cm="1">
        <f t="array" ref="E43">_xlfn.COUNTIFS('Datos - Temas'!$V$5:$V$1264,E$25,'Datos - Temas'!$AP$5:$AP$1264,"*"&amp;$A43&amp;";*")</f>
        <v>0</v>
      </c>
      <c r="F43" s="80" cm="1">
        <f t="array" ref="F43">_xlfn.COUNTIFS('Datos - Temas'!$V$5:$V$1264,F$25,'Datos - Temas'!$AP$5:$AP$1264,"*"&amp;$A43&amp;";*")</f>
        <v>1</v>
      </c>
      <c r="G43" s="80" cm="1">
        <f t="array" ref="G43">_xlfn.COUNTIFS('Datos - Temas'!$V$5:$V$1264,G$25,'Datos - Temas'!$AP$5:$AP$1264,"*"&amp;$A43&amp;";*")</f>
        <v>1</v>
      </c>
      <c r="H43" s="80" cm="1">
        <f t="array" ref="H43">SUM(E43:G43)</f>
        <v>2</v>
      </c>
      <c r="I43" t="str" s="79" cm="1">
        <f t="array" ref="I43">IF(H43=0,"No cubierto",IF(H43=1,"Débil (1 tema)",IF(H43&lt;=3,"Básica (2–3)","Sólida (4+)")))</f>
        <v>Básica (2–3)</v>
      </c>
      <c r="J43" s="17"/>
      <c r="K43" s="13"/>
      <c r="L43" s="13"/>
      <c r="M43" s="14"/>
    </row>
    <row r="44" ht="35.65" customHeight="1">
      <c r="A44" t="s" s="78">
        <v>1720</v>
      </c>
      <c r="B44" t="s" s="78">
        <v>1653</v>
      </c>
      <c r="C44" t="s" s="78">
        <v>1721</v>
      </c>
      <c r="D44" t="s" s="78">
        <v>1722</v>
      </c>
      <c r="E44" s="80" cm="1">
        <f t="array" ref="E44">_xlfn.COUNTIFS('Datos - Temas'!$V$5:$V$1264,E$25,'Datos - Temas'!$AP$5:$AP$1264,"*"&amp;$A44&amp;";*")</f>
        <v>0</v>
      </c>
      <c r="F44" s="80" cm="1">
        <f t="array" ref="F44">_xlfn.COUNTIFS('Datos - Temas'!$V$5:$V$1264,F$25,'Datos - Temas'!$AP$5:$AP$1264,"*"&amp;$A44&amp;";*")</f>
        <v>0</v>
      </c>
      <c r="G44" s="80" cm="1">
        <f t="array" ref="G44">_xlfn.COUNTIFS('Datos - Temas'!$V$5:$V$1264,G$25,'Datos - Temas'!$AP$5:$AP$1264,"*"&amp;$A44&amp;";*")</f>
        <v>0</v>
      </c>
      <c r="H44" s="80" cm="1">
        <f t="array" ref="H44">SUM(E44:G44)</f>
        <v>0</v>
      </c>
      <c r="I44" t="str" s="79" cm="1">
        <f t="array" ref="I44">IF(H44=0,"No cubierto",IF(H44=1,"Débil (1 tema)",IF(H44&lt;=3,"Básica (2–3)","Sólida (4+)")))</f>
        <v>No cubierto</v>
      </c>
      <c r="J44" s="17"/>
      <c r="K44" s="13"/>
      <c r="L44" s="13"/>
      <c r="M44" s="14"/>
    </row>
    <row r="45" ht="35.65" customHeight="1">
      <c r="A45" t="s" s="78">
        <v>1723</v>
      </c>
      <c r="B45" t="s" s="78">
        <v>1653</v>
      </c>
      <c r="C45" t="s" s="78">
        <v>1721</v>
      </c>
      <c r="D45" t="s" s="78">
        <v>1724</v>
      </c>
      <c r="E45" s="80" cm="1">
        <f t="array" ref="E45">_xlfn.COUNTIFS('Datos - Temas'!$V$5:$V$1264,E$25,'Datos - Temas'!$AP$5:$AP$1264,"*"&amp;$A45&amp;";*")</f>
        <v>1</v>
      </c>
      <c r="F45" s="80" cm="1">
        <f t="array" ref="F45">_xlfn.COUNTIFS('Datos - Temas'!$V$5:$V$1264,F$25,'Datos - Temas'!$AP$5:$AP$1264,"*"&amp;$A45&amp;";*")</f>
        <v>0</v>
      </c>
      <c r="G45" s="80" cm="1">
        <f t="array" ref="G45">_xlfn.COUNTIFS('Datos - Temas'!$V$5:$V$1264,G$25,'Datos - Temas'!$AP$5:$AP$1264,"*"&amp;$A45&amp;";*")</f>
        <v>0</v>
      </c>
      <c r="H45" s="80" cm="1">
        <f t="array" ref="H45">SUM(E45:G45)</f>
        <v>1</v>
      </c>
      <c r="I45" t="str" s="79" cm="1">
        <f t="array" ref="I45">IF(H45=0,"No cubierto",IF(H45=1,"Débil (1 tema)",IF(H45&lt;=3,"Básica (2–3)","Sólida (4+)")))</f>
        <v>Débil (1 tema)</v>
      </c>
      <c r="J45" s="17"/>
      <c r="K45" s="13"/>
      <c r="L45" s="13"/>
      <c r="M45" s="14"/>
    </row>
    <row r="46" ht="35.65" customHeight="1">
      <c r="A46" t="s" s="78">
        <v>1725</v>
      </c>
      <c r="B46" t="s" s="78">
        <v>1653</v>
      </c>
      <c r="C46" t="s" s="78">
        <v>1721</v>
      </c>
      <c r="D46" t="s" s="78">
        <v>1726</v>
      </c>
      <c r="E46" s="80" cm="1">
        <f t="array" ref="E46">_xlfn.COUNTIFS('Datos - Temas'!$V$5:$V$1264,E$25,'Datos - Temas'!$AP$5:$AP$1264,"*"&amp;$A46&amp;";*")</f>
        <v>0</v>
      </c>
      <c r="F46" s="80" cm="1">
        <f t="array" ref="F46">_xlfn.COUNTIFS('Datos - Temas'!$V$5:$V$1264,F$25,'Datos - Temas'!$AP$5:$AP$1264,"*"&amp;$A46&amp;";*")</f>
        <v>0</v>
      </c>
      <c r="G46" s="80" cm="1">
        <f t="array" ref="G46">_xlfn.COUNTIFS('Datos - Temas'!$V$5:$V$1264,G$25,'Datos - Temas'!$AP$5:$AP$1264,"*"&amp;$A46&amp;";*")</f>
        <v>0</v>
      </c>
      <c r="H46" s="80" cm="1">
        <f t="array" ref="H46">SUM(E46:G46)</f>
        <v>0</v>
      </c>
      <c r="I46" t="str" s="79" cm="1">
        <f t="array" ref="I46">IF(H46=0,"No cubierto",IF(H46=1,"Débil (1 tema)",IF(H46&lt;=3,"Básica (2–3)","Sólida (4+)")))</f>
        <v>No cubierto</v>
      </c>
      <c r="J46" s="17"/>
      <c r="K46" s="13"/>
      <c r="L46" s="13"/>
      <c r="M46" s="14"/>
    </row>
    <row r="47" ht="35.65" customHeight="1">
      <c r="A47" t="s" s="78">
        <v>1727</v>
      </c>
      <c r="B47" t="s" s="78">
        <v>1653</v>
      </c>
      <c r="C47" t="s" s="78">
        <v>1721</v>
      </c>
      <c r="D47" t="s" s="78">
        <v>1728</v>
      </c>
      <c r="E47" s="80" cm="1">
        <f t="array" ref="E47">_xlfn.COUNTIFS('Datos - Temas'!$V$5:$V$1264,E$25,'Datos - Temas'!$AP$5:$AP$1264,"*"&amp;$A47&amp;";*")</f>
        <v>0</v>
      </c>
      <c r="F47" s="80" cm="1">
        <f t="array" ref="F47">_xlfn.COUNTIFS('Datos - Temas'!$V$5:$V$1264,F$25,'Datos - Temas'!$AP$5:$AP$1264,"*"&amp;$A47&amp;";*")</f>
        <v>1</v>
      </c>
      <c r="G47" s="80" cm="1">
        <f t="array" ref="G47">_xlfn.COUNTIFS('Datos - Temas'!$V$5:$V$1264,G$25,'Datos - Temas'!$AP$5:$AP$1264,"*"&amp;$A47&amp;";*")</f>
        <v>0</v>
      </c>
      <c r="H47" s="80" cm="1">
        <f t="array" ref="H47">SUM(E47:G47)</f>
        <v>1</v>
      </c>
      <c r="I47" t="str" s="79" cm="1">
        <f t="array" ref="I47">IF(H47=0,"No cubierto",IF(H47=1,"Débil (1 tema)",IF(H47&lt;=3,"Básica (2–3)","Sólida (4+)")))</f>
        <v>Débil (1 tema)</v>
      </c>
      <c r="J47" s="17"/>
      <c r="K47" s="13"/>
      <c r="L47" s="13"/>
      <c r="M47" s="14"/>
    </row>
    <row r="48" ht="24.65" customHeight="1">
      <c r="A48" t="s" s="78">
        <v>1729</v>
      </c>
      <c r="B48" t="s" s="78">
        <v>1653</v>
      </c>
      <c r="C48" t="s" s="78">
        <v>1730</v>
      </c>
      <c r="D48" t="s" s="78">
        <v>1731</v>
      </c>
      <c r="E48" s="80" cm="1">
        <f t="array" ref="E48">_xlfn.COUNTIFS('Datos - Temas'!$V$5:$V$1264,E$25,'Datos - Temas'!$AP$5:$AP$1264,"*"&amp;$A48&amp;";*")</f>
        <v>0</v>
      </c>
      <c r="F48" s="80" cm="1">
        <f t="array" ref="F48">_xlfn.COUNTIFS('Datos - Temas'!$V$5:$V$1264,F$25,'Datos - Temas'!$AP$5:$AP$1264,"*"&amp;$A48&amp;";*")</f>
        <v>0</v>
      </c>
      <c r="G48" s="80" cm="1">
        <f t="array" ref="G48">_xlfn.COUNTIFS('Datos - Temas'!$V$5:$V$1264,G$25,'Datos - Temas'!$AP$5:$AP$1264,"*"&amp;$A48&amp;";*")</f>
        <v>0</v>
      </c>
      <c r="H48" s="80" cm="1">
        <f t="array" ref="H48">SUM(E48:G48)</f>
        <v>0</v>
      </c>
      <c r="I48" t="str" s="79" cm="1">
        <f t="array" ref="I48">IF(H48=0,"No cubierto",IF(H48=1,"Débil (1 tema)",IF(H48&lt;=3,"Básica (2–3)","Sólida (4+)")))</f>
        <v>No cubierto</v>
      </c>
      <c r="J48" s="17"/>
      <c r="K48" s="13"/>
      <c r="L48" s="13"/>
      <c r="M48" s="14"/>
    </row>
    <row r="49" ht="24.65" customHeight="1">
      <c r="A49" t="s" s="78">
        <v>1732</v>
      </c>
      <c r="B49" t="s" s="78">
        <v>1653</v>
      </c>
      <c r="C49" t="s" s="78">
        <v>1730</v>
      </c>
      <c r="D49" t="s" s="78">
        <v>1733</v>
      </c>
      <c r="E49" s="80" cm="1">
        <f t="array" ref="E49">_xlfn.COUNTIFS('Datos - Temas'!$V$5:$V$1264,E$25,'Datos - Temas'!$AP$5:$AP$1264,"*"&amp;$A49&amp;";*")</f>
        <v>0</v>
      </c>
      <c r="F49" s="80" cm="1">
        <f t="array" ref="F49">_xlfn.COUNTIFS('Datos - Temas'!$V$5:$V$1264,F$25,'Datos - Temas'!$AP$5:$AP$1264,"*"&amp;$A49&amp;";*")</f>
        <v>0</v>
      </c>
      <c r="G49" s="80" cm="1">
        <f t="array" ref="G49">_xlfn.COUNTIFS('Datos - Temas'!$V$5:$V$1264,G$25,'Datos - Temas'!$AP$5:$AP$1264,"*"&amp;$A49&amp;";*")</f>
        <v>0</v>
      </c>
      <c r="H49" s="80" cm="1">
        <f t="array" ref="H49">SUM(E49:G49)</f>
        <v>0</v>
      </c>
      <c r="I49" t="str" s="79" cm="1">
        <f t="array" ref="I49">IF(H49=0,"No cubierto",IF(H49=1,"Débil (1 tema)",IF(H49&lt;=3,"Básica (2–3)","Sólida (4+)")))</f>
        <v>No cubierto</v>
      </c>
      <c r="J49" s="17"/>
      <c r="K49" s="13"/>
      <c r="L49" s="13"/>
      <c r="M49" s="14"/>
    </row>
    <row r="50" ht="24.65" customHeight="1">
      <c r="A50" t="s" s="78">
        <v>1734</v>
      </c>
      <c r="B50" t="s" s="78">
        <v>1653</v>
      </c>
      <c r="C50" t="s" s="78">
        <v>1730</v>
      </c>
      <c r="D50" t="s" s="78">
        <v>1735</v>
      </c>
      <c r="E50" s="80" cm="1">
        <f t="array" ref="E50">_xlfn.COUNTIFS('Datos - Temas'!$V$5:$V$1264,E$25,'Datos - Temas'!$AP$5:$AP$1264,"*"&amp;$A50&amp;";*")</f>
        <v>0</v>
      </c>
      <c r="F50" s="80" cm="1">
        <f t="array" ref="F50">_xlfn.COUNTIFS('Datos - Temas'!$V$5:$V$1264,F$25,'Datos - Temas'!$AP$5:$AP$1264,"*"&amp;$A50&amp;";*")</f>
        <v>0</v>
      </c>
      <c r="G50" s="80" cm="1">
        <f t="array" ref="G50">_xlfn.COUNTIFS('Datos - Temas'!$V$5:$V$1264,G$25,'Datos - Temas'!$AP$5:$AP$1264,"*"&amp;$A50&amp;";*")</f>
        <v>0</v>
      </c>
      <c r="H50" s="80" cm="1">
        <f t="array" ref="H50">SUM(E50:G50)</f>
        <v>0</v>
      </c>
      <c r="I50" t="str" s="79" cm="1">
        <f t="array" ref="I50">IF(H50=0,"No cubierto",IF(H50=1,"Débil (1 tema)",IF(H50&lt;=3,"Básica (2–3)","Sólida (4+)")))</f>
        <v>No cubierto</v>
      </c>
      <c r="J50" s="17"/>
      <c r="K50" s="13"/>
      <c r="L50" s="13"/>
      <c r="M50" s="14"/>
    </row>
    <row r="51" ht="24.65" customHeight="1">
      <c r="A51" t="s" s="78">
        <v>1736</v>
      </c>
      <c r="B51" t="s" s="78">
        <v>1653</v>
      </c>
      <c r="C51" t="s" s="78">
        <v>1730</v>
      </c>
      <c r="D51" t="s" s="78">
        <v>1737</v>
      </c>
      <c r="E51" s="80" cm="1">
        <f t="array" ref="E51">_xlfn.COUNTIFS('Datos - Temas'!$V$5:$V$1264,E$25,'Datos - Temas'!$AP$5:$AP$1264,"*"&amp;$A51&amp;";*")</f>
        <v>0</v>
      </c>
      <c r="F51" s="80" cm="1">
        <f t="array" ref="F51">_xlfn.COUNTIFS('Datos - Temas'!$V$5:$V$1264,F$25,'Datos - Temas'!$AP$5:$AP$1264,"*"&amp;$A51&amp;";*")</f>
        <v>0</v>
      </c>
      <c r="G51" s="80" cm="1">
        <f t="array" ref="G51">_xlfn.COUNTIFS('Datos - Temas'!$V$5:$V$1264,G$25,'Datos - Temas'!$AP$5:$AP$1264,"*"&amp;$A51&amp;";*")</f>
        <v>0</v>
      </c>
      <c r="H51" s="80" cm="1">
        <f t="array" ref="H51">SUM(E51:G51)</f>
        <v>0</v>
      </c>
      <c r="I51" t="str" s="79" cm="1">
        <f t="array" ref="I51">IF(H51=0,"No cubierto",IF(H51=1,"Débil (1 tema)",IF(H51&lt;=3,"Básica (2–3)","Sólida (4+)")))</f>
        <v>No cubierto</v>
      </c>
      <c r="J51" s="17"/>
      <c r="K51" s="13"/>
      <c r="L51" s="13"/>
      <c r="M51" s="14"/>
    </row>
    <row r="52" ht="24.65" customHeight="1">
      <c r="A52" t="s" s="78">
        <v>1738</v>
      </c>
      <c r="B52" t="s" s="78">
        <v>1653</v>
      </c>
      <c r="C52" t="s" s="78">
        <v>1730</v>
      </c>
      <c r="D52" t="s" s="78">
        <v>1739</v>
      </c>
      <c r="E52" s="80" cm="1">
        <f t="array" ref="E52">_xlfn.COUNTIFS('Datos - Temas'!$V$5:$V$1264,E$25,'Datos - Temas'!$AP$5:$AP$1264,"*"&amp;$A52&amp;";*")</f>
        <v>0</v>
      </c>
      <c r="F52" s="80" cm="1">
        <f t="array" ref="F52">_xlfn.COUNTIFS('Datos - Temas'!$V$5:$V$1264,F$25,'Datos - Temas'!$AP$5:$AP$1264,"*"&amp;$A52&amp;";*")</f>
        <v>0</v>
      </c>
      <c r="G52" s="80" cm="1">
        <f t="array" ref="G52">_xlfn.COUNTIFS('Datos - Temas'!$V$5:$V$1264,G$25,'Datos - Temas'!$AP$5:$AP$1264,"*"&amp;$A52&amp;";*")</f>
        <v>0</v>
      </c>
      <c r="H52" s="80" cm="1">
        <f t="array" ref="H52">SUM(E52:G52)</f>
        <v>0</v>
      </c>
      <c r="I52" t="str" s="79" cm="1">
        <f t="array" ref="I52">IF(H52=0,"No cubierto",IF(H52=1,"Débil (1 tema)",IF(H52&lt;=3,"Básica (2–3)","Sólida (4+)")))</f>
        <v>No cubierto</v>
      </c>
      <c r="J52" s="17"/>
      <c r="K52" s="13"/>
      <c r="L52" s="13"/>
      <c r="M52" s="14"/>
    </row>
    <row r="53" ht="24.65" customHeight="1">
      <c r="A53" t="s" s="78">
        <v>1740</v>
      </c>
      <c r="B53" t="s" s="78">
        <v>1653</v>
      </c>
      <c r="C53" t="s" s="78">
        <v>1730</v>
      </c>
      <c r="D53" t="s" s="78">
        <v>1741</v>
      </c>
      <c r="E53" s="80" cm="1">
        <f t="array" ref="E53">_xlfn.COUNTIFS('Datos - Temas'!$V$5:$V$1264,E$25,'Datos - Temas'!$AP$5:$AP$1264,"*"&amp;$A53&amp;";*")</f>
        <v>0</v>
      </c>
      <c r="F53" s="80" cm="1">
        <f t="array" ref="F53">_xlfn.COUNTIFS('Datos - Temas'!$V$5:$V$1264,F$25,'Datos - Temas'!$AP$5:$AP$1264,"*"&amp;$A53&amp;";*")</f>
        <v>0</v>
      </c>
      <c r="G53" s="80" cm="1">
        <f t="array" ref="G53">_xlfn.COUNTIFS('Datos - Temas'!$V$5:$V$1264,G$25,'Datos - Temas'!$AP$5:$AP$1264,"*"&amp;$A53&amp;";*")</f>
        <v>0</v>
      </c>
      <c r="H53" s="80" cm="1">
        <f t="array" ref="H53">SUM(E53:G53)</f>
        <v>0</v>
      </c>
      <c r="I53" t="str" s="79" cm="1">
        <f t="array" ref="I53">IF(H53=0,"No cubierto",IF(H53=1,"Débil (1 tema)",IF(H53&lt;=3,"Básica (2–3)","Sólida (4+)")))</f>
        <v>No cubierto</v>
      </c>
      <c r="J53" s="17"/>
      <c r="K53" s="13"/>
      <c r="L53" s="13"/>
      <c r="M53" s="14"/>
    </row>
    <row r="54" ht="13.55" customHeight="1">
      <c r="A54" s="71"/>
      <c r="B54" s="31"/>
      <c r="C54" s="31"/>
      <c r="D54" s="31"/>
      <c r="E54" s="31"/>
      <c r="F54" s="18"/>
      <c r="G54" s="18"/>
      <c r="H54" s="18"/>
      <c r="I54" s="18"/>
      <c r="J54" s="13"/>
      <c r="K54" s="13"/>
      <c r="L54" s="13"/>
      <c r="M54" s="14"/>
    </row>
    <row r="55" ht="30" customHeight="1">
      <c r="A55" t="s" s="34">
        <v>1677</v>
      </c>
      <c r="B55" t="s" s="34">
        <v>1742</v>
      </c>
      <c r="C55" t="s" s="34">
        <v>1743</v>
      </c>
      <c r="D55" t="s" s="34">
        <v>1744</v>
      </c>
      <c r="E55" t="s" s="34">
        <v>1745</v>
      </c>
      <c r="F55" s="17"/>
      <c r="G55" s="13"/>
      <c r="H55" s="13"/>
      <c r="I55" s="13"/>
      <c r="J55" s="13"/>
      <c r="K55" s="13"/>
      <c r="L55" s="13"/>
      <c r="M55" s="14"/>
    </row>
    <row r="56" ht="13.65" customHeight="1">
      <c r="A56" t="s" s="63">
        <v>1652</v>
      </c>
      <c r="B56" s="77" cm="1">
        <f t="array" ref="B56">_xlfn.COUNTIFS($B$26:$B$53,$A56)</f>
        <v>8</v>
      </c>
      <c r="C56" s="77" cm="1">
        <f t="array" ref="C56">_xlfn.COUNTIFS($B$26:$B$53,$A56,$H$26:$H$53,"&gt;0")</f>
        <v>7</v>
      </c>
      <c r="D56" s="65" cm="1">
        <f t="array" ref="D56">IF(B56=0,0,C56/B56)</f>
        <v>0.875</v>
      </c>
      <c r="E56" s="77" cm="1">
        <f t="array" ref="E56">B56-C56</f>
        <v>1</v>
      </c>
      <c r="F56" s="17"/>
      <c r="G56" s="13"/>
      <c r="H56" s="13"/>
      <c r="I56" s="13"/>
      <c r="J56" s="13"/>
      <c r="K56" s="13"/>
      <c r="L56" s="13"/>
      <c r="M56" s="14"/>
    </row>
    <row r="57" ht="13.65" customHeight="1">
      <c r="A57" t="s" s="63">
        <v>1653</v>
      </c>
      <c r="B57" s="77" cm="1">
        <f t="array" ref="B57">_xlfn.COUNTIFS($B$26:$B$53,$A57)</f>
        <v>20</v>
      </c>
      <c r="C57" s="77" cm="1">
        <f t="array" ref="C57">_xlfn.COUNTIFS($B$26:$B$53,$A57,$H$26:$H$53,"&gt;0")</f>
        <v>8</v>
      </c>
      <c r="D57" s="65" cm="1">
        <f t="array" ref="D57">IF(B57=0,0,C57/B57)</f>
        <v>0.4</v>
      </c>
      <c r="E57" s="77" cm="1">
        <f t="array" ref="E57">B57-C57</f>
        <v>12</v>
      </c>
      <c r="F57" s="17"/>
      <c r="G57" s="13"/>
      <c r="H57" s="13"/>
      <c r="I57" s="13"/>
      <c r="J57" s="13"/>
      <c r="K57" s="13"/>
      <c r="L57" s="13"/>
      <c r="M57" s="14"/>
    </row>
    <row r="58" ht="13.55" customHeight="1">
      <c r="A58" s="42"/>
      <c r="B58" s="18"/>
      <c r="C58" s="18"/>
      <c r="D58" s="18"/>
      <c r="E58" s="18"/>
      <c r="F58" s="13"/>
      <c r="G58" s="13"/>
      <c r="H58" s="13"/>
      <c r="I58" s="13"/>
      <c r="J58" s="13"/>
      <c r="K58" s="13"/>
      <c r="L58" s="13"/>
      <c r="M58" s="14"/>
    </row>
    <row r="59" ht="70" customHeight="1">
      <c r="A59" t="s" s="54">
        <v>1746</v>
      </c>
      <c r="B59" s="24"/>
      <c r="C59" s="24"/>
      <c r="D59" s="24"/>
      <c r="E59" s="24"/>
      <c r="F59" s="24"/>
      <c r="G59" s="24"/>
      <c r="H59" s="24"/>
      <c r="I59" s="24"/>
      <c r="J59" s="24"/>
      <c r="K59" s="24"/>
      <c r="L59" s="24"/>
      <c r="M59" s="25"/>
    </row>
  </sheetData>
  <mergeCells count="3">
    <mergeCell ref="A59:L59"/>
    <mergeCell ref="A2:L2"/>
    <mergeCell ref="A9:L9"/>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L33"/>
  <sheetViews>
    <sheetView workbookViewId="0" showGridLines="0" defaultGridColor="1"/>
  </sheetViews>
  <sheetFormatPr defaultColWidth="8.83333" defaultRowHeight="15" customHeight="1" outlineLevelRow="0" outlineLevelCol="0"/>
  <cols>
    <col min="1" max="1" width="40" style="118" customWidth="1"/>
    <col min="2" max="2" width="9" style="118" customWidth="1"/>
    <col min="3" max="3" width="10" style="118" customWidth="1"/>
    <col min="4" max="4" width="12" style="118" customWidth="1"/>
    <col min="5" max="5" width="10" style="118" customWidth="1"/>
    <col min="6" max="7" width="11" style="118" customWidth="1"/>
    <col min="8" max="9" width="13" style="118" customWidth="1"/>
    <col min="10" max="10" width="11" style="118" customWidth="1"/>
    <col min="11" max="11" width="13" style="118" customWidth="1"/>
    <col min="12" max="12" width="8.85156" style="118" customWidth="1"/>
    <col min="13" max="16384" width="8.85156" style="118" customWidth="1"/>
  </cols>
  <sheetData>
    <row r="1" ht="18.5" customHeight="1">
      <c r="A1" t="s" s="27">
        <v>1748</v>
      </c>
      <c r="B1" s="28"/>
      <c r="C1" s="28"/>
      <c r="D1" s="28"/>
      <c r="E1" s="28"/>
      <c r="F1" s="28"/>
      <c r="G1" s="28"/>
      <c r="H1" s="28"/>
      <c r="I1" s="28"/>
      <c r="J1" s="28"/>
      <c r="K1" s="28"/>
      <c r="L1" s="97"/>
    </row>
    <row r="2" ht="68" customHeight="1">
      <c r="A2" t="str" s="29" cm="1">
        <f t="array" ref="A2">"PISA 2025 (7.°–9.°)"&amp;"
"&amp;IF(G16&lt;=0.5,"BIEN · ","OJO · ")&amp;FIXED((G16)*100,0)&amp;" %"&amp;" de los temas no se conectan con una situación real ("&amp;FIXED((G14)*100,0)&amp;" %"&amp;" en 8.°)."&amp;"
"&amp;"● Con contexto, el reparto personal / local / global coincide "&amp;FIXED((K16)*100,0)&amp;" %"&amp;" con el 1:2:1 de PISA."&amp;"
"&amp;"● Área menos trabajada: "&amp;INDEX($A$20:$A$24,MATCH(MIN($E$20:$E$24),$E$20:$E$24,0))&amp;" ("&amp;MIN($E$20:$E$24)&amp;" temas)."</f>
        <v>PISA 2025 (7.°–9.°)
OJO · 64 % de los temas no se conectan con una situación real (86 % en 8.°).
● Con contexto, el reparto personal / local / global coincide 94 % con el 1:2:1 de PISA.
● Área menos trabajada: Riesgos (10 temas).</v>
      </c>
      <c r="B2" s="30"/>
      <c r="C2" s="31"/>
      <c r="D2" s="31"/>
      <c r="E2" s="31"/>
      <c r="F2" s="31"/>
      <c r="G2" s="31"/>
      <c r="H2" s="31"/>
      <c r="I2" s="31"/>
      <c r="J2" s="31"/>
      <c r="K2" s="31"/>
      <c r="L2" s="32"/>
    </row>
    <row r="3" ht="13.55" customHeight="1">
      <c r="A3" s="42"/>
      <c r="B3" s="18"/>
      <c r="C3" s="18"/>
      <c r="D3" s="18"/>
      <c r="E3" s="18"/>
      <c r="F3" s="18"/>
      <c r="G3" s="18"/>
      <c r="H3" s="18"/>
      <c r="I3" s="18"/>
      <c r="J3" s="18"/>
      <c r="K3" s="18"/>
      <c r="L3" s="51"/>
    </row>
    <row r="4" ht="14.6" customHeight="1">
      <c r="A4" t="s" s="43">
        <v>1750</v>
      </c>
      <c r="B4" s="44"/>
      <c r="C4" s="44"/>
      <c r="D4" s="44"/>
      <c r="E4" s="13"/>
      <c r="F4" s="13"/>
      <c r="G4" s="13"/>
      <c r="H4" s="13"/>
      <c r="I4" s="13"/>
      <c r="J4" s="13"/>
      <c r="K4" s="13"/>
      <c r="L4" s="14"/>
    </row>
    <row r="5" ht="32" customHeight="1">
      <c r="A5" s="103"/>
      <c r="B5" t="s" s="34">
        <v>1573</v>
      </c>
      <c r="C5" t="s" s="34">
        <v>1574</v>
      </c>
      <c r="D5" t="s" s="34">
        <v>1575</v>
      </c>
      <c r="E5" s="17"/>
      <c r="F5" s="13"/>
      <c r="G5" s="13"/>
      <c r="H5" s="13"/>
      <c r="I5" s="13"/>
      <c r="J5" s="13"/>
      <c r="K5" s="13"/>
      <c r="L5" s="14"/>
    </row>
    <row r="6" ht="13.65" customHeight="1">
      <c r="A6" t="s" s="35">
        <v>1751</v>
      </c>
      <c r="B6" s="58">
        <v>0.25</v>
      </c>
      <c r="C6" s="58">
        <v>0.25</v>
      </c>
      <c r="D6" s="38" cm="1">
        <f t="array" ref="D6">AVERAGE(B6:C6)/((SUM($B$6:$B$8)+SUM($C$6:$C$8))/2)</f>
        <v>0.25</v>
      </c>
      <c r="E6" s="17"/>
      <c r="F6" s="13"/>
      <c r="G6" s="13"/>
      <c r="H6" s="13"/>
      <c r="I6" s="13"/>
      <c r="J6" s="13"/>
      <c r="K6" s="13"/>
      <c r="L6" s="14"/>
    </row>
    <row r="7" ht="13.65" customHeight="1">
      <c r="A7" t="s" s="35">
        <v>1752</v>
      </c>
      <c r="B7" s="58">
        <v>0.5</v>
      </c>
      <c r="C7" s="58">
        <v>0.5</v>
      </c>
      <c r="D7" s="38" cm="1">
        <f t="array" ref="D7">AVERAGE(B7:C7)/((SUM($B$6:$B$8)+SUM($C$6:$C$8))/2)</f>
        <v>0.5</v>
      </c>
      <c r="E7" s="17"/>
      <c r="F7" s="13"/>
      <c r="G7" s="13"/>
      <c r="H7" s="13"/>
      <c r="I7" s="13"/>
      <c r="J7" s="13"/>
      <c r="K7" s="13"/>
      <c r="L7" s="14"/>
    </row>
    <row r="8" ht="13.65" customHeight="1">
      <c r="A8" t="s" s="35">
        <v>1753</v>
      </c>
      <c r="B8" s="58">
        <v>0.25</v>
      </c>
      <c r="C8" s="58">
        <v>0.25</v>
      </c>
      <c r="D8" s="38" cm="1">
        <f t="array" ref="D8">AVERAGE(B8:C8)/((SUM($B$6:$B$8)+SUM($C$6:$C$8))/2)</f>
        <v>0.25</v>
      </c>
      <c r="E8" s="17"/>
      <c r="F8" s="13"/>
      <c r="G8" s="13"/>
      <c r="H8" s="13"/>
      <c r="I8" s="13"/>
      <c r="J8" s="13"/>
      <c r="K8" s="13"/>
      <c r="L8" s="14"/>
    </row>
    <row r="9" ht="28" customHeight="1">
      <c r="A9" t="s" s="73">
        <v>1754</v>
      </c>
      <c r="B9" s="18"/>
      <c r="C9" s="18"/>
      <c r="D9" s="18"/>
      <c r="E9" s="13"/>
      <c r="F9" s="13"/>
      <c r="G9" s="13"/>
      <c r="H9" s="13"/>
      <c r="I9" s="13"/>
      <c r="J9" s="13"/>
      <c r="K9" s="13"/>
      <c r="L9" s="14"/>
    </row>
    <row r="10" ht="13.55" customHeight="1">
      <c r="A10" s="11"/>
      <c r="B10" s="13"/>
      <c r="C10" s="13"/>
      <c r="D10" s="13"/>
      <c r="E10" s="13"/>
      <c r="F10" s="13"/>
      <c r="G10" s="13"/>
      <c r="H10" s="13"/>
      <c r="I10" s="13"/>
      <c r="J10" s="13"/>
      <c r="K10" s="13"/>
      <c r="L10" s="14"/>
    </row>
    <row r="11" ht="14.6" customHeight="1">
      <c r="A11" t="s" s="43">
        <v>1755</v>
      </c>
      <c r="B11" s="44"/>
      <c r="C11" s="44"/>
      <c r="D11" s="44"/>
      <c r="E11" s="44"/>
      <c r="F11" s="44"/>
      <c r="G11" s="44"/>
      <c r="H11" s="44"/>
      <c r="I11" s="44"/>
      <c r="J11" s="44"/>
      <c r="K11" s="44"/>
      <c r="L11" s="14"/>
    </row>
    <row r="12" ht="48" customHeight="1">
      <c r="A12" t="s" s="34">
        <v>154</v>
      </c>
      <c r="B12" t="s" s="34">
        <v>1390</v>
      </c>
      <c r="C12" t="s" s="34">
        <v>1751</v>
      </c>
      <c r="D12" t="s" s="34">
        <v>1752</v>
      </c>
      <c r="E12" t="s" s="34">
        <v>1753</v>
      </c>
      <c r="F12" t="s" s="34">
        <v>1756</v>
      </c>
      <c r="G12" t="s" s="34">
        <v>1757</v>
      </c>
      <c r="H12" t="s" s="34">
        <v>1758</v>
      </c>
      <c r="I12" t="s" s="34">
        <v>1759</v>
      </c>
      <c r="J12" t="s" s="34">
        <v>1760</v>
      </c>
      <c r="K12" t="s" s="34">
        <v>1761</v>
      </c>
      <c r="L12" s="87"/>
    </row>
    <row r="13" ht="13.65" customHeight="1">
      <c r="A13" t="s" s="35">
        <v>85</v>
      </c>
      <c r="B13" s="36" cm="1">
        <f t="array" ref="B13">_xlfn.COUNTIFS('Datos - Temas'!$V$5:$V$1264,$A13,'Datos - Temas'!$AQ$5:$AQ$1264,"&lt;&gt;")</f>
        <v>91</v>
      </c>
      <c r="C13" s="36" cm="1">
        <f t="array" ref="C13">_xlfn.COUNTIFS('Datos - Temas'!$V$5:$V$1264,$A13,'Datos - Temas'!$AQ$5:$AQ$1264,"Personal")</f>
        <v>8</v>
      </c>
      <c r="D13" s="36" cm="1">
        <f t="array" ref="D13">_xlfn.COUNTIFS('Datos - Temas'!$V$5:$V$1264,$A13,'Datos - Temas'!$AQ$5:$AQ$1264,"Local/nacional")</f>
        <v>39</v>
      </c>
      <c r="E13" s="36" cm="1">
        <f t="array" ref="E13">_xlfn.COUNTIFS('Datos - Temas'!$V$5:$V$1264,$A13,'Datos - Temas'!$AQ$5:$AQ$1264,"Global")</f>
        <v>10</v>
      </c>
      <c r="F13" s="36" cm="1">
        <f t="array" ref="F13">_xlfn.COUNTIFS('Datos - Temas'!$V$5:$V$1264,$A13,'Datos - Temas'!$AQ$5:$AQ$1264,"Sin contexto")</f>
        <v>34</v>
      </c>
      <c r="G13" s="38" cm="1">
        <f t="array" ref="G13">IF(B13=0,0,F13/B13)</f>
        <v>0.373626373626374</v>
      </c>
      <c r="H13" s="38" cm="1">
        <f t="array" ref="H13">IF(SUM($C13:$E13)=0,0,C13/SUM($C13:$E13))</f>
        <v>0.140350877192982</v>
      </c>
      <c r="I13" s="38" cm="1">
        <f t="array" ref="I13">IF(SUM($C13:$E13)=0,0,D13/SUM($C13:$E13))</f>
        <v>0.684210526315789</v>
      </c>
      <c r="J13" s="38" cm="1">
        <f t="array" ref="J13">IF(SUM($C13:$E13)=0,0,E13/SUM($C13:$E13))</f>
        <v>0.175438596491228</v>
      </c>
      <c r="K13" s="38" cm="1">
        <f t="array" ref="K13">1-(ABS(H13-$D$6)+ABS(I13-$D$7)+ABS(J13-$D$8))/2</f>
        <v>0.815789473684211</v>
      </c>
      <c r="L13" s="87"/>
    </row>
    <row r="14" ht="13.65" customHeight="1">
      <c r="A14" t="s" s="35">
        <v>86</v>
      </c>
      <c r="B14" s="36" cm="1">
        <f t="array" ref="B14">_xlfn.COUNTIFS('Datos - Temas'!$V$5:$V$1264,$A14,'Datos - Temas'!$AQ$5:$AQ$1264,"&lt;&gt;")</f>
        <v>93</v>
      </c>
      <c r="C14" s="36" cm="1">
        <f t="array" ref="C14">_xlfn.COUNTIFS('Datos - Temas'!$V$5:$V$1264,$A14,'Datos - Temas'!$AQ$5:$AQ$1264,"Personal")</f>
        <v>8</v>
      </c>
      <c r="D14" s="36" cm="1">
        <f t="array" ref="D14">_xlfn.COUNTIFS('Datos - Temas'!$V$5:$V$1264,$A14,'Datos - Temas'!$AQ$5:$AQ$1264,"Local/nacional")</f>
        <v>3</v>
      </c>
      <c r="E14" s="36" cm="1">
        <f t="array" ref="E14">_xlfn.COUNTIFS('Datos - Temas'!$V$5:$V$1264,$A14,'Datos - Temas'!$AQ$5:$AQ$1264,"Global")</f>
        <v>2</v>
      </c>
      <c r="F14" s="36" cm="1">
        <f t="array" ref="F14">_xlfn.COUNTIFS('Datos - Temas'!$V$5:$V$1264,$A14,'Datos - Temas'!$AQ$5:$AQ$1264,"Sin contexto")</f>
        <v>80</v>
      </c>
      <c r="G14" s="38" cm="1">
        <f t="array" ref="G14">IF(B14=0,0,F14/B14)</f>
        <v>0.860215053763441</v>
      </c>
      <c r="H14" s="38" cm="1">
        <f t="array" ref="H14">IF(SUM($C14:$E14)=0,0,C14/SUM($C14:$E14))</f>
        <v>0.615384615384615</v>
      </c>
      <c r="I14" s="38" cm="1">
        <f t="array" ref="I14">IF(SUM($C14:$E14)=0,0,D14/SUM($C14:$E14))</f>
        <v>0.230769230769231</v>
      </c>
      <c r="J14" s="38" cm="1">
        <f t="array" ref="J14">IF(SUM($C14:$E14)=0,0,E14/SUM($C14:$E14))</f>
        <v>0.153846153846154</v>
      </c>
      <c r="K14" s="38" cm="1">
        <f t="array" ref="K14">1-(ABS(H14-$D$6)+ABS(I14-$D$7)+ABS(J14-$D$8))/2</f>
        <v>0.634615384615385</v>
      </c>
      <c r="L14" s="87"/>
    </row>
    <row r="15" ht="13.65" customHeight="1">
      <c r="A15" t="s" s="35">
        <v>138</v>
      </c>
      <c r="B15" s="36" cm="1">
        <f t="array" ref="B15">_xlfn.COUNTIFS('Datos - Temas'!$V$5:$V$1264,$A15,'Datos - Temas'!$AQ$5:$AQ$1264,"&lt;&gt;")</f>
        <v>90</v>
      </c>
      <c r="C15" s="36" cm="1">
        <f t="array" ref="C15">_xlfn.COUNTIFS('Datos - Temas'!$V$5:$V$1264,$A15,'Datos - Temas'!$AQ$5:$AQ$1264,"Personal")</f>
        <v>11</v>
      </c>
      <c r="D15" s="36" cm="1">
        <f t="array" ref="D15">_xlfn.COUNTIFS('Datos - Temas'!$V$5:$V$1264,$A15,'Datos - Temas'!$AQ$5:$AQ$1264,"Local/nacional")</f>
        <v>10</v>
      </c>
      <c r="E15" s="36" cm="1">
        <f t="array" ref="E15">_xlfn.COUNTIFS('Datos - Temas'!$V$5:$V$1264,$A15,'Datos - Temas'!$AQ$5:$AQ$1264,"Global")</f>
        <v>7</v>
      </c>
      <c r="F15" s="36" cm="1">
        <f t="array" ref="F15">_xlfn.COUNTIFS('Datos - Temas'!$V$5:$V$1264,$A15,'Datos - Temas'!$AQ$5:$AQ$1264,"Sin contexto")</f>
        <v>62</v>
      </c>
      <c r="G15" s="38" cm="1">
        <f t="array" ref="G15">IF(B15=0,0,F15/B15)</f>
        <v>0.688888888888889</v>
      </c>
      <c r="H15" s="38" cm="1">
        <f t="array" ref="H15">IF(SUM($C15:$E15)=0,0,C15/SUM($C15:$E15))</f>
        <v>0.392857142857143</v>
      </c>
      <c r="I15" s="38" cm="1">
        <f t="array" ref="I15">IF(SUM($C15:$E15)=0,0,D15/SUM($C15:$E15))</f>
        <v>0.357142857142857</v>
      </c>
      <c r="J15" s="38" cm="1">
        <f t="array" ref="J15">IF(SUM($C15:$E15)=0,0,E15/SUM($C15:$E15))</f>
        <v>0.25</v>
      </c>
      <c r="K15" s="38" cm="1">
        <f t="array" ref="K15">1-(ABS(H15-$D$6)+ABS(I15-$D$7)+ABS(J15-$D$8))/2</f>
        <v>0.857142857142857</v>
      </c>
      <c r="L15" s="87"/>
    </row>
    <row r="16" ht="13.65" customHeight="1">
      <c r="A16" t="s" s="35">
        <v>139</v>
      </c>
      <c r="B16" s="36" cm="1">
        <f t="array" ref="B16">_xlfn.COUNTIFS('Datos - Temas'!$AV$5:$AV$1264,$A16,'Datos - Temas'!$AQ$5:$AQ$1264,"&lt;&gt;")</f>
        <v>274</v>
      </c>
      <c r="C16" s="36" cm="1">
        <f t="array" ref="C16">_xlfn.COUNTIFS('Datos - Temas'!$AV$5:$AV$1264,$A16,'Datos - Temas'!$AQ$5:$AQ$1264,"Personal")</f>
        <v>27</v>
      </c>
      <c r="D16" s="36" cm="1">
        <f t="array" ref="D16">_xlfn.COUNTIFS('Datos - Temas'!$AV$5:$AV$1264,$A16,'Datos - Temas'!$AQ$5:$AQ$1264,"Local/nacional")</f>
        <v>52</v>
      </c>
      <c r="E16" s="36" cm="1">
        <f t="array" ref="E16">_xlfn.COUNTIFS('Datos - Temas'!$AV$5:$AV$1264,$A16,'Datos - Temas'!$AQ$5:$AQ$1264,"Global")</f>
        <v>19</v>
      </c>
      <c r="F16" s="36" cm="1">
        <f t="array" ref="F16">_xlfn.COUNTIFS('Datos - Temas'!$AV$5:$AV$1264,$A16,'Datos - Temas'!$AQ$5:$AQ$1264,"Sin contexto")</f>
        <v>176</v>
      </c>
      <c r="G16" s="38" cm="1">
        <f t="array" ref="G16">IF(B16=0,0,F16/B16)</f>
        <v>0.642335766423358</v>
      </c>
      <c r="H16" s="38" cm="1">
        <f t="array" ref="H16">IF(SUM($C16:$E16)=0,0,C16/SUM($C16:$E16))</f>
        <v>0.275510204081633</v>
      </c>
      <c r="I16" s="38" cm="1">
        <f t="array" ref="I16">IF(SUM($C16:$E16)=0,0,D16/SUM($C16:$E16))</f>
        <v>0.530612244897959</v>
      </c>
      <c r="J16" s="38" cm="1">
        <f t="array" ref="J16">IF(SUM($C16:$E16)=0,0,E16/SUM($C16:$E16))</f>
        <v>0.193877551020408</v>
      </c>
      <c r="K16" s="38" cm="1">
        <f t="array" ref="K16">1-(ABS(H16-$D$6)+ABS(I16-$D$7)+ABS(J16-$D$8))/2</f>
        <v>0.943877551020408</v>
      </c>
      <c r="L16" s="87"/>
    </row>
    <row r="17" ht="13.55" customHeight="1">
      <c r="A17" s="42"/>
      <c r="B17" s="18"/>
      <c r="C17" s="18"/>
      <c r="D17" s="18"/>
      <c r="E17" s="18"/>
      <c r="F17" s="18"/>
      <c r="G17" s="18"/>
      <c r="H17" s="18"/>
      <c r="I17" s="18"/>
      <c r="J17" s="18"/>
      <c r="K17" s="18"/>
      <c r="L17" s="14"/>
    </row>
    <row r="18" ht="14.6" customHeight="1">
      <c r="A18" t="s" s="43">
        <v>1762</v>
      </c>
      <c r="B18" s="44"/>
      <c r="C18" s="44"/>
      <c r="D18" s="44"/>
      <c r="E18" s="44"/>
      <c r="F18" s="13"/>
      <c r="G18" s="13"/>
      <c r="H18" s="13"/>
      <c r="I18" s="13"/>
      <c r="J18" s="13"/>
      <c r="K18" s="13"/>
      <c r="L18" s="14"/>
    </row>
    <row r="19" ht="30" customHeight="1">
      <c r="A19" t="s" s="34">
        <v>1763</v>
      </c>
      <c r="B19" t="s" s="34">
        <v>85</v>
      </c>
      <c r="C19" t="s" s="34">
        <v>86</v>
      </c>
      <c r="D19" t="s" s="34">
        <v>138</v>
      </c>
      <c r="E19" t="s" s="34">
        <v>1529</v>
      </c>
      <c r="F19" s="17"/>
      <c r="G19" s="13"/>
      <c r="H19" s="13"/>
      <c r="I19" s="13"/>
      <c r="J19" s="13"/>
      <c r="K19" s="13"/>
      <c r="L19" s="14"/>
    </row>
    <row r="20" ht="13.65" customHeight="1">
      <c r="A20" t="s" s="35">
        <v>1764</v>
      </c>
      <c r="B20" s="36" cm="1">
        <f t="array" ref="B20">_xlfn.COUNTIFS('Datos - Temas'!$V$5:$V$1264,B$19,'Datos - Temas'!$AR$5:$AR$1264,$A20)</f>
        <v>5</v>
      </c>
      <c r="C20" s="36" cm="1">
        <f t="array" ref="C20">_xlfn.COUNTIFS('Datos - Temas'!$V$5:$V$1264,C$19,'Datos - Temas'!$AR$5:$AR$1264,$A20)</f>
        <v>4</v>
      </c>
      <c r="D20" s="36" cm="1">
        <f t="array" ref="D20">_xlfn.COUNTIFS('Datos - Temas'!$V$5:$V$1264,D$19,'Datos - Temas'!$AR$5:$AR$1264,$A20)</f>
        <v>3</v>
      </c>
      <c r="E20" s="36" cm="1">
        <f t="array" ref="E20">SUM(B20:D20)</f>
        <v>12</v>
      </c>
      <c r="F20" s="17"/>
      <c r="G20" s="13"/>
      <c r="H20" s="13"/>
      <c r="I20" s="13"/>
      <c r="J20" s="13"/>
      <c r="K20" s="13"/>
      <c r="L20" s="14"/>
    </row>
    <row r="21" ht="13.65" customHeight="1">
      <c r="A21" t="s" s="35">
        <v>1765</v>
      </c>
      <c r="B21" s="36" cm="1">
        <f t="array" ref="B21">_xlfn.COUNTIFS('Datos - Temas'!$V$5:$V$1264,B$19,'Datos - Temas'!$AR$5:$AR$1264,$A21)</f>
        <v>31</v>
      </c>
      <c r="C21" s="36" cm="1">
        <f t="array" ref="C21">_xlfn.COUNTIFS('Datos - Temas'!$V$5:$V$1264,C$19,'Datos - Temas'!$AR$5:$AR$1264,$A21)</f>
        <v>3</v>
      </c>
      <c r="D21" s="36" cm="1">
        <f t="array" ref="D21">_xlfn.COUNTIFS('Datos - Temas'!$V$5:$V$1264,D$19,'Datos - Temas'!$AR$5:$AR$1264,$A21)</f>
        <v>5</v>
      </c>
      <c r="E21" s="36" cm="1">
        <f t="array" ref="E21">SUM(B21:D21)</f>
        <v>39</v>
      </c>
      <c r="F21" s="17"/>
      <c r="G21" s="13"/>
      <c r="H21" s="13"/>
      <c r="I21" s="13"/>
      <c r="J21" s="13"/>
      <c r="K21" s="13"/>
      <c r="L21" s="14"/>
    </row>
    <row r="22" ht="13.65" customHeight="1">
      <c r="A22" t="s" s="35">
        <v>1766</v>
      </c>
      <c r="B22" s="36" cm="1">
        <f t="array" ref="B22">_xlfn.COUNTIFS('Datos - Temas'!$V$5:$V$1264,B$19,'Datos - Temas'!$AR$5:$AR$1264,$A22)</f>
        <v>9</v>
      </c>
      <c r="C22" s="36" cm="1">
        <f t="array" ref="C22">_xlfn.COUNTIFS('Datos - Temas'!$V$5:$V$1264,C$19,'Datos - Temas'!$AR$5:$AR$1264,$A22)</f>
        <v>1</v>
      </c>
      <c r="D22" s="36" cm="1">
        <f t="array" ref="D22">_xlfn.COUNTIFS('Datos - Temas'!$V$5:$V$1264,D$19,'Datos - Temas'!$AR$5:$AR$1264,$A22)</f>
        <v>2</v>
      </c>
      <c r="E22" s="36" cm="1">
        <f t="array" ref="E22">SUM(B22:D22)</f>
        <v>12</v>
      </c>
      <c r="F22" s="17"/>
      <c r="G22" s="13"/>
      <c r="H22" s="13"/>
      <c r="I22" s="13"/>
      <c r="J22" s="13"/>
      <c r="K22" s="13"/>
      <c r="L22" s="14"/>
    </row>
    <row r="23" ht="13.65" customHeight="1">
      <c r="A23" t="s" s="35">
        <v>1767</v>
      </c>
      <c r="B23" s="36" cm="1">
        <f t="array" ref="B23">_xlfn.COUNTIFS('Datos - Temas'!$V$5:$V$1264,B$19,'Datos - Temas'!$AR$5:$AR$1264,$A23)</f>
        <v>3</v>
      </c>
      <c r="C23" s="36" cm="1">
        <f t="array" ref="C23">_xlfn.COUNTIFS('Datos - Temas'!$V$5:$V$1264,C$19,'Datos - Temas'!$AR$5:$AR$1264,$A23)</f>
        <v>0</v>
      </c>
      <c r="D23" s="36" cm="1">
        <f t="array" ref="D23">_xlfn.COUNTIFS('Datos - Temas'!$V$5:$V$1264,D$19,'Datos - Temas'!$AR$5:$AR$1264,$A23)</f>
        <v>7</v>
      </c>
      <c r="E23" s="36" cm="1">
        <f t="array" ref="E23">SUM(B23:D23)</f>
        <v>10</v>
      </c>
      <c r="F23" s="17"/>
      <c r="G23" s="13"/>
      <c r="H23" s="13"/>
      <c r="I23" s="13"/>
      <c r="J23" s="13"/>
      <c r="K23" s="13"/>
      <c r="L23" s="14"/>
    </row>
    <row r="24" ht="13.65" customHeight="1">
      <c r="A24" t="s" s="35">
        <v>1768</v>
      </c>
      <c r="B24" s="36" cm="1">
        <f t="array" ref="B24">_xlfn.COUNTIFS('Datos - Temas'!$V$5:$V$1264,B$19,'Datos - Temas'!$AR$5:$AR$1264,$A24)</f>
        <v>9</v>
      </c>
      <c r="C24" s="36" cm="1">
        <f t="array" ref="C24">_xlfn.COUNTIFS('Datos - Temas'!$V$5:$V$1264,C$19,'Datos - Temas'!$AR$5:$AR$1264,$A24)</f>
        <v>5</v>
      </c>
      <c r="D24" s="36" cm="1">
        <f t="array" ref="D24">_xlfn.COUNTIFS('Datos - Temas'!$V$5:$V$1264,D$19,'Datos - Temas'!$AR$5:$AR$1264,$A24)</f>
        <v>6</v>
      </c>
      <c r="E24" s="36" cm="1">
        <f t="array" ref="E24">SUM(B24:D24)</f>
        <v>20</v>
      </c>
      <c r="F24" s="17"/>
      <c r="G24" s="13"/>
      <c r="H24" s="13"/>
      <c r="I24" s="13"/>
      <c r="J24" s="13"/>
      <c r="K24" s="13"/>
      <c r="L24" s="14"/>
    </row>
    <row r="25" ht="13.55" customHeight="1">
      <c r="A25" s="42"/>
      <c r="B25" s="18"/>
      <c r="C25" s="18"/>
      <c r="D25" s="18"/>
      <c r="E25" s="18"/>
      <c r="F25" s="13"/>
      <c r="G25" s="13"/>
      <c r="H25" s="13"/>
      <c r="I25" s="13"/>
      <c r="J25" s="13"/>
      <c r="K25" s="13"/>
      <c r="L25" s="14"/>
    </row>
    <row r="26" ht="14.6" customHeight="1">
      <c r="A26" t="s" s="43">
        <v>1769</v>
      </c>
      <c r="B26" s="44"/>
      <c r="C26" s="44"/>
      <c r="D26" s="44"/>
      <c r="E26" s="44"/>
      <c r="F26" s="44"/>
      <c r="G26" s="44"/>
      <c r="H26" s="44"/>
      <c r="I26" s="44"/>
      <c r="J26" s="13"/>
      <c r="K26" s="13"/>
      <c r="L26" s="14"/>
    </row>
    <row r="27" ht="40" customHeight="1">
      <c r="A27" t="s" s="34">
        <v>154</v>
      </c>
      <c r="B27" t="s" s="34">
        <v>1390</v>
      </c>
      <c r="C27" t="s" s="34">
        <v>1770</v>
      </c>
      <c r="D27" t="s" s="34">
        <v>1771</v>
      </c>
      <c r="E27" t="s" s="34">
        <v>1772</v>
      </c>
      <c r="F27" t="s" s="34">
        <v>1773</v>
      </c>
      <c r="G27" t="s" s="34">
        <v>1774</v>
      </c>
      <c r="H27" t="s" s="34">
        <v>1775</v>
      </c>
      <c r="I27" t="s" s="34">
        <v>1776</v>
      </c>
      <c r="J27" s="17"/>
      <c r="K27" s="13"/>
      <c r="L27" s="14"/>
    </row>
    <row r="28" ht="13.65" customHeight="1">
      <c r="A28" t="s" s="35">
        <v>85</v>
      </c>
      <c r="B28" s="36" cm="1">
        <f t="array" ref="B28">_xlfn.COUNTIFS('Datos - Temas'!$V$5:$V$1264,$A28,'Datos - Temas'!$AS$5:$AS$1264,"&lt;&gt;")</f>
        <v>91</v>
      </c>
      <c r="C28" s="36" cm="1">
        <f t="array" ref="C28">_xlfn.COUNTIFS('Datos - Temas'!$V$5:$V$1264,$A28,'Datos - Temas'!$AS$5:$AS$1264,"Baja")</f>
        <v>18</v>
      </c>
      <c r="D28" s="36" cm="1">
        <f t="array" ref="D28">_xlfn.COUNTIFS('Datos - Temas'!$V$5:$V$1264,$A28,'Datos - Temas'!$AS$5:$AS$1264,"Media")</f>
        <v>70</v>
      </c>
      <c r="E28" s="36" cm="1">
        <f t="array" ref="E28">_xlfn.COUNTIFS('Datos - Temas'!$V$5:$V$1264,$A28,'Datos - Temas'!$AS$5:$AS$1264,"Alta")</f>
        <v>3</v>
      </c>
      <c r="F28" s="38" cm="1">
        <f t="array" ref="F28">IF($B28=0,0,C28/$B28)</f>
        <v>0.197802197802198</v>
      </c>
      <c r="G28" s="38" cm="1">
        <f t="array" ref="G28">IF($B28=0,0,D28/$B28)</f>
        <v>0.7692307692307691</v>
      </c>
      <c r="H28" s="38" cm="1">
        <f t="array" ref="H28">IF($B28=0,0,E28/$B28)</f>
        <v>0.032967032967033</v>
      </c>
      <c r="I28" s="38" cm="1">
        <f t="array" ref="I28">IF(_xlfn.COUNTIFS('Datos - Temas'!$V$5:$V$1264,$A28,'Datos - Temas'!$C$5:$C$1264,"Ciencias")=0,0,_xlfn.SUMIFS('Datos - Temas'!$U$5:$U$1264,'Datos - Temas'!$V$5:$V$1264,$A28,'Datos - Temas'!$C$5:$C$1264,"Ciencias")/_xlfn.COUNTIFS('Datos - Temas'!$V$5:$V$1264,$A28,'Datos - Temas'!$C$5:$C$1264,"Ciencias"))</f>
        <v>0.285714285714286</v>
      </c>
      <c r="J28" s="17"/>
      <c r="K28" s="13"/>
      <c r="L28" s="14"/>
    </row>
    <row r="29" ht="13.65" customHeight="1">
      <c r="A29" t="s" s="35">
        <v>86</v>
      </c>
      <c r="B29" s="36" cm="1">
        <f t="array" ref="B29">_xlfn.COUNTIFS('Datos - Temas'!$V$5:$V$1264,$A29,'Datos - Temas'!$AS$5:$AS$1264,"&lt;&gt;")</f>
        <v>93</v>
      </c>
      <c r="C29" s="36" cm="1">
        <f t="array" ref="C29">_xlfn.COUNTIFS('Datos - Temas'!$V$5:$V$1264,$A29,'Datos - Temas'!$AS$5:$AS$1264,"Baja")</f>
        <v>32</v>
      </c>
      <c r="D29" s="36" cm="1">
        <f t="array" ref="D29">_xlfn.COUNTIFS('Datos - Temas'!$V$5:$V$1264,$A29,'Datos - Temas'!$AS$5:$AS$1264,"Media")</f>
        <v>57</v>
      </c>
      <c r="E29" s="36" cm="1">
        <f t="array" ref="E29">_xlfn.COUNTIFS('Datos - Temas'!$V$5:$V$1264,$A29,'Datos - Temas'!$AS$5:$AS$1264,"Alta")</f>
        <v>4</v>
      </c>
      <c r="F29" s="38" cm="1">
        <f t="array" ref="F29">IF($B29=0,0,C29/$B29)</f>
        <v>0.344086021505376</v>
      </c>
      <c r="G29" s="38" cm="1">
        <f t="array" ref="G29">IF($B29=0,0,D29/$B29)</f>
        <v>0.612903225806452</v>
      </c>
      <c r="H29" s="38" cm="1">
        <f t="array" ref="H29">IF($B29=0,0,E29/$B29)</f>
        <v>0.043010752688172</v>
      </c>
      <c r="I29" s="38" cm="1">
        <f t="array" ref="I29">IF(_xlfn.COUNTIFS('Datos - Temas'!$V$5:$V$1264,$A29,'Datos - Temas'!$C$5:$C$1264,"Ciencias")=0,0,_xlfn.SUMIFS('Datos - Temas'!$U$5:$U$1264,'Datos - Temas'!$V$5:$V$1264,$A29,'Datos - Temas'!$C$5:$C$1264,"Ciencias")/_xlfn.COUNTIFS('Datos - Temas'!$V$5:$V$1264,$A29,'Datos - Temas'!$C$5:$C$1264,"Ciencias"))</f>
        <v>0.209677419354839</v>
      </c>
      <c r="J29" s="17"/>
      <c r="K29" s="13"/>
      <c r="L29" s="14"/>
    </row>
    <row r="30" ht="13.65" customHeight="1">
      <c r="A30" t="s" s="35">
        <v>138</v>
      </c>
      <c r="B30" s="36" cm="1">
        <f t="array" ref="B30">_xlfn.COUNTIFS('Datos - Temas'!$V$5:$V$1264,$A30,'Datos - Temas'!$AS$5:$AS$1264,"&lt;&gt;")</f>
        <v>90</v>
      </c>
      <c r="C30" s="36" cm="1">
        <f t="array" ref="C30">_xlfn.COUNTIFS('Datos - Temas'!$V$5:$V$1264,$A30,'Datos - Temas'!$AS$5:$AS$1264,"Baja")</f>
        <v>20</v>
      </c>
      <c r="D30" s="36" cm="1">
        <f t="array" ref="D30">_xlfn.COUNTIFS('Datos - Temas'!$V$5:$V$1264,$A30,'Datos - Temas'!$AS$5:$AS$1264,"Media")</f>
        <v>67</v>
      </c>
      <c r="E30" s="36" cm="1">
        <f t="array" ref="E30">_xlfn.COUNTIFS('Datos - Temas'!$V$5:$V$1264,$A30,'Datos - Temas'!$AS$5:$AS$1264,"Alta")</f>
        <v>3</v>
      </c>
      <c r="F30" s="38" cm="1">
        <f t="array" ref="F30">IF($B30=0,0,C30/$B30)</f>
        <v>0.222222222222222</v>
      </c>
      <c r="G30" s="38" cm="1">
        <f t="array" ref="G30">IF($B30=0,0,D30/$B30)</f>
        <v>0.744444444444444</v>
      </c>
      <c r="H30" s="38" cm="1">
        <f t="array" ref="H30">IF($B30=0,0,E30/$B30)</f>
        <v>0.0333333333333333</v>
      </c>
      <c r="I30" s="38" cm="1">
        <f t="array" ref="I30">IF(_xlfn.COUNTIFS('Datos - Temas'!$V$5:$V$1264,$A30,'Datos - Temas'!$C$5:$C$1264,"Ciencias")=0,0,_xlfn.SUMIFS('Datos - Temas'!$U$5:$U$1264,'Datos - Temas'!$V$5:$V$1264,$A30,'Datos - Temas'!$C$5:$C$1264,"Ciencias")/_xlfn.COUNTIFS('Datos - Temas'!$V$5:$V$1264,$A30,'Datos - Temas'!$C$5:$C$1264,"Ciencias"))</f>
        <v>0.177777777777778</v>
      </c>
      <c r="J30" s="17"/>
      <c r="K30" s="13"/>
      <c r="L30" s="14"/>
    </row>
    <row r="31" ht="13.65" customHeight="1">
      <c r="A31" t="s" s="35">
        <v>139</v>
      </c>
      <c r="B31" s="36" cm="1">
        <f t="array" ref="B31">_xlfn.COUNTIFS('Datos - Temas'!$AV$5:$AV$1264,$A31,'Datos - Temas'!$AS$5:$AS$1264,"&lt;&gt;")</f>
        <v>274</v>
      </c>
      <c r="C31" s="36" cm="1">
        <f t="array" ref="C31">_xlfn.COUNTIFS('Datos - Temas'!$AV$5:$AV$1264,$A31,'Datos - Temas'!$AS$5:$AS$1264,"Baja")</f>
        <v>70</v>
      </c>
      <c r="D31" s="36" cm="1">
        <f t="array" ref="D31">_xlfn.COUNTIFS('Datos - Temas'!$AV$5:$AV$1264,$A31,'Datos - Temas'!$AS$5:$AS$1264,"Media")</f>
        <v>194</v>
      </c>
      <c r="E31" s="36" cm="1">
        <f t="array" ref="E31">_xlfn.COUNTIFS('Datos - Temas'!$AV$5:$AV$1264,$A31,'Datos - Temas'!$AS$5:$AS$1264,"Alta")</f>
        <v>10</v>
      </c>
      <c r="F31" s="38" cm="1">
        <f t="array" ref="F31">IF($B31=0,0,C31/$B31)</f>
        <v>0.255474452554745</v>
      </c>
      <c r="G31" s="38" cm="1">
        <f t="array" ref="G31">IF($B31=0,0,D31/$B31)</f>
        <v>0.708029197080292</v>
      </c>
      <c r="H31" s="38" cm="1">
        <f t="array" ref="H31">IF($B31=0,0,E31/$B31)</f>
        <v>0.0364963503649635</v>
      </c>
      <c r="I31" s="38" cm="1">
        <f t="array" ref="I31">IF(_xlfn.COUNTIFS('Datos - Temas'!$AV$5:$AV$1264,$A31,'Datos - Temas'!$C$5:$C$1264,"Ciencias")=0,0,_xlfn.SUMIFS('Datos - Temas'!$U$5:$U$1264,'Datos - Temas'!$AV$5:$AV$1264,$A31,'Datos - Temas'!$C$5:$C$1264,"Ciencias")/_xlfn.COUNTIFS('Datos - Temas'!$AV$5:$AV$1264,$A31,'Datos - Temas'!$C$5:$C$1264,"Ciencias"))</f>
        <v>0.224452554744526</v>
      </c>
      <c r="J31" s="17"/>
      <c r="K31" s="13"/>
      <c r="L31" s="14"/>
    </row>
    <row r="32" ht="13.55" customHeight="1">
      <c r="A32" s="42"/>
      <c r="B32" s="18"/>
      <c r="C32" s="18"/>
      <c r="D32" s="18"/>
      <c r="E32" s="18"/>
      <c r="F32" s="18"/>
      <c r="G32" s="18"/>
      <c r="H32" s="18"/>
      <c r="I32" s="18"/>
      <c r="J32" s="13"/>
      <c r="K32" s="13"/>
      <c r="L32" s="14"/>
    </row>
    <row r="33" ht="70" customHeight="1">
      <c r="A33" t="s" s="54">
        <v>1777</v>
      </c>
      <c r="B33" s="24"/>
      <c r="C33" s="24"/>
      <c r="D33" s="24"/>
      <c r="E33" s="24"/>
      <c r="F33" s="24"/>
      <c r="G33" s="24"/>
      <c r="H33" s="24"/>
      <c r="I33" s="24"/>
      <c r="J33" s="24"/>
      <c r="K33" s="24"/>
      <c r="L33" s="25"/>
    </row>
  </sheetData>
  <mergeCells count="3">
    <mergeCell ref="A33:L33"/>
    <mergeCell ref="A2:L2"/>
    <mergeCell ref="A9:L9"/>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AW1266"/>
  <sheetViews>
    <sheetView workbookViewId="0" showGridLines="0" defaultGridColor="1"/>
  </sheetViews>
  <sheetFormatPr defaultColWidth="8.83333" defaultRowHeight="15" customHeight="1" outlineLevelRow="0" outlineLevelCol="0"/>
  <cols>
    <col min="1" max="1" width="17" style="119" customWidth="1"/>
    <col min="2" max="2" width="7" style="119" customWidth="1"/>
    <col min="3" max="3" width="10" style="119" customWidth="1"/>
    <col min="4" max="4" width="30" style="119" customWidth="1"/>
    <col min="5" max="5" width="22" style="119" customWidth="1"/>
    <col min="6" max="6" width="6" style="119" customWidth="1"/>
    <col min="7" max="7" width="28" style="119" customWidth="1"/>
    <col min="8" max="8" width="26" style="119" customWidth="1"/>
    <col min="9" max="9" width="55" style="119" customWidth="1"/>
    <col min="10" max="10" width="9" style="119" customWidth="1"/>
    <col min="11" max="12" width="13" style="119" customWidth="1"/>
    <col min="13" max="13" width="22" style="119" customWidth="1"/>
    <col min="14" max="14" width="32" style="119" customWidth="1"/>
    <col min="15" max="15" width="20" style="119" customWidth="1"/>
    <col min="16" max="16" width="10" style="119" customWidth="1"/>
    <col min="17" max="18" width="45" style="119" customWidth="1"/>
    <col min="19" max="21" width="9" style="119" customWidth="1"/>
    <col min="22" max="22" width="12" style="119" customWidth="1"/>
    <col min="23" max="23" width="15" style="119" customWidth="1"/>
    <col min="24" max="24" width="11" style="119" customWidth="1"/>
    <col min="25" max="26" width="12" style="119" customWidth="1"/>
    <col min="27" max="28" width="13" style="119" customWidth="1"/>
    <col min="29" max="29" width="22" style="119" customWidth="1"/>
    <col min="30" max="30" width="40" style="119" customWidth="1"/>
    <col min="31" max="36" width="9" style="119" customWidth="1"/>
    <col min="37" max="38" width="11" style="119" customWidth="1"/>
    <col min="39" max="39" width="22" style="119" customWidth="1"/>
    <col min="40" max="40" width="14" style="119" customWidth="1"/>
    <col min="41" max="42" width="18" style="119" customWidth="1"/>
    <col min="43" max="43" width="14" style="119" customWidth="1"/>
    <col min="44" max="44" width="22" style="119" customWidth="1"/>
    <col min="45" max="45" width="11" style="119" customWidth="1"/>
    <col min="46" max="46" width="10" style="119" customWidth="1"/>
    <col min="47" max="47" width="40" style="119" customWidth="1"/>
    <col min="48" max="48" width="12" style="119" customWidth="1"/>
    <col min="49" max="49" width="18" style="119" customWidth="1"/>
    <col min="50" max="16384" width="8.85156" style="119" customWidth="1"/>
  </cols>
  <sheetData>
    <row r="1" ht="18.5" customHeight="1">
      <c r="A1" t="s" s="27">
        <v>1779</v>
      </c>
      <c r="B1" s="28"/>
      <c r="C1" s="28"/>
      <c r="D1" s="28"/>
      <c r="E1" s="28"/>
      <c r="F1" s="28"/>
      <c r="G1" s="28"/>
      <c r="H1" s="28"/>
      <c r="I1" s="28"/>
      <c r="J1" s="28"/>
      <c r="K1" s="28"/>
      <c r="L1" s="28"/>
      <c r="M1" s="28"/>
      <c r="N1" s="28"/>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10"/>
    </row>
    <row r="2" ht="68" customHeight="1">
      <c r="A2" t="str" s="29" cm="1">
        <f t="array" ref="A2">"TIMSS 2027 (columnas K–AC) y PISA 2025 (columnas AD–AW)"&amp;"
"&amp;"● Un tema por fila: "&amp;COUNTA($A$5:$A$1264)&amp;" en total; "&amp;(COUNTA($K$5:$K$1264)-COUNTIF($K$5:$K$1264,"N/A"))&amp;" con clasificación TIMSS y "&amp;COUNTA($AK$5:$AK$1264)&amp;" con PISA (7.°–9.°)."&amp;"
"&amp;"● Confianza baja (para revisar primero): "&amp;COUNTIF($P$5:$P$1264,"baja")&amp;" en TIMSS (incluye Física de Bachillerato) y "&amp;COUNTIF($AT$5:$AT$1264,"baja")&amp;" en PISA."&amp;"
"&amp;"→ Cambia un código en K–L (TIMSS) o AK–AL (PISA) y todo el libro se recalcula."</f>
        <v>TIMSS 2027 (columnas K–AC) y PISA 2025 (columnas AD–AW)
● Un tema por fila: 1260 en total; 889 con clasificación TIMSS y 274 con PISA (7.°–9.°).
● Confianza baja (para revisar primero): 109 en TIMSS (incluye Física de Bachillerato) y 6 en PISA.
→ Cambia un código en K–L (TIMSS) o AK–AL (PISA) y todo el libro se recalcula.</v>
      </c>
      <c r="B2" s="30"/>
      <c r="C2" s="31"/>
      <c r="D2" s="31"/>
      <c r="E2" s="31"/>
      <c r="F2" s="31"/>
      <c r="G2" s="31"/>
      <c r="H2" s="31"/>
      <c r="I2" s="31"/>
      <c r="J2" s="31"/>
      <c r="K2" s="31"/>
      <c r="L2" s="31"/>
      <c r="M2" s="31"/>
      <c r="N2" s="32"/>
      <c r="O2" s="17"/>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4"/>
    </row>
    <row r="3" ht="13.55" customHeight="1">
      <c r="A3" s="71"/>
      <c r="B3" s="31"/>
      <c r="C3" s="31"/>
      <c r="D3" s="31"/>
      <c r="E3" s="31"/>
      <c r="F3" s="31"/>
      <c r="G3" s="31"/>
      <c r="H3" s="31"/>
      <c r="I3" s="31"/>
      <c r="J3" s="31"/>
      <c r="K3" s="31"/>
      <c r="L3" s="31"/>
      <c r="M3" s="31"/>
      <c r="N3" s="31"/>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5"/>
    </row>
    <row r="4" ht="54" customHeight="1">
      <c r="A4" t="s" s="34">
        <v>1781</v>
      </c>
      <c r="B4" t="s" s="34">
        <v>173</v>
      </c>
      <c r="C4" t="s" s="34">
        <v>1782</v>
      </c>
      <c r="D4" t="s" s="34">
        <v>1783</v>
      </c>
      <c r="E4" t="s" s="34">
        <v>1784</v>
      </c>
      <c r="F4" t="s" s="34">
        <v>1785</v>
      </c>
      <c r="G4" t="s" s="34">
        <v>237</v>
      </c>
      <c r="H4" t="s" s="34">
        <v>1651</v>
      </c>
      <c r="I4" t="s" s="34">
        <v>1786</v>
      </c>
      <c r="J4" t="s" s="34">
        <v>155</v>
      </c>
      <c r="K4" t="s" s="34">
        <v>1787</v>
      </c>
      <c r="L4" t="s" s="34">
        <v>1788</v>
      </c>
      <c r="M4" t="s" s="34">
        <v>1789</v>
      </c>
      <c r="N4" t="s" s="34">
        <v>1790</v>
      </c>
      <c r="O4" t="s" s="34">
        <v>1791</v>
      </c>
      <c r="P4" t="s" s="34">
        <v>242</v>
      </c>
      <c r="Q4" t="s" s="34">
        <v>1792</v>
      </c>
      <c r="R4" t="s" s="34">
        <v>1793</v>
      </c>
      <c r="S4" t="s" s="34">
        <v>1794</v>
      </c>
      <c r="T4" t="s" s="34">
        <v>1795</v>
      </c>
      <c r="U4" t="s" s="34">
        <v>1796</v>
      </c>
      <c r="V4" t="s" s="34">
        <v>56</v>
      </c>
      <c r="W4" t="s" s="34">
        <v>94</v>
      </c>
      <c r="X4" t="s" s="34">
        <v>1797</v>
      </c>
      <c r="Y4" t="s" s="34">
        <v>1798</v>
      </c>
      <c r="Z4" t="s" s="34">
        <v>1799</v>
      </c>
      <c r="AA4" t="s" s="34">
        <v>1800</v>
      </c>
      <c r="AB4" t="s" s="34">
        <v>1801</v>
      </c>
      <c r="AC4" t="s" s="34">
        <v>1802</v>
      </c>
      <c r="AD4" t="s" s="34">
        <v>1803</v>
      </c>
      <c r="AE4" t="s" s="34">
        <v>1804</v>
      </c>
      <c r="AF4" t="s" s="34">
        <v>1805</v>
      </c>
      <c r="AG4" t="s" s="34">
        <v>1806</v>
      </c>
      <c r="AH4" t="s" s="34">
        <v>1807</v>
      </c>
      <c r="AI4" t="s" s="34">
        <v>1808</v>
      </c>
      <c r="AJ4" t="s" s="34">
        <v>1809</v>
      </c>
      <c r="AK4" t="s" s="34">
        <v>1810</v>
      </c>
      <c r="AL4" t="s" s="34">
        <v>1811</v>
      </c>
      <c r="AM4" t="s" s="34">
        <v>1812</v>
      </c>
      <c r="AN4" t="s" s="34">
        <v>1813</v>
      </c>
      <c r="AO4" t="s" s="34">
        <v>1814</v>
      </c>
      <c r="AP4" t="s" s="34">
        <v>1815</v>
      </c>
      <c r="AQ4" t="s" s="34">
        <v>1816</v>
      </c>
      <c r="AR4" t="s" s="34">
        <v>1763</v>
      </c>
      <c r="AS4" t="s" s="34">
        <v>1817</v>
      </c>
      <c r="AT4" t="s" s="34">
        <v>1818</v>
      </c>
      <c r="AU4" t="s" s="34">
        <v>1819</v>
      </c>
      <c r="AV4" t="s" s="34">
        <v>1820</v>
      </c>
      <c r="AW4" t="s" s="34">
        <v>1821</v>
      </c>
    </row>
    <row r="5" ht="13.65" customHeight="1">
      <c r="A5" t="s" s="35">
        <v>1822</v>
      </c>
      <c r="B5" s="36">
        <v>2</v>
      </c>
      <c r="C5" t="s" s="35">
        <v>1823</v>
      </c>
      <c r="D5" t="s" s="35">
        <v>1824</v>
      </c>
      <c r="E5" t="s" s="35">
        <v>1825</v>
      </c>
      <c r="F5" s="36">
        <v>3</v>
      </c>
      <c r="G5" t="s" s="35">
        <v>1826</v>
      </c>
      <c r="H5" t="s" s="35">
        <v>1827</v>
      </c>
      <c r="I5" t="s" s="120">
        <v>1828</v>
      </c>
      <c r="J5" t="s" s="35">
        <v>1055</v>
      </c>
      <c r="K5" t="s" s="35">
        <v>1136</v>
      </c>
      <c r="L5" s="39"/>
      <c r="M5" t="str" s="39">
        <v>Ciencias físicas</v>
      </c>
      <c r="N5" t="str" s="39">
        <v>Investigaciones en ciencias físicas</v>
      </c>
      <c r="O5" t="str" s="39" cm="1">
        <f t="array" ref="O5">IF(L5="","",_xlfn.IFERROR(INDEX('Datos - Catálogo TIMSS'!$C$5:$C$107,MATCH(L5,'Datos - Catálogo TIMSS'!$A$5:$A$107,0)),"?"))</f>
      </c>
      <c r="P5" t="s" s="35">
        <v>282</v>
      </c>
      <c r="Q5" t="s" s="120">
        <v>1830</v>
      </c>
      <c r="R5" t="s" s="120">
        <v>1831</v>
      </c>
      <c r="S5" s="121" cm="1">
        <f t="array" ref="S5">_xlfn.IFERROR(ISNUMBER(SEARCH("Conocer",$R5))/(ISNUMBER(SEARCH("Conocer",$R5))+ISNUMBER(SEARCH("Aplicar",$R5))+ISNUMBER(SEARCH("Razonar",$R5))),0)</f>
        <v>0.5</v>
      </c>
      <c r="T5" s="121" cm="1">
        <f t="array" ref="T5">_xlfn.IFERROR(ISNUMBER(SEARCH("Aplicar",$R5))/(ISNUMBER(SEARCH("Conocer",$R5))+ISNUMBER(SEARCH("Aplicar",$R5))+ISNUMBER(SEARCH("Razonar",$R5))),0)</f>
        <v>0.5</v>
      </c>
      <c r="U5" s="121" cm="1">
        <f t="array" ref="U5">_xlfn.IFERROR(ISNUMBER(SEARCH("Razonar",$R5))/(ISNUMBER(SEARCH("Conocer",$R5))+ISNUMBER(SEARCH("Aplicar",$R5))+ISNUMBER(SEARCH("Razonar",$R5))),0)</f>
        <v>0</v>
      </c>
      <c r="V5" t="s" s="35">
        <v>69</v>
      </c>
      <c r="W5" t="s" s="35">
        <v>112</v>
      </c>
      <c r="X5" s="36" cm="1">
        <f t="array" ref="X5">IF(OR(_xlfn.IFERROR(INDEX('Datos - Catálogo TIMSS'!$I$5:$I$107,MATCH(K5,'Datos - Catálogo TIMSS'!$A$5:$A$107,0)),"No")="Sí",_xlfn.IFERROR(INDEX('Datos - Catálogo TIMSS'!$I$5:$I$107,MATCH(L5,'Datos - Catálogo TIMSS'!$A$5:$A$107,0)),"No")="Sí"),1,0)</f>
        <v>0</v>
      </c>
      <c r="Y5" s="36" cm="1">
        <f t="array" ref="Y5">IF(_xlfn.IFERROR(INDEX('Datos - Catálogo TIMSS'!$J$5:$J$107,MATCH(K5,'Datos - Catálogo TIMSS'!$A$5:$A$107,0)),"No")="Sí",1,0)</f>
        <v>1</v>
      </c>
      <c r="Z5" s="36" cm="1">
        <f t="array" ref="Z5">IF(_xlfn.IFERROR(INDEX('Datos - Catálogo TIMSS'!$J$5:$J$107,MATCH(L5,'Datos - Catálogo TIMSS'!$A$5:$A$107,0)),"No")="Sí",1,0)</f>
        <v>0</v>
      </c>
      <c r="AA5" t="s" s="35">
        <v>1832</v>
      </c>
      <c r="AB5" s="39"/>
      <c r="AC5" t="str" s="39">
        <v>Fuera del marco</v>
      </c>
      <c r="AD5" t="s" s="35">
        <v>1834</v>
      </c>
      <c r="AE5" t="str" s="39" cm="1">
        <f t="array" ref="AE5">IF(AD5="","",IF(LEFT(AD5,1)="1","C1",IF(LEFT(AD5,1)="2","C2",IF(LEFT(AD5,1)="3","C3",""))))</f>
        <v>C2</v>
      </c>
      <c r="AF5" t="s" s="35">
        <v>1602</v>
      </c>
      <c r="AG5" t="s" s="35">
        <v>1617</v>
      </c>
      <c r="AH5" t="s" s="35">
        <v>1605</v>
      </c>
      <c r="AI5" t="s" s="35">
        <v>1619</v>
      </c>
      <c r="AJ5" t="s" s="35">
        <v>1607</v>
      </c>
      <c r="AK5" s="39"/>
      <c r="AL5" s="39"/>
      <c r="AM5" s="39"/>
      <c r="AN5" s="39"/>
      <c r="AO5" s="39"/>
      <c r="AP5" s="39"/>
      <c r="AQ5" s="39"/>
      <c r="AR5" s="39"/>
      <c r="AS5" s="39"/>
      <c r="AT5" s="39"/>
      <c r="AU5" s="39"/>
      <c r="AV5" s="39"/>
      <c r="AW5" t="str" s="39" cm="1">
        <f t="array" ref="AW5">AF5&amp;"; "&amp;AG5&amp;"; "&amp;AH5&amp;"; "&amp;AI5&amp;"; "&amp;AJ5</f>
        <v>E1; D1; E2; D2; E3</v>
      </c>
    </row>
    <row r="6" ht="13.65" customHeight="1">
      <c r="A6" t="s" s="35">
        <v>1837</v>
      </c>
      <c r="B6" s="36">
        <v>2</v>
      </c>
      <c r="C6" t="s" s="35">
        <v>1823</v>
      </c>
      <c r="D6" t="s" s="35">
        <v>1824</v>
      </c>
      <c r="E6" t="s" s="35">
        <v>1825</v>
      </c>
      <c r="F6" s="36">
        <v>4</v>
      </c>
      <c r="G6" t="s" s="35">
        <v>1826</v>
      </c>
      <c r="H6" t="s" s="35">
        <v>1827</v>
      </c>
      <c r="I6" t="s" s="120">
        <v>1838</v>
      </c>
      <c r="J6" t="s" s="35">
        <v>1055</v>
      </c>
      <c r="K6" t="s" s="35">
        <v>1136</v>
      </c>
      <c r="L6" s="39"/>
      <c r="M6" t="str" s="39">
        <v>Ciencias físicas</v>
      </c>
      <c r="N6" t="str" s="39">
        <v>Investigaciones en ciencias físicas</v>
      </c>
      <c r="O6" t="str" s="39" cm="1">
        <f t="array" ref="O6">IF(L6="","",_xlfn.IFERROR(INDEX('Datos - Catálogo TIMSS'!$C$5:$C$107,MATCH(L6,'Datos - Catálogo TIMSS'!$A$5:$A$107,0)),"?"))</f>
      </c>
      <c r="P6" t="s" s="35">
        <v>291</v>
      </c>
      <c r="Q6" t="s" s="120">
        <v>1839</v>
      </c>
      <c r="R6" t="s" s="120">
        <v>1840</v>
      </c>
      <c r="S6" s="121" cm="1">
        <f t="array" ref="S6">_xlfn.IFERROR(ISNUMBER(SEARCH("Conocer",$R6))/(ISNUMBER(SEARCH("Conocer",$R6))+ISNUMBER(SEARCH("Aplicar",$R6))+ISNUMBER(SEARCH("Razonar",$R6))),0)</f>
        <v>0.5</v>
      </c>
      <c r="T6" s="121" cm="1">
        <f t="array" ref="T6">_xlfn.IFERROR(ISNUMBER(SEARCH("Aplicar",$R6))/(ISNUMBER(SEARCH("Conocer",$R6))+ISNUMBER(SEARCH("Aplicar",$R6))+ISNUMBER(SEARCH("Razonar",$R6))),0)</f>
        <v>0.5</v>
      </c>
      <c r="U6" s="121" cm="1">
        <f t="array" ref="U6">_xlfn.IFERROR(ISNUMBER(SEARCH("Razonar",$R6))/(ISNUMBER(SEARCH("Conocer",$R6))+ISNUMBER(SEARCH("Aplicar",$R6))+ISNUMBER(SEARCH("Razonar",$R6))),0)</f>
        <v>0</v>
      </c>
      <c r="V6" t="s" s="35">
        <v>69</v>
      </c>
      <c r="W6" t="s" s="35">
        <v>112</v>
      </c>
      <c r="X6" s="36" cm="1">
        <f t="array" ref="X6">IF(OR(_xlfn.IFERROR(INDEX('Datos - Catálogo TIMSS'!$I$5:$I$107,MATCH(K6,'Datos - Catálogo TIMSS'!$A$5:$A$107,0)),"No")="Sí",_xlfn.IFERROR(INDEX('Datos - Catálogo TIMSS'!$I$5:$I$107,MATCH(L6,'Datos - Catálogo TIMSS'!$A$5:$A$107,0)),"No")="Sí"),1,0)</f>
        <v>0</v>
      </c>
      <c r="Y6" s="36" cm="1">
        <f t="array" ref="Y6">IF(_xlfn.IFERROR(INDEX('Datos - Catálogo TIMSS'!$J$5:$J$107,MATCH(K6,'Datos - Catálogo TIMSS'!$A$5:$A$107,0)),"No")="Sí",1,0)</f>
        <v>1</v>
      </c>
      <c r="Z6" s="36" cm="1">
        <f t="array" ref="Z6">IF(_xlfn.IFERROR(INDEX('Datos - Catálogo TIMSS'!$J$5:$J$107,MATCH(L6,'Datos - Catálogo TIMSS'!$A$5:$A$107,0)),"No")="Sí",1,0)</f>
        <v>0</v>
      </c>
      <c r="AA6" t="s" s="35">
        <v>1832</v>
      </c>
      <c r="AB6" s="39"/>
      <c r="AC6" t="str" s="39">
        <v>Fuera del marco</v>
      </c>
      <c r="AD6" t="s" s="35">
        <v>1834</v>
      </c>
      <c r="AE6" t="str" s="39" cm="1">
        <f t="array" ref="AE6">IF(AD6="","",IF(LEFT(AD6,1)="1","C1",IF(LEFT(AD6,1)="2","C2",IF(LEFT(AD6,1)="3","C3",""))))</f>
        <v>C2</v>
      </c>
      <c r="AF6" t="s" s="35">
        <v>1602</v>
      </c>
      <c r="AG6" t="s" s="35">
        <v>1617</v>
      </c>
      <c r="AH6" t="s" s="35">
        <v>1605</v>
      </c>
      <c r="AI6" t="s" s="35">
        <v>1623</v>
      </c>
      <c r="AJ6" t="s" s="35">
        <v>1627</v>
      </c>
      <c r="AK6" s="39"/>
      <c r="AL6" s="39"/>
      <c r="AM6" s="39"/>
      <c r="AN6" s="39"/>
      <c r="AO6" s="39"/>
      <c r="AP6" s="39"/>
      <c r="AQ6" s="39"/>
      <c r="AR6" s="39"/>
      <c r="AS6" s="39"/>
      <c r="AT6" s="39"/>
      <c r="AU6" s="39"/>
      <c r="AV6" s="39"/>
      <c r="AW6" t="str" s="39" cm="1">
        <f t="array" ref="AW6">AF6&amp;"; "&amp;AG6&amp;"; "&amp;AH6&amp;"; "&amp;AI6&amp;"; "&amp;AJ6</f>
        <v>E1; D1; E2; D4; I2</v>
      </c>
    </row>
    <row r="7" ht="13.65" customHeight="1">
      <c r="A7" t="s" s="35">
        <v>1842</v>
      </c>
      <c r="B7" s="36">
        <v>2</v>
      </c>
      <c r="C7" t="s" s="35">
        <v>1823</v>
      </c>
      <c r="D7" t="s" s="35">
        <v>1824</v>
      </c>
      <c r="E7" t="s" s="35">
        <v>1825</v>
      </c>
      <c r="F7" s="36">
        <v>5</v>
      </c>
      <c r="G7" t="s" s="35">
        <v>1826</v>
      </c>
      <c r="H7" t="s" s="35">
        <v>1843</v>
      </c>
      <c r="I7" t="s" s="120">
        <v>1844</v>
      </c>
      <c r="J7" t="s" s="35">
        <v>1055</v>
      </c>
      <c r="K7" t="s" s="35">
        <v>1106</v>
      </c>
      <c r="L7" s="39"/>
      <c r="M7" t="str" s="39">
        <v>Ciencias físicas</v>
      </c>
      <c r="N7" t="str" s="39">
        <v>Propiedades y cambios de la materia</v>
      </c>
      <c r="O7" t="str" s="39" cm="1">
        <f t="array" ref="O7">IF(L7="","",_xlfn.IFERROR(INDEX('Datos - Catálogo TIMSS'!$C$5:$C$107,MATCH(L7,'Datos - Catálogo TIMSS'!$A$5:$A$107,0)),"?"))</f>
      </c>
      <c r="P7" t="s" s="35">
        <v>254</v>
      </c>
      <c r="Q7" t="s" s="120">
        <v>1846</v>
      </c>
      <c r="R7" t="s" s="120">
        <v>1847</v>
      </c>
      <c r="S7" s="121" cm="1">
        <f t="array" ref="S7">_xlfn.IFERROR(ISNUMBER(SEARCH("Conocer",$R7))/(ISNUMBER(SEARCH("Conocer",$R7))+ISNUMBER(SEARCH("Aplicar",$R7))+ISNUMBER(SEARCH("Razonar",$R7))),0)</f>
        <v>0</v>
      </c>
      <c r="T7" s="121" cm="1">
        <f t="array" ref="T7">_xlfn.IFERROR(ISNUMBER(SEARCH("Aplicar",$R7))/(ISNUMBER(SEARCH("Conocer",$R7))+ISNUMBER(SEARCH("Aplicar",$R7))+ISNUMBER(SEARCH("Razonar",$R7))),0)</f>
        <v>1</v>
      </c>
      <c r="U7" s="121" cm="1">
        <f t="array" ref="U7">_xlfn.IFERROR(ISNUMBER(SEARCH("Razonar",$R7))/(ISNUMBER(SEARCH("Conocer",$R7))+ISNUMBER(SEARCH("Aplicar",$R7))+ISNUMBER(SEARCH("Razonar",$R7))),0)</f>
        <v>0</v>
      </c>
      <c r="V7" t="s" s="35">
        <v>69</v>
      </c>
      <c r="W7" t="s" s="35">
        <v>112</v>
      </c>
      <c r="X7" s="36" cm="1">
        <f t="array" ref="X7">IF(OR(_xlfn.IFERROR(INDEX('Datos - Catálogo TIMSS'!$I$5:$I$107,MATCH(K7,'Datos - Catálogo TIMSS'!$A$5:$A$107,0)),"No")="Sí",_xlfn.IFERROR(INDEX('Datos - Catálogo TIMSS'!$I$5:$I$107,MATCH(L7,'Datos - Catálogo TIMSS'!$A$5:$A$107,0)),"No")="Sí"),1,0)</f>
        <v>0</v>
      </c>
      <c r="Y7" s="36" cm="1">
        <f t="array" ref="Y7">IF(_xlfn.IFERROR(INDEX('Datos - Catálogo TIMSS'!$J$5:$J$107,MATCH(K7,'Datos - Catálogo TIMSS'!$A$5:$A$107,0)),"No")="Sí",1,0)</f>
        <v>0</v>
      </c>
      <c r="Z7" s="36" cm="1">
        <f t="array" ref="Z7">IF(_xlfn.IFERROR(INDEX('Datos - Catálogo TIMSS'!$J$5:$J$107,MATCH(L7,'Datos - Catálogo TIMSS'!$A$5:$A$107,0)),"No")="Sí",1,0)</f>
        <v>0</v>
      </c>
      <c r="AA7" t="s" s="35">
        <v>1848</v>
      </c>
      <c r="AB7" s="39"/>
      <c r="AC7" t="str" s="39">
        <v>Ciencias físicas</v>
      </c>
      <c r="AD7" t="s" s="35">
        <v>1834</v>
      </c>
      <c r="AE7" t="str" s="39" cm="1">
        <f t="array" ref="AE7">IF(AD7="","",IF(LEFT(AD7,1)="1","C1",IF(LEFT(AD7,1)="2","C2",IF(LEFT(AD7,1)="3","C3",""))))</f>
        <v>C2</v>
      </c>
      <c r="AF7" t="s" s="35">
        <v>1602</v>
      </c>
      <c r="AG7" t="s" s="35">
        <v>1617</v>
      </c>
      <c r="AH7" t="s" s="35">
        <v>1605</v>
      </c>
      <c r="AI7" t="s" s="35">
        <v>1623</v>
      </c>
      <c r="AJ7" t="s" s="35">
        <v>1602</v>
      </c>
      <c r="AK7" s="39"/>
      <c r="AL7" s="39"/>
      <c r="AM7" s="39"/>
      <c r="AN7" s="39"/>
      <c r="AO7" s="39"/>
      <c r="AP7" s="39"/>
      <c r="AQ7" s="39"/>
      <c r="AR7" s="39"/>
      <c r="AS7" s="39"/>
      <c r="AT7" s="39"/>
      <c r="AU7" s="39"/>
      <c r="AV7" s="39"/>
      <c r="AW7" t="str" s="39" cm="1">
        <f t="array" ref="AW7">AF7&amp;"; "&amp;AG7&amp;"; "&amp;AH7&amp;"; "&amp;AI7&amp;"; "&amp;AJ7</f>
        <v>E1; D1; E2; D4; E1</v>
      </c>
    </row>
    <row r="8" ht="13.65" customHeight="1">
      <c r="A8" t="s" s="35">
        <v>1850</v>
      </c>
      <c r="B8" s="36">
        <v>2</v>
      </c>
      <c r="C8" t="s" s="35">
        <v>1823</v>
      </c>
      <c r="D8" t="s" s="35">
        <v>1824</v>
      </c>
      <c r="E8" t="s" s="35">
        <v>1825</v>
      </c>
      <c r="F8" s="36">
        <v>6</v>
      </c>
      <c r="G8" t="s" s="35">
        <v>1826</v>
      </c>
      <c r="H8" t="s" s="35">
        <v>1843</v>
      </c>
      <c r="I8" t="s" s="120">
        <v>1851</v>
      </c>
      <c r="J8" t="s" s="35">
        <v>1055</v>
      </c>
      <c r="K8" t="s" s="35">
        <v>1106</v>
      </c>
      <c r="L8" s="39"/>
      <c r="M8" t="str" s="39">
        <v>Ciencias físicas</v>
      </c>
      <c r="N8" t="str" s="39">
        <v>Propiedades y cambios de la materia</v>
      </c>
      <c r="O8" t="str" s="39" cm="1">
        <f t="array" ref="O8">IF(L8="","",_xlfn.IFERROR(INDEX('Datos - Catálogo TIMSS'!$C$5:$C$107,MATCH(L8,'Datos - Catálogo TIMSS'!$A$5:$A$107,0)),"?"))</f>
      </c>
      <c r="P8" t="s" s="35">
        <v>254</v>
      </c>
      <c r="Q8" t="s" s="120">
        <v>1852</v>
      </c>
      <c r="R8" t="s" s="120">
        <v>1853</v>
      </c>
      <c r="S8" s="121" cm="1">
        <f t="array" ref="S8">_xlfn.IFERROR(ISNUMBER(SEARCH("Conocer",$R8))/(ISNUMBER(SEARCH("Conocer",$R8))+ISNUMBER(SEARCH("Aplicar",$R8))+ISNUMBER(SEARCH("Razonar",$R8))),0)</f>
        <v>0.5</v>
      </c>
      <c r="T8" s="121" cm="1">
        <f t="array" ref="T8">_xlfn.IFERROR(ISNUMBER(SEARCH("Aplicar",$R8))/(ISNUMBER(SEARCH("Conocer",$R8))+ISNUMBER(SEARCH("Aplicar",$R8))+ISNUMBER(SEARCH("Razonar",$R8))),0)</f>
        <v>0.5</v>
      </c>
      <c r="U8" s="121" cm="1">
        <f t="array" ref="U8">_xlfn.IFERROR(ISNUMBER(SEARCH("Razonar",$R8))/(ISNUMBER(SEARCH("Conocer",$R8))+ISNUMBER(SEARCH("Aplicar",$R8))+ISNUMBER(SEARCH("Razonar",$R8))),0)</f>
        <v>0</v>
      </c>
      <c r="V8" t="s" s="35">
        <v>69</v>
      </c>
      <c r="W8" t="s" s="35">
        <v>112</v>
      </c>
      <c r="X8" s="36" cm="1">
        <f t="array" ref="X8">IF(OR(_xlfn.IFERROR(INDEX('Datos - Catálogo TIMSS'!$I$5:$I$107,MATCH(K8,'Datos - Catálogo TIMSS'!$A$5:$A$107,0)),"No")="Sí",_xlfn.IFERROR(INDEX('Datos - Catálogo TIMSS'!$I$5:$I$107,MATCH(L8,'Datos - Catálogo TIMSS'!$A$5:$A$107,0)),"No")="Sí"),1,0)</f>
        <v>0</v>
      </c>
      <c r="Y8" s="36" cm="1">
        <f t="array" ref="Y8">IF(_xlfn.IFERROR(INDEX('Datos - Catálogo TIMSS'!$J$5:$J$107,MATCH(K8,'Datos - Catálogo TIMSS'!$A$5:$A$107,0)),"No")="Sí",1,0)</f>
        <v>0</v>
      </c>
      <c r="Z8" s="36" cm="1">
        <f t="array" ref="Z8">IF(_xlfn.IFERROR(INDEX('Datos - Catálogo TIMSS'!$J$5:$J$107,MATCH(L8,'Datos - Catálogo TIMSS'!$A$5:$A$107,0)),"No")="Sí",1,0)</f>
        <v>0</v>
      </c>
      <c r="AA8" t="s" s="35">
        <v>1848</v>
      </c>
      <c r="AB8" s="39"/>
      <c r="AC8" t="str" s="39">
        <v>Ciencias físicas</v>
      </c>
      <c r="AD8" t="s" s="35">
        <v>1834</v>
      </c>
      <c r="AE8" t="str" s="39" cm="1">
        <f t="array" ref="AE8">IF(AD8="","",IF(LEFT(AD8,1)="1","C1",IF(LEFT(AD8,1)="2","C2",IF(LEFT(AD8,1)="3","C3",""))))</f>
        <v>C2</v>
      </c>
      <c r="AF8" t="s" s="35">
        <v>1602</v>
      </c>
      <c r="AG8" t="s" s="35">
        <v>1612</v>
      </c>
      <c r="AH8" t="s" s="35">
        <v>1602</v>
      </c>
      <c r="AI8" t="s" s="35">
        <v>1619</v>
      </c>
      <c r="AJ8" t="s" s="35">
        <v>1607</v>
      </c>
      <c r="AK8" s="39"/>
      <c r="AL8" s="39"/>
      <c r="AM8" s="39"/>
      <c r="AN8" s="39"/>
      <c r="AO8" s="39"/>
      <c r="AP8" s="39"/>
      <c r="AQ8" s="39"/>
      <c r="AR8" s="39"/>
      <c r="AS8" s="39"/>
      <c r="AT8" s="39"/>
      <c r="AU8" s="39"/>
      <c r="AV8" s="39"/>
      <c r="AW8" t="str" s="39" cm="1">
        <f t="array" ref="AW8">AF8&amp;"; "&amp;AG8&amp;"; "&amp;AH8&amp;"; "&amp;AI8&amp;"; "&amp;AJ8</f>
        <v>E1; E5; E1; D2; E3</v>
      </c>
    </row>
    <row r="9" ht="13.65" customHeight="1">
      <c r="A9" t="s" s="35">
        <v>1855</v>
      </c>
      <c r="B9" s="36">
        <v>2</v>
      </c>
      <c r="C9" t="s" s="35">
        <v>1823</v>
      </c>
      <c r="D9" t="s" s="35">
        <v>1824</v>
      </c>
      <c r="E9" t="s" s="35">
        <v>1825</v>
      </c>
      <c r="F9" s="36">
        <v>7</v>
      </c>
      <c r="G9" t="s" s="35">
        <v>1826</v>
      </c>
      <c r="H9" t="s" s="35">
        <v>1843</v>
      </c>
      <c r="I9" t="s" s="120">
        <v>1856</v>
      </c>
      <c r="J9" t="s" s="35">
        <v>1055</v>
      </c>
      <c r="K9" t="s" s="35">
        <v>1106</v>
      </c>
      <c r="L9" s="39"/>
      <c r="M9" t="str" s="39">
        <v>Ciencias físicas</v>
      </c>
      <c r="N9" t="str" s="39">
        <v>Propiedades y cambios de la materia</v>
      </c>
      <c r="O9" t="str" s="39" cm="1">
        <f t="array" ref="O9">IF(L9="","",_xlfn.IFERROR(INDEX('Datos - Catálogo TIMSS'!$C$5:$C$107,MATCH(L9,'Datos - Catálogo TIMSS'!$A$5:$A$107,0)),"?"))</f>
      </c>
      <c r="P9" t="s" s="35">
        <v>254</v>
      </c>
      <c r="Q9" t="s" s="120">
        <v>1857</v>
      </c>
      <c r="R9" t="s" s="120">
        <v>1858</v>
      </c>
      <c r="S9" s="121" cm="1">
        <f t="array" ref="S9">_xlfn.IFERROR(ISNUMBER(SEARCH("Conocer",$R9))/(ISNUMBER(SEARCH("Conocer",$R9))+ISNUMBER(SEARCH("Aplicar",$R9))+ISNUMBER(SEARCH("Razonar",$R9))),0)</f>
        <v>0</v>
      </c>
      <c r="T9" s="121" cm="1">
        <f t="array" ref="T9">_xlfn.IFERROR(ISNUMBER(SEARCH("Aplicar",$R9))/(ISNUMBER(SEARCH("Conocer",$R9))+ISNUMBER(SEARCH("Aplicar",$R9))+ISNUMBER(SEARCH("Razonar",$R9))),0)</f>
        <v>0.5</v>
      </c>
      <c r="U9" s="121" cm="1">
        <f t="array" ref="U9">_xlfn.IFERROR(ISNUMBER(SEARCH("Razonar",$R9))/(ISNUMBER(SEARCH("Conocer",$R9))+ISNUMBER(SEARCH("Aplicar",$R9))+ISNUMBER(SEARCH("Razonar",$R9))),0)</f>
        <v>0.5</v>
      </c>
      <c r="V9" t="s" s="35">
        <v>69</v>
      </c>
      <c r="W9" t="s" s="35">
        <v>112</v>
      </c>
      <c r="X9" s="36" cm="1">
        <f t="array" ref="X9">IF(OR(_xlfn.IFERROR(INDEX('Datos - Catálogo TIMSS'!$I$5:$I$107,MATCH(K9,'Datos - Catálogo TIMSS'!$A$5:$A$107,0)),"No")="Sí",_xlfn.IFERROR(INDEX('Datos - Catálogo TIMSS'!$I$5:$I$107,MATCH(L9,'Datos - Catálogo TIMSS'!$A$5:$A$107,0)),"No")="Sí"),1,0)</f>
        <v>0</v>
      </c>
      <c r="Y9" s="36" cm="1">
        <f t="array" ref="Y9">IF(_xlfn.IFERROR(INDEX('Datos - Catálogo TIMSS'!$J$5:$J$107,MATCH(K9,'Datos - Catálogo TIMSS'!$A$5:$A$107,0)),"No")="Sí",1,0)</f>
        <v>0</v>
      </c>
      <c r="Z9" s="36" cm="1">
        <f t="array" ref="Z9">IF(_xlfn.IFERROR(INDEX('Datos - Catálogo TIMSS'!$J$5:$J$107,MATCH(L9,'Datos - Catálogo TIMSS'!$A$5:$A$107,0)),"No")="Sí",1,0)</f>
        <v>0</v>
      </c>
      <c r="AA9" t="s" s="35">
        <v>1848</v>
      </c>
      <c r="AB9" s="39"/>
      <c r="AC9" t="str" s="39">
        <v>Ciencias físicas</v>
      </c>
      <c r="AD9" t="s" s="35">
        <v>1859</v>
      </c>
      <c r="AE9" t="str" s="39" cm="1">
        <f t="array" ref="AE9">IF(AD9="","",IF(LEFT(AD9,1)="1","C1",IF(LEFT(AD9,1)="2","C2",IF(LEFT(AD9,1)="3","C3",""))))</f>
        <v>C1</v>
      </c>
      <c r="AF9" t="s" s="35">
        <v>1602</v>
      </c>
      <c r="AG9" t="s" s="35">
        <v>1612</v>
      </c>
      <c r="AH9" t="s" s="35">
        <v>1602</v>
      </c>
      <c r="AI9" t="s" s="35">
        <v>1619</v>
      </c>
      <c r="AJ9" t="s" s="35">
        <v>1633</v>
      </c>
      <c r="AK9" s="39"/>
      <c r="AL9" s="39"/>
      <c r="AM9" s="39"/>
      <c r="AN9" s="39"/>
      <c r="AO9" s="39"/>
      <c r="AP9" s="39"/>
      <c r="AQ9" s="39"/>
      <c r="AR9" s="39"/>
      <c r="AS9" s="39"/>
      <c r="AT9" s="39"/>
      <c r="AU9" s="39"/>
      <c r="AV9" s="39"/>
      <c r="AW9" t="str" s="39" cm="1">
        <f t="array" ref="AW9">AF9&amp;"; "&amp;AG9&amp;"; "&amp;AH9&amp;"; "&amp;AI9&amp;"; "&amp;AJ9</f>
        <v>E1; E5; E1; D2; I5</v>
      </c>
    </row>
    <row r="10" ht="13.65" customHeight="1">
      <c r="A10" t="s" s="35">
        <v>1862</v>
      </c>
      <c r="B10" s="36">
        <v>2</v>
      </c>
      <c r="C10" t="s" s="35">
        <v>1823</v>
      </c>
      <c r="D10" t="s" s="35">
        <v>1824</v>
      </c>
      <c r="E10" t="s" s="35">
        <v>1825</v>
      </c>
      <c r="F10" s="36">
        <v>8</v>
      </c>
      <c r="G10" t="s" s="35">
        <v>1826</v>
      </c>
      <c r="H10" t="s" s="35">
        <v>1863</v>
      </c>
      <c r="I10" t="s" s="120">
        <v>1864</v>
      </c>
      <c r="J10" t="s" s="35">
        <v>1055</v>
      </c>
      <c r="K10" t="s" s="35">
        <v>1109</v>
      </c>
      <c r="L10" s="39"/>
      <c r="M10" t="str" s="39">
        <v>Ciencias físicas</v>
      </c>
      <c r="N10" t="str" s="39">
        <v>Propiedades y cambios de la materia</v>
      </c>
      <c r="O10" t="str" s="39" cm="1">
        <f t="array" ref="O10">IF(L10="","",_xlfn.IFERROR(INDEX('Datos - Catálogo TIMSS'!$C$5:$C$107,MATCH(L10,'Datos - Catálogo TIMSS'!$A$5:$A$107,0)),"?"))</f>
      </c>
      <c r="P10" t="s" s="35">
        <v>254</v>
      </c>
      <c r="Q10" t="s" s="120">
        <v>1865</v>
      </c>
      <c r="R10" t="s" s="120">
        <v>1866</v>
      </c>
      <c r="S10" s="121" cm="1">
        <f t="array" ref="S10">_xlfn.IFERROR(ISNUMBER(SEARCH("Conocer",$R10))/(ISNUMBER(SEARCH("Conocer",$R10))+ISNUMBER(SEARCH("Aplicar",$R10))+ISNUMBER(SEARCH("Razonar",$R10))),0)</f>
        <v>1</v>
      </c>
      <c r="T10" s="121" cm="1">
        <f t="array" ref="T10">_xlfn.IFERROR(ISNUMBER(SEARCH("Aplicar",$R10))/(ISNUMBER(SEARCH("Conocer",$R10))+ISNUMBER(SEARCH("Aplicar",$R10))+ISNUMBER(SEARCH("Razonar",$R10))),0)</f>
        <v>0</v>
      </c>
      <c r="U10" s="121" cm="1">
        <f t="array" ref="U10">_xlfn.IFERROR(ISNUMBER(SEARCH("Razonar",$R10))/(ISNUMBER(SEARCH("Conocer",$R10))+ISNUMBER(SEARCH("Aplicar",$R10))+ISNUMBER(SEARCH("Razonar",$R10))),0)</f>
        <v>0</v>
      </c>
      <c r="V10" t="s" s="35">
        <v>69</v>
      </c>
      <c r="W10" t="s" s="35">
        <v>112</v>
      </c>
      <c r="X10" s="36" cm="1">
        <f t="array" ref="X10">IF(OR(_xlfn.IFERROR(INDEX('Datos - Catálogo TIMSS'!$I$5:$I$107,MATCH(K10,'Datos - Catálogo TIMSS'!$A$5:$A$107,0)),"No")="Sí",_xlfn.IFERROR(INDEX('Datos - Catálogo TIMSS'!$I$5:$I$107,MATCH(L10,'Datos - Catálogo TIMSS'!$A$5:$A$107,0)),"No")="Sí"),1,0)</f>
        <v>0</v>
      </c>
      <c r="Y10" s="36" cm="1">
        <f t="array" ref="Y10">IF(_xlfn.IFERROR(INDEX('Datos - Catálogo TIMSS'!$J$5:$J$107,MATCH(K10,'Datos - Catálogo TIMSS'!$A$5:$A$107,0)),"No")="Sí",1,0)</f>
        <v>0</v>
      </c>
      <c r="Z10" s="36" cm="1">
        <f t="array" ref="Z10">IF(_xlfn.IFERROR(INDEX('Datos - Catálogo TIMSS'!$J$5:$J$107,MATCH(L10,'Datos - Catálogo TIMSS'!$A$5:$A$107,0)),"No")="Sí",1,0)</f>
        <v>0</v>
      </c>
      <c r="AA10" t="s" s="35">
        <v>1867</v>
      </c>
      <c r="AB10" s="39"/>
      <c r="AC10" t="str" s="39">
        <v>Ciencias físicas</v>
      </c>
      <c r="AD10" t="s" s="35">
        <v>1859</v>
      </c>
      <c r="AE10" t="str" s="39" cm="1">
        <f t="array" ref="AE10">IF(AD10="","",IF(LEFT(AD10,1)="1","C1",IF(LEFT(AD10,1)="2","C2",IF(LEFT(AD10,1)="3","C3",""))))</f>
        <v>C1</v>
      </c>
      <c r="AF10" t="s" s="35">
        <v>1602</v>
      </c>
      <c r="AG10" t="s" s="35">
        <v>1617</v>
      </c>
      <c r="AH10" t="s" s="35">
        <v>1605</v>
      </c>
      <c r="AI10" t="s" s="35">
        <v>1623</v>
      </c>
      <c r="AJ10" t="s" s="35">
        <v>1615</v>
      </c>
      <c r="AK10" s="39"/>
      <c r="AL10" s="39"/>
      <c r="AM10" s="39"/>
      <c r="AN10" s="39"/>
      <c r="AO10" s="39"/>
      <c r="AP10" s="39"/>
      <c r="AQ10" s="39"/>
      <c r="AR10" s="39"/>
      <c r="AS10" s="39"/>
      <c r="AT10" s="39"/>
      <c r="AU10" s="39"/>
      <c r="AV10" s="39"/>
      <c r="AW10" t="str" s="39" cm="1">
        <f t="array" ref="AW10">AF10&amp;"; "&amp;AG10&amp;"; "&amp;AH10&amp;"; "&amp;AI10&amp;"; "&amp;AJ10</f>
        <v>E1; D1; E2; D4; E6</v>
      </c>
    </row>
    <row r="11" ht="13.65" customHeight="1">
      <c r="A11" t="s" s="35">
        <v>1869</v>
      </c>
      <c r="B11" s="36">
        <v>2</v>
      </c>
      <c r="C11" t="s" s="35">
        <v>1823</v>
      </c>
      <c r="D11" t="s" s="35">
        <v>1824</v>
      </c>
      <c r="E11" t="s" s="35">
        <v>1825</v>
      </c>
      <c r="F11" s="36">
        <v>9</v>
      </c>
      <c r="G11" t="s" s="35">
        <v>1826</v>
      </c>
      <c r="H11" t="s" s="35">
        <v>1863</v>
      </c>
      <c r="I11" t="s" s="120">
        <v>1870</v>
      </c>
      <c r="J11" t="s" s="35">
        <v>1055</v>
      </c>
      <c r="K11" t="s" s="35">
        <v>1109</v>
      </c>
      <c r="L11" t="s" s="35">
        <v>1136</v>
      </c>
      <c r="M11" t="str" s="39">
        <v>Ciencias físicas</v>
      </c>
      <c r="N11" t="str" s="39">
        <v>Propiedades y cambios de la materia</v>
      </c>
      <c r="O11" t="str" s="39" cm="1">
        <f t="array" ref="O11">IF(L11="","",_xlfn.IFERROR(INDEX('Datos - Catálogo TIMSS'!$C$5:$C$107,MATCH(L11,'Datos - Catálogo TIMSS'!$A$5:$A$107,0)),"?"))</f>
        <v>Ciencias físicas</v>
      </c>
      <c r="P11" t="s" s="35">
        <v>254</v>
      </c>
      <c r="Q11" t="s" s="120">
        <v>1871</v>
      </c>
      <c r="R11" t="s" s="120">
        <v>1872</v>
      </c>
      <c r="S11" s="121" cm="1">
        <f t="array" ref="S11">_xlfn.IFERROR(ISNUMBER(SEARCH("Conocer",$R11))/(ISNUMBER(SEARCH("Conocer",$R11))+ISNUMBER(SEARCH("Aplicar",$R11))+ISNUMBER(SEARCH("Razonar",$R11))),0)</f>
        <v>0</v>
      </c>
      <c r="T11" s="121" cm="1">
        <f t="array" ref="T11">_xlfn.IFERROR(ISNUMBER(SEARCH("Aplicar",$R11))/(ISNUMBER(SEARCH("Conocer",$R11))+ISNUMBER(SEARCH("Aplicar",$R11))+ISNUMBER(SEARCH("Razonar",$R11))),0)</f>
        <v>0</v>
      </c>
      <c r="U11" s="121" cm="1">
        <f t="array" ref="U11">_xlfn.IFERROR(ISNUMBER(SEARCH("Razonar",$R11))/(ISNUMBER(SEARCH("Conocer",$R11))+ISNUMBER(SEARCH("Aplicar",$R11))+ISNUMBER(SEARCH("Razonar",$R11))),0)</f>
        <v>1</v>
      </c>
      <c r="V11" t="s" s="35">
        <v>69</v>
      </c>
      <c r="W11" t="s" s="35">
        <v>112</v>
      </c>
      <c r="X11" s="36" cm="1">
        <f t="array" ref="X11">IF(OR(_xlfn.IFERROR(INDEX('Datos - Catálogo TIMSS'!$I$5:$I$107,MATCH(K11,'Datos - Catálogo TIMSS'!$A$5:$A$107,0)),"No")="Sí",_xlfn.IFERROR(INDEX('Datos - Catálogo TIMSS'!$I$5:$I$107,MATCH(L11,'Datos - Catálogo TIMSS'!$A$5:$A$107,0)),"No")="Sí"),1,0)</f>
        <v>0</v>
      </c>
      <c r="Y11" s="36" cm="1">
        <f t="array" ref="Y11">IF(_xlfn.IFERROR(INDEX('Datos - Catálogo TIMSS'!$J$5:$J$107,MATCH(K11,'Datos - Catálogo TIMSS'!$A$5:$A$107,0)),"No")="Sí",1,0)</f>
        <v>0</v>
      </c>
      <c r="Z11" s="36" cm="1">
        <f t="array" ref="Z11">IF(_xlfn.IFERROR(INDEX('Datos - Catálogo TIMSS'!$J$5:$J$107,MATCH(L11,'Datos - Catálogo TIMSS'!$A$5:$A$107,0)),"No")="Sí",1,0)</f>
        <v>1</v>
      </c>
      <c r="AA11" t="s" s="35">
        <v>1867</v>
      </c>
      <c r="AB11" s="39"/>
      <c r="AC11" t="str" s="39">
        <v>Ciencias físicas</v>
      </c>
      <c r="AD11" t="s" s="35">
        <v>1834</v>
      </c>
      <c r="AE11" t="str" s="39" cm="1">
        <f t="array" ref="AE11">IF(AD11="","",IF(LEFT(AD11,1)="1","C1",IF(LEFT(AD11,1)="2","C2",IF(LEFT(AD11,1)="3","C3",""))))</f>
        <v>C2</v>
      </c>
      <c r="AF11" t="s" s="35">
        <v>1602</v>
      </c>
      <c r="AG11" t="s" s="35">
        <v>1607</v>
      </c>
      <c r="AH11" t="s" s="35">
        <v>1602</v>
      </c>
      <c r="AI11" t="s" s="35">
        <v>1623</v>
      </c>
      <c r="AJ11" t="s" s="35">
        <v>1621</v>
      </c>
      <c r="AK11" s="39"/>
      <c r="AL11" s="39"/>
      <c r="AM11" s="39"/>
      <c r="AN11" s="39"/>
      <c r="AO11" s="39"/>
      <c r="AP11" s="39"/>
      <c r="AQ11" s="39"/>
      <c r="AR11" s="39"/>
      <c r="AS11" s="39"/>
      <c r="AT11" s="39"/>
      <c r="AU11" s="39"/>
      <c r="AV11" s="39"/>
      <c r="AW11" t="str" s="39" cm="1">
        <f t="array" ref="AW11">AF11&amp;"; "&amp;AG11&amp;"; "&amp;AH11&amp;"; "&amp;AI11&amp;"; "&amp;AJ11</f>
        <v>E1; E3; E1; D4; D3</v>
      </c>
    </row>
    <row r="12" ht="13.65" customHeight="1">
      <c r="A12" t="s" s="35">
        <v>1874</v>
      </c>
      <c r="B12" s="36">
        <v>2</v>
      </c>
      <c r="C12" t="s" s="35">
        <v>1823</v>
      </c>
      <c r="D12" t="s" s="35">
        <v>1824</v>
      </c>
      <c r="E12" t="s" s="35">
        <v>1825</v>
      </c>
      <c r="F12" s="36">
        <v>10</v>
      </c>
      <c r="G12" t="s" s="35">
        <v>1826</v>
      </c>
      <c r="H12" t="s" s="35">
        <v>1875</v>
      </c>
      <c r="I12" t="s" s="120">
        <v>1876</v>
      </c>
      <c r="J12" t="s" s="35">
        <v>1055</v>
      </c>
      <c r="K12" t="s" s="35">
        <v>313</v>
      </c>
      <c r="L12" s="39"/>
      <c r="M12" t="str" s="39">
        <v>Ciencias físicas</v>
      </c>
      <c r="N12" t="str" s="39">
        <v>Propiedades y cambios de la materia</v>
      </c>
      <c r="O12" t="str" s="39" cm="1">
        <f t="array" ref="O12">IF(L12="","",_xlfn.IFERROR(INDEX('Datos - Catálogo TIMSS'!$C$5:$C$107,MATCH(L12,'Datos - Catálogo TIMSS'!$A$5:$A$107,0)),"?"))</f>
      </c>
      <c r="P12" t="s" s="35">
        <v>254</v>
      </c>
      <c r="Q12" t="s" s="120">
        <v>1877</v>
      </c>
      <c r="R12" t="s" s="120">
        <v>1878</v>
      </c>
      <c r="S12" s="121" cm="1">
        <f t="array" ref="S12">_xlfn.IFERROR(ISNUMBER(SEARCH("Conocer",$R12))/(ISNUMBER(SEARCH("Conocer",$R12))+ISNUMBER(SEARCH("Aplicar",$R12))+ISNUMBER(SEARCH("Razonar",$R12))),0)</f>
        <v>0</v>
      </c>
      <c r="T12" s="121" cm="1">
        <f t="array" ref="T12">_xlfn.IFERROR(ISNUMBER(SEARCH("Aplicar",$R12))/(ISNUMBER(SEARCH("Conocer",$R12))+ISNUMBER(SEARCH("Aplicar",$R12))+ISNUMBER(SEARCH("Razonar",$R12))),0)</f>
        <v>1</v>
      </c>
      <c r="U12" s="121" cm="1">
        <f t="array" ref="U12">_xlfn.IFERROR(ISNUMBER(SEARCH("Razonar",$R12))/(ISNUMBER(SEARCH("Conocer",$R12))+ISNUMBER(SEARCH("Aplicar",$R12))+ISNUMBER(SEARCH("Razonar",$R12))),0)</f>
        <v>0</v>
      </c>
      <c r="V12" t="s" s="35">
        <v>69</v>
      </c>
      <c r="W12" t="s" s="35">
        <v>112</v>
      </c>
      <c r="X12" s="36" cm="1">
        <f t="array" ref="X12">IF(OR(_xlfn.IFERROR(INDEX('Datos - Catálogo TIMSS'!$I$5:$I$107,MATCH(K12,'Datos - Catálogo TIMSS'!$A$5:$A$107,0)),"No")="Sí",_xlfn.IFERROR(INDEX('Datos - Catálogo TIMSS'!$I$5:$I$107,MATCH(L12,'Datos - Catálogo TIMSS'!$A$5:$A$107,0)),"No")="Sí"),1,0)</f>
        <v>0</v>
      </c>
      <c r="Y12" s="36" cm="1">
        <f t="array" ref="Y12">IF(_xlfn.IFERROR(INDEX('Datos - Catálogo TIMSS'!$J$5:$J$107,MATCH(K12,'Datos - Catálogo TIMSS'!$A$5:$A$107,0)),"No")="Sí",1,0)</f>
        <v>0</v>
      </c>
      <c r="Z12" s="36" cm="1">
        <f t="array" ref="Z12">IF(_xlfn.IFERROR(INDEX('Datos - Catálogo TIMSS'!$J$5:$J$107,MATCH(L12,'Datos - Catálogo TIMSS'!$A$5:$A$107,0)),"No")="Sí",1,0)</f>
        <v>0</v>
      </c>
      <c r="AA12" t="s" s="35">
        <v>1879</v>
      </c>
      <c r="AB12" t="s" s="35">
        <v>1880</v>
      </c>
      <c r="AC12" t="str" s="39">
        <v>Ciencias físicas</v>
      </c>
      <c r="AD12" t="s" s="35">
        <v>1859</v>
      </c>
      <c r="AE12" t="str" s="39" cm="1">
        <f t="array" ref="AE12">IF(AD12="","",IF(LEFT(AD12,1)="1","C1",IF(LEFT(AD12,1)="2","C2",IF(LEFT(AD12,1)="3","C3",""))))</f>
        <v>C1</v>
      </c>
      <c r="AF12" t="s" s="35">
        <v>1602</v>
      </c>
      <c r="AG12" t="s" s="35">
        <v>1612</v>
      </c>
      <c r="AH12" t="s" s="35">
        <v>1609</v>
      </c>
      <c r="AI12" t="s" s="35">
        <v>1623</v>
      </c>
      <c r="AJ12" t="s" s="35">
        <v>1607</v>
      </c>
      <c r="AK12" s="39"/>
      <c r="AL12" s="39"/>
      <c r="AM12" s="39"/>
      <c r="AN12" s="39"/>
      <c r="AO12" s="39"/>
      <c r="AP12" s="39"/>
      <c r="AQ12" s="39"/>
      <c r="AR12" s="39"/>
      <c r="AS12" s="39"/>
      <c r="AT12" s="39"/>
      <c r="AU12" s="39"/>
      <c r="AV12" s="39"/>
      <c r="AW12" t="str" s="39" cm="1">
        <f t="array" ref="AW12">AF12&amp;"; "&amp;AG12&amp;"; "&amp;AH12&amp;"; "&amp;AI12&amp;"; "&amp;AJ12</f>
        <v>E1; E5; E4; D4; E3</v>
      </c>
    </row>
    <row r="13" ht="13.65" customHeight="1">
      <c r="A13" t="s" s="35">
        <v>1882</v>
      </c>
      <c r="B13" s="36">
        <v>2</v>
      </c>
      <c r="C13" t="s" s="35">
        <v>1823</v>
      </c>
      <c r="D13" t="s" s="35">
        <v>1824</v>
      </c>
      <c r="E13" t="s" s="35">
        <v>1825</v>
      </c>
      <c r="F13" s="36">
        <v>11</v>
      </c>
      <c r="G13" t="s" s="35">
        <v>1826</v>
      </c>
      <c r="H13" t="s" s="35">
        <v>1883</v>
      </c>
      <c r="I13" t="s" s="120">
        <v>1884</v>
      </c>
      <c r="J13" t="s" s="35">
        <v>1055</v>
      </c>
      <c r="K13" t="s" s="35">
        <v>1109</v>
      </c>
      <c r="L13" s="39"/>
      <c r="M13" t="str" s="39">
        <v>Ciencias físicas</v>
      </c>
      <c r="N13" t="str" s="39">
        <v>Propiedades y cambios de la materia</v>
      </c>
      <c r="O13" t="str" s="39" cm="1">
        <f t="array" ref="O13">IF(L13="","",_xlfn.IFERROR(INDEX('Datos - Catálogo TIMSS'!$C$5:$C$107,MATCH(L13,'Datos - Catálogo TIMSS'!$A$5:$A$107,0)),"?"))</f>
      </c>
      <c r="P13" t="s" s="35">
        <v>254</v>
      </c>
      <c r="Q13" t="s" s="120">
        <v>1885</v>
      </c>
      <c r="R13" t="s" s="120">
        <v>1886</v>
      </c>
      <c r="S13" s="121" cm="1">
        <f t="array" ref="S13">_xlfn.IFERROR(ISNUMBER(SEARCH("Conocer",$R13))/(ISNUMBER(SEARCH("Conocer",$R13))+ISNUMBER(SEARCH("Aplicar",$R13))+ISNUMBER(SEARCH("Razonar",$R13))),0)</f>
        <v>0</v>
      </c>
      <c r="T13" s="121" cm="1">
        <f t="array" ref="T13">_xlfn.IFERROR(ISNUMBER(SEARCH("Aplicar",$R13))/(ISNUMBER(SEARCH("Conocer",$R13))+ISNUMBER(SEARCH("Aplicar",$R13))+ISNUMBER(SEARCH("Razonar",$R13))),0)</f>
        <v>0.5</v>
      </c>
      <c r="U13" s="121" cm="1">
        <f t="array" ref="U13">_xlfn.IFERROR(ISNUMBER(SEARCH("Razonar",$R13))/(ISNUMBER(SEARCH("Conocer",$R13))+ISNUMBER(SEARCH("Aplicar",$R13))+ISNUMBER(SEARCH("Razonar",$R13))),0)</f>
        <v>0.5</v>
      </c>
      <c r="V13" t="s" s="35">
        <v>69</v>
      </c>
      <c r="W13" t="s" s="35">
        <v>112</v>
      </c>
      <c r="X13" s="36" cm="1">
        <f t="array" ref="X13">IF(OR(_xlfn.IFERROR(INDEX('Datos - Catálogo TIMSS'!$I$5:$I$107,MATCH(K13,'Datos - Catálogo TIMSS'!$A$5:$A$107,0)),"No")="Sí",_xlfn.IFERROR(INDEX('Datos - Catálogo TIMSS'!$I$5:$I$107,MATCH(L13,'Datos - Catálogo TIMSS'!$A$5:$A$107,0)),"No")="Sí"),1,0)</f>
        <v>0</v>
      </c>
      <c r="Y13" s="36" cm="1">
        <f t="array" ref="Y13">IF(_xlfn.IFERROR(INDEX('Datos - Catálogo TIMSS'!$J$5:$J$107,MATCH(K13,'Datos - Catálogo TIMSS'!$A$5:$A$107,0)),"No")="Sí",1,0)</f>
        <v>0</v>
      </c>
      <c r="Z13" s="36" cm="1">
        <f t="array" ref="Z13">IF(_xlfn.IFERROR(INDEX('Datos - Catálogo TIMSS'!$J$5:$J$107,MATCH(L13,'Datos - Catálogo TIMSS'!$A$5:$A$107,0)),"No")="Sí",1,0)</f>
        <v>0</v>
      </c>
      <c r="AA13" t="s" s="35">
        <v>1848</v>
      </c>
      <c r="AB13" s="39"/>
      <c r="AC13" t="str" s="39">
        <v>Ciencias físicas</v>
      </c>
      <c r="AD13" t="s" s="35">
        <v>1834</v>
      </c>
      <c r="AE13" t="str" s="39" cm="1">
        <f t="array" ref="AE13">IF(AD13="","",IF(LEFT(AD13,1)="1","C1",IF(LEFT(AD13,1)="2","C2",IF(LEFT(AD13,1)="3","C3",""))))</f>
        <v>C2</v>
      </c>
      <c r="AF13" t="s" s="35">
        <v>1602</v>
      </c>
      <c r="AG13" t="s" s="35">
        <v>1617</v>
      </c>
      <c r="AH13" t="s" s="35">
        <v>1602</v>
      </c>
      <c r="AI13" t="s" s="35">
        <v>1619</v>
      </c>
      <c r="AJ13" t="s" s="35">
        <v>1621</v>
      </c>
      <c r="AK13" s="39"/>
      <c r="AL13" s="39"/>
      <c r="AM13" s="39"/>
      <c r="AN13" s="39"/>
      <c r="AO13" s="39"/>
      <c r="AP13" s="39"/>
      <c r="AQ13" s="39"/>
      <c r="AR13" s="39"/>
      <c r="AS13" s="39"/>
      <c r="AT13" s="39"/>
      <c r="AU13" s="39"/>
      <c r="AV13" s="39"/>
      <c r="AW13" t="str" s="39" cm="1">
        <f t="array" ref="AW13">AF13&amp;"; "&amp;AG13&amp;"; "&amp;AH13&amp;"; "&amp;AI13&amp;"; "&amp;AJ13</f>
        <v>E1; D1; E1; D2; D3</v>
      </c>
    </row>
    <row r="14" ht="13.65" customHeight="1">
      <c r="A14" t="s" s="35">
        <v>1888</v>
      </c>
      <c r="B14" s="36">
        <v>2</v>
      </c>
      <c r="C14" t="s" s="35">
        <v>1823</v>
      </c>
      <c r="D14" t="s" s="35">
        <v>1824</v>
      </c>
      <c r="E14" t="s" s="35">
        <v>1825</v>
      </c>
      <c r="F14" s="36">
        <v>12</v>
      </c>
      <c r="G14" t="s" s="35">
        <v>1826</v>
      </c>
      <c r="H14" t="s" s="35">
        <v>1889</v>
      </c>
      <c r="I14" t="s" s="120">
        <v>1890</v>
      </c>
      <c r="J14" t="s" s="35">
        <v>1055</v>
      </c>
      <c r="K14" t="s" s="35">
        <v>1106</v>
      </c>
      <c r="L14" t="s" s="35">
        <v>1136</v>
      </c>
      <c r="M14" t="str" s="39">
        <v>Ciencias físicas</v>
      </c>
      <c r="N14" t="str" s="39">
        <v>Propiedades y cambios de la materia</v>
      </c>
      <c r="O14" t="str" s="39" cm="1">
        <f t="array" ref="O14">IF(L14="","",_xlfn.IFERROR(INDEX('Datos - Catálogo TIMSS'!$C$5:$C$107,MATCH(L14,'Datos - Catálogo TIMSS'!$A$5:$A$107,0)),"?"))</f>
        <v>Ciencias físicas</v>
      </c>
      <c r="P14" t="s" s="35">
        <v>254</v>
      </c>
      <c r="Q14" t="s" s="120">
        <v>1891</v>
      </c>
      <c r="R14" t="s" s="120">
        <v>1892</v>
      </c>
      <c r="S14" s="121" cm="1">
        <f t="array" ref="S14">_xlfn.IFERROR(ISNUMBER(SEARCH("Conocer",$R14))/(ISNUMBER(SEARCH("Conocer",$R14))+ISNUMBER(SEARCH("Aplicar",$R14))+ISNUMBER(SEARCH("Razonar",$R14))),0)</f>
        <v>0</v>
      </c>
      <c r="T14" s="121" cm="1">
        <f t="array" ref="T14">_xlfn.IFERROR(ISNUMBER(SEARCH("Aplicar",$R14))/(ISNUMBER(SEARCH("Conocer",$R14))+ISNUMBER(SEARCH("Aplicar",$R14))+ISNUMBER(SEARCH("Razonar",$R14))),0)</f>
        <v>0</v>
      </c>
      <c r="U14" s="121" cm="1">
        <f t="array" ref="U14">_xlfn.IFERROR(ISNUMBER(SEARCH("Razonar",$R14))/(ISNUMBER(SEARCH("Conocer",$R14))+ISNUMBER(SEARCH("Aplicar",$R14))+ISNUMBER(SEARCH("Razonar",$R14))),0)</f>
        <v>1</v>
      </c>
      <c r="V14" t="s" s="35">
        <v>69</v>
      </c>
      <c r="W14" t="s" s="35">
        <v>112</v>
      </c>
      <c r="X14" s="36" cm="1">
        <f t="array" ref="X14">IF(OR(_xlfn.IFERROR(INDEX('Datos - Catálogo TIMSS'!$I$5:$I$107,MATCH(K14,'Datos - Catálogo TIMSS'!$A$5:$A$107,0)),"No")="Sí",_xlfn.IFERROR(INDEX('Datos - Catálogo TIMSS'!$I$5:$I$107,MATCH(L14,'Datos - Catálogo TIMSS'!$A$5:$A$107,0)),"No")="Sí"),1,0)</f>
        <v>0</v>
      </c>
      <c r="Y14" s="36" cm="1">
        <f t="array" ref="Y14">IF(_xlfn.IFERROR(INDEX('Datos - Catálogo TIMSS'!$J$5:$J$107,MATCH(K14,'Datos - Catálogo TIMSS'!$A$5:$A$107,0)),"No")="Sí",1,0)</f>
        <v>0</v>
      </c>
      <c r="Z14" s="36" cm="1">
        <f t="array" ref="Z14">IF(_xlfn.IFERROR(INDEX('Datos - Catálogo TIMSS'!$J$5:$J$107,MATCH(L14,'Datos - Catálogo TIMSS'!$A$5:$A$107,0)),"No")="Sí",1,0)</f>
        <v>1</v>
      </c>
      <c r="AA14" t="s" s="35">
        <v>1848</v>
      </c>
      <c r="AB14" s="39"/>
      <c r="AC14" t="str" s="39">
        <v>Ciencias físicas</v>
      </c>
      <c r="AD14" t="s" s="35">
        <v>1834</v>
      </c>
      <c r="AE14" t="str" s="39" cm="1">
        <f t="array" ref="AE14">IF(AD14="","",IF(LEFT(AD14,1)="1","C1",IF(LEFT(AD14,1)="2","C2",IF(LEFT(AD14,1)="3","C3",""))))</f>
        <v>C2</v>
      </c>
      <c r="AF14" t="s" s="35">
        <v>1602</v>
      </c>
      <c r="AG14" t="s" s="35">
        <v>1607</v>
      </c>
      <c r="AH14" t="s" s="35">
        <v>1602</v>
      </c>
      <c r="AI14" t="s" s="35">
        <v>1623</v>
      </c>
      <c r="AJ14" t="s" s="35">
        <v>1631</v>
      </c>
      <c r="AK14" s="39"/>
      <c r="AL14" s="39"/>
      <c r="AM14" s="39"/>
      <c r="AN14" s="39"/>
      <c r="AO14" s="39"/>
      <c r="AP14" s="39"/>
      <c r="AQ14" s="39"/>
      <c r="AR14" s="39"/>
      <c r="AS14" s="39"/>
      <c r="AT14" s="39"/>
      <c r="AU14" s="39"/>
      <c r="AV14" s="39"/>
      <c r="AW14" t="str" s="39" cm="1">
        <f t="array" ref="AW14">AF14&amp;"; "&amp;AG14&amp;"; "&amp;AH14&amp;"; "&amp;AI14&amp;"; "&amp;AJ14</f>
        <v>E1; E3; E1; D4; I4</v>
      </c>
    </row>
    <row r="15" ht="13.65" customHeight="1">
      <c r="A15" t="s" s="35">
        <v>1894</v>
      </c>
      <c r="B15" s="36">
        <v>2</v>
      </c>
      <c r="C15" t="s" s="35">
        <v>1823</v>
      </c>
      <c r="D15" t="s" s="35">
        <v>1824</v>
      </c>
      <c r="E15" t="s" s="35">
        <v>1825</v>
      </c>
      <c r="F15" s="36">
        <v>13</v>
      </c>
      <c r="G15" t="s" s="35">
        <v>1826</v>
      </c>
      <c r="H15" t="s" s="35">
        <v>1895</v>
      </c>
      <c r="I15" t="s" s="120">
        <v>1896</v>
      </c>
      <c r="J15" t="s" s="35">
        <v>1055</v>
      </c>
      <c r="K15" t="s" s="35">
        <v>1106</v>
      </c>
      <c r="L15" s="39"/>
      <c r="M15" t="str" s="39">
        <v>Ciencias físicas</v>
      </c>
      <c r="N15" t="str" s="39">
        <v>Propiedades y cambios de la materia</v>
      </c>
      <c r="O15" t="str" s="39" cm="1">
        <f t="array" ref="O15">IF(L15="","",_xlfn.IFERROR(INDEX('Datos - Catálogo TIMSS'!$C$5:$C$107,MATCH(L15,'Datos - Catálogo TIMSS'!$A$5:$A$107,0)),"?"))</f>
      </c>
      <c r="P15" t="s" s="35">
        <v>282</v>
      </c>
      <c r="Q15" t="s" s="120">
        <v>1897</v>
      </c>
      <c r="R15" t="s" s="120">
        <v>1898</v>
      </c>
      <c r="S15" s="121" cm="1">
        <f t="array" ref="S15">_xlfn.IFERROR(ISNUMBER(SEARCH("Conocer",$R15))/(ISNUMBER(SEARCH("Conocer",$R15))+ISNUMBER(SEARCH("Aplicar",$R15))+ISNUMBER(SEARCH("Razonar",$R15))),0)</f>
        <v>0</v>
      </c>
      <c r="T15" s="121" cm="1">
        <f t="array" ref="T15">_xlfn.IFERROR(ISNUMBER(SEARCH("Aplicar",$R15))/(ISNUMBER(SEARCH("Conocer",$R15))+ISNUMBER(SEARCH("Aplicar",$R15))+ISNUMBER(SEARCH("Razonar",$R15))),0)</f>
        <v>0.5</v>
      </c>
      <c r="U15" s="121" cm="1">
        <f t="array" ref="U15">_xlfn.IFERROR(ISNUMBER(SEARCH("Razonar",$R15))/(ISNUMBER(SEARCH("Conocer",$R15))+ISNUMBER(SEARCH("Aplicar",$R15))+ISNUMBER(SEARCH("Razonar",$R15))),0)</f>
        <v>0.5</v>
      </c>
      <c r="V15" t="s" s="35">
        <v>69</v>
      </c>
      <c r="W15" t="s" s="35">
        <v>112</v>
      </c>
      <c r="X15" s="36" cm="1">
        <f t="array" ref="X15">IF(OR(_xlfn.IFERROR(INDEX('Datos - Catálogo TIMSS'!$I$5:$I$107,MATCH(K15,'Datos - Catálogo TIMSS'!$A$5:$A$107,0)),"No")="Sí",_xlfn.IFERROR(INDEX('Datos - Catálogo TIMSS'!$I$5:$I$107,MATCH(L15,'Datos - Catálogo TIMSS'!$A$5:$A$107,0)),"No")="Sí"),1,0)</f>
        <v>0</v>
      </c>
      <c r="Y15" s="36" cm="1">
        <f t="array" ref="Y15">IF(_xlfn.IFERROR(INDEX('Datos - Catálogo TIMSS'!$J$5:$J$107,MATCH(K15,'Datos - Catálogo TIMSS'!$A$5:$A$107,0)),"No")="Sí",1,0)</f>
        <v>0</v>
      </c>
      <c r="Z15" s="36" cm="1">
        <f t="array" ref="Z15">IF(_xlfn.IFERROR(INDEX('Datos - Catálogo TIMSS'!$J$5:$J$107,MATCH(L15,'Datos - Catálogo TIMSS'!$A$5:$A$107,0)),"No")="Sí",1,0)</f>
        <v>0</v>
      </c>
      <c r="AA15" t="s" s="35">
        <v>1848</v>
      </c>
      <c r="AB15" t="s" s="35">
        <v>1899</v>
      </c>
      <c r="AC15" t="str" s="39">
        <v>Ciencias físicas</v>
      </c>
      <c r="AD15" t="s" s="35">
        <v>1900</v>
      </c>
      <c r="AE15" t="str" s="39" cm="1">
        <f t="array" ref="AE15">IF(AD15="","",IF(LEFT(AD15,1)="1","C1",IF(LEFT(AD15,1)="2","C2",IF(LEFT(AD15,1)="3","C3",""))))</f>
        <v>C3</v>
      </c>
      <c r="AF15" t="s" s="35">
        <v>1602</v>
      </c>
      <c r="AG15" t="s" s="35">
        <v>1617</v>
      </c>
      <c r="AH15" t="s" s="35">
        <v>1602</v>
      </c>
      <c r="AI15" t="s" s="35">
        <v>1619</v>
      </c>
      <c r="AJ15" t="s" s="35">
        <v>1633</v>
      </c>
      <c r="AK15" s="39"/>
      <c r="AL15" s="39"/>
      <c r="AM15" s="39"/>
      <c r="AN15" s="39"/>
      <c r="AO15" s="39"/>
      <c r="AP15" s="39"/>
      <c r="AQ15" s="39"/>
      <c r="AR15" s="39"/>
      <c r="AS15" s="39"/>
      <c r="AT15" s="39"/>
      <c r="AU15" s="39"/>
      <c r="AV15" s="39"/>
      <c r="AW15" t="str" s="39" cm="1">
        <f t="array" ref="AW15">AF15&amp;"; "&amp;AG15&amp;"; "&amp;AH15&amp;"; "&amp;AI15&amp;"; "&amp;AJ15</f>
        <v>E1; D1; E1; D2; I5</v>
      </c>
    </row>
    <row r="16" ht="13.65" customHeight="1">
      <c r="A16" t="s" s="35">
        <v>1903</v>
      </c>
      <c r="B16" s="36">
        <v>2</v>
      </c>
      <c r="C16" t="s" s="35">
        <v>1823</v>
      </c>
      <c r="D16" t="s" s="35">
        <v>1824</v>
      </c>
      <c r="E16" t="s" s="35">
        <v>1904</v>
      </c>
      <c r="F16" s="36">
        <v>3</v>
      </c>
      <c r="G16" t="s" s="35">
        <v>1905</v>
      </c>
      <c r="H16" t="s" s="35">
        <v>1906</v>
      </c>
      <c r="I16" t="s" s="120">
        <v>1907</v>
      </c>
      <c r="J16" t="s" s="35">
        <v>1055</v>
      </c>
      <c r="K16" t="s" s="35">
        <v>1112</v>
      </c>
      <c r="L16" s="39"/>
      <c r="M16" t="str" s="39">
        <v>Ciencias físicas</v>
      </c>
      <c r="N16" t="str" s="39">
        <v>Energía y transferencia de energía</v>
      </c>
      <c r="O16" t="str" s="39" cm="1">
        <f t="array" ref="O16">IF(L16="","",_xlfn.IFERROR(INDEX('Datos - Catálogo TIMSS'!$C$5:$C$107,MATCH(L16,'Datos - Catálogo TIMSS'!$A$5:$A$107,0)),"?"))</f>
      </c>
      <c r="P16" t="s" s="35">
        <v>282</v>
      </c>
      <c r="Q16" t="s" s="120">
        <v>1909</v>
      </c>
      <c r="R16" t="s" s="120">
        <v>1910</v>
      </c>
      <c r="S16" s="121" cm="1">
        <f t="array" ref="S16">_xlfn.IFERROR(ISNUMBER(SEARCH("Conocer",$R16))/(ISNUMBER(SEARCH("Conocer",$R16))+ISNUMBER(SEARCH("Aplicar",$R16))+ISNUMBER(SEARCH("Razonar",$R16))),0)</f>
        <v>1</v>
      </c>
      <c r="T16" s="121" cm="1">
        <f t="array" ref="T16">_xlfn.IFERROR(ISNUMBER(SEARCH("Aplicar",$R16))/(ISNUMBER(SEARCH("Conocer",$R16))+ISNUMBER(SEARCH("Aplicar",$R16))+ISNUMBER(SEARCH("Razonar",$R16))),0)</f>
        <v>0</v>
      </c>
      <c r="U16" s="121" cm="1">
        <f t="array" ref="U16">_xlfn.IFERROR(ISNUMBER(SEARCH("Razonar",$R16))/(ISNUMBER(SEARCH("Conocer",$R16))+ISNUMBER(SEARCH("Aplicar",$R16))+ISNUMBER(SEARCH("Razonar",$R16))),0)</f>
        <v>0</v>
      </c>
      <c r="V16" t="s" s="35">
        <v>69</v>
      </c>
      <c r="W16" t="s" s="35">
        <v>112</v>
      </c>
      <c r="X16" s="36" cm="1">
        <f t="array" ref="X16">IF(OR(_xlfn.IFERROR(INDEX('Datos - Catálogo TIMSS'!$I$5:$I$107,MATCH(K16,'Datos - Catálogo TIMSS'!$A$5:$A$107,0)),"No")="Sí",_xlfn.IFERROR(INDEX('Datos - Catálogo TIMSS'!$I$5:$I$107,MATCH(L16,'Datos - Catálogo TIMSS'!$A$5:$A$107,0)),"No")="Sí"),1,0)</f>
        <v>0</v>
      </c>
      <c r="Y16" s="36" cm="1">
        <f t="array" ref="Y16">IF(_xlfn.IFERROR(INDEX('Datos - Catálogo TIMSS'!$J$5:$J$107,MATCH(K16,'Datos - Catálogo TIMSS'!$A$5:$A$107,0)),"No")="Sí",1,0)</f>
        <v>0</v>
      </c>
      <c r="Z16" s="36" cm="1">
        <f t="array" ref="Z16">IF(_xlfn.IFERROR(INDEX('Datos - Catálogo TIMSS'!$J$5:$J$107,MATCH(L16,'Datos - Catálogo TIMSS'!$A$5:$A$107,0)),"No")="Sí",1,0)</f>
        <v>0</v>
      </c>
      <c r="AA16" t="s" s="35">
        <v>1911</v>
      </c>
      <c r="AB16" s="39"/>
      <c r="AC16" t="str" s="39">
        <v>Ciencias físicas</v>
      </c>
      <c r="AD16" t="s" s="35">
        <v>1859</v>
      </c>
      <c r="AE16" t="str" s="39" cm="1">
        <f t="array" ref="AE16">IF(AD16="","",IF(LEFT(AD16,1)="1","C1",IF(LEFT(AD16,1)="2","C2",IF(LEFT(AD16,1)="3","C3",""))))</f>
        <v>C1</v>
      </c>
      <c r="AF16" t="s" s="35">
        <v>1602</v>
      </c>
      <c r="AG16" t="s" s="35">
        <v>1612</v>
      </c>
      <c r="AH16" t="s" s="35">
        <v>1605</v>
      </c>
      <c r="AI16" t="s" s="35">
        <v>1623</v>
      </c>
      <c r="AJ16" t="s" s="35">
        <v>1602</v>
      </c>
      <c r="AK16" s="39"/>
      <c r="AL16" s="39"/>
      <c r="AM16" s="39"/>
      <c r="AN16" s="39"/>
      <c r="AO16" s="39"/>
      <c r="AP16" s="39"/>
      <c r="AQ16" s="39"/>
      <c r="AR16" s="39"/>
      <c r="AS16" s="39"/>
      <c r="AT16" s="39"/>
      <c r="AU16" s="39"/>
      <c r="AV16" s="39"/>
      <c r="AW16" t="str" s="39" cm="1">
        <f t="array" ref="AW16">AF16&amp;"; "&amp;AG16&amp;"; "&amp;AH16&amp;"; "&amp;AI16&amp;"; "&amp;AJ16</f>
        <v>E1; E5; E2; D4; E1</v>
      </c>
    </row>
    <row r="17" ht="13.65" customHeight="1">
      <c r="A17" t="s" s="35">
        <v>1913</v>
      </c>
      <c r="B17" s="36">
        <v>2</v>
      </c>
      <c r="C17" t="s" s="35">
        <v>1823</v>
      </c>
      <c r="D17" t="s" s="35">
        <v>1824</v>
      </c>
      <c r="E17" t="s" s="35">
        <v>1904</v>
      </c>
      <c r="F17" s="36">
        <v>4</v>
      </c>
      <c r="G17" t="s" s="35">
        <v>1905</v>
      </c>
      <c r="H17" t="s" s="35">
        <v>1914</v>
      </c>
      <c r="I17" t="s" s="120">
        <v>1915</v>
      </c>
      <c r="J17" t="s" s="35">
        <v>1055</v>
      </c>
      <c r="K17" t="s" s="35">
        <v>332</v>
      </c>
      <c r="L17" s="39"/>
      <c r="M17" t="str" s="39">
        <v>Ciencias físicas</v>
      </c>
      <c r="N17" t="str" s="39">
        <v>Movimiento y fuerzas</v>
      </c>
      <c r="O17" t="str" s="39" cm="1">
        <f t="array" ref="O17">IF(L17="","",_xlfn.IFERROR(INDEX('Datos - Catálogo TIMSS'!$C$5:$C$107,MATCH(L17,'Datos - Catálogo TIMSS'!$A$5:$A$107,0)),"?"))</f>
      </c>
      <c r="P17" t="s" s="35">
        <v>254</v>
      </c>
      <c r="Q17" t="s" s="120">
        <v>1917</v>
      </c>
      <c r="R17" t="s" s="120">
        <v>1918</v>
      </c>
      <c r="S17" s="121" cm="1">
        <f t="array" ref="S17">_xlfn.IFERROR(ISNUMBER(SEARCH("Conocer",$R17))/(ISNUMBER(SEARCH("Conocer",$R17))+ISNUMBER(SEARCH("Aplicar",$R17))+ISNUMBER(SEARCH("Razonar",$R17))),0)</f>
        <v>0</v>
      </c>
      <c r="T17" s="121" cm="1">
        <f t="array" ref="T17">_xlfn.IFERROR(ISNUMBER(SEARCH("Aplicar",$R17))/(ISNUMBER(SEARCH("Conocer",$R17))+ISNUMBER(SEARCH("Aplicar",$R17))+ISNUMBER(SEARCH("Razonar",$R17))),0)</f>
        <v>0.5</v>
      </c>
      <c r="U17" s="121" cm="1">
        <f t="array" ref="U17">_xlfn.IFERROR(ISNUMBER(SEARCH("Razonar",$R17))/(ISNUMBER(SEARCH("Conocer",$R17))+ISNUMBER(SEARCH("Aplicar",$R17))+ISNUMBER(SEARCH("Razonar",$R17))),0)</f>
        <v>0.5</v>
      </c>
      <c r="V17" t="s" s="35">
        <v>69</v>
      </c>
      <c r="W17" t="s" s="35">
        <v>112</v>
      </c>
      <c r="X17" s="36" cm="1">
        <f t="array" ref="X17">IF(OR(_xlfn.IFERROR(INDEX('Datos - Catálogo TIMSS'!$I$5:$I$107,MATCH(K17,'Datos - Catálogo TIMSS'!$A$5:$A$107,0)),"No")="Sí",_xlfn.IFERROR(INDEX('Datos - Catálogo TIMSS'!$I$5:$I$107,MATCH(L17,'Datos - Catálogo TIMSS'!$A$5:$A$107,0)),"No")="Sí"),1,0)</f>
        <v>0</v>
      </c>
      <c r="Y17" s="36" cm="1">
        <f t="array" ref="Y17">IF(_xlfn.IFERROR(INDEX('Datos - Catálogo TIMSS'!$J$5:$J$107,MATCH(K17,'Datos - Catálogo TIMSS'!$A$5:$A$107,0)),"No")="Sí",1,0)</f>
        <v>0</v>
      </c>
      <c r="Z17" s="36" cm="1">
        <f t="array" ref="Z17">IF(_xlfn.IFERROR(INDEX('Datos - Catálogo TIMSS'!$J$5:$J$107,MATCH(L17,'Datos - Catálogo TIMSS'!$A$5:$A$107,0)),"No")="Sí",1,0)</f>
        <v>0</v>
      </c>
      <c r="AA17" t="s" s="35">
        <v>1919</v>
      </c>
      <c r="AB17" s="39"/>
      <c r="AC17" t="str" s="39">
        <v>Ciencias físicas</v>
      </c>
      <c r="AD17" t="s" s="35">
        <v>1834</v>
      </c>
      <c r="AE17" t="str" s="39" cm="1">
        <f t="array" ref="AE17">IF(AD17="","",IF(LEFT(AD17,1)="1","C1",IF(LEFT(AD17,1)="2","C2",IF(LEFT(AD17,1)="3","C3",""))))</f>
        <v>C2</v>
      </c>
      <c r="AF17" t="s" s="35">
        <v>1602</v>
      </c>
      <c r="AG17" t="s" s="35">
        <v>1607</v>
      </c>
      <c r="AH17" t="s" s="35">
        <v>1602</v>
      </c>
      <c r="AI17" t="s" s="35">
        <v>1619</v>
      </c>
      <c r="AJ17" t="s" s="35">
        <v>1621</v>
      </c>
      <c r="AK17" s="39"/>
      <c r="AL17" s="39"/>
      <c r="AM17" s="39"/>
      <c r="AN17" s="39"/>
      <c r="AO17" s="39"/>
      <c r="AP17" s="39"/>
      <c r="AQ17" s="39"/>
      <c r="AR17" s="39"/>
      <c r="AS17" s="39"/>
      <c r="AT17" s="39"/>
      <c r="AU17" s="39"/>
      <c r="AV17" s="39"/>
      <c r="AW17" t="str" s="39" cm="1">
        <f t="array" ref="AW17">AF17&amp;"; "&amp;AG17&amp;"; "&amp;AH17&amp;"; "&amp;AI17&amp;"; "&amp;AJ17</f>
        <v>E1; E3; E1; D2; D3</v>
      </c>
    </row>
    <row r="18" ht="13.65" customHeight="1">
      <c r="A18" t="s" s="35">
        <v>1921</v>
      </c>
      <c r="B18" s="36">
        <v>2</v>
      </c>
      <c r="C18" t="s" s="35">
        <v>1823</v>
      </c>
      <c r="D18" t="s" s="35">
        <v>1824</v>
      </c>
      <c r="E18" t="s" s="35">
        <v>1904</v>
      </c>
      <c r="F18" s="36">
        <v>5</v>
      </c>
      <c r="G18" t="s" s="35">
        <v>1905</v>
      </c>
      <c r="H18" t="s" s="35">
        <v>1914</v>
      </c>
      <c r="I18" t="s" s="120">
        <v>1922</v>
      </c>
      <c r="J18" t="s" s="35">
        <v>1055</v>
      </c>
      <c r="K18" t="s" s="35">
        <v>1112</v>
      </c>
      <c r="L18" s="39"/>
      <c r="M18" t="str" s="39">
        <v>Ciencias físicas</v>
      </c>
      <c r="N18" t="str" s="39">
        <v>Energía y transferencia de energía</v>
      </c>
      <c r="O18" t="str" s="39" cm="1">
        <f t="array" ref="O18">IF(L18="","",_xlfn.IFERROR(INDEX('Datos - Catálogo TIMSS'!$C$5:$C$107,MATCH(L18,'Datos - Catálogo TIMSS'!$A$5:$A$107,0)),"?"))</f>
      </c>
      <c r="P18" t="s" s="35">
        <v>254</v>
      </c>
      <c r="Q18" t="s" s="120">
        <v>1923</v>
      </c>
      <c r="R18" t="s" s="120">
        <v>1847</v>
      </c>
      <c r="S18" s="121" cm="1">
        <f t="array" ref="S18">_xlfn.IFERROR(ISNUMBER(SEARCH("Conocer",$R18))/(ISNUMBER(SEARCH("Conocer",$R18))+ISNUMBER(SEARCH("Aplicar",$R18))+ISNUMBER(SEARCH("Razonar",$R18))),0)</f>
        <v>0</v>
      </c>
      <c r="T18" s="121" cm="1">
        <f t="array" ref="T18">_xlfn.IFERROR(ISNUMBER(SEARCH("Aplicar",$R18))/(ISNUMBER(SEARCH("Conocer",$R18))+ISNUMBER(SEARCH("Aplicar",$R18))+ISNUMBER(SEARCH("Razonar",$R18))),0)</f>
        <v>1</v>
      </c>
      <c r="U18" s="121" cm="1">
        <f t="array" ref="U18">_xlfn.IFERROR(ISNUMBER(SEARCH("Razonar",$R18))/(ISNUMBER(SEARCH("Conocer",$R18))+ISNUMBER(SEARCH("Aplicar",$R18))+ISNUMBER(SEARCH("Razonar",$R18))),0)</f>
        <v>0</v>
      </c>
      <c r="V18" t="s" s="35">
        <v>69</v>
      </c>
      <c r="W18" t="s" s="35">
        <v>112</v>
      </c>
      <c r="X18" s="36" cm="1">
        <f t="array" ref="X18">IF(OR(_xlfn.IFERROR(INDEX('Datos - Catálogo TIMSS'!$I$5:$I$107,MATCH(K18,'Datos - Catálogo TIMSS'!$A$5:$A$107,0)),"No")="Sí",_xlfn.IFERROR(INDEX('Datos - Catálogo TIMSS'!$I$5:$I$107,MATCH(L18,'Datos - Catálogo TIMSS'!$A$5:$A$107,0)),"No")="Sí"),1,0)</f>
        <v>0</v>
      </c>
      <c r="Y18" s="36" cm="1">
        <f t="array" ref="Y18">IF(_xlfn.IFERROR(INDEX('Datos - Catálogo TIMSS'!$J$5:$J$107,MATCH(K18,'Datos - Catálogo TIMSS'!$A$5:$A$107,0)),"No")="Sí",1,0)</f>
        <v>0</v>
      </c>
      <c r="Z18" s="36" cm="1">
        <f t="array" ref="Z18">IF(_xlfn.IFERROR(INDEX('Datos - Catálogo TIMSS'!$J$5:$J$107,MATCH(L18,'Datos - Catálogo TIMSS'!$A$5:$A$107,0)),"No")="Sí",1,0)</f>
        <v>0</v>
      </c>
      <c r="AA18" t="s" s="35">
        <v>1911</v>
      </c>
      <c r="AB18" t="s" s="35">
        <v>1924</v>
      </c>
      <c r="AC18" t="str" s="39">
        <v>Ciencias físicas</v>
      </c>
      <c r="AD18" t="s" s="35">
        <v>1859</v>
      </c>
      <c r="AE18" t="str" s="39" cm="1">
        <f t="array" ref="AE18">IF(AD18="","",IF(LEFT(AD18,1)="1","C1",IF(LEFT(AD18,1)="2","C2",IF(LEFT(AD18,1)="3","C3",""))))</f>
        <v>C1</v>
      </c>
      <c r="AF18" t="s" s="35">
        <v>1602</v>
      </c>
      <c r="AG18" t="s" s="35">
        <v>1617</v>
      </c>
      <c r="AH18" t="s" s="35">
        <v>1602</v>
      </c>
      <c r="AI18" t="s" s="35">
        <v>1623</v>
      </c>
      <c r="AJ18" t="s" s="35">
        <v>1615</v>
      </c>
      <c r="AK18" s="39"/>
      <c r="AL18" s="39"/>
      <c r="AM18" s="39"/>
      <c r="AN18" s="39"/>
      <c r="AO18" s="39"/>
      <c r="AP18" s="39"/>
      <c r="AQ18" s="39"/>
      <c r="AR18" s="39"/>
      <c r="AS18" s="39"/>
      <c r="AT18" s="39"/>
      <c r="AU18" s="39"/>
      <c r="AV18" s="39"/>
      <c r="AW18" t="str" s="39" cm="1">
        <f t="array" ref="AW18">AF18&amp;"; "&amp;AG18&amp;"; "&amp;AH18&amp;"; "&amp;AI18&amp;"; "&amp;AJ18</f>
        <v>E1; D1; E1; D4; E6</v>
      </c>
    </row>
    <row r="19" ht="13.65" customHeight="1">
      <c r="A19" t="s" s="35">
        <v>1926</v>
      </c>
      <c r="B19" s="36">
        <v>2</v>
      </c>
      <c r="C19" t="s" s="35">
        <v>1823</v>
      </c>
      <c r="D19" t="s" s="35">
        <v>1824</v>
      </c>
      <c r="E19" t="s" s="35">
        <v>1904</v>
      </c>
      <c r="F19" s="36">
        <v>6</v>
      </c>
      <c r="G19" t="s" s="35">
        <v>1905</v>
      </c>
      <c r="H19" t="s" s="35">
        <v>1914</v>
      </c>
      <c r="I19" t="s" s="120">
        <v>1927</v>
      </c>
      <c r="J19" t="s" s="35">
        <v>1055</v>
      </c>
      <c r="K19" t="s" s="35">
        <v>1148</v>
      </c>
      <c r="L19" t="s" s="35">
        <v>1112</v>
      </c>
      <c r="M19" t="str" s="39">
        <v>Ciencias de la Tierra</v>
      </c>
      <c r="N19" t="str" s="39">
        <v>Recursos de la Tierra, uso y conservación</v>
      </c>
      <c r="O19" t="str" s="39" cm="1">
        <f t="array" ref="O19">IF(L19="","",_xlfn.IFERROR(INDEX('Datos - Catálogo TIMSS'!$C$5:$C$107,MATCH(L19,'Datos - Catálogo TIMSS'!$A$5:$A$107,0)),"?"))</f>
        <v>Ciencias físicas</v>
      </c>
      <c r="P19" t="s" s="35">
        <v>282</v>
      </c>
      <c r="Q19" t="s" s="120">
        <v>1929</v>
      </c>
      <c r="R19" t="s" s="120">
        <v>1930</v>
      </c>
      <c r="S19" s="121" cm="1">
        <f t="array" ref="S19">_xlfn.IFERROR(ISNUMBER(SEARCH("Conocer",$R19))/(ISNUMBER(SEARCH("Conocer",$R19))+ISNUMBER(SEARCH("Aplicar",$R19))+ISNUMBER(SEARCH("Razonar",$R19))),0)</f>
        <v>0.5</v>
      </c>
      <c r="T19" s="121" cm="1">
        <f t="array" ref="T19">_xlfn.IFERROR(ISNUMBER(SEARCH("Aplicar",$R19))/(ISNUMBER(SEARCH("Conocer",$R19))+ISNUMBER(SEARCH("Aplicar",$R19))+ISNUMBER(SEARCH("Razonar",$R19))),0)</f>
        <v>0.5</v>
      </c>
      <c r="U19" s="121" cm="1">
        <f t="array" ref="U19">_xlfn.IFERROR(ISNUMBER(SEARCH("Razonar",$R19))/(ISNUMBER(SEARCH("Conocer",$R19))+ISNUMBER(SEARCH("Aplicar",$R19))+ISNUMBER(SEARCH("Razonar",$R19))),0)</f>
        <v>0</v>
      </c>
      <c r="V19" t="s" s="35">
        <v>69</v>
      </c>
      <c r="W19" t="s" s="35">
        <v>112</v>
      </c>
      <c r="X19" s="36" cm="1">
        <f t="array" ref="X19">IF(OR(_xlfn.IFERROR(INDEX('Datos - Catálogo TIMSS'!$I$5:$I$107,MATCH(K19,'Datos - Catálogo TIMSS'!$A$5:$A$107,0)),"No")="Sí",_xlfn.IFERROR(INDEX('Datos - Catálogo TIMSS'!$I$5:$I$107,MATCH(L19,'Datos - Catálogo TIMSS'!$A$5:$A$107,0)),"No")="Sí"),1,0)</f>
        <v>1</v>
      </c>
      <c r="Y19" s="36" cm="1">
        <f t="array" ref="Y19">IF(_xlfn.IFERROR(INDEX('Datos - Catálogo TIMSS'!$J$5:$J$107,MATCH(K19,'Datos - Catálogo TIMSS'!$A$5:$A$107,0)),"No")="Sí",1,0)</f>
        <v>0</v>
      </c>
      <c r="Z19" s="36" cm="1">
        <f t="array" ref="Z19">IF(_xlfn.IFERROR(INDEX('Datos - Catálogo TIMSS'!$J$5:$J$107,MATCH(L19,'Datos - Catálogo TIMSS'!$A$5:$A$107,0)),"No")="Sí",1,0)</f>
        <v>0</v>
      </c>
      <c r="AA19" t="s" s="35">
        <v>1911</v>
      </c>
      <c r="AB19" s="39"/>
      <c r="AC19" t="str" s="39">
        <v>Ciencias físicas</v>
      </c>
      <c r="AD19" t="s" s="35">
        <v>1900</v>
      </c>
      <c r="AE19" t="str" s="39" cm="1">
        <f t="array" ref="AE19">IF(AD19="","",IF(LEFT(AD19,1)="1","C1",IF(LEFT(AD19,1)="2","C2",IF(LEFT(AD19,1)="3","C3",""))))</f>
        <v>C3</v>
      </c>
      <c r="AF19" t="s" s="35">
        <v>1615</v>
      </c>
      <c r="AG19" t="s" s="35">
        <v>1612</v>
      </c>
      <c r="AH19" t="s" s="35">
        <v>1605</v>
      </c>
      <c r="AI19" t="s" s="35">
        <v>1625</v>
      </c>
      <c r="AJ19" t="s" s="35">
        <v>1633</v>
      </c>
      <c r="AK19" s="39"/>
      <c r="AL19" s="39"/>
      <c r="AM19" s="39"/>
      <c r="AN19" s="39"/>
      <c r="AO19" s="39"/>
      <c r="AP19" s="39"/>
      <c r="AQ19" s="39"/>
      <c r="AR19" s="39"/>
      <c r="AS19" s="39"/>
      <c r="AT19" s="39"/>
      <c r="AU19" s="39"/>
      <c r="AV19" s="39"/>
      <c r="AW19" t="str" s="39" cm="1">
        <f t="array" ref="AW19">AF19&amp;"; "&amp;AG19&amp;"; "&amp;AH19&amp;"; "&amp;AI19&amp;"; "&amp;AJ19</f>
        <v>E6; E5; E2; I1; I5</v>
      </c>
    </row>
    <row r="20" ht="13.65" customHeight="1">
      <c r="A20" t="s" s="35">
        <v>1932</v>
      </c>
      <c r="B20" s="36">
        <v>2</v>
      </c>
      <c r="C20" t="s" s="35">
        <v>1823</v>
      </c>
      <c r="D20" t="s" s="35">
        <v>1824</v>
      </c>
      <c r="E20" t="s" s="35">
        <v>1904</v>
      </c>
      <c r="F20" s="36">
        <v>7</v>
      </c>
      <c r="G20" t="s" s="35">
        <v>1905</v>
      </c>
      <c r="H20" t="s" s="35">
        <v>1914</v>
      </c>
      <c r="I20" t="s" s="120">
        <v>1933</v>
      </c>
      <c r="J20" t="s" s="35">
        <v>1055</v>
      </c>
      <c r="K20" t="s" s="35">
        <v>1112</v>
      </c>
      <c r="L20" s="39"/>
      <c r="M20" t="str" s="39">
        <v>Ciencias físicas</v>
      </c>
      <c r="N20" t="str" s="39">
        <v>Energía y transferencia de energía</v>
      </c>
      <c r="O20" t="str" s="39" cm="1">
        <f t="array" ref="O20">IF(L20="","",_xlfn.IFERROR(INDEX('Datos - Catálogo TIMSS'!$C$5:$C$107,MATCH(L20,'Datos - Catálogo TIMSS'!$A$5:$A$107,0)),"?"))</f>
      </c>
      <c r="P20" t="s" s="35">
        <v>282</v>
      </c>
      <c r="Q20" t="s" s="120">
        <v>1934</v>
      </c>
      <c r="R20" t="s" s="120">
        <v>1853</v>
      </c>
      <c r="S20" s="121" cm="1">
        <f t="array" ref="S20">_xlfn.IFERROR(ISNUMBER(SEARCH("Conocer",$R20))/(ISNUMBER(SEARCH("Conocer",$R20))+ISNUMBER(SEARCH("Aplicar",$R20))+ISNUMBER(SEARCH("Razonar",$R20))),0)</f>
        <v>0.5</v>
      </c>
      <c r="T20" s="121" cm="1">
        <f t="array" ref="T20">_xlfn.IFERROR(ISNUMBER(SEARCH("Aplicar",$R20))/(ISNUMBER(SEARCH("Conocer",$R20))+ISNUMBER(SEARCH("Aplicar",$R20))+ISNUMBER(SEARCH("Razonar",$R20))),0)</f>
        <v>0.5</v>
      </c>
      <c r="U20" s="121" cm="1">
        <f t="array" ref="U20">_xlfn.IFERROR(ISNUMBER(SEARCH("Razonar",$R20))/(ISNUMBER(SEARCH("Conocer",$R20))+ISNUMBER(SEARCH("Aplicar",$R20))+ISNUMBER(SEARCH("Razonar",$R20))),0)</f>
        <v>0</v>
      </c>
      <c r="V20" t="s" s="35">
        <v>69</v>
      </c>
      <c r="W20" t="s" s="35">
        <v>112</v>
      </c>
      <c r="X20" s="36" cm="1">
        <f t="array" ref="X20">IF(OR(_xlfn.IFERROR(INDEX('Datos - Catálogo TIMSS'!$I$5:$I$107,MATCH(K20,'Datos - Catálogo TIMSS'!$A$5:$A$107,0)),"No")="Sí",_xlfn.IFERROR(INDEX('Datos - Catálogo TIMSS'!$I$5:$I$107,MATCH(L20,'Datos - Catálogo TIMSS'!$A$5:$A$107,0)),"No")="Sí"),1,0)</f>
        <v>0</v>
      </c>
      <c r="Y20" s="36" cm="1">
        <f t="array" ref="Y20">IF(_xlfn.IFERROR(INDEX('Datos - Catálogo TIMSS'!$J$5:$J$107,MATCH(K20,'Datos - Catálogo TIMSS'!$A$5:$A$107,0)),"No")="Sí",1,0)</f>
        <v>0</v>
      </c>
      <c r="Z20" s="36" cm="1">
        <f t="array" ref="Z20">IF(_xlfn.IFERROR(INDEX('Datos - Catálogo TIMSS'!$J$5:$J$107,MATCH(L20,'Datos - Catálogo TIMSS'!$A$5:$A$107,0)),"No")="Sí",1,0)</f>
        <v>0</v>
      </c>
      <c r="AA20" t="s" s="35">
        <v>1911</v>
      </c>
      <c r="AB20" s="39"/>
      <c r="AC20" t="str" s="39">
        <v>Ciencias físicas</v>
      </c>
      <c r="AD20" t="s" s="35">
        <v>1859</v>
      </c>
      <c r="AE20" t="str" s="39" cm="1">
        <f t="array" ref="AE20">IF(AD20="","",IF(LEFT(AD20,1)="1","C1",IF(LEFT(AD20,1)="2","C2",IF(LEFT(AD20,1)="3","C3",""))))</f>
        <v>C1</v>
      </c>
      <c r="AF20" t="s" s="35">
        <v>1602</v>
      </c>
      <c r="AG20" t="s" s="35">
        <v>1617</v>
      </c>
      <c r="AH20" t="s" s="35">
        <v>1602</v>
      </c>
      <c r="AI20" t="s" s="35">
        <v>1623</v>
      </c>
      <c r="AJ20" t="s" s="35">
        <v>1633</v>
      </c>
      <c r="AK20" s="39"/>
      <c r="AL20" s="39"/>
      <c r="AM20" s="39"/>
      <c r="AN20" s="39"/>
      <c r="AO20" s="39"/>
      <c r="AP20" s="39"/>
      <c r="AQ20" s="39"/>
      <c r="AR20" s="39"/>
      <c r="AS20" s="39"/>
      <c r="AT20" s="39"/>
      <c r="AU20" s="39"/>
      <c r="AV20" s="39"/>
      <c r="AW20" t="str" s="39" cm="1">
        <f t="array" ref="AW20">AF20&amp;"; "&amp;AG20&amp;"; "&amp;AH20&amp;"; "&amp;AI20&amp;"; "&amp;AJ20</f>
        <v>E1; D1; E1; D4; I5</v>
      </c>
    </row>
    <row r="21" ht="13.65" customHeight="1">
      <c r="A21" t="s" s="35">
        <v>1936</v>
      </c>
      <c r="B21" s="36">
        <v>2</v>
      </c>
      <c r="C21" t="s" s="35">
        <v>1823</v>
      </c>
      <c r="D21" t="s" s="35">
        <v>1824</v>
      </c>
      <c r="E21" t="s" s="35">
        <v>1904</v>
      </c>
      <c r="F21" s="36">
        <v>8</v>
      </c>
      <c r="G21" t="s" s="35">
        <v>1905</v>
      </c>
      <c r="H21" t="s" s="35">
        <v>1914</v>
      </c>
      <c r="I21" t="s" s="120">
        <v>1937</v>
      </c>
      <c r="J21" t="s" s="35">
        <v>1055</v>
      </c>
      <c r="K21" t="s" s="35">
        <v>303</v>
      </c>
      <c r="L21" s="39"/>
      <c r="M21" t="str" s="39">
        <v>Ciencias físicas</v>
      </c>
      <c r="N21" t="str" s="39">
        <v>Luz y sonido</v>
      </c>
      <c r="O21" t="str" s="39" cm="1">
        <f t="array" ref="O21">IF(L21="","",_xlfn.IFERROR(INDEX('Datos - Catálogo TIMSS'!$C$5:$C$107,MATCH(L21,'Datos - Catálogo TIMSS'!$A$5:$A$107,0)),"?"))</f>
      </c>
      <c r="P21" t="s" s="35">
        <v>254</v>
      </c>
      <c r="Q21" t="s" s="120">
        <v>1939</v>
      </c>
      <c r="R21" t="s" s="120">
        <v>1940</v>
      </c>
      <c r="S21" s="121" cm="1">
        <f t="array" ref="S21">_xlfn.IFERROR(ISNUMBER(SEARCH("Conocer",$R21))/(ISNUMBER(SEARCH("Conocer",$R21))+ISNUMBER(SEARCH("Aplicar",$R21))+ISNUMBER(SEARCH("Razonar",$R21))),0)</f>
        <v>0.5</v>
      </c>
      <c r="T21" s="121" cm="1">
        <f t="array" ref="T21">_xlfn.IFERROR(ISNUMBER(SEARCH("Aplicar",$R21))/(ISNUMBER(SEARCH("Conocer",$R21))+ISNUMBER(SEARCH("Aplicar",$R21))+ISNUMBER(SEARCH("Razonar",$R21))),0)</f>
        <v>0.5</v>
      </c>
      <c r="U21" s="121" cm="1">
        <f t="array" ref="U21">_xlfn.IFERROR(ISNUMBER(SEARCH("Razonar",$R21))/(ISNUMBER(SEARCH("Conocer",$R21))+ISNUMBER(SEARCH("Aplicar",$R21))+ISNUMBER(SEARCH("Razonar",$R21))),0)</f>
        <v>0</v>
      </c>
      <c r="V21" t="s" s="35">
        <v>69</v>
      </c>
      <c r="W21" t="s" s="35">
        <v>112</v>
      </c>
      <c r="X21" s="36" cm="1">
        <f t="array" ref="X21">IF(OR(_xlfn.IFERROR(INDEX('Datos - Catálogo TIMSS'!$I$5:$I$107,MATCH(K21,'Datos - Catálogo TIMSS'!$A$5:$A$107,0)),"No")="Sí",_xlfn.IFERROR(INDEX('Datos - Catálogo TIMSS'!$I$5:$I$107,MATCH(L21,'Datos - Catálogo TIMSS'!$A$5:$A$107,0)),"No")="Sí"),1,0)</f>
        <v>0</v>
      </c>
      <c r="Y21" s="36" cm="1">
        <f t="array" ref="Y21">IF(_xlfn.IFERROR(INDEX('Datos - Catálogo TIMSS'!$J$5:$J$107,MATCH(K21,'Datos - Catálogo TIMSS'!$A$5:$A$107,0)),"No")="Sí",1,0)</f>
        <v>0</v>
      </c>
      <c r="Z21" s="36" cm="1">
        <f t="array" ref="Z21">IF(_xlfn.IFERROR(INDEX('Datos - Catálogo TIMSS'!$J$5:$J$107,MATCH(L21,'Datos - Catálogo TIMSS'!$A$5:$A$107,0)),"No")="Sí",1,0)</f>
        <v>0</v>
      </c>
      <c r="AA21" t="s" s="35">
        <v>1941</v>
      </c>
      <c r="AB21" s="39"/>
      <c r="AC21" t="str" s="39">
        <v>Ciencias físicas</v>
      </c>
      <c r="AD21" t="s" s="35">
        <v>1859</v>
      </c>
      <c r="AE21" t="str" s="39" cm="1">
        <f t="array" ref="AE21">IF(AD21="","",IF(LEFT(AD21,1)="1","C1",IF(LEFT(AD21,1)="2","C2",IF(LEFT(AD21,1)="3","C3",""))))</f>
        <v>C1</v>
      </c>
      <c r="AF21" t="s" s="35">
        <v>1602</v>
      </c>
      <c r="AG21" t="s" s="35">
        <v>1612</v>
      </c>
      <c r="AH21" t="s" s="35">
        <v>1602</v>
      </c>
      <c r="AI21" t="s" s="35">
        <v>1619</v>
      </c>
      <c r="AJ21" t="s" s="35">
        <v>1607</v>
      </c>
      <c r="AK21" s="39"/>
      <c r="AL21" s="39"/>
      <c r="AM21" s="39"/>
      <c r="AN21" s="39"/>
      <c r="AO21" s="39"/>
      <c r="AP21" s="39"/>
      <c r="AQ21" s="39"/>
      <c r="AR21" s="39"/>
      <c r="AS21" s="39"/>
      <c r="AT21" s="39"/>
      <c r="AU21" s="39"/>
      <c r="AV21" s="39"/>
      <c r="AW21" t="str" s="39" cm="1">
        <f t="array" ref="AW21">AF21&amp;"; "&amp;AG21&amp;"; "&amp;AH21&amp;"; "&amp;AI21&amp;"; "&amp;AJ21</f>
        <v>E1; E5; E1; D2; E3</v>
      </c>
    </row>
    <row r="22" ht="13.65" customHeight="1">
      <c r="A22" t="s" s="35">
        <v>1942</v>
      </c>
      <c r="B22" s="36">
        <v>2</v>
      </c>
      <c r="C22" t="s" s="35">
        <v>1823</v>
      </c>
      <c r="D22" t="s" s="35">
        <v>1824</v>
      </c>
      <c r="E22" t="s" s="35">
        <v>1904</v>
      </c>
      <c r="F22" s="36">
        <v>9</v>
      </c>
      <c r="G22" t="s" s="35">
        <v>1905</v>
      </c>
      <c r="H22" t="s" s="35">
        <v>1943</v>
      </c>
      <c r="I22" t="s" s="120">
        <v>1944</v>
      </c>
      <c r="J22" t="s" s="35">
        <v>1055</v>
      </c>
      <c r="K22" t="s" s="35">
        <v>1116</v>
      </c>
      <c r="L22" t="s" s="35">
        <v>1136</v>
      </c>
      <c r="M22" t="str" s="39">
        <v>Ciencias físicas</v>
      </c>
      <c r="N22" t="str" s="39">
        <v>Energía y transferencia de energía</v>
      </c>
      <c r="O22" t="str" s="39" cm="1">
        <f t="array" ref="O22">IF(L22="","",_xlfn.IFERROR(INDEX('Datos - Catálogo TIMSS'!$C$5:$C$107,MATCH(L22,'Datos - Catálogo TIMSS'!$A$5:$A$107,0)),"?"))</f>
        <v>Ciencias físicas</v>
      </c>
      <c r="P22" t="s" s="35">
        <v>282</v>
      </c>
      <c r="Q22" t="s" s="120">
        <v>1945</v>
      </c>
      <c r="R22" t="s" s="120">
        <v>1872</v>
      </c>
      <c r="S22" s="121" cm="1">
        <f t="array" ref="S22">_xlfn.IFERROR(ISNUMBER(SEARCH("Conocer",$R22))/(ISNUMBER(SEARCH("Conocer",$R22))+ISNUMBER(SEARCH("Aplicar",$R22))+ISNUMBER(SEARCH("Razonar",$R22))),0)</f>
        <v>0</v>
      </c>
      <c r="T22" s="121" cm="1">
        <f t="array" ref="T22">_xlfn.IFERROR(ISNUMBER(SEARCH("Aplicar",$R22))/(ISNUMBER(SEARCH("Conocer",$R22))+ISNUMBER(SEARCH("Aplicar",$R22))+ISNUMBER(SEARCH("Razonar",$R22))),0)</f>
        <v>0</v>
      </c>
      <c r="U22" s="121" cm="1">
        <f t="array" ref="U22">_xlfn.IFERROR(ISNUMBER(SEARCH("Razonar",$R22))/(ISNUMBER(SEARCH("Conocer",$R22))+ISNUMBER(SEARCH("Aplicar",$R22))+ISNUMBER(SEARCH("Razonar",$R22))),0)</f>
        <v>1</v>
      </c>
      <c r="V22" t="s" s="35">
        <v>69</v>
      </c>
      <c r="W22" t="s" s="35">
        <v>112</v>
      </c>
      <c r="X22" s="36" cm="1">
        <f t="array" ref="X22">IF(OR(_xlfn.IFERROR(INDEX('Datos - Catálogo TIMSS'!$I$5:$I$107,MATCH(K22,'Datos - Catálogo TIMSS'!$A$5:$A$107,0)),"No")="Sí",_xlfn.IFERROR(INDEX('Datos - Catálogo TIMSS'!$I$5:$I$107,MATCH(L22,'Datos - Catálogo TIMSS'!$A$5:$A$107,0)),"No")="Sí"),1,0)</f>
        <v>0</v>
      </c>
      <c r="Y22" s="36" cm="1">
        <f t="array" ref="Y22">IF(_xlfn.IFERROR(INDEX('Datos - Catálogo TIMSS'!$J$5:$J$107,MATCH(K22,'Datos - Catálogo TIMSS'!$A$5:$A$107,0)),"No")="Sí",1,0)</f>
        <v>0</v>
      </c>
      <c r="Z22" s="36" cm="1">
        <f t="array" ref="Z22">IF(_xlfn.IFERROR(INDEX('Datos - Catálogo TIMSS'!$J$5:$J$107,MATCH(L22,'Datos - Catálogo TIMSS'!$A$5:$A$107,0)),"No")="Sí",1,0)</f>
        <v>1</v>
      </c>
      <c r="AA22" t="s" s="35">
        <v>1911</v>
      </c>
      <c r="AB22" t="s" s="35">
        <v>1946</v>
      </c>
      <c r="AC22" t="str" s="39">
        <v>Ciencias físicas</v>
      </c>
      <c r="AD22" t="s" s="35">
        <v>1834</v>
      </c>
      <c r="AE22" t="str" s="39" cm="1">
        <f t="array" ref="AE22">IF(AD22="","",IF(LEFT(AD22,1)="1","C1",IF(LEFT(AD22,1)="2","C2",IF(LEFT(AD22,1)="3","C3",""))))</f>
        <v>C2</v>
      </c>
      <c r="AF22" t="s" s="35">
        <v>1602</v>
      </c>
      <c r="AG22" t="s" s="35">
        <v>1607</v>
      </c>
      <c r="AH22" t="s" s="35">
        <v>1602</v>
      </c>
      <c r="AI22" t="s" s="35">
        <v>1621</v>
      </c>
      <c r="AJ22" t="s" s="35">
        <v>1615</v>
      </c>
      <c r="AK22" s="39"/>
      <c r="AL22" s="39"/>
      <c r="AM22" s="39"/>
      <c r="AN22" s="39"/>
      <c r="AO22" s="39"/>
      <c r="AP22" s="39"/>
      <c r="AQ22" s="39"/>
      <c r="AR22" s="39"/>
      <c r="AS22" s="39"/>
      <c r="AT22" s="39"/>
      <c r="AU22" s="39"/>
      <c r="AV22" s="39"/>
      <c r="AW22" t="str" s="39" cm="1">
        <f t="array" ref="AW22">AF22&amp;"; "&amp;AG22&amp;"; "&amp;AH22&amp;"; "&amp;AI22&amp;"; "&amp;AJ22</f>
        <v>E1; E3; E1; D3; E6</v>
      </c>
    </row>
    <row r="23" ht="13.65" customHeight="1">
      <c r="A23" t="s" s="35">
        <v>1948</v>
      </c>
      <c r="B23" s="36">
        <v>2</v>
      </c>
      <c r="C23" t="s" s="35">
        <v>1823</v>
      </c>
      <c r="D23" t="s" s="35">
        <v>1824</v>
      </c>
      <c r="E23" t="s" s="35">
        <v>1904</v>
      </c>
      <c r="F23" s="36">
        <v>10</v>
      </c>
      <c r="G23" t="s" s="35">
        <v>1905</v>
      </c>
      <c r="H23" t="s" s="35">
        <v>1949</v>
      </c>
      <c r="I23" t="s" s="120">
        <v>1950</v>
      </c>
      <c r="J23" t="s" s="35">
        <v>1055</v>
      </c>
      <c r="K23" t="s" s="35">
        <v>1148</v>
      </c>
      <c r="L23" s="39"/>
      <c r="M23" t="str" s="39">
        <v>Ciencias de la Tierra</v>
      </c>
      <c r="N23" t="str" s="39">
        <v>Recursos de la Tierra, uso y conservación</v>
      </c>
      <c r="O23" t="str" s="39" cm="1">
        <f t="array" ref="O23">IF(L23="","",_xlfn.IFERROR(INDEX('Datos - Catálogo TIMSS'!$C$5:$C$107,MATCH(L23,'Datos - Catálogo TIMSS'!$A$5:$A$107,0)),"?"))</f>
      </c>
      <c r="P23" t="s" s="35">
        <v>282</v>
      </c>
      <c r="Q23" t="s" s="120">
        <v>1951</v>
      </c>
      <c r="R23" t="s" s="120">
        <v>1858</v>
      </c>
      <c r="S23" s="121" cm="1">
        <f t="array" ref="S23">_xlfn.IFERROR(ISNUMBER(SEARCH("Conocer",$R23))/(ISNUMBER(SEARCH("Conocer",$R23))+ISNUMBER(SEARCH("Aplicar",$R23))+ISNUMBER(SEARCH("Razonar",$R23))),0)</f>
        <v>0</v>
      </c>
      <c r="T23" s="121" cm="1">
        <f t="array" ref="T23">_xlfn.IFERROR(ISNUMBER(SEARCH("Aplicar",$R23))/(ISNUMBER(SEARCH("Conocer",$R23))+ISNUMBER(SEARCH("Aplicar",$R23))+ISNUMBER(SEARCH("Razonar",$R23))),0)</f>
        <v>0.5</v>
      </c>
      <c r="U23" s="121" cm="1">
        <f t="array" ref="U23">_xlfn.IFERROR(ISNUMBER(SEARCH("Razonar",$R23))/(ISNUMBER(SEARCH("Conocer",$R23))+ISNUMBER(SEARCH("Aplicar",$R23))+ISNUMBER(SEARCH("Razonar",$R23))),0)</f>
        <v>0.5</v>
      </c>
      <c r="V23" t="s" s="35">
        <v>69</v>
      </c>
      <c r="W23" t="s" s="35">
        <v>112</v>
      </c>
      <c r="X23" s="36" cm="1">
        <f t="array" ref="X23">IF(OR(_xlfn.IFERROR(INDEX('Datos - Catálogo TIMSS'!$I$5:$I$107,MATCH(K23,'Datos - Catálogo TIMSS'!$A$5:$A$107,0)),"No")="Sí",_xlfn.IFERROR(INDEX('Datos - Catálogo TIMSS'!$I$5:$I$107,MATCH(L23,'Datos - Catálogo TIMSS'!$A$5:$A$107,0)),"No")="Sí"),1,0)</f>
        <v>1</v>
      </c>
      <c r="Y23" s="36" cm="1">
        <f t="array" ref="Y23">IF(_xlfn.IFERROR(INDEX('Datos - Catálogo TIMSS'!$J$5:$J$107,MATCH(K23,'Datos - Catálogo TIMSS'!$A$5:$A$107,0)),"No")="Sí",1,0)</f>
        <v>0</v>
      </c>
      <c r="Z23" s="36" cm="1">
        <f t="array" ref="Z23">IF(_xlfn.IFERROR(INDEX('Datos - Catálogo TIMSS'!$J$5:$J$107,MATCH(L23,'Datos - Catálogo TIMSS'!$A$5:$A$107,0)),"No")="Sí",1,0)</f>
        <v>0</v>
      </c>
      <c r="AA23" t="s" s="35">
        <v>1899</v>
      </c>
      <c r="AB23" s="39"/>
      <c r="AC23" t="str" s="39">
        <v>Ciencias de la Tierra</v>
      </c>
      <c r="AD23" t="s" s="35">
        <v>1900</v>
      </c>
      <c r="AE23" t="str" s="39" cm="1">
        <f t="array" ref="AE23">IF(AD23="","",IF(LEFT(AD23,1)="1","C1",IF(LEFT(AD23,1)="2","C2",IF(LEFT(AD23,1)="3","C3",""))))</f>
        <v>C3</v>
      </c>
      <c r="AF23" t="s" s="35">
        <v>1615</v>
      </c>
      <c r="AG23" t="s" s="35">
        <v>1617</v>
      </c>
      <c r="AH23" t="s" s="35">
        <v>1602</v>
      </c>
      <c r="AI23" t="s" s="35">
        <v>1629</v>
      </c>
      <c r="AJ23" t="s" s="35">
        <v>1633</v>
      </c>
      <c r="AK23" s="39"/>
      <c r="AL23" s="39"/>
      <c r="AM23" s="39"/>
      <c r="AN23" s="39"/>
      <c r="AO23" s="39"/>
      <c r="AP23" s="39"/>
      <c r="AQ23" s="39"/>
      <c r="AR23" s="39"/>
      <c r="AS23" s="39"/>
      <c r="AT23" s="39"/>
      <c r="AU23" s="39"/>
      <c r="AV23" s="39"/>
      <c r="AW23" t="str" s="39" cm="1">
        <f t="array" ref="AW23">AF23&amp;"; "&amp;AG23&amp;"; "&amp;AH23&amp;"; "&amp;AI23&amp;"; "&amp;AJ23</f>
        <v>E6; D1; E1; I3; I5</v>
      </c>
    </row>
    <row r="24" ht="13.65" customHeight="1">
      <c r="A24" t="s" s="35">
        <v>1953</v>
      </c>
      <c r="B24" s="36">
        <v>2</v>
      </c>
      <c r="C24" t="s" s="35">
        <v>1823</v>
      </c>
      <c r="D24" t="s" s="35">
        <v>1824</v>
      </c>
      <c r="E24" t="s" s="35">
        <v>1904</v>
      </c>
      <c r="F24" s="36">
        <v>11</v>
      </c>
      <c r="G24" t="s" s="35">
        <v>1905</v>
      </c>
      <c r="H24" t="s" s="35">
        <v>1954</v>
      </c>
      <c r="I24" t="s" s="120">
        <v>1955</v>
      </c>
      <c r="J24" t="s" s="35">
        <v>1055</v>
      </c>
      <c r="K24" t="s" s="35">
        <v>295</v>
      </c>
      <c r="L24" s="39"/>
      <c r="M24" t="str" s="39">
        <v>Ciencias físicas</v>
      </c>
      <c r="N24" t="str" s="39">
        <v>Electricidad y magnetismo</v>
      </c>
      <c r="O24" t="str" s="39" cm="1">
        <f t="array" ref="O24">IF(L24="","",_xlfn.IFERROR(INDEX('Datos - Catálogo TIMSS'!$C$5:$C$107,MATCH(L24,'Datos - Catálogo TIMSS'!$A$5:$A$107,0)),"?"))</f>
      </c>
      <c r="P24" t="s" s="35">
        <v>254</v>
      </c>
      <c r="Q24" t="s" s="120">
        <v>1956</v>
      </c>
      <c r="R24" t="s" s="120">
        <v>1957</v>
      </c>
      <c r="S24" s="121" cm="1">
        <f t="array" ref="S24">_xlfn.IFERROR(ISNUMBER(SEARCH("Conocer",$R24))/(ISNUMBER(SEARCH("Conocer",$R24))+ISNUMBER(SEARCH("Aplicar",$R24))+ISNUMBER(SEARCH("Razonar",$R24))),0)</f>
        <v>0</v>
      </c>
      <c r="T24" s="121" cm="1">
        <f t="array" ref="T24">_xlfn.IFERROR(ISNUMBER(SEARCH("Aplicar",$R24))/(ISNUMBER(SEARCH("Conocer",$R24))+ISNUMBER(SEARCH("Aplicar",$R24))+ISNUMBER(SEARCH("Razonar",$R24))),0)</f>
        <v>1</v>
      </c>
      <c r="U24" s="121" cm="1">
        <f t="array" ref="U24">_xlfn.IFERROR(ISNUMBER(SEARCH("Razonar",$R24))/(ISNUMBER(SEARCH("Conocer",$R24))+ISNUMBER(SEARCH("Aplicar",$R24))+ISNUMBER(SEARCH("Razonar",$R24))),0)</f>
        <v>0</v>
      </c>
      <c r="V24" t="s" s="35">
        <v>69</v>
      </c>
      <c r="W24" t="s" s="35">
        <v>112</v>
      </c>
      <c r="X24" s="36" cm="1">
        <f t="array" ref="X24">IF(OR(_xlfn.IFERROR(INDEX('Datos - Catálogo TIMSS'!$I$5:$I$107,MATCH(K24,'Datos - Catálogo TIMSS'!$A$5:$A$107,0)),"No")="Sí",_xlfn.IFERROR(INDEX('Datos - Catálogo TIMSS'!$I$5:$I$107,MATCH(L24,'Datos - Catálogo TIMSS'!$A$5:$A$107,0)),"No")="Sí"),1,0)</f>
        <v>0</v>
      </c>
      <c r="Y24" s="36" cm="1">
        <f t="array" ref="Y24">IF(_xlfn.IFERROR(INDEX('Datos - Catálogo TIMSS'!$J$5:$J$107,MATCH(K24,'Datos - Catálogo TIMSS'!$A$5:$A$107,0)),"No")="Sí",1,0)</f>
        <v>0</v>
      </c>
      <c r="Z24" s="36" cm="1">
        <f t="array" ref="Z24">IF(_xlfn.IFERROR(INDEX('Datos - Catálogo TIMSS'!$J$5:$J$107,MATCH(L24,'Datos - Catálogo TIMSS'!$A$5:$A$107,0)),"No")="Sí",1,0)</f>
        <v>0</v>
      </c>
      <c r="AA24" t="s" s="35">
        <v>1924</v>
      </c>
      <c r="AB24" s="39"/>
      <c r="AC24" t="str" s="39">
        <v>Ciencias físicas</v>
      </c>
      <c r="AD24" t="s" s="35">
        <v>1859</v>
      </c>
      <c r="AE24" t="str" s="39" cm="1">
        <f t="array" ref="AE24">IF(AD24="","",IF(LEFT(AD24,1)="1","C1",IF(LEFT(AD24,1)="2","C2",IF(LEFT(AD24,1)="3","C3",""))))</f>
        <v>C1</v>
      </c>
      <c r="AF24" t="s" s="35">
        <v>1602</v>
      </c>
      <c r="AG24" t="s" s="35">
        <v>1612</v>
      </c>
      <c r="AH24" t="s" s="35">
        <v>1609</v>
      </c>
      <c r="AI24" t="s" s="35">
        <v>1623</v>
      </c>
      <c r="AJ24" t="s" s="35">
        <v>1609</v>
      </c>
      <c r="AK24" s="39"/>
      <c r="AL24" s="39"/>
      <c r="AM24" s="39"/>
      <c r="AN24" s="39"/>
      <c r="AO24" s="39"/>
      <c r="AP24" s="39"/>
      <c r="AQ24" s="39"/>
      <c r="AR24" s="39"/>
      <c r="AS24" s="39"/>
      <c r="AT24" s="39"/>
      <c r="AU24" s="39"/>
      <c r="AV24" s="39"/>
      <c r="AW24" t="str" s="39" cm="1">
        <f t="array" ref="AW24">AF24&amp;"; "&amp;AG24&amp;"; "&amp;AH24&amp;"; "&amp;AI24&amp;"; "&amp;AJ24</f>
        <v>E1; E5; E4; D4; E4</v>
      </c>
    </row>
    <row r="25" ht="13.65" customHeight="1">
      <c r="A25" t="s" s="35">
        <v>1959</v>
      </c>
      <c r="B25" s="36">
        <v>2</v>
      </c>
      <c r="C25" t="s" s="35">
        <v>1823</v>
      </c>
      <c r="D25" t="s" s="35">
        <v>1824</v>
      </c>
      <c r="E25" t="s" s="35">
        <v>1904</v>
      </c>
      <c r="F25" s="36">
        <v>12</v>
      </c>
      <c r="G25" t="s" s="35">
        <v>1905</v>
      </c>
      <c r="H25" t="s" s="35">
        <v>1960</v>
      </c>
      <c r="I25" t="s" s="120">
        <v>1961</v>
      </c>
      <c r="J25" t="s" s="35">
        <v>1055</v>
      </c>
      <c r="K25" t="s" s="35">
        <v>317</v>
      </c>
      <c r="L25" s="39"/>
      <c r="M25" t="str" s="39">
        <v>Ciencias físicas</v>
      </c>
      <c r="N25" t="str" s="39">
        <v>Luz y sonido</v>
      </c>
      <c r="O25" t="str" s="39" cm="1">
        <f t="array" ref="O25">IF(L25="","",_xlfn.IFERROR(INDEX('Datos - Catálogo TIMSS'!$C$5:$C$107,MATCH(L25,'Datos - Catálogo TIMSS'!$A$5:$A$107,0)),"?"))</f>
      </c>
      <c r="P25" t="s" s="35">
        <v>282</v>
      </c>
      <c r="Q25" t="s" s="120">
        <v>1962</v>
      </c>
      <c r="R25" t="s" s="120">
        <v>1847</v>
      </c>
      <c r="S25" s="121" cm="1">
        <f t="array" ref="S25">_xlfn.IFERROR(ISNUMBER(SEARCH("Conocer",$R25))/(ISNUMBER(SEARCH("Conocer",$R25))+ISNUMBER(SEARCH("Aplicar",$R25))+ISNUMBER(SEARCH("Razonar",$R25))),0)</f>
        <v>0</v>
      </c>
      <c r="T25" s="121" cm="1">
        <f t="array" ref="T25">_xlfn.IFERROR(ISNUMBER(SEARCH("Aplicar",$R25))/(ISNUMBER(SEARCH("Conocer",$R25))+ISNUMBER(SEARCH("Aplicar",$R25))+ISNUMBER(SEARCH("Razonar",$R25))),0)</f>
        <v>1</v>
      </c>
      <c r="U25" s="121" cm="1">
        <f t="array" ref="U25">_xlfn.IFERROR(ISNUMBER(SEARCH("Razonar",$R25))/(ISNUMBER(SEARCH("Conocer",$R25))+ISNUMBER(SEARCH("Aplicar",$R25))+ISNUMBER(SEARCH("Razonar",$R25))),0)</f>
        <v>0</v>
      </c>
      <c r="V25" t="s" s="35">
        <v>69</v>
      </c>
      <c r="W25" t="s" s="35">
        <v>112</v>
      </c>
      <c r="X25" s="36" cm="1">
        <f t="array" ref="X25">IF(OR(_xlfn.IFERROR(INDEX('Datos - Catálogo TIMSS'!$I$5:$I$107,MATCH(K25,'Datos - Catálogo TIMSS'!$A$5:$A$107,0)),"No")="Sí",_xlfn.IFERROR(INDEX('Datos - Catálogo TIMSS'!$I$5:$I$107,MATCH(L25,'Datos - Catálogo TIMSS'!$A$5:$A$107,0)),"No")="Sí"),1,0)</f>
        <v>0</v>
      </c>
      <c r="Y25" s="36" cm="1">
        <f t="array" ref="Y25">IF(_xlfn.IFERROR(INDEX('Datos - Catálogo TIMSS'!$J$5:$J$107,MATCH(K25,'Datos - Catálogo TIMSS'!$A$5:$A$107,0)),"No")="Sí",1,0)</f>
        <v>0</v>
      </c>
      <c r="Z25" s="36" cm="1">
        <f t="array" ref="Z25">IF(_xlfn.IFERROR(INDEX('Datos - Catálogo TIMSS'!$J$5:$J$107,MATCH(L25,'Datos - Catálogo TIMSS'!$A$5:$A$107,0)),"No")="Sí",1,0)</f>
        <v>0</v>
      </c>
      <c r="AA25" t="s" s="35">
        <v>1941</v>
      </c>
      <c r="AB25" s="39"/>
      <c r="AC25" t="str" s="39">
        <v>Ciencias físicas</v>
      </c>
      <c r="AD25" t="s" s="35">
        <v>1834</v>
      </c>
      <c r="AE25" t="str" s="39" cm="1">
        <f t="array" ref="AE25">IF(AD25="","",IF(LEFT(AD25,1)="1","C1",IF(LEFT(AD25,1)="2","C2",IF(LEFT(AD25,1)="3","C3",""))))</f>
        <v>C2</v>
      </c>
      <c r="AF25" t="s" s="35">
        <v>1602</v>
      </c>
      <c r="AG25" t="s" s="35">
        <v>1617</v>
      </c>
      <c r="AH25" t="s" s="35">
        <v>1602</v>
      </c>
      <c r="AI25" t="s" s="35">
        <v>1623</v>
      </c>
      <c r="AJ25" t="s" s="35">
        <v>1615</v>
      </c>
      <c r="AK25" s="39"/>
      <c r="AL25" s="39"/>
      <c r="AM25" s="39"/>
      <c r="AN25" s="39"/>
      <c r="AO25" s="39"/>
      <c r="AP25" s="39"/>
      <c r="AQ25" s="39"/>
      <c r="AR25" s="39"/>
      <c r="AS25" s="39"/>
      <c r="AT25" s="39"/>
      <c r="AU25" s="39"/>
      <c r="AV25" s="39"/>
      <c r="AW25" t="str" s="39" cm="1">
        <f t="array" ref="AW25">AF25&amp;"; "&amp;AG25&amp;"; "&amp;AH25&amp;"; "&amp;AI25&amp;"; "&amp;AJ25</f>
        <v>E1; D1; E1; D4; E6</v>
      </c>
    </row>
    <row r="26" ht="13.65" customHeight="1">
      <c r="A26" t="s" s="35">
        <v>1963</v>
      </c>
      <c r="B26" s="36">
        <v>2</v>
      </c>
      <c r="C26" t="s" s="35">
        <v>1823</v>
      </c>
      <c r="D26" t="s" s="35">
        <v>1824</v>
      </c>
      <c r="E26" t="s" s="35">
        <v>1904</v>
      </c>
      <c r="F26" s="36">
        <v>13</v>
      </c>
      <c r="G26" t="s" s="35">
        <v>1905</v>
      </c>
      <c r="H26" t="s" s="35">
        <v>1960</v>
      </c>
      <c r="I26" t="s" s="120">
        <v>1964</v>
      </c>
      <c r="J26" t="s" s="35">
        <v>1055</v>
      </c>
      <c r="K26" t="s" s="35">
        <v>1832</v>
      </c>
      <c r="L26" s="39"/>
      <c r="M26" t="str" s="39">
        <v>Fuera del marco</v>
      </c>
      <c r="N26" t="str" s="39">
        <v>Fuera del marco</v>
      </c>
      <c r="O26" t="str" s="39" cm="1">
        <f t="array" ref="O26">IF(L26="","",_xlfn.IFERROR(INDEX('Datos - Catálogo TIMSS'!$C$5:$C$107,MATCH(L26,'Datos - Catálogo TIMSS'!$A$5:$A$107,0)),"?"))</f>
      </c>
      <c r="P26" t="s" s="35">
        <v>282</v>
      </c>
      <c r="Q26" t="s" s="120">
        <v>1965</v>
      </c>
      <c r="R26" t="s" s="120">
        <v>1892</v>
      </c>
      <c r="S26" s="121" cm="1">
        <f t="array" ref="S26">_xlfn.IFERROR(ISNUMBER(SEARCH("Conocer",$R26))/(ISNUMBER(SEARCH("Conocer",$R26))+ISNUMBER(SEARCH("Aplicar",$R26))+ISNUMBER(SEARCH("Razonar",$R26))),0)</f>
        <v>0</v>
      </c>
      <c r="T26" s="121" cm="1">
        <f t="array" ref="T26">_xlfn.IFERROR(ISNUMBER(SEARCH("Aplicar",$R26))/(ISNUMBER(SEARCH("Conocer",$R26))+ISNUMBER(SEARCH("Aplicar",$R26))+ISNUMBER(SEARCH("Razonar",$R26))),0)</f>
        <v>0</v>
      </c>
      <c r="U26" s="121" cm="1">
        <f t="array" ref="U26">_xlfn.IFERROR(ISNUMBER(SEARCH("Razonar",$R26))/(ISNUMBER(SEARCH("Conocer",$R26))+ISNUMBER(SEARCH("Aplicar",$R26))+ISNUMBER(SEARCH("Razonar",$R26))),0)</f>
        <v>1</v>
      </c>
      <c r="V26" t="s" s="35">
        <v>69</v>
      </c>
      <c r="W26" t="s" s="35">
        <v>112</v>
      </c>
      <c r="X26" s="36" cm="1">
        <f t="array" ref="X26">IF(OR(_xlfn.IFERROR(INDEX('Datos - Catálogo TIMSS'!$I$5:$I$107,MATCH(K26,'Datos - Catálogo TIMSS'!$A$5:$A$107,0)),"No")="Sí",_xlfn.IFERROR(INDEX('Datos - Catálogo TIMSS'!$I$5:$I$107,MATCH(L26,'Datos - Catálogo TIMSS'!$A$5:$A$107,0)),"No")="Sí"),1,0)</f>
        <v>0</v>
      </c>
      <c r="Y26" s="36" cm="1">
        <f t="array" ref="Y26">IF(_xlfn.IFERROR(INDEX('Datos - Catálogo TIMSS'!$J$5:$J$107,MATCH(K26,'Datos - Catálogo TIMSS'!$A$5:$A$107,0)),"No")="Sí",1,0)</f>
        <v>0</v>
      </c>
      <c r="Z26" s="36" cm="1">
        <f t="array" ref="Z26">IF(_xlfn.IFERROR(INDEX('Datos - Catálogo TIMSS'!$J$5:$J$107,MATCH(L26,'Datos - Catálogo TIMSS'!$A$5:$A$107,0)),"No")="Sí",1,0)</f>
        <v>0</v>
      </c>
      <c r="AA26" t="s" s="35">
        <v>1832</v>
      </c>
      <c r="AB26" s="39"/>
      <c r="AC26" t="str" s="39">
        <v>Fuera del marco</v>
      </c>
      <c r="AD26" t="s" s="35">
        <v>1834</v>
      </c>
      <c r="AE26" t="str" s="39" cm="1">
        <f t="array" ref="AE26">IF(AD26="","",IF(LEFT(AD26,1)="1","C1",IF(LEFT(AD26,1)="2","C2",IF(LEFT(AD26,1)="3","C3",""))))</f>
        <v>C2</v>
      </c>
      <c r="AF26" t="s" s="35">
        <v>1602</v>
      </c>
      <c r="AG26" t="s" s="35">
        <v>1607</v>
      </c>
      <c r="AH26" t="s" s="35">
        <v>1602</v>
      </c>
      <c r="AI26" t="s" s="35">
        <v>1623</v>
      </c>
      <c r="AJ26" t="s" s="35">
        <v>1607</v>
      </c>
      <c r="AK26" s="39"/>
      <c r="AL26" s="39"/>
      <c r="AM26" s="39"/>
      <c r="AN26" s="39"/>
      <c r="AO26" s="39"/>
      <c r="AP26" s="39"/>
      <c r="AQ26" s="39"/>
      <c r="AR26" s="39"/>
      <c r="AS26" s="39"/>
      <c r="AT26" s="39"/>
      <c r="AU26" s="39"/>
      <c r="AV26" s="39"/>
      <c r="AW26" t="str" s="39" cm="1">
        <f t="array" ref="AW26">AF26&amp;"; "&amp;AG26&amp;"; "&amp;AH26&amp;"; "&amp;AI26&amp;"; "&amp;AJ26</f>
        <v>E1; E3; E1; D4; E3</v>
      </c>
    </row>
    <row r="27" ht="13.65" customHeight="1">
      <c r="A27" t="s" s="35">
        <v>1967</v>
      </c>
      <c r="B27" s="36">
        <v>2</v>
      </c>
      <c r="C27" t="s" s="35">
        <v>1823</v>
      </c>
      <c r="D27" t="s" s="35">
        <v>1824</v>
      </c>
      <c r="E27" t="s" s="35">
        <v>1904</v>
      </c>
      <c r="F27" s="36">
        <v>14</v>
      </c>
      <c r="G27" t="s" s="35">
        <v>1905</v>
      </c>
      <c r="H27" t="s" s="35">
        <v>1960</v>
      </c>
      <c r="I27" t="s" s="120">
        <v>1968</v>
      </c>
      <c r="J27" t="s" s="35">
        <v>1055</v>
      </c>
      <c r="K27" t="s" s="35">
        <v>317</v>
      </c>
      <c r="L27" t="s" s="35">
        <v>1106</v>
      </c>
      <c r="M27" t="str" s="39">
        <v>Ciencias físicas</v>
      </c>
      <c r="N27" t="str" s="39">
        <v>Luz y sonido</v>
      </c>
      <c r="O27" t="str" s="39" cm="1">
        <f t="array" ref="O27">IF(L27="","",_xlfn.IFERROR(INDEX('Datos - Catálogo TIMSS'!$C$5:$C$107,MATCH(L27,'Datos - Catálogo TIMSS'!$A$5:$A$107,0)),"?"))</f>
        <v>Ciencias físicas</v>
      </c>
      <c r="P27" t="s" s="35">
        <v>282</v>
      </c>
      <c r="Q27" t="s" s="120">
        <v>1969</v>
      </c>
      <c r="R27" t="s" s="120">
        <v>1847</v>
      </c>
      <c r="S27" s="121" cm="1">
        <f t="array" ref="S27">_xlfn.IFERROR(ISNUMBER(SEARCH("Conocer",$R27))/(ISNUMBER(SEARCH("Conocer",$R27))+ISNUMBER(SEARCH("Aplicar",$R27))+ISNUMBER(SEARCH("Razonar",$R27))),0)</f>
        <v>0</v>
      </c>
      <c r="T27" s="121" cm="1">
        <f t="array" ref="T27">_xlfn.IFERROR(ISNUMBER(SEARCH("Aplicar",$R27))/(ISNUMBER(SEARCH("Conocer",$R27))+ISNUMBER(SEARCH("Aplicar",$R27))+ISNUMBER(SEARCH("Razonar",$R27))),0)</f>
        <v>1</v>
      </c>
      <c r="U27" s="121" cm="1">
        <f t="array" ref="U27">_xlfn.IFERROR(ISNUMBER(SEARCH("Razonar",$R27))/(ISNUMBER(SEARCH("Conocer",$R27))+ISNUMBER(SEARCH("Aplicar",$R27))+ISNUMBER(SEARCH("Razonar",$R27))),0)</f>
        <v>0</v>
      </c>
      <c r="V27" t="s" s="35">
        <v>69</v>
      </c>
      <c r="W27" t="s" s="35">
        <v>112</v>
      </c>
      <c r="X27" s="36" cm="1">
        <f t="array" ref="X27">IF(OR(_xlfn.IFERROR(INDEX('Datos - Catálogo TIMSS'!$I$5:$I$107,MATCH(K27,'Datos - Catálogo TIMSS'!$A$5:$A$107,0)),"No")="Sí",_xlfn.IFERROR(INDEX('Datos - Catálogo TIMSS'!$I$5:$I$107,MATCH(L27,'Datos - Catálogo TIMSS'!$A$5:$A$107,0)),"No")="Sí"),1,0)</f>
        <v>0</v>
      </c>
      <c r="Y27" s="36" cm="1">
        <f t="array" ref="Y27">IF(_xlfn.IFERROR(INDEX('Datos - Catálogo TIMSS'!$J$5:$J$107,MATCH(K27,'Datos - Catálogo TIMSS'!$A$5:$A$107,0)),"No")="Sí",1,0)</f>
        <v>0</v>
      </c>
      <c r="Z27" s="36" cm="1">
        <f t="array" ref="Z27">IF(_xlfn.IFERROR(INDEX('Datos - Catálogo TIMSS'!$J$5:$J$107,MATCH(L27,'Datos - Catálogo TIMSS'!$A$5:$A$107,0)),"No")="Sí",1,0)</f>
        <v>0</v>
      </c>
      <c r="AA27" t="s" s="35">
        <v>1941</v>
      </c>
      <c r="AB27" t="s" s="35">
        <v>1848</v>
      </c>
      <c r="AC27" t="str" s="39">
        <v>Ciencias físicas</v>
      </c>
      <c r="AD27" t="s" s="35">
        <v>1834</v>
      </c>
      <c r="AE27" t="str" s="39" cm="1">
        <f t="array" ref="AE27">IF(AD27="","",IF(LEFT(AD27,1)="1","C1",IF(LEFT(AD27,1)="2","C2",IF(LEFT(AD27,1)="3","C3",""))))</f>
        <v>C2</v>
      </c>
      <c r="AF27" t="s" s="35">
        <v>1602</v>
      </c>
      <c r="AG27" t="s" s="35">
        <v>1612</v>
      </c>
      <c r="AH27" t="s" s="35">
        <v>1602</v>
      </c>
      <c r="AI27" t="s" s="35">
        <v>1619</v>
      </c>
      <c r="AJ27" t="s" s="35">
        <v>1633</v>
      </c>
      <c r="AK27" s="39"/>
      <c r="AL27" s="39"/>
      <c r="AM27" s="39"/>
      <c r="AN27" s="39"/>
      <c r="AO27" s="39"/>
      <c r="AP27" s="39"/>
      <c r="AQ27" s="39"/>
      <c r="AR27" s="39"/>
      <c r="AS27" s="39"/>
      <c r="AT27" s="39"/>
      <c r="AU27" s="39"/>
      <c r="AV27" s="39"/>
      <c r="AW27" t="str" s="39" cm="1">
        <f t="array" ref="AW27">AF27&amp;"; "&amp;AG27&amp;"; "&amp;AH27&amp;"; "&amp;AI27&amp;"; "&amp;AJ27</f>
        <v>E1; E5; E1; D2; I5</v>
      </c>
    </row>
    <row r="28" ht="13.65" customHeight="1">
      <c r="A28" t="s" s="35">
        <v>1970</v>
      </c>
      <c r="B28" s="36">
        <v>2</v>
      </c>
      <c r="C28" t="s" s="35">
        <v>1823</v>
      </c>
      <c r="D28" t="s" s="35">
        <v>1824</v>
      </c>
      <c r="E28" t="s" s="35">
        <v>1971</v>
      </c>
      <c r="F28" s="36">
        <v>3</v>
      </c>
      <c r="G28" t="s" s="35">
        <v>259</v>
      </c>
      <c r="H28" t="s" s="35">
        <v>1972</v>
      </c>
      <c r="I28" t="s" s="120">
        <v>1973</v>
      </c>
      <c r="J28" t="s" s="35">
        <v>1055</v>
      </c>
      <c r="K28" t="s" s="35">
        <v>332</v>
      </c>
      <c r="L28" s="39"/>
      <c r="M28" t="str" s="39">
        <v>Ciencias físicas</v>
      </c>
      <c r="N28" t="str" s="39">
        <v>Movimiento y fuerzas</v>
      </c>
      <c r="O28" t="str" s="39" cm="1">
        <f t="array" ref="O28">IF(L28="","",_xlfn.IFERROR(INDEX('Datos - Catálogo TIMSS'!$C$5:$C$107,MATCH(L28,'Datos - Catálogo TIMSS'!$A$5:$A$107,0)),"?"))</f>
      </c>
      <c r="P28" t="s" s="35">
        <v>282</v>
      </c>
      <c r="Q28" t="s" s="120">
        <v>1974</v>
      </c>
      <c r="R28" t="s" s="120">
        <v>1910</v>
      </c>
      <c r="S28" s="121" cm="1">
        <f t="array" ref="S28">_xlfn.IFERROR(ISNUMBER(SEARCH("Conocer",$R28))/(ISNUMBER(SEARCH("Conocer",$R28))+ISNUMBER(SEARCH("Aplicar",$R28))+ISNUMBER(SEARCH("Razonar",$R28))),0)</f>
        <v>1</v>
      </c>
      <c r="T28" s="121" cm="1">
        <f t="array" ref="T28">_xlfn.IFERROR(ISNUMBER(SEARCH("Aplicar",$R28))/(ISNUMBER(SEARCH("Conocer",$R28))+ISNUMBER(SEARCH("Aplicar",$R28))+ISNUMBER(SEARCH("Razonar",$R28))),0)</f>
        <v>0</v>
      </c>
      <c r="U28" s="121" cm="1">
        <f t="array" ref="U28">_xlfn.IFERROR(ISNUMBER(SEARCH("Razonar",$R28))/(ISNUMBER(SEARCH("Conocer",$R28))+ISNUMBER(SEARCH("Aplicar",$R28))+ISNUMBER(SEARCH("Razonar",$R28))),0)</f>
        <v>0</v>
      </c>
      <c r="V28" t="s" s="35">
        <v>69</v>
      </c>
      <c r="W28" t="s" s="35">
        <v>112</v>
      </c>
      <c r="X28" s="36" cm="1">
        <f t="array" ref="X28">IF(OR(_xlfn.IFERROR(INDEX('Datos - Catálogo TIMSS'!$I$5:$I$107,MATCH(K28,'Datos - Catálogo TIMSS'!$A$5:$A$107,0)),"No")="Sí",_xlfn.IFERROR(INDEX('Datos - Catálogo TIMSS'!$I$5:$I$107,MATCH(L28,'Datos - Catálogo TIMSS'!$A$5:$A$107,0)),"No")="Sí"),1,0)</f>
        <v>0</v>
      </c>
      <c r="Y28" s="36" cm="1">
        <f t="array" ref="Y28">IF(_xlfn.IFERROR(INDEX('Datos - Catálogo TIMSS'!$J$5:$J$107,MATCH(K28,'Datos - Catálogo TIMSS'!$A$5:$A$107,0)),"No")="Sí",1,0)</f>
        <v>0</v>
      </c>
      <c r="Z28" s="36" cm="1">
        <f t="array" ref="Z28">IF(_xlfn.IFERROR(INDEX('Datos - Catálogo TIMSS'!$J$5:$J$107,MATCH(L28,'Datos - Catálogo TIMSS'!$A$5:$A$107,0)),"No")="Sí",1,0)</f>
        <v>0</v>
      </c>
      <c r="AA28" t="s" s="35">
        <v>1919</v>
      </c>
      <c r="AB28" s="39"/>
      <c r="AC28" t="str" s="39">
        <v>Ciencias físicas</v>
      </c>
      <c r="AD28" t="s" s="35">
        <v>1859</v>
      </c>
      <c r="AE28" t="str" s="39" cm="1">
        <f t="array" ref="AE28">IF(AD28="","",IF(LEFT(AD28,1)="1","C1",IF(LEFT(AD28,1)="2","C2",IF(LEFT(AD28,1)="3","C3",""))))</f>
        <v>C1</v>
      </c>
      <c r="AF28" t="s" s="35">
        <v>1602</v>
      </c>
      <c r="AG28" t="s" s="35">
        <v>1617</v>
      </c>
      <c r="AH28" t="s" s="35">
        <v>1602</v>
      </c>
      <c r="AI28" t="s" s="35">
        <v>1623</v>
      </c>
      <c r="AJ28" t="s" s="35">
        <v>1602</v>
      </c>
      <c r="AK28" s="39"/>
      <c r="AL28" s="39"/>
      <c r="AM28" s="39"/>
      <c r="AN28" s="39"/>
      <c r="AO28" s="39"/>
      <c r="AP28" s="39"/>
      <c r="AQ28" s="39"/>
      <c r="AR28" s="39"/>
      <c r="AS28" s="39"/>
      <c r="AT28" s="39"/>
      <c r="AU28" s="39"/>
      <c r="AV28" s="39"/>
      <c r="AW28" t="str" s="39" cm="1">
        <f t="array" ref="AW28">AF28&amp;"; "&amp;AG28&amp;"; "&amp;AH28&amp;"; "&amp;AI28&amp;"; "&amp;AJ28</f>
        <v>E1; D1; E1; D4; E1</v>
      </c>
    </row>
    <row r="29" ht="13.65" customHeight="1">
      <c r="A29" t="s" s="35">
        <v>1976</v>
      </c>
      <c r="B29" s="36">
        <v>2</v>
      </c>
      <c r="C29" t="s" s="35">
        <v>1823</v>
      </c>
      <c r="D29" t="s" s="35">
        <v>1824</v>
      </c>
      <c r="E29" t="s" s="35">
        <v>1971</v>
      </c>
      <c r="F29" s="36">
        <v>4</v>
      </c>
      <c r="G29" t="s" s="35">
        <v>259</v>
      </c>
      <c r="H29" t="s" s="35">
        <v>1977</v>
      </c>
      <c r="I29" t="s" s="120">
        <v>1978</v>
      </c>
      <c r="J29" t="s" s="35">
        <v>1055</v>
      </c>
      <c r="K29" t="s" s="35">
        <v>332</v>
      </c>
      <c r="L29" s="39"/>
      <c r="M29" t="str" s="39">
        <v>Ciencias físicas</v>
      </c>
      <c r="N29" t="str" s="39">
        <v>Movimiento y fuerzas</v>
      </c>
      <c r="O29" t="str" s="39" cm="1">
        <f t="array" ref="O29">IF(L29="","",_xlfn.IFERROR(INDEX('Datos - Catálogo TIMSS'!$C$5:$C$107,MATCH(L29,'Datos - Catálogo TIMSS'!$A$5:$A$107,0)),"?"))</f>
      </c>
      <c r="P29" t="s" s="35">
        <v>282</v>
      </c>
      <c r="Q29" t="s" s="120">
        <v>1979</v>
      </c>
      <c r="R29" t="s" s="120">
        <v>1918</v>
      </c>
      <c r="S29" s="121" cm="1">
        <f t="array" ref="S29">_xlfn.IFERROR(ISNUMBER(SEARCH("Conocer",$R29))/(ISNUMBER(SEARCH("Conocer",$R29))+ISNUMBER(SEARCH("Aplicar",$R29))+ISNUMBER(SEARCH("Razonar",$R29))),0)</f>
        <v>0</v>
      </c>
      <c r="T29" s="121" cm="1">
        <f t="array" ref="T29">_xlfn.IFERROR(ISNUMBER(SEARCH("Aplicar",$R29))/(ISNUMBER(SEARCH("Conocer",$R29))+ISNUMBER(SEARCH("Aplicar",$R29))+ISNUMBER(SEARCH("Razonar",$R29))),0)</f>
        <v>0.5</v>
      </c>
      <c r="U29" s="121" cm="1">
        <f t="array" ref="U29">_xlfn.IFERROR(ISNUMBER(SEARCH("Razonar",$R29))/(ISNUMBER(SEARCH("Conocer",$R29))+ISNUMBER(SEARCH("Aplicar",$R29))+ISNUMBER(SEARCH("Razonar",$R29))),0)</f>
        <v>0.5</v>
      </c>
      <c r="V29" t="s" s="35">
        <v>69</v>
      </c>
      <c r="W29" t="s" s="35">
        <v>112</v>
      </c>
      <c r="X29" s="36" cm="1">
        <f t="array" ref="X29">IF(OR(_xlfn.IFERROR(INDEX('Datos - Catálogo TIMSS'!$I$5:$I$107,MATCH(K29,'Datos - Catálogo TIMSS'!$A$5:$A$107,0)),"No")="Sí",_xlfn.IFERROR(INDEX('Datos - Catálogo TIMSS'!$I$5:$I$107,MATCH(L29,'Datos - Catálogo TIMSS'!$A$5:$A$107,0)),"No")="Sí"),1,0)</f>
        <v>0</v>
      </c>
      <c r="Y29" s="36" cm="1">
        <f t="array" ref="Y29">IF(_xlfn.IFERROR(INDEX('Datos - Catálogo TIMSS'!$J$5:$J$107,MATCH(K29,'Datos - Catálogo TIMSS'!$A$5:$A$107,0)),"No")="Sí",1,0)</f>
        <v>0</v>
      </c>
      <c r="Z29" s="36" cm="1">
        <f t="array" ref="Z29">IF(_xlfn.IFERROR(INDEX('Datos - Catálogo TIMSS'!$J$5:$J$107,MATCH(L29,'Datos - Catálogo TIMSS'!$A$5:$A$107,0)),"No")="Sí",1,0)</f>
        <v>0</v>
      </c>
      <c r="AA29" t="s" s="35">
        <v>1919</v>
      </c>
      <c r="AB29" s="39"/>
      <c r="AC29" t="str" s="39">
        <v>Ciencias físicas</v>
      </c>
      <c r="AD29" t="s" s="35">
        <v>1834</v>
      </c>
      <c r="AE29" t="str" s="39" cm="1">
        <f t="array" ref="AE29">IF(AD29="","",IF(LEFT(AD29,1)="1","C1",IF(LEFT(AD29,1)="2","C2",IF(LEFT(AD29,1)="3","C3",""))))</f>
        <v>C2</v>
      </c>
      <c r="AF29" t="s" s="35">
        <v>1602</v>
      </c>
      <c r="AG29" t="s" s="35">
        <v>1607</v>
      </c>
      <c r="AH29" t="s" s="35">
        <v>1605</v>
      </c>
      <c r="AI29" t="s" s="35">
        <v>1621</v>
      </c>
      <c r="AJ29" t="s" s="35">
        <v>1615</v>
      </c>
      <c r="AK29" s="39"/>
      <c r="AL29" s="39"/>
      <c r="AM29" s="39"/>
      <c r="AN29" s="39"/>
      <c r="AO29" s="39"/>
      <c r="AP29" s="39"/>
      <c r="AQ29" s="39"/>
      <c r="AR29" s="39"/>
      <c r="AS29" s="39"/>
      <c r="AT29" s="39"/>
      <c r="AU29" s="39"/>
      <c r="AV29" s="39"/>
      <c r="AW29" t="str" s="39" cm="1">
        <f t="array" ref="AW29">AF29&amp;"; "&amp;AG29&amp;"; "&amp;AH29&amp;"; "&amp;AI29&amp;"; "&amp;AJ29</f>
        <v>E1; E3; E2; D3; E6</v>
      </c>
    </row>
    <row r="30" ht="13.65" customHeight="1">
      <c r="A30" t="s" s="35">
        <v>1981</v>
      </c>
      <c r="B30" s="36">
        <v>2</v>
      </c>
      <c r="C30" t="s" s="35">
        <v>1823</v>
      </c>
      <c r="D30" t="s" s="35">
        <v>1824</v>
      </c>
      <c r="E30" t="s" s="35">
        <v>1971</v>
      </c>
      <c r="F30" s="36">
        <v>5</v>
      </c>
      <c r="G30" t="s" s="35">
        <v>259</v>
      </c>
      <c r="H30" t="s" s="35">
        <v>1982</v>
      </c>
      <c r="I30" t="s" s="120">
        <v>1983</v>
      </c>
      <c r="J30" t="s" s="35">
        <v>1055</v>
      </c>
      <c r="K30" t="s" s="35">
        <v>332</v>
      </c>
      <c r="L30" s="39"/>
      <c r="M30" t="str" s="39">
        <v>Ciencias físicas</v>
      </c>
      <c r="N30" t="str" s="39">
        <v>Movimiento y fuerzas</v>
      </c>
      <c r="O30" t="str" s="39" cm="1">
        <f t="array" ref="O30">IF(L30="","",_xlfn.IFERROR(INDEX('Datos - Catálogo TIMSS'!$C$5:$C$107,MATCH(L30,'Datos - Catálogo TIMSS'!$A$5:$A$107,0)),"?"))</f>
      </c>
      <c r="P30" t="s" s="35">
        <v>282</v>
      </c>
      <c r="Q30" t="s" s="120">
        <v>1984</v>
      </c>
      <c r="R30" t="s" s="120">
        <v>1847</v>
      </c>
      <c r="S30" s="121" cm="1">
        <f t="array" ref="S30">_xlfn.IFERROR(ISNUMBER(SEARCH("Conocer",$R30))/(ISNUMBER(SEARCH("Conocer",$R30))+ISNUMBER(SEARCH("Aplicar",$R30))+ISNUMBER(SEARCH("Razonar",$R30))),0)</f>
        <v>0</v>
      </c>
      <c r="T30" s="121" cm="1">
        <f t="array" ref="T30">_xlfn.IFERROR(ISNUMBER(SEARCH("Aplicar",$R30))/(ISNUMBER(SEARCH("Conocer",$R30))+ISNUMBER(SEARCH("Aplicar",$R30))+ISNUMBER(SEARCH("Razonar",$R30))),0)</f>
        <v>1</v>
      </c>
      <c r="U30" s="121" cm="1">
        <f t="array" ref="U30">_xlfn.IFERROR(ISNUMBER(SEARCH("Razonar",$R30))/(ISNUMBER(SEARCH("Conocer",$R30))+ISNUMBER(SEARCH("Aplicar",$R30))+ISNUMBER(SEARCH("Razonar",$R30))),0)</f>
        <v>0</v>
      </c>
      <c r="V30" t="s" s="35">
        <v>69</v>
      </c>
      <c r="W30" t="s" s="35">
        <v>112</v>
      </c>
      <c r="X30" s="36" cm="1">
        <f t="array" ref="X30">IF(OR(_xlfn.IFERROR(INDEX('Datos - Catálogo TIMSS'!$I$5:$I$107,MATCH(K30,'Datos - Catálogo TIMSS'!$A$5:$A$107,0)),"No")="Sí",_xlfn.IFERROR(INDEX('Datos - Catálogo TIMSS'!$I$5:$I$107,MATCH(L30,'Datos - Catálogo TIMSS'!$A$5:$A$107,0)),"No")="Sí"),1,0)</f>
        <v>0</v>
      </c>
      <c r="Y30" s="36" cm="1">
        <f t="array" ref="Y30">IF(_xlfn.IFERROR(INDEX('Datos - Catálogo TIMSS'!$J$5:$J$107,MATCH(K30,'Datos - Catálogo TIMSS'!$A$5:$A$107,0)),"No")="Sí",1,0)</f>
        <v>0</v>
      </c>
      <c r="Z30" s="36" cm="1">
        <f t="array" ref="Z30">IF(_xlfn.IFERROR(INDEX('Datos - Catálogo TIMSS'!$J$5:$J$107,MATCH(L30,'Datos - Catálogo TIMSS'!$A$5:$A$107,0)),"No")="Sí",1,0)</f>
        <v>0</v>
      </c>
      <c r="AA30" t="s" s="35">
        <v>1919</v>
      </c>
      <c r="AB30" s="39"/>
      <c r="AC30" t="str" s="39">
        <v>Ciencias físicas</v>
      </c>
      <c r="AD30" t="s" s="35">
        <v>1834</v>
      </c>
      <c r="AE30" t="str" s="39" cm="1">
        <f t="array" ref="AE30">IF(AD30="","",IF(LEFT(AD30,1)="1","C1",IF(LEFT(AD30,1)="2","C2",IF(LEFT(AD30,1)="3","C3",""))))</f>
        <v>C2</v>
      </c>
      <c r="AF30" t="s" s="35">
        <v>1602</v>
      </c>
      <c r="AG30" t="s" s="35">
        <v>1617</v>
      </c>
      <c r="AH30" t="s" s="35">
        <v>1605</v>
      </c>
      <c r="AI30" t="s" s="35">
        <v>1623</v>
      </c>
      <c r="AJ30" t="s" s="35">
        <v>1602</v>
      </c>
      <c r="AK30" s="39"/>
      <c r="AL30" s="39"/>
      <c r="AM30" s="39"/>
      <c r="AN30" s="39"/>
      <c r="AO30" s="39"/>
      <c r="AP30" s="39"/>
      <c r="AQ30" s="39"/>
      <c r="AR30" s="39"/>
      <c r="AS30" s="39"/>
      <c r="AT30" s="39"/>
      <c r="AU30" s="39"/>
      <c r="AV30" s="39"/>
      <c r="AW30" t="str" s="39" cm="1">
        <f t="array" ref="AW30">AF30&amp;"; "&amp;AG30&amp;"; "&amp;AH30&amp;"; "&amp;AI30&amp;"; "&amp;AJ30</f>
        <v>E1; D1; E2; D4; E1</v>
      </c>
    </row>
    <row r="31" ht="13.65" customHeight="1">
      <c r="A31" t="s" s="35">
        <v>1985</v>
      </c>
      <c r="B31" s="36">
        <v>2</v>
      </c>
      <c r="C31" t="s" s="35">
        <v>1823</v>
      </c>
      <c r="D31" t="s" s="35">
        <v>1824</v>
      </c>
      <c r="E31" t="s" s="35">
        <v>1971</v>
      </c>
      <c r="F31" s="36">
        <v>6</v>
      </c>
      <c r="G31" t="s" s="35">
        <v>259</v>
      </c>
      <c r="H31" t="s" s="35">
        <v>1986</v>
      </c>
      <c r="I31" t="s" s="120">
        <v>1987</v>
      </c>
      <c r="J31" t="s" s="35">
        <v>1055</v>
      </c>
      <c r="K31" t="s" s="35">
        <v>1156</v>
      </c>
      <c r="L31" s="39"/>
      <c r="M31" t="str" s="39">
        <v>Ciencias de la Tierra</v>
      </c>
      <c r="N31" t="str" s="39">
        <v>La Tierra en el sistema solar</v>
      </c>
      <c r="O31" t="str" s="39" cm="1">
        <f t="array" ref="O31">IF(L31="","",_xlfn.IFERROR(INDEX('Datos - Catálogo TIMSS'!$C$5:$C$107,MATCH(L31,'Datos - Catálogo TIMSS'!$A$5:$A$107,0)),"?"))</f>
      </c>
      <c r="P31" t="s" s="35">
        <v>282</v>
      </c>
      <c r="Q31" t="s" s="120">
        <v>1989</v>
      </c>
      <c r="R31" t="s" s="120">
        <v>1990</v>
      </c>
      <c r="S31" s="121" cm="1">
        <f t="array" ref="S31">_xlfn.IFERROR(ISNUMBER(SEARCH("Conocer",$R31))/(ISNUMBER(SEARCH("Conocer",$R31))+ISNUMBER(SEARCH("Aplicar",$R31))+ISNUMBER(SEARCH("Razonar",$R31))),0)</f>
        <v>1</v>
      </c>
      <c r="T31" s="121" cm="1">
        <f t="array" ref="T31">_xlfn.IFERROR(ISNUMBER(SEARCH("Aplicar",$R31))/(ISNUMBER(SEARCH("Conocer",$R31))+ISNUMBER(SEARCH("Aplicar",$R31))+ISNUMBER(SEARCH("Razonar",$R31))),0)</f>
        <v>0</v>
      </c>
      <c r="U31" s="121" cm="1">
        <f t="array" ref="U31">_xlfn.IFERROR(ISNUMBER(SEARCH("Razonar",$R31))/(ISNUMBER(SEARCH("Conocer",$R31))+ISNUMBER(SEARCH("Aplicar",$R31))+ISNUMBER(SEARCH("Razonar",$R31))),0)</f>
        <v>0</v>
      </c>
      <c r="V31" t="s" s="35">
        <v>69</v>
      </c>
      <c r="W31" t="s" s="35">
        <v>112</v>
      </c>
      <c r="X31" s="36" cm="1">
        <f t="array" ref="X31">IF(OR(_xlfn.IFERROR(INDEX('Datos - Catálogo TIMSS'!$I$5:$I$107,MATCH(K31,'Datos - Catálogo TIMSS'!$A$5:$A$107,0)),"No")="Sí",_xlfn.IFERROR(INDEX('Datos - Catálogo TIMSS'!$I$5:$I$107,MATCH(L31,'Datos - Catálogo TIMSS'!$A$5:$A$107,0)),"No")="Sí"),1,0)</f>
        <v>0</v>
      </c>
      <c r="Y31" s="36" cm="1">
        <f t="array" ref="Y31">IF(_xlfn.IFERROR(INDEX('Datos - Catálogo TIMSS'!$J$5:$J$107,MATCH(K31,'Datos - Catálogo TIMSS'!$A$5:$A$107,0)),"No")="Sí",1,0)</f>
        <v>0</v>
      </c>
      <c r="Z31" s="36" cm="1">
        <f t="array" ref="Z31">IF(_xlfn.IFERROR(INDEX('Datos - Catálogo TIMSS'!$J$5:$J$107,MATCH(L31,'Datos - Catálogo TIMSS'!$A$5:$A$107,0)),"No")="Sí",1,0)</f>
        <v>0</v>
      </c>
      <c r="AA31" t="s" s="35">
        <v>1991</v>
      </c>
      <c r="AB31" s="39"/>
      <c r="AC31" t="str" s="39">
        <v>Ciencias de la Tierra</v>
      </c>
      <c r="AD31" t="s" s="35">
        <v>1859</v>
      </c>
      <c r="AE31" t="str" s="39" cm="1">
        <f t="array" ref="AE31">IF(AD31="","",IF(LEFT(AD31,1)="1","C1",IF(LEFT(AD31,1)="2","C2",IF(LEFT(AD31,1)="3","C3",""))))</f>
        <v>C1</v>
      </c>
      <c r="AF31" t="s" s="35">
        <v>1602</v>
      </c>
      <c r="AG31" t="s" s="35">
        <v>1612</v>
      </c>
      <c r="AH31" t="s" s="35">
        <v>1602</v>
      </c>
      <c r="AI31" t="s" s="35">
        <v>1623</v>
      </c>
      <c r="AJ31" t="s" s="35">
        <v>1631</v>
      </c>
      <c r="AK31" s="39"/>
      <c r="AL31" s="39"/>
      <c r="AM31" s="39"/>
      <c r="AN31" s="39"/>
      <c r="AO31" s="39"/>
      <c r="AP31" s="39"/>
      <c r="AQ31" s="39"/>
      <c r="AR31" s="39"/>
      <c r="AS31" s="39"/>
      <c r="AT31" s="39"/>
      <c r="AU31" s="39"/>
      <c r="AV31" s="39"/>
      <c r="AW31" t="str" s="39" cm="1">
        <f t="array" ref="AW31">AF31&amp;"; "&amp;AG31&amp;"; "&amp;AH31&amp;"; "&amp;AI31&amp;"; "&amp;AJ31</f>
        <v>E1; E5; E1; D4; I4</v>
      </c>
    </row>
    <row r="32" ht="13.65" customHeight="1">
      <c r="A32" t="s" s="35">
        <v>1993</v>
      </c>
      <c r="B32" s="36">
        <v>2</v>
      </c>
      <c r="C32" t="s" s="35">
        <v>1823</v>
      </c>
      <c r="D32" t="s" s="35">
        <v>1824</v>
      </c>
      <c r="E32" t="s" s="35">
        <v>1971</v>
      </c>
      <c r="F32" s="36">
        <v>7</v>
      </c>
      <c r="G32" t="s" s="35">
        <v>259</v>
      </c>
      <c r="H32" t="s" s="35">
        <v>1986</v>
      </c>
      <c r="I32" t="s" s="120">
        <v>1994</v>
      </c>
      <c r="J32" t="s" s="35">
        <v>1055</v>
      </c>
      <c r="K32" t="s" s="35">
        <v>1156</v>
      </c>
      <c r="L32" s="39"/>
      <c r="M32" t="str" s="39">
        <v>Ciencias de la Tierra</v>
      </c>
      <c r="N32" t="str" s="39">
        <v>La Tierra en el sistema solar</v>
      </c>
      <c r="O32" t="str" s="39" cm="1">
        <f t="array" ref="O32">IF(L32="","",_xlfn.IFERROR(INDEX('Datos - Catálogo TIMSS'!$C$5:$C$107,MATCH(L32,'Datos - Catálogo TIMSS'!$A$5:$A$107,0)),"?"))</f>
      </c>
      <c r="P32" t="s" s="35">
        <v>254</v>
      </c>
      <c r="Q32" t="s" s="120">
        <v>1995</v>
      </c>
      <c r="R32" t="s" s="120">
        <v>1996</v>
      </c>
      <c r="S32" s="121" cm="1">
        <f t="array" ref="S32">_xlfn.IFERROR(ISNUMBER(SEARCH("Conocer",$R32))/(ISNUMBER(SEARCH("Conocer",$R32))+ISNUMBER(SEARCH("Aplicar",$R32))+ISNUMBER(SEARCH("Razonar",$R32))),0)</f>
        <v>0</v>
      </c>
      <c r="T32" s="121" cm="1">
        <f t="array" ref="T32">_xlfn.IFERROR(ISNUMBER(SEARCH("Aplicar",$R32))/(ISNUMBER(SEARCH("Conocer",$R32))+ISNUMBER(SEARCH("Aplicar",$R32))+ISNUMBER(SEARCH("Razonar",$R32))),0)</f>
        <v>1</v>
      </c>
      <c r="U32" s="121" cm="1">
        <f t="array" ref="U32">_xlfn.IFERROR(ISNUMBER(SEARCH("Razonar",$R32))/(ISNUMBER(SEARCH("Conocer",$R32))+ISNUMBER(SEARCH("Aplicar",$R32))+ISNUMBER(SEARCH("Razonar",$R32))),0)</f>
        <v>0</v>
      </c>
      <c r="V32" t="s" s="35">
        <v>69</v>
      </c>
      <c r="W32" t="s" s="35">
        <v>112</v>
      </c>
      <c r="X32" s="36" cm="1">
        <f t="array" ref="X32">IF(OR(_xlfn.IFERROR(INDEX('Datos - Catálogo TIMSS'!$I$5:$I$107,MATCH(K32,'Datos - Catálogo TIMSS'!$A$5:$A$107,0)),"No")="Sí",_xlfn.IFERROR(INDEX('Datos - Catálogo TIMSS'!$I$5:$I$107,MATCH(L32,'Datos - Catálogo TIMSS'!$A$5:$A$107,0)),"No")="Sí"),1,0)</f>
        <v>0</v>
      </c>
      <c r="Y32" s="36" cm="1">
        <f t="array" ref="Y32">IF(_xlfn.IFERROR(INDEX('Datos - Catálogo TIMSS'!$J$5:$J$107,MATCH(K32,'Datos - Catálogo TIMSS'!$A$5:$A$107,0)),"No")="Sí",1,0)</f>
        <v>0</v>
      </c>
      <c r="Z32" s="36" cm="1">
        <f t="array" ref="Z32">IF(_xlfn.IFERROR(INDEX('Datos - Catálogo TIMSS'!$J$5:$J$107,MATCH(L32,'Datos - Catálogo TIMSS'!$A$5:$A$107,0)),"No")="Sí",1,0)</f>
        <v>0</v>
      </c>
      <c r="AA32" t="s" s="35">
        <v>1991</v>
      </c>
      <c r="AB32" s="39"/>
      <c r="AC32" t="str" s="39">
        <v>Ciencias de la Tierra</v>
      </c>
      <c r="AD32" t="s" s="35">
        <v>1859</v>
      </c>
      <c r="AE32" t="str" s="39" cm="1">
        <f t="array" ref="AE32">IF(AD32="","",IF(LEFT(AD32,1)="1","C1",IF(LEFT(AD32,1)="2","C2",IF(LEFT(AD32,1)="3","C3",""))))</f>
        <v>C1</v>
      </c>
      <c r="AF32" t="s" s="35">
        <v>1602</v>
      </c>
      <c r="AG32" t="s" s="35">
        <v>1612</v>
      </c>
      <c r="AH32" t="s" s="35">
        <v>1609</v>
      </c>
      <c r="AI32" t="s" s="35">
        <v>1609</v>
      </c>
      <c r="AJ32" t="s" s="35">
        <v>1607</v>
      </c>
      <c r="AK32" s="39"/>
      <c r="AL32" s="39"/>
      <c r="AM32" s="39"/>
      <c r="AN32" s="39"/>
      <c r="AO32" s="39"/>
      <c r="AP32" s="39"/>
      <c r="AQ32" s="39"/>
      <c r="AR32" s="39"/>
      <c r="AS32" s="39"/>
      <c r="AT32" s="39"/>
      <c r="AU32" s="39"/>
      <c r="AV32" s="39"/>
      <c r="AW32" t="str" s="39" cm="1">
        <f t="array" ref="AW32">AF32&amp;"; "&amp;AG32&amp;"; "&amp;AH32&amp;"; "&amp;AI32&amp;"; "&amp;AJ32</f>
        <v>E1; E5; E4; E4; E3</v>
      </c>
    </row>
    <row r="33" ht="13.65" customHeight="1">
      <c r="A33" t="s" s="35">
        <v>1998</v>
      </c>
      <c r="B33" s="36">
        <v>2</v>
      </c>
      <c r="C33" t="s" s="35">
        <v>1823</v>
      </c>
      <c r="D33" t="s" s="35">
        <v>1824</v>
      </c>
      <c r="E33" t="s" s="35">
        <v>1971</v>
      </c>
      <c r="F33" s="36">
        <v>8</v>
      </c>
      <c r="G33" t="s" s="35">
        <v>259</v>
      </c>
      <c r="H33" t="s" s="35">
        <v>1999</v>
      </c>
      <c r="I33" t="s" s="120">
        <v>2000</v>
      </c>
      <c r="J33" t="s" s="35">
        <v>1055</v>
      </c>
      <c r="K33" t="s" s="35">
        <v>1156</v>
      </c>
      <c r="L33" s="39"/>
      <c r="M33" t="str" s="39">
        <v>Ciencias de la Tierra</v>
      </c>
      <c r="N33" t="str" s="39">
        <v>La Tierra en el sistema solar</v>
      </c>
      <c r="O33" t="str" s="39" cm="1">
        <f t="array" ref="O33">IF(L33="","",_xlfn.IFERROR(INDEX('Datos - Catálogo TIMSS'!$C$5:$C$107,MATCH(L33,'Datos - Catálogo TIMSS'!$A$5:$A$107,0)),"?"))</f>
      </c>
      <c r="P33" t="s" s="35">
        <v>254</v>
      </c>
      <c r="Q33" t="s" s="120">
        <v>2001</v>
      </c>
      <c r="R33" t="s" s="120">
        <v>1878</v>
      </c>
      <c r="S33" s="121" cm="1">
        <f t="array" ref="S33">_xlfn.IFERROR(ISNUMBER(SEARCH("Conocer",$R33))/(ISNUMBER(SEARCH("Conocer",$R33))+ISNUMBER(SEARCH("Aplicar",$R33))+ISNUMBER(SEARCH("Razonar",$R33))),0)</f>
        <v>0</v>
      </c>
      <c r="T33" s="121" cm="1">
        <f t="array" ref="T33">_xlfn.IFERROR(ISNUMBER(SEARCH("Aplicar",$R33))/(ISNUMBER(SEARCH("Conocer",$R33))+ISNUMBER(SEARCH("Aplicar",$R33))+ISNUMBER(SEARCH("Razonar",$R33))),0)</f>
        <v>1</v>
      </c>
      <c r="U33" s="121" cm="1">
        <f t="array" ref="U33">_xlfn.IFERROR(ISNUMBER(SEARCH("Razonar",$R33))/(ISNUMBER(SEARCH("Conocer",$R33))+ISNUMBER(SEARCH("Aplicar",$R33))+ISNUMBER(SEARCH("Razonar",$R33))),0)</f>
        <v>0</v>
      </c>
      <c r="V33" t="s" s="35">
        <v>69</v>
      </c>
      <c r="W33" t="s" s="35">
        <v>112</v>
      </c>
      <c r="X33" s="36" cm="1">
        <f t="array" ref="X33">IF(OR(_xlfn.IFERROR(INDEX('Datos - Catálogo TIMSS'!$I$5:$I$107,MATCH(K33,'Datos - Catálogo TIMSS'!$A$5:$A$107,0)),"No")="Sí",_xlfn.IFERROR(INDEX('Datos - Catálogo TIMSS'!$I$5:$I$107,MATCH(L33,'Datos - Catálogo TIMSS'!$A$5:$A$107,0)),"No")="Sí"),1,0)</f>
        <v>0</v>
      </c>
      <c r="Y33" s="36" cm="1">
        <f t="array" ref="Y33">IF(_xlfn.IFERROR(INDEX('Datos - Catálogo TIMSS'!$J$5:$J$107,MATCH(K33,'Datos - Catálogo TIMSS'!$A$5:$A$107,0)),"No")="Sí",1,0)</f>
        <v>0</v>
      </c>
      <c r="Z33" s="36" cm="1">
        <f t="array" ref="Z33">IF(_xlfn.IFERROR(INDEX('Datos - Catálogo TIMSS'!$J$5:$J$107,MATCH(L33,'Datos - Catálogo TIMSS'!$A$5:$A$107,0)),"No")="Sí",1,0)</f>
        <v>0</v>
      </c>
      <c r="AA33" t="s" s="35">
        <v>2002</v>
      </c>
      <c r="AB33" s="39"/>
      <c r="AC33" t="str" s="39">
        <v>Ciencias de la Tierra</v>
      </c>
      <c r="AD33" t="s" s="35">
        <v>1834</v>
      </c>
      <c r="AE33" t="str" s="39" cm="1">
        <f t="array" ref="AE33">IF(AD33="","",IF(LEFT(AD33,1)="1","C1",IF(LEFT(AD33,1)="2","C2",IF(LEFT(AD33,1)="3","C3",""))))</f>
        <v>C2</v>
      </c>
      <c r="AF33" t="s" s="35">
        <v>1602</v>
      </c>
      <c r="AG33" t="s" s="35">
        <v>1617</v>
      </c>
      <c r="AH33" t="s" s="35">
        <v>1609</v>
      </c>
      <c r="AI33" t="s" s="35">
        <v>1623</v>
      </c>
      <c r="AJ33" t="s" s="35">
        <v>1602</v>
      </c>
      <c r="AK33" s="39"/>
      <c r="AL33" s="39"/>
      <c r="AM33" s="39"/>
      <c r="AN33" s="39"/>
      <c r="AO33" s="39"/>
      <c r="AP33" s="39"/>
      <c r="AQ33" s="39"/>
      <c r="AR33" s="39"/>
      <c r="AS33" s="39"/>
      <c r="AT33" s="39"/>
      <c r="AU33" s="39"/>
      <c r="AV33" s="39"/>
      <c r="AW33" t="str" s="39" cm="1">
        <f t="array" ref="AW33">AF33&amp;"; "&amp;AG33&amp;"; "&amp;AH33&amp;"; "&amp;AI33&amp;"; "&amp;AJ33</f>
        <v>E1; D1; E4; D4; E1</v>
      </c>
    </row>
    <row r="34" ht="13.65" customHeight="1">
      <c r="A34" t="s" s="35">
        <v>2004</v>
      </c>
      <c r="B34" s="36">
        <v>2</v>
      </c>
      <c r="C34" t="s" s="35">
        <v>1823</v>
      </c>
      <c r="D34" t="s" s="35">
        <v>1824</v>
      </c>
      <c r="E34" t="s" s="35">
        <v>1971</v>
      </c>
      <c r="F34" s="36">
        <v>9</v>
      </c>
      <c r="G34" t="s" s="35">
        <v>259</v>
      </c>
      <c r="H34" t="s" s="35">
        <v>1999</v>
      </c>
      <c r="I34" t="s" s="120">
        <v>2005</v>
      </c>
      <c r="J34" t="s" s="35">
        <v>1055</v>
      </c>
      <c r="K34" t="s" s="35">
        <v>274</v>
      </c>
      <c r="L34" s="39"/>
      <c r="M34" t="str" s="39">
        <v>Ciencias de la Tierra</v>
      </c>
      <c r="N34" t="str" s="39">
        <v>La atmósfera terrestre</v>
      </c>
      <c r="O34" t="str" s="39" cm="1">
        <f t="array" ref="O34">IF(L34="","",_xlfn.IFERROR(INDEX('Datos - Catálogo TIMSS'!$C$5:$C$107,MATCH(L34,'Datos - Catálogo TIMSS'!$A$5:$A$107,0)),"?"))</f>
      </c>
      <c r="P34" t="s" s="35">
        <v>254</v>
      </c>
      <c r="Q34" t="s" s="120">
        <v>2007</v>
      </c>
      <c r="R34" t="s" s="120">
        <v>1840</v>
      </c>
      <c r="S34" s="121" cm="1">
        <f t="array" ref="S34">_xlfn.IFERROR(ISNUMBER(SEARCH("Conocer",$R34))/(ISNUMBER(SEARCH("Conocer",$R34))+ISNUMBER(SEARCH("Aplicar",$R34))+ISNUMBER(SEARCH("Razonar",$R34))),0)</f>
        <v>0.5</v>
      </c>
      <c r="T34" s="121" cm="1">
        <f t="array" ref="T34">_xlfn.IFERROR(ISNUMBER(SEARCH("Aplicar",$R34))/(ISNUMBER(SEARCH("Conocer",$R34))+ISNUMBER(SEARCH("Aplicar",$R34))+ISNUMBER(SEARCH("Razonar",$R34))),0)</f>
        <v>0.5</v>
      </c>
      <c r="U34" s="121" cm="1">
        <f t="array" ref="U34">_xlfn.IFERROR(ISNUMBER(SEARCH("Razonar",$R34))/(ISNUMBER(SEARCH("Conocer",$R34))+ISNUMBER(SEARCH("Aplicar",$R34))+ISNUMBER(SEARCH("Razonar",$R34))),0)</f>
        <v>0</v>
      </c>
      <c r="V34" t="s" s="35">
        <v>69</v>
      </c>
      <c r="W34" t="s" s="35">
        <v>112</v>
      </c>
      <c r="X34" s="36" cm="1">
        <f t="array" ref="X34">IF(OR(_xlfn.IFERROR(INDEX('Datos - Catálogo TIMSS'!$I$5:$I$107,MATCH(K34,'Datos - Catálogo TIMSS'!$A$5:$A$107,0)),"No")="Sí",_xlfn.IFERROR(INDEX('Datos - Catálogo TIMSS'!$I$5:$I$107,MATCH(L34,'Datos - Catálogo TIMSS'!$A$5:$A$107,0)),"No")="Sí"),1,0)</f>
        <v>1</v>
      </c>
      <c r="Y34" s="36" cm="1">
        <f t="array" ref="Y34">IF(_xlfn.IFERROR(INDEX('Datos - Catálogo TIMSS'!$J$5:$J$107,MATCH(K34,'Datos - Catálogo TIMSS'!$A$5:$A$107,0)),"No")="Sí",1,0)</f>
        <v>0</v>
      </c>
      <c r="Z34" s="36" cm="1">
        <f t="array" ref="Z34">IF(_xlfn.IFERROR(INDEX('Datos - Catálogo TIMSS'!$J$5:$J$107,MATCH(L34,'Datos - Catálogo TIMSS'!$A$5:$A$107,0)),"No")="Sí",1,0)</f>
        <v>0</v>
      </c>
      <c r="AA34" t="s" s="35">
        <v>2008</v>
      </c>
      <c r="AB34" t="s" s="35">
        <v>2009</v>
      </c>
      <c r="AC34" t="str" s="39">
        <v>Ciencias de la Tierra</v>
      </c>
      <c r="AD34" t="s" s="35">
        <v>1859</v>
      </c>
      <c r="AE34" t="str" s="39" cm="1">
        <f t="array" ref="AE34">IF(AD34="","",IF(LEFT(AD34,1)="1","C1",IF(LEFT(AD34,1)="2","C2",IF(LEFT(AD34,1)="3","C3",""))))</f>
        <v>C1</v>
      </c>
      <c r="AF34" t="s" s="35">
        <v>1602</v>
      </c>
      <c r="AG34" t="s" s="35">
        <v>1617</v>
      </c>
      <c r="AH34" t="s" s="35">
        <v>1605</v>
      </c>
      <c r="AI34" t="s" s="35">
        <v>1627</v>
      </c>
      <c r="AJ34" t="s" s="35">
        <v>1631</v>
      </c>
      <c r="AK34" s="39"/>
      <c r="AL34" s="39"/>
      <c r="AM34" s="39"/>
      <c r="AN34" s="39"/>
      <c r="AO34" s="39"/>
      <c r="AP34" s="39"/>
      <c r="AQ34" s="39"/>
      <c r="AR34" s="39"/>
      <c r="AS34" s="39"/>
      <c r="AT34" s="39"/>
      <c r="AU34" s="39"/>
      <c r="AV34" s="39"/>
      <c r="AW34" t="str" s="39" cm="1">
        <f t="array" ref="AW34">AF34&amp;"; "&amp;AG34&amp;"; "&amp;AH34&amp;"; "&amp;AI34&amp;"; "&amp;AJ34</f>
        <v>E1; D1; E2; I2; I4</v>
      </c>
    </row>
    <row r="35" ht="13.65" customHeight="1">
      <c r="A35" t="s" s="35">
        <v>2011</v>
      </c>
      <c r="B35" s="36">
        <v>2</v>
      </c>
      <c r="C35" t="s" s="35">
        <v>1823</v>
      </c>
      <c r="D35" t="s" s="35">
        <v>1824</v>
      </c>
      <c r="E35" t="s" s="35">
        <v>1971</v>
      </c>
      <c r="F35" s="36">
        <v>10</v>
      </c>
      <c r="G35" t="s" s="35">
        <v>259</v>
      </c>
      <c r="H35" t="s" s="35">
        <v>1999</v>
      </c>
      <c r="I35" t="s" s="120">
        <v>2012</v>
      </c>
      <c r="J35" t="s" s="35">
        <v>1055</v>
      </c>
      <c r="K35" t="s" s="35">
        <v>274</v>
      </c>
      <c r="L35" s="39"/>
      <c r="M35" t="str" s="39">
        <v>Ciencias de la Tierra</v>
      </c>
      <c r="N35" t="str" s="39">
        <v>La atmósfera terrestre</v>
      </c>
      <c r="O35" t="str" s="39" cm="1">
        <f t="array" ref="O35">IF(L35="","",_xlfn.IFERROR(INDEX('Datos - Catálogo TIMSS'!$C$5:$C$107,MATCH(L35,'Datos - Catálogo TIMSS'!$A$5:$A$107,0)),"?"))</f>
      </c>
      <c r="P35" t="s" s="35">
        <v>254</v>
      </c>
      <c r="Q35" t="s" s="120">
        <v>2013</v>
      </c>
      <c r="R35" t="s" s="120">
        <v>2014</v>
      </c>
      <c r="S35" s="121" cm="1">
        <f t="array" ref="S35">_xlfn.IFERROR(ISNUMBER(SEARCH("Conocer",$R35))/(ISNUMBER(SEARCH("Conocer",$R35))+ISNUMBER(SEARCH("Aplicar",$R35))+ISNUMBER(SEARCH("Razonar",$R35))),0)</f>
        <v>0</v>
      </c>
      <c r="T35" s="121" cm="1">
        <f t="array" ref="T35">_xlfn.IFERROR(ISNUMBER(SEARCH("Aplicar",$R35))/(ISNUMBER(SEARCH("Conocer",$R35))+ISNUMBER(SEARCH("Aplicar",$R35))+ISNUMBER(SEARCH("Razonar",$R35))),0)</f>
        <v>0</v>
      </c>
      <c r="U35" s="121" cm="1">
        <f t="array" ref="U35">_xlfn.IFERROR(ISNUMBER(SEARCH("Razonar",$R35))/(ISNUMBER(SEARCH("Conocer",$R35))+ISNUMBER(SEARCH("Aplicar",$R35))+ISNUMBER(SEARCH("Razonar",$R35))),0)</f>
        <v>1</v>
      </c>
      <c r="V35" t="s" s="35">
        <v>69</v>
      </c>
      <c r="W35" t="s" s="35">
        <v>112</v>
      </c>
      <c r="X35" s="36" cm="1">
        <f t="array" ref="X35">IF(OR(_xlfn.IFERROR(INDEX('Datos - Catálogo TIMSS'!$I$5:$I$107,MATCH(K35,'Datos - Catálogo TIMSS'!$A$5:$A$107,0)),"No")="Sí",_xlfn.IFERROR(INDEX('Datos - Catálogo TIMSS'!$I$5:$I$107,MATCH(L35,'Datos - Catálogo TIMSS'!$A$5:$A$107,0)),"No")="Sí"),1,0)</f>
        <v>1</v>
      </c>
      <c r="Y35" s="36" cm="1">
        <f t="array" ref="Y35">IF(_xlfn.IFERROR(INDEX('Datos - Catálogo TIMSS'!$J$5:$J$107,MATCH(K35,'Datos - Catálogo TIMSS'!$A$5:$A$107,0)),"No")="Sí",1,0)</f>
        <v>0</v>
      </c>
      <c r="Z35" s="36" cm="1">
        <f t="array" ref="Z35">IF(_xlfn.IFERROR(INDEX('Datos - Catálogo TIMSS'!$J$5:$J$107,MATCH(L35,'Datos - Catálogo TIMSS'!$A$5:$A$107,0)),"No")="Sí",1,0)</f>
        <v>0</v>
      </c>
      <c r="AA35" t="s" s="35">
        <v>2008</v>
      </c>
      <c r="AB35" s="39"/>
      <c r="AC35" t="str" s="39">
        <v>Ciencias de la Tierra</v>
      </c>
      <c r="AD35" t="s" s="35">
        <v>1900</v>
      </c>
      <c r="AE35" t="str" s="39" cm="1">
        <f t="array" ref="AE35">IF(AD35="","",IF(LEFT(AD35,1)="1","C1",IF(LEFT(AD35,1)="2","C2",IF(LEFT(AD35,1)="3","C3",""))))</f>
        <v>C3</v>
      </c>
      <c r="AF35" t="s" s="35">
        <v>1602</v>
      </c>
      <c r="AG35" t="s" s="35">
        <v>1607</v>
      </c>
      <c r="AH35" t="s" s="35">
        <v>1602</v>
      </c>
      <c r="AI35" t="s" s="35">
        <v>1629</v>
      </c>
      <c r="AJ35" t="s" s="35">
        <v>1633</v>
      </c>
      <c r="AK35" s="39"/>
      <c r="AL35" s="39"/>
      <c r="AM35" s="39"/>
      <c r="AN35" s="39"/>
      <c r="AO35" s="39"/>
      <c r="AP35" s="39"/>
      <c r="AQ35" s="39"/>
      <c r="AR35" s="39"/>
      <c r="AS35" s="39"/>
      <c r="AT35" s="39"/>
      <c r="AU35" s="39"/>
      <c r="AV35" s="39"/>
      <c r="AW35" t="str" s="39" cm="1">
        <f t="array" ref="AW35">AF35&amp;"; "&amp;AG35&amp;"; "&amp;AH35&amp;"; "&amp;AI35&amp;"; "&amp;AJ35</f>
        <v>E1; E3; E1; I3; I5</v>
      </c>
    </row>
    <row r="36" ht="13.65" customHeight="1">
      <c r="A36" t="s" s="35">
        <v>2016</v>
      </c>
      <c r="B36" s="36">
        <v>2</v>
      </c>
      <c r="C36" t="s" s="35">
        <v>1823</v>
      </c>
      <c r="D36" t="s" s="35">
        <v>1824</v>
      </c>
      <c r="E36" t="s" s="35">
        <v>2017</v>
      </c>
      <c r="F36" s="36">
        <v>3</v>
      </c>
      <c r="G36" t="s" s="35">
        <v>2018</v>
      </c>
      <c r="H36" t="s" s="35">
        <v>2019</v>
      </c>
      <c r="I36" t="s" s="120">
        <v>2020</v>
      </c>
      <c r="J36" t="s" s="35">
        <v>1055</v>
      </c>
      <c r="K36" t="s" s="35">
        <v>427</v>
      </c>
      <c r="L36" s="39"/>
      <c r="M36" t="str" s="39">
        <v>Biología</v>
      </c>
      <c r="N36" t="str" s="39">
        <v>Características y procesos vitales de los organismos</v>
      </c>
      <c r="O36" t="str" s="39" cm="1">
        <f t="array" ref="O36">IF(L36="","",_xlfn.IFERROR(INDEX('Datos - Catálogo TIMSS'!$C$5:$C$107,MATCH(L36,'Datos - Catálogo TIMSS'!$A$5:$A$107,0)),"?"))</f>
      </c>
      <c r="P36" t="s" s="35">
        <v>254</v>
      </c>
      <c r="Q36" t="s" s="120">
        <v>2022</v>
      </c>
      <c r="R36" t="s" s="120">
        <v>1853</v>
      </c>
      <c r="S36" s="121" cm="1">
        <f t="array" ref="S36">_xlfn.IFERROR(ISNUMBER(SEARCH("Conocer",$R36))/(ISNUMBER(SEARCH("Conocer",$R36))+ISNUMBER(SEARCH("Aplicar",$R36))+ISNUMBER(SEARCH("Razonar",$R36))),0)</f>
        <v>0.5</v>
      </c>
      <c r="T36" s="121" cm="1">
        <f t="array" ref="T36">_xlfn.IFERROR(ISNUMBER(SEARCH("Aplicar",$R36))/(ISNUMBER(SEARCH("Conocer",$R36))+ISNUMBER(SEARCH("Aplicar",$R36))+ISNUMBER(SEARCH("Razonar",$R36))),0)</f>
        <v>0.5</v>
      </c>
      <c r="U36" s="121" cm="1">
        <f t="array" ref="U36">_xlfn.IFERROR(ISNUMBER(SEARCH("Razonar",$R36))/(ISNUMBER(SEARCH("Conocer",$R36))+ISNUMBER(SEARCH("Aplicar",$R36))+ISNUMBER(SEARCH("Razonar",$R36))),0)</f>
        <v>0</v>
      </c>
      <c r="V36" t="s" s="35">
        <v>69</v>
      </c>
      <c r="W36" t="s" s="35">
        <v>112</v>
      </c>
      <c r="X36" s="36" cm="1">
        <f t="array" ref="X36">IF(OR(_xlfn.IFERROR(INDEX('Datos - Catálogo TIMSS'!$I$5:$I$107,MATCH(K36,'Datos - Catálogo TIMSS'!$A$5:$A$107,0)),"No")="Sí",_xlfn.IFERROR(INDEX('Datos - Catálogo TIMSS'!$I$5:$I$107,MATCH(L36,'Datos - Catálogo TIMSS'!$A$5:$A$107,0)),"No")="Sí"),1,0)</f>
        <v>1</v>
      </c>
      <c r="Y36" s="36" cm="1">
        <f t="array" ref="Y36">IF(_xlfn.IFERROR(INDEX('Datos - Catálogo TIMSS'!$J$5:$J$107,MATCH(K36,'Datos - Catálogo TIMSS'!$A$5:$A$107,0)),"No")="Sí",1,0)</f>
        <v>0</v>
      </c>
      <c r="Z36" s="36" cm="1">
        <f t="array" ref="Z36">IF(_xlfn.IFERROR(INDEX('Datos - Catálogo TIMSS'!$J$5:$J$107,MATCH(L36,'Datos - Catálogo TIMSS'!$A$5:$A$107,0)),"No")="Sí",1,0)</f>
        <v>0</v>
      </c>
      <c r="AA36" t="s" s="35">
        <v>2023</v>
      </c>
      <c r="AB36" s="39"/>
      <c r="AC36" t="str" s="39">
        <v>Ciencias de la vida</v>
      </c>
      <c r="AD36" t="s" s="35">
        <v>1859</v>
      </c>
      <c r="AE36" t="str" s="39" cm="1">
        <f t="array" ref="AE36">IF(AD36="","",IF(LEFT(AD36,1)="1","C1",IF(LEFT(AD36,1)="2","C2",IF(LEFT(AD36,1)="3","C3",""))))</f>
        <v>C1</v>
      </c>
      <c r="AF36" t="s" s="35">
        <v>1602</v>
      </c>
      <c r="AG36" t="s" s="35">
        <v>1617</v>
      </c>
      <c r="AH36" t="s" s="35">
        <v>1602</v>
      </c>
      <c r="AI36" t="s" s="35">
        <v>1623</v>
      </c>
      <c r="AJ36" t="s" s="35">
        <v>1631</v>
      </c>
      <c r="AK36" s="39"/>
      <c r="AL36" s="39"/>
      <c r="AM36" s="39"/>
      <c r="AN36" s="39"/>
      <c r="AO36" s="39"/>
      <c r="AP36" s="39"/>
      <c r="AQ36" s="39"/>
      <c r="AR36" s="39"/>
      <c r="AS36" s="39"/>
      <c r="AT36" s="39"/>
      <c r="AU36" s="39"/>
      <c r="AV36" s="39"/>
      <c r="AW36" t="str" s="39" cm="1">
        <f t="array" ref="AW36">AF36&amp;"; "&amp;AG36&amp;"; "&amp;AH36&amp;"; "&amp;AI36&amp;"; "&amp;AJ36</f>
        <v>E1; D1; E1; D4; I4</v>
      </c>
    </row>
    <row r="37" ht="13.65" customHeight="1">
      <c r="A37" t="s" s="35">
        <v>2026</v>
      </c>
      <c r="B37" s="36">
        <v>2</v>
      </c>
      <c r="C37" t="s" s="35">
        <v>1823</v>
      </c>
      <c r="D37" t="s" s="35">
        <v>1824</v>
      </c>
      <c r="E37" t="s" s="35">
        <v>2017</v>
      </c>
      <c r="F37" s="36">
        <v>4</v>
      </c>
      <c r="G37" t="s" s="35">
        <v>2018</v>
      </c>
      <c r="H37" t="s" s="35">
        <v>2027</v>
      </c>
      <c r="I37" t="s" s="120">
        <v>2028</v>
      </c>
      <c r="J37" t="s" s="35">
        <v>1055</v>
      </c>
      <c r="K37" t="s" s="35">
        <v>1066</v>
      </c>
      <c r="L37" s="39"/>
      <c r="M37" t="str" s="39">
        <v>Biología</v>
      </c>
      <c r="N37" t="str" s="39">
        <v>Características y procesos vitales de los organismos</v>
      </c>
      <c r="O37" t="str" s="39" cm="1">
        <f t="array" ref="O37">IF(L37="","",_xlfn.IFERROR(INDEX('Datos - Catálogo TIMSS'!$C$5:$C$107,MATCH(L37,'Datos - Catálogo TIMSS'!$A$5:$A$107,0)),"?"))</f>
      </c>
      <c r="P37" t="s" s="35">
        <v>282</v>
      </c>
      <c r="Q37" t="s" s="120">
        <v>2029</v>
      </c>
      <c r="R37" t="s" s="120">
        <v>2030</v>
      </c>
      <c r="S37" s="121" cm="1">
        <f t="array" ref="S37">_xlfn.IFERROR(ISNUMBER(SEARCH("Conocer",$R37))/(ISNUMBER(SEARCH("Conocer",$R37))+ISNUMBER(SEARCH("Aplicar",$R37))+ISNUMBER(SEARCH("Razonar",$R37))),0)</f>
        <v>0</v>
      </c>
      <c r="T37" s="121" cm="1">
        <f t="array" ref="T37">_xlfn.IFERROR(ISNUMBER(SEARCH("Aplicar",$R37))/(ISNUMBER(SEARCH("Conocer",$R37))+ISNUMBER(SEARCH("Aplicar",$R37))+ISNUMBER(SEARCH("Razonar",$R37))),0)</f>
        <v>0.5</v>
      </c>
      <c r="U37" s="121" cm="1">
        <f t="array" ref="U37">_xlfn.IFERROR(ISNUMBER(SEARCH("Razonar",$R37))/(ISNUMBER(SEARCH("Conocer",$R37))+ISNUMBER(SEARCH("Aplicar",$R37))+ISNUMBER(SEARCH("Razonar",$R37))),0)</f>
        <v>0.5</v>
      </c>
      <c r="V37" t="s" s="35">
        <v>69</v>
      </c>
      <c r="W37" t="s" s="35">
        <v>112</v>
      </c>
      <c r="X37" s="36" cm="1">
        <f t="array" ref="X37">IF(OR(_xlfn.IFERROR(INDEX('Datos - Catálogo TIMSS'!$I$5:$I$107,MATCH(K37,'Datos - Catálogo TIMSS'!$A$5:$A$107,0)),"No")="Sí",_xlfn.IFERROR(INDEX('Datos - Catálogo TIMSS'!$I$5:$I$107,MATCH(L37,'Datos - Catálogo TIMSS'!$A$5:$A$107,0)),"No")="Sí"),1,0)</f>
        <v>1</v>
      </c>
      <c r="Y37" s="36" cm="1">
        <f t="array" ref="Y37">IF(_xlfn.IFERROR(INDEX('Datos - Catálogo TIMSS'!$J$5:$J$107,MATCH(K37,'Datos - Catálogo TIMSS'!$A$5:$A$107,0)),"No")="Sí",1,0)</f>
        <v>0</v>
      </c>
      <c r="Z37" s="36" cm="1">
        <f t="array" ref="Z37">IF(_xlfn.IFERROR(INDEX('Datos - Catálogo TIMSS'!$J$5:$J$107,MATCH(L37,'Datos - Catálogo TIMSS'!$A$5:$A$107,0)),"No")="Sí",1,0)</f>
        <v>0</v>
      </c>
      <c r="AA37" t="s" s="35">
        <v>2031</v>
      </c>
      <c r="AB37" s="39"/>
      <c r="AC37" t="str" s="39">
        <v>Ciencias de la vida</v>
      </c>
      <c r="AD37" t="s" s="35">
        <v>1859</v>
      </c>
      <c r="AE37" t="str" s="39" cm="1">
        <f t="array" ref="AE37">IF(AD37="","",IF(LEFT(AD37,1)="1","C1",IF(LEFT(AD37,1)="2","C2",IF(LEFT(AD37,1)="3","C3",""))))</f>
        <v>C1</v>
      </c>
      <c r="AF37" t="s" s="35">
        <v>1602</v>
      </c>
      <c r="AG37" t="s" s="35">
        <v>1607</v>
      </c>
      <c r="AH37" t="s" s="35">
        <v>1602</v>
      </c>
      <c r="AI37" t="s" s="35">
        <v>1623</v>
      </c>
      <c r="AJ37" t="s" s="35">
        <v>1602</v>
      </c>
      <c r="AK37" s="39"/>
      <c r="AL37" s="39"/>
      <c r="AM37" s="39"/>
      <c r="AN37" s="39"/>
      <c r="AO37" s="39"/>
      <c r="AP37" s="39"/>
      <c r="AQ37" s="39"/>
      <c r="AR37" s="39"/>
      <c r="AS37" s="39"/>
      <c r="AT37" s="39"/>
      <c r="AU37" s="39"/>
      <c r="AV37" s="39"/>
      <c r="AW37" t="str" s="39" cm="1">
        <f t="array" ref="AW37">AF37&amp;"; "&amp;AG37&amp;"; "&amp;AH37&amp;"; "&amp;AI37&amp;"; "&amp;AJ37</f>
        <v>E1; E3; E1; D4; E1</v>
      </c>
    </row>
    <row r="38" ht="13.65" customHeight="1">
      <c r="A38" t="s" s="35">
        <v>2033</v>
      </c>
      <c r="B38" s="36">
        <v>2</v>
      </c>
      <c r="C38" t="s" s="35">
        <v>1823</v>
      </c>
      <c r="D38" t="s" s="35">
        <v>1824</v>
      </c>
      <c r="E38" t="s" s="35">
        <v>2017</v>
      </c>
      <c r="F38" s="36">
        <v>5</v>
      </c>
      <c r="G38" t="s" s="35">
        <v>2018</v>
      </c>
      <c r="H38" t="s" s="35">
        <v>2027</v>
      </c>
      <c r="I38" t="s" s="120">
        <v>2034</v>
      </c>
      <c r="J38" t="s" s="35">
        <v>1055</v>
      </c>
      <c r="K38" t="s" s="35">
        <v>1069</v>
      </c>
      <c r="L38" s="39"/>
      <c r="M38" t="str" s="39">
        <v>Biología</v>
      </c>
      <c r="N38" t="str" s="39">
        <v>Ciclos de vida, reproducción y herencia</v>
      </c>
      <c r="O38" t="str" s="39" cm="1">
        <f t="array" ref="O38">IF(L38="","",_xlfn.IFERROR(INDEX('Datos - Catálogo TIMSS'!$C$5:$C$107,MATCH(L38,'Datos - Catálogo TIMSS'!$A$5:$A$107,0)),"?"))</f>
      </c>
      <c r="P38" t="s" s="35">
        <v>254</v>
      </c>
      <c r="Q38" t="s" s="120">
        <v>2036</v>
      </c>
      <c r="R38" t="s" s="120">
        <v>2037</v>
      </c>
      <c r="S38" s="121" cm="1">
        <f t="array" ref="S38">_xlfn.IFERROR(ISNUMBER(SEARCH("Conocer",$R38))/(ISNUMBER(SEARCH("Conocer",$R38))+ISNUMBER(SEARCH("Aplicar",$R38))+ISNUMBER(SEARCH("Razonar",$R38))),0)</f>
        <v>0</v>
      </c>
      <c r="T38" s="121" cm="1">
        <f t="array" ref="T38">_xlfn.IFERROR(ISNUMBER(SEARCH("Aplicar",$R38))/(ISNUMBER(SEARCH("Conocer",$R38))+ISNUMBER(SEARCH("Aplicar",$R38))+ISNUMBER(SEARCH("Razonar",$R38))),0)</f>
        <v>0.5</v>
      </c>
      <c r="U38" s="121" cm="1">
        <f t="array" ref="U38">_xlfn.IFERROR(ISNUMBER(SEARCH("Razonar",$R38))/(ISNUMBER(SEARCH("Conocer",$R38))+ISNUMBER(SEARCH("Aplicar",$R38))+ISNUMBER(SEARCH("Razonar",$R38))),0)</f>
        <v>0.5</v>
      </c>
      <c r="V38" t="s" s="35">
        <v>69</v>
      </c>
      <c r="W38" t="s" s="35">
        <v>112</v>
      </c>
      <c r="X38" s="36" cm="1">
        <f t="array" ref="X38">IF(OR(_xlfn.IFERROR(INDEX('Datos - Catálogo TIMSS'!$I$5:$I$107,MATCH(K38,'Datos - Catálogo TIMSS'!$A$5:$A$107,0)),"No")="Sí",_xlfn.IFERROR(INDEX('Datos - Catálogo TIMSS'!$I$5:$I$107,MATCH(L38,'Datos - Catálogo TIMSS'!$A$5:$A$107,0)),"No")="Sí"),1,0)</f>
        <v>0</v>
      </c>
      <c r="Y38" s="36" cm="1">
        <f t="array" ref="Y38">IF(_xlfn.IFERROR(INDEX('Datos - Catálogo TIMSS'!$J$5:$J$107,MATCH(K38,'Datos - Catálogo TIMSS'!$A$5:$A$107,0)),"No")="Sí",1,0)</f>
        <v>0</v>
      </c>
      <c r="Z38" s="36" cm="1">
        <f t="array" ref="Z38">IF(_xlfn.IFERROR(INDEX('Datos - Catálogo TIMSS'!$J$5:$J$107,MATCH(L38,'Datos - Catálogo TIMSS'!$A$5:$A$107,0)),"No")="Sí",1,0)</f>
        <v>0</v>
      </c>
      <c r="AA38" t="s" s="35">
        <v>2038</v>
      </c>
      <c r="AB38" s="39"/>
      <c r="AC38" t="str" s="39">
        <v>Ciencias de la vida</v>
      </c>
      <c r="AD38" t="s" s="35">
        <v>1834</v>
      </c>
      <c r="AE38" t="str" s="39" cm="1">
        <f t="array" ref="AE38">IF(AD38="","",IF(LEFT(AD38,1)="1","C1",IF(LEFT(AD38,1)="2","C2",IF(LEFT(AD38,1)="3","C3",""))))</f>
        <v>C2</v>
      </c>
      <c r="AF38" t="s" s="35">
        <v>1602</v>
      </c>
      <c r="AG38" t="s" s="35">
        <v>1607</v>
      </c>
      <c r="AH38" t="s" s="35">
        <v>1605</v>
      </c>
      <c r="AI38" t="s" s="35">
        <v>1623</v>
      </c>
      <c r="AJ38" t="s" s="35">
        <v>1602</v>
      </c>
      <c r="AK38" s="39"/>
      <c r="AL38" s="39"/>
      <c r="AM38" s="39"/>
      <c r="AN38" s="39"/>
      <c r="AO38" s="39"/>
      <c r="AP38" s="39"/>
      <c r="AQ38" s="39"/>
      <c r="AR38" s="39"/>
      <c r="AS38" s="39"/>
      <c r="AT38" s="39"/>
      <c r="AU38" s="39"/>
      <c r="AV38" s="39"/>
      <c r="AW38" t="str" s="39" cm="1">
        <f t="array" ref="AW38">AF38&amp;"; "&amp;AG38&amp;"; "&amp;AH38&amp;"; "&amp;AI38&amp;"; "&amp;AJ38</f>
        <v>E1; E3; E2; D4; E1</v>
      </c>
    </row>
    <row r="39" ht="13.65" customHeight="1">
      <c r="A39" t="s" s="35">
        <v>2040</v>
      </c>
      <c r="B39" s="36">
        <v>2</v>
      </c>
      <c r="C39" t="s" s="35">
        <v>1823</v>
      </c>
      <c r="D39" t="s" s="35">
        <v>1824</v>
      </c>
      <c r="E39" t="s" s="35">
        <v>2017</v>
      </c>
      <c r="F39" s="36">
        <v>6</v>
      </c>
      <c r="G39" t="s" s="35">
        <v>2018</v>
      </c>
      <c r="H39" t="s" s="35">
        <v>2041</v>
      </c>
      <c r="I39" t="s" s="120">
        <v>2042</v>
      </c>
      <c r="J39" t="s" s="35">
        <v>1055</v>
      </c>
      <c r="K39" t="s" s="35">
        <v>416</v>
      </c>
      <c r="L39" t="s" s="35">
        <v>1079</v>
      </c>
      <c r="M39" t="str" s="39">
        <v>Biología</v>
      </c>
      <c r="N39" t="str" s="39">
        <v>Ecosistemas</v>
      </c>
      <c r="O39" t="str" s="39" cm="1">
        <f t="array" ref="O39">IF(L39="","",_xlfn.IFERROR(INDEX('Datos - Catálogo TIMSS'!$C$5:$C$107,MATCH(L39,'Datos - Catálogo TIMSS'!$A$5:$A$107,0)),"?"))</f>
        <v>Biología</v>
      </c>
      <c r="P39" t="s" s="35">
        <v>282</v>
      </c>
      <c r="Q39" t="s" s="120">
        <v>2044</v>
      </c>
      <c r="R39" t="s" s="120">
        <v>1878</v>
      </c>
      <c r="S39" s="121" cm="1">
        <f t="array" ref="S39">_xlfn.IFERROR(ISNUMBER(SEARCH("Conocer",$R39))/(ISNUMBER(SEARCH("Conocer",$R39))+ISNUMBER(SEARCH("Aplicar",$R39))+ISNUMBER(SEARCH("Razonar",$R39))),0)</f>
        <v>0</v>
      </c>
      <c r="T39" s="121" cm="1">
        <f t="array" ref="T39">_xlfn.IFERROR(ISNUMBER(SEARCH("Aplicar",$R39))/(ISNUMBER(SEARCH("Conocer",$R39))+ISNUMBER(SEARCH("Aplicar",$R39))+ISNUMBER(SEARCH("Razonar",$R39))),0)</f>
        <v>1</v>
      </c>
      <c r="U39" s="121" cm="1">
        <f t="array" ref="U39">_xlfn.IFERROR(ISNUMBER(SEARCH("Razonar",$R39))/(ISNUMBER(SEARCH("Conocer",$R39))+ISNUMBER(SEARCH("Aplicar",$R39))+ISNUMBER(SEARCH("Razonar",$R39))),0)</f>
        <v>0</v>
      </c>
      <c r="V39" t="s" s="35">
        <v>69</v>
      </c>
      <c r="W39" t="s" s="35">
        <v>112</v>
      </c>
      <c r="X39" s="36" cm="1">
        <f t="array" ref="X39">IF(OR(_xlfn.IFERROR(INDEX('Datos - Catálogo TIMSS'!$I$5:$I$107,MATCH(K39,'Datos - Catálogo TIMSS'!$A$5:$A$107,0)),"No")="Sí",_xlfn.IFERROR(INDEX('Datos - Catálogo TIMSS'!$I$5:$I$107,MATCH(L39,'Datos - Catálogo TIMSS'!$A$5:$A$107,0)),"No")="Sí"),1,0)</f>
        <v>1</v>
      </c>
      <c r="Y39" s="36" cm="1">
        <f t="array" ref="Y39">IF(_xlfn.IFERROR(INDEX('Datos - Catálogo TIMSS'!$J$5:$J$107,MATCH(K39,'Datos - Catálogo TIMSS'!$A$5:$A$107,0)),"No")="Sí",1,0)</f>
        <v>0</v>
      </c>
      <c r="Z39" s="36" cm="1">
        <f t="array" ref="Z39">IF(_xlfn.IFERROR(INDEX('Datos - Catálogo TIMSS'!$J$5:$J$107,MATCH(L39,'Datos - Catálogo TIMSS'!$A$5:$A$107,0)),"No")="Sí",1,0)</f>
        <v>0</v>
      </c>
      <c r="AA39" t="s" s="35">
        <v>2045</v>
      </c>
      <c r="AB39" t="s" s="35">
        <v>2023</v>
      </c>
      <c r="AC39" t="str" s="39">
        <v>Ciencias de la vida</v>
      </c>
      <c r="AD39" t="s" s="35">
        <v>1859</v>
      </c>
      <c r="AE39" t="str" s="39" cm="1">
        <f t="array" ref="AE39">IF(AD39="","",IF(LEFT(AD39,1)="1","C1",IF(LEFT(AD39,1)="2","C2",IF(LEFT(AD39,1)="3","C3",""))))</f>
        <v>C1</v>
      </c>
      <c r="AF39" t="s" s="35">
        <v>1602</v>
      </c>
      <c r="AG39" t="s" s="35">
        <v>1617</v>
      </c>
      <c r="AH39" t="s" s="35">
        <v>1602</v>
      </c>
      <c r="AI39" t="s" s="35">
        <v>1623</v>
      </c>
      <c r="AJ39" t="s" s="35">
        <v>1607</v>
      </c>
      <c r="AK39" s="39"/>
      <c r="AL39" s="39"/>
      <c r="AM39" s="39"/>
      <c r="AN39" s="39"/>
      <c r="AO39" s="39"/>
      <c r="AP39" s="39"/>
      <c r="AQ39" s="39"/>
      <c r="AR39" s="39"/>
      <c r="AS39" s="39"/>
      <c r="AT39" s="39"/>
      <c r="AU39" s="39"/>
      <c r="AV39" s="39"/>
      <c r="AW39" t="str" s="39" cm="1">
        <f t="array" ref="AW39">AF39&amp;"; "&amp;AG39&amp;"; "&amp;AH39&amp;"; "&amp;AI39&amp;"; "&amp;AJ39</f>
        <v>E1; D1; E1; D4; E3</v>
      </c>
    </row>
    <row r="40" ht="13.65" customHeight="1">
      <c r="A40" t="s" s="35">
        <v>2047</v>
      </c>
      <c r="B40" s="36">
        <v>2</v>
      </c>
      <c r="C40" t="s" s="35">
        <v>1823</v>
      </c>
      <c r="D40" t="s" s="35">
        <v>1824</v>
      </c>
      <c r="E40" t="s" s="35">
        <v>2017</v>
      </c>
      <c r="F40" s="36">
        <v>7</v>
      </c>
      <c r="G40" t="s" s="35">
        <v>2018</v>
      </c>
      <c r="H40" t="s" s="35">
        <v>2048</v>
      </c>
      <c r="I40" t="s" s="120">
        <v>2049</v>
      </c>
      <c r="J40" t="s" s="35">
        <v>1055</v>
      </c>
      <c r="K40" t="s" s="35">
        <v>388</v>
      </c>
      <c r="L40" s="39"/>
      <c r="M40" t="str" s="39">
        <v>Biología</v>
      </c>
      <c r="N40" t="str" s="39">
        <v>Características y procesos vitales de los organismos</v>
      </c>
      <c r="O40" t="str" s="39" cm="1">
        <f t="array" ref="O40">IF(L40="","",_xlfn.IFERROR(INDEX('Datos - Catálogo TIMSS'!$C$5:$C$107,MATCH(L40,'Datos - Catálogo TIMSS'!$A$5:$A$107,0)),"?"))</f>
      </c>
      <c r="P40" t="s" s="35">
        <v>282</v>
      </c>
      <c r="Q40" t="s" s="120">
        <v>2050</v>
      </c>
      <c r="R40" t="s" s="120">
        <v>2051</v>
      </c>
      <c r="S40" s="121" cm="1">
        <f t="array" ref="S40">_xlfn.IFERROR(ISNUMBER(SEARCH("Conocer",$R40))/(ISNUMBER(SEARCH("Conocer",$R40))+ISNUMBER(SEARCH("Aplicar",$R40))+ISNUMBER(SEARCH("Razonar",$R40))),0)</f>
        <v>1</v>
      </c>
      <c r="T40" s="121" cm="1">
        <f t="array" ref="T40">_xlfn.IFERROR(ISNUMBER(SEARCH("Aplicar",$R40))/(ISNUMBER(SEARCH("Conocer",$R40))+ISNUMBER(SEARCH("Aplicar",$R40))+ISNUMBER(SEARCH("Razonar",$R40))),0)</f>
        <v>0</v>
      </c>
      <c r="U40" s="121" cm="1">
        <f t="array" ref="U40">_xlfn.IFERROR(ISNUMBER(SEARCH("Razonar",$R40))/(ISNUMBER(SEARCH("Conocer",$R40))+ISNUMBER(SEARCH("Aplicar",$R40))+ISNUMBER(SEARCH("Razonar",$R40))),0)</f>
        <v>0</v>
      </c>
      <c r="V40" t="s" s="35">
        <v>69</v>
      </c>
      <c r="W40" t="s" s="35">
        <v>112</v>
      </c>
      <c r="X40" s="36" cm="1">
        <f t="array" ref="X40">IF(OR(_xlfn.IFERROR(INDEX('Datos - Catálogo TIMSS'!$I$5:$I$107,MATCH(K40,'Datos - Catálogo TIMSS'!$A$5:$A$107,0)),"No")="Sí",_xlfn.IFERROR(INDEX('Datos - Catálogo TIMSS'!$I$5:$I$107,MATCH(L40,'Datos - Catálogo TIMSS'!$A$5:$A$107,0)),"No")="Sí"),1,0)</f>
        <v>0</v>
      </c>
      <c r="Y40" s="36" cm="1">
        <f t="array" ref="Y40">IF(_xlfn.IFERROR(INDEX('Datos - Catálogo TIMSS'!$J$5:$J$107,MATCH(K40,'Datos - Catálogo TIMSS'!$A$5:$A$107,0)),"No")="Sí",1,0)</f>
        <v>0</v>
      </c>
      <c r="Z40" s="36" cm="1">
        <f t="array" ref="Z40">IF(_xlfn.IFERROR(INDEX('Datos - Catálogo TIMSS'!$J$5:$J$107,MATCH(L40,'Datos - Catálogo TIMSS'!$A$5:$A$107,0)),"No")="Sí",1,0)</f>
        <v>0</v>
      </c>
      <c r="AA40" t="s" s="35">
        <v>2052</v>
      </c>
      <c r="AB40" s="39"/>
      <c r="AC40" t="str" s="39">
        <v>Ciencias de la vida</v>
      </c>
      <c r="AD40" t="s" s="35">
        <v>1859</v>
      </c>
      <c r="AE40" t="str" s="39" cm="1">
        <f t="array" ref="AE40">IF(AD40="","",IF(LEFT(AD40,1)="1","C1",IF(LEFT(AD40,1)="2","C2",IF(LEFT(AD40,1)="3","C3",""))))</f>
        <v>C1</v>
      </c>
      <c r="AF40" t="s" s="35">
        <v>1602</v>
      </c>
      <c r="AG40" t="s" s="35">
        <v>1617</v>
      </c>
      <c r="AH40" t="s" s="35">
        <v>1602</v>
      </c>
      <c r="AI40" t="s" s="35">
        <v>1623</v>
      </c>
      <c r="AJ40" t="s" s="35">
        <v>1615</v>
      </c>
      <c r="AK40" s="39"/>
      <c r="AL40" s="39"/>
      <c r="AM40" s="39"/>
      <c r="AN40" s="39"/>
      <c r="AO40" s="39"/>
      <c r="AP40" s="39"/>
      <c r="AQ40" s="39"/>
      <c r="AR40" s="39"/>
      <c r="AS40" s="39"/>
      <c r="AT40" s="39"/>
      <c r="AU40" s="39"/>
      <c r="AV40" s="39"/>
      <c r="AW40" t="str" s="39" cm="1">
        <f t="array" ref="AW40">AF40&amp;"; "&amp;AG40&amp;"; "&amp;AH40&amp;"; "&amp;AI40&amp;"; "&amp;AJ40</f>
        <v>E1; D1; E1; D4; E6</v>
      </c>
    </row>
    <row r="41" ht="13.65" customHeight="1">
      <c r="A41" t="s" s="35">
        <v>2053</v>
      </c>
      <c r="B41" s="36">
        <v>2</v>
      </c>
      <c r="C41" t="s" s="35">
        <v>1823</v>
      </c>
      <c r="D41" t="s" s="35">
        <v>1824</v>
      </c>
      <c r="E41" t="s" s="35">
        <v>2017</v>
      </c>
      <c r="F41" s="36">
        <v>8</v>
      </c>
      <c r="G41" t="s" s="35">
        <v>2018</v>
      </c>
      <c r="H41" t="s" s="35">
        <v>2048</v>
      </c>
      <c r="I41" t="s" s="120">
        <v>2054</v>
      </c>
      <c r="J41" t="s" s="35">
        <v>1055</v>
      </c>
      <c r="K41" t="s" s="35">
        <v>388</v>
      </c>
      <c r="L41" s="39"/>
      <c r="M41" t="str" s="39">
        <v>Biología</v>
      </c>
      <c r="N41" t="str" s="39">
        <v>Características y procesos vitales de los organismos</v>
      </c>
      <c r="O41" t="str" s="39" cm="1">
        <f t="array" ref="O41">IF(L41="","",_xlfn.IFERROR(INDEX('Datos - Catálogo TIMSS'!$C$5:$C$107,MATCH(L41,'Datos - Catálogo TIMSS'!$A$5:$A$107,0)),"?"))</f>
      </c>
      <c r="P41" t="s" s="35">
        <v>254</v>
      </c>
      <c r="Q41" t="s" s="120">
        <v>2055</v>
      </c>
      <c r="R41" t="s" s="120">
        <v>1847</v>
      </c>
      <c r="S41" s="121" cm="1">
        <f t="array" ref="S41">_xlfn.IFERROR(ISNUMBER(SEARCH("Conocer",$R41))/(ISNUMBER(SEARCH("Conocer",$R41))+ISNUMBER(SEARCH("Aplicar",$R41))+ISNUMBER(SEARCH("Razonar",$R41))),0)</f>
        <v>0</v>
      </c>
      <c r="T41" s="121" cm="1">
        <f t="array" ref="T41">_xlfn.IFERROR(ISNUMBER(SEARCH("Aplicar",$R41))/(ISNUMBER(SEARCH("Conocer",$R41))+ISNUMBER(SEARCH("Aplicar",$R41))+ISNUMBER(SEARCH("Razonar",$R41))),0)</f>
        <v>1</v>
      </c>
      <c r="U41" s="121" cm="1">
        <f t="array" ref="U41">_xlfn.IFERROR(ISNUMBER(SEARCH("Razonar",$R41))/(ISNUMBER(SEARCH("Conocer",$R41))+ISNUMBER(SEARCH("Aplicar",$R41))+ISNUMBER(SEARCH("Razonar",$R41))),0)</f>
        <v>0</v>
      </c>
      <c r="V41" t="s" s="35">
        <v>69</v>
      </c>
      <c r="W41" t="s" s="35">
        <v>112</v>
      </c>
      <c r="X41" s="36" cm="1">
        <f t="array" ref="X41">IF(OR(_xlfn.IFERROR(INDEX('Datos - Catálogo TIMSS'!$I$5:$I$107,MATCH(K41,'Datos - Catálogo TIMSS'!$A$5:$A$107,0)),"No")="Sí",_xlfn.IFERROR(INDEX('Datos - Catálogo TIMSS'!$I$5:$I$107,MATCH(L41,'Datos - Catálogo TIMSS'!$A$5:$A$107,0)),"No")="Sí"),1,0)</f>
        <v>0</v>
      </c>
      <c r="Y41" s="36" cm="1">
        <f t="array" ref="Y41">IF(_xlfn.IFERROR(INDEX('Datos - Catálogo TIMSS'!$J$5:$J$107,MATCH(K41,'Datos - Catálogo TIMSS'!$A$5:$A$107,0)),"No")="Sí",1,0)</f>
        <v>0</v>
      </c>
      <c r="Z41" s="36" cm="1">
        <f t="array" ref="Z41">IF(_xlfn.IFERROR(INDEX('Datos - Catálogo TIMSS'!$J$5:$J$107,MATCH(L41,'Datos - Catálogo TIMSS'!$A$5:$A$107,0)),"No")="Sí",1,0)</f>
        <v>0</v>
      </c>
      <c r="AA41" t="s" s="35">
        <v>2052</v>
      </c>
      <c r="AB41" s="39"/>
      <c r="AC41" t="str" s="39">
        <v>Ciencias de la vida</v>
      </c>
      <c r="AD41" t="s" s="35">
        <v>1834</v>
      </c>
      <c r="AE41" t="str" s="39" cm="1">
        <f t="array" ref="AE41">IF(AD41="","",IF(LEFT(AD41,1)="1","C1",IF(LEFT(AD41,1)="2","C2",IF(LEFT(AD41,1)="3","C3",""))))</f>
        <v>C2</v>
      </c>
      <c r="AF41" t="s" s="35">
        <v>1602</v>
      </c>
      <c r="AG41" t="s" s="35">
        <v>1617</v>
      </c>
      <c r="AH41" t="s" s="35">
        <v>1605</v>
      </c>
      <c r="AI41" t="s" s="35">
        <v>1623</v>
      </c>
      <c r="AJ41" t="s" s="35">
        <v>1602</v>
      </c>
      <c r="AK41" s="39"/>
      <c r="AL41" s="39"/>
      <c r="AM41" s="39"/>
      <c r="AN41" s="39"/>
      <c r="AO41" s="39"/>
      <c r="AP41" s="39"/>
      <c r="AQ41" s="39"/>
      <c r="AR41" s="39"/>
      <c r="AS41" s="39"/>
      <c r="AT41" s="39"/>
      <c r="AU41" s="39"/>
      <c r="AV41" s="39"/>
      <c r="AW41" t="str" s="39" cm="1">
        <f t="array" ref="AW41">AF41&amp;"; "&amp;AG41&amp;"; "&amp;AH41&amp;"; "&amp;AI41&amp;"; "&amp;AJ41</f>
        <v>E1; D1; E2; D4; E1</v>
      </c>
    </row>
    <row r="42" ht="13.65" customHeight="1">
      <c r="A42" t="s" s="35">
        <v>2056</v>
      </c>
      <c r="B42" s="36">
        <v>2</v>
      </c>
      <c r="C42" t="s" s="35">
        <v>1823</v>
      </c>
      <c r="D42" t="s" s="35">
        <v>1824</v>
      </c>
      <c r="E42" t="s" s="35">
        <v>2017</v>
      </c>
      <c r="F42" s="36">
        <v>9</v>
      </c>
      <c r="G42" t="s" s="35">
        <v>2018</v>
      </c>
      <c r="H42" t="s" s="35">
        <v>2057</v>
      </c>
      <c r="I42" t="s" s="120">
        <v>2058</v>
      </c>
      <c r="J42" t="s" s="35">
        <v>1055</v>
      </c>
      <c r="K42" t="s" s="35">
        <v>383</v>
      </c>
      <c r="L42" t="s" s="35">
        <v>427</v>
      </c>
      <c r="M42" t="str" s="39">
        <v>Biología</v>
      </c>
      <c r="N42" t="str" s="39">
        <v>Características y procesos vitales de los organismos</v>
      </c>
      <c r="O42" t="str" s="39" cm="1">
        <f t="array" ref="O42">IF(L42="","",_xlfn.IFERROR(INDEX('Datos - Catálogo TIMSS'!$C$5:$C$107,MATCH(L42,'Datos - Catálogo TIMSS'!$A$5:$A$107,0)),"?"))</f>
        <v>Biología</v>
      </c>
      <c r="P42" t="s" s="35">
        <v>254</v>
      </c>
      <c r="Q42" t="s" s="120">
        <v>2059</v>
      </c>
      <c r="R42" t="s" s="120">
        <v>2060</v>
      </c>
      <c r="S42" s="121" cm="1">
        <f t="array" ref="S42">_xlfn.IFERROR(ISNUMBER(SEARCH("Conocer",$R42))/(ISNUMBER(SEARCH("Conocer",$R42))+ISNUMBER(SEARCH("Aplicar",$R42))+ISNUMBER(SEARCH("Razonar",$R42))),0)</f>
        <v>0.5</v>
      </c>
      <c r="T42" s="121" cm="1">
        <f t="array" ref="T42">_xlfn.IFERROR(ISNUMBER(SEARCH("Aplicar",$R42))/(ISNUMBER(SEARCH("Conocer",$R42))+ISNUMBER(SEARCH("Aplicar",$R42))+ISNUMBER(SEARCH("Razonar",$R42))),0)</f>
        <v>0.5</v>
      </c>
      <c r="U42" s="121" cm="1">
        <f t="array" ref="U42">_xlfn.IFERROR(ISNUMBER(SEARCH("Razonar",$R42))/(ISNUMBER(SEARCH("Conocer",$R42))+ISNUMBER(SEARCH("Aplicar",$R42))+ISNUMBER(SEARCH("Razonar",$R42))),0)</f>
        <v>0</v>
      </c>
      <c r="V42" t="s" s="35">
        <v>69</v>
      </c>
      <c r="W42" t="s" s="35">
        <v>112</v>
      </c>
      <c r="X42" s="36" cm="1">
        <f t="array" ref="X42">IF(OR(_xlfn.IFERROR(INDEX('Datos - Catálogo TIMSS'!$I$5:$I$107,MATCH(K42,'Datos - Catálogo TIMSS'!$A$5:$A$107,0)),"No")="Sí",_xlfn.IFERROR(INDEX('Datos - Catálogo TIMSS'!$I$5:$I$107,MATCH(L42,'Datos - Catálogo TIMSS'!$A$5:$A$107,0)),"No")="Sí"),1,0)</f>
        <v>1</v>
      </c>
      <c r="Y42" s="36" cm="1">
        <f t="array" ref="Y42">IF(_xlfn.IFERROR(INDEX('Datos - Catálogo TIMSS'!$J$5:$J$107,MATCH(K42,'Datos - Catálogo TIMSS'!$A$5:$A$107,0)),"No")="Sí",1,0)</f>
        <v>0</v>
      </c>
      <c r="Z42" s="36" cm="1">
        <f t="array" ref="Z42">IF(_xlfn.IFERROR(INDEX('Datos - Catálogo TIMSS'!$J$5:$J$107,MATCH(L42,'Datos - Catálogo TIMSS'!$A$5:$A$107,0)),"No")="Sí",1,0)</f>
        <v>0</v>
      </c>
      <c r="AA42" t="s" s="35">
        <v>2061</v>
      </c>
      <c r="AB42" t="s" s="35">
        <v>2023</v>
      </c>
      <c r="AC42" t="str" s="39">
        <v>Ciencias de la vida</v>
      </c>
      <c r="AD42" t="s" s="35">
        <v>1859</v>
      </c>
      <c r="AE42" t="str" s="39" cm="1">
        <f t="array" ref="AE42">IF(AD42="","",IF(LEFT(AD42,1)="1","C1",IF(LEFT(AD42,1)="2","C2",IF(LEFT(AD42,1)="3","C3",""))))</f>
        <v>C1</v>
      </c>
      <c r="AF42" t="s" s="35">
        <v>1602</v>
      </c>
      <c r="AG42" t="s" s="35">
        <v>1612</v>
      </c>
      <c r="AH42" t="s" s="35">
        <v>1609</v>
      </c>
      <c r="AI42" t="s" s="35">
        <v>1619</v>
      </c>
      <c r="AJ42" t="s" s="35">
        <v>1633</v>
      </c>
      <c r="AK42" s="39"/>
      <c r="AL42" s="39"/>
      <c r="AM42" s="39"/>
      <c r="AN42" s="39"/>
      <c r="AO42" s="39"/>
      <c r="AP42" s="39"/>
      <c r="AQ42" s="39"/>
      <c r="AR42" s="39"/>
      <c r="AS42" s="39"/>
      <c r="AT42" s="39"/>
      <c r="AU42" s="39"/>
      <c r="AV42" s="39"/>
      <c r="AW42" t="str" s="39" cm="1">
        <f t="array" ref="AW42">AF42&amp;"; "&amp;AG42&amp;"; "&amp;AH42&amp;"; "&amp;AI42&amp;"; "&amp;AJ42</f>
        <v>E1; E5; E4; D2; I5</v>
      </c>
    </row>
    <row r="43" ht="13.65" customHeight="1">
      <c r="A43" t="s" s="35">
        <v>2063</v>
      </c>
      <c r="B43" s="36">
        <v>2</v>
      </c>
      <c r="C43" t="s" s="35">
        <v>1823</v>
      </c>
      <c r="D43" t="s" s="35">
        <v>1824</v>
      </c>
      <c r="E43" t="s" s="35">
        <v>2017</v>
      </c>
      <c r="F43" s="36">
        <v>10</v>
      </c>
      <c r="G43" t="s" s="35">
        <v>2018</v>
      </c>
      <c r="H43" t="s" s="35">
        <v>2057</v>
      </c>
      <c r="I43" t="s" s="120">
        <v>2064</v>
      </c>
      <c r="J43" t="s" s="35">
        <v>1055</v>
      </c>
      <c r="K43" t="s" s="35">
        <v>416</v>
      </c>
      <c r="L43" s="39"/>
      <c r="M43" t="str" s="39">
        <v>Biología</v>
      </c>
      <c r="N43" t="str" s="39">
        <v>Ecosistemas</v>
      </c>
      <c r="O43" t="str" s="39" cm="1">
        <f t="array" ref="O43">IF(L43="","",_xlfn.IFERROR(INDEX('Datos - Catálogo TIMSS'!$C$5:$C$107,MATCH(L43,'Datos - Catálogo TIMSS'!$A$5:$A$107,0)),"?"))</f>
      </c>
      <c r="P43" t="s" s="35">
        <v>291</v>
      </c>
      <c r="Q43" t="s" s="120">
        <v>2065</v>
      </c>
      <c r="R43" t="s" s="120">
        <v>2066</v>
      </c>
      <c r="S43" s="121" cm="1">
        <f t="array" ref="S43">_xlfn.IFERROR(ISNUMBER(SEARCH("Conocer",$R43))/(ISNUMBER(SEARCH("Conocer",$R43))+ISNUMBER(SEARCH("Aplicar",$R43))+ISNUMBER(SEARCH("Razonar",$R43))),0)</f>
        <v>0</v>
      </c>
      <c r="T43" s="121" cm="1">
        <f t="array" ref="T43">_xlfn.IFERROR(ISNUMBER(SEARCH("Aplicar",$R43))/(ISNUMBER(SEARCH("Conocer",$R43))+ISNUMBER(SEARCH("Aplicar",$R43))+ISNUMBER(SEARCH("Razonar",$R43))),0)</f>
        <v>1</v>
      </c>
      <c r="U43" s="121" cm="1">
        <f t="array" ref="U43">_xlfn.IFERROR(ISNUMBER(SEARCH("Razonar",$R43))/(ISNUMBER(SEARCH("Conocer",$R43))+ISNUMBER(SEARCH("Aplicar",$R43))+ISNUMBER(SEARCH("Razonar",$R43))),0)</f>
        <v>0</v>
      </c>
      <c r="V43" t="s" s="35">
        <v>69</v>
      </c>
      <c r="W43" t="s" s="35">
        <v>112</v>
      </c>
      <c r="X43" s="36" cm="1">
        <f t="array" ref="X43">IF(OR(_xlfn.IFERROR(INDEX('Datos - Catálogo TIMSS'!$I$5:$I$107,MATCH(K43,'Datos - Catálogo TIMSS'!$A$5:$A$107,0)),"No")="Sí",_xlfn.IFERROR(INDEX('Datos - Catálogo TIMSS'!$I$5:$I$107,MATCH(L43,'Datos - Catálogo TIMSS'!$A$5:$A$107,0)),"No")="Sí"),1,0)</f>
        <v>1</v>
      </c>
      <c r="Y43" s="36" cm="1">
        <f t="array" ref="Y43">IF(_xlfn.IFERROR(INDEX('Datos - Catálogo TIMSS'!$J$5:$J$107,MATCH(K43,'Datos - Catálogo TIMSS'!$A$5:$A$107,0)),"No")="Sí",1,0)</f>
        <v>0</v>
      </c>
      <c r="Z43" s="36" cm="1">
        <f t="array" ref="Z43">IF(_xlfn.IFERROR(INDEX('Datos - Catálogo TIMSS'!$J$5:$J$107,MATCH(L43,'Datos - Catálogo TIMSS'!$A$5:$A$107,0)),"No")="Sí",1,0)</f>
        <v>0</v>
      </c>
      <c r="AA43" t="s" s="35">
        <v>2045</v>
      </c>
      <c r="AB43" s="39"/>
      <c r="AC43" t="str" s="39">
        <v>Ciencias de la vida</v>
      </c>
      <c r="AD43" t="s" s="35">
        <v>1834</v>
      </c>
      <c r="AE43" t="str" s="39" cm="1">
        <f t="array" ref="AE43">IF(AD43="","",IF(LEFT(AD43,1)="1","C1",IF(LEFT(AD43,1)="2","C2",IF(LEFT(AD43,1)="3","C3",""))))</f>
        <v>C2</v>
      </c>
      <c r="AF43" t="s" s="35">
        <v>1602</v>
      </c>
      <c r="AG43" t="s" s="35">
        <v>1617</v>
      </c>
      <c r="AH43" t="s" s="35">
        <v>1602</v>
      </c>
      <c r="AI43" t="s" s="35">
        <v>1625</v>
      </c>
      <c r="AJ43" t="s" s="35">
        <v>1615</v>
      </c>
      <c r="AK43" s="39"/>
      <c r="AL43" s="39"/>
      <c r="AM43" s="39"/>
      <c r="AN43" s="39"/>
      <c r="AO43" s="39"/>
      <c r="AP43" s="39"/>
      <c r="AQ43" s="39"/>
      <c r="AR43" s="39"/>
      <c r="AS43" s="39"/>
      <c r="AT43" s="39"/>
      <c r="AU43" s="39"/>
      <c r="AV43" s="39"/>
      <c r="AW43" t="str" s="39" cm="1">
        <f t="array" ref="AW43">AF43&amp;"; "&amp;AG43&amp;"; "&amp;AH43&amp;"; "&amp;AI43&amp;"; "&amp;AJ43</f>
        <v>E1; D1; E1; I1; E6</v>
      </c>
    </row>
    <row r="44" ht="13.65" customHeight="1">
      <c r="A44" t="s" s="35">
        <v>2068</v>
      </c>
      <c r="B44" s="36">
        <v>2</v>
      </c>
      <c r="C44" t="s" s="35">
        <v>1823</v>
      </c>
      <c r="D44" t="s" s="35">
        <v>1824</v>
      </c>
      <c r="E44" t="s" s="35">
        <v>2017</v>
      </c>
      <c r="F44" s="36">
        <v>11</v>
      </c>
      <c r="G44" t="s" s="35">
        <v>2018</v>
      </c>
      <c r="H44" t="s" s="35">
        <v>2069</v>
      </c>
      <c r="I44" t="s" s="120">
        <v>2070</v>
      </c>
      <c r="J44" t="s" s="35">
        <v>1055</v>
      </c>
      <c r="K44" t="s" s="35">
        <v>1832</v>
      </c>
      <c r="L44" s="39"/>
      <c r="M44" t="str" s="39">
        <v>Fuera del marco</v>
      </c>
      <c r="N44" t="str" s="39">
        <v>Fuera del marco</v>
      </c>
      <c r="O44" t="str" s="39" cm="1">
        <f t="array" ref="O44">IF(L44="","",_xlfn.IFERROR(INDEX('Datos - Catálogo TIMSS'!$C$5:$C$107,MATCH(L44,'Datos - Catálogo TIMSS'!$A$5:$A$107,0)),"?"))</f>
      </c>
      <c r="P44" t="s" s="35">
        <v>291</v>
      </c>
      <c r="Q44" t="s" s="120">
        <v>2071</v>
      </c>
      <c r="R44" t="s" s="120">
        <v>1847</v>
      </c>
      <c r="S44" s="121" cm="1">
        <f t="array" ref="S44">_xlfn.IFERROR(ISNUMBER(SEARCH("Conocer",$R44))/(ISNUMBER(SEARCH("Conocer",$R44))+ISNUMBER(SEARCH("Aplicar",$R44))+ISNUMBER(SEARCH("Razonar",$R44))),0)</f>
        <v>0</v>
      </c>
      <c r="T44" s="121" cm="1">
        <f t="array" ref="T44">_xlfn.IFERROR(ISNUMBER(SEARCH("Aplicar",$R44))/(ISNUMBER(SEARCH("Conocer",$R44))+ISNUMBER(SEARCH("Aplicar",$R44))+ISNUMBER(SEARCH("Razonar",$R44))),0)</f>
        <v>1</v>
      </c>
      <c r="U44" s="121" cm="1">
        <f t="array" ref="U44">_xlfn.IFERROR(ISNUMBER(SEARCH("Razonar",$R44))/(ISNUMBER(SEARCH("Conocer",$R44))+ISNUMBER(SEARCH("Aplicar",$R44))+ISNUMBER(SEARCH("Razonar",$R44))),0)</f>
        <v>0</v>
      </c>
      <c r="V44" t="s" s="35">
        <v>69</v>
      </c>
      <c r="W44" t="s" s="35">
        <v>112</v>
      </c>
      <c r="X44" s="36" cm="1">
        <f t="array" ref="X44">IF(OR(_xlfn.IFERROR(INDEX('Datos - Catálogo TIMSS'!$I$5:$I$107,MATCH(K44,'Datos - Catálogo TIMSS'!$A$5:$A$107,0)),"No")="Sí",_xlfn.IFERROR(INDEX('Datos - Catálogo TIMSS'!$I$5:$I$107,MATCH(L44,'Datos - Catálogo TIMSS'!$A$5:$A$107,0)),"No")="Sí"),1,0)</f>
        <v>0</v>
      </c>
      <c r="Y44" s="36" cm="1">
        <f t="array" ref="Y44">IF(_xlfn.IFERROR(INDEX('Datos - Catálogo TIMSS'!$J$5:$J$107,MATCH(K44,'Datos - Catálogo TIMSS'!$A$5:$A$107,0)),"No")="Sí",1,0)</f>
        <v>0</v>
      </c>
      <c r="Z44" s="36" cm="1">
        <f t="array" ref="Z44">IF(_xlfn.IFERROR(INDEX('Datos - Catálogo TIMSS'!$J$5:$J$107,MATCH(L44,'Datos - Catálogo TIMSS'!$A$5:$A$107,0)),"No")="Sí",1,0)</f>
        <v>0</v>
      </c>
      <c r="AA44" t="s" s="35">
        <v>1899</v>
      </c>
      <c r="AB44" s="39"/>
      <c r="AC44" t="str" s="39">
        <v>Ciencias de la Tierra</v>
      </c>
      <c r="AD44" t="s" s="35">
        <v>1834</v>
      </c>
      <c r="AE44" t="str" s="39" cm="1">
        <f t="array" ref="AE44">IF(AD44="","",IF(LEFT(AD44,1)="1","C1",IF(LEFT(AD44,1)="2","C2",IF(LEFT(AD44,1)="3","C3",""))))</f>
        <v>C2</v>
      </c>
      <c r="AF44" t="s" s="35">
        <v>1602</v>
      </c>
      <c r="AG44" t="s" s="35">
        <v>1617</v>
      </c>
      <c r="AH44" t="s" s="35">
        <v>1605</v>
      </c>
      <c r="AI44" t="s" s="35">
        <v>1623</v>
      </c>
      <c r="AJ44" t="s" s="35">
        <v>1615</v>
      </c>
      <c r="AK44" s="39"/>
      <c r="AL44" s="39"/>
      <c r="AM44" s="39"/>
      <c r="AN44" s="39"/>
      <c r="AO44" s="39"/>
      <c r="AP44" s="39"/>
      <c r="AQ44" s="39"/>
      <c r="AR44" s="39"/>
      <c r="AS44" s="39"/>
      <c r="AT44" s="39"/>
      <c r="AU44" s="39"/>
      <c r="AV44" s="39"/>
      <c r="AW44" t="str" s="39" cm="1">
        <f t="array" ref="AW44">AF44&amp;"; "&amp;AG44&amp;"; "&amp;AH44&amp;"; "&amp;AI44&amp;"; "&amp;AJ44</f>
        <v>E1; D1; E2; D4; E6</v>
      </c>
    </row>
    <row r="45" ht="13.65" customHeight="1">
      <c r="A45" t="s" s="35">
        <v>2072</v>
      </c>
      <c r="B45" s="36">
        <v>2</v>
      </c>
      <c r="C45" t="s" s="35">
        <v>1823</v>
      </c>
      <c r="D45" t="s" s="35">
        <v>1824</v>
      </c>
      <c r="E45" t="s" s="35">
        <v>2017</v>
      </c>
      <c r="F45" s="36">
        <v>12</v>
      </c>
      <c r="G45" t="s" s="35">
        <v>2018</v>
      </c>
      <c r="H45" t="s" s="35">
        <v>2069</v>
      </c>
      <c r="I45" t="s" s="120">
        <v>2073</v>
      </c>
      <c r="J45" t="s" s="35">
        <v>1055</v>
      </c>
      <c r="K45" t="s" s="35">
        <v>1832</v>
      </c>
      <c r="L45" s="39"/>
      <c r="M45" t="str" s="39">
        <v>Fuera del marco</v>
      </c>
      <c r="N45" t="str" s="39">
        <v>Fuera del marco</v>
      </c>
      <c r="O45" t="str" s="39" cm="1">
        <f t="array" ref="O45">IF(L45="","",_xlfn.IFERROR(INDEX('Datos - Catálogo TIMSS'!$C$5:$C$107,MATCH(L45,'Datos - Catálogo TIMSS'!$A$5:$A$107,0)),"?"))</f>
      </c>
      <c r="P45" t="s" s="35">
        <v>291</v>
      </c>
      <c r="Q45" t="s" s="120">
        <v>2074</v>
      </c>
      <c r="R45" t="s" s="120">
        <v>2075</v>
      </c>
      <c r="S45" s="121" cm="1">
        <f t="array" ref="S45">_xlfn.IFERROR(ISNUMBER(SEARCH("Conocer",$R45))/(ISNUMBER(SEARCH("Conocer",$R45))+ISNUMBER(SEARCH("Aplicar",$R45))+ISNUMBER(SEARCH("Razonar",$R45))),0)</f>
        <v>0</v>
      </c>
      <c r="T45" s="121" cm="1">
        <f t="array" ref="T45">_xlfn.IFERROR(ISNUMBER(SEARCH("Aplicar",$R45))/(ISNUMBER(SEARCH("Conocer",$R45))+ISNUMBER(SEARCH("Aplicar",$R45))+ISNUMBER(SEARCH("Razonar",$R45))),0)</f>
        <v>0.5</v>
      </c>
      <c r="U45" s="121" cm="1">
        <f t="array" ref="U45">_xlfn.IFERROR(ISNUMBER(SEARCH("Razonar",$R45))/(ISNUMBER(SEARCH("Conocer",$R45))+ISNUMBER(SEARCH("Aplicar",$R45))+ISNUMBER(SEARCH("Razonar",$R45))),0)</f>
        <v>0.5</v>
      </c>
      <c r="V45" t="s" s="35">
        <v>69</v>
      </c>
      <c r="W45" t="s" s="35">
        <v>112</v>
      </c>
      <c r="X45" s="36" cm="1">
        <f t="array" ref="X45">IF(OR(_xlfn.IFERROR(INDEX('Datos - Catálogo TIMSS'!$I$5:$I$107,MATCH(K45,'Datos - Catálogo TIMSS'!$A$5:$A$107,0)),"No")="Sí",_xlfn.IFERROR(INDEX('Datos - Catálogo TIMSS'!$I$5:$I$107,MATCH(L45,'Datos - Catálogo TIMSS'!$A$5:$A$107,0)),"No")="Sí"),1,0)</f>
        <v>0</v>
      </c>
      <c r="Y45" s="36" cm="1">
        <f t="array" ref="Y45">IF(_xlfn.IFERROR(INDEX('Datos - Catálogo TIMSS'!$J$5:$J$107,MATCH(K45,'Datos - Catálogo TIMSS'!$A$5:$A$107,0)),"No")="Sí",1,0)</f>
        <v>0</v>
      </c>
      <c r="Z45" s="36" cm="1">
        <f t="array" ref="Z45">IF(_xlfn.IFERROR(INDEX('Datos - Catálogo TIMSS'!$J$5:$J$107,MATCH(L45,'Datos - Catálogo TIMSS'!$A$5:$A$107,0)),"No")="Sí",1,0)</f>
        <v>0</v>
      </c>
      <c r="AA45" t="s" s="35">
        <v>1899</v>
      </c>
      <c r="AB45" s="39"/>
      <c r="AC45" t="str" s="39">
        <v>Ciencias de la Tierra</v>
      </c>
      <c r="AD45" t="s" s="35">
        <v>1900</v>
      </c>
      <c r="AE45" t="str" s="39" cm="1">
        <f t="array" ref="AE45">IF(AD45="","",IF(LEFT(AD45,1)="1","C1",IF(LEFT(AD45,1)="2","C2",IF(LEFT(AD45,1)="3","C3",""))))</f>
        <v>C3</v>
      </c>
      <c r="AF45" t="s" s="35">
        <v>1602</v>
      </c>
      <c r="AG45" t="s" s="35">
        <v>1617</v>
      </c>
      <c r="AH45" t="s" s="35">
        <v>1602</v>
      </c>
      <c r="AI45" t="s" s="35">
        <v>1627</v>
      </c>
      <c r="AJ45" t="s" s="35">
        <v>1633</v>
      </c>
      <c r="AK45" s="39"/>
      <c r="AL45" s="39"/>
      <c r="AM45" s="39"/>
      <c r="AN45" s="39"/>
      <c r="AO45" s="39"/>
      <c r="AP45" s="39"/>
      <c r="AQ45" s="39"/>
      <c r="AR45" s="39"/>
      <c r="AS45" s="39"/>
      <c r="AT45" s="39"/>
      <c r="AU45" s="39"/>
      <c r="AV45" s="39"/>
      <c r="AW45" t="str" s="39" cm="1">
        <f t="array" ref="AW45">AF45&amp;"; "&amp;AG45&amp;"; "&amp;AH45&amp;"; "&amp;AI45&amp;"; "&amp;AJ45</f>
        <v>E1; D1; E1; I2; I5</v>
      </c>
    </row>
    <row r="46" ht="13.65" customHeight="1">
      <c r="A46" t="s" s="35">
        <v>2077</v>
      </c>
      <c r="B46" s="36">
        <v>2</v>
      </c>
      <c r="C46" t="s" s="35">
        <v>1823</v>
      </c>
      <c r="D46" t="s" s="35">
        <v>1824</v>
      </c>
      <c r="E46" t="s" s="35">
        <v>2017</v>
      </c>
      <c r="F46" s="36">
        <v>13</v>
      </c>
      <c r="G46" t="s" s="35">
        <v>2018</v>
      </c>
      <c r="H46" t="s" s="35">
        <v>2078</v>
      </c>
      <c r="I46" t="s" s="120">
        <v>2079</v>
      </c>
      <c r="J46" t="s" s="35">
        <v>1055</v>
      </c>
      <c r="K46" t="s" s="35">
        <v>388</v>
      </c>
      <c r="L46" s="39"/>
      <c r="M46" t="str" s="39">
        <v>Biología</v>
      </c>
      <c r="N46" t="str" s="39">
        <v>Características y procesos vitales de los organismos</v>
      </c>
      <c r="O46" t="str" s="39" cm="1">
        <f t="array" ref="O46">IF(L46="","",_xlfn.IFERROR(INDEX('Datos - Catálogo TIMSS'!$C$5:$C$107,MATCH(L46,'Datos - Catálogo TIMSS'!$A$5:$A$107,0)),"?"))</f>
      </c>
      <c r="P46" t="s" s="35">
        <v>254</v>
      </c>
      <c r="Q46" t="s" s="120">
        <v>2080</v>
      </c>
      <c r="R46" t="s" s="120">
        <v>2081</v>
      </c>
      <c r="S46" s="121" cm="1">
        <f t="array" ref="S46">_xlfn.IFERROR(ISNUMBER(SEARCH("Conocer",$R46))/(ISNUMBER(SEARCH("Conocer",$R46))+ISNUMBER(SEARCH("Aplicar",$R46))+ISNUMBER(SEARCH("Razonar",$R46))),0)</f>
        <v>0.5</v>
      </c>
      <c r="T46" s="121" cm="1">
        <f t="array" ref="T46">_xlfn.IFERROR(ISNUMBER(SEARCH("Aplicar",$R46))/(ISNUMBER(SEARCH("Conocer",$R46))+ISNUMBER(SEARCH("Aplicar",$R46))+ISNUMBER(SEARCH("Razonar",$R46))),0)</f>
        <v>0.5</v>
      </c>
      <c r="U46" s="121" cm="1">
        <f t="array" ref="U46">_xlfn.IFERROR(ISNUMBER(SEARCH("Razonar",$R46))/(ISNUMBER(SEARCH("Conocer",$R46))+ISNUMBER(SEARCH("Aplicar",$R46))+ISNUMBER(SEARCH("Razonar",$R46))),0)</f>
        <v>0</v>
      </c>
      <c r="V46" t="s" s="35">
        <v>69</v>
      </c>
      <c r="W46" t="s" s="35">
        <v>112</v>
      </c>
      <c r="X46" s="36" cm="1">
        <f t="array" ref="X46">IF(OR(_xlfn.IFERROR(INDEX('Datos - Catálogo TIMSS'!$I$5:$I$107,MATCH(K46,'Datos - Catálogo TIMSS'!$A$5:$A$107,0)),"No")="Sí",_xlfn.IFERROR(INDEX('Datos - Catálogo TIMSS'!$I$5:$I$107,MATCH(L46,'Datos - Catálogo TIMSS'!$A$5:$A$107,0)),"No")="Sí"),1,0)</f>
        <v>0</v>
      </c>
      <c r="Y46" s="36" cm="1">
        <f t="array" ref="Y46">IF(_xlfn.IFERROR(INDEX('Datos - Catálogo TIMSS'!$J$5:$J$107,MATCH(K46,'Datos - Catálogo TIMSS'!$A$5:$A$107,0)),"No")="Sí",1,0)</f>
        <v>0</v>
      </c>
      <c r="Z46" s="36" cm="1">
        <f t="array" ref="Z46">IF(_xlfn.IFERROR(INDEX('Datos - Catálogo TIMSS'!$J$5:$J$107,MATCH(L46,'Datos - Catálogo TIMSS'!$A$5:$A$107,0)),"No")="Sí",1,0)</f>
        <v>0</v>
      </c>
      <c r="AA46" t="s" s="35">
        <v>2052</v>
      </c>
      <c r="AB46" s="39"/>
      <c r="AC46" t="str" s="39">
        <v>Ciencias de la vida</v>
      </c>
      <c r="AD46" t="s" s="35">
        <v>1859</v>
      </c>
      <c r="AE46" t="str" s="39" cm="1">
        <f t="array" ref="AE46">IF(AD46="","",IF(LEFT(AD46,1)="1","C1",IF(LEFT(AD46,1)="2","C2",IF(LEFT(AD46,1)="3","C3",""))))</f>
        <v>C1</v>
      </c>
      <c r="AF46" t="s" s="35">
        <v>1602</v>
      </c>
      <c r="AG46" t="s" s="35">
        <v>1617</v>
      </c>
      <c r="AH46" t="s" s="35">
        <v>1602</v>
      </c>
      <c r="AI46" t="s" s="35">
        <v>1623</v>
      </c>
      <c r="AJ46" t="s" s="35">
        <v>1602</v>
      </c>
      <c r="AK46" s="39"/>
      <c r="AL46" s="39"/>
      <c r="AM46" s="39"/>
      <c r="AN46" s="39"/>
      <c r="AO46" s="39"/>
      <c r="AP46" s="39"/>
      <c r="AQ46" s="39"/>
      <c r="AR46" s="39"/>
      <c r="AS46" s="39"/>
      <c r="AT46" s="39"/>
      <c r="AU46" s="39"/>
      <c r="AV46" s="39"/>
      <c r="AW46" t="str" s="39" cm="1">
        <f t="array" ref="AW46">AF46&amp;"; "&amp;AG46&amp;"; "&amp;AH46&amp;"; "&amp;AI46&amp;"; "&amp;AJ46</f>
        <v>E1; D1; E1; D4; E1</v>
      </c>
    </row>
    <row r="47" ht="13.65" customHeight="1">
      <c r="A47" t="s" s="35">
        <v>2082</v>
      </c>
      <c r="B47" s="36">
        <v>2</v>
      </c>
      <c r="C47" t="s" s="35">
        <v>1823</v>
      </c>
      <c r="D47" t="s" s="35">
        <v>1824</v>
      </c>
      <c r="E47" t="s" s="35">
        <v>2017</v>
      </c>
      <c r="F47" s="36">
        <v>14</v>
      </c>
      <c r="G47" t="s" s="35">
        <v>2018</v>
      </c>
      <c r="H47" t="s" s="35">
        <v>2078</v>
      </c>
      <c r="I47" t="s" s="120">
        <v>2083</v>
      </c>
      <c r="J47" t="s" s="35">
        <v>1055</v>
      </c>
      <c r="K47" t="s" s="35">
        <v>1079</v>
      </c>
      <c r="L47" t="s" s="35">
        <v>1066</v>
      </c>
      <c r="M47" t="str" s="39">
        <v>Biología</v>
      </c>
      <c r="N47" t="str" s="39">
        <v>Diversidad y adaptación</v>
      </c>
      <c r="O47" t="str" s="39" cm="1">
        <f t="array" ref="O47">IF(L47="","",_xlfn.IFERROR(INDEX('Datos - Catálogo TIMSS'!$C$5:$C$107,MATCH(L47,'Datos - Catálogo TIMSS'!$A$5:$A$107,0)),"?"))</f>
        <v>Biología</v>
      </c>
      <c r="P47" t="s" s="35">
        <v>254</v>
      </c>
      <c r="Q47" t="s" s="120">
        <v>2085</v>
      </c>
      <c r="R47" t="s" s="120">
        <v>2086</v>
      </c>
      <c r="S47" s="121" cm="1">
        <f t="array" ref="S47">_xlfn.IFERROR(ISNUMBER(SEARCH("Conocer",$R47))/(ISNUMBER(SEARCH("Conocer",$R47))+ISNUMBER(SEARCH("Aplicar",$R47))+ISNUMBER(SEARCH("Razonar",$R47))),0)</f>
        <v>0</v>
      </c>
      <c r="T47" s="121" cm="1">
        <f t="array" ref="T47">_xlfn.IFERROR(ISNUMBER(SEARCH("Aplicar",$R47))/(ISNUMBER(SEARCH("Conocer",$R47))+ISNUMBER(SEARCH("Aplicar",$R47))+ISNUMBER(SEARCH("Razonar",$R47))),0)</f>
        <v>0.5</v>
      </c>
      <c r="U47" s="121" cm="1">
        <f t="array" ref="U47">_xlfn.IFERROR(ISNUMBER(SEARCH("Razonar",$R47))/(ISNUMBER(SEARCH("Conocer",$R47))+ISNUMBER(SEARCH("Aplicar",$R47))+ISNUMBER(SEARCH("Razonar",$R47))),0)</f>
        <v>0.5</v>
      </c>
      <c r="V47" t="s" s="35">
        <v>69</v>
      </c>
      <c r="W47" t="s" s="35">
        <v>112</v>
      </c>
      <c r="X47" s="36" cm="1">
        <f t="array" ref="X47">IF(OR(_xlfn.IFERROR(INDEX('Datos - Catálogo TIMSS'!$I$5:$I$107,MATCH(K47,'Datos - Catálogo TIMSS'!$A$5:$A$107,0)),"No")="Sí",_xlfn.IFERROR(INDEX('Datos - Catálogo TIMSS'!$I$5:$I$107,MATCH(L47,'Datos - Catálogo TIMSS'!$A$5:$A$107,0)),"No")="Sí"),1,0)</f>
        <v>1</v>
      </c>
      <c r="Y47" s="36" cm="1">
        <f t="array" ref="Y47">IF(_xlfn.IFERROR(INDEX('Datos - Catálogo TIMSS'!$J$5:$J$107,MATCH(K47,'Datos - Catálogo TIMSS'!$A$5:$A$107,0)),"No")="Sí",1,0)</f>
        <v>0</v>
      </c>
      <c r="Z47" s="36" cm="1">
        <f t="array" ref="Z47">IF(_xlfn.IFERROR(INDEX('Datos - Catálogo TIMSS'!$J$5:$J$107,MATCH(L47,'Datos - Catálogo TIMSS'!$A$5:$A$107,0)),"No")="Sí",1,0)</f>
        <v>0</v>
      </c>
      <c r="AA47" t="s" s="35">
        <v>2087</v>
      </c>
      <c r="AB47" t="s" s="35">
        <v>2061</v>
      </c>
      <c r="AC47" t="str" s="39">
        <v>Ciencias de la vida</v>
      </c>
      <c r="AD47" t="s" s="35">
        <v>1859</v>
      </c>
      <c r="AE47" t="str" s="39" cm="1">
        <f t="array" ref="AE47">IF(AD47="","",IF(LEFT(AD47,1)="1","C1",IF(LEFT(AD47,1)="2","C2",IF(LEFT(AD47,1)="3","C3",""))))</f>
        <v>C1</v>
      </c>
      <c r="AF47" t="s" s="35">
        <v>1602</v>
      </c>
      <c r="AG47" t="s" s="35">
        <v>1612</v>
      </c>
      <c r="AH47" t="s" s="35">
        <v>1602</v>
      </c>
      <c r="AI47" t="s" s="35">
        <v>1631</v>
      </c>
      <c r="AJ47" t="s" s="35">
        <v>1607</v>
      </c>
      <c r="AK47" s="39"/>
      <c r="AL47" s="39"/>
      <c r="AM47" s="39"/>
      <c r="AN47" s="39"/>
      <c r="AO47" s="39"/>
      <c r="AP47" s="39"/>
      <c r="AQ47" s="39"/>
      <c r="AR47" s="39"/>
      <c r="AS47" s="39"/>
      <c r="AT47" s="39"/>
      <c r="AU47" s="39"/>
      <c r="AV47" s="39"/>
      <c r="AW47" t="str" s="39" cm="1">
        <f t="array" ref="AW47">AF47&amp;"; "&amp;AG47&amp;"; "&amp;AH47&amp;"; "&amp;AI47&amp;"; "&amp;AJ47</f>
        <v>E1; E5; E1; I4; E3</v>
      </c>
    </row>
    <row r="48" ht="13.65" customHeight="1">
      <c r="A48" t="s" s="35">
        <v>2089</v>
      </c>
      <c r="B48" s="36">
        <v>2</v>
      </c>
      <c r="C48" t="s" s="35">
        <v>1823</v>
      </c>
      <c r="D48" t="s" s="35">
        <v>1824</v>
      </c>
      <c r="E48" t="s" s="35">
        <v>2017</v>
      </c>
      <c r="F48" s="36">
        <v>15</v>
      </c>
      <c r="G48" t="s" s="35">
        <v>2018</v>
      </c>
      <c r="H48" t="s" s="35">
        <v>2078</v>
      </c>
      <c r="I48" t="s" s="120">
        <v>2090</v>
      </c>
      <c r="J48" t="s" s="35">
        <v>1055</v>
      </c>
      <c r="K48" t="s" s="35">
        <v>388</v>
      </c>
      <c r="L48" s="39"/>
      <c r="M48" t="str" s="39">
        <v>Biología</v>
      </c>
      <c r="N48" t="str" s="39">
        <v>Características y procesos vitales de los organismos</v>
      </c>
      <c r="O48" t="str" s="39" cm="1">
        <f t="array" ref="O48">IF(L48="","",_xlfn.IFERROR(INDEX('Datos - Catálogo TIMSS'!$C$5:$C$107,MATCH(L48,'Datos - Catálogo TIMSS'!$A$5:$A$107,0)),"?"))</f>
      </c>
      <c r="P48" t="s" s="35">
        <v>282</v>
      </c>
      <c r="Q48" t="s" s="120">
        <v>2091</v>
      </c>
      <c r="R48" t="s" s="120">
        <v>1847</v>
      </c>
      <c r="S48" s="121" cm="1">
        <f t="array" ref="S48">_xlfn.IFERROR(ISNUMBER(SEARCH("Conocer",$R48))/(ISNUMBER(SEARCH("Conocer",$R48))+ISNUMBER(SEARCH("Aplicar",$R48))+ISNUMBER(SEARCH("Razonar",$R48))),0)</f>
        <v>0</v>
      </c>
      <c r="T48" s="121" cm="1">
        <f t="array" ref="T48">_xlfn.IFERROR(ISNUMBER(SEARCH("Aplicar",$R48))/(ISNUMBER(SEARCH("Conocer",$R48))+ISNUMBER(SEARCH("Aplicar",$R48))+ISNUMBER(SEARCH("Razonar",$R48))),0)</f>
        <v>1</v>
      </c>
      <c r="U48" s="121" cm="1">
        <f t="array" ref="U48">_xlfn.IFERROR(ISNUMBER(SEARCH("Razonar",$R48))/(ISNUMBER(SEARCH("Conocer",$R48))+ISNUMBER(SEARCH("Aplicar",$R48))+ISNUMBER(SEARCH("Razonar",$R48))),0)</f>
        <v>0</v>
      </c>
      <c r="V48" t="s" s="35">
        <v>69</v>
      </c>
      <c r="W48" t="s" s="35">
        <v>112</v>
      </c>
      <c r="X48" s="36" cm="1">
        <f t="array" ref="X48">IF(OR(_xlfn.IFERROR(INDEX('Datos - Catálogo TIMSS'!$I$5:$I$107,MATCH(K48,'Datos - Catálogo TIMSS'!$A$5:$A$107,0)),"No")="Sí",_xlfn.IFERROR(INDEX('Datos - Catálogo TIMSS'!$I$5:$I$107,MATCH(L48,'Datos - Catálogo TIMSS'!$A$5:$A$107,0)),"No")="Sí"),1,0)</f>
        <v>0</v>
      </c>
      <c r="Y48" s="36" cm="1">
        <f t="array" ref="Y48">IF(_xlfn.IFERROR(INDEX('Datos - Catálogo TIMSS'!$J$5:$J$107,MATCH(K48,'Datos - Catálogo TIMSS'!$A$5:$A$107,0)),"No")="Sí",1,0)</f>
        <v>0</v>
      </c>
      <c r="Z48" s="36" cm="1">
        <f t="array" ref="Z48">IF(_xlfn.IFERROR(INDEX('Datos - Catálogo TIMSS'!$J$5:$J$107,MATCH(L48,'Datos - Catálogo TIMSS'!$A$5:$A$107,0)),"No")="Sí",1,0)</f>
        <v>0</v>
      </c>
      <c r="AA48" t="s" s="35">
        <v>2052</v>
      </c>
      <c r="AB48" s="39"/>
      <c r="AC48" t="str" s="39">
        <v>Ciencias de la vida</v>
      </c>
      <c r="AD48" t="s" s="35">
        <v>1834</v>
      </c>
      <c r="AE48" t="str" s="39" cm="1">
        <f t="array" ref="AE48">IF(AD48="","",IF(LEFT(AD48,1)="1","C1",IF(LEFT(AD48,1)="2","C2",IF(LEFT(AD48,1)="3","C3",""))))</f>
        <v>C2</v>
      </c>
      <c r="AF48" t="s" s="35">
        <v>1602</v>
      </c>
      <c r="AG48" t="s" s="35">
        <v>1617</v>
      </c>
      <c r="AH48" t="s" s="35">
        <v>1605</v>
      </c>
      <c r="AI48" t="s" s="35">
        <v>1623</v>
      </c>
      <c r="AJ48" t="s" s="35">
        <v>1607</v>
      </c>
      <c r="AK48" s="39"/>
      <c r="AL48" s="39"/>
      <c r="AM48" s="39"/>
      <c r="AN48" s="39"/>
      <c r="AO48" s="39"/>
      <c r="AP48" s="39"/>
      <c r="AQ48" s="39"/>
      <c r="AR48" s="39"/>
      <c r="AS48" s="39"/>
      <c r="AT48" s="39"/>
      <c r="AU48" s="39"/>
      <c r="AV48" s="39"/>
      <c r="AW48" t="str" s="39" cm="1">
        <f t="array" ref="AW48">AF48&amp;"; "&amp;AG48&amp;"; "&amp;AH48&amp;"; "&amp;AI48&amp;"; "&amp;AJ48</f>
        <v>E1; D1; E2; D4; E3</v>
      </c>
    </row>
    <row r="49" ht="13.65" customHeight="1">
      <c r="A49" t="s" s="35">
        <v>2093</v>
      </c>
      <c r="B49" s="36">
        <v>2</v>
      </c>
      <c r="C49" t="s" s="35">
        <v>1823</v>
      </c>
      <c r="D49" t="s" s="35">
        <v>1824</v>
      </c>
      <c r="E49" t="s" s="35">
        <v>2017</v>
      </c>
      <c r="F49" s="36">
        <v>16</v>
      </c>
      <c r="G49" t="s" s="35">
        <v>2018</v>
      </c>
      <c r="H49" t="s" s="35">
        <v>2094</v>
      </c>
      <c r="I49" t="s" s="120">
        <v>2095</v>
      </c>
      <c r="J49" t="s" s="35">
        <v>1055</v>
      </c>
      <c r="K49" t="s" s="35">
        <v>1832</v>
      </c>
      <c r="L49" s="39"/>
      <c r="M49" t="str" s="39">
        <v>Fuera del marco</v>
      </c>
      <c r="N49" t="str" s="39">
        <v>Fuera del marco</v>
      </c>
      <c r="O49" t="str" s="39" cm="1">
        <f t="array" ref="O49">IF(L49="","",_xlfn.IFERROR(INDEX('Datos - Catálogo TIMSS'!$C$5:$C$107,MATCH(L49,'Datos - Catálogo TIMSS'!$A$5:$A$107,0)),"?"))</f>
      </c>
      <c r="P49" t="s" s="35">
        <v>291</v>
      </c>
      <c r="Q49" t="s" s="120">
        <v>2096</v>
      </c>
      <c r="R49" t="s" s="120">
        <v>1878</v>
      </c>
      <c r="S49" s="121" cm="1">
        <f t="array" ref="S49">_xlfn.IFERROR(ISNUMBER(SEARCH("Conocer",$R49))/(ISNUMBER(SEARCH("Conocer",$R49))+ISNUMBER(SEARCH("Aplicar",$R49))+ISNUMBER(SEARCH("Razonar",$R49))),0)</f>
        <v>0</v>
      </c>
      <c r="T49" s="121" cm="1">
        <f t="array" ref="T49">_xlfn.IFERROR(ISNUMBER(SEARCH("Aplicar",$R49))/(ISNUMBER(SEARCH("Conocer",$R49))+ISNUMBER(SEARCH("Aplicar",$R49))+ISNUMBER(SEARCH("Razonar",$R49))),0)</f>
        <v>1</v>
      </c>
      <c r="U49" s="121" cm="1">
        <f t="array" ref="U49">_xlfn.IFERROR(ISNUMBER(SEARCH("Razonar",$R49))/(ISNUMBER(SEARCH("Conocer",$R49))+ISNUMBER(SEARCH("Aplicar",$R49))+ISNUMBER(SEARCH("Razonar",$R49))),0)</f>
        <v>0</v>
      </c>
      <c r="V49" t="s" s="35">
        <v>69</v>
      </c>
      <c r="W49" t="s" s="35">
        <v>112</v>
      </c>
      <c r="X49" s="36" cm="1">
        <f t="array" ref="X49">IF(OR(_xlfn.IFERROR(INDEX('Datos - Catálogo TIMSS'!$I$5:$I$107,MATCH(K49,'Datos - Catálogo TIMSS'!$A$5:$A$107,0)),"No")="Sí",_xlfn.IFERROR(INDEX('Datos - Catálogo TIMSS'!$I$5:$I$107,MATCH(L49,'Datos - Catálogo TIMSS'!$A$5:$A$107,0)),"No")="Sí"),1,0)</f>
        <v>0</v>
      </c>
      <c r="Y49" s="36" cm="1">
        <f t="array" ref="Y49">IF(_xlfn.IFERROR(INDEX('Datos - Catálogo TIMSS'!$J$5:$J$107,MATCH(K49,'Datos - Catálogo TIMSS'!$A$5:$A$107,0)),"No")="Sí",1,0)</f>
        <v>0</v>
      </c>
      <c r="Z49" s="36" cm="1">
        <f t="array" ref="Z49">IF(_xlfn.IFERROR(INDEX('Datos - Catálogo TIMSS'!$J$5:$J$107,MATCH(L49,'Datos - Catálogo TIMSS'!$A$5:$A$107,0)),"No")="Sí",1,0)</f>
        <v>0</v>
      </c>
      <c r="AA49" t="s" s="35">
        <v>1899</v>
      </c>
      <c r="AB49" s="39"/>
      <c r="AC49" t="str" s="39">
        <v>Ciencias de la Tierra</v>
      </c>
      <c r="AD49" t="s" s="35">
        <v>1834</v>
      </c>
      <c r="AE49" t="str" s="39" cm="1">
        <f t="array" ref="AE49">IF(AD49="","",IF(LEFT(AD49,1)="1","C1",IF(LEFT(AD49,1)="2","C2",IF(LEFT(AD49,1)="3","C3",""))))</f>
        <v>C2</v>
      </c>
      <c r="AF49" t="s" s="35">
        <v>1602</v>
      </c>
      <c r="AG49" t="s" s="35">
        <v>1617</v>
      </c>
      <c r="AH49" t="s" s="35">
        <v>1605</v>
      </c>
      <c r="AI49" t="s" s="35">
        <v>1623</v>
      </c>
      <c r="AJ49" t="s" s="35">
        <v>1615</v>
      </c>
      <c r="AK49" s="39"/>
      <c r="AL49" s="39"/>
      <c r="AM49" s="39"/>
      <c r="AN49" s="39"/>
      <c r="AO49" s="39"/>
      <c r="AP49" s="39"/>
      <c r="AQ49" s="39"/>
      <c r="AR49" s="39"/>
      <c r="AS49" s="39"/>
      <c r="AT49" s="39"/>
      <c r="AU49" s="39"/>
      <c r="AV49" s="39"/>
      <c r="AW49" t="str" s="39" cm="1">
        <f t="array" ref="AW49">AF49&amp;"; "&amp;AG49&amp;"; "&amp;AH49&amp;"; "&amp;AI49&amp;"; "&amp;AJ49</f>
        <v>E1; D1; E2; D4; E6</v>
      </c>
    </row>
    <row r="50" ht="13.65" customHeight="1">
      <c r="A50" t="s" s="35">
        <v>2097</v>
      </c>
      <c r="B50" s="36">
        <v>2</v>
      </c>
      <c r="C50" t="s" s="35">
        <v>1823</v>
      </c>
      <c r="D50" t="s" s="35">
        <v>1824</v>
      </c>
      <c r="E50" t="s" s="35">
        <v>2017</v>
      </c>
      <c r="F50" s="36">
        <v>17</v>
      </c>
      <c r="G50" t="s" s="35">
        <v>2018</v>
      </c>
      <c r="H50" t="s" s="35">
        <v>2094</v>
      </c>
      <c r="I50" t="s" s="120">
        <v>2098</v>
      </c>
      <c r="J50" t="s" s="35">
        <v>1055</v>
      </c>
      <c r="K50" t="s" s="35">
        <v>416</v>
      </c>
      <c r="L50" s="39"/>
      <c r="M50" t="str" s="39">
        <v>Biología</v>
      </c>
      <c r="N50" t="str" s="39">
        <v>Ecosistemas</v>
      </c>
      <c r="O50" t="str" s="39" cm="1">
        <f t="array" ref="O50">IF(L50="","",_xlfn.IFERROR(INDEX('Datos - Catálogo TIMSS'!$C$5:$C$107,MATCH(L50,'Datos - Catálogo TIMSS'!$A$5:$A$107,0)),"?"))</f>
      </c>
      <c r="P50" t="s" s="35">
        <v>291</v>
      </c>
      <c r="Q50" t="s" s="120">
        <v>2099</v>
      </c>
      <c r="R50" t="s" s="120">
        <v>2066</v>
      </c>
      <c r="S50" s="121" cm="1">
        <f t="array" ref="S50">_xlfn.IFERROR(ISNUMBER(SEARCH("Conocer",$R50))/(ISNUMBER(SEARCH("Conocer",$R50))+ISNUMBER(SEARCH("Aplicar",$R50))+ISNUMBER(SEARCH("Razonar",$R50))),0)</f>
        <v>0</v>
      </c>
      <c r="T50" s="121" cm="1">
        <f t="array" ref="T50">_xlfn.IFERROR(ISNUMBER(SEARCH("Aplicar",$R50))/(ISNUMBER(SEARCH("Conocer",$R50))+ISNUMBER(SEARCH("Aplicar",$R50))+ISNUMBER(SEARCH("Razonar",$R50))),0)</f>
        <v>1</v>
      </c>
      <c r="U50" s="121" cm="1">
        <f t="array" ref="U50">_xlfn.IFERROR(ISNUMBER(SEARCH("Razonar",$R50))/(ISNUMBER(SEARCH("Conocer",$R50))+ISNUMBER(SEARCH("Aplicar",$R50))+ISNUMBER(SEARCH("Razonar",$R50))),0)</f>
        <v>0</v>
      </c>
      <c r="V50" t="s" s="35">
        <v>69</v>
      </c>
      <c r="W50" t="s" s="35">
        <v>112</v>
      </c>
      <c r="X50" s="36" cm="1">
        <f t="array" ref="X50">IF(OR(_xlfn.IFERROR(INDEX('Datos - Catálogo TIMSS'!$I$5:$I$107,MATCH(K50,'Datos - Catálogo TIMSS'!$A$5:$A$107,0)),"No")="Sí",_xlfn.IFERROR(INDEX('Datos - Catálogo TIMSS'!$I$5:$I$107,MATCH(L50,'Datos - Catálogo TIMSS'!$A$5:$A$107,0)),"No")="Sí"),1,0)</f>
        <v>1</v>
      </c>
      <c r="Y50" s="36" cm="1">
        <f t="array" ref="Y50">IF(_xlfn.IFERROR(INDEX('Datos - Catálogo TIMSS'!$J$5:$J$107,MATCH(K50,'Datos - Catálogo TIMSS'!$A$5:$A$107,0)),"No")="Sí",1,0)</f>
        <v>0</v>
      </c>
      <c r="Z50" s="36" cm="1">
        <f t="array" ref="Z50">IF(_xlfn.IFERROR(INDEX('Datos - Catálogo TIMSS'!$J$5:$J$107,MATCH(L50,'Datos - Catálogo TIMSS'!$A$5:$A$107,0)),"No")="Sí",1,0)</f>
        <v>0</v>
      </c>
      <c r="AA50" t="s" s="35">
        <v>2045</v>
      </c>
      <c r="AB50" s="39"/>
      <c r="AC50" t="str" s="39">
        <v>Ciencias de la vida</v>
      </c>
      <c r="AD50" t="s" s="35">
        <v>1859</v>
      </c>
      <c r="AE50" t="str" s="39" cm="1">
        <f t="array" ref="AE50">IF(AD50="","",IF(LEFT(AD50,1)="1","C1",IF(LEFT(AD50,1)="2","C2",IF(LEFT(AD50,1)="3","C3",""))))</f>
        <v>C1</v>
      </c>
      <c r="AF50" t="s" s="35">
        <v>1602</v>
      </c>
      <c r="AG50" t="s" s="35">
        <v>1617</v>
      </c>
      <c r="AH50" t="s" s="35">
        <v>1602</v>
      </c>
      <c r="AI50" t="s" s="35">
        <v>1623</v>
      </c>
      <c r="AJ50" t="s" s="35">
        <v>1633</v>
      </c>
      <c r="AK50" s="39"/>
      <c r="AL50" s="39"/>
      <c r="AM50" s="39"/>
      <c r="AN50" s="39"/>
      <c r="AO50" s="39"/>
      <c r="AP50" s="39"/>
      <c r="AQ50" s="39"/>
      <c r="AR50" s="39"/>
      <c r="AS50" s="39"/>
      <c r="AT50" s="39"/>
      <c r="AU50" s="39"/>
      <c r="AV50" s="39"/>
      <c r="AW50" t="str" s="39" cm="1">
        <f t="array" ref="AW50">AF50&amp;"; "&amp;AG50&amp;"; "&amp;AH50&amp;"; "&amp;AI50&amp;"; "&amp;AJ50</f>
        <v>E1; D1; E1; D4; I5</v>
      </c>
    </row>
    <row r="51" ht="13.65" customHeight="1">
      <c r="A51" t="s" s="35">
        <v>2100</v>
      </c>
      <c r="B51" s="36">
        <v>2</v>
      </c>
      <c r="C51" t="s" s="35">
        <v>1823</v>
      </c>
      <c r="D51" t="s" s="35">
        <v>1824</v>
      </c>
      <c r="E51" t="s" s="35">
        <v>2017</v>
      </c>
      <c r="F51" s="36">
        <v>18</v>
      </c>
      <c r="G51" t="s" s="35">
        <v>2018</v>
      </c>
      <c r="H51" t="s" s="35">
        <v>2094</v>
      </c>
      <c r="I51" t="s" s="120">
        <v>2101</v>
      </c>
      <c r="J51" t="s" s="35">
        <v>1055</v>
      </c>
      <c r="K51" t="s" s="35">
        <v>1090</v>
      </c>
      <c r="L51" s="39"/>
      <c r="M51" t="str" s="39">
        <v>Biología</v>
      </c>
      <c r="N51" t="str" s="39">
        <v>Ecosistemas</v>
      </c>
      <c r="O51" t="str" s="39" cm="1">
        <f t="array" ref="O51">IF(L51="","",_xlfn.IFERROR(INDEX('Datos - Catálogo TIMSS'!$C$5:$C$107,MATCH(L51,'Datos - Catálogo TIMSS'!$A$5:$A$107,0)),"?"))</f>
      </c>
      <c r="P51" t="s" s="35">
        <v>254</v>
      </c>
      <c r="Q51" t="s" s="120">
        <v>2102</v>
      </c>
      <c r="R51" t="s" s="120">
        <v>2103</v>
      </c>
      <c r="S51" s="121" cm="1">
        <f t="array" ref="S51">_xlfn.IFERROR(ISNUMBER(SEARCH("Conocer",$R51))/(ISNUMBER(SEARCH("Conocer",$R51))+ISNUMBER(SEARCH("Aplicar",$R51))+ISNUMBER(SEARCH("Razonar",$R51))),0)</f>
        <v>0</v>
      </c>
      <c r="T51" s="121" cm="1">
        <f t="array" ref="T51">_xlfn.IFERROR(ISNUMBER(SEARCH("Aplicar",$R51))/(ISNUMBER(SEARCH("Conocer",$R51))+ISNUMBER(SEARCH("Aplicar",$R51))+ISNUMBER(SEARCH("Razonar",$R51))),0)</f>
        <v>0</v>
      </c>
      <c r="U51" s="121" cm="1">
        <f t="array" ref="U51">_xlfn.IFERROR(ISNUMBER(SEARCH("Razonar",$R51))/(ISNUMBER(SEARCH("Conocer",$R51))+ISNUMBER(SEARCH("Aplicar",$R51))+ISNUMBER(SEARCH("Razonar",$R51))),0)</f>
        <v>1</v>
      </c>
      <c r="V51" t="s" s="35">
        <v>69</v>
      </c>
      <c r="W51" t="s" s="35">
        <v>112</v>
      </c>
      <c r="X51" s="36" cm="1">
        <f t="array" ref="X51">IF(OR(_xlfn.IFERROR(INDEX('Datos - Catálogo TIMSS'!$I$5:$I$107,MATCH(K51,'Datos - Catálogo TIMSS'!$A$5:$A$107,0)),"No")="Sí",_xlfn.IFERROR(INDEX('Datos - Catálogo TIMSS'!$I$5:$I$107,MATCH(L51,'Datos - Catálogo TIMSS'!$A$5:$A$107,0)),"No")="Sí"),1,0)</f>
        <v>1</v>
      </c>
      <c r="Y51" s="36" cm="1">
        <f t="array" ref="Y51">IF(_xlfn.IFERROR(INDEX('Datos - Catálogo TIMSS'!$J$5:$J$107,MATCH(K51,'Datos - Catálogo TIMSS'!$A$5:$A$107,0)),"No")="Sí",1,0)</f>
        <v>0</v>
      </c>
      <c r="Z51" s="36" cm="1">
        <f t="array" ref="Z51">IF(_xlfn.IFERROR(INDEX('Datos - Catálogo TIMSS'!$J$5:$J$107,MATCH(L51,'Datos - Catálogo TIMSS'!$A$5:$A$107,0)),"No")="Sí",1,0)</f>
        <v>0</v>
      </c>
      <c r="AA51" t="s" s="35">
        <v>2104</v>
      </c>
      <c r="AB51" s="39"/>
      <c r="AC51" t="str" s="39">
        <v>Ciencias de la vida</v>
      </c>
      <c r="AD51" t="s" s="35">
        <v>1900</v>
      </c>
      <c r="AE51" t="str" s="39" cm="1">
        <f t="array" ref="AE51">IF(AD51="","",IF(LEFT(AD51,1)="1","C1",IF(LEFT(AD51,1)="2","C2",IF(LEFT(AD51,1)="3","C3",""))))</f>
        <v>C3</v>
      </c>
      <c r="AF51" t="s" s="35">
        <v>1615</v>
      </c>
      <c r="AG51" t="s" s="35">
        <v>1617</v>
      </c>
      <c r="AH51" t="s" s="35">
        <v>1615</v>
      </c>
      <c r="AI51" t="s" s="35">
        <v>1629</v>
      </c>
      <c r="AJ51" t="s" s="35">
        <v>1633</v>
      </c>
      <c r="AK51" s="39"/>
      <c r="AL51" s="39"/>
      <c r="AM51" s="39"/>
      <c r="AN51" s="39"/>
      <c r="AO51" s="39"/>
      <c r="AP51" s="39"/>
      <c r="AQ51" s="39"/>
      <c r="AR51" s="39"/>
      <c r="AS51" s="39"/>
      <c r="AT51" s="39"/>
      <c r="AU51" s="39"/>
      <c r="AV51" s="39"/>
      <c r="AW51" t="str" s="39" cm="1">
        <f t="array" ref="AW51">AF51&amp;"; "&amp;AG51&amp;"; "&amp;AH51&amp;"; "&amp;AI51&amp;"; "&amp;AJ51</f>
        <v>E6; D1; E6; I3; I5</v>
      </c>
    </row>
    <row r="52" ht="13.65" customHeight="1">
      <c r="A52" t="s" s="35">
        <v>2106</v>
      </c>
      <c r="B52" s="36">
        <v>2</v>
      </c>
      <c r="C52" t="s" s="35">
        <v>1823</v>
      </c>
      <c r="D52" t="s" s="35">
        <v>1824</v>
      </c>
      <c r="E52" t="s" s="35">
        <v>2017</v>
      </c>
      <c r="F52" s="36">
        <v>19</v>
      </c>
      <c r="G52" t="s" s="35">
        <v>2018</v>
      </c>
      <c r="H52" t="s" s="35">
        <v>2107</v>
      </c>
      <c r="I52" t="s" s="120">
        <v>2108</v>
      </c>
      <c r="J52" t="s" s="35">
        <v>1055</v>
      </c>
      <c r="K52" t="s" s="35">
        <v>427</v>
      </c>
      <c r="L52" t="s" s="35">
        <v>1099</v>
      </c>
      <c r="M52" t="str" s="39">
        <v>Biología</v>
      </c>
      <c r="N52" t="str" s="39">
        <v>Características y procesos vitales de los organismos</v>
      </c>
      <c r="O52" t="str" s="39" cm="1">
        <f t="array" ref="O52">IF(L52="","",_xlfn.IFERROR(INDEX('Datos - Catálogo TIMSS'!$C$5:$C$107,MATCH(L52,'Datos - Catálogo TIMSS'!$A$5:$A$107,0)),"?"))</f>
        <v>Biología</v>
      </c>
      <c r="P52" t="s" s="35">
        <v>291</v>
      </c>
      <c r="Q52" t="s" s="120">
        <v>2109</v>
      </c>
      <c r="R52" t="s" s="120">
        <v>1872</v>
      </c>
      <c r="S52" s="121" cm="1">
        <f t="array" ref="S52">_xlfn.IFERROR(ISNUMBER(SEARCH("Conocer",$R52))/(ISNUMBER(SEARCH("Conocer",$R52))+ISNUMBER(SEARCH("Aplicar",$R52))+ISNUMBER(SEARCH("Razonar",$R52))),0)</f>
        <v>0</v>
      </c>
      <c r="T52" s="121" cm="1">
        <f t="array" ref="T52">_xlfn.IFERROR(ISNUMBER(SEARCH("Aplicar",$R52))/(ISNUMBER(SEARCH("Conocer",$R52))+ISNUMBER(SEARCH("Aplicar",$R52))+ISNUMBER(SEARCH("Razonar",$R52))),0)</f>
        <v>0</v>
      </c>
      <c r="U52" s="121" cm="1">
        <f t="array" ref="U52">_xlfn.IFERROR(ISNUMBER(SEARCH("Razonar",$R52))/(ISNUMBER(SEARCH("Conocer",$R52))+ISNUMBER(SEARCH("Aplicar",$R52))+ISNUMBER(SEARCH("Razonar",$R52))),0)</f>
        <v>1</v>
      </c>
      <c r="V52" t="s" s="35">
        <v>69</v>
      </c>
      <c r="W52" t="s" s="35">
        <v>112</v>
      </c>
      <c r="X52" s="36" cm="1">
        <f t="array" ref="X52">IF(OR(_xlfn.IFERROR(INDEX('Datos - Catálogo TIMSS'!$I$5:$I$107,MATCH(K52,'Datos - Catálogo TIMSS'!$A$5:$A$107,0)),"No")="Sí",_xlfn.IFERROR(INDEX('Datos - Catálogo TIMSS'!$I$5:$I$107,MATCH(L52,'Datos - Catálogo TIMSS'!$A$5:$A$107,0)),"No")="Sí"),1,0)</f>
        <v>1</v>
      </c>
      <c r="Y52" s="36" cm="1">
        <f t="array" ref="Y52">IF(_xlfn.IFERROR(INDEX('Datos - Catálogo TIMSS'!$J$5:$J$107,MATCH(K52,'Datos - Catálogo TIMSS'!$A$5:$A$107,0)),"No")="Sí",1,0)</f>
        <v>0</v>
      </c>
      <c r="Z52" s="36" cm="1">
        <f t="array" ref="Z52">IF(_xlfn.IFERROR(INDEX('Datos - Catálogo TIMSS'!$J$5:$J$107,MATCH(L52,'Datos - Catálogo TIMSS'!$A$5:$A$107,0)),"No")="Sí",1,0)</f>
        <v>1</v>
      </c>
      <c r="AA52" t="s" s="35">
        <v>2052</v>
      </c>
      <c r="AB52" t="s" s="35">
        <v>2110</v>
      </c>
      <c r="AC52" t="str" s="39">
        <v>Ciencias de la vida</v>
      </c>
      <c r="AD52" t="s" s="35">
        <v>1834</v>
      </c>
      <c r="AE52" t="str" s="39" cm="1">
        <f t="array" ref="AE52">IF(AD52="","",IF(LEFT(AD52,1)="1","C1",IF(LEFT(AD52,1)="2","C2",IF(LEFT(AD52,1)="3","C3",""))))</f>
        <v>C2</v>
      </c>
      <c r="AF52" t="s" s="35">
        <v>1602</v>
      </c>
      <c r="AG52" t="s" s="35">
        <v>1612</v>
      </c>
      <c r="AH52" t="s" s="35">
        <v>1602</v>
      </c>
      <c r="AI52" t="s" s="35">
        <v>1621</v>
      </c>
      <c r="AJ52" t="s" s="35">
        <v>1615</v>
      </c>
      <c r="AK52" s="39"/>
      <c r="AL52" s="39"/>
      <c r="AM52" s="39"/>
      <c r="AN52" s="39"/>
      <c r="AO52" s="39"/>
      <c r="AP52" s="39"/>
      <c r="AQ52" s="39"/>
      <c r="AR52" s="39"/>
      <c r="AS52" s="39"/>
      <c r="AT52" s="39"/>
      <c r="AU52" s="39"/>
      <c r="AV52" s="39"/>
      <c r="AW52" t="str" s="39" cm="1">
        <f t="array" ref="AW52">AF52&amp;"; "&amp;AG52&amp;"; "&amp;AH52&amp;"; "&amp;AI52&amp;"; "&amp;AJ52</f>
        <v>E1; E5; E1; D3; E6</v>
      </c>
    </row>
    <row r="53" ht="13.65" customHeight="1">
      <c r="A53" t="s" s="35">
        <v>2112</v>
      </c>
      <c r="B53" s="36">
        <v>2</v>
      </c>
      <c r="C53" t="s" s="35">
        <v>1823</v>
      </c>
      <c r="D53" t="s" s="35">
        <v>1824</v>
      </c>
      <c r="E53" t="s" s="35">
        <v>2017</v>
      </c>
      <c r="F53" s="36">
        <v>20</v>
      </c>
      <c r="G53" t="s" s="35">
        <v>2018</v>
      </c>
      <c r="H53" t="s" s="35">
        <v>2113</v>
      </c>
      <c r="I53" t="s" s="120">
        <v>2114</v>
      </c>
      <c r="J53" t="s" s="35">
        <v>1055</v>
      </c>
      <c r="K53" t="s" s="35">
        <v>388</v>
      </c>
      <c r="L53" s="39"/>
      <c r="M53" t="str" s="39">
        <v>Biología</v>
      </c>
      <c r="N53" t="str" s="39">
        <v>Características y procesos vitales de los organismos</v>
      </c>
      <c r="O53" t="str" s="39" cm="1">
        <f t="array" ref="O53">IF(L53="","",_xlfn.IFERROR(INDEX('Datos - Catálogo TIMSS'!$C$5:$C$107,MATCH(L53,'Datos - Catálogo TIMSS'!$A$5:$A$107,0)),"?"))</f>
      </c>
      <c r="P53" t="s" s="35">
        <v>291</v>
      </c>
      <c r="Q53" t="s" s="120">
        <v>2115</v>
      </c>
      <c r="R53" t="s" s="120">
        <v>1840</v>
      </c>
      <c r="S53" s="121" cm="1">
        <f t="array" ref="S53">_xlfn.IFERROR(ISNUMBER(SEARCH("Conocer",$R53))/(ISNUMBER(SEARCH("Conocer",$R53))+ISNUMBER(SEARCH("Aplicar",$R53))+ISNUMBER(SEARCH("Razonar",$R53))),0)</f>
        <v>0.5</v>
      </c>
      <c r="T53" s="121" cm="1">
        <f t="array" ref="T53">_xlfn.IFERROR(ISNUMBER(SEARCH("Aplicar",$R53))/(ISNUMBER(SEARCH("Conocer",$R53))+ISNUMBER(SEARCH("Aplicar",$R53))+ISNUMBER(SEARCH("Razonar",$R53))),0)</f>
        <v>0.5</v>
      </c>
      <c r="U53" s="121" cm="1">
        <f t="array" ref="U53">_xlfn.IFERROR(ISNUMBER(SEARCH("Razonar",$R53))/(ISNUMBER(SEARCH("Conocer",$R53))+ISNUMBER(SEARCH("Aplicar",$R53))+ISNUMBER(SEARCH("Razonar",$R53))),0)</f>
        <v>0</v>
      </c>
      <c r="V53" t="s" s="35">
        <v>69</v>
      </c>
      <c r="W53" t="s" s="35">
        <v>112</v>
      </c>
      <c r="X53" s="36" cm="1">
        <f t="array" ref="X53">IF(OR(_xlfn.IFERROR(INDEX('Datos - Catálogo TIMSS'!$I$5:$I$107,MATCH(K53,'Datos - Catálogo TIMSS'!$A$5:$A$107,0)),"No")="Sí",_xlfn.IFERROR(INDEX('Datos - Catálogo TIMSS'!$I$5:$I$107,MATCH(L53,'Datos - Catálogo TIMSS'!$A$5:$A$107,0)),"No")="Sí"),1,0)</f>
        <v>0</v>
      </c>
      <c r="Y53" s="36" cm="1">
        <f t="array" ref="Y53">IF(_xlfn.IFERROR(INDEX('Datos - Catálogo TIMSS'!$J$5:$J$107,MATCH(K53,'Datos - Catálogo TIMSS'!$A$5:$A$107,0)),"No")="Sí",1,0)</f>
        <v>0</v>
      </c>
      <c r="Z53" s="36" cm="1">
        <f t="array" ref="Z53">IF(_xlfn.IFERROR(INDEX('Datos - Catálogo TIMSS'!$J$5:$J$107,MATCH(L53,'Datos - Catálogo TIMSS'!$A$5:$A$107,0)),"No")="Sí",1,0)</f>
        <v>0</v>
      </c>
      <c r="AA53" t="s" s="35">
        <v>2052</v>
      </c>
      <c r="AB53" t="s" s="35">
        <v>2045</v>
      </c>
      <c r="AC53" t="str" s="39">
        <v>Ciencias de la vida</v>
      </c>
      <c r="AD53" t="s" s="35">
        <v>1859</v>
      </c>
      <c r="AE53" t="str" s="39" cm="1">
        <f t="array" ref="AE53">IF(AD53="","",IF(LEFT(AD53,1)="1","C1",IF(LEFT(AD53,1)="2","C2",IF(LEFT(AD53,1)="3","C3",""))))</f>
        <v>C1</v>
      </c>
      <c r="AF53" t="s" s="35">
        <v>1602</v>
      </c>
      <c r="AG53" t="s" s="35">
        <v>1617</v>
      </c>
      <c r="AH53" t="s" s="35">
        <v>1602</v>
      </c>
      <c r="AI53" t="s" s="35">
        <v>1627</v>
      </c>
      <c r="AJ53" t="s" s="35">
        <v>1633</v>
      </c>
      <c r="AK53" s="39"/>
      <c r="AL53" s="39"/>
      <c r="AM53" s="39"/>
      <c r="AN53" s="39"/>
      <c r="AO53" s="39"/>
      <c r="AP53" s="39"/>
      <c r="AQ53" s="39"/>
      <c r="AR53" s="39"/>
      <c r="AS53" s="39"/>
      <c r="AT53" s="39"/>
      <c r="AU53" s="39"/>
      <c r="AV53" s="39"/>
      <c r="AW53" t="str" s="39" cm="1">
        <f t="array" ref="AW53">AF53&amp;"; "&amp;AG53&amp;"; "&amp;AH53&amp;"; "&amp;AI53&amp;"; "&amp;AJ53</f>
        <v>E1; D1; E1; I2; I5</v>
      </c>
    </row>
    <row r="54" ht="13.65" customHeight="1">
      <c r="A54" t="s" s="35">
        <v>2116</v>
      </c>
      <c r="B54" s="36">
        <v>2</v>
      </c>
      <c r="C54" t="s" s="35">
        <v>1823</v>
      </c>
      <c r="D54" t="s" s="35">
        <v>1824</v>
      </c>
      <c r="E54" t="s" s="35">
        <v>2117</v>
      </c>
      <c r="F54" s="36">
        <v>3</v>
      </c>
      <c r="G54" t="s" s="35">
        <v>425</v>
      </c>
      <c r="H54" t="s" s="35">
        <v>2118</v>
      </c>
      <c r="I54" t="s" s="120">
        <v>2119</v>
      </c>
      <c r="J54" t="s" s="35">
        <v>1055</v>
      </c>
      <c r="K54" t="s" s="35">
        <v>1832</v>
      </c>
      <c r="L54" s="39"/>
      <c r="M54" t="str" s="39">
        <v>Fuera del marco</v>
      </c>
      <c r="N54" t="str" s="39">
        <v>Fuera del marco</v>
      </c>
      <c r="O54" t="str" s="39" cm="1">
        <f t="array" ref="O54">IF(L54="","",_xlfn.IFERROR(INDEX('Datos - Catálogo TIMSS'!$C$5:$C$107,MATCH(L54,'Datos - Catálogo TIMSS'!$A$5:$A$107,0)),"?"))</f>
      </c>
      <c r="P54" t="s" s="35">
        <v>282</v>
      </c>
      <c r="Q54" t="s" s="120">
        <v>2120</v>
      </c>
      <c r="R54" t="s" s="120">
        <v>2121</v>
      </c>
      <c r="S54" s="121" cm="1">
        <f t="array" ref="S54">_xlfn.IFERROR(ISNUMBER(SEARCH("Conocer",$R54))/(ISNUMBER(SEARCH("Conocer",$R54))+ISNUMBER(SEARCH("Aplicar",$R54))+ISNUMBER(SEARCH("Razonar",$R54))),0)</f>
        <v>0</v>
      </c>
      <c r="T54" s="121" cm="1">
        <f t="array" ref="T54">_xlfn.IFERROR(ISNUMBER(SEARCH("Aplicar",$R54))/(ISNUMBER(SEARCH("Conocer",$R54))+ISNUMBER(SEARCH("Aplicar",$R54))+ISNUMBER(SEARCH("Razonar",$R54))),0)</f>
        <v>1</v>
      </c>
      <c r="U54" s="121" cm="1">
        <f t="array" ref="U54">_xlfn.IFERROR(ISNUMBER(SEARCH("Razonar",$R54))/(ISNUMBER(SEARCH("Conocer",$R54))+ISNUMBER(SEARCH("Aplicar",$R54))+ISNUMBER(SEARCH("Razonar",$R54))),0)</f>
        <v>0</v>
      </c>
      <c r="V54" t="s" s="35">
        <v>69</v>
      </c>
      <c r="W54" t="s" s="35">
        <v>112</v>
      </c>
      <c r="X54" s="36" cm="1">
        <f t="array" ref="X54">IF(OR(_xlfn.IFERROR(INDEX('Datos - Catálogo TIMSS'!$I$5:$I$107,MATCH(K54,'Datos - Catálogo TIMSS'!$A$5:$A$107,0)),"No")="Sí",_xlfn.IFERROR(INDEX('Datos - Catálogo TIMSS'!$I$5:$I$107,MATCH(L54,'Datos - Catálogo TIMSS'!$A$5:$A$107,0)),"No")="Sí"),1,0)</f>
        <v>0</v>
      </c>
      <c r="Y54" s="36" cm="1">
        <f t="array" ref="Y54">IF(_xlfn.IFERROR(INDEX('Datos - Catálogo TIMSS'!$J$5:$J$107,MATCH(K54,'Datos - Catálogo TIMSS'!$A$5:$A$107,0)),"No")="Sí",1,0)</f>
        <v>0</v>
      </c>
      <c r="Z54" s="36" cm="1">
        <f t="array" ref="Z54">IF(_xlfn.IFERROR(INDEX('Datos - Catálogo TIMSS'!$J$5:$J$107,MATCH(L54,'Datos - Catálogo TIMSS'!$A$5:$A$107,0)),"No")="Sí",1,0)</f>
        <v>0</v>
      </c>
      <c r="AA54" t="s" s="35">
        <v>1832</v>
      </c>
      <c r="AB54" s="39"/>
      <c r="AC54" t="str" s="39">
        <v>Fuera del marco</v>
      </c>
      <c r="AD54" t="s" s="35">
        <v>1834</v>
      </c>
      <c r="AE54" t="str" s="39" cm="1">
        <f t="array" ref="AE54">IF(AD54="","",IF(LEFT(AD54,1)="1","C1",IF(LEFT(AD54,1)="2","C2",IF(LEFT(AD54,1)="3","C3",""))))</f>
        <v>C2</v>
      </c>
      <c r="AF54" t="s" s="35">
        <v>1602</v>
      </c>
      <c r="AG54" t="s" s="35">
        <v>1617</v>
      </c>
      <c r="AH54" t="s" s="35">
        <v>1609</v>
      </c>
      <c r="AI54" t="s" s="35">
        <v>1619</v>
      </c>
      <c r="AJ54" t="s" s="35">
        <v>1621</v>
      </c>
      <c r="AK54" s="39"/>
      <c r="AL54" s="39"/>
      <c r="AM54" s="39"/>
      <c r="AN54" s="39"/>
      <c r="AO54" s="39"/>
      <c r="AP54" s="39"/>
      <c r="AQ54" s="39"/>
      <c r="AR54" s="39"/>
      <c r="AS54" s="39"/>
      <c r="AT54" s="39"/>
      <c r="AU54" s="39"/>
      <c r="AV54" s="39"/>
      <c r="AW54" t="str" s="39" cm="1">
        <f t="array" ref="AW54">AF54&amp;"; "&amp;AG54&amp;"; "&amp;AH54&amp;"; "&amp;AI54&amp;"; "&amp;AJ54</f>
        <v>E1; D1; E4; D2; D3</v>
      </c>
    </row>
    <row r="55" ht="13.65" customHeight="1">
      <c r="A55" t="s" s="35">
        <v>2123</v>
      </c>
      <c r="B55" s="36">
        <v>2</v>
      </c>
      <c r="C55" t="s" s="35">
        <v>1823</v>
      </c>
      <c r="D55" t="s" s="35">
        <v>1824</v>
      </c>
      <c r="E55" t="s" s="35">
        <v>2117</v>
      </c>
      <c r="F55" s="36">
        <v>4</v>
      </c>
      <c r="G55" t="s" s="35">
        <v>425</v>
      </c>
      <c r="H55" t="s" s="35">
        <v>2118</v>
      </c>
      <c r="I55" t="s" s="120">
        <v>2124</v>
      </c>
      <c r="J55" t="s" s="35">
        <v>1055</v>
      </c>
      <c r="K55" t="s" s="35">
        <v>1136</v>
      </c>
      <c r="L55" s="39"/>
      <c r="M55" t="str" s="39">
        <v>Ciencias físicas</v>
      </c>
      <c r="N55" t="str" s="39">
        <v>Investigaciones en ciencias físicas</v>
      </c>
      <c r="O55" t="str" s="39" cm="1">
        <f t="array" ref="O55">IF(L55="","",_xlfn.IFERROR(INDEX('Datos - Catálogo TIMSS'!$C$5:$C$107,MATCH(L55,'Datos - Catálogo TIMSS'!$A$5:$A$107,0)),"?"))</f>
      </c>
      <c r="P55" t="s" s="35">
        <v>282</v>
      </c>
      <c r="Q55" t="s" s="120">
        <v>2125</v>
      </c>
      <c r="R55" t="s" s="120">
        <v>2126</v>
      </c>
      <c r="S55" s="121" cm="1">
        <f t="array" ref="S55">_xlfn.IFERROR(ISNUMBER(SEARCH("Conocer",$R55))/(ISNUMBER(SEARCH("Conocer",$R55))+ISNUMBER(SEARCH("Aplicar",$R55))+ISNUMBER(SEARCH("Razonar",$R55))),0)</f>
        <v>0</v>
      </c>
      <c r="T55" s="121" cm="1">
        <f t="array" ref="T55">_xlfn.IFERROR(ISNUMBER(SEARCH("Aplicar",$R55))/(ISNUMBER(SEARCH("Conocer",$R55))+ISNUMBER(SEARCH("Aplicar",$R55))+ISNUMBER(SEARCH("Razonar",$R55))),0)</f>
        <v>0.5</v>
      </c>
      <c r="U55" s="121" cm="1">
        <f t="array" ref="U55">_xlfn.IFERROR(ISNUMBER(SEARCH("Razonar",$R55))/(ISNUMBER(SEARCH("Conocer",$R55))+ISNUMBER(SEARCH("Aplicar",$R55))+ISNUMBER(SEARCH("Razonar",$R55))),0)</f>
        <v>0.5</v>
      </c>
      <c r="V55" t="s" s="35">
        <v>69</v>
      </c>
      <c r="W55" t="s" s="35">
        <v>112</v>
      </c>
      <c r="X55" s="36" cm="1">
        <f t="array" ref="X55">IF(OR(_xlfn.IFERROR(INDEX('Datos - Catálogo TIMSS'!$I$5:$I$107,MATCH(K55,'Datos - Catálogo TIMSS'!$A$5:$A$107,0)),"No")="Sí",_xlfn.IFERROR(INDEX('Datos - Catálogo TIMSS'!$I$5:$I$107,MATCH(L55,'Datos - Catálogo TIMSS'!$A$5:$A$107,0)),"No")="Sí"),1,0)</f>
        <v>0</v>
      </c>
      <c r="Y55" s="36" cm="1">
        <f t="array" ref="Y55">IF(_xlfn.IFERROR(INDEX('Datos - Catálogo TIMSS'!$J$5:$J$107,MATCH(K55,'Datos - Catálogo TIMSS'!$A$5:$A$107,0)),"No")="Sí",1,0)</f>
        <v>1</v>
      </c>
      <c r="Z55" s="36" cm="1">
        <f t="array" ref="Z55">IF(_xlfn.IFERROR(INDEX('Datos - Catálogo TIMSS'!$J$5:$J$107,MATCH(L55,'Datos - Catálogo TIMSS'!$A$5:$A$107,0)),"No")="Sí",1,0)</f>
        <v>0</v>
      </c>
      <c r="AA55" t="s" s="35">
        <v>1832</v>
      </c>
      <c r="AB55" s="39"/>
      <c r="AC55" t="str" s="39">
        <v>Fuera del marco</v>
      </c>
      <c r="AD55" t="s" s="35">
        <v>1834</v>
      </c>
      <c r="AE55" t="str" s="39" cm="1">
        <f t="array" ref="AE55">IF(AD55="","",IF(LEFT(AD55,1)="1","C1",IF(LEFT(AD55,1)="2","C2",IF(LEFT(AD55,1)="3","C3",""))))</f>
        <v>C2</v>
      </c>
      <c r="AF55" t="s" s="35">
        <v>1602</v>
      </c>
      <c r="AG55" t="s" s="35">
        <v>1607</v>
      </c>
      <c r="AH55" t="s" s="35">
        <v>1602</v>
      </c>
      <c r="AI55" t="s" s="35">
        <v>1623</v>
      </c>
      <c r="AJ55" t="s" s="35">
        <v>1631</v>
      </c>
      <c r="AK55" s="39"/>
      <c r="AL55" s="39"/>
      <c r="AM55" s="39"/>
      <c r="AN55" s="39"/>
      <c r="AO55" s="39"/>
      <c r="AP55" s="39"/>
      <c r="AQ55" s="39"/>
      <c r="AR55" s="39"/>
      <c r="AS55" s="39"/>
      <c r="AT55" s="39"/>
      <c r="AU55" s="39"/>
      <c r="AV55" s="39"/>
      <c r="AW55" t="str" s="39" cm="1">
        <f t="array" ref="AW55">AF55&amp;"; "&amp;AG55&amp;"; "&amp;AH55&amp;"; "&amp;AI55&amp;"; "&amp;AJ55</f>
        <v>E1; E3; E1; D4; I4</v>
      </c>
    </row>
    <row r="56" ht="13.65" customHeight="1">
      <c r="A56" t="s" s="35">
        <v>2127</v>
      </c>
      <c r="B56" s="36">
        <v>2</v>
      </c>
      <c r="C56" t="s" s="35">
        <v>1823</v>
      </c>
      <c r="D56" t="s" s="35">
        <v>1824</v>
      </c>
      <c r="E56" t="s" s="35">
        <v>2117</v>
      </c>
      <c r="F56" s="36">
        <v>5</v>
      </c>
      <c r="G56" t="s" s="35">
        <v>425</v>
      </c>
      <c r="H56" t="s" s="35">
        <v>2128</v>
      </c>
      <c r="I56" t="s" s="120">
        <v>2129</v>
      </c>
      <c r="J56" t="s" s="35">
        <v>1055</v>
      </c>
      <c r="K56" t="s" s="35">
        <v>1832</v>
      </c>
      <c r="L56" s="39"/>
      <c r="M56" t="str" s="39">
        <v>Fuera del marco</v>
      </c>
      <c r="N56" t="str" s="39">
        <v>Fuera del marco</v>
      </c>
      <c r="O56" t="str" s="39" cm="1">
        <f t="array" ref="O56">IF(L56="","",_xlfn.IFERROR(INDEX('Datos - Catálogo TIMSS'!$C$5:$C$107,MATCH(L56,'Datos - Catálogo TIMSS'!$A$5:$A$107,0)),"?"))</f>
      </c>
      <c r="P56" t="s" s="35">
        <v>254</v>
      </c>
      <c r="Q56" t="s" s="120">
        <v>2130</v>
      </c>
      <c r="R56" t="s" s="120">
        <v>2131</v>
      </c>
      <c r="S56" s="121" cm="1">
        <f t="array" ref="S56">_xlfn.IFERROR(ISNUMBER(SEARCH("Conocer",$R56))/(ISNUMBER(SEARCH("Conocer",$R56))+ISNUMBER(SEARCH("Aplicar",$R56))+ISNUMBER(SEARCH("Razonar",$R56))),0)</f>
        <v>0</v>
      </c>
      <c r="T56" s="121" cm="1">
        <f t="array" ref="T56">_xlfn.IFERROR(ISNUMBER(SEARCH("Aplicar",$R56))/(ISNUMBER(SEARCH("Conocer",$R56))+ISNUMBER(SEARCH("Aplicar",$R56))+ISNUMBER(SEARCH("Razonar",$R56))),0)</f>
        <v>1</v>
      </c>
      <c r="U56" s="121" cm="1">
        <f t="array" ref="U56">_xlfn.IFERROR(ISNUMBER(SEARCH("Razonar",$R56))/(ISNUMBER(SEARCH("Conocer",$R56))+ISNUMBER(SEARCH("Aplicar",$R56))+ISNUMBER(SEARCH("Razonar",$R56))),0)</f>
        <v>0</v>
      </c>
      <c r="V56" t="s" s="35">
        <v>69</v>
      </c>
      <c r="W56" t="s" s="35">
        <v>112</v>
      </c>
      <c r="X56" s="36" cm="1">
        <f t="array" ref="X56">IF(OR(_xlfn.IFERROR(INDEX('Datos - Catálogo TIMSS'!$I$5:$I$107,MATCH(K56,'Datos - Catálogo TIMSS'!$A$5:$A$107,0)),"No")="Sí",_xlfn.IFERROR(INDEX('Datos - Catálogo TIMSS'!$I$5:$I$107,MATCH(L56,'Datos - Catálogo TIMSS'!$A$5:$A$107,0)),"No")="Sí"),1,0)</f>
        <v>0</v>
      </c>
      <c r="Y56" s="36" cm="1">
        <f t="array" ref="Y56">IF(_xlfn.IFERROR(INDEX('Datos - Catálogo TIMSS'!$J$5:$J$107,MATCH(K56,'Datos - Catálogo TIMSS'!$A$5:$A$107,0)),"No")="Sí",1,0)</f>
        <v>0</v>
      </c>
      <c r="Z56" s="36" cm="1">
        <f t="array" ref="Z56">IF(_xlfn.IFERROR(INDEX('Datos - Catálogo TIMSS'!$J$5:$J$107,MATCH(L56,'Datos - Catálogo TIMSS'!$A$5:$A$107,0)),"No")="Sí",1,0)</f>
        <v>0</v>
      </c>
      <c r="AA56" t="s" s="35">
        <v>1832</v>
      </c>
      <c r="AB56" s="39"/>
      <c r="AC56" t="str" s="39">
        <v>Fuera del marco</v>
      </c>
      <c r="AD56" t="s" s="35">
        <v>1834</v>
      </c>
      <c r="AE56" t="str" s="39" cm="1">
        <f t="array" ref="AE56">IF(AD56="","",IF(LEFT(AD56,1)="1","C1",IF(LEFT(AD56,1)="2","C2",IF(LEFT(AD56,1)="3","C3",""))))</f>
        <v>C2</v>
      </c>
      <c r="AF56" t="s" s="35">
        <v>1602</v>
      </c>
      <c r="AG56" t="s" s="35">
        <v>1617</v>
      </c>
      <c r="AH56" t="s" s="35">
        <v>1609</v>
      </c>
      <c r="AI56" t="s" s="35">
        <v>1621</v>
      </c>
      <c r="AJ56" t="s" s="35">
        <v>1607</v>
      </c>
      <c r="AK56" s="39"/>
      <c r="AL56" s="39"/>
      <c r="AM56" s="39"/>
      <c r="AN56" s="39"/>
      <c r="AO56" s="39"/>
      <c r="AP56" s="39"/>
      <c r="AQ56" s="39"/>
      <c r="AR56" s="39"/>
      <c r="AS56" s="39"/>
      <c r="AT56" s="39"/>
      <c r="AU56" s="39"/>
      <c r="AV56" s="39"/>
      <c r="AW56" t="str" s="39" cm="1">
        <f t="array" ref="AW56">AF56&amp;"; "&amp;AG56&amp;"; "&amp;AH56&amp;"; "&amp;AI56&amp;"; "&amp;AJ56</f>
        <v>E1; D1; E4; D3; E3</v>
      </c>
    </row>
    <row r="57" ht="13.65" customHeight="1">
      <c r="A57" t="s" s="35">
        <v>2133</v>
      </c>
      <c r="B57" s="36">
        <v>2</v>
      </c>
      <c r="C57" t="s" s="35">
        <v>1823</v>
      </c>
      <c r="D57" t="s" s="35">
        <v>1824</v>
      </c>
      <c r="E57" t="s" s="35">
        <v>2117</v>
      </c>
      <c r="F57" s="36">
        <v>6</v>
      </c>
      <c r="G57" t="s" s="35">
        <v>425</v>
      </c>
      <c r="H57" t="s" s="35">
        <v>2128</v>
      </c>
      <c r="I57" t="s" s="120">
        <v>2134</v>
      </c>
      <c r="J57" t="s" s="35">
        <v>1055</v>
      </c>
      <c r="K57" t="s" s="35">
        <v>1136</v>
      </c>
      <c r="L57" s="39"/>
      <c r="M57" t="str" s="39">
        <v>Ciencias físicas</v>
      </c>
      <c r="N57" t="str" s="39">
        <v>Investigaciones en ciencias físicas</v>
      </c>
      <c r="O57" t="str" s="39" cm="1">
        <f t="array" ref="O57">IF(L57="","",_xlfn.IFERROR(INDEX('Datos - Catálogo TIMSS'!$C$5:$C$107,MATCH(L57,'Datos - Catálogo TIMSS'!$A$5:$A$107,0)),"?"))</f>
      </c>
      <c r="P57" t="s" s="35">
        <v>291</v>
      </c>
      <c r="Q57" t="s" s="120">
        <v>2135</v>
      </c>
      <c r="R57" t="s" s="120">
        <v>1872</v>
      </c>
      <c r="S57" s="121" cm="1">
        <f t="array" ref="S57">_xlfn.IFERROR(ISNUMBER(SEARCH("Conocer",$R57))/(ISNUMBER(SEARCH("Conocer",$R57))+ISNUMBER(SEARCH("Aplicar",$R57))+ISNUMBER(SEARCH("Razonar",$R57))),0)</f>
        <v>0</v>
      </c>
      <c r="T57" s="121" cm="1">
        <f t="array" ref="T57">_xlfn.IFERROR(ISNUMBER(SEARCH("Aplicar",$R57))/(ISNUMBER(SEARCH("Conocer",$R57))+ISNUMBER(SEARCH("Aplicar",$R57))+ISNUMBER(SEARCH("Razonar",$R57))),0)</f>
        <v>0</v>
      </c>
      <c r="U57" s="121" cm="1">
        <f t="array" ref="U57">_xlfn.IFERROR(ISNUMBER(SEARCH("Razonar",$R57))/(ISNUMBER(SEARCH("Conocer",$R57))+ISNUMBER(SEARCH("Aplicar",$R57))+ISNUMBER(SEARCH("Razonar",$R57))),0)</f>
        <v>1</v>
      </c>
      <c r="V57" t="s" s="35">
        <v>69</v>
      </c>
      <c r="W57" t="s" s="35">
        <v>112</v>
      </c>
      <c r="X57" s="36" cm="1">
        <f t="array" ref="X57">IF(OR(_xlfn.IFERROR(INDEX('Datos - Catálogo TIMSS'!$I$5:$I$107,MATCH(K57,'Datos - Catálogo TIMSS'!$A$5:$A$107,0)),"No")="Sí",_xlfn.IFERROR(INDEX('Datos - Catálogo TIMSS'!$I$5:$I$107,MATCH(L57,'Datos - Catálogo TIMSS'!$A$5:$A$107,0)),"No")="Sí"),1,0)</f>
        <v>0</v>
      </c>
      <c r="Y57" s="36" cm="1">
        <f t="array" ref="Y57">IF(_xlfn.IFERROR(INDEX('Datos - Catálogo TIMSS'!$J$5:$J$107,MATCH(K57,'Datos - Catálogo TIMSS'!$A$5:$A$107,0)),"No")="Sí",1,0)</f>
        <v>1</v>
      </c>
      <c r="Z57" s="36" cm="1">
        <f t="array" ref="Z57">IF(_xlfn.IFERROR(INDEX('Datos - Catálogo TIMSS'!$J$5:$J$107,MATCH(L57,'Datos - Catálogo TIMSS'!$A$5:$A$107,0)),"No")="Sí",1,0)</f>
        <v>0</v>
      </c>
      <c r="AA57" t="s" s="35">
        <v>1832</v>
      </c>
      <c r="AB57" s="39"/>
      <c r="AC57" t="str" s="39">
        <v>Fuera del marco</v>
      </c>
      <c r="AD57" t="s" s="35">
        <v>1834</v>
      </c>
      <c r="AE57" t="str" s="39" cm="1">
        <f t="array" ref="AE57">IF(AD57="","",IF(LEFT(AD57,1)="1","C1",IF(LEFT(AD57,1)="2","C2",IF(LEFT(AD57,1)="3","C3",""))))</f>
        <v>C2</v>
      </c>
      <c r="AF57" t="s" s="35">
        <v>1602</v>
      </c>
      <c r="AG57" t="s" s="35">
        <v>1607</v>
      </c>
      <c r="AH57" t="s" s="35">
        <v>1602</v>
      </c>
      <c r="AI57" t="s" s="35">
        <v>1623</v>
      </c>
      <c r="AJ57" t="s" s="35">
        <v>1629</v>
      </c>
      <c r="AK57" s="39"/>
      <c r="AL57" s="39"/>
      <c r="AM57" s="39"/>
      <c r="AN57" s="39"/>
      <c r="AO57" s="39"/>
      <c r="AP57" s="39"/>
      <c r="AQ57" s="39"/>
      <c r="AR57" s="39"/>
      <c r="AS57" s="39"/>
      <c r="AT57" s="39"/>
      <c r="AU57" s="39"/>
      <c r="AV57" s="39"/>
      <c r="AW57" t="str" s="39" cm="1">
        <f t="array" ref="AW57">AF57&amp;"; "&amp;AG57&amp;"; "&amp;AH57&amp;"; "&amp;AI57&amp;"; "&amp;AJ57</f>
        <v>E1; E3; E1; D4; I3</v>
      </c>
    </row>
    <row r="58" ht="13.65" customHeight="1">
      <c r="A58" t="s" s="35">
        <v>2137</v>
      </c>
      <c r="B58" s="36">
        <v>2</v>
      </c>
      <c r="C58" t="s" s="35">
        <v>1823</v>
      </c>
      <c r="D58" t="s" s="35">
        <v>1824</v>
      </c>
      <c r="E58" t="s" s="35">
        <v>2117</v>
      </c>
      <c r="F58" s="36">
        <v>7</v>
      </c>
      <c r="G58" t="s" s="35">
        <v>425</v>
      </c>
      <c r="H58" t="s" s="35">
        <v>2138</v>
      </c>
      <c r="I58" t="s" s="120">
        <v>2139</v>
      </c>
      <c r="J58" t="s" s="35">
        <v>1055</v>
      </c>
      <c r="K58" t="s" s="35">
        <v>1112</v>
      </c>
      <c r="L58" s="39"/>
      <c r="M58" t="str" s="39">
        <v>Ciencias físicas</v>
      </c>
      <c r="N58" t="str" s="39">
        <v>Energía y transferencia de energía</v>
      </c>
      <c r="O58" t="str" s="39" cm="1">
        <f t="array" ref="O58">IF(L58="","",_xlfn.IFERROR(INDEX('Datos - Catálogo TIMSS'!$C$5:$C$107,MATCH(L58,'Datos - Catálogo TIMSS'!$A$5:$A$107,0)),"?"))</f>
      </c>
      <c r="P58" t="s" s="35">
        <v>282</v>
      </c>
      <c r="Q58" t="s" s="120">
        <v>2140</v>
      </c>
      <c r="R58" t="s" s="120">
        <v>1878</v>
      </c>
      <c r="S58" s="121" cm="1">
        <f t="array" ref="S58">_xlfn.IFERROR(ISNUMBER(SEARCH("Conocer",$R58))/(ISNUMBER(SEARCH("Conocer",$R58))+ISNUMBER(SEARCH("Aplicar",$R58))+ISNUMBER(SEARCH("Razonar",$R58))),0)</f>
        <v>0</v>
      </c>
      <c r="T58" s="121" cm="1">
        <f t="array" ref="T58">_xlfn.IFERROR(ISNUMBER(SEARCH("Aplicar",$R58))/(ISNUMBER(SEARCH("Conocer",$R58))+ISNUMBER(SEARCH("Aplicar",$R58))+ISNUMBER(SEARCH("Razonar",$R58))),0)</f>
        <v>1</v>
      </c>
      <c r="U58" s="121" cm="1">
        <f t="array" ref="U58">_xlfn.IFERROR(ISNUMBER(SEARCH("Razonar",$R58))/(ISNUMBER(SEARCH("Conocer",$R58))+ISNUMBER(SEARCH("Aplicar",$R58))+ISNUMBER(SEARCH("Razonar",$R58))),0)</f>
        <v>0</v>
      </c>
      <c r="V58" t="s" s="35">
        <v>69</v>
      </c>
      <c r="W58" t="s" s="35">
        <v>112</v>
      </c>
      <c r="X58" s="36" cm="1">
        <f t="array" ref="X58">IF(OR(_xlfn.IFERROR(INDEX('Datos - Catálogo TIMSS'!$I$5:$I$107,MATCH(K58,'Datos - Catálogo TIMSS'!$A$5:$A$107,0)),"No")="Sí",_xlfn.IFERROR(INDEX('Datos - Catálogo TIMSS'!$I$5:$I$107,MATCH(L58,'Datos - Catálogo TIMSS'!$A$5:$A$107,0)),"No")="Sí"),1,0)</f>
        <v>0</v>
      </c>
      <c r="Y58" s="36" cm="1">
        <f t="array" ref="Y58">IF(_xlfn.IFERROR(INDEX('Datos - Catálogo TIMSS'!$J$5:$J$107,MATCH(K58,'Datos - Catálogo TIMSS'!$A$5:$A$107,0)),"No")="Sí",1,0)</f>
        <v>0</v>
      </c>
      <c r="Z58" s="36" cm="1">
        <f t="array" ref="Z58">IF(_xlfn.IFERROR(INDEX('Datos - Catálogo TIMSS'!$J$5:$J$107,MATCH(L58,'Datos - Catálogo TIMSS'!$A$5:$A$107,0)),"No")="Sí",1,0)</f>
        <v>0</v>
      </c>
      <c r="AA58" t="s" s="35">
        <v>1911</v>
      </c>
      <c r="AB58" s="39"/>
      <c r="AC58" t="str" s="39">
        <v>Ciencias físicas</v>
      </c>
      <c r="AD58" t="s" s="35">
        <v>1859</v>
      </c>
      <c r="AE58" t="str" s="39" cm="1">
        <f t="array" ref="AE58">IF(AD58="","",IF(LEFT(AD58,1)="1","C1",IF(LEFT(AD58,1)="2","C2",IF(LEFT(AD58,1)="3","C3",""))))</f>
        <v>C1</v>
      </c>
      <c r="AF58" t="s" s="35">
        <v>1602</v>
      </c>
      <c r="AG58" t="s" s="35">
        <v>1612</v>
      </c>
      <c r="AH58" t="s" s="35">
        <v>1609</v>
      </c>
      <c r="AI58" t="s" s="35">
        <v>1619</v>
      </c>
      <c r="AJ58" t="s" s="35">
        <v>1615</v>
      </c>
      <c r="AK58" s="39"/>
      <c r="AL58" s="39"/>
      <c r="AM58" s="39"/>
      <c r="AN58" s="39"/>
      <c r="AO58" s="39"/>
      <c r="AP58" s="39"/>
      <c r="AQ58" s="39"/>
      <c r="AR58" s="39"/>
      <c r="AS58" s="39"/>
      <c r="AT58" s="39"/>
      <c r="AU58" s="39"/>
      <c r="AV58" s="39"/>
      <c r="AW58" t="str" s="39" cm="1">
        <f t="array" ref="AW58">AF58&amp;"; "&amp;AG58&amp;"; "&amp;AH58&amp;"; "&amp;AI58&amp;"; "&amp;AJ58</f>
        <v>E1; E5; E4; D2; E6</v>
      </c>
    </row>
    <row r="59" ht="13.65" customHeight="1">
      <c r="A59" t="s" s="35">
        <v>2142</v>
      </c>
      <c r="B59" s="36">
        <v>2</v>
      </c>
      <c r="C59" t="s" s="35">
        <v>1823</v>
      </c>
      <c r="D59" t="s" s="35">
        <v>1824</v>
      </c>
      <c r="E59" t="s" s="35">
        <v>2117</v>
      </c>
      <c r="F59" s="36">
        <v>8</v>
      </c>
      <c r="G59" t="s" s="35">
        <v>425</v>
      </c>
      <c r="H59" t="s" s="35">
        <v>2138</v>
      </c>
      <c r="I59" t="s" s="120">
        <v>2143</v>
      </c>
      <c r="J59" t="s" s="35">
        <v>1055</v>
      </c>
      <c r="K59" t="s" s="35">
        <v>1136</v>
      </c>
      <c r="L59" s="39"/>
      <c r="M59" t="str" s="39">
        <v>Ciencias físicas</v>
      </c>
      <c r="N59" t="str" s="39">
        <v>Investigaciones en ciencias físicas</v>
      </c>
      <c r="O59" t="str" s="39" cm="1">
        <f t="array" ref="O59">IF(L59="","",_xlfn.IFERROR(INDEX('Datos - Catálogo TIMSS'!$C$5:$C$107,MATCH(L59,'Datos - Catálogo TIMSS'!$A$5:$A$107,0)),"?"))</f>
      </c>
      <c r="P59" t="s" s="35">
        <v>291</v>
      </c>
      <c r="Q59" t="s" s="120">
        <v>2144</v>
      </c>
      <c r="R59" t="s" s="120">
        <v>2145</v>
      </c>
      <c r="S59" s="121" cm="1">
        <f t="array" ref="S59">_xlfn.IFERROR(ISNUMBER(SEARCH("Conocer",$R59))/(ISNUMBER(SEARCH("Conocer",$R59))+ISNUMBER(SEARCH("Aplicar",$R59))+ISNUMBER(SEARCH("Razonar",$R59))),0)</f>
        <v>0</v>
      </c>
      <c r="T59" s="121" cm="1">
        <f t="array" ref="T59">_xlfn.IFERROR(ISNUMBER(SEARCH("Aplicar",$R59))/(ISNUMBER(SEARCH("Conocer",$R59))+ISNUMBER(SEARCH("Aplicar",$R59))+ISNUMBER(SEARCH("Razonar",$R59))),0)</f>
        <v>0</v>
      </c>
      <c r="U59" s="121" cm="1">
        <f t="array" ref="U59">_xlfn.IFERROR(ISNUMBER(SEARCH("Razonar",$R59))/(ISNUMBER(SEARCH("Conocer",$R59))+ISNUMBER(SEARCH("Aplicar",$R59))+ISNUMBER(SEARCH("Razonar",$R59))),0)</f>
        <v>1</v>
      </c>
      <c r="V59" t="s" s="35">
        <v>69</v>
      </c>
      <c r="W59" t="s" s="35">
        <v>112</v>
      </c>
      <c r="X59" s="36" cm="1">
        <f t="array" ref="X59">IF(OR(_xlfn.IFERROR(INDEX('Datos - Catálogo TIMSS'!$I$5:$I$107,MATCH(K59,'Datos - Catálogo TIMSS'!$A$5:$A$107,0)),"No")="Sí",_xlfn.IFERROR(INDEX('Datos - Catálogo TIMSS'!$I$5:$I$107,MATCH(L59,'Datos - Catálogo TIMSS'!$A$5:$A$107,0)),"No")="Sí"),1,0)</f>
        <v>0</v>
      </c>
      <c r="Y59" s="36" cm="1">
        <f t="array" ref="Y59">IF(_xlfn.IFERROR(INDEX('Datos - Catálogo TIMSS'!$J$5:$J$107,MATCH(K59,'Datos - Catálogo TIMSS'!$A$5:$A$107,0)),"No")="Sí",1,0)</f>
        <v>1</v>
      </c>
      <c r="Z59" s="36" cm="1">
        <f t="array" ref="Z59">IF(_xlfn.IFERROR(INDEX('Datos - Catálogo TIMSS'!$J$5:$J$107,MATCH(L59,'Datos - Catálogo TIMSS'!$A$5:$A$107,0)),"No")="Sí",1,0)</f>
        <v>0</v>
      </c>
      <c r="AA59" t="s" s="35">
        <v>1832</v>
      </c>
      <c r="AB59" s="39"/>
      <c r="AC59" t="str" s="39">
        <v>Fuera del marco</v>
      </c>
      <c r="AD59" t="s" s="35">
        <v>1834</v>
      </c>
      <c r="AE59" t="str" s="39" cm="1">
        <f t="array" ref="AE59">IF(AD59="","",IF(LEFT(AD59,1)="1","C1",IF(LEFT(AD59,1)="2","C2",IF(LEFT(AD59,1)="3","C3",""))))</f>
        <v>C2</v>
      </c>
      <c r="AF59" t="s" s="35">
        <v>1602</v>
      </c>
      <c r="AG59" t="s" s="35">
        <v>1617</v>
      </c>
      <c r="AH59" t="s" s="35">
        <v>1602</v>
      </c>
      <c r="AI59" t="s" s="35">
        <v>1621</v>
      </c>
      <c r="AJ59" t="s" s="35">
        <v>1633</v>
      </c>
      <c r="AK59" s="39"/>
      <c r="AL59" s="39"/>
      <c r="AM59" s="39"/>
      <c r="AN59" s="39"/>
      <c r="AO59" s="39"/>
      <c r="AP59" s="39"/>
      <c r="AQ59" s="39"/>
      <c r="AR59" s="39"/>
      <c r="AS59" s="39"/>
      <c r="AT59" s="39"/>
      <c r="AU59" s="39"/>
      <c r="AV59" s="39"/>
      <c r="AW59" t="str" s="39" cm="1">
        <f t="array" ref="AW59">AF59&amp;"; "&amp;AG59&amp;"; "&amp;AH59&amp;"; "&amp;AI59&amp;"; "&amp;AJ59</f>
        <v>E1; D1; E1; D3; I5</v>
      </c>
    </row>
    <row r="60" ht="13.65" customHeight="1">
      <c r="A60" t="s" s="35">
        <v>2147</v>
      </c>
      <c r="B60" s="36">
        <v>2</v>
      </c>
      <c r="C60" t="s" s="35">
        <v>1823</v>
      </c>
      <c r="D60" t="s" s="35">
        <v>1824</v>
      </c>
      <c r="E60" t="s" s="35">
        <v>2117</v>
      </c>
      <c r="F60" s="36">
        <v>9</v>
      </c>
      <c r="G60" t="s" s="35">
        <v>425</v>
      </c>
      <c r="H60" t="s" s="35">
        <v>2148</v>
      </c>
      <c r="I60" t="s" s="120">
        <v>2149</v>
      </c>
      <c r="J60" t="s" s="35">
        <v>1055</v>
      </c>
      <c r="K60" t="s" s="35">
        <v>427</v>
      </c>
      <c r="L60" s="39"/>
      <c r="M60" t="str" s="39">
        <v>Biología</v>
      </c>
      <c r="N60" t="str" s="39">
        <v>Características y procesos vitales de los organismos</v>
      </c>
      <c r="O60" t="str" s="39" cm="1">
        <f t="array" ref="O60">IF(L60="","",_xlfn.IFERROR(INDEX('Datos - Catálogo TIMSS'!$C$5:$C$107,MATCH(L60,'Datos - Catálogo TIMSS'!$A$5:$A$107,0)),"?"))</f>
      </c>
      <c r="P60" t="s" s="35">
        <v>282</v>
      </c>
      <c r="Q60" t="s" s="120">
        <v>2150</v>
      </c>
      <c r="R60" t="s" s="120">
        <v>1878</v>
      </c>
      <c r="S60" s="121" cm="1">
        <f t="array" ref="S60">_xlfn.IFERROR(ISNUMBER(SEARCH("Conocer",$R60))/(ISNUMBER(SEARCH("Conocer",$R60))+ISNUMBER(SEARCH("Aplicar",$R60))+ISNUMBER(SEARCH("Razonar",$R60))),0)</f>
        <v>0</v>
      </c>
      <c r="T60" s="121" cm="1">
        <f t="array" ref="T60">_xlfn.IFERROR(ISNUMBER(SEARCH("Aplicar",$R60))/(ISNUMBER(SEARCH("Conocer",$R60))+ISNUMBER(SEARCH("Aplicar",$R60))+ISNUMBER(SEARCH("Razonar",$R60))),0)</f>
        <v>1</v>
      </c>
      <c r="U60" s="121" cm="1">
        <f t="array" ref="U60">_xlfn.IFERROR(ISNUMBER(SEARCH("Razonar",$R60))/(ISNUMBER(SEARCH("Conocer",$R60))+ISNUMBER(SEARCH("Aplicar",$R60))+ISNUMBER(SEARCH("Razonar",$R60))),0)</f>
        <v>0</v>
      </c>
      <c r="V60" t="s" s="35">
        <v>69</v>
      </c>
      <c r="W60" t="s" s="35">
        <v>112</v>
      </c>
      <c r="X60" s="36" cm="1">
        <f t="array" ref="X60">IF(OR(_xlfn.IFERROR(INDEX('Datos - Catálogo TIMSS'!$I$5:$I$107,MATCH(K60,'Datos - Catálogo TIMSS'!$A$5:$A$107,0)),"No")="Sí",_xlfn.IFERROR(INDEX('Datos - Catálogo TIMSS'!$I$5:$I$107,MATCH(L60,'Datos - Catálogo TIMSS'!$A$5:$A$107,0)),"No")="Sí"),1,0)</f>
        <v>1</v>
      </c>
      <c r="Y60" s="36" cm="1">
        <f t="array" ref="Y60">IF(_xlfn.IFERROR(INDEX('Datos - Catálogo TIMSS'!$J$5:$J$107,MATCH(K60,'Datos - Catálogo TIMSS'!$A$5:$A$107,0)),"No")="Sí",1,0)</f>
        <v>0</v>
      </c>
      <c r="Z60" s="36" cm="1">
        <f t="array" ref="Z60">IF(_xlfn.IFERROR(INDEX('Datos - Catálogo TIMSS'!$J$5:$J$107,MATCH(L60,'Datos - Catálogo TIMSS'!$A$5:$A$107,0)),"No")="Sí",1,0)</f>
        <v>0</v>
      </c>
      <c r="AA60" t="s" s="35">
        <v>2023</v>
      </c>
      <c r="AB60" s="39"/>
      <c r="AC60" t="str" s="39">
        <v>Ciencias de la vida</v>
      </c>
      <c r="AD60" t="s" s="35">
        <v>1900</v>
      </c>
      <c r="AE60" t="str" s="39" cm="1">
        <f t="array" ref="AE60">IF(AD60="","",IF(LEFT(AD60,1)="1","C1",IF(LEFT(AD60,1)="2","C2",IF(LEFT(AD60,1)="3","C3",""))))</f>
        <v>C3</v>
      </c>
      <c r="AF60" t="s" s="35">
        <v>1602</v>
      </c>
      <c r="AG60" t="s" s="35">
        <v>1617</v>
      </c>
      <c r="AH60" t="s" s="35">
        <v>1602</v>
      </c>
      <c r="AI60" t="s" s="35">
        <v>1623</v>
      </c>
      <c r="AJ60" t="s" s="35">
        <v>1633</v>
      </c>
      <c r="AK60" s="39"/>
      <c r="AL60" s="39"/>
      <c r="AM60" s="39"/>
      <c r="AN60" s="39"/>
      <c r="AO60" s="39"/>
      <c r="AP60" s="39"/>
      <c r="AQ60" s="39"/>
      <c r="AR60" s="39"/>
      <c r="AS60" s="39"/>
      <c r="AT60" s="39"/>
      <c r="AU60" s="39"/>
      <c r="AV60" s="39"/>
      <c r="AW60" t="str" s="39" cm="1">
        <f t="array" ref="AW60">AF60&amp;"; "&amp;AG60&amp;"; "&amp;AH60&amp;"; "&amp;AI60&amp;"; "&amp;AJ60</f>
        <v>E1; D1; E1; D4; I5</v>
      </c>
    </row>
    <row r="61" ht="13.65" customHeight="1">
      <c r="A61" t="s" s="35">
        <v>2151</v>
      </c>
      <c r="B61" s="36">
        <v>2</v>
      </c>
      <c r="C61" t="s" s="35">
        <v>1823</v>
      </c>
      <c r="D61" t="s" s="35">
        <v>1824</v>
      </c>
      <c r="E61" t="s" s="35">
        <v>2117</v>
      </c>
      <c r="F61" s="36">
        <v>10</v>
      </c>
      <c r="G61" t="s" s="35">
        <v>425</v>
      </c>
      <c r="H61" t="s" s="35">
        <v>2148</v>
      </c>
      <c r="I61" t="s" s="120">
        <v>2152</v>
      </c>
      <c r="J61" t="s" s="35">
        <v>1055</v>
      </c>
      <c r="K61" t="s" s="35">
        <v>1090</v>
      </c>
      <c r="L61" s="39"/>
      <c r="M61" t="str" s="39">
        <v>Biología</v>
      </c>
      <c r="N61" t="str" s="39">
        <v>Ecosistemas</v>
      </c>
      <c r="O61" t="str" s="39" cm="1">
        <f t="array" ref="O61">IF(L61="","",_xlfn.IFERROR(INDEX('Datos - Catálogo TIMSS'!$C$5:$C$107,MATCH(L61,'Datos - Catálogo TIMSS'!$A$5:$A$107,0)),"?"))</f>
      </c>
      <c r="P61" t="s" s="35">
        <v>282</v>
      </c>
      <c r="Q61" t="s" s="120">
        <v>2153</v>
      </c>
      <c r="R61" t="s" s="120">
        <v>2154</v>
      </c>
      <c r="S61" s="121" cm="1">
        <f t="array" ref="S61">_xlfn.IFERROR(ISNUMBER(SEARCH("Conocer",$R61))/(ISNUMBER(SEARCH("Conocer",$R61))+ISNUMBER(SEARCH("Aplicar",$R61))+ISNUMBER(SEARCH("Razonar",$R61))),0)</f>
        <v>0</v>
      </c>
      <c r="T61" s="121" cm="1">
        <f t="array" ref="T61">_xlfn.IFERROR(ISNUMBER(SEARCH("Aplicar",$R61))/(ISNUMBER(SEARCH("Conocer",$R61))+ISNUMBER(SEARCH("Aplicar",$R61))+ISNUMBER(SEARCH("Razonar",$R61))),0)</f>
        <v>0</v>
      </c>
      <c r="U61" s="121" cm="1">
        <f t="array" ref="U61">_xlfn.IFERROR(ISNUMBER(SEARCH("Razonar",$R61))/(ISNUMBER(SEARCH("Conocer",$R61))+ISNUMBER(SEARCH("Aplicar",$R61))+ISNUMBER(SEARCH("Razonar",$R61))),0)</f>
        <v>1</v>
      </c>
      <c r="V61" t="s" s="35">
        <v>69</v>
      </c>
      <c r="W61" t="s" s="35">
        <v>112</v>
      </c>
      <c r="X61" s="36" cm="1">
        <f t="array" ref="X61">IF(OR(_xlfn.IFERROR(INDEX('Datos - Catálogo TIMSS'!$I$5:$I$107,MATCH(K61,'Datos - Catálogo TIMSS'!$A$5:$A$107,0)),"No")="Sí",_xlfn.IFERROR(INDEX('Datos - Catálogo TIMSS'!$I$5:$I$107,MATCH(L61,'Datos - Catálogo TIMSS'!$A$5:$A$107,0)),"No")="Sí"),1,0)</f>
        <v>1</v>
      </c>
      <c r="Y61" s="36" cm="1">
        <f t="array" ref="Y61">IF(_xlfn.IFERROR(INDEX('Datos - Catálogo TIMSS'!$J$5:$J$107,MATCH(K61,'Datos - Catálogo TIMSS'!$A$5:$A$107,0)),"No")="Sí",1,0)</f>
        <v>0</v>
      </c>
      <c r="Z61" s="36" cm="1">
        <f t="array" ref="Z61">IF(_xlfn.IFERROR(INDEX('Datos - Catálogo TIMSS'!$J$5:$J$107,MATCH(L61,'Datos - Catálogo TIMSS'!$A$5:$A$107,0)),"No")="Sí",1,0)</f>
        <v>0</v>
      </c>
      <c r="AA61" t="s" s="35">
        <v>2104</v>
      </c>
      <c r="AB61" s="39"/>
      <c r="AC61" t="str" s="39">
        <v>Ciencias de la vida</v>
      </c>
      <c r="AD61" t="s" s="35">
        <v>1834</v>
      </c>
      <c r="AE61" t="str" s="39" cm="1">
        <f t="array" ref="AE61">IF(AD61="","",IF(LEFT(AD61,1)="1","C1",IF(LEFT(AD61,1)="2","C2",IF(LEFT(AD61,1)="3","C3",""))))</f>
        <v>C2</v>
      </c>
      <c r="AF61" t="s" s="35">
        <v>1602</v>
      </c>
      <c r="AG61" t="s" s="35">
        <v>1617</v>
      </c>
      <c r="AH61" t="s" s="35">
        <v>1602</v>
      </c>
      <c r="AI61" t="s" s="35">
        <v>1621</v>
      </c>
      <c r="AJ61" t="s" s="35">
        <v>1615</v>
      </c>
      <c r="AK61" s="39"/>
      <c r="AL61" s="39"/>
      <c r="AM61" s="39"/>
      <c r="AN61" s="39"/>
      <c r="AO61" s="39"/>
      <c r="AP61" s="39"/>
      <c r="AQ61" s="39"/>
      <c r="AR61" s="39"/>
      <c r="AS61" s="39"/>
      <c r="AT61" s="39"/>
      <c r="AU61" s="39"/>
      <c r="AV61" s="39"/>
      <c r="AW61" t="str" s="39" cm="1">
        <f t="array" ref="AW61">AF61&amp;"; "&amp;AG61&amp;"; "&amp;AH61&amp;"; "&amp;AI61&amp;"; "&amp;AJ61</f>
        <v>E1; D1; E1; D3; E6</v>
      </c>
    </row>
    <row r="62" ht="13.65" customHeight="1">
      <c r="A62" t="s" s="35">
        <v>2156</v>
      </c>
      <c r="B62" s="36">
        <v>2</v>
      </c>
      <c r="C62" t="s" s="35">
        <v>1823</v>
      </c>
      <c r="D62" t="s" s="35">
        <v>1824</v>
      </c>
      <c r="E62" t="s" s="35">
        <v>2117</v>
      </c>
      <c r="F62" s="36">
        <v>11</v>
      </c>
      <c r="G62" t="s" s="35">
        <v>425</v>
      </c>
      <c r="H62" t="s" s="35">
        <v>2148</v>
      </c>
      <c r="I62" t="s" s="120">
        <v>2157</v>
      </c>
      <c r="J62" t="s" s="35">
        <v>1055</v>
      </c>
      <c r="K62" t="s" s="35">
        <v>427</v>
      </c>
      <c r="L62" s="39"/>
      <c r="M62" t="str" s="39">
        <v>Biología</v>
      </c>
      <c r="N62" t="str" s="39">
        <v>Características y procesos vitales de los organismos</v>
      </c>
      <c r="O62" t="str" s="39" cm="1">
        <f t="array" ref="O62">IF(L62="","",_xlfn.IFERROR(INDEX('Datos - Catálogo TIMSS'!$C$5:$C$107,MATCH(L62,'Datos - Catálogo TIMSS'!$A$5:$A$107,0)),"?"))</f>
      </c>
      <c r="P62" t="s" s="35">
        <v>254</v>
      </c>
      <c r="Q62" t="s" s="120">
        <v>2158</v>
      </c>
      <c r="R62" t="s" s="120">
        <v>2159</v>
      </c>
      <c r="S62" s="121" cm="1">
        <f t="array" ref="S62">_xlfn.IFERROR(ISNUMBER(SEARCH("Conocer",$R62))/(ISNUMBER(SEARCH("Conocer",$R62))+ISNUMBER(SEARCH("Aplicar",$R62))+ISNUMBER(SEARCH("Razonar",$R62))),0)</f>
        <v>0</v>
      </c>
      <c r="T62" s="121" cm="1">
        <f t="array" ref="T62">_xlfn.IFERROR(ISNUMBER(SEARCH("Aplicar",$R62))/(ISNUMBER(SEARCH("Conocer",$R62))+ISNUMBER(SEARCH("Aplicar",$R62))+ISNUMBER(SEARCH("Razonar",$R62))),0)</f>
        <v>0</v>
      </c>
      <c r="U62" s="121" cm="1">
        <f t="array" ref="U62">_xlfn.IFERROR(ISNUMBER(SEARCH("Razonar",$R62))/(ISNUMBER(SEARCH("Conocer",$R62))+ISNUMBER(SEARCH("Aplicar",$R62))+ISNUMBER(SEARCH("Razonar",$R62))),0)</f>
        <v>1</v>
      </c>
      <c r="V62" t="s" s="35">
        <v>69</v>
      </c>
      <c r="W62" t="s" s="35">
        <v>112</v>
      </c>
      <c r="X62" s="36" cm="1">
        <f t="array" ref="X62">IF(OR(_xlfn.IFERROR(INDEX('Datos - Catálogo TIMSS'!$I$5:$I$107,MATCH(K62,'Datos - Catálogo TIMSS'!$A$5:$A$107,0)),"No")="Sí",_xlfn.IFERROR(INDEX('Datos - Catálogo TIMSS'!$I$5:$I$107,MATCH(L62,'Datos - Catálogo TIMSS'!$A$5:$A$107,0)),"No")="Sí"),1,0)</f>
        <v>1</v>
      </c>
      <c r="Y62" s="36" cm="1">
        <f t="array" ref="Y62">IF(_xlfn.IFERROR(INDEX('Datos - Catálogo TIMSS'!$J$5:$J$107,MATCH(K62,'Datos - Catálogo TIMSS'!$A$5:$A$107,0)),"No")="Sí",1,0)</f>
        <v>0</v>
      </c>
      <c r="Z62" s="36" cm="1">
        <f t="array" ref="Z62">IF(_xlfn.IFERROR(INDEX('Datos - Catálogo TIMSS'!$J$5:$J$107,MATCH(L62,'Datos - Catálogo TIMSS'!$A$5:$A$107,0)),"No")="Sí",1,0)</f>
        <v>0</v>
      </c>
      <c r="AA62" t="s" s="35">
        <v>2023</v>
      </c>
      <c r="AB62" t="s" s="35">
        <v>2045</v>
      </c>
      <c r="AC62" t="str" s="39">
        <v>Ciencias de la vida</v>
      </c>
      <c r="AD62" t="s" s="35">
        <v>1834</v>
      </c>
      <c r="AE62" t="str" s="39" cm="1">
        <f t="array" ref="AE62">IF(AD62="","",IF(LEFT(AD62,1)="1","C1",IF(LEFT(AD62,1)="2","C2",IF(LEFT(AD62,1)="3","C3",""))))</f>
        <v>C2</v>
      </c>
      <c r="AF62" t="s" s="35">
        <v>1602</v>
      </c>
      <c r="AG62" t="s" s="35">
        <v>1607</v>
      </c>
      <c r="AH62" t="s" s="35">
        <v>1609</v>
      </c>
      <c r="AI62" t="s" s="35">
        <v>1623</v>
      </c>
      <c r="AJ62" t="s" s="35">
        <v>1609</v>
      </c>
      <c r="AK62" s="39"/>
      <c r="AL62" s="39"/>
      <c r="AM62" s="39"/>
      <c r="AN62" s="39"/>
      <c r="AO62" s="39"/>
      <c r="AP62" s="39"/>
      <c r="AQ62" s="39"/>
      <c r="AR62" s="39"/>
      <c r="AS62" s="39"/>
      <c r="AT62" s="39"/>
      <c r="AU62" s="39"/>
      <c r="AV62" s="39"/>
      <c r="AW62" t="str" s="39" cm="1">
        <f t="array" ref="AW62">AF62&amp;"; "&amp;AG62&amp;"; "&amp;AH62&amp;"; "&amp;AI62&amp;"; "&amp;AJ62</f>
        <v>E1; E3; E4; D4; E4</v>
      </c>
    </row>
    <row r="63" ht="13.65" customHeight="1">
      <c r="A63" t="s" s="35">
        <v>2161</v>
      </c>
      <c r="B63" s="36">
        <v>2</v>
      </c>
      <c r="C63" t="s" s="35">
        <v>1823</v>
      </c>
      <c r="D63" t="s" s="35">
        <v>1824</v>
      </c>
      <c r="E63" t="s" s="35">
        <v>2162</v>
      </c>
      <c r="F63" s="36">
        <v>3</v>
      </c>
      <c r="G63" t="s" s="35">
        <v>279</v>
      </c>
      <c r="H63" t="s" s="35">
        <v>2163</v>
      </c>
      <c r="I63" t="s" s="120">
        <v>2164</v>
      </c>
      <c r="J63" t="s" s="35">
        <v>1055</v>
      </c>
      <c r="K63" t="s" s="35">
        <v>1832</v>
      </c>
      <c r="L63" s="39"/>
      <c r="M63" t="str" s="39">
        <v>Fuera del marco</v>
      </c>
      <c r="N63" t="str" s="39">
        <v>Fuera del marco</v>
      </c>
      <c r="O63" t="str" s="39" cm="1">
        <f t="array" ref="O63">IF(L63="","",_xlfn.IFERROR(INDEX('Datos - Catálogo TIMSS'!$C$5:$C$107,MATCH(L63,'Datos - Catálogo TIMSS'!$A$5:$A$107,0)),"?"))</f>
      </c>
      <c r="P63" t="s" s="35">
        <v>254</v>
      </c>
      <c r="Q63" t="s" s="120">
        <v>2165</v>
      </c>
      <c r="R63" t="s" s="120">
        <v>1878</v>
      </c>
      <c r="S63" s="121" cm="1">
        <f t="array" ref="S63">_xlfn.IFERROR(ISNUMBER(SEARCH("Conocer",$R63))/(ISNUMBER(SEARCH("Conocer",$R63))+ISNUMBER(SEARCH("Aplicar",$R63))+ISNUMBER(SEARCH("Razonar",$R63))),0)</f>
        <v>0</v>
      </c>
      <c r="T63" s="121" cm="1">
        <f t="array" ref="T63">_xlfn.IFERROR(ISNUMBER(SEARCH("Aplicar",$R63))/(ISNUMBER(SEARCH("Conocer",$R63))+ISNUMBER(SEARCH("Aplicar",$R63))+ISNUMBER(SEARCH("Razonar",$R63))),0)</f>
        <v>1</v>
      </c>
      <c r="U63" s="121" cm="1">
        <f t="array" ref="U63">_xlfn.IFERROR(ISNUMBER(SEARCH("Razonar",$R63))/(ISNUMBER(SEARCH("Conocer",$R63))+ISNUMBER(SEARCH("Aplicar",$R63))+ISNUMBER(SEARCH("Razonar",$R63))),0)</f>
        <v>0</v>
      </c>
      <c r="V63" t="s" s="35">
        <v>69</v>
      </c>
      <c r="W63" t="s" s="35">
        <v>112</v>
      </c>
      <c r="X63" s="36" cm="1">
        <f t="array" ref="X63">IF(OR(_xlfn.IFERROR(INDEX('Datos - Catálogo TIMSS'!$I$5:$I$107,MATCH(K63,'Datos - Catálogo TIMSS'!$A$5:$A$107,0)),"No")="Sí",_xlfn.IFERROR(INDEX('Datos - Catálogo TIMSS'!$I$5:$I$107,MATCH(L63,'Datos - Catálogo TIMSS'!$A$5:$A$107,0)),"No")="Sí"),1,0)</f>
        <v>0</v>
      </c>
      <c r="Y63" s="36" cm="1">
        <f t="array" ref="Y63">IF(_xlfn.IFERROR(INDEX('Datos - Catálogo TIMSS'!$J$5:$J$107,MATCH(K63,'Datos - Catálogo TIMSS'!$A$5:$A$107,0)),"No")="Sí",1,0)</f>
        <v>0</v>
      </c>
      <c r="Z63" s="36" cm="1">
        <f t="array" ref="Z63">IF(_xlfn.IFERROR(INDEX('Datos - Catálogo TIMSS'!$J$5:$J$107,MATCH(L63,'Datos - Catálogo TIMSS'!$A$5:$A$107,0)),"No")="Sí",1,0)</f>
        <v>0</v>
      </c>
      <c r="AA63" t="s" s="35">
        <v>1832</v>
      </c>
      <c r="AB63" s="39"/>
      <c r="AC63" t="str" s="39">
        <v>Fuera del marco</v>
      </c>
      <c r="AD63" t="s" s="35">
        <v>1900</v>
      </c>
      <c r="AE63" t="str" s="39" cm="1">
        <f t="array" ref="AE63">IF(AD63="","",IF(LEFT(AD63,1)="1","C1",IF(LEFT(AD63,1)="2","C2",IF(LEFT(AD63,1)="3","C3",""))))</f>
        <v>C3</v>
      </c>
      <c r="AF63" t="s" s="35">
        <v>1602</v>
      </c>
      <c r="AG63" t="s" s="35">
        <v>1617</v>
      </c>
      <c r="AH63" t="s" s="35">
        <v>1602</v>
      </c>
      <c r="AI63" t="s" s="35">
        <v>1629</v>
      </c>
      <c r="AJ63" t="s" s="35">
        <v>1633</v>
      </c>
      <c r="AK63" s="39"/>
      <c r="AL63" s="39"/>
      <c r="AM63" s="39"/>
      <c r="AN63" s="39"/>
      <c r="AO63" s="39"/>
      <c r="AP63" s="39"/>
      <c r="AQ63" s="39"/>
      <c r="AR63" s="39"/>
      <c r="AS63" s="39"/>
      <c r="AT63" s="39"/>
      <c r="AU63" s="39"/>
      <c r="AV63" s="39"/>
      <c r="AW63" t="str" s="39" cm="1">
        <f t="array" ref="AW63">AF63&amp;"; "&amp;AG63&amp;"; "&amp;AH63&amp;"; "&amp;AI63&amp;"; "&amp;AJ63</f>
        <v>E1; D1; E1; I3; I5</v>
      </c>
    </row>
    <row r="64" ht="13.65" customHeight="1">
      <c r="A64" t="s" s="35">
        <v>2167</v>
      </c>
      <c r="B64" s="36">
        <v>2</v>
      </c>
      <c r="C64" t="s" s="35">
        <v>1823</v>
      </c>
      <c r="D64" t="s" s="35">
        <v>1824</v>
      </c>
      <c r="E64" t="s" s="35">
        <v>2162</v>
      </c>
      <c r="F64" s="36">
        <v>4</v>
      </c>
      <c r="G64" t="s" s="35">
        <v>279</v>
      </c>
      <c r="H64" t="s" s="35">
        <v>2163</v>
      </c>
      <c r="I64" t="s" s="120">
        <v>2168</v>
      </c>
      <c r="J64" t="s" s="35">
        <v>1055</v>
      </c>
      <c r="K64" t="s" s="35">
        <v>1832</v>
      </c>
      <c r="L64" s="39"/>
      <c r="M64" t="str" s="39">
        <v>Fuera del marco</v>
      </c>
      <c r="N64" t="str" s="39">
        <v>Fuera del marco</v>
      </c>
      <c r="O64" t="str" s="39" cm="1">
        <f t="array" ref="O64">IF(L64="","",_xlfn.IFERROR(INDEX('Datos - Catálogo TIMSS'!$C$5:$C$107,MATCH(L64,'Datos - Catálogo TIMSS'!$A$5:$A$107,0)),"?"))</f>
      </c>
      <c r="P64" t="s" s="35">
        <v>254</v>
      </c>
      <c r="Q64" t="s" s="120">
        <v>2169</v>
      </c>
      <c r="R64" t="s" s="120">
        <v>2170</v>
      </c>
      <c r="S64" s="121" cm="1">
        <f t="array" ref="S64">_xlfn.IFERROR(ISNUMBER(SEARCH("Conocer",$R64))/(ISNUMBER(SEARCH("Conocer",$R64))+ISNUMBER(SEARCH("Aplicar",$R64))+ISNUMBER(SEARCH("Razonar",$R64))),0)</f>
        <v>0</v>
      </c>
      <c r="T64" s="121" cm="1">
        <f t="array" ref="T64">_xlfn.IFERROR(ISNUMBER(SEARCH("Aplicar",$R64))/(ISNUMBER(SEARCH("Conocer",$R64))+ISNUMBER(SEARCH("Aplicar",$R64))+ISNUMBER(SEARCH("Razonar",$R64))),0)</f>
        <v>1</v>
      </c>
      <c r="U64" s="121" cm="1">
        <f t="array" ref="U64">_xlfn.IFERROR(ISNUMBER(SEARCH("Razonar",$R64))/(ISNUMBER(SEARCH("Conocer",$R64))+ISNUMBER(SEARCH("Aplicar",$R64))+ISNUMBER(SEARCH("Razonar",$R64))),0)</f>
        <v>0</v>
      </c>
      <c r="V64" t="s" s="35">
        <v>69</v>
      </c>
      <c r="W64" t="s" s="35">
        <v>112</v>
      </c>
      <c r="X64" s="36" cm="1">
        <f t="array" ref="X64">IF(OR(_xlfn.IFERROR(INDEX('Datos - Catálogo TIMSS'!$I$5:$I$107,MATCH(K64,'Datos - Catálogo TIMSS'!$A$5:$A$107,0)),"No")="Sí",_xlfn.IFERROR(INDEX('Datos - Catálogo TIMSS'!$I$5:$I$107,MATCH(L64,'Datos - Catálogo TIMSS'!$A$5:$A$107,0)),"No")="Sí"),1,0)</f>
        <v>0</v>
      </c>
      <c r="Y64" s="36" cm="1">
        <f t="array" ref="Y64">IF(_xlfn.IFERROR(INDEX('Datos - Catálogo TIMSS'!$J$5:$J$107,MATCH(K64,'Datos - Catálogo TIMSS'!$A$5:$A$107,0)),"No")="Sí",1,0)</f>
        <v>0</v>
      </c>
      <c r="Z64" s="36" cm="1">
        <f t="array" ref="Z64">IF(_xlfn.IFERROR(INDEX('Datos - Catálogo TIMSS'!$J$5:$J$107,MATCH(L64,'Datos - Catálogo TIMSS'!$A$5:$A$107,0)),"No")="Sí",1,0)</f>
        <v>0</v>
      </c>
      <c r="AA64" t="s" s="35">
        <v>1832</v>
      </c>
      <c r="AB64" s="39"/>
      <c r="AC64" t="str" s="39">
        <v>Fuera del marco</v>
      </c>
      <c r="AD64" t="s" s="35">
        <v>1834</v>
      </c>
      <c r="AE64" t="str" s="39" cm="1">
        <f t="array" ref="AE64">IF(AD64="","",IF(LEFT(AD64,1)="1","C1",IF(LEFT(AD64,1)="2","C2",IF(LEFT(AD64,1)="3","C3",""))))</f>
        <v>C2</v>
      </c>
      <c r="AF64" t="s" s="35">
        <v>1602</v>
      </c>
      <c r="AG64" t="s" s="35">
        <v>1617</v>
      </c>
      <c r="AH64" t="s" s="35">
        <v>1605</v>
      </c>
      <c r="AI64" t="s" s="35">
        <v>1623</v>
      </c>
      <c r="AJ64" t="s" s="35">
        <v>1633</v>
      </c>
      <c r="AK64" s="39"/>
      <c r="AL64" s="39"/>
      <c r="AM64" s="39"/>
      <c r="AN64" s="39"/>
      <c r="AO64" s="39"/>
      <c r="AP64" s="39"/>
      <c r="AQ64" s="39"/>
      <c r="AR64" s="39"/>
      <c r="AS64" s="39"/>
      <c r="AT64" s="39"/>
      <c r="AU64" s="39"/>
      <c r="AV64" s="39"/>
      <c r="AW64" t="str" s="39" cm="1">
        <f t="array" ref="AW64">AF64&amp;"; "&amp;AG64&amp;"; "&amp;AH64&amp;"; "&amp;AI64&amp;"; "&amp;AJ64</f>
        <v>E1; D1; E2; D4; I5</v>
      </c>
    </row>
    <row r="65" ht="13.65" customHeight="1">
      <c r="A65" t="s" s="35">
        <v>2172</v>
      </c>
      <c r="B65" s="36">
        <v>2</v>
      </c>
      <c r="C65" t="s" s="35">
        <v>1823</v>
      </c>
      <c r="D65" t="s" s="35">
        <v>1824</v>
      </c>
      <c r="E65" t="s" s="35">
        <v>2162</v>
      </c>
      <c r="F65" s="36">
        <v>5</v>
      </c>
      <c r="G65" t="s" s="35">
        <v>279</v>
      </c>
      <c r="H65" t="s" s="35">
        <v>2173</v>
      </c>
      <c r="I65" t="s" s="120">
        <v>2174</v>
      </c>
      <c r="J65" t="s" s="35">
        <v>1055</v>
      </c>
      <c r="K65" t="s" s="35">
        <v>1832</v>
      </c>
      <c r="L65" s="39"/>
      <c r="M65" t="str" s="39">
        <v>Fuera del marco</v>
      </c>
      <c r="N65" t="str" s="39">
        <v>Fuera del marco</v>
      </c>
      <c r="O65" t="str" s="39" cm="1">
        <f t="array" ref="O65">IF(L65="","",_xlfn.IFERROR(INDEX('Datos - Catálogo TIMSS'!$C$5:$C$107,MATCH(L65,'Datos - Catálogo TIMSS'!$A$5:$A$107,0)),"?"))</f>
      </c>
      <c r="P65" t="s" s="35">
        <v>282</v>
      </c>
      <c r="Q65" t="s" s="120">
        <v>2175</v>
      </c>
      <c r="R65" t="s" s="120">
        <v>2176</v>
      </c>
      <c r="S65" s="121" cm="1">
        <f t="array" ref="S65">_xlfn.IFERROR(ISNUMBER(SEARCH("Conocer",$R65))/(ISNUMBER(SEARCH("Conocer",$R65))+ISNUMBER(SEARCH("Aplicar",$R65))+ISNUMBER(SEARCH("Razonar",$R65))),0)</f>
        <v>1</v>
      </c>
      <c r="T65" s="121" cm="1">
        <f t="array" ref="T65">_xlfn.IFERROR(ISNUMBER(SEARCH("Aplicar",$R65))/(ISNUMBER(SEARCH("Conocer",$R65))+ISNUMBER(SEARCH("Aplicar",$R65))+ISNUMBER(SEARCH("Razonar",$R65))),0)</f>
        <v>0</v>
      </c>
      <c r="U65" s="121" cm="1">
        <f t="array" ref="U65">_xlfn.IFERROR(ISNUMBER(SEARCH("Razonar",$R65))/(ISNUMBER(SEARCH("Conocer",$R65))+ISNUMBER(SEARCH("Aplicar",$R65))+ISNUMBER(SEARCH("Razonar",$R65))),0)</f>
        <v>0</v>
      </c>
      <c r="V65" t="s" s="35">
        <v>69</v>
      </c>
      <c r="W65" t="s" s="35">
        <v>112</v>
      </c>
      <c r="X65" s="36" cm="1">
        <f t="array" ref="X65">IF(OR(_xlfn.IFERROR(INDEX('Datos - Catálogo TIMSS'!$I$5:$I$107,MATCH(K65,'Datos - Catálogo TIMSS'!$A$5:$A$107,0)),"No")="Sí",_xlfn.IFERROR(INDEX('Datos - Catálogo TIMSS'!$I$5:$I$107,MATCH(L65,'Datos - Catálogo TIMSS'!$A$5:$A$107,0)),"No")="Sí"),1,0)</f>
        <v>0</v>
      </c>
      <c r="Y65" s="36" cm="1">
        <f t="array" ref="Y65">IF(_xlfn.IFERROR(INDEX('Datos - Catálogo TIMSS'!$J$5:$J$107,MATCH(K65,'Datos - Catálogo TIMSS'!$A$5:$A$107,0)),"No")="Sí",1,0)</f>
        <v>0</v>
      </c>
      <c r="Z65" s="36" cm="1">
        <f t="array" ref="Z65">IF(_xlfn.IFERROR(INDEX('Datos - Catálogo TIMSS'!$J$5:$J$107,MATCH(L65,'Datos - Catálogo TIMSS'!$A$5:$A$107,0)),"No")="Sí",1,0)</f>
        <v>0</v>
      </c>
      <c r="AA65" t="s" s="35">
        <v>1832</v>
      </c>
      <c r="AB65" s="39"/>
      <c r="AC65" t="str" s="39">
        <v>Fuera del marco</v>
      </c>
      <c r="AD65" t="s" s="35">
        <v>1859</v>
      </c>
      <c r="AE65" t="str" s="39" cm="1">
        <f t="array" ref="AE65">IF(AD65="","",IF(LEFT(AD65,1)="1","C1",IF(LEFT(AD65,1)="2","C2",IF(LEFT(AD65,1)="3","C3",""))))</f>
        <v>C1</v>
      </c>
      <c r="AF65" t="s" s="35">
        <v>1602</v>
      </c>
      <c r="AG65" t="s" s="35">
        <v>1617</v>
      </c>
      <c r="AH65" t="s" s="35">
        <v>1602</v>
      </c>
      <c r="AI65" t="s" s="35">
        <v>1627</v>
      </c>
      <c r="AJ65" t="s" s="35">
        <v>1625</v>
      </c>
      <c r="AK65" s="39"/>
      <c r="AL65" s="39"/>
      <c r="AM65" s="39"/>
      <c r="AN65" s="39"/>
      <c r="AO65" s="39"/>
      <c r="AP65" s="39"/>
      <c r="AQ65" s="39"/>
      <c r="AR65" s="39"/>
      <c r="AS65" s="39"/>
      <c r="AT65" s="39"/>
      <c r="AU65" s="39"/>
      <c r="AV65" s="39"/>
      <c r="AW65" t="str" s="39" cm="1">
        <f t="array" ref="AW65">AF65&amp;"; "&amp;AG65&amp;"; "&amp;AH65&amp;"; "&amp;AI65&amp;"; "&amp;AJ65</f>
        <v>E1; D1; E1; I2; I1</v>
      </c>
    </row>
    <row r="66" ht="13.65" customHeight="1">
      <c r="A66" t="s" s="35">
        <v>2178</v>
      </c>
      <c r="B66" s="36">
        <v>2</v>
      </c>
      <c r="C66" t="s" s="35">
        <v>1823</v>
      </c>
      <c r="D66" t="s" s="35">
        <v>1824</v>
      </c>
      <c r="E66" t="s" s="35">
        <v>2162</v>
      </c>
      <c r="F66" s="36">
        <v>6</v>
      </c>
      <c r="G66" t="s" s="35">
        <v>279</v>
      </c>
      <c r="H66" t="s" s="35">
        <v>2173</v>
      </c>
      <c r="I66" t="s" s="120">
        <v>2179</v>
      </c>
      <c r="J66" t="s" s="35">
        <v>1055</v>
      </c>
      <c r="K66" t="s" s="35">
        <v>1832</v>
      </c>
      <c r="L66" s="39"/>
      <c r="M66" t="str" s="39">
        <v>Fuera del marco</v>
      </c>
      <c r="N66" t="str" s="39">
        <v>Fuera del marco</v>
      </c>
      <c r="O66" t="str" s="39" cm="1">
        <f t="array" ref="O66">IF(L66="","",_xlfn.IFERROR(INDEX('Datos - Catálogo TIMSS'!$C$5:$C$107,MATCH(L66,'Datos - Catálogo TIMSS'!$A$5:$A$107,0)),"?"))</f>
      </c>
      <c r="P66" t="s" s="35">
        <v>282</v>
      </c>
      <c r="Q66" t="s" s="120">
        <v>2180</v>
      </c>
      <c r="R66" t="s" s="120">
        <v>1847</v>
      </c>
      <c r="S66" s="121" cm="1">
        <f t="array" ref="S66">_xlfn.IFERROR(ISNUMBER(SEARCH("Conocer",$R66))/(ISNUMBER(SEARCH("Conocer",$R66))+ISNUMBER(SEARCH("Aplicar",$R66))+ISNUMBER(SEARCH("Razonar",$R66))),0)</f>
        <v>0</v>
      </c>
      <c r="T66" s="121" cm="1">
        <f t="array" ref="T66">_xlfn.IFERROR(ISNUMBER(SEARCH("Aplicar",$R66))/(ISNUMBER(SEARCH("Conocer",$R66))+ISNUMBER(SEARCH("Aplicar",$R66))+ISNUMBER(SEARCH("Razonar",$R66))),0)</f>
        <v>1</v>
      </c>
      <c r="U66" s="121" cm="1">
        <f t="array" ref="U66">_xlfn.IFERROR(ISNUMBER(SEARCH("Razonar",$R66))/(ISNUMBER(SEARCH("Conocer",$R66))+ISNUMBER(SEARCH("Aplicar",$R66))+ISNUMBER(SEARCH("Razonar",$R66))),0)</f>
        <v>0</v>
      </c>
      <c r="V66" t="s" s="35">
        <v>69</v>
      </c>
      <c r="W66" t="s" s="35">
        <v>112</v>
      </c>
      <c r="X66" s="36" cm="1">
        <f t="array" ref="X66">IF(OR(_xlfn.IFERROR(INDEX('Datos - Catálogo TIMSS'!$I$5:$I$107,MATCH(K66,'Datos - Catálogo TIMSS'!$A$5:$A$107,0)),"No")="Sí",_xlfn.IFERROR(INDEX('Datos - Catálogo TIMSS'!$I$5:$I$107,MATCH(L66,'Datos - Catálogo TIMSS'!$A$5:$A$107,0)),"No")="Sí"),1,0)</f>
        <v>0</v>
      </c>
      <c r="Y66" s="36" cm="1">
        <f t="array" ref="Y66">IF(_xlfn.IFERROR(INDEX('Datos - Catálogo TIMSS'!$J$5:$J$107,MATCH(K66,'Datos - Catálogo TIMSS'!$A$5:$A$107,0)),"No")="Sí",1,0)</f>
        <v>0</v>
      </c>
      <c r="Z66" s="36" cm="1">
        <f t="array" ref="Z66">IF(_xlfn.IFERROR(INDEX('Datos - Catálogo TIMSS'!$J$5:$J$107,MATCH(L66,'Datos - Catálogo TIMSS'!$A$5:$A$107,0)),"No")="Sí",1,0)</f>
        <v>0</v>
      </c>
      <c r="AA66" t="s" s="35">
        <v>1832</v>
      </c>
      <c r="AB66" s="39"/>
      <c r="AC66" t="str" s="39">
        <v>Fuera del marco</v>
      </c>
      <c r="AD66" t="s" s="35">
        <v>1834</v>
      </c>
      <c r="AE66" t="str" s="39" cm="1">
        <f t="array" ref="AE66">IF(AD66="","",IF(LEFT(AD66,1)="1","C1",IF(LEFT(AD66,1)="2","C2",IF(LEFT(AD66,1)="3","C3",""))))</f>
        <v>C2</v>
      </c>
      <c r="AF66" t="s" s="35">
        <v>1602</v>
      </c>
      <c r="AG66" t="s" s="35">
        <v>1617</v>
      </c>
      <c r="AH66" t="s" s="35">
        <v>1602</v>
      </c>
      <c r="AI66" t="s" s="35">
        <v>1623</v>
      </c>
      <c r="AJ66" t="s" s="35">
        <v>1602</v>
      </c>
      <c r="AK66" s="39"/>
      <c r="AL66" s="39"/>
      <c r="AM66" s="39"/>
      <c r="AN66" s="39"/>
      <c r="AO66" s="39"/>
      <c r="AP66" s="39"/>
      <c r="AQ66" s="39"/>
      <c r="AR66" s="39"/>
      <c r="AS66" s="39"/>
      <c r="AT66" s="39"/>
      <c r="AU66" s="39"/>
      <c r="AV66" s="39"/>
      <c r="AW66" t="str" s="39" cm="1">
        <f t="array" ref="AW66">AF66&amp;"; "&amp;AG66&amp;"; "&amp;AH66&amp;"; "&amp;AI66&amp;"; "&amp;AJ66</f>
        <v>E1; D1; E1; D4; E1</v>
      </c>
    </row>
    <row r="67" ht="13.65" customHeight="1">
      <c r="A67" t="s" s="35">
        <v>2181</v>
      </c>
      <c r="B67" s="36">
        <v>2</v>
      </c>
      <c r="C67" t="s" s="35">
        <v>1823</v>
      </c>
      <c r="D67" t="s" s="35">
        <v>1824</v>
      </c>
      <c r="E67" t="s" s="35">
        <v>2162</v>
      </c>
      <c r="F67" s="36">
        <v>7</v>
      </c>
      <c r="G67" t="s" s="35">
        <v>279</v>
      </c>
      <c r="H67" t="s" s="35">
        <v>2173</v>
      </c>
      <c r="I67" t="s" s="120">
        <v>2182</v>
      </c>
      <c r="J67" t="s" s="35">
        <v>1055</v>
      </c>
      <c r="K67" t="s" s="35">
        <v>1832</v>
      </c>
      <c r="L67" s="39"/>
      <c r="M67" t="str" s="39">
        <v>Fuera del marco</v>
      </c>
      <c r="N67" t="str" s="39">
        <v>Fuera del marco</v>
      </c>
      <c r="O67" t="str" s="39" cm="1">
        <f t="array" ref="O67">IF(L67="","",_xlfn.IFERROR(INDEX('Datos - Catálogo TIMSS'!$C$5:$C$107,MATCH(L67,'Datos - Catálogo TIMSS'!$A$5:$A$107,0)),"?"))</f>
      </c>
      <c r="P67" t="s" s="35">
        <v>254</v>
      </c>
      <c r="Q67" t="s" s="120">
        <v>2183</v>
      </c>
      <c r="R67" t="s" s="120">
        <v>2184</v>
      </c>
      <c r="S67" s="121" cm="1">
        <f t="array" ref="S67">_xlfn.IFERROR(ISNUMBER(SEARCH("Conocer",$R67))/(ISNUMBER(SEARCH("Conocer",$R67))+ISNUMBER(SEARCH("Aplicar",$R67))+ISNUMBER(SEARCH("Razonar",$R67))),0)</f>
        <v>0</v>
      </c>
      <c r="T67" s="121" cm="1">
        <f t="array" ref="T67">_xlfn.IFERROR(ISNUMBER(SEARCH("Aplicar",$R67))/(ISNUMBER(SEARCH("Conocer",$R67))+ISNUMBER(SEARCH("Aplicar",$R67))+ISNUMBER(SEARCH("Razonar",$R67))),0)</f>
        <v>0.5</v>
      </c>
      <c r="U67" s="121" cm="1">
        <f t="array" ref="U67">_xlfn.IFERROR(ISNUMBER(SEARCH("Razonar",$R67))/(ISNUMBER(SEARCH("Conocer",$R67))+ISNUMBER(SEARCH("Aplicar",$R67))+ISNUMBER(SEARCH("Razonar",$R67))),0)</f>
        <v>0.5</v>
      </c>
      <c r="V67" t="s" s="35">
        <v>69</v>
      </c>
      <c r="W67" t="s" s="35">
        <v>112</v>
      </c>
      <c r="X67" s="36" cm="1">
        <f t="array" ref="X67">IF(OR(_xlfn.IFERROR(INDEX('Datos - Catálogo TIMSS'!$I$5:$I$107,MATCH(K67,'Datos - Catálogo TIMSS'!$A$5:$A$107,0)),"No")="Sí",_xlfn.IFERROR(INDEX('Datos - Catálogo TIMSS'!$I$5:$I$107,MATCH(L67,'Datos - Catálogo TIMSS'!$A$5:$A$107,0)),"No")="Sí"),1,0)</f>
        <v>0</v>
      </c>
      <c r="Y67" s="36" cm="1">
        <f t="array" ref="Y67">IF(_xlfn.IFERROR(INDEX('Datos - Catálogo TIMSS'!$J$5:$J$107,MATCH(K67,'Datos - Catálogo TIMSS'!$A$5:$A$107,0)),"No")="Sí",1,0)</f>
        <v>0</v>
      </c>
      <c r="Z67" s="36" cm="1">
        <f t="array" ref="Z67">IF(_xlfn.IFERROR(INDEX('Datos - Catálogo TIMSS'!$J$5:$J$107,MATCH(L67,'Datos - Catálogo TIMSS'!$A$5:$A$107,0)),"No")="Sí",1,0)</f>
        <v>0</v>
      </c>
      <c r="AA67" t="s" s="35">
        <v>1832</v>
      </c>
      <c r="AB67" s="39"/>
      <c r="AC67" t="str" s="39">
        <v>Fuera del marco</v>
      </c>
      <c r="AD67" t="s" s="35">
        <v>1900</v>
      </c>
      <c r="AE67" t="str" s="39" cm="1">
        <f t="array" ref="AE67">IF(AD67="","",IF(LEFT(AD67,1)="1","C1",IF(LEFT(AD67,1)="2","C2",IF(LEFT(AD67,1)="3","C3",""))))</f>
        <v>C3</v>
      </c>
      <c r="AF67" t="s" s="35">
        <v>1602</v>
      </c>
      <c r="AG67" t="s" s="35">
        <v>1617</v>
      </c>
      <c r="AH67" t="s" s="35">
        <v>1609</v>
      </c>
      <c r="AI67" t="s" s="35">
        <v>1621</v>
      </c>
      <c r="AJ67" t="s" s="35">
        <v>1633</v>
      </c>
      <c r="AK67" s="39"/>
      <c r="AL67" s="39"/>
      <c r="AM67" s="39"/>
      <c r="AN67" s="39"/>
      <c r="AO67" s="39"/>
      <c r="AP67" s="39"/>
      <c r="AQ67" s="39"/>
      <c r="AR67" s="39"/>
      <c r="AS67" s="39"/>
      <c r="AT67" s="39"/>
      <c r="AU67" s="39"/>
      <c r="AV67" s="39"/>
      <c r="AW67" t="str" s="39" cm="1">
        <f t="array" ref="AW67">AF67&amp;"; "&amp;AG67&amp;"; "&amp;AH67&amp;"; "&amp;AI67&amp;"; "&amp;AJ67</f>
        <v>E1; D1; E4; D3; I5</v>
      </c>
    </row>
    <row r="68" ht="13.65" customHeight="1">
      <c r="A68" t="s" s="35">
        <v>2186</v>
      </c>
      <c r="B68" s="36">
        <v>2</v>
      </c>
      <c r="C68" t="s" s="35">
        <v>1823</v>
      </c>
      <c r="D68" t="s" s="35">
        <v>1824</v>
      </c>
      <c r="E68" t="s" s="35">
        <v>2162</v>
      </c>
      <c r="F68" s="36">
        <v>8</v>
      </c>
      <c r="G68" t="s" s="35">
        <v>279</v>
      </c>
      <c r="H68" t="s" s="35">
        <v>2187</v>
      </c>
      <c r="I68" t="s" s="120">
        <v>2188</v>
      </c>
      <c r="J68" t="s" s="35">
        <v>1055</v>
      </c>
      <c r="K68" t="s" s="35">
        <v>1090</v>
      </c>
      <c r="L68" s="39"/>
      <c r="M68" t="str" s="39">
        <v>Biología</v>
      </c>
      <c r="N68" t="str" s="39">
        <v>Ecosistemas</v>
      </c>
      <c r="O68" t="str" s="39" cm="1">
        <f t="array" ref="O68">IF(L68="","",_xlfn.IFERROR(INDEX('Datos - Catálogo TIMSS'!$C$5:$C$107,MATCH(L68,'Datos - Catálogo TIMSS'!$A$5:$A$107,0)),"?"))</f>
      </c>
      <c r="P68" t="s" s="35">
        <v>254</v>
      </c>
      <c r="Q68" t="s" s="120">
        <v>2189</v>
      </c>
      <c r="R68" t="s" s="120">
        <v>2066</v>
      </c>
      <c r="S68" s="121" cm="1">
        <f t="array" ref="S68">_xlfn.IFERROR(ISNUMBER(SEARCH("Conocer",$R68))/(ISNUMBER(SEARCH("Conocer",$R68))+ISNUMBER(SEARCH("Aplicar",$R68))+ISNUMBER(SEARCH("Razonar",$R68))),0)</f>
        <v>0</v>
      </c>
      <c r="T68" s="121" cm="1">
        <f t="array" ref="T68">_xlfn.IFERROR(ISNUMBER(SEARCH("Aplicar",$R68))/(ISNUMBER(SEARCH("Conocer",$R68))+ISNUMBER(SEARCH("Aplicar",$R68))+ISNUMBER(SEARCH("Razonar",$R68))),0)</f>
        <v>1</v>
      </c>
      <c r="U68" s="121" cm="1">
        <f t="array" ref="U68">_xlfn.IFERROR(ISNUMBER(SEARCH("Razonar",$R68))/(ISNUMBER(SEARCH("Conocer",$R68))+ISNUMBER(SEARCH("Aplicar",$R68))+ISNUMBER(SEARCH("Razonar",$R68))),0)</f>
        <v>0</v>
      </c>
      <c r="V68" t="s" s="35">
        <v>69</v>
      </c>
      <c r="W68" t="s" s="35">
        <v>112</v>
      </c>
      <c r="X68" s="36" cm="1">
        <f t="array" ref="X68">IF(OR(_xlfn.IFERROR(INDEX('Datos - Catálogo TIMSS'!$I$5:$I$107,MATCH(K68,'Datos - Catálogo TIMSS'!$A$5:$A$107,0)),"No")="Sí",_xlfn.IFERROR(INDEX('Datos - Catálogo TIMSS'!$I$5:$I$107,MATCH(L68,'Datos - Catálogo TIMSS'!$A$5:$A$107,0)),"No")="Sí"),1,0)</f>
        <v>1</v>
      </c>
      <c r="Y68" s="36" cm="1">
        <f t="array" ref="Y68">IF(_xlfn.IFERROR(INDEX('Datos - Catálogo TIMSS'!$J$5:$J$107,MATCH(K68,'Datos - Catálogo TIMSS'!$A$5:$A$107,0)),"No")="Sí",1,0)</f>
        <v>0</v>
      </c>
      <c r="Z68" s="36" cm="1">
        <f t="array" ref="Z68">IF(_xlfn.IFERROR(INDEX('Datos - Catálogo TIMSS'!$J$5:$J$107,MATCH(L68,'Datos - Catálogo TIMSS'!$A$5:$A$107,0)),"No")="Sí",1,0)</f>
        <v>0</v>
      </c>
      <c r="AA68" t="s" s="35">
        <v>2104</v>
      </c>
      <c r="AB68" s="39"/>
      <c r="AC68" t="str" s="39">
        <v>Ciencias de la vida</v>
      </c>
      <c r="AD68" t="s" s="35">
        <v>1859</v>
      </c>
      <c r="AE68" t="str" s="39" cm="1">
        <f t="array" ref="AE68">IF(AD68="","",IF(LEFT(AD68,1)="1","C1",IF(LEFT(AD68,1)="2","C2",IF(LEFT(AD68,1)="3","C3",""))))</f>
        <v>C1</v>
      </c>
      <c r="AF68" t="s" s="35">
        <v>1602</v>
      </c>
      <c r="AG68" t="s" s="35">
        <v>1617</v>
      </c>
      <c r="AH68" t="s" s="35">
        <v>1605</v>
      </c>
      <c r="AI68" t="s" s="35">
        <v>1623</v>
      </c>
      <c r="AJ68" t="s" s="35">
        <v>1615</v>
      </c>
      <c r="AK68" s="39"/>
      <c r="AL68" s="39"/>
      <c r="AM68" s="39"/>
      <c r="AN68" s="39"/>
      <c r="AO68" s="39"/>
      <c r="AP68" s="39"/>
      <c r="AQ68" s="39"/>
      <c r="AR68" s="39"/>
      <c r="AS68" s="39"/>
      <c r="AT68" s="39"/>
      <c r="AU68" s="39"/>
      <c r="AV68" s="39"/>
      <c r="AW68" t="str" s="39" cm="1">
        <f t="array" ref="AW68">AF68&amp;"; "&amp;AG68&amp;"; "&amp;AH68&amp;"; "&amp;AI68&amp;"; "&amp;AJ68</f>
        <v>E1; D1; E2; D4; E6</v>
      </c>
    </row>
    <row r="69" ht="13.65" customHeight="1">
      <c r="A69" t="s" s="35">
        <v>2190</v>
      </c>
      <c r="B69" s="36">
        <v>2</v>
      </c>
      <c r="C69" t="s" s="35">
        <v>1823</v>
      </c>
      <c r="D69" t="s" s="35">
        <v>1824</v>
      </c>
      <c r="E69" t="s" s="35">
        <v>2162</v>
      </c>
      <c r="F69" s="36">
        <v>9</v>
      </c>
      <c r="G69" t="s" s="35">
        <v>279</v>
      </c>
      <c r="H69" t="s" s="35">
        <v>2187</v>
      </c>
      <c r="I69" t="s" s="120">
        <v>2191</v>
      </c>
      <c r="J69" t="s" s="35">
        <v>1055</v>
      </c>
      <c r="K69" t="s" s="35">
        <v>1148</v>
      </c>
      <c r="L69" t="s" s="35">
        <v>1090</v>
      </c>
      <c r="M69" t="str" s="39">
        <v>Ciencias de la Tierra</v>
      </c>
      <c r="N69" t="str" s="39">
        <v>Recursos de la Tierra, uso y conservación</v>
      </c>
      <c r="O69" t="str" s="39" cm="1">
        <f t="array" ref="O69">IF(L69="","",_xlfn.IFERROR(INDEX('Datos - Catálogo TIMSS'!$C$5:$C$107,MATCH(L69,'Datos - Catálogo TIMSS'!$A$5:$A$107,0)),"?"))</f>
        <v>Biología</v>
      </c>
      <c r="P69" t="s" s="35">
        <v>282</v>
      </c>
      <c r="Q69" t="s" s="120">
        <v>2192</v>
      </c>
      <c r="R69" t="s" s="120">
        <v>1878</v>
      </c>
      <c r="S69" s="121" cm="1">
        <f t="array" ref="S69">_xlfn.IFERROR(ISNUMBER(SEARCH("Conocer",$R69))/(ISNUMBER(SEARCH("Conocer",$R69))+ISNUMBER(SEARCH("Aplicar",$R69))+ISNUMBER(SEARCH("Razonar",$R69))),0)</f>
        <v>0</v>
      </c>
      <c r="T69" s="121" cm="1">
        <f t="array" ref="T69">_xlfn.IFERROR(ISNUMBER(SEARCH("Aplicar",$R69))/(ISNUMBER(SEARCH("Conocer",$R69))+ISNUMBER(SEARCH("Aplicar",$R69))+ISNUMBER(SEARCH("Razonar",$R69))),0)</f>
        <v>1</v>
      </c>
      <c r="U69" s="121" cm="1">
        <f t="array" ref="U69">_xlfn.IFERROR(ISNUMBER(SEARCH("Razonar",$R69))/(ISNUMBER(SEARCH("Conocer",$R69))+ISNUMBER(SEARCH("Aplicar",$R69))+ISNUMBER(SEARCH("Razonar",$R69))),0)</f>
        <v>0</v>
      </c>
      <c r="V69" t="s" s="35">
        <v>69</v>
      </c>
      <c r="W69" t="s" s="35">
        <v>112</v>
      </c>
      <c r="X69" s="36" cm="1">
        <f t="array" ref="X69">IF(OR(_xlfn.IFERROR(INDEX('Datos - Catálogo TIMSS'!$I$5:$I$107,MATCH(K69,'Datos - Catálogo TIMSS'!$A$5:$A$107,0)),"No")="Sí",_xlfn.IFERROR(INDEX('Datos - Catálogo TIMSS'!$I$5:$I$107,MATCH(L69,'Datos - Catálogo TIMSS'!$A$5:$A$107,0)),"No")="Sí"),1,0)</f>
        <v>1</v>
      </c>
      <c r="Y69" s="36" cm="1">
        <f t="array" ref="Y69">IF(_xlfn.IFERROR(INDEX('Datos - Catálogo TIMSS'!$J$5:$J$107,MATCH(K69,'Datos - Catálogo TIMSS'!$A$5:$A$107,0)),"No")="Sí",1,0)</f>
        <v>0</v>
      </c>
      <c r="Z69" s="36" cm="1">
        <f t="array" ref="Z69">IF(_xlfn.IFERROR(INDEX('Datos - Catálogo TIMSS'!$J$5:$J$107,MATCH(L69,'Datos - Catálogo TIMSS'!$A$5:$A$107,0)),"No")="Sí",1,0)</f>
        <v>0</v>
      </c>
      <c r="AA69" t="s" s="35">
        <v>1899</v>
      </c>
      <c r="AB69" t="s" s="35">
        <v>2104</v>
      </c>
      <c r="AC69" t="str" s="39">
        <v>Ciencias de la Tierra</v>
      </c>
      <c r="AD69" t="s" s="35">
        <v>1900</v>
      </c>
      <c r="AE69" t="str" s="39" cm="1">
        <f t="array" ref="AE69">IF(AD69="","",IF(LEFT(AD69,1)="1","C1",IF(LEFT(AD69,1)="2","C2",IF(LEFT(AD69,1)="3","C3",""))))</f>
        <v>C3</v>
      </c>
      <c r="AF69" t="s" s="35">
        <v>1602</v>
      </c>
      <c r="AG69" t="s" s="35">
        <v>1617</v>
      </c>
      <c r="AH69" t="s" s="35">
        <v>1605</v>
      </c>
      <c r="AI69" t="s" s="35">
        <v>1629</v>
      </c>
      <c r="AJ69" t="s" s="35">
        <v>1633</v>
      </c>
      <c r="AK69" s="39"/>
      <c r="AL69" s="39"/>
      <c r="AM69" s="39"/>
      <c r="AN69" s="39"/>
      <c r="AO69" s="39"/>
      <c r="AP69" s="39"/>
      <c r="AQ69" s="39"/>
      <c r="AR69" s="39"/>
      <c r="AS69" s="39"/>
      <c r="AT69" s="39"/>
      <c r="AU69" s="39"/>
      <c r="AV69" s="39"/>
      <c r="AW69" t="str" s="39" cm="1">
        <f t="array" ref="AW69">AF69&amp;"; "&amp;AG69&amp;"; "&amp;AH69&amp;"; "&amp;AI69&amp;"; "&amp;AJ69</f>
        <v>E1; D1; E2; I3; I5</v>
      </c>
    </row>
    <row r="70" ht="13.65" customHeight="1">
      <c r="A70" t="s" s="35">
        <v>2194</v>
      </c>
      <c r="B70" s="36">
        <v>2</v>
      </c>
      <c r="C70" t="s" s="35">
        <v>1823</v>
      </c>
      <c r="D70" t="s" s="35">
        <v>1824</v>
      </c>
      <c r="E70" t="s" s="35">
        <v>2162</v>
      </c>
      <c r="F70" s="36">
        <v>10</v>
      </c>
      <c r="G70" t="s" s="35">
        <v>279</v>
      </c>
      <c r="H70" t="s" s="35">
        <v>2187</v>
      </c>
      <c r="I70" t="s" s="120">
        <v>2195</v>
      </c>
      <c r="J70" t="s" s="35">
        <v>1055</v>
      </c>
      <c r="K70" t="s" s="35">
        <v>1090</v>
      </c>
      <c r="L70" t="s" s="35">
        <v>1148</v>
      </c>
      <c r="M70" t="str" s="39">
        <v>Biología</v>
      </c>
      <c r="N70" t="str" s="39">
        <v>Ecosistemas</v>
      </c>
      <c r="O70" t="str" s="39" cm="1">
        <f t="array" ref="O70">IF(L70="","",_xlfn.IFERROR(INDEX('Datos - Catálogo TIMSS'!$C$5:$C$107,MATCH(L70,'Datos - Catálogo TIMSS'!$A$5:$A$107,0)),"?"))</f>
        <v>Ciencias de la Tierra</v>
      </c>
      <c r="P70" t="s" s="35">
        <v>282</v>
      </c>
      <c r="Q70" t="s" s="120">
        <v>2196</v>
      </c>
      <c r="R70" t="s" s="120">
        <v>2197</v>
      </c>
      <c r="S70" s="121" cm="1">
        <f t="array" ref="S70">_xlfn.IFERROR(ISNUMBER(SEARCH("Conocer",$R70))/(ISNUMBER(SEARCH("Conocer",$R70))+ISNUMBER(SEARCH("Aplicar",$R70))+ISNUMBER(SEARCH("Razonar",$R70))),0)</f>
        <v>0</v>
      </c>
      <c r="T70" s="121" cm="1">
        <f t="array" ref="T70">_xlfn.IFERROR(ISNUMBER(SEARCH("Aplicar",$R70))/(ISNUMBER(SEARCH("Conocer",$R70))+ISNUMBER(SEARCH("Aplicar",$R70))+ISNUMBER(SEARCH("Razonar",$R70))),0)</f>
        <v>0</v>
      </c>
      <c r="U70" s="121" cm="1">
        <f t="array" ref="U70">_xlfn.IFERROR(ISNUMBER(SEARCH("Razonar",$R70))/(ISNUMBER(SEARCH("Conocer",$R70))+ISNUMBER(SEARCH("Aplicar",$R70))+ISNUMBER(SEARCH("Razonar",$R70))),0)</f>
        <v>1</v>
      </c>
      <c r="V70" t="s" s="35">
        <v>69</v>
      </c>
      <c r="W70" t="s" s="35">
        <v>112</v>
      </c>
      <c r="X70" s="36" cm="1">
        <f t="array" ref="X70">IF(OR(_xlfn.IFERROR(INDEX('Datos - Catálogo TIMSS'!$I$5:$I$107,MATCH(K70,'Datos - Catálogo TIMSS'!$A$5:$A$107,0)),"No")="Sí",_xlfn.IFERROR(INDEX('Datos - Catálogo TIMSS'!$I$5:$I$107,MATCH(L70,'Datos - Catálogo TIMSS'!$A$5:$A$107,0)),"No")="Sí"),1,0)</f>
        <v>1</v>
      </c>
      <c r="Y70" s="36" cm="1">
        <f t="array" ref="Y70">IF(_xlfn.IFERROR(INDEX('Datos - Catálogo TIMSS'!$J$5:$J$107,MATCH(K70,'Datos - Catálogo TIMSS'!$A$5:$A$107,0)),"No")="Sí",1,0)</f>
        <v>0</v>
      </c>
      <c r="Z70" s="36" cm="1">
        <f t="array" ref="Z70">IF(_xlfn.IFERROR(INDEX('Datos - Catálogo TIMSS'!$J$5:$J$107,MATCH(L70,'Datos - Catálogo TIMSS'!$A$5:$A$107,0)),"No")="Sí",1,0)</f>
        <v>0</v>
      </c>
      <c r="AA70" t="s" s="35">
        <v>2104</v>
      </c>
      <c r="AB70" t="s" s="35">
        <v>1899</v>
      </c>
      <c r="AC70" t="str" s="39">
        <v>Ciencias de la vida</v>
      </c>
      <c r="AD70" t="s" s="35">
        <v>1834</v>
      </c>
      <c r="AE70" t="str" s="39" cm="1">
        <f t="array" ref="AE70">IF(AD70="","",IF(LEFT(AD70,1)="1","C1",IF(LEFT(AD70,1)="2","C2",IF(LEFT(AD70,1)="3","C3",""))))</f>
        <v>C2</v>
      </c>
      <c r="AF70" t="s" s="35">
        <v>1615</v>
      </c>
      <c r="AG70" t="s" s="35">
        <v>1607</v>
      </c>
      <c r="AH70" t="s" s="35">
        <v>1602</v>
      </c>
      <c r="AI70" t="s" s="35">
        <v>1623</v>
      </c>
      <c r="AJ70" t="s" s="35">
        <v>1633</v>
      </c>
      <c r="AK70" s="39"/>
      <c r="AL70" s="39"/>
      <c r="AM70" s="39"/>
      <c r="AN70" s="39"/>
      <c r="AO70" s="39"/>
      <c r="AP70" s="39"/>
      <c r="AQ70" s="39"/>
      <c r="AR70" s="39"/>
      <c r="AS70" s="39"/>
      <c r="AT70" s="39"/>
      <c r="AU70" s="39"/>
      <c r="AV70" s="39"/>
      <c r="AW70" t="str" s="39" cm="1">
        <f t="array" ref="AW70">AF70&amp;"; "&amp;AG70&amp;"; "&amp;AH70&amp;"; "&amp;AI70&amp;"; "&amp;AJ70</f>
        <v>E6; E3; E1; D4; I5</v>
      </c>
    </row>
    <row r="71" ht="13.65" customHeight="1">
      <c r="A71" t="s" s="35">
        <v>2199</v>
      </c>
      <c r="B71" s="36">
        <v>2</v>
      </c>
      <c r="C71" t="s" s="35">
        <v>1823</v>
      </c>
      <c r="D71" t="s" s="35">
        <v>1824</v>
      </c>
      <c r="E71" t="s" s="35">
        <v>2162</v>
      </c>
      <c r="F71" s="36">
        <v>11</v>
      </c>
      <c r="G71" t="s" s="35">
        <v>279</v>
      </c>
      <c r="H71" t="s" s="35">
        <v>2200</v>
      </c>
      <c r="I71" t="s" s="120">
        <v>2201</v>
      </c>
      <c r="J71" t="s" s="35">
        <v>1055</v>
      </c>
      <c r="K71" t="s" s="35">
        <v>1093</v>
      </c>
      <c r="L71" s="39"/>
      <c r="M71" t="str" s="39">
        <v>Biología</v>
      </c>
      <c r="N71" t="str" s="39">
        <v>Salud humana</v>
      </c>
      <c r="O71" t="str" s="39" cm="1">
        <f t="array" ref="O71">IF(L71="","",_xlfn.IFERROR(INDEX('Datos - Catálogo TIMSS'!$C$5:$C$107,MATCH(L71,'Datos - Catálogo TIMSS'!$A$5:$A$107,0)),"?"))</f>
      </c>
      <c r="P71" t="s" s="35">
        <v>254</v>
      </c>
      <c r="Q71" t="s" s="120">
        <v>2203</v>
      </c>
      <c r="R71" t="s" s="120">
        <v>1878</v>
      </c>
      <c r="S71" s="121" cm="1">
        <f t="array" ref="S71">_xlfn.IFERROR(ISNUMBER(SEARCH("Conocer",$R71))/(ISNUMBER(SEARCH("Conocer",$R71))+ISNUMBER(SEARCH("Aplicar",$R71))+ISNUMBER(SEARCH("Razonar",$R71))),0)</f>
        <v>0</v>
      </c>
      <c r="T71" s="121" cm="1">
        <f t="array" ref="T71">_xlfn.IFERROR(ISNUMBER(SEARCH("Aplicar",$R71))/(ISNUMBER(SEARCH("Conocer",$R71))+ISNUMBER(SEARCH("Aplicar",$R71))+ISNUMBER(SEARCH("Razonar",$R71))),0)</f>
        <v>1</v>
      </c>
      <c r="U71" s="121" cm="1">
        <f t="array" ref="U71">_xlfn.IFERROR(ISNUMBER(SEARCH("Razonar",$R71))/(ISNUMBER(SEARCH("Conocer",$R71))+ISNUMBER(SEARCH("Aplicar",$R71))+ISNUMBER(SEARCH("Razonar",$R71))),0)</f>
        <v>0</v>
      </c>
      <c r="V71" t="s" s="35">
        <v>69</v>
      </c>
      <c r="W71" t="s" s="35">
        <v>112</v>
      </c>
      <c r="X71" s="36" cm="1">
        <f t="array" ref="X71">IF(OR(_xlfn.IFERROR(INDEX('Datos - Catálogo TIMSS'!$I$5:$I$107,MATCH(K71,'Datos - Catálogo TIMSS'!$A$5:$A$107,0)),"No")="Sí",_xlfn.IFERROR(INDEX('Datos - Catálogo TIMSS'!$I$5:$I$107,MATCH(L71,'Datos - Catálogo TIMSS'!$A$5:$A$107,0)),"No")="Sí"),1,0)</f>
        <v>0</v>
      </c>
      <c r="Y71" s="36" cm="1">
        <f t="array" ref="Y71">IF(_xlfn.IFERROR(INDEX('Datos - Catálogo TIMSS'!$J$5:$J$107,MATCH(K71,'Datos - Catálogo TIMSS'!$A$5:$A$107,0)),"No")="Sí",1,0)</f>
        <v>0</v>
      </c>
      <c r="Z71" s="36" cm="1">
        <f t="array" ref="Z71">IF(_xlfn.IFERROR(INDEX('Datos - Catálogo TIMSS'!$J$5:$J$107,MATCH(L71,'Datos - Catálogo TIMSS'!$A$5:$A$107,0)),"No")="Sí",1,0)</f>
        <v>0</v>
      </c>
      <c r="AA71" t="s" s="35">
        <v>2110</v>
      </c>
      <c r="AB71" s="39"/>
      <c r="AC71" t="str" s="39">
        <v>Ciencias de la vida</v>
      </c>
      <c r="AD71" t="s" s="35">
        <v>1859</v>
      </c>
      <c r="AE71" t="str" s="39" cm="1">
        <f t="array" ref="AE71">IF(AD71="","",IF(LEFT(AD71,1)="1","C1",IF(LEFT(AD71,1)="2","C2",IF(LEFT(AD71,1)="3","C3",""))))</f>
        <v>C1</v>
      </c>
      <c r="AF71" t="s" s="35">
        <v>1602</v>
      </c>
      <c r="AG71" t="s" s="35">
        <v>1612</v>
      </c>
      <c r="AH71" t="s" s="35">
        <v>1609</v>
      </c>
      <c r="AI71" t="s" s="35">
        <v>1623</v>
      </c>
      <c r="AJ71" t="s" s="35">
        <v>1633</v>
      </c>
      <c r="AK71" s="39"/>
      <c r="AL71" s="39"/>
      <c r="AM71" s="39"/>
      <c r="AN71" s="39"/>
      <c r="AO71" s="39"/>
      <c r="AP71" s="39"/>
      <c r="AQ71" s="39"/>
      <c r="AR71" s="39"/>
      <c r="AS71" s="39"/>
      <c r="AT71" s="39"/>
      <c r="AU71" s="39"/>
      <c r="AV71" s="39"/>
      <c r="AW71" t="str" s="39" cm="1">
        <f t="array" ref="AW71">AF71&amp;"; "&amp;AG71&amp;"; "&amp;AH71&amp;"; "&amp;AI71&amp;"; "&amp;AJ71</f>
        <v>E1; E5; E4; D4; I5</v>
      </c>
    </row>
    <row r="72" ht="13.65" customHeight="1">
      <c r="A72" t="s" s="35">
        <v>2205</v>
      </c>
      <c r="B72" s="36">
        <v>2</v>
      </c>
      <c r="C72" t="s" s="35">
        <v>1823</v>
      </c>
      <c r="D72" t="s" s="35">
        <v>1824</v>
      </c>
      <c r="E72" t="s" s="35">
        <v>2162</v>
      </c>
      <c r="F72" s="36">
        <v>12</v>
      </c>
      <c r="G72" t="s" s="35">
        <v>279</v>
      </c>
      <c r="H72" t="s" s="35">
        <v>2200</v>
      </c>
      <c r="I72" t="s" s="120">
        <v>2206</v>
      </c>
      <c r="J72" t="s" s="35">
        <v>1055</v>
      </c>
      <c r="K72" t="s" s="35">
        <v>1093</v>
      </c>
      <c r="L72" s="39"/>
      <c r="M72" t="str" s="39">
        <v>Biología</v>
      </c>
      <c r="N72" t="str" s="39">
        <v>Salud humana</v>
      </c>
      <c r="O72" t="str" s="39" cm="1">
        <f t="array" ref="O72">IF(L72="","",_xlfn.IFERROR(INDEX('Datos - Catálogo TIMSS'!$C$5:$C$107,MATCH(L72,'Datos - Catálogo TIMSS'!$A$5:$A$107,0)),"?"))</f>
      </c>
      <c r="P72" t="s" s="35">
        <v>254</v>
      </c>
      <c r="Q72" t="s" s="120">
        <v>2207</v>
      </c>
      <c r="R72" t="s" s="120">
        <v>2176</v>
      </c>
      <c r="S72" s="121" cm="1">
        <f t="array" ref="S72">_xlfn.IFERROR(ISNUMBER(SEARCH("Conocer",$R72))/(ISNUMBER(SEARCH("Conocer",$R72))+ISNUMBER(SEARCH("Aplicar",$R72))+ISNUMBER(SEARCH("Razonar",$R72))),0)</f>
        <v>1</v>
      </c>
      <c r="T72" s="121" cm="1">
        <f t="array" ref="T72">_xlfn.IFERROR(ISNUMBER(SEARCH("Aplicar",$R72))/(ISNUMBER(SEARCH("Conocer",$R72))+ISNUMBER(SEARCH("Aplicar",$R72))+ISNUMBER(SEARCH("Razonar",$R72))),0)</f>
        <v>0</v>
      </c>
      <c r="U72" s="121" cm="1">
        <f t="array" ref="U72">_xlfn.IFERROR(ISNUMBER(SEARCH("Razonar",$R72))/(ISNUMBER(SEARCH("Conocer",$R72))+ISNUMBER(SEARCH("Aplicar",$R72))+ISNUMBER(SEARCH("Razonar",$R72))),0)</f>
        <v>0</v>
      </c>
      <c r="V72" t="s" s="35">
        <v>69</v>
      </c>
      <c r="W72" t="s" s="35">
        <v>112</v>
      </c>
      <c r="X72" s="36" cm="1">
        <f t="array" ref="X72">IF(OR(_xlfn.IFERROR(INDEX('Datos - Catálogo TIMSS'!$I$5:$I$107,MATCH(K72,'Datos - Catálogo TIMSS'!$A$5:$A$107,0)),"No")="Sí",_xlfn.IFERROR(INDEX('Datos - Catálogo TIMSS'!$I$5:$I$107,MATCH(L72,'Datos - Catálogo TIMSS'!$A$5:$A$107,0)),"No")="Sí"),1,0)</f>
        <v>0</v>
      </c>
      <c r="Y72" s="36" cm="1">
        <f t="array" ref="Y72">IF(_xlfn.IFERROR(INDEX('Datos - Catálogo TIMSS'!$J$5:$J$107,MATCH(K72,'Datos - Catálogo TIMSS'!$A$5:$A$107,0)),"No")="Sí",1,0)</f>
        <v>0</v>
      </c>
      <c r="Z72" s="36" cm="1">
        <f t="array" ref="Z72">IF(_xlfn.IFERROR(INDEX('Datos - Catálogo TIMSS'!$J$5:$J$107,MATCH(L72,'Datos - Catálogo TIMSS'!$A$5:$A$107,0)),"No")="Sí",1,0)</f>
        <v>0</v>
      </c>
      <c r="AA72" t="s" s="35">
        <v>2110</v>
      </c>
      <c r="AB72" s="39"/>
      <c r="AC72" t="str" s="39">
        <v>Ciencias de la vida</v>
      </c>
      <c r="AD72" t="s" s="35">
        <v>1900</v>
      </c>
      <c r="AE72" t="str" s="39" cm="1">
        <f t="array" ref="AE72">IF(AD72="","",IF(LEFT(AD72,1)="1","C1",IF(LEFT(AD72,1)="2","C2",IF(LEFT(AD72,1)="3","C3",""))))</f>
        <v>C3</v>
      </c>
      <c r="AF72" t="s" s="35">
        <v>1602</v>
      </c>
      <c r="AG72" t="s" s="35">
        <v>1617</v>
      </c>
      <c r="AH72" t="s" s="35">
        <v>1602</v>
      </c>
      <c r="AI72" t="s" s="35">
        <v>1627</v>
      </c>
      <c r="AJ72" t="s" s="35">
        <v>1615</v>
      </c>
      <c r="AK72" s="39"/>
      <c r="AL72" s="39"/>
      <c r="AM72" s="39"/>
      <c r="AN72" s="39"/>
      <c r="AO72" s="39"/>
      <c r="AP72" s="39"/>
      <c r="AQ72" s="39"/>
      <c r="AR72" s="39"/>
      <c r="AS72" s="39"/>
      <c r="AT72" s="39"/>
      <c r="AU72" s="39"/>
      <c r="AV72" s="39"/>
      <c r="AW72" t="str" s="39" cm="1">
        <f t="array" ref="AW72">AF72&amp;"; "&amp;AG72&amp;"; "&amp;AH72&amp;"; "&amp;AI72&amp;"; "&amp;AJ72</f>
        <v>E1; D1; E1; I2; E6</v>
      </c>
    </row>
    <row r="73" ht="13.65" customHeight="1">
      <c r="A73" t="s" s="35">
        <v>2209</v>
      </c>
      <c r="B73" s="36">
        <v>2</v>
      </c>
      <c r="C73" t="s" s="35">
        <v>1823</v>
      </c>
      <c r="D73" t="s" s="35">
        <v>1824</v>
      </c>
      <c r="E73" t="s" s="35">
        <v>2162</v>
      </c>
      <c r="F73" s="36">
        <v>13</v>
      </c>
      <c r="G73" t="s" s="35">
        <v>279</v>
      </c>
      <c r="H73" t="s" s="35">
        <v>2210</v>
      </c>
      <c r="I73" t="s" s="120">
        <v>2211</v>
      </c>
      <c r="J73" t="s" s="35">
        <v>1055</v>
      </c>
      <c r="K73" t="s" s="35">
        <v>1093</v>
      </c>
      <c r="L73" s="39"/>
      <c r="M73" t="str" s="39">
        <v>Biología</v>
      </c>
      <c r="N73" t="str" s="39">
        <v>Salud humana</v>
      </c>
      <c r="O73" t="str" s="39" cm="1">
        <f t="array" ref="O73">IF(L73="","",_xlfn.IFERROR(INDEX('Datos - Catálogo TIMSS'!$C$5:$C$107,MATCH(L73,'Datos - Catálogo TIMSS'!$A$5:$A$107,0)),"?"))</f>
      </c>
      <c r="P73" t="s" s="35">
        <v>282</v>
      </c>
      <c r="Q73" t="s" s="120">
        <v>2212</v>
      </c>
      <c r="R73" t="s" s="120">
        <v>1878</v>
      </c>
      <c r="S73" s="121" cm="1">
        <f t="array" ref="S73">_xlfn.IFERROR(ISNUMBER(SEARCH("Conocer",$R73))/(ISNUMBER(SEARCH("Conocer",$R73))+ISNUMBER(SEARCH("Aplicar",$R73))+ISNUMBER(SEARCH("Razonar",$R73))),0)</f>
        <v>0</v>
      </c>
      <c r="T73" s="121" cm="1">
        <f t="array" ref="T73">_xlfn.IFERROR(ISNUMBER(SEARCH("Aplicar",$R73))/(ISNUMBER(SEARCH("Conocer",$R73))+ISNUMBER(SEARCH("Aplicar",$R73))+ISNUMBER(SEARCH("Razonar",$R73))),0)</f>
        <v>1</v>
      </c>
      <c r="U73" s="121" cm="1">
        <f t="array" ref="U73">_xlfn.IFERROR(ISNUMBER(SEARCH("Razonar",$R73))/(ISNUMBER(SEARCH("Conocer",$R73))+ISNUMBER(SEARCH("Aplicar",$R73))+ISNUMBER(SEARCH("Razonar",$R73))),0)</f>
        <v>0</v>
      </c>
      <c r="V73" t="s" s="35">
        <v>69</v>
      </c>
      <c r="W73" t="s" s="35">
        <v>112</v>
      </c>
      <c r="X73" s="36" cm="1">
        <f t="array" ref="X73">IF(OR(_xlfn.IFERROR(INDEX('Datos - Catálogo TIMSS'!$I$5:$I$107,MATCH(K73,'Datos - Catálogo TIMSS'!$A$5:$A$107,0)),"No")="Sí",_xlfn.IFERROR(INDEX('Datos - Catálogo TIMSS'!$I$5:$I$107,MATCH(L73,'Datos - Catálogo TIMSS'!$A$5:$A$107,0)),"No")="Sí"),1,0)</f>
        <v>0</v>
      </c>
      <c r="Y73" s="36" cm="1">
        <f t="array" ref="Y73">IF(_xlfn.IFERROR(INDEX('Datos - Catálogo TIMSS'!$J$5:$J$107,MATCH(K73,'Datos - Catálogo TIMSS'!$A$5:$A$107,0)),"No")="Sí",1,0)</f>
        <v>0</v>
      </c>
      <c r="Z73" s="36" cm="1">
        <f t="array" ref="Z73">IF(_xlfn.IFERROR(INDEX('Datos - Catálogo TIMSS'!$J$5:$J$107,MATCH(L73,'Datos - Catálogo TIMSS'!$A$5:$A$107,0)),"No")="Sí",1,0)</f>
        <v>0</v>
      </c>
      <c r="AA73" t="s" s="35">
        <v>2110</v>
      </c>
      <c r="AB73" t="s" s="35">
        <v>2213</v>
      </c>
      <c r="AC73" t="str" s="39">
        <v>Ciencias de la vida</v>
      </c>
      <c r="AD73" t="s" s="35">
        <v>1900</v>
      </c>
      <c r="AE73" t="str" s="39" cm="1">
        <f t="array" ref="AE73">IF(AD73="","",IF(LEFT(AD73,1)="1","C1",IF(LEFT(AD73,1)="2","C2",IF(LEFT(AD73,1)="3","C3",""))))</f>
        <v>C3</v>
      </c>
      <c r="AF73" t="s" s="35">
        <v>1602</v>
      </c>
      <c r="AG73" t="s" s="35">
        <v>1617</v>
      </c>
      <c r="AH73" t="s" s="35">
        <v>1602</v>
      </c>
      <c r="AI73" t="s" s="35">
        <v>1621</v>
      </c>
      <c r="AJ73" t="s" s="35">
        <v>1633</v>
      </c>
      <c r="AK73" s="39"/>
      <c r="AL73" s="39"/>
      <c r="AM73" s="39"/>
      <c r="AN73" s="39"/>
      <c r="AO73" s="39"/>
      <c r="AP73" s="39"/>
      <c r="AQ73" s="39"/>
      <c r="AR73" s="39"/>
      <c r="AS73" s="39"/>
      <c r="AT73" s="39"/>
      <c r="AU73" s="39"/>
      <c r="AV73" s="39"/>
      <c r="AW73" t="str" s="39" cm="1">
        <f t="array" ref="AW73">AF73&amp;"; "&amp;AG73&amp;"; "&amp;AH73&amp;"; "&amp;AI73&amp;"; "&amp;AJ73</f>
        <v>E1; D1; E1; D3; I5</v>
      </c>
    </row>
    <row r="74" ht="13.65" customHeight="1">
      <c r="A74" t="s" s="35">
        <v>2214</v>
      </c>
      <c r="B74" s="36">
        <v>2</v>
      </c>
      <c r="C74" t="s" s="35">
        <v>1823</v>
      </c>
      <c r="D74" t="s" s="35">
        <v>1824</v>
      </c>
      <c r="E74" t="s" s="35">
        <v>2162</v>
      </c>
      <c r="F74" s="36">
        <v>14</v>
      </c>
      <c r="G74" t="s" s="35">
        <v>279</v>
      </c>
      <c r="H74" t="s" s="35">
        <v>2210</v>
      </c>
      <c r="I74" t="s" s="120">
        <v>2215</v>
      </c>
      <c r="J74" t="s" s="35">
        <v>1055</v>
      </c>
      <c r="K74" t="s" s="35">
        <v>346</v>
      </c>
      <c r="L74" s="39"/>
      <c r="M74" t="str" s="39">
        <v>Biología</v>
      </c>
      <c r="N74" t="str" s="39">
        <v>Salud humana</v>
      </c>
      <c r="O74" t="str" s="39" cm="1">
        <f t="array" ref="O74">IF(L74="","",_xlfn.IFERROR(INDEX('Datos - Catálogo TIMSS'!$C$5:$C$107,MATCH(L74,'Datos - Catálogo TIMSS'!$A$5:$A$107,0)),"?"))</f>
      </c>
      <c r="P74" t="s" s="35">
        <v>254</v>
      </c>
      <c r="Q74" t="s" s="120">
        <v>2216</v>
      </c>
      <c r="R74" t="s" s="120">
        <v>2103</v>
      </c>
      <c r="S74" s="121" cm="1">
        <f t="array" ref="S74">_xlfn.IFERROR(ISNUMBER(SEARCH("Conocer",$R74))/(ISNUMBER(SEARCH("Conocer",$R74))+ISNUMBER(SEARCH("Aplicar",$R74))+ISNUMBER(SEARCH("Razonar",$R74))),0)</f>
        <v>0</v>
      </c>
      <c r="T74" s="121" cm="1">
        <f t="array" ref="T74">_xlfn.IFERROR(ISNUMBER(SEARCH("Aplicar",$R74))/(ISNUMBER(SEARCH("Conocer",$R74))+ISNUMBER(SEARCH("Aplicar",$R74))+ISNUMBER(SEARCH("Razonar",$R74))),0)</f>
        <v>0</v>
      </c>
      <c r="U74" s="121" cm="1">
        <f t="array" ref="U74">_xlfn.IFERROR(ISNUMBER(SEARCH("Razonar",$R74))/(ISNUMBER(SEARCH("Conocer",$R74))+ISNUMBER(SEARCH("Aplicar",$R74))+ISNUMBER(SEARCH("Razonar",$R74))),0)</f>
        <v>1</v>
      </c>
      <c r="V74" t="s" s="35">
        <v>69</v>
      </c>
      <c r="W74" t="s" s="35">
        <v>112</v>
      </c>
      <c r="X74" s="36" cm="1">
        <f t="array" ref="X74">IF(OR(_xlfn.IFERROR(INDEX('Datos - Catálogo TIMSS'!$I$5:$I$107,MATCH(K74,'Datos - Catálogo TIMSS'!$A$5:$A$107,0)),"No")="Sí",_xlfn.IFERROR(INDEX('Datos - Catálogo TIMSS'!$I$5:$I$107,MATCH(L74,'Datos - Catálogo TIMSS'!$A$5:$A$107,0)),"No")="Sí"),1,0)</f>
        <v>0</v>
      </c>
      <c r="Y74" s="36" cm="1">
        <f t="array" ref="Y74">IF(_xlfn.IFERROR(INDEX('Datos - Catálogo TIMSS'!$J$5:$J$107,MATCH(K74,'Datos - Catálogo TIMSS'!$A$5:$A$107,0)),"No")="Sí",1,0)</f>
        <v>0</v>
      </c>
      <c r="Z74" s="36" cm="1">
        <f t="array" ref="Z74">IF(_xlfn.IFERROR(INDEX('Datos - Catálogo TIMSS'!$J$5:$J$107,MATCH(L74,'Datos - Catálogo TIMSS'!$A$5:$A$107,0)),"No")="Sí",1,0)</f>
        <v>0</v>
      </c>
      <c r="AA74" t="s" s="35">
        <v>2213</v>
      </c>
      <c r="AB74" s="39"/>
      <c r="AC74" t="str" s="39">
        <v>Ciencias de la vida</v>
      </c>
      <c r="AD74" t="s" s="35">
        <v>1900</v>
      </c>
      <c r="AE74" t="str" s="39" cm="1">
        <f t="array" ref="AE74">IF(AD74="","",IF(LEFT(AD74,1)="1","C1",IF(LEFT(AD74,1)="2","C2",IF(LEFT(AD74,1)="3","C3",""))))</f>
        <v>C3</v>
      </c>
      <c r="AF74" t="s" s="35">
        <v>1602</v>
      </c>
      <c r="AG74" t="s" s="35">
        <v>1617</v>
      </c>
      <c r="AH74" t="s" s="35">
        <v>1602</v>
      </c>
      <c r="AI74" t="s" s="35">
        <v>1627</v>
      </c>
      <c r="AJ74" t="s" s="35">
        <v>1633</v>
      </c>
      <c r="AK74" s="39"/>
      <c r="AL74" s="39"/>
      <c r="AM74" s="39"/>
      <c r="AN74" s="39"/>
      <c r="AO74" s="39"/>
      <c r="AP74" s="39"/>
      <c r="AQ74" s="39"/>
      <c r="AR74" s="39"/>
      <c r="AS74" s="39"/>
      <c r="AT74" s="39"/>
      <c r="AU74" s="39"/>
      <c r="AV74" s="39"/>
      <c r="AW74" t="str" s="39" cm="1">
        <f t="array" ref="AW74">AF74&amp;"; "&amp;AG74&amp;"; "&amp;AH74&amp;"; "&amp;AI74&amp;"; "&amp;AJ74</f>
        <v>E1; D1; E1; I2; I5</v>
      </c>
    </row>
    <row r="75" ht="13.65" customHeight="1">
      <c r="A75" t="s" s="35">
        <v>2217</v>
      </c>
      <c r="B75" s="36">
        <v>3</v>
      </c>
      <c r="C75" t="s" s="35">
        <v>1823</v>
      </c>
      <c r="D75" t="s" s="35">
        <v>2218</v>
      </c>
      <c r="E75" t="s" s="35">
        <v>2219</v>
      </c>
      <c r="F75" s="36">
        <v>3</v>
      </c>
      <c r="G75" t="s" s="35">
        <v>307</v>
      </c>
      <c r="H75" t="s" s="35">
        <v>2220</v>
      </c>
      <c r="I75" t="s" s="120">
        <v>2221</v>
      </c>
      <c r="J75" t="s" s="35">
        <v>1055</v>
      </c>
      <c r="K75" t="s" s="35">
        <v>1136</v>
      </c>
      <c r="L75" s="39"/>
      <c r="M75" t="str" s="39">
        <v>Ciencias físicas</v>
      </c>
      <c r="N75" t="str" s="39">
        <v>Investigaciones en ciencias físicas</v>
      </c>
      <c r="O75" t="str" s="39" cm="1">
        <f t="array" ref="O75">IF(L75="","",_xlfn.IFERROR(INDEX('Datos - Catálogo TIMSS'!$C$5:$C$107,MATCH(L75,'Datos - Catálogo TIMSS'!$A$5:$A$107,0)),"?"))</f>
      </c>
      <c r="P75" t="s" s="35">
        <v>282</v>
      </c>
      <c r="Q75" t="s" s="120">
        <v>2222</v>
      </c>
      <c r="R75" t="s" s="120">
        <v>2223</v>
      </c>
      <c r="S75" s="121" cm="1">
        <f t="array" ref="S75">_xlfn.IFERROR(ISNUMBER(SEARCH("Conocer",$R75))/(ISNUMBER(SEARCH("Conocer",$R75))+ISNUMBER(SEARCH("Aplicar",$R75))+ISNUMBER(SEARCH("Razonar",$R75))),0)</f>
        <v>0</v>
      </c>
      <c r="T75" s="121" cm="1">
        <f t="array" ref="T75">_xlfn.IFERROR(ISNUMBER(SEARCH("Aplicar",$R75))/(ISNUMBER(SEARCH("Conocer",$R75))+ISNUMBER(SEARCH("Aplicar",$R75))+ISNUMBER(SEARCH("Razonar",$R75))),0)</f>
        <v>0.5</v>
      </c>
      <c r="U75" s="121" cm="1">
        <f t="array" ref="U75">_xlfn.IFERROR(ISNUMBER(SEARCH("Razonar",$R75))/(ISNUMBER(SEARCH("Conocer",$R75))+ISNUMBER(SEARCH("Aplicar",$R75))+ISNUMBER(SEARCH("Razonar",$R75))),0)</f>
        <v>0.5</v>
      </c>
      <c r="V75" t="s" s="35">
        <v>74</v>
      </c>
      <c r="W75" t="s" s="35">
        <v>112</v>
      </c>
      <c r="X75" s="36" cm="1">
        <f t="array" ref="X75">IF(OR(_xlfn.IFERROR(INDEX('Datos - Catálogo TIMSS'!$I$5:$I$107,MATCH(K75,'Datos - Catálogo TIMSS'!$A$5:$A$107,0)),"No")="Sí",_xlfn.IFERROR(INDEX('Datos - Catálogo TIMSS'!$I$5:$I$107,MATCH(L75,'Datos - Catálogo TIMSS'!$A$5:$A$107,0)),"No")="Sí"),1,0)</f>
        <v>0</v>
      </c>
      <c r="Y75" s="36" cm="1">
        <f t="array" ref="Y75">IF(_xlfn.IFERROR(INDEX('Datos - Catálogo TIMSS'!$J$5:$J$107,MATCH(K75,'Datos - Catálogo TIMSS'!$A$5:$A$107,0)),"No")="Sí",1,0)</f>
        <v>1</v>
      </c>
      <c r="Z75" s="36" cm="1">
        <f t="array" ref="Z75">IF(_xlfn.IFERROR(INDEX('Datos - Catálogo TIMSS'!$J$5:$J$107,MATCH(L75,'Datos - Catálogo TIMSS'!$A$5:$A$107,0)),"No")="Sí",1,0)</f>
        <v>0</v>
      </c>
      <c r="AA75" t="s" s="35">
        <v>1832</v>
      </c>
      <c r="AB75" s="39"/>
      <c r="AC75" t="str" s="39">
        <v>Fuera del marco</v>
      </c>
      <c r="AD75" t="s" s="35">
        <v>1834</v>
      </c>
      <c r="AE75" t="str" s="39" cm="1">
        <f t="array" ref="AE75">IF(AD75="","",IF(LEFT(AD75,1)="1","C1",IF(LEFT(AD75,1)="2","C2",IF(LEFT(AD75,1)="3","C3",""))))</f>
        <v>C2</v>
      </c>
      <c r="AF75" t="s" s="35">
        <v>1602</v>
      </c>
      <c r="AG75" t="s" s="35">
        <v>1617</v>
      </c>
      <c r="AH75" t="s" s="35">
        <v>1602</v>
      </c>
      <c r="AI75" t="s" s="35">
        <v>1623</v>
      </c>
      <c r="AJ75" t="s" s="35">
        <v>1607</v>
      </c>
      <c r="AK75" s="39"/>
      <c r="AL75" s="39"/>
      <c r="AM75" s="39"/>
      <c r="AN75" s="39"/>
      <c r="AO75" s="39"/>
      <c r="AP75" s="39"/>
      <c r="AQ75" s="39"/>
      <c r="AR75" s="39"/>
      <c r="AS75" s="39"/>
      <c r="AT75" s="39"/>
      <c r="AU75" s="39"/>
      <c r="AV75" s="39"/>
      <c r="AW75" t="str" s="39" cm="1">
        <f t="array" ref="AW75">AF75&amp;"; "&amp;AG75&amp;"; "&amp;AH75&amp;"; "&amp;AI75&amp;"; "&amp;AJ75</f>
        <v>E1; D1; E1; D4; E3</v>
      </c>
    </row>
    <row r="76" ht="13.65" customHeight="1">
      <c r="A76" t="s" s="35">
        <v>2224</v>
      </c>
      <c r="B76" s="36">
        <v>3</v>
      </c>
      <c r="C76" t="s" s="35">
        <v>1823</v>
      </c>
      <c r="D76" t="s" s="35">
        <v>2218</v>
      </c>
      <c r="E76" t="s" s="35">
        <v>2219</v>
      </c>
      <c r="F76" s="36">
        <v>4</v>
      </c>
      <c r="G76" t="s" s="35">
        <v>307</v>
      </c>
      <c r="H76" t="s" s="35">
        <v>2220</v>
      </c>
      <c r="I76" t="s" s="120">
        <v>2225</v>
      </c>
      <c r="J76" t="s" s="35">
        <v>1055</v>
      </c>
      <c r="K76" t="s" s="35">
        <v>1136</v>
      </c>
      <c r="L76" s="39"/>
      <c r="M76" t="str" s="39">
        <v>Ciencias físicas</v>
      </c>
      <c r="N76" t="str" s="39">
        <v>Investigaciones en ciencias físicas</v>
      </c>
      <c r="O76" t="str" s="39" cm="1">
        <f t="array" ref="O76">IF(L76="","",_xlfn.IFERROR(INDEX('Datos - Catálogo TIMSS'!$C$5:$C$107,MATCH(L76,'Datos - Catálogo TIMSS'!$A$5:$A$107,0)),"?"))</f>
      </c>
      <c r="P76" t="s" s="35">
        <v>282</v>
      </c>
      <c r="Q76" t="s" s="120">
        <v>2226</v>
      </c>
      <c r="R76" t="s" s="120">
        <v>2227</v>
      </c>
      <c r="S76" s="121" cm="1">
        <f t="array" ref="S76">_xlfn.IFERROR(ISNUMBER(SEARCH("Conocer",$R76))/(ISNUMBER(SEARCH("Conocer",$R76))+ISNUMBER(SEARCH("Aplicar",$R76))+ISNUMBER(SEARCH("Razonar",$R76))),0)</f>
        <v>0</v>
      </c>
      <c r="T76" s="121" cm="1">
        <f t="array" ref="T76">_xlfn.IFERROR(ISNUMBER(SEARCH("Aplicar",$R76))/(ISNUMBER(SEARCH("Conocer",$R76))+ISNUMBER(SEARCH("Aplicar",$R76))+ISNUMBER(SEARCH("Razonar",$R76))),0)</f>
        <v>0.5</v>
      </c>
      <c r="U76" s="121" cm="1">
        <f t="array" ref="U76">_xlfn.IFERROR(ISNUMBER(SEARCH("Razonar",$R76))/(ISNUMBER(SEARCH("Conocer",$R76))+ISNUMBER(SEARCH("Aplicar",$R76))+ISNUMBER(SEARCH("Razonar",$R76))),0)</f>
        <v>0.5</v>
      </c>
      <c r="V76" t="s" s="35">
        <v>74</v>
      </c>
      <c r="W76" t="s" s="35">
        <v>112</v>
      </c>
      <c r="X76" s="36" cm="1">
        <f t="array" ref="X76">IF(OR(_xlfn.IFERROR(INDEX('Datos - Catálogo TIMSS'!$I$5:$I$107,MATCH(K76,'Datos - Catálogo TIMSS'!$A$5:$A$107,0)),"No")="Sí",_xlfn.IFERROR(INDEX('Datos - Catálogo TIMSS'!$I$5:$I$107,MATCH(L76,'Datos - Catálogo TIMSS'!$A$5:$A$107,0)),"No")="Sí"),1,0)</f>
        <v>0</v>
      </c>
      <c r="Y76" s="36" cm="1">
        <f t="array" ref="Y76">IF(_xlfn.IFERROR(INDEX('Datos - Catálogo TIMSS'!$J$5:$J$107,MATCH(K76,'Datos - Catálogo TIMSS'!$A$5:$A$107,0)),"No")="Sí",1,0)</f>
        <v>1</v>
      </c>
      <c r="Z76" s="36" cm="1">
        <f t="array" ref="Z76">IF(_xlfn.IFERROR(INDEX('Datos - Catálogo TIMSS'!$J$5:$J$107,MATCH(L76,'Datos - Catálogo TIMSS'!$A$5:$A$107,0)),"No")="Sí",1,0)</f>
        <v>0</v>
      </c>
      <c r="AA76" t="s" s="35">
        <v>1832</v>
      </c>
      <c r="AB76" s="39"/>
      <c r="AC76" t="str" s="39">
        <v>Fuera del marco</v>
      </c>
      <c r="AD76" t="s" s="35">
        <v>1834</v>
      </c>
      <c r="AE76" t="str" s="39" cm="1">
        <f t="array" ref="AE76">IF(AD76="","",IF(LEFT(AD76,1)="1","C1",IF(LEFT(AD76,1)="2","C2",IF(LEFT(AD76,1)="3","C3",""))))</f>
        <v>C2</v>
      </c>
      <c r="AF76" t="s" s="35">
        <v>1602</v>
      </c>
      <c r="AG76" t="s" s="35">
        <v>1617</v>
      </c>
      <c r="AH76" t="s" s="35">
        <v>1605</v>
      </c>
      <c r="AI76" t="s" s="35">
        <v>1621</v>
      </c>
      <c r="AJ76" t="s" s="35">
        <v>1633</v>
      </c>
      <c r="AK76" s="39"/>
      <c r="AL76" s="39"/>
      <c r="AM76" s="39"/>
      <c r="AN76" s="39"/>
      <c r="AO76" s="39"/>
      <c r="AP76" s="39"/>
      <c r="AQ76" s="39"/>
      <c r="AR76" s="39"/>
      <c r="AS76" s="39"/>
      <c r="AT76" s="39"/>
      <c r="AU76" s="39"/>
      <c r="AV76" s="39"/>
      <c r="AW76" t="str" s="39" cm="1">
        <f t="array" ref="AW76">AF76&amp;"; "&amp;AG76&amp;"; "&amp;AH76&amp;"; "&amp;AI76&amp;"; "&amp;AJ76</f>
        <v>E1; D1; E2; D3; I5</v>
      </c>
    </row>
    <row r="77" ht="13.65" customHeight="1">
      <c r="A77" t="s" s="35">
        <v>2229</v>
      </c>
      <c r="B77" s="36">
        <v>3</v>
      </c>
      <c r="C77" t="s" s="35">
        <v>1823</v>
      </c>
      <c r="D77" t="s" s="35">
        <v>2218</v>
      </c>
      <c r="E77" t="s" s="35">
        <v>2219</v>
      </c>
      <c r="F77" s="36">
        <v>5</v>
      </c>
      <c r="G77" t="s" s="35">
        <v>307</v>
      </c>
      <c r="H77" t="s" s="35">
        <v>2230</v>
      </c>
      <c r="I77" t="s" s="120">
        <v>2231</v>
      </c>
      <c r="J77" t="s" s="35">
        <v>1055</v>
      </c>
      <c r="K77" t="s" s="35">
        <v>332</v>
      </c>
      <c r="L77" t="s" s="35">
        <v>1136</v>
      </c>
      <c r="M77" t="str" s="39">
        <v>Ciencias físicas</v>
      </c>
      <c r="N77" t="str" s="39">
        <v>Movimiento y fuerzas</v>
      </c>
      <c r="O77" t="str" s="39" cm="1">
        <f t="array" ref="O77">IF(L77="","",_xlfn.IFERROR(INDEX('Datos - Catálogo TIMSS'!$C$5:$C$107,MATCH(L77,'Datos - Catálogo TIMSS'!$A$5:$A$107,0)),"?"))</f>
        <v>Ciencias físicas</v>
      </c>
      <c r="P77" t="s" s="35">
        <v>254</v>
      </c>
      <c r="Q77" t="s" s="120">
        <v>2232</v>
      </c>
      <c r="R77" t="s" s="120">
        <v>2233</v>
      </c>
      <c r="S77" s="121" cm="1">
        <f t="array" ref="S77">_xlfn.IFERROR(ISNUMBER(SEARCH("Conocer",$R77))/(ISNUMBER(SEARCH("Conocer",$R77))+ISNUMBER(SEARCH("Aplicar",$R77))+ISNUMBER(SEARCH("Razonar",$R77))),0)</f>
        <v>0</v>
      </c>
      <c r="T77" s="121" cm="1">
        <f t="array" ref="T77">_xlfn.IFERROR(ISNUMBER(SEARCH("Aplicar",$R77))/(ISNUMBER(SEARCH("Conocer",$R77))+ISNUMBER(SEARCH("Aplicar",$R77))+ISNUMBER(SEARCH("Razonar",$R77))),0)</f>
        <v>0.5</v>
      </c>
      <c r="U77" s="121" cm="1">
        <f t="array" ref="U77">_xlfn.IFERROR(ISNUMBER(SEARCH("Razonar",$R77))/(ISNUMBER(SEARCH("Conocer",$R77))+ISNUMBER(SEARCH("Aplicar",$R77))+ISNUMBER(SEARCH("Razonar",$R77))),0)</f>
        <v>0.5</v>
      </c>
      <c r="V77" t="s" s="35">
        <v>74</v>
      </c>
      <c r="W77" t="s" s="35">
        <v>112</v>
      </c>
      <c r="X77" s="36" cm="1">
        <f t="array" ref="X77">IF(OR(_xlfn.IFERROR(INDEX('Datos - Catálogo TIMSS'!$I$5:$I$107,MATCH(K77,'Datos - Catálogo TIMSS'!$A$5:$A$107,0)),"No")="Sí",_xlfn.IFERROR(INDEX('Datos - Catálogo TIMSS'!$I$5:$I$107,MATCH(L77,'Datos - Catálogo TIMSS'!$A$5:$A$107,0)),"No")="Sí"),1,0)</f>
        <v>0</v>
      </c>
      <c r="Y77" s="36" cm="1">
        <f t="array" ref="Y77">IF(_xlfn.IFERROR(INDEX('Datos - Catálogo TIMSS'!$J$5:$J$107,MATCH(K77,'Datos - Catálogo TIMSS'!$A$5:$A$107,0)),"No")="Sí",1,0)</f>
        <v>0</v>
      </c>
      <c r="Z77" s="36" cm="1">
        <f t="array" ref="Z77">IF(_xlfn.IFERROR(INDEX('Datos - Catálogo TIMSS'!$J$5:$J$107,MATCH(L77,'Datos - Catálogo TIMSS'!$A$5:$A$107,0)),"No")="Sí",1,0)</f>
        <v>1</v>
      </c>
      <c r="AA77" t="s" s="35">
        <v>1919</v>
      </c>
      <c r="AB77" s="39"/>
      <c r="AC77" t="str" s="39">
        <v>Ciencias físicas</v>
      </c>
      <c r="AD77" t="s" s="35">
        <v>1834</v>
      </c>
      <c r="AE77" t="str" s="39" cm="1">
        <f t="array" ref="AE77">IF(AD77="","",IF(LEFT(AD77,1)="1","C1",IF(LEFT(AD77,1)="2","C2",IF(LEFT(AD77,1)="3","C3",""))))</f>
        <v>C2</v>
      </c>
      <c r="AF77" t="s" s="35">
        <v>1602</v>
      </c>
      <c r="AG77" t="s" s="35">
        <v>1607</v>
      </c>
      <c r="AH77" t="s" s="35">
        <v>1602</v>
      </c>
      <c r="AI77" t="s" s="35">
        <v>1619</v>
      </c>
      <c r="AJ77" t="s" s="35">
        <v>1615</v>
      </c>
      <c r="AK77" s="39"/>
      <c r="AL77" s="39"/>
      <c r="AM77" s="39"/>
      <c r="AN77" s="39"/>
      <c r="AO77" s="39"/>
      <c r="AP77" s="39"/>
      <c r="AQ77" s="39"/>
      <c r="AR77" s="39"/>
      <c r="AS77" s="39"/>
      <c r="AT77" s="39"/>
      <c r="AU77" s="39"/>
      <c r="AV77" s="39"/>
      <c r="AW77" t="str" s="39" cm="1">
        <f t="array" ref="AW77">AF77&amp;"; "&amp;AG77&amp;"; "&amp;AH77&amp;"; "&amp;AI77&amp;"; "&amp;AJ77</f>
        <v>E1; E3; E1; D2; E6</v>
      </c>
    </row>
    <row r="78" ht="13.65" customHeight="1">
      <c r="A78" t="s" s="35">
        <v>2235</v>
      </c>
      <c r="B78" s="36">
        <v>3</v>
      </c>
      <c r="C78" t="s" s="35">
        <v>1823</v>
      </c>
      <c r="D78" t="s" s="35">
        <v>2218</v>
      </c>
      <c r="E78" t="s" s="35">
        <v>2219</v>
      </c>
      <c r="F78" s="36">
        <v>6</v>
      </c>
      <c r="G78" t="s" s="35">
        <v>307</v>
      </c>
      <c r="H78" t="s" s="35">
        <v>2230</v>
      </c>
      <c r="I78" t="s" s="120">
        <v>2236</v>
      </c>
      <c r="J78" t="s" s="35">
        <v>1055</v>
      </c>
      <c r="K78" t="s" s="35">
        <v>308</v>
      </c>
      <c r="L78" t="s" s="35">
        <v>332</v>
      </c>
      <c r="M78" t="str" s="39">
        <v>Ciencias físicas</v>
      </c>
      <c r="N78" t="str" s="39">
        <v>Electricidad y magnetismo</v>
      </c>
      <c r="O78" t="str" s="39" cm="1">
        <f t="array" ref="O78">IF(L78="","",_xlfn.IFERROR(INDEX('Datos - Catálogo TIMSS'!$C$5:$C$107,MATCH(L78,'Datos - Catálogo TIMSS'!$A$5:$A$107,0)),"?"))</f>
        <v>Ciencias físicas</v>
      </c>
      <c r="P78" t="s" s="35">
        <v>282</v>
      </c>
      <c r="Q78" t="s" s="120">
        <v>2237</v>
      </c>
      <c r="R78" t="s" s="120">
        <v>2238</v>
      </c>
      <c r="S78" s="121" cm="1">
        <f t="array" ref="S78">_xlfn.IFERROR(ISNUMBER(SEARCH("Conocer",$R78))/(ISNUMBER(SEARCH("Conocer",$R78))+ISNUMBER(SEARCH("Aplicar",$R78))+ISNUMBER(SEARCH("Razonar",$R78))),0)</f>
        <v>0.5</v>
      </c>
      <c r="T78" s="121" cm="1">
        <f t="array" ref="T78">_xlfn.IFERROR(ISNUMBER(SEARCH("Aplicar",$R78))/(ISNUMBER(SEARCH("Conocer",$R78))+ISNUMBER(SEARCH("Aplicar",$R78))+ISNUMBER(SEARCH("Razonar",$R78))),0)</f>
        <v>0</v>
      </c>
      <c r="U78" s="121" cm="1">
        <f t="array" ref="U78">_xlfn.IFERROR(ISNUMBER(SEARCH("Razonar",$R78))/(ISNUMBER(SEARCH("Conocer",$R78))+ISNUMBER(SEARCH("Aplicar",$R78))+ISNUMBER(SEARCH("Razonar",$R78))),0)</f>
        <v>0.5</v>
      </c>
      <c r="V78" t="s" s="35">
        <v>74</v>
      </c>
      <c r="W78" t="s" s="35">
        <v>112</v>
      </c>
      <c r="X78" s="36" cm="1">
        <f t="array" ref="X78">IF(OR(_xlfn.IFERROR(INDEX('Datos - Catálogo TIMSS'!$I$5:$I$107,MATCH(K78,'Datos - Catálogo TIMSS'!$A$5:$A$107,0)),"No")="Sí",_xlfn.IFERROR(INDEX('Datos - Catálogo TIMSS'!$I$5:$I$107,MATCH(L78,'Datos - Catálogo TIMSS'!$A$5:$A$107,0)),"No")="Sí"),1,0)</f>
        <v>0</v>
      </c>
      <c r="Y78" s="36" cm="1">
        <f t="array" ref="Y78">IF(_xlfn.IFERROR(INDEX('Datos - Catálogo TIMSS'!$J$5:$J$107,MATCH(K78,'Datos - Catálogo TIMSS'!$A$5:$A$107,0)),"No")="Sí",1,0)</f>
        <v>0</v>
      </c>
      <c r="Z78" s="36" cm="1">
        <f t="array" ref="Z78">IF(_xlfn.IFERROR(INDEX('Datos - Catálogo TIMSS'!$J$5:$J$107,MATCH(L78,'Datos - Catálogo TIMSS'!$A$5:$A$107,0)),"No")="Sí",1,0)</f>
        <v>0</v>
      </c>
      <c r="AA78" t="s" s="35">
        <v>2239</v>
      </c>
      <c r="AB78" t="s" s="35">
        <v>1919</v>
      </c>
      <c r="AC78" t="str" s="39">
        <v>Ciencias físicas</v>
      </c>
      <c r="AD78" t="s" s="35">
        <v>1834</v>
      </c>
      <c r="AE78" t="str" s="39" cm="1">
        <f t="array" ref="AE78">IF(AD78="","",IF(LEFT(AD78,1)="1","C1",IF(LEFT(AD78,1)="2","C2",IF(LEFT(AD78,1)="3","C3",""))))</f>
        <v>C2</v>
      </c>
      <c r="AF78" t="s" s="35">
        <v>1602</v>
      </c>
      <c r="AG78" t="s" s="35">
        <v>1612</v>
      </c>
      <c r="AH78" t="s" s="35">
        <v>1602</v>
      </c>
      <c r="AI78" t="s" s="35">
        <v>1619</v>
      </c>
      <c r="AJ78" t="s" s="35">
        <v>1607</v>
      </c>
      <c r="AK78" s="39"/>
      <c r="AL78" s="39"/>
      <c r="AM78" s="39"/>
      <c r="AN78" s="39"/>
      <c r="AO78" s="39"/>
      <c r="AP78" s="39"/>
      <c r="AQ78" s="39"/>
      <c r="AR78" s="39"/>
      <c r="AS78" s="39"/>
      <c r="AT78" s="39"/>
      <c r="AU78" s="39"/>
      <c r="AV78" s="39"/>
      <c r="AW78" t="str" s="39" cm="1">
        <f t="array" ref="AW78">AF78&amp;"; "&amp;AG78&amp;"; "&amp;AH78&amp;"; "&amp;AI78&amp;"; "&amp;AJ78</f>
        <v>E1; E5; E1; D2; E3</v>
      </c>
    </row>
    <row r="79" ht="13.65" customHeight="1">
      <c r="A79" t="s" s="35">
        <v>2240</v>
      </c>
      <c r="B79" s="36">
        <v>3</v>
      </c>
      <c r="C79" t="s" s="35">
        <v>1823</v>
      </c>
      <c r="D79" t="s" s="35">
        <v>2218</v>
      </c>
      <c r="E79" t="s" s="35">
        <v>2219</v>
      </c>
      <c r="F79" s="36">
        <v>7</v>
      </c>
      <c r="G79" t="s" s="35">
        <v>307</v>
      </c>
      <c r="H79" t="s" s="35">
        <v>2230</v>
      </c>
      <c r="I79" t="s" s="120">
        <v>2241</v>
      </c>
      <c r="J79" t="s" s="35">
        <v>1055</v>
      </c>
      <c r="K79" t="s" s="35">
        <v>332</v>
      </c>
      <c r="L79" s="39"/>
      <c r="M79" t="str" s="39">
        <v>Ciencias físicas</v>
      </c>
      <c r="N79" t="str" s="39">
        <v>Movimiento y fuerzas</v>
      </c>
      <c r="O79" t="str" s="39" cm="1">
        <f t="array" ref="O79">IF(L79="","",_xlfn.IFERROR(INDEX('Datos - Catálogo TIMSS'!$C$5:$C$107,MATCH(L79,'Datos - Catálogo TIMSS'!$A$5:$A$107,0)),"?"))</f>
      </c>
      <c r="P79" t="s" s="35">
        <v>282</v>
      </c>
      <c r="Q79" t="s" s="120">
        <v>2242</v>
      </c>
      <c r="R79" t="s" s="120">
        <v>2243</v>
      </c>
      <c r="S79" s="121" cm="1">
        <f t="array" ref="S79">_xlfn.IFERROR(ISNUMBER(SEARCH("Conocer",$R79))/(ISNUMBER(SEARCH("Conocer",$R79))+ISNUMBER(SEARCH("Aplicar",$R79))+ISNUMBER(SEARCH("Razonar",$R79))),0)</f>
        <v>0</v>
      </c>
      <c r="T79" s="121" cm="1">
        <f t="array" ref="T79">_xlfn.IFERROR(ISNUMBER(SEARCH("Aplicar",$R79))/(ISNUMBER(SEARCH("Conocer",$R79))+ISNUMBER(SEARCH("Aplicar",$R79))+ISNUMBER(SEARCH("Razonar",$R79))),0)</f>
        <v>1</v>
      </c>
      <c r="U79" s="121" cm="1">
        <f t="array" ref="U79">_xlfn.IFERROR(ISNUMBER(SEARCH("Razonar",$R79))/(ISNUMBER(SEARCH("Conocer",$R79))+ISNUMBER(SEARCH("Aplicar",$R79))+ISNUMBER(SEARCH("Razonar",$R79))),0)</f>
        <v>0</v>
      </c>
      <c r="V79" t="s" s="35">
        <v>74</v>
      </c>
      <c r="W79" t="s" s="35">
        <v>112</v>
      </c>
      <c r="X79" s="36" cm="1">
        <f t="array" ref="X79">IF(OR(_xlfn.IFERROR(INDEX('Datos - Catálogo TIMSS'!$I$5:$I$107,MATCH(K79,'Datos - Catálogo TIMSS'!$A$5:$A$107,0)),"No")="Sí",_xlfn.IFERROR(INDEX('Datos - Catálogo TIMSS'!$I$5:$I$107,MATCH(L79,'Datos - Catálogo TIMSS'!$A$5:$A$107,0)),"No")="Sí"),1,0)</f>
        <v>0</v>
      </c>
      <c r="Y79" s="36" cm="1">
        <f t="array" ref="Y79">IF(_xlfn.IFERROR(INDEX('Datos - Catálogo TIMSS'!$J$5:$J$107,MATCH(K79,'Datos - Catálogo TIMSS'!$A$5:$A$107,0)),"No")="Sí",1,0)</f>
        <v>0</v>
      </c>
      <c r="Z79" s="36" cm="1">
        <f t="array" ref="Z79">IF(_xlfn.IFERROR(INDEX('Datos - Catálogo TIMSS'!$J$5:$J$107,MATCH(L79,'Datos - Catálogo TIMSS'!$A$5:$A$107,0)),"No")="Sí",1,0)</f>
        <v>0</v>
      </c>
      <c r="AA79" t="s" s="35">
        <v>1919</v>
      </c>
      <c r="AB79" t="s" s="35">
        <v>2239</v>
      </c>
      <c r="AC79" t="str" s="39">
        <v>Ciencias físicas</v>
      </c>
      <c r="AD79" t="s" s="35">
        <v>1859</v>
      </c>
      <c r="AE79" t="str" s="39" cm="1">
        <f t="array" ref="AE79">IF(AD79="","",IF(LEFT(AD79,1)="1","C1",IF(LEFT(AD79,1)="2","C2",IF(LEFT(AD79,1)="3","C3",""))))</f>
        <v>C1</v>
      </c>
      <c r="AF79" t="s" s="35">
        <v>1602</v>
      </c>
      <c r="AG79" t="s" s="35">
        <v>1617</v>
      </c>
      <c r="AH79" t="s" s="35">
        <v>1605</v>
      </c>
      <c r="AI79" t="s" s="35">
        <v>1623</v>
      </c>
      <c r="AJ79" t="s" s="35">
        <v>1631</v>
      </c>
      <c r="AK79" s="39"/>
      <c r="AL79" s="39"/>
      <c r="AM79" s="39"/>
      <c r="AN79" s="39"/>
      <c r="AO79" s="39"/>
      <c r="AP79" s="39"/>
      <c r="AQ79" s="39"/>
      <c r="AR79" s="39"/>
      <c r="AS79" s="39"/>
      <c r="AT79" s="39"/>
      <c r="AU79" s="39"/>
      <c r="AV79" s="39"/>
      <c r="AW79" t="str" s="39" cm="1">
        <f t="array" ref="AW79">AF79&amp;"; "&amp;AG79&amp;"; "&amp;AH79&amp;"; "&amp;AI79&amp;"; "&amp;AJ79</f>
        <v>E1; D1; E2; D4; I4</v>
      </c>
    </row>
    <row r="80" ht="13.65" customHeight="1">
      <c r="A80" t="s" s="35">
        <v>2245</v>
      </c>
      <c r="B80" s="36">
        <v>3</v>
      </c>
      <c r="C80" t="s" s="35">
        <v>1823</v>
      </c>
      <c r="D80" t="s" s="35">
        <v>2218</v>
      </c>
      <c r="E80" t="s" s="35">
        <v>2219</v>
      </c>
      <c r="F80" s="36">
        <v>8</v>
      </c>
      <c r="G80" t="s" s="35">
        <v>307</v>
      </c>
      <c r="H80" t="s" s="35">
        <v>2246</v>
      </c>
      <c r="I80" t="s" s="120">
        <v>2247</v>
      </c>
      <c r="J80" t="s" s="35">
        <v>1055</v>
      </c>
      <c r="K80" t="s" s="35">
        <v>332</v>
      </c>
      <c r="L80" s="39"/>
      <c r="M80" t="str" s="39">
        <v>Ciencias físicas</v>
      </c>
      <c r="N80" t="str" s="39">
        <v>Movimiento y fuerzas</v>
      </c>
      <c r="O80" t="str" s="39" cm="1">
        <f t="array" ref="O80">IF(L80="","",_xlfn.IFERROR(INDEX('Datos - Catálogo TIMSS'!$C$5:$C$107,MATCH(L80,'Datos - Catálogo TIMSS'!$A$5:$A$107,0)),"?"))</f>
      </c>
      <c r="P80" t="s" s="35">
        <v>254</v>
      </c>
      <c r="Q80" t="s" s="120">
        <v>2248</v>
      </c>
      <c r="R80" t="s" s="120">
        <v>2249</v>
      </c>
      <c r="S80" s="121" cm="1">
        <f t="array" ref="S80">_xlfn.IFERROR(ISNUMBER(SEARCH("Conocer",$R80))/(ISNUMBER(SEARCH("Conocer",$R80))+ISNUMBER(SEARCH("Aplicar",$R80))+ISNUMBER(SEARCH("Razonar",$R80))),0)</f>
        <v>0.5</v>
      </c>
      <c r="T80" s="121" cm="1">
        <f t="array" ref="T80">_xlfn.IFERROR(ISNUMBER(SEARCH("Aplicar",$R80))/(ISNUMBER(SEARCH("Conocer",$R80))+ISNUMBER(SEARCH("Aplicar",$R80))+ISNUMBER(SEARCH("Razonar",$R80))),0)</f>
        <v>0.5</v>
      </c>
      <c r="U80" s="121" cm="1">
        <f t="array" ref="U80">_xlfn.IFERROR(ISNUMBER(SEARCH("Razonar",$R80))/(ISNUMBER(SEARCH("Conocer",$R80))+ISNUMBER(SEARCH("Aplicar",$R80))+ISNUMBER(SEARCH("Razonar",$R80))),0)</f>
        <v>0</v>
      </c>
      <c r="V80" t="s" s="35">
        <v>74</v>
      </c>
      <c r="W80" t="s" s="35">
        <v>112</v>
      </c>
      <c r="X80" s="36" cm="1">
        <f t="array" ref="X80">IF(OR(_xlfn.IFERROR(INDEX('Datos - Catálogo TIMSS'!$I$5:$I$107,MATCH(K80,'Datos - Catálogo TIMSS'!$A$5:$A$107,0)),"No")="Sí",_xlfn.IFERROR(INDEX('Datos - Catálogo TIMSS'!$I$5:$I$107,MATCH(L80,'Datos - Catálogo TIMSS'!$A$5:$A$107,0)),"No")="Sí"),1,0)</f>
        <v>0</v>
      </c>
      <c r="Y80" s="36" cm="1">
        <f t="array" ref="Y80">IF(_xlfn.IFERROR(INDEX('Datos - Catálogo TIMSS'!$J$5:$J$107,MATCH(K80,'Datos - Catálogo TIMSS'!$A$5:$A$107,0)),"No")="Sí",1,0)</f>
        <v>0</v>
      </c>
      <c r="Z80" s="36" cm="1">
        <f t="array" ref="Z80">IF(_xlfn.IFERROR(INDEX('Datos - Catálogo TIMSS'!$J$5:$J$107,MATCH(L80,'Datos - Catálogo TIMSS'!$A$5:$A$107,0)),"No")="Sí",1,0)</f>
        <v>0</v>
      </c>
      <c r="AA80" t="s" s="35">
        <v>1919</v>
      </c>
      <c r="AB80" s="39"/>
      <c r="AC80" t="str" s="39">
        <v>Ciencias físicas</v>
      </c>
      <c r="AD80" t="s" s="35">
        <v>1859</v>
      </c>
      <c r="AE80" t="str" s="39" cm="1">
        <f t="array" ref="AE80">IF(AD80="","",IF(LEFT(AD80,1)="1","C1",IF(LEFT(AD80,1)="2","C2",IF(LEFT(AD80,1)="3","C3",""))))</f>
        <v>C1</v>
      </c>
      <c r="AF80" t="s" s="35">
        <v>1602</v>
      </c>
      <c r="AG80" t="s" s="35">
        <v>1612</v>
      </c>
      <c r="AH80" t="s" s="35">
        <v>1602</v>
      </c>
      <c r="AI80" t="s" s="35">
        <v>1623</v>
      </c>
      <c r="AJ80" t="s" s="35">
        <v>1615</v>
      </c>
      <c r="AK80" s="39"/>
      <c r="AL80" s="39"/>
      <c r="AM80" s="39"/>
      <c r="AN80" s="39"/>
      <c r="AO80" s="39"/>
      <c r="AP80" s="39"/>
      <c r="AQ80" s="39"/>
      <c r="AR80" s="39"/>
      <c r="AS80" s="39"/>
      <c r="AT80" s="39"/>
      <c r="AU80" s="39"/>
      <c r="AV80" s="39"/>
      <c r="AW80" t="str" s="39" cm="1">
        <f t="array" ref="AW80">AF80&amp;"; "&amp;AG80&amp;"; "&amp;AH80&amp;"; "&amp;AI80&amp;"; "&amp;AJ80</f>
        <v>E1; E5; E1; D4; E6</v>
      </c>
    </row>
    <row r="81" ht="13.65" customHeight="1">
      <c r="A81" t="s" s="35">
        <v>2251</v>
      </c>
      <c r="B81" s="36">
        <v>3</v>
      </c>
      <c r="C81" t="s" s="35">
        <v>1823</v>
      </c>
      <c r="D81" t="s" s="35">
        <v>2218</v>
      </c>
      <c r="E81" t="s" s="35">
        <v>2252</v>
      </c>
      <c r="F81" s="36">
        <v>3</v>
      </c>
      <c r="G81" t="s" s="35">
        <v>265</v>
      </c>
      <c r="H81" t="s" s="35">
        <v>2253</v>
      </c>
      <c r="I81" t="s" s="120">
        <v>2254</v>
      </c>
      <c r="J81" t="s" s="35">
        <v>1055</v>
      </c>
      <c r="K81" t="s" s="35">
        <v>1109</v>
      </c>
      <c r="L81" s="39"/>
      <c r="M81" t="str" s="39">
        <v>Ciencias físicas</v>
      </c>
      <c r="N81" t="str" s="39">
        <v>Propiedades y cambios de la materia</v>
      </c>
      <c r="O81" t="str" s="39" cm="1">
        <f t="array" ref="O81">IF(L81="","",_xlfn.IFERROR(INDEX('Datos - Catálogo TIMSS'!$C$5:$C$107,MATCH(L81,'Datos - Catálogo TIMSS'!$A$5:$A$107,0)),"?"))</f>
      </c>
      <c r="P81" t="s" s="35">
        <v>254</v>
      </c>
      <c r="Q81" t="s" s="120">
        <v>2255</v>
      </c>
      <c r="R81" t="s" s="120">
        <v>2256</v>
      </c>
      <c r="S81" s="121" cm="1">
        <f t="array" ref="S81">_xlfn.IFERROR(ISNUMBER(SEARCH("Conocer",$R81))/(ISNUMBER(SEARCH("Conocer",$R81))+ISNUMBER(SEARCH("Aplicar",$R81))+ISNUMBER(SEARCH("Razonar",$R81))),0)</f>
        <v>0.5</v>
      </c>
      <c r="T81" s="121" cm="1">
        <f t="array" ref="T81">_xlfn.IFERROR(ISNUMBER(SEARCH("Aplicar",$R81))/(ISNUMBER(SEARCH("Conocer",$R81))+ISNUMBER(SEARCH("Aplicar",$R81))+ISNUMBER(SEARCH("Razonar",$R81))),0)</f>
        <v>0.5</v>
      </c>
      <c r="U81" s="121" cm="1">
        <f t="array" ref="U81">_xlfn.IFERROR(ISNUMBER(SEARCH("Razonar",$R81))/(ISNUMBER(SEARCH("Conocer",$R81))+ISNUMBER(SEARCH("Aplicar",$R81))+ISNUMBER(SEARCH("Razonar",$R81))),0)</f>
        <v>0</v>
      </c>
      <c r="V81" t="s" s="35">
        <v>74</v>
      </c>
      <c r="W81" t="s" s="35">
        <v>112</v>
      </c>
      <c r="X81" s="36" cm="1">
        <f t="array" ref="X81">IF(OR(_xlfn.IFERROR(INDEX('Datos - Catálogo TIMSS'!$I$5:$I$107,MATCH(K81,'Datos - Catálogo TIMSS'!$A$5:$A$107,0)),"No")="Sí",_xlfn.IFERROR(INDEX('Datos - Catálogo TIMSS'!$I$5:$I$107,MATCH(L81,'Datos - Catálogo TIMSS'!$A$5:$A$107,0)),"No")="Sí"),1,0)</f>
        <v>0</v>
      </c>
      <c r="Y81" s="36" cm="1">
        <f t="array" ref="Y81">IF(_xlfn.IFERROR(INDEX('Datos - Catálogo TIMSS'!$J$5:$J$107,MATCH(K81,'Datos - Catálogo TIMSS'!$A$5:$A$107,0)),"No")="Sí",1,0)</f>
        <v>0</v>
      </c>
      <c r="Z81" s="36" cm="1">
        <f t="array" ref="Z81">IF(_xlfn.IFERROR(INDEX('Datos - Catálogo TIMSS'!$J$5:$J$107,MATCH(L81,'Datos - Catálogo TIMSS'!$A$5:$A$107,0)),"No")="Sí",1,0)</f>
        <v>0</v>
      </c>
      <c r="AA81" t="s" s="35">
        <v>1867</v>
      </c>
      <c r="AB81" t="s" s="35">
        <v>1879</v>
      </c>
      <c r="AC81" t="str" s="39">
        <v>Ciencias físicas</v>
      </c>
      <c r="AD81" t="s" s="35">
        <v>1859</v>
      </c>
      <c r="AE81" t="str" s="39" cm="1">
        <f t="array" ref="AE81">IF(AD81="","",IF(LEFT(AD81,1)="1","C1",IF(LEFT(AD81,1)="2","C2",IF(LEFT(AD81,1)="3","C3",""))))</f>
        <v>C1</v>
      </c>
      <c r="AF81" t="s" s="35">
        <v>1602</v>
      </c>
      <c r="AG81" t="s" s="35">
        <v>1617</v>
      </c>
      <c r="AH81" t="s" s="35">
        <v>1602</v>
      </c>
      <c r="AI81" t="s" s="35">
        <v>1623</v>
      </c>
      <c r="AJ81" t="s" s="35">
        <v>1602</v>
      </c>
      <c r="AK81" s="39"/>
      <c r="AL81" s="39"/>
      <c r="AM81" s="39"/>
      <c r="AN81" s="39"/>
      <c r="AO81" s="39"/>
      <c r="AP81" s="39"/>
      <c r="AQ81" s="39"/>
      <c r="AR81" s="39"/>
      <c r="AS81" s="39"/>
      <c r="AT81" s="39"/>
      <c r="AU81" s="39"/>
      <c r="AV81" s="39"/>
      <c r="AW81" t="str" s="39" cm="1">
        <f t="array" ref="AW81">AF81&amp;"; "&amp;AG81&amp;"; "&amp;AH81&amp;"; "&amp;AI81&amp;"; "&amp;AJ81</f>
        <v>E1; D1; E1; D4; E1</v>
      </c>
    </row>
    <row r="82" ht="13.65" customHeight="1">
      <c r="A82" t="s" s="35">
        <v>2257</v>
      </c>
      <c r="B82" s="36">
        <v>3</v>
      </c>
      <c r="C82" t="s" s="35">
        <v>1823</v>
      </c>
      <c r="D82" t="s" s="35">
        <v>2218</v>
      </c>
      <c r="E82" t="s" s="35">
        <v>2252</v>
      </c>
      <c r="F82" s="36">
        <v>4</v>
      </c>
      <c r="G82" t="s" s="35">
        <v>265</v>
      </c>
      <c r="H82" t="s" s="35">
        <v>2253</v>
      </c>
      <c r="I82" t="s" s="120">
        <v>2258</v>
      </c>
      <c r="J82" t="s" s="35">
        <v>1055</v>
      </c>
      <c r="K82" t="s" s="35">
        <v>1109</v>
      </c>
      <c r="L82" t="s" s="35">
        <v>313</v>
      </c>
      <c r="M82" t="str" s="39">
        <v>Ciencias físicas</v>
      </c>
      <c r="N82" t="str" s="39">
        <v>Propiedades y cambios de la materia</v>
      </c>
      <c r="O82" t="str" s="39" cm="1">
        <f t="array" ref="O82">IF(L82="","",_xlfn.IFERROR(INDEX('Datos - Catálogo TIMSS'!$C$5:$C$107,MATCH(L82,'Datos - Catálogo TIMSS'!$A$5:$A$107,0)),"?"))</f>
        <v>Ciencias físicas</v>
      </c>
      <c r="P82" t="s" s="35">
        <v>282</v>
      </c>
      <c r="Q82" t="s" s="120">
        <v>2259</v>
      </c>
      <c r="R82" t="s" s="120">
        <v>2260</v>
      </c>
      <c r="S82" s="121" cm="1">
        <f t="array" ref="S82">_xlfn.IFERROR(ISNUMBER(SEARCH("Conocer",$R82))/(ISNUMBER(SEARCH("Conocer",$R82))+ISNUMBER(SEARCH("Aplicar",$R82))+ISNUMBER(SEARCH("Razonar",$R82))),0)</f>
        <v>0</v>
      </c>
      <c r="T82" s="121" cm="1">
        <f t="array" ref="T82">_xlfn.IFERROR(ISNUMBER(SEARCH("Aplicar",$R82))/(ISNUMBER(SEARCH("Conocer",$R82))+ISNUMBER(SEARCH("Aplicar",$R82))+ISNUMBER(SEARCH("Razonar",$R82))),0)</f>
        <v>0</v>
      </c>
      <c r="U82" s="121" cm="1">
        <f t="array" ref="U82">_xlfn.IFERROR(ISNUMBER(SEARCH("Razonar",$R82))/(ISNUMBER(SEARCH("Conocer",$R82))+ISNUMBER(SEARCH("Aplicar",$R82))+ISNUMBER(SEARCH("Razonar",$R82))),0)</f>
        <v>1</v>
      </c>
      <c r="V82" t="s" s="35">
        <v>74</v>
      </c>
      <c r="W82" t="s" s="35">
        <v>112</v>
      </c>
      <c r="X82" s="36" cm="1">
        <f t="array" ref="X82">IF(OR(_xlfn.IFERROR(INDEX('Datos - Catálogo TIMSS'!$I$5:$I$107,MATCH(K82,'Datos - Catálogo TIMSS'!$A$5:$A$107,0)),"No")="Sí",_xlfn.IFERROR(INDEX('Datos - Catálogo TIMSS'!$I$5:$I$107,MATCH(L82,'Datos - Catálogo TIMSS'!$A$5:$A$107,0)),"No")="Sí"),1,0)</f>
        <v>0</v>
      </c>
      <c r="Y82" s="36" cm="1">
        <f t="array" ref="Y82">IF(_xlfn.IFERROR(INDEX('Datos - Catálogo TIMSS'!$J$5:$J$107,MATCH(K82,'Datos - Catálogo TIMSS'!$A$5:$A$107,0)),"No")="Sí",1,0)</f>
        <v>0</v>
      </c>
      <c r="Z82" s="36" cm="1">
        <f t="array" ref="Z82">IF(_xlfn.IFERROR(INDEX('Datos - Catálogo TIMSS'!$J$5:$J$107,MATCH(L82,'Datos - Catálogo TIMSS'!$A$5:$A$107,0)),"No")="Sí",1,0)</f>
        <v>0</v>
      </c>
      <c r="AA82" t="s" s="35">
        <v>1867</v>
      </c>
      <c r="AB82" t="s" s="35">
        <v>1879</v>
      </c>
      <c r="AC82" t="str" s="39">
        <v>Ciencias físicas</v>
      </c>
      <c r="AD82" t="s" s="35">
        <v>1834</v>
      </c>
      <c r="AE82" t="str" s="39" cm="1">
        <f t="array" ref="AE82">IF(AD82="","",IF(LEFT(AD82,1)="1","C1",IF(LEFT(AD82,1)="2","C2",IF(LEFT(AD82,1)="3","C3",""))))</f>
        <v>C2</v>
      </c>
      <c r="AF82" t="s" s="35">
        <v>1602</v>
      </c>
      <c r="AG82" t="s" s="35">
        <v>1607</v>
      </c>
      <c r="AH82" t="s" s="35">
        <v>1602</v>
      </c>
      <c r="AI82" t="s" s="35">
        <v>1619</v>
      </c>
      <c r="AJ82" t="s" s="35">
        <v>1631</v>
      </c>
      <c r="AK82" s="39"/>
      <c r="AL82" s="39"/>
      <c r="AM82" s="39"/>
      <c r="AN82" s="39"/>
      <c r="AO82" s="39"/>
      <c r="AP82" s="39"/>
      <c r="AQ82" s="39"/>
      <c r="AR82" s="39"/>
      <c r="AS82" s="39"/>
      <c r="AT82" s="39"/>
      <c r="AU82" s="39"/>
      <c r="AV82" s="39"/>
      <c r="AW82" t="str" s="39" cm="1">
        <f t="array" ref="AW82">AF82&amp;"; "&amp;AG82&amp;"; "&amp;AH82&amp;"; "&amp;AI82&amp;"; "&amp;AJ82</f>
        <v>E1; E3; E1; D2; I4</v>
      </c>
    </row>
    <row r="83" ht="13.65" customHeight="1">
      <c r="A83" t="s" s="35">
        <v>2262</v>
      </c>
      <c r="B83" s="36">
        <v>3</v>
      </c>
      <c r="C83" t="s" s="35">
        <v>1823</v>
      </c>
      <c r="D83" t="s" s="35">
        <v>2218</v>
      </c>
      <c r="E83" t="s" s="35">
        <v>2252</v>
      </c>
      <c r="F83" s="36">
        <v>5</v>
      </c>
      <c r="G83" t="s" s="35">
        <v>265</v>
      </c>
      <c r="H83" t="s" s="35">
        <v>1883</v>
      </c>
      <c r="I83" t="s" s="120">
        <v>2263</v>
      </c>
      <c r="J83" t="s" s="35">
        <v>1055</v>
      </c>
      <c r="K83" t="s" s="35">
        <v>1109</v>
      </c>
      <c r="L83" s="39"/>
      <c r="M83" t="str" s="39">
        <v>Ciencias físicas</v>
      </c>
      <c r="N83" t="str" s="39">
        <v>Propiedades y cambios de la materia</v>
      </c>
      <c r="O83" t="str" s="39" cm="1">
        <f t="array" ref="O83">IF(L83="","",_xlfn.IFERROR(INDEX('Datos - Catálogo TIMSS'!$C$5:$C$107,MATCH(L83,'Datos - Catálogo TIMSS'!$A$5:$A$107,0)),"?"))</f>
      </c>
      <c r="P83" t="s" s="35">
        <v>254</v>
      </c>
      <c r="Q83" t="s" s="120">
        <v>2264</v>
      </c>
      <c r="R83" t="s" s="120">
        <v>1847</v>
      </c>
      <c r="S83" s="121" cm="1">
        <f t="array" ref="S83">_xlfn.IFERROR(ISNUMBER(SEARCH("Conocer",$R83))/(ISNUMBER(SEARCH("Conocer",$R83))+ISNUMBER(SEARCH("Aplicar",$R83))+ISNUMBER(SEARCH("Razonar",$R83))),0)</f>
        <v>0</v>
      </c>
      <c r="T83" s="121" cm="1">
        <f t="array" ref="T83">_xlfn.IFERROR(ISNUMBER(SEARCH("Aplicar",$R83))/(ISNUMBER(SEARCH("Conocer",$R83))+ISNUMBER(SEARCH("Aplicar",$R83))+ISNUMBER(SEARCH("Razonar",$R83))),0)</f>
        <v>1</v>
      </c>
      <c r="U83" s="121" cm="1">
        <f t="array" ref="U83">_xlfn.IFERROR(ISNUMBER(SEARCH("Razonar",$R83))/(ISNUMBER(SEARCH("Conocer",$R83))+ISNUMBER(SEARCH("Aplicar",$R83))+ISNUMBER(SEARCH("Razonar",$R83))),0)</f>
        <v>0</v>
      </c>
      <c r="V83" t="s" s="35">
        <v>74</v>
      </c>
      <c r="W83" t="s" s="35">
        <v>112</v>
      </c>
      <c r="X83" s="36" cm="1">
        <f t="array" ref="X83">IF(OR(_xlfn.IFERROR(INDEX('Datos - Catálogo TIMSS'!$I$5:$I$107,MATCH(K83,'Datos - Catálogo TIMSS'!$A$5:$A$107,0)),"No")="Sí",_xlfn.IFERROR(INDEX('Datos - Catálogo TIMSS'!$I$5:$I$107,MATCH(L83,'Datos - Catálogo TIMSS'!$A$5:$A$107,0)),"No")="Sí"),1,0)</f>
        <v>0</v>
      </c>
      <c r="Y83" s="36" cm="1">
        <f t="array" ref="Y83">IF(_xlfn.IFERROR(INDEX('Datos - Catálogo TIMSS'!$J$5:$J$107,MATCH(K83,'Datos - Catálogo TIMSS'!$A$5:$A$107,0)),"No")="Sí",1,0)</f>
        <v>0</v>
      </c>
      <c r="Z83" s="36" cm="1">
        <f t="array" ref="Z83">IF(_xlfn.IFERROR(INDEX('Datos - Catálogo TIMSS'!$J$5:$J$107,MATCH(L83,'Datos - Catálogo TIMSS'!$A$5:$A$107,0)),"No")="Sí",1,0)</f>
        <v>0</v>
      </c>
      <c r="AA83" t="s" s="35">
        <v>1848</v>
      </c>
      <c r="AB83" s="39"/>
      <c r="AC83" t="str" s="39">
        <v>Ciencias físicas</v>
      </c>
      <c r="AD83" t="s" s="35">
        <v>1834</v>
      </c>
      <c r="AE83" t="str" s="39" cm="1">
        <f t="array" ref="AE83">IF(AD83="","",IF(LEFT(AD83,1)="1","C1",IF(LEFT(AD83,1)="2","C2",IF(LEFT(AD83,1)="3","C3",""))))</f>
        <v>C2</v>
      </c>
      <c r="AF83" t="s" s="35">
        <v>1602</v>
      </c>
      <c r="AG83" t="s" s="35">
        <v>1617</v>
      </c>
      <c r="AH83" t="s" s="35">
        <v>1602</v>
      </c>
      <c r="AI83" t="s" s="35">
        <v>1623</v>
      </c>
      <c r="AJ83" t="s" s="35">
        <v>1602</v>
      </c>
      <c r="AK83" s="39"/>
      <c r="AL83" s="39"/>
      <c r="AM83" s="39"/>
      <c r="AN83" s="39"/>
      <c r="AO83" s="39"/>
      <c r="AP83" s="39"/>
      <c r="AQ83" s="39"/>
      <c r="AR83" s="39"/>
      <c r="AS83" s="39"/>
      <c r="AT83" s="39"/>
      <c r="AU83" s="39"/>
      <c r="AV83" s="39"/>
      <c r="AW83" t="str" s="39" cm="1">
        <f t="array" ref="AW83">AF83&amp;"; "&amp;AG83&amp;"; "&amp;AH83&amp;"; "&amp;AI83&amp;"; "&amp;AJ83</f>
        <v>E1; D1; E1; D4; E1</v>
      </c>
    </row>
    <row r="84" ht="13.65" customHeight="1">
      <c r="A84" t="s" s="35">
        <v>2265</v>
      </c>
      <c r="B84" s="36">
        <v>3</v>
      </c>
      <c r="C84" t="s" s="35">
        <v>1823</v>
      </c>
      <c r="D84" t="s" s="35">
        <v>2218</v>
      </c>
      <c r="E84" t="s" s="35">
        <v>2252</v>
      </c>
      <c r="F84" s="36">
        <v>6</v>
      </c>
      <c r="G84" t="s" s="35">
        <v>265</v>
      </c>
      <c r="H84" t="s" s="35">
        <v>1883</v>
      </c>
      <c r="I84" t="s" s="120">
        <v>2266</v>
      </c>
      <c r="J84" t="s" s="35">
        <v>1055</v>
      </c>
      <c r="K84" t="s" s="35">
        <v>1109</v>
      </c>
      <c r="L84" s="39"/>
      <c r="M84" t="str" s="39">
        <v>Ciencias físicas</v>
      </c>
      <c r="N84" t="str" s="39">
        <v>Propiedades y cambios de la materia</v>
      </c>
      <c r="O84" t="str" s="39" cm="1">
        <f t="array" ref="O84">IF(L84="","",_xlfn.IFERROR(INDEX('Datos - Catálogo TIMSS'!$C$5:$C$107,MATCH(L84,'Datos - Catálogo TIMSS'!$A$5:$A$107,0)),"?"))</f>
      </c>
      <c r="P84" t="s" s="35">
        <v>254</v>
      </c>
      <c r="Q84" t="s" s="120">
        <v>2267</v>
      </c>
      <c r="R84" t="s" s="120">
        <v>2268</v>
      </c>
      <c r="S84" s="121" cm="1">
        <f t="array" ref="S84">_xlfn.IFERROR(ISNUMBER(SEARCH("Conocer",$R84))/(ISNUMBER(SEARCH("Conocer",$R84))+ISNUMBER(SEARCH("Aplicar",$R84))+ISNUMBER(SEARCH("Razonar",$R84))),0)</f>
        <v>0.5</v>
      </c>
      <c r="T84" s="121" cm="1">
        <f t="array" ref="T84">_xlfn.IFERROR(ISNUMBER(SEARCH("Aplicar",$R84))/(ISNUMBER(SEARCH("Conocer",$R84))+ISNUMBER(SEARCH("Aplicar",$R84))+ISNUMBER(SEARCH("Razonar",$R84))),0)</f>
        <v>0.5</v>
      </c>
      <c r="U84" s="121" cm="1">
        <f t="array" ref="U84">_xlfn.IFERROR(ISNUMBER(SEARCH("Razonar",$R84))/(ISNUMBER(SEARCH("Conocer",$R84))+ISNUMBER(SEARCH("Aplicar",$R84))+ISNUMBER(SEARCH("Razonar",$R84))),0)</f>
        <v>0</v>
      </c>
      <c r="V84" t="s" s="35">
        <v>74</v>
      </c>
      <c r="W84" t="s" s="35">
        <v>112</v>
      </c>
      <c r="X84" s="36" cm="1">
        <f t="array" ref="X84">IF(OR(_xlfn.IFERROR(INDEX('Datos - Catálogo TIMSS'!$I$5:$I$107,MATCH(K84,'Datos - Catálogo TIMSS'!$A$5:$A$107,0)),"No")="Sí",_xlfn.IFERROR(INDEX('Datos - Catálogo TIMSS'!$I$5:$I$107,MATCH(L84,'Datos - Catálogo TIMSS'!$A$5:$A$107,0)),"No")="Sí"),1,0)</f>
        <v>0</v>
      </c>
      <c r="Y84" s="36" cm="1">
        <f t="array" ref="Y84">IF(_xlfn.IFERROR(INDEX('Datos - Catálogo TIMSS'!$J$5:$J$107,MATCH(K84,'Datos - Catálogo TIMSS'!$A$5:$A$107,0)),"No")="Sí",1,0)</f>
        <v>0</v>
      </c>
      <c r="Z84" s="36" cm="1">
        <f t="array" ref="Z84">IF(_xlfn.IFERROR(INDEX('Datos - Catálogo TIMSS'!$J$5:$J$107,MATCH(L84,'Datos - Catálogo TIMSS'!$A$5:$A$107,0)),"No")="Sí",1,0)</f>
        <v>0</v>
      </c>
      <c r="AA84" t="s" s="35">
        <v>1848</v>
      </c>
      <c r="AB84" s="39"/>
      <c r="AC84" t="str" s="39">
        <v>Ciencias físicas</v>
      </c>
      <c r="AD84" t="s" s="35">
        <v>1859</v>
      </c>
      <c r="AE84" t="str" s="39" cm="1">
        <f t="array" ref="AE84">IF(AD84="","",IF(LEFT(AD84,1)="1","C1",IF(LEFT(AD84,1)="2","C2",IF(LEFT(AD84,1)="3","C3",""))))</f>
        <v>C1</v>
      </c>
      <c r="AF84" t="s" s="35">
        <v>1602</v>
      </c>
      <c r="AG84" t="s" s="35">
        <v>1617</v>
      </c>
      <c r="AH84" t="s" s="35">
        <v>1602</v>
      </c>
      <c r="AI84" t="s" s="35">
        <v>1623</v>
      </c>
      <c r="AJ84" t="s" s="35">
        <v>1607</v>
      </c>
      <c r="AK84" s="39"/>
      <c r="AL84" s="39"/>
      <c r="AM84" s="39"/>
      <c r="AN84" s="39"/>
      <c r="AO84" s="39"/>
      <c r="AP84" s="39"/>
      <c r="AQ84" s="39"/>
      <c r="AR84" s="39"/>
      <c r="AS84" s="39"/>
      <c r="AT84" s="39"/>
      <c r="AU84" s="39"/>
      <c r="AV84" s="39"/>
      <c r="AW84" t="str" s="39" cm="1">
        <f t="array" ref="AW84">AF84&amp;"; "&amp;AG84&amp;"; "&amp;AH84&amp;"; "&amp;AI84&amp;"; "&amp;AJ84</f>
        <v>E1; D1; E1; D4; E3</v>
      </c>
    </row>
    <row r="85" ht="13.65" customHeight="1">
      <c r="A85" t="s" s="35">
        <v>2269</v>
      </c>
      <c r="B85" s="36">
        <v>3</v>
      </c>
      <c r="C85" t="s" s="35">
        <v>1823</v>
      </c>
      <c r="D85" t="s" s="35">
        <v>2218</v>
      </c>
      <c r="E85" t="s" s="35">
        <v>2252</v>
      </c>
      <c r="F85" s="36">
        <v>7</v>
      </c>
      <c r="G85" t="s" s="35">
        <v>265</v>
      </c>
      <c r="H85" t="s" s="35">
        <v>1883</v>
      </c>
      <c r="I85" t="s" s="120">
        <v>2270</v>
      </c>
      <c r="J85" t="s" s="35">
        <v>1055</v>
      </c>
      <c r="K85" t="s" s="35">
        <v>1109</v>
      </c>
      <c r="L85" t="s" s="35">
        <v>1136</v>
      </c>
      <c r="M85" t="str" s="39">
        <v>Ciencias físicas</v>
      </c>
      <c r="N85" t="str" s="39">
        <v>Propiedades y cambios de la materia</v>
      </c>
      <c r="O85" t="str" s="39" cm="1">
        <f t="array" ref="O85">IF(L85="","",_xlfn.IFERROR(INDEX('Datos - Catálogo TIMSS'!$C$5:$C$107,MATCH(L85,'Datos - Catálogo TIMSS'!$A$5:$A$107,0)),"?"))</f>
        <v>Ciencias físicas</v>
      </c>
      <c r="P85" t="s" s="35">
        <v>254</v>
      </c>
      <c r="Q85" t="s" s="120">
        <v>2271</v>
      </c>
      <c r="R85" t="s" s="120">
        <v>2272</v>
      </c>
      <c r="S85" s="121" cm="1">
        <f t="array" ref="S85">_xlfn.IFERROR(ISNUMBER(SEARCH("Conocer",$R85))/(ISNUMBER(SEARCH("Conocer",$R85))+ISNUMBER(SEARCH("Aplicar",$R85))+ISNUMBER(SEARCH("Razonar",$R85))),0)</f>
        <v>0</v>
      </c>
      <c r="T85" s="121" cm="1">
        <f t="array" ref="T85">_xlfn.IFERROR(ISNUMBER(SEARCH("Aplicar",$R85))/(ISNUMBER(SEARCH("Conocer",$R85))+ISNUMBER(SEARCH("Aplicar",$R85))+ISNUMBER(SEARCH("Razonar",$R85))),0)</f>
        <v>0</v>
      </c>
      <c r="U85" s="121" cm="1">
        <f t="array" ref="U85">_xlfn.IFERROR(ISNUMBER(SEARCH("Razonar",$R85))/(ISNUMBER(SEARCH("Conocer",$R85))+ISNUMBER(SEARCH("Aplicar",$R85))+ISNUMBER(SEARCH("Razonar",$R85))),0)</f>
        <v>1</v>
      </c>
      <c r="V85" t="s" s="35">
        <v>74</v>
      </c>
      <c r="W85" t="s" s="35">
        <v>112</v>
      </c>
      <c r="X85" s="36" cm="1">
        <f t="array" ref="X85">IF(OR(_xlfn.IFERROR(INDEX('Datos - Catálogo TIMSS'!$I$5:$I$107,MATCH(K85,'Datos - Catálogo TIMSS'!$A$5:$A$107,0)),"No")="Sí",_xlfn.IFERROR(INDEX('Datos - Catálogo TIMSS'!$I$5:$I$107,MATCH(L85,'Datos - Catálogo TIMSS'!$A$5:$A$107,0)),"No")="Sí"),1,0)</f>
        <v>0</v>
      </c>
      <c r="Y85" s="36" cm="1">
        <f t="array" ref="Y85">IF(_xlfn.IFERROR(INDEX('Datos - Catálogo TIMSS'!$J$5:$J$107,MATCH(K85,'Datos - Catálogo TIMSS'!$A$5:$A$107,0)),"No")="Sí",1,0)</f>
        <v>0</v>
      </c>
      <c r="Z85" s="36" cm="1">
        <f t="array" ref="Z85">IF(_xlfn.IFERROR(INDEX('Datos - Catálogo TIMSS'!$J$5:$J$107,MATCH(L85,'Datos - Catálogo TIMSS'!$A$5:$A$107,0)),"No")="Sí",1,0)</f>
        <v>1</v>
      </c>
      <c r="AA85" t="s" s="35">
        <v>1848</v>
      </c>
      <c r="AB85" s="39"/>
      <c r="AC85" t="str" s="39">
        <v>Ciencias físicas</v>
      </c>
      <c r="AD85" t="s" s="35">
        <v>1834</v>
      </c>
      <c r="AE85" t="str" s="39" cm="1">
        <f t="array" ref="AE85">IF(AD85="","",IF(LEFT(AD85,1)="1","C1",IF(LEFT(AD85,1)="2","C2",IF(LEFT(AD85,1)="3","C3",""))))</f>
        <v>C2</v>
      </c>
      <c r="AF85" t="s" s="35">
        <v>1602</v>
      </c>
      <c r="AG85" t="s" s="35">
        <v>1607</v>
      </c>
      <c r="AH85" t="s" s="35">
        <v>1605</v>
      </c>
      <c r="AI85" t="s" s="35">
        <v>1621</v>
      </c>
      <c r="AJ85" t="s" s="35">
        <v>1607</v>
      </c>
      <c r="AK85" s="39"/>
      <c r="AL85" s="39"/>
      <c r="AM85" s="39"/>
      <c r="AN85" s="39"/>
      <c r="AO85" s="39"/>
      <c r="AP85" s="39"/>
      <c r="AQ85" s="39"/>
      <c r="AR85" s="39"/>
      <c r="AS85" s="39"/>
      <c r="AT85" s="39"/>
      <c r="AU85" s="39"/>
      <c r="AV85" s="39"/>
      <c r="AW85" t="str" s="39" cm="1">
        <f t="array" ref="AW85">AF85&amp;"; "&amp;AG85&amp;"; "&amp;AH85&amp;"; "&amp;AI85&amp;"; "&amp;AJ85</f>
        <v>E1; E3; E2; D3; E3</v>
      </c>
    </row>
    <row r="86" ht="13.65" customHeight="1">
      <c r="A86" t="s" s="35">
        <v>2274</v>
      </c>
      <c r="B86" s="36">
        <v>3</v>
      </c>
      <c r="C86" t="s" s="35">
        <v>1823</v>
      </c>
      <c r="D86" t="s" s="35">
        <v>2218</v>
      </c>
      <c r="E86" t="s" s="35">
        <v>2252</v>
      </c>
      <c r="F86" s="36">
        <v>8</v>
      </c>
      <c r="G86" t="s" s="35">
        <v>265</v>
      </c>
      <c r="H86" t="s" s="35">
        <v>2275</v>
      </c>
      <c r="I86" t="s" s="120">
        <v>2276</v>
      </c>
      <c r="J86" t="s" s="35">
        <v>1055</v>
      </c>
      <c r="K86" t="s" s="35">
        <v>1148</v>
      </c>
      <c r="L86" s="39"/>
      <c r="M86" t="str" s="39">
        <v>Ciencias de la Tierra</v>
      </c>
      <c r="N86" t="str" s="39">
        <v>Recursos de la Tierra, uso y conservación</v>
      </c>
      <c r="O86" t="str" s="39" cm="1">
        <f t="array" ref="O86">IF(L86="","",_xlfn.IFERROR(INDEX('Datos - Catálogo TIMSS'!$C$5:$C$107,MATCH(L86,'Datos - Catálogo TIMSS'!$A$5:$A$107,0)),"?"))</f>
      </c>
      <c r="P86" t="s" s="35">
        <v>282</v>
      </c>
      <c r="Q86" t="s" s="120">
        <v>2277</v>
      </c>
      <c r="R86" t="s" s="120">
        <v>2278</v>
      </c>
      <c r="S86" s="121" cm="1">
        <f t="array" ref="S86">_xlfn.IFERROR(ISNUMBER(SEARCH("Conocer",$R86))/(ISNUMBER(SEARCH("Conocer",$R86))+ISNUMBER(SEARCH("Aplicar",$R86))+ISNUMBER(SEARCH("Razonar",$R86))),0)</f>
        <v>0.5</v>
      </c>
      <c r="T86" s="121" cm="1">
        <f t="array" ref="T86">_xlfn.IFERROR(ISNUMBER(SEARCH("Aplicar",$R86))/(ISNUMBER(SEARCH("Conocer",$R86))+ISNUMBER(SEARCH("Aplicar",$R86))+ISNUMBER(SEARCH("Razonar",$R86))),0)</f>
        <v>0.5</v>
      </c>
      <c r="U86" s="121" cm="1">
        <f t="array" ref="U86">_xlfn.IFERROR(ISNUMBER(SEARCH("Razonar",$R86))/(ISNUMBER(SEARCH("Conocer",$R86))+ISNUMBER(SEARCH("Aplicar",$R86))+ISNUMBER(SEARCH("Razonar",$R86))),0)</f>
        <v>0</v>
      </c>
      <c r="V86" t="s" s="35">
        <v>74</v>
      </c>
      <c r="W86" t="s" s="35">
        <v>112</v>
      </c>
      <c r="X86" s="36" cm="1">
        <f t="array" ref="X86">IF(OR(_xlfn.IFERROR(INDEX('Datos - Catálogo TIMSS'!$I$5:$I$107,MATCH(K86,'Datos - Catálogo TIMSS'!$A$5:$A$107,0)),"No")="Sí",_xlfn.IFERROR(INDEX('Datos - Catálogo TIMSS'!$I$5:$I$107,MATCH(L86,'Datos - Catálogo TIMSS'!$A$5:$A$107,0)),"No")="Sí"),1,0)</f>
        <v>1</v>
      </c>
      <c r="Y86" s="36" cm="1">
        <f t="array" ref="Y86">IF(_xlfn.IFERROR(INDEX('Datos - Catálogo TIMSS'!$J$5:$J$107,MATCH(K86,'Datos - Catálogo TIMSS'!$A$5:$A$107,0)),"No")="Sí",1,0)</f>
        <v>0</v>
      </c>
      <c r="Z86" s="36" cm="1">
        <f t="array" ref="Z86">IF(_xlfn.IFERROR(INDEX('Datos - Catálogo TIMSS'!$J$5:$J$107,MATCH(L86,'Datos - Catálogo TIMSS'!$A$5:$A$107,0)),"No")="Sí",1,0)</f>
        <v>0</v>
      </c>
      <c r="AA86" t="s" s="35">
        <v>1899</v>
      </c>
      <c r="AB86" s="39"/>
      <c r="AC86" t="str" s="39">
        <v>Ciencias de la Tierra</v>
      </c>
      <c r="AD86" t="s" s="35">
        <v>1859</v>
      </c>
      <c r="AE86" t="str" s="39" cm="1">
        <f t="array" ref="AE86">IF(AD86="","",IF(LEFT(AD86,1)="1","C1",IF(LEFT(AD86,1)="2","C2",IF(LEFT(AD86,1)="3","C3",""))))</f>
        <v>C1</v>
      </c>
      <c r="AF86" t="s" s="35">
        <v>1602</v>
      </c>
      <c r="AG86" t="s" s="35">
        <v>1617</v>
      </c>
      <c r="AH86" t="s" s="35">
        <v>1602</v>
      </c>
      <c r="AI86" t="s" s="35">
        <v>1623</v>
      </c>
      <c r="AJ86" t="s" s="35">
        <v>1615</v>
      </c>
      <c r="AK86" s="39"/>
      <c r="AL86" s="39"/>
      <c r="AM86" s="39"/>
      <c r="AN86" s="39"/>
      <c r="AO86" s="39"/>
      <c r="AP86" s="39"/>
      <c r="AQ86" s="39"/>
      <c r="AR86" s="39"/>
      <c r="AS86" s="39"/>
      <c r="AT86" s="39"/>
      <c r="AU86" s="39"/>
      <c r="AV86" s="39"/>
      <c r="AW86" t="str" s="39" cm="1">
        <f t="array" ref="AW86">AF86&amp;"; "&amp;AG86&amp;"; "&amp;AH86&amp;"; "&amp;AI86&amp;"; "&amp;AJ86</f>
        <v>E1; D1; E1; D4; E6</v>
      </c>
    </row>
    <row r="87" ht="13.65" customHeight="1">
      <c r="A87" t="s" s="35">
        <v>2279</v>
      </c>
      <c r="B87" s="36">
        <v>3</v>
      </c>
      <c r="C87" t="s" s="35">
        <v>1823</v>
      </c>
      <c r="D87" t="s" s="35">
        <v>2218</v>
      </c>
      <c r="E87" t="s" s="35">
        <v>2252</v>
      </c>
      <c r="F87" s="36">
        <v>9</v>
      </c>
      <c r="G87" t="s" s="35">
        <v>265</v>
      </c>
      <c r="H87" t="s" s="35">
        <v>2275</v>
      </c>
      <c r="I87" t="s" s="120">
        <v>2280</v>
      </c>
      <c r="J87" t="s" s="35">
        <v>1055</v>
      </c>
      <c r="K87" t="s" s="35">
        <v>266</v>
      </c>
      <c r="L87" s="39"/>
      <c r="M87" t="str" s="39">
        <v>Ciencias de la Tierra</v>
      </c>
      <c r="N87" t="str" s="39">
        <v>Rasgos, procesos e historia de la Tierra</v>
      </c>
      <c r="O87" t="str" s="39" cm="1">
        <f t="array" ref="O87">IF(L87="","",_xlfn.IFERROR(INDEX('Datos - Catálogo TIMSS'!$C$5:$C$107,MATCH(L87,'Datos - Catálogo TIMSS'!$A$5:$A$107,0)),"?"))</f>
      </c>
      <c r="P87" t="s" s="35">
        <v>291</v>
      </c>
      <c r="Q87" t="s" s="120">
        <v>2282</v>
      </c>
      <c r="R87" t="s" s="120">
        <v>2283</v>
      </c>
      <c r="S87" s="121" cm="1">
        <f t="array" ref="S87">_xlfn.IFERROR(ISNUMBER(SEARCH("Conocer",$R87))/(ISNUMBER(SEARCH("Conocer",$R87))+ISNUMBER(SEARCH("Aplicar",$R87))+ISNUMBER(SEARCH("Razonar",$R87))),0)</f>
        <v>0</v>
      </c>
      <c r="T87" s="121" cm="1">
        <f t="array" ref="T87">_xlfn.IFERROR(ISNUMBER(SEARCH("Aplicar",$R87))/(ISNUMBER(SEARCH("Conocer",$R87))+ISNUMBER(SEARCH("Aplicar",$R87))+ISNUMBER(SEARCH("Razonar",$R87))),0)</f>
        <v>1</v>
      </c>
      <c r="U87" s="121" cm="1">
        <f t="array" ref="U87">_xlfn.IFERROR(ISNUMBER(SEARCH("Razonar",$R87))/(ISNUMBER(SEARCH("Conocer",$R87))+ISNUMBER(SEARCH("Aplicar",$R87))+ISNUMBER(SEARCH("Razonar",$R87))),0)</f>
        <v>0</v>
      </c>
      <c r="V87" t="s" s="35">
        <v>74</v>
      </c>
      <c r="W87" t="s" s="35">
        <v>112</v>
      </c>
      <c r="X87" s="36" cm="1">
        <f t="array" ref="X87">IF(OR(_xlfn.IFERROR(INDEX('Datos - Catálogo TIMSS'!$I$5:$I$107,MATCH(K87,'Datos - Catálogo TIMSS'!$A$5:$A$107,0)),"No")="Sí",_xlfn.IFERROR(INDEX('Datos - Catálogo TIMSS'!$I$5:$I$107,MATCH(L87,'Datos - Catálogo TIMSS'!$A$5:$A$107,0)),"No")="Sí"),1,0)</f>
        <v>0</v>
      </c>
      <c r="Y87" s="36" cm="1">
        <f t="array" ref="Y87">IF(_xlfn.IFERROR(INDEX('Datos - Catálogo TIMSS'!$J$5:$J$107,MATCH(K87,'Datos - Catálogo TIMSS'!$A$5:$A$107,0)),"No")="Sí",1,0)</f>
        <v>0</v>
      </c>
      <c r="Z87" s="36" cm="1">
        <f t="array" ref="Z87">IF(_xlfn.IFERROR(INDEX('Datos - Catálogo TIMSS'!$J$5:$J$107,MATCH(L87,'Datos - Catálogo TIMSS'!$A$5:$A$107,0)),"No")="Sí",1,0)</f>
        <v>0</v>
      </c>
      <c r="AA87" t="s" s="35">
        <v>2284</v>
      </c>
      <c r="AB87" s="39"/>
      <c r="AC87" t="str" s="39">
        <v>Ciencias de la Tierra</v>
      </c>
      <c r="AD87" t="s" s="35">
        <v>1834</v>
      </c>
      <c r="AE87" t="str" s="39" cm="1">
        <f t="array" ref="AE87">IF(AD87="","",IF(LEFT(AD87,1)="1","C1",IF(LEFT(AD87,1)="2","C2",IF(LEFT(AD87,1)="3","C3",""))))</f>
        <v>C2</v>
      </c>
      <c r="AF87" t="s" s="35">
        <v>1602</v>
      </c>
      <c r="AG87" t="s" s="35">
        <v>1617</v>
      </c>
      <c r="AH87" t="s" s="35">
        <v>1602</v>
      </c>
      <c r="AI87" t="s" s="35">
        <v>1623</v>
      </c>
      <c r="AJ87" t="s" s="35">
        <v>1602</v>
      </c>
      <c r="AK87" s="39"/>
      <c r="AL87" s="39"/>
      <c r="AM87" s="39"/>
      <c r="AN87" s="39"/>
      <c r="AO87" s="39"/>
      <c r="AP87" s="39"/>
      <c r="AQ87" s="39"/>
      <c r="AR87" s="39"/>
      <c r="AS87" s="39"/>
      <c r="AT87" s="39"/>
      <c r="AU87" s="39"/>
      <c r="AV87" s="39"/>
      <c r="AW87" t="str" s="39" cm="1">
        <f t="array" ref="AW87">AF87&amp;"; "&amp;AG87&amp;"; "&amp;AH87&amp;"; "&amp;AI87&amp;"; "&amp;AJ87</f>
        <v>E1; D1; E1; D4; E1</v>
      </c>
    </row>
    <row r="88" ht="13.65" customHeight="1">
      <c r="A88" t="s" s="35">
        <v>2285</v>
      </c>
      <c r="B88" s="36">
        <v>3</v>
      </c>
      <c r="C88" t="s" s="35">
        <v>1823</v>
      </c>
      <c r="D88" t="s" s="35">
        <v>2218</v>
      </c>
      <c r="E88" t="s" s="35">
        <v>2252</v>
      </c>
      <c r="F88" s="36">
        <v>10</v>
      </c>
      <c r="G88" t="s" s="35">
        <v>265</v>
      </c>
      <c r="H88" t="s" s="35">
        <v>2286</v>
      </c>
      <c r="I88" t="s" s="120">
        <v>2287</v>
      </c>
      <c r="J88" t="s" s="35">
        <v>1055</v>
      </c>
      <c r="K88" t="s" s="35">
        <v>266</v>
      </c>
      <c r="L88" s="39"/>
      <c r="M88" t="str" s="39">
        <v>Ciencias de la Tierra</v>
      </c>
      <c r="N88" t="str" s="39">
        <v>Rasgos, procesos e historia de la Tierra</v>
      </c>
      <c r="O88" t="str" s="39" cm="1">
        <f t="array" ref="O88">IF(L88="","",_xlfn.IFERROR(INDEX('Datos - Catálogo TIMSS'!$C$5:$C$107,MATCH(L88,'Datos - Catálogo TIMSS'!$A$5:$A$107,0)),"?"))</f>
      </c>
      <c r="P88" t="s" s="35">
        <v>282</v>
      </c>
      <c r="Q88" t="s" s="120">
        <v>2288</v>
      </c>
      <c r="R88" t="s" s="120">
        <v>2289</v>
      </c>
      <c r="S88" s="121" cm="1">
        <f t="array" ref="S88">_xlfn.IFERROR(ISNUMBER(SEARCH("Conocer",$R88))/(ISNUMBER(SEARCH("Conocer",$R88))+ISNUMBER(SEARCH("Aplicar",$R88))+ISNUMBER(SEARCH("Razonar",$R88))),0)</f>
        <v>0.5</v>
      </c>
      <c r="T88" s="121" cm="1">
        <f t="array" ref="T88">_xlfn.IFERROR(ISNUMBER(SEARCH("Aplicar",$R88))/(ISNUMBER(SEARCH("Conocer",$R88))+ISNUMBER(SEARCH("Aplicar",$R88))+ISNUMBER(SEARCH("Razonar",$R88))),0)</f>
        <v>0.5</v>
      </c>
      <c r="U88" s="121" cm="1">
        <f t="array" ref="U88">_xlfn.IFERROR(ISNUMBER(SEARCH("Razonar",$R88))/(ISNUMBER(SEARCH("Conocer",$R88))+ISNUMBER(SEARCH("Aplicar",$R88))+ISNUMBER(SEARCH("Razonar",$R88))),0)</f>
        <v>0</v>
      </c>
      <c r="V88" t="s" s="35">
        <v>74</v>
      </c>
      <c r="W88" t="s" s="35">
        <v>112</v>
      </c>
      <c r="X88" s="36" cm="1">
        <f t="array" ref="X88">IF(OR(_xlfn.IFERROR(INDEX('Datos - Catálogo TIMSS'!$I$5:$I$107,MATCH(K88,'Datos - Catálogo TIMSS'!$A$5:$A$107,0)),"No")="Sí",_xlfn.IFERROR(INDEX('Datos - Catálogo TIMSS'!$I$5:$I$107,MATCH(L88,'Datos - Catálogo TIMSS'!$A$5:$A$107,0)),"No")="Sí"),1,0)</f>
        <v>0</v>
      </c>
      <c r="Y88" s="36" cm="1">
        <f t="array" ref="Y88">IF(_xlfn.IFERROR(INDEX('Datos - Catálogo TIMSS'!$J$5:$J$107,MATCH(K88,'Datos - Catálogo TIMSS'!$A$5:$A$107,0)),"No")="Sí",1,0)</f>
        <v>0</v>
      </c>
      <c r="Z88" s="36" cm="1">
        <f t="array" ref="Z88">IF(_xlfn.IFERROR(INDEX('Datos - Catálogo TIMSS'!$J$5:$J$107,MATCH(L88,'Datos - Catálogo TIMSS'!$A$5:$A$107,0)),"No")="Sí",1,0)</f>
        <v>0</v>
      </c>
      <c r="AA88" t="s" s="35">
        <v>2284</v>
      </c>
      <c r="AB88" s="39"/>
      <c r="AC88" t="str" s="39">
        <v>Ciencias de la Tierra</v>
      </c>
      <c r="AD88" t="s" s="35">
        <v>1859</v>
      </c>
      <c r="AE88" t="str" s="39" cm="1">
        <f t="array" ref="AE88">IF(AD88="","",IF(LEFT(AD88,1)="1","C1",IF(LEFT(AD88,1)="2","C2",IF(LEFT(AD88,1)="3","C3",""))))</f>
        <v>C1</v>
      </c>
      <c r="AF88" t="s" s="35">
        <v>1602</v>
      </c>
      <c r="AG88" t="s" s="35">
        <v>1612</v>
      </c>
      <c r="AH88" t="s" s="35">
        <v>1609</v>
      </c>
      <c r="AI88" t="s" s="35">
        <v>1609</v>
      </c>
      <c r="AJ88" t="s" s="35">
        <v>1602</v>
      </c>
      <c r="AK88" s="39"/>
      <c r="AL88" s="39"/>
      <c r="AM88" s="39"/>
      <c r="AN88" s="39"/>
      <c r="AO88" s="39"/>
      <c r="AP88" s="39"/>
      <c r="AQ88" s="39"/>
      <c r="AR88" s="39"/>
      <c r="AS88" s="39"/>
      <c r="AT88" s="39"/>
      <c r="AU88" s="39"/>
      <c r="AV88" s="39"/>
      <c r="AW88" t="str" s="39" cm="1">
        <f t="array" ref="AW88">AF88&amp;"; "&amp;AG88&amp;"; "&amp;AH88&amp;"; "&amp;AI88&amp;"; "&amp;AJ88</f>
        <v>E1; E5; E4; E4; E1</v>
      </c>
    </row>
    <row r="89" ht="13.65" customHeight="1">
      <c r="A89" t="s" s="35">
        <v>2291</v>
      </c>
      <c r="B89" s="36">
        <v>3</v>
      </c>
      <c r="C89" t="s" s="35">
        <v>1823</v>
      </c>
      <c r="D89" t="s" s="35">
        <v>2218</v>
      </c>
      <c r="E89" t="s" s="35">
        <v>2252</v>
      </c>
      <c r="F89" s="36">
        <v>11</v>
      </c>
      <c r="G89" t="s" s="35">
        <v>265</v>
      </c>
      <c r="H89" t="s" s="35">
        <v>2286</v>
      </c>
      <c r="I89" t="s" s="120">
        <v>2292</v>
      </c>
      <c r="J89" t="s" s="35">
        <v>1055</v>
      </c>
      <c r="K89" t="s" s="35">
        <v>1832</v>
      </c>
      <c r="L89" s="39"/>
      <c r="M89" t="str" s="39">
        <v>Fuera del marco</v>
      </c>
      <c r="N89" t="str" s="39">
        <v>Fuera del marco</v>
      </c>
      <c r="O89" t="str" s="39" cm="1">
        <f t="array" ref="O89">IF(L89="","",_xlfn.IFERROR(INDEX('Datos - Catálogo TIMSS'!$C$5:$C$107,MATCH(L89,'Datos - Catálogo TIMSS'!$A$5:$A$107,0)),"?"))</f>
      </c>
      <c r="P89" t="s" s="35">
        <v>282</v>
      </c>
      <c r="Q89" t="s" s="120">
        <v>2293</v>
      </c>
      <c r="R89" t="s" s="120">
        <v>2294</v>
      </c>
      <c r="S89" s="121" cm="1">
        <f t="array" ref="S89">_xlfn.IFERROR(ISNUMBER(SEARCH("Conocer",$R89))/(ISNUMBER(SEARCH("Conocer",$R89))+ISNUMBER(SEARCH("Aplicar",$R89))+ISNUMBER(SEARCH("Razonar",$R89))),0)</f>
        <v>0</v>
      </c>
      <c r="T89" s="121" cm="1">
        <f t="array" ref="T89">_xlfn.IFERROR(ISNUMBER(SEARCH("Aplicar",$R89))/(ISNUMBER(SEARCH("Conocer",$R89))+ISNUMBER(SEARCH("Aplicar",$R89))+ISNUMBER(SEARCH("Razonar",$R89))),0)</f>
        <v>0.5</v>
      </c>
      <c r="U89" s="121" cm="1">
        <f t="array" ref="U89">_xlfn.IFERROR(ISNUMBER(SEARCH("Razonar",$R89))/(ISNUMBER(SEARCH("Conocer",$R89))+ISNUMBER(SEARCH("Aplicar",$R89))+ISNUMBER(SEARCH("Razonar",$R89))),0)</f>
        <v>0.5</v>
      </c>
      <c r="V89" t="s" s="35">
        <v>74</v>
      </c>
      <c r="W89" t="s" s="35">
        <v>112</v>
      </c>
      <c r="X89" s="36" cm="1">
        <f t="array" ref="X89">IF(OR(_xlfn.IFERROR(INDEX('Datos - Catálogo TIMSS'!$I$5:$I$107,MATCH(K89,'Datos - Catálogo TIMSS'!$A$5:$A$107,0)),"No")="Sí",_xlfn.IFERROR(INDEX('Datos - Catálogo TIMSS'!$I$5:$I$107,MATCH(L89,'Datos - Catálogo TIMSS'!$A$5:$A$107,0)),"No")="Sí"),1,0)</f>
        <v>0</v>
      </c>
      <c r="Y89" s="36" cm="1">
        <f t="array" ref="Y89">IF(_xlfn.IFERROR(INDEX('Datos - Catálogo TIMSS'!$J$5:$J$107,MATCH(K89,'Datos - Catálogo TIMSS'!$A$5:$A$107,0)),"No")="Sí",1,0)</f>
        <v>0</v>
      </c>
      <c r="Z89" s="36" cm="1">
        <f t="array" ref="Z89">IF(_xlfn.IFERROR(INDEX('Datos - Catálogo TIMSS'!$J$5:$J$107,MATCH(L89,'Datos - Catálogo TIMSS'!$A$5:$A$107,0)),"No")="Sí",1,0)</f>
        <v>0</v>
      </c>
      <c r="AA89" t="s" s="35">
        <v>1832</v>
      </c>
      <c r="AB89" s="39"/>
      <c r="AC89" t="str" s="39">
        <v>Fuera del marco</v>
      </c>
      <c r="AD89" t="s" s="35">
        <v>1859</v>
      </c>
      <c r="AE89" t="str" s="39" cm="1">
        <f t="array" ref="AE89">IF(AD89="","",IF(LEFT(AD89,1)="1","C1",IF(LEFT(AD89,1)="2","C2",IF(LEFT(AD89,1)="3","C3",""))))</f>
        <v>C1</v>
      </c>
      <c r="AF89" t="s" s="35">
        <v>1615</v>
      </c>
      <c r="AG89" t="s" s="35">
        <v>1617</v>
      </c>
      <c r="AH89" t="s" s="35">
        <v>1602</v>
      </c>
      <c r="AI89" t="s" s="35">
        <v>1623</v>
      </c>
      <c r="AJ89" t="s" s="35">
        <v>1615</v>
      </c>
      <c r="AK89" s="39"/>
      <c r="AL89" s="39"/>
      <c r="AM89" s="39"/>
      <c r="AN89" s="39"/>
      <c r="AO89" s="39"/>
      <c r="AP89" s="39"/>
      <c r="AQ89" s="39"/>
      <c r="AR89" s="39"/>
      <c r="AS89" s="39"/>
      <c r="AT89" s="39"/>
      <c r="AU89" s="39"/>
      <c r="AV89" s="39"/>
      <c r="AW89" t="str" s="39" cm="1">
        <f t="array" ref="AW89">AF89&amp;"; "&amp;AG89&amp;"; "&amp;AH89&amp;"; "&amp;AI89&amp;"; "&amp;AJ89</f>
        <v>E6; D1; E1; D4; E6</v>
      </c>
    </row>
    <row r="90" ht="13.65" customHeight="1">
      <c r="A90" t="s" s="35">
        <v>2296</v>
      </c>
      <c r="B90" s="36">
        <v>3</v>
      </c>
      <c r="C90" t="s" s="35">
        <v>1823</v>
      </c>
      <c r="D90" t="s" s="35">
        <v>2218</v>
      </c>
      <c r="E90" t="s" s="35">
        <v>2252</v>
      </c>
      <c r="F90" s="36">
        <v>12</v>
      </c>
      <c r="G90" t="s" s="35">
        <v>265</v>
      </c>
      <c r="H90" t="s" s="35">
        <v>2297</v>
      </c>
      <c r="I90" t="s" s="120">
        <v>2298</v>
      </c>
      <c r="J90" t="s" s="35">
        <v>1055</v>
      </c>
      <c r="K90" t="s" s="35">
        <v>1832</v>
      </c>
      <c r="L90" s="39"/>
      <c r="M90" t="str" s="39">
        <v>Fuera del marco</v>
      </c>
      <c r="N90" t="str" s="39">
        <v>Fuera del marco</v>
      </c>
      <c r="O90" t="str" s="39" cm="1">
        <f t="array" ref="O90">IF(L90="","",_xlfn.IFERROR(INDEX('Datos - Catálogo TIMSS'!$C$5:$C$107,MATCH(L90,'Datos - Catálogo TIMSS'!$A$5:$A$107,0)),"?"))</f>
      </c>
      <c r="P90" t="s" s="35">
        <v>282</v>
      </c>
      <c r="Q90" t="s" s="120">
        <v>2299</v>
      </c>
      <c r="R90" t="s" s="120">
        <v>1847</v>
      </c>
      <c r="S90" s="121" cm="1">
        <f t="array" ref="S90">_xlfn.IFERROR(ISNUMBER(SEARCH("Conocer",$R90))/(ISNUMBER(SEARCH("Conocer",$R90))+ISNUMBER(SEARCH("Aplicar",$R90))+ISNUMBER(SEARCH("Razonar",$R90))),0)</f>
        <v>0</v>
      </c>
      <c r="T90" s="121" cm="1">
        <f t="array" ref="T90">_xlfn.IFERROR(ISNUMBER(SEARCH("Aplicar",$R90))/(ISNUMBER(SEARCH("Conocer",$R90))+ISNUMBER(SEARCH("Aplicar",$R90))+ISNUMBER(SEARCH("Razonar",$R90))),0)</f>
        <v>1</v>
      </c>
      <c r="U90" s="121" cm="1">
        <f t="array" ref="U90">_xlfn.IFERROR(ISNUMBER(SEARCH("Razonar",$R90))/(ISNUMBER(SEARCH("Conocer",$R90))+ISNUMBER(SEARCH("Aplicar",$R90))+ISNUMBER(SEARCH("Razonar",$R90))),0)</f>
        <v>0</v>
      </c>
      <c r="V90" t="s" s="35">
        <v>74</v>
      </c>
      <c r="W90" t="s" s="35">
        <v>112</v>
      </c>
      <c r="X90" s="36" cm="1">
        <f t="array" ref="X90">IF(OR(_xlfn.IFERROR(INDEX('Datos - Catálogo TIMSS'!$I$5:$I$107,MATCH(K90,'Datos - Catálogo TIMSS'!$A$5:$A$107,0)),"No")="Sí",_xlfn.IFERROR(INDEX('Datos - Catálogo TIMSS'!$I$5:$I$107,MATCH(L90,'Datos - Catálogo TIMSS'!$A$5:$A$107,0)),"No")="Sí"),1,0)</f>
        <v>0</v>
      </c>
      <c r="Y90" s="36" cm="1">
        <f t="array" ref="Y90">IF(_xlfn.IFERROR(INDEX('Datos - Catálogo TIMSS'!$J$5:$J$107,MATCH(K90,'Datos - Catálogo TIMSS'!$A$5:$A$107,0)),"No")="Sí",1,0)</f>
        <v>0</v>
      </c>
      <c r="Z90" s="36" cm="1">
        <f t="array" ref="Z90">IF(_xlfn.IFERROR(INDEX('Datos - Catálogo TIMSS'!$J$5:$J$107,MATCH(L90,'Datos - Catálogo TIMSS'!$A$5:$A$107,0)),"No")="Sí",1,0)</f>
        <v>0</v>
      </c>
      <c r="AA90" t="s" s="35">
        <v>1832</v>
      </c>
      <c r="AB90" s="39"/>
      <c r="AC90" t="str" s="39">
        <v>Fuera del marco</v>
      </c>
      <c r="AD90" t="s" s="35">
        <v>1834</v>
      </c>
      <c r="AE90" t="str" s="39" cm="1">
        <f t="array" ref="AE90">IF(AD90="","",IF(LEFT(AD90,1)="1","C1",IF(LEFT(AD90,1)="2","C2",IF(LEFT(AD90,1)="3","C3",""))))</f>
        <v>C2</v>
      </c>
      <c r="AF90" t="s" s="35">
        <v>1602</v>
      </c>
      <c r="AG90" t="s" s="35">
        <v>1617</v>
      </c>
      <c r="AH90" t="s" s="35">
        <v>1609</v>
      </c>
      <c r="AI90" t="s" s="35">
        <v>1623</v>
      </c>
      <c r="AJ90" t="s" s="35">
        <v>1602</v>
      </c>
      <c r="AK90" s="39"/>
      <c r="AL90" s="39"/>
      <c r="AM90" s="39"/>
      <c r="AN90" s="39"/>
      <c r="AO90" s="39"/>
      <c r="AP90" s="39"/>
      <c r="AQ90" s="39"/>
      <c r="AR90" s="39"/>
      <c r="AS90" s="39"/>
      <c r="AT90" s="39"/>
      <c r="AU90" s="39"/>
      <c r="AV90" s="39"/>
      <c r="AW90" t="str" s="39" cm="1">
        <f t="array" ref="AW90">AF90&amp;"; "&amp;AG90&amp;"; "&amp;AH90&amp;"; "&amp;AI90&amp;"; "&amp;AJ90</f>
        <v>E1; D1; E4; D4; E1</v>
      </c>
    </row>
    <row r="91" ht="13.65" customHeight="1">
      <c r="A91" t="s" s="35">
        <v>2300</v>
      </c>
      <c r="B91" s="36">
        <v>3</v>
      </c>
      <c r="C91" t="s" s="35">
        <v>1823</v>
      </c>
      <c r="D91" t="s" s="35">
        <v>2218</v>
      </c>
      <c r="E91" t="s" s="35">
        <v>2252</v>
      </c>
      <c r="F91" s="36">
        <v>13</v>
      </c>
      <c r="G91" t="s" s="35">
        <v>265</v>
      </c>
      <c r="H91" t="s" s="35">
        <v>2297</v>
      </c>
      <c r="I91" t="s" s="120">
        <v>2301</v>
      </c>
      <c r="J91" t="s" s="35">
        <v>1055</v>
      </c>
      <c r="K91" t="s" s="35">
        <v>1832</v>
      </c>
      <c r="L91" s="39"/>
      <c r="M91" t="str" s="39">
        <v>Fuera del marco</v>
      </c>
      <c r="N91" t="str" s="39">
        <v>Fuera del marco</v>
      </c>
      <c r="O91" t="str" s="39" cm="1">
        <f t="array" ref="O91">IF(L91="","",_xlfn.IFERROR(INDEX('Datos - Catálogo TIMSS'!$C$5:$C$107,MATCH(L91,'Datos - Catálogo TIMSS'!$A$5:$A$107,0)),"?"))</f>
      </c>
      <c r="P91" t="s" s="35">
        <v>282</v>
      </c>
      <c r="Q91" t="s" s="120">
        <v>2302</v>
      </c>
      <c r="R91" t="s" s="120">
        <v>2081</v>
      </c>
      <c r="S91" s="121" cm="1">
        <f t="array" ref="S91">_xlfn.IFERROR(ISNUMBER(SEARCH("Conocer",$R91))/(ISNUMBER(SEARCH("Conocer",$R91))+ISNUMBER(SEARCH("Aplicar",$R91))+ISNUMBER(SEARCH("Razonar",$R91))),0)</f>
        <v>0.5</v>
      </c>
      <c r="T91" s="121" cm="1">
        <f t="array" ref="T91">_xlfn.IFERROR(ISNUMBER(SEARCH("Aplicar",$R91))/(ISNUMBER(SEARCH("Conocer",$R91))+ISNUMBER(SEARCH("Aplicar",$R91))+ISNUMBER(SEARCH("Razonar",$R91))),0)</f>
        <v>0.5</v>
      </c>
      <c r="U91" s="121" cm="1">
        <f t="array" ref="U91">_xlfn.IFERROR(ISNUMBER(SEARCH("Razonar",$R91))/(ISNUMBER(SEARCH("Conocer",$R91))+ISNUMBER(SEARCH("Aplicar",$R91))+ISNUMBER(SEARCH("Razonar",$R91))),0)</f>
        <v>0</v>
      </c>
      <c r="V91" t="s" s="35">
        <v>74</v>
      </c>
      <c r="W91" t="s" s="35">
        <v>112</v>
      </c>
      <c r="X91" s="36" cm="1">
        <f t="array" ref="X91">IF(OR(_xlfn.IFERROR(INDEX('Datos - Catálogo TIMSS'!$I$5:$I$107,MATCH(K91,'Datos - Catálogo TIMSS'!$A$5:$A$107,0)),"No")="Sí",_xlfn.IFERROR(INDEX('Datos - Catálogo TIMSS'!$I$5:$I$107,MATCH(L91,'Datos - Catálogo TIMSS'!$A$5:$A$107,0)),"No")="Sí"),1,0)</f>
        <v>0</v>
      </c>
      <c r="Y91" s="36" cm="1">
        <f t="array" ref="Y91">IF(_xlfn.IFERROR(INDEX('Datos - Catálogo TIMSS'!$J$5:$J$107,MATCH(K91,'Datos - Catálogo TIMSS'!$A$5:$A$107,0)),"No")="Sí",1,0)</f>
        <v>0</v>
      </c>
      <c r="Z91" s="36" cm="1">
        <f t="array" ref="Z91">IF(_xlfn.IFERROR(INDEX('Datos - Catálogo TIMSS'!$J$5:$J$107,MATCH(L91,'Datos - Catálogo TIMSS'!$A$5:$A$107,0)),"No")="Sí",1,0)</f>
        <v>0</v>
      </c>
      <c r="AA91" t="s" s="35">
        <v>1832</v>
      </c>
      <c r="AB91" s="39"/>
      <c r="AC91" t="str" s="39">
        <v>Fuera del marco</v>
      </c>
      <c r="AD91" t="s" s="35">
        <v>1859</v>
      </c>
      <c r="AE91" t="str" s="39" cm="1">
        <f t="array" ref="AE91">IF(AD91="","",IF(LEFT(AD91,1)="1","C1",IF(LEFT(AD91,1)="2","C2",IF(LEFT(AD91,1)="3","C3",""))))</f>
        <v>C1</v>
      </c>
      <c r="AF91" t="s" s="35">
        <v>1602</v>
      </c>
      <c r="AG91" t="s" s="35">
        <v>1612</v>
      </c>
      <c r="AH91" t="s" s="35">
        <v>1602</v>
      </c>
      <c r="AI91" t="s" s="35">
        <v>1623</v>
      </c>
      <c r="AJ91" t="s" s="35">
        <v>1615</v>
      </c>
      <c r="AK91" s="39"/>
      <c r="AL91" s="39"/>
      <c r="AM91" s="39"/>
      <c r="AN91" s="39"/>
      <c r="AO91" s="39"/>
      <c r="AP91" s="39"/>
      <c r="AQ91" s="39"/>
      <c r="AR91" s="39"/>
      <c r="AS91" s="39"/>
      <c r="AT91" s="39"/>
      <c r="AU91" s="39"/>
      <c r="AV91" s="39"/>
      <c r="AW91" t="str" s="39" cm="1">
        <f t="array" ref="AW91">AF91&amp;"; "&amp;AG91&amp;"; "&amp;AH91&amp;"; "&amp;AI91&amp;"; "&amp;AJ91</f>
        <v>E1; E5; E1; D4; E6</v>
      </c>
    </row>
    <row r="92" ht="13.65" customHeight="1">
      <c r="A92" t="s" s="35">
        <v>2303</v>
      </c>
      <c r="B92" s="36">
        <v>3</v>
      </c>
      <c r="C92" t="s" s="35">
        <v>1823</v>
      </c>
      <c r="D92" t="s" s="35">
        <v>2218</v>
      </c>
      <c r="E92" t="s" s="35">
        <v>2252</v>
      </c>
      <c r="F92" s="36">
        <v>14</v>
      </c>
      <c r="G92" t="s" s="35">
        <v>265</v>
      </c>
      <c r="H92" t="s" s="35">
        <v>2304</v>
      </c>
      <c r="I92" t="s" s="120">
        <v>2305</v>
      </c>
      <c r="J92" t="s" s="35">
        <v>1055</v>
      </c>
      <c r="K92" t="s" s="35">
        <v>1832</v>
      </c>
      <c r="L92" s="39"/>
      <c r="M92" t="str" s="39">
        <v>Fuera del marco</v>
      </c>
      <c r="N92" t="str" s="39">
        <v>Fuera del marco</v>
      </c>
      <c r="O92" t="str" s="39" cm="1">
        <f t="array" ref="O92">IF(L92="","",_xlfn.IFERROR(INDEX('Datos - Catálogo TIMSS'!$C$5:$C$107,MATCH(L92,'Datos - Catálogo TIMSS'!$A$5:$A$107,0)),"?"))</f>
      </c>
      <c r="P92" t="s" s="35">
        <v>282</v>
      </c>
      <c r="Q92" t="s" s="120">
        <v>2306</v>
      </c>
      <c r="R92" t="s" s="120">
        <v>2307</v>
      </c>
      <c r="S92" s="121" cm="1">
        <f t="array" ref="S92">_xlfn.IFERROR(ISNUMBER(SEARCH("Conocer",$R92))/(ISNUMBER(SEARCH("Conocer",$R92))+ISNUMBER(SEARCH("Aplicar",$R92))+ISNUMBER(SEARCH("Razonar",$R92))),0)</f>
        <v>0</v>
      </c>
      <c r="T92" s="121" cm="1">
        <f t="array" ref="T92">_xlfn.IFERROR(ISNUMBER(SEARCH("Aplicar",$R92))/(ISNUMBER(SEARCH("Conocer",$R92))+ISNUMBER(SEARCH("Aplicar",$R92))+ISNUMBER(SEARCH("Razonar",$R92))),0)</f>
        <v>0.5</v>
      </c>
      <c r="U92" s="121" cm="1">
        <f t="array" ref="U92">_xlfn.IFERROR(ISNUMBER(SEARCH("Razonar",$R92))/(ISNUMBER(SEARCH("Conocer",$R92))+ISNUMBER(SEARCH("Aplicar",$R92))+ISNUMBER(SEARCH("Razonar",$R92))),0)</f>
        <v>0.5</v>
      </c>
      <c r="V92" t="s" s="35">
        <v>74</v>
      </c>
      <c r="W92" t="s" s="35">
        <v>112</v>
      </c>
      <c r="X92" s="36" cm="1">
        <f t="array" ref="X92">IF(OR(_xlfn.IFERROR(INDEX('Datos - Catálogo TIMSS'!$I$5:$I$107,MATCH(K92,'Datos - Catálogo TIMSS'!$A$5:$A$107,0)),"No")="Sí",_xlfn.IFERROR(INDEX('Datos - Catálogo TIMSS'!$I$5:$I$107,MATCH(L92,'Datos - Catálogo TIMSS'!$A$5:$A$107,0)),"No")="Sí"),1,0)</f>
        <v>0</v>
      </c>
      <c r="Y92" s="36" cm="1">
        <f t="array" ref="Y92">IF(_xlfn.IFERROR(INDEX('Datos - Catálogo TIMSS'!$J$5:$J$107,MATCH(K92,'Datos - Catálogo TIMSS'!$A$5:$A$107,0)),"No")="Sí",1,0)</f>
        <v>0</v>
      </c>
      <c r="Z92" s="36" cm="1">
        <f t="array" ref="Z92">IF(_xlfn.IFERROR(INDEX('Datos - Catálogo TIMSS'!$J$5:$J$107,MATCH(L92,'Datos - Catálogo TIMSS'!$A$5:$A$107,0)),"No")="Sí",1,0)</f>
        <v>0</v>
      </c>
      <c r="AA92" t="s" s="35">
        <v>1832</v>
      </c>
      <c r="AB92" s="39"/>
      <c r="AC92" t="str" s="39">
        <v>Fuera del marco</v>
      </c>
      <c r="AD92" t="s" s="35">
        <v>1859</v>
      </c>
      <c r="AE92" t="str" s="39" cm="1">
        <f t="array" ref="AE92">IF(AD92="","",IF(LEFT(AD92,1)="1","C1",IF(LEFT(AD92,1)="2","C2",IF(LEFT(AD92,1)="3","C3",""))))</f>
        <v>C1</v>
      </c>
      <c r="AF92" t="s" s="35">
        <v>1602</v>
      </c>
      <c r="AG92" t="s" s="35">
        <v>1612</v>
      </c>
      <c r="AH92" t="s" s="35">
        <v>1609</v>
      </c>
      <c r="AI92" t="s" s="35">
        <v>1609</v>
      </c>
      <c r="AJ92" t="s" s="35">
        <v>1602</v>
      </c>
      <c r="AK92" s="39"/>
      <c r="AL92" s="39"/>
      <c r="AM92" s="39"/>
      <c r="AN92" s="39"/>
      <c r="AO92" s="39"/>
      <c r="AP92" s="39"/>
      <c r="AQ92" s="39"/>
      <c r="AR92" s="39"/>
      <c r="AS92" s="39"/>
      <c r="AT92" s="39"/>
      <c r="AU92" s="39"/>
      <c r="AV92" s="39"/>
      <c r="AW92" t="str" s="39" cm="1">
        <f t="array" ref="AW92">AF92&amp;"; "&amp;AG92&amp;"; "&amp;AH92&amp;"; "&amp;AI92&amp;"; "&amp;AJ92</f>
        <v>E1; E5; E4; E4; E1</v>
      </c>
    </row>
    <row r="93" ht="13.65" customHeight="1">
      <c r="A93" t="s" s="35">
        <v>2308</v>
      </c>
      <c r="B93" s="36">
        <v>3</v>
      </c>
      <c r="C93" t="s" s="35">
        <v>1823</v>
      </c>
      <c r="D93" t="s" s="35">
        <v>2218</v>
      </c>
      <c r="E93" t="s" s="35">
        <v>2252</v>
      </c>
      <c r="F93" s="36">
        <v>15</v>
      </c>
      <c r="G93" t="s" s="35">
        <v>265</v>
      </c>
      <c r="H93" t="s" s="35">
        <v>2304</v>
      </c>
      <c r="I93" t="s" s="120">
        <v>2309</v>
      </c>
      <c r="J93" t="s" s="35">
        <v>1055</v>
      </c>
      <c r="K93" t="s" s="35">
        <v>1832</v>
      </c>
      <c r="L93" s="39"/>
      <c r="M93" t="str" s="39">
        <v>Fuera del marco</v>
      </c>
      <c r="N93" t="str" s="39">
        <v>Fuera del marco</v>
      </c>
      <c r="O93" t="str" s="39" cm="1">
        <f t="array" ref="O93">IF(L93="","",_xlfn.IFERROR(INDEX('Datos - Catálogo TIMSS'!$C$5:$C$107,MATCH(L93,'Datos - Catálogo TIMSS'!$A$5:$A$107,0)),"?"))</f>
      </c>
      <c r="P93" t="s" s="35">
        <v>282</v>
      </c>
      <c r="Q93" t="s" s="120">
        <v>2310</v>
      </c>
      <c r="R93" t="s" s="120">
        <v>2131</v>
      </c>
      <c r="S93" s="121" cm="1">
        <f t="array" ref="S93">_xlfn.IFERROR(ISNUMBER(SEARCH("Conocer",$R93))/(ISNUMBER(SEARCH("Conocer",$R93))+ISNUMBER(SEARCH("Aplicar",$R93))+ISNUMBER(SEARCH("Razonar",$R93))),0)</f>
        <v>0</v>
      </c>
      <c r="T93" s="121" cm="1">
        <f t="array" ref="T93">_xlfn.IFERROR(ISNUMBER(SEARCH("Aplicar",$R93))/(ISNUMBER(SEARCH("Conocer",$R93))+ISNUMBER(SEARCH("Aplicar",$R93))+ISNUMBER(SEARCH("Razonar",$R93))),0)</f>
        <v>1</v>
      </c>
      <c r="U93" s="121" cm="1">
        <f t="array" ref="U93">_xlfn.IFERROR(ISNUMBER(SEARCH("Razonar",$R93))/(ISNUMBER(SEARCH("Conocer",$R93))+ISNUMBER(SEARCH("Aplicar",$R93))+ISNUMBER(SEARCH("Razonar",$R93))),0)</f>
        <v>0</v>
      </c>
      <c r="V93" t="s" s="35">
        <v>74</v>
      </c>
      <c r="W93" t="s" s="35">
        <v>112</v>
      </c>
      <c r="X93" s="36" cm="1">
        <f t="array" ref="X93">IF(OR(_xlfn.IFERROR(INDEX('Datos - Catálogo TIMSS'!$I$5:$I$107,MATCH(K93,'Datos - Catálogo TIMSS'!$A$5:$A$107,0)),"No")="Sí",_xlfn.IFERROR(INDEX('Datos - Catálogo TIMSS'!$I$5:$I$107,MATCH(L93,'Datos - Catálogo TIMSS'!$A$5:$A$107,0)),"No")="Sí"),1,0)</f>
        <v>0</v>
      </c>
      <c r="Y93" s="36" cm="1">
        <f t="array" ref="Y93">IF(_xlfn.IFERROR(INDEX('Datos - Catálogo TIMSS'!$J$5:$J$107,MATCH(K93,'Datos - Catálogo TIMSS'!$A$5:$A$107,0)),"No")="Sí",1,0)</f>
        <v>0</v>
      </c>
      <c r="Z93" s="36" cm="1">
        <f t="array" ref="Z93">IF(_xlfn.IFERROR(INDEX('Datos - Catálogo TIMSS'!$J$5:$J$107,MATCH(L93,'Datos - Catálogo TIMSS'!$A$5:$A$107,0)),"No")="Sí",1,0)</f>
        <v>0</v>
      </c>
      <c r="AA93" t="s" s="35">
        <v>1832</v>
      </c>
      <c r="AB93" s="39"/>
      <c r="AC93" t="str" s="39">
        <v>Fuera del marco</v>
      </c>
      <c r="AD93" t="s" s="35">
        <v>1859</v>
      </c>
      <c r="AE93" t="str" s="39" cm="1">
        <f t="array" ref="AE93">IF(AD93="","",IF(LEFT(AD93,1)="1","C1",IF(LEFT(AD93,1)="2","C2",IF(LEFT(AD93,1)="3","C3",""))))</f>
        <v>C1</v>
      </c>
      <c r="AF93" t="s" s="35">
        <v>1602</v>
      </c>
      <c r="AG93" t="s" s="35">
        <v>1617</v>
      </c>
      <c r="AH93" t="s" s="35">
        <v>1605</v>
      </c>
      <c r="AI93" t="s" s="35">
        <v>1609</v>
      </c>
      <c r="AJ93" t="s" s="35">
        <v>1607</v>
      </c>
      <c r="AK93" s="39"/>
      <c r="AL93" s="39"/>
      <c r="AM93" s="39"/>
      <c r="AN93" s="39"/>
      <c r="AO93" s="39"/>
      <c r="AP93" s="39"/>
      <c r="AQ93" s="39"/>
      <c r="AR93" s="39"/>
      <c r="AS93" s="39"/>
      <c r="AT93" s="39"/>
      <c r="AU93" s="39"/>
      <c r="AV93" s="39"/>
      <c r="AW93" t="str" s="39" cm="1">
        <f t="array" ref="AW93">AF93&amp;"; "&amp;AG93&amp;"; "&amp;AH93&amp;"; "&amp;AI93&amp;"; "&amp;AJ93</f>
        <v>E1; D1; E2; E4; E3</v>
      </c>
    </row>
    <row r="94" ht="13.65" customHeight="1">
      <c r="A94" t="s" s="35">
        <v>2312</v>
      </c>
      <c r="B94" s="36">
        <v>3</v>
      </c>
      <c r="C94" t="s" s="35">
        <v>1823</v>
      </c>
      <c r="D94" t="s" s="35">
        <v>2218</v>
      </c>
      <c r="E94" t="s" s="35">
        <v>2252</v>
      </c>
      <c r="F94" s="36">
        <v>16</v>
      </c>
      <c r="G94" t="s" s="35">
        <v>265</v>
      </c>
      <c r="H94" t="s" s="35">
        <v>2313</v>
      </c>
      <c r="I94" t="s" s="120">
        <v>2314</v>
      </c>
      <c r="J94" t="s" s="35">
        <v>1055</v>
      </c>
      <c r="K94" t="s" s="35">
        <v>427</v>
      </c>
      <c r="L94" t="s" s="35">
        <v>288</v>
      </c>
      <c r="M94" t="str" s="39">
        <v>Biología</v>
      </c>
      <c r="N94" t="str" s="39">
        <v>Características y procesos vitales de los organismos</v>
      </c>
      <c r="O94" t="str" s="39" cm="1">
        <f t="array" ref="O94">IF(L94="","",_xlfn.IFERROR(INDEX('Datos - Catálogo TIMSS'!$C$5:$C$107,MATCH(L94,'Datos - Catálogo TIMSS'!$A$5:$A$107,0)),"?"))</f>
        <v>Ciencias de la Tierra</v>
      </c>
      <c r="P94" t="s" s="35">
        <v>282</v>
      </c>
      <c r="Q94" t="s" s="120">
        <v>2315</v>
      </c>
      <c r="R94" t="s" s="120">
        <v>2086</v>
      </c>
      <c r="S94" s="121" cm="1">
        <f t="array" ref="S94">_xlfn.IFERROR(ISNUMBER(SEARCH("Conocer",$R94))/(ISNUMBER(SEARCH("Conocer",$R94))+ISNUMBER(SEARCH("Aplicar",$R94))+ISNUMBER(SEARCH("Razonar",$R94))),0)</f>
        <v>0</v>
      </c>
      <c r="T94" s="121" cm="1">
        <f t="array" ref="T94">_xlfn.IFERROR(ISNUMBER(SEARCH("Aplicar",$R94))/(ISNUMBER(SEARCH("Conocer",$R94))+ISNUMBER(SEARCH("Aplicar",$R94))+ISNUMBER(SEARCH("Razonar",$R94))),0)</f>
        <v>0.5</v>
      </c>
      <c r="U94" s="121" cm="1">
        <f t="array" ref="U94">_xlfn.IFERROR(ISNUMBER(SEARCH("Razonar",$R94))/(ISNUMBER(SEARCH("Conocer",$R94))+ISNUMBER(SEARCH("Aplicar",$R94))+ISNUMBER(SEARCH("Razonar",$R94))),0)</f>
        <v>0.5</v>
      </c>
      <c r="V94" t="s" s="35">
        <v>74</v>
      </c>
      <c r="W94" t="s" s="35">
        <v>112</v>
      </c>
      <c r="X94" s="36" cm="1">
        <f t="array" ref="X94">IF(OR(_xlfn.IFERROR(INDEX('Datos - Catálogo TIMSS'!$I$5:$I$107,MATCH(K94,'Datos - Catálogo TIMSS'!$A$5:$A$107,0)),"No")="Sí",_xlfn.IFERROR(INDEX('Datos - Catálogo TIMSS'!$I$5:$I$107,MATCH(L94,'Datos - Catálogo TIMSS'!$A$5:$A$107,0)),"No")="Sí"),1,0)</f>
        <v>1</v>
      </c>
      <c r="Y94" s="36" cm="1">
        <f t="array" ref="Y94">IF(_xlfn.IFERROR(INDEX('Datos - Catálogo TIMSS'!$J$5:$J$107,MATCH(K94,'Datos - Catálogo TIMSS'!$A$5:$A$107,0)),"No")="Sí",1,0)</f>
        <v>0</v>
      </c>
      <c r="Z94" s="36" cm="1">
        <f t="array" ref="Z94">IF(_xlfn.IFERROR(INDEX('Datos - Catálogo TIMSS'!$J$5:$J$107,MATCH(L94,'Datos - Catálogo TIMSS'!$A$5:$A$107,0)),"No")="Sí",1,0)</f>
        <v>0</v>
      </c>
      <c r="AA94" t="s" s="35">
        <v>1899</v>
      </c>
      <c r="AB94" t="s" s="35">
        <v>2023</v>
      </c>
      <c r="AC94" t="str" s="39">
        <v>Ciencias de la Tierra</v>
      </c>
      <c r="AD94" t="s" s="35">
        <v>1900</v>
      </c>
      <c r="AE94" t="str" s="39" cm="1">
        <f t="array" ref="AE94">IF(AD94="","",IF(LEFT(AD94,1)="1","C1",IF(LEFT(AD94,1)="2","C2",IF(LEFT(AD94,1)="3","C3",""))))</f>
        <v>C3</v>
      </c>
      <c r="AF94" t="s" s="35">
        <v>1602</v>
      </c>
      <c r="AG94" t="s" s="35">
        <v>1617</v>
      </c>
      <c r="AH94" t="s" s="35">
        <v>1602</v>
      </c>
      <c r="AI94" t="s" s="35">
        <v>1629</v>
      </c>
      <c r="AJ94" t="s" s="35">
        <v>1633</v>
      </c>
      <c r="AK94" s="39"/>
      <c r="AL94" s="39"/>
      <c r="AM94" s="39"/>
      <c r="AN94" s="39"/>
      <c r="AO94" s="39"/>
      <c r="AP94" s="39"/>
      <c r="AQ94" s="39"/>
      <c r="AR94" s="39"/>
      <c r="AS94" s="39"/>
      <c r="AT94" s="39"/>
      <c r="AU94" s="39"/>
      <c r="AV94" s="39"/>
      <c r="AW94" t="str" s="39" cm="1">
        <f t="array" ref="AW94">AF94&amp;"; "&amp;AG94&amp;"; "&amp;AH94&amp;"; "&amp;AI94&amp;"; "&amp;AJ94</f>
        <v>E1; D1; E1; I3; I5</v>
      </c>
    </row>
    <row r="95" ht="13.65" customHeight="1">
      <c r="A95" t="s" s="35">
        <v>2316</v>
      </c>
      <c r="B95" s="36">
        <v>3</v>
      </c>
      <c r="C95" t="s" s="35">
        <v>1823</v>
      </c>
      <c r="D95" t="s" s="35">
        <v>2218</v>
      </c>
      <c r="E95" t="s" s="35">
        <v>2252</v>
      </c>
      <c r="F95" s="36">
        <v>17</v>
      </c>
      <c r="G95" t="s" s="35">
        <v>265</v>
      </c>
      <c r="H95" t="s" s="35">
        <v>2313</v>
      </c>
      <c r="I95" t="s" s="120">
        <v>2317</v>
      </c>
      <c r="J95" t="s" s="35">
        <v>1055</v>
      </c>
      <c r="K95" t="s" s="35">
        <v>1832</v>
      </c>
      <c r="L95" s="39"/>
      <c r="M95" t="str" s="39">
        <v>Fuera del marco</v>
      </c>
      <c r="N95" t="str" s="39">
        <v>Fuera del marco</v>
      </c>
      <c r="O95" t="str" s="39" cm="1">
        <f t="array" ref="O95">IF(L95="","",_xlfn.IFERROR(INDEX('Datos - Catálogo TIMSS'!$C$5:$C$107,MATCH(L95,'Datos - Catálogo TIMSS'!$A$5:$A$107,0)),"?"))</f>
      </c>
      <c r="P95" t="s" s="35">
        <v>282</v>
      </c>
      <c r="Q95" t="s" s="120">
        <v>2318</v>
      </c>
      <c r="R95" t="s" s="120">
        <v>2319</v>
      </c>
      <c r="S95" s="121" cm="1">
        <f t="array" ref="S95">_xlfn.IFERROR(ISNUMBER(SEARCH("Conocer",$R95))/(ISNUMBER(SEARCH("Conocer",$R95))+ISNUMBER(SEARCH("Aplicar",$R95))+ISNUMBER(SEARCH("Razonar",$R95))),0)</f>
        <v>0.5</v>
      </c>
      <c r="T95" s="121" cm="1">
        <f t="array" ref="T95">_xlfn.IFERROR(ISNUMBER(SEARCH("Aplicar",$R95))/(ISNUMBER(SEARCH("Conocer",$R95))+ISNUMBER(SEARCH("Aplicar",$R95))+ISNUMBER(SEARCH("Razonar",$R95))),0)</f>
        <v>0.5</v>
      </c>
      <c r="U95" s="121" cm="1">
        <f t="array" ref="U95">_xlfn.IFERROR(ISNUMBER(SEARCH("Razonar",$R95))/(ISNUMBER(SEARCH("Conocer",$R95))+ISNUMBER(SEARCH("Aplicar",$R95))+ISNUMBER(SEARCH("Razonar",$R95))),0)</f>
        <v>0</v>
      </c>
      <c r="V95" t="s" s="35">
        <v>74</v>
      </c>
      <c r="W95" t="s" s="35">
        <v>112</v>
      </c>
      <c r="X95" s="36" cm="1">
        <f t="array" ref="X95">IF(OR(_xlfn.IFERROR(INDEX('Datos - Catálogo TIMSS'!$I$5:$I$107,MATCH(K95,'Datos - Catálogo TIMSS'!$A$5:$A$107,0)),"No")="Sí",_xlfn.IFERROR(INDEX('Datos - Catálogo TIMSS'!$I$5:$I$107,MATCH(L95,'Datos - Catálogo TIMSS'!$A$5:$A$107,0)),"No")="Sí"),1,0)</f>
        <v>0</v>
      </c>
      <c r="Y95" s="36" cm="1">
        <f t="array" ref="Y95">IF(_xlfn.IFERROR(INDEX('Datos - Catálogo TIMSS'!$J$5:$J$107,MATCH(K95,'Datos - Catálogo TIMSS'!$A$5:$A$107,0)),"No")="Sí",1,0)</f>
        <v>0</v>
      </c>
      <c r="Z95" s="36" cm="1">
        <f t="array" ref="Z95">IF(_xlfn.IFERROR(INDEX('Datos - Catálogo TIMSS'!$J$5:$J$107,MATCH(L95,'Datos - Catálogo TIMSS'!$A$5:$A$107,0)),"No")="Sí",1,0)</f>
        <v>0</v>
      </c>
      <c r="AA95" t="s" s="35">
        <v>1832</v>
      </c>
      <c r="AB95" s="39"/>
      <c r="AC95" t="str" s="39">
        <v>Fuera del marco</v>
      </c>
      <c r="AD95" t="s" s="35">
        <v>1859</v>
      </c>
      <c r="AE95" t="str" s="39" cm="1">
        <f t="array" ref="AE95">IF(AD95="","",IF(LEFT(AD95,1)="1","C1",IF(LEFT(AD95,1)="2","C2",IF(LEFT(AD95,1)="3","C3",""))))</f>
        <v>C1</v>
      </c>
      <c r="AF95" t="s" s="35">
        <v>1602</v>
      </c>
      <c r="AG95" t="s" s="35">
        <v>1617</v>
      </c>
      <c r="AH95" t="s" s="35">
        <v>1609</v>
      </c>
      <c r="AI95" t="s" s="35">
        <v>1623</v>
      </c>
      <c r="AJ95" t="s" s="35">
        <v>1615</v>
      </c>
      <c r="AK95" s="39"/>
      <c r="AL95" s="39"/>
      <c r="AM95" s="39"/>
      <c r="AN95" s="39"/>
      <c r="AO95" s="39"/>
      <c r="AP95" s="39"/>
      <c r="AQ95" s="39"/>
      <c r="AR95" s="39"/>
      <c r="AS95" s="39"/>
      <c r="AT95" s="39"/>
      <c r="AU95" s="39"/>
      <c r="AV95" s="39"/>
      <c r="AW95" t="str" s="39" cm="1">
        <f t="array" ref="AW95">AF95&amp;"; "&amp;AG95&amp;"; "&amp;AH95&amp;"; "&amp;AI95&amp;"; "&amp;AJ95</f>
        <v>E1; D1; E4; D4; E6</v>
      </c>
    </row>
    <row r="96" ht="13.65" customHeight="1">
      <c r="A96" t="s" s="35">
        <v>2321</v>
      </c>
      <c r="B96" s="36">
        <v>3</v>
      </c>
      <c r="C96" t="s" s="35">
        <v>1823</v>
      </c>
      <c r="D96" t="s" s="35">
        <v>2218</v>
      </c>
      <c r="E96" t="s" s="35">
        <v>2322</v>
      </c>
      <c r="F96" s="36">
        <v>3</v>
      </c>
      <c r="G96" t="s" s="35">
        <v>312</v>
      </c>
      <c r="H96" t="s" s="35">
        <v>2323</v>
      </c>
      <c r="I96" t="s" s="120">
        <v>2324</v>
      </c>
      <c r="J96" t="s" s="35">
        <v>1055</v>
      </c>
      <c r="K96" t="s" s="35">
        <v>288</v>
      </c>
      <c r="L96" t="s" s="35">
        <v>1148</v>
      </c>
      <c r="M96" t="str" s="39">
        <v>Ciencias de la Tierra</v>
      </c>
      <c r="N96" t="str" s="39">
        <v>Rasgos, procesos e historia de la Tierra</v>
      </c>
      <c r="O96" t="str" s="39" cm="1">
        <f t="array" ref="O96">IF(L96="","",_xlfn.IFERROR(INDEX('Datos - Catálogo TIMSS'!$C$5:$C$107,MATCH(L96,'Datos - Catálogo TIMSS'!$A$5:$A$107,0)),"?"))</f>
        <v>Ciencias de la Tierra</v>
      </c>
      <c r="P96" t="s" s="35">
        <v>254</v>
      </c>
      <c r="Q96" t="s" s="120">
        <v>2325</v>
      </c>
      <c r="R96" t="s" s="120">
        <v>2249</v>
      </c>
      <c r="S96" s="121" cm="1">
        <f t="array" ref="S96">_xlfn.IFERROR(ISNUMBER(SEARCH("Conocer",$R96))/(ISNUMBER(SEARCH("Conocer",$R96))+ISNUMBER(SEARCH("Aplicar",$R96))+ISNUMBER(SEARCH("Razonar",$R96))),0)</f>
        <v>0.5</v>
      </c>
      <c r="T96" s="121" cm="1">
        <f t="array" ref="T96">_xlfn.IFERROR(ISNUMBER(SEARCH("Aplicar",$R96))/(ISNUMBER(SEARCH("Conocer",$R96))+ISNUMBER(SEARCH("Aplicar",$R96))+ISNUMBER(SEARCH("Razonar",$R96))),0)</f>
        <v>0.5</v>
      </c>
      <c r="U96" s="121" cm="1">
        <f t="array" ref="U96">_xlfn.IFERROR(ISNUMBER(SEARCH("Razonar",$R96))/(ISNUMBER(SEARCH("Conocer",$R96))+ISNUMBER(SEARCH("Aplicar",$R96))+ISNUMBER(SEARCH("Razonar",$R96))),0)</f>
        <v>0</v>
      </c>
      <c r="V96" t="s" s="35">
        <v>74</v>
      </c>
      <c r="W96" t="s" s="35">
        <v>112</v>
      </c>
      <c r="X96" s="36" cm="1">
        <f t="array" ref="X96">IF(OR(_xlfn.IFERROR(INDEX('Datos - Catálogo TIMSS'!$I$5:$I$107,MATCH(K96,'Datos - Catálogo TIMSS'!$A$5:$A$107,0)),"No")="Sí",_xlfn.IFERROR(INDEX('Datos - Catálogo TIMSS'!$I$5:$I$107,MATCH(L96,'Datos - Catálogo TIMSS'!$A$5:$A$107,0)),"No")="Sí"),1,0)</f>
        <v>1</v>
      </c>
      <c r="Y96" s="36" cm="1">
        <f t="array" ref="Y96">IF(_xlfn.IFERROR(INDEX('Datos - Catálogo TIMSS'!$J$5:$J$107,MATCH(K96,'Datos - Catálogo TIMSS'!$A$5:$A$107,0)),"No")="Sí",1,0)</f>
        <v>0</v>
      </c>
      <c r="Z96" s="36" cm="1">
        <f t="array" ref="Z96">IF(_xlfn.IFERROR(INDEX('Datos - Catálogo TIMSS'!$J$5:$J$107,MATCH(L96,'Datos - Catálogo TIMSS'!$A$5:$A$107,0)),"No")="Sí",1,0)</f>
        <v>0</v>
      </c>
      <c r="AA96" t="s" s="35">
        <v>2326</v>
      </c>
      <c r="AB96" s="39"/>
      <c r="AC96" t="str" s="39">
        <v>Ciencias de la Tierra</v>
      </c>
      <c r="AD96" t="s" s="35">
        <v>1859</v>
      </c>
      <c r="AE96" t="str" s="39" cm="1">
        <f t="array" ref="AE96">IF(AD96="","",IF(LEFT(AD96,1)="1","C1",IF(LEFT(AD96,1)="2","C2",IF(LEFT(AD96,1)="3","C3",""))))</f>
        <v>C1</v>
      </c>
      <c r="AF96" t="s" s="35">
        <v>1615</v>
      </c>
      <c r="AG96" t="s" s="35">
        <v>1617</v>
      </c>
      <c r="AH96" t="s" s="35">
        <v>1605</v>
      </c>
      <c r="AI96" t="s" s="35">
        <v>1623</v>
      </c>
      <c r="AJ96" t="s" s="35">
        <v>1615</v>
      </c>
      <c r="AK96" s="39"/>
      <c r="AL96" s="39"/>
      <c r="AM96" s="39"/>
      <c r="AN96" s="39"/>
      <c r="AO96" s="39"/>
      <c r="AP96" s="39"/>
      <c r="AQ96" s="39"/>
      <c r="AR96" s="39"/>
      <c r="AS96" s="39"/>
      <c r="AT96" s="39"/>
      <c r="AU96" s="39"/>
      <c r="AV96" s="39"/>
      <c r="AW96" t="str" s="39" cm="1">
        <f t="array" ref="AW96">AF96&amp;"; "&amp;AG96&amp;"; "&amp;AH96&amp;"; "&amp;AI96&amp;"; "&amp;AJ96</f>
        <v>E6; D1; E2; D4; E6</v>
      </c>
    </row>
    <row r="97" ht="13.65" customHeight="1">
      <c r="A97" t="s" s="35">
        <v>2328</v>
      </c>
      <c r="B97" s="36">
        <v>3</v>
      </c>
      <c r="C97" t="s" s="35">
        <v>1823</v>
      </c>
      <c r="D97" t="s" s="35">
        <v>2218</v>
      </c>
      <c r="E97" t="s" s="35">
        <v>2322</v>
      </c>
      <c r="F97" s="36">
        <v>4</v>
      </c>
      <c r="G97" t="s" s="35">
        <v>312</v>
      </c>
      <c r="H97" t="s" s="35">
        <v>2323</v>
      </c>
      <c r="I97" t="s" s="120">
        <v>2329</v>
      </c>
      <c r="J97" t="s" s="35">
        <v>1055</v>
      </c>
      <c r="K97" t="s" s="35">
        <v>288</v>
      </c>
      <c r="L97" t="s" s="35">
        <v>1148</v>
      </c>
      <c r="M97" t="str" s="39">
        <v>Ciencias de la Tierra</v>
      </c>
      <c r="N97" t="str" s="39">
        <v>Rasgos, procesos e historia de la Tierra</v>
      </c>
      <c r="O97" t="str" s="39" cm="1">
        <f t="array" ref="O97">IF(L97="","",_xlfn.IFERROR(INDEX('Datos - Catálogo TIMSS'!$C$5:$C$107,MATCH(L97,'Datos - Catálogo TIMSS'!$A$5:$A$107,0)),"?"))</f>
        <v>Ciencias de la Tierra</v>
      </c>
      <c r="P97" t="s" s="35">
        <v>254</v>
      </c>
      <c r="Q97" t="s" s="120">
        <v>2330</v>
      </c>
      <c r="R97" t="s" s="120">
        <v>2066</v>
      </c>
      <c r="S97" s="121" cm="1">
        <f t="array" ref="S97">_xlfn.IFERROR(ISNUMBER(SEARCH("Conocer",$R97))/(ISNUMBER(SEARCH("Conocer",$R97))+ISNUMBER(SEARCH("Aplicar",$R97))+ISNUMBER(SEARCH("Razonar",$R97))),0)</f>
        <v>0</v>
      </c>
      <c r="T97" s="121" cm="1">
        <f t="array" ref="T97">_xlfn.IFERROR(ISNUMBER(SEARCH("Aplicar",$R97))/(ISNUMBER(SEARCH("Conocer",$R97))+ISNUMBER(SEARCH("Aplicar",$R97))+ISNUMBER(SEARCH("Razonar",$R97))),0)</f>
        <v>1</v>
      </c>
      <c r="U97" s="121" cm="1">
        <f t="array" ref="U97">_xlfn.IFERROR(ISNUMBER(SEARCH("Razonar",$R97))/(ISNUMBER(SEARCH("Conocer",$R97))+ISNUMBER(SEARCH("Aplicar",$R97))+ISNUMBER(SEARCH("Razonar",$R97))),0)</f>
        <v>0</v>
      </c>
      <c r="V97" t="s" s="35">
        <v>74</v>
      </c>
      <c r="W97" t="s" s="35">
        <v>112</v>
      </c>
      <c r="X97" s="36" cm="1">
        <f t="array" ref="X97">IF(OR(_xlfn.IFERROR(INDEX('Datos - Catálogo TIMSS'!$I$5:$I$107,MATCH(K97,'Datos - Catálogo TIMSS'!$A$5:$A$107,0)),"No")="Sí",_xlfn.IFERROR(INDEX('Datos - Catálogo TIMSS'!$I$5:$I$107,MATCH(L97,'Datos - Catálogo TIMSS'!$A$5:$A$107,0)),"No")="Sí"),1,0)</f>
        <v>1</v>
      </c>
      <c r="Y97" s="36" cm="1">
        <f t="array" ref="Y97">IF(_xlfn.IFERROR(INDEX('Datos - Catálogo TIMSS'!$J$5:$J$107,MATCH(K97,'Datos - Catálogo TIMSS'!$A$5:$A$107,0)),"No")="Sí",1,0)</f>
        <v>0</v>
      </c>
      <c r="Z97" s="36" cm="1">
        <f t="array" ref="Z97">IF(_xlfn.IFERROR(INDEX('Datos - Catálogo TIMSS'!$J$5:$J$107,MATCH(L97,'Datos - Catálogo TIMSS'!$A$5:$A$107,0)),"No")="Sí",1,0)</f>
        <v>0</v>
      </c>
      <c r="AA97" t="s" s="35">
        <v>2326</v>
      </c>
      <c r="AB97" t="s" s="35">
        <v>1899</v>
      </c>
      <c r="AC97" t="str" s="39">
        <v>Ciencias de la Tierra</v>
      </c>
      <c r="AD97" t="s" s="35">
        <v>1859</v>
      </c>
      <c r="AE97" t="str" s="39" cm="1">
        <f t="array" ref="AE97">IF(AD97="","",IF(LEFT(AD97,1)="1","C1",IF(LEFT(AD97,1)="2","C2",IF(LEFT(AD97,1)="3","C3",""))))</f>
        <v>C1</v>
      </c>
      <c r="AF97" t="s" s="35">
        <v>1615</v>
      </c>
      <c r="AG97" t="s" s="35">
        <v>1617</v>
      </c>
      <c r="AH97" t="s" s="35">
        <v>1602</v>
      </c>
      <c r="AI97" t="s" s="35">
        <v>1623</v>
      </c>
      <c r="AJ97" t="s" s="35">
        <v>1615</v>
      </c>
      <c r="AK97" s="39"/>
      <c r="AL97" s="39"/>
      <c r="AM97" s="39"/>
      <c r="AN97" s="39"/>
      <c r="AO97" s="39"/>
      <c r="AP97" s="39"/>
      <c r="AQ97" s="39"/>
      <c r="AR97" s="39"/>
      <c r="AS97" s="39"/>
      <c r="AT97" s="39"/>
      <c r="AU97" s="39"/>
      <c r="AV97" s="39"/>
      <c r="AW97" t="str" s="39" cm="1">
        <f t="array" ref="AW97">AF97&amp;"; "&amp;AG97&amp;"; "&amp;AH97&amp;"; "&amp;AI97&amp;"; "&amp;AJ97</f>
        <v>E6; D1; E1; D4; E6</v>
      </c>
    </row>
    <row r="98" ht="13.65" customHeight="1">
      <c r="A98" t="s" s="35">
        <v>2331</v>
      </c>
      <c r="B98" s="36">
        <v>3</v>
      </c>
      <c r="C98" t="s" s="35">
        <v>1823</v>
      </c>
      <c r="D98" t="s" s="35">
        <v>2218</v>
      </c>
      <c r="E98" t="s" s="35">
        <v>2322</v>
      </c>
      <c r="F98" s="36">
        <v>5</v>
      </c>
      <c r="G98" t="s" s="35">
        <v>312</v>
      </c>
      <c r="H98" t="s" s="35">
        <v>2323</v>
      </c>
      <c r="I98" t="s" s="120">
        <v>2332</v>
      </c>
      <c r="J98" t="s" s="35">
        <v>1055</v>
      </c>
      <c r="K98" t="s" s="35">
        <v>288</v>
      </c>
      <c r="L98" t="s" s="35">
        <v>1148</v>
      </c>
      <c r="M98" t="str" s="39">
        <v>Ciencias de la Tierra</v>
      </c>
      <c r="N98" t="str" s="39">
        <v>Rasgos, procesos e historia de la Tierra</v>
      </c>
      <c r="O98" t="str" s="39" cm="1">
        <f t="array" ref="O98">IF(L98="","",_xlfn.IFERROR(INDEX('Datos - Catálogo TIMSS'!$C$5:$C$107,MATCH(L98,'Datos - Catálogo TIMSS'!$A$5:$A$107,0)),"?"))</f>
        <v>Ciencias de la Tierra</v>
      </c>
      <c r="P98" t="s" s="35">
        <v>254</v>
      </c>
      <c r="Q98" t="s" s="120">
        <v>2333</v>
      </c>
      <c r="R98" t="s" s="120">
        <v>2334</v>
      </c>
      <c r="S98" s="121" cm="1">
        <f t="array" ref="S98">_xlfn.IFERROR(ISNUMBER(SEARCH("Conocer",$R98))/(ISNUMBER(SEARCH("Conocer",$R98))+ISNUMBER(SEARCH("Aplicar",$R98))+ISNUMBER(SEARCH("Razonar",$R98))),0)</f>
        <v>0.5</v>
      </c>
      <c r="T98" s="121" cm="1">
        <f t="array" ref="T98">_xlfn.IFERROR(ISNUMBER(SEARCH("Aplicar",$R98))/(ISNUMBER(SEARCH("Conocer",$R98))+ISNUMBER(SEARCH("Aplicar",$R98))+ISNUMBER(SEARCH("Razonar",$R98))),0)</f>
        <v>0</v>
      </c>
      <c r="U98" s="121" cm="1">
        <f t="array" ref="U98">_xlfn.IFERROR(ISNUMBER(SEARCH("Razonar",$R98))/(ISNUMBER(SEARCH("Conocer",$R98))+ISNUMBER(SEARCH("Aplicar",$R98))+ISNUMBER(SEARCH("Razonar",$R98))),0)</f>
        <v>0.5</v>
      </c>
      <c r="V98" t="s" s="35">
        <v>74</v>
      </c>
      <c r="W98" t="s" s="35">
        <v>112</v>
      </c>
      <c r="X98" s="36" cm="1">
        <f t="array" ref="X98">IF(OR(_xlfn.IFERROR(INDEX('Datos - Catálogo TIMSS'!$I$5:$I$107,MATCH(K98,'Datos - Catálogo TIMSS'!$A$5:$A$107,0)),"No")="Sí",_xlfn.IFERROR(INDEX('Datos - Catálogo TIMSS'!$I$5:$I$107,MATCH(L98,'Datos - Catálogo TIMSS'!$A$5:$A$107,0)),"No")="Sí"),1,0)</f>
        <v>1</v>
      </c>
      <c r="Y98" s="36" cm="1">
        <f t="array" ref="Y98">IF(_xlfn.IFERROR(INDEX('Datos - Catálogo TIMSS'!$J$5:$J$107,MATCH(K98,'Datos - Catálogo TIMSS'!$A$5:$A$107,0)),"No")="Sí",1,0)</f>
        <v>0</v>
      </c>
      <c r="Z98" s="36" cm="1">
        <f t="array" ref="Z98">IF(_xlfn.IFERROR(INDEX('Datos - Catálogo TIMSS'!$J$5:$J$107,MATCH(L98,'Datos - Catálogo TIMSS'!$A$5:$A$107,0)),"No")="Sí",1,0)</f>
        <v>0</v>
      </c>
      <c r="AA98" t="s" s="35">
        <v>2326</v>
      </c>
      <c r="AB98" t="s" s="35">
        <v>1899</v>
      </c>
      <c r="AC98" t="str" s="39">
        <v>Ciencias de la Tierra</v>
      </c>
      <c r="AD98" t="s" s="35">
        <v>1900</v>
      </c>
      <c r="AE98" t="str" s="39" cm="1">
        <f t="array" ref="AE98">IF(AD98="","",IF(LEFT(AD98,1)="1","C1",IF(LEFT(AD98,1)="2","C2",IF(LEFT(AD98,1)="3","C3",""))))</f>
        <v>C3</v>
      </c>
      <c r="AF98" t="s" s="35">
        <v>1602</v>
      </c>
      <c r="AG98" t="s" s="35">
        <v>1617</v>
      </c>
      <c r="AH98" t="s" s="35">
        <v>1605</v>
      </c>
      <c r="AI98" t="s" s="35">
        <v>1625</v>
      </c>
      <c r="AJ98" t="s" s="35">
        <v>1633</v>
      </c>
      <c r="AK98" s="39"/>
      <c r="AL98" s="39"/>
      <c r="AM98" s="39"/>
      <c r="AN98" s="39"/>
      <c r="AO98" s="39"/>
      <c r="AP98" s="39"/>
      <c r="AQ98" s="39"/>
      <c r="AR98" s="39"/>
      <c r="AS98" s="39"/>
      <c r="AT98" s="39"/>
      <c r="AU98" s="39"/>
      <c r="AV98" s="39"/>
      <c r="AW98" t="str" s="39" cm="1">
        <f t="array" ref="AW98">AF98&amp;"; "&amp;AG98&amp;"; "&amp;AH98&amp;"; "&amp;AI98&amp;"; "&amp;AJ98</f>
        <v>E1; D1; E2; I1; I5</v>
      </c>
    </row>
    <row r="99" ht="13.65" customHeight="1">
      <c r="A99" t="s" s="35">
        <v>2336</v>
      </c>
      <c r="B99" s="36">
        <v>3</v>
      </c>
      <c r="C99" t="s" s="35">
        <v>1823</v>
      </c>
      <c r="D99" t="s" s="35">
        <v>2218</v>
      </c>
      <c r="E99" t="s" s="35">
        <v>2322</v>
      </c>
      <c r="F99" s="36">
        <v>6</v>
      </c>
      <c r="G99" t="s" s="35">
        <v>312</v>
      </c>
      <c r="H99" t="s" s="35">
        <v>2323</v>
      </c>
      <c r="I99" t="s" s="120">
        <v>2337</v>
      </c>
      <c r="J99" t="s" s="35">
        <v>1055</v>
      </c>
      <c r="K99" t="s" s="35">
        <v>288</v>
      </c>
      <c r="L99" s="39"/>
      <c r="M99" t="str" s="39">
        <v>Ciencias de la Tierra</v>
      </c>
      <c r="N99" t="str" s="39">
        <v>Rasgos, procesos e historia de la Tierra</v>
      </c>
      <c r="O99" t="str" s="39" cm="1">
        <f t="array" ref="O99">IF(L99="","",_xlfn.IFERROR(INDEX('Datos - Catálogo TIMSS'!$C$5:$C$107,MATCH(L99,'Datos - Catálogo TIMSS'!$A$5:$A$107,0)),"?"))</f>
      </c>
      <c r="P99" t="s" s="35">
        <v>254</v>
      </c>
      <c r="Q99" t="s" s="120">
        <v>2338</v>
      </c>
      <c r="R99" t="s" s="120">
        <v>2268</v>
      </c>
      <c r="S99" s="121" cm="1">
        <f t="array" ref="S99">_xlfn.IFERROR(ISNUMBER(SEARCH("Conocer",$R99))/(ISNUMBER(SEARCH("Conocer",$R99))+ISNUMBER(SEARCH("Aplicar",$R99))+ISNUMBER(SEARCH("Razonar",$R99))),0)</f>
        <v>0.5</v>
      </c>
      <c r="T99" s="121" cm="1">
        <f t="array" ref="T99">_xlfn.IFERROR(ISNUMBER(SEARCH("Aplicar",$R99))/(ISNUMBER(SEARCH("Conocer",$R99))+ISNUMBER(SEARCH("Aplicar",$R99))+ISNUMBER(SEARCH("Razonar",$R99))),0)</f>
        <v>0.5</v>
      </c>
      <c r="U99" s="121" cm="1">
        <f t="array" ref="U99">_xlfn.IFERROR(ISNUMBER(SEARCH("Razonar",$R99))/(ISNUMBER(SEARCH("Conocer",$R99))+ISNUMBER(SEARCH("Aplicar",$R99))+ISNUMBER(SEARCH("Razonar",$R99))),0)</f>
        <v>0</v>
      </c>
      <c r="V99" t="s" s="35">
        <v>74</v>
      </c>
      <c r="W99" t="s" s="35">
        <v>112</v>
      </c>
      <c r="X99" s="36" cm="1">
        <f t="array" ref="X99">IF(OR(_xlfn.IFERROR(INDEX('Datos - Catálogo TIMSS'!$I$5:$I$107,MATCH(K99,'Datos - Catálogo TIMSS'!$A$5:$A$107,0)),"No")="Sí",_xlfn.IFERROR(INDEX('Datos - Catálogo TIMSS'!$I$5:$I$107,MATCH(L99,'Datos - Catálogo TIMSS'!$A$5:$A$107,0)),"No")="Sí"),1,0)</f>
        <v>1</v>
      </c>
      <c r="Y99" s="36" cm="1">
        <f t="array" ref="Y99">IF(_xlfn.IFERROR(INDEX('Datos - Catálogo TIMSS'!$J$5:$J$107,MATCH(K99,'Datos - Catálogo TIMSS'!$A$5:$A$107,0)),"No")="Sí",1,0)</f>
        <v>0</v>
      </c>
      <c r="Z99" s="36" cm="1">
        <f t="array" ref="Z99">IF(_xlfn.IFERROR(INDEX('Datos - Catálogo TIMSS'!$J$5:$J$107,MATCH(L99,'Datos - Catálogo TIMSS'!$A$5:$A$107,0)),"No")="Sí",1,0)</f>
        <v>0</v>
      </c>
      <c r="AA99" t="s" s="35">
        <v>2326</v>
      </c>
      <c r="AB99" s="39"/>
      <c r="AC99" t="str" s="39">
        <v>Ciencias de la Tierra</v>
      </c>
      <c r="AD99" t="s" s="35">
        <v>1859</v>
      </c>
      <c r="AE99" t="str" s="39" cm="1">
        <f t="array" ref="AE99">IF(AD99="","",IF(LEFT(AD99,1)="1","C1",IF(LEFT(AD99,1)="2","C2",IF(LEFT(AD99,1)="3","C3",""))))</f>
        <v>C1</v>
      </c>
      <c r="AF99" t="s" s="35">
        <v>1602</v>
      </c>
      <c r="AG99" t="s" s="35">
        <v>1612</v>
      </c>
      <c r="AH99" t="s" s="35">
        <v>1602</v>
      </c>
      <c r="AI99" t="s" s="35">
        <v>1623</v>
      </c>
      <c r="AJ99" t="s" s="35">
        <v>1615</v>
      </c>
      <c r="AK99" s="39"/>
      <c r="AL99" s="39"/>
      <c r="AM99" s="39"/>
      <c r="AN99" s="39"/>
      <c r="AO99" s="39"/>
      <c r="AP99" s="39"/>
      <c r="AQ99" s="39"/>
      <c r="AR99" s="39"/>
      <c r="AS99" s="39"/>
      <c r="AT99" s="39"/>
      <c r="AU99" s="39"/>
      <c r="AV99" s="39"/>
      <c r="AW99" t="str" s="39" cm="1">
        <f t="array" ref="AW99">AF99&amp;"; "&amp;AG99&amp;"; "&amp;AH99&amp;"; "&amp;AI99&amp;"; "&amp;AJ99</f>
        <v>E1; E5; E1; D4; E6</v>
      </c>
    </row>
    <row r="100" ht="13.65" customHeight="1">
      <c r="A100" t="s" s="35">
        <v>2339</v>
      </c>
      <c r="B100" s="36">
        <v>3</v>
      </c>
      <c r="C100" t="s" s="35">
        <v>1823</v>
      </c>
      <c r="D100" t="s" s="35">
        <v>2218</v>
      </c>
      <c r="E100" t="s" s="35">
        <v>2322</v>
      </c>
      <c r="F100" s="36">
        <v>7</v>
      </c>
      <c r="G100" t="s" s="35">
        <v>312</v>
      </c>
      <c r="H100" t="s" s="35">
        <v>2323</v>
      </c>
      <c r="I100" t="s" s="120">
        <v>2340</v>
      </c>
      <c r="J100" t="s" s="35">
        <v>1055</v>
      </c>
      <c r="K100" t="s" s="35">
        <v>288</v>
      </c>
      <c r="L100" t="s" s="35">
        <v>1148</v>
      </c>
      <c r="M100" t="str" s="39">
        <v>Ciencias de la Tierra</v>
      </c>
      <c r="N100" t="str" s="39">
        <v>Rasgos, procesos e historia de la Tierra</v>
      </c>
      <c r="O100" t="str" s="39" cm="1">
        <f t="array" ref="O100">IF(L100="","",_xlfn.IFERROR(INDEX('Datos - Catálogo TIMSS'!$C$5:$C$107,MATCH(L100,'Datos - Catálogo TIMSS'!$A$5:$A$107,0)),"?"))</f>
        <v>Ciencias de la Tierra</v>
      </c>
      <c r="P100" t="s" s="35">
        <v>282</v>
      </c>
      <c r="Q100" t="s" s="120">
        <v>2341</v>
      </c>
      <c r="R100" t="s" s="120">
        <v>2131</v>
      </c>
      <c r="S100" s="121" cm="1">
        <f t="array" ref="S100">_xlfn.IFERROR(ISNUMBER(SEARCH("Conocer",$R100))/(ISNUMBER(SEARCH("Conocer",$R100))+ISNUMBER(SEARCH("Aplicar",$R100))+ISNUMBER(SEARCH("Razonar",$R100))),0)</f>
        <v>0</v>
      </c>
      <c r="T100" s="121" cm="1">
        <f t="array" ref="T100">_xlfn.IFERROR(ISNUMBER(SEARCH("Aplicar",$R100))/(ISNUMBER(SEARCH("Conocer",$R100))+ISNUMBER(SEARCH("Aplicar",$R100))+ISNUMBER(SEARCH("Razonar",$R100))),0)</f>
        <v>1</v>
      </c>
      <c r="U100" s="121" cm="1">
        <f t="array" ref="U100">_xlfn.IFERROR(ISNUMBER(SEARCH("Razonar",$R100))/(ISNUMBER(SEARCH("Conocer",$R100))+ISNUMBER(SEARCH("Aplicar",$R100))+ISNUMBER(SEARCH("Razonar",$R100))),0)</f>
        <v>0</v>
      </c>
      <c r="V100" t="s" s="35">
        <v>74</v>
      </c>
      <c r="W100" t="s" s="35">
        <v>112</v>
      </c>
      <c r="X100" s="36" cm="1">
        <f t="array" ref="X100">IF(OR(_xlfn.IFERROR(INDEX('Datos - Catálogo TIMSS'!$I$5:$I$107,MATCH(K100,'Datos - Catálogo TIMSS'!$A$5:$A$107,0)),"No")="Sí",_xlfn.IFERROR(INDEX('Datos - Catálogo TIMSS'!$I$5:$I$107,MATCH(L100,'Datos - Catálogo TIMSS'!$A$5:$A$107,0)),"No")="Sí"),1,0)</f>
        <v>1</v>
      </c>
      <c r="Y100" s="36" cm="1">
        <f t="array" ref="Y100">IF(_xlfn.IFERROR(INDEX('Datos - Catálogo TIMSS'!$J$5:$J$107,MATCH(K100,'Datos - Catálogo TIMSS'!$A$5:$A$107,0)),"No")="Sí",1,0)</f>
        <v>0</v>
      </c>
      <c r="Z100" s="36" cm="1">
        <f t="array" ref="Z100">IF(_xlfn.IFERROR(INDEX('Datos - Catálogo TIMSS'!$J$5:$J$107,MATCH(L100,'Datos - Catálogo TIMSS'!$A$5:$A$107,0)),"No")="Sí",1,0)</f>
        <v>0</v>
      </c>
      <c r="AA100" t="s" s="35">
        <v>2326</v>
      </c>
      <c r="AB100" t="s" s="35">
        <v>1899</v>
      </c>
      <c r="AC100" t="str" s="39">
        <v>Ciencias de la Tierra</v>
      </c>
      <c r="AD100" t="s" s="35">
        <v>1859</v>
      </c>
      <c r="AE100" t="str" s="39" cm="1">
        <f t="array" ref="AE100">IF(AD100="","",IF(LEFT(AD100,1)="1","C1",IF(LEFT(AD100,1)="2","C2",IF(LEFT(AD100,1)="3","C3",""))))</f>
        <v>C1</v>
      </c>
      <c r="AF100" t="s" s="35">
        <v>1602</v>
      </c>
      <c r="AG100" t="s" s="35">
        <v>1612</v>
      </c>
      <c r="AH100" t="s" s="35">
        <v>1609</v>
      </c>
      <c r="AI100" t="s" s="35">
        <v>1623</v>
      </c>
      <c r="AJ100" t="s" s="35">
        <v>1615</v>
      </c>
      <c r="AK100" s="39"/>
      <c r="AL100" s="39"/>
      <c r="AM100" s="39"/>
      <c r="AN100" s="39"/>
      <c r="AO100" s="39"/>
      <c r="AP100" s="39"/>
      <c r="AQ100" s="39"/>
      <c r="AR100" s="39"/>
      <c r="AS100" s="39"/>
      <c r="AT100" s="39"/>
      <c r="AU100" s="39"/>
      <c r="AV100" s="39"/>
      <c r="AW100" t="str" s="39" cm="1">
        <f t="array" ref="AW100">AF100&amp;"; "&amp;AG100&amp;"; "&amp;AH100&amp;"; "&amp;AI100&amp;"; "&amp;AJ100</f>
        <v>E1; E5; E4; D4; E6</v>
      </c>
    </row>
    <row r="101" ht="13.65" customHeight="1">
      <c r="A101" t="s" s="35">
        <v>2343</v>
      </c>
      <c r="B101" s="36">
        <v>3</v>
      </c>
      <c r="C101" t="s" s="35">
        <v>1823</v>
      </c>
      <c r="D101" t="s" s="35">
        <v>2218</v>
      </c>
      <c r="E101" t="s" s="35">
        <v>2322</v>
      </c>
      <c r="F101" s="36">
        <v>8</v>
      </c>
      <c r="G101" t="s" s="35">
        <v>312</v>
      </c>
      <c r="H101" t="s" s="35">
        <v>2323</v>
      </c>
      <c r="I101" t="s" s="120">
        <v>2344</v>
      </c>
      <c r="J101" t="s" s="35">
        <v>1055</v>
      </c>
      <c r="K101" t="s" s="35">
        <v>427</v>
      </c>
      <c r="L101" t="s" s="35">
        <v>1099</v>
      </c>
      <c r="M101" t="str" s="39">
        <v>Biología</v>
      </c>
      <c r="N101" t="str" s="39">
        <v>Características y procesos vitales de los organismos</v>
      </c>
      <c r="O101" t="str" s="39" cm="1">
        <f t="array" ref="O101">IF(L101="","",_xlfn.IFERROR(INDEX('Datos - Catálogo TIMSS'!$C$5:$C$107,MATCH(L101,'Datos - Catálogo TIMSS'!$A$5:$A$107,0)),"?"))</f>
        <v>Biología</v>
      </c>
      <c r="P101" t="s" s="35">
        <v>282</v>
      </c>
      <c r="Q101" t="s" s="120">
        <v>2345</v>
      </c>
      <c r="R101" t="s" s="120">
        <v>2346</v>
      </c>
      <c r="S101" s="121" cm="1">
        <f t="array" ref="S101">_xlfn.IFERROR(ISNUMBER(SEARCH("Conocer",$R101))/(ISNUMBER(SEARCH("Conocer",$R101))+ISNUMBER(SEARCH("Aplicar",$R101))+ISNUMBER(SEARCH("Razonar",$R101))),0)</f>
        <v>0</v>
      </c>
      <c r="T101" s="121" cm="1">
        <f t="array" ref="T101">_xlfn.IFERROR(ISNUMBER(SEARCH("Aplicar",$R101))/(ISNUMBER(SEARCH("Conocer",$R101))+ISNUMBER(SEARCH("Aplicar",$R101))+ISNUMBER(SEARCH("Razonar",$R101))),0)</f>
        <v>0</v>
      </c>
      <c r="U101" s="121" cm="1">
        <f t="array" ref="U101">_xlfn.IFERROR(ISNUMBER(SEARCH("Razonar",$R101))/(ISNUMBER(SEARCH("Conocer",$R101))+ISNUMBER(SEARCH("Aplicar",$R101))+ISNUMBER(SEARCH("Razonar",$R101))),0)</f>
        <v>1</v>
      </c>
      <c r="V101" t="s" s="35">
        <v>74</v>
      </c>
      <c r="W101" t="s" s="35">
        <v>112</v>
      </c>
      <c r="X101" s="36" cm="1">
        <f t="array" ref="X101">IF(OR(_xlfn.IFERROR(INDEX('Datos - Catálogo TIMSS'!$I$5:$I$107,MATCH(K101,'Datos - Catálogo TIMSS'!$A$5:$A$107,0)),"No")="Sí",_xlfn.IFERROR(INDEX('Datos - Catálogo TIMSS'!$I$5:$I$107,MATCH(L101,'Datos - Catálogo TIMSS'!$A$5:$A$107,0)),"No")="Sí"),1,0)</f>
        <v>1</v>
      </c>
      <c r="Y101" s="36" cm="1">
        <f t="array" ref="Y101">IF(_xlfn.IFERROR(INDEX('Datos - Catálogo TIMSS'!$J$5:$J$107,MATCH(K101,'Datos - Catálogo TIMSS'!$A$5:$A$107,0)),"No")="Sí",1,0)</f>
        <v>0</v>
      </c>
      <c r="Z101" s="36" cm="1">
        <f t="array" ref="Z101">IF(_xlfn.IFERROR(INDEX('Datos - Catálogo TIMSS'!$J$5:$J$107,MATCH(L101,'Datos - Catálogo TIMSS'!$A$5:$A$107,0)),"No")="Sí",1,0)</f>
        <v>1</v>
      </c>
      <c r="AA101" t="s" s="35">
        <v>2031</v>
      </c>
      <c r="AB101" t="s" s="35">
        <v>2023</v>
      </c>
      <c r="AC101" t="str" s="39">
        <v>Ciencias de la vida</v>
      </c>
      <c r="AD101" t="s" s="35">
        <v>1834</v>
      </c>
      <c r="AE101" t="str" s="39" cm="1">
        <f t="array" ref="AE101">IF(AD101="","",IF(LEFT(AD101,1)="1","C1",IF(LEFT(AD101,1)="2","C2",IF(LEFT(AD101,1)="3","C3",""))))</f>
        <v>C2</v>
      </c>
      <c r="AF101" t="s" s="35">
        <v>1615</v>
      </c>
      <c r="AG101" t="s" s="35">
        <v>1607</v>
      </c>
      <c r="AH101" t="s" s="35">
        <v>1609</v>
      </c>
      <c r="AI101" t="s" s="35">
        <v>1621</v>
      </c>
      <c r="AJ101" t="s" s="35">
        <v>1633</v>
      </c>
      <c r="AK101" s="39"/>
      <c r="AL101" s="39"/>
      <c r="AM101" s="39"/>
      <c r="AN101" s="39"/>
      <c r="AO101" s="39"/>
      <c r="AP101" s="39"/>
      <c r="AQ101" s="39"/>
      <c r="AR101" s="39"/>
      <c r="AS101" s="39"/>
      <c r="AT101" s="39"/>
      <c r="AU101" s="39"/>
      <c r="AV101" s="39"/>
      <c r="AW101" t="str" s="39" cm="1">
        <f t="array" ref="AW101">AF101&amp;"; "&amp;AG101&amp;"; "&amp;AH101&amp;"; "&amp;AI101&amp;"; "&amp;AJ101</f>
        <v>E6; E3; E4; D3; I5</v>
      </c>
    </row>
    <row r="102" ht="13.65" customHeight="1">
      <c r="A102" t="s" s="35">
        <v>2348</v>
      </c>
      <c r="B102" s="36">
        <v>3</v>
      </c>
      <c r="C102" t="s" s="35">
        <v>1823</v>
      </c>
      <c r="D102" t="s" s="35">
        <v>2218</v>
      </c>
      <c r="E102" t="s" s="35">
        <v>2322</v>
      </c>
      <c r="F102" s="36">
        <v>9</v>
      </c>
      <c r="G102" t="s" s="35">
        <v>312</v>
      </c>
      <c r="H102" t="s" s="35">
        <v>2349</v>
      </c>
      <c r="I102" t="s" s="120">
        <v>2350</v>
      </c>
      <c r="J102" t="s" s="35">
        <v>1055</v>
      </c>
      <c r="K102" t="s" s="35">
        <v>1106</v>
      </c>
      <c r="L102" t="s" s="35">
        <v>1136</v>
      </c>
      <c r="M102" t="str" s="39">
        <v>Ciencias físicas</v>
      </c>
      <c r="N102" t="str" s="39">
        <v>Propiedades y cambios de la materia</v>
      </c>
      <c r="O102" t="str" s="39" cm="1">
        <f t="array" ref="O102">IF(L102="","",_xlfn.IFERROR(INDEX('Datos - Catálogo TIMSS'!$C$5:$C$107,MATCH(L102,'Datos - Catálogo TIMSS'!$A$5:$A$107,0)),"?"))</f>
        <v>Ciencias físicas</v>
      </c>
      <c r="P102" t="s" s="35">
        <v>291</v>
      </c>
      <c r="Q102" t="s" s="120">
        <v>2351</v>
      </c>
      <c r="R102" t="s" s="120">
        <v>2352</v>
      </c>
      <c r="S102" s="121" cm="1">
        <f t="array" ref="S102">_xlfn.IFERROR(ISNUMBER(SEARCH("Conocer",$R102))/(ISNUMBER(SEARCH("Conocer",$R102))+ISNUMBER(SEARCH("Aplicar",$R102))+ISNUMBER(SEARCH("Razonar",$R102))),0)</f>
        <v>0</v>
      </c>
      <c r="T102" s="121" cm="1">
        <f t="array" ref="T102">_xlfn.IFERROR(ISNUMBER(SEARCH("Aplicar",$R102))/(ISNUMBER(SEARCH("Conocer",$R102))+ISNUMBER(SEARCH("Aplicar",$R102))+ISNUMBER(SEARCH("Razonar",$R102))),0)</f>
        <v>0.5</v>
      </c>
      <c r="U102" s="121" cm="1">
        <f t="array" ref="U102">_xlfn.IFERROR(ISNUMBER(SEARCH("Razonar",$R102))/(ISNUMBER(SEARCH("Conocer",$R102))+ISNUMBER(SEARCH("Aplicar",$R102))+ISNUMBER(SEARCH("Razonar",$R102))),0)</f>
        <v>0.5</v>
      </c>
      <c r="V102" t="s" s="35">
        <v>74</v>
      </c>
      <c r="W102" t="s" s="35">
        <v>112</v>
      </c>
      <c r="X102" s="36" cm="1">
        <f t="array" ref="X102">IF(OR(_xlfn.IFERROR(INDEX('Datos - Catálogo TIMSS'!$I$5:$I$107,MATCH(K102,'Datos - Catálogo TIMSS'!$A$5:$A$107,0)),"No")="Sí",_xlfn.IFERROR(INDEX('Datos - Catálogo TIMSS'!$I$5:$I$107,MATCH(L102,'Datos - Catálogo TIMSS'!$A$5:$A$107,0)),"No")="Sí"),1,0)</f>
        <v>0</v>
      </c>
      <c r="Y102" s="36" cm="1">
        <f t="array" ref="Y102">IF(_xlfn.IFERROR(INDEX('Datos - Catálogo TIMSS'!$J$5:$J$107,MATCH(K102,'Datos - Catálogo TIMSS'!$A$5:$A$107,0)),"No")="Sí",1,0)</f>
        <v>0</v>
      </c>
      <c r="Z102" s="36" cm="1">
        <f t="array" ref="Z102">IF(_xlfn.IFERROR(INDEX('Datos - Catálogo TIMSS'!$J$5:$J$107,MATCH(L102,'Datos - Catálogo TIMSS'!$A$5:$A$107,0)),"No")="Sí",1,0)</f>
        <v>1</v>
      </c>
      <c r="AA102" t="s" s="35">
        <v>1848</v>
      </c>
      <c r="AB102" s="39"/>
      <c r="AC102" t="str" s="39">
        <v>Ciencias físicas</v>
      </c>
      <c r="AD102" t="s" s="35">
        <v>1834</v>
      </c>
      <c r="AE102" t="str" s="39" cm="1">
        <f t="array" ref="AE102">IF(AD102="","",IF(LEFT(AD102,1)="1","C1",IF(LEFT(AD102,1)="2","C2",IF(LEFT(AD102,1)="3","C3",""))))</f>
        <v>C2</v>
      </c>
      <c r="AF102" t="s" s="35">
        <v>1602</v>
      </c>
      <c r="AG102" t="s" s="35">
        <v>1617</v>
      </c>
      <c r="AH102" t="s" s="35">
        <v>1602</v>
      </c>
      <c r="AI102" t="s" s="35">
        <v>1623</v>
      </c>
      <c r="AJ102" t="s" s="35">
        <v>1607</v>
      </c>
      <c r="AK102" s="39"/>
      <c r="AL102" s="39"/>
      <c r="AM102" s="39"/>
      <c r="AN102" s="39"/>
      <c r="AO102" s="39"/>
      <c r="AP102" s="39"/>
      <c r="AQ102" s="39"/>
      <c r="AR102" s="39"/>
      <c r="AS102" s="39"/>
      <c r="AT102" s="39"/>
      <c r="AU102" s="39"/>
      <c r="AV102" s="39"/>
      <c r="AW102" t="str" s="39" cm="1">
        <f t="array" ref="AW102">AF102&amp;"; "&amp;AG102&amp;"; "&amp;AH102&amp;"; "&amp;AI102&amp;"; "&amp;AJ102</f>
        <v>E1; D1; E1; D4; E3</v>
      </c>
    </row>
    <row r="103" ht="13.65" customHeight="1">
      <c r="A103" t="s" s="35">
        <v>2353</v>
      </c>
      <c r="B103" s="36">
        <v>3</v>
      </c>
      <c r="C103" t="s" s="35">
        <v>1823</v>
      </c>
      <c r="D103" t="s" s="35">
        <v>2218</v>
      </c>
      <c r="E103" t="s" s="35">
        <v>2322</v>
      </c>
      <c r="F103" s="36">
        <v>10</v>
      </c>
      <c r="G103" t="s" s="35">
        <v>312</v>
      </c>
      <c r="H103" t="s" s="35">
        <v>2349</v>
      </c>
      <c r="I103" t="s" s="120">
        <v>2354</v>
      </c>
      <c r="J103" t="s" s="35">
        <v>1055</v>
      </c>
      <c r="K103" t="s" s="35">
        <v>1109</v>
      </c>
      <c r="L103" s="39"/>
      <c r="M103" t="str" s="39">
        <v>Ciencias físicas</v>
      </c>
      <c r="N103" t="str" s="39">
        <v>Propiedades y cambios de la materia</v>
      </c>
      <c r="O103" t="str" s="39" cm="1">
        <f t="array" ref="O103">IF(L103="","",_xlfn.IFERROR(INDEX('Datos - Catálogo TIMSS'!$C$5:$C$107,MATCH(L103,'Datos - Catálogo TIMSS'!$A$5:$A$107,0)),"?"))</f>
      </c>
      <c r="P103" t="s" s="35">
        <v>254</v>
      </c>
      <c r="Q103" t="s" s="120">
        <v>2355</v>
      </c>
      <c r="R103" t="s" s="120">
        <v>1847</v>
      </c>
      <c r="S103" s="121" cm="1">
        <f t="array" ref="S103">_xlfn.IFERROR(ISNUMBER(SEARCH("Conocer",$R103))/(ISNUMBER(SEARCH("Conocer",$R103))+ISNUMBER(SEARCH("Aplicar",$R103))+ISNUMBER(SEARCH("Razonar",$R103))),0)</f>
        <v>0</v>
      </c>
      <c r="T103" s="121" cm="1">
        <f t="array" ref="T103">_xlfn.IFERROR(ISNUMBER(SEARCH("Aplicar",$R103))/(ISNUMBER(SEARCH("Conocer",$R103))+ISNUMBER(SEARCH("Aplicar",$R103))+ISNUMBER(SEARCH("Razonar",$R103))),0)</f>
        <v>1</v>
      </c>
      <c r="U103" s="121" cm="1">
        <f t="array" ref="U103">_xlfn.IFERROR(ISNUMBER(SEARCH("Razonar",$R103))/(ISNUMBER(SEARCH("Conocer",$R103))+ISNUMBER(SEARCH("Aplicar",$R103))+ISNUMBER(SEARCH("Razonar",$R103))),0)</f>
        <v>0</v>
      </c>
      <c r="V103" t="s" s="35">
        <v>74</v>
      </c>
      <c r="W103" t="s" s="35">
        <v>112</v>
      </c>
      <c r="X103" s="36" cm="1">
        <f t="array" ref="X103">IF(OR(_xlfn.IFERROR(INDEX('Datos - Catálogo TIMSS'!$I$5:$I$107,MATCH(K103,'Datos - Catálogo TIMSS'!$A$5:$A$107,0)),"No")="Sí",_xlfn.IFERROR(INDEX('Datos - Catálogo TIMSS'!$I$5:$I$107,MATCH(L103,'Datos - Catálogo TIMSS'!$A$5:$A$107,0)),"No")="Sí"),1,0)</f>
        <v>0</v>
      </c>
      <c r="Y103" s="36" cm="1">
        <f t="array" ref="Y103">IF(_xlfn.IFERROR(INDEX('Datos - Catálogo TIMSS'!$J$5:$J$107,MATCH(K103,'Datos - Catálogo TIMSS'!$A$5:$A$107,0)),"No")="Sí",1,0)</f>
        <v>0</v>
      </c>
      <c r="Z103" s="36" cm="1">
        <f t="array" ref="Z103">IF(_xlfn.IFERROR(INDEX('Datos - Catálogo TIMSS'!$J$5:$J$107,MATCH(L103,'Datos - Catálogo TIMSS'!$A$5:$A$107,0)),"No")="Sí",1,0)</f>
        <v>0</v>
      </c>
      <c r="AA103" t="s" s="35">
        <v>1848</v>
      </c>
      <c r="AB103" s="39"/>
      <c r="AC103" t="str" s="39">
        <v>Ciencias físicas</v>
      </c>
      <c r="AD103" t="s" s="35">
        <v>1834</v>
      </c>
      <c r="AE103" t="str" s="39" cm="1">
        <f t="array" ref="AE103">IF(AD103="","",IF(LEFT(AD103,1)="1","C1",IF(LEFT(AD103,1)="2","C2",IF(LEFT(AD103,1)="3","C3",""))))</f>
        <v>C2</v>
      </c>
      <c r="AF103" t="s" s="35">
        <v>1602</v>
      </c>
      <c r="AG103" t="s" s="35">
        <v>1617</v>
      </c>
      <c r="AH103" t="s" s="35">
        <v>1602</v>
      </c>
      <c r="AI103" t="s" s="35">
        <v>1623</v>
      </c>
      <c r="AJ103" t="s" s="35">
        <v>1602</v>
      </c>
      <c r="AK103" s="39"/>
      <c r="AL103" s="39"/>
      <c r="AM103" s="39"/>
      <c r="AN103" s="39"/>
      <c r="AO103" s="39"/>
      <c r="AP103" s="39"/>
      <c r="AQ103" s="39"/>
      <c r="AR103" s="39"/>
      <c r="AS103" s="39"/>
      <c r="AT103" s="39"/>
      <c r="AU103" s="39"/>
      <c r="AV103" s="39"/>
      <c r="AW103" t="str" s="39" cm="1">
        <f t="array" ref="AW103">AF103&amp;"; "&amp;AG103&amp;"; "&amp;AH103&amp;"; "&amp;AI103&amp;"; "&amp;AJ103</f>
        <v>E1; D1; E1; D4; E1</v>
      </c>
    </row>
    <row r="104" ht="13.65" customHeight="1">
      <c r="A104" t="s" s="35">
        <v>2356</v>
      </c>
      <c r="B104" s="36">
        <v>3</v>
      </c>
      <c r="C104" t="s" s="35">
        <v>1823</v>
      </c>
      <c r="D104" t="s" s="35">
        <v>2218</v>
      </c>
      <c r="E104" t="s" s="35">
        <v>2322</v>
      </c>
      <c r="F104" s="36">
        <v>11</v>
      </c>
      <c r="G104" t="s" s="35">
        <v>312</v>
      </c>
      <c r="H104" t="s" s="35">
        <v>2357</v>
      </c>
      <c r="I104" t="s" s="120">
        <v>2358</v>
      </c>
      <c r="J104" t="s" s="35">
        <v>1055</v>
      </c>
      <c r="K104" t="s" s="35">
        <v>1109</v>
      </c>
      <c r="L104" s="39"/>
      <c r="M104" t="str" s="39">
        <v>Ciencias físicas</v>
      </c>
      <c r="N104" t="str" s="39">
        <v>Propiedades y cambios de la materia</v>
      </c>
      <c r="O104" t="str" s="39" cm="1">
        <f t="array" ref="O104">IF(L104="","",_xlfn.IFERROR(INDEX('Datos - Catálogo TIMSS'!$C$5:$C$107,MATCH(L104,'Datos - Catálogo TIMSS'!$A$5:$A$107,0)),"?"))</f>
      </c>
      <c r="P104" t="s" s="35">
        <v>282</v>
      </c>
      <c r="Q104" t="s" s="120">
        <v>2359</v>
      </c>
      <c r="R104" t="s" s="120">
        <v>1847</v>
      </c>
      <c r="S104" s="121" cm="1">
        <f t="array" ref="S104">_xlfn.IFERROR(ISNUMBER(SEARCH("Conocer",$R104))/(ISNUMBER(SEARCH("Conocer",$R104))+ISNUMBER(SEARCH("Aplicar",$R104))+ISNUMBER(SEARCH("Razonar",$R104))),0)</f>
        <v>0</v>
      </c>
      <c r="T104" s="121" cm="1">
        <f t="array" ref="T104">_xlfn.IFERROR(ISNUMBER(SEARCH("Aplicar",$R104))/(ISNUMBER(SEARCH("Conocer",$R104))+ISNUMBER(SEARCH("Aplicar",$R104))+ISNUMBER(SEARCH("Razonar",$R104))),0)</f>
        <v>1</v>
      </c>
      <c r="U104" s="121" cm="1">
        <f t="array" ref="U104">_xlfn.IFERROR(ISNUMBER(SEARCH("Razonar",$R104))/(ISNUMBER(SEARCH("Conocer",$R104))+ISNUMBER(SEARCH("Aplicar",$R104))+ISNUMBER(SEARCH("Razonar",$R104))),0)</f>
        <v>0</v>
      </c>
      <c r="V104" t="s" s="35">
        <v>74</v>
      </c>
      <c r="W104" t="s" s="35">
        <v>112</v>
      </c>
      <c r="X104" s="36" cm="1">
        <f t="array" ref="X104">IF(OR(_xlfn.IFERROR(INDEX('Datos - Catálogo TIMSS'!$I$5:$I$107,MATCH(K104,'Datos - Catálogo TIMSS'!$A$5:$A$107,0)),"No")="Sí",_xlfn.IFERROR(INDEX('Datos - Catálogo TIMSS'!$I$5:$I$107,MATCH(L104,'Datos - Catálogo TIMSS'!$A$5:$A$107,0)),"No")="Sí"),1,0)</f>
        <v>0</v>
      </c>
      <c r="Y104" s="36" cm="1">
        <f t="array" ref="Y104">IF(_xlfn.IFERROR(INDEX('Datos - Catálogo TIMSS'!$J$5:$J$107,MATCH(K104,'Datos - Catálogo TIMSS'!$A$5:$A$107,0)),"No")="Sí",1,0)</f>
        <v>0</v>
      </c>
      <c r="Z104" s="36" cm="1">
        <f t="array" ref="Z104">IF(_xlfn.IFERROR(INDEX('Datos - Catálogo TIMSS'!$J$5:$J$107,MATCH(L104,'Datos - Catálogo TIMSS'!$A$5:$A$107,0)),"No")="Sí",1,0)</f>
        <v>0</v>
      </c>
      <c r="AA104" t="s" s="35">
        <v>1848</v>
      </c>
      <c r="AB104" s="39"/>
      <c r="AC104" t="str" s="39">
        <v>Ciencias físicas</v>
      </c>
      <c r="AD104" t="s" s="35">
        <v>1859</v>
      </c>
      <c r="AE104" t="str" s="39" cm="1">
        <f t="array" ref="AE104">IF(AD104="","",IF(LEFT(AD104,1)="1","C1",IF(LEFT(AD104,1)="2","C2",IF(LEFT(AD104,1)="3","C3",""))))</f>
        <v>C1</v>
      </c>
      <c r="AF104" t="s" s="35">
        <v>1602</v>
      </c>
      <c r="AG104" t="s" s="35">
        <v>1617</v>
      </c>
      <c r="AH104" t="s" s="35">
        <v>1602</v>
      </c>
      <c r="AI104" t="s" s="35">
        <v>1623</v>
      </c>
      <c r="AJ104" t="s" s="35">
        <v>1602</v>
      </c>
      <c r="AK104" s="39"/>
      <c r="AL104" s="39"/>
      <c r="AM104" s="39"/>
      <c r="AN104" s="39"/>
      <c r="AO104" s="39"/>
      <c r="AP104" s="39"/>
      <c r="AQ104" s="39"/>
      <c r="AR104" s="39"/>
      <c r="AS104" s="39"/>
      <c r="AT104" s="39"/>
      <c r="AU104" s="39"/>
      <c r="AV104" s="39"/>
      <c r="AW104" t="str" s="39" cm="1">
        <f t="array" ref="AW104">AF104&amp;"; "&amp;AG104&amp;"; "&amp;AH104&amp;"; "&amp;AI104&amp;"; "&amp;AJ104</f>
        <v>E1; D1; E1; D4; E1</v>
      </c>
    </row>
    <row r="105" ht="13.65" customHeight="1">
      <c r="A105" t="s" s="35">
        <v>2360</v>
      </c>
      <c r="B105" s="36">
        <v>3</v>
      </c>
      <c r="C105" t="s" s="35">
        <v>1823</v>
      </c>
      <c r="D105" t="s" s="35">
        <v>2218</v>
      </c>
      <c r="E105" t="s" s="35">
        <v>2322</v>
      </c>
      <c r="F105" s="36">
        <v>12</v>
      </c>
      <c r="G105" t="s" s="35">
        <v>312</v>
      </c>
      <c r="H105" t="s" s="35">
        <v>2357</v>
      </c>
      <c r="I105" t="s" s="120">
        <v>2361</v>
      </c>
      <c r="J105" t="s" s="35">
        <v>1055</v>
      </c>
      <c r="K105" t="s" s="35">
        <v>1109</v>
      </c>
      <c r="L105" t="s" s="35">
        <v>1136</v>
      </c>
      <c r="M105" t="str" s="39">
        <v>Ciencias físicas</v>
      </c>
      <c r="N105" t="str" s="39">
        <v>Propiedades y cambios de la materia</v>
      </c>
      <c r="O105" t="str" s="39" cm="1">
        <f t="array" ref="O105">IF(L105="","",_xlfn.IFERROR(INDEX('Datos - Catálogo TIMSS'!$C$5:$C$107,MATCH(L105,'Datos - Catálogo TIMSS'!$A$5:$A$107,0)),"?"))</f>
        <v>Ciencias físicas</v>
      </c>
      <c r="P105" t="s" s="35">
        <v>254</v>
      </c>
      <c r="Q105" t="s" s="120">
        <v>2362</v>
      </c>
      <c r="R105" t="s" s="120">
        <v>2363</v>
      </c>
      <c r="S105" s="121" cm="1">
        <f t="array" ref="S105">_xlfn.IFERROR(ISNUMBER(SEARCH("Conocer",$R105))/(ISNUMBER(SEARCH("Conocer",$R105))+ISNUMBER(SEARCH("Aplicar",$R105))+ISNUMBER(SEARCH("Razonar",$R105))),0)</f>
        <v>0</v>
      </c>
      <c r="T105" s="121" cm="1">
        <f t="array" ref="T105">_xlfn.IFERROR(ISNUMBER(SEARCH("Aplicar",$R105))/(ISNUMBER(SEARCH("Conocer",$R105))+ISNUMBER(SEARCH("Aplicar",$R105))+ISNUMBER(SEARCH("Razonar",$R105))),0)</f>
        <v>0</v>
      </c>
      <c r="U105" s="121" cm="1">
        <f t="array" ref="U105">_xlfn.IFERROR(ISNUMBER(SEARCH("Razonar",$R105))/(ISNUMBER(SEARCH("Conocer",$R105))+ISNUMBER(SEARCH("Aplicar",$R105))+ISNUMBER(SEARCH("Razonar",$R105))),0)</f>
        <v>1</v>
      </c>
      <c r="V105" t="s" s="35">
        <v>74</v>
      </c>
      <c r="W105" t="s" s="35">
        <v>112</v>
      </c>
      <c r="X105" s="36" cm="1">
        <f t="array" ref="X105">IF(OR(_xlfn.IFERROR(INDEX('Datos - Catálogo TIMSS'!$I$5:$I$107,MATCH(K105,'Datos - Catálogo TIMSS'!$A$5:$A$107,0)),"No")="Sí",_xlfn.IFERROR(INDEX('Datos - Catálogo TIMSS'!$I$5:$I$107,MATCH(L105,'Datos - Catálogo TIMSS'!$A$5:$A$107,0)),"No")="Sí"),1,0)</f>
        <v>0</v>
      </c>
      <c r="Y105" s="36" cm="1">
        <f t="array" ref="Y105">IF(_xlfn.IFERROR(INDEX('Datos - Catálogo TIMSS'!$J$5:$J$107,MATCH(K105,'Datos - Catálogo TIMSS'!$A$5:$A$107,0)),"No")="Sí",1,0)</f>
        <v>0</v>
      </c>
      <c r="Z105" s="36" cm="1">
        <f t="array" ref="Z105">IF(_xlfn.IFERROR(INDEX('Datos - Catálogo TIMSS'!$J$5:$J$107,MATCH(L105,'Datos - Catálogo TIMSS'!$A$5:$A$107,0)),"No")="Sí",1,0)</f>
        <v>1</v>
      </c>
      <c r="AA105" t="s" s="35">
        <v>1867</v>
      </c>
      <c r="AB105" s="39"/>
      <c r="AC105" t="str" s="39">
        <v>Ciencias físicas</v>
      </c>
      <c r="AD105" t="s" s="35">
        <v>1834</v>
      </c>
      <c r="AE105" t="str" s="39" cm="1">
        <f t="array" ref="AE105">IF(AD105="","",IF(LEFT(AD105,1)="1","C1",IF(LEFT(AD105,1)="2","C2",IF(LEFT(AD105,1)="3","C3",""))))</f>
        <v>C2</v>
      </c>
      <c r="AF105" t="s" s="35">
        <v>1602</v>
      </c>
      <c r="AG105" t="s" s="35">
        <v>1607</v>
      </c>
      <c r="AH105" t="s" s="35">
        <v>1602</v>
      </c>
      <c r="AI105" t="s" s="35">
        <v>1619</v>
      </c>
      <c r="AJ105" t="s" s="35">
        <v>1607</v>
      </c>
      <c r="AK105" s="39"/>
      <c r="AL105" s="39"/>
      <c r="AM105" s="39"/>
      <c r="AN105" s="39"/>
      <c r="AO105" s="39"/>
      <c r="AP105" s="39"/>
      <c r="AQ105" s="39"/>
      <c r="AR105" s="39"/>
      <c r="AS105" s="39"/>
      <c r="AT105" s="39"/>
      <c r="AU105" s="39"/>
      <c r="AV105" s="39"/>
      <c r="AW105" t="str" s="39" cm="1">
        <f t="array" ref="AW105">AF105&amp;"; "&amp;AG105&amp;"; "&amp;AH105&amp;"; "&amp;AI105&amp;"; "&amp;AJ105</f>
        <v>E1; E3; E1; D2; E3</v>
      </c>
    </row>
    <row r="106" ht="13.65" customHeight="1">
      <c r="A106" t="s" s="35">
        <v>2365</v>
      </c>
      <c r="B106" s="36">
        <v>3</v>
      </c>
      <c r="C106" t="s" s="35">
        <v>1823</v>
      </c>
      <c r="D106" t="s" s="35">
        <v>2218</v>
      </c>
      <c r="E106" t="s" s="35">
        <v>2322</v>
      </c>
      <c r="F106" s="36">
        <v>13</v>
      </c>
      <c r="G106" t="s" s="35">
        <v>312</v>
      </c>
      <c r="H106" t="s" s="35">
        <v>2357</v>
      </c>
      <c r="I106" t="s" s="120">
        <v>2366</v>
      </c>
      <c r="J106" t="s" s="35">
        <v>1055</v>
      </c>
      <c r="K106" t="s" s="35">
        <v>1109</v>
      </c>
      <c r="L106" s="39"/>
      <c r="M106" t="str" s="39">
        <v>Ciencias físicas</v>
      </c>
      <c r="N106" t="str" s="39">
        <v>Propiedades y cambios de la materia</v>
      </c>
      <c r="O106" t="str" s="39" cm="1">
        <f t="array" ref="O106">IF(L106="","",_xlfn.IFERROR(INDEX('Datos - Catálogo TIMSS'!$C$5:$C$107,MATCH(L106,'Datos - Catálogo TIMSS'!$A$5:$A$107,0)),"?"))</f>
      </c>
      <c r="P106" t="s" s="35">
        <v>282</v>
      </c>
      <c r="Q106" t="s" s="120">
        <v>2367</v>
      </c>
      <c r="R106" t="s" s="120">
        <v>2368</v>
      </c>
      <c r="S106" s="121" cm="1">
        <f t="array" ref="S106">_xlfn.IFERROR(ISNUMBER(SEARCH("Conocer",$R106))/(ISNUMBER(SEARCH("Conocer",$R106))+ISNUMBER(SEARCH("Aplicar",$R106))+ISNUMBER(SEARCH("Razonar",$R106))),0)</f>
        <v>0</v>
      </c>
      <c r="T106" s="121" cm="1">
        <f t="array" ref="T106">_xlfn.IFERROR(ISNUMBER(SEARCH("Aplicar",$R106))/(ISNUMBER(SEARCH("Conocer",$R106))+ISNUMBER(SEARCH("Aplicar",$R106))+ISNUMBER(SEARCH("Razonar",$R106))),0)</f>
        <v>0.5</v>
      </c>
      <c r="U106" s="121" cm="1">
        <f t="array" ref="U106">_xlfn.IFERROR(ISNUMBER(SEARCH("Razonar",$R106))/(ISNUMBER(SEARCH("Conocer",$R106))+ISNUMBER(SEARCH("Aplicar",$R106))+ISNUMBER(SEARCH("Razonar",$R106))),0)</f>
        <v>0.5</v>
      </c>
      <c r="V106" t="s" s="35">
        <v>74</v>
      </c>
      <c r="W106" t="s" s="35">
        <v>112</v>
      </c>
      <c r="X106" s="36" cm="1">
        <f t="array" ref="X106">IF(OR(_xlfn.IFERROR(INDEX('Datos - Catálogo TIMSS'!$I$5:$I$107,MATCH(K106,'Datos - Catálogo TIMSS'!$A$5:$A$107,0)),"No")="Sí",_xlfn.IFERROR(INDEX('Datos - Catálogo TIMSS'!$I$5:$I$107,MATCH(L106,'Datos - Catálogo TIMSS'!$A$5:$A$107,0)),"No")="Sí"),1,0)</f>
        <v>0</v>
      </c>
      <c r="Y106" s="36" cm="1">
        <f t="array" ref="Y106">IF(_xlfn.IFERROR(INDEX('Datos - Catálogo TIMSS'!$J$5:$J$107,MATCH(K106,'Datos - Catálogo TIMSS'!$A$5:$A$107,0)),"No")="Sí",1,0)</f>
        <v>0</v>
      </c>
      <c r="Z106" s="36" cm="1">
        <f t="array" ref="Z106">IF(_xlfn.IFERROR(INDEX('Datos - Catálogo TIMSS'!$J$5:$J$107,MATCH(L106,'Datos - Catálogo TIMSS'!$A$5:$A$107,0)),"No")="Sí",1,0)</f>
        <v>0</v>
      </c>
      <c r="AA106" t="s" s="35">
        <v>1867</v>
      </c>
      <c r="AB106" t="s" s="35">
        <v>1848</v>
      </c>
      <c r="AC106" t="str" s="39">
        <v>Ciencias físicas</v>
      </c>
      <c r="AD106" t="s" s="35">
        <v>1834</v>
      </c>
      <c r="AE106" t="str" s="39" cm="1">
        <f t="array" ref="AE106">IF(AD106="","",IF(LEFT(AD106,1)="1","C1",IF(LEFT(AD106,1)="2","C2",IF(LEFT(AD106,1)="3","C3",""))))</f>
        <v>C2</v>
      </c>
      <c r="AF106" t="s" s="35">
        <v>1602</v>
      </c>
      <c r="AG106" t="s" s="35">
        <v>1607</v>
      </c>
      <c r="AH106" t="s" s="35">
        <v>1602</v>
      </c>
      <c r="AI106" t="s" s="35">
        <v>1623</v>
      </c>
      <c r="AJ106" t="s" s="35">
        <v>1602</v>
      </c>
      <c r="AK106" s="39"/>
      <c r="AL106" s="39"/>
      <c r="AM106" s="39"/>
      <c r="AN106" s="39"/>
      <c r="AO106" s="39"/>
      <c r="AP106" s="39"/>
      <c r="AQ106" s="39"/>
      <c r="AR106" s="39"/>
      <c r="AS106" s="39"/>
      <c r="AT106" s="39"/>
      <c r="AU106" s="39"/>
      <c r="AV106" s="39"/>
      <c r="AW106" t="str" s="39" cm="1">
        <f t="array" ref="AW106">AF106&amp;"; "&amp;AG106&amp;"; "&amp;AH106&amp;"; "&amp;AI106&amp;"; "&amp;AJ106</f>
        <v>E1; E3; E1; D4; E1</v>
      </c>
    </row>
    <row r="107" ht="13.65" customHeight="1">
      <c r="A107" t="s" s="35">
        <v>2369</v>
      </c>
      <c r="B107" s="36">
        <v>3</v>
      </c>
      <c r="C107" t="s" s="35">
        <v>1823</v>
      </c>
      <c r="D107" t="s" s="35">
        <v>2218</v>
      </c>
      <c r="E107" t="s" s="35">
        <v>2322</v>
      </c>
      <c r="F107" s="36">
        <v>14</v>
      </c>
      <c r="G107" t="s" s="35">
        <v>312</v>
      </c>
      <c r="H107" t="s" s="35">
        <v>2357</v>
      </c>
      <c r="I107" t="s" s="120">
        <v>2370</v>
      </c>
      <c r="J107" t="s" s="35">
        <v>1055</v>
      </c>
      <c r="K107" t="s" s="35">
        <v>1109</v>
      </c>
      <c r="L107" s="39"/>
      <c r="M107" t="str" s="39">
        <v>Ciencias físicas</v>
      </c>
      <c r="N107" t="str" s="39">
        <v>Propiedades y cambios de la materia</v>
      </c>
      <c r="O107" t="str" s="39" cm="1">
        <f t="array" ref="O107">IF(L107="","",_xlfn.IFERROR(INDEX('Datos - Catálogo TIMSS'!$C$5:$C$107,MATCH(L107,'Datos - Catálogo TIMSS'!$A$5:$A$107,0)),"?"))</f>
      </c>
      <c r="P107" t="s" s="35">
        <v>282</v>
      </c>
      <c r="Q107" t="s" s="120">
        <v>2371</v>
      </c>
      <c r="R107" t="s" s="120">
        <v>2372</v>
      </c>
      <c r="S107" s="121" cm="1">
        <f t="array" ref="S107">_xlfn.IFERROR(ISNUMBER(SEARCH("Conocer",$R107))/(ISNUMBER(SEARCH("Conocer",$R107))+ISNUMBER(SEARCH("Aplicar",$R107))+ISNUMBER(SEARCH("Razonar",$R107))),0)</f>
        <v>0</v>
      </c>
      <c r="T107" s="121" cm="1">
        <f t="array" ref="T107">_xlfn.IFERROR(ISNUMBER(SEARCH("Aplicar",$R107))/(ISNUMBER(SEARCH("Conocer",$R107))+ISNUMBER(SEARCH("Aplicar",$R107))+ISNUMBER(SEARCH("Razonar",$R107))),0)</f>
        <v>0</v>
      </c>
      <c r="U107" s="121" cm="1">
        <f t="array" ref="U107">_xlfn.IFERROR(ISNUMBER(SEARCH("Razonar",$R107))/(ISNUMBER(SEARCH("Conocer",$R107))+ISNUMBER(SEARCH("Aplicar",$R107))+ISNUMBER(SEARCH("Razonar",$R107))),0)</f>
        <v>1</v>
      </c>
      <c r="V107" t="s" s="35">
        <v>74</v>
      </c>
      <c r="W107" t="s" s="35">
        <v>112</v>
      </c>
      <c r="X107" s="36" cm="1">
        <f t="array" ref="X107">IF(OR(_xlfn.IFERROR(INDEX('Datos - Catálogo TIMSS'!$I$5:$I$107,MATCH(K107,'Datos - Catálogo TIMSS'!$A$5:$A$107,0)),"No")="Sí",_xlfn.IFERROR(INDEX('Datos - Catálogo TIMSS'!$I$5:$I$107,MATCH(L107,'Datos - Catálogo TIMSS'!$A$5:$A$107,0)),"No")="Sí"),1,0)</f>
        <v>0</v>
      </c>
      <c r="Y107" s="36" cm="1">
        <f t="array" ref="Y107">IF(_xlfn.IFERROR(INDEX('Datos - Catálogo TIMSS'!$J$5:$J$107,MATCH(K107,'Datos - Catálogo TIMSS'!$A$5:$A$107,0)),"No")="Sí",1,0)</f>
        <v>0</v>
      </c>
      <c r="Z107" s="36" cm="1">
        <f t="array" ref="Z107">IF(_xlfn.IFERROR(INDEX('Datos - Catálogo TIMSS'!$J$5:$J$107,MATCH(L107,'Datos - Catálogo TIMSS'!$A$5:$A$107,0)),"No")="Sí",1,0)</f>
        <v>0</v>
      </c>
      <c r="AA107" t="s" s="35">
        <v>1848</v>
      </c>
      <c r="AB107" s="39"/>
      <c r="AC107" t="str" s="39">
        <v>Ciencias físicas</v>
      </c>
      <c r="AD107" t="s" s="35">
        <v>1834</v>
      </c>
      <c r="AE107" t="str" s="39" cm="1">
        <f t="array" ref="AE107">IF(AD107="","",IF(LEFT(AD107,1)="1","C1",IF(LEFT(AD107,1)="2","C2",IF(LEFT(AD107,1)="3","C3",""))))</f>
        <v>C2</v>
      </c>
      <c r="AF107" t="s" s="35">
        <v>1602</v>
      </c>
      <c r="AG107" t="s" s="35">
        <v>1607</v>
      </c>
      <c r="AH107" t="s" s="35">
        <v>1602</v>
      </c>
      <c r="AI107" t="s" s="35">
        <v>1619</v>
      </c>
      <c r="AJ107" t="s" s="35">
        <v>1602</v>
      </c>
      <c r="AK107" s="39"/>
      <c r="AL107" s="39"/>
      <c r="AM107" s="39"/>
      <c r="AN107" s="39"/>
      <c r="AO107" s="39"/>
      <c r="AP107" s="39"/>
      <c r="AQ107" s="39"/>
      <c r="AR107" s="39"/>
      <c r="AS107" s="39"/>
      <c r="AT107" s="39"/>
      <c r="AU107" s="39"/>
      <c r="AV107" s="39"/>
      <c r="AW107" t="str" s="39" cm="1">
        <f t="array" ref="AW107">AF107&amp;"; "&amp;AG107&amp;"; "&amp;AH107&amp;"; "&amp;AI107&amp;"; "&amp;AJ107</f>
        <v>E1; E3; E1; D2; E1</v>
      </c>
    </row>
    <row r="108" ht="13.65" customHeight="1">
      <c r="A108" t="s" s="35">
        <v>2374</v>
      </c>
      <c r="B108" s="36">
        <v>3</v>
      </c>
      <c r="C108" t="s" s="35">
        <v>1823</v>
      </c>
      <c r="D108" t="s" s="35">
        <v>2218</v>
      </c>
      <c r="E108" t="s" s="35">
        <v>2322</v>
      </c>
      <c r="F108" s="36">
        <v>15</v>
      </c>
      <c r="G108" t="s" s="35">
        <v>312</v>
      </c>
      <c r="H108" t="s" s="35">
        <v>2375</v>
      </c>
      <c r="I108" t="s" s="120">
        <v>2376</v>
      </c>
      <c r="J108" t="s" s="35">
        <v>1055</v>
      </c>
      <c r="K108" t="s" s="35">
        <v>1109</v>
      </c>
      <c r="L108" t="s" s="35">
        <v>1148</v>
      </c>
      <c r="M108" t="str" s="39">
        <v>Ciencias físicas</v>
      </c>
      <c r="N108" t="str" s="39">
        <v>Propiedades y cambios de la materia</v>
      </c>
      <c r="O108" t="str" s="39" cm="1">
        <f t="array" ref="O108">IF(L108="","",_xlfn.IFERROR(INDEX('Datos - Catálogo TIMSS'!$C$5:$C$107,MATCH(L108,'Datos - Catálogo TIMSS'!$A$5:$A$107,0)),"?"))</f>
        <v>Ciencias de la Tierra</v>
      </c>
      <c r="P108" t="s" s="35">
        <v>282</v>
      </c>
      <c r="Q108" t="s" s="120">
        <v>2377</v>
      </c>
      <c r="R108" t="s" s="120">
        <v>2378</v>
      </c>
      <c r="S108" s="121" cm="1">
        <f t="array" ref="S108">_xlfn.IFERROR(ISNUMBER(SEARCH("Conocer",$R108))/(ISNUMBER(SEARCH("Conocer",$R108))+ISNUMBER(SEARCH("Aplicar",$R108))+ISNUMBER(SEARCH("Razonar",$R108))),0)</f>
        <v>0</v>
      </c>
      <c r="T108" s="121" cm="1">
        <f t="array" ref="T108">_xlfn.IFERROR(ISNUMBER(SEARCH("Aplicar",$R108))/(ISNUMBER(SEARCH("Conocer",$R108))+ISNUMBER(SEARCH("Aplicar",$R108))+ISNUMBER(SEARCH("Razonar",$R108))),0)</f>
        <v>0.5</v>
      </c>
      <c r="U108" s="121" cm="1">
        <f t="array" ref="U108">_xlfn.IFERROR(ISNUMBER(SEARCH("Razonar",$R108))/(ISNUMBER(SEARCH("Conocer",$R108))+ISNUMBER(SEARCH("Aplicar",$R108))+ISNUMBER(SEARCH("Razonar",$R108))),0)</f>
        <v>0.5</v>
      </c>
      <c r="V108" t="s" s="35">
        <v>74</v>
      </c>
      <c r="W108" t="s" s="35">
        <v>112</v>
      </c>
      <c r="X108" s="36" cm="1">
        <f t="array" ref="X108">IF(OR(_xlfn.IFERROR(INDEX('Datos - Catálogo TIMSS'!$I$5:$I$107,MATCH(K108,'Datos - Catálogo TIMSS'!$A$5:$A$107,0)),"No")="Sí",_xlfn.IFERROR(INDEX('Datos - Catálogo TIMSS'!$I$5:$I$107,MATCH(L108,'Datos - Catálogo TIMSS'!$A$5:$A$107,0)),"No")="Sí"),1,0)</f>
        <v>1</v>
      </c>
      <c r="Y108" s="36" cm="1">
        <f t="array" ref="Y108">IF(_xlfn.IFERROR(INDEX('Datos - Catálogo TIMSS'!$J$5:$J$107,MATCH(K108,'Datos - Catálogo TIMSS'!$A$5:$A$107,0)),"No")="Sí",1,0)</f>
        <v>0</v>
      </c>
      <c r="Z108" s="36" cm="1">
        <f t="array" ref="Z108">IF(_xlfn.IFERROR(INDEX('Datos - Catálogo TIMSS'!$J$5:$J$107,MATCH(L108,'Datos - Catálogo TIMSS'!$A$5:$A$107,0)),"No")="Sí",1,0)</f>
        <v>0</v>
      </c>
      <c r="AA108" t="s" s="35">
        <v>1848</v>
      </c>
      <c r="AB108" t="s" s="35">
        <v>1899</v>
      </c>
      <c r="AC108" t="str" s="39">
        <v>Ciencias físicas</v>
      </c>
      <c r="AD108" t="s" s="35">
        <v>1900</v>
      </c>
      <c r="AE108" t="str" s="39" cm="1">
        <f t="array" ref="AE108">IF(AD108="","",IF(LEFT(AD108,1)="1","C1",IF(LEFT(AD108,1)="2","C2",IF(LEFT(AD108,1)="3","C3",""))))</f>
        <v>C3</v>
      </c>
      <c r="AF108" t="s" s="35">
        <v>1602</v>
      </c>
      <c r="AG108" t="s" s="35">
        <v>1617</v>
      </c>
      <c r="AH108" t="s" s="35">
        <v>1605</v>
      </c>
      <c r="AI108" t="s" s="35">
        <v>1619</v>
      </c>
      <c r="AJ108" t="s" s="35">
        <v>1631</v>
      </c>
      <c r="AK108" s="39"/>
      <c r="AL108" s="39"/>
      <c r="AM108" s="39"/>
      <c r="AN108" s="39"/>
      <c r="AO108" s="39"/>
      <c r="AP108" s="39"/>
      <c r="AQ108" s="39"/>
      <c r="AR108" s="39"/>
      <c r="AS108" s="39"/>
      <c r="AT108" s="39"/>
      <c r="AU108" s="39"/>
      <c r="AV108" s="39"/>
      <c r="AW108" t="str" s="39" cm="1">
        <f t="array" ref="AW108">AF108&amp;"; "&amp;AG108&amp;"; "&amp;AH108&amp;"; "&amp;AI108&amp;"; "&amp;AJ108</f>
        <v>E1; D1; E2; D2; I4</v>
      </c>
    </row>
    <row r="109" ht="13.65" customHeight="1">
      <c r="A109" t="s" s="35">
        <v>2380</v>
      </c>
      <c r="B109" s="36">
        <v>3</v>
      </c>
      <c r="C109" t="s" s="35">
        <v>1823</v>
      </c>
      <c r="D109" t="s" s="35">
        <v>2218</v>
      </c>
      <c r="E109" t="s" s="35">
        <v>2322</v>
      </c>
      <c r="F109" s="36">
        <v>16</v>
      </c>
      <c r="G109" t="s" s="35">
        <v>312</v>
      </c>
      <c r="H109" t="s" s="35">
        <v>2375</v>
      </c>
      <c r="I109" t="s" s="120">
        <v>2381</v>
      </c>
      <c r="J109" t="s" s="35">
        <v>1055</v>
      </c>
      <c r="K109" t="s" s="35">
        <v>1148</v>
      </c>
      <c r="L109" t="s" s="35">
        <v>1090</v>
      </c>
      <c r="M109" t="str" s="39">
        <v>Ciencias de la Tierra</v>
      </c>
      <c r="N109" t="str" s="39">
        <v>Recursos de la Tierra, uso y conservación</v>
      </c>
      <c r="O109" t="str" s="39" cm="1">
        <f t="array" ref="O109">IF(L109="","",_xlfn.IFERROR(INDEX('Datos - Catálogo TIMSS'!$C$5:$C$107,MATCH(L109,'Datos - Catálogo TIMSS'!$A$5:$A$107,0)),"?"))</f>
        <v>Biología</v>
      </c>
      <c r="P109" t="s" s="35">
        <v>282</v>
      </c>
      <c r="Q109" t="s" s="120">
        <v>2382</v>
      </c>
      <c r="R109" t="s" s="120">
        <v>2383</v>
      </c>
      <c r="S109" s="121" cm="1">
        <f t="array" ref="S109">_xlfn.IFERROR(ISNUMBER(SEARCH("Conocer",$R109))/(ISNUMBER(SEARCH("Conocer",$R109))+ISNUMBER(SEARCH("Aplicar",$R109))+ISNUMBER(SEARCH("Razonar",$R109))),0)</f>
        <v>0</v>
      </c>
      <c r="T109" s="121" cm="1">
        <f t="array" ref="T109">_xlfn.IFERROR(ISNUMBER(SEARCH("Aplicar",$R109))/(ISNUMBER(SEARCH("Conocer",$R109))+ISNUMBER(SEARCH("Aplicar",$R109))+ISNUMBER(SEARCH("Razonar",$R109))),0)</f>
        <v>0.5</v>
      </c>
      <c r="U109" s="121" cm="1">
        <f t="array" ref="U109">_xlfn.IFERROR(ISNUMBER(SEARCH("Razonar",$R109))/(ISNUMBER(SEARCH("Conocer",$R109))+ISNUMBER(SEARCH("Aplicar",$R109))+ISNUMBER(SEARCH("Razonar",$R109))),0)</f>
        <v>0.5</v>
      </c>
      <c r="V109" t="s" s="35">
        <v>74</v>
      </c>
      <c r="W109" t="s" s="35">
        <v>112</v>
      </c>
      <c r="X109" s="36" cm="1">
        <f t="array" ref="X109">IF(OR(_xlfn.IFERROR(INDEX('Datos - Catálogo TIMSS'!$I$5:$I$107,MATCH(K109,'Datos - Catálogo TIMSS'!$A$5:$A$107,0)),"No")="Sí",_xlfn.IFERROR(INDEX('Datos - Catálogo TIMSS'!$I$5:$I$107,MATCH(L109,'Datos - Catálogo TIMSS'!$A$5:$A$107,0)),"No")="Sí"),1,0)</f>
        <v>1</v>
      </c>
      <c r="Y109" s="36" cm="1">
        <f t="array" ref="Y109">IF(_xlfn.IFERROR(INDEX('Datos - Catálogo TIMSS'!$J$5:$J$107,MATCH(K109,'Datos - Catálogo TIMSS'!$A$5:$A$107,0)),"No")="Sí",1,0)</f>
        <v>0</v>
      </c>
      <c r="Z109" s="36" cm="1">
        <f t="array" ref="Z109">IF(_xlfn.IFERROR(INDEX('Datos - Catálogo TIMSS'!$J$5:$J$107,MATCH(L109,'Datos - Catálogo TIMSS'!$A$5:$A$107,0)),"No")="Sí",1,0)</f>
        <v>0</v>
      </c>
      <c r="AA109" t="s" s="35">
        <v>2104</v>
      </c>
      <c r="AB109" t="s" s="35">
        <v>1899</v>
      </c>
      <c r="AC109" t="str" s="39">
        <v>Ciencias de la vida</v>
      </c>
      <c r="AD109" t="s" s="35">
        <v>1900</v>
      </c>
      <c r="AE109" t="str" s="39" cm="1">
        <f t="array" ref="AE109">IF(AD109="","",IF(LEFT(AD109,1)="1","C1",IF(LEFT(AD109,1)="2","C2",IF(LEFT(AD109,1)="3","C3",""))))</f>
        <v>C3</v>
      </c>
      <c r="AF109" t="s" s="35">
        <v>1615</v>
      </c>
      <c r="AG109" t="s" s="35">
        <v>1617</v>
      </c>
      <c r="AH109" t="s" s="35">
        <v>1602</v>
      </c>
      <c r="AI109" t="s" s="35">
        <v>1629</v>
      </c>
      <c r="AJ109" t="s" s="35">
        <v>1633</v>
      </c>
      <c r="AK109" s="39"/>
      <c r="AL109" s="39"/>
      <c r="AM109" s="39"/>
      <c r="AN109" s="39"/>
      <c r="AO109" s="39"/>
      <c r="AP109" s="39"/>
      <c r="AQ109" s="39"/>
      <c r="AR109" s="39"/>
      <c r="AS109" s="39"/>
      <c r="AT109" s="39"/>
      <c r="AU109" s="39"/>
      <c r="AV109" s="39"/>
      <c r="AW109" t="str" s="39" cm="1">
        <f t="array" ref="AW109">AF109&amp;"; "&amp;AG109&amp;"; "&amp;AH109&amp;"; "&amp;AI109&amp;"; "&amp;AJ109</f>
        <v>E6; D1; E1; I3; I5</v>
      </c>
    </row>
    <row r="110" ht="13.65" customHeight="1">
      <c r="A110" t="s" s="35">
        <v>2384</v>
      </c>
      <c r="B110" s="36">
        <v>3</v>
      </c>
      <c r="C110" t="s" s="35">
        <v>1823</v>
      </c>
      <c r="D110" t="s" s="35">
        <v>2218</v>
      </c>
      <c r="E110" t="s" s="35">
        <v>2385</v>
      </c>
      <c r="F110" s="36">
        <v>3</v>
      </c>
      <c r="G110" t="s" s="35">
        <v>392</v>
      </c>
      <c r="H110" t="s" s="35">
        <v>2386</v>
      </c>
      <c r="I110" t="s" s="120">
        <v>2387</v>
      </c>
      <c r="J110" t="s" s="35">
        <v>1055</v>
      </c>
      <c r="K110" t="s" s="35">
        <v>383</v>
      </c>
      <c r="L110" s="39"/>
      <c r="M110" t="str" s="39">
        <v>Biología</v>
      </c>
      <c r="N110" t="str" s="39">
        <v>Características y procesos vitales de los organismos</v>
      </c>
      <c r="O110" t="str" s="39" cm="1">
        <f t="array" ref="O110">IF(L110="","",_xlfn.IFERROR(INDEX('Datos - Catálogo TIMSS'!$C$5:$C$107,MATCH(L110,'Datos - Catálogo TIMSS'!$A$5:$A$107,0)),"?"))</f>
      </c>
      <c r="P110" t="s" s="35">
        <v>254</v>
      </c>
      <c r="Q110" t="s" s="120">
        <v>2388</v>
      </c>
      <c r="R110" t="s" s="120">
        <v>2389</v>
      </c>
      <c r="S110" s="121" cm="1">
        <f t="array" ref="S110">_xlfn.IFERROR(ISNUMBER(SEARCH("Conocer",$R110))/(ISNUMBER(SEARCH("Conocer",$R110))+ISNUMBER(SEARCH("Aplicar",$R110))+ISNUMBER(SEARCH("Razonar",$R110))),0)</f>
        <v>1</v>
      </c>
      <c r="T110" s="121" cm="1">
        <f t="array" ref="T110">_xlfn.IFERROR(ISNUMBER(SEARCH("Aplicar",$R110))/(ISNUMBER(SEARCH("Conocer",$R110))+ISNUMBER(SEARCH("Aplicar",$R110))+ISNUMBER(SEARCH("Razonar",$R110))),0)</f>
        <v>0</v>
      </c>
      <c r="U110" s="121" cm="1">
        <f t="array" ref="U110">_xlfn.IFERROR(ISNUMBER(SEARCH("Razonar",$R110))/(ISNUMBER(SEARCH("Conocer",$R110))+ISNUMBER(SEARCH("Aplicar",$R110))+ISNUMBER(SEARCH("Razonar",$R110))),0)</f>
        <v>0</v>
      </c>
      <c r="V110" t="s" s="35">
        <v>74</v>
      </c>
      <c r="W110" t="s" s="35">
        <v>112</v>
      </c>
      <c r="X110" s="36" cm="1">
        <f t="array" ref="X110">IF(OR(_xlfn.IFERROR(INDEX('Datos - Catálogo TIMSS'!$I$5:$I$107,MATCH(K110,'Datos - Catálogo TIMSS'!$A$5:$A$107,0)),"No")="Sí",_xlfn.IFERROR(INDEX('Datos - Catálogo TIMSS'!$I$5:$I$107,MATCH(L110,'Datos - Catálogo TIMSS'!$A$5:$A$107,0)),"No")="Sí"),1,0)</f>
        <v>0</v>
      </c>
      <c r="Y110" s="36" cm="1">
        <f t="array" ref="Y110">IF(_xlfn.IFERROR(INDEX('Datos - Catálogo TIMSS'!$J$5:$J$107,MATCH(K110,'Datos - Catálogo TIMSS'!$A$5:$A$107,0)),"No")="Sí",1,0)</f>
        <v>0</v>
      </c>
      <c r="Z110" s="36" cm="1">
        <f t="array" ref="Z110">IF(_xlfn.IFERROR(INDEX('Datos - Catálogo TIMSS'!$J$5:$J$107,MATCH(L110,'Datos - Catálogo TIMSS'!$A$5:$A$107,0)),"No")="Sí",1,0)</f>
        <v>0</v>
      </c>
      <c r="AA110" t="s" s="35">
        <v>2061</v>
      </c>
      <c r="AB110" s="39"/>
      <c r="AC110" t="str" s="39">
        <v>Ciencias de la vida</v>
      </c>
      <c r="AD110" t="s" s="35">
        <v>1859</v>
      </c>
      <c r="AE110" t="str" s="39" cm="1">
        <f t="array" ref="AE110">IF(AD110="","",IF(LEFT(AD110,1)="1","C1",IF(LEFT(AD110,1)="2","C2",IF(LEFT(AD110,1)="3","C3",""))))</f>
        <v>C1</v>
      </c>
      <c r="AF110" t="s" s="35">
        <v>1602</v>
      </c>
      <c r="AG110" t="s" s="35">
        <v>1617</v>
      </c>
      <c r="AH110" t="s" s="35">
        <v>1602</v>
      </c>
      <c r="AI110" t="s" s="35">
        <v>1623</v>
      </c>
      <c r="AJ110" t="s" s="35">
        <v>1602</v>
      </c>
      <c r="AK110" s="39"/>
      <c r="AL110" s="39"/>
      <c r="AM110" s="39"/>
      <c r="AN110" s="39"/>
      <c r="AO110" s="39"/>
      <c r="AP110" s="39"/>
      <c r="AQ110" s="39"/>
      <c r="AR110" s="39"/>
      <c r="AS110" s="39"/>
      <c r="AT110" s="39"/>
      <c r="AU110" s="39"/>
      <c r="AV110" s="39"/>
      <c r="AW110" t="str" s="39" cm="1">
        <f t="array" ref="AW110">AF110&amp;"; "&amp;AG110&amp;"; "&amp;AH110&amp;"; "&amp;AI110&amp;"; "&amp;AJ110</f>
        <v>E1; D1; E1; D4; E1</v>
      </c>
    </row>
    <row r="111" ht="13.65" customHeight="1">
      <c r="A111" t="s" s="35">
        <v>2390</v>
      </c>
      <c r="B111" s="36">
        <v>3</v>
      </c>
      <c r="C111" t="s" s="35">
        <v>1823</v>
      </c>
      <c r="D111" t="s" s="35">
        <v>2218</v>
      </c>
      <c r="E111" t="s" s="35">
        <v>2385</v>
      </c>
      <c r="F111" s="36">
        <v>4</v>
      </c>
      <c r="G111" t="s" s="35">
        <v>392</v>
      </c>
      <c r="H111" t="s" s="35">
        <v>2386</v>
      </c>
      <c r="I111" t="s" s="120">
        <v>2391</v>
      </c>
      <c r="J111" t="s" s="35">
        <v>1055</v>
      </c>
      <c r="K111" t="s" s="35">
        <v>383</v>
      </c>
      <c r="L111" s="39"/>
      <c r="M111" t="str" s="39">
        <v>Biología</v>
      </c>
      <c r="N111" t="str" s="39">
        <v>Características y procesos vitales de los organismos</v>
      </c>
      <c r="O111" t="str" s="39" cm="1">
        <f t="array" ref="O111">IF(L111="","",_xlfn.IFERROR(INDEX('Datos - Catálogo TIMSS'!$C$5:$C$107,MATCH(L111,'Datos - Catálogo TIMSS'!$A$5:$A$107,0)),"?"))</f>
      </c>
      <c r="P111" t="s" s="35">
        <v>254</v>
      </c>
      <c r="Q111" t="s" s="120">
        <v>2392</v>
      </c>
      <c r="R111" t="s" s="120">
        <v>2393</v>
      </c>
      <c r="S111" s="121" cm="1">
        <f t="array" ref="S111">_xlfn.IFERROR(ISNUMBER(SEARCH("Conocer",$R111))/(ISNUMBER(SEARCH("Conocer",$R111))+ISNUMBER(SEARCH("Aplicar",$R111))+ISNUMBER(SEARCH("Razonar",$R111))),0)</f>
        <v>1</v>
      </c>
      <c r="T111" s="121" cm="1">
        <f t="array" ref="T111">_xlfn.IFERROR(ISNUMBER(SEARCH("Aplicar",$R111))/(ISNUMBER(SEARCH("Conocer",$R111))+ISNUMBER(SEARCH("Aplicar",$R111))+ISNUMBER(SEARCH("Razonar",$R111))),0)</f>
        <v>0</v>
      </c>
      <c r="U111" s="121" cm="1">
        <f t="array" ref="U111">_xlfn.IFERROR(ISNUMBER(SEARCH("Razonar",$R111))/(ISNUMBER(SEARCH("Conocer",$R111))+ISNUMBER(SEARCH("Aplicar",$R111))+ISNUMBER(SEARCH("Razonar",$R111))),0)</f>
        <v>0</v>
      </c>
      <c r="V111" t="s" s="35">
        <v>74</v>
      </c>
      <c r="W111" t="s" s="35">
        <v>112</v>
      </c>
      <c r="X111" s="36" cm="1">
        <f t="array" ref="X111">IF(OR(_xlfn.IFERROR(INDEX('Datos - Catálogo TIMSS'!$I$5:$I$107,MATCH(K111,'Datos - Catálogo TIMSS'!$A$5:$A$107,0)),"No")="Sí",_xlfn.IFERROR(INDEX('Datos - Catálogo TIMSS'!$I$5:$I$107,MATCH(L111,'Datos - Catálogo TIMSS'!$A$5:$A$107,0)),"No")="Sí"),1,0)</f>
        <v>0</v>
      </c>
      <c r="Y111" s="36" cm="1">
        <f t="array" ref="Y111">IF(_xlfn.IFERROR(INDEX('Datos - Catálogo TIMSS'!$J$5:$J$107,MATCH(K111,'Datos - Catálogo TIMSS'!$A$5:$A$107,0)),"No")="Sí",1,0)</f>
        <v>0</v>
      </c>
      <c r="Z111" s="36" cm="1">
        <f t="array" ref="Z111">IF(_xlfn.IFERROR(INDEX('Datos - Catálogo TIMSS'!$J$5:$J$107,MATCH(L111,'Datos - Catálogo TIMSS'!$A$5:$A$107,0)),"No")="Sí",1,0)</f>
        <v>0</v>
      </c>
      <c r="AA111" t="s" s="35">
        <v>2061</v>
      </c>
      <c r="AB111" s="39"/>
      <c r="AC111" t="str" s="39">
        <v>Ciencias de la vida</v>
      </c>
      <c r="AD111" t="s" s="35">
        <v>1859</v>
      </c>
      <c r="AE111" t="str" s="39" cm="1">
        <f t="array" ref="AE111">IF(AD111="","",IF(LEFT(AD111,1)="1","C1",IF(LEFT(AD111,1)="2","C2",IF(LEFT(AD111,1)="3","C3",""))))</f>
        <v>C1</v>
      </c>
      <c r="AF111" t="s" s="35">
        <v>1602</v>
      </c>
      <c r="AG111" t="s" s="35">
        <v>1612</v>
      </c>
      <c r="AH111" t="s" s="35">
        <v>1602</v>
      </c>
      <c r="AI111" t="s" s="35">
        <v>1623</v>
      </c>
      <c r="AJ111" t="s" s="35">
        <v>1602</v>
      </c>
      <c r="AK111" s="39"/>
      <c r="AL111" s="39"/>
      <c r="AM111" s="39"/>
      <c r="AN111" s="39"/>
      <c r="AO111" s="39"/>
      <c r="AP111" s="39"/>
      <c r="AQ111" s="39"/>
      <c r="AR111" s="39"/>
      <c r="AS111" s="39"/>
      <c r="AT111" s="39"/>
      <c r="AU111" s="39"/>
      <c r="AV111" s="39"/>
      <c r="AW111" t="str" s="39" cm="1">
        <f t="array" ref="AW111">AF111&amp;"; "&amp;AG111&amp;"; "&amp;AH111&amp;"; "&amp;AI111&amp;"; "&amp;AJ111</f>
        <v>E1; E5; E1; D4; E1</v>
      </c>
    </row>
    <row r="112" ht="13.65" customHeight="1">
      <c r="A112" t="s" s="35">
        <v>2395</v>
      </c>
      <c r="B112" s="36">
        <v>3</v>
      </c>
      <c r="C112" t="s" s="35">
        <v>1823</v>
      </c>
      <c r="D112" t="s" s="35">
        <v>2218</v>
      </c>
      <c r="E112" t="s" s="35">
        <v>2385</v>
      </c>
      <c r="F112" s="36">
        <v>5</v>
      </c>
      <c r="G112" t="s" s="35">
        <v>392</v>
      </c>
      <c r="H112" t="s" s="35">
        <v>2386</v>
      </c>
      <c r="I112" t="s" s="120">
        <v>2396</v>
      </c>
      <c r="J112" t="s" s="35">
        <v>1055</v>
      </c>
      <c r="K112" t="s" s="35">
        <v>383</v>
      </c>
      <c r="L112" s="39"/>
      <c r="M112" t="str" s="39">
        <v>Biología</v>
      </c>
      <c r="N112" t="str" s="39">
        <v>Características y procesos vitales de los organismos</v>
      </c>
      <c r="O112" t="str" s="39" cm="1">
        <f t="array" ref="O112">IF(L112="","",_xlfn.IFERROR(INDEX('Datos - Catálogo TIMSS'!$C$5:$C$107,MATCH(L112,'Datos - Catálogo TIMSS'!$A$5:$A$107,0)),"?"))</f>
      </c>
      <c r="P112" t="s" s="35">
        <v>282</v>
      </c>
      <c r="Q112" t="s" s="120">
        <v>2397</v>
      </c>
      <c r="R112" t="s" s="120">
        <v>1847</v>
      </c>
      <c r="S112" s="121" cm="1">
        <f t="array" ref="S112">_xlfn.IFERROR(ISNUMBER(SEARCH("Conocer",$R112))/(ISNUMBER(SEARCH("Conocer",$R112))+ISNUMBER(SEARCH("Aplicar",$R112))+ISNUMBER(SEARCH("Razonar",$R112))),0)</f>
        <v>0</v>
      </c>
      <c r="T112" s="121" cm="1">
        <f t="array" ref="T112">_xlfn.IFERROR(ISNUMBER(SEARCH("Aplicar",$R112))/(ISNUMBER(SEARCH("Conocer",$R112))+ISNUMBER(SEARCH("Aplicar",$R112))+ISNUMBER(SEARCH("Razonar",$R112))),0)</f>
        <v>1</v>
      </c>
      <c r="U112" s="121" cm="1">
        <f t="array" ref="U112">_xlfn.IFERROR(ISNUMBER(SEARCH("Razonar",$R112))/(ISNUMBER(SEARCH("Conocer",$R112))+ISNUMBER(SEARCH("Aplicar",$R112))+ISNUMBER(SEARCH("Razonar",$R112))),0)</f>
        <v>0</v>
      </c>
      <c r="V112" t="s" s="35">
        <v>74</v>
      </c>
      <c r="W112" t="s" s="35">
        <v>112</v>
      </c>
      <c r="X112" s="36" cm="1">
        <f t="array" ref="X112">IF(OR(_xlfn.IFERROR(INDEX('Datos - Catálogo TIMSS'!$I$5:$I$107,MATCH(K112,'Datos - Catálogo TIMSS'!$A$5:$A$107,0)),"No")="Sí",_xlfn.IFERROR(INDEX('Datos - Catálogo TIMSS'!$I$5:$I$107,MATCH(L112,'Datos - Catálogo TIMSS'!$A$5:$A$107,0)),"No")="Sí"),1,0)</f>
        <v>0</v>
      </c>
      <c r="Y112" s="36" cm="1">
        <f t="array" ref="Y112">IF(_xlfn.IFERROR(INDEX('Datos - Catálogo TIMSS'!$J$5:$J$107,MATCH(K112,'Datos - Catálogo TIMSS'!$A$5:$A$107,0)),"No")="Sí",1,0)</f>
        <v>0</v>
      </c>
      <c r="Z112" s="36" cm="1">
        <f t="array" ref="Z112">IF(_xlfn.IFERROR(INDEX('Datos - Catálogo TIMSS'!$J$5:$J$107,MATCH(L112,'Datos - Catálogo TIMSS'!$A$5:$A$107,0)),"No")="Sí",1,0)</f>
        <v>0</v>
      </c>
      <c r="AA112" t="s" s="35">
        <v>2052</v>
      </c>
      <c r="AB112" s="39"/>
      <c r="AC112" t="str" s="39">
        <v>Ciencias de la vida</v>
      </c>
      <c r="AD112" t="s" s="35">
        <v>1834</v>
      </c>
      <c r="AE112" t="str" s="39" cm="1">
        <f t="array" ref="AE112">IF(AD112="","",IF(LEFT(AD112,1)="1","C1",IF(LEFT(AD112,1)="2","C2",IF(LEFT(AD112,1)="3","C3",""))))</f>
        <v>C2</v>
      </c>
      <c r="AF112" t="s" s="35">
        <v>1602</v>
      </c>
      <c r="AG112" t="s" s="35">
        <v>1617</v>
      </c>
      <c r="AH112" t="s" s="35">
        <v>1602</v>
      </c>
      <c r="AI112" t="s" s="35">
        <v>1623</v>
      </c>
      <c r="AJ112" t="s" s="35">
        <v>1602</v>
      </c>
      <c r="AK112" s="39"/>
      <c r="AL112" s="39"/>
      <c r="AM112" s="39"/>
      <c r="AN112" s="39"/>
      <c r="AO112" s="39"/>
      <c r="AP112" s="39"/>
      <c r="AQ112" s="39"/>
      <c r="AR112" s="39"/>
      <c r="AS112" s="39"/>
      <c r="AT112" s="39"/>
      <c r="AU112" s="39"/>
      <c r="AV112" s="39"/>
      <c r="AW112" t="str" s="39" cm="1">
        <f t="array" ref="AW112">AF112&amp;"; "&amp;AG112&amp;"; "&amp;AH112&amp;"; "&amp;AI112&amp;"; "&amp;AJ112</f>
        <v>E1; D1; E1; D4; E1</v>
      </c>
    </row>
    <row r="113" ht="13.65" customHeight="1">
      <c r="A113" t="s" s="35">
        <v>2398</v>
      </c>
      <c r="B113" s="36">
        <v>3</v>
      </c>
      <c r="C113" t="s" s="35">
        <v>1823</v>
      </c>
      <c r="D113" t="s" s="35">
        <v>2218</v>
      </c>
      <c r="E113" t="s" s="35">
        <v>2385</v>
      </c>
      <c r="F113" s="36">
        <v>6</v>
      </c>
      <c r="G113" t="s" s="35">
        <v>392</v>
      </c>
      <c r="H113" t="s" s="35">
        <v>2386</v>
      </c>
      <c r="I113" t="s" s="120">
        <v>2399</v>
      </c>
      <c r="J113" t="s" s="35">
        <v>1055</v>
      </c>
      <c r="K113" t="s" s="35">
        <v>383</v>
      </c>
      <c r="L113" t="s" s="35">
        <v>388</v>
      </c>
      <c r="M113" t="str" s="39">
        <v>Biología</v>
      </c>
      <c r="N113" t="str" s="39">
        <v>Características y procesos vitales de los organismos</v>
      </c>
      <c r="O113" t="str" s="39" cm="1">
        <f t="array" ref="O113">IF(L113="","",_xlfn.IFERROR(INDEX('Datos - Catálogo TIMSS'!$C$5:$C$107,MATCH(L113,'Datos - Catálogo TIMSS'!$A$5:$A$107,0)),"?"))</f>
        <v>Biología</v>
      </c>
      <c r="P113" t="s" s="35">
        <v>282</v>
      </c>
      <c r="Q113" t="s" s="120">
        <v>2400</v>
      </c>
      <c r="R113" t="s" s="120">
        <v>2401</v>
      </c>
      <c r="S113" s="121" cm="1">
        <f t="array" ref="S113">_xlfn.IFERROR(ISNUMBER(SEARCH("Conocer",$R113))/(ISNUMBER(SEARCH("Conocer",$R113))+ISNUMBER(SEARCH("Aplicar",$R113))+ISNUMBER(SEARCH("Razonar",$R113))),0)</f>
        <v>0</v>
      </c>
      <c r="T113" s="121" cm="1">
        <f t="array" ref="T113">_xlfn.IFERROR(ISNUMBER(SEARCH("Aplicar",$R113))/(ISNUMBER(SEARCH("Conocer",$R113))+ISNUMBER(SEARCH("Aplicar",$R113))+ISNUMBER(SEARCH("Razonar",$R113))),0)</f>
        <v>1</v>
      </c>
      <c r="U113" s="121" cm="1">
        <f t="array" ref="U113">_xlfn.IFERROR(ISNUMBER(SEARCH("Razonar",$R113))/(ISNUMBER(SEARCH("Conocer",$R113))+ISNUMBER(SEARCH("Aplicar",$R113))+ISNUMBER(SEARCH("Razonar",$R113))),0)</f>
        <v>0</v>
      </c>
      <c r="V113" t="s" s="35">
        <v>74</v>
      </c>
      <c r="W113" t="s" s="35">
        <v>112</v>
      </c>
      <c r="X113" s="36" cm="1">
        <f t="array" ref="X113">IF(OR(_xlfn.IFERROR(INDEX('Datos - Catálogo TIMSS'!$I$5:$I$107,MATCH(K113,'Datos - Catálogo TIMSS'!$A$5:$A$107,0)),"No")="Sí",_xlfn.IFERROR(INDEX('Datos - Catálogo TIMSS'!$I$5:$I$107,MATCH(L113,'Datos - Catálogo TIMSS'!$A$5:$A$107,0)),"No")="Sí"),1,0)</f>
        <v>0</v>
      </c>
      <c r="Y113" s="36" cm="1">
        <f t="array" ref="Y113">IF(_xlfn.IFERROR(INDEX('Datos - Catálogo TIMSS'!$J$5:$J$107,MATCH(K113,'Datos - Catálogo TIMSS'!$A$5:$A$107,0)),"No")="Sí",1,0)</f>
        <v>0</v>
      </c>
      <c r="Z113" s="36" cm="1">
        <f t="array" ref="Z113">IF(_xlfn.IFERROR(INDEX('Datos - Catálogo TIMSS'!$J$5:$J$107,MATCH(L113,'Datos - Catálogo TIMSS'!$A$5:$A$107,0)),"No")="Sí",1,0)</f>
        <v>0</v>
      </c>
      <c r="AA113" t="s" s="35">
        <v>2052</v>
      </c>
      <c r="AB113" t="s" s="35">
        <v>2061</v>
      </c>
      <c r="AC113" t="str" s="39">
        <v>Ciencias de la vida</v>
      </c>
      <c r="AD113" t="s" s="35">
        <v>1900</v>
      </c>
      <c r="AE113" t="str" s="39" cm="1">
        <f t="array" ref="AE113">IF(AD113="","",IF(LEFT(AD113,1)="1","C1",IF(LEFT(AD113,1)="2","C2",IF(LEFT(AD113,1)="3","C3",""))))</f>
        <v>C3</v>
      </c>
      <c r="AF113" t="s" s="35">
        <v>1615</v>
      </c>
      <c r="AG113" t="s" s="35">
        <v>1617</v>
      </c>
      <c r="AH113" t="s" s="35">
        <v>1605</v>
      </c>
      <c r="AI113" t="s" s="35">
        <v>1625</v>
      </c>
      <c r="AJ113" t="s" s="35">
        <v>1633</v>
      </c>
      <c r="AK113" s="39"/>
      <c r="AL113" s="39"/>
      <c r="AM113" s="39"/>
      <c r="AN113" s="39"/>
      <c r="AO113" s="39"/>
      <c r="AP113" s="39"/>
      <c r="AQ113" s="39"/>
      <c r="AR113" s="39"/>
      <c r="AS113" s="39"/>
      <c r="AT113" s="39"/>
      <c r="AU113" s="39"/>
      <c r="AV113" s="39"/>
      <c r="AW113" t="str" s="39" cm="1">
        <f t="array" ref="AW113">AF113&amp;"; "&amp;AG113&amp;"; "&amp;AH113&amp;"; "&amp;AI113&amp;"; "&amp;AJ113</f>
        <v>E6; D1; E2; I1; I5</v>
      </c>
    </row>
    <row r="114" ht="13.65" customHeight="1">
      <c r="A114" t="s" s="35">
        <v>2403</v>
      </c>
      <c r="B114" s="36">
        <v>3</v>
      </c>
      <c r="C114" t="s" s="35">
        <v>1823</v>
      </c>
      <c r="D114" t="s" s="35">
        <v>2218</v>
      </c>
      <c r="E114" t="s" s="35">
        <v>2385</v>
      </c>
      <c r="F114" s="36">
        <v>7</v>
      </c>
      <c r="G114" t="s" s="35">
        <v>392</v>
      </c>
      <c r="H114" t="s" s="35">
        <v>2404</v>
      </c>
      <c r="I114" t="s" s="120">
        <v>2405</v>
      </c>
      <c r="J114" t="s" s="35">
        <v>1055</v>
      </c>
      <c r="K114" t="s" s="35">
        <v>388</v>
      </c>
      <c r="L114" s="39"/>
      <c r="M114" t="str" s="39">
        <v>Biología</v>
      </c>
      <c r="N114" t="str" s="39">
        <v>Características y procesos vitales de los organismos</v>
      </c>
      <c r="O114" t="str" s="39" cm="1">
        <f t="array" ref="O114">IF(L114="","",_xlfn.IFERROR(INDEX('Datos - Catálogo TIMSS'!$C$5:$C$107,MATCH(L114,'Datos - Catálogo TIMSS'!$A$5:$A$107,0)),"?"))</f>
      </c>
      <c r="P114" t="s" s="35">
        <v>254</v>
      </c>
      <c r="Q114" t="s" s="120">
        <v>2406</v>
      </c>
      <c r="R114" t="s" s="120">
        <v>2066</v>
      </c>
      <c r="S114" s="121" cm="1">
        <f t="array" ref="S114">_xlfn.IFERROR(ISNUMBER(SEARCH("Conocer",$R114))/(ISNUMBER(SEARCH("Conocer",$R114))+ISNUMBER(SEARCH("Aplicar",$R114))+ISNUMBER(SEARCH("Razonar",$R114))),0)</f>
        <v>0</v>
      </c>
      <c r="T114" s="121" cm="1">
        <f t="array" ref="T114">_xlfn.IFERROR(ISNUMBER(SEARCH("Aplicar",$R114))/(ISNUMBER(SEARCH("Conocer",$R114))+ISNUMBER(SEARCH("Aplicar",$R114))+ISNUMBER(SEARCH("Razonar",$R114))),0)</f>
        <v>1</v>
      </c>
      <c r="U114" s="121" cm="1">
        <f t="array" ref="U114">_xlfn.IFERROR(ISNUMBER(SEARCH("Razonar",$R114))/(ISNUMBER(SEARCH("Conocer",$R114))+ISNUMBER(SEARCH("Aplicar",$R114))+ISNUMBER(SEARCH("Razonar",$R114))),0)</f>
        <v>0</v>
      </c>
      <c r="V114" t="s" s="35">
        <v>74</v>
      </c>
      <c r="W114" t="s" s="35">
        <v>112</v>
      </c>
      <c r="X114" s="36" cm="1">
        <f t="array" ref="X114">IF(OR(_xlfn.IFERROR(INDEX('Datos - Catálogo TIMSS'!$I$5:$I$107,MATCH(K114,'Datos - Catálogo TIMSS'!$A$5:$A$107,0)),"No")="Sí",_xlfn.IFERROR(INDEX('Datos - Catálogo TIMSS'!$I$5:$I$107,MATCH(L114,'Datos - Catálogo TIMSS'!$A$5:$A$107,0)),"No")="Sí"),1,0)</f>
        <v>0</v>
      </c>
      <c r="Y114" s="36" cm="1">
        <f t="array" ref="Y114">IF(_xlfn.IFERROR(INDEX('Datos - Catálogo TIMSS'!$J$5:$J$107,MATCH(K114,'Datos - Catálogo TIMSS'!$A$5:$A$107,0)),"No")="Sí",1,0)</f>
        <v>0</v>
      </c>
      <c r="Z114" s="36" cm="1">
        <f t="array" ref="Z114">IF(_xlfn.IFERROR(INDEX('Datos - Catálogo TIMSS'!$J$5:$J$107,MATCH(L114,'Datos - Catálogo TIMSS'!$A$5:$A$107,0)),"No")="Sí",1,0)</f>
        <v>0</v>
      </c>
      <c r="AA114" t="s" s="35">
        <v>2052</v>
      </c>
      <c r="AB114" s="39"/>
      <c r="AC114" t="str" s="39">
        <v>Ciencias de la vida</v>
      </c>
      <c r="AD114" t="s" s="35">
        <v>1834</v>
      </c>
      <c r="AE114" t="str" s="39" cm="1">
        <f t="array" ref="AE114">IF(AD114="","",IF(LEFT(AD114,1)="1","C1",IF(LEFT(AD114,1)="2","C2",IF(LEFT(AD114,1)="3","C3",""))))</f>
        <v>C2</v>
      </c>
      <c r="AF114" t="s" s="35">
        <v>1602</v>
      </c>
      <c r="AG114" t="s" s="35">
        <v>1617</v>
      </c>
      <c r="AH114" t="s" s="35">
        <v>1602</v>
      </c>
      <c r="AI114" t="s" s="35">
        <v>1623</v>
      </c>
      <c r="AJ114" t="s" s="35">
        <v>1602</v>
      </c>
      <c r="AK114" s="39"/>
      <c r="AL114" s="39"/>
      <c r="AM114" s="39"/>
      <c r="AN114" s="39"/>
      <c r="AO114" s="39"/>
      <c r="AP114" s="39"/>
      <c r="AQ114" s="39"/>
      <c r="AR114" s="39"/>
      <c r="AS114" s="39"/>
      <c r="AT114" s="39"/>
      <c r="AU114" s="39"/>
      <c r="AV114" s="39"/>
      <c r="AW114" t="str" s="39" cm="1">
        <f t="array" ref="AW114">AF114&amp;"; "&amp;AG114&amp;"; "&amp;AH114&amp;"; "&amp;AI114&amp;"; "&amp;AJ114</f>
        <v>E1; D1; E1; D4; E1</v>
      </c>
    </row>
    <row r="115" ht="13.65" customHeight="1">
      <c r="A115" t="s" s="35">
        <v>2407</v>
      </c>
      <c r="B115" s="36">
        <v>3</v>
      </c>
      <c r="C115" t="s" s="35">
        <v>1823</v>
      </c>
      <c r="D115" t="s" s="35">
        <v>2218</v>
      </c>
      <c r="E115" t="s" s="35">
        <v>2385</v>
      </c>
      <c r="F115" s="36">
        <v>8</v>
      </c>
      <c r="G115" t="s" s="35">
        <v>392</v>
      </c>
      <c r="H115" t="s" s="35">
        <v>2404</v>
      </c>
      <c r="I115" t="s" s="120">
        <v>2408</v>
      </c>
      <c r="J115" t="s" s="35">
        <v>1055</v>
      </c>
      <c r="K115" t="s" s="35">
        <v>388</v>
      </c>
      <c r="L115" s="39"/>
      <c r="M115" t="str" s="39">
        <v>Biología</v>
      </c>
      <c r="N115" t="str" s="39">
        <v>Características y procesos vitales de los organismos</v>
      </c>
      <c r="O115" t="str" s="39" cm="1">
        <f t="array" ref="O115">IF(L115="","",_xlfn.IFERROR(INDEX('Datos - Catálogo TIMSS'!$C$5:$C$107,MATCH(L115,'Datos - Catálogo TIMSS'!$A$5:$A$107,0)),"?"))</f>
      </c>
      <c r="P115" t="s" s="35">
        <v>254</v>
      </c>
      <c r="Q115" t="s" s="120">
        <v>2409</v>
      </c>
      <c r="R115" t="s" s="120">
        <v>1847</v>
      </c>
      <c r="S115" s="121" cm="1">
        <f t="array" ref="S115">_xlfn.IFERROR(ISNUMBER(SEARCH("Conocer",$R115))/(ISNUMBER(SEARCH("Conocer",$R115))+ISNUMBER(SEARCH("Aplicar",$R115))+ISNUMBER(SEARCH("Razonar",$R115))),0)</f>
        <v>0</v>
      </c>
      <c r="T115" s="121" cm="1">
        <f t="array" ref="T115">_xlfn.IFERROR(ISNUMBER(SEARCH("Aplicar",$R115))/(ISNUMBER(SEARCH("Conocer",$R115))+ISNUMBER(SEARCH("Aplicar",$R115))+ISNUMBER(SEARCH("Razonar",$R115))),0)</f>
        <v>1</v>
      </c>
      <c r="U115" s="121" cm="1">
        <f t="array" ref="U115">_xlfn.IFERROR(ISNUMBER(SEARCH("Razonar",$R115))/(ISNUMBER(SEARCH("Conocer",$R115))+ISNUMBER(SEARCH("Aplicar",$R115))+ISNUMBER(SEARCH("Razonar",$R115))),0)</f>
        <v>0</v>
      </c>
      <c r="V115" t="s" s="35">
        <v>74</v>
      </c>
      <c r="W115" t="s" s="35">
        <v>112</v>
      </c>
      <c r="X115" s="36" cm="1">
        <f t="array" ref="X115">IF(OR(_xlfn.IFERROR(INDEX('Datos - Catálogo TIMSS'!$I$5:$I$107,MATCH(K115,'Datos - Catálogo TIMSS'!$A$5:$A$107,0)),"No")="Sí",_xlfn.IFERROR(INDEX('Datos - Catálogo TIMSS'!$I$5:$I$107,MATCH(L115,'Datos - Catálogo TIMSS'!$A$5:$A$107,0)),"No")="Sí"),1,0)</f>
        <v>0</v>
      </c>
      <c r="Y115" s="36" cm="1">
        <f t="array" ref="Y115">IF(_xlfn.IFERROR(INDEX('Datos - Catálogo TIMSS'!$J$5:$J$107,MATCH(K115,'Datos - Catálogo TIMSS'!$A$5:$A$107,0)),"No")="Sí",1,0)</f>
        <v>0</v>
      </c>
      <c r="Z115" s="36" cm="1">
        <f t="array" ref="Z115">IF(_xlfn.IFERROR(INDEX('Datos - Catálogo TIMSS'!$J$5:$J$107,MATCH(L115,'Datos - Catálogo TIMSS'!$A$5:$A$107,0)),"No")="Sí",1,0)</f>
        <v>0</v>
      </c>
      <c r="AA115" t="s" s="35">
        <v>2052</v>
      </c>
      <c r="AB115" s="39"/>
      <c r="AC115" t="str" s="39">
        <v>Ciencias de la vida</v>
      </c>
      <c r="AD115" t="s" s="35">
        <v>1834</v>
      </c>
      <c r="AE115" t="str" s="39" cm="1">
        <f t="array" ref="AE115">IF(AD115="","",IF(LEFT(AD115,1)="1","C1",IF(LEFT(AD115,1)="2","C2",IF(LEFT(AD115,1)="3","C3",""))))</f>
        <v>C2</v>
      </c>
      <c r="AF115" t="s" s="35">
        <v>1602</v>
      </c>
      <c r="AG115" t="s" s="35">
        <v>1617</v>
      </c>
      <c r="AH115" t="s" s="35">
        <v>1605</v>
      </c>
      <c r="AI115" t="s" s="35">
        <v>1623</v>
      </c>
      <c r="AJ115" t="s" s="35">
        <v>1602</v>
      </c>
      <c r="AK115" s="39"/>
      <c r="AL115" s="39"/>
      <c r="AM115" s="39"/>
      <c r="AN115" s="39"/>
      <c r="AO115" s="39"/>
      <c r="AP115" s="39"/>
      <c r="AQ115" s="39"/>
      <c r="AR115" s="39"/>
      <c r="AS115" s="39"/>
      <c r="AT115" s="39"/>
      <c r="AU115" s="39"/>
      <c r="AV115" s="39"/>
      <c r="AW115" t="str" s="39" cm="1">
        <f t="array" ref="AW115">AF115&amp;"; "&amp;AG115&amp;"; "&amp;AH115&amp;"; "&amp;AI115&amp;"; "&amp;AJ115</f>
        <v>E1; D1; E2; D4; E1</v>
      </c>
    </row>
    <row r="116" ht="13.65" customHeight="1">
      <c r="A116" t="s" s="35">
        <v>2410</v>
      </c>
      <c r="B116" s="36">
        <v>3</v>
      </c>
      <c r="C116" t="s" s="35">
        <v>1823</v>
      </c>
      <c r="D116" t="s" s="35">
        <v>2218</v>
      </c>
      <c r="E116" t="s" s="35">
        <v>2385</v>
      </c>
      <c r="F116" s="36">
        <v>9</v>
      </c>
      <c r="G116" t="s" s="35">
        <v>392</v>
      </c>
      <c r="H116" t="s" s="35">
        <v>2411</v>
      </c>
      <c r="I116" t="s" s="120">
        <v>2412</v>
      </c>
      <c r="J116" t="s" s="35">
        <v>1055</v>
      </c>
      <c r="K116" t="s" s="35">
        <v>1066</v>
      </c>
      <c r="L116" s="39"/>
      <c r="M116" t="str" s="39">
        <v>Biología</v>
      </c>
      <c r="N116" t="str" s="39">
        <v>Características y procesos vitales de los organismos</v>
      </c>
      <c r="O116" t="str" s="39" cm="1">
        <f t="array" ref="O116">IF(L116="","",_xlfn.IFERROR(INDEX('Datos - Catálogo TIMSS'!$C$5:$C$107,MATCH(L116,'Datos - Catálogo TIMSS'!$A$5:$A$107,0)),"?"))</f>
      </c>
      <c r="P116" t="s" s="35">
        <v>282</v>
      </c>
      <c r="Q116" t="s" s="120">
        <v>2413</v>
      </c>
      <c r="R116" t="s" s="120">
        <v>2081</v>
      </c>
      <c r="S116" s="121" cm="1">
        <f t="array" ref="S116">_xlfn.IFERROR(ISNUMBER(SEARCH("Conocer",$R116))/(ISNUMBER(SEARCH("Conocer",$R116))+ISNUMBER(SEARCH("Aplicar",$R116))+ISNUMBER(SEARCH("Razonar",$R116))),0)</f>
        <v>0.5</v>
      </c>
      <c r="T116" s="121" cm="1">
        <f t="array" ref="T116">_xlfn.IFERROR(ISNUMBER(SEARCH("Aplicar",$R116))/(ISNUMBER(SEARCH("Conocer",$R116))+ISNUMBER(SEARCH("Aplicar",$R116))+ISNUMBER(SEARCH("Razonar",$R116))),0)</f>
        <v>0.5</v>
      </c>
      <c r="U116" s="121" cm="1">
        <f t="array" ref="U116">_xlfn.IFERROR(ISNUMBER(SEARCH("Razonar",$R116))/(ISNUMBER(SEARCH("Conocer",$R116))+ISNUMBER(SEARCH("Aplicar",$R116))+ISNUMBER(SEARCH("Razonar",$R116))),0)</f>
        <v>0</v>
      </c>
      <c r="V116" t="s" s="35">
        <v>74</v>
      </c>
      <c r="W116" t="s" s="35">
        <v>112</v>
      </c>
      <c r="X116" s="36" cm="1">
        <f t="array" ref="X116">IF(OR(_xlfn.IFERROR(INDEX('Datos - Catálogo TIMSS'!$I$5:$I$107,MATCH(K116,'Datos - Catálogo TIMSS'!$A$5:$A$107,0)),"No")="Sí",_xlfn.IFERROR(INDEX('Datos - Catálogo TIMSS'!$I$5:$I$107,MATCH(L116,'Datos - Catálogo TIMSS'!$A$5:$A$107,0)),"No")="Sí"),1,0)</f>
        <v>1</v>
      </c>
      <c r="Y116" s="36" cm="1">
        <f t="array" ref="Y116">IF(_xlfn.IFERROR(INDEX('Datos - Catálogo TIMSS'!$J$5:$J$107,MATCH(K116,'Datos - Catálogo TIMSS'!$A$5:$A$107,0)),"No")="Sí",1,0)</f>
        <v>0</v>
      </c>
      <c r="Z116" s="36" cm="1">
        <f t="array" ref="Z116">IF(_xlfn.IFERROR(INDEX('Datos - Catálogo TIMSS'!$J$5:$J$107,MATCH(L116,'Datos - Catálogo TIMSS'!$A$5:$A$107,0)),"No")="Sí",1,0)</f>
        <v>0</v>
      </c>
      <c r="AA116" t="s" s="35">
        <v>2031</v>
      </c>
      <c r="AB116" s="39"/>
      <c r="AC116" t="str" s="39">
        <v>Ciencias de la vida</v>
      </c>
      <c r="AD116" t="s" s="35">
        <v>1859</v>
      </c>
      <c r="AE116" t="str" s="39" cm="1">
        <f t="array" ref="AE116">IF(AD116="","",IF(LEFT(AD116,1)="1","C1",IF(LEFT(AD116,1)="2","C2",IF(LEFT(AD116,1)="3","C3",""))))</f>
        <v>C1</v>
      </c>
      <c r="AF116" t="s" s="35">
        <v>1602</v>
      </c>
      <c r="AG116" t="s" s="35">
        <v>1612</v>
      </c>
      <c r="AH116" t="s" s="35">
        <v>1602</v>
      </c>
      <c r="AI116" t="s" s="35">
        <v>1623</v>
      </c>
      <c r="AJ116" t="s" s="35">
        <v>1602</v>
      </c>
      <c r="AK116" s="39"/>
      <c r="AL116" s="39"/>
      <c r="AM116" s="39"/>
      <c r="AN116" s="39"/>
      <c r="AO116" s="39"/>
      <c r="AP116" s="39"/>
      <c r="AQ116" s="39"/>
      <c r="AR116" s="39"/>
      <c r="AS116" s="39"/>
      <c r="AT116" s="39"/>
      <c r="AU116" s="39"/>
      <c r="AV116" s="39"/>
      <c r="AW116" t="str" s="39" cm="1">
        <f t="array" ref="AW116">AF116&amp;"; "&amp;AG116&amp;"; "&amp;AH116&amp;"; "&amp;AI116&amp;"; "&amp;AJ116</f>
        <v>E1; E5; E1; D4; E1</v>
      </c>
    </row>
    <row r="117" ht="13.65" customHeight="1">
      <c r="A117" t="s" s="35">
        <v>2414</v>
      </c>
      <c r="B117" s="36">
        <v>3</v>
      </c>
      <c r="C117" t="s" s="35">
        <v>1823</v>
      </c>
      <c r="D117" t="s" s="35">
        <v>2218</v>
      </c>
      <c r="E117" t="s" s="35">
        <v>2385</v>
      </c>
      <c r="F117" s="36">
        <v>10</v>
      </c>
      <c r="G117" t="s" s="35">
        <v>392</v>
      </c>
      <c r="H117" t="s" s="35">
        <v>2411</v>
      </c>
      <c r="I117" t="s" s="120">
        <v>2415</v>
      </c>
      <c r="J117" t="s" s="35">
        <v>1055</v>
      </c>
      <c r="K117" t="s" s="35">
        <v>1066</v>
      </c>
      <c r="L117" t="s" s="35">
        <v>1099</v>
      </c>
      <c r="M117" t="str" s="39">
        <v>Biología</v>
      </c>
      <c r="N117" t="str" s="39">
        <v>Características y procesos vitales de los organismos</v>
      </c>
      <c r="O117" t="str" s="39" cm="1">
        <f t="array" ref="O117">IF(L117="","",_xlfn.IFERROR(INDEX('Datos - Catálogo TIMSS'!$C$5:$C$107,MATCH(L117,'Datos - Catálogo TIMSS'!$A$5:$A$107,0)),"?"))</f>
        <v>Biología</v>
      </c>
      <c r="P117" t="s" s="35">
        <v>282</v>
      </c>
      <c r="Q117" t="s" s="120">
        <v>2416</v>
      </c>
      <c r="R117" t="s" s="120">
        <v>2417</v>
      </c>
      <c r="S117" s="121" cm="1">
        <f t="array" ref="S117">_xlfn.IFERROR(ISNUMBER(SEARCH("Conocer",$R117))/(ISNUMBER(SEARCH("Conocer",$R117))+ISNUMBER(SEARCH("Aplicar",$R117))+ISNUMBER(SEARCH("Razonar",$R117))),0)</f>
        <v>0</v>
      </c>
      <c r="T117" s="121" cm="1">
        <f t="array" ref="T117">_xlfn.IFERROR(ISNUMBER(SEARCH("Aplicar",$R117))/(ISNUMBER(SEARCH("Conocer",$R117))+ISNUMBER(SEARCH("Aplicar",$R117))+ISNUMBER(SEARCH("Razonar",$R117))),0)</f>
        <v>0</v>
      </c>
      <c r="U117" s="121" cm="1">
        <f t="array" ref="U117">_xlfn.IFERROR(ISNUMBER(SEARCH("Razonar",$R117))/(ISNUMBER(SEARCH("Conocer",$R117))+ISNUMBER(SEARCH("Aplicar",$R117))+ISNUMBER(SEARCH("Razonar",$R117))),0)</f>
        <v>1</v>
      </c>
      <c r="V117" t="s" s="35">
        <v>74</v>
      </c>
      <c r="W117" t="s" s="35">
        <v>112</v>
      </c>
      <c r="X117" s="36" cm="1">
        <f t="array" ref="X117">IF(OR(_xlfn.IFERROR(INDEX('Datos - Catálogo TIMSS'!$I$5:$I$107,MATCH(K117,'Datos - Catálogo TIMSS'!$A$5:$A$107,0)),"No")="Sí",_xlfn.IFERROR(INDEX('Datos - Catálogo TIMSS'!$I$5:$I$107,MATCH(L117,'Datos - Catálogo TIMSS'!$A$5:$A$107,0)),"No")="Sí"),1,0)</f>
        <v>1</v>
      </c>
      <c r="Y117" s="36" cm="1">
        <f t="array" ref="Y117">IF(_xlfn.IFERROR(INDEX('Datos - Catálogo TIMSS'!$J$5:$J$107,MATCH(K117,'Datos - Catálogo TIMSS'!$A$5:$A$107,0)),"No")="Sí",1,0)</f>
        <v>0</v>
      </c>
      <c r="Z117" s="36" cm="1">
        <f t="array" ref="Z117">IF(_xlfn.IFERROR(INDEX('Datos - Catálogo TIMSS'!$J$5:$J$107,MATCH(L117,'Datos - Catálogo TIMSS'!$A$5:$A$107,0)),"No")="Sí",1,0)</f>
        <v>1</v>
      </c>
      <c r="AA117" t="s" s="35">
        <v>2031</v>
      </c>
      <c r="AB117" s="39"/>
      <c r="AC117" t="str" s="39">
        <v>Ciencias de la vida</v>
      </c>
      <c r="AD117" t="s" s="35">
        <v>1834</v>
      </c>
      <c r="AE117" t="str" s="39" cm="1">
        <f t="array" ref="AE117">IF(AD117="","",IF(LEFT(AD117,1)="1","C1",IF(LEFT(AD117,1)="2","C2",IF(LEFT(AD117,1)="3","C3",""))))</f>
        <v>C2</v>
      </c>
      <c r="AF117" t="s" s="35">
        <v>1602</v>
      </c>
      <c r="AG117" t="s" s="35">
        <v>1607</v>
      </c>
      <c r="AH117" t="s" s="35">
        <v>1602</v>
      </c>
      <c r="AI117" t="s" s="35">
        <v>1621</v>
      </c>
      <c r="AJ117" t="s" s="35">
        <v>1607</v>
      </c>
      <c r="AK117" s="39"/>
      <c r="AL117" s="39"/>
      <c r="AM117" s="39"/>
      <c r="AN117" s="39"/>
      <c r="AO117" s="39"/>
      <c r="AP117" s="39"/>
      <c r="AQ117" s="39"/>
      <c r="AR117" s="39"/>
      <c r="AS117" s="39"/>
      <c r="AT117" s="39"/>
      <c r="AU117" s="39"/>
      <c r="AV117" s="39"/>
      <c r="AW117" t="str" s="39" cm="1">
        <f t="array" ref="AW117">AF117&amp;"; "&amp;AG117&amp;"; "&amp;AH117&amp;"; "&amp;AI117&amp;"; "&amp;AJ117</f>
        <v>E1; E3; E1; D3; E3</v>
      </c>
    </row>
    <row r="118" ht="13.65" customHeight="1">
      <c r="A118" t="s" s="35">
        <v>2419</v>
      </c>
      <c r="B118" s="36">
        <v>3</v>
      </c>
      <c r="C118" t="s" s="35">
        <v>1823</v>
      </c>
      <c r="D118" t="s" s="35">
        <v>2218</v>
      </c>
      <c r="E118" t="s" s="35">
        <v>2385</v>
      </c>
      <c r="F118" s="36">
        <v>11</v>
      </c>
      <c r="G118" t="s" s="35">
        <v>392</v>
      </c>
      <c r="H118" t="s" s="35">
        <v>2411</v>
      </c>
      <c r="I118" t="s" s="120">
        <v>2420</v>
      </c>
      <c r="J118" t="s" s="35">
        <v>1055</v>
      </c>
      <c r="K118" t="s" s="35">
        <v>1066</v>
      </c>
      <c r="L118" t="s" s="35">
        <v>1099</v>
      </c>
      <c r="M118" t="str" s="39">
        <v>Biología</v>
      </c>
      <c r="N118" t="str" s="39">
        <v>Características y procesos vitales de los organismos</v>
      </c>
      <c r="O118" t="str" s="39" cm="1">
        <f t="array" ref="O118">IF(L118="","",_xlfn.IFERROR(INDEX('Datos - Catálogo TIMSS'!$C$5:$C$107,MATCH(L118,'Datos - Catálogo TIMSS'!$A$5:$A$107,0)),"?"))</f>
        <v>Biología</v>
      </c>
      <c r="P118" t="s" s="35">
        <v>282</v>
      </c>
      <c r="Q118" t="s" s="120">
        <v>2421</v>
      </c>
      <c r="R118" t="s" s="120">
        <v>2368</v>
      </c>
      <c r="S118" s="121" cm="1">
        <f t="array" ref="S118">_xlfn.IFERROR(ISNUMBER(SEARCH("Conocer",$R118))/(ISNUMBER(SEARCH("Conocer",$R118))+ISNUMBER(SEARCH("Aplicar",$R118))+ISNUMBER(SEARCH("Razonar",$R118))),0)</f>
        <v>0</v>
      </c>
      <c r="T118" s="121" cm="1">
        <f t="array" ref="T118">_xlfn.IFERROR(ISNUMBER(SEARCH("Aplicar",$R118))/(ISNUMBER(SEARCH("Conocer",$R118))+ISNUMBER(SEARCH("Aplicar",$R118))+ISNUMBER(SEARCH("Razonar",$R118))),0)</f>
        <v>0.5</v>
      </c>
      <c r="U118" s="121" cm="1">
        <f t="array" ref="U118">_xlfn.IFERROR(ISNUMBER(SEARCH("Razonar",$R118))/(ISNUMBER(SEARCH("Conocer",$R118))+ISNUMBER(SEARCH("Aplicar",$R118))+ISNUMBER(SEARCH("Razonar",$R118))),0)</f>
        <v>0.5</v>
      </c>
      <c r="V118" t="s" s="35">
        <v>74</v>
      </c>
      <c r="W118" t="s" s="35">
        <v>112</v>
      </c>
      <c r="X118" s="36" cm="1">
        <f t="array" ref="X118">IF(OR(_xlfn.IFERROR(INDEX('Datos - Catálogo TIMSS'!$I$5:$I$107,MATCH(K118,'Datos - Catálogo TIMSS'!$A$5:$A$107,0)),"No")="Sí",_xlfn.IFERROR(INDEX('Datos - Catálogo TIMSS'!$I$5:$I$107,MATCH(L118,'Datos - Catálogo TIMSS'!$A$5:$A$107,0)),"No")="Sí"),1,0)</f>
        <v>1</v>
      </c>
      <c r="Y118" s="36" cm="1">
        <f t="array" ref="Y118">IF(_xlfn.IFERROR(INDEX('Datos - Catálogo TIMSS'!$J$5:$J$107,MATCH(K118,'Datos - Catálogo TIMSS'!$A$5:$A$107,0)),"No")="Sí",1,0)</f>
        <v>0</v>
      </c>
      <c r="Z118" s="36" cm="1">
        <f t="array" ref="Z118">IF(_xlfn.IFERROR(INDEX('Datos - Catálogo TIMSS'!$J$5:$J$107,MATCH(L118,'Datos - Catálogo TIMSS'!$A$5:$A$107,0)),"No")="Sí",1,0)</f>
        <v>1</v>
      </c>
      <c r="AA118" t="s" s="35">
        <v>2031</v>
      </c>
      <c r="AB118" s="39"/>
      <c r="AC118" t="str" s="39">
        <v>Ciencias de la vida</v>
      </c>
      <c r="AD118" t="s" s="35">
        <v>1834</v>
      </c>
      <c r="AE118" t="str" s="39" cm="1">
        <f t="array" ref="AE118">IF(AD118="","",IF(LEFT(AD118,1)="1","C1",IF(LEFT(AD118,1)="2","C2",IF(LEFT(AD118,1)="3","C3",""))))</f>
        <v>C2</v>
      </c>
      <c r="AF118" t="s" s="35">
        <v>1602</v>
      </c>
      <c r="AG118" t="s" s="35">
        <v>1607</v>
      </c>
      <c r="AH118" t="s" s="35">
        <v>1602</v>
      </c>
      <c r="AI118" t="s" s="35">
        <v>1623</v>
      </c>
      <c r="AJ118" t="s" s="35">
        <v>1615</v>
      </c>
      <c r="AK118" s="39"/>
      <c r="AL118" s="39"/>
      <c r="AM118" s="39"/>
      <c r="AN118" s="39"/>
      <c r="AO118" s="39"/>
      <c r="AP118" s="39"/>
      <c r="AQ118" s="39"/>
      <c r="AR118" s="39"/>
      <c r="AS118" s="39"/>
      <c r="AT118" s="39"/>
      <c r="AU118" s="39"/>
      <c r="AV118" s="39"/>
      <c r="AW118" t="str" s="39" cm="1">
        <f t="array" ref="AW118">AF118&amp;"; "&amp;AG118&amp;"; "&amp;AH118&amp;"; "&amp;AI118&amp;"; "&amp;AJ118</f>
        <v>E1; E3; E1; D4; E6</v>
      </c>
    </row>
    <row r="119" ht="13.65" customHeight="1">
      <c r="A119" t="s" s="35">
        <v>2423</v>
      </c>
      <c r="B119" s="36">
        <v>3</v>
      </c>
      <c r="C119" t="s" s="35">
        <v>1823</v>
      </c>
      <c r="D119" t="s" s="35">
        <v>2218</v>
      </c>
      <c r="E119" t="s" s="35">
        <v>2424</v>
      </c>
      <c r="F119" s="36">
        <v>3</v>
      </c>
      <c r="G119" t="s" s="35">
        <v>250</v>
      </c>
      <c r="H119" t="s" s="35">
        <v>2425</v>
      </c>
      <c r="I119" t="s" s="120">
        <v>2426</v>
      </c>
      <c r="J119" t="s" s="35">
        <v>1055</v>
      </c>
      <c r="K119" t="s" s="35">
        <v>388</v>
      </c>
      <c r="L119" s="39"/>
      <c r="M119" t="str" s="39">
        <v>Biología</v>
      </c>
      <c r="N119" t="str" s="39">
        <v>Características y procesos vitales de los organismos</v>
      </c>
      <c r="O119" t="str" s="39" cm="1">
        <f t="array" ref="O119">IF(L119="","",_xlfn.IFERROR(INDEX('Datos - Catálogo TIMSS'!$C$5:$C$107,MATCH(L119,'Datos - Catálogo TIMSS'!$A$5:$A$107,0)),"?"))</f>
      </c>
      <c r="P119" t="s" s="35">
        <v>282</v>
      </c>
      <c r="Q119" t="s" s="120">
        <v>2427</v>
      </c>
      <c r="R119" t="s" s="120">
        <v>2428</v>
      </c>
      <c r="S119" s="121" cm="1">
        <f t="array" ref="S119">_xlfn.IFERROR(ISNUMBER(SEARCH("Conocer",$R119))/(ISNUMBER(SEARCH("Conocer",$R119))+ISNUMBER(SEARCH("Aplicar",$R119))+ISNUMBER(SEARCH("Razonar",$R119))),0)</f>
        <v>0</v>
      </c>
      <c r="T119" s="121" cm="1">
        <f t="array" ref="T119">_xlfn.IFERROR(ISNUMBER(SEARCH("Aplicar",$R119))/(ISNUMBER(SEARCH("Conocer",$R119))+ISNUMBER(SEARCH("Aplicar",$R119))+ISNUMBER(SEARCH("Razonar",$R119))),0)</f>
        <v>1</v>
      </c>
      <c r="U119" s="121" cm="1">
        <f t="array" ref="U119">_xlfn.IFERROR(ISNUMBER(SEARCH("Razonar",$R119))/(ISNUMBER(SEARCH("Conocer",$R119))+ISNUMBER(SEARCH("Aplicar",$R119))+ISNUMBER(SEARCH("Razonar",$R119))),0)</f>
        <v>0</v>
      </c>
      <c r="V119" t="s" s="35">
        <v>74</v>
      </c>
      <c r="W119" t="s" s="35">
        <v>112</v>
      </c>
      <c r="X119" s="36" cm="1">
        <f t="array" ref="X119">IF(OR(_xlfn.IFERROR(INDEX('Datos - Catálogo TIMSS'!$I$5:$I$107,MATCH(K119,'Datos - Catálogo TIMSS'!$A$5:$A$107,0)),"No")="Sí",_xlfn.IFERROR(INDEX('Datos - Catálogo TIMSS'!$I$5:$I$107,MATCH(L119,'Datos - Catálogo TIMSS'!$A$5:$A$107,0)),"No")="Sí"),1,0)</f>
        <v>0</v>
      </c>
      <c r="Y119" s="36" cm="1">
        <f t="array" ref="Y119">IF(_xlfn.IFERROR(INDEX('Datos - Catálogo TIMSS'!$J$5:$J$107,MATCH(K119,'Datos - Catálogo TIMSS'!$A$5:$A$107,0)),"No")="Sí",1,0)</f>
        <v>0</v>
      </c>
      <c r="Z119" s="36" cm="1">
        <f t="array" ref="Z119">IF(_xlfn.IFERROR(INDEX('Datos - Catálogo TIMSS'!$J$5:$J$107,MATCH(L119,'Datos - Catálogo TIMSS'!$A$5:$A$107,0)),"No")="Sí",1,0)</f>
        <v>0</v>
      </c>
      <c r="AA119" t="s" s="35">
        <v>2052</v>
      </c>
      <c r="AB119" s="39"/>
      <c r="AC119" t="str" s="39">
        <v>Ciencias de la vida</v>
      </c>
      <c r="AD119" t="s" s="35">
        <v>1834</v>
      </c>
      <c r="AE119" t="str" s="39" cm="1">
        <f t="array" ref="AE119">IF(AD119="","",IF(LEFT(AD119,1)="1","C1",IF(LEFT(AD119,1)="2","C2",IF(LEFT(AD119,1)="3","C3",""))))</f>
        <v>C2</v>
      </c>
      <c r="AF119" t="s" s="35">
        <v>1602</v>
      </c>
      <c r="AG119" t="s" s="35">
        <v>1617</v>
      </c>
      <c r="AH119" t="s" s="35">
        <v>1602</v>
      </c>
      <c r="AI119" t="s" s="35">
        <v>1623</v>
      </c>
      <c r="AJ119" t="s" s="35">
        <v>1602</v>
      </c>
      <c r="AK119" s="39"/>
      <c r="AL119" s="39"/>
      <c r="AM119" s="39"/>
      <c r="AN119" s="39"/>
      <c r="AO119" s="39"/>
      <c r="AP119" s="39"/>
      <c r="AQ119" s="39"/>
      <c r="AR119" s="39"/>
      <c r="AS119" s="39"/>
      <c r="AT119" s="39"/>
      <c r="AU119" s="39"/>
      <c r="AV119" s="39"/>
      <c r="AW119" t="str" s="39" cm="1">
        <f t="array" ref="AW119">AF119&amp;"; "&amp;AG119&amp;"; "&amp;AH119&amp;"; "&amp;AI119&amp;"; "&amp;AJ119</f>
        <v>E1; D1; E1; D4; E1</v>
      </c>
    </row>
    <row r="120" ht="13.65" customHeight="1">
      <c r="A120" t="s" s="35">
        <v>2429</v>
      </c>
      <c r="B120" s="36">
        <v>3</v>
      </c>
      <c r="C120" t="s" s="35">
        <v>1823</v>
      </c>
      <c r="D120" t="s" s="35">
        <v>2218</v>
      </c>
      <c r="E120" t="s" s="35">
        <v>2424</v>
      </c>
      <c r="F120" s="36">
        <v>4</v>
      </c>
      <c r="G120" t="s" s="35">
        <v>250</v>
      </c>
      <c r="H120" t="s" s="35">
        <v>2425</v>
      </c>
      <c r="I120" t="s" s="120">
        <v>2430</v>
      </c>
      <c r="J120" t="s" s="35">
        <v>1055</v>
      </c>
      <c r="K120" t="s" s="35">
        <v>1069</v>
      </c>
      <c r="L120" s="39"/>
      <c r="M120" t="str" s="39">
        <v>Biología</v>
      </c>
      <c r="N120" t="str" s="39">
        <v>Ciclos de vida, reproducción y herencia</v>
      </c>
      <c r="O120" t="str" s="39" cm="1">
        <f t="array" ref="O120">IF(L120="","",_xlfn.IFERROR(INDEX('Datos - Catálogo TIMSS'!$C$5:$C$107,MATCH(L120,'Datos - Catálogo TIMSS'!$A$5:$A$107,0)),"?"))</f>
      </c>
      <c r="P120" t="s" s="35">
        <v>254</v>
      </c>
      <c r="Q120" t="s" s="120">
        <v>2431</v>
      </c>
      <c r="R120" t="s" s="120">
        <v>2432</v>
      </c>
      <c r="S120" s="121" cm="1">
        <f t="array" ref="S120">_xlfn.IFERROR(ISNUMBER(SEARCH("Conocer",$R120))/(ISNUMBER(SEARCH("Conocer",$R120))+ISNUMBER(SEARCH("Aplicar",$R120))+ISNUMBER(SEARCH("Razonar",$R120))),0)</f>
        <v>1</v>
      </c>
      <c r="T120" s="121" cm="1">
        <f t="array" ref="T120">_xlfn.IFERROR(ISNUMBER(SEARCH("Aplicar",$R120))/(ISNUMBER(SEARCH("Conocer",$R120))+ISNUMBER(SEARCH("Aplicar",$R120))+ISNUMBER(SEARCH("Razonar",$R120))),0)</f>
        <v>0</v>
      </c>
      <c r="U120" s="121" cm="1">
        <f t="array" ref="U120">_xlfn.IFERROR(ISNUMBER(SEARCH("Razonar",$R120))/(ISNUMBER(SEARCH("Conocer",$R120))+ISNUMBER(SEARCH("Aplicar",$R120))+ISNUMBER(SEARCH("Razonar",$R120))),0)</f>
        <v>0</v>
      </c>
      <c r="V120" t="s" s="35">
        <v>74</v>
      </c>
      <c r="W120" t="s" s="35">
        <v>112</v>
      </c>
      <c r="X120" s="36" cm="1">
        <f t="array" ref="X120">IF(OR(_xlfn.IFERROR(INDEX('Datos - Catálogo TIMSS'!$I$5:$I$107,MATCH(K120,'Datos - Catálogo TIMSS'!$A$5:$A$107,0)),"No")="Sí",_xlfn.IFERROR(INDEX('Datos - Catálogo TIMSS'!$I$5:$I$107,MATCH(L120,'Datos - Catálogo TIMSS'!$A$5:$A$107,0)),"No")="Sí"),1,0)</f>
        <v>0</v>
      </c>
      <c r="Y120" s="36" cm="1">
        <f t="array" ref="Y120">IF(_xlfn.IFERROR(INDEX('Datos - Catálogo TIMSS'!$J$5:$J$107,MATCH(K120,'Datos - Catálogo TIMSS'!$A$5:$A$107,0)),"No")="Sí",1,0)</f>
        <v>0</v>
      </c>
      <c r="Z120" s="36" cm="1">
        <f t="array" ref="Z120">IF(_xlfn.IFERROR(INDEX('Datos - Catálogo TIMSS'!$J$5:$J$107,MATCH(L120,'Datos - Catálogo TIMSS'!$A$5:$A$107,0)),"No")="Sí",1,0)</f>
        <v>0</v>
      </c>
      <c r="AA120" t="s" s="35">
        <v>2038</v>
      </c>
      <c r="AB120" s="39"/>
      <c r="AC120" t="str" s="39">
        <v>Ciencias de la vida</v>
      </c>
      <c r="AD120" t="s" s="35">
        <v>1859</v>
      </c>
      <c r="AE120" t="str" s="39" cm="1">
        <f t="array" ref="AE120">IF(AD120="","",IF(LEFT(AD120,1)="1","C1",IF(LEFT(AD120,1)="2","C2",IF(LEFT(AD120,1)="3","C3",""))))</f>
        <v>C1</v>
      </c>
      <c r="AF120" t="s" s="35">
        <v>1602</v>
      </c>
      <c r="AG120" t="s" s="35">
        <v>1617</v>
      </c>
      <c r="AH120" t="s" s="35">
        <v>1605</v>
      </c>
      <c r="AI120" t="s" s="35">
        <v>1623</v>
      </c>
      <c r="AJ120" t="s" s="35">
        <v>1602</v>
      </c>
      <c r="AK120" s="39"/>
      <c r="AL120" s="39"/>
      <c r="AM120" s="39"/>
      <c r="AN120" s="39"/>
      <c r="AO120" s="39"/>
      <c r="AP120" s="39"/>
      <c r="AQ120" s="39"/>
      <c r="AR120" s="39"/>
      <c r="AS120" s="39"/>
      <c r="AT120" s="39"/>
      <c r="AU120" s="39"/>
      <c r="AV120" s="39"/>
      <c r="AW120" t="str" s="39" cm="1">
        <f t="array" ref="AW120">AF120&amp;"; "&amp;AG120&amp;"; "&amp;AH120&amp;"; "&amp;AI120&amp;"; "&amp;AJ120</f>
        <v>E1; D1; E2; D4; E1</v>
      </c>
    </row>
    <row r="121" ht="13.65" customHeight="1">
      <c r="A121" t="s" s="35">
        <v>2433</v>
      </c>
      <c r="B121" s="36">
        <v>3</v>
      </c>
      <c r="C121" t="s" s="35">
        <v>1823</v>
      </c>
      <c r="D121" t="s" s="35">
        <v>2218</v>
      </c>
      <c r="E121" t="s" s="35">
        <v>2424</v>
      </c>
      <c r="F121" s="36">
        <v>5</v>
      </c>
      <c r="G121" t="s" s="35">
        <v>250</v>
      </c>
      <c r="H121" t="s" s="35">
        <v>2425</v>
      </c>
      <c r="I121" t="s" s="120">
        <v>2434</v>
      </c>
      <c r="J121" t="s" s="35">
        <v>1055</v>
      </c>
      <c r="K121" t="s" s="35">
        <v>1066</v>
      </c>
      <c r="L121" t="s" s="35">
        <v>1099</v>
      </c>
      <c r="M121" t="str" s="39">
        <v>Biología</v>
      </c>
      <c r="N121" t="str" s="39">
        <v>Características y procesos vitales de los organismos</v>
      </c>
      <c r="O121" t="str" s="39" cm="1">
        <f t="array" ref="O121">IF(L121="","",_xlfn.IFERROR(INDEX('Datos - Catálogo TIMSS'!$C$5:$C$107,MATCH(L121,'Datos - Catálogo TIMSS'!$A$5:$A$107,0)),"?"))</f>
        <v>Biología</v>
      </c>
      <c r="P121" t="s" s="35">
        <v>254</v>
      </c>
      <c r="Q121" t="s" s="120">
        <v>2435</v>
      </c>
      <c r="R121" t="s" s="120">
        <v>2436</v>
      </c>
      <c r="S121" s="121" cm="1">
        <f t="array" ref="S121">_xlfn.IFERROR(ISNUMBER(SEARCH("Conocer",$R121))/(ISNUMBER(SEARCH("Conocer",$R121))+ISNUMBER(SEARCH("Aplicar",$R121))+ISNUMBER(SEARCH("Razonar",$R121))),0)</f>
        <v>0</v>
      </c>
      <c r="T121" s="121" cm="1">
        <f t="array" ref="T121">_xlfn.IFERROR(ISNUMBER(SEARCH("Aplicar",$R121))/(ISNUMBER(SEARCH("Conocer",$R121))+ISNUMBER(SEARCH("Aplicar",$R121))+ISNUMBER(SEARCH("Razonar",$R121))),0)</f>
        <v>0</v>
      </c>
      <c r="U121" s="121" cm="1">
        <f t="array" ref="U121">_xlfn.IFERROR(ISNUMBER(SEARCH("Razonar",$R121))/(ISNUMBER(SEARCH("Conocer",$R121))+ISNUMBER(SEARCH("Aplicar",$R121))+ISNUMBER(SEARCH("Razonar",$R121))),0)</f>
        <v>1</v>
      </c>
      <c r="V121" t="s" s="35">
        <v>74</v>
      </c>
      <c r="W121" t="s" s="35">
        <v>112</v>
      </c>
      <c r="X121" s="36" cm="1">
        <f t="array" ref="X121">IF(OR(_xlfn.IFERROR(INDEX('Datos - Catálogo TIMSS'!$I$5:$I$107,MATCH(K121,'Datos - Catálogo TIMSS'!$A$5:$A$107,0)),"No")="Sí",_xlfn.IFERROR(INDEX('Datos - Catálogo TIMSS'!$I$5:$I$107,MATCH(L121,'Datos - Catálogo TIMSS'!$A$5:$A$107,0)),"No")="Sí"),1,0)</f>
        <v>1</v>
      </c>
      <c r="Y121" s="36" cm="1">
        <f t="array" ref="Y121">IF(_xlfn.IFERROR(INDEX('Datos - Catálogo TIMSS'!$J$5:$J$107,MATCH(K121,'Datos - Catálogo TIMSS'!$A$5:$A$107,0)),"No")="Sí",1,0)</f>
        <v>0</v>
      </c>
      <c r="Z121" s="36" cm="1">
        <f t="array" ref="Z121">IF(_xlfn.IFERROR(INDEX('Datos - Catálogo TIMSS'!$J$5:$J$107,MATCH(L121,'Datos - Catálogo TIMSS'!$A$5:$A$107,0)),"No")="Sí",1,0)</f>
        <v>1</v>
      </c>
      <c r="AA121" t="s" s="35">
        <v>2031</v>
      </c>
      <c r="AB121" s="39"/>
      <c r="AC121" t="str" s="39">
        <v>Ciencias de la vida</v>
      </c>
      <c r="AD121" t="s" s="35">
        <v>1834</v>
      </c>
      <c r="AE121" t="str" s="39" cm="1">
        <f t="array" ref="AE121">IF(AD121="","",IF(LEFT(AD121,1)="1","C1",IF(LEFT(AD121,1)="2","C2",IF(LEFT(AD121,1)="3","C3",""))))</f>
        <v>C2</v>
      </c>
      <c r="AF121" t="s" s="35">
        <v>1602</v>
      </c>
      <c r="AG121" t="s" s="35">
        <v>1607</v>
      </c>
      <c r="AH121" t="s" s="35">
        <v>1602</v>
      </c>
      <c r="AI121" t="s" s="35">
        <v>1619</v>
      </c>
      <c r="AJ121" t="s" s="35">
        <v>1602</v>
      </c>
      <c r="AK121" s="39"/>
      <c r="AL121" s="39"/>
      <c r="AM121" s="39"/>
      <c r="AN121" s="39"/>
      <c r="AO121" s="39"/>
      <c r="AP121" s="39"/>
      <c r="AQ121" s="39"/>
      <c r="AR121" s="39"/>
      <c r="AS121" s="39"/>
      <c r="AT121" s="39"/>
      <c r="AU121" s="39"/>
      <c r="AV121" s="39"/>
      <c r="AW121" t="str" s="39" cm="1">
        <f t="array" ref="AW121">AF121&amp;"; "&amp;AG121&amp;"; "&amp;AH121&amp;"; "&amp;AI121&amp;"; "&amp;AJ121</f>
        <v>E1; E3; E1; D2; E1</v>
      </c>
    </row>
    <row r="122" ht="13.65" customHeight="1">
      <c r="A122" t="s" s="35">
        <v>2437</v>
      </c>
      <c r="B122" s="36">
        <v>3</v>
      </c>
      <c r="C122" t="s" s="35">
        <v>1823</v>
      </c>
      <c r="D122" t="s" s="35">
        <v>2218</v>
      </c>
      <c r="E122" t="s" s="35">
        <v>2424</v>
      </c>
      <c r="F122" s="36">
        <v>6</v>
      </c>
      <c r="G122" t="s" s="35">
        <v>250</v>
      </c>
      <c r="H122" t="s" s="35">
        <v>2425</v>
      </c>
      <c r="I122" t="s" s="120">
        <v>2438</v>
      </c>
      <c r="J122" t="s" s="35">
        <v>1055</v>
      </c>
      <c r="K122" t="s" s="35">
        <v>383</v>
      </c>
      <c r="L122" t="s" s="35">
        <v>1066</v>
      </c>
      <c r="M122" t="str" s="39">
        <v>Biología</v>
      </c>
      <c r="N122" t="str" s="39">
        <v>Características y procesos vitales de los organismos</v>
      </c>
      <c r="O122" t="str" s="39" cm="1">
        <f t="array" ref="O122">IF(L122="","",_xlfn.IFERROR(INDEX('Datos - Catálogo TIMSS'!$C$5:$C$107,MATCH(L122,'Datos - Catálogo TIMSS'!$A$5:$A$107,0)),"?"))</f>
        <v>Biología</v>
      </c>
      <c r="P122" t="s" s="35">
        <v>282</v>
      </c>
      <c r="Q122" t="s" s="120">
        <v>2439</v>
      </c>
      <c r="R122" t="s" s="120">
        <v>2440</v>
      </c>
      <c r="S122" s="121" cm="1">
        <f t="array" ref="S122">_xlfn.IFERROR(ISNUMBER(SEARCH("Conocer",$R122))/(ISNUMBER(SEARCH("Conocer",$R122))+ISNUMBER(SEARCH("Aplicar",$R122))+ISNUMBER(SEARCH("Razonar",$R122))),0)</f>
        <v>0.5</v>
      </c>
      <c r="T122" s="121" cm="1">
        <f t="array" ref="T122">_xlfn.IFERROR(ISNUMBER(SEARCH("Aplicar",$R122))/(ISNUMBER(SEARCH("Conocer",$R122))+ISNUMBER(SEARCH("Aplicar",$R122))+ISNUMBER(SEARCH("Razonar",$R122))),0)</f>
        <v>0.5</v>
      </c>
      <c r="U122" s="121" cm="1">
        <f t="array" ref="U122">_xlfn.IFERROR(ISNUMBER(SEARCH("Razonar",$R122))/(ISNUMBER(SEARCH("Conocer",$R122))+ISNUMBER(SEARCH("Aplicar",$R122))+ISNUMBER(SEARCH("Razonar",$R122))),0)</f>
        <v>0</v>
      </c>
      <c r="V122" t="s" s="35">
        <v>74</v>
      </c>
      <c r="W122" t="s" s="35">
        <v>112</v>
      </c>
      <c r="X122" s="36" cm="1">
        <f t="array" ref="X122">IF(OR(_xlfn.IFERROR(INDEX('Datos - Catálogo TIMSS'!$I$5:$I$107,MATCH(K122,'Datos - Catálogo TIMSS'!$A$5:$A$107,0)),"No")="Sí",_xlfn.IFERROR(INDEX('Datos - Catálogo TIMSS'!$I$5:$I$107,MATCH(L122,'Datos - Catálogo TIMSS'!$A$5:$A$107,0)),"No")="Sí"),1,0)</f>
        <v>1</v>
      </c>
      <c r="Y122" s="36" cm="1">
        <f t="array" ref="Y122">IF(_xlfn.IFERROR(INDEX('Datos - Catálogo TIMSS'!$J$5:$J$107,MATCH(K122,'Datos - Catálogo TIMSS'!$A$5:$A$107,0)),"No")="Sí",1,0)</f>
        <v>0</v>
      </c>
      <c r="Z122" s="36" cm="1">
        <f t="array" ref="Z122">IF(_xlfn.IFERROR(INDEX('Datos - Catálogo TIMSS'!$J$5:$J$107,MATCH(L122,'Datos - Catálogo TIMSS'!$A$5:$A$107,0)),"No")="Sí",1,0)</f>
        <v>0</v>
      </c>
      <c r="AA122" t="s" s="35">
        <v>2061</v>
      </c>
      <c r="AB122" t="s" s="35">
        <v>2052</v>
      </c>
      <c r="AC122" t="str" s="39">
        <v>Ciencias de la vida</v>
      </c>
      <c r="AD122" t="s" s="35">
        <v>1834</v>
      </c>
      <c r="AE122" t="str" s="39" cm="1">
        <f t="array" ref="AE122">IF(AD122="","",IF(LEFT(AD122,1)="1","C1",IF(LEFT(AD122,1)="2","C2",IF(LEFT(AD122,1)="3","C3",""))))</f>
        <v>C2</v>
      </c>
      <c r="AF122" t="s" s="35">
        <v>1602</v>
      </c>
      <c r="AG122" t="s" s="35">
        <v>1617</v>
      </c>
      <c r="AH122" t="s" s="35">
        <v>1602</v>
      </c>
      <c r="AI122" t="s" s="35">
        <v>1623</v>
      </c>
      <c r="AJ122" t="s" s="35">
        <v>1602</v>
      </c>
      <c r="AK122" s="39"/>
      <c r="AL122" s="39"/>
      <c r="AM122" s="39"/>
      <c r="AN122" s="39"/>
      <c r="AO122" s="39"/>
      <c r="AP122" s="39"/>
      <c r="AQ122" s="39"/>
      <c r="AR122" s="39"/>
      <c r="AS122" s="39"/>
      <c r="AT122" s="39"/>
      <c r="AU122" s="39"/>
      <c r="AV122" s="39"/>
      <c r="AW122" t="str" s="39" cm="1">
        <f t="array" ref="AW122">AF122&amp;"; "&amp;AG122&amp;"; "&amp;AH122&amp;"; "&amp;AI122&amp;"; "&amp;AJ122</f>
        <v>E1; D1; E1; D4; E1</v>
      </c>
    </row>
    <row r="123" ht="13.65" customHeight="1">
      <c r="A123" t="s" s="35">
        <v>2441</v>
      </c>
      <c r="B123" s="36">
        <v>3</v>
      </c>
      <c r="C123" t="s" s="35">
        <v>1823</v>
      </c>
      <c r="D123" t="s" s="35">
        <v>2218</v>
      </c>
      <c r="E123" t="s" s="35">
        <v>2424</v>
      </c>
      <c r="F123" s="36">
        <v>7</v>
      </c>
      <c r="G123" t="s" s="35">
        <v>250</v>
      </c>
      <c r="H123" t="s" s="35">
        <v>2425</v>
      </c>
      <c r="I123" t="s" s="120">
        <v>2442</v>
      </c>
      <c r="J123" t="s" s="35">
        <v>1055</v>
      </c>
      <c r="K123" t="s" s="35">
        <v>388</v>
      </c>
      <c r="L123" t="s" s="35">
        <v>427</v>
      </c>
      <c r="M123" t="str" s="39">
        <v>Biología</v>
      </c>
      <c r="N123" t="str" s="39">
        <v>Características y procesos vitales de los organismos</v>
      </c>
      <c r="O123" t="str" s="39" cm="1">
        <f t="array" ref="O123">IF(L123="","",_xlfn.IFERROR(INDEX('Datos - Catálogo TIMSS'!$C$5:$C$107,MATCH(L123,'Datos - Catálogo TIMSS'!$A$5:$A$107,0)),"?"))</f>
        <v>Biología</v>
      </c>
      <c r="P123" t="s" s="35">
        <v>282</v>
      </c>
      <c r="Q123" t="s" s="120">
        <v>2443</v>
      </c>
      <c r="R123" t="s" s="120">
        <v>2444</v>
      </c>
      <c r="S123" s="121" cm="1">
        <f t="array" ref="S123">_xlfn.IFERROR(ISNUMBER(SEARCH("Conocer",$R123))/(ISNUMBER(SEARCH("Conocer",$R123))+ISNUMBER(SEARCH("Aplicar",$R123))+ISNUMBER(SEARCH("Razonar",$R123))),0)</f>
        <v>1</v>
      </c>
      <c r="T123" s="121" cm="1">
        <f t="array" ref="T123">_xlfn.IFERROR(ISNUMBER(SEARCH("Aplicar",$R123))/(ISNUMBER(SEARCH("Conocer",$R123))+ISNUMBER(SEARCH("Aplicar",$R123))+ISNUMBER(SEARCH("Razonar",$R123))),0)</f>
        <v>0</v>
      </c>
      <c r="U123" s="121" cm="1">
        <f t="array" ref="U123">_xlfn.IFERROR(ISNUMBER(SEARCH("Razonar",$R123))/(ISNUMBER(SEARCH("Conocer",$R123))+ISNUMBER(SEARCH("Aplicar",$R123))+ISNUMBER(SEARCH("Razonar",$R123))),0)</f>
        <v>0</v>
      </c>
      <c r="V123" t="s" s="35">
        <v>74</v>
      </c>
      <c r="W123" t="s" s="35">
        <v>112</v>
      </c>
      <c r="X123" s="36" cm="1">
        <f t="array" ref="X123">IF(OR(_xlfn.IFERROR(INDEX('Datos - Catálogo TIMSS'!$I$5:$I$107,MATCH(K123,'Datos - Catálogo TIMSS'!$A$5:$A$107,0)),"No")="Sí",_xlfn.IFERROR(INDEX('Datos - Catálogo TIMSS'!$I$5:$I$107,MATCH(L123,'Datos - Catálogo TIMSS'!$A$5:$A$107,0)),"No")="Sí"),1,0)</f>
        <v>1</v>
      </c>
      <c r="Y123" s="36" cm="1">
        <f t="array" ref="Y123">IF(_xlfn.IFERROR(INDEX('Datos - Catálogo TIMSS'!$J$5:$J$107,MATCH(K123,'Datos - Catálogo TIMSS'!$A$5:$A$107,0)),"No")="Sí",1,0)</f>
        <v>0</v>
      </c>
      <c r="Z123" s="36" cm="1">
        <f t="array" ref="Z123">IF(_xlfn.IFERROR(INDEX('Datos - Catálogo TIMSS'!$J$5:$J$107,MATCH(L123,'Datos - Catálogo TIMSS'!$A$5:$A$107,0)),"No")="Sí",1,0)</f>
        <v>0</v>
      </c>
      <c r="AA123" t="s" s="35">
        <v>2052</v>
      </c>
      <c r="AB123" t="s" s="35">
        <v>2023</v>
      </c>
      <c r="AC123" t="str" s="39">
        <v>Ciencias de la vida</v>
      </c>
      <c r="AD123" t="s" s="35">
        <v>1859</v>
      </c>
      <c r="AE123" t="str" s="39" cm="1">
        <f t="array" ref="AE123">IF(AD123="","",IF(LEFT(AD123,1)="1","C1",IF(LEFT(AD123,1)="2","C2",IF(LEFT(AD123,1)="3","C3",""))))</f>
        <v>C1</v>
      </c>
      <c r="AF123" t="s" s="35">
        <v>1602</v>
      </c>
      <c r="AG123" t="s" s="35">
        <v>1617</v>
      </c>
      <c r="AH123" t="s" s="35">
        <v>1605</v>
      </c>
      <c r="AI123" t="s" s="35">
        <v>1623</v>
      </c>
      <c r="AJ123" t="s" s="35">
        <v>1602</v>
      </c>
      <c r="AK123" s="39"/>
      <c r="AL123" s="39"/>
      <c r="AM123" s="39"/>
      <c r="AN123" s="39"/>
      <c r="AO123" s="39"/>
      <c r="AP123" s="39"/>
      <c r="AQ123" s="39"/>
      <c r="AR123" s="39"/>
      <c r="AS123" s="39"/>
      <c r="AT123" s="39"/>
      <c r="AU123" s="39"/>
      <c r="AV123" s="39"/>
      <c r="AW123" t="str" s="39" cm="1">
        <f t="array" ref="AW123">AF123&amp;"; "&amp;AG123&amp;"; "&amp;AH123&amp;"; "&amp;AI123&amp;"; "&amp;AJ123</f>
        <v>E1; D1; E2; D4; E1</v>
      </c>
    </row>
    <row r="124" ht="13.65" customHeight="1">
      <c r="A124" t="s" s="35">
        <v>2445</v>
      </c>
      <c r="B124" s="36">
        <v>3</v>
      </c>
      <c r="C124" t="s" s="35">
        <v>1823</v>
      </c>
      <c r="D124" t="s" s="35">
        <v>2218</v>
      </c>
      <c r="E124" t="s" s="35">
        <v>2424</v>
      </c>
      <c r="F124" s="36">
        <v>8</v>
      </c>
      <c r="G124" t="s" s="35">
        <v>250</v>
      </c>
      <c r="H124" t="s" s="35">
        <v>2446</v>
      </c>
      <c r="I124" t="s" s="120">
        <v>2447</v>
      </c>
      <c r="J124" t="s" s="35">
        <v>1055</v>
      </c>
      <c r="K124" t="s" s="35">
        <v>388</v>
      </c>
      <c r="L124" s="39"/>
      <c r="M124" t="str" s="39">
        <v>Biología</v>
      </c>
      <c r="N124" t="str" s="39">
        <v>Características y procesos vitales de los organismos</v>
      </c>
      <c r="O124" t="str" s="39" cm="1">
        <f t="array" ref="O124">IF(L124="","",_xlfn.IFERROR(INDEX('Datos - Catálogo TIMSS'!$C$5:$C$107,MATCH(L124,'Datos - Catálogo TIMSS'!$A$5:$A$107,0)),"?"))</f>
      </c>
      <c r="P124" t="s" s="35">
        <v>282</v>
      </c>
      <c r="Q124" t="s" s="120">
        <v>2448</v>
      </c>
      <c r="R124" t="s" s="120">
        <v>1990</v>
      </c>
      <c r="S124" s="121" cm="1">
        <f t="array" ref="S124">_xlfn.IFERROR(ISNUMBER(SEARCH("Conocer",$R124))/(ISNUMBER(SEARCH("Conocer",$R124))+ISNUMBER(SEARCH("Aplicar",$R124))+ISNUMBER(SEARCH("Razonar",$R124))),0)</f>
        <v>1</v>
      </c>
      <c r="T124" s="121" cm="1">
        <f t="array" ref="T124">_xlfn.IFERROR(ISNUMBER(SEARCH("Aplicar",$R124))/(ISNUMBER(SEARCH("Conocer",$R124))+ISNUMBER(SEARCH("Aplicar",$R124))+ISNUMBER(SEARCH("Razonar",$R124))),0)</f>
        <v>0</v>
      </c>
      <c r="U124" s="121" cm="1">
        <f t="array" ref="U124">_xlfn.IFERROR(ISNUMBER(SEARCH("Razonar",$R124))/(ISNUMBER(SEARCH("Conocer",$R124))+ISNUMBER(SEARCH("Aplicar",$R124))+ISNUMBER(SEARCH("Razonar",$R124))),0)</f>
        <v>0</v>
      </c>
      <c r="V124" t="s" s="35">
        <v>74</v>
      </c>
      <c r="W124" t="s" s="35">
        <v>112</v>
      </c>
      <c r="X124" s="36" cm="1">
        <f t="array" ref="X124">IF(OR(_xlfn.IFERROR(INDEX('Datos - Catálogo TIMSS'!$I$5:$I$107,MATCH(K124,'Datos - Catálogo TIMSS'!$A$5:$A$107,0)),"No")="Sí",_xlfn.IFERROR(INDEX('Datos - Catálogo TIMSS'!$I$5:$I$107,MATCH(L124,'Datos - Catálogo TIMSS'!$A$5:$A$107,0)),"No")="Sí"),1,0)</f>
        <v>0</v>
      </c>
      <c r="Y124" s="36" cm="1">
        <f t="array" ref="Y124">IF(_xlfn.IFERROR(INDEX('Datos - Catálogo TIMSS'!$J$5:$J$107,MATCH(K124,'Datos - Catálogo TIMSS'!$A$5:$A$107,0)),"No")="Sí",1,0)</f>
        <v>0</v>
      </c>
      <c r="Z124" s="36" cm="1">
        <f t="array" ref="Z124">IF(_xlfn.IFERROR(INDEX('Datos - Catálogo TIMSS'!$J$5:$J$107,MATCH(L124,'Datos - Catálogo TIMSS'!$A$5:$A$107,0)),"No")="Sí",1,0)</f>
        <v>0</v>
      </c>
      <c r="AA124" t="s" s="35">
        <v>2052</v>
      </c>
      <c r="AB124" s="39"/>
      <c r="AC124" t="str" s="39">
        <v>Ciencias de la vida</v>
      </c>
      <c r="AD124" t="s" s="35">
        <v>1859</v>
      </c>
      <c r="AE124" t="str" s="39" cm="1">
        <f t="array" ref="AE124">IF(AD124="","",IF(LEFT(AD124,1)="1","C1",IF(LEFT(AD124,1)="2","C2",IF(LEFT(AD124,1)="3","C3",""))))</f>
        <v>C1</v>
      </c>
      <c r="AF124" t="s" s="35">
        <v>1615</v>
      </c>
      <c r="AG124" t="s" s="35">
        <v>1617</v>
      </c>
      <c r="AH124" t="s" s="35">
        <v>1602</v>
      </c>
      <c r="AI124" t="s" s="35">
        <v>1623</v>
      </c>
      <c r="AJ124" t="s" s="35">
        <v>1615</v>
      </c>
      <c r="AK124" s="39"/>
      <c r="AL124" s="39"/>
      <c r="AM124" s="39"/>
      <c r="AN124" s="39"/>
      <c r="AO124" s="39"/>
      <c r="AP124" s="39"/>
      <c r="AQ124" s="39"/>
      <c r="AR124" s="39"/>
      <c r="AS124" s="39"/>
      <c r="AT124" s="39"/>
      <c r="AU124" s="39"/>
      <c r="AV124" s="39"/>
      <c r="AW124" t="str" s="39" cm="1">
        <f t="array" ref="AW124">AF124&amp;"; "&amp;AG124&amp;"; "&amp;AH124&amp;"; "&amp;AI124&amp;"; "&amp;AJ124</f>
        <v>E6; D1; E1; D4; E6</v>
      </c>
    </row>
    <row r="125" ht="13.65" customHeight="1">
      <c r="A125" t="s" s="35">
        <v>2449</v>
      </c>
      <c r="B125" s="36">
        <v>3</v>
      </c>
      <c r="C125" t="s" s="35">
        <v>1823</v>
      </c>
      <c r="D125" t="s" s="35">
        <v>2218</v>
      </c>
      <c r="E125" t="s" s="35">
        <v>2424</v>
      </c>
      <c r="F125" s="36">
        <v>9</v>
      </c>
      <c r="G125" t="s" s="35">
        <v>250</v>
      </c>
      <c r="H125" t="s" s="35">
        <v>2446</v>
      </c>
      <c r="I125" t="s" s="120">
        <v>2450</v>
      </c>
      <c r="J125" t="s" s="35">
        <v>1055</v>
      </c>
      <c r="K125" t="s" s="35">
        <v>388</v>
      </c>
      <c r="L125" s="39"/>
      <c r="M125" t="str" s="39">
        <v>Biología</v>
      </c>
      <c r="N125" t="str" s="39">
        <v>Características y procesos vitales de los organismos</v>
      </c>
      <c r="O125" t="str" s="39" cm="1">
        <f t="array" ref="O125">IF(L125="","",_xlfn.IFERROR(INDEX('Datos - Catálogo TIMSS'!$C$5:$C$107,MATCH(L125,'Datos - Catálogo TIMSS'!$A$5:$A$107,0)),"?"))</f>
      </c>
      <c r="P125" t="s" s="35">
        <v>282</v>
      </c>
      <c r="Q125" t="s" s="120">
        <v>2451</v>
      </c>
      <c r="R125" t="s" s="120">
        <v>1840</v>
      </c>
      <c r="S125" s="121" cm="1">
        <f t="array" ref="S125">_xlfn.IFERROR(ISNUMBER(SEARCH("Conocer",$R125))/(ISNUMBER(SEARCH("Conocer",$R125))+ISNUMBER(SEARCH("Aplicar",$R125))+ISNUMBER(SEARCH("Razonar",$R125))),0)</f>
        <v>0.5</v>
      </c>
      <c r="T125" s="121" cm="1">
        <f t="array" ref="T125">_xlfn.IFERROR(ISNUMBER(SEARCH("Aplicar",$R125))/(ISNUMBER(SEARCH("Conocer",$R125))+ISNUMBER(SEARCH("Aplicar",$R125))+ISNUMBER(SEARCH("Razonar",$R125))),0)</f>
        <v>0.5</v>
      </c>
      <c r="U125" s="121" cm="1">
        <f t="array" ref="U125">_xlfn.IFERROR(ISNUMBER(SEARCH("Razonar",$R125))/(ISNUMBER(SEARCH("Conocer",$R125))+ISNUMBER(SEARCH("Aplicar",$R125))+ISNUMBER(SEARCH("Razonar",$R125))),0)</f>
        <v>0</v>
      </c>
      <c r="V125" t="s" s="35">
        <v>74</v>
      </c>
      <c r="W125" t="s" s="35">
        <v>112</v>
      </c>
      <c r="X125" s="36" cm="1">
        <f t="array" ref="X125">IF(OR(_xlfn.IFERROR(INDEX('Datos - Catálogo TIMSS'!$I$5:$I$107,MATCH(K125,'Datos - Catálogo TIMSS'!$A$5:$A$107,0)),"No")="Sí",_xlfn.IFERROR(INDEX('Datos - Catálogo TIMSS'!$I$5:$I$107,MATCH(L125,'Datos - Catálogo TIMSS'!$A$5:$A$107,0)),"No")="Sí"),1,0)</f>
        <v>0</v>
      </c>
      <c r="Y125" s="36" cm="1">
        <f t="array" ref="Y125">IF(_xlfn.IFERROR(INDEX('Datos - Catálogo TIMSS'!$J$5:$J$107,MATCH(K125,'Datos - Catálogo TIMSS'!$A$5:$A$107,0)),"No")="Sí",1,0)</f>
        <v>0</v>
      </c>
      <c r="Z125" s="36" cm="1">
        <f t="array" ref="Z125">IF(_xlfn.IFERROR(INDEX('Datos - Catálogo TIMSS'!$J$5:$J$107,MATCH(L125,'Datos - Catálogo TIMSS'!$A$5:$A$107,0)),"No")="Sí",1,0)</f>
        <v>0</v>
      </c>
      <c r="AA125" t="s" s="35">
        <v>2052</v>
      </c>
      <c r="AB125" s="39"/>
      <c r="AC125" t="str" s="39">
        <v>Ciencias de la vida</v>
      </c>
      <c r="AD125" t="s" s="35">
        <v>1859</v>
      </c>
      <c r="AE125" t="str" s="39" cm="1">
        <f t="array" ref="AE125">IF(AD125="","",IF(LEFT(AD125,1)="1","C1",IF(LEFT(AD125,1)="2","C2",IF(LEFT(AD125,1)="3","C3",""))))</f>
        <v>C1</v>
      </c>
      <c r="AF125" t="s" s="35">
        <v>1602</v>
      </c>
      <c r="AG125" t="s" s="35">
        <v>1617</v>
      </c>
      <c r="AH125" t="s" s="35">
        <v>1602</v>
      </c>
      <c r="AI125" t="s" s="35">
        <v>1623</v>
      </c>
      <c r="AJ125" t="s" s="35">
        <v>1615</v>
      </c>
      <c r="AK125" s="39"/>
      <c r="AL125" s="39"/>
      <c r="AM125" s="39"/>
      <c r="AN125" s="39"/>
      <c r="AO125" s="39"/>
      <c r="AP125" s="39"/>
      <c r="AQ125" s="39"/>
      <c r="AR125" s="39"/>
      <c r="AS125" s="39"/>
      <c r="AT125" s="39"/>
      <c r="AU125" s="39"/>
      <c r="AV125" s="39"/>
      <c r="AW125" t="str" s="39" cm="1">
        <f t="array" ref="AW125">AF125&amp;"; "&amp;AG125&amp;"; "&amp;AH125&amp;"; "&amp;AI125&amp;"; "&amp;AJ125</f>
        <v>E1; D1; E1; D4; E6</v>
      </c>
    </row>
    <row r="126" ht="13.65" customHeight="1">
      <c r="A126" t="s" s="35">
        <v>2452</v>
      </c>
      <c r="B126" s="36">
        <v>3</v>
      </c>
      <c r="C126" t="s" s="35">
        <v>1823</v>
      </c>
      <c r="D126" t="s" s="35">
        <v>2218</v>
      </c>
      <c r="E126" t="s" s="35">
        <v>2424</v>
      </c>
      <c r="F126" s="36">
        <v>10</v>
      </c>
      <c r="G126" t="s" s="35">
        <v>250</v>
      </c>
      <c r="H126" t="s" s="35">
        <v>2446</v>
      </c>
      <c r="I126" t="s" s="120">
        <v>2453</v>
      </c>
      <c r="J126" t="s" s="35">
        <v>1055</v>
      </c>
      <c r="K126" t="s" s="35">
        <v>1099</v>
      </c>
      <c r="L126" s="39"/>
      <c r="M126" t="str" s="39">
        <v>Biología</v>
      </c>
      <c r="N126" t="str" s="39">
        <v>Investigaciones biológicas</v>
      </c>
      <c r="O126" t="str" s="39" cm="1">
        <f t="array" ref="O126">IF(L126="","",_xlfn.IFERROR(INDEX('Datos - Catálogo TIMSS'!$C$5:$C$107,MATCH(L126,'Datos - Catálogo TIMSS'!$A$5:$A$107,0)),"?"))</f>
      </c>
      <c r="P126" t="s" s="35">
        <v>282</v>
      </c>
      <c r="Q126" t="s" s="120">
        <v>2455</v>
      </c>
      <c r="R126" t="s" s="120">
        <v>2456</v>
      </c>
      <c r="S126" s="121" cm="1">
        <f t="array" ref="S126">_xlfn.IFERROR(ISNUMBER(SEARCH("Conocer",$R126))/(ISNUMBER(SEARCH("Conocer",$R126))+ISNUMBER(SEARCH("Aplicar",$R126))+ISNUMBER(SEARCH("Razonar",$R126))),0)</f>
        <v>0</v>
      </c>
      <c r="T126" s="121" cm="1">
        <f t="array" ref="T126">_xlfn.IFERROR(ISNUMBER(SEARCH("Aplicar",$R126))/(ISNUMBER(SEARCH("Conocer",$R126))+ISNUMBER(SEARCH("Aplicar",$R126))+ISNUMBER(SEARCH("Razonar",$R126))),0)</f>
        <v>1</v>
      </c>
      <c r="U126" s="121" cm="1">
        <f t="array" ref="U126">_xlfn.IFERROR(ISNUMBER(SEARCH("Razonar",$R126))/(ISNUMBER(SEARCH("Conocer",$R126))+ISNUMBER(SEARCH("Aplicar",$R126))+ISNUMBER(SEARCH("Razonar",$R126))),0)</f>
        <v>0</v>
      </c>
      <c r="V126" t="s" s="35">
        <v>74</v>
      </c>
      <c r="W126" t="s" s="35">
        <v>112</v>
      </c>
      <c r="X126" s="36" cm="1">
        <f t="array" ref="X126">IF(OR(_xlfn.IFERROR(INDEX('Datos - Catálogo TIMSS'!$I$5:$I$107,MATCH(K126,'Datos - Catálogo TIMSS'!$A$5:$A$107,0)),"No")="Sí",_xlfn.IFERROR(INDEX('Datos - Catálogo TIMSS'!$I$5:$I$107,MATCH(L126,'Datos - Catálogo TIMSS'!$A$5:$A$107,0)),"No")="Sí"),1,0)</f>
        <v>0</v>
      </c>
      <c r="Y126" s="36" cm="1">
        <f t="array" ref="Y126">IF(_xlfn.IFERROR(INDEX('Datos - Catálogo TIMSS'!$J$5:$J$107,MATCH(K126,'Datos - Catálogo TIMSS'!$A$5:$A$107,0)),"No")="Sí",1,0)</f>
        <v>1</v>
      </c>
      <c r="Z126" s="36" cm="1">
        <f t="array" ref="Z126">IF(_xlfn.IFERROR(INDEX('Datos - Catálogo TIMSS'!$J$5:$J$107,MATCH(L126,'Datos - Catálogo TIMSS'!$A$5:$A$107,0)),"No")="Sí",1,0)</f>
        <v>0</v>
      </c>
      <c r="AA126" t="s" s="35">
        <v>1832</v>
      </c>
      <c r="AB126" s="39"/>
      <c r="AC126" t="str" s="39">
        <v>Fuera del marco</v>
      </c>
      <c r="AD126" t="s" s="35">
        <v>1834</v>
      </c>
      <c r="AE126" t="str" s="39" cm="1">
        <f t="array" ref="AE126">IF(AD126="","",IF(LEFT(AD126,1)="1","C1",IF(LEFT(AD126,1)="2","C2",IF(LEFT(AD126,1)="3","C3",""))))</f>
        <v>C2</v>
      </c>
      <c r="AF126" t="s" s="35">
        <v>1602</v>
      </c>
      <c r="AG126" t="s" s="35">
        <v>1607</v>
      </c>
      <c r="AH126" t="s" s="35">
        <v>1602</v>
      </c>
      <c r="AI126" t="s" s="35">
        <v>1623</v>
      </c>
      <c r="AJ126" t="s" s="35">
        <v>1602</v>
      </c>
      <c r="AK126" s="39"/>
      <c r="AL126" s="39"/>
      <c r="AM126" s="39"/>
      <c r="AN126" s="39"/>
      <c r="AO126" s="39"/>
      <c r="AP126" s="39"/>
      <c r="AQ126" s="39"/>
      <c r="AR126" s="39"/>
      <c r="AS126" s="39"/>
      <c r="AT126" s="39"/>
      <c r="AU126" s="39"/>
      <c r="AV126" s="39"/>
      <c r="AW126" t="str" s="39" cm="1">
        <f t="array" ref="AW126">AF126&amp;"; "&amp;AG126&amp;"; "&amp;AH126&amp;"; "&amp;AI126&amp;"; "&amp;AJ126</f>
        <v>E1; E3; E1; D4; E1</v>
      </c>
    </row>
    <row r="127" ht="13.65" customHeight="1">
      <c r="A127" t="s" s="35">
        <v>2457</v>
      </c>
      <c r="B127" s="36">
        <v>3</v>
      </c>
      <c r="C127" t="s" s="35">
        <v>1823</v>
      </c>
      <c r="D127" t="s" s="35">
        <v>2218</v>
      </c>
      <c r="E127" t="s" s="35">
        <v>2424</v>
      </c>
      <c r="F127" s="36">
        <v>11</v>
      </c>
      <c r="G127" t="s" s="35">
        <v>250</v>
      </c>
      <c r="H127" t="s" s="35">
        <v>2446</v>
      </c>
      <c r="I127" t="s" s="120">
        <v>2458</v>
      </c>
      <c r="J127" t="s" s="35">
        <v>1055</v>
      </c>
      <c r="K127" t="s" s="35">
        <v>388</v>
      </c>
      <c r="L127" s="39"/>
      <c r="M127" t="str" s="39">
        <v>Biología</v>
      </c>
      <c r="N127" t="str" s="39">
        <v>Características y procesos vitales de los organismos</v>
      </c>
      <c r="O127" t="str" s="39" cm="1">
        <f t="array" ref="O127">IF(L127="","",_xlfn.IFERROR(INDEX('Datos - Catálogo TIMSS'!$C$5:$C$107,MATCH(L127,'Datos - Catálogo TIMSS'!$A$5:$A$107,0)),"?"))</f>
      </c>
      <c r="P127" t="s" s="35">
        <v>254</v>
      </c>
      <c r="Q127" t="s" s="120">
        <v>2459</v>
      </c>
      <c r="R127" t="s" s="120">
        <v>1847</v>
      </c>
      <c r="S127" s="121" cm="1">
        <f t="array" ref="S127">_xlfn.IFERROR(ISNUMBER(SEARCH("Conocer",$R127))/(ISNUMBER(SEARCH("Conocer",$R127))+ISNUMBER(SEARCH("Aplicar",$R127))+ISNUMBER(SEARCH("Razonar",$R127))),0)</f>
        <v>0</v>
      </c>
      <c r="T127" s="121" cm="1">
        <f t="array" ref="T127">_xlfn.IFERROR(ISNUMBER(SEARCH("Aplicar",$R127))/(ISNUMBER(SEARCH("Conocer",$R127))+ISNUMBER(SEARCH("Aplicar",$R127))+ISNUMBER(SEARCH("Razonar",$R127))),0)</f>
        <v>1</v>
      </c>
      <c r="U127" s="121" cm="1">
        <f t="array" ref="U127">_xlfn.IFERROR(ISNUMBER(SEARCH("Razonar",$R127))/(ISNUMBER(SEARCH("Conocer",$R127))+ISNUMBER(SEARCH("Aplicar",$R127))+ISNUMBER(SEARCH("Razonar",$R127))),0)</f>
        <v>0</v>
      </c>
      <c r="V127" t="s" s="35">
        <v>74</v>
      </c>
      <c r="W127" t="s" s="35">
        <v>112</v>
      </c>
      <c r="X127" s="36" cm="1">
        <f t="array" ref="X127">IF(OR(_xlfn.IFERROR(INDEX('Datos - Catálogo TIMSS'!$I$5:$I$107,MATCH(K127,'Datos - Catálogo TIMSS'!$A$5:$A$107,0)),"No")="Sí",_xlfn.IFERROR(INDEX('Datos - Catálogo TIMSS'!$I$5:$I$107,MATCH(L127,'Datos - Catálogo TIMSS'!$A$5:$A$107,0)),"No")="Sí"),1,0)</f>
        <v>0</v>
      </c>
      <c r="Y127" s="36" cm="1">
        <f t="array" ref="Y127">IF(_xlfn.IFERROR(INDEX('Datos - Catálogo TIMSS'!$J$5:$J$107,MATCH(K127,'Datos - Catálogo TIMSS'!$A$5:$A$107,0)),"No")="Sí",1,0)</f>
        <v>0</v>
      </c>
      <c r="Z127" s="36" cm="1">
        <f t="array" ref="Z127">IF(_xlfn.IFERROR(INDEX('Datos - Catálogo TIMSS'!$J$5:$J$107,MATCH(L127,'Datos - Catálogo TIMSS'!$A$5:$A$107,0)),"No")="Sí",1,0)</f>
        <v>0</v>
      </c>
      <c r="AA127" t="s" s="35">
        <v>2052</v>
      </c>
      <c r="AB127" s="39"/>
      <c r="AC127" t="str" s="39">
        <v>Ciencias de la vida</v>
      </c>
      <c r="AD127" t="s" s="35">
        <v>1859</v>
      </c>
      <c r="AE127" t="str" s="39" cm="1">
        <f t="array" ref="AE127">IF(AD127="","",IF(LEFT(AD127,1)="1","C1",IF(LEFT(AD127,1)="2","C2",IF(LEFT(AD127,1)="3","C3",""))))</f>
        <v>C1</v>
      </c>
      <c r="AF127" t="s" s="35">
        <v>1602</v>
      </c>
      <c r="AG127" t="s" s="35">
        <v>1617</v>
      </c>
      <c r="AH127" t="s" s="35">
        <v>1605</v>
      </c>
      <c r="AI127" t="s" s="35">
        <v>1623</v>
      </c>
      <c r="AJ127" t="s" s="35">
        <v>1602</v>
      </c>
      <c r="AK127" s="39"/>
      <c r="AL127" s="39"/>
      <c r="AM127" s="39"/>
      <c r="AN127" s="39"/>
      <c r="AO127" s="39"/>
      <c r="AP127" s="39"/>
      <c r="AQ127" s="39"/>
      <c r="AR127" s="39"/>
      <c r="AS127" s="39"/>
      <c r="AT127" s="39"/>
      <c r="AU127" s="39"/>
      <c r="AV127" s="39"/>
      <c r="AW127" t="str" s="39" cm="1">
        <f t="array" ref="AW127">AF127&amp;"; "&amp;AG127&amp;"; "&amp;AH127&amp;"; "&amp;AI127&amp;"; "&amp;AJ127</f>
        <v>E1; D1; E2; D4; E1</v>
      </c>
    </row>
    <row r="128" ht="13.65" customHeight="1">
      <c r="A128" t="s" s="35">
        <v>2460</v>
      </c>
      <c r="B128" s="36">
        <v>3</v>
      </c>
      <c r="C128" t="s" s="35">
        <v>1823</v>
      </c>
      <c r="D128" t="s" s="35">
        <v>2218</v>
      </c>
      <c r="E128" t="s" s="35">
        <v>2424</v>
      </c>
      <c r="F128" s="36">
        <v>12</v>
      </c>
      <c r="G128" t="s" s="35">
        <v>250</v>
      </c>
      <c r="H128" t="s" s="35">
        <v>2446</v>
      </c>
      <c r="I128" t="s" s="120">
        <v>2461</v>
      </c>
      <c r="J128" t="s" s="35">
        <v>1055</v>
      </c>
      <c r="K128" t="s" s="35">
        <v>388</v>
      </c>
      <c r="L128" s="39"/>
      <c r="M128" t="str" s="39">
        <v>Biología</v>
      </c>
      <c r="N128" t="str" s="39">
        <v>Características y procesos vitales de los organismos</v>
      </c>
      <c r="O128" t="str" s="39" cm="1">
        <f t="array" ref="O128">IF(L128="","",_xlfn.IFERROR(INDEX('Datos - Catálogo TIMSS'!$C$5:$C$107,MATCH(L128,'Datos - Catálogo TIMSS'!$A$5:$A$107,0)),"?"))</f>
      </c>
      <c r="P128" t="s" s="35">
        <v>282</v>
      </c>
      <c r="Q128" t="s" s="120">
        <v>2462</v>
      </c>
      <c r="R128" t="s" s="120">
        <v>2066</v>
      </c>
      <c r="S128" s="121" cm="1">
        <f t="array" ref="S128">_xlfn.IFERROR(ISNUMBER(SEARCH("Conocer",$R128))/(ISNUMBER(SEARCH("Conocer",$R128))+ISNUMBER(SEARCH("Aplicar",$R128))+ISNUMBER(SEARCH("Razonar",$R128))),0)</f>
        <v>0</v>
      </c>
      <c r="T128" s="121" cm="1">
        <f t="array" ref="T128">_xlfn.IFERROR(ISNUMBER(SEARCH("Aplicar",$R128))/(ISNUMBER(SEARCH("Conocer",$R128))+ISNUMBER(SEARCH("Aplicar",$R128))+ISNUMBER(SEARCH("Razonar",$R128))),0)</f>
        <v>1</v>
      </c>
      <c r="U128" s="121" cm="1">
        <f t="array" ref="U128">_xlfn.IFERROR(ISNUMBER(SEARCH("Razonar",$R128))/(ISNUMBER(SEARCH("Conocer",$R128))+ISNUMBER(SEARCH("Aplicar",$R128))+ISNUMBER(SEARCH("Razonar",$R128))),0)</f>
        <v>0</v>
      </c>
      <c r="V128" t="s" s="35">
        <v>74</v>
      </c>
      <c r="W128" t="s" s="35">
        <v>112</v>
      </c>
      <c r="X128" s="36" cm="1">
        <f t="array" ref="X128">IF(OR(_xlfn.IFERROR(INDEX('Datos - Catálogo TIMSS'!$I$5:$I$107,MATCH(K128,'Datos - Catálogo TIMSS'!$A$5:$A$107,0)),"No")="Sí",_xlfn.IFERROR(INDEX('Datos - Catálogo TIMSS'!$I$5:$I$107,MATCH(L128,'Datos - Catálogo TIMSS'!$A$5:$A$107,0)),"No")="Sí"),1,0)</f>
        <v>0</v>
      </c>
      <c r="Y128" s="36" cm="1">
        <f t="array" ref="Y128">IF(_xlfn.IFERROR(INDEX('Datos - Catálogo TIMSS'!$J$5:$J$107,MATCH(K128,'Datos - Catálogo TIMSS'!$A$5:$A$107,0)),"No")="Sí",1,0)</f>
        <v>0</v>
      </c>
      <c r="Z128" s="36" cm="1">
        <f t="array" ref="Z128">IF(_xlfn.IFERROR(INDEX('Datos - Catálogo TIMSS'!$J$5:$J$107,MATCH(L128,'Datos - Catálogo TIMSS'!$A$5:$A$107,0)),"No")="Sí",1,0)</f>
        <v>0</v>
      </c>
      <c r="AA128" t="s" s="35">
        <v>2052</v>
      </c>
      <c r="AB128" s="39"/>
      <c r="AC128" t="str" s="39">
        <v>Ciencias de la vida</v>
      </c>
      <c r="AD128" t="s" s="35">
        <v>1859</v>
      </c>
      <c r="AE128" t="str" s="39" cm="1">
        <f t="array" ref="AE128">IF(AD128="","",IF(LEFT(AD128,1)="1","C1",IF(LEFT(AD128,1)="2","C2",IF(LEFT(AD128,1)="3","C3",""))))</f>
        <v>C1</v>
      </c>
      <c r="AF128" t="s" s="35">
        <v>1602</v>
      </c>
      <c r="AG128" t="s" s="35">
        <v>1617</v>
      </c>
      <c r="AH128" t="s" s="35">
        <v>1605</v>
      </c>
      <c r="AI128" t="s" s="35">
        <v>1623</v>
      </c>
      <c r="AJ128" t="s" s="35">
        <v>1602</v>
      </c>
      <c r="AK128" s="39"/>
      <c r="AL128" s="39"/>
      <c r="AM128" s="39"/>
      <c r="AN128" s="39"/>
      <c r="AO128" s="39"/>
      <c r="AP128" s="39"/>
      <c r="AQ128" s="39"/>
      <c r="AR128" s="39"/>
      <c r="AS128" s="39"/>
      <c r="AT128" s="39"/>
      <c r="AU128" s="39"/>
      <c r="AV128" s="39"/>
      <c r="AW128" t="str" s="39" cm="1">
        <f t="array" ref="AW128">AF128&amp;"; "&amp;AG128&amp;"; "&amp;AH128&amp;"; "&amp;AI128&amp;"; "&amp;AJ128</f>
        <v>E1; D1; E2; D4; E1</v>
      </c>
    </row>
    <row r="129" ht="13.65" customHeight="1">
      <c r="A129" t="s" s="35">
        <v>2463</v>
      </c>
      <c r="B129" s="36">
        <v>3</v>
      </c>
      <c r="C129" t="s" s="35">
        <v>1823</v>
      </c>
      <c r="D129" t="s" s="35">
        <v>2218</v>
      </c>
      <c r="E129" t="s" s="35">
        <v>2424</v>
      </c>
      <c r="F129" s="36">
        <v>13</v>
      </c>
      <c r="G129" t="s" s="35">
        <v>250</v>
      </c>
      <c r="H129" t="s" s="35">
        <v>2446</v>
      </c>
      <c r="I129" t="s" s="120">
        <v>2464</v>
      </c>
      <c r="J129" t="s" s="35">
        <v>1055</v>
      </c>
      <c r="K129" t="s" s="35">
        <v>388</v>
      </c>
      <c r="L129" s="39"/>
      <c r="M129" t="str" s="39">
        <v>Biología</v>
      </c>
      <c r="N129" t="str" s="39">
        <v>Características y procesos vitales de los organismos</v>
      </c>
      <c r="O129" t="str" s="39" cm="1">
        <f t="array" ref="O129">IF(L129="","",_xlfn.IFERROR(INDEX('Datos - Catálogo TIMSS'!$C$5:$C$107,MATCH(L129,'Datos - Catálogo TIMSS'!$A$5:$A$107,0)),"?"))</f>
      </c>
      <c r="P129" t="s" s="35">
        <v>282</v>
      </c>
      <c r="Q129" t="s" s="120">
        <v>2465</v>
      </c>
      <c r="R129" t="s" s="120">
        <v>1990</v>
      </c>
      <c r="S129" s="121" cm="1">
        <f t="array" ref="S129">_xlfn.IFERROR(ISNUMBER(SEARCH("Conocer",$R129))/(ISNUMBER(SEARCH("Conocer",$R129))+ISNUMBER(SEARCH("Aplicar",$R129))+ISNUMBER(SEARCH("Razonar",$R129))),0)</f>
        <v>1</v>
      </c>
      <c r="T129" s="121" cm="1">
        <f t="array" ref="T129">_xlfn.IFERROR(ISNUMBER(SEARCH("Aplicar",$R129))/(ISNUMBER(SEARCH("Conocer",$R129))+ISNUMBER(SEARCH("Aplicar",$R129))+ISNUMBER(SEARCH("Razonar",$R129))),0)</f>
        <v>0</v>
      </c>
      <c r="U129" s="121" cm="1">
        <f t="array" ref="U129">_xlfn.IFERROR(ISNUMBER(SEARCH("Razonar",$R129))/(ISNUMBER(SEARCH("Conocer",$R129))+ISNUMBER(SEARCH("Aplicar",$R129))+ISNUMBER(SEARCH("Razonar",$R129))),0)</f>
        <v>0</v>
      </c>
      <c r="V129" t="s" s="35">
        <v>74</v>
      </c>
      <c r="W129" t="s" s="35">
        <v>112</v>
      </c>
      <c r="X129" s="36" cm="1">
        <f t="array" ref="X129">IF(OR(_xlfn.IFERROR(INDEX('Datos - Catálogo TIMSS'!$I$5:$I$107,MATCH(K129,'Datos - Catálogo TIMSS'!$A$5:$A$107,0)),"No")="Sí",_xlfn.IFERROR(INDEX('Datos - Catálogo TIMSS'!$I$5:$I$107,MATCH(L129,'Datos - Catálogo TIMSS'!$A$5:$A$107,0)),"No")="Sí"),1,0)</f>
        <v>0</v>
      </c>
      <c r="Y129" s="36" cm="1">
        <f t="array" ref="Y129">IF(_xlfn.IFERROR(INDEX('Datos - Catálogo TIMSS'!$J$5:$J$107,MATCH(K129,'Datos - Catálogo TIMSS'!$A$5:$A$107,0)),"No")="Sí",1,0)</f>
        <v>0</v>
      </c>
      <c r="Z129" s="36" cm="1">
        <f t="array" ref="Z129">IF(_xlfn.IFERROR(INDEX('Datos - Catálogo TIMSS'!$J$5:$J$107,MATCH(L129,'Datos - Catálogo TIMSS'!$A$5:$A$107,0)),"No")="Sí",1,0)</f>
        <v>0</v>
      </c>
      <c r="AA129" t="s" s="35">
        <v>2052</v>
      </c>
      <c r="AB129" s="39"/>
      <c r="AC129" t="str" s="39">
        <v>Ciencias de la vida</v>
      </c>
      <c r="AD129" t="s" s="35">
        <v>1859</v>
      </c>
      <c r="AE129" t="str" s="39" cm="1">
        <f t="array" ref="AE129">IF(AD129="","",IF(LEFT(AD129,1)="1","C1",IF(LEFT(AD129,1)="2","C2",IF(LEFT(AD129,1)="3","C3",""))))</f>
        <v>C1</v>
      </c>
      <c r="AF129" t="s" s="35">
        <v>1602</v>
      </c>
      <c r="AG129" t="s" s="35">
        <v>1612</v>
      </c>
      <c r="AH129" t="s" s="35">
        <v>1602</v>
      </c>
      <c r="AI129" t="s" s="35">
        <v>1623</v>
      </c>
      <c r="AJ129" t="s" s="35">
        <v>1615</v>
      </c>
      <c r="AK129" s="39"/>
      <c r="AL129" s="39"/>
      <c r="AM129" s="39"/>
      <c r="AN129" s="39"/>
      <c r="AO129" s="39"/>
      <c r="AP129" s="39"/>
      <c r="AQ129" s="39"/>
      <c r="AR129" s="39"/>
      <c r="AS129" s="39"/>
      <c r="AT129" s="39"/>
      <c r="AU129" s="39"/>
      <c r="AV129" s="39"/>
      <c r="AW129" t="str" s="39" cm="1">
        <f t="array" ref="AW129">AF129&amp;"; "&amp;AG129&amp;"; "&amp;AH129&amp;"; "&amp;AI129&amp;"; "&amp;AJ129</f>
        <v>E1; E5; E1; D4; E6</v>
      </c>
    </row>
    <row r="130" ht="13.65" customHeight="1">
      <c r="A130" t="s" s="35">
        <v>2466</v>
      </c>
      <c r="B130" s="36">
        <v>3</v>
      </c>
      <c r="C130" t="s" s="35">
        <v>1823</v>
      </c>
      <c r="D130" t="s" s="35">
        <v>2218</v>
      </c>
      <c r="E130" t="s" s="35">
        <v>2424</v>
      </c>
      <c r="F130" s="36">
        <v>14</v>
      </c>
      <c r="G130" t="s" s="35">
        <v>250</v>
      </c>
      <c r="H130" t="s" s="35">
        <v>2467</v>
      </c>
      <c r="I130" t="s" s="120">
        <v>2468</v>
      </c>
      <c r="J130" t="s" s="35">
        <v>1055</v>
      </c>
      <c r="K130" t="s" s="35">
        <v>388</v>
      </c>
      <c r="L130" s="39"/>
      <c r="M130" t="str" s="39">
        <v>Biología</v>
      </c>
      <c r="N130" t="str" s="39">
        <v>Características y procesos vitales de los organismos</v>
      </c>
      <c r="O130" t="str" s="39" cm="1">
        <f t="array" ref="O130">IF(L130="","",_xlfn.IFERROR(INDEX('Datos - Catálogo TIMSS'!$C$5:$C$107,MATCH(L130,'Datos - Catálogo TIMSS'!$A$5:$A$107,0)),"?"))</f>
      </c>
      <c r="P130" t="s" s="35">
        <v>254</v>
      </c>
      <c r="Q130" t="s" s="120">
        <v>2469</v>
      </c>
      <c r="R130" t="s" s="120">
        <v>1847</v>
      </c>
      <c r="S130" s="121" cm="1">
        <f t="array" ref="S130">_xlfn.IFERROR(ISNUMBER(SEARCH("Conocer",$R130))/(ISNUMBER(SEARCH("Conocer",$R130))+ISNUMBER(SEARCH("Aplicar",$R130))+ISNUMBER(SEARCH("Razonar",$R130))),0)</f>
        <v>0</v>
      </c>
      <c r="T130" s="121" cm="1">
        <f t="array" ref="T130">_xlfn.IFERROR(ISNUMBER(SEARCH("Aplicar",$R130))/(ISNUMBER(SEARCH("Conocer",$R130))+ISNUMBER(SEARCH("Aplicar",$R130))+ISNUMBER(SEARCH("Razonar",$R130))),0)</f>
        <v>1</v>
      </c>
      <c r="U130" s="121" cm="1">
        <f t="array" ref="U130">_xlfn.IFERROR(ISNUMBER(SEARCH("Razonar",$R130))/(ISNUMBER(SEARCH("Conocer",$R130))+ISNUMBER(SEARCH("Aplicar",$R130))+ISNUMBER(SEARCH("Razonar",$R130))),0)</f>
        <v>0</v>
      </c>
      <c r="V130" t="s" s="35">
        <v>74</v>
      </c>
      <c r="W130" t="s" s="35">
        <v>112</v>
      </c>
      <c r="X130" s="36" cm="1">
        <f t="array" ref="X130">IF(OR(_xlfn.IFERROR(INDEX('Datos - Catálogo TIMSS'!$I$5:$I$107,MATCH(K130,'Datos - Catálogo TIMSS'!$A$5:$A$107,0)),"No")="Sí",_xlfn.IFERROR(INDEX('Datos - Catálogo TIMSS'!$I$5:$I$107,MATCH(L130,'Datos - Catálogo TIMSS'!$A$5:$A$107,0)),"No")="Sí"),1,0)</f>
        <v>0</v>
      </c>
      <c r="Y130" s="36" cm="1">
        <f t="array" ref="Y130">IF(_xlfn.IFERROR(INDEX('Datos - Catálogo TIMSS'!$J$5:$J$107,MATCH(K130,'Datos - Catálogo TIMSS'!$A$5:$A$107,0)),"No")="Sí",1,0)</f>
        <v>0</v>
      </c>
      <c r="Z130" s="36" cm="1">
        <f t="array" ref="Z130">IF(_xlfn.IFERROR(INDEX('Datos - Catálogo TIMSS'!$J$5:$J$107,MATCH(L130,'Datos - Catálogo TIMSS'!$A$5:$A$107,0)),"No")="Sí",1,0)</f>
        <v>0</v>
      </c>
      <c r="AA130" t="s" s="35">
        <v>2052</v>
      </c>
      <c r="AB130" s="39"/>
      <c r="AC130" t="str" s="39">
        <v>Ciencias de la vida</v>
      </c>
      <c r="AD130" t="s" s="35">
        <v>1859</v>
      </c>
      <c r="AE130" t="str" s="39" cm="1">
        <f t="array" ref="AE130">IF(AD130="","",IF(LEFT(AD130,1)="1","C1",IF(LEFT(AD130,1)="2","C2",IF(LEFT(AD130,1)="3","C3",""))))</f>
        <v>C1</v>
      </c>
      <c r="AF130" t="s" s="35">
        <v>1602</v>
      </c>
      <c r="AG130" t="s" s="35">
        <v>1617</v>
      </c>
      <c r="AH130" t="s" s="35">
        <v>1602</v>
      </c>
      <c r="AI130" t="s" s="35">
        <v>1623</v>
      </c>
      <c r="AJ130" t="s" s="35">
        <v>1602</v>
      </c>
      <c r="AK130" s="39"/>
      <c r="AL130" s="39"/>
      <c r="AM130" s="39"/>
      <c r="AN130" s="39"/>
      <c r="AO130" s="39"/>
      <c r="AP130" s="39"/>
      <c r="AQ130" s="39"/>
      <c r="AR130" s="39"/>
      <c r="AS130" s="39"/>
      <c r="AT130" s="39"/>
      <c r="AU130" s="39"/>
      <c r="AV130" s="39"/>
      <c r="AW130" t="str" s="39" cm="1">
        <f t="array" ref="AW130">AF130&amp;"; "&amp;AG130&amp;"; "&amp;AH130&amp;"; "&amp;AI130&amp;"; "&amp;AJ130</f>
        <v>E1; D1; E1; D4; E1</v>
      </c>
    </row>
    <row r="131" ht="13.65" customHeight="1">
      <c r="A131" t="s" s="35">
        <v>2470</v>
      </c>
      <c r="B131" s="36">
        <v>3</v>
      </c>
      <c r="C131" t="s" s="35">
        <v>1823</v>
      </c>
      <c r="D131" t="s" s="35">
        <v>2218</v>
      </c>
      <c r="E131" t="s" s="35">
        <v>2424</v>
      </c>
      <c r="F131" s="36">
        <v>15</v>
      </c>
      <c r="G131" t="s" s="35">
        <v>250</v>
      </c>
      <c r="H131" t="s" s="35">
        <v>2467</v>
      </c>
      <c r="I131" t="s" s="120">
        <v>2471</v>
      </c>
      <c r="J131" t="s" s="35">
        <v>1055</v>
      </c>
      <c r="K131" t="s" s="35">
        <v>388</v>
      </c>
      <c r="L131" s="39"/>
      <c r="M131" t="str" s="39">
        <v>Biología</v>
      </c>
      <c r="N131" t="str" s="39">
        <v>Características y procesos vitales de los organismos</v>
      </c>
      <c r="O131" t="str" s="39" cm="1">
        <f t="array" ref="O131">IF(L131="","",_xlfn.IFERROR(INDEX('Datos - Catálogo TIMSS'!$C$5:$C$107,MATCH(L131,'Datos - Catálogo TIMSS'!$A$5:$A$107,0)),"?"))</f>
      </c>
      <c r="P131" t="s" s="35">
        <v>254</v>
      </c>
      <c r="Q131" t="s" s="120">
        <v>2472</v>
      </c>
      <c r="R131" t="s" s="120">
        <v>2473</v>
      </c>
      <c r="S131" s="121" cm="1">
        <f t="array" ref="S131">_xlfn.IFERROR(ISNUMBER(SEARCH("Conocer",$R131))/(ISNUMBER(SEARCH("Conocer",$R131))+ISNUMBER(SEARCH("Aplicar",$R131))+ISNUMBER(SEARCH("Razonar",$R131))),0)</f>
        <v>0</v>
      </c>
      <c r="T131" s="121" cm="1">
        <f t="array" ref="T131">_xlfn.IFERROR(ISNUMBER(SEARCH("Aplicar",$R131))/(ISNUMBER(SEARCH("Conocer",$R131))+ISNUMBER(SEARCH("Aplicar",$R131))+ISNUMBER(SEARCH("Razonar",$R131))),0)</f>
        <v>0.5</v>
      </c>
      <c r="U131" s="121" cm="1">
        <f t="array" ref="U131">_xlfn.IFERROR(ISNUMBER(SEARCH("Razonar",$R131))/(ISNUMBER(SEARCH("Conocer",$R131))+ISNUMBER(SEARCH("Aplicar",$R131))+ISNUMBER(SEARCH("Razonar",$R131))),0)</f>
        <v>0.5</v>
      </c>
      <c r="V131" t="s" s="35">
        <v>74</v>
      </c>
      <c r="W131" t="s" s="35">
        <v>112</v>
      </c>
      <c r="X131" s="36" cm="1">
        <f t="array" ref="X131">IF(OR(_xlfn.IFERROR(INDEX('Datos - Catálogo TIMSS'!$I$5:$I$107,MATCH(K131,'Datos - Catálogo TIMSS'!$A$5:$A$107,0)),"No")="Sí",_xlfn.IFERROR(INDEX('Datos - Catálogo TIMSS'!$I$5:$I$107,MATCH(L131,'Datos - Catálogo TIMSS'!$A$5:$A$107,0)),"No")="Sí"),1,0)</f>
        <v>0</v>
      </c>
      <c r="Y131" s="36" cm="1">
        <f t="array" ref="Y131">IF(_xlfn.IFERROR(INDEX('Datos - Catálogo TIMSS'!$J$5:$J$107,MATCH(K131,'Datos - Catálogo TIMSS'!$A$5:$A$107,0)),"No")="Sí",1,0)</f>
        <v>0</v>
      </c>
      <c r="Z131" s="36" cm="1">
        <f t="array" ref="Z131">IF(_xlfn.IFERROR(INDEX('Datos - Catálogo TIMSS'!$J$5:$J$107,MATCH(L131,'Datos - Catálogo TIMSS'!$A$5:$A$107,0)),"No")="Sí",1,0)</f>
        <v>0</v>
      </c>
      <c r="AA131" t="s" s="35">
        <v>2052</v>
      </c>
      <c r="AB131" s="39"/>
      <c r="AC131" t="str" s="39">
        <v>Ciencias de la vida</v>
      </c>
      <c r="AD131" t="s" s="35">
        <v>1900</v>
      </c>
      <c r="AE131" t="str" s="39" cm="1">
        <f t="array" ref="AE131">IF(AD131="","",IF(LEFT(AD131,1)="1","C1",IF(LEFT(AD131,1)="2","C2",IF(LEFT(AD131,1)="3","C3",""))))</f>
        <v>C3</v>
      </c>
      <c r="AF131" t="s" s="35">
        <v>1615</v>
      </c>
      <c r="AG131" t="s" s="35">
        <v>1617</v>
      </c>
      <c r="AH131" t="s" s="35">
        <v>1605</v>
      </c>
      <c r="AI131" t="s" s="35">
        <v>1625</v>
      </c>
      <c r="AJ131" t="s" s="35">
        <v>1633</v>
      </c>
      <c r="AK131" s="39"/>
      <c r="AL131" s="39"/>
      <c r="AM131" s="39"/>
      <c r="AN131" s="39"/>
      <c r="AO131" s="39"/>
      <c r="AP131" s="39"/>
      <c r="AQ131" s="39"/>
      <c r="AR131" s="39"/>
      <c r="AS131" s="39"/>
      <c r="AT131" s="39"/>
      <c r="AU131" s="39"/>
      <c r="AV131" s="39"/>
      <c r="AW131" t="str" s="39" cm="1">
        <f t="array" ref="AW131">AF131&amp;"; "&amp;AG131&amp;"; "&amp;AH131&amp;"; "&amp;AI131&amp;"; "&amp;AJ131</f>
        <v>E6; D1; E2; I1; I5</v>
      </c>
    </row>
    <row r="132" ht="13.65" customHeight="1">
      <c r="A132" t="s" s="35">
        <v>2474</v>
      </c>
      <c r="B132" s="36">
        <v>3</v>
      </c>
      <c r="C132" t="s" s="35">
        <v>1823</v>
      </c>
      <c r="D132" t="s" s="35">
        <v>2218</v>
      </c>
      <c r="E132" t="s" s="35">
        <v>2475</v>
      </c>
      <c r="F132" s="36">
        <v>3</v>
      </c>
      <c r="G132" t="s" s="35">
        <v>2476</v>
      </c>
      <c r="H132" t="s" s="35">
        <v>2477</v>
      </c>
      <c r="I132" t="s" s="120">
        <v>2478</v>
      </c>
      <c r="J132" t="s" s="35">
        <v>1055</v>
      </c>
      <c r="K132" t="s" s="35">
        <v>1093</v>
      </c>
      <c r="L132" s="39"/>
      <c r="M132" t="str" s="39">
        <v>Biología</v>
      </c>
      <c r="N132" t="str" s="39">
        <v>Salud humana</v>
      </c>
      <c r="O132" t="str" s="39" cm="1">
        <f t="array" ref="O132">IF(L132="","",_xlfn.IFERROR(INDEX('Datos - Catálogo TIMSS'!$C$5:$C$107,MATCH(L132,'Datos - Catálogo TIMSS'!$A$5:$A$107,0)),"?"))</f>
      </c>
      <c r="P132" t="s" s="35">
        <v>254</v>
      </c>
      <c r="Q132" t="s" s="120">
        <v>2479</v>
      </c>
      <c r="R132" t="s" s="120">
        <v>2268</v>
      </c>
      <c r="S132" s="121" cm="1">
        <f t="array" ref="S132">_xlfn.IFERROR(ISNUMBER(SEARCH("Conocer",$R132))/(ISNUMBER(SEARCH("Conocer",$R132))+ISNUMBER(SEARCH("Aplicar",$R132))+ISNUMBER(SEARCH("Razonar",$R132))),0)</f>
        <v>0.5</v>
      </c>
      <c r="T132" s="121" cm="1">
        <f t="array" ref="T132">_xlfn.IFERROR(ISNUMBER(SEARCH("Aplicar",$R132))/(ISNUMBER(SEARCH("Conocer",$R132))+ISNUMBER(SEARCH("Aplicar",$R132))+ISNUMBER(SEARCH("Razonar",$R132))),0)</f>
        <v>0.5</v>
      </c>
      <c r="U132" s="121" cm="1">
        <f t="array" ref="U132">_xlfn.IFERROR(ISNUMBER(SEARCH("Razonar",$R132))/(ISNUMBER(SEARCH("Conocer",$R132))+ISNUMBER(SEARCH("Aplicar",$R132))+ISNUMBER(SEARCH("Razonar",$R132))),0)</f>
        <v>0</v>
      </c>
      <c r="V132" t="s" s="35">
        <v>74</v>
      </c>
      <c r="W132" t="s" s="35">
        <v>112</v>
      </c>
      <c r="X132" s="36" cm="1">
        <f t="array" ref="X132">IF(OR(_xlfn.IFERROR(INDEX('Datos - Catálogo TIMSS'!$I$5:$I$107,MATCH(K132,'Datos - Catálogo TIMSS'!$A$5:$A$107,0)),"No")="Sí",_xlfn.IFERROR(INDEX('Datos - Catálogo TIMSS'!$I$5:$I$107,MATCH(L132,'Datos - Catálogo TIMSS'!$A$5:$A$107,0)),"No")="Sí"),1,0)</f>
        <v>0</v>
      </c>
      <c r="Y132" s="36" cm="1">
        <f t="array" ref="Y132">IF(_xlfn.IFERROR(INDEX('Datos - Catálogo TIMSS'!$J$5:$J$107,MATCH(K132,'Datos - Catálogo TIMSS'!$A$5:$A$107,0)),"No")="Sí",1,0)</f>
        <v>0</v>
      </c>
      <c r="Z132" s="36" cm="1">
        <f t="array" ref="Z132">IF(_xlfn.IFERROR(INDEX('Datos - Catálogo TIMSS'!$J$5:$J$107,MATCH(L132,'Datos - Catálogo TIMSS'!$A$5:$A$107,0)),"No")="Sí",1,0)</f>
        <v>0</v>
      </c>
      <c r="AA132" t="s" s="35">
        <v>2110</v>
      </c>
      <c r="AB132" s="39"/>
      <c r="AC132" t="str" s="39">
        <v>Ciencias de la vida</v>
      </c>
      <c r="AD132" t="s" s="35">
        <v>1859</v>
      </c>
      <c r="AE132" t="str" s="39" cm="1">
        <f t="array" ref="AE132">IF(AD132="","",IF(LEFT(AD132,1)="1","C1",IF(LEFT(AD132,1)="2","C2",IF(LEFT(AD132,1)="3","C3",""))))</f>
        <v>C1</v>
      </c>
      <c r="AF132" t="s" s="35">
        <v>1602</v>
      </c>
      <c r="AG132" t="s" s="35">
        <v>1612</v>
      </c>
      <c r="AH132" t="s" s="35">
        <v>1602</v>
      </c>
      <c r="AI132" t="s" s="35">
        <v>1627</v>
      </c>
      <c r="AJ132" t="s" s="35">
        <v>1615</v>
      </c>
      <c r="AK132" s="39"/>
      <c r="AL132" s="39"/>
      <c r="AM132" s="39"/>
      <c r="AN132" s="39"/>
      <c r="AO132" s="39"/>
      <c r="AP132" s="39"/>
      <c r="AQ132" s="39"/>
      <c r="AR132" s="39"/>
      <c r="AS132" s="39"/>
      <c r="AT132" s="39"/>
      <c r="AU132" s="39"/>
      <c r="AV132" s="39"/>
      <c r="AW132" t="str" s="39" cm="1">
        <f t="array" ref="AW132">AF132&amp;"; "&amp;AG132&amp;"; "&amp;AH132&amp;"; "&amp;AI132&amp;"; "&amp;AJ132</f>
        <v>E1; E5; E1; I2; E6</v>
      </c>
    </row>
    <row r="133" ht="13.65" customHeight="1">
      <c r="A133" t="s" s="35">
        <v>2481</v>
      </c>
      <c r="B133" s="36">
        <v>3</v>
      </c>
      <c r="C133" t="s" s="35">
        <v>1823</v>
      </c>
      <c r="D133" t="s" s="35">
        <v>2218</v>
      </c>
      <c r="E133" t="s" s="35">
        <v>2475</v>
      </c>
      <c r="F133" s="36">
        <v>4</v>
      </c>
      <c r="G133" t="s" s="35">
        <v>2476</v>
      </c>
      <c r="H133" t="s" s="35">
        <v>2477</v>
      </c>
      <c r="I133" t="s" s="120">
        <v>2482</v>
      </c>
      <c r="J133" t="s" s="35">
        <v>1055</v>
      </c>
      <c r="K133" t="s" s="35">
        <v>1093</v>
      </c>
      <c r="L133" t="s" s="35">
        <v>1099</v>
      </c>
      <c r="M133" t="str" s="39">
        <v>Biología</v>
      </c>
      <c r="N133" t="str" s="39">
        <v>Salud humana</v>
      </c>
      <c r="O133" t="str" s="39" cm="1">
        <f t="array" ref="O133">IF(L133="","",_xlfn.IFERROR(INDEX('Datos - Catálogo TIMSS'!$C$5:$C$107,MATCH(L133,'Datos - Catálogo TIMSS'!$A$5:$A$107,0)),"?"))</f>
        <v>Biología</v>
      </c>
      <c r="P133" t="s" s="35">
        <v>291</v>
      </c>
      <c r="Q133" t="s" s="120">
        <v>2483</v>
      </c>
      <c r="R133" t="s" s="120">
        <v>2456</v>
      </c>
      <c r="S133" s="121" cm="1">
        <f t="array" ref="S133">_xlfn.IFERROR(ISNUMBER(SEARCH("Conocer",$R133))/(ISNUMBER(SEARCH("Conocer",$R133))+ISNUMBER(SEARCH("Aplicar",$R133))+ISNUMBER(SEARCH("Razonar",$R133))),0)</f>
        <v>0</v>
      </c>
      <c r="T133" s="121" cm="1">
        <f t="array" ref="T133">_xlfn.IFERROR(ISNUMBER(SEARCH("Aplicar",$R133))/(ISNUMBER(SEARCH("Conocer",$R133))+ISNUMBER(SEARCH("Aplicar",$R133))+ISNUMBER(SEARCH("Razonar",$R133))),0)</f>
        <v>1</v>
      </c>
      <c r="U133" s="121" cm="1">
        <f t="array" ref="U133">_xlfn.IFERROR(ISNUMBER(SEARCH("Razonar",$R133))/(ISNUMBER(SEARCH("Conocer",$R133))+ISNUMBER(SEARCH("Aplicar",$R133))+ISNUMBER(SEARCH("Razonar",$R133))),0)</f>
        <v>0</v>
      </c>
      <c r="V133" t="s" s="35">
        <v>74</v>
      </c>
      <c r="W133" t="s" s="35">
        <v>112</v>
      </c>
      <c r="X133" s="36" cm="1">
        <f t="array" ref="X133">IF(OR(_xlfn.IFERROR(INDEX('Datos - Catálogo TIMSS'!$I$5:$I$107,MATCH(K133,'Datos - Catálogo TIMSS'!$A$5:$A$107,0)),"No")="Sí",_xlfn.IFERROR(INDEX('Datos - Catálogo TIMSS'!$I$5:$I$107,MATCH(L133,'Datos - Catálogo TIMSS'!$A$5:$A$107,0)),"No")="Sí"),1,0)</f>
        <v>0</v>
      </c>
      <c r="Y133" s="36" cm="1">
        <f t="array" ref="Y133">IF(_xlfn.IFERROR(INDEX('Datos - Catálogo TIMSS'!$J$5:$J$107,MATCH(K133,'Datos - Catálogo TIMSS'!$A$5:$A$107,0)),"No")="Sí",1,0)</f>
        <v>0</v>
      </c>
      <c r="Z133" s="36" cm="1">
        <f t="array" ref="Z133">IF(_xlfn.IFERROR(INDEX('Datos - Catálogo TIMSS'!$J$5:$J$107,MATCH(L133,'Datos - Catálogo TIMSS'!$A$5:$A$107,0)),"No")="Sí",1,0)</f>
        <v>1</v>
      </c>
      <c r="AA133" t="s" s="35">
        <v>2110</v>
      </c>
      <c r="AB133" s="39"/>
      <c r="AC133" t="str" s="39">
        <v>Ciencias de la vida</v>
      </c>
      <c r="AD133" t="s" s="35">
        <v>1834</v>
      </c>
      <c r="AE133" t="str" s="39" cm="1">
        <f t="array" ref="AE133">IF(AD133="","",IF(LEFT(AD133,1)="1","C1",IF(LEFT(AD133,1)="2","C2",IF(LEFT(AD133,1)="3","C3",""))))</f>
        <v>C2</v>
      </c>
      <c r="AF133" t="s" s="35">
        <v>1602</v>
      </c>
      <c r="AG133" t="s" s="35">
        <v>1607</v>
      </c>
      <c r="AH133" t="s" s="35">
        <v>1602</v>
      </c>
      <c r="AI133" t="s" s="35">
        <v>1623</v>
      </c>
      <c r="AJ133" t="s" s="35">
        <v>1602</v>
      </c>
      <c r="AK133" s="39"/>
      <c r="AL133" s="39"/>
      <c r="AM133" s="39"/>
      <c r="AN133" s="39"/>
      <c r="AO133" s="39"/>
      <c r="AP133" s="39"/>
      <c r="AQ133" s="39"/>
      <c r="AR133" s="39"/>
      <c r="AS133" s="39"/>
      <c r="AT133" s="39"/>
      <c r="AU133" s="39"/>
      <c r="AV133" s="39"/>
      <c r="AW133" t="str" s="39" cm="1">
        <f t="array" ref="AW133">AF133&amp;"; "&amp;AG133&amp;"; "&amp;AH133&amp;"; "&amp;AI133&amp;"; "&amp;AJ133</f>
        <v>E1; E3; E1; D4; E1</v>
      </c>
    </row>
    <row r="134" ht="13.65" customHeight="1">
      <c r="A134" t="s" s="35">
        <v>2484</v>
      </c>
      <c r="B134" s="36">
        <v>3</v>
      </c>
      <c r="C134" t="s" s="35">
        <v>1823</v>
      </c>
      <c r="D134" t="s" s="35">
        <v>2218</v>
      </c>
      <c r="E134" t="s" s="35">
        <v>2475</v>
      </c>
      <c r="F134" s="36">
        <v>5</v>
      </c>
      <c r="G134" t="s" s="35">
        <v>2476</v>
      </c>
      <c r="H134" t="s" s="35">
        <v>2477</v>
      </c>
      <c r="I134" t="s" s="120">
        <v>2485</v>
      </c>
      <c r="J134" t="s" s="35">
        <v>1055</v>
      </c>
      <c r="K134" t="s" s="35">
        <v>1093</v>
      </c>
      <c r="L134" s="39"/>
      <c r="M134" t="str" s="39">
        <v>Biología</v>
      </c>
      <c r="N134" t="str" s="39">
        <v>Salud humana</v>
      </c>
      <c r="O134" t="str" s="39" cm="1">
        <f t="array" ref="O134">IF(L134="","",_xlfn.IFERROR(INDEX('Datos - Catálogo TIMSS'!$C$5:$C$107,MATCH(L134,'Datos - Catálogo TIMSS'!$A$5:$A$107,0)),"?"))</f>
      </c>
      <c r="P134" t="s" s="35">
        <v>282</v>
      </c>
      <c r="Q134" t="s" s="120">
        <v>2486</v>
      </c>
      <c r="R134" t="s" s="120">
        <v>2131</v>
      </c>
      <c r="S134" s="121" cm="1">
        <f t="array" ref="S134">_xlfn.IFERROR(ISNUMBER(SEARCH("Conocer",$R134))/(ISNUMBER(SEARCH("Conocer",$R134))+ISNUMBER(SEARCH("Aplicar",$R134))+ISNUMBER(SEARCH("Razonar",$R134))),0)</f>
        <v>0</v>
      </c>
      <c r="T134" s="121" cm="1">
        <f t="array" ref="T134">_xlfn.IFERROR(ISNUMBER(SEARCH("Aplicar",$R134))/(ISNUMBER(SEARCH("Conocer",$R134))+ISNUMBER(SEARCH("Aplicar",$R134))+ISNUMBER(SEARCH("Razonar",$R134))),0)</f>
        <v>1</v>
      </c>
      <c r="U134" s="121" cm="1">
        <f t="array" ref="U134">_xlfn.IFERROR(ISNUMBER(SEARCH("Razonar",$R134))/(ISNUMBER(SEARCH("Conocer",$R134))+ISNUMBER(SEARCH("Aplicar",$R134))+ISNUMBER(SEARCH("Razonar",$R134))),0)</f>
        <v>0</v>
      </c>
      <c r="V134" t="s" s="35">
        <v>74</v>
      </c>
      <c r="W134" t="s" s="35">
        <v>112</v>
      </c>
      <c r="X134" s="36" cm="1">
        <f t="array" ref="X134">IF(OR(_xlfn.IFERROR(INDEX('Datos - Catálogo TIMSS'!$I$5:$I$107,MATCH(K134,'Datos - Catálogo TIMSS'!$A$5:$A$107,0)),"No")="Sí",_xlfn.IFERROR(INDEX('Datos - Catálogo TIMSS'!$I$5:$I$107,MATCH(L134,'Datos - Catálogo TIMSS'!$A$5:$A$107,0)),"No")="Sí"),1,0)</f>
        <v>0</v>
      </c>
      <c r="Y134" s="36" cm="1">
        <f t="array" ref="Y134">IF(_xlfn.IFERROR(INDEX('Datos - Catálogo TIMSS'!$J$5:$J$107,MATCH(K134,'Datos - Catálogo TIMSS'!$A$5:$A$107,0)),"No")="Sí",1,0)</f>
        <v>0</v>
      </c>
      <c r="Z134" s="36" cm="1">
        <f t="array" ref="Z134">IF(_xlfn.IFERROR(INDEX('Datos - Catálogo TIMSS'!$J$5:$J$107,MATCH(L134,'Datos - Catálogo TIMSS'!$A$5:$A$107,0)),"No")="Sí",1,0)</f>
        <v>0</v>
      </c>
      <c r="AA134" t="s" s="35">
        <v>2110</v>
      </c>
      <c r="AB134" s="39"/>
      <c r="AC134" t="str" s="39">
        <v>Ciencias de la vida</v>
      </c>
      <c r="AD134" t="s" s="35">
        <v>1859</v>
      </c>
      <c r="AE134" t="str" s="39" cm="1">
        <f t="array" ref="AE134">IF(AD134="","",IF(LEFT(AD134,1)="1","C1",IF(LEFT(AD134,1)="2","C2",IF(LEFT(AD134,1)="3","C3",""))))</f>
        <v>C1</v>
      </c>
      <c r="AF134" t="s" s="35">
        <v>1602</v>
      </c>
      <c r="AG134" t="s" s="35">
        <v>1617</v>
      </c>
      <c r="AH134" t="s" s="35">
        <v>1609</v>
      </c>
      <c r="AI134" t="s" s="35">
        <v>1609</v>
      </c>
      <c r="AJ134" t="s" s="35">
        <v>1615</v>
      </c>
      <c r="AK134" s="39"/>
      <c r="AL134" s="39"/>
      <c r="AM134" s="39"/>
      <c r="AN134" s="39"/>
      <c r="AO134" s="39"/>
      <c r="AP134" s="39"/>
      <c r="AQ134" s="39"/>
      <c r="AR134" s="39"/>
      <c r="AS134" s="39"/>
      <c r="AT134" s="39"/>
      <c r="AU134" s="39"/>
      <c r="AV134" s="39"/>
      <c r="AW134" t="str" s="39" cm="1">
        <f t="array" ref="AW134">AF134&amp;"; "&amp;AG134&amp;"; "&amp;AH134&amp;"; "&amp;AI134&amp;"; "&amp;AJ134</f>
        <v>E1; D1; E4; E4; E6</v>
      </c>
    </row>
    <row r="135" ht="13.65" customHeight="1">
      <c r="A135" t="s" s="35">
        <v>2488</v>
      </c>
      <c r="B135" s="36">
        <v>3</v>
      </c>
      <c r="C135" t="s" s="35">
        <v>1823</v>
      </c>
      <c r="D135" t="s" s="35">
        <v>2218</v>
      </c>
      <c r="E135" t="s" s="35">
        <v>2475</v>
      </c>
      <c r="F135" s="36">
        <v>6</v>
      </c>
      <c r="G135" t="s" s="35">
        <v>2476</v>
      </c>
      <c r="H135" t="s" s="35">
        <v>2477</v>
      </c>
      <c r="I135" t="s" s="120">
        <v>2489</v>
      </c>
      <c r="J135" t="s" s="35">
        <v>1055</v>
      </c>
      <c r="K135" t="s" s="35">
        <v>1093</v>
      </c>
      <c r="L135" t="s" s="35">
        <v>1099</v>
      </c>
      <c r="M135" t="str" s="39">
        <v>Biología</v>
      </c>
      <c r="N135" t="str" s="39">
        <v>Salud humana</v>
      </c>
      <c r="O135" t="str" s="39" cm="1">
        <f t="array" ref="O135">IF(L135="","",_xlfn.IFERROR(INDEX('Datos - Catálogo TIMSS'!$C$5:$C$107,MATCH(L135,'Datos - Catálogo TIMSS'!$A$5:$A$107,0)),"?"))</f>
        <v>Biología</v>
      </c>
      <c r="P135" t="s" s="35">
        <v>254</v>
      </c>
      <c r="Q135" t="s" s="120">
        <v>2490</v>
      </c>
      <c r="R135" t="s" s="120">
        <v>2491</v>
      </c>
      <c r="S135" s="121" cm="1">
        <f t="array" ref="S135">_xlfn.IFERROR(ISNUMBER(SEARCH("Conocer",$R135))/(ISNUMBER(SEARCH("Conocer",$R135))+ISNUMBER(SEARCH("Aplicar",$R135))+ISNUMBER(SEARCH("Razonar",$R135))),0)</f>
        <v>0</v>
      </c>
      <c r="T135" s="121" cm="1">
        <f t="array" ref="T135">_xlfn.IFERROR(ISNUMBER(SEARCH("Aplicar",$R135))/(ISNUMBER(SEARCH("Conocer",$R135))+ISNUMBER(SEARCH("Aplicar",$R135))+ISNUMBER(SEARCH("Razonar",$R135))),0)</f>
        <v>0.5</v>
      </c>
      <c r="U135" s="121" cm="1">
        <f t="array" ref="U135">_xlfn.IFERROR(ISNUMBER(SEARCH("Razonar",$R135))/(ISNUMBER(SEARCH("Conocer",$R135))+ISNUMBER(SEARCH("Aplicar",$R135))+ISNUMBER(SEARCH("Razonar",$R135))),0)</f>
        <v>0.5</v>
      </c>
      <c r="V135" t="s" s="35">
        <v>74</v>
      </c>
      <c r="W135" t="s" s="35">
        <v>112</v>
      </c>
      <c r="X135" s="36" cm="1">
        <f t="array" ref="X135">IF(OR(_xlfn.IFERROR(INDEX('Datos - Catálogo TIMSS'!$I$5:$I$107,MATCH(K135,'Datos - Catálogo TIMSS'!$A$5:$A$107,0)),"No")="Sí",_xlfn.IFERROR(INDEX('Datos - Catálogo TIMSS'!$I$5:$I$107,MATCH(L135,'Datos - Catálogo TIMSS'!$A$5:$A$107,0)),"No")="Sí"),1,0)</f>
        <v>0</v>
      </c>
      <c r="Y135" s="36" cm="1">
        <f t="array" ref="Y135">IF(_xlfn.IFERROR(INDEX('Datos - Catálogo TIMSS'!$J$5:$J$107,MATCH(K135,'Datos - Catálogo TIMSS'!$A$5:$A$107,0)),"No")="Sí",1,0)</f>
        <v>0</v>
      </c>
      <c r="Z135" s="36" cm="1">
        <f t="array" ref="Z135">IF(_xlfn.IFERROR(INDEX('Datos - Catálogo TIMSS'!$J$5:$J$107,MATCH(L135,'Datos - Catálogo TIMSS'!$A$5:$A$107,0)),"No")="Sí",1,0)</f>
        <v>1</v>
      </c>
      <c r="AA135" t="s" s="35">
        <v>2110</v>
      </c>
      <c r="AB135" s="39"/>
      <c r="AC135" t="str" s="39">
        <v>Ciencias de la vida</v>
      </c>
      <c r="AD135" t="s" s="35">
        <v>1900</v>
      </c>
      <c r="AE135" t="str" s="39" cm="1">
        <f t="array" ref="AE135">IF(AD135="","",IF(LEFT(AD135,1)="1","C1",IF(LEFT(AD135,1)="2","C2",IF(LEFT(AD135,1)="3","C3",""))))</f>
        <v>C3</v>
      </c>
      <c r="AF135" t="s" s="35">
        <v>1602</v>
      </c>
      <c r="AG135" t="s" s="35">
        <v>1617</v>
      </c>
      <c r="AH135" t="s" s="35">
        <v>1602</v>
      </c>
      <c r="AI135" t="s" s="35">
        <v>1623</v>
      </c>
      <c r="AJ135" t="s" s="35">
        <v>1633</v>
      </c>
      <c r="AK135" s="39"/>
      <c r="AL135" s="39"/>
      <c r="AM135" s="39"/>
      <c r="AN135" s="39"/>
      <c r="AO135" s="39"/>
      <c r="AP135" s="39"/>
      <c r="AQ135" s="39"/>
      <c r="AR135" s="39"/>
      <c r="AS135" s="39"/>
      <c r="AT135" s="39"/>
      <c r="AU135" s="39"/>
      <c r="AV135" s="39"/>
      <c r="AW135" t="str" s="39" cm="1">
        <f t="array" ref="AW135">AF135&amp;"; "&amp;AG135&amp;"; "&amp;AH135&amp;"; "&amp;AI135&amp;"; "&amp;AJ135</f>
        <v>E1; D1; E1; D4; I5</v>
      </c>
    </row>
    <row r="136" ht="13.65" customHeight="1">
      <c r="A136" t="s" s="35">
        <v>2492</v>
      </c>
      <c r="B136" s="36">
        <v>3</v>
      </c>
      <c r="C136" t="s" s="35">
        <v>1823</v>
      </c>
      <c r="D136" t="s" s="35">
        <v>2218</v>
      </c>
      <c r="E136" t="s" s="35">
        <v>2475</v>
      </c>
      <c r="F136" s="36">
        <v>7</v>
      </c>
      <c r="G136" t="s" s="35">
        <v>2476</v>
      </c>
      <c r="H136" t="s" s="35">
        <v>2493</v>
      </c>
      <c r="I136" t="s" s="120">
        <v>2494</v>
      </c>
      <c r="J136" t="s" s="35">
        <v>1055</v>
      </c>
      <c r="K136" t="s" s="35">
        <v>427</v>
      </c>
      <c r="L136" t="s" s="35">
        <v>1099</v>
      </c>
      <c r="M136" t="str" s="39">
        <v>Biología</v>
      </c>
      <c r="N136" t="str" s="39">
        <v>Características y procesos vitales de los organismos</v>
      </c>
      <c r="O136" t="str" s="39" cm="1">
        <f t="array" ref="O136">IF(L136="","",_xlfn.IFERROR(INDEX('Datos - Catálogo TIMSS'!$C$5:$C$107,MATCH(L136,'Datos - Catálogo TIMSS'!$A$5:$A$107,0)),"?"))</f>
        <v>Biología</v>
      </c>
      <c r="P136" t="s" s="35">
        <v>291</v>
      </c>
      <c r="Q136" t="s" s="120">
        <v>2495</v>
      </c>
      <c r="R136" t="s" s="120">
        <v>2346</v>
      </c>
      <c r="S136" s="121" cm="1">
        <f t="array" ref="S136">_xlfn.IFERROR(ISNUMBER(SEARCH("Conocer",$R136))/(ISNUMBER(SEARCH("Conocer",$R136))+ISNUMBER(SEARCH("Aplicar",$R136))+ISNUMBER(SEARCH("Razonar",$R136))),0)</f>
        <v>0</v>
      </c>
      <c r="T136" s="121" cm="1">
        <f t="array" ref="T136">_xlfn.IFERROR(ISNUMBER(SEARCH("Aplicar",$R136))/(ISNUMBER(SEARCH("Conocer",$R136))+ISNUMBER(SEARCH("Aplicar",$R136))+ISNUMBER(SEARCH("Razonar",$R136))),0)</f>
        <v>0</v>
      </c>
      <c r="U136" s="121" cm="1">
        <f t="array" ref="U136">_xlfn.IFERROR(ISNUMBER(SEARCH("Razonar",$R136))/(ISNUMBER(SEARCH("Conocer",$R136))+ISNUMBER(SEARCH("Aplicar",$R136))+ISNUMBER(SEARCH("Razonar",$R136))),0)</f>
        <v>1</v>
      </c>
      <c r="V136" t="s" s="35">
        <v>74</v>
      </c>
      <c r="W136" t="s" s="35">
        <v>112</v>
      </c>
      <c r="X136" s="36" cm="1">
        <f t="array" ref="X136">IF(OR(_xlfn.IFERROR(INDEX('Datos - Catálogo TIMSS'!$I$5:$I$107,MATCH(K136,'Datos - Catálogo TIMSS'!$A$5:$A$107,0)),"No")="Sí",_xlfn.IFERROR(INDEX('Datos - Catálogo TIMSS'!$I$5:$I$107,MATCH(L136,'Datos - Catálogo TIMSS'!$A$5:$A$107,0)),"No")="Sí"),1,0)</f>
        <v>1</v>
      </c>
      <c r="Y136" s="36" cm="1">
        <f t="array" ref="Y136">IF(_xlfn.IFERROR(INDEX('Datos - Catálogo TIMSS'!$J$5:$J$107,MATCH(K136,'Datos - Catálogo TIMSS'!$A$5:$A$107,0)),"No")="Sí",1,0)</f>
        <v>0</v>
      </c>
      <c r="Z136" s="36" cm="1">
        <f t="array" ref="Z136">IF(_xlfn.IFERROR(INDEX('Datos - Catálogo TIMSS'!$J$5:$J$107,MATCH(L136,'Datos - Catálogo TIMSS'!$A$5:$A$107,0)),"No")="Sí",1,0)</f>
        <v>1</v>
      </c>
      <c r="AA136" t="s" s="35">
        <v>2023</v>
      </c>
      <c r="AB136" s="39"/>
      <c r="AC136" t="str" s="39">
        <v>Ciencias de la vida</v>
      </c>
      <c r="AD136" t="s" s="35">
        <v>1834</v>
      </c>
      <c r="AE136" t="str" s="39" cm="1">
        <f t="array" ref="AE136">IF(AD136="","",IF(LEFT(AD136,1)="1","C1",IF(LEFT(AD136,1)="2","C2",IF(LEFT(AD136,1)="3","C3",""))))</f>
        <v>C2</v>
      </c>
      <c r="AF136" t="s" s="35">
        <v>1602</v>
      </c>
      <c r="AG136" t="s" s="35">
        <v>1607</v>
      </c>
      <c r="AH136" t="s" s="35">
        <v>1602</v>
      </c>
      <c r="AI136" t="s" s="35">
        <v>1621</v>
      </c>
      <c r="AJ136" t="s" s="35">
        <v>1615</v>
      </c>
      <c r="AK136" s="39"/>
      <c r="AL136" s="39"/>
      <c r="AM136" s="39"/>
      <c r="AN136" s="39"/>
      <c r="AO136" s="39"/>
      <c r="AP136" s="39"/>
      <c r="AQ136" s="39"/>
      <c r="AR136" s="39"/>
      <c r="AS136" s="39"/>
      <c r="AT136" s="39"/>
      <c r="AU136" s="39"/>
      <c r="AV136" s="39"/>
      <c r="AW136" t="str" s="39" cm="1">
        <f t="array" ref="AW136">AF136&amp;"; "&amp;AG136&amp;"; "&amp;AH136&amp;"; "&amp;AI136&amp;"; "&amp;AJ136</f>
        <v>E1; E3; E1; D3; E6</v>
      </c>
    </row>
    <row r="137" ht="13.65" customHeight="1">
      <c r="A137" t="s" s="35">
        <v>2496</v>
      </c>
      <c r="B137" s="36">
        <v>3</v>
      </c>
      <c r="C137" t="s" s="35">
        <v>1823</v>
      </c>
      <c r="D137" t="s" s="35">
        <v>2218</v>
      </c>
      <c r="E137" t="s" s="35">
        <v>2475</v>
      </c>
      <c r="F137" s="36">
        <v>8</v>
      </c>
      <c r="G137" t="s" s="35">
        <v>2476</v>
      </c>
      <c r="H137" t="s" s="35">
        <v>2493</v>
      </c>
      <c r="I137" t="s" s="120">
        <v>2497</v>
      </c>
      <c r="J137" t="s" s="35">
        <v>1055</v>
      </c>
      <c r="K137" t="s" s="35">
        <v>388</v>
      </c>
      <c r="L137" s="39"/>
      <c r="M137" t="str" s="39">
        <v>Biología</v>
      </c>
      <c r="N137" t="str" s="39">
        <v>Características y procesos vitales de los organismos</v>
      </c>
      <c r="O137" t="str" s="39" cm="1">
        <f t="array" ref="O137">IF(L137="","",_xlfn.IFERROR(INDEX('Datos - Catálogo TIMSS'!$C$5:$C$107,MATCH(L137,'Datos - Catálogo TIMSS'!$A$5:$A$107,0)),"?"))</f>
      </c>
      <c r="P137" t="s" s="35">
        <v>282</v>
      </c>
      <c r="Q137" t="s" s="120">
        <v>2498</v>
      </c>
      <c r="R137" t="s" s="120">
        <v>1840</v>
      </c>
      <c r="S137" s="121" cm="1">
        <f t="array" ref="S137">_xlfn.IFERROR(ISNUMBER(SEARCH("Conocer",$R137))/(ISNUMBER(SEARCH("Conocer",$R137))+ISNUMBER(SEARCH("Aplicar",$R137))+ISNUMBER(SEARCH("Razonar",$R137))),0)</f>
        <v>0.5</v>
      </c>
      <c r="T137" s="121" cm="1">
        <f t="array" ref="T137">_xlfn.IFERROR(ISNUMBER(SEARCH("Aplicar",$R137))/(ISNUMBER(SEARCH("Conocer",$R137))+ISNUMBER(SEARCH("Aplicar",$R137))+ISNUMBER(SEARCH("Razonar",$R137))),0)</f>
        <v>0.5</v>
      </c>
      <c r="U137" s="121" cm="1">
        <f t="array" ref="U137">_xlfn.IFERROR(ISNUMBER(SEARCH("Razonar",$R137))/(ISNUMBER(SEARCH("Conocer",$R137))+ISNUMBER(SEARCH("Aplicar",$R137))+ISNUMBER(SEARCH("Razonar",$R137))),0)</f>
        <v>0</v>
      </c>
      <c r="V137" t="s" s="35">
        <v>74</v>
      </c>
      <c r="W137" t="s" s="35">
        <v>112</v>
      </c>
      <c r="X137" s="36" cm="1">
        <f t="array" ref="X137">IF(OR(_xlfn.IFERROR(INDEX('Datos - Catálogo TIMSS'!$I$5:$I$107,MATCH(K137,'Datos - Catálogo TIMSS'!$A$5:$A$107,0)),"No")="Sí",_xlfn.IFERROR(INDEX('Datos - Catálogo TIMSS'!$I$5:$I$107,MATCH(L137,'Datos - Catálogo TIMSS'!$A$5:$A$107,0)),"No")="Sí"),1,0)</f>
        <v>0</v>
      </c>
      <c r="Y137" s="36" cm="1">
        <f t="array" ref="Y137">IF(_xlfn.IFERROR(INDEX('Datos - Catálogo TIMSS'!$J$5:$J$107,MATCH(K137,'Datos - Catálogo TIMSS'!$A$5:$A$107,0)),"No")="Sí",1,0)</f>
        <v>0</v>
      </c>
      <c r="Z137" s="36" cm="1">
        <f t="array" ref="Z137">IF(_xlfn.IFERROR(INDEX('Datos - Catálogo TIMSS'!$J$5:$J$107,MATCH(L137,'Datos - Catálogo TIMSS'!$A$5:$A$107,0)),"No")="Sí",1,0)</f>
        <v>0</v>
      </c>
      <c r="AA137" t="s" s="35">
        <v>2052</v>
      </c>
      <c r="AB137" s="39"/>
      <c r="AC137" t="str" s="39">
        <v>Ciencias de la vida</v>
      </c>
      <c r="AD137" t="s" s="35">
        <v>1859</v>
      </c>
      <c r="AE137" t="str" s="39" cm="1">
        <f t="array" ref="AE137">IF(AD137="","",IF(LEFT(AD137,1)="1","C1",IF(LEFT(AD137,1)="2","C2",IF(LEFT(AD137,1)="3","C3",""))))</f>
        <v>C1</v>
      </c>
      <c r="AF137" t="s" s="35">
        <v>1602</v>
      </c>
      <c r="AG137" t="s" s="35">
        <v>1617</v>
      </c>
      <c r="AH137" t="s" s="35">
        <v>1602</v>
      </c>
      <c r="AI137" t="s" s="35">
        <v>1623</v>
      </c>
      <c r="AJ137" t="s" s="35">
        <v>1602</v>
      </c>
      <c r="AK137" s="39"/>
      <c r="AL137" s="39"/>
      <c r="AM137" s="39"/>
      <c r="AN137" s="39"/>
      <c r="AO137" s="39"/>
      <c r="AP137" s="39"/>
      <c r="AQ137" s="39"/>
      <c r="AR137" s="39"/>
      <c r="AS137" s="39"/>
      <c r="AT137" s="39"/>
      <c r="AU137" s="39"/>
      <c r="AV137" s="39"/>
      <c r="AW137" t="str" s="39" cm="1">
        <f t="array" ref="AW137">AF137&amp;"; "&amp;AG137&amp;"; "&amp;AH137&amp;"; "&amp;AI137&amp;"; "&amp;AJ137</f>
        <v>E1; D1; E1; D4; E1</v>
      </c>
    </row>
    <row r="138" ht="13.65" customHeight="1">
      <c r="A138" t="s" s="35">
        <v>2499</v>
      </c>
      <c r="B138" s="36">
        <v>3</v>
      </c>
      <c r="C138" t="s" s="35">
        <v>1823</v>
      </c>
      <c r="D138" t="s" s="35">
        <v>2218</v>
      </c>
      <c r="E138" t="s" s="35">
        <v>2475</v>
      </c>
      <c r="F138" s="36">
        <v>9</v>
      </c>
      <c r="G138" t="s" s="35">
        <v>2476</v>
      </c>
      <c r="H138" t="s" s="35">
        <v>2500</v>
      </c>
      <c r="I138" t="s" s="120">
        <v>2501</v>
      </c>
      <c r="J138" t="s" s="35">
        <v>1055</v>
      </c>
      <c r="K138" t="s" s="35">
        <v>1086</v>
      </c>
      <c r="L138" t="s" s="35">
        <v>1099</v>
      </c>
      <c r="M138" t="str" s="39">
        <v>Biología</v>
      </c>
      <c r="N138" t="str" s="39">
        <v>Ecosistemas</v>
      </c>
      <c r="O138" t="str" s="39" cm="1">
        <f t="array" ref="O138">IF(L138="","",_xlfn.IFERROR(INDEX('Datos - Catálogo TIMSS'!$C$5:$C$107,MATCH(L138,'Datos - Catálogo TIMSS'!$A$5:$A$107,0)),"?"))</f>
        <v>Biología</v>
      </c>
      <c r="P138" t="s" s="35">
        <v>291</v>
      </c>
      <c r="Q138" t="s" s="120">
        <v>2502</v>
      </c>
      <c r="R138" t="s" s="120">
        <v>2503</v>
      </c>
      <c r="S138" s="121" cm="1">
        <f t="array" ref="S138">_xlfn.IFERROR(ISNUMBER(SEARCH("Conocer",$R138))/(ISNUMBER(SEARCH("Conocer",$R138))+ISNUMBER(SEARCH("Aplicar",$R138))+ISNUMBER(SEARCH("Razonar",$R138))),0)</f>
        <v>0</v>
      </c>
      <c r="T138" s="121" cm="1">
        <f t="array" ref="T138">_xlfn.IFERROR(ISNUMBER(SEARCH("Aplicar",$R138))/(ISNUMBER(SEARCH("Conocer",$R138))+ISNUMBER(SEARCH("Aplicar",$R138))+ISNUMBER(SEARCH("Razonar",$R138))),0)</f>
        <v>0.5</v>
      </c>
      <c r="U138" s="121" cm="1">
        <f t="array" ref="U138">_xlfn.IFERROR(ISNUMBER(SEARCH("Razonar",$R138))/(ISNUMBER(SEARCH("Conocer",$R138))+ISNUMBER(SEARCH("Aplicar",$R138))+ISNUMBER(SEARCH("Razonar",$R138))),0)</f>
        <v>0.5</v>
      </c>
      <c r="V138" t="s" s="35">
        <v>74</v>
      </c>
      <c r="W138" t="s" s="35">
        <v>112</v>
      </c>
      <c r="X138" s="36" cm="1">
        <f t="array" ref="X138">IF(OR(_xlfn.IFERROR(INDEX('Datos - Catálogo TIMSS'!$I$5:$I$107,MATCH(K138,'Datos - Catálogo TIMSS'!$A$5:$A$107,0)),"No")="Sí",_xlfn.IFERROR(INDEX('Datos - Catálogo TIMSS'!$I$5:$I$107,MATCH(L138,'Datos - Catálogo TIMSS'!$A$5:$A$107,0)),"No")="Sí"),1,0)</f>
        <v>1</v>
      </c>
      <c r="Y138" s="36" cm="1">
        <f t="array" ref="Y138">IF(_xlfn.IFERROR(INDEX('Datos - Catálogo TIMSS'!$J$5:$J$107,MATCH(K138,'Datos - Catálogo TIMSS'!$A$5:$A$107,0)),"No")="Sí",1,0)</f>
        <v>0</v>
      </c>
      <c r="Z138" s="36" cm="1">
        <f t="array" ref="Z138">IF(_xlfn.IFERROR(INDEX('Datos - Catálogo TIMSS'!$J$5:$J$107,MATCH(L138,'Datos - Catálogo TIMSS'!$A$5:$A$107,0)),"No")="Sí",1,0)</f>
        <v>1</v>
      </c>
      <c r="AA138" t="s" s="35">
        <v>2504</v>
      </c>
      <c r="AB138" s="39"/>
      <c r="AC138" t="str" s="39">
        <v>Ciencias de la vida</v>
      </c>
      <c r="AD138" t="s" s="35">
        <v>1834</v>
      </c>
      <c r="AE138" t="str" s="39" cm="1">
        <f t="array" ref="AE138">IF(AD138="","",IF(LEFT(AD138,1)="1","C1",IF(LEFT(AD138,1)="2","C2",IF(LEFT(AD138,1)="3","C3",""))))</f>
        <v>C2</v>
      </c>
      <c r="AF138" t="s" s="35">
        <v>1615</v>
      </c>
      <c r="AG138" t="s" s="35">
        <v>1607</v>
      </c>
      <c r="AH138" t="s" s="35">
        <v>1602</v>
      </c>
      <c r="AI138" t="s" s="35">
        <v>1623</v>
      </c>
      <c r="AJ138" t="s" s="35">
        <v>1633</v>
      </c>
      <c r="AK138" s="39"/>
      <c r="AL138" s="39"/>
      <c r="AM138" s="39"/>
      <c r="AN138" s="39"/>
      <c r="AO138" s="39"/>
      <c r="AP138" s="39"/>
      <c r="AQ138" s="39"/>
      <c r="AR138" s="39"/>
      <c r="AS138" s="39"/>
      <c r="AT138" s="39"/>
      <c r="AU138" s="39"/>
      <c r="AV138" s="39"/>
      <c r="AW138" t="str" s="39" cm="1">
        <f t="array" ref="AW138">AF138&amp;"; "&amp;AG138&amp;"; "&amp;AH138&amp;"; "&amp;AI138&amp;"; "&amp;AJ138</f>
        <v>E6; E3; E1; D4; I5</v>
      </c>
    </row>
    <row r="139" ht="13.65" customHeight="1">
      <c r="A139" t="s" s="35">
        <v>2505</v>
      </c>
      <c r="B139" s="36">
        <v>3</v>
      </c>
      <c r="C139" t="s" s="35">
        <v>1823</v>
      </c>
      <c r="D139" t="s" s="35">
        <v>2218</v>
      </c>
      <c r="E139" t="s" s="35">
        <v>2475</v>
      </c>
      <c r="F139" s="36">
        <v>10</v>
      </c>
      <c r="G139" t="s" s="35">
        <v>2476</v>
      </c>
      <c r="H139" t="s" s="35">
        <v>2500</v>
      </c>
      <c r="I139" t="s" s="120">
        <v>2506</v>
      </c>
      <c r="J139" t="s" s="35">
        <v>1055</v>
      </c>
      <c r="K139" t="s" s="35">
        <v>1109</v>
      </c>
      <c r="L139" t="s" s="35">
        <v>427</v>
      </c>
      <c r="M139" t="str" s="39">
        <v>Ciencias físicas</v>
      </c>
      <c r="N139" t="str" s="39">
        <v>Propiedades y cambios de la materia</v>
      </c>
      <c r="O139" t="str" s="39" cm="1">
        <f t="array" ref="O139">IF(L139="","",_xlfn.IFERROR(INDEX('Datos - Catálogo TIMSS'!$C$5:$C$107,MATCH(L139,'Datos - Catálogo TIMSS'!$A$5:$A$107,0)),"?"))</f>
        <v>Biología</v>
      </c>
      <c r="P139" t="s" s="35">
        <v>291</v>
      </c>
      <c r="Q139" t="s" s="120">
        <v>2507</v>
      </c>
      <c r="R139" t="s" s="120">
        <v>2508</v>
      </c>
      <c r="S139" s="121" cm="1">
        <f t="array" ref="S139">_xlfn.IFERROR(ISNUMBER(SEARCH("Conocer",$R139))/(ISNUMBER(SEARCH("Conocer",$R139))+ISNUMBER(SEARCH("Aplicar",$R139))+ISNUMBER(SEARCH("Razonar",$R139))),0)</f>
        <v>0.5</v>
      </c>
      <c r="T139" s="121" cm="1">
        <f t="array" ref="T139">_xlfn.IFERROR(ISNUMBER(SEARCH("Aplicar",$R139))/(ISNUMBER(SEARCH("Conocer",$R139))+ISNUMBER(SEARCH("Aplicar",$R139))+ISNUMBER(SEARCH("Razonar",$R139))),0)</f>
        <v>0</v>
      </c>
      <c r="U139" s="121" cm="1">
        <f t="array" ref="U139">_xlfn.IFERROR(ISNUMBER(SEARCH("Razonar",$R139))/(ISNUMBER(SEARCH("Conocer",$R139))+ISNUMBER(SEARCH("Aplicar",$R139))+ISNUMBER(SEARCH("Razonar",$R139))),0)</f>
        <v>0.5</v>
      </c>
      <c r="V139" t="s" s="35">
        <v>74</v>
      </c>
      <c r="W139" t="s" s="35">
        <v>112</v>
      </c>
      <c r="X139" s="36" cm="1">
        <f t="array" ref="X139">IF(OR(_xlfn.IFERROR(INDEX('Datos - Catálogo TIMSS'!$I$5:$I$107,MATCH(K139,'Datos - Catálogo TIMSS'!$A$5:$A$107,0)),"No")="Sí",_xlfn.IFERROR(INDEX('Datos - Catálogo TIMSS'!$I$5:$I$107,MATCH(L139,'Datos - Catálogo TIMSS'!$A$5:$A$107,0)),"No")="Sí"),1,0)</f>
        <v>1</v>
      </c>
      <c r="Y139" s="36" cm="1">
        <f t="array" ref="Y139">IF(_xlfn.IFERROR(INDEX('Datos - Catálogo TIMSS'!$J$5:$J$107,MATCH(K139,'Datos - Catálogo TIMSS'!$A$5:$A$107,0)),"No")="Sí",1,0)</f>
        <v>0</v>
      </c>
      <c r="Z139" s="36" cm="1">
        <f t="array" ref="Z139">IF(_xlfn.IFERROR(INDEX('Datos - Catálogo TIMSS'!$J$5:$J$107,MATCH(L139,'Datos - Catálogo TIMSS'!$A$5:$A$107,0)),"No")="Sí",1,0)</f>
        <v>0</v>
      </c>
      <c r="AA139" t="s" s="35">
        <v>1867</v>
      </c>
      <c r="AB139" t="s" s="35">
        <v>2023</v>
      </c>
      <c r="AC139" t="str" s="39">
        <v>Ciencias físicas</v>
      </c>
      <c r="AD139" t="s" s="35">
        <v>1859</v>
      </c>
      <c r="AE139" t="str" s="39" cm="1">
        <f t="array" ref="AE139">IF(AD139="","",IF(LEFT(AD139,1)="1","C1",IF(LEFT(AD139,1)="2","C2",IF(LEFT(AD139,1)="3","C3",""))))</f>
        <v>C1</v>
      </c>
      <c r="AF139" t="s" s="35">
        <v>1602</v>
      </c>
      <c r="AG139" t="s" s="35">
        <v>1612</v>
      </c>
      <c r="AH139" t="s" s="35">
        <v>1602</v>
      </c>
      <c r="AI139" t="s" s="35">
        <v>1623</v>
      </c>
      <c r="AJ139" t="s" s="35">
        <v>1615</v>
      </c>
      <c r="AK139" s="39"/>
      <c r="AL139" s="39"/>
      <c r="AM139" s="39"/>
      <c r="AN139" s="39"/>
      <c r="AO139" s="39"/>
      <c r="AP139" s="39"/>
      <c r="AQ139" s="39"/>
      <c r="AR139" s="39"/>
      <c r="AS139" s="39"/>
      <c r="AT139" s="39"/>
      <c r="AU139" s="39"/>
      <c r="AV139" s="39"/>
      <c r="AW139" t="str" s="39" cm="1">
        <f t="array" ref="AW139">AF139&amp;"; "&amp;AG139&amp;"; "&amp;AH139&amp;"; "&amp;AI139&amp;"; "&amp;AJ139</f>
        <v>E1; E5; E1; D4; E6</v>
      </c>
    </row>
    <row r="140" ht="13.65" customHeight="1">
      <c r="A140" t="s" s="35">
        <v>2509</v>
      </c>
      <c r="B140" s="36">
        <v>3</v>
      </c>
      <c r="C140" t="s" s="35">
        <v>1823</v>
      </c>
      <c r="D140" t="s" s="35">
        <v>2218</v>
      </c>
      <c r="E140" t="s" s="35">
        <v>2475</v>
      </c>
      <c r="F140" s="36">
        <v>11</v>
      </c>
      <c r="G140" t="s" s="35">
        <v>2476</v>
      </c>
      <c r="H140" t="s" s="35">
        <v>2500</v>
      </c>
      <c r="I140" t="s" s="120">
        <v>2510</v>
      </c>
      <c r="J140" t="s" s="35">
        <v>1055</v>
      </c>
      <c r="K140" t="s" s="35">
        <v>1093</v>
      </c>
      <c r="L140" t="s" s="35">
        <v>1099</v>
      </c>
      <c r="M140" t="str" s="39">
        <v>Biología</v>
      </c>
      <c r="N140" t="str" s="39">
        <v>Salud humana</v>
      </c>
      <c r="O140" t="str" s="39" cm="1">
        <f t="array" ref="O140">IF(L140="","",_xlfn.IFERROR(INDEX('Datos - Catálogo TIMSS'!$C$5:$C$107,MATCH(L140,'Datos - Catálogo TIMSS'!$A$5:$A$107,0)),"?"))</f>
        <v>Biología</v>
      </c>
      <c r="P140" t="s" s="35">
        <v>291</v>
      </c>
      <c r="Q140" t="s" s="120">
        <v>2511</v>
      </c>
      <c r="R140" t="s" s="120">
        <v>2346</v>
      </c>
      <c r="S140" s="121" cm="1">
        <f t="array" ref="S140">_xlfn.IFERROR(ISNUMBER(SEARCH("Conocer",$R140))/(ISNUMBER(SEARCH("Conocer",$R140))+ISNUMBER(SEARCH("Aplicar",$R140))+ISNUMBER(SEARCH("Razonar",$R140))),0)</f>
        <v>0</v>
      </c>
      <c r="T140" s="121" cm="1">
        <f t="array" ref="T140">_xlfn.IFERROR(ISNUMBER(SEARCH("Aplicar",$R140))/(ISNUMBER(SEARCH("Conocer",$R140))+ISNUMBER(SEARCH("Aplicar",$R140))+ISNUMBER(SEARCH("Razonar",$R140))),0)</f>
        <v>0</v>
      </c>
      <c r="U140" s="121" cm="1">
        <f t="array" ref="U140">_xlfn.IFERROR(ISNUMBER(SEARCH("Razonar",$R140))/(ISNUMBER(SEARCH("Conocer",$R140))+ISNUMBER(SEARCH("Aplicar",$R140))+ISNUMBER(SEARCH("Razonar",$R140))),0)</f>
        <v>1</v>
      </c>
      <c r="V140" t="s" s="35">
        <v>74</v>
      </c>
      <c r="W140" t="s" s="35">
        <v>112</v>
      </c>
      <c r="X140" s="36" cm="1">
        <f t="array" ref="X140">IF(OR(_xlfn.IFERROR(INDEX('Datos - Catálogo TIMSS'!$I$5:$I$107,MATCH(K140,'Datos - Catálogo TIMSS'!$A$5:$A$107,0)),"No")="Sí",_xlfn.IFERROR(INDEX('Datos - Catálogo TIMSS'!$I$5:$I$107,MATCH(L140,'Datos - Catálogo TIMSS'!$A$5:$A$107,0)),"No")="Sí"),1,0)</f>
        <v>0</v>
      </c>
      <c r="Y140" s="36" cm="1">
        <f t="array" ref="Y140">IF(_xlfn.IFERROR(INDEX('Datos - Catálogo TIMSS'!$J$5:$J$107,MATCH(K140,'Datos - Catálogo TIMSS'!$A$5:$A$107,0)),"No")="Sí",1,0)</f>
        <v>0</v>
      </c>
      <c r="Z140" s="36" cm="1">
        <f t="array" ref="Z140">IF(_xlfn.IFERROR(INDEX('Datos - Catálogo TIMSS'!$J$5:$J$107,MATCH(L140,'Datos - Catálogo TIMSS'!$A$5:$A$107,0)),"No")="Sí",1,0)</f>
        <v>1</v>
      </c>
      <c r="AA140" t="s" s="35">
        <v>2110</v>
      </c>
      <c r="AB140" s="39"/>
      <c r="AC140" t="str" s="39">
        <v>Ciencias de la vida</v>
      </c>
      <c r="AD140" t="s" s="35">
        <v>1834</v>
      </c>
      <c r="AE140" t="str" s="39" cm="1">
        <f t="array" ref="AE140">IF(AD140="","",IF(LEFT(AD140,1)="1","C1",IF(LEFT(AD140,1)="2","C2",IF(LEFT(AD140,1)="3","C3",""))))</f>
        <v>C2</v>
      </c>
      <c r="AF140" t="s" s="35">
        <v>1602</v>
      </c>
      <c r="AG140" t="s" s="35">
        <v>1607</v>
      </c>
      <c r="AH140" t="s" s="35">
        <v>1602</v>
      </c>
      <c r="AI140" t="s" s="35">
        <v>1621</v>
      </c>
      <c r="AJ140" t="s" s="35">
        <v>1615</v>
      </c>
      <c r="AK140" s="39"/>
      <c r="AL140" s="39"/>
      <c r="AM140" s="39"/>
      <c r="AN140" s="39"/>
      <c r="AO140" s="39"/>
      <c r="AP140" s="39"/>
      <c r="AQ140" s="39"/>
      <c r="AR140" s="39"/>
      <c r="AS140" s="39"/>
      <c r="AT140" s="39"/>
      <c r="AU140" s="39"/>
      <c r="AV140" s="39"/>
      <c r="AW140" t="str" s="39" cm="1">
        <f t="array" ref="AW140">AF140&amp;"; "&amp;AG140&amp;"; "&amp;AH140&amp;"; "&amp;AI140&amp;"; "&amp;AJ140</f>
        <v>E1; E3; E1; D3; E6</v>
      </c>
    </row>
    <row r="141" ht="13.65" customHeight="1">
      <c r="A141" t="s" s="35">
        <v>2512</v>
      </c>
      <c r="B141" s="36">
        <v>4</v>
      </c>
      <c r="C141" t="s" s="35">
        <v>1823</v>
      </c>
      <c r="D141" t="s" s="35">
        <v>2513</v>
      </c>
      <c r="E141" t="s" s="35">
        <v>2514</v>
      </c>
      <c r="F141" s="36">
        <v>3</v>
      </c>
      <c r="G141" t="s" s="35">
        <v>294</v>
      </c>
      <c r="H141" t="s" s="35">
        <v>2515</v>
      </c>
      <c r="I141" t="s" s="120">
        <v>2516</v>
      </c>
      <c r="J141" t="s" s="35">
        <v>1055</v>
      </c>
      <c r="K141" t="s" s="35">
        <v>1132</v>
      </c>
      <c r="L141" s="39"/>
      <c r="M141" t="str" s="39">
        <v>Ciencias físicas</v>
      </c>
      <c r="N141" t="str" s="39">
        <v>Movimiento y fuerzas</v>
      </c>
      <c r="O141" t="str" s="39" cm="1">
        <f t="array" ref="O141">IF(L141="","",_xlfn.IFERROR(INDEX('Datos - Catálogo TIMSS'!$C$5:$C$107,MATCH(L141,'Datos - Catálogo TIMSS'!$A$5:$A$107,0)),"?"))</f>
      </c>
      <c r="P141" t="s" s="35">
        <v>254</v>
      </c>
      <c r="Q141" t="s" s="120">
        <v>2517</v>
      </c>
      <c r="R141" t="s" s="120">
        <v>2518</v>
      </c>
      <c r="S141" s="121" cm="1">
        <f t="array" ref="S141">_xlfn.IFERROR(ISNUMBER(SEARCH("Conocer",$R141))/(ISNUMBER(SEARCH("Conocer",$R141))+ISNUMBER(SEARCH("Aplicar",$R141))+ISNUMBER(SEARCH("Razonar",$R141))),0)</f>
        <v>1</v>
      </c>
      <c r="T141" s="121" cm="1">
        <f t="array" ref="T141">_xlfn.IFERROR(ISNUMBER(SEARCH("Aplicar",$R141))/(ISNUMBER(SEARCH("Conocer",$R141))+ISNUMBER(SEARCH("Aplicar",$R141))+ISNUMBER(SEARCH("Razonar",$R141))),0)</f>
        <v>0</v>
      </c>
      <c r="U141" s="121" cm="1">
        <f t="array" ref="U141">_xlfn.IFERROR(ISNUMBER(SEARCH("Razonar",$R141))/(ISNUMBER(SEARCH("Conocer",$R141))+ISNUMBER(SEARCH("Aplicar",$R141))+ISNUMBER(SEARCH("Razonar",$R141))),0)</f>
        <v>0</v>
      </c>
      <c r="V141" t="s" s="35">
        <v>77</v>
      </c>
      <c r="W141" t="s" s="35">
        <v>112</v>
      </c>
      <c r="X141" s="36" cm="1">
        <f t="array" ref="X141">IF(OR(_xlfn.IFERROR(INDEX('Datos - Catálogo TIMSS'!$I$5:$I$107,MATCH(K141,'Datos - Catálogo TIMSS'!$A$5:$A$107,0)),"No")="Sí",_xlfn.IFERROR(INDEX('Datos - Catálogo TIMSS'!$I$5:$I$107,MATCH(L141,'Datos - Catálogo TIMSS'!$A$5:$A$107,0)),"No")="Sí"),1,0)</f>
        <v>0</v>
      </c>
      <c r="Y141" s="36" cm="1">
        <f t="array" ref="Y141">IF(_xlfn.IFERROR(INDEX('Datos - Catálogo TIMSS'!$J$5:$J$107,MATCH(K141,'Datos - Catálogo TIMSS'!$A$5:$A$107,0)),"No")="Sí",1,0)</f>
        <v>0</v>
      </c>
      <c r="Z141" s="36" cm="1">
        <f t="array" ref="Z141">IF(_xlfn.IFERROR(INDEX('Datos - Catálogo TIMSS'!$J$5:$J$107,MATCH(L141,'Datos - Catálogo TIMSS'!$A$5:$A$107,0)),"No")="Sí",1,0)</f>
        <v>0</v>
      </c>
      <c r="AA141" t="s" s="35">
        <v>2519</v>
      </c>
      <c r="AB141" s="39"/>
      <c r="AC141" t="str" s="39">
        <v>Ciencias físicas</v>
      </c>
      <c r="AD141" t="s" s="35">
        <v>1859</v>
      </c>
      <c r="AE141" t="str" s="39" cm="1">
        <f t="array" ref="AE141">IF(AD141="","",IF(LEFT(AD141,1)="1","C1",IF(LEFT(AD141,1)="2","C2",IF(LEFT(AD141,1)="3","C3",""))))</f>
        <v>C1</v>
      </c>
      <c r="AF141" t="s" s="35">
        <v>1602</v>
      </c>
      <c r="AG141" t="s" s="35">
        <v>1617</v>
      </c>
      <c r="AH141" t="s" s="35">
        <v>1602</v>
      </c>
      <c r="AI141" t="s" s="35">
        <v>1623</v>
      </c>
      <c r="AJ141" t="s" s="35">
        <v>1602</v>
      </c>
      <c r="AK141" s="39"/>
      <c r="AL141" s="39"/>
      <c r="AM141" s="39"/>
      <c r="AN141" s="39"/>
      <c r="AO141" s="39"/>
      <c r="AP141" s="39"/>
      <c r="AQ141" s="39"/>
      <c r="AR141" s="39"/>
      <c r="AS141" s="39"/>
      <c r="AT141" s="39"/>
      <c r="AU141" s="39"/>
      <c r="AV141" s="39"/>
      <c r="AW141" t="str" s="39" cm="1">
        <f t="array" ref="AW141">AF141&amp;"; "&amp;AG141&amp;"; "&amp;AH141&amp;"; "&amp;AI141&amp;"; "&amp;AJ141</f>
        <v>E1; D1; E1; D4; E1</v>
      </c>
    </row>
    <row r="142" ht="13.65" customHeight="1">
      <c r="A142" t="s" s="35">
        <v>2520</v>
      </c>
      <c r="B142" s="36">
        <v>4</v>
      </c>
      <c r="C142" t="s" s="35">
        <v>1823</v>
      </c>
      <c r="D142" t="s" s="35">
        <v>2513</v>
      </c>
      <c r="E142" t="s" s="35">
        <v>2514</v>
      </c>
      <c r="F142" s="36">
        <v>4</v>
      </c>
      <c r="G142" t="s" s="35">
        <v>294</v>
      </c>
      <c r="H142" t="s" s="35">
        <v>2515</v>
      </c>
      <c r="I142" t="s" s="120">
        <v>2521</v>
      </c>
      <c r="J142" t="s" s="35">
        <v>1055</v>
      </c>
      <c r="K142" t="s" s="35">
        <v>1132</v>
      </c>
      <c r="L142" s="39"/>
      <c r="M142" t="str" s="39">
        <v>Ciencias físicas</v>
      </c>
      <c r="N142" t="str" s="39">
        <v>Movimiento y fuerzas</v>
      </c>
      <c r="O142" t="str" s="39" cm="1">
        <f t="array" ref="O142">IF(L142="","",_xlfn.IFERROR(INDEX('Datos - Catálogo TIMSS'!$C$5:$C$107,MATCH(L142,'Datos - Catálogo TIMSS'!$A$5:$A$107,0)),"?"))</f>
      </c>
      <c r="P142" t="s" s="35">
        <v>254</v>
      </c>
      <c r="Q142" t="s" s="120">
        <v>2522</v>
      </c>
      <c r="R142" t="s" s="120">
        <v>2523</v>
      </c>
      <c r="S142" s="121" cm="1">
        <f t="array" ref="S142">_xlfn.IFERROR(ISNUMBER(SEARCH("Conocer",$R142))/(ISNUMBER(SEARCH("Conocer",$R142))+ISNUMBER(SEARCH("Aplicar",$R142))+ISNUMBER(SEARCH("Razonar",$R142))),0)</f>
        <v>0</v>
      </c>
      <c r="T142" s="121" cm="1">
        <f t="array" ref="T142">_xlfn.IFERROR(ISNUMBER(SEARCH("Aplicar",$R142))/(ISNUMBER(SEARCH("Conocer",$R142))+ISNUMBER(SEARCH("Aplicar",$R142))+ISNUMBER(SEARCH("Razonar",$R142))),0)</f>
        <v>1</v>
      </c>
      <c r="U142" s="121" cm="1">
        <f t="array" ref="U142">_xlfn.IFERROR(ISNUMBER(SEARCH("Razonar",$R142))/(ISNUMBER(SEARCH("Conocer",$R142))+ISNUMBER(SEARCH("Aplicar",$R142))+ISNUMBER(SEARCH("Razonar",$R142))),0)</f>
        <v>0</v>
      </c>
      <c r="V142" t="s" s="35">
        <v>77</v>
      </c>
      <c r="W142" t="s" s="35">
        <v>112</v>
      </c>
      <c r="X142" s="36" cm="1">
        <f t="array" ref="X142">IF(OR(_xlfn.IFERROR(INDEX('Datos - Catálogo TIMSS'!$I$5:$I$107,MATCH(K142,'Datos - Catálogo TIMSS'!$A$5:$A$107,0)),"No")="Sí",_xlfn.IFERROR(INDEX('Datos - Catálogo TIMSS'!$I$5:$I$107,MATCH(L142,'Datos - Catálogo TIMSS'!$A$5:$A$107,0)),"No")="Sí"),1,0)</f>
        <v>0</v>
      </c>
      <c r="Y142" s="36" cm="1">
        <f t="array" ref="Y142">IF(_xlfn.IFERROR(INDEX('Datos - Catálogo TIMSS'!$J$5:$J$107,MATCH(K142,'Datos - Catálogo TIMSS'!$A$5:$A$107,0)),"No")="Sí",1,0)</f>
        <v>0</v>
      </c>
      <c r="Z142" s="36" cm="1">
        <f t="array" ref="Z142">IF(_xlfn.IFERROR(INDEX('Datos - Catálogo TIMSS'!$J$5:$J$107,MATCH(L142,'Datos - Catálogo TIMSS'!$A$5:$A$107,0)),"No")="Sí",1,0)</f>
        <v>0</v>
      </c>
      <c r="AA142" t="s" s="35">
        <v>2519</v>
      </c>
      <c r="AB142" s="39"/>
      <c r="AC142" t="str" s="39">
        <v>Ciencias físicas</v>
      </c>
      <c r="AD142" t="s" s="35">
        <v>1859</v>
      </c>
      <c r="AE142" t="str" s="39" cm="1">
        <f t="array" ref="AE142">IF(AD142="","",IF(LEFT(AD142,1)="1","C1",IF(LEFT(AD142,1)="2","C2",IF(LEFT(AD142,1)="3","C3",""))))</f>
        <v>C1</v>
      </c>
      <c r="AF142" t="s" s="35">
        <v>1602</v>
      </c>
      <c r="AG142" t="s" s="35">
        <v>1617</v>
      </c>
      <c r="AH142" t="s" s="35">
        <v>1602</v>
      </c>
      <c r="AI142" t="s" s="35">
        <v>1623</v>
      </c>
      <c r="AJ142" t="s" s="35">
        <v>1602</v>
      </c>
      <c r="AK142" s="39"/>
      <c r="AL142" s="39"/>
      <c r="AM142" s="39"/>
      <c r="AN142" s="39"/>
      <c r="AO142" s="39"/>
      <c r="AP142" s="39"/>
      <c r="AQ142" s="39"/>
      <c r="AR142" s="39"/>
      <c r="AS142" s="39"/>
      <c r="AT142" s="39"/>
      <c r="AU142" s="39"/>
      <c r="AV142" s="39"/>
      <c r="AW142" t="str" s="39" cm="1">
        <f t="array" ref="AW142">AF142&amp;"; "&amp;AG142&amp;"; "&amp;AH142&amp;"; "&amp;AI142&amp;"; "&amp;AJ142</f>
        <v>E1; D1; E1; D4; E1</v>
      </c>
    </row>
    <row r="143" ht="13.65" customHeight="1">
      <c r="A143" t="s" s="35">
        <v>2524</v>
      </c>
      <c r="B143" s="36">
        <v>4</v>
      </c>
      <c r="C143" t="s" s="35">
        <v>1823</v>
      </c>
      <c r="D143" t="s" s="35">
        <v>2513</v>
      </c>
      <c r="E143" t="s" s="35">
        <v>2514</v>
      </c>
      <c r="F143" s="36">
        <v>5</v>
      </c>
      <c r="G143" t="s" s="35">
        <v>294</v>
      </c>
      <c r="H143" t="s" s="35">
        <v>2515</v>
      </c>
      <c r="I143" t="s" s="120">
        <v>2525</v>
      </c>
      <c r="J143" t="s" s="35">
        <v>1055</v>
      </c>
      <c r="K143" t="s" s="35">
        <v>1132</v>
      </c>
      <c r="L143" s="39"/>
      <c r="M143" t="str" s="39">
        <v>Ciencias físicas</v>
      </c>
      <c r="N143" t="str" s="39">
        <v>Movimiento y fuerzas</v>
      </c>
      <c r="O143" t="str" s="39" cm="1">
        <f t="array" ref="O143">IF(L143="","",_xlfn.IFERROR(INDEX('Datos - Catálogo TIMSS'!$C$5:$C$107,MATCH(L143,'Datos - Catálogo TIMSS'!$A$5:$A$107,0)),"?"))</f>
      </c>
      <c r="P143" t="s" s="35">
        <v>254</v>
      </c>
      <c r="Q143" t="s" s="120">
        <v>2526</v>
      </c>
      <c r="R143" t="s" s="120">
        <v>2075</v>
      </c>
      <c r="S143" s="121" cm="1">
        <f t="array" ref="S143">_xlfn.IFERROR(ISNUMBER(SEARCH("Conocer",$R143))/(ISNUMBER(SEARCH("Conocer",$R143))+ISNUMBER(SEARCH("Aplicar",$R143))+ISNUMBER(SEARCH("Razonar",$R143))),0)</f>
        <v>0</v>
      </c>
      <c r="T143" s="121" cm="1">
        <f t="array" ref="T143">_xlfn.IFERROR(ISNUMBER(SEARCH("Aplicar",$R143))/(ISNUMBER(SEARCH("Conocer",$R143))+ISNUMBER(SEARCH("Aplicar",$R143))+ISNUMBER(SEARCH("Razonar",$R143))),0)</f>
        <v>0.5</v>
      </c>
      <c r="U143" s="121" cm="1">
        <f t="array" ref="U143">_xlfn.IFERROR(ISNUMBER(SEARCH("Razonar",$R143))/(ISNUMBER(SEARCH("Conocer",$R143))+ISNUMBER(SEARCH("Aplicar",$R143))+ISNUMBER(SEARCH("Razonar",$R143))),0)</f>
        <v>0.5</v>
      </c>
      <c r="V143" t="s" s="35">
        <v>77</v>
      </c>
      <c r="W143" t="s" s="35">
        <v>112</v>
      </c>
      <c r="X143" s="36" cm="1">
        <f t="array" ref="X143">IF(OR(_xlfn.IFERROR(INDEX('Datos - Catálogo TIMSS'!$I$5:$I$107,MATCH(K143,'Datos - Catálogo TIMSS'!$A$5:$A$107,0)),"No")="Sí",_xlfn.IFERROR(INDEX('Datos - Catálogo TIMSS'!$I$5:$I$107,MATCH(L143,'Datos - Catálogo TIMSS'!$A$5:$A$107,0)),"No")="Sí"),1,0)</f>
        <v>0</v>
      </c>
      <c r="Y143" s="36" cm="1">
        <f t="array" ref="Y143">IF(_xlfn.IFERROR(INDEX('Datos - Catálogo TIMSS'!$J$5:$J$107,MATCH(K143,'Datos - Catálogo TIMSS'!$A$5:$A$107,0)),"No")="Sí",1,0)</f>
        <v>0</v>
      </c>
      <c r="Z143" s="36" cm="1">
        <f t="array" ref="Z143">IF(_xlfn.IFERROR(INDEX('Datos - Catálogo TIMSS'!$J$5:$J$107,MATCH(L143,'Datos - Catálogo TIMSS'!$A$5:$A$107,0)),"No")="Sí",1,0)</f>
        <v>0</v>
      </c>
      <c r="AA143" t="s" s="35">
        <v>2519</v>
      </c>
      <c r="AB143" s="39"/>
      <c r="AC143" t="str" s="39">
        <v>Ciencias físicas</v>
      </c>
      <c r="AD143" t="s" s="35">
        <v>1834</v>
      </c>
      <c r="AE143" t="str" s="39" cm="1">
        <f t="array" ref="AE143">IF(AD143="","",IF(LEFT(AD143,1)="1","C1",IF(LEFT(AD143,1)="2","C2",IF(LEFT(AD143,1)="3","C3",""))))</f>
        <v>C2</v>
      </c>
      <c r="AF143" t="s" s="35">
        <v>1602</v>
      </c>
      <c r="AG143" t="s" s="35">
        <v>1612</v>
      </c>
      <c r="AH143" t="s" s="35">
        <v>1609</v>
      </c>
      <c r="AI143" t="s" s="35">
        <v>1623</v>
      </c>
      <c r="AJ143" t="s" s="35">
        <v>1607</v>
      </c>
      <c r="AK143" s="39"/>
      <c r="AL143" s="39"/>
      <c r="AM143" s="39"/>
      <c r="AN143" s="39"/>
      <c r="AO143" s="39"/>
      <c r="AP143" s="39"/>
      <c r="AQ143" s="39"/>
      <c r="AR143" s="39"/>
      <c r="AS143" s="39"/>
      <c r="AT143" s="39"/>
      <c r="AU143" s="39"/>
      <c r="AV143" s="39"/>
      <c r="AW143" t="str" s="39" cm="1">
        <f t="array" ref="AW143">AF143&amp;"; "&amp;AG143&amp;"; "&amp;AH143&amp;"; "&amp;AI143&amp;"; "&amp;AJ143</f>
        <v>E1; E5; E4; D4; E3</v>
      </c>
    </row>
    <row r="144" ht="13.65" customHeight="1">
      <c r="A144" t="s" s="35">
        <v>2527</v>
      </c>
      <c r="B144" s="36">
        <v>4</v>
      </c>
      <c r="C144" t="s" s="35">
        <v>1823</v>
      </c>
      <c r="D144" t="s" s="35">
        <v>2513</v>
      </c>
      <c r="E144" t="s" s="35">
        <v>2514</v>
      </c>
      <c r="F144" s="36">
        <v>6</v>
      </c>
      <c r="G144" t="s" s="35">
        <v>294</v>
      </c>
      <c r="H144" t="s" s="35">
        <v>2528</v>
      </c>
      <c r="I144" t="s" s="120">
        <v>2529</v>
      </c>
      <c r="J144" t="s" s="35">
        <v>1055</v>
      </c>
      <c r="K144" t="s" s="35">
        <v>1132</v>
      </c>
      <c r="L144" s="39"/>
      <c r="M144" t="str" s="39">
        <v>Ciencias físicas</v>
      </c>
      <c r="N144" t="str" s="39">
        <v>Movimiento y fuerzas</v>
      </c>
      <c r="O144" t="str" s="39" cm="1">
        <f t="array" ref="O144">IF(L144="","",_xlfn.IFERROR(INDEX('Datos - Catálogo TIMSS'!$C$5:$C$107,MATCH(L144,'Datos - Catálogo TIMSS'!$A$5:$A$107,0)),"?"))</f>
      </c>
      <c r="P144" t="s" s="35">
        <v>282</v>
      </c>
      <c r="Q144" t="s" s="120">
        <v>2530</v>
      </c>
      <c r="R144" t="s" s="120">
        <v>2518</v>
      </c>
      <c r="S144" s="121" cm="1">
        <f t="array" ref="S144">_xlfn.IFERROR(ISNUMBER(SEARCH("Conocer",$R144))/(ISNUMBER(SEARCH("Conocer",$R144))+ISNUMBER(SEARCH("Aplicar",$R144))+ISNUMBER(SEARCH("Razonar",$R144))),0)</f>
        <v>1</v>
      </c>
      <c r="T144" s="121" cm="1">
        <f t="array" ref="T144">_xlfn.IFERROR(ISNUMBER(SEARCH("Aplicar",$R144))/(ISNUMBER(SEARCH("Conocer",$R144))+ISNUMBER(SEARCH("Aplicar",$R144))+ISNUMBER(SEARCH("Razonar",$R144))),0)</f>
        <v>0</v>
      </c>
      <c r="U144" s="121" cm="1">
        <f t="array" ref="U144">_xlfn.IFERROR(ISNUMBER(SEARCH("Razonar",$R144))/(ISNUMBER(SEARCH("Conocer",$R144))+ISNUMBER(SEARCH("Aplicar",$R144))+ISNUMBER(SEARCH("Razonar",$R144))),0)</f>
        <v>0</v>
      </c>
      <c r="V144" t="s" s="35">
        <v>77</v>
      </c>
      <c r="W144" t="s" s="35">
        <v>112</v>
      </c>
      <c r="X144" s="36" cm="1">
        <f t="array" ref="X144">IF(OR(_xlfn.IFERROR(INDEX('Datos - Catálogo TIMSS'!$I$5:$I$107,MATCH(K144,'Datos - Catálogo TIMSS'!$A$5:$A$107,0)),"No")="Sí",_xlfn.IFERROR(INDEX('Datos - Catálogo TIMSS'!$I$5:$I$107,MATCH(L144,'Datos - Catálogo TIMSS'!$A$5:$A$107,0)),"No")="Sí"),1,0)</f>
        <v>0</v>
      </c>
      <c r="Y144" s="36" cm="1">
        <f t="array" ref="Y144">IF(_xlfn.IFERROR(INDEX('Datos - Catálogo TIMSS'!$J$5:$J$107,MATCH(K144,'Datos - Catálogo TIMSS'!$A$5:$A$107,0)),"No")="Sí",1,0)</f>
        <v>0</v>
      </c>
      <c r="Z144" s="36" cm="1">
        <f t="array" ref="Z144">IF(_xlfn.IFERROR(INDEX('Datos - Catálogo TIMSS'!$J$5:$J$107,MATCH(L144,'Datos - Catálogo TIMSS'!$A$5:$A$107,0)),"No")="Sí",1,0)</f>
        <v>0</v>
      </c>
      <c r="AA144" t="s" s="35">
        <v>2519</v>
      </c>
      <c r="AB144" s="39"/>
      <c r="AC144" t="str" s="39">
        <v>Ciencias físicas</v>
      </c>
      <c r="AD144" t="s" s="35">
        <v>1859</v>
      </c>
      <c r="AE144" t="str" s="39" cm="1">
        <f t="array" ref="AE144">IF(AD144="","",IF(LEFT(AD144,1)="1","C1",IF(LEFT(AD144,1)="2","C2",IF(LEFT(AD144,1)="3","C3",""))))</f>
        <v>C1</v>
      </c>
      <c r="AF144" t="s" s="35">
        <v>1602</v>
      </c>
      <c r="AG144" t="s" s="35">
        <v>1617</v>
      </c>
      <c r="AH144" t="s" s="35">
        <v>1602</v>
      </c>
      <c r="AI144" t="s" s="35">
        <v>1623</v>
      </c>
      <c r="AJ144" t="s" s="35">
        <v>1602</v>
      </c>
      <c r="AK144" s="39"/>
      <c r="AL144" s="39"/>
      <c r="AM144" s="39"/>
      <c r="AN144" s="39"/>
      <c r="AO144" s="39"/>
      <c r="AP144" s="39"/>
      <c r="AQ144" s="39"/>
      <c r="AR144" s="39"/>
      <c r="AS144" s="39"/>
      <c r="AT144" s="39"/>
      <c r="AU144" s="39"/>
      <c r="AV144" s="39"/>
      <c r="AW144" t="str" s="39" cm="1">
        <f t="array" ref="AW144">AF144&amp;"; "&amp;AG144&amp;"; "&amp;AH144&amp;"; "&amp;AI144&amp;"; "&amp;AJ144</f>
        <v>E1; D1; E1; D4; E1</v>
      </c>
    </row>
    <row r="145" ht="13.65" customHeight="1">
      <c r="A145" t="s" s="35">
        <v>2531</v>
      </c>
      <c r="B145" s="36">
        <v>4</v>
      </c>
      <c r="C145" t="s" s="35">
        <v>1823</v>
      </c>
      <c r="D145" t="s" s="35">
        <v>2513</v>
      </c>
      <c r="E145" t="s" s="35">
        <v>2514</v>
      </c>
      <c r="F145" s="36">
        <v>7</v>
      </c>
      <c r="G145" t="s" s="35">
        <v>294</v>
      </c>
      <c r="H145" t="s" s="35">
        <v>2528</v>
      </c>
      <c r="I145" t="s" s="120">
        <v>2532</v>
      </c>
      <c r="J145" t="s" s="35">
        <v>1055</v>
      </c>
      <c r="K145" t="s" s="35">
        <v>1132</v>
      </c>
      <c r="L145" s="39"/>
      <c r="M145" t="str" s="39">
        <v>Ciencias físicas</v>
      </c>
      <c r="N145" t="str" s="39">
        <v>Movimiento y fuerzas</v>
      </c>
      <c r="O145" t="str" s="39" cm="1">
        <f t="array" ref="O145">IF(L145="","",_xlfn.IFERROR(INDEX('Datos - Catálogo TIMSS'!$C$5:$C$107,MATCH(L145,'Datos - Catálogo TIMSS'!$A$5:$A$107,0)),"?"))</f>
      </c>
      <c r="P145" t="s" s="35">
        <v>254</v>
      </c>
      <c r="Q145" t="s" s="120">
        <v>2533</v>
      </c>
      <c r="R145" t="s" s="120">
        <v>2534</v>
      </c>
      <c r="S145" s="121" cm="1">
        <f t="array" ref="S145">_xlfn.IFERROR(ISNUMBER(SEARCH("Conocer",$R145))/(ISNUMBER(SEARCH("Conocer",$R145))+ISNUMBER(SEARCH("Aplicar",$R145))+ISNUMBER(SEARCH("Razonar",$R145))),0)</f>
        <v>0</v>
      </c>
      <c r="T145" s="121" cm="1">
        <f t="array" ref="T145">_xlfn.IFERROR(ISNUMBER(SEARCH("Aplicar",$R145))/(ISNUMBER(SEARCH("Conocer",$R145))+ISNUMBER(SEARCH("Aplicar",$R145))+ISNUMBER(SEARCH("Razonar",$R145))),0)</f>
        <v>1</v>
      </c>
      <c r="U145" s="121" cm="1">
        <f t="array" ref="U145">_xlfn.IFERROR(ISNUMBER(SEARCH("Razonar",$R145))/(ISNUMBER(SEARCH("Conocer",$R145))+ISNUMBER(SEARCH("Aplicar",$R145))+ISNUMBER(SEARCH("Razonar",$R145))),0)</f>
        <v>0</v>
      </c>
      <c r="V145" t="s" s="35">
        <v>77</v>
      </c>
      <c r="W145" t="s" s="35">
        <v>112</v>
      </c>
      <c r="X145" s="36" cm="1">
        <f t="array" ref="X145">IF(OR(_xlfn.IFERROR(INDEX('Datos - Catálogo TIMSS'!$I$5:$I$107,MATCH(K145,'Datos - Catálogo TIMSS'!$A$5:$A$107,0)),"No")="Sí",_xlfn.IFERROR(INDEX('Datos - Catálogo TIMSS'!$I$5:$I$107,MATCH(L145,'Datos - Catálogo TIMSS'!$A$5:$A$107,0)),"No")="Sí"),1,0)</f>
        <v>0</v>
      </c>
      <c r="Y145" s="36" cm="1">
        <f t="array" ref="Y145">IF(_xlfn.IFERROR(INDEX('Datos - Catálogo TIMSS'!$J$5:$J$107,MATCH(K145,'Datos - Catálogo TIMSS'!$A$5:$A$107,0)),"No")="Sí",1,0)</f>
        <v>0</v>
      </c>
      <c r="Z145" s="36" cm="1">
        <f t="array" ref="Z145">IF(_xlfn.IFERROR(INDEX('Datos - Catálogo TIMSS'!$J$5:$J$107,MATCH(L145,'Datos - Catálogo TIMSS'!$A$5:$A$107,0)),"No")="Sí",1,0)</f>
        <v>0</v>
      </c>
      <c r="AA145" t="s" s="35">
        <v>2519</v>
      </c>
      <c r="AB145" s="39"/>
      <c r="AC145" t="str" s="39">
        <v>Ciencias físicas</v>
      </c>
      <c r="AD145" t="s" s="35">
        <v>1834</v>
      </c>
      <c r="AE145" t="str" s="39" cm="1">
        <f t="array" ref="AE145">IF(AD145="","",IF(LEFT(AD145,1)="1","C1",IF(LEFT(AD145,1)="2","C2",IF(LEFT(AD145,1)="3","C3",""))))</f>
        <v>C2</v>
      </c>
      <c r="AF145" t="s" s="35">
        <v>1602</v>
      </c>
      <c r="AG145" t="s" s="35">
        <v>1607</v>
      </c>
      <c r="AH145" t="s" s="35">
        <v>1609</v>
      </c>
      <c r="AI145" t="s" s="35">
        <v>1623</v>
      </c>
      <c r="AJ145" t="s" s="35">
        <v>1602</v>
      </c>
      <c r="AK145" s="39"/>
      <c r="AL145" s="39"/>
      <c r="AM145" s="39"/>
      <c r="AN145" s="39"/>
      <c r="AO145" s="39"/>
      <c r="AP145" s="39"/>
      <c r="AQ145" s="39"/>
      <c r="AR145" s="39"/>
      <c r="AS145" s="39"/>
      <c r="AT145" s="39"/>
      <c r="AU145" s="39"/>
      <c r="AV145" s="39"/>
      <c r="AW145" t="str" s="39" cm="1">
        <f t="array" ref="AW145">AF145&amp;"; "&amp;AG145&amp;"; "&amp;AH145&amp;"; "&amp;AI145&amp;"; "&amp;AJ145</f>
        <v>E1; E3; E4; D4; E1</v>
      </c>
    </row>
    <row r="146" ht="13.65" customHeight="1">
      <c r="A146" t="s" s="35">
        <v>2536</v>
      </c>
      <c r="B146" s="36">
        <v>4</v>
      </c>
      <c r="C146" t="s" s="35">
        <v>1823</v>
      </c>
      <c r="D146" t="s" s="35">
        <v>2513</v>
      </c>
      <c r="E146" t="s" s="35">
        <v>2514</v>
      </c>
      <c r="F146" s="36">
        <v>8</v>
      </c>
      <c r="G146" t="s" s="35">
        <v>294</v>
      </c>
      <c r="H146" t="s" s="35">
        <v>2528</v>
      </c>
      <c r="I146" t="s" s="120">
        <v>2537</v>
      </c>
      <c r="J146" t="s" s="35">
        <v>1055</v>
      </c>
      <c r="K146" t="s" s="35">
        <v>1132</v>
      </c>
      <c r="L146" s="39"/>
      <c r="M146" t="str" s="39">
        <v>Ciencias físicas</v>
      </c>
      <c r="N146" t="str" s="39">
        <v>Movimiento y fuerzas</v>
      </c>
      <c r="O146" t="str" s="39" cm="1">
        <f t="array" ref="O146">IF(L146="","",_xlfn.IFERROR(INDEX('Datos - Catálogo TIMSS'!$C$5:$C$107,MATCH(L146,'Datos - Catálogo TIMSS'!$A$5:$A$107,0)),"?"))</f>
      </c>
      <c r="P146" t="s" s="35">
        <v>282</v>
      </c>
      <c r="Q146" t="s" s="120">
        <v>2538</v>
      </c>
      <c r="R146" t="s" s="120">
        <v>2539</v>
      </c>
      <c r="S146" s="121" cm="1">
        <f t="array" ref="S146">_xlfn.IFERROR(ISNUMBER(SEARCH("Conocer",$R146))/(ISNUMBER(SEARCH("Conocer",$R146))+ISNUMBER(SEARCH("Aplicar",$R146))+ISNUMBER(SEARCH("Razonar",$R146))),0)</f>
        <v>0</v>
      </c>
      <c r="T146" s="121" cm="1">
        <f t="array" ref="T146">_xlfn.IFERROR(ISNUMBER(SEARCH("Aplicar",$R146))/(ISNUMBER(SEARCH("Conocer",$R146))+ISNUMBER(SEARCH("Aplicar",$R146))+ISNUMBER(SEARCH("Razonar",$R146))),0)</f>
        <v>0</v>
      </c>
      <c r="U146" s="121" cm="1">
        <f t="array" ref="U146">_xlfn.IFERROR(ISNUMBER(SEARCH("Razonar",$R146))/(ISNUMBER(SEARCH("Conocer",$R146))+ISNUMBER(SEARCH("Aplicar",$R146))+ISNUMBER(SEARCH("Razonar",$R146))),0)</f>
        <v>1</v>
      </c>
      <c r="V146" t="s" s="35">
        <v>77</v>
      </c>
      <c r="W146" t="s" s="35">
        <v>112</v>
      </c>
      <c r="X146" s="36" cm="1">
        <f t="array" ref="X146">IF(OR(_xlfn.IFERROR(INDEX('Datos - Catálogo TIMSS'!$I$5:$I$107,MATCH(K146,'Datos - Catálogo TIMSS'!$A$5:$A$107,0)),"No")="Sí",_xlfn.IFERROR(INDEX('Datos - Catálogo TIMSS'!$I$5:$I$107,MATCH(L146,'Datos - Catálogo TIMSS'!$A$5:$A$107,0)),"No")="Sí"),1,0)</f>
        <v>0</v>
      </c>
      <c r="Y146" s="36" cm="1">
        <f t="array" ref="Y146">IF(_xlfn.IFERROR(INDEX('Datos - Catálogo TIMSS'!$J$5:$J$107,MATCH(K146,'Datos - Catálogo TIMSS'!$A$5:$A$107,0)),"No")="Sí",1,0)</f>
        <v>0</v>
      </c>
      <c r="Z146" s="36" cm="1">
        <f t="array" ref="Z146">IF(_xlfn.IFERROR(INDEX('Datos - Catálogo TIMSS'!$J$5:$J$107,MATCH(L146,'Datos - Catálogo TIMSS'!$A$5:$A$107,0)),"No")="Sí",1,0)</f>
        <v>0</v>
      </c>
      <c r="AA146" t="s" s="35">
        <v>2519</v>
      </c>
      <c r="AB146" s="39"/>
      <c r="AC146" t="str" s="39">
        <v>Ciencias físicas</v>
      </c>
      <c r="AD146" t="s" s="35">
        <v>1834</v>
      </c>
      <c r="AE146" t="str" s="39" cm="1">
        <f t="array" ref="AE146">IF(AD146="","",IF(LEFT(AD146,1)="1","C1",IF(LEFT(AD146,1)="2","C2",IF(LEFT(AD146,1)="3","C3",""))))</f>
        <v>C2</v>
      </c>
      <c r="AF146" t="s" s="35">
        <v>1615</v>
      </c>
      <c r="AG146" t="s" s="35">
        <v>1617</v>
      </c>
      <c r="AH146" t="s" s="35">
        <v>1607</v>
      </c>
      <c r="AI146" t="s" s="35">
        <v>1621</v>
      </c>
      <c r="AJ146" t="s" s="35">
        <v>1607</v>
      </c>
      <c r="AK146" s="39"/>
      <c r="AL146" s="39"/>
      <c r="AM146" s="39"/>
      <c r="AN146" s="39"/>
      <c r="AO146" s="39"/>
      <c r="AP146" s="39"/>
      <c r="AQ146" s="39"/>
      <c r="AR146" s="39"/>
      <c r="AS146" s="39"/>
      <c r="AT146" s="39"/>
      <c r="AU146" s="39"/>
      <c r="AV146" s="39"/>
      <c r="AW146" t="str" s="39" cm="1">
        <f t="array" ref="AW146">AF146&amp;"; "&amp;AG146&amp;"; "&amp;AH146&amp;"; "&amp;AI146&amp;"; "&amp;AJ146</f>
        <v>E6; D1; E3; D3; E3</v>
      </c>
    </row>
    <row r="147" ht="13.65" customHeight="1">
      <c r="A147" t="s" s="35">
        <v>2541</v>
      </c>
      <c r="B147" s="36">
        <v>4</v>
      </c>
      <c r="C147" t="s" s="35">
        <v>1823</v>
      </c>
      <c r="D147" t="s" s="35">
        <v>2513</v>
      </c>
      <c r="E147" t="s" s="35">
        <v>2514</v>
      </c>
      <c r="F147" s="36">
        <v>9</v>
      </c>
      <c r="G147" t="s" s="35">
        <v>294</v>
      </c>
      <c r="H147" t="s" s="35">
        <v>2542</v>
      </c>
      <c r="I147" t="s" s="120">
        <v>2543</v>
      </c>
      <c r="J147" t="s" s="35">
        <v>1055</v>
      </c>
      <c r="K147" t="s" s="35">
        <v>1832</v>
      </c>
      <c r="L147" s="39"/>
      <c r="M147" t="str" s="39">
        <v>Fuera del marco</v>
      </c>
      <c r="N147" t="str" s="39">
        <v>Fuera del marco</v>
      </c>
      <c r="O147" t="str" s="39" cm="1">
        <f t="array" ref="O147">IF(L147="","",_xlfn.IFERROR(INDEX('Datos - Catálogo TIMSS'!$C$5:$C$107,MATCH(L147,'Datos - Catálogo TIMSS'!$A$5:$A$107,0)),"?"))</f>
      </c>
      <c r="P147" t="s" s="35">
        <v>254</v>
      </c>
      <c r="Q147" t="s" s="120">
        <v>2544</v>
      </c>
      <c r="R147" t="s" s="120">
        <v>2401</v>
      </c>
      <c r="S147" s="121" cm="1">
        <f t="array" ref="S147">_xlfn.IFERROR(ISNUMBER(SEARCH("Conocer",$R147))/(ISNUMBER(SEARCH("Conocer",$R147))+ISNUMBER(SEARCH("Aplicar",$R147))+ISNUMBER(SEARCH("Razonar",$R147))),0)</f>
        <v>0</v>
      </c>
      <c r="T147" s="121" cm="1">
        <f t="array" ref="T147">_xlfn.IFERROR(ISNUMBER(SEARCH("Aplicar",$R147))/(ISNUMBER(SEARCH("Conocer",$R147))+ISNUMBER(SEARCH("Aplicar",$R147))+ISNUMBER(SEARCH("Razonar",$R147))),0)</f>
        <v>1</v>
      </c>
      <c r="U147" s="121" cm="1">
        <f t="array" ref="U147">_xlfn.IFERROR(ISNUMBER(SEARCH("Razonar",$R147))/(ISNUMBER(SEARCH("Conocer",$R147))+ISNUMBER(SEARCH("Aplicar",$R147))+ISNUMBER(SEARCH("Razonar",$R147))),0)</f>
        <v>0</v>
      </c>
      <c r="V147" t="s" s="35">
        <v>77</v>
      </c>
      <c r="W147" t="s" s="35">
        <v>112</v>
      </c>
      <c r="X147" s="36" cm="1">
        <f t="array" ref="X147">IF(OR(_xlfn.IFERROR(INDEX('Datos - Catálogo TIMSS'!$I$5:$I$107,MATCH(K147,'Datos - Catálogo TIMSS'!$A$5:$A$107,0)),"No")="Sí",_xlfn.IFERROR(INDEX('Datos - Catálogo TIMSS'!$I$5:$I$107,MATCH(L147,'Datos - Catálogo TIMSS'!$A$5:$A$107,0)),"No")="Sí"),1,0)</f>
        <v>0</v>
      </c>
      <c r="Y147" s="36" cm="1">
        <f t="array" ref="Y147">IF(_xlfn.IFERROR(INDEX('Datos - Catálogo TIMSS'!$J$5:$J$107,MATCH(K147,'Datos - Catálogo TIMSS'!$A$5:$A$107,0)),"No")="Sí",1,0)</f>
        <v>0</v>
      </c>
      <c r="Z147" s="36" cm="1">
        <f t="array" ref="Z147">IF(_xlfn.IFERROR(INDEX('Datos - Catálogo TIMSS'!$J$5:$J$107,MATCH(L147,'Datos - Catálogo TIMSS'!$A$5:$A$107,0)),"No")="Sí",1,0)</f>
        <v>0</v>
      </c>
      <c r="AA147" t="s" s="35">
        <v>1832</v>
      </c>
      <c r="AB147" s="39"/>
      <c r="AC147" t="str" s="39">
        <v>Fuera del marco</v>
      </c>
      <c r="AD147" t="s" s="35">
        <v>1900</v>
      </c>
      <c r="AE147" t="str" s="39" cm="1">
        <f t="array" ref="AE147">IF(AD147="","",IF(LEFT(AD147,1)="1","C1",IF(LEFT(AD147,1)="2","C2",IF(LEFT(AD147,1)="3","C3",""))))</f>
        <v>C3</v>
      </c>
      <c r="AF147" t="s" s="35">
        <v>1602</v>
      </c>
      <c r="AG147" t="s" s="35">
        <v>1617</v>
      </c>
      <c r="AH147" t="s" s="35">
        <v>1605</v>
      </c>
      <c r="AI147" t="s" s="35">
        <v>1629</v>
      </c>
      <c r="AJ147" t="s" s="35">
        <v>1633</v>
      </c>
      <c r="AK147" s="39"/>
      <c r="AL147" s="39"/>
      <c r="AM147" s="39"/>
      <c r="AN147" s="39"/>
      <c r="AO147" s="39"/>
      <c r="AP147" s="39"/>
      <c r="AQ147" s="39"/>
      <c r="AR147" s="39"/>
      <c r="AS147" s="39"/>
      <c r="AT147" s="39"/>
      <c r="AU147" s="39"/>
      <c r="AV147" s="39"/>
      <c r="AW147" t="str" s="39" cm="1">
        <f t="array" ref="AW147">AF147&amp;"; "&amp;AG147&amp;"; "&amp;AH147&amp;"; "&amp;AI147&amp;"; "&amp;AJ147</f>
        <v>E1; D1; E2; I3; I5</v>
      </c>
    </row>
    <row r="148" ht="13.65" customHeight="1">
      <c r="A148" t="s" s="35">
        <v>2545</v>
      </c>
      <c r="B148" s="36">
        <v>4</v>
      </c>
      <c r="C148" t="s" s="35">
        <v>1823</v>
      </c>
      <c r="D148" t="s" s="35">
        <v>2513</v>
      </c>
      <c r="E148" t="s" s="35">
        <v>2514</v>
      </c>
      <c r="F148" s="36">
        <v>10</v>
      </c>
      <c r="G148" t="s" s="35">
        <v>294</v>
      </c>
      <c r="H148" t="s" s="35">
        <v>2542</v>
      </c>
      <c r="I148" t="s" s="120">
        <v>2546</v>
      </c>
      <c r="J148" t="s" s="35">
        <v>1055</v>
      </c>
      <c r="K148" t="s" s="35">
        <v>1112</v>
      </c>
      <c r="L148" s="39"/>
      <c r="M148" t="str" s="39">
        <v>Ciencias físicas</v>
      </c>
      <c r="N148" t="str" s="39">
        <v>Energía y transferencia de energía</v>
      </c>
      <c r="O148" t="str" s="39" cm="1">
        <f t="array" ref="O148">IF(L148="","",_xlfn.IFERROR(INDEX('Datos - Catálogo TIMSS'!$C$5:$C$107,MATCH(L148,'Datos - Catálogo TIMSS'!$A$5:$A$107,0)),"?"))</f>
      </c>
      <c r="P148" t="s" s="35">
        <v>282</v>
      </c>
      <c r="Q148" t="s" s="120">
        <v>2547</v>
      </c>
      <c r="R148" t="s" s="120">
        <v>1847</v>
      </c>
      <c r="S148" s="121" cm="1">
        <f t="array" ref="S148">_xlfn.IFERROR(ISNUMBER(SEARCH("Conocer",$R148))/(ISNUMBER(SEARCH("Conocer",$R148))+ISNUMBER(SEARCH("Aplicar",$R148))+ISNUMBER(SEARCH("Razonar",$R148))),0)</f>
        <v>0</v>
      </c>
      <c r="T148" s="121" cm="1">
        <f t="array" ref="T148">_xlfn.IFERROR(ISNUMBER(SEARCH("Aplicar",$R148))/(ISNUMBER(SEARCH("Conocer",$R148))+ISNUMBER(SEARCH("Aplicar",$R148))+ISNUMBER(SEARCH("Razonar",$R148))),0)</f>
        <v>1</v>
      </c>
      <c r="U148" s="121" cm="1">
        <f t="array" ref="U148">_xlfn.IFERROR(ISNUMBER(SEARCH("Razonar",$R148))/(ISNUMBER(SEARCH("Conocer",$R148))+ISNUMBER(SEARCH("Aplicar",$R148))+ISNUMBER(SEARCH("Razonar",$R148))),0)</f>
        <v>0</v>
      </c>
      <c r="V148" t="s" s="35">
        <v>77</v>
      </c>
      <c r="W148" t="s" s="35">
        <v>112</v>
      </c>
      <c r="X148" s="36" cm="1">
        <f t="array" ref="X148">IF(OR(_xlfn.IFERROR(INDEX('Datos - Catálogo TIMSS'!$I$5:$I$107,MATCH(K148,'Datos - Catálogo TIMSS'!$A$5:$A$107,0)),"No")="Sí",_xlfn.IFERROR(INDEX('Datos - Catálogo TIMSS'!$I$5:$I$107,MATCH(L148,'Datos - Catálogo TIMSS'!$A$5:$A$107,0)),"No")="Sí"),1,0)</f>
        <v>0</v>
      </c>
      <c r="Y148" s="36" cm="1">
        <f t="array" ref="Y148">IF(_xlfn.IFERROR(INDEX('Datos - Catálogo TIMSS'!$J$5:$J$107,MATCH(K148,'Datos - Catálogo TIMSS'!$A$5:$A$107,0)),"No")="Sí",1,0)</f>
        <v>0</v>
      </c>
      <c r="Z148" s="36" cm="1">
        <f t="array" ref="Z148">IF(_xlfn.IFERROR(INDEX('Datos - Catálogo TIMSS'!$J$5:$J$107,MATCH(L148,'Datos - Catálogo TIMSS'!$A$5:$A$107,0)),"No")="Sí",1,0)</f>
        <v>0</v>
      </c>
      <c r="AA148" t="s" s="35">
        <v>1911</v>
      </c>
      <c r="AB148" s="39"/>
      <c r="AC148" t="str" s="39">
        <v>Ciencias físicas</v>
      </c>
      <c r="AD148" t="s" s="35">
        <v>1859</v>
      </c>
      <c r="AE148" t="str" s="39" cm="1">
        <f t="array" ref="AE148">IF(AD148="","",IF(LEFT(AD148,1)="1","C1",IF(LEFT(AD148,1)="2","C2",IF(LEFT(AD148,1)="3","C3",""))))</f>
        <v>C1</v>
      </c>
      <c r="AF148" t="s" s="35">
        <v>1602</v>
      </c>
      <c r="AG148" t="s" s="35">
        <v>1617</v>
      </c>
      <c r="AH148" t="s" s="35">
        <v>1602</v>
      </c>
      <c r="AI148" t="s" s="35">
        <v>1623</v>
      </c>
      <c r="AJ148" t="s" s="35">
        <v>1615</v>
      </c>
      <c r="AK148" s="39"/>
      <c r="AL148" s="39"/>
      <c r="AM148" s="39"/>
      <c r="AN148" s="39"/>
      <c r="AO148" s="39"/>
      <c r="AP148" s="39"/>
      <c r="AQ148" s="39"/>
      <c r="AR148" s="39"/>
      <c r="AS148" s="39"/>
      <c r="AT148" s="39"/>
      <c r="AU148" s="39"/>
      <c r="AV148" s="39"/>
      <c r="AW148" t="str" s="39" cm="1">
        <f t="array" ref="AW148">AF148&amp;"; "&amp;AG148&amp;"; "&amp;AH148&amp;"; "&amp;AI148&amp;"; "&amp;AJ148</f>
        <v>E1; D1; E1; D4; E6</v>
      </c>
    </row>
    <row r="149" ht="13.65" customHeight="1">
      <c r="A149" t="s" s="35">
        <v>2548</v>
      </c>
      <c r="B149" s="36">
        <v>4</v>
      </c>
      <c r="C149" t="s" s="35">
        <v>1823</v>
      </c>
      <c r="D149" t="s" s="35">
        <v>2513</v>
      </c>
      <c r="E149" t="s" s="35">
        <v>2514</v>
      </c>
      <c r="F149" s="36">
        <v>11</v>
      </c>
      <c r="G149" t="s" s="35">
        <v>294</v>
      </c>
      <c r="H149" t="s" s="35">
        <v>1954</v>
      </c>
      <c r="I149" t="s" s="120">
        <v>2549</v>
      </c>
      <c r="J149" t="s" s="35">
        <v>1055</v>
      </c>
      <c r="K149" t="s" s="35">
        <v>1112</v>
      </c>
      <c r="L149" t="s" s="35">
        <v>295</v>
      </c>
      <c r="M149" t="str" s="39">
        <v>Ciencias físicas</v>
      </c>
      <c r="N149" t="str" s="39">
        <v>Energía y transferencia de energía</v>
      </c>
      <c r="O149" t="str" s="39" cm="1">
        <f t="array" ref="O149">IF(L149="","",_xlfn.IFERROR(INDEX('Datos - Catálogo TIMSS'!$C$5:$C$107,MATCH(L149,'Datos - Catálogo TIMSS'!$A$5:$A$107,0)),"?"))</f>
        <v>Ciencias físicas</v>
      </c>
      <c r="P149" t="s" s="35">
        <v>282</v>
      </c>
      <c r="Q149" t="s" s="120">
        <v>2550</v>
      </c>
      <c r="R149" t="s" s="120">
        <v>2551</v>
      </c>
      <c r="S149" s="121" cm="1">
        <f t="array" ref="S149">_xlfn.IFERROR(ISNUMBER(SEARCH("Conocer",$R149))/(ISNUMBER(SEARCH("Conocer",$R149))+ISNUMBER(SEARCH("Aplicar",$R149))+ISNUMBER(SEARCH("Razonar",$R149))),0)</f>
        <v>0</v>
      </c>
      <c r="T149" s="121" cm="1">
        <f t="array" ref="T149">_xlfn.IFERROR(ISNUMBER(SEARCH("Aplicar",$R149))/(ISNUMBER(SEARCH("Conocer",$R149))+ISNUMBER(SEARCH("Aplicar",$R149))+ISNUMBER(SEARCH("Razonar",$R149))),0)</f>
        <v>1</v>
      </c>
      <c r="U149" s="121" cm="1">
        <f t="array" ref="U149">_xlfn.IFERROR(ISNUMBER(SEARCH("Razonar",$R149))/(ISNUMBER(SEARCH("Conocer",$R149))+ISNUMBER(SEARCH("Aplicar",$R149))+ISNUMBER(SEARCH("Razonar",$R149))),0)</f>
        <v>0</v>
      </c>
      <c r="V149" t="s" s="35">
        <v>77</v>
      </c>
      <c r="W149" t="s" s="35">
        <v>112</v>
      </c>
      <c r="X149" s="36" cm="1">
        <f t="array" ref="X149">IF(OR(_xlfn.IFERROR(INDEX('Datos - Catálogo TIMSS'!$I$5:$I$107,MATCH(K149,'Datos - Catálogo TIMSS'!$A$5:$A$107,0)),"No")="Sí",_xlfn.IFERROR(INDEX('Datos - Catálogo TIMSS'!$I$5:$I$107,MATCH(L149,'Datos - Catálogo TIMSS'!$A$5:$A$107,0)),"No")="Sí"),1,0)</f>
        <v>0</v>
      </c>
      <c r="Y149" s="36" cm="1">
        <f t="array" ref="Y149">IF(_xlfn.IFERROR(INDEX('Datos - Catálogo TIMSS'!$J$5:$J$107,MATCH(K149,'Datos - Catálogo TIMSS'!$A$5:$A$107,0)),"No")="Sí",1,0)</f>
        <v>0</v>
      </c>
      <c r="Z149" s="36" cm="1">
        <f t="array" ref="Z149">IF(_xlfn.IFERROR(INDEX('Datos - Catálogo TIMSS'!$J$5:$J$107,MATCH(L149,'Datos - Catálogo TIMSS'!$A$5:$A$107,0)),"No")="Sí",1,0)</f>
        <v>0</v>
      </c>
      <c r="AA149" t="s" s="35">
        <v>1924</v>
      </c>
      <c r="AB149" t="s" s="35">
        <v>1911</v>
      </c>
      <c r="AC149" t="str" s="39">
        <v>Ciencias físicas</v>
      </c>
      <c r="AD149" t="s" s="35">
        <v>1859</v>
      </c>
      <c r="AE149" t="str" s="39" cm="1">
        <f t="array" ref="AE149">IF(AD149="","",IF(LEFT(AD149,1)="1","C1",IF(LEFT(AD149,1)="2","C2",IF(LEFT(AD149,1)="3","C3",""))))</f>
        <v>C1</v>
      </c>
      <c r="AF149" t="s" s="35">
        <v>1602</v>
      </c>
      <c r="AG149" t="s" s="35">
        <v>1612</v>
      </c>
      <c r="AH149" t="s" s="35">
        <v>1605</v>
      </c>
      <c r="AI149" t="s" s="35">
        <v>1623</v>
      </c>
      <c r="AJ149" t="s" s="35">
        <v>1602</v>
      </c>
      <c r="AK149" s="39"/>
      <c r="AL149" s="39"/>
      <c r="AM149" s="39"/>
      <c r="AN149" s="39"/>
      <c r="AO149" s="39"/>
      <c r="AP149" s="39"/>
      <c r="AQ149" s="39"/>
      <c r="AR149" s="39"/>
      <c r="AS149" s="39"/>
      <c r="AT149" s="39"/>
      <c r="AU149" s="39"/>
      <c r="AV149" s="39"/>
      <c r="AW149" t="str" s="39" cm="1">
        <f t="array" ref="AW149">AF149&amp;"; "&amp;AG149&amp;"; "&amp;AH149&amp;"; "&amp;AI149&amp;"; "&amp;AJ149</f>
        <v>E1; E5; E2; D4; E1</v>
      </c>
    </row>
    <row r="150" ht="13.65" customHeight="1">
      <c r="A150" t="s" s="35">
        <v>2552</v>
      </c>
      <c r="B150" s="36">
        <v>4</v>
      </c>
      <c r="C150" t="s" s="35">
        <v>1823</v>
      </c>
      <c r="D150" t="s" s="35">
        <v>2513</v>
      </c>
      <c r="E150" t="s" s="35">
        <v>2514</v>
      </c>
      <c r="F150" s="36">
        <v>12</v>
      </c>
      <c r="G150" t="s" s="35">
        <v>294</v>
      </c>
      <c r="H150" t="s" s="35">
        <v>1954</v>
      </c>
      <c r="I150" t="s" s="120">
        <v>2553</v>
      </c>
      <c r="J150" t="s" s="35">
        <v>1055</v>
      </c>
      <c r="K150" t="s" s="35">
        <v>295</v>
      </c>
      <c r="L150" t="s" s="35">
        <v>1112</v>
      </c>
      <c r="M150" t="str" s="39">
        <v>Ciencias físicas</v>
      </c>
      <c r="N150" t="str" s="39">
        <v>Electricidad y magnetismo</v>
      </c>
      <c r="O150" t="str" s="39" cm="1">
        <f t="array" ref="O150">IF(L150="","",_xlfn.IFERROR(INDEX('Datos - Catálogo TIMSS'!$C$5:$C$107,MATCH(L150,'Datos - Catálogo TIMSS'!$A$5:$A$107,0)),"?"))</f>
        <v>Ciencias físicas</v>
      </c>
      <c r="P150" t="s" s="35">
        <v>291</v>
      </c>
      <c r="Q150" t="s" s="120">
        <v>2554</v>
      </c>
      <c r="R150" t="s" s="120">
        <v>2555</v>
      </c>
      <c r="S150" s="121" cm="1">
        <f t="array" ref="S150">_xlfn.IFERROR(ISNUMBER(SEARCH("Conocer",$R150))/(ISNUMBER(SEARCH("Conocer",$R150))+ISNUMBER(SEARCH("Aplicar",$R150))+ISNUMBER(SEARCH("Razonar",$R150))),0)</f>
        <v>0</v>
      </c>
      <c r="T150" s="121" cm="1">
        <f t="array" ref="T150">_xlfn.IFERROR(ISNUMBER(SEARCH("Aplicar",$R150))/(ISNUMBER(SEARCH("Conocer",$R150))+ISNUMBER(SEARCH("Aplicar",$R150))+ISNUMBER(SEARCH("Razonar",$R150))),0)</f>
        <v>0.5</v>
      </c>
      <c r="U150" s="121" cm="1">
        <f t="array" ref="U150">_xlfn.IFERROR(ISNUMBER(SEARCH("Razonar",$R150))/(ISNUMBER(SEARCH("Conocer",$R150))+ISNUMBER(SEARCH("Aplicar",$R150))+ISNUMBER(SEARCH("Razonar",$R150))),0)</f>
        <v>0.5</v>
      </c>
      <c r="V150" t="s" s="35">
        <v>77</v>
      </c>
      <c r="W150" t="s" s="35">
        <v>112</v>
      </c>
      <c r="X150" s="36" cm="1">
        <f t="array" ref="X150">IF(OR(_xlfn.IFERROR(INDEX('Datos - Catálogo TIMSS'!$I$5:$I$107,MATCH(K150,'Datos - Catálogo TIMSS'!$A$5:$A$107,0)),"No")="Sí",_xlfn.IFERROR(INDEX('Datos - Catálogo TIMSS'!$I$5:$I$107,MATCH(L150,'Datos - Catálogo TIMSS'!$A$5:$A$107,0)),"No")="Sí"),1,0)</f>
        <v>0</v>
      </c>
      <c r="Y150" s="36" cm="1">
        <f t="array" ref="Y150">IF(_xlfn.IFERROR(INDEX('Datos - Catálogo TIMSS'!$J$5:$J$107,MATCH(K150,'Datos - Catálogo TIMSS'!$A$5:$A$107,0)),"No")="Sí",1,0)</f>
        <v>0</v>
      </c>
      <c r="Z150" s="36" cm="1">
        <f t="array" ref="Z150">IF(_xlfn.IFERROR(INDEX('Datos - Catálogo TIMSS'!$J$5:$J$107,MATCH(L150,'Datos - Catálogo TIMSS'!$A$5:$A$107,0)),"No")="Sí",1,0)</f>
        <v>0</v>
      </c>
      <c r="AA150" t="s" s="35">
        <v>1924</v>
      </c>
      <c r="AB150" s="39"/>
      <c r="AC150" t="str" s="39">
        <v>Ciencias físicas</v>
      </c>
      <c r="AD150" t="s" s="35">
        <v>1834</v>
      </c>
      <c r="AE150" t="str" s="39" cm="1">
        <f t="array" ref="AE150">IF(AD150="","",IF(LEFT(AD150,1)="1","C1",IF(LEFT(AD150,1)="2","C2",IF(LEFT(AD150,1)="3","C3",""))))</f>
        <v>C2</v>
      </c>
      <c r="AF150" t="s" s="35">
        <v>1602</v>
      </c>
      <c r="AG150" t="s" s="35">
        <v>1617</v>
      </c>
      <c r="AH150" t="s" s="35">
        <v>1602</v>
      </c>
      <c r="AI150" t="s" s="35">
        <v>1623</v>
      </c>
      <c r="AJ150" t="s" s="35">
        <v>1633</v>
      </c>
      <c r="AK150" s="39"/>
      <c r="AL150" s="39"/>
      <c r="AM150" s="39"/>
      <c r="AN150" s="39"/>
      <c r="AO150" s="39"/>
      <c r="AP150" s="39"/>
      <c r="AQ150" s="39"/>
      <c r="AR150" s="39"/>
      <c r="AS150" s="39"/>
      <c r="AT150" s="39"/>
      <c r="AU150" s="39"/>
      <c r="AV150" s="39"/>
      <c r="AW150" t="str" s="39" cm="1">
        <f t="array" ref="AW150">AF150&amp;"; "&amp;AG150&amp;"; "&amp;AH150&amp;"; "&amp;AI150&amp;"; "&amp;AJ150</f>
        <v>E1; D1; E1; D4; I5</v>
      </c>
    </row>
    <row r="151" ht="13.65" customHeight="1">
      <c r="A151" t="s" s="35">
        <v>2556</v>
      </c>
      <c r="B151" s="36">
        <v>4</v>
      </c>
      <c r="C151" t="s" s="35">
        <v>1823</v>
      </c>
      <c r="D151" t="s" s="35">
        <v>2513</v>
      </c>
      <c r="E151" t="s" s="35">
        <v>2557</v>
      </c>
      <c r="F151" s="36">
        <v>3</v>
      </c>
      <c r="G151" t="s" s="35">
        <v>344</v>
      </c>
      <c r="H151" t="s" s="35">
        <v>2558</v>
      </c>
      <c r="I151" t="s" s="120">
        <v>2559</v>
      </c>
      <c r="J151" t="s" s="35">
        <v>1055</v>
      </c>
      <c r="K151" t="s" s="35">
        <v>346</v>
      </c>
      <c r="L151" s="39"/>
      <c r="M151" t="str" s="39">
        <v>Biología</v>
      </c>
      <c r="N151" t="str" s="39">
        <v>Salud humana</v>
      </c>
      <c r="O151" t="str" s="39" cm="1">
        <f t="array" ref="O151">IF(L151="","",_xlfn.IFERROR(INDEX('Datos - Catálogo TIMSS'!$C$5:$C$107,MATCH(L151,'Datos - Catálogo TIMSS'!$A$5:$A$107,0)),"?"))</f>
      </c>
      <c r="P151" t="s" s="35">
        <v>282</v>
      </c>
      <c r="Q151" t="s" s="120">
        <v>2560</v>
      </c>
      <c r="R151" t="s" s="120">
        <v>2561</v>
      </c>
      <c r="S151" s="121" cm="1">
        <f t="array" ref="S151">_xlfn.IFERROR(ISNUMBER(SEARCH("Conocer",$R151))/(ISNUMBER(SEARCH("Conocer",$R151))+ISNUMBER(SEARCH("Aplicar",$R151))+ISNUMBER(SEARCH("Razonar",$R151))),0)</f>
        <v>1</v>
      </c>
      <c r="T151" s="121" cm="1">
        <f t="array" ref="T151">_xlfn.IFERROR(ISNUMBER(SEARCH("Aplicar",$R151))/(ISNUMBER(SEARCH("Conocer",$R151))+ISNUMBER(SEARCH("Aplicar",$R151))+ISNUMBER(SEARCH("Razonar",$R151))),0)</f>
        <v>0</v>
      </c>
      <c r="U151" s="121" cm="1">
        <f t="array" ref="U151">_xlfn.IFERROR(ISNUMBER(SEARCH("Razonar",$R151))/(ISNUMBER(SEARCH("Conocer",$R151))+ISNUMBER(SEARCH("Aplicar",$R151))+ISNUMBER(SEARCH("Razonar",$R151))),0)</f>
        <v>0</v>
      </c>
      <c r="V151" t="s" s="35">
        <v>77</v>
      </c>
      <c r="W151" t="s" s="35">
        <v>112</v>
      </c>
      <c r="X151" s="36" cm="1">
        <f t="array" ref="X151">IF(OR(_xlfn.IFERROR(INDEX('Datos - Catálogo TIMSS'!$I$5:$I$107,MATCH(K151,'Datos - Catálogo TIMSS'!$A$5:$A$107,0)),"No")="Sí",_xlfn.IFERROR(INDEX('Datos - Catálogo TIMSS'!$I$5:$I$107,MATCH(L151,'Datos - Catálogo TIMSS'!$A$5:$A$107,0)),"No")="Sí"),1,0)</f>
        <v>0</v>
      </c>
      <c r="Y151" s="36" cm="1">
        <f t="array" ref="Y151">IF(_xlfn.IFERROR(INDEX('Datos - Catálogo TIMSS'!$J$5:$J$107,MATCH(K151,'Datos - Catálogo TIMSS'!$A$5:$A$107,0)),"No")="Sí",1,0)</f>
        <v>0</v>
      </c>
      <c r="Z151" s="36" cm="1">
        <f t="array" ref="Z151">IF(_xlfn.IFERROR(INDEX('Datos - Catálogo TIMSS'!$J$5:$J$107,MATCH(L151,'Datos - Catálogo TIMSS'!$A$5:$A$107,0)),"No")="Sí",1,0)</f>
        <v>0</v>
      </c>
      <c r="AA151" t="s" s="35">
        <v>2213</v>
      </c>
      <c r="AB151" s="39"/>
      <c r="AC151" t="str" s="39">
        <v>Ciencias de la vida</v>
      </c>
      <c r="AD151" t="s" s="35">
        <v>1859</v>
      </c>
      <c r="AE151" t="str" s="39" cm="1">
        <f t="array" ref="AE151">IF(AD151="","",IF(LEFT(AD151,1)="1","C1",IF(LEFT(AD151,1)="2","C2",IF(LEFT(AD151,1)="3","C3",""))))</f>
        <v>C1</v>
      </c>
      <c r="AF151" t="s" s="35">
        <v>1602</v>
      </c>
      <c r="AG151" t="s" s="35">
        <v>1617</v>
      </c>
      <c r="AH151" t="s" s="35">
        <v>1602</v>
      </c>
      <c r="AI151" t="s" s="35">
        <v>1623</v>
      </c>
      <c r="AJ151" t="s" s="35">
        <v>1615</v>
      </c>
      <c r="AK151" s="39"/>
      <c r="AL151" s="39"/>
      <c r="AM151" s="39"/>
      <c r="AN151" s="39"/>
      <c r="AO151" s="39"/>
      <c r="AP151" s="39"/>
      <c r="AQ151" s="39"/>
      <c r="AR151" s="39"/>
      <c r="AS151" s="39"/>
      <c r="AT151" s="39"/>
      <c r="AU151" s="39"/>
      <c r="AV151" s="39"/>
      <c r="AW151" t="str" s="39" cm="1">
        <f t="array" ref="AW151">AF151&amp;"; "&amp;AG151&amp;"; "&amp;AH151&amp;"; "&amp;AI151&amp;"; "&amp;AJ151</f>
        <v>E1; D1; E1; D4; E6</v>
      </c>
    </row>
    <row r="152" ht="13.65" customHeight="1">
      <c r="A152" t="s" s="35">
        <v>2562</v>
      </c>
      <c r="B152" s="36">
        <v>4</v>
      </c>
      <c r="C152" t="s" s="35">
        <v>1823</v>
      </c>
      <c r="D152" t="s" s="35">
        <v>2513</v>
      </c>
      <c r="E152" t="s" s="35">
        <v>2557</v>
      </c>
      <c r="F152" s="36">
        <v>4</v>
      </c>
      <c r="G152" t="s" s="35">
        <v>344</v>
      </c>
      <c r="H152" t="s" s="35">
        <v>2558</v>
      </c>
      <c r="I152" t="s" s="120">
        <v>2563</v>
      </c>
      <c r="J152" t="s" s="35">
        <v>1055</v>
      </c>
      <c r="K152" t="s" s="35">
        <v>346</v>
      </c>
      <c r="L152" s="39"/>
      <c r="M152" t="str" s="39">
        <v>Biología</v>
      </c>
      <c r="N152" t="str" s="39">
        <v>Salud humana</v>
      </c>
      <c r="O152" t="str" s="39" cm="1">
        <f t="array" ref="O152">IF(L152="","",_xlfn.IFERROR(INDEX('Datos - Catálogo TIMSS'!$C$5:$C$107,MATCH(L152,'Datos - Catálogo TIMSS'!$A$5:$A$107,0)),"?"))</f>
      </c>
      <c r="P152" t="s" s="35">
        <v>282</v>
      </c>
      <c r="Q152" t="s" s="120">
        <v>2564</v>
      </c>
      <c r="R152" t="s" s="120">
        <v>1847</v>
      </c>
      <c r="S152" s="121" cm="1">
        <f t="array" ref="S152">_xlfn.IFERROR(ISNUMBER(SEARCH("Conocer",$R152))/(ISNUMBER(SEARCH("Conocer",$R152))+ISNUMBER(SEARCH("Aplicar",$R152))+ISNUMBER(SEARCH("Razonar",$R152))),0)</f>
        <v>0</v>
      </c>
      <c r="T152" s="121" cm="1">
        <f t="array" ref="T152">_xlfn.IFERROR(ISNUMBER(SEARCH("Aplicar",$R152))/(ISNUMBER(SEARCH("Conocer",$R152))+ISNUMBER(SEARCH("Aplicar",$R152))+ISNUMBER(SEARCH("Razonar",$R152))),0)</f>
        <v>1</v>
      </c>
      <c r="U152" s="121" cm="1">
        <f t="array" ref="U152">_xlfn.IFERROR(ISNUMBER(SEARCH("Razonar",$R152))/(ISNUMBER(SEARCH("Conocer",$R152))+ISNUMBER(SEARCH("Aplicar",$R152))+ISNUMBER(SEARCH("Razonar",$R152))),0)</f>
        <v>0</v>
      </c>
      <c r="V152" t="s" s="35">
        <v>77</v>
      </c>
      <c r="W152" t="s" s="35">
        <v>112</v>
      </c>
      <c r="X152" s="36" cm="1">
        <f t="array" ref="X152">IF(OR(_xlfn.IFERROR(INDEX('Datos - Catálogo TIMSS'!$I$5:$I$107,MATCH(K152,'Datos - Catálogo TIMSS'!$A$5:$A$107,0)),"No")="Sí",_xlfn.IFERROR(INDEX('Datos - Catálogo TIMSS'!$I$5:$I$107,MATCH(L152,'Datos - Catálogo TIMSS'!$A$5:$A$107,0)),"No")="Sí"),1,0)</f>
        <v>0</v>
      </c>
      <c r="Y152" s="36" cm="1">
        <f t="array" ref="Y152">IF(_xlfn.IFERROR(INDEX('Datos - Catálogo TIMSS'!$J$5:$J$107,MATCH(K152,'Datos - Catálogo TIMSS'!$A$5:$A$107,0)),"No")="Sí",1,0)</f>
        <v>0</v>
      </c>
      <c r="Z152" s="36" cm="1">
        <f t="array" ref="Z152">IF(_xlfn.IFERROR(INDEX('Datos - Catálogo TIMSS'!$J$5:$J$107,MATCH(L152,'Datos - Catálogo TIMSS'!$A$5:$A$107,0)),"No")="Sí",1,0)</f>
        <v>0</v>
      </c>
      <c r="AA152" t="s" s="35">
        <v>2213</v>
      </c>
      <c r="AB152" s="39"/>
      <c r="AC152" t="str" s="39">
        <v>Ciencias de la vida</v>
      </c>
      <c r="AD152" t="s" s="35">
        <v>1859</v>
      </c>
      <c r="AE152" t="str" s="39" cm="1">
        <f t="array" ref="AE152">IF(AD152="","",IF(LEFT(AD152,1)="1","C1",IF(LEFT(AD152,1)="2","C2",IF(LEFT(AD152,1)="3","C3",""))))</f>
        <v>C1</v>
      </c>
      <c r="AF152" t="s" s="35">
        <v>1602</v>
      </c>
      <c r="AG152" t="s" s="35">
        <v>1617</v>
      </c>
      <c r="AH152" t="s" s="35">
        <v>1602</v>
      </c>
      <c r="AI152" t="s" s="35">
        <v>1623</v>
      </c>
      <c r="AJ152" t="s" s="35">
        <v>1602</v>
      </c>
      <c r="AK152" s="39"/>
      <c r="AL152" s="39"/>
      <c r="AM152" s="39"/>
      <c r="AN152" s="39"/>
      <c r="AO152" s="39"/>
      <c r="AP152" s="39"/>
      <c r="AQ152" s="39"/>
      <c r="AR152" s="39"/>
      <c r="AS152" s="39"/>
      <c r="AT152" s="39"/>
      <c r="AU152" s="39"/>
      <c r="AV152" s="39"/>
      <c r="AW152" t="str" s="39" cm="1">
        <f t="array" ref="AW152">AF152&amp;"; "&amp;AG152&amp;"; "&amp;AH152&amp;"; "&amp;AI152&amp;"; "&amp;AJ152</f>
        <v>E1; D1; E1; D4; E1</v>
      </c>
    </row>
    <row r="153" ht="13.65" customHeight="1">
      <c r="A153" t="s" s="35">
        <v>2565</v>
      </c>
      <c r="B153" s="36">
        <v>4</v>
      </c>
      <c r="C153" t="s" s="35">
        <v>1823</v>
      </c>
      <c r="D153" t="s" s="35">
        <v>2513</v>
      </c>
      <c r="E153" t="s" s="35">
        <v>2557</v>
      </c>
      <c r="F153" s="36">
        <v>5</v>
      </c>
      <c r="G153" t="s" s="35">
        <v>344</v>
      </c>
      <c r="H153" t="s" s="35">
        <v>2566</v>
      </c>
      <c r="I153" t="s" s="120">
        <v>2567</v>
      </c>
      <c r="J153" t="s" s="35">
        <v>1055</v>
      </c>
      <c r="K153" t="s" s="35">
        <v>346</v>
      </c>
      <c r="L153" s="39"/>
      <c r="M153" t="str" s="39">
        <v>Biología</v>
      </c>
      <c r="N153" t="str" s="39">
        <v>Salud humana</v>
      </c>
      <c r="O153" t="str" s="39" cm="1">
        <f t="array" ref="O153">IF(L153="","",_xlfn.IFERROR(INDEX('Datos - Catálogo TIMSS'!$C$5:$C$107,MATCH(L153,'Datos - Catálogo TIMSS'!$A$5:$A$107,0)),"?"))</f>
      </c>
      <c r="P153" t="s" s="35">
        <v>282</v>
      </c>
      <c r="Q153" t="s" s="120">
        <v>2568</v>
      </c>
      <c r="R153" t="s" s="120">
        <v>2569</v>
      </c>
      <c r="S153" s="121" cm="1">
        <f t="array" ref="S153">_xlfn.IFERROR(ISNUMBER(SEARCH("Conocer",$R153))/(ISNUMBER(SEARCH("Conocer",$R153))+ISNUMBER(SEARCH("Aplicar",$R153))+ISNUMBER(SEARCH("Razonar",$R153))),0)</f>
        <v>0</v>
      </c>
      <c r="T153" s="121" cm="1">
        <f t="array" ref="T153">_xlfn.IFERROR(ISNUMBER(SEARCH("Aplicar",$R153))/(ISNUMBER(SEARCH("Conocer",$R153))+ISNUMBER(SEARCH("Aplicar",$R153))+ISNUMBER(SEARCH("Razonar",$R153))),0)</f>
        <v>0.5</v>
      </c>
      <c r="U153" s="121" cm="1">
        <f t="array" ref="U153">_xlfn.IFERROR(ISNUMBER(SEARCH("Razonar",$R153))/(ISNUMBER(SEARCH("Conocer",$R153))+ISNUMBER(SEARCH("Aplicar",$R153))+ISNUMBER(SEARCH("Razonar",$R153))),0)</f>
        <v>0.5</v>
      </c>
      <c r="V153" t="s" s="35">
        <v>77</v>
      </c>
      <c r="W153" t="s" s="35">
        <v>112</v>
      </c>
      <c r="X153" s="36" cm="1">
        <f t="array" ref="X153">IF(OR(_xlfn.IFERROR(INDEX('Datos - Catálogo TIMSS'!$I$5:$I$107,MATCH(K153,'Datos - Catálogo TIMSS'!$A$5:$A$107,0)),"No")="Sí",_xlfn.IFERROR(INDEX('Datos - Catálogo TIMSS'!$I$5:$I$107,MATCH(L153,'Datos - Catálogo TIMSS'!$A$5:$A$107,0)),"No")="Sí"),1,0)</f>
        <v>0</v>
      </c>
      <c r="Y153" s="36" cm="1">
        <f t="array" ref="Y153">IF(_xlfn.IFERROR(INDEX('Datos - Catálogo TIMSS'!$J$5:$J$107,MATCH(K153,'Datos - Catálogo TIMSS'!$A$5:$A$107,0)),"No")="Sí",1,0)</f>
        <v>0</v>
      </c>
      <c r="Z153" s="36" cm="1">
        <f t="array" ref="Z153">IF(_xlfn.IFERROR(INDEX('Datos - Catálogo TIMSS'!$J$5:$J$107,MATCH(L153,'Datos - Catálogo TIMSS'!$A$5:$A$107,0)),"No")="Sí",1,0)</f>
        <v>0</v>
      </c>
      <c r="AA153" t="s" s="35">
        <v>2213</v>
      </c>
      <c r="AB153" s="39"/>
      <c r="AC153" t="str" s="39">
        <v>Ciencias de la vida</v>
      </c>
      <c r="AD153" t="s" s="35">
        <v>1834</v>
      </c>
      <c r="AE153" t="str" s="39" cm="1">
        <f t="array" ref="AE153">IF(AD153="","",IF(LEFT(AD153,1)="1","C1",IF(LEFT(AD153,1)="2","C2",IF(LEFT(AD153,1)="3","C3",""))))</f>
        <v>C2</v>
      </c>
      <c r="AF153" t="s" s="35">
        <v>1602</v>
      </c>
      <c r="AG153" t="s" s="35">
        <v>1607</v>
      </c>
      <c r="AH153" t="s" s="35">
        <v>1605</v>
      </c>
      <c r="AI153" t="s" s="35">
        <v>1623</v>
      </c>
      <c r="AJ153" t="s" s="35">
        <v>1631</v>
      </c>
      <c r="AK153" s="39"/>
      <c r="AL153" s="39"/>
      <c r="AM153" s="39"/>
      <c r="AN153" s="39"/>
      <c r="AO153" s="39"/>
      <c r="AP153" s="39"/>
      <c r="AQ153" s="39"/>
      <c r="AR153" s="39"/>
      <c r="AS153" s="39"/>
      <c r="AT153" s="39"/>
      <c r="AU153" s="39"/>
      <c r="AV153" s="39"/>
      <c r="AW153" t="str" s="39" cm="1">
        <f t="array" ref="AW153">AF153&amp;"; "&amp;AG153&amp;"; "&amp;AH153&amp;"; "&amp;AI153&amp;"; "&amp;AJ153</f>
        <v>E1; E3; E2; D4; I4</v>
      </c>
    </row>
    <row r="154" ht="13.65" customHeight="1">
      <c r="A154" t="s" s="35">
        <v>2571</v>
      </c>
      <c r="B154" s="36">
        <v>4</v>
      </c>
      <c r="C154" t="s" s="35">
        <v>1823</v>
      </c>
      <c r="D154" t="s" s="35">
        <v>2513</v>
      </c>
      <c r="E154" t="s" s="35">
        <v>2557</v>
      </c>
      <c r="F154" s="36">
        <v>6</v>
      </c>
      <c r="G154" t="s" s="35">
        <v>344</v>
      </c>
      <c r="H154" t="s" s="35">
        <v>2566</v>
      </c>
      <c r="I154" t="s" s="120">
        <v>2572</v>
      </c>
      <c r="J154" t="s" s="35">
        <v>1055</v>
      </c>
      <c r="K154" t="s" s="35">
        <v>346</v>
      </c>
      <c r="L154" s="39"/>
      <c r="M154" t="str" s="39">
        <v>Biología</v>
      </c>
      <c r="N154" t="str" s="39">
        <v>Salud humana</v>
      </c>
      <c r="O154" t="str" s="39" cm="1">
        <f t="array" ref="O154">IF(L154="","",_xlfn.IFERROR(INDEX('Datos - Catálogo TIMSS'!$C$5:$C$107,MATCH(L154,'Datos - Catálogo TIMSS'!$A$5:$A$107,0)),"?"))</f>
      </c>
      <c r="P154" t="s" s="35">
        <v>282</v>
      </c>
      <c r="Q154" t="s" s="120">
        <v>2573</v>
      </c>
      <c r="R154" t="s" s="120">
        <v>2574</v>
      </c>
      <c r="S154" s="121" cm="1">
        <f t="array" ref="S154">_xlfn.IFERROR(ISNUMBER(SEARCH("Conocer",$R154))/(ISNUMBER(SEARCH("Conocer",$R154))+ISNUMBER(SEARCH("Aplicar",$R154))+ISNUMBER(SEARCH("Razonar",$R154))),0)</f>
        <v>0</v>
      </c>
      <c r="T154" s="121" cm="1">
        <f t="array" ref="T154">_xlfn.IFERROR(ISNUMBER(SEARCH("Aplicar",$R154))/(ISNUMBER(SEARCH("Conocer",$R154))+ISNUMBER(SEARCH("Aplicar",$R154))+ISNUMBER(SEARCH("Razonar",$R154))),0)</f>
        <v>0.5</v>
      </c>
      <c r="U154" s="121" cm="1">
        <f t="array" ref="U154">_xlfn.IFERROR(ISNUMBER(SEARCH("Razonar",$R154))/(ISNUMBER(SEARCH("Conocer",$R154))+ISNUMBER(SEARCH("Aplicar",$R154))+ISNUMBER(SEARCH("Razonar",$R154))),0)</f>
        <v>0.5</v>
      </c>
      <c r="V154" t="s" s="35">
        <v>77</v>
      </c>
      <c r="W154" t="s" s="35">
        <v>112</v>
      </c>
      <c r="X154" s="36" cm="1">
        <f t="array" ref="X154">IF(OR(_xlfn.IFERROR(INDEX('Datos - Catálogo TIMSS'!$I$5:$I$107,MATCH(K154,'Datos - Catálogo TIMSS'!$A$5:$A$107,0)),"No")="Sí",_xlfn.IFERROR(INDEX('Datos - Catálogo TIMSS'!$I$5:$I$107,MATCH(L154,'Datos - Catálogo TIMSS'!$A$5:$A$107,0)),"No")="Sí"),1,0)</f>
        <v>0</v>
      </c>
      <c r="Y154" s="36" cm="1">
        <f t="array" ref="Y154">IF(_xlfn.IFERROR(INDEX('Datos - Catálogo TIMSS'!$J$5:$J$107,MATCH(K154,'Datos - Catálogo TIMSS'!$A$5:$A$107,0)),"No")="Sí",1,0)</f>
        <v>0</v>
      </c>
      <c r="Z154" s="36" cm="1">
        <f t="array" ref="Z154">IF(_xlfn.IFERROR(INDEX('Datos - Catálogo TIMSS'!$J$5:$J$107,MATCH(L154,'Datos - Catálogo TIMSS'!$A$5:$A$107,0)),"No")="Sí",1,0)</f>
        <v>0</v>
      </c>
      <c r="AA154" t="s" s="35">
        <v>2213</v>
      </c>
      <c r="AB154" s="39"/>
      <c r="AC154" t="str" s="39">
        <v>Ciencias de la vida</v>
      </c>
      <c r="AD154" t="s" s="35">
        <v>1834</v>
      </c>
      <c r="AE154" t="str" s="39" cm="1">
        <f t="array" ref="AE154">IF(AD154="","",IF(LEFT(AD154,1)="1","C1",IF(LEFT(AD154,1)="2","C2",IF(LEFT(AD154,1)="3","C3",""))))</f>
        <v>C2</v>
      </c>
      <c r="AF154" t="s" s="35">
        <v>1602</v>
      </c>
      <c r="AG154" t="s" s="35">
        <v>1617</v>
      </c>
      <c r="AH154" t="s" s="35">
        <v>1602</v>
      </c>
      <c r="AI154" t="s" s="35">
        <v>1623</v>
      </c>
      <c r="AJ154" t="s" s="35">
        <v>1633</v>
      </c>
      <c r="AK154" s="39"/>
      <c r="AL154" s="39"/>
      <c r="AM154" s="39"/>
      <c r="AN154" s="39"/>
      <c r="AO154" s="39"/>
      <c r="AP154" s="39"/>
      <c r="AQ154" s="39"/>
      <c r="AR154" s="39"/>
      <c r="AS154" s="39"/>
      <c r="AT154" s="39"/>
      <c r="AU154" s="39"/>
      <c r="AV154" s="39"/>
      <c r="AW154" t="str" s="39" cm="1">
        <f t="array" ref="AW154">AF154&amp;"; "&amp;AG154&amp;"; "&amp;AH154&amp;"; "&amp;AI154&amp;"; "&amp;AJ154</f>
        <v>E1; D1; E1; D4; I5</v>
      </c>
    </row>
    <row r="155" ht="13.65" customHeight="1">
      <c r="A155" t="s" s="35">
        <v>2575</v>
      </c>
      <c r="B155" s="36">
        <v>4</v>
      </c>
      <c r="C155" t="s" s="35">
        <v>1823</v>
      </c>
      <c r="D155" t="s" s="35">
        <v>2513</v>
      </c>
      <c r="E155" t="s" s="35">
        <v>2557</v>
      </c>
      <c r="F155" s="36">
        <v>7</v>
      </c>
      <c r="G155" t="s" s="35">
        <v>344</v>
      </c>
      <c r="H155" t="s" s="35">
        <v>2566</v>
      </c>
      <c r="I155" t="s" s="120">
        <v>2576</v>
      </c>
      <c r="J155" t="s" s="35">
        <v>1055</v>
      </c>
      <c r="K155" t="s" s="35">
        <v>346</v>
      </c>
      <c r="L155" s="39"/>
      <c r="M155" t="str" s="39">
        <v>Biología</v>
      </c>
      <c r="N155" t="str" s="39">
        <v>Salud humana</v>
      </c>
      <c r="O155" t="str" s="39" cm="1">
        <f t="array" ref="O155">IF(L155="","",_xlfn.IFERROR(INDEX('Datos - Catálogo TIMSS'!$C$5:$C$107,MATCH(L155,'Datos - Catálogo TIMSS'!$A$5:$A$107,0)),"?"))</f>
      </c>
      <c r="P155" t="s" s="35">
        <v>282</v>
      </c>
      <c r="Q155" t="s" s="120">
        <v>2577</v>
      </c>
      <c r="R155" t="s" s="120">
        <v>2578</v>
      </c>
      <c r="S155" s="121" cm="1">
        <f t="array" ref="S155">_xlfn.IFERROR(ISNUMBER(SEARCH("Conocer",$R155))/(ISNUMBER(SEARCH("Conocer",$R155))+ISNUMBER(SEARCH("Aplicar",$R155))+ISNUMBER(SEARCH("Razonar",$R155))),0)</f>
        <v>0</v>
      </c>
      <c r="T155" s="121" cm="1">
        <f t="array" ref="T155">_xlfn.IFERROR(ISNUMBER(SEARCH("Aplicar",$R155))/(ISNUMBER(SEARCH("Conocer",$R155))+ISNUMBER(SEARCH("Aplicar",$R155))+ISNUMBER(SEARCH("Razonar",$R155))),0)</f>
        <v>1</v>
      </c>
      <c r="U155" s="121" cm="1">
        <f t="array" ref="U155">_xlfn.IFERROR(ISNUMBER(SEARCH("Razonar",$R155))/(ISNUMBER(SEARCH("Conocer",$R155))+ISNUMBER(SEARCH("Aplicar",$R155))+ISNUMBER(SEARCH("Razonar",$R155))),0)</f>
        <v>0</v>
      </c>
      <c r="V155" t="s" s="35">
        <v>77</v>
      </c>
      <c r="W155" t="s" s="35">
        <v>112</v>
      </c>
      <c r="X155" s="36" cm="1">
        <f t="array" ref="X155">IF(OR(_xlfn.IFERROR(INDEX('Datos - Catálogo TIMSS'!$I$5:$I$107,MATCH(K155,'Datos - Catálogo TIMSS'!$A$5:$A$107,0)),"No")="Sí",_xlfn.IFERROR(INDEX('Datos - Catálogo TIMSS'!$I$5:$I$107,MATCH(L155,'Datos - Catálogo TIMSS'!$A$5:$A$107,0)),"No")="Sí"),1,0)</f>
        <v>0</v>
      </c>
      <c r="Y155" s="36" cm="1">
        <f t="array" ref="Y155">IF(_xlfn.IFERROR(INDEX('Datos - Catálogo TIMSS'!$J$5:$J$107,MATCH(K155,'Datos - Catálogo TIMSS'!$A$5:$A$107,0)),"No")="Sí",1,0)</f>
        <v>0</v>
      </c>
      <c r="Z155" s="36" cm="1">
        <f t="array" ref="Z155">IF(_xlfn.IFERROR(INDEX('Datos - Catálogo TIMSS'!$J$5:$J$107,MATCH(L155,'Datos - Catálogo TIMSS'!$A$5:$A$107,0)),"No")="Sí",1,0)</f>
        <v>0</v>
      </c>
      <c r="AA155" t="s" s="35">
        <v>2213</v>
      </c>
      <c r="AB155" s="39"/>
      <c r="AC155" t="str" s="39">
        <v>Ciencias de la vida</v>
      </c>
      <c r="AD155" t="s" s="35">
        <v>1834</v>
      </c>
      <c r="AE155" t="str" s="39" cm="1">
        <f t="array" ref="AE155">IF(AD155="","",IF(LEFT(AD155,1)="1","C1",IF(LEFT(AD155,1)="2","C2",IF(LEFT(AD155,1)="3","C3",""))))</f>
        <v>C2</v>
      </c>
      <c r="AF155" t="s" s="35">
        <v>1602</v>
      </c>
      <c r="AG155" t="s" s="35">
        <v>1607</v>
      </c>
      <c r="AH155" t="s" s="35">
        <v>1602</v>
      </c>
      <c r="AI155" t="s" s="35">
        <v>1623</v>
      </c>
      <c r="AJ155" t="s" s="35">
        <v>1615</v>
      </c>
      <c r="AK155" s="39"/>
      <c r="AL155" s="39"/>
      <c r="AM155" s="39"/>
      <c r="AN155" s="39"/>
      <c r="AO155" s="39"/>
      <c r="AP155" s="39"/>
      <c r="AQ155" s="39"/>
      <c r="AR155" s="39"/>
      <c r="AS155" s="39"/>
      <c r="AT155" s="39"/>
      <c r="AU155" s="39"/>
      <c r="AV155" s="39"/>
      <c r="AW155" t="str" s="39" cm="1">
        <f t="array" ref="AW155">AF155&amp;"; "&amp;AG155&amp;"; "&amp;AH155&amp;"; "&amp;AI155&amp;"; "&amp;AJ155</f>
        <v>E1; E3; E1; D4; E6</v>
      </c>
    </row>
    <row r="156" ht="13.65" customHeight="1">
      <c r="A156" t="s" s="35">
        <v>2579</v>
      </c>
      <c r="B156" s="36">
        <v>4</v>
      </c>
      <c r="C156" t="s" s="35">
        <v>1823</v>
      </c>
      <c r="D156" t="s" s="35">
        <v>2513</v>
      </c>
      <c r="E156" t="s" s="35">
        <v>2557</v>
      </c>
      <c r="F156" s="36">
        <v>8</v>
      </c>
      <c r="G156" t="s" s="35">
        <v>344</v>
      </c>
      <c r="H156" t="s" s="35">
        <v>2210</v>
      </c>
      <c r="I156" t="s" s="120">
        <v>2580</v>
      </c>
      <c r="J156" t="s" s="35">
        <v>1055</v>
      </c>
      <c r="K156" t="s" s="35">
        <v>346</v>
      </c>
      <c r="L156" s="39"/>
      <c r="M156" t="str" s="39">
        <v>Biología</v>
      </c>
      <c r="N156" t="str" s="39">
        <v>Salud humana</v>
      </c>
      <c r="O156" t="str" s="39" cm="1">
        <f t="array" ref="O156">IF(L156="","",_xlfn.IFERROR(INDEX('Datos - Catálogo TIMSS'!$C$5:$C$107,MATCH(L156,'Datos - Catálogo TIMSS'!$A$5:$A$107,0)),"?"))</f>
      </c>
      <c r="P156" t="s" s="35">
        <v>254</v>
      </c>
      <c r="Q156" t="s" s="120">
        <v>2581</v>
      </c>
      <c r="R156" t="s" s="120">
        <v>1847</v>
      </c>
      <c r="S156" s="121" cm="1">
        <f t="array" ref="S156">_xlfn.IFERROR(ISNUMBER(SEARCH("Conocer",$R156))/(ISNUMBER(SEARCH("Conocer",$R156))+ISNUMBER(SEARCH("Aplicar",$R156))+ISNUMBER(SEARCH("Razonar",$R156))),0)</f>
        <v>0</v>
      </c>
      <c r="T156" s="121" cm="1">
        <f t="array" ref="T156">_xlfn.IFERROR(ISNUMBER(SEARCH("Aplicar",$R156))/(ISNUMBER(SEARCH("Conocer",$R156))+ISNUMBER(SEARCH("Aplicar",$R156))+ISNUMBER(SEARCH("Razonar",$R156))),0)</f>
        <v>1</v>
      </c>
      <c r="U156" s="121" cm="1">
        <f t="array" ref="U156">_xlfn.IFERROR(ISNUMBER(SEARCH("Razonar",$R156))/(ISNUMBER(SEARCH("Conocer",$R156))+ISNUMBER(SEARCH("Aplicar",$R156))+ISNUMBER(SEARCH("Razonar",$R156))),0)</f>
        <v>0</v>
      </c>
      <c r="V156" t="s" s="35">
        <v>77</v>
      </c>
      <c r="W156" t="s" s="35">
        <v>112</v>
      </c>
      <c r="X156" s="36" cm="1">
        <f t="array" ref="X156">IF(OR(_xlfn.IFERROR(INDEX('Datos - Catálogo TIMSS'!$I$5:$I$107,MATCH(K156,'Datos - Catálogo TIMSS'!$A$5:$A$107,0)),"No")="Sí",_xlfn.IFERROR(INDEX('Datos - Catálogo TIMSS'!$I$5:$I$107,MATCH(L156,'Datos - Catálogo TIMSS'!$A$5:$A$107,0)),"No")="Sí"),1,0)</f>
        <v>0</v>
      </c>
      <c r="Y156" s="36" cm="1">
        <f t="array" ref="Y156">IF(_xlfn.IFERROR(INDEX('Datos - Catálogo TIMSS'!$J$5:$J$107,MATCH(K156,'Datos - Catálogo TIMSS'!$A$5:$A$107,0)),"No")="Sí",1,0)</f>
        <v>0</v>
      </c>
      <c r="Z156" s="36" cm="1">
        <f t="array" ref="Z156">IF(_xlfn.IFERROR(INDEX('Datos - Catálogo TIMSS'!$J$5:$J$107,MATCH(L156,'Datos - Catálogo TIMSS'!$A$5:$A$107,0)),"No")="Sí",1,0)</f>
        <v>0</v>
      </c>
      <c r="AA156" t="s" s="35">
        <v>2213</v>
      </c>
      <c r="AB156" s="39"/>
      <c r="AC156" t="str" s="39">
        <v>Ciencias de la vida</v>
      </c>
      <c r="AD156" t="s" s="35">
        <v>1859</v>
      </c>
      <c r="AE156" t="str" s="39" cm="1">
        <f t="array" ref="AE156">IF(AD156="","",IF(LEFT(AD156,1)="1","C1",IF(LEFT(AD156,1)="2","C2",IF(LEFT(AD156,1)="3","C3",""))))</f>
        <v>C1</v>
      </c>
      <c r="AF156" t="s" s="35">
        <v>1602</v>
      </c>
      <c r="AG156" t="s" s="35">
        <v>1617</v>
      </c>
      <c r="AH156" t="s" s="35">
        <v>1602</v>
      </c>
      <c r="AI156" t="s" s="35">
        <v>1623</v>
      </c>
      <c r="AJ156" t="s" s="35">
        <v>1602</v>
      </c>
      <c r="AK156" s="39"/>
      <c r="AL156" s="39"/>
      <c r="AM156" s="39"/>
      <c r="AN156" s="39"/>
      <c r="AO156" s="39"/>
      <c r="AP156" s="39"/>
      <c r="AQ156" s="39"/>
      <c r="AR156" s="39"/>
      <c r="AS156" s="39"/>
      <c r="AT156" s="39"/>
      <c r="AU156" s="39"/>
      <c r="AV156" s="39"/>
      <c r="AW156" t="str" s="39" cm="1">
        <f t="array" ref="AW156">AF156&amp;"; "&amp;AG156&amp;"; "&amp;AH156&amp;"; "&amp;AI156&amp;"; "&amp;AJ156</f>
        <v>E1; D1; E1; D4; E1</v>
      </c>
    </row>
    <row r="157" ht="13.65" customHeight="1">
      <c r="A157" t="s" s="35">
        <v>2582</v>
      </c>
      <c r="B157" s="36">
        <v>4</v>
      </c>
      <c r="C157" t="s" s="35">
        <v>1823</v>
      </c>
      <c r="D157" t="s" s="35">
        <v>2513</v>
      </c>
      <c r="E157" t="s" s="35">
        <v>2557</v>
      </c>
      <c r="F157" s="36">
        <v>9</v>
      </c>
      <c r="G157" t="s" s="35">
        <v>344</v>
      </c>
      <c r="H157" t="s" s="35">
        <v>2210</v>
      </c>
      <c r="I157" t="s" s="120">
        <v>2583</v>
      </c>
      <c r="J157" t="s" s="35">
        <v>1055</v>
      </c>
      <c r="K157" t="s" s="35">
        <v>346</v>
      </c>
      <c r="L157" s="39"/>
      <c r="M157" t="str" s="39">
        <v>Biología</v>
      </c>
      <c r="N157" t="str" s="39">
        <v>Salud humana</v>
      </c>
      <c r="O157" t="str" s="39" cm="1">
        <f t="array" ref="O157">IF(L157="","",_xlfn.IFERROR(INDEX('Datos - Catálogo TIMSS'!$C$5:$C$107,MATCH(L157,'Datos - Catálogo TIMSS'!$A$5:$A$107,0)),"?"))</f>
      </c>
      <c r="P157" t="s" s="35">
        <v>254</v>
      </c>
      <c r="Q157" t="s" s="120">
        <v>2584</v>
      </c>
      <c r="R157" t="s" s="120">
        <v>2585</v>
      </c>
      <c r="S157" s="121" cm="1">
        <f t="array" ref="S157">_xlfn.IFERROR(ISNUMBER(SEARCH("Conocer",$R157))/(ISNUMBER(SEARCH("Conocer",$R157))+ISNUMBER(SEARCH("Aplicar",$R157))+ISNUMBER(SEARCH("Razonar",$R157))),0)</f>
        <v>0</v>
      </c>
      <c r="T157" s="121" cm="1">
        <f t="array" ref="T157">_xlfn.IFERROR(ISNUMBER(SEARCH("Aplicar",$R157))/(ISNUMBER(SEARCH("Conocer",$R157))+ISNUMBER(SEARCH("Aplicar",$R157))+ISNUMBER(SEARCH("Razonar",$R157))),0)</f>
        <v>0.5</v>
      </c>
      <c r="U157" s="121" cm="1">
        <f t="array" ref="U157">_xlfn.IFERROR(ISNUMBER(SEARCH("Razonar",$R157))/(ISNUMBER(SEARCH("Conocer",$R157))+ISNUMBER(SEARCH("Aplicar",$R157))+ISNUMBER(SEARCH("Razonar",$R157))),0)</f>
        <v>0.5</v>
      </c>
      <c r="V157" t="s" s="35">
        <v>77</v>
      </c>
      <c r="W157" t="s" s="35">
        <v>112</v>
      </c>
      <c r="X157" s="36" cm="1">
        <f t="array" ref="X157">IF(OR(_xlfn.IFERROR(INDEX('Datos - Catálogo TIMSS'!$I$5:$I$107,MATCH(K157,'Datos - Catálogo TIMSS'!$A$5:$A$107,0)),"No")="Sí",_xlfn.IFERROR(INDEX('Datos - Catálogo TIMSS'!$I$5:$I$107,MATCH(L157,'Datos - Catálogo TIMSS'!$A$5:$A$107,0)),"No")="Sí"),1,0)</f>
        <v>0</v>
      </c>
      <c r="Y157" s="36" cm="1">
        <f t="array" ref="Y157">IF(_xlfn.IFERROR(INDEX('Datos - Catálogo TIMSS'!$J$5:$J$107,MATCH(K157,'Datos - Catálogo TIMSS'!$A$5:$A$107,0)),"No")="Sí",1,0)</f>
        <v>0</v>
      </c>
      <c r="Z157" s="36" cm="1">
        <f t="array" ref="Z157">IF(_xlfn.IFERROR(INDEX('Datos - Catálogo TIMSS'!$J$5:$J$107,MATCH(L157,'Datos - Catálogo TIMSS'!$A$5:$A$107,0)),"No")="Sí",1,0)</f>
        <v>0</v>
      </c>
      <c r="AA157" t="s" s="35">
        <v>2213</v>
      </c>
      <c r="AB157" s="39"/>
      <c r="AC157" t="str" s="39">
        <v>Ciencias de la vida</v>
      </c>
      <c r="AD157" t="s" s="35">
        <v>1900</v>
      </c>
      <c r="AE157" t="str" s="39" cm="1">
        <f t="array" ref="AE157">IF(AD157="","",IF(LEFT(AD157,1)="1","C1",IF(LEFT(AD157,1)="2","C2",IF(LEFT(AD157,1)="3","C3",""))))</f>
        <v>C3</v>
      </c>
      <c r="AF157" t="s" s="35">
        <v>1602</v>
      </c>
      <c r="AG157" t="s" s="35">
        <v>1617</v>
      </c>
      <c r="AH157" t="s" s="35">
        <v>1605</v>
      </c>
      <c r="AI157" t="s" s="35">
        <v>1629</v>
      </c>
      <c r="AJ157" t="s" s="35">
        <v>1633</v>
      </c>
      <c r="AK157" s="39"/>
      <c r="AL157" s="39"/>
      <c r="AM157" s="39"/>
      <c r="AN157" s="39"/>
      <c r="AO157" s="39"/>
      <c r="AP157" s="39"/>
      <c r="AQ157" s="39"/>
      <c r="AR157" s="39"/>
      <c r="AS157" s="39"/>
      <c r="AT157" s="39"/>
      <c r="AU157" s="39"/>
      <c r="AV157" s="39"/>
      <c r="AW157" t="str" s="39" cm="1">
        <f t="array" ref="AW157">AF157&amp;"; "&amp;AG157&amp;"; "&amp;AH157&amp;"; "&amp;AI157&amp;"; "&amp;AJ157</f>
        <v>E1; D1; E2; I3; I5</v>
      </c>
    </row>
    <row r="158" ht="13.65" customHeight="1">
      <c r="A158" t="s" s="35">
        <v>2586</v>
      </c>
      <c r="B158" s="36">
        <v>4</v>
      </c>
      <c r="C158" t="s" s="35">
        <v>1823</v>
      </c>
      <c r="D158" t="s" s="35">
        <v>2513</v>
      </c>
      <c r="E158" t="s" s="35">
        <v>2557</v>
      </c>
      <c r="F158" s="36">
        <v>10</v>
      </c>
      <c r="G158" t="s" s="35">
        <v>344</v>
      </c>
      <c r="H158" t="s" s="35">
        <v>2210</v>
      </c>
      <c r="I158" t="s" s="120">
        <v>2587</v>
      </c>
      <c r="J158" t="s" s="35">
        <v>1055</v>
      </c>
      <c r="K158" t="s" s="35">
        <v>346</v>
      </c>
      <c r="L158" t="s" s="35">
        <v>1093</v>
      </c>
      <c r="M158" t="str" s="39">
        <v>Biología</v>
      </c>
      <c r="N158" t="str" s="39">
        <v>Salud humana</v>
      </c>
      <c r="O158" t="str" s="39" cm="1">
        <f t="array" ref="O158">IF(L158="","",_xlfn.IFERROR(INDEX('Datos - Catálogo TIMSS'!$C$5:$C$107,MATCH(L158,'Datos - Catálogo TIMSS'!$A$5:$A$107,0)),"?"))</f>
        <v>Biología</v>
      </c>
      <c r="P158" t="s" s="35">
        <v>282</v>
      </c>
      <c r="Q158" t="s" s="120">
        <v>2588</v>
      </c>
      <c r="R158" t="s" s="120">
        <v>1878</v>
      </c>
      <c r="S158" s="121" cm="1">
        <f t="array" ref="S158">_xlfn.IFERROR(ISNUMBER(SEARCH("Conocer",$R158))/(ISNUMBER(SEARCH("Conocer",$R158))+ISNUMBER(SEARCH("Aplicar",$R158))+ISNUMBER(SEARCH("Razonar",$R158))),0)</f>
        <v>0</v>
      </c>
      <c r="T158" s="121" cm="1">
        <f t="array" ref="T158">_xlfn.IFERROR(ISNUMBER(SEARCH("Aplicar",$R158))/(ISNUMBER(SEARCH("Conocer",$R158))+ISNUMBER(SEARCH("Aplicar",$R158))+ISNUMBER(SEARCH("Razonar",$R158))),0)</f>
        <v>1</v>
      </c>
      <c r="U158" s="121" cm="1">
        <f t="array" ref="U158">_xlfn.IFERROR(ISNUMBER(SEARCH("Razonar",$R158))/(ISNUMBER(SEARCH("Conocer",$R158))+ISNUMBER(SEARCH("Aplicar",$R158))+ISNUMBER(SEARCH("Razonar",$R158))),0)</f>
        <v>0</v>
      </c>
      <c r="V158" t="s" s="35">
        <v>77</v>
      </c>
      <c r="W158" t="s" s="35">
        <v>112</v>
      </c>
      <c r="X158" s="36" cm="1">
        <f t="array" ref="X158">IF(OR(_xlfn.IFERROR(INDEX('Datos - Catálogo TIMSS'!$I$5:$I$107,MATCH(K158,'Datos - Catálogo TIMSS'!$A$5:$A$107,0)),"No")="Sí",_xlfn.IFERROR(INDEX('Datos - Catálogo TIMSS'!$I$5:$I$107,MATCH(L158,'Datos - Catálogo TIMSS'!$A$5:$A$107,0)),"No")="Sí"),1,0)</f>
        <v>0</v>
      </c>
      <c r="Y158" s="36" cm="1">
        <f t="array" ref="Y158">IF(_xlfn.IFERROR(INDEX('Datos - Catálogo TIMSS'!$J$5:$J$107,MATCH(K158,'Datos - Catálogo TIMSS'!$A$5:$A$107,0)),"No")="Sí",1,0)</f>
        <v>0</v>
      </c>
      <c r="Z158" s="36" cm="1">
        <f t="array" ref="Z158">IF(_xlfn.IFERROR(INDEX('Datos - Catálogo TIMSS'!$J$5:$J$107,MATCH(L158,'Datos - Catálogo TIMSS'!$A$5:$A$107,0)),"No")="Sí",1,0)</f>
        <v>0</v>
      </c>
      <c r="AA158" t="s" s="35">
        <v>2213</v>
      </c>
      <c r="AB158" t="s" s="35">
        <v>2110</v>
      </c>
      <c r="AC158" t="str" s="39">
        <v>Ciencias de la vida</v>
      </c>
      <c r="AD158" t="s" s="35">
        <v>1900</v>
      </c>
      <c r="AE158" t="str" s="39" cm="1">
        <f t="array" ref="AE158">IF(AD158="","",IF(LEFT(AD158,1)="1","C1",IF(LEFT(AD158,1)="2","C2",IF(LEFT(AD158,1)="3","C3",""))))</f>
        <v>C3</v>
      </c>
      <c r="AF158" t="s" s="35">
        <v>1602</v>
      </c>
      <c r="AG158" t="s" s="35">
        <v>1617</v>
      </c>
      <c r="AH158" t="s" s="35">
        <v>1602</v>
      </c>
      <c r="AI158" t="s" s="35">
        <v>1627</v>
      </c>
      <c r="AJ158" t="s" s="35">
        <v>1633</v>
      </c>
      <c r="AK158" s="39"/>
      <c r="AL158" s="39"/>
      <c r="AM158" s="39"/>
      <c r="AN158" s="39"/>
      <c r="AO158" s="39"/>
      <c r="AP158" s="39"/>
      <c r="AQ158" s="39"/>
      <c r="AR158" s="39"/>
      <c r="AS158" s="39"/>
      <c r="AT158" s="39"/>
      <c r="AU158" s="39"/>
      <c r="AV158" s="39"/>
      <c r="AW158" t="str" s="39" cm="1">
        <f t="array" ref="AW158">AF158&amp;"; "&amp;AG158&amp;"; "&amp;AH158&amp;"; "&amp;AI158&amp;"; "&amp;AJ158</f>
        <v>E1; D1; E1; I2; I5</v>
      </c>
    </row>
    <row r="159" ht="13.65" customHeight="1">
      <c r="A159" t="s" s="35">
        <v>2589</v>
      </c>
      <c r="B159" s="36">
        <v>4</v>
      </c>
      <c r="C159" t="s" s="35">
        <v>1823</v>
      </c>
      <c r="D159" t="s" s="35">
        <v>2513</v>
      </c>
      <c r="E159" t="s" s="35">
        <v>2557</v>
      </c>
      <c r="F159" s="36">
        <v>11</v>
      </c>
      <c r="G159" t="s" s="35">
        <v>344</v>
      </c>
      <c r="H159" t="s" s="35">
        <v>2590</v>
      </c>
      <c r="I159" t="s" s="120">
        <v>2591</v>
      </c>
      <c r="J159" t="s" s="35">
        <v>1055</v>
      </c>
      <c r="K159" t="s" s="35">
        <v>346</v>
      </c>
      <c r="L159" s="39"/>
      <c r="M159" t="str" s="39">
        <v>Biología</v>
      </c>
      <c r="N159" t="str" s="39">
        <v>Salud humana</v>
      </c>
      <c r="O159" t="str" s="39" cm="1">
        <f t="array" ref="O159">IF(L159="","",_xlfn.IFERROR(INDEX('Datos - Catálogo TIMSS'!$C$5:$C$107,MATCH(L159,'Datos - Catálogo TIMSS'!$A$5:$A$107,0)),"?"))</f>
      </c>
      <c r="P159" t="s" s="35">
        <v>282</v>
      </c>
      <c r="Q159" t="s" s="120">
        <v>2592</v>
      </c>
      <c r="R159" t="s" s="120">
        <v>2593</v>
      </c>
      <c r="S159" s="121" cm="1">
        <f t="array" ref="S159">_xlfn.IFERROR(ISNUMBER(SEARCH("Conocer",$R159))/(ISNUMBER(SEARCH("Conocer",$R159))+ISNUMBER(SEARCH("Aplicar",$R159))+ISNUMBER(SEARCH("Razonar",$R159))),0)</f>
        <v>0</v>
      </c>
      <c r="T159" s="121" cm="1">
        <f t="array" ref="T159">_xlfn.IFERROR(ISNUMBER(SEARCH("Aplicar",$R159))/(ISNUMBER(SEARCH("Conocer",$R159))+ISNUMBER(SEARCH("Aplicar",$R159))+ISNUMBER(SEARCH("Razonar",$R159))),0)</f>
        <v>1</v>
      </c>
      <c r="U159" s="121" cm="1">
        <f t="array" ref="U159">_xlfn.IFERROR(ISNUMBER(SEARCH("Razonar",$R159))/(ISNUMBER(SEARCH("Conocer",$R159))+ISNUMBER(SEARCH("Aplicar",$R159))+ISNUMBER(SEARCH("Razonar",$R159))),0)</f>
        <v>0</v>
      </c>
      <c r="V159" t="s" s="35">
        <v>77</v>
      </c>
      <c r="W159" t="s" s="35">
        <v>112</v>
      </c>
      <c r="X159" s="36" cm="1">
        <f t="array" ref="X159">IF(OR(_xlfn.IFERROR(INDEX('Datos - Catálogo TIMSS'!$I$5:$I$107,MATCH(K159,'Datos - Catálogo TIMSS'!$A$5:$A$107,0)),"No")="Sí",_xlfn.IFERROR(INDEX('Datos - Catálogo TIMSS'!$I$5:$I$107,MATCH(L159,'Datos - Catálogo TIMSS'!$A$5:$A$107,0)),"No")="Sí"),1,0)</f>
        <v>0</v>
      </c>
      <c r="Y159" s="36" cm="1">
        <f t="array" ref="Y159">IF(_xlfn.IFERROR(INDEX('Datos - Catálogo TIMSS'!$J$5:$J$107,MATCH(K159,'Datos - Catálogo TIMSS'!$A$5:$A$107,0)),"No")="Sí",1,0)</f>
        <v>0</v>
      </c>
      <c r="Z159" s="36" cm="1">
        <f t="array" ref="Z159">IF(_xlfn.IFERROR(INDEX('Datos - Catálogo TIMSS'!$J$5:$J$107,MATCH(L159,'Datos - Catálogo TIMSS'!$A$5:$A$107,0)),"No")="Sí",1,0)</f>
        <v>0</v>
      </c>
      <c r="AA159" t="s" s="35">
        <v>2213</v>
      </c>
      <c r="AB159" s="39"/>
      <c r="AC159" t="str" s="39">
        <v>Ciencias de la vida</v>
      </c>
      <c r="AD159" t="s" s="35">
        <v>1834</v>
      </c>
      <c r="AE159" t="str" s="39" cm="1">
        <f t="array" ref="AE159">IF(AD159="","",IF(LEFT(AD159,1)="1","C1",IF(LEFT(AD159,1)="2","C2",IF(LEFT(AD159,1)="3","C3",""))))</f>
        <v>C2</v>
      </c>
      <c r="AF159" t="s" s="35">
        <v>1602</v>
      </c>
      <c r="AG159" t="s" s="35">
        <v>1617</v>
      </c>
      <c r="AH159" t="s" s="35">
        <v>1602</v>
      </c>
      <c r="AI159" t="s" s="35">
        <v>1619</v>
      </c>
      <c r="AJ159" t="s" s="35">
        <v>1615</v>
      </c>
      <c r="AK159" s="39"/>
      <c r="AL159" s="39"/>
      <c r="AM159" s="39"/>
      <c r="AN159" s="39"/>
      <c r="AO159" s="39"/>
      <c r="AP159" s="39"/>
      <c r="AQ159" s="39"/>
      <c r="AR159" s="39"/>
      <c r="AS159" s="39"/>
      <c r="AT159" s="39"/>
      <c r="AU159" s="39"/>
      <c r="AV159" s="39"/>
      <c r="AW159" t="str" s="39" cm="1">
        <f t="array" ref="AW159">AF159&amp;"; "&amp;AG159&amp;"; "&amp;AH159&amp;"; "&amp;AI159&amp;"; "&amp;AJ159</f>
        <v>E1; D1; E1; D2; E6</v>
      </c>
    </row>
    <row r="160" ht="13.65" customHeight="1">
      <c r="A160" t="s" s="35">
        <v>2595</v>
      </c>
      <c r="B160" s="36">
        <v>4</v>
      </c>
      <c r="C160" t="s" s="35">
        <v>1823</v>
      </c>
      <c r="D160" t="s" s="35">
        <v>2513</v>
      </c>
      <c r="E160" t="s" s="35">
        <v>2557</v>
      </c>
      <c r="F160" s="36">
        <v>12</v>
      </c>
      <c r="G160" t="s" s="35">
        <v>344</v>
      </c>
      <c r="H160" t="s" s="35">
        <v>2590</v>
      </c>
      <c r="I160" t="s" s="120">
        <v>2596</v>
      </c>
      <c r="J160" t="s" s="35">
        <v>1055</v>
      </c>
      <c r="K160" t="s" s="35">
        <v>1099</v>
      </c>
      <c r="L160" t="s" s="35">
        <v>346</v>
      </c>
      <c r="M160" t="str" s="39">
        <v>Biología</v>
      </c>
      <c r="N160" t="str" s="39">
        <v>Investigaciones biológicas</v>
      </c>
      <c r="O160" t="str" s="39" cm="1">
        <f t="array" ref="O160">IF(L160="","",_xlfn.IFERROR(INDEX('Datos - Catálogo TIMSS'!$C$5:$C$107,MATCH(L160,'Datos - Catálogo TIMSS'!$A$5:$A$107,0)),"?"))</f>
        <v>Biología</v>
      </c>
      <c r="P160" t="s" s="35">
        <v>291</v>
      </c>
      <c r="Q160" t="s" s="120">
        <v>2597</v>
      </c>
      <c r="R160" t="s" s="120">
        <v>2598</v>
      </c>
      <c r="S160" s="121" cm="1">
        <f t="array" ref="S160">_xlfn.IFERROR(ISNUMBER(SEARCH("Conocer",$R160))/(ISNUMBER(SEARCH("Conocer",$R160))+ISNUMBER(SEARCH("Aplicar",$R160))+ISNUMBER(SEARCH("Razonar",$R160))),0)</f>
        <v>0</v>
      </c>
      <c r="T160" s="121" cm="1">
        <f t="array" ref="T160">_xlfn.IFERROR(ISNUMBER(SEARCH("Aplicar",$R160))/(ISNUMBER(SEARCH("Conocer",$R160))+ISNUMBER(SEARCH("Aplicar",$R160))+ISNUMBER(SEARCH("Razonar",$R160))),0)</f>
        <v>0.5</v>
      </c>
      <c r="U160" s="121" cm="1">
        <f t="array" ref="U160">_xlfn.IFERROR(ISNUMBER(SEARCH("Razonar",$R160))/(ISNUMBER(SEARCH("Conocer",$R160))+ISNUMBER(SEARCH("Aplicar",$R160))+ISNUMBER(SEARCH("Razonar",$R160))),0)</f>
        <v>0.5</v>
      </c>
      <c r="V160" t="s" s="35">
        <v>77</v>
      </c>
      <c r="W160" t="s" s="35">
        <v>112</v>
      </c>
      <c r="X160" s="36" cm="1">
        <f t="array" ref="X160">IF(OR(_xlfn.IFERROR(INDEX('Datos - Catálogo TIMSS'!$I$5:$I$107,MATCH(K160,'Datos - Catálogo TIMSS'!$A$5:$A$107,0)),"No")="Sí",_xlfn.IFERROR(INDEX('Datos - Catálogo TIMSS'!$I$5:$I$107,MATCH(L160,'Datos - Catálogo TIMSS'!$A$5:$A$107,0)),"No")="Sí"),1,0)</f>
        <v>0</v>
      </c>
      <c r="Y160" s="36" cm="1">
        <f t="array" ref="Y160">IF(_xlfn.IFERROR(INDEX('Datos - Catálogo TIMSS'!$J$5:$J$107,MATCH(K160,'Datos - Catálogo TIMSS'!$A$5:$A$107,0)),"No")="Sí",1,0)</f>
        <v>1</v>
      </c>
      <c r="Z160" s="36" cm="1">
        <f t="array" ref="Z160">IF(_xlfn.IFERROR(INDEX('Datos - Catálogo TIMSS'!$J$5:$J$107,MATCH(L160,'Datos - Catálogo TIMSS'!$A$5:$A$107,0)),"No")="Sí",1,0)</f>
        <v>0</v>
      </c>
      <c r="AA160" t="s" s="35">
        <v>1832</v>
      </c>
      <c r="AB160" s="39"/>
      <c r="AC160" t="str" s="39">
        <v>Fuera del marco</v>
      </c>
      <c r="AD160" t="s" s="35">
        <v>1834</v>
      </c>
      <c r="AE160" t="str" s="39" cm="1">
        <f t="array" ref="AE160">IF(AD160="","",IF(LEFT(AD160,1)="1","C1",IF(LEFT(AD160,1)="2","C2",IF(LEFT(AD160,1)="3","C3",""))))</f>
        <v>C2</v>
      </c>
      <c r="AF160" t="s" s="35">
        <v>1602</v>
      </c>
      <c r="AG160" t="s" s="35">
        <v>1617</v>
      </c>
      <c r="AH160" t="s" s="35">
        <v>1605</v>
      </c>
      <c r="AI160" t="s" s="35">
        <v>1623</v>
      </c>
      <c r="AJ160" t="s" s="35">
        <v>1631</v>
      </c>
      <c r="AK160" s="39"/>
      <c r="AL160" s="39"/>
      <c r="AM160" s="39"/>
      <c r="AN160" s="39"/>
      <c r="AO160" s="39"/>
      <c r="AP160" s="39"/>
      <c r="AQ160" s="39"/>
      <c r="AR160" s="39"/>
      <c r="AS160" s="39"/>
      <c r="AT160" s="39"/>
      <c r="AU160" s="39"/>
      <c r="AV160" s="39"/>
      <c r="AW160" t="str" s="39" cm="1">
        <f t="array" ref="AW160">AF160&amp;"; "&amp;AG160&amp;"; "&amp;AH160&amp;"; "&amp;AI160&amp;"; "&amp;AJ160</f>
        <v>E1; D1; E2; D4; I4</v>
      </c>
    </row>
    <row r="161" ht="13.65" customHeight="1">
      <c r="A161" t="s" s="35">
        <v>2599</v>
      </c>
      <c r="B161" s="36">
        <v>4</v>
      </c>
      <c r="C161" t="s" s="35">
        <v>1823</v>
      </c>
      <c r="D161" t="s" s="35">
        <v>2513</v>
      </c>
      <c r="E161" t="s" s="35">
        <v>2557</v>
      </c>
      <c r="F161" s="36">
        <v>13</v>
      </c>
      <c r="G161" t="s" s="35">
        <v>344</v>
      </c>
      <c r="H161" t="s" s="35">
        <v>2600</v>
      </c>
      <c r="I161" t="s" s="120">
        <v>2601</v>
      </c>
      <c r="J161" t="s" s="35">
        <v>1055</v>
      </c>
      <c r="K161" t="s" s="35">
        <v>427</v>
      </c>
      <c r="L161" s="39"/>
      <c r="M161" t="str" s="39">
        <v>Biología</v>
      </c>
      <c r="N161" t="str" s="39">
        <v>Características y procesos vitales de los organismos</v>
      </c>
      <c r="O161" t="str" s="39" cm="1">
        <f t="array" ref="O161">IF(L161="","",_xlfn.IFERROR(INDEX('Datos - Catálogo TIMSS'!$C$5:$C$107,MATCH(L161,'Datos - Catálogo TIMSS'!$A$5:$A$107,0)),"?"))</f>
      </c>
      <c r="P161" t="s" s="35">
        <v>282</v>
      </c>
      <c r="Q161" t="s" s="120">
        <v>2602</v>
      </c>
      <c r="R161" t="s" s="120">
        <v>2603</v>
      </c>
      <c r="S161" s="121" cm="1">
        <f t="array" ref="S161">_xlfn.IFERROR(ISNUMBER(SEARCH("Conocer",$R161))/(ISNUMBER(SEARCH("Conocer",$R161))+ISNUMBER(SEARCH("Aplicar",$R161))+ISNUMBER(SEARCH("Razonar",$R161))),0)</f>
        <v>0</v>
      </c>
      <c r="T161" s="121" cm="1">
        <f t="array" ref="T161">_xlfn.IFERROR(ISNUMBER(SEARCH("Aplicar",$R161))/(ISNUMBER(SEARCH("Conocer",$R161))+ISNUMBER(SEARCH("Aplicar",$R161))+ISNUMBER(SEARCH("Razonar",$R161))),0)</f>
        <v>0.5</v>
      </c>
      <c r="U161" s="121" cm="1">
        <f t="array" ref="U161">_xlfn.IFERROR(ISNUMBER(SEARCH("Razonar",$R161))/(ISNUMBER(SEARCH("Conocer",$R161))+ISNUMBER(SEARCH("Aplicar",$R161))+ISNUMBER(SEARCH("Razonar",$R161))),0)</f>
        <v>0.5</v>
      </c>
      <c r="V161" t="s" s="35">
        <v>77</v>
      </c>
      <c r="W161" t="s" s="35">
        <v>112</v>
      </c>
      <c r="X161" s="36" cm="1">
        <f t="array" ref="X161">IF(OR(_xlfn.IFERROR(INDEX('Datos - Catálogo TIMSS'!$I$5:$I$107,MATCH(K161,'Datos - Catálogo TIMSS'!$A$5:$A$107,0)),"No")="Sí",_xlfn.IFERROR(INDEX('Datos - Catálogo TIMSS'!$I$5:$I$107,MATCH(L161,'Datos - Catálogo TIMSS'!$A$5:$A$107,0)),"No")="Sí"),1,0)</f>
        <v>1</v>
      </c>
      <c r="Y161" s="36" cm="1">
        <f t="array" ref="Y161">IF(_xlfn.IFERROR(INDEX('Datos - Catálogo TIMSS'!$J$5:$J$107,MATCH(K161,'Datos - Catálogo TIMSS'!$A$5:$A$107,0)),"No")="Sí",1,0)</f>
        <v>0</v>
      </c>
      <c r="Z161" s="36" cm="1">
        <f t="array" ref="Z161">IF(_xlfn.IFERROR(INDEX('Datos - Catálogo TIMSS'!$J$5:$J$107,MATCH(L161,'Datos - Catálogo TIMSS'!$A$5:$A$107,0)),"No")="Sí",1,0)</f>
        <v>0</v>
      </c>
      <c r="AA161" t="s" s="35">
        <v>2023</v>
      </c>
      <c r="AB161" s="39"/>
      <c r="AC161" t="str" s="39">
        <v>Ciencias de la vida</v>
      </c>
      <c r="AD161" t="s" s="35">
        <v>1834</v>
      </c>
      <c r="AE161" t="str" s="39" cm="1">
        <f t="array" ref="AE161">IF(AD161="","",IF(LEFT(AD161,1)="1","C1",IF(LEFT(AD161,1)="2","C2",IF(LEFT(AD161,1)="3","C3",""))))</f>
        <v>C2</v>
      </c>
      <c r="AF161" t="s" s="35">
        <v>1602</v>
      </c>
      <c r="AG161" t="s" s="35">
        <v>1617</v>
      </c>
      <c r="AH161" t="s" s="35">
        <v>1602</v>
      </c>
      <c r="AI161" t="s" s="35">
        <v>1619</v>
      </c>
      <c r="AJ161" t="s" s="35">
        <v>1607</v>
      </c>
      <c r="AK161" s="39"/>
      <c r="AL161" s="39"/>
      <c r="AM161" s="39"/>
      <c r="AN161" s="39"/>
      <c r="AO161" s="39"/>
      <c r="AP161" s="39"/>
      <c r="AQ161" s="39"/>
      <c r="AR161" s="39"/>
      <c r="AS161" s="39"/>
      <c r="AT161" s="39"/>
      <c r="AU161" s="39"/>
      <c r="AV161" s="39"/>
      <c r="AW161" t="str" s="39" cm="1">
        <f t="array" ref="AW161">AF161&amp;"; "&amp;AG161&amp;"; "&amp;AH161&amp;"; "&amp;AI161&amp;"; "&amp;AJ161</f>
        <v>E1; D1; E1; D2; E3</v>
      </c>
    </row>
    <row r="162" ht="13.65" customHeight="1">
      <c r="A162" t="s" s="35">
        <v>2605</v>
      </c>
      <c r="B162" s="36">
        <v>4</v>
      </c>
      <c r="C162" t="s" s="35">
        <v>1823</v>
      </c>
      <c r="D162" t="s" s="35">
        <v>2513</v>
      </c>
      <c r="E162" t="s" s="35">
        <v>2557</v>
      </c>
      <c r="F162" s="36">
        <v>14</v>
      </c>
      <c r="G162" t="s" s="35">
        <v>344</v>
      </c>
      <c r="H162" t="s" s="35">
        <v>2600</v>
      </c>
      <c r="I162" t="s" s="120">
        <v>2606</v>
      </c>
      <c r="J162" t="s" s="35">
        <v>1055</v>
      </c>
      <c r="K162" t="s" s="35">
        <v>1148</v>
      </c>
      <c r="L162" s="39"/>
      <c r="M162" t="str" s="39">
        <v>Ciencias de la Tierra</v>
      </c>
      <c r="N162" t="str" s="39">
        <v>Recursos de la Tierra, uso y conservación</v>
      </c>
      <c r="O162" t="str" s="39" cm="1">
        <f t="array" ref="O162">IF(L162="","",_xlfn.IFERROR(INDEX('Datos - Catálogo TIMSS'!$C$5:$C$107,MATCH(L162,'Datos - Catálogo TIMSS'!$A$5:$A$107,0)),"?"))</f>
      </c>
      <c r="P162" t="s" s="35">
        <v>291</v>
      </c>
      <c r="Q162" t="s" s="120">
        <v>2607</v>
      </c>
      <c r="R162" t="s" s="120">
        <v>1847</v>
      </c>
      <c r="S162" s="121" cm="1">
        <f t="array" ref="S162">_xlfn.IFERROR(ISNUMBER(SEARCH("Conocer",$R162))/(ISNUMBER(SEARCH("Conocer",$R162))+ISNUMBER(SEARCH("Aplicar",$R162))+ISNUMBER(SEARCH("Razonar",$R162))),0)</f>
        <v>0</v>
      </c>
      <c r="T162" s="121" cm="1">
        <f t="array" ref="T162">_xlfn.IFERROR(ISNUMBER(SEARCH("Aplicar",$R162))/(ISNUMBER(SEARCH("Conocer",$R162))+ISNUMBER(SEARCH("Aplicar",$R162))+ISNUMBER(SEARCH("Razonar",$R162))),0)</f>
        <v>1</v>
      </c>
      <c r="U162" s="121" cm="1">
        <f t="array" ref="U162">_xlfn.IFERROR(ISNUMBER(SEARCH("Razonar",$R162))/(ISNUMBER(SEARCH("Conocer",$R162))+ISNUMBER(SEARCH("Aplicar",$R162))+ISNUMBER(SEARCH("Razonar",$R162))),0)</f>
        <v>0</v>
      </c>
      <c r="V162" t="s" s="35">
        <v>77</v>
      </c>
      <c r="W162" t="s" s="35">
        <v>112</v>
      </c>
      <c r="X162" s="36" cm="1">
        <f t="array" ref="X162">IF(OR(_xlfn.IFERROR(INDEX('Datos - Catálogo TIMSS'!$I$5:$I$107,MATCH(K162,'Datos - Catálogo TIMSS'!$A$5:$A$107,0)),"No")="Sí",_xlfn.IFERROR(INDEX('Datos - Catálogo TIMSS'!$I$5:$I$107,MATCH(L162,'Datos - Catálogo TIMSS'!$A$5:$A$107,0)),"No")="Sí"),1,0)</f>
        <v>1</v>
      </c>
      <c r="Y162" s="36" cm="1">
        <f t="array" ref="Y162">IF(_xlfn.IFERROR(INDEX('Datos - Catálogo TIMSS'!$J$5:$J$107,MATCH(K162,'Datos - Catálogo TIMSS'!$A$5:$A$107,0)),"No")="Sí",1,0)</f>
        <v>0</v>
      </c>
      <c r="Z162" s="36" cm="1">
        <f t="array" ref="Z162">IF(_xlfn.IFERROR(INDEX('Datos - Catálogo TIMSS'!$J$5:$J$107,MATCH(L162,'Datos - Catálogo TIMSS'!$A$5:$A$107,0)),"No")="Sí",1,0)</f>
        <v>0</v>
      </c>
      <c r="AA162" t="s" s="35">
        <v>1899</v>
      </c>
      <c r="AB162" s="39"/>
      <c r="AC162" t="str" s="39">
        <v>Ciencias de la Tierra</v>
      </c>
      <c r="AD162" t="s" s="35">
        <v>1859</v>
      </c>
      <c r="AE162" t="str" s="39" cm="1">
        <f t="array" ref="AE162">IF(AD162="","",IF(LEFT(AD162,1)="1","C1",IF(LEFT(AD162,1)="2","C2",IF(LEFT(AD162,1)="3","C3",""))))</f>
        <v>C1</v>
      </c>
      <c r="AF162" t="s" s="35">
        <v>1615</v>
      </c>
      <c r="AG162" t="s" s="35">
        <v>1617</v>
      </c>
      <c r="AH162" t="s" s="35">
        <v>1602</v>
      </c>
      <c r="AI162" t="s" s="35">
        <v>1623</v>
      </c>
      <c r="AJ162" t="s" s="35">
        <v>1615</v>
      </c>
      <c r="AK162" s="39"/>
      <c r="AL162" s="39"/>
      <c r="AM162" s="39"/>
      <c r="AN162" s="39"/>
      <c r="AO162" s="39"/>
      <c r="AP162" s="39"/>
      <c r="AQ162" s="39"/>
      <c r="AR162" s="39"/>
      <c r="AS162" s="39"/>
      <c r="AT162" s="39"/>
      <c r="AU162" s="39"/>
      <c r="AV162" s="39"/>
      <c r="AW162" t="str" s="39" cm="1">
        <f t="array" ref="AW162">AF162&amp;"; "&amp;AG162&amp;"; "&amp;AH162&amp;"; "&amp;AI162&amp;"; "&amp;AJ162</f>
        <v>E6; D1; E1; D4; E6</v>
      </c>
    </row>
    <row r="163" ht="13.65" customHeight="1">
      <c r="A163" t="s" s="35">
        <v>2608</v>
      </c>
      <c r="B163" s="36">
        <v>4</v>
      </c>
      <c r="C163" t="s" s="35">
        <v>1823</v>
      </c>
      <c r="D163" t="s" s="35">
        <v>2513</v>
      </c>
      <c r="E163" t="s" s="35">
        <v>2557</v>
      </c>
      <c r="F163" s="36">
        <v>15</v>
      </c>
      <c r="G163" t="s" s="35">
        <v>344</v>
      </c>
      <c r="H163" t="s" s="35">
        <v>2600</v>
      </c>
      <c r="I163" t="s" s="120">
        <v>2609</v>
      </c>
      <c r="J163" t="s" s="35">
        <v>1055</v>
      </c>
      <c r="K163" t="s" s="35">
        <v>1832</v>
      </c>
      <c r="L163" s="39"/>
      <c r="M163" t="str" s="39">
        <v>Fuera del marco</v>
      </c>
      <c r="N163" t="str" s="39">
        <v>Fuera del marco</v>
      </c>
      <c r="O163" t="str" s="39" cm="1">
        <f t="array" ref="O163">IF(L163="","",_xlfn.IFERROR(INDEX('Datos - Catálogo TIMSS'!$C$5:$C$107,MATCH(L163,'Datos - Catálogo TIMSS'!$A$5:$A$107,0)),"?"))</f>
      </c>
      <c r="P163" t="s" s="35">
        <v>282</v>
      </c>
      <c r="Q163" t="s" s="120">
        <v>2610</v>
      </c>
      <c r="R163" t="s" s="120">
        <v>2611</v>
      </c>
      <c r="S163" s="121" cm="1">
        <f t="array" ref="S163">_xlfn.IFERROR(ISNUMBER(SEARCH("Conocer",$R163))/(ISNUMBER(SEARCH("Conocer",$R163))+ISNUMBER(SEARCH("Aplicar",$R163))+ISNUMBER(SEARCH("Razonar",$R163))),0)</f>
        <v>0</v>
      </c>
      <c r="T163" s="121" cm="1">
        <f t="array" ref="T163">_xlfn.IFERROR(ISNUMBER(SEARCH("Aplicar",$R163))/(ISNUMBER(SEARCH("Conocer",$R163))+ISNUMBER(SEARCH("Aplicar",$R163))+ISNUMBER(SEARCH("Razonar",$R163))),0)</f>
        <v>0.5</v>
      </c>
      <c r="U163" s="121" cm="1">
        <f t="array" ref="U163">_xlfn.IFERROR(ISNUMBER(SEARCH("Razonar",$R163))/(ISNUMBER(SEARCH("Conocer",$R163))+ISNUMBER(SEARCH("Aplicar",$R163))+ISNUMBER(SEARCH("Razonar",$R163))),0)</f>
        <v>0.5</v>
      </c>
      <c r="V163" t="s" s="35">
        <v>77</v>
      </c>
      <c r="W163" t="s" s="35">
        <v>112</v>
      </c>
      <c r="X163" s="36" cm="1">
        <f t="array" ref="X163">IF(OR(_xlfn.IFERROR(INDEX('Datos - Catálogo TIMSS'!$I$5:$I$107,MATCH(K163,'Datos - Catálogo TIMSS'!$A$5:$A$107,0)),"No")="Sí",_xlfn.IFERROR(INDEX('Datos - Catálogo TIMSS'!$I$5:$I$107,MATCH(L163,'Datos - Catálogo TIMSS'!$A$5:$A$107,0)),"No")="Sí"),1,0)</f>
        <v>0</v>
      </c>
      <c r="Y163" s="36" cm="1">
        <f t="array" ref="Y163">IF(_xlfn.IFERROR(INDEX('Datos - Catálogo TIMSS'!$J$5:$J$107,MATCH(K163,'Datos - Catálogo TIMSS'!$A$5:$A$107,0)),"No")="Sí",1,0)</f>
        <v>0</v>
      </c>
      <c r="Z163" s="36" cm="1">
        <f t="array" ref="Z163">IF(_xlfn.IFERROR(INDEX('Datos - Catálogo TIMSS'!$J$5:$J$107,MATCH(L163,'Datos - Catálogo TIMSS'!$A$5:$A$107,0)),"No")="Sí",1,0)</f>
        <v>0</v>
      </c>
      <c r="AA163" t="s" s="35">
        <v>1832</v>
      </c>
      <c r="AB163" s="39"/>
      <c r="AC163" t="str" s="39">
        <v>Fuera del marco</v>
      </c>
      <c r="AD163" t="s" s="35">
        <v>1900</v>
      </c>
      <c r="AE163" t="str" s="39" cm="1">
        <f t="array" ref="AE163">IF(AD163="","",IF(LEFT(AD163,1)="1","C1",IF(LEFT(AD163,1)="2","C2",IF(LEFT(AD163,1)="3","C3",""))))</f>
        <v>C3</v>
      </c>
      <c r="AF163" t="s" s="35">
        <v>1602</v>
      </c>
      <c r="AG163" t="s" s="35">
        <v>1617</v>
      </c>
      <c r="AH163" t="s" s="35">
        <v>1605</v>
      </c>
      <c r="AI163" t="s" s="35">
        <v>1625</v>
      </c>
      <c r="AJ163" t="s" s="35">
        <v>1633</v>
      </c>
      <c r="AK163" s="39"/>
      <c r="AL163" s="39"/>
      <c r="AM163" s="39"/>
      <c r="AN163" s="39"/>
      <c r="AO163" s="39"/>
      <c r="AP163" s="39"/>
      <c r="AQ163" s="39"/>
      <c r="AR163" s="39"/>
      <c r="AS163" s="39"/>
      <c r="AT163" s="39"/>
      <c r="AU163" s="39"/>
      <c r="AV163" s="39"/>
      <c r="AW163" t="str" s="39" cm="1">
        <f t="array" ref="AW163">AF163&amp;"; "&amp;AG163&amp;"; "&amp;AH163&amp;"; "&amp;AI163&amp;"; "&amp;AJ163</f>
        <v>E1; D1; E2; I1; I5</v>
      </c>
    </row>
    <row r="164" ht="13.65" customHeight="1">
      <c r="A164" t="s" s="35">
        <v>2612</v>
      </c>
      <c r="B164" s="36">
        <v>4</v>
      </c>
      <c r="C164" t="s" s="35">
        <v>1823</v>
      </c>
      <c r="D164" t="s" s="35">
        <v>2513</v>
      </c>
      <c r="E164" t="s" s="35">
        <v>2613</v>
      </c>
      <c r="F164" s="36">
        <v>3</v>
      </c>
      <c r="G164" t="s" s="35">
        <v>414</v>
      </c>
      <c r="H164" t="s" s="35">
        <v>2614</v>
      </c>
      <c r="I164" t="s" s="120">
        <v>2615</v>
      </c>
      <c r="J164" t="s" s="35">
        <v>1055</v>
      </c>
      <c r="K164" t="s" s="35">
        <v>1086</v>
      </c>
      <c r="L164" t="s" s="35">
        <v>427</v>
      </c>
      <c r="M164" t="str" s="39">
        <v>Biología</v>
      </c>
      <c r="N164" t="str" s="39">
        <v>Ecosistemas</v>
      </c>
      <c r="O164" t="str" s="39" cm="1">
        <f t="array" ref="O164">IF(L164="","",_xlfn.IFERROR(INDEX('Datos - Catálogo TIMSS'!$C$5:$C$107,MATCH(L164,'Datos - Catálogo TIMSS'!$A$5:$A$107,0)),"?"))</f>
        <v>Biología</v>
      </c>
      <c r="P164" t="s" s="35">
        <v>282</v>
      </c>
      <c r="Q164" t="s" s="120">
        <v>2616</v>
      </c>
      <c r="R164" t="s" s="120">
        <v>2617</v>
      </c>
      <c r="S164" s="121" cm="1">
        <f t="array" ref="S164">_xlfn.IFERROR(ISNUMBER(SEARCH("Conocer",$R164))/(ISNUMBER(SEARCH("Conocer",$R164))+ISNUMBER(SEARCH("Aplicar",$R164))+ISNUMBER(SEARCH("Razonar",$R164))),0)</f>
        <v>1</v>
      </c>
      <c r="T164" s="121" cm="1">
        <f t="array" ref="T164">_xlfn.IFERROR(ISNUMBER(SEARCH("Aplicar",$R164))/(ISNUMBER(SEARCH("Conocer",$R164))+ISNUMBER(SEARCH("Aplicar",$R164))+ISNUMBER(SEARCH("Razonar",$R164))),0)</f>
        <v>0</v>
      </c>
      <c r="U164" s="121" cm="1">
        <f t="array" ref="U164">_xlfn.IFERROR(ISNUMBER(SEARCH("Razonar",$R164))/(ISNUMBER(SEARCH("Conocer",$R164))+ISNUMBER(SEARCH("Aplicar",$R164))+ISNUMBER(SEARCH("Razonar",$R164))),0)</f>
        <v>0</v>
      </c>
      <c r="V164" t="s" s="35">
        <v>77</v>
      </c>
      <c r="W164" t="s" s="35">
        <v>112</v>
      </c>
      <c r="X164" s="36" cm="1">
        <f t="array" ref="X164">IF(OR(_xlfn.IFERROR(INDEX('Datos - Catálogo TIMSS'!$I$5:$I$107,MATCH(K164,'Datos - Catálogo TIMSS'!$A$5:$A$107,0)),"No")="Sí",_xlfn.IFERROR(INDEX('Datos - Catálogo TIMSS'!$I$5:$I$107,MATCH(L164,'Datos - Catálogo TIMSS'!$A$5:$A$107,0)),"No")="Sí"),1,0)</f>
        <v>1</v>
      </c>
      <c r="Y164" s="36" cm="1">
        <f t="array" ref="Y164">IF(_xlfn.IFERROR(INDEX('Datos - Catálogo TIMSS'!$J$5:$J$107,MATCH(K164,'Datos - Catálogo TIMSS'!$A$5:$A$107,0)),"No")="Sí",1,0)</f>
        <v>0</v>
      </c>
      <c r="Z164" s="36" cm="1">
        <f t="array" ref="Z164">IF(_xlfn.IFERROR(INDEX('Datos - Catálogo TIMSS'!$J$5:$J$107,MATCH(L164,'Datos - Catálogo TIMSS'!$A$5:$A$107,0)),"No")="Sí",1,0)</f>
        <v>0</v>
      </c>
      <c r="AA164" t="s" s="35">
        <v>2045</v>
      </c>
      <c r="AB164" t="s" s="35">
        <v>2023</v>
      </c>
      <c r="AC164" t="str" s="39">
        <v>Ciencias de la vida</v>
      </c>
      <c r="AD164" t="s" s="35">
        <v>1859</v>
      </c>
      <c r="AE164" t="str" s="39" cm="1">
        <f t="array" ref="AE164">IF(AD164="","",IF(LEFT(AD164,1)="1","C1",IF(LEFT(AD164,1)="2","C2",IF(LEFT(AD164,1)="3","C3",""))))</f>
        <v>C1</v>
      </c>
      <c r="AF164" t="s" s="35">
        <v>1602</v>
      </c>
      <c r="AG164" t="s" s="35">
        <v>1617</v>
      </c>
      <c r="AH164" t="s" s="35">
        <v>1602</v>
      </c>
      <c r="AI164" t="s" s="35">
        <v>1623</v>
      </c>
      <c r="AJ164" t="s" s="35">
        <v>1602</v>
      </c>
      <c r="AK164" s="39"/>
      <c r="AL164" s="39"/>
      <c r="AM164" s="39"/>
      <c r="AN164" s="39"/>
      <c r="AO164" s="39"/>
      <c r="AP164" s="39"/>
      <c r="AQ164" s="39"/>
      <c r="AR164" s="39"/>
      <c r="AS164" s="39"/>
      <c r="AT164" s="39"/>
      <c r="AU164" s="39"/>
      <c r="AV164" s="39"/>
      <c r="AW164" t="str" s="39" cm="1">
        <f t="array" ref="AW164">AF164&amp;"; "&amp;AG164&amp;"; "&amp;AH164&amp;"; "&amp;AI164&amp;"; "&amp;AJ164</f>
        <v>E1; D1; E1; D4; E1</v>
      </c>
    </row>
    <row r="165" ht="13.65" customHeight="1">
      <c r="A165" t="s" s="35">
        <v>2618</v>
      </c>
      <c r="B165" s="36">
        <v>4</v>
      </c>
      <c r="C165" t="s" s="35">
        <v>1823</v>
      </c>
      <c r="D165" t="s" s="35">
        <v>2513</v>
      </c>
      <c r="E165" t="s" s="35">
        <v>2613</v>
      </c>
      <c r="F165" s="36">
        <v>4</v>
      </c>
      <c r="G165" t="s" s="35">
        <v>414</v>
      </c>
      <c r="H165" t="s" s="35">
        <v>2614</v>
      </c>
      <c r="I165" t="s" s="120">
        <v>2619</v>
      </c>
      <c r="J165" t="s" s="35">
        <v>1055</v>
      </c>
      <c r="K165" t="s" s="35">
        <v>427</v>
      </c>
      <c r="L165" t="s" s="35">
        <v>416</v>
      </c>
      <c r="M165" t="str" s="39">
        <v>Biología</v>
      </c>
      <c r="N165" t="str" s="39">
        <v>Características y procesos vitales de los organismos</v>
      </c>
      <c r="O165" t="str" s="39" cm="1">
        <f t="array" ref="O165">IF(L165="","",_xlfn.IFERROR(INDEX('Datos - Catálogo TIMSS'!$C$5:$C$107,MATCH(L165,'Datos - Catálogo TIMSS'!$A$5:$A$107,0)),"?"))</f>
        <v>Biología</v>
      </c>
      <c r="P165" t="s" s="35">
        <v>282</v>
      </c>
      <c r="Q165" t="s" s="120">
        <v>2620</v>
      </c>
      <c r="R165" t="s" s="120">
        <v>1847</v>
      </c>
      <c r="S165" s="121" cm="1">
        <f t="array" ref="S165">_xlfn.IFERROR(ISNUMBER(SEARCH("Conocer",$R165))/(ISNUMBER(SEARCH("Conocer",$R165))+ISNUMBER(SEARCH("Aplicar",$R165))+ISNUMBER(SEARCH("Razonar",$R165))),0)</f>
        <v>0</v>
      </c>
      <c r="T165" s="121" cm="1">
        <f t="array" ref="T165">_xlfn.IFERROR(ISNUMBER(SEARCH("Aplicar",$R165))/(ISNUMBER(SEARCH("Conocer",$R165))+ISNUMBER(SEARCH("Aplicar",$R165))+ISNUMBER(SEARCH("Razonar",$R165))),0)</f>
        <v>1</v>
      </c>
      <c r="U165" s="121" cm="1">
        <f t="array" ref="U165">_xlfn.IFERROR(ISNUMBER(SEARCH("Razonar",$R165))/(ISNUMBER(SEARCH("Conocer",$R165))+ISNUMBER(SEARCH("Aplicar",$R165))+ISNUMBER(SEARCH("Razonar",$R165))),0)</f>
        <v>0</v>
      </c>
      <c r="V165" t="s" s="35">
        <v>77</v>
      </c>
      <c r="W165" t="s" s="35">
        <v>112</v>
      </c>
      <c r="X165" s="36" cm="1">
        <f t="array" ref="X165">IF(OR(_xlfn.IFERROR(INDEX('Datos - Catálogo TIMSS'!$I$5:$I$107,MATCH(K165,'Datos - Catálogo TIMSS'!$A$5:$A$107,0)),"No")="Sí",_xlfn.IFERROR(INDEX('Datos - Catálogo TIMSS'!$I$5:$I$107,MATCH(L165,'Datos - Catálogo TIMSS'!$A$5:$A$107,0)),"No")="Sí"),1,0)</f>
        <v>1</v>
      </c>
      <c r="Y165" s="36" cm="1">
        <f t="array" ref="Y165">IF(_xlfn.IFERROR(INDEX('Datos - Catálogo TIMSS'!$J$5:$J$107,MATCH(K165,'Datos - Catálogo TIMSS'!$A$5:$A$107,0)),"No")="Sí",1,0)</f>
        <v>0</v>
      </c>
      <c r="Z165" s="36" cm="1">
        <f t="array" ref="Z165">IF(_xlfn.IFERROR(INDEX('Datos - Catálogo TIMSS'!$J$5:$J$107,MATCH(L165,'Datos - Catálogo TIMSS'!$A$5:$A$107,0)),"No")="Sí",1,0)</f>
        <v>0</v>
      </c>
      <c r="AA165" t="s" s="35">
        <v>2023</v>
      </c>
      <c r="AB165" t="s" s="35">
        <v>2045</v>
      </c>
      <c r="AC165" t="str" s="39">
        <v>Ciencias de la vida</v>
      </c>
      <c r="AD165" t="s" s="35">
        <v>1834</v>
      </c>
      <c r="AE165" t="str" s="39" cm="1">
        <f t="array" ref="AE165">IF(AD165="","",IF(LEFT(AD165,1)="1","C1",IF(LEFT(AD165,1)="2","C2",IF(LEFT(AD165,1)="3","C3",""))))</f>
        <v>C2</v>
      </c>
      <c r="AF165" t="s" s="35">
        <v>1602</v>
      </c>
      <c r="AG165" t="s" s="35">
        <v>1617</v>
      </c>
      <c r="AH165" t="s" s="35">
        <v>1602</v>
      </c>
      <c r="AI165" t="s" s="35">
        <v>1623</v>
      </c>
      <c r="AJ165" t="s" s="35">
        <v>1615</v>
      </c>
      <c r="AK165" s="39"/>
      <c r="AL165" s="39"/>
      <c r="AM165" s="39"/>
      <c r="AN165" s="39"/>
      <c r="AO165" s="39"/>
      <c r="AP165" s="39"/>
      <c r="AQ165" s="39"/>
      <c r="AR165" s="39"/>
      <c r="AS165" s="39"/>
      <c r="AT165" s="39"/>
      <c r="AU165" s="39"/>
      <c r="AV165" s="39"/>
      <c r="AW165" t="str" s="39" cm="1">
        <f t="array" ref="AW165">AF165&amp;"; "&amp;AG165&amp;"; "&amp;AH165&amp;"; "&amp;AI165&amp;"; "&amp;AJ165</f>
        <v>E1; D1; E1; D4; E6</v>
      </c>
    </row>
    <row r="166" ht="13.65" customHeight="1">
      <c r="A166" t="s" s="35">
        <v>2621</v>
      </c>
      <c r="B166" s="36">
        <v>4</v>
      </c>
      <c r="C166" t="s" s="35">
        <v>1823</v>
      </c>
      <c r="D166" t="s" s="35">
        <v>2513</v>
      </c>
      <c r="E166" t="s" s="35">
        <v>2613</v>
      </c>
      <c r="F166" s="36">
        <v>5</v>
      </c>
      <c r="G166" t="s" s="35">
        <v>414</v>
      </c>
      <c r="H166" t="s" s="35">
        <v>2622</v>
      </c>
      <c r="I166" t="s" s="120">
        <v>2623</v>
      </c>
      <c r="J166" t="s" s="35">
        <v>1055</v>
      </c>
      <c r="K166" t="s" s="35">
        <v>416</v>
      </c>
      <c r="L166" s="39"/>
      <c r="M166" t="str" s="39">
        <v>Biología</v>
      </c>
      <c r="N166" t="str" s="39">
        <v>Ecosistemas</v>
      </c>
      <c r="O166" t="str" s="39" cm="1">
        <f t="array" ref="O166">IF(L166="","",_xlfn.IFERROR(INDEX('Datos - Catálogo TIMSS'!$C$5:$C$107,MATCH(L166,'Datos - Catálogo TIMSS'!$A$5:$A$107,0)),"?"))</f>
      </c>
      <c r="P166" t="s" s="35">
        <v>291</v>
      </c>
      <c r="Q166" t="s" s="120">
        <v>2624</v>
      </c>
      <c r="R166" t="s" s="120">
        <v>2131</v>
      </c>
      <c r="S166" s="121" cm="1">
        <f t="array" ref="S166">_xlfn.IFERROR(ISNUMBER(SEARCH("Conocer",$R166))/(ISNUMBER(SEARCH("Conocer",$R166))+ISNUMBER(SEARCH("Aplicar",$R166))+ISNUMBER(SEARCH("Razonar",$R166))),0)</f>
        <v>0</v>
      </c>
      <c r="T166" s="121" cm="1">
        <f t="array" ref="T166">_xlfn.IFERROR(ISNUMBER(SEARCH("Aplicar",$R166))/(ISNUMBER(SEARCH("Conocer",$R166))+ISNUMBER(SEARCH("Aplicar",$R166))+ISNUMBER(SEARCH("Razonar",$R166))),0)</f>
        <v>1</v>
      </c>
      <c r="U166" s="121" cm="1">
        <f t="array" ref="U166">_xlfn.IFERROR(ISNUMBER(SEARCH("Razonar",$R166))/(ISNUMBER(SEARCH("Conocer",$R166))+ISNUMBER(SEARCH("Aplicar",$R166))+ISNUMBER(SEARCH("Razonar",$R166))),0)</f>
        <v>0</v>
      </c>
      <c r="V166" t="s" s="35">
        <v>77</v>
      </c>
      <c r="W166" t="s" s="35">
        <v>112</v>
      </c>
      <c r="X166" s="36" cm="1">
        <f t="array" ref="X166">IF(OR(_xlfn.IFERROR(INDEX('Datos - Catálogo TIMSS'!$I$5:$I$107,MATCH(K166,'Datos - Catálogo TIMSS'!$A$5:$A$107,0)),"No")="Sí",_xlfn.IFERROR(INDEX('Datos - Catálogo TIMSS'!$I$5:$I$107,MATCH(L166,'Datos - Catálogo TIMSS'!$A$5:$A$107,0)),"No")="Sí"),1,0)</f>
        <v>1</v>
      </c>
      <c r="Y166" s="36" cm="1">
        <f t="array" ref="Y166">IF(_xlfn.IFERROR(INDEX('Datos - Catálogo TIMSS'!$J$5:$J$107,MATCH(K166,'Datos - Catálogo TIMSS'!$A$5:$A$107,0)),"No")="Sí",1,0)</f>
        <v>0</v>
      </c>
      <c r="Z166" s="36" cm="1">
        <f t="array" ref="Z166">IF(_xlfn.IFERROR(INDEX('Datos - Catálogo TIMSS'!$J$5:$J$107,MATCH(L166,'Datos - Catálogo TIMSS'!$A$5:$A$107,0)),"No")="Sí",1,0)</f>
        <v>0</v>
      </c>
      <c r="AA166" t="s" s="35">
        <v>2045</v>
      </c>
      <c r="AB166" s="39"/>
      <c r="AC166" t="str" s="39">
        <v>Ciencias de la vida</v>
      </c>
      <c r="AD166" t="s" s="35">
        <v>1859</v>
      </c>
      <c r="AE166" t="str" s="39" cm="1">
        <f t="array" ref="AE166">IF(AD166="","",IF(LEFT(AD166,1)="1","C1",IF(LEFT(AD166,1)="2","C2",IF(LEFT(AD166,1)="3","C3",""))))</f>
        <v>C1</v>
      </c>
      <c r="AF166" t="s" s="35">
        <v>1602</v>
      </c>
      <c r="AG166" t="s" s="35">
        <v>1617</v>
      </c>
      <c r="AH166" t="s" s="35">
        <v>1605</v>
      </c>
      <c r="AI166" t="s" s="35">
        <v>1623</v>
      </c>
      <c r="AJ166" t="s" s="35">
        <v>1602</v>
      </c>
      <c r="AK166" s="39"/>
      <c r="AL166" s="39"/>
      <c r="AM166" s="39"/>
      <c r="AN166" s="39"/>
      <c r="AO166" s="39"/>
      <c r="AP166" s="39"/>
      <c r="AQ166" s="39"/>
      <c r="AR166" s="39"/>
      <c r="AS166" s="39"/>
      <c r="AT166" s="39"/>
      <c r="AU166" s="39"/>
      <c r="AV166" s="39"/>
      <c r="AW166" t="str" s="39" cm="1">
        <f t="array" ref="AW166">AF166&amp;"; "&amp;AG166&amp;"; "&amp;AH166&amp;"; "&amp;AI166&amp;"; "&amp;AJ166</f>
        <v>E1; D1; E2; D4; E1</v>
      </c>
    </row>
    <row r="167" ht="13.65" customHeight="1">
      <c r="A167" t="s" s="35">
        <v>2625</v>
      </c>
      <c r="B167" s="36">
        <v>4</v>
      </c>
      <c r="C167" t="s" s="35">
        <v>1823</v>
      </c>
      <c r="D167" t="s" s="35">
        <v>2513</v>
      </c>
      <c r="E167" t="s" s="35">
        <v>2613</v>
      </c>
      <c r="F167" s="36">
        <v>6</v>
      </c>
      <c r="G167" t="s" s="35">
        <v>414</v>
      </c>
      <c r="H167" t="s" s="35">
        <v>2626</v>
      </c>
      <c r="I167" t="s" s="120">
        <v>2627</v>
      </c>
      <c r="J167" t="s" s="35">
        <v>1055</v>
      </c>
      <c r="K167" t="s" s="35">
        <v>416</v>
      </c>
      <c r="L167" s="39"/>
      <c r="M167" t="str" s="39">
        <v>Biología</v>
      </c>
      <c r="N167" t="str" s="39">
        <v>Ecosistemas</v>
      </c>
      <c r="O167" t="str" s="39" cm="1">
        <f t="array" ref="O167">IF(L167="","",_xlfn.IFERROR(INDEX('Datos - Catálogo TIMSS'!$C$5:$C$107,MATCH(L167,'Datos - Catálogo TIMSS'!$A$5:$A$107,0)),"?"))</f>
      </c>
      <c r="P167" t="s" s="35">
        <v>254</v>
      </c>
      <c r="Q167" t="s" s="120">
        <v>2628</v>
      </c>
      <c r="R167" t="s" s="120">
        <v>2629</v>
      </c>
      <c r="S167" s="121" cm="1">
        <f t="array" ref="S167">_xlfn.IFERROR(ISNUMBER(SEARCH("Conocer",$R167))/(ISNUMBER(SEARCH("Conocer",$R167))+ISNUMBER(SEARCH("Aplicar",$R167))+ISNUMBER(SEARCH("Razonar",$R167))),0)</f>
        <v>0.5</v>
      </c>
      <c r="T167" s="121" cm="1">
        <f t="array" ref="T167">_xlfn.IFERROR(ISNUMBER(SEARCH("Aplicar",$R167))/(ISNUMBER(SEARCH("Conocer",$R167))+ISNUMBER(SEARCH("Aplicar",$R167))+ISNUMBER(SEARCH("Razonar",$R167))),0)</f>
        <v>0.5</v>
      </c>
      <c r="U167" s="121" cm="1">
        <f t="array" ref="U167">_xlfn.IFERROR(ISNUMBER(SEARCH("Razonar",$R167))/(ISNUMBER(SEARCH("Conocer",$R167))+ISNUMBER(SEARCH("Aplicar",$R167))+ISNUMBER(SEARCH("Razonar",$R167))),0)</f>
        <v>0</v>
      </c>
      <c r="V167" t="s" s="35">
        <v>77</v>
      </c>
      <c r="W167" t="s" s="35">
        <v>112</v>
      </c>
      <c r="X167" s="36" cm="1">
        <f t="array" ref="X167">IF(OR(_xlfn.IFERROR(INDEX('Datos - Catálogo TIMSS'!$I$5:$I$107,MATCH(K167,'Datos - Catálogo TIMSS'!$A$5:$A$107,0)),"No")="Sí",_xlfn.IFERROR(INDEX('Datos - Catálogo TIMSS'!$I$5:$I$107,MATCH(L167,'Datos - Catálogo TIMSS'!$A$5:$A$107,0)),"No")="Sí"),1,0)</f>
        <v>1</v>
      </c>
      <c r="Y167" s="36" cm="1">
        <f t="array" ref="Y167">IF(_xlfn.IFERROR(INDEX('Datos - Catálogo TIMSS'!$J$5:$J$107,MATCH(K167,'Datos - Catálogo TIMSS'!$A$5:$A$107,0)),"No")="Sí",1,0)</f>
        <v>0</v>
      </c>
      <c r="Z167" s="36" cm="1">
        <f t="array" ref="Z167">IF(_xlfn.IFERROR(INDEX('Datos - Catálogo TIMSS'!$J$5:$J$107,MATCH(L167,'Datos - Catálogo TIMSS'!$A$5:$A$107,0)),"No")="Sí",1,0)</f>
        <v>0</v>
      </c>
      <c r="AA167" t="s" s="35">
        <v>2045</v>
      </c>
      <c r="AB167" s="39"/>
      <c r="AC167" t="str" s="39">
        <v>Ciencias de la vida</v>
      </c>
      <c r="AD167" t="s" s="35">
        <v>1859</v>
      </c>
      <c r="AE167" t="str" s="39" cm="1">
        <f t="array" ref="AE167">IF(AD167="","",IF(LEFT(AD167,1)="1","C1",IF(LEFT(AD167,1)="2","C2",IF(LEFT(AD167,1)="3","C3",""))))</f>
        <v>C1</v>
      </c>
      <c r="AF167" t="s" s="35">
        <v>1615</v>
      </c>
      <c r="AG167" t="s" s="35">
        <v>1617</v>
      </c>
      <c r="AH167" t="s" s="35">
        <v>1602</v>
      </c>
      <c r="AI167" t="s" s="35">
        <v>1623</v>
      </c>
      <c r="AJ167" t="s" s="35">
        <v>1615</v>
      </c>
      <c r="AK167" s="39"/>
      <c r="AL167" s="39"/>
      <c r="AM167" s="39"/>
      <c r="AN167" s="39"/>
      <c r="AO167" s="39"/>
      <c r="AP167" s="39"/>
      <c r="AQ167" s="39"/>
      <c r="AR167" s="39"/>
      <c r="AS167" s="39"/>
      <c r="AT167" s="39"/>
      <c r="AU167" s="39"/>
      <c r="AV167" s="39"/>
      <c r="AW167" t="str" s="39" cm="1">
        <f t="array" ref="AW167">AF167&amp;"; "&amp;AG167&amp;"; "&amp;AH167&amp;"; "&amp;AI167&amp;"; "&amp;AJ167</f>
        <v>E6; D1; E1; D4; E6</v>
      </c>
    </row>
    <row r="168" ht="13.65" customHeight="1">
      <c r="A168" t="s" s="35">
        <v>2630</v>
      </c>
      <c r="B168" s="36">
        <v>4</v>
      </c>
      <c r="C168" t="s" s="35">
        <v>1823</v>
      </c>
      <c r="D168" t="s" s="35">
        <v>2513</v>
      </c>
      <c r="E168" t="s" s="35">
        <v>2613</v>
      </c>
      <c r="F168" s="36">
        <v>7</v>
      </c>
      <c r="G168" t="s" s="35">
        <v>414</v>
      </c>
      <c r="H168" t="s" s="35">
        <v>2626</v>
      </c>
      <c r="I168" t="s" s="120">
        <v>2631</v>
      </c>
      <c r="J168" t="s" s="35">
        <v>1055</v>
      </c>
      <c r="K168" t="s" s="35">
        <v>416</v>
      </c>
      <c r="L168" s="39"/>
      <c r="M168" t="str" s="39">
        <v>Biología</v>
      </c>
      <c r="N168" t="str" s="39">
        <v>Ecosistemas</v>
      </c>
      <c r="O168" t="str" s="39" cm="1">
        <f t="array" ref="O168">IF(L168="","",_xlfn.IFERROR(INDEX('Datos - Catálogo TIMSS'!$C$5:$C$107,MATCH(L168,'Datos - Catálogo TIMSS'!$A$5:$A$107,0)),"?"))</f>
      </c>
      <c r="P168" t="s" s="35">
        <v>282</v>
      </c>
      <c r="Q168" t="s" s="120">
        <v>2632</v>
      </c>
      <c r="R168" t="s" s="120">
        <v>2633</v>
      </c>
      <c r="S168" s="121" cm="1">
        <f t="array" ref="S168">_xlfn.IFERROR(ISNUMBER(SEARCH("Conocer",$R168))/(ISNUMBER(SEARCH("Conocer",$R168))+ISNUMBER(SEARCH("Aplicar",$R168))+ISNUMBER(SEARCH("Razonar",$R168))),0)</f>
        <v>0.5</v>
      </c>
      <c r="T168" s="121" cm="1">
        <f t="array" ref="T168">_xlfn.IFERROR(ISNUMBER(SEARCH("Aplicar",$R168))/(ISNUMBER(SEARCH("Conocer",$R168))+ISNUMBER(SEARCH("Aplicar",$R168))+ISNUMBER(SEARCH("Razonar",$R168))),0)</f>
        <v>0</v>
      </c>
      <c r="U168" s="121" cm="1">
        <f t="array" ref="U168">_xlfn.IFERROR(ISNUMBER(SEARCH("Razonar",$R168))/(ISNUMBER(SEARCH("Conocer",$R168))+ISNUMBER(SEARCH("Aplicar",$R168))+ISNUMBER(SEARCH("Razonar",$R168))),0)</f>
        <v>0.5</v>
      </c>
      <c r="V168" t="s" s="35">
        <v>77</v>
      </c>
      <c r="W168" t="s" s="35">
        <v>112</v>
      </c>
      <c r="X168" s="36" cm="1">
        <f t="array" ref="X168">IF(OR(_xlfn.IFERROR(INDEX('Datos - Catálogo TIMSS'!$I$5:$I$107,MATCH(K168,'Datos - Catálogo TIMSS'!$A$5:$A$107,0)),"No")="Sí",_xlfn.IFERROR(INDEX('Datos - Catálogo TIMSS'!$I$5:$I$107,MATCH(L168,'Datos - Catálogo TIMSS'!$A$5:$A$107,0)),"No")="Sí"),1,0)</f>
        <v>1</v>
      </c>
      <c r="Y168" s="36" cm="1">
        <f t="array" ref="Y168">IF(_xlfn.IFERROR(INDEX('Datos - Catálogo TIMSS'!$J$5:$J$107,MATCH(K168,'Datos - Catálogo TIMSS'!$A$5:$A$107,0)),"No")="Sí",1,0)</f>
        <v>0</v>
      </c>
      <c r="Z168" s="36" cm="1">
        <f t="array" ref="Z168">IF(_xlfn.IFERROR(INDEX('Datos - Catálogo TIMSS'!$J$5:$J$107,MATCH(L168,'Datos - Catálogo TIMSS'!$A$5:$A$107,0)),"No")="Sí",1,0)</f>
        <v>0</v>
      </c>
      <c r="AA168" t="s" s="35">
        <v>2045</v>
      </c>
      <c r="AB168" s="39"/>
      <c r="AC168" t="str" s="39">
        <v>Ciencias de la vida</v>
      </c>
      <c r="AD168" t="s" s="35">
        <v>1859</v>
      </c>
      <c r="AE168" t="str" s="39" cm="1">
        <f t="array" ref="AE168">IF(AD168="","",IF(LEFT(AD168,1)="1","C1",IF(LEFT(AD168,1)="2","C2",IF(LEFT(AD168,1)="3","C3",""))))</f>
        <v>C1</v>
      </c>
      <c r="AF168" t="s" s="35">
        <v>1615</v>
      </c>
      <c r="AG168" t="s" s="35">
        <v>1617</v>
      </c>
      <c r="AH168" t="s" s="35">
        <v>1602</v>
      </c>
      <c r="AI168" t="s" s="35">
        <v>1625</v>
      </c>
      <c r="AJ168" t="s" s="35">
        <v>1615</v>
      </c>
      <c r="AK168" s="39"/>
      <c r="AL168" s="39"/>
      <c r="AM168" s="39"/>
      <c r="AN168" s="39"/>
      <c r="AO168" s="39"/>
      <c r="AP168" s="39"/>
      <c r="AQ168" s="39"/>
      <c r="AR168" s="39"/>
      <c r="AS168" s="39"/>
      <c r="AT168" s="39"/>
      <c r="AU168" s="39"/>
      <c r="AV168" s="39"/>
      <c r="AW168" t="str" s="39" cm="1">
        <f t="array" ref="AW168">AF168&amp;"; "&amp;AG168&amp;"; "&amp;AH168&amp;"; "&amp;AI168&amp;"; "&amp;AJ168</f>
        <v>E6; D1; E1; I1; E6</v>
      </c>
    </row>
    <row r="169" ht="13.65" customHeight="1">
      <c r="A169" t="s" s="35">
        <v>2635</v>
      </c>
      <c r="B169" s="36">
        <v>4</v>
      </c>
      <c r="C169" t="s" s="35">
        <v>1823</v>
      </c>
      <c r="D169" t="s" s="35">
        <v>2513</v>
      </c>
      <c r="E169" t="s" s="35">
        <v>2613</v>
      </c>
      <c r="F169" s="36">
        <v>8</v>
      </c>
      <c r="G169" t="s" s="35">
        <v>414</v>
      </c>
      <c r="H169" t="s" s="35">
        <v>2626</v>
      </c>
      <c r="I169" t="s" s="120">
        <v>2636</v>
      </c>
      <c r="J169" t="s" s="35">
        <v>1055</v>
      </c>
      <c r="K169" t="s" s="35">
        <v>1086</v>
      </c>
      <c r="L169" s="39"/>
      <c r="M169" t="str" s="39">
        <v>Biología</v>
      </c>
      <c r="N169" t="str" s="39">
        <v>Ecosistemas</v>
      </c>
      <c r="O169" t="str" s="39" cm="1">
        <f t="array" ref="O169">IF(L169="","",_xlfn.IFERROR(INDEX('Datos - Catálogo TIMSS'!$C$5:$C$107,MATCH(L169,'Datos - Catálogo TIMSS'!$A$5:$A$107,0)),"?"))</f>
      </c>
      <c r="P169" t="s" s="35">
        <v>254</v>
      </c>
      <c r="Q169" t="s" s="120">
        <v>2637</v>
      </c>
      <c r="R169" t="s" s="120">
        <v>2638</v>
      </c>
      <c r="S169" s="121" cm="1">
        <f t="array" ref="S169">_xlfn.IFERROR(ISNUMBER(SEARCH("Conocer",$R169))/(ISNUMBER(SEARCH("Conocer",$R169))+ISNUMBER(SEARCH("Aplicar",$R169))+ISNUMBER(SEARCH("Razonar",$R169))),0)</f>
        <v>0</v>
      </c>
      <c r="T169" s="121" cm="1">
        <f t="array" ref="T169">_xlfn.IFERROR(ISNUMBER(SEARCH("Aplicar",$R169))/(ISNUMBER(SEARCH("Conocer",$R169))+ISNUMBER(SEARCH("Aplicar",$R169))+ISNUMBER(SEARCH("Razonar",$R169))),0)</f>
        <v>0.5</v>
      </c>
      <c r="U169" s="121" cm="1">
        <f t="array" ref="U169">_xlfn.IFERROR(ISNUMBER(SEARCH("Razonar",$R169))/(ISNUMBER(SEARCH("Conocer",$R169))+ISNUMBER(SEARCH("Aplicar",$R169))+ISNUMBER(SEARCH("Razonar",$R169))),0)</f>
        <v>0.5</v>
      </c>
      <c r="V169" t="s" s="35">
        <v>77</v>
      </c>
      <c r="W169" t="s" s="35">
        <v>112</v>
      </c>
      <c r="X169" s="36" cm="1">
        <f t="array" ref="X169">IF(OR(_xlfn.IFERROR(INDEX('Datos - Catálogo TIMSS'!$I$5:$I$107,MATCH(K169,'Datos - Catálogo TIMSS'!$A$5:$A$107,0)),"No")="Sí",_xlfn.IFERROR(INDEX('Datos - Catálogo TIMSS'!$I$5:$I$107,MATCH(L169,'Datos - Catálogo TIMSS'!$A$5:$A$107,0)),"No")="Sí"),1,0)</f>
        <v>1</v>
      </c>
      <c r="Y169" s="36" cm="1">
        <f t="array" ref="Y169">IF(_xlfn.IFERROR(INDEX('Datos - Catálogo TIMSS'!$J$5:$J$107,MATCH(K169,'Datos - Catálogo TIMSS'!$A$5:$A$107,0)),"No")="Sí",1,0)</f>
        <v>0</v>
      </c>
      <c r="Z169" s="36" cm="1">
        <f t="array" ref="Z169">IF(_xlfn.IFERROR(INDEX('Datos - Catálogo TIMSS'!$J$5:$J$107,MATCH(L169,'Datos - Catálogo TIMSS'!$A$5:$A$107,0)),"No")="Sí",1,0)</f>
        <v>0</v>
      </c>
      <c r="AA169" t="s" s="35">
        <v>2504</v>
      </c>
      <c r="AB169" t="s" s="35">
        <v>2639</v>
      </c>
      <c r="AC169" t="str" s="39">
        <v>Ciencias de la vida</v>
      </c>
      <c r="AD169" t="s" s="35">
        <v>1859</v>
      </c>
      <c r="AE169" t="str" s="39" cm="1">
        <f t="array" ref="AE169">IF(AD169="","",IF(LEFT(AD169,1)="1","C1",IF(LEFT(AD169,1)="2","C2",IF(LEFT(AD169,1)="3","C3",""))))</f>
        <v>C1</v>
      </c>
      <c r="AF169" t="s" s="35">
        <v>1602</v>
      </c>
      <c r="AG169" t="s" s="35">
        <v>1617</v>
      </c>
      <c r="AH169" t="s" s="35">
        <v>1609</v>
      </c>
      <c r="AI169" t="s" s="35">
        <v>1609</v>
      </c>
      <c r="AJ169" t="s" s="35">
        <v>1615</v>
      </c>
      <c r="AK169" s="39"/>
      <c r="AL169" s="39"/>
      <c r="AM169" s="39"/>
      <c r="AN169" s="39"/>
      <c r="AO169" s="39"/>
      <c r="AP169" s="39"/>
      <c r="AQ169" s="39"/>
      <c r="AR169" s="39"/>
      <c r="AS169" s="39"/>
      <c r="AT169" s="39"/>
      <c r="AU169" s="39"/>
      <c r="AV169" s="39"/>
      <c r="AW169" t="str" s="39" cm="1">
        <f t="array" ref="AW169">AF169&amp;"; "&amp;AG169&amp;"; "&amp;AH169&amp;"; "&amp;AI169&amp;"; "&amp;AJ169</f>
        <v>E1; D1; E4; E4; E6</v>
      </c>
    </row>
    <row r="170" ht="13.65" customHeight="1">
      <c r="A170" t="s" s="35">
        <v>2640</v>
      </c>
      <c r="B170" s="36">
        <v>4</v>
      </c>
      <c r="C170" t="s" s="35">
        <v>1823</v>
      </c>
      <c r="D170" t="s" s="35">
        <v>2513</v>
      </c>
      <c r="E170" t="s" s="35">
        <v>2613</v>
      </c>
      <c r="F170" s="36">
        <v>9</v>
      </c>
      <c r="G170" t="s" s="35">
        <v>414</v>
      </c>
      <c r="H170" t="s" s="35">
        <v>2626</v>
      </c>
      <c r="I170" t="s" s="120">
        <v>2641</v>
      </c>
      <c r="J170" t="s" s="35">
        <v>1055</v>
      </c>
      <c r="K170" t="s" s="35">
        <v>1086</v>
      </c>
      <c r="L170" s="39"/>
      <c r="M170" t="str" s="39">
        <v>Biología</v>
      </c>
      <c r="N170" t="str" s="39">
        <v>Ecosistemas</v>
      </c>
      <c r="O170" t="str" s="39" cm="1">
        <f t="array" ref="O170">IF(L170="","",_xlfn.IFERROR(INDEX('Datos - Catálogo TIMSS'!$C$5:$C$107,MATCH(L170,'Datos - Catálogo TIMSS'!$A$5:$A$107,0)),"?"))</f>
      </c>
      <c r="P170" t="s" s="35">
        <v>254</v>
      </c>
      <c r="Q170" t="s" s="120">
        <v>2642</v>
      </c>
      <c r="R170" t="s" s="120">
        <v>2643</v>
      </c>
      <c r="S170" s="121" cm="1">
        <f t="array" ref="S170">_xlfn.IFERROR(ISNUMBER(SEARCH("Conocer",$R170))/(ISNUMBER(SEARCH("Conocer",$R170))+ISNUMBER(SEARCH("Aplicar",$R170))+ISNUMBER(SEARCH("Razonar",$R170))),0)</f>
        <v>0</v>
      </c>
      <c r="T170" s="121" cm="1">
        <f t="array" ref="T170">_xlfn.IFERROR(ISNUMBER(SEARCH("Aplicar",$R170))/(ISNUMBER(SEARCH("Conocer",$R170))+ISNUMBER(SEARCH("Aplicar",$R170))+ISNUMBER(SEARCH("Razonar",$R170))),0)</f>
        <v>0.5</v>
      </c>
      <c r="U170" s="121" cm="1">
        <f t="array" ref="U170">_xlfn.IFERROR(ISNUMBER(SEARCH("Razonar",$R170))/(ISNUMBER(SEARCH("Conocer",$R170))+ISNUMBER(SEARCH("Aplicar",$R170))+ISNUMBER(SEARCH("Razonar",$R170))),0)</f>
        <v>0.5</v>
      </c>
      <c r="V170" t="s" s="35">
        <v>77</v>
      </c>
      <c r="W170" t="s" s="35">
        <v>112</v>
      </c>
      <c r="X170" s="36" cm="1">
        <f t="array" ref="X170">IF(OR(_xlfn.IFERROR(INDEX('Datos - Catálogo TIMSS'!$I$5:$I$107,MATCH(K170,'Datos - Catálogo TIMSS'!$A$5:$A$107,0)),"No")="Sí",_xlfn.IFERROR(INDEX('Datos - Catálogo TIMSS'!$I$5:$I$107,MATCH(L170,'Datos - Catálogo TIMSS'!$A$5:$A$107,0)),"No")="Sí"),1,0)</f>
        <v>1</v>
      </c>
      <c r="Y170" s="36" cm="1">
        <f t="array" ref="Y170">IF(_xlfn.IFERROR(INDEX('Datos - Catálogo TIMSS'!$J$5:$J$107,MATCH(K170,'Datos - Catálogo TIMSS'!$A$5:$A$107,0)),"No")="Sí",1,0)</f>
        <v>0</v>
      </c>
      <c r="Z170" s="36" cm="1">
        <f t="array" ref="Z170">IF(_xlfn.IFERROR(INDEX('Datos - Catálogo TIMSS'!$J$5:$J$107,MATCH(L170,'Datos - Catálogo TIMSS'!$A$5:$A$107,0)),"No")="Sí",1,0)</f>
        <v>0</v>
      </c>
      <c r="AA170" t="s" s="35">
        <v>2504</v>
      </c>
      <c r="AB170" s="39"/>
      <c r="AC170" t="str" s="39">
        <v>Ciencias de la vida</v>
      </c>
      <c r="AD170" t="s" s="35">
        <v>1834</v>
      </c>
      <c r="AE170" t="str" s="39" cm="1">
        <f t="array" ref="AE170">IF(AD170="","",IF(LEFT(AD170,1)="1","C1",IF(LEFT(AD170,1)="2","C2",IF(LEFT(AD170,1)="3","C3",""))))</f>
        <v>C2</v>
      </c>
      <c r="AF170" t="s" s="35">
        <v>1602</v>
      </c>
      <c r="AG170" t="s" s="35">
        <v>1617</v>
      </c>
      <c r="AH170" t="s" s="35">
        <v>1609</v>
      </c>
      <c r="AI170" t="s" s="35">
        <v>1623</v>
      </c>
      <c r="AJ170" t="s" s="35">
        <v>1607</v>
      </c>
      <c r="AK170" s="39"/>
      <c r="AL170" s="39"/>
      <c r="AM170" s="39"/>
      <c r="AN170" s="39"/>
      <c r="AO170" s="39"/>
      <c r="AP170" s="39"/>
      <c r="AQ170" s="39"/>
      <c r="AR170" s="39"/>
      <c r="AS170" s="39"/>
      <c r="AT170" s="39"/>
      <c r="AU170" s="39"/>
      <c r="AV170" s="39"/>
      <c r="AW170" t="str" s="39" cm="1">
        <f t="array" ref="AW170">AF170&amp;"; "&amp;AG170&amp;"; "&amp;AH170&amp;"; "&amp;AI170&amp;"; "&amp;AJ170</f>
        <v>E1; D1; E4; D4; E3</v>
      </c>
    </row>
    <row r="171" ht="13.65" customHeight="1">
      <c r="A171" t="s" s="35">
        <v>2645</v>
      </c>
      <c r="B171" s="36">
        <v>4</v>
      </c>
      <c r="C171" t="s" s="35">
        <v>1823</v>
      </c>
      <c r="D171" t="s" s="35">
        <v>2513</v>
      </c>
      <c r="E171" t="s" s="35">
        <v>2613</v>
      </c>
      <c r="F171" s="36">
        <v>10</v>
      </c>
      <c r="G171" t="s" s="35">
        <v>414</v>
      </c>
      <c r="H171" t="s" s="35">
        <v>2626</v>
      </c>
      <c r="I171" t="s" s="120">
        <v>2646</v>
      </c>
      <c r="J171" t="s" s="35">
        <v>1055</v>
      </c>
      <c r="K171" t="s" s="35">
        <v>416</v>
      </c>
      <c r="L171" t="s" s="35">
        <v>1086</v>
      </c>
      <c r="M171" t="str" s="39">
        <v>Biología</v>
      </c>
      <c r="N171" t="str" s="39">
        <v>Ecosistemas</v>
      </c>
      <c r="O171" t="str" s="39" cm="1">
        <f t="array" ref="O171">IF(L171="","",_xlfn.IFERROR(INDEX('Datos - Catálogo TIMSS'!$C$5:$C$107,MATCH(L171,'Datos - Catálogo TIMSS'!$A$5:$A$107,0)),"?"))</f>
        <v>Biología</v>
      </c>
      <c r="P171" t="s" s="35">
        <v>282</v>
      </c>
      <c r="Q171" t="s" s="120">
        <v>2647</v>
      </c>
      <c r="R171" t="s" s="120">
        <v>2617</v>
      </c>
      <c r="S171" s="121" cm="1">
        <f t="array" ref="S171">_xlfn.IFERROR(ISNUMBER(SEARCH("Conocer",$R171))/(ISNUMBER(SEARCH("Conocer",$R171))+ISNUMBER(SEARCH("Aplicar",$R171))+ISNUMBER(SEARCH("Razonar",$R171))),0)</f>
        <v>1</v>
      </c>
      <c r="T171" s="121" cm="1">
        <f t="array" ref="T171">_xlfn.IFERROR(ISNUMBER(SEARCH("Aplicar",$R171))/(ISNUMBER(SEARCH("Conocer",$R171))+ISNUMBER(SEARCH("Aplicar",$R171))+ISNUMBER(SEARCH("Razonar",$R171))),0)</f>
        <v>0</v>
      </c>
      <c r="U171" s="121" cm="1">
        <f t="array" ref="U171">_xlfn.IFERROR(ISNUMBER(SEARCH("Razonar",$R171))/(ISNUMBER(SEARCH("Conocer",$R171))+ISNUMBER(SEARCH("Aplicar",$R171))+ISNUMBER(SEARCH("Razonar",$R171))),0)</f>
        <v>0</v>
      </c>
      <c r="V171" t="s" s="35">
        <v>77</v>
      </c>
      <c r="W171" t="s" s="35">
        <v>112</v>
      </c>
      <c r="X171" s="36" cm="1">
        <f t="array" ref="X171">IF(OR(_xlfn.IFERROR(INDEX('Datos - Catálogo TIMSS'!$I$5:$I$107,MATCH(K171,'Datos - Catálogo TIMSS'!$A$5:$A$107,0)),"No")="Sí",_xlfn.IFERROR(INDEX('Datos - Catálogo TIMSS'!$I$5:$I$107,MATCH(L171,'Datos - Catálogo TIMSS'!$A$5:$A$107,0)),"No")="Sí"),1,0)</f>
        <v>1</v>
      </c>
      <c r="Y171" s="36" cm="1">
        <f t="array" ref="Y171">IF(_xlfn.IFERROR(INDEX('Datos - Catálogo TIMSS'!$J$5:$J$107,MATCH(K171,'Datos - Catálogo TIMSS'!$A$5:$A$107,0)),"No")="Sí",1,0)</f>
        <v>0</v>
      </c>
      <c r="Z171" s="36" cm="1">
        <f t="array" ref="Z171">IF(_xlfn.IFERROR(INDEX('Datos - Catálogo TIMSS'!$J$5:$J$107,MATCH(L171,'Datos - Catálogo TIMSS'!$A$5:$A$107,0)),"No")="Sí",1,0)</f>
        <v>0</v>
      </c>
      <c r="AA171" t="s" s="35">
        <v>2045</v>
      </c>
      <c r="AB171" t="s" s="35">
        <v>2087</v>
      </c>
      <c r="AC171" t="str" s="39">
        <v>Ciencias de la vida</v>
      </c>
      <c r="AD171" t="s" s="35">
        <v>1859</v>
      </c>
      <c r="AE171" t="str" s="39" cm="1">
        <f t="array" ref="AE171">IF(AD171="","",IF(LEFT(AD171,1)="1","C1",IF(LEFT(AD171,1)="2","C2",IF(LEFT(AD171,1)="3","C3",""))))</f>
        <v>C1</v>
      </c>
      <c r="AF171" t="s" s="35">
        <v>1602</v>
      </c>
      <c r="AG171" t="s" s="35">
        <v>1612</v>
      </c>
      <c r="AH171" t="s" s="35">
        <v>1602</v>
      </c>
      <c r="AI171" t="s" s="35">
        <v>1623</v>
      </c>
      <c r="AJ171" t="s" s="35">
        <v>1602</v>
      </c>
      <c r="AK171" s="39"/>
      <c r="AL171" s="39"/>
      <c r="AM171" s="39"/>
      <c r="AN171" s="39"/>
      <c r="AO171" s="39"/>
      <c r="AP171" s="39"/>
      <c r="AQ171" s="39"/>
      <c r="AR171" s="39"/>
      <c r="AS171" s="39"/>
      <c r="AT171" s="39"/>
      <c r="AU171" s="39"/>
      <c r="AV171" s="39"/>
      <c r="AW171" t="str" s="39" cm="1">
        <f t="array" ref="AW171">AF171&amp;"; "&amp;AG171&amp;"; "&amp;AH171&amp;"; "&amp;AI171&amp;"; "&amp;AJ171</f>
        <v>E1; E5; E1; D4; E1</v>
      </c>
    </row>
    <row r="172" ht="13.65" customHeight="1">
      <c r="A172" t="s" s="35">
        <v>2648</v>
      </c>
      <c r="B172" s="36">
        <v>4</v>
      </c>
      <c r="C172" t="s" s="35">
        <v>1823</v>
      </c>
      <c r="D172" t="s" s="35">
        <v>2513</v>
      </c>
      <c r="E172" t="s" s="35">
        <v>2613</v>
      </c>
      <c r="F172" s="36">
        <v>11</v>
      </c>
      <c r="G172" t="s" s="35">
        <v>414</v>
      </c>
      <c r="H172" t="s" s="35">
        <v>2649</v>
      </c>
      <c r="I172" t="s" s="120">
        <v>2650</v>
      </c>
      <c r="J172" t="s" s="35">
        <v>1055</v>
      </c>
      <c r="K172" t="s" s="35">
        <v>274</v>
      </c>
      <c r="L172" s="39"/>
      <c r="M172" t="str" s="39">
        <v>Ciencias de la Tierra</v>
      </c>
      <c r="N172" t="str" s="39">
        <v>La atmósfera terrestre</v>
      </c>
      <c r="O172" t="str" s="39" cm="1">
        <f t="array" ref="O172">IF(L172="","",_xlfn.IFERROR(INDEX('Datos - Catálogo TIMSS'!$C$5:$C$107,MATCH(L172,'Datos - Catálogo TIMSS'!$A$5:$A$107,0)),"?"))</f>
      </c>
      <c r="P172" t="s" s="35">
        <v>282</v>
      </c>
      <c r="Q172" t="s" s="120">
        <v>2651</v>
      </c>
      <c r="R172" t="s" s="120">
        <v>2652</v>
      </c>
      <c r="S172" s="121" cm="1">
        <f t="array" ref="S172">_xlfn.IFERROR(ISNUMBER(SEARCH("Conocer",$R172))/(ISNUMBER(SEARCH("Conocer",$R172))+ISNUMBER(SEARCH("Aplicar",$R172))+ISNUMBER(SEARCH("Razonar",$R172))),0)</f>
        <v>0.5</v>
      </c>
      <c r="T172" s="121" cm="1">
        <f t="array" ref="T172">_xlfn.IFERROR(ISNUMBER(SEARCH("Aplicar",$R172))/(ISNUMBER(SEARCH("Conocer",$R172))+ISNUMBER(SEARCH("Aplicar",$R172))+ISNUMBER(SEARCH("Razonar",$R172))),0)</f>
        <v>0.5</v>
      </c>
      <c r="U172" s="121" cm="1">
        <f t="array" ref="U172">_xlfn.IFERROR(ISNUMBER(SEARCH("Razonar",$R172))/(ISNUMBER(SEARCH("Conocer",$R172))+ISNUMBER(SEARCH("Aplicar",$R172))+ISNUMBER(SEARCH("Razonar",$R172))),0)</f>
        <v>0</v>
      </c>
      <c r="V172" t="s" s="35">
        <v>77</v>
      </c>
      <c r="W172" t="s" s="35">
        <v>112</v>
      </c>
      <c r="X172" s="36" cm="1">
        <f t="array" ref="X172">IF(OR(_xlfn.IFERROR(INDEX('Datos - Catálogo TIMSS'!$I$5:$I$107,MATCH(K172,'Datos - Catálogo TIMSS'!$A$5:$A$107,0)),"No")="Sí",_xlfn.IFERROR(INDEX('Datos - Catálogo TIMSS'!$I$5:$I$107,MATCH(L172,'Datos - Catálogo TIMSS'!$A$5:$A$107,0)),"No")="Sí"),1,0)</f>
        <v>1</v>
      </c>
      <c r="Y172" s="36" cm="1">
        <f t="array" ref="Y172">IF(_xlfn.IFERROR(INDEX('Datos - Catálogo TIMSS'!$J$5:$J$107,MATCH(K172,'Datos - Catálogo TIMSS'!$A$5:$A$107,0)),"No")="Sí",1,0)</f>
        <v>0</v>
      </c>
      <c r="Z172" s="36" cm="1">
        <f t="array" ref="Z172">IF(_xlfn.IFERROR(INDEX('Datos - Catálogo TIMSS'!$J$5:$J$107,MATCH(L172,'Datos - Catálogo TIMSS'!$A$5:$A$107,0)),"No")="Sí",1,0)</f>
        <v>0</v>
      </c>
      <c r="AA172" t="s" s="35">
        <v>2653</v>
      </c>
      <c r="AB172" s="39"/>
      <c r="AC172" t="str" s="39">
        <v>Ciencias de la Tierra</v>
      </c>
      <c r="AD172" t="s" s="35">
        <v>1859</v>
      </c>
      <c r="AE172" t="str" s="39" cm="1">
        <f t="array" ref="AE172">IF(AD172="","",IF(LEFT(AD172,1)="1","C1",IF(LEFT(AD172,1)="2","C2",IF(LEFT(AD172,1)="3","C3",""))))</f>
        <v>C1</v>
      </c>
      <c r="AF172" t="s" s="35">
        <v>1602</v>
      </c>
      <c r="AG172" t="s" s="35">
        <v>1617</v>
      </c>
      <c r="AH172" t="s" s="35">
        <v>1602</v>
      </c>
      <c r="AI172" t="s" s="35">
        <v>1623</v>
      </c>
      <c r="AJ172" t="s" s="35">
        <v>1602</v>
      </c>
      <c r="AK172" s="39"/>
      <c r="AL172" s="39"/>
      <c r="AM172" s="39"/>
      <c r="AN172" s="39"/>
      <c r="AO172" s="39"/>
      <c r="AP172" s="39"/>
      <c r="AQ172" s="39"/>
      <c r="AR172" s="39"/>
      <c r="AS172" s="39"/>
      <c r="AT172" s="39"/>
      <c r="AU172" s="39"/>
      <c r="AV172" s="39"/>
      <c r="AW172" t="str" s="39" cm="1">
        <f t="array" ref="AW172">AF172&amp;"; "&amp;AG172&amp;"; "&amp;AH172&amp;"; "&amp;AI172&amp;"; "&amp;AJ172</f>
        <v>E1; D1; E1; D4; E1</v>
      </c>
    </row>
    <row r="173" ht="13.65" customHeight="1">
      <c r="A173" t="s" s="35">
        <v>2654</v>
      </c>
      <c r="B173" s="36">
        <v>4</v>
      </c>
      <c r="C173" t="s" s="35">
        <v>1823</v>
      </c>
      <c r="D173" t="s" s="35">
        <v>2513</v>
      </c>
      <c r="E173" t="s" s="35">
        <v>2613</v>
      </c>
      <c r="F173" s="36">
        <v>12</v>
      </c>
      <c r="G173" t="s" s="35">
        <v>414</v>
      </c>
      <c r="H173" t="s" s="35">
        <v>2649</v>
      </c>
      <c r="I173" t="s" s="120">
        <v>2655</v>
      </c>
      <c r="J173" t="s" s="35">
        <v>1055</v>
      </c>
      <c r="K173" t="s" s="35">
        <v>274</v>
      </c>
      <c r="L173" s="39"/>
      <c r="M173" t="str" s="39">
        <v>Ciencias de la Tierra</v>
      </c>
      <c r="N173" t="str" s="39">
        <v>La atmósfera terrestre</v>
      </c>
      <c r="O173" t="str" s="39" cm="1">
        <f t="array" ref="O173">IF(L173="","",_xlfn.IFERROR(INDEX('Datos - Catálogo TIMSS'!$C$5:$C$107,MATCH(L173,'Datos - Catálogo TIMSS'!$A$5:$A$107,0)),"?"))</f>
      </c>
      <c r="P173" t="s" s="35">
        <v>291</v>
      </c>
      <c r="Q173" t="s" s="120">
        <v>2656</v>
      </c>
      <c r="R173" t="s" s="120">
        <v>2657</v>
      </c>
      <c r="S173" s="121" cm="1">
        <f t="array" ref="S173">_xlfn.IFERROR(ISNUMBER(SEARCH("Conocer",$R173))/(ISNUMBER(SEARCH("Conocer",$R173))+ISNUMBER(SEARCH("Aplicar",$R173))+ISNUMBER(SEARCH("Razonar",$R173))),0)</f>
        <v>0.5</v>
      </c>
      <c r="T173" s="121" cm="1">
        <f t="array" ref="T173">_xlfn.IFERROR(ISNUMBER(SEARCH("Aplicar",$R173))/(ISNUMBER(SEARCH("Conocer",$R173))+ISNUMBER(SEARCH("Aplicar",$R173))+ISNUMBER(SEARCH("Razonar",$R173))),0)</f>
        <v>0</v>
      </c>
      <c r="U173" s="121" cm="1">
        <f t="array" ref="U173">_xlfn.IFERROR(ISNUMBER(SEARCH("Razonar",$R173))/(ISNUMBER(SEARCH("Conocer",$R173))+ISNUMBER(SEARCH("Aplicar",$R173))+ISNUMBER(SEARCH("Razonar",$R173))),0)</f>
        <v>0.5</v>
      </c>
      <c r="V173" t="s" s="35">
        <v>77</v>
      </c>
      <c r="W173" t="s" s="35">
        <v>112</v>
      </c>
      <c r="X173" s="36" cm="1">
        <f t="array" ref="X173">IF(OR(_xlfn.IFERROR(INDEX('Datos - Catálogo TIMSS'!$I$5:$I$107,MATCH(K173,'Datos - Catálogo TIMSS'!$A$5:$A$107,0)),"No")="Sí",_xlfn.IFERROR(INDEX('Datos - Catálogo TIMSS'!$I$5:$I$107,MATCH(L173,'Datos - Catálogo TIMSS'!$A$5:$A$107,0)),"No")="Sí"),1,0)</f>
        <v>1</v>
      </c>
      <c r="Y173" s="36" cm="1">
        <f t="array" ref="Y173">IF(_xlfn.IFERROR(INDEX('Datos - Catálogo TIMSS'!$J$5:$J$107,MATCH(K173,'Datos - Catálogo TIMSS'!$A$5:$A$107,0)),"No")="Sí",1,0)</f>
        <v>0</v>
      </c>
      <c r="Z173" s="36" cm="1">
        <f t="array" ref="Z173">IF(_xlfn.IFERROR(INDEX('Datos - Catálogo TIMSS'!$J$5:$J$107,MATCH(L173,'Datos - Catálogo TIMSS'!$A$5:$A$107,0)),"No")="Sí",1,0)</f>
        <v>0</v>
      </c>
      <c r="AA173" t="s" s="35">
        <v>2653</v>
      </c>
      <c r="AB173" s="39"/>
      <c r="AC173" t="str" s="39">
        <v>Ciencias de la Tierra</v>
      </c>
      <c r="AD173" t="s" s="35">
        <v>1859</v>
      </c>
      <c r="AE173" t="str" s="39" cm="1">
        <f t="array" ref="AE173">IF(AD173="","",IF(LEFT(AD173,1)="1","C1",IF(LEFT(AD173,1)="2","C2",IF(LEFT(AD173,1)="3","C3",""))))</f>
        <v>C1</v>
      </c>
      <c r="AF173" t="s" s="35">
        <v>1615</v>
      </c>
      <c r="AG173" t="s" s="35">
        <v>1612</v>
      </c>
      <c r="AH173" t="s" s="35">
        <v>1602</v>
      </c>
      <c r="AI173" t="s" s="35">
        <v>1627</v>
      </c>
      <c r="AJ173" t="s" s="35">
        <v>1615</v>
      </c>
      <c r="AK173" s="39"/>
      <c r="AL173" s="39"/>
      <c r="AM173" s="39"/>
      <c r="AN173" s="39"/>
      <c r="AO173" s="39"/>
      <c r="AP173" s="39"/>
      <c r="AQ173" s="39"/>
      <c r="AR173" s="39"/>
      <c r="AS173" s="39"/>
      <c r="AT173" s="39"/>
      <c r="AU173" s="39"/>
      <c r="AV173" s="39"/>
      <c r="AW173" t="str" s="39" cm="1">
        <f t="array" ref="AW173">AF173&amp;"; "&amp;AG173&amp;"; "&amp;AH173&amp;"; "&amp;AI173&amp;"; "&amp;AJ173</f>
        <v>E6; E5; E1; I2; E6</v>
      </c>
    </row>
    <row r="174" ht="13.65" customHeight="1">
      <c r="A174" t="s" s="35">
        <v>2659</v>
      </c>
      <c r="B174" s="36">
        <v>4</v>
      </c>
      <c r="C174" t="s" s="35">
        <v>1823</v>
      </c>
      <c r="D174" t="s" s="35">
        <v>2513</v>
      </c>
      <c r="E174" t="s" s="35">
        <v>2613</v>
      </c>
      <c r="F174" s="36">
        <v>13</v>
      </c>
      <c r="G174" t="s" s="35">
        <v>414</v>
      </c>
      <c r="H174" t="s" s="35">
        <v>2649</v>
      </c>
      <c r="I174" t="s" s="120">
        <v>2660</v>
      </c>
      <c r="J174" t="s" s="35">
        <v>1055</v>
      </c>
      <c r="K174" t="s" s="35">
        <v>274</v>
      </c>
      <c r="L174" s="39"/>
      <c r="M174" t="str" s="39">
        <v>Ciencias de la Tierra</v>
      </c>
      <c r="N174" t="str" s="39">
        <v>La atmósfera terrestre</v>
      </c>
      <c r="O174" t="str" s="39" cm="1">
        <f t="array" ref="O174">IF(L174="","",_xlfn.IFERROR(INDEX('Datos - Catálogo TIMSS'!$C$5:$C$107,MATCH(L174,'Datos - Catálogo TIMSS'!$A$5:$A$107,0)),"?"))</f>
      </c>
      <c r="P174" t="s" s="35">
        <v>254</v>
      </c>
      <c r="Q174" t="s" s="120">
        <v>2661</v>
      </c>
      <c r="R174" t="s" s="120">
        <v>2662</v>
      </c>
      <c r="S174" s="121" cm="1">
        <f t="array" ref="S174">_xlfn.IFERROR(ISNUMBER(SEARCH("Conocer",$R174))/(ISNUMBER(SEARCH("Conocer",$R174))+ISNUMBER(SEARCH("Aplicar",$R174))+ISNUMBER(SEARCH("Razonar",$R174))),0)</f>
        <v>0</v>
      </c>
      <c r="T174" s="121" cm="1">
        <f t="array" ref="T174">_xlfn.IFERROR(ISNUMBER(SEARCH("Aplicar",$R174))/(ISNUMBER(SEARCH("Conocer",$R174))+ISNUMBER(SEARCH("Aplicar",$R174))+ISNUMBER(SEARCH("Razonar",$R174))),0)</f>
        <v>1</v>
      </c>
      <c r="U174" s="121" cm="1">
        <f t="array" ref="U174">_xlfn.IFERROR(ISNUMBER(SEARCH("Razonar",$R174))/(ISNUMBER(SEARCH("Conocer",$R174))+ISNUMBER(SEARCH("Aplicar",$R174))+ISNUMBER(SEARCH("Razonar",$R174))),0)</f>
        <v>0</v>
      </c>
      <c r="V174" t="s" s="35">
        <v>77</v>
      </c>
      <c r="W174" t="s" s="35">
        <v>112</v>
      </c>
      <c r="X174" s="36" cm="1">
        <f t="array" ref="X174">IF(OR(_xlfn.IFERROR(INDEX('Datos - Catálogo TIMSS'!$I$5:$I$107,MATCH(K174,'Datos - Catálogo TIMSS'!$A$5:$A$107,0)),"No")="Sí",_xlfn.IFERROR(INDEX('Datos - Catálogo TIMSS'!$I$5:$I$107,MATCH(L174,'Datos - Catálogo TIMSS'!$A$5:$A$107,0)),"No")="Sí"),1,0)</f>
        <v>1</v>
      </c>
      <c r="Y174" s="36" cm="1">
        <f t="array" ref="Y174">IF(_xlfn.IFERROR(INDEX('Datos - Catálogo TIMSS'!$J$5:$J$107,MATCH(K174,'Datos - Catálogo TIMSS'!$A$5:$A$107,0)),"No")="Sí",1,0)</f>
        <v>0</v>
      </c>
      <c r="Z174" s="36" cm="1">
        <f t="array" ref="Z174">IF(_xlfn.IFERROR(INDEX('Datos - Catálogo TIMSS'!$J$5:$J$107,MATCH(L174,'Datos - Catálogo TIMSS'!$A$5:$A$107,0)),"No")="Sí",1,0)</f>
        <v>0</v>
      </c>
      <c r="AA174" t="s" s="35">
        <v>2008</v>
      </c>
      <c r="AB174" t="s" s="35">
        <v>2009</v>
      </c>
      <c r="AC174" t="str" s="39">
        <v>Ciencias de la Tierra</v>
      </c>
      <c r="AD174" t="s" s="35">
        <v>1834</v>
      </c>
      <c r="AE174" t="str" s="39" cm="1">
        <f t="array" ref="AE174">IF(AD174="","",IF(LEFT(AD174,1)="1","C1",IF(LEFT(AD174,1)="2","C2",IF(LEFT(AD174,1)="3","C3",""))))</f>
        <v>C2</v>
      </c>
      <c r="AF174" t="s" s="35">
        <v>1602</v>
      </c>
      <c r="AG174" t="s" s="35">
        <v>1617</v>
      </c>
      <c r="AH174" t="s" s="35">
        <v>1605</v>
      </c>
      <c r="AI174" t="s" s="35">
        <v>1623</v>
      </c>
      <c r="AJ174" t="s" s="35">
        <v>1615</v>
      </c>
      <c r="AK174" s="39"/>
      <c r="AL174" s="39"/>
      <c r="AM174" s="39"/>
      <c r="AN174" s="39"/>
      <c r="AO174" s="39"/>
      <c r="AP174" s="39"/>
      <c r="AQ174" s="39"/>
      <c r="AR174" s="39"/>
      <c r="AS174" s="39"/>
      <c r="AT174" s="39"/>
      <c r="AU174" s="39"/>
      <c r="AV174" s="39"/>
      <c r="AW174" t="str" s="39" cm="1">
        <f t="array" ref="AW174">AF174&amp;"; "&amp;AG174&amp;"; "&amp;AH174&amp;"; "&amp;AI174&amp;"; "&amp;AJ174</f>
        <v>E1; D1; E2; D4; E6</v>
      </c>
    </row>
    <row r="175" ht="13.65" customHeight="1">
      <c r="A175" t="s" s="35">
        <v>2663</v>
      </c>
      <c r="B175" s="36">
        <v>4</v>
      </c>
      <c r="C175" t="s" s="35">
        <v>1823</v>
      </c>
      <c r="D175" t="s" s="35">
        <v>2513</v>
      </c>
      <c r="E175" t="s" s="35">
        <v>2613</v>
      </c>
      <c r="F175" s="36">
        <v>14</v>
      </c>
      <c r="G175" t="s" s="35">
        <v>414</v>
      </c>
      <c r="H175" t="s" s="35">
        <v>2664</v>
      </c>
      <c r="I175" t="s" s="120">
        <v>2665</v>
      </c>
      <c r="J175" t="s" s="35">
        <v>1055</v>
      </c>
      <c r="K175" t="s" s="35">
        <v>266</v>
      </c>
      <c r="L175" s="39"/>
      <c r="M175" t="str" s="39">
        <v>Ciencias de la Tierra</v>
      </c>
      <c r="N175" t="str" s="39">
        <v>Rasgos, procesos e historia de la Tierra</v>
      </c>
      <c r="O175" t="str" s="39" cm="1">
        <f t="array" ref="O175">IF(L175="","",_xlfn.IFERROR(INDEX('Datos - Catálogo TIMSS'!$C$5:$C$107,MATCH(L175,'Datos - Catálogo TIMSS'!$A$5:$A$107,0)),"?"))</f>
      </c>
      <c r="P175" t="s" s="35">
        <v>291</v>
      </c>
      <c r="Q175" t="s" s="120">
        <v>2666</v>
      </c>
      <c r="R175" t="s" s="120">
        <v>2278</v>
      </c>
      <c r="S175" s="121" cm="1">
        <f t="array" ref="S175">_xlfn.IFERROR(ISNUMBER(SEARCH("Conocer",$R175))/(ISNUMBER(SEARCH("Conocer",$R175))+ISNUMBER(SEARCH("Aplicar",$R175))+ISNUMBER(SEARCH("Razonar",$R175))),0)</f>
        <v>0.5</v>
      </c>
      <c r="T175" s="121" cm="1">
        <f t="array" ref="T175">_xlfn.IFERROR(ISNUMBER(SEARCH("Aplicar",$R175))/(ISNUMBER(SEARCH("Conocer",$R175))+ISNUMBER(SEARCH("Aplicar",$R175))+ISNUMBER(SEARCH("Razonar",$R175))),0)</f>
        <v>0.5</v>
      </c>
      <c r="U175" s="121" cm="1">
        <f t="array" ref="U175">_xlfn.IFERROR(ISNUMBER(SEARCH("Razonar",$R175))/(ISNUMBER(SEARCH("Conocer",$R175))+ISNUMBER(SEARCH("Aplicar",$R175))+ISNUMBER(SEARCH("Razonar",$R175))),0)</f>
        <v>0</v>
      </c>
      <c r="V175" t="s" s="35">
        <v>77</v>
      </c>
      <c r="W175" t="s" s="35">
        <v>112</v>
      </c>
      <c r="X175" s="36" cm="1">
        <f t="array" ref="X175">IF(OR(_xlfn.IFERROR(INDEX('Datos - Catálogo TIMSS'!$I$5:$I$107,MATCH(K175,'Datos - Catálogo TIMSS'!$A$5:$A$107,0)),"No")="Sí",_xlfn.IFERROR(INDEX('Datos - Catálogo TIMSS'!$I$5:$I$107,MATCH(L175,'Datos - Catálogo TIMSS'!$A$5:$A$107,0)),"No")="Sí"),1,0)</f>
        <v>0</v>
      </c>
      <c r="Y175" s="36" cm="1">
        <f t="array" ref="Y175">IF(_xlfn.IFERROR(INDEX('Datos - Catálogo TIMSS'!$J$5:$J$107,MATCH(K175,'Datos - Catálogo TIMSS'!$A$5:$A$107,0)),"No")="Sí",1,0)</f>
        <v>0</v>
      </c>
      <c r="Z175" s="36" cm="1">
        <f t="array" ref="Z175">IF(_xlfn.IFERROR(INDEX('Datos - Catálogo TIMSS'!$J$5:$J$107,MATCH(L175,'Datos - Catálogo TIMSS'!$A$5:$A$107,0)),"No")="Sí",1,0)</f>
        <v>0</v>
      </c>
      <c r="AA175" t="s" s="35">
        <v>2284</v>
      </c>
      <c r="AB175" s="39"/>
      <c r="AC175" t="str" s="39">
        <v>Ciencias de la Tierra</v>
      </c>
      <c r="AD175" t="s" s="35">
        <v>1859</v>
      </c>
      <c r="AE175" t="str" s="39" cm="1">
        <f t="array" ref="AE175">IF(AD175="","",IF(LEFT(AD175,1)="1","C1",IF(LEFT(AD175,1)="2","C2",IF(LEFT(AD175,1)="3","C3",""))))</f>
        <v>C1</v>
      </c>
      <c r="AF175" t="s" s="35">
        <v>1602</v>
      </c>
      <c r="AG175" t="s" s="35">
        <v>1617</v>
      </c>
      <c r="AH175" t="s" s="35">
        <v>1602</v>
      </c>
      <c r="AI175" t="s" s="35">
        <v>1623</v>
      </c>
      <c r="AJ175" t="s" s="35">
        <v>1602</v>
      </c>
      <c r="AK175" s="39"/>
      <c r="AL175" s="39"/>
      <c r="AM175" s="39"/>
      <c r="AN175" s="39"/>
      <c r="AO175" s="39"/>
      <c r="AP175" s="39"/>
      <c r="AQ175" s="39"/>
      <c r="AR175" s="39"/>
      <c r="AS175" s="39"/>
      <c r="AT175" s="39"/>
      <c r="AU175" s="39"/>
      <c r="AV175" s="39"/>
      <c r="AW175" t="str" s="39" cm="1">
        <f t="array" ref="AW175">AF175&amp;"; "&amp;AG175&amp;"; "&amp;AH175&amp;"; "&amp;AI175&amp;"; "&amp;AJ175</f>
        <v>E1; D1; E1; D4; E1</v>
      </c>
    </row>
    <row r="176" ht="13.65" customHeight="1">
      <c r="A176" t="s" s="35">
        <v>2667</v>
      </c>
      <c r="B176" s="36">
        <v>4</v>
      </c>
      <c r="C176" t="s" s="35">
        <v>1823</v>
      </c>
      <c r="D176" t="s" s="35">
        <v>2513</v>
      </c>
      <c r="E176" t="s" s="35">
        <v>2613</v>
      </c>
      <c r="F176" s="36">
        <v>15</v>
      </c>
      <c r="G176" t="s" s="35">
        <v>414</v>
      </c>
      <c r="H176" t="s" s="35">
        <v>2664</v>
      </c>
      <c r="I176" t="s" s="120">
        <v>2668</v>
      </c>
      <c r="J176" t="s" s="35">
        <v>1055</v>
      </c>
      <c r="K176" t="s" s="35">
        <v>266</v>
      </c>
      <c r="L176" s="39"/>
      <c r="M176" t="str" s="39">
        <v>Ciencias de la Tierra</v>
      </c>
      <c r="N176" t="str" s="39">
        <v>Rasgos, procesos e historia de la Tierra</v>
      </c>
      <c r="O176" t="str" s="39" cm="1">
        <f t="array" ref="O176">IF(L176="","",_xlfn.IFERROR(INDEX('Datos - Catálogo TIMSS'!$C$5:$C$107,MATCH(L176,'Datos - Catálogo TIMSS'!$A$5:$A$107,0)),"?"))</f>
      </c>
      <c r="P176" t="s" s="35">
        <v>291</v>
      </c>
      <c r="Q176" t="s" s="120">
        <v>2669</v>
      </c>
      <c r="R176" t="s" s="120">
        <v>2307</v>
      </c>
      <c r="S176" s="121" cm="1">
        <f t="array" ref="S176">_xlfn.IFERROR(ISNUMBER(SEARCH("Conocer",$R176))/(ISNUMBER(SEARCH("Conocer",$R176))+ISNUMBER(SEARCH("Aplicar",$R176))+ISNUMBER(SEARCH("Razonar",$R176))),0)</f>
        <v>0</v>
      </c>
      <c r="T176" s="121" cm="1">
        <f t="array" ref="T176">_xlfn.IFERROR(ISNUMBER(SEARCH("Aplicar",$R176))/(ISNUMBER(SEARCH("Conocer",$R176))+ISNUMBER(SEARCH("Aplicar",$R176))+ISNUMBER(SEARCH("Razonar",$R176))),0)</f>
        <v>0.5</v>
      </c>
      <c r="U176" s="121" cm="1">
        <f t="array" ref="U176">_xlfn.IFERROR(ISNUMBER(SEARCH("Razonar",$R176))/(ISNUMBER(SEARCH("Conocer",$R176))+ISNUMBER(SEARCH("Aplicar",$R176))+ISNUMBER(SEARCH("Razonar",$R176))),0)</f>
        <v>0.5</v>
      </c>
      <c r="V176" t="s" s="35">
        <v>77</v>
      </c>
      <c r="W176" t="s" s="35">
        <v>112</v>
      </c>
      <c r="X176" s="36" cm="1">
        <f t="array" ref="X176">IF(OR(_xlfn.IFERROR(INDEX('Datos - Catálogo TIMSS'!$I$5:$I$107,MATCH(K176,'Datos - Catálogo TIMSS'!$A$5:$A$107,0)),"No")="Sí",_xlfn.IFERROR(INDEX('Datos - Catálogo TIMSS'!$I$5:$I$107,MATCH(L176,'Datos - Catálogo TIMSS'!$A$5:$A$107,0)),"No")="Sí"),1,0)</f>
        <v>0</v>
      </c>
      <c r="Y176" s="36" cm="1">
        <f t="array" ref="Y176">IF(_xlfn.IFERROR(INDEX('Datos - Catálogo TIMSS'!$J$5:$J$107,MATCH(K176,'Datos - Catálogo TIMSS'!$A$5:$A$107,0)),"No")="Sí",1,0)</f>
        <v>0</v>
      </c>
      <c r="Z176" s="36" cm="1">
        <f t="array" ref="Z176">IF(_xlfn.IFERROR(INDEX('Datos - Catálogo TIMSS'!$J$5:$J$107,MATCH(L176,'Datos - Catálogo TIMSS'!$A$5:$A$107,0)),"No")="Sí",1,0)</f>
        <v>0</v>
      </c>
      <c r="AA176" t="s" s="35">
        <v>2284</v>
      </c>
      <c r="AB176" s="39"/>
      <c r="AC176" t="str" s="39">
        <v>Ciencias de la Tierra</v>
      </c>
      <c r="AD176" t="s" s="35">
        <v>1859</v>
      </c>
      <c r="AE176" t="str" s="39" cm="1">
        <f t="array" ref="AE176">IF(AD176="","",IF(LEFT(AD176,1)="1","C1",IF(LEFT(AD176,1)="2","C2",IF(LEFT(AD176,1)="3","C3",""))))</f>
        <v>C1</v>
      </c>
      <c r="AF176" t="s" s="35">
        <v>1602</v>
      </c>
      <c r="AG176" t="s" s="35">
        <v>1612</v>
      </c>
      <c r="AH176" t="s" s="35">
        <v>1609</v>
      </c>
      <c r="AI176" t="s" s="35">
        <v>1609</v>
      </c>
      <c r="AJ176" t="s" s="35">
        <v>1607</v>
      </c>
      <c r="AK176" s="39"/>
      <c r="AL176" s="39"/>
      <c r="AM176" s="39"/>
      <c r="AN176" s="39"/>
      <c r="AO176" s="39"/>
      <c r="AP176" s="39"/>
      <c r="AQ176" s="39"/>
      <c r="AR176" s="39"/>
      <c r="AS176" s="39"/>
      <c r="AT176" s="39"/>
      <c r="AU176" s="39"/>
      <c r="AV176" s="39"/>
      <c r="AW176" t="str" s="39" cm="1">
        <f t="array" ref="AW176">AF176&amp;"; "&amp;AG176&amp;"; "&amp;AH176&amp;"; "&amp;AI176&amp;"; "&amp;AJ176</f>
        <v>E1; E5; E4; E4; E3</v>
      </c>
    </row>
    <row r="177" ht="13.65" customHeight="1">
      <c r="A177" t="s" s="35">
        <v>2670</v>
      </c>
      <c r="B177" s="36">
        <v>4</v>
      </c>
      <c r="C177" t="s" s="35">
        <v>1823</v>
      </c>
      <c r="D177" t="s" s="35">
        <v>2513</v>
      </c>
      <c r="E177" t="s" s="35">
        <v>2613</v>
      </c>
      <c r="F177" s="36">
        <v>16</v>
      </c>
      <c r="G177" t="s" s="35">
        <v>414</v>
      </c>
      <c r="H177" t="s" s="35">
        <v>2664</v>
      </c>
      <c r="I177" t="s" s="120">
        <v>2671</v>
      </c>
      <c r="J177" t="s" s="35">
        <v>1055</v>
      </c>
      <c r="K177" t="s" s="35">
        <v>1832</v>
      </c>
      <c r="L177" s="39"/>
      <c r="M177" t="str" s="39">
        <v>Fuera del marco</v>
      </c>
      <c r="N177" t="str" s="39">
        <v>Fuera del marco</v>
      </c>
      <c r="O177" t="str" s="39" cm="1">
        <f t="array" ref="O177">IF(L177="","",_xlfn.IFERROR(INDEX('Datos - Catálogo TIMSS'!$C$5:$C$107,MATCH(L177,'Datos - Catálogo TIMSS'!$A$5:$A$107,0)),"?"))</f>
      </c>
      <c r="P177" t="s" s="35">
        <v>282</v>
      </c>
      <c r="Q177" t="s" s="120">
        <v>2672</v>
      </c>
      <c r="R177" t="s" s="120">
        <v>2673</v>
      </c>
      <c r="S177" s="121" cm="1">
        <f t="array" ref="S177">_xlfn.IFERROR(ISNUMBER(SEARCH("Conocer",$R177))/(ISNUMBER(SEARCH("Conocer",$R177))+ISNUMBER(SEARCH("Aplicar",$R177))+ISNUMBER(SEARCH("Razonar",$R177))),0)</f>
        <v>0</v>
      </c>
      <c r="T177" s="121" cm="1">
        <f t="array" ref="T177">_xlfn.IFERROR(ISNUMBER(SEARCH("Aplicar",$R177))/(ISNUMBER(SEARCH("Conocer",$R177))+ISNUMBER(SEARCH("Aplicar",$R177))+ISNUMBER(SEARCH("Razonar",$R177))),0)</f>
        <v>0.5</v>
      </c>
      <c r="U177" s="121" cm="1">
        <f t="array" ref="U177">_xlfn.IFERROR(ISNUMBER(SEARCH("Razonar",$R177))/(ISNUMBER(SEARCH("Conocer",$R177))+ISNUMBER(SEARCH("Aplicar",$R177))+ISNUMBER(SEARCH("Razonar",$R177))),0)</f>
        <v>0.5</v>
      </c>
      <c r="V177" t="s" s="35">
        <v>77</v>
      </c>
      <c r="W177" t="s" s="35">
        <v>112</v>
      </c>
      <c r="X177" s="36" cm="1">
        <f t="array" ref="X177">IF(OR(_xlfn.IFERROR(INDEX('Datos - Catálogo TIMSS'!$I$5:$I$107,MATCH(K177,'Datos - Catálogo TIMSS'!$A$5:$A$107,0)),"No")="Sí",_xlfn.IFERROR(INDEX('Datos - Catálogo TIMSS'!$I$5:$I$107,MATCH(L177,'Datos - Catálogo TIMSS'!$A$5:$A$107,0)),"No")="Sí"),1,0)</f>
        <v>0</v>
      </c>
      <c r="Y177" s="36" cm="1">
        <f t="array" ref="Y177">IF(_xlfn.IFERROR(INDEX('Datos - Catálogo TIMSS'!$J$5:$J$107,MATCH(K177,'Datos - Catálogo TIMSS'!$A$5:$A$107,0)),"No")="Sí",1,0)</f>
        <v>0</v>
      </c>
      <c r="Z177" s="36" cm="1">
        <f t="array" ref="Z177">IF(_xlfn.IFERROR(INDEX('Datos - Catálogo TIMSS'!$J$5:$J$107,MATCH(L177,'Datos - Catálogo TIMSS'!$A$5:$A$107,0)),"No")="Sí",1,0)</f>
        <v>0</v>
      </c>
      <c r="AA177" t="s" s="35">
        <v>1832</v>
      </c>
      <c r="AB177" s="39"/>
      <c r="AC177" t="str" s="39">
        <v>Fuera del marco</v>
      </c>
      <c r="AD177" t="s" s="35">
        <v>1900</v>
      </c>
      <c r="AE177" t="str" s="39" cm="1">
        <f t="array" ref="AE177">IF(AD177="","",IF(LEFT(AD177,1)="1","C1",IF(LEFT(AD177,1)="2","C2",IF(LEFT(AD177,1)="3","C3",""))))</f>
        <v>C3</v>
      </c>
      <c r="AF177" t="s" s="35">
        <v>1615</v>
      </c>
      <c r="AG177" t="s" s="35">
        <v>1617</v>
      </c>
      <c r="AH177" t="s" s="35">
        <v>1605</v>
      </c>
      <c r="AI177" t="s" s="35">
        <v>1625</v>
      </c>
      <c r="AJ177" t="s" s="35">
        <v>1633</v>
      </c>
      <c r="AK177" s="39"/>
      <c r="AL177" s="39"/>
      <c r="AM177" s="39"/>
      <c r="AN177" s="39"/>
      <c r="AO177" s="39"/>
      <c r="AP177" s="39"/>
      <c r="AQ177" s="39"/>
      <c r="AR177" s="39"/>
      <c r="AS177" s="39"/>
      <c r="AT177" s="39"/>
      <c r="AU177" s="39"/>
      <c r="AV177" s="39"/>
      <c r="AW177" t="str" s="39" cm="1">
        <f t="array" ref="AW177">AF177&amp;"; "&amp;AG177&amp;"; "&amp;AH177&amp;"; "&amp;AI177&amp;"; "&amp;AJ177</f>
        <v>E6; D1; E2; I1; I5</v>
      </c>
    </row>
    <row r="178" ht="13.65" customHeight="1">
      <c r="A178" t="s" s="35">
        <v>2674</v>
      </c>
      <c r="B178" s="36">
        <v>4</v>
      </c>
      <c r="C178" t="s" s="35">
        <v>1823</v>
      </c>
      <c r="D178" t="s" s="35">
        <v>2513</v>
      </c>
      <c r="E178" t="s" s="35">
        <v>2613</v>
      </c>
      <c r="F178" s="36">
        <v>17</v>
      </c>
      <c r="G178" t="s" s="35">
        <v>414</v>
      </c>
      <c r="H178" t="s" s="35">
        <v>2675</v>
      </c>
      <c r="I178" t="s" s="120">
        <v>2676</v>
      </c>
      <c r="J178" t="s" s="35">
        <v>1055</v>
      </c>
      <c r="K178" t="s" s="35">
        <v>1832</v>
      </c>
      <c r="L178" s="39"/>
      <c r="M178" t="str" s="39">
        <v>Fuera del marco</v>
      </c>
      <c r="N178" t="str" s="39">
        <v>Fuera del marco</v>
      </c>
      <c r="O178" t="str" s="39" cm="1">
        <f t="array" ref="O178">IF(L178="","",_xlfn.IFERROR(INDEX('Datos - Catálogo TIMSS'!$C$5:$C$107,MATCH(L178,'Datos - Catálogo TIMSS'!$A$5:$A$107,0)),"?"))</f>
      </c>
      <c r="P178" t="s" s="35">
        <v>282</v>
      </c>
      <c r="Q178" t="s" s="120">
        <v>2677</v>
      </c>
      <c r="R178" t="s" s="120">
        <v>2075</v>
      </c>
      <c r="S178" s="121" cm="1">
        <f t="array" ref="S178">_xlfn.IFERROR(ISNUMBER(SEARCH("Conocer",$R178))/(ISNUMBER(SEARCH("Conocer",$R178))+ISNUMBER(SEARCH("Aplicar",$R178))+ISNUMBER(SEARCH("Razonar",$R178))),0)</f>
        <v>0</v>
      </c>
      <c r="T178" s="121" cm="1">
        <f t="array" ref="T178">_xlfn.IFERROR(ISNUMBER(SEARCH("Aplicar",$R178))/(ISNUMBER(SEARCH("Conocer",$R178))+ISNUMBER(SEARCH("Aplicar",$R178))+ISNUMBER(SEARCH("Razonar",$R178))),0)</f>
        <v>0.5</v>
      </c>
      <c r="U178" s="121" cm="1">
        <f t="array" ref="U178">_xlfn.IFERROR(ISNUMBER(SEARCH("Razonar",$R178))/(ISNUMBER(SEARCH("Conocer",$R178))+ISNUMBER(SEARCH("Aplicar",$R178))+ISNUMBER(SEARCH("Razonar",$R178))),0)</f>
        <v>0.5</v>
      </c>
      <c r="V178" t="s" s="35">
        <v>77</v>
      </c>
      <c r="W178" t="s" s="35">
        <v>112</v>
      </c>
      <c r="X178" s="36" cm="1">
        <f t="array" ref="X178">IF(OR(_xlfn.IFERROR(INDEX('Datos - Catálogo TIMSS'!$I$5:$I$107,MATCH(K178,'Datos - Catálogo TIMSS'!$A$5:$A$107,0)),"No")="Sí",_xlfn.IFERROR(INDEX('Datos - Catálogo TIMSS'!$I$5:$I$107,MATCH(L178,'Datos - Catálogo TIMSS'!$A$5:$A$107,0)),"No")="Sí"),1,0)</f>
        <v>0</v>
      </c>
      <c r="Y178" s="36" cm="1">
        <f t="array" ref="Y178">IF(_xlfn.IFERROR(INDEX('Datos - Catálogo TIMSS'!$J$5:$J$107,MATCH(K178,'Datos - Catálogo TIMSS'!$A$5:$A$107,0)),"No")="Sí",1,0)</f>
        <v>0</v>
      </c>
      <c r="Z178" s="36" cm="1">
        <f t="array" ref="Z178">IF(_xlfn.IFERROR(INDEX('Datos - Catálogo TIMSS'!$J$5:$J$107,MATCH(L178,'Datos - Catálogo TIMSS'!$A$5:$A$107,0)),"No")="Sí",1,0)</f>
        <v>0</v>
      </c>
      <c r="AA178" t="s" s="35">
        <v>1832</v>
      </c>
      <c r="AB178" s="39"/>
      <c r="AC178" t="str" s="39">
        <v>Fuera del marco</v>
      </c>
      <c r="AD178" t="s" s="35">
        <v>1900</v>
      </c>
      <c r="AE178" t="str" s="39" cm="1">
        <f t="array" ref="AE178">IF(AD178="","",IF(LEFT(AD178,1)="1","C1",IF(LEFT(AD178,1)="2","C2",IF(LEFT(AD178,1)="3","C3",""))))</f>
        <v>C3</v>
      </c>
      <c r="AF178" t="s" s="35">
        <v>1602</v>
      </c>
      <c r="AG178" t="s" s="35">
        <v>1617</v>
      </c>
      <c r="AH178" t="s" s="35">
        <v>1602</v>
      </c>
      <c r="AI178" t="s" s="35">
        <v>1629</v>
      </c>
      <c r="AJ178" t="s" s="35">
        <v>1633</v>
      </c>
      <c r="AK178" s="39"/>
      <c r="AL178" s="39"/>
      <c r="AM178" s="39"/>
      <c r="AN178" s="39"/>
      <c r="AO178" s="39"/>
      <c r="AP178" s="39"/>
      <c r="AQ178" s="39"/>
      <c r="AR178" s="39"/>
      <c r="AS178" s="39"/>
      <c r="AT178" s="39"/>
      <c r="AU178" s="39"/>
      <c r="AV178" s="39"/>
      <c r="AW178" t="str" s="39" cm="1">
        <f t="array" ref="AW178">AF178&amp;"; "&amp;AG178&amp;"; "&amp;AH178&amp;"; "&amp;AI178&amp;"; "&amp;AJ178</f>
        <v>E1; D1; E1; I3; I5</v>
      </c>
    </row>
    <row r="179" ht="13.65" customHeight="1">
      <c r="A179" t="s" s="35">
        <v>2678</v>
      </c>
      <c r="B179" s="36">
        <v>4</v>
      </c>
      <c r="C179" t="s" s="35">
        <v>1823</v>
      </c>
      <c r="D179" t="s" s="35">
        <v>2513</v>
      </c>
      <c r="E179" t="s" s="35">
        <v>2613</v>
      </c>
      <c r="F179" s="36">
        <v>18</v>
      </c>
      <c r="G179" t="s" s="35">
        <v>414</v>
      </c>
      <c r="H179" t="s" s="35">
        <v>2675</v>
      </c>
      <c r="I179" t="s" s="120">
        <v>2679</v>
      </c>
      <c r="J179" t="s" s="35">
        <v>1055</v>
      </c>
      <c r="K179" t="s" s="35">
        <v>1832</v>
      </c>
      <c r="L179" s="39"/>
      <c r="M179" t="str" s="39">
        <v>Fuera del marco</v>
      </c>
      <c r="N179" t="str" s="39">
        <v>Fuera del marco</v>
      </c>
      <c r="O179" t="str" s="39" cm="1">
        <f t="array" ref="O179">IF(L179="","",_xlfn.IFERROR(INDEX('Datos - Catálogo TIMSS'!$C$5:$C$107,MATCH(L179,'Datos - Catálogo TIMSS'!$A$5:$A$107,0)),"?"))</f>
      </c>
      <c r="P179" t="s" s="35">
        <v>254</v>
      </c>
      <c r="Q179" t="s" s="120">
        <v>2680</v>
      </c>
      <c r="R179" t="s" s="120">
        <v>2681</v>
      </c>
      <c r="S179" s="121" cm="1">
        <f t="array" ref="S179">_xlfn.IFERROR(ISNUMBER(SEARCH("Conocer",$R179))/(ISNUMBER(SEARCH("Conocer",$R179))+ISNUMBER(SEARCH("Aplicar",$R179))+ISNUMBER(SEARCH("Razonar",$R179))),0)</f>
        <v>1</v>
      </c>
      <c r="T179" s="121" cm="1">
        <f t="array" ref="T179">_xlfn.IFERROR(ISNUMBER(SEARCH("Aplicar",$R179))/(ISNUMBER(SEARCH("Conocer",$R179))+ISNUMBER(SEARCH("Aplicar",$R179))+ISNUMBER(SEARCH("Razonar",$R179))),0)</f>
        <v>0</v>
      </c>
      <c r="U179" s="121" cm="1">
        <f t="array" ref="U179">_xlfn.IFERROR(ISNUMBER(SEARCH("Razonar",$R179))/(ISNUMBER(SEARCH("Conocer",$R179))+ISNUMBER(SEARCH("Aplicar",$R179))+ISNUMBER(SEARCH("Razonar",$R179))),0)</f>
        <v>0</v>
      </c>
      <c r="V179" t="s" s="35">
        <v>77</v>
      </c>
      <c r="W179" t="s" s="35">
        <v>112</v>
      </c>
      <c r="X179" s="36" cm="1">
        <f t="array" ref="X179">IF(OR(_xlfn.IFERROR(INDEX('Datos - Catálogo TIMSS'!$I$5:$I$107,MATCH(K179,'Datos - Catálogo TIMSS'!$A$5:$A$107,0)),"No")="Sí",_xlfn.IFERROR(INDEX('Datos - Catálogo TIMSS'!$I$5:$I$107,MATCH(L179,'Datos - Catálogo TIMSS'!$A$5:$A$107,0)),"No")="Sí"),1,0)</f>
        <v>0</v>
      </c>
      <c r="Y179" s="36" cm="1">
        <f t="array" ref="Y179">IF(_xlfn.IFERROR(INDEX('Datos - Catálogo TIMSS'!$J$5:$J$107,MATCH(K179,'Datos - Catálogo TIMSS'!$A$5:$A$107,0)),"No")="Sí",1,0)</f>
        <v>0</v>
      </c>
      <c r="Z179" s="36" cm="1">
        <f t="array" ref="Z179">IF(_xlfn.IFERROR(INDEX('Datos - Catálogo TIMSS'!$J$5:$J$107,MATCH(L179,'Datos - Catálogo TIMSS'!$A$5:$A$107,0)),"No")="Sí",1,0)</f>
        <v>0</v>
      </c>
      <c r="AA179" t="s" s="35">
        <v>1832</v>
      </c>
      <c r="AB179" s="39"/>
      <c r="AC179" t="str" s="39">
        <v>Fuera del marco</v>
      </c>
      <c r="AD179" t="s" s="35">
        <v>1859</v>
      </c>
      <c r="AE179" t="str" s="39" cm="1">
        <f t="array" ref="AE179">IF(AD179="","",IF(LEFT(AD179,1)="1","C1",IF(LEFT(AD179,1)="2","C2",IF(LEFT(AD179,1)="3","C3",""))))</f>
        <v>C1</v>
      </c>
      <c r="AF179" t="s" s="35">
        <v>1602</v>
      </c>
      <c r="AG179" t="s" s="35">
        <v>1617</v>
      </c>
      <c r="AH179" t="s" s="35">
        <v>1602</v>
      </c>
      <c r="AI179" t="s" s="35">
        <v>1623</v>
      </c>
      <c r="AJ179" t="s" s="35">
        <v>1615</v>
      </c>
      <c r="AK179" s="39"/>
      <c r="AL179" s="39"/>
      <c r="AM179" s="39"/>
      <c r="AN179" s="39"/>
      <c r="AO179" s="39"/>
      <c r="AP179" s="39"/>
      <c r="AQ179" s="39"/>
      <c r="AR179" s="39"/>
      <c r="AS179" s="39"/>
      <c r="AT179" s="39"/>
      <c r="AU179" s="39"/>
      <c r="AV179" s="39"/>
      <c r="AW179" t="str" s="39" cm="1">
        <f t="array" ref="AW179">AF179&amp;"; "&amp;AG179&amp;"; "&amp;AH179&amp;"; "&amp;AI179&amp;"; "&amp;AJ179</f>
        <v>E1; D1; E1; D4; E6</v>
      </c>
    </row>
    <row r="180" ht="13.65" customHeight="1">
      <c r="A180" t="s" s="35">
        <v>2682</v>
      </c>
      <c r="B180" s="36">
        <v>4</v>
      </c>
      <c r="C180" t="s" s="35">
        <v>1823</v>
      </c>
      <c r="D180" t="s" s="35">
        <v>2513</v>
      </c>
      <c r="E180" t="s" s="35">
        <v>2613</v>
      </c>
      <c r="F180" s="36">
        <v>19</v>
      </c>
      <c r="G180" t="s" s="35">
        <v>414</v>
      </c>
      <c r="H180" t="s" s="35">
        <v>2675</v>
      </c>
      <c r="I180" t="s" s="120">
        <v>2683</v>
      </c>
      <c r="J180" t="s" s="35">
        <v>1055</v>
      </c>
      <c r="K180" t="s" s="35">
        <v>1832</v>
      </c>
      <c r="L180" s="39"/>
      <c r="M180" t="str" s="39">
        <v>Fuera del marco</v>
      </c>
      <c r="N180" t="str" s="39">
        <v>Fuera del marco</v>
      </c>
      <c r="O180" t="str" s="39" cm="1">
        <f t="array" ref="O180">IF(L180="","",_xlfn.IFERROR(INDEX('Datos - Catálogo TIMSS'!$C$5:$C$107,MATCH(L180,'Datos - Catálogo TIMSS'!$A$5:$A$107,0)),"?"))</f>
      </c>
      <c r="P180" t="s" s="35">
        <v>254</v>
      </c>
      <c r="Q180" t="s" s="120">
        <v>2684</v>
      </c>
      <c r="R180" t="s" s="120">
        <v>2685</v>
      </c>
      <c r="S180" s="121" cm="1">
        <f t="array" ref="S180">_xlfn.IFERROR(ISNUMBER(SEARCH("Conocer",$R180))/(ISNUMBER(SEARCH("Conocer",$R180))+ISNUMBER(SEARCH("Aplicar",$R180))+ISNUMBER(SEARCH("Razonar",$R180))),0)</f>
        <v>0</v>
      </c>
      <c r="T180" s="121" cm="1">
        <f t="array" ref="T180">_xlfn.IFERROR(ISNUMBER(SEARCH("Aplicar",$R180))/(ISNUMBER(SEARCH("Conocer",$R180))+ISNUMBER(SEARCH("Aplicar",$R180))+ISNUMBER(SEARCH("Razonar",$R180))),0)</f>
        <v>0.5</v>
      </c>
      <c r="U180" s="121" cm="1">
        <f t="array" ref="U180">_xlfn.IFERROR(ISNUMBER(SEARCH("Razonar",$R180))/(ISNUMBER(SEARCH("Conocer",$R180))+ISNUMBER(SEARCH("Aplicar",$R180))+ISNUMBER(SEARCH("Razonar",$R180))),0)</f>
        <v>0.5</v>
      </c>
      <c r="V180" t="s" s="35">
        <v>77</v>
      </c>
      <c r="W180" t="s" s="35">
        <v>112</v>
      </c>
      <c r="X180" s="36" cm="1">
        <f t="array" ref="X180">IF(OR(_xlfn.IFERROR(INDEX('Datos - Catálogo TIMSS'!$I$5:$I$107,MATCH(K180,'Datos - Catálogo TIMSS'!$A$5:$A$107,0)),"No")="Sí",_xlfn.IFERROR(INDEX('Datos - Catálogo TIMSS'!$I$5:$I$107,MATCH(L180,'Datos - Catálogo TIMSS'!$A$5:$A$107,0)),"No")="Sí"),1,0)</f>
        <v>0</v>
      </c>
      <c r="Y180" s="36" cm="1">
        <f t="array" ref="Y180">IF(_xlfn.IFERROR(INDEX('Datos - Catálogo TIMSS'!$J$5:$J$107,MATCH(K180,'Datos - Catálogo TIMSS'!$A$5:$A$107,0)),"No")="Sí",1,0)</f>
        <v>0</v>
      </c>
      <c r="Z180" s="36" cm="1">
        <f t="array" ref="Z180">IF(_xlfn.IFERROR(INDEX('Datos - Catálogo TIMSS'!$J$5:$J$107,MATCH(L180,'Datos - Catálogo TIMSS'!$A$5:$A$107,0)),"No")="Sí",1,0)</f>
        <v>0</v>
      </c>
      <c r="AA180" t="s" s="35">
        <v>1832</v>
      </c>
      <c r="AB180" s="39"/>
      <c r="AC180" t="str" s="39">
        <v>Fuera del marco</v>
      </c>
      <c r="AD180" t="s" s="35">
        <v>1900</v>
      </c>
      <c r="AE180" t="str" s="39" cm="1">
        <f t="array" ref="AE180">IF(AD180="","",IF(LEFT(AD180,1)="1","C1",IF(LEFT(AD180,1)="2","C2",IF(LEFT(AD180,1)="3","C3",""))))</f>
        <v>C3</v>
      </c>
      <c r="AF180" t="s" s="35">
        <v>1615</v>
      </c>
      <c r="AG180" t="s" s="35">
        <v>1617</v>
      </c>
      <c r="AH180" t="s" s="35">
        <v>1605</v>
      </c>
      <c r="AI180" t="s" s="35">
        <v>1625</v>
      </c>
      <c r="AJ180" t="s" s="35">
        <v>1633</v>
      </c>
      <c r="AK180" s="39"/>
      <c r="AL180" s="39"/>
      <c r="AM180" s="39"/>
      <c r="AN180" s="39"/>
      <c r="AO180" s="39"/>
      <c r="AP180" s="39"/>
      <c r="AQ180" s="39"/>
      <c r="AR180" s="39"/>
      <c r="AS180" s="39"/>
      <c r="AT180" s="39"/>
      <c r="AU180" s="39"/>
      <c r="AV180" s="39"/>
      <c r="AW180" t="str" s="39" cm="1">
        <f t="array" ref="AW180">AF180&amp;"; "&amp;AG180&amp;"; "&amp;AH180&amp;"; "&amp;AI180&amp;"; "&amp;AJ180</f>
        <v>E6; D1; E2; I1; I5</v>
      </c>
    </row>
    <row r="181" ht="13.65" customHeight="1">
      <c r="A181" t="s" s="35">
        <v>2686</v>
      </c>
      <c r="B181" s="36">
        <v>4</v>
      </c>
      <c r="C181" t="s" s="35">
        <v>1823</v>
      </c>
      <c r="D181" t="s" s="35">
        <v>2513</v>
      </c>
      <c r="E181" t="s" s="35">
        <v>2613</v>
      </c>
      <c r="F181" s="36">
        <v>20</v>
      </c>
      <c r="G181" t="s" s="35">
        <v>414</v>
      </c>
      <c r="H181" t="s" s="35">
        <v>2675</v>
      </c>
      <c r="I181" t="s" s="120">
        <v>2687</v>
      </c>
      <c r="J181" t="s" s="35">
        <v>1055</v>
      </c>
      <c r="K181" t="s" s="35">
        <v>1832</v>
      </c>
      <c r="L181" s="39"/>
      <c r="M181" t="str" s="39">
        <v>Fuera del marco</v>
      </c>
      <c r="N181" t="str" s="39">
        <v>Fuera del marco</v>
      </c>
      <c r="O181" t="str" s="39" cm="1">
        <f t="array" ref="O181">IF(L181="","",_xlfn.IFERROR(INDEX('Datos - Catálogo TIMSS'!$C$5:$C$107,MATCH(L181,'Datos - Catálogo TIMSS'!$A$5:$A$107,0)),"?"))</f>
      </c>
      <c r="P181" t="s" s="35">
        <v>254</v>
      </c>
      <c r="Q181" t="s" s="120">
        <v>2688</v>
      </c>
      <c r="R181" t="s" s="120">
        <v>2689</v>
      </c>
      <c r="S181" s="121" cm="1">
        <f t="array" ref="S181">_xlfn.IFERROR(ISNUMBER(SEARCH("Conocer",$R181))/(ISNUMBER(SEARCH("Conocer",$R181))+ISNUMBER(SEARCH("Aplicar",$R181))+ISNUMBER(SEARCH("Razonar",$R181))),0)</f>
        <v>0</v>
      </c>
      <c r="T181" s="121" cm="1">
        <f t="array" ref="T181">_xlfn.IFERROR(ISNUMBER(SEARCH("Aplicar",$R181))/(ISNUMBER(SEARCH("Conocer",$R181))+ISNUMBER(SEARCH("Aplicar",$R181))+ISNUMBER(SEARCH("Razonar",$R181))),0)</f>
        <v>0.5</v>
      </c>
      <c r="U181" s="121" cm="1">
        <f t="array" ref="U181">_xlfn.IFERROR(ISNUMBER(SEARCH("Razonar",$R181))/(ISNUMBER(SEARCH("Conocer",$R181))+ISNUMBER(SEARCH("Aplicar",$R181))+ISNUMBER(SEARCH("Razonar",$R181))),0)</f>
        <v>0.5</v>
      </c>
      <c r="V181" t="s" s="35">
        <v>77</v>
      </c>
      <c r="W181" t="s" s="35">
        <v>112</v>
      </c>
      <c r="X181" s="36" cm="1">
        <f t="array" ref="X181">IF(OR(_xlfn.IFERROR(INDEX('Datos - Catálogo TIMSS'!$I$5:$I$107,MATCH(K181,'Datos - Catálogo TIMSS'!$A$5:$A$107,0)),"No")="Sí",_xlfn.IFERROR(INDEX('Datos - Catálogo TIMSS'!$I$5:$I$107,MATCH(L181,'Datos - Catálogo TIMSS'!$A$5:$A$107,0)),"No")="Sí"),1,0)</f>
        <v>0</v>
      </c>
      <c r="Y181" s="36" cm="1">
        <f t="array" ref="Y181">IF(_xlfn.IFERROR(INDEX('Datos - Catálogo TIMSS'!$J$5:$J$107,MATCH(K181,'Datos - Catálogo TIMSS'!$A$5:$A$107,0)),"No")="Sí",1,0)</f>
        <v>0</v>
      </c>
      <c r="Z181" s="36" cm="1">
        <f t="array" ref="Z181">IF(_xlfn.IFERROR(INDEX('Datos - Catálogo TIMSS'!$J$5:$J$107,MATCH(L181,'Datos - Catálogo TIMSS'!$A$5:$A$107,0)),"No")="Sí",1,0)</f>
        <v>0</v>
      </c>
      <c r="AA181" t="s" s="35">
        <v>1832</v>
      </c>
      <c r="AB181" s="39"/>
      <c r="AC181" t="str" s="39">
        <v>Fuera del marco</v>
      </c>
      <c r="AD181" t="s" s="35">
        <v>1900</v>
      </c>
      <c r="AE181" t="str" s="39" cm="1">
        <f t="array" ref="AE181">IF(AD181="","",IF(LEFT(AD181,1)="1","C1",IF(LEFT(AD181,1)="2","C2",IF(LEFT(AD181,1)="3","C3",""))))</f>
        <v>C3</v>
      </c>
      <c r="AF181" t="s" s="35">
        <v>1602</v>
      </c>
      <c r="AG181" t="s" s="35">
        <v>1617</v>
      </c>
      <c r="AH181" t="s" s="35">
        <v>1602</v>
      </c>
      <c r="AI181" t="s" s="35">
        <v>1621</v>
      </c>
      <c r="AJ181" t="s" s="35">
        <v>1633</v>
      </c>
      <c r="AK181" s="39"/>
      <c r="AL181" s="39"/>
      <c r="AM181" s="39"/>
      <c r="AN181" s="39"/>
      <c r="AO181" s="39"/>
      <c r="AP181" s="39"/>
      <c r="AQ181" s="39"/>
      <c r="AR181" s="39"/>
      <c r="AS181" s="39"/>
      <c r="AT181" s="39"/>
      <c r="AU181" s="39"/>
      <c r="AV181" s="39"/>
      <c r="AW181" t="str" s="39" cm="1">
        <f t="array" ref="AW181">AF181&amp;"; "&amp;AG181&amp;"; "&amp;AH181&amp;"; "&amp;AI181&amp;"; "&amp;AJ181</f>
        <v>E1; D1; E1; D3; I5</v>
      </c>
    </row>
    <row r="182" ht="13.65" customHeight="1">
      <c r="A182" t="s" s="35">
        <v>2690</v>
      </c>
      <c r="B182" s="36">
        <v>4</v>
      </c>
      <c r="C182" t="s" s="35">
        <v>1823</v>
      </c>
      <c r="D182" t="s" s="35">
        <v>2513</v>
      </c>
      <c r="E182" t="s" s="35">
        <v>2691</v>
      </c>
      <c r="F182" s="36">
        <v>3</v>
      </c>
      <c r="G182" t="s" s="35">
        <v>2692</v>
      </c>
      <c r="H182" t="s" s="35">
        <v>2693</v>
      </c>
      <c r="I182" t="s" s="120">
        <v>2694</v>
      </c>
      <c r="J182" t="s" s="35">
        <v>1055</v>
      </c>
      <c r="K182" t="s" s="35">
        <v>1152</v>
      </c>
      <c r="L182" s="39"/>
      <c r="M182" t="str" s="39">
        <v>Ciencias de la Tierra</v>
      </c>
      <c r="N182" t="str" s="39">
        <v>La Tierra en el sistema solar</v>
      </c>
      <c r="O182" t="str" s="39" cm="1">
        <f t="array" ref="O182">IF(L182="","",_xlfn.IFERROR(INDEX('Datos - Catálogo TIMSS'!$C$5:$C$107,MATCH(L182,'Datos - Catálogo TIMSS'!$A$5:$A$107,0)),"?"))</f>
      </c>
      <c r="P182" t="s" s="35">
        <v>254</v>
      </c>
      <c r="Q182" t="s" s="120">
        <v>2695</v>
      </c>
      <c r="R182" t="s" s="120">
        <v>2696</v>
      </c>
      <c r="S182" s="121" cm="1">
        <f t="array" ref="S182">_xlfn.IFERROR(ISNUMBER(SEARCH("Conocer",$R182))/(ISNUMBER(SEARCH("Conocer",$R182))+ISNUMBER(SEARCH("Aplicar",$R182))+ISNUMBER(SEARCH("Razonar",$R182))),0)</f>
        <v>0</v>
      </c>
      <c r="T182" s="121" cm="1">
        <f t="array" ref="T182">_xlfn.IFERROR(ISNUMBER(SEARCH("Aplicar",$R182))/(ISNUMBER(SEARCH("Conocer",$R182))+ISNUMBER(SEARCH("Aplicar",$R182))+ISNUMBER(SEARCH("Razonar",$R182))),0)</f>
        <v>0.5</v>
      </c>
      <c r="U182" s="121" cm="1">
        <f t="array" ref="U182">_xlfn.IFERROR(ISNUMBER(SEARCH("Razonar",$R182))/(ISNUMBER(SEARCH("Conocer",$R182))+ISNUMBER(SEARCH("Aplicar",$R182))+ISNUMBER(SEARCH("Razonar",$R182))),0)</f>
        <v>0.5</v>
      </c>
      <c r="V182" t="s" s="35">
        <v>77</v>
      </c>
      <c r="W182" t="s" s="35">
        <v>112</v>
      </c>
      <c r="X182" s="36" cm="1">
        <f t="array" ref="X182">IF(OR(_xlfn.IFERROR(INDEX('Datos - Catálogo TIMSS'!$I$5:$I$107,MATCH(K182,'Datos - Catálogo TIMSS'!$A$5:$A$107,0)),"No")="Sí",_xlfn.IFERROR(INDEX('Datos - Catálogo TIMSS'!$I$5:$I$107,MATCH(L182,'Datos - Catálogo TIMSS'!$A$5:$A$107,0)),"No")="Sí"),1,0)</f>
        <v>0</v>
      </c>
      <c r="Y182" s="36" cm="1">
        <f t="array" ref="Y182">IF(_xlfn.IFERROR(INDEX('Datos - Catálogo TIMSS'!$J$5:$J$107,MATCH(K182,'Datos - Catálogo TIMSS'!$A$5:$A$107,0)),"No")="Sí",1,0)</f>
        <v>0</v>
      </c>
      <c r="Z182" s="36" cm="1">
        <f t="array" ref="Z182">IF(_xlfn.IFERROR(INDEX('Datos - Catálogo TIMSS'!$J$5:$J$107,MATCH(L182,'Datos - Catálogo TIMSS'!$A$5:$A$107,0)),"No")="Sí",1,0)</f>
        <v>0</v>
      </c>
      <c r="AA182" t="s" s="35">
        <v>2002</v>
      </c>
      <c r="AB182" s="39"/>
      <c r="AC182" t="str" s="39">
        <v>Ciencias de la Tierra</v>
      </c>
      <c r="AD182" t="s" s="35">
        <v>1859</v>
      </c>
      <c r="AE182" t="str" s="39" cm="1">
        <f t="array" ref="AE182">IF(AD182="","",IF(LEFT(AD182,1)="1","C1",IF(LEFT(AD182,1)="2","C2",IF(LEFT(AD182,1)="3","C3",""))))</f>
        <v>C1</v>
      </c>
      <c r="AF182" t="s" s="35">
        <v>1602</v>
      </c>
      <c r="AG182" t="s" s="35">
        <v>1612</v>
      </c>
      <c r="AH182" t="s" s="35">
        <v>1609</v>
      </c>
      <c r="AI182" t="s" s="35">
        <v>1609</v>
      </c>
      <c r="AJ182" t="s" s="35">
        <v>1615</v>
      </c>
      <c r="AK182" s="39"/>
      <c r="AL182" s="39"/>
      <c r="AM182" s="39"/>
      <c r="AN182" s="39"/>
      <c r="AO182" s="39"/>
      <c r="AP182" s="39"/>
      <c r="AQ182" s="39"/>
      <c r="AR182" s="39"/>
      <c r="AS182" s="39"/>
      <c r="AT182" s="39"/>
      <c r="AU182" s="39"/>
      <c r="AV182" s="39"/>
      <c r="AW182" t="str" s="39" cm="1">
        <f t="array" ref="AW182">AF182&amp;"; "&amp;AG182&amp;"; "&amp;AH182&amp;"; "&amp;AI182&amp;"; "&amp;AJ182</f>
        <v>E1; E5; E4; E4; E6</v>
      </c>
    </row>
    <row r="183" ht="13.65" customHeight="1">
      <c r="A183" t="s" s="35">
        <v>2698</v>
      </c>
      <c r="B183" s="36">
        <v>4</v>
      </c>
      <c r="C183" t="s" s="35">
        <v>1823</v>
      </c>
      <c r="D183" t="s" s="35">
        <v>2513</v>
      </c>
      <c r="E183" t="s" s="35">
        <v>2691</v>
      </c>
      <c r="F183" s="36">
        <v>4</v>
      </c>
      <c r="G183" t="s" s="35">
        <v>2692</v>
      </c>
      <c r="H183" t="s" s="35">
        <v>2693</v>
      </c>
      <c r="I183" t="s" s="120">
        <v>2699</v>
      </c>
      <c r="J183" t="s" s="35">
        <v>1055</v>
      </c>
      <c r="K183" t="s" s="35">
        <v>1152</v>
      </c>
      <c r="L183" s="39"/>
      <c r="M183" t="str" s="39">
        <v>Ciencias de la Tierra</v>
      </c>
      <c r="N183" t="str" s="39">
        <v>La Tierra en el sistema solar</v>
      </c>
      <c r="O183" t="str" s="39" cm="1">
        <f t="array" ref="O183">IF(L183="","",_xlfn.IFERROR(INDEX('Datos - Catálogo TIMSS'!$C$5:$C$107,MATCH(L183,'Datos - Catálogo TIMSS'!$A$5:$A$107,0)),"?"))</f>
      </c>
      <c r="P183" t="s" s="35">
        <v>291</v>
      </c>
      <c r="Q183" t="s" s="120">
        <v>2700</v>
      </c>
      <c r="R183" t="s" s="120">
        <v>2131</v>
      </c>
      <c r="S183" s="121" cm="1">
        <f t="array" ref="S183">_xlfn.IFERROR(ISNUMBER(SEARCH("Conocer",$R183))/(ISNUMBER(SEARCH("Conocer",$R183))+ISNUMBER(SEARCH("Aplicar",$R183))+ISNUMBER(SEARCH("Razonar",$R183))),0)</f>
        <v>0</v>
      </c>
      <c r="T183" s="121" cm="1">
        <f t="array" ref="T183">_xlfn.IFERROR(ISNUMBER(SEARCH("Aplicar",$R183))/(ISNUMBER(SEARCH("Conocer",$R183))+ISNUMBER(SEARCH("Aplicar",$R183))+ISNUMBER(SEARCH("Razonar",$R183))),0)</f>
        <v>1</v>
      </c>
      <c r="U183" s="121" cm="1">
        <f t="array" ref="U183">_xlfn.IFERROR(ISNUMBER(SEARCH("Razonar",$R183))/(ISNUMBER(SEARCH("Conocer",$R183))+ISNUMBER(SEARCH("Aplicar",$R183))+ISNUMBER(SEARCH("Razonar",$R183))),0)</f>
        <v>0</v>
      </c>
      <c r="V183" t="s" s="35">
        <v>77</v>
      </c>
      <c r="W183" t="s" s="35">
        <v>112</v>
      </c>
      <c r="X183" s="36" cm="1">
        <f t="array" ref="X183">IF(OR(_xlfn.IFERROR(INDEX('Datos - Catálogo TIMSS'!$I$5:$I$107,MATCH(K183,'Datos - Catálogo TIMSS'!$A$5:$A$107,0)),"No")="Sí",_xlfn.IFERROR(INDEX('Datos - Catálogo TIMSS'!$I$5:$I$107,MATCH(L183,'Datos - Catálogo TIMSS'!$A$5:$A$107,0)),"No")="Sí"),1,0)</f>
        <v>0</v>
      </c>
      <c r="Y183" s="36" cm="1">
        <f t="array" ref="Y183">IF(_xlfn.IFERROR(INDEX('Datos - Catálogo TIMSS'!$J$5:$J$107,MATCH(K183,'Datos - Catálogo TIMSS'!$A$5:$A$107,0)),"No")="Sí",1,0)</f>
        <v>0</v>
      </c>
      <c r="Z183" s="36" cm="1">
        <f t="array" ref="Z183">IF(_xlfn.IFERROR(INDEX('Datos - Catálogo TIMSS'!$J$5:$J$107,MATCH(L183,'Datos - Catálogo TIMSS'!$A$5:$A$107,0)),"No")="Sí",1,0)</f>
        <v>0</v>
      </c>
      <c r="AA183" t="s" s="35">
        <v>2002</v>
      </c>
      <c r="AB183" s="39"/>
      <c r="AC183" t="str" s="39">
        <v>Ciencias de la Tierra</v>
      </c>
      <c r="AD183" t="s" s="35">
        <v>1859</v>
      </c>
      <c r="AE183" t="str" s="39" cm="1">
        <f t="array" ref="AE183">IF(AD183="","",IF(LEFT(AD183,1)="1","C1",IF(LEFT(AD183,1)="2","C2",IF(LEFT(AD183,1)="3","C3",""))))</f>
        <v>C1</v>
      </c>
      <c r="AF183" t="s" s="35">
        <v>1602</v>
      </c>
      <c r="AG183" t="s" s="35">
        <v>1617</v>
      </c>
      <c r="AH183" t="s" s="35">
        <v>1609</v>
      </c>
      <c r="AI183" t="s" s="35">
        <v>1609</v>
      </c>
      <c r="AJ183" t="s" s="35">
        <v>1615</v>
      </c>
      <c r="AK183" s="39"/>
      <c r="AL183" s="39"/>
      <c r="AM183" s="39"/>
      <c r="AN183" s="39"/>
      <c r="AO183" s="39"/>
      <c r="AP183" s="39"/>
      <c r="AQ183" s="39"/>
      <c r="AR183" s="39"/>
      <c r="AS183" s="39"/>
      <c r="AT183" s="39"/>
      <c r="AU183" s="39"/>
      <c r="AV183" s="39"/>
      <c r="AW183" t="str" s="39" cm="1">
        <f t="array" ref="AW183">AF183&amp;"; "&amp;AG183&amp;"; "&amp;AH183&amp;"; "&amp;AI183&amp;"; "&amp;AJ183</f>
        <v>E1; D1; E4; E4; E6</v>
      </c>
    </row>
    <row r="184" ht="13.65" customHeight="1">
      <c r="A184" t="s" s="35">
        <v>2701</v>
      </c>
      <c r="B184" s="36">
        <v>4</v>
      </c>
      <c r="C184" t="s" s="35">
        <v>1823</v>
      </c>
      <c r="D184" t="s" s="35">
        <v>2513</v>
      </c>
      <c r="E184" t="s" s="35">
        <v>2691</v>
      </c>
      <c r="F184" s="36">
        <v>5</v>
      </c>
      <c r="G184" t="s" s="35">
        <v>2692</v>
      </c>
      <c r="H184" t="s" s="35">
        <v>2702</v>
      </c>
      <c r="I184" t="s" s="120">
        <v>2703</v>
      </c>
      <c r="J184" t="s" s="35">
        <v>1055</v>
      </c>
      <c r="K184" t="s" s="35">
        <v>1152</v>
      </c>
      <c r="L184" t="s" s="35">
        <v>1159</v>
      </c>
      <c r="M184" t="str" s="39">
        <v>Ciencias de la Tierra</v>
      </c>
      <c r="N184" t="str" s="39">
        <v>La Tierra en el sistema solar</v>
      </c>
      <c r="O184" t="str" s="39" cm="1">
        <f t="array" ref="O184">IF(L184="","",_xlfn.IFERROR(INDEX('Datos - Catálogo TIMSS'!$C$5:$C$107,MATCH(L184,'Datos - Catálogo TIMSS'!$A$5:$A$107,0)),"?"))</f>
        <v>Ciencias de la Tierra</v>
      </c>
      <c r="P184" t="s" s="35">
        <v>282</v>
      </c>
      <c r="Q184" t="s" s="120">
        <v>2704</v>
      </c>
      <c r="R184" t="s" s="120">
        <v>2705</v>
      </c>
      <c r="S184" s="121" cm="1">
        <f t="array" ref="S184">_xlfn.IFERROR(ISNUMBER(SEARCH("Conocer",$R184))/(ISNUMBER(SEARCH("Conocer",$R184))+ISNUMBER(SEARCH("Aplicar",$R184))+ISNUMBER(SEARCH("Razonar",$R184))),0)</f>
        <v>0</v>
      </c>
      <c r="T184" s="121" cm="1">
        <f t="array" ref="T184">_xlfn.IFERROR(ISNUMBER(SEARCH("Aplicar",$R184))/(ISNUMBER(SEARCH("Conocer",$R184))+ISNUMBER(SEARCH("Aplicar",$R184))+ISNUMBER(SEARCH("Razonar",$R184))),0)</f>
        <v>0.5</v>
      </c>
      <c r="U184" s="121" cm="1">
        <f t="array" ref="U184">_xlfn.IFERROR(ISNUMBER(SEARCH("Razonar",$R184))/(ISNUMBER(SEARCH("Conocer",$R184))+ISNUMBER(SEARCH("Aplicar",$R184))+ISNUMBER(SEARCH("Razonar",$R184))),0)</f>
        <v>0.5</v>
      </c>
      <c r="V184" t="s" s="35">
        <v>77</v>
      </c>
      <c r="W184" t="s" s="35">
        <v>112</v>
      </c>
      <c r="X184" s="36" cm="1">
        <f t="array" ref="X184">IF(OR(_xlfn.IFERROR(INDEX('Datos - Catálogo TIMSS'!$I$5:$I$107,MATCH(K184,'Datos - Catálogo TIMSS'!$A$5:$A$107,0)),"No")="Sí",_xlfn.IFERROR(INDEX('Datos - Catálogo TIMSS'!$I$5:$I$107,MATCH(L184,'Datos - Catálogo TIMSS'!$A$5:$A$107,0)),"No")="Sí"),1,0)</f>
        <v>0</v>
      </c>
      <c r="Y184" s="36" cm="1">
        <f t="array" ref="Y184">IF(_xlfn.IFERROR(INDEX('Datos - Catálogo TIMSS'!$J$5:$J$107,MATCH(K184,'Datos - Catálogo TIMSS'!$A$5:$A$107,0)),"No")="Sí",1,0)</f>
        <v>0</v>
      </c>
      <c r="Z184" s="36" cm="1">
        <f t="array" ref="Z184">IF(_xlfn.IFERROR(INDEX('Datos - Catálogo TIMSS'!$J$5:$J$107,MATCH(L184,'Datos - Catálogo TIMSS'!$A$5:$A$107,0)),"No")="Sí",1,0)</f>
        <v>1</v>
      </c>
      <c r="AA184" t="s" s="35">
        <v>2002</v>
      </c>
      <c r="AB184" s="39"/>
      <c r="AC184" t="str" s="39">
        <v>Ciencias de la Tierra</v>
      </c>
      <c r="AD184" t="s" s="35">
        <v>1834</v>
      </c>
      <c r="AE184" t="str" s="39" cm="1">
        <f t="array" ref="AE184">IF(AD184="","",IF(LEFT(AD184,1)="1","C1",IF(LEFT(AD184,1)="2","C2",IF(LEFT(AD184,1)="3","C3",""))))</f>
        <v>C2</v>
      </c>
      <c r="AF184" t="s" s="35">
        <v>1602</v>
      </c>
      <c r="AG184" t="s" s="35">
        <v>1617</v>
      </c>
      <c r="AH184" t="s" s="35">
        <v>1609</v>
      </c>
      <c r="AI184" t="s" s="35">
        <v>1623</v>
      </c>
      <c r="AJ184" t="s" s="35">
        <v>1615</v>
      </c>
      <c r="AK184" s="39"/>
      <c r="AL184" s="39"/>
      <c r="AM184" s="39"/>
      <c r="AN184" s="39"/>
      <c r="AO184" s="39"/>
      <c r="AP184" s="39"/>
      <c r="AQ184" s="39"/>
      <c r="AR184" s="39"/>
      <c r="AS184" s="39"/>
      <c r="AT184" s="39"/>
      <c r="AU184" s="39"/>
      <c r="AV184" s="39"/>
      <c r="AW184" t="str" s="39" cm="1">
        <f t="array" ref="AW184">AF184&amp;"; "&amp;AG184&amp;"; "&amp;AH184&amp;"; "&amp;AI184&amp;"; "&amp;AJ184</f>
        <v>E1; D1; E4; D4; E6</v>
      </c>
    </row>
    <row r="185" ht="13.65" customHeight="1">
      <c r="A185" t="s" s="35">
        <v>2706</v>
      </c>
      <c r="B185" s="36">
        <v>4</v>
      </c>
      <c r="C185" t="s" s="35">
        <v>1823</v>
      </c>
      <c r="D185" t="s" s="35">
        <v>2513</v>
      </c>
      <c r="E185" t="s" s="35">
        <v>2691</v>
      </c>
      <c r="F185" s="36">
        <v>6</v>
      </c>
      <c r="G185" t="s" s="35">
        <v>2692</v>
      </c>
      <c r="H185" t="s" s="35">
        <v>2702</v>
      </c>
      <c r="I185" t="s" s="120">
        <v>2707</v>
      </c>
      <c r="J185" t="s" s="35">
        <v>1055</v>
      </c>
      <c r="K185" t="s" s="35">
        <v>1152</v>
      </c>
      <c r="L185" s="39"/>
      <c r="M185" t="str" s="39">
        <v>Ciencias de la Tierra</v>
      </c>
      <c r="N185" t="str" s="39">
        <v>La Tierra en el sistema solar</v>
      </c>
      <c r="O185" t="str" s="39" cm="1">
        <f t="array" ref="O185">IF(L185="","",_xlfn.IFERROR(INDEX('Datos - Catálogo TIMSS'!$C$5:$C$107,MATCH(L185,'Datos - Catálogo TIMSS'!$A$5:$A$107,0)),"?"))</f>
      </c>
      <c r="P185" t="s" s="35">
        <v>291</v>
      </c>
      <c r="Q185" t="s" s="120">
        <v>2708</v>
      </c>
      <c r="R185" t="s" s="120">
        <v>2709</v>
      </c>
      <c r="S185" s="121" cm="1">
        <f t="array" ref="S185">_xlfn.IFERROR(ISNUMBER(SEARCH("Conocer",$R185))/(ISNUMBER(SEARCH("Conocer",$R185))+ISNUMBER(SEARCH("Aplicar",$R185))+ISNUMBER(SEARCH("Razonar",$R185))),0)</f>
        <v>1</v>
      </c>
      <c r="T185" s="121" cm="1">
        <f t="array" ref="T185">_xlfn.IFERROR(ISNUMBER(SEARCH("Aplicar",$R185))/(ISNUMBER(SEARCH("Conocer",$R185))+ISNUMBER(SEARCH("Aplicar",$R185))+ISNUMBER(SEARCH("Razonar",$R185))),0)</f>
        <v>0</v>
      </c>
      <c r="U185" s="121" cm="1">
        <f t="array" ref="U185">_xlfn.IFERROR(ISNUMBER(SEARCH("Razonar",$R185))/(ISNUMBER(SEARCH("Conocer",$R185))+ISNUMBER(SEARCH("Aplicar",$R185))+ISNUMBER(SEARCH("Razonar",$R185))),0)</f>
        <v>0</v>
      </c>
      <c r="V185" t="s" s="35">
        <v>77</v>
      </c>
      <c r="W185" t="s" s="35">
        <v>112</v>
      </c>
      <c r="X185" s="36" cm="1">
        <f t="array" ref="X185">IF(OR(_xlfn.IFERROR(INDEX('Datos - Catálogo TIMSS'!$I$5:$I$107,MATCH(K185,'Datos - Catálogo TIMSS'!$A$5:$A$107,0)),"No")="Sí",_xlfn.IFERROR(INDEX('Datos - Catálogo TIMSS'!$I$5:$I$107,MATCH(L185,'Datos - Catálogo TIMSS'!$A$5:$A$107,0)),"No")="Sí"),1,0)</f>
        <v>0</v>
      </c>
      <c r="Y185" s="36" cm="1">
        <f t="array" ref="Y185">IF(_xlfn.IFERROR(INDEX('Datos - Catálogo TIMSS'!$J$5:$J$107,MATCH(K185,'Datos - Catálogo TIMSS'!$A$5:$A$107,0)),"No")="Sí",1,0)</f>
        <v>0</v>
      </c>
      <c r="Z185" s="36" cm="1">
        <f t="array" ref="Z185">IF(_xlfn.IFERROR(INDEX('Datos - Catálogo TIMSS'!$J$5:$J$107,MATCH(L185,'Datos - Catálogo TIMSS'!$A$5:$A$107,0)),"No")="Sí",1,0)</f>
        <v>0</v>
      </c>
      <c r="AA185" t="s" s="35">
        <v>2002</v>
      </c>
      <c r="AB185" s="39"/>
      <c r="AC185" t="str" s="39">
        <v>Ciencias de la Tierra</v>
      </c>
      <c r="AD185" t="s" s="35">
        <v>1859</v>
      </c>
      <c r="AE185" t="str" s="39" cm="1">
        <f t="array" ref="AE185">IF(AD185="","",IF(LEFT(AD185,1)="1","C1",IF(LEFT(AD185,1)="2","C2",IF(LEFT(AD185,1)="3","C3",""))))</f>
        <v>C1</v>
      </c>
      <c r="AF185" t="s" s="35">
        <v>1602</v>
      </c>
      <c r="AG185" t="s" s="35">
        <v>1612</v>
      </c>
      <c r="AH185" t="s" s="35">
        <v>1602</v>
      </c>
      <c r="AI185" t="s" s="35">
        <v>1627</v>
      </c>
      <c r="AJ185" t="s" s="35">
        <v>1615</v>
      </c>
      <c r="AK185" s="39"/>
      <c r="AL185" s="39"/>
      <c r="AM185" s="39"/>
      <c r="AN185" s="39"/>
      <c r="AO185" s="39"/>
      <c r="AP185" s="39"/>
      <c r="AQ185" s="39"/>
      <c r="AR185" s="39"/>
      <c r="AS185" s="39"/>
      <c r="AT185" s="39"/>
      <c r="AU185" s="39"/>
      <c r="AV185" s="39"/>
      <c r="AW185" t="str" s="39" cm="1">
        <f t="array" ref="AW185">AF185&amp;"; "&amp;AG185&amp;"; "&amp;AH185&amp;"; "&amp;AI185&amp;"; "&amp;AJ185</f>
        <v>E1; E5; E1; I2; E6</v>
      </c>
    </row>
    <row r="186" ht="13.65" customHeight="1">
      <c r="A186" t="s" s="35">
        <v>2710</v>
      </c>
      <c r="B186" s="36">
        <v>4</v>
      </c>
      <c r="C186" t="s" s="35">
        <v>1823</v>
      </c>
      <c r="D186" t="s" s="35">
        <v>2513</v>
      </c>
      <c r="E186" t="s" s="35">
        <v>2691</v>
      </c>
      <c r="F186" s="36">
        <v>7</v>
      </c>
      <c r="G186" t="s" s="35">
        <v>2692</v>
      </c>
      <c r="H186" t="s" s="35">
        <v>2702</v>
      </c>
      <c r="I186" t="s" s="120">
        <v>2711</v>
      </c>
      <c r="J186" t="s" s="35">
        <v>1055</v>
      </c>
      <c r="K186" t="s" s="35">
        <v>1152</v>
      </c>
      <c r="L186" s="39"/>
      <c r="M186" t="str" s="39">
        <v>Ciencias de la Tierra</v>
      </c>
      <c r="N186" t="str" s="39">
        <v>La Tierra en el sistema solar</v>
      </c>
      <c r="O186" t="str" s="39" cm="1">
        <f t="array" ref="O186">IF(L186="","",_xlfn.IFERROR(INDEX('Datos - Catálogo TIMSS'!$C$5:$C$107,MATCH(L186,'Datos - Catálogo TIMSS'!$A$5:$A$107,0)),"?"))</f>
      </c>
      <c r="P186" t="s" s="35">
        <v>254</v>
      </c>
      <c r="Q186" t="s" s="120">
        <v>2712</v>
      </c>
      <c r="R186" t="s" s="120">
        <v>2713</v>
      </c>
      <c r="S186" s="121" cm="1">
        <f t="array" ref="S186">_xlfn.IFERROR(ISNUMBER(SEARCH("Conocer",$R186))/(ISNUMBER(SEARCH("Conocer",$R186))+ISNUMBER(SEARCH("Aplicar",$R186))+ISNUMBER(SEARCH("Razonar",$R186))),0)</f>
        <v>0</v>
      </c>
      <c r="T186" s="121" cm="1">
        <f t="array" ref="T186">_xlfn.IFERROR(ISNUMBER(SEARCH("Aplicar",$R186))/(ISNUMBER(SEARCH("Conocer",$R186))+ISNUMBER(SEARCH("Aplicar",$R186))+ISNUMBER(SEARCH("Razonar",$R186))),0)</f>
        <v>0.5</v>
      </c>
      <c r="U186" s="121" cm="1">
        <f t="array" ref="U186">_xlfn.IFERROR(ISNUMBER(SEARCH("Razonar",$R186))/(ISNUMBER(SEARCH("Conocer",$R186))+ISNUMBER(SEARCH("Aplicar",$R186))+ISNUMBER(SEARCH("Razonar",$R186))),0)</f>
        <v>0.5</v>
      </c>
      <c r="V186" t="s" s="35">
        <v>77</v>
      </c>
      <c r="W186" t="s" s="35">
        <v>112</v>
      </c>
      <c r="X186" s="36" cm="1">
        <f t="array" ref="X186">IF(OR(_xlfn.IFERROR(INDEX('Datos - Catálogo TIMSS'!$I$5:$I$107,MATCH(K186,'Datos - Catálogo TIMSS'!$A$5:$A$107,0)),"No")="Sí",_xlfn.IFERROR(INDEX('Datos - Catálogo TIMSS'!$I$5:$I$107,MATCH(L186,'Datos - Catálogo TIMSS'!$A$5:$A$107,0)),"No")="Sí"),1,0)</f>
        <v>0</v>
      </c>
      <c r="Y186" s="36" cm="1">
        <f t="array" ref="Y186">IF(_xlfn.IFERROR(INDEX('Datos - Catálogo TIMSS'!$J$5:$J$107,MATCH(K186,'Datos - Catálogo TIMSS'!$A$5:$A$107,0)),"No")="Sí",1,0)</f>
        <v>0</v>
      </c>
      <c r="Z186" s="36" cm="1">
        <f t="array" ref="Z186">IF(_xlfn.IFERROR(INDEX('Datos - Catálogo TIMSS'!$J$5:$J$107,MATCH(L186,'Datos - Catálogo TIMSS'!$A$5:$A$107,0)),"No")="Sí",1,0)</f>
        <v>0</v>
      </c>
      <c r="AA186" t="s" s="35">
        <v>2002</v>
      </c>
      <c r="AB186" s="39"/>
      <c r="AC186" t="str" s="39">
        <v>Ciencias de la Tierra</v>
      </c>
      <c r="AD186" t="s" s="35">
        <v>1834</v>
      </c>
      <c r="AE186" t="str" s="39" cm="1">
        <f t="array" ref="AE186">IF(AD186="","",IF(LEFT(AD186,1)="1","C1",IF(LEFT(AD186,1)="2","C2",IF(LEFT(AD186,1)="3","C3",""))))</f>
        <v>C2</v>
      </c>
      <c r="AF186" t="s" s="35">
        <v>1602</v>
      </c>
      <c r="AG186" t="s" s="35">
        <v>1617</v>
      </c>
      <c r="AH186" t="s" s="35">
        <v>1609</v>
      </c>
      <c r="AI186" t="s" s="35">
        <v>1623</v>
      </c>
      <c r="AJ186" t="s" s="35">
        <v>1607</v>
      </c>
      <c r="AK186" s="39"/>
      <c r="AL186" s="39"/>
      <c r="AM186" s="39"/>
      <c r="AN186" s="39"/>
      <c r="AO186" s="39"/>
      <c r="AP186" s="39"/>
      <c r="AQ186" s="39"/>
      <c r="AR186" s="39"/>
      <c r="AS186" s="39"/>
      <c r="AT186" s="39"/>
      <c r="AU186" s="39"/>
      <c r="AV186" s="39"/>
      <c r="AW186" t="str" s="39" cm="1">
        <f t="array" ref="AW186">AF186&amp;"; "&amp;AG186&amp;"; "&amp;AH186&amp;"; "&amp;AI186&amp;"; "&amp;AJ186</f>
        <v>E1; D1; E4; D4; E3</v>
      </c>
    </row>
    <row r="187" ht="13.65" customHeight="1">
      <c r="A187" t="s" s="35">
        <v>2714</v>
      </c>
      <c r="B187" s="36">
        <v>4</v>
      </c>
      <c r="C187" t="s" s="35">
        <v>1823</v>
      </c>
      <c r="D187" t="s" s="35">
        <v>2513</v>
      </c>
      <c r="E187" t="s" s="35">
        <v>2691</v>
      </c>
      <c r="F187" s="36">
        <v>8</v>
      </c>
      <c r="G187" t="s" s="35">
        <v>2692</v>
      </c>
      <c r="H187" t="s" s="35">
        <v>2715</v>
      </c>
      <c r="I187" t="s" s="120">
        <v>2716</v>
      </c>
      <c r="J187" t="s" s="35">
        <v>1055</v>
      </c>
      <c r="K187" t="s" s="35">
        <v>1832</v>
      </c>
      <c r="L187" s="39"/>
      <c r="M187" t="str" s="39">
        <v>Fuera del marco</v>
      </c>
      <c r="N187" t="str" s="39">
        <v>Fuera del marco</v>
      </c>
      <c r="O187" t="str" s="39" cm="1">
        <f t="array" ref="O187">IF(L187="","",_xlfn.IFERROR(INDEX('Datos - Catálogo TIMSS'!$C$5:$C$107,MATCH(L187,'Datos - Catálogo TIMSS'!$A$5:$A$107,0)),"?"))</f>
      </c>
      <c r="P187" t="s" s="35">
        <v>282</v>
      </c>
      <c r="Q187" t="s" s="120">
        <v>2717</v>
      </c>
      <c r="R187" t="s" s="120">
        <v>2131</v>
      </c>
      <c r="S187" s="121" cm="1">
        <f t="array" ref="S187">_xlfn.IFERROR(ISNUMBER(SEARCH("Conocer",$R187))/(ISNUMBER(SEARCH("Conocer",$R187))+ISNUMBER(SEARCH("Aplicar",$R187))+ISNUMBER(SEARCH("Razonar",$R187))),0)</f>
        <v>0</v>
      </c>
      <c r="T187" s="121" cm="1">
        <f t="array" ref="T187">_xlfn.IFERROR(ISNUMBER(SEARCH("Aplicar",$R187))/(ISNUMBER(SEARCH("Conocer",$R187))+ISNUMBER(SEARCH("Aplicar",$R187))+ISNUMBER(SEARCH("Razonar",$R187))),0)</f>
        <v>1</v>
      </c>
      <c r="U187" s="121" cm="1">
        <f t="array" ref="U187">_xlfn.IFERROR(ISNUMBER(SEARCH("Razonar",$R187))/(ISNUMBER(SEARCH("Conocer",$R187))+ISNUMBER(SEARCH("Aplicar",$R187))+ISNUMBER(SEARCH("Razonar",$R187))),0)</f>
        <v>0</v>
      </c>
      <c r="V187" t="s" s="35">
        <v>77</v>
      </c>
      <c r="W187" t="s" s="35">
        <v>112</v>
      </c>
      <c r="X187" s="36" cm="1">
        <f t="array" ref="X187">IF(OR(_xlfn.IFERROR(INDEX('Datos - Catálogo TIMSS'!$I$5:$I$107,MATCH(K187,'Datos - Catálogo TIMSS'!$A$5:$A$107,0)),"No")="Sí",_xlfn.IFERROR(INDEX('Datos - Catálogo TIMSS'!$I$5:$I$107,MATCH(L187,'Datos - Catálogo TIMSS'!$A$5:$A$107,0)),"No")="Sí"),1,0)</f>
        <v>0</v>
      </c>
      <c r="Y187" s="36" cm="1">
        <f t="array" ref="Y187">IF(_xlfn.IFERROR(INDEX('Datos - Catálogo TIMSS'!$J$5:$J$107,MATCH(K187,'Datos - Catálogo TIMSS'!$A$5:$A$107,0)),"No")="Sí",1,0)</f>
        <v>0</v>
      </c>
      <c r="Z187" s="36" cm="1">
        <f t="array" ref="Z187">IF(_xlfn.IFERROR(INDEX('Datos - Catálogo TIMSS'!$J$5:$J$107,MATCH(L187,'Datos - Catálogo TIMSS'!$A$5:$A$107,0)),"No")="Sí",1,0)</f>
        <v>0</v>
      </c>
      <c r="AA187" t="s" s="35">
        <v>1991</v>
      </c>
      <c r="AB187" s="39"/>
      <c r="AC187" t="str" s="39">
        <v>Ciencias de la Tierra</v>
      </c>
      <c r="AD187" t="s" s="35">
        <v>1834</v>
      </c>
      <c r="AE187" t="str" s="39" cm="1">
        <f t="array" ref="AE187">IF(AD187="","",IF(LEFT(AD187,1)="1","C1",IF(LEFT(AD187,1)="2","C2",IF(LEFT(AD187,1)="3","C3",""))))</f>
        <v>C2</v>
      </c>
      <c r="AF187" t="s" s="35">
        <v>1602</v>
      </c>
      <c r="AG187" t="s" s="35">
        <v>1612</v>
      </c>
      <c r="AH187" t="s" s="35">
        <v>1609</v>
      </c>
      <c r="AI187" t="s" s="35">
        <v>1623</v>
      </c>
      <c r="AJ187" t="s" s="35">
        <v>1602</v>
      </c>
      <c r="AK187" s="39"/>
      <c r="AL187" s="39"/>
      <c r="AM187" s="39"/>
      <c r="AN187" s="39"/>
      <c r="AO187" s="39"/>
      <c r="AP187" s="39"/>
      <c r="AQ187" s="39"/>
      <c r="AR187" s="39"/>
      <c r="AS187" s="39"/>
      <c r="AT187" s="39"/>
      <c r="AU187" s="39"/>
      <c r="AV187" s="39"/>
      <c r="AW187" t="str" s="39" cm="1">
        <f t="array" ref="AW187">AF187&amp;"; "&amp;AG187&amp;"; "&amp;AH187&amp;"; "&amp;AI187&amp;"; "&amp;AJ187</f>
        <v>E1; E5; E4; D4; E1</v>
      </c>
    </row>
    <row r="188" ht="13.65" customHeight="1">
      <c r="A188" t="s" s="35">
        <v>2719</v>
      </c>
      <c r="B188" s="36">
        <v>4</v>
      </c>
      <c r="C188" t="s" s="35">
        <v>1823</v>
      </c>
      <c r="D188" t="s" s="35">
        <v>2513</v>
      </c>
      <c r="E188" t="s" s="35">
        <v>2691</v>
      </c>
      <c r="F188" s="36">
        <v>9</v>
      </c>
      <c r="G188" t="s" s="35">
        <v>2692</v>
      </c>
      <c r="H188" t="s" s="35">
        <v>2715</v>
      </c>
      <c r="I188" t="s" s="120">
        <v>2720</v>
      </c>
      <c r="J188" t="s" s="35">
        <v>1055</v>
      </c>
      <c r="K188" t="s" s="35">
        <v>1832</v>
      </c>
      <c r="L188" s="39"/>
      <c r="M188" t="str" s="39">
        <v>Fuera del marco</v>
      </c>
      <c r="N188" t="str" s="39">
        <v>Fuera del marco</v>
      </c>
      <c r="O188" t="str" s="39" cm="1">
        <f t="array" ref="O188">IF(L188="","",_xlfn.IFERROR(INDEX('Datos - Catálogo TIMSS'!$C$5:$C$107,MATCH(L188,'Datos - Catálogo TIMSS'!$A$5:$A$107,0)),"?"))</f>
      </c>
      <c r="P188" t="s" s="35">
        <v>291</v>
      </c>
      <c r="Q188" t="s" s="120">
        <v>2721</v>
      </c>
      <c r="R188" t="s" s="120">
        <v>2722</v>
      </c>
      <c r="S188" s="121" cm="1">
        <f t="array" ref="S188">_xlfn.IFERROR(ISNUMBER(SEARCH("Conocer",$R188))/(ISNUMBER(SEARCH("Conocer",$R188))+ISNUMBER(SEARCH("Aplicar",$R188))+ISNUMBER(SEARCH("Razonar",$R188))),0)</f>
        <v>0.5</v>
      </c>
      <c r="T188" s="121" cm="1">
        <f t="array" ref="T188">_xlfn.IFERROR(ISNUMBER(SEARCH("Aplicar",$R188))/(ISNUMBER(SEARCH("Conocer",$R188))+ISNUMBER(SEARCH("Aplicar",$R188))+ISNUMBER(SEARCH("Razonar",$R188))),0)</f>
        <v>0.5</v>
      </c>
      <c r="U188" s="121" cm="1">
        <f t="array" ref="U188">_xlfn.IFERROR(ISNUMBER(SEARCH("Razonar",$R188))/(ISNUMBER(SEARCH("Conocer",$R188))+ISNUMBER(SEARCH("Aplicar",$R188))+ISNUMBER(SEARCH("Razonar",$R188))),0)</f>
        <v>0</v>
      </c>
      <c r="V188" t="s" s="35">
        <v>77</v>
      </c>
      <c r="W188" t="s" s="35">
        <v>112</v>
      </c>
      <c r="X188" s="36" cm="1">
        <f t="array" ref="X188">IF(OR(_xlfn.IFERROR(INDEX('Datos - Catálogo TIMSS'!$I$5:$I$107,MATCH(K188,'Datos - Catálogo TIMSS'!$A$5:$A$107,0)),"No")="Sí",_xlfn.IFERROR(INDEX('Datos - Catálogo TIMSS'!$I$5:$I$107,MATCH(L188,'Datos - Catálogo TIMSS'!$A$5:$A$107,0)),"No")="Sí"),1,0)</f>
        <v>0</v>
      </c>
      <c r="Y188" s="36" cm="1">
        <f t="array" ref="Y188">IF(_xlfn.IFERROR(INDEX('Datos - Catálogo TIMSS'!$J$5:$J$107,MATCH(K188,'Datos - Catálogo TIMSS'!$A$5:$A$107,0)),"No")="Sí",1,0)</f>
        <v>0</v>
      </c>
      <c r="Z188" s="36" cm="1">
        <f t="array" ref="Z188">IF(_xlfn.IFERROR(INDEX('Datos - Catálogo TIMSS'!$J$5:$J$107,MATCH(L188,'Datos - Catálogo TIMSS'!$A$5:$A$107,0)),"No")="Sí",1,0)</f>
        <v>0</v>
      </c>
      <c r="AA188" t="s" s="35">
        <v>1991</v>
      </c>
      <c r="AB188" s="39"/>
      <c r="AC188" t="str" s="39">
        <v>Ciencias de la Tierra</v>
      </c>
      <c r="AD188" t="s" s="35">
        <v>1859</v>
      </c>
      <c r="AE188" t="str" s="39" cm="1">
        <f t="array" ref="AE188">IF(AD188="","",IF(LEFT(AD188,1)="1","C1",IF(LEFT(AD188,1)="2","C2",IF(LEFT(AD188,1)="3","C3",""))))</f>
        <v>C1</v>
      </c>
      <c r="AF188" t="s" s="35">
        <v>1602</v>
      </c>
      <c r="AG188" t="s" s="35">
        <v>1617</v>
      </c>
      <c r="AH188" t="s" s="35">
        <v>1609</v>
      </c>
      <c r="AI188" t="s" s="35">
        <v>1609</v>
      </c>
      <c r="AJ188" t="s" s="35">
        <v>1602</v>
      </c>
      <c r="AK188" s="39"/>
      <c r="AL188" s="39"/>
      <c r="AM188" s="39"/>
      <c r="AN188" s="39"/>
      <c r="AO188" s="39"/>
      <c r="AP188" s="39"/>
      <c r="AQ188" s="39"/>
      <c r="AR188" s="39"/>
      <c r="AS188" s="39"/>
      <c r="AT188" s="39"/>
      <c r="AU188" s="39"/>
      <c r="AV188" s="39"/>
      <c r="AW188" t="str" s="39" cm="1">
        <f t="array" ref="AW188">AF188&amp;"; "&amp;AG188&amp;"; "&amp;AH188&amp;"; "&amp;AI188&amp;"; "&amp;AJ188</f>
        <v>E1; D1; E4; E4; E1</v>
      </c>
    </row>
    <row r="189" ht="13.65" customHeight="1">
      <c r="A189" t="s" s="35">
        <v>2724</v>
      </c>
      <c r="B189" s="36">
        <v>4</v>
      </c>
      <c r="C189" t="s" s="35">
        <v>1823</v>
      </c>
      <c r="D189" t="s" s="35">
        <v>2513</v>
      </c>
      <c r="E189" t="s" s="35">
        <v>2691</v>
      </c>
      <c r="F189" s="36">
        <v>10</v>
      </c>
      <c r="G189" t="s" s="35">
        <v>2692</v>
      </c>
      <c r="H189" t="s" s="35">
        <v>2725</v>
      </c>
      <c r="I189" t="s" s="120">
        <v>2726</v>
      </c>
      <c r="J189" t="s" s="35">
        <v>1055</v>
      </c>
      <c r="K189" t="s" s="35">
        <v>1152</v>
      </c>
      <c r="L189" s="39"/>
      <c r="M189" t="str" s="39">
        <v>Ciencias de la Tierra</v>
      </c>
      <c r="N189" t="str" s="39">
        <v>La Tierra en el sistema solar</v>
      </c>
      <c r="O189" t="str" s="39" cm="1">
        <f t="array" ref="O189">IF(L189="","",_xlfn.IFERROR(INDEX('Datos - Catálogo TIMSS'!$C$5:$C$107,MATCH(L189,'Datos - Catálogo TIMSS'!$A$5:$A$107,0)),"?"))</f>
      </c>
      <c r="P189" t="s" s="35">
        <v>282</v>
      </c>
      <c r="Q189" t="s" s="120">
        <v>2727</v>
      </c>
      <c r="R189" t="s" s="120">
        <v>2131</v>
      </c>
      <c r="S189" s="121" cm="1">
        <f t="array" ref="S189">_xlfn.IFERROR(ISNUMBER(SEARCH("Conocer",$R189))/(ISNUMBER(SEARCH("Conocer",$R189))+ISNUMBER(SEARCH("Aplicar",$R189))+ISNUMBER(SEARCH("Razonar",$R189))),0)</f>
        <v>0</v>
      </c>
      <c r="T189" s="121" cm="1">
        <f t="array" ref="T189">_xlfn.IFERROR(ISNUMBER(SEARCH("Aplicar",$R189))/(ISNUMBER(SEARCH("Conocer",$R189))+ISNUMBER(SEARCH("Aplicar",$R189))+ISNUMBER(SEARCH("Razonar",$R189))),0)</f>
        <v>1</v>
      </c>
      <c r="U189" s="121" cm="1">
        <f t="array" ref="U189">_xlfn.IFERROR(ISNUMBER(SEARCH("Razonar",$R189))/(ISNUMBER(SEARCH("Conocer",$R189))+ISNUMBER(SEARCH("Aplicar",$R189))+ISNUMBER(SEARCH("Razonar",$R189))),0)</f>
        <v>0</v>
      </c>
      <c r="V189" t="s" s="35">
        <v>77</v>
      </c>
      <c r="W189" t="s" s="35">
        <v>112</v>
      </c>
      <c r="X189" s="36" cm="1">
        <f t="array" ref="X189">IF(OR(_xlfn.IFERROR(INDEX('Datos - Catálogo TIMSS'!$I$5:$I$107,MATCH(K189,'Datos - Catálogo TIMSS'!$A$5:$A$107,0)),"No")="Sí",_xlfn.IFERROR(INDEX('Datos - Catálogo TIMSS'!$I$5:$I$107,MATCH(L189,'Datos - Catálogo TIMSS'!$A$5:$A$107,0)),"No")="Sí"),1,0)</f>
        <v>0</v>
      </c>
      <c r="Y189" s="36" cm="1">
        <f t="array" ref="Y189">IF(_xlfn.IFERROR(INDEX('Datos - Catálogo TIMSS'!$J$5:$J$107,MATCH(K189,'Datos - Catálogo TIMSS'!$A$5:$A$107,0)),"No")="Sí",1,0)</f>
        <v>0</v>
      </c>
      <c r="Z189" s="36" cm="1">
        <f t="array" ref="Z189">IF(_xlfn.IFERROR(INDEX('Datos - Catálogo TIMSS'!$J$5:$J$107,MATCH(L189,'Datos - Catálogo TIMSS'!$A$5:$A$107,0)),"No")="Sí",1,0)</f>
        <v>0</v>
      </c>
      <c r="AA189" t="s" s="35">
        <v>2002</v>
      </c>
      <c r="AB189" s="39"/>
      <c r="AC189" t="str" s="39">
        <v>Ciencias de la Tierra</v>
      </c>
      <c r="AD189" t="s" s="35">
        <v>1834</v>
      </c>
      <c r="AE189" t="str" s="39" cm="1">
        <f t="array" ref="AE189">IF(AD189="","",IF(LEFT(AD189,1)="1","C1",IF(LEFT(AD189,1)="2","C2",IF(LEFT(AD189,1)="3","C3",""))))</f>
        <v>C2</v>
      </c>
      <c r="AF189" t="s" s="35">
        <v>1602</v>
      </c>
      <c r="AG189" t="s" s="35">
        <v>1612</v>
      </c>
      <c r="AH189" t="s" s="35">
        <v>1609</v>
      </c>
      <c r="AI189" t="s" s="35">
        <v>1623</v>
      </c>
      <c r="AJ189" t="s" s="35">
        <v>1615</v>
      </c>
      <c r="AK189" s="39"/>
      <c r="AL189" s="39"/>
      <c r="AM189" s="39"/>
      <c r="AN189" s="39"/>
      <c r="AO189" s="39"/>
      <c r="AP189" s="39"/>
      <c r="AQ189" s="39"/>
      <c r="AR189" s="39"/>
      <c r="AS189" s="39"/>
      <c r="AT189" s="39"/>
      <c r="AU189" s="39"/>
      <c r="AV189" s="39"/>
      <c r="AW189" t="str" s="39" cm="1">
        <f t="array" ref="AW189">AF189&amp;"; "&amp;AG189&amp;"; "&amp;AH189&amp;"; "&amp;AI189&amp;"; "&amp;AJ189</f>
        <v>E1; E5; E4; D4; E6</v>
      </c>
    </row>
    <row r="190" ht="13.65" customHeight="1">
      <c r="A190" t="s" s="35">
        <v>2728</v>
      </c>
      <c r="B190" s="36">
        <v>4</v>
      </c>
      <c r="C190" t="s" s="35">
        <v>1823</v>
      </c>
      <c r="D190" t="s" s="35">
        <v>2513</v>
      </c>
      <c r="E190" t="s" s="35">
        <v>2691</v>
      </c>
      <c r="F190" s="36">
        <v>11</v>
      </c>
      <c r="G190" t="s" s="35">
        <v>2692</v>
      </c>
      <c r="H190" t="s" s="35">
        <v>2729</v>
      </c>
      <c r="I190" t="s" s="120">
        <v>2730</v>
      </c>
      <c r="J190" t="s" s="35">
        <v>1055</v>
      </c>
      <c r="K190" t="s" s="35">
        <v>1152</v>
      </c>
      <c r="L190" s="39"/>
      <c r="M190" t="str" s="39">
        <v>Ciencias de la Tierra</v>
      </c>
      <c r="N190" t="str" s="39">
        <v>La Tierra en el sistema solar</v>
      </c>
      <c r="O190" t="str" s="39" cm="1">
        <f t="array" ref="O190">IF(L190="","",_xlfn.IFERROR(INDEX('Datos - Catálogo TIMSS'!$C$5:$C$107,MATCH(L190,'Datos - Catálogo TIMSS'!$A$5:$A$107,0)),"?"))</f>
      </c>
      <c r="P190" t="s" s="35">
        <v>254</v>
      </c>
      <c r="Q190" t="s" s="120">
        <v>2731</v>
      </c>
      <c r="R190" t="s" s="120">
        <v>2732</v>
      </c>
      <c r="S190" s="121" cm="1">
        <f t="array" ref="S190">_xlfn.IFERROR(ISNUMBER(SEARCH("Conocer",$R190))/(ISNUMBER(SEARCH("Conocer",$R190))+ISNUMBER(SEARCH("Aplicar",$R190))+ISNUMBER(SEARCH("Razonar",$R190))),0)</f>
        <v>0</v>
      </c>
      <c r="T190" s="121" cm="1">
        <f t="array" ref="T190">_xlfn.IFERROR(ISNUMBER(SEARCH("Aplicar",$R190))/(ISNUMBER(SEARCH("Conocer",$R190))+ISNUMBER(SEARCH("Aplicar",$R190))+ISNUMBER(SEARCH("Razonar",$R190))),0)</f>
        <v>0.5</v>
      </c>
      <c r="U190" s="121" cm="1">
        <f t="array" ref="U190">_xlfn.IFERROR(ISNUMBER(SEARCH("Razonar",$R190))/(ISNUMBER(SEARCH("Conocer",$R190))+ISNUMBER(SEARCH("Aplicar",$R190))+ISNUMBER(SEARCH("Razonar",$R190))),0)</f>
        <v>0.5</v>
      </c>
      <c r="V190" t="s" s="35">
        <v>77</v>
      </c>
      <c r="W190" t="s" s="35">
        <v>112</v>
      </c>
      <c r="X190" s="36" cm="1">
        <f t="array" ref="X190">IF(OR(_xlfn.IFERROR(INDEX('Datos - Catálogo TIMSS'!$I$5:$I$107,MATCH(K190,'Datos - Catálogo TIMSS'!$A$5:$A$107,0)),"No")="Sí",_xlfn.IFERROR(INDEX('Datos - Catálogo TIMSS'!$I$5:$I$107,MATCH(L190,'Datos - Catálogo TIMSS'!$A$5:$A$107,0)),"No")="Sí"),1,0)</f>
        <v>0</v>
      </c>
      <c r="Y190" s="36" cm="1">
        <f t="array" ref="Y190">IF(_xlfn.IFERROR(INDEX('Datos - Catálogo TIMSS'!$J$5:$J$107,MATCH(K190,'Datos - Catálogo TIMSS'!$A$5:$A$107,0)),"No")="Sí",1,0)</f>
        <v>0</v>
      </c>
      <c r="Z190" s="36" cm="1">
        <f t="array" ref="Z190">IF(_xlfn.IFERROR(INDEX('Datos - Catálogo TIMSS'!$J$5:$J$107,MATCH(L190,'Datos - Catálogo TIMSS'!$A$5:$A$107,0)),"No")="Sí",1,0)</f>
        <v>0</v>
      </c>
      <c r="AA190" t="s" s="35">
        <v>2002</v>
      </c>
      <c r="AB190" s="39"/>
      <c r="AC190" t="str" s="39">
        <v>Ciencias de la Tierra</v>
      </c>
      <c r="AD190" t="s" s="35">
        <v>1900</v>
      </c>
      <c r="AE190" t="str" s="39" cm="1">
        <f t="array" ref="AE190">IF(AD190="","",IF(LEFT(AD190,1)="1","C1",IF(LEFT(AD190,1)="2","C2",IF(LEFT(AD190,1)="3","C3",""))))</f>
        <v>C3</v>
      </c>
      <c r="AF190" t="s" s="35">
        <v>1602</v>
      </c>
      <c r="AG190" t="s" s="35">
        <v>1617</v>
      </c>
      <c r="AH190" t="s" s="35">
        <v>1605</v>
      </c>
      <c r="AI190" t="s" s="35">
        <v>1625</v>
      </c>
      <c r="AJ190" t="s" s="35">
        <v>1631</v>
      </c>
      <c r="AK190" s="39"/>
      <c r="AL190" s="39"/>
      <c r="AM190" s="39"/>
      <c r="AN190" s="39"/>
      <c r="AO190" s="39"/>
      <c r="AP190" s="39"/>
      <c r="AQ190" s="39"/>
      <c r="AR190" s="39"/>
      <c r="AS190" s="39"/>
      <c r="AT190" s="39"/>
      <c r="AU190" s="39"/>
      <c r="AV190" s="39"/>
      <c r="AW190" t="str" s="39" cm="1">
        <f t="array" ref="AW190">AF190&amp;"; "&amp;AG190&amp;"; "&amp;AH190&amp;"; "&amp;AI190&amp;"; "&amp;AJ190</f>
        <v>E1; D1; E2; I1; I4</v>
      </c>
    </row>
    <row r="191" ht="13.65" customHeight="1">
      <c r="A191" t="s" s="35">
        <v>2734</v>
      </c>
      <c r="B191" s="36">
        <v>4</v>
      </c>
      <c r="C191" t="s" s="35">
        <v>1823</v>
      </c>
      <c r="D191" t="s" s="35">
        <v>2513</v>
      </c>
      <c r="E191" t="s" s="35">
        <v>2691</v>
      </c>
      <c r="F191" s="36">
        <v>12</v>
      </c>
      <c r="G191" t="s" s="35">
        <v>2692</v>
      </c>
      <c r="H191" t="s" s="35">
        <v>2735</v>
      </c>
      <c r="I191" t="s" s="120">
        <v>2736</v>
      </c>
      <c r="J191" t="s" s="35">
        <v>1055</v>
      </c>
      <c r="K191" t="s" s="35">
        <v>1152</v>
      </c>
      <c r="L191" s="39"/>
      <c r="M191" t="str" s="39">
        <v>Ciencias de la Tierra</v>
      </c>
      <c r="N191" t="str" s="39">
        <v>La Tierra en el sistema solar</v>
      </c>
      <c r="O191" t="str" s="39" cm="1">
        <f t="array" ref="O191">IF(L191="","",_xlfn.IFERROR(INDEX('Datos - Catálogo TIMSS'!$C$5:$C$107,MATCH(L191,'Datos - Catálogo TIMSS'!$A$5:$A$107,0)),"?"))</f>
      </c>
      <c r="P191" t="s" s="35">
        <v>282</v>
      </c>
      <c r="Q191" t="s" s="120">
        <v>2737</v>
      </c>
      <c r="R191" t="s" s="120">
        <v>2617</v>
      </c>
      <c r="S191" s="121" cm="1">
        <f t="array" ref="S191">_xlfn.IFERROR(ISNUMBER(SEARCH("Conocer",$R191))/(ISNUMBER(SEARCH("Conocer",$R191))+ISNUMBER(SEARCH("Aplicar",$R191))+ISNUMBER(SEARCH("Razonar",$R191))),0)</f>
        <v>1</v>
      </c>
      <c r="T191" s="121" cm="1">
        <f t="array" ref="T191">_xlfn.IFERROR(ISNUMBER(SEARCH("Aplicar",$R191))/(ISNUMBER(SEARCH("Conocer",$R191))+ISNUMBER(SEARCH("Aplicar",$R191))+ISNUMBER(SEARCH("Razonar",$R191))),0)</f>
        <v>0</v>
      </c>
      <c r="U191" s="121" cm="1">
        <f t="array" ref="U191">_xlfn.IFERROR(ISNUMBER(SEARCH("Razonar",$R191))/(ISNUMBER(SEARCH("Conocer",$R191))+ISNUMBER(SEARCH("Aplicar",$R191))+ISNUMBER(SEARCH("Razonar",$R191))),0)</f>
        <v>0</v>
      </c>
      <c r="V191" t="s" s="35">
        <v>77</v>
      </c>
      <c r="W191" t="s" s="35">
        <v>112</v>
      </c>
      <c r="X191" s="36" cm="1">
        <f t="array" ref="X191">IF(OR(_xlfn.IFERROR(INDEX('Datos - Catálogo TIMSS'!$I$5:$I$107,MATCH(K191,'Datos - Catálogo TIMSS'!$A$5:$A$107,0)),"No")="Sí",_xlfn.IFERROR(INDEX('Datos - Catálogo TIMSS'!$I$5:$I$107,MATCH(L191,'Datos - Catálogo TIMSS'!$A$5:$A$107,0)),"No")="Sí"),1,0)</f>
        <v>0</v>
      </c>
      <c r="Y191" s="36" cm="1">
        <f t="array" ref="Y191">IF(_xlfn.IFERROR(INDEX('Datos - Catálogo TIMSS'!$J$5:$J$107,MATCH(K191,'Datos - Catálogo TIMSS'!$A$5:$A$107,0)),"No")="Sí",1,0)</f>
        <v>0</v>
      </c>
      <c r="Z191" s="36" cm="1">
        <f t="array" ref="Z191">IF(_xlfn.IFERROR(INDEX('Datos - Catálogo TIMSS'!$J$5:$J$107,MATCH(L191,'Datos - Catálogo TIMSS'!$A$5:$A$107,0)),"No")="Sí",1,0)</f>
        <v>0</v>
      </c>
      <c r="AA191" t="s" s="35">
        <v>2002</v>
      </c>
      <c r="AB191" s="39"/>
      <c r="AC191" t="str" s="39">
        <v>Ciencias de la Tierra</v>
      </c>
      <c r="AD191" t="s" s="35">
        <v>1859</v>
      </c>
      <c r="AE191" t="str" s="39" cm="1">
        <f t="array" ref="AE191">IF(AD191="","",IF(LEFT(AD191,1)="1","C1",IF(LEFT(AD191,1)="2","C2",IF(LEFT(AD191,1)="3","C3",""))))</f>
        <v>C1</v>
      </c>
      <c r="AF191" t="s" s="35">
        <v>1602</v>
      </c>
      <c r="AG191" t="s" s="35">
        <v>1617</v>
      </c>
      <c r="AH191" t="s" s="35">
        <v>1602</v>
      </c>
      <c r="AI191" t="s" s="35">
        <v>1623</v>
      </c>
      <c r="AJ191" t="s" s="35">
        <v>1615</v>
      </c>
      <c r="AK191" s="39"/>
      <c r="AL191" s="39"/>
      <c r="AM191" s="39"/>
      <c r="AN191" s="39"/>
      <c r="AO191" s="39"/>
      <c r="AP191" s="39"/>
      <c r="AQ191" s="39"/>
      <c r="AR191" s="39"/>
      <c r="AS191" s="39"/>
      <c r="AT191" s="39"/>
      <c r="AU191" s="39"/>
      <c r="AV191" s="39"/>
      <c r="AW191" t="str" s="39" cm="1">
        <f t="array" ref="AW191">AF191&amp;"; "&amp;AG191&amp;"; "&amp;AH191&amp;"; "&amp;AI191&amp;"; "&amp;AJ191</f>
        <v>E1; D1; E1; D4; E6</v>
      </c>
    </row>
    <row r="192" ht="13.65" customHeight="1">
      <c r="A192" t="s" s="35">
        <v>2738</v>
      </c>
      <c r="B192" s="36">
        <v>4</v>
      </c>
      <c r="C192" t="s" s="35">
        <v>1823</v>
      </c>
      <c r="D192" t="s" s="35">
        <v>2513</v>
      </c>
      <c r="E192" t="s" s="35">
        <v>2691</v>
      </c>
      <c r="F192" s="36">
        <v>13</v>
      </c>
      <c r="G192" t="s" s="35">
        <v>2692</v>
      </c>
      <c r="H192" t="s" s="35">
        <v>2735</v>
      </c>
      <c r="I192" t="s" s="120">
        <v>2739</v>
      </c>
      <c r="J192" t="s" s="35">
        <v>1055</v>
      </c>
      <c r="K192" t="s" s="35">
        <v>1152</v>
      </c>
      <c r="L192" s="39"/>
      <c r="M192" t="str" s="39">
        <v>Ciencias de la Tierra</v>
      </c>
      <c r="N192" t="str" s="39">
        <v>La Tierra en el sistema solar</v>
      </c>
      <c r="O192" t="str" s="39" cm="1">
        <f t="array" ref="O192">IF(L192="","",_xlfn.IFERROR(INDEX('Datos - Catálogo TIMSS'!$C$5:$C$107,MATCH(L192,'Datos - Catálogo TIMSS'!$A$5:$A$107,0)),"?"))</f>
      </c>
      <c r="P192" t="s" s="35">
        <v>282</v>
      </c>
      <c r="Q192" t="s" s="120">
        <v>2740</v>
      </c>
      <c r="R192" t="s" s="120">
        <v>2176</v>
      </c>
      <c r="S192" s="121" cm="1">
        <f t="array" ref="S192">_xlfn.IFERROR(ISNUMBER(SEARCH("Conocer",$R192))/(ISNUMBER(SEARCH("Conocer",$R192))+ISNUMBER(SEARCH("Aplicar",$R192))+ISNUMBER(SEARCH("Razonar",$R192))),0)</f>
        <v>1</v>
      </c>
      <c r="T192" s="121" cm="1">
        <f t="array" ref="T192">_xlfn.IFERROR(ISNUMBER(SEARCH("Aplicar",$R192))/(ISNUMBER(SEARCH("Conocer",$R192))+ISNUMBER(SEARCH("Aplicar",$R192))+ISNUMBER(SEARCH("Razonar",$R192))),0)</f>
        <v>0</v>
      </c>
      <c r="U192" s="121" cm="1">
        <f t="array" ref="U192">_xlfn.IFERROR(ISNUMBER(SEARCH("Razonar",$R192))/(ISNUMBER(SEARCH("Conocer",$R192))+ISNUMBER(SEARCH("Aplicar",$R192))+ISNUMBER(SEARCH("Razonar",$R192))),0)</f>
        <v>0</v>
      </c>
      <c r="V192" t="s" s="35">
        <v>77</v>
      </c>
      <c r="W192" t="s" s="35">
        <v>112</v>
      </c>
      <c r="X192" s="36" cm="1">
        <f t="array" ref="X192">IF(OR(_xlfn.IFERROR(INDEX('Datos - Catálogo TIMSS'!$I$5:$I$107,MATCH(K192,'Datos - Catálogo TIMSS'!$A$5:$A$107,0)),"No")="Sí",_xlfn.IFERROR(INDEX('Datos - Catálogo TIMSS'!$I$5:$I$107,MATCH(L192,'Datos - Catálogo TIMSS'!$A$5:$A$107,0)),"No")="Sí"),1,0)</f>
        <v>0</v>
      </c>
      <c r="Y192" s="36" cm="1">
        <f t="array" ref="Y192">IF(_xlfn.IFERROR(INDEX('Datos - Catálogo TIMSS'!$J$5:$J$107,MATCH(K192,'Datos - Catálogo TIMSS'!$A$5:$A$107,0)),"No")="Sí",1,0)</f>
        <v>0</v>
      </c>
      <c r="Z192" s="36" cm="1">
        <f t="array" ref="Z192">IF(_xlfn.IFERROR(INDEX('Datos - Catálogo TIMSS'!$J$5:$J$107,MATCH(L192,'Datos - Catálogo TIMSS'!$A$5:$A$107,0)),"No")="Sí",1,0)</f>
        <v>0</v>
      </c>
      <c r="AA192" t="s" s="35">
        <v>2002</v>
      </c>
      <c r="AB192" s="39"/>
      <c r="AC192" t="str" s="39">
        <v>Ciencias de la Tierra</v>
      </c>
      <c r="AD192" t="s" s="35">
        <v>1859</v>
      </c>
      <c r="AE192" t="str" s="39" cm="1">
        <f t="array" ref="AE192">IF(AD192="","",IF(LEFT(AD192,1)="1","C1",IF(LEFT(AD192,1)="2","C2",IF(LEFT(AD192,1)="3","C3",""))))</f>
        <v>C1</v>
      </c>
      <c r="AF192" t="s" s="35">
        <v>1602</v>
      </c>
      <c r="AG192" t="s" s="35">
        <v>1617</v>
      </c>
      <c r="AH192" t="s" s="35">
        <v>1602</v>
      </c>
      <c r="AI192" t="s" s="35">
        <v>1623</v>
      </c>
      <c r="AJ192" t="s" s="35">
        <v>1602</v>
      </c>
      <c r="AK192" s="39"/>
      <c r="AL192" s="39"/>
      <c r="AM192" s="39"/>
      <c r="AN192" s="39"/>
      <c r="AO192" s="39"/>
      <c r="AP192" s="39"/>
      <c r="AQ192" s="39"/>
      <c r="AR192" s="39"/>
      <c r="AS192" s="39"/>
      <c r="AT192" s="39"/>
      <c r="AU192" s="39"/>
      <c r="AV192" s="39"/>
      <c r="AW192" t="str" s="39" cm="1">
        <f t="array" ref="AW192">AF192&amp;"; "&amp;AG192&amp;"; "&amp;AH192&amp;"; "&amp;AI192&amp;"; "&amp;AJ192</f>
        <v>E1; D1; E1; D4; E1</v>
      </c>
    </row>
    <row r="193" ht="13.65" customHeight="1">
      <c r="A193" t="s" s="35">
        <v>2741</v>
      </c>
      <c r="B193" s="36">
        <v>4</v>
      </c>
      <c r="C193" t="s" s="35">
        <v>1823</v>
      </c>
      <c r="D193" t="s" s="35">
        <v>2513</v>
      </c>
      <c r="E193" t="s" s="35">
        <v>2691</v>
      </c>
      <c r="F193" s="36">
        <v>14</v>
      </c>
      <c r="G193" t="s" s="35">
        <v>2692</v>
      </c>
      <c r="H193" t="s" s="35">
        <v>2735</v>
      </c>
      <c r="I193" t="s" s="120">
        <v>2742</v>
      </c>
      <c r="J193" t="s" s="35">
        <v>1055</v>
      </c>
      <c r="K193" t="s" s="35">
        <v>1152</v>
      </c>
      <c r="L193" s="39"/>
      <c r="M193" t="str" s="39">
        <v>Ciencias de la Tierra</v>
      </c>
      <c r="N193" t="str" s="39">
        <v>La Tierra en el sistema solar</v>
      </c>
      <c r="O193" t="str" s="39" cm="1">
        <f t="array" ref="O193">IF(L193="","",_xlfn.IFERROR(INDEX('Datos - Catálogo TIMSS'!$C$5:$C$107,MATCH(L193,'Datos - Catálogo TIMSS'!$A$5:$A$107,0)),"?"))</f>
      </c>
      <c r="P193" t="s" s="35">
        <v>254</v>
      </c>
      <c r="Q193" t="s" s="120">
        <v>2743</v>
      </c>
      <c r="R193" t="s" s="120">
        <v>2744</v>
      </c>
      <c r="S193" s="121" cm="1">
        <f t="array" ref="S193">_xlfn.IFERROR(ISNUMBER(SEARCH("Conocer",$R193))/(ISNUMBER(SEARCH("Conocer",$R193))+ISNUMBER(SEARCH("Aplicar",$R193))+ISNUMBER(SEARCH("Razonar",$R193))),0)</f>
        <v>0</v>
      </c>
      <c r="T193" s="121" cm="1">
        <f t="array" ref="T193">_xlfn.IFERROR(ISNUMBER(SEARCH("Aplicar",$R193))/(ISNUMBER(SEARCH("Conocer",$R193))+ISNUMBER(SEARCH("Aplicar",$R193))+ISNUMBER(SEARCH("Razonar",$R193))),0)</f>
        <v>1</v>
      </c>
      <c r="U193" s="121" cm="1">
        <f t="array" ref="U193">_xlfn.IFERROR(ISNUMBER(SEARCH("Razonar",$R193))/(ISNUMBER(SEARCH("Conocer",$R193))+ISNUMBER(SEARCH("Aplicar",$R193))+ISNUMBER(SEARCH("Razonar",$R193))),0)</f>
        <v>0</v>
      </c>
      <c r="V193" t="s" s="35">
        <v>77</v>
      </c>
      <c r="W193" t="s" s="35">
        <v>112</v>
      </c>
      <c r="X193" s="36" cm="1">
        <f t="array" ref="X193">IF(OR(_xlfn.IFERROR(INDEX('Datos - Catálogo TIMSS'!$I$5:$I$107,MATCH(K193,'Datos - Catálogo TIMSS'!$A$5:$A$107,0)),"No")="Sí",_xlfn.IFERROR(INDEX('Datos - Catálogo TIMSS'!$I$5:$I$107,MATCH(L193,'Datos - Catálogo TIMSS'!$A$5:$A$107,0)),"No")="Sí"),1,0)</f>
        <v>0</v>
      </c>
      <c r="Y193" s="36" cm="1">
        <f t="array" ref="Y193">IF(_xlfn.IFERROR(INDEX('Datos - Catálogo TIMSS'!$J$5:$J$107,MATCH(K193,'Datos - Catálogo TIMSS'!$A$5:$A$107,0)),"No")="Sí",1,0)</f>
        <v>0</v>
      </c>
      <c r="Z193" s="36" cm="1">
        <f t="array" ref="Z193">IF(_xlfn.IFERROR(INDEX('Datos - Catálogo TIMSS'!$J$5:$J$107,MATCH(L193,'Datos - Catálogo TIMSS'!$A$5:$A$107,0)),"No")="Sí",1,0)</f>
        <v>0</v>
      </c>
      <c r="AA193" t="s" s="35">
        <v>2002</v>
      </c>
      <c r="AB193" s="39"/>
      <c r="AC193" t="str" s="39">
        <v>Ciencias de la Tierra</v>
      </c>
      <c r="AD193" t="s" s="35">
        <v>1859</v>
      </c>
      <c r="AE193" t="str" s="39" cm="1">
        <f t="array" ref="AE193">IF(AD193="","",IF(LEFT(AD193,1)="1","C1",IF(LEFT(AD193,1)="2","C2",IF(LEFT(AD193,1)="3","C3",""))))</f>
        <v>C1</v>
      </c>
      <c r="AF193" t="s" s="35">
        <v>1602</v>
      </c>
      <c r="AG193" t="s" s="35">
        <v>1617</v>
      </c>
      <c r="AH193" t="s" s="35">
        <v>1609</v>
      </c>
      <c r="AI193" t="s" s="35">
        <v>1609</v>
      </c>
      <c r="AJ193" t="s" s="35">
        <v>1602</v>
      </c>
      <c r="AK193" s="39"/>
      <c r="AL193" s="39"/>
      <c r="AM193" s="39"/>
      <c r="AN193" s="39"/>
      <c r="AO193" s="39"/>
      <c r="AP193" s="39"/>
      <c r="AQ193" s="39"/>
      <c r="AR193" s="39"/>
      <c r="AS193" s="39"/>
      <c r="AT193" s="39"/>
      <c r="AU193" s="39"/>
      <c r="AV193" s="39"/>
      <c r="AW193" t="str" s="39" cm="1">
        <f t="array" ref="AW193">AF193&amp;"; "&amp;AG193&amp;"; "&amp;AH193&amp;"; "&amp;AI193&amp;"; "&amp;AJ193</f>
        <v>E1; D1; E4; E4; E1</v>
      </c>
    </row>
    <row r="194" ht="13.65" customHeight="1">
      <c r="A194" t="s" s="35">
        <v>2745</v>
      </c>
      <c r="B194" s="36">
        <v>4</v>
      </c>
      <c r="C194" t="s" s="35">
        <v>1823</v>
      </c>
      <c r="D194" t="s" s="35">
        <v>2513</v>
      </c>
      <c r="E194" t="s" s="35">
        <v>2746</v>
      </c>
      <c r="F194" s="36">
        <v>3</v>
      </c>
      <c r="G194" t="s" s="35">
        <v>358</v>
      </c>
      <c r="H194" t="s" s="35">
        <v>2747</v>
      </c>
      <c r="I194" t="s" s="120">
        <v>2748</v>
      </c>
      <c r="J194" t="s" s="35">
        <v>1055</v>
      </c>
      <c r="K194" t="s" s="35">
        <v>383</v>
      </c>
      <c r="L194" t="s" s="35">
        <v>346</v>
      </c>
      <c r="M194" t="str" s="39">
        <v>Biología</v>
      </c>
      <c r="N194" t="str" s="39">
        <v>Características y procesos vitales de los organismos</v>
      </c>
      <c r="O194" t="str" s="39" cm="1">
        <f t="array" ref="O194">IF(L194="","",_xlfn.IFERROR(INDEX('Datos - Catálogo TIMSS'!$C$5:$C$107,MATCH(L194,'Datos - Catálogo TIMSS'!$A$5:$A$107,0)),"?"))</f>
        <v>Biología</v>
      </c>
      <c r="P194" t="s" s="35">
        <v>254</v>
      </c>
      <c r="Q194" t="s" s="120">
        <v>2749</v>
      </c>
      <c r="R194" t="s" s="120">
        <v>2750</v>
      </c>
      <c r="S194" s="121" cm="1">
        <f t="array" ref="S194">_xlfn.IFERROR(ISNUMBER(SEARCH("Conocer",$R194))/(ISNUMBER(SEARCH("Conocer",$R194))+ISNUMBER(SEARCH("Aplicar",$R194))+ISNUMBER(SEARCH("Razonar",$R194))),0)</f>
        <v>1</v>
      </c>
      <c r="T194" s="121" cm="1">
        <f t="array" ref="T194">_xlfn.IFERROR(ISNUMBER(SEARCH("Aplicar",$R194))/(ISNUMBER(SEARCH("Conocer",$R194))+ISNUMBER(SEARCH("Aplicar",$R194))+ISNUMBER(SEARCH("Razonar",$R194))),0)</f>
        <v>0</v>
      </c>
      <c r="U194" s="121" cm="1">
        <f t="array" ref="U194">_xlfn.IFERROR(ISNUMBER(SEARCH("Razonar",$R194))/(ISNUMBER(SEARCH("Conocer",$R194))+ISNUMBER(SEARCH("Aplicar",$R194))+ISNUMBER(SEARCH("Razonar",$R194))),0)</f>
        <v>0</v>
      </c>
      <c r="V194" t="s" s="35">
        <v>77</v>
      </c>
      <c r="W194" t="s" s="35">
        <v>112</v>
      </c>
      <c r="X194" s="36" cm="1">
        <f t="array" ref="X194">IF(OR(_xlfn.IFERROR(INDEX('Datos - Catálogo TIMSS'!$I$5:$I$107,MATCH(K194,'Datos - Catálogo TIMSS'!$A$5:$A$107,0)),"No")="Sí",_xlfn.IFERROR(INDEX('Datos - Catálogo TIMSS'!$I$5:$I$107,MATCH(L194,'Datos - Catálogo TIMSS'!$A$5:$A$107,0)),"No")="Sí"),1,0)</f>
        <v>0</v>
      </c>
      <c r="Y194" s="36" cm="1">
        <f t="array" ref="Y194">IF(_xlfn.IFERROR(INDEX('Datos - Catálogo TIMSS'!$J$5:$J$107,MATCH(K194,'Datos - Catálogo TIMSS'!$A$5:$A$107,0)),"No")="Sí",1,0)</f>
        <v>0</v>
      </c>
      <c r="Z194" s="36" cm="1">
        <f t="array" ref="Z194">IF(_xlfn.IFERROR(INDEX('Datos - Catálogo TIMSS'!$J$5:$J$107,MATCH(L194,'Datos - Catálogo TIMSS'!$A$5:$A$107,0)),"No")="Sí",1,0)</f>
        <v>0</v>
      </c>
      <c r="AA194" t="s" s="35">
        <v>2061</v>
      </c>
      <c r="AB194" t="s" s="35">
        <v>2213</v>
      </c>
      <c r="AC194" t="str" s="39">
        <v>Ciencias de la vida</v>
      </c>
      <c r="AD194" t="s" s="35">
        <v>1859</v>
      </c>
      <c r="AE194" t="str" s="39" cm="1">
        <f t="array" ref="AE194">IF(AD194="","",IF(LEFT(AD194,1)="1","C1",IF(LEFT(AD194,1)="2","C2",IF(LEFT(AD194,1)="3","C3",""))))</f>
        <v>C1</v>
      </c>
      <c r="AF194" t="s" s="35">
        <v>1602</v>
      </c>
      <c r="AG194" t="s" s="35">
        <v>1617</v>
      </c>
      <c r="AH194" t="s" s="35">
        <v>1602</v>
      </c>
      <c r="AI194" t="s" s="35">
        <v>1623</v>
      </c>
      <c r="AJ194" t="s" s="35">
        <v>1633</v>
      </c>
      <c r="AK194" s="39"/>
      <c r="AL194" s="39"/>
      <c r="AM194" s="39"/>
      <c r="AN194" s="39"/>
      <c r="AO194" s="39"/>
      <c r="AP194" s="39"/>
      <c r="AQ194" s="39"/>
      <c r="AR194" s="39"/>
      <c r="AS194" s="39"/>
      <c r="AT194" s="39"/>
      <c r="AU194" s="39"/>
      <c r="AV194" s="39"/>
      <c r="AW194" t="str" s="39" cm="1">
        <f t="array" ref="AW194">AF194&amp;"; "&amp;AG194&amp;"; "&amp;AH194&amp;"; "&amp;AI194&amp;"; "&amp;AJ194</f>
        <v>E1; D1; E1; D4; I5</v>
      </c>
    </row>
    <row r="195" ht="13.65" customHeight="1">
      <c r="A195" t="s" s="35">
        <v>2751</v>
      </c>
      <c r="B195" s="36">
        <v>4</v>
      </c>
      <c r="C195" t="s" s="35">
        <v>1823</v>
      </c>
      <c r="D195" t="s" s="35">
        <v>2513</v>
      </c>
      <c r="E195" t="s" s="35">
        <v>2746</v>
      </c>
      <c r="F195" s="36">
        <v>4</v>
      </c>
      <c r="G195" t="s" s="35">
        <v>358</v>
      </c>
      <c r="H195" t="s" s="35">
        <v>2747</v>
      </c>
      <c r="I195" t="s" s="120">
        <v>2752</v>
      </c>
      <c r="J195" t="s" s="35">
        <v>1055</v>
      </c>
      <c r="K195" t="s" s="35">
        <v>383</v>
      </c>
      <c r="L195" s="39"/>
      <c r="M195" t="str" s="39">
        <v>Biología</v>
      </c>
      <c r="N195" t="str" s="39">
        <v>Características y procesos vitales de los organismos</v>
      </c>
      <c r="O195" t="str" s="39" cm="1">
        <f t="array" ref="O195">IF(L195="","",_xlfn.IFERROR(INDEX('Datos - Catálogo TIMSS'!$C$5:$C$107,MATCH(L195,'Datos - Catálogo TIMSS'!$A$5:$A$107,0)),"?"))</f>
      </c>
      <c r="P195" t="s" s="35">
        <v>254</v>
      </c>
      <c r="Q195" t="s" s="120">
        <v>2753</v>
      </c>
      <c r="R195" t="s" s="120">
        <v>2754</v>
      </c>
      <c r="S195" s="121" cm="1">
        <f t="array" ref="S195">_xlfn.IFERROR(ISNUMBER(SEARCH("Conocer",$R195))/(ISNUMBER(SEARCH("Conocer",$R195))+ISNUMBER(SEARCH("Aplicar",$R195))+ISNUMBER(SEARCH("Razonar",$R195))),0)</f>
        <v>0</v>
      </c>
      <c r="T195" s="121" cm="1">
        <f t="array" ref="T195">_xlfn.IFERROR(ISNUMBER(SEARCH("Aplicar",$R195))/(ISNUMBER(SEARCH("Conocer",$R195))+ISNUMBER(SEARCH("Aplicar",$R195))+ISNUMBER(SEARCH("Razonar",$R195))),0)</f>
        <v>0.5</v>
      </c>
      <c r="U195" s="121" cm="1">
        <f t="array" ref="U195">_xlfn.IFERROR(ISNUMBER(SEARCH("Razonar",$R195))/(ISNUMBER(SEARCH("Conocer",$R195))+ISNUMBER(SEARCH("Aplicar",$R195))+ISNUMBER(SEARCH("Razonar",$R195))),0)</f>
        <v>0.5</v>
      </c>
      <c r="V195" t="s" s="35">
        <v>77</v>
      </c>
      <c r="W195" t="s" s="35">
        <v>112</v>
      </c>
      <c r="X195" s="36" cm="1">
        <f t="array" ref="X195">IF(OR(_xlfn.IFERROR(INDEX('Datos - Catálogo TIMSS'!$I$5:$I$107,MATCH(K195,'Datos - Catálogo TIMSS'!$A$5:$A$107,0)),"No")="Sí",_xlfn.IFERROR(INDEX('Datos - Catálogo TIMSS'!$I$5:$I$107,MATCH(L195,'Datos - Catálogo TIMSS'!$A$5:$A$107,0)),"No")="Sí"),1,0)</f>
        <v>0</v>
      </c>
      <c r="Y195" s="36" cm="1">
        <f t="array" ref="Y195">IF(_xlfn.IFERROR(INDEX('Datos - Catálogo TIMSS'!$J$5:$J$107,MATCH(K195,'Datos - Catálogo TIMSS'!$A$5:$A$107,0)),"No")="Sí",1,0)</f>
        <v>0</v>
      </c>
      <c r="Z195" s="36" cm="1">
        <f t="array" ref="Z195">IF(_xlfn.IFERROR(INDEX('Datos - Catálogo TIMSS'!$J$5:$J$107,MATCH(L195,'Datos - Catálogo TIMSS'!$A$5:$A$107,0)),"No")="Sí",1,0)</f>
        <v>0</v>
      </c>
      <c r="AA195" t="s" s="35">
        <v>2061</v>
      </c>
      <c r="AB195" s="39"/>
      <c r="AC195" t="str" s="39">
        <v>Ciencias de la vida</v>
      </c>
      <c r="AD195" t="s" s="35">
        <v>1834</v>
      </c>
      <c r="AE195" t="str" s="39" cm="1">
        <f t="array" ref="AE195">IF(AD195="","",IF(LEFT(AD195,1)="1","C1",IF(LEFT(AD195,1)="2","C2",IF(LEFT(AD195,1)="3","C3",""))))</f>
        <v>C2</v>
      </c>
      <c r="AF195" t="s" s="35">
        <v>1602</v>
      </c>
      <c r="AG195" t="s" s="35">
        <v>1617</v>
      </c>
      <c r="AH195" t="s" s="35">
        <v>1609</v>
      </c>
      <c r="AI195" t="s" s="35">
        <v>1609</v>
      </c>
      <c r="AJ195" t="s" s="35">
        <v>1607</v>
      </c>
      <c r="AK195" s="39"/>
      <c r="AL195" s="39"/>
      <c r="AM195" s="39"/>
      <c r="AN195" s="39"/>
      <c r="AO195" s="39"/>
      <c r="AP195" s="39"/>
      <c r="AQ195" s="39"/>
      <c r="AR195" s="39"/>
      <c r="AS195" s="39"/>
      <c r="AT195" s="39"/>
      <c r="AU195" s="39"/>
      <c r="AV195" s="39"/>
      <c r="AW195" t="str" s="39" cm="1">
        <f t="array" ref="AW195">AF195&amp;"; "&amp;AG195&amp;"; "&amp;AH195&amp;"; "&amp;AI195&amp;"; "&amp;AJ195</f>
        <v>E1; D1; E4; E4; E3</v>
      </c>
    </row>
    <row r="196" ht="13.65" customHeight="1">
      <c r="A196" t="s" s="35">
        <v>2756</v>
      </c>
      <c r="B196" s="36">
        <v>4</v>
      </c>
      <c r="C196" t="s" s="35">
        <v>1823</v>
      </c>
      <c r="D196" t="s" s="35">
        <v>2513</v>
      </c>
      <c r="E196" t="s" s="35">
        <v>2746</v>
      </c>
      <c r="F196" s="36">
        <v>5</v>
      </c>
      <c r="G196" t="s" s="35">
        <v>358</v>
      </c>
      <c r="H196" t="s" s="35">
        <v>2757</v>
      </c>
      <c r="I196" t="s" s="120">
        <v>2758</v>
      </c>
      <c r="J196" t="s" s="35">
        <v>1055</v>
      </c>
      <c r="K196" t="s" s="35">
        <v>383</v>
      </c>
      <c r="L196" t="s" s="35">
        <v>1066</v>
      </c>
      <c r="M196" t="str" s="39">
        <v>Biología</v>
      </c>
      <c r="N196" t="str" s="39">
        <v>Características y procesos vitales de los organismos</v>
      </c>
      <c r="O196" t="str" s="39" cm="1">
        <f t="array" ref="O196">IF(L196="","",_xlfn.IFERROR(INDEX('Datos - Catálogo TIMSS'!$C$5:$C$107,MATCH(L196,'Datos - Catálogo TIMSS'!$A$5:$A$107,0)),"?"))</f>
        <v>Biología</v>
      </c>
      <c r="P196" t="s" s="35">
        <v>282</v>
      </c>
      <c r="Q196" t="s" s="120">
        <v>2759</v>
      </c>
      <c r="R196" t="s" s="120">
        <v>2760</v>
      </c>
      <c r="S196" s="121" cm="1">
        <f t="array" ref="S196">_xlfn.IFERROR(ISNUMBER(SEARCH("Conocer",$R196))/(ISNUMBER(SEARCH("Conocer",$R196))+ISNUMBER(SEARCH("Aplicar",$R196))+ISNUMBER(SEARCH("Razonar",$R196))),0)</f>
        <v>0.5</v>
      </c>
      <c r="T196" s="121" cm="1">
        <f t="array" ref="T196">_xlfn.IFERROR(ISNUMBER(SEARCH("Aplicar",$R196))/(ISNUMBER(SEARCH("Conocer",$R196))+ISNUMBER(SEARCH("Aplicar",$R196))+ISNUMBER(SEARCH("Razonar",$R196))),0)</f>
        <v>0.5</v>
      </c>
      <c r="U196" s="121" cm="1">
        <f t="array" ref="U196">_xlfn.IFERROR(ISNUMBER(SEARCH("Razonar",$R196))/(ISNUMBER(SEARCH("Conocer",$R196))+ISNUMBER(SEARCH("Aplicar",$R196))+ISNUMBER(SEARCH("Razonar",$R196))),0)</f>
        <v>0</v>
      </c>
      <c r="V196" t="s" s="35">
        <v>77</v>
      </c>
      <c r="W196" t="s" s="35">
        <v>112</v>
      </c>
      <c r="X196" s="36" cm="1">
        <f t="array" ref="X196">IF(OR(_xlfn.IFERROR(INDEX('Datos - Catálogo TIMSS'!$I$5:$I$107,MATCH(K196,'Datos - Catálogo TIMSS'!$A$5:$A$107,0)),"No")="Sí",_xlfn.IFERROR(INDEX('Datos - Catálogo TIMSS'!$I$5:$I$107,MATCH(L196,'Datos - Catálogo TIMSS'!$A$5:$A$107,0)),"No")="Sí"),1,0)</f>
        <v>1</v>
      </c>
      <c r="Y196" s="36" cm="1">
        <f t="array" ref="Y196">IF(_xlfn.IFERROR(INDEX('Datos - Catálogo TIMSS'!$J$5:$J$107,MATCH(K196,'Datos - Catálogo TIMSS'!$A$5:$A$107,0)),"No")="Sí",1,0)</f>
        <v>0</v>
      </c>
      <c r="Z196" s="36" cm="1">
        <f t="array" ref="Z196">IF(_xlfn.IFERROR(INDEX('Datos - Catálogo TIMSS'!$J$5:$J$107,MATCH(L196,'Datos - Catálogo TIMSS'!$A$5:$A$107,0)),"No")="Sí",1,0)</f>
        <v>0</v>
      </c>
      <c r="AA196" t="s" s="35">
        <v>2061</v>
      </c>
      <c r="AB196" s="39"/>
      <c r="AC196" t="str" s="39">
        <v>Ciencias de la vida</v>
      </c>
      <c r="AD196" t="s" s="35">
        <v>1859</v>
      </c>
      <c r="AE196" t="str" s="39" cm="1">
        <f t="array" ref="AE196">IF(AD196="","",IF(LEFT(AD196,1)="1","C1",IF(LEFT(AD196,1)="2","C2",IF(LEFT(AD196,1)="3","C3",""))))</f>
        <v>C1</v>
      </c>
      <c r="AF196" t="s" s="35">
        <v>1602</v>
      </c>
      <c r="AG196" t="s" s="35">
        <v>1617</v>
      </c>
      <c r="AH196" t="s" s="35">
        <v>1602</v>
      </c>
      <c r="AI196" t="s" s="35">
        <v>1623</v>
      </c>
      <c r="AJ196" t="s" s="35">
        <v>1633</v>
      </c>
      <c r="AK196" s="39"/>
      <c r="AL196" s="39"/>
      <c r="AM196" s="39"/>
      <c r="AN196" s="39"/>
      <c r="AO196" s="39"/>
      <c r="AP196" s="39"/>
      <c r="AQ196" s="39"/>
      <c r="AR196" s="39"/>
      <c r="AS196" s="39"/>
      <c r="AT196" s="39"/>
      <c r="AU196" s="39"/>
      <c r="AV196" s="39"/>
      <c r="AW196" t="str" s="39" cm="1">
        <f t="array" ref="AW196">AF196&amp;"; "&amp;AG196&amp;"; "&amp;AH196&amp;"; "&amp;AI196&amp;"; "&amp;AJ196</f>
        <v>E1; D1; E1; D4; I5</v>
      </c>
    </row>
    <row r="197" ht="13.65" customHeight="1">
      <c r="A197" t="s" s="35">
        <v>2761</v>
      </c>
      <c r="B197" s="36">
        <v>4</v>
      </c>
      <c r="C197" t="s" s="35">
        <v>1823</v>
      </c>
      <c r="D197" t="s" s="35">
        <v>2513</v>
      </c>
      <c r="E197" t="s" s="35">
        <v>2746</v>
      </c>
      <c r="F197" s="36">
        <v>6</v>
      </c>
      <c r="G197" t="s" s="35">
        <v>358</v>
      </c>
      <c r="H197" t="s" s="35">
        <v>2757</v>
      </c>
      <c r="I197" t="s" s="120">
        <v>2762</v>
      </c>
      <c r="J197" t="s" s="35">
        <v>1055</v>
      </c>
      <c r="K197" t="s" s="35">
        <v>383</v>
      </c>
      <c r="L197" s="39"/>
      <c r="M197" t="str" s="39">
        <v>Biología</v>
      </c>
      <c r="N197" t="str" s="39">
        <v>Características y procesos vitales de los organismos</v>
      </c>
      <c r="O197" t="str" s="39" cm="1">
        <f t="array" ref="O197">IF(L197="","",_xlfn.IFERROR(INDEX('Datos - Catálogo TIMSS'!$C$5:$C$107,MATCH(L197,'Datos - Catálogo TIMSS'!$A$5:$A$107,0)),"?"))</f>
      </c>
      <c r="P197" t="s" s="35">
        <v>254</v>
      </c>
      <c r="Q197" t="s" s="120">
        <v>2763</v>
      </c>
      <c r="R197" t="s" s="120">
        <v>2764</v>
      </c>
      <c r="S197" s="121" cm="1">
        <f t="array" ref="S197">_xlfn.IFERROR(ISNUMBER(SEARCH("Conocer",$R197))/(ISNUMBER(SEARCH("Conocer",$R197))+ISNUMBER(SEARCH("Aplicar",$R197))+ISNUMBER(SEARCH("Razonar",$R197))),0)</f>
        <v>0</v>
      </c>
      <c r="T197" s="121" cm="1">
        <f t="array" ref="T197">_xlfn.IFERROR(ISNUMBER(SEARCH("Aplicar",$R197))/(ISNUMBER(SEARCH("Conocer",$R197))+ISNUMBER(SEARCH("Aplicar",$R197))+ISNUMBER(SEARCH("Razonar",$R197))),0)</f>
        <v>1</v>
      </c>
      <c r="U197" s="121" cm="1">
        <f t="array" ref="U197">_xlfn.IFERROR(ISNUMBER(SEARCH("Razonar",$R197))/(ISNUMBER(SEARCH("Conocer",$R197))+ISNUMBER(SEARCH("Aplicar",$R197))+ISNUMBER(SEARCH("Razonar",$R197))),0)</f>
        <v>0</v>
      </c>
      <c r="V197" t="s" s="35">
        <v>77</v>
      </c>
      <c r="W197" t="s" s="35">
        <v>112</v>
      </c>
      <c r="X197" s="36" cm="1">
        <f t="array" ref="X197">IF(OR(_xlfn.IFERROR(INDEX('Datos - Catálogo TIMSS'!$I$5:$I$107,MATCH(K197,'Datos - Catálogo TIMSS'!$A$5:$A$107,0)),"No")="Sí",_xlfn.IFERROR(INDEX('Datos - Catálogo TIMSS'!$I$5:$I$107,MATCH(L197,'Datos - Catálogo TIMSS'!$A$5:$A$107,0)),"No")="Sí"),1,0)</f>
        <v>0</v>
      </c>
      <c r="Y197" s="36" cm="1">
        <f t="array" ref="Y197">IF(_xlfn.IFERROR(INDEX('Datos - Catálogo TIMSS'!$J$5:$J$107,MATCH(K197,'Datos - Catálogo TIMSS'!$A$5:$A$107,0)),"No")="Sí",1,0)</f>
        <v>0</v>
      </c>
      <c r="Z197" s="36" cm="1">
        <f t="array" ref="Z197">IF(_xlfn.IFERROR(INDEX('Datos - Catálogo TIMSS'!$J$5:$J$107,MATCH(L197,'Datos - Catálogo TIMSS'!$A$5:$A$107,0)),"No")="Sí",1,0)</f>
        <v>0</v>
      </c>
      <c r="AA197" t="s" s="35">
        <v>2061</v>
      </c>
      <c r="AB197" s="39"/>
      <c r="AC197" t="str" s="39">
        <v>Ciencias de la vida</v>
      </c>
      <c r="AD197" t="s" s="35">
        <v>1834</v>
      </c>
      <c r="AE197" t="str" s="39" cm="1">
        <f t="array" ref="AE197">IF(AD197="","",IF(LEFT(AD197,1)="1","C1",IF(LEFT(AD197,1)="2","C2",IF(LEFT(AD197,1)="3","C3",""))))</f>
        <v>C2</v>
      </c>
      <c r="AF197" t="s" s="35">
        <v>1602</v>
      </c>
      <c r="AG197" t="s" s="35">
        <v>1617</v>
      </c>
      <c r="AH197" t="s" s="35">
        <v>1609</v>
      </c>
      <c r="AI197" t="s" s="35">
        <v>1609</v>
      </c>
      <c r="AJ197" t="s" s="35">
        <v>1607</v>
      </c>
      <c r="AK197" s="39"/>
      <c r="AL197" s="39"/>
      <c r="AM197" s="39"/>
      <c r="AN197" s="39"/>
      <c r="AO197" s="39"/>
      <c r="AP197" s="39"/>
      <c r="AQ197" s="39"/>
      <c r="AR197" s="39"/>
      <c r="AS197" s="39"/>
      <c r="AT197" s="39"/>
      <c r="AU197" s="39"/>
      <c r="AV197" s="39"/>
      <c r="AW197" t="str" s="39" cm="1">
        <f t="array" ref="AW197">AF197&amp;"; "&amp;AG197&amp;"; "&amp;AH197&amp;"; "&amp;AI197&amp;"; "&amp;AJ197</f>
        <v>E1; D1; E4; E4; E3</v>
      </c>
    </row>
    <row r="198" ht="13.65" customHeight="1">
      <c r="A198" t="s" s="35">
        <v>2765</v>
      </c>
      <c r="B198" s="36">
        <v>4</v>
      </c>
      <c r="C198" t="s" s="35">
        <v>1823</v>
      </c>
      <c r="D198" t="s" s="35">
        <v>2513</v>
      </c>
      <c r="E198" t="s" s="35">
        <v>2746</v>
      </c>
      <c r="F198" s="36">
        <v>7</v>
      </c>
      <c r="G198" t="s" s="35">
        <v>358</v>
      </c>
      <c r="H198" t="s" s="35">
        <v>2766</v>
      </c>
      <c r="I198" t="s" s="120">
        <v>2767</v>
      </c>
      <c r="J198" t="s" s="35">
        <v>1055</v>
      </c>
      <c r="K198" t="s" s="35">
        <v>383</v>
      </c>
      <c r="L198" s="39"/>
      <c r="M198" t="str" s="39">
        <v>Biología</v>
      </c>
      <c r="N198" t="str" s="39">
        <v>Características y procesos vitales de los organismos</v>
      </c>
      <c r="O198" t="str" s="39" cm="1">
        <f t="array" ref="O198">IF(L198="","",_xlfn.IFERROR(INDEX('Datos - Catálogo TIMSS'!$C$5:$C$107,MATCH(L198,'Datos - Catálogo TIMSS'!$A$5:$A$107,0)),"?"))</f>
      </c>
      <c r="P198" t="s" s="35">
        <v>282</v>
      </c>
      <c r="Q198" t="s" s="120">
        <v>2768</v>
      </c>
      <c r="R198" t="s" s="120">
        <v>2769</v>
      </c>
      <c r="S198" s="121" cm="1">
        <f t="array" ref="S198">_xlfn.IFERROR(ISNUMBER(SEARCH("Conocer",$R198))/(ISNUMBER(SEARCH("Conocer",$R198))+ISNUMBER(SEARCH("Aplicar",$R198))+ISNUMBER(SEARCH("Razonar",$R198))),0)</f>
        <v>0</v>
      </c>
      <c r="T198" s="121" cm="1">
        <f t="array" ref="T198">_xlfn.IFERROR(ISNUMBER(SEARCH("Aplicar",$R198))/(ISNUMBER(SEARCH("Conocer",$R198))+ISNUMBER(SEARCH("Aplicar",$R198))+ISNUMBER(SEARCH("Razonar",$R198))),0)</f>
        <v>0.5</v>
      </c>
      <c r="U198" s="121" cm="1">
        <f t="array" ref="U198">_xlfn.IFERROR(ISNUMBER(SEARCH("Razonar",$R198))/(ISNUMBER(SEARCH("Conocer",$R198))+ISNUMBER(SEARCH("Aplicar",$R198))+ISNUMBER(SEARCH("Razonar",$R198))),0)</f>
        <v>0.5</v>
      </c>
      <c r="V198" t="s" s="35">
        <v>77</v>
      </c>
      <c r="W198" t="s" s="35">
        <v>112</v>
      </c>
      <c r="X198" s="36" cm="1">
        <f t="array" ref="X198">IF(OR(_xlfn.IFERROR(INDEX('Datos - Catálogo TIMSS'!$I$5:$I$107,MATCH(K198,'Datos - Catálogo TIMSS'!$A$5:$A$107,0)),"No")="Sí",_xlfn.IFERROR(INDEX('Datos - Catálogo TIMSS'!$I$5:$I$107,MATCH(L198,'Datos - Catálogo TIMSS'!$A$5:$A$107,0)),"No")="Sí"),1,0)</f>
        <v>0</v>
      </c>
      <c r="Y198" s="36" cm="1">
        <f t="array" ref="Y198">IF(_xlfn.IFERROR(INDEX('Datos - Catálogo TIMSS'!$J$5:$J$107,MATCH(K198,'Datos - Catálogo TIMSS'!$A$5:$A$107,0)),"No")="Sí",1,0)</f>
        <v>0</v>
      </c>
      <c r="Z198" s="36" cm="1">
        <f t="array" ref="Z198">IF(_xlfn.IFERROR(INDEX('Datos - Catálogo TIMSS'!$J$5:$J$107,MATCH(L198,'Datos - Catálogo TIMSS'!$A$5:$A$107,0)),"No")="Sí",1,0)</f>
        <v>0</v>
      </c>
      <c r="AA198" t="s" s="35">
        <v>2061</v>
      </c>
      <c r="AB198" s="39"/>
      <c r="AC198" t="str" s="39">
        <v>Ciencias de la vida</v>
      </c>
      <c r="AD198" t="s" s="35">
        <v>1834</v>
      </c>
      <c r="AE198" t="str" s="39" cm="1">
        <f t="array" ref="AE198">IF(AD198="","",IF(LEFT(AD198,1)="1","C1",IF(LEFT(AD198,1)="2","C2",IF(LEFT(AD198,1)="3","C3",""))))</f>
        <v>C2</v>
      </c>
      <c r="AF198" t="s" s="35">
        <v>1602</v>
      </c>
      <c r="AG198" t="s" s="35">
        <v>1617</v>
      </c>
      <c r="AH198" t="s" s="35">
        <v>1609</v>
      </c>
      <c r="AI198" t="s" s="35">
        <v>1609</v>
      </c>
      <c r="AJ198" t="s" s="35">
        <v>1615</v>
      </c>
      <c r="AK198" s="39"/>
      <c r="AL198" s="39"/>
      <c r="AM198" s="39"/>
      <c r="AN198" s="39"/>
      <c r="AO198" s="39"/>
      <c r="AP198" s="39"/>
      <c r="AQ198" s="39"/>
      <c r="AR198" s="39"/>
      <c r="AS198" s="39"/>
      <c r="AT198" s="39"/>
      <c r="AU198" s="39"/>
      <c r="AV198" s="39"/>
      <c r="AW198" t="str" s="39" cm="1">
        <f t="array" ref="AW198">AF198&amp;"; "&amp;AG198&amp;"; "&amp;AH198&amp;"; "&amp;AI198&amp;"; "&amp;AJ198</f>
        <v>E1; D1; E4; E4; E6</v>
      </c>
    </row>
    <row r="199" ht="13.65" customHeight="1">
      <c r="A199" t="s" s="35">
        <v>2770</v>
      </c>
      <c r="B199" s="36">
        <v>4</v>
      </c>
      <c r="C199" t="s" s="35">
        <v>1823</v>
      </c>
      <c r="D199" t="s" s="35">
        <v>2513</v>
      </c>
      <c r="E199" t="s" s="35">
        <v>2746</v>
      </c>
      <c r="F199" s="36">
        <v>8</v>
      </c>
      <c r="G199" t="s" s="35">
        <v>358</v>
      </c>
      <c r="H199" t="s" s="35">
        <v>2766</v>
      </c>
      <c r="I199" t="s" s="120">
        <v>2771</v>
      </c>
      <c r="J199" t="s" s="35">
        <v>1055</v>
      </c>
      <c r="K199" t="s" s="35">
        <v>383</v>
      </c>
      <c r="L199" t="s" s="35">
        <v>1066</v>
      </c>
      <c r="M199" t="str" s="39">
        <v>Biología</v>
      </c>
      <c r="N199" t="str" s="39">
        <v>Características y procesos vitales de los organismos</v>
      </c>
      <c r="O199" t="str" s="39" cm="1">
        <f t="array" ref="O199">IF(L199="","",_xlfn.IFERROR(INDEX('Datos - Catálogo TIMSS'!$C$5:$C$107,MATCH(L199,'Datos - Catálogo TIMSS'!$A$5:$A$107,0)),"?"))</f>
        <v>Biología</v>
      </c>
      <c r="P199" t="s" s="35">
        <v>282</v>
      </c>
      <c r="Q199" t="s" s="120">
        <v>2772</v>
      </c>
      <c r="R199" t="s" s="120">
        <v>2760</v>
      </c>
      <c r="S199" s="121" cm="1">
        <f t="array" ref="S199">_xlfn.IFERROR(ISNUMBER(SEARCH("Conocer",$R199))/(ISNUMBER(SEARCH("Conocer",$R199))+ISNUMBER(SEARCH("Aplicar",$R199))+ISNUMBER(SEARCH("Razonar",$R199))),0)</f>
        <v>0.5</v>
      </c>
      <c r="T199" s="121" cm="1">
        <f t="array" ref="T199">_xlfn.IFERROR(ISNUMBER(SEARCH("Aplicar",$R199))/(ISNUMBER(SEARCH("Conocer",$R199))+ISNUMBER(SEARCH("Aplicar",$R199))+ISNUMBER(SEARCH("Razonar",$R199))),0)</f>
        <v>0.5</v>
      </c>
      <c r="U199" s="121" cm="1">
        <f t="array" ref="U199">_xlfn.IFERROR(ISNUMBER(SEARCH("Razonar",$R199))/(ISNUMBER(SEARCH("Conocer",$R199))+ISNUMBER(SEARCH("Aplicar",$R199))+ISNUMBER(SEARCH("Razonar",$R199))),0)</f>
        <v>0</v>
      </c>
      <c r="V199" t="s" s="35">
        <v>77</v>
      </c>
      <c r="W199" t="s" s="35">
        <v>112</v>
      </c>
      <c r="X199" s="36" cm="1">
        <f t="array" ref="X199">IF(OR(_xlfn.IFERROR(INDEX('Datos - Catálogo TIMSS'!$I$5:$I$107,MATCH(K199,'Datos - Catálogo TIMSS'!$A$5:$A$107,0)),"No")="Sí",_xlfn.IFERROR(INDEX('Datos - Catálogo TIMSS'!$I$5:$I$107,MATCH(L199,'Datos - Catálogo TIMSS'!$A$5:$A$107,0)),"No")="Sí"),1,0)</f>
        <v>1</v>
      </c>
      <c r="Y199" s="36" cm="1">
        <f t="array" ref="Y199">IF(_xlfn.IFERROR(INDEX('Datos - Catálogo TIMSS'!$J$5:$J$107,MATCH(K199,'Datos - Catálogo TIMSS'!$A$5:$A$107,0)),"No")="Sí",1,0)</f>
        <v>0</v>
      </c>
      <c r="Z199" s="36" cm="1">
        <f t="array" ref="Z199">IF(_xlfn.IFERROR(INDEX('Datos - Catálogo TIMSS'!$J$5:$J$107,MATCH(L199,'Datos - Catálogo TIMSS'!$A$5:$A$107,0)),"No")="Sí",1,0)</f>
        <v>0</v>
      </c>
      <c r="AA199" t="s" s="35">
        <v>2061</v>
      </c>
      <c r="AB199" s="39"/>
      <c r="AC199" t="str" s="39">
        <v>Ciencias de la vida</v>
      </c>
      <c r="AD199" t="s" s="35">
        <v>1859</v>
      </c>
      <c r="AE199" t="str" s="39" cm="1">
        <f t="array" ref="AE199">IF(AD199="","",IF(LEFT(AD199,1)="1","C1",IF(LEFT(AD199,1)="2","C2",IF(LEFT(AD199,1)="3","C3",""))))</f>
        <v>C1</v>
      </c>
      <c r="AF199" t="s" s="35">
        <v>1602</v>
      </c>
      <c r="AG199" t="s" s="35">
        <v>1612</v>
      </c>
      <c r="AH199" t="s" s="35">
        <v>1602</v>
      </c>
      <c r="AI199" t="s" s="35">
        <v>1623</v>
      </c>
      <c r="AJ199" t="s" s="35">
        <v>1633</v>
      </c>
      <c r="AK199" s="39"/>
      <c r="AL199" s="39"/>
      <c r="AM199" s="39"/>
      <c r="AN199" s="39"/>
      <c r="AO199" s="39"/>
      <c r="AP199" s="39"/>
      <c r="AQ199" s="39"/>
      <c r="AR199" s="39"/>
      <c r="AS199" s="39"/>
      <c r="AT199" s="39"/>
      <c r="AU199" s="39"/>
      <c r="AV199" s="39"/>
      <c r="AW199" t="str" s="39" cm="1">
        <f t="array" ref="AW199">AF199&amp;"; "&amp;AG199&amp;"; "&amp;AH199&amp;"; "&amp;AI199&amp;"; "&amp;AJ199</f>
        <v>E1; E5; E1; D4; I5</v>
      </c>
    </row>
    <row r="200" ht="13.65" customHeight="1">
      <c r="A200" t="s" s="35">
        <v>2774</v>
      </c>
      <c r="B200" s="36">
        <v>4</v>
      </c>
      <c r="C200" t="s" s="35">
        <v>1823</v>
      </c>
      <c r="D200" t="s" s="35">
        <v>2513</v>
      </c>
      <c r="E200" t="s" s="35">
        <v>2746</v>
      </c>
      <c r="F200" s="36">
        <v>9</v>
      </c>
      <c r="G200" t="s" s="35">
        <v>358</v>
      </c>
      <c r="H200" t="s" s="35">
        <v>2766</v>
      </c>
      <c r="I200" t="s" s="120">
        <v>2775</v>
      </c>
      <c r="J200" t="s" s="35">
        <v>1055</v>
      </c>
      <c r="K200" t="s" s="35">
        <v>383</v>
      </c>
      <c r="L200" s="39"/>
      <c r="M200" t="str" s="39">
        <v>Biología</v>
      </c>
      <c r="N200" t="str" s="39">
        <v>Características y procesos vitales de los organismos</v>
      </c>
      <c r="O200" t="str" s="39" cm="1">
        <f t="array" ref="O200">IF(L200="","",_xlfn.IFERROR(INDEX('Datos - Catálogo TIMSS'!$C$5:$C$107,MATCH(L200,'Datos - Catálogo TIMSS'!$A$5:$A$107,0)),"?"))</f>
      </c>
      <c r="P200" t="s" s="35">
        <v>282</v>
      </c>
      <c r="Q200" t="s" s="120">
        <v>2776</v>
      </c>
      <c r="R200" t="s" s="120">
        <v>2777</v>
      </c>
      <c r="S200" s="121" cm="1">
        <f t="array" ref="S200">_xlfn.IFERROR(ISNUMBER(SEARCH("Conocer",$R200))/(ISNUMBER(SEARCH("Conocer",$R200))+ISNUMBER(SEARCH("Aplicar",$R200))+ISNUMBER(SEARCH("Razonar",$R200))),0)</f>
        <v>0</v>
      </c>
      <c r="T200" s="121" cm="1">
        <f t="array" ref="T200">_xlfn.IFERROR(ISNUMBER(SEARCH("Aplicar",$R200))/(ISNUMBER(SEARCH("Conocer",$R200))+ISNUMBER(SEARCH("Aplicar",$R200))+ISNUMBER(SEARCH("Razonar",$R200))),0)</f>
        <v>1</v>
      </c>
      <c r="U200" s="121" cm="1">
        <f t="array" ref="U200">_xlfn.IFERROR(ISNUMBER(SEARCH("Razonar",$R200))/(ISNUMBER(SEARCH("Conocer",$R200))+ISNUMBER(SEARCH("Aplicar",$R200))+ISNUMBER(SEARCH("Razonar",$R200))),0)</f>
        <v>0</v>
      </c>
      <c r="V200" t="s" s="35">
        <v>77</v>
      </c>
      <c r="W200" t="s" s="35">
        <v>112</v>
      </c>
      <c r="X200" s="36" cm="1">
        <f t="array" ref="X200">IF(OR(_xlfn.IFERROR(INDEX('Datos - Catálogo TIMSS'!$I$5:$I$107,MATCH(K200,'Datos - Catálogo TIMSS'!$A$5:$A$107,0)),"No")="Sí",_xlfn.IFERROR(INDEX('Datos - Catálogo TIMSS'!$I$5:$I$107,MATCH(L200,'Datos - Catálogo TIMSS'!$A$5:$A$107,0)),"No")="Sí"),1,0)</f>
        <v>0</v>
      </c>
      <c r="Y200" s="36" cm="1">
        <f t="array" ref="Y200">IF(_xlfn.IFERROR(INDEX('Datos - Catálogo TIMSS'!$J$5:$J$107,MATCH(K200,'Datos - Catálogo TIMSS'!$A$5:$A$107,0)),"No")="Sí",1,0)</f>
        <v>0</v>
      </c>
      <c r="Z200" s="36" cm="1">
        <f t="array" ref="Z200">IF(_xlfn.IFERROR(INDEX('Datos - Catálogo TIMSS'!$J$5:$J$107,MATCH(L200,'Datos - Catálogo TIMSS'!$A$5:$A$107,0)),"No")="Sí",1,0)</f>
        <v>0</v>
      </c>
      <c r="AA200" t="s" s="35">
        <v>2061</v>
      </c>
      <c r="AB200" s="39"/>
      <c r="AC200" t="str" s="39">
        <v>Ciencias de la vida</v>
      </c>
      <c r="AD200" t="s" s="35">
        <v>1859</v>
      </c>
      <c r="AE200" t="str" s="39" cm="1">
        <f t="array" ref="AE200">IF(AD200="","",IF(LEFT(AD200,1)="1","C1",IF(LEFT(AD200,1)="2","C2",IF(LEFT(AD200,1)="3","C3",""))))</f>
        <v>C1</v>
      </c>
      <c r="AF200" t="s" s="35">
        <v>1602</v>
      </c>
      <c r="AG200" t="s" s="35">
        <v>1617</v>
      </c>
      <c r="AH200" t="s" s="35">
        <v>1609</v>
      </c>
      <c r="AI200" t="s" s="35">
        <v>1623</v>
      </c>
      <c r="AJ200" t="s" s="35">
        <v>1602</v>
      </c>
      <c r="AK200" s="39"/>
      <c r="AL200" s="39"/>
      <c r="AM200" s="39"/>
      <c r="AN200" s="39"/>
      <c r="AO200" s="39"/>
      <c r="AP200" s="39"/>
      <c r="AQ200" s="39"/>
      <c r="AR200" s="39"/>
      <c r="AS200" s="39"/>
      <c r="AT200" s="39"/>
      <c r="AU200" s="39"/>
      <c r="AV200" s="39"/>
      <c r="AW200" t="str" s="39" cm="1">
        <f t="array" ref="AW200">AF200&amp;"; "&amp;AG200&amp;"; "&amp;AH200&amp;"; "&amp;AI200&amp;"; "&amp;AJ200</f>
        <v>E1; D1; E4; D4; E1</v>
      </c>
    </row>
    <row r="201" ht="13.65" customHeight="1">
      <c r="A201" t="s" s="35">
        <v>2778</v>
      </c>
      <c r="B201" s="36">
        <v>4</v>
      </c>
      <c r="C201" t="s" s="35">
        <v>1823</v>
      </c>
      <c r="D201" t="s" s="35">
        <v>2513</v>
      </c>
      <c r="E201" t="s" s="35">
        <v>2746</v>
      </c>
      <c r="F201" s="36">
        <v>10</v>
      </c>
      <c r="G201" t="s" s="35">
        <v>358</v>
      </c>
      <c r="H201" t="s" s="35">
        <v>2779</v>
      </c>
      <c r="I201" t="s" s="120">
        <v>2780</v>
      </c>
      <c r="J201" t="s" s="35">
        <v>1055</v>
      </c>
      <c r="K201" t="s" s="35">
        <v>383</v>
      </c>
      <c r="L201" s="39"/>
      <c r="M201" t="str" s="39">
        <v>Biología</v>
      </c>
      <c r="N201" t="str" s="39">
        <v>Características y procesos vitales de los organismos</v>
      </c>
      <c r="O201" t="str" s="39" cm="1">
        <f t="array" ref="O201">IF(L201="","",_xlfn.IFERROR(INDEX('Datos - Catálogo TIMSS'!$C$5:$C$107,MATCH(L201,'Datos - Catálogo TIMSS'!$A$5:$A$107,0)),"?"))</f>
      </c>
      <c r="P201" t="s" s="35">
        <v>282</v>
      </c>
      <c r="Q201" t="s" s="120">
        <v>2781</v>
      </c>
      <c r="R201" t="s" s="120">
        <v>2131</v>
      </c>
      <c r="S201" s="121" cm="1">
        <f t="array" ref="S201">_xlfn.IFERROR(ISNUMBER(SEARCH("Conocer",$R201))/(ISNUMBER(SEARCH("Conocer",$R201))+ISNUMBER(SEARCH("Aplicar",$R201))+ISNUMBER(SEARCH("Razonar",$R201))),0)</f>
        <v>0</v>
      </c>
      <c r="T201" s="121" cm="1">
        <f t="array" ref="T201">_xlfn.IFERROR(ISNUMBER(SEARCH("Aplicar",$R201))/(ISNUMBER(SEARCH("Conocer",$R201))+ISNUMBER(SEARCH("Aplicar",$R201))+ISNUMBER(SEARCH("Razonar",$R201))),0)</f>
        <v>1</v>
      </c>
      <c r="U201" s="121" cm="1">
        <f t="array" ref="U201">_xlfn.IFERROR(ISNUMBER(SEARCH("Razonar",$R201))/(ISNUMBER(SEARCH("Conocer",$R201))+ISNUMBER(SEARCH("Aplicar",$R201))+ISNUMBER(SEARCH("Razonar",$R201))),0)</f>
        <v>0</v>
      </c>
      <c r="V201" t="s" s="35">
        <v>77</v>
      </c>
      <c r="W201" t="s" s="35">
        <v>112</v>
      </c>
      <c r="X201" s="36" cm="1">
        <f t="array" ref="X201">IF(OR(_xlfn.IFERROR(INDEX('Datos - Catálogo TIMSS'!$I$5:$I$107,MATCH(K201,'Datos - Catálogo TIMSS'!$A$5:$A$107,0)),"No")="Sí",_xlfn.IFERROR(INDEX('Datos - Catálogo TIMSS'!$I$5:$I$107,MATCH(L201,'Datos - Catálogo TIMSS'!$A$5:$A$107,0)),"No")="Sí"),1,0)</f>
        <v>0</v>
      </c>
      <c r="Y201" s="36" cm="1">
        <f t="array" ref="Y201">IF(_xlfn.IFERROR(INDEX('Datos - Catálogo TIMSS'!$J$5:$J$107,MATCH(K201,'Datos - Catálogo TIMSS'!$A$5:$A$107,0)),"No")="Sí",1,0)</f>
        <v>0</v>
      </c>
      <c r="Z201" s="36" cm="1">
        <f t="array" ref="Z201">IF(_xlfn.IFERROR(INDEX('Datos - Catálogo TIMSS'!$J$5:$J$107,MATCH(L201,'Datos - Catálogo TIMSS'!$A$5:$A$107,0)),"No")="Sí",1,0)</f>
        <v>0</v>
      </c>
      <c r="AA201" t="s" s="35">
        <v>2061</v>
      </c>
      <c r="AB201" s="39"/>
      <c r="AC201" t="str" s="39">
        <v>Ciencias de la vida</v>
      </c>
      <c r="AD201" t="s" s="35">
        <v>1834</v>
      </c>
      <c r="AE201" t="str" s="39" cm="1">
        <f t="array" ref="AE201">IF(AD201="","",IF(LEFT(AD201,1)="1","C1",IF(LEFT(AD201,1)="2","C2",IF(LEFT(AD201,1)="3","C3",""))))</f>
        <v>C2</v>
      </c>
      <c r="AF201" t="s" s="35">
        <v>1602</v>
      </c>
      <c r="AG201" t="s" s="35">
        <v>1617</v>
      </c>
      <c r="AH201" t="s" s="35">
        <v>1609</v>
      </c>
      <c r="AI201" t="s" s="35">
        <v>1609</v>
      </c>
      <c r="AJ201" t="s" s="35">
        <v>1602</v>
      </c>
      <c r="AK201" s="39"/>
      <c r="AL201" s="39"/>
      <c r="AM201" s="39"/>
      <c r="AN201" s="39"/>
      <c r="AO201" s="39"/>
      <c r="AP201" s="39"/>
      <c r="AQ201" s="39"/>
      <c r="AR201" s="39"/>
      <c r="AS201" s="39"/>
      <c r="AT201" s="39"/>
      <c r="AU201" s="39"/>
      <c r="AV201" s="39"/>
      <c r="AW201" t="str" s="39" cm="1">
        <f t="array" ref="AW201">AF201&amp;"; "&amp;AG201&amp;"; "&amp;AH201&amp;"; "&amp;AI201&amp;"; "&amp;AJ201</f>
        <v>E1; D1; E4; E4; E1</v>
      </c>
    </row>
    <row r="202" ht="13.65" customHeight="1">
      <c r="A202" t="s" s="35">
        <v>2782</v>
      </c>
      <c r="B202" s="36">
        <v>4</v>
      </c>
      <c r="C202" t="s" s="35">
        <v>1823</v>
      </c>
      <c r="D202" t="s" s="35">
        <v>2513</v>
      </c>
      <c r="E202" t="s" s="35">
        <v>2746</v>
      </c>
      <c r="F202" s="36">
        <v>11</v>
      </c>
      <c r="G202" t="s" s="35">
        <v>358</v>
      </c>
      <c r="H202" t="s" s="35">
        <v>2779</v>
      </c>
      <c r="I202" t="s" s="120">
        <v>2783</v>
      </c>
      <c r="J202" t="s" s="35">
        <v>1055</v>
      </c>
      <c r="K202" t="s" s="35">
        <v>346</v>
      </c>
      <c r="L202" t="s" s="35">
        <v>383</v>
      </c>
      <c r="M202" t="str" s="39">
        <v>Biología</v>
      </c>
      <c r="N202" t="str" s="39">
        <v>Salud humana</v>
      </c>
      <c r="O202" t="str" s="39" cm="1">
        <f t="array" ref="O202">IF(L202="","",_xlfn.IFERROR(INDEX('Datos - Catálogo TIMSS'!$C$5:$C$107,MATCH(L202,'Datos - Catálogo TIMSS'!$A$5:$A$107,0)),"?"))</f>
        <v>Biología</v>
      </c>
      <c r="P202" t="s" s="35">
        <v>282</v>
      </c>
      <c r="Q202" t="s" s="120">
        <v>2784</v>
      </c>
      <c r="R202" t="s" s="120">
        <v>2785</v>
      </c>
      <c r="S202" s="121" cm="1">
        <f t="array" ref="S202">_xlfn.IFERROR(ISNUMBER(SEARCH("Conocer",$R202))/(ISNUMBER(SEARCH("Conocer",$R202))+ISNUMBER(SEARCH("Aplicar",$R202))+ISNUMBER(SEARCH("Razonar",$R202))),0)</f>
        <v>0</v>
      </c>
      <c r="T202" s="121" cm="1">
        <f t="array" ref="T202">_xlfn.IFERROR(ISNUMBER(SEARCH("Aplicar",$R202))/(ISNUMBER(SEARCH("Conocer",$R202))+ISNUMBER(SEARCH("Aplicar",$R202))+ISNUMBER(SEARCH("Razonar",$R202))),0)</f>
        <v>0.5</v>
      </c>
      <c r="U202" s="121" cm="1">
        <f t="array" ref="U202">_xlfn.IFERROR(ISNUMBER(SEARCH("Razonar",$R202))/(ISNUMBER(SEARCH("Conocer",$R202))+ISNUMBER(SEARCH("Aplicar",$R202))+ISNUMBER(SEARCH("Razonar",$R202))),0)</f>
        <v>0.5</v>
      </c>
      <c r="V202" t="s" s="35">
        <v>77</v>
      </c>
      <c r="W202" t="s" s="35">
        <v>112</v>
      </c>
      <c r="X202" s="36" cm="1">
        <f t="array" ref="X202">IF(OR(_xlfn.IFERROR(INDEX('Datos - Catálogo TIMSS'!$I$5:$I$107,MATCH(K202,'Datos - Catálogo TIMSS'!$A$5:$A$107,0)),"No")="Sí",_xlfn.IFERROR(INDEX('Datos - Catálogo TIMSS'!$I$5:$I$107,MATCH(L202,'Datos - Catálogo TIMSS'!$A$5:$A$107,0)),"No")="Sí"),1,0)</f>
        <v>0</v>
      </c>
      <c r="Y202" s="36" cm="1">
        <f t="array" ref="Y202">IF(_xlfn.IFERROR(INDEX('Datos - Catálogo TIMSS'!$J$5:$J$107,MATCH(K202,'Datos - Catálogo TIMSS'!$A$5:$A$107,0)),"No")="Sí",1,0)</f>
        <v>0</v>
      </c>
      <c r="Z202" s="36" cm="1">
        <f t="array" ref="Z202">IF(_xlfn.IFERROR(INDEX('Datos - Catálogo TIMSS'!$J$5:$J$107,MATCH(L202,'Datos - Catálogo TIMSS'!$A$5:$A$107,0)),"No")="Sí",1,0)</f>
        <v>0</v>
      </c>
      <c r="AA202" t="s" s="35">
        <v>2213</v>
      </c>
      <c r="AB202" t="s" s="35">
        <v>2061</v>
      </c>
      <c r="AC202" t="str" s="39">
        <v>Ciencias de la vida</v>
      </c>
      <c r="AD202" t="s" s="35">
        <v>1900</v>
      </c>
      <c r="AE202" t="str" s="39" cm="1">
        <f t="array" ref="AE202">IF(AD202="","",IF(LEFT(AD202,1)="1","C1",IF(LEFT(AD202,1)="2","C2",IF(LEFT(AD202,1)="3","C3",""))))</f>
        <v>C3</v>
      </c>
      <c r="AF202" t="s" s="35">
        <v>1602</v>
      </c>
      <c r="AG202" t="s" s="35">
        <v>1617</v>
      </c>
      <c r="AH202" t="s" s="35">
        <v>1602</v>
      </c>
      <c r="AI202" t="s" s="35">
        <v>1627</v>
      </c>
      <c r="AJ202" t="s" s="35">
        <v>1633</v>
      </c>
      <c r="AK202" s="39"/>
      <c r="AL202" s="39"/>
      <c r="AM202" s="39"/>
      <c r="AN202" s="39"/>
      <c r="AO202" s="39"/>
      <c r="AP202" s="39"/>
      <c r="AQ202" s="39"/>
      <c r="AR202" s="39"/>
      <c r="AS202" s="39"/>
      <c r="AT202" s="39"/>
      <c r="AU202" s="39"/>
      <c r="AV202" s="39"/>
      <c r="AW202" t="str" s="39" cm="1">
        <f t="array" ref="AW202">AF202&amp;"; "&amp;AG202&amp;"; "&amp;AH202&amp;"; "&amp;AI202&amp;"; "&amp;AJ202</f>
        <v>E1; D1; E1; I2; I5</v>
      </c>
    </row>
    <row r="203" ht="13.65" customHeight="1">
      <c r="A203" t="s" s="35">
        <v>2786</v>
      </c>
      <c r="B203" s="36">
        <v>4</v>
      </c>
      <c r="C203" t="s" s="35">
        <v>1823</v>
      </c>
      <c r="D203" t="s" s="35">
        <v>2513</v>
      </c>
      <c r="E203" t="s" s="35">
        <v>2787</v>
      </c>
      <c r="F203" s="36">
        <v>3</v>
      </c>
      <c r="G203" t="s" s="35">
        <v>377</v>
      </c>
      <c r="H203" t="s" s="35">
        <v>2788</v>
      </c>
      <c r="I203" t="s" s="120">
        <v>2789</v>
      </c>
      <c r="J203" t="s" s="35">
        <v>1055</v>
      </c>
      <c r="K203" t="s" s="35">
        <v>383</v>
      </c>
      <c r="L203" s="39"/>
      <c r="M203" t="str" s="39">
        <v>Biología</v>
      </c>
      <c r="N203" t="str" s="39">
        <v>Características y procesos vitales de los organismos</v>
      </c>
      <c r="O203" t="str" s="39" cm="1">
        <f t="array" ref="O203">IF(L203="","",_xlfn.IFERROR(INDEX('Datos - Catálogo TIMSS'!$C$5:$C$107,MATCH(L203,'Datos - Catálogo TIMSS'!$A$5:$A$107,0)),"?"))</f>
      </c>
      <c r="P203" t="s" s="35">
        <v>254</v>
      </c>
      <c r="Q203" t="s" s="120">
        <v>2790</v>
      </c>
      <c r="R203" t="s" s="120">
        <v>2389</v>
      </c>
      <c r="S203" s="121" cm="1">
        <f t="array" ref="S203">_xlfn.IFERROR(ISNUMBER(SEARCH("Conocer",$R203))/(ISNUMBER(SEARCH("Conocer",$R203))+ISNUMBER(SEARCH("Aplicar",$R203))+ISNUMBER(SEARCH("Razonar",$R203))),0)</f>
        <v>1</v>
      </c>
      <c r="T203" s="121" cm="1">
        <f t="array" ref="T203">_xlfn.IFERROR(ISNUMBER(SEARCH("Aplicar",$R203))/(ISNUMBER(SEARCH("Conocer",$R203))+ISNUMBER(SEARCH("Aplicar",$R203))+ISNUMBER(SEARCH("Razonar",$R203))),0)</f>
        <v>0</v>
      </c>
      <c r="U203" s="121" cm="1">
        <f t="array" ref="U203">_xlfn.IFERROR(ISNUMBER(SEARCH("Razonar",$R203))/(ISNUMBER(SEARCH("Conocer",$R203))+ISNUMBER(SEARCH("Aplicar",$R203))+ISNUMBER(SEARCH("Razonar",$R203))),0)</f>
        <v>0</v>
      </c>
      <c r="V203" t="s" s="35">
        <v>77</v>
      </c>
      <c r="W203" t="s" s="35">
        <v>112</v>
      </c>
      <c r="X203" s="36" cm="1">
        <f t="array" ref="X203">IF(OR(_xlfn.IFERROR(INDEX('Datos - Catálogo TIMSS'!$I$5:$I$107,MATCH(K203,'Datos - Catálogo TIMSS'!$A$5:$A$107,0)),"No")="Sí",_xlfn.IFERROR(INDEX('Datos - Catálogo TIMSS'!$I$5:$I$107,MATCH(L203,'Datos - Catálogo TIMSS'!$A$5:$A$107,0)),"No")="Sí"),1,0)</f>
        <v>0</v>
      </c>
      <c r="Y203" s="36" cm="1">
        <f t="array" ref="Y203">IF(_xlfn.IFERROR(INDEX('Datos - Catálogo TIMSS'!$J$5:$J$107,MATCH(K203,'Datos - Catálogo TIMSS'!$A$5:$A$107,0)),"No")="Sí",1,0)</f>
        <v>0</v>
      </c>
      <c r="Z203" s="36" cm="1">
        <f t="array" ref="Z203">IF(_xlfn.IFERROR(INDEX('Datos - Catálogo TIMSS'!$J$5:$J$107,MATCH(L203,'Datos - Catálogo TIMSS'!$A$5:$A$107,0)),"No")="Sí",1,0)</f>
        <v>0</v>
      </c>
      <c r="AA203" t="s" s="35">
        <v>2061</v>
      </c>
      <c r="AB203" s="39"/>
      <c r="AC203" t="str" s="39">
        <v>Ciencias de la vida</v>
      </c>
      <c r="AD203" t="s" s="35">
        <v>1859</v>
      </c>
      <c r="AE203" t="str" s="39" cm="1">
        <f t="array" ref="AE203">IF(AD203="","",IF(LEFT(AD203,1)="1","C1",IF(LEFT(AD203,1)="2","C2",IF(LEFT(AD203,1)="3","C3",""))))</f>
        <v>C1</v>
      </c>
      <c r="AF203" t="s" s="35">
        <v>1602</v>
      </c>
      <c r="AG203" t="s" s="35">
        <v>1617</v>
      </c>
      <c r="AH203" t="s" s="35">
        <v>1602</v>
      </c>
      <c r="AI203" t="s" s="35">
        <v>1623</v>
      </c>
      <c r="AJ203" t="s" s="35">
        <v>1602</v>
      </c>
      <c r="AK203" s="39"/>
      <c r="AL203" s="39"/>
      <c r="AM203" s="39"/>
      <c r="AN203" s="39"/>
      <c r="AO203" s="39"/>
      <c r="AP203" s="39"/>
      <c r="AQ203" s="39"/>
      <c r="AR203" s="39"/>
      <c r="AS203" s="39"/>
      <c r="AT203" s="39"/>
      <c r="AU203" s="39"/>
      <c r="AV203" s="39"/>
      <c r="AW203" t="str" s="39" cm="1">
        <f t="array" ref="AW203">AF203&amp;"; "&amp;AG203&amp;"; "&amp;AH203&amp;"; "&amp;AI203&amp;"; "&amp;AJ203</f>
        <v>E1; D1; E1; D4; E1</v>
      </c>
    </row>
    <row r="204" ht="13.65" customHeight="1">
      <c r="A204" t="s" s="35">
        <v>2791</v>
      </c>
      <c r="B204" s="36">
        <v>4</v>
      </c>
      <c r="C204" t="s" s="35">
        <v>1823</v>
      </c>
      <c r="D204" t="s" s="35">
        <v>2513</v>
      </c>
      <c r="E204" t="s" s="35">
        <v>2787</v>
      </c>
      <c r="F204" s="36">
        <v>4</v>
      </c>
      <c r="G204" t="s" s="35">
        <v>377</v>
      </c>
      <c r="H204" t="s" s="35">
        <v>2788</v>
      </c>
      <c r="I204" t="s" s="120">
        <v>2792</v>
      </c>
      <c r="J204" t="s" s="35">
        <v>1055</v>
      </c>
      <c r="K204" t="s" s="35">
        <v>383</v>
      </c>
      <c r="L204" s="39"/>
      <c r="M204" t="str" s="39">
        <v>Biología</v>
      </c>
      <c r="N204" t="str" s="39">
        <v>Características y procesos vitales de los organismos</v>
      </c>
      <c r="O204" t="str" s="39" cm="1">
        <f t="array" ref="O204">IF(L204="","",_xlfn.IFERROR(INDEX('Datos - Catálogo TIMSS'!$C$5:$C$107,MATCH(L204,'Datos - Catálogo TIMSS'!$A$5:$A$107,0)),"?"))</f>
      </c>
      <c r="P204" t="s" s="35">
        <v>282</v>
      </c>
      <c r="Q204" t="s" s="120">
        <v>2793</v>
      </c>
      <c r="R204" t="s" s="120">
        <v>2794</v>
      </c>
      <c r="S204" s="121" cm="1">
        <f t="array" ref="S204">_xlfn.IFERROR(ISNUMBER(SEARCH("Conocer",$R204))/(ISNUMBER(SEARCH("Conocer",$R204))+ISNUMBER(SEARCH("Aplicar",$R204))+ISNUMBER(SEARCH("Razonar",$R204))),0)</f>
        <v>0</v>
      </c>
      <c r="T204" s="121" cm="1">
        <f t="array" ref="T204">_xlfn.IFERROR(ISNUMBER(SEARCH("Aplicar",$R204))/(ISNUMBER(SEARCH("Conocer",$R204))+ISNUMBER(SEARCH("Aplicar",$R204))+ISNUMBER(SEARCH("Razonar",$R204))),0)</f>
        <v>1</v>
      </c>
      <c r="U204" s="121" cm="1">
        <f t="array" ref="U204">_xlfn.IFERROR(ISNUMBER(SEARCH("Razonar",$R204))/(ISNUMBER(SEARCH("Conocer",$R204))+ISNUMBER(SEARCH("Aplicar",$R204))+ISNUMBER(SEARCH("Razonar",$R204))),0)</f>
        <v>0</v>
      </c>
      <c r="V204" t="s" s="35">
        <v>77</v>
      </c>
      <c r="W204" t="s" s="35">
        <v>112</v>
      </c>
      <c r="X204" s="36" cm="1">
        <f t="array" ref="X204">IF(OR(_xlfn.IFERROR(INDEX('Datos - Catálogo TIMSS'!$I$5:$I$107,MATCH(K204,'Datos - Catálogo TIMSS'!$A$5:$A$107,0)),"No")="Sí",_xlfn.IFERROR(INDEX('Datos - Catálogo TIMSS'!$I$5:$I$107,MATCH(L204,'Datos - Catálogo TIMSS'!$A$5:$A$107,0)),"No")="Sí"),1,0)</f>
        <v>0</v>
      </c>
      <c r="Y204" s="36" cm="1">
        <f t="array" ref="Y204">IF(_xlfn.IFERROR(INDEX('Datos - Catálogo TIMSS'!$J$5:$J$107,MATCH(K204,'Datos - Catálogo TIMSS'!$A$5:$A$107,0)),"No")="Sí",1,0)</f>
        <v>0</v>
      </c>
      <c r="Z204" s="36" cm="1">
        <f t="array" ref="Z204">IF(_xlfn.IFERROR(INDEX('Datos - Catálogo TIMSS'!$J$5:$J$107,MATCH(L204,'Datos - Catálogo TIMSS'!$A$5:$A$107,0)),"No")="Sí",1,0)</f>
        <v>0</v>
      </c>
      <c r="AA204" t="s" s="35">
        <v>2061</v>
      </c>
      <c r="AB204" s="39"/>
      <c r="AC204" t="str" s="39">
        <v>Ciencias de la vida</v>
      </c>
      <c r="AD204" t="s" s="35">
        <v>1834</v>
      </c>
      <c r="AE204" t="str" s="39" cm="1">
        <f t="array" ref="AE204">IF(AD204="","",IF(LEFT(AD204,1)="1","C1",IF(LEFT(AD204,1)="2","C2",IF(LEFT(AD204,1)="3","C3",""))))</f>
        <v>C2</v>
      </c>
      <c r="AF204" t="s" s="35">
        <v>1602</v>
      </c>
      <c r="AG204" t="s" s="35">
        <v>1617</v>
      </c>
      <c r="AH204" t="s" s="35">
        <v>1602</v>
      </c>
      <c r="AI204" t="s" s="35">
        <v>1619</v>
      </c>
      <c r="AJ204" t="s" s="35">
        <v>1615</v>
      </c>
      <c r="AK204" s="39"/>
      <c r="AL204" s="39"/>
      <c r="AM204" s="39"/>
      <c r="AN204" s="39"/>
      <c r="AO204" s="39"/>
      <c r="AP204" s="39"/>
      <c r="AQ204" s="39"/>
      <c r="AR204" s="39"/>
      <c r="AS204" s="39"/>
      <c r="AT204" s="39"/>
      <c r="AU204" s="39"/>
      <c r="AV204" s="39"/>
      <c r="AW204" t="str" s="39" cm="1">
        <f t="array" ref="AW204">AF204&amp;"; "&amp;AG204&amp;"; "&amp;AH204&amp;"; "&amp;AI204&amp;"; "&amp;AJ204</f>
        <v>E1; D1; E1; D2; E6</v>
      </c>
    </row>
    <row r="205" ht="13.65" customHeight="1">
      <c r="A205" t="s" s="35">
        <v>2795</v>
      </c>
      <c r="B205" s="36">
        <v>4</v>
      </c>
      <c r="C205" t="s" s="35">
        <v>1823</v>
      </c>
      <c r="D205" t="s" s="35">
        <v>2513</v>
      </c>
      <c r="E205" t="s" s="35">
        <v>2787</v>
      </c>
      <c r="F205" s="36">
        <v>5</v>
      </c>
      <c r="G205" t="s" s="35">
        <v>377</v>
      </c>
      <c r="H205" t="s" s="35">
        <v>2788</v>
      </c>
      <c r="I205" t="s" s="120">
        <v>2796</v>
      </c>
      <c r="J205" t="s" s="35">
        <v>1055</v>
      </c>
      <c r="K205" t="s" s="35">
        <v>383</v>
      </c>
      <c r="L205" s="39"/>
      <c r="M205" t="str" s="39">
        <v>Biología</v>
      </c>
      <c r="N205" t="str" s="39">
        <v>Características y procesos vitales de los organismos</v>
      </c>
      <c r="O205" t="str" s="39" cm="1">
        <f t="array" ref="O205">IF(L205="","",_xlfn.IFERROR(INDEX('Datos - Catálogo TIMSS'!$C$5:$C$107,MATCH(L205,'Datos - Catálogo TIMSS'!$A$5:$A$107,0)),"?"))</f>
      </c>
      <c r="P205" t="s" s="35">
        <v>282</v>
      </c>
      <c r="Q205" t="s" s="120">
        <v>2797</v>
      </c>
      <c r="R205" t="s" s="120">
        <v>2798</v>
      </c>
      <c r="S205" s="121" cm="1">
        <f t="array" ref="S205">_xlfn.IFERROR(ISNUMBER(SEARCH("Conocer",$R205))/(ISNUMBER(SEARCH("Conocer",$R205))+ISNUMBER(SEARCH("Aplicar",$R205))+ISNUMBER(SEARCH("Razonar",$R205))),0)</f>
        <v>0</v>
      </c>
      <c r="T205" s="121" cm="1">
        <f t="array" ref="T205">_xlfn.IFERROR(ISNUMBER(SEARCH("Aplicar",$R205))/(ISNUMBER(SEARCH("Conocer",$R205))+ISNUMBER(SEARCH("Aplicar",$R205))+ISNUMBER(SEARCH("Razonar",$R205))),0)</f>
        <v>1</v>
      </c>
      <c r="U205" s="121" cm="1">
        <f t="array" ref="U205">_xlfn.IFERROR(ISNUMBER(SEARCH("Razonar",$R205))/(ISNUMBER(SEARCH("Conocer",$R205))+ISNUMBER(SEARCH("Aplicar",$R205))+ISNUMBER(SEARCH("Razonar",$R205))),0)</f>
        <v>0</v>
      </c>
      <c r="V205" t="s" s="35">
        <v>77</v>
      </c>
      <c r="W205" t="s" s="35">
        <v>112</v>
      </c>
      <c r="X205" s="36" cm="1">
        <f t="array" ref="X205">IF(OR(_xlfn.IFERROR(INDEX('Datos - Catálogo TIMSS'!$I$5:$I$107,MATCH(K205,'Datos - Catálogo TIMSS'!$A$5:$A$107,0)),"No")="Sí",_xlfn.IFERROR(INDEX('Datos - Catálogo TIMSS'!$I$5:$I$107,MATCH(L205,'Datos - Catálogo TIMSS'!$A$5:$A$107,0)),"No")="Sí"),1,0)</f>
        <v>0</v>
      </c>
      <c r="Y205" s="36" cm="1">
        <f t="array" ref="Y205">IF(_xlfn.IFERROR(INDEX('Datos - Catálogo TIMSS'!$J$5:$J$107,MATCH(K205,'Datos - Catálogo TIMSS'!$A$5:$A$107,0)),"No")="Sí",1,0)</f>
        <v>0</v>
      </c>
      <c r="Z205" s="36" cm="1">
        <f t="array" ref="Z205">IF(_xlfn.IFERROR(INDEX('Datos - Catálogo TIMSS'!$J$5:$J$107,MATCH(L205,'Datos - Catálogo TIMSS'!$A$5:$A$107,0)),"No")="Sí",1,0)</f>
        <v>0</v>
      </c>
      <c r="AA205" t="s" s="35">
        <v>2061</v>
      </c>
      <c r="AB205" s="39"/>
      <c r="AC205" t="str" s="39">
        <v>Ciencias de la vida</v>
      </c>
      <c r="AD205" t="s" s="35">
        <v>1859</v>
      </c>
      <c r="AE205" t="str" s="39" cm="1">
        <f t="array" ref="AE205">IF(AD205="","",IF(LEFT(AD205,1)="1","C1",IF(LEFT(AD205,1)="2","C2",IF(LEFT(AD205,1)="3","C3",""))))</f>
        <v>C1</v>
      </c>
      <c r="AF205" t="s" s="35">
        <v>1602</v>
      </c>
      <c r="AG205" t="s" s="35">
        <v>1612</v>
      </c>
      <c r="AH205" t="s" s="35">
        <v>1609</v>
      </c>
      <c r="AI205" t="s" s="35">
        <v>1609</v>
      </c>
      <c r="AJ205" t="s" s="35">
        <v>1607</v>
      </c>
      <c r="AK205" s="39"/>
      <c r="AL205" s="39"/>
      <c r="AM205" s="39"/>
      <c r="AN205" s="39"/>
      <c r="AO205" s="39"/>
      <c r="AP205" s="39"/>
      <c r="AQ205" s="39"/>
      <c r="AR205" s="39"/>
      <c r="AS205" s="39"/>
      <c r="AT205" s="39"/>
      <c r="AU205" s="39"/>
      <c r="AV205" s="39"/>
      <c r="AW205" t="str" s="39" cm="1">
        <f t="array" ref="AW205">AF205&amp;"; "&amp;AG205&amp;"; "&amp;AH205&amp;"; "&amp;AI205&amp;"; "&amp;AJ205</f>
        <v>E1; E5; E4; E4; E3</v>
      </c>
    </row>
    <row r="206" ht="13.65" customHeight="1">
      <c r="A206" t="s" s="35">
        <v>2799</v>
      </c>
      <c r="B206" s="36">
        <v>4</v>
      </c>
      <c r="C206" t="s" s="35">
        <v>1823</v>
      </c>
      <c r="D206" t="s" s="35">
        <v>2513</v>
      </c>
      <c r="E206" t="s" s="35">
        <v>2787</v>
      </c>
      <c r="F206" s="36">
        <v>6</v>
      </c>
      <c r="G206" t="s" s="35">
        <v>377</v>
      </c>
      <c r="H206" t="s" s="35">
        <v>2788</v>
      </c>
      <c r="I206" t="s" s="120">
        <v>2800</v>
      </c>
      <c r="J206" t="s" s="35">
        <v>1055</v>
      </c>
      <c r="K206" t="s" s="35">
        <v>383</v>
      </c>
      <c r="L206" s="39"/>
      <c r="M206" t="str" s="39">
        <v>Biología</v>
      </c>
      <c r="N206" t="str" s="39">
        <v>Características y procesos vitales de los organismos</v>
      </c>
      <c r="O206" t="str" s="39" cm="1">
        <f t="array" ref="O206">IF(L206="","",_xlfn.IFERROR(INDEX('Datos - Catálogo TIMSS'!$C$5:$C$107,MATCH(L206,'Datos - Catálogo TIMSS'!$A$5:$A$107,0)),"?"))</f>
      </c>
      <c r="P206" t="s" s="35">
        <v>282</v>
      </c>
      <c r="Q206" t="s" s="120">
        <v>2801</v>
      </c>
      <c r="R206" t="s" s="120">
        <v>1840</v>
      </c>
      <c r="S206" s="121" cm="1">
        <f t="array" ref="S206">_xlfn.IFERROR(ISNUMBER(SEARCH("Conocer",$R206))/(ISNUMBER(SEARCH("Conocer",$R206))+ISNUMBER(SEARCH("Aplicar",$R206))+ISNUMBER(SEARCH("Razonar",$R206))),0)</f>
        <v>0.5</v>
      </c>
      <c r="T206" s="121" cm="1">
        <f t="array" ref="T206">_xlfn.IFERROR(ISNUMBER(SEARCH("Aplicar",$R206))/(ISNUMBER(SEARCH("Conocer",$R206))+ISNUMBER(SEARCH("Aplicar",$R206))+ISNUMBER(SEARCH("Razonar",$R206))),0)</f>
        <v>0.5</v>
      </c>
      <c r="U206" s="121" cm="1">
        <f t="array" ref="U206">_xlfn.IFERROR(ISNUMBER(SEARCH("Razonar",$R206))/(ISNUMBER(SEARCH("Conocer",$R206))+ISNUMBER(SEARCH("Aplicar",$R206))+ISNUMBER(SEARCH("Razonar",$R206))),0)</f>
        <v>0</v>
      </c>
      <c r="V206" t="s" s="35">
        <v>77</v>
      </c>
      <c r="W206" t="s" s="35">
        <v>112</v>
      </c>
      <c r="X206" s="36" cm="1">
        <f t="array" ref="X206">IF(OR(_xlfn.IFERROR(INDEX('Datos - Catálogo TIMSS'!$I$5:$I$107,MATCH(K206,'Datos - Catálogo TIMSS'!$A$5:$A$107,0)),"No")="Sí",_xlfn.IFERROR(INDEX('Datos - Catálogo TIMSS'!$I$5:$I$107,MATCH(L206,'Datos - Catálogo TIMSS'!$A$5:$A$107,0)),"No")="Sí"),1,0)</f>
        <v>0</v>
      </c>
      <c r="Y206" s="36" cm="1">
        <f t="array" ref="Y206">IF(_xlfn.IFERROR(INDEX('Datos - Catálogo TIMSS'!$J$5:$J$107,MATCH(K206,'Datos - Catálogo TIMSS'!$A$5:$A$107,0)),"No")="Sí",1,0)</f>
        <v>0</v>
      </c>
      <c r="Z206" s="36" cm="1">
        <f t="array" ref="Z206">IF(_xlfn.IFERROR(INDEX('Datos - Catálogo TIMSS'!$J$5:$J$107,MATCH(L206,'Datos - Catálogo TIMSS'!$A$5:$A$107,0)),"No")="Sí",1,0)</f>
        <v>0</v>
      </c>
      <c r="AA206" t="s" s="35">
        <v>2061</v>
      </c>
      <c r="AB206" s="39"/>
      <c r="AC206" t="str" s="39">
        <v>Ciencias de la vida</v>
      </c>
      <c r="AD206" t="s" s="35">
        <v>1859</v>
      </c>
      <c r="AE206" t="str" s="39" cm="1">
        <f t="array" ref="AE206">IF(AD206="","",IF(LEFT(AD206,1)="1","C1",IF(LEFT(AD206,1)="2","C2",IF(LEFT(AD206,1)="3","C3",""))))</f>
        <v>C1</v>
      </c>
      <c r="AF206" t="s" s="35">
        <v>1602</v>
      </c>
      <c r="AG206" t="s" s="35">
        <v>1617</v>
      </c>
      <c r="AH206" t="s" s="35">
        <v>1602</v>
      </c>
      <c r="AI206" t="s" s="35">
        <v>1623</v>
      </c>
      <c r="AJ206" t="s" s="35">
        <v>1633</v>
      </c>
      <c r="AK206" s="39"/>
      <c r="AL206" s="39"/>
      <c r="AM206" s="39"/>
      <c r="AN206" s="39"/>
      <c r="AO206" s="39"/>
      <c r="AP206" s="39"/>
      <c r="AQ206" s="39"/>
      <c r="AR206" s="39"/>
      <c r="AS206" s="39"/>
      <c r="AT206" s="39"/>
      <c r="AU206" s="39"/>
      <c r="AV206" s="39"/>
      <c r="AW206" t="str" s="39" cm="1">
        <f t="array" ref="AW206">AF206&amp;"; "&amp;AG206&amp;"; "&amp;AH206&amp;"; "&amp;AI206&amp;"; "&amp;AJ206</f>
        <v>E1; D1; E1; D4; I5</v>
      </c>
    </row>
    <row r="207" ht="13.65" customHeight="1">
      <c r="A207" t="s" s="35">
        <v>2802</v>
      </c>
      <c r="B207" s="36">
        <v>4</v>
      </c>
      <c r="C207" t="s" s="35">
        <v>1823</v>
      </c>
      <c r="D207" t="s" s="35">
        <v>2513</v>
      </c>
      <c r="E207" t="s" s="35">
        <v>2787</v>
      </c>
      <c r="F207" s="36">
        <v>7</v>
      </c>
      <c r="G207" t="s" s="35">
        <v>377</v>
      </c>
      <c r="H207" t="s" s="35">
        <v>2788</v>
      </c>
      <c r="I207" t="s" s="120">
        <v>2803</v>
      </c>
      <c r="J207" t="s" s="35">
        <v>1055</v>
      </c>
      <c r="K207" t="s" s="35">
        <v>383</v>
      </c>
      <c r="L207" s="39"/>
      <c r="M207" t="str" s="39">
        <v>Biología</v>
      </c>
      <c r="N207" t="str" s="39">
        <v>Características y procesos vitales de los organismos</v>
      </c>
      <c r="O207" t="str" s="39" cm="1">
        <f t="array" ref="O207">IF(L207="","",_xlfn.IFERROR(INDEX('Datos - Catálogo TIMSS'!$C$5:$C$107,MATCH(L207,'Datos - Catálogo TIMSS'!$A$5:$A$107,0)),"?"))</f>
      </c>
      <c r="P207" t="s" s="35">
        <v>254</v>
      </c>
      <c r="Q207" t="s" s="120">
        <v>2804</v>
      </c>
      <c r="R207" t="s" s="120">
        <v>2805</v>
      </c>
      <c r="S207" s="121" cm="1">
        <f t="array" ref="S207">_xlfn.IFERROR(ISNUMBER(SEARCH("Conocer",$R207))/(ISNUMBER(SEARCH("Conocer",$R207))+ISNUMBER(SEARCH("Aplicar",$R207))+ISNUMBER(SEARCH("Razonar",$R207))),0)</f>
        <v>0</v>
      </c>
      <c r="T207" s="121" cm="1">
        <f t="array" ref="T207">_xlfn.IFERROR(ISNUMBER(SEARCH("Aplicar",$R207))/(ISNUMBER(SEARCH("Conocer",$R207))+ISNUMBER(SEARCH("Aplicar",$R207))+ISNUMBER(SEARCH("Razonar",$R207))),0)</f>
        <v>1</v>
      </c>
      <c r="U207" s="121" cm="1">
        <f t="array" ref="U207">_xlfn.IFERROR(ISNUMBER(SEARCH("Razonar",$R207))/(ISNUMBER(SEARCH("Conocer",$R207))+ISNUMBER(SEARCH("Aplicar",$R207))+ISNUMBER(SEARCH("Razonar",$R207))),0)</f>
        <v>0</v>
      </c>
      <c r="V207" t="s" s="35">
        <v>77</v>
      </c>
      <c r="W207" t="s" s="35">
        <v>112</v>
      </c>
      <c r="X207" s="36" cm="1">
        <f t="array" ref="X207">IF(OR(_xlfn.IFERROR(INDEX('Datos - Catálogo TIMSS'!$I$5:$I$107,MATCH(K207,'Datos - Catálogo TIMSS'!$A$5:$A$107,0)),"No")="Sí",_xlfn.IFERROR(INDEX('Datos - Catálogo TIMSS'!$I$5:$I$107,MATCH(L207,'Datos - Catálogo TIMSS'!$A$5:$A$107,0)),"No")="Sí"),1,0)</f>
        <v>0</v>
      </c>
      <c r="Y207" s="36" cm="1">
        <f t="array" ref="Y207">IF(_xlfn.IFERROR(INDEX('Datos - Catálogo TIMSS'!$J$5:$J$107,MATCH(K207,'Datos - Catálogo TIMSS'!$A$5:$A$107,0)),"No")="Sí",1,0)</f>
        <v>0</v>
      </c>
      <c r="Z207" s="36" cm="1">
        <f t="array" ref="Z207">IF(_xlfn.IFERROR(INDEX('Datos - Catálogo TIMSS'!$J$5:$J$107,MATCH(L207,'Datos - Catálogo TIMSS'!$A$5:$A$107,0)),"No")="Sí",1,0)</f>
        <v>0</v>
      </c>
      <c r="AA207" t="s" s="35">
        <v>2061</v>
      </c>
      <c r="AB207" s="39"/>
      <c r="AC207" t="str" s="39">
        <v>Ciencias de la vida</v>
      </c>
      <c r="AD207" t="s" s="35">
        <v>1859</v>
      </c>
      <c r="AE207" t="str" s="39" cm="1">
        <f t="array" ref="AE207">IF(AD207="","",IF(LEFT(AD207,1)="1","C1",IF(LEFT(AD207,1)="2","C2",IF(LEFT(AD207,1)="3","C3",""))))</f>
        <v>C1</v>
      </c>
      <c r="AF207" t="s" s="35">
        <v>1602</v>
      </c>
      <c r="AG207" t="s" s="35">
        <v>1617</v>
      </c>
      <c r="AH207" t="s" s="35">
        <v>1605</v>
      </c>
      <c r="AI207" t="s" s="35">
        <v>1623</v>
      </c>
      <c r="AJ207" t="s" s="35">
        <v>1602</v>
      </c>
      <c r="AK207" s="39"/>
      <c r="AL207" s="39"/>
      <c r="AM207" s="39"/>
      <c r="AN207" s="39"/>
      <c r="AO207" s="39"/>
      <c r="AP207" s="39"/>
      <c r="AQ207" s="39"/>
      <c r="AR207" s="39"/>
      <c r="AS207" s="39"/>
      <c r="AT207" s="39"/>
      <c r="AU207" s="39"/>
      <c r="AV207" s="39"/>
      <c r="AW207" t="str" s="39" cm="1">
        <f t="array" ref="AW207">AF207&amp;"; "&amp;AG207&amp;"; "&amp;AH207&amp;"; "&amp;AI207&amp;"; "&amp;AJ207</f>
        <v>E1; D1; E2; D4; E1</v>
      </c>
    </row>
    <row r="208" ht="13.65" customHeight="1">
      <c r="A208" t="s" s="35">
        <v>2806</v>
      </c>
      <c r="B208" s="36">
        <v>4</v>
      </c>
      <c r="C208" t="s" s="35">
        <v>1823</v>
      </c>
      <c r="D208" t="s" s="35">
        <v>2513</v>
      </c>
      <c r="E208" t="s" s="35">
        <v>2787</v>
      </c>
      <c r="F208" s="36">
        <v>8</v>
      </c>
      <c r="G208" t="s" s="35">
        <v>377</v>
      </c>
      <c r="H208" t="s" s="35">
        <v>2807</v>
      </c>
      <c r="I208" t="s" s="120">
        <v>2808</v>
      </c>
      <c r="J208" t="s" s="35">
        <v>1055</v>
      </c>
      <c r="K208" t="s" s="35">
        <v>383</v>
      </c>
      <c r="L208" t="s" s="35">
        <v>1099</v>
      </c>
      <c r="M208" t="str" s="39">
        <v>Biología</v>
      </c>
      <c r="N208" t="str" s="39">
        <v>Características y procesos vitales de los organismos</v>
      </c>
      <c r="O208" t="str" s="39" cm="1">
        <f t="array" ref="O208">IF(L208="","",_xlfn.IFERROR(INDEX('Datos - Catálogo TIMSS'!$C$5:$C$107,MATCH(L208,'Datos - Catálogo TIMSS'!$A$5:$A$107,0)),"?"))</f>
        <v>Biología</v>
      </c>
      <c r="P208" t="s" s="35">
        <v>282</v>
      </c>
      <c r="Q208" t="s" s="120">
        <v>2809</v>
      </c>
      <c r="R208" t="s" s="120">
        <v>2810</v>
      </c>
      <c r="S208" s="121" cm="1">
        <f t="array" ref="S208">_xlfn.IFERROR(ISNUMBER(SEARCH("Conocer",$R208))/(ISNUMBER(SEARCH("Conocer",$R208))+ISNUMBER(SEARCH("Aplicar",$R208))+ISNUMBER(SEARCH("Razonar",$R208))),0)</f>
        <v>0</v>
      </c>
      <c r="T208" s="121" cm="1">
        <f t="array" ref="T208">_xlfn.IFERROR(ISNUMBER(SEARCH("Aplicar",$R208))/(ISNUMBER(SEARCH("Conocer",$R208))+ISNUMBER(SEARCH("Aplicar",$R208))+ISNUMBER(SEARCH("Razonar",$R208))),0)</f>
        <v>0</v>
      </c>
      <c r="U208" s="121" cm="1">
        <f t="array" ref="U208">_xlfn.IFERROR(ISNUMBER(SEARCH("Razonar",$R208))/(ISNUMBER(SEARCH("Conocer",$R208))+ISNUMBER(SEARCH("Aplicar",$R208))+ISNUMBER(SEARCH("Razonar",$R208))),0)</f>
        <v>1</v>
      </c>
      <c r="V208" t="s" s="35">
        <v>77</v>
      </c>
      <c r="W208" t="s" s="35">
        <v>112</v>
      </c>
      <c r="X208" s="36" cm="1">
        <f t="array" ref="X208">IF(OR(_xlfn.IFERROR(INDEX('Datos - Catálogo TIMSS'!$I$5:$I$107,MATCH(K208,'Datos - Catálogo TIMSS'!$A$5:$A$107,0)),"No")="Sí",_xlfn.IFERROR(INDEX('Datos - Catálogo TIMSS'!$I$5:$I$107,MATCH(L208,'Datos - Catálogo TIMSS'!$A$5:$A$107,0)),"No")="Sí"),1,0)</f>
        <v>0</v>
      </c>
      <c r="Y208" s="36" cm="1">
        <f t="array" ref="Y208">IF(_xlfn.IFERROR(INDEX('Datos - Catálogo TIMSS'!$J$5:$J$107,MATCH(K208,'Datos - Catálogo TIMSS'!$A$5:$A$107,0)),"No")="Sí",1,0)</f>
        <v>0</v>
      </c>
      <c r="Z208" s="36" cm="1">
        <f t="array" ref="Z208">IF(_xlfn.IFERROR(INDEX('Datos - Catálogo TIMSS'!$J$5:$J$107,MATCH(L208,'Datos - Catálogo TIMSS'!$A$5:$A$107,0)),"No")="Sí",1,0)</f>
        <v>1</v>
      </c>
      <c r="AA208" t="s" s="35">
        <v>2061</v>
      </c>
      <c r="AB208" s="39"/>
      <c r="AC208" t="str" s="39">
        <v>Ciencias de la vida</v>
      </c>
      <c r="AD208" t="s" s="35">
        <v>1834</v>
      </c>
      <c r="AE208" t="str" s="39" cm="1">
        <f t="array" ref="AE208">IF(AD208="","",IF(LEFT(AD208,1)="1","C1",IF(LEFT(AD208,1)="2","C2",IF(LEFT(AD208,1)="3","C3",""))))</f>
        <v>C2</v>
      </c>
      <c r="AF208" t="s" s="35">
        <v>1602</v>
      </c>
      <c r="AG208" t="s" s="35">
        <v>1607</v>
      </c>
      <c r="AH208" t="s" s="35">
        <v>1602</v>
      </c>
      <c r="AI208" t="s" s="35">
        <v>1619</v>
      </c>
      <c r="AJ208" t="s" s="35">
        <v>1615</v>
      </c>
      <c r="AK208" s="39"/>
      <c r="AL208" s="39"/>
      <c r="AM208" s="39"/>
      <c r="AN208" s="39"/>
      <c r="AO208" s="39"/>
      <c r="AP208" s="39"/>
      <c r="AQ208" s="39"/>
      <c r="AR208" s="39"/>
      <c r="AS208" s="39"/>
      <c r="AT208" s="39"/>
      <c r="AU208" s="39"/>
      <c r="AV208" s="39"/>
      <c r="AW208" t="str" s="39" cm="1">
        <f t="array" ref="AW208">AF208&amp;"; "&amp;AG208&amp;"; "&amp;AH208&amp;"; "&amp;AI208&amp;"; "&amp;AJ208</f>
        <v>E1; E3; E1; D2; E6</v>
      </c>
    </row>
    <row r="209" ht="13.65" customHeight="1">
      <c r="A209" t="s" s="35">
        <v>2811</v>
      </c>
      <c r="B209" s="36">
        <v>4</v>
      </c>
      <c r="C209" t="s" s="35">
        <v>1823</v>
      </c>
      <c r="D209" t="s" s="35">
        <v>2513</v>
      </c>
      <c r="E209" t="s" s="35">
        <v>2787</v>
      </c>
      <c r="F209" s="36">
        <v>9</v>
      </c>
      <c r="G209" t="s" s="35">
        <v>377</v>
      </c>
      <c r="H209" t="s" s="35">
        <v>2807</v>
      </c>
      <c r="I209" t="s" s="120">
        <v>2812</v>
      </c>
      <c r="J209" t="s" s="35">
        <v>1055</v>
      </c>
      <c r="K209" t="s" s="35">
        <v>383</v>
      </c>
      <c r="L209" t="s" s="35">
        <v>1066</v>
      </c>
      <c r="M209" t="str" s="39">
        <v>Biología</v>
      </c>
      <c r="N209" t="str" s="39">
        <v>Características y procesos vitales de los organismos</v>
      </c>
      <c r="O209" t="str" s="39" cm="1">
        <f t="array" ref="O209">IF(L209="","",_xlfn.IFERROR(INDEX('Datos - Catálogo TIMSS'!$C$5:$C$107,MATCH(L209,'Datos - Catálogo TIMSS'!$A$5:$A$107,0)),"?"))</f>
        <v>Biología</v>
      </c>
      <c r="P209" t="s" s="35">
        <v>282</v>
      </c>
      <c r="Q209" t="s" s="120">
        <v>2813</v>
      </c>
      <c r="R209" t="s" s="120">
        <v>2760</v>
      </c>
      <c r="S209" s="121" cm="1">
        <f t="array" ref="S209">_xlfn.IFERROR(ISNUMBER(SEARCH("Conocer",$R209))/(ISNUMBER(SEARCH("Conocer",$R209))+ISNUMBER(SEARCH("Aplicar",$R209))+ISNUMBER(SEARCH("Razonar",$R209))),0)</f>
        <v>0.5</v>
      </c>
      <c r="T209" s="121" cm="1">
        <f t="array" ref="T209">_xlfn.IFERROR(ISNUMBER(SEARCH("Aplicar",$R209))/(ISNUMBER(SEARCH("Conocer",$R209))+ISNUMBER(SEARCH("Aplicar",$R209))+ISNUMBER(SEARCH("Razonar",$R209))),0)</f>
        <v>0.5</v>
      </c>
      <c r="U209" s="121" cm="1">
        <f t="array" ref="U209">_xlfn.IFERROR(ISNUMBER(SEARCH("Razonar",$R209))/(ISNUMBER(SEARCH("Conocer",$R209))+ISNUMBER(SEARCH("Aplicar",$R209))+ISNUMBER(SEARCH("Razonar",$R209))),0)</f>
        <v>0</v>
      </c>
      <c r="V209" t="s" s="35">
        <v>77</v>
      </c>
      <c r="W209" t="s" s="35">
        <v>112</v>
      </c>
      <c r="X209" s="36" cm="1">
        <f t="array" ref="X209">IF(OR(_xlfn.IFERROR(INDEX('Datos - Catálogo TIMSS'!$I$5:$I$107,MATCH(K209,'Datos - Catálogo TIMSS'!$A$5:$A$107,0)),"No")="Sí",_xlfn.IFERROR(INDEX('Datos - Catálogo TIMSS'!$I$5:$I$107,MATCH(L209,'Datos - Catálogo TIMSS'!$A$5:$A$107,0)),"No")="Sí"),1,0)</f>
        <v>1</v>
      </c>
      <c r="Y209" s="36" cm="1">
        <f t="array" ref="Y209">IF(_xlfn.IFERROR(INDEX('Datos - Catálogo TIMSS'!$J$5:$J$107,MATCH(K209,'Datos - Catálogo TIMSS'!$A$5:$A$107,0)),"No")="Sí",1,0)</f>
        <v>0</v>
      </c>
      <c r="Z209" s="36" cm="1">
        <f t="array" ref="Z209">IF(_xlfn.IFERROR(INDEX('Datos - Catálogo TIMSS'!$J$5:$J$107,MATCH(L209,'Datos - Catálogo TIMSS'!$A$5:$A$107,0)),"No")="Sí",1,0)</f>
        <v>0</v>
      </c>
      <c r="AA209" t="s" s="35">
        <v>2061</v>
      </c>
      <c r="AB209" s="39"/>
      <c r="AC209" t="str" s="39">
        <v>Ciencias de la vida</v>
      </c>
      <c r="AD209" t="s" s="35">
        <v>1859</v>
      </c>
      <c r="AE209" t="str" s="39" cm="1">
        <f t="array" ref="AE209">IF(AD209="","",IF(LEFT(AD209,1)="1","C1",IF(LEFT(AD209,1)="2","C2",IF(LEFT(AD209,1)="3","C3",""))))</f>
        <v>C1</v>
      </c>
      <c r="AF209" t="s" s="35">
        <v>1602</v>
      </c>
      <c r="AG209" t="s" s="35">
        <v>1617</v>
      </c>
      <c r="AH209" t="s" s="35">
        <v>1602</v>
      </c>
      <c r="AI209" t="s" s="35">
        <v>1623</v>
      </c>
      <c r="AJ209" t="s" s="35">
        <v>1633</v>
      </c>
      <c r="AK209" s="39"/>
      <c r="AL209" s="39"/>
      <c r="AM209" s="39"/>
      <c r="AN209" s="39"/>
      <c r="AO209" s="39"/>
      <c r="AP209" s="39"/>
      <c r="AQ209" s="39"/>
      <c r="AR209" s="39"/>
      <c r="AS209" s="39"/>
      <c r="AT209" s="39"/>
      <c r="AU209" s="39"/>
      <c r="AV209" s="39"/>
      <c r="AW209" t="str" s="39" cm="1">
        <f t="array" ref="AW209">AF209&amp;"; "&amp;AG209&amp;"; "&amp;AH209&amp;"; "&amp;AI209&amp;"; "&amp;AJ209</f>
        <v>E1; D1; E1; D4; I5</v>
      </c>
    </row>
    <row r="210" ht="13.65" customHeight="1">
      <c r="A210" t="s" s="35">
        <v>2814</v>
      </c>
      <c r="B210" s="36">
        <v>4</v>
      </c>
      <c r="C210" t="s" s="35">
        <v>1823</v>
      </c>
      <c r="D210" t="s" s="35">
        <v>2513</v>
      </c>
      <c r="E210" t="s" s="35">
        <v>2787</v>
      </c>
      <c r="F210" s="36">
        <v>10</v>
      </c>
      <c r="G210" t="s" s="35">
        <v>377</v>
      </c>
      <c r="H210" t="s" s="35">
        <v>2807</v>
      </c>
      <c r="I210" t="s" s="120">
        <v>2815</v>
      </c>
      <c r="J210" t="s" s="35">
        <v>1055</v>
      </c>
      <c r="K210" t="s" s="35">
        <v>383</v>
      </c>
      <c r="L210" s="39"/>
      <c r="M210" t="str" s="39">
        <v>Biología</v>
      </c>
      <c r="N210" t="str" s="39">
        <v>Características y procesos vitales de los organismos</v>
      </c>
      <c r="O210" t="str" s="39" cm="1">
        <f t="array" ref="O210">IF(L210="","",_xlfn.IFERROR(INDEX('Datos - Catálogo TIMSS'!$C$5:$C$107,MATCH(L210,'Datos - Catálogo TIMSS'!$A$5:$A$107,0)),"?"))</f>
      </c>
      <c r="P210" t="s" s="35">
        <v>282</v>
      </c>
      <c r="Q210" t="s" s="120">
        <v>2816</v>
      </c>
      <c r="R210" t="s" s="120">
        <v>2805</v>
      </c>
      <c r="S210" s="121" cm="1">
        <f t="array" ref="S210">_xlfn.IFERROR(ISNUMBER(SEARCH("Conocer",$R210))/(ISNUMBER(SEARCH("Conocer",$R210))+ISNUMBER(SEARCH("Aplicar",$R210))+ISNUMBER(SEARCH("Razonar",$R210))),0)</f>
        <v>0</v>
      </c>
      <c r="T210" s="121" cm="1">
        <f t="array" ref="T210">_xlfn.IFERROR(ISNUMBER(SEARCH("Aplicar",$R210))/(ISNUMBER(SEARCH("Conocer",$R210))+ISNUMBER(SEARCH("Aplicar",$R210))+ISNUMBER(SEARCH("Razonar",$R210))),0)</f>
        <v>1</v>
      </c>
      <c r="U210" s="121" cm="1">
        <f t="array" ref="U210">_xlfn.IFERROR(ISNUMBER(SEARCH("Razonar",$R210))/(ISNUMBER(SEARCH("Conocer",$R210))+ISNUMBER(SEARCH("Aplicar",$R210))+ISNUMBER(SEARCH("Razonar",$R210))),0)</f>
        <v>0</v>
      </c>
      <c r="V210" t="s" s="35">
        <v>77</v>
      </c>
      <c r="W210" t="s" s="35">
        <v>112</v>
      </c>
      <c r="X210" s="36" cm="1">
        <f t="array" ref="X210">IF(OR(_xlfn.IFERROR(INDEX('Datos - Catálogo TIMSS'!$I$5:$I$107,MATCH(K210,'Datos - Catálogo TIMSS'!$A$5:$A$107,0)),"No")="Sí",_xlfn.IFERROR(INDEX('Datos - Catálogo TIMSS'!$I$5:$I$107,MATCH(L210,'Datos - Catálogo TIMSS'!$A$5:$A$107,0)),"No")="Sí"),1,0)</f>
        <v>0</v>
      </c>
      <c r="Y210" s="36" cm="1">
        <f t="array" ref="Y210">IF(_xlfn.IFERROR(INDEX('Datos - Catálogo TIMSS'!$J$5:$J$107,MATCH(K210,'Datos - Catálogo TIMSS'!$A$5:$A$107,0)),"No")="Sí",1,0)</f>
        <v>0</v>
      </c>
      <c r="Z210" s="36" cm="1">
        <f t="array" ref="Z210">IF(_xlfn.IFERROR(INDEX('Datos - Catálogo TIMSS'!$J$5:$J$107,MATCH(L210,'Datos - Catálogo TIMSS'!$A$5:$A$107,0)),"No")="Sí",1,0)</f>
        <v>0</v>
      </c>
      <c r="AA210" t="s" s="35">
        <v>2061</v>
      </c>
      <c r="AB210" s="39"/>
      <c r="AC210" t="str" s="39">
        <v>Ciencias de la vida</v>
      </c>
      <c r="AD210" t="s" s="35">
        <v>1859</v>
      </c>
      <c r="AE210" t="str" s="39" cm="1">
        <f t="array" ref="AE210">IF(AD210="","",IF(LEFT(AD210,1)="1","C1",IF(LEFT(AD210,1)="2","C2",IF(LEFT(AD210,1)="3","C3",""))))</f>
        <v>C1</v>
      </c>
      <c r="AF210" t="s" s="35">
        <v>1602</v>
      </c>
      <c r="AG210" t="s" s="35">
        <v>1617</v>
      </c>
      <c r="AH210" t="s" s="35">
        <v>1605</v>
      </c>
      <c r="AI210" t="s" s="35">
        <v>1623</v>
      </c>
      <c r="AJ210" t="s" s="35">
        <v>1602</v>
      </c>
      <c r="AK210" s="39"/>
      <c r="AL210" s="39"/>
      <c r="AM210" s="39"/>
      <c r="AN210" s="39"/>
      <c r="AO210" s="39"/>
      <c r="AP210" s="39"/>
      <c r="AQ210" s="39"/>
      <c r="AR210" s="39"/>
      <c r="AS210" s="39"/>
      <c r="AT210" s="39"/>
      <c r="AU210" s="39"/>
      <c r="AV210" s="39"/>
      <c r="AW210" t="str" s="39" cm="1">
        <f t="array" ref="AW210">AF210&amp;"; "&amp;AG210&amp;"; "&amp;AH210&amp;"; "&amp;AI210&amp;"; "&amp;AJ210</f>
        <v>E1; D1; E2; D4; E1</v>
      </c>
    </row>
    <row r="211" ht="13.65" customHeight="1">
      <c r="A211" t="s" s="35">
        <v>2817</v>
      </c>
      <c r="B211" s="36">
        <v>4</v>
      </c>
      <c r="C211" t="s" s="35">
        <v>1823</v>
      </c>
      <c r="D211" t="s" s="35">
        <v>2513</v>
      </c>
      <c r="E211" t="s" s="35">
        <v>2787</v>
      </c>
      <c r="F211" s="36">
        <v>11</v>
      </c>
      <c r="G211" t="s" s="35">
        <v>377</v>
      </c>
      <c r="H211" t="s" s="35">
        <v>2818</v>
      </c>
      <c r="I211" t="s" s="120">
        <v>2819</v>
      </c>
      <c r="J211" t="s" s="35">
        <v>1055</v>
      </c>
      <c r="K211" t="s" s="35">
        <v>383</v>
      </c>
      <c r="L211" s="39"/>
      <c r="M211" t="str" s="39">
        <v>Biología</v>
      </c>
      <c r="N211" t="str" s="39">
        <v>Características y procesos vitales de los organismos</v>
      </c>
      <c r="O211" t="str" s="39" cm="1">
        <f t="array" ref="O211">IF(L211="","",_xlfn.IFERROR(INDEX('Datos - Catálogo TIMSS'!$C$5:$C$107,MATCH(L211,'Datos - Catálogo TIMSS'!$A$5:$A$107,0)),"?"))</f>
      </c>
      <c r="P211" t="s" s="35">
        <v>282</v>
      </c>
      <c r="Q211" t="s" s="120">
        <v>2820</v>
      </c>
      <c r="R211" t="s" s="120">
        <v>2389</v>
      </c>
      <c r="S211" s="121" cm="1">
        <f t="array" ref="S211">_xlfn.IFERROR(ISNUMBER(SEARCH("Conocer",$R211))/(ISNUMBER(SEARCH("Conocer",$R211))+ISNUMBER(SEARCH("Aplicar",$R211))+ISNUMBER(SEARCH("Razonar",$R211))),0)</f>
        <v>1</v>
      </c>
      <c r="T211" s="121" cm="1">
        <f t="array" ref="T211">_xlfn.IFERROR(ISNUMBER(SEARCH("Aplicar",$R211))/(ISNUMBER(SEARCH("Conocer",$R211))+ISNUMBER(SEARCH("Aplicar",$R211))+ISNUMBER(SEARCH("Razonar",$R211))),0)</f>
        <v>0</v>
      </c>
      <c r="U211" s="121" cm="1">
        <f t="array" ref="U211">_xlfn.IFERROR(ISNUMBER(SEARCH("Razonar",$R211))/(ISNUMBER(SEARCH("Conocer",$R211))+ISNUMBER(SEARCH("Aplicar",$R211))+ISNUMBER(SEARCH("Razonar",$R211))),0)</f>
        <v>0</v>
      </c>
      <c r="V211" t="s" s="35">
        <v>77</v>
      </c>
      <c r="W211" t="s" s="35">
        <v>112</v>
      </c>
      <c r="X211" s="36" cm="1">
        <f t="array" ref="X211">IF(OR(_xlfn.IFERROR(INDEX('Datos - Catálogo TIMSS'!$I$5:$I$107,MATCH(K211,'Datos - Catálogo TIMSS'!$A$5:$A$107,0)),"No")="Sí",_xlfn.IFERROR(INDEX('Datos - Catálogo TIMSS'!$I$5:$I$107,MATCH(L211,'Datos - Catálogo TIMSS'!$A$5:$A$107,0)),"No")="Sí"),1,0)</f>
        <v>0</v>
      </c>
      <c r="Y211" s="36" cm="1">
        <f t="array" ref="Y211">IF(_xlfn.IFERROR(INDEX('Datos - Catálogo TIMSS'!$J$5:$J$107,MATCH(K211,'Datos - Catálogo TIMSS'!$A$5:$A$107,0)),"No")="Sí",1,0)</f>
        <v>0</v>
      </c>
      <c r="Z211" s="36" cm="1">
        <f t="array" ref="Z211">IF(_xlfn.IFERROR(INDEX('Datos - Catálogo TIMSS'!$J$5:$J$107,MATCH(L211,'Datos - Catálogo TIMSS'!$A$5:$A$107,0)),"No")="Sí",1,0)</f>
        <v>0</v>
      </c>
      <c r="AA211" t="s" s="35">
        <v>2061</v>
      </c>
      <c r="AB211" s="39"/>
      <c r="AC211" t="str" s="39">
        <v>Ciencias de la vida</v>
      </c>
      <c r="AD211" t="s" s="35">
        <v>1859</v>
      </c>
      <c r="AE211" t="str" s="39" cm="1">
        <f t="array" ref="AE211">IF(AD211="","",IF(LEFT(AD211,1)="1","C1",IF(LEFT(AD211,1)="2","C2",IF(LEFT(AD211,1)="3","C3",""))))</f>
        <v>C1</v>
      </c>
      <c r="AF211" t="s" s="35">
        <v>1602</v>
      </c>
      <c r="AG211" t="s" s="35">
        <v>1617</v>
      </c>
      <c r="AH211" t="s" s="35">
        <v>1602</v>
      </c>
      <c r="AI211" t="s" s="35">
        <v>1623</v>
      </c>
      <c r="AJ211" t="s" s="35">
        <v>1615</v>
      </c>
      <c r="AK211" s="39"/>
      <c r="AL211" s="39"/>
      <c r="AM211" s="39"/>
      <c r="AN211" s="39"/>
      <c r="AO211" s="39"/>
      <c r="AP211" s="39"/>
      <c r="AQ211" s="39"/>
      <c r="AR211" s="39"/>
      <c r="AS211" s="39"/>
      <c r="AT211" s="39"/>
      <c r="AU211" s="39"/>
      <c r="AV211" s="39"/>
      <c r="AW211" t="str" s="39" cm="1">
        <f t="array" ref="AW211">AF211&amp;"; "&amp;AG211&amp;"; "&amp;AH211&amp;"; "&amp;AI211&amp;"; "&amp;AJ211</f>
        <v>E1; D1; E1; D4; E6</v>
      </c>
    </row>
    <row r="212" ht="13.65" customHeight="1">
      <c r="A212" t="s" s="35">
        <v>2821</v>
      </c>
      <c r="B212" s="36">
        <v>4</v>
      </c>
      <c r="C212" t="s" s="35">
        <v>1823</v>
      </c>
      <c r="D212" t="s" s="35">
        <v>2513</v>
      </c>
      <c r="E212" t="s" s="35">
        <v>2787</v>
      </c>
      <c r="F212" s="36">
        <v>12</v>
      </c>
      <c r="G212" t="s" s="35">
        <v>377</v>
      </c>
      <c r="H212" t="s" s="35">
        <v>2818</v>
      </c>
      <c r="I212" t="s" s="120">
        <v>2822</v>
      </c>
      <c r="J212" t="s" s="35">
        <v>1055</v>
      </c>
      <c r="K212" t="s" s="35">
        <v>346</v>
      </c>
      <c r="L212" s="39"/>
      <c r="M212" t="str" s="39">
        <v>Biología</v>
      </c>
      <c r="N212" t="str" s="39">
        <v>Salud humana</v>
      </c>
      <c r="O212" t="str" s="39" cm="1">
        <f t="array" ref="O212">IF(L212="","",_xlfn.IFERROR(INDEX('Datos - Catálogo TIMSS'!$C$5:$C$107,MATCH(L212,'Datos - Catálogo TIMSS'!$A$5:$A$107,0)),"?"))</f>
      </c>
      <c r="P212" t="s" s="35">
        <v>282</v>
      </c>
      <c r="Q212" t="s" s="120">
        <v>2823</v>
      </c>
      <c r="R212" t="s" s="120">
        <v>2785</v>
      </c>
      <c r="S212" s="121" cm="1">
        <f t="array" ref="S212">_xlfn.IFERROR(ISNUMBER(SEARCH("Conocer",$R212))/(ISNUMBER(SEARCH("Conocer",$R212))+ISNUMBER(SEARCH("Aplicar",$R212))+ISNUMBER(SEARCH("Razonar",$R212))),0)</f>
        <v>0</v>
      </c>
      <c r="T212" s="121" cm="1">
        <f t="array" ref="T212">_xlfn.IFERROR(ISNUMBER(SEARCH("Aplicar",$R212))/(ISNUMBER(SEARCH("Conocer",$R212))+ISNUMBER(SEARCH("Aplicar",$R212))+ISNUMBER(SEARCH("Razonar",$R212))),0)</f>
        <v>0.5</v>
      </c>
      <c r="U212" s="121" cm="1">
        <f t="array" ref="U212">_xlfn.IFERROR(ISNUMBER(SEARCH("Razonar",$R212))/(ISNUMBER(SEARCH("Conocer",$R212))+ISNUMBER(SEARCH("Aplicar",$R212))+ISNUMBER(SEARCH("Razonar",$R212))),0)</f>
        <v>0.5</v>
      </c>
      <c r="V212" t="s" s="35">
        <v>77</v>
      </c>
      <c r="W212" t="s" s="35">
        <v>112</v>
      </c>
      <c r="X212" s="36" cm="1">
        <f t="array" ref="X212">IF(OR(_xlfn.IFERROR(INDEX('Datos - Catálogo TIMSS'!$I$5:$I$107,MATCH(K212,'Datos - Catálogo TIMSS'!$A$5:$A$107,0)),"No")="Sí",_xlfn.IFERROR(INDEX('Datos - Catálogo TIMSS'!$I$5:$I$107,MATCH(L212,'Datos - Catálogo TIMSS'!$A$5:$A$107,0)),"No")="Sí"),1,0)</f>
        <v>0</v>
      </c>
      <c r="Y212" s="36" cm="1">
        <f t="array" ref="Y212">IF(_xlfn.IFERROR(INDEX('Datos - Catálogo TIMSS'!$J$5:$J$107,MATCH(K212,'Datos - Catálogo TIMSS'!$A$5:$A$107,0)),"No")="Sí",1,0)</f>
        <v>0</v>
      </c>
      <c r="Z212" s="36" cm="1">
        <f t="array" ref="Z212">IF(_xlfn.IFERROR(INDEX('Datos - Catálogo TIMSS'!$J$5:$J$107,MATCH(L212,'Datos - Catálogo TIMSS'!$A$5:$A$107,0)),"No")="Sí",1,0)</f>
        <v>0</v>
      </c>
      <c r="AA212" t="s" s="35">
        <v>2213</v>
      </c>
      <c r="AB212" s="39"/>
      <c r="AC212" t="str" s="39">
        <v>Ciencias de la vida</v>
      </c>
      <c r="AD212" t="s" s="35">
        <v>1900</v>
      </c>
      <c r="AE212" t="str" s="39" cm="1">
        <f t="array" ref="AE212">IF(AD212="","",IF(LEFT(AD212,1)="1","C1",IF(LEFT(AD212,1)="2","C2",IF(LEFT(AD212,1)="3","C3",""))))</f>
        <v>C3</v>
      </c>
      <c r="AF212" t="s" s="35">
        <v>1602</v>
      </c>
      <c r="AG212" t="s" s="35">
        <v>1617</v>
      </c>
      <c r="AH212" t="s" s="35">
        <v>1602</v>
      </c>
      <c r="AI212" t="s" s="35">
        <v>1627</v>
      </c>
      <c r="AJ212" t="s" s="35">
        <v>1633</v>
      </c>
      <c r="AK212" s="39"/>
      <c r="AL212" s="39"/>
      <c r="AM212" s="39"/>
      <c r="AN212" s="39"/>
      <c r="AO212" s="39"/>
      <c r="AP212" s="39"/>
      <c r="AQ212" s="39"/>
      <c r="AR212" s="39"/>
      <c r="AS212" s="39"/>
      <c r="AT212" s="39"/>
      <c r="AU212" s="39"/>
      <c r="AV212" s="39"/>
      <c r="AW212" t="str" s="39" cm="1">
        <f t="array" ref="AW212">AF212&amp;"; "&amp;AG212&amp;"; "&amp;AH212&amp;"; "&amp;AI212&amp;"; "&amp;AJ212</f>
        <v>E1; D1; E1; I2; I5</v>
      </c>
    </row>
    <row r="213" ht="13.65" customHeight="1">
      <c r="A213" t="s" s="35">
        <v>2824</v>
      </c>
      <c r="B213" s="36">
        <v>5</v>
      </c>
      <c r="C213" t="s" s="35">
        <v>1823</v>
      </c>
      <c r="D213" t="s" s="35">
        <v>2825</v>
      </c>
      <c r="E213" t="s" s="35">
        <v>2826</v>
      </c>
      <c r="F213" s="36">
        <v>3</v>
      </c>
      <c r="G213" t="s" s="35">
        <v>2827</v>
      </c>
      <c r="H213" t="s" s="35">
        <v>2828</v>
      </c>
      <c r="I213" t="s" s="120">
        <v>2829</v>
      </c>
      <c r="J213" t="s" s="35">
        <v>1164</v>
      </c>
      <c r="K213" t="s" s="35">
        <v>569</v>
      </c>
      <c r="L213" s="39"/>
      <c r="M213" t="str" s="39">
        <v>Física</v>
      </c>
      <c r="N213" t="str" s="39">
        <v>Investigaciones en física</v>
      </c>
      <c r="O213" t="str" s="39" cm="1">
        <f t="array" ref="O213">IF(L213="","",_xlfn.IFERROR(INDEX('Datos - Catálogo TIMSS'!$C$5:$C$107,MATCH(L213,'Datos - Catálogo TIMSS'!$A$5:$A$107,0)),"?"))</f>
      </c>
      <c r="P213" t="s" s="35">
        <v>282</v>
      </c>
      <c r="Q213" t="s" s="120">
        <v>2831</v>
      </c>
      <c r="R213" t="s" s="120">
        <v>2832</v>
      </c>
      <c r="S213" s="121" cm="1">
        <f t="array" ref="S213">_xlfn.IFERROR(ISNUMBER(SEARCH("Conocer",$R213))/(ISNUMBER(SEARCH("Conocer",$R213))+ISNUMBER(SEARCH("Aplicar",$R213))+ISNUMBER(SEARCH("Razonar",$R213))),0)</f>
        <v>0</v>
      </c>
      <c r="T213" s="121" cm="1">
        <f t="array" ref="T213">_xlfn.IFERROR(ISNUMBER(SEARCH("Aplicar",$R213))/(ISNUMBER(SEARCH("Conocer",$R213))+ISNUMBER(SEARCH("Aplicar",$R213))+ISNUMBER(SEARCH("Razonar",$R213))),0)</f>
        <v>1</v>
      </c>
      <c r="U213" s="121" cm="1">
        <f t="array" ref="U213">_xlfn.IFERROR(ISNUMBER(SEARCH("Razonar",$R213))/(ISNUMBER(SEARCH("Conocer",$R213))+ISNUMBER(SEARCH("Aplicar",$R213))+ISNUMBER(SEARCH("Razonar",$R213))),0)</f>
        <v>0</v>
      </c>
      <c r="V213" t="s" s="35">
        <v>79</v>
      </c>
      <c r="W213" t="s" s="35">
        <v>115</v>
      </c>
      <c r="X213" s="36" cm="1">
        <f t="array" ref="X213">IF(OR(_xlfn.IFERROR(INDEX('Datos - Catálogo TIMSS'!$I$5:$I$107,MATCH(K213,'Datos - Catálogo TIMSS'!$A$5:$A$107,0)),"No")="Sí",_xlfn.IFERROR(INDEX('Datos - Catálogo TIMSS'!$I$5:$I$107,MATCH(L213,'Datos - Catálogo TIMSS'!$A$5:$A$107,0)),"No")="Sí"),1,0)</f>
        <v>0</v>
      </c>
      <c r="Y213" s="36" cm="1">
        <f t="array" ref="Y213">IF(_xlfn.IFERROR(INDEX('Datos - Catálogo TIMSS'!$J$5:$J$107,MATCH(K213,'Datos - Catálogo TIMSS'!$A$5:$A$107,0)),"No")="Sí",1,0)</f>
        <v>1</v>
      </c>
      <c r="Z213" s="36" cm="1">
        <f t="array" ref="Z213">IF(_xlfn.IFERROR(INDEX('Datos - Catálogo TIMSS'!$J$5:$J$107,MATCH(L213,'Datos - Catálogo TIMSS'!$A$5:$A$107,0)),"No")="Sí",1,0)</f>
        <v>0</v>
      </c>
      <c r="AA213" t="s" s="35">
        <v>1832</v>
      </c>
      <c r="AB213" s="39"/>
      <c r="AC213" t="str" s="39">
        <v>Fuera del marco</v>
      </c>
      <c r="AD213" t="s" s="35">
        <v>1834</v>
      </c>
      <c r="AE213" t="str" s="39" cm="1">
        <f t="array" ref="AE213">IF(AD213="","",IF(LEFT(AD213,1)="1","C1",IF(LEFT(AD213,1)="2","C2",IF(LEFT(AD213,1)="3","C3",""))))</f>
        <v>C2</v>
      </c>
      <c r="AF213" t="s" s="35">
        <v>1602</v>
      </c>
      <c r="AG213" t="s" s="35">
        <v>1617</v>
      </c>
      <c r="AH213" t="s" s="35">
        <v>1602</v>
      </c>
      <c r="AI213" t="s" s="35">
        <v>1623</v>
      </c>
      <c r="AJ213" t="s" s="35">
        <v>1607</v>
      </c>
      <c r="AK213" s="39"/>
      <c r="AL213" s="39"/>
      <c r="AM213" s="39"/>
      <c r="AN213" s="39"/>
      <c r="AO213" s="39"/>
      <c r="AP213" s="39"/>
      <c r="AQ213" s="39"/>
      <c r="AR213" s="39"/>
      <c r="AS213" s="39"/>
      <c r="AT213" s="39"/>
      <c r="AU213" s="39"/>
      <c r="AV213" s="39"/>
      <c r="AW213" t="str" s="39" cm="1">
        <f t="array" ref="AW213">AF213&amp;"; "&amp;AG213&amp;"; "&amp;AH213&amp;"; "&amp;AI213&amp;"; "&amp;AJ213</f>
        <v>E1; D1; E1; D4; E3</v>
      </c>
    </row>
    <row r="214" ht="13.65" customHeight="1">
      <c r="A214" t="s" s="35">
        <v>2833</v>
      </c>
      <c r="B214" s="36">
        <v>5</v>
      </c>
      <c r="C214" t="s" s="35">
        <v>1823</v>
      </c>
      <c r="D214" t="s" s="35">
        <v>2825</v>
      </c>
      <c r="E214" t="s" s="35">
        <v>2826</v>
      </c>
      <c r="F214" s="36">
        <v>4</v>
      </c>
      <c r="G214" t="s" s="35">
        <v>2827</v>
      </c>
      <c r="H214" t="s" s="35">
        <v>2828</v>
      </c>
      <c r="I214" t="s" s="120">
        <v>2834</v>
      </c>
      <c r="J214" t="s" s="35">
        <v>1164</v>
      </c>
      <c r="K214" t="s" s="35">
        <v>569</v>
      </c>
      <c r="L214" s="39"/>
      <c r="M214" t="str" s="39">
        <v>Física</v>
      </c>
      <c r="N214" t="str" s="39">
        <v>Investigaciones en física</v>
      </c>
      <c r="O214" t="str" s="39" cm="1">
        <f t="array" ref="O214">IF(L214="","",_xlfn.IFERROR(INDEX('Datos - Catálogo TIMSS'!$C$5:$C$107,MATCH(L214,'Datos - Catálogo TIMSS'!$A$5:$A$107,0)),"?"))</f>
      </c>
      <c r="P214" t="s" s="35">
        <v>282</v>
      </c>
      <c r="Q214" t="s" s="120">
        <v>2835</v>
      </c>
      <c r="R214" t="s" s="120">
        <v>2836</v>
      </c>
      <c r="S214" s="121" cm="1">
        <f t="array" ref="S214">_xlfn.IFERROR(ISNUMBER(SEARCH("Conocer",$R214))/(ISNUMBER(SEARCH("Conocer",$R214))+ISNUMBER(SEARCH("Aplicar",$R214))+ISNUMBER(SEARCH("Razonar",$R214))),0)</f>
        <v>0</v>
      </c>
      <c r="T214" s="121" cm="1">
        <f t="array" ref="T214">_xlfn.IFERROR(ISNUMBER(SEARCH("Aplicar",$R214))/(ISNUMBER(SEARCH("Conocer",$R214))+ISNUMBER(SEARCH("Aplicar",$R214))+ISNUMBER(SEARCH("Razonar",$R214))),0)</f>
        <v>1</v>
      </c>
      <c r="U214" s="121" cm="1">
        <f t="array" ref="U214">_xlfn.IFERROR(ISNUMBER(SEARCH("Razonar",$R214))/(ISNUMBER(SEARCH("Conocer",$R214))+ISNUMBER(SEARCH("Aplicar",$R214))+ISNUMBER(SEARCH("Razonar",$R214))),0)</f>
        <v>0</v>
      </c>
      <c r="V214" t="s" s="35">
        <v>79</v>
      </c>
      <c r="W214" t="s" s="35">
        <v>115</v>
      </c>
      <c r="X214" s="36" cm="1">
        <f t="array" ref="X214">IF(OR(_xlfn.IFERROR(INDEX('Datos - Catálogo TIMSS'!$I$5:$I$107,MATCH(K214,'Datos - Catálogo TIMSS'!$A$5:$A$107,0)),"No")="Sí",_xlfn.IFERROR(INDEX('Datos - Catálogo TIMSS'!$I$5:$I$107,MATCH(L214,'Datos - Catálogo TIMSS'!$A$5:$A$107,0)),"No")="Sí"),1,0)</f>
        <v>0</v>
      </c>
      <c r="Y214" s="36" cm="1">
        <f t="array" ref="Y214">IF(_xlfn.IFERROR(INDEX('Datos - Catálogo TIMSS'!$J$5:$J$107,MATCH(K214,'Datos - Catálogo TIMSS'!$A$5:$A$107,0)),"No")="Sí",1,0)</f>
        <v>1</v>
      </c>
      <c r="Z214" s="36" cm="1">
        <f t="array" ref="Z214">IF(_xlfn.IFERROR(INDEX('Datos - Catálogo TIMSS'!$J$5:$J$107,MATCH(L214,'Datos - Catálogo TIMSS'!$A$5:$A$107,0)),"No")="Sí",1,0)</f>
        <v>0</v>
      </c>
      <c r="AA214" t="s" s="35">
        <v>1832</v>
      </c>
      <c r="AB214" s="39"/>
      <c r="AC214" t="str" s="39">
        <v>Fuera del marco</v>
      </c>
      <c r="AD214" t="s" s="35">
        <v>1834</v>
      </c>
      <c r="AE214" t="str" s="39" cm="1">
        <f t="array" ref="AE214">IF(AD214="","",IF(LEFT(AD214,1)="1","C1",IF(LEFT(AD214,1)="2","C2",IF(LEFT(AD214,1)="3","C3",""))))</f>
        <v>C2</v>
      </c>
      <c r="AF214" t="s" s="35">
        <v>1602</v>
      </c>
      <c r="AG214" t="s" s="35">
        <v>1617</v>
      </c>
      <c r="AH214" t="s" s="35">
        <v>1602</v>
      </c>
      <c r="AI214" t="s" s="35">
        <v>1623</v>
      </c>
      <c r="AJ214" t="s" s="35">
        <v>1602</v>
      </c>
      <c r="AK214" s="39"/>
      <c r="AL214" s="39"/>
      <c r="AM214" s="39"/>
      <c r="AN214" s="39"/>
      <c r="AO214" s="39"/>
      <c r="AP214" s="39"/>
      <c r="AQ214" s="39"/>
      <c r="AR214" s="39"/>
      <c r="AS214" s="39"/>
      <c r="AT214" s="39"/>
      <c r="AU214" s="39"/>
      <c r="AV214" s="39"/>
      <c r="AW214" t="str" s="39" cm="1">
        <f t="array" ref="AW214">AF214&amp;"; "&amp;AG214&amp;"; "&amp;AH214&amp;"; "&amp;AI214&amp;"; "&amp;AJ214</f>
        <v>E1; D1; E1; D4; E1</v>
      </c>
    </row>
    <row r="215" ht="13.65" customHeight="1">
      <c r="A215" t="s" s="35">
        <v>2837</v>
      </c>
      <c r="B215" s="36">
        <v>5</v>
      </c>
      <c r="C215" t="s" s="35">
        <v>1823</v>
      </c>
      <c r="D215" t="s" s="35">
        <v>2825</v>
      </c>
      <c r="E215" t="s" s="35">
        <v>2826</v>
      </c>
      <c r="F215" s="36">
        <v>5</v>
      </c>
      <c r="G215" t="s" s="35">
        <v>2827</v>
      </c>
      <c r="H215" t="s" s="35">
        <v>2828</v>
      </c>
      <c r="I215" t="s" s="120">
        <v>2838</v>
      </c>
      <c r="J215" t="s" s="35">
        <v>1164</v>
      </c>
      <c r="K215" t="s" s="35">
        <v>1832</v>
      </c>
      <c r="L215" s="39"/>
      <c r="M215" t="str" s="39">
        <v>Fuera del marco</v>
      </c>
      <c r="N215" t="str" s="39">
        <v>Fuera del marco</v>
      </c>
      <c r="O215" t="str" s="39" cm="1">
        <f t="array" ref="O215">IF(L215="","",_xlfn.IFERROR(INDEX('Datos - Catálogo TIMSS'!$C$5:$C$107,MATCH(L215,'Datos - Catálogo TIMSS'!$A$5:$A$107,0)),"?"))</f>
      </c>
      <c r="P215" t="s" s="35">
        <v>282</v>
      </c>
      <c r="Q215" t="s" s="120">
        <v>2839</v>
      </c>
      <c r="R215" t="s" s="120">
        <v>2840</v>
      </c>
      <c r="S215" s="121" cm="1">
        <f t="array" ref="S215">_xlfn.IFERROR(ISNUMBER(SEARCH("Conocer",$R215))/(ISNUMBER(SEARCH("Conocer",$R215))+ISNUMBER(SEARCH("Aplicar",$R215))+ISNUMBER(SEARCH("Razonar",$R215))),0)</f>
        <v>0</v>
      </c>
      <c r="T215" s="121" cm="1">
        <f t="array" ref="T215">_xlfn.IFERROR(ISNUMBER(SEARCH("Aplicar",$R215))/(ISNUMBER(SEARCH("Conocer",$R215))+ISNUMBER(SEARCH("Aplicar",$R215))+ISNUMBER(SEARCH("Razonar",$R215))),0)</f>
        <v>1</v>
      </c>
      <c r="U215" s="121" cm="1">
        <f t="array" ref="U215">_xlfn.IFERROR(ISNUMBER(SEARCH("Razonar",$R215))/(ISNUMBER(SEARCH("Conocer",$R215))+ISNUMBER(SEARCH("Aplicar",$R215))+ISNUMBER(SEARCH("Razonar",$R215))),0)</f>
        <v>0</v>
      </c>
      <c r="V215" t="s" s="35">
        <v>79</v>
      </c>
      <c r="W215" t="s" s="35">
        <v>115</v>
      </c>
      <c r="X215" s="36" cm="1">
        <f t="array" ref="X215">IF(OR(_xlfn.IFERROR(INDEX('Datos - Catálogo TIMSS'!$I$5:$I$107,MATCH(K215,'Datos - Catálogo TIMSS'!$A$5:$A$107,0)),"No")="Sí",_xlfn.IFERROR(INDEX('Datos - Catálogo TIMSS'!$I$5:$I$107,MATCH(L215,'Datos - Catálogo TIMSS'!$A$5:$A$107,0)),"No")="Sí"),1,0)</f>
        <v>0</v>
      </c>
      <c r="Y215" s="36" cm="1">
        <f t="array" ref="Y215">IF(_xlfn.IFERROR(INDEX('Datos - Catálogo TIMSS'!$J$5:$J$107,MATCH(K215,'Datos - Catálogo TIMSS'!$A$5:$A$107,0)),"No")="Sí",1,0)</f>
        <v>0</v>
      </c>
      <c r="Z215" s="36" cm="1">
        <f t="array" ref="Z215">IF(_xlfn.IFERROR(INDEX('Datos - Catálogo TIMSS'!$J$5:$J$107,MATCH(L215,'Datos - Catálogo TIMSS'!$A$5:$A$107,0)),"No")="Sí",1,0)</f>
        <v>0</v>
      </c>
      <c r="AA215" t="s" s="35">
        <v>1832</v>
      </c>
      <c r="AB215" s="39"/>
      <c r="AC215" t="str" s="39">
        <v>Fuera del marco</v>
      </c>
      <c r="AD215" t="s" s="35">
        <v>1834</v>
      </c>
      <c r="AE215" t="str" s="39" cm="1">
        <f t="array" ref="AE215">IF(AD215="","",IF(LEFT(AD215,1)="1","C1",IF(LEFT(AD215,1)="2","C2",IF(LEFT(AD215,1)="3","C3",""))))</f>
        <v>C2</v>
      </c>
      <c r="AF215" t="s" s="35">
        <v>1602</v>
      </c>
      <c r="AG215" t="s" s="35">
        <v>1617</v>
      </c>
      <c r="AH215" t="s" s="35">
        <v>1605</v>
      </c>
      <c r="AI215" t="s" s="35">
        <v>1623</v>
      </c>
      <c r="AJ215" t="s" s="35">
        <v>1607</v>
      </c>
      <c r="AK215" s="39"/>
      <c r="AL215" s="39"/>
      <c r="AM215" s="39"/>
      <c r="AN215" s="39"/>
      <c r="AO215" s="39"/>
      <c r="AP215" s="39"/>
      <c r="AQ215" s="39"/>
      <c r="AR215" s="39"/>
      <c r="AS215" s="39"/>
      <c r="AT215" s="39"/>
      <c r="AU215" s="39"/>
      <c r="AV215" s="39"/>
      <c r="AW215" t="str" s="39" cm="1">
        <f t="array" ref="AW215">AF215&amp;"; "&amp;AG215&amp;"; "&amp;AH215&amp;"; "&amp;AI215&amp;"; "&amp;AJ215</f>
        <v>E1; D1; E2; D4; E3</v>
      </c>
    </row>
    <row r="216" ht="13.65" customHeight="1">
      <c r="A216" t="s" s="35">
        <v>2841</v>
      </c>
      <c r="B216" s="36">
        <v>5</v>
      </c>
      <c r="C216" t="s" s="35">
        <v>1823</v>
      </c>
      <c r="D216" t="s" s="35">
        <v>2825</v>
      </c>
      <c r="E216" t="s" s="35">
        <v>2826</v>
      </c>
      <c r="F216" s="36">
        <v>6</v>
      </c>
      <c r="G216" t="s" s="35">
        <v>2827</v>
      </c>
      <c r="H216" t="s" s="35">
        <v>2828</v>
      </c>
      <c r="I216" t="s" s="120">
        <v>2842</v>
      </c>
      <c r="J216" t="s" s="35">
        <v>1164</v>
      </c>
      <c r="K216" t="s" s="35">
        <v>1832</v>
      </c>
      <c r="L216" s="39"/>
      <c r="M216" t="str" s="39">
        <v>Fuera del marco</v>
      </c>
      <c r="N216" t="str" s="39">
        <v>Fuera del marco</v>
      </c>
      <c r="O216" t="str" s="39" cm="1">
        <f t="array" ref="O216">IF(L216="","",_xlfn.IFERROR(INDEX('Datos - Catálogo TIMSS'!$C$5:$C$107,MATCH(L216,'Datos - Catálogo TIMSS'!$A$5:$A$107,0)),"?"))</f>
      </c>
      <c r="P216" t="s" s="35">
        <v>254</v>
      </c>
      <c r="Q216" t="s" s="120">
        <v>2843</v>
      </c>
      <c r="R216" t="s" s="120">
        <v>2844</v>
      </c>
      <c r="S216" s="121" cm="1">
        <f t="array" ref="S216">_xlfn.IFERROR(ISNUMBER(SEARCH("Conocer",$R216))/(ISNUMBER(SEARCH("Conocer",$R216))+ISNUMBER(SEARCH("Aplicar",$R216))+ISNUMBER(SEARCH("Razonar",$R216))),0)</f>
        <v>0.5</v>
      </c>
      <c r="T216" s="121" cm="1">
        <f t="array" ref="T216">_xlfn.IFERROR(ISNUMBER(SEARCH("Aplicar",$R216))/(ISNUMBER(SEARCH("Conocer",$R216))+ISNUMBER(SEARCH("Aplicar",$R216))+ISNUMBER(SEARCH("Razonar",$R216))),0)</f>
        <v>0.5</v>
      </c>
      <c r="U216" s="121" cm="1">
        <f t="array" ref="U216">_xlfn.IFERROR(ISNUMBER(SEARCH("Razonar",$R216))/(ISNUMBER(SEARCH("Conocer",$R216))+ISNUMBER(SEARCH("Aplicar",$R216))+ISNUMBER(SEARCH("Razonar",$R216))),0)</f>
        <v>0</v>
      </c>
      <c r="V216" t="s" s="35">
        <v>79</v>
      </c>
      <c r="W216" t="s" s="35">
        <v>115</v>
      </c>
      <c r="X216" s="36" cm="1">
        <f t="array" ref="X216">IF(OR(_xlfn.IFERROR(INDEX('Datos - Catálogo TIMSS'!$I$5:$I$107,MATCH(K216,'Datos - Catálogo TIMSS'!$A$5:$A$107,0)),"No")="Sí",_xlfn.IFERROR(INDEX('Datos - Catálogo TIMSS'!$I$5:$I$107,MATCH(L216,'Datos - Catálogo TIMSS'!$A$5:$A$107,0)),"No")="Sí"),1,0)</f>
        <v>0</v>
      </c>
      <c r="Y216" s="36" cm="1">
        <f t="array" ref="Y216">IF(_xlfn.IFERROR(INDEX('Datos - Catálogo TIMSS'!$J$5:$J$107,MATCH(K216,'Datos - Catálogo TIMSS'!$A$5:$A$107,0)),"No")="Sí",1,0)</f>
        <v>0</v>
      </c>
      <c r="Z216" s="36" cm="1">
        <f t="array" ref="Z216">IF(_xlfn.IFERROR(INDEX('Datos - Catálogo TIMSS'!$J$5:$J$107,MATCH(L216,'Datos - Catálogo TIMSS'!$A$5:$A$107,0)),"No")="Sí",1,0)</f>
        <v>0</v>
      </c>
      <c r="AA216" t="s" s="35">
        <v>1832</v>
      </c>
      <c r="AB216" s="39"/>
      <c r="AC216" t="str" s="39">
        <v>Fuera del marco</v>
      </c>
      <c r="AD216" t="s" s="35">
        <v>1900</v>
      </c>
      <c r="AE216" t="str" s="39" cm="1">
        <f t="array" ref="AE216">IF(AD216="","",IF(LEFT(AD216,1)="1","C1",IF(LEFT(AD216,1)="2","C2",IF(LEFT(AD216,1)="3","C3",""))))</f>
        <v>C3</v>
      </c>
      <c r="AF216" t="s" s="35">
        <v>1602</v>
      </c>
      <c r="AG216" t="s" s="35">
        <v>1617</v>
      </c>
      <c r="AH216" t="s" s="35">
        <v>1602</v>
      </c>
      <c r="AI216" t="s" s="35">
        <v>1631</v>
      </c>
      <c r="AJ216" t="s" s="35">
        <v>1625</v>
      </c>
      <c r="AK216" s="39"/>
      <c r="AL216" s="39"/>
      <c r="AM216" s="39"/>
      <c r="AN216" s="39"/>
      <c r="AO216" s="39"/>
      <c r="AP216" s="39"/>
      <c r="AQ216" s="39"/>
      <c r="AR216" s="39"/>
      <c r="AS216" s="39"/>
      <c r="AT216" s="39"/>
      <c r="AU216" s="39"/>
      <c r="AV216" s="39"/>
      <c r="AW216" t="str" s="39" cm="1">
        <f t="array" ref="AW216">AF216&amp;"; "&amp;AG216&amp;"; "&amp;AH216&amp;"; "&amp;AI216&amp;"; "&amp;AJ216</f>
        <v>E1; D1; E1; I4; I1</v>
      </c>
    </row>
    <row r="217" ht="13.65" customHeight="1">
      <c r="A217" t="s" s="35">
        <v>2846</v>
      </c>
      <c r="B217" s="36">
        <v>5</v>
      </c>
      <c r="C217" t="s" s="35">
        <v>1823</v>
      </c>
      <c r="D217" t="s" s="35">
        <v>2825</v>
      </c>
      <c r="E217" t="s" s="35">
        <v>2826</v>
      </c>
      <c r="F217" s="36">
        <v>7</v>
      </c>
      <c r="G217" t="s" s="35">
        <v>2827</v>
      </c>
      <c r="H217" t="s" s="35">
        <v>2847</v>
      </c>
      <c r="I217" t="s" s="120">
        <v>2848</v>
      </c>
      <c r="J217" t="s" s="35">
        <v>1164</v>
      </c>
      <c r="K217" t="s" s="35">
        <v>1832</v>
      </c>
      <c r="L217" s="39"/>
      <c r="M217" t="str" s="39">
        <v>Fuera del marco</v>
      </c>
      <c r="N217" t="str" s="39">
        <v>Fuera del marco</v>
      </c>
      <c r="O217" t="str" s="39" cm="1">
        <f t="array" ref="O217">IF(L217="","",_xlfn.IFERROR(INDEX('Datos - Catálogo TIMSS'!$C$5:$C$107,MATCH(L217,'Datos - Catálogo TIMSS'!$A$5:$A$107,0)),"?"))</f>
      </c>
      <c r="P217" t="s" s="35">
        <v>254</v>
      </c>
      <c r="Q217" t="s" s="120">
        <v>2849</v>
      </c>
      <c r="R217" t="s" s="120">
        <v>2850</v>
      </c>
      <c r="S217" s="121" cm="1">
        <f t="array" ref="S217">_xlfn.IFERROR(ISNUMBER(SEARCH("Conocer",$R217))/(ISNUMBER(SEARCH("Conocer",$R217))+ISNUMBER(SEARCH("Aplicar",$R217))+ISNUMBER(SEARCH("Razonar",$R217))),0)</f>
        <v>0</v>
      </c>
      <c r="T217" s="121" cm="1">
        <f t="array" ref="T217">_xlfn.IFERROR(ISNUMBER(SEARCH("Aplicar",$R217))/(ISNUMBER(SEARCH("Conocer",$R217))+ISNUMBER(SEARCH("Aplicar",$R217))+ISNUMBER(SEARCH("Razonar",$R217))),0)</f>
        <v>1</v>
      </c>
      <c r="U217" s="121" cm="1">
        <f t="array" ref="U217">_xlfn.IFERROR(ISNUMBER(SEARCH("Razonar",$R217))/(ISNUMBER(SEARCH("Conocer",$R217))+ISNUMBER(SEARCH("Aplicar",$R217))+ISNUMBER(SEARCH("Razonar",$R217))),0)</f>
        <v>0</v>
      </c>
      <c r="V217" t="s" s="35">
        <v>79</v>
      </c>
      <c r="W217" t="s" s="35">
        <v>115</v>
      </c>
      <c r="X217" s="36" cm="1">
        <f t="array" ref="X217">IF(OR(_xlfn.IFERROR(INDEX('Datos - Catálogo TIMSS'!$I$5:$I$107,MATCH(K217,'Datos - Catálogo TIMSS'!$A$5:$A$107,0)),"No")="Sí",_xlfn.IFERROR(INDEX('Datos - Catálogo TIMSS'!$I$5:$I$107,MATCH(L217,'Datos - Catálogo TIMSS'!$A$5:$A$107,0)),"No")="Sí"),1,0)</f>
        <v>0</v>
      </c>
      <c r="Y217" s="36" cm="1">
        <f t="array" ref="Y217">IF(_xlfn.IFERROR(INDEX('Datos - Catálogo TIMSS'!$J$5:$J$107,MATCH(K217,'Datos - Catálogo TIMSS'!$A$5:$A$107,0)),"No")="Sí",1,0)</f>
        <v>0</v>
      </c>
      <c r="Z217" s="36" cm="1">
        <f t="array" ref="Z217">IF(_xlfn.IFERROR(INDEX('Datos - Catálogo TIMSS'!$J$5:$J$107,MATCH(L217,'Datos - Catálogo TIMSS'!$A$5:$A$107,0)),"No")="Sí",1,0)</f>
        <v>0</v>
      </c>
      <c r="AA217" t="s" s="35">
        <v>1832</v>
      </c>
      <c r="AB217" s="39"/>
      <c r="AC217" t="str" s="39">
        <v>Fuera del marco</v>
      </c>
      <c r="AD217" t="s" s="35">
        <v>1834</v>
      </c>
      <c r="AE217" t="str" s="39" cm="1">
        <f t="array" ref="AE217">IF(AD217="","",IF(LEFT(AD217,1)="1","C1",IF(LEFT(AD217,1)="2","C2",IF(LEFT(AD217,1)="3","C3",""))))</f>
        <v>C2</v>
      </c>
      <c r="AF217" t="s" s="35">
        <v>1602</v>
      </c>
      <c r="AG217" t="s" s="35">
        <v>1617</v>
      </c>
      <c r="AH217" t="s" s="35">
        <v>1602</v>
      </c>
      <c r="AI217" t="s" s="35">
        <v>1623</v>
      </c>
      <c r="AJ217" t="s" s="35">
        <v>1605</v>
      </c>
      <c r="AK217" s="39"/>
      <c r="AL217" s="39"/>
      <c r="AM217" s="39"/>
      <c r="AN217" s="39"/>
      <c r="AO217" s="39"/>
      <c r="AP217" s="39"/>
      <c r="AQ217" s="39"/>
      <c r="AR217" s="39"/>
      <c r="AS217" s="39"/>
      <c r="AT217" s="39"/>
      <c r="AU217" s="39"/>
      <c r="AV217" s="39"/>
      <c r="AW217" t="str" s="39" cm="1">
        <f t="array" ref="AW217">AF217&amp;"; "&amp;AG217&amp;"; "&amp;AH217&amp;"; "&amp;AI217&amp;"; "&amp;AJ217</f>
        <v>E1; D1; E1; D4; E2</v>
      </c>
    </row>
    <row r="218" ht="13.65" customHeight="1">
      <c r="A218" t="s" s="35">
        <v>2852</v>
      </c>
      <c r="B218" s="36">
        <v>5</v>
      </c>
      <c r="C218" t="s" s="35">
        <v>1823</v>
      </c>
      <c r="D218" t="s" s="35">
        <v>2825</v>
      </c>
      <c r="E218" t="s" s="35">
        <v>2826</v>
      </c>
      <c r="F218" s="36">
        <v>8</v>
      </c>
      <c r="G218" t="s" s="35">
        <v>2827</v>
      </c>
      <c r="H218" t="s" s="35">
        <v>2847</v>
      </c>
      <c r="I218" t="s" s="120">
        <v>2853</v>
      </c>
      <c r="J218" t="s" s="35">
        <v>1164</v>
      </c>
      <c r="K218" t="s" s="35">
        <v>1832</v>
      </c>
      <c r="L218" s="39"/>
      <c r="M218" t="str" s="39">
        <v>Fuera del marco</v>
      </c>
      <c r="N218" t="str" s="39">
        <v>Fuera del marco</v>
      </c>
      <c r="O218" t="str" s="39" cm="1">
        <f t="array" ref="O218">IF(L218="","",_xlfn.IFERROR(INDEX('Datos - Catálogo TIMSS'!$C$5:$C$107,MATCH(L218,'Datos - Catálogo TIMSS'!$A$5:$A$107,0)),"?"))</f>
      </c>
      <c r="P218" t="s" s="35">
        <v>254</v>
      </c>
      <c r="Q218" t="s" s="120">
        <v>2854</v>
      </c>
      <c r="R218" t="s" s="120">
        <v>2855</v>
      </c>
      <c r="S218" s="121" cm="1">
        <f t="array" ref="S218">_xlfn.IFERROR(ISNUMBER(SEARCH("Conocer",$R218))/(ISNUMBER(SEARCH("Conocer",$R218))+ISNUMBER(SEARCH("Aplicar",$R218))+ISNUMBER(SEARCH("Razonar",$R218))),0)</f>
        <v>0</v>
      </c>
      <c r="T218" s="121" cm="1">
        <f t="array" ref="T218">_xlfn.IFERROR(ISNUMBER(SEARCH("Aplicar",$R218))/(ISNUMBER(SEARCH("Conocer",$R218))+ISNUMBER(SEARCH("Aplicar",$R218))+ISNUMBER(SEARCH("Razonar",$R218))),0)</f>
        <v>1</v>
      </c>
      <c r="U218" s="121" cm="1">
        <f t="array" ref="U218">_xlfn.IFERROR(ISNUMBER(SEARCH("Razonar",$R218))/(ISNUMBER(SEARCH("Conocer",$R218))+ISNUMBER(SEARCH("Aplicar",$R218))+ISNUMBER(SEARCH("Razonar",$R218))),0)</f>
        <v>0</v>
      </c>
      <c r="V218" t="s" s="35">
        <v>79</v>
      </c>
      <c r="W218" t="s" s="35">
        <v>115</v>
      </c>
      <c r="X218" s="36" cm="1">
        <f t="array" ref="X218">IF(OR(_xlfn.IFERROR(INDEX('Datos - Catálogo TIMSS'!$I$5:$I$107,MATCH(K218,'Datos - Catálogo TIMSS'!$A$5:$A$107,0)),"No")="Sí",_xlfn.IFERROR(INDEX('Datos - Catálogo TIMSS'!$I$5:$I$107,MATCH(L218,'Datos - Catálogo TIMSS'!$A$5:$A$107,0)),"No")="Sí"),1,0)</f>
        <v>0</v>
      </c>
      <c r="Y218" s="36" cm="1">
        <f t="array" ref="Y218">IF(_xlfn.IFERROR(INDEX('Datos - Catálogo TIMSS'!$J$5:$J$107,MATCH(K218,'Datos - Catálogo TIMSS'!$A$5:$A$107,0)),"No")="Sí",1,0)</f>
        <v>0</v>
      </c>
      <c r="Z218" s="36" cm="1">
        <f t="array" ref="Z218">IF(_xlfn.IFERROR(INDEX('Datos - Catálogo TIMSS'!$J$5:$J$107,MATCH(L218,'Datos - Catálogo TIMSS'!$A$5:$A$107,0)),"No")="Sí",1,0)</f>
        <v>0</v>
      </c>
      <c r="AA218" t="s" s="35">
        <v>1832</v>
      </c>
      <c r="AB218" s="39"/>
      <c r="AC218" t="str" s="39">
        <v>Fuera del marco</v>
      </c>
      <c r="AD218" t="s" s="35">
        <v>1834</v>
      </c>
      <c r="AE218" t="str" s="39" cm="1">
        <f t="array" ref="AE218">IF(AD218="","",IF(LEFT(AD218,1)="1","C1",IF(LEFT(AD218,1)="2","C2",IF(LEFT(AD218,1)="3","C3",""))))</f>
        <v>C2</v>
      </c>
      <c r="AF218" t="s" s="35">
        <v>1602</v>
      </c>
      <c r="AG218" t="s" s="35">
        <v>1617</v>
      </c>
      <c r="AH218" t="s" s="35">
        <v>1602</v>
      </c>
      <c r="AI218" t="s" s="35">
        <v>1623</v>
      </c>
      <c r="AJ218" t="s" s="35">
        <v>1607</v>
      </c>
      <c r="AK218" s="39"/>
      <c r="AL218" s="39"/>
      <c r="AM218" s="39"/>
      <c r="AN218" s="39"/>
      <c r="AO218" s="39"/>
      <c r="AP218" s="39"/>
      <c r="AQ218" s="39"/>
      <c r="AR218" s="39"/>
      <c r="AS218" s="39"/>
      <c r="AT218" s="39"/>
      <c r="AU218" s="39"/>
      <c r="AV218" s="39"/>
      <c r="AW218" t="str" s="39" cm="1">
        <f t="array" ref="AW218">AF218&amp;"; "&amp;AG218&amp;"; "&amp;AH218&amp;"; "&amp;AI218&amp;"; "&amp;AJ218</f>
        <v>E1; D1; E1; D4; E3</v>
      </c>
    </row>
    <row r="219" ht="13.65" customHeight="1">
      <c r="A219" t="s" s="35">
        <v>2856</v>
      </c>
      <c r="B219" s="36">
        <v>5</v>
      </c>
      <c r="C219" t="s" s="35">
        <v>1823</v>
      </c>
      <c r="D219" t="s" s="35">
        <v>2825</v>
      </c>
      <c r="E219" t="s" s="35">
        <v>2826</v>
      </c>
      <c r="F219" s="36">
        <v>9</v>
      </c>
      <c r="G219" t="s" s="35">
        <v>2827</v>
      </c>
      <c r="H219" t="s" s="35">
        <v>2857</v>
      </c>
      <c r="I219" t="s" s="120">
        <v>2858</v>
      </c>
      <c r="J219" t="s" s="35">
        <v>1164</v>
      </c>
      <c r="K219" t="s" s="35">
        <v>569</v>
      </c>
      <c r="L219" s="39"/>
      <c r="M219" t="str" s="39">
        <v>Física</v>
      </c>
      <c r="N219" t="str" s="39">
        <v>Investigaciones en física</v>
      </c>
      <c r="O219" t="str" s="39" cm="1">
        <f t="array" ref="O219">IF(L219="","",_xlfn.IFERROR(INDEX('Datos - Catálogo TIMSS'!$C$5:$C$107,MATCH(L219,'Datos - Catálogo TIMSS'!$A$5:$A$107,0)),"?"))</f>
      </c>
      <c r="P219" t="s" s="35">
        <v>282</v>
      </c>
      <c r="Q219" t="s" s="120">
        <v>2859</v>
      </c>
      <c r="R219" t="s" s="120">
        <v>2860</v>
      </c>
      <c r="S219" s="121" cm="1">
        <f t="array" ref="S219">_xlfn.IFERROR(ISNUMBER(SEARCH("Conocer",$R219))/(ISNUMBER(SEARCH("Conocer",$R219))+ISNUMBER(SEARCH("Aplicar",$R219))+ISNUMBER(SEARCH("Razonar",$R219))),0)</f>
        <v>0</v>
      </c>
      <c r="T219" s="121" cm="1">
        <f t="array" ref="T219">_xlfn.IFERROR(ISNUMBER(SEARCH("Aplicar",$R219))/(ISNUMBER(SEARCH("Conocer",$R219))+ISNUMBER(SEARCH("Aplicar",$R219))+ISNUMBER(SEARCH("Razonar",$R219))),0)</f>
        <v>0.5</v>
      </c>
      <c r="U219" s="121" cm="1">
        <f t="array" ref="U219">_xlfn.IFERROR(ISNUMBER(SEARCH("Razonar",$R219))/(ISNUMBER(SEARCH("Conocer",$R219))+ISNUMBER(SEARCH("Aplicar",$R219))+ISNUMBER(SEARCH("Razonar",$R219))),0)</f>
        <v>0.5</v>
      </c>
      <c r="V219" t="s" s="35">
        <v>79</v>
      </c>
      <c r="W219" t="s" s="35">
        <v>115</v>
      </c>
      <c r="X219" s="36" cm="1">
        <f t="array" ref="X219">IF(OR(_xlfn.IFERROR(INDEX('Datos - Catálogo TIMSS'!$I$5:$I$107,MATCH(K219,'Datos - Catálogo TIMSS'!$A$5:$A$107,0)),"No")="Sí",_xlfn.IFERROR(INDEX('Datos - Catálogo TIMSS'!$I$5:$I$107,MATCH(L219,'Datos - Catálogo TIMSS'!$A$5:$A$107,0)),"No")="Sí"),1,0)</f>
        <v>0</v>
      </c>
      <c r="Y219" s="36" cm="1">
        <f t="array" ref="Y219">IF(_xlfn.IFERROR(INDEX('Datos - Catálogo TIMSS'!$J$5:$J$107,MATCH(K219,'Datos - Catálogo TIMSS'!$A$5:$A$107,0)),"No")="Sí",1,0)</f>
        <v>1</v>
      </c>
      <c r="Z219" s="36" cm="1">
        <f t="array" ref="Z219">IF(_xlfn.IFERROR(INDEX('Datos - Catálogo TIMSS'!$J$5:$J$107,MATCH(L219,'Datos - Catálogo TIMSS'!$A$5:$A$107,0)),"No")="Sí",1,0)</f>
        <v>0</v>
      </c>
      <c r="AA219" t="s" s="35">
        <v>1832</v>
      </c>
      <c r="AB219" s="39"/>
      <c r="AC219" t="str" s="39">
        <v>Fuera del marco</v>
      </c>
      <c r="AD219" t="s" s="35">
        <v>1834</v>
      </c>
      <c r="AE219" t="str" s="39" cm="1">
        <f t="array" ref="AE219">IF(AD219="","",IF(LEFT(AD219,1)="1","C1",IF(LEFT(AD219,1)="2","C2",IF(LEFT(AD219,1)="3","C3",""))))</f>
        <v>C2</v>
      </c>
      <c r="AF219" t="s" s="35">
        <v>1602</v>
      </c>
      <c r="AG219" t="s" s="35">
        <v>1612</v>
      </c>
      <c r="AH219" t="s" s="35">
        <v>1609</v>
      </c>
      <c r="AI219" t="s" s="35">
        <v>1623</v>
      </c>
      <c r="AJ219" t="s" s="35">
        <v>1607</v>
      </c>
      <c r="AK219" s="39"/>
      <c r="AL219" s="39"/>
      <c r="AM219" s="39"/>
      <c r="AN219" s="39"/>
      <c r="AO219" s="39"/>
      <c r="AP219" s="39"/>
      <c r="AQ219" s="39"/>
      <c r="AR219" s="39"/>
      <c r="AS219" s="39"/>
      <c r="AT219" s="39"/>
      <c r="AU219" s="39"/>
      <c r="AV219" s="39"/>
      <c r="AW219" t="str" s="39" cm="1">
        <f t="array" ref="AW219">AF219&amp;"; "&amp;AG219&amp;"; "&amp;AH219&amp;"; "&amp;AI219&amp;"; "&amp;AJ219</f>
        <v>E1; E5; E4; D4; E3</v>
      </c>
    </row>
    <row r="220" ht="13.65" customHeight="1">
      <c r="A220" t="s" s="35">
        <v>2861</v>
      </c>
      <c r="B220" s="36">
        <v>5</v>
      </c>
      <c r="C220" t="s" s="35">
        <v>1823</v>
      </c>
      <c r="D220" t="s" s="35">
        <v>2825</v>
      </c>
      <c r="E220" t="s" s="35">
        <v>2826</v>
      </c>
      <c r="F220" s="36">
        <v>10</v>
      </c>
      <c r="G220" t="s" s="35">
        <v>2827</v>
      </c>
      <c r="H220" t="s" s="35">
        <v>2857</v>
      </c>
      <c r="I220" t="s" s="120">
        <v>2862</v>
      </c>
      <c r="J220" t="s" s="35">
        <v>1164</v>
      </c>
      <c r="K220" t="s" s="35">
        <v>569</v>
      </c>
      <c r="L220" s="39"/>
      <c r="M220" t="str" s="39">
        <v>Física</v>
      </c>
      <c r="N220" t="str" s="39">
        <v>Investigaciones en física</v>
      </c>
      <c r="O220" t="str" s="39" cm="1">
        <f t="array" ref="O220">IF(L220="","",_xlfn.IFERROR(INDEX('Datos - Catálogo TIMSS'!$C$5:$C$107,MATCH(L220,'Datos - Catálogo TIMSS'!$A$5:$A$107,0)),"?"))</f>
      </c>
      <c r="P220" t="s" s="35">
        <v>282</v>
      </c>
      <c r="Q220" t="s" s="120">
        <v>2863</v>
      </c>
      <c r="R220" t="s" s="120">
        <v>2864</v>
      </c>
      <c r="S220" s="121" cm="1">
        <f t="array" ref="S220">_xlfn.IFERROR(ISNUMBER(SEARCH("Conocer",$R220))/(ISNUMBER(SEARCH("Conocer",$R220))+ISNUMBER(SEARCH("Aplicar",$R220))+ISNUMBER(SEARCH("Razonar",$R220))),0)</f>
        <v>0</v>
      </c>
      <c r="T220" s="121" cm="1">
        <f t="array" ref="T220">_xlfn.IFERROR(ISNUMBER(SEARCH("Aplicar",$R220))/(ISNUMBER(SEARCH("Conocer",$R220))+ISNUMBER(SEARCH("Aplicar",$R220))+ISNUMBER(SEARCH("Razonar",$R220))),0)</f>
        <v>0</v>
      </c>
      <c r="U220" s="121" cm="1">
        <f t="array" ref="U220">_xlfn.IFERROR(ISNUMBER(SEARCH("Razonar",$R220))/(ISNUMBER(SEARCH("Conocer",$R220))+ISNUMBER(SEARCH("Aplicar",$R220))+ISNUMBER(SEARCH("Razonar",$R220))),0)</f>
        <v>1</v>
      </c>
      <c r="V220" t="s" s="35">
        <v>79</v>
      </c>
      <c r="W220" t="s" s="35">
        <v>115</v>
      </c>
      <c r="X220" s="36" cm="1">
        <f t="array" ref="X220">IF(OR(_xlfn.IFERROR(INDEX('Datos - Catálogo TIMSS'!$I$5:$I$107,MATCH(K220,'Datos - Catálogo TIMSS'!$A$5:$A$107,0)),"No")="Sí",_xlfn.IFERROR(INDEX('Datos - Catálogo TIMSS'!$I$5:$I$107,MATCH(L220,'Datos - Catálogo TIMSS'!$A$5:$A$107,0)),"No")="Sí"),1,0)</f>
        <v>0</v>
      </c>
      <c r="Y220" s="36" cm="1">
        <f t="array" ref="Y220">IF(_xlfn.IFERROR(INDEX('Datos - Catálogo TIMSS'!$J$5:$J$107,MATCH(K220,'Datos - Catálogo TIMSS'!$A$5:$A$107,0)),"No")="Sí",1,0)</f>
        <v>1</v>
      </c>
      <c r="Z220" s="36" cm="1">
        <f t="array" ref="Z220">IF(_xlfn.IFERROR(INDEX('Datos - Catálogo TIMSS'!$J$5:$J$107,MATCH(L220,'Datos - Catálogo TIMSS'!$A$5:$A$107,0)),"No")="Sí",1,0)</f>
        <v>0</v>
      </c>
      <c r="AA220" t="s" s="35">
        <v>1832</v>
      </c>
      <c r="AB220" s="39"/>
      <c r="AC220" t="str" s="39">
        <v>Fuera del marco</v>
      </c>
      <c r="AD220" t="s" s="35">
        <v>1834</v>
      </c>
      <c r="AE220" t="str" s="39" cm="1">
        <f t="array" ref="AE220">IF(AD220="","",IF(LEFT(AD220,1)="1","C1",IF(LEFT(AD220,1)="2","C2",IF(LEFT(AD220,1)="3","C3",""))))</f>
        <v>C2</v>
      </c>
      <c r="AF220" t="s" s="35">
        <v>1602</v>
      </c>
      <c r="AG220" t="s" s="35">
        <v>1617</v>
      </c>
      <c r="AH220" t="s" s="35">
        <v>1602</v>
      </c>
      <c r="AI220" t="s" s="35">
        <v>1621</v>
      </c>
      <c r="AJ220" t="s" s="35">
        <v>1631</v>
      </c>
      <c r="AK220" s="39"/>
      <c r="AL220" s="39"/>
      <c r="AM220" s="39"/>
      <c r="AN220" s="39"/>
      <c r="AO220" s="39"/>
      <c r="AP220" s="39"/>
      <c r="AQ220" s="39"/>
      <c r="AR220" s="39"/>
      <c r="AS220" s="39"/>
      <c r="AT220" s="39"/>
      <c r="AU220" s="39"/>
      <c r="AV220" s="39"/>
      <c r="AW220" t="str" s="39" cm="1">
        <f t="array" ref="AW220">AF220&amp;"; "&amp;AG220&amp;"; "&amp;AH220&amp;"; "&amp;AI220&amp;"; "&amp;AJ220</f>
        <v>E1; D1; E1; D3; I4</v>
      </c>
    </row>
    <row r="221" ht="13.65" customHeight="1">
      <c r="A221" t="s" s="35">
        <v>2866</v>
      </c>
      <c r="B221" s="36">
        <v>5</v>
      </c>
      <c r="C221" t="s" s="35">
        <v>1823</v>
      </c>
      <c r="D221" t="s" s="35">
        <v>2825</v>
      </c>
      <c r="E221" t="s" s="35">
        <v>2826</v>
      </c>
      <c r="F221" s="36">
        <v>11</v>
      </c>
      <c r="G221" t="s" s="35">
        <v>2827</v>
      </c>
      <c r="H221" t="s" s="35">
        <v>2857</v>
      </c>
      <c r="I221" t="s" s="120">
        <v>2867</v>
      </c>
      <c r="J221" t="s" s="35">
        <v>1164</v>
      </c>
      <c r="K221" t="s" s="35">
        <v>569</v>
      </c>
      <c r="L221" s="39"/>
      <c r="M221" t="str" s="39">
        <v>Física</v>
      </c>
      <c r="N221" t="str" s="39">
        <v>Investigaciones en física</v>
      </c>
      <c r="O221" t="str" s="39" cm="1">
        <f t="array" ref="O221">IF(L221="","",_xlfn.IFERROR(INDEX('Datos - Catálogo TIMSS'!$C$5:$C$107,MATCH(L221,'Datos - Catálogo TIMSS'!$A$5:$A$107,0)),"?"))</f>
      </c>
      <c r="P221" t="s" s="35">
        <v>291</v>
      </c>
      <c r="Q221" t="s" s="120">
        <v>2868</v>
      </c>
      <c r="R221" t="s" s="120">
        <v>2869</v>
      </c>
      <c r="S221" s="121" cm="1">
        <f t="array" ref="S221">_xlfn.IFERROR(ISNUMBER(SEARCH("Conocer",$R221))/(ISNUMBER(SEARCH("Conocer",$R221))+ISNUMBER(SEARCH("Aplicar",$R221))+ISNUMBER(SEARCH("Razonar",$R221))),0)</f>
        <v>0</v>
      </c>
      <c r="T221" s="121" cm="1">
        <f t="array" ref="T221">_xlfn.IFERROR(ISNUMBER(SEARCH("Aplicar",$R221))/(ISNUMBER(SEARCH("Conocer",$R221))+ISNUMBER(SEARCH("Aplicar",$R221))+ISNUMBER(SEARCH("Razonar",$R221))),0)</f>
        <v>0.5</v>
      </c>
      <c r="U221" s="121" cm="1">
        <f t="array" ref="U221">_xlfn.IFERROR(ISNUMBER(SEARCH("Razonar",$R221))/(ISNUMBER(SEARCH("Conocer",$R221))+ISNUMBER(SEARCH("Aplicar",$R221))+ISNUMBER(SEARCH("Razonar",$R221))),0)</f>
        <v>0.5</v>
      </c>
      <c r="V221" t="s" s="35">
        <v>79</v>
      </c>
      <c r="W221" t="s" s="35">
        <v>115</v>
      </c>
      <c r="X221" s="36" cm="1">
        <f t="array" ref="X221">IF(OR(_xlfn.IFERROR(INDEX('Datos - Catálogo TIMSS'!$I$5:$I$107,MATCH(K221,'Datos - Catálogo TIMSS'!$A$5:$A$107,0)),"No")="Sí",_xlfn.IFERROR(INDEX('Datos - Catálogo TIMSS'!$I$5:$I$107,MATCH(L221,'Datos - Catálogo TIMSS'!$A$5:$A$107,0)),"No")="Sí"),1,0)</f>
        <v>0</v>
      </c>
      <c r="Y221" s="36" cm="1">
        <f t="array" ref="Y221">IF(_xlfn.IFERROR(INDEX('Datos - Catálogo TIMSS'!$J$5:$J$107,MATCH(K221,'Datos - Catálogo TIMSS'!$A$5:$A$107,0)),"No")="Sí",1,0)</f>
        <v>1</v>
      </c>
      <c r="Z221" s="36" cm="1">
        <f t="array" ref="Z221">IF(_xlfn.IFERROR(INDEX('Datos - Catálogo TIMSS'!$J$5:$J$107,MATCH(L221,'Datos - Catálogo TIMSS'!$A$5:$A$107,0)),"No")="Sí",1,0)</f>
        <v>0</v>
      </c>
      <c r="AA221" t="s" s="35">
        <v>1832</v>
      </c>
      <c r="AB221" s="39"/>
      <c r="AC221" t="str" s="39">
        <v>Fuera del marco</v>
      </c>
      <c r="AD221" t="s" s="35">
        <v>1834</v>
      </c>
      <c r="AE221" t="str" s="39" cm="1">
        <f t="array" ref="AE221">IF(AD221="","",IF(LEFT(AD221,1)="1","C1",IF(LEFT(AD221,1)="2","C2",IF(LEFT(AD221,1)="3","C3",""))))</f>
        <v>C2</v>
      </c>
      <c r="AF221" t="s" s="35">
        <v>1602</v>
      </c>
      <c r="AG221" t="s" s="35">
        <v>1617</v>
      </c>
      <c r="AH221" t="s" s="35">
        <v>1602</v>
      </c>
      <c r="AI221" t="s" s="35">
        <v>1623</v>
      </c>
      <c r="AJ221" t="s" s="35">
        <v>1607</v>
      </c>
      <c r="AK221" s="39"/>
      <c r="AL221" s="39"/>
      <c r="AM221" s="39"/>
      <c r="AN221" s="39"/>
      <c r="AO221" s="39"/>
      <c r="AP221" s="39"/>
      <c r="AQ221" s="39"/>
      <c r="AR221" s="39"/>
      <c r="AS221" s="39"/>
      <c r="AT221" s="39"/>
      <c r="AU221" s="39"/>
      <c r="AV221" s="39"/>
      <c r="AW221" t="str" s="39" cm="1">
        <f t="array" ref="AW221">AF221&amp;"; "&amp;AG221&amp;"; "&amp;AH221&amp;"; "&amp;AI221&amp;"; "&amp;AJ221</f>
        <v>E1; D1; E1; D4; E3</v>
      </c>
    </row>
    <row r="222" ht="13.65" customHeight="1">
      <c r="A222" t="s" s="35">
        <v>2870</v>
      </c>
      <c r="B222" s="36">
        <v>5</v>
      </c>
      <c r="C222" t="s" s="35">
        <v>1823</v>
      </c>
      <c r="D222" t="s" s="35">
        <v>2825</v>
      </c>
      <c r="E222" t="s" s="35">
        <v>2871</v>
      </c>
      <c r="F222" s="36">
        <v>3</v>
      </c>
      <c r="G222" t="s" s="35">
        <v>2872</v>
      </c>
      <c r="H222" t="s" s="35">
        <v>2873</v>
      </c>
      <c r="I222" t="s" s="120">
        <v>2874</v>
      </c>
      <c r="J222" t="s" s="35">
        <v>1164</v>
      </c>
      <c r="K222" t="s" s="35">
        <v>1262</v>
      </c>
      <c r="L222" s="39"/>
      <c r="M222" t="str" s="39">
        <v>Física</v>
      </c>
      <c r="N222" t="str" s="39">
        <v>Movimiento y fuerzas</v>
      </c>
      <c r="O222" t="str" s="39" cm="1">
        <f t="array" ref="O222">IF(L222="","",_xlfn.IFERROR(INDEX('Datos - Catálogo TIMSS'!$C$5:$C$107,MATCH(L222,'Datos - Catálogo TIMSS'!$A$5:$A$107,0)),"?"))</f>
      </c>
      <c r="P222" t="s" s="35">
        <v>282</v>
      </c>
      <c r="Q222" t="s" s="120">
        <v>2875</v>
      </c>
      <c r="R222" t="s" s="120">
        <v>2876</v>
      </c>
      <c r="S222" s="121" cm="1">
        <f t="array" ref="S222">_xlfn.IFERROR(ISNUMBER(SEARCH("Conocer",$R222))/(ISNUMBER(SEARCH("Conocer",$R222))+ISNUMBER(SEARCH("Aplicar",$R222))+ISNUMBER(SEARCH("Razonar",$R222))),0)</f>
        <v>0</v>
      </c>
      <c r="T222" s="121" cm="1">
        <f t="array" ref="T222">_xlfn.IFERROR(ISNUMBER(SEARCH("Aplicar",$R222))/(ISNUMBER(SEARCH("Conocer",$R222))+ISNUMBER(SEARCH("Aplicar",$R222))+ISNUMBER(SEARCH("Razonar",$R222))),0)</f>
        <v>1</v>
      </c>
      <c r="U222" s="121" cm="1">
        <f t="array" ref="U222">_xlfn.IFERROR(ISNUMBER(SEARCH("Razonar",$R222))/(ISNUMBER(SEARCH("Conocer",$R222))+ISNUMBER(SEARCH("Aplicar",$R222))+ISNUMBER(SEARCH("Razonar",$R222))),0)</f>
        <v>0</v>
      </c>
      <c r="V222" t="s" s="35">
        <v>79</v>
      </c>
      <c r="W222" t="s" s="35">
        <v>115</v>
      </c>
      <c r="X222" s="36" cm="1">
        <f t="array" ref="X222">IF(OR(_xlfn.IFERROR(INDEX('Datos - Catálogo TIMSS'!$I$5:$I$107,MATCH(K222,'Datos - Catálogo TIMSS'!$A$5:$A$107,0)),"No")="Sí",_xlfn.IFERROR(INDEX('Datos - Catálogo TIMSS'!$I$5:$I$107,MATCH(L222,'Datos - Catálogo TIMSS'!$A$5:$A$107,0)),"No")="Sí"),1,0)</f>
        <v>0</v>
      </c>
      <c r="Y222" s="36" cm="1">
        <f t="array" ref="Y222">IF(_xlfn.IFERROR(INDEX('Datos - Catálogo TIMSS'!$J$5:$J$107,MATCH(K222,'Datos - Catálogo TIMSS'!$A$5:$A$107,0)),"No")="Sí",1,0)</f>
        <v>0</v>
      </c>
      <c r="Z222" s="36" cm="1">
        <f t="array" ref="Z222">IF(_xlfn.IFERROR(INDEX('Datos - Catálogo TIMSS'!$J$5:$J$107,MATCH(L222,'Datos - Catálogo TIMSS'!$A$5:$A$107,0)),"No")="Sí",1,0)</f>
        <v>0</v>
      </c>
      <c r="AA222" t="s" s="35">
        <v>2877</v>
      </c>
      <c r="AB222" s="39"/>
      <c r="AC222" t="str" s="39">
        <v>Física</v>
      </c>
      <c r="AD222" t="s" s="35">
        <v>1834</v>
      </c>
      <c r="AE222" t="str" s="39" cm="1">
        <f t="array" ref="AE222">IF(AD222="","",IF(LEFT(AD222,1)="1","C1",IF(LEFT(AD222,1)="2","C2",IF(LEFT(AD222,1)="3","C3",""))))</f>
        <v>C2</v>
      </c>
      <c r="AF222" t="s" s="35">
        <v>1602</v>
      </c>
      <c r="AG222" t="s" s="35">
        <v>1617</v>
      </c>
      <c r="AH222" t="s" s="35">
        <v>1602</v>
      </c>
      <c r="AI222" t="s" s="35">
        <v>1623</v>
      </c>
      <c r="AJ222" t="s" s="35">
        <v>1607</v>
      </c>
      <c r="AK222" s="39"/>
      <c r="AL222" s="39"/>
      <c r="AM222" s="39"/>
      <c r="AN222" s="39"/>
      <c r="AO222" s="39"/>
      <c r="AP222" s="39"/>
      <c r="AQ222" s="39"/>
      <c r="AR222" s="39"/>
      <c r="AS222" s="39"/>
      <c r="AT222" s="39"/>
      <c r="AU222" s="39"/>
      <c r="AV222" s="39"/>
      <c r="AW222" t="str" s="39" cm="1">
        <f t="array" ref="AW222">AF222&amp;"; "&amp;AG222&amp;"; "&amp;AH222&amp;"; "&amp;AI222&amp;"; "&amp;AJ222</f>
        <v>E1; D1; E1; D4; E3</v>
      </c>
    </row>
    <row r="223" ht="13.65" customHeight="1">
      <c r="A223" t="s" s="35">
        <v>2878</v>
      </c>
      <c r="B223" s="36">
        <v>5</v>
      </c>
      <c r="C223" t="s" s="35">
        <v>1823</v>
      </c>
      <c r="D223" t="s" s="35">
        <v>2825</v>
      </c>
      <c r="E223" t="s" s="35">
        <v>2871</v>
      </c>
      <c r="F223" s="36">
        <v>4</v>
      </c>
      <c r="G223" t="s" s="35">
        <v>2872</v>
      </c>
      <c r="H223" t="s" s="35">
        <v>2873</v>
      </c>
      <c r="I223" t="s" s="120">
        <v>2879</v>
      </c>
      <c r="J223" t="s" s="35">
        <v>1164</v>
      </c>
      <c r="K223" t="s" s="35">
        <v>1832</v>
      </c>
      <c r="L223" s="39"/>
      <c r="M223" t="str" s="39">
        <v>Fuera del marco</v>
      </c>
      <c r="N223" t="str" s="39">
        <v>Fuera del marco</v>
      </c>
      <c r="O223" t="str" s="39" cm="1">
        <f t="array" ref="O223">IF(L223="","",_xlfn.IFERROR(INDEX('Datos - Catálogo TIMSS'!$C$5:$C$107,MATCH(L223,'Datos - Catálogo TIMSS'!$A$5:$A$107,0)),"?"))</f>
      </c>
      <c r="P223" t="s" s="35">
        <v>282</v>
      </c>
      <c r="Q223" t="s" s="120">
        <v>2880</v>
      </c>
      <c r="R223" t="s" s="120">
        <v>2881</v>
      </c>
      <c r="S223" s="121" cm="1">
        <f t="array" ref="S223">_xlfn.IFERROR(ISNUMBER(SEARCH("Conocer",$R223))/(ISNUMBER(SEARCH("Conocer",$R223))+ISNUMBER(SEARCH("Aplicar",$R223))+ISNUMBER(SEARCH("Razonar",$R223))),0)</f>
        <v>0</v>
      </c>
      <c r="T223" s="121" cm="1">
        <f t="array" ref="T223">_xlfn.IFERROR(ISNUMBER(SEARCH("Aplicar",$R223))/(ISNUMBER(SEARCH("Conocer",$R223))+ISNUMBER(SEARCH("Aplicar",$R223))+ISNUMBER(SEARCH("Razonar",$R223))),0)</f>
        <v>1</v>
      </c>
      <c r="U223" s="121" cm="1">
        <f t="array" ref="U223">_xlfn.IFERROR(ISNUMBER(SEARCH("Razonar",$R223))/(ISNUMBER(SEARCH("Conocer",$R223))+ISNUMBER(SEARCH("Aplicar",$R223))+ISNUMBER(SEARCH("Razonar",$R223))),0)</f>
        <v>0</v>
      </c>
      <c r="V223" t="s" s="35">
        <v>79</v>
      </c>
      <c r="W223" t="s" s="35">
        <v>115</v>
      </c>
      <c r="X223" s="36" cm="1">
        <f t="array" ref="X223">IF(OR(_xlfn.IFERROR(INDEX('Datos - Catálogo TIMSS'!$I$5:$I$107,MATCH(K223,'Datos - Catálogo TIMSS'!$A$5:$A$107,0)),"No")="Sí",_xlfn.IFERROR(INDEX('Datos - Catálogo TIMSS'!$I$5:$I$107,MATCH(L223,'Datos - Catálogo TIMSS'!$A$5:$A$107,0)),"No")="Sí"),1,0)</f>
        <v>0</v>
      </c>
      <c r="Y223" s="36" cm="1">
        <f t="array" ref="Y223">IF(_xlfn.IFERROR(INDEX('Datos - Catálogo TIMSS'!$J$5:$J$107,MATCH(K223,'Datos - Catálogo TIMSS'!$A$5:$A$107,0)),"No")="Sí",1,0)</f>
        <v>0</v>
      </c>
      <c r="Z223" s="36" cm="1">
        <f t="array" ref="Z223">IF(_xlfn.IFERROR(INDEX('Datos - Catálogo TIMSS'!$J$5:$J$107,MATCH(L223,'Datos - Catálogo TIMSS'!$A$5:$A$107,0)),"No")="Sí",1,0)</f>
        <v>0</v>
      </c>
      <c r="AA223" t="s" s="35">
        <v>1832</v>
      </c>
      <c r="AB223" s="39"/>
      <c r="AC223" t="str" s="39">
        <v>Fuera del marco</v>
      </c>
      <c r="AD223" t="s" s="35">
        <v>1834</v>
      </c>
      <c r="AE223" t="str" s="39" cm="1">
        <f t="array" ref="AE223">IF(AD223="","",IF(LEFT(AD223,1)="1","C1",IF(LEFT(AD223,1)="2","C2",IF(LEFT(AD223,1)="3","C3",""))))</f>
        <v>C2</v>
      </c>
      <c r="AF223" t="s" s="35">
        <v>1602</v>
      </c>
      <c r="AG223" t="s" s="35">
        <v>1617</v>
      </c>
      <c r="AH223" t="s" s="35">
        <v>1602</v>
      </c>
      <c r="AI223" t="s" s="35">
        <v>1623</v>
      </c>
      <c r="AJ223" t="s" s="35">
        <v>1615</v>
      </c>
      <c r="AK223" s="39"/>
      <c r="AL223" s="39"/>
      <c r="AM223" s="39"/>
      <c r="AN223" s="39"/>
      <c r="AO223" s="39"/>
      <c r="AP223" s="39"/>
      <c r="AQ223" s="39"/>
      <c r="AR223" s="39"/>
      <c r="AS223" s="39"/>
      <c r="AT223" s="39"/>
      <c r="AU223" s="39"/>
      <c r="AV223" s="39"/>
      <c r="AW223" t="str" s="39" cm="1">
        <f t="array" ref="AW223">AF223&amp;"; "&amp;AG223&amp;"; "&amp;AH223&amp;"; "&amp;AI223&amp;"; "&amp;AJ223</f>
        <v>E1; D1; E1; D4; E6</v>
      </c>
    </row>
    <row r="224" ht="13.65" customHeight="1">
      <c r="A224" t="s" s="35">
        <v>2882</v>
      </c>
      <c r="B224" s="36">
        <v>5</v>
      </c>
      <c r="C224" t="s" s="35">
        <v>1823</v>
      </c>
      <c r="D224" t="s" s="35">
        <v>2825</v>
      </c>
      <c r="E224" t="s" s="35">
        <v>2871</v>
      </c>
      <c r="F224" s="36">
        <v>5</v>
      </c>
      <c r="G224" t="s" s="35">
        <v>2872</v>
      </c>
      <c r="H224" t="s" s="35">
        <v>2873</v>
      </c>
      <c r="I224" t="s" s="120">
        <v>2883</v>
      </c>
      <c r="J224" t="s" s="35">
        <v>1164</v>
      </c>
      <c r="K224" t="s" s="35">
        <v>1262</v>
      </c>
      <c r="L224" s="39"/>
      <c r="M224" t="str" s="39">
        <v>Física</v>
      </c>
      <c r="N224" t="str" s="39">
        <v>Movimiento y fuerzas</v>
      </c>
      <c r="O224" t="str" s="39" cm="1">
        <f t="array" ref="O224">IF(L224="","",_xlfn.IFERROR(INDEX('Datos - Catálogo TIMSS'!$C$5:$C$107,MATCH(L224,'Datos - Catálogo TIMSS'!$A$5:$A$107,0)),"?"))</f>
      </c>
      <c r="P224" t="s" s="35">
        <v>282</v>
      </c>
      <c r="Q224" t="s" s="120">
        <v>2884</v>
      </c>
      <c r="R224" t="s" s="120">
        <v>2885</v>
      </c>
      <c r="S224" s="121" cm="1">
        <f t="array" ref="S224">_xlfn.IFERROR(ISNUMBER(SEARCH("Conocer",$R224))/(ISNUMBER(SEARCH("Conocer",$R224))+ISNUMBER(SEARCH("Aplicar",$R224))+ISNUMBER(SEARCH("Razonar",$R224))),0)</f>
        <v>0</v>
      </c>
      <c r="T224" s="121" cm="1">
        <f t="array" ref="T224">_xlfn.IFERROR(ISNUMBER(SEARCH("Aplicar",$R224))/(ISNUMBER(SEARCH("Conocer",$R224))+ISNUMBER(SEARCH("Aplicar",$R224))+ISNUMBER(SEARCH("Razonar",$R224))),0)</f>
        <v>1</v>
      </c>
      <c r="U224" s="121" cm="1">
        <f t="array" ref="U224">_xlfn.IFERROR(ISNUMBER(SEARCH("Razonar",$R224))/(ISNUMBER(SEARCH("Conocer",$R224))+ISNUMBER(SEARCH("Aplicar",$R224))+ISNUMBER(SEARCH("Razonar",$R224))),0)</f>
        <v>0</v>
      </c>
      <c r="V224" t="s" s="35">
        <v>79</v>
      </c>
      <c r="W224" t="s" s="35">
        <v>115</v>
      </c>
      <c r="X224" s="36" cm="1">
        <f t="array" ref="X224">IF(OR(_xlfn.IFERROR(INDEX('Datos - Catálogo TIMSS'!$I$5:$I$107,MATCH(K224,'Datos - Catálogo TIMSS'!$A$5:$A$107,0)),"No")="Sí",_xlfn.IFERROR(INDEX('Datos - Catálogo TIMSS'!$I$5:$I$107,MATCH(L224,'Datos - Catálogo TIMSS'!$A$5:$A$107,0)),"No")="Sí"),1,0)</f>
        <v>0</v>
      </c>
      <c r="Y224" s="36" cm="1">
        <f t="array" ref="Y224">IF(_xlfn.IFERROR(INDEX('Datos - Catálogo TIMSS'!$J$5:$J$107,MATCH(K224,'Datos - Catálogo TIMSS'!$A$5:$A$107,0)),"No")="Sí",1,0)</f>
        <v>0</v>
      </c>
      <c r="Z224" s="36" cm="1">
        <f t="array" ref="Z224">IF(_xlfn.IFERROR(INDEX('Datos - Catálogo TIMSS'!$J$5:$J$107,MATCH(L224,'Datos - Catálogo TIMSS'!$A$5:$A$107,0)),"No")="Sí",1,0)</f>
        <v>0</v>
      </c>
      <c r="AA224" t="s" s="35">
        <v>2877</v>
      </c>
      <c r="AB224" s="39"/>
      <c r="AC224" t="str" s="39">
        <v>Física</v>
      </c>
      <c r="AD224" t="s" s="35">
        <v>1834</v>
      </c>
      <c r="AE224" t="str" s="39" cm="1">
        <f t="array" ref="AE224">IF(AD224="","",IF(LEFT(AD224,1)="1","C1",IF(LEFT(AD224,1)="2","C2",IF(LEFT(AD224,1)="3","C3",""))))</f>
        <v>C2</v>
      </c>
      <c r="AF224" t="s" s="35">
        <v>1602</v>
      </c>
      <c r="AG224" t="s" s="35">
        <v>1617</v>
      </c>
      <c r="AH224" t="s" s="35">
        <v>1605</v>
      </c>
      <c r="AI224" t="s" s="35">
        <v>1623</v>
      </c>
      <c r="AJ224" t="s" s="35">
        <v>1602</v>
      </c>
      <c r="AK224" s="39"/>
      <c r="AL224" s="39"/>
      <c r="AM224" s="39"/>
      <c r="AN224" s="39"/>
      <c r="AO224" s="39"/>
      <c r="AP224" s="39"/>
      <c r="AQ224" s="39"/>
      <c r="AR224" s="39"/>
      <c r="AS224" s="39"/>
      <c r="AT224" s="39"/>
      <c r="AU224" s="39"/>
      <c r="AV224" s="39"/>
      <c r="AW224" t="str" s="39" cm="1">
        <f t="array" ref="AW224">AF224&amp;"; "&amp;AG224&amp;"; "&amp;AH224&amp;"; "&amp;AI224&amp;"; "&amp;AJ224</f>
        <v>E1; D1; E2; D4; E1</v>
      </c>
    </row>
    <row r="225" ht="13.65" customHeight="1">
      <c r="A225" t="s" s="35">
        <v>2886</v>
      </c>
      <c r="B225" s="36">
        <v>5</v>
      </c>
      <c r="C225" t="s" s="35">
        <v>1823</v>
      </c>
      <c r="D225" t="s" s="35">
        <v>2825</v>
      </c>
      <c r="E225" t="s" s="35">
        <v>2871</v>
      </c>
      <c r="F225" s="36">
        <v>6</v>
      </c>
      <c r="G225" t="s" s="35">
        <v>2872</v>
      </c>
      <c r="H225" t="s" s="35">
        <v>2873</v>
      </c>
      <c r="I225" t="s" s="120">
        <v>2887</v>
      </c>
      <c r="J225" t="s" s="35">
        <v>1164</v>
      </c>
      <c r="K225" t="s" s="35">
        <v>1262</v>
      </c>
      <c r="L225" t="s" s="35">
        <v>588</v>
      </c>
      <c r="M225" t="str" s="39">
        <v>Física</v>
      </c>
      <c r="N225" t="str" s="39">
        <v>Movimiento y fuerzas</v>
      </c>
      <c r="O225" t="str" s="39" cm="1">
        <f t="array" ref="O225">IF(L225="","",_xlfn.IFERROR(INDEX('Datos - Catálogo TIMSS'!$C$5:$C$107,MATCH(L225,'Datos - Catálogo TIMSS'!$A$5:$A$107,0)),"?"))</f>
        <v>Física</v>
      </c>
      <c r="P225" t="s" s="35">
        <v>282</v>
      </c>
      <c r="Q225" t="s" s="120">
        <v>2888</v>
      </c>
      <c r="R225" t="s" s="120">
        <v>1847</v>
      </c>
      <c r="S225" s="121" cm="1">
        <f t="array" ref="S225">_xlfn.IFERROR(ISNUMBER(SEARCH("Conocer",$R225))/(ISNUMBER(SEARCH("Conocer",$R225))+ISNUMBER(SEARCH("Aplicar",$R225))+ISNUMBER(SEARCH("Razonar",$R225))),0)</f>
        <v>0</v>
      </c>
      <c r="T225" s="121" cm="1">
        <f t="array" ref="T225">_xlfn.IFERROR(ISNUMBER(SEARCH("Aplicar",$R225))/(ISNUMBER(SEARCH("Conocer",$R225))+ISNUMBER(SEARCH("Aplicar",$R225))+ISNUMBER(SEARCH("Razonar",$R225))),0)</f>
        <v>1</v>
      </c>
      <c r="U225" s="121" cm="1">
        <f t="array" ref="U225">_xlfn.IFERROR(ISNUMBER(SEARCH("Razonar",$R225))/(ISNUMBER(SEARCH("Conocer",$R225))+ISNUMBER(SEARCH("Aplicar",$R225))+ISNUMBER(SEARCH("Razonar",$R225))),0)</f>
        <v>0</v>
      </c>
      <c r="V225" t="s" s="35">
        <v>79</v>
      </c>
      <c r="W225" t="s" s="35">
        <v>115</v>
      </c>
      <c r="X225" s="36" cm="1">
        <f t="array" ref="X225">IF(OR(_xlfn.IFERROR(INDEX('Datos - Catálogo TIMSS'!$I$5:$I$107,MATCH(K225,'Datos - Catálogo TIMSS'!$A$5:$A$107,0)),"No")="Sí",_xlfn.IFERROR(INDEX('Datos - Catálogo TIMSS'!$I$5:$I$107,MATCH(L225,'Datos - Catálogo TIMSS'!$A$5:$A$107,0)),"No")="Sí"),1,0)</f>
        <v>0</v>
      </c>
      <c r="Y225" s="36" cm="1">
        <f t="array" ref="Y225">IF(_xlfn.IFERROR(INDEX('Datos - Catálogo TIMSS'!$J$5:$J$107,MATCH(K225,'Datos - Catálogo TIMSS'!$A$5:$A$107,0)),"No")="Sí",1,0)</f>
        <v>0</v>
      </c>
      <c r="Z225" s="36" cm="1">
        <f t="array" ref="Z225">IF(_xlfn.IFERROR(INDEX('Datos - Catálogo TIMSS'!$J$5:$J$107,MATCH(L225,'Datos - Catálogo TIMSS'!$A$5:$A$107,0)),"No")="Sí",1,0)</f>
        <v>0</v>
      </c>
      <c r="AA225" t="s" s="35">
        <v>2877</v>
      </c>
      <c r="AB225" t="s" s="35">
        <v>2889</v>
      </c>
      <c r="AC225" t="str" s="39">
        <v>Física</v>
      </c>
      <c r="AD225" t="s" s="35">
        <v>1859</v>
      </c>
      <c r="AE225" t="str" s="39" cm="1">
        <f t="array" ref="AE225">IF(AD225="","",IF(LEFT(AD225,1)="1","C1",IF(LEFT(AD225,1)="2","C2",IF(LEFT(AD225,1)="3","C3",""))))</f>
        <v>C1</v>
      </c>
      <c r="AF225" t="s" s="35">
        <v>1602</v>
      </c>
      <c r="AG225" t="s" s="35">
        <v>1617</v>
      </c>
      <c r="AH225" t="s" s="35">
        <v>1602</v>
      </c>
      <c r="AI225" t="s" s="35">
        <v>1623</v>
      </c>
      <c r="AJ225" t="s" s="35">
        <v>1605</v>
      </c>
      <c r="AK225" s="39"/>
      <c r="AL225" s="39"/>
      <c r="AM225" s="39"/>
      <c r="AN225" s="39"/>
      <c r="AO225" s="39"/>
      <c r="AP225" s="39"/>
      <c r="AQ225" s="39"/>
      <c r="AR225" s="39"/>
      <c r="AS225" s="39"/>
      <c r="AT225" s="39"/>
      <c r="AU225" s="39"/>
      <c r="AV225" s="39"/>
      <c r="AW225" t="str" s="39" cm="1">
        <f t="array" ref="AW225">AF225&amp;"; "&amp;AG225&amp;"; "&amp;AH225&amp;"; "&amp;AI225&amp;"; "&amp;AJ225</f>
        <v>E1; D1; E1; D4; E2</v>
      </c>
    </row>
    <row r="226" ht="13.65" customHeight="1">
      <c r="A226" t="s" s="35">
        <v>2890</v>
      </c>
      <c r="B226" s="36">
        <v>5</v>
      </c>
      <c r="C226" t="s" s="35">
        <v>1823</v>
      </c>
      <c r="D226" t="s" s="35">
        <v>2825</v>
      </c>
      <c r="E226" t="s" s="35">
        <v>2871</v>
      </c>
      <c r="F226" s="36">
        <v>7</v>
      </c>
      <c r="G226" t="s" s="35">
        <v>2872</v>
      </c>
      <c r="H226" t="s" s="35">
        <v>2873</v>
      </c>
      <c r="I226" t="s" s="120">
        <v>2891</v>
      </c>
      <c r="J226" t="s" s="35">
        <v>1164</v>
      </c>
      <c r="K226" t="s" s="35">
        <v>1262</v>
      </c>
      <c r="L226" s="39"/>
      <c r="M226" t="str" s="39">
        <v>Física</v>
      </c>
      <c r="N226" t="str" s="39">
        <v>Movimiento y fuerzas</v>
      </c>
      <c r="O226" t="str" s="39" cm="1">
        <f t="array" ref="O226">IF(L226="","",_xlfn.IFERROR(INDEX('Datos - Catálogo TIMSS'!$C$5:$C$107,MATCH(L226,'Datos - Catálogo TIMSS'!$A$5:$A$107,0)),"?"))</f>
      </c>
      <c r="P226" t="s" s="35">
        <v>254</v>
      </c>
      <c r="Q226" t="s" s="120">
        <v>2892</v>
      </c>
      <c r="R226" t="s" s="120">
        <v>2893</v>
      </c>
      <c r="S226" s="121" cm="1">
        <f t="array" ref="S226">_xlfn.IFERROR(ISNUMBER(SEARCH("Conocer",$R226))/(ISNUMBER(SEARCH("Conocer",$R226))+ISNUMBER(SEARCH("Aplicar",$R226))+ISNUMBER(SEARCH("Razonar",$R226))),0)</f>
        <v>0</v>
      </c>
      <c r="T226" s="121" cm="1">
        <f t="array" ref="T226">_xlfn.IFERROR(ISNUMBER(SEARCH("Aplicar",$R226))/(ISNUMBER(SEARCH("Conocer",$R226))+ISNUMBER(SEARCH("Aplicar",$R226))+ISNUMBER(SEARCH("Razonar",$R226))),0)</f>
        <v>1</v>
      </c>
      <c r="U226" s="121" cm="1">
        <f t="array" ref="U226">_xlfn.IFERROR(ISNUMBER(SEARCH("Razonar",$R226))/(ISNUMBER(SEARCH("Conocer",$R226))+ISNUMBER(SEARCH("Aplicar",$R226))+ISNUMBER(SEARCH("Razonar",$R226))),0)</f>
        <v>0</v>
      </c>
      <c r="V226" t="s" s="35">
        <v>79</v>
      </c>
      <c r="W226" t="s" s="35">
        <v>115</v>
      </c>
      <c r="X226" s="36" cm="1">
        <f t="array" ref="X226">IF(OR(_xlfn.IFERROR(INDEX('Datos - Catálogo TIMSS'!$I$5:$I$107,MATCH(K226,'Datos - Catálogo TIMSS'!$A$5:$A$107,0)),"No")="Sí",_xlfn.IFERROR(INDEX('Datos - Catálogo TIMSS'!$I$5:$I$107,MATCH(L226,'Datos - Catálogo TIMSS'!$A$5:$A$107,0)),"No")="Sí"),1,0)</f>
        <v>0</v>
      </c>
      <c r="Y226" s="36" cm="1">
        <f t="array" ref="Y226">IF(_xlfn.IFERROR(INDEX('Datos - Catálogo TIMSS'!$J$5:$J$107,MATCH(K226,'Datos - Catálogo TIMSS'!$A$5:$A$107,0)),"No")="Sí",1,0)</f>
        <v>0</v>
      </c>
      <c r="Z226" s="36" cm="1">
        <f t="array" ref="Z226">IF(_xlfn.IFERROR(INDEX('Datos - Catálogo TIMSS'!$J$5:$J$107,MATCH(L226,'Datos - Catálogo TIMSS'!$A$5:$A$107,0)),"No")="Sí",1,0)</f>
        <v>0</v>
      </c>
      <c r="AA226" t="s" s="35">
        <v>2877</v>
      </c>
      <c r="AB226" s="39"/>
      <c r="AC226" t="str" s="39">
        <v>Física</v>
      </c>
      <c r="AD226" t="s" s="35">
        <v>1834</v>
      </c>
      <c r="AE226" t="str" s="39" cm="1">
        <f t="array" ref="AE226">IF(AD226="","",IF(LEFT(AD226,1)="1","C1",IF(LEFT(AD226,1)="2","C2",IF(LEFT(AD226,1)="3","C3",""))))</f>
        <v>C2</v>
      </c>
      <c r="AF226" t="s" s="35">
        <v>1602</v>
      </c>
      <c r="AG226" t="s" s="35">
        <v>1617</v>
      </c>
      <c r="AH226" t="s" s="35">
        <v>1602</v>
      </c>
      <c r="AI226" t="s" s="35">
        <v>1623</v>
      </c>
      <c r="AJ226" t="s" s="35">
        <v>1615</v>
      </c>
      <c r="AK226" s="39"/>
      <c r="AL226" s="39"/>
      <c r="AM226" s="39"/>
      <c r="AN226" s="39"/>
      <c r="AO226" s="39"/>
      <c r="AP226" s="39"/>
      <c r="AQ226" s="39"/>
      <c r="AR226" s="39"/>
      <c r="AS226" s="39"/>
      <c r="AT226" s="39"/>
      <c r="AU226" s="39"/>
      <c r="AV226" s="39"/>
      <c r="AW226" t="str" s="39" cm="1">
        <f t="array" ref="AW226">AF226&amp;"; "&amp;AG226&amp;"; "&amp;AH226&amp;"; "&amp;AI226&amp;"; "&amp;AJ226</f>
        <v>E1; D1; E1; D4; E6</v>
      </c>
    </row>
    <row r="227" ht="13.65" customHeight="1">
      <c r="A227" t="s" s="35">
        <v>2894</v>
      </c>
      <c r="B227" s="36">
        <v>5</v>
      </c>
      <c r="C227" t="s" s="35">
        <v>1823</v>
      </c>
      <c r="D227" t="s" s="35">
        <v>2825</v>
      </c>
      <c r="E227" t="s" s="35">
        <v>2871</v>
      </c>
      <c r="F227" s="36">
        <v>8</v>
      </c>
      <c r="G227" t="s" s="35">
        <v>2872</v>
      </c>
      <c r="H227" t="s" s="35">
        <v>2895</v>
      </c>
      <c r="I227" t="s" s="120">
        <v>2896</v>
      </c>
      <c r="J227" t="s" s="35">
        <v>1164</v>
      </c>
      <c r="K227" t="s" s="35">
        <v>1262</v>
      </c>
      <c r="L227" s="39"/>
      <c r="M227" t="str" s="39">
        <v>Física</v>
      </c>
      <c r="N227" t="str" s="39">
        <v>Movimiento y fuerzas</v>
      </c>
      <c r="O227" t="str" s="39" cm="1">
        <f t="array" ref="O227">IF(L227="","",_xlfn.IFERROR(INDEX('Datos - Catálogo TIMSS'!$C$5:$C$107,MATCH(L227,'Datos - Catálogo TIMSS'!$A$5:$A$107,0)),"?"))</f>
      </c>
      <c r="P227" t="s" s="35">
        <v>254</v>
      </c>
      <c r="Q227" t="s" s="120">
        <v>2897</v>
      </c>
      <c r="R227" t="s" s="120">
        <v>2598</v>
      </c>
      <c r="S227" s="121" cm="1">
        <f t="array" ref="S227">_xlfn.IFERROR(ISNUMBER(SEARCH("Conocer",$R227))/(ISNUMBER(SEARCH("Conocer",$R227))+ISNUMBER(SEARCH("Aplicar",$R227))+ISNUMBER(SEARCH("Razonar",$R227))),0)</f>
        <v>0</v>
      </c>
      <c r="T227" s="121" cm="1">
        <f t="array" ref="T227">_xlfn.IFERROR(ISNUMBER(SEARCH("Aplicar",$R227))/(ISNUMBER(SEARCH("Conocer",$R227))+ISNUMBER(SEARCH("Aplicar",$R227))+ISNUMBER(SEARCH("Razonar",$R227))),0)</f>
        <v>0.5</v>
      </c>
      <c r="U227" s="121" cm="1">
        <f t="array" ref="U227">_xlfn.IFERROR(ISNUMBER(SEARCH("Razonar",$R227))/(ISNUMBER(SEARCH("Conocer",$R227))+ISNUMBER(SEARCH("Aplicar",$R227))+ISNUMBER(SEARCH("Razonar",$R227))),0)</f>
        <v>0.5</v>
      </c>
      <c r="V227" t="s" s="35">
        <v>79</v>
      </c>
      <c r="W227" t="s" s="35">
        <v>115</v>
      </c>
      <c r="X227" s="36" cm="1">
        <f t="array" ref="X227">IF(OR(_xlfn.IFERROR(INDEX('Datos - Catálogo TIMSS'!$I$5:$I$107,MATCH(K227,'Datos - Catálogo TIMSS'!$A$5:$A$107,0)),"No")="Sí",_xlfn.IFERROR(INDEX('Datos - Catálogo TIMSS'!$I$5:$I$107,MATCH(L227,'Datos - Catálogo TIMSS'!$A$5:$A$107,0)),"No")="Sí"),1,0)</f>
        <v>0</v>
      </c>
      <c r="Y227" s="36" cm="1">
        <f t="array" ref="Y227">IF(_xlfn.IFERROR(INDEX('Datos - Catálogo TIMSS'!$J$5:$J$107,MATCH(K227,'Datos - Catálogo TIMSS'!$A$5:$A$107,0)),"No")="Sí",1,0)</f>
        <v>0</v>
      </c>
      <c r="Z227" s="36" cm="1">
        <f t="array" ref="Z227">IF(_xlfn.IFERROR(INDEX('Datos - Catálogo TIMSS'!$J$5:$J$107,MATCH(L227,'Datos - Catálogo TIMSS'!$A$5:$A$107,0)),"No")="Sí",1,0)</f>
        <v>0</v>
      </c>
      <c r="AA227" t="s" s="35">
        <v>2877</v>
      </c>
      <c r="AB227" s="39"/>
      <c r="AC227" t="str" s="39">
        <v>Física</v>
      </c>
      <c r="AD227" t="s" s="35">
        <v>1834</v>
      </c>
      <c r="AE227" t="str" s="39" cm="1">
        <f t="array" ref="AE227">IF(AD227="","",IF(LEFT(AD227,1)="1","C1",IF(LEFT(AD227,1)="2","C2",IF(LEFT(AD227,1)="3","C3",""))))</f>
        <v>C2</v>
      </c>
      <c r="AF227" t="s" s="35">
        <v>1602</v>
      </c>
      <c r="AG227" t="s" s="35">
        <v>1607</v>
      </c>
      <c r="AH227" t="s" s="35">
        <v>1605</v>
      </c>
      <c r="AI227" t="s" s="35">
        <v>1623</v>
      </c>
      <c r="AJ227" t="s" s="35">
        <v>1607</v>
      </c>
      <c r="AK227" s="39"/>
      <c r="AL227" s="39"/>
      <c r="AM227" s="39"/>
      <c r="AN227" s="39"/>
      <c r="AO227" s="39"/>
      <c r="AP227" s="39"/>
      <c r="AQ227" s="39"/>
      <c r="AR227" s="39"/>
      <c r="AS227" s="39"/>
      <c r="AT227" s="39"/>
      <c r="AU227" s="39"/>
      <c r="AV227" s="39"/>
      <c r="AW227" t="str" s="39" cm="1">
        <f t="array" ref="AW227">AF227&amp;"; "&amp;AG227&amp;"; "&amp;AH227&amp;"; "&amp;AI227&amp;"; "&amp;AJ227</f>
        <v>E1; E3; E2; D4; E3</v>
      </c>
    </row>
    <row r="228" ht="13.65" customHeight="1">
      <c r="A228" t="s" s="35">
        <v>2899</v>
      </c>
      <c r="B228" s="36">
        <v>5</v>
      </c>
      <c r="C228" t="s" s="35">
        <v>1823</v>
      </c>
      <c r="D228" t="s" s="35">
        <v>2825</v>
      </c>
      <c r="E228" t="s" s="35">
        <v>2871</v>
      </c>
      <c r="F228" s="36">
        <v>9</v>
      </c>
      <c r="G228" t="s" s="35">
        <v>2872</v>
      </c>
      <c r="H228" t="s" s="35">
        <v>2895</v>
      </c>
      <c r="I228" t="s" s="120">
        <v>2900</v>
      </c>
      <c r="J228" t="s" s="35">
        <v>1164</v>
      </c>
      <c r="K228" t="s" s="35">
        <v>1262</v>
      </c>
      <c r="L228" s="39"/>
      <c r="M228" t="str" s="39">
        <v>Física</v>
      </c>
      <c r="N228" t="str" s="39">
        <v>Movimiento y fuerzas</v>
      </c>
      <c r="O228" t="str" s="39" cm="1">
        <f t="array" ref="O228">IF(L228="","",_xlfn.IFERROR(INDEX('Datos - Catálogo TIMSS'!$C$5:$C$107,MATCH(L228,'Datos - Catálogo TIMSS'!$A$5:$A$107,0)),"?"))</f>
      </c>
      <c r="P228" t="s" s="35">
        <v>282</v>
      </c>
      <c r="Q228" t="s" s="120">
        <v>2901</v>
      </c>
      <c r="R228" t="s" s="120">
        <v>2902</v>
      </c>
      <c r="S228" s="121" cm="1">
        <f t="array" ref="S228">_xlfn.IFERROR(ISNUMBER(SEARCH("Conocer",$R228))/(ISNUMBER(SEARCH("Conocer",$R228))+ISNUMBER(SEARCH("Aplicar",$R228))+ISNUMBER(SEARCH("Razonar",$R228))),0)</f>
        <v>0</v>
      </c>
      <c r="T228" s="121" cm="1">
        <f t="array" ref="T228">_xlfn.IFERROR(ISNUMBER(SEARCH("Aplicar",$R228))/(ISNUMBER(SEARCH("Conocer",$R228))+ISNUMBER(SEARCH("Aplicar",$R228))+ISNUMBER(SEARCH("Razonar",$R228))),0)</f>
        <v>0.5</v>
      </c>
      <c r="U228" s="121" cm="1">
        <f t="array" ref="U228">_xlfn.IFERROR(ISNUMBER(SEARCH("Razonar",$R228))/(ISNUMBER(SEARCH("Conocer",$R228))+ISNUMBER(SEARCH("Aplicar",$R228))+ISNUMBER(SEARCH("Razonar",$R228))),0)</f>
        <v>0.5</v>
      </c>
      <c r="V228" t="s" s="35">
        <v>79</v>
      </c>
      <c r="W228" t="s" s="35">
        <v>115</v>
      </c>
      <c r="X228" s="36" cm="1">
        <f t="array" ref="X228">IF(OR(_xlfn.IFERROR(INDEX('Datos - Catálogo TIMSS'!$I$5:$I$107,MATCH(K228,'Datos - Catálogo TIMSS'!$A$5:$A$107,0)),"No")="Sí",_xlfn.IFERROR(INDEX('Datos - Catálogo TIMSS'!$I$5:$I$107,MATCH(L228,'Datos - Catálogo TIMSS'!$A$5:$A$107,0)),"No")="Sí"),1,0)</f>
        <v>0</v>
      </c>
      <c r="Y228" s="36" cm="1">
        <f t="array" ref="Y228">IF(_xlfn.IFERROR(INDEX('Datos - Catálogo TIMSS'!$J$5:$J$107,MATCH(K228,'Datos - Catálogo TIMSS'!$A$5:$A$107,0)),"No")="Sí",1,0)</f>
        <v>0</v>
      </c>
      <c r="Z228" s="36" cm="1">
        <f t="array" ref="Z228">IF(_xlfn.IFERROR(INDEX('Datos - Catálogo TIMSS'!$J$5:$J$107,MATCH(L228,'Datos - Catálogo TIMSS'!$A$5:$A$107,0)),"No")="Sí",1,0)</f>
        <v>0</v>
      </c>
      <c r="AA228" t="s" s="35">
        <v>2877</v>
      </c>
      <c r="AB228" s="39"/>
      <c r="AC228" t="str" s="39">
        <v>Física</v>
      </c>
      <c r="AD228" t="s" s="35">
        <v>1834</v>
      </c>
      <c r="AE228" t="str" s="39" cm="1">
        <f t="array" ref="AE228">IF(AD228="","",IF(LEFT(AD228,1)="1","C1",IF(LEFT(AD228,1)="2","C2",IF(LEFT(AD228,1)="3","C3",""))))</f>
        <v>C2</v>
      </c>
      <c r="AF228" t="s" s="35">
        <v>1602</v>
      </c>
      <c r="AG228" t="s" s="35">
        <v>1617</v>
      </c>
      <c r="AH228" t="s" s="35">
        <v>1602</v>
      </c>
      <c r="AI228" t="s" s="35">
        <v>1623</v>
      </c>
      <c r="AJ228" t="s" s="35">
        <v>1602</v>
      </c>
      <c r="AK228" s="39"/>
      <c r="AL228" s="39"/>
      <c r="AM228" s="39"/>
      <c r="AN228" s="39"/>
      <c r="AO228" s="39"/>
      <c r="AP228" s="39"/>
      <c r="AQ228" s="39"/>
      <c r="AR228" s="39"/>
      <c r="AS228" s="39"/>
      <c r="AT228" s="39"/>
      <c r="AU228" s="39"/>
      <c r="AV228" s="39"/>
      <c r="AW228" t="str" s="39" cm="1">
        <f t="array" ref="AW228">AF228&amp;"; "&amp;AG228&amp;"; "&amp;AH228&amp;"; "&amp;AI228&amp;"; "&amp;AJ228</f>
        <v>E1; D1; E1; D4; E1</v>
      </c>
    </row>
    <row r="229" ht="13.65" customHeight="1">
      <c r="A229" t="s" s="35">
        <v>2903</v>
      </c>
      <c r="B229" s="36">
        <v>5</v>
      </c>
      <c r="C229" t="s" s="35">
        <v>1823</v>
      </c>
      <c r="D229" t="s" s="35">
        <v>2825</v>
      </c>
      <c r="E229" t="s" s="35">
        <v>2871</v>
      </c>
      <c r="F229" s="36">
        <v>10</v>
      </c>
      <c r="G229" t="s" s="35">
        <v>2872</v>
      </c>
      <c r="H229" t="s" s="35">
        <v>2904</v>
      </c>
      <c r="I229" t="s" s="120">
        <v>2905</v>
      </c>
      <c r="J229" t="s" s="35">
        <v>1164</v>
      </c>
      <c r="K229" t="s" s="35">
        <v>535</v>
      </c>
      <c r="L229" s="39"/>
      <c r="M229" t="str" s="39">
        <v>Física</v>
      </c>
      <c r="N229" t="str" s="39">
        <v>Movimiento y fuerzas</v>
      </c>
      <c r="O229" t="str" s="39" cm="1">
        <f t="array" ref="O229">IF(L229="","",_xlfn.IFERROR(INDEX('Datos - Catálogo TIMSS'!$C$5:$C$107,MATCH(L229,'Datos - Catálogo TIMSS'!$A$5:$A$107,0)),"?"))</f>
      </c>
      <c r="P229" t="s" s="35">
        <v>282</v>
      </c>
      <c r="Q229" t="s" s="120">
        <v>2906</v>
      </c>
      <c r="R229" t="s" s="120">
        <v>2907</v>
      </c>
      <c r="S229" s="121" cm="1">
        <f t="array" ref="S229">_xlfn.IFERROR(ISNUMBER(SEARCH("Conocer",$R229))/(ISNUMBER(SEARCH("Conocer",$R229))+ISNUMBER(SEARCH("Aplicar",$R229))+ISNUMBER(SEARCH("Razonar",$R229))),0)</f>
        <v>0</v>
      </c>
      <c r="T229" s="121" cm="1">
        <f t="array" ref="T229">_xlfn.IFERROR(ISNUMBER(SEARCH("Aplicar",$R229))/(ISNUMBER(SEARCH("Conocer",$R229))+ISNUMBER(SEARCH("Aplicar",$R229))+ISNUMBER(SEARCH("Razonar",$R229))),0)</f>
        <v>0.5</v>
      </c>
      <c r="U229" s="121" cm="1">
        <f t="array" ref="U229">_xlfn.IFERROR(ISNUMBER(SEARCH("Razonar",$R229))/(ISNUMBER(SEARCH("Conocer",$R229))+ISNUMBER(SEARCH("Aplicar",$R229))+ISNUMBER(SEARCH("Razonar",$R229))),0)</f>
        <v>0.5</v>
      </c>
      <c r="V229" t="s" s="35">
        <v>79</v>
      </c>
      <c r="W229" t="s" s="35">
        <v>115</v>
      </c>
      <c r="X229" s="36" cm="1">
        <f t="array" ref="X229">IF(OR(_xlfn.IFERROR(INDEX('Datos - Catálogo TIMSS'!$I$5:$I$107,MATCH(K229,'Datos - Catálogo TIMSS'!$A$5:$A$107,0)),"No")="Sí",_xlfn.IFERROR(INDEX('Datos - Catálogo TIMSS'!$I$5:$I$107,MATCH(L229,'Datos - Catálogo TIMSS'!$A$5:$A$107,0)),"No")="Sí"),1,0)</f>
        <v>0</v>
      </c>
      <c r="Y229" s="36" cm="1">
        <f t="array" ref="Y229">IF(_xlfn.IFERROR(INDEX('Datos - Catálogo TIMSS'!$J$5:$J$107,MATCH(K229,'Datos - Catálogo TIMSS'!$A$5:$A$107,0)),"No")="Sí",1,0)</f>
        <v>0</v>
      </c>
      <c r="Z229" s="36" cm="1">
        <f t="array" ref="Z229">IF(_xlfn.IFERROR(INDEX('Datos - Catálogo TIMSS'!$J$5:$J$107,MATCH(L229,'Datos - Catálogo TIMSS'!$A$5:$A$107,0)),"No")="Sí",1,0)</f>
        <v>0</v>
      </c>
      <c r="AA229" t="s" s="35">
        <v>2908</v>
      </c>
      <c r="AB229" t="s" s="35">
        <v>2889</v>
      </c>
      <c r="AC229" t="str" s="39">
        <v>Física</v>
      </c>
      <c r="AD229" t="s" s="35">
        <v>1834</v>
      </c>
      <c r="AE229" t="str" s="39" cm="1">
        <f t="array" ref="AE229">IF(AD229="","",IF(LEFT(AD229,1)="1","C1",IF(LEFT(AD229,1)="2","C2",IF(LEFT(AD229,1)="3","C3",""))))</f>
        <v>C2</v>
      </c>
      <c r="AF229" t="s" s="35">
        <v>1602</v>
      </c>
      <c r="AG229" t="s" s="35">
        <v>1612</v>
      </c>
      <c r="AH229" t="s" s="35">
        <v>1602</v>
      </c>
      <c r="AI229" t="s" s="35">
        <v>1619</v>
      </c>
      <c r="AJ229" t="s" s="35">
        <v>1615</v>
      </c>
      <c r="AK229" s="39"/>
      <c r="AL229" s="39"/>
      <c r="AM229" s="39"/>
      <c r="AN229" s="39"/>
      <c r="AO229" s="39"/>
      <c r="AP229" s="39"/>
      <c r="AQ229" s="39"/>
      <c r="AR229" s="39"/>
      <c r="AS229" s="39"/>
      <c r="AT229" s="39"/>
      <c r="AU229" s="39"/>
      <c r="AV229" s="39"/>
      <c r="AW229" t="str" s="39" cm="1">
        <f t="array" ref="AW229">AF229&amp;"; "&amp;AG229&amp;"; "&amp;AH229&amp;"; "&amp;AI229&amp;"; "&amp;AJ229</f>
        <v>E1; E5; E1; D2; E6</v>
      </c>
    </row>
    <row r="230" ht="13.65" customHeight="1">
      <c r="A230" t="s" s="35">
        <v>2910</v>
      </c>
      <c r="B230" s="36">
        <v>5</v>
      </c>
      <c r="C230" t="s" s="35">
        <v>1823</v>
      </c>
      <c r="D230" t="s" s="35">
        <v>2825</v>
      </c>
      <c r="E230" t="s" s="35">
        <v>2871</v>
      </c>
      <c r="F230" s="36">
        <v>11</v>
      </c>
      <c r="G230" t="s" s="35">
        <v>2872</v>
      </c>
      <c r="H230" t="s" s="35">
        <v>2904</v>
      </c>
      <c r="I230" t="s" s="120">
        <v>2911</v>
      </c>
      <c r="J230" t="s" s="35">
        <v>1164</v>
      </c>
      <c r="K230" t="s" s="35">
        <v>535</v>
      </c>
      <c r="L230" t="s" s="35">
        <v>569</v>
      </c>
      <c r="M230" t="str" s="39">
        <v>Física</v>
      </c>
      <c r="N230" t="str" s="39">
        <v>Movimiento y fuerzas</v>
      </c>
      <c r="O230" t="str" s="39" cm="1">
        <f t="array" ref="O230">IF(L230="","",_xlfn.IFERROR(INDEX('Datos - Catálogo TIMSS'!$C$5:$C$107,MATCH(L230,'Datos - Catálogo TIMSS'!$A$5:$A$107,0)),"?"))</f>
        <v>Física</v>
      </c>
      <c r="P230" t="s" s="35">
        <v>282</v>
      </c>
      <c r="Q230" t="s" s="120">
        <v>2912</v>
      </c>
      <c r="R230" t="s" s="120">
        <v>2913</v>
      </c>
      <c r="S230" s="121" cm="1">
        <f t="array" ref="S230">_xlfn.IFERROR(ISNUMBER(SEARCH("Conocer",$R230))/(ISNUMBER(SEARCH("Conocer",$R230))+ISNUMBER(SEARCH("Aplicar",$R230))+ISNUMBER(SEARCH("Razonar",$R230))),0)</f>
        <v>0</v>
      </c>
      <c r="T230" s="121" cm="1">
        <f t="array" ref="T230">_xlfn.IFERROR(ISNUMBER(SEARCH("Aplicar",$R230))/(ISNUMBER(SEARCH("Conocer",$R230))+ISNUMBER(SEARCH("Aplicar",$R230))+ISNUMBER(SEARCH("Razonar",$R230))),0)</f>
        <v>0</v>
      </c>
      <c r="U230" s="121" cm="1">
        <f t="array" ref="U230">_xlfn.IFERROR(ISNUMBER(SEARCH("Razonar",$R230))/(ISNUMBER(SEARCH("Conocer",$R230))+ISNUMBER(SEARCH("Aplicar",$R230))+ISNUMBER(SEARCH("Razonar",$R230))),0)</f>
        <v>1</v>
      </c>
      <c r="V230" t="s" s="35">
        <v>79</v>
      </c>
      <c r="W230" t="s" s="35">
        <v>115</v>
      </c>
      <c r="X230" s="36" cm="1">
        <f t="array" ref="X230">IF(OR(_xlfn.IFERROR(INDEX('Datos - Catálogo TIMSS'!$I$5:$I$107,MATCH(K230,'Datos - Catálogo TIMSS'!$A$5:$A$107,0)),"No")="Sí",_xlfn.IFERROR(INDEX('Datos - Catálogo TIMSS'!$I$5:$I$107,MATCH(L230,'Datos - Catálogo TIMSS'!$A$5:$A$107,0)),"No")="Sí"),1,0)</f>
        <v>0</v>
      </c>
      <c r="Y230" s="36" cm="1">
        <f t="array" ref="Y230">IF(_xlfn.IFERROR(INDEX('Datos - Catálogo TIMSS'!$J$5:$J$107,MATCH(K230,'Datos - Catálogo TIMSS'!$A$5:$A$107,0)),"No")="Sí",1,0)</f>
        <v>0</v>
      </c>
      <c r="Z230" s="36" cm="1">
        <f t="array" ref="Z230">IF(_xlfn.IFERROR(INDEX('Datos - Catálogo TIMSS'!$J$5:$J$107,MATCH(L230,'Datos - Catálogo TIMSS'!$A$5:$A$107,0)),"No")="Sí",1,0)</f>
        <v>1</v>
      </c>
      <c r="AA230" t="s" s="35">
        <v>2908</v>
      </c>
      <c r="AB230" t="s" s="35">
        <v>2877</v>
      </c>
      <c r="AC230" t="str" s="39">
        <v>Física</v>
      </c>
      <c r="AD230" t="s" s="35">
        <v>1834</v>
      </c>
      <c r="AE230" t="str" s="39" cm="1">
        <f t="array" ref="AE230">IF(AD230="","",IF(LEFT(AD230,1)="1","C1",IF(LEFT(AD230,1)="2","C2",IF(LEFT(AD230,1)="3","C3",""))))</f>
        <v>C2</v>
      </c>
      <c r="AF230" t="s" s="35">
        <v>1602</v>
      </c>
      <c r="AG230" t="s" s="35">
        <v>1607</v>
      </c>
      <c r="AH230" t="s" s="35">
        <v>1602</v>
      </c>
      <c r="AI230" t="s" s="35">
        <v>1621</v>
      </c>
      <c r="AJ230" t="s" s="35">
        <v>1607</v>
      </c>
      <c r="AK230" s="39"/>
      <c r="AL230" s="39"/>
      <c r="AM230" s="39"/>
      <c r="AN230" s="39"/>
      <c r="AO230" s="39"/>
      <c r="AP230" s="39"/>
      <c r="AQ230" s="39"/>
      <c r="AR230" s="39"/>
      <c r="AS230" s="39"/>
      <c r="AT230" s="39"/>
      <c r="AU230" s="39"/>
      <c r="AV230" s="39"/>
      <c r="AW230" t="str" s="39" cm="1">
        <f t="array" ref="AW230">AF230&amp;"; "&amp;AG230&amp;"; "&amp;AH230&amp;"; "&amp;AI230&amp;"; "&amp;AJ230</f>
        <v>E1; E3; E1; D3; E3</v>
      </c>
    </row>
    <row r="231" ht="13.65" customHeight="1">
      <c r="A231" t="s" s="35">
        <v>2914</v>
      </c>
      <c r="B231" s="36">
        <v>5</v>
      </c>
      <c r="C231" t="s" s="35">
        <v>1823</v>
      </c>
      <c r="D231" t="s" s="35">
        <v>2825</v>
      </c>
      <c r="E231" t="s" s="35">
        <v>2871</v>
      </c>
      <c r="F231" s="36">
        <v>12</v>
      </c>
      <c r="G231" t="s" s="35">
        <v>2872</v>
      </c>
      <c r="H231" t="s" s="35">
        <v>2904</v>
      </c>
      <c r="I231" t="s" s="120">
        <v>2915</v>
      </c>
      <c r="J231" t="s" s="35">
        <v>1164</v>
      </c>
      <c r="K231" t="s" s="35">
        <v>588</v>
      </c>
      <c r="L231" s="39"/>
      <c r="M231" t="str" s="39">
        <v>Física</v>
      </c>
      <c r="N231" t="str" s="39">
        <v>Movimiento y fuerzas</v>
      </c>
      <c r="O231" t="str" s="39" cm="1">
        <f t="array" ref="O231">IF(L231="","",_xlfn.IFERROR(INDEX('Datos - Catálogo TIMSS'!$C$5:$C$107,MATCH(L231,'Datos - Catálogo TIMSS'!$A$5:$A$107,0)),"?"))</f>
      </c>
      <c r="P231" t="s" s="35">
        <v>254</v>
      </c>
      <c r="Q231" t="s" s="120">
        <v>2916</v>
      </c>
      <c r="R231" t="s" s="120">
        <v>2917</v>
      </c>
      <c r="S231" s="121" cm="1">
        <f t="array" ref="S231">_xlfn.IFERROR(ISNUMBER(SEARCH("Conocer",$R231))/(ISNUMBER(SEARCH("Conocer",$R231))+ISNUMBER(SEARCH("Aplicar",$R231))+ISNUMBER(SEARCH("Razonar",$R231))),0)</f>
        <v>0</v>
      </c>
      <c r="T231" s="121" cm="1">
        <f t="array" ref="T231">_xlfn.IFERROR(ISNUMBER(SEARCH("Aplicar",$R231))/(ISNUMBER(SEARCH("Conocer",$R231))+ISNUMBER(SEARCH("Aplicar",$R231))+ISNUMBER(SEARCH("Razonar",$R231))),0)</f>
        <v>1</v>
      </c>
      <c r="U231" s="121" cm="1">
        <f t="array" ref="U231">_xlfn.IFERROR(ISNUMBER(SEARCH("Razonar",$R231))/(ISNUMBER(SEARCH("Conocer",$R231))+ISNUMBER(SEARCH("Aplicar",$R231))+ISNUMBER(SEARCH("Razonar",$R231))),0)</f>
        <v>0</v>
      </c>
      <c r="V231" t="s" s="35">
        <v>79</v>
      </c>
      <c r="W231" t="s" s="35">
        <v>115</v>
      </c>
      <c r="X231" s="36" cm="1">
        <f t="array" ref="X231">IF(OR(_xlfn.IFERROR(INDEX('Datos - Catálogo TIMSS'!$I$5:$I$107,MATCH(K231,'Datos - Catálogo TIMSS'!$A$5:$A$107,0)),"No")="Sí",_xlfn.IFERROR(INDEX('Datos - Catálogo TIMSS'!$I$5:$I$107,MATCH(L231,'Datos - Catálogo TIMSS'!$A$5:$A$107,0)),"No")="Sí"),1,0)</f>
        <v>0</v>
      </c>
      <c r="Y231" s="36" cm="1">
        <f t="array" ref="Y231">IF(_xlfn.IFERROR(INDEX('Datos - Catálogo TIMSS'!$J$5:$J$107,MATCH(K231,'Datos - Catálogo TIMSS'!$A$5:$A$107,0)),"No")="Sí",1,0)</f>
        <v>0</v>
      </c>
      <c r="Z231" s="36" cm="1">
        <f t="array" ref="Z231">IF(_xlfn.IFERROR(INDEX('Datos - Catálogo TIMSS'!$J$5:$J$107,MATCH(L231,'Datos - Catálogo TIMSS'!$A$5:$A$107,0)),"No")="Sí",1,0)</f>
        <v>0</v>
      </c>
      <c r="AA231" t="s" s="35">
        <v>2889</v>
      </c>
      <c r="AB231" s="39"/>
      <c r="AC231" t="str" s="39">
        <v>Física</v>
      </c>
      <c r="AD231" t="s" s="35">
        <v>1859</v>
      </c>
      <c r="AE231" t="str" s="39" cm="1">
        <f t="array" ref="AE231">IF(AD231="","",IF(LEFT(AD231,1)="1","C1",IF(LEFT(AD231,1)="2","C2",IF(LEFT(AD231,1)="3","C3",""))))</f>
        <v>C1</v>
      </c>
      <c r="AF231" t="s" s="35">
        <v>1602</v>
      </c>
      <c r="AG231" t="s" s="35">
        <v>1612</v>
      </c>
      <c r="AH231" t="s" s="35">
        <v>1602</v>
      </c>
      <c r="AI231" t="s" s="35">
        <v>1623</v>
      </c>
      <c r="AJ231" t="s" s="35">
        <v>1607</v>
      </c>
      <c r="AK231" s="39"/>
      <c r="AL231" s="39"/>
      <c r="AM231" s="39"/>
      <c r="AN231" s="39"/>
      <c r="AO231" s="39"/>
      <c r="AP231" s="39"/>
      <c r="AQ231" s="39"/>
      <c r="AR231" s="39"/>
      <c r="AS231" s="39"/>
      <c r="AT231" s="39"/>
      <c r="AU231" s="39"/>
      <c r="AV231" s="39"/>
      <c r="AW231" t="str" s="39" cm="1">
        <f t="array" ref="AW231">AF231&amp;"; "&amp;AG231&amp;"; "&amp;AH231&amp;"; "&amp;AI231&amp;"; "&amp;AJ231</f>
        <v>E1; E5; E1; D4; E3</v>
      </c>
    </row>
    <row r="232" ht="13.65" customHeight="1">
      <c r="A232" t="s" s="35">
        <v>2919</v>
      </c>
      <c r="B232" s="36">
        <v>5</v>
      </c>
      <c r="C232" t="s" s="35">
        <v>1823</v>
      </c>
      <c r="D232" t="s" s="35">
        <v>2825</v>
      </c>
      <c r="E232" t="s" s="35">
        <v>2871</v>
      </c>
      <c r="F232" s="36">
        <v>13</v>
      </c>
      <c r="G232" t="s" s="35">
        <v>2872</v>
      </c>
      <c r="H232" t="s" s="35">
        <v>2920</v>
      </c>
      <c r="I232" t="s" s="120">
        <v>2921</v>
      </c>
      <c r="J232" t="s" s="35">
        <v>1164</v>
      </c>
      <c r="K232" t="s" s="35">
        <v>535</v>
      </c>
      <c r="L232" s="39"/>
      <c r="M232" t="str" s="39">
        <v>Física</v>
      </c>
      <c r="N232" t="str" s="39">
        <v>Movimiento y fuerzas</v>
      </c>
      <c r="O232" t="str" s="39" cm="1">
        <f t="array" ref="O232">IF(L232="","",_xlfn.IFERROR(INDEX('Datos - Catálogo TIMSS'!$C$5:$C$107,MATCH(L232,'Datos - Catálogo TIMSS'!$A$5:$A$107,0)),"?"))</f>
      </c>
      <c r="P232" t="s" s="35">
        <v>282</v>
      </c>
      <c r="Q232" t="s" s="120">
        <v>2922</v>
      </c>
      <c r="R232" t="s" s="120">
        <v>2491</v>
      </c>
      <c r="S232" s="121" cm="1">
        <f t="array" ref="S232">_xlfn.IFERROR(ISNUMBER(SEARCH("Conocer",$R232))/(ISNUMBER(SEARCH("Conocer",$R232))+ISNUMBER(SEARCH("Aplicar",$R232))+ISNUMBER(SEARCH("Razonar",$R232))),0)</f>
        <v>0</v>
      </c>
      <c r="T232" s="121" cm="1">
        <f t="array" ref="T232">_xlfn.IFERROR(ISNUMBER(SEARCH("Aplicar",$R232))/(ISNUMBER(SEARCH("Conocer",$R232))+ISNUMBER(SEARCH("Aplicar",$R232))+ISNUMBER(SEARCH("Razonar",$R232))),0)</f>
        <v>0.5</v>
      </c>
      <c r="U232" s="121" cm="1">
        <f t="array" ref="U232">_xlfn.IFERROR(ISNUMBER(SEARCH("Razonar",$R232))/(ISNUMBER(SEARCH("Conocer",$R232))+ISNUMBER(SEARCH("Aplicar",$R232))+ISNUMBER(SEARCH("Razonar",$R232))),0)</f>
        <v>0.5</v>
      </c>
      <c r="V232" t="s" s="35">
        <v>79</v>
      </c>
      <c r="W232" t="s" s="35">
        <v>115</v>
      </c>
      <c r="X232" s="36" cm="1">
        <f t="array" ref="X232">IF(OR(_xlfn.IFERROR(INDEX('Datos - Catálogo TIMSS'!$I$5:$I$107,MATCH(K232,'Datos - Catálogo TIMSS'!$A$5:$A$107,0)),"No")="Sí",_xlfn.IFERROR(INDEX('Datos - Catálogo TIMSS'!$I$5:$I$107,MATCH(L232,'Datos - Catálogo TIMSS'!$A$5:$A$107,0)),"No")="Sí"),1,0)</f>
        <v>0</v>
      </c>
      <c r="Y232" s="36" cm="1">
        <f t="array" ref="Y232">IF(_xlfn.IFERROR(INDEX('Datos - Catálogo TIMSS'!$J$5:$J$107,MATCH(K232,'Datos - Catálogo TIMSS'!$A$5:$A$107,0)),"No")="Sí",1,0)</f>
        <v>0</v>
      </c>
      <c r="Z232" s="36" cm="1">
        <f t="array" ref="Z232">IF(_xlfn.IFERROR(INDEX('Datos - Catálogo TIMSS'!$J$5:$J$107,MATCH(L232,'Datos - Catálogo TIMSS'!$A$5:$A$107,0)),"No")="Sí",1,0)</f>
        <v>0</v>
      </c>
      <c r="AA232" t="s" s="35">
        <v>2908</v>
      </c>
      <c r="AB232" s="39"/>
      <c r="AC232" t="str" s="39">
        <v>Física</v>
      </c>
      <c r="AD232" t="s" s="35">
        <v>1834</v>
      </c>
      <c r="AE232" t="str" s="39" cm="1">
        <f t="array" ref="AE232">IF(AD232="","",IF(LEFT(AD232,1)="1","C1",IF(LEFT(AD232,1)="2","C2",IF(LEFT(AD232,1)="3","C3",""))))</f>
        <v>C2</v>
      </c>
      <c r="AF232" t="s" s="35">
        <v>1602</v>
      </c>
      <c r="AG232" t="s" s="35">
        <v>1617</v>
      </c>
      <c r="AH232" t="s" s="35">
        <v>1602</v>
      </c>
      <c r="AI232" t="s" s="35">
        <v>1623</v>
      </c>
      <c r="AJ232" t="s" s="35">
        <v>1602</v>
      </c>
      <c r="AK232" s="39"/>
      <c r="AL232" s="39"/>
      <c r="AM232" s="39"/>
      <c r="AN232" s="39"/>
      <c r="AO232" s="39"/>
      <c r="AP232" s="39"/>
      <c r="AQ232" s="39"/>
      <c r="AR232" s="39"/>
      <c r="AS232" s="39"/>
      <c r="AT232" s="39"/>
      <c r="AU232" s="39"/>
      <c r="AV232" s="39"/>
      <c r="AW232" t="str" s="39" cm="1">
        <f t="array" ref="AW232">AF232&amp;"; "&amp;AG232&amp;"; "&amp;AH232&amp;"; "&amp;AI232&amp;"; "&amp;AJ232</f>
        <v>E1; D1; E1; D4; E1</v>
      </c>
    </row>
    <row r="233" ht="13.65" customHeight="1">
      <c r="A233" t="s" s="35">
        <v>2923</v>
      </c>
      <c r="B233" s="36">
        <v>5</v>
      </c>
      <c r="C233" t="s" s="35">
        <v>1823</v>
      </c>
      <c r="D233" t="s" s="35">
        <v>2825</v>
      </c>
      <c r="E233" t="s" s="35">
        <v>2871</v>
      </c>
      <c r="F233" s="36">
        <v>14</v>
      </c>
      <c r="G233" t="s" s="35">
        <v>2872</v>
      </c>
      <c r="H233" t="s" s="35">
        <v>2924</v>
      </c>
      <c r="I233" t="s" s="120">
        <v>2925</v>
      </c>
      <c r="J233" t="s" s="35">
        <v>1164</v>
      </c>
      <c r="K233" t="s" s="35">
        <v>575</v>
      </c>
      <c r="L233" s="39"/>
      <c r="M233" t="str" s="39">
        <v>Física</v>
      </c>
      <c r="N233" t="str" s="39">
        <v>Transformación y transferencia de energía</v>
      </c>
      <c r="O233" t="str" s="39" cm="1">
        <f t="array" ref="O233">IF(L233="","",_xlfn.IFERROR(INDEX('Datos - Catálogo TIMSS'!$C$5:$C$107,MATCH(L233,'Datos - Catálogo TIMSS'!$A$5:$A$107,0)),"?"))</f>
      </c>
      <c r="P233" t="s" s="35">
        <v>254</v>
      </c>
      <c r="Q233" t="s" s="120">
        <v>2927</v>
      </c>
      <c r="R233" t="s" s="120">
        <v>2928</v>
      </c>
      <c r="S233" s="121" cm="1">
        <f t="array" ref="S233">_xlfn.IFERROR(ISNUMBER(SEARCH("Conocer",$R233))/(ISNUMBER(SEARCH("Conocer",$R233))+ISNUMBER(SEARCH("Aplicar",$R233))+ISNUMBER(SEARCH("Razonar",$R233))),0)</f>
        <v>0</v>
      </c>
      <c r="T233" s="121" cm="1">
        <f t="array" ref="T233">_xlfn.IFERROR(ISNUMBER(SEARCH("Aplicar",$R233))/(ISNUMBER(SEARCH("Conocer",$R233))+ISNUMBER(SEARCH("Aplicar",$R233))+ISNUMBER(SEARCH("Razonar",$R233))),0)</f>
        <v>0.5</v>
      </c>
      <c r="U233" s="121" cm="1">
        <f t="array" ref="U233">_xlfn.IFERROR(ISNUMBER(SEARCH("Razonar",$R233))/(ISNUMBER(SEARCH("Conocer",$R233))+ISNUMBER(SEARCH("Aplicar",$R233))+ISNUMBER(SEARCH("Razonar",$R233))),0)</f>
        <v>0.5</v>
      </c>
      <c r="V233" t="s" s="35">
        <v>79</v>
      </c>
      <c r="W233" t="s" s="35">
        <v>115</v>
      </c>
      <c r="X233" s="36" cm="1">
        <f t="array" ref="X233">IF(OR(_xlfn.IFERROR(INDEX('Datos - Catálogo TIMSS'!$I$5:$I$107,MATCH(K233,'Datos - Catálogo TIMSS'!$A$5:$A$107,0)),"No")="Sí",_xlfn.IFERROR(INDEX('Datos - Catálogo TIMSS'!$I$5:$I$107,MATCH(L233,'Datos - Catálogo TIMSS'!$A$5:$A$107,0)),"No")="Sí"),1,0)</f>
        <v>0</v>
      </c>
      <c r="Y233" s="36" cm="1">
        <f t="array" ref="Y233">IF(_xlfn.IFERROR(INDEX('Datos - Catálogo TIMSS'!$J$5:$J$107,MATCH(K233,'Datos - Catálogo TIMSS'!$A$5:$A$107,0)),"No")="Sí",1,0)</f>
        <v>0</v>
      </c>
      <c r="Z233" s="36" cm="1">
        <f t="array" ref="Z233">IF(_xlfn.IFERROR(INDEX('Datos - Catálogo TIMSS'!$J$5:$J$107,MATCH(L233,'Datos - Catálogo TIMSS'!$A$5:$A$107,0)),"No")="Sí",1,0)</f>
        <v>0</v>
      </c>
      <c r="AA233" t="s" s="35">
        <v>2929</v>
      </c>
      <c r="AB233" s="39"/>
      <c r="AC233" t="str" s="39">
        <v>Física</v>
      </c>
      <c r="AD233" t="s" s="35">
        <v>1859</v>
      </c>
      <c r="AE233" t="str" s="39" cm="1">
        <f t="array" ref="AE233">IF(AD233="","",IF(LEFT(AD233,1)="1","C1",IF(LEFT(AD233,1)="2","C2",IF(LEFT(AD233,1)="3","C3",""))))</f>
        <v>C1</v>
      </c>
      <c r="AF233" t="s" s="35">
        <v>1602</v>
      </c>
      <c r="AG233" t="s" s="35">
        <v>1612</v>
      </c>
      <c r="AH233" t="s" s="35">
        <v>1602</v>
      </c>
      <c r="AI233" t="s" s="35">
        <v>1623</v>
      </c>
      <c r="AJ233" t="s" s="35">
        <v>1615</v>
      </c>
      <c r="AK233" s="39"/>
      <c r="AL233" s="39"/>
      <c r="AM233" s="39"/>
      <c r="AN233" s="39"/>
      <c r="AO233" s="39"/>
      <c r="AP233" s="39"/>
      <c r="AQ233" s="39"/>
      <c r="AR233" s="39"/>
      <c r="AS233" s="39"/>
      <c r="AT233" s="39"/>
      <c r="AU233" s="39"/>
      <c r="AV233" s="39"/>
      <c r="AW233" t="str" s="39" cm="1">
        <f t="array" ref="AW233">AF233&amp;"; "&amp;AG233&amp;"; "&amp;AH233&amp;"; "&amp;AI233&amp;"; "&amp;AJ233</f>
        <v>E1; E5; E1; D4; E6</v>
      </c>
    </row>
    <row r="234" ht="13.65" customHeight="1">
      <c r="A234" t="s" s="35">
        <v>2930</v>
      </c>
      <c r="B234" s="36">
        <v>5</v>
      </c>
      <c r="C234" t="s" s="35">
        <v>1823</v>
      </c>
      <c r="D234" t="s" s="35">
        <v>2825</v>
      </c>
      <c r="E234" t="s" s="35">
        <v>2871</v>
      </c>
      <c r="F234" s="36">
        <v>15</v>
      </c>
      <c r="G234" t="s" s="35">
        <v>2872</v>
      </c>
      <c r="H234" t="s" s="35">
        <v>2924</v>
      </c>
      <c r="I234" t="s" s="120">
        <v>2931</v>
      </c>
      <c r="J234" t="s" s="35">
        <v>1164</v>
      </c>
      <c r="K234" t="s" s="35">
        <v>588</v>
      </c>
      <c r="L234" t="s" s="35">
        <v>575</v>
      </c>
      <c r="M234" t="str" s="39">
        <v>Física</v>
      </c>
      <c r="N234" t="str" s="39">
        <v>Movimiento y fuerzas</v>
      </c>
      <c r="O234" t="str" s="39" cm="1">
        <f t="array" ref="O234">IF(L234="","",_xlfn.IFERROR(INDEX('Datos - Catálogo TIMSS'!$C$5:$C$107,MATCH(L234,'Datos - Catálogo TIMSS'!$A$5:$A$107,0)),"?"))</f>
        <v>Física</v>
      </c>
      <c r="P234" t="s" s="35">
        <v>282</v>
      </c>
      <c r="Q234" t="s" s="120">
        <v>2932</v>
      </c>
      <c r="R234" t="s" s="120">
        <v>2933</v>
      </c>
      <c r="S234" s="121" cm="1">
        <f t="array" ref="S234">_xlfn.IFERROR(ISNUMBER(SEARCH("Conocer",$R234))/(ISNUMBER(SEARCH("Conocer",$R234))+ISNUMBER(SEARCH("Aplicar",$R234))+ISNUMBER(SEARCH("Razonar",$R234))),0)</f>
        <v>0</v>
      </c>
      <c r="T234" s="121" cm="1">
        <f t="array" ref="T234">_xlfn.IFERROR(ISNUMBER(SEARCH("Aplicar",$R234))/(ISNUMBER(SEARCH("Conocer",$R234))+ISNUMBER(SEARCH("Aplicar",$R234))+ISNUMBER(SEARCH("Razonar",$R234))),0)</f>
        <v>0.5</v>
      </c>
      <c r="U234" s="121" cm="1">
        <f t="array" ref="U234">_xlfn.IFERROR(ISNUMBER(SEARCH("Razonar",$R234))/(ISNUMBER(SEARCH("Conocer",$R234))+ISNUMBER(SEARCH("Aplicar",$R234))+ISNUMBER(SEARCH("Razonar",$R234))),0)</f>
        <v>0.5</v>
      </c>
      <c r="V234" t="s" s="35">
        <v>79</v>
      </c>
      <c r="W234" t="s" s="35">
        <v>115</v>
      </c>
      <c r="X234" s="36" cm="1">
        <f t="array" ref="X234">IF(OR(_xlfn.IFERROR(INDEX('Datos - Catálogo TIMSS'!$I$5:$I$107,MATCH(K234,'Datos - Catálogo TIMSS'!$A$5:$A$107,0)),"No")="Sí",_xlfn.IFERROR(INDEX('Datos - Catálogo TIMSS'!$I$5:$I$107,MATCH(L234,'Datos - Catálogo TIMSS'!$A$5:$A$107,0)),"No")="Sí"),1,0)</f>
        <v>0</v>
      </c>
      <c r="Y234" s="36" cm="1">
        <f t="array" ref="Y234">IF(_xlfn.IFERROR(INDEX('Datos - Catálogo TIMSS'!$J$5:$J$107,MATCH(K234,'Datos - Catálogo TIMSS'!$A$5:$A$107,0)),"No")="Sí",1,0)</f>
        <v>0</v>
      </c>
      <c r="Z234" s="36" cm="1">
        <f t="array" ref="Z234">IF(_xlfn.IFERROR(INDEX('Datos - Catálogo TIMSS'!$J$5:$J$107,MATCH(L234,'Datos - Catálogo TIMSS'!$A$5:$A$107,0)),"No")="Sí",1,0)</f>
        <v>0</v>
      </c>
      <c r="AA234" t="s" s="35">
        <v>2929</v>
      </c>
      <c r="AB234" t="s" s="35">
        <v>2889</v>
      </c>
      <c r="AC234" t="str" s="39">
        <v>Física</v>
      </c>
      <c r="AD234" t="s" s="35">
        <v>1834</v>
      </c>
      <c r="AE234" t="str" s="39" cm="1">
        <f t="array" ref="AE234">IF(AD234="","",IF(LEFT(AD234,1)="1","C1",IF(LEFT(AD234,1)="2","C2",IF(LEFT(AD234,1)="3","C3",""))))</f>
        <v>C2</v>
      </c>
      <c r="AF234" t="s" s="35">
        <v>1602</v>
      </c>
      <c r="AG234" t="s" s="35">
        <v>1607</v>
      </c>
      <c r="AH234" t="s" s="35">
        <v>1602</v>
      </c>
      <c r="AI234" t="s" s="35">
        <v>1623</v>
      </c>
      <c r="AJ234" t="s" s="35">
        <v>1607</v>
      </c>
      <c r="AK234" s="39"/>
      <c r="AL234" s="39"/>
      <c r="AM234" s="39"/>
      <c r="AN234" s="39"/>
      <c r="AO234" s="39"/>
      <c r="AP234" s="39"/>
      <c r="AQ234" s="39"/>
      <c r="AR234" s="39"/>
      <c r="AS234" s="39"/>
      <c r="AT234" s="39"/>
      <c r="AU234" s="39"/>
      <c r="AV234" s="39"/>
      <c r="AW234" t="str" s="39" cm="1">
        <f t="array" ref="AW234">AF234&amp;"; "&amp;AG234&amp;"; "&amp;AH234&amp;"; "&amp;AI234&amp;"; "&amp;AJ234</f>
        <v>E1; E3; E1; D4; E3</v>
      </c>
    </row>
    <row r="235" ht="13.65" customHeight="1">
      <c r="A235" t="s" s="35">
        <v>2934</v>
      </c>
      <c r="B235" s="36">
        <v>5</v>
      </c>
      <c r="C235" t="s" s="35">
        <v>1823</v>
      </c>
      <c r="D235" t="s" s="35">
        <v>2825</v>
      </c>
      <c r="E235" t="s" s="35">
        <v>2871</v>
      </c>
      <c r="F235" s="36">
        <v>16</v>
      </c>
      <c r="G235" t="s" s="35">
        <v>2872</v>
      </c>
      <c r="H235" t="s" s="35">
        <v>2924</v>
      </c>
      <c r="I235" t="s" s="120">
        <v>2935</v>
      </c>
      <c r="J235" t="s" s="35">
        <v>1164</v>
      </c>
      <c r="K235" t="s" s="35">
        <v>575</v>
      </c>
      <c r="L235" s="39"/>
      <c r="M235" t="str" s="39">
        <v>Física</v>
      </c>
      <c r="N235" t="str" s="39">
        <v>Transformación y transferencia de energía</v>
      </c>
      <c r="O235" t="str" s="39" cm="1">
        <f t="array" ref="O235">IF(L235="","",_xlfn.IFERROR(INDEX('Datos - Catálogo TIMSS'!$C$5:$C$107,MATCH(L235,'Datos - Catálogo TIMSS'!$A$5:$A$107,0)),"?"))</f>
      </c>
      <c r="P235" t="s" s="35">
        <v>254</v>
      </c>
      <c r="Q235" t="s" s="120">
        <v>2936</v>
      </c>
      <c r="R235" t="s" s="120">
        <v>2368</v>
      </c>
      <c r="S235" s="121" cm="1">
        <f t="array" ref="S235">_xlfn.IFERROR(ISNUMBER(SEARCH("Conocer",$R235))/(ISNUMBER(SEARCH("Conocer",$R235))+ISNUMBER(SEARCH("Aplicar",$R235))+ISNUMBER(SEARCH("Razonar",$R235))),0)</f>
        <v>0</v>
      </c>
      <c r="T235" s="121" cm="1">
        <f t="array" ref="T235">_xlfn.IFERROR(ISNUMBER(SEARCH("Aplicar",$R235))/(ISNUMBER(SEARCH("Conocer",$R235))+ISNUMBER(SEARCH("Aplicar",$R235))+ISNUMBER(SEARCH("Razonar",$R235))),0)</f>
        <v>0.5</v>
      </c>
      <c r="U235" s="121" cm="1">
        <f t="array" ref="U235">_xlfn.IFERROR(ISNUMBER(SEARCH("Razonar",$R235))/(ISNUMBER(SEARCH("Conocer",$R235))+ISNUMBER(SEARCH("Aplicar",$R235))+ISNUMBER(SEARCH("Razonar",$R235))),0)</f>
        <v>0.5</v>
      </c>
      <c r="V235" t="s" s="35">
        <v>79</v>
      </c>
      <c r="W235" t="s" s="35">
        <v>115</v>
      </c>
      <c r="X235" s="36" cm="1">
        <f t="array" ref="X235">IF(OR(_xlfn.IFERROR(INDEX('Datos - Catálogo TIMSS'!$I$5:$I$107,MATCH(K235,'Datos - Catálogo TIMSS'!$A$5:$A$107,0)),"No")="Sí",_xlfn.IFERROR(INDEX('Datos - Catálogo TIMSS'!$I$5:$I$107,MATCH(L235,'Datos - Catálogo TIMSS'!$A$5:$A$107,0)),"No")="Sí"),1,0)</f>
        <v>0</v>
      </c>
      <c r="Y235" s="36" cm="1">
        <f t="array" ref="Y235">IF(_xlfn.IFERROR(INDEX('Datos - Catálogo TIMSS'!$J$5:$J$107,MATCH(K235,'Datos - Catálogo TIMSS'!$A$5:$A$107,0)),"No")="Sí",1,0)</f>
        <v>0</v>
      </c>
      <c r="Z235" s="36" cm="1">
        <f t="array" ref="Z235">IF(_xlfn.IFERROR(INDEX('Datos - Catálogo TIMSS'!$J$5:$J$107,MATCH(L235,'Datos - Catálogo TIMSS'!$A$5:$A$107,0)),"No")="Sí",1,0)</f>
        <v>0</v>
      </c>
      <c r="AA235" t="s" s="35">
        <v>2929</v>
      </c>
      <c r="AB235" s="39"/>
      <c r="AC235" t="str" s="39">
        <v>Física</v>
      </c>
      <c r="AD235" t="s" s="35">
        <v>1834</v>
      </c>
      <c r="AE235" t="str" s="39" cm="1">
        <f t="array" ref="AE235">IF(AD235="","",IF(LEFT(AD235,1)="1","C1",IF(LEFT(AD235,1)="2","C2",IF(LEFT(AD235,1)="3","C3",""))))</f>
        <v>C2</v>
      </c>
      <c r="AF235" t="s" s="35">
        <v>1602</v>
      </c>
      <c r="AG235" t="s" s="35">
        <v>1607</v>
      </c>
      <c r="AH235" t="s" s="35">
        <v>1602</v>
      </c>
      <c r="AI235" t="s" s="35">
        <v>1623</v>
      </c>
      <c r="AJ235" t="s" s="35">
        <v>1615</v>
      </c>
      <c r="AK235" s="39"/>
      <c r="AL235" s="39"/>
      <c r="AM235" s="39"/>
      <c r="AN235" s="39"/>
      <c r="AO235" s="39"/>
      <c r="AP235" s="39"/>
      <c r="AQ235" s="39"/>
      <c r="AR235" s="39"/>
      <c r="AS235" s="39"/>
      <c r="AT235" s="39"/>
      <c r="AU235" s="39"/>
      <c r="AV235" s="39"/>
      <c r="AW235" t="str" s="39" cm="1">
        <f t="array" ref="AW235">AF235&amp;"; "&amp;AG235&amp;"; "&amp;AH235&amp;"; "&amp;AI235&amp;"; "&amp;AJ235</f>
        <v>E1; E3; E1; D4; E6</v>
      </c>
    </row>
    <row r="236" ht="13.65" customHeight="1">
      <c r="A236" t="s" s="35">
        <v>2937</v>
      </c>
      <c r="B236" s="36">
        <v>5</v>
      </c>
      <c r="C236" t="s" s="35">
        <v>1823</v>
      </c>
      <c r="D236" t="s" s="35">
        <v>2825</v>
      </c>
      <c r="E236" t="s" s="35">
        <v>2871</v>
      </c>
      <c r="F236" s="36">
        <v>17</v>
      </c>
      <c r="G236" t="s" s="35">
        <v>2872</v>
      </c>
      <c r="H236" t="s" s="35">
        <v>2924</v>
      </c>
      <c r="I236" t="s" s="120">
        <v>2938</v>
      </c>
      <c r="J236" t="s" s="35">
        <v>1164</v>
      </c>
      <c r="K236" t="s" s="35">
        <v>575</v>
      </c>
      <c r="L236" s="39"/>
      <c r="M236" t="str" s="39">
        <v>Física</v>
      </c>
      <c r="N236" t="str" s="39">
        <v>Transformación y transferencia de energía</v>
      </c>
      <c r="O236" t="str" s="39" cm="1">
        <f t="array" ref="O236">IF(L236="","",_xlfn.IFERROR(INDEX('Datos - Catálogo TIMSS'!$C$5:$C$107,MATCH(L236,'Datos - Catálogo TIMSS'!$A$5:$A$107,0)),"?"))</f>
      </c>
      <c r="P236" t="s" s="35">
        <v>254</v>
      </c>
      <c r="Q236" t="s" s="120">
        <v>2939</v>
      </c>
      <c r="R236" t="s" s="120">
        <v>2940</v>
      </c>
      <c r="S236" s="121" cm="1">
        <f t="array" ref="S236">_xlfn.IFERROR(ISNUMBER(SEARCH("Conocer",$R236))/(ISNUMBER(SEARCH("Conocer",$R236))+ISNUMBER(SEARCH("Aplicar",$R236))+ISNUMBER(SEARCH("Razonar",$R236))),0)</f>
        <v>0</v>
      </c>
      <c r="T236" s="121" cm="1">
        <f t="array" ref="T236">_xlfn.IFERROR(ISNUMBER(SEARCH("Aplicar",$R236))/(ISNUMBER(SEARCH("Conocer",$R236))+ISNUMBER(SEARCH("Aplicar",$R236))+ISNUMBER(SEARCH("Razonar",$R236))),0)</f>
        <v>0.5</v>
      </c>
      <c r="U236" s="121" cm="1">
        <f t="array" ref="U236">_xlfn.IFERROR(ISNUMBER(SEARCH("Razonar",$R236))/(ISNUMBER(SEARCH("Conocer",$R236))+ISNUMBER(SEARCH("Aplicar",$R236))+ISNUMBER(SEARCH("Razonar",$R236))),0)</f>
        <v>0.5</v>
      </c>
      <c r="V236" t="s" s="35">
        <v>79</v>
      </c>
      <c r="W236" t="s" s="35">
        <v>115</v>
      </c>
      <c r="X236" s="36" cm="1">
        <f t="array" ref="X236">IF(OR(_xlfn.IFERROR(INDEX('Datos - Catálogo TIMSS'!$I$5:$I$107,MATCH(K236,'Datos - Catálogo TIMSS'!$A$5:$A$107,0)),"No")="Sí",_xlfn.IFERROR(INDEX('Datos - Catálogo TIMSS'!$I$5:$I$107,MATCH(L236,'Datos - Catálogo TIMSS'!$A$5:$A$107,0)),"No")="Sí"),1,0)</f>
        <v>0</v>
      </c>
      <c r="Y236" s="36" cm="1">
        <f t="array" ref="Y236">IF(_xlfn.IFERROR(INDEX('Datos - Catálogo TIMSS'!$J$5:$J$107,MATCH(K236,'Datos - Catálogo TIMSS'!$A$5:$A$107,0)),"No")="Sí",1,0)</f>
        <v>0</v>
      </c>
      <c r="Z236" s="36" cm="1">
        <f t="array" ref="Z236">IF(_xlfn.IFERROR(INDEX('Datos - Catálogo TIMSS'!$J$5:$J$107,MATCH(L236,'Datos - Catálogo TIMSS'!$A$5:$A$107,0)),"No")="Sí",1,0)</f>
        <v>0</v>
      </c>
      <c r="AA236" t="s" s="35">
        <v>2929</v>
      </c>
      <c r="AB236" s="39"/>
      <c r="AC236" t="str" s="39">
        <v>Física</v>
      </c>
      <c r="AD236" t="s" s="35">
        <v>1834</v>
      </c>
      <c r="AE236" t="str" s="39" cm="1">
        <f t="array" ref="AE236">IF(AD236="","",IF(LEFT(AD236,1)="1","C1",IF(LEFT(AD236,1)="2","C2",IF(LEFT(AD236,1)="3","C3",""))))</f>
        <v>C2</v>
      </c>
      <c r="AF236" t="s" s="35">
        <v>1602</v>
      </c>
      <c r="AG236" t="s" s="35">
        <v>1617</v>
      </c>
      <c r="AH236" t="s" s="35">
        <v>1609</v>
      </c>
      <c r="AI236" t="s" s="35">
        <v>1623</v>
      </c>
      <c r="AJ236" t="s" s="35">
        <v>1615</v>
      </c>
      <c r="AK236" s="39"/>
      <c r="AL236" s="39"/>
      <c r="AM236" s="39"/>
      <c r="AN236" s="39"/>
      <c r="AO236" s="39"/>
      <c r="AP236" s="39"/>
      <c r="AQ236" s="39"/>
      <c r="AR236" s="39"/>
      <c r="AS236" s="39"/>
      <c r="AT236" s="39"/>
      <c r="AU236" s="39"/>
      <c r="AV236" s="39"/>
      <c r="AW236" t="str" s="39" cm="1">
        <f t="array" ref="AW236">AF236&amp;"; "&amp;AG236&amp;"; "&amp;AH236&amp;"; "&amp;AI236&amp;"; "&amp;AJ236</f>
        <v>E1; D1; E4; D4; E6</v>
      </c>
    </row>
    <row r="237" ht="13.65" customHeight="1">
      <c r="A237" t="s" s="35">
        <v>2941</v>
      </c>
      <c r="B237" s="36">
        <v>5</v>
      </c>
      <c r="C237" t="s" s="35">
        <v>1823</v>
      </c>
      <c r="D237" t="s" s="35">
        <v>2825</v>
      </c>
      <c r="E237" t="s" s="35">
        <v>2942</v>
      </c>
      <c r="F237" s="36">
        <v>3</v>
      </c>
      <c r="G237" t="s" s="35">
        <v>599</v>
      </c>
      <c r="H237" t="s" s="35">
        <v>2943</v>
      </c>
      <c r="I237" t="s" s="120">
        <v>2944</v>
      </c>
      <c r="J237" t="s" s="35">
        <v>1164</v>
      </c>
      <c r="K237" t="s" s="35">
        <v>601</v>
      </c>
      <c r="L237" s="39"/>
      <c r="M237" t="str" s="39">
        <v>Química</v>
      </c>
      <c r="N237" t="str" s="39">
        <v>Composición de la materia</v>
      </c>
      <c r="O237" t="str" s="39" cm="1">
        <f t="array" ref="O237">IF(L237="","",_xlfn.IFERROR(INDEX('Datos - Catálogo TIMSS'!$C$5:$C$107,MATCH(L237,'Datos - Catálogo TIMSS'!$A$5:$A$107,0)),"?"))</f>
      </c>
      <c r="P237" t="s" s="35">
        <v>254</v>
      </c>
      <c r="Q237" t="s" s="120">
        <v>2947</v>
      </c>
      <c r="R237" t="s" s="120">
        <v>2561</v>
      </c>
      <c r="S237" s="121" cm="1">
        <f t="array" ref="S237">_xlfn.IFERROR(ISNUMBER(SEARCH("Conocer",$R237))/(ISNUMBER(SEARCH("Conocer",$R237))+ISNUMBER(SEARCH("Aplicar",$R237))+ISNUMBER(SEARCH("Razonar",$R237))),0)</f>
        <v>1</v>
      </c>
      <c r="T237" s="121" cm="1">
        <f t="array" ref="T237">_xlfn.IFERROR(ISNUMBER(SEARCH("Aplicar",$R237))/(ISNUMBER(SEARCH("Conocer",$R237))+ISNUMBER(SEARCH("Aplicar",$R237))+ISNUMBER(SEARCH("Razonar",$R237))),0)</f>
        <v>0</v>
      </c>
      <c r="U237" s="121" cm="1">
        <f t="array" ref="U237">_xlfn.IFERROR(ISNUMBER(SEARCH("Razonar",$R237))/(ISNUMBER(SEARCH("Conocer",$R237))+ISNUMBER(SEARCH("Aplicar",$R237))+ISNUMBER(SEARCH("Razonar",$R237))),0)</f>
        <v>0</v>
      </c>
      <c r="V237" t="s" s="35">
        <v>79</v>
      </c>
      <c r="W237" t="s" s="35">
        <v>115</v>
      </c>
      <c r="X237" s="36" cm="1">
        <f t="array" ref="X237">IF(OR(_xlfn.IFERROR(INDEX('Datos - Catálogo TIMSS'!$I$5:$I$107,MATCH(K237,'Datos - Catálogo TIMSS'!$A$5:$A$107,0)),"No")="Sí",_xlfn.IFERROR(INDEX('Datos - Catálogo TIMSS'!$I$5:$I$107,MATCH(L237,'Datos - Catálogo TIMSS'!$A$5:$A$107,0)),"No")="Sí"),1,0)</f>
        <v>0</v>
      </c>
      <c r="Y237" s="36" cm="1">
        <f t="array" ref="Y237">IF(_xlfn.IFERROR(INDEX('Datos - Catálogo TIMSS'!$J$5:$J$107,MATCH(K237,'Datos - Catálogo TIMSS'!$A$5:$A$107,0)),"No")="Sí",1,0)</f>
        <v>0</v>
      </c>
      <c r="Z237" s="36" cm="1">
        <f t="array" ref="Z237">IF(_xlfn.IFERROR(INDEX('Datos - Catálogo TIMSS'!$J$5:$J$107,MATCH(L237,'Datos - Catálogo TIMSS'!$A$5:$A$107,0)),"No")="Sí",1,0)</f>
        <v>0</v>
      </c>
      <c r="AA237" t="s" s="35">
        <v>2948</v>
      </c>
      <c r="AB237" s="39"/>
      <c r="AC237" t="str" s="39">
        <v>Química</v>
      </c>
      <c r="AD237" t="s" s="35">
        <v>1859</v>
      </c>
      <c r="AE237" t="str" s="39" cm="1">
        <f t="array" ref="AE237">IF(AD237="","",IF(LEFT(AD237,1)="1","C1",IF(LEFT(AD237,1)="2","C2",IF(LEFT(AD237,1)="3","C3",""))))</f>
        <v>C1</v>
      </c>
      <c r="AF237" t="s" s="35">
        <v>1602</v>
      </c>
      <c r="AG237" t="s" s="35">
        <v>1612</v>
      </c>
      <c r="AH237" t="s" s="35">
        <v>1602</v>
      </c>
      <c r="AI237" t="s" s="35">
        <v>1623</v>
      </c>
      <c r="AJ237" t="s" s="35">
        <v>1602</v>
      </c>
      <c r="AK237" s="39"/>
      <c r="AL237" s="39"/>
      <c r="AM237" s="39"/>
      <c r="AN237" s="39"/>
      <c r="AO237" s="39"/>
      <c r="AP237" s="39"/>
      <c r="AQ237" s="39"/>
      <c r="AR237" s="39"/>
      <c r="AS237" s="39"/>
      <c r="AT237" s="39"/>
      <c r="AU237" s="39"/>
      <c r="AV237" s="39"/>
      <c r="AW237" t="str" s="39" cm="1">
        <f t="array" ref="AW237">AF237&amp;"; "&amp;AG237&amp;"; "&amp;AH237&amp;"; "&amp;AI237&amp;"; "&amp;AJ237</f>
        <v>E1; E5; E1; D4; E1</v>
      </c>
    </row>
    <row r="238" ht="13.65" customHeight="1">
      <c r="A238" t="s" s="35">
        <v>2949</v>
      </c>
      <c r="B238" s="36">
        <v>5</v>
      </c>
      <c r="C238" t="s" s="35">
        <v>1823</v>
      </c>
      <c r="D238" t="s" s="35">
        <v>2825</v>
      </c>
      <c r="E238" t="s" s="35">
        <v>2942</v>
      </c>
      <c r="F238" s="36">
        <v>4</v>
      </c>
      <c r="G238" t="s" s="35">
        <v>599</v>
      </c>
      <c r="H238" t="s" s="35">
        <v>2943</v>
      </c>
      <c r="I238" t="s" s="120">
        <v>2950</v>
      </c>
      <c r="J238" t="s" s="35">
        <v>1164</v>
      </c>
      <c r="K238" t="s" s="35">
        <v>601</v>
      </c>
      <c r="L238" s="39"/>
      <c r="M238" t="str" s="39">
        <v>Química</v>
      </c>
      <c r="N238" t="str" s="39">
        <v>Composición de la materia</v>
      </c>
      <c r="O238" t="str" s="39" cm="1">
        <f t="array" ref="O238">IF(L238="","",_xlfn.IFERROR(INDEX('Datos - Catálogo TIMSS'!$C$5:$C$107,MATCH(L238,'Datos - Catálogo TIMSS'!$A$5:$A$107,0)),"?"))</f>
      </c>
      <c r="P238" t="s" s="35">
        <v>254</v>
      </c>
      <c r="Q238" t="s" s="120">
        <v>2951</v>
      </c>
      <c r="R238" t="s" s="120">
        <v>2696</v>
      </c>
      <c r="S238" s="121" cm="1">
        <f t="array" ref="S238">_xlfn.IFERROR(ISNUMBER(SEARCH("Conocer",$R238))/(ISNUMBER(SEARCH("Conocer",$R238))+ISNUMBER(SEARCH("Aplicar",$R238))+ISNUMBER(SEARCH("Razonar",$R238))),0)</f>
        <v>0</v>
      </c>
      <c r="T238" s="121" cm="1">
        <f t="array" ref="T238">_xlfn.IFERROR(ISNUMBER(SEARCH("Aplicar",$R238))/(ISNUMBER(SEARCH("Conocer",$R238))+ISNUMBER(SEARCH("Aplicar",$R238))+ISNUMBER(SEARCH("Razonar",$R238))),0)</f>
        <v>0.5</v>
      </c>
      <c r="U238" s="121" cm="1">
        <f t="array" ref="U238">_xlfn.IFERROR(ISNUMBER(SEARCH("Razonar",$R238))/(ISNUMBER(SEARCH("Conocer",$R238))+ISNUMBER(SEARCH("Aplicar",$R238))+ISNUMBER(SEARCH("Razonar",$R238))),0)</f>
        <v>0.5</v>
      </c>
      <c r="V238" t="s" s="35">
        <v>79</v>
      </c>
      <c r="W238" t="s" s="35">
        <v>115</v>
      </c>
      <c r="X238" s="36" cm="1">
        <f t="array" ref="X238">IF(OR(_xlfn.IFERROR(INDEX('Datos - Catálogo TIMSS'!$I$5:$I$107,MATCH(K238,'Datos - Catálogo TIMSS'!$A$5:$A$107,0)),"No")="Sí",_xlfn.IFERROR(INDEX('Datos - Catálogo TIMSS'!$I$5:$I$107,MATCH(L238,'Datos - Catálogo TIMSS'!$A$5:$A$107,0)),"No")="Sí"),1,0)</f>
        <v>0</v>
      </c>
      <c r="Y238" s="36" cm="1">
        <f t="array" ref="Y238">IF(_xlfn.IFERROR(INDEX('Datos - Catálogo TIMSS'!$J$5:$J$107,MATCH(K238,'Datos - Catálogo TIMSS'!$A$5:$A$107,0)),"No")="Sí",1,0)</f>
        <v>0</v>
      </c>
      <c r="Z238" s="36" cm="1">
        <f t="array" ref="Z238">IF(_xlfn.IFERROR(INDEX('Datos - Catálogo TIMSS'!$J$5:$J$107,MATCH(L238,'Datos - Catálogo TIMSS'!$A$5:$A$107,0)),"No")="Sí",1,0)</f>
        <v>0</v>
      </c>
      <c r="AA238" t="s" s="35">
        <v>2948</v>
      </c>
      <c r="AB238" s="39"/>
      <c r="AC238" t="str" s="39">
        <v>Química</v>
      </c>
      <c r="AD238" t="s" s="35">
        <v>1859</v>
      </c>
      <c r="AE238" t="str" s="39" cm="1">
        <f t="array" ref="AE238">IF(AD238="","",IF(LEFT(AD238,1)="1","C1",IF(LEFT(AD238,1)="2","C2",IF(LEFT(AD238,1)="3","C3",""))))</f>
        <v>C1</v>
      </c>
      <c r="AF238" t="s" s="35">
        <v>1602</v>
      </c>
      <c r="AG238" t="s" s="35">
        <v>1612</v>
      </c>
      <c r="AH238" t="s" s="35">
        <v>1609</v>
      </c>
      <c r="AI238" t="s" s="35">
        <v>1609</v>
      </c>
      <c r="AJ238" t="s" s="35">
        <v>1615</v>
      </c>
      <c r="AK238" s="39"/>
      <c r="AL238" s="39"/>
      <c r="AM238" s="39"/>
      <c r="AN238" s="39"/>
      <c r="AO238" s="39"/>
      <c r="AP238" s="39"/>
      <c r="AQ238" s="39"/>
      <c r="AR238" s="39"/>
      <c r="AS238" s="39"/>
      <c r="AT238" s="39"/>
      <c r="AU238" s="39"/>
      <c r="AV238" s="39"/>
      <c r="AW238" t="str" s="39" cm="1">
        <f t="array" ref="AW238">AF238&amp;"; "&amp;AG238&amp;"; "&amp;AH238&amp;"; "&amp;AI238&amp;"; "&amp;AJ238</f>
        <v>E1; E5; E4; E4; E6</v>
      </c>
    </row>
    <row r="239" ht="13.65" customHeight="1">
      <c r="A239" t="s" s="35">
        <v>2952</v>
      </c>
      <c r="B239" s="36">
        <v>5</v>
      </c>
      <c r="C239" t="s" s="35">
        <v>1823</v>
      </c>
      <c r="D239" t="s" s="35">
        <v>2825</v>
      </c>
      <c r="E239" t="s" s="35">
        <v>2942</v>
      </c>
      <c r="F239" s="36">
        <v>5</v>
      </c>
      <c r="G239" t="s" s="35">
        <v>599</v>
      </c>
      <c r="H239" t="s" s="35">
        <v>2943</v>
      </c>
      <c r="I239" t="s" s="120">
        <v>2953</v>
      </c>
      <c r="J239" t="s" s="35">
        <v>1164</v>
      </c>
      <c r="K239" t="s" s="35">
        <v>601</v>
      </c>
      <c r="L239" s="39"/>
      <c r="M239" t="str" s="39">
        <v>Química</v>
      </c>
      <c r="N239" t="str" s="39">
        <v>Composición de la materia</v>
      </c>
      <c r="O239" t="str" s="39" cm="1">
        <f t="array" ref="O239">IF(L239="","",_xlfn.IFERROR(INDEX('Datos - Catálogo TIMSS'!$C$5:$C$107,MATCH(L239,'Datos - Catálogo TIMSS'!$A$5:$A$107,0)),"?"))</f>
      </c>
      <c r="P239" t="s" s="35">
        <v>254</v>
      </c>
      <c r="Q239" t="s" s="120">
        <v>2954</v>
      </c>
      <c r="R239" t="s" s="120">
        <v>2798</v>
      </c>
      <c r="S239" s="121" cm="1">
        <f t="array" ref="S239">_xlfn.IFERROR(ISNUMBER(SEARCH("Conocer",$R239))/(ISNUMBER(SEARCH("Conocer",$R239))+ISNUMBER(SEARCH("Aplicar",$R239))+ISNUMBER(SEARCH("Razonar",$R239))),0)</f>
        <v>0</v>
      </c>
      <c r="T239" s="121" cm="1">
        <f t="array" ref="T239">_xlfn.IFERROR(ISNUMBER(SEARCH("Aplicar",$R239))/(ISNUMBER(SEARCH("Conocer",$R239))+ISNUMBER(SEARCH("Aplicar",$R239))+ISNUMBER(SEARCH("Razonar",$R239))),0)</f>
        <v>1</v>
      </c>
      <c r="U239" s="121" cm="1">
        <f t="array" ref="U239">_xlfn.IFERROR(ISNUMBER(SEARCH("Razonar",$R239))/(ISNUMBER(SEARCH("Conocer",$R239))+ISNUMBER(SEARCH("Aplicar",$R239))+ISNUMBER(SEARCH("Razonar",$R239))),0)</f>
        <v>0</v>
      </c>
      <c r="V239" t="s" s="35">
        <v>79</v>
      </c>
      <c r="W239" t="s" s="35">
        <v>115</v>
      </c>
      <c r="X239" s="36" cm="1">
        <f t="array" ref="X239">IF(OR(_xlfn.IFERROR(INDEX('Datos - Catálogo TIMSS'!$I$5:$I$107,MATCH(K239,'Datos - Catálogo TIMSS'!$A$5:$A$107,0)),"No")="Sí",_xlfn.IFERROR(INDEX('Datos - Catálogo TIMSS'!$I$5:$I$107,MATCH(L239,'Datos - Catálogo TIMSS'!$A$5:$A$107,0)),"No")="Sí"),1,0)</f>
        <v>0</v>
      </c>
      <c r="Y239" s="36" cm="1">
        <f t="array" ref="Y239">IF(_xlfn.IFERROR(INDEX('Datos - Catálogo TIMSS'!$J$5:$J$107,MATCH(K239,'Datos - Catálogo TIMSS'!$A$5:$A$107,0)),"No")="Sí",1,0)</f>
        <v>0</v>
      </c>
      <c r="Z239" s="36" cm="1">
        <f t="array" ref="Z239">IF(_xlfn.IFERROR(INDEX('Datos - Catálogo TIMSS'!$J$5:$J$107,MATCH(L239,'Datos - Catálogo TIMSS'!$A$5:$A$107,0)),"No")="Sí",1,0)</f>
        <v>0</v>
      </c>
      <c r="AA239" t="s" s="35">
        <v>2948</v>
      </c>
      <c r="AB239" s="39"/>
      <c r="AC239" t="str" s="39">
        <v>Química</v>
      </c>
      <c r="AD239" t="s" s="35">
        <v>1859</v>
      </c>
      <c r="AE239" t="str" s="39" cm="1">
        <f t="array" ref="AE239">IF(AD239="","",IF(LEFT(AD239,1)="1","C1",IF(LEFT(AD239,1)="2","C2",IF(LEFT(AD239,1)="3","C3",""))))</f>
        <v>C1</v>
      </c>
      <c r="AF239" t="s" s="35">
        <v>1602</v>
      </c>
      <c r="AG239" t="s" s="35">
        <v>1617</v>
      </c>
      <c r="AH239" t="s" s="35">
        <v>1609</v>
      </c>
      <c r="AI239" t="s" s="35">
        <v>1609</v>
      </c>
      <c r="AJ239" t="s" s="35">
        <v>1602</v>
      </c>
      <c r="AK239" s="39"/>
      <c r="AL239" s="39"/>
      <c r="AM239" s="39"/>
      <c r="AN239" s="39"/>
      <c r="AO239" s="39"/>
      <c r="AP239" s="39"/>
      <c r="AQ239" s="39"/>
      <c r="AR239" s="39"/>
      <c r="AS239" s="39"/>
      <c r="AT239" s="39"/>
      <c r="AU239" s="39"/>
      <c r="AV239" s="39"/>
      <c r="AW239" t="str" s="39" cm="1">
        <f t="array" ref="AW239">AF239&amp;"; "&amp;AG239&amp;"; "&amp;AH239&amp;"; "&amp;AI239&amp;"; "&amp;AJ239</f>
        <v>E1; D1; E4; E4; E1</v>
      </c>
    </row>
    <row r="240" ht="13.65" customHeight="1">
      <c r="A240" t="s" s="35">
        <v>2955</v>
      </c>
      <c r="B240" s="36">
        <v>5</v>
      </c>
      <c r="C240" t="s" s="35">
        <v>1823</v>
      </c>
      <c r="D240" t="s" s="35">
        <v>2825</v>
      </c>
      <c r="E240" t="s" s="35">
        <v>2942</v>
      </c>
      <c r="F240" s="36">
        <v>6</v>
      </c>
      <c r="G240" t="s" s="35">
        <v>599</v>
      </c>
      <c r="H240" t="s" s="35">
        <v>2943</v>
      </c>
      <c r="I240" t="s" s="120">
        <v>2956</v>
      </c>
      <c r="J240" t="s" s="35">
        <v>1164</v>
      </c>
      <c r="K240" t="s" s="35">
        <v>601</v>
      </c>
      <c r="L240" s="39"/>
      <c r="M240" t="str" s="39">
        <v>Química</v>
      </c>
      <c r="N240" t="str" s="39">
        <v>Composición de la materia</v>
      </c>
      <c r="O240" t="str" s="39" cm="1">
        <f t="array" ref="O240">IF(L240="","",_xlfn.IFERROR(INDEX('Datos - Catálogo TIMSS'!$C$5:$C$107,MATCH(L240,'Datos - Catálogo TIMSS'!$A$5:$A$107,0)),"?"))</f>
      </c>
      <c r="P240" t="s" s="35">
        <v>254</v>
      </c>
      <c r="Q240" t="s" s="120">
        <v>2957</v>
      </c>
      <c r="R240" t="s" s="120">
        <v>2958</v>
      </c>
      <c r="S240" s="121" cm="1">
        <f t="array" ref="S240">_xlfn.IFERROR(ISNUMBER(SEARCH("Conocer",$R240))/(ISNUMBER(SEARCH("Conocer",$R240))+ISNUMBER(SEARCH("Aplicar",$R240))+ISNUMBER(SEARCH("Razonar",$R240))),0)</f>
        <v>0</v>
      </c>
      <c r="T240" s="121" cm="1">
        <f t="array" ref="T240">_xlfn.IFERROR(ISNUMBER(SEARCH("Aplicar",$R240))/(ISNUMBER(SEARCH("Conocer",$R240))+ISNUMBER(SEARCH("Aplicar",$R240))+ISNUMBER(SEARCH("Razonar",$R240))),0)</f>
        <v>1</v>
      </c>
      <c r="U240" s="121" cm="1">
        <f t="array" ref="U240">_xlfn.IFERROR(ISNUMBER(SEARCH("Razonar",$R240))/(ISNUMBER(SEARCH("Conocer",$R240))+ISNUMBER(SEARCH("Aplicar",$R240))+ISNUMBER(SEARCH("Razonar",$R240))),0)</f>
        <v>0</v>
      </c>
      <c r="V240" t="s" s="35">
        <v>79</v>
      </c>
      <c r="W240" t="s" s="35">
        <v>115</v>
      </c>
      <c r="X240" s="36" cm="1">
        <f t="array" ref="X240">IF(OR(_xlfn.IFERROR(INDEX('Datos - Catálogo TIMSS'!$I$5:$I$107,MATCH(K240,'Datos - Catálogo TIMSS'!$A$5:$A$107,0)),"No")="Sí",_xlfn.IFERROR(INDEX('Datos - Catálogo TIMSS'!$I$5:$I$107,MATCH(L240,'Datos - Catálogo TIMSS'!$A$5:$A$107,0)),"No")="Sí"),1,0)</f>
        <v>0</v>
      </c>
      <c r="Y240" s="36" cm="1">
        <f t="array" ref="Y240">IF(_xlfn.IFERROR(INDEX('Datos - Catálogo TIMSS'!$J$5:$J$107,MATCH(K240,'Datos - Catálogo TIMSS'!$A$5:$A$107,0)),"No")="Sí",1,0)</f>
        <v>0</v>
      </c>
      <c r="Z240" s="36" cm="1">
        <f t="array" ref="Z240">IF(_xlfn.IFERROR(INDEX('Datos - Catálogo TIMSS'!$J$5:$J$107,MATCH(L240,'Datos - Catálogo TIMSS'!$A$5:$A$107,0)),"No")="Sí",1,0)</f>
        <v>0</v>
      </c>
      <c r="AA240" t="s" s="35">
        <v>2948</v>
      </c>
      <c r="AB240" s="39"/>
      <c r="AC240" t="str" s="39">
        <v>Química</v>
      </c>
      <c r="AD240" t="s" s="35">
        <v>1859</v>
      </c>
      <c r="AE240" t="str" s="39" cm="1">
        <f t="array" ref="AE240">IF(AD240="","",IF(LEFT(AD240,1)="1","C1",IF(LEFT(AD240,1)="2","C2",IF(LEFT(AD240,1)="3","C3",""))))</f>
        <v>C1</v>
      </c>
      <c r="AF240" t="s" s="35">
        <v>1602</v>
      </c>
      <c r="AG240" t="s" s="35">
        <v>1617</v>
      </c>
      <c r="AH240" t="s" s="35">
        <v>1609</v>
      </c>
      <c r="AI240" t="s" s="35">
        <v>1609</v>
      </c>
      <c r="AJ240" t="s" s="35">
        <v>1607</v>
      </c>
      <c r="AK240" s="39"/>
      <c r="AL240" s="39"/>
      <c r="AM240" s="39"/>
      <c r="AN240" s="39"/>
      <c r="AO240" s="39"/>
      <c r="AP240" s="39"/>
      <c r="AQ240" s="39"/>
      <c r="AR240" s="39"/>
      <c r="AS240" s="39"/>
      <c r="AT240" s="39"/>
      <c r="AU240" s="39"/>
      <c r="AV240" s="39"/>
      <c r="AW240" t="str" s="39" cm="1">
        <f t="array" ref="AW240">AF240&amp;"; "&amp;AG240&amp;"; "&amp;AH240&amp;"; "&amp;AI240&amp;"; "&amp;AJ240</f>
        <v>E1; D1; E4; E4; E3</v>
      </c>
    </row>
    <row r="241" ht="13.65" customHeight="1">
      <c r="A241" t="s" s="35">
        <v>2959</v>
      </c>
      <c r="B241" s="36">
        <v>5</v>
      </c>
      <c r="C241" t="s" s="35">
        <v>1823</v>
      </c>
      <c r="D241" t="s" s="35">
        <v>2825</v>
      </c>
      <c r="E241" t="s" s="35">
        <v>2942</v>
      </c>
      <c r="F241" s="36">
        <v>7</v>
      </c>
      <c r="G241" t="s" s="35">
        <v>599</v>
      </c>
      <c r="H241" t="s" s="35">
        <v>2943</v>
      </c>
      <c r="I241" t="s" s="120">
        <v>2960</v>
      </c>
      <c r="J241" t="s" s="35">
        <v>1164</v>
      </c>
      <c r="K241" t="s" s="35">
        <v>601</v>
      </c>
      <c r="L241" t="s" s="35">
        <v>1215</v>
      </c>
      <c r="M241" t="str" s="39">
        <v>Química</v>
      </c>
      <c r="N241" t="str" s="39">
        <v>Composición de la materia</v>
      </c>
      <c r="O241" t="str" s="39" cm="1">
        <f t="array" ref="O241">IF(L241="","",_xlfn.IFERROR(INDEX('Datos - Catálogo TIMSS'!$C$5:$C$107,MATCH(L241,'Datos - Catálogo TIMSS'!$A$5:$A$107,0)),"?"))</f>
        <v>Química</v>
      </c>
      <c r="P241" t="s" s="35">
        <v>282</v>
      </c>
      <c r="Q241" t="s" s="120">
        <v>2961</v>
      </c>
      <c r="R241" t="s" s="120">
        <v>2962</v>
      </c>
      <c r="S241" s="121" cm="1">
        <f t="array" ref="S241">_xlfn.IFERROR(ISNUMBER(SEARCH("Conocer",$R241))/(ISNUMBER(SEARCH("Conocer",$R241))+ISNUMBER(SEARCH("Aplicar",$R241))+ISNUMBER(SEARCH("Razonar",$R241))),0)</f>
        <v>0</v>
      </c>
      <c r="T241" s="121" cm="1">
        <f t="array" ref="T241">_xlfn.IFERROR(ISNUMBER(SEARCH("Aplicar",$R241))/(ISNUMBER(SEARCH("Conocer",$R241))+ISNUMBER(SEARCH("Aplicar",$R241))+ISNUMBER(SEARCH("Razonar",$R241))),0)</f>
        <v>1</v>
      </c>
      <c r="U241" s="121" cm="1">
        <f t="array" ref="U241">_xlfn.IFERROR(ISNUMBER(SEARCH("Razonar",$R241))/(ISNUMBER(SEARCH("Conocer",$R241))+ISNUMBER(SEARCH("Aplicar",$R241))+ISNUMBER(SEARCH("Razonar",$R241))),0)</f>
        <v>0</v>
      </c>
      <c r="V241" t="s" s="35">
        <v>79</v>
      </c>
      <c r="W241" t="s" s="35">
        <v>115</v>
      </c>
      <c r="X241" s="36" cm="1">
        <f t="array" ref="X241">IF(OR(_xlfn.IFERROR(INDEX('Datos - Catálogo TIMSS'!$I$5:$I$107,MATCH(K241,'Datos - Catálogo TIMSS'!$A$5:$A$107,0)),"No")="Sí",_xlfn.IFERROR(INDEX('Datos - Catálogo TIMSS'!$I$5:$I$107,MATCH(L241,'Datos - Catálogo TIMSS'!$A$5:$A$107,0)),"No")="Sí"),1,0)</f>
        <v>0</v>
      </c>
      <c r="Y241" s="36" cm="1">
        <f t="array" ref="Y241">IF(_xlfn.IFERROR(INDEX('Datos - Catálogo TIMSS'!$J$5:$J$107,MATCH(K241,'Datos - Catálogo TIMSS'!$A$5:$A$107,0)),"No")="Sí",1,0)</f>
        <v>0</v>
      </c>
      <c r="Z241" s="36" cm="1">
        <f t="array" ref="Z241">IF(_xlfn.IFERROR(INDEX('Datos - Catálogo TIMSS'!$J$5:$J$107,MATCH(L241,'Datos - Catálogo TIMSS'!$A$5:$A$107,0)),"No")="Sí",1,0)</f>
        <v>0</v>
      </c>
      <c r="AA241" t="s" s="35">
        <v>2948</v>
      </c>
      <c r="AB241" t="s" s="35">
        <v>2963</v>
      </c>
      <c r="AC241" t="str" s="39">
        <v>Química</v>
      </c>
      <c r="AD241" t="s" s="35">
        <v>1834</v>
      </c>
      <c r="AE241" t="str" s="39" cm="1">
        <f t="array" ref="AE241">IF(AD241="","",IF(LEFT(AD241,1)="1","C1",IF(LEFT(AD241,1)="2","C2",IF(LEFT(AD241,1)="3","C3",""))))</f>
        <v>C2</v>
      </c>
      <c r="AF241" t="s" s="35">
        <v>1602</v>
      </c>
      <c r="AG241" t="s" s="35">
        <v>1617</v>
      </c>
      <c r="AH241" t="s" s="35">
        <v>1602</v>
      </c>
      <c r="AI241" t="s" s="35">
        <v>1623</v>
      </c>
      <c r="AJ241" t="s" s="35">
        <v>1607</v>
      </c>
      <c r="AK241" s="39"/>
      <c r="AL241" s="39"/>
      <c r="AM241" s="39"/>
      <c r="AN241" s="39"/>
      <c r="AO241" s="39"/>
      <c r="AP241" s="39"/>
      <c r="AQ241" s="39"/>
      <c r="AR241" s="39"/>
      <c r="AS241" s="39"/>
      <c r="AT241" s="39"/>
      <c r="AU241" s="39"/>
      <c r="AV241" s="39"/>
      <c r="AW241" t="str" s="39" cm="1">
        <f t="array" ref="AW241">AF241&amp;"; "&amp;AG241&amp;"; "&amp;AH241&amp;"; "&amp;AI241&amp;"; "&amp;AJ241</f>
        <v>E1; D1; E1; D4; E3</v>
      </c>
    </row>
    <row r="242" ht="13.65" customHeight="1">
      <c r="A242" t="s" s="35">
        <v>2964</v>
      </c>
      <c r="B242" s="36">
        <v>5</v>
      </c>
      <c r="C242" t="s" s="35">
        <v>1823</v>
      </c>
      <c r="D242" t="s" s="35">
        <v>2825</v>
      </c>
      <c r="E242" t="s" s="35">
        <v>2942</v>
      </c>
      <c r="F242" s="36">
        <v>8</v>
      </c>
      <c r="G242" t="s" s="35">
        <v>599</v>
      </c>
      <c r="H242" t="s" s="35">
        <v>2965</v>
      </c>
      <c r="I242" t="s" s="120">
        <v>2966</v>
      </c>
      <c r="J242" t="s" s="35">
        <v>1164</v>
      </c>
      <c r="K242" t="s" s="35">
        <v>601</v>
      </c>
      <c r="L242" s="39"/>
      <c r="M242" t="str" s="39">
        <v>Química</v>
      </c>
      <c r="N242" t="str" s="39">
        <v>Composición de la materia</v>
      </c>
      <c r="O242" t="str" s="39" cm="1">
        <f t="array" ref="O242">IF(L242="","",_xlfn.IFERROR(INDEX('Datos - Catálogo TIMSS'!$C$5:$C$107,MATCH(L242,'Datos - Catálogo TIMSS'!$A$5:$A$107,0)),"?"))</f>
      </c>
      <c r="P242" t="s" s="35">
        <v>291</v>
      </c>
      <c r="Q242" t="s" s="120">
        <v>2967</v>
      </c>
      <c r="R242" t="s" s="120">
        <v>2968</v>
      </c>
      <c r="S242" s="121" cm="1">
        <f t="array" ref="S242">_xlfn.IFERROR(ISNUMBER(SEARCH("Conocer",$R242))/(ISNUMBER(SEARCH("Conocer",$R242))+ISNUMBER(SEARCH("Aplicar",$R242))+ISNUMBER(SEARCH("Razonar",$R242))),0)</f>
        <v>0</v>
      </c>
      <c r="T242" s="121" cm="1">
        <f t="array" ref="T242">_xlfn.IFERROR(ISNUMBER(SEARCH("Aplicar",$R242))/(ISNUMBER(SEARCH("Conocer",$R242))+ISNUMBER(SEARCH("Aplicar",$R242))+ISNUMBER(SEARCH("Razonar",$R242))),0)</f>
        <v>0.5</v>
      </c>
      <c r="U242" s="121" cm="1">
        <f t="array" ref="U242">_xlfn.IFERROR(ISNUMBER(SEARCH("Razonar",$R242))/(ISNUMBER(SEARCH("Conocer",$R242))+ISNUMBER(SEARCH("Aplicar",$R242))+ISNUMBER(SEARCH("Razonar",$R242))),0)</f>
        <v>0.5</v>
      </c>
      <c r="V242" t="s" s="35">
        <v>79</v>
      </c>
      <c r="W242" t="s" s="35">
        <v>115</v>
      </c>
      <c r="X242" s="36" cm="1">
        <f t="array" ref="X242">IF(OR(_xlfn.IFERROR(INDEX('Datos - Catálogo TIMSS'!$I$5:$I$107,MATCH(K242,'Datos - Catálogo TIMSS'!$A$5:$A$107,0)),"No")="Sí",_xlfn.IFERROR(INDEX('Datos - Catálogo TIMSS'!$I$5:$I$107,MATCH(L242,'Datos - Catálogo TIMSS'!$A$5:$A$107,0)),"No")="Sí"),1,0)</f>
        <v>0</v>
      </c>
      <c r="Y242" s="36" cm="1">
        <f t="array" ref="Y242">IF(_xlfn.IFERROR(INDEX('Datos - Catálogo TIMSS'!$J$5:$J$107,MATCH(K242,'Datos - Catálogo TIMSS'!$A$5:$A$107,0)),"No")="Sí",1,0)</f>
        <v>0</v>
      </c>
      <c r="Z242" s="36" cm="1">
        <f t="array" ref="Z242">IF(_xlfn.IFERROR(INDEX('Datos - Catálogo TIMSS'!$J$5:$J$107,MATCH(L242,'Datos - Catálogo TIMSS'!$A$5:$A$107,0)),"No")="Sí",1,0)</f>
        <v>0</v>
      </c>
      <c r="AA242" t="s" s="35">
        <v>2948</v>
      </c>
      <c r="AB242" s="39"/>
      <c r="AC242" t="str" s="39">
        <v>Química</v>
      </c>
      <c r="AD242" t="s" s="35">
        <v>1834</v>
      </c>
      <c r="AE242" t="str" s="39" cm="1">
        <f t="array" ref="AE242">IF(AD242="","",IF(LEFT(AD242,1)="1","C1",IF(LEFT(AD242,1)="2","C2",IF(LEFT(AD242,1)="3","C3",""))))</f>
        <v>C2</v>
      </c>
      <c r="AF242" t="s" s="35">
        <v>1602</v>
      </c>
      <c r="AG242" t="s" s="35">
        <v>1612</v>
      </c>
      <c r="AH242" t="s" s="35">
        <v>1602</v>
      </c>
      <c r="AI242" t="s" s="35">
        <v>1619</v>
      </c>
      <c r="AJ242" t="s" s="35">
        <v>1615</v>
      </c>
      <c r="AK242" s="39"/>
      <c r="AL242" s="39"/>
      <c r="AM242" s="39"/>
      <c r="AN242" s="39"/>
      <c r="AO242" s="39"/>
      <c r="AP242" s="39"/>
      <c r="AQ242" s="39"/>
      <c r="AR242" s="39"/>
      <c r="AS242" s="39"/>
      <c r="AT242" s="39"/>
      <c r="AU242" s="39"/>
      <c r="AV242" s="39"/>
      <c r="AW242" t="str" s="39" cm="1">
        <f t="array" ref="AW242">AF242&amp;"; "&amp;AG242&amp;"; "&amp;AH242&amp;"; "&amp;AI242&amp;"; "&amp;AJ242</f>
        <v>E1; E5; E1; D2; E6</v>
      </c>
    </row>
    <row r="243" ht="13.65" customHeight="1">
      <c r="A243" t="s" s="35">
        <v>2969</v>
      </c>
      <c r="B243" s="36">
        <v>5</v>
      </c>
      <c r="C243" t="s" s="35">
        <v>1823</v>
      </c>
      <c r="D243" t="s" s="35">
        <v>2825</v>
      </c>
      <c r="E243" t="s" s="35">
        <v>2942</v>
      </c>
      <c r="F243" s="36">
        <v>9</v>
      </c>
      <c r="G243" t="s" s="35">
        <v>599</v>
      </c>
      <c r="H243" t="s" s="35">
        <v>2965</v>
      </c>
      <c r="I243" t="s" s="120">
        <v>2970</v>
      </c>
      <c r="J243" t="s" s="35">
        <v>1164</v>
      </c>
      <c r="K243" t="s" s="35">
        <v>601</v>
      </c>
      <c r="L243" s="39"/>
      <c r="M243" t="str" s="39">
        <v>Química</v>
      </c>
      <c r="N243" t="str" s="39">
        <v>Composición de la materia</v>
      </c>
      <c r="O243" t="str" s="39" cm="1">
        <f t="array" ref="O243">IF(L243="","",_xlfn.IFERROR(INDEX('Datos - Catálogo TIMSS'!$C$5:$C$107,MATCH(L243,'Datos - Catálogo TIMSS'!$A$5:$A$107,0)),"?"))</f>
      </c>
      <c r="P243" t="s" s="35">
        <v>282</v>
      </c>
      <c r="Q243" t="s" s="120">
        <v>2971</v>
      </c>
      <c r="R243" t="s" s="120">
        <v>2972</v>
      </c>
      <c r="S243" s="121" cm="1">
        <f t="array" ref="S243">_xlfn.IFERROR(ISNUMBER(SEARCH("Conocer",$R243))/(ISNUMBER(SEARCH("Conocer",$R243))+ISNUMBER(SEARCH("Aplicar",$R243))+ISNUMBER(SEARCH("Razonar",$R243))),0)</f>
        <v>0</v>
      </c>
      <c r="T243" s="121" cm="1">
        <f t="array" ref="T243">_xlfn.IFERROR(ISNUMBER(SEARCH("Aplicar",$R243))/(ISNUMBER(SEARCH("Conocer",$R243))+ISNUMBER(SEARCH("Aplicar",$R243))+ISNUMBER(SEARCH("Razonar",$R243))),0)</f>
        <v>0.5</v>
      </c>
      <c r="U243" s="121" cm="1">
        <f t="array" ref="U243">_xlfn.IFERROR(ISNUMBER(SEARCH("Razonar",$R243))/(ISNUMBER(SEARCH("Conocer",$R243))+ISNUMBER(SEARCH("Aplicar",$R243))+ISNUMBER(SEARCH("Razonar",$R243))),0)</f>
        <v>0.5</v>
      </c>
      <c r="V243" t="s" s="35">
        <v>79</v>
      </c>
      <c r="W243" t="s" s="35">
        <v>115</v>
      </c>
      <c r="X243" s="36" cm="1">
        <f t="array" ref="X243">IF(OR(_xlfn.IFERROR(INDEX('Datos - Catálogo TIMSS'!$I$5:$I$107,MATCH(K243,'Datos - Catálogo TIMSS'!$A$5:$A$107,0)),"No")="Sí",_xlfn.IFERROR(INDEX('Datos - Catálogo TIMSS'!$I$5:$I$107,MATCH(L243,'Datos - Catálogo TIMSS'!$A$5:$A$107,0)),"No")="Sí"),1,0)</f>
        <v>0</v>
      </c>
      <c r="Y243" s="36" cm="1">
        <f t="array" ref="Y243">IF(_xlfn.IFERROR(INDEX('Datos - Catálogo TIMSS'!$J$5:$J$107,MATCH(K243,'Datos - Catálogo TIMSS'!$A$5:$A$107,0)),"No")="Sí",1,0)</f>
        <v>0</v>
      </c>
      <c r="Z243" s="36" cm="1">
        <f t="array" ref="Z243">IF(_xlfn.IFERROR(INDEX('Datos - Catálogo TIMSS'!$J$5:$J$107,MATCH(L243,'Datos - Catálogo TIMSS'!$A$5:$A$107,0)),"No")="Sí",1,0)</f>
        <v>0</v>
      </c>
      <c r="AA243" t="s" s="35">
        <v>2948</v>
      </c>
      <c r="AB243" t="s" s="35">
        <v>2973</v>
      </c>
      <c r="AC243" t="str" s="39">
        <v>Química</v>
      </c>
      <c r="AD243" t="s" s="35">
        <v>1859</v>
      </c>
      <c r="AE243" t="str" s="39" cm="1">
        <f t="array" ref="AE243">IF(AD243="","",IF(LEFT(AD243,1)="1","C1",IF(LEFT(AD243,1)="2","C2",IF(LEFT(AD243,1)="3","C3",""))))</f>
        <v>C1</v>
      </c>
      <c r="AF243" t="s" s="35">
        <v>1602</v>
      </c>
      <c r="AG243" t="s" s="35">
        <v>1617</v>
      </c>
      <c r="AH243" t="s" s="35">
        <v>1609</v>
      </c>
      <c r="AI243" t="s" s="35">
        <v>1623</v>
      </c>
      <c r="AJ243" t="s" s="35">
        <v>1602</v>
      </c>
      <c r="AK243" s="39"/>
      <c r="AL243" s="39"/>
      <c r="AM243" s="39"/>
      <c r="AN243" s="39"/>
      <c r="AO243" s="39"/>
      <c r="AP243" s="39"/>
      <c r="AQ243" s="39"/>
      <c r="AR243" s="39"/>
      <c r="AS243" s="39"/>
      <c r="AT243" s="39"/>
      <c r="AU243" s="39"/>
      <c r="AV243" s="39"/>
      <c r="AW243" t="str" s="39" cm="1">
        <f t="array" ref="AW243">AF243&amp;"; "&amp;AG243&amp;"; "&amp;AH243&amp;"; "&amp;AI243&amp;"; "&amp;AJ243</f>
        <v>E1; D1; E4; D4; E1</v>
      </c>
    </row>
    <row r="244" ht="13.65" customHeight="1">
      <c r="A244" t="s" s="35">
        <v>2974</v>
      </c>
      <c r="B244" s="36">
        <v>5</v>
      </c>
      <c r="C244" t="s" s="35">
        <v>1823</v>
      </c>
      <c r="D244" t="s" s="35">
        <v>2825</v>
      </c>
      <c r="E244" t="s" s="35">
        <v>2942</v>
      </c>
      <c r="F244" s="36">
        <v>10</v>
      </c>
      <c r="G244" t="s" s="35">
        <v>599</v>
      </c>
      <c r="H244" t="s" s="35">
        <v>2975</v>
      </c>
      <c r="I244" t="s" s="120">
        <v>2976</v>
      </c>
      <c r="J244" t="s" s="35">
        <v>1164</v>
      </c>
      <c r="K244" t="s" s="35">
        <v>601</v>
      </c>
      <c r="L244" s="39"/>
      <c r="M244" t="str" s="39">
        <v>Química</v>
      </c>
      <c r="N244" t="str" s="39">
        <v>Composición de la materia</v>
      </c>
      <c r="O244" t="str" s="39" cm="1">
        <f t="array" ref="O244">IF(L244="","",_xlfn.IFERROR(INDEX('Datos - Catálogo TIMSS'!$C$5:$C$107,MATCH(L244,'Datos - Catálogo TIMSS'!$A$5:$A$107,0)),"?"))</f>
      </c>
      <c r="P244" t="s" s="35">
        <v>282</v>
      </c>
      <c r="Q244" t="s" s="120">
        <v>2977</v>
      </c>
      <c r="R244" t="s" s="120">
        <v>2978</v>
      </c>
      <c r="S244" s="121" cm="1">
        <f t="array" ref="S244">_xlfn.IFERROR(ISNUMBER(SEARCH("Conocer",$R244))/(ISNUMBER(SEARCH("Conocer",$R244))+ISNUMBER(SEARCH("Aplicar",$R244))+ISNUMBER(SEARCH("Razonar",$R244))),0)</f>
        <v>0.5</v>
      </c>
      <c r="T244" s="121" cm="1">
        <f t="array" ref="T244">_xlfn.IFERROR(ISNUMBER(SEARCH("Aplicar",$R244))/(ISNUMBER(SEARCH("Conocer",$R244))+ISNUMBER(SEARCH("Aplicar",$R244))+ISNUMBER(SEARCH("Razonar",$R244))),0)</f>
        <v>0</v>
      </c>
      <c r="U244" s="121" cm="1">
        <f t="array" ref="U244">_xlfn.IFERROR(ISNUMBER(SEARCH("Razonar",$R244))/(ISNUMBER(SEARCH("Conocer",$R244))+ISNUMBER(SEARCH("Aplicar",$R244))+ISNUMBER(SEARCH("Razonar",$R244))),0)</f>
        <v>0.5</v>
      </c>
      <c r="V244" t="s" s="35">
        <v>79</v>
      </c>
      <c r="W244" t="s" s="35">
        <v>115</v>
      </c>
      <c r="X244" s="36" cm="1">
        <f t="array" ref="X244">IF(OR(_xlfn.IFERROR(INDEX('Datos - Catálogo TIMSS'!$I$5:$I$107,MATCH(K244,'Datos - Catálogo TIMSS'!$A$5:$A$107,0)),"No")="Sí",_xlfn.IFERROR(INDEX('Datos - Catálogo TIMSS'!$I$5:$I$107,MATCH(L244,'Datos - Catálogo TIMSS'!$A$5:$A$107,0)),"No")="Sí"),1,0)</f>
        <v>0</v>
      </c>
      <c r="Y244" s="36" cm="1">
        <f t="array" ref="Y244">IF(_xlfn.IFERROR(INDEX('Datos - Catálogo TIMSS'!$J$5:$J$107,MATCH(K244,'Datos - Catálogo TIMSS'!$A$5:$A$107,0)),"No")="Sí",1,0)</f>
        <v>0</v>
      </c>
      <c r="Z244" s="36" cm="1">
        <f t="array" ref="Z244">IF(_xlfn.IFERROR(INDEX('Datos - Catálogo TIMSS'!$J$5:$J$107,MATCH(L244,'Datos - Catálogo TIMSS'!$A$5:$A$107,0)),"No")="Sí",1,0)</f>
        <v>0</v>
      </c>
      <c r="AA244" t="s" s="35">
        <v>2948</v>
      </c>
      <c r="AB244" s="39"/>
      <c r="AC244" t="str" s="39">
        <v>Química</v>
      </c>
      <c r="AD244" t="s" s="35">
        <v>1900</v>
      </c>
      <c r="AE244" t="str" s="39" cm="1">
        <f t="array" ref="AE244">IF(AD244="","",IF(LEFT(AD244,1)="1","C1",IF(LEFT(AD244,1)="2","C2",IF(LEFT(AD244,1)="3","C3",""))))</f>
        <v>C3</v>
      </c>
      <c r="AF244" t="s" s="35">
        <v>1602</v>
      </c>
      <c r="AG244" t="s" s="35">
        <v>1617</v>
      </c>
      <c r="AH244" t="s" s="35">
        <v>1602</v>
      </c>
      <c r="AI244" t="s" s="35">
        <v>1627</v>
      </c>
      <c r="AJ244" t="s" s="35">
        <v>1615</v>
      </c>
      <c r="AK244" s="39"/>
      <c r="AL244" s="39"/>
      <c r="AM244" s="39"/>
      <c r="AN244" s="39"/>
      <c r="AO244" s="39"/>
      <c r="AP244" s="39"/>
      <c r="AQ244" s="39"/>
      <c r="AR244" s="39"/>
      <c r="AS244" s="39"/>
      <c r="AT244" s="39"/>
      <c r="AU244" s="39"/>
      <c r="AV244" s="39"/>
      <c r="AW244" t="str" s="39" cm="1">
        <f t="array" ref="AW244">AF244&amp;"; "&amp;AG244&amp;"; "&amp;AH244&amp;"; "&amp;AI244&amp;"; "&amp;AJ244</f>
        <v>E1; D1; E1; I2; E6</v>
      </c>
    </row>
    <row r="245" ht="13.65" customHeight="1">
      <c r="A245" t="s" s="35">
        <v>2979</v>
      </c>
      <c r="B245" s="36">
        <v>5</v>
      </c>
      <c r="C245" t="s" s="35">
        <v>1823</v>
      </c>
      <c r="D245" t="s" s="35">
        <v>2825</v>
      </c>
      <c r="E245" t="s" s="35">
        <v>2942</v>
      </c>
      <c r="F245" s="36">
        <v>11</v>
      </c>
      <c r="G245" t="s" s="35">
        <v>599</v>
      </c>
      <c r="H245" t="s" s="35">
        <v>2975</v>
      </c>
      <c r="I245" t="s" s="120">
        <v>2980</v>
      </c>
      <c r="J245" t="s" s="35">
        <v>1164</v>
      </c>
      <c r="K245" t="s" s="35">
        <v>601</v>
      </c>
      <c r="L245" s="39"/>
      <c r="M245" t="str" s="39">
        <v>Química</v>
      </c>
      <c r="N245" t="str" s="39">
        <v>Composición de la materia</v>
      </c>
      <c r="O245" t="str" s="39" cm="1">
        <f t="array" ref="O245">IF(L245="","",_xlfn.IFERROR(INDEX('Datos - Catálogo TIMSS'!$C$5:$C$107,MATCH(L245,'Datos - Catálogo TIMSS'!$A$5:$A$107,0)),"?"))</f>
      </c>
      <c r="P245" t="s" s="35">
        <v>282</v>
      </c>
      <c r="Q245" t="s" s="120">
        <v>2981</v>
      </c>
      <c r="R245" t="s" s="120">
        <v>2982</v>
      </c>
      <c r="S245" s="121" cm="1">
        <f t="array" ref="S245">_xlfn.IFERROR(ISNUMBER(SEARCH("Conocer",$R245))/(ISNUMBER(SEARCH("Conocer",$R245))+ISNUMBER(SEARCH("Aplicar",$R245))+ISNUMBER(SEARCH("Razonar",$R245))),0)</f>
        <v>0</v>
      </c>
      <c r="T245" s="121" cm="1">
        <f t="array" ref="T245">_xlfn.IFERROR(ISNUMBER(SEARCH("Aplicar",$R245))/(ISNUMBER(SEARCH("Conocer",$R245))+ISNUMBER(SEARCH("Aplicar",$R245))+ISNUMBER(SEARCH("Razonar",$R245))),0)</f>
        <v>0.5</v>
      </c>
      <c r="U245" s="121" cm="1">
        <f t="array" ref="U245">_xlfn.IFERROR(ISNUMBER(SEARCH("Razonar",$R245))/(ISNUMBER(SEARCH("Conocer",$R245))+ISNUMBER(SEARCH("Aplicar",$R245))+ISNUMBER(SEARCH("Razonar",$R245))),0)</f>
        <v>0.5</v>
      </c>
      <c r="V245" t="s" s="35">
        <v>79</v>
      </c>
      <c r="W245" t="s" s="35">
        <v>115</v>
      </c>
      <c r="X245" s="36" cm="1">
        <f t="array" ref="X245">IF(OR(_xlfn.IFERROR(INDEX('Datos - Catálogo TIMSS'!$I$5:$I$107,MATCH(K245,'Datos - Catálogo TIMSS'!$A$5:$A$107,0)),"No")="Sí",_xlfn.IFERROR(INDEX('Datos - Catálogo TIMSS'!$I$5:$I$107,MATCH(L245,'Datos - Catálogo TIMSS'!$A$5:$A$107,0)),"No")="Sí"),1,0)</f>
        <v>0</v>
      </c>
      <c r="Y245" s="36" cm="1">
        <f t="array" ref="Y245">IF(_xlfn.IFERROR(INDEX('Datos - Catálogo TIMSS'!$J$5:$J$107,MATCH(K245,'Datos - Catálogo TIMSS'!$A$5:$A$107,0)),"No")="Sí",1,0)</f>
        <v>0</v>
      </c>
      <c r="Z245" s="36" cm="1">
        <f t="array" ref="Z245">IF(_xlfn.IFERROR(INDEX('Datos - Catálogo TIMSS'!$J$5:$J$107,MATCH(L245,'Datos - Catálogo TIMSS'!$A$5:$A$107,0)),"No")="Sí",1,0)</f>
        <v>0</v>
      </c>
      <c r="AA245" t="s" s="35">
        <v>2948</v>
      </c>
      <c r="AB245" s="39"/>
      <c r="AC245" t="str" s="39">
        <v>Química</v>
      </c>
      <c r="AD245" t="s" s="35">
        <v>1834</v>
      </c>
      <c r="AE245" t="str" s="39" cm="1">
        <f t="array" ref="AE245">IF(AD245="","",IF(LEFT(AD245,1)="1","C1",IF(LEFT(AD245,1)="2","C2",IF(LEFT(AD245,1)="3","C3",""))))</f>
        <v>C2</v>
      </c>
      <c r="AF245" t="s" s="35">
        <v>1602</v>
      </c>
      <c r="AG245" t="s" s="35">
        <v>1617</v>
      </c>
      <c r="AH245" t="s" s="35">
        <v>1609</v>
      </c>
      <c r="AI245" t="s" s="35">
        <v>1623</v>
      </c>
      <c r="AJ245" t="s" s="35">
        <v>1607</v>
      </c>
      <c r="AK245" s="39"/>
      <c r="AL245" s="39"/>
      <c r="AM245" s="39"/>
      <c r="AN245" s="39"/>
      <c r="AO245" s="39"/>
      <c r="AP245" s="39"/>
      <c r="AQ245" s="39"/>
      <c r="AR245" s="39"/>
      <c r="AS245" s="39"/>
      <c r="AT245" s="39"/>
      <c r="AU245" s="39"/>
      <c r="AV245" s="39"/>
      <c r="AW245" t="str" s="39" cm="1">
        <f t="array" ref="AW245">AF245&amp;"; "&amp;AG245&amp;"; "&amp;AH245&amp;"; "&amp;AI245&amp;"; "&amp;AJ245</f>
        <v>E1; D1; E4; D4; E3</v>
      </c>
    </row>
    <row r="246" ht="13.65" customHeight="1">
      <c r="A246" t="s" s="35">
        <v>2983</v>
      </c>
      <c r="B246" s="36">
        <v>5</v>
      </c>
      <c r="C246" t="s" s="35">
        <v>1823</v>
      </c>
      <c r="D246" t="s" s="35">
        <v>2825</v>
      </c>
      <c r="E246" t="s" s="35">
        <v>2942</v>
      </c>
      <c r="F246" s="36">
        <v>12</v>
      </c>
      <c r="G246" t="s" s="35">
        <v>599</v>
      </c>
      <c r="H246" t="s" s="35">
        <v>2984</v>
      </c>
      <c r="I246" t="s" s="120">
        <v>2985</v>
      </c>
      <c r="J246" t="s" s="35">
        <v>1164</v>
      </c>
      <c r="K246" t="s" s="35">
        <v>601</v>
      </c>
      <c r="L246" s="39"/>
      <c r="M246" t="str" s="39">
        <v>Química</v>
      </c>
      <c r="N246" t="str" s="39">
        <v>Composición de la materia</v>
      </c>
      <c r="O246" t="str" s="39" cm="1">
        <f t="array" ref="O246">IF(L246="","",_xlfn.IFERROR(INDEX('Datos - Catálogo TIMSS'!$C$5:$C$107,MATCH(L246,'Datos - Catálogo TIMSS'!$A$5:$A$107,0)),"?"))</f>
      </c>
      <c r="P246" t="s" s="35">
        <v>282</v>
      </c>
      <c r="Q246" t="s" s="120">
        <v>2986</v>
      </c>
      <c r="R246" t="s" s="120">
        <v>2805</v>
      </c>
      <c r="S246" s="121" cm="1">
        <f t="array" ref="S246">_xlfn.IFERROR(ISNUMBER(SEARCH("Conocer",$R246))/(ISNUMBER(SEARCH("Conocer",$R246))+ISNUMBER(SEARCH("Aplicar",$R246))+ISNUMBER(SEARCH("Razonar",$R246))),0)</f>
        <v>0</v>
      </c>
      <c r="T246" s="121" cm="1">
        <f t="array" ref="T246">_xlfn.IFERROR(ISNUMBER(SEARCH("Aplicar",$R246))/(ISNUMBER(SEARCH("Conocer",$R246))+ISNUMBER(SEARCH("Aplicar",$R246))+ISNUMBER(SEARCH("Razonar",$R246))),0)</f>
        <v>1</v>
      </c>
      <c r="U246" s="121" cm="1">
        <f t="array" ref="U246">_xlfn.IFERROR(ISNUMBER(SEARCH("Razonar",$R246))/(ISNUMBER(SEARCH("Conocer",$R246))+ISNUMBER(SEARCH("Aplicar",$R246))+ISNUMBER(SEARCH("Razonar",$R246))),0)</f>
        <v>0</v>
      </c>
      <c r="V246" t="s" s="35">
        <v>79</v>
      </c>
      <c r="W246" t="s" s="35">
        <v>115</v>
      </c>
      <c r="X246" s="36" cm="1">
        <f t="array" ref="X246">IF(OR(_xlfn.IFERROR(INDEX('Datos - Catálogo TIMSS'!$I$5:$I$107,MATCH(K246,'Datos - Catálogo TIMSS'!$A$5:$A$107,0)),"No")="Sí",_xlfn.IFERROR(INDEX('Datos - Catálogo TIMSS'!$I$5:$I$107,MATCH(L246,'Datos - Catálogo TIMSS'!$A$5:$A$107,0)),"No")="Sí"),1,0)</f>
        <v>0</v>
      </c>
      <c r="Y246" s="36" cm="1">
        <f t="array" ref="Y246">IF(_xlfn.IFERROR(INDEX('Datos - Catálogo TIMSS'!$J$5:$J$107,MATCH(K246,'Datos - Catálogo TIMSS'!$A$5:$A$107,0)),"No")="Sí",1,0)</f>
        <v>0</v>
      </c>
      <c r="Z246" s="36" cm="1">
        <f t="array" ref="Z246">IF(_xlfn.IFERROR(INDEX('Datos - Catálogo TIMSS'!$J$5:$J$107,MATCH(L246,'Datos - Catálogo TIMSS'!$A$5:$A$107,0)),"No")="Sí",1,0)</f>
        <v>0</v>
      </c>
      <c r="AA246" t="s" s="35">
        <v>2948</v>
      </c>
      <c r="AB246" s="39"/>
      <c r="AC246" t="str" s="39">
        <v>Química</v>
      </c>
      <c r="AD246" t="s" s="35">
        <v>1859</v>
      </c>
      <c r="AE246" t="str" s="39" cm="1">
        <f t="array" ref="AE246">IF(AD246="","",IF(LEFT(AD246,1)="1","C1",IF(LEFT(AD246,1)="2","C2",IF(LEFT(AD246,1)="3","C3",""))))</f>
        <v>C1</v>
      </c>
      <c r="AF246" t="s" s="35">
        <v>1602</v>
      </c>
      <c r="AG246" t="s" s="35">
        <v>1617</v>
      </c>
      <c r="AH246" t="s" s="35">
        <v>1605</v>
      </c>
      <c r="AI246" t="s" s="35">
        <v>1623</v>
      </c>
      <c r="AJ246" t="s" s="35">
        <v>1602</v>
      </c>
      <c r="AK246" s="39"/>
      <c r="AL246" s="39"/>
      <c r="AM246" s="39"/>
      <c r="AN246" s="39"/>
      <c r="AO246" s="39"/>
      <c r="AP246" s="39"/>
      <c r="AQ246" s="39"/>
      <c r="AR246" s="39"/>
      <c r="AS246" s="39"/>
      <c r="AT246" s="39"/>
      <c r="AU246" s="39"/>
      <c r="AV246" s="39"/>
      <c r="AW246" t="str" s="39" cm="1">
        <f t="array" ref="AW246">AF246&amp;"; "&amp;AG246&amp;"; "&amp;AH246&amp;"; "&amp;AI246&amp;"; "&amp;AJ246</f>
        <v>E1; D1; E2; D4; E1</v>
      </c>
    </row>
    <row r="247" ht="13.65" customHeight="1">
      <c r="A247" t="s" s="35">
        <v>2987</v>
      </c>
      <c r="B247" s="36">
        <v>5</v>
      </c>
      <c r="C247" t="s" s="35">
        <v>1823</v>
      </c>
      <c r="D247" t="s" s="35">
        <v>2825</v>
      </c>
      <c r="E247" t="s" s="35">
        <v>2942</v>
      </c>
      <c r="F247" s="36">
        <v>13</v>
      </c>
      <c r="G247" t="s" s="35">
        <v>599</v>
      </c>
      <c r="H247" t="s" s="35">
        <v>2988</v>
      </c>
      <c r="I247" t="s" s="120">
        <v>2989</v>
      </c>
      <c r="J247" t="s" s="35">
        <v>1164</v>
      </c>
      <c r="K247" t="s" s="35">
        <v>601</v>
      </c>
      <c r="L247" t="s" s="35">
        <v>1215</v>
      </c>
      <c r="M247" t="str" s="39">
        <v>Química</v>
      </c>
      <c r="N247" t="str" s="39">
        <v>Composición de la materia</v>
      </c>
      <c r="O247" t="str" s="39" cm="1">
        <f t="array" ref="O247">IF(L247="","",_xlfn.IFERROR(INDEX('Datos - Catálogo TIMSS'!$C$5:$C$107,MATCH(L247,'Datos - Catálogo TIMSS'!$A$5:$A$107,0)),"?"))</f>
        <v>Química</v>
      </c>
      <c r="P247" t="s" s="35">
        <v>282</v>
      </c>
      <c r="Q247" t="s" s="120">
        <v>2990</v>
      </c>
      <c r="R247" t="s" s="120">
        <v>2805</v>
      </c>
      <c r="S247" s="121" cm="1">
        <f t="array" ref="S247">_xlfn.IFERROR(ISNUMBER(SEARCH("Conocer",$R247))/(ISNUMBER(SEARCH("Conocer",$R247))+ISNUMBER(SEARCH("Aplicar",$R247))+ISNUMBER(SEARCH("Razonar",$R247))),0)</f>
        <v>0</v>
      </c>
      <c r="T247" s="121" cm="1">
        <f t="array" ref="T247">_xlfn.IFERROR(ISNUMBER(SEARCH("Aplicar",$R247))/(ISNUMBER(SEARCH("Conocer",$R247))+ISNUMBER(SEARCH("Aplicar",$R247))+ISNUMBER(SEARCH("Razonar",$R247))),0)</f>
        <v>1</v>
      </c>
      <c r="U247" s="121" cm="1">
        <f t="array" ref="U247">_xlfn.IFERROR(ISNUMBER(SEARCH("Razonar",$R247))/(ISNUMBER(SEARCH("Conocer",$R247))+ISNUMBER(SEARCH("Aplicar",$R247))+ISNUMBER(SEARCH("Razonar",$R247))),0)</f>
        <v>0</v>
      </c>
      <c r="V247" t="s" s="35">
        <v>79</v>
      </c>
      <c r="W247" t="s" s="35">
        <v>115</v>
      </c>
      <c r="X247" s="36" cm="1">
        <f t="array" ref="X247">IF(OR(_xlfn.IFERROR(INDEX('Datos - Catálogo TIMSS'!$I$5:$I$107,MATCH(K247,'Datos - Catálogo TIMSS'!$A$5:$A$107,0)),"No")="Sí",_xlfn.IFERROR(INDEX('Datos - Catálogo TIMSS'!$I$5:$I$107,MATCH(L247,'Datos - Catálogo TIMSS'!$A$5:$A$107,0)),"No")="Sí"),1,0)</f>
        <v>0</v>
      </c>
      <c r="Y247" s="36" cm="1">
        <f t="array" ref="Y247">IF(_xlfn.IFERROR(INDEX('Datos - Catálogo TIMSS'!$J$5:$J$107,MATCH(K247,'Datos - Catálogo TIMSS'!$A$5:$A$107,0)),"No")="Sí",1,0)</f>
        <v>0</v>
      </c>
      <c r="Z247" s="36" cm="1">
        <f t="array" ref="Z247">IF(_xlfn.IFERROR(INDEX('Datos - Catálogo TIMSS'!$J$5:$J$107,MATCH(L247,'Datos - Catálogo TIMSS'!$A$5:$A$107,0)),"No")="Sí",1,0)</f>
        <v>0</v>
      </c>
      <c r="AA247" t="s" s="35">
        <v>2948</v>
      </c>
      <c r="AB247" t="s" s="35">
        <v>2963</v>
      </c>
      <c r="AC247" t="str" s="39">
        <v>Química</v>
      </c>
      <c r="AD247" t="s" s="35">
        <v>1859</v>
      </c>
      <c r="AE247" t="str" s="39" cm="1">
        <f t="array" ref="AE247">IF(AD247="","",IF(LEFT(AD247,1)="1","C1",IF(LEFT(AD247,1)="2","C2",IF(LEFT(AD247,1)="3","C3",""))))</f>
        <v>C1</v>
      </c>
      <c r="AF247" t="s" s="35">
        <v>1602</v>
      </c>
      <c r="AG247" t="s" s="35">
        <v>1617</v>
      </c>
      <c r="AH247" t="s" s="35">
        <v>1605</v>
      </c>
      <c r="AI247" t="s" s="35">
        <v>1623</v>
      </c>
      <c r="AJ247" t="s" s="35">
        <v>1602</v>
      </c>
      <c r="AK247" s="39"/>
      <c r="AL247" s="39"/>
      <c r="AM247" s="39"/>
      <c r="AN247" s="39"/>
      <c r="AO247" s="39"/>
      <c r="AP247" s="39"/>
      <c r="AQ247" s="39"/>
      <c r="AR247" s="39"/>
      <c r="AS247" s="39"/>
      <c r="AT247" s="39"/>
      <c r="AU247" s="39"/>
      <c r="AV247" s="39"/>
      <c r="AW247" t="str" s="39" cm="1">
        <f t="array" ref="AW247">AF247&amp;"; "&amp;AG247&amp;"; "&amp;AH247&amp;"; "&amp;AI247&amp;"; "&amp;AJ247</f>
        <v>E1; D1; E2; D4; E1</v>
      </c>
    </row>
    <row r="248" ht="13.65" customHeight="1">
      <c r="A248" t="s" s="35">
        <v>2991</v>
      </c>
      <c r="B248" s="36">
        <v>5</v>
      </c>
      <c r="C248" t="s" s="35">
        <v>1823</v>
      </c>
      <c r="D248" t="s" s="35">
        <v>2825</v>
      </c>
      <c r="E248" t="s" s="35">
        <v>2992</v>
      </c>
      <c r="F248" s="36">
        <v>3</v>
      </c>
      <c r="G248" t="s" s="35">
        <v>2993</v>
      </c>
      <c r="H248" t="s" s="35">
        <v>2994</v>
      </c>
      <c r="I248" t="s" s="120">
        <v>2995</v>
      </c>
      <c r="J248" t="s" s="35">
        <v>1164</v>
      </c>
      <c r="K248" t="s" s="35">
        <v>1215</v>
      </c>
      <c r="L248" s="39"/>
      <c r="M248" t="str" s="39">
        <v>Química</v>
      </c>
      <c r="N248" t="str" s="39">
        <v>Composición de la materia</v>
      </c>
      <c r="O248" t="str" s="39" cm="1">
        <f t="array" ref="O248">IF(L248="","",_xlfn.IFERROR(INDEX('Datos - Catálogo TIMSS'!$C$5:$C$107,MATCH(L248,'Datos - Catálogo TIMSS'!$A$5:$A$107,0)),"?"))</f>
      </c>
      <c r="P248" t="s" s="35">
        <v>282</v>
      </c>
      <c r="Q248" t="s" s="120">
        <v>2996</v>
      </c>
      <c r="R248" t="s" s="120">
        <v>2401</v>
      </c>
      <c r="S248" s="121" cm="1">
        <f t="array" ref="S248">_xlfn.IFERROR(ISNUMBER(SEARCH("Conocer",$R248))/(ISNUMBER(SEARCH("Conocer",$R248))+ISNUMBER(SEARCH("Aplicar",$R248))+ISNUMBER(SEARCH("Razonar",$R248))),0)</f>
        <v>0</v>
      </c>
      <c r="T248" s="121" cm="1">
        <f t="array" ref="T248">_xlfn.IFERROR(ISNUMBER(SEARCH("Aplicar",$R248))/(ISNUMBER(SEARCH("Conocer",$R248))+ISNUMBER(SEARCH("Aplicar",$R248))+ISNUMBER(SEARCH("Razonar",$R248))),0)</f>
        <v>1</v>
      </c>
      <c r="U248" s="121" cm="1">
        <f t="array" ref="U248">_xlfn.IFERROR(ISNUMBER(SEARCH("Razonar",$R248))/(ISNUMBER(SEARCH("Conocer",$R248))+ISNUMBER(SEARCH("Aplicar",$R248))+ISNUMBER(SEARCH("Razonar",$R248))),0)</f>
        <v>0</v>
      </c>
      <c r="V248" t="s" s="35">
        <v>79</v>
      </c>
      <c r="W248" t="s" s="35">
        <v>115</v>
      </c>
      <c r="X248" s="36" cm="1">
        <f t="array" ref="X248">IF(OR(_xlfn.IFERROR(INDEX('Datos - Catálogo TIMSS'!$I$5:$I$107,MATCH(K248,'Datos - Catálogo TIMSS'!$A$5:$A$107,0)),"No")="Sí",_xlfn.IFERROR(INDEX('Datos - Catálogo TIMSS'!$I$5:$I$107,MATCH(L248,'Datos - Catálogo TIMSS'!$A$5:$A$107,0)),"No")="Sí"),1,0)</f>
        <v>0</v>
      </c>
      <c r="Y248" s="36" cm="1">
        <f t="array" ref="Y248">IF(_xlfn.IFERROR(INDEX('Datos - Catálogo TIMSS'!$J$5:$J$107,MATCH(K248,'Datos - Catálogo TIMSS'!$A$5:$A$107,0)),"No")="Sí",1,0)</f>
        <v>0</v>
      </c>
      <c r="Z248" s="36" cm="1">
        <f t="array" ref="Z248">IF(_xlfn.IFERROR(INDEX('Datos - Catálogo TIMSS'!$J$5:$J$107,MATCH(L248,'Datos - Catálogo TIMSS'!$A$5:$A$107,0)),"No")="Sí",1,0)</f>
        <v>0</v>
      </c>
      <c r="AA248" t="s" s="35">
        <v>2963</v>
      </c>
      <c r="AB248" s="39"/>
      <c r="AC248" t="str" s="39">
        <v>Química</v>
      </c>
      <c r="AD248" t="s" s="35">
        <v>1900</v>
      </c>
      <c r="AE248" t="str" s="39" cm="1">
        <f t="array" ref="AE248">IF(AD248="","",IF(LEFT(AD248,1)="1","C1",IF(LEFT(AD248,1)="2","C2",IF(LEFT(AD248,1)="3","C3",""))))</f>
        <v>C3</v>
      </c>
      <c r="AF248" t="s" s="35">
        <v>1602</v>
      </c>
      <c r="AG248" t="s" s="35">
        <v>1617</v>
      </c>
      <c r="AH248" t="s" s="35">
        <v>1605</v>
      </c>
      <c r="AI248" t="s" s="35">
        <v>1625</v>
      </c>
      <c r="AJ248" t="s" s="35">
        <v>1615</v>
      </c>
      <c r="AK248" s="39"/>
      <c r="AL248" s="39"/>
      <c r="AM248" s="39"/>
      <c r="AN248" s="39"/>
      <c r="AO248" s="39"/>
      <c r="AP248" s="39"/>
      <c r="AQ248" s="39"/>
      <c r="AR248" s="39"/>
      <c r="AS248" s="39"/>
      <c r="AT248" s="39"/>
      <c r="AU248" s="39"/>
      <c r="AV248" s="39"/>
      <c r="AW248" t="str" s="39" cm="1">
        <f t="array" ref="AW248">AF248&amp;"; "&amp;AG248&amp;"; "&amp;AH248&amp;"; "&amp;AI248&amp;"; "&amp;AJ248</f>
        <v>E1; D1; E2; I1; E6</v>
      </c>
    </row>
    <row r="249" ht="13.65" customHeight="1">
      <c r="A249" t="s" s="35">
        <v>2998</v>
      </c>
      <c r="B249" s="36">
        <v>5</v>
      </c>
      <c r="C249" t="s" s="35">
        <v>1823</v>
      </c>
      <c r="D249" t="s" s="35">
        <v>2825</v>
      </c>
      <c r="E249" t="s" s="35">
        <v>2992</v>
      </c>
      <c r="F249" s="36">
        <v>4</v>
      </c>
      <c r="G249" t="s" s="35">
        <v>2993</v>
      </c>
      <c r="H249" t="s" s="35">
        <v>2994</v>
      </c>
      <c r="I249" t="s" s="120">
        <v>2999</v>
      </c>
      <c r="J249" t="s" s="35">
        <v>1164</v>
      </c>
      <c r="K249" t="s" s="35">
        <v>1215</v>
      </c>
      <c r="L249" t="s" s="35">
        <v>1218</v>
      </c>
      <c r="M249" t="str" s="39">
        <v>Química</v>
      </c>
      <c r="N249" t="str" s="39">
        <v>Composición de la materia</v>
      </c>
      <c r="O249" t="str" s="39" cm="1">
        <f t="array" ref="O249">IF(L249="","",_xlfn.IFERROR(INDEX('Datos - Catálogo TIMSS'!$C$5:$C$107,MATCH(L249,'Datos - Catálogo TIMSS'!$A$5:$A$107,0)),"?"))</f>
        <v>Química</v>
      </c>
      <c r="P249" t="s" s="35">
        <v>282</v>
      </c>
      <c r="Q249" t="s" s="120">
        <v>3000</v>
      </c>
      <c r="R249" t="s" s="120">
        <v>2805</v>
      </c>
      <c r="S249" s="121" cm="1">
        <f t="array" ref="S249">_xlfn.IFERROR(ISNUMBER(SEARCH("Conocer",$R249))/(ISNUMBER(SEARCH("Conocer",$R249))+ISNUMBER(SEARCH("Aplicar",$R249))+ISNUMBER(SEARCH("Razonar",$R249))),0)</f>
        <v>0</v>
      </c>
      <c r="T249" s="121" cm="1">
        <f t="array" ref="T249">_xlfn.IFERROR(ISNUMBER(SEARCH("Aplicar",$R249))/(ISNUMBER(SEARCH("Conocer",$R249))+ISNUMBER(SEARCH("Aplicar",$R249))+ISNUMBER(SEARCH("Razonar",$R249))),0)</f>
        <v>1</v>
      </c>
      <c r="U249" s="121" cm="1">
        <f t="array" ref="U249">_xlfn.IFERROR(ISNUMBER(SEARCH("Razonar",$R249))/(ISNUMBER(SEARCH("Conocer",$R249))+ISNUMBER(SEARCH("Aplicar",$R249))+ISNUMBER(SEARCH("Razonar",$R249))),0)</f>
        <v>0</v>
      </c>
      <c r="V249" t="s" s="35">
        <v>79</v>
      </c>
      <c r="W249" t="s" s="35">
        <v>115</v>
      </c>
      <c r="X249" s="36" cm="1">
        <f t="array" ref="X249">IF(OR(_xlfn.IFERROR(INDEX('Datos - Catálogo TIMSS'!$I$5:$I$107,MATCH(K249,'Datos - Catálogo TIMSS'!$A$5:$A$107,0)),"No")="Sí",_xlfn.IFERROR(INDEX('Datos - Catálogo TIMSS'!$I$5:$I$107,MATCH(L249,'Datos - Catálogo TIMSS'!$A$5:$A$107,0)),"No")="Sí"),1,0)</f>
        <v>0</v>
      </c>
      <c r="Y249" s="36" cm="1">
        <f t="array" ref="Y249">IF(_xlfn.IFERROR(INDEX('Datos - Catálogo TIMSS'!$J$5:$J$107,MATCH(K249,'Datos - Catálogo TIMSS'!$A$5:$A$107,0)),"No")="Sí",1,0)</f>
        <v>0</v>
      </c>
      <c r="Z249" s="36" cm="1">
        <f t="array" ref="Z249">IF(_xlfn.IFERROR(INDEX('Datos - Catálogo TIMSS'!$J$5:$J$107,MATCH(L249,'Datos - Catálogo TIMSS'!$A$5:$A$107,0)),"No")="Sí",1,0)</f>
        <v>0</v>
      </c>
      <c r="AA249" t="s" s="35">
        <v>2963</v>
      </c>
      <c r="AB249" t="s" s="35">
        <v>3001</v>
      </c>
      <c r="AC249" t="str" s="39">
        <v>Química</v>
      </c>
      <c r="AD249" t="s" s="35">
        <v>1859</v>
      </c>
      <c r="AE249" t="str" s="39" cm="1">
        <f t="array" ref="AE249">IF(AD249="","",IF(LEFT(AD249,1)="1","C1",IF(LEFT(AD249,1)="2","C2",IF(LEFT(AD249,1)="3","C3",""))))</f>
        <v>C1</v>
      </c>
      <c r="AF249" t="s" s="35">
        <v>1602</v>
      </c>
      <c r="AG249" t="s" s="35">
        <v>1617</v>
      </c>
      <c r="AH249" t="s" s="35">
        <v>1605</v>
      </c>
      <c r="AI249" t="s" s="35">
        <v>1623</v>
      </c>
      <c r="AJ249" t="s" s="35">
        <v>1615</v>
      </c>
      <c r="AK249" s="39"/>
      <c r="AL249" s="39"/>
      <c r="AM249" s="39"/>
      <c r="AN249" s="39"/>
      <c r="AO249" s="39"/>
      <c r="AP249" s="39"/>
      <c r="AQ249" s="39"/>
      <c r="AR249" s="39"/>
      <c r="AS249" s="39"/>
      <c r="AT249" s="39"/>
      <c r="AU249" s="39"/>
      <c r="AV249" s="39"/>
      <c r="AW249" t="str" s="39" cm="1">
        <f t="array" ref="AW249">AF249&amp;"; "&amp;AG249&amp;"; "&amp;AH249&amp;"; "&amp;AI249&amp;"; "&amp;AJ249</f>
        <v>E1; D1; E2; D4; E6</v>
      </c>
    </row>
    <row r="250" ht="13.65" customHeight="1">
      <c r="A250" t="s" s="35">
        <v>3002</v>
      </c>
      <c r="B250" s="36">
        <v>5</v>
      </c>
      <c r="C250" t="s" s="35">
        <v>1823</v>
      </c>
      <c r="D250" t="s" s="35">
        <v>2825</v>
      </c>
      <c r="E250" t="s" s="35">
        <v>2992</v>
      </c>
      <c r="F250" s="36">
        <v>5</v>
      </c>
      <c r="G250" t="s" s="35">
        <v>2993</v>
      </c>
      <c r="H250" t="s" s="35">
        <v>3003</v>
      </c>
      <c r="I250" t="s" s="120">
        <v>3004</v>
      </c>
      <c r="J250" t="s" s="35">
        <v>1164</v>
      </c>
      <c r="K250" t="s" s="35">
        <v>1215</v>
      </c>
      <c r="L250" s="39"/>
      <c r="M250" t="str" s="39">
        <v>Química</v>
      </c>
      <c r="N250" t="str" s="39">
        <v>Composición de la materia</v>
      </c>
      <c r="O250" t="str" s="39" cm="1">
        <f t="array" ref="O250">IF(L250="","",_xlfn.IFERROR(INDEX('Datos - Catálogo TIMSS'!$C$5:$C$107,MATCH(L250,'Datos - Catálogo TIMSS'!$A$5:$A$107,0)),"?"))</f>
      </c>
      <c r="P250" t="s" s="35">
        <v>254</v>
      </c>
      <c r="Q250" t="s" s="120">
        <v>3005</v>
      </c>
      <c r="R250" t="s" s="120">
        <v>1847</v>
      </c>
      <c r="S250" s="121" cm="1">
        <f t="array" ref="S250">_xlfn.IFERROR(ISNUMBER(SEARCH("Conocer",$R250))/(ISNUMBER(SEARCH("Conocer",$R250))+ISNUMBER(SEARCH("Aplicar",$R250))+ISNUMBER(SEARCH("Razonar",$R250))),0)</f>
        <v>0</v>
      </c>
      <c r="T250" s="121" cm="1">
        <f t="array" ref="T250">_xlfn.IFERROR(ISNUMBER(SEARCH("Aplicar",$R250))/(ISNUMBER(SEARCH("Conocer",$R250))+ISNUMBER(SEARCH("Aplicar",$R250))+ISNUMBER(SEARCH("Razonar",$R250))),0)</f>
        <v>1</v>
      </c>
      <c r="U250" s="121" cm="1">
        <f t="array" ref="U250">_xlfn.IFERROR(ISNUMBER(SEARCH("Razonar",$R250))/(ISNUMBER(SEARCH("Conocer",$R250))+ISNUMBER(SEARCH("Aplicar",$R250))+ISNUMBER(SEARCH("Razonar",$R250))),0)</f>
        <v>0</v>
      </c>
      <c r="V250" t="s" s="35">
        <v>79</v>
      </c>
      <c r="W250" t="s" s="35">
        <v>115</v>
      </c>
      <c r="X250" s="36" cm="1">
        <f t="array" ref="X250">IF(OR(_xlfn.IFERROR(INDEX('Datos - Catálogo TIMSS'!$I$5:$I$107,MATCH(K250,'Datos - Catálogo TIMSS'!$A$5:$A$107,0)),"No")="Sí",_xlfn.IFERROR(INDEX('Datos - Catálogo TIMSS'!$I$5:$I$107,MATCH(L250,'Datos - Catálogo TIMSS'!$A$5:$A$107,0)),"No")="Sí"),1,0)</f>
        <v>0</v>
      </c>
      <c r="Y250" s="36" cm="1">
        <f t="array" ref="Y250">IF(_xlfn.IFERROR(INDEX('Datos - Catálogo TIMSS'!$J$5:$J$107,MATCH(K250,'Datos - Catálogo TIMSS'!$A$5:$A$107,0)),"No")="Sí",1,0)</f>
        <v>0</v>
      </c>
      <c r="Z250" s="36" cm="1">
        <f t="array" ref="Z250">IF(_xlfn.IFERROR(INDEX('Datos - Catálogo TIMSS'!$J$5:$J$107,MATCH(L250,'Datos - Catálogo TIMSS'!$A$5:$A$107,0)),"No")="Sí",1,0)</f>
        <v>0</v>
      </c>
      <c r="AA250" t="s" s="35">
        <v>2963</v>
      </c>
      <c r="AB250" s="39"/>
      <c r="AC250" t="str" s="39">
        <v>Química</v>
      </c>
      <c r="AD250" t="s" s="35">
        <v>1859</v>
      </c>
      <c r="AE250" t="str" s="39" cm="1">
        <f t="array" ref="AE250">IF(AD250="","",IF(LEFT(AD250,1)="1","C1",IF(LEFT(AD250,1)="2","C2",IF(LEFT(AD250,1)="3","C3",""))))</f>
        <v>C1</v>
      </c>
      <c r="AF250" t="s" s="35">
        <v>1602</v>
      </c>
      <c r="AG250" t="s" s="35">
        <v>1617</v>
      </c>
      <c r="AH250" t="s" s="35">
        <v>1602</v>
      </c>
      <c r="AI250" t="s" s="35">
        <v>1623</v>
      </c>
      <c r="AJ250" t="s" s="35">
        <v>1602</v>
      </c>
      <c r="AK250" s="39"/>
      <c r="AL250" s="39"/>
      <c r="AM250" s="39"/>
      <c r="AN250" s="39"/>
      <c r="AO250" s="39"/>
      <c r="AP250" s="39"/>
      <c r="AQ250" s="39"/>
      <c r="AR250" s="39"/>
      <c r="AS250" s="39"/>
      <c r="AT250" s="39"/>
      <c r="AU250" s="39"/>
      <c r="AV250" s="39"/>
      <c r="AW250" t="str" s="39" cm="1">
        <f t="array" ref="AW250">AF250&amp;"; "&amp;AG250&amp;"; "&amp;AH250&amp;"; "&amp;AI250&amp;"; "&amp;AJ250</f>
        <v>E1; D1; E1; D4; E1</v>
      </c>
    </row>
    <row r="251" ht="13.65" customHeight="1">
      <c r="A251" t="s" s="35">
        <v>3006</v>
      </c>
      <c r="B251" s="36">
        <v>5</v>
      </c>
      <c r="C251" t="s" s="35">
        <v>1823</v>
      </c>
      <c r="D251" t="s" s="35">
        <v>2825</v>
      </c>
      <c r="E251" t="s" s="35">
        <v>2992</v>
      </c>
      <c r="F251" s="36">
        <v>6</v>
      </c>
      <c r="G251" t="s" s="35">
        <v>2993</v>
      </c>
      <c r="H251" t="s" s="35">
        <v>3007</v>
      </c>
      <c r="I251" t="s" s="120">
        <v>3008</v>
      </c>
      <c r="J251" t="s" s="35">
        <v>1164</v>
      </c>
      <c r="K251" t="s" s="35">
        <v>1215</v>
      </c>
      <c r="L251" s="39"/>
      <c r="M251" t="str" s="39">
        <v>Química</v>
      </c>
      <c r="N251" t="str" s="39">
        <v>Composición de la materia</v>
      </c>
      <c r="O251" t="str" s="39" cm="1">
        <f t="array" ref="O251">IF(L251="","",_xlfn.IFERROR(INDEX('Datos - Catálogo TIMSS'!$C$5:$C$107,MATCH(L251,'Datos - Catálogo TIMSS'!$A$5:$A$107,0)),"?"))</f>
      </c>
      <c r="P251" t="s" s="35">
        <v>254</v>
      </c>
      <c r="Q251" t="s" s="120">
        <v>3009</v>
      </c>
      <c r="R251" t="s" s="120">
        <v>3010</v>
      </c>
      <c r="S251" s="121" cm="1">
        <f t="array" ref="S251">_xlfn.IFERROR(ISNUMBER(SEARCH("Conocer",$R251))/(ISNUMBER(SEARCH("Conocer",$R251))+ISNUMBER(SEARCH("Aplicar",$R251))+ISNUMBER(SEARCH("Razonar",$R251))),0)</f>
        <v>0</v>
      </c>
      <c r="T251" s="121" cm="1">
        <f t="array" ref="T251">_xlfn.IFERROR(ISNUMBER(SEARCH("Aplicar",$R251))/(ISNUMBER(SEARCH("Conocer",$R251))+ISNUMBER(SEARCH("Aplicar",$R251))+ISNUMBER(SEARCH("Razonar",$R251))),0)</f>
        <v>0.5</v>
      </c>
      <c r="U251" s="121" cm="1">
        <f t="array" ref="U251">_xlfn.IFERROR(ISNUMBER(SEARCH("Razonar",$R251))/(ISNUMBER(SEARCH("Conocer",$R251))+ISNUMBER(SEARCH("Aplicar",$R251))+ISNUMBER(SEARCH("Razonar",$R251))),0)</f>
        <v>0.5</v>
      </c>
      <c r="V251" t="s" s="35">
        <v>79</v>
      </c>
      <c r="W251" t="s" s="35">
        <v>115</v>
      </c>
      <c r="X251" s="36" cm="1">
        <f t="array" ref="X251">IF(OR(_xlfn.IFERROR(INDEX('Datos - Catálogo TIMSS'!$I$5:$I$107,MATCH(K251,'Datos - Catálogo TIMSS'!$A$5:$A$107,0)),"No")="Sí",_xlfn.IFERROR(INDEX('Datos - Catálogo TIMSS'!$I$5:$I$107,MATCH(L251,'Datos - Catálogo TIMSS'!$A$5:$A$107,0)),"No")="Sí"),1,0)</f>
        <v>0</v>
      </c>
      <c r="Y251" s="36" cm="1">
        <f t="array" ref="Y251">IF(_xlfn.IFERROR(INDEX('Datos - Catálogo TIMSS'!$J$5:$J$107,MATCH(K251,'Datos - Catálogo TIMSS'!$A$5:$A$107,0)),"No")="Sí",1,0)</f>
        <v>0</v>
      </c>
      <c r="Z251" s="36" cm="1">
        <f t="array" ref="Z251">IF(_xlfn.IFERROR(INDEX('Datos - Catálogo TIMSS'!$J$5:$J$107,MATCH(L251,'Datos - Catálogo TIMSS'!$A$5:$A$107,0)),"No")="Sí",1,0)</f>
        <v>0</v>
      </c>
      <c r="AA251" t="s" s="35">
        <v>2963</v>
      </c>
      <c r="AB251" s="39"/>
      <c r="AC251" t="str" s="39">
        <v>Química</v>
      </c>
      <c r="AD251" t="s" s="35">
        <v>1834</v>
      </c>
      <c r="AE251" t="str" s="39" cm="1">
        <f t="array" ref="AE251">IF(AD251="","",IF(LEFT(AD251,1)="1","C1",IF(LEFT(AD251,1)="2","C2",IF(LEFT(AD251,1)="3","C3",""))))</f>
        <v>C2</v>
      </c>
      <c r="AF251" t="s" s="35">
        <v>1602</v>
      </c>
      <c r="AG251" t="s" s="35">
        <v>1617</v>
      </c>
      <c r="AH251" t="s" s="35">
        <v>1605</v>
      </c>
      <c r="AI251" t="s" s="35">
        <v>1623</v>
      </c>
      <c r="AJ251" t="s" s="35">
        <v>1607</v>
      </c>
      <c r="AK251" s="39"/>
      <c r="AL251" s="39"/>
      <c r="AM251" s="39"/>
      <c r="AN251" s="39"/>
      <c r="AO251" s="39"/>
      <c r="AP251" s="39"/>
      <c r="AQ251" s="39"/>
      <c r="AR251" s="39"/>
      <c r="AS251" s="39"/>
      <c r="AT251" s="39"/>
      <c r="AU251" s="39"/>
      <c r="AV251" s="39"/>
      <c r="AW251" t="str" s="39" cm="1">
        <f t="array" ref="AW251">AF251&amp;"; "&amp;AG251&amp;"; "&amp;AH251&amp;"; "&amp;AI251&amp;"; "&amp;AJ251</f>
        <v>E1; D1; E2; D4; E3</v>
      </c>
    </row>
    <row r="252" ht="13.65" customHeight="1">
      <c r="A252" t="s" s="35">
        <v>3011</v>
      </c>
      <c r="B252" s="36">
        <v>5</v>
      </c>
      <c r="C252" t="s" s="35">
        <v>1823</v>
      </c>
      <c r="D252" t="s" s="35">
        <v>2825</v>
      </c>
      <c r="E252" t="s" s="35">
        <v>2992</v>
      </c>
      <c r="F252" s="36">
        <v>7</v>
      </c>
      <c r="G252" t="s" s="35">
        <v>2993</v>
      </c>
      <c r="H252" t="s" s="35">
        <v>3012</v>
      </c>
      <c r="I252" t="s" s="120">
        <v>3013</v>
      </c>
      <c r="J252" t="s" s="35">
        <v>1164</v>
      </c>
      <c r="K252" t="s" s="35">
        <v>601</v>
      </c>
      <c r="L252" t="s" s="35">
        <v>1212</v>
      </c>
      <c r="M252" t="str" s="39">
        <v>Química</v>
      </c>
      <c r="N252" t="str" s="39">
        <v>Composición de la materia</v>
      </c>
      <c r="O252" t="str" s="39" cm="1">
        <f t="array" ref="O252">IF(L252="","",_xlfn.IFERROR(INDEX('Datos - Catálogo TIMSS'!$C$5:$C$107,MATCH(L252,'Datos - Catálogo TIMSS'!$A$5:$A$107,0)),"?"))</f>
        <v>Química</v>
      </c>
      <c r="P252" t="s" s="35">
        <v>282</v>
      </c>
      <c r="Q252" t="s" s="120">
        <v>3014</v>
      </c>
      <c r="R252" t="s" s="120">
        <v>3015</v>
      </c>
      <c r="S252" s="121" cm="1">
        <f t="array" ref="S252">_xlfn.IFERROR(ISNUMBER(SEARCH("Conocer",$R252))/(ISNUMBER(SEARCH("Conocer",$R252))+ISNUMBER(SEARCH("Aplicar",$R252))+ISNUMBER(SEARCH("Razonar",$R252))),0)</f>
        <v>1</v>
      </c>
      <c r="T252" s="121" cm="1">
        <f t="array" ref="T252">_xlfn.IFERROR(ISNUMBER(SEARCH("Aplicar",$R252))/(ISNUMBER(SEARCH("Conocer",$R252))+ISNUMBER(SEARCH("Aplicar",$R252))+ISNUMBER(SEARCH("Razonar",$R252))),0)</f>
        <v>0</v>
      </c>
      <c r="U252" s="121" cm="1">
        <f t="array" ref="U252">_xlfn.IFERROR(ISNUMBER(SEARCH("Razonar",$R252))/(ISNUMBER(SEARCH("Conocer",$R252))+ISNUMBER(SEARCH("Aplicar",$R252))+ISNUMBER(SEARCH("Razonar",$R252))),0)</f>
        <v>0</v>
      </c>
      <c r="V252" t="s" s="35">
        <v>79</v>
      </c>
      <c r="W252" t="s" s="35">
        <v>115</v>
      </c>
      <c r="X252" s="36" cm="1">
        <f t="array" ref="X252">IF(OR(_xlfn.IFERROR(INDEX('Datos - Catálogo TIMSS'!$I$5:$I$107,MATCH(K252,'Datos - Catálogo TIMSS'!$A$5:$A$107,0)),"No")="Sí",_xlfn.IFERROR(INDEX('Datos - Catálogo TIMSS'!$I$5:$I$107,MATCH(L252,'Datos - Catálogo TIMSS'!$A$5:$A$107,0)),"No")="Sí"),1,0)</f>
        <v>0</v>
      </c>
      <c r="Y252" s="36" cm="1">
        <f t="array" ref="Y252">IF(_xlfn.IFERROR(INDEX('Datos - Catálogo TIMSS'!$J$5:$J$107,MATCH(K252,'Datos - Catálogo TIMSS'!$A$5:$A$107,0)),"No")="Sí",1,0)</f>
        <v>0</v>
      </c>
      <c r="Z252" s="36" cm="1">
        <f t="array" ref="Z252">IF(_xlfn.IFERROR(INDEX('Datos - Catálogo TIMSS'!$J$5:$J$107,MATCH(L252,'Datos - Catálogo TIMSS'!$A$5:$A$107,0)),"No")="Sí",1,0)</f>
        <v>0</v>
      </c>
      <c r="AA252" t="s" s="35">
        <v>3016</v>
      </c>
      <c r="AB252" t="s" s="35">
        <v>2948</v>
      </c>
      <c r="AC252" t="str" s="39">
        <v>Química</v>
      </c>
      <c r="AD252" t="s" s="35">
        <v>1859</v>
      </c>
      <c r="AE252" t="str" s="39" cm="1">
        <f t="array" ref="AE252">IF(AD252="","",IF(LEFT(AD252,1)="1","C1",IF(LEFT(AD252,1)="2","C2",IF(LEFT(AD252,1)="3","C3",""))))</f>
        <v>C1</v>
      </c>
      <c r="AF252" t="s" s="35">
        <v>1602</v>
      </c>
      <c r="AG252" t="s" s="35">
        <v>1617</v>
      </c>
      <c r="AH252" t="s" s="35">
        <v>1602</v>
      </c>
      <c r="AI252" t="s" s="35">
        <v>1623</v>
      </c>
      <c r="AJ252" t="s" s="35">
        <v>1602</v>
      </c>
      <c r="AK252" s="39"/>
      <c r="AL252" s="39"/>
      <c r="AM252" s="39"/>
      <c r="AN252" s="39"/>
      <c r="AO252" s="39"/>
      <c r="AP252" s="39"/>
      <c r="AQ252" s="39"/>
      <c r="AR252" s="39"/>
      <c r="AS252" s="39"/>
      <c r="AT252" s="39"/>
      <c r="AU252" s="39"/>
      <c r="AV252" s="39"/>
      <c r="AW252" t="str" s="39" cm="1">
        <f t="array" ref="AW252">AF252&amp;"; "&amp;AG252&amp;"; "&amp;AH252&amp;"; "&amp;AI252&amp;"; "&amp;AJ252</f>
        <v>E1; D1; E1; D4; E1</v>
      </c>
    </row>
    <row r="253" ht="13.65" customHeight="1">
      <c r="A253" t="s" s="35">
        <v>3017</v>
      </c>
      <c r="B253" s="36">
        <v>5</v>
      </c>
      <c r="C253" t="s" s="35">
        <v>1823</v>
      </c>
      <c r="D253" t="s" s="35">
        <v>2825</v>
      </c>
      <c r="E253" t="s" s="35">
        <v>2992</v>
      </c>
      <c r="F253" s="36">
        <v>8</v>
      </c>
      <c r="G253" t="s" s="35">
        <v>2993</v>
      </c>
      <c r="H253" t="s" s="35">
        <v>3012</v>
      </c>
      <c r="I253" t="s" s="120">
        <v>3018</v>
      </c>
      <c r="J253" t="s" s="35">
        <v>1164</v>
      </c>
      <c r="K253" t="s" s="35">
        <v>601</v>
      </c>
      <c r="L253" s="39"/>
      <c r="M253" t="str" s="39">
        <v>Química</v>
      </c>
      <c r="N253" t="str" s="39">
        <v>Composición de la materia</v>
      </c>
      <c r="O253" t="str" s="39" cm="1">
        <f t="array" ref="O253">IF(L253="","",_xlfn.IFERROR(INDEX('Datos - Catálogo TIMSS'!$C$5:$C$107,MATCH(L253,'Datos - Catálogo TIMSS'!$A$5:$A$107,0)),"?"))</f>
      </c>
      <c r="P253" t="s" s="35">
        <v>282</v>
      </c>
      <c r="Q253" t="s" s="120">
        <v>3019</v>
      </c>
      <c r="R253" t="s" s="120">
        <v>2972</v>
      </c>
      <c r="S253" s="121" cm="1">
        <f t="array" ref="S253">_xlfn.IFERROR(ISNUMBER(SEARCH("Conocer",$R253))/(ISNUMBER(SEARCH("Conocer",$R253))+ISNUMBER(SEARCH("Aplicar",$R253))+ISNUMBER(SEARCH("Razonar",$R253))),0)</f>
        <v>0</v>
      </c>
      <c r="T253" s="121" cm="1">
        <f t="array" ref="T253">_xlfn.IFERROR(ISNUMBER(SEARCH("Aplicar",$R253))/(ISNUMBER(SEARCH("Conocer",$R253))+ISNUMBER(SEARCH("Aplicar",$R253))+ISNUMBER(SEARCH("Razonar",$R253))),0)</f>
        <v>0.5</v>
      </c>
      <c r="U253" s="121" cm="1">
        <f t="array" ref="U253">_xlfn.IFERROR(ISNUMBER(SEARCH("Razonar",$R253))/(ISNUMBER(SEARCH("Conocer",$R253))+ISNUMBER(SEARCH("Aplicar",$R253))+ISNUMBER(SEARCH("Razonar",$R253))),0)</f>
        <v>0.5</v>
      </c>
      <c r="V253" t="s" s="35">
        <v>79</v>
      </c>
      <c r="W253" t="s" s="35">
        <v>115</v>
      </c>
      <c r="X253" s="36" cm="1">
        <f t="array" ref="X253">IF(OR(_xlfn.IFERROR(INDEX('Datos - Catálogo TIMSS'!$I$5:$I$107,MATCH(K253,'Datos - Catálogo TIMSS'!$A$5:$A$107,0)),"No")="Sí",_xlfn.IFERROR(INDEX('Datos - Catálogo TIMSS'!$I$5:$I$107,MATCH(L253,'Datos - Catálogo TIMSS'!$A$5:$A$107,0)),"No")="Sí"),1,0)</f>
        <v>0</v>
      </c>
      <c r="Y253" s="36" cm="1">
        <f t="array" ref="Y253">IF(_xlfn.IFERROR(INDEX('Datos - Catálogo TIMSS'!$J$5:$J$107,MATCH(K253,'Datos - Catálogo TIMSS'!$A$5:$A$107,0)),"No")="Sí",1,0)</f>
        <v>0</v>
      </c>
      <c r="Z253" s="36" cm="1">
        <f t="array" ref="Z253">IF(_xlfn.IFERROR(INDEX('Datos - Catálogo TIMSS'!$J$5:$J$107,MATCH(L253,'Datos - Catálogo TIMSS'!$A$5:$A$107,0)),"No")="Sí",1,0)</f>
        <v>0</v>
      </c>
      <c r="AA253" t="s" s="35">
        <v>2973</v>
      </c>
      <c r="AB253" t="s" s="35">
        <v>3016</v>
      </c>
      <c r="AC253" t="str" s="39">
        <v>Química</v>
      </c>
      <c r="AD253" t="s" s="35">
        <v>1859</v>
      </c>
      <c r="AE253" t="str" s="39" cm="1">
        <f t="array" ref="AE253">IF(AD253="","",IF(LEFT(AD253,1)="1","C1",IF(LEFT(AD253,1)="2","C2",IF(LEFT(AD253,1)="3","C3",""))))</f>
        <v>C1</v>
      </c>
      <c r="AF253" t="s" s="35">
        <v>1602</v>
      </c>
      <c r="AG253" t="s" s="35">
        <v>1617</v>
      </c>
      <c r="AH253" t="s" s="35">
        <v>1609</v>
      </c>
      <c r="AI253" t="s" s="35">
        <v>1623</v>
      </c>
      <c r="AJ253" t="s" s="35">
        <v>1607</v>
      </c>
      <c r="AK253" s="39"/>
      <c r="AL253" s="39"/>
      <c r="AM253" s="39"/>
      <c r="AN253" s="39"/>
      <c r="AO253" s="39"/>
      <c r="AP253" s="39"/>
      <c r="AQ253" s="39"/>
      <c r="AR253" s="39"/>
      <c r="AS253" s="39"/>
      <c r="AT253" s="39"/>
      <c r="AU253" s="39"/>
      <c r="AV253" s="39"/>
      <c r="AW253" t="str" s="39" cm="1">
        <f t="array" ref="AW253">AF253&amp;"; "&amp;AG253&amp;"; "&amp;AH253&amp;"; "&amp;AI253&amp;"; "&amp;AJ253</f>
        <v>E1; D1; E4; D4; E3</v>
      </c>
    </row>
    <row r="254" ht="13.65" customHeight="1">
      <c r="A254" t="s" s="35">
        <v>3020</v>
      </c>
      <c r="B254" s="36">
        <v>5</v>
      </c>
      <c r="C254" t="s" s="35">
        <v>1823</v>
      </c>
      <c r="D254" t="s" s="35">
        <v>2825</v>
      </c>
      <c r="E254" t="s" s="35">
        <v>2992</v>
      </c>
      <c r="F254" s="36">
        <v>9</v>
      </c>
      <c r="G254" t="s" s="35">
        <v>2993</v>
      </c>
      <c r="H254" t="s" s="35">
        <v>3012</v>
      </c>
      <c r="I254" t="s" s="120">
        <v>3021</v>
      </c>
      <c r="J254" t="s" s="35">
        <v>1164</v>
      </c>
      <c r="K254" t="s" s="35">
        <v>601</v>
      </c>
      <c r="L254" s="39"/>
      <c r="M254" t="str" s="39">
        <v>Química</v>
      </c>
      <c r="N254" t="str" s="39">
        <v>Composición de la materia</v>
      </c>
      <c r="O254" t="str" s="39" cm="1">
        <f t="array" ref="O254">IF(L254="","",_xlfn.IFERROR(INDEX('Datos - Catálogo TIMSS'!$C$5:$C$107,MATCH(L254,'Datos - Catálogo TIMSS'!$A$5:$A$107,0)),"?"))</f>
      </c>
      <c r="P254" t="s" s="35">
        <v>291</v>
      </c>
      <c r="Q254" t="s" s="120">
        <v>3022</v>
      </c>
      <c r="R254" t="s" s="120">
        <v>3023</v>
      </c>
      <c r="S254" s="121" cm="1">
        <f t="array" ref="S254">_xlfn.IFERROR(ISNUMBER(SEARCH("Conocer",$R254))/(ISNUMBER(SEARCH("Conocer",$R254))+ISNUMBER(SEARCH("Aplicar",$R254))+ISNUMBER(SEARCH("Razonar",$R254))),0)</f>
        <v>0</v>
      </c>
      <c r="T254" s="121" cm="1">
        <f t="array" ref="T254">_xlfn.IFERROR(ISNUMBER(SEARCH("Aplicar",$R254))/(ISNUMBER(SEARCH("Conocer",$R254))+ISNUMBER(SEARCH("Aplicar",$R254))+ISNUMBER(SEARCH("Razonar",$R254))),0)</f>
        <v>1</v>
      </c>
      <c r="U254" s="121" cm="1">
        <f t="array" ref="U254">_xlfn.IFERROR(ISNUMBER(SEARCH("Razonar",$R254))/(ISNUMBER(SEARCH("Conocer",$R254))+ISNUMBER(SEARCH("Aplicar",$R254))+ISNUMBER(SEARCH("Razonar",$R254))),0)</f>
        <v>0</v>
      </c>
      <c r="V254" t="s" s="35">
        <v>79</v>
      </c>
      <c r="W254" t="s" s="35">
        <v>115</v>
      </c>
      <c r="X254" s="36" cm="1">
        <f t="array" ref="X254">IF(OR(_xlfn.IFERROR(INDEX('Datos - Catálogo TIMSS'!$I$5:$I$107,MATCH(K254,'Datos - Catálogo TIMSS'!$A$5:$A$107,0)),"No")="Sí",_xlfn.IFERROR(INDEX('Datos - Catálogo TIMSS'!$I$5:$I$107,MATCH(L254,'Datos - Catálogo TIMSS'!$A$5:$A$107,0)),"No")="Sí"),1,0)</f>
        <v>0</v>
      </c>
      <c r="Y254" s="36" cm="1">
        <f t="array" ref="Y254">IF(_xlfn.IFERROR(INDEX('Datos - Catálogo TIMSS'!$J$5:$J$107,MATCH(K254,'Datos - Catálogo TIMSS'!$A$5:$A$107,0)),"No")="Sí",1,0)</f>
        <v>0</v>
      </c>
      <c r="Z254" s="36" cm="1">
        <f t="array" ref="Z254">IF(_xlfn.IFERROR(INDEX('Datos - Catálogo TIMSS'!$J$5:$J$107,MATCH(L254,'Datos - Catálogo TIMSS'!$A$5:$A$107,0)),"No")="Sí",1,0)</f>
        <v>0</v>
      </c>
      <c r="AA254" t="s" s="35">
        <v>2973</v>
      </c>
      <c r="AB254" s="39"/>
      <c r="AC254" t="str" s="39">
        <v>Química</v>
      </c>
      <c r="AD254" t="s" s="35">
        <v>1859</v>
      </c>
      <c r="AE254" t="str" s="39" cm="1">
        <f t="array" ref="AE254">IF(AD254="","",IF(LEFT(AD254,1)="1","C1",IF(LEFT(AD254,1)="2","C2",IF(LEFT(AD254,1)="3","C3",""))))</f>
        <v>C1</v>
      </c>
      <c r="AF254" t="s" s="35">
        <v>1602</v>
      </c>
      <c r="AG254" t="s" s="35">
        <v>1617</v>
      </c>
      <c r="AH254" t="s" s="35">
        <v>1602</v>
      </c>
      <c r="AI254" t="s" s="35">
        <v>1623</v>
      </c>
      <c r="AJ254" t="s" s="35">
        <v>1615</v>
      </c>
      <c r="AK254" s="39"/>
      <c r="AL254" s="39"/>
      <c r="AM254" s="39"/>
      <c r="AN254" s="39"/>
      <c r="AO254" s="39"/>
      <c r="AP254" s="39"/>
      <c r="AQ254" s="39"/>
      <c r="AR254" s="39"/>
      <c r="AS254" s="39"/>
      <c r="AT254" s="39"/>
      <c r="AU254" s="39"/>
      <c r="AV254" s="39"/>
      <c r="AW254" t="str" s="39" cm="1">
        <f t="array" ref="AW254">AF254&amp;"; "&amp;AG254&amp;"; "&amp;AH254&amp;"; "&amp;AI254&amp;"; "&amp;AJ254</f>
        <v>E1; D1; E1; D4; E6</v>
      </c>
    </row>
    <row r="255" ht="13.65" customHeight="1">
      <c r="A255" t="s" s="35">
        <v>3024</v>
      </c>
      <c r="B255" s="36">
        <v>5</v>
      </c>
      <c r="C255" t="s" s="35">
        <v>1823</v>
      </c>
      <c r="D255" t="s" s="35">
        <v>2825</v>
      </c>
      <c r="E255" t="s" s="35">
        <v>3025</v>
      </c>
      <c r="F255" s="36">
        <v>3</v>
      </c>
      <c r="G255" t="s" s="35">
        <v>3026</v>
      </c>
      <c r="H255" t="s" s="35">
        <v>3027</v>
      </c>
      <c r="I255" t="s" s="120">
        <v>3028</v>
      </c>
      <c r="J255" t="s" s="35">
        <v>1164</v>
      </c>
      <c r="K255" t="s" s="35">
        <v>1832</v>
      </c>
      <c r="L255" s="39"/>
      <c r="M255" t="str" s="39">
        <v>Fuera del marco</v>
      </c>
      <c r="N255" t="str" s="39">
        <v>Fuera del marco</v>
      </c>
      <c r="O255" t="str" s="39" cm="1">
        <f t="array" ref="O255">IF(L255="","",_xlfn.IFERROR(INDEX('Datos - Catálogo TIMSS'!$C$5:$C$107,MATCH(L255,'Datos - Catálogo TIMSS'!$A$5:$A$107,0)),"?"))</f>
      </c>
      <c r="P255" t="s" s="35">
        <v>254</v>
      </c>
      <c r="Q255" t="s" s="120">
        <v>3029</v>
      </c>
      <c r="R255" t="s" s="120">
        <v>2709</v>
      </c>
      <c r="S255" s="121" cm="1">
        <f t="array" ref="S255">_xlfn.IFERROR(ISNUMBER(SEARCH("Conocer",$R255))/(ISNUMBER(SEARCH("Conocer",$R255))+ISNUMBER(SEARCH("Aplicar",$R255))+ISNUMBER(SEARCH("Razonar",$R255))),0)</f>
        <v>1</v>
      </c>
      <c r="T255" s="121" cm="1">
        <f t="array" ref="T255">_xlfn.IFERROR(ISNUMBER(SEARCH("Aplicar",$R255))/(ISNUMBER(SEARCH("Conocer",$R255))+ISNUMBER(SEARCH("Aplicar",$R255))+ISNUMBER(SEARCH("Razonar",$R255))),0)</f>
        <v>0</v>
      </c>
      <c r="U255" s="121" cm="1">
        <f t="array" ref="U255">_xlfn.IFERROR(ISNUMBER(SEARCH("Razonar",$R255))/(ISNUMBER(SEARCH("Conocer",$R255))+ISNUMBER(SEARCH("Aplicar",$R255))+ISNUMBER(SEARCH("Razonar",$R255))),0)</f>
        <v>0</v>
      </c>
      <c r="V255" t="s" s="35">
        <v>79</v>
      </c>
      <c r="W255" t="s" s="35">
        <v>115</v>
      </c>
      <c r="X255" s="36" cm="1">
        <f t="array" ref="X255">IF(OR(_xlfn.IFERROR(INDEX('Datos - Catálogo TIMSS'!$I$5:$I$107,MATCH(K255,'Datos - Catálogo TIMSS'!$A$5:$A$107,0)),"No")="Sí",_xlfn.IFERROR(INDEX('Datos - Catálogo TIMSS'!$I$5:$I$107,MATCH(L255,'Datos - Catálogo TIMSS'!$A$5:$A$107,0)),"No")="Sí"),1,0)</f>
        <v>0</v>
      </c>
      <c r="Y255" s="36" cm="1">
        <f t="array" ref="Y255">IF(_xlfn.IFERROR(INDEX('Datos - Catálogo TIMSS'!$J$5:$J$107,MATCH(K255,'Datos - Catálogo TIMSS'!$A$5:$A$107,0)),"No")="Sí",1,0)</f>
        <v>0</v>
      </c>
      <c r="Z255" s="36" cm="1">
        <f t="array" ref="Z255">IF(_xlfn.IFERROR(INDEX('Datos - Catálogo TIMSS'!$J$5:$J$107,MATCH(L255,'Datos - Catálogo TIMSS'!$A$5:$A$107,0)),"No")="Sí",1,0)</f>
        <v>0</v>
      </c>
      <c r="AA255" t="s" s="35">
        <v>1832</v>
      </c>
      <c r="AB255" s="39"/>
      <c r="AC255" t="str" s="39">
        <v>Fuera del marco</v>
      </c>
      <c r="AD255" t="s" s="35">
        <v>1859</v>
      </c>
      <c r="AE255" t="str" s="39" cm="1">
        <f t="array" ref="AE255">IF(AD255="","",IF(LEFT(AD255,1)="1","C1",IF(LEFT(AD255,1)="2","C2",IF(LEFT(AD255,1)="3","C3",""))))</f>
        <v>C1</v>
      </c>
      <c r="AF255" t="s" s="35">
        <v>1602</v>
      </c>
      <c r="AG255" t="s" s="35">
        <v>1612</v>
      </c>
      <c r="AH255" t="s" s="35">
        <v>1602</v>
      </c>
      <c r="AI255" t="s" s="35">
        <v>1627</v>
      </c>
      <c r="AJ255" t="s" s="35">
        <v>1615</v>
      </c>
      <c r="AK255" s="39"/>
      <c r="AL255" s="39"/>
      <c r="AM255" s="39"/>
      <c r="AN255" s="39"/>
      <c r="AO255" s="39"/>
      <c r="AP255" s="39"/>
      <c r="AQ255" s="39"/>
      <c r="AR255" s="39"/>
      <c r="AS255" s="39"/>
      <c r="AT255" s="39"/>
      <c r="AU255" s="39"/>
      <c r="AV255" s="39"/>
      <c r="AW255" t="str" s="39" cm="1">
        <f t="array" ref="AW255">AF255&amp;"; "&amp;AG255&amp;"; "&amp;AH255&amp;"; "&amp;AI255&amp;"; "&amp;AJ255</f>
        <v>E1; E5; E1; I2; E6</v>
      </c>
    </row>
    <row r="256" ht="13.65" customHeight="1">
      <c r="A256" t="s" s="35">
        <v>3030</v>
      </c>
      <c r="B256" s="36">
        <v>5</v>
      </c>
      <c r="C256" t="s" s="35">
        <v>1823</v>
      </c>
      <c r="D256" t="s" s="35">
        <v>2825</v>
      </c>
      <c r="E256" t="s" s="35">
        <v>3025</v>
      </c>
      <c r="F256" s="36">
        <v>4</v>
      </c>
      <c r="G256" t="s" s="35">
        <v>3026</v>
      </c>
      <c r="H256" t="s" s="35">
        <v>3027</v>
      </c>
      <c r="I256" t="s" s="120">
        <v>3031</v>
      </c>
      <c r="J256" t="s" s="35">
        <v>1164</v>
      </c>
      <c r="K256" t="s" s="35">
        <v>1832</v>
      </c>
      <c r="L256" s="39"/>
      <c r="M256" t="str" s="39">
        <v>Fuera del marco</v>
      </c>
      <c r="N256" t="str" s="39">
        <v>Fuera del marco</v>
      </c>
      <c r="O256" t="str" s="39" cm="1">
        <f t="array" ref="O256">IF(L256="","",_xlfn.IFERROR(INDEX('Datos - Catálogo TIMSS'!$C$5:$C$107,MATCH(L256,'Datos - Catálogo TIMSS'!$A$5:$A$107,0)),"?"))</f>
      </c>
      <c r="P256" t="s" s="35">
        <v>282</v>
      </c>
      <c r="Q256" t="s" s="120">
        <v>3032</v>
      </c>
      <c r="R256" t="s" s="120">
        <v>3033</v>
      </c>
      <c r="S256" s="121" cm="1">
        <f t="array" ref="S256">_xlfn.IFERROR(ISNUMBER(SEARCH("Conocer",$R256))/(ISNUMBER(SEARCH("Conocer",$R256))+ISNUMBER(SEARCH("Aplicar",$R256))+ISNUMBER(SEARCH("Razonar",$R256))),0)</f>
        <v>0</v>
      </c>
      <c r="T256" s="121" cm="1">
        <f t="array" ref="T256">_xlfn.IFERROR(ISNUMBER(SEARCH("Aplicar",$R256))/(ISNUMBER(SEARCH("Conocer",$R256))+ISNUMBER(SEARCH("Aplicar",$R256))+ISNUMBER(SEARCH("Razonar",$R256))),0)</f>
        <v>1</v>
      </c>
      <c r="U256" s="121" cm="1">
        <f t="array" ref="U256">_xlfn.IFERROR(ISNUMBER(SEARCH("Razonar",$R256))/(ISNUMBER(SEARCH("Conocer",$R256))+ISNUMBER(SEARCH("Aplicar",$R256))+ISNUMBER(SEARCH("Razonar",$R256))),0)</f>
        <v>0</v>
      </c>
      <c r="V256" t="s" s="35">
        <v>79</v>
      </c>
      <c r="W256" t="s" s="35">
        <v>115</v>
      </c>
      <c r="X256" s="36" cm="1">
        <f t="array" ref="X256">IF(OR(_xlfn.IFERROR(INDEX('Datos - Catálogo TIMSS'!$I$5:$I$107,MATCH(K256,'Datos - Catálogo TIMSS'!$A$5:$A$107,0)),"No")="Sí",_xlfn.IFERROR(INDEX('Datos - Catálogo TIMSS'!$I$5:$I$107,MATCH(L256,'Datos - Catálogo TIMSS'!$A$5:$A$107,0)),"No")="Sí"),1,0)</f>
        <v>0</v>
      </c>
      <c r="Y256" s="36" cm="1">
        <f t="array" ref="Y256">IF(_xlfn.IFERROR(INDEX('Datos - Catálogo TIMSS'!$J$5:$J$107,MATCH(K256,'Datos - Catálogo TIMSS'!$A$5:$A$107,0)),"No")="Sí",1,0)</f>
        <v>0</v>
      </c>
      <c r="Z256" s="36" cm="1">
        <f t="array" ref="Z256">IF(_xlfn.IFERROR(INDEX('Datos - Catálogo TIMSS'!$J$5:$J$107,MATCH(L256,'Datos - Catálogo TIMSS'!$A$5:$A$107,0)),"No")="Sí",1,0)</f>
        <v>0</v>
      </c>
      <c r="AA256" t="s" s="35">
        <v>1832</v>
      </c>
      <c r="AB256" s="39"/>
      <c r="AC256" t="str" s="39">
        <v>Fuera del marco</v>
      </c>
      <c r="AD256" t="s" s="35">
        <v>1834</v>
      </c>
      <c r="AE256" t="str" s="39" cm="1">
        <f t="array" ref="AE256">IF(AD256="","",IF(LEFT(AD256,1)="1","C1",IF(LEFT(AD256,1)="2","C2",IF(LEFT(AD256,1)="3","C3",""))))</f>
        <v>C2</v>
      </c>
      <c r="AF256" t="s" s="35">
        <v>1602</v>
      </c>
      <c r="AG256" t="s" s="35">
        <v>1617</v>
      </c>
      <c r="AH256" t="s" s="35">
        <v>1609</v>
      </c>
      <c r="AI256" t="s" s="35">
        <v>1623</v>
      </c>
      <c r="AJ256" t="s" s="35">
        <v>1607</v>
      </c>
      <c r="AK256" s="39"/>
      <c r="AL256" s="39"/>
      <c r="AM256" s="39"/>
      <c r="AN256" s="39"/>
      <c r="AO256" s="39"/>
      <c r="AP256" s="39"/>
      <c r="AQ256" s="39"/>
      <c r="AR256" s="39"/>
      <c r="AS256" s="39"/>
      <c r="AT256" s="39"/>
      <c r="AU256" s="39"/>
      <c r="AV256" s="39"/>
      <c r="AW256" t="str" s="39" cm="1">
        <f t="array" ref="AW256">AF256&amp;"; "&amp;AG256&amp;"; "&amp;AH256&amp;"; "&amp;AI256&amp;"; "&amp;AJ256</f>
        <v>E1; D1; E4; D4; E3</v>
      </c>
    </row>
    <row r="257" ht="13.65" customHeight="1">
      <c r="A257" t="s" s="35">
        <v>3034</v>
      </c>
      <c r="B257" s="36">
        <v>5</v>
      </c>
      <c r="C257" t="s" s="35">
        <v>1823</v>
      </c>
      <c r="D257" t="s" s="35">
        <v>2825</v>
      </c>
      <c r="E257" t="s" s="35">
        <v>3025</v>
      </c>
      <c r="F257" s="36">
        <v>5</v>
      </c>
      <c r="G257" t="s" s="35">
        <v>3026</v>
      </c>
      <c r="H257" t="s" s="35">
        <v>3035</v>
      </c>
      <c r="I257" t="s" s="120">
        <v>3036</v>
      </c>
      <c r="J257" t="s" s="35">
        <v>1164</v>
      </c>
      <c r="K257" t="s" s="35">
        <v>507</v>
      </c>
      <c r="L257" s="39"/>
      <c r="M257" t="str" s="39">
        <v>Ciencias de la Tierra</v>
      </c>
      <c r="N257" t="str" s="39">
        <v>La Tierra en el sistema solar</v>
      </c>
      <c r="O257" t="str" s="39" cm="1">
        <f t="array" ref="O257">IF(L257="","",_xlfn.IFERROR(INDEX('Datos - Catálogo TIMSS'!$C$5:$C$107,MATCH(L257,'Datos - Catálogo TIMSS'!$A$5:$A$107,0)),"?"))</f>
      </c>
      <c r="P257" t="s" s="35">
        <v>291</v>
      </c>
      <c r="Q257" t="s" s="120">
        <v>3037</v>
      </c>
      <c r="R257" t="s" s="120">
        <v>2131</v>
      </c>
      <c r="S257" s="121" cm="1">
        <f t="array" ref="S257">_xlfn.IFERROR(ISNUMBER(SEARCH("Conocer",$R257))/(ISNUMBER(SEARCH("Conocer",$R257))+ISNUMBER(SEARCH("Aplicar",$R257))+ISNUMBER(SEARCH("Razonar",$R257))),0)</f>
        <v>0</v>
      </c>
      <c r="T257" s="121" cm="1">
        <f t="array" ref="T257">_xlfn.IFERROR(ISNUMBER(SEARCH("Aplicar",$R257))/(ISNUMBER(SEARCH("Conocer",$R257))+ISNUMBER(SEARCH("Aplicar",$R257))+ISNUMBER(SEARCH("Razonar",$R257))),0)</f>
        <v>1</v>
      </c>
      <c r="U257" s="121" cm="1">
        <f t="array" ref="U257">_xlfn.IFERROR(ISNUMBER(SEARCH("Razonar",$R257))/(ISNUMBER(SEARCH("Conocer",$R257))+ISNUMBER(SEARCH("Aplicar",$R257))+ISNUMBER(SEARCH("Razonar",$R257))),0)</f>
        <v>0</v>
      </c>
      <c r="V257" t="s" s="35">
        <v>79</v>
      </c>
      <c r="W257" t="s" s="35">
        <v>115</v>
      </c>
      <c r="X257" s="36" cm="1">
        <f t="array" ref="X257">IF(OR(_xlfn.IFERROR(INDEX('Datos - Catálogo TIMSS'!$I$5:$I$107,MATCH(K257,'Datos - Catálogo TIMSS'!$A$5:$A$107,0)),"No")="Sí",_xlfn.IFERROR(INDEX('Datos - Catálogo TIMSS'!$I$5:$I$107,MATCH(L257,'Datos - Catálogo TIMSS'!$A$5:$A$107,0)),"No")="Sí"),1,0)</f>
        <v>0</v>
      </c>
      <c r="Y257" s="36" cm="1">
        <f t="array" ref="Y257">IF(_xlfn.IFERROR(INDEX('Datos - Catálogo TIMSS'!$J$5:$J$107,MATCH(K257,'Datos - Catálogo TIMSS'!$A$5:$A$107,0)),"No")="Sí",1,0)</f>
        <v>0</v>
      </c>
      <c r="Z257" s="36" cm="1">
        <f t="array" ref="Z257">IF(_xlfn.IFERROR(INDEX('Datos - Catálogo TIMSS'!$J$5:$J$107,MATCH(L257,'Datos - Catálogo TIMSS'!$A$5:$A$107,0)),"No")="Sí",1,0)</f>
        <v>0</v>
      </c>
      <c r="AA257" t="s" s="35">
        <v>3038</v>
      </c>
      <c r="AB257" s="39"/>
      <c r="AC257" t="str" s="39">
        <v>Ciencias de la Tierra</v>
      </c>
      <c r="AD257" t="s" s="35">
        <v>1859</v>
      </c>
      <c r="AE257" t="str" s="39" cm="1">
        <f t="array" ref="AE257">IF(AD257="","",IF(LEFT(AD257,1)="1","C1",IF(LEFT(AD257,1)="2","C2",IF(LEFT(AD257,1)="3","C3",""))))</f>
        <v>C1</v>
      </c>
      <c r="AF257" t="s" s="35">
        <v>1602</v>
      </c>
      <c r="AG257" t="s" s="35">
        <v>1612</v>
      </c>
      <c r="AH257" t="s" s="35">
        <v>1609</v>
      </c>
      <c r="AI257" t="s" s="35">
        <v>1609</v>
      </c>
      <c r="AJ257" t="s" s="35">
        <v>1602</v>
      </c>
      <c r="AK257" s="39"/>
      <c r="AL257" s="39"/>
      <c r="AM257" s="39"/>
      <c r="AN257" s="39"/>
      <c r="AO257" s="39"/>
      <c r="AP257" s="39"/>
      <c r="AQ257" s="39"/>
      <c r="AR257" s="39"/>
      <c r="AS257" s="39"/>
      <c r="AT257" s="39"/>
      <c r="AU257" s="39"/>
      <c r="AV257" s="39"/>
      <c r="AW257" t="str" s="39" cm="1">
        <f t="array" ref="AW257">AF257&amp;"; "&amp;AG257&amp;"; "&amp;AH257&amp;"; "&amp;AI257&amp;"; "&amp;AJ257</f>
        <v>E1; E5; E4; E4; E1</v>
      </c>
    </row>
    <row r="258" ht="13.65" customHeight="1">
      <c r="A258" t="s" s="35">
        <v>3039</v>
      </c>
      <c r="B258" s="36">
        <v>5</v>
      </c>
      <c r="C258" t="s" s="35">
        <v>1823</v>
      </c>
      <c r="D258" t="s" s="35">
        <v>2825</v>
      </c>
      <c r="E258" t="s" s="35">
        <v>3025</v>
      </c>
      <c r="F258" s="36">
        <v>6</v>
      </c>
      <c r="G258" t="s" s="35">
        <v>3026</v>
      </c>
      <c r="H258" t="s" s="35">
        <v>3040</v>
      </c>
      <c r="I258" t="s" s="120">
        <v>3041</v>
      </c>
      <c r="J258" t="s" s="35">
        <v>1164</v>
      </c>
      <c r="K258" t="s" s="35">
        <v>1832</v>
      </c>
      <c r="L258" s="39"/>
      <c r="M258" t="str" s="39">
        <v>Fuera del marco</v>
      </c>
      <c r="N258" t="str" s="39">
        <v>Fuera del marco</v>
      </c>
      <c r="O258" t="str" s="39" cm="1">
        <f t="array" ref="O258">IF(L258="","",_xlfn.IFERROR(INDEX('Datos - Catálogo TIMSS'!$C$5:$C$107,MATCH(L258,'Datos - Catálogo TIMSS'!$A$5:$A$107,0)),"?"))</f>
      </c>
      <c r="P258" t="s" s="35">
        <v>254</v>
      </c>
      <c r="Q258" t="s" s="120">
        <v>3042</v>
      </c>
      <c r="R258" t="s" s="120">
        <v>1847</v>
      </c>
      <c r="S258" s="121" cm="1">
        <f t="array" ref="S258">_xlfn.IFERROR(ISNUMBER(SEARCH("Conocer",$R258))/(ISNUMBER(SEARCH("Conocer",$R258))+ISNUMBER(SEARCH("Aplicar",$R258))+ISNUMBER(SEARCH("Razonar",$R258))),0)</f>
        <v>0</v>
      </c>
      <c r="T258" s="121" cm="1">
        <f t="array" ref="T258">_xlfn.IFERROR(ISNUMBER(SEARCH("Aplicar",$R258))/(ISNUMBER(SEARCH("Conocer",$R258))+ISNUMBER(SEARCH("Aplicar",$R258))+ISNUMBER(SEARCH("Razonar",$R258))),0)</f>
        <v>1</v>
      </c>
      <c r="U258" s="121" cm="1">
        <f t="array" ref="U258">_xlfn.IFERROR(ISNUMBER(SEARCH("Razonar",$R258))/(ISNUMBER(SEARCH("Conocer",$R258))+ISNUMBER(SEARCH("Aplicar",$R258))+ISNUMBER(SEARCH("Razonar",$R258))),0)</f>
        <v>0</v>
      </c>
      <c r="V258" t="s" s="35">
        <v>79</v>
      </c>
      <c r="W258" t="s" s="35">
        <v>115</v>
      </c>
      <c r="X258" s="36" cm="1">
        <f t="array" ref="X258">IF(OR(_xlfn.IFERROR(INDEX('Datos - Catálogo TIMSS'!$I$5:$I$107,MATCH(K258,'Datos - Catálogo TIMSS'!$A$5:$A$107,0)),"No")="Sí",_xlfn.IFERROR(INDEX('Datos - Catálogo TIMSS'!$I$5:$I$107,MATCH(L258,'Datos - Catálogo TIMSS'!$A$5:$A$107,0)),"No")="Sí"),1,0)</f>
        <v>0</v>
      </c>
      <c r="Y258" s="36" cm="1">
        <f t="array" ref="Y258">IF(_xlfn.IFERROR(INDEX('Datos - Catálogo TIMSS'!$J$5:$J$107,MATCH(K258,'Datos - Catálogo TIMSS'!$A$5:$A$107,0)),"No")="Sí",1,0)</f>
        <v>0</v>
      </c>
      <c r="Z258" s="36" cm="1">
        <f t="array" ref="Z258">IF(_xlfn.IFERROR(INDEX('Datos - Catálogo TIMSS'!$J$5:$J$107,MATCH(L258,'Datos - Catálogo TIMSS'!$A$5:$A$107,0)),"No")="Sí",1,0)</f>
        <v>0</v>
      </c>
      <c r="AA258" t="s" s="35">
        <v>1832</v>
      </c>
      <c r="AB258" s="39"/>
      <c r="AC258" t="str" s="39">
        <v>Fuera del marco</v>
      </c>
      <c r="AD258" t="s" s="35">
        <v>1834</v>
      </c>
      <c r="AE258" t="str" s="39" cm="1">
        <f t="array" ref="AE258">IF(AD258="","",IF(LEFT(AD258,1)="1","C1",IF(LEFT(AD258,1)="2","C2",IF(LEFT(AD258,1)="3","C3",""))))</f>
        <v>C2</v>
      </c>
      <c r="AF258" t="s" s="35">
        <v>1602</v>
      </c>
      <c r="AG258" t="s" s="35">
        <v>1617</v>
      </c>
      <c r="AH258" t="s" s="35">
        <v>1602</v>
      </c>
      <c r="AI258" t="s" s="35">
        <v>1623</v>
      </c>
      <c r="AJ258" t="s" s="35">
        <v>1602</v>
      </c>
      <c r="AK258" s="39"/>
      <c r="AL258" s="39"/>
      <c r="AM258" s="39"/>
      <c r="AN258" s="39"/>
      <c r="AO258" s="39"/>
      <c r="AP258" s="39"/>
      <c r="AQ258" s="39"/>
      <c r="AR258" s="39"/>
      <c r="AS258" s="39"/>
      <c r="AT258" s="39"/>
      <c r="AU258" s="39"/>
      <c r="AV258" s="39"/>
      <c r="AW258" t="str" s="39" cm="1">
        <f t="array" ref="AW258">AF258&amp;"; "&amp;AG258&amp;"; "&amp;AH258&amp;"; "&amp;AI258&amp;"; "&amp;AJ258</f>
        <v>E1; D1; E1; D4; E1</v>
      </c>
    </row>
    <row r="259" ht="13.65" customHeight="1">
      <c r="A259" t="s" s="35">
        <v>3043</v>
      </c>
      <c r="B259" s="36">
        <v>5</v>
      </c>
      <c r="C259" t="s" s="35">
        <v>1823</v>
      </c>
      <c r="D259" t="s" s="35">
        <v>2825</v>
      </c>
      <c r="E259" t="s" s="35">
        <v>3025</v>
      </c>
      <c r="F259" s="36">
        <v>7</v>
      </c>
      <c r="G259" t="s" s="35">
        <v>3026</v>
      </c>
      <c r="H259" t="s" s="35">
        <v>3040</v>
      </c>
      <c r="I259" t="s" s="120">
        <v>3044</v>
      </c>
      <c r="J259" t="s" s="35">
        <v>1164</v>
      </c>
      <c r="K259" t="s" s="35">
        <v>1832</v>
      </c>
      <c r="L259" s="39"/>
      <c r="M259" t="str" s="39">
        <v>Fuera del marco</v>
      </c>
      <c r="N259" t="str" s="39">
        <v>Fuera del marco</v>
      </c>
      <c r="O259" t="str" s="39" cm="1">
        <f t="array" ref="O259">IF(L259="","",_xlfn.IFERROR(INDEX('Datos - Catálogo TIMSS'!$C$5:$C$107,MATCH(L259,'Datos - Catálogo TIMSS'!$A$5:$A$107,0)),"?"))</f>
      </c>
      <c r="P259" t="s" s="35">
        <v>282</v>
      </c>
      <c r="Q259" t="s" s="120">
        <v>3045</v>
      </c>
      <c r="R259" t="s" s="120">
        <v>3046</v>
      </c>
      <c r="S259" s="121" cm="1">
        <f t="array" ref="S259">_xlfn.IFERROR(ISNUMBER(SEARCH("Conocer",$R259))/(ISNUMBER(SEARCH("Conocer",$R259))+ISNUMBER(SEARCH("Aplicar",$R259))+ISNUMBER(SEARCH("Razonar",$R259))),0)</f>
        <v>1</v>
      </c>
      <c r="T259" s="121" cm="1">
        <f t="array" ref="T259">_xlfn.IFERROR(ISNUMBER(SEARCH("Aplicar",$R259))/(ISNUMBER(SEARCH("Conocer",$R259))+ISNUMBER(SEARCH("Aplicar",$R259))+ISNUMBER(SEARCH("Razonar",$R259))),0)</f>
        <v>0</v>
      </c>
      <c r="U259" s="121" cm="1">
        <f t="array" ref="U259">_xlfn.IFERROR(ISNUMBER(SEARCH("Razonar",$R259))/(ISNUMBER(SEARCH("Conocer",$R259))+ISNUMBER(SEARCH("Aplicar",$R259))+ISNUMBER(SEARCH("Razonar",$R259))),0)</f>
        <v>0</v>
      </c>
      <c r="V259" t="s" s="35">
        <v>79</v>
      </c>
      <c r="W259" t="s" s="35">
        <v>115</v>
      </c>
      <c r="X259" s="36" cm="1">
        <f t="array" ref="X259">IF(OR(_xlfn.IFERROR(INDEX('Datos - Catálogo TIMSS'!$I$5:$I$107,MATCH(K259,'Datos - Catálogo TIMSS'!$A$5:$A$107,0)),"No")="Sí",_xlfn.IFERROR(INDEX('Datos - Catálogo TIMSS'!$I$5:$I$107,MATCH(L259,'Datos - Catálogo TIMSS'!$A$5:$A$107,0)),"No")="Sí"),1,0)</f>
        <v>0</v>
      </c>
      <c r="Y259" s="36" cm="1">
        <f t="array" ref="Y259">IF(_xlfn.IFERROR(INDEX('Datos - Catálogo TIMSS'!$J$5:$J$107,MATCH(K259,'Datos - Catálogo TIMSS'!$A$5:$A$107,0)),"No")="Sí",1,0)</f>
        <v>0</v>
      </c>
      <c r="Z259" s="36" cm="1">
        <f t="array" ref="Z259">IF(_xlfn.IFERROR(INDEX('Datos - Catálogo TIMSS'!$J$5:$J$107,MATCH(L259,'Datos - Catálogo TIMSS'!$A$5:$A$107,0)),"No")="Sí",1,0)</f>
        <v>0</v>
      </c>
      <c r="AA259" t="s" s="35">
        <v>3038</v>
      </c>
      <c r="AB259" s="39"/>
      <c r="AC259" t="str" s="39">
        <v>Ciencias de la Tierra</v>
      </c>
      <c r="AD259" t="s" s="35">
        <v>1859</v>
      </c>
      <c r="AE259" t="str" s="39" cm="1">
        <f t="array" ref="AE259">IF(AD259="","",IF(LEFT(AD259,1)="1","C1",IF(LEFT(AD259,1)="2","C2",IF(LEFT(AD259,1)="3","C3",""))))</f>
        <v>C1</v>
      </c>
      <c r="AF259" t="s" s="35">
        <v>1602</v>
      </c>
      <c r="AG259" t="s" s="35">
        <v>1617</v>
      </c>
      <c r="AH259" t="s" s="35">
        <v>1602</v>
      </c>
      <c r="AI259" t="s" s="35">
        <v>1623</v>
      </c>
      <c r="AJ259" t="s" s="35">
        <v>1615</v>
      </c>
      <c r="AK259" s="39"/>
      <c r="AL259" s="39"/>
      <c r="AM259" s="39"/>
      <c r="AN259" s="39"/>
      <c r="AO259" s="39"/>
      <c r="AP259" s="39"/>
      <c r="AQ259" s="39"/>
      <c r="AR259" s="39"/>
      <c r="AS259" s="39"/>
      <c r="AT259" s="39"/>
      <c r="AU259" s="39"/>
      <c r="AV259" s="39"/>
      <c r="AW259" t="str" s="39" cm="1">
        <f t="array" ref="AW259">AF259&amp;"; "&amp;AG259&amp;"; "&amp;AH259&amp;"; "&amp;AI259&amp;"; "&amp;AJ259</f>
        <v>E1; D1; E1; D4; E6</v>
      </c>
    </row>
    <row r="260" ht="13.65" customHeight="1">
      <c r="A260" t="s" s="35">
        <v>3047</v>
      </c>
      <c r="B260" s="36">
        <v>5</v>
      </c>
      <c r="C260" t="s" s="35">
        <v>1823</v>
      </c>
      <c r="D260" t="s" s="35">
        <v>2825</v>
      </c>
      <c r="E260" t="s" s="35">
        <v>3025</v>
      </c>
      <c r="F260" s="36">
        <v>8</v>
      </c>
      <c r="G260" t="s" s="35">
        <v>3026</v>
      </c>
      <c r="H260" t="s" s="35">
        <v>3040</v>
      </c>
      <c r="I260" t="s" s="120">
        <v>3048</v>
      </c>
      <c r="J260" t="s" s="35">
        <v>1164</v>
      </c>
      <c r="K260" t="s" s="35">
        <v>1832</v>
      </c>
      <c r="L260" s="39"/>
      <c r="M260" t="str" s="39">
        <v>Fuera del marco</v>
      </c>
      <c r="N260" t="str" s="39">
        <v>Fuera del marco</v>
      </c>
      <c r="O260" t="str" s="39" cm="1">
        <f t="array" ref="O260">IF(L260="","",_xlfn.IFERROR(INDEX('Datos - Catálogo TIMSS'!$C$5:$C$107,MATCH(L260,'Datos - Catálogo TIMSS'!$A$5:$A$107,0)),"?"))</f>
      </c>
      <c r="P260" t="s" s="35">
        <v>282</v>
      </c>
      <c r="Q260" t="s" s="120">
        <v>3049</v>
      </c>
      <c r="R260" t="s" s="120">
        <v>1847</v>
      </c>
      <c r="S260" s="121" cm="1">
        <f t="array" ref="S260">_xlfn.IFERROR(ISNUMBER(SEARCH("Conocer",$R260))/(ISNUMBER(SEARCH("Conocer",$R260))+ISNUMBER(SEARCH("Aplicar",$R260))+ISNUMBER(SEARCH("Razonar",$R260))),0)</f>
        <v>0</v>
      </c>
      <c r="T260" s="121" cm="1">
        <f t="array" ref="T260">_xlfn.IFERROR(ISNUMBER(SEARCH("Aplicar",$R260))/(ISNUMBER(SEARCH("Conocer",$R260))+ISNUMBER(SEARCH("Aplicar",$R260))+ISNUMBER(SEARCH("Razonar",$R260))),0)</f>
        <v>1</v>
      </c>
      <c r="U260" s="121" cm="1">
        <f t="array" ref="U260">_xlfn.IFERROR(ISNUMBER(SEARCH("Razonar",$R260))/(ISNUMBER(SEARCH("Conocer",$R260))+ISNUMBER(SEARCH("Aplicar",$R260))+ISNUMBER(SEARCH("Razonar",$R260))),0)</f>
        <v>0</v>
      </c>
      <c r="V260" t="s" s="35">
        <v>79</v>
      </c>
      <c r="W260" t="s" s="35">
        <v>115</v>
      </c>
      <c r="X260" s="36" cm="1">
        <f t="array" ref="X260">IF(OR(_xlfn.IFERROR(INDEX('Datos - Catálogo TIMSS'!$I$5:$I$107,MATCH(K260,'Datos - Catálogo TIMSS'!$A$5:$A$107,0)),"No")="Sí",_xlfn.IFERROR(INDEX('Datos - Catálogo TIMSS'!$I$5:$I$107,MATCH(L260,'Datos - Catálogo TIMSS'!$A$5:$A$107,0)),"No")="Sí"),1,0)</f>
        <v>0</v>
      </c>
      <c r="Y260" s="36" cm="1">
        <f t="array" ref="Y260">IF(_xlfn.IFERROR(INDEX('Datos - Catálogo TIMSS'!$J$5:$J$107,MATCH(K260,'Datos - Catálogo TIMSS'!$A$5:$A$107,0)),"No")="Sí",1,0)</f>
        <v>0</v>
      </c>
      <c r="Z260" s="36" cm="1">
        <f t="array" ref="Z260">IF(_xlfn.IFERROR(INDEX('Datos - Catálogo TIMSS'!$J$5:$J$107,MATCH(L260,'Datos - Catálogo TIMSS'!$A$5:$A$107,0)),"No")="Sí",1,0)</f>
        <v>0</v>
      </c>
      <c r="AA260" t="s" s="35">
        <v>3038</v>
      </c>
      <c r="AB260" s="39"/>
      <c r="AC260" t="str" s="39">
        <v>Ciencias de la Tierra</v>
      </c>
      <c r="AD260" t="s" s="35">
        <v>1834</v>
      </c>
      <c r="AE260" t="str" s="39" cm="1">
        <f t="array" ref="AE260">IF(AD260="","",IF(LEFT(AD260,1)="1","C1",IF(LEFT(AD260,1)="2","C2",IF(LEFT(AD260,1)="3","C3",""))))</f>
        <v>C2</v>
      </c>
      <c r="AF260" t="s" s="35">
        <v>1602</v>
      </c>
      <c r="AG260" t="s" s="35">
        <v>1617</v>
      </c>
      <c r="AH260" t="s" s="35">
        <v>1605</v>
      </c>
      <c r="AI260" t="s" s="35">
        <v>1623</v>
      </c>
      <c r="AJ260" t="s" s="35">
        <v>1602</v>
      </c>
      <c r="AK260" s="39"/>
      <c r="AL260" s="39"/>
      <c r="AM260" s="39"/>
      <c r="AN260" s="39"/>
      <c r="AO260" s="39"/>
      <c r="AP260" s="39"/>
      <c r="AQ260" s="39"/>
      <c r="AR260" s="39"/>
      <c r="AS260" s="39"/>
      <c r="AT260" s="39"/>
      <c r="AU260" s="39"/>
      <c r="AV260" s="39"/>
      <c r="AW260" t="str" s="39" cm="1">
        <f t="array" ref="AW260">AF260&amp;"; "&amp;AG260&amp;"; "&amp;AH260&amp;"; "&amp;AI260&amp;"; "&amp;AJ260</f>
        <v>E1; D1; E2; D4; E1</v>
      </c>
    </row>
    <row r="261" ht="13.65" customHeight="1">
      <c r="A261" t="s" s="35">
        <v>3050</v>
      </c>
      <c r="B261" s="36">
        <v>5</v>
      </c>
      <c r="C261" t="s" s="35">
        <v>1823</v>
      </c>
      <c r="D261" t="s" s="35">
        <v>2825</v>
      </c>
      <c r="E261" t="s" s="35">
        <v>3025</v>
      </c>
      <c r="F261" s="36">
        <v>9</v>
      </c>
      <c r="G261" t="s" s="35">
        <v>3026</v>
      </c>
      <c r="H261" t="s" s="35">
        <v>3051</v>
      </c>
      <c r="I261" t="s" s="120">
        <v>3052</v>
      </c>
      <c r="J261" t="s" s="35">
        <v>1164</v>
      </c>
      <c r="K261" t="s" s="35">
        <v>507</v>
      </c>
      <c r="L261" s="39"/>
      <c r="M261" t="str" s="39">
        <v>Ciencias de la Tierra</v>
      </c>
      <c r="N261" t="str" s="39">
        <v>La Tierra en el sistema solar</v>
      </c>
      <c r="O261" t="str" s="39" cm="1">
        <f t="array" ref="O261">IF(L261="","",_xlfn.IFERROR(INDEX('Datos - Catálogo TIMSS'!$C$5:$C$107,MATCH(L261,'Datos - Catálogo TIMSS'!$A$5:$A$107,0)),"?"))</f>
      </c>
      <c r="P261" t="s" s="35">
        <v>282</v>
      </c>
      <c r="Q261" t="s" s="120">
        <v>3053</v>
      </c>
      <c r="R261" t="s" s="120">
        <v>2611</v>
      </c>
      <c r="S261" s="121" cm="1">
        <f t="array" ref="S261">_xlfn.IFERROR(ISNUMBER(SEARCH("Conocer",$R261))/(ISNUMBER(SEARCH("Conocer",$R261))+ISNUMBER(SEARCH("Aplicar",$R261))+ISNUMBER(SEARCH("Razonar",$R261))),0)</f>
        <v>0</v>
      </c>
      <c r="T261" s="121" cm="1">
        <f t="array" ref="T261">_xlfn.IFERROR(ISNUMBER(SEARCH("Aplicar",$R261))/(ISNUMBER(SEARCH("Conocer",$R261))+ISNUMBER(SEARCH("Aplicar",$R261))+ISNUMBER(SEARCH("Razonar",$R261))),0)</f>
        <v>0.5</v>
      </c>
      <c r="U261" s="121" cm="1">
        <f t="array" ref="U261">_xlfn.IFERROR(ISNUMBER(SEARCH("Razonar",$R261))/(ISNUMBER(SEARCH("Conocer",$R261))+ISNUMBER(SEARCH("Aplicar",$R261))+ISNUMBER(SEARCH("Razonar",$R261))),0)</f>
        <v>0.5</v>
      </c>
      <c r="V261" t="s" s="35">
        <v>79</v>
      </c>
      <c r="W261" t="s" s="35">
        <v>115</v>
      </c>
      <c r="X261" s="36" cm="1">
        <f t="array" ref="X261">IF(OR(_xlfn.IFERROR(INDEX('Datos - Catálogo TIMSS'!$I$5:$I$107,MATCH(K261,'Datos - Catálogo TIMSS'!$A$5:$A$107,0)),"No")="Sí",_xlfn.IFERROR(INDEX('Datos - Catálogo TIMSS'!$I$5:$I$107,MATCH(L261,'Datos - Catálogo TIMSS'!$A$5:$A$107,0)),"No")="Sí"),1,0)</f>
        <v>0</v>
      </c>
      <c r="Y261" s="36" cm="1">
        <f t="array" ref="Y261">IF(_xlfn.IFERROR(INDEX('Datos - Catálogo TIMSS'!$J$5:$J$107,MATCH(K261,'Datos - Catálogo TIMSS'!$A$5:$A$107,0)),"No")="Sí",1,0)</f>
        <v>0</v>
      </c>
      <c r="Z261" s="36" cm="1">
        <f t="array" ref="Z261">IF(_xlfn.IFERROR(INDEX('Datos - Catálogo TIMSS'!$J$5:$J$107,MATCH(L261,'Datos - Catálogo TIMSS'!$A$5:$A$107,0)),"No")="Sí",1,0)</f>
        <v>0</v>
      </c>
      <c r="AA261" t="s" s="35">
        <v>3038</v>
      </c>
      <c r="AB261" s="39"/>
      <c r="AC261" t="str" s="39">
        <v>Ciencias de la Tierra</v>
      </c>
      <c r="AD261" t="s" s="35">
        <v>1900</v>
      </c>
      <c r="AE261" t="str" s="39" cm="1">
        <f t="array" ref="AE261">IF(AD261="","",IF(LEFT(AD261,1)="1","C1",IF(LEFT(AD261,1)="2","C2",IF(LEFT(AD261,1)="3","C3",""))))</f>
        <v>C3</v>
      </c>
      <c r="AF261" t="s" s="35">
        <v>1602</v>
      </c>
      <c r="AG261" t="s" s="35">
        <v>1617</v>
      </c>
      <c r="AH261" t="s" s="35">
        <v>1602</v>
      </c>
      <c r="AI261" t="s" s="35">
        <v>1625</v>
      </c>
      <c r="AJ261" t="s" s="35">
        <v>1633</v>
      </c>
      <c r="AK261" s="39"/>
      <c r="AL261" s="39"/>
      <c r="AM261" s="39"/>
      <c r="AN261" s="39"/>
      <c r="AO261" s="39"/>
      <c r="AP261" s="39"/>
      <c r="AQ261" s="39"/>
      <c r="AR261" s="39"/>
      <c r="AS261" s="39"/>
      <c r="AT261" s="39"/>
      <c r="AU261" s="39"/>
      <c r="AV261" s="39"/>
      <c r="AW261" t="str" s="39" cm="1">
        <f t="array" ref="AW261">AF261&amp;"; "&amp;AG261&amp;"; "&amp;AH261&amp;"; "&amp;AI261&amp;"; "&amp;AJ261</f>
        <v>E1; D1; E1; I1; I5</v>
      </c>
    </row>
    <row r="262" ht="13.65" customHeight="1">
      <c r="A262" t="s" s="35">
        <v>3055</v>
      </c>
      <c r="B262" s="36">
        <v>5</v>
      </c>
      <c r="C262" t="s" s="35">
        <v>1823</v>
      </c>
      <c r="D262" t="s" s="35">
        <v>2825</v>
      </c>
      <c r="E262" t="s" s="35">
        <v>3025</v>
      </c>
      <c r="F262" s="36">
        <v>10</v>
      </c>
      <c r="G262" t="s" s="35">
        <v>3026</v>
      </c>
      <c r="H262" t="s" s="35">
        <v>3056</v>
      </c>
      <c r="I262" t="s" s="120">
        <v>3057</v>
      </c>
      <c r="J262" t="s" s="35">
        <v>1164</v>
      </c>
      <c r="K262" t="s" s="35">
        <v>1272</v>
      </c>
      <c r="L262" s="39"/>
      <c r="M262" t="str" s="39">
        <v>Ciencias de la Tierra</v>
      </c>
      <c r="N262" t="str" s="39">
        <v>Rasgos, procesos e historia de la Tierra</v>
      </c>
      <c r="O262" t="str" s="39" cm="1">
        <f t="array" ref="O262">IF(L262="","",_xlfn.IFERROR(INDEX('Datos - Catálogo TIMSS'!$C$5:$C$107,MATCH(L262,'Datos - Catálogo TIMSS'!$A$5:$A$107,0)),"?"))</f>
      </c>
      <c r="P262" t="s" s="35">
        <v>282</v>
      </c>
      <c r="Q262" t="s" s="120">
        <v>3058</v>
      </c>
      <c r="R262" t="s" s="120">
        <v>2131</v>
      </c>
      <c r="S262" s="121" cm="1">
        <f t="array" ref="S262">_xlfn.IFERROR(ISNUMBER(SEARCH("Conocer",$R262))/(ISNUMBER(SEARCH("Conocer",$R262))+ISNUMBER(SEARCH("Aplicar",$R262))+ISNUMBER(SEARCH("Razonar",$R262))),0)</f>
        <v>0</v>
      </c>
      <c r="T262" s="121" cm="1">
        <f t="array" ref="T262">_xlfn.IFERROR(ISNUMBER(SEARCH("Aplicar",$R262))/(ISNUMBER(SEARCH("Conocer",$R262))+ISNUMBER(SEARCH("Aplicar",$R262))+ISNUMBER(SEARCH("Razonar",$R262))),0)</f>
        <v>1</v>
      </c>
      <c r="U262" s="121" cm="1">
        <f t="array" ref="U262">_xlfn.IFERROR(ISNUMBER(SEARCH("Razonar",$R262))/(ISNUMBER(SEARCH("Conocer",$R262))+ISNUMBER(SEARCH("Aplicar",$R262))+ISNUMBER(SEARCH("Razonar",$R262))),0)</f>
        <v>0</v>
      </c>
      <c r="V262" t="s" s="35">
        <v>79</v>
      </c>
      <c r="W262" t="s" s="35">
        <v>115</v>
      </c>
      <c r="X262" s="36" cm="1">
        <f t="array" ref="X262">IF(OR(_xlfn.IFERROR(INDEX('Datos - Catálogo TIMSS'!$I$5:$I$107,MATCH(K262,'Datos - Catálogo TIMSS'!$A$5:$A$107,0)),"No")="Sí",_xlfn.IFERROR(INDEX('Datos - Catálogo TIMSS'!$I$5:$I$107,MATCH(L262,'Datos - Catálogo TIMSS'!$A$5:$A$107,0)),"No")="Sí"),1,0)</f>
        <v>1</v>
      </c>
      <c r="Y262" s="36" cm="1">
        <f t="array" ref="Y262">IF(_xlfn.IFERROR(INDEX('Datos - Catálogo TIMSS'!$J$5:$J$107,MATCH(K262,'Datos - Catálogo TIMSS'!$A$5:$A$107,0)),"No")="Sí",1,0)</f>
        <v>0</v>
      </c>
      <c r="Z262" s="36" cm="1">
        <f t="array" ref="Z262">IF(_xlfn.IFERROR(INDEX('Datos - Catálogo TIMSS'!$J$5:$J$107,MATCH(L262,'Datos - Catálogo TIMSS'!$A$5:$A$107,0)),"No")="Sí",1,0)</f>
        <v>0</v>
      </c>
      <c r="AA262" t="s" s="35">
        <v>3059</v>
      </c>
      <c r="AB262" s="39"/>
      <c r="AC262" t="str" s="39">
        <v>Ciencias de la Tierra</v>
      </c>
      <c r="AD262" t="s" s="35">
        <v>1859</v>
      </c>
      <c r="AE262" t="str" s="39" cm="1">
        <f t="array" ref="AE262">IF(AD262="","",IF(LEFT(AD262,1)="1","C1",IF(LEFT(AD262,1)="2","C2",IF(LEFT(AD262,1)="3","C3",""))))</f>
        <v>C1</v>
      </c>
      <c r="AF262" t="s" s="35">
        <v>1602</v>
      </c>
      <c r="AG262" t="s" s="35">
        <v>1612</v>
      </c>
      <c r="AH262" t="s" s="35">
        <v>1609</v>
      </c>
      <c r="AI262" t="s" s="35">
        <v>1609</v>
      </c>
      <c r="AJ262" t="s" s="35">
        <v>1602</v>
      </c>
      <c r="AK262" s="39"/>
      <c r="AL262" s="39"/>
      <c r="AM262" s="39"/>
      <c r="AN262" s="39"/>
      <c r="AO262" s="39"/>
      <c r="AP262" s="39"/>
      <c r="AQ262" s="39"/>
      <c r="AR262" s="39"/>
      <c r="AS262" s="39"/>
      <c r="AT262" s="39"/>
      <c r="AU262" s="39"/>
      <c r="AV262" s="39"/>
      <c r="AW262" t="str" s="39" cm="1">
        <f t="array" ref="AW262">AF262&amp;"; "&amp;AG262&amp;"; "&amp;AH262&amp;"; "&amp;AI262&amp;"; "&amp;AJ262</f>
        <v>E1; E5; E4; E4; E1</v>
      </c>
    </row>
    <row r="263" ht="13.65" customHeight="1">
      <c r="A263" t="s" s="35">
        <v>3060</v>
      </c>
      <c r="B263" s="36">
        <v>5</v>
      </c>
      <c r="C263" t="s" s="35">
        <v>1823</v>
      </c>
      <c r="D263" t="s" s="35">
        <v>2825</v>
      </c>
      <c r="E263" t="s" s="35">
        <v>3025</v>
      </c>
      <c r="F263" s="36">
        <v>11</v>
      </c>
      <c r="G263" t="s" s="35">
        <v>3026</v>
      </c>
      <c r="H263" t="s" s="35">
        <v>3056</v>
      </c>
      <c r="I263" t="s" s="120">
        <v>3061</v>
      </c>
      <c r="J263" t="s" s="35">
        <v>1164</v>
      </c>
      <c r="K263" t="s" s="35">
        <v>1259</v>
      </c>
      <c r="L263" t="s" s="35">
        <v>1272</v>
      </c>
      <c r="M263" t="str" s="39">
        <v>Física</v>
      </c>
      <c r="N263" t="str" s="39">
        <v>Electricidad y magnetismo</v>
      </c>
      <c r="O263" t="str" s="39" cm="1">
        <f t="array" ref="O263">IF(L263="","",_xlfn.IFERROR(INDEX('Datos - Catálogo TIMSS'!$C$5:$C$107,MATCH(L263,'Datos - Catálogo TIMSS'!$A$5:$A$107,0)),"?"))</f>
        <v>Ciencias de la Tierra</v>
      </c>
      <c r="P263" t="s" s="35">
        <v>282</v>
      </c>
      <c r="Q263" t="s" s="120">
        <v>3062</v>
      </c>
      <c r="R263" t="s" s="120">
        <v>3063</v>
      </c>
      <c r="S263" s="121" cm="1">
        <f t="array" ref="S263">_xlfn.IFERROR(ISNUMBER(SEARCH("Conocer",$R263))/(ISNUMBER(SEARCH("Conocer",$R263))+ISNUMBER(SEARCH("Aplicar",$R263))+ISNUMBER(SEARCH("Razonar",$R263))),0)</f>
        <v>0</v>
      </c>
      <c r="T263" s="121" cm="1">
        <f t="array" ref="T263">_xlfn.IFERROR(ISNUMBER(SEARCH("Aplicar",$R263))/(ISNUMBER(SEARCH("Conocer",$R263))+ISNUMBER(SEARCH("Aplicar",$R263))+ISNUMBER(SEARCH("Razonar",$R263))),0)</f>
        <v>1</v>
      </c>
      <c r="U263" s="121" cm="1">
        <f t="array" ref="U263">_xlfn.IFERROR(ISNUMBER(SEARCH("Razonar",$R263))/(ISNUMBER(SEARCH("Conocer",$R263))+ISNUMBER(SEARCH("Aplicar",$R263))+ISNUMBER(SEARCH("Razonar",$R263))),0)</f>
        <v>0</v>
      </c>
      <c r="V263" t="s" s="35">
        <v>79</v>
      </c>
      <c r="W263" t="s" s="35">
        <v>115</v>
      </c>
      <c r="X263" s="36" cm="1">
        <f t="array" ref="X263">IF(OR(_xlfn.IFERROR(INDEX('Datos - Catálogo TIMSS'!$I$5:$I$107,MATCH(K263,'Datos - Catálogo TIMSS'!$A$5:$A$107,0)),"No")="Sí",_xlfn.IFERROR(INDEX('Datos - Catálogo TIMSS'!$I$5:$I$107,MATCH(L263,'Datos - Catálogo TIMSS'!$A$5:$A$107,0)),"No")="Sí"),1,0)</f>
        <v>1</v>
      </c>
      <c r="Y263" s="36" cm="1">
        <f t="array" ref="Y263">IF(_xlfn.IFERROR(INDEX('Datos - Catálogo TIMSS'!$J$5:$J$107,MATCH(K263,'Datos - Catálogo TIMSS'!$A$5:$A$107,0)),"No")="Sí",1,0)</f>
        <v>0</v>
      </c>
      <c r="Z263" s="36" cm="1">
        <f t="array" ref="Z263">IF(_xlfn.IFERROR(INDEX('Datos - Catálogo TIMSS'!$J$5:$J$107,MATCH(L263,'Datos - Catálogo TIMSS'!$A$5:$A$107,0)),"No")="Sí",1,0)</f>
        <v>0</v>
      </c>
      <c r="AA263" t="s" s="35">
        <v>3064</v>
      </c>
      <c r="AB263" t="s" s="35">
        <v>3059</v>
      </c>
      <c r="AC263" t="str" s="39">
        <v>Física</v>
      </c>
      <c r="AD263" t="s" s="35">
        <v>1834</v>
      </c>
      <c r="AE263" t="str" s="39" cm="1">
        <f t="array" ref="AE263">IF(AD263="","",IF(LEFT(AD263,1)="1","C1",IF(LEFT(AD263,1)="2","C2",IF(LEFT(AD263,1)="3","C3",""))))</f>
        <v>C2</v>
      </c>
      <c r="AF263" t="s" s="35">
        <v>1602</v>
      </c>
      <c r="AG263" t="s" s="35">
        <v>1612</v>
      </c>
      <c r="AH263" t="s" s="35">
        <v>1602</v>
      </c>
      <c r="AI263" t="s" s="35">
        <v>1619</v>
      </c>
      <c r="AJ263" t="s" s="35">
        <v>1615</v>
      </c>
      <c r="AK263" s="39"/>
      <c r="AL263" s="39"/>
      <c r="AM263" s="39"/>
      <c r="AN263" s="39"/>
      <c r="AO263" s="39"/>
      <c r="AP263" s="39"/>
      <c r="AQ263" s="39"/>
      <c r="AR263" s="39"/>
      <c r="AS263" s="39"/>
      <c r="AT263" s="39"/>
      <c r="AU263" s="39"/>
      <c r="AV263" s="39"/>
      <c r="AW263" t="str" s="39" cm="1">
        <f t="array" ref="AW263">AF263&amp;"; "&amp;AG263&amp;"; "&amp;AH263&amp;"; "&amp;AI263&amp;"; "&amp;AJ263</f>
        <v>E1; E5; E1; D2; E6</v>
      </c>
    </row>
    <row r="264" ht="13.65" customHeight="1">
      <c r="A264" t="s" s="35">
        <v>3065</v>
      </c>
      <c r="B264" s="36">
        <v>5</v>
      </c>
      <c r="C264" t="s" s="35">
        <v>1823</v>
      </c>
      <c r="D264" t="s" s="35">
        <v>2825</v>
      </c>
      <c r="E264" t="s" s="35">
        <v>3066</v>
      </c>
      <c r="F264" s="36">
        <v>3</v>
      </c>
      <c r="G264" t="s" s="35">
        <v>458</v>
      </c>
      <c r="H264" t="s" s="35">
        <v>3067</v>
      </c>
      <c r="I264" t="s" s="120">
        <v>3068</v>
      </c>
      <c r="J264" t="s" s="35">
        <v>1164</v>
      </c>
      <c r="K264" t="s" s="35">
        <v>524</v>
      </c>
      <c r="L264" t="s" s="35">
        <v>1186</v>
      </c>
      <c r="M264" t="str" s="39">
        <v>Ciencias de la Tierra</v>
      </c>
      <c r="N264" t="str" s="39">
        <v>Rasgos, procesos e historia de la Tierra</v>
      </c>
      <c r="O264" t="str" s="39" cm="1">
        <f t="array" ref="O264">IF(L264="","",_xlfn.IFERROR(INDEX('Datos - Catálogo TIMSS'!$C$5:$C$107,MATCH(L264,'Datos - Catálogo TIMSS'!$A$5:$A$107,0)),"?"))</f>
        <v>Biología</v>
      </c>
      <c r="P264" t="s" s="35">
        <v>282</v>
      </c>
      <c r="Q264" t="s" s="120">
        <v>3069</v>
      </c>
      <c r="R264" t="s" s="120">
        <v>3070</v>
      </c>
      <c r="S264" s="121" cm="1">
        <f t="array" ref="S264">_xlfn.IFERROR(ISNUMBER(SEARCH("Conocer",$R264))/(ISNUMBER(SEARCH("Conocer",$R264))+ISNUMBER(SEARCH("Aplicar",$R264))+ISNUMBER(SEARCH("Razonar",$R264))),0)</f>
        <v>0</v>
      </c>
      <c r="T264" s="121" cm="1">
        <f t="array" ref="T264">_xlfn.IFERROR(ISNUMBER(SEARCH("Aplicar",$R264))/(ISNUMBER(SEARCH("Conocer",$R264))+ISNUMBER(SEARCH("Aplicar",$R264))+ISNUMBER(SEARCH("Razonar",$R264))),0)</f>
        <v>1</v>
      </c>
      <c r="U264" s="121" cm="1">
        <f t="array" ref="U264">_xlfn.IFERROR(ISNUMBER(SEARCH("Razonar",$R264))/(ISNUMBER(SEARCH("Conocer",$R264))+ISNUMBER(SEARCH("Aplicar",$R264))+ISNUMBER(SEARCH("Razonar",$R264))),0)</f>
        <v>0</v>
      </c>
      <c r="V264" t="s" s="35">
        <v>79</v>
      </c>
      <c r="W264" t="s" s="35">
        <v>115</v>
      </c>
      <c r="X264" s="36" cm="1">
        <f t="array" ref="X264">IF(OR(_xlfn.IFERROR(INDEX('Datos - Catálogo TIMSS'!$I$5:$I$107,MATCH(K264,'Datos - Catálogo TIMSS'!$A$5:$A$107,0)),"No")="Sí",_xlfn.IFERROR(INDEX('Datos - Catálogo TIMSS'!$I$5:$I$107,MATCH(L264,'Datos - Catálogo TIMSS'!$A$5:$A$107,0)),"No")="Sí"),1,0)</f>
        <v>1</v>
      </c>
      <c r="Y264" s="36" cm="1">
        <f t="array" ref="Y264">IF(_xlfn.IFERROR(INDEX('Datos - Catálogo TIMSS'!$J$5:$J$107,MATCH(K264,'Datos - Catálogo TIMSS'!$A$5:$A$107,0)),"No")="Sí",1,0)</f>
        <v>0</v>
      </c>
      <c r="Z264" s="36" cm="1">
        <f t="array" ref="Z264">IF(_xlfn.IFERROR(INDEX('Datos - Catálogo TIMSS'!$J$5:$J$107,MATCH(L264,'Datos - Catálogo TIMSS'!$A$5:$A$107,0)),"No")="Sí",1,0)</f>
        <v>0</v>
      </c>
      <c r="AA264" t="s" s="35">
        <v>3071</v>
      </c>
      <c r="AB264" t="s" s="35">
        <v>3072</v>
      </c>
      <c r="AC264" t="str" s="39">
        <v>Ciencias de la Tierra</v>
      </c>
      <c r="AD264" t="s" s="35">
        <v>1834</v>
      </c>
      <c r="AE264" t="str" s="39" cm="1">
        <f t="array" ref="AE264">IF(AD264="","",IF(LEFT(AD264,1)="1","C1",IF(LEFT(AD264,1)="2","C2",IF(LEFT(AD264,1)="3","C3",""))))</f>
        <v>C2</v>
      </c>
      <c r="AF264" t="s" s="35">
        <v>1602</v>
      </c>
      <c r="AG264" t="s" s="35">
        <v>1617</v>
      </c>
      <c r="AH264" t="s" s="35">
        <v>1605</v>
      </c>
      <c r="AI264" t="s" s="35">
        <v>1623</v>
      </c>
      <c r="AJ264" t="s" s="35">
        <v>1602</v>
      </c>
      <c r="AK264" s="39"/>
      <c r="AL264" s="39"/>
      <c r="AM264" s="39"/>
      <c r="AN264" s="39"/>
      <c r="AO264" s="39"/>
      <c r="AP264" s="39"/>
      <c r="AQ264" s="39"/>
      <c r="AR264" s="39"/>
      <c r="AS264" s="39"/>
      <c r="AT264" s="39"/>
      <c r="AU264" s="39"/>
      <c r="AV264" s="39"/>
      <c r="AW264" t="str" s="39" cm="1">
        <f t="array" ref="AW264">AF264&amp;"; "&amp;AG264&amp;"; "&amp;AH264&amp;"; "&amp;AI264&amp;"; "&amp;AJ264</f>
        <v>E1; D1; E2; D4; E1</v>
      </c>
    </row>
    <row r="265" ht="13.65" customHeight="1">
      <c r="A265" t="s" s="35">
        <v>3073</v>
      </c>
      <c r="B265" s="36">
        <v>5</v>
      </c>
      <c r="C265" t="s" s="35">
        <v>1823</v>
      </c>
      <c r="D265" t="s" s="35">
        <v>2825</v>
      </c>
      <c r="E265" t="s" s="35">
        <v>3066</v>
      </c>
      <c r="F265" s="36">
        <v>4</v>
      </c>
      <c r="G265" t="s" s="35">
        <v>458</v>
      </c>
      <c r="H265" t="s" s="35">
        <v>3067</v>
      </c>
      <c r="I265" t="s" s="120">
        <v>3074</v>
      </c>
      <c r="J265" t="s" s="35">
        <v>1164</v>
      </c>
      <c r="K265" t="s" s="35">
        <v>524</v>
      </c>
      <c r="L265" s="39"/>
      <c r="M265" t="str" s="39">
        <v>Ciencias de la Tierra</v>
      </c>
      <c r="N265" t="str" s="39">
        <v>Rasgos, procesos e historia de la Tierra</v>
      </c>
      <c r="O265" t="str" s="39" cm="1">
        <f t="array" ref="O265">IF(L265="","",_xlfn.IFERROR(INDEX('Datos - Catálogo TIMSS'!$C$5:$C$107,MATCH(L265,'Datos - Catálogo TIMSS'!$A$5:$A$107,0)),"?"))</f>
      </c>
      <c r="P265" t="s" s="35">
        <v>254</v>
      </c>
      <c r="Q265" t="s" s="120">
        <v>3075</v>
      </c>
      <c r="R265" t="s" s="120">
        <v>2131</v>
      </c>
      <c r="S265" s="121" cm="1">
        <f t="array" ref="S265">_xlfn.IFERROR(ISNUMBER(SEARCH("Conocer",$R265))/(ISNUMBER(SEARCH("Conocer",$R265))+ISNUMBER(SEARCH("Aplicar",$R265))+ISNUMBER(SEARCH("Razonar",$R265))),0)</f>
        <v>0</v>
      </c>
      <c r="T265" s="121" cm="1">
        <f t="array" ref="T265">_xlfn.IFERROR(ISNUMBER(SEARCH("Aplicar",$R265))/(ISNUMBER(SEARCH("Conocer",$R265))+ISNUMBER(SEARCH("Aplicar",$R265))+ISNUMBER(SEARCH("Razonar",$R265))),0)</f>
        <v>1</v>
      </c>
      <c r="U265" s="121" cm="1">
        <f t="array" ref="U265">_xlfn.IFERROR(ISNUMBER(SEARCH("Razonar",$R265))/(ISNUMBER(SEARCH("Conocer",$R265))+ISNUMBER(SEARCH("Aplicar",$R265))+ISNUMBER(SEARCH("Razonar",$R265))),0)</f>
        <v>0</v>
      </c>
      <c r="V265" t="s" s="35">
        <v>79</v>
      </c>
      <c r="W265" t="s" s="35">
        <v>115</v>
      </c>
      <c r="X265" s="36" cm="1">
        <f t="array" ref="X265">IF(OR(_xlfn.IFERROR(INDEX('Datos - Catálogo TIMSS'!$I$5:$I$107,MATCH(K265,'Datos - Catálogo TIMSS'!$A$5:$A$107,0)),"No")="Sí",_xlfn.IFERROR(INDEX('Datos - Catálogo TIMSS'!$I$5:$I$107,MATCH(L265,'Datos - Catálogo TIMSS'!$A$5:$A$107,0)),"No")="Sí"),1,0)</f>
        <v>1</v>
      </c>
      <c r="Y265" s="36" cm="1">
        <f t="array" ref="Y265">IF(_xlfn.IFERROR(INDEX('Datos - Catálogo TIMSS'!$J$5:$J$107,MATCH(K265,'Datos - Catálogo TIMSS'!$A$5:$A$107,0)),"No")="Sí",1,0)</f>
        <v>0</v>
      </c>
      <c r="Z265" s="36" cm="1">
        <f t="array" ref="Z265">IF(_xlfn.IFERROR(INDEX('Datos - Catálogo TIMSS'!$J$5:$J$107,MATCH(L265,'Datos - Catálogo TIMSS'!$A$5:$A$107,0)),"No")="Sí",1,0)</f>
        <v>0</v>
      </c>
      <c r="AA265" t="s" s="35">
        <v>3071</v>
      </c>
      <c r="AB265" t="s" s="35">
        <v>3072</v>
      </c>
      <c r="AC265" t="str" s="39">
        <v>Ciencias de la Tierra</v>
      </c>
      <c r="AD265" t="s" s="35">
        <v>1859</v>
      </c>
      <c r="AE265" t="str" s="39" cm="1">
        <f t="array" ref="AE265">IF(AD265="","",IF(LEFT(AD265,1)="1","C1",IF(LEFT(AD265,1)="2","C2",IF(LEFT(AD265,1)="3","C3",""))))</f>
        <v>C1</v>
      </c>
      <c r="AF265" t="s" s="35">
        <v>1602</v>
      </c>
      <c r="AG265" t="s" s="35">
        <v>1612</v>
      </c>
      <c r="AH265" t="s" s="35">
        <v>1609</v>
      </c>
      <c r="AI265" t="s" s="35">
        <v>1609</v>
      </c>
      <c r="AJ265" t="s" s="35">
        <v>1602</v>
      </c>
      <c r="AK265" s="39"/>
      <c r="AL265" s="39"/>
      <c r="AM265" s="39"/>
      <c r="AN265" s="39"/>
      <c r="AO265" s="39"/>
      <c r="AP265" s="39"/>
      <c r="AQ265" s="39"/>
      <c r="AR265" s="39"/>
      <c r="AS265" s="39"/>
      <c r="AT265" s="39"/>
      <c r="AU265" s="39"/>
      <c r="AV265" s="39"/>
      <c r="AW265" t="str" s="39" cm="1">
        <f t="array" ref="AW265">AF265&amp;"; "&amp;AG265&amp;"; "&amp;AH265&amp;"; "&amp;AI265&amp;"; "&amp;AJ265</f>
        <v>E1; E5; E4; E4; E1</v>
      </c>
    </row>
    <row r="266" ht="13.65" customHeight="1">
      <c r="A266" t="s" s="35">
        <v>3076</v>
      </c>
      <c r="B266" s="36">
        <v>5</v>
      </c>
      <c r="C266" t="s" s="35">
        <v>1823</v>
      </c>
      <c r="D266" t="s" s="35">
        <v>2825</v>
      </c>
      <c r="E266" t="s" s="35">
        <v>3066</v>
      </c>
      <c r="F266" s="36">
        <v>5</v>
      </c>
      <c r="G266" t="s" s="35">
        <v>458</v>
      </c>
      <c r="H266" t="s" s="35">
        <v>3067</v>
      </c>
      <c r="I266" t="s" s="120">
        <v>3077</v>
      </c>
      <c r="J266" t="s" s="35">
        <v>1164</v>
      </c>
      <c r="K266" t="s" s="35">
        <v>1186</v>
      </c>
      <c r="L266" t="s" s="35">
        <v>524</v>
      </c>
      <c r="M266" t="str" s="39">
        <v>Biología</v>
      </c>
      <c r="N266" t="str" s="39">
        <v>Diversidad, adaptación y selección natural</v>
      </c>
      <c r="O266" t="str" s="39" cm="1">
        <f t="array" ref="O266">IF(L266="","",_xlfn.IFERROR(INDEX('Datos - Catálogo TIMSS'!$C$5:$C$107,MATCH(L266,'Datos - Catálogo TIMSS'!$A$5:$A$107,0)),"?"))</f>
        <v>Ciencias de la Tierra</v>
      </c>
      <c r="P266" t="s" s="35">
        <v>282</v>
      </c>
      <c r="Q266" t="s" s="120">
        <v>3079</v>
      </c>
      <c r="R266" t="s" s="120">
        <v>2972</v>
      </c>
      <c r="S266" s="121" cm="1">
        <f t="array" ref="S266">_xlfn.IFERROR(ISNUMBER(SEARCH("Conocer",$R266))/(ISNUMBER(SEARCH("Conocer",$R266))+ISNUMBER(SEARCH("Aplicar",$R266))+ISNUMBER(SEARCH("Razonar",$R266))),0)</f>
        <v>0</v>
      </c>
      <c r="T266" s="121" cm="1">
        <f t="array" ref="T266">_xlfn.IFERROR(ISNUMBER(SEARCH("Aplicar",$R266))/(ISNUMBER(SEARCH("Conocer",$R266))+ISNUMBER(SEARCH("Aplicar",$R266))+ISNUMBER(SEARCH("Razonar",$R266))),0)</f>
        <v>0.5</v>
      </c>
      <c r="U266" s="121" cm="1">
        <f t="array" ref="U266">_xlfn.IFERROR(ISNUMBER(SEARCH("Razonar",$R266))/(ISNUMBER(SEARCH("Conocer",$R266))+ISNUMBER(SEARCH("Aplicar",$R266))+ISNUMBER(SEARCH("Razonar",$R266))),0)</f>
        <v>0.5</v>
      </c>
      <c r="V266" t="s" s="35">
        <v>79</v>
      </c>
      <c r="W266" t="s" s="35">
        <v>115</v>
      </c>
      <c r="X266" s="36" cm="1">
        <f t="array" ref="X266">IF(OR(_xlfn.IFERROR(INDEX('Datos - Catálogo TIMSS'!$I$5:$I$107,MATCH(K266,'Datos - Catálogo TIMSS'!$A$5:$A$107,0)),"No")="Sí",_xlfn.IFERROR(INDEX('Datos - Catálogo TIMSS'!$I$5:$I$107,MATCH(L266,'Datos - Catálogo TIMSS'!$A$5:$A$107,0)),"No")="Sí"),1,0)</f>
        <v>1</v>
      </c>
      <c r="Y266" s="36" cm="1">
        <f t="array" ref="Y266">IF(_xlfn.IFERROR(INDEX('Datos - Catálogo TIMSS'!$J$5:$J$107,MATCH(K266,'Datos - Catálogo TIMSS'!$A$5:$A$107,0)),"No")="Sí",1,0)</f>
        <v>0</v>
      </c>
      <c r="Z266" s="36" cm="1">
        <f t="array" ref="Z266">IF(_xlfn.IFERROR(INDEX('Datos - Catálogo TIMSS'!$J$5:$J$107,MATCH(L266,'Datos - Catálogo TIMSS'!$A$5:$A$107,0)),"No")="Sí",1,0)</f>
        <v>0</v>
      </c>
      <c r="AA266" t="s" s="35">
        <v>3071</v>
      </c>
      <c r="AB266" t="s" s="35">
        <v>3072</v>
      </c>
      <c r="AC266" t="str" s="39">
        <v>Ciencias de la Tierra</v>
      </c>
      <c r="AD266" t="s" s="35">
        <v>1859</v>
      </c>
      <c r="AE266" t="str" s="39" cm="1">
        <f t="array" ref="AE266">IF(AD266="","",IF(LEFT(AD266,1)="1","C1",IF(LEFT(AD266,1)="2","C2",IF(LEFT(AD266,1)="3","C3",""))))</f>
        <v>C1</v>
      </c>
      <c r="AF266" t="s" s="35">
        <v>1602</v>
      </c>
      <c r="AG266" t="s" s="35">
        <v>1617</v>
      </c>
      <c r="AH266" t="s" s="35">
        <v>1609</v>
      </c>
      <c r="AI266" t="s" s="35">
        <v>1623</v>
      </c>
      <c r="AJ266" t="s" s="35">
        <v>1602</v>
      </c>
      <c r="AK266" s="39"/>
      <c r="AL266" s="39"/>
      <c r="AM266" s="39"/>
      <c r="AN266" s="39"/>
      <c r="AO266" s="39"/>
      <c r="AP266" s="39"/>
      <c r="AQ266" s="39"/>
      <c r="AR266" s="39"/>
      <c r="AS266" s="39"/>
      <c r="AT266" s="39"/>
      <c r="AU266" s="39"/>
      <c r="AV266" s="39"/>
      <c r="AW266" t="str" s="39" cm="1">
        <f t="array" ref="AW266">AF266&amp;"; "&amp;AG266&amp;"; "&amp;AH266&amp;"; "&amp;AI266&amp;"; "&amp;AJ266</f>
        <v>E1; D1; E4; D4; E1</v>
      </c>
    </row>
    <row r="267" ht="13.65" customHeight="1">
      <c r="A267" t="s" s="35">
        <v>3080</v>
      </c>
      <c r="B267" s="36">
        <v>5</v>
      </c>
      <c r="C267" t="s" s="35">
        <v>1823</v>
      </c>
      <c r="D267" t="s" s="35">
        <v>2825</v>
      </c>
      <c r="E267" t="s" s="35">
        <v>3066</v>
      </c>
      <c r="F267" s="36">
        <v>6</v>
      </c>
      <c r="G267" t="s" s="35">
        <v>458</v>
      </c>
      <c r="H267" t="s" s="35">
        <v>3067</v>
      </c>
      <c r="I267" t="s" s="120">
        <v>3081</v>
      </c>
      <c r="J267" t="s" s="35">
        <v>1164</v>
      </c>
      <c r="K267" t="s" s="35">
        <v>524</v>
      </c>
      <c r="L267" s="39"/>
      <c r="M267" t="str" s="39">
        <v>Ciencias de la Tierra</v>
      </c>
      <c r="N267" t="str" s="39">
        <v>Rasgos, procesos e historia de la Tierra</v>
      </c>
      <c r="O267" t="str" s="39" cm="1">
        <f t="array" ref="O267">IF(L267="","",_xlfn.IFERROR(INDEX('Datos - Catálogo TIMSS'!$C$5:$C$107,MATCH(L267,'Datos - Catálogo TIMSS'!$A$5:$A$107,0)),"?"))</f>
      </c>
      <c r="P267" t="s" s="35">
        <v>282</v>
      </c>
      <c r="Q267" t="s" s="120">
        <v>3082</v>
      </c>
      <c r="R267" t="s" s="120">
        <v>3083</v>
      </c>
      <c r="S267" s="121" cm="1">
        <f t="array" ref="S267">_xlfn.IFERROR(ISNUMBER(SEARCH("Conocer",$R267))/(ISNUMBER(SEARCH("Conocer",$R267))+ISNUMBER(SEARCH("Aplicar",$R267))+ISNUMBER(SEARCH("Razonar",$R267))),0)</f>
        <v>0.5</v>
      </c>
      <c r="T267" s="121" cm="1">
        <f t="array" ref="T267">_xlfn.IFERROR(ISNUMBER(SEARCH("Aplicar",$R267))/(ISNUMBER(SEARCH("Conocer",$R267))+ISNUMBER(SEARCH("Aplicar",$R267))+ISNUMBER(SEARCH("Razonar",$R267))),0)</f>
        <v>0</v>
      </c>
      <c r="U267" s="121" cm="1">
        <f t="array" ref="U267">_xlfn.IFERROR(ISNUMBER(SEARCH("Razonar",$R267))/(ISNUMBER(SEARCH("Conocer",$R267))+ISNUMBER(SEARCH("Aplicar",$R267))+ISNUMBER(SEARCH("Razonar",$R267))),0)</f>
        <v>0.5</v>
      </c>
      <c r="V267" t="s" s="35">
        <v>79</v>
      </c>
      <c r="W267" t="s" s="35">
        <v>115</v>
      </c>
      <c r="X267" s="36" cm="1">
        <f t="array" ref="X267">IF(OR(_xlfn.IFERROR(INDEX('Datos - Catálogo TIMSS'!$I$5:$I$107,MATCH(K267,'Datos - Catálogo TIMSS'!$A$5:$A$107,0)),"No")="Sí",_xlfn.IFERROR(INDEX('Datos - Catálogo TIMSS'!$I$5:$I$107,MATCH(L267,'Datos - Catálogo TIMSS'!$A$5:$A$107,0)),"No")="Sí"),1,0)</f>
        <v>1</v>
      </c>
      <c r="Y267" s="36" cm="1">
        <f t="array" ref="Y267">IF(_xlfn.IFERROR(INDEX('Datos - Catálogo TIMSS'!$J$5:$J$107,MATCH(K267,'Datos - Catálogo TIMSS'!$A$5:$A$107,0)),"No")="Sí",1,0)</f>
        <v>0</v>
      </c>
      <c r="Z267" s="36" cm="1">
        <f t="array" ref="Z267">IF(_xlfn.IFERROR(INDEX('Datos - Catálogo TIMSS'!$J$5:$J$107,MATCH(L267,'Datos - Catálogo TIMSS'!$A$5:$A$107,0)),"No")="Sí",1,0)</f>
        <v>0</v>
      </c>
      <c r="AA267" t="s" s="35">
        <v>3071</v>
      </c>
      <c r="AB267" t="s" s="35">
        <v>3072</v>
      </c>
      <c r="AC267" t="str" s="39">
        <v>Ciencias de la Tierra</v>
      </c>
      <c r="AD267" t="s" s="35">
        <v>1900</v>
      </c>
      <c r="AE267" t="str" s="39" cm="1">
        <f t="array" ref="AE267">IF(AD267="","",IF(LEFT(AD267,1)="1","C1",IF(LEFT(AD267,1)="2","C2",IF(LEFT(AD267,1)="3","C3",""))))</f>
        <v>C3</v>
      </c>
      <c r="AF267" t="s" s="35">
        <v>1615</v>
      </c>
      <c r="AG267" t="s" s="35">
        <v>1617</v>
      </c>
      <c r="AH267" t="s" s="35">
        <v>1602</v>
      </c>
      <c r="AI267" t="s" s="35">
        <v>1625</v>
      </c>
      <c r="AJ267" t="s" s="35">
        <v>1615</v>
      </c>
      <c r="AK267" s="39"/>
      <c r="AL267" s="39"/>
      <c r="AM267" s="39"/>
      <c r="AN267" s="39"/>
      <c r="AO267" s="39"/>
      <c r="AP267" s="39"/>
      <c r="AQ267" s="39"/>
      <c r="AR267" s="39"/>
      <c r="AS267" s="39"/>
      <c r="AT267" s="39"/>
      <c r="AU267" s="39"/>
      <c r="AV267" s="39"/>
      <c r="AW267" t="str" s="39" cm="1">
        <f t="array" ref="AW267">AF267&amp;"; "&amp;AG267&amp;"; "&amp;AH267&amp;"; "&amp;AI267&amp;"; "&amp;AJ267</f>
        <v>E6; D1; E1; I1; E6</v>
      </c>
    </row>
    <row r="268" ht="13.65" customHeight="1">
      <c r="A268" t="s" s="35">
        <v>3084</v>
      </c>
      <c r="B268" s="36">
        <v>5</v>
      </c>
      <c r="C268" t="s" s="35">
        <v>1823</v>
      </c>
      <c r="D268" t="s" s="35">
        <v>2825</v>
      </c>
      <c r="E268" t="s" s="35">
        <v>3066</v>
      </c>
      <c r="F268" s="36">
        <v>7</v>
      </c>
      <c r="G268" t="s" s="35">
        <v>458</v>
      </c>
      <c r="H268" t="s" s="35">
        <v>3067</v>
      </c>
      <c r="I268" t="s" s="120">
        <v>3085</v>
      </c>
      <c r="J268" t="s" s="35">
        <v>1164</v>
      </c>
      <c r="K268" t="s" s="35">
        <v>1186</v>
      </c>
      <c r="L268" t="s" s="35">
        <v>1181</v>
      </c>
      <c r="M268" t="str" s="39">
        <v>Biología</v>
      </c>
      <c r="N268" t="str" s="39">
        <v>Diversidad, adaptación y selección natural</v>
      </c>
      <c r="O268" t="str" s="39" cm="1">
        <f t="array" ref="O268">IF(L268="","",_xlfn.IFERROR(INDEX('Datos - Catálogo TIMSS'!$C$5:$C$107,MATCH(L268,'Datos - Catálogo TIMSS'!$A$5:$A$107,0)),"?"))</f>
        <v>Biología</v>
      </c>
      <c r="P268" t="s" s="35">
        <v>282</v>
      </c>
      <c r="Q268" t="s" s="120">
        <v>3086</v>
      </c>
      <c r="R268" t="s" s="120">
        <v>2662</v>
      </c>
      <c r="S268" s="121" cm="1">
        <f t="array" ref="S268">_xlfn.IFERROR(ISNUMBER(SEARCH("Conocer",$R268))/(ISNUMBER(SEARCH("Conocer",$R268))+ISNUMBER(SEARCH("Aplicar",$R268))+ISNUMBER(SEARCH("Razonar",$R268))),0)</f>
        <v>0</v>
      </c>
      <c r="T268" s="121" cm="1">
        <f t="array" ref="T268">_xlfn.IFERROR(ISNUMBER(SEARCH("Aplicar",$R268))/(ISNUMBER(SEARCH("Conocer",$R268))+ISNUMBER(SEARCH("Aplicar",$R268))+ISNUMBER(SEARCH("Razonar",$R268))),0)</f>
        <v>1</v>
      </c>
      <c r="U268" s="121" cm="1">
        <f t="array" ref="U268">_xlfn.IFERROR(ISNUMBER(SEARCH("Razonar",$R268))/(ISNUMBER(SEARCH("Conocer",$R268))+ISNUMBER(SEARCH("Aplicar",$R268))+ISNUMBER(SEARCH("Razonar",$R268))),0)</f>
        <v>0</v>
      </c>
      <c r="V268" t="s" s="35">
        <v>79</v>
      </c>
      <c r="W268" t="s" s="35">
        <v>115</v>
      </c>
      <c r="X268" s="36" cm="1">
        <f t="array" ref="X268">IF(OR(_xlfn.IFERROR(INDEX('Datos - Catálogo TIMSS'!$I$5:$I$107,MATCH(K268,'Datos - Catálogo TIMSS'!$A$5:$A$107,0)),"No")="Sí",_xlfn.IFERROR(INDEX('Datos - Catálogo TIMSS'!$I$5:$I$107,MATCH(L268,'Datos - Catálogo TIMSS'!$A$5:$A$107,0)),"No")="Sí"),1,0)</f>
        <v>0</v>
      </c>
      <c r="Y268" s="36" cm="1">
        <f t="array" ref="Y268">IF(_xlfn.IFERROR(INDEX('Datos - Catálogo TIMSS'!$J$5:$J$107,MATCH(K268,'Datos - Catálogo TIMSS'!$A$5:$A$107,0)),"No")="Sí",1,0)</f>
        <v>0</v>
      </c>
      <c r="Z268" s="36" cm="1">
        <f t="array" ref="Z268">IF(_xlfn.IFERROR(INDEX('Datos - Catálogo TIMSS'!$J$5:$J$107,MATCH(L268,'Datos - Catálogo TIMSS'!$A$5:$A$107,0)),"No")="Sí",1,0)</f>
        <v>0</v>
      </c>
      <c r="AA268" t="s" s="35">
        <v>3087</v>
      </c>
      <c r="AB268" t="s" s="35">
        <v>3072</v>
      </c>
      <c r="AC268" t="str" s="39">
        <v>Biología</v>
      </c>
      <c r="AD268" t="s" s="35">
        <v>1834</v>
      </c>
      <c r="AE268" t="str" s="39" cm="1">
        <f t="array" ref="AE268">IF(AD268="","",IF(LEFT(AD268,1)="1","C1",IF(LEFT(AD268,1)="2","C2",IF(LEFT(AD268,1)="3","C3",""))))</f>
        <v>C2</v>
      </c>
      <c r="AF268" t="s" s="35">
        <v>1602</v>
      </c>
      <c r="AG268" t="s" s="35">
        <v>1617</v>
      </c>
      <c r="AH268" t="s" s="35">
        <v>1605</v>
      </c>
      <c r="AI268" t="s" s="35">
        <v>1623</v>
      </c>
      <c r="AJ268" t="s" s="35">
        <v>1615</v>
      </c>
      <c r="AK268" s="39"/>
      <c r="AL268" s="39"/>
      <c r="AM268" s="39"/>
      <c r="AN268" s="39"/>
      <c r="AO268" s="39"/>
      <c r="AP268" s="39"/>
      <c r="AQ268" s="39"/>
      <c r="AR268" s="39"/>
      <c r="AS268" s="39"/>
      <c r="AT268" s="39"/>
      <c r="AU268" s="39"/>
      <c r="AV268" s="39"/>
      <c r="AW268" t="str" s="39" cm="1">
        <f t="array" ref="AW268">AF268&amp;"; "&amp;AG268&amp;"; "&amp;AH268&amp;"; "&amp;AI268&amp;"; "&amp;AJ268</f>
        <v>E1; D1; E2; D4; E6</v>
      </c>
    </row>
    <row r="269" ht="13.65" customHeight="1">
      <c r="A269" t="s" s="35">
        <v>3088</v>
      </c>
      <c r="B269" s="36">
        <v>5</v>
      </c>
      <c r="C269" t="s" s="35">
        <v>1823</v>
      </c>
      <c r="D269" t="s" s="35">
        <v>2825</v>
      </c>
      <c r="E269" t="s" s="35">
        <v>3066</v>
      </c>
      <c r="F269" s="36">
        <v>8</v>
      </c>
      <c r="G269" t="s" s="35">
        <v>458</v>
      </c>
      <c r="H269" t="s" s="35">
        <v>3089</v>
      </c>
      <c r="I269" t="s" s="120">
        <v>3090</v>
      </c>
      <c r="J269" t="s" s="35">
        <v>1164</v>
      </c>
      <c r="K269" t="s" s="35">
        <v>524</v>
      </c>
      <c r="L269" s="39"/>
      <c r="M269" t="str" s="39">
        <v>Ciencias de la Tierra</v>
      </c>
      <c r="N269" t="str" s="39">
        <v>Rasgos, procesos e historia de la Tierra</v>
      </c>
      <c r="O269" t="str" s="39" cm="1">
        <f t="array" ref="O269">IF(L269="","",_xlfn.IFERROR(INDEX('Datos - Catálogo TIMSS'!$C$5:$C$107,MATCH(L269,'Datos - Catálogo TIMSS'!$A$5:$A$107,0)),"?"))</f>
      </c>
      <c r="P269" t="s" s="35">
        <v>254</v>
      </c>
      <c r="Q269" t="s" s="120">
        <v>3091</v>
      </c>
      <c r="R269" t="s" s="120">
        <v>2131</v>
      </c>
      <c r="S269" s="121" cm="1">
        <f t="array" ref="S269">_xlfn.IFERROR(ISNUMBER(SEARCH("Conocer",$R269))/(ISNUMBER(SEARCH("Conocer",$R269))+ISNUMBER(SEARCH("Aplicar",$R269))+ISNUMBER(SEARCH("Razonar",$R269))),0)</f>
        <v>0</v>
      </c>
      <c r="T269" s="121" cm="1">
        <f t="array" ref="T269">_xlfn.IFERROR(ISNUMBER(SEARCH("Aplicar",$R269))/(ISNUMBER(SEARCH("Conocer",$R269))+ISNUMBER(SEARCH("Aplicar",$R269))+ISNUMBER(SEARCH("Razonar",$R269))),0)</f>
        <v>1</v>
      </c>
      <c r="U269" s="121" cm="1">
        <f t="array" ref="U269">_xlfn.IFERROR(ISNUMBER(SEARCH("Razonar",$R269))/(ISNUMBER(SEARCH("Conocer",$R269))+ISNUMBER(SEARCH("Aplicar",$R269))+ISNUMBER(SEARCH("Razonar",$R269))),0)</f>
        <v>0</v>
      </c>
      <c r="V269" t="s" s="35">
        <v>79</v>
      </c>
      <c r="W269" t="s" s="35">
        <v>115</v>
      </c>
      <c r="X269" s="36" cm="1">
        <f t="array" ref="X269">IF(OR(_xlfn.IFERROR(INDEX('Datos - Catálogo TIMSS'!$I$5:$I$107,MATCH(K269,'Datos - Catálogo TIMSS'!$A$5:$A$107,0)),"No")="Sí",_xlfn.IFERROR(INDEX('Datos - Catálogo TIMSS'!$I$5:$I$107,MATCH(L269,'Datos - Catálogo TIMSS'!$A$5:$A$107,0)),"No")="Sí"),1,0)</f>
        <v>1</v>
      </c>
      <c r="Y269" s="36" cm="1">
        <f t="array" ref="Y269">IF(_xlfn.IFERROR(INDEX('Datos - Catálogo TIMSS'!$J$5:$J$107,MATCH(K269,'Datos - Catálogo TIMSS'!$A$5:$A$107,0)),"No")="Sí",1,0)</f>
        <v>0</v>
      </c>
      <c r="Z269" s="36" cm="1">
        <f t="array" ref="Z269">IF(_xlfn.IFERROR(INDEX('Datos - Catálogo TIMSS'!$J$5:$J$107,MATCH(L269,'Datos - Catálogo TIMSS'!$A$5:$A$107,0)),"No")="Sí",1,0)</f>
        <v>0</v>
      </c>
      <c r="AA269" t="s" s="35">
        <v>3071</v>
      </c>
      <c r="AB269" t="s" s="35">
        <v>3059</v>
      </c>
      <c r="AC269" t="str" s="39">
        <v>Ciencias de la Tierra</v>
      </c>
      <c r="AD269" t="s" s="35">
        <v>1859</v>
      </c>
      <c r="AE269" t="str" s="39" cm="1">
        <f t="array" ref="AE269">IF(AD269="","",IF(LEFT(AD269,1)="1","C1",IF(LEFT(AD269,1)="2","C2",IF(LEFT(AD269,1)="3","C3",""))))</f>
        <v>C1</v>
      </c>
      <c r="AF269" t="s" s="35">
        <v>1602</v>
      </c>
      <c r="AG269" t="s" s="35">
        <v>1612</v>
      </c>
      <c r="AH269" t="s" s="35">
        <v>1609</v>
      </c>
      <c r="AI269" t="s" s="35">
        <v>1609</v>
      </c>
      <c r="AJ269" t="s" s="35">
        <v>1602</v>
      </c>
      <c r="AK269" s="39"/>
      <c r="AL269" s="39"/>
      <c r="AM269" s="39"/>
      <c r="AN269" s="39"/>
      <c r="AO269" s="39"/>
      <c r="AP269" s="39"/>
      <c r="AQ269" s="39"/>
      <c r="AR269" s="39"/>
      <c r="AS269" s="39"/>
      <c r="AT269" s="39"/>
      <c r="AU269" s="39"/>
      <c r="AV269" s="39"/>
      <c r="AW269" t="str" s="39" cm="1">
        <f t="array" ref="AW269">AF269&amp;"; "&amp;AG269&amp;"; "&amp;AH269&amp;"; "&amp;AI269&amp;"; "&amp;AJ269</f>
        <v>E1; E5; E4; E4; E1</v>
      </c>
    </row>
    <row r="270" ht="13.65" customHeight="1">
      <c r="A270" t="s" s="35">
        <v>3092</v>
      </c>
      <c r="B270" s="36">
        <v>5</v>
      </c>
      <c r="C270" t="s" s="35">
        <v>1823</v>
      </c>
      <c r="D270" t="s" s="35">
        <v>2825</v>
      </c>
      <c r="E270" t="s" s="35">
        <v>3066</v>
      </c>
      <c r="F270" s="36">
        <v>9</v>
      </c>
      <c r="G270" t="s" s="35">
        <v>458</v>
      </c>
      <c r="H270" t="s" s="35">
        <v>3089</v>
      </c>
      <c r="I270" t="s" s="120">
        <v>3093</v>
      </c>
      <c r="J270" t="s" s="35">
        <v>1164</v>
      </c>
      <c r="K270" t="s" s="35">
        <v>524</v>
      </c>
      <c r="L270" s="39"/>
      <c r="M270" t="str" s="39">
        <v>Ciencias de la Tierra</v>
      </c>
      <c r="N270" t="str" s="39">
        <v>Rasgos, procesos e historia de la Tierra</v>
      </c>
      <c r="O270" t="str" s="39" cm="1">
        <f t="array" ref="O270">IF(L270="","",_xlfn.IFERROR(INDEX('Datos - Catálogo TIMSS'!$C$5:$C$107,MATCH(L270,'Datos - Catálogo TIMSS'!$A$5:$A$107,0)),"?"))</f>
      </c>
      <c r="P270" t="s" s="35">
        <v>254</v>
      </c>
      <c r="Q270" t="s" s="120">
        <v>3094</v>
      </c>
      <c r="R270" t="s" s="120">
        <v>3095</v>
      </c>
      <c r="S270" s="121" cm="1">
        <f t="array" ref="S270">_xlfn.IFERROR(ISNUMBER(SEARCH("Conocer",$R270))/(ISNUMBER(SEARCH("Conocer",$R270))+ISNUMBER(SEARCH("Aplicar",$R270))+ISNUMBER(SEARCH("Razonar",$R270))),0)</f>
        <v>0</v>
      </c>
      <c r="T270" s="121" cm="1">
        <f t="array" ref="T270">_xlfn.IFERROR(ISNUMBER(SEARCH("Aplicar",$R270))/(ISNUMBER(SEARCH("Conocer",$R270))+ISNUMBER(SEARCH("Aplicar",$R270))+ISNUMBER(SEARCH("Razonar",$R270))),0)</f>
        <v>1</v>
      </c>
      <c r="U270" s="121" cm="1">
        <f t="array" ref="U270">_xlfn.IFERROR(ISNUMBER(SEARCH("Razonar",$R270))/(ISNUMBER(SEARCH("Conocer",$R270))+ISNUMBER(SEARCH("Aplicar",$R270))+ISNUMBER(SEARCH("Razonar",$R270))),0)</f>
        <v>0</v>
      </c>
      <c r="V270" t="s" s="35">
        <v>79</v>
      </c>
      <c r="W270" t="s" s="35">
        <v>115</v>
      </c>
      <c r="X270" s="36" cm="1">
        <f t="array" ref="X270">IF(OR(_xlfn.IFERROR(INDEX('Datos - Catálogo TIMSS'!$I$5:$I$107,MATCH(K270,'Datos - Catálogo TIMSS'!$A$5:$A$107,0)),"No")="Sí",_xlfn.IFERROR(INDEX('Datos - Catálogo TIMSS'!$I$5:$I$107,MATCH(L270,'Datos - Catálogo TIMSS'!$A$5:$A$107,0)),"No")="Sí"),1,0)</f>
        <v>1</v>
      </c>
      <c r="Y270" s="36" cm="1">
        <f t="array" ref="Y270">IF(_xlfn.IFERROR(INDEX('Datos - Catálogo TIMSS'!$J$5:$J$107,MATCH(K270,'Datos - Catálogo TIMSS'!$A$5:$A$107,0)),"No")="Sí",1,0)</f>
        <v>0</v>
      </c>
      <c r="Z270" s="36" cm="1">
        <f t="array" ref="Z270">IF(_xlfn.IFERROR(INDEX('Datos - Catálogo TIMSS'!$J$5:$J$107,MATCH(L270,'Datos - Catálogo TIMSS'!$A$5:$A$107,0)),"No")="Sí",1,0)</f>
        <v>0</v>
      </c>
      <c r="AA270" t="s" s="35">
        <v>3071</v>
      </c>
      <c r="AB270" t="s" s="35">
        <v>3059</v>
      </c>
      <c r="AC270" t="str" s="39">
        <v>Ciencias de la Tierra</v>
      </c>
      <c r="AD270" t="s" s="35">
        <v>1834</v>
      </c>
      <c r="AE270" t="str" s="39" cm="1">
        <f t="array" ref="AE270">IF(AD270="","",IF(LEFT(AD270,1)="1","C1",IF(LEFT(AD270,1)="2","C2",IF(LEFT(AD270,1)="3","C3",""))))</f>
        <v>C2</v>
      </c>
      <c r="AF270" t="s" s="35">
        <v>1602</v>
      </c>
      <c r="AG270" t="s" s="35">
        <v>1617</v>
      </c>
      <c r="AH270" t="s" s="35">
        <v>1605</v>
      </c>
      <c r="AI270" t="s" s="35">
        <v>1623</v>
      </c>
      <c r="AJ270" t="s" s="35">
        <v>1615</v>
      </c>
      <c r="AK270" s="39"/>
      <c r="AL270" s="39"/>
      <c r="AM270" s="39"/>
      <c r="AN270" s="39"/>
      <c r="AO270" s="39"/>
      <c r="AP270" s="39"/>
      <c r="AQ270" s="39"/>
      <c r="AR270" s="39"/>
      <c r="AS270" s="39"/>
      <c r="AT270" s="39"/>
      <c r="AU270" s="39"/>
      <c r="AV270" s="39"/>
      <c r="AW270" t="str" s="39" cm="1">
        <f t="array" ref="AW270">AF270&amp;"; "&amp;AG270&amp;"; "&amp;AH270&amp;"; "&amp;AI270&amp;"; "&amp;AJ270</f>
        <v>E1; D1; E2; D4; E6</v>
      </c>
    </row>
    <row r="271" ht="13.65" customHeight="1">
      <c r="A271" t="s" s="35">
        <v>3096</v>
      </c>
      <c r="B271" s="36">
        <v>5</v>
      </c>
      <c r="C271" t="s" s="35">
        <v>1823</v>
      </c>
      <c r="D271" t="s" s="35">
        <v>2825</v>
      </c>
      <c r="E271" t="s" s="35">
        <v>3066</v>
      </c>
      <c r="F271" s="36">
        <v>10</v>
      </c>
      <c r="G271" t="s" s="35">
        <v>458</v>
      </c>
      <c r="H271" t="s" s="35">
        <v>3097</v>
      </c>
      <c r="I271" t="s" s="120">
        <v>3098</v>
      </c>
      <c r="J271" t="s" s="35">
        <v>1164</v>
      </c>
      <c r="K271" t="s" s="35">
        <v>524</v>
      </c>
      <c r="L271" s="39"/>
      <c r="M271" t="str" s="39">
        <v>Ciencias de la Tierra</v>
      </c>
      <c r="N271" t="str" s="39">
        <v>Rasgos, procesos e historia de la Tierra</v>
      </c>
      <c r="O271" t="str" s="39" cm="1">
        <f t="array" ref="O271">IF(L271="","",_xlfn.IFERROR(INDEX('Datos - Catálogo TIMSS'!$C$5:$C$107,MATCH(L271,'Datos - Catálogo TIMSS'!$A$5:$A$107,0)),"?"))</f>
      </c>
      <c r="P271" t="s" s="35">
        <v>254</v>
      </c>
      <c r="Q271" t="s" s="120">
        <v>3099</v>
      </c>
      <c r="R271" t="s" s="120">
        <v>3100</v>
      </c>
      <c r="S271" s="121" cm="1">
        <f t="array" ref="S271">_xlfn.IFERROR(ISNUMBER(SEARCH("Conocer",$R271))/(ISNUMBER(SEARCH("Conocer",$R271))+ISNUMBER(SEARCH("Aplicar",$R271))+ISNUMBER(SEARCH("Razonar",$R271))),0)</f>
        <v>0</v>
      </c>
      <c r="T271" s="121" cm="1">
        <f t="array" ref="T271">_xlfn.IFERROR(ISNUMBER(SEARCH("Aplicar",$R271))/(ISNUMBER(SEARCH("Conocer",$R271))+ISNUMBER(SEARCH("Aplicar",$R271))+ISNUMBER(SEARCH("Razonar",$R271))),0)</f>
        <v>1</v>
      </c>
      <c r="U271" s="121" cm="1">
        <f t="array" ref="U271">_xlfn.IFERROR(ISNUMBER(SEARCH("Razonar",$R271))/(ISNUMBER(SEARCH("Conocer",$R271))+ISNUMBER(SEARCH("Aplicar",$R271))+ISNUMBER(SEARCH("Razonar",$R271))),0)</f>
        <v>0</v>
      </c>
      <c r="V271" t="s" s="35">
        <v>79</v>
      </c>
      <c r="W271" t="s" s="35">
        <v>115</v>
      </c>
      <c r="X271" s="36" cm="1">
        <f t="array" ref="X271">IF(OR(_xlfn.IFERROR(INDEX('Datos - Catálogo TIMSS'!$I$5:$I$107,MATCH(K271,'Datos - Catálogo TIMSS'!$A$5:$A$107,0)),"No")="Sí",_xlfn.IFERROR(INDEX('Datos - Catálogo TIMSS'!$I$5:$I$107,MATCH(L271,'Datos - Catálogo TIMSS'!$A$5:$A$107,0)),"No")="Sí"),1,0)</f>
        <v>1</v>
      </c>
      <c r="Y271" s="36" cm="1">
        <f t="array" ref="Y271">IF(_xlfn.IFERROR(INDEX('Datos - Catálogo TIMSS'!$J$5:$J$107,MATCH(K271,'Datos - Catálogo TIMSS'!$A$5:$A$107,0)),"No")="Sí",1,0)</f>
        <v>0</v>
      </c>
      <c r="Z271" s="36" cm="1">
        <f t="array" ref="Z271">IF(_xlfn.IFERROR(INDEX('Datos - Catálogo TIMSS'!$J$5:$J$107,MATCH(L271,'Datos - Catálogo TIMSS'!$A$5:$A$107,0)),"No")="Sí",1,0)</f>
        <v>0</v>
      </c>
      <c r="AA271" t="s" s="35">
        <v>3071</v>
      </c>
      <c r="AB271" s="39"/>
      <c r="AC271" t="str" s="39">
        <v>Ciencias de la Tierra</v>
      </c>
      <c r="AD271" t="s" s="35">
        <v>1834</v>
      </c>
      <c r="AE271" t="str" s="39" cm="1">
        <f t="array" ref="AE271">IF(AD271="","",IF(LEFT(AD271,1)="1","C1",IF(LEFT(AD271,1)="2","C2",IF(LEFT(AD271,1)="3","C3",""))))</f>
        <v>C2</v>
      </c>
      <c r="AF271" t="s" s="35">
        <v>1602</v>
      </c>
      <c r="AG271" t="s" s="35">
        <v>1617</v>
      </c>
      <c r="AH271" t="s" s="35">
        <v>1602</v>
      </c>
      <c r="AI271" t="s" s="35">
        <v>1623</v>
      </c>
      <c r="AJ271" t="s" s="35">
        <v>1602</v>
      </c>
      <c r="AK271" s="39"/>
      <c r="AL271" s="39"/>
      <c r="AM271" s="39"/>
      <c r="AN271" s="39"/>
      <c r="AO271" s="39"/>
      <c r="AP271" s="39"/>
      <c r="AQ271" s="39"/>
      <c r="AR271" s="39"/>
      <c r="AS271" s="39"/>
      <c r="AT271" s="39"/>
      <c r="AU271" s="39"/>
      <c r="AV271" s="39"/>
      <c r="AW271" t="str" s="39" cm="1">
        <f t="array" ref="AW271">AF271&amp;"; "&amp;AG271&amp;"; "&amp;AH271&amp;"; "&amp;AI271&amp;"; "&amp;AJ271</f>
        <v>E1; D1; E1; D4; E1</v>
      </c>
    </row>
    <row r="272" ht="13.65" customHeight="1">
      <c r="A272" t="s" s="35">
        <v>3101</v>
      </c>
      <c r="B272" s="36">
        <v>5</v>
      </c>
      <c r="C272" t="s" s="35">
        <v>1823</v>
      </c>
      <c r="D272" t="s" s="35">
        <v>2825</v>
      </c>
      <c r="E272" t="s" s="35">
        <v>3066</v>
      </c>
      <c r="F272" s="36">
        <v>11</v>
      </c>
      <c r="G272" t="s" s="35">
        <v>458</v>
      </c>
      <c r="H272" t="s" s="35">
        <v>3097</v>
      </c>
      <c r="I272" t="s" s="120">
        <v>3102</v>
      </c>
      <c r="J272" t="s" s="35">
        <v>1164</v>
      </c>
      <c r="K272" t="s" s="35">
        <v>524</v>
      </c>
      <c r="L272" s="39"/>
      <c r="M272" t="str" s="39">
        <v>Ciencias de la Tierra</v>
      </c>
      <c r="N272" t="str" s="39">
        <v>Rasgos, procesos e historia de la Tierra</v>
      </c>
      <c r="O272" t="str" s="39" cm="1">
        <f t="array" ref="O272">IF(L272="","",_xlfn.IFERROR(INDEX('Datos - Catálogo TIMSS'!$C$5:$C$107,MATCH(L272,'Datos - Catálogo TIMSS'!$A$5:$A$107,0)),"?"))</f>
      </c>
      <c r="P272" t="s" s="35">
        <v>282</v>
      </c>
      <c r="Q272" t="s" s="120">
        <v>3103</v>
      </c>
      <c r="R272" t="s" s="120">
        <v>3104</v>
      </c>
      <c r="S272" s="121" cm="1">
        <f t="array" ref="S272">_xlfn.IFERROR(ISNUMBER(SEARCH("Conocer",$R272))/(ISNUMBER(SEARCH("Conocer",$R272))+ISNUMBER(SEARCH("Aplicar",$R272))+ISNUMBER(SEARCH("Razonar",$R272))),0)</f>
        <v>0</v>
      </c>
      <c r="T272" s="121" cm="1">
        <f t="array" ref="T272">_xlfn.IFERROR(ISNUMBER(SEARCH("Aplicar",$R272))/(ISNUMBER(SEARCH("Conocer",$R272))+ISNUMBER(SEARCH("Aplicar",$R272))+ISNUMBER(SEARCH("Razonar",$R272))),0)</f>
        <v>0.5</v>
      </c>
      <c r="U272" s="121" cm="1">
        <f t="array" ref="U272">_xlfn.IFERROR(ISNUMBER(SEARCH("Razonar",$R272))/(ISNUMBER(SEARCH("Conocer",$R272))+ISNUMBER(SEARCH("Aplicar",$R272))+ISNUMBER(SEARCH("Razonar",$R272))),0)</f>
        <v>0.5</v>
      </c>
      <c r="V272" t="s" s="35">
        <v>79</v>
      </c>
      <c r="W272" t="s" s="35">
        <v>115</v>
      </c>
      <c r="X272" s="36" cm="1">
        <f t="array" ref="X272">IF(OR(_xlfn.IFERROR(INDEX('Datos - Catálogo TIMSS'!$I$5:$I$107,MATCH(K272,'Datos - Catálogo TIMSS'!$A$5:$A$107,0)),"No")="Sí",_xlfn.IFERROR(INDEX('Datos - Catálogo TIMSS'!$I$5:$I$107,MATCH(L272,'Datos - Catálogo TIMSS'!$A$5:$A$107,0)),"No")="Sí"),1,0)</f>
        <v>1</v>
      </c>
      <c r="Y272" s="36" cm="1">
        <f t="array" ref="Y272">IF(_xlfn.IFERROR(INDEX('Datos - Catálogo TIMSS'!$J$5:$J$107,MATCH(K272,'Datos - Catálogo TIMSS'!$A$5:$A$107,0)),"No")="Sí",1,0)</f>
        <v>0</v>
      </c>
      <c r="Z272" s="36" cm="1">
        <f t="array" ref="Z272">IF(_xlfn.IFERROR(INDEX('Datos - Catálogo TIMSS'!$J$5:$J$107,MATCH(L272,'Datos - Catálogo TIMSS'!$A$5:$A$107,0)),"No")="Sí",1,0)</f>
        <v>0</v>
      </c>
      <c r="AA272" t="s" s="35">
        <v>3071</v>
      </c>
      <c r="AB272" s="39"/>
      <c r="AC272" t="str" s="39">
        <v>Ciencias de la Tierra</v>
      </c>
      <c r="AD272" t="s" s="35">
        <v>1834</v>
      </c>
      <c r="AE272" t="str" s="39" cm="1">
        <f t="array" ref="AE272">IF(AD272="","",IF(LEFT(AD272,1)="1","C1",IF(LEFT(AD272,1)="2","C2",IF(LEFT(AD272,1)="3","C3",""))))</f>
        <v>C2</v>
      </c>
      <c r="AF272" t="s" s="35">
        <v>1602</v>
      </c>
      <c r="AG272" t="s" s="35">
        <v>1617</v>
      </c>
      <c r="AH272" t="s" s="35">
        <v>1602</v>
      </c>
      <c r="AI272" t="s" s="35">
        <v>1623</v>
      </c>
      <c r="AJ272" t="s" s="35">
        <v>1631</v>
      </c>
      <c r="AK272" s="39"/>
      <c r="AL272" s="39"/>
      <c r="AM272" s="39"/>
      <c r="AN272" s="39"/>
      <c r="AO272" s="39"/>
      <c r="AP272" s="39"/>
      <c r="AQ272" s="39"/>
      <c r="AR272" s="39"/>
      <c r="AS272" s="39"/>
      <c r="AT272" s="39"/>
      <c r="AU272" s="39"/>
      <c r="AV272" s="39"/>
      <c r="AW272" t="str" s="39" cm="1">
        <f t="array" ref="AW272">AF272&amp;"; "&amp;AG272&amp;"; "&amp;AH272&amp;"; "&amp;AI272&amp;"; "&amp;AJ272</f>
        <v>E1; D1; E1; D4; I4</v>
      </c>
    </row>
    <row r="273" ht="13.65" customHeight="1">
      <c r="A273" t="s" s="35">
        <v>3105</v>
      </c>
      <c r="B273" s="36">
        <v>5</v>
      </c>
      <c r="C273" t="s" s="35">
        <v>1823</v>
      </c>
      <c r="D273" t="s" s="35">
        <v>2825</v>
      </c>
      <c r="E273" t="s" s="35">
        <v>3066</v>
      </c>
      <c r="F273" s="36">
        <v>12</v>
      </c>
      <c r="G273" t="s" s="35">
        <v>458</v>
      </c>
      <c r="H273" t="s" s="35">
        <v>3097</v>
      </c>
      <c r="I273" t="s" s="120">
        <v>3106</v>
      </c>
      <c r="J273" t="s" s="35">
        <v>1164</v>
      </c>
      <c r="K273" t="s" s="35">
        <v>524</v>
      </c>
      <c r="L273" s="39"/>
      <c r="M273" t="str" s="39">
        <v>Ciencias de la Tierra</v>
      </c>
      <c r="N273" t="str" s="39">
        <v>Rasgos, procesos e historia de la Tierra</v>
      </c>
      <c r="O273" t="str" s="39" cm="1">
        <f t="array" ref="O273">IF(L273="","",_xlfn.IFERROR(INDEX('Datos - Catálogo TIMSS'!$C$5:$C$107,MATCH(L273,'Datos - Catálogo TIMSS'!$A$5:$A$107,0)),"?"))</f>
      </c>
      <c r="P273" t="s" s="35">
        <v>282</v>
      </c>
      <c r="Q273" t="s" s="120">
        <v>3107</v>
      </c>
      <c r="R273" t="s" s="120">
        <v>2633</v>
      </c>
      <c r="S273" s="121" cm="1">
        <f t="array" ref="S273">_xlfn.IFERROR(ISNUMBER(SEARCH("Conocer",$R273))/(ISNUMBER(SEARCH("Conocer",$R273))+ISNUMBER(SEARCH("Aplicar",$R273))+ISNUMBER(SEARCH("Razonar",$R273))),0)</f>
        <v>0.5</v>
      </c>
      <c r="T273" s="121" cm="1">
        <f t="array" ref="T273">_xlfn.IFERROR(ISNUMBER(SEARCH("Aplicar",$R273))/(ISNUMBER(SEARCH("Conocer",$R273))+ISNUMBER(SEARCH("Aplicar",$R273))+ISNUMBER(SEARCH("Razonar",$R273))),0)</f>
        <v>0</v>
      </c>
      <c r="U273" s="121" cm="1">
        <f t="array" ref="U273">_xlfn.IFERROR(ISNUMBER(SEARCH("Razonar",$R273))/(ISNUMBER(SEARCH("Conocer",$R273))+ISNUMBER(SEARCH("Aplicar",$R273))+ISNUMBER(SEARCH("Razonar",$R273))),0)</f>
        <v>0.5</v>
      </c>
      <c r="V273" t="s" s="35">
        <v>79</v>
      </c>
      <c r="W273" t="s" s="35">
        <v>115</v>
      </c>
      <c r="X273" s="36" cm="1">
        <f t="array" ref="X273">IF(OR(_xlfn.IFERROR(INDEX('Datos - Catálogo TIMSS'!$I$5:$I$107,MATCH(K273,'Datos - Catálogo TIMSS'!$A$5:$A$107,0)),"No")="Sí",_xlfn.IFERROR(INDEX('Datos - Catálogo TIMSS'!$I$5:$I$107,MATCH(L273,'Datos - Catálogo TIMSS'!$A$5:$A$107,0)),"No")="Sí"),1,0)</f>
        <v>1</v>
      </c>
      <c r="Y273" s="36" cm="1">
        <f t="array" ref="Y273">IF(_xlfn.IFERROR(INDEX('Datos - Catálogo TIMSS'!$J$5:$J$107,MATCH(K273,'Datos - Catálogo TIMSS'!$A$5:$A$107,0)),"No")="Sí",1,0)</f>
        <v>0</v>
      </c>
      <c r="Z273" s="36" cm="1">
        <f t="array" ref="Z273">IF(_xlfn.IFERROR(INDEX('Datos - Catálogo TIMSS'!$J$5:$J$107,MATCH(L273,'Datos - Catálogo TIMSS'!$A$5:$A$107,0)),"No")="Sí",1,0)</f>
        <v>0</v>
      </c>
      <c r="AA273" t="s" s="35">
        <v>3071</v>
      </c>
      <c r="AB273" s="39"/>
      <c r="AC273" t="str" s="39">
        <v>Ciencias de la Tierra</v>
      </c>
      <c r="AD273" t="s" s="35">
        <v>1900</v>
      </c>
      <c r="AE273" t="str" s="39" cm="1">
        <f t="array" ref="AE273">IF(AD273="","",IF(LEFT(AD273,1)="1","C1",IF(LEFT(AD273,1)="2","C2",IF(LEFT(AD273,1)="3","C3",""))))</f>
        <v>C3</v>
      </c>
      <c r="AF273" t="s" s="35">
        <v>1602</v>
      </c>
      <c r="AG273" t="s" s="35">
        <v>1617</v>
      </c>
      <c r="AH273" t="s" s="35">
        <v>1602</v>
      </c>
      <c r="AI273" t="s" s="35">
        <v>1627</v>
      </c>
      <c r="AJ273" t="s" s="35">
        <v>1633</v>
      </c>
      <c r="AK273" s="39"/>
      <c r="AL273" s="39"/>
      <c r="AM273" s="39"/>
      <c r="AN273" s="39"/>
      <c r="AO273" s="39"/>
      <c r="AP273" s="39"/>
      <c r="AQ273" s="39"/>
      <c r="AR273" s="39"/>
      <c r="AS273" s="39"/>
      <c r="AT273" s="39"/>
      <c r="AU273" s="39"/>
      <c r="AV273" s="39"/>
      <c r="AW273" t="str" s="39" cm="1">
        <f t="array" ref="AW273">AF273&amp;"; "&amp;AG273&amp;"; "&amp;AH273&amp;"; "&amp;AI273&amp;"; "&amp;AJ273</f>
        <v>E1; D1; E1; I2; I5</v>
      </c>
    </row>
    <row r="274" ht="13.65" customHeight="1">
      <c r="A274" t="s" s="35">
        <v>3108</v>
      </c>
      <c r="B274" s="36">
        <v>5</v>
      </c>
      <c r="C274" t="s" s="35">
        <v>1823</v>
      </c>
      <c r="D274" t="s" s="35">
        <v>2825</v>
      </c>
      <c r="E274" t="s" s="35">
        <v>3066</v>
      </c>
      <c r="F274" s="36">
        <v>13</v>
      </c>
      <c r="G274" t="s" s="35">
        <v>458</v>
      </c>
      <c r="H274" t="s" s="35">
        <v>3109</v>
      </c>
      <c r="I274" t="s" s="120">
        <v>3110</v>
      </c>
      <c r="J274" t="s" s="35">
        <v>1164</v>
      </c>
      <c r="K274" t="s" s="35">
        <v>524</v>
      </c>
      <c r="L274" s="39"/>
      <c r="M274" t="str" s="39">
        <v>Ciencias de la Tierra</v>
      </c>
      <c r="N274" t="str" s="39">
        <v>Rasgos, procesos e historia de la Tierra</v>
      </c>
      <c r="O274" t="str" s="39" cm="1">
        <f t="array" ref="O274">IF(L274="","",_xlfn.IFERROR(INDEX('Datos - Catálogo TIMSS'!$C$5:$C$107,MATCH(L274,'Datos - Catálogo TIMSS'!$A$5:$A$107,0)),"?"))</f>
      </c>
      <c r="P274" t="s" s="35">
        <v>254</v>
      </c>
      <c r="Q274" t="s" s="120">
        <v>3111</v>
      </c>
      <c r="R274" t="s" s="120">
        <v>1878</v>
      </c>
      <c r="S274" s="121" cm="1">
        <f t="array" ref="S274">_xlfn.IFERROR(ISNUMBER(SEARCH("Conocer",$R274))/(ISNUMBER(SEARCH("Conocer",$R274))+ISNUMBER(SEARCH("Aplicar",$R274))+ISNUMBER(SEARCH("Razonar",$R274))),0)</f>
        <v>0</v>
      </c>
      <c r="T274" s="121" cm="1">
        <f t="array" ref="T274">_xlfn.IFERROR(ISNUMBER(SEARCH("Aplicar",$R274))/(ISNUMBER(SEARCH("Conocer",$R274))+ISNUMBER(SEARCH("Aplicar",$R274))+ISNUMBER(SEARCH("Razonar",$R274))),0)</f>
        <v>1</v>
      </c>
      <c r="U274" s="121" cm="1">
        <f t="array" ref="U274">_xlfn.IFERROR(ISNUMBER(SEARCH("Razonar",$R274))/(ISNUMBER(SEARCH("Conocer",$R274))+ISNUMBER(SEARCH("Aplicar",$R274))+ISNUMBER(SEARCH("Razonar",$R274))),0)</f>
        <v>0</v>
      </c>
      <c r="V274" t="s" s="35">
        <v>79</v>
      </c>
      <c r="W274" t="s" s="35">
        <v>115</v>
      </c>
      <c r="X274" s="36" cm="1">
        <f t="array" ref="X274">IF(OR(_xlfn.IFERROR(INDEX('Datos - Catálogo TIMSS'!$I$5:$I$107,MATCH(K274,'Datos - Catálogo TIMSS'!$A$5:$A$107,0)),"No")="Sí",_xlfn.IFERROR(INDEX('Datos - Catálogo TIMSS'!$I$5:$I$107,MATCH(L274,'Datos - Catálogo TIMSS'!$A$5:$A$107,0)),"No")="Sí"),1,0)</f>
        <v>1</v>
      </c>
      <c r="Y274" s="36" cm="1">
        <f t="array" ref="Y274">IF(_xlfn.IFERROR(INDEX('Datos - Catálogo TIMSS'!$J$5:$J$107,MATCH(K274,'Datos - Catálogo TIMSS'!$A$5:$A$107,0)),"No")="Sí",1,0)</f>
        <v>0</v>
      </c>
      <c r="Z274" s="36" cm="1">
        <f t="array" ref="Z274">IF(_xlfn.IFERROR(INDEX('Datos - Catálogo TIMSS'!$J$5:$J$107,MATCH(L274,'Datos - Catálogo TIMSS'!$A$5:$A$107,0)),"No")="Sí",1,0)</f>
        <v>0</v>
      </c>
      <c r="AA274" t="s" s="35">
        <v>3071</v>
      </c>
      <c r="AB274" s="39"/>
      <c r="AC274" t="str" s="39">
        <v>Ciencias de la Tierra</v>
      </c>
      <c r="AD274" t="s" s="35">
        <v>1859</v>
      </c>
      <c r="AE274" t="str" s="39" cm="1">
        <f t="array" ref="AE274">IF(AD274="","",IF(LEFT(AD274,1)="1","C1",IF(LEFT(AD274,1)="2","C2",IF(LEFT(AD274,1)="3","C3",""))))</f>
        <v>C1</v>
      </c>
      <c r="AF274" t="s" s="35">
        <v>1615</v>
      </c>
      <c r="AG274" t="s" s="35">
        <v>1617</v>
      </c>
      <c r="AH274" t="s" s="35">
        <v>1602</v>
      </c>
      <c r="AI274" t="s" s="35">
        <v>1623</v>
      </c>
      <c r="AJ274" t="s" s="35">
        <v>1615</v>
      </c>
      <c r="AK274" s="39"/>
      <c r="AL274" s="39"/>
      <c r="AM274" s="39"/>
      <c r="AN274" s="39"/>
      <c r="AO274" s="39"/>
      <c r="AP274" s="39"/>
      <c r="AQ274" s="39"/>
      <c r="AR274" s="39"/>
      <c r="AS274" s="39"/>
      <c r="AT274" s="39"/>
      <c r="AU274" s="39"/>
      <c r="AV274" s="39"/>
      <c r="AW274" t="str" s="39" cm="1">
        <f t="array" ref="AW274">AF274&amp;"; "&amp;AG274&amp;"; "&amp;AH274&amp;"; "&amp;AI274&amp;"; "&amp;AJ274</f>
        <v>E6; D1; E1; D4; E6</v>
      </c>
    </row>
    <row r="275" ht="13.65" customHeight="1">
      <c r="A275" t="s" s="35">
        <v>3112</v>
      </c>
      <c r="B275" s="36">
        <v>5</v>
      </c>
      <c r="C275" t="s" s="35">
        <v>1823</v>
      </c>
      <c r="D275" t="s" s="35">
        <v>2825</v>
      </c>
      <c r="E275" t="s" s="35">
        <v>3066</v>
      </c>
      <c r="F275" s="36">
        <v>14</v>
      </c>
      <c r="G275" t="s" s="35">
        <v>458</v>
      </c>
      <c r="H275" t="s" s="35">
        <v>3109</v>
      </c>
      <c r="I275" t="s" s="120">
        <v>3113</v>
      </c>
      <c r="J275" t="s" s="35">
        <v>1164</v>
      </c>
      <c r="K275" t="s" s="35">
        <v>524</v>
      </c>
      <c r="L275" s="39"/>
      <c r="M275" t="str" s="39">
        <v>Ciencias de la Tierra</v>
      </c>
      <c r="N275" t="str" s="39">
        <v>Rasgos, procesos e historia de la Tierra</v>
      </c>
      <c r="O275" t="str" s="39" cm="1">
        <f t="array" ref="O275">IF(L275="","",_xlfn.IFERROR(INDEX('Datos - Catálogo TIMSS'!$C$5:$C$107,MATCH(L275,'Datos - Catálogo TIMSS'!$A$5:$A$107,0)),"?"))</f>
      </c>
      <c r="P275" t="s" s="35">
        <v>282</v>
      </c>
      <c r="Q275" t="s" s="120">
        <v>3114</v>
      </c>
      <c r="R275" t="s" s="120">
        <v>3115</v>
      </c>
      <c r="S275" s="121" cm="1">
        <f t="array" ref="S275">_xlfn.IFERROR(ISNUMBER(SEARCH("Conocer",$R275))/(ISNUMBER(SEARCH("Conocer",$R275))+ISNUMBER(SEARCH("Aplicar",$R275))+ISNUMBER(SEARCH("Razonar",$R275))),0)</f>
        <v>0</v>
      </c>
      <c r="T275" s="121" cm="1">
        <f t="array" ref="T275">_xlfn.IFERROR(ISNUMBER(SEARCH("Aplicar",$R275))/(ISNUMBER(SEARCH("Conocer",$R275))+ISNUMBER(SEARCH("Aplicar",$R275))+ISNUMBER(SEARCH("Razonar",$R275))),0)</f>
        <v>1</v>
      </c>
      <c r="U275" s="121" cm="1">
        <f t="array" ref="U275">_xlfn.IFERROR(ISNUMBER(SEARCH("Razonar",$R275))/(ISNUMBER(SEARCH("Conocer",$R275))+ISNUMBER(SEARCH("Aplicar",$R275))+ISNUMBER(SEARCH("Razonar",$R275))),0)</f>
        <v>0</v>
      </c>
      <c r="V275" t="s" s="35">
        <v>79</v>
      </c>
      <c r="W275" t="s" s="35">
        <v>115</v>
      </c>
      <c r="X275" s="36" cm="1">
        <f t="array" ref="X275">IF(OR(_xlfn.IFERROR(INDEX('Datos - Catálogo TIMSS'!$I$5:$I$107,MATCH(K275,'Datos - Catálogo TIMSS'!$A$5:$A$107,0)),"No")="Sí",_xlfn.IFERROR(INDEX('Datos - Catálogo TIMSS'!$I$5:$I$107,MATCH(L275,'Datos - Catálogo TIMSS'!$A$5:$A$107,0)),"No")="Sí"),1,0)</f>
        <v>1</v>
      </c>
      <c r="Y275" s="36" cm="1">
        <f t="array" ref="Y275">IF(_xlfn.IFERROR(INDEX('Datos - Catálogo TIMSS'!$J$5:$J$107,MATCH(K275,'Datos - Catálogo TIMSS'!$A$5:$A$107,0)),"No")="Sí",1,0)</f>
        <v>0</v>
      </c>
      <c r="Z275" s="36" cm="1">
        <f t="array" ref="Z275">IF(_xlfn.IFERROR(INDEX('Datos - Catálogo TIMSS'!$J$5:$J$107,MATCH(L275,'Datos - Catálogo TIMSS'!$A$5:$A$107,0)),"No")="Sí",1,0)</f>
        <v>0</v>
      </c>
      <c r="AA275" t="s" s="35">
        <v>3071</v>
      </c>
      <c r="AB275" s="39"/>
      <c r="AC275" t="str" s="39">
        <v>Ciencias de la Tierra</v>
      </c>
      <c r="AD275" t="s" s="35">
        <v>1834</v>
      </c>
      <c r="AE275" t="str" s="39" cm="1">
        <f t="array" ref="AE275">IF(AD275="","",IF(LEFT(AD275,1)="1","C1",IF(LEFT(AD275,1)="2","C2",IF(LEFT(AD275,1)="3","C3",""))))</f>
        <v>C2</v>
      </c>
      <c r="AF275" t="s" s="35">
        <v>1602</v>
      </c>
      <c r="AG275" t="s" s="35">
        <v>1617</v>
      </c>
      <c r="AH275" t="s" s="35">
        <v>1602</v>
      </c>
      <c r="AI275" t="s" s="35">
        <v>1623</v>
      </c>
      <c r="AJ275" t="s" s="35">
        <v>1615</v>
      </c>
      <c r="AK275" s="39"/>
      <c r="AL275" s="39"/>
      <c r="AM275" s="39"/>
      <c r="AN275" s="39"/>
      <c r="AO275" s="39"/>
      <c r="AP275" s="39"/>
      <c r="AQ275" s="39"/>
      <c r="AR275" s="39"/>
      <c r="AS275" s="39"/>
      <c r="AT275" s="39"/>
      <c r="AU275" s="39"/>
      <c r="AV275" s="39"/>
      <c r="AW275" t="str" s="39" cm="1">
        <f t="array" ref="AW275">AF275&amp;"; "&amp;AG275&amp;"; "&amp;AH275&amp;"; "&amp;AI275&amp;"; "&amp;AJ275</f>
        <v>E1; D1; E1; D4; E6</v>
      </c>
    </row>
    <row r="276" ht="13.65" customHeight="1">
      <c r="A276" t="s" s="35">
        <v>3116</v>
      </c>
      <c r="B276" s="36">
        <v>5</v>
      </c>
      <c r="C276" t="s" s="35">
        <v>1823</v>
      </c>
      <c r="D276" t="s" s="35">
        <v>2825</v>
      </c>
      <c r="E276" t="s" s="35">
        <v>3066</v>
      </c>
      <c r="F276" s="36">
        <v>15</v>
      </c>
      <c r="G276" t="s" s="35">
        <v>458</v>
      </c>
      <c r="H276" t="s" s="35">
        <v>3109</v>
      </c>
      <c r="I276" t="s" s="120">
        <v>3117</v>
      </c>
      <c r="J276" t="s" s="35">
        <v>1164</v>
      </c>
      <c r="K276" t="s" s="35">
        <v>1832</v>
      </c>
      <c r="L276" s="39"/>
      <c r="M276" t="str" s="39">
        <v>Fuera del marco</v>
      </c>
      <c r="N276" t="str" s="39">
        <v>Fuera del marco</v>
      </c>
      <c r="O276" t="str" s="39" cm="1">
        <f t="array" ref="O276">IF(L276="","",_xlfn.IFERROR(INDEX('Datos - Catálogo TIMSS'!$C$5:$C$107,MATCH(L276,'Datos - Catálogo TIMSS'!$A$5:$A$107,0)),"?"))</f>
      </c>
      <c r="P276" t="s" s="35">
        <v>254</v>
      </c>
      <c r="Q276" t="s" s="120">
        <v>3118</v>
      </c>
      <c r="R276" t="s" s="120">
        <v>3119</v>
      </c>
      <c r="S276" s="121" cm="1">
        <f t="array" ref="S276">_xlfn.IFERROR(ISNUMBER(SEARCH("Conocer",$R276))/(ISNUMBER(SEARCH("Conocer",$R276))+ISNUMBER(SEARCH("Aplicar",$R276))+ISNUMBER(SEARCH("Razonar",$R276))),0)</f>
        <v>0</v>
      </c>
      <c r="T276" s="121" cm="1">
        <f t="array" ref="T276">_xlfn.IFERROR(ISNUMBER(SEARCH("Aplicar",$R276))/(ISNUMBER(SEARCH("Conocer",$R276))+ISNUMBER(SEARCH("Aplicar",$R276))+ISNUMBER(SEARCH("Razonar",$R276))),0)</f>
        <v>1</v>
      </c>
      <c r="U276" s="121" cm="1">
        <f t="array" ref="U276">_xlfn.IFERROR(ISNUMBER(SEARCH("Razonar",$R276))/(ISNUMBER(SEARCH("Conocer",$R276))+ISNUMBER(SEARCH("Aplicar",$R276))+ISNUMBER(SEARCH("Razonar",$R276))),0)</f>
        <v>0</v>
      </c>
      <c r="V276" t="s" s="35">
        <v>79</v>
      </c>
      <c r="W276" t="s" s="35">
        <v>115</v>
      </c>
      <c r="X276" s="36" cm="1">
        <f t="array" ref="X276">IF(OR(_xlfn.IFERROR(INDEX('Datos - Catálogo TIMSS'!$I$5:$I$107,MATCH(K276,'Datos - Catálogo TIMSS'!$A$5:$A$107,0)),"No")="Sí",_xlfn.IFERROR(INDEX('Datos - Catálogo TIMSS'!$I$5:$I$107,MATCH(L276,'Datos - Catálogo TIMSS'!$A$5:$A$107,0)),"No")="Sí"),1,0)</f>
        <v>0</v>
      </c>
      <c r="Y276" s="36" cm="1">
        <f t="array" ref="Y276">IF(_xlfn.IFERROR(INDEX('Datos - Catálogo TIMSS'!$J$5:$J$107,MATCH(K276,'Datos - Catálogo TIMSS'!$A$5:$A$107,0)),"No")="Sí",1,0)</f>
        <v>0</v>
      </c>
      <c r="Z276" s="36" cm="1">
        <f t="array" ref="Z276">IF(_xlfn.IFERROR(INDEX('Datos - Catálogo TIMSS'!$J$5:$J$107,MATCH(L276,'Datos - Catálogo TIMSS'!$A$5:$A$107,0)),"No")="Sí",1,0)</f>
        <v>0</v>
      </c>
      <c r="AA276" t="s" s="35">
        <v>1832</v>
      </c>
      <c r="AB276" s="39"/>
      <c r="AC276" t="str" s="39">
        <v>Fuera del marco</v>
      </c>
      <c r="AD276" t="s" s="35">
        <v>1900</v>
      </c>
      <c r="AE276" t="str" s="39" cm="1">
        <f t="array" ref="AE276">IF(AD276="","",IF(LEFT(AD276,1)="1","C1",IF(LEFT(AD276,1)="2","C2",IF(LEFT(AD276,1)="3","C3",""))))</f>
        <v>C3</v>
      </c>
      <c r="AF276" t="s" s="35">
        <v>1602</v>
      </c>
      <c r="AG276" t="s" s="35">
        <v>1617</v>
      </c>
      <c r="AH276" t="s" s="35">
        <v>1602</v>
      </c>
      <c r="AI276" t="s" s="35">
        <v>1625</v>
      </c>
      <c r="AJ276" t="s" s="35">
        <v>1633</v>
      </c>
      <c r="AK276" s="39"/>
      <c r="AL276" s="39"/>
      <c r="AM276" s="39"/>
      <c r="AN276" s="39"/>
      <c r="AO276" s="39"/>
      <c r="AP276" s="39"/>
      <c r="AQ276" s="39"/>
      <c r="AR276" s="39"/>
      <c r="AS276" s="39"/>
      <c r="AT276" s="39"/>
      <c r="AU276" s="39"/>
      <c r="AV276" s="39"/>
      <c r="AW276" t="str" s="39" cm="1">
        <f t="array" ref="AW276">AF276&amp;"; "&amp;AG276&amp;"; "&amp;AH276&amp;"; "&amp;AI276&amp;"; "&amp;AJ276</f>
        <v>E1; D1; E1; I1; I5</v>
      </c>
    </row>
    <row r="277" ht="13.65" customHeight="1">
      <c r="A277" t="s" s="35">
        <v>3120</v>
      </c>
      <c r="B277" s="36">
        <v>5</v>
      </c>
      <c r="C277" t="s" s="35">
        <v>1823</v>
      </c>
      <c r="D277" t="s" s="35">
        <v>2825</v>
      </c>
      <c r="E277" t="s" s="35">
        <v>3066</v>
      </c>
      <c r="F277" s="36">
        <v>16</v>
      </c>
      <c r="G277" t="s" s="35">
        <v>458</v>
      </c>
      <c r="H277" t="s" s="35">
        <v>3121</v>
      </c>
      <c r="I277" t="s" s="120">
        <v>3122</v>
      </c>
      <c r="J277" t="s" s="35">
        <v>1164</v>
      </c>
      <c r="K277" t="s" s="35">
        <v>1227</v>
      </c>
      <c r="L277" t="s" s="35">
        <v>524</v>
      </c>
      <c r="M277" t="str" s="39">
        <v>Química</v>
      </c>
      <c r="N277" t="str" s="39">
        <v>Reacciones químicas</v>
      </c>
      <c r="O277" t="str" s="39" cm="1">
        <f t="array" ref="O277">IF(L277="","",_xlfn.IFERROR(INDEX('Datos - Catálogo TIMSS'!$C$5:$C$107,MATCH(L277,'Datos - Catálogo TIMSS'!$A$5:$A$107,0)),"?"))</f>
        <v>Ciencias de la Tierra</v>
      </c>
      <c r="P277" t="s" s="35">
        <v>291</v>
      </c>
      <c r="Q277" t="s" s="120">
        <v>3124</v>
      </c>
      <c r="R277" t="s" s="120">
        <v>3125</v>
      </c>
      <c r="S277" s="121" cm="1">
        <f t="array" ref="S277">_xlfn.IFERROR(ISNUMBER(SEARCH("Conocer",$R277))/(ISNUMBER(SEARCH("Conocer",$R277))+ISNUMBER(SEARCH("Aplicar",$R277))+ISNUMBER(SEARCH("Razonar",$R277))),0)</f>
        <v>0</v>
      </c>
      <c r="T277" s="121" cm="1">
        <f t="array" ref="T277">_xlfn.IFERROR(ISNUMBER(SEARCH("Aplicar",$R277))/(ISNUMBER(SEARCH("Conocer",$R277))+ISNUMBER(SEARCH("Aplicar",$R277))+ISNUMBER(SEARCH("Razonar",$R277))),0)</f>
        <v>0</v>
      </c>
      <c r="U277" s="121" cm="1">
        <f t="array" ref="U277">_xlfn.IFERROR(ISNUMBER(SEARCH("Razonar",$R277))/(ISNUMBER(SEARCH("Conocer",$R277))+ISNUMBER(SEARCH("Aplicar",$R277))+ISNUMBER(SEARCH("Razonar",$R277))),0)</f>
        <v>1</v>
      </c>
      <c r="V277" t="s" s="35">
        <v>79</v>
      </c>
      <c r="W277" t="s" s="35">
        <v>115</v>
      </c>
      <c r="X277" s="36" cm="1">
        <f t="array" ref="X277">IF(OR(_xlfn.IFERROR(INDEX('Datos - Catálogo TIMSS'!$I$5:$I$107,MATCH(K277,'Datos - Catálogo TIMSS'!$A$5:$A$107,0)),"No")="Sí",_xlfn.IFERROR(INDEX('Datos - Catálogo TIMSS'!$I$5:$I$107,MATCH(L277,'Datos - Catálogo TIMSS'!$A$5:$A$107,0)),"No")="Sí"),1,0)</f>
        <v>1</v>
      </c>
      <c r="Y277" s="36" cm="1">
        <f t="array" ref="Y277">IF(_xlfn.IFERROR(INDEX('Datos - Catálogo TIMSS'!$J$5:$J$107,MATCH(K277,'Datos - Catálogo TIMSS'!$A$5:$A$107,0)),"No")="Sí",1,0)</f>
        <v>0</v>
      </c>
      <c r="Z277" s="36" cm="1">
        <f t="array" ref="Z277">IF(_xlfn.IFERROR(INDEX('Datos - Catálogo TIMSS'!$J$5:$J$107,MATCH(L277,'Datos - Catálogo TIMSS'!$A$5:$A$107,0)),"No")="Sí",1,0)</f>
        <v>0</v>
      </c>
      <c r="AA277" t="s" s="35">
        <v>3071</v>
      </c>
      <c r="AB277" t="s" s="35">
        <v>3126</v>
      </c>
      <c r="AC277" t="str" s="39">
        <v>Ciencias de la Tierra</v>
      </c>
      <c r="AD277" t="s" s="35">
        <v>1834</v>
      </c>
      <c r="AE277" t="str" s="39" cm="1">
        <f t="array" ref="AE277">IF(AD277="","",IF(LEFT(AD277,1)="1","C1",IF(LEFT(AD277,1)="2","C2",IF(LEFT(AD277,1)="3","C3",""))))</f>
        <v>C2</v>
      </c>
      <c r="AF277" t="s" s="35">
        <v>1602</v>
      </c>
      <c r="AG277" t="s" s="35">
        <v>1617</v>
      </c>
      <c r="AH277" t="s" s="35">
        <v>1602</v>
      </c>
      <c r="AI277" t="s" s="35">
        <v>1619</v>
      </c>
      <c r="AJ277" t="s" s="35">
        <v>1615</v>
      </c>
      <c r="AK277" s="39"/>
      <c r="AL277" s="39"/>
      <c r="AM277" s="39"/>
      <c r="AN277" s="39"/>
      <c r="AO277" s="39"/>
      <c r="AP277" s="39"/>
      <c r="AQ277" s="39"/>
      <c r="AR277" s="39"/>
      <c r="AS277" s="39"/>
      <c r="AT277" s="39"/>
      <c r="AU277" s="39"/>
      <c r="AV277" s="39"/>
      <c r="AW277" t="str" s="39" cm="1">
        <f t="array" ref="AW277">AF277&amp;"; "&amp;AG277&amp;"; "&amp;AH277&amp;"; "&amp;AI277&amp;"; "&amp;AJ277</f>
        <v>E1; D1; E1; D2; E6</v>
      </c>
    </row>
    <row r="278" ht="13.65" customHeight="1">
      <c r="A278" t="s" s="35">
        <v>3127</v>
      </c>
      <c r="B278" s="36">
        <v>5</v>
      </c>
      <c r="C278" t="s" s="35">
        <v>1823</v>
      </c>
      <c r="D278" t="s" s="35">
        <v>2825</v>
      </c>
      <c r="E278" t="s" s="35">
        <v>3066</v>
      </c>
      <c r="F278" s="36">
        <v>17</v>
      </c>
      <c r="G278" t="s" s="35">
        <v>458</v>
      </c>
      <c r="H278" t="s" s="35">
        <v>3121</v>
      </c>
      <c r="I278" t="s" s="120">
        <v>3128</v>
      </c>
      <c r="J278" t="s" s="35">
        <v>1164</v>
      </c>
      <c r="K278" t="s" s="35">
        <v>524</v>
      </c>
      <c r="L278" s="39"/>
      <c r="M278" t="str" s="39">
        <v>Ciencias de la Tierra</v>
      </c>
      <c r="N278" t="str" s="39">
        <v>Rasgos, procesos e historia de la Tierra</v>
      </c>
      <c r="O278" t="str" s="39" cm="1">
        <f t="array" ref="O278">IF(L278="","",_xlfn.IFERROR(INDEX('Datos - Catálogo TIMSS'!$C$5:$C$107,MATCH(L278,'Datos - Catálogo TIMSS'!$A$5:$A$107,0)),"?"))</f>
      </c>
      <c r="P278" t="s" s="35">
        <v>282</v>
      </c>
      <c r="Q278" t="s" s="120">
        <v>3129</v>
      </c>
      <c r="R278" t="s" s="120">
        <v>3130</v>
      </c>
      <c r="S278" s="121" cm="1">
        <f t="array" ref="S278">_xlfn.IFERROR(ISNUMBER(SEARCH("Conocer",$R278))/(ISNUMBER(SEARCH("Conocer",$R278))+ISNUMBER(SEARCH("Aplicar",$R278))+ISNUMBER(SEARCH("Razonar",$R278))),0)</f>
        <v>0</v>
      </c>
      <c r="T278" s="121" cm="1">
        <f t="array" ref="T278">_xlfn.IFERROR(ISNUMBER(SEARCH("Aplicar",$R278))/(ISNUMBER(SEARCH("Conocer",$R278))+ISNUMBER(SEARCH("Aplicar",$R278))+ISNUMBER(SEARCH("Razonar",$R278))),0)</f>
        <v>1</v>
      </c>
      <c r="U278" s="121" cm="1">
        <f t="array" ref="U278">_xlfn.IFERROR(ISNUMBER(SEARCH("Razonar",$R278))/(ISNUMBER(SEARCH("Conocer",$R278))+ISNUMBER(SEARCH("Aplicar",$R278))+ISNUMBER(SEARCH("Razonar",$R278))),0)</f>
        <v>0</v>
      </c>
      <c r="V278" t="s" s="35">
        <v>79</v>
      </c>
      <c r="W278" t="s" s="35">
        <v>115</v>
      </c>
      <c r="X278" s="36" cm="1">
        <f t="array" ref="X278">IF(OR(_xlfn.IFERROR(INDEX('Datos - Catálogo TIMSS'!$I$5:$I$107,MATCH(K278,'Datos - Catálogo TIMSS'!$A$5:$A$107,0)),"No")="Sí",_xlfn.IFERROR(INDEX('Datos - Catálogo TIMSS'!$I$5:$I$107,MATCH(L278,'Datos - Catálogo TIMSS'!$A$5:$A$107,0)),"No")="Sí"),1,0)</f>
        <v>1</v>
      </c>
      <c r="Y278" s="36" cm="1">
        <f t="array" ref="Y278">IF(_xlfn.IFERROR(INDEX('Datos - Catálogo TIMSS'!$J$5:$J$107,MATCH(K278,'Datos - Catálogo TIMSS'!$A$5:$A$107,0)),"No")="Sí",1,0)</f>
        <v>0</v>
      </c>
      <c r="Z278" s="36" cm="1">
        <f t="array" ref="Z278">IF(_xlfn.IFERROR(INDEX('Datos - Catálogo TIMSS'!$J$5:$J$107,MATCH(L278,'Datos - Catálogo TIMSS'!$A$5:$A$107,0)),"No")="Sí",1,0)</f>
        <v>0</v>
      </c>
      <c r="AA278" t="s" s="35">
        <v>3071</v>
      </c>
      <c r="AB278" s="39"/>
      <c r="AC278" t="str" s="39">
        <v>Ciencias de la Tierra</v>
      </c>
      <c r="AD278" t="s" s="35">
        <v>1834</v>
      </c>
      <c r="AE278" t="str" s="39" cm="1">
        <f t="array" ref="AE278">IF(AD278="","",IF(LEFT(AD278,1)="1","C1",IF(LEFT(AD278,1)="2","C2",IF(LEFT(AD278,1)="3","C3",""))))</f>
        <v>C2</v>
      </c>
      <c r="AF278" t="s" s="35">
        <v>1602</v>
      </c>
      <c r="AG278" t="s" s="35">
        <v>1617</v>
      </c>
      <c r="AH278" t="s" s="35">
        <v>1602</v>
      </c>
      <c r="AI278" t="s" s="35">
        <v>1623</v>
      </c>
      <c r="AJ278" t="s" s="35">
        <v>1615</v>
      </c>
      <c r="AK278" s="39"/>
      <c r="AL278" s="39"/>
      <c r="AM278" s="39"/>
      <c r="AN278" s="39"/>
      <c r="AO278" s="39"/>
      <c r="AP278" s="39"/>
      <c r="AQ278" s="39"/>
      <c r="AR278" s="39"/>
      <c r="AS278" s="39"/>
      <c r="AT278" s="39"/>
      <c r="AU278" s="39"/>
      <c r="AV278" s="39"/>
      <c r="AW278" t="str" s="39" cm="1">
        <f t="array" ref="AW278">AF278&amp;"; "&amp;AG278&amp;"; "&amp;AH278&amp;"; "&amp;AI278&amp;"; "&amp;AJ278</f>
        <v>E1; D1; E1; D4; E6</v>
      </c>
    </row>
    <row r="279" ht="13.65" customHeight="1">
      <c r="A279" t="s" s="35">
        <v>3131</v>
      </c>
      <c r="B279" s="36">
        <v>5</v>
      </c>
      <c r="C279" t="s" s="35">
        <v>1823</v>
      </c>
      <c r="D279" t="s" s="35">
        <v>2825</v>
      </c>
      <c r="E279" t="s" s="35">
        <v>3066</v>
      </c>
      <c r="F279" s="36">
        <v>18</v>
      </c>
      <c r="G279" t="s" s="35">
        <v>458</v>
      </c>
      <c r="H279" t="s" s="35">
        <v>3121</v>
      </c>
      <c r="I279" t="s" s="120">
        <v>3132</v>
      </c>
      <c r="J279" t="s" s="35">
        <v>1164</v>
      </c>
      <c r="K279" t="s" s="35">
        <v>1272</v>
      </c>
      <c r="L279" s="39"/>
      <c r="M279" t="str" s="39">
        <v>Ciencias de la Tierra</v>
      </c>
      <c r="N279" t="str" s="39">
        <v>Rasgos, procesos e historia de la Tierra</v>
      </c>
      <c r="O279" t="str" s="39" cm="1">
        <f t="array" ref="O279">IF(L279="","",_xlfn.IFERROR(INDEX('Datos - Catálogo TIMSS'!$C$5:$C$107,MATCH(L279,'Datos - Catálogo TIMSS'!$A$5:$A$107,0)),"?"))</f>
      </c>
      <c r="P279" t="s" s="35">
        <v>291</v>
      </c>
      <c r="Q279" t="s" s="120">
        <v>3133</v>
      </c>
      <c r="R279" t="s" s="120">
        <v>3134</v>
      </c>
      <c r="S279" s="121" cm="1">
        <f t="array" ref="S279">_xlfn.IFERROR(ISNUMBER(SEARCH("Conocer",$R279))/(ISNUMBER(SEARCH("Conocer",$R279))+ISNUMBER(SEARCH("Aplicar",$R279))+ISNUMBER(SEARCH("Razonar",$R279))),0)</f>
        <v>0</v>
      </c>
      <c r="T279" s="121" cm="1">
        <f t="array" ref="T279">_xlfn.IFERROR(ISNUMBER(SEARCH("Aplicar",$R279))/(ISNUMBER(SEARCH("Conocer",$R279))+ISNUMBER(SEARCH("Aplicar",$R279))+ISNUMBER(SEARCH("Razonar",$R279))),0)</f>
        <v>0</v>
      </c>
      <c r="U279" s="121" cm="1">
        <f t="array" ref="U279">_xlfn.IFERROR(ISNUMBER(SEARCH("Razonar",$R279))/(ISNUMBER(SEARCH("Conocer",$R279))+ISNUMBER(SEARCH("Aplicar",$R279))+ISNUMBER(SEARCH("Razonar",$R279))),0)</f>
        <v>1</v>
      </c>
      <c r="V279" t="s" s="35">
        <v>79</v>
      </c>
      <c r="W279" t="s" s="35">
        <v>115</v>
      </c>
      <c r="X279" s="36" cm="1">
        <f t="array" ref="X279">IF(OR(_xlfn.IFERROR(INDEX('Datos - Catálogo TIMSS'!$I$5:$I$107,MATCH(K279,'Datos - Catálogo TIMSS'!$A$5:$A$107,0)),"No")="Sí",_xlfn.IFERROR(INDEX('Datos - Catálogo TIMSS'!$I$5:$I$107,MATCH(L279,'Datos - Catálogo TIMSS'!$A$5:$A$107,0)),"No")="Sí"),1,0)</f>
        <v>1</v>
      </c>
      <c r="Y279" s="36" cm="1">
        <f t="array" ref="Y279">IF(_xlfn.IFERROR(INDEX('Datos - Catálogo TIMSS'!$J$5:$J$107,MATCH(K279,'Datos - Catálogo TIMSS'!$A$5:$A$107,0)),"No")="Sí",1,0)</f>
        <v>0</v>
      </c>
      <c r="Z279" s="36" cm="1">
        <f t="array" ref="Z279">IF(_xlfn.IFERROR(INDEX('Datos - Catálogo TIMSS'!$J$5:$J$107,MATCH(L279,'Datos - Catálogo TIMSS'!$A$5:$A$107,0)),"No")="Sí",1,0)</f>
        <v>0</v>
      </c>
      <c r="AA279" t="s" s="35">
        <v>3135</v>
      </c>
      <c r="AB279" s="39"/>
      <c r="AC279" t="str" s="39">
        <v>Ciencias de la Tierra</v>
      </c>
      <c r="AD279" t="s" s="35">
        <v>1834</v>
      </c>
      <c r="AE279" t="str" s="39" cm="1">
        <f t="array" ref="AE279">IF(AD279="","",IF(LEFT(AD279,1)="1","C1",IF(LEFT(AD279,1)="2","C2",IF(LEFT(AD279,1)="3","C3",""))))</f>
        <v>C2</v>
      </c>
      <c r="AF279" t="s" s="35">
        <v>1602</v>
      </c>
      <c r="AG279" t="s" s="35">
        <v>1617</v>
      </c>
      <c r="AH279" t="s" s="35">
        <v>1602</v>
      </c>
      <c r="AI279" t="s" s="35">
        <v>1619</v>
      </c>
      <c r="AJ279" t="s" s="35">
        <v>1615</v>
      </c>
      <c r="AK279" s="39"/>
      <c r="AL279" s="39"/>
      <c r="AM279" s="39"/>
      <c r="AN279" s="39"/>
      <c r="AO279" s="39"/>
      <c r="AP279" s="39"/>
      <c r="AQ279" s="39"/>
      <c r="AR279" s="39"/>
      <c r="AS279" s="39"/>
      <c r="AT279" s="39"/>
      <c r="AU279" s="39"/>
      <c r="AV279" s="39"/>
      <c r="AW279" t="str" s="39" cm="1">
        <f t="array" ref="AW279">AF279&amp;"; "&amp;AG279&amp;"; "&amp;AH279&amp;"; "&amp;AI279&amp;"; "&amp;AJ279</f>
        <v>E1; D1; E1; D2; E6</v>
      </c>
    </row>
    <row r="280" ht="13.65" customHeight="1">
      <c r="A280" t="s" s="35">
        <v>3136</v>
      </c>
      <c r="B280" s="36">
        <v>5</v>
      </c>
      <c r="C280" t="s" s="35">
        <v>1823</v>
      </c>
      <c r="D280" t="s" s="35">
        <v>2825</v>
      </c>
      <c r="E280" t="s" s="35">
        <v>3066</v>
      </c>
      <c r="F280" s="36">
        <v>19</v>
      </c>
      <c r="G280" t="s" s="35">
        <v>458</v>
      </c>
      <c r="H280" t="s" s="35">
        <v>3121</v>
      </c>
      <c r="I280" t="s" s="120">
        <v>3137</v>
      </c>
      <c r="J280" t="s" s="35">
        <v>1164</v>
      </c>
      <c r="K280" t="s" s="35">
        <v>524</v>
      </c>
      <c r="L280" s="39"/>
      <c r="M280" t="str" s="39">
        <v>Ciencias de la Tierra</v>
      </c>
      <c r="N280" t="str" s="39">
        <v>Rasgos, procesos e historia de la Tierra</v>
      </c>
      <c r="O280" t="str" s="39" cm="1">
        <f t="array" ref="O280">IF(L280="","",_xlfn.IFERROR(INDEX('Datos - Catálogo TIMSS'!$C$5:$C$107,MATCH(L280,'Datos - Catálogo TIMSS'!$A$5:$A$107,0)),"?"))</f>
      </c>
      <c r="P280" t="s" s="35">
        <v>282</v>
      </c>
      <c r="Q280" t="s" s="120">
        <v>3138</v>
      </c>
      <c r="R280" t="s" s="120">
        <v>2705</v>
      </c>
      <c r="S280" s="121" cm="1">
        <f t="array" ref="S280">_xlfn.IFERROR(ISNUMBER(SEARCH("Conocer",$R280))/(ISNUMBER(SEARCH("Conocer",$R280))+ISNUMBER(SEARCH("Aplicar",$R280))+ISNUMBER(SEARCH("Razonar",$R280))),0)</f>
        <v>0</v>
      </c>
      <c r="T280" s="121" cm="1">
        <f t="array" ref="T280">_xlfn.IFERROR(ISNUMBER(SEARCH("Aplicar",$R280))/(ISNUMBER(SEARCH("Conocer",$R280))+ISNUMBER(SEARCH("Aplicar",$R280))+ISNUMBER(SEARCH("Razonar",$R280))),0)</f>
        <v>0.5</v>
      </c>
      <c r="U280" s="121" cm="1">
        <f t="array" ref="U280">_xlfn.IFERROR(ISNUMBER(SEARCH("Razonar",$R280))/(ISNUMBER(SEARCH("Conocer",$R280))+ISNUMBER(SEARCH("Aplicar",$R280))+ISNUMBER(SEARCH("Razonar",$R280))),0)</f>
        <v>0.5</v>
      </c>
      <c r="V280" t="s" s="35">
        <v>79</v>
      </c>
      <c r="W280" t="s" s="35">
        <v>115</v>
      </c>
      <c r="X280" s="36" cm="1">
        <f t="array" ref="X280">IF(OR(_xlfn.IFERROR(INDEX('Datos - Catálogo TIMSS'!$I$5:$I$107,MATCH(K280,'Datos - Catálogo TIMSS'!$A$5:$A$107,0)),"No")="Sí",_xlfn.IFERROR(INDEX('Datos - Catálogo TIMSS'!$I$5:$I$107,MATCH(L280,'Datos - Catálogo TIMSS'!$A$5:$A$107,0)),"No")="Sí"),1,0)</f>
        <v>1</v>
      </c>
      <c r="Y280" s="36" cm="1">
        <f t="array" ref="Y280">IF(_xlfn.IFERROR(INDEX('Datos - Catálogo TIMSS'!$J$5:$J$107,MATCH(K280,'Datos - Catálogo TIMSS'!$A$5:$A$107,0)),"No")="Sí",1,0)</f>
        <v>0</v>
      </c>
      <c r="Z280" s="36" cm="1">
        <f t="array" ref="Z280">IF(_xlfn.IFERROR(INDEX('Datos - Catálogo TIMSS'!$J$5:$J$107,MATCH(L280,'Datos - Catálogo TIMSS'!$A$5:$A$107,0)),"No")="Sí",1,0)</f>
        <v>0</v>
      </c>
      <c r="AA280" t="s" s="35">
        <v>3071</v>
      </c>
      <c r="AB280" s="39"/>
      <c r="AC280" t="str" s="39">
        <v>Ciencias de la Tierra</v>
      </c>
      <c r="AD280" t="s" s="35">
        <v>1834</v>
      </c>
      <c r="AE280" t="str" s="39" cm="1">
        <f t="array" ref="AE280">IF(AD280="","",IF(LEFT(AD280,1)="1","C1",IF(LEFT(AD280,1)="2","C2",IF(LEFT(AD280,1)="3","C3",""))))</f>
        <v>C2</v>
      </c>
      <c r="AF280" t="s" s="35">
        <v>1615</v>
      </c>
      <c r="AG280" t="s" s="35">
        <v>1607</v>
      </c>
      <c r="AH280" t="s" s="35">
        <v>1609</v>
      </c>
      <c r="AI280" t="s" s="35">
        <v>1623</v>
      </c>
      <c r="AJ280" t="s" s="35">
        <v>1615</v>
      </c>
      <c r="AK280" s="39"/>
      <c r="AL280" s="39"/>
      <c r="AM280" s="39"/>
      <c r="AN280" s="39"/>
      <c r="AO280" s="39"/>
      <c r="AP280" s="39"/>
      <c r="AQ280" s="39"/>
      <c r="AR280" s="39"/>
      <c r="AS280" s="39"/>
      <c r="AT280" s="39"/>
      <c r="AU280" s="39"/>
      <c r="AV280" s="39"/>
      <c r="AW280" t="str" s="39" cm="1">
        <f t="array" ref="AW280">AF280&amp;"; "&amp;AG280&amp;"; "&amp;AH280&amp;"; "&amp;AI280&amp;"; "&amp;AJ280</f>
        <v>E6; E3; E4; D4; E6</v>
      </c>
    </row>
    <row r="281" ht="13.65" customHeight="1">
      <c r="A281" t="s" s="35">
        <v>3140</v>
      </c>
      <c r="B281" s="36">
        <v>5</v>
      </c>
      <c r="C281" t="s" s="35">
        <v>1823</v>
      </c>
      <c r="D281" t="s" s="35">
        <v>2825</v>
      </c>
      <c r="E281" t="s" s="35">
        <v>3066</v>
      </c>
      <c r="F281" s="36">
        <v>20</v>
      </c>
      <c r="G281" t="s" s="35">
        <v>458</v>
      </c>
      <c r="H281" t="s" s="35">
        <v>3121</v>
      </c>
      <c r="I281" t="s" s="120">
        <v>3141</v>
      </c>
      <c r="J281" t="s" s="35">
        <v>1164</v>
      </c>
      <c r="K281" t="s" s="35">
        <v>1290</v>
      </c>
      <c r="L281" t="s" s="35">
        <v>1201</v>
      </c>
      <c r="M281" t="str" s="39">
        <v>Ciencias de la Tierra</v>
      </c>
      <c r="N281" t="str" s="39">
        <v>Recursos de la Tierra, uso y conservación</v>
      </c>
      <c r="O281" t="str" s="39" cm="1">
        <f t="array" ref="O281">IF(L281="","",_xlfn.IFERROR(INDEX('Datos - Catálogo TIMSS'!$C$5:$C$107,MATCH(L281,'Datos - Catálogo TIMSS'!$A$5:$A$107,0)),"?"))</f>
        <v>Biología</v>
      </c>
      <c r="P281" t="s" s="35">
        <v>254</v>
      </c>
      <c r="Q281" t="s" s="120">
        <v>3142</v>
      </c>
      <c r="R281" t="s" s="120">
        <v>3143</v>
      </c>
      <c r="S281" s="121" cm="1">
        <f t="array" ref="S281">_xlfn.IFERROR(ISNUMBER(SEARCH("Conocer",$R281))/(ISNUMBER(SEARCH("Conocer",$R281))+ISNUMBER(SEARCH("Aplicar",$R281))+ISNUMBER(SEARCH("Razonar",$R281))),0)</f>
        <v>0</v>
      </c>
      <c r="T281" s="121" cm="1">
        <f t="array" ref="T281">_xlfn.IFERROR(ISNUMBER(SEARCH("Aplicar",$R281))/(ISNUMBER(SEARCH("Conocer",$R281))+ISNUMBER(SEARCH("Aplicar",$R281))+ISNUMBER(SEARCH("Razonar",$R281))),0)</f>
        <v>0</v>
      </c>
      <c r="U281" s="121" cm="1">
        <f t="array" ref="U281">_xlfn.IFERROR(ISNUMBER(SEARCH("Razonar",$R281))/(ISNUMBER(SEARCH("Conocer",$R281))+ISNUMBER(SEARCH("Aplicar",$R281))+ISNUMBER(SEARCH("Razonar",$R281))),0)</f>
        <v>1</v>
      </c>
      <c r="V281" t="s" s="35">
        <v>79</v>
      </c>
      <c r="W281" t="s" s="35">
        <v>115</v>
      </c>
      <c r="X281" s="36" cm="1">
        <f t="array" ref="X281">IF(OR(_xlfn.IFERROR(INDEX('Datos - Catálogo TIMSS'!$I$5:$I$107,MATCH(K281,'Datos - Catálogo TIMSS'!$A$5:$A$107,0)),"No")="Sí",_xlfn.IFERROR(INDEX('Datos - Catálogo TIMSS'!$I$5:$I$107,MATCH(L281,'Datos - Catálogo TIMSS'!$A$5:$A$107,0)),"No")="Sí"),1,0)</f>
        <v>1</v>
      </c>
      <c r="Y281" s="36" cm="1">
        <f t="array" ref="Y281">IF(_xlfn.IFERROR(INDEX('Datos - Catálogo TIMSS'!$J$5:$J$107,MATCH(K281,'Datos - Catálogo TIMSS'!$A$5:$A$107,0)),"No")="Sí",1,0)</f>
        <v>0</v>
      </c>
      <c r="Z281" s="36" cm="1">
        <f t="array" ref="Z281">IF(_xlfn.IFERROR(INDEX('Datos - Catálogo TIMSS'!$J$5:$J$107,MATCH(L281,'Datos - Catálogo TIMSS'!$A$5:$A$107,0)),"No")="Sí",1,0)</f>
        <v>0</v>
      </c>
      <c r="AA281" t="s" s="35">
        <v>3135</v>
      </c>
      <c r="AB281" t="s" s="35">
        <v>3144</v>
      </c>
      <c r="AC281" t="str" s="39">
        <v>Ciencias de la Tierra</v>
      </c>
      <c r="AD281" t="s" s="35">
        <v>1900</v>
      </c>
      <c r="AE281" t="str" s="39" cm="1">
        <f t="array" ref="AE281">IF(AD281="","",IF(LEFT(AD281,1)="1","C1",IF(LEFT(AD281,1)="2","C2",IF(LEFT(AD281,1)="3","C3",""))))</f>
        <v>C3</v>
      </c>
      <c r="AF281" t="s" s="35">
        <v>1615</v>
      </c>
      <c r="AG281" t="s" s="35">
        <v>1617</v>
      </c>
      <c r="AH281" t="s" s="35">
        <v>1602</v>
      </c>
      <c r="AI281" t="s" s="35">
        <v>1629</v>
      </c>
      <c r="AJ281" t="s" s="35">
        <v>1633</v>
      </c>
      <c r="AK281" s="39"/>
      <c r="AL281" s="39"/>
      <c r="AM281" s="39"/>
      <c r="AN281" s="39"/>
      <c r="AO281" s="39"/>
      <c r="AP281" s="39"/>
      <c r="AQ281" s="39"/>
      <c r="AR281" s="39"/>
      <c r="AS281" s="39"/>
      <c r="AT281" s="39"/>
      <c r="AU281" s="39"/>
      <c r="AV281" s="39"/>
      <c r="AW281" t="str" s="39" cm="1">
        <f t="array" ref="AW281">AF281&amp;"; "&amp;AG281&amp;"; "&amp;AH281&amp;"; "&amp;AI281&amp;"; "&amp;AJ281</f>
        <v>E6; D1; E1; I3; I5</v>
      </c>
    </row>
    <row r="282" ht="13.65" customHeight="1">
      <c r="A282" t="s" s="35">
        <v>3145</v>
      </c>
      <c r="B282" s="36">
        <v>5</v>
      </c>
      <c r="C282" t="s" s="35">
        <v>1823</v>
      </c>
      <c r="D282" t="s" s="35">
        <v>2825</v>
      </c>
      <c r="E282" t="s" s="35">
        <v>3066</v>
      </c>
      <c r="F282" s="36">
        <v>21</v>
      </c>
      <c r="G282" t="s" s="35">
        <v>458</v>
      </c>
      <c r="H282" t="s" s="35">
        <v>3121</v>
      </c>
      <c r="I282" t="s" s="120">
        <v>3146</v>
      </c>
      <c r="J282" t="s" s="35">
        <v>1164</v>
      </c>
      <c r="K282" t="s" s="35">
        <v>1272</v>
      </c>
      <c r="L282" s="39"/>
      <c r="M282" t="str" s="39">
        <v>Ciencias de la Tierra</v>
      </c>
      <c r="N282" t="str" s="39">
        <v>Rasgos, procesos e historia de la Tierra</v>
      </c>
      <c r="O282" t="str" s="39" cm="1">
        <f t="array" ref="O282">IF(L282="","",_xlfn.IFERROR(INDEX('Datos - Catálogo TIMSS'!$C$5:$C$107,MATCH(L282,'Datos - Catálogo TIMSS'!$A$5:$A$107,0)),"?"))</f>
      </c>
      <c r="P282" t="s" s="35">
        <v>291</v>
      </c>
      <c r="Q282" t="s" s="120">
        <v>3147</v>
      </c>
      <c r="R282" t="s" s="120">
        <v>1990</v>
      </c>
      <c r="S282" s="121" cm="1">
        <f t="array" ref="S282">_xlfn.IFERROR(ISNUMBER(SEARCH("Conocer",$R282))/(ISNUMBER(SEARCH("Conocer",$R282))+ISNUMBER(SEARCH("Aplicar",$R282))+ISNUMBER(SEARCH("Razonar",$R282))),0)</f>
        <v>1</v>
      </c>
      <c r="T282" s="121" cm="1">
        <f t="array" ref="T282">_xlfn.IFERROR(ISNUMBER(SEARCH("Aplicar",$R282))/(ISNUMBER(SEARCH("Conocer",$R282))+ISNUMBER(SEARCH("Aplicar",$R282))+ISNUMBER(SEARCH("Razonar",$R282))),0)</f>
        <v>0</v>
      </c>
      <c r="U282" s="121" cm="1">
        <f t="array" ref="U282">_xlfn.IFERROR(ISNUMBER(SEARCH("Razonar",$R282))/(ISNUMBER(SEARCH("Conocer",$R282))+ISNUMBER(SEARCH("Aplicar",$R282))+ISNUMBER(SEARCH("Razonar",$R282))),0)</f>
        <v>0</v>
      </c>
      <c r="V282" t="s" s="35">
        <v>79</v>
      </c>
      <c r="W282" t="s" s="35">
        <v>115</v>
      </c>
      <c r="X282" s="36" cm="1">
        <f t="array" ref="X282">IF(OR(_xlfn.IFERROR(INDEX('Datos - Catálogo TIMSS'!$I$5:$I$107,MATCH(K282,'Datos - Catálogo TIMSS'!$A$5:$A$107,0)),"No")="Sí",_xlfn.IFERROR(INDEX('Datos - Catálogo TIMSS'!$I$5:$I$107,MATCH(L282,'Datos - Catálogo TIMSS'!$A$5:$A$107,0)),"No")="Sí"),1,0)</f>
        <v>1</v>
      </c>
      <c r="Y282" s="36" cm="1">
        <f t="array" ref="Y282">IF(_xlfn.IFERROR(INDEX('Datos - Catálogo TIMSS'!$J$5:$J$107,MATCH(K282,'Datos - Catálogo TIMSS'!$A$5:$A$107,0)),"No")="Sí",1,0)</f>
        <v>0</v>
      </c>
      <c r="Z282" s="36" cm="1">
        <f t="array" ref="Z282">IF(_xlfn.IFERROR(INDEX('Datos - Catálogo TIMSS'!$J$5:$J$107,MATCH(L282,'Datos - Catálogo TIMSS'!$A$5:$A$107,0)),"No")="Sí",1,0)</f>
        <v>0</v>
      </c>
      <c r="AA282" t="s" s="35">
        <v>3135</v>
      </c>
      <c r="AB282" s="39"/>
      <c r="AC282" t="str" s="39">
        <v>Ciencias de la Tierra</v>
      </c>
      <c r="AD282" t="s" s="35">
        <v>1900</v>
      </c>
      <c r="AE282" t="str" s="39" cm="1">
        <f t="array" ref="AE282">IF(AD282="","",IF(LEFT(AD282,1)="1","C1",IF(LEFT(AD282,1)="2","C2",IF(LEFT(AD282,1)="3","C3",""))))</f>
        <v>C3</v>
      </c>
      <c r="AF282" t="s" s="35">
        <v>1615</v>
      </c>
      <c r="AG282" t="s" s="35">
        <v>1617</v>
      </c>
      <c r="AH282" t="s" s="35">
        <v>1602</v>
      </c>
      <c r="AI282" t="s" s="35">
        <v>1625</v>
      </c>
      <c r="AJ282" t="s" s="35">
        <v>1615</v>
      </c>
      <c r="AK282" s="39"/>
      <c r="AL282" s="39"/>
      <c r="AM282" s="39"/>
      <c r="AN282" s="39"/>
      <c r="AO282" s="39"/>
      <c r="AP282" s="39"/>
      <c r="AQ282" s="39"/>
      <c r="AR282" s="39"/>
      <c r="AS282" s="39"/>
      <c r="AT282" s="39"/>
      <c r="AU282" s="39"/>
      <c r="AV282" s="39"/>
      <c r="AW282" t="str" s="39" cm="1">
        <f t="array" ref="AW282">AF282&amp;"; "&amp;AG282&amp;"; "&amp;AH282&amp;"; "&amp;AI282&amp;"; "&amp;AJ282</f>
        <v>E6; D1; E1; I1; E6</v>
      </c>
    </row>
    <row r="283" ht="13.65" customHeight="1">
      <c r="A283" t="s" s="35">
        <v>3148</v>
      </c>
      <c r="B283" s="36">
        <v>5</v>
      </c>
      <c r="C283" t="s" s="35">
        <v>1823</v>
      </c>
      <c r="D283" t="s" s="35">
        <v>2825</v>
      </c>
      <c r="E283" t="s" s="35">
        <v>3066</v>
      </c>
      <c r="F283" s="36">
        <v>22</v>
      </c>
      <c r="G283" t="s" s="35">
        <v>458</v>
      </c>
      <c r="H283" t="s" s="35">
        <v>3149</v>
      </c>
      <c r="I283" t="s" s="120">
        <v>3150</v>
      </c>
      <c r="J283" t="s" s="35">
        <v>1164</v>
      </c>
      <c r="K283" t="s" s="35">
        <v>1290</v>
      </c>
      <c r="L283" s="39"/>
      <c r="M283" t="str" s="39">
        <v>Ciencias de la Tierra</v>
      </c>
      <c r="N283" t="str" s="39">
        <v>Recursos de la Tierra, uso y conservación</v>
      </c>
      <c r="O283" t="str" s="39" cm="1">
        <f t="array" ref="O283">IF(L283="","",_xlfn.IFERROR(INDEX('Datos - Catálogo TIMSS'!$C$5:$C$107,MATCH(L283,'Datos - Catálogo TIMSS'!$A$5:$A$107,0)),"?"))</f>
      </c>
      <c r="P283" t="s" s="35">
        <v>282</v>
      </c>
      <c r="Q283" t="s" s="120">
        <v>3151</v>
      </c>
      <c r="R283" t="s" s="120">
        <v>2805</v>
      </c>
      <c r="S283" s="121" cm="1">
        <f t="array" ref="S283">_xlfn.IFERROR(ISNUMBER(SEARCH("Conocer",$R283))/(ISNUMBER(SEARCH("Conocer",$R283))+ISNUMBER(SEARCH("Aplicar",$R283))+ISNUMBER(SEARCH("Razonar",$R283))),0)</f>
        <v>0</v>
      </c>
      <c r="T283" s="121" cm="1">
        <f t="array" ref="T283">_xlfn.IFERROR(ISNUMBER(SEARCH("Aplicar",$R283))/(ISNUMBER(SEARCH("Conocer",$R283))+ISNUMBER(SEARCH("Aplicar",$R283))+ISNUMBER(SEARCH("Razonar",$R283))),0)</f>
        <v>1</v>
      </c>
      <c r="U283" s="121" cm="1">
        <f t="array" ref="U283">_xlfn.IFERROR(ISNUMBER(SEARCH("Razonar",$R283))/(ISNUMBER(SEARCH("Conocer",$R283))+ISNUMBER(SEARCH("Aplicar",$R283))+ISNUMBER(SEARCH("Razonar",$R283))),0)</f>
        <v>0</v>
      </c>
      <c r="V283" t="s" s="35">
        <v>79</v>
      </c>
      <c r="W283" t="s" s="35">
        <v>115</v>
      </c>
      <c r="X283" s="36" cm="1">
        <f t="array" ref="X283">IF(OR(_xlfn.IFERROR(INDEX('Datos - Catálogo TIMSS'!$I$5:$I$107,MATCH(K283,'Datos - Catálogo TIMSS'!$A$5:$A$107,0)),"No")="Sí",_xlfn.IFERROR(INDEX('Datos - Catálogo TIMSS'!$I$5:$I$107,MATCH(L283,'Datos - Catálogo TIMSS'!$A$5:$A$107,0)),"No")="Sí"),1,0)</f>
        <v>1</v>
      </c>
      <c r="Y283" s="36" cm="1">
        <f t="array" ref="Y283">IF(_xlfn.IFERROR(INDEX('Datos - Catálogo TIMSS'!$J$5:$J$107,MATCH(K283,'Datos - Catálogo TIMSS'!$A$5:$A$107,0)),"No")="Sí",1,0)</f>
        <v>0</v>
      </c>
      <c r="Z283" s="36" cm="1">
        <f t="array" ref="Z283">IF(_xlfn.IFERROR(INDEX('Datos - Catálogo TIMSS'!$J$5:$J$107,MATCH(L283,'Datos - Catálogo TIMSS'!$A$5:$A$107,0)),"No")="Sí",1,0)</f>
        <v>0</v>
      </c>
      <c r="AA283" t="s" s="35">
        <v>3135</v>
      </c>
      <c r="AB283" s="39"/>
      <c r="AC283" t="str" s="39">
        <v>Ciencias de la Tierra</v>
      </c>
      <c r="AD283" t="s" s="35">
        <v>1900</v>
      </c>
      <c r="AE283" t="str" s="39" cm="1">
        <f t="array" ref="AE283">IF(AD283="","",IF(LEFT(AD283,1)="1","C1",IF(LEFT(AD283,1)="2","C2",IF(LEFT(AD283,1)="3","C3",""))))</f>
        <v>C3</v>
      </c>
      <c r="AF283" t="s" s="35">
        <v>1602</v>
      </c>
      <c r="AG283" t="s" s="35">
        <v>1617</v>
      </c>
      <c r="AH283" t="s" s="35">
        <v>1605</v>
      </c>
      <c r="AI283" t="s" s="35">
        <v>1629</v>
      </c>
      <c r="AJ283" t="s" s="35">
        <v>1633</v>
      </c>
      <c r="AK283" s="39"/>
      <c r="AL283" s="39"/>
      <c r="AM283" s="39"/>
      <c r="AN283" s="39"/>
      <c r="AO283" s="39"/>
      <c r="AP283" s="39"/>
      <c r="AQ283" s="39"/>
      <c r="AR283" s="39"/>
      <c r="AS283" s="39"/>
      <c r="AT283" s="39"/>
      <c r="AU283" s="39"/>
      <c r="AV283" s="39"/>
      <c r="AW283" t="str" s="39" cm="1">
        <f t="array" ref="AW283">AF283&amp;"; "&amp;AG283&amp;"; "&amp;AH283&amp;"; "&amp;AI283&amp;"; "&amp;AJ283</f>
        <v>E1; D1; E2; I3; I5</v>
      </c>
    </row>
    <row r="284" ht="13.65" customHeight="1">
      <c r="A284" t="s" s="35">
        <v>3152</v>
      </c>
      <c r="B284" s="36">
        <v>5</v>
      </c>
      <c r="C284" t="s" s="35">
        <v>1823</v>
      </c>
      <c r="D284" t="s" s="35">
        <v>2825</v>
      </c>
      <c r="E284" t="s" s="35">
        <v>3066</v>
      </c>
      <c r="F284" s="36">
        <v>23</v>
      </c>
      <c r="G284" t="s" s="35">
        <v>458</v>
      </c>
      <c r="H284" t="s" s="35">
        <v>3149</v>
      </c>
      <c r="I284" t="s" s="120">
        <v>3153</v>
      </c>
      <c r="J284" t="s" s="35">
        <v>1164</v>
      </c>
      <c r="K284" t="s" s="35">
        <v>1290</v>
      </c>
      <c r="L284" t="s" s="35">
        <v>1201</v>
      </c>
      <c r="M284" t="str" s="39">
        <v>Ciencias de la Tierra</v>
      </c>
      <c r="N284" t="str" s="39">
        <v>Recursos de la Tierra, uso y conservación</v>
      </c>
      <c r="O284" t="str" s="39" cm="1">
        <f t="array" ref="O284">IF(L284="","",_xlfn.IFERROR(INDEX('Datos - Catálogo TIMSS'!$C$5:$C$107,MATCH(L284,'Datos - Catálogo TIMSS'!$A$5:$A$107,0)),"?"))</f>
        <v>Biología</v>
      </c>
      <c r="P284" t="s" s="35">
        <v>282</v>
      </c>
      <c r="Q284" t="s" s="120">
        <v>3154</v>
      </c>
      <c r="R284" t="s" s="120">
        <v>3155</v>
      </c>
      <c r="S284" s="121" cm="1">
        <f t="array" ref="S284">_xlfn.IFERROR(ISNUMBER(SEARCH("Conocer",$R284))/(ISNUMBER(SEARCH("Conocer",$R284))+ISNUMBER(SEARCH("Aplicar",$R284))+ISNUMBER(SEARCH("Razonar",$R284))),0)</f>
        <v>0</v>
      </c>
      <c r="T284" s="121" cm="1">
        <f t="array" ref="T284">_xlfn.IFERROR(ISNUMBER(SEARCH("Aplicar",$R284))/(ISNUMBER(SEARCH("Conocer",$R284))+ISNUMBER(SEARCH("Aplicar",$R284))+ISNUMBER(SEARCH("Razonar",$R284))),0)</f>
        <v>0</v>
      </c>
      <c r="U284" s="121" cm="1">
        <f t="array" ref="U284">_xlfn.IFERROR(ISNUMBER(SEARCH("Razonar",$R284))/(ISNUMBER(SEARCH("Conocer",$R284))+ISNUMBER(SEARCH("Aplicar",$R284))+ISNUMBER(SEARCH("Razonar",$R284))),0)</f>
        <v>1</v>
      </c>
      <c r="V284" t="s" s="35">
        <v>79</v>
      </c>
      <c r="W284" t="s" s="35">
        <v>115</v>
      </c>
      <c r="X284" s="36" cm="1">
        <f t="array" ref="X284">IF(OR(_xlfn.IFERROR(INDEX('Datos - Catálogo TIMSS'!$I$5:$I$107,MATCH(K284,'Datos - Catálogo TIMSS'!$A$5:$A$107,0)),"No")="Sí",_xlfn.IFERROR(INDEX('Datos - Catálogo TIMSS'!$I$5:$I$107,MATCH(L284,'Datos - Catálogo TIMSS'!$A$5:$A$107,0)),"No")="Sí"),1,0)</f>
        <v>1</v>
      </c>
      <c r="Y284" s="36" cm="1">
        <f t="array" ref="Y284">IF(_xlfn.IFERROR(INDEX('Datos - Catálogo TIMSS'!$J$5:$J$107,MATCH(K284,'Datos - Catálogo TIMSS'!$A$5:$A$107,0)),"No")="Sí",1,0)</f>
        <v>0</v>
      </c>
      <c r="Z284" s="36" cm="1">
        <f t="array" ref="Z284">IF(_xlfn.IFERROR(INDEX('Datos - Catálogo TIMSS'!$J$5:$J$107,MATCH(L284,'Datos - Catálogo TIMSS'!$A$5:$A$107,0)),"No")="Sí",1,0)</f>
        <v>0</v>
      </c>
      <c r="AA284" t="s" s="35">
        <v>3135</v>
      </c>
      <c r="AB284" t="s" s="35">
        <v>3144</v>
      </c>
      <c r="AC284" t="str" s="39">
        <v>Ciencias de la Tierra</v>
      </c>
      <c r="AD284" t="s" s="35">
        <v>1900</v>
      </c>
      <c r="AE284" t="str" s="39" cm="1">
        <f t="array" ref="AE284">IF(AD284="","",IF(LEFT(AD284,1)="1","C1",IF(LEFT(AD284,1)="2","C2",IF(LEFT(AD284,1)="3","C3",""))))</f>
        <v>C3</v>
      </c>
      <c r="AF284" t="s" s="35">
        <v>1615</v>
      </c>
      <c r="AG284" t="s" s="35">
        <v>1617</v>
      </c>
      <c r="AH284" t="s" s="35">
        <v>1605</v>
      </c>
      <c r="AI284" t="s" s="35">
        <v>1629</v>
      </c>
      <c r="AJ284" t="s" s="35">
        <v>1633</v>
      </c>
      <c r="AK284" s="39"/>
      <c r="AL284" s="39"/>
      <c r="AM284" s="39"/>
      <c r="AN284" s="39"/>
      <c r="AO284" s="39"/>
      <c r="AP284" s="39"/>
      <c r="AQ284" s="39"/>
      <c r="AR284" s="39"/>
      <c r="AS284" s="39"/>
      <c r="AT284" s="39"/>
      <c r="AU284" s="39"/>
      <c r="AV284" s="39"/>
      <c r="AW284" t="str" s="39" cm="1">
        <f t="array" ref="AW284">AF284&amp;"; "&amp;AG284&amp;"; "&amp;AH284&amp;"; "&amp;AI284&amp;"; "&amp;AJ284</f>
        <v>E6; D1; E2; I3; I5</v>
      </c>
    </row>
    <row r="285" ht="13.65" customHeight="1">
      <c r="A285" t="s" s="35">
        <v>3157</v>
      </c>
      <c r="B285" s="36">
        <v>6</v>
      </c>
      <c r="C285" t="s" s="35">
        <v>1823</v>
      </c>
      <c r="D285" t="s" s="35">
        <v>3158</v>
      </c>
      <c r="E285" t="s" s="35">
        <v>3159</v>
      </c>
      <c r="F285" s="36">
        <v>3</v>
      </c>
      <c r="G285" t="s" s="35">
        <v>493</v>
      </c>
      <c r="H285" t="s" s="35">
        <v>3160</v>
      </c>
      <c r="I285" t="s" s="120">
        <v>3161</v>
      </c>
      <c r="J285" t="s" s="35">
        <v>1164</v>
      </c>
      <c r="K285" t="s" s="35">
        <v>1218</v>
      </c>
      <c r="L285" t="s" s="35">
        <v>569</v>
      </c>
      <c r="M285" t="str" s="39">
        <v>Química</v>
      </c>
      <c r="N285" t="str" s="39">
        <v>Propiedades de la materia</v>
      </c>
      <c r="O285" t="str" s="39" cm="1">
        <f t="array" ref="O285">IF(L285="","",_xlfn.IFERROR(INDEX('Datos - Catálogo TIMSS'!$C$5:$C$107,MATCH(L285,'Datos - Catálogo TIMSS'!$A$5:$A$107,0)),"?"))</f>
        <v>Física</v>
      </c>
      <c r="P285" t="s" s="35">
        <v>282</v>
      </c>
      <c r="Q285" t="s" s="120">
        <v>3163</v>
      </c>
      <c r="R285" t="s" s="120">
        <v>3164</v>
      </c>
      <c r="S285" s="121" cm="1">
        <f t="array" ref="S285">_xlfn.IFERROR(ISNUMBER(SEARCH("Conocer",$R285))/(ISNUMBER(SEARCH("Conocer",$R285))+ISNUMBER(SEARCH("Aplicar",$R285))+ISNUMBER(SEARCH("Razonar",$R285))),0)</f>
        <v>0</v>
      </c>
      <c r="T285" s="121" cm="1">
        <f t="array" ref="T285">_xlfn.IFERROR(ISNUMBER(SEARCH("Aplicar",$R285))/(ISNUMBER(SEARCH("Conocer",$R285))+ISNUMBER(SEARCH("Aplicar",$R285))+ISNUMBER(SEARCH("Razonar",$R285))),0)</f>
        <v>0.5</v>
      </c>
      <c r="U285" s="121" cm="1">
        <f t="array" ref="U285">_xlfn.IFERROR(ISNUMBER(SEARCH("Razonar",$R285))/(ISNUMBER(SEARCH("Conocer",$R285))+ISNUMBER(SEARCH("Aplicar",$R285))+ISNUMBER(SEARCH("Razonar",$R285))),0)</f>
        <v>0.5</v>
      </c>
      <c r="V285" t="s" s="35">
        <v>82</v>
      </c>
      <c r="W285" t="s" s="35">
        <v>115</v>
      </c>
      <c r="X285" s="36" cm="1">
        <f t="array" ref="X285">IF(OR(_xlfn.IFERROR(INDEX('Datos - Catálogo TIMSS'!$I$5:$I$107,MATCH(K285,'Datos - Catálogo TIMSS'!$A$5:$A$107,0)),"No")="Sí",_xlfn.IFERROR(INDEX('Datos - Catálogo TIMSS'!$I$5:$I$107,MATCH(L285,'Datos - Catálogo TIMSS'!$A$5:$A$107,0)),"No")="Sí"),1,0)</f>
        <v>0</v>
      </c>
      <c r="Y285" s="36" cm="1">
        <f t="array" ref="Y285">IF(_xlfn.IFERROR(INDEX('Datos - Catálogo TIMSS'!$J$5:$J$107,MATCH(K285,'Datos - Catálogo TIMSS'!$A$5:$A$107,0)),"No")="Sí",1,0)</f>
        <v>0</v>
      </c>
      <c r="Z285" s="36" cm="1">
        <f t="array" ref="Z285">IF(_xlfn.IFERROR(INDEX('Datos - Catálogo TIMSS'!$J$5:$J$107,MATCH(L285,'Datos - Catálogo TIMSS'!$A$5:$A$107,0)),"No")="Sí",1,0)</f>
        <v>1</v>
      </c>
      <c r="AA285" t="s" s="35">
        <v>3165</v>
      </c>
      <c r="AB285" t="s" s="35">
        <v>2908</v>
      </c>
      <c r="AC285" t="str" s="39">
        <v>Física</v>
      </c>
      <c r="AD285" t="s" s="35">
        <v>1834</v>
      </c>
      <c r="AE285" t="str" s="39" cm="1">
        <f t="array" ref="AE285">IF(AD285="","",IF(LEFT(AD285,1)="1","C1",IF(LEFT(AD285,1)="2","C2",IF(LEFT(AD285,1)="3","C3",""))))</f>
        <v>C2</v>
      </c>
      <c r="AF285" t="s" s="35">
        <v>1602</v>
      </c>
      <c r="AG285" t="s" s="35">
        <v>1607</v>
      </c>
      <c r="AH285" t="s" s="35">
        <v>1602</v>
      </c>
      <c r="AI285" t="s" s="35">
        <v>1623</v>
      </c>
      <c r="AJ285" t="s" s="35">
        <v>1607</v>
      </c>
      <c r="AK285" s="39"/>
      <c r="AL285" s="39"/>
      <c r="AM285" s="39"/>
      <c r="AN285" s="39"/>
      <c r="AO285" s="39"/>
      <c r="AP285" s="39"/>
      <c r="AQ285" s="39"/>
      <c r="AR285" s="39"/>
      <c r="AS285" s="39"/>
      <c r="AT285" s="39"/>
      <c r="AU285" s="39"/>
      <c r="AV285" s="39"/>
      <c r="AW285" t="str" s="39" cm="1">
        <f t="array" ref="AW285">AF285&amp;"; "&amp;AG285&amp;"; "&amp;AH285&amp;"; "&amp;AI285&amp;"; "&amp;AJ285</f>
        <v>E1; E3; E1; D4; E3</v>
      </c>
    </row>
    <row r="286" ht="13.65" customHeight="1">
      <c r="A286" t="s" s="35">
        <v>3166</v>
      </c>
      <c r="B286" s="36">
        <v>6</v>
      </c>
      <c r="C286" t="s" s="35">
        <v>1823</v>
      </c>
      <c r="D286" t="s" s="35">
        <v>3158</v>
      </c>
      <c r="E286" t="s" s="35">
        <v>3159</v>
      </c>
      <c r="F286" s="36">
        <v>4</v>
      </c>
      <c r="G286" t="s" s="35">
        <v>493</v>
      </c>
      <c r="H286" t="s" s="35">
        <v>3160</v>
      </c>
      <c r="I286" t="s" s="120">
        <v>3167</v>
      </c>
      <c r="J286" t="s" s="35">
        <v>1164</v>
      </c>
      <c r="K286" t="s" s="35">
        <v>535</v>
      </c>
      <c r="L286" s="39"/>
      <c r="M286" t="str" s="39">
        <v>Física</v>
      </c>
      <c r="N286" t="str" s="39">
        <v>Movimiento y fuerzas</v>
      </c>
      <c r="O286" t="str" s="39" cm="1">
        <f t="array" ref="O286">IF(L286="","",_xlfn.IFERROR(INDEX('Datos - Catálogo TIMSS'!$C$5:$C$107,MATCH(L286,'Datos - Catálogo TIMSS'!$A$5:$A$107,0)),"?"))</f>
      </c>
      <c r="P286" t="s" s="35">
        <v>254</v>
      </c>
      <c r="Q286" t="s" s="120">
        <v>3168</v>
      </c>
      <c r="R286" t="s" s="120">
        <v>2154</v>
      </c>
      <c r="S286" s="121" cm="1">
        <f t="array" ref="S286">_xlfn.IFERROR(ISNUMBER(SEARCH("Conocer",$R286))/(ISNUMBER(SEARCH("Conocer",$R286))+ISNUMBER(SEARCH("Aplicar",$R286))+ISNUMBER(SEARCH("Razonar",$R286))),0)</f>
        <v>0</v>
      </c>
      <c r="T286" s="121" cm="1">
        <f t="array" ref="T286">_xlfn.IFERROR(ISNUMBER(SEARCH("Aplicar",$R286))/(ISNUMBER(SEARCH("Conocer",$R286))+ISNUMBER(SEARCH("Aplicar",$R286))+ISNUMBER(SEARCH("Razonar",$R286))),0)</f>
        <v>0</v>
      </c>
      <c r="U286" s="121" cm="1">
        <f t="array" ref="U286">_xlfn.IFERROR(ISNUMBER(SEARCH("Razonar",$R286))/(ISNUMBER(SEARCH("Conocer",$R286))+ISNUMBER(SEARCH("Aplicar",$R286))+ISNUMBER(SEARCH("Razonar",$R286))),0)</f>
        <v>1</v>
      </c>
      <c r="V286" t="s" s="35">
        <v>82</v>
      </c>
      <c r="W286" t="s" s="35">
        <v>115</v>
      </c>
      <c r="X286" s="36" cm="1">
        <f t="array" ref="X286">IF(OR(_xlfn.IFERROR(INDEX('Datos - Catálogo TIMSS'!$I$5:$I$107,MATCH(K286,'Datos - Catálogo TIMSS'!$A$5:$A$107,0)),"No")="Sí",_xlfn.IFERROR(INDEX('Datos - Catálogo TIMSS'!$I$5:$I$107,MATCH(L286,'Datos - Catálogo TIMSS'!$A$5:$A$107,0)),"No")="Sí"),1,0)</f>
        <v>0</v>
      </c>
      <c r="Y286" s="36" cm="1">
        <f t="array" ref="Y286">IF(_xlfn.IFERROR(INDEX('Datos - Catálogo TIMSS'!$J$5:$J$107,MATCH(K286,'Datos - Catálogo TIMSS'!$A$5:$A$107,0)),"No")="Sí",1,0)</f>
        <v>0</v>
      </c>
      <c r="Z286" s="36" cm="1">
        <f t="array" ref="Z286">IF(_xlfn.IFERROR(INDEX('Datos - Catálogo TIMSS'!$J$5:$J$107,MATCH(L286,'Datos - Catálogo TIMSS'!$A$5:$A$107,0)),"No")="Sí",1,0)</f>
        <v>0</v>
      </c>
      <c r="AA286" t="s" s="35">
        <v>2908</v>
      </c>
      <c r="AB286" s="39"/>
      <c r="AC286" t="str" s="39">
        <v>Física</v>
      </c>
      <c r="AD286" t="s" s="35">
        <v>1834</v>
      </c>
      <c r="AE286" t="str" s="39" cm="1">
        <f t="array" ref="AE286">IF(AD286="","",IF(LEFT(AD286,1)="1","C1",IF(LEFT(AD286,1)="2","C2",IF(LEFT(AD286,1)="3","C3",""))))</f>
        <v>C2</v>
      </c>
      <c r="AF286" t="s" s="35">
        <v>1602</v>
      </c>
      <c r="AG286" t="s" s="35">
        <v>1612</v>
      </c>
      <c r="AH286" t="s" s="35">
        <v>1602</v>
      </c>
      <c r="AI286" t="s" s="35">
        <v>1619</v>
      </c>
      <c r="AJ286" t="s" s="35">
        <v>1607</v>
      </c>
      <c r="AK286" s="39"/>
      <c r="AL286" s="39"/>
      <c r="AM286" s="39"/>
      <c r="AN286" s="39"/>
      <c r="AO286" s="39"/>
      <c r="AP286" s="39"/>
      <c r="AQ286" s="39"/>
      <c r="AR286" s="39"/>
      <c r="AS286" s="39"/>
      <c r="AT286" s="39"/>
      <c r="AU286" s="39"/>
      <c r="AV286" s="39"/>
      <c r="AW286" t="str" s="39" cm="1">
        <f t="array" ref="AW286">AF286&amp;"; "&amp;AG286&amp;"; "&amp;AH286&amp;"; "&amp;AI286&amp;"; "&amp;AJ286</f>
        <v>E1; E5; E1; D2; E3</v>
      </c>
    </row>
    <row r="287" ht="13.65" customHeight="1">
      <c r="A287" t="s" s="35">
        <v>3169</v>
      </c>
      <c r="B287" s="36">
        <v>6</v>
      </c>
      <c r="C287" t="s" s="35">
        <v>1823</v>
      </c>
      <c r="D287" t="s" s="35">
        <v>3158</v>
      </c>
      <c r="E287" t="s" s="35">
        <v>3159</v>
      </c>
      <c r="F287" s="36">
        <v>5</v>
      </c>
      <c r="G287" t="s" s="35">
        <v>493</v>
      </c>
      <c r="H287" t="s" s="35">
        <v>3160</v>
      </c>
      <c r="I287" t="s" s="120">
        <v>3170</v>
      </c>
      <c r="J287" t="s" s="35">
        <v>1164</v>
      </c>
      <c r="K287" t="s" s="35">
        <v>535</v>
      </c>
      <c r="L287" s="39"/>
      <c r="M287" t="str" s="39">
        <v>Física</v>
      </c>
      <c r="N287" t="str" s="39">
        <v>Movimiento y fuerzas</v>
      </c>
      <c r="O287" t="str" s="39" cm="1">
        <f t="array" ref="O287">IF(L287="","",_xlfn.IFERROR(INDEX('Datos - Catálogo TIMSS'!$C$5:$C$107,MATCH(L287,'Datos - Catálogo TIMSS'!$A$5:$A$107,0)),"?"))</f>
      </c>
      <c r="P287" t="s" s="35">
        <v>254</v>
      </c>
      <c r="Q287" t="s" s="120">
        <v>3171</v>
      </c>
      <c r="R287" t="s" s="120">
        <v>3172</v>
      </c>
      <c r="S287" s="121" cm="1">
        <f t="array" ref="S287">_xlfn.IFERROR(ISNUMBER(SEARCH("Conocer",$R287))/(ISNUMBER(SEARCH("Conocer",$R287))+ISNUMBER(SEARCH("Aplicar",$R287))+ISNUMBER(SEARCH("Razonar",$R287))),0)</f>
        <v>0</v>
      </c>
      <c r="T287" s="121" cm="1">
        <f t="array" ref="T287">_xlfn.IFERROR(ISNUMBER(SEARCH("Aplicar",$R287))/(ISNUMBER(SEARCH("Conocer",$R287))+ISNUMBER(SEARCH("Aplicar",$R287))+ISNUMBER(SEARCH("Razonar",$R287))),0)</f>
        <v>0.5</v>
      </c>
      <c r="U287" s="121" cm="1">
        <f t="array" ref="U287">_xlfn.IFERROR(ISNUMBER(SEARCH("Razonar",$R287))/(ISNUMBER(SEARCH("Conocer",$R287))+ISNUMBER(SEARCH("Aplicar",$R287))+ISNUMBER(SEARCH("Razonar",$R287))),0)</f>
        <v>0.5</v>
      </c>
      <c r="V287" t="s" s="35">
        <v>82</v>
      </c>
      <c r="W287" t="s" s="35">
        <v>115</v>
      </c>
      <c r="X287" s="36" cm="1">
        <f t="array" ref="X287">IF(OR(_xlfn.IFERROR(INDEX('Datos - Catálogo TIMSS'!$I$5:$I$107,MATCH(K287,'Datos - Catálogo TIMSS'!$A$5:$A$107,0)),"No")="Sí",_xlfn.IFERROR(INDEX('Datos - Catálogo TIMSS'!$I$5:$I$107,MATCH(L287,'Datos - Catálogo TIMSS'!$A$5:$A$107,0)),"No")="Sí"),1,0)</f>
        <v>0</v>
      </c>
      <c r="Y287" s="36" cm="1">
        <f t="array" ref="Y287">IF(_xlfn.IFERROR(INDEX('Datos - Catálogo TIMSS'!$J$5:$J$107,MATCH(K287,'Datos - Catálogo TIMSS'!$A$5:$A$107,0)),"No")="Sí",1,0)</f>
        <v>0</v>
      </c>
      <c r="Z287" s="36" cm="1">
        <f t="array" ref="Z287">IF(_xlfn.IFERROR(INDEX('Datos - Catálogo TIMSS'!$J$5:$J$107,MATCH(L287,'Datos - Catálogo TIMSS'!$A$5:$A$107,0)),"No")="Sí",1,0)</f>
        <v>0</v>
      </c>
      <c r="AA287" t="s" s="35">
        <v>2908</v>
      </c>
      <c r="AB287" s="39"/>
      <c r="AC287" t="str" s="39">
        <v>Física</v>
      </c>
      <c r="AD287" t="s" s="35">
        <v>1834</v>
      </c>
      <c r="AE287" t="str" s="39" cm="1">
        <f t="array" ref="AE287">IF(AD287="","",IF(LEFT(AD287,1)="1","C1",IF(LEFT(AD287,1)="2","C2",IF(LEFT(AD287,1)="3","C3",""))))</f>
        <v>C2</v>
      </c>
      <c r="AF287" t="s" s="35">
        <v>1602</v>
      </c>
      <c r="AG287" t="s" s="35">
        <v>1617</v>
      </c>
      <c r="AH287" t="s" s="35">
        <v>1602</v>
      </c>
      <c r="AI287" t="s" s="35">
        <v>1623</v>
      </c>
      <c r="AJ287" t="s" s="35">
        <v>1615</v>
      </c>
      <c r="AK287" s="39"/>
      <c r="AL287" s="39"/>
      <c r="AM287" s="39"/>
      <c r="AN287" s="39"/>
      <c r="AO287" s="39"/>
      <c r="AP287" s="39"/>
      <c r="AQ287" s="39"/>
      <c r="AR287" s="39"/>
      <c r="AS287" s="39"/>
      <c r="AT287" s="39"/>
      <c r="AU287" s="39"/>
      <c r="AV287" s="39"/>
      <c r="AW287" t="str" s="39" cm="1">
        <f t="array" ref="AW287">AF287&amp;"; "&amp;AG287&amp;"; "&amp;AH287&amp;"; "&amp;AI287&amp;"; "&amp;AJ287</f>
        <v>E1; D1; E1; D4; E6</v>
      </c>
    </row>
    <row r="288" ht="13.65" customHeight="1">
      <c r="A288" t="s" s="35">
        <v>3173</v>
      </c>
      <c r="B288" s="36">
        <v>6</v>
      </c>
      <c r="C288" t="s" s="35">
        <v>1823</v>
      </c>
      <c r="D288" t="s" s="35">
        <v>3158</v>
      </c>
      <c r="E288" t="s" s="35">
        <v>3159</v>
      </c>
      <c r="F288" s="36">
        <v>6</v>
      </c>
      <c r="G288" t="s" s="35">
        <v>493</v>
      </c>
      <c r="H288" t="s" s="35">
        <v>3160</v>
      </c>
      <c r="I288" t="s" s="120">
        <v>3174</v>
      </c>
      <c r="J288" t="s" s="35">
        <v>1164</v>
      </c>
      <c r="K288" t="s" s="35">
        <v>554</v>
      </c>
      <c r="L288" s="39"/>
      <c r="M288" t="str" s="39">
        <v>Física</v>
      </c>
      <c r="N288" t="str" s="39">
        <v>Estados físicos y cambios de la materia</v>
      </c>
      <c r="O288" t="str" s="39" cm="1">
        <f t="array" ref="O288">IF(L288="","",_xlfn.IFERROR(INDEX('Datos - Catálogo TIMSS'!$C$5:$C$107,MATCH(L288,'Datos - Catálogo TIMSS'!$A$5:$A$107,0)),"?"))</f>
      </c>
      <c r="P288" t="s" s="35">
        <v>291</v>
      </c>
      <c r="Q288" t="s" s="120">
        <v>3176</v>
      </c>
      <c r="R288" t="s" s="120">
        <v>3177</v>
      </c>
      <c r="S288" s="121" cm="1">
        <f t="array" ref="S288">_xlfn.IFERROR(ISNUMBER(SEARCH("Conocer",$R288))/(ISNUMBER(SEARCH("Conocer",$R288))+ISNUMBER(SEARCH("Aplicar",$R288))+ISNUMBER(SEARCH("Razonar",$R288))),0)</f>
        <v>1</v>
      </c>
      <c r="T288" s="121" cm="1">
        <f t="array" ref="T288">_xlfn.IFERROR(ISNUMBER(SEARCH("Aplicar",$R288))/(ISNUMBER(SEARCH("Conocer",$R288))+ISNUMBER(SEARCH("Aplicar",$R288))+ISNUMBER(SEARCH("Razonar",$R288))),0)</f>
        <v>0</v>
      </c>
      <c r="U288" s="121" cm="1">
        <f t="array" ref="U288">_xlfn.IFERROR(ISNUMBER(SEARCH("Razonar",$R288))/(ISNUMBER(SEARCH("Conocer",$R288))+ISNUMBER(SEARCH("Aplicar",$R288))+ISNUMBER(SEARCH("Razonar",$R288))),0)</f>
        <v>0</v>
      </c>
      <c r="V288" t="s" s="35">
        <v>82</v>
      </c>
      <c r="W288" t="s" s="35">
        <v>115</v>
      </c>
      <c r="X288" s="36" cm="1">
        <f t="array" ref="X288">IF(OR(_xlfn.IFERROR(INDEX('Datos - Catálogo TIMSS'!$I$5:$I$107,MATCH(K288,'Datos - Catálogo TIMSS'!$A$5:$A$107,0)),"No")="Sí",_xlfn.IFERROR(INDEX('Datos - Catálogo TIMSS'!$I$5:$I$107,MATCH(L288,'Datos - Catálogo TIMSS'!$A$5:$A$107,0)),"No")="Sí"),1,0)</f>
        <v>0</v>
      </c>
      <c r="Y288" s="36" cm="1">
        <f t="array" ref="Y288">IF(_xlfn.IFERROR(INDEX('Datos - Catálogo TIMSS'!$J$5:$J$107,MATCH(K288,'Datos - Catálogo TIMSS'!$A$5:$A$107,0)),"No")="Sí",1,0)</f>
        <v>0</v>
      </c>
      <c r="Z288" s="36" cm="1">
        <f t="array" ref="Z288">IF(_xlfn.IFERROR(INDEX('Datos - Catálogo TIMSS'!$J$5:$J$107,MATCH(L288,'Datos - Catálogo TIMSS'!$A$5:$A$107,0)),"No")="Sí",1,0)</f>
        <v>0</v>
      </c>
      <c r="AA288" t="s" s="35">
        <v>3165</v>
      </c>
      <c r="AB288" s="39"/>
      <c r="AC288" t="str" s="39">
        <v>Física</v>
      </c>
      <c r="AD288" t="s" s="35">
        <v>1859</v>
      </c>
      <c r="AE288" t="str" s="39" cm="1">
        <f t="array" ref="AE288">IF(AD288="","",IF(LEFT(AD288,1)="1","C1",IF(LEFT(AD288,1)="2","C2",IF(LEFT(AD288,1)="3","C3",""))))</f>
        <v>C1</v>
      </c>
      <c r="AF288" t="s" s="35">
        <v>1602</v>
      </c>
      <c r="AG288" t="s" s="35">
        <v>1612</v>
      </c>
      <c r="AH288" t="s" s="35">
        <v>1602</v>
      </c>
      <c r="AI288" t="s" s="35">
        <v>1623</v>
      </c>
      <c r="AJ288" t="s" s="35">
        <v>1602</v>
      </c>
      <c r="AK288" s="39"/>
      <c r="AL288" s="39"/>
      <c r="AM288" s="39"/>
      <c r="AN288" s="39"/>
      <c r="AO288" s="39"/>
      <c r="AP288" s="39"/>
      <c r="AQ288" s="39"/>
      <c r="AR288" s="39"/>
      <c r="AS288" s="39"/>
      <c r="AT288" s="39"/>
      <c r="AU288" s="39"/>
      <c r="AV288" s="39"/>
      <c r="AW288" t="str" s="39" cm="1">
        <f t="array" ref="AW288">AF288&amp;"; "&amp;AG288&amp;"; "&amp;AH288&amp;"; "&amp;AI288&amp;"; "&amp;AJ288</f>
        <v>E1; E5; E1; D4; E1</v>
      </c>
    </row>
    <row r="289" ht="13.65" customHeight="1">
      <c r="A289" t="s" s="35">
        <v>3178</v>
      </c>
      <c r="B289" s="36">
        <v>6</v>
      </c>
      <c r="C289" t="s" s="35">
        <v>1823</v>
      </c>
      <c r="D289" t="s" s="35">
        <v>3158</v>
      </c>
      <c r="E289" t="s" s="35">
        <v>3159</v>
      </c>
      <c r="F289" s="36">
        <v>7</v>
      </c>
      <c r="G289" t="s" s="35">
        <v>493</v>
      </c>
      <c r="H289" t="s" s="35">
        <v>3160</v>
      </c>
      <c r="I289" t="s" s="120">
        <v>3179</v>
      </c>
      <c r="J289" t="s" s="35">
        <v>1164</v>
      </c>
      <c r="K289" t="s" s="35">
        <v>554</v>
      </c>
      <c r="L289" s="39"/>
      <c r="M289" t="str" s="39">
        <v>Física</v>
      </c>
      <c r="N289" t="str" s="39">
        <v>Estados físicos y cambios de la materia</v>
      </c>
      <c r="O289" t="str" s="39" cm="1">
        <f t="array" ref="O289">IF(L289="","",_xlfn.IFERROR(INDEX('Datos - Catálogo TIMSS'!$C$5:$C$107,MATCH(L289,'Datos - Catálogo TIMSS'!$A$5:$A$107,0)),"?"))</f>
      </c>
      <c r="P289" t="s" s="35">
        <v>291</v>
      </c>
      <c r="Q289" t="s" s="120">
        <v>3180</v>
      </c>
      <c r="R289" t="s" s="120">
        <v>3134</v>
      </c>
      <c r="S289" s="121" cm="1">
        <f t="array" ref="S289">_xlfn.IFERROR(ISNUMBER(SEARCH("Conocer",$R289))/(ISNUMBER(SEARCH("Conocer",$R289))+ISNUMBER(SEARCH("Aplicar",$R289))+ISNUMBER(SEARCH("Razonar",$R289))),0)</f>
        <v>0</v>
      </c>
      <c r="T289" s="121" cm="1">
        <f t="array" ref="T289">_xlfn.IFERROR(ISNUMBER(SEARCH("Aplicar",$R289))/(ISNUMBER(SEARCH("Conocer",$R289))+ISNUMBER(SEARCH("Aplicar",$R289))+ISNUMBER(SEARCH("Razonar",$R289))),0)</f>
        <v>0</v>
      </c>
      <c r="U289" s="121" cm="1">
        <f t="array" ref="U289">_xlfn.IFERROR(ISNUMBER(SEARCH("Razonar",$R289))/(ISNUMBER(SEARCH("Conocer",$R289))+ISNUMBER(SEARCH("Aplicar",$R289))+ISNUMBER(SEARCH("Razonar",$R289))),0)</f>
        <v>1</v>
      </c>
      <c r="V289" t="s" s="35">
        <v>82</v>
      </c>
      <c r="W289" t="s" s="35">
        <v>115</v>
      </c>
      <c r="X289" s="36" cm="1">
        <f t="array" ref="X289">IF(OR(_xlfn.IFERROR(INDEX('Datos - Catálogo TIMSS'!$I$5:$I$107,MATCH(K289,'Datos - Catálogo TIMSS'!$A$5:$A$107,0)),"No")="Sí",_xlfn.IFERROR(INDEX('Datos - Catálogo TIMSS'!$I$5:$I$107,MATCH(L289,'Datos - Catálogo TIMSS'!$A$5:$A$107,0)),"No")="Sí"),1,0)</f>
        <v>0</v>
      </c>
      <c r="Y289" s="36" cm="1">
        <f t="array" ref="Y289">IF(_xlfn.IFERROR(INDEX('Datos - Catálogo TIMSS'!$J$5:$J$107,MATCH(K289,'Datos - Catálogo TIMSS'!$A$5:$A$107,0)),"No")="Sí",1,0)</f>
        <v>0</v>
      </c>
      <c r="Z289" s="36" cm="1">
        <f t="array" ref="Z289">IF(_xlfn.IFERROR(INDEX('Datos - Catálogo TIMSS'!$J$5:$J$107,MATCH(L289,'Datos - Catálogo TIMSS'!$A$5:$A$107,0)),"No")="Sí",1,0)</f>
        <v>0</v>
      </c>
      <c r="AA289" t="s" s="35">
        <v>3165</v>
      </c>
      <c r="AB289" s="39"/>
      <c r="AC289" t="str" s="39">
        <v>Física</v>
      </c>
      <c r="AD289" t="s" s="35">
        <v>1834</v>
      </c>
      <c r="AE289" t="str" s="39" cm="1">
        <f t="array" ref="AE289">IF(AD289="","",IF(LEFT(AD289,1)="1","C1",IF(LEFT(AD289,1)="2","C2",IF(LEFT(AD289,1)="3","C3",""))))</f>
        <v>C2</v>
      </c>
      <c r="AF289" t="s" s="35">
        <v>1602</v>
      </c>
      <c r="AG289" t="s" s="35">
        <v>1607</v>
      </c>
      <c r="AH289" t="s" s="35">
        <v>1602</v>
      </c>
      <c r="AI289" t="s" s="35">
        <v>1619</v>
      </c>
      <c r="AJ289" t="s" s="35">
        <v>1615</v>
      </c>
      <c r="AK289" s="39"/>
      <c r="AL289" s="39"/>
      <c r="AM289" s="39"/>
      <c r="AN289" s="39"/>
      <c r="AO289" s="39"/>
      <c r="AP289" s="39"/>
      <c r="AQ289" s="39"/>
      <c r="AR289" s="39"/>
      <c r="AS289" s="39"/>
      <c r="AT289" s="39"/>
      <c r="AU289" s="39"/>
      <c r="AV289" s="39"/>
      <c r="AW289" t="str" s="39" cm="1">
        <f t="array" ref="AW289">AF289&amp;"; "&amp;AG289&amp;"; "&amp;AH289&amp;"; "&amp;AI289&amp;"; "&amp;AJ289</f>
        <v>E1; E3; E1; D2; E6</v>
      </c>
    </row>
    <row r="290" ht="13.65" customHeight="1">
      <c r="A290" t="s" s="35">
        <v>3181</v>
      </c>
      <c r="B290" s="36">
        <v>6</v>
      </c>
      <c r="C290" t="s" s="35">
        <v>1823</v>
      </c>
      <c r="D290" t="s" s="35">
        <v>3158</v>
      </c>
      <c r="E290" t="s" s="35">
        <v>3159</v>
      </c>
      <c r="F290" s="36">
        <v>8</v>
      </c>
      <c r="G290" t="s" s="35">
        <v>493</v>
      </c>
      <c r="H290" t="s" s="35">
        <v>3182</v>
      </c>
      <c r="I290" t="s" s="120">
        <v>3183</v>
      </c>
      <c r="J290" t="s" s="35">
        <v>1164</v>
      </c>
      <c r="K290" t="s" s="35">
        <v>569</v>
      </c>
      <c r="L290" t="s" s="35">
        <v>1290</v>
      </c>
      <c r="M290" t="str" s="39">
        <v>Física</v>
      </c>
      <c r="N290" t="str" s="39">
        <v>Investigaciones en física</v>
      </c>
      <c r="O290" t="str" s="39" cm="1">
        <f t="array" ref="O290">IF(L290="","",_xlfn.IFERROR(INDEX('Datos - Catálogo TIMSS'!$C$5:$C$107,MATCH(L290,'Datos - Catálogo TIMSS'!$A$5:$A$107,0)),"?"))</f>
        <v>Ciencias de la Tierra</v>
      </c>
      <c r="P290" t="s" s="35">
        <v>291</v>
      </c>
      <c r="Q290" t="s" s="120">
        <v>3184</v>
      </c>
      <c r="R290" t="s" s="120">
        <v>2893</v>
      </c>
      <c r="S290" s="121" cm="1">
        <f t="array" ref="S290">_xlfn.IFERROR(ISNUMBER(SEARCH("Conocer",$R290))/(ISNUMBER(SEARCH("Conocer",$R290))+ISNUMBER(SEARCH("Aplicar",$R290))+ISNUMBER(SEARCH("Razonar",$R290))),0)</f>
        <v>0</v>
      </c>
      <c r="T290" s="121" cm="1">
        <f t="array" ref="T290">_xlfn.IFERROR(ISNUMBER(SEARCH("Aplicar",$R290))/(ISNUMBER(SEARCH("Conocer",$R290))+ISNUMBER(SEARCH("Aplicar",$R290))+ISNUMBER(SEARCH("Razonar",$R290))),0)</f>
        <v>1</v>
      </c>
      <c r="U290" s="121" cm="1">
        <f t="array" ref="U290">_xlfn.IFERROR(ISNUMBER(SEARCH("Razonar",$R290))/(ISNUMBER(SEARCH("Conocer",$R290))+ISNUMBER(SEARCH("Aplicar",$R290))+ISNUMBER(SEARCH("Razonar",$R290))),0)</f>
        <v>0</v>
      </c>
      <c r="V290" t="s" s="35">
        <v>82</v>
      </c>
      <c r="W290" t="s" s="35">
        <v>115</v>
      </c>
      <c r="X290" s="36" cm="1">
        <f t="array" ref="X290">IF(OR(_xlfn.IFERROR(INDEX('Datos - Catálogo TIMSS'!$I$5:$I$107,MATCH(K290,'Datos - Catálogo TIMSS'!$A$5:$A$107,0)),"No")="Sí",_xlfn.IFERROR(INDEX('Datos - Catálogo TIMSS'!$I$5:$I$107,MATCH(L290,'Datos - Catálogo TIMSS'!$A$5:$A$107,0)),"No")="Sí"),1,0)</f>
        <v>1</v>
      </c>
      <c r="Y290" s="36" cm="1">
        <f t="array" ref="Y290">IF(_xlfn.IFERROR(INDEX('Datos - Catálogo TIMSS'!$J$5:$J$107,MATCH(K290,'Datos - Catálogo TIMSS'!$A$5:$A$107,0)),"No")="Sí",1,0)</f>
        <v>1</v>
      </c>
      <c r="Z290" s="36" cm="1">
        <f t="array" ref="Z290">IF(_xlfn.IFERROR(INDEX('Datos - Catálogo TIMSS'!$J$5:$J$107,MATCH(L290,'Datos - Catálogo TIMSS'!$A$5:$A$107,0)),"No")="Sí",1,0)</f>
        <v>0</v>
      </c>
      <c r="AA290" t="s" s="35">
        <v>2908</v>
      </c>
      <c r="AB290" t="s" s="35">
        <v>3135</v>
      </c>
      <c r="AC290" t="str" s="39">
        <v>Física</v>
      </c>
      <c r="AD290" t="s" s="35">
        <v>1834</v>
      </c>
      <c r="AE290" t="str" s="39" cm="1">
        <f t="array" ref="AE290">IF(AD290="","",IF(LEFT(AD290,1)="1","C1",IF(LEFT(AD290,1)="2","C2",IF(LEFT(AD290,1)="3","C3",""))))</f>
        <v>C2</v>
      </c>
      <c r="AF290" t="s" s="35">
        <v>1602</v>
      </c>
      <c r="AG290" t="s" s="35">
        <v>1617</v>
      </c>
      <c r="AH290" t="s" s="35">
        <v>1602</v>
      </c>
      <c r="AI290" t="s" s="35">
        <v>1623</v>
      </c>
      <c r="AJ290" t="s" s="35">
        <v>1633</v>
      </c>
      <c r="AK290" s="39"/>
      <c r="AL290" s="39"/>
      <c r="AM290" s="39"/>
      <c r="AN290" s="39"/>
      <c r="AO290" s="39"/>
      <c r="AP290" s="39"/>
      <c r="AQ290" s="39"/>
      <c r="AR290" s="39"/>
      <c r="AS290" s="39"/>
      <c r="AT290" s="39"/>
      <c r="AU290" s="39"/>
      <c r="AV290" s="39"/>
      <c r="AW290" t="str" s="39" cm="1">
        <f t="array" ref="AW290">AF290&amp;"; "&amp;AG290&amp;"; "&amp;AH290&amp;"; "&amp;AI290&amp;"; "&amp;AJ290</f>
        <v>E1; D1; E1; D4; I5</v>
      </c>
    </row>
    <row r="291" ht="13.65" customHeight="1">
      <c r="A291" t="s" s="35">
        <v>3185</v>
      </c>
      <c r="B291" s="36">
        <v>6</v>
      </c>
      <c r="C291" t="s" s="35">
        <v>1823</v>
      </c>
      <c r="D291" t="s" s="35">
        <v>3158</v>
      </c>
      <c r="E291" t="s" s="35">
        <v>3159</v>
      </c>
      <c r="F291" s="36">
        <v>9</v>
      </c>
      <c r="G291" t="s" s="35">
        <v>493</v>
      </c>
      <c r="H291" t="s" s="35">
        <v>3182</v>
      </c>
      <c r="I291" t="s" s="120">
        <v>3186</v>
      </c>
      <c r="J291" t="s" s="35">
        <v>1164</v>
      </c>
      <c r="K291" t="s" s="35">
        <v>535</v>
      </c>
      <c r="L291" s="39"/>
      <c r="M291" t="str" s="39">
        <v>Física</v>
      </c>
      <c r="N291" t="str" s="39">
        <v>Movimiento y fuerzas</v>
      </c>
      <c r="O291" t="str" s="39" cm="1">
        <f t="array" ref="O291">IF(L291="","",_xlfn.IFERROR(INDEX('Datos - Catálogo TIMSS'!$C$5:$C$107,MATCH(L291,'Datos - Catálogo TIMSS'!$A$5:$A$107,0)),"?"))</f>
      </c>
      <c r="P291" t="s" s="35">
        <v>291</v>
      </c>
      <c r="Q291" t="s" s="120">
        <v>3187</v>
      </c>
      <c r="R291" t="s" s="120">
        <v>3188</v>
      </c>
      <c r="S291" s="121" cm="1">
        <f t="array" ref="S291">_xlfn.IFERROR(ISNUMBER(SEARCH("Conocer",$R291))/(ISNUMBER(SEARCH("Conocer",$R291))+ISNUMBER(SEARCH("Aplicar",$R291))+ISNUMBER(SEARCH("Razonar",$R291))),0)</f>
        <v>0.5</v>
      </c>
      <c r="T291" s="121" cm="1">
        <f t="array" ref="T291">_xlfn.IFERROR(ISNUMBER(SEARCH("Aplicar",$R291))/(ISNUMBER(SEARCH("Conocer",$R291))+ISNUMBER(SEARCH("Aplicar",$R291))+ISNUMBER(SEARCH("Razonar",$R291))),0)</f>
        <v>0</v>
      </c>
      <c r="U291" s="121" cm="1">
        <f t="array" ref="U291">_xlfn.IFERROR(ISNUMBER(SEARCH("Razonar",$R291))/(ISNUMBER(SEARCH("Conocer",$R291))+ISNUMBER(SEARCH("Aplicar",$R291))+ISNUMBER(SEARCH("Razonar",$R291))),0)</f>
        <v>0.5</v>
      </c>
      <c r="V291" t="s" s="35">
        <v>82</v>
      </c>
      <c r="W291" t="s" s="35">
        <v>115</v>
      </c>
      <c r="X291" s="36" cm="1">
        <f t="array" ref="X291">IF(OR(_xlfn.IFERROR(INDEX('Datos - Catálogo TIMSS'!$I$5:$I$107,MATCH(K291,'Datos - Catálogo TIMSS'!$A$5:$A$107,0)),"No")="Sí",_xlfn.IFERROR(INDEX('Datos - Catálogo TIMSS'!$I$5:$I$107,MATCH(L291,'Datos - Catálogo TIMSS'!$A$5:$A$107,0)),"No")="Sí"),1,0)</f>
        <v>0</v>
      </c>
      <c r="Y291" s="36" cm="1">
        <f t="array" ref="Y291">IF(_xlfn.IFERROR(INDEX('Datos - Catálogo TIMSS'!$J$5:$J$107,MATCH(K291,'Datos - Catálogo TIMSS'!$A$5:$A$107,0)),"No")="Sí",1,0)</f>
        <v>0</v>
      </c>
      <c r="Z291" s="36" cm="1">
        <f t="array" ref="Z291">IF(_xlfn.IFERROR(INDEX('Datos - Catálogo TIMSS'!$J$5:$J$107,MATCH(L291,'Datos - Catálogo TIMSS'!$A$5:$A$107,0)),"No")="Sí",1,0)</f>
        <v>0</v>
      </c>
      <c r="AA291" t="s" s="35">
        <v>2908</v>
      </c>
      <c r="AB291" s="39"/>
      <c r="AC291" t="str" s="39">
        <v>Física</v>
      </c>
      <c r="AD291" t="s" s="35">
        <v>1859</v>
      </c>
      <c r="AE291" t="str" s="39" cm="1">
        <f t="array" ref="AE291">IF(AD291="","",IF(LEFT(AD291,1)="1","C1",IF(LEFT(AD291,1)="2","C2",IF(LEFT(AD291,1)="3","C3",""))))</f>
        <v>C1</v>
      </c>
      <c r="AF291" t="s" s="35">
        <v>1602</v>
      </c>
      <c r="AG291" t="s" s="35">
        <v>1612</v>
      </c>
      <c r="AH291" t="s" s="35">
        <v>1602</v>
      </c>
      <c r="AI291" t="s" s="35">
        <v>1623</v>
      </c>
      <c r="AJ291" t="s" s="35">
        <v>1615</v>
      </c>
      <c r="AK291" s="39"/>
      <c r="AL291" s="39"/>
      <c r="AM291" s="39"/>
      <c r="AN291" s="39"/>
      <c r="AO291" s="39"/>
      <c r="AP291" s="39"/>
      <c r="AQ291" s="39"/>
      <c r="AR291" s="39"/>
      <c r="AS291" s="39"/>
      <c r="AT291" s="39"/>
      <c r="AU291" s="39"/>
      <c r="AV291" s="39"/>
      <c r="AW291" t="str" s="39" cm="1">
        <f t="array" ref="AW291">AF291&amp;"; "&amp;AG291&amp;"; "&amp;AH291&amp;"; "&amp;AI291&amp;"; "&amp;AJ291</f>
        <v>E1; E5; E1; D4; E6</v>
      </c>
    </row>
    <row r="292" ht="13.65" customHeight="1">
      <c r="A292" t="s" s="35">
        <v>3189</v>
      </c>
      <c r="B292" s="36">
        <v>6</v>
      </c>
      <c r="C292" t="s" s="35">
        <v>1823</v>
      </c>
      <c r="D292" t="s" s="35">
        <v>3158</v>
      </c>
      <c r="E292" t="s" s="35">
        <v>3159</v>
      </c>
      <c r="F292" s="36">
        <v>10</v>
      </c>
      <c r="G292" t="s" s="35">
        <v>493</v>
      </c>
      <c r="H292" t="s" s="35">
        <v>3182</v>
      </c>
      <c r="I292" t="s" s="120">
        <v>3190</v>
      </c>
      <c r="J292" t="s" s="35">
        <v>1164</v>
      </c>
      <c r="K292" t="s" s="35">
        <v>535</v>
      </c>
      <c r="L292" s="39"/>
      <c r="M292" t="str" s="39">
        <v>Física</v>
      </c>
      <c r="N292" t="str" s="39">
        <v>Movimiento y fuerzas</v>
      </c>
      <c r="O292" t="str" s="39" cm="1">
        <f t="array" ref="O292">IF(L292="","",_xlfn.IFERROR(INDEX('Datos - Catálogo TIMSS'!$C$5:$C$107,MATCH(L292,'Datos - Catálogo TIMSS'!$A$5:$A$107,0)),"?"))</f>
      </c>
      <c r="P292" t="s" s="35">
        <v>291</v>
      </c>
      <c r="Q292" t="s" s="120">
        <v>3191</v>
      </c>
      <c r="R292" t="s" s="120">
        <v>3063</v>
      </c>
      <c r="S292" s="121" cm="1">
        <f t="array" ref="S292">_xlfn.IFERROR(ISNUMBER(SEARCH("Conocer",$R292))/(ISNUMBER(SEARCH("Conocer",$R292))+ISNUMBER(SEARCH("Aplicar",$R292))+ISNUMBER(SEARCH("Razonar",$R292))),0)</f>
        <v>0</v>
      </c>
      <c r="T292" s="121" cm="1">
        <f t="array" ref="T292">_xlfn.IFERROR(ISNUMBER(SEARCH("Aplicar",$R292))/(ISNUMBER(SEARCH("Conocer",$R292))+ISNUMBER(SEARCH("Aplicar",$R292))+ISNUMBER(SEARCH("Razonar",$R292))),0)</f>
        <v>1</v>
      </c>
      <c r="U292" s="121" cm="1">
        <f t="array" ref="U292">_xlfn.IFERROR(ISNUMBER(SEARCH("Razonar",$R292))/(ISNUMBER(SEARCH("Conocer",$R292))+ISNUMBER(SEARCH("Aplicar",$R292))+ISNUMBER(SEARCH("Razonar",$R292))),0)</f>
        <v>0</v>
      </c>
      <c r="V292" t="s" s="35">
        <v>82</v>
      </c>
      <c r="W292" t="s" s="35">
        <v>115</v>
      </c>
      <c r="X292" s="36" cm="1">
        <f t="array" ref="X292">IF(OR(_xlfn.IFERROR(INDEX('Datos - Catálogo TIMSS'!$I$5:$I$107,MATCH(K292,'Datos - Catálogo TIMSS'!$A$5:$A$107,0)),"No")="Sí",_xlfn.IFERROR(INDEX('Datos - Catálogo TIMSS'!$I$5:$I$107,MATCH(L292,'Datos - Catálogo TIMSS'!$A$5:$A$107,0)),"No")="Sí"),1,0)</f>
        <v>0</v>
      </c>
      <c r="Y292" s="36" cm="1">
        <f t="array" ref="Y292">IF(_xlfn.IFERROR(INDEX('Datos - Catálogo TIMSS'!$J$5:$J$107,MATCH(K292,'Datos - Catálogo TIMSS'!$A$5:$A$107,0)),"No")="Sí",1,0)</f>
        <v>0</v>
      </c>
      <c r="Z292" s="36" cm="1">
        <f t="array" ref="Z292">IF(_xlfn.IFERROR(INDEX('Datos - Catálogo TIMSS'!$J$5:$J$107,MATCH(L292,'Datos - Catálogo TIMSS'!$A$5:$A$107,0)),"No")="Sí",1,0)</f>
        <v>0</v>
      </c>
      <c r="AA292" t="s" s="35">
        <v>2908</v>
      </c>
      <c r="AB292" s="39"/>
      <c r="AC292" t="str" s="39">
        <v>Física</v>
      </c>
      <c r="AD292" t="s" s="35">
        <v>1834</v>
      </c>
      <c r="AE292" t="str" s="39" cm="1">
        <f t="array" ref="AE292">IF(AD292="","",IF(LEFT(AD292,1)="1","C1",IF(LEFT(AD292,1)="2","C2",IF(LEFT(AD292,1)="3","C3",""))))</f>
        <v>C2</v>
      </c>
      <c r="AF292" t="s" s="35">
        <v>1602</v>
      </c>
      <c r="AG292" t="s" s="35">
        <v>1607</v>
      </c>
      <c r="AH292" t="s" s="35">
        <v>1609</v>
      </c>
      <c r="AI292" t="s" s="35">
        <v>1621</v>
      </c>
      <c r="AJ292" t="s" s="35">
        <v>1607</v>
      </c>
      <c r="AK292" s="39"/>
      <c r="AL292" s="39"/>
      <c r="AM292" s="39"/>
      <c r="AN292" s="39"/>
      <c r="AO292" s="39"/>
      <c r="AP292" s="39"/>
      <c r="AQ292" s="39"/>
      <c r="AR292" s="39"/>
      <c r="AS292" s="39"/>
      <c r="AT292" s="39"/>
      <c r="AU292" s="39"/>
      <c r="AV292" s="39"/>
      <c r="AW292" t="str" s="39" cm="1">
        <f t="array" ref="AW292">AF292&amp;"; "&amp;AG292&amp;"; "&amp;AH292&amp;"; "&amp;AI292&amp;"; "&amp;AJ292</f>
        <v>E1; E3; E4; D3; E3</v>
      </c>
    </row>
    <row r="293" ht="13.65" customHeight="1">
      <c r="A293" t="s" s="35">
        <v>3193</v>
      </c>
      <c r="B293" s="36">
        <v>6</v>
      </c>
      <c r="C293" t="s" s="35">
        <v>1823</v>
      </c>
      <c r="D293" t="s" s="35">
        <v>3158</v>
      </c>
      <c r="E293" t="s" s="35">
        <v>3194</v>
      </c>
      <c r="F293" s="36">
        <v>3</v>
      </c>
      <c r="G293" t="s" s="35">
        <v>502</v>
      </c>
      <c r="H293" t="s" s="35">
        <v>3195</v>
      </c>
      <c r="I293" t="s" s="120">
        <v>3196</v>
      </c>
      <c r="J293" t="s" s="35">
        <v>1164</v>
      </c>
      <c r="K293" t="s" s="35">
        <v>554</v>
      </c>
      <c r="L293" s="39"/>
      <c r="M293" t="str" s="39">
        <v>Física</v>
      </c>
      <c r="N293" t="str" s="39">
        <v>Estados físicos y cambios de la materia</v>
      </c>
      <c r="O293" t="str" s="39" cm="1">
        <f t="array" ref="O293">IF(L293="","",_xlfn.IFERROR(INDEX('Datos - Catálogo TIMSS'!$C$5:$C$107,MATCH(L293,'Datos - Catálogo TIMSS'!$A$5:$A$107,0)),"?"))</f>
      </c>
      <c r="P293" t="s" s="35">
        <v>254</v>
      </c>
      <c r="Q293" t="s" s="120">
        <v>3197</v>
      </c>
      <c r="R293" t="s" s="120">
        <v>3198</v>
      </c>
      <c r="S293" s="121" cm="1">
        <f t="array" ref="S293">_xlfn.IFERROR(ISNUMBER(SEARCH("Conocer",$R293))/(ISNUMBER(SEARCH("Conocer",$R293))+ISNUMBER(SEARCH("Aplicar",$R293))+ISNUMBER(SEARCH("Razonar",$R293))),0)</f>
        <v>0</v>
      </c>
      <c r="T293" s="121" cm="1">
        <f t="array" ref="T293">_xlfn.IFERROR(ISNUMBER(SEARCH("Aplicar",$R293))/(ISNUMBER(SEARCH("Conocer",$R293))+ISNUMBER(SEARCH("Aplicar",$R293))+ISNUMBER(SEARCH("Razonar",$R293))),0)</f>
        <v>1</v>
      </c>
      <c r="U293" s="121" cm="1">
        <f t="array" ref="U293">_xlfn.IFERROR(ISNUMBER(SEARCH("Razonar",$R293))/(ISNUMBER(SEARCH("Conocer",$R293))+ISNUMBER(SEARCH("Aplicar",$R293))+ISNUMBER(SEARCH("Razonar",$R293))),0)</f>
        <v>0</v>
      </c>
      <c r="V293" t="s" s="35">
        <v>82</v>
      </c>
      <c r="W293" t="s" s="35">
        <v>115</v>
      </c>
      <c r="X293" s="36" cm="1">
        <f t="array" ref="X293">IF(OR(_xlfn.IFERROR(INDEX('Datos - Catálogo TIMSS'!$I$5:$I$107,MATCH(K293,'Datos - Catálogo TIMSS'!$A$5:$A$107,0)),"No")="Sí",_xlfn.IFERROR(INDEX('Datos - Catálogo TIMSS'!$I$5:$I$107,MATCH(L293,'Datos - Catálogo TIMSS'!$A$5:$A$107,0)),"No")="Sí"),1,0)</f>
        <v>0</v>
      </c>
      <c r="Y293" s="36" cm="1">
        <f t="array" ref="Y293">IF(_xlfn.IFERROR(INDEX('Datos - Catálogo TIMSS'!$J$5:$J$107,MATCH(K293,'Datos - Catálogo TIMSS'!$A$5:$A$107,0)),"No")="Sí",1,0)</f>
        <v>0</v>
      </c>
      <c r="Z293" s="36" cm="1">
        <f t="array" ref="Z293">IF(_xlfn.IFERROR(INDEX('Datos - Catálogo TIMSS'!$J$5:$J$107,MATCH(L293,'Datos - Catálogo TIMSS'!$A$5:$A$107,0)),"No")="Sí",1,0)</f>
        <v>0</v>
      </c>
      <c r="AA293" t="s" s="35">
        <v>3165</v>
      </c>
      <c r="AB293" t="s" s="35">
        <v>3199</v>
      </c>
      <c r="AC293" t="str" s="39">
        <v>Física</v>
      </c>
      <c r="AD293" t="s" s="35">
        <v>1859</v>
      </c>
      <c r="AE293" t="str" s="39" cm="1">
        <f t="array" ref="AE293">IF(AD293="","",IF(LEFT(AD293,1)="1","C1",IF(LEFT(AD293,1)="2","C2",IF(LEFT(AD293,1)="3","C3",""))))</f>
        <v>C1</v>
      </c>
      <c r="AF293" t="s" s="35">
        <v>1602</v>
      </c>
      <c r="AG293" t="s" s="35">
        <v>1612</v>
      </c>
      <c r="AH293" t="s" s="35">
        <v>1609</v>
      </c>
      <c r="AI293" t="s" s="35">
        <v>1609</v>
      </c>
      <c r="AJ293" t="s" s="35">
        <v>1607</v>
      </c>
      <c r="AK293" s="39"/>
      <c r="AL293" s="39"/>
      <c r="AM293" s="39"/>
      <c r="AN293" s="39"/>
      <c r="AO293" s="39"/>
      <c r="AP293" s="39"/>
      <c r="AQ293" s="39"/>
      <c r="AR293" s="39"/>
      <c r="AS293" s="39"/>
      <c r="AT293" s="39"/>
      <c r="AU293" s="39"/>
      <c r="AV293" s="39"/>
      <c r="AW293" t="str" s="39" cm="1">
        <f t="array" ref="AW293">AF293&amp;"; "&amp;AG293&amp;"; "&amp;AH293&amp;"; "&amp;AI293&amp;"; "&amp;AJ293</f>
        <v>E1; E5; E4; E4; E3</v>
      </c>
    </row>
    <row r="294" ht="13.65" customHeight="1">
      <c r="A294" t="s" s="35">
        <v>3200</v>
      </c>
      <c r="B294" s="36">
        <v>6</v>
      </c>
      <c r="C294" t="s" s="35">
        <v>1823</v>
      </c>
      <c r="D294" t="s" s="35">
        <v>3158</v>
      </c>
      <c r="E294" t="s" s="35">
        <v>3194</v>
      </c>
      <c r="F294" s="36">
        <v>4</v>
      </c>
      <c r="G294" t="s" s="35">
        <v>502</v>
      </c>
      <c r="H294" t="s" s="35">
        <v>3195</v>
      </c>
      <c r="I294" t="s" s="120">
        <v>3201</v>
      </c>
      <c r="J294" t="s" s="35">
        <v>1164</v>
      </c>
      <c r="K294" t="s" s="35">
        <v>554</v>
      </c>
      <c r="L294" s="39"/>
      <c r="M294" t="str" s="39">
        <v>Física</v>
      </c>
      <c r="N294" t="str" s="39">
        <v>Estados físicos y cambios de la materia</v>
      </c>
      <c r="O294" t="str" s="39" cm="1">
        <f t="array" ref="O294">IF(L294="","",_xlfn.IFERROR(INDEX('Datos - Catálogo TIMSS'!$C$5:$C$107,MATCH(L294,'Datos - Catálogo TIMSS'!$A$5:$A$107,0)),"?"))</f>
      </c>
      <c r="P294" t="s" s="35">
        <v>282</v>
      </c>
      <c r="Q294" t="s" s="120">
        <v>3202</v>
      </c>
      <c r="R294" t="s" s="120">
        <v>3203</v>
      </c>
      <c r="S294" s="121" cm="1">
        <f t="array" ref="S294">_xlfn.IFERROR(ISNUMBER(SEARCH("Conocer",$R294))/(ISNUMBER(SEARCH("Conocer",$R294))+ISNUMBER(SEARCH("Aplicar",$R294))+ISNUMBER(SEARCH("Razonar",$R294))),0)</f>
        <v>0</v>
      </c>
      <c r="T294" s="121" cm="1">
        <f t="array" ref="T294">_xlfn.IFERROR(ISNUMBER(SEARCH("Aplicar",$R294))/(ISNUMBER(SEARCH("Conocer",$R294))+ISNUMBER(SEARCH("Aplicar",$R294))+ISNUMBER(SEARCH("Razonar",$R294))),0)</f>
        <v>1</v>
      </c>
      <c r="U294" s="121" cm="1">
        <f t="array" ref="U294">_xlfn.IFERROR(ISNUMBER(SEARCH("Razonar",$R294))/(ISNUMBER(SEARCH("Conocer",$R294))+ISNUMBER(SEARCH("Aplicar",$R294))+ISNUMBER(SEARCH("Razonar",$R294))),0)</f>
        <v>0</v>
      </c>
      <c r="V294" t="s" s="35">
        <v>82</v>
      </c>
      <c r="W294" t="s" s="35">
        <v>115</v>
      </c>
      <c r="X294" s="36" cm="1">
        <f t="array" ref="X294">IF(OR(_xlfn.IFERROR(INDEX('Datos - Catálogo TIMSS'!$I$5:$I$107,MATCH(K294,'Datos - Catálogo TIMSS'!$A$5:$A$107,0)),"No")="Sí",_xlfn.IFERROR(INDEX('Datos - Catálogo TIMSS'!$I$5:$I$107,MATCH(L294,'Datos - Catálogo TIMSS'!$A$5:$A$107,0)),"No")="Sí"),1,0)</f>
        <v>0</v>
      </c>
      <c r="Y294" s="36" cm="1">
        <f t="array" ref="Y294">IF(_xlfn.IFERROR(INDEX('Datos - Catálogo TIMSS'!$J$5:$J$107,MATCH(K294,'Datos - Catálogo TIMSS'!$A$5:$A$107,0)),"No")="Sí",1,0)</f>
        <v>0</v>
      </c>
      <c r="Z294" s="36" cm="1">
        <f t="array" ref="Z294">IF(_xlfn.IFERROR(INDEX('Datos - Catálogo TIMSS'!$J$5:$J$107,MATCH(L294,'Datos - Catálogo TIMSS'!$A$5:$A$107,0)),"No")="Sí",1,0)</f>
        <v>0</v>
      </c>
      <c r="AA294" t="s" s="35">
        <v>3199</v>
      </c>
      <c r="AB294" t="s" s="35">
        <v>3165</v>
      </c>
      <c r="AC294" t="str" s="39">
        <v>Física</v>
      </c>
      <c r="AD294" t="s" s="35">
        <v>1834</v>
      </c>
      <c r="AE294" t="str" s="39" cm="1">
        <f t="array" ref="AE294">IF(AD294="","",IF(LEFT(AD294,1)="1","C1",IF(LEFT(AD294,1)="2","C2",IF(LEFT(AD294,1)="3","C3",""))))</f>
        <v>C2</v>
      </c>
      <c r="AF294" t="s" s="35">
        <v>1602</v>
      </c>
      <c r="AG294" t="s" s="35">
        <v>1617</v>
      </c>
      <c r="AH294" t="s" s="35">
        <v>1609</v>
      </c>
      <c r="AI294" t="s" s="35">
        <v>1623</v>
      </c>
      <c r="AJ294" t="s" s="35">
        <v>1602</v>
      </c>
      <c r="AK294" s="39"/>
      <c r="AL294" s="39"/>
      <c r="AM294" s="39"/>
      <c r="AN294" s="39"/>
      <c r="AO294" s="39"/>
      <c r="AP294" s="39"/>
      <c r="AQ294" s="39"/>
      <c r="AR294" s="39"/>
      <c r="AS294" s="39"/>
      <c r="AT294" s="39"/>
      <c r="AU294" s="39"/>
      <c r="AV294" s="39"/>
      <c r="AW294" t="str" s="39" cm="1">
        <f t="array" ref="AW294">AF294&amp;"; "&amp;AG294&amp;"; "&amp;AH294&amp;"; "&amp;AI294&amp;"; "&amp;AJ294</f>
        <v>E1; D1; E4; D4; E1</v>
      </c>
    </row>
    <row r="295" ht="13.65" customHeight="1">
      <c r="A295" t="s" s="35">
        <v>3204</v>
      </c>
      <c r="B295" s="36">
        <v>6</v>
      </c>
      <c r="C295" t="s" s="35">
        <v>1823</v>
      </c>
      <c r="D295" t="s" s="35">
        <v>3158</v>
      </c>
      <c r="E295" t="s" s="35">
        <v>3194</v>
      </c>
      <c r="F295" s="36">
        <v>5</v>
      </c>
      <c r="G295" t="s" s="35">
        <v>502</v>
      </c>
      <c r="H295" t="s" s="35">
        <v>3195</v>
      </c>
      <c r="I295" t="s" s="120">
        <v>3205</v>
      </c>
      <c r="J295" t="s" s="35">
        <v>1164</v>
      </c>
      <c r="K295" t="s" s="35">
        <v>1832</v>
      </c>
      <c r="L295" s="39"/>
      <c r="M295" t="str" s="39">
        <v>Fuera del marco</v>
      </c>
      <c r="N295" t="str" s="39">
        <v>Fuera del marco</v>
      </c>
      <c r="O295" t="str" s="39" cm="1">
        <f t="array" ref="O295">IF(L295="","",_xlfn.IFERROR(INDEX('Datos - Catálogo TIMSS'!$C$5:$C$107,MATCH(L295,'Datos - Catálogo TIMSS'!$A$5:$A$107,0)),"?"))</f>
      </c>
      <c r="P295" t="s" s="35">
        <v>291</v>
      </c>
      <c r="Q295" t="s" s="120">
        <v>3206</v>
      </c>
      <c r="R295" t="s" s="120">
        <v>3207</v>
      </c>
      <c r="S295" s="121" cm="1">
        <f t="array" ref="S295">_xlfn.IFERROR(ISNUMBER(SEARCH("Conocer",$R295))/(ISNUMBER(SEARCH("Conocer",$R295))+ISNUMBER(SEARCH("Aplicar",$R295))+ISNUMBER(SEARCH("Razonar",$R295))),0)</f>
        <v>0</v>
      </c>
      <c r="T295" s="121" cm="1">
        <f t="array" ref="T295">_xlfn.IFERROR(ISNUMBER(SEARCH("Aplicar",$R295))/(ISNUMBER(SEARCH("Conocer",$R295))+ISNUMBER(SEARCH("Aplicar",$R295))+ISNUMBER(SEARCH("Razonar",$R295))),0)</f>
        <v>1</v>
      </c>
      <c r="U295" s="121" cm="1">
        <f t="array" ref="U295">_xlfn.IFERROR(ISNUMBER(SEARCH("Razonar",$R295))/(ISNUMBER(SEARCH("Conocer",$R295))+ISNUMBER(SEARCH("Aplicar",$R295))+ISNUMBER(SEARCH("Razonar",$R295))),0)</f>
        <v>0</v>
      </c>
      <c r="V295" t="s" s="35">
        <v>82</v>
      </c>
      <c r="W295" t="s" s="35">
        <v>115</v>
      </c>
      <c r="X295" s="36" cm="1">
        <f t="array" ref="X295">IF(OR(_xlfn.IFERROR(INDEX('Datos - Catálogo TIMSS'!$I$5:$I$107,MATCH(K295,'Datos - Catálogo TIMSS'!$A$5:$A$107,0)),"No")="Sí",_xlfn.IFERROR(INDEX('Datos - Catálogo TIMSS'!$I$5:$I$107,MATCH(L295,'Datos - Catálogo TIMSS'!$A$5:$A$107,0)),"No")="Sí"),1,0)</f>
        <v>0</v>
      </c>
      <c r="Y295" s="36" cm="1">
        <f t="array" ref="Y295">IF(_xlfn.IFERROR(INDEX('Datos - Catálogo TIMSS'!$J$5:$J$107,MATCH(K295,'Datos - Catálogo TIMSS'!$A$5:$A$107,0)),"No")="Sí",1,0)</f>
        <v>0</v>
      </c>
      <c r="Z295" s="36" cm="1">
        <f t="array" ref="Z295">IF(_xlfn.IFERROR(INDEX('Datos - Catálogo TIMSS'!$J$5:$J$107,MATCH(L295,'Datos - Catálogo TIMSS'!$A$5:$A$107,0)),"No")="Sí",1,0)</f>
        <v>0</v>
      </c>
      <c r="AA295" t="s" s="35">
        <v>3199</v>
      </c>
      <c r="AB295" s="39"/>
      <c r="AC295" t="str" s="39">
        <v>Física</v>
      </c>
      <c r="AD295" t="s" s="35">
        <v>1834</v>
      </c>
      <c r="AE295" t="str" s="39" cm="1">
        <f t="array" ref="AE295">IF(AD295="","",IF(LEFT(AD295,1)="1","C1",IF(LEFT(AD295,1)="2","C2",IF(LEFT(AD295,1)="3","C3",""))))</f>
        <v>C2</v>
      </c>
      <c r="AF295" t="s" s="35">
        <v>1602</v>
      </c>
      <c r="AG295" t="s" s="35">
        <v>1617</v>
      </c>
      <c r="AH295" t="s" s="35">
        <v>1605</v>
      </c>
      <c r="AI295" t="s" s="35">
        <v>1623</v>
      </c>
      <c r="AJ295" t="s" s="35">
        <v>1602</v>
      </c>
      <c r="AK295" s="39"/>
      <c r="AL295" s="39"/>
      <c r="AM295" s="39"/>
      <c r="AN295" s="39"/>
      <c r="AO295" s="39"/>
      <c r="AP295" s="39"/>
      <c r="AQ295" s="39"/>
      <c r="AR295" s="39"/>
      <c r="AS295" s="39"/>
      <c r="AT295" s="39"/>
      <c r="AU295" s="39"/>
      <c r="AV295" s="39"/>
      <c r="AW295" t="str" s="39" cm="1">
        <f t="array" ref="AW295">AF295&amp;"; "&amp;AG295&amp;"; "&amp;AH295&amp;"; "&amp;AI295&amp;"; "&amp;AJ295</f>
        <v>E1; D1; E2; D4; E1</v>
      </c>
    </row>
    <row r="296" ht="13.65" customHeight="1">
      <c r="A296" t="s" s="35">
        <v>3208</v>
      </c>
      <c r="B296" s="36">
        <v>6</v>
      </c>
      <c r="C296" t="s" s="35">
        <v>1823</v>
      </c>
      <c r="D296" t="s" s="35">
        <v>3158</v>
      </c>
      <c r="E296" t="s" s="35">
        <v>3194</v>
      </c>
      <c r="F296" s="36">
        <v>6</v>
      </c>
      <c r="G296" t="s" s="35">
        <v>502</v>
      </c>
      <c r="H296" t="s" s="35">
        <v>3209</v>
      </c>
      <c r="I296" t="s" s="120">
        <v>3210</v>
      </c>
      <c r="J296" t="s" s="35">
        <v>1164</v>
      </c>
      <c r="K296" t="s" s="35">
        <v>1241</v>
      </c>
      <c r="L296" s="39"/>
      <c r="M296" t="str" s="39">
        <v>Física</v>
      </c>
      <c r="N296" t="str" s="39">
        <v>Estados físicos y cambios de la materia</v>
      </c>
      <c r="O296" t="str" s="39" cm="1">
        <f t="array" ref="O296">IF(L296="","",_xlfn.IFERROR(INDEX('Datos - Catálogo TIMSS'!$C$5:$C$107,MATCH(L296,'Datos - Catálogo TIMSS'!$A$5:$A$107,0)),"?"))</f>
      </c>
      <c r="P296" t="s" s="35">
        <v>254</v>
      </c>
      <c r="Q296" t="s" s="120">
        <v>3211</v>
      </c>
      <c r="R296" t="s" s="120">
        <v>3212</v>
      </c>
      <c r="S296" s="121" cm="1">
        <f t="array" ref="S296">_xlfn.IFERROR(ISNUMBER(SEARCH("Conocer",$R296))/(ISNUMBER(SEARCH("Conocer",$R296))+ISNUMBER(SEARCH("Aplicar",$R296))+ISNUMBER(SEARCH("Razonar",$R296))),0)</f>
        <v>0</v>
      </c>
      <c r="T296" s="121" cm="1">
        <f t="array" ref="T296">_xlfn.IFERROR(ISNUMBER(SEARCH("Aplicar",$R296))/(ISNUMBER(SEARCH("Conocer",$R296))+ISNUMBER(SEARCH("Aplicar",$R296))+ISNUMBER(SEARCH("Razonar",$R296))),0)</f>
        <v>0.5</v>
      </c>
      <c r="U296" s="121" cm="1">
        <f t="array" ref="U296">_xlfn.IFERROR(ISNUMBER(SEARCH("Razonar",$R296))/(ISNUMBER(SEARCH("Conocer",$R296))+ISNUMBER(SEARCH("Aplicar",$R296))+ISNUMBER(SEARCH("Razonar",$R296))),0)</f>
        <v>0.5</v>
      </c>
      <c r="V296" t="s" s="35">
        <v>82</v>
      </c>
      <c r="W296" t="s" s="35">
        <v>115</v>
      </c>
      <c r="X296" s="36" cm="1">
        <f t="array" ref="X296">IF(OR(_xlfn.IFERROR(INDEX('Datos - Catálogo TIMSS'!$I$5:$I$107,MATCH(K296,'Datos - Catálogo TIMSS'!$A$5:$A$107,0)),"No")="Sí",_xlfn.IFERROR(INDEX('Datos - Catálogo TIMSS'!$I$5:$I$107,MATCH(L296,'Datos - Catálogo TIMSS'!$A$5:$A$107,0)),"No")="Sí"),1,0)</f>
        <v>0</v>
      </c>
      <c r="Y296" s="36" cm="1">
        <f t="array" ref="Y296">IF(_xlfn.IFERROR(INDEX('Datos - Catálogo TIMSS'!$J$5:$J$107,MATCH(K296,'Datos - Catálogo TIMSS'!$A$5:$A$107,0)),"No")="Sí",1,0)</f>
        <v>0</v>
      </c>
      <c r="Z296" s="36" cm="1">
        <f t="array" ref="Z296">IF(_xlfn.IFERROR(INDEX('Datos - Catálogo TIMSS'!$J$5:$J$107,MATCH(L296,'Datos - Catálogo TIMSS'!$A$5:$A$107,0)),"No")="Sí",1,0)</f>
        <v>0</v>
      </c>
      <c r="AA296" t="s" s="35">
        <v>3213</v>
      </c>
      <c r="AB296" t="s" s="35">
        <v>3199</v>
      </c>
      <c r="AC296" t="str" s="39">
        <v>Física</v>
      </c>
      <c r="AD296" t="s" s="35">
        <v>1834</v>
      </c>
      <c r="AE296" t="str" s="39" cm="1">
        <f t="array" ref="AE296">IF(AD296="","",IF(LEFT(AD296,1)="1","C1",IF(LEFT(AD296,1)="2","C2",IF(LEFT(AD296,1)="3","C3",""))))</f>
        <v>C2</v>
      </c>
      <c r="AF296" t="s" s="35">
        <v>1602</v>
      </c>
      <c r="AG296" t="s" s="35">
        <v>1607</v>
      </c>
      <c r="AH296" t="s" s="35">
        <v>1602</v>
      </c>
      <c r="AI296" t="s" s="35">
        <v>1623</v>
      </c>
      <c r="AJ296" t="s" s="35">
        <v>1615</v>
      </c>
      <c r="AK296" s="39"/>
      <c r="AL296" s="39"/>
      <c r="AM296" s="39"/>
      <c r="AN296" s="39"/>
      <c r="AO296" s="39"/>
      <c r="AP296" s="39"/>
      <c r="AQ296" s="39"/>
      <c r="AR296" s="39"/>
      <c r="AS296" s="39"/>
      <c r="AT296" s="39"/>
      <c r="AU296" s="39"/>
      <c r="AV296" s="39"/>
      <c r="AW296" t="str" s="39" cm="1">
        <f t="array" ref="AW296">AF296&amp;"; "&amp;AG296&amp;"; "&amp;AH296&amp;"; "&amp;AI296&amp;"; "&amp;AJ296</f>
        <v>E1; E3; E1; D4; E6</v>
      </c>
    </row>
    <row r="297" ht="13.65" customHeight="1">
      <c r="A297" t="s" s="35">
        <v>3214</v>
      </c>
      <c r="B297" s="36">
        <v>6</v>
      </c>
      <c r="C297" t="s" s="35">
        <v>1823</v>
      </c>
      <c r="D297" t="s" s="35">
        <v>3158</v>
      </c>
      <c r="E297" t="s" s="35">
        <v>3194</v>
      </c>
      <c r="F297" s="36">
        <v>7</v>
      </c>
      <c r="G297" t="s" s="35">
        <v>502</v>
      </c>
      <c r="H297" t="s" s="35">
        <v>3209</v>
      </c>
      <c r="I297" t="s" s="120">
        <v>3215</v>
      </c>
      <c r="J297" t="s" s="35">
        <v>1164</v>
      </c>
      <c r="K297" t="s" s="35">
        <v>1247</v>
      </c>
      <c r="L297" s="39"/>
      <c r="M297" t="str" s="39">
        <v>Física</v>
      </c>
      <c r="N297" t="str" s="39">
        <v>Transformación y transferencia de energía</v>
      </c>
      <c r="O297" t="str" s="39" cm="1">
        <f t="array" ref="O297">IF(L297="","",_xlfn.IFERROR(INDEX('Datos - Catálogo TIMSS'!$C$5:$C$107,MATCH(L297,'Datos - Catálogo TIMSS'!$A$5:$A$107,0)),"?"))</f>
      </c>
      <c r="P297" t="s" s="35">
        <v>254</v>
      </c>
      <c r="Q297" t="s" s="120">
        <v>3216</v>
      </c>
      <c r="R297" t="s" s="120">
        <v>3217</v>
      </c>
      <c r="S297" s="121" cm="1">
        <f t="array" ref="S297">_xlfn.IFERROR(ISNUMBER(SEARCH("Conocer",$R297))/(ISNUMBER(SEARCH("Conocer",$R297))+ISNUMBER(SEARCH("Aplicar",$R297))+ISNUMBER(SEARCH("Razonar",$R297))),0)</f>
        <v>0</v>
      </c>
      <c r="T297" s="121" cm="1">
        <f t="array" ref="T297">_xlfn.IFERROR(ISNUMBER(SEARCH("Aplicar",$R297))/(ISNUMBER(SEARCH("Conocer",$R297))+ISNUMBER(SEARCH("Aplicar",$R297))+ISNUMBER(SEARCH("Razonar",$R297))),0)</f>
        <v>1</v>
      </c>
      <c r="U297" s="121" cm="1">
        <f t="array" ref="U297">_xlfn.IFERROR(ISNUMBER(SEARCH("Razonar",$R297))/(ISNUMBER(SEARCH("Conocer",$R297))+ISNUMBER(SEARCH("Aplicar",$R297))+ISNUMBER(SEARCH("Razonar",$R297))),0)</f>
        <v>0</v>
      </c>
      <c r="V297" t="s" s="35">
        <v>82</v>
      </c>
      <c r="W297" t="s" s="35">
        <v>115</v>
      </c>
      <c r="X297" s="36" cm="1">
        <f t="array" ref="X297">IF(OR(_xlfn.IFERROR(INDEX('Datos - Catálogo TIMSS'!$I$5:$I$107,MATCH(K297,'Datos - Catálogo TIMSS'!$A$5:$A$107,0)),"No")="Sí",_xlfn.IFERROR(INDEX('Datos - Catálogo TIMSS'!$I$5:$I$107,MATCH(L297,'Datos - Catálogo TIMSS'!$A$5:$A$107,0)),"No")="Sí"),1,0)</f>
        <v>0</v>
      </c>
      <c r="Y297" s="36" cm="1">
        <f t="array" ref="Y297">IF(_xlfn.IFERROR(INDEX('Datos - Catálogo TIMSS'!$J$5:$J$107,MATCH(K297,'Datos - Catálogo TIMSS'!$A$5:$A$107,0)),"No")="Sí",1,0)</f>
        <v>0</v>
      </c>
      <c r="Z297" s="36" cm="1">
        <f t="array" ref="Z297">IF(_xlfn.IFERROR(INDEX('Datos - Catálogo TIMSS'!$J$5:$J$107,MATCH(L297,'Datos - Catálogo TIMSS'!$A$5:$A$107,0)),"No")="Sí",1,0)</f>
        <v>0</v>
      </c>
      <c r="AA297" t="s" s="35">
        <v>3199</v>
      </c>
      <c r="AB297" s="39"/>
      <c r="AC297" t="str" s="39">
        <v>Física</v>
      </c>
      <c r="AD297" t="s" s="35">
        <v>1834</v>
      </c>
      <c r="AE297" t="str" s="39" cm="1">
        <f t="array" ref="AE297">IF(AD297="","",IF(LEFT(AD297,1)="1","C1",IF(LEFT(AD297,1)="2","C2",IF(LEFT(AD297,1)="3","C3",""))))</f>
        <v>C2</v>
      </c>
      <c r="AF297" t="s" s="35">
        <v>1602</v>
      </c>
      <c r="AG297" t="s" s="35">
        <v>1617</v>
      </c>
      <c r="AH297" t="s" s="35">
        <v>1602</v>
      </c>
      <c r="AI297" t="s" s="35">
        <v>1619</v>
      </c>
      <c r="AJ297" t="s" s="35">
        <v>1615</v>
      </c>
      <c r="AK297" s="39"/>
      <c r="AL297" s="39"/>
      <c r="AM297" s="39"/>
      <c r="AN297" s="39"/>
      <c r="AO297" s="39"/>
      <c r="AP297" s="39"/>
      <c r="AQ297" s="39"/>
      <c r="AR297" s="39"/>
      <c r="AS297" s="39"/>
      <c r="AT297" s="39"/>
      <c r="AU297" s="39"/>
      <c r="AV297" s="39"/>
      <c r="AW297" t="str" s="39" cm="1">
        <f t="array" ref="AW297">AF297&amp;"; "&amp;AG297&amp;"; "&amp;AH297&amp;"; "&amp;AI297&amp;"; "&amp;AJ297</f>
        <v>E1; D1; E1; D2; E6</v>
      </c>
    </row>
    <row r="298" ht="13.65" customHeight="1">
      <c r="A298" t="s" s="35">
        <v>3218</v>
      </c>
      <c r="B298" s="36">
        <v>6</v>
      </c>
      <c r="C298" t="s" s="35">
        <v>1823</v>
      </c>
      <c r="D298" t="s" s="35">
        <v>3158</v>
      </c>
      <c r="E298" t="s" s="35">
        <v>3194</v>
      </c>
      <c r="F298" s="36">
        <v>8</v>
      </c>
      <c r="G298" t="s" s="35">
        <v>502</v>
      </c>
      <c r="H298" t="s" s="35">
        <v>3209</v>
      </c>
      <c r="I298" t="s" s="120">
        <v>3219</v>
      </c>
      <c r="J298" t="s" s="35">
        <v>1164</v>
      </c>
      <c r="K298" t="s" s="35">
        <v>1247</v>
      </c>
      <c r="L298" s="39"/>
      <c r="M298" t="str" s="39">
        <v>Física</v>
      </c>
      <c r="N298" t="str" s="39">
        <v>Transformación y transferencia de energía</v>
      </c>
      <c r="O298" t="str" s="39" cm="1">
        <f t="array" ref="O298">IF(L298="","",_xlfn.IFERROR(INDEX('Datos - Catálogo TIMSS'!$C$5:$C$107,MATCH(L298,'Datos - Catálogo TIMSS'!$A$5:$A$107,0)),"?"))</f>
      </c>
      <c r="P298" t="s" s="35">
        <v>282</v>
      </c>
      <c r="Q298" t="s" s="120">
        <v>3220</v>
      </c>
      <c r="R298" t="s" s="120">
        <v>3134</v>
      </c>
      <c r="S298" s="121" cm="1">
        <f t="array" ref="S298">_xlfn.IFERROR(ISNUMBER(SEARCH("Conocer",$R298))/(ISNUMBER(SEARCH("Conocer",$R298))+ISNUMBER(SEARCH("Aplicar",$R298))+ISNUMBER(SEARCH("Razonar",$R298))),0)</f>
        <v>0</v>
      </c>
      <c r="T298" s="121" cm="1">
        <f t="array" ref="T298">_xlfn.IFERROR(ISNUMBER(SEARCH("Aplicar",$R298))/(ISNUMBER(SEARCH("Conocer",$R298))+ISNUMBER(SEARCH("Aplicar",$R298))+ISNUMBER(SEARCH("Razonar",$R298))),0)</f>
        <v>0</v>
      </c>
      <c r="U298" s="121" cm="1">
        <f t="array" ref="U298">_xlfn.IFERROR(ISNUMBER(SEARCH("Razonar",$R298))/(ISNUMBER(SEARCH("Conocer",$R298))+ISNUMBER(SEARCH("Aplicar",$R298))+ISNUMBER(SEARCH("Razonar",$R298))),0)</f>
        <v>1</v>
      </c>
      <c r="V298" t="s" s="35">
        <v>82</v>
      </c>
      <c r="W298" t="s" s="35">
        <v>115</v>
      </c>
      <c r="X298" s="36" cm="1">
        <f t="array" ref="X298">IF(OR(_xlfn.IFERROR(INDEX('Datos - Catálogo TIMSS'!$I$5:$I$107,MATCH(K298,'Datos - Catálogo TIMSS'!$A$5:$A$107,0)),"No")="Sí",_xlfn.IFERROR(INDEX('Datos - Catálogo TIMSS'!$I$5:$I$107,MATCH(L298,'Datos - Catálogo TIMSS'!$A$5:$A$107,0)),"No")="Sí"),1,0)</f>
        <v>0</v>
      </c>
      <c r="Y298" s="36" cm="1">
        <f t="array" ref="Y298">IF(_xlfn.IFERROR(INDEX('Datos - Catálogo TIMSS'!$J$5:$J$107,MATCH(K298,'Datos - Catálogo TIMSS'!$A$5:$A$107,0)),"No")="Sí",1,0)</f>
        <v>0</v>
      </c>
      <c r="Z298" s="36" cm="1">
        <f t="array" ref="Z298">IF(_xlfn.IFERROR(INDEX('Datos - Catálogo TIMSS'!$J$5:$J$107,MATCH(L298,'Datos - Catálogo TIMSS'!$A$5:$A$107,0)),"No")="Sí",1,0)</f>
        <v>0</v>
      </c>
      <c r="AA298" t="s" s="35">
        <v>3199</v>
      </c>
      <c r="AB298" s="39"/>
      <c r="AC298" t="str" s="39">
        <v>Física</v>
      </c>
      <c r="AD298" t="s" s="35">
        <v>1834</v>
      </c>
      <c r="AE298" t="str" s="39" cm="1">
        <f t="array" ref="AE298">IF(AD298="","",IF(LEFT(AD298,1)="1","C1",IF(LEFT(AD298,1)="2","C2",IF(LEFT(AD298,1)="3","C3",""))))</f>
        <v>C2</v>
      </c>
      <c r="AF298" t="s" s="35">
        <v>1602</v>
      </c>
      <c r="AG298" t="s" s="35">
        <v>1607</v>
      </c>
      <c r="AH298" t="s" s="35">
        <v>1602</v>
      </c>
      <c r="AI298" t="s" s="35">
        <v>1621</v>
      </c>
      <c r="AJ298" t="s" s="35">
        <v>1615</v>
      </c>
      <c r="AK298" s="39"/>
      <c r="AL298" s="39"/>
      <c r="AM298" s="39"/>
      <c r="AN298" s="39"/>
      <c r="AO298" s="39"/>
      <c r="AP298" s="39"/>
      <c r="AQ298" s="39"/>
      <c r="AR298" s="39"/>
      <c r="AS298" s="39"/>
      <c r="AT298" s="39"/>
      <c r="AU298" s="39"/>
      <c r="AV298" s="39"/>
      <c r="AW298" t="str" s="39" cm="1">
        <f t="array" ref="AW298">AF298&amp;"; "&amp;AG298&amp;"; "&amp;AH298&amp;"; "&amp;AI298&amp;"; "&amp;AJ298</f>
        <v>E1; E3; E1; D3; E6</v>
      </c>
    </row>
    <row r="299" ht="13.65" customHeight="1">
      <c r="A299" t="s" s="35">
        <v>3221</v>
      </c>
      <c r="B299" s="36">
        <v>6</v>
      </c>
      <c r="C299" t="s" s="35">
        <v>1823</v>
      </c>
      <c r="D299" t="s" s="35">
        <v>3158</v>
      </c>
      <c r="E299" t="s" s="35">
        <v>3194</v>
      </c>
      <c r="F299" s="36">
        <v>9</v>
      </c>
      <c r="G299" t="s" s="35">
        <v>502</v>
      </c>
      <c r="H299" t="s" s="35">
        <v>3209</v>
      </c>
      <c r="I299" t="s" s="120">
        <v>3222</v>
      </c>
      <c r="J299" t="s" s="35">
        <v>1164</v>
      </c>
      <c r="K299" t="s" s="35">
        <v>554</v>
      </c>
      <c r="L299" s="39"/>
      <c r="M299" t="str" s="39">
        <v>Física</v>
      </c>
      <c r="N299" t="str" s="39">
        <v>Estados físicos y cambios de la materia</v>
      </c>
      <c r="O299" t="str" s="39" cm="1">
        <f t="array" ref="O299">IF(L299="","",_xlfn.IFERROR(INDEX('Datos - Catálogo TIMSS'!$C$5:$C$107,MATCH(L299,'Datos - Catálogo TIMSS'!$A$5:$A$107,0)),"?"))</f>
      </c>
      <c r="P299" t="s" s="35">
        <v>254</v>
      </c>
      <c r="Q299" t="s" s="120">
        <v>3223</v>
      </c>
      <c r="R299" t="s" s="120">
        <v>1878</v>
      </c>
      <c r="S299" s="121" cm="1">
        <f t="array" ref="S299">_xlfn.IFERROR(ISNUMBER(SEARCH("Conocer",$R299))/(ISNUMBER(SEARCH("Conocer",$R299))+ISNUMBER(SEARCH("Aplicar",$R299))+ISNUMBER(SEARCH("Razonar",$R299))),0)</f>
        <v>0</v>
      </c>
      <c r="T299" s="121" cm="1">
        <f t="array" ref="T299">_xlfn.IFERROR(ISNUMBER(SEARCH("Aplicar",$R299))/(ISNUMBER(SEARCH("Conocer",$R299))+ISNUMBER(SEARCH("Aplicar",$R299))+ISNUMBER(SEARCH("Razonar",$R299))),0)</f>
        <v>1</v>
      </c>
      <c r="U299" s="121" cm="1">
        <f t="array" ref="U299">_xlfn.IFERROR(ISNUMBER(SEARCH("Razonar",$R299))/(ISNUMBER(SEARCH("Conocer",$R299))+ISNUMBER(SEARCH("Aplicar",$R299))+ISNUMBER(SEARCH("Razonar",$R299))),0)</f>
        <v>0</v>
      </c>
      <c r="V299" t="s" s="35">
        <v>82</v>
      </c>
      <c r="W299" t="s" s="35">
        <v>115</v>
      </c>
      <c r="X299" s="36" cm="1">
        <f t="array" ref="X299">IF(OR(_xlfn.IFERROR(INDEX('Datos - Catálogo TIMSS'!$I$5:$I$107,MATCH(K299,'Datos - Catálogo TIMSS'!$A$5:$A$107,0)),"No")="Sí",_xlfn.IFERROR(INDEX('Datos - Catálogo TIMSS'!$I$5:$I$107,MATCH(L299,'Datos - Catálogo TIMSS'!$A$5:$A$107,0)),"No")="Sí"),1,0)</f>
        <v>0</v>
      </c>
      <c r="Y299" s="36" cm="1">
        <f t="array" ref="Y299">IF(_xlfn.IFERROR(INDEX('Datos - Catálogo TIMSS'!$J$5:$J$107,MATCH(K299,'Datos - Catálogo TIMSS'!$A$5:$A$107,0)),"No")="Sí",1,0)</f>
        <v>0</v>
      </c>
      <c r="Z299" s="36" cm="1">
        <f t="array" ref="Z299">IF(_xlfn.IFERROR(INDEX('Datos - Catálogo TIMSS'!$J$5:$J$107,MATCH(L299,'Datos - Catálogo TIMSS'!$A$5:$A$107,0)),"No")="Sí",1,0)</f>
        <v>0</v>
      </c>
      <c r="AA299" t="s" s="35">
        <v>3165</v>
      </c>
      <c r="AB299" s="39"/>
      <c r="AC299" t="str" s="39">
        <v>Física</v>
      </c>
      <c r="AD299" t="s" s="35">
        <v>1834</v>
      </c>
      <c r="AE299" t="str" s="39" cm="1">
        <f t="array" ref="AE299">IF(AD299="","",IF(LEFT(AD299,1)="1","C1",IF(LEFT(AD299,1)="2","C2",IF(LEFT(AD299,1)="3","C3",""))))</f>
        <v>C2</v>
      </c>
      <c r="AF299" t="s" s="35">
        <v>1602</v>
      </c>
      <c r="AG299" t="s" s="35">
        <v>1612</v>
      </c>
      <c r="AH299" t="s" s="35">
        <v>1602</v>
      </c>
      <c r="AI299" t="s" s="35">
        <v>1619</v>
      </c>
      <c r="AJ299" t="s" s="35">
        <v>1615</v>
      </c>
      <c r="AK299" s="39"/>
      <c r="AL299" s="39"/>
      <c r="AM299" s="39"/>
      <c r="AN299" s="39"/>
      <c r="AO299" s="39"/>
      <c r="AP299" s="39"/>
      <c r="AQ299" s="39"/>
      <c r="AR299" s="39"/>
      <c r="AS299" s="39"/>
      <c r="AT299" s="39"/>
      <c r="AU299" s="39"/>
      <c r="AV299" s="39"/>
      <c r="AW299" t="str" s="39" cm="1">
        <f t="array" ref="AW299">AF299&amp;"; "&amp;AG299&amp;"; "&amp;AH299&amp;"; "&amp;AI299&amp;"; "&amp;AJ299</f>
        <v>E1; E5; E1; D2; E6</v>
      </c>
    </row>
    <row r="300" ht="13.65" customHeight="1">
      <c r="A300" t="s" s="35">
        <v>3224</v>
      </c>
      <c r="B300" s="36">
        <v>6</v>
      </c>
      <c r="C300" t="s" s="35">
        <v>1823</v>
      </c>
      <c r="D300" t="s" s="35">
        <v>3158</v>
      </c>
      <c r="E300" t="s" s="35">
        <v>3225</v>
      </c>
      <c r="F300" s="36">
        <v>3</v>
      </c>
      <c r="G300" t="s" s="35">
        <v>3226</v>
      </c>
      <c r="H300" t="s" s="35">
        <v>3227</v>
      </c>
      <c r="I300" t="s" s="120">
        <v>3228</v>
      </c>
      <c r="J300" t="s" s="35">
        <v>1164</v>
      </c>
      <c r="K300" t="s" s="35">
        <v>1256</v>
      </c>
      <c r="L300" t="s" s="35">
        <v>569</v>
      </c>
      <c r="M300" t="str" s="39">
        <v>Física</v>
      </c>
      <c r="N300" t="str" s="39">
        <v>Electricidad y magnetismo</v>
      </c>
      <c r="O300" t="str" s="39" cm="1">
        <f t="array" ref="O300">IF(L300="","",_xlfn.IFERROR(INDEX('Datos - Catálogo TIMSS'!$C$5:$C$107,MATCH(L300,'Datos - Catálogo TIMSS'!$A$5:$A$107,0)),"?"))</f>
        <v>Física</v>
      </c>
      <c r="P300" t="s" s="35">
        <v>282</v>
      </c>
      <c r="Q300" t="s" s="120">
        <v>3229</v>
      </c>
      <c r="R300" t="s" s="120">
        <v>3230</v>
      </c>
      <c r="S300" s="121" cm="1">
        <f t="array" ref="S300">_xlfn.IFERROR(ISNUMBER(SEARCH("Conocer",$R300))/(ISNUMBER(SEARCH("Conocer",$R300))+ISNUMBER(SEARCH("Aplicar",$R300))+ISNUMBER(SEARCH("Razonar",$R300))),0)</f>
        <v>0</v>
      </c>
      <c r="T300" s="121" cm="1">
        <f t="array" ref="T300">_xlfn.IFERROR(ISNUMBER(SEARCH("Aplicar",$R300))/(ISNUMBER(SEARCH("Conocer",$R300))+ISNUMBER(SEARCH("Aplicar",$R300))+ISNUMBER(SEARCH("Razonar",$R300))),0)</f>
        <v>1</v>
      </c>
      <c r="U300" s="121" cm="1">
        <f t="array" ref="U300">_xlfn.IFERROR(ISNUMBER(SEARCH("Razonar",$R300))/(ISNUMBER(SEARCH("Conocer",$R300))+ISNUMBER(SEARCH("Aplicar",$R300))+ISNUMBER(SEARCH("Razonar",$R300))),0)</f>
        <v>0</v>
      </c>
      <c r="V300" t="s" s="35">
        <v>82</v>
      </c>
      <c r="W300" t="s" s="35">
        <v>115</v>
      </c>
      <c r="X300" s="36" cm="1">
        <f t="array" ref="X300">IF(OR(_xlfn.IFERROR(INDEX('Datos - Catálogo TIMSS'!$I$5:$I$107,MATCH(K300,'Datos - Catálogo TIMSS'!$A$5:$A$107,0)),"No")="Sí",_xlfn.IFERROR(INDEX('Datos - Catálogo TIMSS'!$I$5:$I$107,MATCH(L300,'Datos - Catálogo TIMSS'!$A$5:$A$107,0)),"No")="Sí"),1,0)</f>
        <v>0</v>
      </c>
      <c r="Y300" s="36" cm="1">
        <f t="array" ref="Y300">IF(_xlfn.IFERROR(INDEX('Datos - Catálogo TIMSS'!$J$5:$J$107,MATCH(K300,'Datos - Catálogo TIMSS'!$A$5:$A$107,0)),"No")="Sí",1,0)</f>
        <v>0</v>
      </c>
      <c r="Z300" s="36" cm="1">
        <f t="array" ref="Z300">IF(_xlfn.IFERROR(INDEX('Datos - Catálogo TIMSS'!$J$5:$J$107,MATCH(L300,'Datos - Catálogo TIMSS'!$A$5:$A$107,0)),"No")="Sí",1,0)</f>
        <v>1</v>
      </c>
      <c r="AA300" t="s" s="35">
        <v>3231</v>
      </c>
      <c r="AB300" s="39"/>
      <c r="AC300" t="str" s="39">
        <v>Física</v>
      </c>
      <c r="AD300" t="s" s="35">
        <v>1834</v>
      </c>
      <c r="AE300" t="str" s="39" cm="1">
        <f t="array" ref="AE300">IF(AD300="","",IF(LEFT(AD300,1)="1","C1",IF(LEFT(AD300,1)="2","C2",IF(LEFT(AD300,1)="3","C3",""))))</f>
        <v>C2</v>
      </c>
      <c r="AF300" t="s" s="35">
        <v>1602</v>
      </c>
      <c r="AG300" t="s" s="35">
        <v>1617</v>
      </c>
      <c r="AH300" t="s" s="35">
        <v>1602</v>
      </c>
      <c r="AI300" t="s" s="35">
        <v>1623</v>
      </c>
      <c r="AJ300" t="s" s="35">
        <v>1607</v>
      </c>
      <c r="AK300" s="39"/>
      <c r="AL300" s="39"/>
      <c r="AM300" s="39"/>
      <c r="AN300" s="39"/>
      <c r="AO300" s="39"/>
      <c r="AP300" s="39"/>
      <c r="AQ300" s="39"/>
      <c r="AR300" s="39"/>
      <c r="AS300" s="39"/>
      <c r="AT300" s="39"/>
      <c r="AU300" s="39"/>
      <c r="AV300" s="39"/>
      <c r="AW300" t="str" s="39" cm="1">
        <f t="array" ref="AW300">AF300&amp;"; "&amp;AG300&amp;"; "&amp;AH300&amp;"; "&amp;AI300&amp;"; "&amp;AJ300</f>
        <v>E1; D1; E1; D4; E3</v>
      </c>
    </row>
    <row r="301" ht="13.65" customHeight="1">
      <c r="A301" t="s" s="35">
        <v>3232</v>
      </c>
      <c r="B301" s="36">
        <v>6</v>
      </c>
      <c r="C301" t="s" s="35">
        <v>1823</v>
      </c>
      <c r="D301" t="s" s="35">
        <v>3158</v>
      </c>
      <c r="E301" t="s" s="35">
        <v>3225</v>
      </c>
      <c r="F301" s="36">
        <v>4</v>
      </c>
      <c r="G301" t="s" s="35">
        <v>3226</v>
      </c>
      <c r="H301" t="s" s="35">
        <v>3227</v>
      </c>
      <c r="I301" t="s" s="120">
        <v>3233</v>
      </c>
      <c r="J301" t="s" s="35">
        <v>1164</v>
      </c>
      <c r="K301" t="s" s="35">
        <v>1256</v>
      </c>
      <c r="L301" t="s" s="35">
        <v>569</v>
      </c>
      <c r="M301" t="str" s="39">
        <v>Física</v>
      </c>
      <c r="N301" t="str" s="39">
        <v>Electricidad y magnetismo</v>
      </c>
      <c r="O301" t="str" s="39" cm="1">
        <f t="array" ref="O301">IF(L301="","",_xlfn.IFERROR(INDEX('Datos - Catálogo TIMSS'!$C$5:$C$107,MATCH(L301,'Datos - Catálogo TIMSS'!$A$5:$A$107,0)),"?"))</f>
        <v>Física</v>
      </c>
      <c r="P301" t="s" s="35">
        <v>282</v>
      </c>
      <c r="Q301" t="s" s="120">
        <v>3234</v>
      </c>
      <c r="R301" t="s" s="120">
        <v>3235</v>
      </c>
      <c r="S301" s="121" cm="1">
        <f t="array" ref="S301">_xlfn.IFERROR(ISNUMBER(SEARCH("Conocer",$R301))/(ISNUMBER(SEARCH("Conocer",$R301))+ISNUMBER(SEARCH("Aplicar",$R301))+ISNUMBER(SEARCH("Razonar",$R301))),0)</f>
        <v>0</v>
      </c>
      <c r="T301" s="121" cm="1">
        <f t="array" ref="T301">_xlfn.IFERROR(ISNUMBER(SEARCH("Aplicar",$R301))/(ISNUMBER(SEARCH("Conocer",$R301))+ISNUMBER(SEARCH("Aplicar",$R301))+ISNUMBER(SEARCH("Razonar",$R301))),0)</f>
        <v>1</v>
      </c>
      <c r="U301" s="121" cm="1">
        <f t="array" ref="U301">_xlfn.IFERROR(ISNUMBER(SEARCH("Razonar",$R301))/(ISNUMBER(SEARCH("Conocer",$R301))+ISNUMBER(SEARCH("Aplicar",$R301))+ISNUMBER(SEARCH("Razonar",$R301))),0)</f>
        <v>0</v>
      </c>
      <c r="V301" t="s" s="35">
        <v>82</v>
      </c>
      <c r="W301" t="s" s="35">
        <v>115</v>
      </c>
      <c r="X301" s="36" cm="1">
        <f t="array" ref="X301">IF(OR(_xlfn.IFERROR(INDEX('Datos - Catálogo TIMSS'!$I$5:$I$107,MATCH(K301,'Datos - Catálogo TIMSS'!$A$5:$A$107,0)),"No")="Sí",_xlfn.IFERROR(INDEX('Datos - Catálogo TIMSS'!$I$5:$I$107,MATCH(L301,'Datos - Catálogo TIMSS'!$A$5:$A$107,0)),"No")="Sí"),1,0)</f>
        <v>0</v>
      </c>
      <c r="Y301" s="36" cm="1">
        <f t="array" ref="Y301">IF(_xlfn.IFERROR(INDEX('Datos - Catálogo TIMSS'!$J$5:$J$107,MATCH(K301,'Datos - Catálogo TIMSS'!$A$5:$A$107,0)),"No")="Sí",1,0)</f>
        <v>0</v>
      </c>
      <c r="Z301" s="36" cm="1">
        <f t="array" ref="Z301">IF(_xlfn.IFERROR(INDEX('Datos - Catálogo TIMSS'!$J$5:$J$107,MATCH(L301,'Datos - Catálogo TIMSS'!$A$5:$A$107,0)),"No")="Sí",1,0)</f>
        <v>1</v>
      </c>
      <c r="AA301" t="s" s="35">
        <v>3231</v>
      </c>
      <c r="AB301" s="39"/>
      <c r="AC301" t="str" s="39">
        <v>Física</v>
      </c>
      <c r="AD301" t="s" s="35">
        <v>1834</v>
      </c>
      <c r="AE301" t="str" s="39" cm="1">
        <f t="array" ref="AE301">IF(AD301="","",IF(LEFT(AD301,1)="1","C1",IF(LEFT(AD301,1)="2","C2",IF(LEFT(AD301,1)="3","C3",""))))</f>
        <v>C2</v>
      </c>
      <c r="AF301" t="s" s="35">
        <v>1602</v>
      </c>
      <c r="AG301" t="s" s="35">
        <v>1617</v>
      </c>
      <c r="AH301" t="s" s="35">
        <v>1605</v>
      </c>
      <c r="AI301" t="s" s="35">
        <v>1623</v>
      </c>
      <c r="AJ301" t="s" s="35">
        <v>1602</v>
      </c>
      <c r="AK301" s="39"/>
      <c r="AL301" s="39"/>
      <c r="AM301" s="39"/>
      <c r="AN301" s="39"/>
      <c r="AO301" s="39"/>
      <c r="AP301" s="39"/>
      <c r="AQ301" s="39"/>
      <c r="AR301" s="39"/>
      <c r="AS301" s="39"/>
      <c r="AT301" s="39"/>
      <c r="AU301" s="39"/>
      <c r="AV301" s="39"/>
      <c r="AW301" t="str" s="39" cm="1">
        <f t="array" ref="AW301">AF301&amp;"; "&amp;AG301&amp;"; "&amp;AH301&amp;"; "&amp;AI301&amp;"; "&amp;AJ301</f>
        <v>E1; D1; E2; D4; E1</v>
      </c>
    </row>
    <row r="302" ht="13.65" customHeight="1">
      <c r="A302" t="s" s="35">
        <v>3236</v>
      </c>
      <c r="B302" s="36">
        <v>6</v>
      </c>
      <c r="C302" t="s" s="35">
        <v>1823</v>
      </c>
      <c r="D302" t="s" s="35">
        <v>3158</v>
      </c>
      <c r="E302" t="s" s="35">
        <v>3225</v>
      </c>
      <c r="F302" s="36">
        <v>5</v>
      </c>
      <c r="G302" t="s" s="35">
        <v>3226</v>
      </c>
      <c r="H302" t="s" s="35">
        <v>3237</v>
      </c>
      <c r="I302" t="s" s="120">
        <v>3238</v>
      </c>
      <c r="J302" t="s" s="35">
        <v>1164</v>
      </c>
      <c r="K302" t="s" s="35">
        <v>1256</v>
      </c>
      <c r="L302" s="39"/>
      <c r="M302" t="str" s="39">
        <v>Física</v>
      </c>
      <c r="N302" t="str" s="39">
        <v>Electricidad y magnetismo</v>
      </c>
      <c r="O302" t="str" s="39" cm="1">
        <f t="array" ref="O302">IF(L302="","",_xlfn.IFERROR(INDEX('Datos - Catálogo TIMSS'!$C$5:$C$107,MATCH(L302,'Datos - Catálogo TIMSS'!$A$5:$A$107,0)),"?"))</f>
      </c>
      <c r="P302" t="s" s="35">
        <v>254</v>
      </c>
      <c r="Q302" t="s" s="120">
        <v>3239</v>
      </c>
      <c r="R302" t="s" s="120">
        <v>3240</v>
      </c>
      <c r="S302" s="121" cm="1">
        <f t="array" ref="S302">_xlfn.IFERROR(ISNUMBER(SEARCH("Conocer",$R302))/(ISNUMBER(SEARCH("Conocer",$R302))+ISNUMBER(SEARCH("Aplicar",$R302))+ISNUMBER(SEARCH("Razonar",$R302))),0)</f>
        <v>0</v>
      </c>
      <c r="T302" s="121" cm="1">
        <f t="array" ref="T302">_xlfn.IFERROR(ISNUMBER(SEARCH("Aplicar",$R302))/(ISNUMBER(SEARCH("Conocer",$R302))+ISNUMBER(SEARCH("Aplicar",$R302))+ISNUMBER(SEARCH("Razonar",$R302))),0)</f>
        <v>1</v>
      </c>
      <c r="U302" s="121" cm="1">
        <f t="array" ref="U302">_xlfn.IFERROR(ISNUMBER(SEARCH("Razonar",$R302))/(ISNUMBER(SEARCH("Conocer",$R302))+ISNUMBER(SEARCH("Aplicar",$R302))+ISNUMBER(SEARCH("Razonar",$R302))),0)</f>
        <v>0</v>
      </c>
      <c r="V302" t="s" s="35">
        <v>82</v>
      </c>
      <c r="W302" t="s" s="35">
        <v>115</v>
      </c>
      <c r="X302" s="36" cm="1">
        <f t="array" ref="X302">IF(OR(_xlfn.IFERROR(INDEX('Datos - Catálogo TIMSS'!$I$5:$I$107,MATCH(K302,'Datos - Catálogo TIMSS'!$A$5:$A$107,0)),"No")="Sí",_xlfn.IFERROR(INDEX('Datos - Catálogo TIMSS'!$I$5:$I$107,MATCH(L302,'Datos - Catálogo TIMSS'!$A$5:$A$107,0)),"No")="Sí"),1,0)</f>
        <v>0</v>
      </c>
      <c r="Y302" s="36" cm="1">
        <f t="array" ref="Y302">IF(_xlfn.IFERROR(INDEX('Datos - Catálogo TIMSS'!$J$5:$J$107,MATCH(K302,'Datos - Catálogo TIMSS'!$A$5:$A$107,0)),"No")="Sí",1,0)</f>
        <v>0</v>
      </c>
      <c r="Z302" s="36" cm="1">
        <f t="array" ref="Z302">IF(_xlfn.IFERROR(INDEX('Datos - Catálogo TIMSS'!$J$5:$J$107,MATCH(L302,'Datos - Catálogo TIMSS'!$A$5:$A$107,0)),"No")="Sí",1,0)</f>
        <v>0</v>
      </c>
      <c r="AA302" t="s" s="35">
        <v>3231</v>
      </c>
      <c r="AB302" s="39"/>
      <c r="AC302" t="str" s="39">
        <v>Física</v>
      </c>
      <c r="AD302" t="s" s="35">
        <v>1859</v>
      </c>
      <c r="AE302" t="str" s="39" cm="1">
        <f t="array" ref="AE302">IF(AD302="","",IF(LEFT(AD302,1)="1","C1",IF(LEFT(AD302,1)="2","C2",IF(LEFT(AD302,1)="3","C3",""))))</f>
        <v>C1</v>
      </c>
      <c r="AF302" t="s" s="35">
        <v>1602</v>
      </c>
      <c r="AG302" t="s" s="35">
        <v>1617</v>
      </c>
      <c r="AH302" t="s" s="35">
        <v>1605</v>
      </c>
      <c r="AI302" t="s" s="35">
        <v>1623</v>
      </c>
      <c r="AJ302" t="s" s="35">
        <v>1607</v>
      </c>
      <c r="AK302" s="39"/>
      <c r="AL302" s="39"/>
      <c r="AM302" s="39"/>
      <c r="AN302" s="39"/>
      <c r="AO302" s="39"/>
      <c r="AP302" s="39"/>
      <c r="AQ302" s="39"/>
      <c r="AR302" s="39"/>
      <c r="AS302" s="39"/>
      <c r="AT302" s="39"/>
      <c r="AU302" s="39"/>
      <c r="AV302" s="39"/>
      <c r="AW302" t="str" s="39" cm="1">
        <f t="array" ref="AW302">AF302&amp;"; "&amp;AG302&amp;"; "&amp;AH302&amp;"; "&amp;AI302&amp;"; "&amp;AJ302</f>
        <v>E1; D1; E2; D4; E3</v>
      </c>
    </row>
    <row r="303" ht="13.65" customHeight="1">
      <c r="A303" t="s" s="35">
        <v>3241</v>
      </c>
      <c r="B303" s="36">
        <v>6</v>
      </c>
      <c r="C303" t="s" s="35">
        <v>1823</v>
      </c>
      <c r="D303" t="s" s="35">
        <v>3158</v>
      </c>
      <c r="E303" t="s" s="35">
        <v>3225</v>
      </c>
      <c r="F303" s="36">
        <v>6</v>
      </c>
      <c r="G303" t="s" s="35">
        <v>3226</v>
      </c>
      <c r="H303" t="s" s="35">
        <v>3237</v>
      </c>
      <c r="I303" t="s" s="120">
        <v>3242</v>
      </c>
      <c r="J303" t="s" s="35">
        <v>1164</v>
      </c>
      <c r="K303" t="s" s="35">
        <v>1256</v>
      </c>
      <c r="L303" s="39"/>
      <c r="M303" t="str" s="39">
        <v>Física</v>
      </c>
      <c r="N303" t="str" s="39">
        <v>Electricidad y magnetismo</v>
      </c>
      <c r="O303" t="str" s="39" cm="1">
        <f t="array" ref="O303">IF(L303="","",_xlfn.IFERROR(INDEX('Datos - Catálogo TIMSS'!$C$5:$C$107,MATCH(L303,'Datos - Catálogo TIMSS'!$A$5:$A$107,0)),"?"))</f>
      </c>
      <c r="P303" t="s" s="35">
        <v>254</v>
      </c>
      <c r="Q303" t="s" s="120">
        <v>3243</v>
      </c>
      <c r="R303" t="s" s="120">
        <v>3244</v>
      </c>
      <c r="S303" s="121" cm="1">
        <f t="array" ref="S303">_xlfn.IFERROR(ISNUMBER(SEARCH("Conocer",$R303))/(ISNUMBER(SEARCH("Conocer",$R303))+ISNUMBER(SEARCH("Aplicar",$R303))+ISNUMBER(SEARCH("Razonar",$R303))),0)</f>
        <v>0</v>
      </c>
      <c r="T303" s="121" cm="1">
        <f t="array" ref="T303">_xlfn.IFERROR(ISNUMBER(SEARCH("Aplicar",$R303))/(ISNUMBER(SEARCH("Conocer",$R303))+ISNUMBER(SEARCH("Aplicar",$R303))+ISNUMBER(SEARCH("Razonar",$R303))),0)</f>
        <v>1</v>
      </c>
      <c r="U303" s="121" cm="1">
        <f t="array" ref="U303">_xlfn.IFERROR(ISNUMBER(SEARCH("Razonar",$R303))/(ISNUMBER(SEARCH("Conocer",$R303))+ISNUMBER(SEARCH("Aplicar",$R303))+ISNUMBER(SEARCH("Razonar",$R303))),0)</f>
        <v>0</v>
      </c>
      <c r="V303" t="s" s="35">
        <v>82</v>
      </c>
      <c r="W303" t="s" s="35">
        <v>115</v>
      </c>
      <c r="X303" s="36" cm="1">
        <f t="array" ref="X303">IF(OR(_xlfn.IFERROR(INDEX('Datos - Catálogo TIMSS'!$I$5:$I$107,MATCH(K303,'Datos - Catálogo TIMSS'!$A$5:$A$107,0)),"No")="Sí",_xlfn.IFERROR(INDEX('Datos - Catálogo TIMSS'!$I$5:$I$107,MATCH(L303,'Datos - Catálogo TIMSS'!$A$5:$A$107,0)),"No")="Sí"),1,0)</f>
        <v>0</v>
      </c>
      <c r="Y303" s="36" cm="1">
        <f t="array" ref="Y303">IF(_xlfn.IFERROR(INDEX('Datos - Catálogo TIMSS'!$J$5:$J$107,MATCH(K303,'Datos - Catálogo TIMSS'!$A$5:$A$107,0)),"No")="Sí",1,0)</f>
        <v>0</v>
      </c>
      <c r="Z303" s="36" cm="1">
        <f t="array" ref="Z303">IF(_xlfn.IFERROR(INDEX('Datos - Catálogo TIMSS'!$J$5:$J$107,MATCH(L303,'Datos - Catálogo TIMSS'!$A$5:$A$107,0)),"No")="Sí",1,0)</f>
        <v>0</v>
      </c>
      <c r="AA303" t="s" s="35">
        <v>3231</v>
      </c>
      <c r="AB303" s="39"/>
      <c r="AC303" t="str" s="39">
        <v>Física</v>
      </c>
      <c r="AD303" t="s" s="35">
        <v>1834</v>
      </c>
      <c r="AE303" t="str" s="39" cm="1">
        <f t="array" ref="AE303">IF(AD303="","",IF(LEFT(AD303,1)="1","C1",IF(LEFT(AD303,1)="2","C2",IF(LEFT(AD303,1)="3","C3",""))))</f>
        <v>C2</v>
      </c>
      <c r="AF303" t="s" s="35">
        <v>1602</v>
      </c>
      <c r="AG303" t="s" s="35">
        <v>1607</v>
      </c>
      <c r="AH303" t="s" s="35">
        <v>1609</v>
      </c>
      <c r="AI303" t="s" s="35">
        <v>1623</v>
      </c>
      <c r="AJ303" t="s" s="35">
        <v>1607</v>
      </c>
      <c r="AK303" s="39"/>
      <c r="AL303" s="39"/>
      <c r="AM303" s="39"/>
      <c r="AN303" s="39"/>
      <c r="AO303" s="39"/>
      <c r="AP303" s="39"/>
      <c r="AQ303" s="39"/>
      <c r="AR303" s="39"/>
      <c r="AS303" s="39"/>
      <c r="AT303" s="39"/>
      <c r="AU303" s="39"/>
      <c r="AV303" s="39"/>
      <c r="AW303" t="str" s="39" cm="1">
        <f t="array" ref="AW303">AF303&amp;"; "&amp;AG303&amp;"; "&amp;AH303&amp;"; "&amp;AI303&amp;"; "&amp;AJ303</f>
        <v>E1; E3; E4; D4; E3</v>
      </c>
    </row>
    <row r="304" ht="13.65" customHeight="1">
      <c r="A304" t="s" s="35">
        <v>3246</v>
      </c>
      <c r="B304" s="36">
        <v>6</v>
      </c>
      <c r="C304" t="s" s="35">
        <v>1823</v>
      </c>
      <c r="D304" t="s" s="35">
        <v>3158</v>
      </c>
      <c r="E304" t="s" s="35">
        <v>3225</v>
      </c>
      <c r="F304" s="36">
        <v>7</v>
      </c>
      <c r="G304" t="s" s="35">
        <v>3226</v>
      </c>
      <c r="H304" t="s" s="35">
        <v>3237</v>
      </c>
      <c r="I304" t="s" s="120">
        <v>3247</v>
      </c>
      <c r="J304" t="s" s="35">
        <v>1164</v>
      </c>
      <c r="K304" t="s" s="35">
        <v>1256</v>
      </c>
      <c r="L304" s="39"/>
      <c r="M304" t="str" s="39">
        <v>Física</v>
      </c>
      <c r="N304" t="str" s="39">
        <v>Electricidad y magnetismo</v>
      </c>
      <c r="O304" t="str" s="39" cm="1">
        <f t="array" ref="O304">IF(L304="","",_xlfn.IFERROR(INDEX('Datos - Catálogo TIMSS'!$C$5:$C$107,MATCH(L304,'Datos - Catálogo TIMSS'!$A$5:$A$107,0)),"?"))</f>
      </c>
      <c r="P304" t="s" s="35">
        <v>282</v>
      </c>
      <c r="Q304" t="s" s="120">
        <v>3248</v>
      </c>
      <c r="R304" t="s" s="120">
        <v>3249</v>
      </c>
      <c r="S304" s="121" cm="1">
        <f t="array" ref="S304">_xlfn.IFERROR(ISNUMBER(SEARCH("Conocer",$R304))/(ISNUMBER(SEARCH("Conocer",$R304))+ISNUMBER(SEARCH("Aplicar",$R304))+ISNUMBER(SEARCH("Razonar",$R304))),0)</f>
        <v>0</v>
      </c>
      <c r="T304" s="121" cm="1">
        <f t="array" ref="T304">_xlfn.IFERROR(ISNUMBER(SEARCH("Aplicar",$R304))/(ISNUMBER(SEARCH("Conocer",$R304))+ISNUMBER(SEARCH("Aplicar",$R304))+ISNUMBER(SEARCH("Razonar",$R304))),0)</f>
        <v>0.5</v>
      </c>
      <c r="U304" s="121" cm="1">
        <f t="array" ref="U304">_xlfn.IFERROR(ISNUMBER(SEARCH("Razonar",$R304))/(ISNUMBER(SEARCH("Conocer",$R304))+ISNUMBER(SEARCH("Aplicar",$R304))+ISNUMBER(SEARCH("Razonar",$R304))),0)</f>
        <v>0.5</v>
      </c>
      <c r="V304" t="s" s="35">
        <v>82</v>
      </c>
      <c r="W304" t="s" s="35">
        <v>115</v>
      </c>
      <c r="X304" s="36" cm="1">
        <f t="array" ref="X304">IF(OR(_xlfn.IFERROR(INDEX('Datos - Catálogo TIMSS'!$I$5:$I$107,MATCH(K304,'Datos - Catálogo TIMSS'!$A$5:$A$107,0)),"No")="Sí",_xlfn.IFERROR(INDEX('Datos - Catálogo TIMSS'!$I$5:$I$107,MATCH(L304,'Datos - Catálogo TIMSS'!$A$5:$A$107,0)),"No")="Sí"),1,0)</f>
        <v>0</v>
      </c>
      <c r="Y304" s="36" cm="1">
        <f t="array" ref="Y304">IF(_xlfn.IFERROR(INDEX('Datos - Catálogo TIMSS'!$J$5:$J$107,MATCH(K304,'Datos - Catálogo TIMSS'!$A$5:$A$107,0)),"No")="Sí",1,0)</f>
        <v>0</v>
      </c>
      <c r="Z304" s="36" cm="1">
        <f t="array" ref="Z304">IF(_xlfn.IFERROR(INDEX('Datos - Catálogo TIMSS'!$J$5:$J$107,MATCH(L304,'Datos - Catálogo TIMSS'!$A$5:$A$107,0)),"No")="Sí",1,0)</f>
        <v>0</v>
      </c>
      <c r="AA304" t="s" s="35">
        <v>3231</v>
      </c>
      <c r="AB304" s="39"/>
      <c r="AC304" t="str" s="39">
        <v>Física</v>
      </c>
      <c r="AD304" t="s" s="35">
        <v>1834</v>
      </c>
      <c r="AE304" t="str" s="39" cm="1">
        <f t="array" ref="AE304">IF(AD304="","",IF(LEFT(AD304,1)="1","C1",IF(LEFT(AD304,1)="2","C2",IF(LEFT(AD304,1)="3","C3",""))))</f>
        <v>C2</v>
      </c>
      <c r="AF304" t="s" s="35">
        <v>1602</v>
      </c>
      <c r="AG304" t="s" s="35">
        <v>1617</v>
      </c>
      <c r="AH304" t="s" s="35">
        <v>1602</v>
      </c>
      <c r="AI304" t="s" s="35">
        <v>1623</v>
      </c>
      <c r="AJ304" t="s" s="35">
        <v>1607</v>
      </c>
      <c r="AK304" s="39"/>
      <c r="AL304" s="39"/>
      <c r="AM304" s="39"/>
      <c r="AN304" s="39"/>
      <c r="AO304" s="39"/>
      <c r="AP304" s="39"/>
      <c r="AQ304" s="39"/>
      <c r="AR304" s="39"/>
      <c r="AS304" s="39"/>
      <c r="AT304" s="39"/>
      <c r="AU304" s="39"/>
      <c r="AV304" s="39"/>
      <c r="AW304" t="str" s="39" cm="1">
        <f t="array" ref="AW304">AF304&amp;"; "&amp;AG304&amp;"; "&amp;AH304&amp;"; "&amp;AI304&amp;"; "&amp;AJ304</f>
        <v>E1; D1; E1; D4; E3</v>
      </c>
    </row>
    <row r="305" ht="13.65" customHeight="1">
      <c r="A305" t="s" s="35">
        <v>3250</v>
      </c>
      <c r="B305" s="36">
        <v>6</v>
      </c>
      <c r="C305" t="s" s="35">
        <v>1823</v>
      </c>
      <c r="D305" t="s" s="35">
        <v>3158</v>
      </c>
      <c r="E305" t="s" s="35">
        <v>3225</v>
      </c>
      <c r="F305" s="36">
        <v>8</v>
      </c>
      <c r="G305" t="s" s="35">
        <v>3226</v>
      </c>
      <c r="H305" t="s" s="35">
        <v>3237</v>
      </c>
      <c r="I305" t="s" s="120">
        <v>3251</v>
      </c>
      <c r="J305" t="s" s="35">
        <v>1164</v>
      </c>
      <c r="K305" t="s" s="35">
        <v>1256</v>
      </c>
      <c r="L305" s="39"/>
      <c r="M305" t="str" s="39">
        <v>Física</v>
      </c>
      <c r="N305" t="str" s="39">
        <v>Electricidad y magnetismo</v>
      </c>
      <c r="O305" t="str" s="39" cm="1">
        <f t="array" ref="O305">IF(L305="","",_xlfn.IFERROR(INDEX('Datos - Catálogo TIMSS'!$C$5:$C$107,MATCH(L305,'Datos - Catálogo TIMSS'!$A$5:$A$107,0)),"?"))</f>
      </c>
      <c r="P305" t="s" s="35">
        <v>254</v>
      </c>
      <c r="Q305" t="s" s="120">
        <v>3252</v>
      </c>
      <c r="R305" t="s" s="120">
        <v>3253</v>
      </c>
      <c r="S305" s="121" cm="1">
        <f t="array" ref="S305">_xlfn.IFERROR(ISNUMBER(SEARCH("Conocer",$R305))/(ISNUMBER(SEARCH("Conocer",$R305))+ISNUMBER(SEARCH("Aplicar",$R305))+ISNUMBER(SEARCH("Razonar",$R305))),0)</f>
        <v>0</v>
      </c>
      <c r="T305" s="121" cm="1">
        <f t="array" ref="T305">_xlfn.IFERROR(ISNUMBER(SEARCH("Aplicar",$R305))/(ISNUMBER(SEARCH("Conocer",$R305))+ISNUMBER(SEARCH("Aplicar",$R305))+ISNUMBER(SEARCH("Razonar",$R305))),0)</f>
        <v>1</v>
      </c>
      <c r="U305" s="121" cm="1">
        <f t="array" ref="U305">_xlfn.IFERROR(ISNUMBER(SEARCH("Razonar",$R305))/(ISNUMBER(SEARCH("Conocer",$R305))+ISNUMBER(SEARCH("Aplicar",$R305))+ISNUMBER(SEARCH("Razonar",$R305))),0)</f>
        <v>0</v>
      </c>
      <c r="V305" t="s" s="35">
        <v>82</v>
      </c>
      <c r="W305" t="s" s="35">
        <v>115</v>
      </c>
      <c r="X305" s="36" cm="1">
        <f t="array" ref="X305">IF(OR(_xlfn.IFERROR(INDEX('Datos - Catálogo TIMSS'!$I$5:$I$107,MATCH(K305,'Datos - Catálogo TIMSS'!$A$5:$A$107,0)),"No")="Sí",_xlfn.IFERROR(INDEX('Datos - Catálogo TIMSS'!$I$5:$I$107,MATCH(L305,'Datos - Catálogo TIMSS'!$A$5:$A$107,0)),"No")="Sí"),1,0)</f>
        <v>0</v>
      </c>
      <c r="Y305" s="36" cm="1">
        <f t="array" ref="Y305">IF(_xlfn.IFERROR(INDEX('Datos - Catálogo TIMSS'!$J$5:$J$107,MATCH(K305,'Datos - Catálogo TIMSS'!$A$5:$A$107,0)),"No")="Sí",1,0)</f>
        <v>0</v>
      </c>
      <c r="Z305" s="36" cm="1">
        <f t="array" ref="Z305">IF(_xlfn.IFERROR(INDEX('Datos - Catálogo TIMSS'!$J$5:$J$107,MATCH(L305,'Datos - Catálogo TIMSS'!$A$5:$A$107,0)),"No")="Sí",1,0)</f>
        <v>0</v>
      </c>
      <c r="AA305" t="s" s="35">
        <v>3231</v>
      </c>
      <c r="AB305" s="39"/>
      <c r="AC305" t="str" s="39">
        <v>Física</v>
      </c>
      <c r="AD305" t="s" s="35">
        <v>1834</v>
      </c>
      <c r="AE305" t="str" s="39" cm="1">
        <f t="array" ref="AE305">IF(AD305="","",IF(LEFT(AD305,1)="1","C1",IF(LEFT(AD305,1)="2","C2",IF(LEFT(AD305,1)="3","C3",""))))</f>
        <v>C2</v>
      </c>
      <c r="AF305" t="s" s="35">
        <v>1602</v>
      </c>
      <c r="AG305" t="s" s="35">
        <v>1607</v>
      </c>
      <c r="AH305" t="s" s="35">
        <v>1609</v>
      </c>
      <c r="AI305" t="s" s="35">
        <v>1623</v>
      </c>
      <c r="AJ305" t="s" s="35">
        <v>1615</v>
      </c>
      <c r="AK305" s="39"/>
      <c r="AL305" s="39"/>
      <c r="AM305" s="39"/>
      <c r="AN305" s="39"/>
      <c r="AO305" s="39"/>
      <c r="AP305" s="39"/>
      <c r="AQ305" s="39"/>
      <c r="AR305" s="39"/>
      <c r="AS305" s="39"/>
      <c r="AT305" s="39"/>
      <c r="AU305" s="39"/>
      <c r="AV305" s="39"/>
      <c r="AW305" t="str" s="39" cm="1">
        <f t="array" ref="AW305">AF305&amp;"; "&amp;AG305&amp;"; "&amp;AH305&amp;"; "&amp;AI305&amp;"; "&amp;AJ305</f>
        <v>E1; E3; E4; D4; E6</v>
      </c>
    </row>
    <row r="306" ht="13.65" customHeight="1">
      <c r="A306" t="s" s="35">
        <v>3255</v>
      </c>
      <c r="B306" s="36">
        <v>6</v>
      </c>
      <c r="C306" t="s" s="35">
        <v>1823</v>
      </c>
      <c r="D306" t="s" s="35">
        <v>3158</v>
      </c>
      <c r="E306" t="s" s="35">
        <v>3225</v>
      </c>
      <c r="F306" s="36">
        <v>9</v>
      </c>
      <c r="G306" t="s" s="35">
        <v>3226</v>
      </c>
      <c r="H306" t="s" s="35">
        <v>3237</v>
      </c>
      <c r="I306" t="s" s="120">
        <v>3256</v>
      </c>
      <c r="J306" t="s" s="35">
        <v>1164</v>
      </c>
      <c r="K306" t="s" s="35">
        <v>1256</v>
      </c>
      <c r="L306" s="39"/>
      <c r="M306" t="str" s="39">
        <v>Física</v>
      </c>
      <c r="N306" t="str" s="39">
        <v>Electricidad y magnetismo</v>
      </c>
      <c r="O306" t="str" s="39" cm="1">
        <f t="array" ref="O306">IF(L306="","",_xlfn.IFERROR(INDEX('Datos - Catálogo TIMSS'!$C$5:$C$107,MATCH(L306,'Datos - Catálogo TIMSS'!$A$5:$A$107,0)),"?"))</f>
      </c>
      <c r="P306" t="s" s="35">
        <v>282</v>
      </c>
      <c r="Q306" t="s" s="120">
        <v>3257</v>
      </c>
      <c r="R306" t="s" s="120">
        <v>2962</v>
      </c>
      <c r="S306" s="121" cm="1">
        <f t="array" ref="S306">_xlfn.IFERROR(ISNUMBER(SEARCH("Conocer",$R306))/(ISNUMBER(SEARCH("Conocer",$R306))+ISNUMBER(SEARCH("Aplicar",$R306))+ISNUMBER(SEARCH("Razonar",$R306))),0)</f>
        <v>0</v>
      </c>
      <c r="T306" s="121" cm="1">
        <f t="array" ref="T306">_xlfn.IFERROR(ISNUMBER(SEARCH("Aplicar",$R306))/(ISNUMBER(SEARCH("Conocer",$R306))+ISNUMBER(SEARCH("Aplicar",$R306))+ISNUMBER(SEARCH("Razonar",$R306))),0)</f>
        <v>1</v>
      </c>
      <c r="U306" s="121" cm="1">
        <f t="array" ref="U306">_xlfn.IFERROR(ISNUMBER(SEARCH("Razonar",$R306))/(ISNUMBER(SEARCH("Conocer",$R306))+ISNUMBER(SEARCH("Aplicar",$R306))+ISNUMBER(SEARCH("Razonar",$R306))),0)</f>
        <v>0</v>
      </c>
      <c r="V306" t="s" s="35">
        <v>82</v>
      </c>
      <c r="W306" t="s" s="35">
        <v>115</v>
      </c>
      <c r="X306" s="36" cm="1">
        <f t="array" ref="X306">IF(OR(_xlfn.IFERROR(INDEX('Datos - Catálogo TIMSS'!$I$5:$I$107,MATCH(K306,'Datos - Catálogo TIMSS'!$A$5:$A$107,0)),"No")="Sí",_xlfn.IFERROR(INDEX('Datos - Catálogo TIMSS'!$I$5:$I$107,MATCH(L306,'Datos - Catálogo TIMSS'!$A$5:$A$107,0)),"No")="Sí"),1,0)</f>
        <v>0</v>
      </c>
      <c r="Y306" s="36" cm="1">
        <f t="array" ref="Y306">IF(_xlfn.IFERROR(INDEX('Datos - Catálogo TIMSS'!$J$5:$J$107,MATCH(K306,'Datos - Catálogo TIMSS'!$A$5:$A$107,0)),"No")="Sí",1,0)</f>
        <v>0</v>
      </c>
      <c r="Z306" s="36" cm="1">
        <f t="array" ref="Z306">IF(_xlfn.IFERROR(INDEX('Datos - Catálogo TIMSS'!$J$5:$J$107,MATCH(L306,'Datos - Catálogo TIMSS'!$A$5:$A$107,0)),"No")="Sí",1,0)</f>
        <v>0</v>
      </c>
      <c r="AA306" t="s" s="35">
        <v>3231</v>
      </c>
      <c r="AB306" s="39"/>
      <c r="AC306" t="str" s="39">
        <v>Física</v>
      </c>
      <c r="AD306" t="s" s="35">
        <v>1834</v>
      </c>
      <c r="AE306" t="str" s="39" cm="1">
        <f t="array" ref="AE306">IF(AD306="","",IF(LEFT(AD306,1)="1","C1",IF(LEFT(AD306,1)="2","C2",IF(LEFT(AD306,1)="3","C3",""))))</f>
        <v>C2</v>
      </c>
      <c r="AF306" t="s" s="35">
        <v>1602</v>
      </c>
      <c r="AG306" t="s" s="35">
        <v>1617</v>
      </c>
      <c r="AH306" t="s" s="35">
        <v>1602</v>
      </c>
      <c r="AI306" t="s" s="35">
        <v>1623</v>
      </c>
      <c r="AJ306" t="s" s="35">
        <v>1607</v>
      </c>
      <c r="AK306" s="39"/>
      <c r="AL306" s="39"/>
      <c r="AM306" s="39"/>
      <c r="AN306" s="39"/>
      <c r="AO306" s="39"/>
      <c r="AP306" s="39"/>
      <c r="AQ306" s="39"/>
      <c r="AR306" s="39"/>
      <c r="AS306" s="39"/>
      <c r="AT306" s="39"/>
      <c r="AU306" s="39"/>
      <c r="AV306" s="39"/>
      <c r="AW306" t="str" s="39" cm="1">
        <f t="array" ref="AW306">AF306&amp;"; "&amp;AG306&amp;"; "&amp;AH306&amp;"; "&amp;AI306&amp;"; "&amp;AJ306</f>
        <v>E1; D1; E1; D4; E3</v>
      </c>
    </row>
    <row r="307" ht="13.65" customHeight="1">
      <c r="A307" t="s" s="35">
        <v>3258</v>
      </c>
      <c r="B307" s="36">
        <v>6</v>
      </c>
      <c r="C307" t="s" s="35">
        <v>1823</v>
      </c>
      <c r="D307" t="s" s="35">
        <v>3158</v>
      </c>
      <c r="E307" t="s" s="35">
        <v>3225</v>
      </c>
      <c r="F307" s="36">
        <v>10</v>
      </c>
      <c r="G307" t="s" s="35">
        <v>3226</v>
      </c>
      <c r="H307" t="s" s="35">
        <v>3259</v>
      </c>
      <c r="I307" t="s" s="120">
        <v>3260</v>
      </c>
      <c r="J307" t="s" s="35">
        <v>1164</v>
      </c>
      <c r="K307" t="s" s="35">
        <v>1259</v>
      </c>
      <c r="L307" s="39"/>
      <c r="M307" t="str" s="39">
        <v>Física</v>
      </c>
      <c r="N307" t="str" s="39">
        <v>Electricidad y magnetismo</v>
      </c>
      <c r="O307" t="str" s="39" cm="1">
        <f t="array" ref="O307">IF(L307="","",_xlfn.IFERROR(INDEX('Datos - Catálogo TIMSS'!$C$5:$C$107,MATCH(L307,'Datos - Catálogo TIMSS'!$A$5:$A$107,0)),"?"))</f>
      </c>
      <c r="P307" t="s" s="35">
        <v>254</v>
      </c>
      <c r="Q307" t="s" s="120">
        <v>3261</v>
      </c>
      <c r="R307" t="s" s="120">
        <v>3262</v>
      </c>
      <c r="S307" s="121" cm="1">
        <f t="array" ref="S307">_xlfn.IFERROR(ISNUMBER(SEARCH("Conocer",$R307))/(ISNUMBER(SEARCH("Conocer",$R307))+ISNUMBER(SEARCH("Aplicar",$R307))+ISNUMBER(SEARCH("Razonar",$R307))),0)</f>
        <v>0</v>
      </c>
      <c r="T307" s="121" cm="1">
        <f t="array" ref="T307">_xlfn.IFERROR(ISNUMBER(SEARCH("Aplicar",$R307))/(ISNUMBER(SEARCH("Conocer",$R307))+ISNUMBER(SEARCH("Aplicar",$R307))+ISNUMBER(SEARCH("Razonar",$R307))),0)</f>
        <v>0</v>
      </c>
      <c r="U307" s="121" cm="1">
        <f t="array" ref="U307">_xlfn.IFERROR(ISNUMBER(SEARCH("Razonar",$R307))/(ISNUMBER(SEARCH("Conocer",$R307))+ISNUMBER(SEARCH("Aplicar",$R307))+ISNUMBER(SEARCH("Razonar",$R307))),0)</f>
        <v>1</v>
      </c>
      <c r="V307" t="s" s="35">
        <v>82</v>
      </c>
      <c r="W307" t="s" s="35">
        <v>115</v>
      </c>
      <c r="X307" s="36" cm="1">
        <f t="array" ref="X307">IF(OR(_xlfn.IFERROR(INDEX('Datos - Catálogo TIMSS'!$I$5:$I$107,MATCH(K307,'Datos - Catálogo TIMSS'!$A$5:$A$107,0)),"No")="Sí",_xlfn.IFERROR(INDEX('Datos - Catálogo TIMSS'!$I$5:$I$107,MATCH(L307,'Datos - Catálogo TIMSS'!$A$5:$A$107,0)),"No")="Sí"),1,0)</f>
        <v>0</v>
      </c>
      <c r="Y307" s="36" cm="1">
        <f t="array" ref="Y307">IF(_xlfn.IFERROR(INDEX('Datos - Catálogo TIMSS'!$J$5:$J$107,MATCH(K307,'Datos - Catálogo TIMSS'!$A$5:$A$107,0)),"No")="Sí",1,0)</f>
        <v>0</v>
      </c>
      <c r="Z307" s="36" cm="1">
        <f t="array" ref="Z307">IF(_xlfn.IFERROR(INDEX('Datos - Catálogo TIMSS'!$J$5:$J$107,MATCH(L307,'Datos - Catálogo TIMSS'!$A$5:$A$107,0)),"No")="Sí",1,0)</f>
        <v>0</v>
      </c>
      <c r="AA307" t="s" s="35">
        <v>3064</v>
      </c>
      <c r="AB307" s="39"/>
      <c r="AC307" t="str" s="39">
        <v>Física</v>
      </c>
      <c r="AD307" t="s" s="35">
        <v>1834</v>
      </c>
      <c r="AE307" t="str" s="39" cm="1">
        <f t="array" ref="AE307">IF(AD307="","",IF(LEFT(AD307,1)="1","C1",IF(LEFT(AD307,1)="2","C2",IF(LEFT(AD307,1)="3","C3",""))))</f>
        <v>C2</v>
      </c>
      <c r="AF307" t="s" s="35">
        <v>1602</v>
      </c>
      <c r="AG307" t="s" s="35">
        <v>1612</v>
      </c>
      <c r="AH307" t="s" s="35">
        <v>1609</v>
      </c>
      <c r="AI307" t="s" s="35">
        <v>1623</v>
      </c>
      <c r="AJ307" t="s" s="35">
        <v>1615</v>
      </c>
      <c r="AK307" s="39"/>
      <c r="AL307" s="39"/>
      <c r="AM307" s="39"/>
      <c r="AN307" s="39"/>
      <c r="AO307" s="39"/>
      <c r="AP307" s="39"/>
      <c r="AQ307" s="39"/>
      <c r="AR307" s="39"/>
      <c r="AS307" s="39"/>
      <c r="AT307" s="39"/>
      <c r="AU307" s="39"/>
      <c r="AV307" s="39"/>
      <c r="AW307" t="str" s="39" cm="1">
        <f t="array" ref="AW307">AF307&amp;"; "&amp;AG307&amp;"; "&amp;AH307&amp;"; "&amp;AI307&amp;"; "&amp;AJ307</f>
        <v>E1; E5; E4; D4; E6</v>
      </c>
    </row>
    <row r="308" ht="13.65" customHeight="1">
      <c r="A308" t="s" s="35">
        <v>3263</v>
      </c>
      <c r="B308" s="36">
        <v>6</v>
      </c>
      <c r="C308" t="s" s="35">
        <v>1823</v>
      </c>
      <c r="D308" t="s" s="35">
        <v>3158</v>
      </c>
      <c r="E308" t="s" s="35">
        <v>3225</v>
      </c>
      <c r="F308" s="36">
        <v>11</v>
      </c>
      <c r="G308" t="s" s="35">
        <v>3226</v>
      </c>
      <c r="H308" t="s" s="35">
        <v>3259</v>
      </c>
      <c r="I308" t="s" s="120">
        <v>3264</v>
      </c>
      <c r="J308" t="s" s="35">
        <v>1164</v>
      </c>
      <c r="K308" t="s" s="35">
        <v>1259</v>
      </c>
      <c r="L308" s="39"/>
      <c r="M308" t="str" s="39">
        <v>Física</v>
      </c>
      <c r="N308" t="str" s="39">
        <v>Electricidad y magnetismo</v>
      </c>
      <c r="O308" t="str" s="39" cm="1">
        <f t="array" ref="O308">IF(L308="","",_xlfn.IFERROR(INDEX('Datos - Catálogo TIMSS'!$C$5:$C$107,MATCH(L308,'Datos - Catálogo TIMSS'!$A$5:$A$107,0)),"?"))</f>
      </c>
      <c r="P308" t="s" s="35">
        <v>282</v>
      </c>
      <c r="Q308" t="s" s="120">
        <v>3265</v>
      </c>
      <c r="R308" t="s" s="120">
        <v>2805</v>
      </c>
      <c r="S308" s="121" cm="1">
        <f t="array" ref="S308">_xlfn.IFERROR(ISNUMBER(SEARCH("Conocer",$R308))/(ISNUMBER(SEARCH("Conocer",$R308))+ISNUMBER(SEARCH("Aplicar",$R308))+ISNUMBER(SEARCH("Razonar",$R308))),0)</f>
        <v>0</v>
      </c>
      <c r="T308" s="121" cm="1">
        <f t="array" ref="T308">_xlfn.IFERROR(ISNUMBER(SEARCH("Aplicar",$R308))/(ISNUMBER(SEARCH("Conocer",$R308))+ISNUMBER(SEARCH("Aplicar",$R308))+ISNUMBER(SEARCH("Razonar",$R308))),0)</f>
        <v>1</v>
      </c>
      <c r="U308" s="121" cm="1">
        <f t="array" ref="U308">_xlfn.IFERROR(ISNUMBER(SEARCH("Razonar",$R308))/(ISNUMBER(SEARCH("Conocer",$R308))+ISNUMBER(SEARCH("Aplicar",$R308))+ISNUMBER(SEARCH("Razonar",$R308))),0)</f>
        <v>0</v>
      </c>
      <c r="V308" t="s" s="35">
        <v>82</v>
      </c>
      <c r="W308" t="s" s="35">
        <v>115</v>
      </c>
      <c r="X308" s="36" cm="1">
        <f t="array" ref="X308">IF(OR(_xlfn.IFERROR(INDEX('Datos - Catálogo TIMSS'!$I$5:$I$107,MATCH(K308,'Datos - Catálogo TIMSS'!$A$5:$A$107,0)),"No")="Sí",_xlfn.IFERROR(INDEX('Datos - Catálogo TIMSS'!$I$5:$I$107,MATCH(L308,'Datos - Catálogo TIMSS'!$A$5:$A$107,0)),"No")="Sí"),1,0)</f>
        <v>0</v>
      </c>
      <c r="Y308" s="36" cm="1">
        <f t="array" ref="Y308">IF(_xlfn.IFERROR(INDEX('Datos - Catálogo TIMSS'!$J$5:$J$107,MATCH(K308,'Datos - Catálogo TIMSS'!$A$5:$A$107,0)),"No")="Sí",1,0)</f>
        <v>0</v>
      </c>
      <c r="Z308" s="36" cm="1">
        <f t="array" ref="Z308">IF(_xlfn.IFERROR(INDEX('Datos - Catálogo TIMSS'!$J$5:$J$107,MATCH(L308,'Datos - Catálogo TIMSS'!$A$5:$A$107,0)),"No")="Sí",1,0)</f>
        <v>0</v>
      </c>
      <c r="AA308" t="s" s="35">
        <v>3064</v>
      </c>
      <c r="AB308" s="39"/>
      <c r="AC308" t="str" s="39">
        <v>Física</v>
      </c>
      <c r="AD308" t="s" s="35">
        <v>1834</v>
      </c>
      <c r="AE308" t="str" s="39" cm="1">
        <f t="array" ref="AE308">IF(AD308="","",IF(LEFT(AD308,1)="1","C1",IF(LEFT(AD308,1)="2","C2",IF(LEFT(AD308,1)="3","C3",""))))</f>
        <v>C2</v>
      </c>
      <c r="AF308" t="s" s="35">
        <v>1602</v>
      </c>
      <c r="AG308" t="s" s="35">
        <v>1617</v>
      </c>
      <c r="AH308" t="s" s="35">
        <v>1605</v>
      </c>
      <c r="AI308" t="s" s="35">
        <v>1623</v>
      </c>
      <c r="AJ308" t="s" s="35">
        <v>1602</v>
      </c>
      <c r="AK308" s="39"/>
      <c r="AL308" s="39"/>
      <c r="AM308" s="39"/>
      <c r="AN308" s="39"/>
      <c r="AO308" s="39"/>
      <c r="AP308" s="39"/>
      <c r="AQ308" s="39"/>
      <c r="AR308" s="39"/>
      <c r="AS308" s="39"/>
      <c r="AT308" s="39"/>
      <c r="AU308" s="39"/>
      <c r="AV308" s="39"/>
      <c r="AW308" t="str" s="39" cm="1">
        <f t="array" ref="AW308">AF308&amp;"; "&amp;AG308&amp;"; "&amp;AH308&amp;"; "&amp;AI308&amp;"; "&amp;AJ308</f>
        <v>E1; D1; E2; D4; E1</v>
      </c>
    </row>
    <row r="309" ht="13.65" customHeight="1">
      <c r="A309" t="s" s="35">
        <v>3266</v>
      </c>
      <c r="B309" s="36">
        <v>6</v>
      </c>
      <c r="C309" t="s" s="35">
        <v>1823</v>
      </c>
      <c r="D309" t="s" s="35">
        <v>3158</v>
      </c>
      <c r="E309" t="s" s="35">
        <v>3267</v>
      </c>
      <c r="F309" s="36">
        <v>3</v>
      </c>
      <c r="G309" t="s" s="35">
        <v>562</v>
      </c>
      <c r="H309" t="s" s="35">
        <v>3268</v>
      </c>
      <c r="I309" t="s" s="120">
        <v>3269</v>
      </c>
      <c r="J309" t="s" s="35">
        <v>1164</v>
      </c>
      <c r="K309" t="s" s="35">
        <v>601</v>
      </c>
      <c r="L309" s="39"/>
      <c r="M309" t="str" s="39">
        <v>Química</v>
      </c>
      <c r="N309" t="str" s="39">
        <v>Composición de la materia</v>
      </c>
      <c r="O309" t="str" s="39" cm="1">
        <f t="array" ref="O309">IF(L309="","",_xlfn.IFERROR(INDEX('Datos - Catálogo TIMSS'!$C$5:$C$107,MATCH(L309,'Datos - Catálogo TIMSS'!$A$5:$A$107,0)),"?"))</f>
      </c>
      <c r="P309" t="s" s="35">
        <v>282</v>
      </c>
      <c r="Q309" t="s" s="120">
        <v>3270</v>
      </c>
      <c r="R309" t="s" s="120">
        <v>2805</v>
      </c>
      <c r="S309" s="121" cm="1">
        <f t="array" ref="S309">_xlfn.IFERROR(ISNUMBER(SEARCH("Conocer",$R309))/(ISNUMBER(SEARCH("Conocer",$R309))+ISNUMBER(SEARCH("Aplicar",$R309))+ISNUMBER(SEARCH("Razonar",$R309))),0)</f>
        <v>0</v>
      </c>
      <c r="T309" s="121" cm="1">
        <f t="array" ref="T309">_xlfn.IFERROR(ISNUMBER(SEARCH("Aplicar",$R309))/(ISNUMBER(SEARCH("Conocer",$R309))+ISNUMBER(SEARCH("Aplicar",$R309))+ISNUMBER(SEARCH("Razonar",$R309))),0)</f>
        <v>1</v>
      </c>
      <c r="U309" s="121" cm="1">
        <f t="array" ref="U309">_xlfn.IFERROR(ISNUMBER(SEARCH("Razonar",$R309))/(ISNUMBER(SEARCH("Conocer",$R309))+ISNUMBER(SEARCH("Aplicar",$R309))+ISNUMBER(SEARCH("Razonar",$R309))),0)</f>
        <v>0</v>
      </c>
      <c r="V309" t="s" s="35">
        <v>82</v>
      </c>
      <c r="W309" t="s" s="35">
        <v>115</v>
      </c>
      <c r="X309" s="36" cm="1">
        <f t="array" ref="X309">IF(OR(_xlfn.IFERROR(INDEX('Datos - Catálogo TIMSS'!$I$5:$I$107,MATCH(K309,'Datos - Catálogo TIMSS'!$A$5:$A$107,0)),"No")="Sí",_xlfn.IFERROR(INDEX('Datos - Catálogo TIMSS'!$I$5:$I$107,MATCH(L309,'Datos - Catálogo TIMSS'!$A$5:$A$107,0)),"No")="Sí"),1,0)</f>
        <v>0</v>
      </c>
      <c r="Y309" s="36" cm="1">
        <f t="array" ref="Y309">IF(_xlfn.IFERROR(INDEX('Datos - Catálogo TIMSS'!$J$5:$J$107,MATCH(K309,'Datos - Catálogo TIMSS'!$A$5:$A$107,0)),"No")="Sí",1,0)</f>
        <v>0</v>
      </c>
      <c r="Z309" s="36" cm="1">
        <f t="array" ref="Z309">IF(_xlfn.IFERROR(INDEX('Datos - Catálogo TIMSS'!$J$5:$J$107,MATCH(L309,'Datos - Catálogo TIMSS'!$A$5:$A$107,0)),"No")="Sí",1,0)</f>
        <v>0</v>
      </c>
      <c r="AA309" t="s" s="35">
        <v>2973</v>
      </c>
      <c r="AB309" t="s" s="35">
        <v>2948</v>
      </c>
      <c r="AC309" t="str" s="39">
        <v>Química</v>
      </c>
      <c r="AD309" t="s" s="35">
        <v>1859</v>
      </c>
      <c r="AE309" t="str" s="39" cm="1">
        <f t="array" ref="AE309">IF(AD309="","",IF(LEFT(AD309,1)="1","C1",IF(LEFT(AD309,1)="2","C2",IF(LEFT(AD309,1)="3","C3",""))))</f>
        <v>C1</v>
      </c>
      <c r="AF309" t="s" s="35">
        <v>1602</v>
      </c>
      <c r="AG309" t="s" s="35">
        <v>1617</v>
      </c>
      <c r="AH309" t="s" s="35">
        <v>1605</v>
      </c>
      <c r="AI309" t="s" s="35">
        <v>1623</v>
      </c>
      <c r="AJ309" t="s" s="35">
        <v>1602</v>
      </c>
      <c r="AK309" s="39"/>
      <c r="AL309" s="39"/>
      <c r="AM309" s="39"/>
      <c r="AN309" s="39"/>
      <c r="AO309" s="39"/>
      <c r="AP309" s="39"/>
      <c r="AQ309" s="39"/>
      <c r="AR309" s="39"/>
      <c r="AS309" s="39"/>
      <c r="AT309" s="39"/>
      <c r="AU309" s="39"/>
      <c r="AV309" s="39"/>
      <c r="AW309" t="str" s="39" cm="1">
        <f t="array" ref="AW309">AF309&amp;"; "&amp;AG309&amp;"; "&amp;AH309&amp;"; "&amp;AI309&amp;"; "&amp;AJ309</f>
        <v>E1; D1; E2; D4; E1</v>
      </c>
    </row>
    <row r="310" ht="13.65" customHeight="1">
      <c r="A310" t="s" s="35">
        <v>3271</v>
      </c>
      <c r="B310" s="36">
        <v>6</v>
      </c>
      <c r="C310" t="s" s="35">
        <v>1823</v>
      </c>
      <c r="D310" t="s" s="35">
        <v>3158</v>
      </c>
      <c r="E310" t="s" s="35">
        <v>3267</v>
      </c>
      <c r="F310" s="36">
        <v>4</v>
      </c>
      <c r="G310" t="s" s="35">
        <v>562</v>
      </c>
      <c r="H310" t="s" s="35">
        <v>3268</v>
      </c>
      <c r="I310" t="s" s="120">
        <v>3272</v>
      </c>
      <c r="J310" t="s" s="35">
        <v>1164</v>
      </c>
      <c r="K310" t="s" s="35">
        <v>601</v>
      </c>
      <c r="L310" t="s" s="35">
        <v>1218</v>
      </c>
      <c r="M310" t="str" s="39">
        <v>Química</v>
      </c>
      <c r="N310" t="str" s="39">
        <v>Composición de la materia</v>
      </c>
      <c r="O310" t="str" s="39" cm="1">
        <f t="array" ref="O310">IF(L310="","",_xlfn.IFERROR(INDEX('Datos - Catálogo TIMSS'!$C$5:$C$107,MATCH(L310,'Datos - Catálogo TIMSS'!$A$5:$A$107,0)),"?"))</f>
        <v>Química</v>
      </c>
      <c r="P310" t="s" s="35">
        <v>282</v>
      </c>
      <c r="Q310" t="s" s="120">
        <v>3273</v>
      </c>
      <c r="R310" t="s" s="120">
        <v>1878</v>
      </c>
      <c r="S310" s="121" cm="1">
        <f t="array" ref="S310">_xlfn.IFERROR(ISNUMBER(SEARCH("Conocer",$R310))/(ISNUMBER(SEARCH("Conocer",$R310))+ISNUMBER(SEARCH("Aplicar",$R310))+ISNUMBER(SEARCH("Razonar",$R310))),0)</f>
        <v>0</v>
      </c>
      <c r="T310" s="121" cm="1">
        <f t="array" ref="T310">_xlfn.IFERROR(ISNUMBER(SEARCH("Aplicar",$R310))/(ISNUMBER(SEARCH("Conocer",$R310))+ISNUMBER(SEARCH("Aplicar",$R310))+ISNUMBER(SEARCH("Razonar",$R310))),0)</f>
        <v>1</v>
      </c>
      <c r="U310" s="121" cm="1">
        <f t="array" ref="U310">_xlfn.IFERROR(ISNUMBER(SEARCH("Razonar",$R310))/(ISNUMBER(SEARCH("Conocer",$R310))+ISNUMBER(SEARCH("Aplicar",$R310))+ISNUMBER(SEARCH("Razonar",$R310))),0)</f>
        <v>0</v>
      </c>
      <c r="V310" t="s" s="35">
        <v>82</v>
      </c>
      <c r="W310" t="s" s="35">
        <v>115</v>
      </c>
      <c r="X310" s="36" cm="1">
        <f t="array" ref="X310">IF(OR(_xlfn.IFERROR(INDEX('Datos - Catálogo TIMSS'!$I$5:$I$107,MATCH(K310,'Datos - Catálogo TIMSS'!$A$5:$A$107,0)),"No")="Sí",_xlfn.IFERROR(INDEX('Datos - Catálogo TIMSS'!$I$5:$I$107,MATCH(L310,'Datos - Catálogo TIMSS'!$A$5:$A$107,0)),"No")="Sí"),1,0)</f>
        <v>0</v>
      </c>
      <c r="Y310" s="36" cm="1">
        <f t="array" ref="Y310">IF(_xlfn.IFERROR(INDEX('Datos - Catálogo TIMSS'!$J$5:$J$107,MATCH(K310,'Datos - Catálogo TIMSS'!$A$5:$A$107,0)),"No")="Sí",1,0)</f>
        <v>0</v>
      </c>
      <c r="Z310" s="36" cm="1">
        <f t="array" ref="Z310">IF(_xlfn.IFERROR(INDEX('Datos - Catálogo TIMSS'!$J$5:$J$107,MATCH(L310,'Datos - Catálogo TIMSS'!$A$5:$A$107,0)),"No")="Sí",1,0)</f>
        <v>0</v>
      </c>
      <c r="AA310" t="s" s="35">
        <v>2973</v>
      </c>
      <c r="AB310" s="39"/>
      <c r="AC310" t="str" s="39">
        <v>Química</v>
      </c>
      <c r="AD310" t="s" s="35">
        <v>1859</v>
      </c>
      <c r="AE310" t="str" s="39" cm="1">
        <f t="array" ref="AE310">IF(AD310="","",IF(LEFT(AD310,1)="1","C1",IF(LEFT(AD310,1)="2","C2",IF(LEFT(AD310,1)="3","C3",""))))</f>
        <v>C1</v>
      </c>
      <c r="AF310" t="s" s="35">
        <v>1602</v>
      </c>
      <c r="AG310" t="s" s="35">
        <v>1617</v>
      </c>
      <c r="AH310" t="s" s="35">
        <v>1602</v>
      </c>
      <c r="AI310" t="s" s="35">
        <v>1623</v>
      </c>
      <c r="AJ310" t="s" s="35">
        <v>1602</v>
      </c>
      <c r="AK310" s="39"/>
      <c r="AL310" s="39"/>
      <c r="AM310" s="39"/>
      <c r="AN310" s="39"/>
      <c r="AO310" s="39"/>
      <c r="AP310" s="39"/>
      <c r="AQ310" s="39"/>
      <c r="AR310" s="39"/>
      <c r="AS310" s="39"/>
      <c r="AT310" s="39"/>
      <c r="AU310" s="39"/>
      <c r="AV310" s="39"/>
      <c r="AW310" t="str" s="39" cm="1">
        <f t="array" ref="AW310">AF310&amp;"; "&amp;AG310&amp;"; "&amp;AH310&amp;"; "&amp;AI310&amp;"; "&amp;AJ310</f>
        <v>E1; D1; E1; D4; E1</v>
      </c>
    </row>
    <row r="311" ht="13.65" customHeight="1">
      <c r="A311" t="s" s="35">
        <v>3274</v>
      </c>
      <c r="B311" s="36">
        <v>6</v>
      </c>
      <c r="C311" t="s" s="35">
        <v>1823</v>
      </c>
      <c r="D311" t="s" s="35">
        <v>3158</v>
      </c>
      <c r="E311" t="s" s="35">
        <v>3267</v>
      </c>
      <c r="F311" s="36">
        <v>5</v>
      </c>
      <c r="G311" t="s" s="35">
        <v>562</v>
      </c>
      <c r="H311" t="s" s="35">
        <v>3268</v>
      </c>
      <c r="I311" t="s" s="120">
        <v>3275</v>
      </c>
      <c r="J311" t="s" s="35">
        <v>1164</v>
      </c>
      <c r="K311" t="s" s="35">
        <v>601</v>
      </c>
      <c r="L311" s="39"/>
      <c r="M311" t="str" s="39">
        <v>Química</v>
      </c>
      <c r="N311" t="str" s="39">
        <v>Composición de la materia</v>
      </c>
      <c r="O311" t="str" s="39" cm="1">
        <f t="array" ref="O311">IF(L311="","",_xlfn.IFERROR(INDEX('Datos - Catálogo TIMSS'!$C$5:$C$107,MATCH(L311,'Datos - Catálogo TIMSS'!$A$5:$A$107,0)),"?"))</f>
      </c>
      <c r="P311" t="s" s="35">
        <v>282</v>
      </c>
      <c r="Q311" t="s" s="120">
        <v>3276</v>
      </c>
      <c r="R311" t="s" s="120">
        <v>2131</v>
      </c>
      <c r="S311" s="121" cm="1">
        <f t="array" ref="S311">_xlfn.IFERROR(ISNUMBER(SEARCH("Conocer",$R311))/(ISNUMBER(SEARCH("Conocer",$R311))+ISNUMBER(SEARCH("Aplicar",$R311))+ISNUMBER(SEARCH("Razonar",$R311))),0)</f>
        <v>0</v>
      </c>
      <c r="T311" s="121" cm="1">
        <f t="array" ref="T311">_xlfn.IFERROR(ISNUMBER(SEARCH("Aplicar",$R311))/(ISNUMBER(SEARCH("Conocer",$R311))+ISNUMBER(SEARCH("Aplicar",$R311))+ISNUMBER(SEARCH("Razonar",$R311))),0)</f>
        <v>1</v>
      </c>
      <c r="U311" s="121" cm="1">
        <f t="array" ref="U311">_xlfn.IFERROR(ISNUMBER(SEARCH("Razonar",$R311))/(ISNUMBER(SEARCH("Conocer",$R311))+ISNUMBER(SEARCH("Aplicar",$R311))+ISNUMBER(SEARCH("Razonar",$R311))),0)</f>
        <v>0</v>
      </c>
      <c r="V311" t="s" s="35">
        <v>82</v>
      </c>
      <c r="W311" t="s" s="35">
        <v>115</v>
      </c>
      <c r="X311" s="36" cm="1">
        <f t="array" ref="X311">IF(OR(_xlfn.IFERROR(INDEX('Datos - Catálogo TIMSS'!$I$5:$I$107,MATCH(K311,'Datos - Catálogo TIMSS'!$A$5:$A$107,0)),"No")="Sí",_xlfn.IFERROR(INDEX('Datos - Catálogo TIMSS'!$I$5:$I$107,MATCH(L311,'Datos - Catálogo TIMSS'!$A$5:$A$107,0)),"No")="Sí"),1,0)</f>
        <v>0</v>
      </c>
      <c r="Y311" s="36" cm="1">
        <f t="array" ref="Y311">IF(_xlfn.IFERROR(INDEX('Datos - Catálogo TIMSS'!$J$5:$J$107,MATCH(K311,'Datos - Catálogo TIMSS'!$A$5:$A$107,0)),"No")="Sí",1,0)</f>
        <v>0</v>
      </c>
      <c r="Z311" s="36" cm="1">
        <f t="array" ref="Z311">IF(_xlfn.IFERROR(INDEX('Datos - Catálogo TIMSS'!$J$5:$J$107,MATCH(L311,'Datos - Catálogo TIMSS'!$A$5:$A$107,0)),"No")="Sí",1,0)</f>
        <v>0</v>
      </c>
      <c r="AA311" t="s" s="35">
        <v>2973</v>
      </c>
      <c r="AB311" s="39"/>
      <c r="AC311" t="str" s="39">
        <v>Química</v>
      </c>
      <c r="AD311" t="s" s="35">
        <v>1859</v>
      </c>
      <c r="AE311" t="str" s="39" cm="1">
        <f t="array" ref="AE311">IF(AD311="","",IF(LEFT(AD311,1)="1","C1",IF(LEFT(AD311,1)="2","C2",IF(LEFT(AD311,1)="3","C3",""))))</f>
        <v>C1</v>
      </c>
      <c r="AF311" t="s" s="35">
        <v>1602</v>
      </c>
      <c r="AG311" t="s" s="35">
        <v>1617</v>
      </c>
      <c r="AH311" t="s" s="35">
        <v>1609</v>
      </c>
      <c r="AI311" t="s" s="35">
        <v>1623</v>
      </c>
      <c r="AJ311" t="s" s="35">
        <v>1615</v>
      </c>
      <c r="AK311" s="39"/>
      <c r="AL311" s="39"/>
      <c r="AM311" s="39"/>
      <c r="AN311" s="39"/>
      <c r="AO311" s="39"/>
      <c r="AP311" s="39"/>
      <c r="AQ311" s="39"/>
      <c r="AR311" s="39"/>
      <c r="AS311" s="39"/>
      <c r="AT311" s="39"/>
      <c r="AU311" s="39"/>
      <c r="AV311" s="39"/>
      <c r="AW311" t="str" s="39" cm="1">
        <f t="array" ref="AW311">AF311&amp;"; "&amp;AG311&amp;"; "&amp;AH311&amp;"; "&amp;AI311&amp;"; "&amp;AJ311</f>
        <v>E1; D1; E4; D4; E6</v>
      </c>
    </row>
    <row r="312" ht="13.65" customHeight="1">
      <c r="A312" t="s" s="35">
        <v>3277</v>
      </c>
      <c r="B312" s="36">
        <v>6</v>
      </c>
      <c r="C312" t="s" s="35">
        <v>1823</v>
      </c>
      <c r="D312" t="s" s="35">
        <v>3158</v>
      </c>
      <c r="E312" t="s" s="35">
        <v>3267</v>
      </c>
      <c r="F312" s="36">
        <v>6</v>
      </c>
      <c r="G312" t="s" s="35">
        <v>562</v>
      </c>
      <c r="H312" t="s" s="35">
        <v>3278</v>
      </c>
      <c r="I312" t="s" s="120">
        <v>3279</v>
      </c>
      <c r="J312" t="s" s="35">
        <v>1164</v>
      </c>
      <c r="K312" t="s" s="35">
        <v>601</v>
      </c>
      <c r="L312" s="39"/>
      <c r="M312" t="str" s="39">
        <v>Química</v>
      </c>
      <c r="N312" t="str" s="39">
        <v>Composición de la materia</v>
      </c>
      <c r="O312" t="str" s="39" cm="1">
        <f t="array" ref="O312">IF(L312="","",_xlfn.IFERROR(INDEX('Datos - Catálogo TIMSS'!$C$5:$C$107,MATCH(L312,'Datos - Catálogo TIMSS'!$A$5:$A$107,0)),"?"))</f>
      </c>
      <c r="P312" t="s" s="35">
        <v>254</v>
      </c>
      <c r="Q312" t="s" s="120">
        <v>3280</v>
      </c>
      <c r="R312" t="s" s="120">
        <v>1847</v>
      </c>
      <c r="S312" s="121" cm="1">
        <f t="array" ref="S312">_xlfn.IFERROR(ISNUMBER(SEARCH("Conocer",$R312))/(ISNUMBER(SEARCH("Conocer",$R312))+ISNUMBER(SEARCH("Aplicar",$R312))+ISNUMBER(SEARCH("Razonar",$R312))),0)</f>
        <v>0</v>
      </c>
      <c r="T312" s="121" cm="1">
        <f t="array" ref="T312">_xlfn.IFERROR(ISNUMBER(SEARCH("Aplicar",$R312))/(ISNUMBER(SEARCH("Conocer",$R312))+ISNUMBER(SEARCH("Aplicar",$R312))+ISNUMBER(SEARCH("Razonar",$R312))),0)</f>
        <v>1</v>
      </c>
      <c r="U312" s="121" cm="1">
        <f t="array" ref="U312">_xlfn.IFERROR(ISNUMBER(SEARCH("Razonar",$R312))/(ISNUMBER(SEARCH("Conocer",$R312))+ISNUMBER(SEARCH("Aplicar",$R312))+ISNUMBER(SEARCH("Razonar",$R312))),0)</f>
        <v>0</v>
      </c>
      <c r="V312" t="s" s="35">
        <v>82</v>
      </c>
      <c r="W312" t="s" s="35">
        <v>115</v>
      </c>
      <c r="X312" s="36" cm="1">
        <f t="array" ref="X312">IF(OR(_xlfn.IFERROR(INDEX('Datos - Catálogo TIMSS'!$I$5:$I$107,MATCH(K312,'Datos - Catálogo TIMSS'!$A$5:$A$107,0)),"No")="Sí",_xlfn.IFERROR(INDEX('Datos - Catálogo TIMSS'!$I$5:$I$107,MATCH(L312,'Datos - Catálogo TIMSS'!$A$5:$A$107,0)),"No")="Sí"),1,0)</f>
        <v>0</v>
      </c>
      <c r="Y312" s="36" cm="1">
        <f t="array" ref="Y312">IF(_xlfn.IFERROR(INDEX('Datos - Catálogo TIMSS'!$J$5:$J$107,MATCH(K312,'Datos - Catálogo TIMSS'!$A$5:$A$107,0)),"No")="Sí",1,0)</f>
        <v>0</v>
      </c>
      <c r="Z312" s="36" cm="1">
        <f t="array" ref="Z312">IF(_xlfn.IFERROR(INDEX('Datos - Catálogo TIMSS'!$J$5:$J$107,MATCH(L312,'Datos - Catálogo TIMSS'!$A$5:$A$107,0)),"No")="Sí",1,0)</f>
        <v>0</v>
      </c>
      <c r="AA312" t="s" s="35">
        <v>2973</v>
      </c>
      <c r="AB312" t="s" s="35">
        <v>2948</v>
      </c>
      <c r="AC312" t="str" s="39">
        <v>Química</v>
      </c>
      <c r="AD312" t="s" s="35">
        <v>1859</v>
      </c>
      <c r="AE312" t="str" s="39" cm="1">
        <f t="array" ref="AE312">IF(AD312="","",IF(LEFT(AD312,1)="1","C1",IF(LEFT(AD312,1)="2","C2",IF(LEFT(AD312,1)="3","C3",""))))</f>
        <v>C1</v>
      </c>
      <c r="AF312" t="s" s="35">
        <v>1602</v>
      </c>
      <c r="AG312" t="s" s="35">
        <v>1617</v>
      </c>
      <c r="AH312" t="s" s="35">
        <v>1602</v>
      </c>
      <c r="AI312" t="s" s="35">
        <v>1609</v>
      </c>
      <c r="AJ312" t="s" s="35">
        <v>1602</v>
      </c>
      <c r="AK312" s="39"/>
      <c r="AL312" s="39"/>
      <c r="AM312" s="39"/>
      <c r="AN312" s="39"/>
      <c r="AO312" s="39"/>
      <c r="AP312" s="39"/>
      <c r="AQ312" s="39"/>
      <c r="AR312" s="39"/>
      <c r="AS312" s="39"/>
      <c r="AT312" s="39"/>
      <c r="AU312" s="39"/>
      <c r="AV312" s="39"/>
      <c r="AW312" t="str" s="39" cm="1">
        <f t="array" ref="AW312">AF312&amp;"; "&amp;AG312&amp;"; "&amp;AH312&amp;"; "&amp;AI312&amp;"; "&amp;AJ312</f>
        <v>E1; D1; E1; E4; E1</v>
      </c>
    </row>
    <row r="313" ht="13.65" customHeight="1">
      <c r="A313" t="s" s="35">
        <v>3282</v>
      </c>
      <c r="B313" s="36">
        <v>6</v>
      </c>
      <c r="C313" t="s" s="35">
        <v>1823</v>
      </c>
      <c r="D313" t="s" s="35">
        <v>3158</v>
      </c>
      <c r="E313" t="s" s="35">
        <v>3267</v>
      </c>
      <c r="F313" s="36">
        <v>7</v>
      </c>
      <c r="G313" t="s" s="35">
        <v>562</v>
      </c>
      <c r="H313" t="s" s="35">
        <v>3278</v>
      </c>
      <c r="I313" t="s" s="120">
        <v>3283</v>
      </c>
      <c r="J313" t="s" s="35">
        <v>1164</v>
      </c>
      <c r="K313" t="s" s="35">
        <v>601</v>
      </c>
      <c r="L313" s="39"/>
      <c r="M313" t="str" s="39">
        <v>Química</v>
      </c>
      <c r="N313" t="str" s="39">
        <v>Composición de la materia</v>
      </c>
      <c r="O313" t="str" s="39" cm="1">
        <f t="array" ref="O313">IF(L313="","",_xlfn.IFERROR(INDEX('Datos - Catálogo TIMSS'!$C$5:$C$107,MATCH(L313,'Datos - Catálogo TIMSS'!$A$5:$A$107,0)),"?"))</f>
      </c>
      <c r="P313" t="s" s="35">
        <v>254</v>
      </c>
      <c r="Q313" t="s" s="120">
        <v>3284</v>
      </c>
      <c r="R313" t="s" s="120">
        <v>2798</v>
      </c>
      <c r="S313" s="121" cm="1">
        <f t="array" ref="S313">_xlfn.IFERROR(ISNUMBER(SEARCH("Conocer",$R313))/(ISNUMBER(SEARCH("Conocer",$R313))+ISNUMBER(SEARCH("Aplicar",$R313))+ISNUMBER(SEARCH("Razonar",$R313))),0)</f>
        <v>0</v>
      </c>
      <c r="T313" s="121" cm="1">
        <f t="array" ref="T313">_xlfn.IFERROR(ISNUMBER(SEARCH("Aplicar",$R313))/(ISNUMBER(SEARCH("Conocer",$R313))+ISNUMBER(SEARCH("Aplicar",$R313))+ISNUMBER(SEARCH("Razonar",$R313))),0)</f>
        <v>1</v>
      </c>
      <c r="U313" s="121" cm="1">
        <f t="array" ref="U313">_xlfn.IFERROR(ISNUMBER(SEARCH("Razonar",$R313))/(ISNUMBER(SEARCH("Conocer",$R313))+ISNUMBER(SEARCH("Aplicar",$R313))+ISNUMBER(SEARCH("Razonar",$R313))),0)</f>
        <v>0</v>
      </c>
      <c r="V313" t="s" s="35">
        <v>82</v>
      </c>
      <c r="W313" t="s" s="35">
        <v>115</v>
      </c>
      <c r="X313" s="36" cm="1">
        <f t="array" ref="X313">IF(OR(_xlfn.IFERROR(INDEX('Datos - Catálogo TIMSS'!$I$5:$I$107,MATCH(K313,'Datos - Catálogo TIMSS'!$A$5:$A$107,0)),"No")="Sí",_xlfn.IFERROR(INDEX('Datos - Catálogo TIMSS'!$I$5:$I$107,MATCH(L313,'Datos - Catálogo TIMSS'!$A$5:$A$107,0)),"No")="Sí"),1,0)</f>
        <v>0</v>
      </c>
      <c r="Y313" s="36" cm="1">
        <f t="array" ref="Y313">IF(_xlfn.IFERROR(INDEX('Datos - Catálogo TIMSS'!$J$5:$J$107,MATCH(K313,'Datos - Catálogo TIMSS'!$A$5:$A$107,0)),"No")="Sí",1,0)</f>
        <v>0</v>
      </c>
      <c r="Z313" s="36" cm="1">
        <f t="array" ref="Z313">IF(_xlfn.IFERROR(INDEX('Datos - Catálogo TIMSS'!$J$5:$J$107,MATCH(L313,'Datos - Catálogo TIMSS'!$A$5:$A$107,0)),"No")="Sí",1,0)</f>
        <v>0</v>
      </c>
      <c r="AA313" t="s" s="35">
        <v>2948</v>
      </c>
      <c r="AB313" t="s" s="35">
        <v>2973</v>
      </c>
      <c r="AC313" t="str" s="39">
        <v>Química</v>
      </c>
      <c r="AD313" t="s" s="35">
        <v>1834</v>
      </c>
      <c r="AE313" t="str" s="39" cm="1">
        <f t="array" ref="AE313">IF(AD313="","",IF(LEFT(AD313,1)="1","C1",IF(LEFT(AD313,1)="2","C2",IF(LEFT(AD313,1)="3","C3",""))))</f>
        <v>C2</v>
      </c>
      <c r="AF313" t="s" s="35">
        <v>1602</v>
      </c>
      <c r="AG313" t="s" s="35">
        <v>1617</v>
      </c>
      <c r="AH313" t="s" s="35">
        <v>1609</v>
      </c>
      <c r="AI313" t="s" s="35">
        <v>1609</v>
      </c>
      <c r="AJ313" t="s" s="35">
        <v>1607</v>
      </c>
      <c r="AK313" s="39"/>
      <c r="AL313" s="39"/>
      <c r="AM313" s="39"/>
      <c r="AN313" s="39"/>
      <c r="AO313" s="39"/>
      <c r="AP313" s="39"/>
      <c r="AQ313" s="39"/>
      <c r="AR313" s="39"/>
      <c r="AS313" s="39"/>
      <c r="AT313" s="39"/>
      <c r="AU313" s="39"/>
      <c r="AV313" s="39"/>
      <c r="AW313" t="str" s="39" cm="1">
        <f t="array" ref="AW313">AF313&amp;"; "&amp;AG313&amp;"; "&amp;AH313&amp;"; "&amp;AI313&amp;"; "&amp;AJ313</f>
        <v>E1; D1; E4; E4; E3</v>
      </c>
    </row>
    <row r="314" ht="13.65" customHeight="1">
      <c r="A314" t="s" s="35">
        <v>3285</v>
      </c>
      <c r="B314" s="36">
        <v>6</v>
      </c>
      <c r="C314" t="s" s="35">
        <v>1823</v>
      </c>
      <c r="D314" t="s" s="35">
        <v>3158</v>
      </c>
      <c r="E314" t="s" s="35">
        <v>3267</v>
      </c>
      <c r="F314" s="36">
        <v>8</v>
      </c>
      <c r="G314" t="s" s="35">
        <v>562</v>
      </c>
      <c r="H314" t="s" s="35">
        <v>3278</v>
      </c>
      <c r="I314" t="s" s="120">
        <v>3286</v>
      </c>
      <c r="J314" t="s" s="35">
        <v>1164</v>
      </c>
      <c r="K314" t="s" s="35">
        <v>601</v>
      </c>
      <c r="L314" s="39"/>
      <c r="M314" t="str" s="39">
        <v>Química</v>
      </c>
      <c r="N314" t="str" s="39">
        <v>Composición de la materia</v>
      </c>
      <c r="O314" t="str" s="39" cm="1">
        <f t="array" ref="O314">IF(L314="","",_xlfn.IFERROR(INDEX('Datos - Catálogo TIMSS'!$C$5:$C$107,MATCH(L314,'Datos - Catálogo TIMSS'!$A$5:$A$107,0)),"?"))</f>
      </c>
      <c r="P314" t="s" s="35">
        <v>282</v>
      </c>
      <c r="Q314" t="s" s="120">
        <v>3287</v>
      </c>
      <c r="R314" t="s" s="120">
        <v>3288</v>
      </c>
      <c r="S314" s="121" cm="1">
        <f t="array" ref="S314">_xlfn.IFERROR(ISNUMBER(SEARCH("Conocer",$R314))/(ISNUMBER(SEARCH("Conocer",$R314))+ISNUMBER(SEARCH("Aplicar",$R314))+ISNUMBER(SEARCH("Razonar",$R314))),0)</f>
        <v>0</v>
      </c>
      <c r="T314" s="121" cm="1">
        <f t="array" ref="T314">_xlfn.IFERROR(ISNUMBER(SEARCH("Aplicar",$R314))/(ISNUMBER(SEARCH("Conocer",$R314))+ISNUMBER(SEARCH("Aplicar",$R314))+ISNUMBER(SEARCH("Razonar",$R314))),0)</f>
        <v>1</v>
      </c>
      <c r="U314" s="121" cm="1">
        <f t="array" ref="U314">_xlfn.IFERROR(ISNUMBER(SEARCH("Razonar",$R314))/(ISNUMBER(SEARCH("Conocer",$R314))+ISNUMBER(SEARCH("Aplicar",$R314))+ISNUMBER(SEARCH("Razonar",$R314))),0)</f>
        <v>0</v>
      </c>
      <c r="V314" t="s" s="35">
        <v>82</v>
      </c>
      <c r="W314" t="s" s="35">
        <v>115</v>
      </c>
      <c r="X314" s="36" cm="1">
        <f t="array" ref="X314">IF(OR(_xlfn.IFERROR(INDEX('Datos - Catálogo TIMSS'!$I$5:$I$107,MATCH(K314,'Datos - Catálogo TIMSS'!$A$5:$A$107,0)),"No")="Sí",_xlfn.IFERROR(INDEX('Datos - Catálogo TIMSS'!$I$5:$I$107,MATCH(L314,'Datos - Catálogo TIMSS'!$A$5:$A$107,0)),"No")="Sí"),1,0)</f>
        <v>0</v>
      </c>
      <c r="Y314" s="36" cm="1">
        <f t="array" ref="Y314">IF(_xlfn.IFERROR(INDEX('Datos - Catálogo TIMSS'!$J$5:$J$107,MATCH(K314,'Datos - Catálogo TIMSS'!$A$5:$A$107,0)),"No")="Sí",1,0)</f>
        <v>0</v>
      </c>
      <c r="Z314" s="36" cm="1">
        <f t="array" ref="Z314">IF(_xlfn.IFERROR(INDEX('Datos - Catálogo TIMSS'!$J$5:$J$107,MATCH(L314,'Datos - Catálogo TIMSS'!$A$5:$A$107,0)),"No")="Sí",1,0)</f>
        <v>0</v>
      </c>
      <c r="AA314" t="s" s="35">
        <v>2973</v>
      </c>
      <c r="AB314" s="39"/>
      <c r="AC314" t="str" s="39">
        <v>Química</v>
      </c>
      <c r="AD314" t="s" s="35">
        <v>1859</v>
      </c>
      <c r="AE314" t="str" s="39" cm="1">
        <f t="array" ref="AE314">IF(AD314="","",IF(LEFT(AD314,1)="1","C1",IF(LEFT(AD314,1)="2","C2",IF(LEFT(AD314,1)="3","C3",""))))</f>
        <v>C1</v>
      </c>
      <c r="AF314" t="s" s="35">
        <v>1602</v>
      </c>
      <c r="AG314" t="s" s="35">
        <v>1612</v>
      </c>
      <c r="AH314" t="s" s="35">
        <v>1602</v>
      </c>
      <c r="AI314" t="s" s="35">
        <v>1623</v>
      </c>
      <c r="AJ314" t="s" s="35">
        <v>1602</v>
      </c>
      <c r="AK314" s="39"/>
      <c r="AL314" s="39"/>
      <c r="AM314" s="39"/>
      <c r="AN314" s="39"/>
      <c r="AO314" s="39"/>
      <c r="AP314" s="39"/>
      <c r="AQ314" s="39"/>
      <c r="AR314" s="39"/>
      <c r="AS314" s="39"/>
      <c r="AT314" s="39"/>
      <c r="AU314" s="39"/>
      <c r="AV314" s="39"/>
      <c r="AW314" t="str" s="39" cm="1">
        <f t="array" ref="AW314">AF314&amp;"; "&amp;AG314&amp;"; "&amp;AH314&amp;"; "&amp;AI314&amp;"; "&amp;AJ314</f>
        <v>E1; E5; E1; D4; E1</v>
      </c>
    </row>
    <row r="315" ht="13.65" customHeight="1">
      <c r="A315" t="s" s="35">
        <v>3289</v>
      </c>
      <c r="B315" s="36">
        <v>6</v>
      </c>
      <c r="C315" t="s" s="35">
        <v>1823</v>
      </c>
      <c r="D315" t="s" s="35">
        <v>3158</v>
      </c>
      <c r="E315" t="s" s="35">
        <v>3267</v>
      </c>
      <c r="F315" s="36">
        <v>9</v>
      </c>
      <c r="G315" t="s" s="35">
        <v>562</v>
      </c>
      <c r="H315" t="s" s="35">
        <v>3290</v>
      </c>
      <c r="I315" t="s" s="120">
        <v>3291</v>
      </c>
      <c r="J315" t="s" s="35">
        <v>1164</v>
      </c>
      <c r="K315" t="s" s="35">
        <v>554</v>
      </c>
      <c r="L315" t="s" s="35">
        <v>1241</v>
      </c>
      <c r="M315" t="str" s="39">
        <v>Física</v>
      </c>
      <c r="N315" t="str" s="39">
        <v>Estados físicos y cambios de la materia</v>
      </c>
      <c r="O315" t="str" s="39" cm="1">
        <f t="array" ref="O315">IF(L315="","",_xlfn.IFERROR(INDEX('Datos - Catálogo TIMSS'!$C$5:$C$107,MATCH(L315,'Datos - Catálogo TIMSS'!$A$5:$A$107,0)),"?"))</f>
        <v>Física</v>
      </c>
      <c r="P315" t="s" s="35">
        <v>282</v>
      </c>
      <c r="Q315" t="s" s="120">
        <v>3292</v>
      </c>
      <c r="R315" t="s" s="120">
        <v>3293</v>
      </c>
      <c r="S315" s="121" cm="1">
        <f t="array" ref="S315">_xlfn.IFERROR(ISNUMBER(SEARCH("Conocer",$R315))/(ISNUMBER(SEARCH("Conocer",$R315))+ISNUMBER(SEARCH("Aplicar",$R315))+ISNUMBER(SEARCH("Razonar",$R315))),0)</f>
        <v>0</v>
      </c>
      <c r="T315" s="121" cm="1">
        <f t="array" ref="T315">_xlfn.IFERROR(ISNUMBER(SEARCH("Aplicar",$R315))/(ISNUMBER(SEARCH("Conocer",$R315))+ISNUMBER(SEARCH("Aplicar",$R315))+ISNUMBER(SEARCH("Razonar",$R315))),0)</f>
        <v>0</v>
      </c>
      <c r="U315" s="121" cm="1">
        <f t="array" ref="U315">_xlfn.IFERROR(ISNUMBER(SEARCH("Razonar",$R315))/(ISNUMBER(SEARCH("Conocer",$R315))+ISNUMBER(SEARCH("Aplicar",$R315))+ISNUMBER(SEARCH("Razonar",$R315))),0)</f>
        <v>1</v>
      </c>
      <c r="V315" t="s" s="35">
        <v>82</v>
      </c>
      <c r="W315" t="s" s="35">
        <v>115</v>
      </c>
      <c r="X315" s="36" cm="1">
        <f t="array" ref="X315">IF(OR(_xlfn.IFERROR(INDEX('Datos - Catálogo TIMSS'!$I$5:$I$107,MATCH(K315,'Datos - Catálogo TIMSS'!$A$5:$A$107,0)),"No")="Sí",_xlfn.IFERROR(INDEX('Datos - Catálogo TIMSS'!$I$5:$I$107,MATCH(L315,'Datos - Catálogo TIMSS'!$A$5:$A$107,0)),"No")="Sí"),1,0)</f>
        <v>0</v>
      </c>
      <c r="Y315" s="36" cm="1">
        <f t="array" ref="Y315">IF(_xlfn.IFERROR(INDEX('Datos - Catálogo TIMSS'!$J$5:$J$107,MATCH(K315,'Datos - Catálogo TIMSS'!$A$5:$A$107,0)),"No")="Sí",1,0)</f>
        <v>0</v>
      </c>
      <c r="Z315" s="36" cm="1">
        <f t="array" ref="Z315">IF(_xlfn.IFERROR(INDEX('Datos - Catálogo TIMSS'!$J$5:$J$107,MATCH(L315,'Datos - Catálogo TIMSS'!$A$5:$A$107,0)),"No")="Sí",1,0)</f>
        <v>0</v>
      </c>
      <c r="AA315" t="s" s="35">
        <v>3165</v>
      </c>
      <c r="AB315" t="s" s="35">
        <v>3213</v>
      </c>
      <c r="AC315" t="str" s="39">
        <v>Física</v>
      </c>
      <c r="AD315" t="s" s="35">
        <v>1834</v>
      </c>
      <c r="AE315" t="str" s="39" cm="1">
        <f t="array" ref="AE315">IF(AD315="","",IF(LEFT(AD315,1)="1","C1",IF(LEFT(AD315,1)="2","C2",IF(LEFT(AD315,1)="3","C3",""))))</f>
        <v>C2</v>
      </c>
      <c r="AF315" t="s" s="35">
        <v>1602</v>
      </c>
      <c r="AG315" t="s" s="35">
        <v>1607</v>
      </c>
      <c r="AH315" t="s" s="35">
        <v>1602</v>
      </c>
      <c r="AI315" t="s" s="35">
        <v>1623</v>
      </c>
      <c r="AJ315" t="s" s="35">
        <v>1602</v>
      </c>
      <c r="AK315" s="39"/>
      <c r="AL315" s="39"/>
      <c r="AM315" s="39"/>
      <c r="AN315" s="39"/>
      <c r="AO315" s="39"/>
      <c r="AP315" s="39"/>
      <c r="AQ315" s="39"/>
      <c r="AR315" s="39"/>
      <c r="AS315" s="39"/>
      <c r="AT315" s="39"/>
      <c r="AU315" s="39"/>
      <c r="AV315" s="39"/>
      <c r="AW315" t="str" s="39" cm="1">
        <f t="array" ref="AW315">AF315&amp;"; "&amp;AG315&amp;"; "&amp;AH315&amp;"; "&amp;AI315&amp;"; "&amp;AJ315</f>
        <v>E1; E3; E1; D4; E1</v>
      </c>
    </row>
    <row r="316" ht="13.65" customHeight="1">
      <c r="A316" t="s" s="35">
        <v>3294</v>
      </c>
      <c r="B316" s="36">
        <v>6</v>
      </c>
      <c r="C316" t="s" s="35">
        <v>1823</v>
      </c>
      <c r="D316" t="s" s="35">
        <v>3158</v>
      </c>
      <c r="E316" t="s" s="35">
        <v>3267</v>
      </c>
      <c r="F316" s="36">
        <v>10</v>
      </c>
      <c r="G316" t="s" s="35">
        <v>562</v>
      </c>
      <c r="H316" t="s" s="35">
        <v>3290</v>
      </c>
      <c r="I316" t="s" s="120">
        <v>3295</v>
      </c>
      <c r="J316" t="s" s="35">
        <v>1164</v>
      </c>
      <c r="K316" t="s" s="35">
        <v>554</v>
      </c>
      <c r="L316" s="39"/>
      <c r="M316" t="str" s="39">
        <v>Física</v>
      </c>
      <c r="N316" t="str" s="39">
        <v>Estados físicos y cambios de la materia</v>
      </c>
      <c r="O316" t="str" s="39" cm="1">
        <f t="array" ref="O316">IF(L316="","",_xlfn.IFERROR(INDEX('Datos - Catálogo TIMSS'!$C$5:$C$107,MATCH(L316,'Datos - Catálogo TIMSS'!$A$5:$A$107,0)),"?"))</f>
      </c>
      <c r="P316" t="s" s="35">
        <v>282</v>
      </c>
      <c r="Q316" t="s" s="120">
        <v>3296</v>
      </c>
      <c r="R316" t="s" s="120">
        <v>3297</v>
      </c>
      <c r="S316" s="121" cm="1">
        <f t="array" ref="S316">_xlfn.IFERROR(ISNUMBER(SEARCH("Conocer",$R316))/(ISNUMBER(SEARCH("Conocer",$R316))+ISNUMBER(SEARCH("Aplicar",$R316))+ISNUMBER(SEARCH("Razonar",$R316))),0)</f>
        <v>1</v>
      </c>
      <c r="T316" s="121" cm="1">
        <f t="array" ref="T316">_xlfn.IFERROR(ISNUMBER(SEARCH("Aplicar",$R316))/(ISNUMBER(SEARCH("Conocer",$R316))+ISNUMBER(SEARCH("Aplicar",$R316))+ISNUMBER(SEARCH("Razonar",$R316))),0)</f>
        <v>0</v>
      </c>
      <c r="U316" s="121" cm="1">
        <f t="array" ref="U316">_xlfn.IFERROR(ISNUMBER(SEARCH("Razonar",$R316))/(ISNUMBER(SEARCH("Conocer",$R316))+ISNUMBER(SEARCH("Aplicar",$R316))+ISNUMBER(SEARCH("Razonar",$R316))),0)</f>
        <v>0</v>
      </c>
      <c r="V316" t="s" s="35">
        <v>82</v>
      </c>
      <c r="W316" t="s" s="35">
        <v>115</v>
      </c>
      <c r="X316" s="36" cm="1">
        <f t="array" ref="X316">IF(OR(_xlfn.IFERROR(INDEX('Datos - Catálogo TIMSS'!$I$5:$I$107,MATCH(K316,'Datos - Catálogo TIMSS'!$A$5:$A$107,0)),"No")="Sí",_xlfn.IFERROR(INDEX('Datos - Catálogo TIMSS'!$I$5:$I$107,MATCH(L316,'Datos - Catálogo TIMSS'!$A$5:$A$107,0)),"No")="Sí"),1,0)</f>
        <v>0</v>
      </c>
      <c r="Y316" s="36" cm="1">
        <f t="array" ref="Y316">IF(_xlfn.IFERROR(INDEX('Datos - Catálogo TIMSS'!$J$5:$J$107,MATCH(K316,'Datos - Catálogo TIMSS'!$A$5:$A$107,0)),"No")="Sí",1,0)</f>
        <v>0</v>
      </c>
      <c r="Z316" s="36" cm="1">
        <f t="array" ref="Z316">IF(_xlfn.IFERROR(INDEX('Datos - Catálogo TIMSS'!$J$5:$J$107,MATCH(L316,'Datos - Catálogo TIMSS'!$A$5:$A$107,0)),"No")="Sí",1,0)</f>
        <v>0</v>
      </c>
      <c r="AA316" t="s" s="35">
        <v>3165</v>
      </c>
      <c r="AB316" s="39"/>
      <c r="AC316" t="str" s="39">
        <v>Física</v>
      </c>
      <c r="AD316" t="s" s="35">
        <v>1859</v>
      </c>
      <c r="AE316" t="str" s="39" cm="1">
        <f t="array" ref="AE316">IF(AD316="","",IF(LEFT(AD316,1)="1","C1",IF(LEFT(AD316,1)="2","C2",IF(LEFT(AD316,1)="3","C3",""))))</f>
        <v>C1</v>
      </c>
      <c r="AF316" t="s" s="35">
        <v>1602</v>
      </c>
      <c r="AG316" t="s" s="35">
        <v>1617</v>
      </c>
      <c r="AH316" t="s" s="35">
        <v>1602</v>
      </c>
      <c r="AI316" t="s" s="35">
        <v>1623</v>
      </c>
      <c r="AJ316" t="s" s="35">
        <v>1602</v>
      </c>
      <c r="AK316" s="39"/>
      <c r="AL316" s="39"/>
      <c r="AM316" s="39"/>
      <c r="AN316" s="39"/>
      <c r="AO316" s="39"/>
      <c r="AP316" s="39"/>
      <c r="AQ316" s="39"/>
      <c r="AR316" s="39"/>
      <c r="AS316" s="39"/>
      <c r="AT316" s="39"/>
      <c r="AU316" s="39"/>
      <c r="AV316" s="39"/>
      <c r="AW316" t="str" s="39" cm="1">
        <f t="array" ref="AW316">AF316&amp;"; "&amp;AG316&amp;"; "&amp;AH316&amp;"; "&amp;AI316&amp;"; "&amp;AJ316</f>
        <v>E1; D1; E1; D4; E1</v>
      </c>
    </row>
    <row r="317" ht="13.65" customHeight="1">
      <c r="A317" t="s" s="35">
        <v>3298</v>
      </c>
      <c r="B317" s="36">
        <v>6</v>
      </c>
      <c r="C317" t="s" s="35">
        <v>1823</v>
      </c>
      <c r="D317" t="s" s="35">
        <v>3158</v>
      </c>
      <c r="E317" t="s" s="35">
        <v>3267</v>
      </c>
      <c r="F317" s="36">
        <v>11</v>
      </c>
      <c r="G317" t="s" s="35">
        <v>562</v>
      </c>
      <c r="H317" t="s" s="35">
        <v>3299</v>
      </c>
      <c r="I317" t="s" s="120">
        <v>3300</v>
      </c>
      <c r="J317" t="s" s="35">
        <v>1164</v>
      </c>
      <c r="K317" t="s" s="35">
        <v>1227</v>
      </c>
      <c r="L317" s="39"/>
      <c r="M317" t="str" s="39">
        <v>Química</v>
      </c>
      <c r="N317" t="str" s="39">
        <v>Reacciones químicas</v>
      </c>
      <c r="O317" t="str" s="39" cm="1">
        <f t="array" ref="O317">IF(L317="","",_xlfn.IFERROR(INDEX('Datos - Catálogo TIMSS'!$C$5:$C$107,MATCH(L317,'Datos - Catálogo TIMSS'!$A$5:$A$107,0)),"?"))</f>
      </c>
      <c r="P317" t="s" s="35">
        <v>254</v>
      </c>
      <c r="Q317" t="s" s="120">
        <v>3301</v>
      </c>
      <c r="R317" t="s" s="120">
        <v>3302</v>
      </c>
      <c r="S317" s="121" cm="1">
        <f t="array" ref="S317">_xlfn.IFERROR(ISNUMBER(SEARCH("Conocer",$R317))/(ISNUMBER(SEARCH("Conocer",$R317))+ISNUMBER(SEARCH("Aplicar",$R317))+ISNUMBER(SEARCH("Razonar",$R317))),0)</f>
        <v>0</v>
      </c>
      <c r="T317" s="121" cm="1">
        <f t="array" ref="T317">_xlfn.IFERROR(ISNUMBER(SEARCH("Aplicar",$R317))/(ISNUMBER(SEARCH("Conocer",$R317))+ISNUMBER(SEARCH("Aplicar",$R317))+ISNUMBER(SEARCH("Razonar",$R317))),0)</f>
        <v>0.5</v>
      </c>
      <c r="U317" s="121" cm="1">
        <f t="array" ref="U317">_xlfn.IFERROR(ISNUMBER(SEARCH("Razonar",$R317))/(ISNUMBER(SEARCH("Conocer",$R317))+ISNUMBER(SEARCH("Aplicar",$R317))+ISNUMBER(SEARCH("Razonar",$R317))),0)</f>
        <v>0.5</v>
      </c>
      <c r="V317" t="s" s="35">
        <v>82</v>
      </c>
      <c r="W317" t="s" s="35">
        <v>115</v>
      </c>
      <c r="X317" s="36" cm="1">
        <f t="array" ref="X317">IF(OR(_xlfn.IFERROR(INDEX('Datos - Catálogo TIMSS'!$I$5:$I$107,MATCH(K317,'Datos - Catálogo TIMSS'!$A$5:$A$107,0)),"No")="Sí",_xlfn.IFERROR(INDEX('Datos - Catálogo TIMSS'!$I$5:$I$107,MATCH(L317,'Datos - Catálogo TIMSS'!$A$5:$A$107,0)),"No")="Sí"),1,0)</f>
        <v>0</v>
      </c>
      <c r="Y317" s="36" cm="1">
        <f t="array" ref="Y317">IF(_xlfn.IFERROR(INDEX('Datos - Catálogo TIMSS'!$J$5:$J$107,MATCH(K317,'Datos - Catálogo TIMSS'!$A$5:$A$107,0)),"No")="Sí",1,0)</f>
        <v>0</v>
      </c>
      <c r="Z317" s="36" cm="1">
        <f t="array" ref="Z317">IF(_xlfn.IFERROR(INDEX('Datos - Catálogo TIMSS'!$J$5:$J$107,MATCH(L317,'Datos - Catálogo TIMSS'!$A$5:$A$107,0)),"No")="Sí",1,0)</f>
        <v>0</v>
      </c>
      <c r="AA317" t="s" s="35">
        <v>3126</v>
      </c>
      <c r="AB317" s="39"/>
      <c r="AC317" t="str" s="39">
        <v>Química</v>
      </c>
      <c r="AD317" t="s" s="35">
        <v>1834</v>
      </c>
      <c r="AE317" t="str" s="39" cm="1">
        <f t="array" ref="AE317">IF(AD317="","",IF(LEFT(AD317,1)="1","C1",IF(LEFT(AD317,1)="2","C2",IF(LEFT(AD317,1)="3","C3",""))))</f>
        <v>C2</v>
      </c>
      <c r="AF317" t="s" s="35">
        <v>1602</v>
      </c>
      <c r="AG317" t="s" s="35">
        <v>1617</v>
      </c>
      <c r="AH317" t="s" s="35">
        <v>1602</v>
      </c>
      <c r="AI317" t="s" s="35">
        <v>1623</v>
      </c>
      <c r="AJ317" t="s" s="35">
        <v>1602</v>
      </c>
      <c r="AK317" s="39"/>
      <c r="AL317" s="39"/>
      <c r="AM317" s="39"/>
      <c r="AN317" s="39"/>
      <c r="AO317" s="39"/>
      <c r="AP317" s="39"/>
      <c r="AQ317" s="39"/>
      <c r="AR317" s="39"/>
      <c r="AS317" s="39"/>
      <c r="AT317" s="39"/>
      <c r="AU317" s="39"/>
      <c r="AV317" s="39"/>
      <c r="AW317" t="str" s="39" cm="1">
        <f t="array" ref="AW317">AF317&amp;"; "&amp;AG317&amp;"; "&amp;AH317&amp;"; "&amp;AI317&amp;"; "&amp;AJ317</f>
        <v>E1; D1; E1; D4; E1</v>
      </c>
    </row>
    <row r="318" ht="13.65" customHeight="1">
      <c r="A318" t="s" s="35">
        <v>3303</v>
      </c>
      <c r="B318" s="36">
        <v>6</v>
      </c>
      <c r="C318" t="s" s="35">
        <v>1823</v>
      </c>
      <c r="D318" t="s" s="35">
        <v>3158</v>
      </c>
      <c r="E318" t="s" s="35">
        <v>3267</v>
      </c>
      <c r="F318" s="36">
        <v>12</v>
      </c>
      <c r="G318" t="s" s="35">
        <v>562</v>
      </c>
      <c r="H318" t="s" s="35">
        <v>3299</v>
      </c>
      <c r="I318" t="s" s="120">
        <v>3304</v>
      </c>
      <c r="J318" t="s" s="35">
        <v>1164</v>
      </c>
      <c r="K318" t="s" s="35">
        <v>1227</v>
      </c>
      <c r="L318" t="s" s="35">
        <v>1231</v>
      </c>
      <c r="M318" t="str" s="39">
        <v>Química</v>
      </c>
      <c r="N318" t="str" s="39">
        <v>Reacciones químicas</v>
      </c>
      <c r="O318" t="str" s="39" cm="1">
        <f t="array" ref="O318">IF(L318="","",_xlfn.IFERROR(INDEX('Datos - Catálogo TIMSS'!$C$5:$C$107,MATCH(L318,'Datos - Catálogo TIMSS'!$A$5:$A$107,0)),"?"))</f>
        <v>Química</v>
      </c>
      <c r="P318" t="s" s="35">
        <v>282</v>
      </c>
      <c r="Q318" t="s" s="120">
        <v>3305</v>
      </c>
      <c r="R318" t="s" s="120">
        <v>1847</v>
      </c>
      <c r="S318" s="121" cm="1">
        <f t="array" ref="S318">_xlfn.IFERROR(ISNUMBER(SEARCH("Conocer",$R318))/(ISNUMBER(SEARCH("Conocer",$R318))+ISNUMBER(SEARCH("Aplicar",$R318))+ISNUMBER(SEARCH("Razonar",$R318))),0)</f>
        <v>0</v>
      </c>
      <c r="T318" s="121" cm="1">
        <f t="array" ref="T318">_xlfn.IFERROR(ISNUMBER(SEARCH("Aplicar",$R318))/(ISNUMBER(SEARCH("Conocer",$R318))+ISNUMBER(SEARCH("Aplicar",$R318))+ISNUMBER(SEARCH("Razonar",$R318))),0)</f>
        <v>1</v>
      </c>
      <c r="U318" s="121" cm="1">
        <f t="array" ref="U318">_xlfn.IFERROR(ISNUMBER(SEARCH("Razonar",$R318))/(ISNUMBER(SEARCH("Conocer",$R318))+ISNUMBER(SEARCH("Aplicar",$R318))+ISNUMBER(SEARCH("Razonar",$R318))),0)</f>
        <v>0</v>
      </c>
      <c r="V318" t="s" s="35">
        <v>82</v>
      </c>
      <c r="W318" t="s" s="35">
        <v>115</v>
      </c>
      <c r="X318" s="36" cm="1">
        <f t="array" ref="X318">IF(OR(_xlfn.IFERROR(INDEX('Datos - Catálogo TIMSS'!$I$5:$I$107,MATCH(K318,'Datos - Catálogo TIMSS'!$A$5:$A$107,0)),"No")="Sí",_xlfn.IFERROR(INDEX('Datos - Catálogo TIMSS'!$I$5:$I$107,MATCH(L318,'Datos - Catálogo TIMSS'!$A$5:$A$107,0)),"No")="Sí"),1,0)</f>
        <v>0</v>
      </c>
      <c r="Y318" s="36" cm="1">
        <f t="array" ref="Y318">IF(_xlfn.IFERROR(INDEX('Datos - Catálogo TIMSS'!$J$5:$J$107,MATCH(K318,'Datos - Catálogo TIMSS'!$A$5:$A$107,0)),"No")="Sí",1,0)</f>
        <v>0</v>
      </c>
      <c r="Z318" s="36" cm="1">
        <f t="array" ref="Z318">IF(_xlfn.IFERROR(INDEX('Datos - Catálogo TIMSS'!$J$5:$J$107,MATCH(L318,'Datos - Catálogo TIMSS'!$A$5:$A$107,0)),"No")="Sí",1,0)</f>
        <v>0</v>
      </c>
      <c r="AA318" t="s" s="35">
        <v>3126</v>
      </c>
      <c r="AB318" s="39"/>
      <c r="AC318" t="str" s="39">
        <v>Química</v>
      </c>
      <c r="AD318" t="s" s="35">
        <v>1859</v>
      </c>
      <c r="AE318" t="str" s="39" cm="1">
        <f t="array" ref="AE318">IF(AD318="","",IF(LEFT(AD318,1)="1","C1",IF(LEFT(AD318,1)="2","C2",IF(LEFT(AD318,1)="3","C3",""))))</f>
        <v>C1</v>
      </c>
      <c r="AF318" t="s" s="35">
        <v>1602</v>
      </c>
      <c r="AG318" t="s" s="35">
        <v>1617</v>
      </c>
      <c r="AH318" t="s" s="35">
        <v>1602</v>
      </c>
      <c r="AI318" t="s" s="35">
        <v>1623</v>
      </c>
      <c r="AJ318" t="s" s="35">
        <v>1615</v>
      </c>
      <c r="AK318" s="39"/>
      <c r="AL318" s="39"/>
      <c r="AM318" s="39"/>
      <c r="AN318" s="39"/>
      <c r="AO318" s="39"/>
      <c r="AP318" s="39"/>
      <c r="AQ318" s="39"/>
      <c r="AR318" s="39"/>
      <c r="AS318" s="39"/>
      <c r="AT318" s="39"/>
      <c r="AU318" s="39"/>
      <c r="AV318" s="39"/>
      <c r="AW318" t="str" s="39" cm="1">
        <f t="array" ref="AW318">AF318&amp;"; "&amp;AG318&amp;"; "&amp;AH318&amp;"; "&amp;AI318&amp;"; "&amp;AJ318</f>
        <v>E1; D1; E1; D4; E6</v>
      </c>
    </row>
    <row r="319" ht="13.65" customHeight="1">
      <c r="A319" t="s" s="35">
        <v>3306</v>
      </c>
      <c r="B319" s="36">
        <v>6</v>
      </c>
      <c r="C319" t="s" s="35">
        <v>1823</v>
      </c>
      <c r="D319" t="s" s="35">
        <v>3158</v>
      </c>
      <c r="E319" t="s" s="35">
        <v>3307</v>
      </c>
      <c r="F319" s="36">
        <v>3</v>
      </c>
      <c r="G319" t="s" s="35">
        <v>3308</v>
      </c>
      <c r="H319" t="s" s="35">
        <v>3309</v>
      </c>
      <c r="I319" t="s" s="120">
        <v>3310</v>
      </c>
      <c r="J319" t="s" s="35">
        <v>1164</v>
      </c>
      <c r="K319" t="s" s="35">
        <v>1205</v>
      </c>
      <c r="L319" s="39"/>
      <c r="M319" t="str" s="39">
        <v>Biología</v>
      </c>
      <c r="N319" t="str" s="39">
        <v>Salud humana</v>
      </c>
      <c r="O319" t="str" s="39" cm="1">
        <f t="array" ref="O319">IF(L319="","",_xlfn.IFERROR(INDEX('Datos - Catálogo TIMSS'!$C$5:$C$107,MATCH(L319,'Datos - Catálogo TIMSS'!$A$5:$A$107,0)),"?"))</f>
      </c>
      <c r="P319" t="s" s="35">
        <v>282</v>
      </c>
      <c r="Q319" t="s" s="120">
        <v>3311</v>
      </c>
      <c r="R319" t="s" s="120">
        <v>3023</v>
      </c>
      <c r="S319" s="121" cm="1">
        <f t="array" ref="S319">_xlfn.IFERROR(ISNUMBER(SEARCH("Conocer",$R319))/(ISNUMBER(SEARCH("Conocer",$R319))+ISNUMBER(SEARCH("Aplicar",$R319))+ISNUMBER(SEARCH("Razonar",$R319))),0)</f>
        <v>0</v>
      </c>
      <c r="T319" s="121" cm="1">
        <f t="array" ref="T319">_xlfn.IFERROR(ISNUMBER(SEARCH("Aplicar",$R319))/(ISNUMBER(SEARCH("Conocer",$R319))+ISNUMBER(SEARCH("Aplicar",$R319))+ISNUMBER(SEARCH("Razonar",$R319))),0)</f>
        <v>1</v>
      </c>
      <c r="U319" s="121" cm="1">
        <f t="array" ref="U319">_xlfn.IFERROR(ISNUMBER(SEARCH("Razonar",$R319))/(ISNUMBER(SEARCH("Conocer",$R319))+ISNUMBER(SEARCH("Aplicar",$R319))+ISNUMBER(SEARCH("Razonar",$R319))),0)</f>
        <v>0</v>
      </c>
      <c r="V319" t="s" s="35">
        <v>82</v>
      </c>
      <c r="W319" t="s" s="35">
        <v>115</v>
      </c>
      <c r="X319" s="36" cm="1">
        <f t="array" ref="X319">IF(OR(_xlfn.IFERROR(INDEX('Datos - Catálogo TIMSS'!$I$5:$I$107,MATCH(K319,'Datos - Catálogo TIMSS'!$A$5:$A$107,0)),"No")="Sí",_xlfn.IFERROR(INDEX('Datos - Catálogo TIMSS'!$I$5:$I$107,MATCH(L319,'Datos - Catálogo TIMSS'!$A$5:$A$107,0)),"No")="Sí"),1,0)</f>
        <v>0</v>
      </c>
      <c r="Y319" s="36" cm="1">
        <f t="array" ref="Y319">IF(_xlfn.IFERROR(INDEX('Datos - Catálogo TIMSS'!$J$5:$J$107,MATCH(K319,'Datos - Catálogo TIMSS'!$A$5:$A$107,0)),"No")="Sí",1,0)</f>
        <v>0</v>
      </c>
      <c r="Z319" s="36" cm="1">
        <f t="array" ref="Z319">IF(_xlfn.IFERROR(INDEX('Datos - Catálogo TIMSS'!$J$5:$J$107,MATCH(L319,'Datos - Catálogo TIMSS'!$A$5:$A$107,0)),"No")="Sí",1,0)</f>
        <v>0</v>
      </c>
      <c r="AA319" t="s" s="35">
        <v>3312</v>
      </c>
      <c r="AB319" t="s" s="35">
        <v>3313</v>
      </c>
      <c r="AC319" t="str" s="39">
        <v>Biología</v>
      </c>
      <c r="AD319" t="s" s="35">
        <v>1834</v>
      </c>
      <c r="AE319" t="str" s="39" cm="1">
        <f t="array" ref="AE319">IF(AD319="","",IF(LEFT(AD319,1)="1","C1",IF(LEFT(AD319,1)="2","C2",IF(LEFT(AD319,1)="3","C3",""))))</f>
        <v>C2</v>
      </c>
      <c r="AF319" t="s" s="35">
        <v>1602</v>
      </c>
      <c r="AG319" t="s" s="35">
        <v>1607</v>
      </c>
      <c r="AH319" t="s" s="35">
        <v>1602</v>
      </c>
      <c r="AI319" t="s" s="35">
        <v>1623</v>
      </c>
      <c r="AJ319" t="s" s="35">
        <v>1602</v>
      </c>
      <c r="AK319" s="39"/>
      <c r="AL319" s="39"/>
      <c r="AM319" s="39"/>
      <c r="AN319" s="39"/>
      <c r="AO319" s="39"/>
      <c r="AP319" s="39"/>
      <c r="AQ319" s="39"/>
      <c r="AR319" s="39"/>
      <c r="AS319" s="39"/>
      <c r="AT319" s="39"/>
      <c r="AU319" s="39"/>
      <c r="AV319" s="39"/>
      <c r="AW319" t="str" s="39" cm="1">
        <f t="array" ref="AW319">AF319&amp;"; "&amp;AG319&amp;"; "&amp;AH319&amp;"; "&amp;AI319&amp;"; "&amp;AJ319</f>
        <v>E1; E3; E1; D4; E1</v>
      </c>
    </row>
    <row r="320" ht="13.65" customHeight="1">
      <c r="A320" t="s" s="35">
        <v>3314</v>
      </c>
      <c r="B320" s="36">
        <v>6</v>
      </c>
      <c r="C320" t="s" s="35">
        <v>1823</v>
      </c>
      <c r="D320" t="s" s="35">
        <v>3158</v>
      </c>
      <c r="E320" t="s" s="35">
        <v>3307</v>
      </c>
      <c r="F320" s="36">
        <v>4</v>
      </c>
      <c r="G320" t="s" s="35">
        <v>3308</v>
      </c>
      <c r="H320" t="s" s="35">
        <v>3309</v>
      </c>
      <c r="I320" t="s" s="120">
        <v>3315</v>
      </c>
      <c r="J320" t="s" s="35">
        <v>1164</v>
      </c>
      <c r="K320" t="s" s="35">
        <v>1231</v>
      </c>
      <c r="L320" t="s" s="35">
        <v>1207</v>
      </c>
      <c r="M320" t="str" s="39">
        <v>Química</v>
      </c>
      <c r="N320" t="str" s="39">
        <v>Reacciones químicas</v>
      </c>
      <c r="O320" t="str" s="39" cm="1">
        <f t="array" ref="O320">IF(L320="","",_xlfn.IFERROR(INDEX('Datos - Catálogo TIMSS'!$C$5:$C$107,MATCH(L320,'Datos - Catálogo TIMSS'!$A$5:$A$107,0)),"?"))</f>
        <v>Biología</v>
      </c>
      <c r="P320" t="s" s="35">
        <v>291</v>
      </c>
      <c r="Q320" t="s" s="120">
        <v>3316</v>
      </c>
      <c r="R320" t="s" s="120">
        <v>3317</v>
      </c>
      <c r="S320" s="121" cm="1">
        <f t="array" ref="S320">_xlfn.IFERROR(ISNUMBER(SEARCH("Conocer",$R320))/(ISNUMBER(SEARCH("Conocer",$R320))+ISNUMBER(SEARCH("Aplicar",$R320))+ISNUMBER(SEARCH("Razonar",$R320))),0)</f>
        <v>0</v>
      </c>
      <c r="T320" s="121" cm="1">
        <f t="array" ref="T320">_xlfn.IFERROR(ISNUMBER(SEARCH("Aplicar",$R320))/(ISNUMBER(SEARCH("Conocer",$R320))+ISNUMBER(SEARCH("Aplicar",$R320))+ISNUMBER(SEARCH("Razonar",$R320))),0)</f>
        <v>0</v>
      </c>
      <c r="U320" s="121" cm="1">
        <f t="array" ref="U320">_xlfn.IFERROR(ISNUMBER(SEARCH("Razonar",$R320))/(ISNUMBER(SEARCH("Conocer",$R320))+ISNUMBER(SEARCH("Aplicar",$R320))+ISNUMBER(SEARCH("Razonar",$R320))),0)</f>
        <v>1</v>
      </c>
      <c r="V320" t="s" s="35">
        <v>82</v>
      </c>
      <c r="W320" t="s" s="35">
        <v>115</v>
      </c>
      <c r="X320" s="36" cm="1">
        <f t="array" ref="X320">IF(OR(_xlfn.IFERROR(INDEX('Datos - Catálogo TIMSS'!$I$5:$I$107,MATCH(K320,'Datos - Catálogo TIMSS'!$A$5:$A$107,0)),"No")="Sí",_xlfn.IFERROR(INDEX('Datos - Catálogo TIMSS'!$I$5:$I$107,MATCH(L320,'Datos - Catálogo TIMSS'!$A$5:$A$107,0)),"No")="Sí"),1,0)</f>
        <v>0</v>
      </c>
      <c r="Y320" s="36" cm="1">
        <f t="array" ref="Y320">IF(_xlfn.IFERROR(INDEX('Datos - Catálogo TIMSS'!$J$5:$J$107,MATCH(K320,'Datos - Catálogo TIMSS'!$A$5:$A$107,0)),"No")="Sí",1,0)</f>
        <v>0</v>
      </c>
      <c r="Z320" s="36" cm="1">
        <f t="array" ref="Z320">IF(_xlfn.IFERROR(INDEX('Datos - Catálogo TIMSS'!$J$5:$J$107,MATCH(L320,'Datos - Catálogo TIMSS'!$A$5:$A$107,0)),"No")="Sí",1,0)</f>
        <v>1</v>
      </c>
      <c r="AA320" t="s" s="35">
        <v>3313</v>
      </c>
      <c r="AB320" t="s" s="35">
        <v>3318</v>
      </c>
      <c r="AC320" t="str" s="39">
        <v>Biología</v>
      </c>
      <c r="AD320" t="s" s="35">
        <v>1834</v>
      </c>
      <c r="AE320" t="str" s="39" cm="1">
        <f t="array" ref="AE320">IF(AD320="","",IF(LEFT(AD320,1)="1","C1",IF(LEFT(AD320,1)="2","C2",IF(LEFT(AD320,1)="3","C3",""))))</f>
        <v>C2</v>
      </c>
      <c r="AF320" t="s" s="35">
        <v>1602</v>
      </c>
      <c r="AG320" t="s" s="35">
        <v>1607</v>
      </c>
      <c r="AH320" t="s" s="35">
        <v>1602</v>
      </c>
      <c r="AI320" t="s" s="35">
        <v>1621</v>
      </c>
      <c r="AJ320" t="s" s="35">
        <v>1615</v>
      </c>
      <c r="AK320" s="39"/>
      <c r="AL320" s="39"/>
      <c r="AM320" s="39"/>
      <c r="AN320" s="39"/>
      <c r="AO320" s="39"/>
      <c r="AP320" s="39"/>
      <c r="AQ320" s="39"/>
      <c r="AR320" s="39"/>
      <c r="AS320" s="39"/>
      <c r="AT320" s="39"/>
      <c r="AU320" s="39"/>
      <c r="AV320" s="39"/>
      <c r="AW320" t="str" s="39" cm="1">
        <f t="array" ref="AW320">AF320&amp;"; "&amp;AG320&amp;"; "&amp;AH320&amp;"; "&amp;AI320&amp;"; "&amp;AJ320</f>
        <v>E1; E3; E1; D3; E6</v>
      </c>
    </row>
    <row r="321" ht="13.65" customHeight="1">
      <c r="A321" t="s" s="35">
        <v>3319</v>
      </c>
      <c r="B321" s="36">
        <v>6</v>
      </c>
      <c r="C321" t="s" s="35">
        <v>1823</v>
      </c>
      <c r="D321" t="s" s="35">
        <v>3158</v>
      </c>
      <c r="E321" t="s" s="35">
        <v>3307</v>
      </c>
      <c r="F321" s="36">
        <v>5</v>
      </c>
      <c r="G321" t="s" s="35">
        <v>3308</v>
      </c>
      <c r="H321" t="s" s="35">
        <v>3320</v>
      </c>
      <c r="I321" t="s" s="120">
        <v>3321</v>
      </c>
      <c r="J321" t="s" s="35">
        <v>1164</v>
      </c>
      <c r="K321" t="s" s="35">
        <v>1174</v>
      </c>
      <c r="L321" s="39"/>
      <c r="M321" t="str" s="39">
        <v>Biología</v>
      </c>
      <c r="N321" t="str" s="39">
        <v>Las células y sus funciones</v>
      </c>
      <c r="O321" t="str" s="39" cm="1">
        <f t="array" ref="O321">IF(L321="","",_xlfn.IFERROR(INDEX('Datos - Catálogo TIMSS'!$C$5:$C$107,MATCH(L321,'Datos - Catálogo TIMSS'!$A$5:$A$107,0)),"?"))</f>
      </c>
      <c r="P321" t="s" s="35">
        <v>282</v>
      </c>
      <c r="Q321" t="s" s="120">
        <v>3323</v>
      </c>
      <c r="R321" t="s" s="120">
        <v>2401</v>
      </c>
      <c r="S321" s="121" cm="1">
        <f t="array" ref="S321">_xlfn.IFERROR(ISNUMBER(SEARCH("Conocer",$R321))/(ISNUMBER(SEARCH("Conocer",$R321))+ISNUMBER(SEARCH("Aplicar",$R321))+ISNUMBER(SEARCH("Razonar",$R321))),0)</f>
        <v>0</v>
      </c>
      <c r="T321" s="121" cm="1">
        <f t="array" ref="T321">_xlfn.IFERROR(ISNUMBER(SEARCH("Aplicar",$R321))/(ISNUMBER(SEARCH("Conocer",$R321))+ISNUMBER(SEARCH("Aplicar",$R321))+ISNUMBER(SEARCH("Razonar",$R321))),0)</f>
        <v>1</v>
      </c>
      <c r="U321" s="121" cm="1">
        <f t="array" ref="U321">_xlfn.IFERROR(ISNUMBER(SEARCH("Razonar",$R321))/(ISNUMBER(SEARCH("Conocer",$R321))+ISNUMBER(SEARCH("Aplicar",$R321))+ISNUMBER(SEARCH("Razonar",$R321))),0)</f>
        <v>0</v>
      </c>
      <c r="V321" t="s" s="35">
        <v>82</v>
      </c>
      <c r="W321" t="s" s="35">
        <v>115</v>
      </c>
      <c r="X321" s="36" cm="1">
        <f t="array" ref="X321">IF(OR(_xlfn.IFERROR(INDEX('Datos - Catálogo TIMSS'!$I$5:$I$107,MATCH(K321,'Datos - Catálogo TIMSS'!$A$5:$A$107,0)),"No")="Sí",_xlfn.IFERROR(INDEX('Datos - Catálogo TIMSS'!$I$5:$I$107,MATCH(L321,'Datos - Catálogo TIMSS'!$A$5:$A$107,0)),"No")="Sí"),1,0)</f>
        <v>0</v>
      </c>
      <c r="Y321" s="36" cm="1">
        <f t="array" ref="Y321">IF(_xlfn.IFERROR(INDEX('Datos - Catálogo TIMSS'!$J$5:$J$107,MATCH(K321,'Datos - Catálogo TIMSS'!$A$5:$A$107,0)),"No")="Sí",1,0)</f>
        <v>0</v>
      </c>
      <c r="Z321" s="36" cm="1">
        <f t="array" ref="Z321">IF(_xlfn.IFERROR(INDEX('Datos - Catálogo TIMSS'!$J$5:$J$107,MATCH(L321,'Datos - Catálogo TIMSS'!$A$5:$A$107,0)),"No")="Sí",1,0)</f>
        <v>0</v>
      </c>
      <c r="AA321" t="s" s="35">
        <v>3313</v>
      </c>
      <c r="AB321" s="39"/>
      <c r="AC321" t="str" s="39">
        <v>Biología</v>
      </c>
      <c r="AD321" t="s" s="35">
        <v>1900</v>
      </c>
      <c r="AE321" t="str" s="39" cm="1">
        <f t="array" ref="AE321">IF(AD321="","",IF(LEFT(AD321,1)="1","C1",IF(LEFT(AD321,1)="2","C2",IF(LEFT(AD321,1)="3","C3",""))))</f>
        <v>C3</v>
      </c>
      <c r="AF321" t="s" s="35">
        <v>1602</v>
      </c>
      <c r="AG321" t="s" s="35">
        <v>1617</v>
      </c>
      <c r="AH321" t="s" s="35">
        <v>1605</v>
      </c>
      <c r="AI321" t="s" s="35">
        <v>1625</v>
      </c>
      <c r="AJ321" t="s" s="35">
        <v>1615</v>
      </c>
      <c r="AK321" s="39"/>
      <c r="AL321" s="39"/>
      <c r="AM321" s="39"/>
      <c r="AN321" s="39"/>
      <c r="AO321" s="39"/>
      <c r="AP321" s="39"/>
      <c r="AQ321" s="39"/>
      <c r="AR321" s="39"/>
      <c r="AS321" s="39"/>
      <c r="AT321" s="39"/>
      <c r="AU321" s="39"/>
      <c r="AV321" s="39"/>
      <c r="AW321" t="str" s="39" cm="1">
        <f t="array" ref="AW321">AF321&amp;"; "&amp;AG321&amp;"; "&amp;AH321&amp;"; "&amp;AI321&amp;"; "&amp;AJ321</f>
        <v>E1; D1; E2; I1; E6</v>
      </c>
    </row>
    <row r="322" ht="13.65" customHeight="1">
      <c r="A322" t="s" s="35">
        <v>3324</v>
      </c>
      <c r="B322" s="36">
        <v>6</v>
      </c>
      <c r="C322" t="s" s="35">
        <v>1823</v>
      </c>
      <c r="D322" t="s" s="35">
        <v>3158</v>
      </c>
      <c r="E322" t="s" s="35">
        <v>3307</v>
      </c>
      <c r="F322" s="36">
        <v>6</v>
      </c>
      <c r="G322" t="s" s="35">
        <v>3308</v>
      </c>
      <c r="H322" t="s" s="35">
        <v>3320</v>
      </c>
      <c r="I322" t="s" s="120">
        <v>3325</v>
      </c>
      <c r="J322" t="s" s="35">
        <v>1164</v>
      </c>
      <c r="K322" t="s" s="35">
        <v>475</v>
      </c>
      <c r="L322" t="s" s="35">
        <v>1207</v>
      </c>
      <c r="M322" t="str" s="39">
        <v>Biología</v>
      </c>
      <c r="N322" t="str" s="39">
        <v>Ecosistemas</v>
      </c>
      <c r="O322" t="str" s="39" cm="1">
        <f t="array" ref="O322">IF(L322="","",_xlfn.IFERROR(INDEX('Datos - Catálogo TIMSS'!$C$5:$C$107,MATCH(L322,'Datos - Catálogo TIMSS'!$A$5:$A$107,0)),"?"))</f>
        <v>Biología</v>
      </c>
      <c r="P322" t="s" s="35">
        <v>282</v>
      </c>
      <c r="Q322" t="s" s="120">
        <v>3326</v>
      </c>
      <c r="R322" t="s" s="120">
        <v>2363</v>
      </c>
      <c r="S322" s="121" cm="1">
        <f t="array" ref="S322">_xlfn.IFERROR(ISNUMBER(SEARCH("Conocer",$R322))/(ISNUMBER(SEARCH("Conocer",$R322))+ISNUMBER(SEARCH("Aplicar",$R322))+ISNUMBER(SEARCH("Razonar",$R322))),0)</f>
        <v>0</v>
      </c>
      <c r="T322" s="121" cm="1">
        <f t="array" ref="T322">_xlfn.IFERROR(ISNUMBER(SEARCH("Aplicar",$R322))/(ISNUMBER(SEARCH("Conocer",$R322))+ISNUMBER(SEARCH("Aplicar",$R322))+ISNUMBER(SEARCH("Razonar",$R322))),0)</f>
        <v>0</v>
      </c>
      <c r="U322" s="121" cm="1">
        <f t="array" ref="U322">_xlfn.IFERROR(ISNUMBER(SEARCH("Razonar",$R322))/(ISNUMBER(SEARCH("Conocer",$R322))+ISNUMBER(SEARCH("Aplicar",$R322))+ISNUMBER(SEARCH("Razonar",$R322))),0)</f>
        <v>1</v>
      </c>
      <c r="V322" t="s" s="35">
        <v>82</v>
      </c>
      <c r="W322" t="s" s="35">
        <v>115</v>
      </c>
      <c r="X322" s="36" cm="1">
        <f t="array" ref="X322">IF(OR(_xlfn.IFERROR(INDEX('Datos - Catálogo TIMSS'!$I$5:$I$107,MATCH(K322,'Datos - Catálogo TIMSS'!$A$5:$A$107,0)),"No")="Sí",_xlfn.IFERROR(INDEX('Datos - Catálogo TIMSS'!$I$5:$I$107,MATCH(L322,'Datos - Catálogo TIMSS'!$A$5:$A$107,0)),"No")="Sí"),1,0)</f>
        <v>1</v>
      </c>
      <c r="Y322" s="36" cm="1">
        <f t="array" ref="Y322">IF(_xlfn.IFERROR(INDEX('Datos - Catálogo TIMSS'!$J$5:$J$107,MATCH(K322,'Datos - Catálogo TIMSS'!$A$5:$A$107,0)),"No")="Sí",1,0)</f>
        <v>0</v>
      </c>
      <c r="Z322" s="36" cm="1">
        <f t="array" ref="Z322">IF(_xlfn.IFERROR(INDEX('Datos - Catálogo TIMSS'!$J$5:$J$107,MATCH(L322,'Datos - Catálogo TIMSS'!$A$5:$A$107,0)),"No")="Sí",1,0)</f>
        <v>1</v>
      </c>
      <c r="AA322" t="s" s="35">
        <v>3327</v>
      </c>
      <c r="AB322" s="39"/>
      <c r="AC322" t="str" s="39">
        <v>Biología</v>
      </c>
      <c r="AD322" t="s" s="35">
        <v>1834</v>
      </c>
      <c r="AE322" t="str" s="39" cm="1">
        <f t="array" ref="AE322">IF(AD322="","",IF(LEFT(AD322,1)="1","C1",IF(LEFT(AD322,1)="2","C2",IF(LEFT(AD322,1)="3","C3",""))))</f>
        <v>C2</v>
      </c>
      <c r="AF322" t="s" s="35">
        <v>1602</v>
      </c>
      <c r="AG322" t="s" s="35">
        <v>1607</v>
      </c>
      <c r="AH322" t="s" s="35">
        <v>1602</v>
      </c>
      <c r="AI322" t="s" s="35">
        <v>1623</v>
      </c>
      <c r="AJ322" t="s" s="35">
        <v>1602</v>
      </c>
      <c r="AK322" s="39"/>
      <c r="AL322" s="39"/>
      <c r="AM322" s="39"/>
      <c r="AN322" s="39"/>
      <c r="AO322" s="39"/>
      <c r="AP322" s="39"/>
      <c r="AQ322" s="39"/>
      <c r="AR322" s="39"/>
      <c r="AS322" s="39"/>
      <c r="AT322" s="39"/>
      <c r="AU322" s="39"/>
      <c r="AV322" s="39"/>
      <c r="AW322" t="str" s="39" cm="1">
        <f t="array" ref="AW322">AF322&amp;"; "&amp;AG322&amp;"; "&amp;AH322&amp;"; "&amp;AI322&amp;"; "&amp;AJ322</f>
        <v>E1; E3; E1; D4; E1</v>
      </c>
    </row>
    <row r="323" ht="13.65" customHeight="1">
      <c r="A323" t="s" s="35">
        <v>3328</v>
      </c>
      <c r="B323" s="36">
        <v>6</v>
      </c>
      <c r="C323" t="s" s="35">
        <v>1823</v>
      </c>
      <c r="D323" t="s" s="35">
        <v>3158</v>
      </c>
      <c r="E323" t="s" s="35">
        <v>3307</v>
      </c>
      <c r="F323" s="36">
        <v>7</v>
      </c>
      <c r="G323" t="s" s="35">
        <v>3308</v>
      </c>
      <c r="H323" t="s" s="35">
        <v>3320</v>
      </c>
      <c r="I323" t="s" s="120">
        <v>3329</v>
      </c>
      <c r="J323" t="s" s="35">
        <v>1164</v>
      </c>
      <c r="K323" t="s" s="35">
        <v>1174</v>
      </c>
      <c r="L323" s="39"/>
      <c r="M323" t="str" s="39">
        <v>Biología</v>
      </c>
      <c r="N323" t="str" s="39">
        <v>Las células y sus funciones</v>
      </c>
      <c r="O323" t="str" s="39" cm="1">
        <f t="array" ref="O323">IF(L323="","",_xlfn.IFERROR(INDEX('Datos - Catálogo TIMSS'!$C$5:$C$107,MATCH(L323,'Datos - Catálogo TIMSS'!$A$5:$A$107,0)),"?"))</f>
      </c>
      <c r="P323" t="s" s="35">
        <v>254</v>
      </c>
      <c r="Q323" t="s" s="120">
        <v>3330</v>
      </c>
      <c r="R323" t="s" s="120">
        <v>2798</v>
      </c>
      <c r="S323" s="121" cm="1">
        <f t="array" ref="S323">_xlfn.IFERROR(ISNUMBER(SEARCH("Conocer",$R323))/(ISNUMBER(SEARCH("Conocer",$R323))+ISNUMBER(SEARCH("Aplicar",$R323))+ISNUMBER(SEARCH("Razonar",$R323))),0)</f>
        <v>0</v>
      </c>
      <c r="T323" s="121" cm="1">
        <f t="array" ref="T323">_xlfn.IFERROR(ISNUMBER(SEARCH("Aplicar",$R323))/(ISNUMBER(SEARCH("Conocer",$R323))+ISNUMBER(SEARCH("Aplicar",$R323))+ISNUMBER(SEARCH("Razonar",$R323))),0)</f>
        <v>1</v>
      </c>
      <c r="U323" s="121" cm="1">
        <f t="array" ref="U323">_xlfn.IFERROR(ISNUMBER(SEARCH("Razonar",$R323))/(ISNUMBER(SEARCH("Conocer",$R323))+ISNUMBER(SEARCH("Aplicar",$R323))+ISNUMBER(SEARCH("Razonar",$R323))),0)</f>
        <v>0</v>
      </c>
      <c r="V323" t="s" s="35">
        <v>82</v>
      </c>
      <c r="W323" t="s" s="35">
        <v>115</v>
      </c>
      <c r="X323" s="36" cm="1">
        <f t="array" ref="X323">IF(OR(_xlfn.IFERROR(INDEX('Datos - Catálogo TIMSS'!$I$5:$I$107,MATCH(K323,'Datos - Catálogo TIMSS'!$A$5:$A$107,0)),"No")="Sí",_xlfn.IFERROR(INDEX('Datos - Catálogo TIMSS'!$I$5:$I$107,MATCH(L323,'Datos - Catálogo TIMSS'!$A$5:$A$107,0)),"No")="Sí"),1,0)</f>
        <v>0</v>
      </c>
      <c r="Y323" s="36" cm="1">
        <f t="array" ref="Y323">IF(_xlfn.IFERROR(INDEX('Datos - Catálogo TIMSS'!$J$5:$J$107,MATCH(K323,'Datos - Catálogo TIMSS'!$A$5:$A$107,0)),"No")="Sí",1,0)</f>
        <v>0</v>
      </c>
      <c r="Z323" s="36" cm="1">
        <f t="array" ref="Z323">IF(_xlfn.IFERROR(INDEX('Datos - Catálogo TIMSS'!$J$5:$J$107,MATCH(L323,'Datos - Catálogo TIMSS'!$A$5:$A$107,0)),"No")="Sí",1,0)</f>
        <v>0</v>
      </c>
      <c r="AA323" t="s" s="35">
        <v>3313</v>
      </c>
      <c r="AB323" s="39"/>
      <c r="AC323" t="str" s="39">
        <v>Biología</v>
      </c>
      <c r="AD323" t="s" s="35">
        <v>1859</v>
      </c>
      <c r="AE323" t="str" s="39" cm="1">
        <f t="array" ref="AE323">IF(AD323="","",IF(LEFT(AD323,1)="1","C1",IF(LEFT(AD323,1)="2","C2",IF(LEFT(AD323,1)="3","C3",""))))</f>
        <v>C1</v>
      </c>
      <c r="AF323" t="s" s="35">
        <v>1602</v>
      </c>
      <c r="AG323" t="s" s="35">
        <v>1617</v>
      </c>
      <c r="AH323" t="s" s="35">
        <v>1609</v>
      </c>
      <c r="AI323" t="s" s="35">
        <v>1609</v>
      </c>
      <c r="AJ323" t="s" s="35">
        <v>1602</v>
      </c>
      <c r="AK323" s="39"/>
      <c r="AL323" s="39"/>
      <c r="AM323" s="39"/>
      <c r="AN323" s="39"/>
      <c r="AO323" s="39"/>
      <c r="AP323" s="39"/>
      <c r="AQ323" s="39"/>
      <c r="AR323" s="39"/>
      <c r="AS323" s="39"/>
      <c r="AT323" s="39"/>
      <c r="AU323" s="39"/>
      <c r="AV323" s="39"/>
      <c r="AW323" t="str" s="39" cm="1">
        <f t="array" ref="AW323">AF323&amp;"; "&amp;AG323&amp;"; "&amp;AH323&amp;"; "&amp;AI323&amp;"; "&amp;AJ323</f>
        <v>E1; D1; E4; E4; E1</v>
      </c>
    </row>
    <row r="324" ht="13.65" customHeight="1">
      <c r="A324" t="s" s="35">
        <v>3331</v>
      </c>
      <c r="B324" s="36">
        <v>6</v>
      </c>
      <c r="C324" t="s" s="35">
        <v>1823</v>
      </c>
      <c r="D324" t="s" s="35">
        <v>3158</v>
      </c>
      <c r="E324" t="s" s="35">
        <v>3307</v>
      </c>
      <c r="F324" s="36">
        <v>8</v>
      </c>
      <c r="G324" t="s" s="35">
        <v>3308</v>
      </c>
      <c r="H324" t="s" s="35">
        <v>3332</v>
      </c>
      <c r="I324" t="s" s="120">
        <v>3333</v>
      </c>
      <c r="J324" t="s" s="35">
        <v>1164</v>
      </c>
      <c r="K324" t="s" s="35">
        <v>1174</v>
      </c>
      <c r="L324" s="39"/>
      <c r="M324" t="str" s="39">
        <v>Biología</v>
      </c>
      <c r="N324" t="str" s="39">
        <v>Las células y sus funciones</v>
      </c>
      <c r="O324" t="str" s="39" cm="1">
        <f t="array" ref="O324">IF(L324="","",_xlfn.IFERROR(INDEX('Datos - Catálogo TIMSS'!$C$5:$C$107,MATCH(L324,'Datos - Catálogo TIMSS'!$A$5:$A$107,0)),"?"))</f>
      </c>
      <c r="P324" t="s" s="35">
        <v>254</v>
      </c>
      <c r="Q324" t="s" s="120">
        <v>3334</v>
      </c>
      <c r="R324" t="s" s="120">
        <v>3335</v>
      </c>
      <c r="S324" s="121" cm="1">
        <f t="array" ref="S324">_xlfn.IFERROR(ISNUMBER(SEARCH("Conocer",$R324))/(ISNUMBER(SEARCH("Conocer",$R324))+ISNUMBER(SEARCH("Aplicar",$R324))+ISNUMBER(SEARCH("Razonar",$R324))),0)</f>
        <v>0</v>
      </c>
      <c r="T324" s="121" cm="1">
        <f t="array" ref="T324">_xlfn.IFERROR(ISNUMBER(SEARCH("Aplicar",$R324))/(ISNUMBER(SEARCH("Conocer",$R324))+ISNUMBER(SEARCH("Aplicar",$R324))+ISNUMBER(SEARCH("Razonar",$R324))),0)</f>
        <v>1</v>
      </c>
      <c r="U324" s="121" cm="1">
        <f t="array" ref="U324">_xlfn.IFERROR(ISNUMBER(SEARCH("Razonar",$R324))/(ISNUMBER(SEARCH("Conocer",$R324))+ISNUMBER(SEARCH("Aplicar",$R324))+ISNUMBER(SEARCH("Razonar",$R324))),0)</f>
        <v>0</v>
      </c>
      <c r="V324" t="s" s="35">
        <v>82</v>
      </c>
      <c r="W324" t="s" s="35">
        <v>115</v>
      </c>
      <c r="X324" s="36" cm="1">
        <f t="array" ref="X324">IF(OR(_xlfn.IFERROR(INDEX('Datos - Catálogo TIMSS'!$I$5:$I$107,MATCH(K324,'Datos - Catálogo TIMSS'!$A$5:$A$107,0)),"No")="Sí",_xlfn.IFERROR(INDEX('Datos - Catálogo TIMSS'!$I$5:$I$107,MATCH(L324,'Datos - Catálogo TIMSS'!$A$5:$A$107,0)),"No")="Sí"),1,0)</f>
        <v>0</v>
      </c>
      <c r="Y324" s="36" cm="1">
        <f t="array" ref="Y324">IF(_xlfn.IFERROR(INDEX('Datos - Catálogo TIMSS'!$J$5:$J$107,MATCH(K324,'Datos - Catálogo TIMSS'!$A$5:$A$107,0)),"No")="Sí",1,0)</f>
        <v>0</v>
      </c>
      <c r="Z324" s="36" cm="1">
        <f t="array" ref="Z324">IF(_xlfn.IFERROR(INDEX('Datos - Catálogo TIMSS'!$J$5:$J$107,MATCH(L324,'Datos - Catálogo TIMSS'!$A$5:$A$107,0)),"No")="Sí",1,0)</f>
        <v>0</v>
      </c>
      <c r="AA324" t="s" s="35">
        <v>3313</v>
      </c>
      <c r="AB324" s="39"/>
      <c r="AC324" t="str" s="39">
        <v>Biología</v>
      </c>
      <c r="AD324" t="s" s="35">
        <v>1859</v>
      </c>
      <c r="AE324" t="str" s="39" cm="1">
        <f t="array" ref="AE324">IF(AD324="","",IF(LEFT(AD324,1)="1","C1",IF(LEFT(AD324,1)="2","C2",IF(LEFT(AD324,1)="3","C3",""))))</f>
        <v>C1</v>
      </c>
      <c r="AF324" t="s" s="35">
        <v>1602</v>
      </c>
      <c r="AG324" t="s" s="35">
        <v>1617</v>
      </c>
      <c r="AH324" t="s" s="35">
        <v>1605</v>
      </c>
      <c r="AI324" t="s" s="35">
        <v>1623</v>
      </c>
      <c r="AJ324" t="s" s="35">
        <v>1602</v>
      </c>
      <c r="AK324" s="39"/>
      <c r="AL324" s="39"/>
      <c r="AM324" s="39"/>
      <c r="AN324" s="39"/>
      <c r="AO324" s="39"/>
      <c r="AP324" s="39"/>
      <c r="AQ324" s="39"/>
      <c r="AR324" s="39"/>
      <c r="AS324" s="39"/>
      <c r="AT324" s="39"/>
      <c r="AU324" s="39"/>
      <c r="AV324" s="39"/>
      <c r="AW324" t="str" s="39" cm="1">
        <f t="array" ref="AW324">AF324&amp;"; "&amp;AG324&amp;"; "&amp;AH324&amp;"; "&amp;AI324&amp;"; "&amp;AJ324</f>
        <v>E1; D1; E2; D4; E1</v>
      </c>
    </row>
    <row r="325" ht="13.65" customHeight="1">
      <c r="A325" t="s" s="35">
        <v>3336</v>
      </c>
      <c r="B325" s="36">
        <v>6</v>
      </c>
      <c r="C325" t="s" s="35">
        <v>1823</v>
      </c>
      <c r="D325" t="s" s="35">
        <v>3158</v>
      </c>
      <c r="E325" t="s" s="35">
        <v>3307</v>
      </c>
      <c r="F325" s="36">
        <v>9</v>
      </c>
      <c r="G325" t="s" s="35">
        <v>3308</v>
      </c>
      <c r="H325" t="s" s="35">
        <v>3332</v>
      </c>
      <c r="I325" t="s" s="120">
        <v>3337</v>
      </c>
      <c r="J325" t="s" s="35">
        <v>1164</v>
      </c>
      <c r="K325" t="s" s="35">
        <v>1174</v>
      </c>
      <c r="L325" t="s" s="35">
        <v>1168</v>
      </c>
      <c r="M325" t="str" s="39">
        <v>Biología</v>
      </c>
      <c r="N325" t="str" s="39">
        <v>Las células y sus funciones</v>
      </c>
      <c r="O325" t="str" s="39" cm="1">
        <f t="array" ref="O325">IF(L325="","",_xlfn.IFERROR(INDEX('Datos - Catálogo TIMSS'!$C$5:$C$107,MATCH(L325,'Datos - Catálogo TIMSS'!$A$5:$A$107,0)),"?"))</f>
        <v>Biología</v>
      </c>
      <c r="P325" t="s" s="35">
        <v>254</v>
      </c>
      <c r="Q325" t="s" s="120">
        <v>3338</v>
      </c>
      <c r="R325" t="s" s="120">
        <v>3023</v>
      </c>
      <c r="S325" s="121" cm="1">
        <f t="array" ref="S325">_xlfn.IFERROR(ISNUMBER(SEARCH("Conocer",$R325))/(ISNUMBER(SEARCH("Conocer",$R325))+ISNUMBER(SEARCH("Aplicar",$R325))+ISNUMBER(SEARCH("Razonar",$R325))),0)</f>
        <v>0</v>
      </c>
      <c r="T325" s="121" cm="1">
        <f t="array" ref="T325">_xlfn.IFERROR(ISNUMBER(SEARCH("Aplicar",$R325))/(ISNUMBER(SEARCH("Conocer",$R325))+ISNUMBER(SEARCH("Aplicar",$R325))+ISNUMBER(SEARCH("Razonar",$R325))),0)</f>
        <v>1</v>
      </c>
      <c r="U325" s="121" cm="1">
        <f t="array" ref="U325">_xlfn.IFERROR(ISNUMBER(SEARCH("Razonar",$R325))/(ISNUMBER(SEARCH("Conocer",$R325))+ISNUMBER(SEARCH("Aplicar",$R325))+ISNUMBER(SEARCH("Razonar",$R325))),0)</f>
        <v>0</v>
      </c>
      <c r="V325" t="s" s="35">
        <v>82</v>
      </c>
      <c r="W325" t="s" s="35">
        <v>115</v>
      </c>
      <c r="X325" s="36" cm="1">
        <f t="array" ref="X325">IF(OR(_xlfn.IFERROR(INDEX('Datos - Catálogo TIMSS'!$I$5:$I$107,MATCH(K325,'Datos - Catálogo TIMSS'!$A$5:$A$107,0)),"No")="Sí",_xlfn.IFERROR(INDEX('Datos - Catálogo TIMSS'!$I$5:$I$107,MATCH(L325,'Datos - Catálogo TIMSS'!$A$5:$A$107,0)),"No")="Sí"),1,0)</f>
        <v>0</v>
      </c>
      <c r="Y325" s="36" cm="1">
        <f t="array" ref="Y325">IF(_xlfn.IFERROR(INDEX('Datos - Catálogo TIMSS'!$J$5:$J$107,MATCH(K325,'Datos - Catálogo TIMSS'!$A$5:$A$107,0)),"No")="Sí",1,0)</f>
        <v>0</v>
      </c>
      <c r="Z325" s="36" cm="1">
        <f t="array" ref="Z325">IF(_xlfn.IFERROR(INDEX('Datos - Catálogo TIMSS'!$J$5:$J$107,MATCH(L325,'Datos - Catálogo TIMSS'!$A$5:$A$107,0)),"No")="Sí",1,0)</f>
        <v>0</v>
      </c>
      <c r="AA325" t="s" s="35">
        <v>3313</v>
      </c>
      <c r="AB325" t="s" s="35">
        <v>3339</v>
      </c>
      <c r="AC325" t="str" s="39">
        <v>Biología</v>
      </c>
      <c r="AD325" t="s" s="35">
        <v>1834</v>
      </c>
      <c r="AE325" t="str" s="39" cm="1">
        <f t="array" ref="AE325">IF(AD325="","",IF(LEFT(AD325,1)="1","C1",IF(LEFT(AD325,1)="2","C2",IF(LEFT(AD325,1)="3","C3",""))))</f>
        <v>C2</v>
      </c>
      <c r="AF325" t="s" s="35">
        <v>1602</v>
      </c>
      <c r="AG325" t="s" s="35">
        <v>1617</v>
      </c>
      <c r="AH325" t="s" s="35">
        <v>1602</v>
      </c>
      <c r="AI325" t="s" s="35">
        <v>1623</v>
      </c>
      <c r="AJ325" t="s" s="35">
        <v>1602</v>
      </c>
      <c r="AK325" s="39"/>
      <c r="AL325" s="39"/>
      <c r="AM325" s="39"/>
      <c r="AN325" s="39"/>
      <c r="AO325" s="39"/>
      <c r="AP325" s="39"/>
      <c r="AQ325" s="39"/>
      <c r="AR325" s="39"/>
      <c r="AS325" s="39"/>
      <c r="AT325" s="39"/>
      <c r="AU325" s="39"/>
      <c r="AV325" s="39"/>
      <c r="AW325" t="str" s="39" cm="1">
        <f t="array" ref="AW325">AF325&amp;"; "&amp;AG325&amp;"; "&amp;AH325&amp;"; "&amp;AI325&amp;"; "&amp;AJ325</f>
        <v>E1; D1; E1; D4; E1</v>
      </c>
    </row>
    <row r="326" ht="13.65" customHeight="1">
      <c r="A326" t="s" s="35">
        <v>3340</v>
      </c>
      <c r="B326" s="36">
        <v>6</v>
      </c>
      <c r="C326" t="s" s="35">
        <v>1823</v>
      </c>
      <c r="D326" t="s" s="35">
        <v>3158</v>
      </c>
      <c r="E326" t="s" s="35">
        <v>3307</v>
      </c>
      <c r="F326" s="36">
        <v>10</v>
      </c>
      <c r="G326" t="s" s="35">
        <v>3308</v>
      </c>
      <c r="H326" t="s" s="35">
        <v>3341</v>
      </c>
      <c r="I326" t="s" s="120">
        <v>3342</v>
      </c>
      <c r="J326" t="s" s="35">
        <v>1164</v>
      </c>
      <c r="K326" t="s" s="35">
        <v>1174</v>
      </c>
      <c r="L326" s="39"/>
      <c r="M326" t="str" s="39">
        <v>Biología</v>
      </c>
      <c r="N326" t="str" s="39">
        <v>Las células y sus funciones</v>
      </c>
      <c r="O326" t="str" s="39" cm="1">
        <f t="array" ref="O326">IF(L326="","",_xlfn.IFERROR(INDEX('Datos - Catálogo TIMSS'!$C$5:$C$107,MATCH(L326,'Datos - Catálogo TIMSS'!$A$5:$A$107,0)),"?"))</f>
      </c>
      <c r="P326" t="s" s="35">
        <v>282</v>
      </c>
      <c r="Q326" t="s" s="120">
        <v>3343</v>
      </c>
      <c r="R326" t="s" s="120">
        <v>3344</v>
      </c>
      <c r="S326" s="121" cm="1">
        <f t="array" ref="S326">_xlfn.IFERROR(ISNUMBER(SEARCH("Conocer",$R326))/(ISNUMBER(SEARCH("Conocer",$R326))+ISNUMBER(SEARCH("Aplicar",$R326))+ISNUMBER(SEARCH("Razonar",$R326))),0)</f>
        <v>0</v>
      </c>
      <c r="T326" s="121" cm="1">
        <f t="array" ref="T326">_xlfn.IFERROR(ISNUMBER(SEARCH("Aplicar",$R326))/(ISNUMBER(SEARCH("Conocer",$R326))+ISNUMBER(SEARCH("Aplicar",$R326))+ISNUMBER(SEARCH("Razonar",$R326))),0)</f>
        <v>0.5</v>
      </c>
      <c r="U326" s="121" cm="1">
        <f t="array" ref="U326">_xlfn.IFERROR(ISNUMBER(SEARCH("Razonar",$R326))/(ISNUMBER(SEARCH("Conocer",$R326))+ISNUMBER(SEARCH("Aplicar",$R326))+ISNUMBER(SEARCH("Razonar",$R326))),0)</f>
        <v>0.5</v>
      </c>
      <c r="V326" t="s" s="35">
        <v>82</v>
      </c>
      <c r="W326" t="s" s="35">
        <v>115</v>
      </c>
      <c r="X326" s="36" cm="1">
        <f t="array" ref="X326">IF(OR(_xlfn.IFERROR(INDEX('Datos - Catálogo TIMSS'!$I$5:$I$107,MATCH(K326,'Datos - Catálogo TIMSS'!$A$5:$A$107,0)),"No")="Sí",_xlfn.IFERROR(INDEX('Datos - Catálogo TIMSS'!$I$5:$I$107,MATCH(L326,'Datos - Catálogo TIMSS'!$A$5:$A$107,0)),"No")="Sí"),1,0)</f>
        <v>0</v>
      </c>
      <c r="Y326" s="36" cm="1">
        <f t="array" ref="Y326">IF(_xlfn.IFERROR(INDEX('Datos - Catálogo TIMSS'!$J$5:$J$107,MATCH(K326,'Datos - Catálogo TIMSS'!$A$5:$A$107,0)),"No")="Sí",1,0)</f>
        <v>0</v>
      </c>
      <c r="Z326" s="36" cm="1">
        <f t="array" ref="Z326">IF(_xlfn.IFERROR(INDEX('Datos - Catálogo TIMSS'!$J$5:$J$107,MATCH(L326,'Datos - Catálogo TIMSS'!$A$5:$A$107,0)),"No")="Sí",1,0)</f>
        <v>0</v>
      </c>
      <c r="AA326" t="s" s="35">
        <v>3313</v>
      </c>
      <c r="AB326" s="39"/>
      <c r="AC326" t="str" s="39">
        <v>Biología</v>
      </c>
      <c r="AD326" t="s" s="35">
        <v>1834</v>
      </c>
      <c r="AE326" t="str" s="39" cm="1">
        <f t="array" ref="AE326">IF(AD326="","",IF(LEFT(AD326,1)="1","C1",IF(LEFT(AD326,1)="2","C2",IF(LEFT(AD326,1)="3","C3",""))))</f>
        <v>C2</v>
      </c>
      <c r="AF326" t="s" s="35">
        <v>1602</v>
      </c>
      <c r="AG326" t="s" s="35">
        <v>1607</v>
      </c>
      <c r="AH326" t="s" s="35">
        <v>1602</v>
      </c>
      <c r="AI326" t="s" s="35">
        <v>1623</v>
      </c>
      <c r="AJ326" t="s" s="35">
        <v>1615</v>
      </c>
      <c r="AK326" s="39"/>
      <c r="AL326" s="39"/>
      <c r="AM326" s="39"/>
      <c r="AN326" s="39"/>
      <c r="AO326" s="39"/>
      <c r="AP326" s="39"/>
      <c r="AQ326" s="39"/>
      <c r="AR326" s="39"/>
      <c r="AS326" s="39"/>
      <c r="AT326" s="39"/>
      <c r="AU326" s="39"/>
      <c r="AV326" s="39"/>
      <c r="AW326" t="str" s="39" cm="1">
        <f t="array" ref="AW326">AF326&amp;"; "&amp;AG326&amp;"; "&amp;AH326&amp;"; "&amp;AI326&amp;"; "&amp;AJ326</f>
        <v>E1; E3; E1; D4; E6</v>
      </c>
    </row>
    <row r="327" ht="13.65" customHeight="1">
      <c r="A327" t="s" s="35">
        <v>3345</v>
      </c>
      <c r="B327" s="36">
        <v>6</v>
      </c>
      <c r="C327" t="s" s="35">
        <v>1823</v>
      </c>
      <c r="D327" t="s" s="35">
        <v>3158</v>
      </c>
      <c r="E327" t="s" s="35">
        <v>3307</v>
      </c>
      <c r="F327" s="36">
        <v>11</v>
      </c>
      <c r="G327" t="s" s="35">
        <v>3308</v>
      </c>
      <c r="H327" t="s" s="35">
        <v>3346</v>
      </c>
      <c r="I327" t="s" s="120">
        <v>3347</v>
      </c>
      <c r="J327" t="s" s="35">
        <v>1164</v>
      </c>
      <c r="K327" t="s" s="35">
        <v>1174</v>
      </c>
      <c r="L327" s="39"/>
      <c r="M327" t="str" s="39">
        <v>Biología</v>
      </c>
      <c r="N327" t="str" s="39">
        <v>Las células y sus funciones</v>
      </c>
      <c r="O327" t="str" s="39" cm="1">
        <f t="array" ref="O327">IF(L327="","",_xlfn.IFERROR(INDEX('Datos - Catálogo TIMSS'!$C$5:$C$107,MATCH(L327,'Datos - Catálogo TIMSS'!$A$5:$A$107,0)),"?"))</f>
      </c>
      <c r="P327" t="s" s="35">
        <v>282</v>
      </c>
      <c r="Q327" t="s" s="120">
        <v>3348</v>
      </c>
      <c r="R327" t="s" s="120">
        <v>1990</v>
      </c>
      <c r="S327" s="121" cm="1">
        <f t="array" ref="S327">_xlfn.IFERROR(ISNUMBER(SEARCH("Conocer",$R327))/(ISNUMBER(SEARCH("Conocer",$R327))+ISNUMBER(SEARCH("Aplicar",$R327))+ISNUMBER(SEARCH("Razonar",$R327))),0)</f>
        <v>1</v>
      </c>
      <c r="T327" s="121" cm="1">
        <f t="array" ref="T327">_xlfn.IFERROR(ISNUMBER(SEARCH("Aplicar",$R327))/(ISNUMBER(SEARCH("Conocer",$R327))+ISNUMBER(SEARCH("Aplicar",$R327))+ISNUMBER(SEARCH("Razonar",$R327))),0)</f>
        <v>0</v>
      </c>
      <c r="U327" s="121" cm="1">
        <f t="array" ref="U327">_xlfn.IFERROR(ISNUMBER(SEARCH("Razonar",$R327))/(ISNUMBER(SEARCH("Conocer",$R327))+ISNUMBER(SEARCH("Aplicar",$R327))+ISNUMBER(SEARCH("Razonar",$R327))),0)</f>
        <v>0</v>
      </c>
      <c r="V327" t="s" s="35">
        <v>82</v>
      </c>
      <c r="W327" t="s" s="35">
        <v>115</v>
      </c>
      <c r="X327" s="36" cm="1">
        <f t="array" ref="X327">IF(OR(_xlfn.IFERROR(INDEX('Datos - Catálogo TIMSS'!$I$5:$I$107,MATCH(K327,'Datos - Catálogo TIMSS'!$A$5:$A$107,0)),"No")="Sí",_xlfn.IFERROR(INDEX('Datos - Catálogo TIMSS'!$I$5:$I$107,MATCH(L327,'Datos - Catálogo TIMSS'!$A$5:$A$107,0)),"No")="Sí"),1,0)</f>
        <v>0</v>
      </c>
      <c r="Y327" s="36" cm="1">
        <f t="array" ref="Y327">IF(_xlfn.IFERROR(INDEX('Datos - Catálogo TIMSS'!$J$5:$J$107,MATCH(K327,'Datos - Catálogo TIMSS'!$A$5:$A$107,0)),"No")="Sí",1,0)</f>
        <v>0</v>
      </c>
      <c r="Z327" s="36" cm="1">
        <f t="array" ref="Z327">IF(_xlfn.IFERROR(INDEX('Datos - Catálogo TIMSS'!$J$5:$J$107,MATCH(L327,'Datos - Catálogo TIMSS'!$A$5:$A$107,0)),"No")="Sí",1,0)</f>
        <v>0</v>
      </c>
      <c r="AA327" t="s" s="35">
        <v>3313</v>
      </c>
      <c r="AB327" s="39"/>
      <c r="AC327" t="str" s="39">
        <v>Biología</v>
      </c>
      <c r="AD327" t="s" s="35">
        <v>1859</v>
      </c>
      <c r="AE327" t="str" s="39" cm="1">
        <f t="array" ref="AE327">IF(AD327="","",IF(LEFT(AD327,1)="1","C1",IF(LEFT(AD327,1)="2","C2",IF(LEFT(AD327,1)="3","C3",""))))</f>
        <v>C1</v>
      </c>
      <c r="AF327" t="s" s="35">
        <v>1602</v>
      </c>
      <c r="AG327" t="s" s="35">
        <v>1617</v>
      </c>
      <c r="AH327" t="s" s="35">
        <v>1602</v>
      </c>
      <c r="AI327" t="s" s="35">
        <v>1623</v>
      </c>
      <c r="AJ327" t="s" s="35">
        <v>1602</v>
      </c>
      <c r="AK327" s="39"/>
      <c r="AL327" s="39"/>
      <c r="AM327" s="39"/>
      <c r="AN327" s="39"/>
      <c r="AO327" s="39"/>
      <c r="AP327" s="39"/>
      <c r="AQ327" s="39"/>
      <c r="AR327" s="39"/>
      <c r="AS327" s="39"/>
      <c r="AT327" s="39"/>
      <c r="AU327" s="39"/>
      <c r="AV327" s="39"/>
      <c r="AW327" t="str" s="39" cm="1">
        <f t="array" ref="AW327">AF327&amp;"; "&amp;AG327&amp;"; "&amp;AH327&amp;"; "&amp;AI327&amp;"; "&amp;AJ327</f>
        <v>E1; D1; E1; D4; E1</v>
      </c>
    </row>
    <row r="328" ht="13.65" customHeight="1">
      <c r="A328" t="s" s="35">
        <v>3349</v>
      </c>
      <c r="B328" s="36">
        <v>6</v>
      </c>
      <c r="C328" t="s" s="35">
        <v>1823</v>
      </c>
      <c r="D328" t="s" s="35">
        <v>3158</v>
      </c>
      <c r="E328" t="s" s="35">
        <v>3307</v>
      </c>
      <c r="F328" s="36">
        <v>12</v>
      </c>
      <c r="G328" t="s" s="35">
        <v>3308</v>
      </c>
      <c r="H328" t="s" s="35">
        <v>3346</v>
      </c>
      <c r="I328" t="s" s="120">
        <v>3350</v>
      </c>
      <c r="J328" t="s" s="35">
        <v>1164</v>
      </c>
      <c r="K328" t="s" s="35">
        <v>1174</v>
      </c>
      <c r="L328" s="39"/>
      <c r="M328" t="str" s="39">
        <v>Biología</v>
      </c>
      <c r="N328" t="str" s="39">
        <v>Las células y sus funciones</v>
      </c>
      <c r="O328" t="str" s="39" cm="1">
        <f t="array" ref="O328">IF(L328="","",_xlfn.IFERROR(INDEX('Datos - Catálogo TIMSS'!$C$5:$C$107,MATCH(L328,'Datos - Catálogo TIMSS'!$A$5:$A$107,0)),"?"))</f>
      </c>
      <c r="P328" t="s" s="35">
        <v>282</v>
      </c>
      <c r="Q328" t="s" s="120">
        <v>3351</v>
      </c>
      <c r="R328" t="s" s="120">
        <v>2131</v>
      </c>
      <c r="S328" s="121" cm="1">
        <f t="array" ref="S328">_xlfn.IFERROR(ISNUMBER(SEARCH("Conocer",$R328))/(ISNUMBER(SEARCH("Conocer",$R328))+ISNUMBER(SEARCH("Aplicar",$R328))+ISNUMBER(SEARCH("Razonar",$R328))),0)</f>
        <v>0</v>
      </c>
      <c r="T328" s="121" cm="1">
        <f t="array" ref="T328">_xlfn.IFERROR(ISNUMBER(SEARCH("Aplicar",$R328))/(ISNUMBER(SEARCH("Conocer",$R328))+ISNUMBER(SEARCH("Aplicar",$R328))+ISNUMBER(SEARCH("Razonar",$R328))),0)</f>
        <v>1</v>
      </c>
      <c r="U328" s="121" cm="1">
        <f t="array" ref="U328">_xlfn.IFERROR(ISNUMBER(SEARCH("Razonar",$R328))/(ISNUMBER(SEARCH("Conocer",$R328))+ISNUMBER(SEARCH("Aplicar",$R328))+ISNUMBER(SEARCH("Razonar",$R328))),0)</f>
        <v>0</v>
      </c>
      <c r="V328" t="s" s="35">
        <v>82</v>
      </c>
      <c r="W328" t="s" s="35">
        <v>115</v>
      </c>
      <c r="X328" s="36" cm="1">
        <f t="array" ref="X328">IF(OR(_xlfn.IFERROR(INDEX('Datos - Catálogo TIMSS'!$I$5:$I$107,MATCH(K328,'Datos - Catálogo TIMSS'!$A$5:$A$107,0)),"No")="Sí",_xlfn.IFERROR(INDEX('Datos - Catálogo TIMSS'!$I$5:$I$107,MATCH(L328,'Datos - Catálogo TIMSS'!$A$5:$A$107,0)),"No")="Sí"),1,0)</f>
        <v>0</v>
      </c>
      <c r="Y328" s="36" cm="1">
        <f t="array" ref="Y328">IF(_xlfn.IFERROR(INDEX('Datos - Catálogo TIMSS'!$J$5:$J$107,MATCH(K328,'Datos - Catálogo TIMSS'!$A$5:$A$107,0)),"No")="Sí",1,0)</f>
        <v>0</v>
      </c>
      <c r="Z328" s="36" cm="1">
        <f t="array" ref="Z328">IF(_xlfn.IFERROR(INDEX('Datos - Catálogo TIMSS'!$J$5:$J$107,MATCH(L328,'Datos - Catálogo TIMSS'!$A$5:$A$107,0)),"No")="Sí",1,0)</f>
        <v>0</v>
      </c>
      <c r="AA328" t="s" s="35">
        <v>3313</v>
      </c>
      <c r="AB328" s="39"/>
      <c r="AC328" t="str" s="39">
        <v>Biología</v>
      </c>
      <c r="AD328" t="s" s="35">
        <v>1859</v>
      </c>
      <c r="AE328" t="str" s="39" cm="1">
        <f t="array" ref="AE328">IF(AD328="","",IF(LEFT(AD328,1)="1","C1",IF(LEFT(AD328,1)="2","C2",IF(LEFT(AD328,1)="3","C3",""))))</f>
        <v>C1</v>
      </c>
      <c r="AF328" t="s" s="35">
        <v>1602</v>
      </c>
      <c r="AG328" t="s" s="35">
        <v>1617</v>
      </c>
      <c r="AH328" t="s" s="35">
        <v>1609</v>
      </c>
      <c r="AI328" t="s" s="35">
        <v>1609</v>
      </c>
      <c r="AJ328" t="s" s="35">
        <v>1602</v>
      </c>
      <c r="AK328" s="39"/>
      <c r="AL328" s="39"/>
      <c r="AM328" s="39"/>
      <c r="AN328" s="39"/>
      <c r="AO328" s="39"/>
      <c r="AP328" s="39"/>
      <c r="AQ328" s="39"/>
      <c r="AR328" s="39"/>
      <c r="AS328" s="39"/>
      <c r="AT328" s="39"/>
      <c r="AU328" s="39"/>
      <c r="AV328" s="39"/>
      <c r="AW328" t="str" s="39" cm="1">
        <f t="array" ref="AW328">AF328&amp;"; "&amp;AG328&amp;"; "&amp;AH328&amp;"; "&amp;AI328&amp;"; "&amp;AJ328</f>
        <v>E1; D1; E4; E4; E1</v>
      </c>
    </row>
    <row r="329" ht="13.65" customHeight="1">
      <c r="A329" t="s" s="35">
        <v>3352</v>
      </c>
      <c r="B329" s="36">
        <v>6</v>
      </c>
      <c r="C329" t="s" s="35">
        <v>1823</v>
      </c>
      <c r="D329" t="s" s="35">
        <v>3158</v>
      </c>
      <c r="E329" t="s" s="35">
        <v>3307</v>
      </c>
      <c r="F329" s="36">
        <v>13</v>
      </c>
      <c r="G329" t="s" s="35">
        <v>3308</v>
      </c>
      <c r="H329" t="s" s="35">
        <v>3353</v>
      </c>
      <c r="I329" t="s" s="120">
        <v>3354</v>
      </c>
      <c r="J329" t="s" s="35">
        <v>1164</v>
      </c>
      <c r="K329" t="s" s="35">
        <v>1174</v>
      </c>
      <c r="L329" s="39"/>
      <c r="M329" t="str" s="39">
        <v>Biología</v>
      </c>
      <c r="N329" t="str" s="39">
        <v>Las células y sus funciones</v>
      </c>
      <c r="O329" t="str" s="39" cm="1">
        <f t="array" ref="O329">IF(L329="","",_xlfn.IFERROR(INDEX('Datos - Catálogo TIMSS'!$C$5:$C$107,MATCH(L329,'Datos - Catálogo TIMSS'!$A$5:$A$107,0)),"?"))</f>
      </c>
      <c r="P329" t="s" s="35">
        <v>254</v>
      </c>
      <c r="Q329" t="s" s="120">
        <v>3355</v>
      </c>
      <c r="R329" t="s" s="120">
        <v>3356</v>
      </c>
      <c r="S329" s="121" cm="1">
        <f t="array" ref="S329">_xlfn.IFERROR(ISNUMBER(SEARCH("Conocer",$R329))/(ISNUMBER(SEARCH("Conocer",$R329))+ISNUMBER(SEARCH("Aplicar",$R329))+ISNUMBER(SEARCH("Razonar",$R329))),0)</f>
        <v>0</v>
      </c>
      <c r="T329" s="121" cm="1">
        <f t="array" ref="T329">_xlfn.IFERROR(ISNUMBER(SEARCH("Aplicar",$R329))/(ISNUMBER(SEARCH("Conocer",$R329))+ISNUMBER(SEARCH("Aplicar",$R329))+ISNUMBER(SEARCH("Razonar",$R329))),0)</f>
        <v>1</v>
      </c>
      <c r="U329" s="121" cm="1">
        <f t="array" ref="U329">_xlfn.IFERROR(ISNUMBER(SEARCH("Razonar",$R329))/(ISNUMBER(SEARCH("Conocer",$R329))+ISNUMBER(SEARCH("Aplicar",$R329))+ISNUMBER(SEARCH("Razonar",$R329))),0)</f>
        <v>0</v>
      </c>
      <c r="V329" t="s" s="35">
        <v>82</v>
      </c>
      <c r="W329" t="s" s="35">
        <v>115</v>
      </c>
      <c r="X329" s="36" cm="1">
        <f t="array" ref="X329">IF(OR(_xlfn.IFERROR(INDEX('Datos - Catálogo TIMSS'!$I$5:$I$107,MATCH(K329,'Datos - Catálogo TIMSS'!$A$5:$A$107,0)),"No")="Sí",_xlfn.IFERROR(INDEX('Datos - Catálogo TIMSS'!$I$5:$I$107,MATCH(L329,'Datos - Catálogo TIMSS'!$A$5:$A$107,0)),"No")="Sí"),1,0)</f>
        <v>0</v>
      </c>
      <c r="Y329" s="36" cm="1">
        <f t="array" ref="Y329">IF(_xlfn.IFERROR(INDEX('Datos - Catálogo TIMSS'!$J$5:$J$107,MATCH(K329,'Datos - Catálogo TIMSS'!$A$5:$A$107,0)),"No")="Sí",1,0)</f>
        <v>0</v>
      </c>
      <c r="Z329" s="36" cm="1">
        <f t="array" ref="Z329">IF(_xlfn.IFERROR(INDEX('Datos - Catálogo TIMSS'!$J$5:$J$107,MATCH(L329,'Datos - Catálogo TIMSS'!$A$5:$A$107,0)),"No")="Sí",1,0)</f>
        <v>0</v>
      </c>
      <c r="AA329" t="s" s="35">
        <v>3313</v>
      </c>
      <c r="AB329" s="39"/>
      <c r="AC329" t="str" s="39">
        <v>Biología</v>
      </c>
      <c r="AD329" t="s" s="35">
        <v>1859</v>
      </c>
      <c r="AE329" t="str" s="39" cm="1">
        <f t="array" ref="AE329">IF(AD329="","",IF(LEFT(AD329,1)="1","C1",IF(LEFT(AD329,1)="2","C2",IF(LEFT(AD329,1)="3","C3",""))))</f>
        <v>C1</v>
      </c>
      <c r="AF329" t="s" s="35">
        <v>1602</v>
      </c>
      <c r="AG329" t="s" s="35">
        <v>1617</v>
      </c>
      <c r="AH329" t="s" s="35">
        <v>1602</v>
      </c>
      <c r="AI329" t="s" s="35">
        <v>1623</v>
      </c>
      <c r="AJ329" t="s" s="35">
        <v>1602</v>
      </c>
      <c r="AK329" s="39"/>
      <c r="AL329" s="39"/>
      <c r="AM329" s="39"/>
      <c r="AN329" s="39"/>
      <c r="AO329" s="39"/>
      <c r="AP329" s="39"/>
      <c r="AQ329" s="39"/>
      <c r="AR329" s="39"/>
      <c r="AS329" s="39"/>
      <c r="AT329" s="39"/>
      <c r="AU329" s="39"/>
      <c r="AV329" s="39"/>
      <c r="AW329" t="str" s="39" cm="1">
        <f t="array" ref="AW329">AF329&amp;"; "&amp;AG329&amp;"; "&amp;AH329&amp;"; "&amp;AI329&amp;"; "&amp;AJ329</f>
        <v>E1; D1; E1; D4; E1</v>
      </c>
    </row>
    <row r="330" ht="13.65" customHeight="1">
      <c r="A330" t="s" s="35">
        <v>3357</v>
      </c>
      <c r="B330" s="36">
        <v>6</v>
      </c>
      <c r="C330" t="s" s="35">
        <v>1823</v>
      </c>
      <c r="D330" t="s" s="35">
        <v>3158</v>
      </c>
      <c r="E330" t="s" s="35">
        <v>3307</v>
      </c>
      <c r="F330" s="36">
        <v>14</v>
      </c>
      <c r="G330" t="s" s="35">
        <v>3308</v>
      </c>
      <c r="H330" t="s" s="35">
        <v>3358</v>
      </c>
      <c r="I330" t="s" s="120">
        <v>3359</v>
      </c>
      <c r="J330" t="s" s="35">
        <v>1164</v>
      </c>
      <c r="K330" t="s" s="35">
        <v>1171</v>
      </c>
      <c r="L330" s="39"/>
      <c r="M330" t="str" s="39">
        <v>Biología</v>
      </c>
      <c r="N330" t="str" s="39">
        <v>Características y procesos vitales de los organismos</v>
      </c>
      <c r="O330" t="str" s="39" cm="1">
        <f t="array" ref="O330">IF(L330="","",_xlfn.IFERROR(INDEX('Datos - Catálogo TIMSS'!$C$5:$C$107,MATCH(L330,'Datos - Catálogo TIMSS'!$A$5:$A$107,0)),"?"))</f>
      </c>
      <c r="P330" t="s" s="35">
        <v>254</v>
      </c>
      <c r="Q330" t="s" s="120">
        <v>3360</v>
      </c>
      <c r="R330" t="s" s="120">
        <v>3361</v>
      </c>
      <c r="S330" s="121" cm="1">
        <f t="array" ref="S330">_xlfn.IFERROR(ISNUMBER(SEARCH("Conocer",$R330))/(ISNUMBER(SEARCH("Conocer",$R330))+ISNUMBER(SEARCH("Aplicar",$R330))+ISNUMBER(SEARCH("Razonar",$R330))),0)</f>
        <v>1</v>
      </c>
      <c r="T330" s="121" cm="1">
        <f t="array" ref="T330">_xlfn.IFERROR(ISNUMBER(SEARCH("Aplicar",$R330))/(ISNUMBER(SEARCH("Conocer",$R330))+ISNUMBER(SEARCH("Aplicar",$R330))+ISNUMBER(SEARCH("Razonar",$R330))),0)</f>
        <v>0</v>
      </c>
      <c r="U330" s="121" cm="1">
        <f t="array" ref="U330">_xlfn.IFERROR(ISNUMBER(SEARCH("Razonar",$R330))/(ISNUMBER(SEARCH("Conocer",$R330))+ISNUMBER(SEARCH("Aplicar",$R330))+ISNUMBER(SEARCH("Razonar",$R330))),0)</f>
        <v>0</v>
      </c>
      <c r="V330" t="s" s="35">
        <v>82</v>
      </c>
      <c r="W330" t="s" s="35">
        <v>115</v>
      </c>
      <c r="X330" s="36" cm="1">
        <f t="array" ref="X330">IF(OR(_xlfn.IFERROR(INDEX('Datos - Catálogo TIMSS'!$I$5:$I$107,MATCH(K330,'Datos - Catálogo TIMSS'!$A$5:$A$107,0)),"No")="Sí",_xlfn.IFERROR(INDEX('Datos - Catálogo TIMSS'!$I$5:$I$107,MATCH(L330,'Datos - Catálogo TIMSS'!$A$5:$A$107,0)),"No")="Sí"),1,0)</f>
        <v>1</v>
      </c>
      <c r="Y330" s="36" cm="1">
        <f t="array" ref="Y330">IF(_xlfn.IFERROR(INDEX('Datos - Catálogo TIMSS'!$J$5:$J$107,MATCH(K330,'Datos - Catálogo TIMSS'!$A$5:$A$107,0)),"No")="Sí",1,0)</f>
        <v>0</v>
      </c>
      <c r="Z330" s="36" cm="1">
        <f t="array" ref="Z330">IF(_xlfn.IFERROR(INDEX('Datos - Catálogo TIMSS'!$J$5:$J$107,MATCH(L330,'Datos - Catálogo TIMSS'!$A$5:$A$107,0)),"No")="Sí",1,0)</f>
        <v>0</v>
      </c>
      <c r="AA330" t="s" s="35">
        <v>3362</v>
      </c>
      <c r="AB330" s="39"/>
      <c r="AC330" t="str" s="39">
        <v>Biología</v>
      </c>
      <c r="AD330" t="s" s="35">
        <v>1859</v>
      </c>
      <c r="AE330" t="str" s="39" cm="1">
        <f t="array" ref="AE330">IF(AD330="","",IF(LEFT(AD330,1)="1","C1",IF(LEFT(AD330,1)="2","C2",IF(LEFT(AD330,1)="3","C3",""))))</f>
        <v>C1</v>
      </c>
      <c r="AF330" t="s" s="35">
        <v>1602</v>
      </c>
      <c r="AG330" t="s" s="35">
        <v>1617</v>
      </c>
      <c r="AH330" t="s" s="35">
        <v>1605</v>
      </c>
      <c r="AI330" t="s" s="35">
        <v>1623</v>
      </c>
      <c r="AJ330" t="s" s="35">
        <v>1615</v>
      </c>
      <c r="AK330" s="39"/>
      <c r="AL330" s="39"/>
      <c r="AM330" s="39"/>
      <c r="AN330" s="39"/>
      <c r="AO330" s="39"/>
      <c r="AP330" s="39"/>
      <c r="AQ330" s="39"/>
      <c r="AR330" s="39"/>
      <c r="AS330" s="39"/>
      <c r="AT330" s="39"/>
      <c r="AU330" s="39"/>
      <c r="AV330" s="39"/>
      <c r="AW330" t="str" s="39" cm="1">
        <f t="array" ref="AW330">AF330&amp;"; "&amp;AG330&amp;"; "&amp;AH330&amp;"; "&amp;AI330&amp;"; "&amp;AJ330</f>
        <v>E1; D1; E2; D4; E6</v>
      </c>
    </row>
    <row r="331" ht="13.65" customHeight="1">
      <c r="A331" t="s" s="35">
        <v>3363</v>
      </c>
      <c r="B331" s="36">
        <v>6</v>
      </c>
      <c r="C331" t="s" s="35">
        <v>1823</v>
      </c>
      <c r="D331" t="s" s="35">
        <v>3158</v>
      </c>
      <c r="E331" t="s" s="35">
        <v>3307</v>
      </c>
      <c r="F331" s="36">
        <v>15</v>
      </c>
      <c r="G331" t="s" s="35">
        <v>3308</v>
      </c>
      <c r="H331" t="s" s="35">
        <v>3358</v>
      </c>
      <c r="I331" t="s" s="120">
        <v>3364</v>
      </c>
      <c r="J331" t="s" s="35">
        <v>1164</v>
      </c>
      <c r="K331" t="s" s="35">
        <v>1174</v>
      </c>
      <c r="L331" t="s" s="35">
        <v>1171</v>
      </c>
      <c r="M331" t="str" s="39">
        <v>Biología</v>
      </c>
      <c r="N331" t="str" s="39">
        <v>Las células y sus funciones</v>
      </c>
      <c r="O331" t="str" s="39" cm="1">
        <f t="array" ref="O331">IF(L331="","",_xlfn.IFERROR(INDEX('Datos - Catálogo TIMSS'!$C$5:$C$107,MATCH(L331,'Datos - Catálogo TIMSS'!$A$5:$A$107,0)),"?"))</f>
        <v>Biología</v>
      </c>
      <c r="P331" t="s" s="35">
        <v>254</v>
      </c>
      <c r="Q331" t="s" s="120">
        <v>3365</v>
      </c>
      <c r="R331" t="s" s="120">
        <v>2798</v>
      </c>
      <c r="S331" s="121" cm="1">
        <f t="array" ref="S331">_xlfn.IFERROR(ISNUMBER(SEARCH("Conocer",$R331))/(ISNUMBER(SEARCH("Conocer",$R331))+ISNUMBER(SEARCH("Aplicar",$R331))+ISNUMBER(SEARCH("Razonar",$R331))),0)</f>
        <v>0</v>
      </c>
      <c r="T331" s="121" cm="1">
        <f t="array" ref="T331">_xlfn.IFERROR(ISNUMBER(SEARCH("Aplicar",$R331))/(ISNUMBER(SEARCH("Conocer",$R331))+ISNUMBER(SEARCH("Aplicar",$R331))+ISNUMBER(SEARCH("Razonar",$R331))),0)</f>
        <v>1</v>
      </c>
      <c r="U331" s="121" cm="1">
        <f t="array" ref="U331">_xlfn.IFERROR(ISNUMBER(SEARCH("Razonar",$R331))/(ISNUMBER(SEARCH("Conocer",$R331))+ISNUMBER(SEARCH("Aplicar",$R331))+ISNUMBER(SEARCH("Razonar",$R331))),0)</f>
        <v>0</v>
      </c>
      <c r="V331" t="s" s="35">
        <v>82</v>
      </c>
      <c r="W331" t="s" s="35">
        <v>115</v>
      </c>
      <c r="X331" s="36" cm="1">
        <f t="array" ref="X331">IF(OR(_xlfn.IFERROR(INDEX('Datos - Catálogo TIMSS'!$I$5:$I$107,MATCH(K331,'Datos - Catálogo TIMSS'!$A$5:$A$107,0)),"No")="Sí",_xlfn.IFERROR(INDEX('Datos - Catálogo TIMSS'!$I$5:$I$107,MATCH(L331,'Datos - Catálogo TIMSS'!$A$5:$A$107,0)),"No")="Sí"),1,0)</f>
        <v>1</v>
      </c>
      <c r="Y331" s="36" cm="1">
        <f t="array" ref="Y331">IF(_xlfn.IFERROR(INDEX('Datos - Catálogo TIMSS'!$J$5:$J$107,MATCH(K331,'Datos - Catálogo TIMSS'!$A$5:$A$107,0)),"No")="Sí",1,0)</f>
        <v>0</v>
      </c>
      <c r="Z331" s="36" cm="1">
        <f t="array" ref="Z331">IF(_xlfn.IFERROR(INDEX('Datos - Catálogo TIMSS'!$J$5:$J$107,MATCH(L331,'Datos - Catálogo TIMSS'!$A$5:$A$107,0)),"No")="Sí",1,0)</f>
        <v>0</v>
      </c>
      <c r="AA331" t="s" s="35">
        <v>3313</v>
      </c>
      <c r="AB331" t="s" s="35">
        <v>3362</v>
      </c>
      <c r="AC331" t="str" s="39">
        <v>Biología</v>
      </c>
      <c r="AD331" t="s" s="35">
        <v>1859</v>
      </c>
      <c r="AE331" t="str" s="39" cm="1">
        <f t="array" ref="AE331">IF(AD331="","",IF(LEFT(AD331,1)="1","C1",IF(LEFT(AD331,1)="2","C2",IF(LEFT(AD331,1)="3","C3",""))))</f>
        <v>C1</v>
      </c>
      <c r="AF331" t="s" s="35">
        <v>1602</v>
      </c>
      <c r="AG331" t="s" s="35">
        <v>1617</v>
      </c>
      <c r="AH331" t="s" s="35">
        <v>1609</v>
      </c>
      <c r="AI331" t="s" s="35">
        <v>1623</v>
      </c>
      <c r="AJ331" t="s" s="35">
        <v>1602</v>
      </c>
      <c r="AK331" s="39"/>
      <c r="AL331" s="39"/>
      <c r="AM331" s="39"/>
      <c r="AN331" s="39"/>
      <c r="AO331" s="39"/>
      <c r="AP331" s="39"/>
      <c r="AQ331" s="39"/>
      <c r="AR331" s="39"/>
      <c r="AS331" s="39"/>
      <c r="AT331" s="39"/>
      <c r="AU331" s="39"/>
      <c r="AV331" s="39"/>
      <c r="AW331" t="str" s="39" cm="1">
        <f t="array" ref="AW331">AF331&amp;"; "&amp;AG331&amp;"; "&amp;AH331&amp;"; "&amp;AI331&amp;"; "&amp;AJ331</f>
        <v>E1; D1; E4; D4; E1</v>
      </c>
    </row>
    <row r="332" ht="13.65" customHeight="1">
      <c r="A332" t="s" s="35">
        <v>3366</v>
      </c>
      <c r="B332" s="36">
        <v>6</v>
      </c>
      <c r="C332" t="s" s="35">
        <v>1823</v>
      </c>
      <c r="D332" t="s" s="35">
        <v>3158</v>
      </c>
      <c r="E332" t="s" s="35">
        <v>3307</v>
      </c>
      <c r="F332" s="36">
        <v>16</v>
      </c>
      <c r="G332" t="s" s="35">
        <v>3308</v>
      </c>
      <c r="H332" t="s" s="35">
        <v>3367</v>
      </c>
      <c r="I332" t="s" s="120">
        <v>3368</v>
      </c>
      <c r="J332" t="s" s="35">
        <v>1164</v>
      </c>
      <c r="K332" t="s" s="35">
        <v>1174</v>
      </c>
      <c r="L332" t="s" s="35">
        <v>1171</v>
      </c>
      <c r="M332" t="str" s="39">
        <v>Biología</v>
      </c>
      <c r="N332" t="str" s="39">
        <v>Las células y sus funciones</v>
      </c>
      <c r="O332" t="str" s="39" cm="1">
        <f t="array" ref="O332">IF(L332="","",_xlfn.IFERROR(INDEX('Datos - Catálogo TIMSS'!$C$5:$C$107,MATCH(L332,'Datos - Catálogo TIMSS'!$A$5:$A$107,0)),"?"))</f>
        <v>Biología</v>
      </c>
      <c r="P332" t="s" s="35">
        <v>254</v>
      </c>
      <c r="Q332" t="s" s="120">
        <v>3369</v>
      </c>
      <c r="R332" t="s" s="120">
        <v>3370</v>
      </c>
      <c r="S332" s="121" cm="1">
        <f t="array" ref="S332">_xlfn.IFERROR(ISNUMBER(SEARCH("Conocer",$R332))/(ISNUMBER(SEARCH("Conocer",$R332))+ISNUMBER(SEARCH("Aplicar",$R332))+ISNUMBER(SEARCH("Razonar",$R332))),0)</f>
        <v>0</v>
      </c>
      <c r="T332" s="121" cm="1">
        <f t="array" ref="T332">_xlfn.IFERROR(ISNUMBER(SEARCH("Aplicar",$R332))/(ISNUMBER(SEARCH("Conocer",$R332))+ISNUMBER(SEARCH("Aplicar",$R332))+ISNUMBER(SEARCH("Razonar",$R332))),0)</f>
        <v>1</v>
      </c>
      <c r="U332" s="121" cm="1">
        <f t="array" ref="U332">_xlfn.IFERROR(ISNUMBER(SEARCH("Razonar",$R332))/(ISNUMBER(SEARCH("Conocer",$R332))+ISNUMBER(SEARCH("Aplicar",$R332))+ISNUMBER(SEARCH("Razonar",$R332))),0)</f>
        <v>0</v>
      </c>
      <c r="V332" t="s" s="35">
        <v>82</v>
      </c>
      <c r="W332" t="s" s="35">
        <v>115</v>
      </c>
      <c r="X332" s="36" cm="1">
        <f t="array" ref="X332">IF(OR(_xlfn.IFERROR(INDEX('Datos - Catálogo TIMSS'!$I$5:$I$107,MATCH(K332,'Datos - Catálogo TIMSS'!$A$5:$A$107,0)),"No")="Sí",_xlfn.IFERROR(INDEX('Datos - Catálogo TIMSS'!$I$5:$I$107,MATCH(L332,'Datos - Catálogo TIMSS'!$A$5:$A$107,0)),"No")="Sí"),1,0)</f>
        <v>1</v>
      </c>
      <c r="Y332" s="36" cm="1">
        <f t="array" ref="Y332">IF(_xlfn.IFERROR(INDEX('Datos - Catálogo TIMSS'!$J$5:$J$107,MATCH(K332,'Datos - Catálogo TIMSS'!$A$5:$A$107,0)),"No")="Sí",1,0)</f>
        <v>0</v>
      </c>
      <c r="Z332" s="36" cm="1">
        <f t="array" ref="Z332">IF(_xlfn.IFERROR(INDEX('Datos - Catálogo TIMSS'!$J$5:$J$107,MATCH(L332,'Datos - Catálogo TIMSS'!$A$5:$A$107,0)),"No")="Sí",1,0)</f>
        <v>0</v>
      </c>
      <c r="AA332" t="s" s="35">
        <v>3313</v>
      </c>
      <c r="AB332" t="s" s="35">
        <v>3362</v>
      </c>
      <c r="AC332" t="str" s="39">
        <v>Biología</v>
      </c>
      <c r="AD332" t="s" s="35">
        <v>1859</v>
      </c>
      <c r="AE332" t="str" s="39" cm="1">
        <f t="array" ref="AE332">IF(AD332="","",IF(LEFT(AD332,1)="1","C1",IF(LEFT(AD332,1)="2","C2",IF(LEFT(AD332,1)="3","C3",""))))</f>
        <v>C1</v>
      </c>
      <c r="AF332" t="s" s="35">
        <v>1602</v>
      </c>
      <c r="AG332" t="s" s="35">
        <v>1617</v>
      </c>
      <c r="AH332" t="s" s="35">
        <v>1602</v>
      </c>
      <c r="AI332" t="s" s="35">
        <v>1623</v>
      </c>
      <c r="AJ332" t="s" s="35">
        <v>1602</v>
      </c>
      <c r="AK332" s="39"/>
      <c r="AL332" s="39"/>
      <c r="AM332" s="39"/>
      <c r="AN332" s="39"/>
      <c r="AO332" s="39"/>
      <c r="AP332" s="39"/>
      <c r="AQ332" s="39"/>
      <c r="AR332" s="39"/>
      <c r="AS332" s="39"/>
      <c r="AT332" s="39"/>
      <c r="AU332" s="39"/>
      <c r="AV332" s="39"/>
      <c r="AW332" t="str" s="39" cm="1">
        <f t="array" ref="AW332">AF332&amp;"; "&amp;AG332&amp;"; "&amp;AH332&amp;"; "&amp;AI332&amp;"; "&amp;AJ332</f>
        <v>E1; D1; E1; D4; E1</v>
      </c>
    </row>
    <row r="333" ht="13.65" customHeight="1">
      <c r="A333" t="s" s="35">
        <v>3371</v>
      </c>
      <c r="B333" s="36">
        <v>6</v>
      </c>
      <c r="C333" t="s" s="35">
        <v>1823</v>
      </c>
      <c r="D333" t="s" s="35">
        <v>3158</v>
      </c>
      <c r="E333" t="s" s="35">
        <v>3307</v>
      </c>
      <c r="F333" s="36">
        <v>17</v>
      </c>
      <c r="G333" t="s" s="35">
        <v>3308</v>
      </c>
      <c r="H333" t="s" s="35">
        <v>3367</v>
      </c>
      <c r="I333" t="s" s="120">
        <v>3372</v>
      </c>
      <c r="J333" t="s" s="35">
        <v>1164</v>
      </c>
      <c r="K333" t="s" s="35">
        <v>1171</v>
      </c>
      <c r="L333" t="s" s="35">
        <v>1207</v>
      </c>
      <c r="M333" t="str" s="39">
        <v>Biología</v>
      </c>
      <c r="N333" t="str" s="39">
        <v>Características y procesos vitales de los organismos</v>
      </c>
      <c r="O333" t="str" s="39" cm="1">
        <f t="array" ref="O333">IF(L333="","",_xlfn.IFERROR(INDEX('Datos - Catálogo TIMSS'!$C$5:$C$107,MATCH(L333,'Datos - Catálogo TIMSS'!$A$5:$A$107,0)),"?"))</f>
        <v>Biología</v>
      </c>
      <c r="P333" t="s" s="35">
        <v>254</v>
      </c>
      <c r="Q333" t="s" s="120">
        <v>3373</v>
      </c>
      <c r="R333" t="s" s="120">
        <v>3374</v>
      </c>
      <c r="S333" s="121" cm="1">
        <f t="array" ref="S333">_xlfn.IFERROR(ISNUMBER(SEARCH("Conocer",$R333))/(ISNUMBER(SEARCH("Conocer",$R333))+ISNUMBER(SEARCH("Aplicar",$R333))+ISNUMBER(SEARCH("Razonar",$R333))),0)</f>
        <v>0</v>
      </c>
      <c r="T333" s="121" cm="1">
        <f t="array" ref="T333">_xlfn.IFERROR(ISNUMBER(SEARCH("Aplicar",$R333))/(ISNUMBER(SEARCH("Conocer",$R333))+ISNUMBER(SEARCH("Aplicar",$R333))+ISNUMBER(SEARCH("Razonar",$R333))),0)</f>
        <v>0</v>
      </c>
      <c r="U333" s="121" cm="1">
        <f t="array" ref="U333">_xlfn.IFERROR(ISNUMBER(SEARCH("Razonar",$R333))/(ISNUMBER(SEARCH("Conocer",$R333))+ISNUMBER(SEARCH("Aplicar",$R333))+ISNUMBER(SEARCH("Razonar",$R333))),0)</f>
        <v>1</v>
      </c>
      <c r="V333" t="s" s="35">
        <v>82</v>
      </c>
      <c r="W333" t="s" s="35">
        <v>115</v>
      </c>
      <c r="X333" s="36" cm="1">
        <f t="array" ref="X333">IF(OR(_xlfn.IFERROR(INDEX('Datos - Catálogo TIMSS'!$I$5:$I$107,MATCH(K333,'Datos - Catálogo TIMSS'!$A$5:$A$107,0)),"No")="Sí",_xlfn.IFERROR(INDEX('Datos - Catálogo TIMSS'!$I$5:$I$107,MATCH(L333,'Datos - Catálogo TIMSS'!$A$5:$A$107,0)),"No")="Sí"),1,0)</f>
        <v>1</v>
      </c>
      <c r="Y333" s="36" cm="1">
        <f t="array" ref="Y333">IF(_xlfn.IFERROR(INDEX('Datos - Catálogo TIMSS'!$J$5:$J$107,MATCH(K333,'Datos - Catálogo TIMSS'!$A$5:$A$107,0)),"No")="Sí",1,0)</f>
        <v>0</v>
      </c>
      <c r="Z333" s="36" cm="1">
        <f t="array" ref="Z333">IF(_xlfn.IFERROR(INDEX('Datos - Catálogo TIMSS'!$J$5:$J$107,MATCH(L333,'Datos - Catálogo TIMSS'!$A$5:$A$107,0)),"No")="Sí",1,0)</f>
        <v>1</v>
      </c>
      <c r="AA333" t="s" s="35">
        <v>3362</v>
      </c>
      <c r="AB333" s="39"/>
      <c r="AC333" t="str" s="39">
        <v>Biología</v>
      </c>
      <c r="AD333" t="s" s="35">
        <v>1834</v>
      </c>
      <c r="AE333" t="str" s="39" cm="1">
        <f t="array" ref="AE333">IF(AD333="","",IF(LEFT(AD333,1)="1","C1",IF(LEFT(AD333,1)="2","C2",IF(LEFT(AD333,1)="3","C3",""))))</f>
        <v>C2</v>
      </c>
      <c r="AF333" t="s" s="35">
        <v>1602</v>
      </c>
      <c r="AG333" t="s" s="35">
        <v>1607</v>
      </c>
      <c r="AH333" t="s" s="35">
        <v>1602</v>
      </c>
      <c r="AI333" t="s" s="35">
        <v>1619</v>
      </c>
      <c r="AJ333" t="s" s="35">
        <v>1615</v>
      </c>
      <c r="AK333" s="39"/>
      <c r="AL333" s="39"/>
      <c r="AM333" s="39"/>
      <c r="AN333" s="39"/>
      <c r="AO333" s="39"/>
      <c r="AP333" s="39"/>
      <c r="AQ333" s="39"/>
      <c r="AR333" s="39"/>
      <c r="AS333" s="39"/>
      <c r="AT333" s="39"/>
      <c r="AU333" s="39"/>
      <c r="AV333" s="39"/>
      <c r="AW333" t="str" s="39" cm="1">
        <f t="array" ref="AW333">AF333&amp;"; "&amp;AG333&amp;"; "&amp;AH333&amp;"; "&amp;AI333&amp;"; "&amp;AJ333</f>
        <v>E1; E3; E1; D2; E6</v>
      </c>
    </row>
    <row r="334" ht="13.65" customHeight="1">
      <c r="A334" t="s" s="35">
        <v>3375</v>
      </c>
      <c r="B334" s="36">
        <v>6</v>
      </c>
      <c r="C334" t="s" s="35">
        <v>1823</v>
      </c>
      <c r="D334" t="s" s="35">
        <v>3158</v>
      </c>
      <c r="E334" t="s" s="35">
        <v>3307</v>
      </c>
      <c r="F334" s="36">
        <v>18</v>
      </c>
      <c r="G334" t="s" s="35">
        <v>3308</v>
      </c>
      <c r="H334" t="s" s="35">
        <v>3367</v>
      </c>
      <c r="I334" t="s" s="120">
        <v>3376</v>
      </c>
      <c r="J334" t="s" s="35">
        <v>1164</v>
      </c>
      <c r="K334" t="s" s="35">
        <v>1171</v>
      </c>
      <c r="L334" t="s" s="35">
        <v>615</v>
      </c>
      <c r="M334" t="str" s="39">
        <v>Biología</v>
      </c>
      <c r="N334" t="str" s="39">
        <v>Características y procesos vitales de los organismos</v>
      </c>
      <c r="O334" t="str" s="39" cm="1">
        <f t="array" ref="O334">IF(L334="","",_xlfn.IFERROR(INDEX('Datos - Catálogo TIMSS'!$C$5:$C$107,MATCH(L334,'Datos - Catálogo TIMSS'!$A$5:$A$107,0)),"?"))</f>
        <v>Química</v>
      </c>
      <c r="P334" t="s" s="35">
        <v>282</v>
      </c>
      <c r="Q334" t="s" s="120">
        <v>3377</v>
      </c>
      <c r="R334" t="s" s="120">
        <v>3378</v>
      </c>
      <c r="S334" s="121" cm="1">
        <f t="array" ref="S334">_xlfn.IFERROR(ISNUMBER(SEARCH("Conocer",$R334))/(ISNUMBER(SEARCH("Conocer",$R334))+ISNUMBER(SEARCH("Aplicar",$R334))+ISNUMBER(SEARCH("Razonar",$R334))),0)</f>
        <v>0</v>
      </c>
      <c r="T334" s="121" cm="1">
        <f t="array" ref="T334">_xlfn.IFERROR(ISNUMBER(SEARCH("Aplicar",$R334))/(ISNUMBER(SEARCH("Conocer",$R334))+ISNUMBER(SEARCH("Aplicar",$R334))+ISNUMBER(SEARCH("Razonar",$R334))),0)</f>
        <v>1</v>
      </c>
      <c r="U334" s="121" cm="1">
        <f t="array" ref="U334">_xlfn.IFERROR(ISNUMBER(SEARCH("Razonar",$R334))/(ISNUMBER(SEARCH("Conocer",$R334))+ISNUMBER(SEARCH("Aplicar",$R334))+ISNUMBER(SEARCH("Razonar",$R334))),0)</f>
        <v>0</v>
      </c>
      <c r="V334" t="s" s="35">
        <v>82</v>
      </c>
      <c r="W334" t="s" s="35">
        <v>115</v>
      </c>
      <c r="X334" s="36" cm="1">
        <f t="array" ref="X334">IF(OR(_xlfn.IFERROR(INDEX('Datos - Catálogo TIMSS'!$I$5:$I$107,MATCH(K334,'Datos - Catálogo TIMSS'!$A$5:$A$107,0)),"No")="Sí",_xlfn.IFERROR(INDEX('Datos - Catálogo TIMSS'!$I$5:$I$107,MATCH(L334,'Datos - Catálogo TIMSS'!$A$5:$A$107,0)),"No")="Sí"),1,0)</f>
        <v>1</v>
      </c>
      <c r="Y334" s="36" cm="1">
        <f t="array" ref="Y334">IF(_xlfn.IFERROR(INDEX('Datos - Catálogo TIMSS'!$J$5:$J$107,MATCH(K334,'Datos - Catálogo TIMSS'!$A$5:$A$107,0)),"No")="Sí",1,0)</f>
        <v>0</v>
      </c>
      <c r="Z334" s="36" cm="1">
        <f t="array" ref="Z334">IF(_xlfn.IFERROR(INDEX('Datos - Catálogo TIMSS'!$J$5:$J$107,MATCH(L334,'Datos - Catálogo TIMSS'!$A$5:$A$107,0)),"No")="Sí",1,0)</f>
        <v>0</v>
      </c>
      <c r="AA334" t="s" s="35">
        <v>3362</v>
      </c>
      <c r="AB334" t="s" s="35">
        <v>3379</v>
      </c>
      <c r="AC334" t="str" s="39">
        <v>Biología</v>
      </c>
      <c r="AD334" t="s" s="35">
        <v>1834</v>
      </c>
      <c r="AE334" t="str" s="39" cm="1">
        <f t="array" ref="AE334">IF(AD334="","",IF(LEFT(AD334,1)="1","C1",IF(LEFT(AD334,1)="2","C2",IF(LEFT(AD334,1)="3","C3",""))))</f>
        <v>C2</v>
      </c>
      <c r="AF334" t="s" s="35">
        <v>1602</v>
      </c>
      <c r="AG334" t="s" s="35">
        <v>1607</v>
      </c>
      <c r="AH334" t="s" s="35">
        <v>1602</v>
      </c>
      <c r="AI334" t="s" s="35">
        <v>1623</v>
      </c>
      <c r="AJ334" t="s" s="35">
        <v>1602</v>
      </c>
      <c r="AK334" s="39"/>
      <c r="AL334" s="39"/>
      <c r="AM334" s="39"/>
      <c r="AN334" s="39"/>
      <c r="AO334" s="39"/>
      <c r="AP334" s="39"/>
      <c r="AQ334" s="39"/>
      <c r="AR334" s="39"/>
      <c r="AS334" s="39"/>
      <c r="AT334" s="39"/>
      <c r="AU334" s="39"/>
      <c r="AV334" s="39"/>
      <c r="AW334" t="str" s="39" cm="1">
        <f t="array" ref="AW334">AF334&amp;"; "&amp;AG334&amp;"; "&amp;AH334&amp;"; "&amp;AI334&amp;"; "&amp;AJ334</f>
        <v>E1; E3; E1; D4; E1</v>
      </c>
    </row>
    <row r="335" ht="13.65" customHeight="1">
      <c r="A335" t="s" s="35">
        <v>3380</v>
      </c>
      <c r="B335" s="36">
        <v>6</v>
      </c>
      <c r="C335" t="s" s="35">
        <v>1823</v>
      </c>
      <c r="D335" t="s" s="35">
        <v>3158</v>
      </c>
      <c r="E335" t="s" s="35">
        <v>3307</v>
      </c>
      <c r="F335" s="36">
        <v>19</v>
      </c>
      <c r="G335" t="s" s="35">
        <v>3308</v>
      </c>
      <c r="H335" t="s" s="35">
        <v>3367</v>
      </c>
      <c r="I335" t="s" s="120">
        <v>3381</v>
      </c>
      <c r="J335" t="s" s="35">
        <v>1164</v>
      </c>
      <c r="K335" t="s" s="35">
        <v>1171</v>
      </c>
      <c r="L335" s="39"/>
      <c r="M335" t="str" s="39">
        <v>Biología</v>
      </c>
      <c r="N335" t="str" s="39">
        <v>Características y procesos vitales de los organismos</v>
      </c>
      <c r="O335" t="str" s="39" cm="1">
        <f t="array" ref="O335">IF(L335="","",_xlfn.IFERROR(INDEX('Datos - Catálogo TIMSS'!$C$5:$C$107,MATCH(L335,'Datos - Catálogo TIMSS'!$A$5:$A$107,0)),"?"))</f>
      </c>
      <c r="P335" t="s" s="35">
        <v>254</v>
      </c>
      <c r="Q335" t="s" s="120">
        <v>3382</v>
      </c>
      <c r="R335" t="s" s="120">
        <v>3361</v>
      </c>
      <c r="S335" s="121" cm="1">
        <f t="array" ref="S335">_xlfn.IFERROR(ISNUMBER(SEARCH("Conocer",$R335))/(ISNUMBER(SEARCH("Conocer",$R335))+ISNUMBER(SEARCH("Aplicar",$R335))+ISNUMBER(SEARCH("Razonar",$R335))),0)</f>
        <v>1</v>
      </c>
      <c r="T335" s="121" cm="1">
        <f t="array" ref="T335">_xlfn.IFERROR(ISNUMBER(SEARCH("Aplicar",$R335))/(ISNUMBER(SEARCH("Conocer",$R335))+ISNUMBER(SEARCH("Aplicar",$R335))+ISNUMBER(SEARCH("Razonar",$R335))),0)</f>
        <v>0</v>
      </c>
      <c r="U335" s="121" cm="1">
        <f t="array" ref="U335">_xlfn.IFERROR(ISNUMBER(SEARCH("Razonar",$R335))/(ISNUMBER(SEARCH("Conocer",$R335))+ISNUMBER(SEARCH("Aplicar",$R335))+ISNUMBER(SEARCH("Razonar",$R335))),0)</f>
        <v>0</v>
      </c>
      <c r="V335" t="s" s="35">
        <v>82</v>
      </c>
      <c r="W335" t="s" s="35">
        <v>115</v>
      </c>
      <c r="X335" s="36" cm="1">
        <f t="array" ref="X335">IF(OR(_xlfn.IFERROR(INDEX('Datos - Catálogo TIMSS'!$I$5:$I$107,MATCH(K335,'Datos - Catálogo TIMSS'!$A$5:$A$107,0)),"No")="Sí",_xlfn.IFERROR(INDEX('Datos - Catálogo TIMSS'!$I$5:$I$107,MATCH(L335,'Datos - Catálogo TIMSS'!$A$5:$A$107,0)),"No")="Sí"),1,0)</f>
        <v>1</v>
      </c>
      <c r="Y335" s="36" cm="1">
        <f t="array" ref="Y335">IF(_xlfn.IFERROR(INDEX('Datos - Catálogo TIMSS'!$J$5:$J$107,MATCH(K335,'Datos - Catálogo TIMSS'!$A$5:$A$107,0)),"No")="Sí",1,0)</f>
        <v>0</v>
      </c>
      <c r="Z335" s="36" cm="1">
        <f t="array" ref="Z335">IF(_xlfn.IFERROR(INDEX('Datos - Catálogo TIMSS'!$J$5:$J$107,MATCH(L335,'Datos - Catálogo TIMSS'!$A$5:$A$107,0)),"No")="Sí",1,0)</f>
        <v>0</v>
      </c>
      <c r="AA335" t="s" s="35">
        <v>3362</v>
      </c>
      <c r="AB335" s="39"/>
      <c r="AC335" t="str" s="39">
        <v>Biología</v>
      </c>
      <c r="AD335" t="s" s="35">
        <v>1859</v>
      </c>
      <c r="AE335" t="str" s="39" cm="1">
        <f t="array" ref="AE335">IF(AD335="","",IF(LEFT(AD335,1)="1","C1",IF(LEFT(AD335,1)="2","C2",IF(LEFT(AD335,1)="3","C3",""))))</f>
        <v>C1</v>
      </c>
      <c r="AF335" t="s" s="35">
        <v>1602</v>
      </c>
      <c r="AG335" t="s" s="35">
        <v>1617</v>
      </c>
      <c r="AH335" t="s" s="35">
        <v>1605</v>
      </c>
      <c r="AI335" t="s" s="35">
        <v>1623</v>
      </c>
      <c r="AJ335" t="s" s="35">
        <v>1615</v>
      </c>
      <c r="AK335" s="39"/>
      <c r="AL335" s="39"/>
      <c r="AM335" s="39"/>
      <c r="AN335" s="39"/>
      <c r="AO335" s="39"/>
      <c r="AP335" s="39"/>
      <c r="AQ335" s="39"/>
      <c r="AR335" s="39"/>
      <c r="AS335" s="39"/>
      <c r="AT335" s="39"/>
      <c r="AU335" s="39"/>
      <c r="AV335" s="39"/>
      <c r="AW335" t="str" s="39" cm="1">
        <f t="array" ref="AW335">AF335&amp;"; "&amp;AG335&amp;"; "&amp;AH335&amp;"; "&amp;AI335&amp;"; "&amp;AJ335</f>
        <v>E1; D1; E2; D4; E6</v>
      </c>
    </row>
    <row r="336" ht="13.65" customHeight="1">
      <c r="A336" t="s" s="35">
        <v>3383</v>
      </c>
      <c r="B336" s="36">
        <v>6</v>
      </c>
      <c r="C336" t="s" s="35">
        <v>1823</v>
      </c>
      <c r="D336" t="s" s="35">
        <v>3158</v>
      </c>
      <c r="E336" t="s" s="35">
        <v>3307</v>
      </c>
      <c r="F336" s="36">
        <v>20</v>
      </c>
      <c r="G336" t="s" s="35">
        <v>3308</v>
      </c>
      <c r="H336" t="s" s="35">
        <v>3384</v>
      </c>
      <c r="I336" t="s" s="120">
        <v>3385</v>
      </c>
      <c r="J336" t="s" s="35">
        <v>1164</v>
      </c>
      <c r="K336" t="s" s="35">
        <v>1174</v>
      </c>
      <c r="L336" s="39"/>
      <c r="M336" t="str" s="39">
        <v>Biología</v>
      </c>
      <c r="N336" t="str" s="39">
        <v>Las células y sus funciones</v>
      </c>
      <c r="O336" t="str" s="39" cm="1">
        <f t="array" ref="O336">IF(L336="","",_xlfn.IFERROR(INDEX('Datos - Catálogo TIMSS'!$C$5:$C$107,MATCH(L336,'Datos - Catálogo TIMSS'!$A$5:$A$107,0)),"?"))</f>
      </c>
      <c r="P336" t="s" s="35">
        <v>282</v>
      </c>
      <c r="Q336" t="s" s="120">
        <v>3386</v>
      </c>
      <c r="R336" t="s" s="120">
        <v>3387</v>
      </c>
      <c r="S336" s="121" cm="1">
        <f t="array" ref="S336">_xlfn.IFERROR(ISNUMBER(SEARCH("Conocer",$R336))/(ISNUMBER(SEARCH("Conocer",$R336))+ISNUMBER(SEARCH("Aplicar",$R336))+ISNUMBER(SEARCH("Razonar",$R336))),0)</f>
        <v>0</v>
      </c>
      <c r="T336" s="121" cm="1">
        <f t="array" ref="T336">_xlfn.IFERROR(ISNUMBER(SEARCH("Aplicar",$R336))/(ISNUMBER(SEARCH("Conocer",$R336))+ISNUMBER(SEARCH("Aplicar",$R336))+ISNUMBER(SEARCH("Razonar",$R336))),0)</f>
        <v>1</v>
      </c>
      <c r="U336" s="121" cm="1">
        <f t="array" ref="U336">_xlfn.IFERROR(ISNUMBER(SEARCH("Razonar",$R336))/(ISNUMBER(SEARCH("Conocer",$R336))+ISNUMBER(SEARCH("Aplicar",$R336))+ISNUMBER(SEARCH("Razonar",$R336))),0)</f>
        <v>0</v>
      </c>
      <c r="V336" t="s" s="35">
        <v>82</v>
      </c>
      <c r="W336" t="s" s="35">
        <v>115</v>
      </c>
      <c r="X336" s="36" cm="1">
        <f t="array" ref="X336">IF(OR(_xlfn.IFERROR(INDEX('Datos - Catálogo TIMSS'!$I$5:$I$107,MATCH(K336,'Datos - Catálogo TIMSS'!$A$5:$A$107,0)),"No")="Sí",_xlfn.IFERROR(INDEX('Datos - Catálogo TIMSS'!$I$5:$I$107,MATCH(L336,'Datos - Catálogo TIMSS'!$A$5:$A$107,0)),"No")="Sí"),1,0)</f>
        <v>0</v>
      </c>
      <c r="Y336" s="36" cm="1">
        <f t="array" ref="Y336">IF(_xlfn.IFERROR(INDEX('Datos - Catálogo TIMSS'!$J$5:$J$107,MATCH(K336,'Datos - Catálogo TIMSS'!$A$5:$A$107,0)),"No")="Sí",1,0)</f>
        <v>0</v>
      </c>
      <c r="Z336" s="36" cm="1">
        <f t="array" ref="Z336">IF(_xlfn.IFERROR(INDEX('Datos - Catálogo TIMSS'!$J$5:$J$107,MATCH(L336,'Datos - Catálogo TIMSS'!$A$5:$A$107,0)),"No")="Sí",1,0)</f>
        <v>0</v>
      </c>
      <c r="AA336" t="s" s="35">
        <v>3313</v>
      </c>
      <c r="AB336" s="39"/>
      <c r="AC336" t="str" s="39">
        <v>Biología</v>
      </c>
      <c r="AD336" t="s" s="35">
        <v>1859</v>
      </c>
      <c r="AE336" t="str" s="39" cm="1">
        <f t="array" ref="AE336">IF(AD336="","",IF(LEFT(AD336,1)="1","C1",IF(LEFT(AD336,1)="2","C2",IF(LEFT(AD336,1)="3","C3",""))))</f>
        <v>C1</v>
      </c>
      <c r="AF336" t="s" s="35">
        <v>1602</v>
      </c>
      <c r="AG336" t="s" s="35">
        <v>1617</v>
      </c>
      <c r="AH336" t="s" s="35">
        <v>1609</v>
      </c>
      <c r="AI336" t="s" s="35">
        <v>1609</v>
      </c>
      <c r="AJ336" t="s" s="35">
        <v>1602</v>
      </c>
      <c r="AK336" s="39"/>
      <c r="AL336" s="39"/>
      <c r="AM336" s="39"/>
      <c r="AN336" s="39"/>
      <c r="AO336" s="39"/>
      <c r="AP336" s="39"/>
      <c r="AQ336" s="39"/>
      <c r="AR336" s="39"/>
      <c r="AS336" s="39"/>
      <c r="AT336" s="39"/>
      <c r="AU336" s="39"/>
      <c r="AV336" s="39"/>
      <c r="AW336" t="str" s="39" cm="1">
        <f t="array" ref="AW336">AF336&amp;"; "&amp;AG336&amp;"; "&amp;AH336&amp;"; "&amp;AI336&amp;"; "&amp;AJ336</f>
        <v>E1; D1; E4; E4; E1</v>
      </c>
    </row>
    <row r="337" ht="13.65" customHeight="1">
      <c r="A337" t="s" s="35">
        <v>3388</v>
      </c>
      <c r="B337" s="36">
        <v>6</v>
      </c>
      <c r="C337" t="s" s="35">
        <v>1823</v>
      </c>
      <c r="D337" t="s" s="35">
        <v>3158</v>
      </c>
      <c r="E337" t="s" s="35">
        <v>3307</v>
      </c>
      <c r="F337" s="36">
        <v>21</v>
      </c>
      <c r="G337" t="s" s="35">
        <v>3308</v>
      </c>
      <c r="H337" t="s" s="35">
        <v>3389</v>
      </c>
      <c r="I337" t="s" s="120">
        <v>3390</v>
      </c>
      <c r="J337" t="s" s="35">
        <v>1164</v>
      </c>
      <c r="K337" t="s" s="35">
        <v>1174</v>
      </c>
      <c r="L337" s="39"/>
      <c r="M337" t="str" s="39">
        <v>Biología</v>
      </c>
      <c r="N337" t="str" s="39">
        <v>Las células y sus funciones</v>
      </c>
      <c r="O337" t="str" s="39" cm="1">
        <f t="array" ref="O337">IF(L337="","",_xlfn.IFERROR(INDEX('Datos - Catálogo TIMSS'!$C$5:$C$107,MATCH(L337,'Datos - Catálogo TIMSS'!$A$5:$A$107,0)),"?"))</f>
      </c>
      <c r="P337" t="s" s="35">
        <v>291</v>
      </c>
      <c r="Q337" t="s" s="120">
        <v>3391</v>
      </c>
      <c r="R337" t="s" s="120">
        <v>1990</v>
      </c>
      <c r="S337" s="121" cm="1">
        <f t="array" ref="S337">_xlfn.IFERROR(ISNUMBER(SEARCH("Conocer",$R337))/(ISNUMBER(SEARCH("Conocer",$R337))+ISNUMBER(SEARCH("Aplicar",$R337))+ISNUMBER(SEARCH("Razonar",$R337))),0)</f>
        <v>1</v>
      </c>
      <c r="T337" s="121" cm="1">
        <f t="array" ref="T337">_xlfn.IFERROR(ISNUMBER(SEARCH("Aplicar",$R337))/(ISNUMBER(SEARCH("Conocer",$R337))+ISNUMBER(SEARCH("Aplicar",$R337))+ISNUMBER(SEARCH("Razonar",$R337))),0)</f>
        <v>0</v>
      </c>
      <c r="U337" s="121" cm="1">
        <f t="array" ref="U337">_xlfn.IFERROR(ISNUMBER(SEARCH("Razonar",$R337))/(ISNUMBER(SEARCH("Conocer",$R337))+ISNUMBER(SEARCH("Aplicar",$R337))+ISNUMBER(SEARCH("Razonar",$R337))),0)</f>
        <v>0</v>
      </c>
      <c r="V337" t="s" s="35">
        <v>82</v>
      </c>
      <c r="W337" t="s" s="35">
        <v>115</v>
      </c>
      <c r="X337" s="36" cm="1">
        <f t="array" ref="X337">IF(OR(_xlfn.IFERROR(INDEX('Datos - Catálogo TIMSS'!$I$5:$I$107,MATCH(K337,'Datos - Catálogo TIMSS'!$A$5:$A$107,0)),"No")="Sí",_xlfn.IFERROR(INDEX('Datos - Catálogo TIMSS'!$I$5:$I$107,MATCH(L337,'Datos - Catálogo TIMSS'!$A$5:$A$107,0)),"No")="Sí"),1,0)</f>
        <v>0</v>
      </c>
      <c r="Y337" s="36" cm="1">
        <f t="array" ref="Y337">IF(_xlfn.IFERROR(INDEX('Datos - Catálogo TIMSS'!$J$5:$J$107,MATCH(K337,'Datos - Catálogo TIMSS'!$A$5:$A$107,0)),"No")="Sí",1,0)</f>
        <v>0</v>
      </c>
      <c r="Z337" s="36" cm="1">
        <f t="array" ref="Z337">IF(_xlfn.IFERROR(INDEX('Datos - Catálogo TIMSS'!$J$5:$J$107,MATCH(L337,'Datos - Catálogo TIMSS'!$A$5:$A$107,0)),"No")="Sí",1,0)</f>
        <v>0</v>
      </c>
      <c r="AA337" t="s" s="35">
        <v>3313</v>
      </c>
      <c r="AB337" s="39"/>
      <c r="AC337" t="str" s="39">
        <v>Biología</v>
      </c>
      <c r="AD337" t="s" s="35">
        <v>1859</v>
      </c>
      <c r="AE337" t="str" s="39" cm="1">
        <f t="array" ref="AE337">IF(AD337="","",IF(LEFT(AD337,1)="1","C1",IF(LEFT(AD337,1)="2","C2",IF(LEFT(AD337,1)="3","C3",""))))</f>
        <v>C1</v>
      </c>
      <c r="AF337" t="s" s="35">
        <v>1602</v>
      </c>
      <c r="AG337" t="s" s="35">
        <v>1617</v>
      </c>
      <c r="AH337" t="s" s="35">
        <v>1602</v>
      </c>
      <c r="AI337" t="s" s="35">
        <v>1623</v>
      </c>
      <c r="AJ337" t="s" s="35">
        <v>1602</v>
      </c>
      <c r="AK337" s="39"/>
      <c r="AL337" s="39"/>
      <c r="AM337" s="39"/>
      <c r="AN337" s="39"/>
      <c r="AO337" s="39"/>
      <c r="AP337" s="39"/>
      <c r="AQ337" s="39"/>
      <c r="AR337" s="39"/>
      <c r="AS337" s="39"/>
      <c r="AT337" s="39"/>
      <c r="AU337" s="39"/>
      <c r="AV337" s="39"/>
      <c r="AW337" t="str" s="39" cm="1">
        <f t="array" ref="AW337">AF337&amp;"; "&amp;AG337&amp;"; "&amp;AH337&amp;"; "&amp;AI337&amp;"; "&amp;AJ337</f>
        <v>E1; D1; E1; D4; E1</v>
      </c>
    </row>
    <row r="338" ht="13.65" customHeight="1">
      <c r="A338" t="s" s="35">
        <v>3392</v>
      </c>
      <c r="B338" s="36">
        <v>6</v>
      </c>
      <c r="C338" t="s" s="35">
        <v>1823</v>
      </c>
      <c r="D338" t="s" s="35">
        <v>3158</v>
      </c>
      <c r="E338" t="s" s="35">
        <v>3307</v>
      </c>
      <c r="F338" s="36">
        <v>22</v>
      </c>
      <c r="G338" t="s" s="35">
        <v>3308</v>
      </c>
      <c r="H338" t="s" s="35">
        <v>3389</v>
      </c>
      <c r="I338" t="s" s="120">
        <v>3393</v>
      </c>
      <c r="J338" t="s" s="35">
        <v>1164</v>
      </c>
      <c r="K338" t="s" s="35">
        <v>1174</v>
      </c>
      <c r="L338" s="39"/>
      <c r="M338" t="str" s="39">
        <v>Biología</v>
      </c>
      <c r="N338" t="str" s="39">
        <v>Las células y sus funciones</v>
      </c>
      <c r="O338" t="str" s="39" cm="1">
        <f t="array" ref="O338">IF(L338="","",_xlfn.IFERROR(INDEX('Datos - Catálogo TIMSS'!$C$5:$C$107,MATCH(L338,'Datos - Catálogo TIMSS'!$A$5:$A$107,0)),"?"))</f>
      </c>
      <c r="P338" t="s" s="35">
        <v>291</v>
      </c>
      <c r="Q338" t="s" s="120">
        <v>3394</v>
      </c>
      <c r="R338" t="s" s="120">
        <v>3023</v>
      </c>
      <c r="S338" s="121" cm="1">
        <f t="array" ref="S338">_xlfn.IFERROR(ISNUMBER(SEARCH("Conocer",$R338))/(ISNUMBER(SEARCH("Conocer",$R338))+ISNUMBER(SEARCH("Aplicar",$R338))+ISNUMBER(SEARCH("Razonar",$R338))),0)</f>
        <v>0</v>
      </c>
      <c r="T338" s="121" cm="1">
        <f t="array" ref="T338">_xlfn.IFERROR(ISNUMBER(SEARCH("Aplicar",$R338))/(ISNUMBER(SEARCH("Conocer",$R338))+ISNUMBER(SEARCH("Aplicar",$R338))+ISNUMBER(SEARCH("Razonar",$R338))),0)</f>
        <v>1</v>
      </c>
      <c r="U338" s="121" cm="1">
        <f t="array" ref="U338">_xlfn.IFERROR(ISNUMBER(SEARCH("Razonar",$R338))/(ISNUMBER(SEARCH("Conocer",$R338))+ISNUMBER(SEARCH("Aplicar",$R338))+ISNUMBER(SEARCH("Razonar",$R338))),0)</f>
        <v>0</v>
      </c>
      <c r="V338" t="s" s="35">
        <v>82</v>
      </c>
      <c r="W338" t="s" s="35">
        <v>115</v>
      </c>
      <c r="X338" s="36" cm="1">
        <f t="array" ref="X338">IF(OR(_xlfn.IFERROR(INDEX('Datos - Catálogo TIMSS'!$I$5:$I$107,MATCH(K338,'Datos - Catálogo TIMSS'!$A$5:$A$107,0)),"No")="Sí",_xlfn.IFERROR(INDEX('Datos - Catálogo TIMSS'!$I$5:$I$107,MATCH(L338,'Datos - Catálogo TIMSS'!$A$5:$A$107,0)),"No")="Sí"),1,0)</f>
        <v>0</v>
      </c>
      <c r="Y338" s="36" cm="1">
        <f t="array" ref="Y338">IF(_xlfn.IFERROR(INDEX('Datos - Catálogo TIMSS'!$J$5:$J$107,MATCH(K338,'Datos - Catálogo TIMSS'!$A$5:$A$107,0)),"No")="Sí",1,0)</f>
        <v>0</v>
      </c>
      <c r="Z338" s="36" cm="1">
        <f t="array" ref="Z338">IF(_xlfn.IFERROR(INDEX('Datos - Catálogo TIMSS'!$J$5:$J$107,MATCH(L338,'Datos - Catálogo TIMSS'!$A$5:$A$107,0)),"No")="Sí",1,0)</f>
        <v>0</v>
      </c>
      <c r="AA338" t="s" s="35">
        <v>3313</v>
      </c>
      <c r="AB338" s="39"/>
      <c r="AC338" t="str" s="39">
        <v>Biología</v>
      </c>
      <c r="AD338" t="s" s="35">
        <v>1834</v>
      </c>
      <c r="AE338" t="str" s="39" cm="1">
        <f t="array" ref="AE338">IF(AD338="","",IF(LEFT(AD338,1)="1","C1",IF(LEFT(AD338,1)="2","C2",IF(LEFT(AD338,1)="3","C3",""))))</f>
        <v>C2</v>
      </c>
      <c r="AF338" t="s" s="35">
        <v>1602</v>
      </c>
      <c r="AG338" t="s" s="35">
        <v>1617</v>
      </c>
      <c r="AH338" t="s" s="35">
        <v>1602</v>
      </c>
      <c r="AI338" t="s" s="35">
        <v>1623</v>
      </c>
      <c r="AJ338" t="s" s="35">
        <v>1602</v>
      </c>
      <c r="AK338" s="39"/>
      <c r="AL338" s="39"/>
      <c r="AM338" s="39"/>
      <c r="AN338" s="39"/>
      <c r="AO338" s="39"/>
      <c r="AP338" s="39"/>
      <c r="AQ338" s="39"/>
      <c r="AR338" s="39"/>
      <c r="AS338" s="39"/>
      <c r="AT338" s="39"/>
      <c r="AU338" s="39"/>
      <c r="AV338" s="39"/>
      <c r="AW338" t="str" s="39" cm="1">
        <f t="array" ref="AW338">AF338&amp;"; "&amp;AG338&amp;"; "&amp;AH338&amp;"; "&amp;AI338&amp;"; "&amp;AJ338</f>
        <v>E1; D1; E1; D4; E1</v>
      </c>
    </row>
    <row r="339" ht="13.65" customHeight="1">
      <c r="A339" t="s" s="35">
        <v>3395</v>
      </c>
      <c r="B339" s="36">
        <v>6</v>
      </c>
      <c r="C339" t="s" s="35">
        <v>1823</v>
      </c>
      <c r="D339" t="s" s="35">
        <v>3158</v>
      </c>
      <c r="E339" t="s" s="35">
        <v>3307</v>
      </c>
      <c r="F339" s="36">
        <v>23</v>
      </c>
      <c r="G339" t="s" s="35">
        <v>3308</v>
      </c>
      <c r="H339" t="s" s="35">
        <v>3389</v>
      </c>
      <c r="I339" t="s" s="120">
        <v>3396</v>
      </c>
      <c r="J339" t="s" s="35">
        <v>1164</v>
      </c>
      <c r="K339" t="s" s="35">
        <v>1163</v>
      </c>
      <c r="L339" t="s" s="35">
        <v>1207</v>
      </c>
      <c r="M339" t="str" s="39">
        <v>Biología</v>
      </c>
      <c r="N339" t="str" s="39">
        <v>Características y procesos vitales de los organismos</v>
      </c>
      <c r="O339" t="str" s="39" cm="1">
        <f t="array" ref="O339">IF(L339="","",_xlfn.IFERROR(INDEX('Datos - Catálogo TIMSS'!$C$5:$C$107,MATCH(L339,'Datos - Catálogo TIMSS'!$A$5:$A$107,0)),"?"))</f>
        <v>Biología</v>
      </c>
      <c r="P339" t="s" s="35">
        <v>291</v>
      </c>
      <c r="Q339" t="s" s="120">
        <v>3397</v>
      </c>
      <c r="R339" t="s" s="120">
        <v>3398</v>
      </c>
      <c r="S339" s="121" cm="1">
        <f t="array" ref="S339">_xlfn.IFERROR(ISNUMBER(SEARCH("Conocer",$R339))/(ISNUMBER(SEARCH("Conocer",$R339))+ISNUMBER(SEARCH("Aplicar",$R339))+ISNUMBER(SEARCH("Razonar",$R339))),0)</f>
        <v>0</v>
      </c>
      <c r="T339" s="121" cm="1">
        <f t="array" ref="T339">_xlfn.IFERROR(ISNUMBER(SEARCH("Aplicar",$R339))/(ISNUMBER(SEARCH("Conocer",$R339))+ISNUMBER(SEARCH("Aplicar",$R339))+ISNUMBER(SEARCH("Razonar",$R339))),0)</f>
        <v>1</v>
      </c>
      <c r="U339" s="121" cm="1">
        <f t="array" ref="U339">_xlfn.IFERROR(ISNUMBER(SEARCH("Razonar",$R339))/(ISNUMBER(SEARCH("Conocer",$R339))+ISNUMBER(SEARCH("Aplicar",$R339))+ISNUMBER(SEARCH("Razonar",$R339))),0)</f>
        <v>0</v>
      </c>
      <c r="V339" t="s" s="35">
        <v>82</v>
      </c>
      <c r="W339" t="s" s="35">
        <v>115</v>
      </c>
      <c r="X339" s="36" cm="1">
        <f t="array" ref="X339">IF(OR(_xlfn.IFERROR(INDEX('Datos - Catálogo TIMSS'!$I$5:$I$107,MATCH(K339,'Datos - Catálogo TIMSS'!$A$5:$A$107,0)),"No")="Sí",_xlfn.IFERROR(INDEX('Datos - Catálogo TIMSS'!$I$5:$I$107,MATCH(L339,'Datos - Catálogo TIMSS'!$A$5:$A$107,0)),"No")="Sí"),1,0)</f>
        <v>0</v>
      </c>
      <c r="Y339" s="36" cm="1">
        <f t="array" ref="Y339">IF(_xlfn.IFERROR(INDEX('Datos - Catálogo TIMSS'!$J$5:$J$107,MATCH(K339,'Datos - Catálogo TIMSS'!$A$5:$A$107,0)),"No")="Sí",1,0)</f>
        <v>0</v>
      </c>
      <c r="Z339" s="36" cm="1">
        <f t="array" ref="Z339">IF(_xlfn.IFERROR(INDEX('Datos - Catálogo TIMSS'!$J$5:$J$107,MATCH(L339,'Datos - Catálogo TIMSS'!$A$5:$A$107,0)),"No")="Sí",1,0)</f>
        <v>1</v>
      </c>
      <c r="AA339" t="s" s="35">
        <v>3399</v>
      </c>
      <c r="AB339" s="39"/>
      <c r="AC339" t="str" s="39">
        <v>Biología</v>
      </c>
      <c r="AD339" t="s" s="35">
        <v>1834</v>
      </c>
      <c r="AE339" t="str" s="39" cm="1">
        <f t="array" ref="AE339">IF(AD339="","",IF(LEFT(AD339,1)="1","C1",IF(LEFT(AD339,1)="2","C2",IF(LEFT(AD339,1)="3","C3",""))))</f>
        <v>C2</v>
      </c>
      <c r="AF339" t="s" s="35">
        <v>1602</v>
      </c>
      <c r="AG339" t="s" s="35">
        <v>1617</v>
      </c>
      <c r="AH339" t="s" s="35">
        <v>1602</v>
      </c>
      <c r="AI339" t="s" s="35">
        <v>1623</v>
      </c>
      <c r="AJ339" t="s" s="35">
        <v>1615</v>
      </c>
      <c r="AK339" s="39"/>
      <c r="AL339" s="39"/>
      <c r="AM339" s="39"/>
      <c r="AN339" s="39"/>
      <c r="AO339" s="39"/>
      <c r="AP339" s="39"/>
      <c r="AQ339" s="39"/>
      <c r="AR339" s="39"/>
      <c r="AS339" s="39"/>
      <c r="AT339" s="39"/>
      <c r="AU339" s="39"/>
      <c r="AV339" s="39"/>
      <c r="AW339" t="str" s="39" cm="1">
        <f t="array" ref="AW339">AF339&amp;"; "&amp;AG339&amp;"; "&amp;AH339&amp;"; "&amp;AI339&amp;"; "&amp;AJ339</f>
        <v>E1; D1; E1; D4; E6</v>
      </c>
    </row>
    <row r="340" ht="13.65" customHeight="1">
      <c r="A340" t="s" s="35">
        <v>3400</v>
      </c>
      <c r="B340" s="36">
        <v>6</v>
      </c>
      <c r="C340" t="s" s="35">
        <v>1823</v>
      </c>
      <c r="D340" t="s" s="35">
        <v>3158</v>
      </c>
      <c r="E340" t="s" s="35">
        <v>3307</v>
      </c>
      <c r="F340" s="36">
        <v>24</v>
      </c>
      <c r="G340" t="s" s="35">
        <v>3308</v>
      </c>
      <c r="H340" t="s" s="35">
        <v>3389</v>
      </c>
      <c r="I340" t="s" s="120">
        <v>3401</v>
      </c>
      <c r="J340" t="s" s="35">
        <v>1164</v>
      </c>
      <c r="K340" t="s" s="35">
        <v>1174</v>
      </c>
      <c r="L340" s="39"/>
      <c r="M340" t="str" s="39">
        <v>Biología</v>
      </c>
      <c r="N340" t="str" s="39">
        <v>Las células y sus funciones</v>
      </c>
      <c r="O340" t="str" s="39" cm="1">
        <f t="array" ref="O340">IF(L340="","",_xlfn.IFERROR(INDEX('Datos - Catálogo TIMSS'!$C$5:$C$107,MATCH(L340,'Datos - Catálogo TIMSS'!$A$5:$A$107,0)),"?"))</f>
      </c>
      <c r="P340" t="s" s="35">
        <v>291</v>
      </c>
      <c r="Q340" t="s" s="120">
        <v>3402</v>
      </c>
      <c r="R340" t="s" s="120">
        <v>3403</v>
      </c>
      <c r="S340" s="121" cm="1">
        <f t="array" ref="S340">_xlfn.IFERROR(ISNUMBER(SEARCH("Conocer",$R340))/(ISNUMBER(SEARCH("Conocer",$R340))+ISNUMBER(SEARCH("Aplicar",$R340))+ISNUMBER(SEARCH("Razonar",$R340))),0)</f>
        <v>0</v>
      </c>
      <c r="T340" s="121" cm="1">
        <f t="array" ref="T340">_xlfn.IFERROR(ISNUMBER(SEARCH("Aplicar",$R340))/(ISNUMBER(SEARCH("Conocer",$R340))+ISNUMBER(SEARCH("Aplicar",$R340))+ISNUMBER(SEARCH("Razonar",$R340))),0)</f>
        <v>0</v>
      </c>
      <c r="U340" s="121" cm="1">
        <f t="array" ref="U340">_xlfn.IFERROR(ISNUMBER(SEARCH("Razonar",$R340))/(ISNUMBER(SEARCH("Conocer",$R340))+ISNUMBER(SEARCH("Aplicar",$R340))+ISNUMBER(SEARCH("Razonar",$R340))),0)</f>
        <v>1</v>
      </c>
      <c r="V340" t="s" s="35">
        <v>82</v>
      </c>
      <c r="W340" t="s" s="35">
        <v>115</v>
      </c>
      <c r="X340" s="36" cm="1">
        <f t="array" ref="X340">IF(OR(_xlfn.IFERROR(INDEX('Datos - Catálogo TIMSS'!$I$5:$I$107,MATCH(K340,'Datos - Catálogo TIMSS'!$A$5:$A$107,0)),"No")="Sí",_xlfn.IFERROR(INDEX('Datos - Catálogo TIMSS'!$I$5:$I$107,MATCH(L340,'Datos - Catálogo TIMSS'!$A$5:$A$107,0)),"No")="Sí"),1,0)</f>
        <v>0</v>
      </c>
      <c r="Y340" s="36" cm="1">
        <f t="array" ref="Y340">IF(_xlfn.IFERROR(INDEX('Datos - Catálogo TIMSS'!$J$5:$J$107,MATCH(K340,'Datos - Catálogo TIMSS'!$A$5:$A$107,0)),"No")="Sí",1,0)</f>
        <v>0</v>
      </c>
      <c r="Z340" s="36" cm="1">
        <f t="array" ref="Z340">IF(_xlfn.IFERROR(INDEX('Datos - Catálogo TIMSS'!$J$5:$J$107,MATCH(L340,'Datos - Catálogo TIMSS'!$A$5:$A$107,0)),"No")="Sí",1,0)</f>
        <v>0</v>
      </c>
      <c r="AA340" t="s" s="35">
        <v>3313</v>
      </c>
      <c r="AB340" s="39"/>
      <c r="AC340" t="str" s="39">
        <v>Biología</v>
      </c>
      <c r="AD340" t="s" s="35">
        <v>1900</v>
      </c>
      <c r="AE340" t="str" s="39" cm="1">
        <f t="array" ref="AE340">IF(AD340="","",IF(LEFT(AD340,1)="1","C1",IF(LEFT(AD340,1)="2","C2",IF(LEFT(AD340,1)="3","C3",""))))</f>
        <v>C3</v>
      </c>
      <c r="AF340" t="s" s="35">
        <v>1602</v>
      </c>
      <c r="AG340" t="s" s="35">
        <v>1617</v>
      </c>
      <c r="AH340" t="s" s="35">
        <v>1602</v>
      </c>
      <c r="AI340" t="s" s="35">
        <v>1625</v>
      </c>
      <c r="AJ340" t="s" s="35">
        <v>1633</v>
      </c>
      <c r="AK340" s="39"/>
      <c r="AL340" s="39"/>
      <c r="AM340" s="39"/>
      <c r="AN340" s="39"/>
      <c r="AO340" s="39"/>
      <c r="AP340" s="39"/>
      <c r="AQ340" s="39"/>
      <c r="AR340" s="39"/>
      <c r="AS340" s="39"/>
      <c r="AT340" s="39"/>
      <c r="AU340" s="39"/>
      <c r="AV340" s="39"/>
      <c r="AW340" t="str" s="39" cm="1">
        <f t="array" ref="AW340">AF340&amp;"; "&amp;AG340&amp;"; "&amp;AH340&amp;"; "&amp;AI340&amp;"; "&amp;AJ340</f>
        <v>E1; D1; E1; I1; I5</v>
      </c>
    </row>
    <row r="341" ht="13.65" customHeight="1">
      <c r="A341" t="s" s="35">
        <v>3404</v>
      </c>
      <c r="B341" s="36">
        <v>6</v>
      </c>
      <c r="C341" t="s" s="35">
        <v>1823</v>
      </c>
      <c r="D341" t="s" s="35">
        <v>3158</v>
      </c>
      <c r="E341" t="s" s="35">
        <v>3405</v>
      </c>
      <c r="F341" s="36">
        <v>3</v>
      </c>
      <c r="G341" t="s" s="35">
        <v>3406</v>
      </c>
      <c r="H341" t="s" s="35">
        <v>3407</v>
      </c>
      <c r="I341" t="s" s="120">
        <v>3408</v>
      </c>
      <c r="J341" t="s" s="35">
        <v>1164</v>
      </c>
      <c r="K341" t="s" s="35">
        <v>1178</v>
      </c>
      <c r="L341" s="39"/>
      <c r="M341" t="str" s="39">
        <v>Biología</v>
      </c>
      <c r="N341" t="str" s="39">
        <v>Ciclos de vida, reproducción y herencia</v>
      </c>
      <c r="O341" t="str" s="39" cm="1">
        <f t="array" ref="O341">IF(L341="","",_xlfn.IFERROR(INDEX('Datos - Catálogo TIMSS'!$C$5:$C$107,MATCH(L341,'Datos - Catálogo TIMSS'!$A$5:$A$107,0)),"?"))</f>
      </c>
      <c r="P341" t="s" s="35">
        <v>254</v>
      </c>
      <c r="Q341" t="s" s="120">
        <v>3409</v>
      </c>
      <c r="R341" t="s" s="120">
        <v>2798</v>
      </c>
      <c r="S341" s="121" cm="1">
        <f t="array" ref="S341">_xlfn.IFERROR(ISNUMBER(SEARCH("Conocer",$R341))/(ISNUMBER(SEARCH("Conocer",$R341))+ISNUMBER(SEARCH("Aplicar",$R341))+ISNUMBER(SEARCH("Razonar",$R341))),0)</f>
        <v>0</v>
      </c>
      <c r="T341" s="121" cm="1">
        <f t="array" ref="T341">_xlfn.IFERROR(ISNUMBER(SEARCH("Aplicar",$R341))/(ISNUMBER(SEARCH("Conocer",$R341))+ISNUMBER(SEARCH("Aplicar",$R341))+ISNUMBER(SEARCH("Razonar",$R341))),0)</f>
        <v>1</v>
      </c>
      <c r="U341" s="121" cm="1">
        <f t="array" ref="U341">_xlfn.IFERROR(ISNUMBER(SEARCH("Razonar",$R341))/(ISNUMBER(SEARCH("Conocer",$R341))+ISNUMBER(SEARCH("Aplicar",$R341))+ISNUMBER(SEARCH("Razonar",$R341))),0)</f>
        <v>0</v>
      </c>
      <c r="V341" t="s" s="35">
        <v>82</v>
      </c>
      <c r="W341" t="s" s="35">
        <v>115</v>
      </c>
      <c r="X341" s="36" cm="1">
        <f t="array" ref="X341">IF(OR(_xlfn.IFERROR(INDEX('Datos - Catálogo TIMSS'!$I$5:$I$107,MATCH(K341,'Datos - Catálogo TIMSS'!$A$5:$A$107,0)),"No")="Sí",_xlfn.IFERROR(INDEX('Datos - Catálogo TIMSS'!$I$5:$I$107,MATCH(L341,'Datos - Catálogo TIMSS'!$A$5:$A$107,0)),"No")="Sí"),1,0)</f>
        <v>0</v>
      </c>
      <c r="Y341" s="36" cm="1">
        <f t="array" ref="Y341">IF(_xlfn.IFERROR(INDEX('Datos - Catálogo TIMSS'!$J$5:$J$107,MATCH(K341,'Datos - Catálogo TIMSS'!$A$5:$A$107,0)),"No")="Sí",1,0)</f>
        <v>0</v>
      </c>
      <c r="Z341" s="36" cm="1">
        <f t="array" ref="Z341">IF(_xlfn.IFERROR(INDEX('Datos - Catálogo TIMSS'!$J$5:$J$107,MATCH(L341,'Datos - Catálogo TIMSS'!$A$5:$A$107,0)),"No")="Sí",1,0)</f>
        <v>0</v>
      </c>
      <c r="AA341" t="s" s="35">
        <v>3410</v>
      </c>
      <c r="AB341" s="39"/>
      <c r="AC341" t="str" s="39">
        <v>Biología</v>
      </c>
      <c r="AD341" t="s" s="35">
        <v>1859</v>
      </c>
      <c r="AE341" t="str" s="39" cm="1">
        <f t="array" ref="AE341">IF(AD341="","",IF(LEFT(AD341,1)="1","C1",IF(LEFT(AD341,1)="2","C2",IF(LEFT(AD341,1)="3","C3",""))))</f>
        <v>C1</v>
      </c>
      <c r="AF341" t="s" s="35">
        <v>1602</v>
      </c>
      <c r="AG341" t="s" s="35">
        <v>1617</v>
      </c>
      <c r="AH341" t="s" s="35">
        <v>1609</v>
      </c>
      <c r="AI341" t="s" s="35">
        <v>1609</v>
      </c>
      <c r="AJ341" t="s" s="35">
        <v>1602</v>
      </c>
      <c r="AK341" s="39"/>
      <c r="AL341" s="39"/>
      <c r="AM341" s="39"/>
      <c r="AN341" s="39"/>
      <c r="AO341" s="39"/>
      <c r="AP341" s="39"/>
      <c r="AQ341" s="39"/>
      <c r="AR341" s="39"/>
      <c r="AS341" s="39"/>
      <c r="AT341" s="39"/>
      <c r="AU341" s="39"/>
      <c r="AV341" s="39"/>
      <c r="AW341" t="str" s="39" cm="1">
        <f t="array" ref="AW341">AF341&amp;"; "&amp;AG341&amp;"; "&amp;AH341&amp;"; "&amp;AI341&amp;"; "&amp;AJ341</f>
        <v>E1; D1; E4; E4; E1</v>
      </c>
    </row>
    <row r="342" ht="13.65" customHeight="1">
      <c r="A342" t="s" s="35">
        <v>3411</v>
      </c>
      <c r="B342" s="36">
        <v>6</v>
      </c>
      <c r="C342" t="s" s="35">
        <v>1823</v>
      </c>
      <c r="D342" t="s" s="35">
        <v>3158</v>
      </c>
      <c r="E342" t="s" s="35">
        <v>3405</v>
      </c>
      <c r="F342" s="36">
        <v>4</v>
      </c>
      <c r="G342" t="s" s="35">
        <v>3406</v>
      </c>
      <c r="H342" t="s" s="35">
        <v>3412</v>
      </c>
      <c r="I342" t="s" s="120">
        <v>3413</v>
      </c>
      <c r="J342" t="s" s="35">
        <v>1164</v>
      </c>
      <c r="K342" t="s" s="35">
        <v>1174</v>
      </c>
      <c r="L342" t="s" s="35">
        <v>1178</v>
      </c>
      <c r="M342" t="str" s="39">
        <v>Biología</v>
      </c>
      <c r="N342" t="str" s="39">
        <v>Las células y sus funciones</v>
      </c>
      <c r="O342" t="str" s="39" cm="1">
        <f t="array" ref="O342">IF(L342="","",_xlfn.IFERROR(INDEX('Datos - Catálogo TIMSS'!$C$5:$C$107,MATCH(L342,'Datos - Catálogo TIMSS'!$A$5:$A$107,0)),"?"))</f>
        <v>Biología</v>
      </c>
      <c r="P342" t="s" s="35">
        <v>282</v>
      </c>
      <c r="Q342" t="s" s="120">
        <v>3414</v>
      </c>
      <c r="R342" t="s" s="120">
        <v>3415</v>
      </c>
      <c r="S342" s="121" cm="1">
        <f t="array" ref="S342">_xlfn.IFERROR(ISNUMBER(SEARCH("Conocer",$R342))/(ISNUMBER(SEARCH("Conocer",$R342))+ISNUMBER(SEARCH("Aplicar",$R342))+ISNUMBER(SEARCH("Razonar",$R342))),0)</f>
        <v>0</v>
      </c>
      <c r="T342" s="121" cm="1">
        <f t="array" ref="T342">_xlfn.IFERROR(ISNUMBER(SEARCH("Aplicar",$R342))/(ISNUMBER(SEARCH("Conocer",$R342))+ISNUMBER(SEARCH("Aplicar",$R342))+ISNUMBER(SEARCH("Razonar",$R342))),0)</f>
        <v>1</v>
      </c>
      <c r="U342" s="121" cm="1">
        <f t="array" ref="U342">_xlfn.IFERROR(ISNUMBER(SEARCH("Razonar",$R342))/(ISNUMBER(SEARCH("Conocer",$R342))+ISNUMBER(SEARCH("Aplicar",$R342))+ISNUMBER(SEARCH("Razonar",$R342))),0)</f>
        <v>0</v>
      </c>
      <c r="V342" t="s" s="35">
        <v>82</v>
      </c>
      <c r="W342" t="s" s="35">
        <v>115</v>
      </c>
      <c r="X342" s="36" cm="1">
        <f t="array" ref="X342">IF(OR(_xlfn.IFERROR(INDEX('Datos - Catálogo TIMSS'!$I$5:$I$107,MATCH(K342,'Datos - Catálogo TIMSS'!$A$5:$A$107,0)),"No")="Sí",_xlfn.IFERROR(INDEX('Datos - Catálogo TIMSS'!$I$5:$I$107,MATCH(L342,'Datos - Catálogo TIMSS'!$A$5:$A$107,0)),"No")="Sí"),1,0)</f>
        <v>0</v>
      </c>
      <c r="Y342" s="36" cm="1">
        <f t="array" ref="Y342">IF(_xlfn.IFERROR(INDEX('Datos - Catálogo TIMSS'!$J$5:$J$107,MATCH(K342,'Datos - Catálogo TIMSS'!$A$5:$A$107,0)),"No")="Sí",1,0)</f>
        <v>0</v>
      </c>
      <c r="Z342" s="36" cm="1">
        <f t="array" ref="Z342">IF(_xlfn.IFERROR(INDEX('Datos - Catálogo TIMSS'!$J$5:$J$107,MATCH(L342,'Datos - Catálogo TIMSS'!$A$5:$A$107,0)),"No")="Sí",1,0)</f>
        <v>0</v>
      </c>
      <c r="AA342" t="s" s="35">
        <v>3410</v>
      </c>
      <c r="AB342" t="s" s="35">
        <v>3416</v>
      </c>
      <c r="AC342" t="str" s="39">
        <v>Biología</v>
      </c>
      <c r="AD342" t="s" s="35">
        <v>1834</v>
      </c>
      <c r="AE342" t="str" s="39" cm="1">
        <f t="array" ref="AE342">IF(AD342="","",IF(LEFT(AD342,1)="1","C1",IF(LEFT(AD342,1)="2","C2",IF(LEFT(AD342,1)="3","C3",""))))</f>
        <v>C2</v>
      </c>
      <c r="AF342" t="s" s="35">
        <v>1602</v>
      </c>
      <c r="AG342" t="s" s="35">
        <v>1617</v>
      </c>
      <c r="AH342" t="s" s="35">
        <v>1605</v>
      </c>
      <c r="AI342" t="s" s="35">
        <v>1623</v>
      </c>
      <c r="AJ342" t="s" s="35">
        <v>1602</v>
      </c>
      <c r="AK342" s="39"/>
      <c r="AL342" s="39"/>
      <c r="AM342" s="39"/>
      <c r="AN342" s="39"/>
      <c r="AO342" s="39"/>
      <c r="AP342" s="39"/>
      <c r="AQ342" s="39"/>
      <c r="AR342" s="39"/>
      <c r="AS342" s="39"/>
      <c r="AT342" s="39"/>
      <c r="AU342" s="39"/>
      <c r="AV342" s="39"/>
      <c r="AW342" t="str" s="39" cm="1">
        <f t="array" ref="AW342">AF342&amp;"; "&amp;AG342&amp;"; "&amp;AH342&amp;"; "&amp;AI342&amp;"; "&amp;AJ342</f>
        <v>E1; D1; E2; D4; E1</v>
      </c>
    </row>
    <row r="343" ht="13.65" customHeight="1">
      <c r="A343" t="s" s="35">
        <v>3417</v>
      </c>
      <c r="B343" s="36">
        <v>6</v>
      </c>
      <c r="C343" t="s" s="35">
        <v>1823</v>
      </c>
      <c r="D343" t="s" s="35">
        <v>3158</v>
      </c>
      <c r="E343" t="s" s="35">
        <v>3405</v>
      </c>
      <c r="F343" s="36">
        <v>5</v>
      </c>
      <c r="G343" t="s" s="35">
        <v>3406</v>
      </c>
      <c r="H343" t="s" s="35">
        <v>3412</v>
      </c>
      <c r="I343" t="s" s="120">
        <v>3418</v>
      </c>
      <c r="J343" t="s" s="35">
        <v>1164</v>
      </c>
      <c r="K343" t="s" s="35">
        <v>1178</v>
      </c>
      <c r="L343" t="s" s="35">
        <v>1174</v>
      </c>
      <c r="M343" t="str" s="39">
        <v>Biología</v>
      </c>
      <c r="N343" t="str" s="39">
        <v>Ciclos de vida, reproducción y herencia</v>
      </c>
      <c r="O343" t="str" s="39" cm="1">
        <f t="array" ref="O343">IF(L343="","",_xlfn.IFERROR(INDEX('Datos - Catálogo TIMSS'!$C$5:$C$107,MATCH(L343,'Datos - Catálogo TIMSS'!$A$5:$A$107,0)),"?"))</f>
        <v>Biología</v>
      </c>
      <c r="P343" t="s" s="35">
        <v>282</v>
      </c>
      <c r="Q343" t="s" s="120">
        <v>3419</v>
      </c>
      <c r="R343" t="s" s="120">
        <v>2066</v>
      </c>
      <c r="S343" s="121" cm="1">
        <f t="array" ref="S343">_xlfn.IFERROR(ISNUMBER(SEARCH("Conocer",$R343))/(ISNUMBER(SEARCH("Conocer",$R343))+ISNUMBER(SEARCH("Aplicar",$R343))+ISNUMBER(SEARCH("Razonar",$R343))),0)</f>
        <v>0</v>
      </c>
      <c r="T343" s="121" cm="1">
        <f t="array" ref="T343">_xlfn.IFERROR(ISNUMBER(SEARCH("Aplicar",$R343))/(ISNUMBER(SEARCH("Conocer",$R343))+ISNUMBER(SEARCH("Aplicar",$R343))+ISNUMBER(SEARCH("Razonar",$R343))),0)</f>
        <v>1</v>
      </c>
      <c r="U343" s="121" cm="1">
        <f t="array" ref="U343">_xlfn.IFERROR(ISNUMBER(SEARCH("Razonar",$R343))/(ISNUMBER(SEARCH("Conocer",$R343))+ISNUMBER(SEARCH("Aplicar",$R343))+ISNUMBER(SEARCH("Razonar",$R343))),0)</f>
        <v>0</v>
      </c>
      <c r="V343" t="s" s="35">
        <v>82</v>
      </c>
      <c r="W343" t="s" s="35">
        <v>115</v>
      </c>
      <c r="X343" s="36" cm="1">
        <f t="array" ref="X343">IF(OR(_xlfn.IFERROR(INDEX('Datos - Catálogo TIMSS'!$I$5:$I$107,MATCH(K343,'Datos - Catálogo TIMSS'!$A$5:$A$107,0)),"No")="Sí",_xlfn.IFERROR(INDEX('Datos - Catálogo TIMSS'!$I$5:$I$107,MATCH(L343,'Datos - Catálogo TIMSS'!$A$5:$A$107,0)),"No")="Sí"),1,0)</f>
        <v>0</v>
      </c>
      <c r="Y343" s="36" cm="1">
        <f t="array" ref="Y343">IF(_xlfn.IFERROR(INDEX('Datos - Catálogo TIMSS'!$J$5:$J$107,MATCH(K343,'Datos - Catálogo TIMSS'!$A$5:$A$107,0)),"No")="Sí",1,0)</f>
        <v>0</v>
      </c>
      <c r="Z343" s="36" cm="1">
        <f t="array" ref="Z343">IF(_xlfn.IFERROR(INDEX('Datos - Catálogo TIMSS'!$J$5:$J$107,MATCH(L343,'Datos - Catálogo TIMSS'!$A$5:$A$107,0)),"No")="Sí",1,0)</f>
        <v>0</v>
      </c>
      <c r="AA343" t="s" s="35">
        <v>3410</v>
      </c>
      <c r="AB343" s="39"/>
      <c r="AC343" t="str" s="39">
        <v>Biología</v>
      </c>
      <c r="AD343" t="s" s="35">
        <v>1834</v>
      </c>
      <c r="AE343" t="str" s="39" cm="1">
        <f t="array" ref="AE343">IF(AD343="","",IF(LEFT(AD343,1)="1","C1",IF(LEFT(AD343,1)="2","C2",IF(LEFT(AD343,1)="3","C3",""))))</f>
        <v>C2</v>
      </c>
      <c r="AF343" t="s" s="35">
        <v>1602</v>
      </c>
      <c r="AG343" t="s" s="35">
        <v>1617</v>
      </c>
      <c r="AH343" t="s" s="35">
        <v>1605</v>
      </c>
      <c r="AI343" t="s" s="35">
        <v>1623</v>
      </c>
      <c r="AJ343" t="s" s="35">
        <v>1602</v>
      </c>
      <c r="AK343" s="39"/>
      <c r="AL343" s="39"/>
      <c r="AM343" s="39"/>
      <c r="AN343" s="39"/>
      <c r="AO343" s="39"/>
      <c r="AP343" s="39"/>
      <c r="AQ343" s="39"/>
      <c r="AR343" s="39"/>
      <c r="AS343" s="39"/>
      <c r="AT343" s="39"/>
      <c r="AU343" s="39"/>
      <c r="AV343" s="39"/>
      <c r="AW343" t="str" s="39" cm="1">
        <f t="array" ref="AW343">AF343&amp;"; "&amp;AG343&amp;"; "&amp;AH343&amp;"; "&amp;AI343&amp;"; "&amp;AJ343</f>
        <v>E1; D1; E2; D4; E1</v>
      </c>
    </row>
    <row r="344" ht="13.65" customHeight="1">
      <c r="A344" t="s" s="35">
        <v>3420</v>
      </c>
      <c r="B344" s="36">
        <v>6</v>
      </c>
      <c r="C344" t="s" s="35">
        <v>1823</v>
      </c>
      <c r="D344" t="s" s="35">
        <v>3158</v>
      </c>
      <c r="E344" t="s" s="35">
        <v>3405</v>
      </c>
      <c r="F344" s="36">
        <v>6</v>
      </c>
      <c r="G344" t="s" s="35">
        <v>3406</v>
      </c>
      <c r="H344" t="s" s="35">
        <v>3412</v>
      </c>
      <c r="I344" t="s" s="120">
        <v>3421</v>
      </c>
      <c r="J344" t="s" s="35">
        <v>1164</v>
      </c>
      <c r="K344" t="s" s="35">
        <v>1174</v>
      </c>
      <c r="L344" s="39"/>
      <c r="M344" t="str" s="39">
        <v>Biología</v>
      </c>
      <c r="N344" t="str" s="39">
        <v>Las células y sus funciones</v>
      </c>
      <c r="O344" t="str" s="39" cm="1">
        <f t="array" ref="O344">IF(L344="","",_xlfn.IFERROR(INDEX('Datos - Catálogo TIMSS'!$C$5:$C$107,MATCH(L344,'Datos - Catálogo TIMSS'!$A$5:$A$107,0)),"?"))</f>
      </c>
      <c r="P344" t="s" s="35">
        <v>291</v>
      </c>
      <c r="Q344" t="s" s="120">
        <v>3422</v>
      </c>
      <c r="R344" t="s" s="120">
        <v>3423</v>
      </c>
      <c r="S344" s="121" cm="1">
        <f t="array" ref="S344">_xlfn.IFERROR(ISNUMBER(SEARCH("Conocer",$R344))/(ISNUMBER(SEARCH("Conocer",$R344))+ISNUMBER(SEARCH("Aplicar",$R344))+ISNUMBER(SEARCH("Razonar",$R344))),0)</f>
        <v>1</v>
      </c>
      <c r="T344" s="121" cm="1">
        <f t="array" ref="T344">_xlfn.IFERROR(ISNUMBER(SEARCH("Aplicar",$R344))/(ISNUMBER(SEARCH("Conocer",$R344))+ISNUMBER(SEARCH("Aplicar",$R344))+ISNUMBER(SEARCH("Razonar",$R344))),0)</f>
        <v>0</v>
      </c>
      <c r="U344" s="121" cm="1">
        <f t="array" ref="U344">_xlfn.IFERROR(ISNUMBER(SEARCH("Razonar",$R344))/(ISNUMBER(SEARCH("Conocer",$R344))+ISNUMBER(SEARCH("Aplicar",$R344))+ISNUMBER(SEARCH("Razonar",$R344))),0)</f>
        <v>0</v>
      </c>
      <c r="V344" t="s" s="35">
        <v>82</v>
      </c>
      <c r="W344" t="s" s="35">
        <v>115</v>
      </c>
      <c r="X344" s="36" cm="1">
        <f t="array" ref="X344">IF(OR(_xlfn.IFERROR(INDEX('Datos - Catálogo TIMSS'!$I$5:$I$107,MATCH(K344,'Datos - Catálogo TIMSS'!$A$5:$A$107,0)),"No")="Sí",_xlfn.IFERROR(INDEX('Datos - Catálogo TIMSS'!$I$5:$I$107,MATCH(L344,'Datos - Catálogo TIMSS'!$A$5:$A$107,0)),"No")="Sí"),1,0)</f>
        <v>0</v>
      </c>
      <c r="Y344" s="36" cm="1">
        <f t="array" ref="Y344">IF(_xlfn.IFERROR(INDEX('Datos - Catálogo TIMSS'!$J$5:$J$107,MATCH(K344,'Datos - Catálogo TIMSS'!$A$5:$A$107,0)),"No")="Sí",1,0)</f>
        <v>0</v>
      </c>
      <c r="Z344" s="36" cm="1">
        <f t="array" ref="Z344">IF(_xlfn.IFERROR(INDEX('Datos - Catálogo TIMSS'!$J$5:$J$107,MATCH(L344,'Datos - Catálogo TIMSS'!$A$5:$A$107,0)),"No")="Sí",1,0)</f>
        <v>0</v>
      </c>
      <c r="AA344" t="s" s="35">
        <v>3313</v>
      </c>
      <c r="AB344" t="s" s="35">
        <v>3416</v>
      </c>
      <c r="AC344" t="str" s="39">
        <v>Biología</v>
      </c>
      <c r="AD344" t="s" s="35">
        <v>1859</v>
      </c>
      <c r="AE344" t="str" s="39" cm="1">
        <f t="array" ref="AE344">IF(AD344="","",IF(LEFT(AD344,1)="1","C1",IF(LEFT(AD344,1)="2","C2",IF(LEFT(AD344,1)="3","C3",""))))</f>
        <v>C1</v>
      </c>
      <c r="AF344" t="s" s="35">
        <v>1602</v>
      </c>
      <c r="AG344" t="s" s="35">
        <v>1617</v>
      </c>
      <c r="AH344" t="s" s="35">
        <v>1602</v>
      </c>
      <c r="AI344" t="s" s="35">
        <v>1623</v>
      </c>
      <c r="AJ344" t="s" s="35">
        <v>1602</v>
      </c>
      <c r="AK344" s="39"/>
      <c r="AL344" s="39"/>
      <c r="AM344" s="39"/>
      <c r="AN344" s="39"/>
      <c r="AO344" s="39"/>
      <c r="AP344" s="39"/>
      <c r="AQ344" s="39"/>
      <c r="AR344" s="39"/>
      <c r="AS344" s="39"/>
      <c r="AT344" s="39"/>
      <c r="AU344" s="39"/>
      <c r="AV344" s="39"/>
      <c r="AW344" t="str" s="39" cm="1">
        <f t="array" ref="AW344">AF344&amp;"; "&amp;AG344&amp;"; "&amp;AH344&amp;"; "&amp;AI344&amp;"; "&amp;AJ344</f>
        <v>E1; D1; E1; D4; E1</v>
      </c>
    </row>
    <row r="345" ht="13.65" customHeight="1">
      <c r="A345" t="s" s="35">
        <v>3424</v>
      </c>
      <c r="B345" s="36">
        <v>6</v>
      </c>
      <c r="C345" t="s" s="35">
        <v>1823</v>
      </c>
      <c r="D345" t="s" s="35">
        <v>3158</v>
      </c>
      <c r="E345" t="s" s="35">
        <v>3405</v>
      </c>
      <c r="F345" s="36">
        <v>7</v>
      </c>
      <c r="G345" t="s" s="35">
        <v>3406</v>
      </c>
      <c r="H345" t="s" s="35">
        <v>3425</v>
      </c>
      <c r="I345" t="s" s="120">
        <v>3426</v>
      </c>
      <c r="J345" t="s" s="35">
        <v>1164</v>
      </c>
      <c r="K345" t="s" s="35">
        <v>1174</v>
      </c>
      <c r="L345" s="39"/>
      <c r="M345" t="str" s="39">
        <v>Biología</v>
      </c>
      <c r="N345" t="str" s="39">
        <v>Las células y sus funciones</v>
      </c>
      <c r="O345" t="str" s="39" cm="1">
        <f t="array" ref="O345">IF(L345="","",_xlfn.IFERROR(INDEX('Datos - Catálogo TIMSS'!$C$5:$C$107,MATCH(L345,'Datos - Catálogo TIMSS'!$A$5:$A$107,0)),"?"))</f>
      </c>
      <c r="P345" t="s" s="35">
        <v>291</v>
      </c>
      <c r="Q345" t="s" s="120">
        <v>3427</v>
      </c>
      <c r="R345" t="s" s="120">
        <v>3023</v>
      </c>
      <c r="S345" s="121" cm="1">
        <f t="array" ref="S345">_xlfn.IFERROR(ISNUMBER(SEARCH("Conocer",$R345))/(ISNUMBER(SEARCH("Conocer",$R345))+ISNUMBER(SEARCH("Aplicar",$R345))+ISNUMBER(SEARCH("Razonar",$R345))),0)</f>
        <v>0</v>
      </c>
      <c r="T345" s="121" cm="1">
        <f t="array" ref="T345">_xlfn.IFERROR(ISNUMBER(SEARCH("Aplicar",$R345))/(ISNUMBER(SEARCH("Conocer",$R345))+ISNUMBER(SEARCH("Aplicar",$R345))+ISNUMBER(SEARCH("Razonar",$R345))),0)</f>
        <v>1</v>
      </c>
      <c r="U345" s="121" cm="1">
        <f t="array" ref="U345">_xlfn.IFERROR(ISNUMBER(SEARCH("Razonar",$R345))/(ISNUMBER(SEARCH("Conocer",$R345))+ISNUMBER(SEARCH("Aplicar",$R345))+ISNUMBER(SEARCH("Razonar",$R345))),0)</f>
        <v>0</v>
      </c>
      <c r="V345" t="s" s="35">
        <v>82</v>
      </c>
      <c r="W345" t="s" s="35">
        <v>115</v>
      </c>
      <c r="X345" s="36" cm="1">
        <f t="array" ref="X345">IF(OR(_xlfn.IFERROR(INDEX('Datos - Catálogo TIMSS'!$I$5:$I$107,MATCH(K345,'Datos - Catálogo TIMSS'!$A$5:$A$107,0)),"No")="Sí",_xlfn.IFERROR(INDEX('Datos - Catálogo TIMSS'!$I$5:$I$107,MATCH(L345,'Datos - Catálogo TIMSS'!$A$5:$A$107,0)),"No")="Sí"),1,0)</f>
        <v>0</v>
      </c>
      <c r="Y345" s="36" cm="1">
        <f t="array" ref="Y345">IF(_xlfn.IFERROR(INDEX('Datos - Catálogo TIMSS'!$J$5:$J$107,MATCH(K345,'Datos - Catálogo TIMSS'!$A$5:$A$107,0)),"No")="Sí",1,0)</f>
        <v>0</v>
      </c>
      <c r="Z345" s="36" cm="1">
        <f t="array" ref="Z345">IF(_xlfn.IFERROR(INDEX('Datos - Catálogo TIMSS'!$J$5:$J$107,MATCH(L345,'Datos - Catálogo TIMSS'!$A$5:$A$107,0)),"No")="Sí",1,0)</f>
        <v>0</v>
      </c>
      <c r="AA345" t="s" s="35">
        <v>3410</v>
      </c>
      <c r="AB345" s="39"/>
      <c r="AC345" t="str" s="39">
        <v>Biología</v>
      </c>
      <c r="AD345" t="s" s="35">
        <v>1859</v>
      </c>
      <c r="AE345" t="str" s="39" cm="1">
        <f t="array" ref="AE345">IF(AD345="","",IF(LEFT(AD345,1)="1","C1",IF(LEFT(AD345,1)="2","C2",IF(LEFT(AD345,1)="3","C3",""))))</f>
        <v>C1</v>
      </c>
      <c r="AF345" t="s" s="35">
        <v>1602</v>
      </c>
      <c r="AG345" t="s" s="35">
        <v>1617</v>
      </c>
      <c r="AH345" t="s" s="35">
        <v>1602</v>
      </c>
      <c r="AI345" t="s" s="35">
        <v>1623</v>
      </c>
      <c r="AJ345" t="s" s="35">
        <v>1602</v>
      </c>
      <c r="AK345" s="39"/>
      <c r="AL345" s="39"/>
      <c r="AM345" s="39"/>
      <c r="AN345" s="39"/>
      <c r="AO345" s="39"/>
      <c r="AP345" s="39"/>
      <c r="AQ345" s="39"/>
      <c r="AR345" s="39"/>
      <c r="AS345" s="39"/>
      <c r="AT345" s="39"/>
      <c r="AU345" s="39"/>
      <c r="AV345" s="39"/>
      <c r="AW345" t="str" s="39" cm="1">
        <f t="array" ref="AW345">AF345&amp;"; "&amp;AG345&amp;"; "&amp;AH345&amp;"; "&amp;AI345&amp;"; "&amp;AJ345</f>
        <v>E1; D1; E1; D4; E1</v>
      </c>
    </row>
    <row r="346" ht="13.65" customHeight="1">
      <c r="A346" t="s" s="35">
        <v>3428</v>
      </c>
      <c r="B346" s="36">
        <v>6</v>
      </c>
      <c r="C346" t="s" s="35">
        <v>1823</v>
      </c>
      <c r="D346" t="s" s="35">
        <v>3158</v>
      </c>
      <c r="E346" t="s" s="35">
        <v>3405</v>
      </c>
      <c r="F346" s="36">
        <v>8</v>
      </c>
      <c r="G346" t="s" s="35">
        <v>3406</v>
      </c>
      <c r="H346" t="s" s="35">
        <v>3425</v>
      </c>
      <c r="I346" t="s" s="120">
        <v>3429</v>
      </c>
      <c r="J346" t="s" s="35">
        <v>1164</v>
      </c>
      <c r="K346" t="s" s="35">
        <v>1178</v>
      </c>
      <c r="L346" s="39"/>
      <c r="M346" t="str" s="39">
        <v>Biología</v>
      </c>
      <c r="N346" t="str" s="39">
        <v>Ciclos de vida, reproducción y herencia</v>
      </c>
      <c r="O346" t="str" s="39" cm="1">
        <f t="array" ref="O346">IF(L346="","",_xlfn.IFERROR(INDEX('Datos - Catálogo TIMSS'!$C$5:$C$107,MATCH(L346,'Datos - Catálogo TIMSS'!$A$5:$A$107,0)),"?"))</f>
      </c>
      <c r="P346" t="s" s="35">
        <v>291</v>
      </c>
      <c r="Q346" t="s" s="120">
        <v>3430</v>
      </c>
      <c r="R346" t="s" s="120">
        <v>2805</v>
      </c>
      <c r="S346" s="121" cm="1">
        <f t="array" ref="S346">_xlfn.IFERROR(ISNUMBER(SEARCH("Conocer",$R346))/(ISNUMBER(SEARCH("Conocer",$R346))+ISNUMBER(SEARCH("Aplicar",$R346))+ISNUMBER(SEARCH("Razonar",$R346))),0)</f>
        <v>0</v>
      </c>
      <c r="T346" s="121" cm="1">
        <f t="array" ref="T346">_xlfn.IFERROR(ISNUMBER(SEARCH("Aplicar",$R346))/(ISNUMBER(SEARCH("Conocer",$R346))+ISNUMBER(SEARCH("Aplicar",$R346))+ISNUMBER(SEARCH("Razonar",$R346))),0)</f>
        <v>1</v>
      </c>
      <c r="U346" s="121" cm="1">
        <f t="array" ref="U346">_xlfn.IFERROR(ISNUMBER(SEARCH("Razonar",$R346))/(ISNUMBER(SEARCH("Conocer",$R346))+ISNUMBER(SEARCH("Aplicar",$R346))+ISNUMBER(SEARCH("Razonar",$R346))),0)</f>
        <v>0</v>
      </c>
      <c r="V346" t="s" s="35">
        <v>82</v>
      </c>
      <c r="W346" t="s" s="35">
        <v>115</v>
      </c>
      <c r="X346" s="36" cm="1">
        <f t="array" ref="X346">IF(OR(_xlfn.IFERROR(INDEX('Datos - Catálogo TIMSS'!$I$5:$I$107,MATCH(K346,'Datos - Catálogo TIMSS'!$A$5:$A$107,0)),"No")="Sí",_xlfn.IFERROR(INDEX('Datos - Catálogo TIMSS'!$I$5:$I$107,MATCH(L346,'Datos - Catálogo TIMSS'!$A$5:$A$107,0)),"No")="Sí"),1,0)</f>
        <v>0</v>
      </c>
      <c r="Y346" s="36" cm="1">
        <f t="array" ref="Y346">IF(_xlfn.IFERROR(INDEX('Datos - Catálogo TIMSS'!$J$5:$J$107,MATCH(K346,'Datos - Catálogo TIMSS'!$A$5:$A$107,0)),"No")="Sí",1,0)</f>
        <v>0</v>
      </c>
      <c r="Z346" s="36" cm="1">
        <f t="array" ref="Z346">IF(_xlfn.IFERROR(INDEX('Datos - Catálogo TIMSS'!$J$5:$J$107,MATCH(L346,'Datos - Catálogo TIMSS'!$A$5:$A$107,0)),"No")="Sí",1,0)</f>
        <v>0</v>
      </c>
      <c r="AA346" t="s" s="35">
        <v>3416</v>
      </c>
      <c r="AB346" t="s" s="35">
        <v>3410</v>
      </c>
      <c r="AC346" t="str" s="39">
        <v>Biología</v>
      </c>
      <c r="AD346" t="s" s="35">
        <v>1859</v>
      </c>
      <c r="AE346" t="str" s="39" cm="1">
        <f t="array" ref="AE346">IF(AD346="","",IF(LEFT(AD346,1)="1","C1",IF(LEFT(AD346,1)="2","C2",IF(LEFT(AD346,1)="3","C3",""))))</f>
        <v>C1</v>
      </c>
      <c r="AF346" t="s" s="35">
        <v>1602</v>
      </c>
      <c r="AG346" t="s" s="35">
        <v>1617</v>
      </c>
      <c r="AH346" t="s" s="35">
        <v>1605</v>
      </c>
      <c r="AI346" t="s" s="35">
        <v>1623</v>
      </c>
      <c r="AJ346" t="s" s="35">
        <v>1602</v>
      </c>
      <c r="AK346" s="39"/>
      <c r="AL346" s="39"/>
      <c r="AM346" s="39"/>
      <c r="AN346" s="39"/>
      <c r="AO346" s="39"/>
      <c r="AP346" s="39"/>
      <c r="AQ346" s="39"/>
      <c r="AR346" s="39"/>
      <c r="AS346" s="39"/>
      <c r="AT346" s="39"/>
      <c r="AU346" s="39"/>
      <c r="AV346" s="39"/>
      <c r="AW346" t="str" s="39" cm="1">
        <f t="array" ref="AW346">AF346&amp;"; "&amp;AG346&amp;"; "&amp;AH346&amp;"; "&amp;AI346&amp;"; "&amp;AJ346</f>
        <v>E1; D1; E2; D4; E1</v>
      </c>
    </row>
    <row r="347" ht="13.65" customHeight="1">
      <c r="A347" t="s" s="35">
        <v>3431</v>
      </c>
      <c r="B347" s="36">
        <v>6</v>
      </c>
      <c r="C347" t="s" s="35">
        <v>1823</v>
      </c>
      <c r="D347" t="s" s="35">
        <v>3158</v>
      </c>
      <c r="E347" t="s" s="35">
        <v>3405</v>
      </c>
      <c r="F347" s="36">
        <v>9</v>
      </c>
      <c r="G347" t="s" s="35">
        <v>3406</v>
      </c>
      <c r="H347" t="s" s="35">
        <v>3432</v>
      </c>
      <c r="I347" t="s" s="120">
        <v>3433</v>
      </c>
      <c r="J347" t="s" s="35">
        <v>1164</v>
      </c>
      <c r="K347" t="s" s="35">
        <v>1832</v>
      </c>
      <c r="L347" s="39"/>
      <c r="M347" t="str" s="39">
        <v>Fuera del marco</v>
      </c>
      <c r="N347" t="str" s="39">
        <v>Fuera del marco</v>
      </c>
      <c r="O347" t="str" s="39" cm="1">
        <f t="array" ref="O347">IF(L347="","",_xlfn.IFERROR(INDEX('Datos - Catálogo TIMSS'!$C$5:$C$107,MATCH(L347,'Datos - Catálogo TIMSS'!$A$5:$A$107,0)),"?"))</f>
      </c>
      <c r="P347" t="s" s="35">
        <v>282</v>
      </c>
      <c r="Q347" t="s" s="120">
        <v>3434</v>
      </c>
      <c r="R347" t="s" s="120">
        <v>3335</v>
      </c>
      <c r="S347" s="121" cm="1">
        <f t="array" ref="S347">_xlfn.IFERROR(ISNUMBER(SEARCH("Conocer",$R347))/(ISNUMBER(SEARCH("Conocer",$R347))+ISNUMBER(SEARCH("Aplicar",$R347))+ISNUMBER(SEARCH("Razonar",$R347))),0)</f>
        <v>0</v>
      </c>
      <c r="T347" s="121" cm="1">
        <f t="array" ref="T347">_xlfn.IFERROR(ISNUMBER(SEARCH("Aplicar",$R347))/(ISNUMBER(SEARCH("Conocer",$R347))+ISNUMBER(SEARCH("Aplicar",$R347))+ISNUMBER(SEARCH("Razonar",$R347))),0)</f>
        <v>1</v>
      </c>
      <c r="U347" s="121" cm="1">
        <f t="array" ref="U347">_xlfn.IFERROR(ISNUMBER(SEARCH("Razonar",$R347))/(ISNUMBER(SEARCH("Conocer",$R347))+ISNUMBER(SEARCH("Aplicar",$R347))+ISNUMBER(SEARCH("Razonar",$R347))),0)</f>
        <v>0</v>
      </c>
      <c r="V347" t="s" s="35">
        <v>82</v>
      </c>
      <c r="W347" t="s" s="35">
        <v>115</v>
      </c>
      <c r="X347" s="36" cm="1">
        <f t="array" ref="X347">IF(OR(_xlfn.IFERROR(INDEX('Datos - Catálogo TIMSS'!$I$5:$I$107,MATCH(K347,'Datos - Catálogo TIMSS'!$A$5:$A$107,0)),"No")="Sí",_xlfn.IFERROR(INDEX('Datos - Catálogo TIMSS'!$I$5:$I$107,MATCH(L347,'Datos - Catálogo TIMSS'!$A$5:$A$107,0)),"No")="Sí"),1,0)</f>
        <v>0</v>
      </c>
      <c r="Y347" s="36" cm="1">
        <f t="array" ref="Y347">IF(_xlfn.IFERROR(INDEX('Datos - Catálogo TIMSS'!$J$5:$J$107,MATCH(K347,'Datos - Catálogo TIMSS'!$A$5:$A$107,0)),"No")="Sí",1,0)</f>
        <v>0</v>
      </c>
      <c r="Z347" s="36" cm="1">
        <f t="array" ref="Z347">IF(_xlfn.IFERROR(INDEX('Datos - Catálogo TIMSS'!$J$5:$J$107,MATCH(L347,'Datos - Catálogo TIMSS'!$A$5:$A$107,0)),"No")="Sí",1,0)</f>
        <v>0</v>
      </c>
      <c r="AA347" t="s" s="35">
        <v>3416</v>
      </c>
      <c r="AB347" s="39"/>
      <c r="AC347" t="str" s="39">
        <v>Biología</v>
      </c>
      <c r="AD347" t="s" s="35">
        <v>1834</v>
      </c>
      <c r="AE347" t="str" s="39" cm="1">
        <f t="array" ref="AE347">IF(AD347="","",IF(LEFT(AD347,1)="1","C1",IF(LEFT(AD347,1)="2","C2",IF(LEFT(AD347,1)="3","C3",""))))</f>
        <v>C2</v>
      </c>
      <c r="AF347" t="s" s="35">
        <v>1602</v>
      </c>
      <c r="AG347" t="s" s="35">
        <v>1617</v>
      </c>
      <c r="AH347" t="s" s="35">
        <v>1605</v>
      </c>
      <c r="AI347" t="s" s="35">
        <v>1623</v>
      </c>
      <c r="AJ347" t="s" s="35">
        <v>1602</v>
      </c>
      <c r="AK347" s="39"/>
      <c r="AL347" s="39"/>
      <c r="AM347" s="39"/>
      <c r="AN347" s="39"/>
      <c r="AO347" s="39"/>
      <c r="AP347" s="39"/>
      <c r="AQ347" s="39"/>
      <c r="AR347" s="39"/>
      <c r="AS347" s="39"/>
      <c r="AT347" s="39"/>
      <c r="AU347" s="39"/>
      <c r="AV347" s="39"/>
      <c r="AW347" t="str" s="39" cm="1">
        <f t="array" ref="AW347">AF347&amp;"; "&amp;AG347&amp;"; "&amp;AH347&amp;"; "&amp;AI347&amp;"; "&amp;AJ347</f>
        <v>E1; D1; E2; D4; E1</v>
      </c>
    </row>
    <row r="348" ht="13.65" customHeight="1">
      <c r="A348" t="s" s="35">
        <v>3435</v>
      </c>
      <c r="B348" s="36">
        <v>6</v>
      </c>
      <c r="C348" t="s" s="35">
        <v>1823</v>
      </c>
      <c r="D348" t="s" s="35">
        <v>3158</v>
      </c>
      <c r="E348" t="s" s="35">
        <v>3405</v>
      </c>
      <c r="F348" s="36">
        <v>10</v>
      </c>
      <c r="G348" t="s" s="35">
        <v>3406</v>
      </c>
      <c r="H348" t="s" s="35">
        <v>3432</v>
      </c>
      <c r="I348" t="s" s="120">
        <v>3436</v>
      </c>
      <c r="J348" t="s" s="35">
        <v>1164</v>
      </c>
      <c r="K348" t="s" s="35">
        <v>1178</v>
      </c>
      <c r="L348" s="39"/>
      <c r="M348" t="str" s="39">
        <v>Biología</v>
      </c>
      <c r="N348" t="str" s="39">
        <v>Ciclos de vida, reproducción y herencia</v>
      </c>
      <c r="O348" t="str" s="39" cm="1">
        <f t="array" ref="O348">IF(L348="","",_xlfn.IFERROR(INDEX('Datos - Catálogo TIMSS'!$C$5:$C$107,MATCH(L348,'Datos - Catálogo TIMSS'!$A$5:$A$107,0)),"?"))</f>
      </c>
      <c r="P348" t="s" s="35">
        <v>282</v>
      </c>
      <c r="Q348" t="s" s="120">
        <v>3437</v>
      </c>
      <c r="R348" t="s" s="120">
        <v>3023</v>
      </c>
      <c r="S348" s="121" cm="1">
        <f t="array" ref="S348">_xlfn.IFERROR(ISNUMBER(SEARCH("Conocer",$R348))/(ISNUMBER(SEARCH("Conocer",$R348))+ISNUMBER(SEARCH("Aplicar",$R348))+ISNUMBER(SEARCH("Razonar",$R348))),0)</f>
        <v>0</v>
      </c>
      <c r="T348" s="121" cm="1">
        <f t="array" ref="T348">_xlfn.IFERROR(ISNUMBER(SEARCH("Aplicar",$R348))/(ISNUMBER(SEARCH("Conocer",$R348))+ISNUMBER(SEARCH("Aplicar",$R348))+ISNUMBER(SEARCH("Razonar",$R348))),0)</f>
        <v>1</v>
      </c>
      <c r="U348" s="121" cm="1">
        <f t="array" ref="U348">_xlfn.IFERROR(ISNUMBER(SEARCH("Razonar",$R348))/(ISNUMBER(SEARCH("Conocer",$R348))+ISNUMBER(SEARCH("Aplicar",$R348))+ISNUMBER(SEARCH("Razonar",$R348))),0)</f>
        <v>0</v>
      </c>
      <c r="V348" t="s" s="35">
        <v>82</v>
      </c>
      <c r="W348" t="s" s="35">
        <v>115</v>
      </c>
      <c r="X348" s="36" cm="1">
        <f t="array" ref="X348">IF(OR(_xlfn.IFERROR(INDEX('Datos - Catálogo TIMSS'!$I$5:$I$107,MATCH(K348,'Datos - Catálogo TIMSS'!$A$5:$A$107,0)),"No")="Sí",_xlfn.IFERROR(INDEX('Datos - Catálogo TIMSS'!$I$5:$I$107,MATCH(L348,'Datos - Catálogo TIMSS'!$A$5:$A$107,0)),"No")="Sí"),1,0)</f>
        <v>0</v>
      </c>
      <c r="Y348" s="36" cm="1">
        <f t="array" ref="Y348">IF(_xlfn.IFERROR(INDEX('Datos - Catálogo TIMSS'!$J$5:$J$107,MATCH(K348,'Datos - Catálogo TIMSS'!$A$5:$A$107,0)),"No")="Sí",1,0)</f>
        <v>0</v>
      </c>
      <c r="Z348" s="36" cm="1">
        <f t="array" ref="Z348">IF(_xlfn.IFERROR(INDEX('Datos - Catálogo TIMSS'!$J$5:$J$107,MATCH(L348,'Datos - Catálogo TIMSS'!$A$5:$A$107,0)),"No")="Sí",1,0)</f>
        <v>0</v>
      </c>
      <c r="AA348" t="s" s="35">
        <v>3410</v>
      </c>
      <c r="AB348" t="s" s="35">
        <v>3416</v>
      </c>
      <c r="AC348" t="str" s="39">
        <v>Biología</v>
      </c>
      <c r="AD348" t="s" s="35">
        <v>1859</v>
      </c>
      <c r="AE348" t="str" s="39" cm="1">
        <f t="array" ref="AE348">IF(AD348="","",IF(LEFT(AD348,1)="1","C1",IF(LEFT(AD348,1)="2","C2",IF(LEFT(AD348,1)="3","C3",""))))</f>
        <v>C1</v>
      </c>
      <c r="AF348" t="s" s="35">
        <v>1602</v>
      </c>
      <c r="AG348" t="s" s="35">
        <v>1617</v>
      </c>
      <c r="AH348" t="s" s="35">
        <v>1602</v>
      </c>
      <c r="AI348" t="s" s="35">
        <v>1623</v>
      </c>
      <c r="AJ348" t="s" s="35">
        <v>1602</v>
      </c>
      <c r="AK348" s="39"/>
      <c r="AL348" s="39"/>
      <c r="AM348" s="39"/>
      <c r="AN348" s="39"/>
      <c r="AO348" s="39"/>
      <c r="AP348" s="39"/>
      <c r="AQ348" s="39"/>
      <c r="AR348" s="39"/>
      <c r="AS348" s="39"/>
      <c r="AT348" s="39"/>
      <c r="AU348" s="39"/>
      <c r="AV348" s="39"/>
      <c r="AW348" t="str" s="39" cm="1">
        <f t="array" ref="AW348">AF348&amp;"; "&amp;AG348&amp;"; "&amp;AH348&amp;"; "&amp;AI348&amp;"; "&amp;AJ348</f>
        <v>E1; D1; E1; D4; E1</v>
      </c>
    </row>
    <row r="349" ht="13.65" customHeight="1">
      <c r="A349" t="s" s="35">
        <v>3438</v>
      </c>
      <c r="B349" s="36">
        <v>6</v>
      </c>
      <c r="C349" t="s" s="35">
        <v>1823</v>
      </c>
      <c r="D349" t="s" s="35">
        <v>3158</v>
      </c>
      <c r="E349" t="s" s="35">
        <v>3405</v>
      </c>
      <c r="F349" s="36">
        <v>11</v>
      </c>
      <c r="G349" t="s" s="35">
        <v>3406</v>
      </c>
      <c r="H349" t="s" s="35">
        <v>3432</v>
      </c>
      <c r="I349" t="s" s="120">
        <v>3439</v>
      </c>
      <c r="J349" t="s" s="35">
        <v>1164</v>
      </c>
      <c r="K349" t="s" s="35">
        <v>1832</v>
      </c>
      <c r="L349" s="39"/>
      <c r="M349" t="str" s="39">
        <v>Fuera del marco</v>
      </c>
      <c r="N349" t="str" s="39">
        <v>Fuera del marco</v>
      </c>
      <c r="O349" t="str" s="39" cm="1">
        <f t="array" ref="O349">IF(L349="","",_xlfn.IFERROR(INDEX('Datos - Catálogo TIMSS'!$C$5:$C$107,MATCH(L349,'Datos - Catálogo TIMSS'!$A$5:$A$107,0)),"?"))</f>
      </c>
      <c r="P349" t="s" s="35">
        <v>291</v>
      </c>
      <c r="Q349" t="s" s="120">
        <v>3440</v>
      </c>
      <c r="R349" t="s" s="120">
        <v>3441</v>
      </c>
      <c r="S349" s="121" cm="1">
        <f t="array" ref="S349">_xlfn.IFERROR(ISNUMBER(SEARCH("Conocer",$R349))/(ISNUMBER(SEARCH("Conocer",$R349))+ISNUMBER(SEARCH("Aplicar",$R349))+ISNUMBER(SEARCH("Razonar",$R349))),0)</f>
        <v>0</v>
      </c>
      <c r="T349" s="121" cm="1">
        <f t="array" ref="T349">_xlfn.IFERROR(ISNUMBER(SEARCH("Aplicar",$R349))/(ISNUMBER(SEARCH("Conocer",$R349))+ISNUMBER(SEARCH("Aplicar",$R349))+ISNUMBER(SEARCH("Razonar",$R349))),0)</f>
        <v>0.5</v>
      </c>
      <c r="U349" s="121" cm="1">
        <f t="array" ref="U349">_xlfn.IFERROR(ISNUMBER(SEARCH("Razonar",$R349))/(ISNUMBER(SEARCH("Conocer",$R349))+ISNUMBER(SEARCH("Aplicar",$R349))+ISNUMBER(SEARCH("Razonar",$R349))),0)</f>
        <v>0.5</v>
      </c>
      <c r="V349" t="s" s="35">
        <v>82</v>
      </c>
      <c r="W349" t="s" s="35">
        <v>115</v>
      </c>
      <c r="X349" s="36" cm="1">
        <f t="array" ref="X349">IF(OR(_xlfn.IFERROR(INDEX('Datos - Catálogo TIMSS'!$I$5:$I$107,MATCH(K349,'Datos - Catálogo TIMSS'!$A$5:$A$107,0)),"No")="Sí",_xlfn.IFERROR(INDEX('Datos - Catálogo TIMSS'!$I$5:$I$107,MATCH(L349,'Datos - Catálogo TIMSS'!$A$5:$A$107,0)),"No")="Sí"),1,0)</f>
        <v>0</v>
      </c>
      <c r="Y349" s="36" cm="1">
        <f t="array" ref="Y349">IF(_xlfn.IFERROR(INDEX('Datos - Catálogo TIMSS'!$J$5:$J$107,MATCH(K349,'Datos - Catálogo TIMSS'!$A$5:$A$107,0)),"No")="Sí",1,0)</f>
        <v>0</v>
      </c>
      <c r="Z349" s="36" cm="1">
        <f t="array" ref="Z349">IF(_xlfn.IFERROR(INDEX('Datos - Catálogo TIMSS'!$J$5:$J$107,MATCH(L349,'Datos - Catálogo TIMSS'!$A$5:$A$107,0)),"No")="Sí",1,0)</f>
        <v>0</v>
      </c>
      <c r="AA349" t="s" s="35">
        <v>3410</v>
      </c>
      <c r="AB349" s="39"/>
      <c r="AC349" t="str" s="39">
        <v>Biología</v>
      </c>
      <c r="AD349" t="s" s="35">
        <v>1834</v>
      </c>
      <c r="AE349" t="str" s="39" cm="1">
        <f t="array" ref="AE349">IF(AD349="","",IF(LEFT(AD349,1)="1","C1",IF(LEFT(AD349,1)="2","C2",IF(LEFT(AD349,1)="3","C3",""))))</f>
        <v>C2</v>
      </c>
      <c r="AF349" t="s" s="35">
        <v>1602</v>
      </c>
      <c r="AG349" t="s" s="35">
        <v>1607</v>
      </c>
      <c r="AH349" t="s" s="35">
        <v>1602</v>
      </c>
      <c r="AI349" t="s" s="35">
        <v>1619</v>
      </c>
      <c r="AJ349" t="s" s="35">
        <v>1615</v>
      </c>
      <c r="AK349" s="39"/>
      <c r="AL349" s="39"/>
      <c r="AM349" s="39"/>
      <c r="AN349" s="39"/>
      <c r="AO349" s="39"/>
      <c r="AP349" s="39"/>
      <c r="AQ349" s="39"/>
      <c r="AR349" s="39"/>
      <c r="AS349" s="39"/>
      <c r="AT349" s="39"/>
      <c r="AU349" s="39"/>
      <c r="AV349" s="39"/>
      <c r="AW349" t="str" s="39" cm="1">
        <f t="array" ref="AW349">AF349&amp;"; "&amp;AG349&amp;"; "&amp;AH349&amp;"; "&amp;AI349&amp;"; "&amp;AJ349</f>
        <v>E1; E3; E1; D2; E6</v>
      </c>
    </row>
    <row r="350" ht="13.65" customHeight="1">
      <c r="A350" t="s" s="35">
        <v>3442</v>
      </c>
      <c r="B350" s="36">
        <v>6</v>
      </c>
      <c r="C350" t="s" s="35">
        <v>1823</v>
      </c>
      <c r="D350" t="s" s="35">
        <v>3158</v>
      </c>
      <c r="E350" t="s" s="35">
        <v>3405</v>
      </c>
      <c r="F350" s="36">
        <v>12</v>
      </c>
      <c r="G350" t="s" s="35">
        <v>3406</v>
      </c>
      <c r="H350" t="s" s="35">
        <v>3443</v>
      </c>
      <c r="I350" t="s" s="120">
        <v>3444</v>
      </c>
      <c r="J350" t="s" s="35">
        <v>1164</v>
      </c>
      <c r="K350" t="s" s="35">
        <v>1178</v>
      </c>
      <c r="L350" s="39"/>
      <c r="M350" t="str" s="39">
        <v>Biología</v>
      </c>
      <c r="N350" t="str" s="39">
        <v>Ciclos de vida, reproducción y herencia</v>
      </c>
      <c r="O350" t="str" s="39" cm="1">
        <f t="array" ref="O350">IF(L350="","",_xlfn.IFERROR(INDEX('Datos - Catálogo TIMSS'!$C$5:$C$107,MATCH(L350,'Datos - Catálogo TIMSS'!$A$5:$A$107,0)),"?"))</f>
      </c>
      <c r="P350" t="s" s="35">
        <v>254</v>
      </c>
      <c r="Q350" t="s" s="120">
        <v>3445</v>
      </c>
      <c r="R350" t="s" s="120">
        <v>3446</v>
      </c>
      <c r="S350" s="121" cm="1">
        <f t="array" ref="S350">_xlfn.IFERROR(ISNUMBER(SEARCH("Conocer",$R350))/(ISNUMBER(SEARCH("Conocer",$R350))+ISNUMBER(SEARCH("Aplicar",$R350))+ISNUMBER(SEARCH("Razonar",$R350))),0)</f>
        <v>1</v>
      </c>
      <c r="T350" s="121" cm="1">
        <f t="array" ref="T350">_xlfn.IFERROR(ISNUMBER(SEARCH("Aplicar",$R350))/(ISNUMBER(SEARCH("Conocer",$R350))+ISNUMBER(SEARCH("Aplicar",$R350))+ISNUMBER(SEARCH("Razonar",$R350))),0)</f>
        <v>0</v>
      </c>
      <c r="U350" s="121" cm="1">
        <f t="array" ref="U350">_xlfn.IFERROR(ISNUMBER(SEARCH("Razonar",$R350))/(ISNUMBER(SEARCH("Conocer",$R350))+ISNUMBER(SEARCH("Aplicar",$R350))+ISNUMBER(SEARCH("Razonar",$R350))),0)</f>
        <v>0</v>
      </c>
      <c r="V350" t="s" s="35">
        <v>82</v>
      </c>
      <c r="W350" t="s" s="35">
        <v>115</v>
      </c>
      <c r="X350" s="36" cm="1">
        <f t="array" ref="X350">IF(OR(_xlfn.IFERROR(INDEX('Datos - Catálogo TIMSS'!$I$5:$I$107,MATCH(K350,'Datos - Catálogo TIMSS'!$A$5:$A$107,0)),"No")="Sí",_xlfn.IFERROR(INDEX('Datos - Catálogo TIMSS'!$I$5:$I$107,MATCH(L350,'Datos - Catálogo TIMSS'!$A$5:$A$107,0)),"No")="Sí"),1,0)</f>
        <v>0</v>
      </c>
      <c r="Y350" s="36" cm="1">
        <f t="array" ref="Y350">IF(_xlfn.IFERROR(INDEX('Datos - Catálogo TIMSS'!$J$5:$J$107,MATCH(K350,'Datos - Catálogo TIMSS'!$A$5:$A$107,0)),"No")="Sí",1,0)</f>
        <v>0</v>
      </c>
      <c r="Z350" s="36" cm="1">
        <f t="array" ref="Z350">IF(_xlfn.IFERROR(INDEX('Datos - Catálogo TIMSS'!$J$5:$J$107,MATCH(L350,'Datos - Catálogo TIMSS'!$A$5:$A$107,0)),"No")="Sí",1,0)</f>
        <v>0</v>
      </c>
      <c r="AA350" t="s" s="35">
        <v>3410</v>
      </c>
      <c r="AB350" s="39"/>
      <c r="AC350" t="str" s="39">
        <v>Biología</v>
      </c>
      <c r="AD350" t="s" s="35">
        <v>1859</v>
      </c>
      <c r="AE350" t="str" s="39" cm="1">
        <f t="array" ref="AE350">IF(AD350="","",IF(LEFT(AD350,1)="1","C1",IF(LEFT(AD350,1)="2","C2",IF(LEFT(AD350,1)="3","C3",""))))</f>
        <v>C1</v>
      </c>
      <c r="AF350" t="s" s="35">
        <v>1602</v>
      </c>
      <c r="AG350" t="s" s="35">
        <v>1617</v>
      </c>
      <c r="AH350" t="s" s="35">
        <v>1602</v>
      </c>
      <c r="AI350" t="s" s="35">
        <v>1623</v>
      </c>
      <c r="AJ350" t="s" s="35">
        <v>1602</v>
      </c>
      <c r="AK350" s="39"/>
      <c r="AL350" s="39"/>
      <c r="AM350" s="39"/>
      <c r="AN350" s="39"/>
      <c r="AO350" s="39"/>
      <c r="AP350" s="39"/>
      <c r="AQ350" s="39"/>
      <c r="AR350" s="39"/>
      <c r="AS350" s="39"/>
      <c r="AT350" s="39"/>
      <c r="AU350" s="39"/>
      <c r="AV350" s="39"/>
      <c r="AW350" t="str" s="39" cm="1">
        <f t="array" ref="AW350">AF350&amp;"; "&amp;AG350&amp;"; "&amp;AH350&amp;"; "&amp;AI350&amp;"; "&amp;AJ350</f>
        <v>E1; D1; E1; D4; E1</v>
      </c>
    </row>
    <row r="351" ht="13.65" customHeight="1">
      <c r="A351" t="s" s="35">
        <v>3447</v>
      </c>
      <c r="B351" s="36">
        <v>6</v>
      </c>
      <c r="C351" t="s" s="35">
        <v>1823</v>
      </c>
      <c r="D351" t="s" s="35">
        <v>3158</v>
      </c>
      <c r="E351" t="s" s="35">
        <v>3405</v>
      </c>
      <c r="F351" s="36">
        <v>13</v>
      </c>
      <c r="G351" t="s" s="35">
        <v>3406</v>
      </c>
      <c r="H351" t="s" s="35">
        <v>3443</v>
      </c>
      <c r="I351" t="s" s="120">
        <v>3448</v>
      </c>
      <c r="J351" t="s" s="35">
        <v>1164</v>
      </c>
      <c r="K351" t="s" s="35">
        <v>1832</v>
      </c>
      <c r="L351" s="39"/>
      <c r="M351" t="str" s="39">
        <v>Fuera del marco</v>
      </c>
      <c r="N351" t="str" s="39">
        <v>Fuera del marco</v>
      </c>
      <c r="O351" t="str" s="39" cm="1">
        <f t="array" ref="O351">IF(L351="","",_xlfn.IFERROR(INDEX('Datos - Catálogo TIMSS'!$C$5:$C$107,MATCH(L351,'Datos - Catálogo TIMSS'!$A$5:$A$107,0)),"?"))</f>
      </c>
      <c r="P351" t="s" s="35">
        <v>282</v>
      </c>
      <c r="Q351" t="s" s="120">
        <v>3449</v>
      </c>
      <c r="R351" t="s" s="120">
        <v>2066</v>
      </c>
      <c r="S351" s="121" cm="1">
        <f t="array" ref="S351">_xlfn.IFERROR(ISNUMBER(SEARCH("Conocer",$R351))/(ISNUMBER(SEARCH("Conocer",$R351))+ISNUMBER(SEARCH("Aplicar",$R351))+ISNUMBER(SEARCH("Razonar",$R351))),0)</f>
        <v>0</v>
      </c>
      <c r="T351" s="121" cm="1">
        <f t="array" ref="T351">_xlfn.IFERROR(ISNUMBER(SEARCH("Aplicar",$R351))/(ISNUMBER(SEARCH("Conocer",$R351))+ISNUMBER(SEARCH("Aplicar",$R351))+ISNUMBER(SEARCH("Razonar",$R351))),0)</f>
        <v>1</v>
      </c>
      <c r="U351" s="121" cm="1">
        <f t="array" ref="U351">_xlfn.IFERROR(ISNUMBER(SEARCH("Razonar",$R351))/(ISNUMBER(SEARCH("Conocer",$R351))+ISNUMBER(SEARCH("Aplicar",$R351))+ISNUMBER(SEARCH("Razonar",$R351))),0)</f>
        <v>0</v>
      </c>
      <c r="V351" t="s" s="35">
        <v>82</v>
      </c>
      <c r="W351" t="s" s="35">
        <v>115</v>
      </c>
      <c r="X351" s="36" cm="1">
        <f t="array" ref="X351">IF(OR(_xlfn.IFERROR(INDEX('Datos - Catálogo TIMSS'!$I$5:$I$107,MATCH(K351,'Datos - Catálogo TIMSS'!$A$5:$A$107,0)),"No")="Sí",_xlfn.IFERROR(INDEX('Datos - Catálogo TIMSS'!$I$5:$I$107,MATCH(L351,'Datos - Catálogo TIMSS'!$A$5:$A$107,0)),"No")="Sí"),1,0)</f>
        <v>0</v>
      </c>
      <c r="Y351" s="36" cm="1">
        <f t="array" ref="Y351">IF(_xlfn.IFERROR(INDEX('Datos - Catálogo TIMSS'!$J$5:$J$107,MATCH(K351,'Datos - Catálogo TIMSS'!$A$5:$A$107,0)),"No")="Sí",1,0)</f>
        <v>0</v>
      </c>
      <c r="Z351" s="36" cm="1">
        <f t="array" ref="Z351">IF(_xlfn.IFERROR(INDEX('Datos - Catálogo TIMSS'!$J$5:$J$107,MATCH(L351,'Datos - Catálogo TIMSS'!$A$5:$A$107,0)),"No")="Sí",1,0)</f>
        <v>0</v>
      </c>
      <c r="AA351" t="s" s="35">
        <v>3416</v>
      </c>
      <c r="AB351" s="39"/>
      <c r="AC351" t="str" s="39">
        <v>Biología</v>
      </c>
      <c r="AD351" t="s" s="35">
        <v>1859</v>
      </c>
      <c r="AE351" t="str" s="39" cm="1">
        <f t="array" ref="AE351">IF(AD351="","",IF(LEFT(AD351,1)="1","C1",IF(LEFT(AD351,1)="2","C2",IF(LEFT(AD351,1)="3","C3",""))))</f>
        <v>C1</v>
      </c>
      <c r="AF351" t="s" s="35">
        <v>1602</v>
      </c>
      <c r="AG351" t="s" s="35">
        <v>1617</v>
      </c>
      <c r="AH351" t="s" s="35">
        <v>1602</v>
      </c>
      <c r="AI351" t="s" s="35">
        <v>1623</v>
      </c>
      <c r="AJ351" t="s" s="35">
        <v>1602</v>
      </c>
      <c r="AK351" s="39"/>
      <c r="AL351" s="39"/>
      <c r="AM351" s="39"/>
      <c r="AN351" s="39"/>
      <c r="AO351" s="39"/>
      <c r="AP351" s="39"/>
      <c r="AQ351" s="39"/>
      <c r="AR351" s="39"/>
      <c r="AS351" s="39"/>
      <c r="AT351" s="39"/>
      <c r="AU351" s="39"/>
      <c r="AV351" s="39"/>
      <c r="AW351" t="str" s="39" cm="1">
        <f t="array" ref="AW351">AF351&amp;"; "&amp;AG351&amp;"; "&amp;AH351&amp;"; "&amp;AI351&amp;"; "&amp;AJ351</f>
        <v>E1; D1; E1; D4; E1</v>
      </c>
    </row>
    <row r="352" ht="13.65" customHeight="1">
      <c r="A352" t="s" s="35">
        <v>3450</v>
      </c>
      <c r="B352" s="36">
        <v>6</v>
      </c>
      <c r="C352" t="s" s="35">
        <v>1823</v>
      </c>
      <c r="D352" t="s" s="35">
        <v>3158</v>
      </c>
      <c r="E352" t="s" s="35">
        <v>3405</v>
      </c>
      <c r="F352" s="36">
        <v>14</v>
      </c>
      <c r="G352" t="s" s="35">
        <v>3406</v>
      </c>
      <c r="H352" t="s" s="35">
        <v>3443</v>
      </c>
      <c r="I352" t="s" s="120">
        <v>3451</v>
      </c>
      <c r="J352" t="s" s="35">
        <v>1164</v>
      </c>
      <c r="K352" t="s" s="35">
        <v>1832</v>
      </c>
      <c r="L352" s="39"/>
      <c r="M352" t="str" s="39">
        <v>Fuera del marco</v>
      </c>
      <c r="N352" t="str" s="39">
        <v>Fuera del marco</v>
      </c>
      <c r="O352" t="str" s="39" cm="1">
        <f t="array" ref="O352">IF(L352="","",_xlfn.IFERROR(INDEX('Datos - Catálogo TIMSS'!$C$5:$C$107,MATCH(L352,'Datos - Catálogo TIMSS'!$A$5:$A$107,0)),"?"))</f>
      </c>
      <c r="P352" t="s" s="35">
        <v>282</v>
      </c>
      <c r="Q352" t="s" s="120">
        <v>3452</v>
      </c>
      <c r="R352" t="s" s="120">
        <v>2798</v>
      </c>
      <c r="S352" s="121" cm="1">
        <f t="array" ref="S352">_xlfn.IFERROR(ISNUMBER(SEARCH("Conocer",$R352))/(ISNUMBER(SEARCH("Conocer",$R352))+ISNUMBER(SEARCH("Aplicar",$R352))+ISNUMBER(SEARCH("Razonar",$R352))),0)</f>
        <v>0</v>
      </c>
      <c r="T352" s="121" cm="1">
        <f t="array" ref="T352">_xlfn.IFERROR(ISNUMBER(SEARCH("Aplicar",$R352))/(ISNUMBER(SEARCH("Conocer",$R352))+ISNUMBER(SEARCH("Aplicar",$R352))+ISNUMBER(SEARCH("Razonar",$R352))),0)</f>
        <v>1</v>
      </c>
      <c r="U352" s="121" cm="1">
        <f t="array" ref="U352">_xlfn.IFERROR(ISNUMBER(SEARCH("Razonar",$R352))/(ISNUMBER(SEARCH("Conocer",$R352))+ISNUMBER(SEARCH("Aplicar",$R352))+ISNUMBER(SEARCH("Razonar",$R352))),0)</f>
        <v>0</v>
      </c>
      <c r="V352" t="s" s="35">
        <v>82</v>
      </c>
      <c r="W352" t="s" s="35">
        <v>115</v>
      </c>
      <c r="X352" s="36" cm="1">
        <f t="array" ref="X352">IF(OR(_xlfn.IFERROR(INDEX('Datos - Catálogo TIMSS'!$I$5:$I$107,MATCH(K352,'Datos - Catálogo TIMSS'!$A$5:$A$107,0)),"No")="Sí",_xlfn.IFERROR(INDEX('Datos - Catálogo TIMSS'!$I$5:$I$107,MATCH(L352,'Datos - Catálogo TIMSS'!$A$5:$A$107,0)),"No")="Sí"),1,0)</f>
        <v>0</v>
      </c>
      <c r="Y352" s="36" cm="1">
        <f t="array" ref="Y352">IF(_xlfn.IFERROR(INDEX('Datos - Catálogo TIMSS'!$J$5:$J$107,MATCH(K352,'Datos - Catálogo TIMSS'!$A$5:$A$107,0)),"No")="Sí",1,0)</f>
        <v>0</v>
      </c>
      <c r="Z352" s="36" cm="1">
        <f t="array" ref="Z352">IF(_xlfn.IFERROR(INDEX('Datos - Catálogo TIMSS'!$J$5:$J$107,MATCH(L352,'Datos - Catálogo TIMSS'!$A$5:$A$107,0)),"No")="Sí",1,0)</f>
        <v>0</v>
      </c>
      <c r="AA352" t="s" s="35">
        <v>3416</v>
      </c>
      <c r="AB352" s="39"/>
      <c r="AC352" t="str" s="39">
        <v>Biología</v>
      </c>
      <c r="AD352" t="s" s="35">
        <v>1859</v>
      </c>
      <c r="AE352" t="str" s="39" cm="1">
        <f t="array" ref="AE352">IF(AD352="","",IF(LEFT(AD352,1)="1","C1",IF(LEFT(AD352,1)="2","C2",IF(LEFT(AD352,1)="3","C3",""))))</f>
        <v>C1</v>
      </c>
      <c r="AF352" t="s" s="35">
        <v>1602</v>
      </c>
      <c r="AG352" t="s" s="35">
        <v>1617</v>
      </c>
      <c r="AH352" t="s" s="35">
        <v>1609</v>
      </c>
      <c r="AI352" t="s" s="35">
        <v>1609</v>
      </c>
      <c r="AJ352" t="s" s="35">
        <v>1602</v>
      </c>
      <c r="AK352" s="39"/>
      <c r="AL352" s="39"/>
      <c r="AM352" s="39"/>
      <c r="AN352" s="39"/>
      <c r="AO352" s="39"/>
      <c r="AP352" s="39"/>
      <c r="AQ352" s="39"/>
      <c r="AR352" s="39"/>
      <c r="AS352" s="39"/>
      <c r="AT352" s="39"/>
      <c r="AU352" s="39"/>
      <c r="AV352" s="39"/>
      <c r="AW352" t="str" s="39" cm="1">
        <f t="array" ref="AW352">AF352&amp;"; "&amp;AG352&amp;"; "&amp;AH352&amp;"; "&amp;AI352&amp;"; "&amp;AJ352</f>
        <v>E1; D1; E4; E4; E1</v>
      </c>
    </row>
    <row r="353" ht="13.65" customHeight="1">
      <c r="A353" t="s" s="35">
        <v>3453</v>
      </c>
      <c r="B353" s="36">
        <v>7</v>
      </c>
      <c r="C353" t="s" s="35">
        <v>1823</v>
      </c>
      <c r="D353" t="s" s="35">
        <v>3454</v>
      </c>
      <c r="E353" t="s" s="35">
        <v>3455</v>
      </c>
      <c r="F353" s="36">
        <v>3</v>
      </c>
      <c r="G353" t="s" s="35">
        <v>648</v>
      </c>
      <c r="H353" t="s" s="35">
        <v>3456</v>
      </c>
      <c r="I353" t="s" s="120">
        <v>3457</v>
      </c>
      <c r="J353" t="s" s="35">
        <v>1164</v>
      </c>
      <c r="K353" t="s" s="35">
        <v>1212</v>
      </c>
      <c r="L353" s="39"/>
      <c r="M353" t="str" s="39">
        <v>Química</v>
      </c>
      <c r="N353" t="str" s="39">
        <v>Composición de la materia</v>
      </c>
      <c r="O353" t="str" s="39" cm="1">
        <f t="array" ref="O353">IF(L353="","",_xlfn.IFERROR(INDEX('Datos - Catálogo TIMSS'!$C$5:$C$107,MATCH(L353,'Datos - Catálogo TIMSS'!$A$5:$A$107,0)),"?"))</f>
      </c>
      <c r="P353" t="s" s="35">
        <v>254</v>
      </c>
      <c r="Q353" t="s" s="120">
        <v>3458</v>
      </c>
      <c r="R353" t="s" s="120">
        <v>3459</v>
      </c>
      <c r="S353" s="121" cm="1">
        <f t="array" ref="S353">_xlfn.IFERROR(ISNUMBER(SEARCH("Conocer",$R353))/(ISNUMBER(SEARCH("Conocer",$R353))+ISNUMBER(SEARCH("Aplicar",$R353))+ISNUMBER(SEARCH("Razonar",$R353))),0)</f>
        <v>0.5</v>
      </c>
      <c r="T353" s="121" cm="1">
        <f t="array" ref="T353">_xlfn.IFERROR(ISNUMBER(SEARCH("Aplicar",$R353))/(ISNUMBER(SEARCH("Conocer",$R353))+ISNUMBER(SEARCH("Aplicar",$R353))+ISNUMBER(SEARCH("Razonar",$R353))),0)</f>
        <v>0.5</v>
      </c>
      <c r="U353" s="121" cm="1">
        <f t="array" ref="U353">_xlfn.IFERROR(ISNUMBER(SEARCH("Razonar",$R353))/(ISNUMBER(SEARCH("Conocer",$R353))+ISNUMBER(SEARCH("Aplicar",$R353))+ISNUMBER(SEARCH("Razonar",$R353))),0)</f>
        <v>0</v>
      </c>
      <c r="V353" t="s" s="35">
        <v>85</v>
      </c>
      <c r="W353" t="s" s="35">
        <v>115</v>
      </c>
      <c r="X353" s="36" cm="1">
        <f t="array" ref="X353">IF(OR(_xlfn.IFERROR(INDEX('Datos - Catálogo TIMSS'!$I$5:$I$107,MATCH(K353,'Datos - Catálogo TIMSS'!$A$5:$A$107,0)),"No")="Sí",_xlfn.IFERROR(INDEX('Datos - Catálogo TIMSS'!$I$5:$I$107,MATCH(L353,'Datos - Catálogo TIMSS'!$A$5:$A$107,0)),"No")="Sí"),1,0)</f>
        <v>0</v>
      </c>
      <c r="Y353" s="36" cm="1">
        <f t="array" ref="Y353">IF(_xlfn.IFERROR(INDEX('Datos - Catálogo TIMSS'!$J$5:$J$107,MATCH(K353,'Datos - Catálogo TIMSS'!$A$5:$A$107,0)),"No")="Sí",1,0)</f>
        <v>0</v>
      </c>
      <c r="Z353" s="36" cm="1">
        <f t="array" ref="Z353">IF(_xlfn.IFERROR(INDEX('Datos - Catálogo TIMSS'!$J$5:$J$107,MATCH(L353,'Datos - Catálogo TIMSS'!$A$5:$A$107,0)),"No")="Sí",1,0)</f>
        <v>0</v>
      </c>
      <c r="AA353" t="s" s="35">
        <v>3016</v>
      </c>
      <c r="AB353" s="39"/>
      <c r="AC353" t="str" s="39">
        <v>Química</v>
      </c>
      <c r="AD353" t="s" s="35">
        <v>1859</v>
      </c>
      <c r="AE353" t="str" s="39" cm="1">
        <f t="array" ref="AE353">IF(AD353="","",IF(LEFT(AD353,1)="1","C1",IF(LEFT(AD353,1)="2","C2",IF(LEFT(AD353,1)="3","C3",""))))</f>
        <v>C1</v>
      </c>
      <c r="AF353" t="s" s="35">
        <v>1602</v>
      </c>
      <c r="AG353" t="s" s="35">
        <v>1612</v>
      </c>
      <c r="AH353" t="s" s="35">
        <v>1602</v>
      </c>
      <c r="AI353" t="s" s="35">
        <v>1623</v>
      </c>
      <c r="AJ353" t="s" s="35">
        <v>1615</v>
      </c>
      <c r="AK353" t="s" s="35">
        <v>869</v>
      </c>
      <c r="AL353" t="s" s="35">
        <v>822</v>
      </c>
      <c r="AM353" t="str" s="39" cm="1">
        <f t="array" ref="AM353">IF(AK353="FUERA","Fuera del marco",_xlfn.IFERROR(INDEX('Datos - Catálogo PISA'!$C$5:$C$76,MATCH(AK353,'Datos - Catálogo PISA'!$A$5:$A$76,0)),"?"))</f>
        <v>Sistemas físicos</v>
      </c>
      <c r="AN353" t="s" s="35">
        <v>1651</v>
      </c>
      <c r="AO353" s="39"/>
      <c r="AP353" s="39"/>
      <c r="AQ353" t="s" s="35">
        <v>1751</v>
      </c>
      <c r="AR353" t="s" s="35">
        <v>1768</v>
      </c>
      <c r="AS353" t="s" s="35">
        <v>1770</v>
      </c>
      <c r="AT353" t="s" s="35">
        <v>282</v>
      </c>
      <c r="AU353" t="s" s="35">
        <v>3460</v>
      </c>
      <c r="AV353" t="s" s="35">
        <v>139</v>
      </c>
      <c r="AW353" t="str" s="39" cm="1">
        <f t="array" ref="AW353">AF353&amp;"; "&amp;AG353&amp;"; "&amp;AH353&amp;"; "&amp;AI353&amp;"; "&amp;AJ353</f>
        <v>E1; E5; E1; D4; E6</v>
      </c>
    </row>
    <row r="354" ht="13.65" customHeight="1">
      <c r="A354" t="s" s="35">
        <v>3461</v>
      </c>
      <c r="B354" s="36">
        <v>7</v>
      </c>
      <c r="C354" t="s" s="35">
        <v>1823</v>
      </c>
      <c r="D354" t="s" s="35">
        <v>3454</v>
      </c>
      <c r="E354" t="s" s="35">
        <v>3455</v>
      </c>
      <c r="F354" s="36">
        <v>4</v>
      </c>
      <c r="G354" t="s" s="35">
        <v>648</v>
      </c>
      <c r="H354" t="s" s="35">
        <v>3456</v>
      </c>
      <c r="I354" t="s" s="120">
        <v>3462</v>
      </c>
      <c r="J354" t="s" s="35">
        <v>1164</v>
      </c>
      <c r="K354" t="s" s="35">
        <v>1231</v>
      </c>
      <c r="L354" s="39"/>
      <c r="M354" t="str" s="39">
        <v>Química</v>
      </c>
      <c r="N354" t="str" s="39">
        <v>Reacciones químicas</v>
      </c>
      <c r="O354" t="str" s="39" cm="1">
        <f t="array" ref="O354">IF(L354="","",_xlfn.IFERROR(INDEX('Datos - Catálogo TIMSS'!$C$5:$C$107,MATCH(L354,'Datos - Catálogo TIMSS'!$A$5:$A$107,0)),"?"))</f>
      </c>
      <c r="P354" t="s" s="35">
        <v>282</v>
      </c>
      <c r="Q354" t="s" s="120">
        <v>3463</v>
      </c>
      <c r="R354" t="s" s="120">
        <v>3464</v>
      </c>
      <c r="S354" s="121" cm="1">
        <f t="array" ref="S354">_xlfn.IFERROR(ISNUMBER(SEARCH("Conocer",$R354))/(ISNUMBER(SEARCH("Conocer",$R354))+ISNUMBER(SEARCH("Aplicar",$R354))+ISNUMBER(SEARCH("Razonar",$R354))),0)</f>
        <v>0</v>
      </c>
      <c r="T354" s="121" cm="1">
        <f t="array" ref="T354">_xlfn.IFERROR(ISNUMBER(SEARCH("Aplicar",$R354))/(ISNUMBER(SEARCH("Conocer",$R354))+ISNUMBER(SEARCH("Aplicar",$R354))+ISNUMBER(SEARCH("Razonar",$R354))),0)</f>
        <v>1</v>
      </c>
      <c r="U354" s="121" cm="1">
        <f t="array" ref="U354">_xlfn.IFERROR(ISNUMBER(SEARCH("Razonar",$R354))/(ISNUMBER(SEARCH("Conocer",$R354))+ISNUMBER(SEARCH("Aplicar",$R354))+ISNUMBER(SEARCH("Razonar",$R354))),0)</f>
        <v>0</v>
      </c>
      <c r="V354" t="s" s="35">
        <v>85</v>
      </c>
      <c r="W354" t="s" s="35">
        <v>115</v>
      </c>
      <c r="X354" s="36" cm="1">
        <f t="array" ref="X354">IF(OR(_xlfn.IFERROR(INDEX('Datos - Catálogo TIMSS'!$I$5:$I$107,MATCH(K354,'Datos - Catálogo TIMSS'!$A$5:$A$107,0)),"No")="Sí",_xlfn.IFERROR(INDEX('Datos - Catálogo TIMSS'!$I$5:$I$107,MATCH(L354,'Datos - Catálogo TIMSS'!$A$5:$A$107,0)),"No")="Sí"),1,0)</f>
        <v>0</v>
      </c>
      <c r="Y354" s="36" cm="1">
        <f t="array" ref="Y354">IF(_xlfn.IFERROR(INDEX('Datos - Catálogo TIMSS'!$J$5:$J$107,MATCH(K354,'Datos - Catálogo TIMSS'!$A$5:$A$107,0)),"No")="Sí",1,0)</f>
        <v>0</v>
      </c>
      <c r="Z354" s="36" cm="1">
        <f t="array" ref="Z354">IF(_xlfn.IFERROR(INDEX('Datos - Catálogo TIMSS'!$J$5:$J$107,MATCH(L354,'Datos - Catálogo TIMSS'!$A$5:$A$107,0)),"No")="Sí",1,0)</f>
        <v>0</v>
      </c>
      <c r="AA354" t="s" s="35">
        <v>3318</v>
      </c>
      <c r="AB354" t="s" s="35">
        <v>3126</v>
      </c>
      <c r="AC354" t="str" s="39">
        <v>Química</v>
      </c>
      <c r="AD354" t="s" s="35">
        <v>1834</v>
      </c>
      <c r="AE354" t="str" s="39" cm="1">
        <f t="array" ref="AE354">IF(AD354="","",IF(LEFT(AD354,1)="1","C1",IF(LEFT(AD354,1)="2","C2",IF(LEFT(AD354,1)="3","C3",""))))</f>
        <v>C2</v>
      </c>
      <c r="AF354" t="s" s="35">
        <v>1602</v>
      </c>
      <c r="AG354" t="s" s="35">
        <v>1617</v>
      </c>
      <c r="AH354" t="s" s="35">
        <v>1605</v>
      </c>
      <c r="AI354" t="s" s="35">
        <v>1623</v>
      </c>
      <c r="AJ354" t="s" s="35">
        <v>1607</v>
      </c>
      <c r="AK354" t="s" s="35">
        <v>869</v>
      </c>
      <c r="AL354" s="39"/>
      <c r="AM354" t="str" s="39" cm="1">
        <f t="array" ref="AM354">IF(AK354="FUERA","Fuera del marco",_xlfn.IFERROR(INDEX('Datos - Catálogo PISA'!$C$5:$C$76,MATCH(AK354,'Datos - Catálogo PISA'!$A$5:$A$76,0)),"?"))</f>
        <v>Sistemas físicos</v>
      </c>
      <c r="AN354" t="s" s="35">
        <v>1651</v>
      </c>
      <c r="AO354" s="39"/>
      <c r="AP354" s="39"/>
      <c r="AQ354" t="s" s="35">
        <v>1756</v>
      </c>
      <c r="AR354" s="39"/>
      <c r="AS354" t="s" s="35">
        <v>1771</v>
      </c>
      <c r="AT354" t="s" s="35">
        <v>254</v>
      </c>
      <c r="AU354" t="s" s="35">
        <v>3465</v>
      </c>
      <c r="AV354" t="s" s="35">
        <v>139</v>
      </c>
      <c r="AW354" t="str" s="39" cm="1">
        <f t="array" ref="AW354">AF354&amp;"; "&amp;AG354&amp;"; "&amp;AH354&amp;"; "&amp;AI354&amp;"; "&amp;AJ354</f>
        <v>E1; D1; E2; D4; E3</v>
      </c>
    </row>
    <row r="355" ht="13.65" customHeight="1">
      <c r="A355" t="s" s="35">
        <v>3466</v>
      </c>
      <c r="B355" s="36">
        <v>7</v>
      </c>
      <c r="C355" t="s" s="35">
        <v>1823</v>
      </c>
      <c r="D355" t="s" s="35">
        <v>3454</v>
      </c>
      <c r="E355" t="s" s="35">
        <v>3455</v>
      </c>
      <c r="F355" s="36">
        <v>5</v>
      </c>
      <c r="G355" t="s" s="35">
        <v>648</v>
      </c>
      <c r="H355" t="s" s="35">
        <v>3456</v>
      </c>
      <c r="I355" t="s" s="120">
        <v>3467</v>
      </c>
      <c r="J355" t="s" s="35">
        <v>1164</v>
      </c>
      <c r="K355" t="s" s="35">
        <v>1832</v>
      </c>
      <c r="L355" s="39"/>
      <c r="M355" t="str" s="39">
        <v>Fuera del marco</v>
      </c>
      <c r="N355" t="str" s="39">
        <v>Fuera del marco</v>
      </c>
      <c r="O355" t="str" s="39" cm="1">
        <f t="array" ref="O355">IF(L355="","",_xlfn.IFERROR(INDEX('Datos - Catálogo TIMSS'!$C$5:$C$107,MATCH(L355,'Datos - Catálogo TIMSS'!$A$5:$A$107,0)),"?"))</f>
      </c>
      <c r="P355" t="s" s="35">
        <v>282</v>
      </c>
      <c r="Q355" t="s" s="120">
        <v>3468</v>
      </c>
      <c r="R355" t="s" s="120">
        <v>3469</v>
      </c>
      <c r="S355" s="121" cm="1">
        <f t="array" ref="S355">_xlfn.IFERROR(ISNUMBER(SEARCH("Conocer",$R355))/(ISNUMBER(SEARCH("Conocer",$R355))+ISNUMBER(SEARCH("Aplicar",$R355))+ISNUMBER(SEARCH("Razonar",$R355))),0)</f>
        <v>0</v>
      </c>
      <c r="T355" s="121" cm="1">
        <f t="array" ref="T355">_xlfn.IFERROR(ISNUMBER(SEARCH("Aplicar",$R355))/(ISNUMBER(SEARCH("Conocer",$R355))+ISNUMBER(SEARCH("Aplicar",$R355))+ISNUMBER(SEARCH("Razonar",$R355))),0)</f>
        <v>1</v>
      </c>
      <c r="U355" s="121" cm="1">
        <f t="array" ref="U355">_xlfn.IFERROR(ISNUMBER(SEARCH("Razonar",$R355))/(ISNUMBER(SEARCH("Conocer",$R355))+ISNUMBER(SEARCH("Aplicar",$R355))+ISNUMBER(SEARCH("Razonar",$R355))),0)</f>
        <v>0</v>
      </c>
      <c r="V355" t="s" s="35">
        <v>85</v>
      </c>
      <c r="W355" t="s" s="35">
        <v>115</v>
      </c>
      <c r="X355" s="36" cm="1">
        <f t="array" ref="X355">IF(OR(_xlfn.IFERROR(INDEX('Datos - Catálogo TIMSS'!$I$5:$I$107,MATCH(K355,'Datos - Catálogo TIMSS'!$A$5:$A$107,0)),"No")="Sí",_xlfn.IFERROR(INDEX('Datos - Catálogo TIMSS'!$I$5:$I$107,MATCH(L355,'Datos - Catálogo TIMSS'!$A$5:$A$107,0)),"No")="Sí"),1,0)</f>
        <v>0</v>
      </c>
      <c r="Y355" s="36" cm="1">
        <f t="array" ref="Y355">IF(_xlfn.IFERROR(INDEX('Datos - Catálogo TIMSS'!$J$5:$J$107,MATCH(K355,'Datos - Catálogo TIMSS'!$A$5:$A$107,0)),"No")="Sí",1,0)</f>
        <v>0</v>
      </c>
      <c r="Z355" s="36" cm="1">
        <f t="array" ref="Z355">IF(_xlfn.IFERROR(INDEX('Datos - Catálogo TIMSS'!$J$5:$J$107,MATCH(L355,'Datos - Catálogo TIMSS'!$A$5:$A$107,0)),"No")="Sí",1,0)</f>
        <v>0</v>
      </c>
      <c r="AA355" t="s" s="35">
        <v>1832</v>
      </c>
      <c r="AB355" s="39"/>
      <c r="AC355" t="str" s="39">
        <v>Fuera del marco</v>
      </c>
      <c r="AD355" t="s" s="35">
        <v>1859</v>
      </c>
      <c r="AE355" t="str" s="39" cm="1">
        <f t="array" ref="AE355">IF(AD355="","",IF(LEFT(AD355,1)="1","C1",IF(LEFT(AD355,1)="2","C2",IF(LEFT(AD355,1)="3","C3",""))))</f>
        <v>C1</v>
      </c>
      <c r="AF355" t="s" s="35">
        <v>1602</v>
      </c>
      <c r="AG355" t="s" s="35">
        <v>1617</v>
      </c>
      <c r="AH355" t="s" s="35">
        <v>1602</v>
      </c>
      <c r="AI355" t="s" s="35">
        <v>1623</v>
      </c>
      <c r="AJ355" t="s" s="35">
        <v>1602</v>
      </c>
      <c r="AK355" t="s" s="35">
        <v>822</v>
      </c>
      <c r="AL355" s="39"/>
      <c r="AM355" t="str" s="39" cm="1">
        <f t="array" ref="AM355">IF(AK355="FUERA","Fuera del marco",_xlfn.IFERROR(INDEX('Datos - Catálogo PISA'!$C$5:$C$76,MATCH(AK355,'Datos - Catálogo PISA'!$A$5:$A$76,0)),"?"))</f>
        <v>Sistemas físicos</v>
      </c>
      <c r="AN355" t="s" s="35">
        <v>1651</v>
      </c>
      <c r="AO355" s="39"/>
      <c r="AP355" s="39"/>
      <c r="AQ355" t="s" s="35">
        <v>1756</v>
      </c>
      <c r="AR355" s="39"/>
      <c r="AS355" t="s" s="35">
        <v>1771</v>
      </c>
      <c r="AT355" t="s" s="35">
        <v>282</v>
      </c>
      <c r="AU355" t="s" s="35">
        <v>3470</v>
      </c>
      <c r="AV355" t="s" s="35">
        <v>139</v>
      </c>
      <c r="AW355" t="str" s="39" cm="1">
        <f t="array" ref="AW355">AF355&amp;"; "&amp;AG355&amp;"; "&amp;AH355&amp;"; "&amp;AI355&amp;"; "&amp;AJ355</f>
        <v>E1; D1; E1; D4; E1</v>
      </c>
    </row>
    <row r="356" ht="13.65" customHeight="1">
      <c r="A356" t="s" s="35">
        <v>3471</v>
      </c>
      <c r="B356" s="36">
        <v>7</v>
      </c>
      <c r="C356" t="s" s="35">
        <v>1823</v>
      </c>
      <c r="D356" t="s" s="35">
        <v>3454</v>
      </c>
      <c r="E356" t="s" s="35">
        <v>3455</v>
      </c>
      <c r="F356" s="36">
        <v>6</v>
      </c>
      <c r="G356" t="s" s="35">
        <v>648</v>
      </c>
      <c r="H356" t="s" s="35">
        <v>3456</v>
      </c>
      <c r="I356" t="s" s="120">
        <v>3472</v>
      </c>
      <c r="J356" t="s" s="35">
        <v>1164</v>
      </c>
      <c r="K356" t="s" s="35">
        <v>1212</v>
      </c>
      <c r="L356" s="39"/>
      <c r="M356" t="str" s="39">
        <v>Química</v>
      </c>
      <c r="N356" t="str" s="39">
        <v>Composición de la materia</v>
      </c>
      <c r="O356" t="str" s="39" cm="1">
        <f t="array" ref="O356">IF(L356="","",_xlfn.IFERROR(INDEX('Datos - Catálogo TIMSS'!$C$5:$C$107,MATCH(L356,'Datos - Catálogo TIMSS'!$A$5:$A$107,0)),"?"))</f>
      </c>
      <c r="P356" t="s" s="35">
        <v>282</v>
      </c>
      <c r="Q356" t="s" s="120">
        <v>3473</v>
      </c>
      <c r="R356" t="s" s="120">
        <v>3474</v>
      </c>
      <c r="S356" s="121" cm="1">
        <f t="array" ref="S356">_xlfn.IFERROR(ISNUMBER(SEARCH("Conocer",$R356))/(ISNUMBER(SEARCH("Conocer",$R356))+ISNUMBER(SEARCH("Aplicar",$R356))+ISNUMBER(SEARCH("Razonar",$R356))),0)</f>
        <v>0.5</v>
      </c>
      <c r="T356" s="121" cm="1">
        <f t="array" ref="T356">_xlfn.IFERROR(ISNUMBER(SEARCH("Aplicar",$R356))/(ISNUMBER(SEARCH("Conocer",$R356))+ISNUMBER(SEARCH("Aplicar",$R356))+ISNUMBER(SEARCH("Razonar",$R356))),0)</f>
        <v>0</v>
      </c>
      <c r="U356" s="121" cm="1">
        <f t="array" ref="U356">_xlfn.IFERROR(ISNUMBER(SEARCH("Razonar",$R356))/(ISNUMBER(SEARCH("Conocer",$R356))+ISNUMBER(SEARCH("Aplicar",$R356))+ISNUMBER(SEARCH("Razonar",$R356))),0)</f>
        <v>0.5</v>
      </c>
      <c r="V356" t="s" s="35">
        <v>85</v>
      </c>
      <c r="W356" t="s" s="35">
        <v>115</v>
      </c>
      <c r="X356" s="36" cm="1">
        <f t="array" ref="X356">IF(OR(_xlfn.IFERROR(INDEX('Datos - Catálogo TIMSS'!$I$5:$I$107,MATCH(K356,'Datos - Catálogo TIMSS'!$A$5:$A$107,0)),"No")="Sí",_xlfn.IFERROR(INDEX('Datos - Catálogo TIMSS'!$I$5:$I$107,MATCH(L356,'Datos - Catálogo TIMSS'!$A$5:$A$107,0)),"No")="Sí"),1,0)</f>
        <v>0</v>
      </c>
      <c r="Y356" s="36" cm="1">
        <f t="array" ref="Y356">IF(_xlfn.IFERROR(INDEX('Datos - Catálogo TIMSS'!$J$5:$J$107,MATCH(K356,'Datos - Catálogo TIMSS'!$A$5:$A$107,0)),"No")="Sí",1,0)</f>
        <v>0</v>
      </c>
      <c r="Z356" s="36" cm="1">
        <f t="array" ref="Z356">IF(_xlfn.IFERROR(INDEX('Datos - Catálogo TIMSS'!$J$5:$J$107,MATCH(L356,'Datos - Catálogo TIMSS'!$A$5:$A$107,0)),"No")="Sí",1,0)</f>
        <v>0</v>
      </c>
      <c r="AA356" t="s" s="35">
        <v>3016</v>
      </c>
      <c r="AB356" s="39"/>
      <c r="AC356" t="str" s="39">
        <v>Química</v>
      </c>
      <c r="AD356" t="s" s="35">
        <v>1859</v>
      </c>
      <c r="AE356" t="str" s="39" cm="1">
        <f t="array" ref="AE356">IF(AD356="","",IF(LEFT(AD356,1)="1","C1",IF(LEFT(AD356,1)="2","C2",IF(LEFT(AD356,1)="3","C3",""))))</f>
        <v>C1</v>
      </c>
      <c r="AF356" t="s" s="35">
        <v>1602</v>
      </c>
      <c r="AG356" t="s" s="35">
        <v>1617</v>
      </c>
      <c r="AH356" t="s" s="35">
        <v>1602</v>
      </c>
      <c r="AI356" t="s" s="35">
        <v>1623</v>
      </c>
      <c r="AJ356" t="s" s="35">
        <v>1633</v>
      </c>
      <c r="AK356" t="s" s="35">
        <v>822</v>
      </c>
      <c r="AL356" s="39"/>
      <c r="AM356" t="str" s="39" cm="1">
        <f t="array" ref="AM356">IF(AK356="FUERA","Fuera del marco",_xlfn.IFERROR(INDEX('Datos - Catálogo PISA'!$C$5:$C$76,MATCH(AK356,'Datos - Catálogo PISA'!$A$5:$A$76,0)),"?"))</f>
        <v>Sistemas físicos</v>
      </c>
      <c r="AN356" t="s" s="35">
        <v>1651</v>
      </c>
      <c r="AO356" s="39"/>
      <c r="AP356" s="39"/>
      <c r="AQ356" t="s" s="35">
        <v>1751</v>
      </c>
      <c r="AR356" t="s" s="35">
        <v>1768</v>
      </c>
      <c r="AS356" t="s" s="35">
        <v>1770</v>
      </c>
      <c r="AT356" t="s" s="35">
        <v>282</v>
      </c>
      <c r="AU356" t="s" s="35">
        <v>3475</v>
      </c>
      <c r="AV356" t="s" s="35">
        <v>139</v>
      </c>
      <c r="AW356" t="str" s="39" cm="1">
        <f t="array" ref="AW356">AF356&amp;"; "&amp;AG356&amp;"; "&amp;AH356&amp;"; "&amp;AI356&amp;"; "&amp;AJ356</f>
        <v>E1; D1; E1; D4; I5</v>
      </c>
    </row>
    <row r="357" ht="13.65" customHeight="1">
      <c r="A357" t="s" s="35">
        <v>3476</v>
      </c>
      <c r="B357" s="36">
        <v>7</v>
      </c>
      <c r="C357" t="s" s="35">
        <v>1823</v>
      </c>
      <c r="D357" t="s" s="35">
        <v>3454</v>
      </c>
      <c r="E357" t="s" s="35">
        <v>3455</v>
      </c>
      <c r="F357" s="36">
        <v>7</v>
      </c>
      <c r="G357" t="s" s="35">
        <v>648</v>
      </c>
      <c r="H357" t="s" s="35">
        <v>3456</v>
      </c>
      <c r="I357" t="s" s="120">
        <v>3477</v>
      </c>
      <c r="J357" t="s" s="35">
        <v>1164</v>
      </c>
      <c r="K357" t="s" s="35">
        <v>1231</v>
      </c>
      <c r="L357" s="39"/>
      <c r="M357" t="str" s="39">
        <v>Química</v>
      </c>
      <c r="N357" t="str" s="39">
        <v>Reacciones químicas</v>
      </c>
      <c r="O357" t="str" s="39" cm="1">
        <f t="array" ref="O357">IF(L357="","",_xlfn.IFERROR(INDEX('Datos - Catálogo TIMSS'!$C$5:$C$107,MATCH(L357,'Datos - Catálogo TIMSS'!$A$5:$A$107,0)),"?"))</f>
      </c>
      <c r="P357" t="s" s="35">
        <v>282</v>
      </c>
      <c r="Q357" t="s" s="120">
        <v>3463</v>
      </c>
      <c r="R357" t="s" s="120">
        <v>3464</v>
      </c>
      <c r="S357" s="121" cm="1">
        <f t="array" ref="S357">_xlfn.IFERROR(ISNUMBER(SEARCH("Conocer",$R357))/(ISNUMBER(SEARCH("Conocer",$R357))+ISNUMBER(SEARCH("Aplicar",$R357))+ISNUMBER(SEARCH("Razonar",$R357))),0)</f>
        <v>0</v>
      </c>
      <c r="T357" s="121" cm="1">
        <f t="array" ref="T357">_xlfn.IFERROR(ISNUMBER(SEARCH("Aplicar",$R357))/(ISNUMBER(SEARCH("Conocer",$R357))+ISNUMBER(SEARCH("Aplicar",$R357))+ISNUMBER(SEARCH("Razonar",$R357))),0)</f>
        <v>1</v>
      </c>
      <c r="U357" s="121" cm="1">
        <f t="array" ref="U357">_xlfn.IFERROR(ISNUMBER(SEARCH("Razonar",$R357))/(ISNUMBER(SEARCH("Conocer",$R357))+ISNUMBER(SEARCH("Aplicar",$R357))+ISNUMBER(SEARCH("Razonar",$R357))),0)</f>
        <v>0</v>
      </c>
      <c r="V357" t="s" s="35">
        <v>85</v>
      </c>
      <c r="W357" t="s" s="35">
        <v>115</v>
      </c>
      <c r="X357" s="36" cm="1">
        <f t="array" ref="X357">IF(OR(_xlfn.IFERROR(INDEX('Datos - Catálogo TIMSS'!$I$5:$I$107,MATCH(K357,'Datos - Catálogo TIMSS'!$A$5:$A$107,0)),"No")="Sí",_xlfn.IFERROR(INDEX('Datos - Catálogo TIMSS'!$I$5:$I$107,MATCH(L357,'Datos - Catálogo TIMSS'!$A$5:$A$107,0)),"No")="Sí"),1,0)</f>
        <v>0</v>
      </c>
      <c r="Y357" s="36" cm="1">
        <f t="array" ref="Y357">IF(_xlfn.IFERROR(INDEX('Datos - Catálogo TIMSS'!$J$5:$J$107,MATCH(K357,'Datos - Catálogo TIMSS'!$A$5:$A$107,0)),"No")="Sí",1,0)</f>
        <v>0</v>
      </c>
      <c r="Z357" s="36" cm="1">
        <f t="array" ref="Z357">IF(_xlfn.IFERROR(INDEX('Datos - Catálogo TIMSS'!$J$5:$J$107,MATCH(L357,'Datos - Catálogo TIMSS'!$A$5:$A$107,0)),"No")="Sí",1,0)</f>
        <v>0</v>
      </c>
      <c r="AA357" t="s" s="35">
        <v>3318</v>
      </c>
      <c r="AB357" t="s" s="35">
        <v>3126</v>
      </c>
      <c r="AC357" t="str" s="39">
        <v>Química</v>
      </c>
      <c r="AD357" t="s" s="35">
        <v>1834</v>
      </c>
      <c r="AE357" t="str" s="39" cm="1">
        <f t="array" ref="AE357">IF(AD357="","",IF(LEFT(AD357,1)="1","C1",IF(LEFT(AD357,1)="2","C2",IF(LEFT(AD357,1)="3","C3",""))))</f>
        <v>C2</v>
      </c>
      <c r="AF357" t="s" s="35">
        <v>1602</v>
      </c>
      <c r="AG357" t="s" s="35">
        <v>1617</v>
      </c>
      <c r="AH357" t="s" s="35">
        <v>1605</v>
      </c>
      <c r="AI357" t="s" s="35">
        <v>1623</v>
      </c>
      <c r="AJ357" t="s" s="35">
        <v>1607</v>
      </c>
      <c r="AK357" t="s" s="35">
        <v>869</v>
      </c>
      <c r="AL357" s="39"/>
      <c r="AM357" t="str" s="39" cm="1">
        <f t="array" ref="AM357">IF(AK357="FUERA","Fuera del marco",_xlfn.IFERROR(INDEX('Datos - Catálogo PISA'!$C$5:$C$76,MATCH(AK357,'Datos - Catálogo PISA'!$A$5:$A$76,0)),"?"))</f>
        <v>Sistemas físicos</v>
      </c>
      <c r="AN357" t="s" s="35">
        <v>1651</v>
      </c>
      <c r="AO357" s="39"/>
      <c r="AP357" s="39"/>
      <c r="AQ357" t="s" s="35">
        <v>1756</v>
      </c>
      <c r="AR357" s="39"/>
      <c r="AS357" t="s" s="35">
        <v>1771</v>
      </c>
      <c r="AT357" t="s" s="35">
        <v>254</v>
      </c>
      <c r="AU357" t="s" s="35">
        <v>3478</v>
      </c>
      <c r="AV357" t="s" s="35">
        <v>139</v>
      </c>
      <c r="AW357" t="str" s="39" cm="1">
        <f t="array" ref="AW357">AF357&amp;"; "&amp;AG357&amp;"; "&amp;AH357&amp;"; "&amp;AI357&amp;"; "&amp;AJ357</f>
        <v>E1; D1; E2; D4; E3</v>
      </c>
    </row>
    <row r="358" ht="13.65" customHeight="1">
      <c r="A358" t="s" s="35">
        <v>3479</v>
      </c>
      <c r="B358" s="36">
        <v>7</v>
      </c>
      <c r="C358" t="s" s="35">
        <v>1823</v>
      </c>
      <c r="D358" t="s" s="35">
        <v>3454</v>
      </c>
      <c r="E358" t="s" s="35">
        <v>3455</v>
      </c>
      <c r="F358" s="36">
        <v>8</v>
      </c>
      <c r="G358" t="s" s="35">
        <v>648</v>
      </c>
      <c r="H358" t="s" s="35">
        <v>3456</v>
      </c>
      <c r="I358" t="s" s="120">
        <v>3480</v>
      </c>
      <c r="J358" t="s" s="35">
        <v>1164</v>
      </c>
      <c r="K358" t="s" s="35">
        <v>1832</v>
      </c>
      <c r="L358" s="39"/>
      <c r="M358" t="str" s="39">
        <v>Fuera del marco</v>
      </c>
      <c r="N358" t="str" s="39">
        <v>Fuera del marco</v>
      </c>
      <c r="O358" t="str" s="39" cm="1">
        <f t="array" ref="O358">IF(L358="","",_xlfn.IFERROR(INDEX('Datos - Catálogo TIMSS'!$C$5:$C$107,MATCH(L358,'Datos - Catálogo TIMSS'!$A$5:$A$107,0)),"?"))</f>
      </c>
      <c r="P358" t="s" s="35">
        <v>282</v>
      </c>
      <c r="Q358" t="s" s="120">
        <v>3468</v>
      </c>
      <c r="R358" t="s" s="120">
        <v>3469</v>
      </c>
      <c r="S358" s="121" cm="1">
        <f t="array" ref="S358">_xlfn.IFERROR(ISNUMBER(SEARCH("Conocer",$R358))/(ISNUMBER(SEARCH("Conocer",$R358))+ISNUMBER(SEARCH("Aplicar",$R358))+ISNUMBER(SEARCH("Razonar",$R358))),0)</f>
        <v>0</v>
      </c>
      <c r="T358" s="121" cm="1">
        <f t="array" ref="T358">_xlfn.IFERROR(ISNUMBER(SEARCH("Aplicar",$R358))/(ISNUMBER(SEARCH("Conocer",$R358))+ISNUMBER(SEARCH("Aplicar",$R358))+ISNUMBER(SEARCH("Razonar",$R358))),0)</f>
        <v>1</v>
      </c>
      <c r="U358" s="121" cm="1">
        <f t="array" ref="U358">_xlfn.IFERROR(ISNUMBER(SEARCH("Razonar",$R358))/(ISNUMBER(SEARCH("Conocer",$R358))+ISNUMBER(SEARCH("Aplicar",$R358))+ISNUMBER(SEARCH("Razonar",$R358))),0)</f>
        <v>0</v>
      </c>
      <c r="V358" t="s" s="35">
        <v>85</v>
      </c>
      <c r="W358" t="s" s="35">
        <v>115</v>
      </c>
      <c r="X358" s="36" cm="1">
        <f t="array" ref="X358">IF(OR(_xlfn.IFERROR(INDEX('Datos - Catálogo TIMSS'!$I$5:$I$107,MATCH(K358,'Datos - Catálogo TIMSS'!$A$5:$A$107,0)),"No")="Sí",_xlfn.IFERROR(INDEX('Datos - Catálogo TIMSS'!$I$5:$I$107,MATCH(L358,'Datos - Catálogo TIMSS'!$A$5:$A$107,0)),"No")="Sí"),1,0)</f>
        <v>0</v>
      </c>
      <c r="Y358" s="36" cm="1">
        <f t="array" ref="Y358">IF(_xlfn.IFERROR(INDEX('Datos - Catálogo TIMSS'!$J$5:$J$107,MATCH(K358,'Datos - Catálogo TIMSS'!$A$5:$A$107,0)),"No")="Sí",1,0)</f>
        <v>0</v>
      </c>
      <c r="Z358" s="36" cm="1">
        <f t="array" ref="Z358">IF(_xlfn.IFERROR(INDEX('Datos - Catálogo TIMSS'!$J$5:$J$107,MATCH(L358,'Datos - Catálogo TIMSS'!$A$5:$A$107,0)),"No")="Sí",1,0)</f>
        <v>0</v>
      </c>
      <c r="AA358" t="s" s="35">
        <v>1832</v>
      </c>
      <c r="AB358" s="39"/>
      <c r="AC358" t="str" s="39">
        <v>Fuera del marco</v>
      </c>
      <c r="AD358" t="s" s="35">
        <v>1859</v>
      </c>
      <c r="AE358" t="str" s="39" cm="1">
        <f t="array" ref="AE358">IF(AD358="","",IF(LEFT(AD358,1)="1","C1",IF(LEFT(AD358,1)="2","C2",IF(LEFT(AD358,1)="3","C3",""))))</f>
        <v>C1</v>
      </c>
      <c r="AF358" t="s" s="35">
        <v>1602</v>
      </c>
      <c r="AG358" t="s" s="35">
        <v>1617</v>
      </c>
      <c r="AH358" t="s" s="35">
        <v>1602</v>
      </c>
      <c r="AI358" t="s" s="35">
        <v>1623</v>
      </c>
      <c r="AJ358" t="s" s="35">
        <v>1602</v>
      </c>
      <c r="AK358" t="s" s="35">
        <v>822</v>
      </c>
      <c r="AL358" s="39"/>
      <c r="AM358" t="str" s="39" cm="1">
        <f t="array" ref="AM358">IF(AK358="FUERA","Fuera del marco",_xlfn.IFERROR(INDEX('Datos - Catálogo PISA'!$C$5:$C$76,MATCH(AK358,'Datos - Catálogo PISA'!$A$5:$A$76,0)),"?"))</f>
        <v>Sistemas físicos</v>
      </c>
      <c r="AN358" t="s" s="35">
        <v>1651</v>
      </c>
      <c r="AO358" s="39"/>
      <c r="AP358" s="39"/>
      <c r="AQ358" t="s" s="35">
        <v>1756</v>
      </c>
      <c r="AR358" s="39"/>
      <c r="AS358" t="s" s="35">
        <v>1771</v>
      </c>
      <c r="AT358" t="s" s="35">
        <v>282</v>
      </c>
      <c r="AU358" t="s" s="35">
        <v>3481</v>
      </c>
      <c r="AV358" t="s" s="35">
        <v>139</v>
      </c>
      <c r="AW358" t="str" s="39" cm="1">
        <f t="array" ref="AW358">AF358&amp;"; "&amp;AG358&amp;"; "&amp;AH358&amp;"; "&amp;AI358&amp;"; "&amp;AJ358</f>
        <v>E1; D1; E1; D4; E1</v>
      </c>
    </row>
    <row r="359" ht="13.65" customHeight="1">
      <c r="A359" t="s" s="35">
        <v>3482</v>
      </c>
      <c r="B359" s="36">
        <v>7</v>
      </c>
      <c r="C359" t="s" s="35">
        <v>1823</v>
      </c>
      <c r="D359" t="s" s="35">
        <v>3454</v>
      </c>
      <c r="E359" t="s" s="35">
        <v>3455</v>
      </c>
      <c r="F359" s="36">
        <v>9</v>
      </c>
      <c r="G359" t="s" s="35">
        <v>648</v>
      </c>
      <c r="H359" t="s" s="35">
        <v>3483</v>
      </c>
      <c r="I359" t="s" s="120">
        <v>3484</v>
      </c>
      <c r="J359" t="s" s="35">
        <v>1164</v>
      </c>
      <c r="K359" t="s" s="35">
        <v>1224</v>
      </c>
      <c r="L359" t="s" s="35">
        <v>1212</v>
      </c>
      <c r="M359" t="str" s="39">
        <v>Química</v>
      </c>
      <c r="N359" t="str" s="39">
        <v>Propiedades de la materia</v>
      </c>
      <c r="O359" t="str" s="39" cm="1">
        <f t="array" ref="O359">IF(L359="","",_xlfn.IFERROR(INDEX('Datos - Catálogo TIMSS'!$C$5:$C$107,MATCH(L359,'Datos - Catálogo TIMSS'!$A$5:$A$107,0)),"?"))</f>
        <v>Química</v>
      </c>
      <c r="P359" t="s" s="35">
        <v>254</v>
      </c>
      <c r="Q359" t="s" s="120">
        <v>3485</v>
      </c>
      <c r="R359" t="s" s="120">
        <v>3486</v>
      </c>
      <c r="S359" s="121" cm="1">
        <f t="array" ref="S359">_xlfn.IFERROR(ISNUMBER(SEARCH("Conocer",$R359))/(ISNUMBER(SEARCH("Conocer",$R359))+ISNUMBER(SEARCH("Aplicar",$R359))+ISNUMBER(SEARCH("Razonar",$R359))),0)</f>
        <v>0</v>
      </c>
      <c r="T359" s="121" cm="1">
        <f t="array" ref="T359">_xlfn.IFERROR(ISNUMBER(SEARCH("Aplicar",$R359))/(ISNUMBER(SEARCH("Conocer",$R359))+ISNUMBER(SEARCH("Aplicar",$R359))+ISNUMBER(SEARCH("Razonar",$R359))),0)</f>
        <v>1</v>
      </c>
      <c r="U359" s="121" cm="1">
        <f t="array" ref="U359">_xlfn.IFERROR(ISNUMBER(SEARCH("Razonar",$R359))/(ISNUMBER(SEARCH("Conocer",$R359))+ISNUMBER(SEARCH("Aplicar",$R359))+ISNUMBER(SEARCH("Razonar",$R359))),0)</f>
        <v>0</v>
      </c>
      <c r="V359" t="s" s="35">
        <v>85</v>
      </c>
      <c r="W359" t="s" s="35">
        <v>115</v>
      </c>
      <c r="X359" s="36" cm="1">
        <f t="array" ref="X359">IF(OR(_xlfn.IFERROR(INDEX('Datos - Catálogo TIMSS'!$I$5:$I$107,MATCH(K359,'Datos - Catálogo TIMSS'!$A$5:$A$107,0)),"No")="Sí",_xlfn.IFERROR(INDEX('Datos - Catálogo TIMSS'!$I$5:$I$107,MATCH(L359,'Datos - Catálogo TIMSS'!$A$5:$A$107,0)),"No")="Sí"),1,0)</f>
        <v>0</v>
      </c>
      <c r="Y359" s="36" cm="1">
        <f t="array" ref="Y359">IF(_xlfn.IFERROR(INDEX('Datos - Catálogo TIMSS'!$J$5:$J$107,MATCH(K359,'Datos - Catálogo TIMSS'!$A$5:$A$107,0)),"No")="Sí",1,0)</f>
        <v>0</v>
      </c>
      <c r="Z359" s="36" cm="1">
        <f t="array" ref="Z359">IF(_xlfn.IFERROR(INDEX('Datos - Catálogo TIMSS'!$J$5:$J$107,MATCH(L359,'Datos - Catálogo TIMSS'!$A$5:$A$107,0)),"No")="Sí",1,0)</f>
        <v>0</v>
      </c>
      <c r="AA359" t="s" s="35">
        <v>3487</v>
      </c>
      <c r="AB359" t="s" s="35">
        <v>3016</v>
      </c>
      <c r="AC359" t="str" s="39">
        <v>Química</v>
      </c>
      <c r="AD359" t="s" s="35">
        <v>1859</v>
      </c>
      <c r="AE359" t="str" s="39" cm="1">
        <f t="array" ref="AE359">IF(AD359="","",IF(LEFT(AD359,1)="1","C1",IF(LEFT(AD359,1)="2","C2",IF(LEFT(AD359,1)="3","C3",""))))</f>
        <v>C1</v>
      </c>
      <c r="AF359" t="s" s="35">
        <v>1602</v>
      </c>
      <c r="AG359" t="s" s="35">
        <v>1617</v>
      </c>
      <c r="AH359" t="s" s="35">
        <v>1602</v>
      </c>
      <c r="AI359" t="s" s="35">
        <v>1623</v>
      </c>
      <c r="AJ359" t="s" s="35">
        <v>1615</v>
      </c>
      <c r="AK359" t="s" s="35">
        <v>869</v>
      </c>
      <c r="AL359" t="s" s="35">
        <v>822</v>
      </c>
      <c r="AM359" t="str" s="39" cm="1">
        <f t="array" ref="AM359">IF(AK359="FUERA","Fuera del marco",_xlfn.IFERROR(INDEX('Datos - Catálogo PISA'!$C$5:$C$76,MATCH(AK359,'Datos - Catálogo PISA'!$A$5:$A$76,0)),"?"))</f>
        <v>Sistemas físicos</v>
      </c>
      <c r="AN359" t="s" s="35">
        <v>1651</v>
      </c>
      <c r="AO359" t="s" s="35">
        <v>3488</v>
      </c>
      <c r="AP359" s="39"/>
      <c r="AQ359" t="s" s="35">
        <v>1751</v>
      </c>
      <c r="AR359" t="s" s="35">
        <v>1768</v>
      </c>
      <c r="AS359" t="s" s="35">
        <v>1771</v>
      </c>
      <c r="AT359" t="s" s="35">
        <v>254</v>
      </c>
      <c r="AU359" t="s" s="35">
        <v>3489</v>
      </c>
      <c r="AV359" t="s" s="35">
        <v>139</v>
      </c>
      <c r="AW359" t="str" s="39" cm="1">
        <f t="array" ref="AW359">AF359&amp;"; "&amp;AG359&amp;"; "&amp;AH359&amp;"; "&amp;AI359&amp;"; "&amp;AJ359</f>
        <v>E1; D1; E1; D4; E6</v>
      </c>
    </row>
    <row r="360" ht="13.65" customHeight="1">
      <c r="A360" t="s" s="35">
        <v>3490</v>
      </c>
      <c r="B360" s="36">
        <v>7</v>
      </c>
      <c r="C360" t="s" s="35">
        <v>1823</v>
      </c>
      <c r="D360" t="s" s="35">
        <v>3454</v>
      </c>
      <c r="E360" t="s" s="35">
        <v>3455</v>
      </c>
      <c r="F360" s="36">
        <v>10</v>
      </c>
      <c r="G360" t="s" s="35">
        <v>648</v>
      </c>
      <c r="H360" t="s" s="35">
        <v>3483</v>
      </c>
      <c r="I360" t="s" s="120">
        <v>3491</v>
      </c>
      <c r="J360" t="s" s="35">
        <v>1164</v>
      </c>
      <c r="K360" t="s" s="35">
        <v>1231</v>
      </c>
      <c r="L360" s="39"/>
      <c r="M360" t="str" s="39">
        <v>Química</v>
      </c>
      <c r="N360" t="str" s="39">
        <v>Reacciones químicas</v>
      </c>
      <c r="O360" t="str" s="39" cm="1">
        <f t="array" ref="O360">IF(L360="","",_xlfn.IFERROR(INDEX('Datos - Catálogo TIMSS'!$C$5:$C$107,MATCH(L360,'Datos - Catálogo TIMSS'!$A$5:$A$107,0)),"?"))</f>
      </c>
      <c r="P360" t="s" s="35">
        <v>282</v>
      </c>
      <c r="Q360" t="s" s="120">
        <v>3463</v>
      </c>
      <c r="R360" t="s" s="120">
        <v>3464</v>
      </c>
      <c r="S360" s="121" cm="1">
        <f t="array" ref="S360">_xlfn.IFERROR(ISNUMBER(SEARCH("Conocer",$R360))/(ISNUMBER(SEARCH("Conocer",$R360))+ISNUMBER(SEARCH("Aplicar",$R360))+ISNUMBER(SEARCH("Razonar",$R360))),0)</f>
        <v>0</v>
      </c>
      <c r="T360" s="121" cm="1">
        <f t="array" ref="T360">_xlfn.IFERROR(ISNUMBER(SEARCH("Aplicar",$R360))/(ISNUMBER(SEARCH("Conocer",$R360))+ISNUMBER(SEARCH("Aplicar",$R360))+ISNUMBER(SEARCH("Razonar",$R360))),0)</f>
        <v>1</v>
      </c>
      <c r="U360" s="121" cm="1">
        <f t="array" ref="U360">_xlfn.IFERROR(ISNUMBER(SEARCH("Razonar",$R360))/(ISNUMBER(SEARCH("Conocer",$R360))+ISNUMBER(SEARCH("Aplicar",$R360))+ISNUMBER(SEARCH("Razonar",$R360))),0)</f>
        <v>0</v>
      </c>
      <c r="V360" t="s" s="35">
        <v>85</v>
      </c>
      <c r="W360" t="s" s="35">
        <v>115</v>
      </c>
      <c r="X360" s="36" cm="1">
        <f t="array" ref="X360">IF(OR(_xlfn.IFERROR(INDEX('Datos - Catálogo TIMSS'!$I$5:$I$107,MATCH(K360,'Datos - Catálogo TIMSS'!$A$5:$A$107,0)),"No")="Sí",_xlfn.IFERROR(INDEX('Datos - Catálogo TIMSS'!$I$5:$I$107,MATCH(L360,'Datos - Catálogo TIMSS'!$A$5:$A$107,0)),"No")="Sí"),1,0)</f>
        <v>0</v>
      </c>
      <c r="Y360" s="36" cm="1">
        <f t="array" ref="Y360">IF(_xlfn.IFERROR(INDEX('Datos - Catálogo TIMSS'!$J$5:$J$107,MATCH(K360,'Datos - Catálogo TIMSS'!$A$5:$A$107,0)),"No")="Sí",1,0)</f>
        <v>0</v>
      </c>
      <c r="Z360" s="36" cm="1">
        <f t="array" ref="Z360">IF(_xlfn.IFERROR(INDEX('Datos - Catálogo TIMSS'!$J$5:$J$107,MATCH(L360,'Datos - Catálogo TIMSS'!$A$5:$A$107,0)),"No")="Sí",1,0)</f>
        <v>0</v>
      </c>
      <c r="AA360" t="s" s="35">
        <v>3318</v>
      </c>
      <c r="AB360" t="s" s="35">
        <v>3126</v>
      </c>
      <c r="AC360" t="str" s="39">
        <v>Química</v>
      </c>
      <c r="AD360" t="s" s="35">
        <v>1834</v>
      </c>
      <c r="AE360" t="str" s="39" cm="1">
        <f t="array" ref="AE360">IF(AD360="","",IF(LEFT(AD360,1)="1","C1",IF(LEFT(AD360,1)="2","C2",IF(LEFT(AD360,1)="3","C3",""))))</f>
        <v>C2</v>
      </c>
      <c r="AF360" t="s" s="35">
        <v>1602</v>
      </c>
      <c r="AG360" t="s" s="35">
        <v>1617</v>
      </c>
      <c r="AH360" t="s" s="35">
        <v>1605</v>
      </c>
      <c r="AI360" t="s" s="35">
        <v>1623</v>
      </c>
      <c r="AJ360" t="s" s="35">
        <v>1607</v>
      </c>
      <c r="AK360" t="s" s="35">
        <v>869</v>
      </c>
      <c r="AL360" s="39"/>
      <c r="AM360" t="str" s="39" cm="1">
        <f t="array" ref="AM360">IF(AK360="FUERA","Fuera del marco",_xlfn.IFERROR(INDEX('Datos - Catálogo PISA'!$C$5:$C$76,MATCH(AK360,'Datos - Catálogo PISA'!$A$5:$A$76,0)),"?"))</f>
        <v>Sistemas físicos</v>
      </c>
      <c r="AN360" t="s" s="35">
        <v>1651</v>
      </c>
      <c r="AO360" s="39"/>
      <c r="AP360" s="39"/>
      <c r="AQ360" t="s" s="35">
        <v>1756</v>
      </c>
      <c r="AR360" s="39"/>
      <c r="AS360" t="s" s="35">
        <v>1771</v>
      </c>
      <c r="AT360" t="s" s="35">
        <v>254</v>
      </c>
      <c r="AU360" t="s" s="35">
        <v>3492</v>
      </c>
      <c r="AV360" t="s" s="35">
        <v>139</v>
      </c>
      <c r="AW360" t="str" s="39" cm="1">
        <f t="array" ref="AW360">AF360&amp;"; "&amp;AG360&amp;"; "&amp;AH360&amp;"; "&amp;AI360&amp;"; "&amp;AJ360</f>
        <v>E1; D1; E2; D4; E3</v>
      </c>
    </row>
    <row r="361" ht="13.65" customHeight="1">
      <c r="A361" t="s" s="35">
        <v>3493</v>
      </c>
      <c r="B361" s="36">
        <v>7</v>
      </c>
      <c r="C361" t="s" s="35">
        <v>1823</v>
      </c>
      <c r="D361" t="s" s="35">
        <v>3454</v>
      </c>
      <c r="E361" t="s" s="35">
        <v>3455</v>
      </c>
      <c r="F361" s="36">
        <v>11</v>
      </c>
      <c r="G361" t="s" s="35">
        <v>648</v>
      </c>
      <c r="H361" t="s" s="35">
        <v>3483</v>
      </c>
      <c r="I361" t="s" s="120">
        <v>3494</v>
      </c>
      <c r="J361" t="s" s="35">
        <v>1164</v>
      </c>
      <c r="K361" t="s" s="35">
        <v>1832</v>
      </c>
      <c r="L361" s="39"/>
      <c r="M361" t="str" s="39">
        <v>Fuera del marco</v>
      </c>
      <c r="N361" t="str" s="39">
        <v>Fuera del marco</v>
      </c>
      <c r="O361" t="str" s="39" cm="1">
        <f t="array" ref="O361">IF(L361="","",_xlfn.IFERROR(INDEX('Datos - Catálogo TIMSS'!$C$5:$C$107,MATCH(L361,'Datos - Catálogo TIMSS'!$A$5:$A$107,0)),"?"))</f>
      </c>
      <c r="P361" t="s" s="35">
        <v>282</v>
      </c>
      <c r="Q361" t="s" s="120">
        <v>3468</v>
      </c>
      <c r="R361" t="s" s="120">
        <v>3469</v>
      </c>
      <c r="S361" s="121" cm="1">
        <f t="array" ref="S361">_xlfn.IFERROR(ISNUMBER(SEARCH("Conocer",$R361))/(ISNUMBER(SEARCH("Conocer",$R361))+ISNUMBER(SEARCH("Aplicar",$R361))+ISNUMBER(SEARCH("Razonar",$R361))),0)</f>
        <v>0</v>
      </c>
      <c r="T361" s="121" cm="1">
        <f t="array" ref="T361">_xlfn.IFERROR(ISNUMBER(SEARCH("Aplicar",$R361))/(ISNUMBER(SEARCH("Conocer",$R361))+ISNUMBER(SEARCH("Aplicar",$R361))+ISNUMBER(SEARCH("Razonar",$R361))),0)</f>
        <v>1</v>
      </c>
      <c r="U361" s="121" cm="1">
        <f t="array" ref="U361">_xlfn.IFERROR(ISNUMBER(SEARCH("Razonar",$R361))/(ISNUMBER(SEARCH("Conocer",$R361))+ISNUMBER(SEARCH("Aplicar",$R361))+ISNUMBER(SEARCH("Razonar",$R361))),0)</f>
        <v>0</v>
      </c>
      <c r="V361" t="s" s="35">
        <v>85</v>
      </c>
      <c r="W361" t="s" s="35">
        <v>115</v>
      </c>
      <c r="X361" s="36" cm="1">
        <f t="array" ref="X361">IF(OR(_xlfn.IFERROR(INDEX('Datos - Catálogo TIMSS'!$I$5:$I$107,MATCH(K361,'Datos - Catálogo TIMSS'!$A$5:$A$107,0)),"No")="Sí",_xlfn.IFERROR(INDEX('Datos - Catálogo TIMSS'!$I$5:$I$107,MATCH(L361,'Datos - Catálogo TIMSS'!$A$5:$A$107,0)),"No")="Sí"),1,0)</f>
        <v>0</v>
      </c>
      <c r="Y361" s="36" cm="1">
        <f t="array" ref="Y361">IF(_xlfn.IFERROR(INDEX('Datos - Catálogo TIMSS'!$J$5:$J$107,MATCH(K361,'Datos - Catálogo TIMSS'!$A$5:$A$107,0)),"No")="Sí",1,0)</f>
        <v>0</v>
      </c>
      <c r="Z361" s="36" cm="1">
        <f t="array" ref="Z361">IF(_xlfn.IFERROR(INDEX('Datos - Catálogo TIMSS'!$J$5:$J$107,MATCH(L361,'Datos - Catálogo TIMSS'!$A$5:$A$107,0)),"No")="Sí",1,0)</f>
        <v>0</v>
      </c>
      <c r="AA361" t="s" s="35">
        <v>1832</v>
      </c>
      <c r="AB361" s="39"/>
      <c r="AC361" t="str" s="39">
        <v>Fuera del marco</v>
      </c>
      <c r="AD361" t="s" s="35">
        <v>1859</v>
      </c>
      <c r="AE361" t="str" s="39" cm="1">
        <f t="array" ref="AE361">IF(AD361="","",IF(LEFT(AD361,1)="1","C1",IF(LEFT(AD361,1)="2","C2",IF(LEFT(AD361,1)="3","C3",""))))</f>
        <v>C1</v>
      </c>
      <c r="AF361" t="s" s="35">
        <v>1602</v>
      </c>
      <c r="AG361" t="s" s="35">
        <v>1617</v>
      </c>
      <c r="AH361" t="s" s="35">
        <v>1602</v>
      </c>
      <c r="AI361" t="s" s="35">
        <v>1623</v>
      </c>
      <c r="AJ361" t="s" s="35">
        <v>1602</v>
      </c>
      <c r="AK361" t="s" s="35">
        <v>822</v>
      </c>
      <c r="AL361" s="39"/>
      <c r="AM361" t="str" s="39" cm="1">
        <f t="array" ref="AM361">IF(AK361="FUERA","Fuera del marco",_xlfn.IFERROR(INDEX('Datos - Catálogo PISA'!$C$5:$C$76,MATCH(AK361,'Datos - Catálogo PISA'!$A$5:$A$76,0)),"?"))</f>
        <v>Sistemas físicos</v>
      </c>
      <c r="AN361" t="s" s="35">
        <v>1651</v>
      </c>
      <c r="AO361" s="39"/>
      <c r="AP361" s="39"/>
      <c r="AQ361" t="s" s="35">
        <v>1756</v>
      </c>
      <c r="AR361" s="39"/>
      <c r="AS361" t="s" s="35">
        <v>1771</v>
      </c>
      <c r="AT361" t="s" s="35">
        <v>282</v>
      </c>
      <c r="AU361" t="s" s="35">
        <v>3495</v>
      </c>
      <c r="AV361" t="s" s="35">
        <v>139</v>
      </c>
      <c r="AW361" t="str" s="39" cm="1">
        <f t="array" ref="AW361">AF361&amp;"; "&amp;AG361&amp;"; "&amp;AH361&amp;"; "&amp;AI361&amp;"; "&amp;AJ361</f>
        <v>E1; D1; E1; D4; E1</v>
      </c>
    </row>
    <row r="362" ht="13.65" customHeight="1">
      <c r="A362" t="s" s="35">
        <v>3496</v>
      </c>
      <c r="B362" s="36">
        <v>7</v>
      </c>
      <c r="C362" t="s" s="35">
        <v>1823</v>
      </c>
      <c r="D362" t="s" s="35">
        <v>3454</v>
      </c>
      <c r="E362" t="s" s="35">
        <v>3455</v>
      </c>
      <c r="F362" s="36">
        <v>12</v>
      </c>
      <c r="G362" t="s" s="35">
        <v>648</v>
      </c>
      <c r="H362" t="s" s="35">
        <v>3483</v>
      </c>
      <c r="I362" t="s" s="120">
        <v>3497</v>
      </c>
      <c r="J362" t="s" s="35">
        <v>1164</v>
      </c>
      <c r="K362" t="s" s="35">
        <v>1212</v>
      </c>
      <c r="L362" s="39"/>
      <c r="M362" t="str" s="39">
        <v>Química</v>
      </c>
      <c r="N362" t="str" s="39">
        <v>Composición de la materia</v>
      </c>
      <c r="O362" t="str" s="39" cm="1">
        <f t="array" ref="O362">IF(L362="","",_xlfn.IFERROR(INDEX('Datos - Catálogo TIMSS'!$C$5:$C$107,MATCH(L362,'Datos - Catálogo TIMSS'!$A$5:$A$107,0)),"?"))</f>
      </c>
      <c r="P362" t="s" s="35">
        <v>282</v>
      </c>
      <c r="Q362" t="s" s="120">
        <v>3498</v>
      </c>
      <c r="R362" t="s" s="120">
        <v>3459</v>
      </c>
      <c r="S362" s="121" cm="1">
        <f t="array" ref="S362">_xlfn.IFERROR(ISNUMBER(SEARCH("Conocer",$R362))/(ISNUMBER(SEARCH("Conocer",$R362))+ISNUMBER(SEARCH("Aplicar",$R362))+ISNUMBER(SEARCH("Razonar",$R362))),0)</f>
        <v>0.5</v>
      </c>
      <c r="T362" s="121" cm="1">
        <f t="array" ref="T362">_xlfn.IFERROR(ISNUMBER(SEARCH("Aplicar",$R362))/(ISNUMBER(SEARCH("Conocer",$R362))+ISNUMBER(SEARCH("Aplicar",$R362))+ISNUMBER(SEARCH("Razonar",$R362))),0)</f>
        <v>0.5</v>
      </c>
      <c r="U362" s="121" cm="1">
        <f t="array" ref="U362">_xlfn.IFERROR(ISNUMBER(SEARCH("Razonar",$R362))/(ISNUMBER(SEARCH("Conocer",$R362))+ISNUMBER(SEARCH("Aplicar",$R362))+ISNUMBER(SEARCH("Razonar",$R362))),0)</f>
        <v>0</v>
      </c>
      <c r="V362" t="s" s="35">
        <v>85</v>
      </c>
      <c r="W362" t="s" s="35">
        <v>115</v>
      </c>
      <c r="X362" s="36" cm="1">
        <f t="array" ref="X362">IF(OR(_xlfn.IFERROR(INDEX('Datos - Catálogo TIMSS'!$I$5:$I$107,MATCH(K362,'Datos - Catálogo TIMSS'!$A$5:$A$107,0)),"No")="Sí",_xlfn.IFERROR(INDEX('Datos - Catálogo TIMSS'!$I$5:$I$107,MATCH(L362,'Datos - Catálogo TIMSS'!$A$5:$A$107,0)),"No")="Sí"),1,0)</f>
        <v>0</v>
      </c>
      <c r="Y362" s="36" cm="1">
        <f t="array" ref="Y362">IF(_xlfn.IFERROR(INDEX('Datos - Catálogo TIMSS'!$J$5:$J$107,MATCH(K362,'Datos - Catálogo TIMSS'!$A$5:$A$107,0)),"No")="Sí",1,0)</f>
        <v>0</v>
      </c>
      <c r="Z362" s="36" cm="1">
        <f t="array" ref="Z362">IF(_xlfn.IFERROR(INDEX('Datos - Catálogo TIMSS'!$J$5:$J$107,MATCH(L362,'Datos - Catálogo TIMSS'!$A$5:$A$107,0)),"No")="Sí",1,0)</f>
        <v>0</v>
      </c>
      <c r="AA362" t="s" s="35">
        <v>3016</v>
      </c>
      <c r="AB362" t="s" s="35">
        <v>3001</v>
      </c>
      <c r="AC362" t="str" s="39">
        <v>Química</v>
      </c>
      <c r="AD362" t="s" s="35">
        <v>1859</v>
      </c>
      <c r="AE362" t="str" s="39" cm="1">
        <f t="array" ref="AE362">IF(AD362="","",IF(LEFT(AD362,1)="1","C1",IF(LEFT(AD362,1)="2","C2",IF(LEFT(AD362,1)="3","C3",""))))</f>
        <v>C1</v>
      </c>
      <c r="AF362" t="s" s="35">
        <v>1602</v>
      </c>
      <c r="AG362" t="s" s="35">
        <v>1617</v>
      </c>
      <c r="AH362" t="s" s="35">
        <v>1602</v>
      </c>
      <c r="AI362" t="s" s="35">
        <v>1623</v>
      </c>
      <c r="AJ362" t="s" s="35">
        <v>1615</v>
      </c>
      <c r="AK362" t="s" s="35">
        <v>822</v>
      </c>
      <c r="AL362" s="39"/>
      <c r="AM362" t="str" s="39" cm="1">
        <f t="array" ref="AM362">IF(AK362="FUERA","Fuera del marco",_xlfn.IFERROR(INDEX('Datos - Catálogo PISA'!$C$5:$C$76,MATCH(AK362,'Datos - Catálogo PISA'!$A$5:$A$76,0)),"?"))</f>
        <v>Sistemas físicos</v>
      </c>
      <c r="AN362" t="s" s="35">
        <v>1651</v>
      </c>
      <c r="AO362" s="39"/>
      <c r="AP362" s="39"/>
      <c r="AQ362" t="s" s="35">
        <v>1751</v>
      </c>
      <c r="AR362" t="s" s="35">
        <v>1768</v>
      </c>
      <c r="AS362" t="s" s="35">
        <v>1770</v>
      </c>
      <c r="AT362" t="s" s="35">
        <v>282</v>
      </c>
      <c r="AU362" t="s" s="35">
        <v>3499</v>
      </c>
      <c r="AV362" t="s" s="35">
        <v>139</v>
      </c>
      <c r="AW362" t="str" s="39" cm="1">
        <f t="array" ref="AW362">AF362&amp;"; "&amp;AG362&amp;"; "&amp;AH362&amp;"; "&amp;AI362&amp;"; "&amp;AJ362</f>
        <v>E1; D1; E1; D4; E6</v>
      </c>
    </row>
    <row r="363" ht="13.65" customHeight="1">
      <c r="A363" t="s" s="35">
        <v>3500</v>
      </c>
      <c r="B363" s="36">
        <v>7</v>
      </c>
      <c r="C363" t="s" s="35">
        <v>1823</v>
      </c>
      <c r="D363" t="s" s="35">
        <v>3454</v>
      </c>
      <c r="E363" t="s" s="35">
        <v>3455</v>
      </c>
      <c r="F363" s="36">
        <v>13</v>
      </c>
      <c r="G363" t="s" s="35">
        <v>648</v>
      </c>
      <c r="H363" t="s" s="35">
        <v>3483</v>
      </c>
      <c r="I363" t="s" s="120">
        <v>3501</v>
      </c>
      <c r="J363" t="s" s="35">
        <v>1164</v>
      </c>
      <c r="K363" t="s" s="35">
        <v>1231</v>
      </c>
      <c r="L363" s="39"/>
      <c r="M363" t="str" s="39">
        <v>Química</v>
      </c>
      <c r="N363" t="str" s="39">
        <v>Reacciones químicas</v>
      </c>
      <c r="O363" t="str" s="39" cm="1">
        <f t="array" ref="O363">IF(L363="","",_xlfn.IFERROR(INDEX('Datos - Catálogo TIMSS'!$C$5:$C$107,MATCH(L363,'Datos - Catálogo TIMSS'!$A$5:$A$107,0)),"?"))</f>
      </c>
      <c r="P363" t="s" s="35">
        <v>282</v>
      </c>
      <c r="Q363" t="s" s="120">
        <v>3463</v>
      </c>
      <c r="R363" t="s" s="120">
        <v>3464</v>
      </c>
      <c r="S363" s="121" cm="1">
        <f t="array" ref="S363">_xlfn.IFERROR(ISNUMBER(SEARCH("Conocer",$R363))/(ISNUMBER(SEARCH("Conocer",$R363))+ISNUMBER(SEARCH("Aplicar",$R363))+ISNUMBER(SEARCH("Razonar",$R363))),0)</f>
        <v>0</v>
      </c>
      <c r="T363" s="121" cm="1">
        <f t="array" ref="T363">_xlfn.IFERROR(ISNUMBER(SEARCH("Aplicar",$R363))/(ISNUMBER(SEARCH("Conocer",$R363))+ISNUMBER(SEARCH("Aplicar",$R363))+ISNUMBER(SEARCH("Razonar",$R363))),0)</f>
        <v>1</v>
      </c>
      <c r="U363" s="121" cm="1">
        <f t="array" ref="U363">_xlfn.IFERROR(ISNUMBER(SEARCH("Razonar",$R363))/(ISNUMBER(SEARCH("Conocer",$R363))+ISNUMBER(SEARCH("Aplicar",$R363))+ISNUMBER(SEARCH("Razonar",$R363))),0)</f>
        <v>0</v>
      </c>
      <c r="V363" t="s" s="35">
        <v>85</v>
      </c>
      <c r="W363" t="s" s="35">
        <v>115</v>
      </c>
      <c r="X363" s="36" cm="1">
        <f t="array" ref="X363">IF(OR(_xlfn.IFERROR(INDEX('Datos - Catálogo TIMSS'!$I$5:$I$107,MATCH(K363,'Datos - Catálogo TIMSS'!$A$5:$A$107,0)),"No")="Sí",_xlfn.IFERROR(INDEX('Datos - Catálogo TIMSS'!$I$5:$I$107,MATCH(L363,'Datos - Catálogo TIMSS'!$A$5:$A$107,0)),"No")="Sí"),1,0)</f>
        <v>0</v>
      </c>
      <c r="Y363" s="36" cm="1">
        <f t="array" ref="Y363">IF(_xlfn.IFERROR(INDEX('Datos - Catálogo TIMSS'!$J$5:$J$107,MATCH(K363,'Datos - Catálogo TIMSS'!$A$5:$A$107,0)),"No")="Sí",1,0)</f>
        <v>0</v>
      </c>
      <c r="Z363" s="36" cm="1">
        <f t="array" ref="Z363">IF(_xlfn.IFERROR(INDEX('Datos - Catálogo TIMSS'!$J$5:$J$107,MATCH(L363,'Datos - Catálogo TIMSS'!$A$5:$A$107,0)),"No")="Sí",1,0)</f>
        <v>0</v>
      </c>
      <c r="AA363" t="s" s="35">
        <v>3318</v>
      </c>
      <c r="AB363" t="s" s="35">
        <v>3126</v>
      </c>
      <c r="AC363" t="str" s="39">
        <v>Química</v>
      </c>
      <c r="AD363" t="s" s="35">
        <v>1834</v>
      </c>
      <c r="AE363" t="str" s="39" cm="1">
        <f t="array" ref="AE363">IF(AD363="","",IF(LEFT(AD363,1)="1","C1",IF(LEFT(AD363,1)="2","C2",IF(LEFT(AD363,1)="3","C3",""))))</f>
        <v>C2</v>
      </c>
      <c r="AF363" t="s" s="35">
        <v>1602</v>
      </c>
      <c r="AG363" t="s" s="35">
        <v>1617</v>
      </c>
      <c r="AH363" t="s" s="35">
        <v>1605</v>
      </c>
      <c r="AI363" t="s" s="35">
        <v>1623</v>
      </c>
      <c r="AJ363" t="s" s="35">
        <v>1607</v>
      </c>
      <c r="AK363" t="s" s="35">
        <v>869</v>
      </c>
      <c r="AL363" s="39"/>
      <c r="AM363" t="str" s="39" cm="1">
        <f t="array" ref="AM363">IF(AK363="FUERA","Fuera del marco",_xlfn.IFERROR(INDEX('Datos - Catálogo PISA'!$C$5:$C$76,MATCH(AK363,'Datos - Catálogo PISA'!$A$5:$A$76,0)),"?"))</f>
        <v>Sistemas físicos</v>
      </c>
      <c r="AN363" t="s" s="35">
        <v>1651</v>
      </c>
      <c r="AO363" s="39"/>
      <c r="AP363" s="39"/>
      <c r="AQ363" t="s" s="35">
        <v>1756</v>
      </c>
      <c r="AR363" s="39"/>
      <c r="AS363" t="s" s="35">
        <v>1771</v>
      </c>
      <c r="AT363" t="s" s="35">
        <v>254</v>
      </c>
      <c r="AU363" t="s" s="35">
        <v>3502</v>
      </c>
      <c r="AV363" t="s" s="35">
        <v>139</v>
      </c>
      <c r="AW363" t="str" s="39" cm="1">
        <f t="array" ref="AW363">AF363&amp;"; "&amp;AG363&amp;"; "&amp;AH363&amp;"; "&amp;AI363&amp;"; "&amp;AJ363</f>
        <v>E1; D1; E2; D4; E3</v>
      </c>
    </row>
    <row r="364" ht="13.65" customHeight="1">
      <c r="A364" t="s" s="35">
        <v>3503</v>
      </c>
      <c r="B364" s="36">
        <v>7</v>
      </c>
      <c r="C364" t="s" s="35">
        <v>1823</v>
      </c>
      <c r="D364" t="s" s="35">
        <v>3454</v>
      </c>
      <c r="E364" t="s" s="35">
        <v>3455</v>
      </c>
      <c r="F364" s="36">
        <v>14</v>
      </c>
      <c r="G364" t="s" s="35">
        <v>648</v>
      </c>
      <c r="H364" t="s" s="35">
        <v>3483</v>
      </c>
      <c r="I364" t="s" s="120">
        <v>3504</v>
      </c>
      <c r="J364" t="s" s="35">
        <v>1164</v>
      </c>
      <c r="K364" t="s" s="35">
        <v>1832</v>
      </c>
      <c r="L364" s="39"/>
      <c r="M364" t="str" s="39">
        <v>Fuera del marco</v>
      </c>
      <c r="N364" t="str" s="39">
        <v>Fuera del marco</v>
      </c>
      <c r="O364" t="str" s="39" cm="1">
        <f t="array" ref="O364">IF(L364="","",_xlfn.IFERROR(INDEX('Datos - Catálogo TIMSS'!$C$5:$C$107,MATCH(L364,'Datos - Catálogo TIMSS'!$A$5:$A$107,0)),"?"))</f>
      </c>
      <c r="P364" t="s" s="35">
        <v>282</v>
      </c>
      <c r="Q364" t="s" s="120">
        <v>3468</v>
      </c>
      <c r="R364" t="s" s="120">
        <v>3469</v>
      </c>
      <c r="S364" s="121" cm="1">
        <f t="array" ref="S364">_xlfn.IFERROR(ISNUMBER(SEARCH("Conocer",$R364))/(ISNUMBER(SEARCH("Conocer",$R364))+ISNUMBER(SEARCH("Aplicar",$R364))+ISNUMBER(SEARCH("Razonar",$R364))),0)</f>
        <v>0</v>
      </c>
      <c r="T364" s="121" cm="1">
        <f t="array" ref="T364">_xlfn.IFERROR(ISNUMBER(SEARCH("Aplicar",$R364))/(ISNUMBER(SEARCH("Conocer",$R364))+ISNUMBER(SEARCH("Aplicar",$R364))+ISNUMBER(SEARCH("Razonar",$R364))),0)</f>
        <v>1</v>
      </c>
      <c r="U364" s="121" cm="1">
        <f t="array" ref="U364">_xlfn.IFERROR(ISNUMBER(SEARCH("Razonar",$R364))/(ISNUMBER(SEARCH("Conocer",$R364))+ISNUMBER(SEARCH("Aplicar",$R364))+ISNUMBER(SEARCH("Razonar",$R364))),0)</f>
        <v>0</v>
      </c>
      <c r="V364" t="s" s="35">
        <v>85</v>
      </c>
      <c r="W364" t="s" s="35">
        <v>115</v>
      </c>
      <c r="X364" s="36" cm="1">
        <f t="array" ref="X364">IF(OR(_xlfn.IFERROR(INDEX('Datos - Catálogo TIMSS'!$I$5:$I$107,MATCH(K364,'Datos - Catálogo TIMSS'!$A$5:$A$107,0)),"No")="Sí",_xlfn.IFERROR(INDEX('Datos - Catálogo TIMSS'!$I$5:$I$107,MATCH(L364,'Datos - Catálogo TIMSS'!$A$5:$A$107,0)),"No")="Sí"),1,0)</f>
        <v>0</v>
      </c>
      <c r="Y364" s="36" cm="1">
        <f t="array" ref="Y364">IF(_xlfn.IFERROR(INDEX('Datos - Catálogo TIMSS'!$J$5:$J$107,MATCH(K364,'Datos - Catálogo TIMSS'!$A$5:$A$107,0)),"No")="Sí",1,0)</f>
        <v>0</v>
      </c>
      <c r="Z364" s="36" cm="1">
        <f t="array" ref="Z364">IF(_xlfn.IFERROR(INDEX('Datos - Catálogo TIMSS'!$J$5:$J$107,MATCH(L364,'Datos - Catálogo TIMSS'!$A$5:$A$107,0)),"No")="Sí",1,0)</f>
        <v>0</v>
      </c>
      <c r="AA364" t="s" s="35">
        <v>1832</v>
      </c>
      <c r="AB364" s="39"/>
      <c r="AC364" t="str" s="39">
        <v>Fuera del marco</v>
      </c>
      <c r="AD364" t="s" s="35">
        <v>1859</v>
      </c>
      <c r="AE364" t="str" s="39" cm="1">
        <f t="array" ref="AE364">IF(AD364="","",IF(LEFT(AD364,1)="1","C1",IF(LEFT(AD364,1)="2","C2",IF(LEFT(AD364,1)="3","C3",""))))</f>
        <v>C1</v>
      </c>
      <c r="AF364" t="s" s="35">
        <v>1602</v>
      </c>
      <c r="AG364" t="s" s="35">
        <v>1617</v>
      </c>
      <c r="AH364" t="s" s="35">
        <v>1602</v>
      </c>
      <c r="AI364" t="s" s="35">
        <v>1623</v>
      </c>
      <c r="AJ364" t="s" s="35">
        <v>1602</v>
      </c>
      <c r="AK364" t="s" s="35">
        <v>822</v>
      </c>
      <c r="AL364" s="39"/>
      <c r="AM364" t="str" s="39" cm="1">
        <f t="array" ref="AM364">IF(AK364="FUERA","Fuera del marco",_xlfn.IFERROR(INDEX('Datos - Catálogo PISA'!$C$5:$C$76,MATCH(AK364,'Datos - Catálogo PISA'!$A$5:$A$76,0)),"?"))</f>
        <v>Sistemas físicos</v>
      </c>
      <c r="AN364" t="s" s="35">
        <v>1651</v>
      </c>
      <c r="AO364" s="39"/>
      <c r="AP364" s="39"/>
      <c r="AQ364" t="s" s="35">
        <v>1756</v>
      </c>
      <c r="AR364" s="39"/>
      <c r="AS364" t="s" s="35">
        <v>1771</v>
      </c>
      <c r="AT364" t="s" s="35">
        <v>282</v>
      </c>
      <c r="AU364" t="s" s="35">
        <v>3505</v>
      </c>
      <c r="AV364" t="s" s="35">
        <v>139</v>
      </c>
      <c r="AW364" t="str" s="39" cm="1">
        <f t="array" ref="AW364">AF364&amp;"; "&amp;AG364&amp;"; "&amp;AH364&amp;"; "&amp;AI364&amp;"; "&amp;AJ364</f>
        <v>E1; D1; E1; D4; E1</v>
      </c>
    </row>
    <row r="365" ht="13.65" customHeight="1">
      <c r="A365" t="s" s="35">
        <v>3506</v>
      </c>
      <c r="B365" s="36">
        <v>7</v>
      </c>
      <c r="C365" t="s" s="35">
        <v>1823</v>
      </c>
      <c r="D365" t="s" s="35">
        <v>3454</v>
      </c>
      <c r="E365" t="s" s="35">
        <v>3507</v>
      </c>
      <c r="F365" s="36">
        <v>3</v>
      </c>
      <c r="G365" t="s" s="35">
        <v>3508</v>
      </c>
      <c r="H365" t="s" s="35">
        <v>3509</v>
      </c>
      <c r="I365" t="s" s="120">
        <v>3510</v>
      </c>
      <c r="J365" t="s" s="35">
        <v>1164</v>
      </c>
      <c r="K365" t="s" s="35">
        <v>1178</v>
      </c>
      <c r="L365" s="39"/>
      <c r="M365" t="str" s="39">
        <v>Biología</v>
      </c>
      <c r="N365" t="str" s="39">
        <v>Ciclos de vida, reproducción y herencia</v>
      </c>
      <c r="O365" t="str" s="39" cm="1">
        <f t="array" ref="O365">IF(L365="","",_xlfn.IFERROR(INDEX('Datos - Catálogo TIMSS'!$C$5:$C$107,MATCH(L365,'Datos - Catálogo TIMSS'!$A$5:$A$107,0)),"?"))</f>
      </c>
      <c r="P365" t="s" s="35">
        <v>254</v>
      </c>
      <c r="Q365" t="s" s="120">
        <v>3511</v>
      </c>
      <c r="R365" t="s" s="120">
        <v>2750</v>
      </c>
      <c r="S365" s="121" cm="1">
        <f t="array" ref="S365">_xlfn.IFERROR(ISNUMBER(SEARCH("Conocer",$R365))/(ISNUMBER(SEARCH("Conocer",$R365))+ISNUMBER(SEARCH("Aplicar",$R365))+ISNUMBER(SEARCH("Razonar",$R365))),0)</f>
        <v>1</v>
      </c>
      <c r="T365" s="121" cm="1">
        <f t="array" ref="T365">_xlfn.IFERROR(ISNUMBER(SEARCH("Aplicar",$R365))/(ISNUMBER(SEARCH("Conocer",$R365))+ISNUMBER(SEARCH("Aplicar",$R365))+ISNUMBER(SEARCH("Razonar",$R365))),0)</f>
        <v>0</v>
      </c>
      <c r="U365" s="121" cm="1">
        <f t="array" ref="U365">_xlfn.IFERROR(ISNUMBER(SEARCH("Razonar",$R365))/(ISNUMBER(SEARCH("Conocer",$R365))+ISNUMBER(SEARCH("Aplicar",$R365))+ISNUMBER(SEARCH("Razonar",$R365))),0)</f>
        <v>0</v>
      </c>
      <c r="V365" t="s" s="35">
        <v>85</v>
      </c>
      <c r="W365" t="s" s="35">
        <v>115</v>
      </c>
      <c r="X365" s="36" cm="1">
        <f t="array" ref="X365">IF(OR(_xlfn.IFERROR(INDEX('Datos - Catálogo TIMSS'!$I$5:$I$107,MATCH(K365,'Datos - Catálogo TIMSS'!$A$5:$A$107,0)),"No")="Sí",_xlfn.IFERROR(INDEX('Datos - Catálogo TIMSS'!$I$5:$I$107,MATCH(L365,'Datos - Catálogo TIMSS'!$A$5:$A$107,0)),"No")="Sí"),1,0)</f>
        <v>0</v>
      </c>
      <c r="Y365" s="36" cm="1">
        <f t="array" ref="Y365">IF(_xlfn.IFERROR(INDEX('Datos - Catálogo TIMSS'!$J$5:$J$107,MATCH(K365,'Datos - Catálogo TIMSS'!$A$5:$A$107,0)),"No")="Sí",1,0)</f>
        <v>0</v>
      </c>
      <c r="Z365" s="36" cm="1">
        <f t="array" ref="Z365">IF(_xlfn.IFERROR(INDEX('Datos - Catálogo TIMSS'!$J$5:$J$107,MATCH(L365,'Datos - Catálogo TIMSS'!$A$5:$A$107,0)),"No")="Sí",1,0)</f>
        <v>0</v>
      </c>
      <c r="AA365" t="s" s="35">
        <v>3410</v>
      </c>
      <c r="AB365" s="39"/>
      <c r="AC365" t="str" s="39">
        <v>Biología</v>
      </c>
      <c r="AD365" t="s" s="35">
        <v>1859</v>
      </c>
      <c r="AE365" t="str" s="39" cm="1">
        <f t="array" ref="AE365">IF(AD365="","",IF(LEFT(AD365,1)="1","C1",IF(LEFT(AD365,1)="2","C2",IF(LEFT(AD365,1)="3","C3",""))))</f>
        <v>C1</v>
      </c>
      <c r="AF365" t="s" s="35">
        <v>1602</v>
      </c>
      <c r="AG365" t="s" s="35">
        <v>1617</v>
      </c>
      <c r="AH365" t="s" s="35">
        <v>1602</v>
      </c>
      <c r="AI365" t="s" s="35">
        <v>1623</v>
      </c>
      <c r="AJ365" t="s" s="35">
        <v>1615</v>
      </c>
      <c r="AK365" t="s" s="35">
        <v>786</v>
      </c>
      <c r="AL365" s="39"/>
      <c r="AM365" t="str" s="39" cm="1">
        <f t="array" ref="AM365">IF(AK365="FUERA","Fuera del marco",_xlfn.IFERROR(INDEX('Datos - Catálogo PISA'!$C$5:$C$76,MATCH(AK365,'Datos - Catálogo PISA'!$A$5:$A$76,0)),"?"))</f>
        <v>Sistemas vivos</v>
      </c>
      <c r="AN365" t="s" s="35">
        <v>1651</v>
      </c>
      <c r="AO365" s="39"/>
      <c r="AP365" s="39"/>
      <c r="AQ365" t="s" s="35">
        <v>1756</v>
      </c>
      <c r="AR365" s="39"/>
      <c r="AS365" t="s" s="35">
        <v>1771</v>
      </c>
      <c r="AT365" t="s" s="35">
        <v>254</v>
      </c>
      <c r="AU365" t="s" s="35">
        <v>3512</v>
      </c>
      <c r="AV365" t="s" s="35">
        <v>139</v>
      </c>
      <c r="AW365" t="str" s="39" cm="1">
        <f t="array" ref="AW365">AF365&amp;"; "&amp;AG365&amp;"; "&amp;AH365&amp;"; "&amp;AI365&amp;"; "&amp;AJ365</f>
        <v>E1; D1; E1; D4; E6</v>
      </c>
    </row>
    <row r="366" ht="13.65" customHeight="1">
      <c r="A366" t="s" s="35">
        <v>3513</v>
      </c>
      <c r="B366" s="36">
        <v>7</v>
      </c>
      <c r="C366" t="s" s="35">
        <v>1823</v>
      </c>
      <c r="D366" t="s" s="35">
        <v>3454</v>
      </c>
      <c r="E366" t="s" s="35">
        <v>3507</v>
      </c>
      <c r="F366" s="36">
        <v>4</v>
      </c>
      <c r="G366" t="s" s="35">
        <v>3508</v>
      </c>
      <c r="H366" t="s" s="35">
        <v>3509</v>
      </c>
      <c r="I366" t="s" s="120">
        <v>3514</v>
      </c>
      <c r="J366" t="s" s="35">
        <v>1164</v>
      </c>
      <c r="K366" t="s" s="35">
        <v>1178</v>
      </c>
      <c r="L366" t="s" s="35">
        <v>1207</v>
      </c>
      <c r="M366" t="str" s="39">
        <v>Biología</v>
      </c>
      <c r="N366" t="str" s="39">
        <v>Ciclos de vida, reproducción y herencia</v>
      </c>
      <c r="O366" t="str" s="39" cm="1">
        <f t="array" ref="O366">IF(L366="","",_xlfn.IFERROR(INDEX('Datos - Catálogo TIMSS'!$C$5:$C$107,MATCH(L366,'Datos - Catálogo TIMSS'!$A$5:$A$107,0)),"?"))</f>
        <v>Biología</v>
      </c>
      <c r="P366" t="s" s="35">
        <v>282</v>
      </c>
      <c r="Q366" t="s" s="120">
        <v>3515</v>
      </c>
      <c r="R366" t="s" s="120">
        <v>3516</v>
      </c>
      <c r="S366" s="121" cm="1">
        <f t="array" ref="S366">_xlfn.IFERROR(ISNUMBER(SEARCH("Conocer",$R366))/(ISNUMBER(SEARCH("Conocer",$R366))+ISNUMBER(SEARCH("Aplicar",$R366))+ISNUMBER(SEARCH("Razonar",$R366))),0)</f>
        <v>0</v>
      </c>
      <c r="T366" s="121" cm="1">
        <f t="array" ref="T366">_xlfn.IFERROR(ISNUMBER(SEARCH("Aplicar",$R366))/(ISNUMBER(SEARCH("Conocer",$R366))+ISNUMBER(SEARCH("Aplicar",$R366))+ISNUMBER(SEARCH("Razonar",$R366))),0)</f>
        <v>1</v>
      </c>
      <c r="U366" s="121" cm="1">
        <f t="array" ref="U366">_xlfn.IFERROR(ISNUMBER(SEARCH("Razonar",$R366))/(ISNUMBER(SEARCH("Conocer",$R366))+ISNUMBER(SEARCH("Aplicar",$R366))+ISNUMBER(SEARCH("Razonar",$R366))),0)</f>
        <v>0</v>
      </c>
      <c r="V366" t="s" s="35">
        <v>85</v>
      </c>
      <c r="W366" t="s" s="35">
        <v>115</v>
      </c>
      <c r="X366" s="36" cm="1">
        <f t="array" ref="X366">IF(OR(_xlfn.IFERROR(INDEX('Datos - Catálogo TIMSS'!$I$5:$I$107,MATCH(K366,'Datos - Catálogo TIMSS'!$A$5:$A$107,0)),"No")="Sí",_xlfn.IFERROR(INDEX('Datos - Catálogo TIMSS'!$I$5:$I$107,MATCH(L366,'Datos - Catálogo TIMSS'!$A$5:$A$107,0)),"No")="Sí"),1,0)</f>
        <v>0</v>
      </c>
      <c r="Y366" s="36" cm="1">
        <f t="array" ref="Y366">IF(_xlfn.IFERROR(INDEX('Datos - Catálogo TIMSS'!$J$5:$J$107,MATCH(K366,'Datos - Catálogo TIMSS'!$A$5:$A$107,0)),"No")="Sí",1,0)</f>
        <v>0</v>
      </c>
      <c r="Z366" s="36" cm="1">
        <f t="array" ref="Z366">IF(_xlfn.IFERROR(INDEX('Datos - Catálogo TIMSS'!$J$5:$J$107,MATCH(L366,'Datos - Catálogo TIMSS'!$A$5:$A$107,0)),"No")="Sí",1,0)</f>
        <v>1</v>
      </c>
      <c r="AA366" t="s" s="35">
        <v>3410</v>
      </c>
      <c r="AB366" s="39"/>
      <c r="AC366" t="str" s="39">
        <v>Biología</v>
      </c>
      <c r="AD366" t="s" s="35">
        <v>1834</v>
      </c>
      <c r="AE366" t="str" s="39" cm="1">
        <f t="array" ref="AE366">IF(AD366="","",IF(LEFT(AD366,1)="1","C1",IF(LEFT(AD366,1)="2","C2",IF(LEFT(AD366,1)="3","C3",""))))</f>
        <v>C2</v>
      </c>
      <c r="AF366" t="s" s="35">
        <v>1602</v>
      </c>
      <c r="AG366" t="s" s="35">
        <v>1607</v>
      </c>
      <c r="AH366" t="s" s="35">
        <v>1602</v>
      </c>
      <c r="AI366" t="s" s="35">
        <v>1619</v>
      </c>
      <c r="AJ366" t="s" s="35">
        <v>1607</v>
      </c>
      <c r="AK366" t="s" s="35">
        <v>786</v>
      </c>
      <c r="AL366" t="s" s="35">
        <v>765</v>
      </c>
      <c r="AM366" t="str" s="39" cm="1">
        <f t="array" ref="AM366">IF(AK366="FUERA","Fuera del marco",_xlfn.IFERROR(INDEX('Datos - Catálogo PISA'!$C$5:$C$76,MATCH(AK366,'Datos - Catálogo PISA'!$A$5:$A$76,0)),"?"))</f>
        <v>Sistemas vivos</v>
      </c>
      <c r="AN366" t="s" s="35">
        <v>1651</v>
      </c>
      <c r="AO366" s="39"/>
      <c r="AP366" s="39"/>
      <c r="AQ366" t="s" s="35">
        <v>1756</v>
      </c>
      <c r="AR366" s="39"/>
      <c r="AS366" t="s" s="35">
        <v>1771</v>
      </c>
      <c r="AT366" t="s" s="35">
        <v>254</v>
      </c>
      <c r="AU366" t="s" s="35">
        <v>3517</v>
      </c>
      <c r="AV366" t="s" s="35">
        <v>139</v>
      </c>
      <c r="AW366" t="str" s="39" cm="1">
        <f t="array" ref="AW366">AF366&amp;"; "&amp;AG366&amp;"; "&amp;AH366&amp;"; "&amp;AI366&amp;"; "&amp;AJ366</f>
        <v>E1; E3; E1; D2; E3</v>
      </c>
    </row>
    <row r="367" ht="13.65" customHeight="1">
      <c r="A367" t="s" s="35">
        <v>3518</v>
      </c>
      <c r="B367" s="36">
        <v>7</v>
      </c>
      <c r="C367" t="s" s="35">
        <v>1823</v>
      </c>
      <c r="D367" t="s" s="35">
        <v>3454</v>
      </c>
      <c r="E367" t="s" s="35">
        <v>3507</v>
      </c>
      <c r="F367" s="36">
        <v>5</v>
      </c>
      <c r="G367" t="s" s="35">
        <v>3508</v>
      </c>
      <c r="H367" t="s" s="35">
        <v>3509</v>
      </c>
      <c r="I367" t="s" s="120">
        <v>3519</v>
      </c>
      <c r="J367" t="s" s="35">
        <v>1164</v>
      </c>
      <c r="K367" t="s" s="35">
        <v>1178</v>
      </c>
      <c r="L367" s="39"/>
      <c r="M367" t="str" s="39">
        <v>Biología</v>
      </c>
      <c r="N367" t="str" s="39">
        <v>Ciclos de vida, reproducción y herencia</v>
      </c>
      <c r="O367" t="str" s="39" cm="1">
        <f t="array" ref="O367">IF(L367="","",_xlfn.IFERROR(INDEX('Datos - Catálogo TIMSS'!$C$5:$C$107,MATCH(L367,'Datos - Catálogo TIMSS'!$A$5:$A$107,0)),"?"))</f>
      </c>
      <c r="P367" t="s" s="35">
        <v>282</v>
      </c>
      <c r="Q367" t="s" s="120">
        <v>3520</v>
      </c>
      <c r="R367" t="s" s="120">
        <v>3521</v>
      </c>
      <c r="S367" s="121" cm="1">
        <f t="array" ref="S367">_xlfn.IFERROR(ISNUMBER(SEARCH("Conocer",$R367))/(ISNUMBER(SEARCH("Conocer",$R367))+ISNUMBER(SEARCH("Aplicar",$R367))+ISNUMBER(SEARCH("Razonar",$R367))),0)</f>
        <v>0</v>
      </c>
      <c r="T367" s="121" cm="1">
        <f t="array" ref="T367">_xlfn.IFERROR(ISNUMBER(SEARCH("Aplicar",$R367))/(ISNUMBER(SEARCH("Conocer",$R367))+ISNUMBER(SEARCH("Aplicar",$R367))+ISNUMBER(SEARCH("Razonar",$R367))),0)</f>
        <v>0</v>
      </c>
      <c r="U367" s="121" cm="1">
        <f t="array" ref="U367">_xlfn.IFERROR(ISNUMBER(SEARCH("Razonar",$R367))/(ISNUMBER(SEARCH("Conocer",$R367))+ISNUMBER(SEARCH("Aplicar",$R367))+ISNUMBER(SEARCH("Razonar",$R367))),0)</f>
        <v>1</v>
      </c>
      <c r="V367" t="s" s="35">
        <v>85</v>
      </c>
      <c r="W367" t="s" s="35">
        <v>115</v>
      </c>
      <c r="X367" s="36" cm="1">
        <f t="array" ref="X367">IF(OR(_xlfn.IFERROR(INDEX('Datos - Catálogo TIMSS'!$I$5:$I$107,MATCH(K367,'Datos - Catálogo TIMSS'!$A$5:$A$107,0)),"No")="Sí",_xlfn.IFERROR(INDEX('Datos - Catálogo TIMSS'!$I$5:$I$107,MATCH(L367,'Datos - Catálogo TIMSS'!$A$5:$A$107,0)),"No")="Sí"),1,0)</f>
        <v>0</v>
      </c>
      <c r="Y367" s="36" cm="1">
        <f t="array" ref="Y367">IF(_xlfn.IFERROR(INDEX('Datos - Catálogo TIMSS'!$J$5:$J$107,MATCH(K367,'Datos - Catálogo TIMSS'!$A$5:$A$107,0)),"No")="Sí",1,0)</f>
        <v>0</v>
      </c>
      <c r="Z367" s="36" cm="1">
        <f t="array" ref="Z367">IF(_xlfn.IFERROR(INDEX('Datos - Catálogo TIMSS'!$J$5:$J$107,MATCH(L367,'Datos - Catálogo TIMSS'!$A$5:$A$107,0)),"No")="Sí",1,0)</f>
        <v>0</v>
      </c>
      <c r="AA367" t="s" s="35">
        <v>3410</v>
      </c>
      <c r="AB367" s="39"/>
      <c r="AC367" t="str" s="39">
        <v>Biología</v>
      </c>
      <c r="AD367" t="s" s="35">
        <v>1859</v>
      </c>
      <c r="AE367" t="str" s="39" cm="1">
        <f t="array" ref="AE367">IF(AD367="","",IF(LEFT(AD367,1)="1","C1",IF(LEFT(AD367,1)="2","C2",IF(LEFT(AD367,1)="3","C3",""))))</f>
        <v>C1</v>
      </c>
      <c r="AF367" t="s" s="35">
        <v>1602</v>
      </c>
      <c r="AG367" t="s" s="35">
        <v>1617</v>
      </c>
      <c r="AH367" t="s" s="35">
        <v>1602</v>
      </c>
      <c r="AI367" t="s" s="35">
        <v>1621</v>
      </c>
      <c r="AJ367" t="s" s="35">
        <v>1602</v>
      </c>
      <c r="AK367" t="s" s="35">
        <v>786</v>
      </c>
      <c r="AL367" s="39"/>
      <c r="AM367" t="str" s="39" cm="1">
        <f t="array" ref="AM367">IF(AK367="FUERA","Fuera del marco",_xlfn.IFERROR(INDEX('Datos - Catálogo PISA'!$C$5:$C$76,MATCH(AK367,'Datos - Catálogo PISA'!$A$5:$A$76,0)),"?"))</f>
        <v>Sistemas vivos</v>
      </c>
      <c r="AN367" t="s" s="35">
        <v>1651</v>
      </c>
      <c r="AO367" s="39"/>
      <c r="AP367" s="39"/>
      <c r="AQ367" t="s" s="35">
        <v>1756</v>
      </c>
      <c r="AR367" s="39"/>
      <c r="AS367" t="s" s="35">
        <v>1771</v>
      </c>
      <c r="AT367" t="s" s="35">
        <v>254</v>
      </c>
      <c r="AU367" t="s" s="35">
        <v>3522</v>
      </c>
      <c r="AV367" t="s" s="35">
        <v>139</v>
      </c>
      <c r="AW367" t="str" s="39" cm="1">
        <f t="array" ref="AW367">AF367&amp;"; "&amp;AG367&amp;"; "&amp;AH367&amp;"; "&amp;AI367&amp;"; "&amp;AJ367</f>
        <v>E1; D1; E1; D3; E1</v>
      </c>
    </row>
    <row r="368" ht="13.65" customHeight="1">
      <c r="A368" t="s" s="35">
        <v>3524</v>
      </c>
      <c r="B368" s="36">
        <v>7</v>
      </c>
      <c r="C368" t="s" s="35">
        <v>1823</v>
      </c>
      <c r="D368" t="s" s="35">
        <v>3454</v>
      </c>
      <c r="E368" t="s" s="35">
        <v>3507</v>
      </c>
      <c r="F368" s="36">
        <v>6</v>
      </c>
      <c r="G368" t="s" s="35">
        <v>3508</v>
      </c>
      <c r="H368" t="s" s="35">
        <v>3525</v>
      </c>
      <c r="I368" t="s" s="120">
        <v>3526</v>
      </c>
      <c r="J368" t="s" s="35">
        <v>1164</v>
      </c>
      <c r="K368" t="s" s="35">
        <v>1178</v>
      </c>
      <c r="L368" t="s" s="35">
        <v>1174</v>
      </c>
      <c r="M368" t="str" s="39">
        <v>Biología</v>
      </c>
      <c r="N368" t="str" s="39">
        <v>Ciclos de vida, reproducción y herencia</v>
      </c>
      <c r="O368" t="str" s="39" cm="1">
        <f t="array" ref="O368">IF(L368="","",_xlfn.IFERROR(INDEX('Datos - Catálogo TIMSS'!$C$5:$C$107,MATCH(L368,'Datos - Catálogo TIMSS'!$A$5:$A$107,0)),"?"))</f>
        <v>Biología</v>
      </c>
      <c r="P368" t="s" s="35">
        <v>282</v>
      </c>
      <c r="Q368" t="s" s="120">
        <v>3527</v>
      </c>
      <c r="R368" t="s" s="120">
        <v>3528</v>
      </c>
      <c r="S368" s="121" cm="1">
        <f t="array" ref="S368">_xlfn.IFERROR(ISNUMBER(SEARCH("Conocer",$R368))/(ISNUMBER(SEARCH("Conocer",$R368))+ISNUMBER(SEARCH("Aplicar",$R368))+ISNUMBER(SEARCH("Razonar",$R368))),0)</f>
        <v>0</v>
      </c>
      <c r="T368" s="121" cm="1">
        <f t="array" ref="T368">_xlfn.IFERROR(ISNUMBER(SEARCH("Aplicar",$R368))/(ISNUMBER(SEARCH("Conocer",$R368))+ISNUMBER(SEARCH("Aplicar",$R368))+ISNUMBER(SEARCH("Razonar",$R368))),0)</f>
        <v>0</v>
      </c>
      <c r="U368" s="121" cm="1">
        <f t="array" ref="U368">_xlfn.IFERROR(ISNUMBER(SEARCH("Razonar",$R368))/(ISNUMBER(SEARCH("Conocer",$R368))+ISNUMBER(SEARCH("Aplicar",$R368))+ISNUMBER(SEARCH("Razonar",$R368))),0)</f>
        <v>1</v>
      </c>
      <c r="V368" t="s" s="35">
        <v>85</v>
      </c>
      <c r="W368" t="s" s="35">
        <v>115</v>
      </c>
      <c r="X368" s="36" cm="1">
        <f t="array" ref="X368">IF(OR(_xlfn.IFERROR(INDEX('Datos - Catálogo TIMSS'!$I$5:$I$107,MATCH(K368,'Datos - Catálogo TIMSS'!$A$5:$A$107,0)),"No")="Sí",_xlfn.IFERROR(INDEX('Datos - Catálogo TIMSS'!$I$5:$I$107,MATCH(L368,'Datos - Catálogo TIMSS'!$A$5:$A$107,0)),"No")="Sí"),1,0)</f>
        <v>0</v>
      </c>
      <c r="Y368" s="36" cm="1">
        <f t="array" ref="Y368">IF(_xlfn.IFERROR(INDEX('Datos - Catálogo TIMSS'!$J$5:$J$107,MATCH(K368,'Datos - Catálogo TIMSS'!$A$5:$A$107,0)),"No")="Sí",1,0)</f>
        <v>0</v>
      </c>
      <c r="Z368" s="36" cm="1">
        <f t="array" ref="Z368">IF(_xlfn.IFERROR(INDEX('Datos - Catálogo TIMSS'!$J$5:$J$107,MATCH(L368,'Datos - Catálogo TIMSS'!$A$5:$A$107,0)),"No")="Sí",1,0)</f>
        <v>0</v>
      </c>
      <c r="AA368" t="s" s="35">
        <v>3410</v>
      </c>
      <c r="AB368" s="39"/>
      <c r="AC368" t="str" s="39">
        <v>Biología</v>
      </c>
      <c r="AD368" t="s" s="35">
        <v>1900</v>
      </c>
      <c r="AE368" t="str" s="39" cm="1">
        <f t="array" ref="AE368">IF(AD368="","",IF(LEFT(AD368,1)="1","C1",IF(LEFT(AD368,1)="2","C2",IF(LEFT(AD368,1)="3","C3",""))))</f>
        <v>C3</v>
      </c>
      <c r="AF368" t="s" s="35">
        <v>1602</v>
      </c>
      <c r="AG368" t="s" s="35">
        <v>1617</v>
      </c>
      <c r="AH368" t="s" s="35">
        <v>1602</v>
      </c>
      <c r="AI368" t="s" s="35">
        <v>1629</v>
      </c>
      <c r="AJ368" t="s" s="35">
        <v>1615</v>
      </c>
      <c r="AK368" t="s" s="35">
        <v>786</v>
      </c>
      <c r="AL368" t="s" s="35">
        <v>765</v>
      </c>
      <c r="AM368" t="str" s="39" cm="1">
        <f t="array" ref="AM368">IF(AK368="FUERA","Fuera del marco",_xlfn.IFERROR(INDEX('Datos - Catálogo PISA'!$C$5:$C$76,MATCH(AK368,'Datos - Catálogo PISA'!$A$5:$A$76,0)),"?"))</f>
        <v>Sistemas vivos</v>
      </c>
      <c r="AN368" t="s" s="35">
        <v>1651</v>
      </c>
      <c r="AO368" s="39"/>
      <c r="AP368" s="39"/>
      <c r="AQ368" t="s" s="35">
        <v>1751</v>
      </c>
      <c r="AR368" t="s" s="35">
        <v>1764</v>
      </c>
      <c r="AS368" t="s" s="35">
        <v>1771</v>
      </c>
      <c r="AT368" t="s" s="35">
        <v>282</v>
      </c>
      <c r="AU368" t="s" s="35">
        <v>3529</v>
      </c>
      <c r="AV368" t="s" s="35">
        <v>139</v>
      </c>
      <c r="AW368" t="str" s="39" cm="1">
        <f t="array" ref="AW368">AF368&amp;"; "&amp;AG368&amp;"; "&amp;AH368&amp;"; "&amp;AI368&amp;"; "&amp;AJ368</f>
        <v>E1; D1; E1; I3; E6</v>
      </c>
    </row>
    <row r="369" ht="13.65" customHeight="1">
      <c r="A369" t="s" s="35">
        <v>3531</v>
      </c>
      <c r="B369" s="36">
        <v>7</v>
      </c>
      <c r="C369" t="s" s="35">
        <v>1823</v>
      </c>
      <c r="D369" t="s" s="35">
        <v>3454</v>
      </c>
      <c r="E369" t="s" s="35">
        <v>3507</v>
      </c>
      <c r="F369" s="36">
        <v>7</v>
      </c>
      <c r="G369" t="s" s="35">
        <v>3508</v>
      </c>
      <c r="H369" t="s" s="35">
        <v>3525</v>
      </c>
      <c r="I369" t="s" s="120">
        <v>3532</v>
      </c>
      <c r="J369" t="s" s="35">
        <v>1164</v>
      </c>
      <c r="K369" t="s" s="35">
        <v>1178</v>
      </c>
      <c r="L369" s="39"/>
      <c r="M369" t="str" s="39">
        <v>Biología</v>
      </c>
      <c r="N369" t="str" s="39">
        <v>Ciclos de vida, reproducción y herencia</v>
      </c>
      <c r="O369" t="str" s="39" cm="1">
        <f t="array" ref="O369">IF(L369="","",_xlfn.IFERROR(INDEX('Datos - Catálogo TIMSS'!$C$5:$C$107,MATCH(L369,'Datos - Catálogo TIMSS'!$A$5:$A$107,0)),"?"))</f>
      </c>
      <c r="P369" t="s" s="35">
        <v>282</v>
      </c>
      <c r="Q369" t="s" s="120">
        <v>3533</v>
      </c>
      <c r="R369" t="s" s="120">
        <v>2131</v>
      </c>
      <c r="S369" s="121" cm="1">
        <f t="array" ref="S369">_xlfn.IFERROR(ISNUMBER(SEARCH("Conocer",$R369))/(ISNUMBER(SEARCH("Conocer",$R369))+ISNUMBER(SEARCH("Aplicar",$R369))+ISNUMBER(SEARCH("Razonar",$R369))),0)</f>
        <v>0</v>
      </c>
      <c r="T369" s="121" cm="1">
        <f t="array" ref="T369">_xlfn.IFERROR(ISNUMBER(SEARCH("Aplicar",$R369))/(ISNUMBER(SEARCH("Conocer",$R369))+ISNUMBER(SEARCH("Aplicar",$R369))+ISNUMBER(SEARCH("Razonar",$R369))),0)</f>
        <v>1</v>
      </c>
      <c r="U369" s="121" cm="1">
        <f t="array" ref="U369">_xlfn.IFERROR(ISNUMBER(SEARCH("Razonar",$R369))/(ISNUMBER(SEARCH("Conocer",$R369))+ISNUMBER(SEARCH("Aplicar",$R369))+ISNUMBER(SEARCH("Razonar",$R369))),0)</f>
        <v>0</v>
      </c>
      <c r="V369" t="s" s="35">
        <v>85</v>
      </c>
      <c r="W369" t="s" s="35">
        <v>115</v>
      </c>
      <c r="X369" s="36" cm="1">
        <f t="array" ref="X369">IF(OR(_xlfn.IFERROR(INDEX('Datos - Catálogo TIMSS'!$I$5:$I$107,MATCH(K369,'Datos - Catálogo TIMSS'!$A$5:$A$107,0)),"No")="Sí",_xlfn.IFERROR(INDEX('Datos - Catálogo TIMSS'!$I$5:$I$107,MATCH(L369,'Datos - Catálogo TIMSS'!$A$5:$A$107,0)),"No")="Sí"),1,0)</f>
        <v>0</v>
      </c>
      <c r="Y369" s="36" cm="1">
        <f t="array" ref="Y369">IF(_xlfn.IFERROR(INDEX('Datos - Catálogo TIMSS'!$J$5:$J$107,MATCH(K369,'Datos - Catálogo TIMSS'!$A$5:$A$107,0)),"No")="Sí",1,0)</f>
        <v>0</v>
      </c>
      <c r="Z369" s="36" cm="1">
        <f t="array" ref="Z369">IF(_xlfn.IFERROR(INDEX('Datos - Catálogo TIMSS'!$J$5:$J$107,MATCH(L369,'Datos - Catálogo TIMSS'!$A$5:$A$107,0)),"No")="Sí",1,0)</f>
        <v>0</v>
      </c>
      <c r="AA369" t="s" s="35">
        <v>3410</v>
      </c>
      <c r="AB369" s="39"/>
      <c r="AC369" t="str" s="39">
        <v>Biología</v>
      </c>
      <c r="AD369" t="s" s="35">
        <v>1859</v>
      </c>
      <c r="AE369" t="str" s="39" cm="1">
        <f t="array" ref="AE369">IF(AD369="","",IF(LEFT(AD369,1)="1","C1",IF(LEFT(AD369,1)="2","C2",IF(LEFT(AD369,1)="3","C3",""))))</f>
        <v>C1</v>
      </c>
      <c r="AF369" t="s" s="35">
        <v>1602</v>
      </c>
      <c r="AG369" t="s" s="35">
        <v>1617</v>
      </c>
      <c r="AH369" t="s" s="35">
        <v>1609</v>
      </c>
      <c r="AI369" t="s" s="35">
        <v>1609</v>
      </c>
      <c r="AJ369" t="s" s="35">
        <v>1602</v>
      </c>
      <c r="AK369" t="s" s="35">
        <v>786</v>
      </c>
      <c r="AL369" s="39"/>
      <c r="AM369" t="str" s="39" cm="1">
        <f t="array" ref="AM369">IF(AK369="FUERA","Fuera del marco",_xlfn.IFERROR(INDEX('Datos - Catálogo PISA'!$C$5:$C$76,MATCH(AK369,'Datos - Catálogo PISA'!$A$5:$A$76,0)),"?"))</f>
        <v>Sistemas vivos</v>
      </c>
      <c r="AN369" t="s" s="35">
        <v>1651</v>
      </c>
      <c r="AO369" s="39"/>
      <c r="AP369" t="s" s="35">
        <v>3534</v>
      </c>
      <c r="AQ369" t="s" s="35">
        <v>1756</v>
      </c>
      <c r="AR369" s="39"/>
      <c r="AS369" t="s" s="35">
        <v>1771</v>
      </c>
      <c r="AT369" t="s" s="35">
        <v>254</v>
      </c>
      <c r="AU369" t="s" s="35">
        <v>3535</v>
      </c>
      <c r="AV369" t="s" s="35">
        <v>139</v>
      </c>
      <c r="AW369" t="str" s="39" cm="1">
        <f t="array" ref="AW369">AF369&amp;"; "&amp;AG369&amp;"; "&amp;AH369&amp;"; "&amp;AI369&amp;"; "&amp;AJ369</f>
        <v>E1; D1; E4; E4; E1</v>
      </c>
    </row>
    <row r="370" ht="13.65" customHeight="1">
      <c r="A370" t="s" s="35">
        <v>3536</v>
      </c>
      <c r="B370" s="36">
        <v>7</v>
      </c>
      <c r="C370" t="s" s="35">
        <v>1823</v>
      </c>
      <c r="D370" t="s" s="35">
        <v>3454</v>
      </c>
      <c r="E370" t="s" s="35">
        <v>3507</v>
      </c>
      <c r="F370" s="36">
        <v>8</v>
      </c>
      <c r="G370" t="s" s="35">
        <v>3508</v>
      </c>
      <c r="H370" t="s" s="35">
        <v>3525</v>
      </c>
      <c r="I370" t="s" s="120">
        <v>3537</v>
      </c>
      <c r="J370" t="s" s="35">
        <v>1164</v>
      </c>
      <c r="K370" t="s" s="35">
        <v>1178</v>
      </c>
      <c r="L370" s="39"/>
      <c r="M370" t="str" s="39">
        <v>Biología</v>
      </c>
      <c r="N370" t="str" s="39">
        <v>Ciclos de vida, reproducción y herencia</v>
      </c>
      <c r="O370" t="str" s="39" cm="1">
        <f t="array" ref="O370">IF(L370="","",_xlfn.IFERROR(INDEX('Datos - Catálogo TIMSS'!$C$5:$C$107,MATCH(L370,'Datos - Catálogo TIMSS'!$A$5:$A$107,0)),"?"))</f>
      </c>
      <c r="P370" t="s" s="35">
        <v>282</v>
      </c>
      <c r="Q370" t="s" s="120">
        <v>3538</v>
      </c>
      <c r="R370" t="s" s="120">
        <v>3539</v>
      </c>
      <c r="S370" s="121" cm="1">
        <f t="array" ref="S370">_xlfn.IFERROR(ISNUMBER(SEARCH("Conocer",$R370))/(ISNUMBER(SEARCH("Conocer",$R370))+ISNUMBER(SEARCH("Aplicar",$R370))+ISNUMBER(SEARCH("Razonar",$R370))),0)</f>
        <v>0</v>
      </c>
      <c r="T370" s="121" cm="1">
        <f t="array" ref="T370">_xlfn.IFERROR(ISNUMBER(SEARCH("Aplicar",$R370))/(ISNUMBER(SEARCH("Conocer",$R370))+ISNUMBER(SEARCH("Aplicar",$R370))+ISNUMBER(SEARCH("Razonar",$R370))),0)</f>
        <v>1</v>
      </c>
      <c r="U370" s="121" cm="1">
        <f t="array" ref="U370">_xlfn.IFERROR(ISNUMBER(SEARCH("Razonar",$R370))/(ISNUMBER(SEARCH("Conocer",$R370))+ISNUMBER(SEARCH("Aplicar",$R370))+ISNUMBER(SEARCH("Razonar",$R370))),0)</f>
        <v>0</v>
      </c>
      <c r="V370" t="s" s="35">
        <v>85</v>
      </c>
      <c r="W370" t="s" s="35">
        <v>115</v>
      </c>
      <c r="X370" s="36" cm="1">
        <f t="array" ref="X370">IF(OR(_xlfn.IFERROR(INDEX('Datos - Catálogo TIMSS'!$I$5:$I$107,MATCH(K370,'Datos - Catálogo TIMSS'!$A$5:$A$107,0)),"No")="Sí",_xlfn.IFERROR(INDEX('Datos - Catálogo TIMSS'!$I$5:$I$107,MATCH(L370,'Datos - Catálogo TIMSS'!$A$5:$A$107,0)),"No")="Sí"),1,0)</f>
        <v>0</v>
      </c>
      <c r="Y370" s="36" cm="1">
        <f t="array" ref="Y370">IF(_xlfn.IFERROR(INDEX('Datos - Catálogo TIMSS'!$J$5:$J$107,MATCH(K370,'Datos - Catálogo TIMSS'!$A$5:$A$107,0)),"No")="Sí",1,0)</f>
        <v>0</v>
      </c>
      <c r="Z370" s="36" cm="1">
        <f t="array" ref="Z370">IF(_xlfn.IFERROR(INDEX('Datos - Catálogo TIMSS'!$J$5:$J$107,MATCH(L370,'Datos - Catálogo TIMSS'!$A$5:$A$107,0)),"No")="Sí",1,0)</f>
        <v>0</v>
      </c>
      <c r="AA370" t="s" s="35">
        <v>3410</v>
      </c>
      <c r="AB370" s="39"/>
      <c r="AC370" t="str" s="39">
        <v>Biología</v>
      </c>
      <c r="AD370" t="s" s="35">
        <v>1859</v>
      </c>
      <c r="AE370" t="str" s="39" cm="1">
        <f t="array" ref="AE370">IF(AD370="","",IF(LEFT(AD370,1)="1","C1",IF(LEFT(AD370,1)="2","C2",IF(LEFT(AD370,1)="3","C3",""))))</f>
        <v>C1</v>
      </c>
      <c r="AF370" t="s" s="35">
        <v>1602</v>
      </c>
      <c r="AG370" t="s" s="35">
        <v>1617</v>
      </c>
      <c r="AH370" t="s" s="35">
        <v>1605</v>
      </c>
      <c r="AI370" t="s" s="35">
        <v>1621</v>
      </c>
      <c r="AJ370" t="s" s="35">
        <v>1615</v>
      </c>
      <c r="AK370" t="s" s="35">
        <v>786</v>
      </c>
      <c r="AL370" s="39"/>
      <c r="AM370" t="str" s="39" cm="1">
        <f t="array" ref="AM370">IF(AK370="FUERA","Fuera del marco",_xlfn.IFERROR(INDEX('Datos - Catálogo PISA'!$C$5:$C$76,MATCH(AK370,'Datos - Catálogo PISA'!$A$5:$A$76,0)),"?"))</f>
        <v>Sistemas vivos</v>
      </c>
      <c r="AN370" t="s" s="35">
        <v>1651</v>
      </c>
      <c r="AO370" s="39"/>
      <c r="AP370" s="39"/>
      <c r="AQ370" t="s" s="35">
        <v>1756</v>
      </c>
      <c r="AR370" s="39"/>
      <c r="AS370" t="s" s="35">
        <v>1771</v>
      </c>
      <c r="AT370" t="s" s="35">
        <v>254</v>
      </c>
      <c r="AU370" t="s" s="35">
        <v>3538</v>
      </c>
      <c r="AV370" t="s" s="35">
        <v>139</v>
      </c>
      <c r="AW370" t="str" s="39" cm="1">
        <f t="array" ref="AW370">AF370&amp;"; "&amp;AG370&amp;"; "&amp;AH370&amp;"; "&amp;AI370&amp;"; "&amp;AJ370</f>
        <v>E1; D1; E2; D3; E6</v>
      </c>
    </row>
    <row r="371" ht="13.65" customHeight="1">
      <c r="A371" t="s" s="35">
        <v>3541</v>
      </c>
      <c r="B371" s="36">
        <v>7</v>
      </c>
      <c r="C371" t="s" s="35">
        <v>1823</v>
      </c>
      <c r="D371" t="s" s="35">
        <v>3454</v>
      </c>
      <c r="E371" t="s" s="35">
        <v>3507</v>
      </c>
      <c r="F371" s="36">
        <v>9</v>
      </c>
      <c r="G371" t="s" s="35">
        <v>3508</v>
      </c>
      <c r="H371" t="s" s="35">
        <v>3542</v>
      </c>
      <c r="I371" t="s" s="120">
        <v>3543</v>
      </c>
      <c r="J371" t="s" s="35">
        <v>1164</v>
      </c>
      <c r="K371" t="s" s="35">
        <v>1178</v>
      </c>
      <c r="L371" s="39"/>
      <c r="M371" t="str" s="39">
        <v>Biología</v>
      </c>
      <c r="N371" t="str" s="39">
        <v>Ciclos de vida, reproducción y herencia</v>
      </c>
      <c r="O371" t="str" s="39" cm="1">
        <f t="array" ref="O371">IF(L371="","",_xlfn.IFERROR(INDEX('Datos - Catálogo TIMSS'!$C$5:$C$107,MATCH(L371,'Datos - Catálogo TIMSS'!$A$5:$A$107,0)),"?"))</f>
      </c>
      <c r="P371" t="s" s="35">
        <v>254</v>
      </c>
      <c r="Q371" t="s" s="120">
        <v>3544</v>
      </c>
      <c r="R371" t="s" s="120">
        <v>2561</v>
      </c>
      <c r="S371" s="121" cm="1">
        <f t="array" ref="S371">_xlfn.IFERROR(ISNUMBER(SEARCH("Conocer",$R371))/(ISNUMBER(SEARCH("Conocer",$R371))+ISNUMBER(SEARCH("Aplicar",$R371))+ISNUMBER(SEARCH("Razonar",$R371))),0)</f>
        <v>1</v>
      </c>
      <c r="T371" s="121" cm="1">
        <f t="array" ref="T371">_xlfn.IFERROR(ISNUMBER(SEARCH("Aplicar",$R371))/(ISNUMBER(SEARCH("Conocer",$R371))+ISNUMBER(SEARCH("Aplicar",$R371))+ISNUMBER(SEARCH("Razonar",$R371))),0)</f>
        <v>0</v>
      </c>
      <c r="U371" s="121" cm="1">
        <f t="array" ref="U371">_xlfn.IFERROR(ISNUMBER(SEARCH("Razonar",$R371))/(ISNUMBER(SEARCH("Conocer",$R371))+ISNUMBER(SEARCH("Aplicar",$R371))+ISNUMBER(SEARCH("Razonar",$R371))),0)</f>
        <v>0</v>
      </c>
      <c r="V371" t="s" s="35">
        <v>85</v>
      </c>
      <c r="W371" t="s" s="35">
        <v>115</v>
      </c>
      <c r="X371" s="36" cm="1">
        <f t="array" ref="X371">IF(OR(_xlfn.IFERROR(INDEX('Datos - Catálogo TIMSS'!$I$5:$I$107,MATCH(K371,'Datos - Catálogo TIMSS'!$A$5:$A$107,0)),"No")="Sí",_xlfn.IFERROR(INDEX('Datos - Catálogo TIMSS'!$I$5:$I$107,MATCH(L371,'Datos - Catálogo TIMSS'!$A$5:$A$107,0)),"No")="Sí"),1,0)</f>
        <v>0</v>
      </c>
      <c r="Y371" s="36" cm="1">
        <f t="array" ref="Y371">IF(_xlfn.IFERROR(INDEX('Datos - Catálogo TIMSS'!$J$5:$J$107,MATCH(K371,'Datos - Catálogo TIMSS'!$A$5:$A$107,0)),"No")="Sí",1,0)</f>
        <v>0</v>
      </c>
      <c r="Z371" s="36" cm="1">
        <f t="array" ref="Z371">IF(_xlfn.IFERROR(INDEX('Datos - Catálogo TIMSS'!$J$5:$J$107,MATCH(L371,'Datos - Catálogo TIMSS'!$A$5:$A$107,0)),"No")="Sí",1,0)</f>
        <v>0</v>
      </c>
      <c r="AA371" t="s" s="35">
        <v>3410</v>
      </c>
      <c r="AB371" s="39"/>
      <c r="AC371" t="str" s="39">
        <v>Biología</v>
      </c>
      <c r="AD371" t="s" s="35">
        <v>1859</v>
      </c>
      <c r="AE371" t="str" s="39" cm="1">
        <f t="array" ref="AE371">IF(AD371="","",IF(LEFT(AD371,1)="1","C1",IF(LEFT(AD371,1)="2","C2",IF(LEFT(AD371,1)="3","C3",""))))</f>
        <v>C1</v>
      </c>
      <c r="AF371" t="s" s="35">
        <v>1602</v>
      </c>
      <c r="AG371" t="s" s="35">
        <v>1612</v>
      </c>
      <c r="AH371" t="s" s="35">
        <v>1602</v>
      </c>
      <c r="AI371" t="s" s="35">
        <v>1623</v>
      </c>
      <c r="AJ371" t="s" s="35">
        <v>1602</v>
      </c>
      <c r="AK371" t="s" s="35">
        <v>786</v>
      </c>
      <c r="AL371" s="39"/>
      <c r="AM371" t="str" s="39" cm="1">
        <f t="array" ref="AM371">IF(AK371="FUERA","Fuera del marco",_xlfn.IFERROR(INDEX('Datos - Catálogo PISA'!$C$5:$C$76,MATCH(AK371,'Datos - Catálogo PISA'!$A$5:$A$76,0)),"?"))</f>
        <v>Sistemas vivos</v>
      </c>
      <c r="AN371" t="s" s="35">
        <v>1651</v>
      </c>
      <c r="AO371" s="39"/>
      <c r="AP371" s="39"/>
      <c r="AQ371" t="s" s="35">
        <v>1756</v>
      </c>
      <c r="AR371" s="39"/>
      <c r="AS371" t="s" s="35">
        <v>1771</v>
      </c>
      <c r="AT371" t="s" s="35">
        <v>254</v>
      </c>
      <c r="AU371" t="s" s="35">
        <v>3545</v>
      </c>
      <c r="AV371" t="s" s="35">
        <v>139</v>
      </c>
      <c r="AW371" t="str" s="39" cm="1">
        <f t="array" ref="AW371">AF371&amp;"; "&amp;AG371&amp;"; "&amp;AH371&amp;"; "&amp;AI371&amp;"; "&amp;AJ371</f>
        <v>E1; E5; E1; D4; E1</v>
      </c>
    </row>
    <row r="372" ht="13.65" customHeight="1">
      <c r="A372" t="s" s="35">
        <v>3546</v>
      </c>
      <c r="B372" s="36">
        <v>7</v>
      </c>
      <c r="C372" t="s" s="35">
        <v>1823</v>
      </c>
      <c r="D372" t="s" s="35">
        <v>3454</v>
      </c>
      <c r="E372" t="s" s="35">
        <v>3507</v>
      </c>
      <c r="F372" s="36">
        <v>10</v>
      </c>
      <c r="G372" t="s" s="35">
        <v>3508</v>
      </c>
      <c r="H372" t="s" s="35">
        <v>3542</v>
      </c>
      <c r="I372" t="s" s="120">
        <v>3547</v>
      </c>
      <c r="J372" t="s" s="35">
        <v>1164</v>
      </c>
      <c r="K372" t="s" s="35">
        <v>1178</v>
      </c>
      <c r="L372" t="s" s="35">
        <v>1181</v>
      </c>
      <c r="M372" t="str" s="39">
        <v>Biología</v>
      </c>
      <c r="N372" t="str" s="39">
        <v>Ciclos de vida, reproducción y herencia</v>
      </c>
      <c r="O372" t="str" s="39" cm="1">
        <f t="array" ref="O372">IF(L372="","",_xlfn.IFERROR(INDEX('Datos - Catálogo TIMSS'!$C$5:$C$107,MATCH(L372,'Datos - Catálogo TIMSS'!$A$5:$A$107,0)),"?"))</f>
        <v>Biología</v>
      </c>
      <c r="P372" t="s" s="35">
        <v>282</v>
      </c>
      <c r="Q372" t="s" s="120">
        <v>3548</v>
      </c>
      <c r="R372" t="s" s="120">
        <v>3549</v>
      </c>
      <c r="S372" s="121" cm="1">
        <f t="array" ref="S372">_xlfn.IFERROR(ISNUMBER(SEARCH("Conocer",$R372))/(ISNUMBER(SEARCH("Conocer",$R372))+ISNUMBER(SEARCH("Aplicar",$R372))+ISNUMBER(SEARCH("Razonar",$R372))),0)</f>
        <v>0</v>
      </c>
      <c r="T372" s="121" cm="1">
        <f t="array" ref="T372">_xlfn.IFERROR(ISNUMBER(SEARCH("Aplicar",$R372))/(ISNUMBER(SEARCH("Conocer",$R372))+ISNUMBER(SEARCH("Aplicar",$R372))+ISNUMBER(SEARCH("Razonar",$R372))),0)</f>
        <v>1</v>
      </c>
      <c r="U372" s="121" cm="1">
        <f t="array" ref="U372">_xlfn.IFERROR(ISNUMBER(SEARCH("Razonar",$R372))/(ISNUMBER(SEARCH("Conocer",$R372))+ISNUMBER(SEARCH("Aplicar",$R372))+ISNUMBER(SEARCH("Razonar",$R372))),0)</f>
        <v>0</v>
      </c>
      <c r="V372" t="s" s="35">
        <v>85</v>
      </c>
      <c r="W372" t="s" s="35">
        <v>115</v>
      </c>
      <c r="X372" s="36" cm="1">
        <f t="array" ref="X372">IF(OR(_xlfn.IFERROR(INDEX('Datos - Catálogo TIMSS'!$I$5:$I$107,MATCH(K372,'Datos - Catálogo TIMSS'!$A$5:$A$107,0)),"No")="Sí",_xlfn.IFERROR(INDEX('Datos - Catálogo TIMSS'!$I$5:$I$107,MATCH(L372,'Datos - Catálogo TIMSS'!$A$5:$A$107,0)),"No")="Sí"),1,0)</f>
        <v>0</v>
      </c>
      <c r="Y372" s="36" cm="1">
        <f t="array" ref="Y372">IF(_xlfn.IFERROR(INDEX('Datos - Catálogo TIMSS'!$J$5:$J$107,MATCH(K372,'Datos - Catálogo TIMSS'!$A$5:$A$107,0)),"No")="Sí",1,0)</f>
        <v>0</v>
      </c>
      <c r="Z372" s="36" cm="1">
        <f t="array" ref="Z372">IF(_xlfn.IFERROR(INDEX('Datos - Catálogo TIMSS'!$J$5:$J$107,MATCH(L372,'Datos - Catálogo TIMSS'!$A$5:$A$107,0)),"No")="Sí",1,0)</f>
        <v>0</v>
      </c>
      <c r="AA372" t="s" s="35">
        <v>3410</v>
      </c>
      <c r="AB372" t="s" s="35">
        <v>3087</v>
      </c>
      <c r="AC372" t="str" s="39">
        <v>Biología</v>
      </c>
      <c r="AD372" t="s" s="35">
        <v>1834</v>
      </c>
      <c r="AE372" t="str" s="39" cm="1">
        <f t="array" ref="AE372">IF(AD372="","",IF(LEFT(AD372,1)="1","C1",IF(LEFT(AD372,1)="2","C2",IF(LEFT(AD372,1)="3","C3",""))))</f>
        <v>C2</v>
      </c>
      <c r="AF372" t="s" s="35">
        <v>1602</v>
      </c>
      <c r="AG372" t="s" s="35">
        <v>1617</v>
      </c>
      <c r="AH372" t="s" s="35">
        <v>1602</v>
      </c>
      <c r="AI372" t="s" s="35">
        <v>1623</v>
      </c>
      <c r="AJ372" t="s" s="35">
        <v>1602</v>
      </c>
      <c r="AK372" t="s" s="35">
        <v>786</v>
      </c>
      <c r="AL372" t="s" s="35">
        <v>1542</v>
      </c>
      <c r="AM372" t="str" s="39" cm="1">
        <f t="array" ref="AM372">IF(AK372="FUERA","Fuera del marco",_xlfn.IFERROR(INDEX('Datos - Catálogo PISA'!$C$5:$C$76,MATCH(AK372,'Datos - Catálogo PISA'!$A$5:$A$76,0)),"?"))</f>
        <v>Sistemas vivos</v>
      </c>
      <c r="AN372" t="s" s="35">
        <v>1651</v>
      </c>
      <c r="AO372" s="39"/>
      <c r="AP372" s="39"/>
      <c r="AQ372" t="s" s="35">
        <v>1756</v>
      </c>
      <c r="AR372" s="39"/>
      <c r="AS372" t="s" s="35">
        <v>1771</v>
      </c>
      <c r="AT372" t="s" s="35">
        <v>254</v>
      </c>
      <c r="AU372" t="s" s="35">
        <v>3550</v>
      </c>
      <c r="AV372" t="s" s="35">
        <v>139</v>
      </c>
      <c r="AW372" t="str" s="39" cm="1">
        <f t="array" ref="AW372">AF372&amp;"; "&amp;AG372&amp;"; "&amp;AH372&amp;"; "&amp;AI372&amp;"; "&amp;AJ372</f>
        <v>E1; D1; E1; D4; E1</v>
      </c>
    </row>
    <row r="373" ht="13.65" customHeight="1">
      <c r="A373" t="s" s="35">
        <v>3551</v>
      </c>
      <c r="B373" s="36">
        <v>7</v>
      </c>
      <c r="C373" t="s" s="35">
        <v>1823</v>
      </c>
      <c r="D373" t="s" s="35">
        <v>3454</v>
      </c>
      <c r="E373" t="s" s="35">
        <v>3507</v>
      </c>
      <c r="F373" s="36">
        <v>11</v>
      </c>
      <c r="G373" t="s" s="35">
        <v>3508</v>
      </c>
      <c r="H373" t="s" s="35">
        <v>3542</v>
      </c>
      <c r="I373" t="s" s="120">
        <v>981</v>
      </c>
      <c r="J373" t="s" s="35">
        <v>1164</v>
      </c>
      <c r="K373" t="s" s="35">
        <v>1178</v>
      </c>
      <c r="L373" s="39"/>
      <c r="M373" t="str" s="39">
        <v>Biología</v>
      </c>
      <c r="N373" t="str" s="39">
        <v>Ciclos de vida, reproducción y herencia</v>
      </c>
      <c r="O373" t="str" s="39" cm="1">
        <f t="array" ref="O373">IF(L373="","",_xlfn.IFERROR(INDEX('Datos - Catálogo TIMSS'!$C$5:$C$107,MATCH(L373,'Datos - Catálogo TIMSS'!$A$5:$A$107,0)),"?"))</f>
      </c>
      <c r="P373" t="s" s="35">
        <v>282</v>
      </c>
      <c r="Q373" t="s" s="120">
        <v>3552</v>
      </c>
      <c r="R373" t="s" s="120">
        <v>3553</v>
      </c>
      <c r="S373" s="121" cm="1">
        <f t="array" ref="S373">_xlfn.IFERROR(ISNUMBER(SEARCH("Conocer",$R373))/(ISNUMBER(SEARCH("Conocer",$R373))+ISNUMBER(SEARCH("Aplicar",$R373))+ISNUMBER(SEARCH("Razonar",$R373))),0)</f>
        <v>0</v>
      </c>
      <c r="T373" s="121" cm="1">
        <f t="array" ref="T373">_xlfn.IFERROR(ISNUMBER(SEARCH("Aplicar",$R373))/(ISNUMBER(SEARCH("Conocer",$R373))+ISNUMBER(SEARCH("Aplicar",$R373))+ISNUMBER(SEARCH("Razonar",$R373))),0)</f>
        <v>0</v>
      </c>
      <c r="U373" s="121" cm="1">
        <f t="array" ref="U373">_xlfn.IFERROR(ISNUMBER(SEARCH("Razonar",$R373))/(ISNUMBER(SEARCH("Conocer",$R373))+ISNUMBER(SEARCH("Aplicar",$R373))+ISNUMBER(SEARCH("Razonar",$R373))),0)</f>
        <v>1</v>
      </c>
      <c r="V373" t="s" s="35">
        <v>85</v>
      </c>
      <c r="W373" t="s" s="35">
        <v>115</v>
      </c>
      <c r="X373" s="36" cm="1">
        <f t="array" ref="X373">IF(OR(_xlfn.IFERROR(INDEX('Datos - Catálogo TIMSS'!$I$5:$I$107,MATCH(K373,'Datos - Catálogo TIMSS'!$A$5:$A$107,0)),"No")="Sí",_xlfn.IFERROR(INDEX('Datos - Catálogo TIMSS'!$I$5:$I$107,MATCH(L373,'Datos - Catálogo TIMSS'!$A$5:$A$107,0)),"No")="Sí"),1,0)</f>
        <v>0</v>
      </c>
      <c r="Y373" s="36" cm="1">
        <f t="array" ref="Y373">IF(_xlfn.IFERROR(INDEX('Datos - Catálogo TIMSS'!$J$5:$J$107,MATCH(K373,'Datos - Catálogo TIMSS'!$A$5:$A$107,0)),"No")="Sí",1,0)</f>
        <v>0</v>
      </c>
      <c r="Z373" s="36" cm="1">
        <f t="array" ref="Z373">IF(_xlfn.IFERROR(INDEX('Datos - Catálogo TIMSS'!$J$5:$J$107,MATCH(L373,'Datos - Catálogo TIMSS'!$A$5:$A$107,0)),"No")="Sí",1,0)</f>
        <v>0</v>
      </c>
      <c r="AA373" t="s" s="35">
        <v>3410</v>
      </c>
      <c r="AB373" s="39"/>
      <c r="AC373" t="str" s="39">
        <v>Biología</v>
      </c>
      <c r="AD373" t="s" s="35">
        <v>1900</v>
      </c>
      <c r="AE373" t="str" s="39" cm="1">
        <f t="array" ref="AE373">IF(AD373="","",IF(LEFT(AD373,1)="1","C1",IF(LEFT(AD373,1)="2","C2",IF(LEFT(AD373,1)="3","C3",""))))</f>
        <v>C3</v>
      </c>
      <c r="AF373" t="s" s="35">
        <v>1602</v>
      </c>
      <c r="AG373" t="s" s="35">
        <v>1617</v>
      </c>
      <c r="AH373" t="s" s="35">
        <v>1602</v>
      </c>
      <c r="AI373" t="s" s="35">
        <v>1625</v>
      </c>
      <c r="AJ373" t="s" s="35">
        <v>1633</v>
      </c>
      <c r="AK373" t="s" s="35">
        <v>786</v>
      </c>
      <c r="AL373" s="39"/>
      <c r="AM373" t="str" s="39" cm="1">
        <f t="array" ref="AM373">IF(AK373="FUERA","Fuera del marco",_xlfn.IFERROR(INDEX('Datos - Catálogo PISA'!$C$5:$C$76,MATCH(AK373,'Datos - Catálogo PISA'!$A$5:$A$76,0)),"?"))</f>
        <v>Sistemas vivos</v>
      </c>
      <c r="AN373" t="s" s="35">
        <v>1651</v>
      </c>
      <c r="AO373" s="39"/>
      <c r="AP373" s="39"/>
      <c r="AQ373" t="s" s="35">
        <v>1753</v>
      </c>
      <c r="AR373" t="s" s="35">
        <v>1764</v>
      </c>
      <c r="AS373" t="s" s="35">
        <v>1771</v>
      </c>
      <c r="AT373" t="s" s="35">
        <v>254</v>
      </c>
      <c r="AU373" t="s" s="35">
        <v>3554</v>
      </c>
      <c r="AV373" t="s" s="35">
        <v>139</v>
      </c>
      <c r="AW373" t="str" s="39" cm="1">
        <f t="array" ref="AW373">AF373&amp;"; "&amp;AG373&amp;"; "&amp;AH373&amp;"; "&amp;AI373&amp;"; "&amp;AJ373</f>
        <v>E1; D1; E1; I1; I5</v>
      </c>
    </row>
    <row r="374" ht="13.65" customHeight="1">
      <c r="A374" t="s" s="35">
        <v>3555</v>
      </c>
      <c r="B374" s="36">
        <v>7</v>
      </c>
      <c r="C374" t="s" s="35">
        <v>1823</v>
      </c>
      <c r="D374" t="s" s="35">
        <v>3454</v>
      </c>
      <c r="E374" t="s" s="35">
        <v>3507</v>
      </c>
      <c r="F374" s="36">
        <v>12</v>
      </c>
      <c r="G374" t="s" s="35">
        <v>3508</v>
      </c>
      <c r="H374" t="s" s="35">
        <v>3556</v>
      </c>
      <c r="I374" t="s" s="120">
        <v>3557</v>
      </c>
      <c r="J374" t="s" s="35">
        <v>1164</v>
      </c>
      <c r="K374" t="s" s="35">
        <v>1178</v>
      </c>
      <c r="L374" s="39"/>
      <c r="M374" t="str" s="39">
        <v>Biología</v>
      </c>
      <c r="N374" t="str" s="39">
        <v>Ciclos de vida, reproducción y herencia</v>
      </c>
      <c r="O374" t="str" s="39" cm="1">
        <f t="array" ref="O374">IF(L374="","",_xlfn.IFERROR(INDEX('Datos - Catálogo TIMSS'!$C$5:$C$107,MATCH(L374,'Datos - Catálogo TIMSS'!$A$5:$A$107,0)),"?"))</f>
      </c>
      <c r="P374" t="s" s="35">
        <v>254</v>
      </c>
      <c r="Q374" t="s" s="120">
        <v>3558</v>
      </c>
      <c r="R374" t="s" s="120">
        <v>3559</v>
      </c>
      <c r="S374" s="121" cm="1">
        <f t="array" ref="S374">_xlfn.IFERROR(ISNUMBER(SEARCH("Conocer",$R374))/(ISNUMBER(SEARCH("Conocer",$R374))+ISNUMBER(SEARCH("Aplicar",$R374))+ISNUMBER(SEARCH("Razonar",$R374))),0)</f>
        <v>0</v>
      </c>
      <c r="T374" s="121" cm="1">
        <f t="array" ref="T374">_xlfn.IFERROR(ISNUMBER(SEARCH("Aplicar",$R374))/(ISNUMBER(SEARCH("Conocer",$R374))+ISNUMBER(SEARCH("Aplicar",$R374))+ISNUMBER(SEARCH("Razonar",$R374))),0)</f>
        <v>1</v>
      </c>
      <c r="U374" s="121" cm="1">
        <f t="array" ref="U374">_xlfn.IFERROR(ISNUMBER(SEARCH("Razonar",$R374))/(ISNUMBER(SEARCH("Conocer",$R374))+ISNUMBER(SEARCH("Aplicar",$R374))+ISNUMBER(SEARCH("Razonar",$R374))),0)</f>
        <v>0</v>
      </c>
      <c r="V374" t="s" s="35">
        <v>85</v>
      </c>
      <c r="W374" t="s" s="35">
        <v>115</v>
      </c>
      <c r="X374" s="36" cm="1">
        <f t="array" ref="X374">IF(OR(_xlfn.IFERROR(INDEX('Datos - Catálogo TIMSS'!$I$5:$I$107,MATCH(K374,'Datos - Catálogo TIMSS'!$A$5:$A$107,0)),"No")="Sí",_xlfn.IFERROR(INDEX('Datos - Catálogo TIMSS'!$I$5:$I$107,MATCH(L374,'Datos - Catálogo TIMSS'!$A$5:$A$107,0)),"No")="Sí"),1,0)</f>
        <v>0</v>
      </c>
      <c r="Y374" s="36" cm="1">
        <f t="array" ref="Y374">IF(_xlfn.IFERROR(INDEX('Datos - Catálogo TIMSS'!$J$5:$J$107,MATCH(K374,'Datos - Catálogo TIMSS'!$A$5:$A$107,0)),"No")="Sí",1,0)</f>
        <v>0</v>
      </c>
      <c r="Z374" s="36" cm="1">
        <f t="array" ref="Z374">IF(_xlfn.IFERROR(INDEX('Datos - Catálogo TIMSS'!$J$5:$J$107,MATCH(L374,'Datos - Catálogo TIMSS'!$A$5:$A$107,0)),"No")="Sí",1,0)</f>
        <v>0</v>
      </c>
      <c r="AA374" t="s" s="35">
        <v>3410</v>
      </c>
      <c r="AB374" s="39"/>
      <c r="AC374" t="str" s="39">
        <v>Biología</v>
      </c>
      <c r="AD374" t="s" s="35">
        <v>1834</v>
      </c>
      <c r="AE374" t="str" s="39" cm="1">
        <f t="array" ref="AE374">IF(AD374="","",IF(LEFT(AD374,1)="1","C1",IF(LEFT(AD374,1)="2","C2",IF(LEFT(AD374,1)="3","C3",""))))</f>
        <v>C2</v>
      </c>
      <c r="AF374" t="s" s="35">
        <v>1602</v>
      </c>
      <c r="AG374" t="s" s="35">
        <v>1617</v>
      </c>
      <c r="AH374" t="s" s="35">
        <v>1609</v>
      </c>
      <c r="AI374" t="s" s="35">
        <v>1623</v>
      </c>
      <c r="AJ374" t="s" s="35">
        <v>1602</v>
      </c>
      <c r="AK374" t="s" s="35">
        <v>786</v>
      </c>
      <c r="AL374" s="39"/>
      <c r="AM374" t="str" s="39" cm="1">
        <f t="array" ref="AM374">IF(AK374="FUERA","Fuera del marco",_xlfn.IFERROR(INDEX('Datos - Catálogo PISA'!$C$5:$C$76,MATCH(AK374,'Datos - Catálogo PISA'!$A$5:$A$76,0)),"?"))</f>
        <v>Sistemas vivos</v>
      </c>
      <c r="AN374" t="s" s="35">
        <v>1651</v>
      </c>
      <c r="AO374" s="39"/>
      <c r="AP374" s="39"/>
      <c r="AQ374" t="s" s="35">
        <v>1756</v>
      </c>
      <c r="AR374" s="39"/>
      <c r="AS374" t="s" s="35">
        <v>1770</v>
      </c>
      <c r="AT374" t="s" s="35">
        <v>254</v>
      </c>
      <c r="AU374" t="s" s="35">
        <v>3560</v>
      </c>
      <c r="AV374" t="s" s="35">
        <v>139</v>
      </c>
      <c r="AW374" t="str" s="39" cm="1">
        <f t="array" ref="AW374">AF374&amp;"; "&amp;AG374&amp;"; "&amp;AH374&amp;"; "&amp;AI374&amp;"; "&amp;AJ374</f>
        <v>E1; D1; E4; D4; E1</v>
      </c>
    </row>
    <row r="375" ht="13.65" customHeight="1">
      <c r="A375" t="s" s="35">
        <v>3561</v>
      </c>
      <c r="B375" s="36">
        <v>7</v>
      </c>
      <c r="C375" t="s" s="35">
        <v>1823</v>
      </c>
      <c r="D375" t="s" s="35">
        <v>3454</v>
      </c>
      <c r="E375" t="s" s="35">
        <v>3507</v>
      </c>
      <c r="F375" s="36">
        <v>13</v>
      </c>
      <c r="G375" t="s" s="35">
        <v>3508</v>
      </c>
      <c r="H375" t="s" s="35">
        <v>3556</v>
      </c>
      <c r="I375" t="s" s="120">
        <v>3562</v>
      </c>
      <c r="J375" t="s" s="35">
        <v>1164</v>
      </c>
      <c r="K375" t="s" s="35">
        <v>1178</v>
      </c>
      <c r="L375" s="39"/>
      <c r="M375" t="str" s="39">
        <v>Biología</v>
      </c>
      <c r="N375" t="str" s="39">
        <v>Ciclos de vida, reproducción y herencia</v>
      </c>
      <c r="O375" t="str" s="39" cm="1">
        <f t="array" ref="O375">IF(L375="","",_xlfn.IFERROR(INDEX('Datos - Catálogo TIMSS'!$C$5:$C$107,MATCH(L375,'Datos - Catálogo TIMSS'!$A$5:$A$107,0)),"?"))</f>
      </c>
      <c r="P375" t="s" s="35">
        <v>254</v>
      </c>
      <c r="Q375" t="s" s="120">
        <v>3563</v>
      </c>
      <c r="R375" t="s" s="120">
        <v>3564</v>
      </c>
      <c r="S375" s="121" cm="1">
        <f t="array" ref="S375">_xlfn.IFERROR(ISNUMBER(SEARCH("Conocer",$R375))/(ISNUMBER(SEARCH("Conocer",$R375))+ISNUMBER(SEARCH("Aplicar",$R375))+ISNUMBER(SEARCH("Razonar",$R375))),0)</f>
        <v>0</v>
      </c>
      <c r="T375" s="121" cm="1">
        <f t="array" ref="T375">_xlfn.IFERROR(ISNUMBER(SEARCH("Aplicar",$R375))/(ISNUMBER(SEARCH("Conocer",$R375))+ISNUMBER(SEARCH("Aplicar",$R375))+ISNUMBER(SEARCH("Razonar",$R375))),0)</f>
        <v>0.5</v>
      </c>
      <c r="U375" s="121" cm="1">
        <f t="array" ref="U375">_xlfn.IFERROR(ISNUMBER(SEARCH("Razonar",$R375))/(ISNUMBER(SEARCH("Conocer",$R375))+ISNUMBER(SEARCH("Aplicar",$R375))+ISNUMBER(SEARCH("Razonar",$R375))),0)</f>
        <v>0.5</v>
      </c>
      <c r="V375" t="s" s="35">
        <v>85</v>
      </c>
      <c r="W375" t="s" s="35">
        <v>115</v>
      </c>
      <c r="X375" s="36" cm="1">
        <f t="array" ref="X375">IF(OR(_xlfn.IFERROR(INDEX('Datos - Catálogo TIMSS'!$I$5:$I$107,MATCH(K375,'Datos - Catálogo TIMSS'!$A$5:$A$107,0)),"No")="Sí",_xlfn.IFERROR(INDEX('Datos - Catálogo TIMSS'!$I$5:$I$107,MATCH(L375,'Datos - Catálogo TIMSS'!$A$5:$A$107,0)),"No")="Sí"),1,0)</f>
        <v>0</v>
      </c>
      <c r="Y375" s="36" cm="1">
        <f t="array" ref="Y375">IF(_xlfn.IFERROR(INDEX('Datos - Catálogo TIMSS'!$J$5:$J$107,MATCH(K375,'Datos - Catálogo TIMSS'!$A$5:$A$107,0)),"No")="Sí",1,0)</f>
        <v>0</v>
      </c>
      <c r="Z375" s="36" cm="1">
        <f t="array" ref="Z375">IF(_xlfn.IFERROR(INDEX('Datos - Catálogo TIMSS'!$J$5:$J$107,MATCH(L375,'Datos - Catálogo TIMSS'!$A$5:$A$107,0)),"No")="Sí",1,0)</f>
        <v>0</v>
      </c>
      <c r="AA375" t="s" s="35">
        <v>3410</v>
      </c>
      <c r="AB375" s="39"/>
      <c r="AC375" t="str" s="39">
        <v>Biología</v>
      </c>
      <c r="AD375" t="s" s="35">
        <v>1834</v>
      </c>
      <c r="AE375" t="str" s="39" cm="1">
        <f t="array" ref="AE375">IF(AD375="","",IF(LEFT(AD375,1)="1","C1",IF(LEFT(AD375,1)="2","C2",IF(LEFT(AD375,1)="3","C3",""))))</f>
        <v>C2</v>
      </c>
      <c r="AF375" t="s" s="35">
        <v>1602</v>
      </c>
      <c r="AG375" t="s" s="35">
        <v>1617</v>
      </c>
      <c r="AH375" t="s" s="35">
        <v>1605</v>
      </c>
      <c r="AI375" t="s" s="35">
        <v>1623</v>
      </c>
      <c r="AJ375" t="s" s="35">
        <v>1607</v>
      </c>
      <c r="AK375" t="s" s="35">
        <v>786</v>
      </c>
      <c r="AL375" s="39"/>
      <c r="AM375" t="str" s="39" cm="1">
        <f t="array" ref="AM375">IF(AK375="FUERA","Fuera del marco",_xlfn.IFERROR(INDEX('Datos - Catálogo PISA'!$C$5:$C$76,MATCH(AK375,'Datos - Catálogo PISA'!$A$5:$A$76,0)),"?"))</f>
        <v>Sistemas vivos</v>
      </c>
      <c r="AN375" t="s" s="35">
        <v>1651</v>
      </c>
      <c r="AO375" s="39"/>
      <c r="AP375" t="s" s="35">
        <v>3565</v>
      </c>
      <c r="AQ375" t="s" s="35">
        <v>1756</v>
      </c>
      <c r="AR375" s="39"/>
      <c r="AS375" t="s" s="35">
        <v>1771</v>
      </c>
      <c r="AT375" t="s" s="35">
        <v>254</v>
      </c>
      <c r="AU375" t="s" s="35">
        <v>3566</v>
      </c>
      <c r="AV375" t="s" s="35">
        <v>139</v>
      </c>
      <c r="AW375" t="str" s="39" cm="1">
        <f t="array" ref="AW375">AF375&amp;"; "&amp;AG375&amp;"; "&amp;AH375&amp;"; "&amp;AI375&amp;"; "&amp;AJ375</f>
        <v>E1; D1; E2; D4; E3</v>
      </c>
    </row>
    <row r="376" ht="13.65" customHeight="1">
      <c r="A376" t="s" s="35">
        <v>3567</v>
      </c>
      <c r="B376" s="36">
        <v>7</v>
      </c>
      <c r="C376" t="s" s="35">
        <v>1823</v>
      </c>
      <c r="D376" t="s" s="35">
        <v>3454</v>
      </c>
      <c r="E376" t="s" s="35">
        <v>3507</v>
      </c>
      <c r="F376" s="36">
        <v>14</v>
      </c>
      <c r="G376" t="s" s="35">
        <v>3508</v>
      </c>
      <c r="H376" t="s" s="35">
        <v>3556</v>
      </c>
      <c r="I376" t="s" s="120">
        <v>985</v>
      </c>
      <c r="J376" t="s" s="35">
        <v>1164</v>
      </c>
      <c r="K376" t="s" s="35">
        <v>1178</v>
      </c>
      <c r="L376" s="39"/>
      <c r="M376" t="str" s="39">
        <v>Biología</v>
      </c>
      <c r="N376" t="str" s="39">
        <v>Ciclos de vida, reproducción y herencia</v>
      </c>
      <c r="O376" t="str" s="39" cm="1">
        <f t="array" ref="O376">IF(L376="","",_xlfn.IFERROR(INDEX('Datos - Catálogo TIMSS'!$C$5:$C$107,MATCH(L376,'Datos - Catálogo TIMSS'!$A$5:$A$107,0)),"?"))</f>
      </c>
      <c r="P376" t="s" s="35">
        <v>282</v>
      </c>
      <c r="Q376" t="s" s="120">
        <v>3568</v>
      </c>
      <c r="R376" t="s" s="120">
        <v>3553</v>
      </c>
      <c r="S376" s="121" cm="1">
        <f t="array" ref="S376">_xlfn.IFERROR(ISNUMBER(SEARCH("Conocer",$R376))/(ISNUMBER(SEARCH("Conocer",$R376))+ISNUMBER(SEARCH("Aplicar",$R376))+ISNUMBER(SEARCH("Razonar",$R376))),0)</f>
        <v>0</v>
      </c>
      <c r="T376" s="121" cm="1">
        <f t="array" ref="T376">_xlfn.IFERROR(ISNUMBER(SEARCH("Aplicar",$R376))/(ISNUMBER(SEARCH("Conocer",$R376))+ISNUMBER(SEARCH("Aplicar",$R376))+ISNUMBER(SEARCH("Razonar",$R376))),0)</f>
        <v>0</v>
      </c>
      <c r="U376" s="121" cm="1">
        <f t="array" ref="U376">_xlfn.IFERROR(ISNUMBER(SEARCH("Razonar",$R376))/(ISNUMBER(SEARCH("Conocer",$R376))+ISNUMBER(SEARCH("Aplicar",$R376))+ISNUMBER(SEARCH("Razonar",$R376))),0)</f>
        <v>1</v>
      </c>
      <c r="V376" t="s" s="35">
        <v>85</v>
      </c>
      <c r="W376" t="s" s="35">
        <v>115</v>
      </c>
      <c r="X376" s="36" cm="1">
        <f t="array" ref="X376">IF(OR(_xlfn.IFERROR(INDEX('Datos - Catálogo TIMSS'!$I$5:$I$107,MATCH(K376,'Datos - Catálogo TIMSS'!$A$5:$A$107,0)),"No")="Sí",_xlfn.IFERROR(INDEX('Datos - Catálogo TIMSS'!$I$5:$I$107,MATCH(L376,'Datos - Catálogo TIMSS'!$A$5:$A$107,0)),"No")="Sí"),1,0)</f>
        <v>0</v>
      </c>
      <c r="Y376" s="36" cm="1">
        <f t="array" ref="Y376">IF(_xlfn.IFERROR(INDEX('Datos - Catálogo TIMSS'!$J$5:$J$107,MATCH(K376,'Datos - Catálogo TIMSS'!$A$5:$A$107,0)),"No")="Sí",1,0)</f>
        <v>0</v>
      </c>
      <c r="Z376" s="36" cm="1">
        <f t="array" ref="Z376">IF(_xlfn.IFERROR(INDEX('Datos - Catálogo TIMSS'!$J$5:$J$107,MATCH(L376,'Datos - Catálogo TIMSS'!$A$5:$A$107,0)),"No")="Sí",1,0)</f>
        <v>0</v>
      </c>
      <c r="AA376" t="s" s="35">
        <v>3410</v>
      </c>
      <c r="AB376" s="39"/>
      <c r="AC376" t="str" s="39">
        <v>Biología</v>
      </c>
      <c r="AD376" t="s" s="35">
        <v>1900</v>
      </c>
      <c r="AE376" t="str" s="39" cm="1">
        <f t="array" ref="AE376">IF(AD376="","",IF(LEFT(AD376,1)="1","C1",IF(LEFT(AD376,1)="2","C2",IF(LEFT(AD376,1)="3","C3",""))))</f>
        <v>C3</v>
      </c>
      <c r="AF376" t="s" s="35">
        <v>1602</v>
      </c>
      <c r="AG376" t="s" s="35">
        <v>1617</v>
      </c>
      <c r="AH376" t="s" s="35">
        <v>1602</v>
      </c>
      <c r="AI376" t="s" s="35">
        <v>1625</v>
      </c>
      <c r="AJ376" t="s" s="35">
        <v>1633</v>
      </c>
      <c r="AK376" t="s" s="35">
        <v>786</v>
      </c>
      <c r="AL376" s="39"/>
      <c r="AM376" t="str" s="39" cm="1">
        <f t="array" ref="AM376">IF(AK376="FUERA","Fuera del marco",_xlfn.IFERROR(INDEX('Datos - Catálogo PISA'!$C$5:$C$76,MATCH(AK376,'Datos - Catálogo PISA'!$A$5:$A$76,0)),"?"))</f>
        <v>Sistemas vivos</v>
      </c>
      <c r="AN376" t="s" s="35">
        <v>1651</v>
      </c>
      <c r="AO376" s="39"/>
      <c r="AP376" s="39"/>
      <c r="AQ376" t="s" s="35">
        <v>1753</v>
      </c>
      <c r="AR376" t="s" s="35">
        <v>1764</v>
      </c>
      <c r="AS376" t="s" s="35">
        <v>1771</v>
      </c>
      <c r="AT376" t="s" s="35">
        <v>254</v>
      </c>
      <c r="AU376" t="s" s="35">
        <v>3569</v>
      </c>
      <c r="AV376" t="s" s="35">
        <v>139</v>
      </c>
      <c r="AW376" t="str" s="39" cm="1">
        <f t="array" ref="AW376">AF376&amp;"; "&amp;AG376&amp;"; "&amp;AH376&amp;"; "&amp;AI376&amp;"; "&amp;AJ376</f>
        <v>E1; D1; E1; I1; I5</v>
      </c>
    </row>
    <row r="377" ht="13.65" customHeight="1">
      <c r="A377" t="s" s="35">
        <v>3570</v>
      </c>
      <c r="B377" s="36">
        <v>7</v>
      </c>
      <c r="C377" t="s" s="35">
        <v>1823</v>
      </c>
      <c r="D377" t="s" s="35">
        <v>3454</v>
      </c>
      <c r="E377" t="s" s="35">
        <v>3507</v>
      </c>
      <c r="F377" s="36">
        <v>15</v>
      </c>
      <c r="G377" t="s" s="35">
        <v>3508</v>
      </c>
      <c r="H377" t="s" s="35">
        <v>3571</v>
      </c>
      <c r="I377" t="s" s="120">
        <v>3572</v>
      </c>
      <c r="J377" t="s" s="35">
        <v>1164</v>
      </c>
      <c r="K377" t="s" s="35">
        <v>1181</v>
      </c>
      <c r="L377" t="s" s="35">
        <v>1178</v>
      </c>
      <c r="M377" t="str" s="39">
        <v>Biología</v>
      </c>
      <c r="N377" t="str" s="39">
        <v>Diversidad, adaptación y selección natural</v>
      </c>
      <c r="O377" t="str" s="39" cm="1">
        <f t="array" ref="O377">IF(L377="","",_xlfn.IFERROR(INDEX('Datos - Catálogo TIMSS'!$C$5:$C$107,MATCH(L377,'Datos - Catálogo TIMSS'!$A$5:$A$107,0)),"?"))</f>
        <v>Biología</v>
      </c>
      <c r="P377" t="s" s="35">
        <v>282</v>
      </c>
      <c r="Q377" t="s" s="120">
        <v>3573</v>
      </c>
      <c r="R377" t="s" s="120">
        <v>3574</v>
      </c>
      <c r="S377" s="121" cm="1">
        <f t="array" ref="S377">_xlfn.IFERROR(ISNUMBER(SEARCH("Conocer",$R377))/(ISNUMBER(SEARCH("Conocer",$R377))+ISNUMBER(SEARCH("Aplicar",$R377))+ISNUMBER(SEARCH("Razonar",$R377))),0)</f>
        <v>0</v>
      </c>
      <c r="T377" s="121" cm="1">
        <f t="array" ref="T377">_xlfn.IFERROR(ISNUMBER(SEARCH("Aplicar",$R377))/(ISNUMBER(SEARCH("Conocer",$R377))+ISNUMBER(SEARCH("Aplicar",$R377))+ISNUMBER(SEARCH("Razonar",$R377))),0)</f>
        <v>1</v>
      </c>
      <c r="U377" s="121" cm="1">
        <f t="array" ref="U377">_xlfn.IFERROR(ISNUMBER(SEARCH("Razonar",$R377))/(ISNUMBER(SEARCH("Conocer",$R377))+ISNUMBER(SEARCH("Aplicar",$R377))+ISNUMBER(SEARCH("Razonar",$R377))),0)</f>
        <v>0</v>
      </c>
      <c r="V377" t="s" s="35">
        <v>85</v>
      </c>
      <c r="W377" t="s" s="35">
        <v>115</v>
      </c>
      <c r="X377" s="36" cm="1">
        <f t="array" ref="X377">IF(OR(_xlfn.IFERROR(INDEX('Datos - Catálogo TIMSS'!$I$5:$I$107,MATCH(K377,'Datos - Catálogo TIMSS'!$A$5:$A$107,0)),"No")="Sí",_xlfn.IFERROR(INDEX('Datos - Catálogo TIMSS'!$I$5:$I$107,MATCH(L377,'Datos - Catálogo TIMSS'!$A$5:$A$107,0)),"No")="Sí"),1,0)</f>
        <v>0</v>
      </c>
      <c r="Y377" s="36" cm="1">
        <f t="array" ref="Y377">IF(_xlfn.IFERROR(INDEX('Datos - Catálogo TIMSS'!$J$5:$J$107,MATCH(K377,'Datos - Catálogo TIMSS'!$A$5:$A$107,0)),"No")="Sí",1,0)</f>
        <v>0</v>
      </c>
      <c r="Z377" s="36" cm="1">
        <f t="array" ref="Z377">IF(_xlfn.IFERROR(INDEX('Datos - Catálogo TIMSS'!$J$5:$J$107,MATCH(L377,'Datos - Catálogo TIMSS'!$A$5:$A$107,0)),"No")="Sí",1,0)</f>
        <v>0</v>
      </c>
      <c r="AA377" t="s" s="35">
        <v>3087</v>
      </c>
      <c r="AB377" t="s" s="35">
        <v>3410</v>
      </c>
      <c r="AC377" t="str" s="39">
        <v>Biología</v>
      </c>
      <c r="AD377" t="s" s="35">
        <v>1834</v>
      </c>
      <c r="AE377" t="str" s="39" cm="1">
        <f t="array" ref="AE377">IF(AD377="","",IF(LEFT(AD377,1)="1","C1",IF(LEFT(AD377,1)="2","C2",IF(LEFT(AD377,1)="3","C3",""))))</f>
        <v>C2</v>
      </c>
      <c r="AF377" t="s" s="35">
        <v>1602</v>
      </c>
      <c r="AG377" t="s" s="35">
        <v>1617</v>
      </c>
      <c r="AH377" t="s" s="35">
        <v>1602</v>
      </c>
      <c r="AI377" t="s" s="35">
        <v>1623</v>
      </c>
      <c r="AJ377" t="s" s="35">
        <v>1602</v>
      </c>
      <c r="AK377" t="s" s="35">
        <v>1542</v>
      </c>
      <c r="AL377" t="s" s="35">
        <v>786</v>
      </c>
      <c r="AM377" t="str" s="39" cm="1">
        <f t="array" ref="AM377">IF(AK377="FUERA","Fuera del marco",_xlfn.IFERROR(INDEX('Datos - Catálogo PISA'!$C$5:$C$76,MATCH(AK377,'Datos - Catálogo PISA'!$A$5:$A$76,0)),"?"))</f>
        <v>Sistemas vivos</v>
      </c>
      <c r="AN377" t="s" s="35">
        <v>1651</v>
      </c>
      <c r="AO377" t="s" s="35">
        <v>3575</v>
      </c>
      <c r="AP377" s="39"/>
      <c r="AQ377" t="s" s="35">
        <v>1756</v>
      </c>
      <c r="AR377" s="39"/>
      <c r="AS377" t="s" s="35">
        <v>1771</v>
      </c>
      <c r="AT377" t="s" s="35">
        <v>282</v>
      </c>
      <c r="AU377" t="s" s="35">
        <v>3576</v>
      </c>
      <c r="AV377" t="s" s="35">
        <v>139</v>
      </c>
      <c r="AW377" t="str" s="39" cm="1">
        <f t="array" ref="AW377">AF377&amp;"; "&amp;AG377&amp;"; "&amp;AH377&amp;"; "&amp;AI377&amp;"; "&amp;AJ377</f>
        <v>E1; D1; E1; D4; E1</v>
      </c>
    </row>
    <row r="378" ht="13.65" customHeight="1">
      <c r="A378" t="s" s="35">
        <v>3577</v>
      </c>
      <c r="B378" s="36">
        <v>7</v>
      </c>
      <c r="C378" t="s" s="35">
        <v>1823</v>
      </c>
      <c r="D378" t="s" s="35">
        <v>3454</v>
      </c>
      <c r="E378" t="s" s="35">
        <v>3507</v>
      </c>
      <c r="F378" s="36">
        <v>16</v>
      </c>
      <c r="G378" t="s" s="35">
        <v>3508</v>
      </c>
      <c r="H378" t="s" s="35">
        <v>3571</v>
      </c>
      <c r="I378" t="s" s="120">
        <v>3578</v>
      </c>
      <c r="J378" t="s" s="35">
        <v>1164</v>
      </c>
      <c r="K378" t="s" s="35">
        <v>1181</v>
      </c>
      <c r="L378" s="39"/>
      <c r="M378" t="str" s="39">
        <v>Biología</v>
      </c>
      <c r="N378" t="str" s="39">
        <v>Diversidad, adaptación y selección natural</v>
      </c>
      <c r="O378" t="str" s="39" cm="1">
        <f t="array" ref="O378">IF(L378="","",_xlfn.IFERROR(INDEX('Datos - Catálogo TIMSS'!$C$5:$C$107,MATCH(L378,'Datos - Catálogo TIMSS'!$A$5:$A$107,0)),"?"))</f>
      </c>
      <c r="P378" t="s" s="35">
        <v>254</v>
      </c>
      <c r="Q378" t="s" s="120">
        <v>3579</v>
      </c>
      <c r="R378" t="s" s="120">
        <v>1847</v>
      </c>
      <c r="S378" s="121" cm="1">
        <f t="array" ref="S378">_xlfn.IFERROR(ISNUMBER(SEARCH("Conocer",$R378))/(ISNUMBER(SEARCH("Conocer",$R378))+ISNUMBER(SEARCH("Aplicar",$R378))+ISNUMBER(SEARCH("Razonar",$R378))),0)</f>
        <v>0</v>
      </c>
      <c r="T378" s="121" cm="1">
        <f t="array" ref="T378">_xlfn.IFERROR(ISNUMBER(SEARCH("Aplicar",$R378))/(ISNUMBER(SEARCH("Conocer",$R378))+ISNUMBER(SEARCH("Aplicar",$R378))+ISNUMBER(SEARCH("Razonar",$R378))),0)</f>
        <v>1</v>
      </c>
      <c r="U378" s="121" cm="1">
        <f t="array" ref="U378">_xlfn.IFERROR(ISNUMBER(SEARCH("Razonar",$R378))/(ISNUMBER(SEARCH("Conocer",$R378))+ISNUMBER(SEARCH("Aplicar",$R378))+ISNUMBER(SEARCH("Razonar",$R378))),0)</f>
        <v>0</v>
      </c>
      <c r="V378" t="s" s="35">
        <v>85</v>
      </c>
      <c r="W378" t="s" s="35">
        <v>115</v>
      </c>
      <c r="X378" s="36" cm="1">
        <f t="array" ref="X378">IF(OR(_xlfn.IFERROR(INDEX('Datos - Catálogo TIMSS'!$I$5:$I$107,MATCH(K378,'Datos - Catálogo TIMSS'!$A$5:$A$107,0)),"No")="Sí",_xlfn.IFERROR(INDEX('Datos - Catálogo TIMSS'!$I$5:$I$107,MATCH(L378,'Datos - Catálogo TIMSS'!$A$5:$A$107,0)),"No")="Sí"),1,0)</f>
        <v>0</v>
      </c>
      <c r="Y378" s="36" cm="1">
        <f t="array" ref="Y378">IF(_xlfn.IFERROR(INDEX('Datos - Catálogo TIMSS'!$J$5:$J$107,MATCH(K378,'Datos - Catálogo TIMSS'!$A$5:$A$107,0)),"No")="Sí",1,0)</f>
        <v>0</v>
      </c>
      <c r="Z378" s="36" cm="1">
        <f t="array" ref="Z378">IF(_xlfn.IFERROR(INDEX('Datos - Catálogo TIMSS'!$J$5:$J$107,MATCH(L378,'Datos - Catálogo TIMSS'!$A$5:$A$107,0)),"No")="Sí",1,0)</f>
        <v>0</v>
      </c>
      <c r="AA378" t="s" s="35">
        <v>3087</v>
      </c>
      <c r="AB378" s="39"/>
      <c r="AC378" t="str" s="39">
        <v>Biología</v>
      </c>
      <c r="AD378" t="s" s="35">
        <v>1859</v>
      </c>
      <c r="AE378" t="str" s="39" cm="1">
        <f t="array" ref="AE378">IF(AD378="","",IF(LEFT(AD378,1)="1","C1",IF(LEFT(AD378,1)="2","C2",IF(LEFT(AD378,1)="3","C3",""))))</f>
        <v>C1</v>
      </c>
      <c r="AF378" t="s" s="35">
        <v>1602</v>
      </c>
      <c r="AG378" t="s" s="35">
        <v>1617</v>
      </c>
      <c r="AH378" t="s" s="35">
        <v>1602</v>
      </c>
      <c r="AI378" t="s" s="35">
        <v>1623</v>
      </c>
      <c r="AJ378" t="s" s="35">
        <v>1615</v>
      </c>
      <c r="AK378" t="s" s="35">
        <v>1542</v>
      </c>
      <c r="AL378" s="39"/>
      <c r="AM378" t="str" s="39" cm="1">
        <f t="array" ref="AM378">IF(AK378="FUERA","Fuera del marco",_xlfn.IFERROR(INDEX('Datos - Catálogo PISA'!$C$5:$C$76,MATCH(AK378,'Datos - Catálogo PISA'!$A$5:$A$76,0)),"?"))</f>
        <v>Sistemas vivos</v>
      </c>
      <c r="AN378" t="s" s="35">
        <v>1651</v>
      </c>
      <c r="AO378" s="39"/>
      <c r="AP378" s="39"/>
      <c r="AQ378" t="s" s="35">
        <v>1756</v>
      </c>
      <c r="AR378" s="39"/>
      <c r="AS378" t="s" s="35">
        <v>1770</v>
      </c>
      <c r="AT378" t="s" s="35">
        <v>254</v>
      </c>
      <c r="AU378" t="s" s="35">
        <v>3580</v>
      </c>
      <c r="AV378" t="s" s="35">
        <v>139</v>
      </c>
      <c r="AW378" t="str" s="39" cm="1">
        <f t="array" ref="AW378">AF378&amp;"; "&amp;AG378&amp;"; "&amp;AH378&amp;"; "&amp;AI378&amp;"; "&amp;AJ378</f>
        <v>E1; D1; E1; D4; E6</v>
      </c>
    </row>
    <row r="379" ht="13.65" customHeight="1">
      <c r="A379" t="s" s="35">
        <v>3581</v>
      </c>
      <c r="B379" s="36">
        <v>7</v>
      </c>
      <c r="C379" t="s" s="35">
        <v>1823</v>
      </c>
      <c r="D379" t="s" s="35">
        <v>3454</v>
      </c>
      <c r="E379" t="s" s="35">
        <v>3507</v>
      </c>
      <c r="F379" s="36">
        <v>17</v>
      </c>
      <c r="G379" t="s" s="35">
        <v>3508</v>
      </c>
      <c r="H379" t="s" s="35">
        <v>3571</v>
      </c>
      <c r="I379" t="s" s="120">
        <v>995</v>
      </c>
      <c r="J379" t="s" s="35">
        <v>1164</v>
      </c>
      <c r="K379" t="s" s="35">
        <v>1181</v>
      </c>
      <c r="L379" t="s" s="35">
        <v>454</v>
      </c>
      <c r="M379" t="str" s="39">
        <v>Biología</v>
      </c>
      <c r="N379" t="str" s="39">
        <v>Diversidad, adaptación y selección natural</v>
      </c>
      <c r="O379" t="str" s="39" cm="1">
        <f t="array" ref="O379">IF(L379="","",_xlfn.IFERROR(INDEX('Datos - Catálogo TIMSS'!$C$5:$C$107,MATCH(L379,'Datos - Catálogo TIMSS'!$A$5:$A$107,0)),"?"))</f>
        <v>Biología</v>
      </c>
      <c r="P379" t="s" s="35">
        <v>254</v>
      </c>
      <c r="Q379" t="s" s="120">
        <v>3582</v>
      </c>
      <c r="R379" t="s" s="120">
        <v>3583</v>
      </c>
      <c r="S379" s="121" cm="1">
        <f t="array" ref="S379">_xlfn.IFERROR(ISNUMBER(SEARCH("Conocer",$R379))/(ISNUMBER(SEARCH("Conocer",$R379))+ISNUMBER(SEARCH("Aplicar",$R379))+ISNUMBER(SEARCH("Razonar",$R379))),0)</f>
        <v>0</v>
      </c>
      <c r="T379" s="121" cm="1">
        <f t="array" ref="T379">_xlfn.IFERROR(ISNUMBER(SEARCH("Aplicar",$R379))/(ISNUMBER(SEARCH("Conocer",$R379))+ISNUMBER(SEARCH("Aplicar",$R379))+ISNUMBER(SEARCH("Razonar",$R379))),0)</f>
        <v>0</v>
      </c>
      <c r="U379" s="121" cm="1">
        <f t="array" ref="U379">_xlfn.IFERROR(ISNUMBER(SEARCH("Razonar",$R379))/(ISNUMBER(SEARCH("Conocer",$R379))+ISNUMBER(SEARCH("Aplicar",$R379))+ISNUMBER(SEARCH("Razonar",$R379))),0)</f>
        <v>1</v>
      </c>
      <c r="V379" t="s" s="35">
        <v>85</v>
      </c>
      <c r="W379" t="s" s="35">
        <v>115</v>
      </c>
      <c r="X379" s="36" cm="1">
        <f t="array" ref="X379">IF(OR(_xlfn.IFERROR(INDEX('Datos - Catálogo TIMSS'!$I$5:$I$107,MATCH(K379,'Datos - Catálogo TIMSS'!$A$5:$A$107,0)),"No")="Sí",_xlfn.IFERROR(INDEX('Datos - Catálogo TIMSS'!$I$5:$I$107,MATCH(L379,'Datos - Catálogo TIMSS'!$A$5:$A$107,0)),"No")="Sí"),1,0)</f>
        <v>0</v>
      </c>
      <c r="Y379" s="36" cm="1">
        <f t="array" ref="Y379">IF(_xlfn.IFERROR(INDEX('Datos - Catálogo TIMSS'!$J$5:$J$107,MATCH(K379,'Datos - Catálogo TIMSS'!$A$5:$A$107,0)),"No")="Sí",1,0)</f>
        <v>0</v>
      </c>
      <c r="Z379" s="36" cm="1">
        <f t="array" ref="Z379">IF(_xlfn.IFERROR(INDEX('Datos - Catálogo TIMSS'!$J$5:$J$107,MATCH(L379,'Datos - Catálogo TIMSS'!$A$5:$A$107,0)),"No")="Sí",1,0)</f>
        <v>0</v>
      </c>
      <c r="AA379" t="s" s="35">
        <v>3087</v>
      </c>
      <c r="AB379" s="39"/>
      <c r="AC379" t="str" s="39">
        <v>Biología</v>
      </c>
      <c r="AD379" t="s" s="35">
        <v>1900</v>
      </c>
      <c r="AE379" t="str" s="39" cm="1">
        <f t="array" ref="AE379">IF(AD379="","",IF(LEFT(AD379,1)="1","C1",IF(LEFT(AD379,1)="2","C2",IF(LEFT(AD379,1)="3","C3",""))))</f>
        <v>C3</v>
      </c>
      <c r="AF379" t="s" s="35">
        <v>1602</v>
      </c>
      <c r="AG379" t="s" s="35">
        <v>1617</v>
      </c>
      <c r="AH379" t="s" s="35">
        <v>1609</v>
      </c>
      <c r="AI379" t="s" s="35">
        <v>1631</v>
      </c>
      <c r="AJ379" t="s" s="35">
        <v>1633</v>
      </c>
      <c r="AK379" t="s" s="35">
        <v>1542</v>
      </c>
      <c r="AL379" t="s" s="35">
        <v>1537</v>
      </c>
      <c r="AM379" t="str" s="39" cm="1">
        <f t="array" ref="AM379">IF(AK379="FUERA","Fuera del marco",_xlfn.IFERROR(INDEX('Datos - Catálogo PISA'!$C$5:$C$76,MATCH(AK379,'Datos - Catálogo PISA'!$A$5:$A$76,0)),"?"))</f>
        <v>Sistemas vivos</v>
      </c>
      <c r="AN379" t="s" s="35">
        <v>1651</v>
      </c>
      <c r="AO379" s="39"/>
      <c r="AP379" t="s" s="35">
        <v>3534</v>
      </c>
      <c r="AQ379" t="s" s="35">
        <v>1753</v>
      </c>
      <c r="AR379" t="s" s="35">
        <v>1764</v>
      </c>
      <c r="AS379" t="s" s="35">
        <v>1771</v>
      </c>
      <c r="AT379" t="s" s="35">
        <v>254</v>
      </c>
      <c r="AU379" t="s" s="35">
        <v>3584</v>
      </c>
      <c r="AV379" t="s" s="35">
        <v>139</v>
      </c>
      <c r="AW379" t="str" s="39" cm="1">
        <f t="array" ref="AW379">AF379&amp;"; "&amp;AG379&amp;"; "&amp;AH379&amp;"; "&amp;AI379&amp;"; "&amp;AJ379</f>
        <v>E1; D1; E4; I4; I5</v>
      </c>
    </row>
    <row r="380" ht="13.65" customHeight="1">
      <c r="A380" t="s" s="35">
        <v>3586</v>
      </c>
      <c r="B380" s="36">
        <v>7</v>
      </c>
      <c r="C380" t="s" s="35">
        <v>1823</v>
      </c>
      <c r="D380" t="s" s="35">
        <v>3454</v>
      </c>
      <c r="E380" t="s" s="35">
        <v>3507</v>
      </c>
      <c r="F380" s="36">
        <v>18</v>
      </c>
      <c r="G380" t="s" s="35">
        <v>3508</v>
      </c>
      <c r="H380" t="s" s="35">
        <v>3571</v>
      </c>
      <c r="I380" t="s" s="120">
        <v>3587</v>
      </c>
      <c r="J380" t="s" s="35">
        <v>1164</v>
      </c>
      <c r="K380" t="s" s="35">
        <v>1181</v>
      </c>
      <c r="L380" s="39"/>
      <c r="M380" t="str" s="39">
        <v>Biología</v>
      </c>
      <c r="N380" t="str" s="39">
        <v>Diversidad, adaptación y selección natural</v>
      </c>
      <c r="O380" t="str" s="39" cm="1">
        <f t="array" ref="O380">IF(L380="","",_xlfn.IFERROR(INDEX('Datos - Catálogo TIMSS'!$C$5:$C$107,MATCH(L380,'Datos - Catálogo TIMSS'!$A$5:$A$107,0)),"?"))</f>
      </c>
      <c r="P380" t="s" s="35">
        <v>254</v>
      </c>
      <c r="Q380" t="s" s="120">
        <v>3588</v>
      </c>
      <c r="R380" t="s" s="120">
        <v>3198</v>
      </c>
      <c r="S380" s="121" cm="1">
        <f t="array" ref="S380">_xlfn.IFERROR(ISNUMBER(SEARCH("Conocer",$R380))/(ISNUMBER(SEARCH("Conocer",$R380))+ISNUMBER(SEARCH("Aplicar",$R380))+ISNUMBER(SEARCH("Razonar",$R380))),0)</f>
        <v>0</v>
      </c>
      <c r="T380" s="121" cm="1">
        <f t="array" ref="T380">_xlfn.IFERROR(ISNUMBER(SEARCH("Aplicar",$R380))/(ISNUMBER(SEARCH("Conocer",$R380))+ISNUMBER(SEARCH("Aplicar",$R380))+ISNUMBER(SEARCH("Razonar",$R380))),0)</f>
        <v>1</v>
      </c>
      <c r="U380" s="121" cm="1">
        <f t="array" ref="U380">_xlfn.IFERROR(ISNUMBER(SEARCH("Razonar",$R380))/(ISNUMBER(SEARCH("Conocer",$R380))+ISNUMBER(SEARCH("Aplicar",$R380))+ISNUMBER(SEARCH("Razonar",$R380))),0)</f>
        <v>0</v>
      </c>
      <c r="V380" t="s" s="35">
        <v>85</v>
      </c>
      <c r="W380" t="s" s="35">
        <v>115</v>
      </c>
      <c r="X380" s="36" cm="1">
        <f t="array" ref="X380">IF(OR(_xlfn.IFERROR(INDEX('Datos - Catálogo TIMSS'!$I$5:$I$107,MATCH(K380,'Datos - Catálogo TIMSS'!$A$5:$A$107,0)),"No")="Sí",_xlfn.IFERROR(INDEX('Datos - Catálogo TIMSS'!$I$5:$I$107,MATCH(L380,'Datos - Catálogo TIMSS'!$A$5:$A$107,0)),"No")="Sí"),1,0)</f>
        <v>0</v>
      </c>
      <c r="Y380" s="36" cm="1">
        <f t="array" ref="Y380">IF(_xlfn.IFERROR(INDEX('Datos - Catálogo TIMSS'!$J$5:$J$107,MATCH(K380,'Datos - Catálogo TIMSS'!$A$5:$A$107,0)),"No")="Sí",1,0)</f>
        <v>0</v>
      </c>
      <c r="Z380" s="36" cm="1">
        <f t="array" ref="Z380">IF(_xlfn.IFERROR(INDEX('Datos - Catálogo TIMSS'!$J$5:$J$107,MATCH(L380,'Datos - Catálogo TIMSS'!$A$5:$A$107,0)),"No")="Sí",1,0)</f>
        <v>0</v>
      </c>
      <c r="AA380" t="s" s="35">
        <v>3087</v>
      </c>
      <c r="AB380" s="39"/>
      <c r="AC380" t="str" s="39">
        <v>Biología</v>
      </c>
      <c r="AD380" t="s" s="35">
        <v>1834</v>
      </c>
      <c r="AE380" t="str" s="39" cm="1">
        <f t="array" ref="AE380">IF(AD380="","",IF(LEFT(AD380,1)="1","C1",IF(LEFT(AD380,1)="2","C2",IF(LEFT(AD380,1)="3","C3",""))))</f>
        <v>C2</v>
      </c>
      <c r="AF380" t="s" s="35">
        <v>1602</v>
      </c>
      <c r="AG380" t="s" s="35">
        <v>1607</v>
      </c>
      <c r="AH380" t="s" s="35">
        <v>1609</v>
      </c>
      <c r="AI380" t="s" s="35">
        <v>1623</v>
      </c>
      <c r="AJ380" t="s" s="35">
        <v>1607</v>
      </c>
      <c r="AK380" t="s" s="35">
        <v>1542</v>
      </c>
      <c r="AL380" s="39"/>
      <c r="AM380" t="str" s="39" cm="1">
        <f t="array" ref="AM380">IF(AK380="FUERA","Fuera del marco",_xlfn.IFERROR(INDEX('Datos - Catálogo PISA'!$C$5:$C$76,MATCH(AK380,'Datos - Catálogo PISA'!$A$5:$A$76,0)),"?"))</f>
        <v>Sistemas vivos</v>
      </c>
      <c r="AN380" t="s" s="35">
        <v>1651</v>
      </c>
      <c r="AO380" s="39"/>
      <c r="AP380" t="s" s="35">
        <v>3534</v>
      </c>
      <c r="AQ380" t="s" s="35">
        <v>1756</v>
      </c>
      <c r="AR380" s="39"/>
      <c r="AS380" t="s" s="35">
        <v>1771</v>
      </c>
      <c r="AT380" t="s" s="35">
        <v>254</v>
      </c>
      <c r="AU380" t="s" s="35">
        <v>3589</v>
      </c>
      <c r="AV380" t="s" s="35">
        <v>139</v>
      </c>
      <c r="AW380" t="str" s="39" cm="1">
        <f t="array" ref="AW380">AF380&amp;"; "&amp;AG380&amp;"; "&amp;AH380&amp;"; "&amp;AI380&amp;"; "&amp;AJ380</f>
        <v>E1; E3; E4; D4; E3</v>
      </c>
    </row>
    <row r="381" ht="13.65" customHeight="1">
      <c r="A381" t="s" s="35">
        <v>3590</v>
      </c>
      <c r="B381" s="36">
        <v>7</v>
      </c>
      <c r="C381" t="s" s="35">
        <v>1823</v>
      </c>
      <c r="D381" t="s" s="35">
        <v>3454</v>
      </c>
      <c r="E381" t="s" s="35">
        <v>3507</v>
      </c>
      <c r="F381" s="36">
        <v>19</v>
      </c>
      <c r="G381" t="s" s="35">
        <v>3508</v>
      </c>
      <c r="H381" t="s" s="35">
        <v>3571</v>
      </c>
      <c r="I381" t="s" s="120">
        <v>990</v>
      </c>
      <c r="J381" t="s" s="35">
        <v>1164</v>
      </c>
      <c r="K381" t="s" s="35">
        <v>1178</v>
      </c>
      <c r="L381" t="s" s="35">
        <v>1181</v>
      </c>
      <c r="M381" t="str" s="39">
        <v>Biología</v>
      </c>
      <c r="N381" t="str" s="39">
        <v>Ciclos de vida, reproducción y herencia</v>
      </c>
      <c r="O381" t="str" s="39" cm="1">
        <f t="array" ref="O381">IF(L381="","",_xlfn.IFERROR(INDEX('Datos - Catálogo TIMSS'!$C$5:$C$107,MATCH(L381,'Datos - Catálogo TIMSS'!$A$5:$A$107,0)),"?"))</f>
        <v>Biología</v>
      </c>
      <c r="P381" t="s" s="35">
        <v>282</v>
      </c>
      <c r="Q381" t="s" s="120">
        <v>3591</v>
      </c>
      <c r="R381" t="s" s="120">
        <v>3592</v>
      </c>
      <c r="S381" s="121" cm="1">
        <f t="array" ref="S381">_xlfn.IFERROR(ISNUMBER(SEARCH("Conocer",$R381))/(ISNUMBER(SEARCH("Conocer",$R381))+ISNUMBER(SEARCH("Aplicar",$R381))+ISNUMBER(SEARCH("Razonar",$R381))),0)</f>
        <v>0</v>
      </c>
      <c r="T381" s="121" cm="1">
        <f t="array" ref="T381">_xlfn.IFERROR(ISNUMBER(SEARCH("Aplicar",$R381))/(ISNUMBER(SEARCH("Conocer",$R381))+ISNUMBER(SEARCH("Aplicar",$R381))+ISNUMBER(SEARCH("Razonar",$R381))),0)</f>
        <v>0</v>
      </c>
      <c r="U381" s="121" cm="1">
        <f t="array" ref="U381">_xlfn.IFERROR(ISNUMBER(SEARCH("Razonar",$R381))/(ISNUMBER(SEARCH("Conocer",$R381))+ISNUMBER(SEARCH("Aplicar",$R381))+ISNUMBER(SEARCH("Razonar",$R381))),0)</f>
        <v>1</v>
      </c>
      <c r="V381" t="s" s="35">
        <v>85</v>
      </c>
      <c r="W381" t="s" s="35">
        <v>115</v>
      </c>
      <c r="X381" s="36" cm="1">
        <f t="array" ref="X381">IF(OR(_xlfn.IFERROR(INDEX('Datos - Catálogo TIMSS'!$I$5:$I$107,MATCH(K381,'Datos - Catálogo TIMSS'!$A$5:$A$107,0)),"No")="Sí",_xlfn.IFERROR(INDEX('Datos - Catálogo TIMSS'!$I$5:$I$107,MATCH(L381,'Datos - Catálogo TIMSS'!$A$5:$A$107,0)),"No")="Sí"),1,0)</f>
        <v>0</v>
      </c>
      <c r="Y381" s="36" cm="1">
        <f t="array" ref="Y381">IF(_xlfn.IFERROR(INDEX('Datos - Catálogo TIMSS'!$J$5:$J$107,MATCH(K381,'Datos - Catálogo TIMSS'!$A$5:$A$107,0)),"No")="Sí",1,0)</f>
        <v>0</v>
      </c>
      <c r="Z381" s="36" cm="1">
        <f t="array" ref="Z381">IF(_xlfn.IFERROR(INDEX('Datos - Catálogo TIMSS'!$J$5:$J$107,MATCH(L381,'Datos - Catálogo TIMSS'!$A$5:$A$107,0)),"No")="Sí",1,0)</f>
        <v>0</v>
      </c>
      <c r="AA381" t="s" s="35">
        <v>3410</v>
      </c>
      <c r="AB381" t="s" s="35">
        <v>3087</v>
      </c>
      <c r="AC381" t="str" s="39">
        <v>Biología</v>
      </c>
      <c r="AD381" t="s" s="35">
        <v>1834</v>
      </c>
      <c r="AE381" t="str" s="39" cm="1">
        <f t="array" ref="AE381">IF(AD381="","",IF(LEFT(AD381,1)="1","C1",IF(LEFT(AD381,1)="2","C2",IF(LEFT(AD381,1)="3","C3",""))))</f>
        <v>C2</v>
      </c>
      <c r="AF381" t="s" s="35">
        <v>1615</v>
      </c>
      <c r="AG381" t="s" s="35">
        <v>1617</v>
      </c>
      <c r="AH381" t="s" s="35">
        <v>1607</v>
      </c>
      <c r="AI381" t="s" s="35">
        <v>1619</v>
      </c>
      <c r="AJ381" t="s" s="35">
        <v>1633</v>
      </c>
      <c r="AK381" t="s" s="35">
        <v>786</v>
      </c>
      <c r="AL381" t="s" s="35">
        <v>1542</v>
      </c>
      <c r="AM381" t="str" s="39" cm="1">
        <f t="array" ref="AM381">IF(AK381="FUERA","Fuera del marco",_xlfn.IFERROR(INDEX('Datos - Catálogo PISA'!$C$5:$C$76,MATCH(AK381,'Datos - Catálogo PISA'!$A$5:$A$76,0)),"?"))</f>
        <v>Sistemas vivos</v>
      </c>
      <c r="AN381" t="s" s="35">
        <v>1651</v>
      </c>
      <c r="AO381" s="39"/>
      <c r="AP381" s="39"/>
      <c r="AQ381" t="s" s="35">
        <v>1753</v>
      </c>
      <c r="AR381" t="s" s="35">
        <v>1768</v>
      </c>
      <c r="AS381" t="s" s="35">
        <v>1772</v>
      </c>
      <c r="AT381" t="s" s="35">
        <v>282</v>
      </c>
      <c r="AU381" t="s" s="35">
        <v>3593</v>
      </c>
      <c r="AV381" t="s" s="35">
        <v>139</v>
      </c>
      <c r="AW381" t="str" s="39" cm="1">
        <f t="array" ref="AW381">AF381&amp;"; "&amp;AG381&amp;"; "&amp;AH381&amp;"; "&amp;AI381&amp;"; "&amp;AJ381</f>
        <v>E6; D1; E3; D2; I5</v>
      </c>
    </row>
    <row r="382" ht="13.65" customHeight="1">
      <c r="A382" t="s" s="35">
        <v>3595</v>
      </c>
      <c r="B382" s="36">
        <v>7</v>
      </c>
      <c r="C382" t="s" s="35">
        <v>1823</v>
      </c>
      <c r="D382" t="s" s="35">
        <v>3454</v>
      </c>
      <c r="E382" t="s" s="35">
        <v>3596</v>
      </c>
      <c r="F382" s="36">
        <v>3</v>
      </c>
      <c r="G382" t="s" s="35">
        <v>3597</v>
      </c>
      <c r="H382" t="s" s="35">
        <v>3598</v>
      </c>
      <c r="I382" t="s" s="120">
        <v>3599</v>
      </c>
      <c r="J382" t="s" s="35">
        <v>1164</v>
      </c>
      <c r="K382" t="s" s="35">
        <v>1181</v>
      </c>
      <c r="L382" t="s" s="35">
        <v>1163</v>
      </c>
      <c r="M382" t="str" s="39">
        <v>Biología</v>
      </c>
      <c r="N382" t="str" s="39">
        <v>Diversidad, adaptación y selección natural</v>
      </c>
      <c r="O382" t="str" s="39" cm="1">
        <f t="array" ref="O382">IF(L382="","",_xlfn.IFERROR(INDEX('Datos - Catálogo TIMSS'!$C$5:$C$107,MATCH(L382,'Datos - Catálogo TIMSS'!$A$5:$A$107,0)),"?"))</f>
        <v>Biología</v>
      </c>
      <c r="P382" t="s" s="35">
        <v>282</v>
      </c>
      <c r="Q382" t="s" s="120">
        <v>3600</v>
      </c>
      <c r="R382" t="s" s="120">
        <v>2561</v>
      </c>
      <c r="S382" s="121" cm="1">
        <f t="array" ref="S382">_xlfn.IFERROR(ISNUMBER(SEARCH("Conocer",$R382))/(ISNUMBER(SEARCH("Conocer",$R382))+ISNUMBER(SEARCH("Aplicar",$R382))+ISNUMBER(SEARCH("Razonar",$R382))),0)</f>
        <v>1</v>
      </c>
      <c r="T382" s="121" cm="1">
        <f t="array" ref="T382">_xlfn.IFERROR(ISNUMBER(SEARCH("Aplicar",$R382))/(ISNUMBER(SEARCH("Conocer",$R382))+ISNUMBER(SEARCH("Aplicar",$R382))+ISNUMBER(SEARCH("Razonar",$R382))),0)</f>
        <v>0</v>
      </c>
      <c r="U382" s="121" cm="1">
        <f t="array" ref="U382">_xlfn.IFERROR(ISNUMBER(SEARCH("Razonar",$R382))/(ISNUMBER(SEARCH("Conocer",$R382))+ISNUMBER(SEARCH("Aplicar",$R382))+ISNUMBER(SEARCH("Razonar",$R382))),0)</f>
        <v>0</v>
      </c>
      <c r="V382" t="s" s="35">
        <v>85</v>
      </c>
      <c r="W382" t="s" s="35">
        <v>115</v>
      </c>
      <c r="X382" s="36" cm="1">
        <f t="array" ref="X382">IF(OR(_xlfn.IFERROR(INDEX('Datos - Catálogo TIMSS'!$I$5:$I$107,MATCH(K382,'Datos - Catálogo TIMSS'!$A$5:$A$107,0)),"No")="Sí",_xlfn.IFERROR(INDEX('Datos - Catálogo TIMSS'!$I$5:$I$107,MATCH(L382,'Datos - Catálogo TIMSS'!$A$5:$A$107,0)),"No")="Sí"),1,0)</f>
        <v>0</v>
      </c>
      <c r="Y382" s="36" cm="1">
        <f t="array" ref="Y382">IF(_xlfn.IFERROR(INDEX('Datos - Catálogo TIMSS'!$J$5:$J$107,MATCH(K382,'Datos - Catálogo TIMSS'!$A$5:$A$107,0)),"No")="Sí",1,0)</f>
        <v>0</v>
      </c>
      <c r="Z382" s="36" cm="1">
        <f t="array" ref="Z382">IF(_xlfn.IFERROR(INDEX('Datos - Catálogo TIMSS'!$J$5:$J$107,MATCH(L382,'Datos - Catálogo TIMSS'!$A$5:$A$107,0)),"No")="Sí",1,0)</f>
        <v>0</v>
      </c>
      <c r="AA382" t="s" s="35">
        <v>3087</v>
      </c>
      <c r="AB382" t="s" s="35">
        <v>3399</v>
      </c>
      <c r="AC382" t="str" s="39">
        <v>Biología</v>
      </c>
      <c r="AD382" t="s" s="35">
        <v>1859</v>
      </c>
      <c r="AE382" t="str" s="39" cm="1">
        <f t="array" ref="AE382">IF(AD382="","",IF(LEFT(AD382,1)="1","C1",IF(LEFT(AD382,1)="2","C2",IF(LEFT(AD382,1)="3","C3",""))))</f>
        <v>C1</v>
      </c>
      <c r="AF382" t="s" s="35">
        <v>1615</v>
      </c>
      <c r="AG382" t="s" s="35">
        <v>1617</v>
      </c>
      <c r="AH382" t="s" s="35">
        <v>1602</v>
      </c>
      <c r="AI382" t="s" s="35">
        <v>1623</v>
      </c>
      <c r="AJ382" t="s" s="35">
        <v>1615</v>
      </c>
      <c r="AK382" t="s" s="35">
        <v>1542</v>
      </c>
      <c r="AL382" t="s" s="35">
        <v>1546</v>
      </c>
      <c r="AM382" t="str" s="39" cm="1">
        <f t="array" ref="AM382">IF(AK382="FUERA","Fuera del marco",_xlfn.IFERROR(INDEX('Datos - Catálogo PISA'!$C$5:$C$76,MATCH(AK382,'Datos - Catálogo PISA'!$A$5:$A$76,0)),"?"))</f>
        <v>Sistemas vivos</v>
      </c>
      <c r="AN382" t="s" s="35">
        <v>1651</v>
      </c>
      <c r="AO382" s="39"/>
      <c r="AP382" s="39"/>
      <c r="AQ382" t="s" s="35">
        <v>1752</v>
      </c>
      <c r="AR382" t="s" s="35">
        <v>1765</v>
      </c>
      <c r="AS382" t="s" s="35">
        <v>1771</v>
      </c>
      <c r="AT382" t="s" s="35">
        <v>254</v>
      </c>
      <c r="AU382" t="s" s="35">
        <v>3601</v>
      </c>
      <c r="AV382" t="s" s="35">
        <v>139</v>
      </c>
      <c r="AW382" t="str" s="39" cm="1">
        <f t="array" ref="AW382">AF382&amp;"; "&amp;AG382&amp;"; "&amp;AH382&amp;"; "&amp;AI382&amp;"; "&amp;AJ382</f>
        <v>E6; D1; E1; D4; E6</v>
      </c>
    </row>
    <row r="383" ht="13.65" customHeight="1">
      <c r="A383" t="s" s="35">
        <v>3602</v>
      </c>
      <c r="B383" s="36">
        <v>7</v>
      </c>
      <c r="C383" t="s" s="35">
        <v>1823</v>
      </c>
      <c r="D383" t="s" s="35">
        <v>3454</v>
      </c>
      <c r="E383" t="s" s="35">
        <v>3596</v>
      </c>
      <c r="F383" s="36">
        <v>4</v>
      </c>
      <c r="G383" t="s" s="35">
        <v>3597</v>
      </c>
      <c r="H383" t="s" s="35">
        <v>3598</v>
      </c>
      <c r="I383" t="s" s="120">
        <v>3603</v>
      </c>
      <c r="J383" t="s" s="35">
        <v>1164</v>
      </c>
      <c r="K383" t="s" s="35">
        <v>1163</v>
      </c>
      <c r="L383" s="39"/>
      <c r="M383" t="str" s="39">
        <v>Biología</v>
      </c>
      <c r="N383" t="str" s="39">
        <v>Características y procesos vitales de los organismos</v>
      </c>
      <c r="O383" t="str" s="39" cm="1">
        <f t="array" ref="O383">IF(L383="","",_xlfn.IFERROR(INDEX('Datos - Catálogo TIMSS'!$C$5:$C$107,MATCH(L383,'Datos - Catálogo TIMSS'!$A$5:$A$107,0)),"?"))</f>
      </c>
      <c r="P383" t="s" s="35">
        <v>282</v>
      </c>
      <c r="Q383" t="s" s="120">
        <v>3604</v>
      </c>
      <c r="R383" t="s" s="120">
        <v>3335</v>
      </c>
      <c r="S383" s="121" cm="1">
        <f t="array" ref="S383">_xlfn.IFERROR(ISNUMBER(SEARCH("Conocer",$R383))/(ISNUMBER(SEARCH("Conocer",$R383))+ISNUMBER(SEARCH("Aplicar",$R383))+ISNUMBER(SEARCH("Razonar",$R383))),0)</f>
        <v>0</v>
      </c>
      <c r="T383" s="121" cm="1">
        <f t="array" ref="T383">_xlfn.IFERROR(ISNUMBER(SEARCH("Aplicar",$R383))/(ISNUMBER(SEARCH("Conocer",$R383))+ISNUMBER(SEARCH("Aplicar",$R383))+ISNUMBER(SEARCH("Razonar",$R383))),0)</f>
        <v>1</v>
      </c>
      <c r="U383" s="121" cm="1">
        <f t="array" ref="U383">_xlfn.IFERROR(ISNUMBER(SEARCH("Razonar",$R383))/(ISNUMBER(SEARCH("Conocer",$R383))+ISNUMBER(SEARCH("Aplicar",$R383))+ISNUMBER(SEARCH("Razonar",$R383))),0)</f>
        <v>0</v>
      </c>
      <c r="V383" t="s" s="35">
        <v>85</v>
      </c>
      <c r="W383" t="s" s="35">
        <v>115</v>
      </c>
      <c r="X383" s="36" cm="1">
        <f t="array" ref="X383">IF(OR(_xlfn.IFERROR(INDEX('Datos - Catálogo TIMSS'!$I$5:$I$107,MATCH(K383,'Datos - Catálogo TIMSS'!$A$5:$A$107,0)),"No")="Sí",_xlfn.IFERROR(INDEX('Datos - Catálogo TIMSS'!$I$5:$I$107,MATCH(L383,'Datos - Catálogo TIMSS'!$A$5:$A$107,0)),"No")="Sí"),1,0)</f>
        <v>0</v>
      </c>
      <c r="Y383" s="36" cm="1">
        <f t="array" ref="Y383">IF(_xlfn.IFERROR(INDEX('Datos - Catálogo TIMSS'!$J$5:$J$107,MATCH(K383,'Datos - Catálogo TIMSS'!$A$5:$A$107,0)),"No")="Sí",1,0)</f>
        <v>0</v>
      </c>
      <c r="Z383" s="36" cm="1">
        <f t="array" ref="Z383">IF(_xlfn.IFERROR(INDEX('Datos - Catálogo TIMSS'!$J$5:$J$107,MATCH(L383,'Datos - Catálogo TIMSS'!$A$5:$A$107,0)),"No")="Sí",1,0)</f>
        <v>0</v>
      </c>
      <c r="AA383" t="s" s="35">
        <v>3399</v>
      </c>
      <c r="AB383" s="39"/>
      <c r="AC383" t="str" s="39">
        <v>Biología</v>
      </c>
      <c r="AD383" t="s" s="35">
        <v>1900</v>
      </c>
      <c r="AE383" t="str" s="39" cm="1">
        <f t="array" ref="AE383">IF(AD383="","",IF(LEFT(AD383,1)="1","C1",IF(LEFT(AD383,1)="2","C2",IF(LEFT(AD383,1)="3","C3",""))))</f>
        <v>C3</v>
      </c>
      <c r="AF383" t="s" s="35">
        <v>1602</v>
      </c>
      <c r="AG383" t="s" s="35">
        <v>1617</v>
      </c>
      <c r="AH383" t="s" s="35">
        <v>1605</v>
      </c>
      <c r="AI383" t="s" s="35">
        <v>1625</v>
      </c>
      <c r="AJ383" t="s" s="35">
        <v>1633</v>
      </c>
      <c r="AK383" t="s" s="35">
        <v>1537</v>
      </c>
      <c r="AL383" t="s" s="35">
        <v>1548</v>
      </c>
      <c r="AM383" t="str" s="39" cm="1">
        <f t="array" ref="AM383">IF(AK383="FUERA","Fuera del marco",_xlfn.IFERROR(INDEX('Datos - Catálogo PISA'!$C$5:$C$76,MATCH(AK383,'Datos - Catálogo PISA'!$A$5:$A$76,0)),"?"))</f>
        <v>Sistemas vivos</v>
      </c>
      <c r="AN383" t="s" s="35">
        <v>1651</v>
      </c>
      <c r="AO383" s="39"/>
      <c r="AP383" s="39"/>
      <c r="AQ383" t="s" s="35">
        <v>1752</v>
      </c>
      <c r="AR383" t="s" s="35">
        <v>1765</v>
      </c>
      <c r="AS383" t="s" s="35">
        <v>1770</v>
      </c>
      <c r="AT383" t="s" s="35">
        <v>282</v>
      </c>
      <c r="AU383" t="s" s="35">
        <v>3605</v>
      </c>
      <c r="AV383" t="s" s="35">
        <v>139</v>
      </c>
      <c r="AW383" t="str" s="39" cm="1">
        <f t="array" ref="AW383">AF383&amp;"; "&amp;AG383&amp;"; "&amp;AH383&amp;"; "&amp;AI383&amp;"; "&amp;AJ383</f>
        <v>E1; D1; E2; I1; I5</v>
      </c>
    </row>
    <row r="384" ht="13.65" customHeight="1">
      <c r="A384" t="s" s="35">
        <v>3606</v>
      </c>
      <c r="B384" s="36">
        <v>7</v>
      </c>
      <c r="C384" t="s" s="35">
        <v>1823</v>
      </c>
      <c r="D384" t="s" s="35">
        <v>3454</v>
      </c>
      <c r="E384" t="s" s="35">
        <v>3596</v>
      </c>
      <c r="F384" s="36">
        <v>5</v>
      </c>
      <c r="G384" t="s" s="35">
        <v>3597</v>
      </c>
      <c r="H384" t="s" s="35">
        <v>3598</v>
      </c>
      <c r="I384" t="s" s="120">
        <v>3607</v>
      </c>
      <c r="J384" t="s" s="35">
        <v>1164</v>
      </c>
      <c r="K384" t="s" s="35">
        <v>1189</v>
      </c>
      <c r="L384" t="s" s="35">
        <v>1207</v>
      </c>
      <c r="M384" t="str" s="39">
        <v>Biología</v>
      </c>
      <c r="N384" t="str" s="39">
        <v>Ecosistemas</v>
      </c>
      <c r="O384" t="str" s="39" cm="1">
        <f t="array" ref="O384">IF(L384="","",_xlfn.IFERROR(INDEX('Datos - Catálogo TIMSS'!$C$5:$C$107,MATCH(L384,'Datos - Catálogo TIMSS'!$A$5:$A$107,0)),"?"))</f>
        <v>Biología</v>
      </c>
      <c r="P384" t="s" s="35">
        <v>282</v>
      </c>
      <c r="Q384" t="s" s="120">
        <v>3608</v>
      </c>
      <c r="R384" t="s" s="120">
        <v>3609</v>
      </c>
      <c r="S384" s="121" cm="1">
        <f t="array" ref="S384">_xlfn.IFERROR(ISNUMBER(SEARCH("Conocer",$R384))/(ISNUMBER(SEARCH("Conocer",$R384))+ISNUMBER(SEARCH("Aplicar",$R384))+ISNUMBER(SEARCH("Razonar",$R384))),0)</f>
        <v>0</v>
      </c>
      <c r="T384" s="121" cm="1">
        <f t="array" ref="T384">_xlfn.IFERROR(ISNUMBER(SEARCH("Aplicar",$R384))/(ISNUMBER(SEARCH("Conocer",$R384))+ISNUMBER(SEARCH("Aplicar",$R384))+ISNUMBER(SEARCH("Razonar",$R384))),0)</f>
        <v>0.5</v>
      </c>
      <c r="U384" s="121" cm="1">
        <f t="array" ref="U384">_xlfn.IFERROR(ISNUMBER(SEARCH("Razonar",$R384))/(ISNUMBER(SEARCH("Conocer",$R384))+ISNUMBER(SEARCH("Aplicar",$R384))+ISNUMBER(SEARCH("Razonar",$R384))),0)</f>
        <v>0.5</v>
      </c>
      <c r="V384" t="s" s="35">
        <v>85</v>
      </c>
      <c r="W384" t="s" s="35">
        <v>115</v>
      </c>
      <c r="X384" s="36" cm="1">
        <f t="array" ref="X384">IF(OR(_xlfn.IFERROR(INDEX('Datos - Catálogo TIMSS'!$I$5:$I$107,MATCH(K384,'Datos - Catálogo TIMSS'!$A$5:$A$107,0)),"No")="Sí",_xlfn.IFERROR(INDEX('Datos - Catálogo TIMSS'!$I$5:$I$107,MATCH(L384,'Datos - Catálogo TIMSS'!$A$5:$A$107,0)),"No")="Sí"),1,0)</f>
        <v>1</v>
      </c>
      <c r="Y384" s="36" cm="1">
        <f t="array" ref="Y384">IF(_xlfn.IFERROR(INDEX('Datos - Catálogo TIMSS'!$J$5:$J$107,MATCH(K384,'Datos - Catálogo TIMSS'!$A$5:$A$107,0)),"No")="Sí",1,0)</f>
        <v>0</v>
      </c>
      <c r="Z384" s="36" cm="1">
        <f t="array" ref="Z384">IF(_xlfn.IFERROR(INDEX('Datos - Catálogo TIMSS'!$J$5:$J$107,MATCH(L384,'Datos - Catálogo TIMSS'!$A$5:$A$107,0)),"No")="Sí",1,0)</f>
        <v>1</v>
      </c>
      <c r="AA384" t="s" s="35">
        <v>3327</v>
      </c>
      <c r="AB384" s="39"/>
      <c r="AC384" t="str" s="39">
        <v>Biología</v>
      </c>
      <c r="AD384" t="s" s="35">
        <v>1834</v>
      </c>
      <c r="AE384" t="str" s="39" cm="1">
        <f t="array" ref="AE384">IF(AD384="","",IF(LEFT(AD384,1)="1","C1",IF(LEFT(AD384,1)="2","C2",IF(LEFT(AD384,1)="3","C3",""))))</f>
        <v>C2</v>
      </c>
      <c r="AF384" t="s" s="35">
        <v>1602</v>
      </c>
      <c r="AG384" t="s" s="35">
        <v>1617</v>
      </c>
      <c r="AH384" t="s" s="35">
        <v>1602</v>
      </c>
      <c r="AI384" t="s" s="35">
        <v>1623</v>
      </c>
      <c r="AJ384" t="s" s="35">
        <v>1607</v>
      </c>
      <c r="AK384" t="s" s="35">
        <v>1542</v>
      </c>
      <c r="AL384" t="s" s="35">
        <v>1544</v>
      </c>
      <c r="AM384" t="str" s="39" cm="1">
        <f t="array" ref="AM384">IF(AK384="FUERA","Fuera del marco",_xlfn.IFERROR(INDEX('Datos - Catálogo PISA'!$C$5:$C$76,MATCH(AK384,'Datos - Catálogo PISA'!$A$5:$A$76,0)),"?"))</f>
        <v>Sistemas vivos</v>
      </c>
      <c r="AN384" t="s" s="35">
        <v>1652</v>
      </c>
      <c r="AO384" t="s" s="35">
        <v>3610</v>
      </c>
      <c r="AP384" s="39"/>
      <c r="AQ384" t="s" s="35">
        <v>1752</v>
      </c>
      <c r="AR384" t="s" s="35">
        <v>1765</v>
      </c>
      <c r="AS384" t="s" s="35">
        <v>1771</v>
      </c>
      <c r="AT384" t="s" s="35">
        <v>282</v>
      </c>
      <c r="AU384" t="s" s="35">
        <v>3611</v>
      </c>
      <c r="AV384" t="s" s="35">
        <v>139</v>
      </c>
      <c r="AW384" t="str" s="39" cm="1">
        <f t="array" ref="AW384">AF384&amp;"; "&amp;AG384&amp;"; "&amp;AH384&amp;"; "&amp;AI384&amp;"; "&amp;AJ384</f>
        <v>E1; D1; E1; D4; E3</v>
      </c>
    </row>
    <row r="385" ht="13.65" customHeight="1">
      <c r="A385" t="s" s="35">
        <v>3612</v>
      </c>
      <c r="B385" s="36">
        <v>7</v>
      </c>
      <c r="C385" t="s" s="35">
        <v>1823</v>
      </c>
      <c r="D385" t="s" s="35">
        <v>3454</v>
      </c>
      <c r="E385" t="s" s="35">
        <v>3596</v>
      </c>
      <c r="F385" s="36">
        <v>6</v>
      </c>
      <c r="G385" t="s" s="35">
        <v>3597</v>
      </c>
      <c r="H385" t="s" s="35">
        <v>3613</v>
      </c>
      <c r="I385" t="s" s="120">
        <v>3614</v>
      </c>
      <c r="J385" t="s" s="35">
        <v>1164</v>
      </c>
      <c r="K385" t="s" s="35">
        <v>1163</v>
      </c>
      <c r="L385" s="39"/>
      <c r="M385" t="str" s="39">
        <v>Biología</v>
      </c>
      <c r="N385" t="str" s="39">
        <v>Características y procesos vitales de los organismos</v>
      </c>
      <c r="O385" t="str" s="39" cm="1">
        <f t="array" ref="O385">IF(L385="","",_xlfn.IFERROR(INDEX('Datos - Catálogo TIMSS'!$C$5:$C$107,MATCH(L385,'Datos - Catálogo TIMSS'!$A$5:$A$107,0)),"?"))</f>
      </c>
      <c r="P385" t="s" s="35">
        <v>254</v>
      </c>
      <c r="Q385" t="s" s="120">
        <v>3615</v>
      </c>
      <c r="R385" t="s" s="120">
        <v>1847</v>
      </c>
      <c r="S385" s="121" cm="1">
        <f t="array" ref="S385">_xlfn.IFERROR(ISNUMBER(SEARCH("Conocer",$R385))/(ISNUMBER(SEARCH("Conocer",$R385))+ISNUMBER(SEARCH("Aplicar",$R385))+ISNUMBER(SEARCH("Razonar",$R385))),0)</f>
        <v>0</v>
      </c>
      <c r="T385" s="121" cm="1">
        <f t="array" ref="T385">_xlfn.IFERROR(ISNUMBER(SEARCH("Aplicar",$R385))/(ISNUMBER(SEARCH("Conocer",$R385))+ISNUMBER(SEARCH("Aplicar",$R385))+ISNUMBER(SEARCH("Razonar",$R385))),0)</f>
        <v>1</v>
      </c>
      <c r="U385" s="121" cm="1">
        <f t="array" ref="U385">_xlfn.IFERROR(ISNUMBER(SEARCH("Razonar",$R385))/(ISNUMBER(SEARCH("Conocer",$R385))+ISNUMBER(SEARCH("Aplicar",$R385))+ISNUMBER(SEARCH("Razonar",$R385))),0)</f>
        <v>0</v>
      </c>
      <c r="V385" t="s" s="35">
        <v>85</v>
      </c>
      <c r="W385" t="s" s="35">
        <v>115</v>
      </c>
      <c r="X385" s="36" cm="1">
        <f t="array" ref="X385">IF(OR(_xlfn.IFERROR(INDEX('Datos - Catálogo TIMSS'!$I$5:$I$107,MATCH(K385,'Datos - Catálogo TIMSS'!$A$5:$A$107,0)),"No")="Sí",_xlfn.IFERROR(INDEX('Datos - Catálogo TIMSS'!$I$5:$I$107,MATCH(L385,'Datos - Catálogo TIMSS'!$A$5:$A$107,0)),"No")="Sí"),1,0)</f>
        <v>0</v>
      </c>
      <c r="Y385" s="36" cm="1">
        <f t="array" ref="Y385">IF(_xlfn.IFERROR(INDEX('Datos - Catálogo TIMSS'!$J$5:$J$107,MATCH(K385,'Datos - Catálogo TIMSS'!$A$5:$A$107,0)),"No")="Sí",1,0)</f>
        <v>0</v>
      </c>
      <c r="Z385" s="36" cm="1">
        <f t="array" ref="Z385">IF(_xlfn.IFERROR(INDEX('Datos - Catálogo TIMSS'!$J$5:$J$107,MATCH(L385,'Datos - Catálogo TIMSS'!$A$5:$A$107,0)),"No")="Sí",1,0)</f>
        <v>0</v>
      </c>
      <c r="AA385" t="s" s="35">
        <v>3399</v>
      </c>
      <c r="AB385" s="39"/>
      <c r="AC385" t="str" s="39">
        <v>Biología</v>
      </c>
      <c r="AD385" t="s" s="35">
        <v>1859</v>
      </c>
      <c r="AE385" t="str" s="39" cm="1">
        <f t="array" ref="AE385">IF(AD385="","",IF(LEFT(AD385,1)="1","C1",IF(LEFT(AD385,1)="2","C2",IF(LEFT(AD385,1)="3","C3",""))))</f>
        <v>C1</v>
      </c>
      <c r="AF385" t="s" s="35">
        <v>1602</v>
      </c>
      <c r="AG385" t="s" s="35">
        <v>1617</v>
      </c>
      <c r="AH385" t="s" s="35">
        <v>1602</v>
      </c>
      <c r="AI385" t="s" s="35">
        <v>1623</v>
      </c>
      <c r="AJ385" t="s" s="35">
        <v>1602</v>
      </c>
      <c r="AK385" t="s" s="35">
        <v>1542</v>
      </c>
      <c r="AL385" t="s" s="35">
        <v>1537</v>
      </c>
      <c r="AM385" t="str" s="39" cm="1">
        <f t="array" ref="AM385">IF(AK385="FUERA","Fuera del marco",_xlfn.IFERROR(INDEX('Datos - Catálogo PISA'!$C$5:$C$76,MATCH(AK385,'Datos - Catálogo PISA'!$A$5:$A$76,0)),"?"))</f>
        <v>Sistemas vivos</v>
      </c>
      <c r="AN385" t="s" s="35">
        <v>1651</v>
      </c>
      <c r="AO385" s="39"/>
      <c r="AP385" s="39"/>
      <c r="AQ385" t="s" s="35">
        <v>1756</v>
      </c>
      <c r="AR385" s="39"/>
      <c r="AS385" t="s" s="35">
        <v>1770</v>
      </c>
      <c r="AT385" t="s" s="35">
        <v>282</v>
      </c>
      <c r="AU385" t="s" s="35">
        <v>3616</v>
      </c>
      <c r="AV385" t="s" s="35">
        <v>139</v>
      </c>
      <c r="AW385" t="str" s="39" cm="1">
        <f t="array" ref="AW385">AF385&amp;"; "&amp;AG385&amp;"; "&amp;AH385&amp;"; "&amp;AI385&amp;"; "&amp;AJ385</f>
        <v>E1; D1; E1; D4; E1</v>
      </c>
    </row>
    <row r="386" ht="13.65" customHeight="1">
      <c r="A386" t="s" s="35">
        <v>3617</v>
      </c>
      <c r="B386" s="36">
        <v>7</v>
      </c>
      <c r="C386" t="s" s="35">
        <v>1823</v>
      </c>
      <c r="D386" t="s" s="35">
        <v>3454</v>
      </c>
      <c r="E386" t="s" s="35">
        <v>3596</v>
      </c>
      <c r="F386" s="36">
        <v>7</v>
      </c>
      <c r="G386" t="s" s="35">
        <v>3597</v>
      </c>
      <c r="H386" t="s" s="35">
        <v>3613</v>
      </c>
      <c r="I386" t="s" s="120">
        <v>3618</v>
      </c>
      <c r="J386" t="s" s="35">
        <v>1164</v>
      </c>
      <c r="K386" t="s" s="35">
        <v>1163</v>
      </c>
      <c r="L386" s="39"/>
      <c r="M386" t="str" s="39">
        <v>Biología</v>
      </c>
      <c r="N386" t="str" s="39">
        <v>Características y procesos vitales de los organismos</v>
      </c>
      <c r="O386" t="str" s="39" cm="1">
        <f t="array" ref="O386">IF(L386="","",_xlfn.IFERROR(INDEX('Datos - Catálogo TIMSS'!$C$5:$C$107,MATCH(L386,'Datos - Catálogo TIMSS'!$A$5:$A$107,0)),"?"))</f>
      </c>
      <c r="P386" t="s" s="35">
        <v>254</v>
      </c>
      <c r="Q386" t="s" s="120">
        <v>3619</v>
      </c>
      <c r="R386" t="s" s="120">
        <v>3620</v>
      </c>
      <c r="S386" s="121" cm="1">
        <f t="array" ref="S386">_xlfn.IFERROR(ISNUMBER(SEARCH("Conocer",$R386))/(ISNUMBER(SEARCH("Conocer",$R386))+ISNUMBER(SEARCH("Aplicar",$R386))+ISNUMBER(SEARCH("Razonar",$R386))),0)</f>
        <v>0</v>
      </c>
      <c r="T386" s="121" cm="1">
        <f t="array" ref="T386">_xlfn.IFERROR(ISNUMBER(SEARCH("Aplicar",$R386))/(ISNUMBER(SEARCH("Conocer",$R386))+ISNUMBER(SEARCH("Aplicar",$R386))+ISNUMBER(SEARCH("Razonar",$R386))),0)</f>
        <v>0</v>
      </c>
      <c r="U386" s="121" cm="1">
        <f t="array" ref="U386">_xlfn.IFERROR(ISNUMBER(SEARCH("Razonar",$R386))/(ISNUMBER(SEARCH("Conocer",$R386))+ISNUMBER(SEARCH("Aplicar",$R386))+ISNUMBER(SEARCH("Razonar",$R386))),0)</f>
        <v>1</v>
      </c>
      <c r="V386" t="s" s="35">
        <v>85</v>
      </c>
      <c r="W386" t="s" s="35">
        <v>115</v>
      </c>
      <c r="X386" s="36" cm="1">
        <f t="array" ref="X386">IF(OR(_xlfn.IFERROR(INDEX('Datos - Catálogo TIMSS'!$I$5:$I$107,MATCH(K386,'Datos - Catálogo TIMSS'!$A$5:$A$107,0)),"No")="Sí",_xlfn.IFERROR(INDEX('Datos - Catálogo TIMSS'!$I$5:$I$107,MATCH(L386,'Datos - Catálogo TIMSS'!$A$5:$A$107,0)),"No")="Sí"),1,0)</f>
        <v>0</v>
      </c>
      <c r="Y386" s="36" cm="1">
        <f t="array" ref="Y386">IF(_xlfn.IFERROR(INDEX('Datos - Catálogo TIMSS'!$J$5:$J$107,MATCH(K386,'Datos - Catálogo TIMSS'!$A$5:$A$107,0)),"No")="Sí",1,0)</f>
        <v>0</v>
      </c>
      <c r="Z386" s="36" cm="1">
        <f t="array" ref="Z386">IF(_xlfn.IFERROR(INDEX('Datos - Catálogo TIMSS'!$J$5:$J$107,MATCH(L386,'Datos - Catálogo TIMSS'!$A$5:$A$107,0)),"No")="Sí",1,0)</f>
        <v>0</v>
      </c>
      <c r="AA386" t="s" s="35">
        <v>3399</v>
      </c>
      <c r="AB386" s="39"/>
      <c r="AC386" t="str" s="39">
        <v>Biología</v>
      </c>
      <c r="AD386" t="s" s="35">
        <v>1834</v>
      </c>
      <c r="AE386" t="str" s="39" cm="1">
        <f t="array" ref="AE386">IF(AD386="","",IF(LEFT(AD386,1)="1","C1",IF(LEFT(AD386,1)="2","C2",IF(LEFT(AD386,1)="3","C3",""))))</f>
        <v>C2</v>
      </c>
      <c r="AF386" t="s" s="35">
        <v>1602</v>
      </c>
      <c r="AG386" t="s" s="35">
        <v>1617</v>
      </c>
      <c r="AH386" t="s" s="35">
        <v>1607</v>
      </c>
      <c r="AI386" t="s" s="35">
        <v>1623</v>
      </c>
      <c r="AJ386" t="s" s="35">
        <v>1602</v>
      </c>
      <c r="AK386" t="s" s="35">
        <v>1542</v>
      </c>
      <c r="AL386" s="39"/>
      <c r="AM386" t="str" s="39" cm="1">
        <f t="array" ref="AM386">IF(AK386="FUERA","Fuera del marco",_xlfn.IFERROR(INDEX('Datos - Catálogo PISA'!$C$5:$C$76,MATCH(AK386,'Datos - Catálogo PISA'!$A$5:$A$76,0)),"?"))</f>
        <v>Sistemas vivos</v>
      </c>
      <c r="AN386" t="s" s="35">
        <v>1651</v>
      </c>
      <c r="AO386" s="39"/>
      <c r="AP386" s="39"/>
      <c r="AQ386" t="s" s="35">
        <v>1756</v>
      </c>
      <c r="AR386" s="39"/>
      <c r="AS386" t="s" s="35">
        <v>1771</v>
      </c>
      <c r="AT386" t="s" s="35">
        <v>282</v>
      </c>
      <c r="AU386" t="s" s="35">
        <v>3621</v>
      </c>
      <c r="AV386" t="s" s="35">
        <v>139</v>
      </c>
      <c r="AW386" t="str" s="39" cm="1">
        <f t="array" ref="AW386">AF386&amp;"; "&amp;AG386&amp;"; "&amp;AH386&amp;"; "&amp;AI386&amp;"; "&amp;AJ386</f>
        <v>E1; D1; E3; D4; E1</v>
      </c>
    </row>
    <row r="387" ht="13.65" customHeight="1">
      <c r="A387" t="s" s="35">
        <v>3623</v>
      </c>
      <c r="B387" s="36">
        <v>7</v>
      </c>
      <c r="C387" t="s" s="35">
        <v>1823</v>
      </c>
      <c r="D387" t="s" s="35">
        <v>3454</v>
      </c>
      <c r="E387" t="s" s="35">
        <v>3596</v>
      </c>
      <c r="F387" s="36">
        <v>8</v>
      </c>
      <c r="G387" t="s" s="35">
        <v>3597</v>
      </c>
      <c r="H387" t="s" s="35">
        <v>3613</v>
      </c>
      <c r="I387" t="s" s="120">
        <v>3624</v>
      </c>
      <c r="J387" t="s" s="35">
        <v>1164</v>
      </c>
      <c r="K387" t="s" s="35">
        <v>1163</v>
      </c>
      <c r="L387" s="39"/>
      <c r="M387" t="str" s="39">
        <v>Biología</v>
      </c>
      <c r="N387" t="str" s="39">
        <v>Características y procesos vitales de los organismos</v>
      </c>
      <c r="O387" t="str" s="39" cm="1">
        <f t="array" ref="O387">IF(L387="","",_xlfn.IFERROR(INDEX('Datos - Catálogo TIMSS'!$C$5:$C$107,MATCH(L387,'Datos - Catálogo TIMSS'!$A$5:$A$107,0)),"?"))</f>
      </c>
      <c r="P387" t="s" s="35">
        <v>282</v>
      </c>
      <c r="Q387" t="s" s="120">
        <v>3625</v>
      </c>
      <c r="R387" t="s" s="120">
        <v>3423</v>
      </c>
      <c r="S387" s="121" cm="1">
        <f t="array" ref="S387">_xlfn.IFERROR(ISNUMBER(SEARCH("Conocer",$R387))/(ISNUMBER(SEARCH("Conocer",$R387))+ISNUMBER(SEARCH("Aplicar",$R387))+ISNUMBER(SEARCH("Razonar",$R387))),0)</f>
        <v>1</v>
      </c>
      <c r="T387" s="121" cm="1">
        <f t="array" ref="T387">_xlfn.IFERROR(ISNUMBER(SEARCH("Aplicar",$R387))/(ISNUMBER(SEARCH("Conocer",$R387))+ISNUMBER(SEARCH("Aplicar",$R387))+ISNUMBER(SEARCH("Razonar",$R387))),0)</f>
        <v>0</v>
      </c>
      <c r="U387" s="121" cm="1">
        <f t="array" ref="U387">_xlfn.IFERROR(ISNUMBER(SEARCH("Razonar",$R387))/(ISNUMBER(SEARCH("Conocer",$R387))+ISNUMBER(SEARCH("Aplicar",$R387))+ISNUMBER(SEARCH("Razonar",$R387))),0)</f>
        <v>0</v>
      </c>
      <c r="V387" t="s" s="35">
        <v>85</v>
      </c>
      <c r="W387" t="s" s="35">
        <v>115</v>
      </c>
      <c r="X387" s="36" cm="1">
        <f t="array" ref="X387">IF(OR(_xlfn.IFERROR(INDEX('Datos - Catálogo TIMSS'!$I$5:$I$107,MATCH(K387,'Datos - Catálogo TIMSS'!$A$5:$A$107,0)),"No")="Sí",_xlfn.IFERROR(INDEX('Datos - Catálogo TIMSS'!$I$5:$I$107,MATCH(L387,'Datos - Catálogo TIMSS'!$A$5:$A$107,0)),"No")="Sí"),1,0)</f>
        <v>0</v>
      </c>
      <c r="Y387" s="36" cm="1">
        <f t="array" ref="Y387">IF(_xlfn.IFERROR(INDEX('Datos - Catálogo TIMSS'!$J$5:$J$107,MATCH(K387,'Datos - Catálogo TIMSS'!$A$5:$A$107,0)),"No")="Sí",1,0)</f>
        <v>0</v>
      </c>
      <c r="Z387" s="36" cm="1">
        <f t="array" ref="Z387">IF(_xlfn.IFERROR(INDEX('Datos - Catálogo TIMSS'!$J$5:$J$107,MATCH(L387,'Datos - Catálogo TIMSS'!$A$5:$A$107,0)),"No")="Sí",1,0)</f>
        <v>0</v>
      </c>
      <c r="AA387" t="s" s="35">
        <v>3399</v>
      </c>
      <c r="AB387" s="39"/>
      <c r="AC387" t="str" s="39">
        <v>Biología</v>
      </c>
      <c r="AD387" t="s" s="35">
        <v>1859</v>
      </c>
      <c r="AE387" t="str" s="39" cm="1">
        <f t="array" ref="AE387">IF(AD387="","",IF(LEFT(AD387,1)="1","C1",IF(LEFT(AD387,1)="2","C2",IF(LEFT(AD387,1)="3","C3",""))))</f>
        <v>C1</v>
      </c>
      <c r="AF387" t="s" s="35">
        <v>1602</v>
      </c>
      <c r="AG387" t="s" s="35">
        <v>1617</v>
      </c>
      <c r="AH387" t="s" s="35">
        <v>1602</v>
      </c>
      <c r="AI387" t="s" s="35">
        <v>1623</v>
      </c>
      <c r="AJ387" t="s" s="35">
        <v>1602</v>
      </c>
      <c r="AK387" t="s" s="35">
        <v>1542</v>
      </c>
      <c r="AL387" s="39"/>
      <c r="AM387" t="str" s="39" cm="1">
        <f t="array" ref="AM387">IF(AK387="FUERA","Fuera del marco",_xlfn.IFERROR(INDEX('Datos - Catálogo PISA'!$C$5:$C$76,MATCH(AK387,'Datos - Catálogo PISA'!$A$5:$A$76,0)),"?"))</f>
        <v>Sistemas vivos</v>
      </c>
      <c r="AN387" t="s" s="35">
        <v>1651</v>
      </c>
      <c r="AO387" s="39"/>
      <c r="AP387" s="39"/>
      <c r="AQ387" t="s" s="35">
        <v>1756</v>
      </c>
      <c r="AR387" s="39"/>
      <c r="AS387" t="s" s="35">
        <v>1771</v>
      </c>
      <c r="AT387" t="s" s="35">
        <v>282</v>
      </c>
      <c r="AU387" t="s" s="35">
        <v>3626</v>
      </c>
      <c r="AV387" t="s" s="35">
        <v>139</v>
      </c>
      <c r="AW387" t="str" s="39" cm="1">
        <f t="array" ref="AW387">AF387&amp;"; "&amp;AG387&amp;"; "&amp;AH387&amp;"; "&amp;AI387&amp;"; "&amp;AJ387</f>
        <v>E1; D1; E1; D4; E1</v>
      </c>
    </row>
    <row r="388" ht="13.65" customHeight="1">
      <c r="A388" t="s" s="35">
        <v>3627</v>
      </c>
      <c r="B388" s="36">
        <v>7</v>
      </c>
      <c r="C388" t="s" s="35">
        <v>1823</v>
      </c>
      <c r="D388" t="s" s="35">
        <v>3454</v>
      </c>
      <c r="E388" t="s" s="35">
        <v>3596</v>
      </c>
      <c r="F388" s="36">
        <v>9</v>
      </c>
      <c r="G388" t="s" s="35">
        <v>3597</v>
      </c>
      <c r="H388" t="s" s="35">
        <v>3628</v>
      </c>
      <c r="I388" t="s" s="120">
        <v>3629</v>
      </c>
      <c r="J388" t="s" s="35">
        <v>1164</v>
      </c>
      <c r="K388" t="s" s="35">
        <v>1163</v>
      </c>
      <c r="L388" s="39"/>
      <c r="M388" t="str" s="39">
        <v>Biología</v>
      </c>
      <c r="N388" t="str" s="39">
        <v>Características y procesos vitales de los organismos</v>
      </c>
      <c r="O388" t="str" s="39" cm="1">
        <f t="array" ref="O388">IF(L388="","",_xlfn.IFERROR(INDEX('Datos - Catálogo TIMSS'!$C$5:$C$107,MATCH(L388,'Datos - Catálogo TIMSS'!$A$5:$A$107,0)),"?"))</f>
      </c>
      <c r="P388" t="s" s="35">
        <v>282</v>
      </c>
      <c r="Q388" t="s" s="120">
        <v>3630</v>
      </c>
      <c r="R388" t="s" s="120">
        <v>3631</v>
      </c>
      <c r="S388" s="121" cm="1">
        <f t="array" ref="S388">_xlfn.IFERROR(ISNUMBER(SEARCH("Conocer",$R388))/(ISNUMBER(SEARCH("Conocer",$R388))+ISNUMBER(SEARCH("Aplicar",$R388))+ISNUMBER(SEARCH("Razonar",$R388))),0)</f>
        <v>0.5</v>
      </c>
      <c r="T388" s="121" cm="1">
        <f t="array" ref="T388">_xlfn.IFERROR(ISNUMBER(SEARCH("Aplicar",$R388))/(ISNUMBER(SEARCH("Conocer",$R388))+ISNUMBER(SEARCH("Aplicar",$R388))+ISNUMBER(SEARCH("Razonar",$R388))),0)</f>
        <v>0.5</v>
      </c>
      <c r="U388" s="121" cm="1">
        <f t="array" ref="U388">_xlfn.IFERROR(ISNUMBER(SEARCH("Razonar",$R388))/(ISNUMBER(SEARCH("Conocer",$R388))+ISNUMBER(SEARCH("Aplicar",$R388))+ISNUMBER(SEARCH("Razonar",$R388))),0)</f>
        <v>0</v>
      </c>
      <c r="V388" t="s" s="35">
        <v>85</v>
      </c>
      <c r="W388" t="s" s="35">
        <v>115</v>
      </c>
      <c r="X388" s="36" cm="1">
        <f t="array" ref="X388">IF(OR(_xlfn.IFERROR(INDEX('Datos - Catálogo TIMSS'!$I$5:$I$107,MATCH(K388,'Datos - Catálogo TIMSS'!$A$5:$A$107,0)),"No")="Sí",_xlfn.IFERROR(INDEX('Datos - Catálogo TIMSS'!$I$5:$I$107,MATCH(L388,'Datos - Catálogo TIMSS'!$A$5:$A$107,0)),"No")="Sí"),1,0)</f>
        <v>0</v>
      </c>
      <c r="Y388" s="36" cm="1">
        <f t="array" ref="Y388">IF(_xlfn.IFERROR(INDEX('Datos - Catálogo TIMSS'!$J$5:$J$107,MATCH(K388,'Datos - Catálogo TIMSS'!$A$5:$A$107,0)),"No")="Sí",1,0)</f>
        <v>0</v>
      </c>
      <c r="Z388" s="36" cm="1">
        <f t="array" ref="Z388">IF(_xlfn.IFERROR(INDEX('Datos - Catálogo TIMSS'!$J$5:$J$107,MATCH(L388,'Datos - Catálogo TIMSS'!$A$5:$A$107,0)),"No")="Sí",1,0)</f>
        <v>0</v>
      </c>
      <c r="AA388" t="s" s="35">
        <v>3399</v>
      </c>
      <c r="AB388" s="39"/>
      <c r="AC388" t="str" s="39">
        <v>Biología</v>
      </c>
      <c r="AD388" t="s" s="35">
        <v>1859</v>
      </c>
      <c r="AE388" t="str" s="39" cm="1">
        <f t="array" ref="AE388">IF(AD388="","",IF(LEFT(AD388,1)="1","C1",IF(LEFT(AD388,1)="2","C2",IF(LEFT(AD388,1)="3","C3",""))))</f>
        <v>C1</v>
      </c>
      <c r="AF388" t="s" s="35">
        <v>1602</v>
      </c>
      <c r="AG388" t="s" s="35">
        <v>1617</v>
      </c>
      <c r="AH388" t="s" s="35">
        <v>1602</v>
      </c>
      <c r="AI388" t="s" s="35">
        <v>1623</v>
      </c>
      <c r="AJ388" t="s" s="35">
        <v>1602</v>
      </c>
      <c r="AK388" t="s" s="35">
        <v>1542</v>
      </c>
      <c r="AL388" s="39"/>
      <c r="AM388" t="str" s="39" cm="1">
        <f t="array" ref="AM388">IF(AK388="FUERA","Fuera del marco",_xlfn.IFERROR(INDEX('Datos - Catálogo PISA'!$C$5:$C$76,MATCH(AK388,'Datos - Catálogo PISA'!$A$5:$A$76,0)),"?"))</f>
        <v>Sistemas vivos</v>
      </c>
      <c r="AN388" t="s" s="35">
        <v>1651</v>
      </c>
      <c r="AO388" s="39"/>
      <c r="AP388" s="39"/>
      <c r="AQ388" t="s" s="35">
        <v>1752</v>
      </c>
      <c r="AR388" t="s" s="35">
        <v>1765</v>
      </c>
      <c r="AS388" t="s" s="35">
        <v>1770</v>
      </c>
      <c r="AT388" t="s" s="35">
        <v>282</v>
      </c>
      <c r="AU388" t="s" s="35">
        <v>3632</v>
      </c>
      <c r="AV388" t="s" s="35">
        <v>139</v>
      </c>
      <c r="AW388" t="str" s="39" cm="1">
        <f t="array" ref="AW388">AF388&amp;"; "&amp;AG388&amp;"; "&amp;AH388&amp;"; "&amp;AI388&amp;"; "&amp;AJ388</f>
        <v>E1; D1; E1; D4; E1</v>
      </c>
    </row>
    <row r="389" ht="13.65" customHeight="1">
      <c r="A389" t="s" s="35">
        <v>3633</v>
      </c>
      <c r="B389" s="36">
        <v>7</v>
      </c>
      <c r="C389" t="s" s="35">
        <v>1823</v>
      </c>
      <c r="D389" t="s" s="35">
        <v>3454</v>
      </c>
      <c r="E389" t="s" s="35">
        <v>3596</v>
      </c>
      <c r="F389" s="36">
        <v>10</v>
      </c>
      <c r="G389" t="s" s="35">
        <v>3597</v>
      </c>
      <c r="H389" t="s" s="35">
        <v>3628</v>
      </c>
      <c r="I389" t="s" s="120">
        <v>3634</v>
      </c>
      <c r="J389" t="s" s="35">
        <v>1164</v>
      </c>
      <c r="K389" t="s" s="35">
        <v>1163</v>
      </c>
      <c r="L389" s="39"/>
      <c r="M389" t="str" s="39">
        <v>Biología</v>
      </c>
      <c r="N389" t="str" s="39">
        <v>Características y procesos vitales de los organismos</v>
      </c>
      <c r="O389" t="str" s="39" cm="1">
        <f t="array" ref="O389">IF(L389="","",_xlfn.IFERROR(INDEX('Datos - Catálogo TIMSS'!$C$5:$C$107,MATCH(L389,'Datos - Catálogo TIMSS'!$A$5:$A$107,0)),"?"))</f>
      </c>
      <c r="P389" t="s" s="35">
        <v>254</v>
      </c>
      <c r="Q389" t="s" s="120">
        <v>3635</v>
      </c>
      <c r="R389" t="s" s="120">
        <v>3636</v>
      </c>
      <c r="S389" s="121" cm="1">
        <f t="array" ref="S389">_xlfn.IFERROR(ISNUMBER(SEARCH("Conocer",$R389))/(ISNUMBER(SEARCH("Conocer",$R389))+ISNUMBER(SEARCH("Aplicar",$R389))+ISNUMBER(SEARCH("Razonar",$R389))),0)</f>
        <v>0</v>
      </c>
      <c r="T389" s="121" cm="1">
        <f t="array" ref="T389">_xlfn.IFERROR(ISNUMBER(SEARCH("Aplicar",$R389))/(ISNUMBER(SEARCH("Conocer",$R389))+ISNUMBER(SEARCH("Aplicar",$R389))+ISNUMBER(SEARCH("Razonar",$R389))),0)</f>
        <v>1</v>
      </c>
      <c r="U389" s="121" cm="1">
        <f t="array" ref="U389">_xlfn.IFERROR(ISNUMBER(SEARCH("Razonar",$R389))/(ISNUMBER(SEARCH("Conocer",$R389))+ISNUMBER(SEARCH("Aplicar",$R389))+ISNUMBER(SEARCH("Razonar",$R389))),0)</f>
        <v>0</v>
      </c>
      <c r="V389" t="s" s="35">
        <v>85</v>
      </c>
      <c r="W389" t="s" s="35">
        <v>115</v>
      </c>
      <c r="X389" s="36" cm="1">
        <f t="array" ref="X389">IF(OR(_xlfn.IFERROR(INDEX('Datos - Catálogo TIMSS'!$I$5:$I$107,MATCH(K389,'Datos - Catálogo TIMSS'!$A$5:$A$107,0)),"No")="Sí",_xlfn.IFERROR(INDEX('Datos - Catálogo TIMSS'!$I$5:$I$107,MATCH(L389,'Datos - Catálogo TIMSS'!$A$5:$A$107,0)),"No")="Sí"),1,0)</f>
        <v>0</v>
      </c>
      <c r="Y389" s="36" cm="1">
        <f t="array" ref="Y389">IF(_xlfn.IFERROR(INDEX('Datos - Catálogo TIMSS'!$J$5:$J$107,MATCH(K389,'Datos - Catálogo TIMSS'!$A$5:$A$107,0)),"No")="Sí",1,0)</f>
        <v>0</v>
      </c>
      <c r="Z389" s="36" cm="1">
        <f t="array" ref="Z389">IF(_xlfn.IFERROR(INDEX('Datos - Catálogo TIMSS'!$J$5:$J$107,MATCH(L389,'Datos - Catálogo TIMSS'!$A$5:$A$107,0)),"No")="Sí",1,0)</f>
        <v>0</v>
      </c>
      <c r="AA389" t="s" s="35">
        <v>3399</v>
      </c>
      <c r="AB389" s="39"/>
      <c r="AC389" t="str" s="39">
        <v>Biología</v>
      </c>
      <c r="AD389" t="s" s="35">
        <v>1834</v>
      </c>
      <c r="AE389" t="str" s="39" cm="1">
        <f t="array" ref="AE389">IF(AD389="","",IF(LEFT(AD389,1)="1","C1",IF(LEFT(AD389,1)="2","C2",IF(LEFT(AD389,1)="3","C3",""))))</f>
        <v>C2</v>
      </c>
      <c r="AF389" t="s" s="35">
        <v>1602</v>
      </c>
      <c r="AG389" t="s" s="35">
        <v>1617</v>
      </c>
      <c r="AH389" t="s" s="35">
        <v>1605</v>
      </c>
      <c r="AI389" t="s" s="35">
        <v>1621</v>
      </c>
      <c r="AJ389" t="s" s="35">
        <v>1607</v>
      </c>
      <c r="AK389" t="s" s="35">
        <v>1542</v>
      </c>
      <c r="AL389" t="s" s="35">
        <v>1537</v>
      </c>
      <c r="AM389" t="str" s="39" cm="1">
        <f t="array" ref="AM389">IF(AK389="FUERA","Fuera del marco",_xlfn.IFERROR(INDEX('Datos - Catálogo PISA'!$C$5:$C$76,MATCH(AK389,'Datos - Catálogo PISA'!$A$5:$A$76,0)),"?"))</f>
        <v>Sistemas vivos</v>
      </c>
      <c r="AN389" t="s" s="35">
        <v>1651</v>
      </c>
      <c r="AO389" s="39"/>
      <c r="AP389" s="39"/>
      <c r="AQ389" t="s" s="35">
        <v>1756</v>
      </c>
      <c r="AR389" s="39"/>
      <c r="AS389" t="s" s="35">
        <v>1771</v>
      </c>
      <c r="AT389" t="s" s="35">
        <v>282</v>
      </c>
      <c r="AU389" t="s" s="35">
        <v>3637</v>
      </c>
      <c r="AV389" t="s" s="35">
        <v>139</v>
      </c>
      <c r="AW389" t="str" s="39" cm="1">
        <f t="array" ref="AW389">AF389&amp;"; "&amp;AG389&amp;"; "&amp;AH389&amp;"; "&amp;AI389&amp;"; "&amp;AJ389</f>
        <v>E1; D1; E2; D3; E3</v>
      </c>
    </row>
    <row r="390" ht="13.65" customHeight="1">
      <c r="A390" t="s" s="35">
        <v>3639</v>
      </c>
      <c r="B390" s="36">
        <v>7</v>
      </c>
      <c r="C390" t="s" s="35">
        <v>1823</v>
      </c>
      <c r="D390" t="s" s="35">
        <v>3454</v>
      </c>
      <c r="E390" t="s" s="35">
        <v>3596</v>
      </c>
      <c r="F390" s="36">
        <v>11</v>
      </c>
      <c r="G390" t="s" s="35">
        <v>3597</v>
      </c>
      <c r="H390" t="s" s="35">
        <v>3628</v>
      </c>
      <c r="I390" t="s" s="120">
        <v>3640</v>
      </c>
      <c r="J390" t="s" s="35">
        <v>1164</v>
      </c>
      <c r="K390" t="s" s="35">
        <v>1163</v>
      </c>
      <c r="L390" s="39"/>
      <c r="M390" t="str" s="39">
        <v>Biología</v>
      </c>
      <c r="N390" t="str" s="39">
        <v>Características y procesos vitales de los organismos</v>
      </c>
      <c r="O390" t="str" s="39" cm="1">
        <f t="array" ref="O390">IF(L390="","",_xlfn.IFERROR(INDEX('Datos - Catálogo TIMSS'!$C$5:$C$107,MATCH(L390,'Datos - Catálogo TIMSS'!$A$5:$A$107,0)),"?"))</f>
      </c>
      <c r="P390" t="s" s="35">
        <v>291</v>
      </c>
      <c r="Q390" t="s" s="120">
        <v>3641</v>
      </c>
      <c r="R390" t="s" s="120">
        <v>3642</v>
      </c>
      <c r="S390" s="121" cm="1">
        <f t="array" ref="S390">_xlfn.IFERROR(ISNUMBER(SEARCH("Conocer",$R390))/(ISNUMBER(SEARCH("Conocer",$R390))+ISNUMBER(SEARCH("Aplicar",$R390))+ISNUMBER(SEARCH("Razonar",$R390))),0)</f>
        <v>0</v>
      </c>
      <c r="T390" s="121" cm="1">
        <f t="array" ref="T390">_xlfn.IFERROR(ISNUMBER(SEARCH("Aplicar",$R390))/(ISNUMBER(SEARCH("Conocer",$R390))+ISNUMBER(SEARCH("Aplicar",$R390))+ISNUMBER(SEARCH("Razonar",$R390))),0)</f>
        <v>0.5</v>
      </c>
      <c r="U390" s="121" cm="1">
        <f t="array" ref="U390">_xlfn.IFERROR(ISNUMBER(SEARCH("Razonar",$R390))/(ISNUMBER(SEARCH("Conocer",$R390))+ISNUMBER(SEARCH("Aplicar",$R390))+ISNUMBER(SEARCH("Razonar",$R390))),0)</f>
        <v>0.5</v>
      </c>
      <c r="V390" t="s" s="35">
        <v>85</v>
      </c>
      <c r="W390" t="s" s="35">
        <v>115</v>
      </c>
      <c r="X390" s="36" cm="1">
        <f t="array" ref="X390">IF(OR(_xlfn.IFERROR(INDEX('Datos - Catálogo TIMSS'!$I$5:$I$107,MATCH(K390,'Datos - Catálogo TIMSS'!$A$5:$A$107,0)),"No")="Sí",_xlfn.IFERROR(INDEX('Datos - Catálogo TIMSS'!$I$5:$I$107,MATCH(L390,'Datos - Catálogo TIMSS'!$A$5:$A$107,0)),"No")="Sí"),1,0)</f>
        <v>0</v>
      </c>
      <c r="Y390" s="36" cm="1">
        <f t="array" ref="Y390">IF(_xlfn.IFERROR(INDEX('Datos - Catálogo TIMSS'!$J$5:$J$107,MATCH(K390,'Datos - Catálogo TIMSS'!$A$5:$A$107,0)),"No")="Sí",1,0)</f>
        <v>0</v>
      </c>
      <c r="Z390" s="36" cm="1">
        <f t="array" ref="Z390">IF(_xlfn.IFERROR(INDEX('Datos - Catálogo TIMSS'!$J$5:$J$107,MATCH(L390,'Datos - Catálogo TIMSS'!$A$5:$A$107,0)),"No")="Sí",1,0)</f>
        <v>0</v>
      </c>
      <c r="AA390" t="s" s="35">
        <v>3399</v>
      </c>
      <c r="AB390" s="39"/>
      <c r="AC390" t="str" s="39">
        <v>Biología</v>
      </c>
      <c r="AD390" t="s" s="35">
        <v>1900</v>
      </c>
      <c r="AE390" t="str" s="39" cm="1">
        <f t="array" ref="AE390">IF(AD390="","",IF(LEFT(AD390,1)="1","C1",IF(LEFT(AD390,1)="2","C2",IF(LEFT(AD390,1)="3","C3",""))))</f>
        <v>C3</v>
      </c>
      <c r="AF390" t="s" s="35">
        <v>1602</v>
      </c>
      <c r="AG390" t="s" s="35">
        <v>1617</v>
      </c>
      <c r="AH390" t="s" s="35">
        <v>1602</v>
      </c>
      <c r="AI390" t="s" s="35">
        <v>1625</v>
      </c>
      <c r="AJ390" t="s" s="35">
        <v>1633</v>
      </c>
      <c r="AK390" t="s" s="35">
        <v>1542</v>
      </c>
      <c r="AL390" s="39"/>
      <c r="AM390" t="str" s="39" cm="1">
        <f t="array" ref="AM390">IF(AK390="FUERA","Fuera del marco",_xlfn.IFERROR(INDEX('Datos - Catálogo PISA'!$C$5:$C$76,MATCH(AK390,'Datos - Catálogo PISA'!$A$5:$A$76,0)),"?"))</f>
        <v>Sistemas vivos</v>
      </c>
      <c r="AN390" t="s" s="35">
        <v>1651</v>
      </c>
      <c r="AO390" s="39"/>
      <c r="AP390" s="39"/>
      <c r="AQ390" t="s" s="35">
        <v>1752</v>
      </c>
      <c r="AR390" t="s" s="35">
        <v>1765</v>
      </c>
      <c r="AS390" t="s" s="35">
        <v>1771</v>
      </c>
      <c r="AT390" t="s" s="35">
        <v>282</v>
      </c>
      <c r="AU390" t="s" s="35">
        <v>3643</v>
      </c>
      <c r="AV390" t="s" s="35">
        <v>139</v>
      </c>
      <c r="AW390" t="str" s="39" cm="1">
        <f t="array" ref="AW390">AF390&amp;"; "&amp;AG390&amp;"; "&amp;AH390&amp;"; "&amp;AI390&amp;"; "&amp;AJ390</f>
        <v>E1; D1; E1; I1; I5</v>
      </c>
    </row>
    <row r="391" ht="13.65" customHeight="1">
      <c r="A391" t="s" s="35">
        <v>3644</v>
      </c>
      <c r="B391" s="36">
        <v>7</v>
      </c>
      <c r="C391" t="s" s="35">
        <v>1823</v>
      </c>
      <c r="D391" t="s" s="35">
        <v>3454</v>
      </c>
      <c r="E391" t="s" s="35">
        <v>3596</v>
      </c>
      <c r="F391" s="36">
        <v>12</v>
      </c>
      <c r="G391" t="s" s="35">
        <v>3597</v>
      </c>
      <c r="H391" t="s" s="35">
        <v>3645</v>
      </c>
      <c r="I391" t="s" s="120">
        <v>3646</v>
      </c>
      <c r="J391" t="s" s="35">
        <v>1164</v>
      </c>
      <c r="K391" t="s" s="35">
        <v>1186</v>
      </c>
      <c r="L391" t="s" s="35">
        <v>1163</v>
      </c>
      <c r="M391" t="str" s="39">
        <v>Biología</v>
      </c>
      <c r="N391" t="str" s="39">
        <v>Diversidad, adaptación y selección natural</v>
      </c>
      <c r="O391" t="str" s="39" cm="1">
        <f t="array" ref="O391">IF(L391="","",_xlfn.IFERROR(INDEX('Datos - Catálogo TIMSS'!$C$5:$C$107,MATCH(L391,'Datos - Catálogo TIMSS'!$A$5:$A$107,0)),"?"))</f>
        <v>Biología</v>
      </c>
      <c r="P391" t="s" s="35">
        <v>282</v>
      </c>
      <c r="Q391" t="s" s="120">
        <v>3647</v>
      </c>
      <c r="R391" t="s" s="120">
        <v>3648</v>
      </c>
      <c r="S391" s="121" cm="1">
        <f t="array" ref="S391">_xlfn.IFERROR(ISNUMBER(SEARCH("Conocer",$R391))/(ISNUMBER(SEARCH("Conocer",$R391))+ISNUMBER(SEARCH("Aplicar",$R391))+ISNUMBER(SEARCH("Razonar",$R391))),0)</f>
        <v>1</v>
      </c>
      <c r="T391" s="121" cm="1">
        <f t="array" ref="T391">_xlfn.IFERROR(ISNUMBER(SEARCH("Aplicar",$R391))/(ISNUMBER(SEARCH("Conocer",$R391))+ISNUMBER(SEARCH("Aplicar",$R391))+ISNUMBER(SEARCH("Razonar",$R391))),0)</f>
        <v>0</v>
      </c>
      <c r="U391" s="121" cm="1">
        <f t="array" ref="U391">_xlfn.IFERROR(ISNUMBER(SEARCH("Razonar",$R391))/(ISNUMBER(SEARCH("Conocer",$R391))+ISNUMBER(SEARCH("Aplicar",$R391))+ISNUMBER(SEARCH("Razonar",$R391))),0)</f>
        <v>0</v>
      </c>
      <c r="V391" t="s" s="35">
        <v>85</v>
      </c>
      <c r="W391" t="s" s="35">
        <v>115</v>
      </c>
      <c r="X391" s="36" cm="1">
        <f t="array" ref="X391">IF(OR(_xlfn.IFERROR(INDEX('Datos - Catálogo TIMSS'!$I$5:$I$107,MATCH(K391,'Datos - Catálogo TIMSS'!$A$5:$A$107,0)),"No")="Sí",_xlfn.IFERROR(INDEX('Datos - Catálogo TIMSS'!$I$5:$I$107,MATCH(L391,'Datos - Catálogo TIMSS'!$A$5:$A$107,0)),"No")="Sí"),1,0)</f>
        <v>0</v>
      </c>
      <c r="Y391" s="36" cm="1">
        <f t="array" ref="Y391">IF(_xlfn.IFERROR(INDEX('Datos - Catálogo TIMSS'!$J$5:$J$107,MATCH(K391,'Datos - Catálogo TIMSS'!$A$5:$A$107,0)),"No")="Sí",1,0)</f>
        <v>0</v>
      </c>
      <c r="Z391" s="36" cm="1">
        <f t="array" ref="Z391">IF(_xlfn.IFERROR(INDEX('Datos - Catálogo TIMSS'!$J$5:$J$107,MATCH(L391,'Datos - Catálogo TIMSS'!$A$5:$A$107,0)),"No")="Sí",1,0)</f>
        <v>0</v>
      </c>
      <c r="AA391" t="s" s="35">
        <v>3399</v>
      </c>
      <c r="AB391" t="s" s="35">
        <v>3072</v>
      </c>
      <c r="AC391" t="str" s="39">
        <v>Biología</v>
      </c>
      <c r="AD391" t="s" s="35">
        <v>1859</v>
      </c>
      <c r="AE391" t="str" s="39" cm="1">
        <f t="array" ref="AE391">IF(AD391="","",IF(LEFT(AD391,1)="1","C1",IF(LEFT(AD391,1)="2","C2",IF(LEFT(AD391,1)="3","C3",""))))</f>
        <v>C1</v>
      </c>
      <c r="AF391" t="s" s="35">
        <v>1602</v>
      </c>
      <c r="AG391" t="s" s="35">
        <v>1617</v>
      </c>
      <c r="AH391" t="s" s="35">
        <v>1602</v>
      </c>
      <c r="AI391" t="s" s="35">
        <v>1623</v>
      </c>
      <c r="AJ391" t="s" s="35">
        <v>1602</v>
      </c>
      <c r="AK391" t="s" s="35">
        <v>1542</v>
      </c>
      <c r="AL391" s="39"/>
      <c r="AM391" t="str" s="39" cm="1">
        <f t="array" ref="AM391">IF(AK391="FUERA","Fuera del marco",_xlfn.IFERROR(INDEX('Datos - Catálogo PISA'!$C$5:$C$76,MATCH(AK391,'Datos - Catálogo PISA'!$A$5:$A$76,0)),"?"))</f>
        <v>Sistemas vivos</v>
      </c>
      <c r="AN391" t="s" s="35">
        <v>1651</v>
      </c>
      <c r="AO391" s="39"/>
      <c r="AP391" s="39"/>
      <c r="AQ391" t="s" s="35">
        <v>1756</v>
      </c>
      <c r="AR391" s="39"/>
      <c r="AS391" t="s" s="35">
        <v>1771</v>
      </c>
      <c r="AT391" t="s" s="35">
        <v>254</v>
      </c>
      <c r="AU391" t="s" s="35">
        <v>3649</v>
      </c>
      <c r="AV391" t="s" s="35">
        <v>139</v>
      </c>
      <c r="AW391" t="str" s="39" cm="1">
        <f t="array" ref="AW391">AF391&amp;"; "&amp;AG391&amp;"; "&amp;AH391&amp;"; "&amp;AI391&amp;"; "&amp;AJ391</f>
        <v>E1; D1; E1; D4; E1</v>
      </c>
    </row>
    <row r="392" ht="13.65" customHeight="1">
      <c r="A392" t="s" s="35">
        <v>3650</v>
      </c>
      <c r="B392" s="36">
        <v>7</v>
      </c>
      <c r="C392" t="s" s="35">
        <v>1823</v>
      </c>
      <c r="D392" t="s" s="35">
        <v>3454</v>
      </c>
      <c r="E392" t="s" s="35">
        <v>3596</v>
      </c>
      <c r="F392" s="36">
        <v>13</v>
      </c>
      <c r="G392" t="s" s="35">
        <v>3597</v>
      </c>
      <c r="H392" t="s" s="35">
        <v>3645</v>
      </c>
      <c r="I392" t="s" s="120">
        <v>3651</v>
      </c>
      <c r="J392" t="s" s="35">
        <v>1164</v>
      </c>
      <c r="K392" t="s" s="35">
        <v>1186</v>
      </c>
      <c r="L392" t="s" s="35">
        <v>1163</v>
      </c>
      <c r="M392" t="str" s="39">
        <v>Biología</v>
      </c>
      <c r="N392" t="str" s="39">
        <v>Diversidad, adaptación y selección natural</v>
      </c>
      <c r="O392" t="str" s="39" cm="1">
        <f t="array" ref="O392">IF(L392="","",_xlfn.IFERROR(INDEX('Datos - Catálogo TIMSS'!$C$5:$C$107,MATCH(L392,'Datos - Catálogo TIMSS'!$A$5:$A$107,0)),"?"))</f>
        <v>Biología</v>
      </c>
      <c r="P392" t="s" s="35">
        <v>282</v>
      </c>
      <c r="Q392" t="s" s="120">
        <v>3652</v>
      </c>
      <c r="R392" t="s" s="120">
        <v>3653</v>
      </c>
      <c r="S392" s="121" cm="1">
        <f t="array" ref="S392">_xlfn.IFERROR(ISNUMBER(SEARCH("Conocer",$R392))/(ISNUMBER(SEARCH("Conocer",$R392))+ISNUMBER(SEARCH("Aplicar",$R392))+ISNUMBER(SEARCH("Razonar",$R392))),0)</f>
        <v>0</v>
      </c>
      <c r="T392" s="121" cm="1">
        <f t="array" ref="T392">_xlfn.IFERROR(ISNUMBER(SEARCH("Aplicar",$R392))/(ISNUMBER(SEARCH("Conocer",$R392))+ISNUMBER(SEARCH("Aplicar",$R392))+ISNUMBER(SEARCH("Razonar",$R392))),0)</f>
        <v>1</v>
      </c>
      <c r="U392" s="121" cm="1">
        <f t="array" ref="U392">_xlfn.IFERROR(ISNUMBER(SEARCH("Razonar",$R392))/(ISNUMBER(SEARCH("Conocer",$R392))+ISNUMBER(SEARCH("Aplicar",$R392))+ISNUMBER(SEARCH("Razonar",$R392))),0)</f>
        <v>0</v>
      </c>
      <c r="V392" t="s" s="35">
        <v>85</v>
      </c>
      <c r="W392" t="s" s="35">
        <v>115</v>
      </c>
      <c r="X392" s="36" cm="1">
        <f t="array" ref="X392">IF(OR(_xlfn.IFERROR(INDEX('Datos - Catálogo TIMSS'!$I$5:$I$107,MATCH(K392,'Datos - Catálogo TIMSS'!$A$5:$A$107,0)),"No")="Sí",_xlfn.IFERROR(INDEX('Datos - Catálogo TIMSS'!$I$5:$I$107,MATCH(L392,'Datos - Catálogo TIMSS'!$A$5:$A$107,0)),"No")="Sí"),1,0)</f>
        <v>0</v>
      </c>
      <c r="Y392" s="36" cm="1">
        <f t="array" ref="Y392">IF(_xlfn.IFERROR(INDEX('Datos - Catálogo TIMSS'!$J$5:$J$107,MATCH(K392,'Datos - Catálogo TIMSS'!$A$5:$A$107,0)),"No")="Sí",1,0)</f>
        <v>0</v>
      </c>
      <c r="Z392" s="36" cm="1">
        <f t="array" ref="Z392">IF(_xlfn.IFERROR(INDEX('Datos - Catálogo TIMSS'!$J$5:$J$107,MATCH(L392,'Datos - Catálogo TIMSS'!$A$5:$A$107,0)),"No")="Sí",1,0)</f>
        <v>0</v>
      </c>
      <c r="AA392" t="s" s="35">
        <v>3399</v>
      </c>
      <c r="AB392" t="s" s="35">
        <v>3072</v>
      </c>
      <c r="AC392" t="str" s="39">
        <v>Biología</v>
      </c>
      <c r="AD392" t="s" s="35">
        <v>1834</v>
      </c>
      <c r="AE392" t="str" s="39" cm="1">
        <f t="array" ref="AE392">IF(AD392="","",IF(LEFT(AD392,1)="1","C1",IF(LEFT(AD392,1)="2","C2",IF(LEFT(AD392,1)="3","C3",""))))</f>
        <v>C2</v>
      </c>
      <c r="AF392" t="s" s="35">
        <v>1602</v>
      </c>
      <c r="AG392" t="s" s="35">
        <v>1617</v>
      </c>
      <c r="AH392" t="s" s="35">
        <v>1605</v>
      </c>
      <c r="AI392" t="s" s="35">
        <v>1623</v>
      </c>
      <c r="AJ392" t="s" s="35">
        <v>1607</v>
      </c>
      <c r="AK392" t="s" s="35">
        <v>1542</v>
      </c>
      <c r="AL392" s="39"/>
      <c r="AM392" t="str" s="39" cm="1">
        <f t="array" ref="AM392">IF(AK392="FUERA","Fuera del marco",_xlfn.IFERROR(INDEX('Datos - Catálogo PISA'!$C$5:$C$76,MATCH(AK392,'Datos - Catálogo PISA'!$A$5:$A$76,0)),"?"))</f>
        <v>Sistemas vivos</v>
      </c>
      <c r="AN392" t="s" s="35">
        <v>1651</v>
      </c>
      <c r="AO392" s="39"/>
      <c r="AP392" t="s" s="35">
        <v>3534</v>
      </c>
      <c r="AQ392" t="s" s="35">
        <v>1756</v>
      </c>
      <c r="AR392" s="39"/>
      <c r="AS392" t="s" s="35">
        <v>1771</v>
      </c>
      <c r="AT392" t="s" s="35">
        <v>254</v>
      </c>
      <c r="AU392" t="s" s="35">
        <v>3654</v>
      </c>
      <c r="AV392" t="s" s="35">
        <v>139</v>
      </c>
      <c r="AW392" t="str" s="39" cm="1">
        <f t="array" ref="AW392">AF392&amp;"; "&amp;AG392&amp;"; "&amp;AH392&amp;"; "&amp;AI392&amp;"; "&amp;AJ392</f>
        <v>E1; D1; E2; D4; E3</v>
      </c>
    </row>
    <row r="393" ht="13.65" customHeight="1">
      <c r="A393" t="s" s="35">
        <v>3655</v>
      </c>
      <c r="B393" s="36">
        <v>7</v>
      </c>
      <c r="C393" t="s" s="35">
        <v>1823</v>
      </c>
      <c r="D393" t="s" s="35">
        <v>3454</v>
      </c>
      <c r="E393" t="s" s="35">
        <v>3596</v>
      </c>
      <c r="F393" s="36">
        <v>14</v>
      </c>
      <c r="G393" t="s" s="35">
        <v>3597</v>
      </c>
      <c r="H393" t="s" s="35">
        <v>3656</v>
      </c>
      <c r="I393" t="s" s="120">
        <v>3657</v>
      </c>
      <c r="J393" t="s" s="35">
        <v>1164</v>
      </c>
      <c r="K393" t="s" s="35">
        <v>1163</v>
      </c>
      <c r="L393" s="39"/>
      <c r="M393" t="str" s="39">
        <v>Biología</v>
      </c>
      <c r="N393" t="str" s="39">
        <v>Características y procesos vitales de los organismos</v>
      </c>
      <c r="O393" t="str" s="39" cm="1">
        <f t="array" ref="O393">IF(L393="","",_xlfn.IFERROR(INDEX('Datos - Catálogo TIMSS'!$C$5:$C$107,MATCH(L393,'Datos - Catálogo TIMSS'!$A$5:$A$107,0)),"?"))</f>
      </c>
      <c r="P393" t="s" s="35">
        <v>254</v>
      </c>
      <c r="Q393" t="s" s="120">
        <v>3658</v>
      </c>
      <c r="R393" t="s" s="120">
        <v>1990</v>
      </c>
      <c r="S393" s="121" cm="1">
        <f t="array" ref="S393">_xlfn.IFERROR(ISNUMBER(SEARCH("Conocer",$R393))/(ISNUMBER(SEARCH("Conocer",$R393))+ISNUMBER(SEARCH("Aplicar",$R393))+ISNUMBER(SEARCH("Razonar",$R393))),0)</f>
        <v>1</v>
      </c>
      <c r="T393" s="121" cm="1">
        <f t="array" ref="T393">_xlfn.IFERROR(ISNUMBER(SEARCH("Aplicar",$R393))/(ISNUMBER(SEARCH("Conocer",$R393))+ISNUMBER(SEARCH("Aplicar",$R393))+ISNUMBER(SEARCH("Razonar",$R393))),0)</f>
        <v>0</v>
      </c>
      <c r="U393" s="121" cm="1">
        <f t="array" ref="U393">_xlfn.IFERROR(ISNUMBER(SEARCH("Razonar",$R393))/(ISNUMBER(SEARCH("Conocer",$R393))+ISNUMBER(SEARCH("Aplicar",$R393))+ISNUMBER(SEARCH("Razonar",$R393))),0)</f>
        <v>0</v>
      </c>
      <c r="V393" t="s" s="35">
        <v>85</v>
      </c>
      <c r="W393" t="s" s="35">
        <v>115</v>
      </c>
      <c r="X393" s="36" cm="1">
        <f t="array" ref="X393">IF(OR(_xlfn.IFERROR(INDEX('Datos - Catálogo TIMSS'!$I$5:$I$107,MATCH(K393,'Datos - Catálogo TIMSS'!$A$5:$A$107,0)),"No")="Sí",_xlfn.IFERROR(INDEX('Datos - Catálogo TIMSS'!$I$5:$I$107,MATCH(L393,'Datos - Catálogo TIMSS'!$A$5:$A$107,0)),"No")="Sí"),1,0)</f>
        <v>0</v>
      </c>
      <c r="Y393" s="36" cm="1">
        <f t="array" ref="Y393">IF(_xlfn.IFERROR(INDEX('Datos - Catálogo TIMSS'!$J$5:$J$107,MATCH(K393,'Datos - Catálogo TIMSS'!$A$5:$A$107,0)),"No")="Sí",1,0)</f>
        <v>0</v>
      </c>
      <c r="Z393" s="36" cm="1">
        <f t="array" ref="Z393">IF(_xlfn.IFERROR(INDEX('Datos - Catálogo TIMSS'!$J$5:$J$107,MATCH(L393,'Datos - Catálogo TIMSS'!$A$5:$A$107,0)),"No")="Sí",1,0)</f>
        <v>0</v>
      </c>
      <c r="AA393" t="s" s="35">
        <v>3399</v>
      </c>
      <c r="AB393" s="39"/>
      <c r="AC393" t="str" s="39">
        <v>Biología</v>
      </c>
      <c r="AD393" t="s" s="35">
        <v>1859</v>
      </c>
      <c r="AE393" t="str" s="39" cm="1">
        <f t="array" ref="AE393">IF(AD393="","",IF(LEFT(AD393,1)="1","C1",IF(LEFT(AD393,1)="2","C2",IF(LEFT(AD393,1)="3","C3",""))))</f>
        <v>C1</v>
      </c>
      <c r="AF393" t="s" s="35">
        <v>1602</v>
      </c>
      <c r="AG393" t="s" s="35">
        <v>1617</v>
      </c>
      <c r="AH393" t="s" s="35">
        <v>1602</v>
      </c>
      <c r="AI393" t="s" s="35">
        <v>1623</v>
      </c>
      <c r="AJ393" t="s" s="35">
        <v>1602</v>
      </c>
      <c r="AK393" t="s" s="35">
        <v>1537</v>
      </c>
      <c r="AL393" t="s" s="35">
        <v>1542</v>
      </c>
      <c r="AM393" t="str" s="39" cm="1">
        <f t="array" ref="AM393">IF(AK393="FUERA","Fuera del marco",_xlfn.IFERROR(INDEX('Datos - Catálogo PISA'!$C$5:$C$76,MATCH(AK393,'Datos - Catálogo PISA'!$A$5:$A$76,0)),"?"))</f>
        <v>Sistemas vivos</v>
      </c>
      <c r="AN393" t="s" s="35">
        <v>1651</v>
      </c>
      <c r="AO393" s="39"/>
      <c r="AP393" s="39"/>
      <c r="AQ393" t="s" s="35">
        <v>1756</v>
      </c>
      <c r="AR393" s="39"/>
      <c r="AS393" t="s" s="35">
        <v>1771</v>
      </c>
      <c r="AT393" t="s" s="35">
        <v>282</v>
      </c>
      <c r="AU393" t="s" s="35">
        <v>3659</v>
      </c>
      <c r="AV393" t="s" s="35">
        <v>139</v>
      </c>
      <c r="AW393" t="str" s="39" cm="1">
        <f t="array" ref="AW393">AF393&amp;"; "&amp;AG393&amp;"; "&amp;AH393&amp;"; "&amp;AI393&amp;"; "&amp;AJ393</f>
        <v>E1; D1; E1; D4; E1</v>
      </c>
    </row>
    <row r="394" ht="13.65" customHeight="1">
      <c r="A394" t="s" s="35">
        <v>3660</v>
      </c>
      <c r="B394" s="36">
        <v>7</v>
      </c>
      <c r="C394" t="s" s="35">
        <v>1823</v>
      </c>
      <c r="D394" t="s" s="35">
        <v>3454</v>
      </c>
      <c r="E394" t="s" s="35">
        <v>3661</v>
      </c>
      <c r="F394" s="36">
        <v>3</v>
      </c>
      <c r="G394" t="s" s="35">
        <v>3662</v>
      </c>
      <c r="H394" t="s" s="35">
        <v>3663</v>
      </c>
      <c r="I394" t="s" s="120">
        <v>3664</v>
      </c>
      <c r="J394" t="s" s="35">
        <v>1164</v>
      </c>
      <c r="K394" t="s" s="35">
        <v>634</v>
      </c>
      <c r="L394" s="39"/>
      <c r="M394" t="str" s="39">
        <v>Biología</v>
      </c>
      <c r="N394" t="str" s="39">
        <v>Ecosistemas</v>
      </c>
      <c r="O394" t="str" s="39" cm="1">
        <f t="array" ref="O394">IF(L394="","",_xlfn.IFERROR(INDEX('Datos - Catálogo TIMSS'!$C$5:$C$107,MATCH(L394,'Datos - Catálogo TIMSS'!$A$5:$A$107,0)),"?"))</f>
      </c>
      <c r="P394" t="s" s="35">
        <v>254</v>
      </c>
      <c r="Q394" t="s" s="120">
        <v>3665</v>
      </c>
      <c r="R394" t="s" s="120">
        <v>3023</v>
      </c>
      <c r="S394" s="121" cm="1">
        <f t="array" ref="S394">_xlfn.IFERROR(ISNUMBER(SEARCH("Conocer",$R394))/(ISNUMBER(SEARCH("Conocer",$R394))+ISNUMBER(SEARCH("Aplicar",$R394))+ISNUMBER(SEARCH("Razonar",$R394))),0)</f>
        <v>0</v>
      </c>
      <c r="T394" s="121" cm="1">
        <f t="array" ref="T394">_xlfn.IFERROR(ISNUMBER(SEARCH("Aplicar",$R394))/(ISNUMBER(SEARCH("Conocer",$R394))+ISNUMBER(SEARCH("Aplicar",$R394))+ISNUMBER(SEARCH("Razonar",$R394))),0)</f>
        <v>1</v>
      </c>
      <c r="U394" s="121" cm="1">
        <f t="array" ref="U394">_xlfn.IFERROR(ISNUMBER(SEARCH("Razonar",$R394))/(ISNUMBER(SEARCH("Conocer",$R394))+ISNUMBER(SEARCH("Aplicar",$R394))+ISNUMBER(SEARCH("Razonar",$R394))),0)</f>
        <v>0</v>
      </c>
      <c r="V394" t="s" s="35">
        <v>85</v>
      </c>
      <c r="W394" t="s" s="35">
        <v>115</v>
      </c>
      <c r="X394" s="36" cm="1">
        <f t="array" ref="X394">IF(OR(_xlfn.IFERROR(INDEX('Datos - Catálogo TIMSS'!$I$5:$I$107,MATCH(K394,'Datos - Catálogo TIMSS'!$A$5:$A$107,0)),"No")="Sí",_xlfn.IFERROR(INDEX('Datos - Catálogo TIMSS'!$I$5:$I$107,MATCH(L394,'Datos - Catálogo TIMSS'!$A$5:$A$107,0)),"No")="Sí"),1,0)</f>
        <v>1</v>
      </c>
      <c r="Y394" s="36" cm="1">
        <f t="array" ref="Y394">IF(_xlfn.IFERROR(INDEX('Datos - Catálogo TIMSS'!$J$5:$J$107,MATCH(K394,'Datos - Catálogo TIMSS'!$A$5:$A$107,0)),"No")="Sí",1,0)</f>
        <v>0</v>
      </c>
      <c r="Z394" s="36" cm="1">
        <f t="array" ref="Z394">IF(_xlfn.IFERROR(INDEX('Datos - Catálogo TIMSS'!$J$5:$J$107,MATCH(L394,'Datos - Catálogo TIMSS'!$A$5:$A$107,0)),"No")="Sí",1,0)</f>
        <v>0</v>
      </c>
      <c r="AA394" t="s" s="35">
        <v>3666</v>
      </c>
      <c r="AB394" s="39"/>
      <c r="AC394" t="str" s="39">
        <v>Biología</v>
      </c>
      <c r="AD394" t="s" s="35">
        <v>1859</v>
      </c>
      <c r="AE394" t="str" s="39" cm="1">
        <f t="array" ref="AE394">IF(AD394="","",IF(LEFT(AD394,1)="1","C1",IF(LEFT(AD394,1)="2","C2",IF(LEFT(AD394,1)="3","C3",""))))</f>
        <v>C1</v>
      </c>
      <c r="AF394" t="s" s="35">
        <v>1602</v>
      </c>
      <c r="AG394" t="s" s="35">
        <v>1617</v>
      </c>
      <c r="AH394" t="s" s="35">
        <v>1602</v>
      </c>
      <c r="AI394" t="s" s="35">
        <v>1623</v>
      </c>
      <c r="AJ394" t="s" s="35">
        <v>1602</v>
      </c>
      <c r="AK394" t="s" s="35">
        <v>1544</v>
      </c>
      <c r="AL394" s="39"/>
      <c r="AM394" t="str" s="39" cm="1">
        <f t="array" ref="AM394">IF(AK394="FUERA","Fuera del marco",_xlfn.IFERROR(INDEX('Datos - Catálogo PISA'!$C$5:$C$76,MATCH(AK394,'Datos - Catálogo PISA'!$A$5:$A$76,0)),"?"))</f>
        <v>Sistemas vivos</v>
      </c>
      <c r="AN394" t="s" s="35">
        <v>1651</v>
      </c>
      <c r="AO394" s="39"/>
      <c r="AP394" s="39"/>
      <c r="AQ394" t="s" s="35">
        <v>1752</v>
      </c>
      <c r="AR394" t="s" s="35">
        <v>1765</v>
      </c>
      <c r="AS394" t="s" s="35">
        <v>1770</v>
      </c>
      <c r="AT394" t="s" s="35">
        <v>254</v>
      </c>
      <c r="AU394" t="s" s="35">
        <v>3667</v>
      </c>
      <c r="AV394" t="s" s="35">
        <v>139</v>
      </c>
      <c r="AW394" t="str" s="39" cm="1">
        <f t="array" ref="AW394">AF394&amp;"; "&amp;AG394&amp;"; "&amp;AH394&amp;"; "&amp;AI394&amp;"; "&amp;AJ394</f>
        <v>E1; D1; E1; D4; E1</v>
      </c>
    </row>
    <row r="395" ht="13.65" customHeight="1">
      <c r="A395" t="s" s="35">
        <v>3668</v>
      </c>
      <c r="B395" s="36">
        <v>7</v>
      </c>
      <c r="C395" t="s" s="35">
        <v>1823</v>
      </c>
      <c r="D395" t="s" s="35">
        <v>3454</v>
      </c>
      <c r="E395" t="s" s="35">
        <v>3661</v>
      </c>
      <c r="F395" s="36">
        <v>4</v>
      </c>
      <c r="G395" t="s" s="35">
        <v>3662</v>
      </c>
      <c r="H395" t="s" s="35">
        <v>3663</v>
      </c>
      <c r="I395" t="s" s="120">
        <v>3669</v>
      </c>
      <c r="J395" t="s" s="35">
        <v>1164</v>
      </c>
      <c r="K395" t="s" s="35">
        <v>634</v>
      </c>
      <c r="L395" s="39"/>
      <c r="M395" t="str" s="39">
        <v>Biología</v>
      </c>
      <c r="N395" t="str" s="39">
        <v>Ecosistemas</v>
      </c>
      <c r="O395" t="str" s="39" cm="1">
        <f t="array" ref="O395">IF(L395="","",_xlfn.IFERROR(INDEX('Datos - Catálogo TIMSS'!$C$5:$C$107,MATCH(L395,'Datos - Catálogo TIMSS'!$A$5:$A$107,0)),"?"))</f>
      </c>
      <c r="P395" t="s" s="35">
        <v>254</v>
      </c>
      <c r="Q395" t="s" s="120">
        <v>3670</v>
      </c>
      <c r="R395" t="s" s="120">
        <v>3671</v>
      </c>
      <c r="S395" s="121" cm="1">
        <f t="array" ref="S395">_xlfn.IFERROR(ISNUMBER(SEARCH("Conocer",$R395))/(ISNUMBER(SEARCH("Conocer",$R395))+ISNUMBER(SEARCH("Aplicar",$R395))+ISNUMBER(SEARCH("Razonar",$R395))),0)</f>
        <v>0</v>
      </c>
      <c r="T395" s="121" cm="1">
        <f t="array" ref="T395">_xlfn.IFERROR(ISNUMBER(SEARCH("Aplicar",$R395))/(ISNUMBER(SEARCH("Conocer",$R395))+ISNUMBER(SEARCH("Aplicar",$R395))+ISNUMBER(SEARCH("Razonar",$R395))),0)</f>
        <v>1</v>
      </c>
      <c r="U395" s="121" cm="1">
        <f t="array" ref="U395">_xlfn.IFERROR(ISNUMBER(SEARCH("Razonar",$R395))/(ISNUMBER(SEARCH("Conocer",$R395))+ISNUMBER(SEARCH("Aplicar",$R395))+ISNUMBER(SEARCH("Razonar",$R395))),0)</f>
        <v>0</v>
      </c>
      <c r="V395" t="s" s="35">
        <v>85</v>
      </c>
      <c r="W395" t="s" s="35">
        <v>115</v>
      </c>
      <c r="X395" s="36" cm="1">
        <f t="array" ref="X395">IF(OR(_xlfn.IFERROR(INDEX('Datos - Catálogo TIMSS'!$I$5:$I$107,MATCH(K395,'Datos - Catálogo TIMSS'!$A$5:$A$107,0)),"No")="Sí",_xlfn.IFERROR(INDEX('Datos - Catálogo TIMSS'!$I$5:$I$107,MATCH(L395,'Datos - Catálogo TIMSS'!$A$5:$A$107,0)),"No")="Sí"),1,0)</f>
        <v>1</v>
      </c>
      <c r="Y395" s="36" cm="1">
        <f t="array" ref="Y395">IF(_xlfn.IFERROR(INDEX('Datos - Catálogo TIMSS'!$J$5:$J$107,MATCH(K395,'Datos - Catálogo TIMSS'!$A$5:$A$107,0)),"No")="Sí",1,0)</f>
        <v>0</v>
      </c>
      <c r="Z395" s="36" cm="1">
        <f t="array" ref="Z395">IF(_xlfn.IFERROR(INDEX('Datos - Catálogo TIMSS'!$J$5:$J$107,MATCH(L395,'Datos - Catálogo TIMSS'!$A$5:$A$107,0)),"No")="Sí",1,0)</f>
        <v>0</v>
      </c>
      <c r="AA395" t="s" s="35">
        <v>3666</v>
      </c>
      <c r="AB395" s="39"/>
      <c r="AC395" t="str" s="39">
        <v>Biología</v>
      </c>
      <c r="AD395" t="s" s="35">
        <v>1859</v>
      </c>
      <c r="AE395" t="str" s="39" cm="1">
        <f t="array" ref="AE395">IF(AD395="","",IF(LEFT(AD395,1)="1","C1",IF(LEFT(AD395,1)="2","C2",IF(LEFT(AD395,1)="3","C3",""))))</f>
        <v>C1</v>
      </c>
      <c r="AF395" t="s" s="35">
        <v>1602</v>
      </c>
      <c r="AG395" t="s" s="35">
        <v>1617</v>
      </c>
      <c r="AH395" t="s" s="35">
        <v>1605</v>
      </c>
      <c r="AI395" t="s" s="35">
        <v>1623</v>
      </c>
      <c r="AJ395" t="s" s="35">
        <v>1602</v>
      </c>
      <c r="AK395" t="s" s="35">
        <v>1544</v>
      </c>
      <c r="AL395" s="39"/>
      <c r="AM395" t="str" s="39" cm="1">
        <f t="array" ref="AM395">IF(AK395="FUERA","Fuera del marco",_xlfn.IFERROR(INDEX('Datos - Catálogo PISA'!$C$5:$C$76,MATCH(AK395,'Datos - Catálogo PISA'!$A$5:$A$76,0)),"?"))</f>
        <v>Sistemas vivos</v>
      </c>
      <c r="AN395" t="s" s="35">
        <v>1651</v>
      </c>
      <c r="AO395" s="39"/>
      <c r="AP395" s="39"/>
      <c r="AQ395" t="s" s="35">
        <v>1752</v>
      </c>
      <c r="AR395" t="s" s="35">
        <v>1765</v>
      </c>
      <c r="AS395" t="s" s="35">
        <v>1771</v>
      </c>
      <c r="AT395" t="s" s="35">
        <v>254</v>
      </c>
      <c r="AU395" t="s" s="35">
        <v>3672</v>
      </c>
      <c r="AV395" t="s" s="35">
        <v>139</v>
      </c>
      <c r="AW395" t="str" s="39" cm="1">
        <f t="array" ref="AW395">AF395&amp;"; "&amp;AG395&amp;"; "&amp;AH395&amp;"; "&amp;AI395&amp;"; "&amp;AJ395</f>
        <v>E1; D1; E2; D4; E1</v>
      </c>
    </row>
    <row r="396" ht="13.65" customHeight="1">
      <c r="A396" t="s" s="35">
        <v>3673</v>
      </c>
      <c r="B396" s="36">
        <v>7</v>
      </c>
      <c r="C396" t="s" s="35">
        <v>1823</v>
      </c>
      <c r="D396" t="s" s="35">
        <v>3454</v>
      </c>
      <c r="E396" t="s" s="35">
        <v>3661</v>
      </c>
      <c r="F396" s="36">
        <v>5</v>
      </c>
      <c r="G396" t="s" s="35">
        <v>3662</v>
      </c>
      <c r="H396" t="s" s="35">
        <v>3674</v>
      </c>
      <c r="I396" t="s" s="120">
        <v>3675</v>
      </c>
      <c r="J396" t="s" s="35">
        <v>1164</v>
      </c>
      <c r="K396" t="s" s="35">
        <v>475</v>
      </c>
      <c r="L396" s="39"/>
      <c r="M396" t="str" s="39">
        <v>Biología</v>
      </c>
      <c r="N396" t="str" s="39">
        <v>Ecosistemas</v>
      </c>
      <c r="O396" t="str" s="39" cm="1">
        <f t="array" ref="O396">IF(L396="","",_xlfn.IFERROR(INDEX('Datos - Catálogo TIMSS'!$C$5:$C$107,MATCH(L396,'Datos - Catálogo TIMSS'!$A$5:$A$107,0)),"?"))</f>
      </c>
      <c r="P396" t="s" s="35">
        <v>282</v>
      </c>
      <c r="Q396" t="s" s="120">
        <v>3676</v>
      </c>
      <c r="R396" t="s" s="120">
        <v>2561</v>
      </c>
      <c r="S396" s="121" cm="1">
        <f t="array" ref="S396">_xlfn.IFERROR(ISNUMBER(SEARCH("Conocer",$R396))/(ISNUMBER(SEARCH("Conocer",$R396))+ISNUMBER(SEARCH("Aplicar",$R396))+ISNUMBER(SEARCH("Razonar",$R396))),0)</f>
        <v>1</v>
      </c>
      <c r="T396" s="121" cm="1">
        <f t="array" ref="T396">_xlfn.IFERROR(ISNUMBER(SEARCH("Aplicar",$R396))/(ISNUMBER(SEARCH("Conocer",$R396))+ISNUMBER(SEARCH("Aplicar",$R396))+ISNUMBER(SEARCH("Razonar",$R396))),0)</f>
        <v>0</v>
      </c>
      <c r="U396" s="121" cm="1">
        <f t="array" ref="U396">_xlfn.IFERROR(ISNUMBER(SEARCH("Razonar",$R396))/(ISNUMBER(SEARCH("Conocer",$R396))+ISNUMBER(SEARCH("Aplicar",$R396))+ISNUMBER(SEARCH("Razonar",$R396))),0)</f>
        <v>0</v>
      </c>
      <c r="V396" t="s" s="35">
        <v>85</v>
      </c>
      <c r="W396" t="s" s="35">
        <v>115</v>
      </c>
      <c r="X396" s="36" cm="1">
        <f t="array" ref="X396">IF(OR(_xlfn.IFERROR(INDEX('Datos - Catálogo TIMSS'!$I$5:$I$107,MATCH(K396,'Datos - Catálogo TIMSS'!$A$5:$A$107,0)),"No")="Sí",_xlfn.IFERROR(INDEX('Datos - Catálogo TIMSS'!$I$5:$I$107,MATCH(L396,'Datos - Catálogo TIMSS'!$A$5:$A$107,0)),"No")="Sí"),1,0)</f>
        <v>1</v>
      </c>
      <c r="Y396" s="36" cm="1">
        <f t="array" ref="Y396">IF(_xlfn.IFERROR(INDEX('Datos - Catálogo TIMSS'!$J$5:$J$107,MATCH(K396,'Datos - Catálogo TIMSS'!$A$5:$A$107,0)),"No")="Sí",1,0)</f>
        <v>0</v>
      </c>
      <c r="Z396" s="36" cm="1">
        <f t="array" ref="Z396">IF(_xlfn.IFERROR(INDEX('Datos - Catálogo TIMSS'!$J$5:$J$107,MATCH(L396,'Datos - Catálogo TIMSS'!$A$5:$A$107,0)),"No")="Sí",1,0)</f>
        <v>0</v>
      </c>
      <c r="AA396" t="s" s="35">
        <v>3327</v>
      </c>
      <c r="AB396" s="39"/>
      <c r="AC396" t="str" s="39">
        <v>Biología</v>
      </c>
      <c r="AD396" t="s" s="35">
        <v>1859</v>
      </c>
      <c r="AE396" t="str" s="39" cm="1">
        <f t="array" ref="AE396">IF(AD396="","",IF(LEFT(AD396,1)="1","C1",IF(LEFT(AD396,1)="2","C2",IF(LEFT(AD396,1)="3","C3",""))))</f>
        <v>C1</v>
      </c>
      <c r="AF396" t="s" s="35">
        <v>1602</v>
      </c>
      <c r="AG396" t="s" s="35">
        <v>1617</v>
      </c>
      <c r="AH396" t="s" s="35">
        <v>1602</v>
      </c>
      <c r="AI396" t="s" s="35">
        <v>1623</v>
      </c>
      <c r="AJ396" t="s" s="35">
        <v>1602</v>
      </c>
      <c r="AK396" t="s" s="35">
        <v>1544</v>
      </c>
      <c r="AL396" t="s" s="35">
        <v>1542</v>
      </c>
      <c r="AM396" t="str" s="39" cm="1">
        <f t="array" ref="AM396">IF(AK396="FUERA","Fuera del marco",_xlfn.IFERROR(INDEX('Datos - Catálogo PISA'!$C$5:$C$76,MATCH(AK396,'Datos - Catálogo PISA'!$A$5:$A$76,0)),"?"))</f>
        <v>Sistemas vivos</v>
      </c>
      <c r="AN396" t="s" s="35">
        <v>1651</v>
      </c>
      <c r="AO396" s="39"/>
      <c r="AP396" s="39"/>
      <c r="AQ396" t="s" s="35">
        <v>1756</v>
      </c>
      <c r="AR396" s="39"/>
      <c r="AS396" t="s" s="35">
        <v>1771</v>
      </c>
      <c r="AT396" t="s" s="35">
        <v>282</v>
      </c>
      <c r="AU396" t="s" s="35">
        <v>3677</v>
      </c>
      <c r="AV396" t="s" s="35">
        <v>139</v>
      </c>
      <c r="AW396" t="str" s="39" cm="1">
        <f t="array" ref="AW396">AF396&amp;"; "&amp;AG396&amp;"; "&amp;AH396&amp;"; "&amp;AI396&amp;"; "&amp;AJ396</f>
        <v>E1; D1; E1; D4; E1</v>
      </c>
    </row>
    <row r="397" ht="13.65" customHeight="1">
      <c r="A397" t="s" s="35">
        <v>3678</v>
      </c>
      <c r="B397" s="36">
        <v>7</v>
      </c>
      <c r="C397" t="s" s="35">
        <v>1823</v>
      </c>
      <c r="D397" t="s" s="35">
        <v>3454</v>
      </c>
      <c r="E397" t="s" s="35">
        <v>3661</v>
      </c>
      <c r="F397" s="36">
        <v>6</v>
      </c>
      <c r="G397" t="s" s="35">
        <v>3662</v>
      </c>
      <c r="H397" t="s" s="35">
        <v>3674</v>
      </c>
      <c r="I397" t="s" s="120">
        <v>3679</v>
      </c>
      <c r="J397" t="s" s="35">
        <v>1164</v>
      </c>
      <c r="K397" t="s" s="35">
        <v>475</v>
      </c>
      <c r="L397" t="s" s="35">
        <v>1207</v>
      </c>
      <c r="M397" t="str" s="39">
        <v>Biología</v>
      </c>
      <c r="N397" t="str" s="39">
        <v>Ecosistemas</v>
      </c>
      <c r="O397" t="str" s="39" cm="1">
        <f t="array" ref="O397">IF(L397="","",_xlfn.IFERROR(INDEX('Datos - Catálogo TIMSS'!$C$5:$C$107,MATCH(L397,'Datos - Catálogo TIMSS'!$A$5:$A$107,0)),"?"))</f>
        <v>Biología</v>
      </c>
      <c r="P397" t="s" s="35">
        <v>254</v>
      </c>
      <c r="Q397" t="s" s="120">
        <v>3680</v>
      </c>
      <c r="R397" t="s" s="120">
        <v>3212</v>
      </c>
      <c r="S397" s="121" cm="1">
        <f t="array" ref="S397">_xlfn.IFERROR(ISNUMBER(SEARCH("Conocer",$R397))/(ISNUMBER(SEARCH("Conocer",$R397))+ISNUMBER(SEARCH("Aplicar",$R397))+ISNUMBER(SEARCH("Razonar",$R397))),0)</f>
        <v>0</v>
      </c>
      <c r="T397" s="121" cm="1">
        <f t="array" ref="T397">_xlfn.IFERROR(ISNUMBER(SEARCH("Aplicar",$R397))/(ISNUMBER(SEARCH("Conocer",$R397))+ISNUMBER(SEARCH("Aplicar",$R397))+ISNUMBER(SEARCH("Razonar",$R397))),0)</f>
        <v>0.5</v>
      </c>
      <c r="U397" s="121" cm="1">
        <f t="array" ref="U397">_xlfn.IFERROR(ISNUMBER(SEARCH("Razonar",$R397))/(ISNUMBER(SEARCH("Conocer",$R397))+ISNUMBER(SEARCH("Aplicar",$R397))+ISNUMBER(SEARCH("Razonar",$R397))),0)</f>
        <v>0.5</v>
      </c>
      <c r="V397" t="s" s="35">
        <v>85</v>
      </c>
      <c r="W397" t="s" s="35">
        <v>115</v>
      </c>
      <c r="X397" s="36" cm="1">
        <f t="array" ref="X397">IF(OR(_xlfn.IFERROR(INDEX('Datos - Catálogo TIMSS'!$I$5:$I$107,MATCH(K397,'Datos - Catálogo TIMSS'!$A$5:$A$107,0)),"No")="Sí",_xlfn.IFERROR(INDEX('Datos - Catálogo TIMSS'!$I$5:$I$107,MATCH(L397,'Datos - Catálogo TIMSS'!$A$5:$A$107,0)),"No")="Sí"),1,0)</f>
        <v>1</v>
      </c>
      <c r="Y397" s="36" cm="1">
        <f t="array" ref="Y397">IF(_xlfn.IFERROR(INDEX('Datos - Catálogo TIMSS'!$J$5:$J$107,MATCH(K397,'Datos - Catálogo TIMSS'!$A$5:$A$107,0)),"No")="Sí",1,0)</f>
        <v>0</v>
      </c>
      <c r="Z397" s="36" cm="1">
        <f t="array" ref="Z397">IF(_xlfn.IFERROR(INDEX('Datos - Catálogo TIMSS'!$J$5:$J$107,MATCH(L397,'Datos - Catálogo TIMSS'!$A$5:$A$107,0)),"No")="Sí",1,0)</f>
        <v>1</v>
      </c>
      <c r="AA397" t="s" s="35">
        <v>3327</v>
      </c>
      <c r="AB397" s="39"/>
      <c r="AC397" t="str" s="39">
        <v>Biología</v>
      </c>
      <c r="AD397" t="s" s="35">
        <v>1834</v>
      </c>
      <c r="AE397" t="str" s="39" cm="1">
        <f t="array" ref="AE397">IF(AD397="","",IF(LEFT(AD397,1)="1","C1",IF(LEFT(AD397,1)="2","C2",IF(LEFT(AD397,1)="3","C3",""))))</f>
        <v>C2</v>
      </c>
      <c r="AF397" t="s" s="35">
        <v>1602</v>
      </c>
      <c r="AG397" t="s" s="35">
        <v>1607</v>
      </c>
      <c r="AH397" t="s" s="35">
        <v>1602</v>
      </c>
      <c r="AI397" t="s" s="35">
        <v>1623</v>
      </c>
      <c r="AJ397" t="s" s="35">
        <v>1607</v>
      </c>
      <c r="AK397" t="s" s="35">
        <v>1544</v>
      </c>
      <c r="AL397" t="s" s="35">
        <v>1537</v>
      </c>
      <c r="AM397" t="str" s="39" cm="1">
        <f t="array" ref="AM397">IF(AK397="FUERA","Fuera del marco",_xlfn.IFERROR(INDEX('Datos - Catálogo PISA'!$C$5:$C$76,MATCH(AK397,'Datos - Catálogo PISA'!$A$5:$A$76,0)),"?"))</f>
        <v>Sistemas vivos</v>
      </c>
      <c r="AN397" t="s" s="35">
        <v>1651</v>
      </c>
      <c r="AO397" t="s" s="35">
        <v>3575</v>
      </c>
      <c r="AP397" s="39"/>
      <c r="AQ397" t="s" s="35">
        <v>1756</v>
      </c>
      <c r="AR397" s="39"/>
      <c r="AS397" t="s" s="35">
        <v>1771</v>
      </c>
      <c r="AT397" t="s" s="35">
        <v>254</v>
      </c>
      <c r="AU397" t="s" s="35">
        <v>3681</v>
      </c>
      <c r="AV397" t="s" s="35">
        <v>139</v>
      </c>
      <c r="AW397" t="str" s="39" cm="1">
        <f t="array" ref="AW397">AF397&amp;"; "&amp;AG397&amp;"; "&amp;AH397&amp;"; "&amp;AI397&amp;"; "&amp;AJ397</f>
        <v>E1; E3; E1; D4; E3</v>
      </c>
    </row>
    <row r="398" ht="13.65" customHeight="1">
      <c r="A398" t="s" s="35">
        <v>3682</v>
      </c>
      <c r="B398" s="36">
        <v>7</v>
      </c>
      <c r="C398" t="s" s="35">
        <v>1823</v>
      </c>
      <c r="D398" t="s" s="35">
        <v>3454</v>
      </c>
      <c r="E398" t="s" s="35">
        <v>3661</v>
      </c>
      <c r="F398" s="36">
        <v>7</v>
      </c>
      <c r="G398" t="s" s="35">
        <v>3662</v>
      </c>
      <c r="H398" t="s" s="35">
        <v>3683</v>
      </c>
      <c r="I398" t="s" s="120">
        <v>3684</v>
      </c>
      <c r="J398" t="s" s="35">
        <v>1164</v>
      </c>
      <c r="K398" t="s" s="35">
        <v>634</v>
      </c>
      <c r="L398" s="39"/>
      <c r="M398" t="str" s="39">
        <v>Biología</v>
      </c>
      <c r="N398" t="str" s="39">
        <v>Ecosistemas</v>
      </c>
      <c r="O398" t="str" s="39" cm="1">
        <f t="array" ref="O398">IF(L398="","",_xlfn.IFERROR(INDEX('Datos - Catálogo TIMSS'!$C$5:$C$107,MATCH(L398,'Datos - Catálogo TIMSS'!$A$5:$A$107,0)),"?"))</f>
      </c>
      <c r="P398" t="s" s="35">
        <v>282</v>
      </c>
      <c r="Q398" t="s" s="120">
        <v>3685</v>
      </c>
      <c r="R398" t="s" s="120">
        <v>3423</v>
      </c>
      <c r="S398" s="121" cm="1">
        <f t="array" ref="S398">_xlfn.IFERROR(ISNUMBER(SEARCH("Conocer",$R398))/(ISNUMBER(SEARCH("Conocer",$R398))+ISNUMBER(SEARCH("Aplicar",$R398))+ISNUMBER(SEARCH("Razonar",$R398))),0)</f>
        <v>1</v>
      </c>
      <c r="T398" s="121" cm="1">
        <f t="array" ref="T398">_xlfn.IFERROR(ISNUMBER(SEARCH("Aplicar",$R398))/(ISNUMBER(SEARCH("Conocer",$R398))+ISNUMBER(SEARCH("Aplicar",$R398))+ISNUMBER(SEARCH("Razonar",$R398))),0)</f>
        <v>0</v>
      </c>
      <c r="U398" s="121" cm="1">
        <f t="array" ref="U398">_xlfn.IFERROR(ISNUMBER(SEARCH("Razonar",$R398))/(ISNUMBER(SEARCH("Conocer",$R398))+ISNUMBER(SEARCH("Aplicar",$R398))+ISNUMBER(SEARCH("Razonar",$R398))),0)</f>
        <v>0</v>
      </c>
      <c r="V398" t="s" s="35">
        <v>85</v>
      </c>
      <c r="W398" t="s" s="35">
        <v>115</v>
      </c>
      <c r="X398" s="36" cm="1">
        <f t="array" ref="X398">IF(OR(_xlfn.IFERROR(INDEX('Datos - Catálogo TIMSS'!$I$5:$I$107,MATCH(K398,'Datos - Catálogo TIMSS'!$A$5:$A$107,0)),"No")="Sí",_xlfn.IFERROR(INDEX('Datos - Catálogo TIMSS'!$I$5:$I$107,MATCH(L398,'Datos - Catálogo TIMSS'!$A$5:$A$107,0)),"No")="Sí"),1,0)</f>
        <v>1</v>
      </c>
      <c r="Y398" s="36" cm="1">
        <f t="array" ref="Y398">IF(_xlfn.IFERROR(INDEX('Datos - Catálogo TIMSS'!$J$5:$J$107,MATCH(K398,'Datos - Catálogo TIMSS'!$A$5:$A$107,0)),"No")="Sí",1,0)</f>
        <v>0</v>
      </c>
      <c r="Z398" s="36" cm="1">
        <f t="array" ref="Z398">IF(_xlfn.IFERROR(INDEX('Datos - Catálogo TIMSS'!$J$5:$J$107,MATCH(L398,'Datos - Catálogo TIMSS'!$A$5:$A$107,0)),"No")="Sí",1,0)</f>
        <v>0</v>
      </c>
      <c r="AA398" t="s" s="35">
        <v>3666</v>
      </c>
      <c r="AB398" t="s" s="35">
        <v>3686</v>
      </c>
      <c r="AC398" t="str" s="39">
        <v>Biología</v>
      </c>
      <c r="AD398" t="s" s="35">
        <v>1859</v>
      </c>
      <c r="AE398" t="str" s="39" cm="1">
        <f t="array" ref="AE398">IF(AD398="","",IF(LEFT(AD398,1)="1","C1",IF(LEFT(AD398,1)="2","C2",IF(LEFT(AD398,1)="3","C3",""))))</f>
        <v>C1</v>
      </c>
      <c r="AF398" t="s" s="35">
        <v>1602</v>
      </c>
      <c r="AG398" t="s" s="35">
        <v>1617</v>
      </c>
      <c r="AH398" t="s" s="35">
        <v>1602</v>
      </c>
      <c r="AI398" t="s" s="35">
        <v>1623</v>
      </c>
      <c r="AJ398" t="s" s="35">
        <v>1602</v>
      </c>
      <c r="AK398" t="s" s="35">
        <v>1544</v>
      </c>
      <c r="AL398" s="39"/>
      <c r="AM398" t="str" s="39" cm="1">
        <f t="array" ref="AM398">IF(AK398="FUERA","Fuera del marco",_xlfn.IFERROR(INDEX('Datos - Catálogo PISA'!$C$5:$C$76,MATCH(AK398,'Datos - Catálogo PISA'!$A$5:$A$76,0)),"?"))</f>
        <v>Sistemas vivos</v>
      </c>
      <c r="AN398" t="s" s="35">
        <v>1651</v>
      </c>
      <c r="AO398" s="39"/>
      <c r="AP398" s="39"/>
      <c r="AQ398" t="s" s="35">
        <v>1752</v>
      </c>
      <c r="AR398" t="s" s="35">
        <v>1765</v>
      </c>
      <c r="AS398" t="s" s="35">
        <v>1770</v>
      </c>
      <c r="AT398" t="s" s="35">
        <v>254</v>
      </c>
      <c r="AU398" t="s" s="35">
        <v>3687</v>
      </c>
      <c r="AV398" t="s" s="35">
        <v>139</v>
      </c>
      <c r="AW398" t="str" s="39" cm="1">
        <f t="array" ref="AW398">AF398&amp;"; "&amp;AG398&amp;"; "&amp;AH398&amp;"; "&amp;AI398&amp;"; "&amp;AJ398</f>
        <v>E1; D1; E1; D4; E1</v>
      </c>
    </row>
    <row r="399" ht="13.65" customHeight="1">
      <c r="A399" t="s" s="35">
        <v>3688</v>
      </c>
      <c r="B399" s="36">
        <v>7</v>
      </c>
      <c r="C399" t="s" s="35">
        <v>1823</v>
      </c>
      <c r="D399" t="s" s="35">
        <v>3454</v>
      </c>
      <c r="E399" t="s" s="35">
        <v>3661</v>
      </c>
      <c r="F399" s="36">
        <v>8</v>
      </c>
      <c r="G399" t="s" s="35">
        <v>3662</v>
      </c>
      <c r="H399" t="s" s="35">
        <v>3683</v>
      </c>
      <c r="I399" t="s" s="120">
        <v>3689</v>
      </c>
      <c r="J399" t="s" s="35">
        <v>1164</v>
      </c>
      <c r="K399" t="s" s="35">
        <v>1207</v>
      </c>
      <c r="L399" t="s" s="35">
        <v>1189</v>
      </c>
      <c r="M399" t="str" s="39">
        <v>Biología</v>
      </c>
      <c r="N399" t="str" s="39">
        <v>Investigaciones biológicas</v>
      </c>
      <c r="O399" t="str" s="39" cm="1">
        <f t="array" ref="O399">IF(L399="","",_xlfn.IFERROR(INDEX('Datos - Catálogo TIMSS'!$C$5:$C$107,MATCH(L399,'Datos - Catálogo TIMSS'!$A$5:$A$107,0)),"?"))</f>
        <v>Biología</v>
      </c>
      <c r="P399" t="s" s="35">
        <v>282</v>
      </c>
      <c r="Q399" t="s" s="120">
        <v>3690</v>
      </c>
      <c r="R399" t="s" s="120">
        <v>3691</v>
      </c>
      <c r="S399" s="121" cm="1">
        <f t="array" ref="S399">_xlfn.IFERROR(ISNUMBER(SEARCH("Conocer",$R399))/(ISNUMBER(SEARCH("Conocer",$R399))+ISNUMBER(SEARCH("Aplicar",$R399))+ISNUMBER(SEARCH("Razonar",$R399))),0)</f>
        <v>0</v>
      </c>
      <c r="T399" s="121" cm="1">
        <f t="array" ref="T399">_xlfn.IFERROR(ISNUMBER(SEARCH("Aplicar",$R399))/(ISNUMBER(SEARCH("Conocer",$R399))+ISNUMBER(SEARCH("Aplicar",$R399))+ISNUMBER(SEARCH("Razonar",$R399))),0)</f>
        <v>0.5</v>
      </c>
      <c r="U399" s="121" cm="1">
        <f t="array" ref="U399">_xlfn.IFERROR(ISNUMBER(SEARCH("Razonar",$R399))/(ISNUMBER(SEARCH("Conocer",$R399))+ISNUMBER(SEARCH("Aplicar",$R399))+ISNUMBER(SEARCH("Razonar",$R399))),0)</f>
        <v>0.5</v>
      </c>
      <c r="V399" t="s" s="35">
        <v>85</v>
      </c>
      <c r="W399" t="s" s="35">
        <v>115</v>
      </c>
      <c r="X399" s="36" cm="1">
        <f t="array" ref="X399">IF(OR(_xlfn.IFERROR(INDEX('Datos - Catálogo TIMSS'!$I$5:$I$107,MATCH(K399,'Datos - Catálogo TIMSS'!$A$5:$A$107,0)),"No")="Sí",_xlfn.IFERROR(INDEX('Datos - Catálogo TIMSS'!$I$5:$I$107,MATCH(L399,'Datos - Catálogo TIMSS'!$A$5:$A$107,0)),"No")="Sí"),1,0)</f>
        <v>1</v>
      </c>
      <c r="Y399" s="36" cm="1">
        <f t="array" ref="Y399">IF(_xlfn.IFERROR(INDEX('Datos - Catálogo TIMSS'!$J$5:$J$107,MATCH(K399,'Datos - Catálogo TIMSS'!$A$5:$A$107,0)),"No")="Sí",1,0)</f>
        <v>1</v>
      </c>
      <c r="Z399" s="36" cm="1">
        <f t="array" ref="Z399">IF(_xlfn.IFERROR(INDEX('Datos - Catálogo TIMSS'!$J$5:$J$107,MATCH(L399,'Datos - Catálogo TIMSS'!$A$5:$A$107,0)),"No")="Sí",1,0)</f>
        <v>0</v>
      </c>
      <c r="AA399" t="s" s="35">
        <v>3327</v>
      </c>
      <c r="AB399" s="39"/>
      <c r="AC399" t="str" s="39">
        <v>Biología</v>
      </c>
      <c r="AD399" t="s" s="35">
        <v>1834</v>
      </c>
      <c r="AE399" t="str" s="39" cm="1">
        <f t="array" ref="AE399">IF(AD399="","",IF(LEFT(AD399,1)="1","C1",IF(LEFT(AD399,1)="2","C2",IF(LEFT(AD399,1)="3","C3",""))))</f>
        <v>C2</v>
      </c>
      <c r="AF399" t="s" s="35">
        <v>1602</v>
      </c>
      <c r="AG399" t="s" s="35">
        <v>1617</v>
      </c>
      <c r="AH399" t="s" s="35">
        <v>1602</v>
      </c>
      <c r="AI399" t="s" s="35">
        <v>1619</v>
      </c>
      <c r="AJ399" t="s" s="35">
        <v>1621</v>
      </c>
      <c r="AK399" t="s" s="35">
        <v>1544</v>
      </c>
      <c r="AL399" s="39"/>
      <c r="AM399" t="str" s="39" cm="1">
        <f t="array" ref="AM399">IF(AK399="FUERA","Fuera del marco",_xlfn.IFERROR(INDEX('Datos - Catálogo PISA'!$C$5:$C$76,MATCH(AK399,'Datos - Catálogo PISA'!$A$5:$A$76,0)),"?"))</f>
        <v>Sistemas vivos</v>
      </c>
      <c r="AN399" t="s" s="35">
        <v>1652</v>
      </c>
      <c r="AO399" t="s" s="35">
        <v>3692</v>
      </c>
      <c r="AP399" s="39"/>
      <c r="AQ399" t="s" s="35">
        <v>1752</v>
      </c>
      <c r="AR399" t="s" s="35">
        <v>1765</v>
      </c>
      <c r="AS399" t="s" s="35">
        <v>1771</v>
      </c>
      <c r="AT399" t="s" s="35">
        <v>282</v>
      </c>
      <c r="AU399" t="s" s="35">
        <v>3693</v>
      </c>
      <c r="AV399" t="s" s="35">
        <v>139</v>
      </c>
      <c r="AW399" t="str" s="39" cm="1">
        <f t="array" ref="AW399">AF399&amp;"; "&amp;AG399&amp;"; "&amp;AH399&amp;"; "&amp;AI399&amp;"; "&amp;AJ399</f>
        <v>E1; D1; E1; D2; D3</v>
      </c>
    </row>
    <row r="400" ht="13.65" customHeight="1">
      <c r="A400" t="s" s="35">
        <v>3694</v>
      </c>
      <c r="B400" s="36">
        <v>7</v>
      </c>
      <c r="C400" t="s" s="35">
        <v>1823</v>
      </c>
      <c r="D400" t="s" s="35">
        <v>3454</v>
      </c>
      <c r="E400" t="s" s="35">
        <v>3661</v>
      </c>
      <c r="F400" s="36">
        <v>9</v>
      </c>
      <c r="G400" t="s" s="35">
        <v>3662</v>
      </c>
      <c r="H400" t="s" s="35">
        <v>3683</v>
      </c>
      <c r="I400" t="s" s="120">
        <v>3695</v>
      </c>
      <c r="J400" t="s" s="35">
        <v>1164</v>
      </c>
      <c r="K400" t="s" s="35">
        <v>1189</v>
      </c>
      <c r="L400" s="39"/>
      <c r="M400" t="str" s="39">
        <v>Biología</v>
      </c>
      <c r="N400" t="str" s="39">
        <v>Ecosistemas</v>
      </c>
      <c r="O400" t="str" s="39" cm="1">
        <f t="array" ref="O400">IF(L400="","",_xlfn.IFERROR(INDEX('Datos - Catálogo TIMSS'!$C$5:$C$107,MATCH(L400,'Datos - Catálogo TIMSS'!$A$5:$A$107,0)),"?"))</f>
      </c>
      <c r="P400" t="s" s="35">
        <v>282</v>
      </c>
      <c r="Q400" t="s" s="120">
        <v>3696</v>
      </c>
      <c r="R400" t="s" s="120">
        <v>3293</v>
      </c>
      <c r="S400" s="121" cm="1">
        <f t="array" ref="S400">_xlfn.IFERROR(ISNUMBER(SEARCH("Conocer",$R400))/(ISNUMBER(SEARCH("Conocer",$R400))+ISNUMBER(SEARCH("Aplicar",$R400))+ISNUMBER(SEARCH("Razonar",$R400))),0)</f>
        <v>0</v>
      </c>
      <c r="T400" s="121" cm="1">
        <f t="array" ref="T400">_xlfn.IFERROR(ISNUMBER(SEARCH("Aplicar",$R400))/(ISNUMBER(SEARCH("Conocer",$R400))+ISNUMBER(SEARCH("Aplicar",$R400))+ISNUMBER(SEARCH("Razonar",$R400))),0)</f>
        <v>0</v>
      </c>
      <c r="U400" s="121" cm="1">
        <f t="array" ref="U400">_xlfn.IFERROR(ISNUMBER(SEARCH("Razonar",$R400))/(ISNUMBER(SEARCH("Conocer",$R400))+ISNUMBER(SEARCH("Aplicar",$R400))+ISNUMBER(SEARCH("Razonar",$R400))),0)</f>
        <v>1</v>
      </c>
      <c r="V400" t="s" s="35">
        <v>85</v>
      </c>
      <c r="W400" t="s" s="35">
        <v>115</v>
      </c>
      <c r="X400" s="36" cm="1">
        <f t="array" ref="X400">IF(OR(_xlfn.IFERROR(INDEX('Datos - Catálogo TIMSS'!$I$5:$I$107,MATCH(K400,'Datos - Catálogo TIMSS'!$A$5:$A$107,0)),"No")="Sí",_xlfn.IFERROR(INDEX('Datos - Catálogo TIMSS'!$I$5:$I$107,MATCH(L400,'Datos - Catálogo TIMSS'!$A$5:$A$107,0)),"No")="Sí"),1,0)</f>
        <v>1</v>
      </c>
      <c r="Y400" s="36" cm="1">
        <f t="array" ref="Y400">IF(_xlfn.IFERROR(INDEX('Datos - Catálogo TIMSS'!$J$5:$J$107,MATCH(K400,'Datos - Catálogo TIMSS'!$A$5:$A$107,0)),"No")="Sí",1,0)</f>
        <v>0</v>
      </c>
      <c r="Z400" s="36" cm="1">
        <f t="array" ref="Z400">IF(_xlfn.IFERROR(INDEX('Datos - Catálogo TIMSS'!$J$5:$J$107,MATCH(L400,'Datos - Catálogo TIMSS'!$A$5:$A$107,0)),"No")="Sí",1,0)</f>
        <v>0</v>
      </c>
      <c r="AA400" t="s" s="35">
        <v>3327</v>
      </c>
      <c r="AB400" s="39"/>
      <c r="AC400" t="str" s="39">
        <v>Biología</v>
      </c>
      <c r="AD400" t="s" s="35">
        <v>1834</v>
      </c>
      <c r="AE400" t="str" s="39" cm="1">
        <f t="array" ref="AE400">IF(AD400="","",IF(LEFT(AD400,1)="1","C1",IF(LEFT(AD400,1)="2","C2",IF(LEFT(AD400,1)="3","C3",""))))</f>
        <v>C2</v>
      </c>
      <c r="AF400" t="s" s="35">
        <v>1602</v>
      </c>
      <c r="AG400" t="s" s="35">
        <v>1617</v>
      </c>
      <c r="AH400" t="s" s="35">
        <v>1602</v>
      </c>
      <c r="AI400" t="s" s="35">
        <v>1623</v>
      </c>
      <c r="AJ400" t="s" s="35">
        <v>1629</v>
      </c>
      <c r="AK400" t="s" s="35">
        <v>1544</v>
      </c>
      <c r="AL400" t="s" s="35">
        <v>1542</v>
      </c>
      <c r="AM400" t="str" s="39" cm="1">
        <f t="array" ref="AM400">IF(AK400="FUERA","Fuera del marco",_xlfn.IFERROR(INDEX('Datos - Catálogo PISA'!$C$5:$C$76,MATCH(AK400,'Datos - Catálogo PISA'!$A$5:$A$76,0)),"?"))</f>
        <v>Sistemas vivos</v>
      </c>
      <c r="AN400" t="s" s="35">
        <v>1651</v>
      </c>
      <c r="AO400" t="s" s="35">
        <v>3575</v>
      </c>
      <c r="AP400" s="39"/>
      <c r="AQ400" t="s" s="35">
        <v>1752</v>
      </c>
      <c r="AR400" t="s" s="35">
        <v>1765</v>
      </c>
      <c r="AS400" t="s" s="35">
        <v>1771</v>
      </c>
      <c r="AT400" t="s" s="35">
        <v>254</v>
      </c>
      <c r="AU400" t="s" s="35">
        <v>3697</v>
      </c>
      <c r="AV400" t="s" s="35">
        <v>139</v>
      </c>
      <c r="AW400" t="str" s="39" cm="1">
        <f t="array" ref="AW400">AF400&amp;"; "&amp;AG400&amp;"; "&amp;AH400&amp;"; "&amp;AI400&amp;"; "&amp;AJ400</f>
        <v>E1; D1; E1; D4; I3</v>
      </c>
    </row>
    <row r="401" ht="13.65" customHeight="1">
      <c r="A401" t="s" s="35">
        <v>3699</v>
      </c>
      <c r="B401" s="36">
        <v>7</v>
      </c>
      <c r="C401" t="s" s="35">
        <v>1823</v>
      </c>
      <c r="D401" t="s" s="35">
        <v>3454</v>
      </c>
      <c r="E401" t="s" s="35">
        <v>3661</v>
      </c>
      <c r="F401" s="36">
        <v>10</v>
      </c>
      <c r="G401" t="s" s="35">
        <v>3662</v>
      </c>
      <c r="H401" t="s" s="35">
        <v>1083</v>
      </c>
      <c r="I401" t="s" s="120">
        <v>3700</v>
      </c>
      <c r="J401" t="s" s="35">
        <v>1164</v>
      </c>
      <c r="K401" t="s" s="35">
        <v>459</v>
      </c>
      <c r="L401" t="s" s="35">
        <v>1195</v>
      </c>
      <c r="M401" t="str" s="39">
        <v>Biología</v>
      </c>
      <c r="N401" t="str" s="39">
        <v>Ecosistemas</v>
      </c>
      <c r="O401" t="str" s="39" cm="1">
        <f t="array" ref="O401">IF(L401="","",_xlfn.IFERROR(INDEX('Datos - Catálogo TIMSS'!$C$5:$C$107,MATCH(L401,'Datos - Catálogo TIMSS'!$A$5:$A$107,0)),"?"))</f>
        <v>Biología</v>
      </c>
      <c r="P401" t="s" s="35">
        <v>282</v>
      </c>
      <c r="Q401" t="s" s="120">
        <v>3701</v>
      </c>
      <c r="R401" t="s" s="120">
        <v>2176</v>
      </c>
      <c r="S401" s="121" cm="1">
        <f t="array" ref="S401">_xlfn.IFERROR(ISNUMBER(SEARCH("Conocer",$R401))/(ISNUMBER(SEARCH("Conocer",$R401))+ISNUMBER(SEARCH("Aplicar",$R401))+ISNUMBER(SEARCH("Razonar",$R401))),0)</f>
        <v>1</v>
      </c>
      <c r="T401" s="121" cm="1">
        <f t="array" ref="T401">_xlfn.IFERROR(ISNUMBER(SEARCH("Aplicar",$R401))/(ISNUMBER(SEARCH("Conocer",$R401))+ISNUMBER(SEARCH("Aplicar",$R401))+ISNUMBER(SEARCH("Razonar",$R401))),0)</f>
        <v>0</v>
      </c>
      <c r="U401" s="121" cm="1">
        <f t="array" ref="U401">_xlfn.IFERROR(ISNUMBER(SEARCH("Razonar",$R401))/(ISNUMBER(SEARCH("Conocer",$R401))+ISNUMBER(SEARCH("Aplicar",$R401))+ISNUMBER(SEARCH("Razonar",$R401))),0)</f>
        <v>0</v>
      </c>
      <c r="V401" t="s" s="35">
        <v>85</v>
      </c>
      <c r="W401" t="s" s="35">
        <v>115</v>
      </c>
      <c r="X401" s="36" cm="1">
        <f t="array" ref="X401">IF(OR(_xlfn.IFERROR(INDEX('Datos - Catálogo TIMSS'!$I$5:$I$107,MATCH(K401,'Datos - Catálogo TIMSS'!$A$5:$A$107,0)),"No")="Sí",_xlfn.IFERROR(INDEX('Datos - Catálogo TIMSS'!$I$5:$I$107,MATCH(L401,'Datos - Catálogo TIMSS'!$A$5:$A$107,0)),"No")="Sí"),1,0)</f>
        <v>1</v>
      </c>
      <c r="Y401" s="36" cm="1">
        <f t="array" ref="Y401">IF(_xlfn.IFERROR(INDEX('Datos - Catálogo TIMSS'!$J$5:$J$107,MATCH(K401,'Datos - Catálogo TIMSS'!$A$5:$A$107,0)),"No")="Sí",1,0)</f>
        <v>0</v>
      </c>
      <c r="Z401" s="36" cm="1">
        <f t="array" ref="Z401">IF(_xlfn.IFERROR(INDEX('Datos - Catálogo TIMSS'!$J$5:$J$107,MATCH(L401,'Datos - Catálogo TIMSS'!$A$5:$A$107,0)),"No")="Sí",1,0)</f>
        <v>0</v>
      </c>
      <c r="AA401" t="s" s="35">
        <v>3686</v>
      </c>
      <c r="AB401" t="s" s="35">
        <v>3702</v>
      </c>
      <c r="AC401" t="str" s="39">
        <v>Biología</v>
      </c>
      <c r="AD401" t="s" s="35">
        <v>1859</v>
      </c>
      <c r="AE401" t="str" s="39" cm="1">
        <f t="array" ref="AE401">IF(AD401="","",IF(LEFT(AD401,1)="1","C1",IF(LEFT(AD401,1)="2","C2",IF(LEFT(AD401,1)="3","C3",""))))</f>
        <v>C1</v>
      </c>
      <c r="AF401" t="s" s="35">
        <v>1602</v>
      </c>
      <c r="AG401" t="s" s="35">
        <v>1617</v>
      </c>
      <c r="AH401" t="s" s="35">
        <v>1602</v>
      </c>
      <c r="AI401" t="s" s="35">
        <v>1623</v>
      </c>
      <c r="AJ401" t="s" s="35">
        <v>1615</v>
      </c>
      <c r="AK401" t="s" s="35">
        <v>1544</v>
      </c>
      <c r="AL401" s="39"/>
      <c r="AM401" t="str" s="39" cm="1">
        <f t="array" ref="AM401">IF(AK401="FUERA","Fuera del marco",_xlfn.IFERROR(INDEX('Datos - Catálogo PISA'!$C$5:$C$76,MATCH(AK401,'Datos - Catálogo PISA'!$A$5:$A$76,0)),"?"))</f>
        <v>Sistemas vivos</v>
      </c>
      <c r="AN401" t="s" s="35">
        <v>1651</v>
      </c>
      <c r="AO401" s="39"/>
      <c r="AP401" s="39"/>
      <c r="AQ401" t="s" s="35">
        <v>1756</v>
      </c>
      <c r="AR401" s="39"/>
      <c r="AS401" t="s" s="35">
        <v>1770</v>
      </c>
      <c r="AT401" t="s" s="35">
        <v>254</v>
      </c>
      <c r="AU401" t="s" s="35">
        <v>3703</v>
      </c>
      <c r="AV401" t="s" s="35">
        <v>139</v>
      </c>
      <c r="AW401" t="str" s="39" cm="1">
        <f t="array" ref="AW401">AF401&amp;"; "&amp;AG401&amp;"; "&amp;AH401&amp;"; "&amp;AI401&amp;"; "&amp;AJ401</f>
        <v>E1; D1; E1; D4; E6</v>
      </c>
    </row>
    <row r="402" ht="13.65" customHeight="1">
      <c r="A402" t="s" s="35">
        <v>3704</v>
      </c>
      <c r="B402" s="36">
        <v>7</v>
      </c>
      <c r="C402" t="s" s="35">
        <v>1823</v>
      </c>
      <c r="D402" t="s" s="35">
        <v>3454</v>
      </c>
      <c r="E402" t="s" s="35">
        <v>3661</v>
      </c>
      <c r="F402" s="36">
        <v>11</v>
      </c>
      <c r="G402" t="s" s="35">
        <v>3662</v>
      </c>
      <c r="H402" t="s" s="35">
        <v>1083</v>
      </c>
      <c r="I402" t="s" s="120">
        <v>3705</v>
      </c>
      <c r="J402" t="s" s="35">
        <v>1164</v>
      </c>
      <c r="K402" t="s" s="35">
        <v>1290</v>
      </c>
      <c r="L402" s="39"/>
      <c r="M402" t="str" s="39">
        <v>Ciencias de la Tierra</v>
      </c>
      <c r="N402" t="str" s="39">
        <v>Recursos de la Tierra, uso y conservación</v>
      </c>
      <c r="O402" t="str" s="39" cm="1">
        <f t="array" ref="O402">IF(L402="","",_xlfn.IFERROR(INDEX('Datos - Catálogo TIMSS'!$C$5:$C$107,MATCH(L402,'Datos - Catálogo TIMSS'!$A$5:$A$107,0)),"?"))</f>
      </c>
      <c r="P402" t="s" s="35">
        <v>282</v>
      </c>
      <c r="Q402" t="s" s="120">
        <v>3706</v>
      </c>
      <c r="R402" t="s" s="120">
        <v>3707</v>
      </c>
      <c r="S402" s="121" cm="1">
        <f t="array" ref="S402">_xlfn.IFERROR(ISNUMBER(SEARCH("Conocer",$R402))/(ISNUMBER(SEARCH("Conocer",$R402))+ISNUMBER(SEARCH("Aplicar",$R402))+ISNUMBER(SEARCH("Razonar",$R402))),0)</f>
        <v>0</v>
      </c>
      <c r="T402" s="121" cm="1">
        <f t="array" ref="T402">_xlfn.IFERROR(ISNUMBER(SEARCH("Aplicar",$R402))/(ISNUMBER(SEARCH("Conocer",$R402))+ISNUMBER(SEARCH("Aplicar",$R402))+ISNUMBER(SEARCH("Razonar",$R402))),0)</f>
        <v>0</v>
      </c>
      <c r="U402" s="121" cm="1">
        <f t="array" ref="U402">_xlfn.IFERROR(ISNUMBER(SEARCH("Razonar",$R402))/(ISNUMBER(SEARCH("Conocer",$R402))+ISNUMBER(SEARCH("Aplicar",$R402))+ISNUMBER(SEARCH("Razonar",$R402))),0)</f>
        <v>1</v>
      </c>
      <c r="V402" t="s" s="35">
        <v>85</v>
      </c>
      <c r="W402" t="s" s="35">
        <v>115</v>
      </c>
      <c r="X402" s="36" cm="1">
        <f t="array" ref="X402">IF(OR(_xlfn.IFERROR(INDEX('Datos - Catálogo TIMSS'!$I$5:$I$107,MATCH(K402,'Datos - Catálogo TIMSS'!$A$5:$A$107,0)),"No")="Sí",_xlfn.IFERROR(INDEX('Datos - Catálogo TIMSS'!$I$5:$I$107,MATCH(L402,'Datos - Catálogo TIMSS'!$A$5:$A$107,0)),"No")="Sí"),1,0)</f>
        <v>1</v>
      </c>
      <c r="Y402" s="36" cm="1">
        <f t="array" ref="Y402">IF(_xlfn.IFERROR(INDEX('Datos - Catálogo TIMSS'!$J$5:$J$107,MATCH(K402,'Datos - Catálogo TIMSS'!$A$5:$A$107,0)),"No")="Sí",1,0)</f>
        <v>0</v>
      </c>
      <c r="Z402" s="36" cm="1">
        <f t="array" ref="Z402">IF(_xlfn.IFERROR(INDEX('Datos - Catálogo TIMSS'!$J$5:$J$107,MATCH(L402,'Datos - Catálogo TIMSS'!$A$5:$A$107,0)),"No")="Sí",1,0)</f>
        <v>0</v>
      </c>
      <c r="AA402" t="s" s="35">
        <v>3708</v>
      </c>
      <c r="AB402" s="39"/>
      <c r="AC402" t="str" s="39">
        <v>Ciencias de la Tierra</v>
      </c>
      <c r="AD402" t="s" s="35">
        <v>1900</v>
      </c>
      <c r="AE402" t="str" s="39" cm="1">
        <f t="array" ref="AE402">IF(AD402="","",IF(LEFT(AD402,1)="1","C1",IF(LEFT(AD402,1)="2","C2",IF(LEFT(AD402,1)="3","C3",""))))</f>
        <v>C3</v>
      </c>
      <c r="AF402" t="s" s="35">
        <v>1615</v>
      </c>
      <c r="AG402" t="s" s="35">
        <v>1617</v>
      </c>
      <c r="AH402" t="s" s="35">
        <v>1602</v>
      </c>
      <c r="AI402" t="s" s="35">
        <v>1629</v>
      </c>
      <c r="AJ402" t="s" s="35">
        <v>1633</v>
      </c>
      <c r="AK402" t="s" s="35">
        <v>1548</v>
      </c>
      <c r="AL402" t="s" s="35">
        <v>1544</v>
      </c>
      <c r="AM402" t="str" s="39" cm="1">
        <f t="array" ref="AM402">IF(AK402="FUERA","Fuera del marco",_xlfn.IFERROR(INDEX('Datos - Catálogo PISA'!$C$5:$C$76,MATCH(AK402,'Datos - Catálogo PISA'!$A$5:$A$76,0)),"?"))</f>
        <v>Sistemas vivos</v>
      </c>
      <c r="AN402" t="s" s="35">
        <v>1651</v>
      </c>
      <c r="AO402" s="39"/>
      <c r="AP402" s="39"/>
      <c r="AQ402" t="s" s="35">
        <v>1752</v>
      </c>
      <c r="AR402" t="s" s="35">
        <v>1765</v>
      </c>
      <c r="AS402" t="s" s="35">
        <v>1770</v>
      </c>
      <c r="AT402" t="s" s="35">
        <v>254</v>
      </c>
      <c r="AU402" t="s" s="35">
        <v>3709</v>
      </c>
      <c r="AV402" t="s" s="35">
        <v>139</v>
      </c>
      <c r="AW402" t="str" s="39" cm="1">
        <f t="array" ref="AW402">AF402&amp;"; "&amp;AG402&amp;"; "&amp;AH402&amp;"; "&amp;AI402&amp;"; "&amp;AJ402</f>
        <v>E6; D1; E1; I3; I5</v>
      </c>
    </row>
    <row r="403" ht="13.65" customHeight="1">
      <c r="A403" t="s" s="35">
        <v>3710</v>
      </c>
      <c r="B403" s="36">
        <v>7</v>
      </c>
      <c r="C403" t="s" s="35">
        <v>1823</v>
      </c>
      <c r="D403" t="s" s="35">
        <v>3454</v>
      </c>
      <c r="E403" t="s" s="35">
        <v>3661</v>
      </c>
      <c r="F403" s="36">
        <v>12</v>
      </c>
      <c r="G403" t="s" s="35">
        <v>3662</v>
      </c>
      <c r="H403" t="s" s="35">
        <v>1083</v>
      </c>
      <c r="I403" t="s" s="120">
        <v>3711</v>
      </c>
      <c r="J403" t="s" s="35">
        <v>1164</v>
      </c>
      <c r="K403" t="s" s="35">
        <v>475</v>
      </c>
      <c r="L403" s="39"/>
      <c r="M403" t="str" s="39">
        <v>Biología</v>
      </c>
      <c r="N403" t="str" s="39">
        <v>Ecosistemas</v>
      </c>
      <c r="O403" t="str" s="39" cm="1">
        <f t="array" ref="O403">IF(L403="","",_xlfn.IFERROR(INDEX('Datos - Catálogo TIMSS'!$C$5:$C$107,MATCH(L403,'Datos - Catálogo TIMSS'!$A$5:$A$107,0)),"?"))</f>
      </c>
      <c r="P403" t="s" s="35">
        <v>282</v>
      </c>
      <c r="Q403" t="s" s="120">
        <v>3712</v>
      </c>
      <c r="R403" t="s" s="120">
        <v>3713</v>
      </c>
      <c r="S403" s="121" cm="1">
        <f t="array" ref="S403">_xlfn.IFERROR(ISNUMBER(SEARCH("Conocer",$R403))/(ISNUMBER(SEARCH("Conocer",$R403))+ISNUMBER(SEARCH("Aplicar",$R403))+ISNUMBER(SEARCH("Razonar",$R403))),0)</f>
        <v>0</v>
      </c>
      <c r="T403" s="121" cm="1">
        <f t="array" ref="T403">_xlfn.IFERROR(ISNUMBER(SEARCH("Aplicar",$R403))/(ISNUMBER(SEARCH("Conocer",$R403))+ISNUMBER(SEARCH("Aplicar",$R403))+ISNUMBER(SEARCH("Razonar",$R403))),0)</f>
        <v>1</v>
      </c>
      <c r="U403" s="121" cm="1">
        <f t="array" ref="U403">_xlfn.IFERROR(ISNUMBER(SEARCH("Razonar",$R403))/(ISNUMBER(SEARCH("Conocer",$R403))+ISNUMBER(SEARCH("Aplicar",$R403))+ISNUMBER(SEARCH("Razonar",$R403))),0)</f>
        <v>0</v>
      </c>
      <c r="V403" t="s" s="35">
        <v>85</v>
      </c>
      <c r="W403" t="s" s="35">
        <v>115</v>
      </c>
      <c r="X403" s="36" cm="1">
        <f t="array" ref="X403">IF(OR(_xlfn.IFERROR(INDEX('Datos - Catálogo TIMSS'!$I$5:$I$107,MATCH(K403,'Datos - Catálogo TIMSS'!$A$5:$A$107,0)),"No")="Sí",_xlfn.IFERROR(INDEX('Datos - Catálogo TIMSS'!$I$5:$I$107,MATCH(L403,'Datos - Catálogo TIMSS'!$A$5:$A$107,0)),"No")="Sí"),1,0)</f>
        <v>1</v>
      </c>
      <c r="Y403" s="36" cm="1">
        <f t="array" ref="Y403">IF(_xlfn.IFERROR(INDEX('Datos - Catálogo TIMSS'!$J$5:$J$107,MATCH(K403,'Datos - Catálogo TIMSS'!$A$5:$A$107,0)),"No")="Sí",1,0)</f>
        <v>0</v>
      </c>
      <c r="Z403" s="36" cm="1">
        <f t="array" ref="Z403">IF(_xlfn.IFERROR(INDEX('Datos - Catálogo TIMSS'!$J$5:$J$107,MATCH(L403,'Datos - Catálogo TIMSS'!$A$5:$A$107,0)),"No")="Sí",1,0)</f>
        <v>0</v>
      </c>
      <c r="AA403" t="s" s="35">
        <v>3327</v>
      </c>
      <c r="AB403" t="s" s="35">
        <v>3144</v>
      </c>
      <c r="AC403" t="str" s="39">
        <v>Biología</v>
      </c>
      <c r="AD403" t="s" s="35">
        <v>1859</v>
      </c>
      <c r="AE403" t="str" s="39" cm="1">
        <f t="array" ref="AE403">IF(AD403="","",IF(LEFT(AD403,1)="1","C1",IF(LEFT(AD403,1)="2","C2",IF(LEFT(AD403,1)="3","C3",""))))</f>
        <v>C1</v>
      </c>
      <c r="AF403" t="s" s="35">
        <v>1602</v>
      </c>
      <c r="AG403" t="s" s="35">
        <v>1617</v>
      </c>
      <c r="AH403" t="s" s="35">
        <v>1602</v>
      </c>
      <c r="AI403" t="s" s="35">
        <v>1623</v>
      </c>
      <c r="AJ403" t="s" s="35">
        <v>1615</v>
      </c>
      <c r="AK403" t="s" s="35">
        <v>1544</v>
      </c>
      <c r="AL403" s="39"/>
      <c r="AM403" t="str" s="39" cm="1">
        <f t="array" ref="AM403">IF(AK403="FUERA","Fuera del marco",_xlfn.IFERROR(INDEX('Datos - Catálogo PISA'!$C$5:$C$76,MATCH(AK403,'Datos - Catálogo PISA'!$A$5:$A$76,0)),"?"))</f>
        <v>Sistemas vivos</v>
      </c>
      <c r="AN403" t="s" s="35">
        <v>1651</v>
      </c>
      <c r="AO403" s="39"/>
      <c r="AP403" s="39"/>
      <c r="AQ403" t="s" s="35">
        <v>1756</v>
      </c>
      <c r="AR403" s="39"/>
      <c r="AS403" t="s" s="35">
        <v>1771</v>
      </c>
      <c r="AT403" t="s" s="35">
        <v>254</v>
      </c>
      <c r="AU403" t="s" s="35">
        <v>3714</v>
      </c>
      <c r="AV403" t="s" s="35">
        <v>139</v>
      </c>
      <c r="AW403" t="str" s="39" cm="1">
        <f t="array" ref="AW403">AF403&amp;"; "&amp;AG403&amp;"; "&amp;AH403&amp;"; "&amp;AI403&amp;"; "&amp;AJ403</f>
        <v>E1; D1; E1; D4; E6</v>
      </c>
    </row>
    <row r="404" ht="13.65" customHeight="1">
      <c r="A404" t="s" s="35">
        <v>3715</v>
      </c>
      <c r="B404" s="36">
        <v>7</v>
      </c>
      <c r="C404" t="s" s="35">
        <v>1823</v>
      </c>
      <c r="D404" t="s" s="35">
        <v>3454</v>
      </c>
      <c r="E404" t="s" s="35">
        <v>3661</v>
      </c>
      <c r="F404" s="36">
        <v>13</v>
      </c>
      <c r="G404" t="s" s="35">
        <v>3662</v>
      </c>
      <c r="H404" t="s" s="35">
        <v>3716</v>
      </c>
      <c r="I404" t="s" s="120">
        <v>3717</v>
      </c>
      <c r="J404" t="s" s="35">
        <v>1164</v>
      </c>
      <c r="K404" t="s" s="35">
        <v>1189</v>
      </c>
      <c r="L404" t="s" s="35">
        <v>1281</v>
      </c>
      <c r="M404" t="str" s="39">
        <v>Biología</v>
      </c>
      <c r="N404" t="str" s="39">
        <v>Ecosistemas</v>
      </c>
      <c r="O404" t="str" s="39" cm="1">
        <f t="array" ref="O404">IF(L404="","",_xlfn.IFERROR(INDEX('Datos - Catálogo TIMSS'!$C$5:$C$107,MATCH(L404,'Datos - Catálogo TIMSS'!$A$5:$A$107,0)),"?"))</f>
        <v>Ciencias de la Tierra</v>
      </c>
      <c r="P404" t="s" s="35">
        <v>291</v>
      </c>
      <c r="Q404" t="s" s="120">
        <v>3718</v>
      </c>
      <c r="R404" t="s" s="120">
        <v>1847</v>
      </c>
      <c r="S404" s="121" cm="1">
        <f t="array" ref="S404">_xlfn.IFERROR(ISNUMBER(SEARCH("Conocer",$R404))/(ISNUMBER(SEARCH("Conocer",$R404))+ISNUMBER(SEARCH("Aplicar",$R404))+ISNUMBER(SEARCH("Razonar",$R404))),0)</f>
        <v>0</v>
      </c>
      <c r="T404" s="121" cm="1">
        <f t="array" ref="T404">_xlfn.IFERROR(ISNUMBER(SEARCH("Aplicar",$R404))/(ISNUMBER(SEARCH("Conocer",$R404))+ISNUMBER(SEARCH("Aplicar",$R404))+ISNUMBER(SEARCH("Razonar",$R404))),0)</f>
        <v>1</v>
      </c>
      <c r="U404" s="121" cm="1">
        <f t="array" ref="U404">_xlfn.IFERROR(ISNUMBER(SEARCH("Razonar",$R404))/(ISNUMBER(SEARCH("Conocer",$R404))+ISNUMBER(SEARCH("Aplicar",$R404))+ISNUMBER(SEARCH("Razonar",$R404))),0)</f>
        <v>0</v>
      </c>
      <c r="V404" t="s" s="35">
        <v>85</v>
      </c>
      <c r="W404" t="s" s="35">
        <v>115</v>
      </c>
      <c r="X404" s="36" cm="1">
        <f t="array" ref="X404">IF(OR(_xlfn.IFERROR(INDEX('Datos - Catálogo TIMSS'!$I$5:$I$107,MATCH(K404,'Datos - Catálogo TIMSS'!$A$5:$A$107,0)),"No")="Sí",_xlfn.IFERROR(INDEX('Datos - Catálogo TIMSS'!$I$5:$I$107,MATCH(L404,'Datos - Catálogo TIMSS'!$A$5:$A$107,0)),"No")="Sí"),1,0)</f>
        <v>1</v>
      </c>
      <c r="Y404" s="36" cm="1">
        <f t="array" ref="Y404">IF(_xlfn.IFERROR(INDEX('Datos - Catálogo TIMSS'!$J$5:$J$107,MATCH(K404,'Datos - Catálogo TIMSS'!$A$5:$A$107,0)),"No")="Sí",1,0)</f>
        <v>0</v>
      </c>
      <c r="Z404" s="36" cm="1">
        <f t="array" ref="Z404">IF(_xlfn.IFERROR(INDEX('Datos - Catálogo TIMSS'!$J$5:$J$107,MATCH(L404,'Datos - Catálogo TIMSS'!$A$5:$A$107,0)),"No")="Sí",1,0)</f>
        <v>0</v>
      </c>
      <c r="AA404" t="s" s="35">
        <v>3327</v>
      </c>
      <c r="AB404" t="s" s="35">
        <v>3719</v>
      </c>
      <c r="AC404" t="str" s="39">
        <v>Biología</v>
      </c>
      <c r="AD404" t="s" s="35">
        <v>1859</v>
      </c>
      <c r="AE404" t="str" s="39" cm="1">
        <f t="array" ref="AE404">IF(AD404="","",IF(LEFT(AD404,1)="1","C1",IF(LEFT(AD404,1)="2","C2",IF(LEFT(AD404,1)="3","C3",""))))</f>
        <v>C1</v>
      </c>
      <c r="AF404" t="s" s="35">
        <v>1602</v>
      </c>
      <c r="AG404" t="s" s="35">
        <v>1617</v>
      </c>
      <c r="AH404" t="s" s="35">
        <v>1602</v>
      </c>
      <c r="AI404" t="s" s="35">
        <v>1623</v>
      </c>
      <c r="AJ404" t="s" s="35">
        <v>1602</v>
      </c>
      <c r="AK404" t="s" s="35">
        <v>1544</v>
      </c>
      <c r="AL404" t="s" s="35">
        <v>1550</v>
      </c>
      <c r="AM404" t="str" s="39" cm="1">
        <f t="array" ref="AM404">IF(AK404="FUERA","Fuera del marco",_xlfn.IFERROR(INDEX('Datos - Catálogo PISA'!$C$5:$C$76,MATCH(AK404,'Datos - Catálogo PISA'!$A$5:$A$76,0)),"?"))</f>
        <v>Sistemas vivos</v>
      </c>
      <c r="AN404" t="s" s="35">
        <v>1651</v>
      </c>
      <c r="AO404" s="39"/>
      <c r="AP404" s="39"/>
      <c r="AQ404" t="s" s="35">
        <v>1753</v>
      </c>
      <c r="AR404" t="s" s="35">
        <v>1765</v>
      </c>
      <c r="AS404" t="s" s="35">
        <v>1770</v>
      </c>
      <c r="AT404" t="s" s="35">
        <v>282</v>
      </c>
      <c r="AU404" t="s" s="35">
        <v>3720</v>
      </c>
      <c r="AV404" t="s" s="35">
        <v>139</v>
      </c>
      <c r="AW404" t="str" s="39" cm="1">
        <f t="array" ref="AW404">AF404&amp;"; "&amp;AG404&amp;"; "&amp;AH404&amp;"; "&amp;AI404&amp;"; "&amp;AJ404</f>
        <v>E1; D1; E1; D4; E1</v>
      </c>
    </row>
    <row r="405" ht="13.65" customHeight="1">
      <c r="A405" t="s" s="35">
        <v>3721</v>
      </c>
      <c r="B405" s="36">
        <v>7</v>
      </c>
      <c r="C405" t="s" s="35">
        <v>1823</v>
      </c>
      <c r="D405" t="s" s="35">
        <v>3454</v>
      </c>
      <c r="E405" t="s" s="35">
        <v>3661</v>
      </c>
      <c r="F405" s="36">
        <v>14</v>
      </c>
      <c r="G405" t="s" s="35">
        <v>3662</v>
      </c>
      <c r="H405" t="s" s="35">
        <v>3716</v>
      </c>
      <c r="I405" t="s" s="120">
        <v>3722</v>
      </c>
      <c r="J405" t="s" s="35">
        <v>1164</v>
      </c>
      <c r="K405" t="s" s="35">
        <v>1832</v>
      </c>
      <c r="L405" s="39"/>
      <c r="M405" t="str" s="39">
        <v>Fuera del marco</v>
      </c>
      <c r="N405" t="str" s="39">
        <v>Fuera del marco</v>
      </c>
      <c r="O405" t="str" s="39" cm="1">
        <f t="array" ref="O405">IF(L405="","",_xlfn.IFERROR(INDEX('Datos - Catálogo TIMSS'!$C$5:$C$107,MATCH(L405,'Datos - Catálogo TIMSS'!$A$5:$A$107,0)),"?"))</f>
      </c>
      <c r="P405" t="s" s="35">
        <v>282</v>
      </c>
      <c r="Q405" t="s" s="120">
        <v>3723</v>
      </c>
      <c r="R405" t="s" s="120">
        <v>3724</v>
      </c>
      <c r="S405" s="121" cm="1">
        <f t="array" ref="S405">_xlfn.IFERROR(ISNUMBER(SEARCH("Conocer",$R405))/(ISNUMBER(SEARCH("Conocer",$R405))+ISNUMBER(SEARCH("Aplicar",$R405))+ISNUMBER(SEARCH("Razonar",$R405))),0)</f>
        <v>0</v>
      </c>
      <c r="T405" s="121" cm="1">
        <f t="array" ref="T405">_xlfn.IFERROR(ISNUMBER(SEARCH("Aplicar",$R405))/(ISNUMBER(SEARCH("Conocer",$R405))+ISNUMBER(SEARCH("Aplicar",$R405))+ISNUMBER(SEARCH("Razonar",$R405))),0)</f>
        <v>1</v>
      </c>
      <c r="U405" s="121" cm="1">
        <f t="array" ref="U405">_xlfn.IFERROR(ISNUMBER(SEARCH("Razonar",$R405))/(ISNUMBER(SEARCH("Conocer",$R405))+ISNUMBER(SEARCH("Aplicar",$R405))+ISNUMBER(SEARCH("Razonar",$R405))),0)</f>
        <v>0</v>
      </c>
      <c r="V405" t="s" s="35">
        <v>85</v>
      </c>
      <c r="W405" t="s" s="35">
        <v>115</v>
      </c>
      <c r="X405" s="36" cm="1">
        <f t="array" ref="X405">IF(OR(_xlfn.IFERROR(INDEX('Datos - Catálogo TIMSS'!$I$5:$I$107,MATCH(K405,'Datos - Catálogo TIMSS'!$A$5:$A$107,0)),"No")="Sí",_xlfn.IFERROR(INDEX('Datos - Catálogo TIMSS'!$I$5:$I$107,MATCH(L405,'Datos - Catálogo TIMSS'!$A$5:$A$107,0)),"No")="Sí"),1,0)</f>
        <v>0</v>
      </c>
      <c r="Y405" s="36" cm="1">
        <f t="array" ref="Y405">IF(_xlfn.IFERROR(INDEX('Datos - Catálogo TIMSS'!$J$5:$J$107,MATCH(K405,'Datos - Catálogo TIMSS'!$A$5:$A$107,0)),"No")="Sí",1,0)</f>
        <v>0</v>
      </c>
      <c r="Z405" s="36" cm="1">
        <f t="array" ref="Z405">IF(_xlfn.IFERROR(INDEX('Datos - Catálogo TIMSS'!$J$5:$J$107,MATCH(L405,'Datos - Catálogo TIMSS'!$A$5:$A$107,0)),"No")="Sí",1,0)</f>
        <v>0</v>
      </c>
      <c r="AA405" t="s" s="35">
        <v>1832</v>
      </c>
      <c r="AB405" s="39"/>
      <c r="AC405" t="str" s="39">
        <v>Fuera del marco</v>
      </c>
      <c r="AD405" t="s" s="35">
        <v>1900</v>
      </c>
      <c r="AE405" t="str" s="39" cm="1">
        <f t="array" ref="AE405">IF(AD405="","",IF(LEFT(AD405,1)="1","C1",IF(LEFT(AD405,1)="2","C2",IF(LEFT(AD405,1)="3","C3",""))))</f>
        <v>C3</v>
      </c>
      <c r="AF405" t="s" s="35">
        <v>1602</v>
      </c>
      <c r="AG405" t="s" s="35">
        <v>1617</v>
      </c>
      <c r="AH405" t="s" s="35">
        <v>1602</v>
      </c>
      <c r="AI405" t="s" s="35">
        <v>1629</v>
      </c>
      <c r="AJ405" t="s" s="35">
        <v>1633</v>
      </c>
      <c r="AK405" t="s" s="35">
        <v>1544</v>
      </c>
      <c r="AL405" t="s" s="35">
        <v>1548</v>
      </c>
      <c r="AM405" t="str" s="39" cm="1">
        <f t="array" ref="AM405">IF(AK405="FUERA","Fuera del marco",_xlfn.IFERROR(INDEX('Datos - Catálogo PISA'!$C$5:$C$76,MATCH(AK405,'Datos - Catálogo PISA'!$A$5:$A$76,0)),"?"))</f>
        <v>Sistemas vivos</v>
      </c>
      <c r="AN405" t="s" s="35">
        <v>1651</v>
      </c>
      <c r="AO405" s="39"/>
      <c r="AP405" s="39"/>
      <c r="AQ405" t="s" s="35">
        <v>1752</v>
      </c>
      <c r="AR405" t="s" s="35">
        <v>1765</v>
      </c>
      <c r="AS405" t="s" s="35">
        <v>1771</v>
      </c>
      <c r="AT405" t="s" s="35">
        <v>291</v>
      </c>
      <c r="AU405" t="s" s="35">
        <v>3725</v>
      </c>
      <c r="AV405" t="s" s="35">
        <v>139</v>
      </c>
      <c r="AW405" t="str" s="39" cm="1">
        <f t="array" ref="AW405">AF405&amp;"; "&amp;AG405&amp;"; "&amp;AH405&amp;"; "&amp;AI405&amp;"; "&amp;AJ405</f>
        <v>E1; D1; E1; I3; I5</v>
      </c>
    </row>
    <row r="406" ht="13.65" customHeight="1">
      <c r="A406" t="s" s="35">
        <v>3726</v>
      </c>
      <c r="B406" s="36">
        <v>7</v>
      </c>
      <c r="C406" t="s" s="35">
        <v>1823</v>
      </c>
      <c r="D406" t="s" s="35">
        <v>3454</v>
      </c>
      <c r="E406" t="s" s="35">
        <v>3727</v>
      </c>
      <c r="F406" s="36">
        <v>3</v>
      </c>
      <c r="G406" t="s" s="35">
        <v>642</v>
      </c>
      <c r="H406" t="s" s="35">
        <v>3728</v>
      </c>
      <c r="I406" t="s" s="120">
        <v>3729</v>
      </c>
      <c r="J406" t="s" s="35">
        <v>1164</v>
      </c>
      <c r="K406" t="s" s="35">
        <v>520</v>
      </c>
      <c r="L406" t="s" s="35">
        <v>1290</v>
      </c>
      <c r="M406" t="str" s="39">
        <v>Ciencias de la Tierra</v>
      </c>
      <c r="N406" t="str" s="39">
        <v>La atmósfera terrestre</v>
      </c>
      <c r="O406" t="str" s="39" cm="1">
        <f t="array" ref="O406">IF(L406="","",_xlfn.IFERROR(INDEX('Datos - Catálogo TIMSS'!$C$5:$C$107,MATCH(L406,'Datos - Catálogo TIMSS'!$A$5:$A$107,0)),"?"))</f>
        <v>Ciencias de la Tierra</v>
      </c>
      <c r="P406" t="s" s="35">
        <v>254</v>
      </c>
      <c r="Q406" t="s" s="120">
        <v>3730</v>
      </c>
      <c r="R406" t="s" s="120">
        <v>2131</v>
      </c>
      <c r="S406" s="121" cm="1">
        <f t="array" ref="S406">_xlfn.IFERROR(ISNUMBER(SEARCH("Conocer",$R406))/(ISNUMBER(SEARCH("Conocer",$R406))+ISNUMBER(SEARCH("Aplicar",$R406))+ISNUMBER(SEARCH("Razonar",$R406))),0)</f>
        <v>0</v>
      </c>
      <c r="T406" s="121" cm="1">
        <f t="array" ref="T406">_xlfn.IFERROR(ISNUMBER(SEARCH("Aplicar",$R406))/(ISNUMBER(SEARCH("Conocer",$R406))+ISNUMBER(SEARCH("Aplicar",$R406))+ISNUMBER(SEARCH("Razonar",$R406))),0)</f>
        <v>1</v>
      </c>
      <c r="U406" s="121" cm="1">
        <f t="array" ref="U406">_xlfn.IFERROR(ISNUMBER(SEARCH("Razonar",$R406))/(ISNUMBER(SEARCH("Conocer",$R406))+ISNUMBER(SEARCH("Aplicar",$R406))+ISNUMBER(SEARCH("Razonar",$R406))),0)</f>
        <v>0</v>
      </c>
      <c r="V406" t="s" s="35">
        <v>85</v>
      </c>
      <c r="W406" t="s" s="35">
        <v>115</v>
      </c>
      <c r="X406" s="36" cm="1">
        <f t="array" ref="X406">IF(OR(_xlfn.IFERROR(INDEX('Datos - Catálogo TIMSS'!$I$5:$I$107,MATCH(K406,'Datos - Catálogo TIMSS'!$A$5:$A$107,0)),"No")="Sí",_xlfn.IFERROR(INDEX('Datos - Catálogo TIMSS'!$I$5:$I$107,MATCH(L406,'Datos - Catálogo TIMSS'!$A$5:$A$107,0)),"No")="Sí"),1,0)</f>
        <v>1</v>
      </c>
      <c r="Y406" s="36" cm="1">
        <f t="array" ref="Y406">IF(_xlfn.IFERROR(INDEX('Datos - Catálogo TIMSS'!$J$5:$J$107,MATCH(K406,'Datos - Catálogo TIMSS'!$A$5:$A$107,0)),"No")="Sí",1,0)</f>
        <v>0</v>
      </c>
      <c r="Z406" s="36" cm="1">
        <f t="array" ref="Z406">IF(_xlfn.IFERROR(INDEX('Datos - Catálogo TIMSS'!$J$5:$J$107,MATCH(L406,'Datos - Catálogo TIMSS'!$A$5:$A$107,0)),"No")="Sí",1,0)</f>
        <v>0</v>
      </c>
      <c r="AA406" t="s" s="35">
        <v>3731</v>
      </c>
      <c r="AB406" t="s" s="35">
        <v>3135</v>
      </c>
      <c r="AC406" t="str" s="39">
        <v>Ciencias de la Tierra</v>
      </c>
      <c r="AD406" t="s" s="35">
        <v>1859</v>
      </c>
      <c r="AE406" t="str" s="39" cm="1">
        <f t="array" ref="AE406">IF(AD406="","",IF(LEFT(AD406,1)="1","C1",IF(LEFT(AD406,1)="2","C2",IF(LEFT(AD406,1)="3","C3",""))))</f>
        <v>C1</v>
      </c>
      <c r="AF406" t="s" s="35">
        <v>1602</v>
      </c>
      <c r="AG406" t="s" s="35">
        <v>1617</v>
      </c>
      <c r="AH406" t="s" s="35">
        <v>1609</v>
      </c>
      <c r="AI406" t="s" s="35">
        <v>1623</v>
      </c>
      <c r="AJ406" t="s" s="35">
        <v>1615</v>
      </c>
      <c r="AK406" t="s" s="35">
        <v>1554</v>
      </c>
      <c r="AL406" t="s" s="35">
        <v>1556</v>
      </c>
      <c r="AM406" t="str" s="39" cm="1">
        <f t="array" ref="AM406">IF(AK406="FUERA","Fuera del marco",_xlfn.IFERROR(INDEX('Datos - Catálogo PISA'!$C$5:$C$76,MATCH(AK406,'Datos - Catálogo PISA'!$A$5:$A$76,0)),"?"))</f>
        <v>Sistemas de la Tierra y el espacio</v>
      </c>
      <c r="AN406" t="s" s="35">
        <v>1651</v>
      </c>
      <c r="AO406" s="39"/>
      <c r="AP406" s="39"/>
      <c r="AQ406" t="s" s="35">
        <v>1752</v>
      </c>
      <c r="AR406" t="s" s="35">
        <v>1765</v>
      </c>
      <c r="AS406" t="s" s="35">
        <v>1771</v>
      </c>
      <c r="AT406" t="s" s="35">
        <v>254</v>
      </c>
      <c r="AU406" t="s" s="35">
        <v>3732</v>
      </c>
      <c r="AV406" t="s" s="35">
        <v>139</v>
      </c>
      <c r="AW406" t="str" s="39" cm="1">
        <f t="array" ref="AW406">AF406&amp;"; "&amp;AG406&amp;"; "&amp;AH406&amp;"; "&amp;AI406&amp;"; "&amp;AJ406</f>
        <v>E1; D1; E4; D4; E6</v>
      </c>
    </row>
    <row r="407" ht="13.65" customHeight="1">
      <c r="A407" t="s" s="35">
        <v>3733</v>
      </c>
      <c r="B407" s="36">
        <v>7</v>
      </c>
      <c r="C407" t="s" s="35">
        <v>1823</v>
      </c>
      <c r="D407" t="s" s="35">
        <v>3454</v>
      </c>
      <c r="E407" t="s" s="35">
        <v>3727</v>
      </c>
      <c r="F407" s="36">
        <v>4</v>
      </c>
      <c r="G407" t="s" s="35">
        <v>642</v>
      </c>
      <c r="H407" t="s" s="35">
        <v>3728</v>
      </c>
      <c r="I407" t="s" s="120">
        <v>3734</v>
      </c>
      <c r="J407" t="s" s="35">
        <v>1164</v>
      </c>
      <c r="K407" t="s" s="35">
        <v>1272</v>
      </c>
      <c r="L407" t="s" s="35">
        <v>520</v>
      </c>
      <c r="M407" t="str" s="39">
        <v>Ciencias de la Tierra</v>
      </c>
      <c r="N407" t="str" s="39">
        <v>Rasgos, procesos e historia de la Tierra</v>
      </c>
      <c r="O407" t="str" s="39" cm="1">
        <f t="array" ref="O407">IF(L407="","",_xlfn.IFERROR(INDEX('Datos - Catálogo TIMSS'!$C$5:$C$107,MATCH(L407,'Datos - Catálogo TIMSS'!$A$5:$A$107,0)),"?"))</f>
        <v>Ciencias de la Tierra</v>
      </c>
      <c r="P407" t="s" s="35">
        <v>291</v>
      </c>
      <c r="Q407" t="s" s="120">
        <v>3735</v>
      </c>
      <c r="R407" t="s" s="120">
        <v>2131</v>
      </c>
      <c r="S407" s="121" cm="1">
        <f t="array" ref="S407">_xlfn.IFERROR(ISNUMBER(SEARCH("Conocer",$R407))/(ISNUMBER(SEARCH("Conocer",$R407))+ISNUMBER(SEARCH("Aplicar",$R407))+ISNUMBER(SEARCH("Razonar",$R407))),0)</f>
        <v>0</v>
      </c>
      <c r="T407" s="121" cm="1">
        <f t="array" ref="T407">_xlfn.IFERROR(ISNUMBER(SEARCH("Aplicar",$R407))/(ISNUMBER(SEARCH("Conocer",$R407))+ISNUMBER(SEARCH("Aplicar",$R407))+ISNUMBER(SEARCH("Razonar",$R407))),0)</f>
        <v>1</v>
      </c>
      <c r="U407" s="121" cm="1">
        <f t="array" ref="U407">_xlfn.IFERROR(ISNUMBER(SEARCH("Razonar",$R407))/(ISNUMBER(SEARCH("Conocer",$R407))+ISNUMBER(SEARCH("Aplicar",$R407))+ISNUMBER(SEARCH("Razonar",$R407))),0)</f>
        <v>0</v>
      </c>
      <c r="V407" t="s" s="35">
        <v>85</v>
      </c>
      <c r="W407" t="s" s="35">
        <v>115</v>
      </c>
      <c r="X407" s="36" cm="1">
        <f t="array" ref="X407">IF(OR(_xlfn.IFERROR(INDEX('Datos - Catálogo TIMSS'!$I$5:$I$107,MATCH(K407,'Datos - Catálogo TIMSS'!$A$5:$A$107,0)),"No")="Sí",_xlfn.IFERROR(INDEX('Datos - Catálogo TIMSS'!$I$5:$I$107,MATCH(L407,'Datos - Catálogo TIMSS'!$A$5:$A$107,0)),"No")="Sí"),1,0)</f>
        <v>1</v>
      </c>
      <c r="Y407" s="36" cm="1">
        <f t="array" ref="Y407">IF(_xlfn.IFERROR(INDEX('Datos - Catálogo TIMSS'!$J$5:$J$107,MATCH(K407,'Datos - Catálogo TIMSS'!$A$5:$A$107,0)),"No")="Sí",1,0)</f>
        <v>0</v>
      </c>
      <c r="Z407" s="36" cm="1">
        <f t="array" ref="Z407">IF(_xlfn.IFERROR(INDEX('Datos - Catálogo TIMSS'!$J$5:$J$107,MATCH(L407,'Datos - Catálogo TIMSS'!$A$5:$A$107,0)),"No")="Sí",1,0)</f>
        <v>0</v>
      </c>
      <c r="AA407" t="s" s="35">
        <v>3135</v>
      </c>
      <c r="AB407" s="39"/>
      <c r="AC407" t="str" s="39">
        <v>Ciencias de la Tierra</v>
      </c>
      <c r="AD407" t="s" s="35">
        <v>1859</v>
      </c>
      <c r="AE407" t="str" s="39" cm="1">
        <f t="array" ref="AE407">IF(AD407="","",IF(LEFT(AD407,1)="1","C1",IF(LEFT(AD407,1)="2","C2",IF(LEFT(AD407,1)="3","C3",""))))</f>
        <v>C1</v>
      </c>
      <c r="AF407" t="s" s="35">
        <v>1615</v>
      </c>
      <c r="AG407" t="s" s="35">
        <v>1617</v>
      </c>
      <c r="AH407" t="s" s="35">
        <v>1609</v>
      </c>
      <c r="AI407" t="s" s="35">
        <v>1623</v>
      </c>
      <c r="AJ407" t="s" s="35">
        <v>1615</v>
      </c>
      <c r="AK407" t="s" s="35">
        <v>1550</v>
      </c>
      <c r="AL407" t="s" s="35">
        <v>1556</v>
      </c>
      <c r="AM407" t="str" s="39" cm="1">
        <f t="array" ref="AM407">IF(AK407="FUERA","Fuera del marco",_xlfn.IFERROR(INDEX('Datos - Catálogo PISA'!$C$5:$C$76,MATCH(AK407,'Datos - Catálogo PISA'!$A$5:$A$76,0)),"?"))</f>
        <v>Sistemas de la Tierra y el espacio</v>
      </c>
      <c r="AN407" t="s" s="35">
        <v>1651</v>
      </c>
      <c r="AO407" s="39"/>
      <c r="AP407" t="s" s="35">
        <v>3534</v>
      </c>
      <c r="AQ407" t="s" s="35">
        <v>1752</v>
      </c>
      <c r="AR407" t="s" s="35">
        <v>1765</v>
      </c>
      <c r="AS407" t="s" s="35">
        <v>1771</v>
      </c>
      <c r="AT407" t="s" s="35">
        <v>282</v>
      </c>
      <c r="AU407" t="s" s="35">
        <v>3736</v>
      </c>
      <c r="AV407" t="s" s="35">
        <v>139</v>
      </c>
      <c r="AW407" t="str" s="39" cm="1">
        <f t="array" ref="AW407">AF407&amp;"; "&amp;AG407&amp;"; "&amp;AH407&amp;"; "&amp;AI407&amp;"; "&amp;AJ407</f>
        <v>E6; D1; E4; D4; E6</v>
      </c>
    </row>
    <row r="408" ht="13.65" customHeight="1">
      <c r="A408" t="s" s="35">
        <v>3738</v>
      </c>
      <c r="B408" s="36">
        <v>7</v>
      </c>
      <c r="C408" t="s" s="35">
        <v>1823</v>
      </c>
      <c r="D408" t="s" s="35">
        <v>3454</v>
      </c>
      <c r="E408" t="s" s="35">
        <v>3727</v>
      </c>
      <c r="F408" s="36">
        <v>5</v>
      </c>
      <c r="G408" t="s" s="35">
        <v>642</v>
      </c>
      <c r="H408" t="s" s="35">
        <v>3728</v>
      </c>
      <c r="I408" t="s" s="120">
        <v>3739</v>
      </c>
      <c r="J408" t="s" s="35">
        <v>1164</v>
      </c>
      <c r="K408" t="s" s="35">
        <v>1272</v>
      </c>
      <c r="L408" s="39"/>
      <c r="M408" t="str" s="39">
        <v>Ciencias de la Tierra</v>
      </c>
      <c r="N408" t="str" s="39">
        <v>Rasgos, procesos e historia de la Tierra</v>
      </c>
      <c r="O408" t="str" s="39" cm="1">
        <f t="array" ref="O408">IF(L408="","",_xlfn.IFERROR(INDEX('Datos - Catálogo TIMSS'!$C$5:$C$107,MATCH(L408,'Datos - Catálogo TIMSS'!$A$5:$A$107,0)),"?"))</f>
      </c>
      <c r="P408" t="s" s="35">
        <v>291</v>
      </c>
      <c r="Q408" t="s" s="120">
        <v>3740</v>
      </c>
      <c r="R408" t="s" s="120">
        <v>2893</v>
      </c>
      <c r="S408" s="121" cm="1">
        <f t="array" ref="S408">_xlfn.IFERROR(ISNUMBER(SEARCH("Conocer",$R408))/(ISNUMBER(SEARCH("Conocer",$R408))+ISNUMBER(SEARCH("Aplicar",$R408))+ISNUMBER(SEARCH("Razonar",$R408))),0)</f>
        <v>0</v>
      </c>
      <c r="T408" s="121" cm="1">
        <f t="array" ref="T408">_xlfn.IFERROR(ISNUMBER(SEARCH("Aplicar",$R408))/(ISNUMBER(SEARCH("Conocer",$R408))+ISNUMBER(SEARCH("Aplicar",$R408))+ISNUMBER(SEARCH("Razonar",$R408))),0)</f>
        <v>1</v>
      </c>
      <c r="U408" s="121" cm="1">
        <f t="array" ref="U408">_xlfn.IFERROR(ISNUMBER(SEARCH("Razonar",$R408))/(ISNUMBER(SEARCH("Conocer",$R408))+ISNUMBER(SEARCH("Aplicar",$R408))+ISNUMBER(SEARCH("Razonar",$R408))),0)</f>
        <v>0</v>
      </c>
      <c r="V408" t="s" s="35">
        <v>85</v>
      </c>
      <c r="W408" t="s" s="35">
        <v>115</v>
      </c>
      <c r="X408" s="36" cm="1">
        <f t="array" ref="X408">IF(OR(_xlfn.IFERROR(INDEX('Datos - Catálogo TIMSS'!$I$5:$I$107,MATCH(K408,'Datos - Catálogo TIMSS'!$A$5:$A$107,0)),"No")="Sí",_xlfn.IFERROR(INDEX('Datos - Catálogo TIMSS'!$I$5:$I$107,MATCH(L408,'Datos - Catálogo TIMSS'!$A$5:$A$107,0)),"No")="Sí"),1,0)</f>
        <v>1</v>
      </c>
      <c r="Y408" s="36" cm="1">
        <f t="array" ref="Y408">IF(_xlfn.IFERROR(INDEX('Datos - Catálogo TIMSS'!$J$5:$J$107,MATCH(K408,'Datos - Catálogo TIMSS'!$A$5:$A$107,0)),"No")="Sí",1,0)</f>
        <v>0</v>
      </c>
      <c r="Z408" s="36" cm="1">
        <f t="array" ref="Z408">IF(_xlfn.IFERROR(INDEX('Datos - Catálogo TIMSS'!$J$5:$J$107,MATCH(L408,'Datos - Catálogo TIMSS'!$A$5:$A$107,0)),"No")="Sí",1,0)</f>
        <v>0</v>
      </c>
      <c r="AA408" t="s" s="35">
        <v>3135</v>
      </c>
      <c r="AB408" s="39"/>
      <c r="AC408" t="str" s="39">
        <v>Ciencias de la Tierra</v>
      </c>
      <c r="AD408" t="s" s="35">
        <v>1834</v>
      </c>
      <c r="AE408" t="str" s="39" cm="1">
        <f t="array" ref="AE408">IF(AD408="","",IF(LEFT(AD408,1)="1","C1",IF(LEFT(AD408,1)="2","C2",IF(LEFT(AD408,1)="3","C3",""))))</f>
        <v>C2</v>
      </c>
      <c r="AF408" t="s" s="35">
        <v>1602</v>
      </c>
      <c r="AG408" t="s" s="35">
        <v>1617</v>
      </c>
      <c r="AH408" t="s" s="35">
        <v>1602</v>
      </c>
      <c r="AI408" t="s" s="35">
        <v>1623</v>
      </c>
      <c r="AJ408" t="s" s="35">
        <v>1607</v>
      </c>
      <c r="AK408" t="s" s="35">
        <v>1556</v>
      </c>
      <c r="AL408" s="39"/>
      <c r="AM408" t="str" s="39" cm="1">
        <f t="array" ref="AM408">IF(AK408="FUERA","Fuera del marco",_xlfn.IFERROR(INDEX('Datos - Catálogo PISA'!$C$5:$C$76,MATCH(AK408,'Datos - Catálogo PISA'!$A$5:$A$76,0)),"?"))</f>
        <v>Sistemas de la Tierra y el espacio</v>
      </c>
      <c r="AN408" t="s" s="35">
        <v>1652</v>
      </c>
      <c r="AO408" t="s" s="35">
        <v>3488</v>
      </c>
      <c r="AP408" s="39"/>
      <c r="AQ408" t="s" s="35">
        <v>1752</v>
      </c>
      <c r="AR408" t="s" s="35">
        <v>1765</v>
      </c>
      <c r="AS408" t="s" s="35">
        <v>1771</v>
      </c>
      <c r="AT408" t="s" s="35">
        <v>282</v>
      </c>
      <c r="AU408" t="s" s="35">
        <v>3741</v>
      </c>
      <c r="AV408" t="s" s="35">
        <v>139</v>
      </c>
      <c r="AW408" t="str" s="39" cm="1">
        <f t="array" ref="AW408">AF408&amp;"; "&amp;AG408&amp;"; "&amp;AH408&amp;"; "&amp;AI408&amp;"; "&amp;AJ408</f>
        <v>E1; D1; E1; D4; E3</v>
      </c>
    </row>
    <row r="409" ht="13.65" customHeight="1">
      <c r="A409" t="s" s="35">
        <v>3742</v>
      </c>
      <c r="B409" s="36">
        <v>7</v>
      </c>
      <c r="C409" t="s" s="35">
        <v>1823</v>
      </c>
      <c r="D409" t="s" s="35">
        <v>3454</v>
      </c>
      <c r="E409" t="s" s="35">
        <v>3727</v>
      </c>
      <c r="F409" s="36">
        <v>6</v>
      </c>
      <c r="G409" t="s" s="35">
        <v>642</v>
      </c>
      <c r="H409" t="s" s="35">
        <v>3728</v>
      </c>
      <c r="I409" t="s" s="120">
        <v>3743</v>
      </c>
      <c r="J409" t="s" s="35">
        <v>1164</v>
      </c>
      <c r="K409" t="s" s="35">
        <v>1281</v>
      </c>
      <c r="L409" t="s" s="35">
        <v>520</v>
      </c>
      <c r="M409" t="str" s="39">
        <v>Ciencias de la Tierra</v>
      </c>
      <c r="N409" t="str" s="39">
        <v>La atmósfera terrestre</v>
      </c>
      <c r="O409" t="str" s="39" cm="1">
        <f t="array" ref="O409">IF(L409="","",_xlfn.IFERROR(INDEX('Datos - Catálogo TIMSS'!$C$5:$C$107,MATCH(L409,'Datos - Catálogo TIMSS'!$A$5:$A$107,0)),"?"))</f>
        <v>Ciencias de la Tierra</v>
      </c>
      <c r="P409" t="s" s="35">
        <v>282</v>
      </c>
      <c r="Q409" t="s" s="120">
        <v>3744</v>
      </c>
      <c r="R409" t="s" s="120">
        <v>2662</v>
      </c>
      <c r="S409" s="121" cm="1">
        <f t="array" ref="S409">_xlfn.IFERROR(ISNUMBER(SEARCH("Conocer",$R409))/(ISNUMBER(SEARCH("Conocer",$R409))+ISNUMBER(SEARCH("Aplicar",$R409))+ISNUMBER(SEARCH("Razonar",$R409))),0)</f>
        <v>0</v>
      </c>
      <c r="T409" s="121" cm="1">
        <f t="array" ref="T409">_xlfn.IFERROR(ISNUMBER(SEARCH("Aplicar",$R409))/(ISNUMBER(SEARCH("Conocer",$R409))+ISNUMBER(SEARCH("Aplicar",$R409))+ISNUMBER(SEARCH("Razonar",$R409))),0)</f>
        <v>1</v>
      </c>
      <c r="U409" s="121" cm="1">
        <f t="array" ref="U409">_xlfn.IFERROR(ISNUMBER(SEARCH("Razonar",$R409))/(ISNUMBER(SEARCH("Conocer",$R409))+ISNUMBER(SEARCH("Aplicar",$R409))+ISNUMBER(SEARCH("Razonar",$R409))),0)</f>
        <v>0</v>
      </c>
      <c r="V409" t="s" s="35">
        <v>85</v>
      </c>
      <c r="W409" t="s" s="35">
        <v>115</v>
      </c>
      <c r="X409" s="36" cm="1">
        <f t="array" ref="X409">IF(OR(_xlfn.IFERROR(INDEX('Datos - Catálogo TIMSS'!$I$5:$I$107,MATCH(K409,'Datos - Catálogo TIMSS'!$A$5:$A$107,0)),"No")="Sí",_xlfn.IFERROR(INDEX('Datos - Catálogo TIMSS'!$I$5:$I$107,MATCH(L409,'Datos - Catálogo TIMSS'!$A$5:$A$107,0)),"No")="Sí"),1,0)</f>
        <v>1</v>
      </c>
      <c r="Y409" s="36" cm="1">
        <f t="array" ref="Y409">IF(_xlfn.IFERROR(INDEX('Datos - Catálogo TIMSS'!$J$5:$J$107,MATCH(K409,'Datos - Catálogo TIMSS'!$A$5:$A$107,0)),"No")="Sí",1,0)</f>
        <v>0</v>
      </c>
      <c r="Z409" s="36" cm="1">
        <f t="array" ref="Z409">IF(_xlfn.IFERROR(INDEX('Datos - Catálogo TIMSS'!$J$5:$J$107,MATCH(L409,'Datos - Catálogo TIMSS'!$A$5:$A$107,0)),"No")="Sí",1,0)</f>
        <v>0</v>
      </c>
      <c r="AA409" t="s" s="35">
        <v>3731</v>
      </c>
      <c r="AB409" t="s" s="35">
        <v>3719</v>
      </c>
      <c r="AC409" t="str" s="39">
        <v>Ciencias de la Tierra</v>
      </c>
      <c r="AD409" t="s" s="35">
        <v>1834</v>
      </c>
      <c r="AE409" t="str" s="39" cm="1">
        <f t="array" ref="AE409">IF(AD409="","",IF(LEFT(AD409,1)="1","C1",IF(LEFT(AD409,1)="2","C2",IF(LEFT(AD409,1)="3","C3",""))))</f>
        <v>C2</v>
      </c>
      <c r="AF409" t="s" s="35">
        <v>1615</v>
      </c>
      <c r="AG409" t="s" s="35">
        <v>1617</v>
      </c>
      <c r="AH409" t="s" s="35">
        <v>1605</v>
      </c>
      <c r="AI409" t="s" s="35">
        <v>1623</v>
      </c>
      <c r="AJ409" t="s" s="35">
        <v>1615</v>
      </c>
      <c r="AK409" t="s" s="35">
        <v>1556</v>
      </c>
      <c r="AL409" t="s" s="35">
        <v>1554</v>
      </c>
      <c r="AM409" t="str" s="39" cm="1">
        <f t="array" ref="AM409">IF(AK409="FUERA","Fuera del marco",_xlfn.IFERROR(INDEX('Datos - Catálogo PISA'!$C$5:$C$76,MATCH(AK409,'Datos - Catálogo PISA'!$A$5:$A$76,0)),"?"))</f>
        <v>Sistemas de la Tierra y el espacio</v>
      </c>
      <c r="AN409" t="s" s="35">
        <v>1651</v>
      </c>
      <c r="AO409" t="s" s="35">
        <v>3575</v>
      </c>
      <c r="AP409" s="39"/>
      <c r="AQ409" t="s" s="35">
        <v>1752</v>
      </c>
      <c r="AR409" t="s" s="35">
        <v>1765</v>
      </c>
      <c r="AS409" t="s" s="35">
        <v>1771</v>
      </c>
      <c r="AT409" t="s" s="35">
        <v>254</v>
      </c>
      <c r="AU409" t="s" s="35">
        <v>3745</v>
      </c>
      <c r="AV409" t="s" s="35">
        <v>139</v>
      </c>
      <c r="AW409" t="str" s="39" cm="1">
        <f t="array" ref="AW409">AF409&amp;"; "&amp;AG409&amp;"; "&amp;AH409&amp;"; "&amp;AI409&amp;"; "&amp;AJ409</f>
        <v>E6; D1; E2; D4; E6</v>
      </c>
    </row>
    <row r="410" ht="13.65" customHeight="1">
      <c r="A410" t="s" s="35">
        <v>3746</v>
      </c>
      <c r="B410" s="36">
        <v>7</v>
      </c>
      <c r="C410" t="s" s="35">
        <v>1823</v>
      </c>
      <c r="D410" t="s" s="35">
        <v>3454</v>
      </c>
      <c r="E410" t="s" s="35">
        <v>3727</v>
      </c>
      <c r="F410" s="36">
        <v>7</v>
      </c>
      <c r="G410" t="s" s="35">
        <v>642</v>
      </c>
      <c r="H410" t="s" s="35">
        <v>3728</v>
      </c>
      <c r="I410" t="s" s="120">
        <v>3747</v>
      </c>
      <c r="J410" t="s" s="35">
        <v>1164</v>
      </c>
      <c r="K410" t="s" s="35">
        <v>520</v>
      </c>
      <c r="L410" s="39"/>
      <c r="M410" t="str" s="39">
        <v>Ciencias de la Tierra</v>
      </c>
      <c r="N410" t="str" s="39">
        <v>La atmósfera terrestre</v>
      </c>
      <c r="O410" t="str" s="39" cm="1">
        <f t="array" ref="O410">IF(L410="","",_xlfn.IFERROR(INDEX('Datos - Catálogo TIMSS'!$C$5:$C$107,MATCH(L410,'Datos - Catálogo TIMSS'!$A$5:$A$107,0)),"?"))</f>
      </c>
      <c r="P410" t="s" s="35">
        <v>282</v>
      </c>
      <c r="Q410" t="s" s="120">
        <v>3748</v>
      </c>
      <c r="R410" t="s" s="120">
        <v>3749</v>
      </c>
      <c r="S410" s="121" cm="1">
        <f t="array" ref="S410">_xlfn.IFERROR(ISNUMBER(SEARCH("Conocer",$R410))/(ISNUMBER(SEARCH("Conocer",$R410))+ISNUMBER(SEARCH("Aplicar",$R410))+ISNUMBER(SEARCH("Razonar",$R410))),0)</f>
        <v>0</v>
      </c>
      <c r="T410" s="121" cm="1">
        <f t="array" ref="T410">_xlfn.IFERROR(ISNUMBER(SEARCH("Aplicar",$R410))/(ISNUMBER(SEARCH("Conocer",$R410))+ISNUMBER(SEARCH("Aplicar",$R410))+ISNUMBER(SEARCH("Razonar",$R410))),0)</f>
        <v>0</v>
      </c>
      <c r="U410" s="121" cm="1">
        <f t="array" ref="U410">_xlfn.IFERROR(ISNUMBER(SEARCH("Razonar",$R410))/(ISNUMBER(SEARCH("Conocer",$R410))+ISNUMBER(SEARCH("Aplicar",$R410))+ISNUMBER(SEARCH("Razonar",$R410))),0)</f>
        <v>1</v>
      </c>
      <c r="V410" t="s" s="35">
        <v>85</v>
      </c>
      <c r="W410" t="s" s="35">
        <v>115</v>
      </c>
      <c r="X410" s="36" cm="1">
        <f t="array" ref="X410">IF(OR(_xlfn.IFERROR(INDEX('Datos - Catálogo TIMSS'!$I$5:$I$107,MATCH(K410,'Datos - Catálogo TIMSS'!$A$5:$A$107,0)),"No")="Sí",_xlfn.IFERROR(INDEX('Datos - Catálogo TIMSS'!$I$5:$I$107,MATCH(L410,'Datos - Catálogo TIMSS'!$A$5:$A$107,0)),"No")="Sí"),1,0)</f>
        <v>1</v>
      </c>
      <c r="Y410" s="36" cm="1">
        <f t="array" ref="Y410">IF(_xlfn.IFERROR(INDEX('Datos - Catálogo TIMSS'!$J$5:$J$107,MATCH(K410,'Datos - Catálogo TIMSS'!$A$5:$A$107,0)),"No")="Sí",1,0)</f>
        <v>0</v>
      </c>
      <c r="Z410" s="36" cm="1">
        <f t="array" ref="Z410">IF(_xlfn.IFERROR(INDEX('Datos - Catálogo TIMSS'!$J$5:$J$107,MATCH(L410,'Datos - Catálogo TIMSS'!$A$5:$A$107,0)),"No")="Sí",1,0)</f>
        <v>0</v>
      </c>
      <c r="AA410" t="s" s="35">
        <v>3731</v>
      </c>
      <c r="AB410" t="s" s="35">
        <v>3135</v>
      </c>
      <c r="AC410" t="str" s="39">
        <v>Ciencias de la Tierra</v>
      </c>
      <c r="AD410" t="s" s="35">
        <v>1834</v>
      </c>
      <c r="AE410" t="str" s="39" cm="1">
        <f t="array" ref="AE410">IF(AD410="","",IF(LEFT(AD410,1)="1","C1",IF(LEFT(AD410,1)="2","C2",IF(LEFT(AD410,1)="3","C3",""))))</f>
        <v>C2</v>
      </c>
      <c r="AF410" t="s" s="35">
        <v>1602</v>
      </c>
      <c r="AG410" t="s" s="35">
        <v>1607</v>
      </c>
      <c r="AH410" t="s" s="35">
        <v>1602</v>
      </c>
      <c r="AI410" t="s" s="35">
        <v>1619</v>
      </c>
      <c r="AJ410" t="s" s="35">
        <v>1615</v>
      </c>
      <c r="AK410" t="s" s="35">
        <v>1556</v>
      </c>
      <c r="AL410" t="s" s="35">
        <v>1550</v>
      </c>
      <c r="AM410" t="str" s="39" cm="1">
        <f t="array" ref="AM410">IF(AK410="FUERA","Fuera del marco",_xlfn.IFERROR(INDEX('Datos - Catálogo PISA'!$C$5:$C$76,MATCH(AK410,'Datos - Catálogo PISA'!$A$5:$A$76,0)),"?"))</f>
        <v>Sistemas de la Tierra y el espacio</v>
      </c>
      <c r="AN410" t="s" s="35">
        <v>1651</v>
      </c>
      <c r="AO410" t="s" s="35">
        <v>3750</v>
      </c>
      <c r="AP410" s="39"/>
      <c r="AQ410" t="s" s="35">
        <v>1756</v>
      </c>
      <c r="AR410" s="39"/>
      <c r="AS410" t="s" s="35">
        <v>1771</v>
      </c>
      <c r="AT410" t="s" s="35">
        <v>282</v>
      </c>
      <c r="AU410" t="s" s="35">
        <v>3751</v>
      </c>
      <c r="AV410" t="s" s="35">
        <v>139</v>
      </c>
      <c r="AW410" t="str" s="39" cm="1">
        <f t="array" ref="AW410">AF410&amp;"; "&amp;AG410&amp;"; "&amp;AH410&amp;"; "&amp;AI410&amp;"; "&amp;AJ410</f>
        <v>E1; E3; E1; D2; E6</v>
      </c>
    </row>
    <row r="411" ht="13.65" customHeight="1">
      <c r="A411" t="s" s="35">
        <v>3752</v>
      </c>
      <c r="B411" s="36">
        <v>7</v>
      </c>
      <c r="C411" t="s" s="35">
        <v>1823</v>
      </c>
      <c r="D411" t="s" s="35">
        <v>3454</v>
      </c>
      <c r="E411" t="s" s="35">
        <v>3727</v>
      </c>
      <c r="F411" s="36">
        <v>8</v>
      </c>
      <c r="G411" t="s" s="35">
        <v>642</v>
      </c>
      <c r="H411" t="s" s="35">
        <v>3728</v>
      </c>
      <c r="I411" t="s" s="120">
        <v>3753</v>
      </c>
      <c r="J411" t="s" s="35">
        <v>1164</v>
      </c>
      <c r="K411" t="s" s="35">
        <v>1272</v>
      </c>
      <c r="L411" t="s" s="35">
        <v>520</v>
      </c>
      <c r="M411" t="str" s="39">
        <v>Ciencias de la Tierra</v>
      </c>
      <c r="N411" t="str" s="39">
        <v>Rasgos, procesos e historia de la Tierra</v>
      </c>
      <c r="O411" t="str" s="39" cm="1">
        <f t="array" ref="O411">IF(L411="","",_xlfn.IFERROR(INDEX('Datos - Catálogo TIMSS'!$C$5:$C$107,MATCH(L411,'Datos - Catálogo TIMSS'!$A$5:$A$107,0)),"?"))</f>
        <v>Ciencias de la Tierra</v>
      </c>
      <c r="P411" t="s" s="35">
        <v>282</v>
      </c>
      <c r="Q411" t="s" s="120">
        <v>3754</v>
      </c>
      <c r="R411" t="s" s="120">
        <v>2798</v>
      </c>
      <c r="S411" s="121" cm="1">
        <f t="array" ref="S411">_xlfn.IFERROR(ISNUMBER(SEARCH("Conocer",$R411))/(ISNUMBER(SEARCH("Conocer",$R411))+ISNUMBER(SEARCH("Aplicar",$R411))+ISNUMBER(SEARCH("Razonar",$R411))),0)</f>
        <v>0</v>
      </c>
      <c r="T411" s="121" cm="1">
        <f t="array" ref="T411">_xlfn.IFERROR(ISNUMBER(SEARCH("Aplicar",$R411))/(ISNUMBER(SEARCH("Conocer",$R411))+ISNUMBER(SEARCH("Aplicar",$R411))+ISNUMBER(SEARCH("Razonar",$R411))),0)</f>
        <v>1</v>
      </c>
      <c r="U411" s="121" cm="1">
        <f t="array" ref="U411">_xlfn.IFERROR(ISNUMBER(SEARCH("Razonar",$R411))/(ISNUMBER(SEARCH("Conocer",$R411))+ISNUMBER(SEARCH("Aplicar",$R411))+ISNUMBER(SEARCH("Razonar",$R411))),0)</f>
        <v>0</v>
      </c>
      <c r="V411" t="s" s="35">
        <v>85</v>
      </c>
      <c r="W411" t="s" s="35">
        <v>115</v>
      </c>
      <c r="X411" s="36" cm="1">
        <f t="array" ref="X411">IF(OR(_xlfn.IFERROR(INDEX('Datos - Catálogo TIMSS'!$I$5:$I$107,MATCH(K411,'Datos - Catálogo TIMSS'!$A$5:$A$107,0)),"No")="Sí",_xlfn.IFERROR(INDEX('Datos - Catálogo TIMSS'!$I$5:$I$107,MATCH(L411,'Datos - Catálogo TIMSS'!$A$5:$A$107,0)),"No")="Sí"),1,0)</f>
        <v>1</v>
      </c>
      <c r="Y411" s="36" cm="1">
        <f t="array" ref="Y411">IF(_xlfn.IFERROR(INDEX('Datos - Catálogo TIMSS'!$J$5:$J$107,MATCH(K411,'Datos - Catálogo TIMSS'!$A$5:$A$107,0)),"No")="Sí",1,0)</f>
        <v>0</v>
      </c>
      <c r="Z411" s="36" cm="1">
        <f t="array" ref="Z411">IF(_xlfn.IFERROR(INDEX('Datos - Catálogo TIMSS'!$J$5:$J$107,MATCH(L411,'Datos - Catálogo TIMSS'!$A$5:$A$107,0)),"No")="Sí",1,0)</f>
        <v>0</v>
      </c>
      <c r="AA411" t="s" s="35">
        <v>3135</v>
      </c>
      <c r="AB411" t="s" s="35">
        <v>3731</v>
      </c>
      <c r="AC411" t="str" s="39">
        <v>Ciencias de la Tierra</v>
      </c>
      <c r="AD411" t="s" s="35">
        <v>1859</v>
      </c>
      <c r="AE411" t="str" s="39" cm="1">
        <f t="array" ref="AE411">IF(AD411="","",IF(LEFT(AD411,1)="1","C1",IF(LEFT(AD411,1)="2","C2",IF(LEFT(AD411,1)="3","C3",""))))</f>
        <v>C1</v>
      </c>
      <c r="AF411" t="s" s="35">
        <v>1602</v>
      </c>
      <c r="AG411" t="s" s="35">
        <v>1617</v>
      </c>
      <c r="AH411" t="s" s="35">
        <v>1609</v>
      </c>
      <c r="AI411" t="s" s="35">
        <v>1609</v>
      </c>
      <c r="AJ411" t="s" s="35">
        <v>1602</v>
      </c>
      <c r="AK411" t="s" s="35">
        <v>1556</v>
      </c>
      <c r="AL411" s="39"/>
      <c r="AM411" t="str" s="39" cm="1">
        <f t="array" ref="AM411">IF(AK411="FUERA","Fuera del marco",_xlfn.IFERROR(INDEX('Datos - Catálogo PISA'!$C$5:$C$76,MATCH(AK411,'Datos - Catálogo PISA'!$A$5:$A$76,0)),"?"))</f>
        <v>Sistemas de la Tierra y el espacio</v>
      </c>
      <c r="AN411" t="s" s="35">
        <v>1651</v>
      </c>
      <c r="AO411" s="39"/>
      <c r="AP411" t="s" s="35">
        <v>3534</v>
      </c>
      <c r="AQ411" t="s" s="35">
        <v>1756</v>
      </c>
      <c r="AR411" s="39"/>
      <c r="AS411" t="s" s="35">
        <v>1771</v>
      </c>
      <c r="AT411" t="s" s="35">
        <v>254</v>
      </c>
      <c r="AU411" t="s" s="35">
        <v>3755</v>
      </c>
      <c r="AV411" t="s" s="35">
        <v>139</v>
      </c>
      <c r="AW411" t="str" s="39" cm="1">
        <f t="array" ref="AW411">AF411&amp;"; "&amp;AG411&amp;"; "&amp;AH411&amp;"; "&amp;AI411&amp;"; "&amp;AJ411</f>
        <v>E1; D1; E4; E4; E1</v>
      </c>
    </row>
    <row r="412" ht="13.65" customHeight="1">
      <c r="A412" t="s" s="35">
        <v>3756</v>
      </c>
      <c r="B412" s="36">
        <v>7</v>
      </c>
      <c r="C412" t="s" s="35">
        <v>1823</v>
      </c>
      <c r="D412" t="s" s="35">
        <v>3454</v>
      </c>
      <c r="E412" t="s" s="35">
        <v>3727</v>
      </c>
      <c r="F412" s="36">
        <v>9</v>
      </c>
      <c r="G412" t="s" s="35">
        <v>642</v>
      </c>
      <c r="H412" t="s" s="35">
        <v>3757</v>
      </c>
      <c r="I412" t="s" s="120">
        <v>3758</v>
      </c>
      <c r="J412" t="s" s="35">
        <v>1164</v>
      </c>
      <c r="K412" t="s" s="35">
        <v>1272</v>
      </c>
      <c r="L412" s="39"/>
      <c r="M412" t="str" s="39">
        <v>Ciencias de la Tierra</v>
      </c>
      <c r="N412" t="str" s="39">
        <v>Rasgos, procesos e historia de la Tierra</v>
      </c>
      <c r="O412" t="str" s="39" cm="1">
        <f t="array" ref="O412">IF(L412="","",_xlfn.IFERROR(INDEX('Datos - Catálogo TIMSS'!$C$5:$C$107,MATCH(L412,'Datos - Catálogo TIMSS'!$A$5:$A$107,0)),"?"))</f>
      </c>
      <c r="P412" t="s" s="35">
        <v>291</v>
      </c>
      <c r="Q412" t="s" s="120">
        <v>3759</v>
      </c>
      <c r="R412" t="s" s="120">
        <v>3095</v>
      </c>
      <c r="S412" s="121" cm="1">
        <f t="array" ref="S412">_xlfn.IFERROR(ISNUMBER(SEARCH("Conocer",$R412))/(ISNUMBER(SEARCH("Conocer",$R412))+ISNUMBER(SEARCH("Aplicar",$R412))+ISNUMBER(SEARCH("Razonar",$R412))),0)</f>
        <v>0</v>
      </c>
      <c r="T412" s="121" cm="1">
        <f t="array" ref="T412">_xlfn.IFERROR(ISNUMBER(SEARCH("Aplicar",$R412))/(ISNUMBER(SEARCH("Conocer",$R412))+ISNUMBER(SEARCH("Aplicar",$R412))+ISNUMBER(SEARCH("Razonar",$R412))),0)</f>
        <v>1</v>
      </c>
      <c r="U412" s="121" cm="1">
        <f t="array" ref="U412">_xlfn.IFERROR(ISNUMBER(SEARCH("Razonar",$R412))/(ISNUMBER(SEARCH("Conocer",$R412))+ISNUMBER(SEARCH("Aplicar",$R412))+ISNUMBER(SEARCH("Razonar",$R412))),0)</f>
        <v>0</v>
      </c>
      <c r="V412" t="s" s="35">
        <v>85</v>
      </c>
      <c r="W412" t="s" s="35">
        <v>115</v>
      </c>
      <c r="X412" s="36" cm="1">
        <f t="array" ref="X412">IF(OR(_xlfn.IFERROR(INDEX('Datos - Catálogo TIMSS'!$I$5:$I$107,MATCH(K412,'Datos - Catálogo TIMSS'!$A$5:$A$107,0)),"No")="Sí",_xlfn.IFERROR(INDEX('Datos - Catálogo TIMSS'!$I$5:$I$107,MATCH(L412,'Datos - Catálogo TIMSS'!$A$5:$A$107,0)),"No")="Sí"),1,0)</f>
        <v>1</v>
      </c>
      <c r="Y412" s="36" cm="1">
        <f t="array" ref="Y412">IF(_xlfn.IFERROR(INDEX('Datos - Catálogo TIMSS'!$J$5:$J$107,MATCH(K412,'Datos - Catálogo TIMSS'!$A$5:$A$107,0)),"No")="Sí",1,0)</f>
        <v>0</v>
      </c>
      <c r="Z412" s="36" cm="1">
        <f t="array" ref="Z412">IF(_xlfn.IFERROR(INDEX('Datos - Catálogo TIMSS'!$J$5:$J$107,MATCH(L412,'Datos - Catálogo TIMSS'!$A$5:$A$107,0)),"No")="Sí",1,0)</f>
        <v>0</v>
      </c>
      <c r="AA412" t="s" s="35">
        <v>3135</v>
      </c>
      <c r="AB412" s="39"/>
      <c r="AC412" t="str" s="39">
        <v>Ciencias de la Tierra</v>
      </c>
      <c r="AD412" t="s" s="35">
        <v>1900</v>
      </c>
      <c r="AE412" t="str" s="39" cm="1">
        <f t="array" ref="AE412">IF(AD412="","",IF(LEFT(AD412,1)="1","C1",IF(LEFT(AD412,1)="2","C2",IF(LEFT(AD412,1)="3","C3",""))))</f>
        <v>C3</v>
      </c>
      <c r="AF412" t="s" s="35">
        <v>1615</v>
      </c>
      <c r="AG412" t="s" s="35">
        <v>1617</v>
      </c>
      <c r="AH412" t="s" s="35">
        <v>1605</v>
      </c>
      <c r="AI412" t="s" s="35">
        <v>1625</v>
      </c>
      <c r="AJ412" t="s" s="35">
        <v>1633</v>
      </c>
      <c r="AK412" t="s" s="35">
        <v>1556</v>
      </c>
      <c r="AL412" s="39"/>
      <c r="AM412" t="str" s="39" cm="1">
        <f t="array" ref="AM412">IF(AK412="FUERA","Fuera del marco",_xlfn.IFERROR(INDEX('Datos - Catálogo PISA'!$C$5:$C$76,MATCH(AK412,'Datos - Catálogo PISA'!$A$5:$A$76,0)),"?"))</f>
        <v>Sistemas de la Tierra y el espacio</v>
      </c>
      <c r="AN412" t="s" s="35">
        <v>1651</v>
      </c>
      <c r="AO412" s="39"/>
      <c r="AP412" s="39"/>
      <c r="AQ412" t="s" s="35">
        <v>1752</v>
      </c>
      <c r="AR412" t="s" s="35">
        <v>1765</v>
      </c>
      <c r="AS412" t="s" s="35">
        <v>1770</v>
      </c>
      <c r="AT412" t="s" s="35">
        <v>254</v>
      </c>
      <c r="AU412" t="s" s="35">
        <v>3760</v>
      </c>
      <c r="AV412" t="s" s="35">
        <v>139</v>
      </c>
      <c r="AW412" t="str" s="39" cm="1">
        <f t="array" ref="AW412">AF412&amp;"; "&amp;AG412&amp;"; "&amp;AH412&amp;"; "&amp;AI412&amp;"; "&amp;AJ412</f>
        <v>E6; D1; E2; I1; I5</v>
      </c>
    </row>
    <row r="413" ht="13.65" customHeight="1">
      <c r="A413" t="s" s="35">
        <v>3761</v>
      </c>
      <c r="B413" s="36">
        <v>7</v>
      </c>
      <c r="C413" t="s" s="35">
        <v>1823</v>
      </c>
      <c r="D413" t="s" s="35">
        <v>3454</v>
      </c>
      <c r="E413" t="s" s="35">
        <v>3727</v>
      </c>
      <c r="F413" s="36">
        <v>10</v>
      </c>
      <c r="G413" t="s" s="35">
        <v>642</v>
      </c>
      <c r="H413" t="s" s="35">
        <v>3762</v>
      </c>
      <c r="I413" t="s" s="120">
        <v>3763</v>
      </c>
      <c r="J413" t="s" s="35">
        <v>1164</v>
      </c>
      <c r="K413" t="s" s="35">
        <v>1201</v>
      </c>
      <c r="L413" s="39"/>
      <c r="M413" t="str" s="39">
        <v>Biología</v>
      </c>
      <c r="N413" t="str" s="39">
        <v>Ecosistemas</v>
      </c>
      <c r="O413" t="str" s="39" cm="1">
        <f t="array" ref="O413">IF(L413="","",_xlfn.IFERROR(INDEX('Datos - Catálogo TIMSS'!$C$5:$C$107,MATCH(L413,'Datos - Catálogo TIMSS'!$A$5:$A$107,0)),"?"))</f>
      </c>
      <c r="P413" t="s" s="35">
        <v>282</v>
      </c>
      <c r="Q413" t="s" s="120">
        <v>3764</v>
      </c>
      <c r="R413" t="s" s="120">
        <v>3765</v>
      </c>
      <c r="S413" s="121" cm="1">
        <f t="array" ref="S413">_xlfn.IFERROR(ISNUMBER(SEARCH("Conocer",$R413))/(ISNUMBER(SEARCH("Conocer",$R413))+ISNUMBER(SEARCH("Aplicar",$R413))+ISNUMBER(SEARCH("Razonar",$R413))),0)</f>
        <v>0</v>
      </c>
      <c r="T413" s="121" cm="1">
        <f t="array" ref="T413">_xlfn.IFERROR(ISNUMBER(SEARCH("Aplicar",$R413))/(ISNUMBER(SEARCH("Conocer",$R413))+ISNUMBER(SEARCH("Aplicar",$R413))+ISNUMBER(SEARCH("Razonar",$R413))),0)</f>
        <v>0.5</v>
      </c>
      <c r="U413" s="121" cm="1">
        <f t="array" ref="U413">_xlfn.IFERROR(ISNUMBER(SEARCH("Razonar",$R413))/(ISNUMBER(SEARCH("Conocer",$R413))+ISNUMBER(SEARCH("Aplicar",$R413))+ISNUMBER(SEARCH("Razonar",$R413))),0)</f>
        <v>0.5</v>
      </c>
      <c r="V413" t="s" s="35">
        <v>85</v>
      </c>
      <c r="W413" t="s" s="35">
        <v>115</v>
      </c>
      <c r="X413" s="36" cm="1">
        <f t="array" ref="X413">IF(OR(_xlfn.IFERROR(INDEX('Datos - Catálogo TIMSS'!$I$5:$I$107,MATCH(K413,'Datos - Catálogo TIMSS'!$A$5:$A$107,0)),"No")="Sí",_xlfn.IFERROR(INDEX('Datos - Catálogo TIMSS'!$I$5:$I$107,MATCH(L413,'Datos - Catálogo TIMSS'!$A$5:$A$107,0)),"No")="Sí"),1,0)</f>
        <v>1</v>
      </c>
      <c r="Y413" s="36" cm="1">
        <f t="array" ref="Y413">IF(_xlfn.IFERROR(INDEX('Datos - Catálogo TIMSS'!$J$5:$J$107,MATCH(K413,'Datos - Catálogo TIMSS'!$A$5:$A$107,0)),"No")="Sí",1,0)</f>
        <v>0</v>
      </c>
      <c r="Z413" s="36" cm="1">
        <f t="array" ref="Z413">IF(_xlfn.IFERROR(INDEX('Datos - Catálogo TIMSS'!$J$5:$J$107,MATCH(L413,'Datos - Catálogo TIMSS'!$A$5:$A$107,0)),"No")="Sí",1,0)</f>
        <v>0</v>
      </c>
      <c r="AA413" t="s" s="35">
        <v>3144</v>
      </c>
      <c r="AB413" t="s" s="35">
        <v>3135</v>
      </c>
      <c r="AC413" t="str" s="39">
        <v>Biología</v>
      </c>
      <c r="AD413" t="s" s="35">
        <v>1834</v>
      </c>
      <c r="AE413" t="str" s="39" cm="1">
        <f t="array" ref="AE413">IF(AD413="","",IF(LEFT(AD413,1)="1","C1",IF(LEFT(AD413,1)="2","C2",IF(LEFT(AD413,1)="3","C3",""))))</f>
        <v>C2</v>
      </c>
      <c r="AF413" t="s" s="35">
        <v>1602</v>
      </c>
      <c r="AG413" t="s" s="35">
        <v>1617</v>
      </c>
      <c r="AH413" t="s" s="35">
        <v>1602</v>
      </c>
      <c r="AI413" t="s" s="35">
        <v>1623</v>
      </c>
      <c r="AJ413" t="s" s="35">
        <v>1615</v>
      </c>
      <c r="AK413" t="s" s="35">
        <v>1544</v>
      </c>
      <c r="AL413" t="s" s="35">
        <v>1556</v>
      </c>
      <c r="AM413" t="str" s="39" cm="1">
        <f t="array" ref="AM413">IF(AK413="FUERA","Fuera del marco",_xlfn.IFERROR(INDEX('Datos - Catálogo PISA'!$C$5:$C$76,MATCH(AK413,'Datos - Catálogo PISA'!$A$5:$A$76,0)),"?"))</f>
        <v>Sistemas vivos</v>
      </c>
      <c r="AN413" t="s" s="35">
        <v>1651</v>
      </c>
      <c r="AO413" t="s" s="35">
        <v>3488</v>
      </c>
      <c r="AP413" s="39"/>
      <c r="AQ413" t="s" s="35">
        <v>1752</v>
      </c>
      <c r="AR413" t="s" s="35">
        <v>1766</v>
      </c>
      <c r="AS413" t="s" s="35">
        <v>1771</v>
      </c>
      <c r="AT413" t="s" s="35">
        <v>282</v>
      </c>
      <c r="AU413" t="s" s="35">
        <v>3766</v>
      </c>
      <c r="AV413" t="s" s="35">
        <v>139</v>
      </c>
      <c r="AW413" t="str" s="39" cm="1">
        <f t="array" ref="AW413">AF413&amp;"; "&amp;AG413&amp;"; "&amp;AH413&amp;"; "&amp;AI413&amp;"; "&amp;AJ413</f>
        <v>E1; D1; E1; D4; E6</v>
      </c>
    </row>
    <row r="414" ht="13.65" customHeight="1">
      <c r="A414" t="s" s="35">
        <v>3767</v>
      </c>
      <c r="B414" s="36">
        <v>7</v>
      </c>
      <c r="C414" t="s" s="35">
        <v>1823</v>
      </c>
      <c r="D414" t="s" s="35">
        <v>3454</v>
      </c>
      <c r="E414" t="s" s="35">
        <v>3727</v>
      </c>
      <c r="F414" s="36">
        <v>11</v>
      </c>
      <c r="G414" t="s" s="35">
        <v>642</v>
      </c>
      <c r="H414" t="s" s="35">
        <v>3762</v>
      </c>
      <c r="I414" t="s" s="120">
        <v>3768</v>
      </c>
      <c r="J414" t="s" s="35">
        <v>1164</v>
      </c>
      <c r="K414" t="s" s="35">
        <v>1224</v>
      </c>
      <c r="L414" t="s" s="35">
        <v>1234</v>
      </c>
      <c r="M414" t="str" s="39">
        <v>Química</v>
      </c>
      <c r="N414" t="str" s="39">
        <v>Propiedades de la materia</v>
      </c>
      <c r="O414" t="str" s="39" cm="1">
        <f t="array" ref="O414">IF(L414="","",_xlfn.IFERROR(INDEX('Datos - Catálogo TIMSS'!$C$5:$C$107,MATCH(L414,'Datos - Catálogo TIMSS'!$A$5:$A$107,0)),"?"))</f>
        <v>Química</v>
      </c>
      <c r="P414" t="s" s="35">
        <v>291</v>
      </c>
      <c r="Q414" t="s" s="120">
        <v>3769</v>
      </c>
      <c r="R414" t="s" s="120">
        <v>2902</v>
      </c>
      <c r="S414" s="121" cm="1">
        <f t="array" ref="S414">_xlfn.IFERROR(ISNUMBER(SEARCH("Conocer",$R414))/(ISNUMBER(SEARCH("Conocer",$R414))+ISNUMBER(SEARCH("Aplicar",$R414))+ISNUMBER(SEARCH("Razonar",$R414))),0)</f>
        <v>0</v>
      </c>
      <c r="T414" s="121" cm="1">
        <f t="array" ref="T414">_xlfn.IFERROR(ISNUMBER(SEARCH("Aplicar",$R414))/(ISNUMBER(SEARCH("Conocer",$R414))+ISNUMBER(SEARCH("Aplicar",$R414))+ISNUMBER(SEARCH("Razonar",$R414))),0)</f>
        <v>0.5</v>
      </c>
      <c r="U414" s="121" cm="1">
        <f t="array" ref="U414">_xlfn.IFERROR(ISNUMBER(SEARCH("Razonar",$R414))/(ISNUMBER(SEARCH("Conocer",$R414))+ISNUMBER(SEARCH("Aplicar",$R414))+ISNUMBER(SEARCH("Razonar",$R414))),0)</f>
        <v>0.5</v>
      </c>
      <c r="V414" t="s" s="35">
        <v>85</v>
      </c>
      <c r="W414" t="s" s="35">
        <v>115</v>
      </c>
      <c r="X414" s="36" cm="1">
        <f t="array" ref="X414">IF(OR(_xlfn.IFERROR(INDEX('Datos - Catálogo TIMSS'!$I$5:$I$107,MATCH(K414,'Datos - Catálogo TIMSS'!$A$5:$A$107,0)),"No")="Sí",_xlfn.IFERROR(INDEX('Datos - Catálogo TIMSS'!$I$5:$I$107,MATCH(L414,'Datos - Catálogo TIMSS'!$A$5:$A$107,0)),"No")="Sí"),1,0)</f>
        <v>0</v>
      </c>
      <c r="Y414" s="36" cm="1">
        <f t="array" ref="Y414">IF(_xlfn.IFERROR(INDEX('Datos - Catálogo TIMSS'!$J$5:$J$107,MATCH(K414,'Datos - Catálogo TIMSS'!$A$5:$A$107,0)),"No")="Sí",1,0)</f>
        <v>0</v>
      </c>
      <c r="Z414" s="36" cm="1">
        <f t="array" ref="Z414">IF(_xlfn.IFERROR(INDEX('Datos - Catálogo TIMSS'!$J$5:$J$107,MATCH(L414,'Datos - Catálogo TIMSS'!$A$5:$A$107,0)),"No")="Sí",1,0)</f>
        <v>1</v>
      </c>
      <c r="AA414" t="s" s="35">
        <v>3135</v>
      </c>
      <c r="AB414" t="s" s="35">
        <v>3487</v>
      </c>
      <c r="AC414" t="str" s="39">
        <v>Ciencias de la Tierra</v>
      </c>
      <c r="AD414" t="s" s="35">
        <v>1834</v>
      </c>
      <c r="AE414" t="str" s="39" cm="1">
        <f t="array" ref="AE414">IF(AD414="","",IF(LEFT(AD414,1)="1","C1",IF(LEFT(AD414,1)="2","C2",IF(LEFT(AD414,1)="3","C3",""))))</f>
        <v>C2</v>
      </c>
      <c r="AF414" t="s" s="35">
        <v>1602</v>
      </c>
      <c r="AG414" t="s" s="35">
        <v>1607</v>
      </c>
      <c r="AH414" t="s" s="35">
        <v>1602</v>
      </c>
      <c r="AI414" t="s" s="35">
        <v>1623</v>
      </c>
      <c r="AJ414" t="s" s="35">
        <v>1615</v>
      </c>
      <c r="AK414" t="s" s="35">
        <v>1556</v>
      </c>
      <c r="AL414" t="s" s="35">
        <v>869</v>
      </c>
      <c r="AM414" t="str" s="39" cm="1">
        <f t="array" ref="AM414">IF(AK414="FUERA","Fuera del marco",_xlfn.IFERROR(INDEX('Datos - Catálogo PISA'!$C$5:$C$76,MATCH(AK414,'Datos - Catálogo PISA'!$A$5:$A$76,0)),"?"))</f>
        <v>Sistemas de la Tierra y el espacio</v>
      </c>
      <c r="AN414" t="s" s="35">
        <v>1652</v>
      </c>
      <c r="AO414" t="s" s="35">
        <v>3610</v>
      </c>
      <c r="AP414" s="39"/>
      <c r="AQ414" t="s" s="35">
        <v>1752</v>
      </c>
      <c r="AR414" t="s" s="35">
        <v>1765</v>
      </c>
      <c r="AS414" t="s" s="35">
        <v>1771</v>
      </c>
      <c r="AT414" t="s" s="35">
        <v>282</v>
      </c>
      <c r="AU414" t="s" s="35">
        <v>3770</v>
      </c>
      <c r="AV414" t="s" s="35">
        <v>139</v>
      </c>
      <c r="AW414" t="str" s="39" cm="1">
        <f t="array" ref="AW414">AF414&amp;"; "&amp;AG414&amp;"; "&amp;AH414&amp;"; "&amp;AI414&amp;"; "&amp;AJ414</f>
        <v>E1; E3; E1; D4; E6</v>
      </c>
    </row>
    <row r="415" ht="13.65" customHeight="1">
      <c r="A415" t="s" s="35">
        <v>3771</v>
      </c>
      <c r="B415" s="36">
        <v>7</v>
      </c>
      <c r="C415" t="s" s="35">
        <v>1823</v>
      </c>
      <c r="D415" t="s" s="35">
        <v>3454</v>
      </c>
      <c r="E415" t="s" s="35">
        <v>3727</v>
      </c>
      <c r="F415" s="36">
        <v>12</v>
      </c>
      <c r="G415" t="s" s="35">
        <v>642</v>
      </c>
      <c r="H415" t="s" s="35">
        <v>3762</v>
      </c>
      <c r="I415" t="s" s="120">
        <v>3772</v>
      </c>
      <c r="J415" t="s" s="35">
        <v>1164</v>
      </c>
      <c r="K415" t="s" s="35">
        <v>1290</v>
      </c>
      <c r="L415" t="s" s="35">
        <v>1201</v>
      </c>
      <c r="M415" t="str" s="39">
        <v>Ciencias de la Tierra</v>
      </c>
      <c r="N415" t="str" s="39">
        <v>Recursos de la Tierra, uso y conservación</v>
      </c>
      <c r="O415" t="str" s="39" cm="1">
        <f t="array" ref="O415">IF(L415="","",_xlfn.IFERROR(INDEX('Datos - Catálogo TIMSS'!$C$5:$C$107,MATCH(L415,'Datos - Catálogo TIMSS'!$A$5:$A$107,0)),"?"))</f>
        <v>Biología</v>
      </c>
      <c r="P415" t="s" s="35">
        <v>291</v>
      </c>
      <c r="Q415" t="s" s="120">
        <v>3773</v>
      </c>
      <c r="R415" t="s" s="120">
        <v>3774</v>
      </c>
      <c r="S415" s="121" cm="1">
        <f t="array" ref="S415">_xlfn.IFERROR(ISNUMBER(SEARCH("Conocer",$R415))/(ISNUMBER(SEARCH("Conocer",$R415))+ISNUMBER(SEARCH("Aplicar",$R415))+ISNUMBER(SEARCH("Razonar",$R415))),0)</f>
        <v>0</v>
      </c>
      <c r="T415" s="121" cm="1">
        <f t="array" ref="T415">_xlfn.IFERROR(ISNUMBER(SEARCH("Aplicar",$R415))/(ISNUMBER(SEARCH("Conocer",$R415))+ISNUMBER(SEARCH("Aplicar",$R415))+ISNUMBER(SEARCH("Razonar",$R415))),0)</f>
        <v>0</v>
      </c>
      <c r="U415" s="121" cm="1">
        <f t="array" ref="U415">_xlfn.IFERROR(ISNUMBER(SEARCH("Razonar",$R415))/(ISNUMBER(SEARCH("Conocer",$R415))+ISNUMBER(SEARCH("Aplicar",$R415))+ISNUMBER(SEARCH("Razonar",$R415))),0)</f>
        <v>1</v>
      </c>
      <c r="V415" t="s" s="35">
        <v>85</v>
      </c>
      <c r="W415" t="s" s="35">
        <v>115</v>
      </c>
      <c r="X415" s="36" cm="1">
        <f t="array" ref="X415">IF(OR(_xlfn.IFERROR(INDEX('Datos - Catálogo TIMSS'!$I$5:$I$107,MATCH(K415,'Datos - Catálogo TIMSS'!$A$5:$A$107,0)),"No")="Sí",_xlfn.IFERROR(INDEX('Datos - Catálogo TIMSS'!$I$5:$I$107,MATCH(L415,'Datos - Catálogo TIMSS'!$A$5:$A$107,0)),"No")="Sí"),1,0)</f>
        <v>1</v>
      </c>
      <c r="Y415" s="36" cm="1">
        <f t="array" ref="Y415">IF(_xlfn.IFERROR(INDEX('Datos - Catálogo TIMSS'!$J$5:$J$107,MATCH(K415,'Datos - Catálogo TIMSS'!$A$5:$A$107,0)),"No")="Sí",1,0)</f>
        <v>0</v>
      </c>
      <c r="Z415" s="36" cm="1">
        <f t="array" ref="Z415">IF(_xlfn.IFERROR(INDEX('Datos - Catálogo TIMSS'!$J$5:$J$107,MATCH(L415,'Datos - Catálogo TIMSS'!$A$5:$A$107,0)),"No")="Sí",1,0)</f>
        <v>0</v>
      </c>
      <c r="AA415" t="s" s="35">
        <v>3135</v>
      </c>
      <c r="AB415" s="39"/>
      <c r="AC415" t="str" s="39">
        <v>Ciencias de la Tierra</v>
      </c>
      <c r="AD415" t="s" s="35">
        <v>1900</v>
      </c>
      <c r="AE415" t="str" s="39" cm="1">
        <f t="array" ref="AE415">IF(AD415="","",IF(LEFT(AD415,1)="1","C1",IF(LEFT(AD415,1)="2","C2",IF(LEFT(AD415,1)="3","C3",""))))</f>
        <v>C3</v>
      </c>
      <c r="AF415" t="s" s="35">
        <v>1602</v>
      </c>
      <c r="AG415" t="s" s="35">
        <v>1617</v>
      </c>
      <c r="AH415" t="s" s="35">
        <v>1602</v>
      </c>
      <c r="AI415" t="s" s="35">
        <v>1629</v>
      </c>
      <c r="AJ415" t="s" s="35">
        <v>1633</v>
      </c>
      <c r="AK415" t="s" s="35">
        <v>1556</v>
      </c>
      <c r="AL415" s="39"/>
      <c r="AM415" t="str" s="39" cm="1">
        <f t="array" ref="AM415">IF(AK415="FUERA","Fuera del marco",_xlfn.IFERROR(INDEX('Datos - Catálogo PISA'!$C$5:$C$76,MATCH(AK415,'Datos - Catálogo PISA'!$A$5:$A$76,0)),"?"))</f>
        <v>Sistemas de la Tierra y el espacio</v>
      </c>
      <c r="AN415" t="s" s="35">
        <v>1651</v>
      </c>
      <c r="AO415" s="39"/>
      <c r="AP415" s="39"/>
      <c r="AQ415" t="s" s="35">
        <v>1752</v>
      </c>
      <c r="AR415" t="s" s="35">
        <v>1765</v>
      </c>
      <c r="AS415" t="s" s="35">
        <v>1771</v>
      </c>
      <c r="AT415" t="s" s="35">
        <v>254</v>
      </c>
      <c r="AU415" t="s" s="35">
        <v>3775</v>
      </c>
      <c r="AV415" t="s" s="35">
        <v>139</v>
      </c>
      <c r="AW415" t="str" s="39" cm="1">
        <f t="array" ref="AW415">AF415&amp;"; "&amp;AG415&amp;"; "&amp;AH415&amp;"; "&amp;AI415&amp;"; "&amp;AJ415</f>
        <v>E1; D1; E1; I3; I5</v>
      </c>
    </row>
    <row r="416" ht="13.65" customHeight="1">
      <c r="A416" t="s" s="35">
        <v>3776</v>
      </c>
      <c r="B416" s="36">
        <v>7</v>
      </c>
      <c r="C416" t="s" s="35">
        <v>1823</v>
      </c>
      <c r="D416" t="s" s="35">
        <v>3454</v>
      </c>
      <c r="E416" t="s" s="35">
        <v>3727</v>
      </c>
      <c r="F416" s="36">
        <v>13</v>
      </c>
      <c r="G416" t="s" s="35">
        <v>642</v>
      </c>
      <c r="H416" t="s" s="35">
        <v>3777</v>
      </c>
      <c r="I416" t="s" s="120">
        <v>3778</v>
      </c>
      <c r="J416" t="s" s="35">
        <v>1164</v>
      </c>
      <c r="K416" t="s" s="35">
        <v>494</v>
      </c>
      <c r="L416" s="39"/>
      <c r="M416" t="str" s="39">
        <v>Ciencias de la Tierra</v>
      </c>
      <c r="N416" t="str" s="39">
        <v>La atmósfera terrestre</v>
      </c>
      <c r="O416" t="str" s="39" cm="1">
        <f t="array" ref="O416">IF(L416="","",_xlfn.IFERROR(INDEX('Datos - Catálogo TIMSS'!$C$5:$C$107,MATCH(L416,'Datos - Catálogo TIMSS'!$A$5:$A$107,0)),"?"))</f>
      </c>
      <c r="P416" t="s" s="35">
        <v>254</v>
      </c>
      <c r="Q416" t="s" s="120">
        <v>3779</v>
      </c>
      <c r="R416" t="s" s="120">
        <v>2662</v>
      </c>
      <c r="S416" s="121" cm="1">
        <f t="array" ref="S416">_xlfn.IFERROR(ISNUMBER(SEARCH("Conocer",$R416))/(ISNUMBER(SEARCH("Conocer",$R416))+ISNUMBER(SEARCH("Aplicar",$R416))+ISNUMBER(SEARCH("Razonar",$R416))),0)</f>
        <v>0</v>
      </c>
      <c r="T416" s="121" cm="1">
        <f t="array" ref="T416">_xlfn.IFERROR(ISNUMBER(SEARCH("Aplicar",$R416))/(ISNUMBER(SEARCH("Conocer",$R416))+ISNUMBER(SEARCH("Aplicar",$R416))+ISNUMBER(SEARCH("Razonar",$R416))),0)</f>
        <v>1</v>
      </c>
      <c r="U416" s="121" cm="1">
        <f t="array" ref="U416">_xlfn.IFERROR(ISNUMBER(SEARCH("Razonar",$R416))/(ISNUMBER(SEARCH("Conocer",$R416))+ISNUMBER(SEARCH("Aplicar",$R416))+ISNUMBER(SEARCH("Razonar",$R416))),0)</f>
        <v>0</v>
      </c>
      <c r="V416" t="s" s="35">
        <v>85</v>
      </c>
      <c r="W416" t="s" s="35">
        <v>115</v>
      </c>
      <c r="X416" s="36" cm="1">
        <f t="array" ref="X416">IF(OR(_xlfn.IFERROR(INDEX('Datos - Catálogo TIMSS'!$I$5:$I$107,MATCH(K416,'Datos - Catálogo TIMSS'!$A$5:$A$107,0)),"No")="Sí",_xlfn.IFERROR(INDEX('Datos - Catálogo TIMSS'!$I$5:$I$107,MATCH(L416,'Datos - Catálogo TIMSS'!$A$5:$A$107,0)),"No")="Sí"),1,0)</f>
        <v>1</v>
      </c>
      <c r="Y416" s="36" cm="1">
        <f t="array" ref="Y416">IF(_xlfn.IFERROR(INDEX('Datos - Catálogo TIMSS'!$J$5:$J$107,MATCH(K416,'Datos - Catálogo TIMSS'!$A$5:$A$107,0)),"No")="Sí",1,0)</f>
        <v>0</v>
      </c>
      <c r="Z416" s="36" cm="1">
        <f t="array" ref="Z416">IF(_xlfn.IFERROR(INDEX('Datos - Catálogo TIMSS'!$J$5:$J$107,MATCH(L416,'Datos - Catálogo TIMSS'!$A$5:$A$107,0)),"No")="Sí",1,0)</f>
        <v>0</v>
      </c>
      <c r="AA416" t="s" s="35">
        <v>3780</v>
      </c>
      <c r="AB416" s="39"/>
      <c r="AC416" t="str" s="39">
        <v>Ciencias de la Tierra</v>
      </c>
      <c r="AD416" t="s" s="35">
        <v>1859</v>
      </c>
      <c r="AE416" t="str" s="39" cm="1">
        <f t="array" ref="AE416">IF(AD416="","",IF(LEFT(AD416,1)="1","C1",IF(LEFT(AD416,1)="2","C2",IF(LEFT(AD416,1)="3","C3",""))))</f>
        <v>C1</v>
      </c>
      <c r="AF416" t="s" s="35">
        <v>1602</v>
      </c>
      <c r="AG416" t="s" s="35">
        <v>1617</v>
      </c>
      <c r="AH416" t="s" s="35">
        <v>1605</v>
      </c>
      <c r="AI416" t="s" s="35">
        <v>1623</v>
      </c>
      <c r="AJ416" t="s" s="35">
        <v>1615</v>
      </c>
      <c r="AK416" t="s" s="35">
        <v>1550</v>
      </c>
      <c r="AL416" s="39"/>
      <c r="AM416" t="str" s="39" cm="1">
        <f t="array" ref="AM416">IF(AK416="FUERA","Fuera del marco",_xlfn.IFERROR(INDEX('Datos - Catálogo PISA'!$C$5:$C$76,MATCH(AK416,'Datos - Catálogo PISA'!$A$5:$A$76,0)),"?"))</f>
        <v>Sistemas de la Tierra y el espacio</v>
      </c>
      <c r="AN416" t="s" s="35">
        <v>1651</v>
      </c>
      <c r="AO416" s="39"/>
      <c r="AP416" s="39"/>
      <c r="AQ416" t="s" s="35">
        <v>1756</v>
      </c>
      <c r="AR416" s="39"/>
      <c r="AS416" t="s" s="35">
        <v>1770</v>
      </c>
      <c r="AT416" t="s" s="35">
        <v>254</v>
      </c>
      <c r="AU416" t="s" s="35">
        <v>3781</v>
      </c>
      <c r="AV416" t="s" s="35">
        <v>139</v>
      </c>
      <c r="AW416" t="str" s="39" cm="1">
        <f t="array" ref="AW416">AF416&amp;"; "&amp;AG416&amp;"; "&amp;AH416&amp;"; "&amp;AI416&amp;"; "&amp;AJ416</f>
        <v>E1; D1; E2; D4; E6</v>
      </c>
    </row>
    <row r="417" ht="13.65" customHeight="1">
      <c r="A417" t="s" s="35">
        <v>3782</v>
      </c>
      <c r="B417" s="36">
        <v>7</v>
      </c>
      <c r="C417" t="s" s="35">
        <v>1823</v>
      </c>
      <c r="D417" t="s" s="35">
        <v>3454</v>
      </c>
      <c r="E417" t="s" s="35">
        <v>3727</v>
      </c>
      <c r="F417" s="36">
        <v>14</v>
      </c>
      <c r="G417" t="s" s="35">
        <v>642</v>
      </c>
      <c r="H417" t="s" s="35">
        <v>3777</v>
      </c>
      <c r="I417" t="s" s="120">
        <v>3783</v>
      </c>
      <c r="J417" t="s" s="35">
        <v>1164</v>
      </c>
      <c r="K417" t="s" s="35">
        <v>1201</v>
      </c>
      <c r="L417" t="s" s="35">
        <v>494</v>
      </c>
      <c r="M417" t="str" s="39">
        <v>Biología</v>
      </c>
      <c r="N417" t="str" s="39">
        <v>Ecosistemas</v>
      </c>
      <c r="O417" t="str" s="39" cm="1">
        <f t="array" ref="O417">IF(L417="","",_xlfn.IFERROR(INDEX('Datos - Catálogo TIMSS'!$C$5:$C$107,MATCH(L417,'Datos - Catálogo TIMSS'!$A$5:$A$107,0)),"?"))</f>
        <v>Ciencias de la Tierra</v>
      </c>
      <c r="P417" t="s" s="35">
        <v>254</v>
      </c>
      <c r="Q417" t="s" s="120">
        <v>3784</v>
      </c>
      <c r="R417" t="s" s="120">
        <v>2176</v>
      </c>
      <c r="S417" s="121" cm="1">
        <f t="array" ref="S417">_xlfn.IFERROR(ISNUMBER(SEARCH("Conocer",$R417))/(ISNUMBER(SEARCH("Conocer",$R417))+ISNUMBER(SEARCH("Aplicar",$R417))+ISNUMBER(SEARCH("Razonar",$R417))),0)</f>
        <v>1</v>
      </c>
      <c r="T417" s="121" cm="1">
        <f t="array" ref="T417">_xlfn.IFERROR(ISNUMBER(SEARCH("Aplicar",$R417))/(ISNUMBER(SEARCH("Conocer",$R417))+ISNUMBER(SEARCH("Aplicar",$R417))+ISNUMBER(SEARCH("Razonar",$R417))),0)</f>
        <v>0</v>
      </c>
      <c r="U417" s="121" cm="1">
        <f t="array" ref="U417">_xlfn.IFERROR(ISNUMBER(SEARCH("Razonar",$R417))/(ISNUMBER(SEARCH("Conocer",$R417))+ISNUMBER(SEARCH("Aplicar",$R417))+ISNUMBER(SEARCH("Razonar",$R417))),0)</f>
        <v>0</v>
      </c>
      <c r="V417" t="s" s="35">
        <v>85</v>
      </c>
      <c r="W417" t="s" s="35">
        <v>115</v>
      </c>
      <c r="X417" s="36" cm="1">
        <f t="array" ref="X417">IF(OR(_xlfn.IFERROR(INDEX('Datos - Catálogo TIMSS'!$I$5:$I$107,MATCH(K417,'Datos - Catálogo TIMSS'!$A$5:$A$107,0)),"No")="Sí",_xlfn.IFERROR(INDEX('Datos - Catálogo TIMSS'!$I$5:$I$107,MATCH(L417,'Datos - Catálogo TIMSS'!$A$5:$A$107,0)),"No")="Sí"),1,0)</f>
        <v>1</v>
      </c>
      <c r="Y417" s="36" cm="1">
        <f t="array" ref="Y417">IF(_xlfn.IFERROR(INDEX('Datos - Catálogo TIMSS'!$J$5:$J$107,MATCH(K417,'Datos - Catálogo TIMSS'!$A$5:$A$107,0)),"No")="Sí",1,0)</f>
        <v>0</v>
      </c>
      <c r="Z417" s="36" cm="1">
        <f t="array" ref="Z417">IF(_xlfn.IFERROR(INDEX('Datos - Catálogo TIMSS'!$J$5:$J$107,MATCH(L417,'Datos - Catálogo TIMSS'!$A$5:$A$107,0)),"No")="Sí",1,0)</f>
        <v>0</v>
      </c>
      <c r="AA417" t="s" s="35">
        <v>3144</v>
      </c>
      <c r="AB417" t="s" s="35">
        <v>3780</v>
      </c>
      <c r="AC417" t="str" s="39">
        <v>Biología</v>
      </c>
      <c r="AD417" t="s" s="35">
        <v>1859</v>
      </c>
      <c r="AE417" t="str" s="39" cm="1">
        <f t="array" ref="AE417">IF(AD417="","",IF(LEFT(AD417,1)="1","C1",IF(LEFT(AD417,1)="2","C2",IF(LEFT(AD417,1)="3","C3",""))))</f>
        <v>C1</v>
      </c>
      <c r="AF417" t="s" s="35">
        <v>1602</v>
      </c>
      <c r="AG417" t="s" s="35">
        <v>1617</v>
      </c>
      <c r="AH417" t="s" s="35">
        <v>1602</v>
      </c>
      <c r="AI417" t="s" s="35">
        <v>1623</v>
      </c>
      <c r="AJ417" t="s" s="35">
        <v>1615</v>
      </c>
      <c r="AK417" t="s" s="35">
        <v>1548</v>
      </c>
      <c r="AL417" t="s" s="35">
        <v>1550</v>
      </c>
      <c r="AM417" t="str" s="39" cm="1">
        <f t="array" ref="AM417">IF(AK417="FUERA","Fuera del marco",_xlfn.IFERROR(INDEX('Datos - Catálogo PISA'!$C$5:$C$76,MATCH(AK417,'Datos - Catálogo PISA'!$A$5:$A$76,0)),"?"))</f>
        <v>Sistemas vivos</v>
      </c>
      <c r="AN417" t="s" s="35">
        <v>1651</v>
      </c>
      <c r="AO417" s="39"/>
      <c r="AP417" s="39"/>
      <c r="AQ417" t="s" s="35">
        <v>1752</v>
      </c>
      <c r="AR417" t="s" s="35">
        <v>1766</v>
      </c>
      <c r="AS417" t="s" s="35">
        <v>1771</v>
      </c>
      <c r="AT417" t="s" s="35">
        <v>282</v>
      </c>
      <c r="AU417" t="s" s="35">
        <v>3785</v>
      </c>
      <c r="AV417" t="s" s="35">
        <v>139</v>
      </c>
      <c r="AW417" t="str" s="39" cm="1">
        <f t="array" ref="AW417">AF417&amp;"; "&amp;AG417&amp;"; "&amp;AH417&amp;"; "&amp;AI417&amp;"; "&amp;AJ417</f>
        <v>E1; D1; E1; D4; E6</v>
      </c>
    </row>
    <row r="418" ht="13.65" customHeight="1">
      <c r="A418" t="s" s="35">
        <v>3786</v>
      </c>
      <c r="B418" s="36">
        <v>7</v>
      </c>
      <c r="C418" t="s" s="35">
        <v>1823</v>
      </c>
      <c r="D418" t="s" s="35">
        <v>3454</v>
      </c>
      <c r="E418" t="s" s="35">
        <v>3727</v>
      </c>
      <c r="F418" s="36">
        <v>15</v>
      </c>
      <c r="G418" t="s" s="35">
        <v>642</v>
      </c>
      <c r="H418" t="s" s="35">
        <v>3777</v>
      </c>
      <c r="I418" t="s" s="120">
        <v>3787</v>
      </c>
      <c r="J418" t="s" s="35">
        <v>1164</v>
      </c>
      <c r="K418" t="s" s="35">
        <v>1201</v>
      </c>
      <c r="L418" s="39"/>
      <c r="M418" t="str" s="39">
        <v>Biología</v>
      </c>
      <c r="N418" t="str" s="39">
        <v>Ecosistemas</v>
      </c>
      <c r="O418" t="str" s="39" cm="1">
        <f t="array" ref="O418">IF(L418="","",_xlfn.IFERROR(INDEX('Datos - Catálogo TIMSS'!$C$5:$C$107,MATCH(L418,'Datos - Catálogo TIMSS'!$A$5:$A$107,0)),"?"))</f>
      </c>
      <c r="P418" t="s" s="35">
        <v>282</v>
      </c>
      <c r="Q418" t="s" s="120">
        <v>3788</v>
      </c>
      <c r="R418" t="s" s="120">
        <v>3789</v>
      </c>
      <c r="S418" s="121" cm="1">
        <f t="array" ref="S418">_xlfn.IFERROR(ISNUMBER(SEARCH("Conocer",$R418))/(ISNUMBER(SEARCH("Conocer",$R418))+ISNUMBER(SEARCH("Aplicar",$R418))+ISNUMBER(SEARCH("Razonar",$R418))),0)</f>
        <v>0</v>
      </c>
      <c r="T418" s="121" cm="1">
        <f t="array" ref="T418">_xlfn.IFERROR(ISNUMBER(SEARCH("Aplicar",$R418))/(ISNUMBER(SEARCH("Conocer",$R418))+ISNUMBER(SEARCH("Aplicar",$R418))+ISNUMBER(SEARCH("Razonar",$R418))),0)</f>
        <v>0</v>
      </c>
      <c r="U418" s="121" cm="1">
        <f t="array" ref="U418">_xlfn.IFERROR(ISNUMBER(SEARCH("Razonar",$R418))/(ISNUMBER(SEARCH("Conocer",$R418))+ISNUMBER(SEARCH("Aplicar",$R418))+ISNUMBER(SEARCH("Razonar",$R418))),0)</f>
        <v>1</v>
      </c>
      <c r="V418" t="s" s="35">
        <v>85</v>
      </c>
      <c r="W418" t="s" s="35">
        <v>115</v>
      </c>
      <c r="X418" s="36" cm="1">
        <f t="array" ref="X418">IF(OR(_xlfn.IFERROR(INDEX('Datos - Catálogo TIMSS'!$I$5:$I$107,MATCH(K418,'Datos - Catálogo TIMSS'!$A$5:$A$107,0)),"No")="Sí",_xlfn.IFERROR(INDEX('Datos - Catálogo TIMSS'!$I$5:$I$107,MATCH(L418,'Datos - Catálogo TIMSS'!$A$5:$A$107,0)),"No")="Sí"),1,0)</f>
        <v>1</v>
      </c>
      <c r="Y418" s="36" cm="1">
        <f t="array" ref="Y418">IF(_xlfn.IFERROR(INDEX('Datos - Catálogo TIMSS'!$J$5:$J$107,MATCH(K418,'Datos - Catálogo TIMSS'!$A$5:$A$107,0)),"No")="Sí",1,0)</f>
        <v>0</v>
      </c>
      <c r="Z418" s="36" cm="1">
        <f t="array" ref="Z418">IF(_xlfn.IFERROR(INDEX('Datos - Catálogo TIMSS'!$J$5:$J$107,MATCH(L418,'Datos - Catálogo TIMSS'!$A$5:$A$107,0)),"No")="Sí",1,0)</f>
        <v>0</v>
      </c>
      <c r="AA418" t="s" s="35">
        <v>3144</v>
      </c>
      <c r="AB418" s="39"/>
      <c r="AC418" t="str" s="39">
        <v>Biología</v>
      </c>
      <c r="AD418" t="s" s="35">
        <v>1900</v>
      </c>
      <c r="AE418" t="str" s="39" cm="1">
        <f t="array" ref="AE418">IF(AD418="","",IF(LEFT(AD418,1)="1","C1",IF(LEFT(AD418,1)="2","C2",IF(LEFT(AD418,1)="3","C3",""))))</f>
        <v>C3</v>
      </c>
      <c r="AF418" t="s" s="35">
        <v>1602</v>
      </c>
      <c r="AG418" t="s" s="35">
        <v>1617</v>
      </c>
      <c r="AH418" t="s" s="35">
        <v>1602</v>
      </c>
      <c r="AI418" t="s" s="35">
        <v>1629</v>
      </c>
      <c r="AJ418" t="s" s="35">
        <v>1633</v>
      </c>
      <c r="AK418" t="s" s="35">
        <v>1548</v>
      </c>
      <c r="AL418" t="s" s="35">
        <v>1550</v>
      </c>
      <c r="AM418" t="str" s="39" cm="1">
        <f t="array" ref="AM418">IF(AK418="FUERA","Fuera del marco",_xlfn.IFERROR(INDEX('Datos - Catálogo PISA'!$C$5:$C$76,MATCH(AK418,'Datos - Catálogo PISA'!$A$5:$A$76,0)),"?"))</f>
        <v>Sistemas vivos</v>
      </c>
      <c r="AN418" t="s" s="35">
        <v>1651</v>
      </c>
      <c r="AO418" s="39"/>
      <c r="AP418" s="39"/>
      <c r="AQ418" t="s" s="35">
        <v>1752</v>
      </c>
      <c r="AR418" t="s" s="35">
        <v>1764</v>
      </c>
      <c r="AS418" t="s" s="35">
        <v>1771</v>
      </c>
      <c r="AT418" t="s" s="35">
        <v>282</v>
      </c>
      <c r="AU418" t="s" s="35">
        <v>3790</v>
      </c>
      <c r="AV418" t="s" s="35">
        <v>139</v>
      </c>
      <c r="AW418" t="str" s="39" cm="1">
        <f t="array" ref="AW418">AF418&amp;"; "&amp;AG418&amp;"; "&amp;AH418&amp;"; "&amp;AI418&amp;"; "&amp;AJ418</f>
        <v>E1; D1; E1; I3; I5</v>
      </c>
    </row>
    <row r="419" ht="13.65" customHeight="1">
      <c r="A419" t="s" s="35">
        <v>3791</v>
      </c>
      <c r="B419" s="36">
        <v>7</v>
      </c>
      <c r="C419" t="s" s="35">
        <v>1823</v>
      </c>
      <c r="D419" t="s" s="35">
        <v>3454</v>
      </c>
      <c r="E419" t="s" s="35">
        <v>3727</v>
      </c>
      <c r="F419" s="36">
        <v>16</v>
      </c>
      <c r="G419" t="s" s="35">
        <v>642</v>
      </c>
      <c r="H419" t="s" s="35">
        <v>3792</v>
      </c>
      <c r="I419" t="s" s="120">
        <v>3793</v>
      </c>
      <c r="J419" t="s" s="35">
        <v>1164</v>
      </c>
      <c r="K419" t="s" s="35">
        <v>1281</v>
      </c>
      <c r="L419" s="39"/>
      <c r="M419" t="str" s="39">
        <v>Ciencias de la Tierra</v>
      </c>
      <c r="N419" t="str" s="39">
        <v>La atmósfera terrestre</v>
      </c>
      <c r="O419" t="str" s="39" cm="1">
        <f t="array" ref="O419">IF(L419="","",_xlfn.IFERROR(INDEX('Datos - Catálogo TIMSS'!$C$5:$C$107,MATCH(L419,'Datos - Catálogo TIMSS'!$A$5:$A$107,0)),"?"))</f>
      </c>
      <c r="P419" t="s" s="35">
        <v>282</v>
      </c>
      <c r="Q419" t="s" s="120">
        <v>3794</v>
      </c>
      <c r="R419" t="s" s="120">
        <v>3795</v>
      </c>
      <c r="S419" s="121" cm="1">
        <f t="array" ref="S419">_xlfn.IFERROR(ISNUMBER(SEARCH("Conocer",$R419))/(ISNUMBER(SEARCH("Conocer",$R419))+ISNUMBER(SEARCH("Aplicar",$R419))+ISNUMBER(SEARCH("Razonar",$R419))),0)</f>
        <v>0</v>
      </c>
      <c r="T419" s="121" cm="1">
        <f t="array" ref="T419">_xlfn.IFERROR(ISNUMBER(SEARCH("Aplicar",$R419))/(ISNUMBER(SEARCH("Conocer",$R419))+ISNUMBER(SEARCH("Aplicar",$R419))+ISNUMBER(SEARCH("Razonar",$R419))),0)</f>
        <v>1</v>
      </c>
      <c r="U419" s="121" cm="1">
        <f t="array" ref="U419">_xlfn.IFERROR(ISNUMBER(SEARCH("Razonar",$R419))/(ISNUMBER(SEARCH("Conocer",$R419))+ISNUMBER(SEARCH("Aplicar",$R419))+ISNUMBER(SEARCH("Razonar",$R419))),0)</f>
        <v>0</v>
      </c>
      <c r="V419" t="s" s="35">
        <v>85</v>
      </c>
      <c r="W419" t="s" s="35">
        <v>115</v>
      </c>
      <c r="X419" s="36" cm="1">
        <f t="array" ref="X419">IF(OR(_xlfn.IFERROR(INDEX('Datos - Catálogo TIMSS'!$I$5:$I$107,MATCH(K419,'Datos - Catálogo TIMSS'!$A$5:$A$107,0)),"No")="Sí",_xlfn.IFERROR(INDEX('Datos - Catálogo TIMSS'!$I$5:$I$107,MATCH(L419,'Datos - Catálogo TIMSS'!$A$5:$A$107,0)),"No")="Sí"),1,0)</f>
        <v>1</v>
      </c>
      <c r="Y419" s="36" cm="1">
        <f t="array" ref="Y419">IF(_xlfn.IFERROR(INDEX('Datos - Catálogo TIMSS'!$J$5:$J$107,MATCH(K419,'Datos - Catálogo TIMSS'!$A$5:$A$107,0)),"No")="Sí",1,0)</f>
        <v>0</v>
      </c>
      <c r="Z419" s="36" cm="1">
        <f t="array" ref="Z419">IF(_xlfn.IFERROR(INDEX('Datos - Catálogo TIMSS'!$J$5:$J$107,MATCH(L419,'Datos - Catálogo TIMSS'!$A$5:$A$107,0)),"No")="Sí",1,0)</f>
        <v>0</v>
      </c>
      <c r="AA419" t="s" s="35">
        <v>3719</v>
      </c>
      <c r="AB419" s="39"/>
      <c r="AC419" t="str" s="39">
        <v>Ciencias de la Tierra</v>
      </c>
      <c r="AD419" t="s" s="35">
        <v>1834</v>
      </c>
      <c r="AE419" t="str" s="39" cm="1">
        <f t="array" ref="AE419">IF(AD419="","",IF(LEFT(AD419,1)="1","C1",IF(LEFT(AD419,1)="2","C2",IF(LEFT(AD419,1)="3","C3",""))))</f>
        <v>C2</v>
      </c>
      <c r="AF419" t="s" s="35">
        <v>1602</v>
      </c>
      <c r="AG419" t="s" s="35">
        <v>1617</v>
      </c>
      <c r="AH419" t="s" s="35">
        <v>1602</v>
      </c>
      <c r="AI419" t="s" s="35">
        <v>1623</v>
      </c>
      <c r="AJ419" t="s" s="35">
        <v>1627</v>
      </c>
      <c r="AK419" t="s" s="35">
        <v>1550</v>
      </c>
      <c r="AL419" s="39"/>
      <c r="AM419" t="str" s="39" cm="1">
        <f t="array" ref="AM419">IF(AK419="FUERA","Fuera del marco",_xlfn.IFERROR(INDEX('Datos - Catálogo PISA'!$C$5:$C$76,MATCH(AK419,'Datos - Catálogo PISA'!$A$5:$A$76,0)),"?"))</f>
        <v>Sistemas de la Tierra y el espacio</v>
      </c>
      <c r="AN419" t="s" s="35">
        <v>1652</v>
      </c>
      <c r="AO419" t="s" s="35">
        <v>3796</v>
      </c>
      <c r="AP419" s="39"/>
      <c r="AQ419" t="s" s="35">
        <v>1752</v>
      </c>
      <c r="AR419" t="s" s="35">
        <v>1768</v>
      </c>
      <c r="AS419" t="s" s="35">
        <v>1770</v>
      </c>
      <c r="AT419" t="s" s="35">
        <v>282</v>
      </c>
      <c r="AU419" t="s" s="35">
        <v>3797</v>
      </c>
      <c r="AV419" t="s" s="35">
        <v>139</v>
      </c>
      <c r="AW419" t="str" s="39" cm="1">
        <f t="array" ref="AW419">AF419&amp;"; "&amp;AG419&amp;"; "&amp;AH419&amp;"; "&amp;AI419&amp;"; "&amp;AJ419</f>
        <v>E1; D1; E1; D4; I2</v>
      </c>
    </row>
    <row r="420" ht="13.65" customHeight="1">
      <c r="A420" t="s" s="35">
        <v>3799</v>
      </c>
      <c r="B420" s="36">
        <v>7</v>
      </c>
      <c r="C420" t="s" s="35">
        <v>1823</v>
      </c>
      <c r="D420" t="s" s="35">
        <v>3454</v>
      </c>
      <c r="E420" t="s" s="35">
        <v>3727</v>
      </c>
      <c r="F420" s="36">
        <v>17</v>
      </c>
      <c r="G420" t="s" s="35">
        <v>642</v>
      </c>
      <c r="H420" t="s" s="35">
        <v>3792</v>
      </c>
      <c r="I420" t="s" s="120">
        <v>3800</v>
      </c>
      <c r="J420" t="s" s="35">
        <v>1164</v>
      </c>
      <c r="K420" t="s" s="35">
        <v>1281</v>
      </c>
      <c r="L420" s="39"/>
      <c r="M420" t="str" s="39">
        <v>Ciencias de la Tierra</v>
      </c>
      <c r="N420" t="str" s="39">
        <v>La atmósfera terrestre</v>
      </c>
      <c r="O420" t="str" s="39" cm="1">
        <f t="array" ref="O420">IF(L420="","",_xlfn.IFERROR(INDEX('Datos - Catálogo TIMSS'!$C$5:$C$107,MATCH(L420,'Datos - Catálogo TIMSS'!$A$5:$A$107,0)),"?"))</f>
      </c>
      <c r="P420" t="s" s="35">
        <v>282</v>
      </c>
      <c r="Q420" t="s" s="120">
        <v>3801</v>
      </c>
      <c r="R420" t="s" s="120">
        <v>3802</v>
      </c>
      <c r="S420" s="121" cm="1">
        <f t="array" ref="S420">_xlfn.IFERROR(ISNUMBER(SEARCH("Conocer",$R420))/(ISNUMBER(SEARCH("Conocer",$R420))+ISNUMBER(SEARCH("Aplicar",$R420))+ISNUMBER(SEARCH("Razonar",$R420))),0)</f>
        <v>0</v>
      </c>
      <c r="T420" s="121" cm="1">
        <f t="array" ref="T420">_xlfn.IFERROR(ISNUMBER(SEARCH("Aplicar",$R420))/(ISNUMBER(SEARCH("Conocer",$R420))+ISNUMBER(SEARCH("Aplicar",$R420))+ISNUMBER(SEARCH("Razonar",$R420))),0)</f>
        <v>0.5</v>
      </c>
      <c r="U420" s="121" cm="1">
        <f t="array" ref="U420">_xlfn.IFERROR(ISNUMBER(SEARCH("Razonar",$R420))/(ISNUMBER(SEARCH("Conocer",$R420))+ISNUMBER(SEARCH("Aplicar",$R420))+ISNUMBER(SEARCH("Razonar",$R420))),0)</f>
        <v>0.5</v>
      </c>
      <c r="V420" t="s" s="35">
        <v>85</v>
      </c>
      <c r="W420" t="s" s="35">
        <v>115</v>
      </c>
      <c r="X420" s="36" cm="1">
        <f t="array" ref="X420">IF(OR(_xlfn.IFERROR(INDEX('Datos - Catálogo TIMSS'!$I$5:$I$107,MATCH(K420,'Datos - Catálogo TIMSS'!$A$5:$A$107,0)),"No")="Sí",_xlfn.IFERROR(INDEX('Datos - Catálogo TIMSS'!$I$5:$I$107,MATCH(L420,'Datos - Catálogo TIMSS'!$A$5:$A$107,0)),"No")="Sí"),1,0)</f>
        <v>1</v>
      </c>
      <c r="Y420" s="36" cm="1">
        <f t="array" ref="Y420">IF(_xlfn.IFERROR(INDEX('Datos - Catálogo TIMSS'!$J$5:$J$107,MATCH(K420,'Datos - Catálogo TIMSS'!$A$5:$A$107,0)),"No")="Sí",1,0)</f>
        <v>0</v>
      </c>
      <c r="Z420" s="36" cm="1">
        <f t="array" ref="Z420">IF(_xlfn.IFERROR(INDEX('Datos - Catálogo TIMSS'!$J$5:$J$107,MATCH(L420,'Datos - Catálogo TIMSS'!$A$5:$A$107,0)),"No")="Sí",1,0)</f>
        <v>0</v>
      </c>
      <c r="AA420" t="s" s="35">
        <v>3719</v>
      </c>
      <c r="AB420" s="39"/>
      <c r="AC420" t="str" s="39">
        <v>Ciencias de la Tierra</v>
      </c>
      <c r="AD420" t="s" s="35">
        <v>1834</v>
      </c>
      <c r="AE420" t="str" s="39" cm="1">
        <f t="array" ref="AE420">IF(AD420="","",IF(LEFT(AD420,1)="1","C1",IF(LEFT(AD420,1)="2","C2",IF(LEFT(AD420,1)="3","C3",""))))</f>
        <v>C2</v>
      </c>
      <c r="AF420" t="s" s="35">
        <v>1602</v>
      </c>
      <c r="AG420" t="s" s="35">
        <v>1617</v>
      </c>
      <c r="AH420" t="s" s="35">
        <v>1609</v>
      </c>
      <c r="AI420" t="s" s="35">
        <v>1621</v>
      </c>
      <c r="AJ420" t="s" s="35">
        <v>1607</v>
      </c>
      <c r="AK420" t="s" s="35">
        <v>1550</v>
      </c>
      <c r="AL420" s="39"/>
      <c r="AM420" t="str" s="39" cm="1">
        <f t="array" ref="AM420">IF(AK420="FUERA","Fuera del marco",_xlfn.IFERROR(INDEX('Datos - Catálogo PISA'!$C$5:$C$76,MATCH(AK420,'Datos - Catálogo PISA'!$A$5:$A$76,0)),"?"))</f>
        <v>Sistemas de la Tierra y el espacio</v>
      </c>
      <c r="AN420" t="s" s="35">
        <v>1652</v>
      </c>
      <c r="AO420" t="s" s="35">
        <v>3796</v>
      </c>
      <c r="AP420" s="39"/>
      <c r="AQ420" t="s" s="35">
        <v>1752</v>
      </c>
      <c r="AR420" t="s" s="35">
        <v>1768</v>
      </c>
      <c r="AS420" t="s" s="35">
        <v>1771</v>
      </c>
      <c r="AT420" t="s" s="35">
        <v>282</v>
      </c>
      <c r="AU420" t="s" s="35">
        <v>3803</v>
      </c>
      <c r="AV420" t="s" s="35">
        <v>139</v>
      </c>
      <c r="AW420" t="str" s="39" cm="1">
        <f t="array" ref="AW420">AF420&amp;"; "&amp;AG420&amp;"; "&amp;AH420&amp;"; "&amp;AI420&amp;"; "&amp;AJ420</f>
        <v>E1; D1; E4; D3; E3</v>
      </c>
    </row>
    <row r="421" ht="13.65" customHeight="1">
      <c r="A421" t="s" s="35">
        <v>3804</v>
      </c>
      <c r="B421" s="36">
        <v>7</v>
      </c>
      <c r="C421" t="s" s="35">
        <v>1823</v>
      </c>
      <c r="D421" t="s" s="35">
        <v>3454</v>
      </c>
      <c r="E421" t="s" s="35">
        <v>3727</v>
      </c>
      <c r="F421" s="36">
        <v>18</v>
      </c>
      <c r="G421" t="s" s="35">
        <v>642</v>
      </c>
      <c r="H421" t="s" s="35">
        <v>3792</v>
      </c>
      <c r="I421" t="s" s="120">
        <v>3805</v>
      </c>
      <c r="J421" t="s" s="35">
        <v>1164</v>
      </c>
      <c r="K421" t="s" s="35">
        <v>1281</v>
      </c>
      <c r="L421" s="39"/>
      <c r="M421" t="str" s="39">
        <v>Ciencias de la Tierra</v>
      </c>
      <c r="N421" t="str" s="39">
        <v>La atmósfera terrestre</v>
      </c>
      <c r="O421" t="str" s="39" cm="1">
        <f t="array" ref="O421">IF(L421="","",_xlfn.IFERROR(INDEX('Datos - Catálogo TIMSS'!$C$5:$C$107,MATCH(L421,'Datos - Catálogo TIMSS'!$A$5:$A$107,0)),"?"))</f>
      </c>
      <c r="P421" t="s" s="35">
        <v>254</v>
      </c>
      <c r="Q421" t="s" s="120">
        <v>3806</v>
      </c>
      <c r="R421" t="s" s="120">
        <v>3212</v>
      </c>
      <c r="S421" s="121" cm="1">
        <f t="array" ref="S421">_xlfn.IFERROR(ISNUMBER(SEARCH("Conocer",$R421))/(ISNUMBER(SEARCH("Conocer",$R421))+ISNUMBER(SEARCH("Aplicar",$R421))+ISNUMBER(SEARCH("Razonar",$R421))),0)</f>
        <v>0</v>
      </c>
      <c r="T421" s="121" cm="1">
        <f t="array" ref="T421">_xlfn.IFERROR(ISNUMBER(SEARCH("Aplicar",$R421))/(ISNUMBER(SEARCH("Conocer",$R421))+ISNUMBER(SEARCH("Aplicar",$R421))+ISNUMBER(SEARCH("Razonar",$R421))),0)</f>
        <v>0.5</v>
      </c>
      <c r="U421" s="121" cm="1">
        <f t="array" ref="U421">_xlfn.IFERROR(ISNUMBER(SEARCH("Razonar",$R421))/(ISNUMBER(SEARCH("Conocer",$R421))+ISNUMBER(SEARCH("Aplicar",$R421))+ISNUMBER(SEARCH("Razonar",$R421))),0)</f>
        <v>0.5</v>
      </c>
      <c r="V421" t="s" s="35">
        <v>85</v>
      </c>
      <c r="W421" t="s" s="35">
        <v>115</v>
      </c>
      <c r="X421" s="36" cm="1">
        <f t="array" ref="X421">IF(OR(_xlfn.IFERROR(INDEX('Datos - Catálogo TIMSS'!$I$5:$I$107,MATCH(K421,'Datos - Catálogo TIMSS'!$A$5:$A$107,0)),"No")="Sí",_xlfn.IFERROR(INDEX('Datos - Catálogo TIMSS'!$I$5:$I$107,MATCH(L421,'Datos - Catálogo TIMSS'!$A$5:$A$107,0)),"No")="Sí"),1,0)</f>
        <v>1</v>
      </c>
      <c r="Y421" s="36" cm="1">
        <f t="array" ref="Y421">IF(_xlfn.IFERROR(INDEX('Datos - Catálogo TIMSS'!$J$5:$J$107,MATCH(K421,'Datos - Catálogo TIMSS'!$A$5:$A$107,0)),"No")="Sí",1,0)</f>
        <v>0</v>
      </c>
      <c r="Z421" s="36" cm="1">
        <f t="array" ref="Z421">IF(_xlfn.IFERROR(INDEX('Datos - Catálogo TIMSS'!$J$5:$J$107,MATCH(L421,'Datos - Catálogo TIMSS'!$A$5:$A$107,0)),"No")="Sí",1,0)</f>
        <v>0</v>
      </c>
      <c r="AA421" t="s" s="35">
        <v>3719</v>
      </c>
      <c r="AB421" s="39"/>
      <c r="AC421" t="str" s="39">
        <v>Ciencias de la Tierra</v>
      </c>
      <c r="AD421" t="s" s="35">
        <v>1834</v>
      </c>
      <c r="AE421" t="str" s="39" cm="1">
        <f t="array" ref="AE421">IF(AD421="","",IF(LEFT(AD421,1)="1","C1",IF(LEFT(AD421,1)="2","C2",IF(LEFT(AD421,1)="3","C3",""))))</f>
        <v>C2</v>
      </c>
      <c r="AF421" t="s" s="35">
        <v>1602</v>
      </c>
      <c r="AG421" t="s" s="35">
        <v>1617</v>
      </c>
      <c r="AH421" t="s" s="35">
        <v>1605</v>
      </c>
      <c r="AI421" t="s" s="35">
        <v>1623</v>
      </c>
      <c r="AJ421" t="s" s="35">
        <v>1607</v>
      </c>
      <c r="AK421" t="s" s="35">
        <v>1550</v>
      </c>
      <c r="AL421" t="s" s="35">
        <v>1554</v>
      </c>
      <c r="AM421" t="str" s="39" cm="1">
        <f t="array" ref="AM421">IF(AK421="FUERA","Fuera del marco",_xlfn.IFERROR(INDEX('Datos - Catálogo PISA'!$C$5:$C$76,MATCH(AK421,'Datos - Catálogo PISA'!$A$5:$A$76,0)),"?"))</f>
        <v>Sistemas de la Tierra y el espacio</v>
      </c>
      <c r="AN421" t="s" s="35">
        <v>1652</v>
      </c>
      <c r="AO421" t="s" s="35">
        <v>3575</v>
      </c>
      <c r="AP421" s="39"/>
      <c r="AQ421" t="s" s="35">
        <v>1752</v>
      </c>
      <c r="AR421" t="s" s="35">
        <v>1768</v>
      </c>
      <c r="AS421" t="s" s="35">
        <v>1771</v>
      </c>
      <c r="AT421" t="s" s="35">
        <v>282</v>
      </c>
      <c r="AU421" t="s" s="35">
        <v>3807</v>
      </c>
      <c r="AV421" t="s" s="35">
        <v>139</v>
      </c>
      <c r="AW421" t="str" s="39" cm="1">
        <f t="array" ref="AW421">AF421&amp;"; "&amp;AG421&amp;"; "&amp;AH421&amp;"; "&amp;AI421&amp;"; "&amp;AJ421</f>
        <v>E1; D1; E2; D4; E3</v>
      </c>
    </row>
    <row r="422" ht="13.65" customHeight="1">
      <c r="A422" t="s" s="35">
        <v>3808</v>
      </c>
      <c r="B422" s="36">
        <v>7</v>
      </c>
      <c r="C422" t="s" s="35">
        <v>1823</v>
      </c>
      <c r="D422" t="s" s="35">
        <v>3454</v>
      </c>
      <c r="E422" t="s" s="35">
        <v>3727</v>
      </c>
      <c r="F422" s="36">
        <v>19</v>
      </c>
      <c r="G422" t="s" s="35">
        <v>642</v>
      </c>
      <c r="H422" t="s" s="35">
        <v>3792</v>
      </c>
      <c r="I422" t="s" s="120">
        <v>3809</v>
      </c>
      <c r="J422" t="s" s="35">
        <v>1164</v>
      </c>
      <c r="K422" t="s" s="35">
        <v>1281</v>
      </c>
      <c r="L422" s="39"/>
      <c r="M422" t="str" s="39">
        <v>Ciencias de la Tierra</v>
      </c>
      <c r="N422" t="str" s="39">
        <v>La atmósfera terrestre</v>
      </c>
      <c r="O422" t="str" s="39" cm="1">
        <f t="array" ref="O422">IF(L422="","",_xlfn.IFERROR(INDEX('Datos - Catálogo TIMSS'!$C$5:$C$107,MATCH(L422,'Datos - Catálogo TIMSS'!$A$5:$A$107,0)),"?"))</f>
      </c>
      <c r="P422" t="s" s="35">
        <v>282</v>
      </c>
      <c r="Q422" t="s" s="120">
        <v>3810</v>
      </c>
      <c r="R422" t="s" s="120">
        <v>3361</v>
      </c>
      <c r="S422" s="121" cm="1">
        <f t="array" ref="S422">_xlfn.IFERROR(ISNUMBER(SEARCH("Conocer",$R422))/(ISNUMBER(SEARCH("Conocer",$R422))+ISNUMBER(SEARCH("Aplicar",$R422))+ISNUMBER(SEARCH("Razonar",$R422))),0)</f>
        <v>1</v>
      </c>
      <c r="T422" s="121" cm="1">
        <f t="array" ref="T422">_xlfn.IFERROR(ISNUMBER(SEARCH("Aplicar",$R422))/(ISNUMBER(SEARCH("Conocer",$R422))+ISNUMBER(SEARCH("Aplicar",$R422))+ISNUMBER(SEARCH("Razonar",$R422))),0)</f>
        <v>0</v>
      </c>
      <c r="U422" s="121" cm="1">
        <f t="array" ref="U422">_xlfn.IFERROR(ISNUMBER(SEARCH("Razonar",$R422))/(ISNUMBER(SEARCH("Conocer",$R422))+ISNUMBER(SEARCH("Aplicar",$R422))+ISNUMBER(SEARCH("Razonar",$R422))),0)</f>
        <v>0</v>
      </c>
      <c r="V422" t="s" s="35">
        <v>85</v>
      </c>
      <c r="W422" t="s" s="35">
        <v>115</v>
      </c>
      <c r="X422" s="36" cm="1">
        <f t="array" ref="X422">IF(OR(_xlfn.IFERROR(INDEX('Datos - Catálogo TIMSS'!$I$5:$I$107,MATCH(K422,'Datos - Catálogo TIMSS'!$A$5:$A$107,0)),"No")="Sí",_xlfn.IFERROR(INDEX('Datos - Catálogo TIMSS'!$I$5:$I$107,MATCH(L422,'Datos - Catálogo TIMSS'!$A$5:$A$107,0)),"No")="Sí"),1,0)</f>
        <v>1</v>
      </c>
      <c r="Y422" s="36" cm="1">
        <f t="array" ref="Y422">IF(_xlfn.IFERROR(INDEX('Datos - Catálogo TIMSS'!$J$5:$J$107,MATCH(K422,'Datos - Catálogo TIMSS'!$A$5:$A$107,0)),"No")="Sí",1,0)</f>
        <v>0</v>
      </c>
      <c r="Z422" s="36" cm="1">
        <f t="array" ref="Z422">IF(_xlfn.IFERROR(INDEX('Datos - Catálogo TIMSS'!$J$5:$J$107,MATCH(L422,'Datos - Catálogo TIMSS'!$A$5:$A$107,0)),"No")="Sí",1,0)</f>
        <v>0</v>
      </c>
      <c r="AA422" t="s" s="35">
        <v>3719</v>
      </c>
      <c r="AB422" s="39"/>
      <c r="AC422" t="str" s="39">
        <v>Ciencias de la Tierra</v>
      </c>
      <c r="AD422" t="s" s="35">
        <v>1859</v>
      </c>
      <c r="AE422" t="str" s="39" cm="1">
        <f t="array" ref="AE422">IF(AD422="","",IF(LEFT(AD422,1)="1","C1",IF(LEFT(AD422,1)="2","C2",IF(LEFT(AD422,1)="3","C3",""))))</f>
        <v>C1</v>
      </c>
      <c r="AF422" t="s" s="35">
        <v>1615</v>
      </c>
      <c r="AG422" t="s" s="35">
        <v>1612</v>
      </c>
      <c r="AH422" t="s" s="35">
        <v>1602</v>
      </c>
      <c r="AI422" t="s" s="35">
        <v>1623</v>
      </c>
      <c r="AJ422" t="s" s="35">
        <v>1615</v>
      </c>
      <c r="AK422" t="s" s="35">
        <v>1554</v>
      </c>
      <c r="AL422" t="s" s="35">
        <v>1550</v>
      </c>
      <c r="AM422" t="str" s="39" cm="1">
        <f t="array" ref="AM422">IF(AK422="FUERA","Fuera del marco",_xlfn.IFERROR(INDEX('Datos - Catálogo PISA'!$C$5:$C$76,MATCH(AK422,'Datos - Catálogo PISA'!$A$5:$A$76,0)),"?"))</f>
        <v>Sistemas de la Tierra y el espacio</v>
      </c>
      <c r="AN422" t="s" s="35">
        <v>1651</v>
      </c>
      <c r="AO422" s="39"/>
      <c r="AP422" s="39"/>
      <c r="AQ422" t="s" s="35">
        <v>1752</v>
      </c>
      <c r="AR422" t="s" s="35">
        <v>1767</v>
      </c>
      <c r="AS422" t="s" s="35">
        <v>1771</v>
      </c>
      <c r="AT422" t="s" s="35">
        <v>254</v>
      </c>
      <c r="AU422" t="s" s="35">
        <v>3811</v>
      </c>
      <c r="AV422" t="s" s="35">
        <v>139</v>
      </c>
      <c r="AW422" t="str" s="39" cm="1">
        <f t="array" ref="AW422">AF422&amp;"; "&amp;AG422&amp;"; "&amp;AH422&amp;"; "&amp;AI422&amp;"; "&amp;AJ422</f>
        <v>E6; E5; E1; D4; E6</v>
      </c>
    </row>
    <row r="423" ht="13.65" customHeight="1">
      <c r="A423" t="s" s="35">
        <v>3813</v>
      </c>
      <c r="B423" s="36">
        <v>7</v>
      </c>
      <c r="C423" t="s" s="35">
        <v>1823</v>
      </c>
      <c r="D423" t="s" s="35">
        <v>3454</v>
      </c>
      <c r="E423" t="s" s="35">
        <v>3727</v>
      </c>
      <c r="F423" s="36">
        <v>20</v>
      </c>
      <c r="G423" t="s" s="35">
        <v>642</v>
      </c>
      <c r="H423" t="s" s="35">
        <v>3792</v>
      </c>
      <c r="I423" t="s" s="120">
        <v>3814</v>
      </c>
      <c r="J423" t="s" s="35">
        <v>1164</v>
      </c>
      <c r="K423" t="s" s="35">
        <v>1281</v>
      </c>
      <c r="L423" s="39"/>
      <c r="M423" t="str" s="39">
        <v>Ciencias de la Tierra</v>
      </c>
      <c r="N423" t="str" s="39">
        <v>La atmósfera terrestre</v>
      </c>
      <c r="O423" t="str" s="39" cm="1">
        <f t="array" ref="O423">IF(L423="","",_xlfn.IFERROR(INDEX('Datos - Catálogo TIMSS'!$C$5:$C$107,MATCH(L423,'Datos - Catálogo TIMSS'!$A$5:$A$107,0)),"?"))</f>
      </c>
      <c r="P423" t="s" s="35">
        <v>282</v>
      </c>
      <c r="Q423" t="s" s="120">
        <v>3815</v>
      </c>
      <c r="R423" t="s" s="120">
        <v>3816</v>
      </c>
      <c r="S423" s="121" cm="1">
        <f t="array" ref="S423">_xlfn.IFERROR(ISNUMBER(SEARCH("Conocer",$R423))/(ISNUMBER(SEARCH("Conocer",$R423))+ISNUMBER(SEARCH("Aplicar",$R423))+ISNUMBER(SEARCH("Razonar",$R423))),0)</f>
        <v>0</v>
      </c>
      <c r="T423" s="121" cm="1">
        <f t="array" ref="T423">_xlfn.IFERROR(ISNUMBER(SEARCH("Aplicar",$R423))/(ISNUMBER(SEARCH("Conocer",$R423))+ISNUMBER(SEARCH("Aplicar",$R423))+ISNUMBER(SEARCH("Razonar",$R423))),0)</f>
        <v>1</v>
      </c>
      <c r="U423" s="121" cm="1">
        <f t="array" ref="U423">_xlfn.IFERROR(ISNUMBER(SEARCH("Razonar",$R423))/(ISNUMBER(SEARCH("Conocer",$R423))+ISNUMBER(SEARCH("Aplicar",$R423))+ISNUMBER(SEARCH("Razonar",$R423))),0)</f>
        <v>0</v>
      </c>
      <c r="V423" t="s" s="35">
        <v>85</v>
      </c>
      <c r="W423" t="s" s="35">
        <v>115</v>
      </c>
      <c r="X423" s="36" cm="1">
        <f t="array" ref="X423">IF(OR(_xlfn.IFERROR(INDEX('Datos - Catálogo TIMSS'!$I$5:$I$107,MATCH(K423,'Datos - Catálogo TIMSS'!$A$5:$A$107,0)),"No")="Sí",_xlfn.IFERROR(INDEX('Datos - Catálogo TIMSS'!$I$5:$I$107,MATCH(L423,'Datos - Catálogo TIMSS'!$A$5:$A$107,0)),"No")="Sí"),1,0)</f>
        <v>1</v>
      </c>
      <c r="Y423" s="36" cm="1">
        <f t="array" ref="Y423">IF(_xlfn.IFERROR(INDEX('Datos - Catálogo TIMSS'!$J$5:$J$107,MATCH(K423,'Datos - Catálogo TIMSS'!$A$5:$A$107,0)),"No")="Sí",1,0)</f>
        <v>0</v>
      </c>
      <c r="Z423" s="36" cm="1">
        <f t="array" ref="Z423">IF(_xlfn.IFERROR(INDEX('Datos - Catálogo TIMSS'!$J$5:$J$107,MATCH(L423,'Datos - Catálogo TIMSS'!$A$5:$A$107,0)),"No")="Sí",1,0)</f>
        <v>0</v>
      </c>
      <c r="AA423" t="s" s="35">
        <v>3719</v>
      </c>
      <c r="AB423" s="39"/>
      <c r="AC423" t="str" s="39">
        <v>Ciencias de la Tierra</v>
      </c>
      <c r="AD423" t="s" s="35">
        <v>1900</v>
      </c>
      <c r="AE423" t="str" s="39" cm="1">
        <f t="array" ref="AE423">IF(AD423="","",IF(LEFT(AD423,1)="1","C1",IF(LEFT(AD423,1)="2","C2",IF(LEFT(AD423,1)="3","C3",""))))</f>
        <v>C3</v>
      </c>
      <c r="AF423" t="s" s="35">
        <v>1602</v>
      </c>
      <c r="AG423" t="s" s="35">
        <v>1617</v>
      </c>
      <c r="AH423" t="s" s="35">
        <v>1605</v>
      </c>
      <c r="AI423" t="s" s="35">
        <v>1629</v>
      </c>
      <c r="AJ423" t="s" s="35">
        <v>1633</v>
      </c>
      <c r="AK423" t="s" s="35">
        <v>1554</v>
      </c>
      <c r="AL423" t="s" s="35">
        <v>1550</v>
      </c>
      <c r="AM423" t="str" s="39" cm="1">
        <f t="array" ref="AM423">IF(AK423="FUERA","Fuera del marco",_xlfn.IFERROR(INDEX('Datos - Catálogo PISA'!$C$5:$C$76,MATCH(AK423,'Datos - Catálogo PISA'!$A$5:$A$76,0)),"?"))</f>
        <v>Sistemas de la Tierra y el espacio</v>
      </c>
      <c r="AN423" t="s" s="35">
        <v>1651</v>
      </c>
      <c r="AO423" s="39"/>
      <c r="AP423" s="39"/>
      <c r="AQ423" t="s" s="35">
        <v>1752</v>
      </c>
      <c r="AR423" t="s" s="35">
        <v>1767</v>
      </c>
      <c r="AS423" t="s" s="35">
        <v>1771</v>
      </c>
      <c r="AT423" t="s" s="35">
        <v>282</v>
      </c>
      <c r="AU423" t="s" s="35">
        <v>3815</v>
      </c>
      <c r="AV423" t="s" s="35">
        <v>139</v>
      </c>
      <c r="AW423" t="str" s="39" cm="1">
        <f t="array" ref="AW423">AF423&amp;"; "&amp;AG423&amp;"; "&amp;AH423&amp;"; "&amp;AI423&amp;"; "&amp;AJ423</f>
        <v>E1; D1; E2; I3; I5</v>
      </c>
    </row>
    <row r="424" ht="13.65" customHeight="1">
      <c r="A424" t="s" s="35">
        <v>3817</v>
      </c>
      <c r="B424" s="36">
        <v>7</v>
      </c>
      <c r="C424" t="s" s="35">
        <v>1823</v>
      </c>
      <c r="D424" t="s" s="35">
        <v>3454</v>
      </c>
      <c r="E424" t="s" s="35">
        <v>3818</v>
      </c>
      <c r="F424" s="36">
        <v>3</v>
      </c>
      <c r="G424" t="s" s="35">
        <v>529</v>
      </c>
      <c r="H424" t="s" s="35">
        <v>3819</v>
      </c>
      <c r="I424" t="s" s="120">
        <v>3820</v>
      </c>
      <c r="J424" t="s" s="35">
        <v>1164</v>
      </c>
      <c r="K424" t="s" s="35">
        <v>1290</v>
      </c>
      <c r="L424" s="39"/>
      <c r="M424" t="str" s="39">
        <v>Ciencias de la Tierra</v>
      </c>
      <c r="N424" t="str" s="39">
        <v>Recursos de la Tierra, uso y conservación</v>
      </c>
      <c r="O424" t="str" s="39" cm="1">
        <f t="array" ref="O424">IF(L424="","",_xlfn.IFERROR(INDEX('Datos - Catálogo TIMSS'!$C$5:$C$107,MATCH(L424,'Datos - Catálogo TIMSS'!$A$5:$A$107,0)),"?"))</f>
      </c>
      <c r="P424" t="s" s="35">
        <v>254</v>
      </c>
      <c r="Q424" t="s" s="120">
        <v>3821</v>
      </c>
      <c r="R424" t="s" s="120">
        <v>2561</v>
      </c>
      <c r="S424" s="121" cm="1">
        <f t="array" ref="S424">_xlfn.IFERROR(ISNUMBER(SEARCH("Conocer",$R424))/(ISNUMBER(SEARCH("Conocer",$R424))+ISNUMBER(SEARCH("Aplicar",$R424))+ISNUMBER(SEARCH("Razonar",$R424))),0)</f>
        <v>1</v>
      </c>
      <c r="T424" s="121" cm="1">
        <f t="array" ref="T424">_xlfn.IFERROR(ISNUMBER(SEARCH("Aplicar",$R424))/(ISNUMBER(SEARCH("Conocer",$R424))+ISNUMBER(SEARCH("Aplicar",$R424))+ISNUMBER(SEARCH("Razonar",$R424))),0)</f>
        <v>0</v>
      </c>
      <c r="U424" s="121" cm="1">
        <f t="array" ref="U424">_xlfn.IFERROR(ISNUMBER(SEARCH("Razonar",$R424))/(ISNUMBER(SEARCH("Conocer",$R424))+ISNUMBER(SEARCH("Aplicar",$R424))+ISNUMBER(SEARCH("Razonar",$R424))),0)</f>
        <v>0</v>
      </c>
      <c r="V424" t="s" s="35">
        <v>85</v>
      </c>
      <c r="W424" t="s" s="35">
        <v>115</v>
      </c>
      <c r="X424" s="36" cm="1">
        <f t="array" ref="X424">IF(OR(_xlfn.IFERROR(INDEX('Datos - Catálogo TIMSS'!$I$5:$I$107,MATCH(K424,'Datos - Catálogo TIMSS'!$A$5:$A$107,0)),"No")="Sí",_xlfn.IFERROR(INDEX('Datos - Catálogo TIMSS'!$I$5:$I$107,MATCH(L424,'Datos - Catálogo TIMSS'!$A$5:$A$107,0)),"No")="Sí"),1,0)</f>
        <v>1</v>
      </c>
      <c r="Y424" s="36" cm="1">
        <f t="array" ref="Y424">IF(_xlfn.IFERROR(INDEX('Datos - Catálogo TIMSS'!$J$5:$J$107,MATCH(K424,'Datos - Catálogo TIMSS'!$A$5:$A$107,0)),"No")="Sí",1,0)</f>
        <v>0</v>
      </c>
      <c r="Z424" s="36" cm="1">
        <f t="array" ref="Z424">IF(_xlfn.IFERROR(INDEX('Datos - Catálogo TIMSS'!$J$5:$J$107,MATCH(L424,'Datos - Catálogo TIMSS'!$A$5:$A$107,0)),"No")="Sí",1,0)</f>
        <v>0</v>
      </c>
      <c r="AA424" t="s" s="35">
        <v>3708</v>
      </c>
      <c r="AB424" s="39"/>
      <c r="AC424" t="str" s="39">
        <v>Ciencias de la Tierra</v>
      </c>
      <c r="AD424" t="s" s="35">
        <v>1859</v>
      </c>
      <c r="AE424" t="str" s="39" cm="1">
        <f t="array" ref="AE424">IF(AD424="","",IF(LEFT(AD424,1)="1","C1",IF(LEFT(AD424,1)="2","C2",IF(LEFT(AD424,1)="3","C3",""))))</f>
        <v>C1</v>
      </c>
      <c r="AF424" t="s" s="35">
        <v>1615</v>
      </c>
      <c r="AG424" t="s" s="35">
        <v>1617</v>
      </c>
      <c r="AH424" t="s" s="35">
        <v>1602</v>
      </c>
      <c r="AI424" t="s" s="35">
        <v>1623</v>
      </c>
      <c r="AJ424" t="s" s="35">
        <v>1615</v>
      </c>
      <c r="AK424" t="s" s="35">
        <v>1552</v>
      </c>
      <c r="AL424" t="s" s="35">
        <v>1548</v>
      </c>
      <c r="AM424" t="str" s="39" cm="1">
        <f t="array" ref="AM424">IF(AK424="FUERA","Fuera del marco",_xlfn.IFERROR(INDEX('Datos - Catálogo PISA'!$C$5:$C$76,MATCH(AK424,'Datos - Catálogo PISA'!$A$5:$A$76,0)),"?"))</f>
        <v>Sistemas de la Tierra y el espacio</v>
      </c>
      <c r="AN424" t="s" s="35">
        <v>1651</v>
      </c>
      <c r="AO424" s="39"/>
      <c r="AP424" s="39"/>
      <c r="AQ424" t="s" s="35">
        <v>1752</v>
      </c>
      <c r="AR424" t="s" s="35">
        <v>1765</v>
      </c>
      <c r="AS424" t="s" s="35">
        <v>1771</v>
      </c>
      <c r="AT424" t="s" s="35">
        <v>282</v>
      </c>
      <c r="AU424" t="s" s="35">
        <v>3822</v>
      </c>
      <c r="AV424" t="s" s="35">
        <v>139</v>
      </c>
      <c r="AW424" t="str" s="39" cm="1">
        <f t="array" ref="AW424">AF424&amp;"; "&amp;AG424&amp;"; "&amp;AH424&amp;"; "&amp;AI424&amp;"; "&amp;AJ424</f>
        <v>E6; D1; E1; D4; E6</v>
      </c>
    </row>
    <row r="425" ht="13.65" customHeight="1">
      <c r="A425" t="s" s="35">
        <v>3823</v>
      </c>
      <c r="B425" s="36">
        <v>7</v>
      </c>
      <c r="C425" t="s" s="35">
        <v>1823</v>
      </c>
      <c r="D425" t="s" s="35">
        <v>3454</v>
      </c>
      <c r="E425" t="s" s="35">
        <v>3818</v>
      </c>
      <c r="F425" s="36">
        <v>4</v>
      </c>
      <c r="G425" t="s" s="35">
        <v>529</v>
      </c>
      <c r="H425" t="s" s="35">
        <v>3819</v>
      </c>
      <c r="I425" t="s" s="120">
        <v>3824</v>
      </c>
      <c r="J425" t="s" s="35">
        <v>1164</v>
      </c>
      <c r="K425" t="s" s="35">
        <v>1287</v>
      </c>
      <c r="L425" t="s" s="35">
        <v>575</v>
      </c>
      <c r="M425" t="str" s="39">
        <v>Ciencias de la Tierra</v>
      </c>
      <c r="N425" t="str" s="39">
        <v>Recursos de la Tierra, uso y conservación</v>
      </c>
      <c r="O425" t="str" s="39" cm="1">
        <f t="array" ref="O425">IF(L425="","",_xlfn.IFERROR(INDEX('Datos - Catálogo TIMSS'!$C$5:$C$107,MATCH(L425,'Datos - Catálogo TIMSS'!$A$5:$A$107,0)),"?"))</f>
        <v>Física</v>
      </c>
      <c r="P425" t="s" s="35">
        <v>282</v>
      </c>
      <c r="Q425" t="s" s="120">
        <v>3825</v>
      </c>
      <c r="R425" t="s" s="120">
        <v>3826</v>
      </c>
      <c r="S425" s="121" cm="1">
        <f t="array" ref="S425">_xlfn.IFERROR(ISNUMBER(SEARCH("Conocer",$R425))/(ISNUMBER(SEARCH("Conocer",$R425))+ISNUMBER(SEARCH("Aplicar",$R425))+ISNUMBER(SEARCH("Razonar",$R425))),0)</f>
        <v>0</v>
      </c>
      <c r="T425" s="121" cm="1">
        <f t="array" ref="T425">_xlfn.IFERROR(ISNUMBER(SEARCH("Aplicar",$R425))/(ISNUMBER(SEARCH("Conocer",$R425))+ISNUMBER(SEARCH("Aplicar",$R425))+ISNUMBER(SEARCH("Razonar",$R425))),0)</f>
        <v>0</v>
      </c>
      <c r="U425" s="121" cm="1">
        <f t="array" ref="U425">_xlfn.IFERROR(ISNUMBER(SEARCH("Razonar",$R425))/(ISNUMBER(SEARCH("Conocer",$R425))+ISNUMBER(SEARCH("Aplicar",$R425))+ISNUMBER(SEARCH("Razonar",$R425))),0)</f>
        <v>1</v>
      </c>
      <c r="V425" t="s" s="35">
        <v>85</v>
      </c>
      <c r="W425" t="s" s="35">
        <v>115</v>
      </c>
      <c r="X425" s="36" cm="1">
        <f t="array" ref="X425">IF(OR(_xlfn.IFERROR(INDEX('Datos - Catálogo TIMSS'!$I$5:$I$107,MATCH(K425,'Datos - Catálogo TIMSS'!$A$5:$A$107,0)),"No")="Sí",_xlfn.IFERROR(INDEX('Datos - Catálogo TIMSS'!$I$5:$I$107,MATCH(L425,'Datos - Catálogo TIMSS'!$A$5:$A$107,0)),"No")="Sí"),1,0)</f>
        <v>1</v>
      </c>
      <c r="Y425" s="36" cm="1">
        <f t="array" ref="Y425">IF(_xlfn.IFERROR(INDEX('Datos - Catálogo TIMSS'!$J$5:$J$107,MATCH(K425,'Datos - Catálogo TIMSS'!$A$5:$A$107,0)),"No")="Sí",1,0)</f>
        <v>0</v>
      </c>
      <c r="Z425" s="36" cm="1">
        <f t="array" ref="Z425">IF(_xlfn.IFERROR(INDEX('Datos - Catálogo TIMSS'!$J$5:$J$107,MATCH(L425,'Datos - Catálogo TIMSS'!$A$5:$A$107,0)),"No")="Sí",1,0)</f>
        <v>0</v>
      </c>
      <c r="AA425" t="s" s="35">
        <v>3708</v>
      </c>
      <c r="AB425" t="s" s="35">
        <v>2929</v>
      </c>
      <c r="AC425" t="str" s="39">
        <v>Ciencias de la Tierra</v>
      </c>
      <c r="AD425" t="s" s="35">
        <v>1834</v>
      </c>
      <c r="AE425" t="str" s="39" cm="1">
        <f t="array" ref="AE425">IF(AD425="","",IF(LEFT(AD425,1)="1","C1",IF(LEFT(AD425,1)="2","C2",IF(LEFT(AD425,1)="3","C3",""))))</f>
        <v>C2</v>
      </c>
      <c r="AF425" t="s" s="35">
        <v>1602</v>
      </c>
      <c r="AG425" t="s" s="35">
        <v>1607</v>
      </c>
      <c r="AH425" t="s" s="35">
        <v>1602</v>
      </c>
      <c r="AI425" t="s" s="35">
        <v>1619</v>
      </c>
      <c r="AJ425" t="s" s="35">
        <v>1633</v>
      </c>
      <c r="AK425" t="s" s="35">
        <v>854</v>
      </c>
      <c r="AL425" t="s" s="35">
        <v>1554</v>
      </c>
      <c r="AM425" t="str" s="39" cm="1">
        <f t="array" ref="AM425">IF(AK425="FUERA","Fuera del marco",_xlfn.IFERROR(INDEX('Datos - Catálogo PISA'!$C$5:$C$76,MATCH(AK425,'Datos - Catálogo PISA'!$A$5:$A$76,0)),"?"))</f>
        <v>Sistemas físicos</v>
      </c>
      <c r="AN425" t="s" s="35">
        <v>1651</v>
      </c>
      <c r="AO425" s="39"/>
      <c r="AP425" s="39"/>
      <c r="AQ425" t="s" s="35">
        <v>1751</v>
      </c>
      <c r="AR425" t="s" s="35">
        <v>1765</v>
      </c>
      <c r="AS425" t="s" s="35">
        <v>1771</v>
      </c>
      <c r="AT425" t="s" s="35">
        <v>282</v>
      </c>
      <c r="AU425" t="s" s="35">
        <v>3827</v>
      </c>
      <c r="AV425" t="s" s="35">
        <v>139</v>
      </c>
      <c r="AW425" t="str" s="39" cm="1">
        <f t="array" ref="AW425">AF425&amp;"; "&amp;AG425&amp;"; "&amp;AH425&amp;"; "&amp;AI425&amp;"; "&amp;AJ425</f>
        <v>E1; E3; E1; D2; I5</v>
      </c>
    </row>
    <row r="426" ht="13.65" customHeight="1">
      <c r="A426" t="s" s="35">
        <v>3829</v>
      </c>
      <c r="B426" s="36">
        <v>7</v>
      </c>
      <c r="C426" t="s" s="35">
        <v>1823</v>
      </c>
      <c r="D426" t="s" s="35">
        <v>3454</v>
      </c>
      <c r="E426" t="s" s="35">
        <v>3818</v>
      </c>
      <c r="F426" s="36">
        <v>5</v>
      </c>
      <c r="G426" t="s" s="35">
        <v>529</v>
      </c>
      <c r="H426" t="s" s="35">
        <v>3819</v>
      </c>
      <c r="I426" t="s" s="120">
        <v>3830</v>
      </c>
      <c r="J426" t="s" s="35">
        <v>1164</v>
      </c>
      <c r="K426" t="s" s="35">
        <v>1287</v>
      </c>
      <c r="L426" s="39"/>
      <c r="M426" t="str" s="39">
        <v>Ciencias de la Tierra</v>
      </c>
      <c r="N426" t="str" s="39">
        <v>Recursos de la Tierra, uso y conservación</v>
      </c>
      <c r="O426" t="str" s="39" cm="1">
        <f t="array" ref="O426">IF(L426="","",_xlfn.IFERROR(INDEX('Datos - Catálogo TIMSS'!$C$5:$C$107,MATCH(L426,'Datos - Catálogo TIMSS'!$A$5:$A$107,0)),"?"))</f>
      </c>
      <c r="P426" t="s" s="35">
        <v>254</v>
      </c>
      <c r="Q426" t="s" s="120">
        <v>3831</v>
      </c>
      <c r="R426" t="s" s="120">
        <v>3832</v>
      </c>
      <c r="S426" s="121" cm="1">
        <f t="array" ref="S426">_xlfn.IFERROR(ISNUMBER(SEARCH("Conocer",$R426))/(ISNUMBER(SEARCH("Conocer",$R426))+ISNUMBER(SEARCH("Aplicar",$R426))+ISNUMBER(SEARCH("Razonar",$R426))),0)</f>
        <v>0</v>
      </c>
      <c r="T426" s="121" cm="1">
        <f t="array" ref="T426">_xlfn.IFERROR(ISNUMBER(SEARCH("Aplicar",$R426))/(ISNUMBER(SEARCH("Conocer",$R426))+ISNUMBER(SEARCH("Aplicar",$R426))+ISNUMBER(SEARCH("Razonar",$R426))),0)</f>
        <v>1</v>
      </c>
      <c r="U426" s="121" cm="1">
        <f t="array" ref="U426">_xlfn.IFERROR(ISNUMBER(SEARCH("Razonar",$R426))/(ISNUMBER(SEARCH("Conocer",$R426))+ISNUMBER(SEARCH("Aplicar",$R426))+ISNUMBER(SEARCH("Razonar",$R426))),0)</f>
        <v>0</v>
      </c>
      <c r="V426" t="s" s="35">
        <v>85</v>
      </c>
      <c r="W426" t="s" s="35">
        <v>115</v>
      </c>
      <c r="X426" s="36" cm="1">
        <f t="array" ref="X426">IF(OR(_xlfn.IFERROR(INDEX('Datos - Catálogo TIMSS'!$I$5:$I$107,MATCH(K426,'Datos - Catálogo TIMSS'!$A$5:$A$107,0)),"No")="Sí",_xlfn.IFERROR(INDEX('Datos - Catálogo TIMSS'!$I$5:$I$107,MATCH(L426,'Datos - Catálogo TIMSS'!$A$5:$A$107,0)),"No")="Sí"),1,0)</f>
        <v>1</v>
      </c>
      <c r="Y426" s="36" cm="1">
        <f t="array" ref="Y426">IF(_xlfn.IFERROR(INDEX('Datos - Catálogo TIMSS'!$J$5:$J$107,MATCH(K426,'Datos - Catálogo TIMSS'!$A$5:$A$107,0)),"No")="Sí",1,0)</f>
        <v>0</v>
      </c>
      <c r="Z426" s="36" cm="1">
        <f t="array" ref="Z426">IF(_xlfn.IFERROR(INDEX('Datos - Catálogo TIMSS'!$J$5:$J$107,MATCH(L426,'Datos - Catálogo TIMSS'!$A$5:$A$107,0)),"No")="Sí",1,0)</f>
        <v>0</v>
      </c>
      <c r="AA426" t="s" s="35">
        <v>3708</v>
      </c>
      <c r="AB426" s="39"/>
      <c r="AC426" t="str" s="39">
        <v>Ciencias de la Tierra</v>
      </c>
      <c r="AD426" t="s" s="35">
        <v>1900</v>
      </c>
      <c r="AE426" t="str" s="39" cm="1">
        <f t="array" ref="AE426">IF(AD426="","",IF(LEFT(AD426,1)="1","C1",IF(LEFT(AD426,1)="2","C2",IF(LEFT(AD426,1)="3","C3",""))))</f>
        <v>C3</v>
      </c>
      <c r="AF426" t="s" s="35">
        <v>1602</v>
      </c>
      <c r="AG426" t="s" s="35">
        <v>1617</v>
      </c>
      <c r="AH426" t="s" s="35">
        <v>1605</v>
      </c>
      <c r="AI426" t="s" s="35">
        <v>1629</v>
      </c>
      <c r="AJ426" t="s" s="35">
        <v>1633</v>
      </c>
      <c r="AK426" t="s" s="35">
        <v>1554</v>
      </c>
      <c r="AL426" s="39"/>
      <c r="AM426" t="str" s="39" cm="1">
        <f t="array" ref="AM426">IF(AK426="FUERA","Fuera del marco",_xlfn.IFERROR(INDEX('Datos - Catálogo PISA'!$C$5:$C$76,MATCH(AK426,'Datos - Catálogo PISA'!$A$5:$A$76,0)),"?"))</f>
        <v>Sistemas de la Tierra y el espacio</v>
      </c>
      <c r="AN426" t="s" s="35">
        <v>1651</v>
      </c>
      <c r="AO426" t="s" s="35">
        <v>3575</v>
      </c>
      <c r="AP426" s="39"/>
      <c r="AQ426" t="s" s="35">
        <v>1752</v>
      </c>
      <c r="AR426" t="s" s="35">
        <v>1765</v>
      </c>
      <c r="AS426" t="s" s="35">
        <v>1771</v>
      </c>
      <c r="AT426" t="s" s="35">
        <v>282</v>
      </c>
      <c r="AU426" t="s" s="35">
        <v>3833</v>
      </c>
      <c r="AV426" t="s" s="35">
        <v>139</v>
      </c>
      <c r="AW426" t="str" s="39" cm="1">
        <f t="array" ref="AW426">AF426&amp;"; "&amp;AG426&amp;"; "&amp;AH426&amp;"; "&amp;AI426&amp;"; "&amp;AJ426</f>
        <v>E1; D1; E2; I3; I5</v>
      </c>
    </row>
    <row r="427" ht="13.65" customHeight="1">
      <c r="A427" t="s" s="35">
        <v>3834</v>
      </c>
      <c r="B427" s="36">
        <v>7</v>
      </c>
      <c r="C427" t="s" s="35">
        <v>1823</v>
      </c>
      <c r="D427" t="s" s="35">
        <v>3454</v>
      </c>
      <c r="E427" t="s" s="35">
        <v>3818</v>
      </c>
      <c r="F427" s="36">
        <v>6</v>
      </c>
      <c r="G427" t="s" s="35">
        <v>529</v>
      </c>
      <c r="H427" t="s" s="35">
        <v>3835</v>
      </c>
      <c r="I427" t="s" s="120">
        <v>3836</v>
      </c>
      <c r="J427" t="s" s="35">
        <v>1164</v>
      </c>
      <c r="K427" t="s" s="35">
        <v>1287</v>
      </c>
      <c r="L427" s="39"/>
      <c r="M427" t="str" s="39">
        <v>Ciencias de la Tierra</v>
      </c>
      <c r="N427" t="str" s="39">
        <v>Recursos de la Tierra, uso y conservación</v>
      </c>
      <c r="O427" t="str" s="39" cm="1">
        <f t="array" ref="O427">IF(L427="","",_xlfn.IFERROR(INDEX('Datos - Catálogo TIMSS'!$C$5:$C$107,MATCH(L427,'Datos - Catálogo TIMSS'!$A$5:$A$107,0)),"?"))</f>
      </c>
      <c r="P427" t="s" s="35">
        <v>254</v>
      </c>
      <c r="Q427" t="s" s="120">
        <v>3837</v>
      </c>
      <c r="R427" t="s" s="120">
        <v>2176</v>
      </c>
      <c r="S427" s="121" cm="1">
        <f t="array" ref="S427">_xlfn.IFERROR(ISNUMBER(SEARCH("Conocer",$R427))/(ISNUMBER(SEARCH("Conocer",$R427))+ISNUMBER(SEARCH("Aplicar",$R427))+ISNUMBER(SEARCH("Razonar",$R427))),0)</f>
        <v>1</v>
      </c>
      <c r="T427" s="121" cm="1">
        <f t="array" ref="T427">_xlfn.IFERROR(ISNUMBER(SEARCH("Aplicar",$R427))/(ISNUMBER(SEARCH("Conocer",$R427))+ISNUMBER(SEARCH("Aplicar",$R427))+ISNUMBER(SEARCH("Razonar",$R427))),0)</f>
        <v>0</v>
      </c>
      <c r="U427" s="121" cm="1">
        <f t="array" ref="U427">_xlfn.IFERROR(ISNUMBER(SEARCH("Razonar",$R427))/(ISNUMBER(SEARCH("Conocer",$R427))+ISNUMBER(SEARCH("Aplicar",$R427))+ISNUMBER(SEARCH("Razonar",$R427))),0)</f>
        <v>0</v>
      </c>
      <c r="V427" t="s" s="35">
        <v>85</v>
      </c>
      <c r="W427" t="s" s="35">
        <v>115</v>
      </c>
      <c r="X427" s="36" cm="1">
        <f t="array" ref="X427">IF(OR(_xlfn.IFERROR(INDEX('Datos - Catálogo TIMSS'!$I$5:$I$107,MATCH(K427,'Datos - Catálogo TIMSS'!$A$5:$A$107,0)),"No")="Sí",_xlfn.IFERROR(INDEX('Datos - Catálogo TIMSS'!$I$5:$I$107,MATCH(L427,'Datos - Catálogo TIMSS'!$A$5:$A$107,0)),"No")="Sí"),1,0)</f>
        <v>1</v>
      </c>
      <c r="Y427" s="36" cm="1">
        <f t="array" ref="Y427">IF(_xlfn.IFERROR(INDEX('Datos - Catálogo TIMSS'!$J$5:$J$107,MATCH(K427,'Datos - Catálogo TIMSS'!$A$5:$A$107,0)),"No")="Sí",1,0)</f>
        <v>0</v>
      </c>
      <c r="Z427" s="36" cm="1">
        <f t="array" ref="Z427">IF(_xlfn.IFERROR(INDEX('Datos - Catálogo TIMSS'!$J$5:$J$107,MATCH(L427,'Datos - Catálogo TIMSS'!$A$5:$A$107,0)),"No")="Sí",1,0)</f>
        <v>0</v>
      </c>
      <c r="AA427" t="s" s="35">
        <v>3708</v>
      </c>
      <c r="AB427" s="39"/>
      <c r="AC427" t="str" s="39">
        <v>Ciencias de la Tierra</v>
      </c>
      <c r="AD427" t="s" s="35">
        <v>1859</v>
      </c>
      <c r="AE427" t="str" s="39" cm="1">
        <f t="array" ref="AE427">IF(AD427="","",IF(LEFT(AD427,1)="1","C1",IF(LEFT(AD427,1)="2","C2",IF(LEFT(AD427,1)="3","C3",""))))</f>
        <v>C1</v>
      </c>
      <c r="AF427" t="s" s="35">
        <v>1602</v>
      </c>
      <c r="AG427" t="s" s="35">
        <v>1617</v>
      </c>
      <c r="AH427" t="s" s="35">
        <v>1602</v>
      </c>
      <c r="AI427" t="s" s="35">
        <v>1623</v>
      </c>
      <c r="AJ427" t="s" s="35">
        <v>1615</v>
      </c>
      <c r="AK427" t="s" s="35">
        <v>1554</v>
      </c>
      <c r="AL427" t="s" s="35">
        <v>1552</v>
      </c>
      <c r="AM427" t="str" s="39" cm="1">
        <f t="array" ref="AM427">IF(AK427="FUERA","Fuera del marco",_xlfn.IFERROR(INDEX('Datos - Catálogo PISA'!$C$5:$C$76,MATCH(AK427,'Datos - Catálogo PISA'!$A$5:$A$76,0)),"?"))</f>
        <v>Sistemas de la Tierra y el espacio</v>
      </c>
      <c r="AN427" t="s" s="35">
        <v>1651</v>
      </c>
      <c r="AO427" s="39"/>
      <c r="AP427" s="39"/>
      <c r="AQ427" t="s" s="35">
        <v>1753</v>
      </c>
      <c r="AR427" t="s" s="35">
        <v>1765</v>
      </c>
      <c r="AS427" t="s" s="35">
        <v>1770</v>
      </c>
      <c r="AT427" t="s" s="35">
        <v>282</v>
      </c>
      <c r="AU427" t="s" s="35">
        <v>3838</v>
      </c>
      <c r="AV427" t="s" s="35">
        <v>139</v>
      </c>
      <c r="AW427" t="str" s="39" cm="1">
        <f t="array" ref="AW427">AF427&amp;"; "&amp;AG427&amp;"; "&amp;AH427&amp;"; "&amp;AI427&amp;"; "&amp;AJ427</f>
        <v>E1; D1; E1; D4; E6</v>
      </c>
    </row>
    <row r="428" ht="13.65" customHeight="1">
      <c r="A428" t="s" s="35">
        <v>3839</v>
      </c>
      <c r="B428" s="36">
        <v>7</v>
      </c>
      <c r="C428" t="s" s="35">
        <v>1823</v>
      </c>
      <c r="D428" t="s" s="35">
        <v>3454</v>
      </c>
      <c r="E428" t="s" s="35">
        <v>3818</v>
      </c>
      <c r="F428" s="36">
        <v>7</v>
      </c>
      <c r="G428" t="s" s="35">
        <v>529</v>
      </c>
      <c r="H428" t="s" s="35">
        <v>3835</v>
      </c>
      <c r="I428" t="s" s="120">
        <v>3840</v>
      </c>
      <c r="J428" t="s" s="35">
        <v>1164</v>
      </c>
      <c r="K428" t="s" s="35">
        <v>575</v>
      </c>
      <c r="L428" t="s" s="35">
        <v>1287</v>
      </c>
      <c r="M428" t="str" s="39">
        <v>Física</v>
      </c>
      <c r="N428" t="str" s="39">
        <v>Transformación y transferencia de energía</v>
      </c>
      <c r="O428" t="str" s="39" cm="1">
        <f t="array" ref="O428">IF(L428="","",_xlfn.IFERROR(INDEX('Datos - Catálogo TIMSS'!$C$5:$C$107,MATCH(L428,'Datos - Catálogo TIMSS'!$A$5:$A$107,0)),"?"))</f>
        <v>Ciencias de la Tierra</v>
      </c>
      <c r="P428" t="s" s="35">
        <v>291</v>
      </c>
      <c r="Q428" t="s" s="120">
        <v>3841</v>
      </c>
      <c r="R428" t="s" s="120">
        <v>3842</v>
      </c>
      <c r="S428" s="121" cm="1">
        <f t="array" ref="S428">_xlfn.IFERROR(ISNUMBER(SEARCH("Conocer",$R428))/(ISNUMBER(SEARCH("Conocer",$R428))+ISNUMBER(SEARCH("Aplicar",$R428))+ISNUMBER(SEARCH("Razonar",$R428))),0)</f>
        <v>0</v>
      </c>
      <c r="T428" s="121" cm="1">
        <f t="array" ref="T428">_xlfn.IFERROR(ISNUMBER(SEARCH("Aplicar",$R428))/(ISNUMBER(SEARCH("Conocer",$R428))+ISNUMBER(SEARCH("Aplicar",$R428))+ISNUMBER(SEARCH("Razonar",$R428))),0)</f>
        <v>0</v>
      </c>
      <c r="U428" s="121" cm="1">
        <f t="array" ref="U428">_xlfn.IFERROR(ISNUMBER(SEARCH("Razonar",$R428))/(ISNUMBER(SEARCH("Conocer",$R428))+ISNUMBER(SEARCH("Aplicar",$R428))+ISNUMBER(SEARCH("Razonar",$R428))),0)</f>
        <v>1</v>
      </c>
      <c r="V428" t="s" s="35">
        <v>85</v>
      </c>
      <c r="W428" t="s" s="35">
        <v>115</v>
      </c>
      <c r="X428" s="36" cm="1">
        <f t="array" ref="X428">IF(OR(_xlfn.IFERROR(INDEX('Datos - Catálogo TIMSS'!$I$5:$I$107,MATCH(K428,'Datos - Catálogo TIMSS'!$A$5:$A$107,0)),"No")="Sí",_xlfn.IFERROR(INDEX('Datos - Catálogo TIMSS'!$I$5:$I$107,MATCH(L428,'Datos - Catálogo TIMSS'!$A$5:$A$107,0)),"No")="Sí"),1,0)</f>
        <v>1</v>
      </c>
      <c r="Y428" s="36" cm="1">
        <f t="array" ref="Y428">IF(_xlfn.IFERROR(INDEX('Datos - Catálogo TIMSS'!$J$5:$J$107,MATCH(K428,'Datos - Catálogo TIMSS'!$A$5:$A$107,0)),"No")="Sí",1,0)</f>
        <v>0</v>
      </c>
      <c r="Z428" s="36" cm="1">
        <f t="array" ref="Z428">IF(_xlfn.IFERROR(INDEX('Datos - Catálogo TIMSS'!$J$5:$J$107,MATCH(L428,'Datos - Catálogo TIMSS'!$A$5:$A$107,0)),"No")="Sí",1,0)</f>
        <v>0</v>
      </c>
      <c r="AA428" t="s" s="35">
        <v>2929</v>
      </c>
      <c r="AB428" t="s" s="35">
        <v>3708</v>
      </c>
      <c r="AC428" t="str" s="39">
        <v>Física</v>
      </c>
      <c r="AD428" t="s" s="35">
        <v>1834</v>
      </c>
      <c r="AE428" t="str" s="39" cm="1">
        <f t="array" ref="AE428">IF(AD428="","",IF(LEFT(AD428,1)="1","C1",IF(LEFT(AD428,1)="2","C2",IF(LEFT(AD428,1)="3","C3",""))))</f>
        <v>C2</v>
      </c>
      <c r="AF428" t="s" s="35">
        <v>1602</v>
      </c>
      <c r="AG428" t="s" s="35">
        <v>1617</v>
      </c>
      <c r="AH428" t="s" s="35">
        <v>1609</v>
      </c>
      <c r="AI428" t="s" s="35">
        <v>1621</v>
      </c>
      <c r="AJ428" t="s" s="35">
        <v>1615</v>
      </c>
      <c r="AK428" t="s" s="35">
        <v>854</v>
      </c>
      <c r="AL428" t="s" s="35">
        <v>869</v>
      </c>
      <c r="AM428" t="str" s="39" cm="1">
        <f t="array" ref="AM428">IF(AK428="FUERA","Fuera del marco",_xlfn.IFERROR(INDEX('Datos - Catálogo PISA'!$C$5:$C$76,MATCH(AK428,'Datos - Catálogo PISA'!$A$5:$A$76,0)),"?"))</f>
        <v>Sistemas físicos</v>
      </c>
      <c r="AN428" t="s" s="35">
        <v>1651</v>
      </c>
      <c r="AO428" s="39"/>
      <c r="AP428" s="39"/>
      <c r="AQ428" t="s" s="35">
        <v>1751</v>
      </c>
      <c r="AR428" t="s" s="35">
        <v>1767</v>
      </c>
      <c r="AS428" t="s" s="35">
        <v>1771</v>
      </c>
      <c r="AT428" t="s" s="35">
        <v>282</v>
      </c>
      <c r="AU428" t="s" s="35">
        <v>3843</v>
      </c>
      <c r="AV428" t="s" s="35">
        <v>139</v>
      </c>
      <c r="AW428" t="str" s="39" cm="1">
        <f t="array" ref="AW428">AF428&amp;"; "&amp;AG428&amp;"; "&amp;AH428&amp;"; "&amp;AI428&amp;"; "&amp;AJ428</f>
        <v>E1; D1; E4; D3; E6</v>
      </c>
    </row>
    <row r="429" ht="13.65" customHeight="1">
      <c r="A429" t="s" s="35">
        <v>3845</v>
      </c>
      <c r="B429" s="36">
        <v>7</v>
      </c>
      <c r="C429" t="s" s="35">
        <v>1823</v>
      </c>
      <c r="D429" t="s" s="35">
        <v>3454</v>
      </c>
      <c r="E429" t="s" s="35">
        <v>3818</v>
      </c>
      <c r="F429" s="36">
        <v>8</v>
      </c>
      <c r="G429" t="s" s="35">
        <v>529</v>
      </c>
      <c r="H429" t="s" s="35">
        <v>3835</v>
      </c>
      <c r="I429" t="s" s="120">
        <v>3846</v>
      </c>
      <c r="J429" t="s" s="35">
        <v>1164</v>
      </c>
      <c r="K429" t="s" s="35">
        <v>575</v>
      </c>
      <c r="L429" t="s" s="35">
        <v>1287</v>
      </c>
      <c r="M429" t="str" s="39">
        <v>Física</v>
      </c>
      <c r="N429" t="str" s="39">
        <v>Transformación y transferencia de energía</v>
      </c>
      <c r="O429" t="str" s="39" cm="1">
        <f t="array" ref="O429">IF(L429="","",_xlfn.IFERROR(INDEX('Datos - Catálogo TIMSS'!$C$5:$C$107,MATCH(L429,'Datos - Catálogo TIMSS'!$A$5:$A$107,0)),"?"))</f>
        <v>Ciencias de la Tierra</v>
      </c>
      <c r="P429" t="s" s="35">
        <v>254</v>
      </c>
      <c r="Q429" t="s" s="120">
        <v>3847</v>
      </c>
      <c r="R429" t="s" s="120">
        <v>3848</v>
      </c>
      <c r="S429" s="121" cm="1">
        <f t="array" ref="S429">_xlfn.IFERROR(ISNUMBER(SEARCH("Conocer",$R429))/(ISNUMBER(SEARCH("Conocer",$R429))+ISNUMBER(SEARCH("Aplicar",$R429))+ISNUMBER(SEARCH("Razonar",$R429))),0)</f>
        <v>0</v>
      </c>
      <c r="T429" s="121" cm="1">
        <f t="array" ref="T429">_xlfn.IFERROR(ISNUMBER(SEARCH("Aplicar",$R429))/(ISNUMBER(SEARCH("Conocer",$R429))+ISNUMBER(SEARCH("Aplicar",$R429))+ISNUMBER(SEARCH("Razonar",$R429))),0)</f>
        <v>1</v>
      </c>
      <c r="U429" s="121" cm="1">
        <f t="array" ref="U429">_xlfn.IFERROR(ISNUMBER(SEARCH("Razonar",$R429))/(ISNUMBER(SEARCH("Conocer",$R429))+ISNUMBER(SEARCH("Aplicar",$R429))+ISNUMBER(SEARCH("Razonar",$R429))),0)</f>
        <v>0</v>
      </c>
      <c r="V429" t="s" s="35">
        <v>85</v>
      </c>
      <c r="W429" t="s" s="35">
        <v>115</v>
      </c>
      <c r="X429" s="36" cm="1">
        <f t="array" ref="X429">IF(OR(_xlfn.IFERROR(INDEX('Datos - Catálogo TIMSS'!$I$5:$I$107,MATCH(K429,'Datos - Catálogo TIMSS'!$A$5:$A$107,0)),"No")="Sí",_xlfn.IFERROR(INDEX('Datos - Catálogo TIMSS'!$I$5:$I$107,MATCH(L429,'Datos - Catálogo TIMSS'!$A$5:$A$107,0)),"No")="Sí"),1,0)</f>
        <v>1</v>
      </c>
      <c r="Y429" s="36" cm="1">
        <f t="array" ref="Y429">IF(_xlfn.IFERROR(INDEX('Datos - Catálogo TIMSS'!$J$5:$J$107,MATCH(K429,'Datos - Catálogo TIMSS'!$A$5:$A$107,0)),"No")="Sí",1,0)</f>
        <v>0</v>
      </c>
      <c r="Z429" s="36" cm="1">
        <f t="array" ref="Z429">IF(_xlfn.IFERROR(INDEX('Datos - Catálogo TIMSS'!$J$5:$J$107,MATCH(L429,'Datos - Catálogo TIMSS'!$A$5:$A$107,0)),"No")="Sí",1,0)</f>
        <v>0</v>
      </c>
      <c r="AA429" t="s" s="35">
        <v>2929</v>
      </c>
      <c r="AB429" t="s" s="35">
        <v>3708</v>
      </c>
      <c r="AC429" t="str" s="39">
        <v>Física</v>
      </c>
      <c r="AD429" t="s" s="35">
        <v>1859</v>
      </c>
      <c r="AE429" t="str" s="39" cm="1">
        <f t="array" ref="AE429">IF(AD429="","",IF(LEFT(AD429,1)="1","C1",IF(LEFT(AD429,1)="2","C2",IF(LEFT(AD429,1)="3","C3",""))))</f>
        <v>C1</v>
      </c>
      <c r="AF429" t="s" s="35">
        <v>1602</v>
      </c>
      <c r="AG429" t="s" s="35">
        <v>1617</v>
      </c>
      <c r="AH429" t="s" s="35">
        <v>1605</v>
      </c>
      <c r="AI429" t="s" s="35">
        <v>1623</v>
      </c>
      <c r="AJ429" t="s" s="35">
        <v>1615</v>
      </c>
      <c r="AK429" t="s" s="35">
        <v>854</v>
      </c>
      <c r="AL429" t="s" s="35">
        <v>1554</v>
      </c>
      <c r="AM429" t="str" s="39" cm="1">
        <f t="array" ref="AM429">IF(AK429="FUERA","Fuera del marco",_xlfn.IFERROR(INDEX('Datos - Catálogo PISA'!$C$5:$C$76,MATCH(AK429,'Datos - Catálogo PISA'!$A$5:$A$76,0)),"?"))</f>
        <v>Sistemas físicos</v>
      </c>
      <c r="AN429" t="s" s="35">
        <v>1651</v>
      </c>
      <c r="AO429" s="39"/>
      <c r="AP429" s="39"/>
      <c r="AQ429" t="s" s="35">
        <v>1753</v>
      </c>
      <c r="AR429" t="s" s="35">
        <v>1765</v>
      </c>
      <c r="AS429" t="s" s="35">
        <v>1771</v>
      </c>
      <c r="AT429" t="s" s="35">
        <v>254</v>
      </c>
      <c r="AU429" t="s" s="35">
        <v>3849</v>
      </c>
      <c r="AV429" t="s" s="35">
        <v>139</v>
      </c>
      <c r="AW429" t="str" s="39" cm="1">
        <f t="array" ref="AW429">AF429&amp;"; "&amp;AG429&amp;"; "&amp;AH429&amp;"; "&amp;AI429&amp;"; "&amp;AJ429</f>
        <v>E1; D1; E2; D4; E6</v>
      </c>
    </row>
    <row r="430" ht="13.65" customHeight="1">
      <c r="A430" t="s" s="35">
        <v>3850</v>
      </c>
      <c r="B430" s="36">
        <v>7</v>
      </c>
      <c r="C430" t="s" s="35">
        <v>1823</v>
      </c>
      <c r="D430" t="s" s="35">
        <v>3454</v>
      </c>
      <c r="E430" t="s" s="35">
        <v>3818</v>
      </c>
      <c r="F430" s="36">
        <v>9</v>
      </c>
      <c r="G430" t="s" s="35">
        <v>529</v>
      </c>
      <c r="H430" t="s" s="35">
        <v>3851</v>
      </c>
      <c r="I430" t="s" s="120">
        <v>3852</v>
      </c>
      <c r="J430" t="s" s="35">
        <v>1164</v>
      </c>
      <c r="K430" t="s" s="35">
        <v>1287</v>
      </c>
      <c r="L430" s="39"/>
      <c r="M430" t="str" s="39">
        <v>Ciencias de la Tierra</v>
      </c>
      <c r="N430" t="str" s="39">
        <v>Recursos de la Tierra, uso y conservación</v>
      </c>
      <c r="O430" t="str" s="39" cm="1">
        <f t="array" ref="O430">IF(L430="","",_xlfn.IFERROR(INDEX('Datos - Catálogo TIMSS'!$C$5:$C$107,MATCH(L430,'Datos - Catálogo TIMSS'!$A$5:$A$107,0)),"?"))</f>
      </c>
      <c r="P430" t="s" s="35">
        <v>254</v>
      </c>
      <c r="Q430" t="s" s="120">
        <v>3853</v>
      </c>
      <c r="R430" t="s" s="120">
        <v>2176</v>
      </c>
      <c r="S430" s="121" cm="1">
        <f t="array" ref="S430">_xlfn.IFERROR(ISNUMBER(SEARCH("Conocer",$R430))/(ISNUMBER(SEARCH("Conocer",$R430))+ISNUMBER(SEARCH("Aplicar",$R430))+ISNUMBER(SEARCH("Razonar",$R430))),0)</f>
        <v>1</v>
      </c>
      <c r="T430" s="121" cm="1">
        <f t="array" ref="T430">_xlfn.IFERROR(ISNUMBER(SEARCH("Aplicar",$R430))/(ISNUMBER(SEARCH("Conocer",$R430))+ISNUMBER(SEARCH("Aplicar",$R430))+ISNUMBER(SEARCH("Razonar",$R430))),0)</f>
        <v>0</v>
      </c>
      <c r="U430" s="121" cm="1">
        <f t="array" ref="U430">_xlfn.IFERROR(ISNUMBER(SEARCH("Razonar",$R430))/(ISNUMBER(SEARCH("Conocer",$R430))+ISNUMBER(SEARCH("Aplicar",$R430))+ISNUMBER(SEARCH("Razonar",$R430))),0)</f>
        <v>0</v>
      </c>
      <c r="V430" t="s" s="35">
        <v>85</v>
      </c>
      <c r="W430" t="s" s="35">
        <v>115</v>
      </c>
      <c r="X430" s="36" cm="1">
        <f t="array" ref="X430">IF(OR(_xlfn.IFERROR(INDEX('Datos - Catálogo TIMSS'!$I$5:$I$107,MATCH(K430,'Datos - Catálogo TIMSS'!$A$5:$A$107,0)),"No")="Sí",_xlfn.IFERROR(INDEX('Datos - Catálogo TIMSS'!$I$5:$I$107,MATCH(L430,'Datos - Catálogo TIMSS'!$A$5:$A$107,0)),"No")="Sí"),1,0)</f>
        <v>1</v>
      </c>
      <c r="Y430" s="36" cm="1">
        <f t="array" ref="Y430">IF(_xlfn.IFERROR(INDEX('Datos - Catálogo TIMSS'!$J$5:$J$107,MATCH(K430,'Datos - Catálogo TIMSS'!$A$5:$A$107,0)),"No")="Sí",1,0)</f>
        <v>0</v>
      </c>
      <c r="Z430" s="36" cm="1">
        <f t="array" ref="Z430">IF(_xlfn.IFERROR(INDEX('Datos - Catálogo TIMSS'!$J$5:$J$107,MATCH(L430,'Datos - Catálogo TIMSS'!$A$5:$A$107,0)),"No")="Sí",1,0)</f>
        <v>0</v>
      </c>
      <c r="AA430" t="s" s="35">
        <v>3708</v>
      </c>
      <c r="AB430" t="s" s="35">
        <v>2929</v>
      </c>
      <c r="AC430" t="str" s="39">
        <v>Ciencias de la Tierra</v>
      </c>
      <c r="AD430" t="s" s="35">
        <v>1859</v>
      </c>
      <c r="AE430" t="str" s="39" cm="1">
        <f t="array" ref="AE430">IF(AD430="","",IF(LEFT(AD430,1)="1","C1",IF(LEFT(AD430,1)="2","C2",IF(LEFT(AD430,1)="3","C3",""))))</f>
        <v>C1</v>
      </c>
      <c r="AF430" t="s" s="35">
        <v>1615</v>
      </c>
      <c r="AG430" t="s" s="35">
        <v>1617</v>
      </c>
      <c r="AH430" t="s" s="35">
        <v>1602</v>
      </c>
      <c r="AI430" t="s" s="35">
        <v>1623</v>
      </c>
      <c r="AJ430" t="s" s="35">
        <v>1615</v>
      </c>
      <c r="AK430" t="s" s="35">
        <v>1554</v>
      </c>
      <c r="AL430" t="s" s="35">
        <v>854</v>
      </c>
      <c r="AM430" t="str" s="39" cm="1">
        <f t="array" ref="AM430">IF(AK430="FUERA","Fuera del marco",_xlfn.IFERROR(INDEX('Datos - Catálogo PISA'!$C$5:$C$76,MATCH(AK430,'Datos - Catálogo PISA'!$A$5:$A$76,0)),"?"))</f>
        <v>Sistemas de la Tierra y el espacio</v>
      </c>
      <c r="AN430" t="s" s="35">
        <v>1651</v>
      </c>
      <c r="AO430" s="39"/>
      <c r="AP430" s="39"/>
      <c r="AQ430" t="s" s="35">
        <v>1752</v>
      </c>
      <c r="AR430" t="s" s="35">
        <v>1765</v>
      </c>
      <c r="AS430" t="s" s="35">
        <v>1770</v>
      </c>
      <c r="AT430" t="s" s="35">
        <v>254</v>
      </c>
      <c r="AU430" t="s" s="35">
        <v>3854</v>
      </c>
      <c r="AV430" t="s" s="35">
        <v>139</v>
      </c>
      <c r="AW430" t="str" s="39" cm="1">
        <f t="array" ref="AW430">AF430&amp;"; "&amp;AG430&amp;"; "&amp;AH430&amp;"; "&amp;AI430&amp;"; "&amp;AJ430</f>
        <v>E6; D1; E1; D4; E6</v>
      </c>
    </row>
    <row r="431" ht="13.65" customHeight="1">
      <c r="A431" t="s" s="35">
        <v>3855</v>
      </c>
      <c r="B431" s="36">
        <v>7</v>
      </c>
      <c r="C431" t="s" s="35">
        <v>1823</v>
      </c>
      <c r="D431" t="s" s="35">
        <v>3454</v>
      </c>
      <c r="E431" t="s" s="35">
        <v>3818</v>
      </c>
      <c r="F431" s="36">
        <v>10</v>
      </c>
      <c r="G431" t="s" s="35">
        <v>529</v>
      </c>
      <c r="H431" t="s" s="35">
        <v>3856</v>
      </c>
      <c r="I431" t="s" s="120">
        <v>3857</v>
      </c>
      <c r="J431" t="s" s="35">
        <v>1164</v>
      </c>
      <c r="K431" t="s" s="35">
        <v>1287</v>
      </c>
      <c r="L431" t="s" s="35">
        <v>575</v>
      </c>
      <c r="M431" t="str" s="39">
        <v>Ciencias de la Tierra</v>
      </c>
      <c r="N431" t="str" s="39">
        <v>Recursos de la Tierra, uso y conservación</v>
      </c>
      <c r="O431" t="str" s="39" cm="1">
        <f t="array" ref="O431">IF(L431="","",_xlfn.IFERROR(INDEX('Datos - Catálogo TIMSS'!$C$5:$C$107,MATCH(L431,'Datos - Catálogo TIMSS'!$A$5:$A$107,0)),"?"))</f>
        <v>Física</v>
      </c>
      <c r="P431" t="s" s="35">
        <v>282</v>
      </c>
      <c r="Q431" t="s" s="120">
        <v>3858</v>
      </c>
      <c r="R431" t="s" s="120">
        <v>3802</v>
      </c>
      <c r="S431" s="121" cm="1">
        <f t="array" ref="S431">_xlfn.IFERROR(ISNUMBER(SEARCH("Conocer",$R431))/(ISNUMBER(SEARCH("Conocer",$R431))+ISNUMBER(SEARCH("Aplicar",$R431))+ISNUMBER(SEARCH("Razonar",$R431))),0)</f>
        <v>0</v>
      </c>
      <c r="T431" s="121" cm="1">
        <f t="array" ref="T431">_xlfn.IFERROR(ISNUMBER(SEARCH("Aplicar",$R431))/(ISNUMBER(SEARCH("Conocer",$R431))+ISNUMBER(SEARCH("Aplicar",$R431))+ISNUMBER(SEARCH("Razonar",$R431))),0)</f>
        <v>0.5</v>
      </c>
      <c r="U431" s="121" cm="1">
        <f t="array" ref="U431">_xlfn.IFERROR(ISNUMBER(SEARCH("Razonar",$R431))/(ISNUMBER(SEARCH("Conocer",$R431))+ISNUMBER(SEARCH("Aplicar",$R431))+ISNUMBER(SEARCH("Razonar",$R431))),0)</f>
        <v>0.5</v>
      </c>
      <c r="V431" t="s" s="35">
        <v>85</v>
      </c>
      <c r="W431" t="s" s="35">
        <v>115</v>
      </c>
      <c r="X431" s="36" cm="1">
        <f t="array" ref="X431">IF(OR(_xlfn.IFERROR(INDEX('Datos - Catálogo TIMSS'!$I$5:$I$107,MATCH(K431,'Datos - Catálogo TIMSS'!$A$5:$A$107,0)),"No")="Sí",_xlfn.IFERROR(INDEX('Datos - Catálogo TIMSS'!$I$5:$I$107,MATCH(L431,'Datos - Catálogo TIMSS'!$A$5:$A$107,0)),"No")="Sí"),1,0)</f>
        <v>1</v>
      </c>
      <c r="Y431" s="36" cm="1">
        <f t="array" ref="Y431">IF(_xlfn.IFERROR(INDEX('Datos - Catálogo TIMSS'!$J$5:$J$107,MATCH(K431,'Datos - Catálogo TIMSS'!$A$5:$A$107,0)),"No")="Sí",1,0)</f>
        <v>0</v>
      </c>
      <c r="Z431" s="36" cm="1">
        <f t="array" ref="Z431">IF(_xlfn.IFERROR(INDEX('Datos - Catálogo TIMSS'!$J$5:$J$107,MATCH(L431,'Datos - Catálogo TIMSS'!$A$5:$A$107,0)),"No")="Sí",1,0)</f>
        <v>0</v>
      </c>
      <c r="AA431" t="s" s="35">
        <v>2929</v>
      </c>
      <c r="AB431" t="s" s="35">
        <v>3708</v>
      </c>
      <c r="AC431" t="str" s="39">
        <v>Física</v>
      </c>
      <c r="AD431" t="s" s="35">
        <v>1834</v>
      </c>
      <c r="AE431" t="str" s="39" cm="1">
        <f t="array" ref="AE431">IF(AD431="","",IF(LEFT(AD431,1)="1","C1",IF(LEFT(AD431,1)="2","C2",IF(LEFT(AD431,1)="3","C3",""))))</f>
        <v>C2</v>
      </c>
      <c r="AF431" t="s" s="35">
        <v>1602</v>
      </c>
      <c r="AG431" t="s" s="35">
        <v>1617</v>
      </c>
      <c r="AH431" t="s" s="35">
        <v>1609</v>
      </c>
      <c r="AI431" t="s" s="35">
        <v>1621</v>
      </c>
      <c r="AJ431" t="s" s="35">
        <v>1607</v>
      </c>
      <c r="AK431" t="s" s="35">
        <v>854</v>
      </c>
      <c r="AL431" t="s" s="35">
        <v>1554</v>
      </c>
      <c r="AM431" t="str" s="39" cm="1">
        <f t="array" ref="AM431">IF(AK431="FUERA","Fuera del marco",_xlfn.IFERROR(INDEX('Datos - Catálogo PISA'!$C$5:$C$76,MATCH(AK431,'Datos - Catálogo PISA'!$A$5:$A$76,0)),"?"))</f>
        <v>Sistemas físicos</v>
      </c>
      <c r="AN431" t="s" s="35">
        <v>1651</v>
      </c>
      <c r="AO431" t="s" s="35">
        <v>3488</v>
      </c>
      <c r="AP431" s="39"/>
      <c r="AQ431" t="s" s="35">
        <v>1752</v>
      </c>
      <c r="AR431" t="s" s="35">
        <v>1768</v>
      </c>
      <c r="AS431" t="s" s="35">
        <v>1771</v>
      </c>
      <c r="AT431" t="s" s="35">
        <v>282</v>
      </c>
      <c r="AU431" t="s" s="35">
        <v>3859</v>
      </c>
      <c r="AV431" t="s" s="35">
        <v>139</v>
      </c>
      <c r="AW431" t="str" s="39" cm="1">
        <f t="array" ref="AW431">AF431&amp;"; "&amp;AG431&amp;"; "&amp;AH431&amp;"; "&amp;AI431&amp;"; "&amp;AJ431</f>
        <v>E1; D1; E4; D3; E3</v>
      </c>
    </row>
    <row r="432" ht="13.65" customHeight="1">
      <c r="A432" t="s" s="35">
        <v>3860</v>
      </c>
      <c r="B432" s="36">
        <v>7</v>
      </c>
      <c r="C432" t="s" s="35">
        <v>1823</v>
      </c>
      <c r="D432" t="s" s="35">
        <v>3454</v>
      </c>
      <c r="E432" t="s" s="35">
        <v>3818</v>
      </c>
      <c r="F432" s="36">
        <v>11</v>
      </c>
      <c r="G432" t="s" s="35">
        <v>529</v>
      </c>
      <c r="H432" t="s" s="35">
        <v>3856</v>
      </c>
      <c r="I432" t="s" s="120">
        <v>3861</v>
      </c>
      <c r="J432" t="s" s="35">
        <v>1164</v>
      </c>
      <c r="K432" t="s" s="35">
        <v>1287</v>
      </c>
      <c r="L432" t="s" s="35">
        <v>1290</v>
      </c>
      <c r="M432" t="str" s="39">
        <v>Ciencias de la Tierra</v>
      </c>
      <c r="N432" t="str" s="39">
        <v>Recursos de la Tierra, uso y conservación</v>
      </c>
      <c r="O432" t="str" s="39" cm="1">
        <f t="array" ref="O432">IF(L432="","",_xlfn.IFERROR(INDEX('Datos - Catálogo TIMSS'!$C$5:$C$107,MATCH(L432,'Datos - Catálogo TIMSS'!$A$5:$A$107,0)),"?"))</f>
        <v>Ciencias de la Tierra</v>
      </c>
      <c r="P432" t="s" s="35">
        <v>254</v>
      </c>
      <c r="Q432" t="s" s="120">
        <v>3862</v>
      </c>
      <c r="R432" t="s" s="120">
        <v>3826</v>
      </c>
      <c r="S432" s="121" cm="1">
        <f t="array" ref="S432">_xlfn.IFERROR(ISNUMBER(SEARCH("Conocer",$R432))/(ISNUMBER(SEARCH("Conocer",$R432))+ISNUMBER(SEARCH("Aplicar",$R432))+ISNUMBER(SEARCH("Razonar",$R432))),0)</f>
        <v>0</v>
      </c>
      <c r="T432" s="121" cm="1">
        <f t="array" ref="T432">_xlfn.IFERROR(ISNUMBER(SEARCH("Aplicar",$R432))/(ISNUMBER(SEARCH("Conocer",$R432))+ISNUMBER(SEARCH("Aplicar",$R432))+ISNUMBER(SEARCH("Razonar",$R432))),0)</f>
        <v>0</v>
      </c>
      <c r="U432" s="121" cm="1">
        <f t="array" ref="U432">_xlfn.IFERROR(ISNUMBER(SEARCH("Razonar",$R432))/(ISNUMBER(SEARCH("Conocer",$R432))+ISNUMBER(SEARCH("Aplicar",$R432))+ISNUMBER(SEARCH("Razonar",$R432))),0)</f>
        <v>1</v>
      </c>
      <c r="V432" t="s" s="35">
        <v>85</v>
      </c>
      <c r="W432" t="s" s="35">
        <v>115</v>
      </c>
      <c r="X432" s="36" cm="1">
        <f t="array" ref="X432">IF(OR(_xlfn.IFERROR(INDEX('Datos - Catálogo TIMSS'!$I$5:$I$107,MATCH(K432,'Datos - Catálogo TIMSS'!$A$5:$A$107,0)),"No")="Sí",_xlfn.IFERROR(INDEX('Datos - Catálogo TIMSS'!$I$5:$I$107,MATCH(L432,'Datos - Catálogo TIMSS'!$A$5:$A$107,0)),"No")="Sí"),1,0)</f>
        <v>1</v>
      </c>
      <c r="Y432" s="36" cm="1">
        <f t="array" ref="Y432">IF(_xlfn.IFERROR(INDEX('Datos - Catálogo TIMSS'!$J$5:$J$107,MATCH(K432,'Datos - Catálogo TIMSS'!$A$5:$A$107,0)),"No")="Sí",1,0)</f>
        <v>0</v>
      </c>
      <c r="Z432" s="36" cm="1">
        <f t="array" ref="Z432">IF(_xlfn.IFERROR(INDEX('Datos - Catálogo TIMSS'!$J$5:$J$107,MATCH(L432,'Datos - Catálogo TIMSS'!$A$5:$A$107,0)),"No")="Sí",1,0)</f>
        <v>0</v>
      </c>
      <c r="AA432" t="s" s="35">
        <v>3708</v>
      </c>
      <c r="AB432" s="39"/>
      <c r="AC432" t="str" s="39">
        <v>Ciencias de la Tierra</v>
      </c>
      <c r="AD432" t="s" s="35">
        <v>1900</v>
      </c>
      <c r="AE432" t="str" s="39" cm="1">
        <f t="array" ref="AE432">IF(AD432="","",IF(LEFT(AD432,1)="1","C1",IF(LEFT(AD432,1)="2","C2",IF(LEFT(AD432,1)="3","C3",""))))</f>
        <v>C3</v>
      </c>
      <c r="AF432" t="s" s="35">
        <v>1602</v>
      </c>
      <c r="AG432" t="s" s="35">
        <v>1617</v>
      </c>
      <c r="AH432" t="s" s="35">
        <v>1605</v>
      </c>
      <c r="AI432" t="s" s="35">
        <v>1629</v>
      </c>
      <c r="AJ432" t="s" s="35">
        <v>1633</v>
      </c>
      <c r="AK432" t="s" s="35">
        <v>1554</v>
      </c>
      <c r="AL432" t="s" s="35">
        <v>1552</v>
      </c>
      <c r="AM432" t="str" s="39" cm="1">
        <f t="array" ref="AM432">IF(AK432="FUERA","Fuera del marco",_xlfn.IFERROR(INDEX('Datos - Catálogo PISA'!$C$5:$C$76,MATCH(AK432,'Datos - Catálogo PISA'!$A$5:$A$76,0)),"?"))</f>
        <v>Sistemas de la Tierra y el espacio</v>
      </c>
      <c r="AN432" t="s" s="35">
        <v>1651</v>
      </c>
      <c r="AO432" s="39"/>
      <c r="AP432" s="39"/>
      <c r="AQ432" t="s" s="35">
        <v>1753</v>
      </c>
      <c r="AR432" t="s" s="35">
        <v>1765</v>
      </c>
      <c r="AS432" t="s" s="35">
        <v>1772</v>
      </c>
      <c r="AT432" t="s" s="35">
        <v>254</v>
      </c>
      <c r="AU432" t="s" s="35">
        <v>3863</v>
      </c>
      <c r="AV432" t="s" s="35">
        <v>139</v>
      </c>
      <c r="AW432" t="str" s="39" cm="1">
        <f t="array" ref="AW432">AF432&amp;"; "&amp;AG432&amp;"; "&amp;AH432&amp;"; "&amp;AI432&amp;"; "&amp;AJ432</f>
        <v>E1; D1; E2; I3; I5</v>
      </c>
    </row>
    <row r="433" ht="13.65" customHeight="1">
      <c r="A433" t="s" s="35">
        <v>3864</v>
      </c>
      <c r="B433" s="36">
        <v>7</v>
      </c>
      <c r="C433" t="s" s="35">
        <v>1823</v>
      </c>
      <c r="D433" t="s" s="35">
        <v>3454</v>
      </c>
      <c r="E433" t="s" s="35">
        <v>3818</v>
      </c>
      <c r="F433" s="36">
        <v>12</v>
      </c>
      <c r="G433" t="s" s="35">
        <v>529</v>
      </c>
      <c r="H433" t="s" s="35">
        <v>3865</v>
      </c>
      <c r="I433" t="s" s="120">
        <v>3866</v>
      </c>
      <c r="J433" t="s" s="35">
        <v>1164</v>
      </c>
      <c r="K433" t="s" s="35">
        <v>1201</v>
      </c>
      <c r="L433" t="s" s="35">
        <v>1287</v>
      </c>
      <c r="M433" t="str" s="39">
        <v>Biología</v>
      </c>
      <c r="N433" t="str" s="39">
        <v>Ecosistemas</v>
      </c>
      <c r="O433" t="str" s="39" cm="1">
        <f t="array" ref="O433">IF(L433="","",_xlfn.IFERROR(INDEX('Datos - Catálogo TIMSS'!$C$5:$C$107,MATCH(L433,'Datos - Catálogo TIMSS'!$A$5:$A$107,0)),"?"))</f>
        <v>Ciencias de la Tierra</v>
      </c>
      <c r="P433" t="s" s="35">
        <v>254</v>
      </c>
      <c r="Q433" t="s" s="120">
        <v>3867</v>
      </c>
      <c r="R433" t="s" s="120">
        <v>3868</v>
      </c>
      <c r="S433" s="121" cm="1">
        <f t="array" ref="S433">_xlfn.IFERROR(ISNUMBER(SEARCH("Conocer",$R433))/(ISNUMBER(SEARCH("Conocer",$R433))+ISNUMBER(SEARCH("Aplicar",$R433))+ISNUMBER(SEARCH("Razonar",$R433))),0)</f>
        <v>0</v>
      </c>
      <c r="T433" s="121" cm="1">
        <f t="array" ref="T433">_xlfn.IFERROR(ISNUMBER(SEARCH("Aplicar",$R433))/(ISNUMBER(SEARCH("Conocer",$R433))+ISNUMBER(SEARCH("Aplicar",$R433))+ISNUMBER(SEARCH("Razonar",$R433))),0)</f>
        <v>0</v>
      </c>
      <c r="U433" s="121" cm="1">
        <f t="array" ref="U433">_xlfn.IFERROR(ISNUMBER(SEARCH("Razonar",$R433))/(ISNUMBER(SEARCH("Conocer",$R433))+ISNUMBER(SEARCH("Aplicar",$R433))+ISNUMBER(SEARCH("Razonar",$R433))),0)</f>
        <v>1</v>
      </c>
      <c r="V433" t="s" s="35">
        <v>85</v>
      </c>
      <c r="W433" t="s" s="35">
        <v>115</v>
      </c>
      <c r="X433" s="36" cm="1">
        <f t="array" ref="X433">IF(OR(_xlfn.IFERROR(INDEX('Datos - Catálogo TIMSS'!$I$5:$I$107,MATCH(K433,'Datos - Catálogo TIMSS'!$A$5:$A$107,0)),"No")="Sí",_xlfn.IFERROR(INDEX('Datos - Catálogo TIMSS'!$I$5:$I$107,MATCH(L433,'Datos - Catálogo TIMSS'!$A$5:$A$107,0)),"No")="Sí"),1,0)</f>
        <v>1</v>
      </c>
      <c r="Y433" s="36" cm="1">
        <f t="array" ref="Y433">IF(_xlfn.IFERROR(INDEX('Datos - Catálogo TIMSS'!$J$5:$J$107,MATCH(K433,'Datos - Catálogo TIMSS'!$A$5:$A$107,0)),"No")="Sí",1,0)</f>
        <v>0</v>
      </c>
      <c r="Z433" s="36" cm="1">
        <f t="array" ref="Z433">IF(_xlfn.IFERROR(INDEX('Datos - Catálogo TIMSS'!$J$5:$J$107,MATCH(L433,'Datos - Catálogo TIMSS'!$A$5:$A$107,0)),"No")="Sí",1,0)</f>
        <v>0</v>
      </c>
      <c r="AA433" t="s" s="35">
        <v>3144</v>
      </c>
      <c r="AB433" t="s" s="35">
        <v>3708</v>
      </c>
      <c r="AC433" t="str" s="39">
        <v>Biología</v>
      </c>
      <c r="AD433" t="s" s="35">
        <v>1900</v>
      </c>
      <c r="AE433" t="str" s="39" cm="1">
        <f t="array" ref="AE433">IF(AD433="","",IF(LEFT(AD433,1)="1","C1",IF(LEFT(AD433,1)="2","C2",IF(LEFT(AD433,1)="3","C3",""))))</f>
        <v>C3</v>
      </c>
      <c r="AF433" t="s" s="35">
        <v>1615</v>
      </c>
      <c r="AG433" t="s" s="35">
        <v>1617</v>
      </c>
      <c r="AH433" t="s" s="35">
        <v>1602</v>
      </c>
      <c r="AI433" t="s" s="35">
        <v>1629</v>
      </c>
      <c r="AJ433" t="s" s="35">
        <v>1633</v>
      </c>
      <c r="AK433" t="s" s="35">
        <v>1548</v>
      </c>
      <c r="AL433" t="s" s="35">
        <v>1552</v>
      </c>
      <c r="AM433" t="str" s="39" cm="1">
        <f t="array" ref="AM433">IF(AK433="FUERA","Fuera del marco",_xlfn.IFERROR(INDEX('Datos - Catálogo PISA'!$C$5:$C$76,MATCH(AK433,'Datos - Catálogo PISA'!$A$5:$A$76,0)),"?"))</f>
        <v>Sistemas vivos</v>
      </c>
      <c r="AN433" t="s" s="35">
        <v>1651</v>
      </c>
      <c r="AO433" s="39"/>
      <c r="AP433" s="39"/>
      <c r="AQ433" t="s" s="35">
        <v>1752</v>
      </c>
      <c r="AR433" t="s" s="35">
        <v>1766</v>
      </c>
      <c r="AS433" t="s" s="35">
        <v>1771</v>
      </c>
      <c r="AT433" t="s" s="35">
        <v>254</v>
      </c>
      <c r="AU433" t="s" s="35">
        <v>3869</v>
      </c>
      <c r="AV433" t="s" s="35">
        <v>139</v>
      </c>
      <c r="AW433" t="str" s="39" cm="1">
        <f t="array" ref="AW433">AF433&amp;"; "&amp;AG433&amp;"; "&amp;AH433&amp;"; "&amp;AI433&amp;"; "&amp;AJ433</f>
        <v>E6; D1; E1; I3; I5</v>
      </c>
    </row>
    <row r="434" ht="13.65" customHeight="1">
      <c r="A434" t="s" s="35">
        <v>3870</v>
      </c>
      <c r="B434" s="36">
        <v>7</v>
      </c>
      <c r="C434" t="s" s="35">
        <v>1823</v>
      </c>
      <c r="D434" t="s" s="35">
        <v>3454</v>
      </c>
      <c r="E434" t="s" s="35">
        <v>3818</v>
      </c>
      <c r="F434" s="36">
        <v>13</v>
      </c>
      <c r="G434" t="s" s="35">
        <v>529</v>
      </c>
      <c r="H434" t="s" s="35">
        <v>3865</v>
      </c>
      <c r="I434" t="s" s="120">
        <v>3871</v>
      </c>
      <c r="J434" t="s" s="35">
        <v>1164</v>
      </c>
      <c r="K434" t="s" s="35">
        <v>1201</v>
      </c>
      <c r="L434" s="39"/>
      <c r="M434" t="str" s="39">
        <v>Biología</v>
      </c>
      <c r="N434" t="str" s="39">
        <v>Ecosistemas</v>
      </c>
      <c r="O434" t="str" s="39" cm="1">
        <f t="array" ref="O434">IF(L434="","",_xlfn.IFERROR(INDEX('Datos - Catálogo TIMSS'!$C$5:$C$107,MATCH(L434,'Datos - Catálogo TIMSS'!$A$5:$A$107,0)),"?"))</f>
      </c>
      <c r="P434" t="s" s="35">
        <v>254</v>
      </c>
      <c r="Q434" t="s" s="120">
        <v>3872</v>
      </c>
      <c r="R434" t="s" s="120">
        <v>3297</v>
      </c>
      <c r="S434" s="121" cm="1">
        <f t="array" ref="S434">_xlfn.IFERROR(ISNUMBER(SEARCH("Conocer",$R434))/(ISNUMBER(SEARCH("Conocer",$R434))+ISNUMBER(SEARCH("Aplicar",$R434))+ISNUMBER(SEARCH("Razonar",$R434))),0)</f>
        <v>1</v>
      </c>
      <c r="T434" s="121" cm="1">
        <f t="array" ref="T434">_xlfn.IFERROR(ISNUMBER(SEARCH("Aplicar",$R434))/(ISNUMBER(SEARCH("Conocer",$R434))+ISNUMBER(SEARCH("Aplicar",$R434))+ISNUMBER(SEARCH("Razonar",$R434))),0)</f>
        <v>0</v>
      </c>
      <c r="U434" s="121" cm="1">
        <f t="array" ref="U434">_xlfn.IFERROR(ISNUMBER(SEARCH("Razonar",$R434))/(ISNUMBER(SEARCH("Conocer",$R434))+ISNUMBER(SEARCH("Aplicar",$R434))+ISNUMBER(SEARCH("Razonar",$R434))),0)</f>
        <v>0</v>
      </c>
      <c r="V434" t="s" s="35">
        <v>85</v>
      </c>
      <c r="W434" t="s" s="35">
        <v>115</v>
      </c>
      <c r="X434" s="36" cm="1">
        <f t="array" ref="X434">IF(OR(_xlfn.IFERROR(INDEX('Datos - Catálogo TIMSS'!$I$5:$I$107,MATCH(K434,'Datos - Catálogo TIMSS'!$A$5:$A$107,0)),"No")="Sí",_xlfn.IFERROR(INDEX('Datos - Catálogo TIMSS'!$I$5:$I$107,MATCH(L434,'Datos - Catálogo TIMSS'!$A$5:$A$107,0)),"No")="Sí"),1,0)</f>
        <v>1</v>
      </c>
      <c r="Y434" s="36" cm="1">
        <f t="array" ref="Y434">IF(_xlfn.IFERROR(INDEX('Datos - Catálogo TIMSS'!$J$5:$J$107,MATCH(K434,'Datos - Catálogo TIMSS'!$A$5:$A$107,0)),"No")="Sí",1,0)</f>
        <v>0</v>
      </c>
      <c r="Z434" s="36" cm="1">
        <f t="array" ref="Z434">IF(_xlfn.IFERROR(INDEX('Datos - Catálogo TIMSS'!$J$5:$J$107,MATCH(L434,'Datos - Catálogo TIMSS'!$A$5:$A$107,0)),"No")="Sí",1,0)</f>
        <v>0</v>
      </c>
      <c r="AA434" t="s" s="35">
        <v>3144</v>
      </c>
      <c r="AB434" s="39"/>
      <c r="AC434" t="str" s="39">
        <v>Biología</v>
      </c>
      <c r="AD434" t="s" s="35">
        <v>1859</v>
      </c>
      <c r="AE434" t="str" s="39" cm="1">
        <f t="array" ref="AE434">IF(AD434="","",IF(LEFT(AD434,1)="1","C1",IF(LEFT(AD434,1)="2","C2",IF(LEFT(AD434,1)="3","C3",""))))</f>
        <v>C1</v>
      </c>
      <c r="AF434" t="s" s="35">
        <v>1615</v>
      </c>
      <c r="AG434" t="s" s="35">
        <v>1617</v>
      </c>
      <c r="AH434" t="s" s="35">
        <v>1602</v>
      </c>
      <c r="AI434" t="s" s="35">
        <v>1623</v>
      </c>
      <c r="AJ434" t="s" s="35">
        <v>1615</v>
      </c>
      <c r="AK434" t="s" s="35">
        <v>1548</v>
      </c>
      <c r="AL434" s="39"/>
      <c r="AM434" t="str" s="39" cm="1">
        <f t="array" ref="AM434">IF(AK434="FUERA","Fuera del marco",_xlfn.IFERROR(INDEX('Datos - Catálogo PISA'!$C$5:$C$76,MATCH(AK434,'Datos - Catálogo PISA'!$A$5:$A$76,0)),"?"))</f>
        <v>Sistemas vivos</v>
      </c>
      <c r="AN434" t="s" s="35">
        <v>1651</v>
      </c>
      <c r="AO434" s="39"/>
      <c r="AP434" s="39"/>
      <c r="AQ434" t="s" s="35">
        <v>1752</v>
      </c>
      <c r="AR434" t="s" s="35">
        <v>1766</v>
      </c>
      <c r="AS434" t="s" s="35">
        <v>1771</v>
      </c>
      <c r="AT434" t="s" s="35">
        <v>254</v>
      </c>
      <c r="AU434" t="s" s="35">
        <v>3873</v>
      </c>
      <c r="AV434" t="s" s="35">
        <v>139</v>
      </c>
      <c r="AW434" t="str" s="39" cm="1">
        <f t="array" ref="AW434">AF434&amp;"; "&amp;AG434&amp;"; "&amp;AH434&amp;"; "&amp;AI434&amp;"; "&amp;AJ434</f>
        <v>E6; D1; E1; D4; E6</v>
      </c>
    </row>
    <row r="435" ht="13.65" customHeight="1">
      <c r="A435" t="s" s="35">
        <v>3874</v>
      </c>
      <c r="B435" s="36">
        <v>7</v>
      </c>
      <c r="C435" t="s" s="35">
        <v>1823</v>
      </c>
      <c r="D435" t="s" s="35">
        <v>3454</v>
      </c>
      <c r="E435" t="s" s="35">
        <v>3818</v>
      </c>
      <c r="F435" s="36">
        <v>14</v>
      </c>
      <c r="G435" t="s" s="35">
        <v>529</v>
      </c>
      <c r="H435" t="s" s="35">
        <v>3865</v>
      </c>
      <c r="I435" t="s" s="120">
        <v>3875</v>
      </c>
      <c r="J435" t="s" s="35">
        <v>1164</v>
      </c>
      <c r="K435" t="s" s="35">
        <v>1201</v>
      </c>
      <c r="L435" s="39"/>
      <c r="M435" t="str" s="39">
        <v>Biología</v>
      </c>
      <c r="N435" t="str" s="39">
        <v>Ecosistemas</v>
      </c>
      <c r="O435" t="str" s="39" cm="1">
        <f t="array" ref="O435">IF(L435="","",_xlfn.IFERROR(INDEX('Datos - Catálogo TIMSS'!$C$5:$C$107,MATCH(L435,'Datos - Catálogo TIMSS'!$A$5:$A$107,0)),"?"))</f>
      </c>
      <c r="P435" t="s" s="35">
        <v>282</v>
      </c>
      <c r="Q435" t="s" s="120">
        <v>3876</v>
      </c>
      <c r="R435" t="s" s="120">
        <v>3877</v>
      </c>
      <c r="S435" s="121" cm="1">
        <f t="array" ref="S435">_xlfn.IFERROR(ISNUMBER(SEARCH("Conocer",$R435))/(ISNUMBER(SEARCH("Conocer",$R435))+ISNUMBER(SEARCH("Aplicar",$R435))+ISNUMBER(SEARCH("Razonar",$R435))),0)</f>
        <v>0</v>
      </c>
      <c r="T435" s="121" cm="1">
        <f t="array" ref="T435">_xlfn.IFERROR(ISNUMBER(SEARCH("Aplicar",$R435))/(ISNUMBER(SEARCH("Conocer",$R435))+ISNUMBER(SEARCH("Aplicar",$R435))+ISNUMBER(SEARCH("Razonar",$R435))),0)</f>
        <v>1</v>
      </c>
      <c r="U435" s="121" cm="1">
        <f t="array" ref="U435">_xlfn.IFERROR(ISNUMBER(SEARCH("Razonar",$R435))/(ISNUMBER(SEARCH("Conocer",$R435))+ISNUMBER(SEARCH("Aplicar",$R435))+ISNUMBER(SEARCH("Razonar",$R435))),0)</f>
        <v>0</v>
      </c>
      <c r="V435" t="s" s="35">
        <v>85</v>
      </c>
      <c r="W435" t="s" s="35">
        <v>115</v>
      </c>
      <c r="X435" s="36" cm="1">
        <f t="array" ref="X435">IF(OR(_xlfn.IFERROR(INDEX('Datos - Catálogo TIMSS'!$I$5:$I$107,MATCH(K435,'Datos - Catálogo TIMSS'!$A$5:$A$107,0)),"No")="Sí",_xlfn.IFERROR(INDEX('Datos - Catálogo TIMSS'!$I$5:$I$107,MATCH(L435,'Datos - Catálogo TIMSS'!$A$5:$A$107,0)),"No")="Sí"),1,0)</f>
        <v>1</v>
      </c>
      <c r="Y435" s="36" cm="1">
        <f t="array" ref="Y435">IF(_xlfn.IFERROR(INDEX('Datos - Catálogo TIMSS'!$J$5:$J$107,MATCH(K435,'Datos - Catálogo TIMSS'!$A$5:$A$107,0)),"No")="Sí",1,0)</f>
        <v>0</v>
      </c>
      <c r="Z435" s="36" cm="1">
        <f t="array" ref="Z435">IF(_xlfn.IFERROR(INDEX('Datos - Catálogo TIMSS'!$J$5:$J$107,MATCH(L435,'Datos - Catálogo TIMSS'!$A$5:$A$107,0)),"No")="Sí",1,0)</f>
        <v>0</v>
      </c>
      <c r="AA435" t="s" s="35">
        <v>3144</v>
      </c>
      <c r="AB435" s="39"/>
      <c r="AC435" t="str" s="39">
        <v>Biología</v>
      </c>
      <c r="AD435" t="s" s="35">
        <v>1834</v>
      </c>
      <c r="AE435" t="str" s="39" cm="1">
        <f t="array" ref="AE435">IF(AD435="","",IF(LEFT(AD435,1)="1","C1",IF(LEFT(AD435,1)="2","C2",IF(LEFT(AD435,1)="3","C3",""))))</f>
        <v>C2</v>
      </c>
      <c r="AF435" t="s" s="35">
        <v>1602</v>
      </c>
      <c r="AG435" t="s" s="35">
        <v>1617</v>
      </c>
      <c r="AH435" t="s" s="35">
        <v>1602</v>
      </c>
      <c r="AI435" t="s" s="35">
        <v>1623</v>
      </c>
      <c r="AJ435" t="s" s="35">
        <v>1633</v>
      </c>
      <c r="AK435" t="s" s="35">
        <v>1548</v>
      </c>
      <c r="AL435" s="39"/>
      <c r="AM435" t="str" s="39" cm="1">
        <f t="array" ref="AM435">IF(AK435="FUERA","Fuera del marco",_xlfn.IFERROR(INDEX('Datos - Catálogo PISA'!$C$5:$C$76,MATCH(AK435,'Datos - Catálogo PISA'!$A$5:$A$76,0)),"?"))</f>
        <v>Sistemas vivos</v>
      </c>
      <c r="AN435" t="s" s="35">
        <v>1651</v>
      </c>
      <c r="AO435" s="39"/>
      <c r="AP435" s="39"/>
      <c r="AQ435" t="s" s="35">
        <v>1752</v>
      </c>
      <c r="AR435" t="s" s="35">
        <v>1766</v>
      </c>
      <c r="AS435" t="s" s="35">
        <v>1772</v>
      </c>
      <c r="AT435" t="s" s="35">
        <v>282</v>
      </c>
      <c r="AU435" t="s" s="35">
        <v>3878</v>
      </c>
      <c r="AV435" t="s" s="35">
        <v>139</v>
      </c>
      <c r="AW435" t="str" s="39" cm="1">
        <f t="array" ref="AW435">AF435&amp;"; "&amp;AG435&amp;"; "&amp;AH435&amp;"; "&amp;AI435&amp;"; "&amp;AJ435</f>
        <v>E1; D1; E1; D4; I5</v>
      </c>
    </row>
    <row r="436" ht="13.65" customHeight="1">
      <c r="A436" t="s" s="35">
        <v>3879</v>
      </c>
      <c r="B436" s="36">
        <v>7</v>
      </c>
      <c r="C436" t="s" s="35">
        <v>1823</v>
      </c>
      <c r="D436" t="s" s="35">
        <v>3454</v>
      </c>
      <c r="E436" t="s" s="35">
        <v>3818</v>
      </c>
      <c r="F436" s="36">
        <v>15</v>
      </c>
      <c r="G436" t="s" s="35">
        <v>529</v>
      </c>
      <c r="H436" t="s" s="35">
        <v>1285</v>
      </c>
      <c r="I436" t="s" s="120">
        <v>3880</v>
      </c>
      <c r="J436" t="s" s="35">
        <v>1164</v>
      </c>
      <c r="K436" t="s" s="35">
        <v>1284</v>
      </c>
      <c r="L436" t="s" s="35">
        <v>1201</v>
      </c>
      <c r="M436" t="str" s="39">
        <v>Ciencias de la Tierra</v>
      </c>
      <c r="N436" t="str" s="39">
        <v>La atmósfera terrestre</v>
      </c>
      <c r="O436" t="str" s="39" cm="1">
        <f t="array" ref="O436">IF(L436="","",_xlfn.IFERROR(INDEX('Datos - Catálogo TIMSS'!$C$5:$C$107,MATCH(L436,'Datos - Catálogo TIMSS'!$A$5:$A$107,0)),"?"))</f>
        <v>Biología</v>
      </c>
      <c r="P436" t="s" s="35">
        <v>282</v>
      </c>
      <c r="Q436" t="s" s="120">
        <v>3881</v>
      </c>
      <c r="R436" t="s" s="120">
        <v>3882</v>
      </c>
      <c r="S436" s="121" cm="1">
        <f t="array" ref="S436">_xlfn.IFERROR(ISNUMBER(SEARCH("Conocer",$R436))/(ISNUMBER(SEARCH("Conocer",$R436))+ISNUMBER(SEARCH("Aplicar",$R436))+ISNUMBER(SEARCH("Razonar",$R436))),0)</f>
        <v>0</v>
      </c>
      <c r="T436" s="121" cm="1">
        <f t="array" ref="T436">_xlfn.IFERROR(ISNUMBER(SEARCH("Aplicar",$R436))/(ISNUMBER(SEARCH("Conocer",$R436))+ISNUMBER(SEARCH("Aplicar",$R436))+ISNUMBER(SEARCH("Razonar",$R436))),0)</f>
        <v>0.5</v>
      </c>
      <c r="U436" s="121" cm="1">
        <f t="array" ref="U436">_xlfn.IFERROR(ISNUMBER(SEARCH("Razonar",$R436))/(ISNUMBER(SEARCH("Conocer",$R436))+ISNUMBER(SEARCH("Aplicar",$R436))+ISNUMBER(SEARCH("Razonar",$R436))),0)</f>
        <v>0.5</v>
      </c>
      <c r="V436" t="s" s="35">
        <v>85</v>
      </c>
      <c r="W436" t="s" s="35">
        <v>115</v>
      </c>
      <c r="X436" s="36" cm="1">
        <f t="array" ref="X436">IF(OR(_xlfn.IFERROR(INDEX('Datos - Catálogo TIMSS'!$I$5:$I$107,MATCH(K436,'Datos - Catálogo TIMSS'!$A$5:$A$107,0)),"No")="Sí",_xlfn.IFERROR(INDEX('Datos - Catálogo TIMSS'!$I$5:$I$107,MATCH(L436,'Datos - Catálogo TIMSS'!$A$5:$A$107,0)),"No")="Sí"),1,0)</f>
        <v>1</v>
      </c>
      <c r="Y436" s="36" cm="1">
        <f t="array" ref="Y436">IF(_xlfn.IFERROR(INDEX('Datos - Catálogo TIMSS'!$J$5:$J$107,MATCH(K436,'Datos - Catálogo TIMSS'!$A$5:$A$107,0)),"No")="Sí",1,0)</f>
        <v>0</v>
      </c>
      <c r="Z436" s="36" cm="1">
        <f t="array" ref="Z436">IF(_xlfn.IFERROR(INDEX('Datos - Catálogo TIMSS'!$J$5:$J$107,MATCH(L436,'Datos - Catálogo TIMSS'!$A$5:$A$107,0)),"No")="Sí",1,0)</f>
        <v>0</v>
      </c>
      <c r="AA436" t="s" s="35">
        <v>3719</v>
      </c>
      <c r="AB436" t="s" s="35">
        <v>3144</v>
      </c>
      <c r="AC436" t="str" s="39">
        <v>Ciencias de la Tierra</v>
      </c>
      <c r="AD436" t="s" s="35">
        <v>1834</v>
      </c>
      <c r="AE436" t="str" s="39" cm="1">
        <f t="array" ref="AE436">IF(AD436="","",IF(LEFT(AD436,1)="1","C1",IF(LEFT(AD436,1)="2","C2",IF(LEFT(AD436,1)="3","C3",""))))</f>
        <v>C2</v>
      </c>
      <c r="AF436" t="s" s="35">
        <v>1602</v>
      </c>
      <c r="AG436" t="s" s="35">
        <v>1607</v>
      </c>
      <c r="AH436" t="s" s="35">
        <v>1609</v>
      </c>
      <c r="AI436" t="s" s="35">
        <v>1623</v>
      </c>
      <c r="AJ436" t="s" s="35">
        <v>1615</v>
      </c>
      <c r="AK436" t="s" s="35">
        <v>1558</v>
      </c>
      <c r="AL436" t="s" s="35">
        <v>826</v>
      </c>
      <c r="AM436" t="str" s="39" cm="1">
        <f t="array" ref="AM436">IF(AK436="FUERA","Fuera del marco",_xlfn.IFERROR(INDEX('Datos - Catálogo PISA'!$C$5:$C$76,MATCH(AK436,'Datos - Catálogo PISA'!$A$5:$A$76,0)),"?"))</f>
        <v>Sistemas de la Tierra y el espacio</v>
      </c>
      <c r="AN436" t="s" s="35">
        <v>1651</v>
      </c>
      <c r="AO436" t="s" s="35">
        <v>3488</v>
      </c>
      <c r="AP436" t="s" s="35">
        <v>3534</v>
      </c>
      <c r="AQ436" t="s" s="35">
        <v>1753</v>
      </c>
      <c r="AR436" t="s" s="35">
        <v>1766</v>
      </c>
      <c r="AS436" t="s" s="35">
        <v>1771</v>
      </c>
      <c r="AT436" t="s" s="35">
        <v>254</v>
      </c>
      <c r="AU436" t="s" s="35">
        <v>3883</v>
      </c>
      <c r="AV436" t="s" s="35">
        <v>139</v>
      </c>
      <c r="AW436" t="str" s="39" cm="1">
        <f t="array" ref="AW436">AF436&amp;"; "&amp;AG436&amp;"; "&amp;AH436&amp;"; "&amp;AI436&amp;"; "&amp;AJ436</f>
        <v>E1; E3; E4; D4; E6</v>
      </c>
    </row>
    <row r="437" ht="13.65" customHeight="1">
      <c r="A437" t="s" s="35">
        <v>3884</v>
      </c>
      <c r="B437" s="36">
        <v>7</v>
      </c>
      <c r="C437" t="s" s="35">
        <v>1823</v>
      </c>
      <c r="D437" t="s" s="35">
        <v>3454</v>
      </c>
      <c r="E437" t="s" s="35">
        <v>3818</v>
      </c>
      <c r="F437" s="36">
        <v>16</v>
      </c>
      <c r="G437" t="s" s="35">
        <v>529</v>
      </c>
      <c r="H437" t="s" s="35">
        <v>1285</v>
      </c>
      <c r="I437" t="s" s="120">
        <v>3885</v>
      </c>
      <c r="J437" t="s" s="35">
        <v>1164</v>
      </c>
      <c r="K437" t="s" s="35">
        <v>1284</v>
      </c>
      <c r="L437" s="39"/>
      <c r="M437" t="str" s="39">
        <v>Ciencias de la Tierra</v>
      </c>
      <c r="N437" t="str" s="39">
        <v>La atmósfera terrestre</v>
      </c>
      <c r="O437" t="str" s="39" cm="1">
        <f t="array" ref="O437">IF(L437="","",_xlfn.IFERROR(INDEX('Datos - Catálogo TIMSS'!$C$5:$C$107,MATCH(L437,'Datos - Catálogo TIMSS'!$A$5:$A$107,0)),"?"))</f>
      </c>
      <c r="P437" t="s" s="35">
        <v>254</v>
      </c>
      <c r="Q437" t="s" s="120">
        <v>3886</v>
      </c>
      <c r="R437" t="s" s="120">
        <v>3842</v>
      </c>
      <c r="S437" s="121" cm="1">
        <f t="array" ref="S437">_xlfn.IFERROR(ISNUMBER(SEARCH("Conocer",$R437))/(ISNUMBER(SEARCH("Conocer",$R437))+ISNUMBER(SEARCH("Aplicar",$R437))+ISNUMBER(SEARCH("Razonar",$R437))),0)</f>
        <v>0</v>
      </c>
      <c r="T437" s="121" cm="1">
        <f t="array" ref="T437">_xlfn.IFERROR(ISNUMBER(SEARCH("Aplicar",$R437))/(ISNUMBER(SEARCH("Conocer",$R437))+ISNUMBER(SEARCH("Aplicar",$R437))+ISNUMBER(SEARCH("Razonar",$R437))),0)</f>
        <v>0</v>
      </c>
      <c r="U437" s="121" cm="1">
        <f t="array" ref="U437">_xlfn.IFERROR(ISNUMBER(SEARCH("Razonar",$R437))/(ISNUMBER(SEARCH("Conocer",$R437))+ISNUMBER(SEARCH("Aplicar",$R437))+ISNUMBER(SEARCH("Razonar",$R437))),0)</f>
        <v>1</v>
      </c>
      <c r="V437" t="s" s="35">
        <v>85</v>
      </c>
      <c r="W437" t="s" s="35">
        <v>115</v>
      </c>
      <c r="X437" s="36" cm="1">
        <f t="array" ref="X437">IF(OR(_xlfn.IFERROR(INDEX('Datos - Catálogo TIMSS'!$I$5:$I$107,MATCH(K437,'Datos - Catálogo TIMSS'!$A$5:$A$107,0)),"No")="Sí",_xlfn.IFERROR(INDEX('Datos - Catálogo TIMSS'!$I$5:$I$107,MATCH(L437,'Datos - Catálogo TIMSS'!$A$5:$A$107,0)),"No")="Sí"),1,0)</f>
        <v>1</v>
      </c>
      <c r="Y437" s="36" cm="1">
        <f t="array" ref="Y437">IF(_xlfn.IFERROR(INDEX('Datos - Catálogo TIMSS'!$J$5:$J$107,MATCH(K437,'Datos - Catálogo TIMSS'!$A$5:$A$107,0)),"No")="Sí",1,0)</f>
        <v>0</v>
      </c>
      <c r="Z437" s="36" cm="1">
        <f t="array" ref="Z437">IF(_xlfn.IFERROR(INDEX('Datos - Catálogo TIMSS'!$J$5:$J$107,MATCH(L437,'Datos - Catálogo TIMSS'!$A$5:$A$107,0)),"No")="Sí",1,0)</f>
        <v>0</v>
      </c>
      <c r="AA437" t="s" s="35">
        <v>3144</v>
      </c>
      <c r="AB437" t="s" s="35">
        <v>3719</v>
      </c>
      <c r="AC437" t="str" s="39">
        <v>Biología</v>
      </c>
      <c r="AD437" t="s" s="35">
        <v>1900</v>
      </c>
      <c r="AE437" t="str" s="39" cm="1">
        <f t="array" ref="AE437">IF(AD437="","",IF(LEFT(AD437,1)="1","C1",IF(LEFT(AD437,1)="2","C2",IF(LEFT(AD437,1)="3","C3",""))))</f>
        <v>C3</v>
      </c>
      <c r="AF437" t="s" s="35">
        <v>1602</v>
      </c>
      <c r="AG437" t="s" s="35">
        <v>1617</v>
      </c>
      <c r="AH437" t="s" s="35">
        <v>1602</v>
      </c>
      <c r="AI437" t="s" s="35">
        <v>1629</v>
      </c>
      <c r="AJ437" t="s" s="35">
        <v>1633</v>
      </c>
      <c r="AK437" t="s" s="35">
        <v>1558</v>
      </c>
      <c r="AL437" t="s" s="35">
        <v>1548</v>
      </c>
      <c r="AM437" t="str" s="39" cm="1">
        <f t="array" ref="AM437">IF(AK437="FUERA","Fuera del marco",_xlfn.IFERROR(INDEX('Datos - Catálogo PISA'!$C$5:$C$76,MATCH(AK437,'Datos - Catálogo PISA'!$A$5:$A$76,0)),"?"))</f>
        <v>Sistemas de la Tierra y el espacio</v>
      </c>
      <c r="AN437" t="s" s="35">
        <v>1651</v>
      </c>
      <c r="AO437" s="39"/>
      <c r="AP437" s="39"/>
      <c r="AQ437" t="s" s="35">
        <v>1751</v>
      </c>
      <c r="AR437" t="s" s="35">
        <v>1766</v>
      </c>
      <c r="AS437" t="s" s="35">
        <v>1771</v>
      </c>
      <c r="AT437" t="s" s="35">
        <v>254</v>
      </c>
      <c r="AU437" t="s" s="35">
        <v>3887</v>
      </c>
      <c r="AV437" t="s" s="35">
        <v>139</v>
      </c>
      <c r="AW437" t="str" s="39" cm="1">
        <f t="array" ref="AW437">AF437&amp;"; "&amp;AG437&amp;"; "&amp;AH437&amp;"; "&amp;AI437&amp;"; "&amp;AJ437</f>
        <v>E1; D1; E1; I3; I5</v>
      </c>
    </row>
    <row r="438" ht="13.65" customHeight="1">
      <c r="A438" t="s" s="35">
        <v>3888</v>
      </c>
      <c r="B438" s="36">
        <v>7</v>
      </c>
      <c r="C438" t="s" s="35">
        <v>1823</v>
      </c>
      <c r="D438" t="s" s="35">
        <v>3454</v>
      </c>
      <c r="E438" t="s" s="35">
        <v>3818</v>
      </c>
      <c r="F438" s="36">
        <v>17</v>
      </c>
      <c r="G438" t="s" s="35">
        <v>529</v>
      </c>
      <c r="H438" t="s" s="35">
        <v>1285</v>
      </c>
      <c r="I438" t="s" s="120">
        <v>3889</v>
      </c>
      <c r="J438" t="s" s="35">
        <v>1164</v>
      </c>
      <c r="K438" t="s" s="35">
        <v>1284</v>
      </c>
      <c r="L438" t="s" s="35">
        <v>1201</v>
      </c>
      <c r="M438" t="str" s="39">
        <v>Ciencias de la Tierra</v>
      </c>
      <c r="N438" t="str" s="39">
        <v>La atmósfera terrestre</v>
      </c>
      <c r="O438" t="str" s="39" cm="1">
        <f t="array" ref="O438">IF(L438="","",_xlfn.IFERROR(INDEX('Datos - Catálogo TIMSS'!$C$5:$C$107,MATCH(L438,'Datos - Catálogo TIMSS'!$A$5:$A$107,0)),"?"))</f>
        <v>Biología</v>
      </c>
      <c r="P438" t="s" s="35">
        <v>282</v>
      </c>
      <c r="Q438" t="s" s="120">
        <v>3890</v>
      </c>
      <c r="R438" t="s" s="120">
        <v>3553</v>
      </c>
      <c r="S438" s="121" cm="1">
        <f t="array" ref="S438">_xlfn.IFERROR(ISNUMBER(SEARCH("Conocer",$R438))/(ISNUMBER(SEARCH("Conocer",$R438))+ISNUMBER(SEARCH("Aplicar",$R438))+ISNUMBER(SEARCH("Razonar",$R438))),0)</f>
        <v>0</v>
      </c>
      <c r="T438" s="121" cm="1">
        <f t="array" ref="T438">_xlfn.IFERROR(ISNUMBER(SEARCH("Aplicar",$R438))/(ISNUMBER(SEARCH("Conocer",$R438))+ISNUMBER(SEARCH("Aplicar",$R438))+ISNUMBER(SEARCH("Razonar",$R438))),0)</f>
        <v>0</v>
      </c>
      <c r="U438" s="121" cm="1">
        <f t="array" ref="U438">_xlfn.IFERROR(ISNUMBER(SEARCH("Razonar",$R438))/(ISNUMBER(SEARCH("Conocer",$R438))+ISNUMBER(SEARCH("Aplicar",$R438))+ISNUMBER(SEARCH("Razonar",$R438))),0)</f>
        <v>1</v>
      </c>
      <c r="V438" t="s" s="35">
        <v>85</v>
      </c>
      <c r="W438" t="s" s="35">
        <v>115</v>
      </c>
      <c r="X438" s="36" cm="1">
        <f t="array" ref="X438">IF(OR(_xlfn.IFERROR(INDEX('Datos - Catálogo TIMSS'!$I$5:$I$107,MATCH(K438,'Datos - Catálogo TIMSS'!$A$5:$A$107,0)),"No")="Sí",_xlfn.IFERROR(INDEX('Datos - Catálogo TIMSS'!$I$5:$I$107,MATCH(L438,'Datos - Catálogo TIMSS'!$A$5:$A$107,0)),"No")="Sí"),1,0)</f>
        <v>1</v>
      </c>
      <c r="Y438" s="36" cm="1">
        <f t="array" ref="Y438">IF(_xlfn.IFERROR(INDEX('Datos - Catálogo TIMSS'!$J$5:$J$107,MATCH(K438,'Datos - Catálogo TIMSS'!$A$5:$A$107,0)),"No")="Sí",1,0)</f>
        <v>0</v>
      </c>
      <c r="Z438" s="36" cm="1">
        <f t="array" ref="Z438">IF(_xlfn.IFERROR(INDEX('Datos - Catálogo TIMSS'!$J$5:$J$107,MATCH(L438,'Datos - Catálogo TIMSS'!$A$5:$A$107,0)),"No")="Sí",1,0)</f>
        <v>0</v>
      </c>
      <c r="AA438" t="s" s="35">
        <v>3719</v>
      </c>
      <c r="AB438" t="s" s="35">
        <v>3144</v>
      </c>
      <c r="AC438" t="str" s="39">
        <v>Ciencias de la Tierra</v>
      </c>
      <c r="AD438" t="s" s="35">
        <v>1900</v>
      </c>
      <c r="AE438" t="str" s="39" cm="1">
        <f t="array" ref="AE438">IF(AD438="","",IF(LEFT(AD438,1)="1","C1",IF(LEFT(AD438,1)="2","C2",IF(LEFT(AD438,1)="3","C3",""))))</f>
        <v>C3</v>
      </c>
      <c r="AF438" t="s" s="35">
        <v>1615</v>
      </c>
      <c r="AG438" t="s" s="35">
        <v>1617</v>
      </c>
      <c r="AH438" t="s" s="35">
        <v>1602</v>
      </c>
      <c r="AI438" t="s" s="35">
        <v>1625</v>
      </c>
      <c r="AJ438" t="s" s="35">
        <v>1633</v>
      </c>
      <c r="AK438" t="s" s="35">
        <v>1558</v>
      </c>
      <c r="AL438" s="39"/>
      <c r="AM438" t="str" s="39" cm="1">
        <f t="array" ref="AM438">IF(AK438="FUERA","Fuera del marco",_xlfn.IFERROR(INDEX('Datos - Catálogo PISA'!$C$5:$C$76,MATCH(AK438,'Datos - Catálogo PISA'!$A$5:$A$76,0)),"?"))</f>
        <v>Sistemas de la Tierra y el espacio</v>
      </c>
      <c r="AN438" t="s" s="35">
        <v>1651</v>
      </c>
      <c r="AO438" s="39"/>
      <c r="AP438" s="39"/>
      <c r="AQ438" t="s" s="35">
        <v>1753</v>
      </c>
      <c r="AR438" t="s" s="35">
        <v>1766</v>
      </c>
      <c r="AS438" t="s" s="35">
        <v>1771</v>
      </c>
      <c r="AT438" t="s" s="35">
        <v>254</v>
      </c>
      <c r="AU438" t="s" s="35">
        <v>3891</v>
      </c>
      <c r="AV438" t="s" s="35">
        <v>139</v>
      </c>
      <c r="AW438" t="str" s="39" cm="1">
        <f t="array" ref="AW438">AF438&amp;"; "&amp;AG438&amp;"; "&amp;AH438&amp;"; "&amp;AI438&amp;"; "&amp;AJ438</f>
        <v>E6; D1; E1; I1; I5</v>
      </c>
    </row>
    <row r="439" ht="13.65" customHeight="1">
      <c r="A439" t="s" s="35">
        <v>3893</v>
      </c>
      <c r="B439" s="36">
        <v>7</v>
      </c>
      <c r="C439" t="s" s="35">
        <v>1823</v>
      </c>
      <c r="D439" t="s" s="35">
        <v>3454</v>
      </c>
      <c r="E439" t="s" s="35">
        <v>3818</v>
      </c>
      <c r="F439" s="36">
        <v>18</v>
      </c>
      <c r="G439" t="s" s="35">
        <v>529</v>
      </c>
      <c r="H439" t="s" s="35">
        <v>3894</v>
      </c>
      <c r="I439" t="s" s="120">
        <v>3895</v>
      </c>
      <c r="J439" t="s" s="35">
        <v>1164</v>
      </c>
      <c r="K439" t="s" s="35">
        <v>1290</v>
      </c>
      <c r="L439" s="39"/>
      <c r="M439" t="str" s="39">
        <v>Ciencias de la Tierra</v>
      </c>
      <c r="N439" t="str" s="39">
        <v>Recursos de la Tierra, uso y conservación</v>
      </c>
      <c r="O439" t="str" s="39" cm="1">
        <f t="array" ref="O439">IF(L439="","",_xlfn.IFERROR(INDEX('Datos - Catálogo TIMSS'!$C$5:$C$107,MATCH(L439,'Datos - Catálogo TIMSS'!$A$5:$A$107,0)),"?"))</f>
      </c>
      <c r="P439" t="s" s="35">
        <v>282</v>
      </c>
      <c r="Q439" t="s" s="120">
        <v>3896</v>
      </c>
      <c r="R439" t="s" s="120">
        <v>3897</v>
      </c>
      <c r="S439" s="121" cm="1">
        <f t="array" ref="S439">_xlfn.IFERROR(ISNUMBER(SEARCH("Conocer",$R439))/(ISNUMBER(SEARCH("Conocer",$R439))+ISNUMBER(SEARCH("Aplicar",$R439))+ISNUMBER(SEARCH("Razonar",$R439))),0)</f>
        <v>0</v>
      </c>
      <c r="T439" s="121" cm="1">
        <f t="array" ref="T439">_xlfn.IFERROR(ISNUMBER(SEARCH("Aplicar",$R439))/(ISNUMBER(SEARCH("Conocer",$R439))+ISNUMBER(SEARCH("Aplicar",$R439))+ISNUMBER(SEARCH("Razonar",$R439))),0)</f>
        <v>0.5</v>
      </c>
      <c r="U439" s="121" cm="1">
        <f t="array" ref="U439">_xlfn.IFERROR(ISNUMBER(SEARCH("Razonar",$R439))/(ISNUMBER(SEARCH("Conocer",$R439))+ISNUMBER(SEARCH("Aplicar",$R439))+ISNUMBER(SEARCH("Razonar",$R439))),0)</f>
        <v>0.5</v>
      </c>
      <c r="V439" t="s" s="35">
        <v>85</v>
      </c>
      <c r="W439" t="s" s="35">
        <v>115</v>
      </c>
      <c r="X439" s="36" cm="1">
        <f t="array" ref="X439">IF(OR(_xlfn.IFERROR(INDEX('Datos - Catálogo TIMSS'!$I$5:$I$107,MATCH(K439,'Datos - Catálogo TIMSS'!$A$5:$A$107,0)),"No")="Sí",_xlfn.IFERROR(INDEX('Datos - Catálogo TIMSS'!$I$5:$I$107,MATCH(L439,'Datos - Catálogo TIMSS'!$A$5:$A$107,0)),"No")="Sí"),1,0)</f>
        <v>1</v>
      </c>
      <c r="Y439" s="36" cm="1">
        <f t="array" ref="Y439">IF(_xlfn.IFERROR(INDEX('Datos - Catálogo TIMSS'!$J$5:$J$107,MATCH(K439,'Datos - Catálogo TIMSS'!$A$5:$A$107,0)),"No")="Sí",1,0)</f>
        <v>0</v>
      </c>
      <c r="Z439" s="36" cm="1">
        <f t="array" ref="Z439">IF(_xlfn.IFERROR(INDEX('Datos - Catálogo TIMSS'!$J$5:$J$107,MATCH(L439,'Datos - Catálogo TIMSS'!$A$5:$A$107,0)),"No")="Sí",1,0)</f>
        <v>0</v>
      </c>
      <c r="AA439" t="s" s="35">
        <v>3135</v>
      </c>
      <c r="AB439" s="39"/>
      <c r="AC439" t="str" s="39">
        <v>Ciencias de la Tierra</v>
      </c>
      <c r="AD439" t="s" s="35">
        <v>1900</v>
      </c>
      <c r="AE439" t="str" s="39" cm="1">
        <f t="array" ref="AE439">IF(AD439="","",IF(LEFT(AD439,1)="1","C1",IF(LEFT(AD439,1)="2","C2",IF(LEFT(AD439,1)="3","C3",""))))</f>
        <v>C3</v>
      </c>
      <c r="AF439" t="s" s="35">
        <v>1615</v>
      </c>
      <c r="AG439" t="s" s="35">
        <v>1617</v>
      </c>
      <c r="AH439" t="s" s="35">
        <v>1605</v>
      </c>
      <c r="AI439" t="s" s="35">
        <v>1629</v>
      </c>
      <c r="AJ439" t="s" s="35">
        <v>1633</v>
      </c>
      <c r="AK439" t="s" s="35">
        <v>1548</v>
      </c>
      <c r="AL439" t="s" s="35">
        <v>1552</v>
      </c>
      <c r="AM439" t="str" s="39" cm="1">
        <f t="array" ref="AM439">IF(AK439="FUERA","Fuera del marco",_xlfn.IFERROR(INDEX('Datos - Catálogo PISA'!$C$5:$C$76,MATCH(AK439,'Datos - Catálogo PISA'!$A$5:$A$76,0)),"?"))</f>
        <v>Sistemas vivos</v>
      </c>
      <c r="AN439" t="s" s="35">
        <v>1651</v>
      </c>
      <c r="AO439" s="39"/>
      <c r="AP439" s="39"/>
      <c r="AQ439" t="s" s="35">
        <v>1752</v>
      </c>
      <c r="AR439" t="s" s="35">
        <v>1765</v>
      </c>
      <c r="AS439" t="s" s="35">
        <v>1771</v>
      </c>
      <c r="AT439" t="s" s="35">
        <v>291</v>
      </c>
      <c r="AU439" t="s" s="35">
        <v>3898</v>
      </c>
      <c r="AV439" t="s" s="35">
        <v>139</v>
      </c>
      <c r="AW439" t="str" s="39" cm="1">
        <f t="array" ref="AW439">AF439&amp;"; "&amp;AG439&amp;"; "&amp;AH439&amp;"; "&amp;AI439&amp;"; "&amp;AJ439</f>
        <v>E6; D1; E2; I3; I5</v>
      </c>
    </row>
    <row r="440" ht="13.65" customHeight="1">
      <c r="A440" t="s" s="35">
        <v>3899</v>
      </c>
      <c r="B440" s="36">
        <v>7</v>
      </c>
      <c r="C440" t="s" s="35">
        <v>1823</v>
      </c>
      <c r="D440" t="s" s="35">
        <v>3454</v>
      </c>
      <c r="E440" t="s" s="35">
        <v>3818</v>
      </c>
      <c r="F440" s="36">
        <v>19</v>
      </c>
      <c r="G440" t="s" s="35">
        <v>529</v>
      </c>
      <c r="H440" t="s" s="35">
        <v>3894</v>
      </c>
      <c r="I440" t="s" s="120">
        <v>3900</v>
      </c>
      <c r="J440" t="s" s="35">
        <v>1164</v>
      </c>
      <c r="K440" t="s" s="35">
        <v>1290</v>
      </c>
      <c r="L440" t="s" s="35">
        <v>1205</v>
      </c>
      <c r="M440" t="str" s="39">
        <v>Ciencias de la Tierra</v>
      </c>
      <c r="N440" t="str" s="39">
        <v>Recursos de la Tierra, uso y conservación</v>
      </c>
      <c r="O440" t="str" s="39" cm="1">
        <f t="array" ref="O440">IF(L440="","",_xlfn.IFERROR(INDEX('Datos - Catálogo TIMSS'!$C$5:$C$107,MATCH(L440,'Datos - Catálogo TIMSS'!$A$5:$A$107,0)),"?"))</f>
        <v>Biología</v>
      </c>
      <c r="P440" t="s" s="35">
        <v>291</v>
      </c>
      <c r="Q440" t="s" s="120">
        <v>3901</v>
      </c>
      <c r="R440" t="s" s="120">
        <v>3902</v>
      </c>
      <c r="S440" s="121" cm="1">
        <f t="array" ref="S440">_xlfn.IFERROR(ISNUMBER(SEARCH("Conocer",$R440))/(ISNUMBER(SEARCH("Conocer",$R440))+ISNUMBER(SEARCH("Aplicar",$R440))+ISNUMBER(SEARCH("Razonar",$R440))),0)</f>
        <v>0</v>
      </c>
      <c r="T440" s="121" cm="1">
        <f t="array" ref="T440">_xlfn.IFERROR(ISNUMBER(SEARCH("Aplicar",$R440))/(ISNUMBER(SEARCH("Conocer",$R440))+ISNUMBER(SEARCH("Aplicar",$R440))+ISNUMBER(SEARCH("Razonar",$R440))),0)</f>
        <v>0.5</v>
      </c>
      <c r="U440" s="121" cm="1">
        <f t="array" ref="U440">_xlfn.IFERROR(ISNUMBER(SEARCH("Razonar",$R440))/(ISNUMBER(SEARCH("Conocer",$R440))+ISNUMBER(SEARCH("Aplicar",$R440))+ISNUMBER(SEARCH("Razonar",$R440))),0)</f>
        <v>0.5</v>
      </c>
      <c r="V440" t="s" s="35">
        <v>85</v>
      </c>
      <c r="W440" t="s" s="35">
        <v>115</v>
      </c>
      <c r="X440" s="36" cm="1">
        <f t="array" ref="X440">IF(OR(_xlfn.IFERROR(INDEX('Datos - Catálogo TIMSS'!$I$5:$I$107,MATCH(K440,'Datos - Catálogo TIMSS'!$A$5:$A$107,0)),"No")="Sí",_xlfn.IFERROR(INDEX('Datos - Catálogo TIMSS'!$I$5:$I$107,MATCH(L440,'Datos - Catálogo TIMSS'!$A$5:$A$107,0)),"No")="Sí"),1,0)</f>
        <v>1</v>
      </c>
      <c r="Y440" s="36" cm="1">
        <f t="array" ref="Y440">IF(_xlfn.IFERROR(INDEX('Datos - Catálogo TIMSS'!$J$5:$J$107,MATCH(K440,'Datos - Catálogo TIMSS'!$A$5:$A$107,0)),"No")="Sí",1,0)</f>
        <v>0</v>
      </c>
      <c r="Z440" s="36" cm="1">
        <f t="array" ref="Z440">IF(_xlfn.IFERROR(INDEX('Datos - Catálogo TIMSS'!$J$5:$J$107,MATCH(L440,'Datos - Catálogo TIMSS'!$A$5:$A$107,0)),"No")="Sí",1,0)</f>
        <v>0</v>
      </c>
      <c r="AA440" t="s" s="35">
        <v>3312</v>
      </c>
      <c r="AB440" t="s" s="35">
        <v>3135</v>
      </c>
      <c r="AC440" t="str" s="39">
        <v>Biología</v>
      </c>
      <c r="AD440" t="s" s="35">
        <v>1834</v>
      </c>
      <c r="AE440" t="str" s="39" cm="1">
        <f t="array" ref="AE440">IF(AD440="","",IF(LEFT(AD440,1)="1","C1",IF(LEFT(AD440,1)="2","C2",IF(LEFT(AD440,1)="3","C3",""))))</f>
        <v>C2</v>
      </c>
      <c r="AF440" t="s" s="35">
        <v>1602</v>
      </c>
      <c r="AG440" t="s" s="35">
        <v>1617</v>
      </c>
      <c r="AH440" t="s" s="35">
        <v>1602</v>
      </c>
      <c r="AI440" t="s" s="35">
        <v>1623</v>
      </c>
      <c r="AJ440" t="s" s="35">
        <v>1633</v>
      </c>
      <c r="AK440" t="s" s="35">
        <v>1548</v>
      </c>
      <c r="AL440" t="s" s="35">
        <v>790</v>
      </c>
      <c r="AM440" t="str" s="39" cm="1">
        <f t="array" ref="AM440">IF(AK440="FUERA","Fuera del marco",_xlfn.IFERROR(INDEX('Datos - Catálogo PISA'!$C$5:$C$76,MATCH(AK440,'Datos - Catálogo PISA'!$A$5:$A$76,0)),"?"))</f>
        <v>Sistemas vivos</v>
      </c>
      <c r="AN440" t="s" s="35">
        <v>1651</v>
      </c>
      <c r="AO440" s="39"/>
      <c r="AP440" s="39"/>
      <c r="AQ440" t="s" s="35">
        <v>1752</v>
      </c>
      <c r="AR440" t="s" s="35">
        <v>1765</v>
      </c>
      <c r="AS440" t="s" s="35">
        <v>1771</v>
      </c>
      <c r="AT440" t="s" s="35">
        <v>291</v>
      </c>
      <c r="AU440" t="s" s="35">
        <v>3903</v>
      </c>
      <c r="AV440" t="s" s="35">
        <v>139</v>
      </c>
      <c r="AW440" t="str" s="39" cm="1">
        <f t="array" ref="AW440">AF440&amp;"; "&amp;AG440&amp;"; "&amp;AH440&amp;"; "&amp;AI440&amp;"; "&amp;AJ440</f>
        <v>E1; D1; E1; D4; I5</v>
      </c>
    </row>
    <row r="441" ht="13.65" customHeight="1">
      <c r="A441" t="s" s="35">
        <v>3904</v>
      </c>
      <c r="B441" s="36">
        <v>7</v>
      </c>
      <c r="C441" t="s" s="35">
        <v>1823</v>
      </c>
      <c r="D441" t="s" s="35">
        <v>3454</v>
      </c>
      <c r="E441" t="s" s="35">
        <v>3818</v>
      </c>
      <c r="F441" s="36">
        <v>20</v>
      </c>
      <c r="G441" t="s" s="35">
        <v>529</v>
      </c>
      <c r="H441" t="s" s="35">
        <v>3894</v>
      </c>
      <c r="I441" t="s" s="120">
        <v>3905</v>
      </c>
      <c r="J441" t="s" s="35">
        <v>1164</v>
      </c>
      <c r="K441" t="s" s="35">
        <v>1832</v>
      </c>
      <c r="L441" s="39"/>
      <c r="M441" t="str" s="39">
        <v>Fuera del marco</v>
      </c>
      <c r="N441" t="str" s="39">
        <v>Fuera del marco</v>
      </c>
      <c r="O441" t="str" s="39" cm="1">
        <f t="array" ref="O441">IF(L441="","",_xlfn.IFERROR(INDEX('Datos - Catálogo TIMSS'!$C$5:$C$107,MATCH(L441,'Datos - Catálogo TIMSS'!$A$5:$A$107,0)),"?"))</f>
      </c>
      <c r="P441" t="s" s="35">
        <v>282</v>
      </c>
      <c r="Q441" t="s" s="120">
        <v>3906</v>
      </c>
      <c r="R441" t="s" s="120">
        <v>3848</v>
      </c>
      <c r="S441" s="121" cm="1">
        <f t="array" ref="S441">_xlfn.IFERROR(ISNUMBER(SEARCH("Conocer",$R441))/(ISNUMBER(SEARCH("Conocer",$R441))+ISNUMBER(SEARCH("Aplicar",$R441))+ISNUMBER(SEARCH("Razonar",$R441))),0)</f>
        <v>0</v>
      </c>
      <c r="T441" s="121" cm="1">
        <f t="array" ref="T441">_xlfn.IFERROR(ISNUMBER(SEARCH("Aplicar",$R441))/(ISNUMBER(SEARCH("Conocer",$R441))+ISNUMBER(SEARCH("Aplicar",$R441))+ISNUMBER(SEARCH("Razonar",$R441))),0)</f>
        <v>1</v>
      </c>
      <c r="U441" s="121" cm="1">
        <f t="array" ref="U441">_xlfn.IFERROR(ISNUMBER(SEARCH("Razonar",$R441))/(ISNUMBER(SEARCH("Conocer",$R441))+ISNUMBER(SEARCH("Aplicar",$R441))+ISNUMBER(SEARCH("Razonar",$R441))),0)</f>
        <v>0</v>
      </c>
      <c r="V441" t="s" s="35">
        <v>85</v>
      </c>
      <c r="W441" t="s" s="35">
        <v>115</v>
      </c>
      <c r="X441" s="36" cm="1">
        <f t="array" ref="X441">IF(OR(_xlfn.IFERROR(INDEX('Datos - Catálogo TIMSS'!$I$5:$I$107,MATCH(K441,'Datos - Catálogo TIMSS'!$A$5:$A$107,0)),"No")="Sí",_xlfn.IFERROR(INDEX('Datos - Catálogo TIMSS'!$I$5:$I$107,MATCH(L441,'Datos - Catálogo TIMSS'!$A$5:$A$107,0)),"No")="Sí"),1,0)</f>
        <v>0</v>
      </c>
      <c r="Y441" s="36" cm="1">
        <f t="array" ref="Y441">IF(_xlfn.IFERROR(INDEX('Datos - Catálogo TIMSS'!$J$5:$J$107,MATCH(K441,'Datos - Catálogo TIMSS'!$A$5:$A$107,0)),"No")="Sí",1,0)</f>
        <v>0</v>
      </c>
      <c r="Z441" s="36" cm="1">
        <f t="array" ref="Z441">IF(_xlfn.IFERROR(INDEX('Datos - Catálogo TIMSS'!$J$5:$J$107,MATCH(L441,'Datos - Catálogo TIMSS'!$A$5:$A$107,0)),"No")="Sí",1,0)</f>
        <v>0</v>
      </c>
      <c r="AA441" t="s" s="35">
        <v>1832</v>
      </c>
      <c r="AB441" s="39"/>
      <c r="AC441" t="str" s="39">
        <v>Fuera del marco</v>
      </c>
      <c r="AD441" t="s" s="35">
        <v>1900</v>
      </c>
      <c r="AE441" t="str" s="39" cm="1">
        <f t="array" ref="AE441">IF(AD441="","",IF(LEFT(AD441,1)="1","C1",IF(LEFT(AD441,1)="2","C2",IF(LEFT(AD441,1)="3","C3",""))))</f>
        <v>C3</v>
      </c>
      <c r="AF441" t="s" s="35">
        <v>1602</v>
      </c>
      <c r="AG441" t="s" s="35">
        <v>1617</v>
      </c>
      <c r="AH441" t="s" s="35">
        <v>1605</v>
      </c>
      <c r="AI441" t="s" s="35">
        <v>1625</v>
      </c>
      <c r="AJ441" t="s" s="35">
        <v>1633</v>
      </c>
      <c r="AK441" t="s" s="35">
        <v>1832</v>
      </c>
      <c r="AL441" s="39"/>
      <c r="AM441" t="str" s="39" cm="1">
        <f t="array" ref="AM441">IF(AK441="FUERA","Fuera del marco",_xlfn.IFERROR(INDEX('Datos - Catálogo PISA'!$C$5:$C$76,MATCH(AK441,'Datos - Catálogo PISA'!$A$5:$A$76,0)),"?"))</f>
        <v>Fuera del marco</v>
      </c>
      <c r="AN441" t="s" s="35">
        <v>1651</v>
      </c>
      <c r="AO441" s="39"/>
      <c r="AP441" s="39"/>
      <c r="AQ441" t="s" s="35">
        <v>1752</v>
      </c>
      <c r="AR441" t="s" s="35">
        <v>1765</v>
      </c>
      <c r="AS441" t="s" s="35">
        <v>1771</v>
      </c>
      <c r="AT441" t="s" s="35">
        <v>291</v>
      </c>
      <c r="AU441" t="s" s="35">
        <v>3907</v>
      </c>
      <c r="AV441" t="s" s="35">
        <v>139</v>
      </c>
      <c r="AW441" t="str" s="39" cm="1">
        <f t="array" ref="AW441">AF441&amp;"; "&amp;AG441&amp;"; "&amp;AH441&amp;"; "&amp;AI441&amp;"; "&amp;AJ441</f>
        <v>E1; D1; E2; I1; I5</v>
      </c>
    </row>
    <row r="442" ht="13.65" customHeight="1">
      <c r="A442" t="s" s="35">
        <v>3908</v>
      </c>
      <c r="B442" s="36">
        <v>7</v>
      </c>
      <c r="C442" t="s" s="35">
        <v>1823</v>
      </c>
      <c r="D442" t="s" s="35">
        <v>3454</v>
      </c>
      <c r="E442" t="s" s="35">
        <v>3818</v>
      </c>
      <c r="F442" s="36">
        <v>21</v>
      </c>
      <c r="G442" t="s" s="35">
        <v>529</v>
      </c>
      <c r="H442" t="s" s="35">
        <v>3909</v>
      </c>
      <c r="I442" t="s" s="120">
        <v>3910</v>
      </c>
      <c r="J442" t="s" s="35">
        <v>1164</v>
      </c>
      <c r="K442" t="s" s="35">
        <v>1290</v>
      </c>
      <c r="L442" t="s" s="35">
        <v>1201</v>
      </c>
      <c r="M442" t="str" s="39">
        <v>Ciencias de la Tierra</v>
      </c>
      <c r="N442" t="str" s="39">
        <v>Recursos de la Tierra, uso y conservación</v>
      </c>
      <c r="O442" t="str" s="39" cm="1">
        <f t="array" ref="O442">IF(L442="","",_xlfn.IFERROR(INDEX('Datos - Catálogo TIMSS'!$C$5:$C$107,MATCH(L442,'Datos - Catálogo TIMSS'!$A$5:$A$107,0)),"?"))</f>
        <v>Biología</v>
      </c>
      <c r="P442" t="s" s="35">
        <v>282</v>
      </c>
      <c r="Q442" t="s" s="120">
        <v>3911</v>
      </c>
      <c r="R442" t="s" s="120">
        <v>2561</v>
      </c>
      <c r="S442" s="121" cm="1">
        <f t="array" ref="S442">_xlfn.IFERROR(ISNUMBER(SEARCH("Conocer",$R442))/(ISNUMBER(SEARCH("Conocer",$R442))+ISNUMBER(SEARCH("Aplicar",$R442))+ISNUMBER(SEARCH("Razonar",$R442))),0)</f>
        <v>1</v>
      </c>
      <c r="T442" s="121" cm="1">
        <f t="array" ref="T442">_xlfn.IFERROR(ISNUMBER(SEARCH("Aplicar",$R442))/(ISNUMBER(SEARCH("Conocer",$R442))+ISNUMBER(SEARCH("Aplicar",$R442))+ISNUMBER(SEARCH("Razonar",$R442))),0)</f>
        <v>0</v>
      </c>
      <c r="U442" s="121" cm="1">
        <f t="array" ref="U442">_xlfn.IFERROR(ISNUMBER(SEARCH("Razonar",$R442))/(ISNUMBER(SEARCH("Conocer",$R442))+ISNUMBER(SEARCH("Aplicar",$R442))+ISNUMBER(SEARCH("Razonar",$R442))),0)</f>
        <v>0</v>
      </c>
      <c r="V442" t="s" s="35">
        <v>85</v>
      </c>
      <c r="W442" t="s" s="35">
        <v>115</v>
      </c>
      <c r="X442" s="36" cm="1">
        <f t="array" ref="X442">IF(OR(_xlfn.IFERROR(INDEX('Datos - Catálogo TIMSS'!$I$5:$I$107,MATCH(K442,'Datos - Catálogo TIMSS'!$A$5:$A$107,0)),"No")="Sí",_xlfn.IFERROR(INDEX('Datos - Catálogo TIMSS'!$I$5:$I$107,MATCH(L442,'Datos - Catálogo TIMSS'!$A$5:$A$107,0)),"No")="Sí"),1,0)</f>
        <v>1</v>
      </c>
      <c r="Y442" s="36" cm="1">
        <f t="array" ref="Y442">IF(_xlfn.IFERROR(INDEX('Datos - Catálogo TIMSS'!$J$5:$J$107,MATCH(K442,'Datos - Catálogo TIMSS'!$A$5:$A$107,0)),"No")="Sí",1,0)</f>
        <v>0</v>
      </c>
      <c r="Z442" s="36" cm="1">
        <f t="array" ref="Z442">IF(_xlfn.IFERROR(INDEX('Datos - Catálogo TIMSS'!$J$5:$J$107,MATCH(L442,'Datos - Catálogo TIMSS'!$A$5:$A$107,0)),"No")="Sí",1,0)</f>
        <v>0</v>
      </c>
      <c r="AA442" t="s" s="35">
        <v>3708</v>
      </c>
      <c r="AB442" t="s" s="35">
        <v>3144</v>
      </c>
      <c r="AC442" t="str" s="39">
        <v>Ciencias de la Tierra</v>
      </c>
      <c r="AD442" t="s" s="35">
        <v>1859</v>
      </c>
      <c r="AE442" t="str" s="39" cm="1">
        <f t="array" ref="AE442">IF(AD442="","",IF(LEFT(AD442,1)="1","C1",IF(LEFT(AD442,1)="2","C2",IF(LEFT(AD442,1)="3","C3",""))))</f>
        <v>C1</v>
      </c>
      <c r="AF442" t="s" s="35">
        <v>1615</v>
      </c>
      <c r="AG442" t="s" s="35">
        <v>1617</v>
      </c>
      <c r="AH442" t="s" s="35">
        <v>1602</v>
      </c>
      <c r="AI442" t="s" s="35">
        <v>1623</v>
      </c>
      <c r="AJ442" t="s" s="35">
        <v>1615</v>
      </c>
      <c r="AK442" t="s" s="35">
        <v>1546</v>
      </c>
      <c r="AL442" t="s" s="35">
        <v>1548</v>
      </c>
      <c r="AM442" t="str" s="39" cm="1">
        <f t="array" ref="AM442">IF(AK442="FUERA","Fuera del marco",_xlfn.IFERROR(INDEX('Datos - Catálogo PISA'!$C$5:$C$76,MATCH(AK442,'Datos - Catálogo PISA'!$A$5:$A$76,0)),"?"))</f>
        <v>Sistemas vivos</v>
      </c>
      <c r="AN442" t="s" s="35">
        <v>1651</v>
      </c>
      <c r="AO442" s="39"/>
      <c r="AP442" s="39"/>
      <c r="AQ442" t="s" s="35">
        <v>1752</v>
      </c>
      <c r="AR442" t="s" s="35">
        <v>1765</v>
      </c>
      <c r="AS442" t="s" s="35">
        <v>1771</v>
      </c>
      <c r="AT442" t="s" s="35">
        <v>254</v>
      </c>
      <c r="AU442" t="s" s="35">
        <v>3912</v>
      </c>
      <c r="AV442" t="s" s="35">
        <v>139</v>
      </c>
      <c r="AW442" t="str" s="39" cm="1">
        <f t="array" ref="AW442">AF442&amp;"; "&amp;AG442&amp;"; "&amp;AH442&amp;"; "&amp;AI442&amp;"; "&amp;AJ442</f>
        <v>E6; D1; E1; D4; E6</v>
      </c>
    </row>
    <row r="443" ht="13.65" customHeight="1">
      <c r="A443" t="s" s="35">
        <v>3913</v>
      </c>
      <c r="B443" s="36">
        <v>7</v>
      </c>
      <c r="C443" t="s" s="35">
        <v>1823</v>
      </c>
      <c r="D443" t="s" s="35">
        <v>3454</v>
      </c>
      <c r="E443" t="s" s="35">
        <v>3818</v>
      </c>
      <c r="F443" s="36">
        <v>22</v>
      </c>
      <c r="G443" t="s" s="35">
        <v>529</v>
      </c>
      <c r="H443" t="s" s="35">
        <v>3909</v>
      </c>
      <c r="I443" t="s" s="120">
        <v>3914</v>
      </c>
      <c r="J443" t="s" s="35">
        <v>1164</v>
      </c>
      <c r="K443" t="s" s="35">
        <v>1290</v>
      </c>
      <c r="L443" t="s" s="35">
        <v>1201</v>
      </c>
      <c r="M443" t="str" s="39">
        <v>Ciencias de la Tierra</v>
      </c>
      <c r="N443" t="str" s="39">
        <v>Recursos de la Tierra, uso y conservación</v>
      </c>
      <c r="O443" t="str" s="39" cm="1">
        <f t="array" ref="O443">IF(L443="","",_xlfn.IFERROR(INDEX('Datos - Catálogo TIMSS'!$C$5:$C$107,MATCH(L443,'Datos - Catálogo TIMSS'!$A$5:$A$107,0)),"?"))</f>
        <v>Biología</v>
      </c>
      <c r="P443" t="s" s="35">
        <v>254</v>
      </c>
      <c r="Q443" t="s" s="120">
        <v>3915</v>
      </c>
      <c r="R443" t="s" s="120">
        <v>3916</v>
      </c>
      <c r="S443" s="121" cm="1">
        <f t="array" ref="S443">_xlfn.IFERROR(ISNUMBER(SEARCH("Conocer",$R443))/(ISNUMBER(SEARCH("Conocer",$R443))+ISNUMBER(SEARCH("Aplicar",$R443))+ISNUMBER(SEARCH("Razonar",$R443))),0)</f>
        <v>0</v>
      </c>
      <c r="T443" s="121" cm="1">
        <f t="array" ref="T443">_xlfn.IFERROR(ISNUMBER(SEARCH("Aplicar",$R443))/(ISNUMBER(SEARCH("Conocer",$R443))+ISNUMBER(SEARCH("Aplicar",$R443))+ISNUMBER(SEARCH("Razonar",$R443))),0)</f>
        <v>0</v>
      </c>
      <c r="U443" s="121" cm="1">
        <f t="array" ref="U443">_xlfn.IFERROR(ISNUMBER(SEARCH("Razonar",$R443))/(ISNUMBER(SEARCH("Conocer",$R443))+ISNUMBER(SEARCH("Aplicar",$R443))+ISNUMBER(SEARCH("Razonar",$R443))),0)</f>
        <v>1</v>
      </c>
      <c r="V443" t="s" s="35">
        <v>85</v>
      </c>
      <c r="W443" t="s" s="35">
        <v>115</v>
      </c>
      <c r="X443" s="36" cm="1">
        <f t="array" ref="X443">IF(OR(_xlfn.IFERROR(INDEX('Datos - Catálogo TIMSS'!$I$5:$I$107,MATCH(K443,'Datos - Catálogo TIMSS'!$A$5:$A$107,0)),"No")="Sí",_xlfn.IFERROR(INDEX('Datos - Catálogo TIMSS'!$I$5:$I$107,MATCH(L443,'Datos - Catálogo TIMSS'!$A$5:$A$107,0)),"No")="Sí"),1,0)</f>
        <v>1</v>
      </c>
      <c r="Y443" s="36" cm="1">
        <f t="array" ref="Y443">IF(_xlfn.IFERROR(INDEX('Datos - Catálogo TIMSS'!$J$5:$J$107,MATCH(K443,'Datos - Catálogo TIMSS'!$A$5:$A$107,0)),"No")="Sí",1,0)</f>
        <v>0</v>
      </c>
      <c r="Z443" s="36" cm="1">
        <f t="array" ref="Z443">IF(_xlfn.IFERROR(INDEX('Datos - Catálogo TIMSS'!$J$5:$J$107,MATCH(L443,'Datos - Catálogo TIMSS'!$A$5:$A$107,0)),"No")="Sí",1,0)</f>
        <v>0</v>
      </c>
      <c r="AA443" t="s" s="35">
        <v>3144</v>
      </c>
      <c r="AB443" t="s" s="35">
        <v>3708</v>
      </c>
      <c r="AC443" t="str" s="39">
        <v>Biología</v>
      </c>
      <c r="AD443" t="s" s="35">
        <v>1900</v>
      </c>
      <c r="AE443" t="str" s="39" cm="1">
        <f t="array" ref="AE443">IF(AD443="","",IF(LEFT(AD443,1)="1","C1",IF(LEFT(AD443,1)="2","C2",IF(LEFT(AD443,1)="3","C3",""))))</f>
        <v>C3</v>
      </c>
      <c r="AF443" t="s" s="35">
        <v>1602</v>
      </c>
      <c r="AG443" t="s" s="35">
        <v>1617</v>
      </c>
      <c r="AH443" t="s" s="35">
        <v>1602</v>
      </c>
      <c r="AI443" t="s" s="35">
        <v>1629</v>
      </c>
      <c r="AJ443" t="s" s="35">
        <v>1633</v>
      </c>
      <c r="AK443" t="s" s="35">
        <v>1548</v>
      </c>
      <c r="AL443" t="s" s="35">
        <v>1546</v>
      </c>
      <c r="AM443" t="str" s="39" cm="1">
        <f t="array" ref="AM443">IF(AK443="FUERA","Fuera del marco",_xlfn.IFERROR(INDEX('Datos - Catálogo PISA'!$C$5:$C$76,MATCH(AK443,'Datos - Catálogo PISA'!$A$5:$A$76,0)),"?"))</f>
        <v>Sistemas vivos</v>
      </c>
      <c r="AN443" t="s" s="35">
        <v>1651</v>
      </c>
      <c r="AO443" s="39"/>
      <c r="AP443" s="39"/>
      <c r="AQ443" t="s" s="35">
        <v>1752</v>
      </c>
      <c r="AR443" t="s" s="35">
        <v>1766</v>
      </c>
      <c r="AS443" t="s" s="35">
        <v>1771</v>
      </c>
      <c r="AT443" t="s" s="35">
        <v>254</v>
      </c>
      <c r="AU443" t="s" s="35">
        <v>3917</v>
      </c>
      <c r="AV443" t="s" s="35">
        <v>139</v>
      </c>
      <c r="AW443" t="str" s="39" cm="1">
        <f t="array" ref="AW443">AF443&amp;"; "&amp;AG443&amp;"; "&amp;AH443&amp;"; "&amp;AI443&amp;"; "&amp;AJ443</f>
        <v>E1; D1; E1; I3; I5</v>
      </c>
    </row>
    <row r="444" ht="13.65" customHeight="1">
      <c r="A444" t="s" s="35">
        <v>3918</v>
      </c>
      <c r="B444" s="36">
        <v>8</v>
      </c>
      <c r="C444" t="s" s="35">
        <v>1823</v>
      </c>
      <c r="D444" t="s" s="35">
        <v>3919</v>
      </c>
      <c r="E444" t="s" s="35">
        <v>3920</v>
      </c>
      <c r="F444" s="36">
        <v>3</v>
      </c>
      <c r="G444" t="s" s="35">
        <v>480</v>
      </c>
      <c r="H444" t="s" s="35">
        <v>3921</v>
      </c>
      <c r="I444" t="s" s="120">
        <v>3922</v>
      </c>
      <c r="J444" t="s" s="35">
        <v>1164</v>
      </c>
      <c r="K444" t="s" s="35">
        <v>569</v>
      </c>
      <c r="L444" t="s" s="35">
        <v>588</v>
      </c>
      <c r="M444" t="str" s="39">
        <v>Física</v>
      </c>
      <c r="N444" t="str" s="39">
        <v>Investigaciones en física</v>
      </c>
      <c r="O444" t="str" s="39" cm="1">
        <f t="array" ref="O444">IF(L444="","",_xlfn.IFERROR(INDEX('Datos - Catálogo TIMSS'!$C$5:$C$107,MATCH(L444,'Datos - Catálogo TIMSS'!$A$5:$A$107,0)),"?"))</f>
        <v>Física</v>
      </c>
      <c r="P444" t="s" s="35">
        <v>282</v>
      </c>
      <c r="Q444" t="s" s="120">
        <v>3923</v>
      </c>
      <c r="R444" t="s" s="120">
        <v>3924</v>
      </c>
      <c r="S444" s="121" cm="1">
        <f t="array" ref="S444">_xlfn.IFERROR(ISNUMBER(SEARCH("Conocer",$R444))/(ISNUMBER(SEARCH("Conocer",$R444))+ISNUMBER(SEARCH("Aplicar",$R444))+ISNUMBER(SEARCH("Razonar",$R444))),0)</f>
        <v>0</v>
      </c>
      <c r="T444" s="121" cm="1">
        <f t="array" ref="T444">_xlfn.IFERROR(ISNUMBER(SEARCH("Aplicar",$R444))/(ISNUMBER(SEARCH("Conocer",$R444))+ISNUMBER(SEARCH("Aplicar",$R444))+ISNUMBER(SEARCH("Razonar",$R444))),0)</f>
        <v>0.5</v>
      </c>
      <c r="U444" s="121" cm="1">
        <f t="array" ref="U444">_xlfn.IFERROR(ISNUMBER(SEARCH("Razonar",$R444))/(ISNUMBER(SEARCH("Conocer",$R444))+ISNUMBER(SEARCH("Aplicar",$R444))+ISNUMBER(SEARCH("Razonar",$R444))),0)</f>
        <v>0.5</v>
      </c>
      <c r="V444" t="s" s="35">
        <v>86</v>
      </c>
      <c r="W444" t="s" s="35">
        <v>115</v>
      </c>
      <c r="X444" s="36" cm="1">
        <f t="array" ref="X444">IF(OR(_xlfn.IFERROR(INDEX('Datos - Catálogo TIMSS'!$I$5:$I$107,MATCH(K444,'Datos - Catálogo TIMSS'!$A$5:$A$107,0)),"No")="Sí",_xlfn.IFERROR(INDEX('Datos - Catálogo TIMSS'!$I$5:$I$107,MATCH(L444,'Datos - Catálogo TIMSS'!$A$5:$A$107,0)),"No")="Sí"),1,0)</f>
        <v>0</v>
      </c>
      <c r="Y444" s="36" cm="1">
        <f t="array" ref="Y444">IF(_xlfn.IFERROR(INDEX('Datos - Catálogo TIMSS'!$J$5:$J$107,MATCH(K444,'Datos - Catálogo TIMSS'!$A$5:$A$107,0)),"No")="Sí",1,0)</f>
        <v>1</v>
      </c>
      <c r="Z444" s="36" cm="1">
        <f t="array" ref="Z444">IF(_xlfn.IFERROR(INDEX('Datos - Catálogo TIMSS'!$J$5:$J$107,MATCH(L444,'Datos - Catálogo TIMSS'!$A$5:$A$107,0)),"No")="Sí",1,0)</f>
        <v>0</v>
      </c>
      <c r="AA444" t="s" s="35">
        <v>2889</v>
      </c>
      <c r="AB444" s="39"/>
      <c r="AC444" t="str" s="39">
        <v>Física</v>
      </c>
      <c r="AD444" t="s" s="35">
        <v>1834</v>
      </c>
      <c r="AE444" t="str" s="39" cm="1">
        <f t="array" ref="AE444">IF(AD444="","",IF(LEFT(AD444,1)="1","C1",IF(LEFT(AD444,1)="2","C2",IF(LEFT(AD444,1)="3","C3",""))))</f>
        <v>C2</v>
      </c>
      <c r="AF444" t="s" s="35">
        <v>1602</v>
      </c>
      <c r="AG444" t="s" s="35">
        <v>1617</v>
      </c>
      <c r="AH444" t="s" s="35">
        <v>1602</v>
      </c>
      <c r="AI444" t="s" s="35">
        <v>1619</v>
      </c>
      <c r="AJ444" t="s" s="35">
        <v>1621</v>
      </c>
      <c r="AK444" t="s" s="35">
        <v>1832</v>
      </c>
      <c r="AL444" s="39"/>
      <c r="AM444" t="str" s="39" cm="1">
        <f t="array" ref="AM444">IF(AK444="FUERA","Fuera del marco",_xlfn.IFERROR(INDEX('Datos - Catálogo PISA'!$C$5:$C$76,MATCH(AK444,'Datos - Catálogo PISA'!$A$5:$A$76,0)),"?"))</f>
        <v>Fuera del marco</v>
      </c>
      <c r="AN444" t="s" s="35">
        <v>1652</v>
      </c>
      <c r="AO444" t="s" s="35">
        <v>3796</v>
      </c>
      <c r="AP444" s="39"/>
      <c r="AQ444" t="s" s="35">
        <v>1756</v>
      </c>
      <c r="AR444" s="39"/>
      <c r="AS444" t="s" s="35">
        <v>1771</v>
      </c>
      <c r="AT444" t="s" s="35">
        <v>254</v>
      </c>
      <c r="AU444" t="s" s="35">
        <v>3925</v>
      </c>
      <c r="AV444" t="s" s="35">
        <v>139</v>
      </c>
      <c r="AW444" t="str" s="39" cm="1">
        <f t="array" ref="AW444">AF444&amp;"; "&amp;AG444&amp;"; "&amp;AH444&amp;"; "&amp;AI444&amp;"; "&amp;AJ444</f>
        <v>E1; D1; E1; D2; D3</v>
      </c>
    </row>
    <row r="445" ht="13.65" customHeight="1">
      <c r="A445" t="s" s="35">
        <v>3926</v>
      </c>
      <c r="B445" s="36">
        <v>8</v>
      </c>
      <c r="C445" t="s" s="35">
        <v>1823</v>
      </c>
      <c r="D445" t="s" s="35">
        <v>3919</v>
      </c>
      <c r="E445" t="s" s="35">
        <v>3920</v>
      </c>
      <c r="F445" s="36">
        <v>4</v>
      </c>
      <c r="G445" t="s" s="35">
        <v>480</v>
      </c>
      <c r="H445" t="s" s="35">
        <v>3921</v>
      </c>
      <c r="I445" t="s" s="120">
        <v>3927</v>
      </c>
      <c r="J445" t="s" s="35">
        <v>1164</v>
      </c>
      <c r="K445" t="s" s="35">
        <v>569</v>
      </c>
      <c r="L445" s="39"/>
      <c r="M445" t="str" s="39">
        <v>Física</v>
      </c>
      <c r="N445" t="str" s="39">
        <v>Investigaciones en física</v>
      </c>
      <c r="O445" t="str" s="39" cm="1">
        <f t="array" ref="O445">IF(L445="","",_xlfn.IFERROR(INDEX('Datos - Catálogo TIMSS'!$C$5:$C$107,MATCH(L445,'Datos - Catálogo TIMSS'!$A$5:$A$107,0)),"?"))</f>
      </c>
      <c r="P445" t="s" s="35">
        <v>282</v>
      </c>
      <c r="Q445" t="s" s="120">
        <v>3928</v>
      </c>
      <c r="R445" t="s" s="120">
        <v>3929</v>
      </c>
      <c r="S445" s="121" cm="1">
        <f t="array" ref="S445">_xlfn.IFERROR(ISNUMBER(SEARCH("Conocer",$R445))/(ISNUMBER(SEARCH("Conocer",$R445))+ISNUMBER(SEARCH("Aplicar",$R445))+ISNUMBER(SEARCH("Razonar",$R445))),0)</f>
        <v>0</v>
      </c>
      <c r="T445" s="121" cm="1">
        <f t="array" ref="T445">_xlfn.IFERROR(ISNUMBER(SEARCH("Aplicar",$R445))/(ISNUMBER(SEARCH("Conocer",$R445))+ISNUMBER(SEARCH("Aplicar",$R445))+ISNUMBER(SEARCH("Razonar",$R445))),0)</f>
        <v>0.5</v>
      </c>
      <c r="U445" s="121" cm="1">
        <f t="array" ref="U445">_xlfn.IFERROR(ISNUMBER(SEARCH("Razonar",$R445))/(ISNUMBER(SEARCH("Conocer",$R445))+ISNUMBER(SEARCH("Aplicar",$R445))+ISNUMBER(SEARCH("Razonar",$R445))),0)</f>
        <v>0.5</v>
      </c>
      <c r="V445" t="s" s="35">
        <v>86</v>
      </c>
      <c r="W445" t="s" s="35">
        <v>115</v>
      </c>
      <c r="X445" s="36" cm="1">
        <f t="array" ref="X445">IF(OR(_xlfn.IFERROR(INDEX('Datos - Catálogo TIMSS'!$I$5:$I$107,MATCH(K445,'Datos - Catálogo TIMSS'!$A$5:$A$107,0)),"No")="Sí",_xlfn.IFERROR(INDEX('Datos - Catálogo TIMSS'!$I$5:$I$107,MATCH(L445,'Datos - Catálogo TIMSS'!$A$5:$A$107,0)),"No")="Sí"),1,0)</f>
        <v>0</v>
      </c>
      <c r="Y445" s="36" cm="1">
        <f t="array" ref="Y445">IF(_xlfn.IFERROR(INDEX('Datos - Catálogo TIMSS'!$J$5:$J$107,MATCH(K445,'Datos - Catálogo TIMSS'!$A$5:$A$107,0)),"No")="Sí",1,0)</f>
        <v>1</v>
      </c>
      <c r="Z445" s="36" cm="1">
        <f t="array" ref="Z445">IF(_xlfn.IFERROR(INDEX('Datos - Catálogo TIMSS'!$J$5:$J$107,MATCH(L445,'Datos - Catálogo TIMSS'!$A$5:$A$107,0)),"No")="Sí",1,0)</f>
        <v>0</v>
      </c>
      <c r="AA445" t="s" s="35">
        <v>1832</v>
      </c>
      <c r="AB445" s="39"/>
      <c r="AC445" t="str" s="39">
        <v>Fuera del marco</v>
      </c>
      <c r="AD445" t="s" s="35">
        <v>1834</v>
      </c>
      <c r="AE445" t="str" s="39" cm="1">
        <f t="array" ref="AE445">IF(AD445="","",IF(LEFT(AD445,1)="1","C1",IF(LEFT(AD445,1)="2","C2",IF(LEFT(AD445,1)="3","C3",""))))</f>
        <v>C2</v>
      </c>
      <c r="AF445" t="s" s="35">
        <v>1602</v>
      </c>
      <c r="AG445" t="s" s="35">
        <v>1617</v>
      </c>
      <c r="AH445" t="s" s="35">
        <v>1602</v>
      </c>
      <c r="AI445" t="s" s="35">
        <v>1623</v>
      </c>
      <c r="AJ445" t="s" s="35">
        <v>1607</v>
      </c>
      <c r="AK445" t="s" s="35">
        <v>1832</v>
      </c>
      <c r="AL445" s="39"/>
      <c r="AM445" t="str" s="39" cm="1">
        <f t="array" ref="AM445">IF(AK445="FUERA","Fuera del marco",_xlfn.IFERROR(INDEX('Datos - Catálogo PISA'!$C$5:$C$76,MATCH(AK445,'Datos - Catálogo PISA'!$A$5:$A$76,0)),"?"))</f>
        <v>Fuera del marco</v>
      </c>
      <c r="AN445" t="s" s="35">
        <v>1652</v>
      </c>
      <c r="AO445" t="s" s="35">
        <v>3488</v>
      </c>
      <c r="AP445" s="39"/>
      <c r="AQ445" t="s" s="35">
        <v>1756</v>
      </c>
      <c r="AR445" s="39"/>
      <c r="AS445" t="s" s="35">
        <v>1770</v>
      </c>
      <c r="AT445" t="s" s="35">
        <v>254</v>
      </c>
      <c r="AU445" t="s" s="35">
        <v>3930</v>
      </c>
      <c r="AV445" t="s" s="35">
        <v>139</v>
      </c>
      <c r="AW445" t="str" s="39" cm="1">
        <f t="array" ref="AW445">AF445&amp;"; "&amp;AG445&amp;"; "&amp;AH445&amp;"; "&amp;AI445&amp;"; "&amp;AJ445</f>
        <v>E1; D1; E1; D4; E3</v>
      </c>
    </row>
    <row r="446" ht="13.65" customHeight="1">
      <c r="A446" t="s" s="35">
        <v>3931</v>
      </c>
      <c r="B446" s="36">
        <v>8</v>
      </c>
      <c r="C446" t="s" s="35">
        <v>1823</v>
      </c>
      <c r="D446" t="s" s="35">
        <v>3919</v>
      </c>
      <c r="E446" t="s" s="35">
        <v>3920</v>
      </c>
      <c r="F446" s="36">
        <v>5</v>
      </c>
      <c r="G446" t="s" s="35">
        <v>480</v>
      </c>
      <c r="H446" t="s" s="35">
        <v>3921</v>
      </c>
      <c r="I446" t="s" s="120">
        <v>3932</v>
      </c>
      <c r="J446" t="s" s="35">
        <v>1164</v>
      </c>
      <c r="K446" t="s" s="35">
        <v>569</v>
      </c>
      <c r="L446" s="39"/>
      <c r="M446" t="str" s="39">
        <v>Física</v>
      </c>
      <c r="N446" t="str" s="39">
        <v>Investigaciones en física</v>
      </c>
      <c r="O446" t="str" s="39" cm="1">
        <f t="array" ref="O446">IF(L446="","",_xlfn.IFERROR(INDEX('Datos - Catálogo TIMSS'!$C$5:$C$107,MATCH(L446,'Datos - Catálogo TIMSS'!$A$5:$A$107,0)),"?"))</f>
      </c>
      <c r="P446" t="s" s="35">
        <v>291</v>
      </c>
      <c r="Q446" t="s" s="120">
        <v>3933</v>
      </c>
      <c r="R446" t="s" s="120">
        <v>2662</v>
      </c>
      <c r="S446" s="121" cm="1">
        <f t="array" ref="S446">_xlfn.IFERROR(ISNUMBER(SEARCH("Conocer",$R446))/(ISNUMBER(SEARCH("Conocer",$R446))+ISNUMBER(SEARCH("Aplicar",$R446))+ISNUMBER(SEARCH("Razonar",$R446))),0)</f>
        <v>0</v>
      </c>
      <c r="T446" s="121" cm="1">
        <f t="array" ref="T446">_xlfn.IFERROR(ISNUMBER(SEARCH("Aplicar",$R446))/(ISNUMBER(SEARCH("Conocer",$R446))+ISNUMBER(SEARCH("Aplicar",$R446))+ISNUMBER(SEARCH("Razonar",$R446))),0)</f>
        <v>1</v>
      </c>
      <c r="U446" s="121" cm="1">
        <f t="array" ref="U446">_xlfn.IFERROR(ISNUMBER(SEARCH("Razonar",$R446))/(ISNUMBER(SEARCH("Conocer",$R446))+ISNUMBER(SEARCH("Aplicar",$R446))+ISNUMBER(SEARCH("Razonar",$R446))),0)</f>
        <v>0</v>
      </c>
      <c r="V446" t="s" s="35">
        <v>86</v>
      </c>
      <c r="W446" t="s" s="35">
        <v>115</v>
      </c>
      <c r="X446" s="36" cm="1">
        <f t="array" ref="X446">IF(OR(_xlfn.IFERROR(INDEX('Datos - Catálogo TIMSS'!$I$5:$I$107,MATCH(K446,'Datos - Catálogo TIMSS'!$A$5:$A$107,0)),"No")="Sí",_xlfn.IFERROR(INDEX('Datos - Catálogo TIMSS'!$I$5:$I$107,MATCH(L446,'Datos - Catálogo TIMSS'!$A$5:$A$107,0)),"No")="Sí"),1,0)</f>
        <v>0</v>
      </c>
      <c r="Y446" s="36" cm="1">
        <f t="array" ref="Y446">IF(_xlfn.IFERROR(INDEX('Datos - Catálogo TIMSS'!$J$5:$J$107,MATCH(K446,'Datos - Catálogo TIMSS'!$A$5:$A$107,0)),"No")="Sí",1,0)</f>
        <v>1</v>
      </c>
      <c r="Z446" s="36" cm="1">
        <f t="array" ref="Z446">IF(_xlfn.IFERROR(INDEX('Datos - Catálogo TIMSS'!$J$5:$J$107,MATCH(L446,'Datos - Catálogo TIMSS'!$A$5:$A$107,0)),"No")="Sí",1,0)</f>
        <v>0</v>
      </c>
      <c r="AA446" t="s" s="35">
        <v>1832</v>
      </c>
      <c r="AB446" s="39"/>
      <c r="AC446" t="str" s="39">
        <v>Fuera del marco</v>
      </c>
      <c r="AD446" t="s" s="35">
        <v>1834</v>
      </c>
      <c r="AE446" t="str" s="39" cm="1">
        <f t="array" ref="AE446">IF(AD446="","",IF(LEFT(AD446,1)="1","C1",IF(LEFT(AD446,1)="2","C2",IF(LEFT(AD446,1)="3","C3",""))))</f>
        <v>C2</v>
      </c>
      <c r="AF446" t="s" s="35">
        <v>1602</v>
      </c>
      <c r="AG446" t="s" s="35">
        <v>1617</v>
      </c>
      <c r="AH446" t="s" s="35">
        <v>1605</v>
      </c>
      <c r="AI446" t="s" s="35">
        <v>1623</v>
      </c>
      <c r="AJ446" t="s" s="35">
        <v>1607</v>
      </c>
      <c r="AK446" t="s" s="35">
        <v>1832</v>
      </c>
      <c r="AL446" s="39"/>
      <c r="AM446" t="str" s="39" cm="1">
        <f t="array" ref="AM446">IF(AK446="FUERA","Fuera del marco",_xlfn.IFERROR(INDEX('Datos - Catálogo PISA'!$C$5:$C$76,MATCH(AK446,'Datos - Catálogo PISA'!$A$5:$A$76,0)),"?"))</f>
        <v>Fuera del marco</v>
      </c>
      <c r="AN446" t="s" s="35">
        <v>1652</v>
      </c>
      <c r="AO446" t="s" s="35">
        <v>3575</v>
      </c>
      <c r="AP446" s="39"/>
      <c r="AQ446" t="s" s="35">
        <v>1756</v>
      </c>
      <c r="AR446" s="39"/>
      <c r="AS446" t="s" s="35">
        <v>1771</v>
      </c>
      <c r="AT446" t="s" s="35">
        <v>254</v>
      </c>
      <c r="AU446" t="s" s="35">
        <v>3934</v>
      </c>
      <c r="AV446" t="s" s="35">
        <v>139</v>
      </c>
      <c r="AW446" t="str" s="39" cm="1">
        <f t="array" ref="AW446">AF446&amp;"; "&amp;AG446&amp;"; "&amp;AH446&amp;"; "&amp;AI446&amp;"; "&amp;AJ446</f>
        <v>E1; D1; E2; D4; E3</v>
      </c>
    </row>
    <row r="447" ht="13.65" customHeight="1">
      <c r="A447" t="s" s="35">
        <v>3935</v>
      </c>
      <c r="B447" s="36">
        <v>8</v>
      </c>
      <c r="C447" t="s" s="35">
        <v>1823</v>
      </c>
      <c r="D447" t="s" s="35">
        <v>3919</v>
      </c>
      <c r="E447" t="s" s="35">
        <v>3920</v>
      </c>
      <c r="F447" s="36">
        <v>6</v>
      </c>
      <c r="G447" t="s" s="35">
        <v>480</v>
      </c>
      <c r="H447" t="s" s="35">
        <v>3936</v>
      </c>
      <c r="I447" t="s" s="120">
        <v>3937</v>
      </c>
      <c r="J447" t="s" s="35">
        <v>1164</v>
      </c>
      <c r="K447" t="s" s="35">
        <v>588</v>
      </c>
      <c r="L447" s="39"/>
      <c r="M447" t="str" s="39">
        <v>Física</v>
      </c>
      <c r="N447" t="str" s="39">
        <v>Movimiento y fuerzas</v>
      </c>
      <c r="O447" t="str" s="39" cm="1">
        <f t="array" ref="O447">IF(L447="","",_xlfn.IFERROR(INDEX('Datos - Catálogo TIMSS'!$C$5:$C$107,MATCH(L447,'Datos - Catálogo TIMSS'!$A$5:$A$107,0)),"?"))</f>
      </c>
      <c r="P447" t="s" s="35">
        <v>282</v>
      </c>
      <c r="Q447" t="s" s="120">
        <v>3938</v>
      </c>
      <c r="R447" t="s" s="120">
        <v>2885</v>
      </c>
      <c r="S447" s="121" cm="1">
        <f t="array" ref="S447">_xlfn.IFERROR(ISNUMBER(SEARCH("Conocer",$R447))/(ISNUMBER(SEARCH("Conocer",$R447))+ISNUMBER(SEARCH("Aplicar",$R447))+ISNUMBER(SEARCH("Razonar",$R447))),0)</f>
        <v>0</v>
      </c>
      <c r="T447" s="121" cm="1">
        <f t="array" ref="T447">_xlfn.IFERROR(ISNUMBER(SEARCH("Aplicar",$R447))/(ISNUMBER(SEARCH("Conocer",$R447))+ISNUMBER(SEARCH("Aplicar",$R447))+ISNUMBER(SEARCH("Razonar",$R447))),0)</f>
        <v>1</v>
      </c>
      <c r="U447" s="121" cm="1">
        <f t="array" ref="U447">_xlfn.IFERROR(ISNUMBER(SEARCH("Razonar",$R447))/(ISNUMBER(SEARCH("Conocer",$R447))+ISNUMBER(SEARCH("Aplicar",$R447))+ISNUMBER(SEARCH("Razonar",$R447))),0)</f>
        <v>0</v>
      </c>
      <c r="V447" t="s" s="35">
        <v>86</v>
      </c>
      <c r="W447" t="s" s="35">
        <v>115</v>
      </c>
      <c r="X447" s="36" cm="1">
        <f t="array" ref="X447">IF(OR(_xlfn.IFERROR(INDEX('Datos - Catálogo TIMSS'!$I$5:$I$107,MATCH(K447,'Datos - Catálogo TIMSS'!$A$5:$A$107,0)),"No")="Sí",_xlfn.IFERROR(INDEX('Datos - Catálogo TIMSS'!$I$5:$I$107,MATCH(L447,'Datos - Catálogo TIMSS'!$A$5:$A$107,0)),"No")="Sí"),1,0)</f>
        <v>0</v>
      </c>
      <c r="Y447" s="36" cm="1">
        <f t="array" ref="Y447">IF(_xlfn.IFERROR(INDEX('Datos - Catálogo TIMSS'!$J$5:$J$107,MATCH(K447,'Datos - Catálogo TIMSS'!$A$5:$A$107,0)),"No")="Sí",1,0)</f>
        <v>0</v>
      </c>
      <c r="Z447" s="36" cm="1">
        <f t="array" ref="Z447">IF(_xlfn.IFERROR(INDEX('Datos - Catálogo TIMSS'!$J$5:$J$107,MATCH(L447,'Datos - Catálogo TIMSS'!$A$5:$A$107,0)),"No")="Sí",1,0)</f>
        <v>0</v>
      </c>
      <c r="AA447" t="s" s="35">
        <v>2889</v>
      </c>
      <c r="AB447" s="39"/>
      <c r="AC447" t="str" s="39">
        <v>Física</v>
      </c>
      <c r="AD447" t="s" s="35">
        <v>1834</v>
      </c>
      <c r="AE447" t="str" s="39" cm="1">
        <f t="array" ref="AE447">IF(AD447="","",IF(LEFT(AD447,1)="1","C1",IF(LEFT(AD447,1)="2","C2",IF(LEFT(AD447,1)="3","C3",""))))</f>
        <v>C2</v>
      </c>
      <c r="AF447" t="s" s="35">
        <v>1602</v>
      </c>
      <c r="AG447" t="s" s="35">
        <v>1617</v>
      </c>
      <c r="AH447" t="s" s="35">
        <v>1605</v>
      </c>
      <c r="AI447" t="s" s="35">
        <v>1623</v>
      </c>
      <c r="AJ447" t="s" s="35">
        <v>1602</v>
      </c>
      <c r="AK447" t="s" s="35">
        <v>1832</v>
      </c>
      <c r="AL447" s="39"/>
      <c r="AM447" t="str" s="39" cm="1">
        <f t="array" ref="AM447">IF(AK447="FUERA","Fuera del marco",_xlfn.IFERROR(INDEX('Datos - Catálogo PISA'!$C$5:$C$76,MATCH(AK447,'Datos - Catálogo PISA'!$A$5:$A$76,0)),"?"))</f>
        <v>Fuera del marco</v>
      </c>
      <c r="AN447" t="s" s="35">
        <v>1652</v>
      </c>
      <c r="AO447" t="s" s="35">
        <v>3488</v>
      </c>
      <c r="AP447" s="39"/>
      <c r="AQ447" t="s" s="35">
        <v>1756</v>
      </c>
      <c r="AR447" s="39"/>
      <c r="AS447" t="s" s="35">
        <v>1770</v>
      </c>
      <c r="AT447" t="s" s="35">
        <v>282</v>
      </c>
      <c r="AU447" t="s" s="35">
        <v>3939</v>
      </c>
      <c r="AV447" t="s" s="35">
        <v>139</v>
      </c>
      <c r="AW447" t="str" s="39" cm="1">
        <f t="array" ref="AW447">AF447&amp;"; "&amp;AG447&amp;"; "&amp;AH447&amp;"; "&amp;AI447&amp;"; "&amp;AJ447</f>
        <v>E1; D1; E2; D4; E1</v>
      </c>
    </row>
    <row r="448" ht="13.65" customHeight="1">
      <c r="A448" t="s" s="35">
        <v>3940</v>
      </c>
      <c r="B448" s="36">
        <v>8</v>
      </c>
      <c r="C448" t="s" s="35">
        <v>1823</v>
      </c>
      <c r="D448" t="s" s="35">
        <v>3919</v>
      </c>
      <c r="E448" t="s" s="35">
        <v>3920</v>
      </c>
      <c r="F448" s="36">
        <v>7</v>
      </c>
      <c r="G448" t="s" s="35">
        <v>480</v>
      </c>
      <c r="H448" t="s" s="35">
        <v>3936</v>
      </c>
      <c r="I448" t="s" s="120">
        <v>3941</v>
      </c>
      <c r="J448" t="s" s="35">
        <v>1164</v>
      </c>
      <c r="K448" t="s" s="35">
        <v>588</v>
      </c>
      <c r="L448" s="39"/>
      <c r="M448" t="str" s="39">
        <v>Física</v>
      </c>
      <c r="N448" t="str" s="39">
        <v>Movimiento y fuerzas</v>
      </c>
      <c r="O448" t="str" s="39" cm="1">
        <f t="array" ref="O448">IF(L448="","",_xlfn.IFERROR(INDEX('Datos - Catálogo TIMSS'!$C$5:$C$107,MATCH(L448,'Datos - Catálogo TIMSS'!$A$5:$A$107,0)),"?"))</f>
      </c>
      <c r="P448" t="s" s="35">
        <v>282</v>
      </c>
      <c r="Q448" t="s" s="120">
        <v>3942</v>
      </c>
      <c r="R448" t="s" s="120">
        <v>3943</v>
      </c>
      <c r="S448" s="121" cm="1">
        <f t="array" ref="S448">_xlfn.IFERROR(ISNUMBER(SEARCH("Conocer",$R448))/(ISNUMBER(SEARCH("Conocer",$R448))+ISNUMBER(SEARCH("Aplicar",$R448))+ISNUMBER(SEARCH("Razonar",$R448))),0)</f>
        <v>0</v>
      </c>
      <c r="T448" s="121" cm="1">
        <f t="array" ref="T448">_xlfn.IFERROR(ISNUMBER(SEARCH("Aplicar",$R448))/(ISNUMBER(SEARCH("Conocer",$R448))+ISNUMBER(SEARCH("Aplicar",$R448))+ISNUMBER(SEARCH("Razonar",$R448))),0)</f>
        <v>1</v>
      </c>
      <c r="U448" s="121" cm="1">
        <f t="array" ref="U448">_xlfn.IFERROR(ISNUMBER(SEARCH("Razonar",$R448))/(ISNUMBER(SEARCH("Conocer",$R448))+ISNUMBER(SEARCH("Aplicar",$R448))+ISNUMBER(SEARCH("Razonar",$R448))),0)</f>
        <v>0</v>
      </c>
      <c r="V448" t="s" s="35">
        <v>86</v>
      </c>
      <c r="W448" t="s" s="35">
        <v>115</v>
      </c>
      <c r="X448" s="36" cm="1">
        <f t="array" ref="X448">IF(OR(_xlfn.IFERROR(INDEX('Datos - Catálogo TIMSS'!$I$5:$I$107,MATCH(K448,'Datos - Catálogo TIMSS'!$A$5:$A$107,0)),"No")="Sí",_xlfn.IFERROR(INDEX('Datos - Catálogo TIMSS'!$I$5:$I$107,MATCH(L448,'Datos - Catálogo TIMSS'!$A$5:$A$107,0)),"No")="Sí"),1,0)</f>
        <v>0</v>
      </c>
      <c r="Y448" s="36" cm="1">
        <f t="array" ref="Y448">IF(_xlfn.IFERROR(INDEX('Datos - Catálogo TIMSS'!$J$5:$J$107,MATCH(K448,'Datos - Catálogo TIMSS'!$A$5:$A$107,0)),"No")="Sí",1,0)</f>
        <v>0</v>
      </c>
      <c r="Z448" s="36" cm="1">
        <f t="array" ref="Z448">IF(_xlfn.IFERROR(INDEX('Datos - Catálogo TIMSS'!$J$5:$J$107,MATCH(L448,'Datos - Catálogo TIMSS'!$A$5:$A$107,0)),"No")="Sí",1,0)</f>
        <v>0</v>
      </c>
      <c r="AA448" t="s" s="35">
        <v>2889</v>
      </c>
      <c r="AB448" s="39"/>
      <c r="AC448" t="str" s="39">
        <v>Física</v>
      </c>
      <c r="AD448" t="s" s="35">
        <v>1834</v>
      </c>
      <c r="AE448" t="str" s="39" cm="1">
        <f t="array" ref="AE448">IF(AD448="","",IF(LEFT(AD448,1)="1","C1",IF(LEFT(AD448,1)="2","C2",IF(LEFT(AD448,1)="3","C3",""))))</f>
        <v>C2</v>
      </c>
      <c r="AF448" t="s" s="35">
        <v>1602</v>
      </c>
      <c r="AG448" t="s" s="35">
        <v>1617</v>
      </c>
      <c r="AH448" t="s" s="35">
        <v>1605</v>
      </c>
      <c r="AI448" t="s" s="35">
        <v>1623</v>
      </c>
      <c r="AJ448" t="s" s="35">
        <v>1607</v>
      </c>
      <c r="AK448" t="s" s="35">
        <v>1832</v>
      </c>
      <c r="AL448" s="39"/>
      <c r="AM448" t="str" s="39" cm="1">
        <f t="array" ref="AM448">IF(AK448="FUERA","Fuera del marco",_xlfn.IFERROR(INDEX('Datos - Catálogo PISA'!$C$5:$C$76,MATCH(AK448,'Datos - Catálogo PISA'!$A$5:$A$76,0)),"?"))</f>
        <v>Fuera del marco</v>
      </c>
      <c r="AN448" t="s" s="35">
        <v>1651</v>
      </c>
      <c r="AO448" s="39"/>
      <c r="AP448" s="39"/>
      <c r="AQ448" t="s" s="35">
        <v>1756</v>
      </c>
      <c r="AR448" s="39"/>
      <c r="AS448" t="s" s="35">
        <v>1771</v>
      </c>
      <c r="AT448" t="s" s="35">
        <v>282</v>
      </c>
      <c r="AU448" t="s" s="35">
        <v>3944</v>
      </c>
      <c r="AV448" t="s" s="35">
        <v>139</v>
      </c>
      <c r="AW448" t="str" s="39" cm="1">
        <f t="array" ref="AW448">AF448&amp;"; "&amp;AG448&amp;"; "&amp;AH448&amp;"; "&amp;AI448&amp;"; "&amp;AJ448</f>
        <v>E1; D1; E2; D4; E3</v>
      </c>
    </row>
    <row r="449" ht="13.65" customHeight="1">
      <c r="A449" t="s" s="35">
        <v>3945</v>
      </c>
      <c r="B449" s="36">
        <v>8</v>
      </c>
      <c r="C449" t="s" s="35">
        <v>1823</v>
      </c>
      <c r="D449" t="s" s="35">
        <v>3919</v>
      </c>
      <c r="E449" t="s" s="35">
        <v>3920</v>
      </c>
      <c r="F449" s="36">
        <v>8</v>
      </c>
      <c r="G449" t="s" s="35">
        <v>480</v>
      </c>
      <c r="H449" t="s" s="35">
        <v>3936</v>
      </c>
      <c r="I449" t="s" s="120">
        <v>3946</v>
      </c>
      <c r="J449" t="s" s="35">
        <v>1164</v>
      </c>
      <c r="K449" t="s" s="35">
        <v>588</v>
      </c>
      <c r="L449" s="39"/>
      <c r="M449" t="str" s="39">
        <v>Física</v>
      </c>
      <c r="N449" t="str" s="39">
        <v>Movimiento y fuerzas</v>
      </c>
      <c r="O449" t="str" s="39" cm="1">
        <f t="array" ref="O449">IF(L449="","",_xlfn.IFERROR(INDEX('Datos - Catálogo TIMSS'!$C$5:$C$107,MATCH(L449,'Datos - Catálogo TIMSS'!$A$5:$A$107,0)),"?"))</f>
      </c>
      <c r="P449" t="s" s="35">
        <v>254</v>
      </c>
      <c r="Q449" t="s" s="120">
        <v>3947</v>
      </c>
      <c r="R449" t="s" s="120">
        <v>2805</v>
      </c>
      <c r="S449" s="121" cm="1">
        <f t="array" ref="S449">_xlfn.IFERROR(ISNUMBER(SEARCH("Conocer",$R449))/(ISNUMBER(SEARCH("Conocer",$R449))+ISNUMBER(SEARCH("Aplicar",$R449))+ISNUMBER(SEARCH("Razonar",$R449))),0)</f>
        <v>0</v>
      </c>
      <c r="T449" s="121" cm="1">
        <f t="array" ref="T449">_xlfn.IFERROR(ISNUMBER(SEARCH("Aplicar",$R449))/(ISNUMBER(SEARCH("Conocer",$R449))+ISNUMBER(SEARCH("Aplicar",$R449))+ISNUMBER(SEARCH("Razonar",$R449))),0)</f>
        <v>1</v>
      </c>
      <c r="U449" s="121" cm="1">
        <f t="array" ref="U449">_xlfn.IFERROR(ISNUMBER(SEARCH("Razonar",$R449))/(ISNUMBER(SEARCH("Conocer",$R449))+ISNUMBER(SEARCH("Aplicar",$R449))+ISNUMBER(SEARCH("Razonar",$R449))),0)</f>
        <v>0</v>
      </c>
      <c r="V449" t="s" s="35">
        <v>86</v>
      </c>
      <c r="W449" t="s" s="35">
        <v>115</v>
      </c>
      <c r="X449" s="36" cm="1">
        <f t="array" ref="X449">IF(OR(_xlfn.IFERROR(INDEX('Datos - Catálogo TIMSS'!$I$5:$I$107,MATCH(K449,'Datos - Catálogo TIMSS'!$A$5:$A$107,0)),"No")="Sí",_xlfn.IFERROR(INDEX('Datos - Catálogo TIMSS'!$I$5:$I$107,MATCH(L449,'Datos - Catálogo TIMSS'!$A$5:$A$107,0)),"No")="Sí"),1,0)</f>
        <v>0</v>
      </c>
      <c r="Y449" s="36" cm="1">
        <f t="array" ref="Y449">IF(_xlfn.IFERROR(INDEX('Datos - Catálogo TIMSS'!$J$5:$J$107,MATCH(K449,'Datos - Catálogo TIMSS'!$A$5:$A$107,0)),"No")="Sí",1,0)</f>
        <v>0</v>
      </c>
      <c r="Z449" s="36" cm="1">
        <f t="array" ref="Z449">IF(_xlfn.IFERROR(INDEX('Datos - Catálogo TIMSS'!$J$5:$J$107,MATCH(L449,'Datos - Catálogo TIMSS'!$A$5:$A$107,0)),"No")="Sí",1,0)</f>
        <v>0</v>
      </c>
      <c r="AA449" t="s" s="35">
        <v>2889</v>
      </c>
      <c r="AB449" s="39"/>
      <c r="AC449" t="str" s="39">
        <v>Física</v>
      </c>
      <c r="AD449" t="s" s="35">
        <v>1834</v>
      </c>
      <c r="AE449" t="str" s="39" cm="1">
        <f t="array" ref="AE449">IF(AD449="","",IF(LEFT(AD449,1)="1","C1",IF(LEFT(AD449,1)="2","C2",IF(LEFT(AD449,1)="3","C3",""))))</f>
        <v>C2</v>
      </c>
      <c r="AF449" t="s" s="35">
        <v>1602</v>
      </c>
      <c r="AG449" t="s" s="35">
        <v>1617</v>
      </c>
      <c r="AH449" t="s" s="35">
        <v>1605</v>
      </c>
      <c r="AI449" t="s" s="35">
        <v>1623</v>
      </c>
      <c r="AJ449" t="s" s="35">
        <v>1607</v>
      </c>
      <c r="AK449" t="s" s="35">
        <v>838</v>
      </c>
      <c r="AL449" s="39"/>
      <c r="AM449" t="str" s="39" cm="1">
        <f t="array" ref="AM449">IF(AK449="FUERA","Fuera del marco",_xlfn.IFERROR(INDEX('Datos - Catálogo PISA'!$C$5:$C$76,MATCH(AK449,'Datos - Catálogo PISA'!$A$5:$A$76,0)),"?"))</f>
        <v>Sistemas físicos</v>
      </c>
      <c r="AN449" t="s" s="35">
        <v>1651</v>
      </c>
      <c r="AO449" t="s" s="35">
        <v>3575</v>
      </c>
      <c r="AP449" t="s" s="35">
        <v>3534</v>
      </c>
      <c r="AQ449" t="s" s="35">
        <v>1756</v>
      </c>
      <c r="AR449" s="39"/>
      <c r="AS449" t="s" s="35">
        <v>1771</v>
      </c>
      <c r="AT449" t="s" s="35">
        <v>254</v>
      </c>
      <c r="AU449" t="s" s="35">
        <v>3948</v>
      </c>
      <c r="AV449" t="s" s="35">
        <v>139</v>
      </c>
      <c r="AW449" t="str" s="39" cm="1">
        <f t="array" ref="AW449">AF449&amp;"; "&amp;AG449&amp;"; "&amp;AH449&amp;"; "&amp;AI449&amp;"; "&amp;AJ449</f>
        <v>E1; D1; E2; D4; E3</v>
      </c>
    </row>
    <row r="450" ht="13.65" customHeight="1">
      <c r="A450" t="s" s="35">
        <v>3949</v>
      </c>
      <c r="B450" s="36">
        <v>8</v>
      </c>
      <c r="C450" t="s" s="35">
        <v>1823</v>
      </c>
      <c r="D450" t="s" s="35">
        <v>3919</v>
      </c>
      <c r="E450" t="s" s="35">
        <v>3920</v>
      </c>
      <c r="F450" s="36">
        <v>9</v>
      </c>
      <c r="G450" t="s" s="35">
        <v>480</v>
      </c>
      <c r="H450" t="s" s="35">
        <v>3950</v>
      </c>
      <c r="I450" t="s" s="120">
        <v>3951</v>
      </c>
      <c r="J450" t="s" s="35">
        <v>1164</v>
      </c>
      <c r="K450" t="s" s="35">
        <v>535</v>
      </c>
      <c r="L450" t="s" s="35">
        <v>588</v>
      </c>
      <c r="M450" t="str" s="39">
        <v>Física</v>
      </c>
      <c r="N450" t="str" s="39">
        <v>Movimiento y fuerzas</v>
      </c>
      <c r="O450" t="str" s="39" cm="1">
        <f t="array" ref="O450">IF(L450="","",_xlfn.IFERROR(INDEX('Datos - Catálogo TIMSS'!$C$5:$C$107,MATCH(L450,'Datos - Catálogo TIMSS'!$A$5:$A$107,0)),"?"))</f>
        <v>Física</v>
      </c>
      <c r="P450" t="s" s="35">
        <v>254</v>
      </c>
      <c r="Q450" t="s" s="120">
        <v>3952</v>
      </c>
      <c r="R450" t="s" s="120">
        <v>3943</v>
      </c>
      <c r="S450" s="121" cm="1">
        <f t="array" ref="S450">_xlfn.IFERROR(ISNUMBER(SEARCH("Conocer",$R450))/(ISNUMBER(SEARCH("Conocer",$R450))+ISNUMBER(SEARCH("Aplicar",$R450))+ISNUMBER(SEARCH("Razonar",$R450))),0)</f>
        <v>0</v>
      </c>
      <c r="T450" s="121" cm="1">
        <f t="array" ref="T450">_xlfn.IFERROR(ISNUMBER(SEARCH("Aplicar",$R450))/(ISNUMBER(SEARCH("Conocer",$R450))+ISNUMBER(SEARCH("Aplicar",$R450))+ISNUMBER(SEARCH("Razonar",$R450))),0)</f>
        <v>1</v>
      </c>
      <c r="U450" s="121" cm="1">
        <f t="array" ref="U450">_xlfn.IFERROR(ISNUMBER(SEARCH("Razonar",$R450))/(ISNUMBER(SEARCH("Conocer",$R450))+ISNUMBER(SEARCH("Aplicar",$R450))+ISNUMBER(SEARCH("Razonar",$R450))),0)</f>
        <v>0</v>
      </c>
      <c r="V450" t="s" s="35">
        <v>86</v>
      </c>
      <c r="W450" t="s" s="35">
        <v>115</v>
      </c>
      <c r="X450" s="36" cm="1">
        <f t="array" ref="X450">IF(OR(_xlfn.IFERROR(INDEX('Datos - Catálogo TIMSS'!$I$5:$I$107,MATCH(K450,'Datos - Catálogo TIMSS'!$A$5:$A$107,0)),"No")="Sí",_xlfn.IFERROR(INDEX('Datos - Catálogo TIMSS'!$I$5:$I$107,MATCH(L450,'Datos - Catálogo TIMSS'!$A$5:$A$107,0)),"No")="Sí"),1,0)</f>
        <v>0</v>
      </c>
      <c r="Y450" s="36" cm="1">
        <f t="array" ref="Y450">IF(_xlfn.IFERROR(INDEX('Datos - Catálogo TIMSS'!$J$5:$J$107,MATCH(K450,'Datos - Catálogo TIMSS'!$A$5:$A$107,0)),"No")="Sí",1,0)</f>
        <v>0</v>
      </c>
      <c r="Z450" s="36" cm="1">
        <f t="array" ref="Z450">IF(_xlfn.IFERROR(INDEX('Datos - Catálogo TIMSS'!$J$5:$J$107,MATCH(L450,'Datos - Catálogo TIMSS'!$A$5:$A$107,0)),"No")="Sí",1,0)</f>
        <v>0</v>
      </c>
      <c r="AA450" t="s" s="35">
        <v>2908</v>
      </c>
      <c r="AB450" t="s" s="35">
        <v>2889</v>
      </c>
      <c r="AC450" t="str" s="39">
        <v>Física</v>
      </c>
      <c r="AD450" t="s" s="35">
        <v>1834</v>
      </c>
      <c r="AE450" t="str" s="39" cm="1">
        <f t="array" ref="AE450">IF(AD450="","",IF(LEFT(AD450,1)="1","C1",IF(LEFT(AD450,1)="2","C2",IF(LEFT(AD450,1)="3","C3",""))))</f>
        <v>C2</v>
      </c>
      <c r="AF450" t="s" s="35">
        <v>1602</v>
      </c>
      <c r="AG450" t="s" s="35">
        <v>1617</v>
      </c>
      <c r="AH450" t="s" s="35">
        <v>1602</v>
      </c>
      <c r="AI450" t="s" s="35">
        <v>1623</v>
      </c>
      <c r="AJ450" t="s" s="35">
        <v>1607</v>
      </c>
      <c r="AK450" t="s" s="35">
        <v>838</v>
      </c>
      <c r="AL450" s="39"/>
      <c r="AM450" t="str" s="39" cm="1">
        <f t="array" ref="AM450">IF(AK450="FUERA","Fuera del marco",_xlfn.IFERROR(INDEX('Datos - Catálogo PISA'!$C$5:$C$76,MATCH(AK450,'Datos - Catálogo PISA'!$A$5:$A$76,0)),"?"))</f>
        <v>Sistemas físicos</v>
      </c>
      <c r="AN450" t="s" s="35">
        <v>1651</v>
      </c>
      <c r="AO450" s="39"/>
      <c r="AP450" s="39"/>
      <c r="AQ450" t="s" s="35">
        <v>1756</v>
      </c>
      <c r="AR450" s="39"/>
      <c r="AS450" t="s" s="35">
        <v>1771</v>
      </c>
      <c r="AT450" t="s" s="35">
        <v>254</v>
      </c>
      <c r="AU450" t="s" s="35">
        <v>3953</v>
      </c>
      <c r="AV450" t="s" s="35">
        <v>139</v>
      </c>
      <c r="AW450" t="str" s="39" cm="1">
        <f t="array" ref="AW450">AF450&amp;"; "&amp;AG450&amp;"; "&amp;AH450&amp;"; "&amp;AI450&amp;"; "&amp;AJ450</f>
        <v>E1; D1; E1; D4; E3</v>
      </c>
    </row>
    <row r="451" ht="13.65" customHeight="1">
      <c r="A451" t="s" s="35">
        <v>3954</v>
      </c>
      <c r="B451" s="36">
        <v>8</v>
      </c>
      <c r="C451" t="s" s="35">
        <v>1823</v>
      </c>
      <c r="D451" t="s" s="35">
        <v>3919</v>
      </c>
      <c r="E451" t="s" s="35">
        <v>3920</v>
      </c>
      <c r="F451" s="36">
        <v>10</v>
      </c>
      <c r="G451" t="s" s="35">
        <v>480</v>
      </c>
      <c r="H451" t="s" s="35">
        <v>3950</v>
      </c>
      <c r="I451" t="s" s="120">
        <v>3955</v>
      </c>
      <c r="J451" t="s" s="35">
        <v>1164</v>
      </c>
      <c r="K451" t="s" s="35">
        <v>1262</v>
      </c>
      <c r="L451" s="39"/>
      <c r="M451" t="str" s="39">
        <v>Física</v>
      </c>
      <c r="N451" t="str" s="39">
        <v>Movimiento y fuerzas</v>
      </c>
      <c r="O451" t="str" s="39" cm="1">
        <f t="array" ref="O451">IF(L451="","",_xlfn.IFERROR(INDEX('Datos - Catálogo TIMSS'!$C$5:$C$107,MATCH(L451,'Datos - Catálogo TIMSS'!$A$5:$A$107,0)),"?"))</f>
      </c>
      <c r="P451" t="s" s="35">
        <v>254</v>
      </c>
      <c r="Q451" t="s" s="120">
        <v>3956</v>
      </c>
      <c r="R451" t="s" s="120">
        <v>3957</v>
      </c>
      <c r="S451" s="121" cm="1">
        <f t="array" ref="S451">_xlfn.IFERROR(ISNUMBER(SEARCH("Conocer",$R451))/(ISNUMBER(SEARCH("Conocer",$R451))+ISNUMBER(SEARCH("Aplicar",$R451))+ISNUMBER(SEARCH("Razonar",$R451))),0)</f>
        <v>0</v>
      </c>
      <c r="T451" s="121" cm="1">
        <f t="array" ref="T451">_xlfn.IFERROR(ISNUMBER(SEARCH("Aplicar",$R451))/(ISNUMBER(SEARCH("Conocer",$R451))+ISNUMBER(SEARCH("Aplicar",$R451))+ISNUMBER(SEARCH("Razonar",$R451))),0)</f>
        <v>1</v>
      </c>
      <c r="U451" s="121" cm="1">
        <f t="array" ref="U451">_xlfn.IFERROR(ISNUMBER(SEARCH("Razonar",$R451))/(ISNUMBER(SEARCH("Conocer",$R451))+ISNUMBER(SEARCH("Aplicar",$R451))+ISNUMBER(SEARCH("Razonar",$R451))),0)</f>
        <v>0</v>
      </c>
      <c r="V451" t="s" s="35">
        <v>86</v>
      </c>
      <c r="W451" t="s" s="35">
        <v>115</v>
      </c>
      <c r="X451" s="36" cm="1">
        <f t="array" ref="X451">IF(OR(_xlfn.IFERROR(INDEX('Datos - Catálogo TIMSS'!$I$5:$I$107,MATCH(K451,'Datos - Catálogo TIMSS'!$A$5:$A$107,0)),"No")="Sí",_xlfn.IFERROR(INDEX('Datos - Catálogo TIMSS'!$I$5:$I$107,MATCH(L451,'Datos - Catálogo TIMSS'!$A$5:$A$107,0)),"No")="Sí"),1,0)</f>
        <v>0</v>
      </c>
      <c r="Y451" s="36" cm="1">
        <f t="array" ref="Y451">IF(_xlfn.IFERROR(INDEX('Datos - Catálogo TIMSS'!$J$5:$J$107,MATCH(K451,'Datos - Catálogo TIMSS'!$A$5:$A$107,0)),"No")="Sí",1,0)</f>
        <v>0</v>
      </c>
      <c r="Z451" s="36" cm="1">
        <f t="array" ref="Z451">IF(_xlfn.IFERROR(INDEX('Datos - Catálogo TIMSS'!$J$5:$J$107,MATCH(L451,'Datos - Catálogo TIMSS'!$A$5:$A$107,0)),"No")="Sí",1,0)</f>
        <v>0</v>
      </c>
      <c r="AA451" t="s" s="35">
        <v>2877</v>
      </c>
      <c r="AB451" s="39"/>
      <c r="AC451" t="str" s="39">
        <v>Física</v>
      </c>
      <c r="AD451" t="s" s="35">
        <v>1834</v>
      </c>
      <c r="AE451" t="str" s="39" cm="1">
        <f t="array" ref="AE451">IF(AD451="","",IF(LEFT(AD451,1)="1","C1",IF(LEFT(AD451,1)="2","C2",IF(LEFT(AD451,1)="3","C3",""))))</f>
        <v>C2</v>
      </c>
      <c r="AF451" t="s" s="35">
        <v>1602</v>
      </c>
      <c r="AG451" t="s" s="35">
        <v>1617</v>
      </c>
      <c r="AH451" t="s" s="35">
        <v>1605</v>
      </c>
      <c r="AI451" t="s" s="35">
        <v>1623</v>
      </c>
      <c r="AJ451" t="s" s="35">
        <v>1607</v>
      </c>
      <c r="AK451" t="s" s="35">
        <v>838</v>
      </c>
      <c r="AL451" s="39"/>
      <c r="AM451" t="str" s="39" cm="1">
        <f t="array" ref="AM451">IF(AK451="FUERA","Fuera del marco",_xlfn.IFERROR(INDEX('Datos - Catálogo PISA'!$C$5:$C$76,MATCH(AK451,'Datos - Catálogo PISA'!$A$5:$A$76,0)),"?"))</f>
        <v>Sistemas físicos</v>
      </c>
      <c r="AN451" t="s" s="35">
        <v>1651</v>
      </c>
      <c r="AO451" t="s" s="35">
        <v>3575</v>
      </c>
      <c r="AP451" s="39"/>
      <c r="AQ451" t="s" s="35">
        <v>1756</v>
      </c>
      <c r="AR451" s="39"/>
      <c r="AS451" t="s" s="35">
        <v>1771</v>
      </c>
      <c r="AT451" t="s" s="35">
        <v>254</v>
      </c>
      <c r="AU451" t="s" s="35">
        <v>3958</v>
      </c>
      <c r="AV451" t="s" s="35">
        <v>139</v>
      </c>
      <c r="AW451" t="str" s="39" cm="1">
        <f t="array" ref="AW451">AF451&amp;"; "&amp;AG451&amp;"; "&amp;AH451&amp;"; "&amp;AI451&amp;"; "&amp;AJ451</f>
        <v>E1; D1; E2; D4; E3</v>
      </c>
    </row>
    <row r="452" ht="13.65" customHeight="1">
      <c r="A452" t="s" s="35">
        <v>3959</v>
      </c>
      <c r="B452" s="36">
        <v>8</v>
      </c>
      <c r="C452" t="s" s="35">
        <v>1823</v>
      </c>
      <c r="D452" t="s" s="35">
        <v>3919</v>
      </c>
      <c r="E452" t="s" s="35">
        <v>3920</v>
      </c>
      <c r="F452" s="36">
        <v>11</v>
      </c>
      <c r="G452" t="s" s="35">
        <v>480</v>
      </c>
      <c r="H452" t="s" s="35">
        <v>3950</v>
      </c>
      <c r="I452" t="s" s="120">
        <v>3960</v>
      </c>
      <c r="J452" t="s" s="35">
        <v>1164</v>
      </c>
      <c r="K452" t="s" s="35">
        <v>1262</v>
      </c>
      <c r="L452" s="39"/>
      <c r="M452" t="str" s="39">
        <v>Física</v>
      </c>
      <c r="N452" t="str" s="39">
        <v>Movimiento y fuerzas</v>
      </c>
      <c r="O452" t="str" s="39" cm="1">
        <f t="array" ref="O452">IF(L452="","",_xlfn.IFERROR(INDEX('Datos - Catálogo TIMSS'!$C$5:$C$107,MATCH(L452,'Datos - Catálogo TIMSS'!$A$5:$A$107,0)),"?"))</f>
      </c>
      <c r="P452" t="s" s="35">
        <v>282</v>
      </c>
      <c r="Q452" t="s" s="120">
        <v>3961</v>
      </c>
      <c r="R452" t="s" s="120">
        <v>1892</v>
      </c>
      <c r="S452" s="121" cm="1">
        <f t="array" ref="S452">_xlfn.IFERROR(ISNUMBER(SEARCH("Conocer",$R452))/(ISNUMBER(SEARCH("Conocer",$R452))+ISNUMBER(SEARCH("Aplicar",$R452))+ISNUMBER(SEARCH("Razonar",$R452))),0)</f>
        <v>0</v>
      </c>
      <c r="T452" s="121" cm="1">
        <f t="array" ref="T452">_xlfn.IFERROR(ISNUMBER(SEARCH("Aplicar",$R452))/(ISNUMBER(SEARCH("Conocer",$R452))+ISNUMBER(SEARCH("Aplicar",$R452))+ISNUMBER(SEARCH("Razonar",$R452))),0)</f>
        <v>0</v>
      </c>
      <c r="U452" s="121" cm="1">
        <f t="array" ref="U452">_xlfn.IFERROR(ISNUMBER(SEARCH("Razonar",$R452))/(ISNUMBER(SEARCH("Conocer",$R452))+ISNUMBER(SEARCH("Aplicar",$R452))+ISNUMBER(SEARCH("Razonar",$R452))),0)</f>
        <v>1</v>
      </c>
      <c r="V452" t="s" s="35">
        <v>86</v>
      </c>
      <c r="W452" t="s" s="35">
        <v>115</v>
      </c>
      <c r="X452" s="36" cm="1">
        <f t="array" ref="X452">IF(OR(_xlfn.IFERROR(INDEX('Datos - Catálogo TIMSS'!$I$5:$I$107,MATCH(K452,'Datos - Catálogo TIMSS'!$A$5:$A$107,0)),"No")="Sí",_xlfn.IFERROR(INDEX('Datos - Catálogo TIMSS'!$I$5:$I$107,MATCH(L452,'Datos - Catálogo TIMSS'!$A$5:$A$107,0)),"No")="Sí"),1,0)</f>
        <v>0</v>
      </c>
      <c r="Y452" s="36" cm="1">
        <f t="array" ref="Y452">IF(_xlfn.IFERROR(INDEX('Datos - Catálogo TIMSS'!$J$5:$J$107,MATCH(K452,'Datos - Catálogo TIMSS'!$A$5:$A$107,0)),"No")="Sí",1,0)</f>
        <v>0</v>
      </c>
      <c r="Z452" s="36" cm="1">
        <f t="array" ref="Z452">IF(_xlfn.IFERROR(INDEX('Datos - Catálogo TIMSS'!$J$5:$J$107,MATCH(L452,'Datos - Catálogo TIMSS'!$A$5:$A$107,0)),"No")="Sí",1,0)</f>
        <v>0</v>
      </c>
      <c r="AA452" t="s" s="35">
        <v>2877</v>
      </c>
      <c r="AB452" s="39"/>
      <c r="AC452" t="str" s="39">
        <v>Física</v>
      </c>
      <c r="AD452" t="s" s="35">
        <v>1834</v>
      </c>
      <c r="AE452" t="str" s="39" cm="1">
        <f t="array" ref="AE452">IF(AD452="","",IF(LEFT(AD452,1)="1","C1",IF(LEFT(AD452,1)="2","C2",IF(LEFT(AD452,1)="3","C3",""))))</f>
        <v>C2</v>
      </c>
      <c r="AF452" t="s" s="35">
        <v>1602</v>
      </c>
      <c r="AG452" t="s" s="35">
        <v>1607</v>
      </c>
      <c r="AH452" t="s" s="35">
        <v>1605</v>
      </c>
      <c r="AI452" t="s" s="35">
        <v>1623</v>
      </c>
      <c r="AJ452" t="s" s="35">
        <v>1615</v>
      </c>
      <c r="AK452" t="s" s="35">
        <v>838</v>
      </c>
      <c r="AL452" s="39"/>
      <c r="AM452" t="str" s="39" cm="1">
        <f t="array" ref="AM452">IF(AK452="FUERA","Fuera del marco",_xlfn.IFERROR(INDEX('Datos - Catálogo PISA'!$C$5:$C$76,MATCH(AK452,'Datos - Catálogo PISA'!$A$5:$A$76,0)),"?"))</f>
        <v>Sistemas físicos</v>
      </c>
      <c r="AN452" t="s" s="35">
        <v>1651</v>
      </c>
      <c r="AO452" t="s" s="35">
        <v>3962</v>
      </c>
      <c r="AP452" s="39"/>
      <c r="AQ452" t="s" s="35">
        <v>1756</v>
      </c>
      <c r="AR452" s="39"/>
      <c r="AS452" t="s" s="35">
        <v>1771</v>
      </c>
      <c r="AT452" t="s" s="35">
        <v>254</v>
      </c>
      <c r="AU452" t="s" s="35">
        <v>3963</v>
      </c>
      <c r="AV452" t="s" s="35">
        <v>139</v>
      </c>
      <c r="AW452" t="str" s="39" cm="1">
        <f t="array" ref="AW452">AF452&amp;"; "&amp;AG452&amp;"; "&amp;AH452&amp;"; "&amp;AI452&amp;"; "&amp;AJ452</f>
        <v>E1; E3; E2; D4; E6</v>
      </c>
    </row>
    <row r="453" ht="13.65" customHeight="1">
      <c r="A453" t="s" s="35">
        <v>3965</v>
      </c>
      <c r="B453" s="36">
        <v>8</v>
      </c>
      <c r="C453" t="s" s="35">
        <v>1823</v>
      </c>
      <c r="D453" t="s" s="35">
        <v>3919</v>
      </c>
      <c r="E453" t="s" s="35">
        <v>3920</v>
      </c>
      <c r="F453" s="36">
        <v>12</v>
      </c>
      <c r="G453" t="s" s="35">
        <v>480</v>
      </c>
      <c r="H453" t="s" s="35">
        <v>3966</v>
      </c>
      <c r="I453" t="s" s="120">
        <v>3967</v>
      </c>
      <c r="J453" t="s" s="35">
        <v>1164</v>
      </c>
      <c r="K453" t="s" s="35">
        <v>535</v>
      </c>
      <c r="L453" s="39"/>
      <c r="M453" t="str" s="39">
        <v>Física</v>
      </c>
      <c r="N453" t="str" s="39">
        <v>Movimiento y fuerzas</v>
      </c>
      <c r="O453" t="str" s="39" cm="1">
        <f t="array" ref="O453">IF(L453="","",_xlfn.IFERROR(INDEX('Datos - Catálogo TIMSS'!$C$5:$C$107,MATCH(L453,'Datos - Catálogo TIMSS'!$A$5:$A$107,0)),"?"))</f>
      </c>
      <c r="P453" t="s" s="35">
        <v>291</v>
      </c>
      <c r="Q453" t="s" s="120">
        <v>3968</v>
      </c>
      <c r="R453" t="s" s="120">
        <v>3969</v>
      </c>
      <c r="S453" s="121" cm="1">
        <f t="array" ref="S453">_xlfn.IFERROR(ISNUMBER(SEARCH("Conocer",$R453))/(ISNUMBER(SEARCH("Conocer",$R453))+ISNUMBER(SEARCH("Aplicar",$R453))+ISNUMBER(SEARCH("Razonar",$R453))),0)</f>
        <v>0</v>
      </c>
      <c r="T453" s="121" cm="1">
        <f t="array" ref="T453">_xlfn.IFERROR(ISNUMBER(SEARCH("Aplicar",$R453))/(ISNUMBER(SEARCH("Conocer",$R453))+ISNUMBER(SEARCH("Aplicar",$R453))+ISNUMBER(SEARCH("Razonar",$R453))),0)</f>
        <v>0.5</v>
      </c>
      <c r="U453" s="121" cm="1">
        <f t="array" ref="U453">_xlfn.IFERROR(ISNUMBER(SEARCH("Razonar",$R453))/(ISNUMBER(SEARCH("Conocer",$R453))+ISNUMBER(SEARCH("Aplicar",$R453))+ISNUMBER(SEARCH("Razonar",$R453))),0)</f>
        <v>0.5</v>
      </c>
      <c r="V453" t="s" s="35">
        <v>86</v>
      </c>
      <c r="W453" t="s" s="35">
        <v>115</v>
      </c>
      <c r="X453" s="36" cm="1">
        <f t="array" ref="X453">IF(OR(_xlfn.IFERROR(INDEX('Datos - Catálogo TIMSS'!$I$5:$I$107,MATCH(K453,'Datos - Catálogo TIMSS'!$A$5:$A$107,0)),"No")="Sí",_xlfn.IFERROR(INDEX('Datos - Catálogo TIMSS'!$I$5:$I$107,MATCH(L453,'Datos - Catálogo TIMSS'!$A$5:$A$107,0)),"No")="Sí"),1,0)</f>
        <v>0</v>
      </c>
      <c r="Y453" s="36" cm="1">
        <f t="array" ref="Y453">IF(_xlfn.IFERROR(INDEX('Datos - Catálogo TIMSS'!$J$5:$J$107,MATCH(K453,'Datos - Catálogo TIMSS'!$A$5:$A$107,0)),"No")="Sí",1,0)</f>
        <v>0</v>
      </c>
      <c r="Z453" s="36" cm="1">
        <f t="array" ref="Z453">IF(_xlfn.IFERROR(INDEX('Datos - Catálogo TIMSS'!$J$5:$J$107,MATCH(L453,'Datos - Catálogo TIMSS'!$A$5:$A$107,0)),"No")="Sí",1,0)</f>
        <v>0</v>
      </c>
      <c r="AA453" t="s" s="35">
        <v>2908</v>
      </c>
      <c r="AB453" s="39"/>
      <c r="AC453" t="str" s="39">
        <v>Física</v>
      </c>
      <c r="AD453" t="s" s="35">
        <v>1859</v>
      </c>
      <c r="AE453" t="str" s="39" cm="1">
        <f t="array" ref="AE453">IF(AD453="","",IF(LEFT(AD453,1)="1","C1",IF(LEFT(AD453,1)="2","C2",IF(LEFT(AD453,1)="3","C3",""))))</f>
        <v>C1</v>
      </c>
      <c r="AF453" t="s" s="35">
        <v>1602</v>
      </c>
      <c r="AG453" t="s" s="35">
        <v>1617</v>
      </c>
      <c r="AH453" t="s" s="35">
        <v>1602</v>
      </c>
      <c r="AI453" t="s" s="35">
        <v>1623</v>
      </c>
      <c r="AJ453" t="s" s="35">
        <v>1615</v>
      </c>
      <c r="AK453" t="s" s="35">
        <v>838</v>
      </c>
      <c r="AL453" s="39"/>
      <c r="AM453" t="str" s="39" cm="1">
        <f t="array" ref="AM453">IF(AK453="FUERA","Fuera del marco",_xlfn.IFERROR(INDEX('Datos - Catálogo PISA'!$C$5:$C$76,MATCH(AK453,'Datos - Catálogo PISA'!$A$5:$A$76,0)),"?"))</f>
        <v>Sistemas físicos</v>
      </c>
      <c r="AN453" t="s" s="35">
        <v>1651</v>
      </c>
      <c r="AO453" s="39"/>
      <c r="AP453" s="39"/>
      <c r="AQ453" t="s" s="35">
        <v>1756</v>
      </c>
      <c r="AR453" s="39"/>
      <c r="AS453" t="s" s="35">
        <v>1770</v>
      </c>
      <c r="AT453" t="s" s="35">
        <v>254</v>
      </c>
      <c r="AU453" t="s" s="35">
        <v>3970</v>
      </c>
      <c r="AV453" t="s" s="35">
        <v>139</v>
      </c>
      <c r="AW453" t="str" s="39" cm="1">
        <f t="array" ref="AW453">AF453&amp;"; "&amp;AG453&amp;"; "&amp;AH453&amp;"; "&amp;AI453&amp;"; "&amp;AJ453</f>
        <v>E1; D1; E1; D4; E6</v>
      </c>
    </row>
    <row r="454" ht="13.65" customHeight="1">
      <c r="A454" t="s" s="35">
        <v>3971</v>
      </c>
      <c r="B454" s="36">
        <v>8</v>
      </c>
      <c r="C454" t="s" s="35">
        <v>1823</v>
      </c>
      <c r="D454" t="s" s="35">
        <v>3919</v>
      </c>
      <c r="E454" t="s" s="35">
        <v>3920</v>
      </c>
      <c r="F454" s="36">
        <v>13</v>
      </c>
      <c r="G454" t="s" s="35">
        <v>480</v>
      </c>
      <c r="H454" t="s" s="35">
        <v>3966</v>
      </c>
      <c r="I454" t="s" s="120">
        <v>3972</v>
      </c>
      <c r="J454" t="s" s="35">
        <v>1164</v>
      </c>
      <c r="K454" t="s" s="35">
        <v>1262</v>
      </c>
      <c r="L454" s="39"/>
      <c r="M454" t="str" s="39">
        <v>Física</v>
      </c>
      <c r="N454" t="str" s="39">
        <v>Movimiento y fuerzas</v>
      </c>
      <c r="O454" t="str" s="39" cm="1">
        <f t="array" ref="O454">IF(L454="","",_xlfn.IFERROR(INDEX('Datos - Catálogo TIMSS'!$C$5:$C$107,MATCH(L454,'Datos - Catálogo TIMSS'!$A$5:$A$107,0)),"?"))</f>
      </c>
      <c r="P454" t="s" s="35">
        <v>282</v>
      </c>
      <c r="Q454" t="s" s="120">
        <v>3973</v>
      </c>
      <c r="R454" t="s" s="120">
        <v>2893</v>
      </c>
      <c r="S454" s="121" cm="1">
        <f t="array" ref="S454">_xlfn.IFERROR(ISNUMBER(SEARCH("Conocer",$R454))/(ISNUMBER(SEARCH("Conocer",$R454))+ISNUMBER(SEARCH("Aplicar",$R454))+ISNUMBER(SEARCH("Razonar",$R454))),0)</f>
        <v>0</v>
      </c>
      <c r="T454" s="121" cm="1">
        <f t="array" ref="T454">_xlfn.IFERROR(ISNUMBER(SEARCH("Aplicar",$R454))/(ISNUMBER(SEARCH("Conocer",$R454))+ISNUMBER(SEARCH("Aplicar",$R454))+ISNUMBER(SEARCH("Razonar",$R454))),0)</f>
        <v>1</v>
      </c>
      <c r="U454" s="121" cm="1">
        <f t="array" ref="U454">_xlfn.IFERROR(ISNUMBER(SEARCH("Razonar",$R454))/(ISNUMBER(SEARCH("Conocer",$R454))+ISNUMBER(SEARCH("Aplicar",$R454))+ISNUMBER(SEARCH("Razonar",$R454))),0)</f>
        <v>0</v>
      </c>
      <c r="V454" t="s" s="35">
        <v>86</v>
      </c>
      <c r="W454" t="s" s="35">
        <v>115</v>
      </c>
      <c r="X454" s="36" cm="1">
        <f t="array" ref="X454">IF(OR(_xlfn.IFERROR(INDEX('Datos - Catálogo TIMSS'!$I$5:$I$107,MATCH(K454,'Datos - Catálogo TIMSS'!$A$5:$A$107,0)),"No")="Sí",_xlfn.IFERROR(INDEX('Datos - Catálogo TIMSS'!$I$5:$I$107,MATCH(L454,'Datos - Catálogo TIMSS'!$A$5:$A$107,0)),"No")="Sí"),1,0)</f>
        <v>0</v>
      </c>
      <c r="Y454" s="36" cm="1">
        <f t="array" ref="Y454">IF(_xlfn.IFERROR(INDEX('Datos - Catálogo TIMSS'!$J$5:$J$107,MATCH(K454,'Datos - Catálogo TIMSS'!$A$5:$A$107,0)),"No")="Sí",1,0)</f>
        <v>0</v>
      </c>
      <c r="Z454" s="36" cm="1">
        <f t="array" ref="Z454">IF(_xlfn.IFERROR(INDEX('Datos - Catálogo TIMSS'!$J$5:$J$107,MATCH(L454,'Datos - Catálogo TIMSS'!$A$5:$A$107,0)),"No")="Sí",1,0)</f>
        <v>0</v>
      </c>
      <c r="AA454" t="s" s="35">
        <v>2877</v>
      </c>
      <c r="AB454" s="39"/>
      <c r="AC454" t="str" s="39">
        <v>Física</v>
      </c>
      <c r="AD454" t="s" s="35">
        <v>1834</v>
      </c>
      <c r="AE454" t="str" s="39" cm="1">
        <f t="array" ref="AE454">IF(AD454="","",IF(LEFT(AD454,1)="1","C1",IF(LEFT(AD454,1)="2","C2",IF(LEFT(AD454,1)="3","C3",""))))</f>
        <v>C2</v>
      </c>
      <c r="AF454" t="s" s="35">
        <v>1602</v>
      </c>
      <c r="AG454" t="s" s="35">
        <v>1617</v>
      </c>
      <c r="AH454" t="s" s="35">
        <v>1602</v>
      </c>
      <c r="AI454" t="s" s="35">
        <v>1623</v>
      </c>
      <c r="AJ454" t="s" s="35">
        <v>1607</v>
      </c>
      <c r="AK454" t="s" s="35">
        <v>838</v>
      </c>
      <c r="AL454" s="39"/>
      <c r="AM454" t="str" s="39" cm="1">
        <f t="array" ref="AM454">IF(AK454="FUERA","Fuera del marco",_xlfn.IFERROR(INDEX('Datos - Catálogo PISA'!$C$5:$C$76,MATCH(AK454,'Datos - Catálogo PISA'!$A$5:$A$76,0)),"?"))</f>
        <v>Sistemas físicos</v>
      </c>
      <c r="AN454" t="s" s="35">
        <v>1651</v>
      </c>
      <c r="AO454" t="s" s="35">
        <v>3488</v>
      </c>
      <c r="AP454" s="39"/>
      <c r="AQ454" t="s" s="35">
        <v>1756</v>
      </c>
      <c r="AR454" s="39"/>
      <c r="AS454" t="s" s="35">
        <v>1771</v>
      </c>
      <c r="AT454" t="s" s="35">
        <v>254</v>
      </c>
      <c r="AU454" t="s" s="35">
        <v>3974</v>
      </c>
      <c r="AV454" t="s" s="35">
        <v>139</v>
      </c>
      <c r="AW454" t="str" s="39" cm="1">
        <f t="array" ref="AW454">AF454&amp;"; "&amp;AG454&amp;"; "&amp;AH454&amp;"; "&amp;AI454&amp;"; "&amp;AJ454</f>
        <v>E1; D1; E1; D4; E3</v>
      </c>
    </row>
    <row r="455" ht="13.65" customHeight="1">
      <c r="A455" t="s" s="35">
        <v>3975</v>
      </c>
      <c r="B455" s="36">
        <v>8</v>
      </c>
      <c r="C455" t="s" s="35">
        <v>1823</v>
      </c>
      <c r="D455" t="s" s="35">
        <v>3919</v>
      </c>
      <c r="E455" t="s" s="35">
        <v>3920</v>
      </c>
      <c r="F455" s="36">
        <v>14</v>
      </c>
      <c r="G455" t="s" s="35">
        <v>480</v>
      </c>
      <c r="H455" t="s" s="35">
        <v>3976</v>
      </c>
      <c r="I455" t="s" s="120">
        <v>3977</v>
      </c>
      <c r="J455" t="s" s="35">
        <v>1164</v>
      </c>
      <c r="K455" t="s" s="35">
        <v>535</v>
      </c>
      <c r="L455" s="39"/>
      <c r="M455" t="str" s="39">
        <v>Física</v>
      </c>
      <c r="N455" t="str" s="39">
        <v>Movimiento y fuerzas</v>
      </c>
      <c r="O455" t="str" s="39" cm="1">
        <f t="array" ref="O455">IF(L455="","",_xlfn.IFERROR(INDEX('Datos - Catálogo TIMSS'!$C$5:$C$107,MATCH(L455,'Datos - Catálogo TIMSS'!$A$5:$A$107,0)),"?"))</f>
      </c>
      <c r="P455" t="s" s="35">
        <v>282</v>
      </c>
      <c r="Q455" t="s" s="120">
        <v>3978</v>
      </c>
      <c r="R455" t="s" s="120">
        <v>3297</v>
      </c>
      <c r="S455" s="121" cm="1">
        <f t="array" ref="S455">_xlfn.IFERROR(ISNUMBER(SEARCH("Conocer",$R455))/(ISNUMBER(SEARCH("Conocer",$R455))+ISNUMBER(SEARCH("Aplicar",$R455))+ISNUMBER(SEARCH("Razonar",$R455))),0)</f>
        <v>1</v>
      </c>
      <c r="T455" s="121" cm="1">
        <f t="array" ref="T455">_xlfn.IFERROR(ISNUMBER(SEARCH("Aplicar",$R455))/(ISNUMBER(SEARCH("Conocer",$R455))+ISNUMBER(SEARCH("Aplicar",$R455))+ISNUMBER(SEARCH("Razonar",$R455))),0)</f>
        <v>0</v>
      </c>
      <c r="U455" s="121" cm="1">
        <f t="array" ref="U455">_xlfn.IFERROR(ISNUMBER(SEARCH("Razonar",$R455))/(ISNUMBER(SEARCH("Conocer",$R455))+ISNUMBER(SEARCH("Aplicar",$R455))+ISNUMBER(SEARCH("Razonar",$R455))),0)</f>
        <v>0</v>
      </c>
      <c r="V455" t="s" s="35">
        <v>86</v>
      </c>
      <c r="W455" t="s" s="35">
        <v>115</v>
      </c>
      <c r="X455" s="36" cm="1">
        <f t="array" ref="X455">IF(OR(_xlfn.IFERROR(INDEX('Datos - Catálogo TIMSS'!$I$5:$I$107,MATCH(K455,'Datos - Catálogo TIMSS'!$A$5:$A$107,0)),"No")="Sí",_xlfn.IFERROR(INDEX('Datos - Catálogo TIMSS'!$I$5:$I$107,MATCH(L455,'Datos - Catálogo TIMSS'!$A$5:$A$107,0)),"No")="Sí"),1,0)</f>
        <v>0</v>
      </c>
      <c r="Y455" s="36" cm="1">
        <f t="array" ref="Y455">IF(_xlfn.IFERROR(INDEX('Datos - Catálogo TIMSS'!$J$5:$J$107,MATCH(K455,'Datos - Catálogo TIMSS'!$A$5:$A$107,0)),"No")="Sí",1,0)</f>
        <v>0</v>
      </c>
      <c r="Z455" s="36" cm="1">
        <f t="array" ref="Z455">IF(_xlfn.IFERROR(INDEX('Datos - Catálogo TIMSS'!$J$5:$J$107,MATCH(L455,'Datos - Catálogo TIMSS'!$A$5:$A$107,0)),"No")="Sí",1,0)</f>
        <v>0</v>
      </c>
      <c r="AA455" t="s" s="35">
        <v>2908</v>
      </c>
      <c r="AB455" t="s" s="35">
        <v>2889</v>
      </c>
      <c r="AC455" t="str" s="39">
        <v>Física</v>
      </c>
      <c r="AD455" t="s" s="35">
        <v>1859</v>
      </c>
      <c r="AE455" t="str" s="39" cm="1">
        <f t="array" ref="AE455">IF(AD455="","",IF(LEFT(AD455,1)="1","C1",IF(LEFT(AD455,1)="2","C2",IF(LEFT(AD455,1)="3","C3",""))))</f>
        <v>C1</v>
      </c>
      <c r="AF455" t="s" s="35">
        <v>1602</v>
      </c>
      <c r="AG455" t="s" s="35">
        <v>1612</v>
      </c>
      <c r="AH455" t="s" s="35">
        <v>1602</v>
      </c>
      <c r="AI455" t="s" s="35">
        <v>1623</v>
      </c>
      <c r="AJ455" t="s" s="35">
        <v>1615</v>
      </c>
      <c r="AK455" t="s" s="35">
        <v>838</v>
      </c>
      <c r="AL455" s="39"/>
      <c r="AM455" t="str" s="39" cm="1">
        <f t="array" ref="AM455">IF(AK455="FUERA","Fuera del marco",_xlfn.IFERROR(INDEX('Datos - Catálogo PISA'!$C$5:$C$76,MATCH(AK455,'Datos - Catálogo PISA'!$A$5:$A$76,0)),"?"))</f>
        <v>Sistemas físicos</v>
      </c>
      <c r="AN455" t="s" s="35">
        <v>1651</v>
      </c>
      <c r="AO455" s="39"/>
      <c r="AP455" s="39"/>
      <c r="AQ455" t="s" s="35">
        <v>1756</v>
      </c>
      <c r="AR455" s="39"/>
      <c r="AS455" t="s" s="35">
        <v>1771</v>
      </c>
      <c r="AT455" t="s" s="35">
        <v>254</v>
      </c>
      <c r="AU455" t="s" s="35">
        <v>3979</v>
      </c>
      <c r="AV455" t="s" s="35">
        <v>139</v>
      </c>
      <c r="AW455" t="str" s="39" cm="1">
        <f t="array" ref="AW455">AF455&amp;"; "&amp;AG455&amp;"; "&amp;AH455&amp;"; "&amp;AI455&amp;"; "&amp;AJ455</f>
        <v>E1; E5; E1; D4; E6</v>
      </c>
    </row>
    <row r="456" ht="13.65" customHeight="1">
      <c r="A456" t="s" s="35">
        <v>3980</v>
      </c>
      <c r="B456" s="36">
        <v>8</v>
      </c>
      <c r="C456" t="s" s="35">
        <v>1823</v>
      </c>
      <c r="D456" t="s" s="35">
        <v>3919</v>
      </c>
      <c r="E456" t="s" s="35">
        <v>3920</v>
      </c>
      <c r="F456" s="36">
        <v>15</v>
      </c>
      <c r="G456" t="s" s="35">
        <v>480</v>
      </c>
      <c r="H456" t="s" s="35">
        <v>3976</v>
      </c>
      <c r="I456" t="s" s="120">
        <v>3981</v>
      </c>
      <c r="J456" t="s" s="35">
        <v>1164</v>
      </c>
      <c r="K456" t="s" s="35">
        <v>535</v>
      </c>
      <c r="L456" s="39"/>
      <c r="M456" t="str" s="39">
        <v>Física</v>
      </c>
      <c r="N456" t="str" s="39">
        <v>Movimiento y fuerzas</v>
      </c>
      <c r="O456" t="str" s="39" cm="1">
        <f t="array" ref="O456">IF(L456="","",_xlfn.IFERROR(INDEX('Datos - Catálogo TIMSS'!$C$5:$C$107,MATCH(L456,'Datos - Catálogo TIMSS'!$A$5:$A$107,0)),"?"))</f>
      </c>
      <c r="P456" t="s" s="35">
        <v>282</v>
      </c>
      <c r="Q456" t="s" s="120">
        <v>3982</v>
      </c>
      <c r="R456" t="s" s="120">
        <v>2154</v>
      </c>
      <c r="S456" s="121" cm="1">
        <f t="array" ref="S456">_xlfn.IFERROR(ISNUMBER(SEARCH("Conocer",$R456))/(ISNUMBER(SEARCH("Conocer",$R456))+ISNUMBER(SEARCH("Aplicar",$R456))+ISNUMBER(SEARCH("Razonar",$R456))),0)</f>
        <v>0</v>
      </c>
      <c r="T456" s="121" cm="1">
        <f t="array" ref="T456">_xlfn.IFERROR(ISNUMBER(SEARCH("Aplicar",$R456))/(ISNUMBER(SEARCH("Conocer",$R456))+ISNUMBER(SEARCH("Aplicar",$R456))+ISNUMBER(SEARCH("Razonar",$R456))),0)</f>
        <v>0</v>
      </c>
      <c r="U456" s="121" cm="1">
        <f t="array" ref="U456">_xlfn.IFERROR(ISNUMBER(SEARCH("Razonar",$R456))/(ISNUMBER(SEARCH("Conocer",$R456))+ISNUMBER(SEARCH("Aplicar",$R456))+ISNUMBER(SEARCH("Razonar",$R456))),0)</f>
        <v>1</v>
      </c>
      <c r="V456" t="s" s="35">
        <v>86</v>
      </c>
      <c r="W456" t="s" s="35">
        <v>115</v>
      </c>
      <c r="X456" s="36" cm="1">
        <f t="array" ref="X456">IF(OR(_xlfn.IFERROR(INDEX('Datos - Catálogo TIMSS'!$I$5:$I$107,MATCH(K456,'Datos - Catálogo TIMSS'!$A$5:$A$107,0)),"No")="Sí",_xlfn.IFERROR(INDEX('Datos - Catálogo TIMSS'!$I$5:$I$107,MATCH(L456,'Datos - Catálogo TIMSS'!$A$5:$A$107,0)),"No")="Sí"),1,0)</f>
        <v>0</v>
      </c>
      <c r="Y456" s="36" cm="1">
        <f t="array" ref="Y456">IF(_xlfn.IFERROR(INDEX('Datos - Catálogo TIMSS'!$J$5:$J$107,MATCH(K456,'Datos - Catálogo TIMSS'!$A$5:$A$107,0)),"No")="Sí",1,0)</f>
        <v>0</v>
      </c>
      <c r="Z456" s="36" cm="1">
        <f t="array" ref="Z456">IF(_xlfn.IFERROR(INDEX('Datos - Catálogo TIMSS'!$J$5:$J$107,MATCH(L456,'Datos - Catálogo TIMSS'!$A$5:$A$107,0)),"No")="Sí",1,0)</f>
        <v>0</v>
      </c>
      <c r="AA456" t="s" s="35">
        <v>2908</v>
      </c>
      <c r="AB456" s="39"/>
      <c r="AC456" t="str" s="39">
        <v>Física</v>
      </c>
      <c r="AD456" t="s" s="35">
        <v>1834</v>
      </c>
      <c r="AE456" t="str" s="39" cm="1">
        <f t="array" ref="AE456">IF(AD456="","",IF(LEFT(AD456,1)="1","C1",IF(LEFT(AD456,1)="2","C2",IF(LEFT(AD456,1)="3","C3",""))))</f>
        <v>C2</v>
      </c>
      <c r="AF456" t="s" s="35">
        <v>1602</v>
      </c>
      <c r="AG456" t="s" s="35">
        <v>1617</v>
      </c>
      <c r="AH456" t="s" s="35">
        <v>1602</v>
      </c>
      <c r="AI456" t="s" s="35">
        <v>1619</v>
      </c>
      <c r="AJ456" t="s" s="35">
        <v>1607</v>
      </c>
      <c r="AK456" t="s" s="35">
        <v>838</v>
      </c>
      <c r="AL456" s="39"/>
      <c r="AM456" t="str" s="39" cm="1">
        <f t="array" ref="AM456">IF(AK456="FUERA","Fuera del marco",_xlfn.IFERROR(INDEX('Datos - Catálogo PISA'!$C$5:$C$76,MATCH(AK456,'Datos - Catálogo PISA'!$A$5:$A$76,0)),"?"))</f>
        <v>Sistemas físicos</v>
      </c>
      <c r="AN456" t="s" s="35">
        <v>1651</v>
      </c>
      <c r="AO456" s="39"/>
      <c r="AP456" s="39"/>
      <c r="AQ456" t="s" s="35">
        <v>1751</v>
      </c>
      <c r="AR456" t="s" s="35">
        <v>1768</v>
      </c>
      <c r="AS456" t="s" s="35">
        <v>1771</v>
      </c>
      <c r="AT456" t="s" s="35">
        <v>282</v>
      </c>
      <c r="AU456" t="s" s="35">
        <v>3983</v>
      </c>
      <c r="AV456" t="s" s="35">
        <v>139</v>
      </c>
      <c r="AW456" t="str" s="39" cm="1">
        <f t="array" ref="AW456">AF456&amp;"; "&amp;AG456&amp;"; "&amp;AH456&amp;"; "&amp;AI456&amp;"; "&amp;AJ456</f>
        <v>E1; D1; E1; D2; E3</v>
      </c>
    </row>
    <row r="457" ht="13.65" customHeight="1">
      <c r="A457" t="s" s="35">
        <v>3984</v>
      </c>
      <c r="B457" s="36">
        <v>8</v>
      </c>
      <c r="C457" t="s" s="35">
        <v>1823</v>
      </c>
      <c r="D457" t="s" s="35">
        <v>3919</v>
      </c>
      <c r="E457" t="s" s="35">
        <v>3920</v>
      </c>
      <c r="F457" s="36">
        <v>16</v>
      </c>
      <c r="G457" t="s" s="35">
        <v>480</v>
      </c>
      <c r="H457" t="s" s="35">
        <v>3976</v>
      </c>
      <c r="I457" t="s" s="120">
        <v>3985</v>
      </c>
      <c r="J457" t="s" s="35">
        <v>1164</v>
      </c>
      <c r="K457" t="s" s="35">
        <v>535</v>
      </c>
      <c r="L457" s="39"/>
      <c r="M457" t="str" s="39">
        <v>Física</v>
      </c>
      <c r="N457" t="str" s="39">
        <v>Movimiento y fuerzas</v>
      </c>
      <c r="O457" t="str" s="39" cm="1">
        <f t="array" ref="O457">IF(L457="","",_xlfn.IFERROR(INDEX('Datos - Catálogo TIMSS'!$C$5:$C$107,MATCH(L457,'Datos - Catálogo TIMSS'!$A$5:$A$107,0)),"?"))</f>
      </c>
      <c r="P457" t="s" s="35">
        <v>291</v>
      </c>
      <c r="Q457" t="s" s="120">
        <v>3986</v>
      </c>
      <c r="R457" t="s" s="120">
        <v>2962</v>
      </c>
      <c r="S457" s="121" cm="1">
        <f t="array" ref="S457">_xlfn.IFERROR(ISNUMBER(SEARCH("Conocer",$R457))/(ISNUMBER(SEARCH("Conocer",$R457))+ISNUMBER(SEARCH("Aplicar",$R457))+ISNUMBER(SEARCH("Razonar",$R457))),0)</f>
        <v>0</v>
      </c>
      <c r="T457" s="121" cm="1">
        <f t="array" ref="T457">_xlfn.IFERROR(ISNUMBER(SEARCH("Aplicar",$R457))/(ISNUMBER(SEARCH("Conocer",$R457))+ISNUMBER(SEARCH("Aplicar",$R457))+ISNUMBER(SEARCH("Razonar",$R457))),0)</f>
        <v>1</v>
      </c>
      <c r="U457" s="121" cm="1">
        <f t="array" ref="U457">_xlfn.IFERROR(ISNUMBER(SEARCH("Razonar",$R457))/(ISNUMBER(SEARCH("Conocer",$R457))+ISNUMBER(SEARCH("Aplicar",$R457))+ISNUMBER(SEARCH("Razonar",$R457))),0)</f>
        <v>0</v>
      </c>
      <c r="V457" t="s" s="35">
        <v>86</v>
      </c>
      <c r="W457" t="s" s="35">
        <v>115</v>
      </c>
      <c r="X457" s="36" cm="1">
        <f t="array" ref="X457">IF(OR(_xlfn.IFERROR(INDEX('Datos - Catálogo TIMSS'!$I$5:$I$107,MATCH(K457,'Datos - Catálogo TIMSS'!$A$5:$A$107,0)),"No")="Sí",_xlfn.IFERROR(INDEX('Datos - Catálogo TIMSS'!$I$5:$I$107,MATCH(L457,'Datos - Catálogo TIMSS'!$A$5:$A$107,0)),"No")="Sí"),1,0)</f>
        <v>0</v>
      </c>
      <c r="Y457" s="36" cm="1">
        <f t="array" ref="Y457">IF(_xlfn.IFERROR(INDEX('Datos - Catálogo TIMSS'!$J$5:$J$107,MATCH(K457,'Datos - Catálogo TIMSS'!$A$5:$A$107,0)),"No")="Sí",1,0)</f>
        <v>0</v>
      </c>
      <c r="Z457" s="36" cm="1">
        <f t="array" ref="Z457">IF(_xlfn.IFERROR(INDEX('Datos - Catálogo TIMSS'!$J$5:$J$107,MATCH(L457,'Datos - Catálogo TIMSS'!$A$5:$A$107,0)),"No")="Sí",1,0)</f>
        <v>0</v>
      </c>
      <c r="AA457" t="s" s="35">
        <v>2908</v>
      </c>
      <c r="AB457" s="39"/>
      <c r="AC457" t="str" s="39">
        <v>Física</v>
      </c>
      <c r="AD457" t="s" s="35">
        <v>1834</v>
      </c>
      <c r="AE457" t="str" s="39" cm="1">
        <f t="array" ref="AE457">IF(AD457="","",IF(LEFT(AD457,1)="1","C1",IF(LEFT(AD457,1)="2","C2",IF(LEFT(AD457,1)="3","C3",""))))</f>
        <v>C2</v>
      </c>
      <c r="AF457" t="s" s="35">
        <v>1602</v>
      </c>
      <c r="AG457" t="s" s="35">
        <v>1617</v>
      </c>
      <c r="AH457" t="s" s="35">
        <v>1602</v>
      </c>
      <c r="AI457" t="s" s="35">
        <v>1623</v>
      </c>
      <c r="AJ457" t="s" s="35">
        <v>1607</v>
      </c>
      <c r="AK457" t="s" s="35">
        <v>838</v>
      </c>
      <c r="AL457" s="39"/>
      <c r="AM457" t="str" s="39" cm="1">
        <f t="array" ref="AM457">IF(AK457="FUERA","Fuera del marco",_xlfn.IFERROR(INDEX('Datos - Catálogo PISA'!$C$5:$C$76,MATCH(AK457,'Datos - Catálogo PISA'!$A$5:$A$76,0)),"?"))</f>
        <v>Sistemas físicos</v>
      </c>
      <c r="AN457" t="s" s="35">
        <v>1651</v>
      </c>
      <c r="AO457" s="39"/>
      <c r="AP457" s="39"/>
      <c r="AQ457" t="s" s="35">
        <v>1756</v>
      </c>
      <c r="AR457" s="39"/>
      <c r="AS457" t="s" s="35">
        <v>1771</v>
      </c>
      <c r="AT457" t="s" s="35">
        <v>254</v>
      </c>
      <c r="AU457" t="s" s="35">
        <v>3987</v>
      </c>
      <c r="AV457" t="s" s="35">
        <v>139</v>
      </c>
      <c r="AW457" t="str" s="39" cm="1">
        <f t="array" ref="AW457">AF457&amp;"; "&amp;AG457&amp;"; "&amp;AH457&amp;"; "&amp;AI457&amp;"; "&amp;AJ457</f>
        <v>E1; D1; E1; D4; E3</v>
      </c>
    </row>
    <row r="458" ht="13.65" customHeight="1">
      <c r="A458" t="s" s="35">
        <v>3988</v>
      </c>
      <c r="B458" s="36">
        <v>8</v>
      </c>
      <c r="C458" t="s" s="35">
        <v>1823</v>
      </c>
      <c r="D458" t="s" s="35">
        <v>3919</v>
      </c>
      <c r="E458" t="s" s="35">
        <v>1904</v>
      </c>
      <c r="F458" s="36">
        <v>3</v>
      </c>
      <c r="G458" t="s" s="35">
        <v>573</v>
      </c>
      <c r="H458" t="s" s="35">
        <v>3989</v>
      </c>
      <c r="I458" t="s" s="120">
        <v>3990</v>
      </c>
      <c r="J458" t="s" s="35">
        <v>1164</v>
      </c>
      <c r="K458" t="s" s="35">
        <v>535</v>
      </c>
      <c r="L458" t="s" s="35">
        <v>575</v>
      </c>
      <c r="M458" t="str" s="39">
        <v>Física</v>
      </c>
      <c r="N458" t="str" s="39">
        <v>Movimiento y fuerzas</v>
      </c>
      <c r="O458" t="str" s="39" cm="1">
        <f t="array" ref="O458">IF(L458="","",_xlfn.IFERROR(INDEX('Datos - Catálogo TIMSS'!$C$5:$C$107,MATCH(L458,'Datos - Catálogo TIMSS'!$A$5:$A$107,0)),"?"))</f>
        <v>Física</v>
      </c>
      <c r="P458" t="s" s="35">
        <v>254</v>
      </c>
      <c r="Q458" t="s" s="120">
        <v>3991</v>
      </c>
      <c r="R458" t="s" s="120">
        <v>3992</v>
      </c>
      <c r="S458" s="121" cm="1">
        <f t="array" ref="S458">_xlfn.IFERROR(ISNUMBER(SEARCH("Conocer",$R458))/(ISNUMBER(SEARCH("Conocer",$R458))+ISNUMBER(SEARCH("Aplicar",$R458))+ISNUMBER(SEARCH("Razonar",$R458))),0)</f>
        <v>0.5</v>
      </c>
      <c r="T458" s="121" cm="1">
        <f t="array" ref="T458">_xlfn.IFERROR(ISNUMBER(SEARCH("Aplicar",$R458))/(ISNUMBER(SEARCH("Conocer",$R458))+ISNUMBER(SEARCH("Aplicar",$R458))+ISNUMBER(SEARCH("Razonar",$R458))),0)</f>
        <v>0.5</v>
      </c>
      <c r="U458" s="121" cm="1">
        <f t="array" ref="U458">_xlfn.IFERROR(ISNUMBER(SEARCH("Razonar",$R458))/(ISNUMBER(SEARCH("Conocer",$R458))+ISNUMBER(SEARCH("Aplicar",$R458))+ISNUMBER(SEARCH("Razonar",$R458))),0)</f>
        <v>0</v>
      </c>
      <c r="V458" t="s" s="35">
        <v>86</v>
      </c>
      <c r="W458" t="s" s="35">
        <v>115</v>
      </c>
      <c r="X458" s="36" cm="1">
        <f t="array" ref="X458">IF(OR(_xlfn.IFERROR(INDEX('Datos - Catálogo TIMSS'!$I$5:$I$107,MATCH(K458,'Datos - Catálogo TIMSS'!$A$5:$A$107,0)),"No")="Sí",_xlfn.IFERROR(INDEX('Datos - Catálogo TIMSS'!$I$5:$I$107,MATCH(L458,'Datos - Catálogo TIMSS'!$A$5:$A$107,0)),"No")="Sí"),1,0)</f>
        <v>0</v>
      </c>
      <c r="Y458" s="36" cm="1">
        <f t="array" ref="Y458">IF(_xlfn.IFERROR(INDEX('Datos - Catálogo TIMSS'!$J$5:$J$107,MATCH(K458,'Datos - Catálogo TIMSS'!$A$5:$A$107,0)),"No")="Sí",1,0)</f>
        <v>0</v>
      </c>
      <c r="Z458" s="36" cm="1">
        <f t="array" ref="Z458">IF(_xlfn.IFERROR(INDEX('Datos - Catálogo TIMSS'!$J$5:$J$107,MATCH(L458,'Datos - Catálogo TIMSS'!$A$5:$A$107,0)),"No")="Sí",1,0)</f>
        <v>0</v>
      </c>
      <c r="AA458" t="s" s="35">
        <v>2908</v>
      </c>
      <c r="AB458" t="s" s="35">
        <v>2929</v>
      </c>
      <c r="AC458" t="str" s="39">
        <v>Física</v>
      </c>
      <c r="AD458" t="s" s="35">
        <v>1859</v>
      </c>
      <c r="AE458" t="str" s="39" cm="1">
        <f t="array" ref="AE458">IF(AD458="","",IF(LEFT(AD458,1)="1","C1",IF(LEFT(AD458,1)="2","C2",IF(LEFT(AD458,1)="3","C3",""))))</f>
        <v>C1</v>
      </c>
      <c r="AF458" t="s" s="35">
        <v>1602</v>
      </c>
      <c r="AG458" t="s" s="35">
        <v>1617</v>
      </c>
      <c r="AH458" t="s" s="35">
        <v>1602</v>
      </c>
      <c r="AI458" t="s" s="35">
        <v>1623</v>
      </c>
      <c r="AJ458" t="s" s="35">
        <v>1602</v>
      </c>
      <c r="AK458" t="s" s="35">
        <v>854</v>
      </c>
      <c r="AL458" t="s" s="35">
        <v>838</v>
      </c>
      <c r="AM458" t="str" s="39" cm="1">
        <f t="array" ref="AM458">IF(AK458="FUERA","Fuera del marco",_xlfn.IFERROR(INDEX('Datos - Catálogo PISA'!$C$5:$C$76,MATCH(AK458,'Datos - Catálogo PISA'!$A$5:$A$76,0)),"?"))</f>
        <v>Sistemas físicos</v>
      </c>
      <c r="AN458" t="s" s="35">
        <v>1651</v>
      </c>
      <c r="AO458" s="39"/>
      <c r="AP458" s="39"/>
      <c r="AQ458" t="s" s="35">
        <v>1756</v>
      </c>
      <c r="AR458" s="39"/>
      <c r="AS458" t="s" s="35">
        <v>1771</v>
      </c>
      <c r="AT458" t="s" s="35">
        <v>254</v>
      </c>
      <c r="AU458" t="s" s="35">
        <v>3993</v>
      </c>
      <c r="AV458" t="s" s="35">
        <v>139</v>
      </c>
      <c r="AW458" t="str" s="39" cm="1">
        <f t="array" ref="AW458">AF458&amp;"; "&amp;AG458&amp;"; "&amp;AH458&amp;"; "&amp;AI458&amp;"; "&amp;AJ458</f>
        <v>E1; D1; E1; D4; E1</v>
      </c>
    </row>
    <row r="459" ht="13.65" customHeight="1">
      <c r="A459" t="s" s="35">
        <v>3994</v>
      </c>
      <c r="B459" s="36">
        <v>8</v>
      </c>
      <c r="C459" t="s" s="35">
        <v>1823</v>
      </c>
      <c r="D459" t="s" s="35">
        <v>3919</v>
      </c>
      <c r="E459" t="s" s="35">
        <v>1904</v>
      </c>
      <c r="F459" s="36">
        <v>4</v>
      </c>
      <c r="G459" t="s" s="35">
        <v>573</v>
      </c>
      <c r="H459" t="s" s="35">
        <v>3989</v>
      </c>
      <c r="I459" t="s" s="120">
        <v>3995</v>
      </c>
      <c r="J459" t="s" s="35">
        <v>1164</v>
      </c>
      <c r="K459" t="s" s="35">
        <v>575</v>
      </c>
      <c r="L459" s="39"/>
      <c r="M459" t="str" s="39">
        <v>Física</v>
      </c>
      <c r="N459" t="str" s="39">
        <v>Transformación y transferencia de energía</v>
      </c>
      <c r="O459" t="str" s="39" cm="1">
        <f t="array" ref="O459">IF(L459="","",_xlfn.IFERROR(INDEX('Datos - Catálogo TIMSS'!$C$5:$C$107,MATCH(L459,'Datos - Catálogo TIMSS'!$A$5:$A$107,0)),"?"))</f>
      </c>
      <c r="P459" t="s" s="35">
        <v>282</v>
      </c>
      <c r="Q459" t="s" s="120">
        <v>3996</v>
      </c>
      <c r="R459" t="s" s="120">
        <v>3943</v>
      </c>
      <c r="S459" s="121" cm="1">
        <f t="array" ref="S459">_xlfn.IFERROR(ISNUMBER(SEARCH("Conocer",$R459))/(ISNUMBER(SEARCH("Conocer",$R459))+ISNUMBER(SEARCH("Aplicar",$R459))+ISNUMBER(SEARCH("Razonar",$R459))),0)</f>
        <v>0</v>
      </c>
      <c r="T459" s="121" cm="1">
        <f t="array" ref="T459">_xlfn.IFERROR(ISNUMBER(SEARCH("Aplicar",$R459))/(ISNUMBER(SEARCH("Conocer",$R459))+ISNUMBER(SEARCH("Aplicar",$R459))+ISNUMBER(SEARCH("Razonar",$R459))),0)</f>
        <v>1</v>
      </c>
      <c r="U459" s="121" cm="1">
        <f t="array" ref="U459">_xlfn.IFERROR(ISNUMBER(SEARCH("Razonar",$R459))/(ISNUMBER(SEARCH("Conocer",$R459))+ISNUMBER(SEARCH("Aplicar",$R459))+ISNUMBER(SEARCH("Razonar",$R459))),0)</f>
        <v>0</v>
      </c>
      <c r="V459" t="s" s="35">
        <v>86</v>
      </c>
      <c r="W459" t="s" s="35">
        <v>115</v>
      </c>
      <c r="X459" s="36" cm="1">
        <f t="array" ref="X459">IF(OR(_xlfn.IFERROR(INDEX('Datos - Catálogo TIMSS'!$I$5:$I$107,MATCH(K459,'Datos - Catálogo TIMSS'!$A$5:$A$107,0)),"No")="Sí",_xlfn.IFERROR(INDEX('Datos - Catálogo TIMSS'!$I$5:$I$107,MATCH(L459,'Datos - Catálogo TIMSS'!$A$5:$A$107,0)),"No")="Sí"),1,0)</f>
        <v>0</v>
      </c>
      <c r="Y459" s="36" cm="1">
        <f t="array" ref="Y459">IF(_xlfn.IFERROR(INDEX('Datos - Catálogo TIMSS'!$J$5:$J$107,MATCH(K459,'Datos - Catálogo TIMSS'!$A$5:$A$107,0)),"No")="Sí",1,0)</f>
        <v>0</v>
      </c>
      <c r="Z459" s="36" cm="1">
        <f t="array" ref="Z459">IF(_xlfn.IFERROR(INDEX('Datos - Catálogo TIMSS'!$J$5:$J$107,MATCH(L459,'Datos - Catálogo TIMSS'!$A$5:$A$107,0)),"No")="Sí",1,0)</f>
        <v>0</v>
      </c>
      <c r="AA459" t="s" s="35">
        <v>2929</v>
      </c>
      <c r="AB459" s="39"/>
      <c r="AC459" t="str" s="39">
        <v>Física</v>
      </c>
      <c r="AD459" t="s" s="35">
        <v>1834</v>
      </c>
      <c r="AE459" t="str" s="39" cm="1">
        <f t="array" ref="AE459">IF(AD459="","",IF(LEFT(AD459,1)="1","C1",IF(LEFT(AD459,1)="2","C2",IF(LEFT(AD459,1)="3","C3",""))))</f>
        <v>C2</v>
      </c>
      <c r="AF459" t="s" s="35">
        <v>1602</v>
      </c>
      <c r="AG459" t="s" s="35">
        <v>1617</v>
      </c>
      <c r="AH459" t="s" s="35">
        <v>1602</v>
      </c>
      <c r="AI459" t="s" s="35">
        <v>1623</v>
      </c>
      <c r="AJ459" t="s" s="35">
        <v>1607</v>
      </c>
      <c r="AK459" t="s" s="35">
        <v>854</v>
      </c>
      <c r="AL459" t="s" s="35">
        <v>838</v>
      </c>
      <c r="AM459" t="str" s="39" cm="1">
        <f t="array" ref="AM459">IF(AK459="FUERA","Fuera del marco",_xlfn.IFERROR(INDEX('Datos - Catálogo PISA'!$C$5:$C$76,MATCH(AK459,'Datos - Catálogo PISA'!$A$5:$A$76,0)),"?"))</f>
        <v>Sistemas físicos</v>
      </c>
      <c r="AN459" t="s" s="35">
        <v>1651</v>
      </c>
      <c r="AO459" s="39"/>
      <c r="AP459" s="39"/>
      <c r="AQ459" t="s" s="35">
        <v>1756</v>
      </c>
      <c r="AR459" s="39"/>
      <c r="AS459" t="s" s="35">
        <v>1771</v>
      </c>
      <c r="AT459" t="s" s="35">
        <v>254</v>
      </c>
      <c r="AU459" t="s" s="35">
        <v>3997</v>
      </c>
      <c r="AV459" t="s" s="35">
        <v>139</v>
      </c>
      <c r="AW459" t="str" s="39" cm="1">
        <f t="array" ref="AW459">AF459&amp;"; "&amp;AG459&amp;"; "&amp;AH459&amp;"; "&amp;AI459&amp;"; "&amp;AJ459</f>
        <v>E1; D1; E1; D4; E3</v>
      </c>
    </row>
    <row r="460" ht="13.65" customHeight="1">
      <c r="A460" t="s" s="35">
        <v>3998</v>
      </c>
      <c r="B460" s="36">
        <v>8</v>
      </c>
      <c r="C460" t="s" s="35">
        <v>1823</v>
      </c>
      <c r="D460" t="s" s="35">
        <v>3919</v>
      </c>
      <c r="E460" t="s" s="35">
        <v>1904</v>
      </c>
      <c r="F460" s="36">
        <v>5</v>
      </c>
      <c r="G460" t="s" s="35">
        <v>573</v>
      </c>
      <c r="H460" t="s" s="35">
        <v>3989</v>
      </c>
      <c r="I460" t="s" s="120">
        <v>3999</v>
      </c>
      <c r="J460" t="s" s="35">
        <v>1164</v>
      </c>
      <c r="K460" t="s" s="35">
        <v>575</v>
      </c>
      <c r="L460" s="39"/>
      <c r="M460" t="str" s="39">
        <v>Física</v>
      </c>
      <c r="N460" t="str" s="39">
        <v>Transformación y transferencia de energía</v>
      </c>
      <c r="O460" t="str" s="39" cm="1">
        <f t="array" ref="O460">IF(L460="","",_xlfn.IFERROR(INDEX('Datos - Catálogo TIMSS'!$C$5:$C$107,MATCH(L460,'Datos - Catálogo TIMSS'!$A$5:$A$107,0)),"?"))</f>
      </c>
      <c r="P460" t="s" s="35">
        <v>282</v>
      </c>
      <c r="Q460" t="s" s="120">
        <v>4000</v>
      </c>
      <c r="R460" t="s" s="120">
        <v>4001</v>
      </c>
      <c r="S460" s="121" cm="1">
        <f t="array" ref="S460">_xlfn.IFERROR(ISNUMBER(SEARCH("Conocer",$R460))/(ISNUMBER(SEARCH("Conocer",$R460))+ISNUMBER(SEARCH("Aplicar",$R460))+ISNUMBER(SEARCH("Razonar",$R460))),0)</f>
        <v>0</v>
      </c>
      <c r="T460" s="121" cm="1">
        <f t="array" ref="T460">_xlfn.IFERROR(ISNUMBER(SEARCH("Aplicar",$R460))/(ISNUMBER(SEARCH("Conocer",$R460))+ISNUMBER(SEARCH("Aplicar",$R460))+ISNUMBER(SEARCH("Razonar",$R460))),0)</f>
        <v>1</v>
      </c>
      <c r="U460" s="121" cm="1">
        <f t="array" ref="U460">_xlfn.IFERROR(ISNUMBER(SEARCH("Razonar",$R460))/(ISNUMBER(SEARCH("Conocer",$R460))+ISNUMBER(SEARCH("Aplicar",$R460))+ISNUMBER(SEARCH("Razonar",$R460))),0)</f>
        <v>0</v>
      </c>
      <c r="V460" t="s" s="35">
        <v>86</v>
      </c>
      <c r="W460" t="s" s="35">
        <v>115</v>
      </c>
      <c r="X460" s="36" cm="1">
        <f t="array" ref="X460">IF(OR(_xlfn.IFERROR(INDEX('Datos - Catálogo TIMSS'!$I$5:$I$107,MATCH(K460,'Datos - Catálogo TIMSS'!$A$5:$A$107,0)),"No")="Sí",_xlfn.IFERROR(INDEX('Datos - Catálogo TIMSS'!$I$5:$I$107,MATCH(L460,'Datos - Catálogo TIMSS'!$A$5:$A$107,0)),"No")="Sí"),1,0)</f>
        <v>0</v>
      </c>
      <c r="Y460" s="36" cm="1">
        <f t="array" ref="Y460">IF(_xlfn.IFERROR(INDEX('Datos - Catálogo TIMSS'!$J$5:$J$107,MATCH(K460,'Datos - Catálogo TIMSS'!$A$5:$A$107,0)),"No")="Sí",1,0)</f>
        <v>0</v>
      </c>
      <c r="Z460" s="36" cm="1">
        <f t="array" ref="Z460">IF(_xlfn.IFERROR(INDEX('Datos - Catálogo TIMSS'!$J$5:$J$107,MATCH(L460,'Datos - Catálogo TIMSS'!$A$5:$A$107,0)),"No")="Sí",1,0)</f>
        <v>0</v>
      </c>
      <c r="AA460" t="s" s="35">
        <v>2929</v>
      </c>
      <c r="AB460" s="39"/>
      <c r="AC460" t="str" s="39">
        <v>Física</v>
      </c>
      <c r="AD460" t="s" s="35">
        <v>1834</v>
      </c>
      <c r="AE460" t="str" s="39" cm="1">
        <f t="array" ref="AE460">IF(AD460="","",IF(LEFT(AD460,1)="1","C1",IF(LEFT(AD460,1)="2","C2",IF(LEFT(AD460,1)="3","C3",""))))</f>
        <v>C2</v>
      </c>
      <c r="AF460" t="s" s="35">
        <v>1602</v>
      </c>
      <c r="AG460" t="s" s="35">
        <v>1617</v>
      </c>
      <c r="AH460" t="s" s="35">
        <v>1602</v>
      </c>
      <c r="AI460" t="s" s="35">
        <v>1623</v>
      </c>
      <c r="AJ460" t="s" s="35">
        <v>1602</v>
      </c>
      <c r="AK460" t="s" s="35">
        <v>854</v>
      </c>
      <c r="AL460" s="39"/>
      <c r="AM460" t="str" s="39" cm="1">
        <f t="array" ref="AM460">IF(AK460="FUERA","Fuera del marco",_xlfn.IFERROR(INDEX('Datos - Catálogo PISA'!$C$5:$C$76,MATCH(AK460,'Datos - Catálogo PISA'!$A$5:$A$76,0)),"?"))</f>
        <v>Sistemas físicos</v>
      </c>
      <c r="AN460" t="s" s="35">
        <v>1651</v>
      </c>
      <c r="AO460" s="39"/>
      <c r="AP460" s="39"/>
      <c r="AQ460" t="s" s="35">
        <v>1756</v>
      </c>
      <c r="AR460" s="39"/>
      <c r="AS460" t="s" s="35">
        <v>1771</v>
      </c>
      <c r="AT460" t="s" s="35">
        <v>254</v>
      </c>
      <c r="AU460" t="s" s="35">
        <v>4002</v>
      </c>
      <c r="AV460" t="s" s="35">
        <v>139</v>
      </c>
      <c r="AW460" t="str" s="39" cm="1">
        <f t="array" ref="AW460">AF460&amp;"; "&amp;AG460&amp;"; "&amp;AH460&amp;"; "&amp;AI460&amp;"; "&amp;AJ460</f>
        <v>E1; D1; E1; D4; E1</v>
      </c>
    </row>
    <row r="461" ht="13.65" customHeight="1">
      <c r="A461" t="s" s="35">
        <v>4003</v>
      </c>
      <c r="B461" s="36">
        <v>8</v>
      </c>
      <c r="C461" t="s" s="35">
        <v>1823</v>
      </c>
      <c r="D461" t="s" s="35">
        <v>3919</v>
      </c>
      <c r="E461" t="s" s="35">
        <v>1904</v>
      </c>
      <c r="F461" s="36">
        <v>6</v>
      </c>
      <c r="G461" t="s" s="35">
        <v>573</v>
      </c>
      <c r="H461" t="s" s="35">
        <v>4004</v>
      </c>
      <c r="I461" t="s" s="120">
        <v>4005</v>
      </c>
      <c r="J461" t="s" s="35">
        <v>1164</v>
      </c>
      <c r="K461" t="s" s="35">
        <v>575</v>
      </c>
      <c r="L461" s="39"/>
      <c r="M461" t="str" s="39">
        <v>Física</v>
      </c>
      <c r="N461" t="str" s="39">
        <v>Transformación y transferencia de energía</v>
      </c>
      <c r="O461" t="str" s="39" cm="1">
        <f t="array" ref="O461">IF(L461="","",_xlfn.IFERROR(INDEX('Datos - Catálogo TIMSS'!$C$5:$C$107,MATCH(L461,'Datos - Catálogo TIMSS'!$A$5:$A$107,0)),"?"))</f>
      </c>
      <c r="P461" t="s" s="35">
        <v>291</v>
      </c>
      <c r="Q461" t="s" s="120">
        <v>4006</v>
      </c>
      <c r="R461" t="s" s="120">
        <v>4007</v>
      </c>
      <c r="S461" s="121" cm="1">
        <f t="array" ref="S461">_xlfn.IFERROR(ISNUMBER(SEARCH("Conocer",$R461))/(ISNUMBER(SEARCH("Conocer",$R461))+ISNUMBER(SEARCH("Aplicar",$R461))+ISNUMBER(SEARCH("Razonar",$R461))),0)</f>
        <v>1</v>
      </c>
      <c r="T461" s="121" cm="1">
        <f t="array" ref="T461">_xlfn.IFERROR(ISNUMBER(SEARCH("Aplicar",$R461))/(ISNUMBER(SEARCH("Conocer",$R461))+ISNUMBER(SEARCH("Aplicar",$R461))+ISNUMBER(SEARCH("Razonar",$R461))),0)</f>
        <v>0</v>
      </c>
      <c r="U461" s="121" cm="1">
        <f t="array" ref="U461">_xlfn.IFERROR(ISNUMBER(SEARCH("Razonar",$R461))/(ISNUMBER(SEARCH("Conocer",$R461))+ISNUMBER(SEARCH("Aplicar",$R461))+ISNUMBER(SEARCH("Razonar",$R461))),0)</f>
        <v>0</v>
      </c>
      <c r="V461" t="s" s="35">
        <v>86</v>
      </c>
      <c r="W461" t="s" s="35">
        <v>115</v>
      </c>
      <c r="X461" s="36" cm="1">
        <f t="array" ref="X461">IF(OR(_xlfn.IFERROR(INDEX('Datos - Catálogo TIMSS'!$I$5:$I$107,MATCH(K461,'Datos - Catálogo TIMSS'!$A$5:$A$107,0)),"No")="Sí",_xlfn.IFERROR(INDEX('Datos - Catálogo TIMSS'!$I$5:$I$107,MATCH(L461,'Datos - Catálogo TIMSS'!$A$5:$A$107,0)),"No")="Sí"),1,0)</f>
        <v>0</v>
      </c>
      <c r="Y461" s="36" cm="1">
        <f t="array" ref="Y461">IF(_xlfn.IFERROR(INDEX('Datos - Catálogo TIMSS'!$J$5:$J$107,MATCH(K461,'Datos - Catálogo TIMSS'!$A$5:$A$107,0)),"No")="Sí",1,0)</f>
        <v>0</v>
      </c>
      <c r="Z461" s="36" cm="1">
        <f t="array" ref="Z461">IF(_xlfn.IFERROR(INDEX('Datos - Catálogo TIMSS'!$J$5:$J$107,MATCH(L461,'Datos - Catálogo TIMSS'!$A$5:$A$107,0)),"No")="Sí",1,0)</f>
        <v>0</v>
      </c>
      <c r="AA461" t="s" s="35">
        <v>2929</v>
      </c>
      <c r="AB461" s="39"/>
      <c r="AC461" t="str" s="39">
        <v>Física</v>
      </c>
      <c r="AD461" t="s" s="35">
        <v>1859</v>
      </c>
      <c r="AE461" t="str" s="39" cm="1">
        <f t="array" ref="AE461">IF(AD461="","",IF(LEFT(AD461,1)="1","C1",IF(LEFT(AD461,1)="2","C2",IF(LEFT(AD461,1)="3","C3",""))))</f>
        <v>C1</v>
      </c>
      <c r="AF461" t="s" s="35">
        <v>1602</v>
      </c>
      <c r="AG461" t="s" s="35">
        <v>1617</v>
      </c>
      <c r="AH461" t="s" s="35">
        <v>1602</v>
      </c>
      <c r="AI461" t="s" s="35">
        <v>1623</v>
      </c>
      <c r="AJ461" t="s" s="35">
        <v>1602</v>
      </c>
      <c r="AK461" t="s" s="35">
        <v>854</v>
      </c>
      <c r="AL461" t="s" s="35">
        <v>838</v>
      </c>
      <c r="AM461" t="str" s="39" cm="1">
        <f t="array" ref="AM461">IF(AK461="FUERA","Fuera del marco",_xlfn.IFERROR(INDEX('Datos - Catálogo PISA'!$C$5:$C$76,MATCH(AK461,'Datos - Catálogo PISA'!$A$5:$A$76,0)),"?"))</f>
        <v>Sistemas físicos</v>
      </c>
      <c r="AN461" t="s" s="35">
        <v>1651</v>
      </c>
      <c r="AO461" s="39"/>
      <c r="AP461" s="39"/>
      <c r="AQ461" t="s" s="35">
        <v>1756</v>
      </c>
      <c r="AR461" s="39"/>
      <c r="AS461" t="s" s="35">
        <v>1771</v>
      </c>
      <c r="AT461" t="s" s="35">
        <v>282</v>
      </c>
      <c r="AU461" t="s" s="35">
        <v>4008</v>
      </c>
      <c r="AV461" t="s" s="35">
        <v>139</v>
      </c>
      <c r="AW461" t="str" s="39" cm="1">
        <f t="array" ref="AW461">AF461&amp;"; "&amp;AG461&amp;"; "&amp;AH461&amp;"; "&amp;AI461&amp;"; "&amp;AJ461</f>
        <v>E1; D1; E1; D4; E1</v>
      </c>
    </row>
    <row r="462" ht="13.65" customHeight="1">
      <c r="A462" t="s" s="35">
        <v>4009</v>
      </c>
      <c r="B462" s="36">
        <v>8</v>
      </c>
      <c r="C462" t="s" s="35">
        <v>1823</v>
      </c>
      <c r="D462" t="s" s="35">
        <v>3919</v>
      </c>
      <c r="E462" t="s" s="35">
        <v>1904</v>
      </c>
      <c r="F462" s="36">
        <v>7</v>
      </c>
      <c r="G462" t="s" s="35">
        <v>573</v>
      </c>
      <c r="H462" t="s" s="35">
        <v>4004</v>
      </c>
      <c r="I462" t="s" s="120">
        <v>4010</v>
      </c>
      <c r="J462" t="s" s="35">
        <v>1164</v>
      </c>
      <c r="K462" t="s" s="35">
        <v>535</v>
      </c>
      <c r="L462" s="39"/>
      <c r="M462" t="str" s="39">
        <v>Física</v>
      </c>
      <c r="N462" t="str" s="39">
        <v>Movimiento y fuerzas</v>
      </c>
      <c r="O462" t="str" s="39" cm="1">
        <f t="array" ref="O462">IF(L462="","",_xlfn.IFERROR(INDEX('Datos - Catálogo TIMSS'!$C$5:$C$107,MATCH(L462,'Datos - Catálogo TIMSS'!$A$5:$A$107,0)),"?"))</f>
      </c>
      <c r="P462" t="s" s="35">
        <v>291</v>
      </c>
      <c r="Q462" t="s" s="120">
        <v>4011</v>
      </c>
      <c r="R462" t="s" s="120">
        <v>1892</v>
      </c>
      <c r="S462" s="121" cm="1">
        <f t="array" ref="S462">_xlfn.IFERROR(ISNUMBER(SEARCH("Conocer",$R462))/(ISNUMBER(SEARCH("Conocer",$R462))+ISNUMBER(SEARCH("Aplicar",$R462))+ISNUMBER(SEARCH("Razonar",$R462))),0)</f>
        <v>0</v>
      </c>
      <c r="T462" s="121" cm="1">
        <f t="array" ref="T462">_xlfn.IFERROR(ISNUMBER(SEARCH("Aplicar",$R462))/(ISNUMBER(SEARCH("Conocer",$R462))+ISNUMBER(SEARCH("Aplicar",$R462))+ISNUMBER(SEARCH("Razonar",$R462))),0)</f>
        <v>0</v>
      </c>
      <c r="U462" s="121" cm="1">
        <f t="array" ref="U462">_xlfn.IFERROR(ISNUMBER(SEARCH("Razonar",$R462))/(ISNUMBER(SEARCH("Conocer",$R462))+ISNUMBER(SEARCH("Aplicar",$R462))+ISNUMBER(SEARCH("Razonar",$R462))),0)</f>
        <v>1</v>
      </c>
      <c r="V462" t="s" s="35">
        <v>86</v>
      </c>
      <c r="W462" t="s" s="35">
        <v>115</v>
      </c>
      <c r="X462" s="36" cm="1">
        <f t="array" ref="X462">IF(OR(_xlfn.IFERROR(INDEX('Datos - Catálogo TIMSS'!$I$5:$I$107,MATCH(K462,'Datos - Catálogo TIMSS'!$A$5:$A$107,0)),"No")="Sí",_xlfn.IFERROR(INDEX('Datos - Catálogo TIMSS'!$I$5:$I$107,MATCH(L462,'Datos - Catálogo TIMSS'!$A$5:$A$107,0)),"No")="Sí"),1,0)</f>
        <v>0</v>
      </c>
      <c r="Y462" s="36" cm="1">
        <f t="array" ref="Y462">IF(_xlfn.IFERROR(INDEX('Datos - Catálogo TIMSS'!$J$5:$J$107,MATCH(K462,'Datos - Catálogo TIMSS'!$A$5:$A$107,0)),"No")="Sí",1,0)</f>
        <v>0</v>
      </c>
      <c r="Z462" s="36" cm="1">
        <f t="array" ref="Z462">IF(_xlfn.IFERROR(INDEX('Datos - Catálogo TIMSS'!$J$5:$J$107,MATCH(L462,'Datos - Catálogo TIMSS'!$A$5:$A$107,0)),"No")="Sí",1,0)</f>
        <v>0</v>
      </c>
      <c r="AA462" t="s" s="35">
        <v>2908</v>
      </c>
      <c r="AB462" s="39"/>
      <c r="AC462" t="str" s="39">
        <v>Física</v>
      </c>
      <c r="AD462" t="s" s="35">
        <v>1834</v>
      </c>
      <c r="AE462" t="str" s="39" cm="1">
        <f t="array" ref="AE462">IF(AD462="","",IF(LEFT(AD462,1)="1","C1",IF(LEFT(AD462,1)="2","C2",IF(LEFT(AD462,1)="3","C3",""))))</f>
        <v>C2</v>
      </c>
      <c r="AF462" t="s" s="35">
        <v>1602</v>
      </c>
      <c r="AG462" t="s" s="35">
        <v>1607</v>
      </c>
      <c r="AH462" t="s" s="35">
        <v>1602</v>
      </c>
      <c r="AI462" t="s" s="35">
        <v>1623</v>
      </c>
      <c r="AJ462" t="s" s="35">
        <v>1615</v>
      </c>
      <c r="AK462" t="s" s="35">
        <v>838</v>
      </c>
      <c r="AL462" t="s" s="35">
        <v>854</v>
      </c>
      <c r="AM462" t="str" s="39" cm="1">
        <f t="array" ref="AM462">IF(AK462="FUERA","Fuera del marco",_xlfn.IFERROR(INDEX('Datos - Catálogo PISA'!$C$5:$C$76,MATCH(AK462,'Datos - Catálogo PISA'!$A$5:$A$76,0)),"?"))</f>
        <v>Sistemas físicos</v>
      </c>
      <c r="AN462" t="s" s="35">
        <v>1651</v>
      </c>
      <c r="AO462" t="s" s="35">
        <v>3488</v>
      </c>
      <c r="AP462" s="39"/>
      <c r="AQ462" t="s" s="35">
        <v>1756</v>
      </c>
      <c r="AR462" s="39"/>
      <c r="AS462" t="s" s="35">
        <v>1771</v>
      </c>
      <c r="AT462" t="s" s="35">
        <v>282</v>
      </c>
      <c r="AU462" t="s" s="35">
        <v>4012</v>
      </c>
      <c r="AV462" t="s" s="35">
        <v>139</v>
      </c>
      <c r="AW462" t="str" s="39" cm="1">
        <f t="array" ref="AW462">AF462&amp;"; "&amp;AG462&amp;"; "&amp;AH462&amp;"; "&amp;AI462&amp;"; "&amp;AJ462</f>
        <v>E1; E3; E1; D4; E6</v>
      </c>
    </row>
    <row r="463" ht="13.65" customHeight="1">
      <c r="A463" t="s" s="35">
        <v>4013</v>
      </c>
      <c r="B463" s="36">
        <v>8</v>
      </c>
      <c r="C463" t="s" s="35">
        <v>1823</v>
      </c>
      <c r="D463" t="s" s="35">
        <v>3919</v>
      </c>
      <c r="E463" t="s" s="35">
        <v>1904</v>
      </c>
      <c r="F463" s="36">
        <v>8</v>
      </c>
      <c r="G463" t="s" s="35">
        <v>573</v>
      </c>
      <c r="H463" t="s" s="35">
        <v>4004</v>
      </c>
      <c r="I463" t="s" s="120">
        <v>4014</v>
      </c>
      <c r="J463" t="s" s="35">
        <v>1164</v>
      </c>
      <c r="K463" t="s" s="35">
        <v>575</v>
      </c>
      <c r="L463" s="39"/>
      <c r="M463" t="str" s="39">
        <v>Física</v>
      </c>
      <c r="N463" t="str" s="39">
        <v>Transformación y transferencia de energía</v>
      </c>
      <c r="O463" t="str" s="39" cm="1">
        <f t="array" ref="O463">IF(L463="","",_xlfn.IFERROR(INDEX('Datos - Catálogo TIMSS'!$C$5:$C$107,MATCH(L463,'Datos - Catálogo TIMSS'!$A$5:$A$107,0)),"?"))</f>
      </c>
      <c r="P463" t="s" s="35">
        <v>254</v>
      </c>
      <c r="Q463" t="s" s="120">
        <v>4015</v>
      </c>
      <c r="R463" t="s" s="120">
        <v>2962</v>
      </c>
      <c r="S463" s="121" cm="1">
        <f t="array" ref="S463">_xlfn.IFERROR(ISNUMBER(SEARCH("Conocer",$R463))/(ISNUMBER(SEARCH("Conocer",$R463))+ISNUMBER(SEARCH("Aplicar",$R463))+ISNUMBER(SEARCH("Razonar",$R463))),0)</f>
        <v>0</v>
      </c>
      <c r="T463" s="121" cm="1">
        <f t="array" ref="T463">_xlfn.IFERROR(ISNUMBER(SEARCH("Aplicar",$R463))/(ISNUMBER(SEARCH("Conocer",$R463))+ISNUMBER(SEARCH("Aplicar",$R463))+ISNUMBER(SEARCH("Razonar",$R463))),0)</f>
        <v>1</v>
      </c>
      <c r="U463" s="121" cm="1">
        <f t="array" ref="U463">_xlfn.IFERROR(ISNUMBER(SEARCH("Razonar",$R463))/(ISNUMBER(SEARCH("Conocer",$R463))+ISNUMBER(SEARCH("Aplicar",$R463))+ISNUMBER(SEARCH("Razonar",$R463))),0)</f>
        <v>0</v>
      </c>
      <c r="V463" t="s" s="35">
        <v>86</v>
      </c>
      <c r="W463" t="s" s="35">
        <v>115</v>
      </c>
      <c r="X463" s="36" cm="1">
        <f t="array" ref="X463">IF(OR(_xlfn.IFERROR(INDEX('Datos - Catálogo TIMSS'!$I$5:$I$107,MATCH(K463,'Datos - Catálogo TIMSS'!$A$5:$A$107,0)),"No")="Sí",_xlfn.IFERROR(INDEX('Datos - Catálogo TIMSS'!$I$5:$I$107,MATCH(L463,'Datos - Catálogo TIMSS'!$A$5:$A$107,0)),"No")="Sí"),1,0)</f>
        <v>0</v>
      </c>
      <c r="Y463" s="36" cm="1">
        <f t="array" ref="Y463">IF(_xlfn.IFERROR(INDEX('Datos - Catálogo TIMSS'!$J$5:$J$107,MATCH(K463,'Datos - Catálogo TIMSS'!$A$5:$A$107,0)),"No")="Sí",1,0)</f>
        <v>0</v>
      </c>
      <c r="Z463" s="36" cm="1">
        <f t="array" ref="Z463">IF(_xlfn.IFERROR(INDEX('Datos - Catálogo TIMSS'!$J$5:$J$107,MATCH(L463,'Datos - Catálogo TIMSS'!$A$5:$A$107,0)),"No")="Sí",1,0)</f>
        <v>0</v>
      </c>
      <c r="AA463" t="s" s="35">
        <v>2929</v>
      </c>
      <c r="AB463" s="39"/>
      <c r="AC463" t="str" s="39">
        <v>Física</v>
      </c>
      <c r="AD463" t="s" s="35">
        <v>1834</v>
      </c>
      <c r="AE463" t="str" s="39" cm="1">
        <f t="array" ref="AE463">IF(AD463="","",IF(LEFT(AD463,1)="1","C1",IF(LEFT(AD463,1)="2","C2",IF(LEFT(AD463,1)="3","C3",""))))</f>
        <v>C2</v>
      </c>
      <c r="AF463" t="s" s="35">
        <v>1602</v>
      </c>
      <c r="AG463" t="s" s="35">
        <v>1617</v>
      </c>
      <c r="AH463" t="s" s="35">
        <v>1602</v>
      </c>
      <c r="AI463" t="s" s="35">
        <v>1623</v>
      </c>
      <c r="AJ463" t="s" s="35">
        <v>1607</v>
      </c>
      <c r="AK463" t="s" s="35">
        <v>854</v>
      </c>
      <c r="AL463" s="39"/>
      <c r="AM463" t="str" s="39" cm="1">
        <f t="array" ref="AM463">IF(AK463="FUERA","Fuera del marco",_xlfn.IFERROR(INDEX('Datos - Catálogo PISA'!$C$5:$C$76,MATCH(AK463,'Datos - Catálogo PISA'!$A$5:$A$76,0)),"?"))</f>
        <v>Sistemas físicos</v>
      </c>
      <c r="AN463" t="s" s="35">
        <v>1651</v>
      </c>
      <c r="AO463" s="39"/>
      <c r="AP463" s="39"/>
      <c r="AQ463" t="s" s="35">
        <v>1756</v>
      </c>
      <c r="AR463" s="39"/>
      <c r="AS463" t="s" s="35">
        <v>1771</v>
      </c>
      <c r="AT463" t="s" s="35">
        <v>254</v>
      </c>
      <c r="AU463" t="s" s="35">
        <v>4016</v>
      </c>
      <c r="AV463" t="s" s="35">
        <v>139</v>
      </c>
      <c r="AW463" t="str" s="39" cm="1">
        <f t="array" ref="AW463">AF463&amp;"; "&amp;AG463&amp;"; "&amp;AH463&amp;"; "&amp;AI463&amp;"; "&amp;AJ463</f>
        <v>E1; D1; E1; D4; E3</v>
      </c>
    </row>
    <row r="464" ht="13.65" customHeight="1">
      <c r="A464" t="s" s="35">
        <v>4017</v>
      </c>
      <c r="B464" s="36">
        <v>8</v>
      </c>
      <c r="C464" t="s" s="35">
        <v>1823</v>
      </c>
      <c r="D464" t="s" s="35">
        <v>3919</v>
      </c>
      <c r="E464" t="s" s="35">
        <v>1904</v>
      </c>
      <c r="F464" s="36">
        <v>9</v>
      </c>
      <c r="G464" t="s" s="35">
        <v>573</v>
      </c>
      <c r="H464" t="s" s="35">
        <v>4018</v>
      </c>
      <c r="I464" t="s" s="120">
        <v>4019</v>
      </c>
      <c r="J464" t="s" s="35">
        <v>1164</v>
      </c>
      <c r="K464" t="s" s="35">
        <v>575</v>
      </c>
      <c r="L464" s="39"/>
      <c r="M464" t="str" s="39">
        <v>Física</v>
      </c>
      <c r="N464" t="str" s="39">
        <v>Transformación y transferencia de energía</v>
      </c>
      <c r="O464" t="str" s="39" cm="1">
        <f t="array" ref="O464">IF(L464="","",_xlfn.IFERROR(INDEX('Datos - Catálogo TIMSS'!$C$5:$C$107,MATCH(L464,'Datos - Catálogo TIMSS'!$A$5:$A$107,0)),"?"))</f>
      </c>
      <c r="P464" t="s" s="35">
        <v>254</v>
      </c>
      <c r="Q464" t="s" s="120">
        <v>4020</v>
      </c>
      <c r="R464" t="s" s="120">
        <v>4021</v>
      </c>
      <c r="S464" s="121" cm="1">
        <f t="array" ref="S464">_xlfn.IFERROR(ISNUMBER(SEARCH("Conocer",$R464))/(ISNUMBER(SEARCH("Conocer",$R464))+ISNUMBER(SEARCH("Aplicar",$R464))+ISNUMBER(SEARCH("Razonar",$R464))),0)</f>
        <v>0</v>
      </c>
      <c r="T464" s="121" cm="1">
        <f t="array" ref="T464">_xlfn.IFERROR(ISNUMBER(SEARCH("Aplicar",$R464))/(ISNUMBER(SEARCH("Conocer",$R464))+ISNUMBER(SEARCH("Aplicar",$R464))+ISNUMBER(SEARCH("Razonar",$R464))),0)</f>
        <v>0</v>
      </c>
      <c r="U464" s="121" cm="1">
        <f t="array" ref="U464">_xlfn.IFERROR(ISNUMBER(SEARCH("Razonar",$R464))/(ISNUMBER(SEARCH("Conocer",$R464))+ISNUMBER(SEARCH("Aplicar",$R464))+ISNUMBER(SEARCH("Razonar",$R464))),0)</f>
        <v>1</v>
      </c>
      <c r="V464" t="s" s="35">
        <v>86</v>
      </c>
      <c r="W464" t="s" s="35">
        <v>115</v>
      </c>
      <c r="X464" s="36" cm="1">
        <f t="array" ref="X464">IF(OR(_xlfn.IFERROR(INDEX('Datos - Catálogo TIMSS'!$I$5:$I$107,MATCH(K464,'Datos - Catálogo TIMSS'!$A$5:$A$107,0)),"No")="Sí",_xlfn.IFERROR(INDEX('Datos - Catálogo TIMSS'!$I$5:$I$107,MATCH(L464,'Datos - Catálogo TIMSS'!$A$5:$A$107,0)),"No")="Sí"),1,0)</f>
        <v>0</v>
      </c>
      <c r="Y464" s="36" cm="1">
        <f t="array" ref="Y464">IF(_xlfn.IFERROR(INDEX('Datos - Catálogo TIMSS'!$J$5:$J$107,MATCH(K464,'Datos - Catálogo TIMSS'!$A$5:$A$107,0)),"No")="Sí",1,0)</f>
        <v>0</v>
      </c>
      <c r="Z464" s="36" cm="1">
        <f t="array" ref="Z464">IF(_xlfn.IFERROR(INDEX('Datos - Catálogo TIMSS'!$J$5:$J$107,MATCH(L464,'Datos - Catálogo TIMSS'!$A$5:$A$107,0)),"No")="Sí",1,0)</f>
        <v>0</v>
      </c>
      <c r="AA464" t="s" s="35">
        <v>2929</v>
      </c>
      <c r="AB464" s="39"/>
      <c r="AC464" t="str" s="39">
        <v>Física</v>
      </c>
      <c r="AD464" t="s" s="35">
        <v>1834</v>
      </c>
      <c r="AE464" t="str" s="39" cm="1">
        <f t="array" ref="AE464">IF(AD464="","",IF(LEFT(AD464,1)="1","C1",IF(LEFT(AD464,1)="2","C2",IF(LEFT(AD464,1)="3","C3",""))))</f>
        <v>C2</v>
      </c>
      <c r="AF464" t="s" s="35">
        <v>1602</v>
      </c>
      <c r="AG464" t="s" s="35">
        <v>1607</v>
      </c>
      <c r="AH464" t="s" s="35">
        <v>1602</v>
      </c>
      <c r="AI464" t="s" s="35">
        <v>1623</v>
      </c>
      <c r="AJ464" t="s" s="35">
        <v>1615</v>
      </c>
      <c r="AK464" t="s" s="35">
        <v>854</v>
      </c>
      <c r="AL464" s="39"/>
      <c r="AM464" t="str" s="39" cm="1">
        <f t="array" ref="AM464">IF(AK464="FUERA","Fuera del marco",_xlfn.IFERROR(INDEX('Datos - Catálogo PISA'!$C$5:$C$76,MATCH(AK464,'Datos - Catálogo PISA'!$A$5:$A$76,0)),"?"))</f>
        <v>Sistemas físicos</v>
      </c>
      <c r="AN464" t="s" s="35">
        <v>1651</v>
      </c>
      <c r="AO464" t="s" s="35">
        <v>3488</v>
      </c>
      <c r="AP464" s="39"/>
      <c r="AQ464" t="s" s="35">
        <v>1756</v>
      </c>
      <c r="AR464" s="39"/>
      <c r="AS464" t="s" s="35">
        <v>1771</v>
      </c>
      <c r="AT464" t="s" s="35">
        <v>254</v>
      </c>
      <c r="AU464" t="s" s="35">
        <v>4022</v>
      </c>
      <c r="AV464" t="s" s="35">
        <v>139</v>
      </c>
      <c r="AW464" t="str" s="39" cm="1">
        <f t="array" ref="AW464">AF464&amp;"; "&amp;AG464&amp;"; "&amp;AH464&amp;"; "&amp;AI464&amp;"; "&amp;AJ464</f>
        <v>E1; E3; E1; D4; E6</v>
      </c>
    </row>
    <row r="465" ht="13.65" customHeight="1">
      <c r="A465" t="s" s="35">
        <v>4023</v>
      </c>
      <c r="B465" s="36">
        <v>8</v>
      </c>
      <c r="C465" t="s" s="35">
        <v>1823</v>
      </c>
      <c r="D465" t="s" s="35">
        <v>3919</v>
      </c>
      <c r="E465" t="s" s="35">
        <v>1904</v>
      </c>
      <c r="F465" s="36">
        <v>10</v>
      </c>
      <c r="G465" t="s" s="35">
        <v>573</v>
      </c>
      <c r="H465" t="s" s="35">
        <v>4018</v>
      </c>
      <c r="I465" t="s" s="120">
        <v>4024</v>
      </c>
      <c r="J465" t="s" s="35">
        <v>1164</v>
      </c>
      <c r="K465" t="s" s="35">
        <v>575</v>
      </c>
      <c r="L465" s="39"/>
      <c r="M465" t="str" s="39">
        <v>Física</v>
      </c>
      <c r="N465" t="str" s="39">
        <v>Transformación y transferencia de energía</v>
      </c>
      <c r="O465" t="str" s="39" cm="1">
        <f t="array" ref="O465">IF(L465="","",_xlfn.IFERROR(INDEX('Datos - Catálogo TIMSS'!$C$5:$C$107,MATCH(L465,'Datos - Catálogo TIMSS'!$A$5:$A$107,0)),"?"))</f>
      </c>
      <c r="P465" t="s" s="35">
        <v>254</v>
      </c>
      <c r="Q465" t="s" s="120">
        <v>4025</v>
      </c>
      <c r="R465" t="s" s="120">
        <v>2662</v>
      </c>
      <c r="S465" s="121" cm="1">
        <f t="array" ref="S465">_xlfn.IFERROR(ISNUMBER(SEARCH("Conocer",$R465))/(ISNUMBER(SEARCH("Conocer",$R465))+ISNUMBER(SEARCH("Aplicar",$R465))+ISNUMBER(SEARCH("Razonar",$R465))),0)</f>
        <v>0</v>
      </c>
      <c r="T465" s="121" cm="1">
        <f t="array" ref="T465">_xlfn.IFERROR(ISNUMBER(SEARCH("Aplicar",$R465))/(ISNUMBER(SEARCH("Conocer",$R465))+ISNUMBER(SEARCH("Aplicar",$R465))+ISNUMBER(SEARCH("Razonar",$R465))),0)</f>
        <v>1</v>
      </c>
      <c r="U465" s="121" cm="1">
        <f t="array" ref="U465">_xlfn.IFERROR(ISNUMBER(SEARCH("Razonar",$R465))/(ISNUMBER(SEARCH("Conocer",$R465))+ISNUMBER(SEARCH("Aplicar",$R465))+ISNUMBER(SEARCH("Razonar",$R465))),0)</f>
        <v>0</v>
      </c>
      <c r="V465" t="s" s="35">
        <v>86</v>
      </c>
      <c r="W465" t="s" s="35">
        <v>115</v>
      </c>
      <c r="X465" s="36" cm="1">
        <f t="array" ref="X465">IF(OR(_xlfn.IFERROR(INDEX('Datos - Catálogo TIMSS'!$I$5:$I$107,MATCH(K465,'Datos - Catálogo TIMSS'!$A$5:$A$107,0)),"No")="Sí",_xlfn.IFERROR(INDEX('Datos - Catálogo TIMSS'!$I$5:$I$107,MATCH(L465,'Datos - Catálogo TIMSS'!$A$5:$A$107,0)),"No")="Sí"),1,0)</f>
        <v>0</v>
      </c>
      <c r="Y465" s="36" cm="1">
        <f t="array" ref="Y465">IF(_xlfn.IFERROR(INDEX('Datos - Catálogo TIMSS'!$J$5:$J$107,MATCH(K465,'Datos - Catálogo TIMSS'!$A$5:$A$107,0)),"No")="Sí",1,0)</f>
        <v>0</v>
      </c>
      <c r="Z465" s="36" cm="1">
        <f t="array" ref="Z465">IF(_xlfn.IFERROR(INDEX('Datos - Catálogo TIMSS'!$J$5:$J$107,MATCH(L465,'Datos - Catálogo TIMSS'!$A$5:$A$107,0)),"No")="Sí",1,0)</f>
        <v>0</v>
      </c>
      <c r="AA465" t="s" s="35">
        <v>2929</v>
      </c>
      <c r="AB465" s="39"/>
      <c r="AC465" t="str" s="39">
        <v>Física</v>
      </c>
      <c r="AD465" t="s" s="35">
        <v>1834</v>
      </c>
      <c r="AE465" t="str" s="39" cm="1">
        <f t="array" ref="AE465">IF(AD465="","",IF(LEFT(AD465,1)="1","C1",IF(LEFT(AD465,1)="2","C2",IF(LEFT(AD465,1)="3","C3",""))))</f>
        <v>C2</v>
      </c>
      <c r="AF465" t="s" s="35">
        <v>1602</v>
      </c>
      <c r="AG465" t="s" s="35">
        <v>1617</v>
      </c>
      <c r="AH465" t="s" s="35">
        <v>1605</v>
      </c>
      <c r="AI465" t="s" s="35">
        <v>1623</v>
      </c>
      <c r="AJ465" t="s" s="35">
        <v>1607</v>
      </c>
      <c r="AK465" t="s" s="35">
        <v>854</v>
      </c>
      <c r="AL465" s="39"/>
      <c r="AM465" t="str" s="39" cm="1">
        <f t="array" ref="AM465">IF(AK465="FUERA","Fuera del marco",_xlfn.IFERROR(INDEX('Datos - Catálogo PISA'!$C$5:$C$76,MATCH(AK465,'Datos - Catálogo PISA'!$A$5:$A$76,0)),"?"))</f>
        <v>Sistemas físicos</v>
      </c>
      <c r="AN465" t="s" s="35">
        <v>1651</v>
      </c>
      <c r="AO465" t="s" s="35">
        <v>3575</v>
      </c>
      <c r="AP465" s="39"/>
      <c r="AQ465" t="s" s="35">
        <v>1756</v>
      </c>
      <c r="AR465" s="39"/>
      <c r="AS465" t="s" s="35">
        <v>1771</v>
      </c>
      <c r="AT465" t="s" s="35">
        <v>254</v>
      </c>
      <c r="AU465" t="s" s="35">
        <v>4026</v>
      </c>
      <c r="AV465" t="s" s="35">
        <v>139</v>
      </c>
      <c r="AW465" t="str" s="39" cm="1">
        <f t="array" ref="AW465">AF465&amp;"; "&amp;AG465&amp;"; "&amp;AH465&amp;"; "&amp;AI465&amp;"; "&amp;AJ465</f>
        <v>E1; D1; E2; D4; E3</v>
      </c>
    </row>
    <row r="466" ht="13.65" customHeight="1">
      <c r="A466" t="s" s="35">
        <v>4027</v>
      </c>
      <c r="B466" s="36">
        <v>8</v>
      </c>
      <c r="C466" t="s" s="35">
        <v>1823</v>
      </c>
      <c r="D466" t="s" s="35">
        <v>3919</v>
      </c>
      <c r="E466" t="s" s="35">
        <v>1904</v>
      </c>
      <c r="F466" s="36">
        <v>11</v>
      </c>
      <c r="G466" t="s" s="35">
        <v>573</v>
      </c>
      <c r="H466" t="s" s="35">
        <v>4028</v>
      </c>
      <c r="I466" t="s" s="120">
        <v>4029</v>
      </c>
      <c r="J466" t="s" s="35">
        <v>1164</v>
      </c>
      <c r="K466" t="s" s="35">
        <v>575</v>
      </c>
      <c r="L466" t="s" s="35">
        <v>535</v>
      </c>
      <c r="M466" t="str" s="39">
        <v>Física</v>
      </c>
      <c r="N466" t="str" s="39">
        <v>Transformación y transferencia de energía</v>
      </c>
      <c r="O466" t="str" s="39" cm="1">
        <f t="array" ref="O466">IF(L466="","",_xlfn.IFERROR(INDEX('Datos - Catálogo TIMSS'!$C$5:$C$107,MATCH(L466,'Datos - Catálogo TIMSS'!$A$5:$A$107,0)),"?"))</f>
        <v>Física</v>
      </c>
      <c r="P466" t="s" s="35">
        <v>282</v>
      </c>
      <c r="Q466" t="s" s="120">
        <v>4030</v>
      </c>
      <c r="R466" t="s" s="120">
        <v>4031</v>
      </c>
      <c r="S466" s="121" cm="1">
        <f t="array" ref="S466">_xlfn.IFERROR(ISNUMBER(SEARCH("Conocer",$R466))/(ISNUMBER(SEARCH("Conocer",$R466))+ISNUMBER(SEARCH("Aplicar",$R466))+ISNUMBER(SEARCH("Razonar",$R466))),0)</f>
        <v>0.5</v>
      </c>
      <c r="T466" s="121" cm="1">
        <f t="array" ref="T466">_xlfn.IFERROR(ISNUMBER(SEARCH("Aplicar",$R466))/(ISNUMBER(SEARCH("Conocer",$R466))+ISNUMBER(SEARCH("Aplicar",$R466))+ISNUMBER(SEARCH("Razonar",$R466))),0)</f>
        <v>0.5</v>
      </c>
      <c r="U466" s="121" cm="1">
        <f t="array" ref="U466">_xlfn.IFERROR(ISNUMBER(SEARCH("Razonar",$R466))/(ISNUMBER(SEARCH("Conocer",$R466))+ISNUMBER(SEARCH("Aplicar",$R466))+ISNUMBER(SEARCH("Razonar",$R466))),0)</f>
        <v>0</v>
      </c>
      <c r="V466" t="s" s="35">
        <v>86</v>
      </c>
      <c r="W466" t="s" s="35">
        <v>115</v>
      </c>
      <c r="X466" s="36" cm="1">
        <f t="array" ref="X466">IF(OR(_xlfn.IFERROR(INDEX('Datos - Catálogo TIMSS'!$I$5:$I$107,MATCH(K466,'Datos - Catálogo TIMSS'!$A$5:$A$107,0)),"No")="Sí",_xlfn.IFERROR(INDEX('Datos - Catálogo TIMSS'!$I$5:$I$107,MATCH(L466,'Datos - Catálogo TIMSS'!$A$5:$A$107,0)),"No")="Sí"),1,0)</f>
        <v>0</v>
      </c>
      <c r="Y466" s="36" cm="1">
        <f t="array" ref="Y466">IF(_xlfn.IFERROR(INDEX('Datos - Catálogo TIMSS'!$J$5:$J$107,MATCH(K466,'Datos - Catálogo TIMSS'!$A$5:$A$107,0)),"No")="Sí",1,0)</f>
        <v>0</v>
      </c>
      <c r="Z466" s="36" cm="1">
        <f t="array" ref="Z466">IF(_xlfn.IFERROR(INDEX('Datos - Catálogo TIMSS'!$J$5:$J$107,MATCH(L466,'Datos - Catálogo TIMSS'!$A$5:$A$107,0)),"No")="Sí",1,0)</f>
        <v>0</v>
      </c>
      <c r="AA466" t="s" s="35">
        <v>2929</v>
      </c>
      <c r="AB466" t="s" s="35">
        <v>2908</v>
      </c>
      <c r="AC466" t="str" s="39">
        <v>Física</v>
      </c>
      <c r="AD466" t="s" s="35">
        <v>1859</v>
      </c>
      <c r="AE466" t="str" s="39" cm="1">
        <f t="array" ref="AE466">IF(AD466="","",IF(LEFT(AD466,1)="1","C1",IF(LEFT(AD466,1)="2","C2",IF(LEFT(AD466,1)="3","C3",""))))</f>
        <v>C1</v>
      </c>
      <c r="AF466" t="s" s="35">
        <v>1602</v>
      </c>
      <c r="AG466" t="s" s="35">
        <v>1617</v>
      </c>
      <c r="AH466" t="s" s="35">
        <v>1602</v>
      </c>
      <c r="AI466" t="s" s="35">
        <v>1623</v>
      </c>
      <c r="AJ466" t="s" s="35">
        <v>1602</v>
      </c>
      <c r="AK466" t="s" s="35">
        <v>854</v>
      </c>
      <c r="AL466" s="39"/>
      <c r="AM466" t="str" s="39" cm="1">
        <f t="array" ref="AM466">IF(AK466="FUERA","Fuera del marco",_xlfn.IFERROR(INDEX('Datos - Catálogo PISA'!$C$5:$C$76,MATCH(AK466,'Datos - Catálogo PISA'!$A$5:$A$76,0)),"?"))</f>
        <v>Sistemas físicos</v>
      </c>
      <c r="AN466" t="s" s="35">
        <v>1651</v>
      </c>
      <c r="AO466" s="39"/>
      <c r="AP466" s="39"/>
      <c r="AQ466" t="s" s="35">
        <v>1756</v>
      </c>
      <c r="AR466" s="39"/>
      <c r="AS466" t="s" s="35">
        <v>1771</v>
      </c>
      <c r="AT466" t="s" s="35">
        <v>254</v>
      </c>
      <c r="AU466" t="s" s="35">
        <v>4032</v>
      </c>
      <c r="AV466" t="s" s="35">
        <v>139</v>
      </c>
      <c r="AW466" t="str" s="39" cm="1">
        <f t="array" ref="AW466">AF466&amp;"; "&amp;AG466&amp;"; "&amp;AH466&amp;"; "&amp;AI466&amp;"; "&amp;AJ466</f>
        <v>E1; D1; E1; D4; E1</v>
      </c>
    </row>
    <row r="467" ht="13.65" customHeight="1">
      <c r="A467" t="s" s="35">
        <v>4033</v>
      </c>
      <c r="B467" s="36">
        <v>8</v>
      </c>
      <c r="C467" t="s" s="35">
        <v>1823</v>
      </c>
      <c r="D467" t="s" s="35">
        <v>3919</v>
      </c>
      <c r="E467" t="s" s="35">
        <v>1904</v>
      </c>
      <c r="F467" s="36">
        <v>12</v>
      </c>
      <c r="G467" t="s" s="35">
        <v>573</v>
      </c>
      <c r="H467" t="s" s="35">
        <v>4028</v>
      </c>
      <c r="I467" t="s" s="120">
        <v>4034</v>
      </c>
      <c r="J467" t="s" s="35">
        <v>1164</v>
      </c>
      <c r="K467" t="s" s="35">
        <v>575</v>
      </c>
      <c r="L467" s="39"/>
      <c r="M467" t="str" s="39">
        <v>Física</v>
      </c>
      <c r="N467" t="str" s="39">
        <v>Transformación y transferencia de energía</v>
      </c>
      <c r="O467" t="str" s="39" cm="1">
        <f t="array" ref="O467">IF(L467="","",_xlfn.IFERROR(INDEX('Datos - Catálogo TIMSS'!$C$5:$C$107,MATCH(L467,'Datos - Catálogo TIMSS'!$A$5:$A$107,0)),"?"))</f>
      </c>
      <c r="P467" t="s" s="35">
        <v>282</v>
      </c>
      <c r="Q467" t="s" s="120">
        <v>4035</v>
      </c>
      <c r="R467" t="s" s="120">
        <v>2893</v>
      </c>
      <c r="S467" s="121" cm="1">
        <f t="array" ref="S467">_xlfn.IFERROR(ISNUMBER(SEARCH("Conocer",$R467))/(ISNUMBER(SEARCH("Conocer",$R467))+ISNUMBER(SEARCH("Aplicar",$R467))+ISNUMBER(SEARCH("Razonar",$R467))),0)</f>
        <v>0</v>
      </c>
      <c r="T467" s="121" cm="1">
        <f t="array" ref="T467">_xlfn.IFERROR(ISNUMBER(SEARCH("Aplicar",$R467))/(ISNUMBER(SEARCH("Conocer",$R467))+ISNUMBER(SEARCH("Aplicar",$R467))+ISNUMBER(SEARCH("Razonar",$R467))),0)</f>
        <v>1</v>
      </c>
      <c r="U467" s="121" cm="1">
        <f t="array" ref="U467">_xlfn.IFERROR(ISNUMBER(SEARCH("Razonar",$R467))/(ISNUMBER(SEARCH("Conocer",$R467))+ISNUMBER(SEARCH("Aplicar",$R467))+ISNUMBER(SEARCH("Razonar",$R467))),0)</f>
        <v>0</v>
      </c>
      <c r="V467" t="s" s="35">
        <v>86</v>
      </c>
      <c r="W467" t="s" s="35">
        <v>115</v>
      </c>
      <c r="X467" s="36" cm="1">
        <f t="array" ref="X467">IF(OR(_xlfn.IFERROR(INDEX('Datos - Catálogo TIMSS'!$I$5:$I$107,MATCH(K467,'Datos - Catálogo TIMSS'!$A$5:$A$107,0)),"No")="Sí",_xlfn.IFERROR(INDEX('Datos - Catálogo TIMSS'!$I$5:$I$107,MATCH(L467,'Datos - Catálogo TIMSS'!$A$5:$A$107,0)),"No")="Sí"),1,0)</f>
        <v>0</v>
      </c>
      <c r="Y467" s="36" cm="1">
        <f t="array" ref="Y467">IF(_xlfn.IFERROR(INDEX('Datos - Catálogo TIMSS'!$J$5:$J$107,MATCH(K467,'Datos - Catálogo TIMSS'!$A$5:$A$107,0)),"No")="Sí",1,0)</f>
        <v>0</v>
      </c>
      <c r="Z467" s="36" cm="1">
        <f t="array" ref="Z467">IF(_xlfn.IFERROR(INDEX('Datos - Catálogo TIMSS'!$J$5:$J$107,MATCH(L467,'Datos - Catálogo TIMSS'!$A$5:$A$107,0)),"No")="Sí",1,0)</f>
        <v>0</v>
      </c>
      <c r="AA467" t="s" s="35">
        <v>2929</v>
      </c>
      <c r="AB467" s="39"/>
      <c r="AC467" t="str" s="39">
        <v>Física</v>
      </c>
      <c r="AD467" t="s" s="35">
        <v>1834</v>
      </c>
      <c r="AE467" t="str" s="39" cm="1">
        <f t="array" ref="AE467">IF(AD467="","",IF(LEFT(AD467,1)="1","C1",IF(LEFT(AD467,1)="2","C2",IF(LEFT(AD467,1)="3","C3",""))))</f>
        <v>C2</v>
      </c>
      <c r="AF467" t="s" s="35">
        <v>1602</v>
      </c>
      <c r="AG467" t="s" s="35">
        <v>1617</v>
      </c>
      <c r="AH467" t="s" s="35">
        <v>1602</v>
      </c>
      <c r="AI467" t="s" s="35">
        <v>1623</v>
      </c>
      <c r="AJ467" t="s" s="35">
        <v>1607</v>
      </c>
      <c r="AK467" t="s" s="35">
        <v>854</v>
      </c>
      <c r="AL467" t="s" s="35">
        <v>838</v>
      </c>
      <c r="AM467" t="str" s="39" cm="1">
        <f t="array" ref="AM467">IF(AK467="FUERA","Fuera del marco",_xlfn.IFERROR(INDEX('Datos - Catálogo PISA'!$C$5:$C$76,MATCH(AK467,'Datos - Catálogo PISA'!$A$5:$A$76,0)),"?"))</f>
        <v>Sistemas físicos</v>
      </c>
      <c r="AN467" t="s" s="35">
        <v>1651</v>
      </c>
      <c r="AO467" t="s" s="35">
        <v>3488</v>
      </c>
      <c r="AP467" s="39"/>
      <c r="AQ467" t="s" s="35">
        <v>1756</v>
      </c>
      <c r="AR467" s="39"/>
      <c r="AS467" t="s" s="35">
        <v>1771</v>
      </c>
      <c r="AT467" t="s" s="35">
        <v>254</v>
      </c>
      <c r="AU467" t="s" s="35">
        <v>4036</v>
      </c>
      <c r="AV467" t="s" s="35">
        <v>139</v>
      </c>
      <c r="AW467" t="str" s="39" cm="1">
        <f t="array" ref="AW467">AF467&amp;"; "&amp;AG467&amp;"; "&amp;AH467&amp;"; "&amp;AI467&amp;"; "&amp;AJ467</f>
        <v>E1; D1; E1; D4; E3</v>
      </c>
    </row>
    <row r="468" ht="13.65" customHeight="1">
      <c r="A468" t="s" s="35">
        <v>4037</v>
      </c>
      <c r="B468" s="36">
        <v>8</v>
      </c>
      <c r="C468" t="s" s="35">
        <v>1823</v>
      </c>
      <c r="D468" t="s" s="35">
        <v>3919</v>
      </c>
      <c r="E468" t="s" s="35">
        <v>1904</v>
      </c>
      <c r="F468" s="36">
        <v>13</v>
      </c>
      <c r="G468" t="s" s="35">
        <v>573</v>
      </c>
      <c r="H468" t="s" s="35">
        <v>4028</v>
      </c>
      <c r="I468" t="s" s="120">
        <v>4038</v>
      </c>
      <c r="J468" t="s" s="35">
        <v>1164</v>
      </c>
      <c r="K468" t="s" s="35">
        <v>575</v>
      </c>
      <c r="L468" s="39"/>
      <c r="M468" t="str" s="39">
        <v>Física</v>
      </c>
      <c r="N468" t="str" s="39">
        <v>Transformación y transferencia de energía</v>
      </c>
      <c r="O468" t="str" s="39" cm="1">
        <f t="array" ref="O468">IF(L468="","",_xlfn.IFERROR(INDEX('Datos - Catálogo TIMSS'!$C$5:$C$107,MATCH(L468,'Datos - Catálogo TIMSS'!$A$5:$A$107,0)),"?"))</f>
      </c>
      <c r="P468" t="s" s="35">
        <v>282</v>
      </c>
      <c r="Q468" t="s" s="120">
        <v>4039</v>
      </c>
      <c r="R468" t="s" s="120">
        <v>3943</v>
      </c>
      <c r="S468" s="121" cm="1">
        <f t="array" ref="S468">_xlfn.IFERROR(ISNUMBER(SEARCH("Conocer",$R468))/(ISNUMBER(SEARCH("Conocer",$R468))+ISNUMBER(SEARCH("Aplicar",$R468))+ISNUMBER(SEARCH("Razonar",$R468))),0)</f>
        <v>0</v>
      </c>
      <c r="T468" s="121" cm="1">
        <f t="array" ref="T468">_xlfn.IFERROR(ISNUMBER(SEARCH("Aplicar",$R468))/(ISNUMBER(SEARCH("Conocer",$R468))+ISNUMBER(SEARCH("Aplicar",$R468))+ISNUMBER(SEARCH("Razonar",$R468))),0)</f>
        <v>1</v>
      </c>
      <c r="U468" s="121" cm="1">
        <f t="array" ref="U468">_xlfn.IFERROR(ISNUMBER(SEARCH("Razonar",$R468))/(ISNUMBER(SEARCH("Conocer",$R468))+ISNUMBER(SEARCH("Aplicar",$R468))+ISNUMBER(SEARCH("Razonar",$R468))),0)</f>
        <v>0</v>
      </c>
      <c r="V468" t="s" s="35">
        <v>86</v>
      </c>
      <c r="W468" t="s" s="35">
        <v>115</v>
      </c>
      <c r="X468" s="36" cm="1">
        <f t="array" ref="X468">IF(OR(_xlfn.IFERROR(INDEX('Datos - Catálogo TIMSS'!$I$5:$I$107,MATCH(K468,'Datos - Catálogo TIMSS'!$A$5:$A$107,0)),"No")="Sí",_xlfn.IFERROR(INDEX('Datos - Catálogo TIMSS'!$I$5:$I$107,MATCH(L468,'Datos - Catálogo TIMSS'!$A$5:$A$107,0)),"No")="Sí"),1,0)</f>
        <v>0</v>
      </c>
      <c r="Y468" s="36" cm="1">
        <f t="array" ref="Y468">IF(_xlfn.IFERROR(INDEX('Datos - Catálogo TIMSS'!$J$5:$J$107,MATCH(K468,'Datos - Catálogo TIMSS'!$A$5:$A$107,0)),"No")="Sí",1,0)</f>
        <v>0</v>
      </c>
      <c r="Z468" s="36" cm="1">
        <f t="array" ref="Z468">IF(_xlfn.IFERROR(INDEX('Datos - Catálogo TIMSS'!$J$5:$J$107,MATCH(L468,'Datos - Catálogo TIMSS'!$A$5:$A$107,0)),"No")="Sí",1,0)</f>
        <v>0</v>
      </c>
      <c r="AA468" t="s" s="35">
        <v>2929</v>
      </c>
      <c r="AB468" s="39"/>
      <c r="AC468" t="str" s="39">
        <v>Física</v>
      </c>
      <c r="AD468" t="s" s="35">
        <v>1834</v>
      </c>
      <c r="AE468" t="str" s="39" cm="1">
        <f t="array" ref="AE468">IF(AD468="","",IF(LEFT(AD468,1)="1","C1",IF(LEFT(AD468,1)="2","C2",IF(LEFT(AD468,1)="3","C3",""))))</f>
        <v>C2</v>
      </c>
      <c r="AF468" t="s" s="35">
        <v>1602</v>
      </c>
      <c r="AG468" t="s" s="35">
        <v>1617</v>
      </c>
      <c r="AH468" t="s" s="35">
        <v>1602</v>
      </c>
      <c r="AI468" t="s" s="35">
        <v>1623</v>
      </c>
      <c r="AJ468" t="s" s="35">
        <v>1633</v>
      </c>
      <c r="AK468" t="s" s="35">
        <v>854</v>
      </c>
      <c r="AL468" s="39"/>
      <c r="AM468" t="str" s="39" cm="1">
        <f t="array" ref="AM468">IF(AK468="FUERA","Fuera del marco",_xlfn.IFERROR(INDEX('Datos - Catálogo PISA'!$C$5:$C$76,MATCH(AK468,'Datos - Catálogo PISA'!$A$5:$A$76,0)),"?"))</f>
        <v>Sistemas físicos</v>
      </c>
      <c r="AN468" t="s" s="35">
        <v>1651</v>
      </c>
      <c r="AO468" s="39"/>
      <c r="AP468" s="39"/>
      <c r="AQ468" t="s" s="35">
        <v>1756</v>
      </c>
      <c r="AR468" s="39"/>
      <c r="AS468" t="s" s="35">
        <v>1771</v>
      </c>
      <c r="AT468" t="s" s="35">
        <v>254</v>
      </c>
      <c r="AU468" t="s" s="35">
        <v>4040</v>
      </c>
      <c r="AV468" t="s" s="35">
        <v>139</v>
      </c>
      <c r="AW468" t="str" s="39" cm="1">
        <f t="array" ref="AW468">AF468&amp;"; "&amp;AG468&amp;"; "&amp;AH468&amp;"; "&amp;AI468&amp;"; "&amp;AJ468</f>
        <v>E1; D1; E1; D4; I5</v>
      </c>
    </row>
    <row r="469" ht="13.65" customHeight="1">
      <c r="A469" t="s" s="35">
        <v>4041</v>
      </c>
      <c r="B469" s="36">
        <v>8</v>
      </c>
      <c r="C469" t="s" s="35">
        <v>1823</v>
      </c>
      <c r="D469" t="s" s="35">
        <v>3919</v>
      </c>
      <c r="E469" t="s" s="35">
        <v>4042</v>
      </c>
      <c r="F469" s="36">
        <v>3</v>
      </c>
      <c r="G469" t="s" s="35">
        <v>511</v>
      </c>
      <c r="H469" t="s" s="35">
        <v>4043</v>
      </c>
      <c r="I469" t="s" s="120">
        <v>4044</v>
      </c>
      <c r="J469" t="s" s="35">
        <v>1164</v>
      </c>
      <c r="K469" t="s" s="35">
        <v>588</v>
      </c>
      <c r="L469" t="s" s="35">
        <v>575</v>
      </c>
      <c r="M469" t="str" s="39">
        <v>Física</v>
      </c>
      <c r="N469" t="str" s="39">
        <v>Movimiento y fuerzas</v>
      </c>
      <c r="O469" t="str" s="39" cm="1">
        <f t="array" ref="O469">IF(L469="","",_xlfn.IFERROR(INDEX('Datos - Catálogo TIMSS'!$C$5:$C$107,MATCH(L469,'Datos - Catálogo TIMSS'!$A$5:$A$107,0)),"?"))</f>
        <v>Física</v>
      </c>
      <c r="P469" t="s" s="35">
        <v>282</v>
      </c>
      <c r="Q469" t="s" s="120">
        <v>4045</v>
      </c>
      <c r="R469" t="s" s="120">
        <v>4046</v>
      </c>
      <c r="S469" s="121" cm="1">
        <f t="array" ref="S469">_xlfn.IFERROR(ISNUMBER(SEARCH("Conocer",$R469))/(ISNUMBER(SEARCH("Conocer",$R469))+ISNUMBER(SEARCH("Aplicar",$R469))+ISNUMBER(SEARCH("Razonar",$R469))),0)</f>
        <v>0</v>
      </c>
      <c r="T469" s="121" cm="1">
        <f t="array" ref="T469">_xlfn.IFERROR(ISNUMBER(SEARCH("Aplicar",$R469))/(ISNUMBER(SEARCH("Conocer",$R469))+ISNUMBER(SEARCH("Aplicar",$R469))+ISNUMBER(SEARCH("Razonar",$R469))),0)</f>
        <v>1</v>
      </c>
      <c r="U469" s="121" cm="1">
        <f t="array" ref="U469">_xlfn.IFERROR(ISNUMBER(SEARCH("Razonar",$R469))/(ISNUMBER(SEARCH("Conocer",$R469))+ISNUMBER(SEARCH("Aplicar",$R469))+ISNUMBER(SEARCH("Razonar",$R469))),0)</f>
        <v>0</v>
      </c>
      <c r="V469" t="s" s="35">
        <v>86</v>
      </c>
      <c r="W469" t="s" s="35">
        <v>115</v>
      </c>
      <c r="X469" s="36" cm="1">
        <f t="array" ref="X469">IF(OR(_xlfn.IFERROR(INDEX('Datos - Catálogo TIMSS'!$I$5:$I$107,MATCH(K469,'Datos - Catálogo TIMSS'!$A$5:$A$107,0)),"No")="Sí",_xlfn.IFERROR(INDEX('Datos - Catálogo TIMSS'!$I$5:$I$107,MATCH(L469,'Datos - Catálogo TIMSS'!$A$5:$A$107,0)),"No")="Sí"),1,0)</f>
        <v>0</v>
      </c>
      <c r="Y469" s="36" cm="1">
        <f t="array" ref="Y469">IF(_xlfn.IFERROR(INDEX('Datos - Catálogo TIMSS'!$J$5:$J$107,MATCH(K469,'Datos - Catálogo TIMSS'!$A$5:$A$107,0)),"No")="Sí",1,0)</f>
        <v>0</v>
      </c>
      <c r="Z469" s="36" cm="1">
        <f t="array" ref="Z469">IF(_xlfn.IFERROR(INDEX('Datos - Catálogo TIMSS'!$J$5:$J$107,MATCH(L469,'Datos - Catálogo TIMSS'!$A$5:$A$107,0)),"No")="Sí",1,0)</f>
        <v>0</v>
      </c>
      <c r="AA469" t="s" s="35">
        <v>2889</v>
      </c>
      <c r="AB469" t="s" s="35">
        <v>2929</v>
      </c>
      <c r="AC469" t="str" s="39">
        <v>Física</v>
      </c>
      <c r="AD469" t="s" s="35">
        <v>1859</v>
      </c>
      <c r="AE469" t="str" s="39" cm="1">
        <f t="array" ref="AE469">IF(AD469="","",IF(LEFT(AD469,1)="1","C1",IF(LEFT(AD469,1)="2","C2",IF(LEFT(AD469,1)="3","C3",""))))</f>
        <v>C1</v>
      </c>
      <c r="AF469" t="s" s="35">
        <v>1602</v>
      </c>
      <c r="AG469" t="s" s="35">
        <v>1617</v>
      </c>
      <c r="AH469" t="s" s="35">
        <v>1605</v>
      </c>
      <c r="AI469" t="s" s="35">
        <v>1623</v>
      </c>
      <c r="AJ469" t="s" s="35">
        <v>1602</v>
      </c>
      <c r="AK469" t="s" s="35">
        <v>838</v>
      </c>
      <c r="AL469" t="s" s="35">
        <v>854</v>
      </c>
      <c r="AM469" t="str" s="39" cm="1">
        <f t="array" ref="AM469">IF(AK469="FUERA","Fuera del marco",_xlfn.IFERROR(INDEX('Datos - Catálogo PISA'!$C$5:$C$76,MATCH(AK469,'Datos - Catálogo PISA'!$A$5:$A$76,0)),"?"))</f>
        <v>Sistemas físicos</v>
      </c>
      <c r="AN469" t="s" s="35">
        <v>1651</v>
      </c>
      <c r="AO469" t="s" s="35">
        <v>3575</v>
      </c>
      <c r="AP469" s="39"/>
      <c r="AQ469" t="s" s="35">
        <v>1756</v>
      </c>
      <c r="AR469" s="39"/>
      <c r="AS469" t="s" s="35">
        <v>1771</v>
      </c>
      <c r="AT469" t="s" s="35">
        <v>254</v>
      </c>
      <c r="AU469" t="s" s="35">
        <v>4047</v>
      </c>
      <c r="AV469" t="s" s="35">
        <v>139</v>
      </c>
      <c r="AW469" t="str" s="39" cm="1">
        <f t="array" ref="AW469">AF469&amp;"; "&amp;AG469&amp;"; "&amp;AH469&amp;"; "&amp;AI469&amp;"; "&amp;AJ469</f>
        <v>E1; D1; E2; D4; E1</v>
      </c>
    </row>
    <row r="470" ht="13.65" customHeight="1">
      <c r="A470" t="s" s="35">
        <v>4048</v>
      </c>
      <c r="B470" s="36">
        <v>8</v>
      </c>
      <c r="C470" t="s" s="35">
        <v>1823</v>
      </c>
      <c r="D470" t="s" s="35">
        <v>3919</v>
      </c>
      <c r="E470" t="s" s="35">
        <v>4042</v>
      </c>
      <c r="F470" s="36">
        <v>4</v>
      </c>
      <c r="G470" t="s" s="35">
        <v>511</v>
      </c>
      <c r="H470" t="s" s="35">
        <v>4043</v>
      </c>
      <c r="I470" t="s" s="120">
        <v>4049</v>
      </c>
      <c r="J470" t="s" s="35">
        <v>1164</v>
      </c>
      <c r="K470" t="s" s="35">
        <v>575</v>
      </c>
      <c r="L470" s="39"/>
      <c r="M470" t="str" s="39">
        <v>Física</v>
      </c>
      <c r="N470" t="str" s="39">
        <v>Transformación y transferencia de energía</v>
      </c>
      <c r="O470" t="str" s="39" cm="1">
        <f t="array" ref="O470">IF(L470="","",_xlfn.IFERROR(INDEX('Datos - Catálogo TIMSS'!$C$5:$C$107,MATCH(L470,'Datos - Catálogo TIMSS'!$A$5:$A$107,0)),"?"))</f>
      </c>
      <c r="P470" t="s" s="35">
        <v>254</v>
      </c>
      <c r="Q470" t="s" s="120">
        <v>4050</v>
      </c>
      <c r="R470" t="s" s="120">
        <v>3344</v>
      </c>
      <c r="S470" s="121" cm="1">
        <f t="array" ref="S470">_xlfn.IFERROR(ISNUMBER(SEARCH("Conocer",$R470))/(ISNUMBER(SEARCH("Conocer",$R470))+ISNUMBER(SEARCH("Aplicar",$R470))+ISNUMBER(SEARCH("Razonar",$R470))),0)</f>
        <v>0</v>
      </c>
      <c r="T470" s="121" cm="1">
        <f t="array" ref="T470">_xlfn.IFERROR(ISNUMBER(SEARCH("Aplicar",$R470))/(ISNUMBER(SEARCH("Conocer",$R470))+ISNUMBER(SEARCH("Aplicar",$R470))+ISNUMBER(SEARCH("Razonar",$R470))),0)</f>
        <v>0.5</v>
      </c>
      <c r="U470" s="121" cm="1">
        <f t="array" ref="U470">_xlfn.IFERROR(ISNUMBER(SEARCH("Razonar",$R470))/(ISNUMBER(SEARCH("Conocer",$R470))+ISNUMBER(SEARCH("Aplicar",$R470))+ISNUMBER(SEARCH("Razonar",$R470))),0)</f>
        <v>0.5</v>
      </c>
      <c r="V470" t="s" s="35">
        <v>86</v>
      </c>
      <c r="W470" t="s" s="35">
        <v>115</v>
      </c>
      <c r="X470" s="36" cm="1">
        <f t="array" ref="X470">IF(OR(_xlfn.IFERROR(INDEX('Datos - Catálogo TIMSS'!$I$5:$I$107,MATCH(K470,'Datos - Catálogo TIMSS'!$A$5:$A$107,0)),"No")="Sí",_xlfn.IFERROR(INDEX('Datos - Catálogo TIMSS'!$I$5:$I$107,MATCH(L470,'Datos - Catálogo TIMSS'!$A$5:$A$107,0)),"No")="Sí"),1,0)</f>
        <v>0</v>
      </c>
      <c r="Y470" s="36" cm="1">
        <f t="array" ref="Y470">IF(_xlfn.IFERROR(INDEX('Datos - Catálogo TIMSS'!$J$5:$J$107,MATCH(K470,'Datos - Catálogo TIMSS'!$A$5:$A$107,0)),"No")="Sí",1,0)</f>
        <v>0</v>
      </c>
      <c r="Z470" s="36" cm="1">
        <f t="array" ref="Z470">IF(_xlfn.IFERROR(INDEX('Datos - Catálogo TIMSS'!$J$5:$J$107,MATCH(L470,'Datos - Catálogo TIMSS'!$A$5:$A$107,0)),"No")="Sí",1,0)</f>
        <v>0</v>
      </c>
      <c r="AA470" t="s" s="35">
        <v>2929</v>
      </c>
      <c r="AB470" s="39"/>
      <c r="AC470" t="str" s="39">
        <v>Física</v>
      </c>
      <c r="AD470" t="s" s="35">
        <v>1834</v>
      </c>
      <c r="AE470" t="str" s="39" cm="1">
        <f t="array" ref="AE470">IF(AD470="","",IF(LEFT(AD470,1)="1","C1",IF(LEFT(AD470,1)="2","C2",IF(LEFT(AD470,1)="3","C3",""))))</f>
        <v>C2</v>
      </c>
      <c r="AF470" t="s" s="35">
        <v>1602</v>
      </c>
      <c r="AG470" t="s" s="35">
        <v>1607</v>
      </c>
      <c r="AH470" t="s" s="35">
        <v>1602</v>
      </c>
      <c r="AI470" t="s" s="35">
        <v>1623</v>
      </c>
      <c r="AJ470" t="s" s="35">
        <v>1615</v>
      </c>
      <c r="AK470" t="s" s="35">
        <v>854</v>
      </c>
      <c r="AL470" s="39"/>
      <c r="AM470" t="str" s="39" cm="1">
        <f t="array" ref="AM470">IF(AK470="FUERA","Fuera del marco",_xlfn.IFERROR(INDEX('Datos - Catálogo PISA'!$C$5:$C$76,MATCH(AK470,'Datos - Catálogo PISA'!$A$5:$A$76,0)),"?"))</f>
        <v>Sistemas físicos</v>
      </c>
      <c r="AN470" t="s" s="35">
        <v>1651</v>
      </c>
      <c r="AO470" s="39"/>
      <c r="AP470" s="39"/>
      <c r="AQ470" t="s" s="35">
        <v>1756</v>
      </c>
      <c r="AR470" s="39"/>
      <c r="AS470" t="s" s="35">
        <v>1770</v>
      </c>
      <c r="AT470" t="s" s="35">
        <v>254</v>
      </c>
      <c r="AU470" t="s" s="35">
        <v>4050</v>
      </c>
      <c r="AV470" t="s" s="35">
        <v>139</v>
      </c>
      <c r="AW470" t="str" s="39" cm="1">
        <f t="array" ref="AW470">AF470&amp;"; "&amp;AG470&amp;"; "&amp;AH470&amp;"; "&amp;AI470&amp;"; "&amp;AJ470</f>
        <v>E1; E3; E1; D4; E6</v>
      </c>
    </row>
    <row r="471" ht="13.65" customHeight="1">
      <c r="A471" t="s" s="35">
        <v>4051</v>
      </c>
      <c r="B471" s="36">
        <v>8</v>
      </c>
      <c r="C471" t="s" s="35">
        <v>1823</v>
      </c>
      <c r="D471" t="s" s="35">
        <v>3919</v>
      </c>
      <c r="E471" t="s" s="35">
        <v>4042</v>
      </c>
      <c r="F471" s="36">
        <v>5</v>
      </c>
      <c r="G471" t="s" s="35">
        <v>511</v>
      </c>
      <c r="H471" t="s" s="35">
        <v>4043</v>
      </c>
      <c r="I471" t="s" s="120">
        <v>4052</v>
      </c>
      <c r="J471" t="s" s="35">
        <v>1164</v>
      </c>
      <c r="K471" t="s" s="35">
        <v>575</v>
      </c>
      <c r="L471" s="39"/>
      <c r="M471" t="str" s="39">
        <v>Física</v>
      </c>
      <c r="N471" t="str" s="39">
        <v>Transformación y transferencia de energía</v>
      </c>
      <c r="O471" t="str" s="39" cm="1">
        <f t="array" ref="O471">IF(L471="","",_xlfn.IFERROR(INDEX('Datos - Catálogo TIMSS'!$C$5:$C$107,MATCH(L471,'Datos - Catálogo TIMSS'!$A$5:$A$107,0)),"?"))</f>
      </c>
      <c r="P471" t="s" s="35">
        <v>254</v>
      </c>
      <c r="Q471" t="s" s="120">
        <v>4053</v>
      </c>
      <c r="R471" t="s" s="120">
        <v>2662</v>
      </c>
      <c r="S471" s="121" cm="1">
        <f t="array" ref="S471">_xlfn.IFERROR(ISNUMBER(SEARCH("Conocer",$R471))/(ISNUMBER(SEARCH("Conocer",$R471))+ISNUMBER(SEARCH("Aplicar",$R471))+ISNUMBER(SEARCH("Razonar",$R471))),0)</f>
        <v>0</v>
      </c>
      <c r="T471" s="121" cm="1">
        <f t="array" ref="T471">_xlfn.IFERROR(ISNUMBER(SEARCH("Aplicar",$R471))/(ISNUMBER(SEARCH("Conocer",$R471))+ISNUMBER(SEARCH("Aplicar",$R471))+ISNUMBER(SEARCH("Razonar",$R471))),0)</f>
        <v>1</v>
      </c>
      <c r="U471" s="121" cm="1">
        <f t="array" ref="U471">_xlfn.IFERROR(ISNUMBER(SEARCH("Razonar",$R471))/(ISNUMBER(SEARCH("Conocer",$R471))+ISNUMBER(SEARCH("Aplicar",$R471))+ISNUMBER(SEARCH("Razonar",$R471))),0)</f>
        <v>0</v>
      </c>
      <c r="V471" t="s" s="35">
        <v>86</v>
      </c>
      <c r="W471" t="s" s="35">
        <v>115</v>
      </c>
      <c r="X471" s="36" cm="1">
        <f t="array" ref="X471">IF(OR(_xlfn.IFERROR(INDEX('Datos - Catálogo TIMSS'!$I$5:$I$107,MATCH(K471,'Datos - Catálogo TIMSS'!$A$5:$A$107,0)),"No")="Sí",_xlfn.IFERROR(INDEX('Datos - Catálogo TIMSS'!$I$5:$I$107,MATCH(L471,'Datos - Catálogo TIMSS'!$A$5:$A$107,0)),"No")="Sí"),1,0)</f>
        <v>0</v>
      </c>
      <c r="Y471" s="36" cm="1">
        <f t="array" ref="Y471">IF(_xlfn.IFERROR(INDEX('Datos - Catálogo TIMSS'!$J$5:$J$107,MATCH(K471,'Datos - Catálogo TIMSS'!$A$5:$A$107,0)),"No")="Sí",1,0)</f>
        <v>0</v>
      </c>
      <c r="Z471" s="36" cm="1">
        <f t="array" ref="Z471">IF(_xlfn.IFERROR(INDEX('Datos - Catálogo TIMSS'!$J$5:$J$107,MATCH(L471,'Datos - Catálogo TIMSS'!$A$5:$A$107,0)),"No")="Sí",1,0)</f>
        <v>0</v>
      </c>
      <c r="AA471" t="s" s="35">
        <v>2929</v>
      </c>
      <c r="AB471" s="39"/>
      <c r="AC471" t="str" s="39">
        <v>Física</v>
      </c>
      <c r="AD471" t="s" s="35">
        <v>1834</v>
      </c>
      <c r="AE471" t="str" s="39" cm="1">
        <f t="array" ref="AE471">IF(AD471="","",IF(LEFT(AD471,1)="1","C1",IF(LEFT(AD471,1)="2","C2",IF(LEFT(AD471,1)="3","C3",""))))</f>
        <v>C2</v>
      </c>
      <c r="AF471" t="s" s="35">
        <v>1602</v>
      </c>
      <c r="AG471" t="s" s="35">
        <v>1617</v>
      </c>
      <c r="AH471" t="s" s="35">
        <v>1605</v>
      </c>
      <c r="AI471" t="s" s="35">
        <v>1623</v>
      </c>
      <c r="AJ471" t="s" s="35">
        <v>1607</v>
      </c>
      <c r="AK471" t="s" s="35">
        <v>854</v>
      </c>
      <c r="AL471" s="39"/>
      <c r="AM471" t="str" s="39" cm="1">
        <f t="array" ref="AM471">IF(AK471="FUERA","Fuera del marco",_xlfn.IFERROR(INDEX('Datos - Catálogo PISA'!$C$5:$C$76,MATCH(AK471,'Datos - Catálogo PISA'!$A$5:$A$76,0)),"?"))</f>
        <v>Sistemas físicos</v>
      </c>
      <c r="AN471" t="s" s="35">
        <v>1651</v>
      </c>
      <c r="AO471" t="s" s="35">
        <v>3575</v>
      </c>
      <c r="AP471" s="39"/>
      <c r="AQ471" t="s" s="35">
        <v>1756</v>
      </c>
      <c r="AR471" s="39"/>
      <c r="AS471" t="s" s="35">
        <v>1771</v>
      </c>
      <c r="AT471" t="s" s="35">
        <v>254</v>
      </c>
      <c r="AU471" t="s" s="35">
        <v>4054</v>
      </c>
      <c r="AV471" t="s" s="35">
        <v>139</v>
      </c>
      <c r="AW471" t="str" s="39" cm="1">
        <f t="array" ref="AW471">AF471&amp;"; "&amp;AG471&amp;"; "&amp;AH471&amp;"; "&amp;AI471&amp;"; "&amp;AJ471</f>
        <v>E1; D1; E2; D4; E3</v>
      </c>
    </row>
    <row r="472" ht="13.65" customHeight="1">
      <c r="A472" t="s" s="35">
        <v>4055</v>
      </c>
      <c r="B472" s="36">
        <v>8</v>
      </c>
      <c r="C472" t="s" s="35">
        <v>1823</v>
      </c>
      <c r="D472" t="s" s="35">
        <v>3919</v>
      </c>
      <c r="E472" t="s" s="35">
        <v>4042</v>
      </c>
      <c r="F472" s="36">
        <v>6</v>
      </c>
      <c r="G472" t="s" s="35">
        <v>511</v>
      </c>
      <c r="H472" t="s" s="35">
        <v>4056</v>
      </c>
      <c r="I472" t="s" s="120">
        <v>4057</v>
      </c>
      <c r="J472" t="s" s="35">
        <v>1164</v>
      </c>
      <c r="K472" t="s" s="35">
        <v>569</v>
      </c>
      <c r="L472" s="39"/>
      <c r="M472" t="str" s="39">
        <v>Física</v>
      </c>
      <c r="N472" t="str" s="39">
        <v>Investigaciones en física</v>
      </c>
      <c r="O472" t="str" s="39" cm="1">
        <f t="array" ref="O472">IF(L472="","",_xlfn.IFERROR(INDEX('Datos - Catálogo TIMSS'!$C$5:$C$107,MATCH(L472,'Datos - Catálogo TIMSS'!$A$5:$A$107,0)),"?"))</f>
      </c>
      <c r="P472" t="s" s="35">
        <v>282</v>
      </c>
      <c r="Q472" t="s" s="120">
        <v>4058</v>
      </c>
      <c r="R472" t="s" s="120">
        <v>4059</v>
      </c>
      <c r="S472" s="121" cm="1">
        <f t="array" ref="S472">_xlfn.IFERROR(ISNUMBER(SEARCH("Conocer",$R472))/(ISNUMBER(SEARCH("Conocer",$R472))+ISNUMBER(SEARCH("Aplicar",$R472))+ISNUMBER(SEARCH("Razonar",$R472))),0)</f>
        <v>0</v>
      </c>
      <c r="T472" s="121" cm="1">
        <f t="array" ref="T472">_xlfn.IFERROR(ISNUMBER(SEARCH("Aplicar",$R472))/(ISNUMBER(SEARCH("Conocer",$R472))+ISNUMBER(SEARCH("Aplicar",$R472))+ISNUMBER(SEARCH("Razonar",$R472))),0)</f>
        <v>0.5</v>
      </c>
      <c r="U472" s="121" cm="1">
        <f t="array" ref="U472">_xlfn.IFERROR(ISNUMBER(SEARCH("Razonar",$R472))/(ISNUMBER(SEARCH("Conocer",$R472))+ISNUMBER(SEARCH("Aplicar",$R472))+ISNUMBER(SEARCH("Razonar",$R472))),0)</f>
        <v>0.5</v>
      </c>
      <c r="V472" t="s" s="35">
        <v>86</v>
      </c>
      <c r="W472" t="s" s="35">
        <v>115</v>
      </c>
      <c r="X472" s="36" cm="1">
        <f t="array" ref="X472">IF(OR(_xlfn.IFERROR(INDEX('Datos - Catálogo TIMSS'!$I$5:$I$107,MATCH(K472,'Datos - Catálogo TIMSS'!$A$5:$A$107,0)),"No")="Sí",_xlfn.IFERROR(INDEX('Datos - Catálogo TIMSS'!$I$5:$I$107,MATCH(L472,'Datos - Catálogo TIMSS'!$A$5:$A$107,0)),"No")="Sí"),1,0)</f>
        <v>0</v>
      </c>
      <c r="Y472" s="36" cm="1">
        <f t="array" ref="Y472">IF(_xlfn.IFERROR(INDEX('Datos - Catálogo TIMSS'!$J$5:$J$107,MATCH(K472,'Datos - Catálogo TIMSS'!$A$5:$A$107,0)),"No")="Sí",1,0)</f>
        <v>1</v>
      </c>
      <c r="Z472" s="36" cm="1">
        <f t="array" ref="Z472">IF(_xlfn.IFERROR(INDEX('Datos - Catálogo TIMSS'!$J$5:$J$107,MATCH(L472,'Datos - Catálogo TIMSS'!$A$5:$A$107,0)),"No")="Sí",1,0)</f>
        <v>0</v>
      </c>
      <c r="AA472" t="s" s="35">
        <v>2877</v>
      </c>
      <c r="AB472" s="39"/>
      <c r="AC472" t="str" s="39">
        <v>Física</v>
      </c>
      <c r="AD472" t="s" s="35">
        <v>1834</v>
      </c>
      <c r="AE472" t="str" s="39" cm="1">
        <f t="array" ref="AE472">IF(AD472="","",IF(LEFT(AD472,1)="1","C1",IF(LEFT(AD472,1)="2","C2",IF(LEFT(AD472,1)="3","C3",""))))</f>
        <v>C2</v>
      </c>
      <c r="AF472" t="s" s="35">
        <v>1602</v>
      </c>
      <c r="AG472" t="s" s="35">
        <v>1607</v>
      </c>
      <c r="AH472" t="s" s="35">
        <v>1602</v>
      </c>
      <c r="AI472" t="s" s="35">
        <v>1623</v>
      </c>
      <c r="AJ472" t="s" s="35">
        <v>1607</v>
      </c>
      <c r="AK472" t="s" s="35">
        <v>838</v>
      </c>
      <c r="AL472" s="39"/>
      <c r="AM472" t="str" s="39" cm="1">
        <f t="array" ref="AM472">IF(AK472="FUERA","Fuera del marco",_xlfn.IFERROR(INDEX('Datos - Catálogo PISA'!$C$5:$C$76,MATCH(AK472,'Datos - Catálogo PISA'!$A$5:$A$76,0)),"?"))</f>
        <v>Sistemas físicos</v>
      </c>
      <c r="AN472" t="s" s="35">
        <v>1652</v>
      </c>
      <c r="AO472" t="s" s="35">
        <v>3750</v>
      </c>
      <c r="AP472" s="39"/>
      <c r="AQ472" t="s" s="35">
        <v>1756</v>
      </c>
      <c r="AR472" s="39"/>
      <c r="AS472" t="s" s="35">
        <v>1771</v>
      </c>
      <c r="AT472" t="s" s="35">
        <v>282</v>
      </c>
      <c r="AU472" t="s" s="35">
        <v>4060</v>
      </c>
      <c r="AV472" t="s" s="35">
        <v>139</v>
      </c>
      <c r="AW472" t="str" s="39" cm="1">
        <f t="array" ref="AW472">AF472&amp;"; "&amp;AG472&amp;"; "&amp;AH472&amp;"; "&amp;AI472&amp;"; "&amp;AJ472</f>
        <v>E1; E3; E1; D4; E3</v>
      </c>
    </row>
    <row r="473" ht="13.65" customHeight="1">
      <c r="A473" t="s" s="35">
        <v>4061</v>
      </c>
      <c r="B473" s="36">
        <v>8</v>
      </c>
      <c r="C473" t="s" s="35">
        <v>1823</v>
      </c>
      <c r="D473" t="s" s="35">
        <v>3919</v>
      </c>
      <c r="E473" t="s" s="35">
        <v>4042</v>
      </c>
      <c r="F473" s="36">
        <v>7</v>
      </c>
      <c r="G473" t="s" s="35">
        <v>511</v>
      </c>
      <c r="H473" t="s" s="35">
        <v>4056</v>
      </c>
      <c r="I473" t="s" s="120">
        <v>4062</v>
      </c>
      <c r="J473" t="s" s="35">
        <v>1164</v>
      </c>
      <c r="K473" t="s" s="35">
        <v>569</v>
      </c>
      <c r="L473" s="39"/>
      <c r="M473" t="str" s="39">
        <v>Física</v>
      </c>
      <c r="N473" t="str" s="39">
        <v>Investigaciones en física</v>
      </c>
      <c r="O473" t="str" s="39" cm="1">
        <f t="array" ref="O473">IF(L473="","",_xlfn.IFERROR(INDEX('Datos - Catálogo TIMSS'!$C$5:$C$107,MATCH(L473,'Datos - Catálogo TIMSS'!$A$5:$A$107,0)),"?"))</f>
      </c>
      <c r="P473" t="s" s="35">
        <v>282</v>
      </c>
      <c r="Q473" t="s" s="120">
        <v>4063</v>
      </c>
      <c r="R473" t="s" s="120">
        <v>2962</v>
      </c>
      <c r="S473" s="121" cm="1">
        <f t="array" ref="S473">_xlfn.IFERROR(ISNUMBER(SEARCH("Conocer",$R473))/(ISNUMBER(SEARCH("Conocer",$R473))+ISNUMBER(SEARCH("Aplicar",$R473))+ISNUMBER(SEARCH("Razonar",$R473))),0)</f>
        <v>0</v>
      </c>
      <c r="T473" s="121" cm="1">
        <f t="array" ref="T473">_xlfn.IFERROR(ISNUMBER(SEARCH("Aplicar",$R473))/(ISNUMBER(SEARCH("Conocer",$R473))+ISNUMBER(SEARCH("Aplicar",$R473))+ISNUMBER(SEARCH("Razonar",$R473))),0)</f>
        <v>1</v>
      </c>
      <c r="U473" s="121" cm="1">
        <f t="array" ref="U473">_xlfn.IFERROR(ISNUMBER(SEARCH("Razonar",$R473))/(ISNUMBER(SEARCH("Conocer",$R473))+ISNUMBER(SEARCH("Aplicar",$R473))+ISNUMBER(SEARCH("Razonar",$R473))),0)</f>
        <v>0</v>
      </c>
      <c r="V473" t="s" s="35">
        <v>86</v>
      </c>
      <c r="W473" t="s" s="35">
        <v>115</v>
      </c>
      <c r="X473" s="36" cm="1">
        <f t="array" ref="X473">IF(OR(_xlfn.IFERROR(INDEX('Datos - Catálogo TIMSS'!$I$5:$I$107,MATCH(K473,'Datos - Catálogo TIMSS'!$A$5:$A$107,0)),"No")="Sí",_xlfn.IFERROR(INDEX('Datos - Catálogo TIMSS'!$I$5:$I$107,MATCH(L473,'Datos - Catálogo TIMSS'!$A$5:$A$107,0)),"No")="Sí"),1,0)</f>
        <v>0</v>
      </c>
      <c r="Y473" s="36" cm="1">
        <f t="array" ref="Y473">IF(_xlfn.IFERROR(INDEX('Datos - Catálogo TIMSS'!$J$5:$J$107,MATCH(K473,'Datos - Catálogo TIMSS'!$A$5:$A$107,0)),"No")="Sí",1,0)</f>
        <v>1</v>
      </c>
      <c r="Z473" s="36" cm="1">
        <f t="array" ref="Z473">IF(_xlfn.IFERROR(INDEX('Datos - Catálogo TIMSS'!$J$5:$J$107,MATCH(L473,'Datos - Catálogo TIMSS'!$A$5:$A$107,0)),"No")="Sí",1,0)</f>
        <v>0</v>
      </c>
      <c r="AA473" t="s" s="35">
        <v>2877</v>
      </c>
      <c r="AB473" s="39"/>
      <c r="AC473" t="str" s="39">
        <v>Física</v>
      </c>
      <c r="AD473" t="s" s="35">
        <v>1834</v>
      </c>
      <c r="AE473" t="str" s="39" cm="1">
        <f t="array" ref="AE473">IF(AD473="","",IF(LEFT(AD473,1)="1","C1",IF(LEFT(AD473,1)="2","C2",IF(LEFT(AD473,1)="3","C3",""))))</f>
        <v>C2</v>
      </c>
      <c r="AF473" t="s" s="35">
        <v>1602</v>
      </c>
      <c r="AG473" t="s" s="35">
        <v>1617</v>
      </c>
      <c r="AH473" t="s" s="35">
        <v>1602</v>
      </c>
      <c r="AI473" t="s" s="35">
        <v>1623</v>
      </c>
      <c r="AJ473" t="s" s="35">
        <v>1607</v>
      </c>
      <c r="AK473" t="s" s="35">
        <v>838</v>
      </c>
      <c r="AL473" s="39"/>
      <c r="AM473" t="str" s="39" cm="1">
        <f t="array" ref="AM473">IF(AK473="FUERA","Fuera del marco",_xlfn.IFERROR(INDEX('Datos - Catálogo PISA'!$C$5:$C$76,MATCH(AK473,'Datos - Catálogo PISA'!$A$5:$A$76,0)),"?"))</f>
        <v>Sistemas físicos</v>
      </c>
      <c r="AN473" t="s" s="35">
        <v>1651</v>
      </c>
      <c r="AO473" t="s" s="35">
        <v>3488</v>
      </c>
      <c r="AP473" t="s" s="35">
        <v>4064</v>
      </c>
      <c r="AQ473" t="s" s="35">
        <v>1756</v>
      </c>
      <c r="AR473" s="39"/>
      <c r="AS473" t="s" s="35">
        <v>1771</v>
      </c>
      <c r="AT473" t="s" s="35">
        <v>282</v>
      </c>
      <c r="AU473" t="s" s="35">
        <v>4065</v>
      </c>
      <c r="AV473" t="s" s="35">
        <v>139</v>
      </c>
      <c r="AW473" t="str" s="39" cm="1">
        <f t="array" ref="AW473">AF473&amp;"; "&amp;AG473&amp;"; "&amp;AH473&amp;"; "&amp;AI473&amp;"; "&amp;AJ473</f>
        <v>E1; D1; E1; D4; E3</v>
      </c>
    </row>
    <row r="474" ht="13.65" customHeight="1">
      <c r="A474" t="s" s="35">
        <v>4066</v>
      </c>
      <c r="B474" s="36">
        <v>8</v>
      </c>
      <c r="C474" t="s" s="35">
        <v>1823</v>
      </c>
      <c r="D474" t="s" s="35">
        <v>3919</v>
      </c>
      <c r="E474" t="s" s="35">
        <v>4042</v>
      </c>
      <c r="F474" s="36">
        <v>8</v>
      </c>
      <c r="G474" t="s" s="35">
        <v>511</v>
      </c>
      <c r="H474" t="s" s="35">
        <v>4056</v>
      </c>
      <c r="I474" t="s" s="120">
        <v>4067</v>
      </c>
      <c r="J474" t="s" s="35">
        <v>1164</v>
      </c>
      <c r="K474" t="s" s="35">
        <v>569</v>
      </c>
      <c r="L474" s="39"/>
      <c r="M474" t="str" s="39">
        <v>Física</v>
      </c>
      <c r="N474" t="str" s="39">
        <v>Investigaciones en física</v>
      </c>
      <c r="O474" t="str" s="39" cm="1">
        <f t="array" ref="O474">IF(L474="","",_xlfn.IFERROR(INDEX('Datos - Catálogo TIMSS'!$C$5:$C$107,MATCH(L474,'Datos - Catálogo TIMSS'!$A$5:$A$107,0)),"?"))</f>
      </c>
      <c r="P474" t="s" s="35">
        <v>254</v>
      </c>
      <c r="Q474" t="s" s="120">
        <v>4068</v>
      </c>
      <c r="R474" t="s" s="120">
        <v>2154</v>
      </c>
      <c r="S474" s="121" cm="1">
        <f t="array" ref="S474">_xlfn.IFERROR(ISNUMBER(SEARCH("Conocer",$R474))/(ISNUMBER(SEARCH("Conocer",$R474))+ISNUMBER(SEARCH("Aplicar",$R474))+ISNUMBER(SEARCH("Razonar",$R474))),0)</f>
        <v>0</v>
      </c>
      <c r="T474" s="121" cm="1">
        <f t="array" ref="T474">_xlfn.IFERROR(ISNUMBER(SEARCH("Aplicar",$R474))/(ISNUMBER(SEARCH("Conocer",$R474))+ISNUMBER(SEARCH("Aplicar",$R474))+ISNUMBER(SEARCH("Razonar",$R474))),0)</f>
        <v>0</v>
      </c>
      <c r="U474" s="121" cm="1">
        <f t="array" ref="U474">_xlfn.IFERROR(ISNUMBER(SEARCH("Razonar",$R474))/(ISNUMBER(SEARCH("Conocer",$R474))+ISNUMBER(SEARCH("Aplicar",$R474))+ISNUMBER(SEARCH("Razonar",$R474))),0)</f>
        <v>1</v>
      </c>
      <c r="V474" t="s" s="35">
        <v>86</v>
      </c>
      <c r="W474" t="s" s="35">
        <v>115</v>
      </c>
      <c r="X474" s="36" cm="1">
        <f t="array" ref="X474">IF(OR(_xlfn.IFERROR(INDEX('Datos - Catálogo TIMSS'!$I$5:$I$107,MATCH(K474,'Datos - Catálogo TIMSS'!$A$5:$A$107,0)),"No")="Sí",_xlfn.IFERROR(INDEX('Datos - Catálogo TIMSS'!$I$5:$I$107,MATCH(L474,'Datos - Catálogo TIMSS'!$A$5:$A$107,0)),"No")="Sí"),1,0)</f>
        <v>0</v>
      </c>
      <c r="Y474" s="36" cm="1">
        <f t="array" ref="Y474">IF(_xlfn.IFERROR(INDEX('Datos - Catálogo TIMSS'!$J$5:$J$107,MATCH(K474,'Datos - Catálogo TIMSS'!$A$5:$A$107,0)),"No")="Sí",1,0)</f>
        <v>1</v>
      </c>
      <c r="Z474" s="36" cm="1">
        <f t="array" ref="Z474">IF(_xlfn.IFERROR(INDEX('Datos - Catálogo TIMSS'!$J$5:$J$107,MATCH(L474,'Datos - Catálogo TIMSS'!$A$5:$A$107,0)),"No")="Sí",1,0)</f>
        <v>0</v>
      </c>
      <c r="AA474" t="s" s="35">
        <v>2877</v>
      </c>
      <c r="AB474" s="39"/>
      <c r="AC474" t="str" s="39">
        <v>Física</v>
      </c>
      <c r="AD474" t="s" s="35">
        <v>1834</v>
      </c>
      <c r="AE474" t="str" s="39" cm="1">
        <f t="array" ref="AE474">IF(AD474="","",IF(LEFT(AD474,1)="1","C1",IF(LEFT(AD474,1)="2","C2",IF(LEFT(AD474,1)="3","C3",""))))</f>
        <v>C2</v>
      </c>
      <c r="AF474" t="s" s="35">
        <v>1602</v>
      </c>
      <c r="AG474" t="s" s="35">
        <v>1617</v>
      </c>
      <c r="AH474" t="s" s="35">
        <v>1607</v>
      </c>
      <c r="AI474" t="s" s="35">
        <v>1619</v>
      </c>
      <c r="AJ474" t="s" s="35">
        <v>1621</v>
      </c>
      <c r="AK474" t="s" s="35">
        <v>838</v>
      </c>
      <c r="AL474" s="39"/>
      <c r="AM474" t="str" s="39" cm="1">
        <f t="array" ref="AM474">IF(AK474="FUERA","Fuera del marco",_xlfn.IFERROR(INDEX('Datos - Catálogo PISA'!$C$5:$C$76,MATCH(AK474,'Datos - Catálogo PISA'!$A$5:$A$76,0)),"?"))</f>
        <v>Sistemas físicos</v>
      </c>
      <c r="AN474" t="s" s="35">
        <v>1652</v>
      </c>
      <c r="AO474" t="s" s="35">
        <v>4069</v>
      </c>
      <c r="AP474" t="s" s="35">
        <v>4070</v>
      </c>
      <c r="AQ474" t="s" s="35">
        <v>1756</v>
      </c>
      <c r="AR474" s="39"/>
      <c r="AS474" t="s" s="35">
        <v>1772</v>
      </c>
      <c r="AT474" t="s" s="35">
        <v>282</v>
      </c>
      <c r="AU474" t="s" s="35">
        <v>4071</v>
      </c>
      <c r="AV474" t="s" s="35">
        <v>139</v>
      </c>
      <c r="AW474" t="str" s="39" cm="1">
        <f t="array" ref="AW474">AF474&amp;"; "&amp;AG474&amp;"; "&amp;AH474&amp;"; "&amp;AI474&amp;"; "&amp;AJ474</f>
        <v>E1; D1; E3; D2; D3</v>
      </c>
    </row>
    <row r="475" ht="13.65" customHeight="1">
      <c r="A475" t="s" s="35">
        <v>4073</v>
      </c>
      <c r="B475" s="36">
        <v>8</v>
      </c>
      <c r="C475" t="s" s="35">
        <v>1823</v>
      </c>
      <c r="D475" t="s" s="35">
        <v>3919</v>
      </c>
      <c r="E475" t="s" s="35">
        <v>4042</v>
      </c>
      <c r="F475" s="36">
        <v>9</v>
      </c>
      <c r="G475" t="s" s="35">
        <v>511</v>
      </c>
      <c r="H475" t="s" s="35">
        <v>4074</v>
      </c>
      <c r="I475" t="s" s="120">
        <v>4075</v>
      </c>
      <c r="J475" t="s" s="35">
        <v>1164</v>
      </c>
      <c r="K475" t="s" s="35">
        <v>540</v>
      </c>
      <c r="L475" s="39"/>
      <c r="M475" t="str" s="39">
        <v>Física</v>
      </c>
      <c r="N475" t="str" s="39">
        <v>Luz y sonido</v>
      </c>
      <c r="O475" t="str" s="39" cm="1">
        <f t="array" ref="O475">IF(L475="","",_xlfn.IFERROR(INDEX('Datos - Catálogo TIMSS'!$C$5:$C$107,MATCH(L475,'Datos - Catálogo TIMSS'!$A$5:$A$107,0)),"?"))</f>
      </c>
      <c r="P475" t="s" s="35">
        <v>254</v>
      </c>
      <c r="Q475" t="s" s="120">
        <v>4076</v>
      </c>
      <c r="R475" t="s" s="120">
        <v>3023</v>
      </c>
      <c r="S475" s="121" cm="1">
        <f t="array" ref="S475">_xlfn.IFERROR(ISNUMBER(SEARCH("Conocer",$R475))/(ISNUMBER(SEARCH("Conocer",$R475))+ISNUMBER(SEARCH("Aplicar",$R475))+ISNUMBER(SEARCH("Razonar",$R475))),0)</f>
        <v>0</v>
      </c>
      <c r="T475" s="121" cm="1">
        <f t="array" ref="T475">_xlfn.IFERROR(ISNUMBER(SEARCH("Aplicar",$R475))/(ISNUMBER(SEARCH("Conocer",$R475))+ISNUMBER(SEARCH("Aplicar",$R475))+ISNUMBER(SEARCH("Razonar",$R475))),0)</f>
        <v>1</v>
      </c>
      <c r="U475" s="121" cm="1">
        <f t="array" ref="U475">_xlfn.IFERROR(ISNUMBER(SEARCH("Razonar",$R475))/(ISNUMBER(SEARCH("Conocer",$R475))+ISNUMBER(SEARCH("Aplicar",$R475))+ISNUMBER(SEARCH("Razonar",$R475))),0)</f>
        <v>0</v>
      </c>
      <c r="V475" t="s" s="35">
        <v>86</v>
      </c>
      <c r="W475" t="s" s="35">
        <v>115</v>
      </c>
      <c r="X475" s="36" cm="1">
        <f t="array" ref="X475">IF(OR(_xlfn.IFERROR(INDEX('Datos - Catálogo TIMSS'!$I$5:$I$107,MATCH(K475,'Datos - Catálogo TIMSS'!$A$5:$A$107,0)),"No")="Sí",_xlfn.IFERROR(INDEX('Datos - Catálogo TIMSS'!$I$5:$I$107,MATCH(L475,'Datos - Catálogo TIMSS'!$A$5:$A$107,0)),"No")="Sí"),1,0)</f>
        <v>0</v>
      </c>
      <c r="Y475" s="36" cm="1">
        <f t="array" ref="Y475">IF(_xlfn.IFERROR(INDEX('Datos - Catálogo TIMSS'!$J$5:$J$107,MATCH(K475,'Datos - Catálogo TIMSS'!$A$5:$A$107,0)),"No")="Sí",1,0)</f>
        <v>0</v>
      </c>
      <c r="Z475" s="36" cm="1">
        <f t="array" ref="Z475">IF(_xlfn.IFERROR(INDEX('Datos - Catálogo TIMSS'!$J$5:$J$107,MATCH(L475,'Datos - Catálogo TIMSS'!$A$5:$A$107,0)),"No")="Sí",1,0)</f>
        <v>0</v>
      </c>
      <c r="AA475" t="s" s="35">
        <v>4077</v>
      </c>
      <c r="AB475" s="39"/>
      <c r="AC475" t="str" s="39">
        <v>Física</v>
      </c>
      <c r="AD475" t="s" s="35">
        <v>1834</v>
      </c>
      <c r="AE475" t="str" s="39" cm="1">
        <f t="array" ref="AE475">IF(AD475="","",IF(LEFT(AD475,1)="1","C1",IF(LEFT(AD475,1)="2","C2",IF(LEFT(AD475,1)="3","C3",""))))</f>
        <v>C2</v>
      </c>
      <c r="AF475" t="s" s="35">
        <v>1602</v>
      </c>
      <c r="AG475" t="s" s="35">
        <v>1617</v>
      </c>
      <c r="AH475" t="s" s="35">
        <v>1602</v>
      </c>
      <c r="AI475" t="s" s="35">
        <v>1623</v>
      </c>
      <c r="AJ475" t="s" s="35">
        <v>1602</v>
      </c>
      <c r="AK475" t="s" s="35">
        <v>826</v>
      </c>
      <c r="AL475" s="39"/>
      <c r="AM475" t="str" s="39" cm="1">
        <f t="array" ref="AM475">IF(AK475="FUERA","Fuera del marco",_xlfn.IFERROR(INDEX('Datos - Catálogo PISA'!$C$5:$C$76,MATCH(AK475,'Datos - Catálogo PISA'!$A$5:$A$76,0)),"?"))</f>
        <v>Sistemas físicos</v>
      </c>
      <c r="AN475" t="s" s="35">
        <v>1651</v>
      </c>
      <c r="AO475" s="39"/>
      <c r="AP475" s="39"/>
      <c r="AQ475" t="s" s="35">
        <v>1756</v>
      </c>
      <c r="AR475" s="39"/>
      <c r="AS475" t="s" s="35">
        <v>1770</v>
      </c>
      <c r="AT475" t="s" s="35">
        <v>254</v>
      </c>
      <c r="AU475" t="s" s="35">
        <v>4078</v>
      </c>
      <c r="AV475" t="s" s="35">
        <v>139</v>
      </c>
      <c r="AW475" t="str" s="39" cm="1">
        <f t="array" ref="AW475">AF475&amp;"; "&amp;AG475&amp;"; "&amp;AH475&amp;"; "&amp;AI475&amp;"; "&amp;AJ475</f>
        <v>E1; D1; E1; D4; E1</v>
      </c>
    </row>
    <row r="476" ht="13.65" customHeight="1">
      <c r="A476" t="s" s="35">
        <v>4079</v>
      </c>
      <c r="B476" s="36">
        <v>8</v>
      </c>
      <c r="C476" t="s" s="35">
        <v>1823</v>
      </c>
      <c r="D476" t="s" s="35">
        <v>3919</v>
      </c>
      <c r="E476" t="s" s="35">
        <v>4042</v>
      </c>
      <c r="F476" s="36">
        <v>10</v>
      </c>
      <c r="G476" t="s" s="35">
        <v>511</v>
      </c>
      <c r="H476" t="s" s="35">
        <v>4074</v>
      </c>
      <c r="I476" t="s" s="120">
        <v>4080</v>
      </c>
      <c r="J476" t="s" s="35">
        <v>1164</v>
      </c>
      <c r="K476" t="s" s="35">
        <v>540</v>
      </c>
      <c r="L476" t="s" s="35">
        <v>569</v>
      </c>
      <c r="M476" t="str" s="39">
        <v>Física</v>
      </c>
      <c r="N476" t="str" s="39">
        <v>Luz y sonido</v>
      </c>
      <c r="O476" t="str" s="39" cm="1">
        <f t="array" ref="O476">IF(L476="","",_xlfn.IFERROR(INDEX('Datos - Catálogo TIMSS'!$C$5:$C$107,MATCH(L476,'Datos - Catálogo TIMSS'!$A$5:$A$107,0)),"?"))</f>
        <v>Física</v>
      </c>
      <c r="P476" t="s" s="35">
        <v>254</v>
      </c>
      <c r="Q476" t="s" s="120">
        <v>4081</v>
      </c>
      <c r="R476" t="s" s="120">
        <v>4082</v>
      </c>
      <c r="S476" s="121" cm="1">
        <f t="array" ref="S476">_xlfn.IFERROR(ISNUMBER(SEARCH("Conocer",$R476))/(ISNUMBER(SEARCH("Conocer",$R476))+ISNUMBER(SEARCH("Aplicar",$R476))+ISNUMBER(SEARCH("Razonar",$R476))),0)</f>
        <v>0</v>
      </c>
      <c r="T476" s="121" cm="1">
        <f t="array" ref="T476">_xlfn.IFERROR(ISNUMBER(SEARCH("Aplicar",$R476))/(ISNUMBER(SEARCH("Conocer",$R476))+ISNUMBER(SEARCH("Aplicar",$R476))+ISNUMBER(SEARCH("Razonar",$R476))),0)</f>
        <v>0.5</v>
      </c>
      <c r="U476" s="121" cm="1">
        <f t="array" ref="U476">_xlfn.IFERROR(ISNUMBER(SEARCH("Razonar",$R476))/(ISNUMBER(SEARCH("Conocer",$R476))+ISNUMBER(SEARCH("Aplicar",$R476))+ISNUMBER(SEARCH("Razonar",$R476))),0)</f>
        <v>0.5</v>
      </c>
      <c r="V476" t="s" s="35">
        <v>86</v>
      </c>
      <c r="W476" t="s" s="35">
        <v>115</v>
      </c>
      <c r="X476" s="36" cm="1">
        <f t="array" ref="X476">IF(OR(_xlfn.IFERROR(INDEX('Datos - Catálogo TIMSS'!$I$5:$I$107,MATCH(K476,'Datos - Catálogo TIMSS'!$A$5:$A$107,0)),"No")="Sí",_xlfn.IFERROR(INDEX('Datos - Catálogo TIMSS'!$I$5:$I$107,MATCH(L476,'Datos - Catálogo TIMSS'!$A$5:$A$107,0)),"No")="Sí"),1,0)</f>
        <v>0</v>
      </c>
      <c r="Y476" s="36" cm="1">
        <f t="array" ref="Y476">IF(_xlfn.IFERROR(INDEX('Datos - Catálogo TIMSS'!$J$5:$J$107,MATCH(K476,'Datos - Catálogo TIMSS'!$A$5:$A$107,0)),"No")="Sí",1,0)</f>
        <v>0</v>
      </c>
      <c r="Z476" s="36" cm="1">
        <f t="array" ref="Z476">IF(_xlfn.IFERROR(INDEX('Datos - Catálogo TIMSS'!$J$5:$J$107,MATCH(L476,'Datos - Catálogo TIMSS'!$A$5:$A$107,0)),"No")="Sí",1,0)</f>
        <v>1</v>
      </c>
      <c r="AA476" t="s" s="35">
        <v>4077</v>
      </c>
      <c r="AB476" s="39"/>
      <c r="AC476" t="str" s="39">
        <v>Física</v>
      </c>
      <c r="AD476" t="s" s="35">
        <v>1834</v>
      </c>
      <c r="AE476" t="str" s="39" cm="1">
        <f t="array" ref="AE476">IF(AD476="","",IF(LEFT(AD476,1)="1","C1",IF(LEFT(AD476,1)="2","C2",IF(LEFT(AD476,1)="3","C3",""))))</f>
        <v>C2</v>
      </c>
      <c r="AF476" t="s" s="35">
        <v>1602</v>
      </c>
      <c r="AG476" t="s" s="35">
        <v>1607</v>
      </c>
      <c r="AH476" t="s" s="35">
        <v>1602</v>
      </c>
      <c r="AI476" t="s" s="35">
        <v>1623</v>
      </c>
      <c r="AJ476" t="s" s="35">
        <v>1615</v>
      </c>
      <c r="AK476" t="s" s="35">
        <v>826</v>
      </c>
      <c r="AL476" s="39"/>
      <c r="AM476" t="str" s="39" cm="1">
        <f t="array" ref="AM476">IF(AK476="FUERA","Fuera del marco",_xlfn.IFERROR(INDEX('Datos - Catálogo PISA'!$C$5:$C$76,MATCH(AK476,'Datos - Catálogo PISA'!$A$5:$A$76,0)),"?"))</f>
        <v>Sistemas físicos</v>
      </c>
      <c r="AN476" t="s" s="35">
        <v>1651</v>
      </c>
      <c r="AO476" t="s" s="35">
        <v>3962</v>
      </c>
      <c r="AP476" s="39"/>
      <c r="AQ476" t="s" s="35">
        <v>1756</v>
      </c>
      <c r="AR476" s="39"/>
      <c r="AS476" t="s" s="35">
        <v>1771</v>
      </c>
      <c r="AT476" t="s" s="35">
        <v>254</v>
      </c>
      <c r="AU476" t="s" s="35">
        <v>4083</v>
      </c>
      <c r="AV476" t="s" s="35">
        <v>139</v>
      </c>
      <c r="AW476" t="str" s="39" cm="1">
        <f t="array" ref="AW476">AF476&amp;"; "&amp;AG476&amp;"; "&amp;AH476&amp;"; "&amp;AI476&amp;"; "&amp;AJ476</f>
        <v>E1; E3; E1; D4; E6</v>
      </c>
    </row>
    <row r="477" ht="13.65" customHeight="1">
      <c r="A477" t="s" s="35">
        <v>4084</v>
      </c>
      <c r="B477" s="36">
        <v>8</v>
      </c>
      <c r="C477" t="s" s="35">
        <v>1823</v>
      </c>
      <c r="D477" t="s" s="35">
        <v>3919</v>
      </c>
      <c r="E477" t="s" s="35">
        <v>4042</v>
      </c>
      <c r="F477" s="36">
        <v>11</v>
      </c>
      <c r="G477" t="s" s="35">
        <v>511</v>
      </c>
      <c r="H477" t="s" s="35">
        <v>4074</v>
      </c>
      <c r="I477" t="s" s="120">
        <v>4085</v>
      </c>
      <c r="J477" t="s" s="35">
        <v>1164</v>
      </c>
      <c r="K477" t="s" s="35">
        <v>540</v>
      </c>
      <c r="L477" s="39"/>
      <c r="M477" t="str" s="39">
        <v>Física</v>
      </c>
      <c r="N477" t="str" s="39">
        <v>Luz y sonido</v>
      </c>
      <c r="O477" t="str" s="39" cm="1">
        <f t="array" ref="O477">IF(L477="","",_xlfn.IFERROR(INDEX('Datos - Catálogo TIMSS'!$C$5:$C$107,MATCH(L477,'Datos - Catálogo TIMSS'!$A$5:$A$107,0)),"?"))</f>
      </c>
      <c r="P477" t="s" s="35">
        <v>282</v>
      </c>
      <c r="Q477" t="s" s="120">
        <v>4086</v>
      </c>
      <c r="R477" t="s" s="120">
        <v>3943</v>
      </c>
      <c r="S477" s="121" cm="1">
        <f t="array" ref="S477">_xlfn.IFERROR(ISNUMBER(SEARCH("Conocer",$R477))/(ISNUMBER(SEARCH("Conocer",$R477))+ISNUMBER(SEARCH("Aplicar",$R477))+ISNUMBER(SEARCH("Razonar",$R477))),0)</f>
        <v>0</v>
      </c>
      <c r="T477" s="121" cm="1">
        <f t="array" ref="T477">_xlfn.IFERROR(ISNUMBER(SEARCH("Aplicar",$R477))/(ISNUMBER(SEARCH("Conocer",$R477))+ISNUMBER(SEARCH("Aplicar",$R477))+ISNUMBER(SEARCH("Razonar",$R477))),0)</f>
        <v>1</v>
      </c>
      <c r="U477" s="121" cm="1">
        <f t="array" ref="U477">_xlfn.IFERROR(ISNUMBER(SEARCH("Razonar",$R477))/(ISNUMBER(SEARCH("Conocer",$R477))+ISNUMBER(SEARCH("Aplicar",$R477))+ISNUMBER(SEARCH("Razonar",$R477))),0)</f>
        <v>0</v>
      </c>
      <c r="V477" t="s" s="35">
        <v>86</v>
      </c>
      <c r="W477" t="s" s="35">
        <v>115</v>
      </c>
      <c r="X477" s="36" cm="1">
        <f t="array" ref="X477">IF(OR(_xlfn.IFERROR(INDEX('Datos - Catálogo TIMSS'!$I$5:$I$107,MATCH(K477,'Datos - Catálogo TIMSS'!$A$5:$A$107,0)),"No")="Sí",_xlfn.IFERROR(INDEX('Datos - Catálogo TIMSS'!$I$5:$I$107,MATCH(L477,'Datos - Catálogo TIMSS'!$A$5:$A$107,0)),"No")="Sí"),1,0)</f>
        <v>0</v>
      </c>
      <c r="Y477" s="36" cm="1">
        <f t="array" ref="Y477">IF(_xlfn.IFERROR(INDEX('Datos - Catálogo TIMSS'!$J$5:$J$107,MATCH(K477,'Datos - Catálogo TIMSS'!$A$5:$A$107,0)),"No")="Sí",1,0)</f>
        <v>0</v>
      </c>
      <c r="Z477" s="36" cm="1">
        <f t="array" ref="Z477">IF(_xlfn.IFERROR(INDEX('Datos - Catálogo TIMSS'!$J$5:$J$107,MATCH(L477,'Datos - Catálogo TIMSS'!$A$5:$A$107,0)),"No")="Sí",1,0)</f>
        <v>0</v>
      </c>
      <c r="AA477" t="s" s="35">
        <v>4077</v>
      </c>
      <c r="AB477" s="39"/>
      <c r="AC477" t="str" s="39">
        <v>Física</v>
      </c>
      <c r="AD477" t="s" s="35">
        <v>1834</v>
      </c>
      <c r="AE477" t="str" s="39" cm="1">
        <f t="array" ref="AE477">IF(AD477="","",IF(LEFT(AD477,1)="1","C1",IF(LEFT(AD477,1)="2","C2",IF(LEFT(AD477,1)="3","C3",""))))</f>
        <v>C2</v>
      </c>
      <c r="AF477" t="s" s="35">
        <v>1602</v>
      </c>
      <c r="AG477" t="s" s="35">
        <v>1617</v>
      </c>
      <c r="AH477" t="s" s="35">
        <v>1605</v>
      </c>
      <c r="AI477" t="s" s="35">
        <v>1623</v>
      </c>
      <c r="AJ477" t="s" s="35">
        <v>1607</v>
      </c>
      <c r="AK477" t="s" s="35">
        <v>826</v>
      </c>
      <c r="AL477" s="39"/>
      <c r="AM477" t="str" s="39" cm="1">
        <f t="array" ref="AM477">IF(AK477="FUERA","Fuera del marco",_xlfn.IFERROR(INDEX('Datos - Catálogo PISA'!$C$5:$C$76,MATCH(AK477,'Datos - Catálogo PISA'!$A$5:$A$76,0)),"?"))</f>
        <v>Sistemas físicos</v>
      </c>
      <c r="AN477" t="s" s="35">
        <v>1651</v>
      </c>
      <c r="AO477" t="s" s="35">
        <v>3575</v>
      </c>
      <c r="AP477" s="39"/>
      <c r="AQ477" t="s" s="35">
        <v>1756</v>
      </c>
      <c r="AR477" s="39"/>
      <c r="AS477" t="s" s="35">
        <v>1771</v>
      </c>
      <c r="AT477" t="s" s="35">
        <v>254</v>
      </c>
      <c r="AU477" t="s" s="35">
        <v>4087</v>
      </c>
      <c r="AV477" t="s" s="35">
        <v>139</v>
      </c>
      <c r="AW477" t="str" s="39" cm="1">
        <f t="array" ref="AW477">AF477&amp;"; "&amp;AG477&amp;"; "&amp;AH477&amp;"; "&amp;AI477&amp;"; "&amp;AJ477</f>
        <v>E1; D1; E2; D4; E3</v>
      </c>
    </row>
    <row r="478" ht="13.65" customHeight="1">
      <c r="A478" t="s" s="35">
        <v>4088</v>
      </c>
      <c r="B478" s="36">
        <v>8</v>
      </c>
      <c r="C478" t="s" s="35">
        <v>1823</v>
      </c>
      <c r="D478" t="s" s="35">
        <v>3919</v>
      </c>
      <c r="E478" t="s" s="35">
        <v>4042</v>
      </c>
      <c r="F478" s="36">
        <v>12</v>
      </c>
      <c r="G478" t="s" s="35">
        <v>511</v>
      </c>
      <c r="H478" t="s" s="35">
        <v>4074</v>
      </c>
      <c r="I478" t="s" s="120">
        <v>4089</v>
      </c>
      <c r="J478" t="s" s="35">
        <v>1164</v>
      </c>
      <c r="K478" t="s" s="35">
        <v>540</v>
      </c>
      <c r="L478" s="39"/>
      <c r="M478" t="str" s="39">
        <v>Física</v>
      </c>
      <c r="N478" t="str" s="39">
        <v>Luz y sonido</v>
      </c>
      <c r="O478" t="str" s="39" cm="1">
        <f t="array" ref="O478">IF(L478="","",_xlfn.IFERROR(INDEX('Datos - Catálogo TIMSS'!$C$5:$C$107,MATCH(L478,'Datos - Catálogo TIMSS'!$A$5:$A$107,0)),"?"))</f>
      </c>
      <c r="P478" t="s" s="35">
        <v>254</v>
      </c>
      <c r="Q478" t="s" s="120">
        <v>4090</v>
      </c>
      <c r="R478" t="s" s="120">
        <v>3023</v>
      </c>
      <c r="S478" s="121" cm="1">
        <f t="array" ref="S478">_xlfn.IFERROR(ISNUMBER(SEARCH("Conocer",$R478))/(ISNUMBER(SEARCH("Conocer",$R478))+ISNUMBER(SEARCH("Aplicar",$R478))+ISNUMBER(SEARCH("Razonar",$R478))),0)</f>
        <v>0</v>
      </c>
      <c r="T478" s="121" cm="1">
        <f t="array" ref="T478">_xlfn.IFERROR(ISNUMBER(SEARCH("Aplicar",$R478))/(ISNUMBER(SEARCH("Conocer",$R478))+ISNUMBER(SEARCH("Aplicar",$R478))+ISNUMBER(SEARCH("Razonar",$R478))),0)</f>
        <v>1</v>
      </c>
      <c r="U478" s="121" cm="1">
        <f t="array" ref="U478">_xlfn.IFERROR(ISNUMBER(SEARCH("Razonar",$R478))/(ISNUMBER(SEARCH("Conocer",$R478))+ISNUMBER(SEARCH("Aplicar",$R478))+ISNUMBER(SEARCH("Razonar",$R478))),0)</f>
        <v>0</v>
      </c>
      <c r="V478" t="s" s="35">
        <v>86</v>
      </c>
      <c r="W478" t="s" s="35">
        <v>115</v>
      </c>
      <c r="X478" s="36" cm="1">
        <f t="array" ref="X478">IF(OR(_xlfn.IFERROR(INDEX('Datos - Catálogo TIMSS'!$I$5:$I$107,MATCH(K478,'Datos - Catálogo TIMSS'!$A$5:$A$107,0)),"No")="Sí",_xlfn.IFERROR(INDEX('Datos - Catálogo TIMSS'!$I$5:$I$107,MATCH(L478,'Datos - Catálogo TIMSS'!$A$5:$A$107,0)),"No")="Sí"),1,0)</f>
        <v>0</v>
      </c>
      <c r="Y478" s="36" cm="1">
        <f t="array" ref="Y478">IF(_xlfn.IFERROR(INDEX('Datos - Catálogo TIMSS'!$J$5:$J$107,MATCH(K478,'Datos - Catálogo TIMSS'!$A$5:$A$107,0)),"No")="Sí",1,0)</f>
        <v>0</v>
      </c>
      <c r="Z478" s="36" cm="1">
        <f t="array" ref="Z478">IF(_xlfn.IFERROR(INDEX('Datos - Catálogo TIMSS'!$J$5:$J$107,MATCH(L478,'Datos - Catálogo TIMSS'!$A$5:$A$107,0)),"No")="Sí",1,0)</f>
        <v>0</v>
      </c>
      <c r="AA478" t="s" s="35">
        <v>4077</v>
      </c>
      <c r="AB478" s="39"/>
      <c r="AC478" t="str" s="39">
        <v>Física</v>
      </c>
      <c r="AD478" t="s" s="35">
        <v>1834</v>
      </c>
      <c r="AE478" t="str" s="39" cm="1">
        <f t="array" ref="AE478">IF(AD478="","",IF(LEFT(AD478,1)="1","C1",IF(LEFT(AD478,1)="2","C2",IF(LEFT(AD478,1)="3","C3",""))))</f>
        <v>C2</v>
      </c>
      <c r="AF478" t="s" s="35">
        <v>1602</v>
      </c>
      <c r="AG478" t="s" s="35">
        <v>1617</v>
      </c>
      <c r="AH478" t="s" s="35">
        <v>1602</v>
      </c>
      <c r="AI478" t="s" s="35">
        <v>1623</v>
      </c>
      <c r="AJ478" t="s" s="35">
        <v>1602</v>
      </c>
      <c r="AK478" t="s" s="35">
        <v>826</v>
      </c>
      <c r="AL478" s="39"/>
      <c r="AM478" t="str" s="39" cm="1">
        <f t="array" ref="AM478">IF(AK478="FUERA","Fuera del marco",_xlfn.IFERROR(INDEX('Datos - Catálogo PISA'!$C$5:$C$76,MATCH(AK478,'Datos - Catálogo PISA'!$A$5:$A$76,0)),"?"))</f>
        <v>Sistemas físicos</v>
      </c>
      <c r="AN478" t="s" s="35">
        <v>1651</v>
      </c>
      <c r="AO478" s="39"/>
      <c r="AP478" s="39"/>
      <c r="AQ478" t="s" s="35">
        <v>1756</v>
      </c>
      <c r="AR478" s="39"/>
      <c r="AS478" t="s" s="35">
        <v>1771</v>
      </c>
      <c r="AT478" t="s" s="35">
        <v>254</v>
      </c>
      <c r="AU478" t="s" s="35">
        <v>4090</v>
      </c>
      <c r="AV478" t="s" s="35">
        <v>139</v>
      </c>
      <c r="AW478" t="str" s="39" cm="1">
        <f t="array" ref="AW478">AF478&amp;"; "&amp;AG478&amp;"; "&amp;AH478&amp;"; "&amp;AI478&amp;"; "&amp;AJ478</f>
        <v>E1; D1; E1; D4; E1</v>
      </c>
    </row>
    <row r="479" ht="13.65" customHeight="1">
      <c r="A479" t="s" s="35">
        <v>4091</v>
      </c>
      <c r="B479" s="36">
        <v>8</v>
      </c>
      <c r="C479" t="s" s="35">
        <v>1823</v>
      </c>
      <c r="D479" t="s" s="35">
        <v>3919</v>
      </c>
      <c r="E479" t="s" s="35">
        <v>4042</v>
      </c>
      <c r="F479" s="36">
        <v>13</v>
      </c>
      <c r="G479" t="s" s="35">
        <v>511</v>
      </c>
      <c r="H479" t="s" s="35">
        <v>4074</v>
      </c>
      <c r="I479" t="s" s="120">
        <v>4092</v>
      </c>
      <c r="J479" t="s" s="35">
        <v>1164</v>
      </c>
      <c r="K479" t="s" s="35">
        <v>540</v>
      </c>
      <c r="L479" t="s" s="35">
        <v>569</v>
      </c>
      <c r="M479" t="str" s="39">
        <v>Física</v>
      </c>
      <c r="N479" t="str" s="39">
        <v>Luz y sonido</v>
      </c>
      <c r="O479" t="str" s="39" cm="1">
        <f t="array" ref="O479">IF(L479="","",_xlfn.IFERROR(INDEX('Datos - Catálogo TIMSS'!$C$5:$C$107,MATCH(L479,'Datos - Catálogo TIMSS'!$A$5:$A$107,0)),"?"))</f>
        <v>Física</v>
      </c>
      <c r="P479" t="s" s="35">
        <v>254</v>
      </c>
      <c r="Q479" t="s" s="120">
        <v>4093</v>
      </c>
      <c r="R479" t="s" s="120">
        <v>4082</v>
      </c>
      <c r="S479" s="121" cm="1">
        <f t="array" ref="S479">_xlfn.IFERROR(ISNUMBER(SEARCH("Conocer",$R479))/(ISNUMBER(SEARCH("Conocer",$R479))+ISNUMBER(SEARCH("Aplicar",$R479))+ISNUMBER(SEARCH("Razonar",$R479))),0)</f>
        <v>0</v>
      </c>
      <c r="T479" s="121" cm="1">
        <f t="array" ref="T479">_xlfn.IFERROR(ISNUMBER(SEARCH("Aplicar",$R479))/(ISNUMBER(SEARCH("Conocer",$R479))+ISNUMBER(SEARCH("Aplicar",$R479))+ISNUMBER(SEARCH("Razonar",$R479))),0)</f>
        <v>0.5</v>
      </c>
      <c r="U479" s="121" cm="1">
        <f t="array" ref="U479">_xlfn.IFERROR(ISNUMBER(SEARCH("Razonar",$R479))/(ISNUMBER(SEARCH("Conocer",$R479))+ISNUMBER(SEARCH("Aplicar",$R479))+ISNUMBER(SEARCH("Razonar",$R479))),0)</f>
        <v>0.5</v>
      </c>
      <c r="V479" t="s" s="35">
        <v>86</v>
      </c>
      <c r="W479" t="s" s="35">
        <v>115</v>
      </c>
      <c r="X479" s="36" cm="1">
        <f t="array" ref="X479">IF(OR(_xlfn.IFERROR(INDEX('Datos - Catálogo TIMSS'!$I$5:$I$107,MATCH(K479,'Datos - Catálogo TIMSS'!$A$5:$A$107,0)),"No")="Sí",_xlfn.IFERROR(INDEX('Datos - Catálogo TIMSS'!$I$5:$I$107,MATCH(L479,'Datos - Catálogo TIMSS'!$A$5:$A$107,0)),"No")="Sí"),1,0)</f>
        <v>0</v>
      </c>
      <c r="Y479" s="36" cm="1">
        <f t="array" ref="Y479">IF(_xlfn.IFERROR(INDEX('Datos - Catálogo TIMSS'!$J$5:$J$107,MATCH(K479,'Datos - Catálogo TIMSS'!$A$5:$A$107,0)),"No")="Sí",1,0)</f>
        <v>0</v>
      </c>
      <c r="Z479" s="36" cm="1">
        <f t="array" ref="Z479">IF(_xlfn.IFERROR(INDEX('Datos - Catálogo TIMSS'!$J$5:$J$107,MATCH(L479,'Datos - Catálogo TIMSS'!$A$5:$A$107,0)),"No")="Sí",1,0)</f>
        <v>1</v>
      </c>
      <c r="AA479" t="s" s="35">
        <v>4077</v>
      </c>
      <c r="AB479" s="39"/>
      <c r="AC479" t="str" s="39">
        <v>Física</v>
      </c>
      <c r="AD479" t="s" s="35">
        <v>1834</v>
      </c>
      <c r="AE479" t="str" s="39" cm="1">
        <f t="array" ref="AE479">IF(AD479="","",IF(LEFT(AD479,1)="1","C1",IF(LEFT(AD479,1)="2","C2",IF(LEFT(AD479,1)="3","C3",""))))</f>
        <v>C2</v>
      </c>
      <c r="AF479" t="s" s="35">
        <v>1602</v>
      </c>
      <c r="AG479" t="s" s="35">
        <v>1607</v>
      </c>
      <c r="AH479" t="s" s="35">
        <v>1602</v>
      </c>
      <c r="AI479" t="s" s="35">
        <v>1623</v>
      </c>
      <c r="AJ479" t="s" s="35">
        <v>1607</v>
      </c>
      <c r="AK479" t="s" s="35">
        <v>826</v>
      </c>
      <c r="AL479" s="39"/>
      <c r="AM479" t="str" s="39" cm="1">
        <f t="array" ref="AM479">IF(AK479="FUERA","Fuera del marco",_xlfn.IFERROR(INDEX('Datos - Catálogo PISA'!$C$5:$C$76,MATCH(AK479,'Datos - Catálogo PISA'!$A$5:$A$76,0)),"?"))</f>
        <v>Sistemas físicos</v>
      </c>
      <c r="AN479" t="s" s="35">
        <v>1651</v>
      </c>
      <c r="AO479" t="s" s="35">
        <v>3962</v>
      </c>
      <c r="AP479" s="39"/>
      <c r="AQ479" t="s" s="35">
        <v>1756</v>
      </c>
      <c r="AR479" s="39"/>
      <c r="AS479" t="s" s="35">
        <v>1771</v>
      </c>
      <c r="AT479" t="s" s="35">
        <v>254</v>
      </c>
      <c r="AU479" t="s" s="35">
        <v>4094</v>
      </c>
      <c r="AV479" t="s" s="35">
        <v>139</v>
      </c>
      <c r="AW479" t="str" s="39" cm="1">
        <f t="array" ref="AW479">AF479&amp;"; "&amp;AG479&amp;"; "&amp;AH479&amp;"; "&amp;AI479&amp;"; "&amp;AJ479</f>
        <v>E1; E3; E1; D4; E3</v>
      </c>
    </row>
    <row r="480" ht="13.65" customHeight="1">
      <c r="A480" t="s" s="35">
        <v>4095</v>
      </c>
      <c r="B480" s="36">
        <v>8</v>
      </c>
      <c r="C480" t="s" s="35">
        <v>1823</v>
      </c>
      <c r="D480" t="s" s="35">
        <v>3919</v>
      </c>
      <c r="E480" t="s" s="35">
        <v>4042</v>
      </c>
      <c r="F480" s="36">
        <v>14</v>
      </c>
      <c r="G480" t="s" s="35">
        <v>511</v>
      </c>
      <c r="H480" t="s" s="35">
        <v>4074</v>
      </c>
      <c r="I480" t="s" s="120">
        <v>4096</v>
      </c>
      <c r="J480" t="s" s="35">
        <v>1164</v>
      </c>
      <c r="K480" t="s" s="35">
        <v>540</v>
      </c>
      <c r="L480" s="39"/>
      <c r="M480" t="str" s="39">
        <v>Física</v>
      </c>
      <c r="N480" t="str" s="39">
        <v>Luz y sonido</v>
      </c>
      <c r="O480" t="str" s="39" cm="1">
        <f t="array" ref="O480">IF(L480="","",_xlfn.IFERROR(INDEX('Datos - Catálogo TIMSS'!$C$5:$C$107,MATCH(L480,'Datos - Catálogo TIMSS'!$A$5:$A$107,0)),"?"))</f>
      </c>
      <c r="P480" t="s" s="35">
        <v>282</v>
      </c>
      <c r="Q480" t="s" s="120">
        <v>4097</v>
      </c>
      <c r="R480" t="s" s="120">
        <v>3943</v>
      </c>
      <c r="S480" s="121" cm="1">
        <f t="array" ref="S480">_xlfn.IFERROR(ISNUMBER(SEARCH("Conocer",$R480))/(ISNUMBER(SEARCH("Conocer",$R480))+ISNUMBER(SEARCH("Aplicar",$R480))+ISNUMBER(SEARCH("Razonar",$R480))),0)</f>
        <v>0</v>
      </c>
      <c r="T480" s="121" cm="1">
        <f t="array" ref="T480">_xlfn.IFERROR(ISNUMBER(SEARCH("Aplicar",$R480))/(ISNUMBER(SEARCH("Conocer",$R480))+ISNUMBER(SEARCH("Aplicar",$R480))+ISNUMBER(SEARCH("Razonar",$R480))),0)</f>
        <v>1</v>
      </c>
      <c r="U480" s="121" cm="1">
        <f t="array" ref="U480">_xlfn.IFERROR(ISNUMBER(SEARCH("Razonar",$R480))/(ISNUMBER(SEARCH("Conocer",$R480))+ISNUMBER(SEARCH("Aplicar",$R480))+ISNUMBER(SEARCH("Razonar",$R480))),0)</f>
        <v>0</v>
      </c>
      <c r="V480" t="s" s="35">
        <v>86</v>
      </c>
      <c r="W480" t="s" s="35">
        <v>115</v>
      </c>
      <c r="X480" s="36" cm="1">
        <f t="array" ref="X480">IF(OR(_xlfn.IFERROR(INDEX('Datos - Catálogo TIMSS'!$I$5:$I$107,MATCH(K480,'Datos - Catálogo TIMSS'!$A$5:$A$107,0)),"No")="Sí",_xlfn.IFERROR(INDEX('Datos - Catálogo TIMSS'!$I$5:$I$107,MATCH(L480,'Datos - Catálogo TIMSS'!$A$5:$A$107,0)),"No")="Sí"),1,0)</f>
        <v>0</v>
      </c>
      <c r="Y480" s="36" cm="1">
        <f t="array" ref="Y480">IF(_xlfn.IFERROR(INDEX('Datos - Catálogo TIMSS'!$J$5:$J$107,MATCH(K480,'Datos - Catálogo TIMSS'!$A$5:$A$107,0)),"No")="Sí",1,0)</f>
        <v>0</v>
      </c>
      <c r="Z480" s="36" cm="1">
        <f t="array" ref="Z480">IF(_xlfn.IFERROR(INDEX('Datos - Catálogo TIMSS'!$J$5:$J$107,MATCH(L480,'Datos - Catálogo TIMSS'!$A$5:$A$107,0)),"No")="Sí",1,0)</f>
        <v>0</v>
      </c>
      <c r="AA480" t="s" s="35">
        <v>4077</v>
      </c>
      <c r="AB480" s="39"/>
      <c r="AC480" t="str" s="39">
        <v>Física</v>
      </c>
      <c r="AD480" t="s" s="35">
        <v>1834</v>
      </c>
      <c r="AE480" t="str" s="39" cm="1">
        <f t="array" ref="AE480">IF(AD480="","",IF(LEFT(AD480,1)="1","C1",IF(LEFT(AD480,1)="2","C2",IF(LEFT(AD480,1)="3","C3",""))))</f>
        <v>C2</v>
      </c>
      <c r="AF480" t="s" s="35">
        <v>1602</v>
      </c>
      <c r="AG480" t="s" s="35">
        <v>1617</v>
      </c>
      <c r="AH480" t="s" s="35">
        <v>1605</v>
      </c>
      <c r="AI480" t="s" s="35">
        <v>1623</v>
      </c>
      <c r="AJ480" t="s" s="35">
        <v>1607</v>
      </c>
      <c r="AK480" t="s" s="35">
        <v>826</v>
      </c>
      <c r="AL480" s="39"/>
      <c r="AM480" t="str" s="39" cm="1">
        <f t="array" ref="AM480">IF(AK480="FUERA","Fuera del marco",_xlfn.IFERROR(INDEX('Datos - Catálogo PISA'!$C$5:$C$76,MATCH(AK480,'Datos - Catálogo PISA'!$A$5:$A$76,0)),"?"))</f>
        <v>Sistemas físicos</v>
      </c>
      <c r="AN480" t="s" s="35">
        <v>1651</v>
      </c>
      <c r="AO480" t="s" s="35">
        <v>3575</v>
      </c>
      <c r="AP480" s="39"/>
      <c r="AQ480" t="s" s="35">
        <v>1756</v>
      </c>
      <c r="AR480" s="39"/>
      <c r="AS480" t="s" s="35">
        <v>1771</v>
      </c>
      <c r="AT480" t="s" s="35">
        <v>254</v>
      </c>
      <c r="AU480" t="s" s="35">
        <v>4098</v>
      </c>
      <c r="AV480" t="s" s="35">
        <v>139</v>
      </c>
      <c r="AW480" t="str" s="39" cm="1">
        <f t="array" ref="AW480">AF480&amp;"; "&amp;AG480&amp;"; "&amp;AH480&amp;"; "&amp;AI480&amp;"; "&amp;AJ480</f>
        <v>E1; D1; E2; D4; E3</v>
      </c>
    </row>
    <row r="481" ht="13.65" customHeight="1">
      <c r="A481" t="s" s="35">
        <v>4099</v>
      </c>
      <c r="B481" s="36">
        <v>8</v>
      </c>
      <c r="C481" t="s" s="35">
        <v>1823</v>
      </c>
      <c r="D481" t="s" s="35">
        <v>3919</v>
      </c>
      <c r="E481" t="s" s="35">
        <v>4100</v>
      </c>
      <c r="F481" s="36">
        <v>3</v>
      </c>
      <c r="G481" t="s" s="35">
        <v>593</v>
      </c>
      <c r="H481" t="s" s="35">
        <v>4101</v>
      </c>
      <c r="I481" t="s" s="120">
        <v>4102</v>
      </c>
      <c r="J481" t="s" s="35">
        <v>1164</v>
      </c>
      <c r="K481" t="s" s="35">
        <v>615</v>
      </c>
      <c r="L481" s="39"/>
      <c r="M481" t="str" s="39">
        <v>Química</v>
      </c>
      <c r="N481" t="str" s="39">
        <v>Propiedades de la materia</v>
      </c>
      <c r="O481" t="str" s="39" cm="1">
        <f t="array" ref="O481">IF(L481="","",_xlfn.IFERROR(INDEX('Datos - Catálogo TIMSS'!$C$5:$C$107,MATCH(L481,'Datos - Catálogo TIMSS'!$A$5:$A$107,0)),"?"))</f>
      </c>
      <c r="P481" t="s" s="35">
        <v>254</v>
      </c>
      <c r="Q481" t="s" s="120">
        <v>4103</v>
      </c>
      <c r="R481" t="s" s="120">
        <v>3423</v>
      </c>
      <c r="S481" s="121" cm="1">
        <f t="array" ref="S481">_xlfn.IFERROR(ISNUMBER(SEARCH("Conocer",$R481))/(ISNUMBER(SEARCH("Conocer",$R481))+ISNUMBER(SEARCH("Aplicar",$R481))+ISNUMBER(SEARCH("Razonar",$R481))),0)</f>
        <v>1</v>
      </c>
      <c r="T481" s="121" cm="1">
        <f t="array" ref="T481">_xlfn.IFERROR(ISNUMBER(SEARCH("Aplicar",$R481))/(ISNUMBER(SEARCH("Conocer",$R481))+ISNUMBER(SEARCH("Aplicar",$R481))+ISNUMBER(SEARCH("Razonar",$R481))),0)</f>
        <v>0</v>
      </c>
      <c r="U481" s="121" cm="1">
        <f t="array" ref="U481">_xlfn.IFERROR(ISNUMBER(SEARCH("Razonar",$R481))/(ISNUMBER(SEARCH("Conocer",$R481))+ISNUMBER(SEARCH("Aplicar",$R481))+ISNUMBER(SEARCH("Razonar",$R481))),0)</f>
        <v>0</v>
      </c>
      <c r="V481" t="s" s="35">
        <v>86</v>
      </c>
      <c r="W481" t="s" s="35">
        <v>115</v>
      </c>
      <c r="X481" s="36" cm="1">
        <f t="array" ref="X481">IF(OR(_xlfn.IFERROR(INDEX('Datos - Catálogo TIMSS'!$I$5:$I$107,MATCH(K481,'Datos - Catálogo TIMSS'!$A$5:$A$107,0)),"No")="Sí",_xlfn.IFERROR(INDEX('Datos - Catálogo TIMSS'!$I$5:$I$107,MATCH(L481,'Datos - Catálogo TIMSS'!$A$5:$A$107,0)),"No")="Sí"),1,0)</f>
        <v>0</v>
      </c>
      <c r="Y481" s="36" cm="1">
        <f t="array" ref="Y481">IF(_xlfn.IFERROR(INDEX('Datos - Catálogo TIMSS'!$J$5:$J$107,MATCH(K481,'Datos - Catálogo TIMSS'!$A$5:$A$107,0)),"No")="Sí",1,0)</f>
        <v>0</v>
      </c>
      <c r="Z481" s="36" cm="1">
        <f t="array" ref="Z481">IF(_xlfn.IFERROR(INDEX('Datos - Catálogo TIMSS'!$J$5:$J$107,MATCH(L481,'Datos - Catálogo TIMSS'!$A$5:$A$107,0)),"No")="Sí",1,0)</f>
        <v>0</v>
      </c>
      <c r="AA481" t="s" s="35">
        <v>3379</v>
      </c>
      <c r="AB481" s="39"/>
      <c r="AC481" t="str" s="39">
        <v>Química</v>
      </c>
      <c r="AD481" t="s" s="35">
        <v>1834</v>
      </c>
      <c r="AE481" t="str" s="39" cm="1">
        <f t="array" ref="AE481">IF(AD481="","",IF(LEFT(AD481,1)="1","C1",IF(LEFT(AD481,1)="2","C2",IF(LEFT(AD481,1)="3","C3",""))))</f>
        <v>C2</v>
      </c>
      <c r="AF481" t="s" s="35">
        <v>1602</v>
      </c>
      <c r="AG481" t="s" s="35">
        <v>1617</v>
      </c>
      <c r="AH481" t="s" s="35">
        <v>1602</v>
      </c>
      <c r="AI481" t="s" s="35">
        <v>1623</v>
      </c>
      <c r="AJ481" t="s" s="35">
        <v>1602</v>
      </c>
      <c r="AK481" t="s" s="35">
        <v>822</v>
      </c>
      <c r="AL481" s="39"/>
      <c r="AM481" t="str" s="39" cm="1">
        <f t="array" ref="AM481">IF(AK481="FUERA","Fuera del marco",_xlfn.IFERROR(INDEX('Datos - Catálogo PISA'!$C$5:$C$76,MATCH(AK481,'Datos - Catálogo PISA'!$A$5:$A$76,0)),"?"))</f>
        <v>Sistemas físicos</v>
      </c>
      <c r="AN481" t="s" s="35">
        <v>1651</v>
      </c>
      <c r="AO481" s="39"/>
      <c r="AP481" s="39"/>
      <c r="AQ481" t="s" s="35">
        <v>1751</v>
      </c>
      <c r="AR481" t="s" s="35">
        <v>1764</v>
      </c>
      <c r="AS481" t="s" s="35">
        <v>1770</v>
      </c>
      <c r="AT481" t="s" s="35">
        <v>282</v>
      </c>
      <c r="AU481" t="s" s="35">
        <v>4104</v>
      </c>
      <c r="AV481" t="s" s="35">
        <v>139</v>
      </c>
      <c r="AW481" t="str" s="39" cm="1">
        <f t="array" ref="AW481">AF481&amp;"; "&amp;AG481&amp;"; "&amp;AH481&amp;"; "&amp;AI481&amp;"; "&amp;AJ481</f>
        <v>E1; D1; E1; D4; E1</v>
      </c>
    </row>
    <row r="482" ht="13.65" customHeight="1">
      <c r="A482" t="s" s="35">
        <v>4105</v>
      </c>
      <c r="B482" s="36">
        <v>8</v>
      </c>
      <c r="C482" t="s" s="35">
        <v>1823</v>
      </c>
      <c r="D482" t="s" s="35">
        <v>3919</v>
      </c>
      <c r="E482" t="s" s="35">
        <v>4100</v>
      </c>
      <c r="F482" s="36">
        <v>4</v>
      </c>
      <c r="G482" t="s" s="35">
        <v>593</v>
      </c>
      <c r="H482" t="s" s="35">
        <v>4101</v>
      </c>
      <c r="I482" t="s" s="120">
        <v>4106</v>
      </c>
      <c r="J482" t="s" s="35">
        <v>1164</v>
      </c>
      <c r="K482" t="s" s="35">
        <v>615</v>
      </c>
      <c r="L482" s="39"/>
      <c r="M482" t="str" s="39">
        <v>Química</v>
      </c>
      <c r="N482" t="str" s="39">
        <v>Propiedades de la materia</v>
      </c>
      <c r="O482" t="str" s="39" cm="1">
        <f t="array" ref="O482">IF(L482="","",_xlfn.IFERROR(INDEX('Datos - Catálogo TIMSS'!$C$5:$C$107,MATCH(L482,'Datos - Catálogo TIMSS'!$A$5:$A$107,0)),"?"))</f>
      </c>
      <c r="P482" t="s" s="35">
        <v>254</v>
      </c>
      <c r="Q482" t="s" s="120">
        <v>4107</v>
      </c>
      <c r="R482" t="s" s="120">
        <v>2962</v>
      </c>
      <c r="S482" s="121" cm="1">
        <f t="array" ref="S482">_xlfn.IFERROR(ISNUMBER(SEARCH("Conocer",$R482))/(ISNUMBER(SEARCH("Conocer",$R482))+ISNUMBER(SEARCH("Aplicar",$R482))+ISNUMBER(SEARCH("Razonar",$R482))),0)</f>
        <v>0</v>
      </c>
      <c r="T482" s="121" cm="1">
        <f t="array" ref="T482">_xlfn.IFERROR(ISNUMBER(SEARCH("Aplicar",$R482))/(ISNUMBER(SEARCH("Conocer",$R482))+ISNUMBER(SEARCH("Aplicar",$R482))+ISNUMBER(SEARCH("Razonar",$R482))),0)</f>
        <v>1</v>
      </c>
      <c r="U482" s="121" cm="1">
        <f t="array" ref="U482">_xlfn.IFERROR(ISNUMBER(SEARCH("Razonar",$R482))/(ISNUMBER(SEARCH("Conocer",$R482))+ISNUMBER(SEARCH("Aplicar",$R482))+ISNUMBER(SEARCH("Razonar",$R482))),0)</f>
        <v>0</v>
      </c>
      <c r="V482" t="s" s="35">
        <v>86</v>
      </c>
      <c r="W482" t="s" s="35">
        <v>115</v>
      </c>
      <c r="X482" s="36" cm="1">
        <f t="array" ref="X482">IF(OR(_xlfn.IFERROR(INDEX('Datos - Catálogo TIMSS'!$I$5:$I$107,MATCH(K482,'Datos - Catálogo TIMSS'!$A$5:$A$107,0)),"No")="Sí",_xlfn.IFERROR(INDEX('Datos - Catálogo TIMSS'!$I$5:$I$107,MATCH(L482,'Datos - Catálogo TIMSS'!$A$5:$A$107,0)),"No")="Sí"),1,0)</f>
        <v>0</v>
      </c>
      <c r="Y482" s="36" cm="1">
        <f t="array" ref="Y482">IF(_xlfn.IFERROR(INDEX('Datos - Catálogo TIMSS'!$J$5:$J$107,MATCH(K482,'Datos - Catálogo TIMSS'!$A$5:$A$107,0)),"No")="Sí",1,0)</f>
        <v>0</v>
      </c>
      <c r="Z482" s="36" cm="1">
        <f t="array" ref="Z482">IF(_xlfn.IFERROR(INDEX('Datos - Catálogo TIMSS'!$J$5:$J$107,MATCH(L482,'Datos - Catálogo TIMSS'!$A$5:$A$107,0)),"No")="Sí",1,0)</f>
        <v>0</v>
      </c>
      <c r="AA482" t="s" s="35">
        <v>3379</v>
      </c>
      <c r="AB482" s="39"/>
      <c r="AC482" t="str" s="39">
        <v>Química</v>
      </c>
      <c r="AD482" t="s" s="35">
        <v>1834</v>
      </c>
      <c r="AE482" t="str" s="39" cm="1">
        <f t="array" ref="AE482">IF(AD482="","",IF(LEFT(AD482,1)="1","C1",IF(LEFT(AD482,1)="2","C2",IF(LEFT(AD482,1)="3","C3",""))))</f>
        <v>C2</v>
      </c>
      <c r="AF482" t="s" s="35">
        <v>1602</v>
      </c>
      <c r="AG482" t="s" s="35">
        <v>1617</v>
      </c>
      <c r="AH482" t="s" s="35">
        <v>1602</v>
      </c>
      <c r="AI482" t="s" s="35">
        <v>1623</v>
      </c>
      <c r="AJ482" t="s" s="35">
        <v>1607</v>
      </c>
      <c r="AK482" t="s" s="35">
        <v>822</v>
      </c>
      <c r="AL482" s="39"/>
      <c r="AM482" t="str" s="39" cm="1">
        <f t="array" ref="AM482">IF(AK482="FUERA","Fuera del marco",_xlfn.IFERROR(INDEX('Datos - Catálogo PISA'!$C$5:$C$76,MATCH(AK482,'Datos - Catálogo PISA'!$A$5:$A$76,0)),"?"))</f>
        <v>Sistemas físicos</v>
      </c>
      <c r="AN482" t="s" s="35">
        <v>1651</v>
      </c>
      <c r="AO482" s="39"/>
      <c r="AP482" s="39"/>
      <c r="AQ482" t="s" s="35">
        <v>1756</v>
      </c>
      <c r="AR482" s="39"/>
      <c r="AS482" t="s" s="35">
        <v>1771</v>
      </c>
      <c r="AT482" t="s" s="35">
        <v>282</v>
      </c>
      <c r="AU482" t="s" s="35">
        <v>4108</v>
      </c>
      <c r="AV482" t="s" s="35">
        <v>139</v>
      </c>
      <c r="AW482" t="str" s="39" cm="1">
        <f t="array" ref="AW482">AF482&amp;"; "&amp;AG482&amp;"; "&amp;AH482&amp;"; "&amp;AI482&amp;"; "&amp;AJ482</f>
        <v>E1; D1; E1; D4; E3</v>
      </c>
    </row>
    <row r="483" ht="13.65" customHeight="1">
      <c r="A483" t="s" s="35">
        <v>4109</v>
      </c>
      <c r="B483" s="36">
        <v>8</v>
      </c>
      <c r="C483" t="s" s="35">
        <v>1823</v>
      </c>
      <c r="D483" t="s" s="35">
        <v>3919</v>
      </c>
      <c r="E483" t="s" s="35">
        <v>4100</v>
      </c>
      <c r="F483" s="36">
        <v>5</v>
      </c>
      <c r="G483" t="s" s="35">
        <v>593</v>
      </c>
      <c r="H483" t="s" s="35">
        <v>4101</v>
      </c>
      <c r="I483" t="s" s="120">
        <v>4110</v>
      </c>
      <c r="J483" t="s" s="35">
        <v>1164</v>
      </c>
      <c r="K483" t="s" s="35">
        <v>615</v>
      </c>
      <c r="L483" s="39"/>
      <c r="M483" t="str" s="39">
        <v>Química</v>
      </c>
      <c r="N483" t="str" s="39">
        <v>Propiedades de la materia</v>
      </c>
      <c r="O483" t="str" s="39" cm="1">
        <f t="array" ref="O483">IF(L483="","",_xlfn.IFERROR(INDEX('Datos - Catálogo TIMSS'!$C$5:$C$107,MATCH(L483,'Datos - Catálogo TIMSS'!$A$5:$A$107,0)),"?"))</f>
      </c>
      <c r="P483" t="s" s="35">
        <v>282</v>
      </c>
      <c r="Q483" t="s" s="120">
        <v>4111</v>
      </c>
      <c r="R483" t="s" s="120">
        <v>3553</v>
      </c>
      <c r="S483" s="121" cm="1">
        <f t="array" ref="S483">_xlfn.IFERROR(ISNUMBER(SEARCH("Conocer",$R483))/(ISNUMBER(SEARCH("Conocer",$R483))+ISNUMBER(SEARCH("Aplicar",$R483))+ISNUMBER(SEARCH("Razonar",$R483))),0)</f>
        <v>0</v>
      </c>
      <c r="T483" s="121" cm="1">
        <f t="array" ref="T483">_xlfn.IFERROR(ISNUMBER(SEARCH("Aplicar",$R483))/(ISNUMBER(SEARCH("Conocer",$R483))+ISNUMBER(SEARCH("Aplicar",$R483))+ISNUMBER(SEARCH("Razonar",$R483))),0)</f>
        <v>0</v>
      </c>
      <c r="U483" s="121" cm="1">
        <f t="array" ref="U483">_xlfn.IFERROR(ISNUMBER(SEARCH("Razonar",$R483))/(ISNUMBER(SEARCH("Conocer",$R483))+ISNUMBER(SEARCH("Aplicar",$R483))+ISNUMBER(SEARCH("Razonar",$R483))),0)</f>
        <v>1</v>
      </c>
      <c r="V483" t="s" s="35">
        <v>86</v>
      </c>
      <c r="W483" t="s" s="35">
        <v>115</v>
      </c>
      <c r="X483" s="36" cm="1">
        <f t="array" ref="X483">IF(OR(_xlfn.IFERROR(INDEX('Datos - Catálogo TIMSS'!$I$5:$I$107,MATCH(K483,'Datos - Catálogo TIMSS'!$A$5:$A$107,0)),"No")="Sí",_xlfn.IFERROR(INDEX('Datos - Catálogo TIMSS'!$I$5:$I$107,MATCH(L483,'Datos - Catálogo TIMSS'!$A$5:$A$107,0)),"No")="Sí"),1,0)</f>
        <v>0</v>
      </c>
      <c r="Y483" s="36" cm="1">
        <f t="array" ref="Y483">IF(_xlfn.IFERROR(INDEX('Datos - Catálogo TIMSS'!$J$5:$J$107,MATCH(K483,'Datos - Catálogo TIMSS'!$A$5:$A$107,0)),"No")="Sí",1,0)</f>
        <v>0</v>
      </c>
      <c r="Z483" s="36" cm="1">
        <f t="array" ref="Z483">IF(_xlfn.IFERROR(INDEX('Datos - Catálogo TIMSS'!$J$5:$J$107,MATCH(L483,'Datos - Catálogo TIMSS'!$A$5:$A$107,0)),"No")="Sí",1,0)</f>
        <v>0</v>
      </c>
      <c r="AA483" t="s" s="35">
        <v>3379</v>
      </c>
      <c r="AB483" s="39"/>
      <c r="AC483" t="str" s="39">
        <v>Química</v>
      </c>
      <c r="AD483" t="s" s="35">
        <v>1900</v>
      </c>
      <c r="AE483" t="str" s="39" cm="1">
        <f t="array" ref="AE483">IF(AD483="","",IF(LEFT(AD483,1)="1","C1",IF(LEFT(AD483,1)="2","C2",IF(LEFT(AD483,1)="3","C3",""))))</f>
        <v>C3</v>
      </c>
      <c r="AF483" t="s" s="35">
        <v>1602</v>
      </c>
      <c r="AG483" t="s" s="35">
        <v>1617</v>
      </c>
      <c r="AH483" t="s" s="35">
        <v>1602</v>
      </c>
      <c r="AI483" t="s" s="35">
        <v>1625</v>
      </c>
      <c r="AJ483" t="s" s="35">
        <v>1633</v>
      </c>
      <c r="AK483" t="s" s="35">
        <v>822</v>
      </c>
      <c r="AL483" s="39"/>
      <c r="AM483" t="str" s="39" cm="1">
        <f t="array" ref="AM483">IF(AK483="FUERA","Fuera del marco",_xlfn.IFERROR(INDEX('Datos - Catálogo PISA'!$C$5:$C$76,MATCH(AK483,'Datos - Catálogo PISA'!$A$5:$A$76,0)),"?"))</f>
        <v>Sistemas físicos</v>
      </c>
      <c r="AN483" t="s" s="35">
        <v>1651</v>
      </c>
      <c r="AO483" s="39"/>
      <c r="AP483" s="39"/>
      <c r="AQ483" t="s" s="35">
        <v>1752</v>
      </c>
      <c r="AR483" t="s" s="35">
        <v>1766</v>
      </c>
      <c r="AS483" t="s" s="35">
        <v>1770</v>
      </c>
      <c r="AT483" t="s" s="35">
        <v>282</v>
      </c>
      <c r="AU483" t="s" s="35">
        <v>4112</v>
      </c>
      <c r="AV483" t="s" s="35">
        <v>139</v>
      </c>
      <c r="AW483" t="str" s="39" cm="1">
        <f t="array" ref="AW483">AF483&amp;"; "&amp;AG483&amp;"; "&amp;AH483&amp;"; "&amp;AI483&amp;"; "&amp;AJ483</f>
        <v>E1; D1; E1; I1; I5</v>
      </c>
    </row>
    <row r="484" ht="13.65" customHeight="1">
      <c r="A484" t="s" s="35">
        <v>4113</v>
      </c>
      <c r="B484" s="36">
        <v>8</v>
      </c>
      <c r="C484" t="s" s="35">
        <v>1823</v>
      </c>
      <c r="D484" t="s" s="35">
        <v>3919</v>
      </c>
      <c r="E484" t="s" s="35">
        <v>4100</v>
      </c>
      <c r="F484" s="36">
        <v>6</v>
      </c>
      <c r="G484" t="s" s="35">
        <v>593</v>
      </c>
      <c r="H484" t="s" s="35">
        <v>4114</v>
      </c>
      <c r="I484" t="s" s="120">
        <v>4115</v>
      </c>
      <c r="J484" t="s" s="35">
        <v>1164</v>
      </c>
      <c r="K484" t="s" s="35">
        <v>601</v>
      </c>
      <c r="L484" s="39"/>
      <c r="M484" t="str" s="39">
        <v>Química</v>
      </c>
      <c r="N484" t="str" s="39">
        <v>Composición de la materia</v>
      </c>
      <c r="O484" t="str" s="39" cm="1">
        <f t="array" ref="O484">IF(L484="","",_xlfn.IFERROR(INDEX('Datos - Catálogo TIMSS'!$C$5:$C$107,MATCH(L484,'Datos - Catálogo TIMSS'!$A$5:$A$107,0)),"?"))</f>
      </c>
      <c r="P484" t="s" s="35">
        <v>282</v>
      </c>
      <c r="Q484" t="s" s="120">
        <v>4116</v>
      </c>
      <c r="R484" t="s" s="120">
        <v>2561</v>
      </c>
      <c r="S484" s="121" cm="1">
        <f t="array" ref="S484">_xlfn.IFERROR(ISNUMBER(SEARCH("Conocer",$R484))/(ISNUMBER(SEARCH("Conocer",$R484))+ISNUMBER(SEARCH("Aplicar",$R484))+ISNUMBER(SEARCH("Razonar",$R484))),0)</f>
        <v>1</v>
      </c>
      <c r="T484" s="121" cm="1">
        <f t="array" ref="T484">_xlfn.IFERROR(ISNUMBER(SEARCH("Aplicar",$R484))/(ISNUMBER(SEARCH("Conocer",$R484))+ISNUMBER(SEARCH("Aplicar",$R484))+ISNUMBER(SEARCH("Razonar",$R484))),0)</f>
        <v>0</v>
      </c>
      <c r="U484" s="121" cm="1">
        <f t="array" ref="U484">_xlfn.IFERROR(ISNUMBER(SEARCH("Razonar",$R484))/(ISNUMBER(SEARCH("Conocer",$R484))+ISNUMBER(SEARCH("Aplicar",$R484))+ISNUMBER(SEARCH("Razonar",$R484))),0)</f>
        <v>0</v>
      </c>
      <c r="V484" t="s" s="35">
        <v>86</v>
      </c>
      <c r="W484" t="s" s="35">
        <v>115</v>
      </c>
      <c r="X484" s="36" cm="1">
        <f t="array" ref="X484">IF(OR(_xlfn.IFERROR(INDEX('Datos - Catálogo TIMSS'!$I$5:$I$107,MATCH(K484,'Datos - Catálogo TIMSS'!$A$5:$A$107,0)),"No")="Sí",_xlfn.IFERROR(INDEX('Datos - Catálogo TIMSS'!$I$5:$I$107,MATCH(L484,'Datos - Catálogo TIMSS'!$A$5:$A$107,0)),"No")="Sí"),1,0)</f>
        <v>0</v>
      </c>
      <c r="Y484" s="36" cm="1">
        <f t="array" ref="Y484">IF(_xlfn.IFERROR(INDEX('Datos - Catálogo TIMSS'!$J$5:$J$107,MATCH(K484,'Datos - Catálogo TIMSS'!$A$5:$A$107,0)),"No")="Sí",1,0)</f>
        <v>0</v>
      </c>
      <c r="Z484" s="36" cm="1">
        <f t="array" ref="Z484">IF(_xlfn.IFERROR(INDEX('Datos - Catálogo TIMSS'!$J$5:$J$107,MATCH(L484,'Datos - Catálogo TIMSS'!$A$5:$A$107,0)),"No")="Sí",1,0)</f>
        <v>0</v>
      </c>
      <c r="AA484" t="s" s="35">
        <v>2948</v>
      </c>
      <c r="AB484" s="39"/>
      <c r="AC484" t="str" s="39">
        <v>Química</v>
      </c>
      <c r="AD484" t="s" s="35">
        <v>1859</v>
      </c>
      <c r="AE484" t="str" s="39" cm="1">
        <f t="array" ref="AE484">IF(AD484="","",IF(LEFT(AD484,1)="1","C1",IF(LEFT(AD484,1)="2","C2",IF(LEFT(AD484,1)="3","C3",""))))</f>
        <v>C1</v>
      </c>
      <c r="AF484" t="s" s="35">
        <v>1602</v>
      </c>
      <c r="AG484" t="s" s="35">
        <v>1617</v>
      </c>
      <c r="AH484" t="s" s="35">
        <v>1602</v>
      </c>
      <c r="AI484" t="s" s="35">
        <v>1623</v>
      </c>
      <c r="AJ484" t="s" s="35">
        <v>1602</v>
      </c>
      <c r="AK484" t="s" s="35">
        <v>822</v>
      </c>
      <c r="AL484" s="39"/>
      <c r="AM484" t="str" s="39" cm="1">
        <f t="array" ref="AM484">IF(AK484="FUERA","Fuera del marco",_xlfn.IFERROR(INDEX('Datos - Catálogo PISA'!$C$5:$C$76,MATCH(AK484,'Datos - Catálogo PISA'!$A$5:$A$76,0)),"?"))</f>
        <v>Sistemas físicos</v>
      </c>
      <c r="AN484" t="s" s="35">
        <v>1651</v>
      </c>
      <c r="AO484" s="39"/>
      <c r="AP484" s="39"/>
      <c r="AQ484" t="s" s="35">
        <v>1756</v>
      </c>
      <c r="AR484" s="39"/>
      <c r="AS484" t="s" s="35">
        <v>1770</v>
      </c>
      <c r="AT484" t="s" s="35">
        <v>282</v>
      </c>
      <c r="AU484" t="s" s="35">
        <v>4117</v>
      </c>
      <c r="AV484" t="s" s="35">
        <v>139</v>
      </c>
      <c r="AW484" t="str" s="39" cm="1">
        <f t="array" ref="AW484">AF484&amp;"; "&amp;AG484&amp;"; "&amp;AH484&amp;"; "&amp;AI484&amp;"; "&amp;AJ484</f>
        <v>E1; D1; E1; D4; E1</v>
      </c>
    </row>
    <row r="485" ht="13.65" customHeight="1">
      <c r="A485" t="s" s="35">
        <v>4118</v>
      </c>
      <c r="B485" s="36">
        <v>8</v>
      </c>
      <c r="C485" t="s" s="35">
        <v>1823</v>
      </c>
      <c r="D485" t="s" s="35">
        <v>3919</v>
      </c>
      <c r="E485" t="s" s="35">
        <v>4100</v>
      </c>
      <c r="F485" s="36">
        <v>7</v>
      </c>
      <c r="G485" t="s" s="35">
        <v>593</v>
      </c>
      <c r="H485" t="s" s="35">
        <v>4114</v>
      </c>
      <c r="I485" t="s" s="120">
        <v>4119</v>
      </c>
      <c r="J485" t="s" s="35">
        <v>1164</v>
      </c>
      <c r="K485" t="s" s="35">
        <v>601</v>
      </c>
      <c r="L485" s="39"/>
      <c r="M485" t="str" s="39">
        <v>Química</v>
      </c>
      <c r="N485" t="str" s="39">
        <v>Composición de la materia</v>
      </c>
      <c r="O485" t="str" s="39" cm="1">
        <f t="array" ref="O485">IF(L485="","",_xlfn.IFERROR(INDEX('Datos - Catálogo TIMSS'!$C$5:$C$107,MATCH(L485,'Datos - Catálogo TIMSS'!$A$5:$A$107,0)),"?"))</f>
      </c>
      <c r="P485" t="s" s="35">
        <v>282</v>
      </c>
      <c r="Q485" t="s" s="120">
        <v>4120</v>
      </c>
      <c r="R485" t="s" s="120">
        <v>2962</v>
      </c>
      <c r="S485" s="121" cm="1">
        <f t="array" ref="S485">_xlfn.IFERROR(ISNUMBER(SEARCH("Conocer",$R485))/(ISNUMBER(SEARCH("Conocer",$R485))+ISNUMBER(SEARCH("Aplicar",$R485))+ISNUMBER(SEARCH("Razonar",$R485))),0)</f>
        <v>0</v>
      </c>
      <c r="T485" s="121" cm="1">
        <f t="array" ref="T485">_xlfn.IFERROR(ISNUMBER(SEARCH("Aplicar",$R485))/(ISNUMBER(SEARCH("Conocer",$R485))+ISNUMBER(SEARCH("Aplicar",$R485))+ISNUMBER(SEARCH("Razonar",$R485))),0)</f>
        <v>1</v>
      </c>
      <c r="U485" s="121" cm="1">
        <f t="array" ref="U485">_xlfn.IFERROR(ISNUMBER(SEARCH("Razonar",$R485))/(ISNUMBER(SEARCH("Conocer",$R485))+ISNUMBER(SEARCH("Aplicar",$R485))+ISNUMBER(SEARCH("Razonar",$R485))),0)</f>
        <v>0</v>
      </c>
      <c r="V485" t="s" s="35">
        <v>86</v>
      </c>
      <c r="W485" t="s" s="35">
        <v>115</v>
      </c>
      <c r="X485" s="36" cm="1">
        <f t="array" ref="X485">IF(OR(_xlfn.IFERROR(INDEX('Datos - Catálogo TIMSS'!$I$5:$I$107,MATCH(K485,'Datos - Catálogo TIMSS'!$A$5:$A$107,0)),"No")="Sí",_xlfn.IFERROR(INDEX('Datos - Catálogo TIMSS'!$I$5:$I$107,MATCH(L485,'Datos - Catálogo TIMSS'!$A$5:$A$107,0)),"No")="Sí"),1,0)</f>
        <v>0</v>
      </c>
      <c r="Y485" s="36" cm="1">
        <f t="array" ref="Y485">IF(_xlfn.IFERROR(INDEX('Datos - Catálogo TIMSS'!$J$5:$J$107,MATCH(K485,'Datos - Catálogo TIMSS'!$A$5:$A$107,0)),"No")="Sí",1,0)</f>
        <v>0</v>
      </c>
      <c r="Z485" s="36" cm="1">
        <f t="array" ref="Z485">IF(_xlfn.IFERROR(INDEX('Datos - Catálogo TIMSS'!$J$5:$J$107,MATCH(L485,'Datos - Catálogo TIMSS'!$A$5:$A$107,0)),"No")="Sí",1,0)</f>
        <v>0</v>
      </c>
      <c r="AA485" t="s" s="35">
        <v>2948</v>
      </c>
      <c r="AB485" s="39"/>
      <c r="AC485" t="str" s="39">
        <v>Química</v>
      </c>
      <c r="AD485" t="s" s="35">
        <v>1834</v>
      </c>
      <c r="AE485" t="str" s="39" cm="1">
        <f t="array" ref="AE485">IF(AD485="","",IF(LEFT(AD485,1)="1","C1",IF(LEFT(AD485,1)="2","C2",IF(LEFT(AD485,1)="3","C3",""))))</f>
        <v>C2</v>
      </c>
      <c r="AF485" t="s" s="35">
        <v>1602</v>
      </c>
      <c r="AG485" t="s" s="35">
        <v>1617</v>
      </c>
      <c r="AH485" t="s" s="35">
        <v>1602</v>
      </c>
      <c r="AI485" t="s" s="35">
        <v>1623</v>
      </c>
      <c r="AJ485" t="s" s="35">
        <v>1607</v>
      </c>
      <c r="AK485" t="s" s="35">
        <v>822</v>
      </c>
      <c r="AL485" s="39"/>
      <c r="AM485" t="str" s="39" cm="1">
        <f t="array" ref="AM485">IF(AK485="FUERA","Fuera del marco",_xlfn.IFERROR(INDEX('Datos - Catálogo PISA'!$C$5:$C$76,MATCH(AK485,'Datos - Catálogo PISA'!$A$5:$A$76,0)),"?"))</f>
        <v>Sistemas físicos</v>
      </c>
      <c r="AN485" t="s" s="35">
        <v>1651</v>
      </c>
      <c r="AO485" s="39"/>
      <c r="AP485" s="39"/>
      <c r="AQ485" t="s" s="35">
        <v>1756</v>
      </c>
      <c r="AR485" s="39"/>
      <c r="AS485" t="s" s="35">
        <v>1771</v>
      </c>
      <c r="AT485" t="s" s="35">
        <v>282</v>
      </c>
      <c r="AU485" t="s" s="35">
        <v>4121</v>
      </c>
      <c r="AV485" t="s" s="35">
        <v>139</v>
      </c>
      <c r="AW485" t="str" s="39" cm="1">
        <f t="array" ref="AW485">AF485&amp;"; "&amp;AG485&amp;"; "&amp;AH485&amp;"; "&amp;AI485&amp;"; "&amp;AJ485</f>
        <v>E1; D1; E1; D4; E3</v>
      </c>
    </row>
    <row r="486" ht="13.65" customHeight="1">
      <c r="A486" t="s" s="35">
        <v>4122</v>
      </c>
      <c r="B486" s="36">
        <v>8</v>
      </c>
      <c r="C486" t="s" s="35">
        <v>1823</v>
      </c>
      <c r="D486" t="s" s="35">
        <v>3919</v>
      </c>
      <c r="E486" t="s" s="35">
        <v>4100</v>
      </c>
      <c r="F486" s="36">
        <v>8</v>
      </c>
      <c r="G486" t="s" s="35">
        <v>593</v>
      </c>
      <c r="H486" t="s" s="35">
        <v>4114</v>
      </c>
      <c r="I486" t="s" s="120">
        <v>4123</v>
      </c>
      <c r="J486" t="s" s="35">
        <v>1164</v>
      </c>
      <c r="K486" t="s" s="35">
        <v>601</v>
      </c>
      <c r="L486" s="39"/>
      <c r="M486" t="str" s="39">
        <v>Química</v>
      </c>
      <c r="N486" t="str" s="39">
        <v>Composición de la materia</v>
      </c>
      <c r="O486" t="str" s="39" cm="1">
        <f t="array" ref="O486">IF(L486="","",_xlfn.IFERROR(INDEX('Datos - Catálogo TIMSS'!$C$5:$C$107,MATCH(L486,'Datos - Catálogo TIMSS'!$A$5:$A$107,0)),"?"))</f>
      </c>
      <c r="P486" t="s" s="35">
        <v>282</v>
      </c>
      <c r="Q486" t="s" s="120">
        <v>4124</v>
      </c>
      <c r="R486" t="s" s="120">
        <v>2962</v>
      </c>
      <c r="S486" s="121" cm="1">
        <f t="array" ref="S486">_xlfn.IFERROR(ISNUMBER(SEARCH("Conocer",$R486))/(ISNUMBER(SEARCH("Conocer",$R486))+ISNUMBER(SEARCH("Aplicar",$R486))+ISNUMBER(SEARCH("Razonar",$R486))),0)</f>
        <v>0</v>
      </c>
      <c r="T486" s="121" cm="1">
        <f t="array" ref="T486">_xlfn.IFERROR(ISNUMBER(SEARCH("Aplicar",$R486))/(ISNUMBER(SEARCH("Conocer",$R486))+ISNUMBER(SEARCH("Aplicar",$R486))+ISNUMBER(SEARCH("Razonar",$R486))),0)</f>
        <v>1</v>
      </c>
      <c r="U486" s="121" cm="1">
        <f t="array" ref="U486">_xlfn.IFERROR(ISNUMBER(SEARCH("Razonar",$R486))/(ISNUMBER(SEARCH("Conocer",$R486))+ISNUMBER(SEARCH("Aplicar",$R486))+ISNUMBER(SEARCH("Razonar",$R486))),0)</f>
        <v>0</v>
      </c>
      <c r="V486" t="s" s="35">
        <v>86</v>
      </c>
      <c r="W486" t="s" s="35">
        <v>115</v>
      </c>
      <c r="X486" s="36" cm="1">
        <f t="array" ref="X486">IF(OR(_xlfn.IFERROR(INDEX('Datos - Catálogo TIMSS'!$I$5:$I$107,MATCH(K486,'Datos - Catálogo TIMSS'!$A$5:$A$107,0)),"No")="Sí",_xlfn.IFERROR(INDEX('Datos - Catálogo TIMSS'!$I$5:$I$107,MATCH(L486,'Datos - Catálogo TIMSS'!$A$5:$A$107,0)),"No")="Sí"),1,0)</f>
        <v>0</v>
      </c>
      <c r="Y486" s="36" cm="1">
        <f t="array" ref="Y486">IF(_xlfn.IFERROR(INDEX('Datos - Catálogo TIMSS'!$J$5:$J$107,MATCH(K486,'Datos - Catálogo TIMSS'!$A$5:$A$107,0)),"No")="Sí",1,0)</f>
        <v>0</v>
      </c>
      <c r="Z486" s="36" cm="1">
        <f t="array" ref="Z486">IF(_xlfn.IFERROR(INDEX('Datos - Catálogo TIMSS'!$J$5:$J$107,MATCH(L486,'Datos - Catálogo TIMSS'!$A$5:$A$107,0)),"No")="Sí",1,0)</f>
        <v>0</v>
      </c>
      <c r="AA486" t="s" s="35">
        <v>2948</v>
      </c>
      <c r="AB486" s="39"/>
      <c r="AC486" t="str" s="39">
        <v>Química</v>
      </c>
      <c r="AD486" t="s" s="35">
        <v>1834</v>
      </c>
      <c r="AE486" t="str" s="39" cm="1">
        <f t="array" ref="AE486">IF(AD486="","",IF(LEFT(AD486,1)="1","C1",IF(LEFT(AD486,1)="2","C2",IF(LEFT(AD486,1)="3","C3",""))))</f>
        <v>C2</v>
      </c>
      <c r="AF486" t="s" s="35">
        <v>1602</v>
      </c>
      <c r="AG486" t="s" s="35">
        <v>1617</v>
      </c>
      <c r="AH486" t="s" s="35">
        <v>1602</v>
      </c>
      <c r="AI486" t="s" s="35">
        <v>1623</v>
      </c>
      <c r="AJ486" t="s" s="35">
        <v>1607</v>
      </c>
      <c r="AK486" t="s" s="35">
        <v>822</v>
      </c>
      <c r="AL486" s="39"/>
      <c r="AM486" t="str" s="39" cm="1">
        <f t="array" ref="AM486">IF(AK486="FUERA","Fuera del marco",_xlfn.IFERROR(INDEX('Datos - Catálogo PISA'!$C$5:$C$76,MATCH(AK486,'Datos - Catálogo PISA'!$A$5:$A$76,0)),"?"))</f>
        <v>Sistemas físicos</v>
      </c>
      <c r="AN486" t="s" s="35">
        <v>1651</v>
      </c>
      <c r="AO486" s="39"/>
      <c r="AP486" s="39"/>
      <c r="AQ486" t="s" s="35">
        <v>1756</v>
      </c>
      <c r="AR486" s="39"/>
      <c r="AS486" t="s" s="35">
        <v>1770</v>
      </c>
      <c r="AT486" t="s" s="35">
        <v>282</v>
      </c>
      <c r="AU486" t="s" s="35">
        <v>4125</v>
      </c>
      <c r="AV486" t="s" s="35">
        <v>139</v>
      </c>
      <c r="AW486" t="str" s="39" cm="1">
        <f t="array" ref="AW486">AF486&amp;"; "&amp;AG486&amp;"; "&amp;AH486&amp;"; "&amp;AI486&amp;"; "&amp;AJ486</f>
        <v>E1; D1; E1; D4; E3</v>
      </c>
    </row>
    <row r="487" ht="13.65" customHeight="1">
      <c r="A487" t="s" s="35">
        <v>4126</v>
      </c>
      <c r="B487" s="36">
        <v>8</v>
      </c>
      <c r="C487" t="s" s="35">
        <v>1823</v>
      </c>
      <c r="D487" t="s" s="35">
        <v>3919</v>
      </c>
      <c r="E487" t="s" s="35">
        <v>4100</v>
      </c>
      <c r="F487" s="36">
        <v>9</v>
      </c>
      <c r="G487" t="s" s="35">
        <v>593</v>
      </c>
      <c r="H487" t="s" s="35">
        <v>4114</v>
      </c>
      <c r="I487" t="s" s="120">
        <v>4127</v>
      </c>
      <c r="J487" t="s" s="35">
        <v>1164</v>
      </c>
      <c r="K487" t="s" s="35">
        <v>1231</v>
      </c>
      <c r="L487" s="39"/>
      <c r="M487" t="str" s="39">
        <v>Química</v>
      </c>
      <c r="N487" t="str" s="39">
        <v>Reacciones químicas</v>
      </c>
      <c r="O487" t="str" s="39" cm="1">
        <f t="array" ref="O487">IF(L487="","",_xlfn.IFERROR(INDEX('Datos - Catálogo TIMSS'!$C$5:$C$107,MATCH(L487,'Datos - Catálogo TIMSS'!$A$5:$A$107,0)),"?"))</f>
      </c>
      <c r="P487" t="s" s="35">
        <v>282</v>
      </c>
      <c r="Q487" t="s" s="120">
        <v>4128</v>
      </c>
      <c r="R487" t="s" s="120">
        <v>2962</v>
      </c>
      <c r="S487" s="121" cm="1">
        <f t="array" ref="S487">_xlfn.IFERROR(ISNUMBER(SEARCH("Conocer",$R487))/(ISNUMBER(SEARCH("Conocer",$R487))+ISNUMBER(SEARCH("Aplicar",$R487))+ISNUMBER(SEARCH("Razonar",$R487))),0)</f>
        <v>0</v>
      </c>
      <c r="T487" s="121" cm="1">
        <f t="array" ref="T487">_xlfn.IFERROR(ISNUMBER(SEARCH("Aplicar",$R487))/(ISNUMBER(SEARCH("Conocer",$R487))+ISNUMBER(SEARCH("Aplicar",$R487))+ISNUMBER(SEARCH("Razonar",$R487))),0)</f>
        <v>1</v>
      </c>
      <c r="U487" s="121" cm="1">
        <f t="array" ref="U487">_xlfn.IFERROR(ISNUMBER(SEARCH("Razonar",$R487))/(ISNUMBER(SEARCH("Conocer",$R487))+ISNUMBER(SEARCH("Aplicar",$R487))+ISNUMBER(SEARCH("Razonar",$R487))),0)</f>
        <v>0</v>
      </c>
      <c r="V487" t="s" s="35">
        <v>86</v>
      </c>
      <c r="W487" t="s" s="35">
        <v>115</v>
      </c>
      <c r="X487" s="36" cm="1">
        <f t="array" ref="X487">IF(OR(_xlfn.IFERROR(INDEX('Datos - Catálogo TIMSS'!$I$5:$I$107,MATCH(K487,'Datos - Catálogo TIMSS'!$A$5:$A$107,0)),"No")="Sí",_xlfn.IFERROR(INDEX('Datos - Catálogo TIMSS'!$I$5:$I$107,MATCH(L487,'Datos - Catálogo TIMSS'!$A$5:$A$107,0)),"No")="Sí"),1,0)</f>
        <v>0</v>
      </c>
      <c r="Y487" s="36" cm="1">
        <f t="array" ref="Y487">IF(_xlfn.IFERROR(INDEX('Datos - Catálogo TIMSS'!$J$5:$J$107,MATCH(K487,'Datos - Catálogo TIMSS'!$A$5:$A$107,0)),"No")="Sí",1,0)</f>
        <v>0</v>
      </c>
      <c r="Z487" s="36" cm="1">
        <f t="array" ref="Z487">IF(_xlfn.IFERROR(INDEX('Datos - Catálogo TIMSS'!$J$5:$J$107,MATCH(L487,'Datos - Catálogo TIMSS'!$A$5:$A$107,0)),"No")="Sí",1,0)</f>
        <v>0</v>
      </c>
      <c r="AA487" t="s" s="35">
        <v>3318</v>
      </c>
      <c r="AB487" s="39"/>
      <c r="AC487" t="str" s="39">
        <v>Química</v>
      </c>
      <c r="AD487" t="s" s="35">
        <v>1834</v>
      </c>
      <c r="AE487" t="str" s="39" cm="1">
        <f t="array" ref="AE487">IF(AD487="","",IF(LEFT(AD487,1)="1","C1",IF(LEFT(AD487,1)="2","C2",IF(LEFT(AD487,1)="3","C3",""))))</f>
        <v>C2</v>
      </c>
      <c r="AF487" t="s" s="35">
        <v>1602</v>
      </c>
      <c r="AG487" t="s" s="35">
        <v>1617</v>
      </c>
      <c r="AH487" t="s" s="35">
        <v>1602</v>
      </c>
      <c r="AI487" t="s" s="35">
        <v>1623</v>
      </c>
      <c r="AJ487" t="s" s="35">
        <v>1607</v>
      </c>
      <c r="AK487" t="s" s="35">
        <v>869</v>
      </c>
      <c r="AL487" s="39"/>
      <c r="AM487" t="str" s="39" cm="1">
        <f t="array" ref="AM487">IF(AK487="FUERA","Fuera del marco",_xlfn.IFERROR(INDEX('Datos - Catálogo PISA'!$C$5:$C$76,MATCH(AK487,'Datos - Catálogo PISA'!$A$5:$A$76,0)),"?"))</f>
        <v>Sistemas físicos</v>
      </c>
      <c r="AN487" t="s" s="35">
        <v>1651</v>
      </c>
      <c r="AO487" s="39"/>
      <c r="AP487" s="39"/>
      <c r="AQ487" t="s" s="35">
        <v>1756</v>
      </c>
      <c r="AR487" s="39"/>
      <c r="AS487" t="s" s="35">
        <v>1771</v>
      </c>
      <c r="AT487" t="s" s="35">
        <v>254</v>
      </c>
      <c r="AU487" t="s" s="35">
        <v>4129</v>
      </c>
      <c r="AV487" t="s" s="35">
        <v>139</v>
      </c>
      <c r="AW487" t="str" s="39" cm="1">
        <f t="array" ref="AW487">AF487&amp;"; "&amp;AG487&amp;"; "&amp;AH487&amp;"; "&amp;AI487&amp;"; "&amp;AJ487</f>
        <v>E1; D1; E1; D4; E3</v>
      </c>
    </row>
    <row r="488" ht="13.65" customHeight="1">
      <c r="A488" t="s" s="35">
        <v>4130</v>
      </c>
      <c r="B488" s="36">
        <v>8</v>
      </c>
      <c r="C488" t="s" s="35">
        <v>1823</v>
      </c>
      <c r="D488" t="s" s="35">
        <v>3919</v>
      </c>
      <c r="E488" t="s" s="35">
        <v>4100</v>
      </c>
      <c r="F488" s="36">
        <v>10</v>
      </c>
      <c r="G488" t="s" s="35">
        <v>593</v>
      </c>
      <c r="H488" t="s" s="35">
        <v>4114</v>
      </c>
      <c r="I488" t="s" s="120">
        <v>4131</v>
      </c>
      <c r="J488" t="s" s="35">
        <v>1164</v>
      </c>
      <c r="K488" t="s" s="35">
        <v>1231</v>
      </c>
      <c r="L488" s="39"/>
      <c r="M488" t="str" s="39">
        <v>Química</v>
      </c>
      <c r="N488" t="str" s="39">
        <v>Reacciones químicas</v>
      </c>
      <c r="O488" t="str" s="39" cm="1">
        <f t="array" ref="O488">IF(L488="","",_xlfn.IFERROR(INDEX('Datos - Catálogo TIMSS'!$C$5:$C$107,MATCH(L488,'Datos - Catálogo TIMSS'!$A$5:$A$107,0)),"?"))</f>
      </c>
      <c r="P488" t="s" s="35">
        <v>282</v>
      </c>
      <c r="Q488" t="s" s="120">
        <v>4132</v>
      </c>
      <c r="R488" t="s" s="120">
        <v>4133</v>
      </c>
      <c r="S488" s="121" cm="1">
        <f t="array" ref="S488">_xlfn.IFERROR(ISNUMBER(SEARCH("Conocer",$R488))/(ISNUMBER(SEARCH("Conocer",$R488))+ISNUMBER(SEARCH("Aplicar",$R488))+ISNUMBER(SEARCH("Razonar",$R488))),0)</f>
        <v>0</v>
      </c>
      <c r="T488" s="121" cm="1">
        <f t="array" ref="T488">_xlfn.IFERROR(ISNUMBER(SEARCH("Aplicar",$R488))/(ISNUMBER(SEARCH("Conocer",$R488))+ISNUMBER(SEARCH("Aplicar",$R488))+ISNUMBER(SEARCH("Razonar",$R488))),0)</f>
        <v>0</v>
      </c>
      <c r="U488" s="121" cm="1">
        <f t="array" ref="U488">_xlfn.IFERROR(ISNUMBER(SEARCH("Razonar",$R488))/(ISNUMBER(SEARCH("Conocer",$R488))+ISNUMBER(SEARCH("Aplicar",$R488))+ISNUMBER(SEARCH("Razonar",$R488))),0)</f>
        <v>1</v>
      </c>
      <c r="V488" t="s" s="35">
        <v>86</v>
      </c>
      <c r="W488" t="s" s="35">
        <v>115</v>
      </c>
      <c r="X488" s="36" cm="1">
        <f t="array" ref="X488">IF(OR(_xlfn.IFERROR(INDEX('Datos - Catálogo TIMSS'!$I$5:$I$107,MATCH(K488,'Datos - Catálogo TIMSS'!$A$5:$A$107,0)),"No")="Sí",_xlfn.IFERROR(INDEX('Datos - Catálogo TIMSS'!$I$5:$I$107,MATCH(L488,'Datos - Catálogo TIMSS'!$A$5:$A$107,0)),"No")="Sí"),1,0)</f>
        <v>0</v>
      </c>
      <c r="Y488" s="36" cm="1">
        <f t="array" ref="Y488">IF(_xlfn.IFERROR(INDEX('Datos - Catálogo TIMSS'!$J$5:$J$107,MATCH(K488,'Datos - Catálogo TIMSS'!$A$5:$A$107,0)),"No")="Sí",1,0)</f>
        <v>0</v>
      </c>
      <c r="Z488" s="36" cm="1">
        <f t="array" ref="Z488">IF(_xlfn.IFERROR(INDEX('Datos - Catálogo TIMSS'!$J$5:$J$107,MATCH(L488,'Datos - Catálogo TIMSS'!$A$5:$A$107,0)),"No")="Sí",1,0)</f>
        <v>0</v>
      </c>
      <c r="AA488" t="s" s="35">
        <v>3318</v>
      </c>
      <c r="AB488" s="39"/>
      <c r="AC488" t="str" s="39">
        <v>Química</v>
      </c>
      <c r="AD488" t="s" s="35">
        <v>1834</v>
      </c>
      <c r="AE488" t="str" s="39" cm="1">
        <f t="array" ref="AE488">IF(AD488="","",IF(LEFT(AD488,1)="1","C1",IF(LEFT(AD488,1)="2","C2",IF(LEFT(AD488,1)="3","C3",""))))</f>
        <v>C2</v>
      </c>
      <c r="AF488" t="s" s="35">
        <v>1602</v>
      </c>
      <c r="AG488" t="s" s="35">
        <v>1617</v>
      </c>
      <c r="AH488" t="s" s="35">
        <v>1602</v>
      </c>
      <c r="AI488" t="s" s="35">
        <v>1623</v>
      </c>
      <c r="AJ488" t="s" s="35">
        <v>1631</v>
      </c>
      <c r="AK488" t="s" s="35">
        <v>869</v>
      </c>
      <c r="AL488" s="39"/>
      <c r="AM488" t="str" s="39" cm="1">
        <f t="array" ref="AM488">IF(AK488="FUERA","Fuera del marco",_xlfn.IFERROR(INDEX('Datos - Catálogo PISA'!$C$5:$C$76,MATCH(AK488,'Datos - Catálogo PISA'!$A$5:$A$76,0)),"?"))</f>
        <v>Sistemas físicos</v>
      </c>
      <c r="AN488" t="s" s="35">
        <v>1651</v>
      </c>
      <c r="AO488" s="39"/>
      <c r="AP488" s="39"/>
      <c r="AQ488" t="s" s="35">
        <v>1756</v>
      </c>
      <c r="AR488" s="39"/>
      <c r="AS488" t="s" s="35">
        <v>1771</v>
      </c>
      <c r="AT488" t="s" s="35">
        <v>254</v>
      </c>
      <c r="AU488" t="s" s="35">
        <v>4134</v>
      </c>
      <c r="AV488" t="s" s="35">
        <v>139</v>
      </c>
      <c r="AW488" t="str" s="39" cm="1">
        <f t="array" ref="AW488">AF488&amp;"; "&amp;AG488&amp;"; "&amp;AH488&amp;"; "&amp;AI488&amp;"; "&amp;AJ488</f>
        <v>E1; D1; E1; D4; I4</v>
      </c>
    </row>
    <row r="489" ht="13.65" customHeight="1">
      <c r="A489" t="s" s="35">
        <v>4135</v>
      </c>
      <c r="B489" s="36">
        <v>8</v>
      </c>
      <c r="C489" t="s" s="35">
        <v>1823</v>
      </c>
      <c r="D489" t="s" s="35">
        <v>3919</v>
      </c>
      <c r="E489" t="s" s="35">
        <v>4100</v>
      </c>
      <c r="F489" s="36">
        <v>11</v>
      </c>
      <c r="G489" t="s" s="35">
        <v>593</v>
      </c>
      <c r="H489" t="s" s="35">
        <v>4136</v>
      </c>
      <c r="I489" t="s" s="120">
        <v>4137</v>
      </c>
      <c r="J489" t="s" s="35">
        <v>1164</v>
      </c>
      <c r="K489" t="s" s="35">
        <v>615</v>
      </c>
      <c r="L489" s="39"/>
      <c r="M489" t="str" s="39">
        <v>Química</v>
      </c>
      <c r="N489" t="str" s="39">
        <v>Propiedades de la materia</v>
      </c>
      <c r="O489" t="str" s="39" cm="1">
        <f t="array" ref="O489">IF(L489="","",_xlfn.IFERROR(INDEX('Datos - Catálogo TIMSS'!$C$5:$C$107,MATCH(L489,'Datos - Catálogo TIMSS'!$A$5:$A$107,0)),"?"))</f>
      </c>
      <c r="P489" t="s" s="35">
        <v>254</v>
      </c>
      <c r="Q489" t="s" s="120">
        <v>4138</v>
      </c>
      <c r="R489" t="s" s="120">
        <v>3423</v>
      </c>
      <c r="S489" s="121" cm="1">
        <f t="array" ref="S489">_xlfn.IFERROR(ISNUMBER(SEARCH("Conocer",$R489))/(ISNUMBER(SEARCH("Conocer",$R489))+ISNUMBER(SEARCH("Aplicar",$R489))+ISNUMBER(SEARCH("Razonar",$R489))),0)</f>
        <v>1</v>
      </c>
      <c r="T489" s="121" cm="1">
        <f t="array" ref="T489">_xlfn.IFERROR(ISNUMBER(SEARCH("Aplicar",$R489))/(ISNUMBER(SEARCH("Conocer",$R489))+ISNUMBER(SEARCH("Aplicar",$R489))+ISNUMBER(SEARCH("Razonar",$R489))),0)</f>
        <v>0</v>
      </c>
      <c r="U489" s="121" cm="1">
        <f t="array" ref="U489">_xlfn.IFERROR(ISNUMBER(SEARCH("Razonar",$R489))/(ISNUMBER(SEARCH("Conocer",$R489))+ISNUMBER(SEARCH("Aplicar",$R489))+ISNUMBER(SEARCH("Razonar",$R489))),0)</f>
        <v>0</v>
      </c>
      <c r="V489" t="s" s="35">
        <v>86</v>
      </c>
      <c r="W489" t="s" s="35">
        <v>115</v>
      </c>
      <c r="X489" s="36" cm="1">
        <f t="array" ref="X489">IF(OR(_xlfn.IFERROR(INDEX('Datos - Catálogo TIMSS'!$I$5:$I$107,MATCH(K489,'Datos - Catálogo TIMSS'!$A$5:$A$107,0)),"No")="Sí",_xlfn.IFERROR(INDEX('Datos - Catálogo TIMSS'!$I$5:$I$107,MATCH(L489,'Datos - Catálogo TIMSS'!$A$5:$A$107,0)),"No")="Sí"),1,0)</f>
        <v>0</v>
      </c>
      <c r="Y489" s="36" cm="1">
        <f t="array" ref="Y489">IF(_xlfn.IFERROR(INDEX('Datos - Catálogo TIMSS'!$J$5:$J$107,MATCH(K489,'Datos - Catálogo TIMSS'!$A$5:$A$107,0)),"No")="Sí",1,0)</f>
        <v>0</v>
      </c>
      <c r="Z489" s="36" cm="1">
        <f t="array" ref="Z489">IF(_xlfn.IFERROR(INDEX('Datos - Catálogo TIMSS'!$J$5:$J$107,MATCH(L489,'Datos - Catálogo TIMSS'!$A$5:$A$107,0)),"No")="Sí",1,0)</f>
        <v>0</v>
      </c>
      <c r="AA489" t="s" s="35">
        <v>3379</v>
      </c>
      <c r="AB489" s="39"/>
      <c r="AC489" t="str" s="39">
        <v>Química</v>
      </c>
      <c r="AD489" t="s" s="35">
        <v>1834</v>
      </c>
      <c r="AE489" t="str" s="39" cm="1">
        <f t="array" ref="AE489">IF(AD489="","",IF(LEFT(AD489,1)="1","C1",IF(LEFT(AD489,1)="2","C2",IF(LEFT(AD489,1)="3","C3",""))))</f>
        <v>C2</v>
      </c>
      <c r="AF489" t="s" s="35">
        <v>1602</v>
      </c>
      <c r="AG489" t="s" s="35">
        <v>1617</v>
      </c>
      <c r="AH489" t="s" s="35">
        <v>1602</v>
      </c>
      <c r="AI489" t="s" s="35">
        <v>1623</v>
      </c>
      <c r="AJ489" t="s" s="35">
        <v>1602</v>
      </c>
      <c r="AK489" t="s" s="35">
        <v>822</v>
      </c>
      <c r="AL489" s="39"/>
      <c r="AM489" t="str" s="39" cm="1">
        <f t="array" ref="AM489">IF(AK489="FUERA","Fuera del marco",_xlfn.IFERROR(INDEX('Datos - Catálogo PISA'!$C$5:$C$76,MATCH(AK489,'Datos - Catálogo PISA'!$A$5:$A$76,0)),"?"))</f>
        <v>Sistemas físicos</v>
      </c>
      <c r="AN489" t="s" s="35">
        <v>1651</v>
      </c>
      <c r="AO489" s="39"/>
      <c r="AP489" s="39"/>
      <c r="AQ489" t="s" s="35">
        <v>1751</v>
      </c>
      <c r="AR489" t="s" s="35">
        <v>1764</v>
      </c>
      <c r="AS489" t="s" s="35">
        <v>1770</v>
      </c>
      <c r="AT489" t="s" s="35">
        <v>282</v>
      </c>
      <c r="AU489" t="s" s="35">
        <v>4139</v>
      </c>
      <c r="AV489" t="s" s="35">
        <v>139</v>
      </c>
      <c r="AW489" t="str" s="39" cm="1">
        <f t="array" ref="AW489">AF489&amp;"; "&amp;AG489&amp;"; "&amp;AH489&amp;"; "&amp;AI489&amp;"; "&amp;AJ489</f>
        <v>E1; D1; E1; D4; E1</v>
      </c>
    </row>
    <row r="490" ht="13.65" customHeight="1">
      <c r="A490" t="s" s="35">
        <v>4140</v>
      </c>
      <c r="B490" s="36">
        <v>8</v>
      </c>
      <c r="C490" t="s" s="35">
        <v>1823</v>
      </c>
      <c r="D490" t="s" s="35">
        <v>3919</v>
      </c>
      <c r="E490" t="s" s="35">
        <v>4100</v>
      </c>
      <c r="F490" s="36">
        <v>12</v>
      </c>
      <c r="G490" t="s" s="35">
        <v>593</v>
      </c>
      <c r="H490" t="s" s="35">
        <v>4136</v>
      </c>
      <c r="I490" t="s" s="120">
        <v>4141</v>
      </c>
      <c r="J490" t="s" s="35">
        <v>1164</v>
      </c>
      <c r="K490" t="s" s="35">
        <v>615</v>
      </c>
      <c r="L490" s="39"/>
      <c r="M490" t="str" s="39">
        <v>Química</v>
      </c>
      <c r="N490" t="str" s="39">
        <v>Propiedades de la materia</v>
      </c>
      <c r="O490" t="str" s="39" cm="1">
        <f t="array" ref="O490">IF(L490="","",_xlfn.IFERROR(INDEX('Datos - Catálogo TIMSS'!$C$5:$C$107,MATCH(L490,'Datos - Catálogo TIMSS'!$A$5:$A$107,0)),"?"))</f>
      </c>
      <c r="P490" t="s" s="35">
        <v>254</v>
      </c>
      <c r="Q490" t="s" s="120">
        <v>4142</v>
      </c>
      <c r="R490" t="s" s="120">
        <v>4143</v>
      </c>
      <c r="S490" s="121" cm="1">
        <f t="array" ref="S490">_xlfn.IFERROR(ISNUMBER(SEARCH("Conocer",$R490))/(ISNUMBER(SEARCH("Conocer",$R490))+ISNUMBER(SEARCH("Aplicar",$R490))+ISNUMBER(SEARCH("Razonar",$R490))),0)</f>
        <v>0</v>
      </c>
      <c r="T490" s="121" cm="1">
        <f t="array" ref="T490">_xlfn.IFERROR(ISNUMBER(SEARCH("Aplicar",$R490))/(ISNUMBER(SEARCH("Conocer",$R490))+ISNUMBER(SEARCH("Aplicar",$R490))+ISNUMBER(SEARCH("Razonar",$R490))),0)</f>
        <v>1</v>
      </c>
      <c r="U490" s="121" cm="1">
        <f t="array" ref="U490">_xlfn.IFERROR(ISNUMBER(SEARCH("Razonar",$R490))/(ISNUMBER(SEARCH("Conocer",$R490))+ISNUMBER(SEARCH("Aplicar",$R490))+ISNUMBER(SEARCH("Razonar",$R490))),0)</f>
        <v>0</v>
      </c>
      <c r="V490" t="s" s="35">
        <v>86</v>
      </c>
      <c r="W490" t="s" s="35">
        <v>115</v>
      </c>
      <c r="X490" s="36" cm="1">
        <f t="array" ref="X490">IF(OR(_xlfn.IFERROR(INDEX('Datos - Catálogo TIMSS'!$I$5:$I$107,MATCH(K490,'Datos - Catálogo TIMSS'!$A$5:$A$107,0)),"No")="Sí",_xlfn.IFERROR(INDEX('Datos - Catálogo TIMSS'!$I$5:$I$107,MATCH(L490,'Datos - Catálogo TIMSS'!$A$5:$A$107,0)),"No")="Sí"),1,0)</f>
        <v>0</v>
      </c>
      <c r="Y490" s="36" cm="1">
        <f t="array" ref="Y490">IF(_xlfn.IFERROR(INDEX('Datos - Catálogo TIMSS'!$J$5:$J$107,MATCH(K490,'Datos - Catálogo TIMSS'!$A$5:$A$107,0)),"No")="Sí",1,0)</f>
        <v>0</v>
      </c>
      <c r="Z490" s="36" cm="1">
        <f t="array" ref="Z490">IF(_xlfn.IFERROR(INDEX('Datos - Catálogo TIMSS'!$J$5:$J$107,MATCH(L490,'Datos - Catálogo TIMSS'!$A$5:$A$107,0)),"No")="Sí",1,0)</f>
        <v>0</v>
      </c>
      <c r="AA490" t="s" s="35">
        <v>3379</v>
      </c>
      <c r="AB490" s="39"/>
      <c r="AC490" t="str" s="39">
        <v>Química</v>
      </c>
      <c r="AD490" t="s" s="35">
        <v>1834</v>
      </c>
      <c r="AE490" t="str" s="39" cm="1">
        <f t="array" ref="AE490">IF(AD490="","",IF(LEFT(AD490,1)="1","C1",IF(LEFT(AD490,1)="2","C2",IF(LEFT(AD490,1)="3","C3",""))))</f>
        <v>C2</v>
      </c>
      <c r="AF490" t="s" s="35">
        <v>1602</v>
      </c>
      <c r="AG490" t="s" s="35">
        <v>1617</v>
      </c>
      <c r="AH490" t="s" s="35">
        <v>1602</v>
      </c>
      <c r="AI490" t="s" s="35">
        <v>1623</v>
      </c>
      <c r="AJ490" t="s" s="35">
        <v>1607</v>
      </c>
      <c r="AK490" t="s" s="35">
        <v>822</v>
      </c>
      <c r="AL490" s="39"/>
      <c r="AM490" t="str" s="39" cm="1">
        <f t="array" ref="AM490">IF(AK490="FUERA","Fuera del marco",_xlfn.IFERROR(INDEX('Datos - Catálogo PISA'!$C$5:$C$76,MATCH(AK490,'Datos - Catálogo PISA'!$A$5:$A$76,0)),"?"))</f>
        <v>Sistemas físicos</v>
      </c>
      <c r="AN490" t="s" s="35">
        <v>1651</v>
      </c>
      <c r="AO490" s="39"/>
      <c r="AP490" s="39"/>
      <c r="AQ490" t="s" s="35">
        <v>1756</v>
      </c>
      <c r="AR490" s="39"/>
      <c r="AS490" t="s" s="35">
        <v>1771</v>
      </c>
      <c r="AT490" t="s" s="35">
        <v>282</v>
      </c>
      <c r="AU490" t="s" s="35">
        <v>4144</v>
      </c>
      <c r="AV490" t="s" s="35">
        <v>139</v>
      </c>
      <c r="AW490" t="str" s="39" cm="1">
        <f t="array" ref="AW490">AF490&amp;"; "&amp;AG490&amp;"; "&amp;AH490&amp;"; "&amp;AI490&amp;"; "&amp;AJ490</f>
        <v>E1; D1; E1; D4; E3</v>
      </c>
    </row>
    <row r="491" ht="13.65" customHeight="1">
      <c r="A491" t="s" s="35">
        <v>4145</v>
      </c>
      <c r="B491" s="36">
        <v>8</v>
      </c>
      <c r="C491" t="s" s="35">
        <v>1823</v>
      </c>
      <c r="D491" t="s" s="35">
        <v>3919</v>
      </c>
      <c r="E491" t="s" s="35">
        <v>4100</v>
      </c>
      <c r="F491" s="36">
        <v>13</v>
      </c>
      <c r="G491" t="s" s="35">
        <v>593</v>
      </c>
      <c r="H491" t="s" s="35">
        <v>4136</v>
      </c>
      <c r="I491" t="s" s="120">
        <v>4146</v>
      </c>
      <c r="J491" t="s" s="35">
        <v>1164</v>
      </c>
      <c r="K491" t="s" s="35">
        <v>615</v>
      </c>
      <c r="L491" s="39"/>
      <c r="M491" t="str" s="39">
        <v>Química</v>
      </c>
      <c r="N491" t="str" s="39">
        <v>Propiedades de la materia</v>
      </c>
      <c r="O491" t="str" s="39" cm="1">
        <f t="array" ref="O491">IF(L491="","",_xlfn.IFERROR(INDEX('Datos - Catálogo TIMSS'!$C$5:$C$107,MATCH(L491,'Datos - Catálogo TIMSS'!$A$5:$A$107,0)),"?"))</f>
      </c>
      <c r="P491" t="s" s="35">
        <v>282</v>
      </c>
      <c r="Q491" t="s" s="120">
        <v>4147</v>
      </c>
      <c r="R491" t="s" s="120">
        <v>1878</v>
      </c>
      <c r="S491" s="121" cm="1">
        <f t="array" ref="S491">_xlfn.IFERROR(ISNUMBER(SEARCH("Conocer",$R491))/(ISNUMBER(SEARCH("Conocer",$R491))+ISNUMBER(SEARCH("Aplicar",$R491))+ISNUMBER(SEARCH("Razonar",$R491))),0)</f>
        <v>0</v>
      </c>
      <c r="T491" s="121" cm="1">
        <f t="array" ref="T491">_xlfn.IFERROR(ISNUMBER(SEARCH("Aplicar",$R491))/(ISNUMBER(SEARCH("Conocer",$R491))+ISNUMBER(SEARCH("Aplicar",$R491))+ISNUMBER(SEARCH("Razonar",$R491))),0)</f>
        <v>1</v>
      </c>
      <c r="U491" s="121" cm="1">
        <f t="array" ref="U491">_xlfn.IFERROR(ISNUMBER(SEARCH("Razonar",$R491))/(ISNUMBER(SEARCH("Conocer",$R491))+ISNUMBER(SEARCH("Aplicar",$R491))+ISNUMBER(SEARCH("Razonar",$R491))),0)</f>
        <v>0</v>
      </c>
      <c r="V491" t="s" s="35">
        <v>86</v>
      </c>
      <c r="W491" t="s" s="35">
        <v>115</v>
      </c>
      <c r="X491" s="36" cm="1">
        <f t="array" ref="X491">IF(OR(_xlfn.IFERROR(INDEX('Datos - Catálogo TIMSS'!$I$5:$I$107,MATCH(K491,'Datos - Catálogo TIMSS'!$A$5:$A$107,0)),"No")="Sí",_xlfn.IFERROR(INDEX('Datos - Catálogo TIMSS'!$I$5:$I$107,MATCH(L491,'Datos - Catálogo TIMSS'!$A$5:$A$107,0)),"No")="Sí"),1,0)</f>
        <v>0</v>
      </c>
      <c r="Y491" s="36" cm="1">
        <f t="array" ref="Y491">IF(_xlfn.IFERROR(INDEX('Datos - Catálogo TIMSS'!$J$5:$J$107,MATCH(K491,'Datos - Catálogo TIMSS'!$A$5:$A$107,0)),"No")="Sí",1,0)</f>
        <v>0</v>
      </c>
      <c r="Z491" s="36" cm="1">
        <f t="array" ref="Z491">IF(_xlfn.IFERROR(INDEX('Datos - Catálogo TIMSS'!$J$5:$J$107,MATCH(L491,'Datos - Catálogo TIMSS'!$A$5:$A$107,0)),"No")="Sí",1,0)</f>
        <v>0</v>
      </c>
      <c r="AA491" t="s" s="35">
        <v>3379</v>
      </c>
      <c r="AB491" s="39"/>
      <c r="AC491" t="str" s="39">
        <v>Química</v>
      </c>
      <c r="AD491" t="s" s="35">
        <v>1900</v>
      </c>
      <c r="AE491" t="str" s="39" cm="1">
        <f t="array" ref="AE491">IF(AD491="","",IF(LEFT(AD491,1)="1","C1",IF(LEFT(AD491,1)="2","C2",IF(LEFT(AD491,1)="3","C3",""))))</f>
        <v>C3</v>
      </c>
      <c r="AF491" t="s" s="35">
        <v>1602</v>
      </c>
      <c r="AG491" t="s" s="35">
        <v>1617</v>
      </c>
      <c r="AH491" t="s" s="35">
        <v>1602</v>
      </c>
      <c r="AI491" t="s" s="35">
        <v>1625</v>
      </c>
      <c r="AJ491" t="s" s="35">
        <v>1633</v>
      </c>
      <c r="AK491" t="s" s="35">
        <v>822</v>
      </c>
      <c r="AL491" s="39"/>
      <c r="AM491" t="str" s="39" cm="1">
        <f t="array" ref="AM491">IF(AK491="FUERA","Fuera del marco",_xlfn.IFERROR(INDEX('Datos - Catálogo PISA'!$C$5:$C$76,MATCH(AK491,'Datos - Catálogo PISA'!$A$5:$A$76,0)),"?"))</f>
        <v>Sistemas físicos</v>
      </c>
      <c r="AN491" t="s" s="35">
        <v>1651</v>
      </c>
      <c r="AO491" s="39"/>
      <c r="AP491" s="39"/>
      <c r="AQ491" t="s" s="35">
        <v>1753</v>
      </c>
      <c r="AR491" t="s" s="35">
        <v>1768</v>
      </c>
      <c r="AS491" t="s" s="35">
        <v>1770</v>
      </c>
      <c r="AT491" t="s" s="35">
        <v>282</v>
      </c>
      <c r="AU491" t="s" s="35">
        <v>4148</v>
      </c>
      <c r="AV491" t="s" s="35">
        <v>139</v>
      </c>
      <c r="AW491" t="str" s="39" cm="1">
        <f t="array" ref="AW491">AF491&amp;"; "&amp;AG491&amp;"; "&amp;AH491&amp;"; "&amp;AI491&amp;"; "&amp;AJ491</f>
        <v>E1; D1; E1; I1; I5</v>
      </c>
    </row>
    <row r="492" ht="13.65" customHeight="1">
      <c r="A492" t="s" s="35">
        <v>4149</v>
      </c>
      <c r="B492" s="36">
        <v>8</v>
      </c>
      <c r="C492" t="s" s="35">
        <v>1823</v>
      </c>
      <c r="D492" t="s" s="35">
        <v>3919</v>
      </c>
      <c r="E492" t="s" s="35">
        <v>4100</v>
      </c>
      <c r="F492" s="36">
        <v>14</v>
      </c>
      <c r="G492" t="s" s="35">
        <v>593</v>
      </c>
      <c r="H492" t="s" s="35">
        <v>4150</v>
      </c>
      <c r="I492" t="s" s="120">
        <v>4151</v>
      </c>
      <c r="J492" t="s" s="35">
        <v>1164</v>
      </c>
      <c r="K492" t="s" s="35">
        <v>1212</v>
      </c>
      <c r="L492" t="s" s="35">
        <v>615</v>
      </c>
      <c r="M492" t="str" s="39">
        <v>Química</v>
      </c>
      <c r="N492" t="str" s="39">
        <v>Composición de la materia</v>
      </c>
      <c r="O492" t="str" s="39" cm="1">
        <f t="array" ref="O492">IF(L492="","",_xlfn.IFERROR(INDEX('Datos - Catálogo TIMSS'!$C$5:$C$107,MATCH(L492,'Datos - Catálogo TIMSS'!$A$5:$A$107,0)),"?"))</f>
        <v>Química</v>
      </c>
      <c r="P492" t="s" s="35">
        <v>282</v>
      </c>
      <c r="Q492" t="s" s="120">
        <v>4152</v>
      </c>
      <c r="R492" t="s" s="120">
        <v>3423</v>
      </c>
      <c r="S492" s="121" cm="1">
        <f t="array" ref="S492">_xlfn.IFERROR(ISNUMBER(SEARCH("Conocer",$R492))/(ISNUMBER(SEARCH("Conocer",$R492))+ISNUMBER(SEARCH("Aplicar",$R492))+ISNUMBER(SEARCH("Razonar",$R492))),0)</f>
        <v>1</v>
      </c>
      <c r="T492" s="121" cm="1">
        <f t="array" ref="T492">_xlfn.IFERROR(ISNUMBER(SEARCH("Aplicar",$R492))/(ISNUMBER(SEARCH("Conocer",$R492))+ISNUMBER(SEARCH("Aplicar",$R492))+ISNUMBER(SEARCH("Razonar",$R492))),0)</f>
        <v>0</v>
      </c>
      <c r="U492" s="121" cm="1">
        <f t="array" ref="U492">_xlfn.IFERROR(ISNUMBER(SEARCH("Razonar",$R492))/(ISNUMBER(SEARCH("Conocer",$R492))+ISNUMBER(SEARCH("Aplicar",$R492))+ISNUMBER(SEARCH("Razonar",$R492))),0)</f>
        <v>0</v>
      </c>
      <c r="V492" t="s" s="35">
        <v>86</v>
      </c>
      <c r="W492" t="s" s="35">
        <v>115</v>
      </c>
      <c r="X492" s="36" cm="1">
        <f t="array" ref="X492">IF(OR(_xlfn.IFERROR(INDEX('Datos - Catálogo TIMSS'!$I$5:$I$107,MATCH(K492,'Datos - Catálogo TIMSS'!$A$5:$A$107,0)),"No")="Sí",_xlfn.IFERROR(INDEX('Datos - Catálogo TIMSS'!$I$5:$I$107,MATCH(L492,'Datos - Catálogo TIMSS'!$A$5:$A$107,0)),"No")="Sí"),1,0)</f>
        <v>0</v>
      </c>
      <c r="Y492" s="36" cm="1">
        <f t="array" ref="Y492">IF(_xlfn.IFERROR(INDEX('Datos - Catálogo TIMSS'!$J$5:$J$107,MATCH(K492,'Datos - Catálogo TIMSS'!$A$5:$A$107,0)),"No")="Sí",1,0)</f>
        <v>0</v>
      </c>
      <c r="Z492" s="36" cm="1">
        <f t="array" ref="Z492">IF(_xlfn.IFERROR(INDEX('Datos - Catálogo TIMSS'!$J$5:$J$107,MATCH(L492,'Datos - Catálogo TIMSS'!$A$5:$A$107,0)),"No")="Sí",1,0)</f>
        <v>0</v>
      </c>
      <c r="AA492" t="s" s="35">
        <v>3379</v>
      </c>
      <c r="AB492" t="s" s="35">
        <v>3016</v>
      </c>
      <c r="AC492" t="str" s="39">
        <v>Química</v>
      </c>
      <c r="AD492" t="s" s="35">
        <v>1859</v>
      </c>
      <c r="AE492" t="str" s="39" cm="1">
        <f t="array" ref="AE492">IF(AD492="","",IF(LEFT(AD492,1)="1","C1",IF(LEFT(AD492,1)="2","C2",IF(LEFT(AD492,1)="3","C3",""))))</f>
        <v>C1</v>
      </c>
      <c r="AF492" t="s" s="35">
        <v>1602</v>
      </c>
      <c r="AG492" t="s" s="35">
        <v>1617</v>
      </c>
      <c r="AH492" t="s" s="35">
        <v>1602</v>
      </c>
      <c r="AI492" t="s" s="35">
        <v>1623</v>
      </c>
      <c r="AJ492" t="s" s="35">
        <v>1602</v>
      </c>
      <c r="AK492" t="s" s="35">
        <v>822</v>
      </c>
      <c r="AL492" s="39"/>
      <c r="AM492" t="str" s="39" cm="1">
        <f t="array" ref="AM492">IF(AK492="FUERA","Fuera del marco",_xlfn.IFERROR(INDEX('Datos - Catálogo PISA'!$C$5:$C$76,MATCH(AK492,'Datos - Catálogo PISA'!$A$5:$A$76,0)),"?"))</f>
        <v>Sistemas físicos</v>
      </c>
      <c r="AN492" t="s" s="35">
        <v>1651</v>
      </c>
      <c r="AO492" s="39"/>
      <c r="AP492" s="39"/>
      <c r="AQ492" t="s" s="35">
        <v>1751</v>
      </c>
      <c r="AR492" t="s" s="35">
        <v>1768</v>
      </c>
      <c r="AS492" t="s" s="35">
        <v>1770</v>
      </c>
      <c r="AT492" t="s" s="35">
        <v>282</v>
      </c>
      <c r="AU492" t="s" s="35">
        <v>4153</v>
      </c>
      <c r="AV492" t="s" s="35">
        <v>139</v>
      </c>
      <c r="AW492" t="str" s="39" cm="1">
        <f t="array" ref="AW492">AF492&amp;"; "&amp;AG492&amp;"; "&amp;AH492&amp;"; "&amp;AI492&amp;"; "&amp;AJ492</f>
        <v>E1; D1; E1; D4; E1</v>
      </c>
    </row>
    <row r="493" ht="13.65" customHeight="1">
      <c r="A493" t="s" s="35">
        <v>4154</v>
      </c>
      <c r="B493" s="36">
        <v>8</v>
      </c>
      <c r="C493" t="s" s="35">
        <v>1823</v>
      </c>
      <c r="D493" t="s" s="35">
        <v>3919</v>
      </c>
      <c r="E493" t="s" s="35">
        <v>4100</v>
      </c>
      <c r="F493" s="36">
        <v>15</v>
      </c>
      <c r="G493" t="s" s="35">
        <v>593</v>
      </c>
      <c r="H493" t="s" s="35">
        <v>4150</v>
      </c>
      <c r="I493" t="s" s="120">
        <v>4155</v>
      </c>
      <c r="J493" t="s" s="35">
        <v>1164</v>
      </c>
      <c r="K493" t="s" s="35">
        <v>1212</v>
      </c>
      <c r="L493" t="s" s="35">
        <v>615</v>
      </c>
      <c r="M493" t="str" s="39">
        <v>Química</v>
      </c>
      <c r="N493" t="str" s="39">
        <v>Composición de la materia</v>
      </c>
      <c r="O493" t="str" s="39" cm="1">
        <f t="array" ref="O493">IF(L493="","",_xlfn.IFERROR(INDEX('Datos - Catálogo TIMSS'!$C$5:$C$107,MATCH(L493,'Datos - Catálogo TIMSS'!$A$5:$A$107,0)),"?"))</f>
        <v>Química</v>
      </c>
      <c r="P493" t="s" s="35">
        <v>282</v>
      </c>
      <c r="Q493" t="s" s="120">
        <v>4156</v>
      </c>
      <c r="R493" t="s" s="120">
        <v>1847</v>
      </c>
      <c r="S493" s="121" cm="1">
        <f t="array" ref="S493">_xlfn.IFERROR(ISNUMBER(SEARCH("Conocer",$R493))/(ISNUMBER(SEARCH("Conocer",$R493))+ISNUMBER(SEARCH("Aplicar",$R493))+ISNUMBER(SEARCH("Razonar",$R493))),0)</f>
        <v>0</v>
      </c>
      <c r="T493" s="121" cm="1">
        <f t="array" ref="T493">_xlfn.IFERROR(ISNUMBER(SEARCH("Aplicar",$R493))/(ISNUMBER(SEARCH("Conocer",$R493))+ISNUMBER(SEARCH("Aplicar",$R493))+ISNUMBER(SEARCH("Razonar",$R493))),0)</f>
        <v>1</v>
      </c>
      <c r="U493" s="121" cm="1">
        <f t="array" ref="U493">_xlfn.IFERROR(ISNUMBER(SEARCH("Razonar",$R493))/(ISNUMBER(SEARCH("Conocer",$R493))+ISNUMBER(SEARCH("Aplicar",$R493))+ISNUMBER(SEARCH("Razonar",$R493))),0)</f>
        <v>0</v>
      </c>
      <c r="V493" t="s" s="35">
        <v>86</v>
      </c>
      <c r="W493" t="s" s="35">
        <v>115</v>
      </c>
      <c r="X493" s="36" cm="1">
        <f t="array" ref="X493">IF(OR(_xlfn.IFERROR(INDEX('Datos - Catálogo TIMSS'!$I$5:$I$107,MATCH(K493,'Datos - Catálogo TIMSS'!$A$5:$A$107,0)),"No")="Sí",_xlfn.IFERROR(INDEX('Datos - Catálogo TIMSS'!$I$5:$I$107,MATCH(L493,'Datos - Catálogo TIMSS'!$A$5:$A$107,0)),"No")="Sí"),1,0)</f>
        <v>0</v>
      </c>
      <c r="Y493" s="36" cm="1">
        <f t="array" ref="Y493">IF(_xlfn.IFERROR(INDEX('Datos - Catálogo TIMSS'!$J$5:$J$107,MATCH(K493,'Datos - Catálogo TIMSS'!$A$5:$A$107,0)),"No")="Sí",1,0)</f>
        <v>0</v>
      </c>
      <c r="Z493" s="36" cm="1">
        <f t="array" ref="Z493">IF(_xlfn.IFERROR(INDEX('Datos - Catálogo TIMSS'!$J$5:$J$107,MATCH(L493,'Datos - Catálogo TIMSS'!$A$5:$A$107,0)),"No")="Sí",1,0)</f>
        <v>0</v>
      </c>
      <c r="AA493" t="s" s="35">
        <v>3379</v>
      </c>
      <c r="AB493" t="s" s="35">
        <v>3016</v>
      </c>
      <c r="AC493" t="str" s="39">
        <v>Química</v>
      </c>
      <c r="AD493" t="s" s="35">
        <v>1834</v>
      </c>
      <c r="AE493" t="str" s="39" cm="1">
        <f t="array" ref="AE493">IF(AD493="","",IF(LEFT(AD493,1)="1","C1",IF(LEFT(AD493,1)="2","C2",IF(LEFT(AD493,1)="3","C3",""))))</f>
        <v>C2</v>
      </c>
      <c r="AF493" t="s" s="35">
        <v>1602</v>
      </c>
      <c r="AG493" t="s" s="35">
        <v>1617</v>
      </c>
      <c r="AH493" t="s" s="35">
        <v>1602</v>
      </c>
      <c r="AI493" t="s" s="35">
        <v>1623</v>
      </c>
      <c r="AJ493" t="s" s="35">
        <v>1602</v>
      </c>
      <c r="AK493" t="s" s="35">
        <v>822</v>
      </c>
      <c r="AL493" s="39"/>
      <c r="AM493" t="str" s="39" cm="1">
        <f t="array" ref="AM493">IF(AK493="FUERA","Fuera del marco",_xlfn.IFERROR(INDEX('Datos - Catálogo PISA'!$C$5:$C$76,MATCH(AK493,'Datos - Catálogo PISA'!$A$5:$A$76,0)),"?"))</f>
        <v>Sistemas físicos</v>
      </c>
      <c r="AN493" t="s" s="35">
        <v>1651</v>
      </c>
      <c r="AO493" s="39"/>
      <c r="AP493" s="39"/>
      <c r="AQ493" t="s" s="35">
        <v>1756</v>
      </c>
      <c r="AR493" s="39"/>
      <c r="AS493" t="s" s="35">
        <v>1770</v>
      </c>
      <c r="AT493" t="s" s="35">
        <v>254</v>
      </c>
      <c r="AU493" t="s" s="35">
        <v>4157</v>
      </c>
      <c r="AV493" t="s" s="35">
        <v>139</v>
      </c>
      <c r="AW493" t="str" s="39" cm="1">
        <f t="array" ref="AW493">AF493&amp;"; "&amp;AG493&amp;"; "&amp;AH493&amp;"; "&amp;AI493&amp;"; "&amp;AJ493</f>
        <v>E1; D1; E1; D4; E1</v>
      </c>
    </row>
    <row r="494" ht="13.65" customHeight="1">
      <c r="A494" t="s" s="35">
        <v>4158</v>
      </c>
      <c r="B494" s="36">
        <v>8</v>
      </c>
      <c r="C494" t="s" s="35">
        <v>1823</v>
      </c>
      <c r="D494" t="s" s="35">
        <v>3919</v>
      </c>
      <c r="E494" t="s" s="35">
        <v>4100</v>
      </c>
      <c r="F494" s="36">
        <v>16</v>
      </c>
      <c r="G494" t="s" s="35">
        <v>593</v>
      </c>
      <c r="H494" t="s" s="35">
        <v>4150</v>
      </c>
      <c r="I494" t="s" s="120">
        <v>4159</v>
      </c>
      <c r="J494" t="s" s="35">
        <v>1164</v>
      </c>
      <c r="K494" t="s" s="35">
        <v>1212</v>
      </c>
      <c r="L494" s="39"/>
      <c r="M494" t="str" s="39">
        <v>Química</v>
      </c>
      <c r="N494" t="str" s="39">
        <v>Composición de la materia</v>
      </c>
      <c r="O494" t="str" s="39" cm="1">
        <f t="array" ref="O494">IF(L494="","",_xlfn.IFERROR(INDEX('Datos - Catálogo TIMSS'!$C$5:$C$107,MATCH(L494,'Datos - Catálogo TIMSS'!$A$5:$A$107,0)),"?"))</f>
      </c>
      <c r="P494" t="s" s="35">
        <v>282</v>
      </c>
      <c r="Q494" t="s" s="120">
        <v>4160</v>
      </c>
      <c r="R494" t="s" s="120">
        <v>3724</v>
      </c>
      <c r="S494" s="121" cm="1">
        <f t="array" ref="S494">_xlfn.IFERROR(ISNUMBER(SEARCH("Conocer",$R494))/(ISNUMBER(SEARCH("Conocer",$R494))+ISNUMBER(SEARCH("Aplicar",$R494))+ISNUMBER(SEARCH("Razonar",$R494))),0)</f>
        <v>0</v>
      </c>
      <c r="T494" s="121" cm="1">
        <f t="array" ref="T494">_xlfn.IFERROR(ISNUMBER(SEARCH("Aplicar",$R494))/(ISNUMBER(SEARCH("Conocer",$R494))+ISNUMBER(SEARCH("Aplicar",$R494))+ISNUMBER(SEARCH("Razonar",$R494))),0)</f>
        <v>1</v>
      </c>
      <c r="U494" s="121" cm="1">
        <f t="array" ref="U494">_xlfn.IFERROR(ISNUMBER(SEARCH("Razonar",$R494))/(ISNUMBER(SEARCH("Conocer",$R494))+ISNUMBER(SEARCH("Aplicar",$R494))+ISNUMBER(SEARCH("Razonar",$R494))),0)</f>
        <v>0</v>
      </c>
      <c r="V494" t="s" s="35">
        <v>86</v>
      </c>
      <c r="W494" t="s" s="35">
        <v>115</v>
      </c>
      <c r="X494" s="36" cm="1">
        <f t="array" ref="X494">IF(OR(_xlfn.IFERROR(INDEX('Datos - Catálogo TIMSS'!$I$5:$I$107,MATCH(K494,'Datos - Catálogo TIMSS'!$A$5:$A$107,0)),"No")="Sí",_xlfn.IFERROR(INDEX('Datos - Catálogo TIMSS'!$I$5:$I$107,MATCH(L494,'Datos - Catálogo TIMSS'!$A$5:$A$107,0)),"No")="Sí"),1,0)</f>
        <v>0</v>
      </c>
      <c r="Y494" s="36" cm="1">
        <f t="array" ref="Y494">IF(_xlfn.IFERROR(INDEX('Datos - Catálogo TIMSS'!$J$5:$J$107,MATCH(K494,'Datos - Catálogo TIMSS'!$A$5:$A$107,0)),"No")="Sí",1,0)</f>
        <v>0</v>
      </c>
      <c r="Z494" s="36" cm="1">
        <f t="array" ref="Z494">IF(_xlfn.IFERROR(INDEX('Datos - Catálogo TIMSS'!$J$5:$J$107,MATCH(L494,'Datos - Catálogo TIMSS'!$A$5:$A$107,0)),"No")="Sí",1,0)</f>
        <v>0</v>
      </c>
      <c r="AA494" t="s" s="35">
        <v>3379</v>
      </c>
      <c r="AB494" s="39"/>
      <c r="AC494" t="str" s="39">
        <v>Química</v>
      </c>
      <c r="AD494" t="s" s="35">
        <v>1900</v>
      </c>
      <c r="AE494" t="str" s="39" cm="1">
        <f t="array" ref="AE494">IF(AD494="","",IF(LEFT(AD494,1)="1","C1",IF(LEFT(AD494,1)="2","C2",IF(LEFT(AD494,1)="3","C3",""))))</f>
        <v>C3</v>
      </c>
      <c r="AF494" t="s" s="35">
        <v>1602</v>
      </c>
      <c r="AG494" t="s" s="35">
        <v>1617</v>
      </c>
      <c r="AH494" t="s" s="35">
        <v>1602</v>
      </c>
      <c r="AI494" t="s" s="35">
        <v>1625</v>
      </c>
      <c r="AJ494" t="s" s="35">
        <v>1633</v>
      </c>
      <c r="AK494" t="s" s="35">
        <v>822</v>
      </c>
      <c r="AL494" s="39"/>
      <c r="AM494" t="str" s="39" cm="1">
        <f t="array" ref="AM494">IF(AK494="FUERA","Fuera del marco",_xlfn.IFERROR(INDEX('Datos - Catálogo PISA'!$C$5:$C$76,MATCH(AK494,'Datos - Catálogo PISA'!$A$5:$A$76,0)),"?"))</f>
        <v>Sistemas físicos</v>
      </c>
      <c r="AN494" t="s" s="35">
        <v>1651</v>
      </c>
      <c r="AO494" s="39"/>
      <c r="AP494" s="39"/>
      <c r="AQ494" t="s" s="35">
        <v>1751</v>
      </c>
      <c r="AR494" t="s" s="35">
        <v>1768</v>
      </c>
      <c r="AS494" t="s" s="35">
        <v>1770</v>
      </c>
      <c r="AT494" t="s" s="35">
        <v>282</v>
      </c>
      <c r="AU494" t="s" s="35">
        <v>4161</v>
      </c>
      <c r="AV494" t="s" s="35">
        <v>139</v>
      </c>
      <c r="AW494" t="str" s="39" cm="1">
        <f t="array" ref="AW494">AF494&amp;"; "&amp;AG494&amp;"; "&amp;AH494&amp;"; "&amp;AI494&amp;"; "&amp;AJ494</f>
        <v>E1; D1; E1; I1; I5</v>
      </c>
    </row>
    <row r="495" ht="13.65" customHeight="1">
      <c r="A495" t="s" s="35">
        <v>4162</v>
      </c>
      <c r="B495" s="36">
        <v>8</v>
      </c>
      <c r="C495" t="s" s="35">
        <v>1823</v>
      </c>
      <c r="D495" t="s" s="35">
        <v>3919</v>
      </c>
      <c r="E495" t="s" s="35">
        <v>4100</v>
      </c>
      <c r="F495" s="36">
        <v>17</v>
      </c>
      <c r="G495" t="s" s="35">
        <v>593</v>
      </c>
      <c r="H495" t="s" s="35">
        <v>4150</v>
      </c>
      <c r="I495" t="s" s="120">
        <v>4163</v>
      </c>
      <c r="J495" t="s" s="35">
        <v>1164</v>
      </c>
      <c r="K495" t="s" s="35">
        <v>615</v>
      </c>
      <c r="L495" s="39"/>
      <c r="M495" t="str" s="39">
        <v>Química</v>
      </c>
      <c r="N495" t="str" s="39">
        <v>Propiedades de la materia</v>
      </c>
      <c r="O495" t="str" s="39" cm="1">
        <f t="array" ref="O495">IF(L495="","",_xlfn.IFERROR(INDEX('Datos - Catálogo TIMSS'!$C$5:$C$107,MATCH(L495,'Datos - Catálogo TIMSS'!$A$5:$A$107,0)),"?"))</f>
      </c>
      <c r="P495" t="s" s="35">
        <v>254</v>
      </c>
      <c r="Q495" t="s" s="120">
        <v>4164</v>
      </c>
      <c r="R495" t="s" s="120">
        <v>1847</v>
      </c>
      <c r="S495" s="121" cm="1">
        <f t="array" ref="S495">_xlfn.IFERROR(ISNUMBER(SEARCH("Conocer",$R495))/(ISNUMBER(SEARCH("Conocer",$R495))+ISNUMBER(SEARCH("Aplicar",$R495))+ISNUMBER(SEARCH("Razonar",$R495))),0)</f>
        <v>0</v>
      </c>
      <c r="T495" s="121" cm="1">
        <f t="array" ref="T495">_xlfn.IFERROR(ISNUMBER(SEARCH("Aplicar",$R495))/(ISNUMBER(SEARCH("Conocer",$R495))+ISNUMBER(SEARCH("Aplicar",$R495))+ISNUMBER(SEARCH("Razonar",$R495))),0)</f>
        <v>1</v>
      </c>
      <c r="U495" s="121" cm="1">
        <f t="array" ref="U495">_xlfn.IFERROR(ISNUMBER(SEARCH("Razonar",$R495))/(ISNUMBER(SEARCH("Conocer",$R495))+ISNUMBER(SEARCH("Aplicar",$R495))+ISNUMBER(SEARCH("Razonar",$R495))),0)</f>
        <v>0</v>
      </c>
      <c r="V495" t="s" s="35">
        <v>86</v>
      </c>
      <c r="W495" t="s" s="35">
        <v>115</v>
      </c>
      <c r="X495" s="36" cm="1">
        <f t="array" ref="X495">IF(OR(_xlfn.IFERROR(INDEX('Datos - Catálogo TIMSS'!$I$5:$I$107,MATCH(K495,'Datos - Catálogo TIMSS'!$A$5:$A$107,0)),"No")="Sí",_xlfn.IFERROR(INDEX('Datos - Catálogo TIMSS'!$I$5:$I$107,MATCH(L495,'Datos - Catálogo TIMSS'!$A$5:$A$107,0)),"No")="Sí"),1,0)</f>
        <v>0</v>
      </c>
      <c r="Y495" s="36" cm="1">
        <f t="array" ref="Y495">IF(_xlfn.IFERROR(INDEX('Datos - Catálogo TIMSS'!$J$5:$J$107,MATCH(K495,'Datos - Catálogo TIMSS'!$A$5:$A$107,0)),"No")="Sí",1,0)</f>
        <v>0</v>
      </c>
      <c r="Z495" s="36" cm="1">
        <f t="array" ref="Z495">IF(_xlfn.IFERROR(INDEX('Datos - Catálogo TIMSS'!$J$5:$J$107,MATCH(L495,'Datos - Catálogo TIMSS'!$A$5:$A$107,0)),"No")="Sí",1,0)</f>
        <v>0</v>
      </c>
      <c r="AA495" t="s" s="35">
        <v>3379</v>
      </c>
      <c r="AB495" s="39"/>
      <c r="AC495" t="str" s="39">
        <v>Química</v>
      </c>
      <c r="AD495" t="s" s="35">
        <v>1834</v>
      </c>
      <c r="AE495" t="str" s="39" cm="1">
        <f t="array" ref="AE495">IF(AD495="","",IF(LEFT(AD495,1)="1","C1",IF(LEFT(AD495,1)="2","C2",IF(LEFT(AD495,1)="3","C3",""))))</f>
        <v>C2</v>
      </c>
      <c r="AF495" t="s" s="35">
        <v>1602</v>
      </c>
      <c r="AG495" t="s" s="35">
        <v>1617</v>
      </c>
      <c r="AH495" t="s" s="35">
        <v>1602</v>
      </c>
      <c r="AI495" t="s" s="35">
        <v>1623</v>
      </c>
      <c r="AJ495" t="s" s="35">
        <v>1602</v>
      </c>
      <c r="AK495" t="s" s="35">
        <v>822</v>
      </c>
      <c r="AL495" s="39"/>
      <c r="AM495" t="str" s="39" cm="1">
        <f t="array" ref="AM495">IF(AK495="FUERA","Fuera del marco",_xlfn.IFERROR(INDEX('Datos - Catálogo PISA'!$C$5:$C$76,MATCH(AK495,'Datos - Catálogo PISA'!$A$5:$A$76,0)),"?"))</f>
        <v>Sistemas físicos</v>
      </c>
      <c r="AN495" t="s" s="35">
        <v>1651</v>
      </c>
      <c r="AO495" s="39"/>
      <c r="AP495" s="39"/>
      <c r="AQ495" t="s" s="35">
        <v>1756</v>
      </c>
      <c r="AR495" s="39"/>
      <c r="AS495" t="s" s="35">
        <v>1770</v>
      </c>
      <c r="AT495" t="s" s="35">
        <v>254</v>
      </c>
      <c r="AU495" t="s" s="35">
        <v>4165</v>
      </c>
      <c r="AV495" t="s" s="35">
        <v>139</v>
      </c>
      <c r="AW495" t="str" s="39" cm="1">
        <f t="array" ref="AW495">AF495&amp;"; "&amp;AG495&amp;"; "&amp;AH495&amp;"; "&amp;AI495&amp;"; "&amp;AJ495</f>
        <v>E1; D1; E1; D4; E1</v>
      </c>
    </row>
    <row r="496" ht="13.65" customHeight="1">
      <c r="A496" t="s" s="35">
        <v>4166</v>
      </c>
      <c r="B496" s="36">
        <v>8</v>
      </c>
      <c r="C496" t="s" s="35">
        <v>1823</v>
      </c>
      <c r="D496" t="s" s="35">
        <v>3919</v>
      </c>
      <c r="E496" t="s" s="35">
        <v>4100</v>
      </c>
      <c r="F496" s="36">
        <v>18</v>
      </c>
      <c r="G496" t="s" s="35">
        <v>593</v>
      </c>
      <c r="H496" t="s" s="35">
        <v>4167</v>
      </c>
      <c r="I496" t="s" s="120">
        <v>4168</v>
      </c>
      <c r="J496" t="s" s="35">
        <v>1164</v>
      </c>
      <c r="K496" t="s" s="35">
        <v>615</v>
      </c>
      <c r="L496" t="s" s="35">
        <v>1234</v>
      </c>
      <c r="M496" t="str" s="39">
        <v>Química</v>
      </c>
      <c r="N496" t="str" s="39">
        <v>Propiedades de la materia</v>
      </c>
      <c r="O496" t="str" s="39" cm="1">
        <f t="array" ref="O496">IF(L496="","",_xlfn.IFERROR(INDEX('Datos - Catálogo TIMSS'!$C$5:$C$107,MATCH(L496,'Datos - Catálogo TIMSS'!$A$5:$A$107,0)),"?"))</f>
        <v>Química</v>
      </c>
      <c r="P496" t="s" s="35">
        <v>254</v>
      </c>
      <c r="Q496" t="s" s="120">
        <v>4169</v>
      </c>
      <c r="R496" t="s" s="120">
        <v>3134</v>
      </c>
      <c r="S496" s="121" cm="1">
        <f t="array" ref="S496">_xlfn.IFERROR(ISNUMBER(SEARCH("Conocer",$R496))/(ISNUMBER(SEARCH("Conocer",$R496))+ISNUMBER(SEARCH("Aplicar",$R496))+ISNUMBER(SEARCH("Razonar",$R496))),0)</f>
        <v>0</v>
      </c>
      <c r="T496" s="121" cm="1">
        <f t="array" ref="T496">_xlfn.IFERROR(ISNUMBER(SEARCH("Aplicar",$R496))/(ISNUMBER(SEARCH("Conocer",$R496))+ISNUMBER(SEARCH("Aplicar",$R496))+ISNUMBER(SEARCH("Razonar",$R496))),0)</f>
        <v>0</v>
      </c>
      <c r="U496" s="121" cm="1">
        <f t="array" ref="U496">_xlfn.IFERROR(ISNUMBER(SEARCH("Razonar",$R496))/(ISNUMBER(SEARCH("Conocer",$R496))+ISNUMBER(SEARCH("Aplicar",$R496))+ISNUMBER(SEARCH("Razonar",$R496))),0)</f>
        <v>1</v>
      </c>
      <c r="V496" t="s" s="35">
        <v>86</v>
      </c>
      <c r="W496" t="s" s="35">
        <v>115</v>
      </c>
      <c r="X496" s="36" cm="1">
        <f t="array" ref="X496">IF(OR(_xlfn.IFERROR(INDEX('Datos - Catálogo TIMSS'!$I$5:$I$107,MATCH(K496,'Datos - Catálogo TIMSS'!$A$5:$A$107,0)),"No")="Sí",_xlfn.IFERROR(INDEX('Datos - Catálogo TIMSS'!$I$5:$I$107,MATCH(L496,'Datos - Catálogo TIMSS'!$A$5:$A$107,0)),"No")="Sí"),1,0)</f>
        <v>0</v>
      </c>
      <c r="Y496" s="36" cm="1">
        <f t="array" ref="Y496">IF(_xlfn.IFERROR(INDEX('Datos - Catálogo TIMSS'!$J$5:$J$107,MATCH(K496,'Datos - Catálogo TIMSS'!$A$5:$A$107,0)),"No")="Sí",1,0)</f>
        <v>0</v>
      </c>
      <c r="Z496" s="36" cm="1">
        <f t="array" ref="Z496">IF(_xlfn.IFERROR(INDEX('Datos - Catálogo TIMSS'!$J$5:$J$107,MATCH(L496,'Datos - Catálogo TIMSS'!$A$5:$A$107,0)),"No")="Sí",1,0)</f>
        <v>1</v>
      </c>
      <c r="AA496" t="s" s="35">
        <v>3379</v>
      </c>
      <c r="AB496" s="39"/>
      <c r="AC496" t="str" s="39">
        <v>Química</v>
      </c>
      <c r="AD496" t="s" s="35">
        <v>1834</v>
      </c>
      <c r="AE496" t="str" s="39" cm="1">
        <f t="array" ref="AE496">IF(AD496="","",IF(LEFT(AD496,1)="1","C1",IF(LEFT(AD496,1)="2","C2",IF(LEFT(AD496,1)="3","C3",""))))</f>
        <v>C2</v>
      </c>
      <c r="AF496" t="s" s="35">
        <v>1602</v>
      </c>
      <c r="AG496" t="s" s="35">
        <v>1607</v>
      </c>
      <c r="AH496" t="s" s="35">
        <v>1602</v>
      </c>
      <c r="AI496" t="s" s="35">
        <v>1621</v>
      </c>
      <c r="AJ496" t="s" s="35">
        <v>1607</v>
      </c>
      <c r="AK496" t="s" s="35">
        <v>822</v>
      </c>
      <c r="AL496" s="39"/>
      <c r="AM496" t="str" s="39" cm="1">
        <f t="array" ref="AM496">IF(AK496="FUERA","Fuera del marco",_xlfn.IFERROR(INDEX('Datos - Catálogo PISA'!$C$5:$C$76,MATCH(AK496,'Datos - Catálogo PISA'!$A$5:$A$76,0)),"?"))</f>
        <v>Sistemas físicos</v>
      </c>
      <c r="AN496" t="s" s="35">
        <v>1651</v>
      </c>
      <c r="AO496" t="s" s="35">
        <v>4170</v>
      </c>
      <c r="AP496" s="39"/>
      <c r="AQ496" t="s" s="35">
        <v>1756</v>
      </c>
      <c r="AR496" s="39"/>
      <c r="AS496" t="s" s="35">
        <v>1771</v>
      </c>
      <c r="AT496" t="s" s="35">
        <v>254</v>
      </c>
      <c r="AU496" t="s" s="35">
        <v>4171</v>
      </c>
      <c r="AV496" t="s" s="35">
        <v>139</v>
      </c>
      <c r="AW496" t="str" s="39" cm="1">
        <f t="array" ref="AW496">AF496&amp;"; "&amp;AG496&amp;"; "&amp;AH496&amp;"; "&amp;AI496&amp;"; "&amp;AJ496</f>
        <v>E1; E3; E1; D3; E3</v>
      </c>
    </row>
    <row r="497" ht="13.65" customHeight="1">
      <c r="A497" t="s" s="35">
        <v>4172</v>
      </c>
      <c r="B497" s="36">
        <v>8</v>
      </c>
      <c r="C497" t="s" s="35">
        <v>1823</v>
      </c>
      <c r="D497" t="s" s="35">
        <v>3919</v>
      </c>
      <c r="E497" t="s" s="35">
        <v>4100</v>
      </c>
      <c r="F497" s="36">
        <v>19</v>
      </c>
      <c r="G497" t="s" s="35">
        <v>593</v>
      </c>
      <c r="H497" t="s" s="35">
        <v>4167</v>
      </c>
      <c r="I497" t="s" s="120">
        <v>4173</v>
      </c>
      <c r="J497" t="s" s="35">
        <v>1164</v>
      </c>
      <c r="K497" t="s" s="35">
        <v>615</v>
      </c>
      <c r="L497" t="s" s="35">
        <v>554</v>
      </c>
      <c r="M497" t="str" s="39">
        <v>Química</v>
      </c>
      <c r="N497" t="str" s="39">
        <v>Propiedades de la materia</v>
      </c>
      <c r="O497" t="str" s="39" cm="1">
        <f t="array" ref="O497">IF(L497="","",_xlfn.IFERROR(INDEX('Datos - Catálogo TIMSS'!$C$5:$C$107,MATCH(L497,'Datos - Catálogo TIMSS'!$A$5:$A$107,0)),"?"))</f>
        <v>Física</v>
      </c>
      <c r="P497" t="s" s="35">
        <v>282</v>
      </c>
      <c r="Q497" t="s" s="120">
        <v>4174</v>
      </c>
      <c r="R497" t="s" s="120">
        <v>2131</v>
      </c>
      <c r="S497" s="121" cm="1">
        <f t="array" ref="S497">_xlfn.IFERROR(ISNUMBER(SEARCH("Conocer",$R497))/(ISNUMBER(SEARCH("Conocer",$R497))+ISNUMBER(SEARCH("Aplicar",$R497))+ISNUMBER(SEARCH("Razonar",$R497))),0)</f>
        <v>0</v>
      </c>
      <c r="T497" s="121" cm="1">
        <f t="array" ref="T497">_xlfn.IFERROR(ISNUMBER(SEARCH("Aplicar",$R497))/(ISNUMBER(SEARCH("Conocer",$R497))+ISNUMBER(SEARCH("Aplicar",$R497))+ISNUMBER(SEARCH("Razonar",$R497))),0)</f>
        <v>1</v>
      </c>
      <c r="U497" s="121" cm="1">
        <f t="array" ref="U497">_xlfn.IFERROR(ISNUMBER(SEARCH("Razonar",$R497))/(ISNUMBER(SEARCH("Conocer",$R497))+ISNUMBER(SEARCH("Aplicar",$R497))+ISNUMBER(SEARCH("Razonar",$R497))),0)</f>
        <v>0</v>
      </c>
      <c r="V497" t="s" s="35">
        <v>86</v>
      </c>
      <c r="W497" t="s" s="35">
        <v>115</v>
      </c>
      <c r="X497" s="36" cm="1">
        <f t="array" ref="X497">IF(OR(_xlfn.IFERROR(INDEX('Datos - Catálogo TIMSS'!$I$5:$I$107,MATCH(K497,'Datos - Catálogo TIMSS'!$A$5:$A$107,0)),"No")="Sí",_xlfn.IFERROR(INDEX('Datos - Catálogo TIMSS'!$I$5:$I$107,MATCH(L497,'Datos - Catálogo TIMSS'!$A$5:$A$107,0)),"No")="Sí"),1,0)</f>
        <v>0</v>
      </c>
      <c r="Y497" s="36" cm="1">
        <f t="array" ref="Y497">IF(_xlfn.IFERROR(INDEX('Datos - Catálogo TIMSS'!$J$5:$J$107,MATCH(K497,'Datos - Catálogo TIMSS'!$A$5:$A$107,0)),"No")="Sí",1,0)</f>
        <v>0</v>
      </c>
      <c r="Z497" s="36" cm="1">
        <f t="array" ref="Z497">IF(_xlfn.IFERROR(INDEX('Datos - Catálogo TIMSS'!$J$5:$J$107,MATCH(L497,'Datos - Catálogo TIMSS'!$A$5:$A$107,0)),"No")="Sí",1,0)</f>
        <v>0</v>
      </c>
      <c r="AA497" t="s" s="35">
        <v>3379</v>
      </c>
      <c r="AB497" t="s" s="35">
        <v>3165</v>
      </c>
      <c r="AC497" t="str" s="39">
        <v>Química</v>
      </c>
      <c r="AD497" t="s" s="35">
        <v>1859</v>
      </c>
      <c r="AE497" t="str" s="39" cm="1">
        <f t="array" ref="AE497">IF(AD497="","",IF(LEFT(AD497,1)="1","C1",IF(LEFT(AD497,1)="2","C2",IF(LEFT(AD497,1)="3","C3",""))))</f>
        <v>C1</v>
      </c>
      <c r="AF497" t="s" s="35">
        <v>1602</v>
      </c>
      <c r="AG497" t="s" s="35">
        <v>1617</v>
      </c>
      <c r="AH497" t="s" s="35">
        <v>1609</v>
      </c>
      <c r="AI497" t="s" s="35">
        <v>1609</v>
      </c>
      <c r="AJ497" t="s" s="35">
        <v>1602</v>
      </c>
      <c r="AK497" t="s" s="35">
        <v>822</v>
      </c>
      <c r="AL497" s="39"/>
      <c r="AM497" t="str" s="39" cm="1">
        <f t="array" ref="AM497">IF(AK497="FUERA","Fuera del marco",_xlfn.IFERROR(INDEX('Datos - Catálogo PISA'!$C$5:$C$76,MATCH(AK497,'Datos - Catálogo PISA'!$A$5:$A$76,0)),"?"))</f>
        <v>Sistemas físicos</v>
      </c>
      <c r="AN497" t="s" s="35">
        <v>1651</v>
      </c>
      <c r="AO497" s="39"/>
      <c r="AP497" t="s" s="35">
        <v>3534</v>
      </c>
      <c r="AQ497" t="s" s="35">
        <v>1756</v>
      </c>
      <c r="AR497" s="39"/>
      <c r="AS497" t="s" s="35">
        <v>1771</v>
      </c>
      <c r="AT497" t="s" s="35">
        <v>254</v>
      </c>
      <c r="AU497" t="s" s="35">
        <v>4175</v>
      </c>
      <c r="AV497" t="s" s="35">
        <v>139</v>
      </c>
      <c r="AW497" t="str" s="39" cm="1">
        <f t="array" ref="AW497">AF497&amp;"; "&amp;AG497&amp;"; "&amp;AH497&amp;"; "&amp;AI497&amp;"; "&amp;AJ497</f>
        <v>E1; D1; E4; E4; E1</v>
      </c>
    </row>
    <row r="498" ht="13.65" customHeight="1">
      <c r="A498" t="s" s="35">
        <v>4176</v>
      </c>
      <c r="B498" s="36">
        <v>8</v>
      </c>
      <c r="C498" t="s" s="35">
        <v>1823</v>
      </c>
      <c r="D498" t="s" s="35">
        <v>3919</v>
      </c>
      <c r="E498" t="s" s="35">
        <v>4100</v>
      </c>
      <c r="F498" s="36">
        <v>20</v>
      </c>
      <c r="G498" t="s" s="35">
        <v>593</v>
      </c>
      <c r="H498" t="s" s="35">
        <v>4177</v>
      </c>
      <c r="I498" t="s" s="120">
        <v>4178</v>
      </c>
      <c r="J498" t="s" s="35">
        <v>1164</v>
      </c>
      <c r="K498" t="s" s="35">
        <v>615</v>
      </c>
      <c r="L498" t="s" s="35">
        <v>1241</v>
      </c>
      <c r="M498" t="str" s="39">
        <v>Química</v>
      </c>
      <c r="N498" t="str" s="39">
        <v>Propiedades de la materia</v>
      </c>
      <c r="O498" t="str" s="39" cm="1">
        <f t="array" ref="O498">IF(L498="","",_xlfn.IFERROR(INDEX('Datos - Catálogo TIMSS'!$C$5:$C$107,MATCH(L498,'Datos - Catálogo TIMSS'!$A$5:$A$107,0)),"?"))</f>
        <v>Física</v>
      </c>
      <c r="P498" t="s" s="35">
        <v>282</v>
      </c>
      <c r="Q498" t="s" s="120">
        <v>4179</v>
      </c>
      <c r="R498" t="s" s="120">
        <v>3423</v>
      </c>
      <c r="S498" s="121" cm="1">
        <f t="array" ref="S498">_xlfn.IFERROR(ISNUMBER(SEARCH("Conocer",$R498))/(ISNUMBER(SEARCH("Conocer",$R498))+ISNUMBER(SEARCH("Aplicar",$R498))+ISNUMBER(SEARCH("Razonar",$R498))),0)</f>
        <v>1</v>
      </c>
      <c r="T498" s="121" cm="1">
        <f t="array" ref="T498">_xlfn.IFERROR(ISNUMBER(SEARCH("Aplicar",$R498))/(ISNUMBER(SEARCH("Conocer",$R498))+ISNUMBER(SEARCH("Aplicar",$R498))+ISNUMBER(SEARCH("Razonar",$R498))),0)</f>
        <v>0</v>
      </c>
      <c r="U498" s="121" cm="1">
        <f t="array" ref="U498">_xlfn.IFERROR(ISNUMBER(SEARCH("Razonar",$R498))/(ISNUMBER(SEARCH("Conocer",$R498))+ISNUMBER(SEARCH("Aplicar",$R498))+ISNUMBER(SEARCH("Razonar",$R498))),0)</f>
        <v>0</v>
      </c>
      <c r="V498" t="s" s="35">
        <v>86</v>
      </c>
      <c r="W498" t="s" s="35">
        <v>115</v>
      </c>
      <c r="X498" s="36" cm="1">
        <f t="array" ref="X498">IF(OR(_xlfn.IFERROR(INDEX('Datos - Catálogo TIMSS'!$I$5:$I$107,MATCH(K498,'Datos - Catálogo TIMSS'!$A$5:$A$107,0)),"No")="Sí",_xlfn.IFERROR(INDEX('Datos - Catálogo TIMSS'!$I$5:$I$107,MATCH(L498,'Datos - Catálogo TIMSS'!$A$5:$A$107,0)),"No")="Sí"),1,0)</f>
        <v>0</v>
      </c>
      <c r="Y498" s="36" cm="1">
        <f t="array" ref="Y498">IF(_xlfn.IFERROR(INDEX('Datos - Catálogo TIMSS'!$J$5:$J$107,MATCH(K498,'Datos - Catálogo TIMSS'!$A$5:$A$107,0)),"No")="Sí",1,0)</f>
        <v>0</v>
      </c>
      <c r="Z498" s="36" cm="1">
        <f t="array" ref="Z498">IF(_xlfn.IFERROR(INDEX('Datos - Catálogo TIMSS'!$J$5:$J$107,MATCH(L498,'Datos - Catálogo TIMSS'!$A$5:$A$107,0)),"No")="Sí",1,0)</f>
        <v>0</v>
      </c>
      <c r="AA498" t="s" s="35">
        <v>3379</v>
      </c>
      <c r="AB498" t="s" s="35">
        <v>3213</v>
      </c>
      <c r="AC498" t="str" s="39">
        <v>Química</v>
      </c>
      <c r="AD498" t="s" s="35">
        <v>1859</v>
      </c>
      <c r="AE498" t="str" s="39" cm="1">
        <f t="array" ref="AE498">IF(AD498="","",IF(LEFT(AD498,1)="1","C1",IF(LEFT(AD498,1)="2","C2",IF(LEFT(AD498,1)="3","C3",""))))</f>
        <v>C1</v>
      </c>
      <c r="AF498" t="s" s="35">
        <v>1602</v>
      </c>
      <c r="AG498" t="s" s="35">
        <v>1617</v>
      </c>
      <c r="AH498" t="s" s="35">
        <v>1602</v>
      </c>
      <c r="AI498" t="s" s="35">
        <v>1623</v>
      </c>
      <c r="AJ498" t="s" s="35">
        <v>1615</v>
      </c>
      <c r="AK498" t="s" s="35">
        <v>822</v>
      </c>
      <c r="AL498" s="39"/>
      <c r="AM498" t="str" s="39" cm="1">
        <f t="array" ref="AM498">IF(AK498="FUERA","Fuera del marco",_xlfn.IFERROR(INDEX('Datos - Catálogo PISA'!$C$5:$C$76,MATCH(AK498,'Datos - Catálogo PISA'!$A$5:$A$76,0)),"?"))</f>
        <v>Sistemas físicos</v>
      </c>
      <c r="AN498" t="s" s="35">
        <v>1651</v>
      </c>
      <c r="AO498" s="39"/>
      <c r="AP498" s="39"/>
      <c r="AQ498" t="s" s="35">
        <v>1756</v>
      </c>
      <c r="AR498" s="39"/>
      <c r="AS498" t="s" s="35">
        <v>1770</v>
      </c>
      <c r="AT498" t="s" s="35">
        <v>254</v>
      </c>
      <c r="AU498" t="s" s="35">
        <v>4177</v>
      </c>
      <c r="AV498" t="s" s="35">
        <v>139</v>
      </c>
      <c r="AW498" t="str" s="39" cm="1">
        <f t="array" ref="AW498">AF498&amp;"; "&amp;AG498&amp;"; "&amp;AH498&amp;"; "&amp;AI498&amp;"; "&amp;AJ498</f>
        <v>E1; D1; E1; D4; E6</v>
      </c>
    </row>
    <row r="499" ht="13.65" customHeight="1">
      <c r="A499" t="s" s="35">
        <v>4180</v>
      </c>
      <c r="B499" s="36">
        <v>8</v>
      </c>
      <c r="C499" t="s" s="35">
        <v>1823</v>
      </c>
      <c r="D499" t="s" s="35">
        <v>3919</v>
      </c>
      <c r="E499" t="s" s="35">
        <v>4100</v>
      </c>
      <c r="F499" s="36">
        <v>21</v>
      </c>
      <c r="G499" t="s" s="35">
        <v>593</v>
      </c>
      <c r="H499" t="s" s="35">
        <v>4181</v>
      </c>
      <c r="I499" t="s" s="120">
        <v>4182</v>
      </c>
      <c r="J499" t="s" s="35">
        <v>1164</v>
      </c>
      <c r="K499" t="s" s="35">
        <v>615</v>
      </c>
      <c r="L499" t="s" s="35">
        <v>1241</v>
      </c>
      <c r="M499" t="str" s="39">
        <v>Química</v>
      </c>
      <c r="N499" t="str" s="39">
        <v>Propiedades de la materia</v>
      </c>
      <c r="O499" t="str" s="39" cm="1">
        <f t="array" ref="O499">IF(L499="","",_xlfn.IFERROR(INDEX('Datos - Catálogo TIMSS'!$C$5:$C$107,MATCH(L499,'Datos - Catálogo TIMSS'!$A$5:$A$107,0)),"?"))</f>
        <v>Física</v>
      </c>
      <c r="P499" t="s" s="35">
        <v>282</v>
      </c>
      <c r="Q499" t="s" s="120">
        <v>4183</v>
      </c>
      <c r="R499" t="s" s="120">
        <v>3344</v>
      </c>
      <c r="S499" s="121" cm="1">
        <f t="array" ref="S499">_xlfn.IFERROR(ISNUMBER(SEARCH("Conocer",$R499))/(ISNUMBER(SEARCH("Conocer",$R499))+ISNUMBER(SEARCH("Aplicar",$R499))+ISNUMBER(SEARCH("Razonar",$R499))),0)</f>
        <v>0</v>
      </c>
      <c r="T499" s="121" cm="1">
        <f t="array" ref="T499">_xlfn.IFERROR(ISNUMBER(SEARCH("Aplicar",$R499))/(ISNUMBER(SEARCH("Conocer",$R499))+ISNUMBER(SEARCH("Aplicar",$R499))+ISNUMBER(SEARCH("Razonar",$R499))),0)</f>
        <v>0.5</v>
      </c>
      <c r="U499" s="121" cm="1">
        <f t="array" ref="U499">_xlfn.IFERROR(ISNUMBER(SEARCH("Razonar",$R499))/(ISNUMBER(SEARCH("Conocer",$R499))+ISNUMBER(SEARCH("Aplicar",$R499))+ISNUMBER(SEARCH("Razonar",$R499))),0)</f>
        <v>0.5</v>
      </c>
      <c r="V499" t="s" s="35">
        <v>86</v>
      </c>
      <c r="W499" t="s" s="35">
        <v>115</v>
      </c>
      <c r="X499" s="36" cm="1">
        <f t="array" ref="X499">IF(OR(_xlfn.IFERROR(INDEX('Datos - Catálogo TIMSS'!$I$5:$I$107,MATCH(K499,'Datos - Catálogo TIMSS'!$A$5:$A$107,0)),"No")="Sí",_xlfn.IFERROR(INDEX('Datos - Catálogo TIMSS'!$I$5:$I$107,MATCH(L499,'Datos - Catálogo TIMSS'!$A$5:$A$107,0)),"No")="Sí"),1,0)</f>
        <v>0</v>
      </c>
      <c r="Y499" s="36" cm="1">
        <f t="array" ref="Y499">IF(_xlfn.IFERROR(INDEX('Datos - Catálogo TIMSS'!$J$5:$J$107,MATCH(K499,'Datos - Catálogo TIMSS'!$A$5:$A$107,0)),"No")="Sí",1,0)</f>
        <v>0</v>
      </c>
      <c r="Z499" s="36" cm="1">
        <f t="array" ref="Z499">IF(_xlfn.IFERROR(INDEX('Datos - Catálogo TIMSS'!$J$5:$J$107,MATCH(L499,'Datos - Catálogo TIMSS'!$A$5:$A$107,0)),"No")="Sí",1,0)</f>
        <v>0</v>
      </c>
      <c r="AA499" t="s" s="35">
        <v>3379</v>
      </c>
      <c r="AB499" t="s" s="35">
        <v>3213</v>
      </c>
      <c r="AC499" t="str" s="39">
        <v>Química</v>
      </c>
      <c r="AD499" t="s" s="35">
        <v>1834</v>
      </c>
      <c r="AE499" t="str" s="39" cm="1">
        <f t="array" ref="AE499">IF(AD499="","",IF(LEFT(AD499,1)="1","C1",IF(LEFT(AD499,1)="2","C2",IF(LEFT(AD499,1)="3","C3",""))))</f>
        <v>C2</v>
      </c>
      <c r="AF499" t="s" s="35">
        <v>1602</v>
      </c>
      <c r="AG499" t="s" s="35">
        <v>1607</v>
      </c>
      <c r="AH499" t="s" s="35">
        <v>1602</v>
      </c>
      <c r="AI499" t="s" s="35">
        <v>1623</v>
      </c>
      <c r="AJ499" t="s" s="35">
        <v>1607</v>
      </c>
      <c r="AK499" t="s" s="35">
        <v>822</v>
      </c>
      <c r="AL499" s="39"/>
      <c r="AM499" t="str" s="39" cm="1">
        <f t="array" ref="AM499">IF(AK499="FUERA","Fuera del marco",_xlfn.IFERROR(INDEX('Datos - Catálogo PISA'!$C$5:$C$76,MATCH(AK499,'Datos - Catálogo PISA'!$A$5:$A$76,0)),"?"))</f>
        <v>Sistemas físicos</v>
      </c>
      <c r="AN499" t="s" s="35">
        <v>1651</v>
      </c>
      <c r="AO499" t="s" s="35">
        <v>3962</v>
      </c>
      <c r="AP499" s="39"/>
      <c r="AQ499" t="s" s="35">
        <v>1756</v>
      </c>
      <c r="AR499" s="39"/>
      <c r="AS499" t="s" s="35">
        <v>1771</v>
      </c>
      <c r="AT499" t="s" s="35">
        <v>254</v>
      </c>
      <c r="AU499" t="s" s="35">
        <v>4184</v>
      </c>
      <c r="AV499" t="s" s="35">
        <v>139</v>
      </c>
      <c r="AW499" t="str" s="39" cm="1">
        <f t="array" ref="AW499">AF499&amp;"; "&amp;AG499&amp;"; "&amp;AH499&amp;"; "&amp;AI499&amp;"; "&amp;AJ499</f>
        <v>E1; E3; E1; D4; E3</v>
      </c>
    </row>
    <row r="500" ht="13.65" customHeight="1">
      <c r="A500" t="s" s="35">
        <v>4185</v>
      </c>
      <c r="B500" s="36">
        <v>8</v>
      </c>
      <c r="C500" t="s" s="35">
        <v>1823</v>
      </c>
      <c r="D500" t="s" s="35">
        <v>3919</v>
      </c>
      <c r="E500" t="s" s="35">
        <v>4100</v>
      </c>
      <c r="F500" s="36">
        <v>22</v>
      </c>
      <c r="G500" t="s" s="35">
        <v>593</v>
      </c>
      <c r="H500" t="s" s="35">
        <v>4181</v>
      </c>
      <c r="I500" t="s" s="120">
        <v>4186</v>
      </c>
      <c r="J500" t="s" s="35">
        <v>1164</v>
      </c>
      <c r="K500" t="s" s="35">
        <v>615</v>
      </c>
      <c r="L500" s="39"/>
      <c r="M500" t="str" s="39">
        <v>Química</v>
      </c>
      <c r="N500" t="str" s="39">
        <v>Propiedades de la materia</v>
      </c>
      <c r="O500" t="str" s="39" cm="1">
        <f t="array" ref="O500">IF(L500="","",_xlfn.IFERROR(INDEX('Datos - Catálogo TIMSS'!$C$5:$C$107,MATCH(L500,'Datos - Catálogo TIMSS'!$A$5:$A$107,0)),"?"))</f>
      </c>
      <c r="P500" t="s" s="35">
        <v>282</v>
      </c>
      <c r="Q500" t="s" s="120">
        <v>4187</v>
      </c>
      <c r="R500" t="s" s="120">
        <v>4188</v>
      </c>
      <c r="S500" s="121" cm="1">
        <f t="array" ref="S500">_xlfn.IFERROR(ISNUMBER(SEARCH("Conocer",$R500))/(ISNUMBER(SEARCH("Conocer",$R500))+ISNUMBER(SEARCH("Aplicar",$R500))+ISNUMBER(SEARCH("Razonar",$R500))),0)</f>
        <v>0</v>
      </c>
      <c r="T500" s="121" cm="1">
        <f t="array" ref="T500">_xlfn.IFERROR(ISNUMBER(SEARCH("Aplicar",$R500))/(ISNUMBER(SEARCH("Conocer",$R500))+ISNUMBER(SEARCH("Aplicar",$R500))+ISNUMBER(SEARCH("Razonar",$R500))),0)</f>
        <v>0.5</v>
      </c>
      <c r="U500" s="121" cm="1">
        <f t="array" ref="U500">_xlfn.IFERROR(ISNUMBER(SEARCH("Razonar",$R500))/(ISNUMBER(SEARCH("Conocer",$R500))+ISNUMBER(SEARCH("Aplicar",$R500))+ISNUMBER(SEARCH("Razonar",$R500))),0)</f>
        <v>0.5</v>
      </c>
      <c r="V500" t="s" s="35">
        <v>86</v>
      </c>
      <c r="W500" t="s" s="35">
        <v>115</v>
      </c>
      <c r="X500" s="36" cm="1">
        <f t="array" ref="X500">IF(OR(_xlfn.IFERROR(INDEX('Datos - Catálogo TIMSS'!$I$5:$I$107,MATCH(K500,'Datos - Catálogo TIMSS'!$A$5:$A$107,0)),"No")="Sí",_xlfn.IFERROR(INDEX('Datos - Catálogo TIMSS'!$I$5:$I$107,MATCH(L500,'Datos - Catálogo TIMSS'!$A$5:$A$107,0)),"No")="Sí"),1,0)</f>
        <v>0</v>
      </c>
      <c r="Y500" s="36" cm="1">
        <f t="array" ref="Y500">IF(_xlfn.IFERROR(INDEX('Datos - Catálogo TIMSS'!$J$5:$J$107,MATCH(K500,'Datos - Catálogo TIMSS'!$A$5:$A$107,0)),"No")="Sí",1,0)</f>
        <v>0</v>
      </c>
      <c r="Z500" s="36" cm="1">
        <f t="array" ref="Z500">IF(_xlfn.IFERROR(INDEX('Datos - Catálogo TIMSS'!$J$5:$J$107,MATCH(L500,'Datos - Catálogo TIMSS'!$A$5:$A$107,0)),"No")="Sí",1,0)</f>
        <v>0</v>
      </c>
      <c r="AA500" t="s" s="35">
        <v>3379</v>
      </c>
      <c r="AB500" s="39"/>
      <c r="AC500" t="str" s="39">
        <v>Química</v>
      </c>
      <c r="AD500" t="s" s="35">
        <v>1900</v>
      </c>
      <c r="AE500" t="str" s="39" cm="1">
        <f t="array" ref="AE500">IF(AD500="","",IF(LEFT(AD500,1)="1","C1",IF(LEFT(AD500,1)="2","C2",IF(LEFT(AD500,1)="3","C3",""))))</f>
        <v>C3</v>
      </c>
      <c r="AF500" t="s" s="35">
        <v>1602</v>
      </c>
      <c r="AG500" t="s" s="35">
        <v>1617</v>
      </c>
      <c r="AH500" t="s" s="35">
        <v>1602</v>
      </c>
      <c r="AI500" t="s" s="35">
        <v>1625</v>
      </c>
      <c r="AJ500" t="s" s="35">
        <v>1633</v>
      </c>
      <c r="AK500" t="s" s="35">
        <v>822</v>
      </c>
      <c r="AL500" s="39"/>
      <c r="AM500" t="str" s="39" cm="1">
        <f t="array" ref="AM500">IF(AK500="FUERA","Fuera del marco",_xlfn.IFERROR(INDEX('Datos - Catálogo PISA'!$C$5:$C$76,MATCH(AK500,'Datos - Catálogo PISA'!$A$5:$A$76,0)),"?"))</f>
        <v>Sistemas físicos</v>
      </c>
      <c r="AN500" t="s" s="35">
        <v>1651</v>
      </c>
      <c r="AO500" s="39"/>
      <c r="AP500" s="39"/>
      <c r="AQ500" t="s" s="35">
        <v>1753</v>
      </c>
      <c r="AR500" t="s" s="35">
        <v>1768</v>
      </c>
      <c r="AS500" t="s" s="35">
        <v>1771</v>
      </c>
      <c r="AT500" t="s" s="35">
        <v>282</v>
      </c>
      <c r="AU500" t="s" s="35">
        <v>4189</v>
      </c>
      <c r="AV500" t="s" s="35">
        <v>139</v>
      </c>
      <c r="AW500" t="str" s="39" cm="1">
        <f t="array" ref="AW500">AF500&amp;"; "&amp;AG500&amp;"; "&amp;AH500&amp;"; "&amp;AI500&amp;"; "&amp;AJ500</f>
        <v>E1; D1; E1; I1; I5</v>
      </c>
    </row>
    <row r="501" ht="13.65" customHeight="1">
      <c r="A501" t="s" s="35">
        <v>4190</v>
      </c>
      <c r="B501" s="36">
        <v>8</v>
      </c>
      <c r="C501" t="s" s="35">
        <v>1823</v>
      </c>
      <c r="D501" t="s" s="35">
        <v>3919</v>
      </c>
      <c r="E501" t="s" s="35">
        <v>4191</v>
      </c>
      <c r="F501" s="36">
        <v>3</v>
      </c>
      <c r="G501" t="s" s="35">
        <v>485</v>
      </c>
      <c r="H501" t="s" s="35">
        <v>4192</v>
      </c>
      <c r="I501" t="s" s="120">
        <v>4193</v>
      </c>
      <c r="J501" t="s" s="35">
        <v>1164</v>
      </c>
      <c r="K501" t="s" s="35">
        <v>1290</v>
      </c>
      <c r="L501" s="39"/>
      <c r="M501" t="str" s="39">
        <v>Ciencias de la Tierra</v>
      </c>
      <c r="N501" t="str" s="39">
        <v>Recursos de la Tierra, uso y conservación</v>
      </c>
      <c r="O501" t="str" s="39" cm="1">
        <f t="array" ref="O501">IF(L501="","",_xlfn.IFERROR(INDEX('Datos - Catálogo TIMSS'!$C$5:$C$107,MATCH(L501,'Datos - Catálogo TIMSS'!$A$5:$A$107,0)),"?"))</f>
      </c>
      <c r="P501" t="s" s="35">
        <v>282</v>
      </c>
      <c r="Q501" t="s" s="120">
        <v>4194</v>
      </c>
      <c r="R501" t="s" s="120">
        <v>4007</v>
      </c>
      <c r="S501" s="121" cm="1">
        <f t="array" ref="S501">_xlfn.IFERROR(ISNUMBER(SEARCH("Conocer",$R501))/(ISNUMBER(SEARCH("Conocer",$R501))+ISNUMBER(SEARCH("Aplicar",$R501))+ISNUMBER(SEARCH("Razonar",$R501))),0)</f>
        <v>1</v>
      </c>
      <c r="T501" s="121" cm="1">
        <f t="array" ref="T501">_xlfn.IFERROR(ISNUMBER(SEARCH("Aplicar",$R501))/(ISNUMBER(SEARCH("Conocer",$R501))+ISNUMBER(SEARCH("Aplicar",$R501))+ISNUMBER(SEARCH("Razonar",$R501))),0)</f>
        <v>0</v>
      </c>
      <c r="U501" s="121" cm="1">
        <f t="array" ref="U501">_xlfn.IFERROR(ISNUMBER(SEARCH("Razonar",$R501))/(ISNUMBER(SEARCH("Conocer",$R501))+ISNUMBER(SEARCH("Aplicar",$R501))+ISNUMBER(SEARCH("Razonar",$R501))),0)</f>
        <v>0</v>
      </c>
      <c r="V501" t="s" s="35">
        <v>86</v>
      </c>
      <c r="W501" t="s" s="35">
        <v>115</v>
      </c>
      <c r="X501" s="36" cm="1">
        <f t="array" ref="X501">IF(OR(_xlfn.IFERROR(INDEX('Datos - Catálogo TIMSS'!$I$5:$I$107,MATCH(K501,'Datos - Catálogo TIMSS'!$A$5:$A$107,0)),"No")="Sí",_xlfn.IFERROR(INDEX('Datos - Catálogo TIMSS'!$I$5:$I$107,MATCH(L501,'Datos - Catálogo TIMSS'!$A$5:$A$107,0)),"No")="Sí"),1,0)</f>
        <v>1</v>
      </c>
      <c r="Y501" s="36" cm="1">
        <f t="array" ref="Y501">IF(_xlfn.IFERROR(INDEX('Datos - Catálogo TIMSS'!$J$5:$J$107,MATCH(K501,'Datos - Catálogo TIMSS'!$A$5:$A$107,0)),"No")="Sí",1,0)</f>
        <v>0</v>
      </c>
      <c r="Z501" s="36" cm="1">
        <f t="array" ref="Z501">IF(_xlfn.IFERROR(INDEX('Datos - Catálogo TIMSS'!$J$5:$J$107,MATCH(L501,'Datos - Catálogo TIMSS'!$A$5:$A$107,0)),"No")="Sí",1,0)</f>
        <v>0</v>
      </c>
      <c r="AA501" t="s" s="35">
        <v>3708</v>
      </c>
      <c r="AB501" s="39"/>
      <c r="AC501" t="str" s="39">
        <v>Ciencias de la Tierra</v>
      </c>
      <c r="AD501" t="s" s="35">
        <v>1859</v>
      </c>
      <c r="AE501" t="str" s="39" cm="1">
        <f t="array" ref="AE501">IF(AD501="","",IF(LEFT(AD501,1)="1","C1",IF(LEFT(AD501,1)="2","C2",IF(LEFT(AD501,1)="3","C3",""))))</f>
        <v>C1</v>
      </c>
      <c r="AF501" t="s" s="35">
        <v>1602</v>
      </c>
      <c r="AG501" t="s" s="35">
        <v>1617</v>
      </c>
      <c r="AH501" t="s" s="35">
        <v>1602</v>
      </c>
      <c r="AI501" t="s" s="35">
        <v>1623</v>
      </c>
      <c r="AJ501" t="s" s="35">
        <v>1615</v>
      </c>
      <c r="AK501" t="s" s="35">
        <v>1552</v>
      </c>
      <c r="AL501" s="39"/>
      <c r="AM501" t="str" s="39" cm="1">
        <f t="array" ref="AM501">IF(AK501="FUERA","Fuera del marco",_xlfn.IFERROR(INDEX('Datos - Catálogo PISA'!$C$5:$C$76,MATCH(AK501,'Datos - Catálogo PISA'!$A$5:$A$76,0)),"?"))</f>
        <v>Sistemas de la Tierra y el espacio</v>
      </c>
      <c r="AN501" t="s" s="35">
        <v>1651</v>
      </c>
      <c r="AO501" s="39"/>
      <c r="AP501" s="39"/>
      <c r="AQ501" t="s" s="35">
        <v>1751</v>
      </c>
      <c r="AR501" t="s" s="35">
        <v>1765</v>
      </c>
      <c r="AS501" t="s" s="35">
        <v>1770</v>
      </c>
      <c r="AT501" t="s" s="35">
        <v>282</v>
      </c>
      <c r="AU501" t="s" s="35">
        <v>4195</v>
      </c>
      <c r="AV501" t="s" s="35">
        <v>139</v>
      </c>
      <c r="AW501" t="str" s="39" cm="1">
        <f t="array" ref="AW501">AF501&amp;"; "&amp;AG501&amp;"; "&amp;AH501&amp;"; "&amp;AI501&amp;"; "&amp;AJ501</f>
        <v>E1; D1; E1; D4; E6</v>
      </c>
    </row>
    <row r="502" ht="13.65" customHeight="1">
      <c r="A502" t="s" s="35">
        <v>4196</v>
      </c>
      <c r="B502" s="36">
        <v>8</v>
      </c>
      <c r="C502" t="s" s="35">
        <v>1823</v>
      </c>
      <c r="D502" t="s" s="35">
        <v>3919</v>
      </c>
      <c r="E502" t="s" s="35">
        <v>4191</v>
      </c>
      <c r="F502" s="36">
        <v>4</v>
      </c>
      <c r="G502" t="s" s="35">
        <v>485</v>
      </c>
      <c r="H502" t="s" s="35">
        <v>4197</v>
      </c>
      <c r="I502" t="s" s="120">
        <v>4198</v>
      </c>
      <c r="J502" t="s" s="35">
        <v>1164</v>
      </c>
      <c r="K502" t="s" s="35">
        <v>1218</v>
      </c>
      <c r="L502" s="39"/>
      <c r="M502" t="str" s="39">
        <v>Química</v>
      </c>
      <c r="N502" t="str" s="39">
        <v>Propiedades de la materia</v>
      </c>
      <c r="O502" t="str" s="39" cm="1">
        <f t="array" ref="O502">IF(L502="","",_xlfn.IFERROR(INDEX('Datos - Catálogo TIMSS'!$C$5:$C$107,MATCH(L502,'Datos - Catálogo TIMSS'!$A$5:$A$107,0)),"?"))</f>
      </c>
      <c r="P502" t="s" s="35">
        <v>282</v>
      </c>
      <c r="Q502" t="s" s="120">
        <v>4199</v>
      </c>
      <c r="R502" t="s" s="120">
        <v>4200</v>
      </c>
      <c r="S502" s="121" cm="1">
        <f t="array" ref="S502">_xlfn.IFERROR(ISNUMBER(SEARCH("Conocer",$R502))/(ISNUMBER(SEARCH("Conocer",$R502))+ISNUMBER(SEARCH("Aplicar",$R502))+ISNUMBER(SEARCH("Razonar",$R502))),0)</f>
        <v>0</v>
      </c>
      <c r="T502" s="121" cm="1">
        <f t="array" ref="T502">_xlfn.IFERROR(ISNUMBER(SEARCH("Aplicar",$R502))/(ISNUMBER(SEARCH("Conocer",$R502))+ISNUMBER(SEARCH("Aplicar",$R502))+ISNUMBER(SEARCH("Razonar",$R502))),0)</f>
        <v>1</v>
      </c>
      <c r="U502" s="121" cm="1">
        <f t="array" ref="U502">_xlfn.IFERROR(ISNUMBER(SEARCH("Razonar",$R502))/(ISNUMBER(SEARCH("Conocer",$R502))+ISNUMBER(SEARCH("Aplicar",$R502))+ISNUMBER(SEARCH("Razonar",$R502))),0)</f>
        <v>0</v>
      </c>
      <c r="V502" t="s" s="35">
        <v>86</v>
      </c>
      <c r="W502" t="s" s="35">
        <v>115</v>
      </c>
      <c r="X502" s="36" cm="1">
        <f t="array" ref="X502">IF(OR(_xlfn.IFERROR(INDEX('Datos - Catálogo TIMSS'!$I$5:$I$107,MATCH(K502,'Datos - Catálogo TIMSS'!$A$5:$A$107,0)),"No")="Sí",_xlfn.IFERROR(INDEX('Datos - Catálogo TIMSS'!$I$5:$I$107,MATCH(L502,'Datos - Catálogo TIMSS'!$A$5:$A$107,0)),"No")="Sí"),1,0)</f>
        <v>0</v>
      </c>
      <c r="Y502" s="36" cm="1">
        <f t="array" ref="Y502">IF(_xlfn.IFERROR(INDEX('Datos - Catálogo TIMSS'!$J$5:$J$107,MATCH(K502,'Datos - Catálogo TIMSS'!$A$5:$A$107,0)),"No")="Sí",1,0)</f>
        <v>0</v>
      </c>
      <c r="Z502" s="36" cm="1">
        <f t="array" ref="Z502">IF(_xlfn.IFERROR(INDEX('Datos - Catálogo TIMSS'!$J$5:$J$107,MATCH(L502,'Datos - Catálogo TIMSS'!$A$5:$A$107,0)),"No")="Sí",1,0)</f>
        <v>0</v>
      </c>
      <c r="AA502" t="s" s="35">
        <v>4201</v>
      </c>
      <c r="AB502" s="39"/>
      <c r="AC502" t="str" s="39">
        <v>Química</v>
      </c>
      <c r="AD502" t="s" s="35">
        <v>1834</v>
      </c>
      <c r="AE502" t="str" s="39" cm="1">
        <f t="array" ref="AE502">IF(AD502="","",IF(LEFT(AD502,1)="1","C1",IF(LEFT(AD502,1)="2","C2",IF(LEFT(AD502,1)="3","C3",""))))</f>
        <v>C2</v>
      </c>
      <c r="AF502" t="s" s="35">
        <v>1602</v>
      </c>
      <c r="AG502" t="s" s="35">
        <v>1617</v>
      </c>
      <c r="AH502" t="s" s="35">
        <v>1602</v>
      </c>
      <c r="AI502" t="s" s="35">
        <v>1623</v>
      </c>
      <c r="AJ502" t="s" s="35">
        <v>1602</v>
      </c>
      <c r="AK502" t="s" s="35">
        <v>1550</v>
      </c>
      <c r="AL502" t="s" s="35">
        <v>822</v>
      </c>
      <c r="AM502" t="str" s="39" cm="1">
        <f t="array" ref="AM502">IF(AK502="FUERA","Fuera del marco",_xlfn.IFERROR(INDEX('Datos - Catálogo PISA'!$C$5:$C$76,MATCH(AK502,'Datos - Catálogo PISA'!$A$5:$A$76,0)),"?"))</f>
        <v>Sistemas de la Tierra y el espacio</v>
      </c>
      <c r="AN502" t="s" s="35">
        <v>1651</v>
      </c>
      <c r="AO502" t="s" s="35">
        <v>3488</v>
      </c>
      <c r="AP502" s="39"/>
      <c r="AQ502" t="s" s="35">
        <v>1756</v>
      </c>
      <c r="AR502" s="39"/>
      <c r="AS502" t="s" s="35">
        <v>1771</v>
      </c>
      <c r="AT502" t="s" s="35">
        <v>282</v>
      </c>
      <c r="AU502" t="s" s="35">
        <v>4202</v>
      </c>
      <c r="AV502" t="s" s="35">
        <v>139</v>
      </c>
      <c r="AW502" t="str" s="39" cm="1">
        <f t="array" ref="AW502">AF502&amp;"; "&amp;AG502&amp;"; "&amp;AH502&amp;"; "&amp;AI502&amp;"; "&amp;AJ502</f>
        <v>E1; D1; E1; D4; E1</v>
      </c>
    </row>
    <row r="503" ht="13.65" customHeight="1">
      <c r="A503" t="s" s="35">
        <v>4203</v>
      </c>
      <c r="B503" s="36">
        <v>8</v>
      </c>
      <c r="C503" t="s" s="35">
        <v>1823</v>
      </c>
      <c r="D503" t="s" s="35">
        <v>3919</v>
      </c>
      <c r="E503" t="s" s="35">
        <v>4191</v>
      </c>
      <c r="F503" s="36">
        <v>5</v>
      </c>
      <c r="G503" t="s" s="35">
        <v>485</v>
      </c>
      <c r="H503" t="s" s="35">
        <v>4197</v>
      </c>
      <c r="I503" t="s" s="120">
        <v>4204</v>
      </c>
      <c r="J503" t="s" s="35">
        <v>1164</v>
      </c>
      <c r="K503" t="s" s="35">
        <v>1212</v>
      </c>
      <c r="L503" s="39"/>
      <c r="M503" t="str" s="39">
        <v>Química</v>
      </c>
      <c r="N503" t="str" s="39">
        <v>Composición de la materia</v>
      </c>
      <c r="O503" t="str" s="39" cm="1">
        <f t="array" ref="O503">IF(L503="","",_xlfn.IFERROR(INDEX('Datos - Catálogo TIMSS'!$C$5:$C$107,MATCH(L503,'Datos - Catálogo TIMSS'!$A$5:$A$107,0)),"?"))</f>
      </c>
      <c r="P503" t="s" s="35">
        <v>282</v>
      </c>
      <c r="Q503" t="s" s="120">
        <v>4205</v>
      </c>
      <c r="R503" t="s" s="120">
        <v>1878</v>
      </c>
      <c r="S503" s="121" cm="1">
        <f t="array" ref="S503">_xlfn.IFERROR(ISNUMBER(SEARCH("Conocer",$R503))/(ISNUMBER(SEARCH("Conocer",$R503))+ISNUMBER(SEARCH("Aplicar",$R503))+ISNUMBER(SEARCH("Razonar",$R503))),0)</f>
        <v>0</v>
      </c>
      <c r="T503" s="121" cm="1">
        <f t="array" ref="T503">_xlfn.IFERROR(ISNUMBER(SEARCH("Aplicar",$R503))/(ISNUMBER(SEARCH("Conocer",$R503))+ISNUMBER(SEARCH("Aplicar",$R503))+ISNUMBER(SEARCH("Razonar",$R503))),0)</f>
        <v>1</v>
      </c>
      <c r="U503" s="121" cm="1">
        <f t="array" ref="U503">_xlfn.IFERROR(ISNUMBER(SEARCH("Razonar",$R503))/(ISNUMBER(SEARCH("Conocer",$R503))+ISNUMBER(SEARCH("Aplicar",$R503))+ISNUMBER(SEARCH("Razonar",$R503))),0)</f>
        <v>0</v>
      </c>
      <c r="V503" t="s" s="35">
        <v>86</v>
      </c>
      <c r="W503" t="s" s="35">
        <v>115</v>
      </c>
      <c r="X503" s="36" cm="1">
        <f t="array" ref="X503">IF(OR(_xlfn.IFERROR(INDEX('Datos - Catálogo TIMSS'!$I$5:$I$107,MATCH(K503,'Datos - Catálogo TIMSS'!$A$5:$A$107,0)),"No")="Sí",_xlfn.IFERROR(INDEX('Datos - Catálogo TIMSS'!$I$5:$I$107,MATCH(L503,'Datos - Catálogo TIMSS'!$A$5:$A$107,0)),"No")="Sí"),1,0)</f>
        <v>0</v>
      </c>
      <c r="Y503" s="36" cm="1">
        <f t="array" ref="Y503">IF(_xlfn.IFERROR(INDEX('Datos - Catálogo TIMSS'!$J$5:$J$107,MATCH(K503,'Datos - Catálogo TIMSS'!$A$5:$A$107,0)),"No")="Sí",1,0)</f>
        <v>0</v>
      </c>
      <c r="Z503" s="36" cm="1">
        <f t="array" ref="Z503">IF(_xlfn.IFERROR(INDEX('Datos - Catálogo TIMSS'!$J$5:$J$107,MATCH(L503,'Datos - Catálogo TIMSS'!$A$5:$A$107,0)),"No")="Sí",1,0)</f>
        <v>0</v>
      </c>
      <c r="AA503" t="s" s="35">
        <v>3016</v>
      </c>
      <c r="AB503" s="39"/>
      <c r="AC503" t="str" s="39">
        <v>Química</v>
      </c>
      <c r="AD503" t="s" s="35">
        <v>1859</v>
      </c>
      <c r="AE503" t="str" s="39" cm="1">
        <f t="array" ref="AE503">IF(AD503="","",IF(LEFT(AD503,1)="1","C1",IF(LEFT(AD503,1)="2","C2",IF(LEFT(AD503,1)="3","C3",""))))</f>
        <v>C1</v>
      </c>
      <c r="AF503" t="s" s="35">
        <v>1602</v>
      </c>
      <c r="AG503" t="s" s="35">
        <v>1617</v>
      </c>
      <c r="AH503" t="s" s="35">
        <v>1602</v>
      </c>
      <c r="AI503" t="s" s="35">
        <v>1623</v>
      </c>
      <c r="AJ503" t="s" s="35">
        <v>1602</v>
      </c>
      <c r="AK503" t="s" s="35">
        <v>1550</v>
      </c>
      <c r="AL503" t="s" s="35">
        <v>822</v>
      </c>
      <c r="AM503" t="str" s="39" cm="1">
        <f t="array" ref="AM503">IF(AK503="FUERA","Fuera del marco",_xlfn.IFERROR(INDEX('Datos - Catálogo PISA'!$C$5:$C$76,MATCH(AK503,'Datos - Catálogo PISA'!$A$5:$A$76,0)),"?"))</f>
        <v>Sistemas de la Tierra y el espacio</v>
      </c>
      <c r="AN503" t="s" s="35">
        <v>1651</v>
      </c>
      <c r="AO503" s="39"/>
      <c r="AP503" s="39"/>
      <c r="AQ503" t="s" s="35">
        <v>1756</v>
      </c>
      <c r="AR503" s="39"/>
      <c r="AS503" t="s" s="35">
        <v>1770</v>
      </c>
      <c r="AT503" t="s" s="35">
        <v>282</v>
      </c>
      <c r="AU503" t="s" s="35">
        <v>4206</v>
      </c>
      <c r="AV503" t="s" s="35">
        <v>139</v>
      </c>
      <c r="AW503" t="str" s="39" cm="1">
        <f t="array" ref="AW503">AF503&amp;"; "&amp;AG503&amp;"; "&amp;AH503&amp;"; "&amp;AI503&amp;"; "&amp;AJ503</f>
        <v>E1; D1; E1; D4; E1</v>
      </c>
    </row>
    <row r="504" ht="13.65" customHeight="1">
      <c r="A504" t="s" s="35">
        <v>4207</v>
      </c>
      <c r="B504" s="36">
        <v>8</v>
      </c>
      <c r="C504" t="s" s="35">
        <v>1823</v>
      </c>
      <c r="D504" t="s" s="35">
        <v>3919</v>
      </c>
      <c r="E504" t="s" s="35">
        <v>4191</v>
      </c>
      <c r="F504" s="36">
        <v>6</v>
      </c>
      <c r="G504" t="s" s="35">
        <v>485</v>
      </c>
      <c r="H504" t="s" s="35">
        <v>4208</v>
      </c>
      <c r="I504" t="s" s="120">
        <v>4209</v>
      </c>
      <c r="J504" t="s" s="35">
        <v>1164</v>
      </c>
      <c r="K504" t="s" s="35">
        <v>615</v>
      </c>
      <c r="L504" t="s" s="35">
        <v>524</v>
      </c>
      <c r="M504" t="str" s="39">
        <v>Química</v>
      </c>
      <c r="N504" t="str" s="39">
        <v>Propiedades de la materia</v>
      </c>
      <c r="O504" t="str" s="39" cm="1">
        <f t="array" ref="O504">IF(L504="","",_xlfn.IFERROR(INDEX('Datos - Catálogo TIMSS'!$C$5:$C$107,MATCH(L504,'Datos - Catálogo TIMSS'!$A$5:$A$107,0)),"?"))</f>
        <v>Ciencias de la Tierra</v>
      </c>
      <c r="P504" t="s" s="35">
        <v>291</v>
      </c>
      <c r="Q504" t="s" s="120">
        <v>4210</v>
      </c>
      <c r="R504" t="s" s="120">
        <v>4211</v>
      </c>
      <c r="S504" s="121" cm="1">
        <f t="array" ref="S504">_xlfn.IFERROR(ISNUMBER(SEARCH("Conocer",$R504))/(ISNUMBER(SEARCH("Conocer",$R504))+ISNUMBER(SEARCH("Aplicar",$R504))+ISNUMBER(SEARCH("Razonar",$R504))),0)</f>
        <v>0</v>
      </c>
      <c r="T504" s="121" cm="1">
        <f t="array" ref="T504">_xlfn.IFERROR(ISNUMBER(SEARCH("Aplicar",$R504))/(ISNUMBER(SEARCH("Conocer",$R504))+ISNUMBER(SEARCH("Aplicar",$R504))+ISNUMBER(SEARCH("Razonar",$R504))),0)</f>
        <v>0</v>
      </c>
      <c r="U504" s="121" cm="1">
        <f t="array" ref="U504">_xlfn.IFERROR(ISNUMBER(SEARCH("Razonar",$R504))/(ISNUMBER(SEARCH("Conocer",$R504))+ISNUMBER(SEARCH("Aplicar",$R504))+ISNUMBER(SEARCH("Razonar",$R504))),0)</f>
        <v>1</v>
      </c>
      <c r="V504" t="s" s="35">
        <v>86</v>
      </c>
      <c r="W504" t="s" s="35">
        <v>115</v>
      </c>
      <c r="X504" s="36" cm="1">
        <f t="array" ref="X504">IF(OR(_xlfn.IFERROR(INDEX('Datos - Catálogo TIMSS'!$I$5:$I$107,MATCH(K504,'Datos - Catálogo TIMSS'!$A$5:$A$107,0)),"No")="Sí",_xlfn.IFERROR(INDEX('Datos - Catálogo TIMSS'!$I$5:$I$107,MATCH(L504,'Datos - Catálogo TIMSS'!$A$5:$A$107,0)),"No")="Sí"),1,0)</f>
        <v>1</v>
      </c>
      <c r="Y504" s="36" cm="1">
        <f t="array" ref="Y504">IF(_xlfn.IFERROR(INDEX('Datos - Catálogo TIMSS'!$J$5:$J$107,MATCH(K504,'Datos - Catálogo TIMSS'!$A$5:$A$107,0)),"No")="Sí",1,0)</f>
        <v>0</v>
      </c>
      <c r="Z504" s="36" cm="1">
        <f t="array" ref="Z504">IF(_xlfn.IFERROR(INDEX('Datos - Catálogo TIMSS'!$J$5:$J$107,MATCH(L504,'Datos - Catálogo TIMSS'!$A$5:$A$107,0)),"No")="Sí",1,0)</f>
        <v>0</v>
      </c>
      <c r="AA504" t="s" s="35">
        <v>3071</v>
      </c>
      <c r="AB504" t="s" s="35">
        <v>3379</v>
      </c>
      <c r="AC504" t="str" s="39">
        <v>Ciencias de la Tierra</v>
      </c>
      <c r="AD504" t="s" s="35">
        <v>1834</v>
      </c>
      <c r="AE504" t="str" s="39" cm="1">
        <f t="array" ref="AE504">IF(AD504="","",IF(LEFT(AD504,1)="1","C1",IF(LEFT(AD504,1)="2","C2",IF(LEFT(AD504,1)="3","C3",""))))</f>
        <v>C2</v>
      </c>
      <c r="AF504" t="s" s="35">
        <v>1602</v>
      </c>
      <c r="AG504" t="s" s="35">
        <v>1607</v>
      </c>
      <c r="AH504" t="s" s="35">
        <v>1602</v>
      </c>
      <c r="AI504" t="s" s="35">
        <v>1619</v>
      </c>
      <c r="AJ504" t="s" s="35">
        <v>1602</v>
      </c>
      <c r="AK504" t="s" s="35">
        <v>822</v>
      </c>
      <c r="AL504" t="s" s="35">
        <v>1550</v>
      </c>
      <c r="AM504" t="str" s="39" cm="1">
        <f t="array" ref="AM504">IF(AK504="FUERA","Fuera del marco",_xlfn.IFERROR(INDEX('Datos - Catálogo PISA'!$C$5:$C$76,MATCH(AK504,'Datos - Catálogo PISA'!$A$5:$A$76,0)),"?"))</f>
        <v>Sistemas físicos</v>
      </c>
      <c r="AN504" t="s" s="35">
        <v>1651</v>
      </c>
      <c r="AO504" t="s" s="35">
        <v>4212</v>
      </c>
      <c r="AP504" s="39"/>
      <c r="AQ504" t="s" s="35">
        <v>1756</v>
      </c>
      <c r="AR504" s="39"/>
      <c r="AS504" t="s" s="35">
        <v>1771</v>
      </c>
      <c r="AT504" t="s" s="35">
        <v>282</v>
      </c>
      <c r="AU504" t="s" s="35">
        <v>4213</v>
      </c>
      <c r="AV504" t="s" s="35">
        <v>139</v>
      </c>
      <c r="AW504" t="str" s="39" cm="1">
        <f t="array" ref="AW504">AF504&amp;"; "&amp;AG504&amp;"; "&amp;AH504&amp;"; "&amp;AI504&amp;"; "&amp;AJ504</f>
        <v>E1; E3; E1; D2; E1</v>
      </c>
    </row>
    <row r="505" ht="13.65" customHeight="1">
      <c r="A505" t="s" s="35">
        <v>4214</v>
      </c>
      <c r="B505" s="36">
        <v>8</v>
      </c>
      <c r="C505" t="s" s="35">
        <v>1823</v>
      </c>
      <c r="D505" t="s" s="35">
        <v>3919</v>
      </c>
      <c r="E505" t="s" s="35">
        <v>4191</v>
      </c>
      <c r="F505" s="36">
        <v>7</v>
      </c>
      <c r="G505" t="s" s="35">
        <v>485</v>
      </c>
      <c r="H505" t="s" s="35">
        <v>4208</v>
      </c>
      <c r="I505" t="s" s="120">
        <v>4215</v>
      </c>
      <c r="J505" t="s" s="35">
        <v>1164</v>
      </c>
      <c r="K505" t="s" s="35">
        <v>1218</v>
      </c>
      <c r="L505" s="39"/>
      <c r="M505" t="str" s="39">
        <v>Química</v>
      </c>
      <c r="N505" t="str" s="39">
        <v>Propiedades de la materia</v>
      </c>
      <c r="O505" t="str" s="39" cm="1">
        <f t="array" ref="O505">IF(L505="","",_xlfn.IFERROR(INDEX('Datos - Catálogo TIMSS'!$C$5:$C$107,MATCH(L505,'Datos - Catálogo TIMSS'!$A$5:$A$107,0)),"?"))</f>
      </c>
      <c r="P505" t="s" s="35">
        <v>291</v>
      </c>
      <c r="Q505" t="s" s="120">
        <v>4216</v>
      </c>
      <c r="R505" t="s" s="120">
        <v>3023</v>
      </c>
      <c r="S505" s="121" cm="1">
        <f t="array" ref="S505">_xlfn.IFERROR(ISNUMBER(SEARCH("Conocer",$R505))/(ISNUMBER(SEARCH("Conocer",$R505))+ISNUMBER(SEARCH("Aplicar",$R505))+ISNUMBER(SEARCH("Razonar",$R505))),0)</f>
        <v>0</v>
      </c>
      <c r="T505" s="121" cm="1">
        <f t="array" ref="T505">_xlfn.IFERROR(ISNUMBER(SEARCH("Aplicar",$R505))/(ISNUMBER(SEARCH("Conocer",$R505))+ISNUMBER(SEARCH("Aplicar",$R505))+ISNUMBER(SEARCH("Razonar",$R505))),0)</f>
        <v>1</v>
      </c>
      <c r="U505" s="121" cm="1">
        <f t="array" ref="U505">_xlfn.IFERROR(ISNUMBER(SEARCH("Razonar",$R505))/(ISNUMBER(SEARCH("Conocer",$R505))+ISNUMBER(SEARCH("Aplicar",$R505))+ISNUMBER(SEARCH("Razonar",$R505))),0)</f>
        <v>0</v>
      </c>
      <c r="V505" t="s" s="35">
        <v>86</v>
      </c>
      <c r="W505" t="s" s="35">
        <v>115</v>
      </c>
      <c r="X505" s="36" cm="1">
        <f t="array" ref="X505">IF(OR(_xlfn.IFERROR(INDEX('Datos - Catálogo TIMSS'!$I$5:$I$107,MATCH(K505,'Datos - Catálogo TIMSS'!$A$5:$A$107,0)),"No")="Sí",_xlfn.IFERROR(INDEX('Datos - Catálogo TIMSS'!$I$5:$I$107,MATCH(L505,'Datos - Catálogo TIMSS'!$A$5:$A$107,0)),"No")="Sí"),1,0)</f>
        <v>0</v>
      </c>
      <c r="Y505" s="36" cm="1">
        <f t="array" ref="Y505">IF(_xlfn.IFERROR(INDEX('Datos - Catálogo TIMSS'!$J$5:$J$107,MATCH(K505,'Datos - Catálogo TIMSS'!$A$5:$A$107,0)),"No")="Sí",1,0)</f>
        <v>0</v>
      </c>
      <c r="Z505" s="36" cm="1">
        <f t="array" ref="Z505">IF(_xlfn.IFERROR(INDEX('Datos - Catálogo TIMSS'!$J$5:$J$107,MATCH(L505,'Datos - Catálogo TIMSS'!$A$5:$A$107,0)),"No")="Sí",1,0)</f>
        <v>0</v>
      </c>
      <c r="AA505" t="s" s="35">
        <v>4201</v>
      </c>
      <c r="AB505" s="39"/>
      <c r="AC505" t="str" s="39">
        <v>Química</v>
      </c>
      <c r="AD505" t="s" s="35">
        <v>1834</v>
      </c>
      <c r="AE505" t="str" s="39" cm="1">
        <f t="array" ref="AE505">IF(AD505="","",IF(LEFT(AD505,1)="1","C1",IF(LEFT(AD505,1)="2","C2",IF(LEFT(AD505,1)="3","C3",""))))</f>
        <v>C2</v>
      </c>
      <c r="AF505" t="s" s="35">
        <v>1602</v>
      </c>
      <c r="AG505" t="s" s="35">
        <v>1617</v>
      </c>
      <c r="AH505" t="s" s="35">
        <v>1602</v>
      </c>
      <c r="AI505" t="s" s="35">
        <v>1623</v>
      </c>
      <c r="AJ505" t="s" s="35">
        <v>1602</v>
      </c>
      <c r="AK505" t="s" s="35">
        <v>822</v>
      </c>
      <c r="AL505" t="s" s="35">
        <v>1550</v>
      </c>
      <c r="AM505" t="str" s="39" cm="1">
        <f t="array" ref="AM505">IF(AK505="FUERA","Fuera del marco",_xlfn.IFERROR(INDEX('Datos - Catálogo PISA'!$C$5:$C$76,MATCH(AK505,'Datos - Catálogo PISA'!$A$5:$A$76,0)),"?"))</f>
        <v>Sistemas físicos</v>
      </c>
      <c r="AN505" t="s" s="35">
        <v>1651</v>
      </c>
      <c r="AO505" s="39"/>
      <c r="AP505" s="39"/>
      <c r="AQ505" t="s" s="35">
        <v>1756</v>
      </c>
      <c r="AR505" s="39"/>
      <c r="AS505" t="s" s="35">
        <v>1770</v>
      </c>
      <c r="AT505" t="s" s="35">
        <v>282</v>
      </c>
      <c r="AU505" t="s" s="35">
        <v>4217</v>
      </c>
      <c r="AV505" t="s" s="35">
        <v>139</v>
      </c>
      <c r="AW505" t="str" s="39" cm="1">
        <f t="array" ref="AW505">AF505&amp;"; "&amp;AG505&amp;"; "&amp;AH505&amp;"; "&amp;AI505&amp;"; "&amp;AJ505</f>
        <v>E1; D1; E1; D4; E1</v>
      </c>
    </row>
    <row r="506" ht="13.65" customHeight="1">
      <c r="A506" t="s" s="35">
        <v>4218</v>
      </c>
      <c r="B506" s="36">
        <v>8</v>
      </c>
      <c r="C506" t="s" s="35">
        <v>1823</v>
      </c>
      <c r="D506" t="s" s="35">
        <v>3919</v>
      </c>
      <c r="E506" t="s" s="35">
        <v>4191</v>
      </c>
      <c r="F506" s="36">
        <v>8</v>
      </c>
      <c r="G506" t="s" s="35">
        <v>485</v>
      </c>
      <c r="H506" t="s" s="35">
        <v>4208</v>
      </c>
      <c r="I506" t="s" s="120">
        <v>4219</v>
      </c>
      <c r="J506" t="s" s="35">
        <v>1164</v>
      </c>
      <c r="K506" t="s" s="35">
        <v>601</v>
      </c>
      <c r="L506" s="39"/>
      <c r="M506" t="str" s="39">
        <v>Química</v>
      </c>
      <c r="N506" t="str" s="39">
        <v>Composición de la materia</v>
      </c>
      <c r="O506" t="str" s="39" cm="1">
        <f t="array" ref="O506">IF(L506="","",_xlfn.IFERROR(INDEX('Datos - Catálogo TIMSS'!$C$5:$C$107,MATCH(L506,'Datos - Catálogo TIMSS'!$A$5:$A$107,0)),"?"))</f>
      </c>
      <c r="P506" t="s" s="35">
        <v>291</v>
      </c>
      <c r="Q506" t="s" s="120">
        <v>4220</v>
      </c>
      <c r="R506" t="s" s="120">
        <v>2798</v>
      </c>
      <c r="S506" s="121" cm="1">
        <f t="array" ref="S506">_xlfn.IFERROR(ISNUMBER(SEARCH("Conocer",$R506))/(ISNUMBER(SEARCH("Conocer",$R506))+ISNUMBER(SEARCH("Aplicar",$R506))+ISNUMBER(SEARCH("Razonar",$R506))),0)</f>
        <v>0</v>
      </c>
      <c r="T506" s="121" cm="1">
        <f t="array" ref="T506">_xlfn.IFERROR(ISNUMBER(SEARCH("Aplicar",$R506))/(ISNUMBER(SEARCH("Conocer",$R506))+ISNUMBER(SEARCH("Aplicar",$R506))+ISNUMBER(SEARCH("Razonar",$R506))),0)</f>
        <v>1</v>
      </c>
      <c r="U506" s="121" cm="1">
        <f t="array" ref="U506">_xlfn.IFERROR(ISNUMBER(SEARCH("Razonar",$R506))/(ISNUMBER(SEARCH("Conocer",$R506))+ISNUMBER(SEARCH("Aplicar",$R506))+ISNUMBER(SEARCH("Razonar",$R506))),0)</f>
        <v>0</v>
      </c>
      <c r="V506" t="s" s="35">
        <v>86</v>
      </c>
      <c r="W506" t="s" s="35">
        <v>115</v>
      </c>
      <c r="X506" s="36" cm="1">
        <f t="array" ref="X506">IF(OR(_xlfn.IFERROR(INDEX('Datos - Catálogo TIMSS'!$I$5:$I$107,MATCH(K506,'Datos - Catálogo TIMSS'!$A$5:$A$107,0)),"No")="Sí",_xlfn.IFERROR(INDEX('Datos - Catálogo TIMSS'!$I$5:$I$107,MATCH(L506,'Datos - Catálogo TIMSS'!$A$5:$A$107,0)),"No")="Sí"),1,0)</f>
        <v>0</v>
      </c>
      <c r="Y506" s="36" cm="1">
        <f t="array" ref="Y506">IF(_xlfn.IFERROR(INDEX('Datos - Catálogo TIMSS'!$J$5:$J$107,MATCH(K506,'Datos - Catálogo TIMSS'!$A$5:$A$107,0)),"No")="Sí",1,0)</f>
        <v>0</v>
      </c>
      <c r="Z506" s="36" cm="1">
        <f t="array" ref="Z506">IF(_xlfn.IFERROR(INDEX('Datos - Catálogo TIMSS'!$J$5:$J$107,MATCH(L506,'Datos - Catálogo TIMSS'!$A$5:$A$107,0)),"No")="Sí",1,0)</f>
        <v>0</v>
      </c>
      <c r="AA506" t="s" s="35">
        <v>2948</v>
      </c>
      <c r="AB506" s="39"/>
      <c r="AC506" t="str" s="39">
        <v>Química</v>
      </c>
      <c r="AD506" t="s" s="35">
        <v>1859</v>
      </c>
      <c r="AE506" t="str" s="39" cm="1">
        <f t="array" ref="AE506">IF(AD506="","",IF(LEFT(AD506,1)="1","C1",IF(LEFT(AD506,1)="2","C2",IF(LEFT(AD506,1)="3","C3",""))))</f>
        <v>C1</v>
      </c>
      <c r="AF506" t="s" s="35">
        <v>1602</v>
      </c>
      <c r="AG506" t="s" s="35">
        <v>1617</v>
      </c>
      <c r="AH506" t="s" s="35">
        <v>1609</v>
      </c>
      <c r="AI506" t="s" s="35">
        <v>1609</v>
      </c>
      <c r="AJ506" t="s" s="35">
        <v>1602</v>
      </c>
      <c r="AK506" t="s" s="35">
        <v>822</v>
      </c>
      <c r="AL506" t="s" s="35">
        <v>1550</v>
      </c>
      <c r="AM506" t="str" s="39" cm="1">
        <f t="array" ref="AM506">IF(AK506="FUERA","Fuera del marco",_xlfn.IFERROR(INDEX('Datos - Catálogo PISA'!$C$5:$C$76,MATCH(AK506,'Datos - Catálogo PISA'!$A$5:$A$76,0)),"?"))</f>
        <v>Sistemas físicos</v>
      </c>
      <c r="AN506" t="s" s="35">
        <v>1651</v>
      </c>
      <c r="AO506" s="39"/>
      <c r="AP506" t="s" s="35">
        <v>3534</v>
      </c>
      <c r="AQ506" t="s" s="35">
        <v>1756</v>
      </c>
      <c r="AR506" s="39"/>
      <c r="AS506" t="s" s="35">
        <v>1770</v>
      </c>
      <c r="AT506" t="s" s="35">
        <v>282</v>
      </c>
      <c r="AU506" t="s" s="35">
        <v>4221</v>
      </c>
      <c r="AV506" t="s" s="35">
        <v>139</v>
      </c>
      <c r="AW506" t="str" s="39" cm="1">
        <f t="array" ref="AW506">AF506&amp;"; "&amp;AG506&amp;"; "&amp;AH506&amp;"; "&amp;AI506&amp;"; "&amp;AJ506</f>
        <v>E1; D1; E4; E4; E1</v>
      </c>
    </row>
    <row r="507" ht="13.65" customHeight="1">
      <c r="A507" t="s" s="35">
        <v>4222</v>
      </c>
      <c r="B507" s="36">
        <v>8</v>
      </c>
      <c r="C507" t="s" s="35">
        <v>1823</v>
      </c>
      <c r="D507" t="s" s="35">
        <v>3919</v>
      </c>
      <c r="E507" t="s" s="35">
        <v>4191</v>
      </c>
      <c r="F507" s="36">
        <v>9</v>
      </c>
      <c r="G507" t="s" s="35">
        <v>485</v>
      </c>
      <c r="H507" t="s" s="35">
        <v>4223</v>
      </c>
      <c r="I507" t="s" s="120">
        <v>4224</v>
      </c>
      <c r="J507" t="s" s="35">
        <v>1164</v>
      </c>
      <c r="K507" t="s" s="35">
        <v>524</v>
      </c>
      <c r="L507" s="39"/>
      <c r="M507" t="str" s="39">
        <v>Ciencias de la Tierra</v>
      </c>
      <c r="N507" t="str" s="39">
        <v>Rasgos, procesos e historia de la Tierra</v>
      </c>
      <c r="O507" t="str" s="39" cm="1">
        <f t="array" ref="O507">IF(L507="","",_xlfn.IFERROR(INDEX('Datos - Catálogo TIMSS'!$C$5:$C$107,MATCH(L507,'Datos - Catálogo TIMSS'!$A$5:$A$107,0)),"?"))</f>
      </c>
      <c r="P507" t="s" s="35">
        <v>282</v>
      </c>
      <c r="Q507" t="s" s="120">
        <v>4225</v>
      </c>
      <c r="R507" t="s" s="120">
        <v>3023</v>
      </c>
      <c r="S507" s="121" cm="1">
        <f t="array" ref="S507">_xlfn.IFERROR(ISNUMBER(SEARCH("Conocer",$R507))/(ISNUMBER(SEARCH("Conocer",$R507))+ISNUMBER(SEARCH("Aplicar",$R507))+ISNUMBER(SEARCH("Razonar",$R507))),0)</f>
        <v>0</v>
      </c>
      <c r="T507" s="121" cm="1">
        <f t="array" ref="T507">_xlfn.IFERROR(ISNUMBER(SEARCH("Aplicar",$R507))/(ISNUMBER(SEARCH("Conocer",$R507))+ISNUMBER(SEARCH("Aplicar",$R507))+ISNUMBER(SEARCH("Razonar",$R507))),0)</f>
        <v>1</v>
      </c>
      <c r="U507" s="121" cm="1">
        <f t="array" ref="U507">_xlfn.IFERROR(ISNUMBER(SEARCH("Razonar",$R507))/(ISNUMBER(SEARCH("Conocer",$R507))+ISNUMBER(SEARCH("Aplicar",$R507))+ISNUMBER(SEARCH("Razonar",$R507))),0)</f>
        <v>0</v>
      </c>
      <c r="V507" t="s" s="35">
        <v>86</v>
      </c>
      <c r="W507" t="s" s="35">
        <v>115</v>
      </c>
      <c r="X507" s="36" cm="1">
        <f t="array" ref="X507">IF(OR(_xlfn.IFERROR(INDEX('Datos - Catálogo TIMSS'!$I$5:$I$107,MATCH(K507,'Datos - Catálogo TIMSS'!$A$5:$A$107,0)),"No")="Sí",_xlfn.IFERROR(INDEX('Datos - Catálogo TIMSS'!$I$5:$I$107,MATCH(L507,'Datos - Catálogo TIMSS'!$A$5:$A$107,0)),"No")="Sí"),1,0)</f>
        <v>1</v>
      </c>
      <c r="Y507" s="36" cm="1">
        <f t="array" ref="Y507">IF(_xlfn.IFERROR(INDEX('Datos - Catálogo TIMSS'!$J$5:$J$107,MATCH(K507,'Datos - Catálogo TIMSS'!$A$5:$A$107,0)),"No")="Sí",1,0)</f>
        <v>0</v>
      </c>
      <c r="Z507" s="36" cm="1">
        <f t="array" ref="Z507">IF(_xlfn.IFERROR(INDEX('Datos - Catálogo TIMSS'!$J$5:$J$107,MATCH(L507,'Datos - Catálogo TIMSS'!$A$5:$A$107,0)),"No")="Sí",1,0)</f>
        <v>0</v>
      </c>
      <c r="AA507" t="s" s="35">
        <v>3071</v>
      </c>
      <c r="AB507" s="39"/>
      <c r="AC507" t="str" s="39">
        <v>Ciencias de la Tierra</v>
      </c>
      <c r="AD507" t="s" s="35">
        <v>1834</v>
      </c>
      <c r="AE507" t="str" s="39" cm="1">
        <f t="array" ref="AE507">IF(AD507="","",IF(LEFT(AD507,1)="1","C1",IF(LEFT(AD507,1)="2","C2",IF(LEFT(AD507,1)="3","C3",""))))</f>
        <v>C2</v>
      </c>
      <c r="AF507" t="s" s="35">
        <v>1602</v>
      </c>
      <c r="AG507" t="s" s="35">
        <v>1617</v>
      </c>
      <c r="AH507" t="s" s="35">
        <v>1602</v>
      </c>
      <c r="AI507" t="s" s="35">
        <v>1623</v>
      </c>
      <c r="AJ507" t="s" s="35">
        <v>1602</v>
      </c>
      <c r="AK507" t="s" s="35">
        <v>1550</v>
      </c>
      <c r="AL507" s="39"/>
      <c r="AM507" t="str" s="39" cm="1">
        <f t="array" ref="AM507">IF(AK507="FUERA","Fuera del marco",_xlfn.IFERROR(INDEX('Datos - Catálogo PISA'!$C$5:$C$76,MATCH(AK507,'Datos - Catálogo PISA'!$A$5:$A$76,0)),"?"))</f>
        <v>Sistemas de la Tierra y el espacio</v>
      </c>
      <c r="AN507" t="s" s="35">
        <v>1651</v>
      </c>
      <c r="AO507" s="39"/>
      <c r="AP507" s="39"/>
      <c r="AQ507" t="s" s="35">
        <v>1756</v>
      </c>
      <c r="AR507" s="39"/>
      <c r="AS507" t="s" s="35">
        <v>1771</v>
      </c>
      <c r="AT507" t="s" s="35">
        <v>254</v>
      </c>
      <c r="AU507" t="s" s="35">
        <v>4226</v>
      </c>
      <c r="AV507" t="s" s="35">
        <v>139</v>
      </c>
      <c r="AW507" t="str" s="39" cm="1">
        <f t="array" ref="AW507">AF507&amp;"; "&amp;AG507&amp;"; "&amp;AH507&amp;"; "&amp;AI507&amp;"; "&amp;AJ507</f>
        <v>E1; D1; E1; D4; E1</v>
      </c>
    </row>
    <row r="508" ht="13.65" customHeight="1">
      <c r="A508" t="s" s="35">
        <v>4227</v>
      </c>
      <c r="B508" s="36">
        <v>8</v>
      </c>
      <c r="C508" t="s" s="35">
        <v>1823</v>
      </c>
      <c r="D508" t="s" s="35">
        <v>3919</v>
      </c>
      <c r="E508" t="s" s="35">
        <v>4191</v>
      </c>
      <c r="F508" s="36">
        <v>10</v>
      </c>
      <c r="G508" t="s" s="35">
        <v>485</v>
      </c>
      <c r="H508" t="s" s="35">
        <v>4228</v>
      </c>
      <c r="I508" t="s" s="120">
        <v>4229</v>
      </c>
      <c r="J508" t="s" s="35">
        <v>1164</v>
      </c>
      <c r="K508" t="s" s="35">
        <v>1290</v>
      </c>
      <c r="L508" s="39"/>
      <c r="M508" t="str" s="39">
        <v>Ciencias de la Tierra</v>
      </c>
      <c r="N508" t="str" s="39">
        <v>Recursos de la Tierra, uso y conservación</v>
      </c>
      <c r="O508" t="str" s="39" cm="1">
        <f t="array" ref="O508">IF(L508="","",_xlfn.IFERROR(INDEX('Datos - Catálogo TIMSS'!$C$5:$C$107,MATCH(L508,'Datos - Catálogo TIMSS'!$A$5:$A$107,0)),"?"))</f>
      </c>
      <c r="P508" t="s" s="35">
        <v>282</v>
      </c>
      <c r="Q508" t="s" s="120">
        <v>4230</v>
      </c>
      <c r="R508" t="s" s="120">
        <v>3095</v>
      </c>
      <c r="S508" s="121" cm="1">
        <f t="array" ref="S508">_xlfn.IFERROR(ISNUMBER(SEARCH("Conocer",$R508))/(ISNUMBER(SEARCH("Conocer",$R508))+ISNUMBER(SEARCH("Aplicar",$R508))+ISNUMBER(SEARCH("Razonar",$R508))),0)</f>
        <v>0</v>
      </c>
      <c r="T508" s="121" cm="1">
        <f t="array" ref="T508">_xlfn.IFERROR(ISNUMBER(SEARCH("Aplicar",$R508))/(ISNUMBER(SEARCH("Conocer",$R508))+ISNUMBER(SEARCH("Aplicar",$R508))+ISNUMBER(SEARCH("Razonar",$R508))),0)</f>
        <v>1</v>
      </c>
      <c r="U508" s="121" cm="1">
        <f t="array" ref="U508">_xlfn.IFERROR(ISNUMBER(SEARCH("Razonar",$R508))/(ISNUMBER(SEARCH("Conocer",$R508))+ISNUMBER(SEARCH("Aplicar",$R508))+ISNUMBER(SEARCH("Razonar",$R508))),0)</f>
        <v>0</v>
      </c>
      <c r="V508" t="s" s="35">
        <v>86</v>
      </c>
      <c r="W508" t="s" s="35">
        <v>115</v>
      </c>
      <c r="X508" s="36" cm="1">
        <f t="array" ref="X508">IF(OR(_xlfn.IFERROR(INDEX('Datos - Catálogo TIMSS'!$I$5:$I$107,MATCH(K508,'Datos - Catálogo TIMSS'!$A$5:$A$107,0)),"No")="Sí",_xlfn.IFERROR(INDEX('Datos - Catálogo TIMSS'!$I$5:$I$107,MATCH(L508,'Datos - Catálogo TIMSS'!$A$5:$A$107,0)),"No")="Sí"),1,0)</f>
        <v>1</v>
      </c>
      <c r="Y508" s="36" cm="1">
        <f t="array" ref="Y508">IF(_xlfn.IFERROR(INDEX('Datos - Catálogo TIMSS'!$J$5:$J$107,MATCH(K508,'Datos - Catálogo TIMSS'!$A$5:$A$107,0)),"No")="Sí",1,0)</f>
        <v>0</v>
      </c>
      <c r="Z508" s="36" cm="1">
        <f t="array" ref="Z508">IF(_xlfn.IFERROR(INDEX('Datos - Catálogo TIMSS'!$J$5:$J$107,MATCH(L508,'Datos - Catálogo TIMSS'!$A$5:$A$107,0)),"No")="Sí",1,0)</f>
        <v>0</v>
      </c>
      <c r="AA508" t="s" s="35">
        <v>3708</v>
      </c>
      <c r="AB508" s="39"/>
      <c r="AC508" t="str" s="39">
        <v>Ciencias de la Tierra</v>
      </c>
      <c r="AD508" t="s" s="35">
        <v>1900</v>
      </c>
      <c r="AE508" t="str" s="39" cm="1">
        <f t="array" ref="AE508">IF(AD508="","",IF(LEFT(AD508,1)="1","C1",IF(LEFT(AD508,1)="2","C2",IF(LEFT(AD508,1)="3","C3",""))))</f>
        <v>C3</v>
      </c>
      <c r="AF508" t="s" s="35">
        <v>1615</v>
      </c>
      <c r="AG508" t="s" s="35">
        <v>1617</v>
      </c>
      <c r="AH508" t="s" s="35">
        <v>1605</v>
      </c>
      <c r="AI508" t="s" s="35">
        <v>1625</v>
      </c>
      <c r="AJ508" t="s" s="35">
        <v>1615</v>
      </c>
      <c r="AK508" t="s" s="35">
        <v>1552</v>
      </c>
      <c r="AL508" s="39"/>
      <c r="AM508" t="str" s="39" cm="1">
        <f t="array" ref="AM508">IF(AK508="FUERA","Fuera del marco",_xlfn.IFERROR(INDEX('Datos - Catálogo PISA'!$C$5:$C$76,MATCH(AK508,'Datos - Catálogo PISA'!$A$5:$A$76,0)),"?"))</f>
        <v>Sistemas de la Tierra y el espacio</v>
      </c>
      <c r="AN508" t="s" s="35">
        <v>1651</v>
      </c>
      <c r="AO508" s="39"/>
      <c r="AP508" s="39"/>
      <c r="AQ508" t="s" s="35">
        <v>1752</v>
      </c>
      <c r="AR508" t="s" s="35">
        <v>1765</v>
      </c>
      <c r="AS508" t="s" s="35">
        <v>1770</v>
      </c>
      <c r="AT508" t="s" s="35">
        <v>254</v>
      </c>
      <c r="AU508" t="s" s="35">
        <v>4231</v>
      </c>
      <c r="AV508" t="s" s="35">
        <v>139</v>
      </c>
      <c r="AW508" t="str" s="39" cm="1">
        <f t="array" ref="AW508">AF508&amp;"; "&amp;AG508&amp;"; "&amp;AH508&amp;"; "&amp;AI508&amp;"; "&amp;AJ508</f>
        <v>E6; D1; E2; I1; E6</v>
      </c>
    </row>
    <row r="509" ht="13.65" customHeight="1">
      <c r="A509" t="s" s="35">
        <v>4233</v>
      </c>
      <c r="B509" s="36">
        <v>8</v>
      </c>
      <c r="C509" t="s" s="35">
        <v>1823</v>
      </c>
      <c r="D509" t="s" s="35">
        <v>3919</v>
      </c>
      <c r="E509" t="s" s="35">
        <v>4191</v>
      </c>
      <c r="F509" s="36">
        <v>11</v>
      </c>
      <c r="G509" t="s" s="35">
        <v>485</v>
      </c>
      <c r="H509" t="s" s="35">
        <v>4228</v>
      </c>
      <c r="I509" t="s" s="120">
        <v>4234</v>
      </c>
      <c r="J509" t="s" s="35">
        <v>1164</v>
      </c>
      <c r="K509" t="s" s="35">
        <v>1290</v>
      </c>
      <c r="L509" t="s" s="35">
        <v>1201</v>
      </c>
      <c r="M509" t="str" s="39">
        <v>Ciencias de la Tierra</v>
      </c>
      <c r="N509" t="str" s="39">
        <v>Recursos de la Tierra, uso y conservación</v>
      </c>
      <c r="O509" t="str" s="39" cm="1">
        <f t="array" ref="O509">IF(L509="","",_xlfn.IFERROR(INDEX('Datos - Catálogo TIMSS'!$C$5:$C$107,MATCH(L509,'Datos - Catálogo TIMSS'!$A$5:$A$107,0)),"?"))</f>
        <v>Biología</v>
      </c>
      <c r="P509" t="s" s="35">
        <v>254</v>
      </c>
      <c r="Q509" t="s" s="120">
        <v>4235</v>
      </c>
      <c r="R509" t="s" s="120">
        <v>4236</v>
      </c>
      <c r="S509" s="121" cm="1">
        <f t="array" ref="S509">_xlfn.IFERROR(ISNUMBER(SEARCH("Conocer",$R509))/(ISNUMBER(SEARCH("Conocer",$R509))+ISNUMBER(SEARCH("Aplicar",$R509))+ISNUMBER(SEARCH("Razonar",$R509))),0)</f>
        <v>0</v>
      </c>
      <c r="T509" s="121" cm="1">
        <f t="array" ref="T509">_xlfn.IFERROR(ISNUMBER(SEARCH("Aplicar",$R509))/(ISNUMBER(SEARCH("Conocer",$R509))+ISNUMBER(SEARCH("Aplicar",$R509))+ISNUMBER(SEARCH("Razonar",$R509))),0)</f>
        <v>0</v>
      </c>
      <c r="U509" s="121" cm="1">
        <f t="array" ref="U509">_xlfn.IFERROR(ISNUMBER(SEARCH("Razonar",$R509))/(ISNUMBER(SEARCH("Conocer",$R509))+ISNUMBER(SEARCH("Aplicar",$R509))+ISNUMBER(SEARCH("Razonar",$R509))),0)</f>
        <v>1</v>
      </c>
      <c r="V509" t="s" s="35">
        <v>86</v>
      </c>
      <c r="W509" t="s" s="35">
        <v>115</v>
      </c>
      <c r="X509" s="36" cm="1">
        <f t="array" ref="X509">IF(OR(_xlfn.IFERROR(INDEX('Datos - Catálogo TIMSS'!$I$5:$I$107,MATCH(K509,'Datos - Catálogo TIMSS'!$A$5:$A$107,0)),"No")="Sí",_xlfn.IFERROR(INDEX('Datos - Catálogo TIMSS'!$I$5:$I$107,MATCH(L509,'Datos - Catálogo TIMSS'!$A$5:$A$107,0)),"No")="Sí"),1,0)</f>
        <v>1</v>
      </c>
      <c r="Y509" s="36" cm="1">
        <f t="array" ref="Y509">IF(_xlfn.IFERROR(INDEX('Datos - Catálogo TIMSS'!$J$5:$J$107,MATCH(K509,'Datos - Catálogo TIMSS'!$A$5:$A$107,0)),"No")="Sí",1,0)</f>
        <v>0</v>
      </c>
      <c r="Z509" s="36" cm="1">
        <f t="array" ref="Z509">IF(_xlfn.IFERROR(INDEX('Datos - Catálogo TIMSS'!$J$5:$J$107,MATCH(L509,'Datos - Catálogo TIMSS'!$A$5:$A$107,0)),"No")="Sí",1,0)</f>
        <v>0</v>
      </c>
      <c r="AA509" t="s" s="35">
        <v>3144</v>
      </c>
      <c r="AB509" t="s" s="35">
        <v>3708</v>
      </c>
      <c r="AC509" t="str" s="39">
        <v>Biología</v>
      </c>
      <c r="AD509" t="s" s="35">
        <v>1900</v>
      </c>
      <c r="AE509" t="str" s="39" cm="1">
        <f t="array" ref="AE509">IF(AD509="","",IF(LEFT(AD509,1)="1","C1",IF(LEFT(AD509,1)="2","C2",IF(LEFT(AD509,1)="3","C3",""))))</f>
        <v>C3</v>
      </c>
      <c r="AF509" t="s" s="35">
        <v>1615</v>
      </c>
      <c r="AG509" t="s" s="35">
        <v>1617</v>
      </c>
      <c r="AH509" t="s" s="35">
        <v>1602</v>
      </c>
      <c r="AI509" t="s" s="35">
        <v>1627</v>
      </c>
      <c r="AJ509" t="s" s="35">
        <v>1633</v>
      </c>
      <c r="AK509" t="s" s="35">
        <v>1552</v>
      </c>
      <c r="AL509" t="s" s="35">
        <v>1548</v>
      </c>
      <c r="AM509" t="str" s="39" cm="1">
        <f t="array" ref="AM509">IF(AK509="FUERA","Fuera del marco",_xlfn.IFERROR(INDEX('Datos - Catálogo PISA'!$C$5:$C$76,MATCH(AK509,'Datos - Catálogo PISA'!$A$5:$A$76,0)),"?"))</f>
        <v>Sistemas de la Tierra y el espacio</v>
      </c>
      <c r="AN509" t="s" s="35">
        <v>1651</v>
      </c>
      <c r="AO509" s="39"/>
      <c r="AP509" t="s" s="35">
        <v>4237</v>
      </c>
      <c r="AQ509" t="s" s="35">
        <v>1752</v>
      </c>
      <c r="AR509" t="s" s="35">
        <v>1765</v>
      </c>
      <c r="AS509" t="s" s="35">
        <v>1772</v>
      </c>
      <c r="AT509" t="s" s="35">
        <v>254</v>
      </c>
      <c r="AU509" t="s" s="35">
        <v>4238</v>
      </c>
      <c r="AV509" t="s" s="35">
        <v>139</v>
      </c>
      <c r="AW509" t="str" s="39" cm="1">
        <f t="array" ref="AW509">AF509&amp;"; "&amp;AG509&amp;"; "&amp;AH509&amp;"; "&amp;AI509&amp;"; "&amp;AJ509</f>
        <v>E6; D1; E1; I2; I5</v>
      </c>
    </row>
    <row r="510" ht="13.65" customHeight="1">
      <c r="A510" t="s" s="35">
        <v>4240</v>
      </c>
      <c r="B510" s="36">
        <v>8</v>
      </c>
      <c r="C510" t="s" s="35">
        <v>1823</v>
      </c>
      <c r="D510" t="s" s="35">
        <v>3919</v>
      </c>
      <c r="E510" t="s" s="35">
        <v>4241</v>
      </c>
      <c r="F510" s="36">
        <v>3</v>
      </c>
      <c r="G510" t="s" s="35">
        <v>816</v>
      </c>
      <c r="H510" t="s" s="35">
        <v>4242</v>
      </c>
      <c r="I510" t="s" s="120">
        <v>4243</v>
      </c>
      <c r="J510" t="s" s="35">
        <v>1164</v>
      </c>
      <c r="K510" t="s" s="35">
        <v>1174</v>
      </c>
      <c r="L510" s="39"/>
      <c r="M510" t="str" s="39">
        <v>Biología</v>
      </c>
      <c r="N510" t="str" s="39">
        <v>Las células y sus funciones</v>
      </c>
      <c r="O510" t="str" s="39" cm="1">
        <f t="array" ref="O510">IF(L510="","",_xlfn.IFERROR(INDEX('Datos - Catálogo TIMSS'!$C$5:$C$107,MATCH(L510,'Datos - Catálogo TIMSS'!$A$5:$A$107,0)),"?"))</f>
      </c>
      <c r="P510" t="s" s="35">
        <v>282</v>
      </c>
      <c r="Q510" t="s" s="120">
        <v>4244</v>
      </c>
      <c r="R510" t="s" s="120">
        <v>4245</v>
      </c>
      <c r="S510" s="121" cm="1">
        <f t="array" ref="S510">_xlfn.IFERROR(ISNUMBER(SEARCH("Conocer",$R510))/(ISNUMBER(SEARCH("Conocer",$R510))+ISNUMBER(SEARCH("Aplicar",$R510))+ISNUMBER(SEARCH("Razonar",$R510))),0)</f>
        <v>0</v>
      </c>
      <c r="T510" s="121" cm="1">
        <f t="array" ref="T510">_xlfn.IFERROR(ISNUMBER(SEARCH("Aplicar",$R510))/(ISNUMBER(SEARCH("Conocer",$R510))+ISNUMBER(SEARCH("Aplicar",$R510))+ISNUMBER(SEARCH("Razonar",$R510))),0)</f>
        <v>1</v>
      </c>
      <c r="U510" s="121" cm="1">
        <f t="array" ref="U510">_xlfn.IFERROR(ISNUMBER(SEARCH("Razonar",$R510))/(ISNUMBER(SEARCH("Conocer",$R510))+ISNUMBER(SEARCH("Aplicar",$R510))+ISNUMBER(SEARCH("Razonar",$R510))),0)</f>
        <v>0</v>
      </c>
      <c r="V510" t="s" s="35">
        <v>86</v>
      </c>
      <c r="W510" t="s" s="35">
        <v>115</v>
      </c>
      <c r="X510" s="36" cm="1">
        <f t="array" ref="X510">IF(OR(_xlfn.IFERROR(INDEX('Datos - Catálogo TIMSS'!$I$5:$I$107,MATCH(K510,'Datos - Catálogo TIMSS'!$A$5:$A$107,0)),"No")="Sí",_xlfn.IFERROR(INDEX('Datos - Catálogo TIMSS'!$I$5:$I$107,MATCH(L510,'Datos - Catálogo TIMSS'!$A$5:$A$107,0)),"No")="Sí"),1,0)</f>
        <v>0</v>
      </c>
      <c r="Y510" s="36" cm="1">
        <f t="array" ref="Y510">IF(_xlfn.IFERROR(INDEX('Datos - Catálogo TIMSS'!$J$5:$J$107,MATCH(K510,'Datos - Catálogo TIMSS'!$A$5:$A$107,0)),"No")="Sí",1,0)</f>
        <v>0</v>
      </c>
      <c r="Z510" s="36" cm="1">
        <f t="array" ref="Z510">IF(_xlfn.IFERROR(INDEX('Datos - Catálogo TIMSS'!$J$5:$J$107,MATCH(L510,'Datos - Catálogo TIMSS'!$A$5:$A$107,0)),"No")="Sí",1,0)</f>
        <v>0</v>
      </c>
      <c r="AA510" t="s" s="35">
        <v>3313</v>
      </c>
      <c r="AB510" s="39"/>
      <c r="AC510" t="str" s="39">
        <v>Biología</v>
      </c>
      <c r="AD510" t="s" s="35">
        <v>1834</v>
      </c>
      <c r="AE510" t="str" s="39" cm="1">
        <f t="array" ref="AE510">IF(AD510="","",IF(LEFT(AD510,1)="1","C1",IF(LEFT(AD510,1)="2","C2",IF(LEFT(AD510,1)="3","C3",""))))</f>
        <v>C2</v>
      </c>
      <c r="AF510" t="s" s="35">
        <v>1602</v>
      </c>
      <c r="AG510" t="s" s="35">
        <v>1617</v>
      </c>
      <c r="AH510" t="s" s="35">
        <v>1602</v>
      </c>
      <c r="AI510" t="s" s="35">
        <v>1623</v>
      </c>
      <c r="AJ510" t="s" s="35">
        <v>1602</v>
      </c>
      <c r="AK510" t="s" s="35">
        <v>790</v>
      </c>
      <c r="AL510" t="s" s="35">
        <v>765</v>
      </c>
      <c r="AM510" t="str" s="39" cm="1">
        <f t="array" ref="AM510">IF(AK510="FUERA","Fuera del marco",_xlfn.IFERROR(INDEX('Datos - Catálogo PISA'!$C$5:$C$76,MATCH(AK510,'Datos - Catálogo PISA'!$A$5:$A$76,0)),"?"))</f>
        <v>Sistemas vivos</v>
      </c>
      <c r="AN510" t="s" s="35">
        <v>1651</v>
      </c>
      <c r="AO510" s="39"/>
      <c r="AP510" s="39"/>
      <c r="AQ510" t="s" s="35">
        <v>1756</v>
      </c>
      <c r="AR510" s="39"/>
      <c r="AS510" t="s" s="35">
        <v>1770</v>
      </c>
      <c r="AT510" t="s" s="35">
        <v>254</v>
      </c>
      <c r="AU510" t="s" s="35">
        <v>4246</v>
      </c>
      <c r="AV510" t="s" s="35">
        <v>139</v>
      </c>
      <c r="AW510" t="str" s="39" cm="1">
        <f t="array" ref="AW510">AF510&amp;"; "&amp;AG510&amp;"; "&amp;AH510&amp;"; "&amp;AI510&amp;"; "&amp;AJ510</f>
        <v>E1; D1; E1; D4; E1</v>
      </c>
    </row>
    <row r="511" ht="13.65" customHeight="1">
      <c r="A511" t="s" s="35">
        <v>4247</v>
      </c>
      <c r="B511" s="36">
        <v>8</v>
      </c>
      <c r="C511" t="s" s="35">
        <v>1823</v>
      </c>
      <c r="D511" t="s" s="35">
        <v>3919</v>
      </c>
      <c r="E511" t="s" s="35">
        <v>4241</v>
      </c>
      <c r="F511" s="36">
        <v>4</v>
      </c>
      <c r="G511" t="s" s="35">
        <v>816</v>
      </c>
      <c r="H511" t="s" s="35">
        <v>4242</v>
      </c>
      <c r="I511" t="s" s="120">
        <v>4248</v>
      </c>
      <c r="J511" t="s" s="35">
        <v>1164</v>
      </c>
      <c r="K511" t="s" s="35">
        <v>1174</v>
      </c>
      <c r="L511" t="s" s="35">
        <v>1207</v>
      </c>
      <c r="M511" t="str" s="39">
        <v>Biología</v>
      </c>
      <c r="N511" t="str" s="39">
        <v>Las células y sus funciones</v>
      </c>
      <c r="O511" t="str" s="39" cm="1">
        <f t="array" ref="O511">IF(L511="","",_xlfn.IFERROR(INDEX('Datos - Catálogo TIMSS'!$C$5:$C$107,MATCH(L511,'Datos - Catálogo TIMSS'!$A$5:$A$107,0)),"?"))</f>
        <v>Biología</v>
      </c>
      <c r="P511" t="s" s="35">
        <v>282</v>
      </c>
      <c r="Q511" t="s" s="120">
        <v>4249</v>
      </c>
      <c r="R511" t="s" s="120">
        <v>3023</v>
      </c>
      <c r="S511" s="121" cm="1">
        <f t="array" ref="S511">_xlfn.IFERROR(ISNUMBER(SEARCH("Conocer",$R511))/(ISNUMBER(SEARCH("Conocer",$R511))+ISNUMBER(SEARCH("Aplicar",$R511))+ISNUMBER(SEARCH("Razonar",$R511))),0)</f>
        <v>0</v>
      </c>
      <c r="T511" s="121" cm="1">
        <f t="array" ref="T511">_xlfn.IFERROR(ISNUMBER(SEARCH("Aplicar",$R511))/(ISNUMBER(SEARCH("Conocer",$R511))+ISNUMBER(SEARCH("Aplicar",$R511))+ISNUMBER(SEARCH("Razonar",$R511))),0)</f>
        <v>1</v>
      </c>
      <c r="U511" s="121" cm="1">
        <f t="array" ref="U511">_xlfn.IFERROR(ISNUMBER(SEARCH("Razonar",$R511))/(ISNUMBER(SEARCH("Conocer",$R511))+ISNUMBER(SEARCH("Aplicar",$R511))+ISNUMBER(SEARCH("Razonar",$R511))),0)</f>
        <v>0</v>
      </c>
      <c r="V511" t="s" s="35">
        <v>86</v>
      </c>
      <c r="W511" t="s" s="35">
        <v>115</v>
      </c>
      <c r="X511" s="36" cm="1">
        <f t="array" ref="X511">IF(OR(_xlfn.IFERROR(INDEX('Datos - Catálogo TIMSS'!$I$5:$I$107,MATCH(K511,'Datos - Catálogo TIMSS'!$A$5:$A$107,0)),"No")="Sí",_xlfn.IFERROR(INDEX('Datos - Catálogo TIMSS'!$I$5:$I$107,MATCH(L511,'Datos - Catálogo TIMSS'!$A$5:$A$107,0)),"No")="Sí"),1,0)</f>
        <v>0</v>
      </c>
      <c r="Y511" s="36" cm="1">
        <f t="array" ref="Y511">IF(_xlfn.IFERROR(INDEX('Datos - Catálogo TIMSS'!$J$5:$J$107,MATCH(K511,'Datos - Catálogo TIMSS'!$A$5:$A$107,0)),"No")="Sí",1,0)</f>
        <v>0</v>
      </c>
      <c r="Z511" s="36" cm="1">
        <f t="array" ref="Z511">IF(_xlfn.IFERROR(INDEX('Datos - Catálogo TIMSS'!$J$5:$J$107,MATCH(L511,'Datos - Catálogo TIMSS'!$A$5:$A$107,0)),"No")="Sí",1,0)</f>
        <v>1</v>
      </c>
      <c r="AA511" t="s" s="35">
        <v>3313</v>
      </c>
      <c r="AB511" s="39"/>
      <c r="AC511" t="str" s="39">
        <v>Biología</v>
      </c>
      <c r="AD511" t="s" s="35">
        <v>1834</v>
      </c>
      <c r="AE511" t="str" s="39" cm="1">
        <f t="array" ref="AE511">IF(AD511="","",IF(LEFT(AD511,1)="1","C1",IF(LEFT(AD511,1)="2","C2",IF(LEFT(AD511,1)="3","C3",""))))</f>
        <v>C2</v>
      </c>
      <c r="AF511" t="s" s="35">
        <v>1602</v>
      </c>
      <c r="AG511" t="s" s="35">
        <v>1617</v>
      </c>
      <c r="AH511" t="s" s="35">
        <v>1602</v>
      </c>
      <c r="AI511" t="s" s="35">
        <v>1623</v>
      </c>
      <c r="AJ511" t="s" s="35">
        <v>1602</v>
      </c>
      <c r="AK511" t="s" s="35">
        <v>790</v>
      </c>
      <c r="AL511" t="s" s="35">
        <v>765</v>
      </c>
      <c r="AM511" t="str" s="39" cm="1">
        <f t="array" ref="AM511">IF(AK511="FUERA","Fuera del marco",_xlfn.IFERROR(INDEX('Datos - Catálogo PISA'!$C$5:$C$76,MATCH(AK511,'Datos - Catálogo PISA'!$A$5:$A$76,0)),"?"))</f>
        <v>Sistemas vivos</v>
      </c>
      <c r="AN511" t="s" s="35">
        <v>1651</v>
      </c>
      <c r="AO511" s="39"/>
      <c r="AP511" s="39"/>
      <c r="AQ511" t="s" s="35">
        <v>1756</v>
      </c>
      <c r="AR511" s="39"/>
      <c r="AS511" t="s" s="35">
        <v>1770</v>
      </c>
      <c r="AT511" t="s" s="35">
        <v>254</v>
      </c>
      <c r="AU511" t="s" s="35">
        <v>4250</v>
      </c>
      <c r="AV511" t="s" s="35">
        <v>139</v>
      </c>
      <c r="AW511" t="str" s="39" cm="1">
        <f t="array" ref="AW511">AF511&amp;"; "&amp;AG511&amp;"; "&amp;AH511&amp;"; "&amp;AI511&amp;"; "&amp;AJ511</f>
        <v>E1; D1; E1; D4; E1</v>
      </c>
    </row>
    <row r="512" ht="13.65" customHeight="1">
      <c r="A512" t="s" s="35">
        <v>4251</v>
      </c>
      <c r="B512" s="36">
        <v>8</v>
      </c>
      <c r="C512" t="s" s="35">
        <v>1823</v>
      </c>
      <c r="D512" t="s" s="35">
        <v>3919</v>
      </c>
      <c r="E512" t="s" s="35">
        <v>4241</v>
      </c>
      <c r="F512" s="36">
        <v>5</v>
      </c>
      <c r="G512" t="s" s="35">
        <v>816</v>
      </c>
      <c r="H512" t="s" s="35">
        <v>4242</v>
      </c>
      <c r="I512" t="s" s="120">
        <v>4252</v>
      </c>
      <c r="J512" t="s" s="35">
        <v>1164</v>
      </c>
      <c r="K512" t="s" s="35">
        <v>1174</v>
      </c>
      <c r="L512" s="39"/>
      <c r="M512" t="str" s="39">
        <v>Biología</v>
      </c>
      <c r="N512" t="str" s="39">
        <v>Las células y sus funciones</v>
      </c>
      <c r="O512" t="str" s="39" cm="1">
        <f t="array" ref="O512">IF(L512="","",_xlfn.IFERROR(INDEX('Datos - Catálogo TIMSS'!$C$5:$C$107,MATCH(L512,'Datos - Catálogo TIMSS'!$A$5:$A$107,0)),"?"))</f>
      </c>
      <c r="P512" t="s" s="35">
        <v>254</v>
      </c>
      <c r="Q512" t="s" s="120">
        <v>4253</v>
      </c>
      <c r="R512" t="s" s="120">
        <v>2066</v>
      </c>
      <c r="S512" s="121" cm="1">
        <f t="array" ref="S512">_xlfn.IFERROR(ISNUMBER(SEARCH("Conocer",$R512))/(ISNUMBER(SEARCH("Conocer",$R512))+ISNUMBER(SEARCH("Aplicar",$R512))+ISNUMBER(SEARCH("Razonar",$R512))),0)</f>
        <v>0</v>
      </c>
      <c r="T512" s="121" cm="1">
        <f t="array" ref="T512">_xlfn.IFERROR(ISNUMBER(SEARCH("Aplicar",$R512))/(ISNUMBER(SEARCH("Conocer",$R512))+ISNUMBER(SEARCH("Aplicar",$R512))+ISNUMBER(SEARCH("Razonar",$R512))),0)</f>
        <v>1</v>
      </c>
      <c r="U512" s="121" cm="1">
        <f t="array" ref="U512">_xlfn.IFERROR(ISNUMBER(SEARCH("Razonar",$R512))/(ISNUMBER(SEARCH("Conocer",$R512))+ISNUMBER(SEARCH("Aplicar",$R512))+ISNUMBER(SEARCH("Razonar",$R512))),0)</f>
        <v>0</v>
      </c>
      <c r="V512" t="s" s="35">
        <v>86</v>
      </c>
      <c r="W512" t="s" s="35">
        <v>115</v>
      </c>
      <c r="X512" s="36" cm="1">
        <f t="array" ref="X512">IF(OR(_xlfn.IFERROR(INDEX('Datos - Catálogo TIMSS'!$I$5:$I$107,MATCH(K512,'Datos - Catálogo TIMSS'!$A$5:$A$107,0)),"No")="Sí",_xlfn.IFERROR(INDEX('Datos - Catálogo TIMSS'!$I$5:$I$107,MATCH(L512,'Datos - Catálogo TIMSS'!$A$5:$A$107,0)),"No")="Sí"),1,0)</f>
        <v>0</v>
      </c>
      <c r="Y512" s="36" cm="1">
        <f t="array" ref="Y512">IF(_xlfn.IFERROR(INDEX('Datos - Catálogo TIMSS'!$J$5:$J$107,MATCH(K512,'Datos - Catálogo TIMSS'!$A$5:$A$107,0)),"No")="Sí",1,0)</f>
        <v>0</v>
      </c>
      <c r="Z512" s="36" cm="1">
        <f t="array" ref="Z512">IF(_xlfn.IFERROR(INDEX('Datos - Catálogo TIMSS'!$J$5:$J$107,MATCH(L512,'Datos - Catálogo TIMSS'!$A$5:$A$107,0)),"No")="Sí",1,0)</f>
        <v>0</v>
      </c>
      <c r="AA512" t="s" s="35">
        <v>3313</v>
      </c>
      <c r="AB512" s="39"/>
      <c r="AC512" t="str" s="39">
        <v>Biología</v>
      </c>
      <c r="AD512" t="s" s="35">
        <v>1859</v>
      </c>
      <c r="AE512" t="str" s="39" cm="1">
        <f t="array" ref="AE512">IF(AD512="","",IF(LEFT(AD512,1)="1","C1",IF(LEFT(AD512,1)="2","C2",IF(LEFT(AD512,1)="3","C3",""))))</f>
        <v>C1</v>
      </c>
      <c r="AF512" t="s" s="35">
        <v>1602</v>
      </c>
      <c r="AG512" t="s" s="35">
        <v>1617</v>
      </c>
      <c r="AH512" t="s" s="35">
        <v>1602</v>
      </c>
      <c r="AI512" t="s" s="35">
        <v>1623</v>
      </c>
      <c r="AJ512" t="s" s="35">
        <v>1602</v>
      </c>
      <c r="AK512" t="s" s="35">
        <v>765</v>
      </c>
      <c r="AL512" t="s" s="35">
        <v>790</v>
      </c>
      <c r="AM512" t="str" s="39" cm="1">
        <f t="array" ref="AM512">IF(AK512="FUERA","Fuera del marco",_xlfn.IFERROR(INDEX('Datos - Catálogo PISA'!$C$5:$C$76,MATCH(AK512,'Datos - Catálogo PISA'!$A$5:$A$76,0)),"?"))</f>
        <v>Sistemas vivos</v>
      </c>
      <c r="AN512" t="s" s="35">
        <v>1651</v>
      </c>
      <c r="AO512" s="39"/>
      <c r="AP512" s="39"/>
      <c r="AQ512" t="s" s="35">
        <v>1756</v>
      </c>
      <c r="AR512" s="39"/>
      <c r="AS512" t="s" s="35">
        <v>1771</v>
      </c>
      <c r="AT512" t="s" s="35">
        <v>282</v>
      </c>
      <c r="AU512" t="s" s="35">
        <v>4254</v>
      </c>
      <c r="AV512" t="s" s="35">
        <v>139</v>
      </c>
      <c r="AW512" t="str" s="39" cm="1">
        <f t="array" ref="AW512">AF512&amp;"; "&amp;AG512&amp;"; "&amp;AH512&amp;"; "&amp;AI512&amp;"; "&amp;AJ512</f>
        <v>E1; D1; E1; D4; E1</v>
      </c>
    </row>
    <row r="513" ht="13.65" customHeight="1">
      <c r="A513" t="s" s="35">
        <v>4255</v>
      </c>
      <c r="B513" s="36">
        <v>8</v>
      </c>
      <c r="C513" t="s" s="35">
        <v>1823</v>
      </c>
      <c r="D513" t="s" s="35">
        <v>3919</v>
      </c>
      <c r="E513" t="s" s="35">
        <v>4241</v>
      </c>
      <c r="F513" s="36">
        <v>6</v>
      </c>
      <c r="G513" t="s" s="35">
        <v>816</v>
      </c>
      <c r="H513" t="s" s="35">
        <v>4256</v>
      </c>
      <c r="I513" t="s" s="120">
        <v>4257</v>
      </c>
      <c r="J513" t="s" s="35">
        <v>1164</v>
      </c>
      <c r="K513" t="s" s="35">
        <v>1168</v>
      </c>
      <c r="L513" t="s" s="35">
        <v>1207</v>
      </c>
      <c r="M513" t="str" s="39">
        <v>Biología</v>
      </c>
      <c r="N513" t="str" s="39">
        <v>Características y procesos vitales de los organismos</v>
      </c>
      <c r="O513" t="str" s="39" cm="1">
        <f t="array" ref="O513">IF(L513="","",_xlfn.IFERROR(INDEX('Datos - Catálogo TIMSS'!$C$5:$C$107,MATCH(L513,'Datos - Catálogo TIMSS'!$A$5:$A$107,0)),"?"))</f>
        <v>Biología</v>
      </c>
      <c r="P513" t="s" s="35">
        <v>282</v>
      </c>
      <c r="Q513" t="s" s="120">
        <v>4258</v>
      </c>
      <c r="R513" t="s" s="120">
        <v>3592</v>
      </c>
      <c r="S513" s="121" cm="1">
        <f t="array" ref="S513">_xlfn.IFERROR(ISNUMBER(SEARCH("Conocer",$R513))/(ISNUMBER(SEARCH("Conocer",$R513))+ISNUMBER(SEARCH("Aplicar",$R513))+ISNUMBER(SEARCH("Razonar",$R513))),0)</f>
        <v>0</v>
      </c>
      <c r="T513" s="121" cm="1">
        <f t="array" ref="T513">_xlfn.IFERROR(ISNUMBER(SEARCH("Aplicar",$R513))/(ISNUMBER(SEARCH("Conocer",$R513))+ISNUMBER(SEARCH("Aplicar",$R513))+ISNUMBER(SEARCH("Razonar",$R513))),0)</f>
        <v>0</v>
      </c>
      <c r="U513" s="121" cm="1">
        <f t="array" ref="U513">_xlfn.IFERROR(ISNUMBER(SEARCH("Razonar",$R513))/(ISNUMBER(SEARCH("Conocer",$R513))+ISNUMBER(SEARCH("Aplicar",$R513))+ISNUMBER(SEARCH("Razonar",$R513))),0)</f>
        <v>1</v>
      </c>
      <c r="V513" t="s" s="35">
        <v>86</v>
      </c>
      <c r="W513" t="s" s="35">
        <v>115</v>
      </c>
      <c r="X513" s="36" cm="1">
        <f t="array" ref="X513">IF(OR(_xlfn.IFERROR(INDEX('Datos - Catálogo TIMSS'!$I$5:$I$107,MATCH(K513,'Datos - Catálogo TIMSS'!$A$5:$A$107,0)),"No")="Sí",_xlfn.IFERROR(INDEX('Datos - Catálogo TIMSS'!$I$5:$I$107,MATCH(L513,'Datos - Catálogo TIMSS'!$A$5:$A$107,0)),"No")="Sí"),1,0)</f>
        <v>0</v>
      </c>
      <c r="Y513" s="36" cm="1">
        <f t="array" ref="Y513">IF(_xlfn.IFERROR(INDEX('Datos - Catálogo TIMSS'!$J$5:$J$107,MATCH(K513,'Datos - Catálogo TIMSS'!$A$5:$A$107,0)),"No")="Sí",1,0)</f>
        <v>0</v>
      </c>
      <c r="Z513" s="36" cm="1">
        <f t="array" ref="Z513">IF(_xlfn.IFERROR(INDEX('Datos - Catálogo TIMSS'!$J$5:$J$107,MATCH(L513,'Datos - Catálogo TIMSS'!$A$5:$A$107,0)),"No")="Sí",1,0)</f>
        <v>1</v>
      </c>
      <c r="AA513" t="s" s="35">
        <v>3339</v>
      </c>
      <c r="AB513" t="s" s="35">
        <v>3313</v>
      </c>
      <c r="AC513" t="str" s="39">
        <v>Biología</v>
      </c>
      <c r="AD513" t="s" s="35">
        <v>1834</v>
      </c>
      <c r="AE513" t="str" s="39" cm="1">
        <f t="array" ref="AE513">IF(AD513="","",IF(LEFT(AD513,1)="1","C1",IF(LEFT(AD513,1)="2","C2",IF(LEFT(AD513,1)="3","C3",""))))</f>
        <v>C2</v>
      </c>
      <c r="AF513" t="s" s="35">
        <v>1602</v>
      </c>
      <c r="AG513" t="s" s="35">
        <v>1617</v>
      </c>
      <c r="AH513" t="s" s="35">
        <v>1607</v>
      </c>
      <c r="AI513" t="s" s="35">
        <v>1619</v>
      </c>
      <c r="AJ513" t="s" s="35">
        <v>1621</v>
      </c>
      <c r="AK513" t="s" s="35">
        <v>790</v>
      </c>
      <c r="AL513" s="39"/>
      <c r="AM513" t="str" s="39" cm="1">
        <f t="array" ref="AM513">IF(AK513="FUERA","Fuera del marco",_xlfn.IFERROR(INDEX('Datos - Catálogo PISA'!$C$5:$C$76,MATCH(AK513,'Datos - Catálogo PISA'!$A$5:$A$76,0)),"?"))</f>
        <v>Sistemas vivos</v>
      </c>
      <c r="AN513" t="s" s="35">
        <v>1651</v>
      </c>
      <c r="AO513" t="s" s="35">
        <v>4259</v>
      </c>
      <c r="AP513" s="39"/>
      <c r="AQ513" t="s" s="35">
        <v>1756</v>
      </c>
      <c r="AR513" s="39"/>
      <c r="AS513" t="s" s="35">
        <v>1772</v>
      </c>
      <c r="AT513" t="s" s="35">
        <v>254</v>
      </c>
      <c r="AU513" t="s" s="35">
        <v>4260</v>
      </c>
      <c r="AV513" t="s" s="35">
        <v>139</v>
      </c>
      <c r="AW513" t="str" s="39" cm="1">
        <f t="array" ref="AW513">AF513&amp;"; "&amp;AG513&amp;"; "&amp;AH513&amp;"; "&amp;AI513&amp;"; "&amp;AJ513</f>
        <v>E1; D1; E3; D2; D3</v>
      </c>
    </row>
    <row r="514" ht="13.65" customHeight="1">
      <c r="A514" t="s" s="35">
        <v>4261</v>
      </c>
      <c r="B514" s="36">
        <v>8</v>
      </c>
      <c r="C514" t="s" s="35">
        <v>1823</v>
      </c>
      <c r="D514" t="s" s="35">
        <v>3919</v>
      </c>
      <c r="E514" t="s" s="35">
        <v>4241</v>
      </c>
      <c r="F514" s="36">
        <v>7</v>
      </c>
      <c r="G514" t="s" s="35">
        <v>816</v>
      </c>
      <c r="H514" t="s" s="35">
        <v>4256</v>
      </c>
      <c r="I514" t="s" s="120">
        <v>4262</v>
      </c>
      <c r="J514" t="s" s="35">
        <v>1164</v>
      </c>
      <c r="K514" t="s" s="35">
        <v>1168</v>
      </c>
      <c r="L514" t="s" s="35">
        <v>1174</v>
      </c>
      <c r="M514" t="str" s="39">
        <v>Biología</v>
      </c>
      <c r="N514" t="str" s="39">
        <v>Características y procesos vitales de los organismos</v>
      </c>
      <c r="O514" t="str" s="39" cm="1">
        <f t="array" ref="O514">IF(L514="","",_xlfn.IFERROR(INDEX('Datos - Catálogo TIMSS'!$C$5:$C$107,MATCH(L514,'Datos - Catálogo TIMSS'!$A$5:$A$107,0)),"?"))</f>
        <v>Biología</v>
      </c>
      <c r="P514" t="s" s="35">
        <v>282</v>
      </c>
      <c r="Q514" t="s" s="120">
        <v>4263</v>
      </c>
      <c r="R514" t="s" s="120">
        <v>4007</v>
      </c>
      <c r="S514" s="121" cm="1">
        <f t="array" ref="S514">_xlfn.IFERROR(ISNUMBER(SEARCH("Conocer",$R514))/(ISNUMBER(SEARCH("Conocer",$R514))+ISNUMBER(SEARCH("Aplicar",$R514))+ISNUMBER(SEARCH("Razonar",$R514))),0)</f>
        <v>1</v>
      </c>
      <c r="T514" s="121" cm="1">
        <f t="array" ref="T514">_xlfn.IFERROR(ISNUMBER(SEARCH("Aplicar",$R514))/(ISNUMBER(SEARCH("Conocer",$R514))+ISNUMBER(SEARCH("Aplicar",$R514))+ISNUMBER(SEARCH("Razonar",$R514))),0)</f>
        <v>0</v>
      </c>
      <c r="U514" s="121" cm="1">
        <f t="array" ref="U514">_xlfn.IFERROR(ISNUMBER(SEARCH("Razonar",$R514))/(ISNUMBER(SEARCH("Conocer",$R514))+ISNUMBER(SEARCH("Aplicar",$R514))+ISNUMBER(SEARCH("Razonar",$R514))),0)</f>
        <v>0</v>
      </c>
      <c r="V514" t="s" s="35">
        <v>86</v>
      </c>
      <c r="W514" t="s" s="35">
        <v>115</v>
      </c>
      <c r="X514" s="36" cm="1">
        <f t="array" ref="X514">IF(OR(_xlfn.IFERROR(INDEX('Datos - Catálogo TIMSS'!$I$5:$I$107,MATCH(K514,'Datos - Catálogo TIMSS'!$A$5:$A$107,0)),"No")="Sí",_xlfn.IFERROR(INDEX('Datos - Catálogo TIMSS'!$I$5:$I$107,MATCH(L514,'Datos - Catálogo TIMSS'!$A$5:$A$107,0)),"No")="Sí"),1,0)</f>
        <v>0</v>
      </c>
      <c r="Y514" s="36" cm="1">
        <f t="array" ref="Y514">IF(_xlfn.IFERROR(INDEX('Datos - Catálogo TIMSS'!$J$5:$J$107,MATCH(K514,'Datos - Catálogo TIMSS'!$A$5:$A$107,0)),"No")="Sí",1,0)</f>
        <v>0</v>
      </c>
      <c r="Z514" s="36" cm="1">
        <f t="array" ref="Z514">IF(_xlfn.IFERROR(INDEX('Datos - Catálogo TIMSS'!$J$5:$J$107,MATCH(L514,'Datos - Catálogo TIMSS'!$A$5:$A$107,0)),"No")="Sí",1,0)</f>
        <v>0</v>
      </c>
      <c r="AA514" t="s" s="35">
        <v>3339</v>
      </c>
      <c r="AB514" s="39"/>
      <c r="AC514" t="str" s="39">
        <v>Biología</v>
      </c>
      <c r="AD514" t="s" s="35">
        <v>1859</v>
      </c>
      <c r="AE514" t="str" s="39" cm="1">
        <f t="array" ref="AE514">IF(AD514="","",IF(LEFT(AD514,1)="1","C1",IF(LEFT(AD514,1)="2","C2",IF(LEFT(AD514,1)="3","C3",""))))</f>
        <v>C1</v>
      </c>
      <c r="AF514" t="s" s="35">
        <v>1602</v>
      </c>
      <c r="AG514" t="s" s="35">
        <v>1617</v>
      </c>
      <c r="AH514" t="s" s="35">
        <v>1602</v>
      </c>
      <c r="AI514" t="s" s="35">
        <v>1623</v>
      </c>
      <c r="AJ514" t="s" s="35">
        <v>1602</v>
      </c>
      <c r="AK514" t="s" s="35">
        <v>790</v>
      </c>
      <c r="AL514" s="39"/>
      <c r="AM514" t="str" s="39" cm="1">
        <f t="array" ref="AM514">IF(AK514="FUERA","Fuera del marco",_xlfn.IFERROR(INDEX('Datos - Catálogo PISA'!$C$5:$C$76,MATCH(AK514,'Datos - Catálogo PISA'!$A$5:$A$76,0)),"?"))</f>
        <v>Sistemas vivos</v>
      </c>
      <c r="AN514" t="s" s="35">
        <v>1651</v>
      </c>
      <c r="AO514" s="39"/>
      <c r="AP514" s="39"/>
      <c r="AQ514" t="s" s="35">
        <v>1756</v>
      </c>
      <c r="AR514" s="39"/>
      <c r="AS514" t="s" s="35">
        <v>1770</v>
      </c>
      <c r="AT514" t="s" s="35">
        <v>254</v>
      </c>
      <c r="AU514" t="s" s="35">
        <v>4264</v>
      </c>
      <c r="AV514" t="s" s="35">
        <v>139</v>
      </c>
      <c r="AW514" t="str" s="39" cm="1">
        <f t="array" ref="AW514">AF514&amp;"; "&amp;AG514&amp;"; "&amp;AH514&amp;"; "&amp;AI514&amp;"; "&amp;AJ514</f>
        <v>E1; D1; E1; D4; E1</v>
      </c>
    </row>
    <row r="515" ht="13.65" customHeight="1">
      <c r="A515" t="s" s="35">
        <v>4265</v>
      </c>
      <c r="B515" s="36">
        <v>8</v>
      </c>
      <c r="C515" t="s" s="35">
        <v>1823</v>
      </c>
      <c r="D515" t="s" s="35">
        <v>3919</v>
      </c>
      <c r="E515" t="s" s="35">
        <v>4241</v>
      </c>
      <c r="F515" s="36">
        <v>8</v>
      </c>
      <c r="G515" t="s" s="35">
        <v>816</v>
      </c>
      <c r="H515" t="s" s="35">
        <v>4256</v>
      </c>
      <c r="I515" t="s" s="120">
        <v>4266</v>
      </c>
      <c r="J515" t="s" s="35">
        <v>1164</v>
      </c>
      <c r="K515" t="s" s="35">
        <v>1174</v>
      </c>
      <c r="L515" t="s" s="35">
        <v>1207</v>
      </c>
      <c r="M515" t="str" s="39">
        <v>Biología</v>
      </c>
      <c r="N515" t="str" s="39">
        <v>Las células y sus funciones</v>
      </c>
      <c r="O515" t="str" s="39" cm="1">
        <f t="array" ref="O515">IF(L515="","",_xlfn.IFERROR(INDEX('Datos - Catálogo TIMSS'!$C$5:$C$107,MATCH(L515,'Datos - Catálogo TIMSS'!$A$5:$A$107,0)),"?"))</f>
        <v>Biología</v>
      </c>
      <c r="P515" t="s" s="35">
        <v>282</v>
      </c>
      <c r="Q515" t="s" s="120">
        <v>4267</v>
      </c>
      <c r="R515" t="s" s="120">
        <v>2401</v>
      </c>
      <c r="S515" s="121" cm="1">
        <f t="array" ref="S515">_xlfn.IFERROR(ISNUMBER(SEARCH("Conocer",$R515))/(ISNUMBER(SEARCH("Conocer",$R515))+ISNUMBER(SEARCH("Aplicar",$R515))+ISNUMBER(SEARCH("Razonar",$R515))),0)</f>
        <v>0</v>
      </c>
      <c r="T515" s="121" cm="1">
        <f t="array" ref="T515">_xlfn.IFERROR(ISNUMBER(SEARCH("Aplicar",$R515))/(ISNUMBER(SEARCH("Conocer",$R515))+ISNUMBER(SEARCH("Aplicar",$R515))+ISNUMBER(SEARCH("Razonar",$R515))),0)</f>
        <v>1</v>
      </c>
      <c r="U515" s="121" cm="1">
        <f t="array" ref="U515">_xlfn.IFERROR(ISNUMBER(SEARCH("Razonar",$R515))/(ISNUMBER(SEARCH("Conocer",$R515))+ISNUMBER(SEARCH("Aplicar",$R515))+ISNUMBER(SEARCH("Razonar",$R515))),0)</f>
        <v>0</v>
      </c>
      <c r="V515" t="s" s="35">
        <v>86</v>
      </c>
      <c r="W515" t="s" s="35">
        <v>115</v>
      </c>
      <c r="X515" s="36" cm="1">
        <f t="array" ref="X515">IF(OR(_xlfn.IFERROR(INDEX('Datos - Catálogo TIMSS'!$I$5:$I$107,MATCH(K515,'Datos - Catálogo TIMSS'!$A$5:$A$107,0)),"No")="Sí",_xlfn.IFERROR(INDEX('Datos - Catálogo TIMSS'!$I$5:$I$107,MATCH(L515,'Datos - Catálogo TIMSS'!$A$5:$A$107,0)),"No")="Sí"),1,0)</f>
        <v>0</v>
      </c>
      <c r="Y515" s="36" cm="1">
        <f t="array" ref="Y515">IF(_xlfn.IFERROR(INDEX('Datos - Catálogo TIMSS'!$J$5:$J$107,MATCH(K515,'Datos - Catálogo TIMSS'!$A$5:$A$107,0)),"No")="Sí",1,0)</f>
        <v>0</v>
      </c>
      <c r="Z515" s="36" cm="1">
        <f t="array" ref="Z515">IF(_xlfn.IFERROR(INDEX('Datos - Catálogo TIMSS'!$J$5:$J$107,MATCH(L515,'Datos - Catálogo TIMSS'!$A$5:$A$107,0)),"No")="Sí",1,0)</f>
        <v>1</v>
      </c>
      <c r="AA515" t="s" s="35">
        <v>3313</v>
      </c>
      <c r="AB515" s="39"/>
      <c r="AC515" t="str" s="39">
        <v>Biología</v>
      </c>
      <c r="AD515" t="s" s="35">
        <v>1834</v>
      </c>
      <c r="AE515" t="str" s="39" cm="1">
        <f t="array" ref="AE515">IF(AD515="","",IF(LEFT(AD515,1)="1","C1",IF(LEFT(AD515,1)="2","C2",IF(LEFT(AD515,1)="3","C3",""))))</f>
        <v>C2</v>
      </c>
      <c r="AF515" t="s" s="35">
        <v>1602</v>
      </c>
      <c r="AG515" t="s" s="35">
        <v>1617</v>
      </c>
      <c r="AH515" t="s" s="35">
        <v>1605</v>
      </c>
      <c r="AI515" t="s" s="35">
        <v>1623</v>
      </c>
      <c r="AJ515" t="s" s="35">
        <v>1602</v>
      </c>
      <c r="AK515" t="s" s="35">
        <v>790</v>
      </c>
      <c r="AL515" t="s" s="35">
        <v>765</v>
      </c>
      <c r="AM515" t="str" s="39" cm="1">
        <f t="array" ref="AM515">IF(AK515="FUERA","Fuera del marco",_xlfn.IFERROR(INDEX('Datos - Catálogo PISA'!$C$5:$C$76,MATCH(AK515,'Datos - Catálogo PISA'!$A$5:$A$76,0)),"?"))</f>
        <v>Sistemas vivos</v>
      </c>
      <c r="AN515" t="s" s="35">
        <v>1651</v>
      </c>
      <c r="AO515" s="39"/>
      <c r="AP515" s="39"/>
      <c r="AQ515" t="s" s="35">
        <v>1756</v>
      </c>
      <c r="AR515" s="39"/>
      <c r="AS515" t="s" s="35">
        <v>1771</v>
      </c>
      <c r="AT515" t="s" s="35">
        <v>254</v>
      </c>
      <c r="AU515" t="s" s="35">
        <v>4268</v>
      </c>
      <c r="AV515" t="s" s="35">
        <v>139</v>
      </c>
      <c r="AW515" t="str" s="39" cm="1">
        <f t="array" ref="AW515">AF515&amp;"; "&amp;AG515&amp;"; "&amp;AH515&amp;"; "&amp;AI515&amp;"; "&amp;AJ515</f>
        <v>E1; D1; E2; D4; E1</v>
      </c>
    </row>
    <row r="516" ht="13.65" customHeight="1">
      <c r="A516" t="s" s="35">
        <v>4269</v>
      </c>
      <c r="B516" s="36">
        <v>8</v>
      </c>
      <c r="C516" t="s" s="35">
        <v>1823</v>
      </c>
      <c r="D516" t="s" s="35">
        <v>3919</v>
      </c>
      <c r="E516" t="s" s="35">
        <v>4241</v>
      </c>
      <c r="F516" s="36">
        <v>9</v>
      </c>
      <c r="G516" t="s" s="35">
        <v>816</v>
      </c>
      <c r="H516" t="s" s="35">
        <v>4270</v>
      </c>
      <c r="I516" t="s" s="120">
        <v>4271</v>
      </c>
      <c r="J516" t="s" s="35">
        <v>1164</v>
      </c>
      <c r="K516" t="s" s="35">
        <v>1207</v>
      </c>
      <c r="L516" s="39"/>
      <c r="M516" t="str" s="39">
        <v>Biología</v>
      </c>
      <c r="N516" t="str" s="39">
        <v>Investigaciones biológicas</v>
      </c>
      <c r="O516" t="str" s="39" cm="1">
        <f t="array" ref="O516">IF(L516="","",_xlfn.IFERROR(INDEX('Datos - Catálogo TIMSS'!$C$5:$C$107,MATCH(L516,'Datos - Catálogo TIMSS'!$A$5:$A$107,0)),"?"))</f>
      </c>
      <c r="P516" t="s" s="35">
        <v>291</v>
      </c>
      <c r="Q516" t="s" s="120">
        <v>4272</v>
      </c>
      <c r="R516" t="s" s="120">
        <v>3592</v>
      </c>
      <c r="S516" s="121" cm="1">
        <f t="array" ref="S516">_xlfn.IFERROR(ISNUMBER(SEARCH("Conocer",$R516))/(ISNUMBER(SEARCH("Conocer",$R516))+ISNUMBER(SEARCH("Aplicar",$R516))+ISNUMBER(SEARCH("Razonar",$R516))),0)</f>
        <v>0</v>
      </c>
      <c r="T516" s="121" cm="1">
        <f t="array" ref="T516">_xlfn.IFERROR(ISNUMBER(SEARCH("Aplicar",$R516))/(ISNUMBER(SEARCH("Conocer",$R516))+ISNUMBER(SEARCH("Aplicar",$R516))+ISNUMBER(SEARCH("Razonar",$R516))),0)</f>
        <v>0</v>
      </c>
      <c r="U516" s="121" cm="1">
        <f t="array" ref="U516">_xlfn.IFERROR(ISNUMBER(SEARCH("Razonar",$R516))/(ISNUMBER(SEARCH("Conocer",$R516))+ISNUMBER(SEARCH("Aplicar",$R516))+ISNUMBER(SEARCH("Razonar",$R516))),0)</f>
        <v>1</v>
      </c>
      <c r="V516" t="s" s="35">
        <v>86</v>
      </c>
      <c r="W516" t="s" s="35">
        <v>115</v>
      </c>
      <c r="X516" s="36" cm="1">
        <f t="array" ref="X516">IF(OR(_xlfn.IFERROR(INDEX('Datos - Catálogo TIMSS'!$I$5:$I$107,MATCH(K516,'Datos - Catálogo TIMSS'!$A$5:$A$107,0)),"No")="Sí",_xlfn.IFERROR(INDEX('Datos - Catálogo TIMSS'!$I$5:$I$107,MATCH(L516,'Datos - Catálogo TIMSS'!$A$5:$A$107,0)),"No")="Sí"),1,0)</f>
        <v>0</v>
      </c>
      <c r="Y516" s="36" cm="1">
        <f t="array" ref="Y516">IF(_xlfn.IFERROR(INDEX('Datos - Catálogo TIMSS'!$J$5:$J$107,MATCH(K516,'Datos - Catálogo TIMSS'!$A$5:$A$107,0)),"No")="Sí",1,0)</f>
        <v>1</v>
      </c>
      <c r="Z516" s="36" cm="1">
        <f t="array" ref="Z516">IF(_xlfn.IFERROR(INDEX('Datos - Catálogo TIMSS'!$J$5:$J$107,MATCH(L516,'Datos - Catálogo TIMSS'!$A$5:$A$107,0)),"No")="Sí",1,0)</f>
        <v>0</v>
      </c>
      <c r="AA516" t="s" s="35">
        <v>3416</v>
      </c>
      <c r="AB516" s="39"/>
      <c r="AC516" t="str" s="39">
        <v>Biología</v>
      </c>
      <c r="AD516" t="s" s="35">
        <v>1834</v>
      </c>
      <c r="AE516" t="str" s="39" cm="1">
        <f t="array" ref="AE516">IF(AD516="","",IF(LEFT(AD516,1)="1","C1",IF(LEFT(AD516,1)="2","C2",IF(LEFT(AD516,1)="3","C3",""))))</f>
        <v>C2</v>
      </c>
      <c r="AF516" t="s" s="35">
        <v>1602</v>
      </c>
      <c r="AG516" t="s" s="35">
        <v>1607</v>
      </c>
      <c r="AH516" t="s" s="35">
        <v>1602</v>
      </c>
      <c r="AI516" t="s" s="35">
        <v>1621</v>
      </c>
      <c r="AJ516" t="s" s="35">
        <v>1615</v>
      </c>
      <c r="AK516" t="s" s="35">
        <v>790</v>
      </c>
      <c r="AL516" s="39"/>
      <c r="AM516" t="str" s="39" cm="1">
        <f t="array" ref="AM516">IF(AK516="FUERA","Fuera del marco",_xlfn.IFERROR(INDEX('Datos - Catálogo PISA'!$C$5:$C$76,MATCH(AK516,'Datos - Catálogo PISA'!$A$5:$A$76,0)),"?"))</f>
        <v>Sistemas vivos</v>
      </c>
      <c r="AN516" t="s" s="35">
        <v>1651</v>
      </c>
      <c r="AO516" t="s" s="35">
        <v>4170</v>
      </c>
      <c r="AP516" s="39"/>
      <c r="AQ516" t="s" s="35">
        <v>1756</v>
      </c>
      <c r="AR516" s="39"/>
      <c r="AS516" t="s" s="35">
        <v>1771</v>
      </c>
      <c r="AT516" t="s" s="35">
        <v>254</v>
      </c>
      <c r="AU516" t="s" s="35">
        <v>4273</v>
      </c>
      <c r="AV516" t="s" s="35">
        <v>139</v>
      </c>
      <c r="AW516" t="str" s="39" cm="1">
        <f t="array" ref="AW516">AF516&amp;"; "&amp;AG516&amp;"; "&amp;AH516&amp;"; "&amp;AI516&amp;"; "&amp;AJ516</f>
        <v>E1; E3; E1; D3; E6</v>
      </c>
    </row>
    <row r="517" ht="13.65" customHeight="1">
      <c r="A517" t="s" s="35">
        <v>4274</v>
      </c>
      <c r="B517" s="36">
        <v>8</v>
      </c>
      <c r="C517" t="s" s="35">
        <v>1823</v>
      </c>
      <c r="D517" t="s" s="35">
        <v>3919</v>
      </c>
      <c r="E517" t="s" s="35">
        <v>4241</v>
      </c>
      <c r="F517" s="36">
        <v>10</v>
      </c>
      <c r="G517" t="s" s="35">
        <v>816</v>
      </c>
      <c r="H517" t="s" s="35">
        <v>4270</v>
      </c>
      <c r="I517" t="s" s="120">
        <v>4275</v>
      </c>
      <c r="J517" t="s" s="35">
        <v>1164</v>
      </c>
      <c r="K517" t="s" s="35">
        <v>1174</v>
      </c>
      <c r="L517" s="39"/>
      <c r="M517" t="str" s="39">
        <v>Biología</v>
      </c>
      <c r="N517" t="str" s="39">
        <v>Las células y sus funciones</v>
      </c>
      <c r="O517" t="str" s="39" cm="1">
        <f t="array" ref="O517">IF(L517="","",_xlfn.IFERROR(INDEX('Datos - Catálogo TIMSS'!$C$5:$C$107,MATCH(L517,'Datos - Catálogo TIMSS'!$A$5:$A$107,0)),"?"))</f>
      </c>
      <c r="P517" t="s" s="35">
        <v>282</v>
      </c>
      <c r="Q517" t="s" s="120">
        <v>4276</v>
      </c>
      <c r="R517" t="s" s="120">
        <v>3023</v>
      </c>
      <c r="S517" s="121" cm="1">
        <f t="array" ref="S517">_xlfn.IFERROR(ISNUMBER(SEARCH("Conocer",$R517))/(ISNUMBER(SEARCH("Conocer",$R517))+ISNUMBER(SEARCH("Aplicar",$R517))+ISNUMBER(SEARCH("Razonar",$R517))),0)</f>
        <v>0</v>
      </c>
      <c r="T517" s="121" cm="1">
        <f t="array" ref="T517">_xlfn.IFERROR(ISNUMBER(SEARCH("Aplicar",$R517))/(ISNUMBER(SEARCH("Conocer",$R517))+ISNUMBER(SEARCH("Aplicar",$R517))+ISNUMBER(SEARCH("Razonar",$R517))),0)</f>
        <v>1</v>
      </c>
      <c r="U517" s="121" cm="1">
        <f t="array" ref="U517">_xlfn.IFERROR(ISNUMBER(SEARCH("Razonar",$R517))/(ISNUMBER(SEARCH("Conocer",$R517))+ISNUMBER(SEARCH("Aplicar",$R517))+ISNUMBER(SEARCH("Razonar",$R517))),0)</f>
        <v>0</v>
      </c>
      <c r="V517" t="s" s="35">
        <v>86</v>
      </c>
      <c r="W517" t="s" s="35">
        <v>115</v>
      </c>
      <c r="X517" s="36" cm="1">
        <f t="array" ref="X517">IF(OR(_xlfn.IFERROR(INDEX('Datos - Catálogo TIMSS'!$I$5:$I$107,MATCH(K517,'Datos - Catálogo TIMSS'!$A$5:$A$107,0)),"No")="Sí",_xlfn.IFERROR(INDEX('Datos - Catálogo TIMSS'!$I$5:$I$107,MATCH(L517,'Datos - Catálogo TIMSS'!$A$5:$A$107,0)),"No")="Sí"),1,0)</f>
        <v>0</v>
      </c>
      <c r="Y517" s="36" cm="1">
        <f t="array" ref="Y517">IF(_xlfn.IFERROR(INDEX('Datos - Catálogo TIMSS'!$J$5:$J$107,MATCH(K517,'Datos - Catálogo TIMSS'!$A$5:$A$107,0)),"No")="Sí",1,0)</f>
        <v>0</v>
      </c>
      <c r="Z517" s="36" cm="1">
        <f t="array" ref="Z517">IF(_xlfn.IFERROR(INDEX('Datos - Catálogo TIMSS'!$J$5:$J$107,MATCH(L517,'Datos - Catálogo TIMSS'!$A$5:$A$107,0)),"No")="Sí",1,0)</f>
        <v>0</v>
      </c>
      <c r="AA517" t="s" s="35">
        <v>3416</v>
      </c>
      <c r="AB517" t="s" s="35">
        <v>3313</v>
      </c>
      <c r="AC517" t="str" s="39">
        <v>Biología</v>
      </c>
      <c r="AD517" t="s" s="35">
        <v>1859</v>
      </c>
      <c r="AE517" t="str" s="39" cm="1">
        <f t="array" ref="AE517">IF(AD517="","",IF(LEFT(AD517,1)="1","C1",IF(LEFT(AD517,1)="2","C2",IF(LEFT(AD517,1)="3","C3",""))))</f>
        <v>C1</v>
      </c>
      <c r="AF517" t="s" s="35">
        <v>1602</v>
      </c>
      <c r="AG517" t="s" s="35">
        <v>1617</v>
      </c>
      <c r="AH517" t="s" s="35">
        <v>1602</v>
      </c>
      <c r="AI517" t="s" s="35">
        <v>1623</v>
      </c>
      <c r="AJ517" t="s" s="35">
        <v>1602</v>
      </c>
      <c r="AK517" t="s" s="35">
        <v>765</v>
      </c>
      <c r="AL517" t="s" s="35">
        <v>790</v>
      </c>
      <c r="AM517" t="str" s="39" cm="1">
        <f t="array" ref="AM517">IF(AK517="FUERA","Fuera del marco",_xlfn.IFERROR(INDEX('Datos - Catálogo PISA'!$C$5:$C$76,MATCH(AK517,'Datos - Catálogo PISA'!$A$5:$A$76,0)),"?"))</f>
        <v>Sistemas vivos</v>
      </c>
      <c r="AN517" t="s" s="35">
        <v>1651</v>
      </c>
      <c r="AO517" s="39"/>
      <c r="AP517" s="39"/>
      <c r="AQ517" t="s" s="35">
        <v>1756</v>
      </c>
      <c r="AR517" s="39"/>
      <c r="AS517" t="s" s="35">
        <v>1770</v>
      </c>
      <c r="AT517" t="s" s="35">
        <v>282</v>
      </c>
      <c r="AU517" t="s" s="35">
        <v>4277</v>
      </c>
      <c r="AV517" t="s" s="35">
        <v>139</v>
      </c>
      <c r="AW517" t="str" s="39" cm="1">
        <f t="array" ref="AW517">AF517&amp;"; "&amp;AG517&amp;"; "&amp;AH517&amp;"; "&amp;AI517&amp;"; "&amp;AJ517</f>
        <v>E1; D1; E1; D4; E1</v>
      </c>
    </row>
    <row r="518" ht="13.65" customHeight="1">
      <c r="A518" t="s" s="35">
        <v>4278</v>
      </c>
      <c r="B518" s="36">
        <v>8</v>
      </c>
      <c r="C518" t="s" s="35">
        <v>1823</v>
      </c>
      <c r="D518" t="s" s="35">
        <v>3919</v>
      </c>
      <c r="E518" t="s" s="35">
        <v>4241</v>
      </c>
      <c r="F518" s="36">
        <v>11</v>
      </c>
      <c r="G518" t="s" s="35">
        <v>816</v>
      </c>
      <c r="H518" t="s" s="35">
        <v>4270</v>
      </c>
      <c r="I518" t="s" s="120">
        <v>4279</v>
      </c>
      <c r="J518" t="s" s="35">
        <v>1164</v>
      </c>
      <c r="K518" t="s" s="35">
        <v>1207</v>
      </c>
      <c r="L518" s="39"/>
      <c r="M518" t="str" s="39">
        <v>Biología</v>
      </c>
      <c r="N518" t="str" s="39">
        <v>Investigaciones biológicas</v>
      </c>
      <c r="O518" t="str" s="39" cm="1">
        <f t="array" ref="O518">IF(L518="","",_xlfn.IFERROR(INDEX('Datos - Catálogo TIMSS'!$C$5:$C$107,MATCH(L518,'Datos - Catálogo TIMSS'!$A$5:$A$107,0)),"?"))</f>
      </c>
      <c r="P518" t="s" s="35">
        <v>291</v>
      </c>
      <c r="Q518" t="s" s="120">
        <v>4280</v>
      </c>
      <c r="R518" t="s" s="120">
        <v>4281</v>
      </c>
      <c r="S518" s="121" cm="1">
        <f t="array" ref="S518">_xlfn.IFERROR(ISNUMBER(SEARCH("Conocer",$R518))/(ISNUMBER(SEARCH("Conocer",$R518))+ISNUMBER(SEARCH("Aplicar",$R518))+ISNUMBER(SEARCH("Razonar",$R518))),0)</f>
        <v>0</v>
      </c>
      <c r="T518" s="121" cm="1">
        <f t="array" ref="T518">_xlfn.IFERROR(ISNUMBER(SEARCH("Aplicar",$R518))/(ISNUMBER(SEARCH("Conocer",$R518))+ISNUMBER(SEARCH("Aplicar",$R518))+ISNUMBER(SEARCH("Razonar",$R518))),0)</f>
        <v>0</v>
      </c>
      <c r="U518" s="121" cm="1">
        <f t="array" ref="U518">_xlfn.IFERROR(ISNUMBER(SEARCH("Razonar",$R518))/(ISNUMBER(SEARCH("Conocer",$R518))+ISNUMBER(SEARCH("Aplicar",$R518))+ISNUMBER(SEARCH("Razonar",$R518))),0)</f>
        <v>1</v>
      </c>
      <c r="V518" t="s" s="35">
        <v>86</v>
      </c>
      <c r="W518" t="s" s="35">
        <v>115</v>
      </c>
      <c r="X518" s="36" cm="1">
        <f t="array" ref="X518">IF(OR(_xlfn.IFERROR(INDEX('Datos - Catálogo TIMSS'!$I$5:$I$107,MATCH(K518,'Datos - Catálogo TIMSS'!$A$5:$A$107,0)),"No")="Sí",_xlfn.IFERROR(INDEX('Datos - Catálogo TIMSS'!$I$5:$I$107,MATCH(L518,'Datos - Catálogo TIMSS'!$A$5:$A$107,0)),"No")="Sí"),1,0)</f>
        <v>0</v>
      </c>
      <c r="Y518" s="36" cm="1">
        <f t="array" ref="Y518">IF(_xlfn.IFERROR(INDEX('Datos - Catálogo TIMSS'!$J$5:$J$107,MATCH(K518,'Datos - Catálogo TIMSS'!$A$5:$A$107,0)),"No")="Sí",1,0)</f>
        <v>1</v>
      </c>
      <c r="Z518" s="36" cm="1">
        <f t="array" ref="Z518">IF(_xlfn.IFERROR(INDEX('Datos - Catálogo TIMSS'!$J$5:$J$107,MATCH(L518,'Datos - Catálogo TIMSS'!$A$5:$A$107,0)),"No")="Sí",1,0)</f>
        <v>0</v>
      </c>
      <c r="AA518" t="s" s="35">
        <v>3416</v>
      </c>
      <c r="AB518" s="39"/>
      <c r="AC518" t="str" s="39">
        <v>Biología</v>
      </c>
      <c r="AD518" t="s" s="35">
        <v>1834</v>
      </c>
      <c r="AE518" t="str" s="39" cm="1">
        <f t="array" ref="AE518">IF(AD518="","",IF(LEFT(AD518,1)="1","C1",IF(LEFT(AD518,1)="2","C2",IF(LEFT(AD518,1)="3","C3",""))))</f>
        <v>C2</v>
      </c>
      <c r="AF518" t="s" s="35">
        <v>1602</v>
      </c>
      <c r="AG518" t="s" s="35">
        <v>1607</v>
      </c>
      <c r="AH518" t="s" s="35">
        <v>1602</v>
      </c>
      <c r="AI518" t="s" s="35">
        <v>1619</v>
      </c>
      <c r="AJ518" t="s" s="35">
        <v>1615</v>
      </c>
      <c r="AK518" t="s" s="35">
        <v>790</v>
      </c>
      <c r="AL518" s="39"/>
      <c r="AM518" t="str" s="39" cm="1">
        <f t="array" ref="AM518">IF(AK518="FUERA","Fuera del marco",_xlfn.IFERROR(INDEX('Datos - Catálogo PISA'!$C$5:$C$76,MATCH(AK518,'Datos - Catálogo PISA'!$A$5:$A$76,0)),"?"))</f>
        <v>Sistemas vivos</v>
      </c>
      <c r="AN518" t="s" s="35">
        <v>1651</v>
      </c>
      <c r="AO518" t="s" s="35">
        <v>4282</v>
      </c>
      <c r="AP518" s="39"/>
      <c r="AQ518" t="s" s="35">
        <v>1756</v>
      </c>
      <c r="AR518" s="39"/>
      <c r="AS518" t="s" s="35">
        <v>1772</v>
      </c>
      <c r="AT518" t="s" s="35">
        <v>282</v>
      </c>
      <c r="AU518" t="s" s="35">
        <v>4283</v>
      </c>
      <c r="AV518" t="s" s="35">
        <v>139</v>
      </c>
      <c r="AW518" t="str" s="39" cm="1">
        <f t="array" ref="AW518">AF518&amp;"; "&amp;AG518&amp;"; "&amp;AH518&amp;"; "&amp;AI518&amp;"; "&amp;AJ518</f>
        <v>E1; E3; E1; D2; E6</v>
      </c>
    </row>
    <row r="519" ht="13.65" customHeight="1">
      <c r="A519" t="s" s="35">
        <v>4284</v>
      </c>
      <c r="B519" s="36">
        <v>8</v>
      </c>
      <c r="C519" t="s" s="35">
        <v>1823</v>
      </c>
      <c r="D519" t="s" s="35">
        <v>3919</v>
      </c>
      <c r="E519" t="s" s="35">
        <v>4241</v>
      </c>
      <c r="F519" s="36">
        <v>12</v>
      </c>
      <c r="G519" t="s" s="35">
        <v>816</v>
      </c>
      <c r="H519" t="s" s="35">
        <v>4285</v>
      </c>
      <c r="I519" t="s" s="120">
        <v>4286</v>
      </c>
      <c r="J519" t="s" s="35">
        <v>1164</v>
      </c>
      <c r="K519" t="s" s="35">
        <v>1171</v>
      </c>
      <c r="L519" s="39"/>
      <c r="M519" t="str" s="39">
        <v>Biología</v>
      </c>
      <c r="N519" t="str" s="39">
        <v>Características y procesos vitales de los organismos</v>
      </c>
      <c r="O519" t="str" s="39" cm="1">
        <f t="array" ref="O519">IF(L519="","",_xlfn.IFERROR(INDEX('Datos - Catálogo TIMSS'!$C$5:$C$107,MATCH(L519,'Datos - Catálogo TIMSS'!$A$5:$A$107,0)),"?"))</f>
      </c>
      <c r="P519" t="s" s="35">
        <v>254</v>
      </c>
      <c r="Q519" t="s" s="120">
        <v>4287</v>
      </c>
      <c r="R519" t="s" s="120">
        <v>4288</v>
      </c>
      <c r="S519" s="121" cm="1">
        <f t="array" ref="S519">_xlfn.IFERROR(ISNUMBER(SEARCH("Conocer",$R519))/(ISNUMBER(SEARCH("Conocer",$R519))+ISNUMBER(SEARCH("Aplicar",$R519))+ISNUMBER(SEARCH("Razonar",$R519))),0)</f>
        <v>0</v>
      </c>
      <c r="T519" s="121" cm="1">
        <f t="array" ref="T519">_xlfn.IFERROR(ISNUMBER(SEARCH("Aplicar",$R519))/(ISNUMBER(SEARCH("Conocer",$R519))+ISNUMBER(SEARCH("Aplicar",$R519))+ISNUMBER(SEARCH("Razonar",$R519))),0)</f>
        <v>1</v>
      </c>
      <c r="U519" s="121" cm="1">
        <f t="array" ref="U519">_xlfn.IFERROR(ISNUMBER(SEARCH("Razonar",$R519))/(ISNUMBER(SEARCH("Conocer",$R519))+ISNUMBER(SEARCH("Aplicar",$R519))+ISNUMBER(SEARCH("Razonar",$R519))),0)</f>
        <v>0</v>
      </c>
      <c r="V519" t="s" s="35">
        <v>86</v>
      </c>
      <c r="W519" t="s" s="35">
        <v>115</v>
      </c>
      <c r="X519" s="36" cm="1">
        <f t="array" ref="X519">IF(OR(_xlfn.IFERROR(INDEX('Datos - Catálogo TIMSS'!$I$5:$I$107,MATCH(K519,'Datos - Catálogo TIMSS'!$A$5:$A$107,0)),"No")="Sí",_xlfn.IFERROR(INDEX('Datos - Catálogo TIMSS'!$I$5:$I$107,MATCH(L519,'Datos - Catálogo TIMSS'!$A$5:$A$107,0)),"No")="Sí"),1,0)</f>
        <v>1</v>
      </c>
      <c r="Y519" s="36" cm="1">
        <f t="array" ref="Y519">IF(_xlfn.IFERROR(INDEX('Datos - Catálogo TIMSS'!$J$5:$J$107,MATCH(K519,'Datos - Catálogo TIMSS'!$A$5:$A$107,0)),"No")="Sí",1,0)</f>
        <v>0</v>
      </c>
      <c r="Z519" s="36" cm="1">
        <f t="array" ref="Z519">IF(_xlfn.IFERROR(INDEX('Datos - Catálogo TIMSS'!$J$5:$J$107,MATCH(L519,'Datos - Catálogo TIMSS'!$A$5:$A$107,0)),"No")="Sí",1,0)</f>
        <v>0</v>
      </c>
      <c r="AA519" t="s" s="35">
        <v>3362</v>
      </c>
      <c r="AB519" t="s" s="35">
        <v>4289</v>
      </c>
      <c r="AC519" t="str" s="39">
        <v>Biología</v>
      </c>
      <c r="AD519" t="s" s="35">
        <v>1859</v>
      </c>
      <c r="AE519" t="str" s="39" cm="1">
        <f t="array" ref="AE519">IF(AD519="","",IF(LEFT(AD519,1)="1","C1",IF(LEFT(AD519,1)="2","C2",IF(LEFT(AD519,1)="3","C3",""))))</f>
        <v>C1</v>
      </c>
      <c r="AF519" t="s" s="35">
        <v>1602</v>
      </c>
      <c r="AG519" t="s" s="35">
        <v>1617</v>
      </c>
      <c r="AH519" t="s" s="35">
        <v>1602</v>
      </c>
      <c r="AI519" t="s" s="35">
        <v>1623</v>
      </c>
      <c r="AJ519" t="s" s="35">
        <v>1602</v>
      </c>
      <c r="AK519" t="s" s="35">
        <v>790</v>
      </c>
      <c r="AL519" t="s" s="35">
        <v>765</v>
      </c>
      <c r="AM519" t="str" s="39" cm="1">
        <f t="array" ref="AM519">IF(AK519="FUERA","Fuera del marco",_xlfn.IFERROR(INDEX('Datos - Catálogo PISA'!$C$5:$C$76,MATCH(AK519,'Datos - Catálogo PISA'!$A$5:$A$76,0)),"?"))</f>
        <v>Sistemas vivos</v>
      </c>
      <c r="AN519" t="s" s="35">
        <v>1651</v>
      </c>
      <c r="AO519" s="39"/>
      <c r="AP519" s="39"/>
      <c r="AQ519" t="s" s="35">
        <v>1756</v>
      </c>
      <c r="AR519" s="39"/>
      <c r="AS519" t="s" s="35">
        <v>1770</v>
      </c>
      <c r="AT519" t="s" s="35">
        <v>254</v>
      </c>
      <c r="AU519" t="s" s="35">
        <v>4290</v>
      </c>
      <c r="AV519" t="s" s="35">
        <v>139</v>
      </c>
      <c r="AW519" t="str" s="39" cm="1">
        <f t="array" ref="AW519">AF519&amp;"; "&amp;AG519&amp;"; "&amp;AH519&amp;"; "&amp;AI519&amp;"; "&amp;AJ519</f>
        <v>E1; D1; E1; D4; E1</v>
      </c>
    </row>
    <row r="520" ht="13.65" customHeight="1">
      <c r="A520" t="s" s="35">
        <v>4291</v>
      </c>
      <c r="B520" s="36">
        <v>8</v>
      </c>
      <c r="C520" t="s" s="35">
        <v>1823</v>
      </c>
      <c r="D520" t="s" s="35">
        <v>3919</v>
      </c>
      <c r="E520" t="s" s="35">
        <v>4241</v>
      </c>
      <c r="F520" s="36">
        <v>13</v>
      </c>
      <c r="G520" t="s" s="35">
        <v>816</v>
      </c>
      <c r="H520" t="s" s="35">
        <v>4285</v>
      </c>
      <c r="I520" t="s" s="120">
        <v>4292</v>
      </c>
      <c r="J520" t="s" s="35">
        <v>1164</v>
      </c>
      <c r="K520" t="s" s="35">
        <v>1171</v>
      </c>
      <c r="L520" t="s" s="35">
        <v>1207</v>
      </c>
      <c r="M520" t="str" s="39">
        <v>Biología</v>
      </c>
      <c r="N520" t="str" s="39">
        <v>Características y procesos vitales de los organismos</v>
      </c>
      <c r="O520" t="str" s="39" cm="1">
        <f t="array" ref="O520">IF(L520="","",_xlfn.IFERROR(INDEX('Datos - Catálogo TIMSS'!$C$5:$C$107,MATCH(L520,'Datos - Catálogo TIMSS'!$A$5:$A$107,0)),"?"))</f>
        <v>Biología</v>
      </c>
      <c r="P520" t="s" s="35">
        <v>254</v>
      </c>
      <c r="Q520" t="s" s="120">
        <v>4293</v>
      </c>
      <c r="R520" t="s" s="120">
        <v>4294</v>
      </c>
      <c r="S520" s="121" cm="1">
        <f t="array" ref="S520">_xlfn.IFERROR(ISNUMBER(SEARCH("Conocer",$R520))/(ISNUMBER(SEARCH("Conocer",$R520))+ISNUMBER(SEARCH("Aplicar",$R520))+ISNUMBER(SEARCH("Razonar",$R520))),0)</f>
        <v>0</v>
      </c>
      <c r="T520" s="121" cm="1">
        <f t="array" ref="T520">_xlfn.IFERROR(ISNUMBER(SEARCH("Aplicar",$R520))/(ISNUMBER(SEARCH("Conocer",$R520))+ISNUMBER(SEARCH("Aplicar",$R520))+ISNUMBER(SEARCH("Razonar",$R520))),0)</f>
        <v>0.5</v>
      </c>
      <c r="U520" s="121" cm="1">
        <f t="array" ref="U520">_xlfn.IFERROR(ISNUMBER(SEARCH("Razonar",$R520))/(ISNUMBER(SEARCH("Conocer",$R520))+ISNUMBER(SEARCH("Aplicar",$R520))+ISNUMBER(SEARCH("Razonar",$R520))),0)</f>
        <v>0.5</v>
      </c>
      <c r="V520" t="s" s="35">
        <v>86</v>
      </c>
      <c r="W520" t="s" s="35">
        <v>115</v>
      </c>
      <c r="X520" s="36" cm="1">
        <f t="array" ref="X520">IF(OR(_xlfn.IFERROR(INDEX('Datos - Catálogo TIMSS'!$I$5:$I$107,MATCH(K520,'Datos - Catálogo TIMSS'!$A$5:$A$107,0)),"No")="Sí",_xlfn.IFERROR(INDEX('Datos - Catálogo TIMSS'!$I$5:$I$107,MATCH(L520,'Datos - Catálogo TIMSS'!$A$5:$A$107,0)),"No")="Sí"),1,0)</f>
        <v>1</v>
      </c>
      <c r="Y520" s="36" cm="1">
        <f t="array" ref="Y520">IF(_xlfn.IFERROR(INDEX('Datos - Catálogo TIMSS'!$J$5:$J$107,MATCH(K520,'Datos - Catálogo TIMSS'!$A$5:$A$107,0)),"No")="Sí",1,0)</f>
        <v>0</v>
      </c>
      <c r="Z520" s="36" cm="1">
        <f t="array" ref="Z520">IF(_xlfn.IFERROR(INDEX('Datos - Catálogo TIMSS'!$J$5:$J$107,MATCH(L520,'Datos - Catálogo TIMSS'!$A$5:$A$107,0)),"No")="Sí",1,0)</f>
        <v>1</v>
      </c>
      <c r="AA520" t="s" s="35">
        <v>3362</v>
      </c>
      <c r="AB520" t="s" s="35">
        <v>4289</v>
      </c>
      <c r="AC520" t="str" s="39">
        <v>Biología</v>
      </c>
      <c r="AD520" t="s" s="35">
        <v>1834</v>
      </c>
      <c r="AE520" t="str" s="39" cm="1">
        <f t="array" ref="AE520">IF(AD520="","",IF(LEFT(AD520,1)="1","C1",IF(LEFT(AD520,1)="2","C2",IF(LEFT(AD520,1)="3","C3",""))))</f>
        <v>C2</v>
      </c>
      <c r="AF520" t="s" s="35">
        <v>1602</v>
      </c>
      <c r="AG520" t="s" s="35">
        <v>1607</v>
      </c>
      <c r="AH520" t="s" s="35">
        <v>1602</v>
      </c>
      <c r="AI520" t="s" s="35">
        <v>1623</v>
      </c>
      <c r="AJ520" t="s" s="35">
        <v>1615</v>
      </c>
      <c r="AK520" t="s" s="35">
        <v>765</v>
      </c>
      <c r="AL520" t="s" s="35">
        <v>790</v>
      </c>
      <c r="AM520" t="str" s="39" cm="1">
        <f t="array" ref="AM520">IF(AK520="FUERA","Fuera del marco",_xlfn.IFERROR(INDEX('Datos - Catálogo PISA'!$C$5:$C$76,MATCH(AK520,'Datos - Catálogo PISA'!$A$5:$A$76,0)),"?"))</f>
        <v>Sistemas vivos</v>
      </c>
      <c r="AN520" t="s" s="35">
        <v>1651</v>
      </c>
      <c r="AO520" t="s" s="35">
        <v>4212</v>
      </c>
      <c r="AP520" s="39"/>
      <c r="AQ520" t="s" s="35">
        <v>1756</v>
      </c>
      <c r="AR520" s="39"/>
      <c r="AS520" t="s" s="35">
        <v>1771</v>
      </c>
      <c r="AT520" t="s" s="35">
        <v>254</v>
      </c>
      <c r="AU520" t="s" s="35">
        <v>4295</v>
      </c>
      <c r="AV520" t="s" s="35">
        <v>139</v>
      </c>
      <c r="AW520" t="str" s="39" cm="1">
        <f t="array" ref="AW520">AF520&amp;"; "&amp;AG520&amp;"; "&amp;AH520&amp;"; "&amp;AI520&amp;"; "&amp;AJ520</f>
        <v>E1; E3; E1; D4; E6</v>
      </c>
    </row>
    <row r="521" ht="13.65" customHeight="1">
      <c r="A521" t="s" s="35">
        <v>4296</v>
      </c>
      <c r="B521" s="36">
        <v>8</v>
      </c>
      <c r="C521" t="s" s="35">
        <v>1823</v>
      </c>
      <c r="D521" t="s" s="35">
        <v>3919</v>
      </c>
      <c r="E521" t="s" s="35">
        <v>4241</v>
      </c>
      <c r="F521" s="36">
        <v>14</v>
      </c>
      <c r="G521" t="s" s="35">
        <v>816</v>
      </c>
      <c r="H521" t="s" s="35">
        <v>4285</v>
      </c>
      <c r="I521" t="s" s="120">
        <v>4297</v>
      </c>
      <c r="J521" t="s" s="35">
        <v>1164</v>
      </c>
      <c r="K521" t="s" s="35">
        <v>1171</v>
      </c>
      <c r="L521" s="39"/>
      <c r="M521" t="str" s="39">
        <v>Biología</v>
      </c>
      <c r="N521" t="str" s="39">
        <v>Características y procesos vitales de los organismos</v>
      </c>
      <c r="O521" t="str" s="39" cm="1">
        <f t="array" ref="O521">IF(L521="","",_xlfn.IFERROR(INDEX('Datos - Catálogo TIMSS'!$C$5:$C$107,MATCH(L521,'Datos - Catálogo TIMSS'!$A$5:$A$107,0)),"?"))</f>
      </c>
      <c r="P521" t="s" s="35">
        <v>254</v>
      </c>
      <c r="Q521" t="s" s="120">
        <v>4298</v>
      </c>
      <c r="R521" t="s" s="120">
        <v>3297</v>
      </c>
      <c r="S521" s="121" cm="1">
        <f t="array" ref="S521">_xlfn.IFERROR(ISNUMBER(SEARCH("Conocer",$R521))/(ISNUMBER(SEARCH("Conocer",$R521))+ISNUMBER(SEARCH("Aplicar",$R521))+ISNUMBER(SEARCH("Razonar",$R521))),0)</f>
        <v>1</v>
      </c>
      <c r="T521" s="121" cm="1">
        <f t="array" ref="T521">_xlfn.IFERROR(ISNUMBER(SEARCH("Aplicar",$R521))/(ISNUMBER(SEARCH("Conocer",$R521))+ISNUMBER(SEARCH("Aplicar",$R521))+ISNUMBER(SEARCH("Razonar",$R521))),0)</f>
        <v>0</v>
      </c>
      <c r="U521" s="121" cm="1">
        <f t="array" ref="U521">_xlfn.IFERROR(ISNUMBER(SEARCH("Razonar",$R521))/(ISNUMBER(SEARCH("Conocer",$R521))+ISNUMBER(SEARCH("Aplicar",$R521))+ISNUMBER(SEARCH("Razonar",$R521))),0)</f>
        <v>0</v>
      </c>
      <c r="V521" t="s" s="35">
        <v>86</v>
      </c>
      <c r="W521" t="s" s="35">
        <v>115</v>
      </c>
      <c r="X521" s="36" cm="1">
        <f t="array" ref="X521">IF(OR(_xlfn.IFERROR(INDEX('Datos - Catálogo TIMSS'!$I$5:$I$107,MATCH(K521,'Datos - Catálogo TIMSS'!$A$5:$A$107,0)),"No")="Sí",_xlfn.IFERROR(INDEX('Datos - Catálogo TIMSS'!$I$5:$I$107,MATCH(L521,'Datos - Catálogo TIMSS'!$A$5:$A$107,0)),"No")="Sí"),1,0)</f>
        <v>1</v>
      </c>
      <c r="Y521" s="36" cm="1">
        <f t="array" ref="Y521">IF(_xlfn.IFERROR(INDEX('Datos - Catálogo TIMSS'!$J$5:$J$107,MATCH(K521,'Datos - Catálogo TIMSS'!$A$5:$A$107,0)),"No")="Sí",1,0)</f>
        <v>0</v>
      </c>
      <c r="Z521" s="36" cm="1">
        <f t="array" ref="Z521">IF(_xlfn.IFERROR(INDEX('Datos - Catálogo TIMSS'!$J$5:$J$107,MATCH(L521,'Datos - Catálogo TIMSS'!$A$5:$A$107,0)),"No")="Sí",1,0)</f>
        <v>0</v>
      </c>
      <c r="AA521" t="s" s="35">
        <v>3362</v>
      </c>
      <c r="AB521" t="s" s="35">
        <v>3339</v>
      </c>
      <c r="AC521" t="str" s="39">
        <v>Biología</v>
      </c>
      <c r="AD521" t="s" s="35">
        <v>1859</v>
      </c>
      <c r="AE521" t="str" s="39" cm="1">
        <f t="array" ref="AE521">IF(AD521="","",IF(LEFT(AD521,1)="1","C1",IF(LEFT(AD521,1)="2","C2",IF(LEFT(AD521,1)="3","C3",""))))</f>
        <v>C1</v>
      </c>
      <c r="AF521" t="s" s="35">
        <v>1602</v>
      </c>
      <c r="AG521" t="s" s="35">
        <v>1617</v>
      </c>
      <c r="AH521" t="s" s="35">
        <v>1605</v>
      </c>
      <c r="AI521" t="s" s="35">
        <v>1623</v>
      </c>
      <c r="AJ521" t="s" s="35">
        <v>1615</v>
      </c>
      <c r="AK521" t="s" s="35">
        <v>790</v>
      </c>
      <c r="AL521" t="s" s="35">
        <v>765</v>
      </c>
      <c r="AM521" t="str" s="39" cm="1">
        <f t="array" ref="AM521">IF(AK521="FUERA","Fuera del marco",_xlfn.IFERROR(INDEX('Datos - Catálogo PISA'!$C$5:$C$76,MATCH(AK521,'Datos - Catálogo PISA'!$A$5:$A$76,0)),"?"))</f>
        <v>Sistemas vivos</v>
      </c>
      <c r="AN521" t="s" s="35">
        <v>1651</v>
      </c>
      <c r="AO521" s="39"/>
      <c r="AP521" s="39"/>
      <c r="AQ521" t="s" s="35">
        <v>1756</v>
      </c>
      <c r="AR521" s="39"/>
      <c r="AS521" t="s" s="35">
        <v>1771</v>
      </c>
      <c r="AT521" t="s" s="35">
        <v>254</v>
      </c>
      <c r="AU521" t="s" s="35">
        <v>4299</v>
      </c>
      <c r="AV521" t="s" s="35">
        <v>139</v>
      </c>
      <c r="AW521" t="str" s="39" cm="1">
        <f t="array" ref="AW521">AF521&amp;"; "&amp;AG521&amp;"; "&amp;AH521&amp;"; "&amp;AI521&amp;"; "&amp;AJ521</f>
        <v>E1; D1; E2; D4; E6</v>
      </c>
    </row>
    <row r="522" ht="13.65" customHeight="1">
      <c r="A522" t="s" s="35">
        <v>4300</v>
      </c>
      <c r="B522" s="36">
        <v>8</v>
      </c>
      <c r="C522" t="s" s="35">
        <v>1823</v>
      </c>
      <c r="D522" t="s" s="35">
        <v>3919</v>
      </c>
      <c r="E522" t="s" s="35">
        <v>4301</v>
      </c>
      <c r="F522" s="36">
        <v>3</v>
      </c>
      <c r="G522" t="s" s="35">
        <v>453</v>
      </c>
      <c r="H522" t="s" s="35">
        <v>4302</v>
      </c>
      <c r="I522" t="s" s="120">
        <v>4303</v>
      </c>
      <c r="J522" t="s" s="35">
        <v>1164</v>
      </c>
      <c r="K522" t="s" s="35">
        <v>1174</v>
      </c>
      <c r="L522" s="39"/>
      <c r="M522" t="str" s="39">
        <v>Biología</v>
      </c>
      <c r="N522" t="str" s="39">
        <v>Las células y sus funciones</v>
      </c>
      <c r="O522" t="str" s="39" cm="1">
        <f t="array" ref="O522">IF(L522="","",_xlfn.IFERROR(INDEX('Datos - Catálogo TIMSS'!$C$5:$C$107,MATCH(L522,'Datos - Catálogo TIMSS'!$A$5:$A$107,0)),"?"))</f>
      </c>
      <c r="P522" t="s" s="35">
        <v>254</v>
      </c>
      <c r="Q522" t="s" s="120">
        <v>4304</v>
      </c>
      <c r="R522" t="s" s="120">
        <v>3423</v>
      </c>
      <c r="S522" s="121" cm="1">
        <f t="array" ref="S522">_xlfn.IFERROR(ISNUMBER(SEARCH("Conocer",$R522))/(ISNUMBER(SEARCH("Conocer",$R522))+ISNUMBER(SEARCH("Aplicar",$R522))+ISNUMBER(SEARCH("Razonar",$R522))),0)</f>
        <v>1</v>
      </c>
      <c r="T522" s="121" cm="1">
        <f t="array" ref="T522">_xlfn.IFERROR(ISNUMBER(SEARCH("Aplicar",$R522))/(ISNUMBER(SEARCH("Conocer",$R522))+ISNUMBER(SEARCH("Aplicar",$R522))+ISNUMBER(SEARCH("Razonar",$R522))),0)</f>
        <v>0</v>
      </c>
      <c r="U522" s="121" cm="1">
        <f t="array" ref="U522">_xlfn.IFERROR(ISNUMBER(SEARCH("Razonar",$R522))/(ISNUMBER(SEARCH("Conocer",$R522))+ISNUMBER(SEARCH("Aplicar",$R522))+ISNUMBER(SEARCH("Razonar",$R522))),0)</f>
        <v>0</v>
      </c>
      <c r="V522" t="s" s="35">
        <v>86</v>
      </c>
      <c r="W522" t="s" s="35">
        <v>115</v>
      </c>
      <c r="X522" s="36" cm="1">
        <f t="array" ref="X522">IF(OR(_xlfn.IFERROR(INDEX('Datos - Catálogo TIMSS'!$I$5:$I$107,MATCH(K522,'Datos - Catálogo TIMSS'!$A$5:$A$107,0)),"No")="Sí",_xlfn.IFERROR(INDEX('Datos - Catálogo TIMSS'!$I$5:$I$107,MATCH(L522,'Datos - Catálogo TIMSS'!$A$5:$A$107,0)),"No")="Sí"),1,0)</f>
        <v>0</v>
      </c>
      <c r="Y522" s="36" cm="1">
        <f t="array" ref="Y522">IF(_xlfn.IFERROR(INDEX('Datos - Catálogo TIMSS'!$J$5:$J$107,MATCH(K522,'Datos - Catálogo TIMSS'!$A$5:$A$107,0)),"No")="Sí",1,0)</f>
        <v>0</v>
      </c>
      <c r="Z522" s="36" cm="1">
        <f t="array" ref="Z522">IF(_xlfn.IFERROR(INDEX('Datos - Catálogo TIMSS'!$J$5:$J$107,MATCH(L522,'Datos - Catálogo TIMSS'!$A$5:$A$107,0)),"No")="Sí",1,0)</f>
        <v>0</v>
      </c>
      <c r="AA522" t="s" s="35">
        <v>3313</v>
      </c>
      <c r="AB522" s="39"/>
      <c r="AC522" t="str" s="39">
        <v>Biología</v>
      </c>
      <c r="AD522" t="s" s="35">
        <v>1859</v>
      </c>
      <c r="AE522" t="str" s="39" cm="1">
        <f t="array" ref="AE522">IF(AD522="","",IF(LEFT(AD522,1)="1","C1",IF(LEFT(AD522,1)="2","C2",IF(LEFT(AD522,1)="3","C3",""))))</f>
        <v>C1</v>
      </c>
      <c r="AF522" t="s" s="35">
        <v>1602</v>
      </c>
      <c r="AG522" t="s" s="35">
        <v>1617</v>
      </c>
      <c r="AH522" t="s" s="35">
        <v>1602</v>
      </c>
      <c r="AI522" t="s" s="35">
        <v>1623</v>
      </c>
      <c r="AJ522" t="s" s="35">
        <v>1602</v>
      </c>
      <c r="AK522" t="s" s="35">
        <v>790</v>
      </c>
      <c r="AL522" t="s" s="35">
        <v>765</v>
      </c>
      <c r="AM522" t="str" s="39" cm="1">
        <f t="array" ref="AM522">IF(AK522="FUERA","Fuera del marco",_xlfn.IFERROR(INDEX('Datos - Catálogo PISA'!$C$5:$C$76,MATCH(AK522,'Datos - Catálogo PISA'!$A$5:$A$76,0)),"?"))</f>
        <v>Sistemas vivos</v>
      </c>
      <c r="AN522" t="s" s="35">
        <v>1651</v>
      </c>
      <c r="AO522" s="39"/>
      <c r="AP522" s="39"/>
      <c r="AQ522" t="s" s="35">
        <v>1756</v>
      </c>
      <c r="AR522" s="39"/>
      <c r="AS522" t="s" s="35">
        <v>1770</v>
      </c>
      <c r="AT522" t="s" s="35">
        <v>254</v>
      </c>
      <c r="AU522" t="s" s="35">
        <v>4305</v>
      </c>
      <c r="AV522" t="s" s="35">
        <v>139</v>
      </c>
      <c r="AW522" t="str" s="39" cm="1">
        <f t="array" ref="AW522">AF522&amp;"; "&amp;AG522&amp;"; "&amp;AH522&amp;"; "&amp;AI522&amp;"; "&amp;AJ522</f>
        <v>E1; D1; E1; D4; E1</v>
      </c>
    </row>
    <row r="523" ht="13.65" customHeight="1">
      <c r="A523" t="s" s="35">
        <v>4306</v>
      </c>
      <c r="B523" s="36">
        <v>8</v>
      </c>
      <c r="C523" t="s" s="35">
        <v>1823</v>
      </c>
      <c r="D523" t="s" s="35">
        <v>3919</v>
      </c>
      <c r="E523" t="s" s="35">
        <v>4301</v>
      </c>
      <c r="F523" s="36">
        <v>4</v>
      </c>
      <c r="G523" t="s" s="35">
        <v>453</v>
      </c>
      <c r="H523" t="s" s="35">
        <v>4302</v>
      </c>
      <c r="I523" t="s" s="120">
        <v>4307</v>
      </c>
      <c r="J523" t="s" s="35">
        <v>1164</v>
      </c>
      <c r="K523" t="s" s="35">
        <v>1174</v>
      </c>
      <c r="L523" s="39"/>
      <c r="M523" t="str" s="39">
        <v>Biología</v>
      </c>
      <c r="N523" t="str" s="39">
        <v>Las células y sus funciones</v>
      </c>
      <c r="O523" t="str" s="39" cm="1">
        <f t="array" ref="O523">IF(L523="","",_xlfn.IFERROR(INDEX('Datos - Catálogo TIMSS'!$C$5:$C$107,MATCH(L523,'Datos - Catálogo TIMSS'!$A$5:$A$107,0)),"?"))</f>
      </c>
      <c r="P523" t="s" s="35">
        <v>254</v>
      </c>
      <c r="Q523" t="s" s="120">
        <v>4308</v>
      </c>
      <c r="R523" t="s" s="120">
        <v>2805</v>
      </c>
      <c r="S523" s="121" cm="1">
        <f t="array" ref="S523">_xlfn.IFERROR(ISNUMBER(SEARCH("Conocer",$R523))/(ISNUMBER(SEARCH("Conocer",$R523))+ISNUMBER(SEARCH("Aplicar",$R523))+ISNUMBER(SEARCH("Razonar",$R523))),0)</f>
        <v>0</v>
      </c>
      <c r="T523" s="121" cm="1">
        <f t="array" ref="T523">_xlfn.IFERROR(ISNUMBER(SEARCH("Aplicar",$R523))/(ISNUMBER(SEARCH("Conocer",$R523))+ISNUMBER(SEARCH("Aplicar",$R523))+ISNUMBER(SEARCH("Razonar",$R523))),0)</f>
        <v>1</v>
      </c>
      <c r="U523" s="121" cm="1">
        <f t="array" ref="U523">_xlfn.IFERROR(ISNUMBER(SEARCH("Razonar",$R523))/(ISNUMBER(SEARCH("Conocer",$R523))+ISNUMBER(SEARCH("Aplicar",$R523))+ISNUMBER(SEARCH("Razonar",$R523))),0)</f>
        <v>0</v>
      </c>
      <c r="V523" t="s" s="35">
        <v>86</v>
      </c>
      <c r="W523" t="s" s="35">
        <v>115</v>
      </c>
      <c r="X523" s="36" cm="1">
        <f t="array" ref="X523">IF(OR(_xlfn.IFERROR(INDEX('Datos - Catálogo TIMSS'!$I$5:$I$107,MATCH(K523,'Datos - Catálogo TIMSS'!$A$5:$A$107,0)),"No")="Sí",_xlfn.IFERROR(INDEX('Datos - Catálogo TIMSS'!$I$5:$I$107,MATCH(L523,'Datos - Catálogo TIMSS'!$A$5:$A$107,0)),"No")="Sí"),1,0)</f>
        <v>0</v>
      </c>
      <c r="Y523" s="36" cm="1">
        <f t="array" ref="Y523">IF(_xlfn.IFERROR(INDEX('Datos - Catálogo TIMSS'!$J$5:$J$107,MATCH(K523,'Datos - Catálogo TIMSS'!$A$5:$A$107,0)),"No")="Sí",1,0)</f>
        <v>0</v>
      </c>
      <c r="Z523" s="36" cm="1">
        <f t="array" ref="Z523">IF(_xlfn.IFERROR(INDEX('Datos - Catálogo TIMSS'!$J$5:$J$107,MATCH(L523,'Datos - Catálogo TIMSS'!$A$5:$A$107,0)),"No")="Sí",1,0)</f>
        <v>0</v>
      </c>
      <c r="AA523" t="s" s="35">
        <v>3313</v>
      </c>
      <c r="AB523" s="39"/>
      <c r="AC523" t="str" s="39">
        <v>Biología</v>
      </c>
      <c r="AD523" t="s" s="35">
        <v>1859</v>
      </c>
      <c r="AE523" t="str" s="39" cm="1">
        <f t="array" ref="AE523">IF(AD523="","",IF(LEFT(AD523,1)="1","C1",IF(LEFT(AD523,1)="2","C2",IF(LEFT(AD523,1)="3","C3",""))))</f>
        <v>C1</v>
      </c>
      <c r="AF523" t="s" s="35">
        <v>1602</v>
      </c>
      <c r="AG523" t="s" s="35">
        <v>1617</v>
      </c>
      <c r="AH523" t="s" s="35">
        <v>1609</v>
      </c>
      <c r="AI523" t="s" s="35">
        <v>1609</v>
      </c>
      <c r="AJ523" t="s" s="35">
        <v>1602</v>
      </c>
      <c r="AK523" t="s" s="35">
        <v>790</v>
      </c>
      <c r="AL523" t="s" s="35">
        <v>765</v>
      </c>
      <c r="AM523" t="str" s="39" cm="1">
        <f t="array" ref="AM523">IF(AK523="FUERA","Fuera del marco",_xlfn.IFERROR(INDEX('Datos - Catálogo PISA'!$C$5:$C$76,MATCH(AK523,'Datos - Catálogo PISA'!$A$5:$A$76,0)),"?"))</f>
        <v>Sistemas vivos</v>
      </c>
      <c r="AN523" t="s" s="35">
        <v>1651</v>
      </c>
      <c r="AO523" s="39"/>
      <c r="AP523" t="s" s="35">
        <v>3534</v>
      </c>
      <c r="AQ523" t="s" s="35">
        <v>1756</v>
      </c>
      <c r="AR523" s="39"/>
      <c r="AS523" t="s" s="35">
        <v>1771</v>
      </c>
      <c r="AT523" t="s" s="35">
        <v>254</v>
      </c>
      <c r="AU523" t="s" s="35">
        <v>4309</v>
      </c>
      <c r="AV523" t="s" s="35">
        <v>139</v>
      </c>
      <c r="AW523" t="str" s="39" cm="1">
        <f t="array" ref="AW523">AF523&amp;"; "&amp;AG523&amp;"; "&amp;AH523&amp;"; "&amp;AI523&amp;"; "&amp;AJ523</f>
        <v>E1; D1; E4; E4; E1</v>
      </c>
    </row>
    <row r="524" ht="13.65" customHeight="1">
      <c r="A524" t="s" s="35">
        <v>4310</v>
      </c>
      <c r="B524" s="36">
        <v>8</v>
      </c>
      <c r="C524" t="s" s="35">
        <v>1823</v>
      </c>
      <c r="D524" t="s" s="35">
        <v>3919</v>
      </c>
      <c r="E524" t="s" s="35">
        <v>4301</v>
      </c>
      <c r="F524" s="36">
        <v>5</v>
      </c>
      <c r="G524" t="s" s="35">
        <v>453</v>
      </c>
      <c r="H524" t="s" s="35">
        <v>4302</v>
      </c>
      <c r="I524" t="s" s="120">
        <v>4311</v>
      </c>
      <c r="J524" t="s" s="35">
        <v>1164</v>
      </c>
      <c r="K524" t="s" s="35">
        <v>1174</v>
      </c>
      <c r="L524" s="39"/>
      <c r="M524" t="str" s="39">
        <v>Biología</v>
      </c>
      <c r="N524" t="str" s="39">
        <v>Las células y sus funciones</v>
      </c>
      <c r="O524" t="str" s="39" cm="1">
        <f t="array" ref="O524">IF(L524="","",_xlfn.IFERROR(INDEX('Datos - Catálogo TIMSS'!$C$5:$C$107,MATCH(L524,'Datos - Catálogo TIMSS'!$A$5:$A$107,0)),"?"))</f>
      </c>
      <c r="P524" t="s" s="35">
        <v>254</v>
      </c>
      <c r="Q524" t="s" s="120">
        <v>4312</v>
      </c>
      <c r="R524" t="s" s="120">
        <v>3297</v>
      </c>
      <c r="S524" s="121" cm="1">
        <f t="array" ref="S524">_xlfn.IFERROR(ISNUMBER(SEARCH("Conocer",$R524))/(ISNUMBER(SEARCH("Conocer",$R524))+ISNUMBER(SEARCH("Aplicar",$R524))+ISNUMBER(SEARCH("Razonar",$R524))),0)</f>
        <v>1</v>
      </c>
      <c r="T524" s="121" cm="1">
        <f t="array" ref="T524">_xlfn.IFERROR(ISNUMBER(SEARCH("Aplicar",$R524))/(ISNUMBER(SEARCH("Conocer",$R524))+ISNUMBER(SEARCH("Aplicar",$R524))+ISNUMBER(SEARCH("Razonar",$R524))),0)</f>
        <v>0</v>
      </c>
      <c r="U524" s="121" cm="1">
        <f t="array" ref="U524">_xlfn.IFERROR(ISNUMBER(SEARCH("Razonar",$R524))/(ISNUMBER(SEARCH("Conocer",$R524))+ISNUMBER(SEARCH("Aplicar",$R524))+ISNUMBER(SEARCH("Razonar",$R524))),0)</f>
        <v>0</v>
      </c>
      <c r="V524" t="s" s="35">
        <v>86</v>
      </c>
      <c r="W524" t="s" s="35">
        <v>115</v>
      </c>
      <c r="X524" s="36" cm="1">
        <f t="array" ref="X524">IF(OR(_xlfn.IFERROR(INDEX('Datos - Catálogo TIMSS'!$I$5:$I$107,MATCH(K524,'Datos - Catálogo TIMSS'!$A$5:$A$107,0)),"No")="Sí",_xlfn.IFERROR(INDEX('Datos - Catálogo TIMSS'!$I$5:$I$107,MATCH(L524,'Datos - Catálogo TIMSS'!$A$5:$A$107,0)),"No")="Sí"),1,0)</f>
        <v>0</v>
      </c>
      <c r="Y524" s="36" cm="1">
        <f t="array" ref="Y524">IF(_xlfn.IFERROR(INDEX('Datos - Catálogo TIMSS'!$J$5:$J$107,MATCH(K524,'Datos - Catálogo TIMSS'!$A$5:$A$107,0)),"No")="Sí",1,0)</f>
        <v>0</v>
      </c>
      <c r="Z524" s="36" cm="1">
        <f t="array" ref="Z524">IF(_xlfn.IFERROR(INDEX('Datos - Catálogo TIMSS'!$J$5:$J$107,MATCH(L524,'Datos - Catálogo TIMSS'!$A$5:$A$107,0)),"No")="Sí",1,0)</f>
        <v>0</v>
      </c>
      <c r="AA524" t="s" s="35">
        <v>3313</v>
      </c>
      <c r="AB524" s="39"/>
      <c r="AC524" t="str" s="39">
        <v>Biología</v>
      </c>
      <c r="AD524" t="s" s="35">
        <v>1859</v>
      </c>
      <c r="AE524" t="str" s="39" cm="1">
        <f t="array" ref="AE524">IF(AD524="","",IF(LEFT(AD524,1)="1","C1",IF(LEFT(AD524,1)="2","C2",IF(LEFT(AD524,1)="3","C3",""))))</f>
        <v>C1</v>
      </c>
      <c r="AF524" t="s" s="35">
        <v>1602</v>
      </c>
      <c r="AG524" t="s" s="35">
        <v>1617</v>
      </c>
      <c r="AH524" t="s" s="35">
        <v>1602</v>
      </c>
      <c r="AI524" t="s" s="35">
        <v>1623</v>
      </c>
      <c r="AJ524" t="s" s="35">
        <v>1615</v>
      </c>
      <c r="AK524" t="s" s="35">
        <v>790</v>
      </c>
      <c r="AL524" t="s" s="35">
        <v>765</v>
      </c>
      <c r="AM524" t="str" s="39" cm="1">
        <f t="array" ref="AM524">IF(AK524="FUERA","Fuera del marco",_xlfn.IFERROR(INDEX('Datos - Catálogo PISA'!$C$5:$C$76,MATCH(AK524,'Datos - Catálogo PISA'!$A$5:$A$76,0)),"?"))</f>
        <v>Sistemas vivos</v>
      </c>
      <c r="AN524" t="s" s="35">
        <v>1651</v>
      </c>
      <c r="AO524" s="39"/>
      <c r="AP524" s="39"/>
      <c r="AQ524" t="s" s="35">
        <v>1756</v>
      </c>
      <c r="AR524" s="39"/>
      <c r="AS524" t="s" s="35">
        <v>1771</v>
      </c>
      <c r="AT524" t="s" s="35">
        <v>254</v>
      </c>
      <c r="AU524" t="s" s="35">
        <v>4313</v>
      </c>
      <c r="AV524" t="s" s="35">
        <v>139</v>
      </c>
      <c r="AW524" t="str" s="39" cm="1">
        <f t="array" ref="AW524">AF524&amp;"; "&amp;AG524&amp;"; "&amp;AH524&amp;"; "&amp;AI524&amp;"; "&amp;AJ524</f>
        <v>E1; D1; E1; D4; E6</v>
      </c>
    </row>
    <row r="525" ht="13.65" customHeight="1">
      <c r="A525" t="s" s="35">
        <v>4314</v>
      </c>
      <c r="B525" s="36">
        <v>8</v>
      </c>
      <c r="C525" t="s" s="35">
        <v>1823</v>
      </c>
      <c r="D525" t="s" s="35">
        <v>3919</v>
      </c>
      <c r="E525" t="s" s="35">
        <v>4301</v>
      </c>
      <c r="F525" s="36">
        <v>6</v>
      </c>
      <c r="G525" t="s" s="35">
        <v>453</v>
      </c>
      <c r="H525" t="s" s="35">
        <v>4315</v>
      </c>
      <c r="I525" t="s" s="120">
        <v>4316</v>
      </c>
      <c r="J525" t="s" s="35">
        <v>1164</v>
      </c>
      <c r="K525" t="s" s="35">
        <v>1168</v>
      </c>
      <c r="L525" s="39"/>
      <c r="M525" t="str" s="39">
        <v>Biología</v>
      </c>
      <c r="N525" t="str" s="39">
        <v>Características y procesos vitales de los organismos</v>
      </c>
      <c r="O525" t="str" s="39" cm="1">
        <f t="array" ref="O525">IF(L525="","",_xlfn.IFERROR(INDEX('Datos - Catálogo TIMSS'!$C$5:$C$107,MATCH(L525,'Datos - Catálogo TIMSS'!$A$5:$A$107,0)),"?"))</f>
      </c>
      <c r="P525" t="s" s="35">
        <v>254</v>
      </c>
      <c r="Q525" t="s" s="120">
        <v>4317</v>
      </c>
      <c r="R525" t="s" s="120">
        <v>3023</v>
      </c>
      <c r="S525" s="121" cm="1">
        <f t="array" ref="S525">_xlfn.IFERROR(ISNUMBER(SEARCH("Conocer",$R525))/(ISNUMBER(SEARCH("Conocer",$R525))+ISNUMBER(SEARCH("Aplicar",$R525))+ISNUMBER(SEARCH("Razonar",$R525))),0)</f>
        <v>0</v>
      </c>
      <c r="T525" s="121" cm="1">
        <f t="array" ref="T525">_xlfn.IFERROR(ISNUMBER(SEARCH("Aplicar",$R525))/(ISNUMBER(SEARCH("Conocer",$R525))+ISNUMBER(SEARCH("Aplicar",$R525))+ISNUMBER(SEARCH("Razonar",$R525))),0)</f>
        <v>1</v>
      </c>
      <c r="U525" s="121" cm="1">
        <f t="array" ref="U525">_xlfn.IFERROR(ISNUMBER(SEARCH("Razonar",$R525))/(ISNUMBER(SEARCH("Conocer",$R525))+ISNUMBER(SEARCH("Aplicar",$R525))+ISNUMBER(SEARCH("Razonar",$R525))),0)</f>
        <v>0</v>
      </c>
      <c r="V525" t="s" s="35">
        <v>86</v>
      </c>
      <c r="W525" t="s" s="35">
        <v>115</v>
      </c>
      <c r="X525" s="36" cm="1">
        <f t="array" ref="X525">IF(OR(_xlfn.IFERROR(INDEX('Datos - Catálogo TIMSS'!$I$5:$I$107,MATCH(K525,'Datos - Catálogo TIMSS'!$A$5:$A$107,0)),"No")="Sí",_xlfn.IFERROR(INDEX('Datos - Catálogo TIMSS'!$I$5:$I$107,MATCH(L525,'Datos - Catálogo TIMSS'!$A$5:$A$107,0)),"No")="Sí"),1,0)</f>
        <v>0</v>
      </c>
      <c r="Y525" s="36" cm="1">
        <f t="array" ref="Y525">IF(_xlfn.IFERROR(INDEX('Datos - Catálogo TIMSS'!$J$5:$J$107,MATCH(K525,'Datos - Catálogo TIMSS'!$A$5:$A$107,0)),"No")="Sí",1,0)</f>
        <v>0</v>
      </c>
      <c r="Z525" s="36" cm="1">
        <f t="array" ref="Z525">IF(_xlfn.IFERROR(INDEX('Datos - Catálogo TIMSS'!$J$5:$J$107,MATCH(L525,'Datos - Catálogo TIMSS'!$A$5:$A$107,0)),"No")="Sí",1,0)</f>
        <v>0</v>
      </c>
      <c r="AA525" t="s" s="35">
        <v>3339</v>
      </c>
      <c r="AB525" s="39"/>
      <c r="AC525" t="str" s="39">
        <v>Biología</v>
      </c>
      <c r="AD525" t="s" s="35">
        <v>1859</v>
      </c>
      <c r="AE525" t="str" s="39" cm="1">
        <f t="array" ref="AE525">IF(AD525="","",IF(LEFT(AD525,1)="1","C1",IF(LEFT(AD525,1)="2","C2",IF(LEFT(AD525,1)="3","C3",""))))</f>
        <v>C1</v>
      </c>
      <c r="AF525" t="s" s="35">
        <v>1602</v>
      </c>
      <c r="AG525" t="s" s="35">
        <v>1617</v>
      </c>
      <c r="AH525" t="s" s="35">
        <v>1602</v>
      </c>
      <c r="AI525" t="s" s="35">
        <v>1623</v>
      </c>
      <c r="AJ525" t="s" s="35">
        <v>1602</v>
      </c>
      <c r="AK525" t="s" s="35">
        <v>790</v>
      </c>
      <c r="AL525" s="39"/>
      <c r="AM525" t="str" s="39" cm="1">
        <f t="array" ref="AM525">IF(AK525="FUERA","Fuera del marco",_xlfn.IFERROR(INDEX('Datos - Catálogo PISA'!$C$5:$C$76,MATCH(AK525,'Datos - Catálogo PISA'!$A$5:$A$76,0)),"?"))</f>
        <v>Sistemas vivos</v>
      </c>
      <c r="AN525" t="s" s="35">
        <v>1651</v>
      </c>
      <c r="AO525" s="39"/>
      <c r="AP525" s="39"/>
      <c r="AQ525" t="s" s="35">
        <v>1756</v>
      </c>
      <c r="AR525" s="39"/>
      <c r="AS525" t="s" s="35">
        <v>1770</v>
      </c>
      <c r="AT525" t="s" s="35">
        <v>254</v>
      </c>
      <c r="AU525" t="s" s="35">
        <v>4318</v>
      </c>
      <c r="AV525" t="s" s="35">
        <v>139</v>
      </c>
      <c r="AW525" t="str" s="39" cm="1">
        <f t="array" ref="AW525">AF525&amp;"; "&amp;AG525&amp;"; "&amp;AH525&amp;"; "&amp;AI525&amp;"; "&amp;AJ525</f>
        <v>E1; D1; E1; D4; E1</v>
      </c>
    </row>
    <row r="526" ht="13.65" customHeight="1">
      <c r="A526" t="s" s="35">
        <v>4319</v>
      </c>
      <c r="B526" s="36">
        <v>8</v>
      </c>
      <c r="C526" t="s" s="35">
        <v>1823</v>
      </c>
      <c r="D526" t="s" s="35">
        <v>3919</v>
      </c>
      <c r="E526" t="s" s="35">
        <v>4301</v>
      </c>
      <c r="F526" s="36">
        <v>7</v>
      </c>
      <c r="G526" t="s" s="35">
        <v>453</v>
      </c>
      <c r="H526" t="s" s="35">
        <v>4315</v>
      </c>
      <c r="I526" t="s" s="120">
        <v>4320</v>
      </c>
      <c r="J526" t="s" s="35">
        <v>1164</v>
      </c>
      <c r="K526" t="s" s="35">
        <v>1168</v>
      </c>
      <c r="L526" s="39"/>
      <c r="M526" t="str" s="39">
        <v>Biología</v>
      </c>
      <c r="N526" t="str" s="39">
        <v>Características y procesos vitales de los organismos</v>
      </c>
      <c r="O526" t="str" s="39" cm="1">
        <f t="array" ref="O526">IF(L526="","",_xlfn.IFERROR(INDEX('Datos - Catálogo TIMSS'!$C$5:$C$107,MATCH(L526,'Datos - Catálogo TIMSS'!$A$5:$A$107,0)),"?"))</f>
      </c>
      <c r="P526" t="s" s="35">
        <v>282</v>
      </c>
      <c r="Q526" t="s" s="120">
        <v>4321</v>
      </c>
      <c r="R526" t="s" s="120">
        <v>3344</v>
      </c>
      <c r="S526" s="121" cm="1">
        <f t="array" ref="S526">_xlfn.IFERROR(ISNUMBER(SEARCH("Conocer",$R526))/(ISNUMBER(SEARCH("Conocer",$R526))+ISNUMBER(SEARCH("Aplicar",$R526))+ISNUMBER(SEARCH("Razonar",$R526))),0)</f>
        <v>0</v>
      </c>
      <c r="T526" s="121" cm="1">
        <f t="array" ref="T526">_xlfn.IFERROR(ISNUMBER(SEARCH("Aplicar",$R526))/(ISNUMBER(SEARCH("Conocer",$R526))+ISNUMBER(SEARCH("Aplicar",$R526))+ISNUMBER(SEARCH("Razonar",$R526))),0)</f>
        <v>0.5</v>
      </c>
      <c r="U526" s="121" cm="1">
        <f t="array" ref="U526">_xlfn.IFERROR(ISNUMBER(SEARCH("Razonar",$R526))/(ISNUMBER(SEARCH("Conocer",$R526))+ISNUMBER(SEARCH("Aplicar",$R526))+ISNUMBER(SEARCH("Razonar",$R526))),0)</f>
        <v>0.5</v>
      </c>
      <c r="V526" t="s" s="35">
        <v>86</v>
      </c>
      <c r="W526" t="s" s="35">
        <v>115</v>
      </c>
      <c r="X526" s="36" cm="1">
        <f t="array" ref="X526">IF(OR(_xlfn.IFERROR(INDEX('Datos - Catálogo TIMSS'!$I$5:$I$107,MATCH(K526,'Datos - Catálogo TIMSS'!$A$5:$A$107,0)),"No")="Sí",_xlfn.IFERROR(INDEX('Datos - Catálogo TIMSS'!$I$5:$I$107,MATCH(L526,'Datos - Catálogo TIMSS'!$A$5:$A$107,0)),"No")="Sí"),1,0)</f>
        <v>0</v>
      </c>
      <c r="Y526" s="36" cm="1">
        <f t="array" ref="Y526">IF(_xlfn.IFERROR(INDEX('Datos - Catálogo TIMSS'!$J$5:$J$107,MATCH(K526,'Datos - Catálogo TIMSS'!$A$5:$A$107,0)),"No")="Sí",1,0)</f>
        <v>0</v>
      </c>
      <c r="Z526" s="36" cm="1">
        <f t="array" ref="Z526">IF(_xlfn.IFERROR(INDEX('Datos - Catálogo TIMSS'!$J$5:$J$107,MATCH(L526,'Datos - Catálogo TIMSS'!$A$5:$A$107,0)),"No")="Sí",1,0)</f>
        <v>0</v>
      </c>
      <c r="AA526" t="s" s="35">
        <v>3339</v>
      </c>
      <c r="AB526" s="39"/>
      <c r="AC526" t="str" s="39">
        <v>Biología</v>
      </c>
      <c r="AD526" t="s" s="35">
        <v>1834</v>
      </c>
      <c r="AE526" t="str" s="39" cm="1">
        <f t="array" ref="AE526">IF(AD526="","",IF(LEFT(AD526,1)="1","C1",IF(LEFT(AD526,1)="2","C2",IF(LEFT(AD526,1)="3","C3",""))))</f>
        <v>C2</v>
      </c>
      <c r="AF526" t="s" s="35">
        <v>1602</v>
      </c>
      <c r="AG526" t="s" s="35">
        <v>1607</v>
      </c>
      <c r="AH526" t="s" s="35">
        <v>1602</v>
      </c>
      <c r="AI526" t="s" s="35">
        <v>1623</v>
      </c>
      <c r="AJ526" t="s" s="35">
        <v>1615</v>
      </c>
      <c r="AK526" t="s" s="35">
        <v>790</v>
      </c>
      <c r="AL526" s="39"/>
      <c r="AM526" t="str" s="39" cm="1">
        <f t="array" ref="AM526">IF(AK526="FUERA","Fuera del marco",_xlfn.IFERROR(INDEX('Datos - Catálogo PISA'!$C$5:$C$76,MATCH(AK526,'Datos - Catálogo PISA'!$A$5:$A$76,0)),"?"))</f>
        <v>Sistemas vivos</v>
      </c>
      <c r="AN526" t="s" s="35">
        <v>1651</v>
      </c>
      <c r="AO526" t="s" s="35">
        <v>3488</v>
      </c>
      <c r="AP526" s="39"/>
      <c r="AQ526" t="s" s="35">
        <v>1751</v>
      </c>
      <c r="AR526" t="s" s="35">
        <v>1764</v>
      </c>
      <c r="AS526" t="s" s="35">
        <v>1771</v>
      </c>
      <c r="AT526" t="s" s="35">
        <v>254</v>
      </c>
      <c r="AU526" t="s" s="35">
        <v>4322</v>
      </c>
      <c r="AV526" t="s" s="35">
        <v>139</v>
      </c>
      <c r="AW526" t="str" s="39" cm="1">
        <f t="array" ref="AW526">AF526&amp;"; "&amp;AG526&amp;"; "&amp;AH526&amp;"; "&amp;AI526&amp;"; "&amp;AJ526</f>
        <v>E1; E3; E1; D4; E6</v>
      </c>
    </row>
    <row r="527" ht="13.65" customHeight="1">
      <c r="A527" t="s" s="35">
        <v>4323</v>
      </c>
      <c r="B527" s="36">
        <v>8</v>
      </c>
      <c r="C527" t="s" s="35">
        <v>1823</v>
      </c>
      <c r="D527" t="s" s="35">
        <v>3919</v>
      </c>
      <c r="E527" t="s" s="35">
        <v>4301</v>
      </c>
      <c r="F527" s="36">
        <v>8</v>
      </c>
      <c r="G527" t="s" s="35">
        <v>453</v>
      </c>
      <c r="H527" t="s" s="35">
        <v>4315</v>
      </c>
      <c r="I527" t="s" s="120">
        <v>4324</v>
      </c>
      <c r="J527" t="s" s="35">
        <v>1164</v>
      </c>
      <c r="K527" t="s" s="35">
        <v>1168</v>
      </c>
      <c r="L527" s="39"/>
      <c r="M527" t="str" s="39">
        <v>Biología</v>
      </c>
      <c r="N527" t="str" s="39">
        <v>Características y procesos vitales de los organismos</v>
      </c>
      <c r="O527" t="str" s="39" cm="1">
        <f t="array" ref="O527">IF(L527="","",_xlfn.IFERROR(INDEX('Datos - Catálogo TIMSS'!$C$5:$C$107,MATCH(L527,'Datos - Catálogo TIMSS'!$A$5:$A$107,0)),"?"))</f>
      </c>
      <c r="P527" t="s" s="35">
        <v>254</v>
      </c>
      <c r="Q527" t="s" s="120">
        <v>4325</v>
      </c>
      <c r="R527" t="s" s="120">
        <v>2798</v>
      </c>
      <c r="S527" s="121" cm="1">
        <f t="array" ref="S527">_xlfn.IFERROR(ISNUMBER(SEARCH("Conocer",$R527))/(ISNUMBER(SEARCH("Conocer",$R527))+ISNUMBER(SEARCH("Aplicar",$R527))+ISNUMBER(SEARCH("Razonar",$R527))),0)</f>
        <v>0</v>
      </c>
      <c r="T527" s="121" cm="1">
        <f t="array" ref="T527">_xlfn.IFERROR(ISNUMBER(SEARCH("Aplicar",$R527))/(ISNUMBER(SEARCH("Conocer",$R527))+ISNUMBER(SEARCH("Aplicar",$R527))+ISNUMBER(SEARCH("Razonar",$R527))),0)</f>
        <v>1</v>
      </c>
      <c r="U527" s="121" cm="1">
        <f t="array" ref="U527">_xlfn.IFERROR(ISNUMBER(SEARCH("Razonar",$R527))/(ISNUMBER(SEARCH("Conocer",$R527))+ISNUMBER(SEARCH("Aplicar",$R527))+ISNUMBER(SEARCH("Razonar",$R527))),0)</f>
        <v>0</v>
      </c>
      <c r="V527" t="s" s="35">
        <v>86</v>
      </c>
      <c r="W527" t="s" s="35">
        <v>115</v>
      </c>
      <c r="X527" s="36" cm="1">
        <f t="array" ref="X527">IF(OR(_xlfn.IFERROR(INDEX('Datos - Catálogo TIMSS'!$I$5:$I$107,MATCH(K527,'Datos - Catálogo TIMSS'!$A$5:$A$107,0)),"No")="Sí",_xlfn.IFERROR(INDEX('Datos - Catálogo TIMSS'!$I$5:$I$107,MATCH(L527,'Datos - Catálogo TIMSS'!$A$5:$A$107,0)),"No")="Sí"),1,0)</f>
        <v>0</v>
      </c>
      <c r="Y527" s="36" cm="1">
        <f t="array" ref="Y527">IF(_xlfn.IFERROR(INDEX('Datos - Catálogo TIMSS'!$J$5:$J$107,MATCH(K527,'Datos - Catálogo TIMSS'!$A$5:$A$107,0)),"No")="Sí",1,0)</f>
        <v>0</v>
      </c>
      <c r="Z527" s="36" cm="1">
        <f t="array" ref="Z527">IF(_xlfn.IFERROR(INDEX('Datos - Catálogo TIMSS'!$J$5:$J$107,MATCH(L527,'Datos - Catálogo TIMSS'!$A$5:$A$107,0)),"No")="Sí",1,0)</f>
        <v>0</v>
      </c>
      <c r="AA527" t="s" s="35">
        <v>3339</v>
      </c>
      <c r="AB527" s="39"/>
      <c r="AC527" t="str" s="39">
        <v>Biología</v>
      </c>
      <c r="AD527" t="s" s="35">
        <v>1859</v>
      </c>
      <c r="AE527" t="str" s="39" cm="1">
        <f t="array" ref="AE527">IF(AD527="","",IF(LEFT(AD527,1)="1","C1",IF(LEFT(AD527,1)="2","C2",IF(LEFT(AD527,1)="3","C3",""))))</f>
        <v>C1</v>
      </c>
      <c r="AF527" t="s" s="35">
        <v>1602</v>
      </c>
      <c r="AG527" t="s" s="35">
        <v>1617</v>
      </c>
      <c r="AH527" t="s" s="35">
        <v>1609</v>
      </c>
      <c r="AI527" t="s" s="35">
        <v>1609</v>
      </c>
      <c r="AJ527" t="s" s="35">
        <v>1607</v>
      </c>
      <c r="AK527" t="s" s="35">
        <v>790</v>
      </c>
      <c r="AL527" s="39"/>
      <c r="AM527" t="str" s="39" cm="1">
        <f t="array" ref="AM527">IF(AK527="FUERA","Fuera del marco",_xlfn.IFERROR(INDEX('Datos - Catálogo PISA'!$C$5:$C$76,MATCH(AK527,'Datos - Catálogo PISA'!$A$5:$A$76,0)),"?"))</f>
        <v>Sistemas vivos</v>
      </c>
      <c r="AN527" t="s" s="35">
        <v>1651</v>
      </c>
      <c r="AO527" s="39"/>
      <c r="AP527" t="s" s="35">
        <v>3534</v>
      </c>
      <c r="AQ527" t="s" s="35">
        <v>1756</v>
      </c>
      <c r="AR527" s="39"/>
      <c r="AS527" t="s" s="35">
        <v>1771</v>
      </c>
      <c r="AT527" t="s" s="35">
        <v>254</v>
      </c>
      <c r="AU527" t="s" s="35">
        <v>4325</v>
      </c>
      <c r="AV527" t="s" s="35">
        <v>139</v>
      </c>
      <c r="AW527" t="str" s="39" cm="1">
        <f t="array" ref="AW527">AF527&amp;"; "&amp;AG527&amp;"; "&amp;AH527&amp;"; "&amp;AI527&amp;"; "&amp;AJ527</f>
        <v>E1; D1; E4; E4; E3</v>
      </c>
    </row>
    <row r="528" ht="13.65" customHeight="1">
      <c r="A528" t="s" s="35">
        <v>4326</v>
      </c>
      <c r="B528" s="36">
        <v>8</v>
      </c>
      <c r="C528" t="s" s="35">
        <v>1823</v>
      </c>
      <c r="D528" t="s" s="35">
        <v>3919</v>
      </c>
      <c r="E528" t="s" s="35">
        <v>4301</v>
      </c>
      <c r="F528" s="36">
        <v>9</v>
      </c>
      <c r="G528" t="s" s="35">
        <v>453</v>
      </c>
      <c r="H528" t="s" s="35">
        <v>4327</v>
      </c>
      <c r="I528" t="s" s="120">
        <v>4328</v>
      </c>
      <c r="J528" t="s" s="35">
        <v>1164</v>
      </c>
      <c r="K528" t="s" s="35">
        <v>1168</v>
      </c>
      <c r="L528" t="s" s="35">
        <v>1171</v>
      </c>
      <c r="M528" t="str" s="39">
        <v>Biología</v>
      </c>
      <c r="N528" t="str" s="39">
        <v>Características y procesos vitales de los organismos</v>
      </c>
      <c r="O528" t="str" s="39" cm="1">
        <f t="array" ref="O528">IF(L528="","",_xlfn.IFERROR(INDEX('Datos - Catálogo TIMSS'!$C$5:$C$107,MATCH(L528,'Datos - Catálogo TIMSS'!$A$5:$A$107,0)),"?"))</f>
        <v>Biología</v>
      </c>
      <c r="P528" t="s" s="35">
        <v>254</v>
      </c>
      <c r="Q528" t="s" s="120">
        <v>4329</v>
      </c>
      <c r="R528" t="s" s="120">
        <v>4330</v>
      </c>
      <c r="S528" s="121" cm="1">
        <f t="array" ref="S528">_xlfn.IFERROR(ISNUMBER(SEARCH("Conocer",$R528))/(ISNUMBER(SEARCH("Conocer",$R528))+ISNUMBER(SEARCH("Aplicar",$R528))+ISNUMBER(SEARCH("Razonar",$R528))),0)</f>
        <v>0</v>
      </c>
      <c r="T528" s="121" cm="1">
        <f t="array" ref="T528">_xlfn.IFERROR(ISNUMBER(SEARCH("Aplicar",$R528))/(ISNUMBER(SEARCH("Conocer",$R528))+ISNUMBER(SEARCH("Aplicar",$R528))+ISNUMBER(SEARCH("Razonar",$R528))),0)</f>
        <v>1</v>
      </c>
      <c r="U528" s="121" cm="1">
        <f t="array" ref="U528">_xlfn.IFERROR(ISNUMBER(SEARCH("Razonar",$R528))/(ISNUMBER(SEARCH("Conocer",$R528))+ISNUMBER(SEARCH("Aplicar",$R528))+ISNUMBER(SEARCH("Razonar",$R528))),0)</f>
        <v>0</v>
      </c>
      <c r="V528" t="s" s="35">
        <v>86</v>
      </c>
      <c r="W528" t="s" s="35">
        <v>115</v>
      </c>
      <c r="X528" s="36" cm="1">
        <f t="array" ref="X528">IF(OR(_xlfn.IFERROR(INDEX('Datos - Catálogo TIMSS'!$I$5:$I$107,MATCH(K528,'Datos - Catálogo TIMSS'!$A$5:$A$107,0)),"No")="Sí",_xlfn.IFERROR(INDEX('Datos - Catálogo TIMSS'!$I$5:$I$107,MATCH(L528,'Datos - Catálogo TIMSS'!$A$5:$A$107,0)),"No")="Sí"),1,0)</f>
        <v>1</v>
      </c>
      <c r="Y528" s="36" cm="1">
        <f t="array" ref="Y528">IF(_xlfn.IFERROR(INDEX('Datos - Catálogo TIMSS'!$J$5:$J$107,MATCH(K528,'Datos - Catálogo TIMSS'!$A$5:$A$107,0)),"No")="Sí",1,0)</f>
        <v>0</v>
      </c>
      <c r="Z528" s="36" cm="1">
        <f t="array" ref="Z528">IF(_xlfn.IFERROR(INDEX('Datos - Catálogo TIMSS'!$J$5:$J$107,MATCH(L528,'Datos - Catálogo TIMSS'!$A$5:$A$107,0)),"No")="Sí",1,0)</f>
        <v>0</v>
      </c>
      <c r="AA528" t="s" s="35">
        <v>4289</v>
      </c>
      <c r="AB528" t="s" s="35">
        <v>3339</v>
      </c>
      <c r="AC528" t="str" s="39">
        <v>Biología</v>
      </c>
      <c r="AD528" t="s" s="35">
        <v>1859</v>
      </c>
      <c r="AE528" t="str" s="39" cm="1">
        <f t="array" ref="AE528">IF(AD528="","",IF(LEFT(AD528,1)="1","C1",IF(LEFT(AD528,1)="2","C2",IF(LEFT(AD528,1)="3","C3",""))))</f>
        <v>C1</v>
      </c>
      <c r="AF528" t="s" s="35">
        <v>1602</v>
      </c>
      <c r="AG528" t="s" s="35">
        <v>1617</v>
      </c>
      <c r="AH528" t="s" s="35">
        <v>1602</v>
      </c>
      <c r="AI528" t="s" s="35">
        <v>1623</v>
      </c>
      <c r="AJ528" t="s" s="35">
        <v>1615</v>
      </c>
      <c r="AK528" t="s" s="35">
        <v>790</v>
      </c>
      <c r="AL528" s="39"/>
      <c r="AM528" t="str" s="39" cm="1">
        <f t="array" ref="AM528">IF(AK528="FUERA","Fuera del marco",_xlfn.IFERROR(INDEX('Datos - Catálogo PISA'!$C$5:$C$76,MATCH(AK528,'Datos - Catálogo PISA'!$A$5:$A$76,0)),"?"))</f>
        <v>Sistemas vivos</v>
      </c>
      <c r="AN528" t="s" s="35">
        <v>1651</v>
      </c>
      <c r="AO528" t="s" s="35">
        <v>3488</v>
      </c>
      <c r="AP528" s="39"/>
      <c r="AQ528" t="s" s="35">
        <v>1751</v>
      </c>
      <c r="AR528" t="s" s="35">
        <v>1764</v>
      </c>
      <c r="AS528" t="s" s="35">
        <v>1771</v>
      </c>
      <c r="AT528" t="s" s="35">
        <v>254</v>
      </c>
      <c r="AU528" t="s" s="35">
        <v>4331</v>
      </c>
      <c r="AV528" t="s" s="35">
        <v>139</v>
      </c>
      <c r="AW528" t="str" s="39" cm="1">
        <f t="array" ref="AW528">AF528&amp;"; "&amp;AG528&amp;"; "&amp;AH528&amp;"; "&amp;AI528&amp;"; "&amp;AJ528</f>
        <v>E1; D1; E1; D4; E6</v>
      </c>
    </row>
    <row r="529" ht="13.65" customHeight="1">
      <c r="A529" t="s" s="35">
        <v>4332</v>
      </c>
      <c r="B529" s="36">
        <v>8</v>
      </c>
      <c r="C529" t="s" s="35">
        <v>1823</v>
      </c>
      <c r="D529" t="s" s="35">
        <v>3919</v>
      </c>
      <c r="E529" t="s" s="35">
        <v>4301</v>
      </c>
      <c r="F529" s="36">
        <v>10</v>
      </c>
      <c r="G529" t="s" s="35">
        <v>453</v>
      </c>
      <c r="H529" t="s" s="35">
        <v>4333</v>
      </c>
      <c r="I529" t="s" s="120">
        <v>4334</v>
      </c>
      <c r="J529" t="s" s="35">
        <v>1164</v>
      </c>
      <c r="K529" t="s" s="35">
        <v>1168</v>
      </c>
      <c r="L529" s="39"/>
      <c r="M529" t="str" s="39">
        <v>Biología</v>
      </c>
      <c r="N529" t="str" s="39">
        <v>Características y procesos vitales de los organismos</v>
      </c>
      <c r="O529" t="str" s="39" cm="1">
        <f t="array" ref="O529">IF(L529="","",_xlfn.IFERROR(INDEX('Datos - Catálogo TIMSS'!$C$5:$C$107,MATCH(L529,'Datos - Catálogo TIMSS'!$A$5:$A$107,0)),"?"))</f>
      </c>
      <c r="P529" t="s" s="35">
        <v>254</v>
      </c>
      <c r="Q529" t="s" s="120">
        <v>4335</v>
      </c>
      <c r="R529" t="s" s="120">
        <v>2066</v>
      </c>
      <c r="S529" s="121" cm="1">
        <f t="array" ref="S529">_xlfn.IFERROR(ISNUMBER(SEARCH("Conocer",$R529))/(ISNUMBER(SEARCH("Conocer",$R529))+ISNUMBER(SEARCH("Aplicar",$R529))+ISNUMBER(SEARCH("Razonar",$R529))),0)</f>
        <v>0</v>
      </c>
      <c r="T529" s="121" cm="1">
        <f t="array" ref="T529">_xlfn.IFERROR(ISNUMBER(SEARCH("Aplicar",$R529))/(ISNUMBER(SEARCH("Conocer",$R529))+ISNUMBER(SEARCH("Aplicar",$R529))+ISNUMBER(SEARCH("Razonar",$R529))),0)</f>
        <v>1</v>
      </c>
      <c r="U529" s="121" cm="1">
        <f t="array" ref="U529">_xlfn.IFERROR(ISNUMBER(SEARCH("Razonar",$R529))/(ISNUMBER(SEARCH("Conocer",$R529))+ISNUMBER(SEARCH("Aplicar",$R529))+ISNUMBER(SEARCH("Razonar",$R529))),0)</f>
        <v>0</v>
      </c>
      <c r="V529" t="s" s="35">
        <v>86</v>
      </c>
      <c r="W529" t="s" s="35">
        <v>115</v>
      </c>
      <c r="X529" s="36" cm="1">
        <f t="array" ref="X529">IF(OR(_xlfn.IFERROR(INDEX('Datos - Catálogo TIMSS'!$I$5:$I$107,MATCH(K529,'Datos - Catálogo TIMSS'!$A$5:$A$107,0)),"No")="Sí",_xlfn.IFERROR(INDEX('Datos - Catálogo TIMSS'!$I$5:$I$107,MATCH(L529,'Datos - Catálogo TIMSS'!$A$5:$A$107,0)),"No")="Sí"),1,0)</f>
        <v>0</v>
      </c>
      <c r="Y529" s="36" cm="1">
        <f t="array" ref="Y529">IF(_xlfn.IFERROR(INDEX('Datos - Catálogo TIMSS'!$J$5:$J$107,MATCH(K529,'Datos - Catálogo TIMSS'!$A$5:$A$107,0)),"No")="Sí",1,0)</f>
        <v>0</v>
      </c>
      <c r="Z529" s="36" cm="1">
        <f t="array" ref="Z529">IF(_xlfn.IFERROR(INDEX('Datos - Catálogo TIMSS'!$J$5:$J$107,MATCH(L529,'Datos - Catálogo TIMSS'!$A$5:$A$107,0)),"No")="Sí",1,0)</f>
        <v>0</v>
      </c>
      <c r="AA529" t="s" s="35">
        <v>3339</v>
      </c>
      <c r="AB529" s="39"/>
      <c r="AC529" t="str" s="39">
        <v>Biología</v>
      </c>
      <c r="AD529" t="s" s="35">
        <v>1859</v>
      </c>
      <c r="AE529" t="str" s="39" cm="1">
        <f t="array" ref="AE529">IF(AD529="","",IF(LEFT(AD529,1)="1","C1",IF(LEFT(AD529,1)="2","C2",IF(LEFT(AD529,1)="3","C3",""))))</f>
        <v>C1</v>
      </c>
      <c r="AF529" t="s" s="35">
        <v>1602</v>
      </c>
      <c r="AG529" t="s" s="35">
        <v>1617</v>
      </c>
      <c r="AH529" t="s" s="35">
        <v>1602</v>
      </c>
      <c r="AI529" t="s" s="35">
        <v>1623</v>
      </c>
      <c r="AJ529" t="s" s="35">
        <v>1602</v>
      </c>
      <c r="AK529" t="s" s="35">
        <v>790</v>
      </c>
      <c r="AL529" s="39"/>
      <c r="AM529" t="str" s="39" cm="1">
        <f t="array" ref="AM529">IF(AK529="FUERA","Fuera del marco",_xlfn.IFERROR(INDEX('Datos - Catálogo PISA'!$C$5:$C$76,MATCH(AK529,'Datos - Catálogo PISA'!$A$5:$A$76,0)),"?"))</f>
        <v>Sistemas vivos</v>
      </c>
      <c r="AN529" t="s" s="35">
        <v>1651</v>
      </c>
      <c r="AO529" s="39"/>
      <c r="AP529" s="39"/>
      <c r="AQ529" t="s" s="35">
        <v>1756</v>
      </c>
      <c r="AR529" s="39"/>
      <c r="AS529" t="s" s="35">
        <v>1770</v>
      </c>
      <c r="AT529" t="s" s="35">
        <v>254</v>
      </c>
      <c r="AU529" t="s" s="35">
        <v>4336</v>
      </c>
      <c r="AV529" t="s" s="35">
        <v>139</v>
      </c>
      <c r="AW529" t="str" s="39" cm="1">
        <f t="array" ref="AW529">AF529&amp;"; "&amp;AG529&amp;"; "&amp;AH529&amp;"; "&amp;AI529&amp;"; "&amp;AJ529</f>
        <v>E1; D1; E1; D4; E1</v>
      </c>
    </row>
    <row r="530" ht="13.65" customHeight="1">
      <c r="A530" t="s" s="35">
        <v>4337</v>
      </c>
      <c r="B530" s="36">
        <v>8</v>
      </c>
      <c r="C530" t="s" s="35">
        <v>1823</v>
      </c>
      <c r="D530" t="s" s="35">
        <v>3919</v>
      </c>
      <c r="E530" t="s" s="35">
        <v>4301</v>
      </c>
      <c r="F530" s="36">
        <v>11</v>
      </c>
      <c r="G530" t="s" s="35">
        <v>453</v>
      </c>
      <c r="H530" t="s" s="35">
        <v>4333</v>
      </c>
      <c r="I530" t="s" s="120">
        <v>4338</v>
      </c>
      <c r="J530" t="s" s="35">
        <v>1164</v>
      </c>
      <c r="K530" t="s" s="35">
        <v>1168</v>
      </c>
      <c r="L530" s="39"/>
      <c r="M530" t="str" s="39">
        <v>Biología</v>
      </c>
      <c r="N530" t="str" s="39">
        <v>Características y procesos vitales de los organismos</v>
      </c>
      <c r="O530" t="str" s="39" cm="1">
        <f t="array" ref="O530">IF(L530="","",_xlfn.IFERROR(INDEX('Datos - Catálogo TIMSS'!$C$5:$C$107,MATCH(L530,'Datos - Catálogo TIMSS'!$A$5:$A$107,0)),"?"))</f>
      </c>
      <c r="P530" t="s" s="35">
        <v>254</v>
      </c>
      <c r="Q530" t="s" s="120">
        <v>4339</v>
      </c>
      <c r="R530" t="s" s="120">
        <v>4340</v>
      </c>
      <c r="S530" s="121" cm="1">
        <f t="array" ref="S530">_xlfn.IFERROR(ISNUMBER(SEARCH("Conocer",$R530))/(ISNUMBER(SEARCH("Conocer",$R530))+ISNUMBER(SEARCH("Aplicar",$R530))+ISNUMBER(SEARCH("Razonar",$R530))),0)</f>
        <v>0</v>
      </c>
      <c r="T530" s="121" cm="1">
        <f t="array" ref="T530">_xlfn.IFERROR(ISNUMBER(SEARCH("Aplicar",$R530))/(ISNUMBER(SEARCH("Conocer",$R530))+ISNUMBER(SEARCH("Aplicar",$R530))+ISNUMBER(SEARCH("Razonar",$R530))),0)</f>
        <v>1</v>
      </c>
      <c r="U530" s="121" cm="1">
        <f t="array" ref="U530">_xlfn.IFERROR(ISNUMBER(SEARCH("Razonar",$R530))/(ISNUMBER(SEARCH("Conocer",$R530))+ISNUMBER(SEARCH("Aplicar",$R530))+ISNUMBER(SEARCH("Razonar",$R530))),0)</f>
        <v>0</v>
      </c>
      <c r="V530" t="s" s="35">
        <v>86</v>
      </c>
      <c r="W530" t="s" s="35">
        <v>115</v>
      </c>
      <c r="X530" s="36" cm="1">
        <f t="array" ref="X530">IF(OR(_xlfn.IFERROR(INDEX('Datos - Catálogo TIMSS'!$I$5:$I$107,MATCH(K530,'Datos - Catálogo TIMSS'!$A$5:$A$107,0)),"No")="Sí",_xlfn.IFERROR(INDEX('Datos - Catálogo TIMSS'!$I$5:$I$107,MATCH(L530,'Datos - Catálogo TIMSS'!$A$5:$A$107,0)),"No")="Sí"),1,0)</f>
        <v>0</v>
      </c>
      <c r="Y530" s="36" cm="1">
        <f t="array" ref="Y530">IF(_xlfn.IFERROR(INDEX('Datos - Catálogo TIMSS'!$J$5:$J$107,MATCH(K530,'Datos - Catálogo TIMSS'!$A$5:$A$107,0)),"No")="Sí",1,0)</f>
        <v>0</v>
      </c>
      <c r="Z530" s="36" cm="1">
        <f t="array" ref="Z530">IF(_xlfn.IFERROR(INDEX('Datos - Catálogo TIMSS'!$J$5:$J$107,MATCH(L530,'Datos - Catálogo TIMSS'!$A$5:$A$107,0)),"No")="Sí",1,0)</f>
        <v>0</v>
      </c>
      <c r="AA530" t="s" s="35">
        <v>3339</v>
      </c>
      <c r="AB530" s="39"/>
      <c r="AC530" t="str" s="39">
        <v>Biología</v>
      </c>
      <c r="AD530" t="s" s="35">
        <v>1834</v>
      </c>
      <c r="AE530" t="str" s="39" cm="1">
        <f t="array" ref="AE530">IF(AD530="","",IF(LEFT(AD530,1)="1","C1",IF(LEFT(AD530,1)="2","C2",IF(LEFT(AD530,1)="3","C3",""))))</f>
        <v>C2</v>
      </c>
      <c r="AF530" t="s" s="35">
        <v>1602</v>
      </c>
      <c r="AG530" t="s" s="35">
        <v>1617</v>
      </c>
      <c r="AH530" t="s" s="35">
        <v>1609</v>
      </c>
      <c r="AI530" t="s" s="35">
        <v>1621</v>
      </c>
      <c r="AJ530" t="s" s="35">
        <v>1607</v>
      </c>
      <c r="AK530" t="s" s="35">
        <v>790</v>
      </c>
      <c r="AL530" s="39"/>
      <c r="AM530" t="str" s="39" cm="1">
        <f t="array" ref="AM530">IF(AK530="FUERA","Fuera del marco",_xlfn.IFERROR(INDEX('Datos - Catálogo PISA'!$C$5:$C$76,MATCH(AK530,'Datos - Catálogo PISA'!$A$5:$A$76,0)),"?"))</f>
        <v>Sistemas vivos</v>
      </c>
      <c r="AN530" t="s" s="35">
        <v>1651</v>
      </c>
      <c r="AO530" s="39"/>
      <c r="AP530" t="s" s="35">
        <v>4341</v>
      </c>
      <c r="AQ530" t="s" s="35">
        <v>1756</v>
      </c>
      <c r="AR530" s="39"/>
      <c r="AS530" t="s" s="35">
        <v>1771</v>
      </c>
      <c r="AT530" t="s" s="35">
        <v>254</v>
      </c>
      <c r="AU530" t="s" s="35">
        <v>4342</v>
      </c>
      <c r="AV530" t="s" s="35">
        <v>139</v>
      </c>
      <c r="AW530" t="str" s="39" cm="1">
        <f t="array" ref="AW530">AF530&amp;"; "&amp;AG530&amp;"; "&amp;AH530&amp;"; "&amp;AI530&amp;"; "&amp;AJ530</f>
        <v>E1; D1; E4; D3; E3</v>
      </c>
    </row>
    <row r="531" ht="13.65" customHeight="1">
      <c r="A531" t="s" s="35">
        <v>4343</v>
      </c>
      <c r="B531" s="36">
        <v>8</v>
      </c>
      <c r="C531" t="s" s="35">
        <v>1823</v>
      </c>
      <c r="D531" t="s" s="35">
        <v>3919</v>
      </c>
      <c r="E531" t="s" s="35">
        <v>4301</v>
      </c>
      <c r="F531" s="36">
        <v>12</v>
      </c>
      <c r="G531" t="s" s="35">
        <v>453</v>
      </c>
      <c r="H531" t="s" s="35">
        <v>4344</v>
      </c>
      <c r="I531" t="s" s="120">
        <v>4345</v>
      </c>
      <c r="J531" t="s" s="35">
        <v>1164</v>
      </c>
      <c r="K531" t="s" s="35">
        <v>1168</v>
      </c>
      <c r="L531" s="39"/>
      <c r="M531" t="str" s="39">
        <v>Biología</v>
      </c>
      <c r="N531" t="str" s="39">
        <v>Características y procesos vitales de los organismos</v>
      </c>
      <c r="O531" t="str" s="39" cm="1">
        <f t="array" ref="O531">IF(L531="","",_xlfn.IFERROR(INDEX('Datos - Catálogo TIMSS'!$C$5:$C$107,MATCH(L531,'Datos - Catálogo TIMSS'!$A$5:$A$107,0)),"?"))</f>
      </c>
      <c r="P531" t="s" s="35">
        <v>254</v>
      </c>
      <c r="Q531" t="s" s="120">
        <v>4346</v>
      </c>
      <c r="R531" t="s" s="120">
        <v>2066</v>
      </c>
      <c r="S531" s="121" cm="1">
        <f t="array" ref="S531">_xlfn.IFERROR(ISNUMBER(SEARCH("Conocer",$R531))/(ISNUMBER(SEARCH("Conocer",$R531))+ISNUMBER(SEARCH("Aplicar",$R531))+ISNUMBER(SEARCH("Razonar",$R531))),0)</f>
        <v>0</v>
      </c>
      <c r="T531" s="121" cm="1">
        <f t="array" ref="T531">_xlfn.IFERROR(ISNUMBER(SEARCH("Aplicar",$R531))/(ISNUMBER(SEARCH("Conocer",$R531))+ISNUMBER(SEARCH("Aplicar",$R531))+ISNUMBER(SEARCH("Razonar",$R531))),0)</f>
        <v>1</v>
      </c>
      <c r="U531" s="121" cm="1">
        <f t="array" ref="U531">_xlfn.IFERROR(ISNUMBER(SEARCH("Razonar",$R531))/(ISNUMBER(SEARCH("Conocer",$R531))+ISNUMBER(SEARCH("Aplicar",$R531))+ISNUMBER(SEARCH("Razonar",$R531))),0)</f>
        <v>0</v>
      </c>
      <c r="V531" t="s" s="35">
        <v>86</v>
      </c>
      <c r="W531" t="s" s="35">
        <v>115</v>
      </c>
      <c r="X531" s="36" cm="1">
        <f t="array" ref="X531">IF(OR(_xlfn.IFERROR(INDEX('Datos - Catálogo TIMSS'!$I$5:$I$107,MATCH(K531,'Datos - Catálogo TIMSS'!$A$5:$A$107,0)),"No")="Sí",_xlfn.IFERROR(INDEX('Datos - Catálogo TIMSS'!$I$5:$I$107,MATCH(L531,'Datos - Catálogo TIMSS'!$A$5:$A$107,0)),"No")="Sí"),1,0)</f>
        <v>0</v>
      </c>
      <c r="Y531" s="36" cm="1">
        <f t="array" ref="Y531">IF(_xlfn.IFERROR(INDEX('Datos - Catálogo TIMSS'!$J$5:$J$107,MATCH(K531,'Datos - Catálogo TIMSS'!$A$5:$A$107,0)),"No")="Sí",1,0)</f>
        <v>0</v>
      </c>
      <c r="Z531" s="36" cm="1">
        <f t="array" ref="Z531">IF(_xlfn.IFERROR(INDEX('Datos - Catálogo TIMSS'!$J$5:$J$107,MATCH(L531,'Datos - Catálogo TIMSS'!$A$5:$A$107,0)),"No")="Sí",1,0)</f>
        <v>0</v>
      </c>
      <c r="AA531" t="s" s="35">
        <v>3339</v>
      </c>
      <c r="AB531" s="39"/>
      <c r="AC531" t="str" s="39">
        <v>Biología</v>
      </c>
      <c r="AD531" t="s" s="35">
        <v>1859</v>
      </c>
      <c r="AE531" t="str" s="39" cm="1">
        <f t="array" ref="AE531">IF(AD531="","",IF(LEFT(AD531,1)="1","C1",IF(LEFT(AD531,1)="2","C2",IF(LEFT(AD531,1)="3","C3",""))))</f>
        <v>C1</v>
      </c>
      <c r="AF531" t="s" s="35">
        <v>1602</v>
      </c>
      <c r="AG531" t="s" s="35">
        <v>1617</v>
      </c>
      <c r="AH531" t="s" s="35">
        <v>1602</v>
      </c>
      <c r="AI531" t="s" s="35">
        <v>1623</v>
      </c>
      <c r="AJ531" t="s" s="35">
        <v>1602</v>
      </c>
      <c r="AK531" t="s" s="35">
        <v>790</v>
      </c>
      <c r="AL531" s="39"/>
      <c r="AM531" t="str" s="39" cm="1">
        <f t="array" ref="AM531">IF(AK531="FUERA","Fuera del marco",_xlfn.IFERROR(INDEX('Datos - Catálogo PISA'!$C$5:$C$76,MATCH(AK531,'Datos - Catálogo PISA'!$A$5:$A$76,0)),"?"))</f>
        <v>Sistemas vivos</v>
      </c>
      <c r="AN531" t="s" s="35">
        <v>1651</v>
      </c>
      <c r="AO531" s="39"/>
      <c r="AP531" s="39"/>
      <c r="AQ531" t="s" s="35">
        <v>1756</v>
      </c>
      <c r="AR531" s="39"/>
      <c r="AS531" t="s" s="35">
        <v>1770</v>
      </c>
      <c r="AT531" t="s" s="35">
        <v>254</v>
      </c>
      <c r="AU531" t="s" s="35">
        <v>4347</v>
      </c>
      <c r="AV531" t="s" s="35">
        <v>139</v>
      </c>
      <c r="AW531" t="str" s="39" cm="1">
        <f t="array" ref="AW531">AF531&amp;"; "&amp;AG531&amp;"; "&amp;AH531&amp;"; "&amp;AI531&amp;"; "&amp;AJ531</f>
        <v>E1; D1; E1; D4; E1</v>
      </c>
    </row>
    <row r="532" ht="13.65" customHeight="1">
      <c r="A532" t="s" s="35">
        <v>4348</v>
      </c>
      <c r="B532" s="36">
        <v>8</v>
      </c>
      <c r="C532" t="s" s="35">
        <v>1823</v>
      </c>
      <c r="D532" t="s" s="35">
        <v>3919</v>
      </c>
      <c r="E532" t="s" s="35">
        <v>4301</v>
      </c>
      <c r="F532" s="36">
        <v>13</v>
      </c>
      <c r="G532" t="s" s="35">
        <v>453</v>
      </c>
      <c r="H532" t="s" s="35">
        <v>4344</v>
      </c>
      <c r="I532" t="s" s="120">
        <v>4349</v>
      </c>
      <c r="J532" t="s" s="35">
        <v>1164</v>
      </c>
      <c r="K532" t="s" s="35">
        <v>1168</v>
      </c>
      <c r="L532" s="39"/>
      <c r="M532" t="str" s="39">
        <v>Biología</v>
      </c>
      <c r="N532" t="str" s="39">
        <v>Características y procesos vitales de los organismos</v>
      </c>
      <c r="O532" t="str" s="39" cm="1">
        <f t="array" ref="O532">IF(L532="","",_xlfn.IFERROR(INDEX('Datos - Catálogo TIMSS'!$C$5:$C$107,MATCH(L532,'Datos - Catálogo TIMSS'!$A$5:$A$107,0)),"?"))</f>
      </c>
      <c r="P532" t="s" s="35">
        <v>254</v>
      </c>
      <c r="Q532" t="s" s="120">
        <v>4350</v>
      </c>
      <c r="R532" t="s" s="120">
        <v>4351</v>
      </c>
      <c r="S532" s="121" cm="1">
        <f t="array" ref="S532">_xlfn.IFERROR(ISNUMBER(SEARCH("Conocer",$R532))/(ISNUMBER(SEARCH("Conocer",$R532))+ISNUMBER(SEARCH("Aplicar",$R532))+ISNUMBER(SEARCH("Razonar",$R532))),0)</f>
        <v>0</v>
      </c>
      <c r="T532" s="121" cm="1">
        <f t="array" ref="T532">_xlfn.IFERROR(ISNUMBER(SEARCH("Aplicar",$R532))/(ISNUMBER(SEARCH("Conocer",$R532))+ISNUMBER(SEARCH("Aplicar",$R532))+ISNUMBER(SEARCH("Razonar",$R532))),0)</f>
        <v>0</v>
      </c>
      <c r="U532" s="121" cm="1">
        <f t="array" ref="U532">_xlfn.IFERROR(ISNUMBER(SEARCH("Razonar",$R532))/(ISNUMBER(SEARCH("Conocer",$R532))+ISNUMBER(SEARCH("Aplicar",$R532))+ISNUMBER(SEARCH("Razonar",$R532))),0)</f>
        <v>1</v>
      </c>
      <c r="V532" t="s" s="35">
        <v>86</v>
      </c>
      <c r="W532" t="s" s="35">
        <v>115</v>
      </c>
      <c r="X532" s="36" cm="1">
        <f t="array" ref="X532">IF(OR(_xlfn.IFERROR(INDEX('Datos - Catálogo TIMSS'!$I$5:$I$107,MATCH(K532,'Datos - Catálogo TIMSS'!$A$5:$A$107,0)),"No")="Sí",_xlfn.IFERROR(INDEX('Datos - Catálogo TIMSS'!$I$5:$I$107,MATCH(L532,'Datos - Catálogo TIMSS'!$A$5:$A$107,0)),"No")="Sí"),1,0)</f>
        <v>0</v>
      </c>
      <c r="Y532" s="36" cm="1">
        <f t="array" ref="Y532">IF(_xlfn.IFERROR(INDEX('Datos - Catálogo TIMSS'!$J$5:$J$107,MATCH(K532,'Datos - Catálogo TIMSS'!$A$5:$A$107,0)),"No")="Sí",1,0)</f>
        <v>0</v>
      </c>
      <c r="Z532" s="36" cm="1">
        <f t="array" ref="Z532">IF(_xlfn.IFERROR(INDEX('Datos - Catálogo TIMSS'!$J$5:$J$107,MATCH(L532,'Datos - Catálogo TIMSS'!$A$5:$A$107,0)),"No")="Sí",1,0)</f>
        <v>0</v>
      </c>
      <c r="AA532" t="s" s="35">
        <v>3339</v>
      </c>
      <c r="AB532" s="39"/>
      <c r="AC532" t="str" s="39">
        <v>Biología</v>
      </c>
      <c r="AD532" t="s" s="35">
        <v>1834</v>
      </c>
      <c r="AE532" t="str" s="39" cm="1">
        <f t="array" ref="AE532">IF(AD532="","",IF(LEFT(AD532,1)="1","C1",IF(LEFT(AD532,1)="2","C2",IF(LEFT(AD532,1)="3","C3",""))))</f>
        <v>C2</v>
      </c>
      <c r="AF532" t="s" s="35">
        <v>1602</v>
      </c>
      <c r="AG532" t="s" s="35">
        <v>1607</v>
      </c>
      <c r="AH532" t="s" s="35">
        <v>1602</v>
      </c>
      <c r="AI532" t="s" s="35">
        <v>1623</v>
      </c>
      <c r="AJ532" t="s" s="35">
        <v>1602</v>
      </c>
      <c r="AK532" t="s" s="35">
        <v>790</v>
      </c>
      <c r="AL532" s="39"/>
      <c r="AM532" t="str" s="39" cm="1">
        <f t="array" ref="AM532">IF(AK532="FUERA","Fuera del marco",_xlfn.IFERROR(INDEX('Datos - Catálogo PISA'!$C$5:$C$76,MATCH(AK532,'Datos - Catálogo PISA'!$A$5:$A$76,0)),"?"))</f>
        <v>Sistemas vivos</v>
      </c>
      <c r="AN532" t="s" s="35">
        <v>1651</v>
      </c>
      <c r="AO532" s="39"/>
      <c r="AP532" t="s" s="35">
        <v>3534</v>
      </c>
      <c r="AQ532" t="s" s="35">
        <v>1756</v>
      </c>
      <c r="AR532" s="39"/>
      <c r="AS532" t="s" s="35">
        <v>1771</v>
      </c>
      <c r="AT532" t="s" s="35">
        <v>254</v>
      </c>
      <c r="AU532" t="s" s="35">
        <v>4352</v>
      </c>
      <c r="AV532" t="s" s="35">
        <v>139</v>
      </c>
      <c r="AW532" t="str" s="39" cm="1">
        <f t="array" ref="AW532">AF532&amp;"; "&amp;AG532&amp;"; "&amp;AH532&amp;"; "&amp;AI532&amp;"; "&amp;AJ532</f>
        <v>E1; E3; E1; D4; E1</v>
      </c>
    </row>
    <row r="533" ht="13.65" customHeight="1">
      <c r="A533" t="s" s="35">
        <v>4353</v>
      </c>
      <c r="B533" s="36">
        <v>8</v>
      </c>
      <c r="C533" t="s" s="35">
        <v>1823</v>
      </c>
      <c r="D533" t="s" s="35">
        <v>3919</v>
      </c>
      <c r="E533" t="s" s="35">
        <v>4301</v>
      </c>
      <c r="F533" s="36">
        <v>14</v>
      </c>
      <c r="G533" t="s" s="35">
        <v>453</v>
      </c>
      <c r="H533" t="s" s="35">
        <v>4344</v>
      </c>
      <c r="I533" t="s" s="120">
        <v>4354</v>
      </c>
      <c r="J533" t="s" s="35">
        <v>1164</v>
      </c>
      <c r="K533" t="s" s="35">
        <v>1168</v>
      </c>
      <c r="L533" s="39"/>
      <c r="M533" t="str" s="39">
        <v>Biología</v>
      </c>
      <c r="N533" t="str" s="39">
        <v>Características y procesos vitales de los organismos</v>
      </c>
      <c r="O533" t="str" s="39" cm="1">
        <f t="array" ref="O533">IF(L533="","",_xlfn.IFERROR(INDEX('Datos - Catálogo TIMSS'!$C$5:$C$107,MATCH(L533,'Datos - Catálogo TIMSS'!$A$5:$A$107,0)),"?"))</f>
      </c>
      <c r="P533" t="s" s="35">
        <v>254</v>
      </c>
      <c r="Q533" t="s" s="120">
        <v>4355</v>
      </c>
      <c r="R533" t="s" s="120">
        <v>2798</v>
      </c>
      <c r="S533" s="121" cm="1">
        <f t="array" ref="S533">_xlfn.IFERROR(ISNUMBER(SEARCH("Conocer",$R533))/(ISNUMBER(SEARCH("Conocer",$R533))+ISNUMBER(SEARCH("Aplicar",$R533))+ISNUMBER(SEARCH("Razonar",$R533))),0)</f>
        <v>0</v>
      </c>
      <c r="T533" s="121" cm="1">
        <f t="array" ref="T533">_xlfn.IFERROR(ISNUMBER(SEARCH("Aplicar",$R533))/(ISNUMBER(SEARCH("Conocer",$R533))+ISNUMBER(SEARCH("Aplicar",$R533))+ISNUMBER(SEARCH("Razonar",$R533))),0)</f>
        <v>1</v>
      </c>
      <c r="U533" s="121" cm="1">
        <f t="array" ref="U533">_xlfn.IFERROR(ISNUMBER(SEARCH("Razonar",$R533))/(ISNUMBER(SEARCH("Conocer",$R533))+ISNUMBER(SEARCH("Aplicar",$R533))+ISNUMBER(SEARCH("Razonar",$R533))),0)</f>
        <v>0</v>
      </c>
      <c r="V533" t="s" s="35">
        <v>86</v>
      </c>
      <c r="W533" t="s" s="35">
        <v>115</v>
      </c>
      <c r="X533" s="36" cm="1">
        <f t="array" ref="X533">IF(OR(_xlfn.IFERROR(INDEX('Datos - Catálogo TIMSS'!$I$5:$I$107,MATCH(K533,'Datos - Catálogo TIMSS'!$A$5:$A$107,0)),"No")="Sí",_xlfn.IFERROR(INDEX('Datos - Catálogo TIMSS'!$I$5:$I$107,MATCH(L533,'Datos - Catálogo TIMSS'!$A$5:$A$107,0)),"No")="Sí"),1,0)</f>
        <v>0</v>
      </c>
      <c r="Y533" s="36" cm="1">
        <f t="array" ref="Y533">IF(_xlfn.IFERROR(INDEX('Datos - Catálogo TIMSS'!$J$5:$J$107,MATCH(K533,'Datos - Catálogo TIMSS'!$A$5:$A$107,0)),"No")="Sí",1,0)</f>
        <v>0</v>
      </c>
      <c r="Z533" s="36" cm="1">
        <f t="array" ref="Z533">IF(_xlfn.IFERROR(INDEX('Datos - Catálogo TIMSS'!$J$5:$J$107,MATCH(L533,'Datos - Catálogo TIMSS'!$A$5:$A$107,0)),"No")="Sí",1,0)</f>
        <v>0</v>
      </c>
      <c r="AA533" t="s" s="35">
        <v>3339</v>
      </c>
      <c r="AB533" s="39"/>
      <c r="AC533" t="str" s="39">
        <v>Biología</v>
      </c>
      <c r="AD533" t="s" s="35">
        <v>1859</v>
      </c>
      <c r="AE533" t="str" s="39" cm="1">
        <f t="array" ref="AE533">IF(AD533="","",IF(LEFT(AD533,1)="1","C1",IF(LEFT(AD533,1)="2","C2",IF(LEFT(AD533,1)="3","C3",""))))</f>
        <v>C1</v>
      </c>
      <c r="AF533" t="s" s="35">
        <v>1602</v>
      </c>
      <c r="AG533" t="s" s="35">
        <v>1617</v>
      </c>
      <c r="AH533" t="s" s="35">
        <v>1609</v>
      </c>
      <c r="AI533" t="s" s="35">
        <v>1623</v>
      </c>
      <c r="AJ533" t="s" s="35">
        <v>1602</v>
      </c>
      <c r="AK533" t="s" s="35">
        <v>790</v>
      </c>
      <c r="AL533" s="39"/>
      <c r="AM533" t="str" s="39" cm="1">
        <f t="array" ref="AM533">IF(AK533="FUERA","Fuera del marco",_xlfn.IFERROR(INDEX('Datos - Catálogo PISA'!$C$5:$C$76,MATCH(AK533,'Datos - Catálogo PISA'!$A$5:$A$76,0)),"?"))</f>
        <v>Sistemas vivos</v>
      </c>
      <c r="AN533" t="s" s="35">
        <v>1651</v>
      </c>
      <c r="AO533" s="39"/>
      <c r="AP533" t="s" s="35">
        <v>3534</v>
      </c>
      <c r="AQ533" t="s" s="35">
        <v>1756</v>
      </c>
      <c r="AR533" s="39"/>
      <c r="AS533" t="s" s="35">
        <v>1771</v>
      </c>
      <c r="AT533" t="s" s="35">
        <v>254</v>
      </c>
      <c r="AU533" t="s" s="35">
        <v>4356</v>
      </c>
      <c r="AV533" t="s" s="35">
        <v>139</v>
      </c>
      <c r="AW533" t="str" s="39" cm="1">
        <f t="array" ref="AW533">AF533&amp;"; "&amp;AG533&amp;"; "&amp;AH533&amp;"; "&amp;AI533&amp;"; "&amp;AJ533</f>
        <v>E1; D1; E4; D4; E1</v>
      </c>
    </row>
    <row r="534" ht="13.65" customHeight="1">
      <c r="A534" t="s" s="35">
        <v>4357</v>
      </c>
      <c r="B534" s="36">
        <v>8</v>
      </c>
      <c r="C534" t="s" s="35">
        <v>1823</v>
      </c>
      <c r="D534" t="s" s="35">
        <v>3919</v>
      </c>
      <c r="E534" t="s" s="35">
        <v>4301</v>
      </c>
      <c r="F534" s="36">
        <v>15</v>
      </c>
      <c r="G534" t="s" s="35">
        <v>453</v>
      </c>
      <c r="H534" t="s" s="35">
        <v>4358</v>
      </c>
      <c r="I534" t="s" s="120">
        <v>4359</v>
      </c>
      <c r="J534" t="s" s="35">
        <v>1164</v>
      </c>
      <c r="K534" t="s" s="35">
        <v>1168</v>
      </c>
      <c r="L534" t="s" s="35">
        <v>1171</v>
      </c>
      <c r="M534" t="str" s="39">
        <v>Biología</v>
      </c>
      <c r="N534" t="str" s="39">
        <v>Características y procesos vitales de los organismos</v>
      </c>
      <c r="O534" t="str" s="39" cm="1">
        <f t="array" ref="O534">IF(L534="","",_xlfn.IFERROR(INDEX('Datos - Catálogo TIMSS'!$C$5:$C$107,MATCH(L534,'Datos - Catálogo TIMSS'!$A$5:$A$107,0)),"?"))</f>
        <v>Biología</v>
      </c>
      <c r="P534" t="s" s="35">
        <v>282</v>
      </c>
      <c r="Q534" t="s" s="120">
        <v>4360</v>
      </c>
      <c r="R534" t="s" s="120">
        <v>4007</v>
      </c>
      <c r="S534" s="121" cm="1">
        <f t="array" ref="S534">_xlfn.IFERROR(ISNUMBER(SEARCH("Conocer",$R534))/(ISNUMBER(SEARCH("Conocer",$R534))+ISNUMBER(SEARCH("Aplicar",$R534))+ISNUMBER(SEARCH("Razonar",$R534))),0)</f>
        <v>1</v>
      </c>
      <c r="T534" s="121" cm="1">
        <f t="array" ref="T534">_xlfn.IFERROR(ISNUMBER(SEARCH("Aplicar",$R534))/(ISNUMBER(SEARCH("Conocer",$R534))+ISNUMBER(SEARCH("Aplicar",$R534))+ISNUMBER(SEARCH("Razonar",$R534))),0)</f>
        <v>0</v>
      </c>
      <c r="U534" s="121" cm="1">
        <f t="array" ref="U534">_xlfn.IFERROR(ISNUMBER(SEARCH("Razonar",$R534))/(ISNUMBER(SEARCH("Conocer",$R534))+ISNUMBER(SEARCH("Aplicar",$R534))+ISNUMBER(SEARCH("Razonar",$R534))),0)</f>
        <v>0</v>
      </c>
      <c r="V534" t="s" s="35">
        <v>86</v>
      </c>
      <c r="W534" t="s" s="35">
        <v>115</v>
      </c>
      <c r="X534" s="36" cm="1">
        <f t="array" ref="X534">IF(OR(_xlfn.IFERROR(INDEX('Datos - Catálogo TIMSS'!$I$5:$I$107,MATCH(K534,'Datos - Catálogo TIMSS'!$A$5:$A$107,0)),"No")="Sí",_xlfn.IFERROR(INDEX('Datos - Catálogo TIMSS'!$I$5:$I$107,MATCH(L534,'Datos - Catálogo TIMSS'!$A$5:$A$107,0)),"No")="Sí"),1,0)</f>
        <v>1</v>
      </c>
      <c r="Y534" s="36" cm="1">
        <f t="array" ref="Y534">IF(_xlfn.IFERROR(INDEX('Datos - Catálogo TIMSS'!$J$5:$J$107,MATCH(K534,'Datos - Catálogo TIMSS'!$A$5:$A$107,0)),"No")="Sí",1,0)</f>
        <v>0</v>
      </c>
      <c r="Z534" s="36" cm="1">
        <f t="array" ref="Z534">IF(_xlfn.IFERROR(INDEX('Datos - Catálogo TIMSS'!$J$5:$J$107,MATCH(L534,'Datos - Catálogo TIMSS'!$A$5:$A$107,0)),"No")="Sí",1,0)</f>
        <v>0</v>
      </c>
      <c r="AA534" t="s" s="35">
        <v>3339</v>
      </c>
      <c r="AB534" t="s" s="35">
        <v>4289</v>
      </c>
      <c r="AC534" t="str" s="39">
        <v>Biología</v>
      </c>
      <c r="AD534" t="s" s="35">
        <v>1859</v>
      </c>
      <c r="AE534" t="str" s="39" cm="1">
        <f t="array" ref="AE534">IF(AD534="","",IF(LEFT(AD534,1)="1","C1",IF(LEFT(AD534,1)="2","C2",IF(LEFT(AD534,1)="3","C3",""))))</f>
        <v>C1</v>
      </c>
      <c r="AF534" t="s" s="35">
        <v>1602</v>
      </c>
      <c r="AG534" t="s" s="35">
        <v>1617</v>
      </c>
      <c r="AH534" t="s" s="35">
        <v>1602</v>
      </c>
      <c r="AI534" t="s" s="35">
        <v>1623</v>
      </c>
      <c r="AJ534" t="s" s="35">
        <v>1615</v>
      </c>
      <c r="AK534" t="s" s="35">
        <v>790</v>
      </c>
      <c r="AL534" s="39"/>
      <c r="AM534" t="str" s="39" cm="1">
        <f t="array" ref="AM534">IF(AK534="FUERA","Fuera del marco",_xlfn.IFERROR(INDEX('Datos - Catálogo PISA'!$C$5:$C$76,MATCH(AK534,'Datos - Catálogo PISA'!$A$5:$A$76,0)),"?"))</f>
        <v>Sistemas vivos</v>
      </c>
      <c r="AN534" t="s" s="35">
        <v>1651</v>
      </c>
      <c r="AO534" s="39"/>
      <c r="AP534" s="39"/>
      <c r="AQ534" t="s" s="35">
        <v>1756</v>
      </c>
      <c r="AR534" s="39"/>
      <c r="AS534" t="s" s="35">
        <v>1770</v>
      </c>
      <c r="AT534" t="s" s="35">
        <v>254</v>
      </c>
      <c r="AU534" t="s" s="35">
        <v>4361</v>
      </c>
      <c r="AV534" t="s" s="35">
        <v>139</v>
      </c>
      <c r="AW534" t="str" s="39" cm="1">
        <f t="array" ref="AW534">AF534&amp;"; "&amp;AG534&amp;"; "&amp;AH534&amp;"; "&amp;AI534&amp;"; "&amp;AJ534</f>
        <v>E1; D1; E1; D4; E6</v>
      </c>
    </row>
    <row r="535" ht="13.65" customHeight="1">
      <c r="A535" t="s" s="35">
        <v>4362</v>
      </c>
      <c r="B535" s="36">
        <v>8</v>
      </c>
      <c r="C535" t="s" s="35">
        <v>1823</v>
      </c>
      <c r="D535" t="s" s="35">
        <v>3919</v>
      </c>
      <c r="E535" t="s" s="35">
        <v>4301</v>
      </c>
      <c r="F535" s="36">
        <v>16</v>
      </c>
      <c r="G535" t="s" s="35">
        <v>453</v>
      </c>
      <c r="H535" t="s" s="35">
        <v>4358</v>
      </c>
      <c r="I535" t="s" s="120">
        <v>4363</v>
      </c>
      <c r="J535" t="s" s="35">
        <v>1164</v>
      </c>
      <c r="K535" t="s" s="35">
        <v>1168</v>
      </c>
      <c r="L535" t="s" s="35">
        <v>1171</v>
      </c>
      <c r="M535" t="str" s="39">
        <v>Biología</v>
      </c>
      <c r="N535" t="str" s="39">
        <v>Características y procesos vitales de los organismos</v>
      </c>
      <c r="O535" t="str" s="39" cm="1">
        <f t="array" ref="O535">IF(L535="","",_xlfn.IFERROR(INDEX('Datos - Catálogo TIMSS'!$C$5:$C$107,MATCH(L535,'Datos - Catálogo TIMSS'!$A$5:$A$107,0)),"?"))</f>
        <v>Biología</v>
      </c>
      <c r="P535" t="s" s="35">
        <v>282</v>
      </c>
      <c r="Q535" t="s" s="120">
        <v>4364</v>
      </c>
      <c r="R535" t="s" s="120">
        <v>2131</v>
      </c>
      <c r="S535" s="121" cm="1">
        <f t="array" ref="S535">_xlfn.IFERROR(ISNUMBER(SEARCH("Conocer",$R535))/(ISNUMBER(SEARCH("Conocer",$R535))+ISNUMBER(SEARCH("Aplicar",$R535))+ISNUMBER(SEARCH("Razonar",$R535))),0)</f>
        <v>0</v>
      </c>
      <c r="T535" s="121" cm="1">
        <f t="array" ref="T535">_xlfn.IFERROR(ISNUMBER(SEARCH("Aplicar",$R535))/(ISNUMBER(SEARCH("Conocer",$R535))+ISNUMBER(SEARCH("Aplicar",$R535))+ISNUMBER(SEARCH("Razonar",$R535))),0)</f>
        <v>1</v>
      </c>
      <c r="U535" s="121" cm="1">
        <f t="array" ref="U535">_xlfn.IFERROR(ISNUMBER(SEARCH("Razonar",$R535))/(ISNUMBER(SEARCH("Conocer",$R535))+ISNUMBER(SEARCH("Aplicar",$R535))+ISNUMBER(SEARCH("Razonar",$R535))),0)</f>
        <v>0</v>
      </c>
      <c r="V535" t="s" s="35">
        <v>86</v>
      </c>
      <c r="W535" t="s" s="35">
        <v>115</v>
      </c>
      <c r="X535" s="36" cm="1">
        <f t="array" ref="X535">IF(OR(_xlfn.IFERROR(INDEX('Datos - Catálogo TIMSS'!$I$5:$I$107,MATCH(K535,'Datos - Catálogo TIMSS'!$A$5:$A$107,0)),"No")="Sí",_xlfn.IFERROR(INDEX('Datos - Catálogo TIMSS'!$I$5:$I$107,MATCH(L535,'Datos - Catálogo TIMSS'!$A$5:$A$107,0)),"No")="Sí"),1,0)</f>
        <v>1</v>
      </c>
      <c r="Y535" s="36" cm="1">
        <f t="array" ref="Y535">IF(_xlfn.IFERROR(INDEX('Datos - Catálogo TIMSS'!$J$5:$J$107,MATCH(K535,'Datos - Catálogo TIMSS'!$A$5:$A$107,0)),"No")="Sí",1,0)</f>
        <v>0</v>
      </c>
      <c r="Z535" s="36" cm="1">
        <f t="array" ref="Z535">IF(_xlfn.IFERROR(INDEX('Datos - Catálogo TIMSS'!$J$5:$J$107,MATCH(L535,'Datos - Catálogo TIMSS'!$A$5:$A$107,0)),"No")="Sí",1,0)</f>
        <v>0</v>
      </c>
      <c r="AA535" t="s" s="35">
        <v>3339</v>
      </c>
      <c r="AB535" t="s" s="35">
        <v>4289</v>
      </c>
      <c r="AC535" t="str" s="39">
        <v>Biología</v>
      </c>
      <c r="AD535" t="s" s="35">
        <v>1834</v>
      </c>
      <c r="AE535" t="str" s="39" cm="1">
        <f t="array" ref="AE535">IF(AD535="","",IF(LEFT(AD535,1)="1","C1",IF(LEFT(AD535,1)="2","C2",IF(LEFT(AD535,1)="3","C3",""))))</f>
        <v>C2</v>
      </c>
      <c r="AF535" t="s" s="35">
        <v>1602</v>
      </c>
      <c r="AG535" t="s" s="35">
        <v>1617</v>
      </c>
      <c r="AH535" t="s" s="35">
        <v>1609</v>
      </c>
      <c r="AI535" t="s" s="35">
        <v>1623</v>
      </c>
      <c r="AJ535" t="s" s="35">
        <v>1615</v>
      </c>
      <c r="AK535" t="s" s="35">
        <v>790</v>
      </c>
      <c r="AL535" s="39"/>
      <c r="AM535" t="str" s="39" cm="1">
        <f t="array" ref="AM535">IF(AK535="FUERA","Fuera del marco",_xlfn.IFERROR(INDEX('Datos - Catálogo PISA'!$C$5:$C$76,MATCH(AK535,'Datos - Catálogo PISA'!$A$5:$A$76,0)),"?"))</f>
        <v>Sistemas vivos</v>
      </c>
      <c r="AN535" t="s" s="35">
        <v>1651</v>
      </c>
      <c r="AO535" s="39"/>
      <c r="AP535" t="s" s="35">
        <v>4341</v>
      </c>
      <c r="AQ535" t="s" s="35">
        <v>1756</v>
      </c>
      <c r="AR535" s="39"/>
      <c r="AS535" t="s" s="35">
        <v>1771</v>
      </c>
      <c r="AT535" t="s" s="35">
        <v>254</v>
      </c>
      <c r="AU535" t="s" s="35">
        <v>4365</v>
      </c>
      <c r="AV535" t="s" s="35">
        <v>139</v>
      </c>
      <c r="AW535" t="str" s="39" cm="1">
        <f t="array" ref="AW535">AF535&amp;"; "&amp;AG535&amp;"; "&amp;AH535&amp;"; "&amp;AI535&amp;"; "&amp;AJ535</f>
        <v>E1; D1; E4; D4; E6</v>
      </c>
    </row>
    <row r="536" ht="13.65" customHeight="1">
      <c r="A536" t="s" s="35">
        <v>4366</v>
      </c>
      <c r="B536" s="36">
        <v>8</v>
      </c>
      <c r="C536" t="s" s="35">
        <v>1823</v>
      </c>
      <c r="D536" t="s" s="35">
        <v>3919</v>
      </c>
      <c r="E536" t="s" s="35">
        <v>4301</v>
      </c>
      <c r="F536" s="36">
        <v>17</v>
      </c>
      <c r="G536" t="s" s="35">
        <v>453</v>
      </c>
      <c r="H536" t="s" s="35">
        <v>4358</v>
      </c>
      <c r="I536" t="s" s="120">
        <v>4367</v>
      </c>
      <c r="J536" t="s" s="35">
        <v>1164</v>
      </c>
      <c r="K536" t="s" s="35">
        <v>1168</v>
      </c>
      <c r="L536" s="39"/>
      <c r="M536" t="str" s="39">
        <v>Biología</v>
      </c>
      <c r="N536" t="str" s="39">
        <v>Características y procesos vitales de los organismos</v>
      </c>
      <c r="O536" t="str" s="39" cm="1">
        <f t="array" ref="O536">IF(L536="","",_xlfn.IFERROR(INDEX('Datos - Catálogo TIMSS'!$C$5:$C$107,MATCH(L536,'Datos - Catálogo TIMSS'!$A$5:$A$107,0)),"?"))</f>
      </c>
      <c r="P536" t="s" s="35">
        <v>254</v>
      </c>
      <c r="Q536" t="s" s="120">
        <v>4368</v>
      </c>
      <c r="R536" t="s" s="120">
        <v>1847</v>
      </c>
      <c r="S536" s="121" cm="1">
        <f t="array" ref="S536">_xlfn.IFERROR(ISNUMBER(SEARCH("Conocer",$R536))/(ISNUMBER(SEARCH("Conocer",$R536))+ISNUMBER(SEARCH("Aplicar",$R536))+ISNUMBER(SEARCH("Razonar",$R536))),0)</f>
        <v>0</v>
      </c>
      <c r="T536" s="121" cm="1">
        <f t="array" ref="T536">_xlfn.IFERROR(ISNUMBER(SEARCH("Aplicar",$R536))/(ISNUMBER(SEARCH("Conocer",$R536))+ISNUMBER(SEARCH("Aplicar",$R536))+ISNUMBER(SEARCH("Razonar",$R536))),0)</f>
        <v>1</v>
      </c>
      <c r="U536" s="121" cm="1">
        <f t="array" ref="U536">_xlfn.IFERROR(ISNUMBER(SEARCH("Razonar",$R536))/(ISNUMBER(SEARCH("Conocer",$R536))+ISNUMBER(SEARCH("Aplicar",$R536))+ISNUMBER(SEARCH("Razonar",$R536))),0)</f>
        <v>0</v>
      </c>
      <c r="V536" t="s" s="35">
        <v>86</v>
      </c>
      <c r="W536" t="s" s="35">
        <v>115</v>
      </c>
      <c r="X536" s="36" cm="1">
        <f t="array" ref="X536">IF(OR(_xlfn.IFERROR(INDEX('Datos - Catálogo TIMSS'!$I$5:$I$107,MATCH(K536,'Datos - Catálogo TIMSS'!$A$5:$A$107,0)),"No")="Sí",_xlfn.IFERROR(INDEX('Datos - Catálogo TIMSS'!$I$5:$I$107,MATCH(L536,'Datos - Catálogo TIMSS'!$A$5:$A$107,0)),"No")="Sí"),1,0)</f>
        <v>0</v>
      </c>
      <c r="Y536" s="36" cm="1">
        <f t="array" ref="Y536">IF(_xlfn.IFERROR(INDEX('Datos - Catálogo TIMSS'!$J$5:$J$107,MATCH(K536,'Datos - Catálogo TIMSS'!$A$5:$A$107,0)),"No")="Sí",1,0)</f>
        <v>0</v>
      </c>
      <c r="Z536" s="36" cm="1">
        <f t="array" ref="Z536">IF(_xlfn.IFERROR(INDEX('Datos - Catálogo TIMSS'!$J$5:$J$107,MATCH(L536,'Datos - Catálogo TIMSS'!$A$5:$A$107,0)),"No")="Sí",1,0)</f>
        <v>0</v>
      </c>
      <c r="AA536" t="s" s="35">
        <v>3339</v>
      </c>
      <c r="AB536" s="39"/>
      <c r="AC536" t="str" s="39">
        <v>Biología</v>
      </c>
      <c r="AD536" t="s" s="35">
        <v>1859</v>
      </c>
      <c r="AE536" t="str" s="39" cm="1">
        <f t="array" ref="AE536">IF(AD536="","",IF(LEFT(AD536,1)="1","C1",IF(LEFT(AD536,1)="2","C2",IF(LEFT(AD536,1)="3","C3",""))))</f>
        <v>C1</v>
      </c>
      <c r="AF536" t="s" s="35">
        <v>1602</v>
      </c>
      <c r="AG536" t="s" s="35">
        <v>1617</v>
      </c>
      <c r="AH536" t="s" s="35">
        <v>1602</v>
      </c>
      <c r="AI536" t="s" s="35">
        <v>1623</v>
      </c>
      <c r="AJ536" t="s" s="35">
        <v>1602</v>
      </c>
      <c r="AK536" t="s" s="35">
        <v>790</v>
      </c>
      <c r="AL536" s="39"/>
      <c r="AM536" t="str" s="39" cm="1">
        <f t="array" ref="AM536">IF(AK536="FUERA","Fuera del marco",_xlfn.IFERROR(INDEX('Datos - Catálogo PISA'!$C$5:$C$76,MATCH(AK536,'Datos - Catálogo PISA'!$A$5:$A$76,0)),"?"))</f>
        <v>Sistemas vivos</v>
      </c>
      <c r="AN536" t="s" s="35">
        <v>1651</v>
      </c>
      <c r="AO536" s="39"/>
      <c r="AP536" s="39"/>
      <c r="AQ536" t="s" s="35">
        <v>1756</v>
      </c>
      <c r="AR536" s="39"/>
      <c r="AS536" t="s" s="35">
        <v>1770</v>
      </c>
      <c r="AT536" t="s" s="35">
        <v>254</v>
      </c>
      <c r="AU536" t="s" s="35">
        <v>4369</v>
      </c>
      <c r="AV536" t="s" s="35">
        <v>139</v>
      </c>
      <c r="AW536" t="str" s="39" cm="1">
        <f t="array" ref="AW536">AF536&amp;"; "&amp;AG536&amp;"; "&amp;AH536&amp;"; "&amp;AI536&amp;"; "&amp;AJ536</f>
        <v>E1; D1; E1; D4; E1</v>
      </c>
    </row>
    <row r="537" ht="13.65" customHeight="1">
      <c r="A537" t="s" s="35">
        <v>4370</v>
      </c>
      <c r="B537" s="36">
        <v>9</v>
      </c>
      <c r="C537" t="s" s="35">
        <v>1823</v>
      </c>
      <c r="D537" t="s" s="35">
        <v>4371</v>
      </c>
      <c r="E537" t="s" s="35">
        <v>4372</v>
      </c>
      <c r="F537" s="36">
        <v>3</v>
      </c>
      <c r="G537" t="s" s="35">
        <v>836</v>
      </c>
      <c r="H537" t="s" s="35">
        <v>4373</v>
      </c>
      <c r="I537" t="s" s="120">
        <v>4374</v>
      </c>
      <c r="J537" t="s" s="35">
        <v>4375</v>
      </c>
      <c r="K537" t="s" s="35">
        <v>535</v>
      </c>
      <c r="L537" t="s" s="35">
        <v>569</v>
      </c>
      <c r="M537" t="str" s="39">
        <v>Física</v>
      </c>
      <c r="N537" t="str" s="39">
        <v>Movimiento y fuerzas</v>
      </c>
      <c r="O537" t="str" s="39" cm="1">
        <f t="array" ref="O537">IF(L537="","",_xlfn.IFERROR(INDEX('Datos - Catálogo TIMSS'!$C$5:$C$107,MATCH(L537,'Datos - Catálogo TIMSS'!$A$5:$A$107,0)),"?"))</f>
        <v>Física</v>
      </c>
      <c r="P537" t="s" s="35">
        <v>254</v>
      </c>
      <c r="Q537" t="s" s="120">
        <v>4376</v>
      </c>
      <c r="R537" t="s" s="120">
        <v>3164</v>
      </c>
      <c r="S537" s="121" cm="1">
        <f t="array" ref="S537">_xlfn.IFERROR(ISNUMBER(SEARCH("Conocer",$R537))/(ISNUMBER(SEARCH("Conocer",$R537))+ISNUMBER(SEARCH("Aplicar",$R537))+ISNUMBER(SEARCH("Razonar",$R537))),0)</f>
        <v>0</v>
      </c>
      <c r="T537" s="121" cm="1">
        <f t="array" ref="T537">_xlfn.IFERROR(ISNUMBER(SEARCH("Aplicar",$R537))/(ISNUMBER(SEARCH("Conocer",$R537))+ISNUMBER(SEARCH("Aplicar",$R537))+ISNUMBER(SEARCH("Razonar",$R537))),0)</f>
        <v>0.5</v>
      </c>
      <c r="U537" s="121" cm="1">
        <f t="array" ref="U537">_xlfn.IFERROR(ISNUMBER(SEARCH("Razonar",$R537))/(ISNUMBER(SEARCH("Conocer",$R537))+ISNUMBER(SEARCH("Aplicar",$R537))+ISNUMBER(SEARCH("Razonar",$R537))),0)</f>
        <v>0.5</v>
      </c>
      <c r="V537" t="s" s="35">
        <v>138</v>
      </c>
      <c r="W537" t="s" s="35">
        <v>138</v>
      </c>
      <c r="X537" s="36" cm="1">
        <f t="array" ref="X537">IF(OR(_xlfn.IFERROR(INDEX('Datos - Catálogo TIMSS'!$I$5:$I$107,MATCH(K537,'Datos - Catálogo TIMSS'!$A$5:$A$107,0)),"No")="Sí",_xlfn.IFERROR(INDEX('Datos - Catálogo TIMSS'!$I$5:$I$107,MATCH(L537,'Datos - Catálogo TIMSS'!$A$5:$A$107,0)),"No")="Sí"),1,0)</f>
        <v>0</v>
      </c>
      <c r="Y537" s="36" cm="1">
        <f t="array" ref="Y537">IF(_xlfn.IFERROR(INDEX('Datos - Catálogo TIMSS'!$J$5:$J$107,MATCH(K537,'Datos - Catálogo TIMSS'!$A$5:$A$107,0)),"No")="Sí",1,0)</f>
        <v>0</v>
      </c>
      <c r="Z537" s="36" cm="1">
        <f t="array" ref="Z537">IF(_xlfn.IFERROR(INDEX('Datos - Catálogo TIMSS'!$J$5:$J$107,MATCH(L537,'Datos - Catálogo TIMSS'!$A$5:$A$107,0)),"No")="Sí",1,0)</f>
        <v>1</v>
      </c>
      <c r="AA537" t="s" s="35">
        <v>2908</v>
      </c>
      <c r="AB537" s="39"/>
      <c r="AC537" t="str" s="39">
        <v>Física</v>
      </c>
      <c r="AD537" t="s" s="35">
        <v>1834</v>
      </c>
      <c r="AE537" t="str" s="39" cm="1">
        <f t="array" ref="AE537">IF(AD537="","",IF(LEFT(AD537,1)="1","C1",IF(LEFT(AD537,1)="2","C2",IF(LEFT(AD537,1)="3","C3",""))))</f>
        <v>C2</v>
      </c>
      <c r="AF537" t="s" s="35">
        <v>1602</v>
      </c>
      <c r="AG537" t="s" s="35">
        <v>1617</v>
      </c>
      <c r="AH537" t="s" s="35">
        <v>1602</v>
      </c>
      <c r="AI537" t="s" s="35">
        <v>1619</v>
      </c>
      <c r="AJ537" t="s" s="35">
        <v>1607</v>
      </c>
      <c r="AK537" t="s" s="35">
        <v>838</v>
      </c>
      <c r="AL537" t="s" s="35">
        <v>822</v>
      </c>
      <c r="AM537" t="str" s="39" cm="1">
        <f t="array" ref="AM537">IF(AK537="FUERA","Fuera del marco",_xlfn.IFERROR(INDEX('Datos - Catálogo PISA'!$C$5:$C$76,MATCH(AK537,'Datos - Catálogo PISA'!$A$5:$A$76,0)),"?"))</f>
        <v>Sistemas físicos</v>
      </c>
      <c r="AN537" t="s" s="35">
        <v>1651</v>
      </c>
      <c r="AO537" t="s" s="35">
        <v>3488</v>
      </c>
      <c r="AP537" s="39"/>
      <c r="AQ537" t="s" s="35">
        <v>1756</v>
      </c>
      <c r="AR537" s="39"/>
      <c r="AS537" t="s" s="35">
        <v>1771</v>
      </c>
      <c r="AT537" t="s" s="35">
        <v>254</v>
      </c>
      <c r="AU537" t="s" s="35">
        <v>4377</v>
      </c>
      <c r="AV537" t="s" s="35">
        <v>139</v>
      </c>
      <c r="AW537" t="str" s="39" cm="1">
        <f t="array" ref="AW537">AF537&amp;"; "&amp;AG537&amp;"; "&amp;AH537&amp;"; "&amp;AI537&amp;"; "&amp;AJ537</f>
        <v>E1; D1; E1; D2; E3</v>
      </c>
    </row>
    <row r="538" ht="13.65" customHeight="1">
      <c r="A538" t="s" s="35">
        <v>4378</v>
      </c>
      <c r="B538" s="36">
        <v>9</v>
      </c>
      <c r="C538" t="s" s="35">
        <v>1823</v>
      </c>
      <c r="D538" t="s" s="35">
        <v>4371</v>
      </c>
      <c r="E538" t="s" s="35">
        <v>4372</v>
      </c>
      <c r="F538" s="36">
        <v>4</v>
      </c>
      <c r="G538" t="s" s="35">
        <v>836</v>
      </c>
      <c r="H538" t="s" s="35">
        <v>4373</v>
      </c>
      <c r="I538" t="s" s="120">
        <v>4379</v>
      </c>
      <c r="J538" t="s" s="35">
        <v>4375</v>
      </c>
      <c r="K538" t="s" s="35">
        <v>535</v>
      </c>
      <c r="L538" t="s" s="35">
        <v>588</v>
      </c>
      <c r="M538" t="str" s="39">
        <v>Física</v>
      </c>
      <c r="N538" t="str" s="39">
        <v>Movimiento y fuerzas</v>
      </c>
      <c r="O538" t="str" s="39" cm="1">
        <f t="array" ref="O538">IF(L538="","",_xlfn.IFERROR(INDEX('Datos - Catálogo TIMSS'!$C$5:$C$107,MATCH(L538,'Datos - Catálogo TIMSS'!$A$5:$A$107,0)),"?"))</f>
        <v>Física</v>
      </c>
      <c r="P538" t="s" s="35">
        <v>254</v>
      </c>
      <c r="Q538" t="s" s="120">
        <v>4380</v>
      </c>
      <c r="R538" t="s" s="120">
        <v>2962</v>
      </c>
      <c r="S538" s="121" cm="1">
        <f t="array" ref="S538">_xlfn.IFERROR(ISNUMBER(SEARCH("Conocer",$R538))/(ISNUMBER(SEARCH("Conocer",$R538))+ISNUMBER(SEARCH("Aplicar",$R538))+ISNUMBER(SEARCH("Razonar",$R538))),0)</f>
        <v>0</v>
      </c>
      <c r="T538" s="121" cm="1">
        <f t="array" ref="T538">_xlfn.IFERROR(ISNUMBER(SEARCH("Aplicar",$R538))/(ISNUMBER(SEARCH("Conocer",$R538))+ISNUMBER(SEARCH("Aplicar",$R538))+ISNUMBER(SEARCH("Razonar",$R538))),0)</f>
        <v>1</v>
      </c>
      <c r="U538" s="121" cm="1">
        <f t="array" ref="U538">_xlfn.IFERROR(ISNUMBER(SEARCH("Razonar",$R538))/(ISNUMBER(SEARCH("Conocer",$R538))+ISNUMBER(SEARCH("Aplicar",$R538))+ISNUMBER(SEARCH("Razonar",$R538))),0)</f>
        <v>0</v>
      </c>
      <c r="V538" t="s" s="35">
        <v>138</v>
      </c>
      <c r="W538" t="s" s="35">
        <v>138</v>
      </c>
      <c r="X538" s="36" cm="1">
        <f t="array" ref="X538">IF(OR(_xlfn.IFERROR(INDEX('Datos - Catálogo TIMSS'!$I$5:$I$107,MATCH(K538,'Datos - Catálogo TIMSS'!$A$5:$A$107,0)),"No")="Sí",_xlfn.IFERROR(INDEX('Datos - Catálogo TIMSS'!$I$5:$I$107,MATCH(L538,'Datos - Catálogo TIMSS'!$A$5:$A$107,0)),"No")="Sí"),1,0)</f>
        <v>0</v>
      </c>
      <c r="Y538" s="36" cm="1">
        <f t="array" ref="Y538">IF(_xlfn.IFERROR(INDEX('Datos - Catálogo TIMSS'!$J$5:$J$107,MATCH(K538,'Datos - Catálogo TIMSS'!$A$5:$A$107,0)),"No")="Sí",1,0)</f>
        <v>0</v>
      </c>
      <c r="Z538" s="36" cm="1">
        <f t="array" ref="Z538">IF(_xlfn.IFERROR(INDEX('Datos - Catálogo TIMSS'!$J$5:$J$107,MATCH(L538,'Datos - Catálogo TIMSS'!$A$5:$A$107,0)),"No")="Sí",1,0)</f>
        <v>0</v>
      </c>
      <c r="AA538" t="s" s="35">
        <v>2908</v>
      </c>
      <c r="AB538" t="s" s="35">
        <v>2889</v>
      </c>
      <c r="AC538" t="str" s="39">
        <v>Física</v>
      </c>
      <c r="AD538" t="s" s="35">
        <v>1834</v>
      </c>
      <c r="AE538" t="str" s="39" cm="1">
        <f t="array" ref="AE538">IF(AD538="","",IF(LEFT(AD538,1)="1","C1",IF(LEFT(AD538,1)="2","C2",IF(LEFT(AD538,1)="3","C3",""))))</f>
        <v>C2</v>
      </c>
      <c r="AF538" t="s" s="35">
        <v>1602</v>
      </c>
      <c r="AG538" t="s" s="35">
        <v>1617</v>
      </c>
      <c r="AH538" t="s" s="35">
        <v>1605</v>
      </c>
      <c r="AI538" t="s" s="35">
        <v>1623</v>
      </c>
      <c r="AJ538" t="s" s="35">
        <v>1607</v>
      </c>
      <c r="AK538" t="s" s="35">
        <v>838</v>
      </c>
      <c r="AL538" s="39"/>
      <c r="AM538" t="str" s="39" cm="1">
        <f t="array" ref="AM538">IF(AK538="FUERA","Fuera del marco",_xlfn.IFERROR(INDEX('Datos - Catálogo PISA'!$C$5:$C$76,MATCH(AK538,'Datos - Catálogo PISA'!$A$5:$A$76,0)),"?"))</f>
        <v>Sistemas físicos</v>
      </c>
      <c r="AN538" t="s" s="35">
        <v>1651</v>
      </c>
      <c r="AO538" t="s" s="35">
        <v>3488</v>
      </c>
      <c r="AP538" s="39"/>
      <c r="AQ538" t="s" s="35">
        <v>1756</v>
      </c>
      <c r="AR538" s="39"/>
      <c r="AS538" t="s" s="35">
        <v>1771</v>
      </c>
      <c r="AT538" t="s" s="35">
        <v>254</v>
      </c>
      <c r="AU538" t="s" s="35">
        <v>4381</v>
      </c>
      <c r="AV538" t="s" s="35">
        <v>139</v>
      </c>
      <c r="AW538" t="str" s="39" cm="1">
        <f t="array" ref="AW538">AF538&amp;"; "&amp;AG538&amp;"; "&amp;AH538&amp;"; "&amp;AI538&amp;"; "&amp;AJ538</f>
        <v>E1; D1; E2; D4; E3</v>
      </c>
    </row>
    <row r="539" ht="13.65" customHeight="1">
      <c r="A539" t="s" s="35">
        <v>4382</v>
      </c>
      <c r="B539" s="36">
        <v>9</v>
      </c>
      <c r="C539" t="s" s="35">
        <v>1823</v>
      </c>
      <c r="D539" t="s" s="35">
        <v>4371</v>
      </c>
      <c r="E539" t="s" s="35">
        <v>4372</v>
      </c>
      <c r="F539" s="36">
        <v>5</v>
      </c>
      <c r="G539" t="s" s="35">
        <v>836</v>
      </c>
      <c r="H539" t="s" s="35">
        <v>4373</v>
      </c>
      <c r="I539" t="s" s="120">
        <v>4383</v>
      </c>
      <c r="J539" t="s" s="35">
        <v>4375</v>
      </c>
      <c r="K539" t="s" s="35">
        <v>569</v>
      </c>
      <c r="L539" t="s" s="35">
        <v>535</v>
      </c>
      <c r="M539" t="str" s="39">
        <v>Física</v>
      </c>
      <c r="N539" t="str" s="39">
        <v>Investigaciones en física</v>
      </c>
      <c r="O539" t="str" s="39" cm="1">
        <f t="array" ref="O539">IF(L539="","",_xlfn.IFERROR(INDEX('Datos - Catálogo TIMSS'!$C$5:$C$107,MATCH(L539,'Datos - Catálogo TIMSS'!$A$5:$A$107,0)),"?"))</f>
        <v>Física</v>
      </c>
      <c r="P539" t="s" s="35">
        <v>282</v>
      </c>
      <c r="Q539" t="s" s="120">
        <v>4384</v>
      </c>
      <c r="R539" t="s" s="120">
        <v>4385</v>
      </c>
      <c r="S539" s="121" cm="1">
        <f t="array" ref="S539">_xlfn.IFERROR(ISNUMBER(SEARCH("Conocer",$R539))/(ISNUMBER(SEARCH("Conocer",$R539))+ISNUMBER(SEARCH("Aplicar",$R539))+ISNUMBER(SEARCH("Razonar",$R539))),0)</f>
        <v>0</v>
      </c>
      <c r="T539" s="121" cm="1">
        <f t="array" ref="T539">_xlfn.IFERROR(ISNUMBER(SEARCH("Aplicar",$R539))/(ISNUMBER(SEARCH("Conocer",$R539))+ISNUMBER(SEARCH("Aplicar",$R539))+ISNUMBER(SEARCH("Razonar",$R539))),0)</f>
        <v>1</v>
      </c>
      <c r="U539" s="121" cm="1">
        <f t="array" ref="U539">_xlfn.IFERROR(ISNUMBER(SEARCH("Razonar",$R539))/(ISNUMBER(SEARCH("Conocer",$R539))+ISNUMBER(SEARCH("Aplicar",$R539))+ISNUMBER(SEARCH("Razonar",$R539))),0)</f>
        <v>0</v>
      </c>
      <c r="V539" t="s" s="35">
        <v>138</v>
      </c>
      <c r="W539" t="s" s="35">
        <v>138</v>
      </c>
      <c r="X539" s="36" cm="1">
        <f t="array" ref="X539">IF(OR(_xlfn.IFERROR(INDEX('Datos - Catálogo TIMSS'!$I$5:$I$107,MATCH(K539,'Datos - Catálogo TIMSS'!$A$5:$A$107,0)),"No")="Sí",_xlfn.IFERROR(INDEX('Datos - Catálogo TIMSS'!$I$5:$I$107,MATCH(L539,'Datos - Catálogo TIMSS'!$A$5:$A$107,0)),"No")="Sí"),1,0)</f>
        <v>0</v>
      </c>
      <c r="Y539" s="36" cm="1">
        <f t="array" ref="Y539">IF(_xlfn.IFERROR(INDEX('Datos - Catálogo TIMSS'!$J$5:$J$107,MATCH(K539,'Datos - Catálogo TIMSS'!$A$5:$A$107,0)),"No")="Sí",1,0)</f>
        <v>1</v>
      </c>
      <c r="Z539" s="36" cm="1">
        <f t="array" ref="Z539">IF(_xlfn.IFERROR(INDEX('Datos - Catálogo TIMSS'!$J$5:$J$107,MATCH(L539,'Datos - Catálogo TIMSS'!$A$5:$A$107,0)),"No")="Sí",1,0)</f>
        <v>0</v>
      </c>
      <c r="AA539" t="s" s="35">
        <v>2908</v>
      </c>
      <c r="AB539" s="39"/>
      <c r="AC539" t="str" s="39">
        <v>Física</v>
      </c>
      <c r="AD539" t="s" s="35">
        <v>1834</v>
      </c>
      <c r="AE539" t="str" s="39" cm="1">
        <f t="array" ref="AE539">IF(AD539="","",IF(LEFT(AD539,1)="1","C1",IF(LEFT(AD539,1)="2","C2",IF(LEFT(AD539,1)="3","C3",""))))</f>
        <v>C2</v>
      </c>
      <c r="AF539" t="s" s="35">
        <v>1602</v>
      </c>
      <c r="AG539" t="s" s="35">
        <v>1617</v>
      </c>
      <c r="AH539" t="s" s="35">
        <v>1602</v>
      </c>
      <c r="AI539" t="s" s="35">
        <v>1623</v>
      </c>
      <c r="AJ539" t="s" s="35">
        <v>1631</v>
      </c>
      <c r="AK539" t="s" s="35">
        <v>838</v>
      </c>
      <c r="AL539" s="39"/>
      <c r="AM539" t="str" s="39" cm="1">
        <f t="array" ref="AM539">IF(AK539="FUERA","Fuera del marco",_xlfn.IFERROR(INDEX('Datos - Catálogo PISA'!$C$5:$C$76,MATCH(AK539,'Datos - Catálogo PISA'!$A$5:$A$76,0)),"?"))</f>
        <v>Sistemas físicos</v>
      </c>
      <c r="AN539" t="s" s="35">
        <v>1652</v>
      </c>
      <c r="AO539" t="s" s="35">
        <v>4386</v>
      </c>
      <c r="AP539" t="s" s="35">
        <v>4070</v>
      </c>
      <c r="AQ539" t="s" s="35">
        <v>1756</v>
      </c>
      <c r="AR539" s="39"/>
      <c r="AS539" t="s" s="35">
        <v>1771</v>
      </c>
      <c r="AT539" t="s" s="35">
        <v>282</v>
      </c>
      <c r="AU539" t="s" s="35">
        <v>4387</v>
      </c>
      <c r="AV539" t="s" s="35">
        <v>139</v>
      </c>
      <c r="AW539" t="str" s="39" cm="1">
        <f t="array" ref="AW539">AF539&amp;"; "&amp;AG539&amp;"; "&amp;AH539&amp;"; "&amp;AI539&amp;"; "&amp;AJ539</f>
        <v>E1; D1; E1; D4; I4</v>
      </c>
    </row>
    <row r="540" ht="13.65" customHeight="1">
      <c r="A540" t="s" s="35">
        <v>4388</v>
      </c>
      <c r="B540" s="36">
        <v>9</v>
      </c>
      <c r="C540" t="s" s="35">
        <v>1823</v>
      </c>
      <c r="D540" t="s" s="35">
        <v>4371</v>
      </c>
      <c r="E540" t="s" s="35">
        <v>4372</v>
      </c>
      <c r="F540" s="36">
        <v>6</v>
      </c>
      <c r="G540" t="s" s="35">
        <v>836</v>
      </c>
      <c r="H540" t="s" s="35">
        <v>4389</v>
      </c>
      <c r="I540" t="s" s="120">
        <v>4390</v>
      </c>
      <c r="J540" t="s" s="35">
        <v>4375</v>
      </c>
      <c r="K540" t="s" s="35">
        <v>535</v>
      </c>
      <c r="L540" s="39"/>
      <c r="M540" t="str" s="39">
        <v>Física</v>
      </c>
      <c r="N540" t="str" s="39">
        <v>Movimiento y fuerzas</v>
      </c>
      <c r="O540" t="str" s="39" cm="1">
        <f t="array" ref="O540">IF(L540="","",_xlfn.IFERROR(INDEX('Datos - Catálogo TIMSS'!$C$5:$C$107,MATCH(L540,'Datos - Catálogo TIMSS'!$A$5:$A$107,0)),"?"))</f>
      </c>
      <c r="P540" t="s" s="35">
        <v>254</v>
      </c>
      <c r="Q540" t="s" s="120">
        <v>4391</v>
      </c>
      <c r="R540" t="s" s="120">
        <v>3063</v>
      </c>
      <c r="S540" s="121" cm="1">
        <f t="array" ref="S540">_xlfn.IFERROR(ISNUMBER(SEARCH("Conocer",$R540))/(ISNUMBER(SEARCH("Conocer",$R540))+ISNUMBER(SEARCH("Aplicar",$R540))+ISNUMBER(SEARCH("Razonar",$R540))),0)</f>
        <v>0</v>
      </c>
      <c r="T540" s="121" cm="1">
        <f t="array" ref="T540">_xlfn.IFERROR(ISNUMBER(SEARCH("Aplicar",$R540))/(ISNUMBER(SEARCH("Conocer",$R540))+ISNUMBER(SEARCH("Aplicar",$R540))+ISNUMBER(SEARCH("Razonar",$R540))),0)</f>
        <v>1</v>
      </c>
      <c r="U540" s="121" cm="1">
        <f t="array" ref="U540">_xlfn.IFERROR(ISNUMBER(SEARCH("Razonar",$R540))/(ISNUMBER(SEARCH("Conocer",$R540))+ISNUMBER(SEARCH("Aplicar",$R540))+ISNUMBER(SEARCH("Razonar",$R540))),0)</f>
        <v>0</v>
      </c>
      <c r="V540" t="s" s="35">
        <v>138</v>
      </c>
      <c r="W540" t="s" s="35">
        <v>138</v>
      </c>
      <c r="X540" s="36" cm="1">
        <f t="array" ref="X540">IF(OR(_xlfn.IFERROR(INDEX('Datos - Catálogo TIMSS'!$I$5:$I$107,MATCH(K540,'Datos - Catálogo TIMSS'!$A$5:$A$107,0)),"No")="Sí",_xlfn.IFERROR(INDEX('Datos - Catálogo TIMSS'!$I$5:$I$107,MATCH(L540,'Datos - Catálogo TIMSS'!$A$5:$A$107,0)),"No")="Sí"),1,0)</f>
        <v>0</v>
      </c>
      <c r="Y540" s="36" cm="1">
        <f t="array" ref="Y540">IF(_xlfn.IFERROR(INDEX('Datos - Catálogo TIMSS'!$J$5:$J$107,MATCH(K540,'Datos - Catálogo TIMSS'!$A$5:$A$107,0)),"No")="Sí",1,0)</f>
        <v>0</v>
      </c>
      <c r="Z540" s="36" cm="1">
        <f t="array" ref="Z540">IF(_xlfn.IFERROR(INDEX('Datos - Catálogo TIMSS'!$J$5:$J$107,MATCH(L540,'Datos - Catálogo TIMSS'!$A$5:$A$107,0)),"No")="Sí",1,0)</f>
        <v>0</v>
      </c>
      <c r="AA540" t="s" s="35">
        <v>2908</v>
      </c>
      <c r="AB540" s="39"/>
      <c r="AC540" t="str" s="39">
        <v>Física</v>
      </c>
      <c r="AD540" t="s" s="35">
        <v>1834</v>
      </c>
      <c r="AE540" t="str" s="39" cm="1">
        <f t="array" ref="AE540">IF(AD540="","",IF(LEFT(AD540,1)="1","C1",IF(LEFT(AD540,1)="2","C2",IF(LEFT(AD540,1)="3","C3",""))))</f>
        <v>C2</v>
      </c>
      <c r="AF540" t="s" s="35">
        <v>1602</v>
      </c>
      <c r="AG540" t="s" s="35">
        <v>1617</v>
      </c>
      <c r="AH540" t="s" s="35">
        <v>1609</v>
      </c>
      <c r="AI540" t="s" s="35">
        <v>1623</v>
      </c>
      <c r="AJ540" t="s" s="35">
        <v>1615</v>
      </c>
      <c r="AK540" t="s" s="35">
        <v>838</v>
      </c>
      <c r="AL540" s="39"/>
      <c r="AM540" t="str" s="39" cm="1">
        <f t="array" ref="AM540">IF(AK540="FUERA","Fuera del marco",_xlfn.IFERROR(INDEX('Datos - Catálogo PISA'!$C$5:$C$76,MATCH(AK540,'Datos - Catálogo PISA'!$A$5:$A$76,0)),"?"))</f>
        <v>Sistemas físicos</v>
      </c>
      <c r="AN540" t="s" s="35">
        <v>1651</v>
      </c>
      <c r="AO540" t="s" s="35">
        <v>3488</v>
      </c>
      <c r="AP540" s="39"/>
      <c r="AQ540" t="s" s="35">
        <v>1756</v>
      </c>
      <c r="AR540" s="39"/>
      <c r="AS540" t="s" s="35">
        <v>1771</v>
      </c>
      <c r="AT540" t="s" s="35">
        <v>254</v>
      </c>
      <c r="AU540" t="s" s="35">
        <v>4392</v>
      </c>
      <c r="AV540" t="s" s="35">
        <v>139</v>
      </c>
      <c r="AW540" t="str" s="39" cm="1">
        <f t="array" ref="AW540">AF540&amp;"; "&amp;AG540&amp;"; "&amp;AH540&amp;"; "&amp;AI540&amp;"; "&amp;AJ540</f>
        <v>E1; D1; E4; D4; E6</v>
      </c>
    </row>
    <row r="541" ht="13.65" customHeight="1">
      <c r="A541" t="s" s="35">
        <v>4393</v>
      </c>
      <c r="B541" s="36">
        <v>9</v>
      </c>
      <c r="C541" t="s" s="35">
        <v>1823</v>
      </c>
      <c r="D541" t="s" s="35">
        <v>4371</v>
      </c>
      <c r="E541" t="s" s="35">
        <v>4372</v>
      </c>
      <c r="F541" s="36">
        <v>7</v>
      </c>
      <c r="G541" t="s" s="35">
        <v>836</v>
      </c>
      <c r="H541" t="s" s="35">
        <v>4389</v>
      </c>
      <c r="I541" t="s" s="120">
        <v>4394</v>
      </c>
      <c r="J541" t="s" s="35">
        <v>4375</v>
      </c>
      <c r="K541" t="s" s="35">
        <v>535</v>
      </c>
      <c r="L541" s="39"/>
      <c r="M541" t="str" s="39">
        <v>Física</v>
      </c>
      <c r="N541" t="str" s="39">
        <v>Movimiento y fuerzas</v>
      </c>
      <c r="O541" t="str" s="39" cm="1">
        <f t="array" ref="O541">IF(L541="","",_xlfn.IFERROR(INDEX('Datos - Catálogo TIMSS'!$C$5:$C$107,MATCH(L541,'Datos - Catálogo TIMSS'!$A$5:$A$107,0)),"?"))</f>
      </c>
      <c r="P541" t="s" s="35">
        <v>254</v>
      </c>
      <c r="Q541" t="s" s="120">
        <v>4395</v>
      </c>
      <c r="R541" t="s" s="120">
        <v>2893</v>
      </c>
      <c r="S541" s="121" cm="1">
        <f t="array" ref="S541">_xlfn.IFERROR(ISNUMBER(SEARCH("Conocer",$R541))/(ISNUMBER(SEARCH("Conocer",$R541))+ISNUMBER(SEARCH("Aplicar",$R541))+ISNUMBER(SEARCH("Razonar",$R541))),0)</f>
        <v>0</v>
      </c>
      <c r="T541" s="121" cm="1">
        <f t="array" ref="T541">_xlfn.IFERROR(ISNUMBER(SEARCH("Aplicar",$R541))/(ISNUMBER(SEARCH("Conocer",$R541))+ISNUMBER(SEARCH("Aplicar",$R541))+ISNUMBER(SEARCH("Razonar",$R541))),0)</f>
        <v>1</v>
      </c>
      <c r="U541" s="121" cm="1">
        <f t="array" ref="U541">_xlfn.IFERROR(ISNUMBER(SEARCH("Razonar",$R541))/(ISNUMBER(SEARCH("Conocer",$R541))+ISNUMBER(SEARCH("Aplicar",$R541))+ISNUMBER(SEARCH("Razonar",$R541))),0)</f>
        <v>0</v>
      </c>
      <c r="V541" t="s" s="35">
        <v>138</v>
      </c>
      <c r="W541" t="s" s="35">
        <v>138</v>
      </c>
      <c r="X541" s="36" cm="1">
        <f t="array" ref="X541">IF(OR(_xlfn.IFERROR(INDEX('Datos - Catálogo TIMSS'!$I$5:$I$107,MATCH(K541,'Datos - Catálogo TIMSS'!$A$5:$A$107,0)),"No")="Sí",_xlfn.IFERROR(INDEX('Datos - Catálogo TIMSS'!$I$5:$I$107,MATCH(L541,'Datos - Catálogo TIMSS'!$A$5:$A$107,0)),"No")="Sí"),1,0)</f>
        <v>0</v>
      </c>
      <c r="Y541" s="36" cm="1">
        <f t="array" ref="Y541">IF(_xlfn.IFERROR(INDEX('Datos - Catálogo TIMSS'!$J$5:$J$107,MATCH(K541,'Datos - Catálogo TIMSS'!$A$5:$A$107,0)),"No")="Sí",1,0)</f>
        <v>0</v>
      </c>
      <c r="Z541" s="36" cm="1">
        <f t="array" ref="Z541">IF(_xlfn.IFERROR(INDEX('Datos - Catálogo TIMSS'!$J$5:$J$107,MATCH(L541,'Datos - Catálogo TIMSS'!$A$5:$A$107,0)),"No")="Sí",1,0)</f>
        <v>0</v>
      </c>
      <c r="AA541" t="s" s="35">
        <v>2908</v>
      </c>
      <c r="AB541" s="39"/>
      <c r="AC541" t="str" s="39">
        <v>Física</v>
      </c>
      <c r="AD541" t="s" s="35">
        <v>1834</v>
      </c>
      <c r="AE541" t="str" s="39" cm="1">
        <f t="array" ref="AE541">IF(AD541="","",IF(LEFT(AD541,1)="1","C1",IF(LEFT(AD541,1)="2","C2",IF(LEFT(AD541,1)="3","C3",""))))</f>
        <v>C2</v>
      </c>
      <c r="AF541" t="s" s="35">
        <v>1602</v>
      </c>
      <c r="AG541" t="s" s="35">
        <v>1607</v>
      </c>
      <c r="AH541" t="s" s="35">
        <v>1602</v>
      </c>
      <c r="AI541" t="s" s="35">
        <v>1623</v>
      </c>
      <c r="AJ541" t="s" s="35">
        <v>1615</v>
      </c>
      <c r="AK541" t="s" s="35">
        <v>838</v>
      </c>
      <c r="AL541" s="39"/>
      <c r="AM541" t="str" s="39" cm="1">
        <f t="array" ref="AM541">IF(AK541="FUERA","Fuera del marco",_xlfn.IFERROR(INDEX('Datos - Catálogo PISA'!$C$5:$C$76,MATCH(AK541,'Datos - Catálogo PISA'!$A$5:$A$76,0)),"?"))</f>
        <v>Sistemas físicos</v>
      </c>
      <c r="AN541" t="s" s="35">
        <v>1651</v>
      </c>
      <c r="AO541" t="s" s="35">
        <v>3575</v>
      </c>
      <c r="AP541" s="39"/>
      <c r="AQ541" t="s" s="35">
        <v>1756</v>
      </c>
      <c r="AR541" s="39"/>
      <c r="AS541" t="s" s="35">
        <v>1771</v>
      </c>
      <c r="AT541" t="s" s="35">
        <v>254</v>
      </c>
      <c r="AU541" t="s" s="35">
        <v>4396</v>
      </c>
      <c r="AV541" t="s" s="35">
        <v>139</v>
      </c>
      <c r="AW541" t="str" s="39" cm="1">
        <f t="array" ref="AW541">AF541&amp;"; "&amp;AG541&amp;"; "&amp;AH541&amp;"; "&amp;AI541&amp;"; "&amp;AJ541</f>
        <v>E1; E3; E1; D4; E6</v>
      </c>
    </row>
    <row r="542" ht="13.65" customHeight="1">
      <c r="A542" t="s" s="35">
        <v>4397</v>
      </c>
      <c r="B542" s="36">
        <v>9</v>
      </c>
      <c r="C542" t="s" s="35">
        <v>1823</v>
      </c>
      <c r="D542" t="s" s="35">
        <v>4371</v>
      </c>
      <c r="E542" t="s" s="35">
        <v>4372</v>
      </c>
      <c r="F542" s="36">
        <v>8</v>
      </c>
      <c r="G542" t="s" s="35">
        <v>836</v>
      </c>
      <c r="H542" t="s" s="35">
        <v>4398</v>
      </c>
      <c r="I542" t="s" s="120">
        <v>4399</v>
      </c>
      <c r="J542" t="s" s="35">
        <v>4375</v>
      </c>
      <c r="K542" t="s" s="35">
        <v>535</v>
      </c>
      <c r="L542" s="39"/>
      <c r="M542" t="str" s="39">
        <v>Física</v>
      </c>
      <c r="N542" t="str" s="39">
        <v>Movimiento y fuerzas</v>
      </c>
      <c r="O542" t="str" s="39" cm="1">
        <f t="array" ref="O542">IF(L542="","",_xlfn.IFERROR(INDEX('Datos - Catálogo TIMSS'!$C$5:$C$107,MATCH(L542,'Datos - Catálogo TIMSS'!$A$5:$A$107,0)),"?"))</f>
      </c>
      <c r="P542" t="s" s="35">
        <v>254</v>
      </c>
      <c r="Q542" t="s" s="120">
        <v>4400</v>
      </c>
      <c r="R542" t="s" s="120">
        <v>3943</v>
      </c>
      <c r="S542" s="121" cm="1">
        <f t="array" ref="S542">_xlfn.IFERROR(ISNUMBER(SEARCH("Conocer",$R542))/(ISNUMBER(SEARCH("Conocer",$R542))+ISNUMBER(SEARCH("Aplicar",$R542))+ISNUMBER(SEARCH("Razonar",$R542))),0)</f>
        <v>0</v>
      </c>
      <c r="T542" s="121" cm="1">
        <f t="array" ref="T542">_xlfn.IFERROR(ISNUMBER(SEARCH("Aplicar",$R542))/(ISNUMBER(SEARCH("Conocer",$R542))+ISNUMBER(SEARCH("Aplicar",$R542))+ISNUMBER(SEARCH("Razonar",$R542))),0)</f>
        <v>1</v>
      </c>
      <c r="U542" s="121" cm="1">
        <f t="array" ref="U542">_xlfn.IFERROR(ISNUMBER(SEARCH("Razonar",$R542))/(ISNUMBER(SEARCH("Conocer",$R542))+ISNUMBER(SEARCH("Aplicar",$R542))+ISNUMBER(SEARCH("Razonar",$R542))),0)</f>
        <v>0</v>
      </c>
      <c r="V542" t="s" s="35">
        <v>138</v>
      </c>
      <c r="W542" t="s" s="35">
        <v>138</v>
      </c>
      <c r="X542" s="36" cm="1">
        <f t="array" ref="X542">IF(OR(_xlfn.IFERROR(INDEX('Datos - Catálogo TIMSS'!$I$5:$I$107,MATCH(K542,'Datos - Catálogo TIMSS'!$A$5:$A$107,0)),"No")="Sí",_xlfn.IFERROR(INDEX('Datos - Catálogo TIMSS'!$I$5:$I$107,MATCH(L542,'Datos - Catálogo TIMSS'!$A$5:$A$107,0)),"No")="Sí"),1,0)</f>
        <v>0</v>
      </c>
      <c r="Y542" s="36" cm="1">
        <f t="array" ref="Y542">IF(_xlfn.IFERROR(INDEX('Datos - Catálogo TIMSS'!$J$5:$J$107,MATCH(K542,'Datos - Catálogo TIMSS'!$A$5:$A$107,0)),"No")="Sí",1,0)</f>
        <v>0</v>
      </c>
      <c r="Z542" s="36" cm="1">
        <f t="array" ref="Z542">IF(_xlfn.IFERROR(INDEX('Datos - Catálogo TIMSS'!$J$5:$J$107,MATCH(L542,'Datos - Catálogo TIMSS'!$A$5:$A$107,0)),"No")="Sí",1,0)</f>
        <v>0</v>
      </c>
      <c r="AA542" t="s" s="35">
        <v>2908</v>
      </c>
      <c r="AB542" s="39"/>
      <c r="AC542" t="str" s="39">
        <v>Física</v>
      </c>
      <c r="AD542" t="s" s="35">
        <v>1834</v>
      </c>
      <c r="AE542" t="str" s="39" cm="1">
        <f t="array" ref="AE542">IF(AD542="","",IF(LEFT(AD542,1)="1","C1",IF(LEFT(AD542,1)="2","C2",IF(LEFT(AD542,1)="3","C3",""))))</f>
        <v>C2</v>
      </c>
      <c r="AF542" t="s" s="35">
        <v>1602</v>
      </c>
      <c r="AG542" t="s" s="35">
        <v>1617</v>
      </c>
      <c r="AH542" t="s" s="35">
        <v>1602</v>
      </c>
      <c r="AI542" t="s" s="35">
        <v>1623</v>
      </c>
      <c r="AJ542" t="s" s="35">
        <v>1615</v>
      </c>
      <c r="AK542" t="s" s="35">
        <v>838</v>
      </c>
      <c r="AL542" t="s" s="35">
        <v>822</v>
      </c>
      <c r="AM542" t="str" s="39" cm="1">
        <f t="array" ref="AM542">IF(AK542="FUERA","Fuera del marco",_xlfn.IFERROR(INDEX('Datos - Catálogo PISA'!$C$5:$C$76,MATCH(AK542,'Datos - Catálogo PISA'!$A$5:$A$76,0)),"?"))</f>
        <v>Sistemas físicos</v>
      </c>
      <c r="AN542" t="s" s="35">
        <v>1651</v>
      </c>
      <c r="AO542" s="39"/>
      <c r="AP542" s="39"/>
      <c r="AQ542" t="s" s="35">
        <v>1756</v>
      </c>
      <c r="AR542" s="39"/>
      <c r="AS542" t="s" s="35">
        <v>1771</v>
      </c>
      <c r="AT542" t="s" s="35">
        <v>254</v>
      </c>
      <c r="AU542" t="s" s="35">
        <v>4401</v>
      </c>
      <c r="AV542" t="s" s="35">
        <v>139</v>
      </c>
      <c r="AW542" t="str" s="39" cm="1">
        <f t="array" ref="AW542">AF542&amp;"; "&amp;AG542&amp;"; "&amp;AH542&amp;"; "&amp;AI542&amp;"; "&amp;AJ542</f>
        <v>E1; D1; E1; D4; E6</v>
      </c>
    </row>
    <row r="543" ht="13.65" customHeight="1">
      <c r="A543" t="s" s="35">
        <v>4402</v>
      </c>
      <c r="B543" s="36">
        <v>9</v>
      </c>
      <c r="C543" t="s" s="35">
        <v>1823</v>
      </c>
      <c r="D543" t="s" s="35">
        <v>4371</v>
      </c>
      <c r="E543" t="s" s="35">
        <v>4372</v>
      </c>
      <c r="F543" s="36">
        <v>9</v>
      </c>
      <c r="G543" t="s" s="35">
        <v>836</v>
      </c>
      <c r="H543" t="s" s="35">
        <v>4403</v>
      </c>
      <c r="I543" t="s" s="120">
        <v>4404</v>
      </c>
      <c r="J543" t="s" s="35">
        <v>4375</v>
      </c>
      <c r="K543" t="s" s="35">
        <v>535</v>
      </c>
      <c r="L543" s="39"/>
      <c r="M543" t="str" s="39">
        <v>Física</v>
      </c>
      <c r="N543" t="str" s="39">
        <v>Movimiento y fuerzas</v>
      </c>
      <c r="O543" t="str" s="39" cm="1">
        <f t="array" ref="O543">IF(L543="","",_xlfn.IFERROR(INDEX('Datos - Catálogo TIMSS'!$C$5:$C$107,MATCH(L543,'Datos - Catálogo TIMSS'!$A$5:$A$107,0)),"?"))</f>
      </c>
      <c r="P543" t="s" s="35">
        <v>282</v>
      </c>
      <c r="Q543" t="s" s="120">
        <v>4405</v>
      </c>
      <c r="R543" t="s" s="120">
        <v>4406</v>
      </c>
      <c r="S543" s="121" cm="1">
        <f t="array" ref="S543">_xlfn.IFERROR(ISNUMBER(SEARCH("Conocer",$R543))/(ISNUMBER(SEARCH("Conocer",$R543))+ISNUMBER(SEARCH("Aplicar",$R543))+ISNUMBER(SEARCH("Razonar",$R543))),0)</f>
        <v>0</v>
      </c>
      <c r="T543" s="121" cm="1">
        <f t="array" ref="T543">_xlfn.IFERROR(ISNUMBER(SEARCH("Aplicar",$R543))/(ISNUMBER(SEARCH("Conocer",$R543))+ISNUMBER(SEARCH("Aplicar",$R543))+ISNUMBER(SEARCH("Razonar",$R543))),0)</f>
        <v>0.5</v>
      </c>
      <c r="U543" s="121" cm="1">
        <f t="array" ref="U543">_xlfn.IFERROR(ISNUMBER(SEARCH("Razonar",$R543))/(ISNUMBER(SEARCH("Conocer",$R543))+ISNUMBER(SEARCH("Aplicar",$R543))+ISNUMBER(SEARCH("Razonar",$R543))),0)</f>
        <v>0.5</v>
      </c>
      <c r="V543" t="s" s="35">
        <v>138</v>
      </c>
      <c r="W543" t="s" s="35">
        <v>138</v>
      </c>
      <c r="X543" s="36" cm="1">
        <f t="array" ref="X543">IF(OR(_xlfn.IFERROR(INDEX('Datos - Catálogo TIMSS'!$I$5:$I$107,MATCH(K543,'Datos - Catálogo TIMSS'!$A$5:$A$107,0)),"No")="Sí",_xlfn.IFERROR(INDEX('Datos - Catálogo TIMSS'!$I$5:$I$107,MATCH(L543,'Datos - Catálogo TIMSS'!$A$5:$A$107,0)),"No")="Sí"),1,0)</f>
        <v>0</v>
      </c>
      <c r="Y543" s="36" cm="1">
        <f t="array" ref="Y543">IF(_xlfn.IFERROR(INDEX('Datos - Catálogo TIMSS'!$J$5:$J$107,MATCH(K543,'Datos - Catálogo TIMSS'!$A$5:$A$107,0)),"No")="Sí",1,0)</f>
        <v>0</v>
      </c>
      <c r="Z543" s="36" cm="1">
        <f t="array" ref="Z543">IF(_xlfn.IFERROR(INDEX('Datos - Catálogo TIMSS'!$J$5:$J$107,MATCH(L543,'Datos - Catálogo TIMSS'!$A$5:$A$107,0)),"No")="Sí",1,0)</f>
        <v>0</v>
      </c>
      <c r="AA543" t="s" s="35">
        <v>2908</v>
      </c>
      <c r="AB543" s="39"/>
      <c r="AC543" t="str" s="39">
        <v>Física</v>
      </c>
      <c r="AD543" t="s" s="35">
        <v>1859</v>
      </c>
      <c r="AE543" t="str" s="39" cm="1">
        <f t="array" ref="AE543">IF(AD543="","",IF(LEFT(AD543,1)="1","C1",IF(LEFT(AD543,1)="2","C2",IF(LEFT(AD543,1)="3","C3",""))))</f>
        <v>C1</v>
      </c>
      <c r="AF543" t="s" s="35">
        <v>1602</v>
      </c>
      <c r="AG543" t="s" s="35">
        <v>1617</v>
      </c>
      <c r="AH543" t="s" s="35">
        <v>1602</v>
      </c>
      <c r="AI543" t="s" s="35">
        <v>1623</v>
      </c>
      <c r="AJ543" t="s" s="35">
        <v>1615</v>
      </c>
      <c r="AK543" t="s" s="35">
        <v>838</v>
      </c>
      <c r="AL543" s="39"/>
      <c r="AM543" t="str" s="39" cm="1">
        <f t="array" ref="AM543">IF(AK543="FUERA","Fuera del marco",_xlfn.IFERROR(INDEX('Datos - Catálogo PISA'!$C$5:$C$76,MATCH(AK543,'Datos - Catálogo PISA'!$A$5:$A$76,0)),"?"))</f>
        <v>Sistemas físicos</v>
      </c>
      <c r="AN543" t="s" s="35">
        <v>1651</v>
      </c>
      <c r="AO543" s="39"/>
      <c r="AP543" s="39"/>
      <c r="AQ543" t="s" s="35">
        <v>1756</v>
      </c>
      <c r="AR543" s="39"/>
      <c r="AS543" t="s" s="35">
        <v>1771</v>
      </c>
      <c r="AT543" t="s" s="35">
        <v>282</v>
      </c>
      <c r="AU543" t="s" s="35">
        <v>4407</v>
      </c>
      <c r="AV543" t="s" s="35">
        <v>139</v>
      </c>
      <c r="AW543" t="str" s="39" cm="1">
        <f t="array" ref="AW543">AF543&amp;"; "&amp;AG543&amp;"; "&amp;AH543&amp;"; "&amp;AI543&amp;"; "&amp;AJ543</f>
        <v>E1; D1; E1; D4; E6</v>
      </c>
    </row>
    <row r="544" ht="13.65" customHeight="1">
      <c r="A544" t="s" s="35">
        <v>4408</v>
      </c>
      <c r="B544" s="36">
        <v>9</v>
      </c>
      <c r="C544" t="s" s="35">
        <v>1823</v>
      </c>
      <c r="D544" t="s" s="35">
        <v>4371</v>
      </c>
      <c r="E544" t="s" s="35">
        <v>4372</v>
      </c>
      <c r="F544" s="36">
        <v>10</v>
      </c>
      <c r="G544" t="s" s="35">
        <v>836</v>
      </c>
      <c r="H544" t="s" s="35">
        <v>4409</v>
      </c>
      <c r="I544" t="s" s="120">
        <v>4410</v>
      </c>
      <c r="J544" t="s" s="35">
        <v>4375</v>
      </c>
      <c r="K544" t="s" s="35">
        <v>535</v>
      </c>
      <c r="L544" t="s" s="35">
        <v>569</v>
      </c>
      <c r="M544" t="str" s="39">
        <v>Física</v>
      </c>
      <c r="N544" t="str" s="39">
        <v>Movimiento y fuerzas</v>
      </c>
      <c r="O544" t="str" s="39" cm="1">
        <f t="array" ref="O544">IF(L544="","",_xlfn.IFERROR(INDEX('Datos - Catálogo TIMSS'!$C$5:$C$107,MATCH(L544,'Datos - Catálogo TIMSS'!$A$5:$A$107,0)),"?"))</f>
        <v>Física</v>
      </c>
      <c r="P544" t="s" s="35">
        <v>282</v>
      </c>
      <c r="Q544" t="s" s="120">
        <v>4411</v>
      </c>
      <c r="R544" t="s" s="120">
        <v>2902</v>
      </c>
      <c r="S544" s="121" cm="1">
        <f t="array" ref="S544">_xlfn.IFERROR(ISNUMBER(SEARCH("Conocer",$R544))/(ISNUMBER(SEARCH("Conocer",$R544))+ISNUMBER(SEARCH("Aplicar",$R544))+ISNUMBER(SEARCH("Razonar",$R544))),0)</f>
        <v>0</v>
      </c>
      <c r="T544" s="121" cm="1">
        <f t="array" ref="T544">_xlfn.IFERROR(ISNUMBER(SEARCH("Aplicar",$R544))/(ISNUMBER(SEARCH("Conocer",$R544))+ISNUMBER(SEARCH("Aplicar",$R544))+ISNUMBER(SEARCH("Razonar",$R544))),0)</f>
        <v>0.5</v>
      </c>
      <c r="U544" s="121" cm="1">
        <f t="array" ref="U544">_xlfn.IFERROR(ISNUMBER(SEARCH("Razonar",$R544))/(ISNUMBER(SEARCH("Conocer",$R544))+ISNUMBER(SEARCH("Aplicar",$R544))+ISNUMBER(SEARCH("Razonar",$R544))),0)</f>
        <v>0.5</v>
      </c>
      <c r="V544" t="s" s="35">
        <v>138</v>
      </c>
      <c r="W544" t="s" s="35">
        <v>138</v>
      </c>
      <c r="X544" s="36" cm="1">
        <f t="array" ref="X544">IF(OR(_xlfn.IFERROR(INDEX('Datos - Catálogo TIMSS'!$I$5:$I$107,MATCH(K544,'Datos - Catálogo TIMSS'!$A$5:$A$107,0)),"No")="Sí",_xlfn.IFERROR(INDEX('Datos - Catálogo TIMSS'!$I$5:$I$107,MATCH(L544,'Datos - Catálogo TIMSS'!$A$5:$A$107,0)),"No")="Sí"),1,0)</f>
        <v>0</v>
      </c>
      <c r="Y544" s="36" cm="1">
        <f t="array" ref="Y544">IF(_xlfn.IFERROR(INDEX('Datos - Catálogo TIMSS'!$J$5:$J$107,MATCH(K544,'Datos - Catálogo TIMSS'!$A$5:$A$107,0)),"No")="Sí",1,0)</f>
        <v>0</v>
      </c>
      <c r="Z544" s="36" cm="1">
        <f t="array" ref="Z544">IF(_xlfn.IFERROR(INDEX('Datos - Catálogo TIMSS'!$J$5:$J$107,MATCH(L544,'Datos - Catálogo TIMSS'!$A$5:$A$107,0)),"No")="Sí",1,0)</f>
        <v>1</v>
      </c>
      <c r="AA544" t="s" s="35">
        <v>2908</v>
      </c>
      <c r="AB544" s="39"/>
      <c r="AC544" t="str" s="39">
        <v>Física</v>
      </c>
      <c r="AD544" t="s" s="35">
        <v>1834</v>
      </c>
      <c r="AE544" t="str" s="39" cm="1">
        <f t="array" ref="AE544">IF(AD544="","",IF(LEFT(AD544,1)="1","C1",IF(LEFT(AD544,1)="2","C2",IF(LEFT(AD544,1)="3","C3",""))))</f>
        <v>C2</v>
      </c>
      <c r="AF544" t="s" s="35">
        <v>1602</v>
      </c>
      <c r="AG544" t="s" s="35">
        <v>1607</v>
      </c>
      <c r="AH544" t="s" s="35">
        <v>1602</v>
      </c>
      <c r="AI544" t="s" s="35">
        <v>1623</v>
      </c>
      <c r="AJ544" t="s" s="35">
        <v>1607</v>
      </c>
      <c r="AK544" t="s" s="35">
        <v>838</v>
      </c>
      <c r="AL544" s="39"/>
      <c r="AM544" t="str" s="39" cm="1">
        <f t="array" ref="AM544">IF(AK544="FUERA","Fuera del marco",_xlfn.IFERROR(INDEX('Datos - Catálogo PISA'!$C$5:$C$76,MATCH(AK544,'Datos - Catálogo PISA'!$A$5:$A$76,0)),"?"))</f>
        <v>Sistemas físicos</v>
      </c>
      <c r="AN544" t="s" s="35">
        <v>1651</v>
      </c>
      <c r="AO544" t="s" s="35">
        <v>3750</v>
      </c>
      <c r="AP544" s="39"/>
      <c r="AQ544" t="s" s="35">
        <v>1756</v>
      </c>
      <c r="AR544" s="39"/>
      <c r="AS544" t="s" s="35">
        <v>1771</v>
      </c>
      <c r="AT544" t="s" s="35">
        <v>282</v>
      </c>
      <c r="AU544" t="s" s="35">
        <v>4412</v>
      </c>
      <c r="AV544" t="s" s="35">
        <v>139</v>
      </c>
      <c r="AW544" t="str" s="39" cm="1">
        <f t="array" ref="AW544">AF544&amp;"; "&amp;AG544&amp;"; "&amp;AH544&amp;"; "&amp;AI544&amp;"; "&amp;AJ544</f>
        <v>E1; E3; E1; D4; E3</v>
      </c>
    </row>
    <row r="545" ht="13.65" customHeight="1">
      <c r="A545" t="s" s="35">
        <v>4413</v>
      </c>
      <c r="B545" s="36">
        <v>9</v>
      </c>
      <c r="C545" t="s" s="35">
        <v>1823</v>
      </c>
      <c r="D545" t="s" s="35">
        <v>4371</v>
      </c>
      <c r="E545" t="s" s="35">
        <v>4372</v>
      </c>
      <c r="F545" s="36">
        <v>11</v>
      </c>
      <c r="G545" t="s" s="35">
        <v>836</v>
      </c>
      <c r="H545" t="s" s="35">
        <v>4409</v>
      </c>
      <c r="I545" t="s" s="120">
        <v>4414</v>
      </c>
      <c r="J545" t="s" s="35">
        <v>4375</v>
      </c>
      <c r="K545" t="s" s="35">
        <v>535</v>
      </c>
      <c r="L545" s="39"/>
      <c r="M545" t="str" s="39">
        <v>Física</v>
      </c>
      <c r="N545" t="str" s="39">
        <v>Movimiento y fuerzas</v>
      </c>
      <c r="O545" t="str" s="39" cm="1">
        <f t="array" ref="O545">IF(L545="","",_xlfn.IFERROR(INDEX('Datos - Catálogo TIMSS'!$C$5:$C$107,MATCH(L545,'Datos - Catálogo TIMSS'!$A$5:$A$107,0)),"?"))</f>
      </c>
      <c r="P545" t="s" s="35">
        <v>282</v>
      </c>
      <c r="Q545" t="s" s="120">
        <v>4415</v>
      </c>
      <c r="R545" t="s" s="120">
        <v>2962</v>
      </c>
      <c r="S545" s="121" cm="1">
        <f t="array" ref="S545">_xlfn.IFERROR(ISNUMBER(SEARCH("Conocer",$R545))/(ISNUMBER(SEARCH("Conocer",$R545))+ISNUMBER(SEARCH("Aplicar",$R545))+ISNUMBER(SEARCH("Razonar",$R545))),0)</f>
        <v>0</v>
      </c>
      <c r="T545" s="121" cm="1">
        <f t="array" ref="T545">_xlfn.IFERROR(ISNUMBER(SEARCH("Aplicar",$R545))/(ISNUMBER(SEARCH("Conocer",$R545))+ISNUMBER(SEARCH("Aplicar",$R545))+ISNUMBER(SEARCH("Razonar",$R545))),0)</f>
        <v>1</v>
      </c>
      <c r="U545" s="121" cm="1">
        <f t="array" ref="U545">_xlfn.IFERROR(ISNUMBER(SEARCH("Razonar",$R545))/(ISNUMBER(SEARCH("Conocer",$R545))+ISNUMBER(SEARCH("Aplicar",$R545))+ISNUMBER(SEARCH("Razonar",$R545))),0)</f>
        <v>0</v>
      </c>
      <c r="V545" t="s" s="35">
        <v>138</v>
      </c>
      <c r="W545" t="s" s="35">
        <v>138</v>
      </c>
      <c r="X545" s="36" cm="1">
        <f t="array" ref="X545">IF(OR(_xlfn.IFERROR(INDEX('Datos - Catálogo TIMSS'!$I$5:$I$107,MATCH(K545,'Datos - Catálogo TIMSS'!$A$5:$A$107,0)),"No")="Sí",_xlfn.IFERROR(INDEX('Datos - Catálogo TIMSS'!$I$5:$I$107,MATCH(L545,'Datos - Catálogo TIMSS'!$A$5:$A$107,0)),"No")="Sí"),1,0)</f>
        <v>0</v>
      </c>
      <c r="Y545" s="36" cm="1">
        <f t="array" ref="Y545">IF(_xlfn.IFERROR(INDEX('Datos - Catálogo TIMSS'!$J$5:$J$107,MATCH(K545,'Datos - Catálogo TIMSS'!$A$5:$A$107,0)),"No")="Sí",1,0)</f>
        <v>0</v>
      </c>
      <c r="Z545" s="36" cm="1">
        <f t="array" ref="Z545">IF(_xlfn.IFERROR(INDEX('Datos - Catálogo TIMSS'!$J$5:$J$107,MATCH(L545,'Datos - Catálogo TIMSS'!$A$5:$A$107,0)),"No")="Sí",1,0)</f>
        <v>0</v>
      </c>
      <c r="AA545" t="s" s="35">
        <v>2908</v>
      </c>
      <c r="AB545" s="39"/>
      <c r="AC545" t="str" s="39">
        <v>Física</v>
      </c>
      <c r="AD545" t="s" s="35">
        <v>1834</v>
      </c>
      <c r="AE545" t="str" s="39" cm="1">
        <f t="array" ref="AE545">IF(AD545="","",IF(LEFT(AD545,1)="1","C1",IF(LEFT(AD545,1)="2","C2",IF(LEFT(AD545,1)="3","C3",""))))</f>
        <v>C2</v>
      </c>
      <c r="AF545" t="s" s="35">
        <v>1602</v>
      </c>
      <c r="AG545" t="s" s="35">
        <v>1617</v>
      </c>
      <c r="AH545" t="s" s="35">
        <v>1602</v>
      </c>
      <c r="AI545" t="s" s="35">
        <v>1623</v>
      </c>
      <c r="AJ545" t="s" s="35">
        <v>1607</v>
      </c>
      <c r="AK545" t="s" s="35">
        <v>838</v>
      </c>
      <c r="AL545" t="s" s="35">
        <v>854</v>
      </c>
      <c r="AM545" t="str" s="39" cm="1">
        <f t="array" ref="AM545">IF(AK545="FUERA","Fuera del marco",_xlfn.IFERROR(INDEX('Datos - Catálogo PISA'!$C$5:$C$76,MATCH(AK545,'Datos - Catálogo PISA'!$A$5:$A$76,0)),"?"))</f>
        <v>Sistemas físicos</v>
      </c>
      <c r="AN545" t="s" s="35">
        <v>1651</v>
      </c>
      <c r="AO545" t="s" s="35">
        <v>4416</v>
      </c>
      <c r="AP545" s="39"/>
      <c r="AQ545" t="s" s="35">
        <v>1756</v>
      </c>
      <c r="AR545" s="39"/>
      <c r="AS545" t="s" s="35">
        <v>1771</v>
      </c>
      <c r="AT545" t="s" s="35">
        <v>282</v>
      </c>
      <c r="AU545" t="s" s="35">
        <v>4417</v>
      </c>
      <c r="AV545" t="s" s="35">
        <v>139</v>
      </c>
      <c r="AW545" t="str" s="39" cm="1">
        <f t="array" ref="AW545">AF545&amp;"; "&amp;AG545&amp;"; "&amp;AH545&amp;"; "&amp;AI545&amp;"; "&amp;AJ545</f>
        <v>E1; D1; E1; D4; E3</v>
      </c>
    </row>
    <row r="546" ht="13.65" customHeight="1">
      <c r="A546" t="s" s="35">
        <v>4418</v>
      </c>
      <c r="B546" s="36">
        <v>9</v>
      </c>
      <c r="C546" t="s" s="35">
        <v>1823</v>
      </c>
      <c r="D546" t="s" s="35">
        <v>4371</v>
      </c>
      <c r="E546" t="s" s="35">
        <v>4372</v>
      </c>
      <c r="F546" s="36">
        <v>12</v>
      </c>
      <c r="G546" t="s" s="35">
        <v>836</v>
      </c>
      <c r="H546" t="s" s="35">
        <v>4419</v>
      </c>
      <c r="I546" t="s" s="120">
        <v>4420</v>
      </c>
      <c r="J546" t="s" s="35">
        <v>4375</v>
      </c>
      <c r="K546" t="s" s="35">
        <v>535</v>
      </c>
      <c r="L546" t="s" s="35">
        <v>569</v>
      </c>
      <c r="M546" t="str" s="39">
        <v>Física</v>
      </c>
      <c r="N546" t="str" s="39">
        <v>Movimiento y fuerzas</v>
      </c>
      <c r="O546" t="str" s="39" cm="1">
        <f t="array" ref="O546">IF(L546="","",_xlfn.IFERROR(INDEX('Datos - Catálogo TIMSS'!$C$5:$C$107,MATCH(L546,'Datos - Catálogo TIMSS'!$A$5:$A$107,0)),"?"))</f>
        <v>Física</v>
      </c>
      <c r="P546" t="s" s="35">
        <v>282</v>
      </c>
      <c r="Q546" t="s" s="120">
        <v>4421</v>
      </c>
      <c r="R546" t="s" s="120">
        <v>4422</v>
      </c>
      <c r="S546" s="121" cm="1">
        <f t="array" ref="S546">_xlfn.IFERROR(ISNUMBER(SEARCH("Conocer",$R546))/(ISNUMBER(SEARCH("Conocer",$R546))+ISNUMBER(SEARCH("Aplicar",$R546))+ISNUMBER(SEARCH("Razonar",$R546))),0)</f>
        <v>0</v>
      </c>
      <c r="T546" s="121" cm="1">
        <f t="array" ref="T546">_xlfn.IFERROR(ISNUMBER(SEARCH("Aplicar",$R546))/(ISNUMBER(SEARCH("Conocer",$R546))+ISNUMBER(SEARCH("Aplicar",$R546))+ISNUMBER(SEARCH("Razonar",$R546))),0)</f>
        <v>1</v>
      </c>
      <c r="U546" s="121" cm="1">
        <f t="array" ref="U546">_xlfn.IFERROR(ISNUMBER(SEARCH("Razonar",$R546))/(ISNUMBER(SEARCH("Conocer",$R546))+ISNUMBER(SEARCH("Aplicar",$R546))+ISNUMBER(SEARCH("Razonar",$R546))),0)</f>
        <v>0</v>
      </c>
      <c r="V546" t="s" s="35">
        <v>138</v>
      </c>
      <c r="W546" t="s" s="35">
        <v>138</v>
      </c>
      <c r="X546" s="36" cm="1">
        <f t="array" ref="X546">IF(OR(_xlfn.IFERROR(INDEX('Datos - Catálogo TIMSS'!$I$5:$I$107,MATCH(K546,'Datos - Catálogo TIMSS'!$A$5:$A$107,0)),"No")="Sí",_xlfn.IFERROR(INDEX('Datos - Catálogo TIMSS'!$I$5:$I$107,MATCH(L546,'Datos - Catálogo TIMSS'!$A$5:$A$107,0)),"No")="Sí"),1,0)</f>
        <v>0</v>
      </c>
      <c r="Y546" s="36" cm="1">
        <f t="array" ref="Y546">IF(_xlfn.IFERROR(INDEX('Datos - Catálogo TIMSS'!$J$5:$J$107,MATCH(K546,'Datos - Catálogo TIMSS'!$A$5:$A$107,0)),"No")="Sí",1,0)</f>
        <v>0</v>
      </c>
      <c r="Z546" s="36" cm="1">
        <f t="array" ref="Z546">IF(_xlfn.IFERROR(INDEX('Datos - Catálogo TIMSS'!$J$5:$J$107,MATCH(L546,'Datos - Catálogo TIMSS'!$A$5:$A$107,0)),"No")="Sí",1,0)</f>
        <v>1</v>
      </c>
      <c r="AA546" t="s" s="35">
        <v>2889</v>
      </c>
      <c r="AB546" s="39"/>
      <c r="AC546" t="str" s="39">
        <v>Física</v>
      </c>
      <c r="AD546" t="s" s="35">
        <v>1834</v>
      </c>
      <c r="AE546" t="str" s="39" cm="1">
        <f t="array" ref="AE546">IF(AD546="","",IF(LEFT(AD546,1)="1","C1",IF(LEFT(AD546,1)="2","C2",IF(LEFT(AD546,1)="3","C3",""))))</f>
        <v>C2</v>
      </c>
      <c r="AF546" t="s" s="35">
        <v>1602</v>
      </c>
      <c r="AG546" t="s" s="35">
        <v>1617</v>
      </c>
      <c r="AH546" t="s" s="35">
        <v>1602</v>
      </c>
      <c r="AI546" t="s" s="35">
        <v>1619</v>
      </c>
      <c r="AJ546" t="s" s="35">
        <v>1607</v>
      </c>
      <c r="AK546" t="s" s="35">
        <v>838</v>
      </c>
      <c r="AL546" t="s" s="35">
        <v>822</v>
      </c>
      <c r="AM546" t="str" s="39" cm="1">
        <f t="array" ref="AM546">IF(AK546="FUERA","Fuera del marco",_xlfn.IFERROR(INDEX('Datos - Catálogo PISA'!$C$5:$C$76,MATCH(AK546,'Datos - Catálogo PISA'!$A$5:$A$76,0)),"?"))</f>
        <v>Sistemas físicos</v>
      </c>
      <c r="AN546" t="s" s="35">
        <v>1652</v>
      </c>
      <c r="AO546" t="s" s="35">
        <v>3610</v>
      </c>
      <c r="AP546" s="39"/>
      <c r="AQ546" t="s" s="35">
        <v>1756</v>
      </c>
      <c r="AR546" s="39"/>
      <c r="AS546" t="s" s="35">
        <v>1771</v>
      </c>
      <c r="AT546" t="s" s="35">
        <v>282</v>
      </c>
      <c r="AU546" t="s" s="35">
        <v>4423</v>
      </c>
      <c r="AV546" t="s" s="35">
        <v>139</v>
      </c>
      <c r="AW546" t="str" s="39" cm="1">
        <f t="array" ref="AW546">AF546&amp;"; "&amp;AG546&amp;"; "&amp;AH546&amp;"; "&amp;AI546&amp;"; "&amp;AJ546</f>
        <v>E1; D1; E1; D2; E3</v>
      </c>
    </row>
    <row r="547" ht="13.65" customHeight="1">
      <c r="A547" t="s" s="35">
        <v>4424</v>
      </c>
      <c r="B547" s="36">
        <v>9</v>
      </c>
      <c r="C547" t="s" s="35">
        <v>1823</v>
      </c>
      <c r="D547" t="s" s="35">
        <v>4371</v>
      </c>
      <c r="E547" t="s" s="35">
        <v>4372</v>
      </c>
      <c r="F547" s="36">
        <v>13</v>
      </c>
      <c r="G547" t="s" s="35">
        <v>836</v>
      </c>
      <c r="H547" t="s" s="35">
        <v>4419</v>
      </c>
      <c r="I547" t="s" s="120">
        <v>4425</v>
      </c>
      <c r="J547" t="s" s="35">
        <v>4375</v>
      </c>
      <c r="K547" t="s" s="35">
        <v>535</v>
      </c>
      <c r="L547" t="s" s="35">
        <v>569</v>
      </c>
      <c r="M547" t="str" s="39">
        <v>Física</v>
      </c>
      <c r="N547" t="str" s="39">
        <v>Movimiento y fuerzas</v>
      </c>
      <c r="O547" t="str" s="39" cm="1">
        <f t="array" ref="O547">IF(L547="","",_xlfn.IFERROR(INDEX('Datos - Catálogo TIMSS'!$C$5:$C$107,MATCH(L547,'Datos - Catálogo TIMSS'!$A$5:$A$107,0)),"?"))</f>
        <v>Física</v>
      </c>
      <c r="P547" t="s" s="35">
        <v>282</v>
      </c>
      <c r="Q547" t="s" s="120">
        <v>4426</v>
      </c>
      <c r="R547" t="s" s="120">
        <v>4427</v>
      </c>
      <c r="S547" s="121" cm="1">
        <f t="array" ref="S547">_xlfn.IFERROR(ISNUMBER(SEARCH("Conocer",$R547))/(ISNUMBER(SEARCH("Conocer",$R547))+ISNUMBER(SEARCH("Aplicar",$R547))+ISNUMBER(SEARCH("Razonar",$R547))),0)</f>
        <v>0</v>
      </c>
      <c r="T547" s="121" cm="1">
        <f t="array" ref="T547">_xlfn.IFERROR(ISNUMBER(SEARCH("Aplicar",$R547))/(ISNUMBER(SEARCH("Conocer",$R547))+ISNUMBER(SEARCH("Aplicar",$R547))+ISNUMBER(SEARCH("Razonar",$R547))),0)</f>
        <v>0</v>
      </c>
      <c r="U547" s="121" cm="1">
        <f t="array" ref="U547">_xlfn.IFERROR(ISNUMBER(SEARCH("Razonar",$R547))/(ISNUMBER(SEARCH("Conocer",$R547))+ISNUMBER(SEARCH("Aplicar",$R547))+ISNUMBER(SEARCH("Razonar",$R547))),0)</f>
        <v>1</v>
      </c>
      <c r="V547" t="s" s="35">
        <v>138</v>
      </c>
      <c r="W547" t="s" s="35">
        <v>138</v>
      </c>
      <c r="X547" s="36" cm="1">
        <f t="array" ref="X547">IF(OR(_xlfn.IFERROR(INDEX('Datos - Catálogo TIMSS'!$I$5:$I$107,MATCH(K547,'Datos - Catálogo TIMSS'!$A$5:$A$107,0)),"No")="Sí",_xlfn.IFERROR(INDEX('Datos - Catálogo TIMSS'!$I$5:$I$107,MATCH(L547,'Datos - Catálogo TIMSS'!$A$5:$A$107,0)),"No")="Sí"),1,0)</f>
        <v>0</v>
      </c>
      <c r="Y547" s="36" cm="1">
        <f t="array" ref="Y547">IF(_xlfn.IFERROR(INDEX('Datos - Catálogo TIMSS'!$J$5:$J$107,MATCH(K547,'Datos - Catálogo TIMSS'!$A$5:$A$107,0)),"No")="Sí",1,0)</f>
        <v>0</v>
      </c>
      <c r="Z547" s="36" cm="1">
        <f t="array" ref="Z547">IF(_xlfn.IFERROR(INDEX('Datos - Catálogo TIMSS'!$J$5:$J$107,MATCH(L547,'Datos - Catálogo TIMSS'!$A$5:$A$107,0)),"No")="Sí",1,0)</f>
        <v>1</v>
      </c>
      <c r="AA547" t="s" s="35">
        <v>2889</v>
      </c>
      <c r="AB547" s="39"/>
      <c r="AC547" t="str" s="39">
        <v>Física</v>
      </c>
      <c r="AD547" t="s" s="35">
        <v>1834</v>
      </c>
      <c r="AE547" t="str" s="39" cm="1">
        <f t="array" ref="AE547">IF(AD547="","",IF(LEFT(AD547,1)="1","C1",IF(LEFT(AD547,1)="2","C2",IF(LEFT(AD547,1)="3","C3",""))))</f>
        <v>C2</v>
      </c>
      <c r="AF547" t="s" s="35">
        <v>1602</v>
      </c>
      <c r="AG547" t="s" s="35">
        <v>1617</v>
      </c>
      <c r="AH547" t="s" s="35">
        <v>1602</v>
      </c>
      <c r="AI547" t="s" s="35">
        <v>1623</v>
      </c>
      <c r="AJ547" t="s" s="35">
        <v>1631</v>
      </c>
      <c r="AK547" t="s" s="35">
        <v>838</v>
      </c>
      <c r="AL547" s="39"/>
      <c r="AM547" t="str" s="39" cm="1">
        <f t="array" ref="AM547">IF(AK547="FUERA","Fuera del marco",_xlfn.IFERROR(INDEX('Datos - Catálogo PISA'!$C$5:$C$76,MATCH(AK547,'Datos - Catálogo PISA'!$A$5:$A$76,0)),"?"))</f>
        <v>Sistemas físicos</v>
      </c>
      <c r="AN547" t="s" s="35">
        <v>1651</v>
      </c>
      <c r="AO547" t="s" s="35">
        <v>4416</v>
      </c>
      <c r="AP547" t="s" s="35">
        <v>4064</v>
      </c>
      <c r="AQ547" t="s" s="35">
        <v>1756</v>
      </c>
      <c r="AR547" s="39"/>
      <c r="AS547" t="s" s="35">
        <v>1772</v>
      </c>
      <c r="AT547" t="s" s="35">
        <v>282</v>
      </c>
      <c r="AU547" t="s" s="35">
        <v>4428</v>
      </c>
      <c r="AV547" t="s" s="35">
        <v>139</v>
      </c>
      <c r="AW547" t="str" s="39" cm="1">
        <f t="array" ref="AW547">AF547&amp;"; "&amp;AG547&amp;"; "&amp;AH547&amp;"; "&amp;AI547&amp;"; "&amp;AJ547</f>
        <v>E1; D1; E1; D4; I4</v>
      </c>
    </row>
    <row r="548" ht="13.65" customHeight="1">
      <c r="A548" t="s" s="35">
        <v>4429</v>
      </c>
      <c r="B548" s="36">
        <v>9</v>
      </c>
      <c r="C548" t="s" s="35">
        <v>1823</v>
      </c>
      <c r="D548" t="s" s="35">
        <v>4371</v>
      </c>
      <c r="E548" t="s" s="35">
        <v>4372</v>
      </c>
      <c r="F548" s="36">
        <v>14</v>
      </c>
      <c r="G548" t="s" s="35">
        <v>836</v>
      </c>
      <c r="H548" t="s" s="35">
        <v>4419</v>
      </c>
      <c r="I548" t="s" s="120">
        <v>4430</v>
      </c>
      <c r="J548" t="s" s="35">
        <v>4375</v>
      </c>
      <c r="K548" t="s" s="35">
        <v>535</v>
      </c>
      <c r="L548" s="39"/>
      <c r="M548" t="str" s="39">
        <v>Física</v>
      </c>
      <c r="N548" t="str" s="39">
        <v>Movimiento y fuerzas</v>
      </c>
      <c r="O548" t="str" s="39" cm="1">
        <f t="array" ref="O548">IF(L548="","",_xlfn.IFERROR(INDEX('Datos - Catálogo TIMSS'!$C$5:$C$107,MATCH(L548,'Datos - Catálogo TIMSS'!$A$5:$A$107,0)),"?"))</f>
      </c>
      <c r="P548" t="s" s="35">
        <v>291</v>
      </c>
      <c r="Q548" t="s" s="120">
        <v>4431</v>
      </c>
      <c r="R548" t="s" s="120">
        <v>3943</v>
      </c>
      <c r="S548" s="121" cm="1">
        <f t="array" ref="S548">_xlfn.IFERROR(ISNUMBER(SEARCH("Conocer",$R548))/(ISNUMBER(SEARCH("Conocer",$R548))+ISNUMBER(SEARCH("Aplicar",$R548))+ISNUMBER(SEARCH("Razonar",$R548))),0)</f>
        <v>0</v>
      </c>
      <c r="T548" s="121" cm="1">
        <f t="array" ref="T548">_xlfn.IFERROR(ISNUMBER(SEARCH("Aplicar",$R548))/(ISNUMBER(SEARCH("Conocer",$R548))+ISNUMBER(SEARCH("Aplicar",$R548))+ISNUMBER(SEARCH("Razonar",$R548))),0)</f>
        <v>1</v>
      </c>
      <c r="U548" s="121" cm="1">
        <f t="array" ref="U548">_xlfn.IFERROR(ISNUMBER(SEARCH("Razonar",$R548))/(ISNUMBER(SEARCH("Conocer",$R548))+ISNUMBER(SEARCH("Aplicar",$R548))+ISNUMBER(SEARCH("Razonar",$R548))),0)</f>
        <v>0</v>
      </c>
      <c r="V548" t="s" s="35">
        <v>138</v>
      </c>
      <c r="W548" t="s" s="35">
        <v>138</v>
      </c>
      <c r="X548" s="36" cm="1">
        <f t="array" ref="X548">IF(OR(_xlfn.IFERROR(INDEX('Datos - Catálogo TIMSS'!$I$5:$I$107,MATCH(K548,'Datos - Catálogo TIMSS'!$A$5:$A$107,0)),"No")="Sí",_xlfn.IFERROR(INDEX('Datos - Catálogo TIMSS'!$I$5:$I$107,MATCH(L548,'Datos - Catálogo TIMSS'!$A$5:$A$107,0)),"No")="Sí"),1,0)</f>
        <v>0</v>
      </c>
      <c r="Y548" s="36" cm="1">
        <f t="array" ref="Y548">IF(_xlfn.IFERROR(INDEX('Datos - Catálogo TIMSS'!$J$5:$J$107,MATCH(K548,'Datos - Catálogo TIMSS'!$A$5:$A$107,0)),"No")="Sí",1,0)</f>
        <v>0</v>
      </c>
      <c r="Z548" s="36" cm="1">
        <f t="array" ref="Z548">IF(_xlfn.IFERROR(INDEX('Datos - Catálogo TIMSS'!$J$5:$J$107,MATCH(L548,'Datos - Catálogo TIMSS'!$A$5:$A$107,0)),"No")="Sí",1,0)</f>
        <v>0</v>
      </c>
      <c r="AA548" t="s" s="35">
        <v>2908</v>
      </c>
      <c r="AB548" s="39"/>
      <c r="AC548" t="str" s="39">
        <v>Física</v>
      </c>
      <c r="AD548" t="s" s="35">
        <v>1834</v>
      </c>
      <c r="AE548" t="str" s="39" cm="1">
        <f t="array" ref="AE548">IF(AD548="","",IF(LEFT(AD548,1)="1","C1",IF(LEFT(AD548,1)="2","C2",IF(LEFT(AD548,1)="3","C3",""))))</f>
        <v>C2</v>
      </c>
      <c r="AF548" t="s" s="35">
        <v>1602</v>
      </c>
      <c r="AG548" t="s" s="35">
        <v>1617</v>
      </c>
      <c r="AH548" t="s" s="35">
        <v>1602</v>
      </c>
      <c r="AI548" t="s" s="35">
        <v>1623</v>
      </c>
      <c r="AJ548" t="s" s="35">
        <v>1607</v>
      </c>
      <c r="AK548" t="s" s="35">
        <v>838</v>
      </c>
      <c r="AL548" s="39"/>
      <c r="AM548" t="str" s="39" cm="1">
        <f t="array" ref="AM548">IF(AK548="FUERA","Fuera del marco",_xlfn.IFERROR(INDEX('Datos - Catálogo PISA'!$C$5:$C$76,MATCH(AK548,'Datos - Catálogo PISA'!$A$5:$A$76,0)),"?"))</f>
        <v>Sistemas físicos</v>
      </c>
      <c r="AN548" t="s" s="35">
        <v>1651</v>
      </c>
      <c r="AO548" s="39"/>
      <c r="AP548" s="39"/>
      <c r="AQ548" t="s" s="35">
        <v>1756</v>
      </c>
      <c r="AR548" s="39"/>
      <c r="AS548" t="s" s="35">
        <v>1771</v>
      </c>
      <c r="AT548" t="s" s="35">
        <v>282</v>
      </c>
      <c r="AU548" t="s" s="35">
        <v>4432</v>
      </c>
      <c r="AV548" t="s" s="35">
        <v>139</v>
      </c>
      <c r="AW548" t="str" s="39" cm="1">
        <f t="array" ref="AW548">AF548&amp;"; "&amp;AG548&amp;"; "&amp;AH548&amp;"; "&amp;AI548&amp;"; "&amp;AJ548</f>
        <v>E1; D1; E1; D4; E3</v>
      </c>
    </row>
    <row r="549" ht="13.65" customHeight="1">
      <c r="A549" t="s" s="35">
        <v>4433</v>
      </c>
      <c r="B549" s="36">
        <v>9</v>
      </c>
      <c r="C549" t="s" s="35">
        <v>1823</v>
      </c>
      <c r="D549" t="s" s="35">
        <v>4371</v>
      </c>
      <c r="E549" t="s" s="35">
        <v>3194</v>
      </c>
      <c r="F549" s="36">
        <v>3</v>
      </c>
      <c r="G549" t="s" s="35">
        <v>852</v>
      </c>
      <c r="H549" t="s" s="35">
        <v>4434</v>
      </c>
      <c r="I549" t="s" s="120">
        <v>4435</v>
      </c>
      <c r="J549" t="s" s="35">
        <v>4375</v>
      </c>
      <c r="K549" t="s" s="35">
        <v>1241</v>
      </c>
      <c r="L549" s="39"/>
      <c r="M549" t="str" s="39">
        <v>Física</v>
      </c>
      <c r="N549" t="str" s="39">
        <v>Estados físicos y cambios de la materia</v>
      </c>
      <c r="O549" t="str" s="39" cm="1">
        <f t="array" ref="O549">IF(L549="","",_xlfn.IFERROR(INDEX('Datos - Catálogo TIMSS'!$C$5:$C$107,MATCH(L549,'Datos - Catálogo TIMSS'!$A$5:$A$107,0)),"?"))</f>
      </c>
      <c r="P549" t="s" s="35">
        <v>254</v>
      </c>
      <c r="Q549" t="s" s="120">
        <v>4436</v>
      </c>
      <c r="R549" t="s" s="120">
        <v>4437</v>
      </c>
      <c r="S549" s="121" cm="1">
        <f t="array" ref="S549">_xlfn.IFERROR(ISNUMBER(SEARCH("Conocer",$R549))/(ISNUMBER(SEARCH("Conocer",$R549))+ISNUMBER(SEARCH("Aplicar",$R549))+ISNUMBER(SEARCH("Razonar",$R549))),0)</f>
        <v>1</v>
      </c>
      <c r="T549" s="121" cm="1">
        <f t="array" ref="T549">_xlfn.IFERROR(ISNUMBER(SEARCH("Aplicar",$R549))/(ISNUMBER(SEARCH("Conocer",$R549))+ISNUMBER(SEARCH("Aplicar",$R549))+ISNUMBER(SEARCH("Razonar",$R549))),0)</f>
        <v>0</v>
      </c>
      <c r="U549" s="121" cm="1">
        <f t="array" ref="U549">_xlfn.IFERROR(ISNUMBER(SEARCH("Razonar",$R549))/(ISNUMBER(SEARCH("Conocer",$R549))+ISNUMBER(SEARCH("Aplicar",$R549))+ISNUMBER(SEARCH("Razonar",$R549))),0)</f>
        <v>0</v>
      </c>
      <c r="V549" t="s" s="35">
        <v>138</v>
      </c>
      <c r="W549" t="s" s="35">
        <v>138</v>
      </c>
      <c r="X549" s="36" cm="1">
        <f t="array" ref="X549">IF(OR(_xlfn.IFERROR(INDEX('Datos - Catálogo TIMSS'!$I$5:$I$107,MATCH(K549,'Datos - Catálogo TIMSS'!$A$5:$A$107,0)),"No")="Sí",_xlfn.IFERROR(INDEX('Datos - Catálogo TIMSS'!$I$5:$I$107,MATCH(L549,'Datos - Catálogo TIMSS'!$A$5:$A$107,0)),"No")="Sí"),1,0)</f>
        <v>0</v>
      </c>
      <c r="Y549" s="36" cm="1">
        <f t="array" ref="Y549">IF(_xlfn.IFERROR(INDEX('Datos - Catálogo TIMSS'!$J$5:$J$107,MATCH(K549,'Datos - Catálogo TIMSS'!$A$5:$A$107,0)),"No")="Sí",1,0)</f>
        <v>0</v>
      </c>
      <c r="Z549" s="36" cm="1">
        <f t="array" ref="Z549">IF(_xlfn.IFERROR(INDEX('Datos - Catálogo TIMSS'!$J$5:$J$107,MATCH(L549,'Datos - Catálogo TIMSS'!$A$5:$A$107,0)),"No")="Sí",1,0)</f>
        <v>0</v>
      </c>
      <c r="AA549" t="s" s="35">
        <v>3213</v>
      </c>
      <c r="AB549" s="39"/>
      <c r="AC549" t="str" s="39">
        <v>Física</v>
      </c>
      <c r="AD549" t="s" s="35">
        <v>1834</v>
      </c>
      <c r="AE549" t="str" s="39" cm="1">
        <f t="array" ref="AE549">IF(AD549="","",IF(LEFT(AD549,1)="1","C1",IF(LEFT(AD549,1)="2","C2",IF(LEFT(AD549,1)="3","C3",""))))</f>
        <v>C2</v>
      </c>
      <c r="AF549" t="s" s="35">
        <v>1602</v>
      </c>
      <c r="AG549" t="s" s="35">
        <v>1617</v>
      </c>
      <c r="AH549" t="s" s="35">
        <v>1602</v>
      </c>
      <c r="AI549" t="s" s="35">
        <v>1623</v>
      </c>
      <c r="AJ549" t="s" s="35">
        <v>1602</v>
      </c>
      <c r="AK549" t="s" s="35">
        <v>822</v>
      </c>
      <c r="AL549" s="39"/>
      <c r="AM549" t="str" s="39" cm="1">
        <f t="array" ref="AM549">IF(AK549="FUERA","Fuera del marco",_xlfn.IFERROR(INDEX('Datos - Catálogo PISA'!$C$5:$C$76,MATCH(AK549,'Datos - Catálogo PISA'!$A$5:$A$76,0)),"?"))</f>
        <v>Sistemas físicos</v>
      </c>
      <c r="AN549" t="s" s="35">
        <v>1651</v>
      </c>
      <c r="AO549" s="39"/>
      <c r="AP549" s="39"/>
      <c r="AQ549" t="s" s="35">
        <v>1756</v>
      </c>
      <c r="AR549" s="39"/>
      <c r="AS549" t="s" s="35">
        <v>1770</v>
      </c>
      <c r="AT549" t="s" s="35">
        <v>254</v>
      </c>
      <c r="AU549" t="s" s="35">
        <v>4438</v>
      </c>
      <c r="AV549" t="s" s="35">
        <v>139</v>
      </c>
      <c r="AW549" t="str" s="39" cm="1">
        <f t="array" ref="AW549">AF549&amp;"; "&amp;AG549&amp;"; "&amp;AH549&amp;"; "&amp;AI549&amp;"; "&amp;AJ549</f>
        <v>E1; D1; E1; D4; E1</v>
      </c>
    </row>
    <row r="550" ht="13.65" customHeight="1">
      <c r="A550" t="s" s="35">
        <v>4439</v>
      </c>
      <c r="B550" s="36">
        <v>9</v>
      </c>
      <c r="C550" t="s" s="35">
        <v>1823</v>
      </c>
      <c r="D550" t="s" s="35">
        <v>4371</v>
      </c>
      <c r="E550" t="s" s="35">
        <v>3194</v>
      </c>
      <c r="F550" s="36">
        <v>4</v>
      </c>
      <c r="G550" t="s" s="35">
        <v>852</v>
      </c>
      <c r="H550" t="s" s="35">
        <v>4434</v>
      </c>
      <c r="I550" t="s" s="120">
        <v>4440</v>
      </c>
      <c r="J550" t="s" s="35">
        <v>4375</v>
      </c>
      <c r="K550" t="s" s="35">
        <v>1241</v>
      </c>
      <c r="L550" t="s" s="35">
        <v>569</v>
      </c>
      <c r="M550" t="str" s="39">
        <v>Física</v>
      </c>
      <c r="N550" t="str" s="39">
        <v>Estados físicos y cambios de la materia</v>
      </c>
      <c r="O550" t="str" s="39" cm="1">
        <f t="array" ref="O550">IF(L550="","",_xlfn.IFERROR(INDEX('Datos - Catálogo TIMSS'!$C$5:$C$107,MATCH(L550,'Datos - Catálogo TIMSS'!$A$5:$A$107,0)),"?"))</f>
        <v>Física</v>
      </c>
      <c r="P550" t="s" s="35">
        <v>254</v>
      </c>
      <c r="Q550" t="s" s="120">
        <v>4441</v>
      </c>
      <c r="R550" t="s" s="120">
        <v>3212</v>
      </c>
      <c r="S550" s="121" cm="1">
        <f t="array" ref="S550">_xlfn.IFERROR(ISNUMBER(SEARCH("Conocer",$R550))/(ISNUMBER(SEARCH("Conocer",$R550))+ISNUMBER(SEARCH("Aplicar",$R550))+ISNUMBER(SEARCH("Razonar",$R550))),0)</f>
        <v>0</v>
      </c>
      <c r="T550" s="121" cm="1">
        <f t="array" ref="T550">_xlfn.IFERROR(ISNUMBER(SEARCH("Aplicar",$R550))/(ISNUMBER(SEARCH("Conocer",$R550))+ISNUMBER(SEARCH("Aplicar",$R550))+ISNUMBER(SEARCH("Razonar",$R550))),0)</f>
        <v>0.5</v>
      </c>
      <c r="U550" s="121" cm="1">
        <f t="array" ref="U550">_xlfn.IFERROR(ISNUMBER(SEARCH("Razonar",$R550))/(ISNUMBER(SEARCH("Conocer",$R550))+ISNUMBER(SEARCH("Aplicar",$R550))+ISNUMBER(SEARCH("Razonar",$R550))),0)</f>
        <v>0.5</v>
      </c>
      <c r="V550" t="s" s="35">
        <v>138</v>
      </c>
      <c r="W550" t="s" s="35">
        <v>138</v>
      </c>
      <c r="X550" s="36" cm="1">
        <f t="array" ref="X550">IF(OR(_xlfn.IFERROR(INDEX('Datos - Catálogo TIMSS'!$I$5:$I$107,MATCH(K550,'Datos - Catálogo TIMSS'!$A$5:$A$107,0)),"No")="Sí",_xlfn.IFERROR(INDEX('Datos - Catálogo TIMSS'!$I$5:$I$107,MATCH(L550,'Datos - Catálogo TIMSS'!$A$5:$A$107,0)),"No")="Sí"),1,0)</f>
        <v>0</v>
      </c>
      <c r="Y550" s="36" cm="1">
        <f t="array" ref="Y550">IF(_xlfn.IFERROR(INDEX('Datos - Catálogo TIMSS'!$J$5:$J$107,MATCH(K550,'Datos - Catálogo TIMSS'!$A$5:$A$107,0)),"No")="Sí",1,0)</f>
        <v>0</v>
      </c>
      <c r="Z550" s="36" cm="1">
        <f t="array" ref="Z550">IF(_xlfn.IFERROR(INDEX('Datos - Catálogo TIMSS'!$J$5:$J$107,MATCH(L550,'Datos - Catálogo TIMSS'!$A$5:$A$107,0)),"No")="Sí",1,0)</f>
        <v>1</v>
      </c>
      <c r="AA550" t="s" s="35">
        <v>3199</v>
      </c>
      <c r="AB550" t="s" s="35">
        <v>3213</v>
      </c>
      <c r="AC550" t="str" s="39">
        <v>Física</v>
      </c>
      <c r="AD550" t="s" s="35">
        <v>1834</v>
      </c>
      <c r="AE550" t="str" s="39" cm="1">
        <f t="array" ref="AE550">IF(AD550="","",IF(LEFT(AD550,1)="1","C1",IF(LEFT(AD550,1)="2","C2",IF(LEFT(AD550,1)="3","C3",""))))</f>
        <v>C2</v>
      </c>
      <c r="AF550" t="s" s="35">
        <v>1602</v>
      </c>
      <c r="AG550" t="s" s="35">
        <v>1617</v>
      </c>
      <c r="AH550" t="s" s="35">
        <v>1605</v>
      </c>
      <c r="AI550" t="s" s="35">
        <v>1623</v>
      </c>
      <c r="AJ550" t="s" s="35">
        <v>1607</v>
      </c>
      <c r="AK550" t="s" s="35">
        <v>854</v>
      </c>
      <c r="AL550" t="s" s="35">
        <v>822</v>
      </c>
      <c r="AM550" t="str" s="39" cm="1">
        <f t="array" ref="AM550">IF(AK550="FUERA","Fuera del marco",_xlfn.IFERROR(INDEX('Datos - Catálogo PISA'!$C$5:$C$76,MATCH(AK550,'Datos - Catálogo PISA'!$A$5:$A$76,0)),"?"))</f>
        <v>Sistemas físicos</v>
      </c>
      <c r="AN550" t="s" s="35">
        <v>1651</v>
      </c>
      <c r="AO550" t="s" s="35">
        <v>3575</v>
      </c>
      <c r="AP550" s="39"/>
      <c r="AQ550" t="s" s="35">
        <v>1756</v>
      </c>
      <c r="AR550" s="39"/>
      <c r="AS550" t="s" s="35">
        <v>1771</v>
      </c>
      <c r="AT550" t="s" s="35">
        <v>254</v>
      </c>
      <c r="AU550" t="s" s="35">
        <v>4442</v>
      </c>
      <c r="AV550" t="s" s="35">
        <v>139</v>
      </c>
      <c r="AW550" t="str" s="39" cm="1">
        <f t="array" ref="AW550">AF550&amp;"; "&amp;AG550&amp;"; "&amp;AH550&amp;"; "&amp;AI550&amp;"; "&amp;AJ550</f>
        <v>E1; D1; E2; D4; E3</v>
      </c>
    </row>
    <row r="551" ht="13.65" customHeight="1">
      <c r="A551" t="s" s="35">
        <v>4443</v>
      </c>
      <c r="B551" s="36">
        <v>9</v>
      </c>
      <c r="C551" t="s" s="35">
        <v>1823</v>
      </c>
      <c r="D551" t="s" s="35">
        <v>4371</v>
      </c>
      <c r="E551" t="s" s="35">
        <v>3194</v>
      </c>
      <c r="F551" s="36">
        <v>5</v>
      </c>
      <c r="G551" t="s" s="35">
        <v>852</v>
      </c>
      <c r="H551" t="s" s="35">
        <v>4434</v>
      </c>
      <c r="I551" t="s" s="120">
        <v>4444</v>
      </c>
      <c r="J551" t="s" s="35">
        <v>4375</v>
      </c>
      <c r="K551" t="s" s="35">
        <v>1241</v>
      </c>
      <c r="L551" t="s" s="35">
        <v>1247</v>
      </c>
      <c r="M551" t="str" s="39">
        <v>Física</v>
      </c>
      <c r="N551" t="str" s="39">
        <v>Estados físicos y cambios de la materia</v>
      </c>
      <c r="O551" t="str" s="39" cm="1">
        <f t="array" ref="O551">IF(L551="","",_xlfn.IFERROR(INDEX('Datos - Catálogo TIMSS'!$C$5:$C$107,MATCH(L551,'Datos - Catálogo TIMSS'!$A$5:$A$107,0)),"?"))</f>
        <v>Física</v>
      </c>
      <c r="P551" t="s" s="35">
        <v>282</v>
      </c>
      <c r="Q551" t="s" s="120">
        <v>4445</v>
      </c>
      <c r="R551" t="s" s="120">
        <v>2962</v>
      </c>
      <c r="S551" s="121" cm="1">
        <f t="array" ref="S551">_xlfn.IFERROR(ISNUMBER(SEARCH("Conocer",$R551))/(ISNUMBER(SEARCH("Conocer",$R551))+ISNUMBER(SEARCH("Aplicar",$R551))+ISNUMBER(SEARCH("Razonar",$R551))),0)</f>
        <v>0</v>
      </c>
      <c r="T551" s="121" cm="1">
        <f t="array" ref="T551">_xlfn.IFERROR(ISNUMBER(SEARCH("Aplicar",$R551))/(ISNUMBER(SEARCH("Conocer",$R551))+ISNUMBER(SEARCH("Aplicar",$R551))+ISNUMBER(SEARCH("Razonar",$R551))),0)</f>
        <v>1</v>
      </c>
      <c r="U551" s="121" cm="1">
        <f t="array" ref="U551">_xlfn.IFERROR(ISNUMBER(SEARCH("Razonar",$R551))/(ISNUMBER(SEARCH("Conocer",$R551))+ISNUMBER(SEARCH("Aplicar",$R551))+ISNUMBER(SEARCH("Razonar",$R551))),0)</f>
        <v>0</v>
      </c>
      <c r="V551" t="s" s="35">
        <v>138</v>
      </c>
      <c r="W551" t="s" s="35">
        <v>138</v>
      </c>
      <c r="X551" s="36" cm="1">
        <f t="array" ref="X551">IF(OR(_xlfn.IFERROR(INDEX('Datos - Catálogo TIMSS'!$I$5:$I$107,MATCH(K551,'Datos - Catálogo TIMSS'!$A$5:$A$107,0)),"No")="Sí",_xlfn.IFERROR(INDEX('Datos - Catálogo TIMSS'!$I$5:$I$107,MATCH(L551,'Datos - Catálogo TIMSS'!$A$5:$A$107,0)),"No")="Sí"),1,0)</f>
        <v>0</v>
      </c>
      <c r="Y551" s="36" cm="1">
        <f t="array" ref="Y551">IF(_xlfn.IFERROR(INDEX('Datos - Catálogo TIMSS'!$J$5:$J$107,MATCH(K551,'Datos - Catálogo TIMSS'!$A$5:$A$107,0)),"No")="Sí",1,0)</f>
        <v>0</v>
      </c>
      <c r="Z551" s="36" cm="1">
        <f t="array" ref="Z551">IF(_xlfn.IFERROR(INDEX('Datos - Catálogo TIMSS'!$J$5:$J$107,MATCH(L551,'Datos - Catálogo TIMSS'!$A$5:$A$107,0)),"No")="Sí",1,0)</f>
        <v>0</v>
      </c>
      <c r="AA551" t="s" s="35">
        <v>3199</v>
      </c>
      <c r="AB551" t="s" s="35">
        <v>3213</v>
      </c>
      <c r="AC551" t="str" s="39">
        <v>Física</v>
      </c>
      <c r="AD551" t="s" s="35">
        <v>1834</v>
      </c>
      <c r="AE551" t="str" s="39" cm="1">
        <f t="array" ref="AE551">IF(AD551="","",IF(LEFT(AD551,1)="1","C1",IF(LEFT(AD551,1)="2","C2",IF(LEFT(AD551,1)="3","C3",""))))</f>
        <v>C2</v>
      </c>
      <c r="AF551" t="s" s="35">
        <v>1602</v>
      </c>
      <c r="AG551" t="s" s="35">
        <v>1617</v>
      </c>
      <c r="AH551" t="s" s="35">
        <v>1602</v>
      </c>
      <c r="AI551" t="s" s="35">
        <v>1623</v>
      </c>
      <c r="AJ551" t="s" s="35">
        <v>1615</v>
      </c>
      <c r="AK551" t="s" s="35">
        <v>854</v>
      </c>
      <c r="AL551" t="s" s="35">
        <v>822</v>
      </c>
      <c r="AM551" t="str" s="39" cm="1">
        <f t="array" ref="AM551">IF(AK551="FUERA","Fuera del marco",_xlfn.IFERROR(INDEX('Datos - Catálogo PISA'!$C$5:$C$76,MATCH(AK551,'Datos - Catálogo PISA'!$A$5:$A$76,0)),"?"))</f>
        <v>Sistemas físicos</v>
      </c>
      <c r="AN551" t="s" s="35">
        <v>1651</v>
      </c>
      <c r="AO551" t="s" s="35">
        <v>3575</v>
      </c>
      <c r="AP551" s="39"/>
      <c r="AQ551" t="s" s="35">
        <v>1756</v>
      </c>
      <c r="AR551" s="39"/>
      <c r="AS551" t="s" s="35">
        <v>1771</v>
      </c>
      <c r="AT551" t="s" s="35">
        <v>254</v>
      </c>
      <c r="AU551" t="s" s="35">
        <v>4446</v>
      </c>
      <c r="AV551" t="s" s="35">
        <v>139</v>
      </c>
      <c r="AW551" t="str" s="39" cm="1">
        <f t="array" ref="AW551">AF551&amp;"; "&amp;AG551&amp;"; "&amp;AH551&amp;"; "&amp;AI551&amp;"; "&amp;AJ551</f>
        <v>E1; D1; E1; D4; E6</v>
      </c>
    </row>
    <row r="552" ht="13.65" customHeight="1">
      <c r="A552" t="s" s="35">
        <v>4447</v>
      </c>
      <c r="B552" s="36">
        <v>9</v>
      </c>
      <c r="C552" t="s" s="35">
        <v>1823</v>
      </c>
      <c r="D552" t="s" s="35">
        <v>4371</v>
      </c>
      <c r="E552" t="s" s="35">
        <v>3194</v>
      </c>
      <c r="F552" s="36">
        <v>6</v>
      </c>
      <c r="G552" t="s" s="35">
        <v>852</v>
      </c>
      <c r="H552" t="s" s="35">
        <v>4448</v>
      </c>
      <c r="I552" t="s" s="120">
        <v>4449</v>
      </c>
      <c r="J552" t="s" s="35">
        <v>4375</v>
      </c>
      <c r="K552" t="s" s="35">
        <v>554</v>
      </c>
      <c r="L552" s="39"/>
      <c r="M552" t="str" s="39">
        <v>Física</v>
      </c>
      <c r="N552" t="str" s="39">
        <v>Estados físicos y cambios de la materia</v>
      </c>
      <c r="O552" t="str" s="39" cm="1">
        <f t="array" ref="O552">IF(L552="","",_xlfn.IFERROR(INDEX('Datos - Catálogo TIMSS'!$C$5:$C$107,MATCH(L552,'Datos - Catálogo TIMSS'!$A$5:$A$107,0)),"?"))</f>
      </c>
      <c r="P552" t="s" s="35">
        <v>282</v>
      </c>
      <c r="Q552" t="s" s="120">
        <v>4450</v>
      </c>
      <c r="R552" t="s" s="120">
        <v>4451</v>
      </c>
      <c r="S552" s="121" cm="1">
        <f t="array" ref="S552">_xlfn.IFERROR(ISNUMBER(SEARCH("Conocer",$R552))/(ISNUMBER(SEARCH("Conocer",$R552))+ISNUMBER(SEARCH("Aplicar",$R552))+ISNUMBER(SEARCH("Razonar",$R552))),0)</f>
        <v>0</v>
      </c>
      <c r="T552" s="121" cm="1">
        <f t="array" ref="T552">_xlfn.IFERROR(ISNUMBER(SEARCH("Aplicar",$R552))/(ISNUMBER(SEARCH("Conocer",$R552))+ISNUMBER(SEARCH("Aplicar",$R552))+ISNUMBER(SEARCH("Razonar",$R552))),0)</f>
        <v>1</v>
      </c>
      <c r="U552" s="121" cm="1">
        <f t="array" ref="U552">_xlfn.IFERROR(ISNUMBER(SEARCH("Razonar",$R552))/(ISNUMBER(SEARCH("Conocer",$R552))+ISNUMBER(SEARCH("Aplicar",$R552))+ISNUMBER(SEARCH("Razonar",$R552))),0)</f>
        <v>0</v>
      </c>
      <c r="V552" t="s" s="35">
        <v>138</v>
      </c>
      <c r="W552" t="s" s="35">
        <v>138</v>
      </c>
      <c r="X552" s="36" cm="1">
        <f t="array" ref="X552">IF(OR(_xlfn.IFERROR(INDEX('Datos - Catálogo TIMSS'!$I$5:$I$107,MATCH(K552,'Datos - Catálogo TIMSS'!$A$5:$A$107,0)),"No")="Sí",_xlfn.IFERROR(INDEX('Datos - Catálogo TIMSS'!$I$5:$I$107,MATCH(L552,'Datos - Catálogo TIMSS'!$A$5:$A$107,0)),"No")="Sí"),1,0)</f>
        <v>0</v>
      </c>
      <c r="Y552" s="36" cm="1">
        <f t="array" ref="Y552">IF(_xlfn.IFERROR(INDEX('Datos - Catálogo TIMSS'!$J$5:$J$107,MATCH(K552,'Datos - Catálogo TIMSS'!$A$5:$A$107,0)),"No")="Sí",1,0)</f>
        <v>0</v>
      </c>
      <c r="Z552" s="36" cm="1">
        <f t="array" ref="Z552">IF(_xlfn.IFERROR(INDEX('Datos - Catálogo TIMSS'!$J$5:$J$107,MATCH(L552,'Datos - Catálogo TIMSS'!$A$5:$A$107,0)),"No")="Sí",1,0)</f>
        <v>0</v>
      </c>
      <c r="AA552" t="s" s="35">
        <v>3165</v>
      </c>
      <c r="AB552" t="s" s="35">
        <v>3199</v>
      </c>
      <c r="AC552" t="str" s="39">
        <v>Física</v>
      </c>
      <c r="AD552" t="s" s="35">
        <v>1834</v>
      </c>
      <c r="AE552" t="str" s="39" cm="1">
        <f t="array" ref="AE552">IF(AD552="","",IF(LEFT(AD552,1)="1","C1",IF(LEFT(AD552,1)="2","C2",IF(LEFT(AD552,1)="3","C3",""))))</f>
        <v>C2</v>
      </c>
      <c r="AF552" t="s" s="35">
        <v>1602</v>
      </c>
      <c r="AG552" t="s" s="35">
        <v>1607</v>
      </c>
      <c r="AH552" t="s" s="35">
        <v>1602</v>
      </c>
      <c r="AI552" t="s" s="35">
        <v>1619</v>
      </c>
      <c r="AJ552" t="s" s="35">
        <v>1602</v>
      </c>
      <c r="AK552" t="s" s="35">
        <v>822</v>
      </c>
      <c r="AL552" t="s" s="35">
        <v>854</v>
      </c>
      <c r="AM552" t="str" s="39" cm="1">
        <f t="array" ref="AM552">IF(AK552="FUERA","Fuera del marco",_xlfn.IFERROR(INDEX('Datos - Catálogo PISA'!$C$5:$C$76,MATCH(AK552,'Datos - Catálogo PISA'!$A$5:$A$76,0)),"?"))</f>
        <v>Sistemas físicos</v>
      </c>
      <c r="AN552" t="s" s="35">
        <v>1651</v>
      </c>
      <c r="AO552" s="39"/>
      <c r="AP552" s="39"/>
      <c r="AQ552" t="s" s="35">
        <v>1756</v>
      </c>
      <c r="AR552" s="39"/>
      <c r="AS552" t="s" s="35">
        <v>1771</v>
      </c>
      <c r="AT552" t="s" s="35">
        <v>282</v>
      </c>
      <c r="AU552" t="s" s="35">
        <v>4452</v>
      </c>
      <c r="AV552" t="s" s="35">
        <v>139</v>
      </c>
      <c r="AW552" t="str" s="39" cm="1">
        <f t="array" ref="AW552">AF552&amp;"; "&amp;AG552&amp;"; "&amp;AH552&amp;"; "&amp;AI552&amp;"; "&amp;AJ552</f>
        <v>E1; E3; E1; D2; E1</v>
      </c>
    </row>
    <row r="553" ht="13.65" customHeight="1">
      <c r="A553" t="s" s="35">
        <v>4453</v>
      </c>
      <c r="B553" s="36">
        <v>9</v>
      </c>
      <c r="C553" t="s" s="35">
        <v>1823</v>
      </c>
      <c r="D553" t="s" s="35">
        <v>4371</v>
      </c>
      <c r="E553" t="s" s="35">
        <v>3194</v>
      </c>
      <c r="F553" s="36">
        <v>7</v>
      </c>
      <c r="G553" t="s" s="35">
        <v>852</v>
      </c>
      <c r="H553" t="s" s="35">
        <v>4448</v>
      </c>
      <c r="I553" t="s" s="120">
        <v>4454</v>
      </c>
      <c r="J553" t="s" s="35">
        <v>4375</v>
      </c>
      <c r="K553" t="s" s="35">
        <v>554</v>
      </c>
      <c r="L553" t="s" s="35">
        <v>575</v>
      </c>
      <c r="M553" t="str" s="39">
        <v>Física</v>
      </c>
      <c r="N553" t="str" s="39">
        <v>Estados físicos y cambios de la materia</v>
      </c>
      <c r="O553" t="str" s="39" cm="1">
        <f t="array" ref="O553">IF(L553="","",_xlfn.IFERROR(INDEX('Datos - Catálogo TIMSS'!$C$5:$C$107,MATCH(L553,'Datos - Catálogo TIMSS'!$A$5:$A$107,0)),"?"))</f>
        <v>Física</v>
      </c>
      <c r="P553" t="s" s="35">
        <v>282</v>
      </c>
      <c r="Q553" t="s" s="120">
        <v>4455</v>
      </c>
      <c r="R553" t="s" s="120">
        <v>4456</v>
      </c>
      <c r="S553" s="121" cm="1">
        <f t="array" ref="S553">_xlfn.IFERROR(ISNUMBER(SEARCH("Conocer",$R553))/(ISNUMBER(SEARCH("Conocer",$R553))+ISNUMBER(SEARCH("Aplicar",$R553))+ISNUMBER(SEARCH("Razonar",$R553))),0)</f>
        <v>0</v>
      </c>
      <c r="T553" s="121" cm="1">
        <f t="array" ref="T553">_xlfn.IFERROR(ISNUMBER(SEARCH("Aplicar",$R553))/(ISNUMBER(SEARCH("Conocer",$R553))+ISNUMBER(SEARCH("Aplicar",$R553))+ISNUMBER(SEARCH("Razonar",$R553))),0)</f>
        <v>1</v>
      </c>
      <c r="U553" s="121" cm="1">
        <f t="array" ref="U553">_xlfn.IFERROR(ISNUMBER(SEARCH("Razonar",$R553))/(ISNUMBER(SEARCH("Conocer",$R553))+ISNUMBER(SEARCH("Aplicar",$R553))+ISNUMBER(SEARCH("Razonar",$R553))),0)</f>
        <v>0</v>
      </c>
      <c r="V553" t="s" s="35">
        <v>138</v>
      </c>
      <c r="W553" t="s" s="35">
        <v>138</v>
      </c>
      <c r="X553" s="36" cm="1">
        <f t="array" ref="X553">IF(OR(_xlfn.IFERROR(INDEX('Datos - Catálogo TIMSS'!$I$5:$I$107,MATCH(K553,'Datos - Catálogo TIMSS'!$A$5:$A$107,0)),"No")="Sí",_xlfn.IFERROR(INDEX('Datos - Catálogo TIMSS'!$I$5:$I$107,MATCH(L553,'Datos - Catálogo TIMSS'!$A$5:$A$107,0)),"No")="Sí"),1,0)</f>
        <v>0</v>
      </c>
      <c r="Y553" s="36" cm="1">
        <f t="array" ref="Y553">IF(_xlfn.IFERROR(INDEX('Datos - Catálogo TIMSS'!$J$5:$J$107,MATCH(K553,'Datos - Catálogo TIMSS'!$A$5:$A$107,0)),"No")="Sí",1,0)</f>
        <v>0</v>
      </c>
      <c r="Z553" s="36" cm="1">
        <f t="array" ref="Z553">IF(_xlfn.IFERROR(INDEX('Datos - Catálogo TIMSS'!$J$5:$J$107,MATCH(L553,'Datos - Catálogo TIMSS'!$A$5:$A$107,0)),"No")="Sí",1,0)</f>
        <v>0</v>
      </c>
      <c r="AA553" t="s" s="35">
        <v>2929</v>
      </c>
      <c r="AB553" t="s" s="35">
        <v>3165</v>
      </c>
      <c r="AC553" t="str" s="39">
        <v>Física</v>
      </c>
      <c r="AD553" t="s" s="35">
        <v>1834</v>
      </c>
      <c r="AE553" t="str" s="39" cm="1">
        <f t="array" ref="AE553">IF(AD553="","",IF(LEFT(AD553,1)="1","C1",IF(LEFT(AD553,1)="2","C2",IF(LEFT(AD553,1)="3","C3",""))))</f>
        <v>C2</v>
      </c>
      <c r="AF553" t="s" s="35">
        <v>1602</v>
      </c>
      <c r="AG553" t="s" s="35">
        <v>1617</v>
      </c>
      <c r="AH553" t="s" s="35">
        <v>1605</v>
      </c>
      <c r="AI553" t="s" s="35">
        <v>1623</v>
      </c>
      <c r="AJ553" t="s" s="35">
        <v>1607</v>
      </c>
      <c r="AK553" t="s" s="35">
        <v>854</v>
      </c>
      <c r="AL553" t="s" s="35">
        <v>822</v>
      </c>
      <c r="AM553" t="str" s="39" cm="1">
        <f t="array" ref="AM553">IF(AK553="FUERA","Fuera del marco",_xlfn.IFERROR(INDEX('Datos - Catálogo PISA'!$C$5:$C$76,MATCH(AK553,'Datos - Catálogo PISA'!$A$5:$A$76,0)),"?"))</f>
        <v>Sistemas físicos</v>
      </c>
      <c r="AN553" t="s" s="35">
        <v>1651</v>
      </c>
      <c r="AO553" t="s" s="35">
        <v>3575</v>
      </c>
      <c r="AP553" s="39"/>
      <c r="AQ553" t="s" s="35">
        <v>1756</v>
      </c>
      <c r="AR553" s="39"/>
      <c r="AS553" t="s" s="35">
        <v>1771</v>
      </c>
      <c r="AT553" t="s" s="35">
        <v>282</v>
      </c>
      <c r="AU553" t="s" s="35">
        <v>4457</v>
      </c>
      <c r="AV553" t="s" s="35">
        <v>139</v>
      </c>
      <c r="AW553" t="str" s="39" cm="1">
        <f t="array" ref="AW553">AF553&amp;"; "&amp;AG553&amp;"; "&amp;AH553&amp;"; "&amp;AI553&amp;"; "&amp;AJ553</f>
        <v>E1; D1; E2; D4; E3</v>
      </c>
    </row>
    <row r="554" ht="13.65" customHeight="1">
      <c r="A554" t="s" s="35">
        <v>4458</v>
      </c>
      <c r="B554" s="36">
        <v>9</v>
      </c>
      <c r="C554" t="s" s="35">
        <v>1823</v>
      </c>
      <c r="D554" t="s" s="35">
        <v>4371</v>
      </c>
      <c r="E554" t="s" s="35">
        <v>3194</v>
      </c>
      <c r="F554" s="36">
        <v>8</v>
      </c>
      <c r="G554" t="s" s="35">
        <v>852</v>
      </c>
      <c r="H554" t="s" s="35">
        <v>4459</v>
      </c>
      <c r="I554" t="s" s="120">
        <v>4460</v>
      </c>
      <c r="J554" t="s" s="35">
        <v>4375</v>
      </c>
      <c r="K554" t="s" s="35">
        <v>1247</v>
      </c>
      <c r="L554" s="39"/>
      <c r="M554" t="str" s="39">
        <v>Física</v>
      </c>
      <c r="N554" t="str" s="39">
        <v>Transformación y transferencia de energía</v>
      </c>
      <c r="O554" t="str" s="39" cm="1">
        <f t="array" ref="O554">IF(L554="","",_xlfn.IFERROR(INDEX('Datos - Catálogo TIMSS'!$C$5:$C$107,MATCH(L554,'Datos - Catálogo TIMSS'!$A$5:$A$107,0)),"?"))</f>
      </c>
      <c r="P554" t="s" s="35">
        <v>254</v>
      </c>
      <c r="Q554" t="s" s="120">
        <v>4461</v>
      </c>
      <c r="R554" t="s" s="120">
        <v>3297</v>
      </c>
      <c r="S554" s="121" cm="1">
        <f t="array" ref="S554">_xlfn.IFERROR(ISNUMBER(SEARCH("Conocer",$R554))/(ISNUMBER(SEARCH("Conocer",$R554))+ISNUMBER(SEARCH("Aplicar",$R554))+ISNUMBER(SEARCH("Razonar",$R554))),0)</f>
        <v>1</v>
      </c>
      <c r="T554" s="121" cm="1">
        <f t="array" ref="T554">_xlfn.IFERROR(ISNUMBER(SEARCH("Aplicar",$R554))/(ISNUMBER(SEARCH("Conocer",$R554))+ISNUMBER(SEARCH("Aplicar",$R554))+ISNUMBER(SEARCH("Razonar",$R554))),0)</f>
        <v>0</v>
      </c>
      <c r="U554" s="121" cm="1">
        <f t="array" ref="U554">_xlfn.IFERROR(ISNUMBER(SEARCH("Razonar",$R554))/(ISNUMBER(SEARCH("Conocer",$R554))+ISNUMBER(SEARCH("Aplicar",$R554))+ISNUMBER(SEARCH("Razonar",$R554))),0)</f>
        <v>0</v>
      </c>
      <c r="V554" t="s" s="35">
        <v>138</v>
      </c>
      <c r="W554" t="s" s="35">
        <v>138</v>
      </c>
      <c r="X554" s="36" cm="1">
        <f t="array" ref="X554">IF(OR(_xlfn.IFERROR(INDEX('Datos - Catálogo TIMSS'!$I$5:$I$107,MATCH(K554,'Datos - Catálogo TIMSS'!$A$5:$A$107,0)),"No")="Sí",_xlfn.IFERROR(INDEX('Datos - Catálogo TIMSS'!$I$5:$I$107,MATCH(L554,'Datos - Catálogo TIMSS'!$A$5:$A$107,0)),"No")="Sí"),1,0)</f>
        <v>0</v>
      </c>
      <c r="Y554" s="36" cm="1">
        <f t="array" ref="Y554">IF(_xlfn.IFERROR(INDEX('Datos - Catálogo TIMSS'!$J$5:$J$107,MATCH(K554,'Datos - Catálogo TIMSS'!$A$5:$A$107,0)),"No")="Sí",1,0)</f>
        <v>0</v>
      </c>
      <c r="Z554" s="36" cm="1">
        <f t="array" ref="Z554">IF(_xlfn.IFERROR(INDEX('Datos - Catálogo TIMSS'!$J$5:$J$107,MATCH(L554,'Datos - Catálogo TIMSS'!$A$5:$A$107,0)),"No")="Sí",1,0)</f>
        <v>0</v>
      </c>
      <c r="AA554" t="s" s="35">
        <v>3199</v>
      </c>
      <c r="AB554" s="39"/>
      <c r="AC554" t="str" s="39">
        <v>Física</v>
      </c>
      <c r="AD554" t="s" s="35">
        <v>1859</v>
      </c>
      <c r="AE554" t="str" s="39" cm="1">
        <f t="array" ref="AE554">IF(AD554="","",IF(LEFT(AD554,1)="1","C1",IF(LEFT(AD554,1)="2","C2",IF(LEFT(AD554,1)="3","C3",""))))</f>
        <v>C1</v>
      </c>
      <c r="AF554" t="s" s="35">
        <v>1602</v>
      </c>
      <c r="AG554" t="s" s="35">
        <v>1617</v>
      </c>
      <c r="AH554" t="s" s="35">
        <v>1602</v>
      </c>
      <c r="AI554" t="s" s="35">
        <v>1623</v>
      </c>
      <c r="AJ554" t="s" s="35">
        <v>1602</v>
      </c>
      <c r="AK554" t="s" s="35">
        <v>854</v>
      </c>
      <c r="AL554" s="39"/>
      <c r="AM554" t="str" s="39" cm="1">
        <f t="array" ref="AM554">IF(AK554="FUERA","Fuera del marco",_xlfn.IFERROR(INDEX('Datos - Catálogo PISA'!$C$5:$C$76,MATCH(AK554,'Datos - Catálogo PISA'!$A$5:$A$76,0)),"?"))</f>
        <v>Sistemas físicos</v>
      </c>
      <c r="AN554" t="s" s="35">
        <v>1651</v>
      </c>
      <c r="AO554" s="39"/>
      <c r="AP554" s="39"/>
      <c r="AQ554" t="s" s="35">
        <v>1756</v>
      </c>
      <c r="AR554" s="39"/>
      <c r="AS554" t="s" s="35">
        <v>1771</v>
      </c>
      <c r="AT554" t="s" s="35">
        <v>254</v>
      </c>
      <c r="AU554" t="s" s="35">
        <v>4462</v>
      </c>
      <c r="AV554" t="s" s="35">
        <v>139</v>
      </c>
      <c r="AW554" t="str" s="39" cm="1">
        <f t="array" ref="AW554">AF554&amp;"; "&amp;AG554&amp;"; "&amp;AH554&amp;"; "&amp;AI554&amp;"; "&amp;AJ554</f>
        <v>E1; D1; E1; D4; E1</v>
      </c>
    </row>
    <row r="555" ht="13.65" customHeight="1">
      <c r="A555" t="s" s="35">
        <v>4463</v>
      </c>
      <c r="B555" s="36">
        <v>9</v>
      </c>
      <c r="C555" t="s" s="35">
        <v>1823</v>
      </c>
      <c r="D555" t="s" s="35">
        <v>4371</v>
      </c>
      <c r="E555" t="s" s="35">
        <v>3194</v>
      </c>
      <c r="F555" s="36">
        <v>9</v>
      </c>
      <c r="G555" t="s" s="35">
        <v>852</v>
      </c>
      <c r="H555" t="s" s="35">
        <v>1323</v>
      </c>
      <c r="I555" t="s" s="120">
        <v>4464</v>
      </c>
      <c r="J555" t="s" s="35">
        <v>4375</v>
      </c>
      <c r="K555" t="s" s="35">
        <v>575</v>
      </c>
      <c r="L555" s="39"/>
      <c r="M555" t="str" s="39">
        <v>Física</v>
      </c>
      <c r="N555" t="str" s="39">
        <v>Transformación y transferencia de energía</v>
      </c>
      <c r="O555" t="str" s="39" cm="1">
        <f t="array" ref="O555">IF(L555="","",_xlfn.IFERROR(INDEX('Datos - Catálogo TIMSS'!$C$5:$C$107,MATCH(L555,'Datos - Catálogo TIMSS'!$A$5:$A$107,0)),"?"))</f>
      </c>
      <c r="P555" t="s" s="35">
        <v>282</v>
      </c>
      <c r="Q555" t="s" s="120">
        <v>4465</v>
      </c>
      <c r="R555" t="s" s="120">
        <v>3802</v>
      </c>
      <c r="S555" s="121" cm="1">
        <f t="array" ref="S555">_xlfn.IFERROR(ISNUMBER(SEARCH("Conocer",$R555))/(ISNUMBER(SEARCH("Conocer",$R555))+ISNUMBER(SEARCH("Aplicar",$R555))+ISNUMBER(SEARCH("Razonar",$R555))),0)</f>
        <v>0</v>
      </c>
      <c r="T555" s="121" cm="1">
        <f t="array" ref="T555">_xlfn.IFERROR(ISNUMBER(SEARCH("Aplicar",$R555))/(ISNUMBER(SEARCH("Conocer",$R555))+ISNUMBER(SEARCH("Aplicar",$R555))+ISNUMBER(SEARCH("Razonar",$R555))),0)</f>
        <v>0.5</v>
      </c>
      <c r="U555" s="121" cm="1">
        <f t="array" ref="U555">_xlfn.IFERROR(ISNUMBER(SEARCH("Razonar",$R555))/(ISNUMBER(SEARCH("Conocer",$R555))+ISNUMBER(SEARCH("Aplicar",$R555))+ISNUMBER(SEARCH("Razonar",$R555))),0)</f>
        <v>0.5</v>
      </c>
      <c r="V555" t="s" s="35">
        <v>138</v>
      </c>
      <c r="W555" t="s" s="35">
        <v>138</v>
      </c>
      <c r="X555" s="36" cm="1">
        <f t="array" ref="X555">IF(OR(_xlfn.IFERROR(INDEX('Datos - Catálogo TIMSS'!$I$5:$I$107,MATCH(K555,'Datos - Catálogo TIMSS'!$A$5:$A$107,0)),"No")="Sí",_xlfn.IFERROR(INDEX('Datos - Catálogo TIMSS'!$I$5:$I$107,MATCH(L555,'Datos - Catálogo TIMSS'!$A$5:$A$107,0)),"No")="Sí"),1,0)</f>
        <v>0</v>
      </c>
      <c r="Y555" s="36" cm="1">
        <f t="array" ref="Y555">IF(_xlfn.IFERROR(INDEX('Datos - Catálogo TIMSS'!$J$5:$J$107,MATCH(K555,'Datos - Catálogo TIMSS'!$A$5:$A$107,0)),"No")="Sí",1,0)</f>
        <v>0</v>
      </c>
      <c r="Z555" s="36" cm="1">
        <f t="array" ref="Z555">IF(_xlfn.IFERROR(INDEX('Datos - Catálogo TIMSS'!$J$5:$J$107,MATCH(L555,'Datos - Catálogo TIMSS'!$A$5:$A$107,0)),"No")="Sí",1,0)</f>
        <v>0</v>
      </c>
      <c r="AA555" t="s" s="35">
        <v>2929</v>
      </c>
      <c r="AB555" s="39"/>
      <c r="AC555" t="str" s="39">
        <v>Física</v>
      </c>
      <c r="AD555" t="s" s="35">
        <v>1834</v>
      </c>
      <c r="AE555" t="str" s="39" cm="1">
        <f t="array" ref="AE555">IF(AD555="","",IF(LEFT(AD555,1)="1","C1",IF(LEFT(AD555,1)="2","C2",IF(LEFT(AD555,1)="3","C3",""))))</f>
        <v>C2</v>
      </c>
      <c r="AF555" t="s" s="35">
        <v>1602</v>
      </c>
      <c r="AG555" t="s" s="35">
        <v>1617</v>
      </c>
      <c r="AH555" t="s" s="35">
        <v>1609</v>
      </c>
      <c r="AI555" t="s" s="35">
        <v>1621</v>
      </c>
      <c r="AJ555" t="s" s="35">
        <v>1615</v>
      </c>
      <c r="AK555" t="s" s="35">
        <v>854</v>
      </c>
      <c r="AL555" s="39"/>
      <c r="AM555" t="str" s="39" cm="1">
        <f t="array" ref="AM555">IF(AK555="FUERA","Fuera del marco",_xlfn.IFERROR(INDEX('Datos - Catálogo PISA'!$C$5:$C$76,MATCH(AK555,'Datos - Catálogo PISA'!$A$5:$A$76,0)),"?"))</f>
        <v>Sistemas físicos</v>
      </c>
      <c r="AN555" t="s" s="35">
        <v>1651</v>
      </c>
      <c r="AO555" s="39"/>
      <c r="AP555" s="39"/>
      <c r="AQ555" t="s" s="35">
        <v>1756</v>
      </c>
      <c r="AR555" s="39"/>
      <c r="AS555" t="s" s="35">
        <v>1771</v>
      </c>
      <c r="AT555" t="s" s="35">
        <v>254</v>
      </c>
      <c r="AU555" t="s" s="35">
        <v>4466</v>
      </c>
      <c r="AV555" t="s" s="35">
        <v>139</v>
      </c>
      <c r="AW555" t="str" s="39" cm="1">
        <f t="array" ref="AW555">AF555&amp;"; "&amp;AG555&amp;"; "&amp;AH555&amp;"; "&amp;AI555&amp;"; "&amp;AJ555</f>
        <v>E1; D1; E4; D3; E6</v>
      </c>
    </row>
    <row r="556" ht="13.65" customHeight="1">
      <c r="A556" t="s" s="35">
        <v>4467</v>
      </c>
      <c r="B556" s="36">
        <v>9</v>
      </c>
      <c r="C556" t="s" s="35">
        <v>1823</v>
      </c>
      <c r="D556" t="s" s="35">
        <v>4371</v>
      </c>
      <c r="E556" t="s" s="35">
        <v>3194</v>
      </c>
      <c r="F556" s="36">
        <v>10</v>
      </c>
      <c r="G556" t="s" s="35">
        <v>852</v>
      </c>
      <c r="H556" t="s" s="35">
        <v>1323</v>
      </c>
      <c r="I556" t="s" s="120">
        <v>4468</v>
      </c>
      <c r="J556" t="s" s="35">
        <v>4375</v>
      </c>
      <c r="K556" t="s" s="35">
        <v>575</v>
      </c>
      <c r="L556" s="39"/>
      <c r="M556" t="str" s="39">
        <v>Física</v>
      </c>
      <c r="N556" t="str" s="39">
        <v>Transformación y transferencia de energía</v>
      </c>
      <c r="O556" t="str" s="39" cm="1">
        <f t="array" ref="O556">IF(L556="","",_xlfn.IFERROR(INDEX('Datos - Catálogo TIMSS'!$C$5:$C$107,MATCH(L556,'Datos - Catálogo TIMSS'!$A$5:$A$107,0)),"?"))</f>
      </c>
      <c r="P556" t="s" s="35">
        <v>254</v>
      </c>
      <c r="Q556" t="s" s="120">
        <v>4469</v>
      </c>
      <c r="R556" t="s" s="120">
        <v>3943</v>
      </c>
      <c r="S556" s="121" cm="1">
        <f t="array" ref="S556">_xlfn.IFERROR(ISNUMBER(SEARCH("Conocer",$R556))/(ISNUMBER(SEARCH("Conocer",$R556))+ISNUMBER(SEARCH("Aplicar",$R556))+ISNUMBER(SEARCH("Razonar",$R556))),0)</f>
        <v>0</v>
      </c>
      <c r="T556" s="121" cm="1">
        <f t="array" ref="T556">_xlfn.IFERROR(ISNUMBER(SEARCH("Aplicar",$R556))/(ISNUMBER(SEARCH("Conocer",$R556))+ISNUMBER(SEARCH("Aplicar",$R556))+ISNUMBER(SEARCH("Razonar",$R556))),0)</f>
        <v>1</v>
      </c>
      <c r="U556" s="121" cm="1">
        <f t="array" ref="U556">_xlfn.IFERROR(ISNUMBER(SEARCH("Razonar",$R556))/(ISNUMBER(SEARCH("Conocer",$R556))+ISNUMBER(SEARCH("Aplicar",$R556))+ISNUMBER(SEARCH("Razonar",$R556))),0)</f>
        <v>0</v>
      </c>
      <c r="V556" t="s" s="35">
        <v>138</v>
      </c>
      <c r="W556" t="s" s="35">
        <v>138</v>
      </c>
      <c r="X556" s="36" cm="1">
        <f t="array" ref="X556">IF(OR(_xlfn.IFERROR(INDEX('Datos - Catálogo TIMSS'!$I$5:$I$107,MATCH(K556,'Datos - Catálogo TIMSS'!$A$5:$A$107,0)),"No")="Sí",_xlfn.IFERROR(INDEX('Datos - Catálogo TIMSS'!$I$5:$I$107,MATCH(L556,'Datos - Catálogo TIMSS'!$A$5:$A$107,0)),"No")="Sí"),1,0)</f>
        <v>0</v>
      </c>
      <c r="Y556" s="36" cm="1">
        <f t="array" ref="Y556">IF(_xlfn.IFERROR(INDEX('Datos - Catálogo TIMSS'!$J$5:$J$107,MATCH(K556,'Datos - Catálogo TIMSS'!$A$5:$A$107,0)),"No")="Sí",1,0)</f>
        <v>0</v>
      </c>
      <c r="Z556" s="36" cm="1">
        <f t="array" ref="Z556">IF(_xlfn.IFERROR(INDEX('Datos - Catálogo TIMSS'!$J$5:$J$107,MATCH(L556,'Datos - Catálogo TIMSS'!$A$5:$A$107,0)),"No")="Sí",1,0)</f>
        <v>0</v>
      </c>
      <c r="AA556" t="s" s="35">
        <v>2929</v>
      </c>
      <c r="AB556" s="39"/>
      <c r="AC556" t="str" s="39">
        <v>Física</v>
      </c>
      <c r="AD556" t="s" s="35">
        <v>1834</v>
      </c>
      <c r="AE556" t="str" s="39" cm="1">
        <f t="array" ref="AE556">IF(AD556="","",IF(LEFT(AD556,1)="1","C1",IF(LEFT(AD556,1)="2","C2",IF(LEFT(AD556,1)="3","C3",""))))</f>
        <v>C2</v>
      </c>
      <c r="AF556" t="s" s="35">
        <v>1602</v>
      </c>
      <c r="AG556" t="s" s="35">
        <v>1617</v>
      </c>
      <c r="AH556" t="s" s="35">
        <v>1602</v>
      </c>
      <c r="AI556" t="s" s="35">
        <v>1623</v>
      </c>
      <c r="AJ556" t="s" s="35">
        <v>1607</v>
      </c>
      <c r="AK556" t="s" s="35">
        <v>854</v>
      </c>
      <c r="AL556" s="39"/>
      <c r="AM556" t="str" s="39" cm="1">
        <f t="array" ref="AM556">IF(AK556="FUERA","Fuera del marco",_xlfn.IFERROR(INDEX('Datos - Catálogo PISA'!$C$5:$C$76,MATCH(AK556,'Datos - Catálogo PISA'!$A$5:$A$76,0)),"?"))</f>
        <v>Sistemas físicos</v>
      </c>
      <c r="AN556" t="s" s="35">
        <v>1651</v>
      </c>
      <c r="AO556" s="39"/>
      <c r="AP556" s="39"/>
      <c r="AQ556" t="s" s="35">
        <v>1756</v>
      </c>
      <c r="AR556" s="39"/>
      <c r="AS556" t="s" s="35">
        <v>1771</v>
      </c>
      <c r="AT556" t="s" s="35">
        <v>254</v>
      </c>
      <c r="AU556" t="s" s="35">
        <v>4470</v>
      </c>
      <c r="AV556" t="s" s="35">
        <v>139</v>
      </c>
      <c r="AW556" t="str" s="39" cm="1">
        <f t="array" ref="AW556">AF556&amp;"; "&amp;AG556&amp;"; "&amp;AH556&amp;"; "&amp;AI556&amp;"; "&amp;AJ556</f>
        <v>E1; D1; E1; D4; E3</v>
      </c>
    </row>
    <row r="557" ht="13.65" customHeight="1">
      <c r="A557" t="s" s="35">
        <v>4471</v>
      </c>
      <c r="B557" s="36">
        <v>9</v>
      </c>
      <c r="C557" t="s" s="35">
        <v>1823</v>
      </c>
      <c r="D557" t="s" s="35">
        <v>4371</v>
      </c>
      <c r="E557" t="s" s="35">
        <v>3194</v>
      </c>
      <c r="F557" s="36">
        <v>11</v>
      </c>
      <c r="G557" t="s" s="35">
        <v>852</v>
      </c>
      <c r="H557" t="s" s="35">
        <v>4472</v>
      </c>
      <c r="I557" t="s" s="120">
        <v>4473</v>
      </c>
      <c r="J557" t="s" s="35">
        <v>4375</v>
      </c>
      <c r="K557" t="s" s="35">
        <v>1247</v>
      </c>
      <c r="L557" t="s" s="35">
        <v>575</v>
      </c>
      <c r="M557" t="str" s="39">
        <v>Física</v>
      </c>
      <c r="N557" t="str" s="39">
        <v>Transformación y transferencia de energía</v>
      </c>
      <c r="O557" t="str" s="39" cm="1">
        <f t="array" ref="O557">IF(L557="","",_xlfn.IFERROR(INDEX('Datos - Catálogo TIMSS'!$C$5:$C$107,MATCH(L557,'Datos - Catálogo TIMSS'!$A$5:$A$107,0)),"?"))</f>
        <v>Física</v>
      </c>
      <c r="P557" t="s" s="35">
        <v>282</v>
      </c>
      <c r="Q557" t="s" s="120">
        <v>4474</v>
      </c>
      <c r="R557" t="s" s="120">
        <v>3361</v>
      </c>
      <c r="S557" s="121" cm="1">
        <f t="array" ref="S557">_xlfn.IFERROR(ISNUMBER(SEARCH("Conocer",$R557))/(ISNUMBER(SEARCH("Conocer",$R557))+ISNUMBER(SEARCH("Aplicar",$R557))+ISNUMBER(SEARCH("Razonar",$R557))),0)</f>
        <v>1</v>
      </c>
      <c r="T557" s="121" cm="1">
        <f t="array" ref="T557">_xlfn.IFERROR(ISNUMBER(SEARCH("Aplicar",$R557))/(ISNUMBER(SEARCH("Conocer",$R557))+ISNUMBER(SEARCH("Aplicar",$R557))+ISNUMBER(SEARCH("Razonar",$R557))),0)</f>
        <v>0</v>
      </c>
      <c r="U557" s="121" cm="1">
        <f t="array" ref="U557">_xlfn.IFERROR(ISNUMBER(SEARCH("Razonar",$R557))/(ISNUMBER(SEARCH("Conocer",$R557))+ISNUMBER(SEARCH("Aplicar",$R557))+ISNUMBER(SEARCH("Razonar",$R557))),0)</f>
        <v>0</v>
      </c>
      <c r="V557" t="s" s="35">
        <v>138</v>
      </c>
      <c r="W557" t="s" s="35">
        <v>138</v>
      </c>
      <c r="X557" s="36" cm="1">
        <f t="array" ref="X557">IF(OR(_xlfn.IFERROR(INDEX('Datos - Catálogo TIMSS'!$I$5:$I$107,MATCH(K557,'Datos - Catálogo TIMSS'!$A$5:$A$107,0)),"No")="Sí",_xlfn.IFERROR(INDEX('Datos - Catálogo TIMSS'!$I$5:$I$107,MATCH(L557,'Datos - Catálogo TIMSS'!$A$5:$A$107,0)),"No")="Sí"),1,0)</f>
        <v>0</v>
      </c>
      <c r="Y557" s="36" cm="1">
        <f t="array" ref="Y557">IF(_xlfn.IFERROR(INDEX('Datos - Catálogo TIMSS'!$J$5:$J$107,MATCH(K557,'Datos - Catálogo TIMSS'!$A$5:$A$107,0)),"No")="Sí",1,0)</f>
        <v>0</v>
      </c>
      <c r="Z557" s="36" cm="1">
        <f t="array" ref="Z557">IF(_xlfn.IFERROR(INDEX('Datos - Catálogo TIMSS'!$J$5:$J$107,MATCH(L557,'Datos - Catálogo TIMSS'!$A$5:$A$107,0)),"No")="Sí",1,0)</f>
        <v>0</v>
      </c>
      <c r="AA557" t="s" s="35">
        <v>3199</v>
      </c>
      <c r="AB557" t="s" s="35">
        <v>2929</v>
      </c>
      <c r="AC557" t="str" s="39">
        <v>Física</v>
      </c>
      <c r="AD557" t="s" s="35">
        <v>1859</v>
      </c>
      <c r="AE557" t="str" s="39" cm="1">
        <f t="array" ref="AE557">IF(AD557="","",IF(LEFT(AD557,1)="1","C1",IF(LEFT(AD557,1)="2","C2",IF(LEFT(AD557,1)="3","C3",""))))</f>
        <v>C1</v>
      </c>
      <c r="AF557" t="s" s="35">
        <v>1602</v>
      </c>
      <c r="AG557" t="s" s="35">
        <v>1617</v>
      </c>
      <c r="AH557" t="s" s="35">
        <v>1602</v>
      </c>
      <c r="AI557" t="s" s="35">
        <v>1623</v>
      </c>
      <c r="AJ557" t="s" s="35">
        <v>1615</v>
      </c>
      <c r="AK557" t="s" s="35">
        <v>854</v>
      </c>
      <c r="AL557" s="39"/>
      <c r="AM557" t="str" s="39" cm="1">
        <f t="array" ref="AM557">IF(AK557="FUERA","Fuera del marco",_xlfn.IFERROR(INDEX('Datos - Catálogo PISA'!$C$5:$C$76,MATCH(AK557,'Datos - Catálogo PISA'!$A$5:$A$76,0)),"?"))</f>
        <v>Sistemas físicos</v>
      </c>
      <c r="AN557" t="s" s="35">
        <v>1651</v>
      </c>
      <c r="AO557" s="39"/>
      <c r="AP557" s="39"/>
      <c r="AQ557" t="s" s="35">
        <v>1751</v>
      </c>
      <c r="AR557" t="s" s="35">
        <v>1768</v>
      </c>
      <c r="AS557" t="s" s="35">
        <v>1771</v>
      </c>
      <c r="AT557" t="s" s="35">
        <v>282</v>
      </c>
      <c r="AU557" t="s" s="35">
        <v>4475</v>
      </c>
      <c r="AV557" t="s" s="35">
        <v>139</v>
      </c>
      <c r="AW557" t="str" s="39" cm="1">
        <f t="array" ref="AW557">AF557&amp;"; "&amp;AG557&amp;"; "&amp;AH557&amp;"; "&amp;AI557&amp;"; "&amp;AJ557</f>
        <v>E1; D1; E1; D4; E6</v>
      </c>
    </row>
    <row r="558" ht="13.65" customHeight="1">
      <c r="A558" t="s" s="35">
        <v>4476</v>
      </c>
      <c r="B558" s="36">
        <v>9</v>
      </c>
      <c r="C558" t="s" s="35">
        <v>1823</v>
      </c>
      <c r="D558" t="s" s="35">
        <v>4371</v>
      </c>
      <c r="E558" t="s" s="35">
        <v>3194</v>
      </c>
      <c r="F558" s="36">
        <v>12</v>
      </c>
      <c r="G558" t="s" s="35">
        <v>852</v>
      </c>
      <c r="H558" t="s" s="35">
        <v>4472</v>
      </c>
      <c r="I558" t="s" s="120">
        <v>4477</v>
      </c>
      <c r="J558" t="s" s="35">
        <v>4375</v>
      </c>
      <c r="K558" t="s" s="35">
        <v>575</v>
      </c>
      <c r="L558" s="39"/>
      <c r="M558" t="str" s="39">
        <v>Física</v>
      </c>
      <c r="N558" t="str" s="39">
        <v>Transformación y transferencia de energía</v>
      </c>
      <c r="O558" t="str" s="39" cm="1">
        <f t="array" ref="O558">IF(L558="","",_xlfn.IFERROR(INDEX('Datos - Catálogo TIMSS'!$C$5:$C$107,MATCH(L558,'Datos - Catálogo TIMSS'!$A$5:$A$107,0)),"?"))</f>
      </c>
      <c r="P558" t="s" s="35">
        <v>282</v>
      </c>
      <c r="Q558" t="s" s="120">
        <v>4478</v>
      </c>
      <c r="R558" t="s" s="120">
        <v>4479</v>
      </c>
      <c r="S558" s="121" cm="1">
        <f t="array" ref="S558">_xlfn.IFERROR(ISNUMBER(SEARCH("Conocer",$R558))/(ISNUMBER(SEARCH("Conocer",$R558))+ISNUMBER(SEARCH("Aplicar",$R558))+ISNUMBER(SEARCH("Razonar",$R558))),0)</f>
        <v>0</v>
      </c>
      <c r="T558" s="121" cm="1">
        <f t="array" ref="T558">_xlfn.IFERROR(ISNUMBER(SEARCH("Aplicar",$R558))/(ISNUMBER(SEARCH("Conocer",$R558))+ISNUMBER(SEARCH("Aplicar",$R558))+ISNUMBER(SEARCH("Razonar",$R558))),0)</f>
        <v>0.5</v>
      </c>
      <c r="U558" s="121" cm="1">
        <f t="array" ref="U558">_xlfn.IFERROR(ISNUMBER(SEARCH("Razonar",$R558))/(ISNUMBER(SEARCH("Conocer",$R558))+ISNUMBER(SEARCH("Aplicar",$R558))+ISNUMBER(SEARCH("Razonar",$R558))),0)</f>
        <v>0.5</v>
      </c>
      <c r="V558" t="s" s="35">
        <v>138</v>
      </c>
      <c r="W558" t="s" s="35">
        <v>138</v>
      </c>
      <c r="X558" s="36" cm="1">
        <f t="array" ref="X558">IF(OR(_xlfn.IFERROR(INDEX('Datos - Catálogo TIMSS'!$I$5:$I$107,MATCH(K558,'Datos - Catálogo TIMSS'!$A$5:$A$107,0)),"No")="Sí",_xlfn.IFERROR(INDEX('Datos - Catálogo TIMSS'!$I$5:$I$107,MATCH(L558,'Datos - Catálogo TIMSS'!$A$5:$A$107,0)),"No")="Sí"),1,0)</f>
        <v>0</v>
      </c>
      <c r="Y558" s="36" cm="1">
        <f t="array" ref="Y558">IF(_xlfn.IFERROR(INDEX('Datos - Catálogo TIMSS'!$J$5:$J$107,MATCH(K558,'Datos - Catálogo TIMSS'!$A$5:$A$107,0)),"No")="Sí",1,0)</f>
        <v>0</v>
      </c>
      <c r="Z558" s="36" cm="1">
        <f t="array" ref="Z558">IF(_xlfn.IFERROR(INDEX('Datos - Catálogo TIMSS'!$J$5:$J$107,MATCH(L558,'Datos - Catálogo TIMSS'!$A$5:$A$107,0)),"No")="Sí",1,0)</f>
        <v>0</v>
      </c>
      <c r="AA558" t="s" s="35">
        <v>2929</v>
      </c>
      <c r="AB558" s="39"/>
      <c r="AC558" t="str" s="39">
        <v>Física</v>
      </c>
      <c r="AD558" t="s" s="35">
        <v>1834</v>
      </c>
      <c r="AE558" t="str" s="39" cm="1">
        <f t="array" ref="AE558">IF(AD558="","",IF(LEFT(AD558,1)="1","C1",IF(LEFT(AD558,1)="2","C2",IF(LEFT(AD558,1)="3","C3",""))))</f>
        <v>C2</v>
      </c>
      <c r="AF558" t="s" s="35">
        <v>1602</v>
      </c>
      <c r="AG558" t="s" s="35">
        <v>1617</v>
      </c>
      <c r="AH558" t="s" s="35">
        <v>1602</v>
      </c>
      <c r="AI558" t="s" s="35">
        <v>1623</v>
      </c>
      <c r="AJ558" t="s" s="35">
        <v>1633</v>
      </c>
      <c r="AK558" t="s" s="35">
        <v>854</v>
      </c>
      <c r="AL558" s="39"/>
      <c r="AM558" t="str" s="39" cm="1">
        <f t="array" ref="AM558">IF(AK558="FUERA","Fuera del marco",_xlfn.IFERROR(INDEX('Datos - Catálogo PISA'!$C$5:$C$76,MATCH(AK558,'Datos - Catálogo PISA'!$A$5:$A$76,0)),"?"))</f>
        <v>Sistemas físicos</v>
      </c>
      <c r="AN558" t="s" s="35">
        <v>1651</v>
      </c>
      <c r="AO558" s="39"/>
      <c r="AP558" s="39"/>
      <c r="AQ558" t="s" s="35">
        <v>1756</v>
      </c>
      <c r="AR558" s="39"/>
      <c r="AS558" t="s" s="35">
        <v>1771</v>
      </c>
      <c r="AT558" t="s" s="35">
        <v>254</v>
      </c>
      <c r="AU558" t="s" s="35">
        <v>4480</v>
      </c>
      <c r="AV558" t="s" s="35">
        <v>139</v>
      </c>
      <c r="AW558" t="str" s="39" cm="1">
        <f t="array" ref="AW558">AF558&amp;"; "&amp;AG558&amp;"; "&amp;AH558&amp;"; "&amp;AI558&amp;"; "&amp;AJ558</f>
        <v>E1; D1; E1; D4; I5</v>
      </c>
    </row>
    <row r="559" ht="13.65" customHeight="1">
      <c r="A559" t="s" s="35">
        <v>4481</v>
      </c>
      <c r="B559" s="36">
        <v>9</v>
      </c>
      <c r="C559" t="s" s="35">
        <v>1823</v>
      </c>
      <c r="D559" t="s" s="35">
        <v>4371</v>
      </c>
      <c r="E559" t="s" s="35">
        <v>4482</v>
      </c>
      <c r="F559" s="36">
        <v>3</v>
      </c>
      <c r="G559" t="s" s="35">
        <v>867</v>
      </c>
      <c r="H559" t="s" s="35">
        <v>4483</v>
      </c>
      <c r="I559" t="s" s="120">
        <v>4484</v>
      </c>
      <c r="J559" t="s" s="35">
        <v>4375</v>
      </c>
      <c r="K559" t="s" s="35">
        <v>1231</v>
      </c>
      <c r="L559" s="39"/>
      <c r="M559" t="str" s="39">
        <v>Química</v>
      </c>
      <c r="N559" t="str" s="39">
        <v>Reacciones químicas</v>
      </c>
      <c r="O559" t="str" s="39" cm="1">
        <f t="array" ref="O559">IF(L559="","",_xlfn.IFERROR(INDEX('Datos - Catálogo TIMSS'!$C$5:$C$107,MATCH(L559,'Datos - Catálogo TIMSS'!$A$5:$A$107,0)),"?"))</f>
      </c>
      <c r="P559" t="s" s="35">
        <v>282</v>
      </c>
      <c r="Q559" t="s" s="120">
        <v>4485</v>
      </c>
      <c r="R559" t="s" s="120">
        <v>4486</v>
      </c>
      <c r="S559" s="121" cm="1">
        <f t="array" ref="S559">_xlfn.IFERROR(ISNUMBER(SEARCH("Conocer",$R559))/(ISNUMBER(SEARCH("Conocer",$R559))+ISNUMBER(SEARCH("Aplicar",$R559))+ISNUMBER(SEARCH("Razonar",$R559))),0)</f>
        <v>0.5</v>
      </c>
      <c r="T559" s="121" cm="1">
        <f t="array" ref="T559">_xlfn.IFERROR(ISNUMBER(SEARCH("Aplicar",$R559))/(ISNUMBER(SEARCH("Conocer",$R559))+ISNUMBER(SEARCH("Aplicar",$R559))+ISNUMBER(SEARCH("Razonar",$R559))),0)</f>
        <v>0.5</v>
      </c>
      <c r="U559" s="121" cm="1">
        <f t="array" ref="U559">_xlfn.IFERROR(ISNUMBER(SEARCH("Razonar",$R559))/(ISNUMBER(SEARCH("Conocer",$R559))+ISNUMBER(SEARCH("Aplicar",$R559))+ISNUMBER(SEARCH("Razonar",$R559))),0)</f>
        <v>0</v>
      </c>
      <c r="V559" t="s" s="35">
        <v>138</v>
      </c>
      <c r="W559" t="s" s="35">
        <v>138</v>
      </c>
      <c r="X559" s="36" cm="1">
        <f t="array" ref="X559">IF(OR(_xlfn.IFERROR(INDEX('Datos - Catálogo TIMSS'!$I$5:$I$107,MATCH(K559,'Datos - Catálogo TIMSS'!$A$5:$A$107,0)),"No")="Sí",_xlfn.IFERROR(INDEX('Datos - Catálogo TIMSS'!$I$5:$I$107,MATCH(L559,'Datos - Catálogo TIMSS'!$A$5:$A$107,0)),"No")="Sí"),1,0)</f>
        <v>0</v>
      </c>
      <c r="Y559" s="36" cm="1">
        <f t="array" ref="Y559">IF(_xlfn.IFERROR(INDEX('Datos - Catálogo TIMSS'!$J$5:$J$107,MATCH(K559,'Datos - Catálogo TIMSS'!$A$5:$A$107,0)),"No")="Sí",1,0)</f>
        <v>0</v>
      </c>
      <c r="Z559" s="36" cm="1">
        <f t="array" ref="Z559">IF(_xlfn.IFERROR(INDEX('Datos - Catálogo TIMSS'!$J$5:$J$107,MATCH(L559,'Datos - Catálogo TIMSS'!$A$5:$A$107,0)),"No")="Sí",1,0)</f>
        <v>0</v>
      </c>
      <c r="AA559" t="s" s="35">
        <v>3318</v>
      </c>
      <c r="AB559" s="39"/>
      <c r="AC559" t="str" s="39">
        <v>Química</v>
      </c>
      <c r="AD559" t="s" s="35">
        <v>1859</v>
      </c>
      <c r="AE559" t="str" s="39" cm="1">
        <f t="array" ref="AE559">IF(AD559="","",IF(LEFT(AD559,1)="1","C1",IF(LEFT(AD559,1)="2","C2",IF(LEFT(AD559,1)="3","C3",""))))</f>
        <v>C1</v>
      </c>
      <c r="AF559" t="s" s="35">
        <v>1602</v>
      </c>
      <c r="AG559" t="s" s="35">
        <v>1617</v>
      </c>
      <c r="AH559" t="s" s="35">
        <v>1602</v>
      </c>
      <c r="AI559" t="s" s="35">
        <v>1623</v>
      </c>
      <c r="AJ559" t="s" s="35">
        <v>1602</v>
      </c>
      <c r="AK559" t="s" s="35">
        <v>869</v>
      </c>
      <c r="AL559" s="39"/>
      <c r="AM559" t="str" s="39" cm="1">
        <f t="array" ref="AM559">IF(AK559="FUERA","Fuera del marco",_xlfn.IFERROR(INDEX('Datos - Catálogo PISA'!$C$5:$C$76,MATCH(AK559,'Datos - Catálogo PISA'!$A$5:$A$76,0)),"?"))</f>
        <v>Sistemas físicos</v>
      </c>
      <c r="AN559" t="s" s="35">
        <v>1651</v>
      </c>
      <c r="AO559" s="39"/>
      <c r="AP559" t="s" s="35">
        <v>3534</v>
      </c>
      <c r="AQ559" t="s" s="35">
        <v>1756</v>
      </c>
      <c r="AR559" s="39"/>
      <c r="AS559" t="s" s="35">
        <v>1771</v>
      </c>
      <c r="AT559" t="s" s="35">
        <v>254</v>
      </c>
      <c r="AU559" t="s" s="35">
        <v>4487</v>
      </c>
      <c r="AV559" t="s" s="35">
        <v>139</v>
      </c>
      <c r="AW559" t="str" s="39" cm="1">
        <f t="array" ref="AW559">AF559&amp;"; "&amp;AG559&amp;"; "&amp;AH559&amp;"; "&amp;AI559&amp;"; "&amp;AJ559</f>
        <v>E1; D1; E1; D4; E1</v>
      </c>
    </row>
    <row r="560" ht="13.65" customHeight="1">
      <c r="A560" t="s" s="35">
        <v>4488</v>
      </c>
      <c r="B560" s="36">
        <v>9</v>
      </c>
      <c r="C560" t="s" s="35">
        <v>1823</v>
      </c>
      <c r="D560" t="s" s="35">
        <v>4371</v>
      </c>
      <c r="E560" t="s" s="35">
        <v>4482</v>
      </c>
      <c r="F560" s="36">
        <v>4</v>
      </c>
      <c r="G560" t="s" s="35">
        <v>867</v>
      </c>
      <c r="H560" t="s" s="35">
        <v>4483</v>
      </c>
      <c r="I560" t="s" s="120">
        <v>4489</v>
      </c>
      <c r="J560" t="s" s="35">
        <v>4375</v>
      </c>
      <c r="K560" t="s" s="35">
        <v>1231</v>
      </c>
      <c r="L560" t="s" s="35">
        <v>1234</v>
      </c>
      <c r="M560" t="str" s="39">
        <v>Química</v>
      </c>
      <c r="N560" t="str" s="39">
        <v>Reacciones químicas</v>
      </c>
      <c r="O560" t="str" s="39" cm="1">
        <f t="array" ref="O560">IF(L560="","",_xlfn.IFERROR(INDEX('Datos - Catálogo TIMSS'!$C$5:$C$107,MATCH(L560,'Datos - Catálogo TIMSS'!$A$5:$A$107,0)),"?"))</f>
        <v>Química</v>
      </c>
      <c r="P560" t="s" s="35">
        <v>254</v>
      </c>
      <c r="Q560" t="s" s="120">
        <v>4490</v>
      </c>
      <c r="R560" t="s" s="120">
        <v>3134</v>
      </c>
      <c r="S560" s="121" cm="1">
        <f t="array" ref="S560">_xlfn.IFERROR(ISNUMBER(SEARCH("Conocer",$R560))/(ISNUMBER(SEARCH("Conocer",$R560))+ISNUMBER(SEARCH("Aplicar",$R560))+ISNUMBER(SEARCH("Razonar",$R560))),0)</f>
        <v>0</v>
      </c>
      <c r="T560" s="121" cm="1">
        <f t="array" ref="T560">_xlfn.IFERROR(ISNUMBER(SEARCH("Aplicar",$R560))/(ISNUMBER(SEARCH("Conocer",$R560))+ISNUMBER(SEARCH("Aplicar",$R560))+ISNUMBER(SEARCH("Razonar",$R560))),0)</f>
        <v>0</v>
      </c>
      <c r="U560" s="121" cm="1">
        <f t="array" ref="U560">_xlfn.IFERROR(ISNUMBER(SEARCH("Razonar",$R560))/(ISNUMBER(SEARCH("Conocer",$R560))+ISNUMBER(SEARCH("Aplicar",$R560))+ISNUMBER(SEARCH("Razonar",$R560))),0)</f>
        <v>1</v>
      </c>
      <c r="V560" t="s" s="35">
        <v>138</v>
      </c>
      <c r="W560" t="s" s="35">
        <v>138</v>
      </c>
      <c r="X560" s="36" cm="1">
        <f t="array" ref="X560">IF(OR(_xlfn.IFERROR(INDEX('Datos - Catálogo TIMSS'!$I$5:$I$107,MATCH(K560,'Datos - Catálogo TIMSS'!$A$5:$A$107,0)),"No")="Sí",_xlfn.IFERROR(INDEX('Datos - Catálogo TIMSS'!$I$5:$I$107,MATCH(L560,'Datos - Catálogo TIMSS'!$A$5:$A$107,0)),"No")="Sí"),1,0)</f>
        <v>0</v>
      </c>
      <c r="Y560" s="36" cm="1">
        <f t="array" ref="Y560">IF(_xlfn.IFERROR(INDEX('Datos - Catálogo TIMSS'!$J$5:$J$107,MATCH(K560,'Datos - Catálogo TIMSS'!$A$5:$A$107,0)),"No")="Sí",1,0)</f>
        <v>0</v>
      </c>
      <c r="Z560" s="36" cm="1">
        <f t="array" ref="Z560">IF(_xlfn.IFERROR(INDEX('Datos - Catálogo TIMSS'!$J$5:$J$107,MATCH(L560,'Datos - Catálogo TIMSS'!$A$5:$A$107,0)),"No")="Sí",1,0)</f>
        <v>1</v>
      </c>
      <c r="AA560" t="s" s="35">
        <v>3318</v>
      </c>
      <c r="AB560" s="39"/>
      <c r="AC560" t="str" s="39">
        <v>Química</v>
      </c>
      <c r="AD560" t="s" s="35">
        <v>1834</v>
      </c>
      <c r="AE560" t="str" s="39" cm="1">
        <f t="array" ref="AE560">IF(AD560="","",IF(LEFT(AD560,1)="1","C1",IF(LEFT(AD560,1)="2","C2",IF(LEFT(AD560,1)="3","C3",""))))</f>
        <v>C2</v>
      </c>
      <c r="AF560" t="s" s="35">
        <v>1602</v>
      </c>
      <c r="AG560" t="s" s="35">
        <v>1607</v>
      </c>
      <c r="AH560" t="s" s="35">
        <v>1602</v>
      </c>
      <c r="AI560" t="s" s="35">
        <v>1621</v>
      </c>
      <c r="AJ560" t="s" s="35">
        <v>1615</v>
      </c>
      <c r="AK560" t="s" s="35">
        <v>869</v>
      </c>
      <c r="AL560" s="39"/>
      <c r="AM560" t="str" s="39" cm="1">
        <f t="array" ref="AM560">IF(AK560="FUERA","Fuera del marco",_xlfn.IFERROR(INDEX('Datos - Catálogo PISA'!$C$5:$C$76,MATCH(AK560,'Datos - Catálogo PISA'!$A$5:$A$76,0)),"?"))</f>
        <v>Sistemas físicos</v>
      </c>
      <c r="AN560" t="s" s="35">
        <v>1651</v>
      </c>
      <c r="AO560" t="s" s="35">
        <v>4170</v>
      </c>
      <c r="AP560" s="39"/>
      <c r="AQ560" t="s" s="35">
        <v>1756</v>
      </c>
      <c r="AR560" s="39"/>
      <c r="AS560" t="s" s="35">
        <v>1771</v>
      </c>
      <c r="AT560" t="s" s="35">
        <v>254</v>
      </c>
      <c r="AU560" t="s" s="35">
        <v>4491</v>
      </c>
      <c r="AV560" t="s" s="35">
        <v>139</v>
      </c>
      <c r="AW560" t="str" s="39" cm="1">
        <f t="array" ref="AW560">AF560&amp;"; "&amp;AG560&amp;"; "&amp;AH560&amp;"; "&amp;AI560&amp;"; "&amp;AJ560</f>
        <v>E1; E3; E1; D3; E6</v>
      </c>
    </row>
    <row r="561" ht="13.65" customHeight="1">
      <c r="A561" t="s" s="35">
        <v>4492</v>
      </c>
      <c r="B561" s="36">
        <v>9</v>
      </c>
      <c r="C561" t="s" s="35">
        <v>1823</v>
      </c>
      <c r="D561" t="s" s="35">
        <v>4371</v>
      </c>
      <c r="E561" t="s" s="35">
        <v>4482</v>
      </c>
      <c r="F561" s="36">
        <v>5</v>
      </c>
      <c r="G561" t="s" s="35">
        <v>867</v>
      </c>
      <c r="H561" t="s" s="35">
        <v>4483</v>
      </c>
      <c r="I561" t="s" s="120">
        <v>4493</v>
      </c>
      <c r="J561" t="s" s="35">
        <v>4375</v>
      </c>
      <c r="K561" t="s" s="35">
        <v>1231</v>
      </c>
      <c r="L561" s="39"/>
      <c r="M561" t="str" s="39">
        <v>Química</v>
      </c>
      <c r="N561" t="str" s="39">
        <v>Reacciones químicas</v>
      </c>
      <c r="O561" t="str" s="39" cm="1">
        <f t="array" ref="O561">IF(L561="","",_xlfn.IFERROR(INDEX('Datos - Catálogo TIMSS'!$C$5:$C$107,MATCH(L561,'Datos - Catálogo TIMSS'!$A$5:$A$107,0)),"?"))</f>
      </c>
      <c r="P561" t="s" s="35">
        <v>291</v>
      </c>
      <c r="Q561" t="s" s="120">
        <v>4494</v>
      </c>
      <c r="R561" t="s" s="120">
        <v>2805</v>
      </c>
      <c r="S561" s="121" cm="1">
        <f t="array" ref="S561">_xlfn.IFERROR(ISNUMBER(SEARCH("Conocer",$R561))/(ISNUMBER(SEARCH("Conocer",$R561))+ISNUMBER(SEARCH("Aplicar",$R561))+ISNUMBER(SEARCH("Razonar",$R561))),0)</f>
        <v>0</v>
      </c>
      <c r="T561" s="121" cm="1">
        <f t="array" ref="T561">_xlfn.IFERROR(ISNUMBER(SEARCH("Aplicar",$R561))/(ISNUMBER(SEARCH("Conocer",$R561))+ISNUMBER(SEARCH("Aplicar",$R561))+ISNUMBER(SEARCH("Razonar",$R561))),0)</f>
        <v>1</v>
      </c>
      <c r="U561" s="121" cm="1">
        <f t="array" ref="U561">_xlfn.IFERROR(ISNUMBER(SEARCH("Razonar",$R561))/(ISNUMBER(SEARCH("Conocer",$R561))+ISNUMBER(SEARCH("Aplicar",$R561))+ISNUMBER(SEARCH("Razonar",$R561))),0)</f>
        <v>0</v>
      </c>
      <c r="V561" t="s" s="35">
        <v>138</v>
      </c>
      <c r="W561" t="s" s="35">
        <v>138</v>
      </c>
      <c r="X561" s="36" cm="1">
        <f t="array" ref="X561">IF(OR(_xlfn.IFERROR(INDEX('Datos - Catálogo TIMSS'!$I$5:$I$107,MATCH(K561,'Datos - Catálogo TIMSS'!$A$5:$A$107,0)),"No")="Sí",_xlfn.IFERROR(INDEX('Datos - Catálogo TIMSS'!$I$5:$I$107,MATCH(L561,'Datos - Catálogo TIMSS'!$A$5:$A$107,0)),"No")="Sí"),1,0)</f>
        <v>0</v>
      </c>
      <c r="Y561" s="36" cm="1">
        <f t="array" ref="Y561">IF(_xlfn.IFERROR(INDEX('Datos - Catálogo TIMSS'!$J$5:$J$107,MATCH(K561,'Datos - Catálogo TIMSS'!$A$5:$A$107,0)),"No")="Sí",1,0)</f>
        <v>0</v>
      </c>
      <c r="Z561" s="36" cm="1">
        <f t="array" ref="Z561">IF(_xlfn.IFERROR(INDEX('Datos - Catálogo TIMSS'!$J$5:$J$107,MATCH(L561,'Datos - Catálogo TIMSS'!$A$5:$A$107,0)),"No")="Sí",1,0)</f>
        <v>0</v>
      </c>
      <c r="AA561" t="s" s="35">
        <v>3318</v>
      </c>
      <c r="AB561" s="39"/>
      <c r="AC561" t="str" s="39">
        <v>Química</v>
      </c>
      <c r="AD561" t="s" s="35">
        <v>1859</v>
      </c>
      <c r="AE561" t="str" s="39" cm="1">
        <f t="array" ref="AE561">IF(AD561="","",IF(LEFT(AD561,1)="1","C1",IF(LEFT(AD561,1)="2","C2",IF(LEFT(AD561,1)="3","C3",""))))</f>
        <v>C1</v>
      </c>
      <c r="AF561" t="s" s="35">
        <v>1602</v>
      </c>
      <c r="AG561" t="s" s="35">
        <v>1617</v>
      </c>
      <c r="AH561" t="s" s="35">
        <v>1602</v>
      </c>
      <c r="AI561" t="s" s="35">
        <v>1623</v>
      </c>
      <c r="AJ561" t="s" s="35">
        <v>1602</v>
      </c>
      <c r="AK561" t="s" s="35">
        <v>869</v>
      </c>
      <c r="AL561" s="39"/>
      <c r="AM561" t="str" s="39" cm="1">
        <f t="array" ref="AM561">IF(AK561="FUERA","Fuera del marco",_xlfn.IFERROR(INDEX('Datos - Catálogo PISA'!$C$5:$C$76,MATCH(AK561,'Datos - Catálogo PISA'!$A$5:$A$76,0)),"?"))</f>
        <v>Sistemas físicos</v>
      </c>
      <c r="AN561" t="s" s="35">
        <v>1651</v>
      </c>
      <c r="AO561" s="39"/>
      <c r="AP561" s="39"/>
      <c r="AQ561" t="s" s="35">
        <v>1756</v>
      </c>
      <c r="AR561" s="39"/>
      <c r="AS561" t="s" s="35">
        <v>1770</v>
      </c>
      <c r="AT561" t="s" s="35">
        <v>254</v>
      </c>
      <c r="AU561" t="s" s="35">
        <v>4495</v>
      </c>
      <c r="AV561" t="s" s="35">
        <v>139</v>
      </c>
      <c r="AW561" t="str" s="39" cm="1">
        <f t="array" ref="AW561">AF561&amp;"; "&amp;AG561&amp;"; "&amp;AH561&amp;"; "&amp;AI561&amp;"; "&amp;AJ561</f>
        <v>E1; D1; E1; D4; E1</v>
      </c>
    </row>
    <row r="562" ht="13.65" customHeight="1">
      <c r="A562" t="s" s="35">
        <v>4496</v>
      </c>
      <c r="B562" s="36">
        <v>9</v>
      </c>
      <c r="C562" t="s" s="35">
        <v>1823</v>
      </c>
      <c r="D562" t="s" s="35">
        <v>4371</v>
      </c>
      <c r="E562" t="s" s="35">
        <v>4482</v>
      </c>
      <c r="F562" s="36">
        <v>6</v>
      </c>
      <c r="G562" t="s" s="35">
        <v>867</v>
      </c>
      <c r="H562" t="s" s="35">
        <v>4497</v>
      </c>
      <c r="I562" t="s" s="120">
        <v>4498</v>
      </c>
      <c r="J562" t="s" s="35">
        <v>4375</v>
      </c>
      <c r="K562" t="s" s="35">
        <v>1231</v>
      </c>
      <c r="L562" t="s" s="35">
        <v>1227</v>
      </c>
      <c r="M562" t="str" s="39">
        <v>Química</v>
      </c>
      <c r="N562" t="str" s="39">
        <v>Reacciones químicas</v>
      </c>
      <c r="O562" t="str" s="39" cm="1">
        <f t="array" ref="O562">IF(L562="","",_xlfn.IFERROR(INDEX('Datos - Catálogo TIMSS'!$C$5:$C$107,MATCH(L562,'Datos - Catálogo TIMSS'!$A$5:$A$107,0)),"?"))</f>
        <v>Química</v>
      </c>
      <c r="P562" t="s" s="35">
        <v>282</v>
      </c>
      <c r="Q562" t="s" s="120">
        <v>4499</v>
      </c>
      <c r="R562" t="s" s="120">
        <v>3765</v>
      </c>
      <c r="S562" s="121" cm="1">
        <f t="array" ref="S562">_xlfn.IFERROR(ISNUMBER(SEARCH("Conocer",$R562))/(ISNUMBER(SEARCH("Conocer",$R562))+ISNUMBER(SEARCH("Aplicar",$R562))+ISNUMBER(SEARCH("Razonar",$R562))),0)</f>
        <v>0</v>
      </c>
      <c r="T562" s="121" cm="1">
        <f t="array" ref="T562">_xlfn.IFERROR(ISNUMBER(SEARCH("Aplicar",$R562))/(ISNUMBER(SEARCH("Conocer",$R562))+ISNUMBER(SEARCH("Aplicar",$R562))+ISNUMBER(SEARCH("Razonar",$R562))),0)</f>
        <v>0.5</v>
      </c>
      <c r="U562" s="121" cm="1">
        <f t="array" ref="U562">_xlfn.IFERROR(ISNUMBER(SEARCH("Razonar",$R562))/(ISNUMBER(SEARCH("Conocer",$R562))+ISNUMBER(SEARCH("Aplicar",$R562))+ISNUMBER(SEARCH("Razonar",$R562))),0)</f>
        <v>0.5</v>
      </c>
      <c r="V562" t="s" s="35">
        <v>138</v>
      </c>
      <c r="W562" t="s" s="35">
        <v>138</v>
      </c>
      <c r="X562" s="36" cm="1">
        <f t="array" ref="X562">IF(OR(_xlfn.IFERROR(INDEX('Datos - Catálogo TIMSS'!$I$5:$I$107,MATCH(K562,'Datos - Catálogo TIMSS'!$A$5:$A$107,0)),"No")="Sí",_xlfn.IFERROR(INDEX('Datos - Catálogo TIMSS'!$I$5:$I$107,MATCH(L562,'Datos - Catálogo TIMSS'!$A$5:$A$107,0)),"No")="Sí"),1,0)</f>
        <v>0</v>
      </c>
      <c r="Y562" s="36" cm="1">
        <f t="array" ref="Y562">IF(_xlfn.IFERROR(INDEX('Datos - Catálogo TIMSS'!$J$5:$J$107,MATCH(K562,'Datos - Catálogo TIMSS'!$A$5:$A$107,0)),"No")="Sí",1,0)</f>
        <v>0</v>
      </c>
      <c r="Z562" s="36" cm="1">
        <f t="array" ref="Z562">IF(_xlfn.IFERROR(INDEX('Datos - Catálogo TIMSS'!$J$5:$J$107,MATCH(L562,'Datos - Catálogo TIMSS'!$A$5:$A$107,0)),"No")="Sí",1,0)</f>
        <v>0</v>
      </c>
      <c r="AA562" t="s" s="35">
        <v>3318</v>
      </c>
      <c r="AB562" t="s" s="35">
        <v>3126</v>
      </c>
      <c r="AC562" t="str" s="39">
        <v>Química</v>
      </c>
      <c r="AD562" t="s" s="35">
        <v>1834</v>
      </c>
      <c r="AE562" t="str" s="39" cm="1">
        <f t="array" ref="AE562">IF(AD562="","",IF(LEFT(AD562,1)="1","C1",IF(LEFT(AD562,1)="2","C2",IF(LEFT(AD562,1)="3","C3",""))))</f>
        <v>C2</v>
      </c>
      <c r="AF562" t="s" s="35">
        <v>1602</v>
      </c>
      <c r="AG562" t="s" s="35">
        <v>1607</v>
      </c>
      <c r="AH562" t="s" s="35">
        <v>1602</v>
      </c>
      <c r="AI562" t="s" s="35">
        <v>1623</v>
      </c>
      <c r="AJ562" t="s" s="35">
        <v>1615</v>
      </c>
      <c r="AK562" t="s" s="35">
        <v>869</v>
      </c>
      <c r="AL562" s="39"/>
      <c r="AM562" t="str" s="39" cm="1">
        <f t="array" ref="AM562">IF(AK562="FUERA","Fuera del marco",_xlfn.IFERROR(INDEX('Datos - Catálogo PISA'!$C$5:$C$76,MATCH(AK562,'Datos - Catálogo PISA'!$A$5:$A$76,0)),"?"))</f>
        <v>Sistemas físicos</v>
      </c>
      <c r="AN562" t="s" s="35">
        <v>1651</v>
      </c>
      <c r="AO562" t="s" s="35">
        <v>4212</v>
      </c>
      <c r="AP562" s="39"/>
      <c r="AQ562" t="s" s="35">
        <v>1756</v>
      </c>
      <c r="AR562" s="39"/>
      <c r="AS562" t="s" s="35">
        <v>1771</v>
      </c>
      <c r="AT562" t="s" s="35">
        <v>254</v>
      </c>
      <c r="AU562" t="s" s="35">
        <v>4500</v>
      </c>
      <c r="AV562" t="s" s="35">
        <v>139</v>
      </c>
      <c r="AW562" t="str" s="39" cm="1">
        <f t="array" ref="AW562">AF562&amp;"; "&amp;AG562&amp;"; "&amp;AH562&amp;"; "&amp;AI562&amp;"; "&amp;AJ562</f>
        <v>E1; E3; E1; D4; E6</v>
      </c>
    </row>
    <row r="563" ht="13.65" customHeight="1">
      <c r="A563" t="s" s="35">
        <v>4501</v>
      </c>
      <c r="B563" s="36">
        <v>9</v>
      </c>
      <c r="C563" t="s" s="35">
        <v>1823</v>
      </c>
      <c r="D563" t="s" s="35">
        <v>4371</v>
      </c>
      <c r="E563" t="s" s="35">
        <v>4482</v>
      </c>
      <c r="F563" s="36">
        <v>7</v>
      </c>
      <c r="G563" t="s" s="35">
        <v>867</v>
      </c>
      <c r="H563" t="s" s="35">
        <v>4497</v>
      </c>
      <c r="I563" t="s" s="120">
        <v>4502</v>
      </c>
      <c r="J563" t="s" s="35">
        <v>4375</v>
      </c>
      <c r="K563" t="s" s="35">
        <v>1231</v>
      </c>
      <c r="L563" s="39"/>
      <c r="M563" t="str" s="39">
        <v>Química</v>
      </c>
      <c r="N563" t="str" s="39">
        <v>Reacciones químicas</v>
      </c>
      <c r="O563" t="str" s="39" cm="1">
        <f t="array" ref="O563">IF(L563="","",_xlfn.IFERROR(INDEX('Datos - Catálogo TIMSS'!$C$5:$C$107,MATCH(L563,'Datos - Catálogo TIMSS'!$A$5:$A$107,0)),"?"))</f>
      </c>
      <c r="P563" t="s" s="35">
        <v>282</v>
      </c>
      <c r="Q563" t="s" s="120">
        <v>4503</v>
      </c>
      <c r="R563" t="s" s="120">
        <v>2159</v>
      </c>
      <c r="S563" s="121" cm="1">
        <f t="array" ref="S563">_xlfn.IFERROR(ISNUMBER(SEARCH("Conocer",$R563))/(ISNUMBER(SEARCH("Conocer",$R563))+ISNUMBER(SEARCH("Aplicar",$R563))+ISNUMBER(SEARCH("Razonar",$R563))),0)</f>
        <v>0</v>
      </c>
      <c r="T563" s="121" cm="1">
        <f t="array" ref="T563">_xlfn.IFERROR(ISNUMBER(SEARCH("Aplicar",$R563))/(ISNUMBER(SEARCH("Conocer",$R563))+ISNUMBER(SEARCH("Aplicar",$R563))+ISNUMBER(SEARCH("Razonar",$R563))),0)</f>
        <v>0</v>
      </c>
      <c r="U563" s="121" cm="1">
        <f t="array" ref="U563">_xlfn.IFERROR(ISNUMBER(SEARCH("Razonar",$R563))/(ISNUMBER(SEARCH("Conocer",$R563))+ISNUMBER(SEARCH("Aplicar",$R563))+ISNUMBER(SEARCH("Razonar",$R563))),0)</f>
        <v>1</v>
      </c>
      <c r="V563" t="s" s="35">
        <v>138</v>
      </c>
      <c r="W563" t="s" s="35">
        <v>138</v>
      </c>
      <c r="X563" s="36" cm="1">
        <f t="array" ref="X563">IF(OR(_xlfn.IFERROR(INDEX('Datos - Catálogo TIMSS'!$I$5:$I$107,MATCH(K563,'Datos - Catálogo TIMSS'!$A$5:$A$107,0)),"No")="Sí",_xlfn.IFERROR(INDEX('Datos - Catálogo TIMSS'!$I$5:$I$107,MATCH(L563,'Datos - Catálogo TIMSS'!$A$5:$A$107,0)),"No")="Sí"),1,0)</f>
        <v>0</v>
      </c>
      <c r="Y563" s="36" cm="1">
        <f t="array" ref="Y563">IF(_xlfn.IFERROR(INDEX('Datos - Catálogo TIMSS'!$J$5:$J$107,MATCH(K563,'Datos - Catálogo TIMSS'!$A$5:$A$107,0)),"No")="Sí",1,0)</f>
        <v>0</v>
      </c>
      <c r="Z563" s="36" cm="1">
        <f t="array" ref="Z563">IF(_xlfn.IFERROR(INDEX('Datos - Catálogo TIMSS'!$J$5:$J$107,MATCH(L563,'Datos - Catálogo TIMSS'!$A$5:$A$107,0)),"No")="Sí",1,0)</f>
        <v>0</v>
      </c>
      <c r="AA563" t="s" s="35">
        <v>3318</v>
      </c>
      <c r="AB563" s="39"/>
      <c r="AC563" t="str" s="39">
        <v>Química</v>
      </c>
      <c r="AD563" t="s" s="35">
        <v>1859</v>
      </c>
      <c r="AE563" t="str" s="39" cm="1">
        <f t="array" ref="AE563">IF(AD563="","",IF(LEFT(AD563,1)="1","C1",IF(LEFT(AD563,1)="2","C2",IF(LEFT(AD563,1)="3","C3",""))))</f>
        <v>C1</v>
      </c>
      <c r="AF563" t="s" s="35">
        <v>1602</v>
      </c>
      <c r="AG563" t="s" s="35">
        <v>1617</v>
      </c>
      <c r="AH563" t="s" s="35">
        <v>1602</v>
      </c>
      <c r="AI563" t="s" s="35">
        <v>1623</v>
      </c>
      <c r="AJ563" t="s" s="35">
        <v>1615</v>
      </c>
      <c r="AK563" t="s" s="35">
        <v>869</v>
      </c>
      <c r="AL563" s="39"/>
      <c r="AM563" t="str" s="39" cm="1">
        <f t="array" ref="AM563">IF(AK563="FUERA","Fuera del marco",_xlfn.IFERROR(INDEX('Datos - Catálogo PISA'!$C$5:$C$76,MATCH(AK563,'Datos - Catálogo PISA'!$A$5:$A$76,0)),"?"))</f>
        <v>Sistemas físicos</v>
      </c>
      <c r="AN563" t="s" s="35">
        <v>1651</v>
      </c>
      <c r="AO563" s="39"/>
      <c r="AP563" s="39"/>
      <c r="AQ563" t="s" s="35">
        <v>1756</v>
      </c>
      <c r="AR563" s="39"/>
      <c r="AS563" t="s" s="35">
        <v>1771</v>
      </c>
      <c r="AT563" t="s" s="35">
        <v>254</v>
      </c>
      <c r="AU563" t="s" s="35">
        <v>4504</v>
      </c>
      <c r="AV563" t="s" s="35">
        <v>139</v>
      </c>
      <c r="AW563" t="str" s="39" cm="1">
        <f t="array" ref="AW563">AF563&amp;"; "&amp;AG563&amp;"; "&amp;AH563&amp;"; "&amp;AI563&amp;"; "&amp;AJ563</f>
        <v>E1; D1; E1; D4; E6</v>
      </c>
    </row>
    <row r="564" ht="13.65" customHeight="1">
      <c r="A564" t="s" s="35">
        <v>4505</v>
      </c>
      <c r="B564" s="36">
        <v>9</v>
      </c>
      <c r="C564" t="s" s="35">
        <v>1823</v>
      </c>
      <c r="D564" t="s" s="35">
        <v>4371</v>
      </c>
      <c r="E564" t="s" s="35">
        <v>4482</v>
      </c>
      <c r="F564" s="36">
        <v>8</v>
      </c>
      <c r="G564" t="s" s="35">
        <v>867</v>
      </c>
      <c r="H564" t="s" s="35">
        <v>4497</v>
      </c>
      <c r="I564" t="s" s="120">
        <v>4506</v>
      </c>
      <c r="J564" t="s" s="35">
        <v>4375</v>
      </c>
      <c r="K564" t="s" s="35">
        <v>1231</v>
      </c>
      <c r="L564" s="39"/>
      <c r="M564" t="str" s="39">
        <v>Química</v>
      </c>
      <c r="N564" t="str" s="39">
        <v>Reacciones químicas</v>
      </c>
      <c r="O564" t="str" s="39" cm="1">
        <f t="array" ref="O564">IF(L564="","",_xlfn.IFERROR(INDEX('Datos - Catálogo TIMSS'!$C$5:$C$107,MATCH(L564,'Datos - Catálogo TIMSS'!$A$5:$A$107,0)),"?"))</f>
      </c>
      <c r="P564" t="s" s="35">
        <v>291</v>
      </c>
      <c r="Q564" t="s" s="120">
        <v>4507</v>
      </c>
      <c r="R564" t="s" s="120">
        <v>4508</v>
      </c>
      <c r="S564" s="121" cm="1">
        <f t="array" ref="S564">_xlfn.IFERROR(ISNUMBER(SEARCH("Conocer",$R564))/(ISNUMBER(SEARCH("Conocer",$R564))+ISNUMBER(SEARCH("Aplicar",$R564))+ISNUMBER(SEARCH("Razonar",$R564))),0)</f>
        <v>0</v>
      </c>
      <c r="T564" s="121" cm="1">
        <f t="array" ref="T564">_xlfn.IFERROR(ISNUMBER(SEARCH("Aplicar",$R564))/(ISNUMBER(SEARCH("Conocer",$R564))+ISNUMBER(SEARCH("Aplicar",$R564))+ISNUMBER(SEARCH("Razonar",$R564))),0)</f>
        <v>1</v>
      </c>
      <c r="U564" s="121" cm="1">
        <f t="array" ref="U564">_xlfn.IFERROR(ISNUMBER(SEARCH("Razonar",$R564))/(ISNUMBER(SEARCH("Conocer",$R564))+ISNUMBER(SEARCH("Aplicar",$R564))+ISNUMBER(SEARCH("Razonar",$R564))),0)</f>
        <v>0</v>
      </c>
      <c r="V564" t="s" s="35">
        <v>138</v>
      </c>
      <c r="W564" t="s" s="35">
        <v>138</v>
      </c>
      <c r="X564" s="36" cm="1">
        <f t="array" ref="X564">IF(OR(_xlfn.IFERROR(INDEX('Datos - Catálogo TIMSS'!$I$5:$I$107,MATCH(K564,'Datos - Catálogo TIMSS'!$A$5:$A$107,0)),"No")="Sí",_xlfn.IFERROR(INDEX('Datos - Catálogo TIMSS'!$I$5:$I$107,MATCH(L564,'Datos - Catálogo TIMSS'!$A$5:$A$107,0)),"No")="Sí"),1,0)</f>
        <v>0</v>
      </c>
      <c r="Y564" s="36" cm="1">
        <f t="array" ref="Y564">IF(_xlfn.IFERROR(INDEX('Datos - Catálogo TIMSS'!$J$5:$J$107,MATCH(K564,'Datos - Catálogo TIMSS'!$A$5:$A$107,0)),"No")="Sí",1,0)</f>
        <v>0</v>
      </c>
      <c r="Z564" s="36" cm="1">
        <f t="array" ref="Z564">IF(_xlfn.IFERROR(INDEX('Datos - Catálogo TIMSS'!$J$5:$J$107,MATCH(L564,'Datos - Catálogo TIMSS'!$A$5:$A$107,0)),"No")="Sí",1,0)</f>
        <v>0</v>
      </c>
      <c r="AA564" t="s" s="35">
        <v>3318</v>
      </c>
      <c r="AB564" s="39"/>
      <c r="AC564" t="str" s="39">
        <v>Química</v>
      </c>
      <c r="AD564" t="s" s="35">
        <v>1859</v>
      </c>
      <c r="AE564" t="str" s="39" cm="1">
        <f t="array" ref="AE564">IF(AD564="","",IF(LEFT(AD564,1)="1","C1",IF(LEFT(AD564,1)="2","C2",IF(LEFT(AD564,1)="3","C3",""))))</f>
        <v>C1</v>
      </c>
      <c r="AF564" t="s" s="35">
        <v>1602</v>
      </c>
      <c r="AG564" t="s" s="35">
        <v>1617</v>
      </c>
      <c r="AH564" t="s" s="35">
        <v>1605</v>
      </c>
      <c r="AI564" t="s" s="35">
        <v>1623</v>
      </c>
      <c r="AJ564" t="s" s="35">
        <v>1602</v>
      </c>
      <c r="AK564" t="s" s="35">
        <v>869</v>
      </c>
      <c r="AL564" s="39"/>
      <c r="AM564" t="str" s="39" cm="1">
        <f t="array" ref="AM564">IF(AK564="FUERA","Fuera del marco",_xlfn.IFERROR(INDEX('Datos - Catálogo PISA'!$C$5:$C$76,MATCH(AK564,'Datos - Catálogo PISA'!$A$5:$A$76,0)),"?"))</f>
        <v>Sistemas físicos</v>
      </c>
      <c r="AN564" t="s" s="35">
        <v>1651</v>
      </c>
      <c r="AO564" s="39"/>
      <c r="AP564" s="39"/>
      <c r="AQ564" t="s" s="35">
        <v>1756</v>
      </c>
      <c r="AR564" s="39"/>
      <c r="AS564" t="s" s="35">
        <v>1771</v>
      </c>
      <c r="AT564" t="s" s="35">
        <v>254</v>
      </c>
      <c r="AU564" t="s" s="35">
        <v>4509</v>
      </c>
      <c r="AV564" t="s" s="35">
        <v>139</v>
      </c>
      <c r="AW564" t="str" s="39" cm="1">
        <f t="array" ref="AW564">AF564&amp;"; "&amp;AG564&amp;"; "&amp;AH564&amp;"; "&amp;AI564&amp;"; "&amp;AJ564</f>
        <v>E1; D1; E2; D4; E1</v>
      </c>
    </row>
    <row r="565" ht="13.65" customHeight="1">
      <c r="A565" t="s" s="35">
        <v>4510</v>
      </c>
      <c r="B565" s="36">
        <v>9</v>
      </c>
      <c r="C565" t="s" s="35">
        <v>1823</v>
      </c>
      <c r="D565" t="s" s="35">
        <v>4371</v>
      </c>
      <c r="E565" t="s" s="35">
        <v>4482</v>
      </c>
      <c r="F565" s="36">
        <v>9</v>
      </c>
      <c r="G565" t="s" s="35">
        <v>867</v>
      </c>
      <c r="H565" t="s" s="35">
        <v>4497</v>
      </c>
      <c r="I565" t="s" s="120">
        <v>4511</v>
      </c>
      <c r="J565" t="s" s="35">
        <v>4375</v>
      </c>
      <c r="K565" t="s" s="35">
        <v>1231</v>
      </c>
      <c r="L565" s="39"/>
      <c r="M565" t="str" s="39">
        <v>Química</v>
      </c>
      <c r="N565" t="str" s="39">
        <v>Reacciones químicas</v>
      </c>
      <c r="O565" t="str" s="39" cm="1">
        <f t="array" ref="O565">IF(L565="","",_xlfn.IFERROR(INDEX('Datos - Catálogo TIMSS'!$C$5:$C$107,MATCH(L565,'Datos - Catálogo TIMSS'!$A$5:$A$107,0)),"?"))</f>
      </c>
      <c r="P565" t="s" s="35">
        <v>291</v>
      </c>
      <c r="Q565" t="s" s="120">
        <v>4512</v>
      </c>
      <c r="R565" t="s" s="120">
        <v>2962</v>
      </c>
      <c r="S565" s="121" cm="1">
        <f t="array" ref="S565">_xlfn.IFERROR(ISNUMBER(SEARCH("Conocer",$R565))/(ISNUMBER(SEARCH("Conocer",$R565))+ISNUMBER(SEARCH("Aplicar",$R565))+ISNUMBER(SEARCH("Razonar",$R565))),0)</f>
        <v>0</v>
      </c>
      <c r="T565" s="121" cm="1">
        <f t="array" ref="T565">_xlfn.IFERROR(ISNUMBER(SEARCH("Aplicar",$R565))/(ISNUMBER(SEARCH("Conocer",$R565))+ISNUMBER(SEARCH("Aplicar",$R565))+ISNUMBER(SEARCH("Razonar",$R565))),0)</f>
        <v>1</v>
      </c>
      <c r="U565" s="121" cm="1">
        <f t="array" ref="U565">_xlfn.IFERROR(ISNUMBER(SEARCH("Razonar",$R565))/(ISNUMBER(SEARCH("Conocer",$R565))+ISNUMBER(SEARCH("Aplicar",$R565))+ISNUMBER(SEARCH("Razonar",$R565))),0)</f>
        <v>0</v>
      </c>
      <c r="V565" t="s" s="35">
        <v>138</v>
      </c>
      <c r="W565" t="s" s="35">
        <v>138</v>
      </c>
      <c r="X565" s="36" cm="1">
        <f t="array" ref="X565">IF(OR(_xlfn.IFERROR(INDEX('Datos - Catálogo TIMSS'!$I$5:$I$107,MATCH(K565,'Datos - Catálogo TIMSS'!$A$5:$A$107,0)),"No")="Sí",_xlfn.IFERROR(INDEX('Datos - Catálogo TIMSS'!$I$5:$I$107,MATCH(L565,'Datos - Catálogo TIMSS'!$A$5:$A$107,0)),"No")="Sí"),1,0)</f>
        <v>0</v>
      </c>
      <c r="Y565" s="36" cm="1">
        <f t="array" ref="Y565">IF(_xlfn.IFERROR(INDEX('Datos - Catálogo TIMSS'!$J$5:$J$107,MATCH(K565,'Datos - Catálogo TIMSS'!$A$5:$A$107,0)),"No")="Sí",1,0)</f>
        <v>0</v>
      </c>
      <c r="Z565" s="36" cm="1">
        <f t="array" ref="Z565">IF(_xlfn.IFERROR(INDEX('Datos - Catálogo TIMSS'!$J$5:$J$107,MATCH(L565,'Datos - Catálogo TIMSS'!$A$5:$A$107,0)),"No")="Sí",1,0)</f>
        <v>0</v>
      </c>
      <c r="AA565" t="s" s="35">
        <v>3318</v>
      </c>
      <c r="AB565" s="39"/>
      <c r="AC565" t="str" s="39">
        <v>Química</v>
      </c>
      <c r="AD565" t="s" s="35">
        <v>1834</v>
      </c>
      <c r="AE565" t="str" s="39" cm="1">
        <f t="array" ref="AE565">IF(AD565="","",IF(LEFT(AD565,1)="1","C1",IF(LEFT(AD565,1)="2","C2",IF(LEFT(AD565,1)="3","C3",""))))</f>
        <v>C2</v>
      </c>
      <c r="AF565" t="s" s="35">
        <v>1602</v>
      </c>
      <c r="AG565" t="s" s="35">
        <v>1617</v>
      </c>
      <c r="AH565" t="s" s="35">
        <v>1602</v>
      </c>
      <c r="AI565" t="s" s="35">
        <v>1623</v>
      </c>
      <c r="AJ565" t="s" s="35">
        <v>1607</v>
      </c>
      <c r="AK565" t="s" s="35">
        <v>869</v>
      </c>
      <c r="AL565" s="39"/>
      <c r="AM565" t="str" s="39" cm="1">
        <f t="array" ref="AM565">IF(AK565="FUERA","Fuera del marco",_xlfn.IFERROR(INDEX('Datos - Catálogo PISA'!$C$5:$C$76,MATCH(AK565,'Datos - Catálogo PISA'!$A$5:$A$76,0)),"?"))</f>
        <v>Sistemas físicos</v>
      </c>
      <c r="AN565" t="s" s="35">
        <v>1651</v>
      </c>
      <c r="AO565" s="39"/>
      <c r="AP565" s="39"/>
      <c r="AQ565" t="s" s="35">
        <v>1756</v>
      </c>
      <c r="AR565" s="39"/>
      <c r="AS565" t="s" s="35">
        <v>1771</v>
      </c>
      <c r="AT565" t="s" s="35">
        <v>254</v>
      </c>
      <c r="AU565" t="s" s="35">
        <v>4513</v>
      </c>
      <c r="AV565" t="s" s="35">
        <v>139</v>
      </c>
      <c r="AW565" t="str" s="39" cm="1">
        <f t="array" ref="AW565">AF565&amp;"; "&amp;AG565&amp;"; "&amp;AH565&amp;"; "&amp;AI565&amp;"; "&amp;AJ565</f>
        <v>E1; D1; E1; D4; E3</v>
      </c>
    </row>
    <row r="566" ht="13.65" customHeight="1">
      <c r="A566" t="s" s="35">
        <v>4514</v>
      </c>
      <c r="B566" s="36">
        <v>9</v>
      </c>
      <c r="C566" t="s" s="35">
        <v>1823</v>
      </c>
      <c r="D566" t="s" s="35">
        <v>4371</v>
      </c>
      <c r="E566" t="s" s="35">
        <v>4482</v>
      </c>
      <c r="F566" s="36">
        <v>10</v>
      </c>
      <c r="G566" t="s" s="35">
        <v>867</v>
      </c>
      <c r="H566" t="s" s="35">
        <v>4515</v>
      </c>
      <c r="I566" t="s" s="120">
        <v>4516</v>
      </c>
      <c r="J566" t="s" s="35">
        <v>4375</v>
      </c>
      <c r="K566" t="s" s="35">
        <v>1224</v>
      </c>
      <c r="L566" s="39"/>
      <c r="M566" t="str" s="39">
        <v>Química</v>
      </c>
      <c r="N566" t="str" s="39">
        <v>Propiedades de la materia</v>
      </c>
      <c r="O566" t="str" s="39" cm="1">
        <f t="array" ref="O566">IF(L566="","",_xlfn.IFERROR(INDEX('Datos - Catálogo TIMSS'!$C$5:$C$107,MATCH(L566,'Datos - Catálogo TIMSS'!$A$5:$A$107,0)),"?"))</f>
      </c>
      <c r="P566" t="s" s="35">
        <v>254</v>
      </c>
      <c r="Q566" t="s" s="120">
        <v>4517</v>
      </c>
      <c r="R566" t="s" s="120">
        <v>4518</v>
      </c>
      <c r="S566" s="121" cm="1">
        <f t="array" ref="S566">_xlfn.IFERROR(ISNUMBER(SEARCH("Conocer",$R566))/(ISNUMBER(SEARCH("Conocer",$R566))+ISNUMBER(SEARCH("Aplicar",$R566))+ISNUMBER(SEARCH("Razonar",$R566))),0)</f>
        <v>0</v>
      </c>
      <c r="T566" s="121" cm="1">
        <f t="array" ref="T566">_xlfn.IFERROR(ISNUMBER(SEARCH("Aplicar",$R566))/(ISNUMBER(SEARCH("Conocer",$R566))+ISNUMBER(SEARCH("Aplicar",$R566))+ISNUMBER(SEARCH("Razonar",$R566))),0)</f>
        <v>1</v>
      </c>
      <c r="U566" s="121" cm="1">
        <f t="array" ref="U566">_xlfn.IFERROR(ISNUMBER(SEARCH("Razonar",$R566))/(ISNUMBER(SEARCH("Conocer",$R566))+ISNUMBER(SEARCH("Aplicar",$R566))+ISNUMBER(SEARCH("Razonar",$R566))),0)</f>
        <v>0</v>
      </c>
      <c r="V566" t="s" s="35">
        <v>138</v>
      </c>
      <c r="W566" t="s" s="35">
        <v>138</v>
      </c>
      <c r="X566" s="36" cm="1">
        <f t="array" ref="X566">IF(OR(_xlfn.IFERROR(INDEX('Datos - Catálogo TIMSS'!$I$5:$I$107,MATCH(K566,'Datos - Catálogo TIMSS'!$A$5:$A$107,0)),"No")="Sí",_xlfn.IFERROR(INDEX('Datos - Catálogo TIMSS'!$I$5:$I$107,MATCH(L566,'Datos - Catálogo TIMSS'!$A$5:$A$107,0)),"No")="Sí"),1,0)</f>
        <v>0</v>
      </c>
      <c r="Y566" s="36" cm="1">
        <f t="array" ref="Y566">IF(_xlfn.IFERROR(INDEX('Datos - Catálogo TIMSS'!$J$5:$J$107,MATCH(K566,'Datos - Catálogo TIMSS'!$A$5:$A$107,0)),"No")="Sí",1,0)</f>
        <v>0</v>
      </c>
      <c r="Z566" s="36" cm="1">
        <f t="array" ref="Z566">IF(_xlfn.IFERROR(INDEX('Datos - Catálogo TIMSS'!$J$5:$J$107,MATCH(L566,'Datos - Catálogo TIMSS'!$A$5:$A$107,0)),"No")="Sí",1,0)</f>
        <v>0</v>
      </c>
      <c r="AA566" t="s" s="35">
        <v>3487</v>
      </c>
      <c r="AB566" s="39"/>
      <c r="AC566" t="str" s="39">
        <v>Química</v>
      </c>
      <c r="AD566" t="s" s="35">
        <v>1834</v>
      </c>
      <c r="AE566" t="str" s="39" cm="1">
        <f t="array" ref="AE566">IF(AD566="","",IF(LEFT(AD566,1)="1","C1",IF(LEFT(AD566,1)="2","C2",IF(LEFT(AD566,1)="3","C3",""))))</f>
        <v>C2</v>
      </c>
      <c r="AF566" t="s" s="35">
        <v>1602</v>
      </c>
      <c r="AG566" t="s" s="35">
        <v>1617</v>
      </c>
      <c r="AH566" t="s" s="35">
        <v>1602</v>
      </c>
      <c r="AI566" t="s" s="35">
        <v>1623</v>
      </c>
      <c r="AJ566" t="s" s="35">
        <v>1615</v>
      </c>
      <c r="AK566" t="s" s="35">
        <v>869</v>
      </c>
      <c r="AL566" s="39"/>
      <c r="AM566" t="str" s="39" cm="1">
        <f t="array" ref="AM566">IF(AK566="FUERA","Fuera del marco",_xlfn.IFERROR(INDEX('Datos - Catálogo PISA'!$C$5:$C$76,MATCH(AK566,'Datos - Catálogo PISA'!$A$5:$A$76,0)),"?"))</f>
        <v>Sistemas físicos</v>
      </c>
      <c r="AN566" t="s" s="35">
        <v>1651</v>
      </c>
      <c r="AO566" s="39"/>
      <c r="AP566" s="39"/>
      <c r="AQ566" t="s" s="35">
        <v>1751</v>
      </c>
      <c r="AR566" s="39"/>
      <c r="AS566" t="s" s="35">
        <v>1770</v>
      </c>
      <c r="AT566" t="s" s="35">
        <v>254</v>
      </c>
      <c r="AU566" t="s" s="35">
        <v>4519</v>
      </c>
      <c r="AV566" t="s" s="35">
        <v>139</v>
      </c>
      <c r="AW566" t="str" s="39" cm="1">
        <f t="array" ref="AW566">AF566&amp;"; "&amp;AG566&amp;"; "&amp;AH566&amp;"; "&amp;AI566&amp;"; "&amp;AJ566</f>
        <v>E1; D1; E1; D4; E6</v>
      </c>
    </row>
    <row r="567" ht="13.65" customHeight="1">
      <c r="A567" t="s" s="35">
        <v>4520</v>
      </c>
      <c r="B567" s="36">
        <v>9</v>
      </c>
      <c r="C567" t="s" s="35">
        <v>1823</v>
      </c>
      <c r="D567" t="s" s="35">
        <v>4371</v>
      </c>
      <c r="E567" t="s" s="35">
        <v>4482</v>
      </c>
      <c r="F567" s="36">
        <v>11</v>
      </c>
      <c r="G567" t="s" s="35">
        <v>867</v>
      </c>
      <c r="H567" t="s" s="35">
        <v>4515</v>
      </c>
      <c r="I567" t="s" s="120">
        <v>4521</v>
      </c>
      <c r="J567" t="s" s="35">
        <v>4375</v>
      </c>
      <c r="K567" t="s" s="35">
        <v>1224</v>
      </c>
      <c r="L567" s="39"/>
      <c r="M567" t="str" s="39">
        <v>Química</v>
      </c>
      <c r="N567" t="str" s="39">
        <v>Propiedades de la materia</v>
      </c>
      <c r="O567" t="str" s="39" cm="1">
        <f t="array" ref="O567">IF(L567="","",_xlfn.IFERROR(INDEX('Datos - Catálogo TIMSS'!$C$5:$C$107,MATCH(L567,'Datos - Catálogo TIMSS'!$A$5:$A$107,0)),"?"))</f>
      </c>
      <c r="P567" t="s" s="35">
        <v>282</v>
      </c>
      <c r="Q567" t="s" s="120">
        <v>4522</v>
      </c>
      <c r="R567" t="s" s="120">
        <v>4523</v>
      </c>
      <c r="S567" s="121" cm="1">
        <f t="array" ref="S567">_xlfn.IFERROR(ISNUMBER(SEARCH("Conocer",$R567))/(ISNUMBER(SEARCH("Conocer",$R567))+ISNUMBER(SEARCH("Aplicar",$R567))+ISNUMBER(SEARCH("Razonar",$R567))),0)</f>
        <v>0</v>
      </c>
      <c r="T567" s="121" cm="1">
        <f t="array" ref="T567">_xlfn.IFERROR(ISNUMBER(SEARCH("Aplicar",$R567))/(ISNUMBER(SEARCH("Conocer",$R567))+ISNUMBER(SEARCH("Aplicar",$R567))+ISNUMBER(SEARCH("Razonar",$R567))),0)</f>
        <v>1</v>
      </c>
      <c r="U567" s="121" cm="1">
        <f t="array" ref="U567">_xlfn.IFERROR(ISNUMBER(SEARCH("Razonar",$R567))/(ISNUMBER(SEARCH("Conocer",$R567))+ISNUMBER(SEARCH("Aplicar",$R567))+ISNUMBER(SEARCH("Razonar",$R567))),0)</f>
        <v>0</v>
      </c>
      <c r="V567" t="s" s="35">
        <v>138</v>
      </c>
      <c r="W567" t="s" s="35">
        <v>138</v>
      </c>
      <c r="X567" s="36" cm="1">
        <f t="array" ref="X567">IF(OR(_xlfn.IFERROR(INDEX('Datos - Catálogo TIMSS'!$I$5:$I$107,MATCH(K567,'Datos - Catálogo TIMSS'!$A$5:$A$107,0)),"No")="Sí",_xlfn.IFERROR(INDEX('Datos - Catálogo TIMSS'!$I$5:$I$107,MATCH(L567,'Datos - Catálogo TIMSS'!$A$5:$A$107,0)),"No")="Sí"),1,0)</f>
        <v>0</v>
      </c>
      <c r="Y567" s="36" cm="1">
        <f t="array" ref="Y567">IF(_xlfn.IFERROR(INDEX('Datos - Catálogo TIMSS'!$J$5:$J$107,MATCH(K567,'Datos - Catálogo TIMSS'!$A$5:$A$107,0)),"No")="Sí",1,0)</f>
        <v>0</v>
      </c>
      <c r="Z567" s="36" cm="1">
        <f t="array" ref="Z567">IF(_xlfn.IFERROR(INDEX('Datos - Catálogo TIMSS'!$J$5:$J$107,MATCH(L567,'Datos - Catálogo TIMSS'!$A$5:$A$107,0)),"No")="Sí",1,0)</f>
        <v>0</v>
      </c>
      <c r="AA567" t="s" s="35">
        <v>3487</v>
      </c>
      <c r="AB567" s="39"/>
      <c r="AC567" t="str" s="39">
        <v>Química</v>
      </c>
      <c r="AD567" t="s" s="35">
        <v>1859</v>
      </c>
      <c r="AE567" t="str" s="39" cm="1">
        <f t="array" ref="AE567">IF(AD567="","",IF(LEFT(AD567,1)="1","C1",IF(LEFT(AD567,1)="2","C2",IF(LEFT(AD567,1)="3","C3",""))))</f>
        <v>C1</v>
      </c>
      <c r="AF567" t="s" s="35">
        <v>1602</v>
      </c>
      <c r="AG567" t="s" s="35">
        <v>1617</v>
      </c>
      <c r="AH567" t="s" s="35">
        <v>1602</v>
      </c>
      <c r="AI567" t="s" s="35">
        <v>1623</v>
      </c>
      <c r="AJ567" t="s" s="35">
        <v>1615</v>
      </c>
      <c r="AK567" t="s" s="35">
        <v>869</v>
      </c>
      <c r="AL567" s="39"/>
      <c r="AM567" t="str" s="39" cm="1">
        <f t="array" ref="AM567">IF(AK567="FUERA","Fuera del marco",_xlfn.IFERROR(INDEX('Datos - Catálogo PISA'!$C$5:$C$76,MATCH(AK567,'Datos - Catálogo PISA'!$A$5:$A$76,0)),"?"))</f>
        <v>Sistemas físicos</v>
      </c>
      <c r="AN567" t="s" s="35">
        <v>1651</v>
      </c>
      <c r="AO567" s="39"/>
      <c r="AP567" t="s" s="35">
        <v>4524</v>
      </c>
      <c r="AQ567" t="s" s="35">
        <v>1756</v>
      </c>
      <c r="AR567" s="39"/>
      <c r="AS567" t="s" s="35">
        <v>1771</v>
      </c>
      <c r="AT567" t="s" s="35">
        <v>254</v>
      </c>
      <c r="AU567" t="s" s="35">
        <v>4525</v>
      </c>
      <c r="AV567" t="s" s="35">
        <v>139</v>
      </c>
      <c r="AW567" t="str" s="39" cm="1">
        <f t="array" ref="AW567">AF567&amp;"; "&amp;AG567&amp;"; "&amp;AH567&amp;"; "&amp;AI567&amp;"; "&amp;AJ567</f>
        <v>E1; D1; E1; D4; E6</v>
      </c>
    </row>
    <row r="568" ht="13.65" customHeight="1">
      <c r="A568" t="s" s="35">
        <v>4526</v>
      </c>
      <c r="B568" s="36">
        <v>9</v>
      </c>
      <c r="C568" t="s" s="35">
        <v>1823</v>
      </c>
      <c r="D568" t="s" s="35">
        <v>4371</v>
      </c>
      <c r="E568" t="s" s="35">
        <v>4482</v>
      </c>
      <c r="F568" s="36">
        <v>12</v>
      </c>
      <c r="G568" t="s" s="35">
        <v>867</v>
      </c>
      <c r="H568" t="s" s="35">
        <v>4515</v>
      </c>
      <c r="I568" t="s" s="120">
        <v>4527</v>
      </c>
      <c r="J568" t="s" s="35">
        <v>4375</v>
      </c>
      <c r="K568" t="s" s="35">
        <v>1224</v>
      </c>
      <c r="L568" s="39"/>
      <c r="M568" t="str" s="39">
        <v>Química</v>
      </c>
      <c r="N568" t="str" s="39">
        <v>Propiedades de la materia</v>
      </c>
      <c r="O568" t="str" s="39" cm="1">
        <f t="array" ref="O568">IF(L568="","",_xlfn.IFERROR(INDEX('Datos - Catálogo TIMSS'!$C$5:$C$107,MATCH(L568,'Datos - Catálogo TIMSS'!$A$5:$A$107,0)),"?"))</f>
      </c>
      <c r="P568" t="s" s="35">
        <v>254</v>
      </c>
      <c r="Q568" t="s" s="120">
        <v>4528</v>
      </c>
      <c r="R568" t="s" s="120">
        <v>4529</v>
      </c>
      <c r="S568" s="121" cm="1">
        <f t="array" ref="S568">_xlfn.IFERROR(ISNUMBER(SEARCH("Conocer",$R568))/(ISNUMBER(SEARCH("Conocer",$R568))+ISNUMBER(SEARCH("Aplicar",$R568))+ISNUMBER(SEARCH("Razonar",$R568))),0)</f>
        <v>0</v>
      </c>
      <c r="T568" s="121" cm="1">
        <f t="array" ref="T568">_xlfn.IFERROR(ISNUMBER(SEARCH("Aplicar",$R568))/(ISNUMBER(SEARCH("Conocer",$R568))+ISNUMBER(SEARCH("Aplicar",$R568))+ISNUMBER(SEARCH("Razonar",$R568))),0)</f>
        <v>1</v>
      </c>
      <c r="U568" s="121" cm="1">
        <f t="array" ref="U568">_xlfn.IFERROR(ISNUMBER(SEARCH("Razonar",$R568))/(ISNUMBER(SEARCH("Conocer",$R568))+ISNUMBER(SEARCH("Aplicar",$R568))+ISNUMBER(SEARCH("Razonar",$R568))),0)</f>
        <v>0</v>
      </c>
      <c r="V568" t="s" s="35">
        <v>138</v>
      </c>
      <c r="W568" t="s" s="35">
        <v>138</v>
      </c>
      <c r="X568" s="36" cm="1">
        <f t="array" ref="X568">IF(OR(_xlfn.IFERROR(INDEX('Datos - Catálogo TIMSS'!$I$5:$I$107,MATCH(K568,'Datos - Catálogo TIMSS'!$A$5:$A$107,0)),"No")="Sí",_xlfn.IFERROR(INDEX('Datos - Catálogo TIMSS'!$I$5:$I$107,MATCH(L568,'Datos - Catálogo TIMSS'!$A$5:$A$107,0)),"No")="Sí"),1,0)</f>
        <v>0</v>
      </c>
      <c r="Y568" s="36" cm="1">
        <f t="array" ref="Y568">IF(_xlfn.IFERROR(INDEX('Datos - Catálogo TIMSS'!$J$5:$J$107,MATCH(K568,'Datos - Catálogo TIMSS'!$A$5:$A$107,0)),"No")="Sí",1,0)</f>
        <v>0</v>
      </c>
      <c r="Z568" s="36" cm="1">
        <f t="array" ref="Z568">IF(_xlfn.IFERROR(INDEX('Datos - Catálogo TIMSS'!$J$5:$J$107,MATCH(L568,'Datos - Catálogo TIMSS'!$A$5:$A$107,0)),"No")="Sí",1,0)</f>
        <v>0</v>
      </c>
      <c r="AA568" t="s" s="35">
        <v>3487</v>
      </c>
      <c r="AB568" s="39"/>
      <c r="AC568" t="str" s="39">
        <v>Química</v>
      </c>
      <c r="AD568" t="s" s="35">
        <v>1834</v>
      </c>
      <c r="AE568" t="str" s="39" cm="1">
        <f t="array" ref="AE568">IF(AD568="","",IF(LEFT(AD568,1)="1","C1",IF(LEFT(AD568,1)="2","C2",IF(LEFT(AD568,1)="3","C3",""))))</f>
        <v>C2</v>
      </c>
      <c r="AF568" t="s" s="35">
        <v>1602</v>
      </c>
      <c r="AG568" t="s" s="35">
        <v>1607</v>
      </c>
      <c r="AH568" t="s" s="35">
        <v>1602</v>
      </c>
      <c r="AI568" t="s" s="35">
        <v>1619</v>
      </c>
      <c r="AJ568" t="s" s="35">
        <v>1607</v>
      </c>
      <c r="AK568" t="s" s="35">
        <v>869</v>
      </c>
      <c r="AL568" s="39"/>
      <c r="AM568" t="str" s="39" cm="1">
        <f t="array" ref="AM568">IF(AK568="FUERA","Fuera del marco",_xlfn.IFERROR(INDEX('Datos - Catálogo PISA'!$C$5:$C$76,MATCH(AK568,'Datos - Catálogo PISA'!$A$5:$A$76,0)),"?"))</f>
        <v>Sistemas físicos</v>
      </c>
      <c r="AN568" t="s" s="35">
        <v>1651</v>
      </c>
      <c r="AO568" t="s" s="35">
        <v>3488</v>
      </c>
      <c r="AP568" s="39"/>
      <c r="AQ568" t="s" s="35">
        <v>1756</v>
      </c>
      <c r="AR568" s="39"/>
      <c r="AS568" t="s" s="35">
        <v>1771</v>
      </c>
      <c r="AT568" t="s" s="35">
        <v>254</v>
      </c>
      <c r="AU568" t="s" s="35">
        <v>4530</v>
      </c>
      <c r="AV568" t="s" s="35">
        <v>139</v>
      </c>
      <c r="AW568" t="str" s="39" cm="1">
        <f t="array" ref="AW568">AF568&amp;"; "&amp;AG568&amp;"; "&amp;AH568&amp;"; "&amp;AI568&amp;"; "&amp;AJ568</f>
        <v>E1; E3; E1; D2; E3</v>
      </c>
    </row>
    <row r="569" ht="13.65" customHeight="1">
      <c r="A569" t="s" s="35">
        <v>4531</v>
      </c>
      <c r="B569" s="36">
        <v>9</v>
      </c>
      <c r="C569" t="s" s="35">
        <v>1823</v>
      </c>
      <c r="D569" t="s" s="35">
        <v>4371</v>
      </c>
      <c r="E569" t="s" s="35">
        <v>4482</v>
      </c>
      <c r="F569" s="36">
        <v>13</v>
      </c>
      <c r="G569" t="s" s="35">
        <v>867</v>
      </c>
      <c r="H569" t="s" s="35">
        <v>4515</v>
      </c>
      <c r="I569" t="s" s="120">
        <v>4532</v>
      </c>
      <c r="J569" t="s" s="35">
        <v>4375</v>
      </c>
      <c r="K569" t="s" s="35">
        <v>1224</v>
      </c>
      <c r="L569" s="39"/>
      <c r="M569" t="str" s="39">
        <v>Química</v>
      </c>
      <c r="N569" t="str" s="39">
        <v>Propiedades de la materia</v>
      </c>
      <c r="O569" t="str" s="39" cm="1">
        <f t="array" ref="O569">IF(L569="","",_xlfn.IFERROR(INDEX('Datos - Catálogo TIMSS'!$C$5:$C$107,MATCH(L569,'Datos - Catálogo TIMSS'!$A$5:$A$107,0)),"?"))</f>
      </c>
      <c r="P569" t="s" s="35">
        <v>254</v>
      </c>
      <c r="Q569" t="s" s="120">
        <v>4533</v>
      </c>
      <c r="R569" t="s" s="120">
        <v>2962</v>
      </c>
      <c r="S569" s="121" cm="1">
        <f t="array" ref="S569">_xlfn.IFERROR(ISNUMBER(SEARCH("Conocer",$R569))/(ISNUMBER(SEARCH("Conocer",$R569))+ISNUMBER(SEARCH("Aplicar",$R569))+ISNUMBER(SEARCH("Razonar",$R569))),0)</f>
        <v>0</v>
      </c>
      <c r="T569" s="121" cm="1">
        <f t="array" ref="T569">_xlfn.IFERROR(ISNUMBER(SEARCH("Aplicar",$R569))/(ISNUMBER(SEARCH("Conocer",$R569))+ISNUMBER(SEARCH("Aplicar",$R569))+ISNUMBER(SEARCH("Razonar",$R569))),0)</f>
        <v>1</v>
      </c>
      <c r="U569" s="121" cm="1">
        <f t="array" ref="U569">_xlfn.IFERROR(ISNUMBER(SEARCH("Razonar",$R569))/(ISNUMBER(SEARCH("Conocer",$R569))+ISNUMBER(SEARCH("Aplicar",$R569))+ISNUMBER(SEARCH("Razonar",$R569))),0)</f>
        <v>0</v>
      </c>
      <c r="V569" t="s" s="35">
        <v>138</v>
      </c>
      <c r="W569" t="s" s="35">
        <v>138</v>
      </c>
      <c r="X569" s="36" cm="1">
        <f t="array" ref="X569">IF(OR(_xlfn.IFERROR(INDEX('Datos - Catálogo TIMSS'!$I$5:$I$107,MATCH(K569,'Datos - Catálogo TIMSS'!$A$5:$A$107,0)),"No")="Sí",_xlfn.IFERROR(INDEX('Datos - Catálogo TIMSS'!$I$5:$I$107,MATCH(L569,'Datos - Catálogo TIMSS'!$A$5:$A$107,0)),"No")="Sí"),1,0)</f>
        <v>0</v>
      </c>
      <c r="Y569" s="36" cm="1">
        <f t="array" ref="Y569">IF(_xlfn.IFERROR(INDEX('Datos - Catálogo TIMSS'!$J$5:$J$107,MATCH(K569,'Datos - Catálogo TIMSS'!$A$5:$A$107,0)),"No")="Sí",1,0)</f>
        <v>0</v>
      </c>
      <c r="Z569" s="36" cm="1">
        <f t="array" ref="Z569">IF(_xlfn.IFERROR(INDEX('Datos - Catálogo TIMSS'!$J$5:$J$107,MATCH(L569,'Datos - Catálogo TIMSS'!$A$5:$A$107,0)),"No")="Sí",1,0)</f>
        <v>0</v>
      </c>
      <c r="AA569" t="s" s="35">
        <v>3487</v>
      </c>
      <c r="AB569" s="39"/>
      <c r="AC569" t="str" s="39">
        <v>Química</v>
      </c>
      <c r="AD569" t="s" s="35">
        <v>1834</v>
      </c>
      <c r="AE569" t="str" s="39" cm="1">
        <f t="array" ref="AE569">IF(AD569="","",IF(LEFT(AD569,1)="1","C1",IF(LEFT(AD569,1)="2","C2",IF(LEFT(AD569,1)="3","C3",""))))</f>
        <v>C2</v>
      </c>
      <c r="AF569" t="s" s="35">
        <v>1602</v>
      </c>
      <c r="AG569" t="s" s="35">
        <v>1617</v>
      </c>
      <c r="AH569" t="s" s="35">
        <v>1602</v>
      </c>
      <c r="AI569" t="s" s="35">
        <v>1623</v>
      </c>
      <c r="AJ569" t="s" s="35">
        <v>1602</v>
      </c>
      <c r="AK569" t="s" s="35">
        <v>869</v>
      </c>
      <c r="AL569" s="39"/>
      <c r="AM569" t="str" s="39" cm="1">
        <f t="array" ref="AM569">IF(AK569="FUERA","Fuera del marco",_xlfn.IFERROR(INDEX('Datos - Catálogo PISA'!$C$5:$C$76,MATCH(AK569,'Datos - Catálogo PISA'!$A$5:$A$76,0)),"?"))</f>
        <v>Sistemas físicos</v>
      </c>
      <c r="AN569" t="s" s="35">
        <v>1651</v>
      </c>
      <c r="AO569" s="39"/>
      <c r="AP569" s="39"/>
      <c r="AQ569" t="s" s="35">
        <v>1756</v>
      </c>
      <c r="AR569" s="39"/>
      <c r="AS569" t="s" s="35">
        <v>1771</v>
      </c>
      <c r="AT569" t="s" s="35">
        <v>254</v>
      </c>
      <c r="AU569" t="s" s="35">
        <v>4534</v>
      </c>
      <c r="AV569" t="s" s="35">
        <v>139</v>
      </c>
      <c r="AW569" t="str" s="39" cm="1">
        <f t="array" ref="AW569">AF569&amp;"; "&amp;AG569&amp;"; "&amp;AH569&amp;"; "&amp;AI569&amp;"; "&amp;AJ569</f>
        <v>E1; D1; E1; D4; E1</v>
      </c>
    </row>
    <row r="570" ht="13.65" customHeight="1">
      <c r="A570" t="s" s="35">
        <v>4535</v>
      </c>
      <c r="B570" s="36">
        <v>9</v>
      </c>
      <c r="C570" t="s" s="35">
        <v>1823</v>
      </c>
      <c r="D570" t="s" s="35">
        <v>4371</v>
      </c>
      <c r="E570" t="s" s="35">
        <v>4482</v>
      </c>
      <c r="F570" s="36">
        <v>14</v>
      </c>
      <c r="G570" t="s" s="35">
        <v>867</v>
      </c>
      <c r="H570" t="s" s="35">
        <v>4515</v>
      </c>
      <c r="I570" t="s" s="120">
        <v>4536</v>
      </c>
      <c r="J570" t="s" s="35">
        <v>4375</v>
      </c>
      <c r="K570" t="s" s="35">
        <v>1224</v>
      </c>
      <c r="L570" s="39"/>
      <c r="M570" t="str" s="39">
        <v>Química</v>
      </c>
      <c r="N570" t="str" s="39">
        <v>Propiedades de la materia</v>
      </c>
      <c r="O570" t="str" s="39" cm="1">
        <f t="array" ref="O570">IF(L570="","",_xlfn.IFERROR(INDEX('Datos - Catálogo TIMSS'!$C$5:$C$107,MATCH(L570,'Datos - Catálogo TIMSS'!$A$5:$A$107,0)),"?"))</f>
      </c>
      <c r="P570" t="s" s="35">
        <v>254</v>
      </c>
      <c r="Q570" t="s" s="120">
        <v>4537</v>
      </c>
      <c r="R570" t="s" s="120">
        <v>1847</v>
      </c>
      <c r="S570" s="121" cm="1">
        <f t="array" ref="S570">_xlfn.IFERROR(ISNUMBER(SEARCH("Conocer",$R570))/(ISNUMBER(SEARCH("Conocer",$R570))+ISNUMBER(SEARCH("Aplicar",$R570))+ISNUMBER(SEARCH("Razonar",$R570))),0)</f>
        <v>0</v>
      </c>
      <c r="T570" s="121" cm="1">
        <f t="array" ref="T570">_xlfn.IFERROR(ISNUMBER(SEARCH("Aplicar",$R570))/(ISNUMBER(SEARCH("Conocer",$R570))+ISNUMBER(SEARCH("Aplicar",$R570))+ISNUMBER(SEARCH("Razonar",$R570))),0)</f>
        <v>1</v>
      </c>
      <c r="U570" s="121" cm="1">
        <f t="array" ref="U570">_xlfn.IFERROR(ISNUMBER(SEARCH("Razonar",$R570))/(ISNUMBER(SEARCH("Conocer",$R570))+ISNUMBER(SEARCH("Aplicar",$R570))+ISNUMBER(SEARCH("Razonar",$R570))),0)</f>
        <v>0</v>
      </c>
      <c r="V570" t="s" s="35">
        <v>138</v>
      </c>
      <c r="W570" t="s" s="35">
        <v>138</v>
      </c>
      <c r="X570" s="36" cm="1">
        <f t="array" ref="X570">IF(OR(_xlfn.IFERROR(INDEX('Datos - Catálogo TIMSS'!$I$5:$I$107,MATCH(K570,'Datos - Catálogo TIMSS'!$A$5:$A$107,0)),"No")="Sí",_xlfn.IFERROR(INDEX('Datos - Catálogo TIMSS'!$I$5:$I$107,MATCH(L570,'Datos - Catálogo TIMSS'!$A$5:$A$107,0)),"No")="Sí"),1,0)</f>
        <v>0</v>
      </c>
      <c r="Y570" s="36" cm="1">
        <f t="array" ref="Y570">IF(_xlfn.IFERROR(INDEX('Datos - Catálogo TIMSS'!$J$5:$J$107,MATCH(K570,'Datos - Catálogo TIMSS'!$A$5:$A$107,0)),"No")="Sí",1,0)</f>
        <v>0</v>
      </c>
      <c r="Z570" s="36" cm="1">
        <f t="array" ref="Z570">IF(_xlfn.IFERROR(INDEX('Datos - Catálogo TIMSS'!$J$5:$J$107,MATCH(L570,'Datos - Catálogo TIMSS'!$A$5:$A$107,0)),"No")="Sí",1,0)</f>
        <v>0</v>
      </c>
      <c r="AA570" t="s" s="35">
        <v>3487</v>
      </c>
      <c r="AB570" s="39"/>
      <c r="AC570" t="str" s="39">
        <v>Química</v>
      </c>
      <c r="AD570" t="s" s="35">
        <v>1834</v>
      </c>
      <c r="AE570" t="str" s="39" cm="1">
        <f t="array" ref="AE570">IF(AD570="","",IF(LEFT(AD570,1)="1","C1",IF(LEFT(AD570,1)="2","C2",IF(LEFT(AD570,1)="3","C3",""))))</f>
        <v>C2</v>
      </c>
      <c r="AF570" t="s" s="35">
        <v>1602</v>
      </c>
      <c r="AG570" t="s" s="35">
        <v>1617</v>
      </c>
      <c r="AH570" t="s" s="35">
        <v>1602</v>
      </c>
      <c r="AI570" t="s" s="35">
        <v>1623</v>
      </c>
      <c r="AJ570" t="s" s="35">
        <v>1602</v>
      </c>
      <c r="AK570" t="s" s="35">
        <v>869</v>
      </c>
      <c r="AL570" s="39"/>
      <c r="AM570" t="str" s="39" cm="1">
        <f t="array" ref="AM570">IF(AK570="FUERA","Fuera del marco",_xlfn.IFERROR(INDEX('Datos - Catálogo PISA'!$C$5:$C$76,MATCH(AK570,'Datos - Catálogo PISA'!$A$5:$A$76,0)),"?"))</f>
        <v>Sistemas físicos</v>
      </c>
      <c r="AN570" t="s" s="35">
        <v>1651</v>
      </c>
      <c r="AO570" s="39"/>
      <c r="AP570" s="39"/>
      <c r="AQ570" t="s" s="35">
        <v>1751</v>
      </c>
      <c r="AR570" s="39"/>
      <c r="AS570" t="s" s="35">
        <v>1770</v>
      </c>
      <c r="AT570" t="s" s="35">
        <v>254</v>
      </c>
      <c r="AU570" t="s" s="35">
        <v>4538</v>
      </c>
      <c r="AV570" t="s" s="35">
        <v>139</v>
      </c>
      <c r="AW570" t="str" s="39" cm="1">
        <f t="array" ref="AW570">AF570&amp;"; "&amp;AG570&amp;"; "&amp;AH570&amp;"; "&amp;AI570&amp;"; "&amp;AJ570</f>
        <v>E1; D1; E1; D4; E1</v>
      </c>
    </row>
    <row r="571" ht="13.65" customHeight="1">
      <c r="A571" t="s" s="35">
        <v>4539</v>
      </c>
      <c r="B571" s="36">
        <v>9</v>
      </c>
      <c r="C571" t="s" s="35">
        <v>1823</v>
      </c>
      <c r="D571" t="s" s="35">
        <v>4371</v>
      </c>
      <c r="E571" t="s" s="35">
        <v>4482</v>
      </c>
      <c r="F571" s="36">
        <v>15</v>
      </c>
      <c r="G571" t="s" s="35">
        <v>867</v>
      </c>
      <c r="H571" t="s" s="35">
        <v>4515</v>
      </c>
      <c r="I571" t="s" s="120">
        <v>4540</v>
      </c>
      <c r="J571" t="s" s="35">
        <v>4375</v>
      </c>
      <c r="K571" t="s" s="35">
        <v>1224</v>
      </c>
      <c r="L571" s="39"/>
      <c r="M571" t="str" s="39">
        <v>Química</v>
      </c>
      <c r="N571" t="str" s="39">
        <v>Propiedades de la materia</v>
      </c>
      <c r="O571" t="str" s="39" cm="1">
        <f t="array" ref="O571">IF(L571="","",_xlfn.IFERROR(INDEX('Datos - Catálogo TIMSS'!$C$5:$C$107,MATCH(L571,'Datos - Catálogo TIMSS'!$A$5:$A$107,0)),"?"))</f>
      </c>
      <c r="P571" t="s" s="35">
        <v>282</v>
      </c>
      <c r="Q571" t="s" s="120">
        <v>4541</v>
      </c>
      <c r="R571" t="s" s="120">
        <v>1847</v>
      </c>
      <c r="S571" s="121" cm="1">
        <f t="array" ref="S571">_xlfn.IFERROR(ISNUMBER(SEARCH("Conocer",$R571))/(ISNUMBER(SEARCH("Conocer",$R571))+ISNUMBER(SEARCH("Aplicar",$R571))+ISNUMBER(SEARCH("Razonar",$R571))),0)</f>
        <v>0</v>
      </c>
      <c r="T571" s="121" cm="1">
        <f t="array" ref="T571">_xlfn.IFERROR(ISNUMBER(SEARCH("Aplicar",$R571))/(ISNUMBER(SEARCH("Conocer",$R571))+ISNUMBER(SEARCH("Aplicar",$R571))+ISNUMBER(SEARCH("Razonar",$R571))),0)</f>
        <v>1</v>
      </c>
      <c r="U571" s="121" cm="1">
        <f t="array" ref="U571">_xlfn.IFERROR(ISNUMBER(SEARCH("Razonar",$R571))/(ISNUMBER(SEARCH("Conocer",$R571))+ISNUMBER(SEARCH("Aplicar",$R571))+ISNUMBER(SEARCH("Razonar",$R571))),0)</f>
        <v>0</v>
      </c>
      <c r="V571" t="s" s="35">
        <v>138</v>
      </c>
      <c r="W571" t="s" s="35">
        <v>138</v>
      </c>
      <c r="X571" s="36" cm="1">
        <f t="array" ref="X571">IF(OR(_xlfn.IFERROR(INDEX('Datos - Catálogo TIMSS'!$I$5:$I$107,MATCH(K571,'Datos - Catálogo TIMSS'!$A$5:$A$107,0)),"No")="Sí",_xlfn.IFERROR(INDEX('Datos - Catálogo TIMSS'!$I$5:$I$107,MATCH(L571,'Datos - Catálogo TIMSS'!$A$5:$A$107,0)),"No")="Sí"),1,0)</f>
        <v>0</v>
      </c>
      <c r="Y571" s="36" cm="1">
        <f t="array" ref="Y571">IF(_xlfn.IFERROR(INDEX('Datos - Catálogo TIMSS'!$J$5:$J$107,MATCH(K571,'Datos - Catálogo TIMSS'!$A$5:$A$107,0)),"No")="Sí",1,0)</f>
        <v>0</v>
      </c>
      <c r="Z571" s="36" cm="1">
        <f t="array" ref="Z571">IF(_xlfn.IFERROR(INDEX('Datos - Catálogo TIMSS'!$J$5:$J$107,MATCH(L571,'Datos - Catálogo TIMSS'!$A$5:$A$107,0)),"No")="Sí",1,0)</f>
        <v>0</v>
      </c>
      <c r="AA571" t="s" s="35">
        <v>3487</v>
      </c>
      <c r="AB571" s="39"/>
      <c r="AC571" t="str" s="39">
        <v>Química</v>
      </c>
      <c r="AD571" t="s" s="35">
        <v>1859</v>
      </c>
      <c r="AE571" t="str" s="39" cm="1">
        <f t="array" ref="AE571">IF(AD571="","",IF(LEFT(AD571,1)="1","C1",IF(LEFT(AD571,1)="2","C2",IF(LEFT(AD571,1)="3","C3",""))))</f>
        <v>C1</v>
      </c>
      <c r="AF571" t="s" s="35">
        <v>1602</v>
      </c>
      <c r="AG571" t="s" s="35">
        <v>1617</v>
      </c>
      <c r="AH571" t="s" s="35">
        <v>1602</v>
      </c>
      <c r="AI571" t="s" s="35">
        <v>1623</v>
      </c>
      <c r="AJ571" t="s" s="35">
        <v>1602</v>
      </c>
      <c r="AK571" t="s" s="35">
        <v>869</v>
      </c>
      <c r="AL571" s="39"/>
      <c r="AM571" t="str" s="39" cm="1">
        <f t="array" ref="AM571">IF(AK571="FUERA","Fuera del marco",_xlfn.IFERROR(INDEX('Datos - Catálogo PISA'!$C$5:$C$76,MATCH(AK571,'Datos - Catálogo PISA'!$A$5:$A$76,0)),"?"))</f>
        <v>Sistemas físicos</v>
      </c>
      <c r="AN571" t="s" s="35">
        <v>1651</v>
      </c>
      <c r="AO571" s="39"/>
      <c r="AP571" s="39"/>
      <c r="AQ571" t="s" s="35">
        <v>1756</v>
      </c>
      <c r="AR571" s="39"/>
      <c r="AS571" t="s" s="35">
        <v>1770</v>
      </c>
      <c r="AT571" t="s" s="35">
        <v>254</v>
      </c>
      <c r="AU571" t="s" s="35">
        <v>4542</v>
      </c>
      <c r="AV571" t="s" s="35">
        <v>139</v>
      </c>
      <c r="AW571" t="str" s="39" cm="1">
        <f t="array" ref="AW571">AF571&amp;"; "&amp;AG571&amp;"; "&amp;AH571&amp;"; "&amp;AI571&amp;"; "&amp;AJ571</f>
        <v>E1; D1; E1; D4; E1</v>
      </c>
    </row>
    <row r="572" ht="13.65" customHeight="1">
      <c r="A572" t="s" s="35">
        <v>4543</v>
      </c>
      <c r="B572" s="36">
        <v>9</v>
      </c>
      <c r="C572" t="s" s="35">
        <v>1823</v>
      </c>
      <c r="D572" t="s" s="35">
        <v>4371</v>
      </c>
      <c r="E572" t="s" s="35">
        <v>4482</v>
      </c>
      <c r="F572" s="36">
        <v>16</v>
      </c>
      <c r="G572" t="s" s="35">
        <v>867</v>
      </c>
      <c r="H572" t="s" s="35">
        <v>4515</v>
      </c>
      <c r="I572" t="s" s="120">
        <v>4544</v>
      </c>
      <c r="J572" t="s" s="35">
        <v>4375</v>
      </c>
      <c r="K572" t="s" s="35">
        <v>1224</v>
      </c>
      <c r="L572" s="39"/>
      <c r="M572" t="str" s="39">
        <v>Química</v>
      </c>
      <c r="N572" t="str" s="39">
        <v>Propiedades de la materia</v>
      </c>
      <c r="O572" t="str" s="39" cm="1">
        <f t="array" ref="O572">IF(L572="","",_xlfn.IFERROR(INDEX('Datos - Catálogo TIMSS'!$C$5:$C$107,MATCH(L572,'Datos - Catálogo TIMSS'!$A$5:$A$107,0)),"?"))</f>
      </c>
      <c r="P572" t="s" s="35">
        <v>282</v>
      </c>
      <c r="Q572" t="s" s="120">
        <v>4545</v>
      </c>
      <c r="R572" t="s" s="120">
        <v>2805</v>
      </c>
      <c r="S572" s="121" cm="1">
        <f t="array" ref="S572">_xlfn.IFERROR(ISNUMBER(SEARCH("Conocer",$R572))/(ISNUMBER(SEARCH("Conocer",$R572))+ISNUMBER(SEARCH("Aplicar",$R572))+ISNUMBER(SEARCH("Razonar",$R572))),0)</f>
        <v>0</v>
      </c>
      <c r="T572" s="121" cm="1">
        <f t="array" ref="T572">_xlfn.IFERROR(ISNUMBER(SEARCH("Aplicar",$R572))/(ISNUMBER(SEARCH("Conocer",$R572))+ISNUMBER(SEARCH("Aplicar",$R572))+ISNUMBER(SEARCH("Razonar",$R572))),0)</f>
        <v>1</v>
      </c>
      <c r="U572" s="121" cm="1">
        <f t="array" ref="U572">_xlfn.IFERROR(ISNUMBER(SEARCH("Razonar",$R572))/(ISNUMBER(SEARCH("Conocer",$R572))+ISNUMBER(SEARCH("Aplicar",$R572))+ISNUMBER(SEARCH("Razonar",$R572))),0)</f>
        <v>0</v>
      </c>
      <c r="V572" t="s" s="35">
        <v>138</v>
      </c>
      <c r="W572" t="s" s="35">
        <v>138</v>
      </c>
      <c r="X572" s="36" cm="1">
        <f t="array" ref="X572">IF(OR(_xlfn.IFERROR(INDEX('Datos - Catálogo TIMSS'!$I$5:$I$107,MATCH(K572,'Datos - Catálogo TIMSS'!$A$5:$A$107,0)),"No")="Sí",_xlfn.IFERROR(INDEX('Datos - Catálogo TIMSS'!$I$5:$I$107,MATCH(L572,'Datos - Catálogo TIMSS'!$A$5:$A$107,0)),"No")="Sí"),1,0)</f>
        <v>0</v>
      </c>
      <c r="Y572" s="36" cm="1">
        <f t="array" ref="Y572">IF(_xlfn.IFERROR(INDEX('Datos - Catálogo TIMSS'!$J$5:$J$107,MATCH(K572,'Datos - Catálogo TIMSS'!$A$5:$A$107,0)),"No")="Sí",1,0)</f>
        <v>0</v>
      </c>
      <c r="Z572" s="36" cm="1">
        <f t="array" ref="Z572">IF(_xlfn.IFERROR(INDEX('Datos - Catálogo TIMSS'!$J$5:$J$107,MATCH(L572,'Datos - Catálogo TIMSS'!$A$5:$A$107,0)),"No")="Sí",1,0)</f>
        <v>0</v>
      </c>
      <c r="AA572" t="s" s="35">
        <v>3487</v>
      </c>
      <c r="AB572" s="39"/>
      <c r="AC572" t="str" s="39">
        <v>Química</v>
      </c>
      <c r="AD572" t="s" s="35">
        <v>1859</v>
      </c>
      <c r="AE572" t="str" s="39" cm="1">
        <f t="array" ref="AE572">IF(AD572="","",IF(LEFT(AD572,1)="1","C1",IF(LEFT(AD572,1)="2","C2",IF(LEFT(AD572,1)="3","C3",""))))</f>
        <v>C1</v>
      </c>
      <c r="AF572" t="s" s="35">
        <v>1602</v>
      </c>
      <c r="AG572" t="s" s="35">
        <v>1617</v>
      </c>
      <c r="AH572" t="s" s="35">
        <v>1602</v>
      </c>
      <c r="AI572" t="s" s="35">
        <v>1623</v>
      </c>
      <c r="AJ572" t="s" s="35">
        <v>1602</v>
      </c>
      <c r="AK572" t="s" s="35">
        <v>869</v>
      </c>
      <c r="AL572" s="39"/>
      <c r="AM572" t="str" s="39" cm="1">
        <f t="array" ref="AM572">IF(AK572="FUERA","Fuera del marco",_xlfn.IFERROR(INDEX('Datos - Catálogo PISA'!$C$5:$C$76,MATCH(AK572,'Datos - Catálogo PISA'!$A$5:$A$76,0)),"?"))</f>
        <v>Sistemas físicos</v>
      </c>
      <c r="AN572" t="s" s="35">
        <v>1651</v>
      </c>
      <c r="AO572" s="39"/>
      <c r="AP572" s="39"/>
      <c r="AQ572" t="s" s="35">
        <v>1756</v>
      </c>
      <c r="AR572" s="39"/>
      <c r="AS572" t="s" s="35">
        <v>1770</v>
      </c>
      <c r="AT572" t="s" s="35">
        <v>254</v>
      </c>
      <c r="AU572" t="s" s="35">
        <v>4546</v>
      </c>
      <c r="AV572" t="s" s="35">
        <v>139</v>
      </c>
      <c r="AW572" t="str" s="39" cm="1">
        <f t="array" ref="AW572">AF572&amp;"; "&amp;AG572&amp;"; "&amp;AH572&amp;"; "&amp;AI572&amp;"; "&amp;AJ572</f>
        <v>E1; D1; E1; D4; E1</v>
      </c>
    </row>
    <row r="573" ht="13.65" customHeight="1">
      <c r="A573" t="s" s="35">
        <v>4547</v>
      </c>
      <c r="B573" s="36">
        <v>9</v>
      </c>
      <c r="C573" t="s" s="35">
        <v>1823</v>
      </c>
      <c r="D573" t="s" s="35">
        <v>4371</v>
      </c>
      <c r="E573" t="s" s="35">
        <v>4482</v>
      </c>
      <c r="F573" s="36">
        <v>17</v>
      </c>
      <c r="G573" t="s" s="35">
        <v>867</v>
      </c>
      <c r="H573" t="s" s="35">
        <v>4515</v>
      </c>
      <c r="I573" t="s" s="120">
        <v>4548</v>
      </c>
      <c r="J573" t="s" s="35">
        <v>4375</v>
      </c>
      <c r="K573" t="s" s="35">
        <v>1224</v>
      </c>
      <c r="L573" s="39"/>
      <c r="M573" t="str" s="39">
        <v>Química</v>
      </c>
      <c r="N573" t="str" s="39">
        <v>Propiedades de la materia</v>
      </c>
      <c r="O573" t="str" s="39" cm="1">
        <f t="array" ref="O573">IF(L573="","",_xlfn.IFERROR(INDEX('Datos - Catálogo TIMSS'!$C$5:$C$107,MATCH(L573,'Datos - Catálogo TIMSS'!$A$5:$A$107,0)),"?"))</f>
      </c>
      <c r="P573" t="s" s="35">
        <v>282</v>
      </c>
      <c r="Q573" t="s" s="120">
        <v>4549</v>
      </c>
      <c r="R573" t="s" s="120">
        <v>3297</v>
      </c>
      <c r="S573" s="121" cm="1">
        <f t="array" ref="S573">_xlfn.IFERROR(ISNUMBER(SEARCH("Conocer",$R573))/(ISNUMBER(SEARCH("Conocer",$R573))+ISNUMBER(SEARCH("Aplicar",$R573))+ISNUMBER(SEARCH("Razonar",$R573))),0)</f>
        <v>1</v>
      </c>
      <c r="T573" s="121" cm="1">
        <f t="array" ref="T573">_xlfn.IFERROR(ISNUMBER(SEARCH("Aplicar",$R573))/(ISNUMBER(SEARCH("Conocer",$R573))+ISNUMBER(SEARCH("Aplicar",$R573))+ISNUMBER(SEARCH("Razonar",$R573))),0)</f>
        <v>0</v>
      </c>
      <c r="U573" s="121" cm="1">
        <f t="array" ref="U573">_xlfn.IFERROR(ISNUMBER(SEARCH("Razonar",$R573))/(ISNUMBER(SEARCH("Conocer",$R573))+ISNUMBER(SEARCH("Aplicar",$R573))+ISNUMBER(SEARCH("Razonar",$R573))),0)</f>
        <v>0</v>
      </c>
      <c r="V573" t="s" s="35">
        <v>138</v>
      </c>
      <c r="W573" t="s" s="35">
        <v>138</v>
      </c>
      <c r="X573" s="36" cm="1">
        <f t="array" ref="X573">IF(OR(_xlfn.IFERROR(INDEX('Datos - Catálogo TIMSS'!$I$5:$I$107,MATCH(K573,'Datos - Catálogo TIMSS'!$A$5:$A$107,0)),"No")="Sí",_xlfn.IFERROR(INDEX('Datos - Catálogo TIMSS'!$I$5:$I$107,MATCH(L573,'Datos - Catálogo TIMSS'!$A$5:$A$107,0)),"No")="Sí"),1,0)</f>
        <v>0</v>
      </c>
      <c r="Y573" s="36" cm="1">
        <f t="array" ref="Y573">IF(_xlfn.IFERROR(INDEX('Datos - Catálogo TIMSS'!$J$5:$J$107,MATCH(K573,'Datos - Catálogo TIMSS'!$A$5:$A$107,0)),"No")="Sí",1,0)</f>
        <v>0</v>
      </c>
      <c r="Z573" s="36" cm="1">
        <f t="array" ref="Z573">IF(_xlfn.IFERROR(INDEX('Datos - Catálogo TIMSS'!$J$5:$J$107,MATCH(L573,'Datos - Catálogo TIMSS'!$A$5:$A$107,0)),"No")="Sí",1,0)</f>
        <v>0</v>
      </c>
      <c r="AA573" t="s" s="35">
        <v>3487</v>
      </c>
      <c r="AB573" s="39"/>
      <c r="AC573" t="str" s="39">
        <v>Química</v>
      </c>
      <c r="AD573" t="s" s="35">
        <v>1859</v>
      </c>
      <c r="AE573" t="str" s="39" cm="1">
        <f t="array" ref="AE573">IF(AD573="","",IF(LEFT(AD573,1)="1","C1",IF(LEFT(AD573,1)="2","C2",IF(LEFT(AD573,1)="3","C3",""))))</f>
        <v>C1</v>
      </c>
      <c r="AF573" t="s" s="35">
        <v>1602</v>
      </c>
      <c r="AG573" t="s" s="35">
        <v>1617</v>
      </c>
      <c r="AH573" t="s" s="35">
        <v>1602</v>
      </c>
      <c r="AI573" t="s" s="35">
        <v>1623</v>
      </c>
      <c r="AJ573" t="s" s="35">
        <v>1615</v>
      </c>
      <c r="AK573" t="s" s="35">
        <v>869</v>
      </c>
      <c r="AL573" s="39"/>
      <c r="AM573" t="str" s="39" cm="1">
        <f t="array" ref="AM573">IF(AK573="FUERA","Fuera del marco",_xlfn.IFERROR(INDEX('Datos - Catálogo PISA'!$C$5:$C$76,MATCH(AK573,'Datos - Catálogo PISA'!$A$5:$A$76,0)),"?"))</f>
        <v>Sistemas físicos</v>
      </c>
      <c r="AN573" t="s" s="35">
        <v>1651</v>
      </c>
      <c r="AO573" s="39"/>
      <c r="AP573" s="39"/>
      <c r="AQ573" t="s" s="35">
        <v>1756</v>
      </c>
      <c r="AR573" s="39"/>
      <c r="AS573" t="s" s="35">
        <v>1771</v>
      </c>
      <c r="AT573" t="s" s="35">
        <v>254</v>
      </c>
      <c r="AU573" t="s" s="35">
        <v>4550</v>
      </c>
      <c r="AV573" t="s" s="35">
        <v>139</v>
      </c>
      <c r="AW573" t="str" s="39" cm="1">
        <f t="array" ref="AW573">AF573&amp;"; "&amp;AG573&amp;"; "&amp;AH573&amp;"; "&amp;AI573&amp;"; "&amp;AJ573</f>
        <v>E1; D1; E1; D4; E6</v>
      </c>
    </row>
    <row r="574" ht="13.65" customHeight="1">
      <c r="A574" t="s" s="35">
        <v>4551</v>
      </c>
      <c r="B574" s="36">
        <v>9</v>
      </c>
      <c r="C574" t="s" s="35">
        <v>1823</v>
      </c>
      <c r="D574" t="s" s="35">
        <v>4371</v>
      </c>
      <c r="E574" t="s" s="35">
        <v>4482</v>
      </c>
      <c r="F574" s="36">
        <v>18</v>
      </c>
      <c r="G574" t="s" s="35">
        <v>867</v>
      </c>
      <c r="H574" t="s" s="35">
        <v>4515</v>
      </c>
      <c r="I574" t="s" s="120">
        <v>4552</v>
      </c>
      <c r="J574" t="s" s="35">
        <v>4375</v>
      </c>
      <c r="K574" t="s" s="35">
        <v>1224</v>
      </c>
      <c r="L574" s="39"/>
      <c r="M574" t="str" s="39">
        <v>Química</v>
      </c>
      <c r="N574" t="str" s="39">
        <v>Propiedades de la materia</v>
      </c>
      <c r="O574" t="str" s="39" cm="1">
        <f t="array" ref="O574">IF(L574="","",_xlfn.IFERROR(INDEX('Datos - Catálogo TIMSS'!$C$5:$C$107,MATCH(L574,'Datos - Catálogo TIMSS'!$A$5:$A$107,0)),"?"))</f>
      </c>
      <c r="P574" t="s" s="35">
        <v>282</v>
      </c>
      <c r="Q574" t="s" s="120">
        <v>4553</v>
      </c>
      <c r="R574" t="s" s="120">
        <v>3125</v>
      </c>
      <c r="S574" s="121" cm="1">
        <f t="array" ref="S574">_xlfn.IFERROR(ISNUMBER(SEARCH("Conocer",$R574))/(ISNUMBER(SEARCH("Conocer",$R574))+ISNUMBER(SEARCH("Aplicar",$R574))+ISNUMBER(SEARCH("Razonar",$R574))),0)</f>
        <v>0</v>
      </c>
      <c r="T574" s="121" cm="1">
        <f t="array" ref="T574">_xlfn.IFERROR(ISNUMBER(SEARCH("Aplicar",$R574))/(ISNUMBER(SEARCH("Conocer",$R574))+ISNUMBER(SEARCH("Aplicar",$R574))+ISNUMBER(SEARCH("Razonar",$R574))),0)</f>
        <v>0</v>
      </c>
      <c r="U574" s="121" cm="1">
        <f t="array" ref="U574">_xlfn.IFERROR(ISNUMBER(SEARCH("Razonar",$R574))/(ISNUMBER(SEARCH("Conocer",$R574))+ISNUMBER(SEARCH("Aplicar",$R574))+ISNUMBER(SEARCH("Razonar",$R574))),0)</f>
        <v>1</v>
      </c>
      <c r="V574" t="s" s="35">
        <v>138</v>
      </c>
      <c r="W574" t="s" s="35">
        <v>138</v>
      </c>
      <c r="X574" s="36" cm="1">
        <f t="array" ref="X574">IF(OR(_xlfn.IFERROR(INDEX('Datos - Catálogo TIMSS'!$I$5:$I$107,MATCH(K574,'Datos - Catálogo TIMSS'!$A$5:$A$107,0)),"No")="Sí",_xlfn.IFERROR(INDEX('Datos - Catálogo TIMSS'!$I$5:$I$107,MATCH(L574,'Datos - Catálogo TIMSS'!$A$5:$A$107,0)),"No")="Sí"),1,0)</f>
        <v>0</v>
      </c>
      <c r="Y574" s="36" cm="1">
        <f t="array" ref="Y574">IF(_xlfn.IFERROR(INDEX('Datos - Catálogo TIMSS'!$J$5:$J$107,MATCH(K574,'Datos - Catálogo TIMSS'!$A$5:$A$107,0)),"No")="Sí",1,0)</f>
        <v>0</v>
      </c>
      <c r="Z574" s="36" cm="1">
        <f t="array" ref="Z574">IF(_xlfn.IFERROR(INDEX('Datos - Catálogo TIMSS'!$J$5:$J$107,MATCH(L574,'Datos - Catálogo TIMSS'!$A$5:$A$107,0)),"No")="Sí",1,0)</f>
        <v>0</v>
      </c>
      <c r="AA574" t="s" s="35">
        <v>3487</v>
      </c>
      <c r="AB574" s="39"/>
      <c r="AC574" t="str" s="39">
        <v>Química</v>
      </c>
      <c r="AD574" t="s" s="35">
        <v>1834</v>
      </c>
      <c r="AE574" t="str" s="39" cm="1">
        <f t="array" ref="AE574">IF(AD574="","",IF(LEFT(AD574,1)="1","C1",IF(LEFT(AD574,1)="2","C2",IF(LEFT(AD574,1)="3","C3",""))))</f>
        <v>C2</v>
      </c>
      <c r="AF574" t="s" s="35">
        <v>1602</v>
      </c>
      <c r="AG574" t="s" s="35">
        <v>1607</v>
      </c>
      <c r="AH574" t="s" s="35">
        <v>1602</v>
      </c>
      <c r="AI574" t="s" s="35">
        <v>1623</v>
      </c>
      <c r="AJ574" t="s" s="35">
        <v>1602</v>
      </c>
      <c r="AK574" t="s" s="35">
        <v>869</v>
      </c>
      <c r="AL574" s="39"/>
      <c r="AM574" t="str" s="39" cm="1">
        <f t="array" ref="AM574">IF(AK574="FUERA","Fuera del marco",_xlfn.IFERROR(INDEX('Datos - Catálogo PISA'!$C$5:$C$76,MATCH(AK574,'Datos - Catálogo PISA'!$A$5:$A$76,0)),"?"))</f>
        <v>Sistemas físicos</v>
      </c>
      <c r="AN574" t="s" s="35">
        <v>1651</v>
      </c>
      <c r="AO574" t="s" s="35">
        <v>4212</v>
      </c>
      <c r="AP574" s="39"/>
      <c r="AQ574" t="s" s="35">
        <v>1756</v>
      </c>
      <c r="AR574" s="39"/>
      <c r="AS574" t="s" s="35">
        <v>1771</v>
      </c>
      <c r="AT574" t="s" s="35">
        <v>254</v>
      </c>
      <c r="AU574" t="s" s="35">
        <v>4554</v>
      </c>
      <c r="AV574" t="s" s="35">
        <v>139</v>
      </c>
      <c r="AW574" t="str" s="39" cm="1">
        <f t="array" ref="AW574">AF574&amp;"; "&amp;AG574&amp;"; "&amp;AH574&amp;"; "&amp;AI574&amp;"; "&amp;AJ574</f>
        <v>E1; E3; E1; D4; E1</v>
      </c>
    </row>
    <row r="575" ht="13.65" customHeight="1">
      <c r="A575" t="s" s="35">
        <v>4555</v>
      </c>
      <c r="B575" s="36">
        <v>9</v>
      </c>
      <c r="C575" t="s" s="35">
        <v>1823</v>
      </c>
      <c r="D575" t="s" s="35">
        <v>4371</v>
      </c>
      <c r="E575" t="s" s="35">
        <v>4482</v>
      </c>
      <c r="F575" s="36">
        <v>19</v>
      </c>
      <c r="G575" t="s" s="35">
        <v>867</v>
      </c>
      <c r="H575" t="s" s="35">
        <v>4515</v>
      </c>
      <c r="I575" t="s" s="120">
        <v>4556</v>
      </c>
      <c r="J575" t="s" s="35">
        <v>4375</v>
      </c>
      <c r="K575" t="s" s="35">
        <v>1224</v>
      </c>
      <c r="L575" s="39"/>
      <c r="M575" t="str" s="39">
        <v>Química</v>
      </c>
      <c r="N575" t="str" s="39">
        <v>Propiedades de la materia</v>
      </c>
      <c r="O575" t="str" s="39" cm="1">
        <f t="array" ref="O575">IF(L575="","",_xlfn.IFERROR(INDEX('Datos - Catálogo TIMSS'!$C$5:$C$107,MATCH(L575,'Datos - Catálogo TIMSS'!$A$5:$A$107,0)),"?"))</f>
      </c>
      <c r="P575" t="s" s="35">
        <v>282</v>
      </c>
      <c r="Q575" t="s" s="120">
        <v>4557</v>
      </c>
      <c r="R575" t="s" s="120">
        <v>3724</v>
      </c>
      <c r="S575" s="121" cm="1">
        <f t="array" ref="S575">_xlfn.IFERROR(ISNUMBER(SEARCH("Conocer",$R575))/(ISNUMBER(SEARCH("Conocer",$R575))+ISNUMBER(SEARCH("Aplicar",$R575))+ISNUMBER(SEARCH("Razonar",$R575))),0)</f>
        <v>0</v>
      </c>
      <c r="T575" s="121" cm="1">
        <f t="array" ref="T575">_xlfn.IFERROR(ISNUMBER(SEARCH("Aplicar",$R575))/(ISNUMBER(SEARCH("Conocer",$R575))+ISNUMBER(SEARCH("Aplicar",$R575))+ISNUMBER(SEARCH("Razonar",$R575))),0)</f>
        <v>1</v>
      </c>
      <c r="U575" s="121" cm="1">
        <f t="array" ref="U575">_xlfn.IFERROR(ISNUMBER(SEARCH("Razonar",$R575))/(ISNUMBER(SEARCH("Conocer",$R575))+ISNUMBER(SEARCH("Aplicar",$R575))+ISNUMBER(SEARCH("Razonar",$R575))),0)</f>
        <v>0</v>
      </c>
      <c r="V575" t="s" s="35">
        <v>138</v>
      </c>
      <c r="W575" t="s" s="35">
        <v>138</v>
      </c>
      <c r="X575" s="36" cm="1">
        <f t="array" ref="X575">IF(OR(_xlfn.IFERROR(INDEX('Datos - Catálogo TIMSS'!$I$5:$I$107,MATCH(K575,'Datos - Catálogo TIMSS'!$A$5:$A$107,0)),"No")="Sí",_xlfn.IFERROR(INDEX('Datos - Catálogo TIMSS'!$I$5:$I$107,MATCH(L575,'Datos - Catálogo TIMSS'!$A$5:$A$107,0)),"No")="Sí"),1,0)</f>
        <v>0</v>
      </c>
      <c r="Y575" s="36" cm="1">
        <f t="array" ref="Y575">IF(_xlfn.IFERROR(INDEX('Datos - Catálogo TIMSS'!$J$5:$J$107,MATCH(K575,'Datos - Catálogo TIMSS'!$A$5:$A$107,0)),"No")="Sí",1,0)</f>
        <v>0</v>
      </c>
      <c r="Z575" s="36" cm="1">
        <f t="array" ref="Z575">IF(_xlfn.IFERROR(INDEX('Datos - Catálogo TIMSS'!$J$5:$J$107,MATCH(L575,'Datos - Catálogo TIMSS'!$A$5:$A$107,0)),"No")="Sí",1,0)</f>
        <v>0</v>
      </c>
      <c r="AA575" t="s" s="35">
        <v>3487</v>
      </c>
      <c r="AB575" s="39"/>
      <c r="AC575" t="str" s="39">
        <v>Química</v>
      </c>
      <c r="AD575" t="s" s="35">
        <v>1900</v>
      </c>
      <c r="AE575" t="str" s="39" cm="1">
        <f t="array" ref="AE575">IF(AD575="","",IF(LEFT(AD575,1)="1","C1",IF(LEFT(AD575,1)="2","C2",IF(LEFT(AD575,1)="3","C3",""))))</f>
        <v>C3</v>
      </c>
      <c r="AF575" t="s" s="35">
        <v>1602</v>
      </c>
      <c r="AG575" t="s" s="35">
        <v>1617</v>
      </c>
      <c r="AH575" t="s" s="35">
        <v>1602</v>
      </c>
      <c r="AI575" t="s" s="35">
        <v>1625</v>
      </c>
      <c r="AJ575" t="s" s="35">
        <v>1633</v>
      </c>
      <c r="AK575" t="s" s="35">
        <v>869</v>
      </c>
      <c r="AL575" s="39"/>
      <c r="AM575" t="str" s="39" cm="1">
        <f t="array" ref="AM575">IF(AK575="FUERA","Fuera del marco",_xlfn.IFERROR(INDEX('Datos - Catálogo PISA'!$C$5:$C$76,MATCH(AK575,'Datos - Catálogo PISA'!$A$5:$A$76,0)),"?"))</f>
        <v>Sistemas físicos</v>
      </c>
      <c r="AN575" t="s" s="35">
        <v>1651</v>
      </c>
      <c r="AO575" s="39"/>
      <c r="AP575" s="39"/>
      <c r="AQ575" t="s" s="35">
        <v>1751</v>
      </c>
      <c r="AR575" t="s" s="35">
        <v>1764</v>
      </c>
      <c r="AS575" t="s" s="35">
        <v>1771</v>
      </c>
      <c r="AT575" t="s" s="35">
        <v>282</v>
      </c>
      <c r="AU575" t="s" s="35">
        <v>4558</v>
      </c>
      <c r="AV575" t="s" s="35">
        <v>139</v>
      </c>
      <c r="AW575" t="str" s="39" cm="1">
        <f t="array" ref="AW575">AF575&amp;"; "&amp;AG575&amp;"; "&amp;AH575&amp;"; "&amp;AI575&amp;"; "&amp;AJ575</f>
        <v>E1; D1; E1; I1; I5</v>
      </c>
    </row>
    <row r="576" ht="13.65" customHeight="1">
      <c r="A576" t="s" s="35">
        <v>4559</v>
      </c>
      <c r="B576" s="36">
        <v>9</v>
      </c>
      <c r="C576" t="s" s="35">
        <v>1823</v>
      </c>
      <c r="D576" t="s" s="35">
        <v>4371</v>
      </c>
      <c r="E576" t="s" s="35">
        <v>4482</v>
      </c>
      <c r="F576" s="36">
        <v>20</v>
      </c>
      <c r="G576" t="s" s="35">
        <v>867</v>
      </c>
      <c r="H576" t="s" s="35">
        <v>4515</v>
      </c>
      <c r="I576" t="s" s="120">
        <v>4560</v>
      </c>
      <c r="J576" t="s" s="35">
        <v>4375</v>
      </c>
      <c r="K576" t="s" s="35">
        <v>1224</v>
      </c>
      <c r="L576" t="s" s="35">
        <v>1231</v>
      </c>
      <c r="M576" t="str" s="39">
        <v>Química</v>
      </c>
      <c r="N576" t="str" s="39">
        <v>Propiedades de la materia</v>
      </c>
      <c r="O576" t="str" s="39" cm="1">
        <f t="array" ref="O576">IF(L576="","",_xlfn.IFERROR(INDEX('Datos - Catálogo TIMSS'!$C$5:$C$107,MATCH(L576,'Datos - Catálogo TIMSS'!$A$5:$A$107,0)),"?"))</f>
        <v>Química</v>
      </c>
      <c r="P576" t="s" s="35">
        <v>282</v>
      </c>
      <c r="Q576" t="s" s="120">
        <v>4561</v>
      </c>
      <c r="R576" t="s" s="120">
        <v>4562</v>
      </c>
      <c r="S576" s="121" cm="1">
        <f t="array" ref="S576">_xlfn.IFERROR(ISNUMBER(SEARCH("Conocer",$R576))/(ISNUMBER(SEARCH("Conocer",$R576))+ISNUMBER(SEARCH("Aplicar",$R576))+ISNUMBER(SEARCH("Razonar",$R576))),0)</f>
        <v>0</v>
      </c>
      <c r="T576" s="121" cm="1">
        <f t="array" ref="T576">_xlfn.IFERROR(ISNUMBER(SEARCH("Aplicar",$R576))/(ISNUMBER(SEARCH("Conocer",$R576))+ISNUMBER(SEARCH("Aplicar",$R576))+ISNUMBER(SEARCH("Razonar",$R576))),0)</f>
        <v>1</v>
      </c>
      <c r="U576" s="121" cm="1">
        <f t="array" ref="U576">_xlfn.IFERROR(ISNUMBER(SEARCH("Razonar",$R576))/(ISNUMBER(SEARCH("Conocer",$R576))+ISNUMBER(SEARCH("Aplicar",$R576))+ISNUMBER(SEARCH("Razonar",$R576))),0)</f>
        <v>0</v>
      </c>
      <c r="V576" t="s" s="35">
        <v>138</v>
      </c>
      <c r="W576" t="s" s="35">
        <v>138</v>
      </c>
      <c r="X576" s="36" cm="1">
        <f t="array" ref="X576">IF(OR(_xlfn.IFERROR(INDEX('Datos - Catálogo TIMSS'!$I$5:$I$107,MATCH(K576,'Datos - Catálogo TIMSS'!$A$5:$A$107,0)),"No")="Sí",_xlfn.IFERROR(INDEX('Datos - Catálogo TIMSS'!$I$5:$I$107,MATCH(L576,'Datos - Catálogo TIMSS'!$A$5:$A$107,0)),"No")="Sí"),1,0)</f>
        <v>0</v>
      </c>
      <c r="Y576" s="36" cm="1">
        <f t="array" ref="Y576">IF(_xlfn.IFERROR(INDEX('Datos - Catálogo TIMSS'!$J$5:$J$107,MATCH(K576,'Datos - Catálogo TIMSS'!$A$5:$A$107,0)),"No")="Sí",1,0)</f>
        <v>0</v>
      </c>
      <c r="Z576" s="36" cm="1">
        <f t="array" ref="Z576">IF(_xlfn.IFERROR(INDEX('Datos - Catálogo TIMSS'!$J$5:$J$107,MATCH(L576,'Datos - Catálogo TIMSS'!$A$5:$A$107,0)),"No")="Sí",1,0)</f>
        <v>0</v>
      </c>
      <c r="AA576" t="s" s="35">
        <v>3487</v>
      </c>
      <c r="AB576" t="s" s="35">
        <v>3318</v>
      </c>
      <c r="AC576" t="str" s="39">
        <v>Química</v>
      </c>
      <c r="AD576" t="s" s="35">
        <v>1834</v>
      </c>
      <c r="AE576" t="str" s="39" cm="1">
        <f t="array" ref="AE576">IF(AD576="","",IF(LEFT(AD576,1)="1","C1",IF(LEFT(AD576,1)="2","C2",IF(LEFT(AD576,1)="3","C3",""))))</f>
        <v>C2</v>
      </c>
      <c r="AF576" t="s" s="35">
        <v>1602</v>
      </c>
      <c r="AG576" t="s" s="35">
        <v>1607</v>
      </c>
      <c r="AH576" t="s" s="35">
        <v>1602</v>
      </c>
      <c r="AI576" t="s" s="35">
        <v>1623</v>
      </c>
      <c r="AJ576" t="s" s="35">
        <v>1602</v>
      </c>
      <c r="AK576" t="s" s="35">
        <v>869</v>
      </c>
      <c r="AL576" s="39"/>
      <c r="AM576" t="str" s="39" cm="1">
        <f t="array" ref="AM576">IF(AK576="FUERA","Fuera del marco",_xlfn.IFERROR(INDEX('Datos - Catálogo PISA'!$C$5:$C$76,MATCH(AK576,'Datos - Catálogo PISA'!$A$5:$A$76,0)),"?"))</f>
        <v>Sistemas físicos</v>
      </c>
      <c r="AN576" t="s" s="35">
        <v>1651</v>
      </c>
      <c r="AO576" s="39"/>
      <c r="AP576" s="39"/>
      <c r="AQ576" t="s" s="35">
        <v>1756</v>
      </c>
      <c r="AR576" s="39"/>
      <c r="AS576" t="s" s="35">
        <v>1771</v>
      </c>
      <c r="AT576" t="s" s="35">
        <v>254</v>
      </c>
      <c r="AU576" t="s" s="35">
        <v>4563</v>
      </c>
      <c r="AV576" t="s" s="35">
        <v>139</v>
      </c>
      <c r="AW576" t="str" s="39" cm="1">
        <f t="array" ref="AW576">AF576&amp;"; "&amp;AG576&amp;"; "&amp;AH576&amp;"; "&amp;AI576&amp;"; "&amp;AJ576</f>
        <v>E1; E3; E1; D4; E1</v>
      </c>
    </row>
    <row r="577" ht="13.65" customHeight="1">
      <c r="A577" t="s" s="35">
        <v>4564</v>
      </c>
      <c r="B577" s="36">
        <v>9</v>
      </c>
      <c r="C577" t="s" s="35">
        <v>1823</v>
      </c>
      <c r="D577" t="s" s="35">
        <v>4371</v>
      </c>
      <c r="E577" t="s" s="35">
        <v>4482</v>
      </c>
      <c r="F577" s="36">
        <v>21</v>
      </c>
      <c r="G577" t="s" s="35">
        <v>867</v>
      </c>
      <c r="H577" t="s" s="35">
        <v>4515</v>
      </c>
      <c r="I577" t="s" s="120">
        <v>4565</v>
      </c>
      <c r="J577" t="s" s="35">
        <v>4375</v>
      </c>
      <c r="K577" t="s" s="35">
        <v>1224</v>
      </c>
      <c r="L577" t="s" s="35">
        <v>1234</v>
      </c>
      <c r="M577" t="str" s="39">
        <v>Química</v>
      </c>
      <c r="N577" t="str" s="39">
        <v>Propiedades de la materia</v>
      </c>
      <c r="O577" t="str" s="39" cm="1">
        <f t="array" ref="O577">IF(L577="","",_xlfn.IFERROR(INDEX('Datos - Catálogo TIMSS'!$C$5:$C$107,MATCH(L577,'Datos - Catálogo TIMSS'!$A$5:$A$107,0)),"?"))</f>
        <v>Química</v>
      </c>
      <c r="P577" t="s" s="35">
        <v>254</v>
      </c>
      <c r="Q577" t="s" s="120">
        <v>4566</v>
      </c>
      <c r="R577" t="s" s="120">
        <v>4567</v>
      </c>
      <c r="S577" s="121" cm="1">
        <f t="array" ref="S577">_xlfn.IFERROR(ISNUMBER(SEARCH("Conocer",$R577))/(ISNUMBER(SEARCH("Conocer",$R577))+ISNUMBER(SEARCH("Aplicar",$R577))+ISNUMBER(SEARCH("Razonar",$R577))),0)</f>
        <v>0</v>
      </c>
      <c r="T577" s="121" cm="1">
        <f t="array" ref="T577">_xlfn.IFERROR(ISNUMBER(SEARCH("Aplicar",$R577))/(ISNUMBER(SEARCH("Conocer",$R577))+ISNUMBER(SEARCH("Aplicar",$R577))+ISNUMBER(SEARCH("Razonar",$R577))),0)</f>
        <v>1</v>
      </c>
      <c r="U577" s="121" cm="1">
        <f t="array" ref="U577">_xlfn.IFERROR(ISNUMBER(SEARCH("Razonar",$R577))/(ISNUMBER(SEARCH("Conocer",$R577))+ISNUMBER(SEARCH("Aplicar",$R577))+ISNUMBER(SEARCH("Razonar",$R577))),0)</f>
        <v>0</v>
      </c>
      <c r="V577" t="s" s="35">
        <v>138</v>
      </c>
      <c r="W577" t="s" s="35">
        <v>138</v>
      </c>
      <c r="X577" s="36" cm="1">
        <f t="array" ref="X577">IF(OR(_xlfn.IFERROR(INDEX('Datos - Catálogo TIMSS'!$I$5:$I$107,MATCH(K577,'Datos - Catálogo TIMSS'!$A$5:$A$107,0)),"No")="Sí",_xlfn.IFERROR(INDEX('Datos - Catálogo TIMSS'!$I$5:$I$107,MATCH(L577,'Datos - Catálogo TIMSS'!$A$5:$A$107,0)),"No")="Sí"),1,0)</f>
        <v>0</v>
      </c>
      <c r="Y577" s="36" cm="1">
        <f t="array" ref="Y577">IF(_xlfn.IFERROR(INDEX('Datos - Catálogo TIMSS'!$J$5:$J$107,MATCH(K577,'Datos - Catálogo TIMSS'!$A$5:$A$107,0)),"No")="Sí",1,0)</f>
        <v>0</v>
      </c>
      <c r="Z577" s="36" cm="1">
        <f t="array" ref="Z577">IF(_xlfn.IFERROR(INDEX('Datos - Catálogo TIMSS'!$J$5:$J$107,MATCH(L577,'Datos - Catálogo TIMSS'!$A$5:$A$107,0)),"No")="Sí",1,0)</f>
        <v>1</v>
      </c>
      <c r="AA577" t="s" s="35">
        <v>3487</v>
      </c>
      <c r="AB577" s="39"/>
      <c r="AC577" t="str" s="39">
        <v>Química</v>
      </c>
      <c r="AD577" t="s" s="35">
        <v>1834</v>
      </c>
      <c r="AE577" t="str" s="39" cm="1">
        <f t="array" ref="AE577">IF(AD577="","",IF(LEFT(AD577,1)="1","C1",IF(LEFT(AD577,1)="2","C2",IF(LEFT(AD577,1)="3","C3",""))))</f>
        <v>C2</v>
      </c>
      <c r="AF577" t="s" s="35">
        <v>1602</v>
      </c>
      <c r="AG577" t="s" s="35">
        <v>1617</v>
      </c>
      <c r="AH577" t="s" s="35">
        <v>1602</v>
      </c>
      <c r="AI577" t="s" s="35">
        <v>1623</v>
      </c>
      <c r="AJ577" t="s" s="35">
        <v>1607</v>
      </c>
      <c r="AK577" t="s" s="35">
        <v>869</v>
      </c>
      <c r="AL577" s="39"/>
      <c r="AM577" t="str" s="39" cm="1">
        <f t="array" ref="AM577">IF(AK577="FUERA","Fuera del marco",_xlfn.IFERROR(INDEX('Datos - Catálogo PISA'!$C$5:$C$76,MATCH(AK577,'Datos - Catálogo PISA'!$A$5:$A$76,0)),"?"))</f>
        <v>Sistemas físicos</v>
      </c>
      <c r="AN577" t="s" s="35">
        <v>1651</v>
      </c>
      <c r="AO577" t="s" s="35">
        <v>3575</v>
      </c>
      <c r="AP577" s="39"/>
      <c r="AQ577" t="s" s="35">
        <v>1756</v>
      </c>
      <c r="AR577" s="39"/>
      <c r="AS577" t="s" s="35">
        <v>1771</v>
      </c>
      <c r="AT577" t="s" s="35">
        <v>254</v>
      </c>
      <c r="AU577" t="s" s="35">
        <v>4568</v>
      </c>
      <c r="AV577" t="s" s="35">
        <v>139</v>
      </c>
      <c r="AW577" t="str" s="39" cm="1">
        <f t="array" ref="AW577">AF577&amp;"; "&amp;AG577&amp;"; "&amp;AH577&amp;"; "&amp;AI577&amp;"; "&amp;AJ577</f>
        <v>E1; D1; E1; D4; E3</v>
      </c>
    </row>
    <row r="578" ht="13.65" customHeight="1">
      <c r="A578" t="s" s="35">
        <v>4569</v>
      </c>
      <c r="B578" s="36">
        <v>9</v>
      </c>
      <c r="C578" t="s" s="35">
        <v>1823</v>
      </c>
      <c r="D578" t="s" s="35">
        <v>4371</v>
      </c>
      <c r="E578" t="s" s="35">
        <v>4482</v>
      </c>
      <c r="F578" s="36">
        <v>22</v>
      </c>
      <c r="G578" t="s" s="35">
        <v>867</v>
      </c>
      <c r="H578" t="s" s="35">
        <v>4515</v>
      </c>
      <c r="I578" t="s" s="120">
        <v>977</v>
      </c>
      <c r="J578" t="s" s="35">
        <v>4375</v>
      </c>
      <c r="K578" t="s" s="35">
        <v>1224</v>
      </c>
      <c r="L578" t="s" s="35">
        <v>1234</v>
      </c>
      <c r="M578" t="str" s="39">
        <v>Química</v>
      </c>
      <c r="N578" t="str" s="39">
        <v>Propiedades de la materia</v>
      </c>
      <c r="O578" t="str" s="39" cm="1">
        <f t="array" ref="O578">IF(L578="","",_xlfn.IFERROR(INDEX('Datos - Catálogo TIMSS'!$C$5:$C$107,MATCH(L578,'Datos - Catálogo TIMSS'!$A$5:$A$107,0)),"?"))</f>
        <v>Química</v>
      </c>
      <c r="P578" t="s" s="35">
        <v>282</v>
      </c>
      <c r="Q578" t="s" s="120">
        <v>4570</v>
      </c>
      <c r="R578" t="s" s="120">
        <v>3553</v>
      </c>
      <c r="S578" s="121" cm="1">
        <f t="array" ref="S578">_xlfn.IFERROR(ISNUMBER(SEARCH("Conocer",$R578))/(ISNUMBER(SEARCH("Conocer",$R578))+ISNUMBER(SEARCH("Aplicar",$R578))+ISNUMBER(SEARCH("Razonar",$R578))),0)</f>
        <v>0</v>
      </c>
      <c r="T578" s="121" cm="1">
        <f t="array" ref="T578">_xlfn.IFERROR(ISNUMBER(SEARCH("Aplicar",$R578))/(ISNUMBER(SEARCH("Conocer",$R578))+ISNUMBER(SEARCH("Aplicar",$R578))+ISNUMBER(SEARCH("Razonar",$R578))),0)</f>
        <v>0</v>
      </c>
      <c r="U578" s="121" cm="1">
        <f t="array" ref="U578">_xlfn.IFERROR(ISNUMBER(SEARCH("Razonar",$R578))/(ISNUMBER(SEARCH("Conocer",$R578))+ISNUMBER(SEARCH("Aplicar",$R578))+ISNUMBER(SEARCH("Razonar",$R578))),0)</f>
        <v>1</v>
      </c>
      <c r="V578" t="s" s="35">
        <v>138</v>
      </c>
      <c r="W578" t="s" s="35">
        <v>138</v>
      </c>
      <c r="X578" s="36" cm="1">
        <f t="array" ref="X578">IF(OR(_xlfn.IFERROR(INDEX('Datos - Catálogo TIMSS'!$I$5:$I$107,MATCH(K578,'Datos - Catálogo TIMSS'!$A$5:$A$107,0)),"No")="Sí",_xlfn.IFERROR(INDEX('Datos - Catálogo TIMSS'!$I$5:$I$107,MATCH(L578,'Datos - Catálogo TIMSS'!$A$5:$A$107,0)),"No")="Sí"),1,0)</f>
        <v>0</v>
      </c>
      <c r="Y578" s="36" cm="1">
        <f t="array" ref="Y578">IF(_xlfn.IFERROR(INDEX('Datos - Catálogo TIMSS'!$J$5:$J$107,MATCH(K578,'Datos - Catálogo TIMSS'!$A$5:$A$107,0)),"No")="Sí",1,0)</f>
        <v>0</v>
      </c>
      <c r="Z578" s="36" cm="1">
        <f t="array" ref="Z578">IF(_xlfn.IFERROR(INDEX('Datos - Catálogo TIMSS'!$J$5:$J$107,MATCH(L578,'Datos - Catálogo TIMSS'!$A$5:$A$107,0)),"No")="Sí",1,0)</f>
        <v>1</v>
      </c>
      <c r="AA578" t="s" s="35">
        <v>3487</v>
      </c>
      <c r="AB578" t="s" s="35">
        <v>3001</v>
      </c>
      <c r="AC578" t="str" s="39">
        <v>Química</v>
      </c>
      <c r="AD578" t="s" s="35">
        <v>1900</v>
      </c>
      <c r="AE578" t="str" s="39" cm="1">
        <f t="array" ref="AE578">IF(AD578="","",IF(LEFT(AD578,1)="1","C1",IF(LEFT(AD578,1)="2","C2",IF(LEFT(AD578,1)="3","C3",""))))</f>
        <v>C3</v>
      </c>
      <c r="AF578" t="s" s="35">
        <v>1602</v>
      </c>
      <c r="AG578" t="s" s="35">
        <v>1617</v>
      </c>
      <c r="AH578" t="s" s="35">
        <v>1602</v>
      </c>
      <c r="AI578" t="s" s="35">
        <v>1625</v>
      </c>
      <c r="AJ578" t="s" s="35">
        <v>1633</v>
      </c>
      <c r="AK578" t="s" s="35">
        <v>869</v>
      </c>
      <c r="AL578" s="39"/>
      <c r="AM578" t="str" s="39" cm="1">
        <f t="array" ref="AM578">IF(AK578="FUERA","Fuera del marco",_xlfn.IFERROR(INDEX('Datos - Catálogo PISA'!$C$5:$C$76,MATCH(AK578,'Datos - Catálogo PISA'!$A$5:$A$76,0)),"?"))</f>
        <v>Sistemas físicos</v>
      </c>
      <c r="AN578" t="s" s="35">
        <v>1651</v>
      </c>
      <c r="AO578" s="39"/>
      <c r="AP578" s="39"/>
      <c r="AQ578" t="s" s="35">
        <v>1751</v>
      </c>
      <c r="AR578" t="s" s="35">
        <v>1767</v>
      </c>
      <c r="AS578" t="s" s="35">
        <v>1771</v>
      </c>
      <c r="AT578" t="s" s="35">
        <v>254</v>
      </c>
      <c r="AU578" t="s" s="35">
        <v>4571</v>
      </c>
      <c r="AV578" t="s" s="35">
        <v>139</v>
      </c>
      <c r="AW578" t="str" s="39" cm="1">
        <f t="array" ref="AW578">AF578&amp;"; "&amp;AG578&amp;"; "&amp;AH578&amp;"; "&amp;AI578&amp;"; "&amp;AJ578</f>
        <v>E1; D1; E1; I1; I5</v>
      </c>
    </row>
    <row r="579" ht="13.65" customHeight="1">
      <c r="A579" t="s" s="35">
        <v>4572</v>
      </c>
      <c r="B579" s="36">
        <v>9</v>
      </c>
      <c r="C579" t="s" s="35">
        <v>1823</v>
      </c>
      <c r="D579" t="s" s="35">
        <v>4371</v>
      </c>
      <c r="E579" t="s" s="35">
        <v>4573</v>
      </c>
      <c r="F579" s="36">
        <v>3</v>
      </c>
      <c r="G579" t="s" s="35">
        <v>707</v>
      </c>
      <c r="H579" t="s" s="35">
        <v>4574</v>
      </c>
      <c r="I579" t="s" s="120">
        <v>4575</v>
      </c>
      <c r="J579" t="s" s="35">
        <v>4375</v>
      </c>
      <c r="K579" t="s" s="35">
        <v>1290</v>
      </c>
      <c r="L579" s="39"/>
      <c r="M579" t="str" s="39">
        <v>Ciencias de la Tierra</v>
      </c>
      <c r="N579" t="str" s="39">
        <v>Recursos de la Tierra, uso y conservación</v>
      </c>
      <c r="O579" t="str" s="39" cm="1">
        <f t="array" ref="O579">IF(L579="","",_xlfn.IFERROR(INDEX('Datos - Catálogo TIMSS'!$C$5:$C$107,MATCH(L579,'Datos - Catálogo TIMSS'!$A$5:$A$107,0)),"?"))</f>
      </c>
      <c r="P579" t="s" s="35">
        <v>282</v>
      </c>
      <c r="Q579" t="s" s="120">
        <v>4576</v>
      </c>
      <c r="R579" t="s" s="120">
        <v>3297</v>
      </c>
      <c r="S579" s="121" cm="1">
        <f t="array" ref="S579">_xlfn.IFERROR(ISNUMBER(SEARCH("Conocer",$R579))/(ISNUMBER(SEARCH("Conocer",$R579))+ISNUMBER(SEARCH("Aplicar",$R579))+ISNUMBER(SEARCH("Razonar",$R579))),0)</f>
        <v>1</v>
      </c>
      <c r="T579" s="121" cm="1">
        <f t="array" ref="T579">_xlfn.IFERROR(ISNUMBER(SEARCH("Aplicar",$R579))/(ISNUMBER(SEARCH("Conocer",$R579))+ISNUMBER(SEARCH("Aplicar",$R579))+ISNUMBER(SEARCH("Razonar",$R579))),0)</f>
        <v>0</v>
      </c>
      <c r="U579" s="121" cm="1">
        <f t="array" ref="U579">_xlfn.IFERROR(ISNUMBER(SEARCH("Razonar",$R579))/(ISNUMBER(SEARCH("Conocer",$R579))+ISNUMBER(SEARCH("Aplicar",$R579))+ISNUMBER(SEARCH("Razonar",$R579))),0)</f>
        <v>0</v>
      </c>
      <c r="V579" t="s" s="35">
        <v>138</v>
      </c>
      <c r="W579" t="s" s="35">
        <v>138</v>
      </c>
      <c r="X579" s="36" cm="1">
        <f t="array" ref="X579">IF(OR(_xlfn.IFERROR(INDEX('Datos - Catálogo TIMSS'!$I$5:$I$107,MATCH(K579,'Datos - Catálogo TIMSS'!$A$5:$A$107,0)),"No")="Sí",_xlfn.IFERROR(INDEX('Datos - Catálogo TIMSS'!$I$5:$I$107,MATCH(L579,'Datos - Catálogo TIMSS'!$A$5:$A$107,0)),"No")="Sí"),1,0)</f>
        <v>1</v>
      </c>
      <c r="Y579" s="36" cm="1">
        <f t="array" ref="Y579">IF(_xlfn.IFERROR(INDEX('Datos - Catálogo TIMSS'!$J$5:$J$107,MATCH(K579,'Datos - Catálogo TIMSS'!$A$5:$A$107,0)),"No")="Sí",1,0)</f>
        <v>0</v>
      </c>
      <c r="Z579" s="36" cm="1">
        <f t="array" ref="Z579">IF(_xlfn.IFERROR(INDEX('Datos - Catálogo TIMSS'!$J$5:$J$107,MATCH(L579,'Datos - Catálogo TIMSS'!$A$5:$A$107,0)),"No")="Sí",1,0)</f>
        <v>0</v>
      </c>
      <c r="AA579" t="s" s="35">
        <v>3708</v>
      </c>
      <c r="AB579" s="39"/>
      <c r="AC579" t="str" s="39">
        <v>Ciencias de la Tierra</v>
      </c>
      <c r="AD579" t="s" s="35">
        <v>1900</v>
      </c>
      <c r="AE579" t="str" s="39" cm="1">
        <f t="array" ref="AE579">IF(AD579="","",IF(LEFT(AD579,1)="1","C1",IF(LEFT(AD579,1)="2","C2",IF(LEFT(AD579,1)="3","C3",""))))</f>
        <v>C3</v>
      </c>
      <c r="AF579" t="s" s="35">
        <v>1615</v>
      </c>
      <c r="AG579" t="s" s="35">
        <v>1617</v>
      </c>
      <c r="AH579" t="s" s="35">
        <v>1602</v>
      </c>
      <c r="AI579" t="s" s="35">
        <v>1625</v>
      </c>
      <c r="AJ579" t="s" s="35">
        <v>1633</v>
      </c>
      <c r="AK579" t="s" s="35">
        <v>1550</v>
      </c>
      <c r="AL579" t="s" s="35">
        <v>1548</v>
      </c>
      <c r="AM579" t="str" s="39" cm="1">
        <f t="array" ref="AM579">IF(AK579="FUERA","Fuera del marco",_xlfn.IFERROR(INDEX('Datos - Catálogo PISA'!$C$5:$C$76,MATCH(AK579,'Datos - Catálogo PISA'!$A$5:$A$76,0)),"?"))</f>
        <v>Sistemas de la Tierra y el espacio</v>
      </c>
      <c r="AN579" t="s" s="35">
        <v>1651</v>
      </c>
      <c r="AO579" s="39"/>
      <c r="AP579" s="39"/>
      <c r="AQ579" t="s" s="35">
        <v>1753</v>
      </c>
      <c r="AR579" t="s" s="35">
        <v>1765</v>
      </c>
      <c r="AS579" t="s" s="35">
        <v>1771</v>
      </c>
      <c r="AT579" t="s" s="35">
        <v>282</v>
      </c>
      <c r="AU579" t="s" s="35">
        <v>4577</v>
      </c>
      <c r="AV579" t="s" s="35">
        <v>139</v>
      </c>
      <c r="AW579" t="str" s="39" cm="1">
        <f t="array" ref="AW579">AF579&amp;"; "&amp;AG579&amp;"; "&amp;AH579&amp;"; "&amp;AI579&amp;"; "&amp;AJ579</f>
        <v>E6; D1; E1; I1; I5</v>
      </c>
    </row>
    <row r="580" ht="13.65" customHeight="1">
      <c r="A580" t="s" s="35">
        <v>4578</v>
      </c>
      <c r="B580" s="36">
        <v>9</v>
      </c>
      <c r="C580" t="s" s="35">
        <v>1823</v>
      </c>
      <c r="D580" t="s" s="35">
        <v>4371</v>
      </c>
      <c r="E580" t="s" s="35">
        <v>4573</v>
      </c>
      <c r="F580" s="36">
        <v>4</v>
      </c>
      <c r="G580" t="s" s="35">
        <v>707</v>
      </c>
      <c r="H580" t="s" s="35">
        <v>4574</v>
      </c>
      <c r="I580" t="s" s="120">
        <v>4579</v>
      </c>
      <c r="J580" t="s" s="35">
        <v>4375</v>
      </c>
      <c r="K580" t="s" s="35">
        <v>1272</v>
      </c>
      <c r="L580" s="39"/>
      <c r="M580" t="str" s="39">
        <v>Ciencias de la Tierra</v>
      </c>
      <c r="N580" t="str" s="39">
        <v>Rasgos, procesos e historia de la Tierra</v>
      </c>
      <c r="O580" t="str" s="39" cm="1">
        <f t="array" ref="O580">IF(L580="","",_xlfn.IFERROR(INDEX('Datos - Catálogo TIMSS'!$C$5:$C$107,MATCH(L580,'Datos - Catálogo TIMSS'!$A$5:$A$107,0)),"?"))</f>
      </c>
      <c r="P580" t="s" s="35">
        <v>282</v>
      </c>
      <c r="Q580" t="s" s="120">
        <v>4580</v>
      </c>
      <c r="R580" t="s" s="120">
        <v>2066</v>
      </c>
      <c r="S580" s="121" cm="1">
        <f t="array" ref="S580">_xlfn.IFERROR(ISNUMBER(SEARCH("Conocer",$R580))/(ISNUMBER(SEARCH("Conocer",$R580))+ISNUMBER(SEARCH("Aplicar",$R580))+ISNUMBER(SEARCH("Razonar",$R580))),0)</f>
        <v>0</v>
      </c>
      <c r="T580" s="121" cm="1">
        <f t="array" ref="T580">_xlfn.IFERROR(ISNUMBER(SEARCH("Aplicar",$R580))/(ISNUMBER(SEARCH("Conocer",$R580))+ISNUMBER(SEARCH("Aplicar",$R580))+ISNUMBER(SEARCH("Razonar",$R580))),0)</f>
        <v>1</v>
      </c>
      <c r="U580" s="121" cm="1">
        <f t="array" ref="U580">_xlfn.IFERROR(ISNUMBER(SEARCH("Razonar",$R580))/(ISNUMBER(SEARCH("Conocer",$R580))+ISNUMBER(SEARCH("Aplicar",$R580))+ISNUMBER(SEARCH("Razonar",$R580))),0)</f>
        <v>0</v>
      </c>
      <c r="V580" t="s" s="35">
        <v>138</v>
      </c>
      <c r="W580" t="s" s="35">
        <v>138</v>
      </c>
      <c r="X580" s="36" cm="1">
        <f t="array" ref="X580">IF(OR(_xlfn.IFERROR(INDEX('Datos - Catálogo TIMSS'!$I$5:$I$107,MATCH(K580,'Datos - Catálogo TIMSS'!$A$5:$A$107,0)),"No")="Sí",_xlfn.IFERROR(INDEX('Datos - Catálogo TIMSS'!$I$5:$I$107,MATCH(L580,'Datos - Catálogo TIMSS'!$A$5:$A$107,0)),"No")="Sí"),1,0)</f>
        <v>1</v>
      </c>
      <c r="Y580" s="36" cm="1">
        <f t="array" ref="Y580">IF(_xlfn.IFERROR(INDEX('Datos - Catálogo TIMSS'!$J$5:$J$107,MATCH(K580,'Datos - Catálogo TIMSS'!$A$5:$A$107,0)),"No")="Sí",1,0)</f>
        <v>0</v>
      </c>
      <c r="Z580" s="36" cm="1">
        <f t="array" ref="Z580">IF(_xlfn.IFERROR(INDEX('Datos - Catálogo TIMSS'!$J$5:$J$107,MATCH(L580,'Datos - Catálogo TIMSS'!$A$5:$A$107,0)),"No")="Sí",1,0)</f>
        <v>0</v>
      </c>
      <c r="AA580" t="s" s="35">
        <v>3059</v>
      </c>
      <c r="AB580" s="39"/>
      <c r="AC580" t="str" s="39">
        <v>Ciencias de la Tierra</v>
      </c>
      <c r="AD580" t="s" s="35">
        <v>1834</v>
      </c>
      <c r="AE580" t="str" s="39" cm="1">
        <f t="array" ref="AE580">IF(AD580="","",IF(LEFT(AD580,1)="1","C1",IF(LEFT(AD580,1)="2","C2",IF(LEFT(AD580,1)="3","C3",""))))</f>
        <v>C2</v>
      </c>
      <c r="AF580" t="s" s="35">
        <v>1602</v>
      </c>
      <c r="AG580" t="s" s="35">
        <v>1617</v>
      </c>
      <c r="AH580" t="s" s="35">
        <v>1602</v>
      </c>
      <c r="AI580" t="s" s="35">
        <v>1623</v>
      </c>
      <c r="AJ580" t="s" s="35">
        <v>1602</v>
      </c>
      <c r="AK580" t="s" s="35">
        <v>1550</v>
      </c>
      <c r="AL580" t="s" s="35">
        <v>822</v>
      </c>
      <c r="AM580" t="str" s="39" cm="1">
        <f t="array" ref="AM580">IF(AK580="FUERA","Fuera del marco",_xlfn.IFERROR(INDEX('Datos - Catálogo PISA'!$C$5:$C$76,MATCH(AK580,'Datos - Catálogo PISA'!$A$5:$A$76,0)),"?"))</f>
        <v>Sistemas de la Tierra y el espacio</v>
      </c>
      <c r="AN580" t="s" s="35">
        <v>1651</v>
      </c>
      <c r="AO580" s="39"/>
      <c r="AP580" s="39"/>
      <c r="AQ580" t="s" s="35">
        <v>1756</v>
      </c>
      <c r="AR580" s="39"/>
      <c r="AS580" t="s" s="35">
        <v>1770</v>
      </c>
      <c r="AT580" t="s" s="35">
        <v>254</v>
      </c>
      <c r="AU580" t="s" s="35">
        <v>4581</v>
      </c>
      <c r="AV580" t="s" s="35">
        <v>139</v>
      </c>
      <c r="AW580" t="str" s="39" cm="1">
        <f t="array" ref="AW580">AF580&amp;"; "&amp;AG580&amp;"; "&amp;AH580&amp;"; "&amp;AI580&amp;"; "&amp;AJ580</f>
        <v>E1; D1; E1; D4; E1</v>
      </c>
    </row>
    <row r="581" ht="13.65" customHeight="1">
      <c r="A581" t="s" s="35">
        <v>4582</v>
      </c>
      <c r="B581" s="36">
        <v>9</v>
      </c>
      <c r="C581" t="s" s="35">
        <v>1823</v>
      </c>
      <c r="D581" t="s" s="35">
        <v>4371</v>
      </c>
      <c r="E581" t="s" s="35">
        <v>4573</v>
      </c>
      <c r="F581" s="36">
        <v>5</v>
      </c>
      <c r="G581" t="s" s="35">
        <v>707</v>
      </c>
      <c r="H581" t="s" s="35">
        <v>4574</v>
      </c>
      <c r="I581" t="s" s="120">
        <v>4583</v>
      </c>
      <c r="J581" t="s" s="35">
        <v>4375</v>
      </c>
      <c r="K581" t="s" s="35">
        <v>1272</v>
      </c>
      <c r="L581" s="39"/>
      <c r="M581" t="str" s="39">
        <v>Ciencias de la Tierra</v>
      </c>
      <c r="N581" t="str" s="39">
        <v>Rasgos, procesos e historia de la Tierra</v>
      </c>
      <c r="O581" t="str" s="39" cm="1">
        <f t="array" ref="O581">IF(L581="","",_xlfn.IFERROR(INDEX('Datos - Catálogo TIMSS'!$C$5:$C$107,MATCH(L581,'Datos - Catálogo TIMSS'!$A$5:$A$107,0)),"?"))</f>
      </c>
      <c r="P581" t="s" s="35">
        <v>291</v>
      </c>
      <c r="Q581" t="s" s="120">
        <v>4584</v>
      </c>
      <c r="R581" t="s" s="120">
        <v>2805</v>
      </c>
      <c r="S581" s="121" cm="1">
        <f t="array" ref="S581">_xlfn.IFERROR(ISNUMBER(SEARCH("Conocer",$R581))/(ISNUMBER(SEARCH("Conocer",$R581))+ISNUMBER(SEARCH("Aplicar",$R581))+ISNUMBER(SEARCH("Razonar",$R581))),0)</f>
        <v>0</v>
      </c>
      <c r="T581" s="121" cm="1">
        <f t="array" ref="T581">_xlfn.IFERROR(ISNUMBER(SEARCH("Aplicar",$R581))/(ISNUMBER(SEARCH("Conocer",$R581))+ISNUMBER(SEARCH("Aplicar",$R581))+ISNUMBER(SEARCH("Razonar",$R581))),0)</f>
        <v>1</v>
      </c>
      <c r="U581" s="121" cm="1">
        <f t="array" ref="U581">_xlfn.IFERROR(ISNUMBER(SEARCH("Razonar",$R581))/(ISNUMBER(SEARCH("Conocer",$R581))+ISNUMBER(SEARCH("Aplicar",$R581))+ISNUMBER(SEARCH("Razonar",$R581))),0)</f>
        <v>0</v>
      </c>
      <c r="V581" t="s" s="35">
        <v>138</v>
      </c>
      <c r="W581" t="s" s="35">
        <v>138</v>
      </c>
      <c r="X581" s="36" cm="1">
        <f t="array" ref="X581">IF(OR(_xlfn.IFERROR(INDEX('Datos - Catálogo TIMSS'!$I$5:$I$107,MATCH(K581,'Datos - Catálogo TIMSS'!$A$5:$A$107,0)),"No")="Sí",_xlfn.IFERROR(INDEX('Datos - Catálogo TIMSS'!$I$5:$I$107,MATCH(L581,'Datos - Catálogo TIMSS'!$A$5:$A$107,0)),"No")="Sí"),1,0)</f>
        <v>1</v>
      </c>
      <c r="Y581" s="36" cm="1">
        <f t="array" ref="Y581">IF(_xlfn.IFERROR(INDEX('Datos - Catálogo TIMSS'!$J$5:$J$107,MATCH(K581,'Datos - Catálogo TIMSS'!$A$5:$A$107,0)),"No")="Sí",1,0)</f>
        <v>0</v>
      </c>
      <c r="Z581" s="36" cm="1">
        <f t="array" ref="Z581">IF(_xlfn.IFERROR(INDEX('Datos - Catálogo TIMSS'!$J$5:$J$107,MATCH(L581,'Datos - Catálogo TIMSS'!$A$5:$A$107,0)),"No")="Sí",1,0)</f>
        <v>0</v>
      </c>
      <c r="AA581" t="s" s="35">
        <v>3059</v>
      </c>
      <c r="AB581" s="39"/>
      <c r="AC581" t="str" s="39">
        <v>Ciencias de la Tierra</v>
      </c>
      <c r="AD581" t="s" s="35">
        <v>1859</v>
      </c>
      <c r="AE581" t="str" s="39" cm="1">
        <f t="array" ref="AE581">IF(AD581="","",IF(LEFT(AD581,1)="1","C1",IF(LEFT(AD581,1)="2","C2",IF(LEFT(AD581,1)="3","C3",""))))</f>
        <v>C1</v>
      </c>
      <c r="AF581" t="s" s="35">
        <v>1602</v>
      </c>
      <c r="AG581" t="s" s="35">
        <v>1617</v>
      </c>
      <c r="AH581" t="s" s="35">
        <v>1605</v>
      </c>
      <c r="AI581" t="s" s="35">
        <v>1623</v>
      </c>
      <c r="AJ581" t="s" s="35">
        <v>1602</v>
      </c>
      <c r="AK581" t="s" s="35">
        <v>1550</v>
      </c>
      <c r="AL581" s="39"/>
      <c r="AM581" t="str" s="39" cm="1">
        <f t="array" ref="AM581">IF(AK581="FUERA","Fuera del marco",_xlfn.IFERROR(INDEX('Datos - Catálogo PISA'!$C$5:$C$76,MATCH(AK581,'Datos - Catálogo PISA'!$A$5:$A$76,0)),"?"))</f>
        <v>Sistemas de la Tierra y el espacio</v>
      </c>
      <c r="AN581" t="s" s="35">
        <v>1651</v>
      </c>
      <c r="AO581" s="39"/>
      <c r="AP581" s="39"/>
      <c r="AQ581" t="s" s="35">
        <v>1756</v>
      </c>
      <c r="AR581" s="39"/>
      <c r="AS581" t="s" s="35">
        <v>1770</v>
      </c>
      <c r="AT581" t="s" s="35">
        <v>254</v>
      </c>
      <c r="AU581" t="s" s="35">
        <v>4585</v>
      </c>
      <c r="AV581" t="s" s="35">
        <v>139</v>
      </c>
      <c r="AW581" t="str" s="39" cm="1">
        <f t="array" ref="AW581">AF581&amp;"; "&amp;AG581&amp;"; "&amp;AH581&amp;"; "&amp;AI581&amp;"; "&amp;AJ581</f>
        <v>E1; D1; E2; D4; E1</v>
      </c>
    </row>
    <row r="582" ht="13.65" customHeight="1">
      <c r="A582" t="s" s="35">
        <v>4586</v>
      </c>
      <c r="B582" s="36">
        <v>9</v>
      </c>
      <c r="C582" t="s" s="35">
        <v>1823</v>
      </c>
      <c r="D582" t="s" s="35">
        <v>4371</v>
      </c>
      <c r="E582" t="s" s="35">
        <v>4573</v>
      </c>
      <c r="F582" s="36">
        <v>6</v>
      </c>
      <c r="G582" t="s" s="35">
        <v>707</v>
      </c>
      <c r="H582" t="s" s="35">
        <v>4587</v>
      </c>
      <c r="I582" t="s" s="120">
        <v>4588</v>
      </c>
      <c r="J582" t="s" s="35">
        <v>4375</v>
      </c>
      <c r="K582" t="s" s="35">
        <v>1281</v>
      </c>
      <c r="L582" t="s" s="35">
        <v>1247</v>
      </c>
      <c r="M582" t="str" s="39">
        <v>Ciencias de la Tierra</v>
      </c>
      <c r="N582" t="str" s="39">
        <v>La atmósfera terrestre</v>
      </c>
      <c r="O582" t="str" s="39" cm="1">
        <f t="array" ref="O582">IF(L582="","",_xlfn.IFERROR(INDEX('Datos - Catálogo TIMSS'!$C$5:$C$107,MATCH(L582,'Datos - Catálogo TIMSS'!$A$5:$A$107,0)),"?"))</f>
        <v>Física</v>
      </c>
      <c r="P582" t="s" s="35">
        <v>291</v>
      </c>
      <c r="Q582" t="s" s="120">
        <v>4589</v>
      </c>
      <c r="R582" t="s" s="120">
        <v>4245</v>
      </c>
      <c r="S582" s="121" cm="1">
        <f t="array" ref="S582">_xlfn.IFERROR(ISNUMBER(SEARCH("Conocer",$R582))/(ISNUMBER(SEARCH("Conocer",$R582))+ISNUMBER(SEARCH("Aplicar",$R582))+ISNUMBER(SEARCH("Razonar",$R582))),0)</f>
        <v>0</v>
      </c>
      <c r="T582" s="121" cm="1">
        <f t="array" ref="T582">_xlfn.IFERROR(ISNUMBER(SEARCH("Aplicar",$R582))/(ISNUMBER(SEARCH("Conocer",$R582))+ISNUMBER(SEARCH("Aplicar",$R582))+ISNUMBER(SEARCH("Razonar",$R582))),0)</f>
        <v>1</v>
      </c>
      <c r="U582" s="121" cm="1">
        <f t="array" ref="U582">_xlfn.IFERROR(ISNUMBER(SEARCH("Razonar",$R582))/(ISNUMBER(SEARCH("Conocer",$R582))+ISNUMBER(SEARCH("Aplicar",$R582))+ISNUMBER(SEARCH("Razonar",$R582))),0)</f>
        <v>0</v>
      </c>
      <c r="V582" t="s" s="35">
        <v>138</v>
      </c>
      <c r="W582" t="s" s="35">
        <v>138</v>
      </c>
      <c r="X582" s="36" cm="1">
        <f t="array" ref="X582">IF(OR(_xlfn.IFERROR(INDEX('Datos - Catálogo TIMSS'!$I$5:$I$107,MATCH(K582,'Datos - Catálogo TIMSS'!$A$5:$A$107,0)),"No")="Sí",_xlfn.IFERROR(INDEX('Datos - Catálogo TIMSS'!$I$5:$I$107,MATCH(L582,'Datos - Catálogo TIMSS'!$A$5:$A$107,0)),"No")="Sí"),1,0)</f>
        <v>1</v>
      </c>
      <c r="Y582" s="36" cm="1">
        <f t="array" ref="Y582">IF(_xlfn.IFERROR(INDEX('Datos - Catálogo TIMSS'!$J$5:$J$107,MATCH(K582,'Datos - Catálogo TIMSS'!$A$5:$A$107,0)),"No")="Sí",1,0)</f>
        <v>0</v>
      </c>
      <c r="Z582" s="36" cm="1">
        <f t="array" ref="Z582">IF(_xlfn.IFERROR(INDEX('Datos - Catálogo TIMSS'!$J$5:$J$107,MATCH(L582,'Datos - Catálogo TIMSS'!$A$5:$A$107,0)),"No")="Sí",1,0)</f>
        <v>0</v>
      </c>
      <c r="AA582" t="s" s="35">
        <v>3719</v>
      </c>
      <c r="AB582" t="s" s="35">
        <v>3199</v>
      </c>
      <c r="AC582" t="str" s="39">
        <v>Ciencias de la Tierra</v>
      </c>
      <c r="AD582" t="s" s="35">
        <v>1834</v>
      </c>
      <c r="AE582" t="str" s="39" cm="1">
        <f t="array" ref="AE582">IF(AD582="","",IF(LEFT(AD582,1)="1","C1",IF(LEFT(AD582,1)="2","C2",IF(LEFT(AD582,1)="3","C3",""))))</f>
        <v>C2</v>
      </c>
      <c r="AF582" t="s" s="35">
        <v>1602</v>
      </c>
      <c r="AG582" t="s" s="35">
        <v>1607</v>
      </c>
      <c r="AH582" t="s" s="35">
        <v>1602</v>
      </c>
      <c r="AI582" t="s" s="35">
        <v>1619</v>
      </c>
      <c r="AJ582" t="s" s="35">
        <v>1615</v>
      </c>
      <c r="AK582" t="s" s="35">
        <v>1554</v>
      </c>
      <c r="AL582" t="s" s="35">
        <v>1558</v>
      </c>
      <c r="AM582" t="str" s="39" cm="1">
        <f t="array" ref="AM582">IF(AK582="FUERA","Fuera del marco",_xlfn.IFERROR(INDEX('Datos - Catálogo PISA'!$C$5:$C$76,MATCH(AK582,'Datos - Catálogo PISA'!$A$5:$A$76,0)),"?"))</f>
        <v>Sistemas de la Tierra y el espacio</v>
      </c>
      <c r="AN582" t="s" s="35">
        <v>1651</v>
      </c>
      <c r="AO582" s="39"/>
      <c r="AP582" s="39"/>
      <c r="AQ582" t="s" s="35">
        <v>1756</v>
      </c>
      <c r="AR582" s="39"/>
      <c r="AS582" t="s" s="35">
        <v>1771</v>
      </c>
      <c r="AT582" t="s" s="35">
        <v>254</v>
      </c>
      <c r="AU582" t="s" s="35">
        <v>4590</v>
      </c>
      <c r="AV582" t="s" s="35">
        <v>139</v>
      </c>
      <c r="AW582" t="str" s="39" cm="1">
        <f t="array" ref="AW582">AF582&amp;"; "&amp;AG582&amp;"; "&amp;AH582&amp;"; "&amp;AI582&amp;"; "&amp;AJ582</f>
        <v>E1; E3; E1; D2; E6</v>
      </c>
    </row>
    <row r="583" ht="13.65" customHeight="1">
      <c r="A583" t="s" s="35">
        <v>4591</v>
      </c>
      <c r="B583" s="36">
        <v>9</v>
      </c>
      <c r="C583" t="s" s="35">
        <v>1823</v>
      </c>
      <c r="D583" t="s" s="35">
        <v>4371</v>
      </c>
      <c r="E583" t="s" s="35">
        <v>4573</v>
      </c>
      <c r="F583" s="36">
        <v>7</v>
      </c>
      <c r="G583" t="s" s="35">
        <v>707</v>
      </c>
      <c r="H583" t="s" s="35">
        <v>4587</v>
      </c>
      <c r="I583" t="s" s="120">
        <v>4592</v>
      </c>
      <c r="J583" t="s" s="35">
        <v>4375</v>
      </c>
      <c r="K583" t="s" s="35">
        <v>1281</v>
      </c>
      <c r="L583" s="39"/>
      <c r="M583" t="str" s="39">
        <v>Ciencias de la Tierra</v>
      </c>
      <c r="N583" t="str" s="39">
        <v>La atmósfera terrestre</v>
      </c>
      <c r="O583" t="str" s="39" cm="1">
        <f t="array" ref="O583">IF(L583="","",_xlfn.IFERROR(INDEX('Datos - Catálogo TIMSS'!$C$5:$C$107,MATCH(L583,'Datos - Catálogo TIMSS'!$A$5:$A$107,0)),"?"))</f>
      </c>
      <c r="P583" t="s" s="35">
        <v>282</v>
      </c>
      <c r="Q583" t="s" s="120">
        <v>4593</v>
      </c>
      <c r="R583" t="s" s="120">
        <v>3297</v>
      </c>
      <c r="S583" s="121" cm="1">
        <f t="array" ref="S583">_xlfn.IFERROR(ISNUMBER(SEARCH("Conocer",$R583))/(ISNUMBER(SEARCH("Conocer",$R583))+ISNUMBER(SEARCH("Aplicar",$R583))+ISNUMBER(SEARCH("Razonar",$R583))),0)</f>
        <v>1</v>
      </c>
      <c r="T583" s="121" cm="1">
        <f t="array" ref="T583">_xlfn.IFERROR(ISNUMBER(SEARCH("Aplicar",$R583))/(ISNUMBER(SEARCH("Conocer",$R583))+ISNUMBER(SEARCH("Aplicar",$R583))+ISNUMBER(SEARCH("Razonar",$R583))),0)</f>
        <v>0</v>
      </c>
      <c r="U583" s="121" cm="1">
        <f t="array" ref="U583">_xlfn.IFERROR(ISNUMBER(SEARCH("Razonar",$R583))/(ISNUMBER(SEARCH("Conocer",$R583))+ISNUMBER(SEARCH("Aplicar",$R583))+ISNUMBER(SEARCH("Razonar",$R583))),0)</f>
        <v>0</v>
      </c>
      <c r="V583" t="s" s="35">
        <v>138</v>
      </c>
      <c r="W583" t="s" s="35">
        <v>138</v>
      </c>
      <c r="X583" s="36" cm="1">
        <f t="array" ref="X583">IF(OR(_xlfn.IFERROR(INDEX('Datos - Catálogo TIMSS'!$I$5:$I$107,MATCH(K583,'Datos - Catálogo TIMSS'!$A$5:$A$107,0)),"No")="Sí",_xlfn.IFERROR(INDEX('Datos - Catálogo TIMSS'!$I$5:$I$107,MATCH(L583,'Datos - Catálogo TIMSS'!$A$5:$A$107,0)),"No")="Sí"),1,0)</f>
        <v>1</v>
      </c>
      <c r="Y583" s="36" cm="1">
        <f t="array" ref="Y583">IF(_xlfn.IFERROR(INDEX('Datos - Catálogo TIMSS'!$J$5:$J$107,MATCH(K583,'Datos - Catálogo TIMSS'!$A$5:$A$107,0)),"No")="Sí",1,0)</f>
        <v>0</v>
      </c>
      <c r="Z583" s="36" cm="1">
        <f t="array" ref="Z583">IF(_xlfn.IFERROR(INDEX('Datos - Catálogo TIMSS'!$J$5:$J$107,MATCH(L583,'Datos - Catálogo TIMSS'!$A$5:$A$107,0)),"No")="Sí",1,0)</f>
        <v>0</v>
      </c>
      <c r="AA583" t="s" s="35">
        <v>3719</v>
      </c>
      <c r="AB583" s="39"/>
      <c r="AC583" t="str" s="39">
        <v>Ciencias de la Tierra</v>
      </c>
      <c r="AD583" t="s" s="35">
        <v>1859</v>
      </c>
      <c r="AE583" t="str" s="39" cm="1">
        <f t="array" ref="AE583">IF(AD583="","",IF(LEFT(AD583,1)="1","C1",IF(LEFT(AD583,1)="2","C2",IF(LEFT(AD583,1)="3","C3",""))))</f>
        <v>C1</v>
      </c>
      <c r="AF583" t="s" s="35">
        <v>1602</v>
      </c>
      <c r="AG583" t="s" s="35">
        <v>1617</v>
      </c>
      <c r="AH583" t="s" s="35">
        <v>1602</v>
      </c>
      <c r="AI583" t="s" s="35">
        <v>1623</v>
      </c>
      <c r="AJ583" t="s" s="35">
        <v>1615</v>
      </c>
      <c r="AK583" t="s" s="35">
        <v>1554</v>
      </c>
      <c r="AL583" t="s" s="35">
        <v>1558</v>
      </c>
      <c r="AM583" t="str" s="39" cm="1">
        <f t="array" ref="AM583">IF(AK583="FUERA","Fuera del marco",_xlfn.IFERROR(INDEX('Datos - Catálogo PISA'!$C$5:$C$76,MATCH(AK583,'Datos - Catálogo PISA'!$A$5:$A$76,0)),"?"))</f>
        <v>Sistemas de la Tierra y el espacio</v>
      </c>
      <c r="AN583" t="s" s="35">
        <v>1651</v>
      </c>
      <c r="AO583" s="39"/>
      <c r="AP583" s="39"/>
      <c r="AQ583" t="s" s="35">
        <v>1756</v>
      </c>
      <c r="AR583" s="39"/>
      <c r="AS583" t="s" s="35">
        <v>1771</v>
      </c>
      <c r="AT583" t="s" s="35">
        <v>254</v>
      </c>
      <c r="AU583" t="s" s="35">
        <v>4594</v>
      </c>
      <c r="AV583" t="s" s="35">
        <v>139</v>
      </c>
      <c r="AW583" t="str" s="39" cm="1">
        <f t="array" ref="AW583">AF583&amp;"; "&amp;AG583&amp;"; "&amp;AH583&amp;"; "&amp;AI583&amp;"; "&amp;AJ583</f>
        <v>E1; D1; E1; D4; E6</v>
      </c>
    </row>
    <row r="584" ht="13.65" customHeight="1">
      <c r="A584" t="s" s="35">
        <v>4595</v>
      </c>
      <c r="B584" s="36">
        <v>9</v>
      </c>
      <c r="C584" t="s" s="35">
        <v>1823</v>
      </c>
      <c r="D584" t="s" s="35">
        <v>4371</v>
      </c>
      <c r="E584" t="s" s="35">
        <v>4573</v>
      </c>
      <c r="F584" s="36">
        <v>8</v>
      </c>
      <c r="G584" t="s" s="35">
        <v>707</v>
      </c>
      <c r="H584" t="s" s="35">
        <v>4587</v>
      </c>
      <c r="I584" t="s" s="120">
        <v>4596</v>
      </c>
      <c r="J584" t="s" s="35">
        <v>4375</v>
      </c>
      <c r="K584" t="s" s="35">
        <v>1281</v>
      </c>
      <c r="L584" t="s" s="35">
        <v>535</v>
      </c>
      <c r="M584" t="str" s="39">
        <v>Ciencias de la Tierra</v>
      </c>
      <c r="N584" t="str" s="39">
        <v>La atmósfera terrestre</v>
      </c>
      <c r="O584" t="str" s="39" cm="1">
        <f t="array" ref="O584">IF(L584="","",_xlfn.IFERROR(INDEX('Datos - Catálogo TIMSS'!$C$5:$C$107,MATCH(L584,'Datos - Catálogo TIMSS'!$A$5:$A$107,0)),"?"))</f>
        <v>Física</v>
      </c>
      <c r="P584" t="s" s="35">
        <v>291</v>
      </c>
      <c r="Q584" t="s" s="120">
        <v>4597</v>
      </c>
      <c r="R584" t="s" s="120">
        <v>3134</v>
      </c>
      <c r="S584" s="121" cm="1">
        <f t="array" ref="S584">_xlfn.IFERROR(ISNUMBER(SEARCH("Conocer",$R584))/(ISNUMBER(SEARCH("Conocer",$R584))+ISNUMBER(SEARCH("Aplicar",$R584))+ISNUMBER(SEARCH("Razonar",$R584))),0)</f>
        <v>0</v>
      </c>
      <c r="T584" s="121" cm="1">
        <f t="array" ref="T584">_xlfn.IFERROR(ISNUMBER(SEARCH("Aplicar",$R584))/(ISNUMBER(SEARCH("Conocer",$R584))+ISNUMBER(SEARCH("Aplicar",$R584))+ISNUMBER(SEARCH("Razonar",$R584))),0)</f>
        <v>0</v>
      </c>
      <c r="U584" s="121" cm="1">
        <f t="array" ref="U584">_xlfn.IFERROR(ISNUMBER(SEARCH("Razonar",$R584))/(ISNUMBER(SEARCH("Conocer",$R584))+ISNUMBER(SEARCH("Aplicar",$R584))+ISNUMBER(SEARCH("Razonar",$R584))),0)</f>
        <v>1</v>
      </c>
      <c r="V584" t="s" s="35">
        <v>138</v>
      </c>
      <c r="W584" t="s" s="35">
        <v>138</v>
      </c>
      <c r="X584" s="36" cm="1">
        <f t="array" ref="X584">IF(OR(_xlfn.IFERROR(INDEX('Datos - Catálogo TIMSS'!$I$5:$I$107,MATCH(K584,'Datos - Catálogo TIMSS'!$A$5:$A$107,0)),"No")="Sí",_xlfn.IFERROR(INDEX('Datos - Catálogo TIMSS'!$I$5:$I$107,MATCH(L584,'Datos - Catálogo TIMSS'!$A$5:$A$107,0)),"No")="Sí"),1,0)</f>
        <v>1</v>
      </c>
      <c r="Y584" s="36" cm="1">
        <f t="array" ref="Y584">IF(_xlfn.IFERROR(INDEX('Datos - Catálogo TIMSS'!$J$5:$J$107,MATCH(K584,'Datos - Catálogo TIMSS'!$A$5:$A$107,0)),"No")="Sí",1,0)</f>
        <v>0</v>
      </c>
      <c r="Z584" s="36" cm="1">
        <f t="array" ref="Z584">IF(_xlfn.IFERROR(INDEX('Datos - Catálogo TIMSS'!$J$5:$J$107,MATCH(L584,'Datos - Catálogo TIMSS'!$A$5:$A$107,0)),"No")="Sí",1,0)</f>
        <v>0</v>
      </c>
      <c r="AA584" t="s" s="35">
        <v>3719</v>
      </c>
      <c r="AB584" s="39"/>
      <c r="AC584" t="str" s="39">
        <v>Ciencias de la Tierra</v>
      </c>
      <c r="AD584" t="s" s="35">
        <v>1834</v>
      </c>
      <c r="AE584" t="str" s="39" cm="1">
        <f t="array" ref="AE584">IF(AD584="","",IF(LEFT(AD584,1)="1","C1",IF(LEFT(AD584,1)="2","C2",IF(LEFT(AD584,1)="3","C3",""))))</f>
        <v>C2</v>
      </c>
      <c r="AF584" t="s" s="35">
        <v>1602</v>
      </c>
      <c r="AG584" t="s" s="35">
        <v>1607</v>
      </c>
      <c r="AH584" t="s" s="35">
        <v>1602</v>
      </c>
      <c r="AI584" t="s" s="35">
        <v>1621</v>
      </c>
      <c r="AJ584" t="s" s="35">
        <v>1602</v>
      </c>
      <c r="AK584" t="s" s="35">
        <v>1554</v>
      </c>
      <c r="AL584" t="s" s="35">
        <v>822</v>
      </c>
      <c r="AM584" t="str" s="39" cm="1">
        <f t="array" ref="AM584">IF(AK584="FUERA","Fuera del marco",_xlfn.IFERROR(INDEX('Datos - Catálogo PISA'!$C$5:$C$76,MATCH(AK584,'Datos - Catálogo PISA'!$A$5:$A$76,0)),"?"))</f>
        <v>Sistemas de la Tierra y el espacio</v>
      </c>
      <c r="AN584" t="s" s="35">
        <v>1651</v>
      </c>
      <c r="AO584" t="s" s="35">
        <v>4170</v>
      </c>
      <c r="AP584" s="39"/>
      <c r="AQ584" t="s" s="35">
        <v>1756</v>
      </c>
      <c r="AR584" s="39"/>
      <c r="AS584" t="s" s="35">
        <v>1771</v>
      </c>
      <c r="AT584" t="s" s="35">
        <v>254</v>
      </c>
      <c r="AU584" t="s" s="35">
        <v>4598</v>
      </c>
      <c r="AV584" t="s" s="35">
        <v>139</v>
      </c>
      <c r="AW584" t="str" s="39" cm="1">
        <f t="array" ref="AW584">AF584&amp;"; "&amp;AG584&amp;"; "&amp;AH584&amp;"; "&amp;AI584&amp;"; "&amp;AJ584</f>
        <v>E1; E3; E1; D3; E1</v>
      </c>
    </row>
    <row r="585" ht="13.65" customHeight="1">
      <c r="A585" t="s" s="35">
        <v>4600</v>
      </c>
      <c r="B585" s="36">
        <v>9</v>
      </c>
      <c r="C585" t="s" s="35">
        <v>1823</v>
      </c>
      <c r="D585" t="s" s="35">
        <v>4371</v>
      </c>
      <c r="E585" t="s" s="35">
        <v>4573</v>
      </c>
      <c r="F585" s="36">
        <v>9</v>
      </c>
      <c r="G585" t="s" s="35">
        <v>707</v>
      </c>
      <c r="H585" t="s" s="35">
        <v>4587</v>
      </c>
      <c r="I585" t="s" s="120">
        <v>4601</v>
      </c>
      <c r="J585" t="s" s="35">
        <v>4375</v>
      </c>
      <c r="K585" t="s" s="35">
        <v>1281</v>
      </c>
      <c r="L585" s="39"/>
      <c r="M585" t="str" s="39">
        <v>Ciencias de la Tierra</v>
      </c>
      <c r="N585" t="str" s="39">
        <v>La atmósfera terrestre</v>
      </c>
      <c r="O585" t="str" s="39" cm="1">
        <f t="array" ref="O585">IF(L585="","",_xlfn.IFERROR(INDEX('Datos - Catálogo TIMSS'!$C$5:$C$107,MATCH(L585,'Datos - Catálogo TIMSS'!$A$5:$A$107,0)),"?"))</f>
      </c>
      <c r="P585" t="s" s="35">
        <v>291</v>
      </c>
      <c r="Q585" t="s" s="120">
        <v>4602</v>
      </c>
      <c r="R585" t="s" s="120">
        <v>2805</v>
      </c>
      <c r="S585" s="121" cm="1">
        <f t="array" ref="S585">_xlfn.IFERROR(ISNUMBER(SEARCH("Conocer",$R585))/(ISNUMBER(SEARCH("Conocer",$R585))+ISNUMBER(SEARCH("Aplicar",$R585))+ISNUMBER(SEARCH("Razonar",$R585))),0)</f>
        <v>0</v>
      </c>
      <c r="T585" s="121" cm="1">
        <f t="array" ref="T585">_xlfn.IFERROR(ISNUMBER(SEARCH("Aplicar",$R585))/(ISNUMBER(SEARCH("Conocer",$R585))+ISNUMBER(SEARCH("Aplicar",$R585))+ISNUMBER(SEARCH("Razonar",$R585))),0)</f>
        <v>1</v>
      </c>
      <c r="U585" s="121" cm="1">
        <f t="array" ref="U585">_xlfn.IFERROR(ISNUMBER(SEARCH("Razonar",$R585))/(ISNUMBER(SEARCH("Conocer",$R585))+ISNUMBER(SEARCH("Aplicar",$R585))+ISNUMBER(SEARCH("Razonar",$R585))),0)</f>
        <v>0</v>
      </c>
      <c r="V585" t="s" s="35">
        <v>138</v>
      </c>
      <c r="W585" t="s" s="35">
        <v>138</v>
      </c>
      <c r="X585" s="36" cm="1">
        <f t="array" ref="X585">IF(OR(_xlfn.IFERROR(INDEX('Datos - Catálogo TIMSS'!$I$5:$I$107,MATCH(K585,'Datos - Catálogo TIMSS'!$A$5:$A$107,0)),"No")="Sí",_xlfn.IFERROR(INDEX('Datos - Catálogo TIMSS'!$I$5:$I$107,MATCH(L585,'Datos - Catálogo TIMSS'!$A$5:$A$107,0)),"No")="Sí"),1,0)</f>
        <v>1</v>
      </c>
      <c r="Y585" s="36" cm="1">
        <f t="array" ref="Y585">IF(_xlfn.IFERROR(INDEX('Datos - Catálogo TIMSS'!$J$5:$J$107,MATCH(K585,'Datos - Catálogo TIMSS'!$A$5:$A$107,0)),"No")="Sí",1,0)</f>
        <v>0</v>
      </c>
      <c r="Z585" s="36" cm="1">
        <f t="array" ref="Z585">IF(_xlfn.IFERROR(INDEX('Datos - Catálogo TIMSS'!$J$5:$J$107,MATCH(L585,'Datos - Catálogo TIMSS'!$A$5:$A$107,0)),"No")="Sí",1,0)</f>
        <v>0</v>
      </c>
      <c r="AA585" t="s" s="35">
        <v>3719</v>
      </c>
      <c r="AB585" s="39"/>
      <c r="AC585" t="str" s="39">
        <v>Ciencias de la Tierra</v>
      </c>
      <c r="AD585" t="s" s="35">
        <v>1859</v>
      </c>
      <c r="AE585" t="str" s="39" cm="1">
        <f t="array" ref="AE585">IF(AD585="","",IF(LEFT(AD585,1)="1","C1",IF(LEFT(AD585,1)="2","C2",IF(LEFT(AD585,1)="3","C3",""))))</f>
        <v>C1</v>
      </c>
      <c r="AF585" t="s" s="35">
        <v>1602</v>
      </c>
      <c r="AG585" t="s" s="35">
        <v>1617</v>
      </c>
      <c r="AH585" t="s" s="35">
        <v>1605</v>
      </c>
      <c r="AI585" t="s" s="35">
        <v>1623</v>
      </c>
      <c r="AJ585" t="s" s="35">
        <v>1602</v>
      </c>
      <c r="AK585" t="s" s="35">
        <v>1550</v>
      </c>
      <c r="AL585" t="s" s="35">
        <v>1554</v>
      </c>
      <c r="AM585" t="str" s="39" cm="1">
        <f t="array" ref="AM585">IF(AK585="FUERA","Fuera del marco",_xlfn.IFERROR(INDEX('Datos - Catálogo PISA'!$C$5:$C$76,MATCH(AK585,'Datos - Catálogo PISA'!$A$5:$A$76,0)),"?"))</f>
        <v>Sistemas de la Tierra y el espacio</v>
      </c>
      <c r="AN585" t="s" s="35">
        <v>1651</v>
      </c>
      <c r="AO585" s="39"/>
      <c r="AP585" s="39"/>
      <c r="AQ585" t="s" s="35">
        <v>1753</v>
      </c>
      <c r="AR585" s="39"/>
      <c r="AS585" t="s" s="35">
        <v>1770</v>
      </c>
      <c r="AT585" t="s" s="35">
        <v>254</v>
      </c>
      <c r="AU585" t="s" s="35">
        <v>4603</v>
      </c>
      <c r="AV585" t="s" s="35">
        <v>139</v>
      </c>
      <c r="AW585" t="str" s="39" cm="1">
        <f t="array" ref="AW585">AF585&amp;"; "&amp;AG585&amp;"; "&amp;AH585&amp;"; "&amp;AI585&amp;"; "&amp;AJ585</f>
        <v>E1; D1; E2; D4; E1</v>
      </c>
    </row>
    <row r="586" ht="13.65" customHeight="1">
      <c r="A586" t="s" s="35">
        <v>4604</v>
      </c>
      <c r="B586" s="36">
        <v>9</v>
      </c>
      <c r="C586" t="s" s="35">
        <v>1823</v>
      </c>
      <c r="D586" t="s" s="35">
        <v>4371</v>
      </c>
      <c r="E586" t="s" s="35">
        <v>4573</v>
      </c>
      <c r="F586" s="36">
        <v>10</v>
      </c>
      <c r="G586" t="s" s="35">
        <v>707</v>
      </c>
      <c r="H586" t="s" s="35">
        <v>4587</v>
      </c>
      <c r="I586" t="s" s="120">
        <v>4605</v>
      </c>
      <c r="J586" t="s" s="35">
        <v>4375</v>
      </c>
      <c r="K586" t="s" s="35">
        <v>575</v>
      </c>
      <c r="L586" s="39"/>
      <c r="M586" t="str" s="39">
        <v>Física</v>
      </c>
      <c r="N586" t="str" s="39">
        <v>Transformación y transferencia de energía</v>
      </c>
      <c r="O586" t="str" s="39" cm="1">
        <f t="array" ref="O586">IF(L586="","",_xlfn.IFERROR(INDEX('Datos - Catálogo TIMSS'!$C$5:$C$107,MATCH(L586,'Datos - Catálogo TIMSS'!$A$5:$A$107,0)),"?"))</f>
      </c>
      <c r="P586" t="s" s="35">
        <v>291</v>
      </c>
      <c r="Q586" t="s" s="120">
        <v>4606</v>
      </c>
      <c r="R586" t="s" s="120">
        <v>2561</v>
      </c>
      <c r="S586" s="121" cm="1">
        <f t="array" ref="S586">_xlfn.IFERROR(ISNUMBER(SEARCH("Conocer",$R586))/(ISNUMBER(SEARCH("Conocer",$R586))+ISNUMBER(SEARCH("Aplicar",$R586))+ISNUMBER(SEARCH("Razonar",$R586))),0)</f>
        <v>1</v>
      </c>
      <c r="T586" s="121" cm="1">
        <f t="array" ref="T586">_xlfn.IFERROR(ISNUMBER(SEARCH("Aplicar",$R586))/(ISNUMBER(SEARCH("Conocer",$R586))+ISNUMBER(SEARCH("Aplicar",$R586))+ISNUMBER(SEARCH("Razonar",$R586))),0)</f>
        <v>0</v>
      </c>
      <c r="U586" s="121" cm="1">
        <f t="array" ref="U586">_xlfn.IFERROR(ISNUMBER(SEARCH("Razonar",$R586))/(ISNUMBER(SEARCH("Conocer",$R586))+ISNUMBER(SEARCH("Aplicar",$R586))+ISNUMBER(SEARCH("Razonar",$R586))),0)</f>
        <v>0</v>
      </c>
      <c r="V586" t="s" s="35">
        <v>138</v>
      </c>
      <c r="W586" t="s" s="35">
        <v>138</v>
      </c>
      <c r="X586" s="36" cm="1">
        <f t="array" ref="X586">IF(OR(_xlfn.IFERROR(INDEX('Datos - Catálogo TIMSS'!$I$5:$I$107,MATCH(K586,'Datos - Catálogo TIMSS'!$A$5:$A$107,0)),"No")="Sí",_xlfn.IFERROR(INDEX('Datos - Catálogo TIMSS'!$I$5:$I$107,MATCH(L586,'Datos - Catálogo TIMSS'!$A$5:$A$107,0)),"No")="Sí"),1,0)</f>
        <v>0</v>
      </c>
      <c r="Y586" s="36" cm="1">
        <f t="array" ref="Y586">IF(_xlfn.IFERROR(INDEX('Datos - Catálogo TIMSS'!$J$5:$J$107,MATCH(K586,'Datos - Catálogo TIMSS'!$A$5:$A$107,0)),"No")="Sí",1,0)</f>
        <v>0</v>
      </c>
      <c r="Z586" s="36" cm="1">
        <f t="array" ref="Z586">IF(_xlfn.IFERROR(INDEX('Datos - Catálogo TIMSS'!$J$5:$J$107,MATCH(L586,'Datos - Catálogo TIMSS'!$A$5:$A$107,0)),"No")="Sí",1,0)</f>
        <v>0</v>
      </c>
      <c r="AA586" t="s" s="35">
        <v>2929</v>
      </c>
      <c r="AB586" s="39"/>
      <c r="AC586" t="str" s="39">
        <v>Física</v>
      </c>
      <c r="AD586" t="s" s="35">
        <v>1859</v>
      </c>
      <c r="AE586" t="str" s="39" cm="1">
        <f t="array" ref="AE586">IF(AD586="","",IF(LEFT(AD586,1)="1","C1",IF(LEFT(AD586,1)="2","C2",IF(LEFT(AD586,1)="3","C3",""))))</f>
        <v>C1</v>
      </c>
      <c r="AF586" t="s" s="35">
        <v>1615</v>
      </c>
      <c r="AG586" t="s" s="35">
        <v>1617</v>
      </c>
      <c r="AH586" t="s" s="35">
        <v>1602</v>
      </c>
      <c r="AI586" t="s" s="35">
        <v>1623</v>
      </c>
      <c r="AJ586" t="s" s="35">
        <v>1602</v>
      </c>
      <c r="AK586" t="s" s="35">
        <v>1550</v>
      </c>
      <c r="AL586" t="s" s="35">
        <v>826</v>
      </c>
      <c r="AM586" t="str" s="39" cm="1">
        <f t="array" ref="AM586">IF(AK586="FUERA","Fuera del marco",_xlfn.IFERROR(INDEX('Datos - Catálogo PISA'!$C$5:$C$76,MATCH(AK586,'Datos - Catálogo PISA'!$A$5:$A$76,0)),"?"))</f>
        <v>Sistemas de la Tierra y el espacio</v>
      </c>
      <c r="AN586" t="s" s="35">
        <v>1651</v>
      </c>
      <c r="AO586" s="39"/>
      <c r="AP586" s="39"/>
      <c r="AQ586" t="s" s="35">
        <v>1756</v>
      </c>
      <c r="AR586" s="39"/>
      <c r="AS586" t="s" s="35">
        <v>1770</v>
      </c>
      <c r="AT586" t="s" s="35">
        <v>282</v>
      </c>
      <c r="AU586" t="s" s="35">
        <v>4607</v>
      </c>
      <c r="AV586" t="s" s="35">
        <v>139</v>
      </c>
      <c r="AW586" t="str" s="39" cm="1">
        <f t="array" ref="AW586">AF586&amp;"; "&amp;AG586&amp;"; "&amp;AH586&amp;"; "&amp;AI586&amp;"; "&amp;AJ586</f>
        <v>E6; D1; E1; D4; E1</v>
      </c>
    </row>
    <row r="587" ht="13.65" customHeight="1">
      <c r="A587" t="s" s="35">
        <v>4609</v>
      </c>
      <c r="B587" s="36">
        <v>9</v>
      </c>
      <c r="C587" t="s" s="35">
        <v>1823</v>
      </c>
      <c r="D587" t="s" s="35">
        <v>4371</v>
      </c>
      <c r="E587" t="s" s="35">
        <v>4573</v>
      </c>
      <c r="F587" s="36">
        <v>11</v>
      </c>
      <c r="G587" t="s" s="35">
        <v>707</v>
      </c>
      <c r="H587" t="s" s="35">
        <v>4587</v>
      </c>
      <c r="I587" t="s" s="120">
        <v>4610</v>
      </c>
      <c r="J587" t="s" s="35">
        <v>4375</v>
      </c>
      <c r="K587" t="s" s="35">
        <v>575</v>
      </c>
      <c r="L587" s="39"/>
      <c r="M587" t="str" s="39">
        <v>Física</v>
      </c>
      <c r="N587" t="str" s="39">
        <v>Transformación y transferencia de energía</v>
      </c>
      <c r="O587" t="str" s="39" cm="1">
        <f t="array" ref="O587">IF(L587="","",_xlfn.IFERROR(INDEX('Datos - Catálogo TIMSS'!$C$5:$C$107,MATCH(L587,'Datos - Catálogo TIMSS'!$A$5:$A$107,0)),"?"))</f>
      </c>
      <c r="P587" t="s" s="35">
        <v>291</v>
      </c>
      <c r="Q587" t="s" s="120">
        <v>4611</v>
      </c>
      <c r="R587" t="s" s="120">
        <v>4245</v>
      </c>
      <c r="S587" s="121" cm="1">
        <f t="array" ref="S587">_xlfn.IFERROR(ISNUMBER(SEARCH("Conocer",$R587))/(ISNUMBER(SEARCH("Conocer",$R587))+ISNUMBER(SEARCH("Aplicar",$R587))+ISNUMBER(SEARCH("Razonar",$R587))),0)</f>
        <v>0</v>
      </c>
      <c r="T587" s="121" cm="1">
        <f t="array" ref="T587">_xlfn.IFERROR(ISNUMBER(SEARCH("Aplicar",$R587))/(ISNUMBER(SEARCH("Conocer",$R587))+ISNUMBER(SEARCH("Aplicar",$R587))+ISNUMBER(SEARCH("Razonar",$R587))),0)</f>
        <v>1</v>
      </c>
      <c r="U587" s="121" cm="1">
        <f t="array" ref="U587">_xlfn.IFERROR(ISNUMBER(SEARCH("Razonar",$R587))/(ISNUMBER(SEARCH("Conocer",$R587))+ISNUMBER(SEARCH("Aplicar",$R587))+ISNUMBER(SEARCH("Razonar",$R587))),0)</f>
        <v>0</v>
      </c>
      <c r="V587" t="s" s="35">
        <v>138</v>
      </c>
      <c r="W587" t="s" s="35">
        <v>138</v>
      </c>
      <c r="X587" s="36" cm="1">
        <f t="array" ref="X587">IF(OR(_xlfn.IFERROR(INDEX('Datos - Catálogo TIMSS'!$I$5:$I$107,MATCH(K587,'Datos - Catálogo TIMSS'!$A$5:$A$107,0)),"No")="Sí",_xlfn.IFERROR(INDEX('Datos - Catálogo TIMSS'!$I$5:$I$107,MATCH(L587,'Datos - Catálogo TIMSS'!$A$5:$A$107,0)),"No")="Sí"),1,0)</f>
        <v>0</v>
      </c>
      <c r="Y587" s="36" cm="1">
        <f t="array" ref="Y587">IF(_xlfn.IFERROR(INDEX('Datos - Catálogo TIMSS'!$J$5:$J$107,MATCH(K587,'Datos - Catálogo TIMSS'!$A$5:$A$107,0)),"No")="Sí",1,0)</f>
        <v>0</v>
      </c>
      <c r="Z587" s="36" cm="1">
        <f t="array" ref="Z587">IF(_xlfn.IFERROR(INDEX('Datos - Catálogo TIMSS'!$J$5:$J$107,MATCH(L587,'Datos - Catálogo TIMSS'!$A$5:$A$107,0)),"No")="Sí",1,0)</f>
        <v>0</v>
      </c>
      <c r="AA587" t="s" s="35">
        <v>2929</v>
      </c>
      <c r="AB587" t="s" s="35">
        <v>3071</v>
      </c>
      <c r="AC587" t="str" s="39">
        <v>Física</v>
      </c>
      <c r="AD587" t="s" s="35">
        <v>1834</v>
      </c>
      <c r="AE587" t="str" s="39" cm="1">
        <f t="array" ref="AE587">IF(AD587="","",IF(LEFT(AD587,1)="1","C1",IF(LEFT(AD587,1)="2","C2",IF(LEFT(AD587,1)="3","C3",""))))</f>
        <v>C2</v>
      </c>
      <c r="AF587" t="s" s="35">
        <v>1602</v>
      </c>
      <c r="AG587" t="s" s="35">
        <v>1607</v>
      </c>
      <c r="AH587" t="s" s="35">
        <v>1602</v>
      </c>
      <c r="AI587" t="s" s="35">
        <v>1619</v>
      </c>
      <c r="AJ587" t="s" s="35">
        <v>1615</v>
      </c>
      <c r="AK587" t="s" s="35">
        <v>826</v>
      </c>
      <c r="AL587" t="s" s="35">
        <v>1550</v>
      </c>
      <c r="AM587" t="str" s="39" cm="1">
        <f t="array" ref="AM587">IF(AK587="FUERA","Fuera del marco",_xlfn.IFERROR(INDEX('Datos - Catálogo PISA'!$C$5:$C$76,MATCH(AK587,'Datos - Catálogo PISA'!$A$5:$A$76,0)),"?"))</f>
        <v>Sistemas físicos</v>
      </c>
      <c r="AN587" t="s" s="35">
        <v>1651</v>
      </c>
      <c r="AO587" s="39"/>
      <c r="AP587" t="s" s="35">
        <v>3534</v>
      </c>
      <c r="AQ587" t="s" s="35">
        <v>1756</v>
      </c>
      <c r="AR587" s="39"/>
      <c r="AS587" t="s" s="35">
        <v>1771</v>
      </c>
      <c r="AT587" t="s" s="35">
        <v>282</v>
      </c>
      <c r="AU587" t="s" s="35">
        <v>4612</v>
      </c>
      <c r="AV587" t="s" s="35">
        <v>139</v>
      </c>
      <c r="AW587" t="str" s="39" cm="1">
        <f t="array" ref="AW587">AF587&amp;"; "&amp;AG587&amp;"; "&amp;AH587&amp;"; "&amp;AI587&amp;"; "&amp;AJ587</f>
        <v>E1; E3; E1; D2; E6</v>
      </c>
    </row>
    <row r="588" ht="13.65" customHeight="1">
      <c r="A588" t="s" s="35">
        <v>4613</v>
      </c>
      <c r="B588" s="36">
        <v>9</v>
      </c>
      <c r="C588" t="s" s="35">
        <v>1823</v>
      </c>
      <c r="D588" t="s" s="35">
        <v>4371</v>
      </c>
      <c r="E588" t="s" s="35">
        <v>4573</v>
      </c>
      <c r="F588" s="36">
        <v>12</v>
      </c>
      <c r="G588" t="s" s="35">
        <v>707</v>
      </c>
      <c r="H588" t="s" s="35">
        <v>4587</v>
      </c>
      <c r="I588" t="s" s="120">
        <v>4614</v>
      </c>
      <c r="J588" t="s" s="35">
        <v>4375</v>
      </c>
      <c r="K588" t="s" s="35">
        <v>481</v>
      </c>
      <c r="L588" s="39"/>
      <c r="M588" t="str" s="39">
        <v>Ciencias de la Tierra</v>
      </c>
      <c r="N588" t="str" s="39">
        <v>La Tierra en el sistema solar</v>
      </c>
      <c r="O588" t="str" s="39" cm="1">
        <f t="array" ref="O588">IF(L588="","",_xlfn.IFERROR(INDEX('Datos - Catálogo TIMSS'!$C$5:$C$107,MATCH(L588,'Datos - Catálogo TIMSS'!$A$5:$A$107,0)),"?"))</f>
      </c>
      <c r="P588" t="s" s="35">
        <v>254</v>
      </c>
      <c r="Q588" t="s" s="120">
        <v>4615</v>
      </c>
      <c r="R588" t="s" s="120">
        <v>2131</v>
      </c>
      <c r="S588" s="121" cm="1">
        <f t="array" ref="S588">_xlfn.IFERROR(ISNUMBER(SEARCH("Conocer",$R588))/(ISNUMBER(SEARCH("Conocer",$R588))+ISNUMBER(SEARCH("Aplicar",$R588))+ISNUMBER(SEARCH("Razonar",$R588))),0)</f>
        <v>0</v>
      </c>
      <c r="T588" s="121" cm="1">
        <f t="array" ref="T588">_xlfn.IFERROR(ISNUMBER(SEARCH("Aplicar",$R588))/(ISNUMBER(SEARCH("Conocer",$R588))+ISNUMBER(SEARCH("Aplicar",$R588))+ISNUMBER(SEARCH("Razonar",$R588))),0)</f>
        <v>1</v>
      </c>
      <c r="U588" s="121" cm="1">
        <f t="array" ref="U588">_xlfn.IFERROR(ISNUMBER(SEARCH("Razonar",$R588))/(ISNUMBER(SEARCH("Conocer",$R588))+ISNUMBER(SEARCH("Aplicar",$R588))+ISNUMBER(SEARCH("Razonar",$R588))),0)</f>
        <v>0</v>
      </c>
      <c r="V588" t="s" s="35">
        <v>138</v>
      </c>
      <c r="W588" t="s" s="35">
        <v>138</v>
      </c>
      <c r="X588" s="36" cm="1">
        <f t="array" ref="X588">IF(OR(_xlfn.IFERROR(INDEX('Datos - Catálogo TIMSS'!$I$5:$I$107,MATCH(K588,'Datos - Catálogo TIMSS'!$A$5:$A$107,0)),"No")="Sí",_xlfn.IFERROR(INDEX('Datos - Catálogo TIMSS'!$I$5:$I$107,MATCH(L588,'Datos - Catálogo TIMSS'!$A$5:$A$107,0)),"No")="Sí"),1,0)</f>
        <v>0</v>
      </c>
      <c r="Y588" s="36" cm="1">
        <f t="array" ref="Y588">IF(_xlfn.IFERROR(INDEX('Datos - Catálogo TIMSS'!$J$5:$J$107,MATCH(K588,'Datos - Catálogo TIMSS'!$A$5:$A$107,0)),"No")="Sí",1,0)</f>
        <v>0</v>
      </c>
      <c r="Z588" s="36" cm="1">
        <f t="array" ref="Z588">IF(_xlfn.IFERROR(INDEX('Datos - Catálogo TIMSS'!$J$5:$J$107,MATCH(L588,'Datos - Catálogo TIMSS'!$A$5:$A$107,0)),"No")="Sí",1,0)</f>
        <v>0</v>
      </c>
      <c r="AA588" t="s" s="35">
        <v>4616</v>
      </c>
      <c r="AB588" s="39"/>
      <c r="AC588" t="str" s="39">
        <v>Ciencias de la Tierra</v>
      </c>
      <c r="AD588" t="s" s="35">
        <v>1859</v>
      </c>
      <c r="AE588" t="str" s="39" cm="1">
        <f t="array" ref="AE588">IF(AD588="","",IF(LEFT(AD588,1)="1","C1",IF(LEFT(AD588,1)="2","C2",IF(LEFT(AD588,1)="3","C3",""))))</f>
        <v>C1</v>
      </c>
      <c r="AF588" t="s" s="35">
        <v>1602</v>
      </c>
      <c r="AG588" t="s" s="35">
        <v>1617</v>
      </c>
      <c r="AH588" t="s" s="35">
        <v>1609</v>
      </c>
      <c r="AI588" t="s" s="35">
        <v>1623</v>
      </c>
      <c r="AJ588" t="s" s="35">
        <v>1615</v>
      </c>
      <c r="AK588" t="s" s="35">
        <v>667</v>
      </c>
      <c r="AL588" t="s" s="35">
        <v>838</v>
      </c>
      <c r="AM588" t="str" s="39" cm="1">
        <f t="array" ref="AM588">IF(AK588="FUERA","Fuera del marco",_xlfn.IFERROR(INDEX('Datos - Catálogo PISA'!$C$5:$C$76,MATCH(AK588,'Datos - Catálogo PISA'!$A$5:$A$76,0)),"?"))</f>
        <v>Sistemas de la Tierra y el espacio</v>
      </c>
      <c r="AN588" t="s" s="35">
        <v>1651</v>
      </c>
      <c r="AO588" s="39"/>
      <c r="AP588" t="s" s="35">
        <v>3534</v>
      </c>
      <c r="AQ588" t="s" s="35">
        <v>1756</v>
      </c>
      <c r="AR588" s="39"/>
      <c r="AS588" t="s" s="35">
        <v>1771</v>
      </c>
      <c r="AT588" t="s" s="35">
        <v>254</v>
      </c>
      <c r="AU588" t="s" s="35">
        <v>4617</v>
      </c>
      <c r="AV588" t="s" s="35">
        <v>139</v>
      </c>
      <c r="AW588" t="str" s="39" cm="1">
        <f t="array" ref="AW588">AF588&amp;"; "&amp;AG588&amp;"; "&amp;AH588&amp;"; "&amp;AI588&amp;"; "&amp;AJ588</f>
        <v>E1; D1; E4; D4; E6</v>
      </c>
    </row>
    <row r="589" ht="13.65" customHeight="1">
      <c r="A589" t="s" s="35">
        <v>4618</v>
      </c>
      <c r="B589" s="36">
        <v>9</v>
      </c>
      <c r="C589" t="s" s="35">
        <v>1823</v>
      </c>
      <c r="D589" t="s" s="35">
        <v>4371</v>
      </c>
      <c r="E589" t="s" s="35">
        <v>4573</v>
      </c>
      <c r="F589" s="36">
        <v>13</v>
      </c>
      <c r="G589" t="s" s="35">
        <v>707</v>
      </c>
      <c r="H589" t="s" s="35">
        <v>4619</v>
      </c>
      <c r="I589" t="s" s="120">
        <v>4620</v>
      </c>
      <c r="J589" t="s" s="35">
        <v>4375</v>
      </c>
      <c r="K589" t="s" s="35">
        <v>524</v>
      </c>
      <c r="L589" s="39"/>
      <c r="M589" t="str" s="39">
        <v>Ciencias de la Tierra</v>
      </c>
      <c r="N589" t="str" s="39">
        <v>Rasgos, procesos e historia de la Tierra</v>
      </c>
      <c r="O589" t="str" s="39" cm="1">
        <f t="array" ref="O589">IF(L589="","",_xlfn.IFERROR(INDEX('Datos - Catálogo TIMSS'!$C$5:$C$107,MATCH(L589,'Datos - Catálogo TIMSS'!$A$5:$A$107,0)),"?"))</f>
      </c>
      <c r="P589" t="s" s="35">
        <v>282</v>
      </c>
      <c r="Q589" t="s" s="120">
        <v>4621</v>
      </c>
      <c r="R589" t="s" s="120">
        <v>2131</v>
      </c>
      <c r="S589" s="121" cm="1">
        <f t="array" ref="S589">_xlfn.IFERROR(ISNUMBER(SEARCH("Conocer",$R589))/(ISNUMBER(SEARCH("Conocer",$R589))+ISNUMBER(SEARCH("Aplicar",$R589))+ISNUMBER(SEARCH("Razonar",$R589))),0)</f>
        <v>0</v>
      </c>
      <c r="T589" s="121" cm="1">
        <f t="array" ref="T589">_xlfn.IFERROR(ISNUMBER(SEARCH("Aplicar",$R589))/(ISNUMBER(SEARCH("Conocer",$R589))+ISNUMBER(SEARCH("Aplicar",$R589))+ISNUMBER(SEARCH("Razonar",$R589))),0)</f>
        <v>1</v>
      </c>
      <c r="U589" s="121" cm="1">
        <f t="array" ref="U589">_xlfn.IFERROR(ISNUMBER(SEARCH("Razonar",$R589))/(ISNUMBER(SEARCH("Conocer",$R589))+ISNUMBER(SEARCH("Aplicar",$R589))+ISNUMBER(SEARCH("Razonar",$R589))),0)</f>
        <v>0</v>
      </c>
      <c r="V589" t="s" s="35">
        <v>138</v>
      </c>
      <c r="W589" t="s" s="35">
        <v>138</v>
      </c>
      <c r="X589" s="36" cm="1">
        <f t="array" ref="X589">IF(OR(_xlfn.IFERROR(INDEX('Datos - Catálogo TIMSS'!$I$5:$I$107,MATCH(K589,'Datos - Catálogo TIMSS'!$A$5:$A$107,0)),"No")="Sí",_xlfn.IFERROR(INDEX('Datos - Catálogo TIMSS'!$I$5:$I$107,MATCH(L589,'Datos - Catálogo TIMSS'!$A$5:$A$107,0)),"No")="Sí"),1,0)</f>
        <v>1</v>
      </c>
      <c r="Y589" s="36" cm="1">
        <f t="array" ref="Y589">IF(_xlfn.IFERROR(INDEX('Datos - Catálogo TIMSS'!$J$5:$J$107,MATCH(K589,'Datos - Catálogo TIMSS'!$A$5:$A$107,0)),"No")="Sí",1,0)</f>
        <v>0</v>
      </c>
      <c r="Z589" s="36" cm="1">
        <f t="array" ref="Z589">IF(_xlfn.IFERROR(INDEX('Datos - Catálogo TIMSS'!$J$5:$J$107,MATCH(L589,'Datos - Catálogo TIMSS'!$A$5:$A$107,0)),"No")="Sí",1,0)</f>
        <v>0</v>
      </c>
      <c r="AA589" t="s" s="35">
        <v>3071</v>
      </c>
      <c r="AB589" s="39"/>
      <c r="AC589" t="str" s="39">
        <v>Ciencias de la Tierra</v>
      </c>
      <c r="AD589" t="s" s="35">
        <v>1859</v>
      </c>
      <c r="AE589" t="str" s="39" cm="1">
        <f t="array" ref="AE589">IF(AD589="","",IF(LEFT(AD589,1)="1","C1",IF(LEFT(AD589,1)="2","C2",IF(LEFT(AD589,1)="3","C3",""))))</f>
        <v>C1</v>
      </c>
      <c r="AF589" t="s" s="35">
        <v>1602</v>
      </c>
      <c r="AG589" t="s" s="35">
        <v>1617</v>
      </c>
      <c r="AH589" t="s" s="35">
        <v>1609</v>
      </c>
      <c r="AI589" t="s" s="35">
        <v>1623</v>
      </c>
      <c r="AJ589" t="s" s="35">
        <v>1602</v>
      </c>
      <c r="AK589" t="s" s="35">
        <v>1560</v>
      </c>
      <c r="AL589" s="39"/>
      <c r="AM589" t="str" s="39" cm="1">
        <f t="array" ref="AM589">IF(AK589="FUERA","Fuera del marco",_xlfn.IFERROR(INDEX('Datos - Catálogo PISA'!$C$5:$C$76,MATCH(AK589,'Datos - Catálogo PISA'!$A$5:$A$76,0)),"?"))</f>
        <v>Sistemas de la Tierra y el espacio</v>
      </c>
      <c r="AN589" t="s" s="35">
        <v>1651</v>
      </c>
      <c r="AO589" s="39"/>
      <c r="AP589" t="s" s="35">
        <v>3534</v>
      </c>
      <c r="AQ589" t="s" s="35">
        <v>1756</v>
      </c>
      <c r="AR589" s="39"/>
      <c r="AS589" t="s" s="35">
        <v>1771</v>
      </c>
      <c r="AT589" t="s" s="35">
        <v>254</v>
      </c>
      <c r="AU589" t="s" s="35">
        <v>4622</v>
      </c>
      <c r="AV589" t="s" s="35">
        <v>139</v>
      </c>
      <c r="AW589" t="str" s="39" cm="1">
        <f t="array" ref="AW589">AF589&amp;"; "&amp;AG589&amp;"; "&amp;AH589&amp;"; "&amp;AI589&amp;"; "&amp;AJ589</f>
        <v>E1; D1; E4; D4; E1</v>
      </c>
    </row>
    <row r="590" ht="13.65" customHeight="1">
      <c r="A590" t="s" s="35">
        <v>4623</v>
      </c>
      <c r="B590" s="36">
        <v>9</v>
      </c>
      <c r="C590" t="s" s="35">
        <v>1823</v>
      </c>
      <c r="D590" t="s" s="35">
        <v>4371</v>
      </c>
      <c r="E590" t="s" s="35">
        <v>4573</v>
      </c>
      <c r="F590" s="36">
        <v>14</v>
      </c>
      <c r="G590" t="s" s="35">
        <v>707</v>
      </c>
      <c r="H590" t="s" s="35">
        <v>4619</v>
      </c>
      <c r="I590" t="s" s="120">
        <v>4624</v>
      </c>
      <c r="J590" t="s" s="35">
        <v>4375</v>
      </c>
      <c r="K590" t="s" s="35">
        <v>524</v>
      </c>
      <c r="L590" s="39"/>
      <c r="M590" t="str" s="39">
        <v>Ciencias de la Tierra</v>
      </c>
      <c r="N590" t="str" s="39">
        <v>Rasgos, procesos e historia de la Tierra</v>
      </c>
      <c r="O590" t="str" s="39" cm="1">
        <f t="array" ref="O590">IF(L590="","",_xlfn.IFERROR(INDEX('Datos - Catálogo TIMSS'!$C$5:$C$107,MATCH(L590,'Datos - Catálogo TIMSS'!$A$5:$A$107,0)),"?"))</f>
      </c>
      <c r="P590" t="s" s="35">
        <v>282</v>
      </c>
      <c r="Q590" t="s" s="120">
        <v>4625</v>
      </c>
      <c r="R590" t="s" s="120">
        <v>4508</v>
      </c>
      <c r="S590" s="121" cm="1">
        <f t="array" ref="S590">_xlfn.IFERROR(ISNUMBER(SEARCH("Conocer",$R590))/(ISNUMBER(SEARCH("Conocer",$R590))+ISNUMBER(SEARCH("Aplicar",$R590))+ISNUMBER(SEARCH("Razonar",$R590))),0)</f>
        <v>0</v>
      </c>
      <c r="T590" s="121" cm="1">
        <f t="array" ref="T590">_xlfn.IFERROR(ISNUMBER(SEARCH("Aplicar",$R590))/(ISNUMBER(SEARCH("Conocer",$R590))+ISNUMBER(SEARCH("Aplicar",$R590))+ISNUMBER(SEARCH("Razonar",$R590))),0)</f>
        <v>1</v>
      </c>
      <c r="U590" s="121" cm="1">
        <f t="array" ref="U590">_xlfn.IFERROR(ISNUMBER(SEARCH("Razonar",$R590))/(ISNUMBER(SEARCH("Conocer",$R590))+ISNUMBER(SEARCH("Aplicar",$R590))+ISNUMBER(SEARCH("Razonar",$R590))),0)</f>
        <v>0</v>
      </c>
      <c r="V590" t="s" s="35">
        <v>138</v>
      </c>
      <c r="W590" t="s" s="35">
        <v>138</v>
      </c>
      <c r="X590" s="36" cm="1">
        <f t="array" ref="X590">IF(OR(_xlfn.IFERROR(INDEX('Datos - Catálogo TIMSS'!$I$5:$I$107,MATCH(K590,'Datos - Catálogo TIMSS'!$A$5:$A$107,0)),"No")="Sí",_xlfn.IFERROR(INDEX('Datos - Catálogo TIMSS'!$I$5:$I$107,MATCH(L590,'Datos - Catálogo TIMSS'!$A$5:$A$107,0)),"No")="Sí"),1,0)</f>
        <v>1</v>
      </c>
      <c r="Y590" s="36" cm="1">
        <f t="array" ref="Y590">IF(_xlfn.IFERROR(INDEX('Datos - Catálogo TIMSS'!$J$5:$J$107,MATCH(K590,'Datos - Catálogo TIMSS'!$A$5:$A$107,0)),"No")="Sí",1,0)</f>
        <v>0</v>
      </c>
      <c r="Z590" s="36" cm="1">
        <f t="array" ref="Z590">IF(_xlfn.IFERROR(INDEX('Datos - Catálogo TIMSS'!$J$5:$J$107,MATCH(L590,'Datos - Catálogo TIMSS'!$A$5:$A$107,0)),"No")="Sí",1,0)</f>
        <v>0</v>
      </c>
      <c r="AA590" t="s" s="35">
        <v>3071</v>
      </c>
      <c r="AB590" s="39"/>
      <c r="AC590" t="str" s="39">
        <v>Ciencias de la Tierra</v>
      </c>
      <c r="AD590" t="s" s="35">
        <v>1859</v>
      </c>
      <c r="AE590" t="str" s="39" cm="1">
        <f t="array" ref="AE590">IF(AD590="","",IF(LEFT(AD590,1)="1","C1",IF(LEFT(AD590,1)="2","C2",IF(LEFT(AD590,1)="3","C3",""))))</f>
        <v>C1</v>
      </c>
      <c r="AF590" t="s" s="35">
        <v>1615</v>
      </c>
      <c r="AG590" t="s" s="35">
        <v>1617</v>
      </c>
      <c r="AH590" t="s" s="35">
        <v>1609</v>
      </c>
      <c r="AI590" t="s" s="35">
        <v>1623</v>
      </c>
      <c r="AJ590" t="s" s="35">
        <v>1615</v>
      </c>
      <c r="AK590" t="s" s="35">
        <v>1560</v>
      </c>
      <c r="AL590" t="s" s="35">
        <v>1558</v>
      </c>
      <c r="AM590" t="str" s="39" cm="1">
        <f t="array" ref="AM590">IF(AK590="FUERA","Fuera del marco",_xlfn.IFERROR(INDEX('Datos - Catálogo PISA'!$C$5:$C$76,MATCH(AK590,'Datos - Catálogo PISA'!$A$5:$A$76,0)),"?"))</f>
        <v>Sistemas de la Tierra y el espacio</v>
      </c>
      <c r="AN590" t="s" s="35">
        <v>1651</v>
      </c>
      <c r="AO590" s="39"/>
      <c r="AP590" s="39"/>
      <c r="AQ590" t="s" s="35">
        <v>1756</v>
      </c>
      <c r="AR590" s="39"/>
      <c r="AS590" t="s" s="35">
        <v>1770</v>
      </c>
      <c r="AT590" t="s" s="35">
        <v>254</v>
      </c>
      <c r="AU590" t="s" s="35">
        <v>4626</v>
      </c>
      <c r="AV590" t="s" s="35">
        <v>139</v>
      </c>
      <c r="AW590" t="str" s="39" cm="1">
        <f t="array" ref="AW590">AF590&amp;"; "&amp;AG590&amp;"; "&amp;AH590&amp;"; "&amp;AI590&amp;"; "&amp;AJ590</f>
        <v>E6; D1; E4; D4; E6</v>
      </c>
    </row>
    <row r="591" ht="13.65" customHeight="1">
      <c r="A591" t="s" s="35">
        <v>4627</v>
      </c>
      <c r="B591" s="36">
        <v>9</v>
      </c>
      <c r="C591" t="s" s="35">
        <v>1823</v>
      </c>
      <c r="D591" t="s" s="35">
        <v>4371</v>
      </c>
      <c r="E591" t="s" s="35">
        <v>4573</v>
      </c>
      <c r="F591" s="36">
        <v>15</v>
      </c>
      <c r="G591" t="s" s="35">
        <v>707</v>
      </c>
      <c r="H591" t="s" s="35">
        <v>4628</v>
      </c>
      <c r="I591" t="s" s="120">
        <v>4629</v>
      </c>
      <c r="J591" t="s" s="35">
        <v>4375</v>
      </c>
      <c r="K591" t="s" s="35">
        <v>1189</v>
      </c>
      <c r="L591" s="39"/>
      <c r="M591" t="str" s="39">
        <v>Biología</v>
      </c>
      <c r="N591" t="str" s="39">
        <v>Ecosistemas</v>
      </c>
      <c r="O591" t="str" s="39" cm="1">
        <f t="array" ref="O591">IF(L591="","",_xlfn.IFERROR(INDEX('Datos - Catálogo TIMSS'!$C$5:$C$107,MATCH(L591,'Datos - Catálogo TIMSS'!$A$5:$A$107,0)),"?"))</f>
      </c>
      <c r="P591" t="s" s="35">
        <v>254</v>
      </c>
      <c r="Q591" t="s" s="120">
        <v>4630</v>
      </c>
      <c r="R591" t="s" s="120">
        <v>4631</v>
      </c>
      <c r="S591" s="121" cm="1">
        <f t="array" ref="S591">_xlfn.IFERROR(ISNUMBER(SEARCH("Conocer",$R591))/(ISNUMBER(SEARCH("Conocer",$R591))+ISNUMBER(SEARCH("Aplicar",$R591))+ISNUMBER(SEARCH("Razonar",$R591))),0)</f>
        <v>1</v>
      </c>
      <c r="T591" s="121" cm="1">
        <f t="array" ref="T591">_xlfn.IFERROR(ISNUMBER(SEARCH("Aplicar",$R591))/(ISNUMBER(SEARCH("Conocer",$R591))+ISNUMBER(SEARCH("Aplicar",$R591))+ISNUMBER(SEARCH("Razonar",$R591))),0)</f>
        <v>0</v>
      </c>
      <c r="U591" s="121" cm="1">
        <f t="array" ref="U591">_xlfn.IFERROR(ISNUMBER(SEARCH("Razonar",$R591))/(ISNUMBER(SEARCH("Conocer",$R591))+ISNUMBER(SEARCH("Aplicar",$R591))+ISNUMBER(SEARCH("Razonar",$R591))),0)</f>
        <v>0</v>
      </c>
      <c r="V591" t="s" s="35">
        <v>138</v>
      </c>
      <c r="W591" t="s" s="35">
        <v>138</v>
      </c>
      <c r="X591" s="36" cm="1">
        <f t="array" ref="X591">IF(OR(_xlfn.IFERROR(INDEX('Datos - Catálogo TIMSS'!$I$5:$I$107,MATCH(K591,'Datos - Catálogo TIMSS'!$A$5:$A$107,0)),"No")="Sí",_xlfn.IFERROR(INDEX('Datos - Catálogo TIMSS'!$I$5:$I$107,MATCH(L591,'Datos - Catálogo TIMSS'!$A$5:$A$107,0)),"No")="Sí"),1,0)</f>
        <v>1</v>
      </c>
      <c r="Y591" s="36" cm="1">
        <f t="array" ref="Y591">IF(_xlfn.IFERROR(INDEX('Datos - Catálogo TIMSS'!$J$5:$J$107,MATCH(K591,'Datos - Catálogo TIMSS'!$A$5:$A$107,0)),"No")="Sí",1,0)</f>
        <v>0</v>
      </c>
      <c r="Z591" s="36" cm="1">
        <f t="array" ref="Z591">IF(_xlfn.IFERROR(INDEX('Datos - Catálogo TIMSS'!$J$5:$J$107,MATCH(L591,'Datos - Catálogo TIMSS'!$A$5:$A$107,0)),"No")="Sí",1,0)</f>
        <v>0</v>
      </c>
      <c r="AA591" t="s" s="35">
        <v>3686</v>
      </c>
      <c r="AB591" s="39"/>
      <c r="AC591" t="str" s="39">
        <v>Biología</v>
      </c>
      <c r="AD591" t="s" s="35">
        <v>1859</v>
      </c>
      <c r="AE591" t="str" s="39" cm="1">
        <f t="array" ref="AE591">IF(AD591="","",IF(LEFT(AD591,1)="1","C1",IF(LEFT(AD591,1)="2","C2",IF(LEFT(AD591,1)="3","C3",""))))</f>
        <v>C1</v>
      </c>
      <c r="AF591" t="s" s="35">
        <v>1615</v>
      </c>
      <c r="AG591" t="s" s="35">
        <v>1617</v>
      </c>
      <c r="AH591" t="s" s="35">
        <v>1602</v>
      </c>
      <c r="AI591" t="s" s="35">
        <v>1623</v>
      </c>
      <c r="AJ591" t="s" s="35">
        <v>1615</v>
      </c>
      <c r="AK591" t="s" s="35">
        <v>1544</v>
      </c>
      <c r="AL591" s="39"/>
      <c r="AM591" t="str" s="39" cm="1">
        <f t="array" ref="AM591">IF(AK591="FUERA","Fuera del marco",_xlfn.IFERROR(INDEX('Datos - Catálogo PISA'!$C$5:$C$76,MATCH(AK591,'Datos - Catálogo PISA'!$A$5:$A$76,0)),"?"))</f>
        <v>Sistemas vivos</v>
      </c>
      <c r="AN591" t="s" s="35">
        <v>1651</v>
      </c>
      <c r="AO591" s="39"/>
      <c r="AP591" s="39"/>
      <c r="AQ591" t="s" s="35">
        <v>1752</v>
      </c>
      <c r="AR591" t="s" s="35">
        <v>1765</v>
      </c>
      <c r="AS591" t="s" s="35">
        <v>1771</v>
      </c>
      <c r="AT591" t="s" s="35">
        <v>254</v>
      </c>
      <c r="AU591" t="s" s="35">
        <v>4632</v>
      </c>
      <c r="AV591" t="s" s="35">
        <v>139</v>
      </c>
      <c r="AW591" t="str" s="39" cm="1">
        <f t="array" ref="AW591">AF591&amp;"; "&amp;AG591&amp;"; "&amp;AH591&amp;"; "&amp;AI591&amp;"; "&amp;AJ591</f>
        <v>E6; D1; E1; D4; E6</v>
      </c>
    </row>
    <row r="592" ht="13.65" customHeight="1">
      <c r="A592" t="s" s="35">
        <v>4633</v>
      </c>
      <c r="B592" s="36">
        <v>9</v>
      </c>
      <c r="C592" t="s" s="35">
        <v>1823</v>
      </c>
      <c r="D592" t="s" s="35">
        <v>4371</v>
      </c>
      <c r="E592" t="s" s="35">
        <v>4573</v>
      </c>
      <c r="F592" s="36">
        <v>16</v>
      </c>
      <c r="G592" t="s" s="35">
        <v>707</v>
      </c>
      <c r="H592" t="s" s="35">
        <v>4628</v>
      </c>
      <c r="I592" t="s" s="120">
        <v>4634</v>
      </c>
      <c r="J592" t="s" s="35">
        <v>4375</v>
      </c>
      <c r="K592" t="s" s="35">
        <v>535</v>
      </c>
      <c r="L592" t="s" s="35">
        <v>1272</v>
      </c>
      <c r="M592" t="str" s="39">
        <v>Física</v>
      </c>
      <c r="N592" t="str" s="39">
        <v>Movimiento y fuerzas</v>
      </c>
      <c r="O592" t="str" s="39" cm="1">
        <f t="array" ref="O592">IF(L592="","",_xlfn.IFERROR(INDEX('Datos - Catálogo TIMSS'!$C$5:$C$107,MATCH(L592,'Datos - Catálogo TIMSS'!$A$5:$A$107,0)),"?"))</f>
        <v>Ciencias de la Tierra</v>
      </c>
      <c r="P592" t="s" s="35">
        <v>291</v>
      </c>
      <c r="Q592" t="s" s="120">
        <v>4635</v>
      </c>
      <c r="R592" t="s" s="120">
        <v>4636</v>
      </c>
      <c r="S592" s="121" cm="1">
        <f t="array" ref="S592">_xlfn.IFERROR(ISNUMBER(SEARCH("Conocer",$R592))/(ISNUMBER(SEARCH("Conocer",$R592))+ISNUMBER(SEARCH("Aplicar",$R592))+ISNUMBER(SEARCH("Razonar",$R592))),0)</f>
        <v>0</v>
      </c>
      <c r="T592" s="121" cm="1">
        <f t="array" ref="T592">_xlfn.IFERROR(ISNUMBER(SEARCH("Aplicar",$R592))/(ISNUMBER(SEARCH("Conocer",$R592))+ISNUMBER(SEARCH("Aplicar",$R592))+ISNUMBER(SEARCH("Razonar",$R592))),0)</f>
        <v>1</v>
      </c>
      <c r="U592" s="121" cm="1">
        <f t="array" ref="U592">_xlfn.IFERROR(ISNUMBER(SEARCH("Razonar",$R592))/(ISNUMBER(SEARCH("Conocer",$R592))+ISNUMBER(SEARCH("Aplicar",$R592))+ISNUMBER(SEARCH("Razonar",$R592))),0)</f>
        <v>0</v>
      </c>
      <c r="V592" t="s" s="35">
        <v>138</v>
      </c>
      <c r="W592" t="s" s="35">
        <v>138</v>
      </c>
      <c r="X592" s="36" cm="1">
        <f t="array" ref="X592">IF(OR(_xlfn.IFERROR(INDEX('Datos - Catálogo TIMSS'!$I$5:$I$107,MATCH(K592,'Datos - Catálogo TIMSS'!$A$5:$A$107,0)),"No")="Sí",_xlfn.IFERROR(INDEX('Datos - Catálogo TIMSS'!$I$5:$I$107,MATCH(L592,'Datos - Catálogo TIMSS'!$A$5:$A$107,0)),"No")="Sí"),1,0)</f>
        <v>1</v>
      </c>
      <c r="Y592" s="36" cm="1">
        <f t="array" ref="Y592">IF(_xlfn.IFERROR(INDEX('Datos - Catálogo TIMSS'!$J$5:$J$107,MATCH(K592,'Datos - Catálogo TIMSS'!$A$5:$A$107,0)),"No")="Sí",1,0)</f>
        <v>0</v>
      </c>
      <c r="Z592" s="36" cm="1">
        <f t="array" ref="Z592">IF(_xlfn.IFERROR(INDEX('Datos - Catálogo TIMSS'!$J$5:$J$107,MATCH(L592,'Datos - Catálogo TIMSS'!$A$5:$A$107,0)),"No")="Sí",1,0)</f>
        <v>0</v>
      </c>
      <c r="AA592" t="s" s="35">
        <v>3327</v>
      </c>
      <c r="AB592" t="s" s="35">
        <v>3059</v>
      </c>
      <c r="AC592" t="str" s="39">
        <v>Biología</v>
      </c>
      <c r="AD592" t="s" s="35">
        <v>1834</v>
      </c>
      <c r="AE592" t="str" s="39" cm="1">
        <f t="array" ref="AE592">IF(AD592="","",IF(LEFT(AD592,1)="1","C1",IF(LEFT(AD592,1)="2","C2",IF(LEFT(AD592,1)="3","C3",""))))</f>
        <v>C2</v>
      </c>
      <c r="AF592" t="s" s="35">
        <v>1602</v>
      </c>
      <c r="AG592" t="s" s="35">
        <v>1607</v>
      </c>
      <c r="AH592" t="s" s="35">
        <v>1602</v>
      </c>
      <c r="AI592" t="s" s="35">
        <v>1619</v>
      </c>
      <c r="AJ592" t="s" s="35">
        <v>1602</v>
      </c>
      <c r="AK592" t="s" s="35">
        <v>1550</v>
      </c>
      <c r="AL592" t="s" s="35">
        <v>822</v>
      </c>
      <c r="AM592" t="str" s="39" cm="1">
        <f t="array" ref="AM592">IF(AK592="FUERA","Fuera del marco",_xlfn.IFERROR(INDEX('Datos - Catálogo PISA'!$C$5:$C$76,MATCH(AK592,'Datos - Catálogo PISA'!$A$5:$A$76,0)),"?"))</f>
        <v>Sistemas de la Tierra y el espacio</v>
      </c>
      <c r="AN592" t="s" s="35">
        <v>1651</v>
      </c>
      <c r="AO592" t="s" s="35">
        <v>4212</v>
      </c>
      <c r="AP592" s="39"/>
      <c r="AQ592" t="s" s="35">
        <v>1756</v>
      </c>
      <c r="AR592" s="39"/>
      <c r="AS592" t="s" s="35">
        <v>1771</v>
      </c>
      <c r="AT592" t="s" s="35">
        <v>282</v>
      </c>
      <c r="AU592" t="s" s="35">
        <v>4637</v>
      </c>
      <c r="AV592" t="s" s="35">
        <v>139</v>
      </c>
      <c r="AW592" t="str" s="39" cm="1">
        <f t="array" ref="AW592">AF592&amp;"; "&amp;AG592&amp;"; "&amp;AH592&amp;"; "&amp;AI592&amp;"; "&amp;AJ592</f>
        <v>E1; E3; E1; D2; E1</v>
      </c>
    </row>
    <row r="593" ht="13.65" customHeight="1">
      <c r="A593" t="s" s="35">
        <v>4638</v>
      </c>
      <c r="B593" s="36">
        <v>9</v>
      </c>
      <c r="C593" t="s" s="35">
        <v>1823</v>
      </c>
      <c r="D593" t="s" s="35">
        <v>4371</v>
      </c>
      <c r="E593" t="s" s="35">
        <v>4573</v>
      </c>
      <c r="F593" s="36">
        <v>17</v>
      </c>
      <c r="G593" t="s" s="35">
        <v>707</v>
      </c>
      <c r="H593" t="s" s="35">
        <v>4628</v>
      </c>
      <c r="I593" t="s" s="120">
        <v>4639</v>
      </c>
      <c r="J593" t="s" s="35">
        <v>4375</v>
      </c>
      <c r="K593" t="s" s="35">
        <v>634</v>
      </c>
      <c r="L593" t="s" s="35">
        <v>1189</v>
      </c>
      <c r="M593" t="str" s="39">
        <v>Biología</v>
      </c>
      <c r="N593" t="str" s="39">
        <v>Ecosistemas</v>
      </c>
      <c r="O593" t="str" s="39" cm="1">
        <f t="array" ref="O593">IF(L593="","",_xlfn.IFERROR(INDEX('Datos - Catálogo TIMSS'!$C$5:$C$107,MATCH(L593,'Datos - Catálogo TIMSS'!$A$5:$A$107,0)),"?"))</f>
        <v>Biología</v>
      </c>
      <c r="P593" t="s" s="35">
        <v>282</v>
      </c>
      <c r="Q593" t="s" s="120">
        <v>4640</v>
      </c>
      <c r="R593" t="s" s="120">
        <v>2805</v>
      </c>
      <c r="S593" s="121" cm="1">
        <f t="array" ref="S593">_xlfn.IFERROR(ISNUMBER(SEARCH("Conocer",$R593))/(ISNUMBER(SEARCH("Conocer",$R593))+ISNUMBER(SEARCH("Aplicar",$R593))+ISNUMBER(SEARCH("Razonar",$R593))),0)</f>
        <v>0</v>
      </c>
      <c r="T593" s="121" cm="1">
        <f t="array" ref="T593">_xlfn.IFERROR(ISNUMBER(SEARCH("Aplicar",$R593))/(ISNUMBER(SEARCH("Conocer",$R593))+ISNUMBER(SEARCH("Aplicar",$R593))+ISNUMBER(SEARCH("Razonar",$R593))),0)</f>
        <v>1</v>
      </c>
      <c r="U593" s="121" cm="1">
        <f t="array" ref="U593">_xlfn.IFERROR(ISNUMBER(SEARCH("Razonar",$R593))/(ISNUMBER(SEARCH("Conocer",$R593))+ISNUMBER(SEARCH("Aplicar",$R593))+ISNUMBER(SEARCH("Razonar",$R593))),0)</f>
        <v>0</v>
      </c>
      <c r="V593" t="s" s="35">
        <v>138</v>
      </c>
      <c r="W593" t="s" s="35">
        <v>138</v>
      </c>
      <c r="X593" s="36" cm="1">
        <f t="array" ref="X593">IF(OR(_xlfn.IFERROR(INDEX('Datos - Catálogo TIMSS'!$I$5:$I$107,MATCH(K593,'Datos - Catálogo TIMSS'!$A$5:$A$107,0)),"No")="Sí",_xlfn.IFERROR(INDEX('Datos - Catálogo TIMSS'!$I$5:$I$107,MATCH(L593,'Datos - Catálogo TIMSS'!$A$5:$A$107,0)),"No")="Sí"),1,0)</f>
        <v>1</v>
      </c>
      <c r="Y593" s="36" cm="1">
        <f t="array" ref="Y593">IF(_xlfn.IFERROR(INDEX('Datos - Catálogo TIMSS'!$J$5:$J$107,MATCH(K593,'Datos - Catálogo TIMSS'!$A$5:$A$107,0)),"No")="Sí",1,0)</f>
        <v>0</v>
      </c>
      <c r="Z593" s="36" cm="1">
        <f t="array" ref="Z593">IF(_xlfn.IFERROR(INDEX('Datos - Catálogo TIMSS'!$J$5:$J$107,MATCH(L593,'Datos - Catálogo TIMSS'!$A$5:$A$107,0)),"No")="Sí",1,0)</f>
        <v>0</v>
      </c>
      <c r="AA593" t="s" s="35">
        <v>3686</v>
      </c>
      <c r="AB593" t="s" s="35">
        <v>3666</v>
      </c>
      <c r="AC593" t="str" s="39">
        <v>Biología</v>
      </c>
      <c r="AD593" t="s" s="35">
        <v>1859</v>
      </c>
      <c r="AE593" t="str" s="39" cm="1">
        <f t="array" ref="AE593">IF(AD593="","",IF(LEFT(AD593,1)="1","C1",IF(LEFT(AD593,1)="2","C2",IF(LEFT(AD593,1)="3","C3",""))))</f>
        <v>C1</v>
      </c>
      <c r="AF593" t="s" s="35">
        <v>1602</v>
      </c>
      <c r="AG593" t="s" s="35">
        <v>1617</v>
      </c>
      <c r="AH593" t="s" s="35">
        <v>1609</v>
      </c>
      <c r="AI593" t="s" s="35">
        <v>1623</v>
      </c>
      <c r="AJ593" t="s" s="35">
        <v>1615</v>
      </c>
      <c r="AK593" t="s" s="35">
        <v>1544</v>
      </c>
      <c r="AL593" s="39"/>
      <c r="AM593" t="str" s="39" cm="1">
        <f t="array" ref="AM593">IF(AK593="FUERA","Fuera del marco",_xlfn.IFERROR(INDEX('Datos - Catálogo PISA'!$C$5:$C$76,MATCH(AK593,'Datos - Catálogo PISA'!$A$5:$A$76,0)),"?"))</f>
        <v>Sistemas vivos</v>
      </c>
      <c r="AN593" t="s" s="35">
        <v>1651</v>
      </c>
      <c r="AO593" s="39"/>
      <c r="AP593" s="39"/>
      <c r="AQ593" t="s" s="35">
        <v>1752</v>
      </c>
      <c r="AR593" t="s" s="35">
        <v>1765</v>
      </c>
      <c r="AS593" t="s" s="35">
        <v>1771</v>
      </c>
      <c r="AT593" t="s" s="35">
        <v>254</v>
      </c>
      <c r="AU593" t="s" s="35">
        <v>4641</v>
      </c>
      <c r="AV593" t="s" s="35">
        <v>139</v>
      </c>
      <c r="AW593" t="str" s="39" cm="1">
        <f t="array" ref="AW593">AF593&amp;"; "&amp;AG593&amp;"; "&amp;AH593&amp;"; "&amp;AI593&amp;"; "&amp;AJ593</f>
        <v>E1; D1; E4; D4; E6</v>
      </c>
    </row>
    <row r="594" ht="13.65" customHeight="1">
      <c r="A594" t="s" s="35">
        <v>4642</v>
      </c>
      <c r="B594" s="36">
        <v>9</v>
      </c>
      <c r="C594" t="s" s="35">
        <v>1823</v>
      </c>
      <c r="D594" t="s" s="35">
        <v>4371</v>
      </c>
      <c r="E594" t="s" s="35">
        <v>4573</v>
      </c>
      <c r="F594" s="36">
        <v>18</v>
      </c>
      <c r="G594" t="s" s="35">
        <v>707</v>
      </c>
      <c r="H594" t="s" s="35">
        <v>4628</v>
      </c>
      <c r="I594" t="s" s="120">
        <v>4643</v>
      </c>
      <c r="J594" t="s" s="35">
        <v>4375</v>
      </c>
      <c r="K594" t="s" s="35">
        <v>1201</v>
      </c>
      <c r="L594" s="39"/>
      <c r="M594" t="str" s="39">
        <v>Biología</v>
      </c>
      <c r="N594" t="str" s="39">
        <v>Ecosistemas</v>
      </c>
      <c r="O594" t="str" s="39" cm="1">
        <f t="array" ref="O594">IF(L594="","",_xlfn.IFERROR(INDEX('Datos - Catálogo TIMSS'!$C$5:$C$107,MATCH(L594,'Datos - Catálogo TIMSS'!$A$5:$A$107,0)),"?"))</f>
      </c>
      <c r="P594" t="s" s="35">
        <v>254</v>
      </c>
      <c r="Q594" t="s" s="120">
        <v>4644</v>
      </c>
      <c r="R594" t="s" s="120">
        <v>3143</v>
      </c>
      <c r="S594" s="121" cm="1">
        <f t="array" ref="S594">_xlfn.IFERROR(ISNUMBER(SEARCH("Conocer",$R594))/(ISNUMBER(SEARCH("Conocer",$R594))+ISNUMBER(SEARCH("Aplicar",$R594))+ISNUMBER(SEARCH("Razonar",$R594))),0)</f>
        <v>0</v>
      </c>
      <c r="T594" s="121" cm="1">
        <f t="array" ref="T594">_xlfn.IFERROR(ISNUMBER(SEARCH("Aplicar",$R594))/(ISNUMBER(SEARCH("Conocer",$R594))+ISNUMBER(SEARCH("Aplicar",$R594))+ISNUMBER(SEARCH("Razonar",$R594))),0)</f>
        <v>0</v>
      </c>
      <c r="U594" s="121" cm="1">
        <f t="array" ref="U594">_xlfn.IFERROR(ISNUMBER(SEARCH("Razonar",$R594))/(ISNUMBER(SEARCH("Conocer",$R594))+ISNUMBER(SEARCH("Aplicar",$R594))+ISNUMBER(SEARCH("Razonar",$R594))),0)</f>
        <v>1</v>
      </c>
      <c r="V594" t="s" s="35">
        <v>138</v>
      </c>
      <c r="W594" t="s" s="35">
        <v>138</v>
      </c>
      <c r="X594" s="36" cm="1">
        <f t="array" ref="X594">IF(OR(_xlfn.IFERROR(INDEX('Datos - Catálogo TIMSS'!$I$5:$I$107,MATCH(K594,'Datos - Catálogo TIMSS'!$A$5:$A$107,0)),"No")="Sí",_xlfn.IFERROR(INDEX('Datos - Catálogo TIMSS'!$I$5:$I$107,MATCH(L594,'Datos - Catálogo TIMSS'!$A$5:$A$107,0)),"No")="Sí"),1,0)</f>
        <v>1</v>
      </c>
      <c r="Y594" s="36" cm="1">
        <f t="array" ref="Y594">IF(_xlfn.IFERROR(INDEX('Datos - Catálogo TIMSS'!$J$5:$J$107,MATCH(K594,'Datos - Catálogo TIMSS'!$A$5:$A$107,0)),"No")="Sí",1,0)</f>
        <v>0</v>
      </c>
      <c r="Z594" s="36" cm="1">
        <f t="array" ref="Z594">IF(_xlfn.IFERROR(INDEX('Datos - Catálogo TIMSS'!$J$5:$J$107,MATCH(L594,'Datos - Catálogo TIMSS'!$A$5:$A$107,0)),"No")="Sí",1,0)</f>
        <v>0</v>
      </c>
      <c r="AA594" t="s" s="35">
        <v>3144</v>
      </c>
      <c r="AB594" s="39"/>
      <c r="AC594" t="str" s="39">
        <v>Biología</v>
      </c>
      <c r="AD594" t="s" s="35">
        <v>1900</v>
      </c>
      <c r="AE594" t="str" s="39" cm="1">
        <f t="array" ref="AE594">IF(AD594="","",IF(LEFT(AD594,1)="1","C1",IF(LEFT(AD594,1)="2","C2",IF(LEFT(AD594,1)="3","C3",""))))</f>
        <v>C3</v>
      </c>
      <c r="AF594" t="s" s="35">
        <v>1615</v>
      </c>
      <c r="AG594" t="s" s="35">
        <v>1617</v>
      </c>
      <c r="AH594" t="s" s="35">
        <v>1602</v>
      </c>
      <c r="AI594" t="s" s="35">
        <v>1629</v>
      </c>
      <c r="AJ594" t="s" s="35">
        <v>1633</v>
      </c>
      <c r="AK594" t="s" s="35">
        <v>1548</v>
      </c>
      <c r="AL594" t="s" s="35">
        <v>1558</v>
      </c>
      <c r="AM594" t="str" s="39" cm="1">
        <f t="array" ref="AM594">IF(AK594="FUERA","Fuera del marco",_xlfn.IFERROR(INDEX('Datos - Catálogo PISA'!$C$5:$C$76,MATCH(AK594,'Datos - Catálogo PISA'!$A$5:$A$76,0)),"?"))</f>
        <v>Sistemas vivos</v>
      </c>
      <c r="AN594" t="s" s="35">
        <v>1651</v>
      </c>
      <c r="AO594" s="39"/>
      <c r="AP594" t="s" s="35">
        <v>4645</v>
      </c>
      <c r="AQ594" t="s" s="35">
        <v>1753</v>
      </c>
      <c r="AR594" t="s" s="35">
        <v>1766</v>
      </c>
      <c r="AS594" t="s" s="35">
        <v>1772</v>
      </c>
      <c r="AT594" t="s" s="35">
        <v>254</v>
      </c>
      <c r="AU594" t="s" s="35">
        <v>4646</v>
      </c>
      <c r="AV594" t="s" s="35">
        <v>139</v>
      </c>
      <c r="AW594" t="str" s="39" cm="1">
        <f t="array" ref="AW594">AF594&amp;"; "&amp;AG594&amp;"; "&amp;AH594&amp;"; "&amp;AI594&amp;"; "&amp;AJ594</f>
        <v>E6; D1; E1; I3; I5</v>
      </c>
    </row>
    <row r="595" ht="13.65" customHeight="1">
      <c r="A595" t="s" s="35">
        <v>4647</v>
      </c>
      <c r="B595" s="36">
        <v>9</v>
      </c>
      <c r="C595" t="s" s="35">
        <v>1823</v>
      </c>
      <c r="D595" t="s" s="35">
        <v>4371</v>
      </c>
      <c r="E595" t="s" s="35">
        <v>4648</v>
      </c>
      <c r="F595" s="36">
        <v>3</v>
      </c>
      <c r="G595" t="s" s="35">
        <v>712</v>
      </c>
      <c r="H595" t="s" s="35">
        <v>4649</v>
      </c>
      <c r="I595" t="s" s="120">
        <v>4650</v>
      </c>
      <c r="J595" t="s" s="35">
        <v>4375</v>
      </c>
      <c r="K595" t="s" s="35">
        <v>524</v>
      </c>
      <c r="L595" s="39"/>
      <c r="M595" t="str" s="39">
        <v>Ciencias de la Tierra</v>
      </c>
      <c r="N595" t="str" s="39">
        <v>Rasgos, procesos e historia de la Tierra</v>
      </c>
      <c r="O595" t="str" s="39" cm="1">
        <f t="array" ref="O595">IF(L595="","",_xlfn.IFERROR(INDEX('Datos - Catálogo TIMSS'!$C$5:$C$107,MATCH(L595,'Datos - Catálogo TIMSS'!$A$5:$A$107,0)),"?"))</f>
      </c>
      <c r="P595" t="s" s="35">
        <v>282</v>
      </c>
      <c r="Q595" t="s" s="120">
        <v>4651</v>
      </c>
      <c r="R595" t="s" s="120">
        <v>1847</v>
      </c>
      <c r="S595" s="121" cm="1">
        <f t="array" ref="S595">_xlfn.IFERROR(ISNUMBER(SEARCH("Conocer",$R595))/(ISNUMBER(SEARCH("Conocer",$R595))+ISNUMBER(SEARCH("Aplicar",$R595))+ISNUMBER(SEARCH("Razonar",$R595))),0)</f>
        <v>0</v>
      </c>
      <c r="T595" s="121" cm="1">
        <f t="array" ref="T595">_xlfn.IFERROR(ISNUMBER(SEARCH("Aplicar",$R595))/(ISNUMBER(SEARCH("Conocer",$R595))+ISNUMBER(SEARCH("Aplicar",$R595))+ISNUMBER(SEARCH("Razonar",$R595))),0)</f>
        <v>1</v>
      </c>
      <c r="U595" s="121" cm="1">
        <f t="array" ref="U595">_xlfn.IFERROR(ISNUMBER(SEARCH("Razonar",$R595))/(ISNUMBER(SEARCH("Conocer",$R595))+ISNUMBER(SEARCH("Aplicar",$R595))+ISNUMBER(SEARCH("Razonar",$R595))),0)</f>
        <v>0</v>
      </c>
      <c r="V595" t="s" s="35">
        <v>138</v>
      </c>
      <c r="W595" t="s" s="35">
        <v>138</v>
      </c>
      <c r="X595" s="36" cm="1">
        <f t="array" ref="X595">IF(OR(_xlfn.IFERROR(INDEX('Datos - Catálogo TIMSS'!$I$5:$I$107,MATCH(K595,'Datos - Catálogo TIMSS'!$A$5:$A$107,0)),"No")="Sí",_xlfn.IFERROR(INDEX('Datos - Catálogo TIMSS'!$I$5:$I$107,MATCH(L595,'Datos - Catálogo TIMSS'!$A$5:$A$107,0)),"No")="Sí"),1,0)</f>
        <v>1</v>
      </c>
      <c r="Y595" s="36" cm="1">
        <f t="array" ref="Y595">IF(_xlfn.IFERROR(INDEX('Datos - Catálogo TIMSS'!$J$5:$J$107,MATCH(K595,'Datos - Catálogo TIMSS'!$A$5:$A$107,0)),"No")="Sí",1,0)</f>
        <v>0</v>
      </c>
      <c r="Z595" s="36" cm="1">
        <f t="array" ref="Z595">IF(_xlfn.IFERROR(INDEX('Datos - Catálogo TIMSS'!$J$5:$J$107,MATCH(L595,'Datos - Catálogo TIMSS'!$A$5:$A$107,0)),"No")="Sí",1,0)</f>
        <v>0</v>
      </c>
      <c r="AA595" t="s" s="35">
        <v>3071</v>
      </c>
      <c r="AB595" s="39"/>
      <c r="AC595" t="str" s="39">
        <v>Ciencias de la Tierra</v>
      </c>
      <c r="AD595" t="s" s="35">
        <v>1859</v>
      </c>
      <c r="AE595" t="str" s="39" cm="1">
        <f t="array" ref="AE595">IF(AD595="","",IF(LEFT(AD595,1)="1","C1",IF(LEFT(AD595,1)="2","C2",IF(LEFT(AD595,1)="3","C3",""))))</f>
        <v>C1</v>
      </c>
      <c r="AF595" t="s" s="35">
        <v>1602</v>
      </c>
      <c r="AG595" t="s" s="35">
        <v>1617</v>
      </c>
      <c r="AH595" t="s" s="35">
        <v>1602</v>
      </c>
      <c r="AI595" t="s" s="35">
        <v>1623</v>
      </c>
      <c r="AJ595" t="s" s="35">
        <v>1602</v>
      </c>
      <c r="AK595" t="s" s="35">
        <v>1550</v>
      </c>
      <c r="AL595" s="39"/>
      <c r="AM595" t="str" s="39" cm="1">
        <f t="array" ref="AM595">IF(AK595="FUERA","Fuera del marco",_xlfn.IFERROR(INDEX('Datos - Catálogo PISA'!$C$5:$C$76,MATCH(AK595,'Datos - Catálogo PISA'!$A$5:$A$76,0)),"?"))</f>
        <v>Sistemas de la Tierra y el espacio</v>
      </c>
      <c r="AN595" t="s" s="35">
        <v>1651</v>
      </c>
      <c r="AO595" s="39"/>
      <c r="AP595" s="39"/>
      <c r="AQ595" t="s" s="35">
        <v>1756</v>
      </c>
      <c r="AR595" s="39"/>
      <c r="AS595" t="s" s="35">
        <v>1770</v>
      </c>
      <c r="AT595" t="s" s="35">
        <v>282</v>
      </c>
      <c r="AU595" t="s" s="35">
        <v>4652</v>
      </c>
      <c r="AV595" t="s" s="35">
        <v>139</v>
      </c>
      <c r="AW595" t="str" s="39" cm="1">
        <f t="array" ref="AW595">AF595&amp;"; "&amp;AG595&amp;"; "&amp;AH595&amp;"; "&amp;AI595&amp;"; "&amp;AJ595</f>
        <v>E1; D1; E1; D4; E1</v>
      </c>
    </row>
    <row r="596" ht="13.65" customHeight="1">
      <c r="A596" t="s" s="35">
        <v>4653</v>
      </c>
      <c r="B596" s="36">
        <v>9</v>
      </c>
      <c r="C596" t="s" s="35">
        <v>1823</v>
      </c>
      <c r="D596" t="s" s="35">
        <v>4371</v>
      </c>
      <c r="E596" t="s" s="35">
        <v>4648</v>
      </c>
      <c r="F596" s="36">
        <v>4</v>
      </c>
      <c r="G596" t="s" s="35">
        <v>712</v>
      </c>
      <c r="H596" t="s" s="35">
        <v>4649</v>
      </c>
      <c r="I596" t="s" s="120">
        <v>4654</v>
      </c>
      <c r="J596" t="s" s="35">
        <v>4375</v>
      </c>
      <c r="K596" t="s" s="35">
        <v>524</v>
      </c>
      <c r="L596" s="39"/>
      <c r="M596" t="str" s="39">
        <v>Ciencias de la Tierra</v>
      </c>
      <c r="N596" t="str" s="39">
        <v>Rasgos, procesos e historia de la Tierra</v>
      </c>
      <c r="O596" t="str" s="39" cm="1">
        <f t="array" ref="O596">IF(L596="","",_xlfn.IFERROR(INDEX('Datos - Catálogo TIMSS'!$C$5:$C$107,MATCH(L596,'Datos - Catálogo TIMSS'!$A$5:$A$107,0)),"?"))</f>
      </c>
      <c r="P596" t="s" s="35">
        <v>282</v>
      </c>
      <c r="Q596" t="s" s="120">
        <v>4655</v>
      </c>
      <c r="R596" t="s" s="120">
        <v>3095</v>
      </c>
      <c r="S596" s="121" cm="1">
        <f t="array" ref="S596">_xlfn.IFERROR(ISNUMBER(SEARCH("Conocer",$R596))/(ISNUMBER(SEARCH("Conocer",$R596))+ISNUMBER(SEARCH("Aplicar",$R596))+ISNUMBER(SEARCH("Razonar",$R596))),0)</f>
        <v>0</v>
      </c>
      <c r="T596" s="121" cm="1">
        <f t="array" ref="T596">_xlfn.IFERROR(ISNUMBER(SEARCH("Aplicar",$R596))/(ISNUMBER(SEARCH("Conocer",$R596))+ISNUMBER(SEARCH("Aplicar",$R596))+ISNUMBER(SEARCH("Razonar",$R596))),0)</f>
        <v>1</v>
      </c>
      <c r="U596" s="121" cm="1">
        <f t="array" ref="U596">_xlfn.IFERROR(ISNUMBER(SEARCH("Razonar",$R596))/(ISNUMBER(SEARCH("Conocer",$R596))+ISNUMBER(SEARCH("Aplicar",$R596))+ISNUMBER(SEARCH("Razonar",$R596))),0)</f>
        <v>0</v>
      </c>
      <c r="V596" t="s" s="35">
        <v>138</v>
      </c>
      <c r="W596" t="s" s="35">
        <v>138</v>
      </c>
      <c r="X596" s="36" cm="1">
        <f t="array" ref="X596">IF(OR(_xlfn.IFERROR(INDEX('Datos - Catálogo TIMSS'!$I$5:$I$107,MATCH(K596,'Datos - Catálogo TIMSS'!$A$5:$A$107,0)),"No")="Sí",_xlfn.IFERROR(INDEX('Datos - Catálogo TIMSS'!$I$5:$I$107,MATCH(L596,'Datos - Catálogo TIMSS'!$A$5:$A$107,0)),"No")="Sí"),1,0)</f>
        <v>1</v>
      </c>
      <c r="Y596" s="36" cm="1">
        <f t="array" ref="Y596">IF(_xlfn.IFERROR(INDEX('Datos - Catálogo TIMSS'!$J$5:$J$107,MATCH(K596,'Datos - Catálogo TIMSS'!$A$5:$A$107,0)),"No")="Sí",1,0)</f>
        <v>0</v>
      </c>
      <c r="Z596" s="36" cm="1">
        <f t="array" ref="Z596">IF(_xlfn.IFERROR(INDEX('Datos - Catálogo TIMSS'!$J$5:$J$107,MATCH(L596,'Datos - Catálogo TIMSS'!$A$5:$A$107,0)),"No")="Sí",1,0)</f>
        <v>0</v>
      </c>
      <c r="AA596" t="s" s="35">
        <v>3071</v>
      </c>
      <c r="AB596" s="39"/>
      <c r="AC596" t="str" s="39">
        <v>Ciencias de la Tierra</v>
      </c>
      <c r="AD596" t="s" s="35">
        <v>1900</v>
      </c>
      <c r="AE596" t="str" s="39" cm="1">
        <f t="array" ref="AE596">IF(AD596="","",IF(LEFT(AD596,1)="1","C1",IF(LEFT(AD596,1)="2","C2",IF(LEFT(AD596,1)="3","C3",""))))</f>
        <v>C3</v>
      </c>
      <c r="AF596" t="s" s="35">
        <v>1615</v>
      </c>
      <c r="AG596" t="s" s="35">
        <v>1617</v>
      </c>
      <c r="AH596" t="s" s="35">
        <v>1605</v>
      </c>
      <c r="AI596" t="s" s="35">
        <v>1625</v>
      </c>
      <c r="AJ596" t="s" s="35">
        <v>1615</v>
      </c>
      <c r="AK596" t="s" s="35">
        <v>1550</v>
      </c>
      <c r="AL596" s="39"/>
      <c r="AM596" t="str" s="39" cm="1">
        <f t="array" ref="AM596">IF(AK596="FUERA","Fuera del marco",_xlfn.IFERROR(INDEX('Datos - Catálogo PISA'!$C$5:$C$76,MATCH(AK596,'Datos - Catálogo PISA'!$A$5:$A$76,0)),"?"))</f>
        <v>Sistemas de la Tierra y el espacio</v>
      </c>
      <c r="AN596" t="s" s="35">
        <v>1651</v>
      </c>
      <c r="AO596" s="39"/>
      <c r="AP596" s="39"/>
      <c r="AQ596" t="s" s="35">
        <v>1752</v>
      </c>
      <c r="AR596" t="s" s="35">
        <v>1765</v>
      </c>
      <c r="AS596" t="s" s="35">
        <v>1770</v>
      </c>
      <c r="AT596" t="s" s="35">
        <v>254</v>
      </c>
      <c r="AU596" t="s" s="35">
        <v>4656</v>
      </c>
      <c r="AV596" t="s" s="35">
        <v>139</v>
      </c>
      <c r="AW596" t="str" s="39" cm="1">
        <f t="array" ref="AW596">AF596&amp;"; "&amp;AG596&amp;"; "&amp;AH596&amp;"; "&amp;AI596&amp;"; "&amp;AJ596</f>
        <v>E6; D1; E2; I1; E6</v>
      </c>
    </row>
    <row r="597" ht="13.65" customHeight="1">
      <c r="A597" t="s" s="35">
        <v>4657</v>
      </c>
      <c r="B597" s="36">
        <v>9</v>
      </c>
      <c r="C597" t="s" s="35">
        <v>1823</v>
      </c>
      <c r="D597" t="s" s="35">
        <v>4371</v>
      </c>
      <c r="E597" t="s" s="35">
        <v>4648</v>
      </c>
      <c r="F597" s="36">
        <v>5</v>
      </c>
      <c r="G597" t="s" s="35">
        <v>712</v>
      </c>
      <c r="H597" t="s" s="35">
        <v>4658</v>
      </c>
      <c r="I597" t="s" s="120">
        <v>4659</v>
      </c>
      <c r="J597" t="s" s="35">
        <v>4375</v>
      </c>
      <c r="K597" t="s" s="35">
        <v>524</v>
      </c>
      <c r="L597" s="39"/>
      <c r="M597" t="str" s="39">
        <v>Ciencias de la Tierra</v>
      </c>
      <c r="N597" t="str" s="39">
        <v>Rasgos, procesos e historia de la Tierra</v>
      </c>
      <c r="O597" t="str" s="39" cm="1">
        <f t="array" ref="O597">IF(L597="","",_xlfn.IFERROR(INDEX('Datos - Catálogo TIMSS'!$C$5:$C$107,MATCH(L597,'Datos - Catálogo TIMSS'!$A$5:$A$107,0)),"?"))</f>
      </c>
      <c r="P597" t="s" s="35">
        <v>282</v>
      </c>
      <c r="Q597" t="s" s="120">
        <v>4660</v>
      </c>
      <c r="R597" t="s" s="120">
        <v>3297</v>
      </c>
      <c r="S597" s="121" cm="1">
        <f t="array" ref="S597">_xlfn.IFERROR(ISNUMBER(SEARCH("Conocer",$R597))/(ISNUMBER(SEARCH("Conocer",$R597))+ISNUMBER(SEARCH("Aplicar",$R597))+ISNUMBER(SEARCH("Razonar",$R597))),0)</f>
        <v>1</v>
      </c>
      <c r="T597" s="121" cm="1">
        <f t="array" ref="T597">_xlfn.IFERROR(ISNUMBER(SEARCH("Aplicar",$R597))/(ISNUMBER(SEARCH("Conocer",$R597))+ISNUMBER(SEARCH("Aplicar",$R597))+ISNUMBER(SEARCH("Razonar",$R597))),0)</f>
        <v>0</v>
      </c>
      <c r="U597" s="121" cm="1">
        <f t="array" ref="U597">_xlfn.IFERROR(ISNUMBER(SEARCH("Razonar",$R597))/(ISNUMBER(SEARCH("Conocer",$R597))+ISNUMBER(SEARCH("Aplicar",$R597))+ISNUMBER(SEARCH("Razonar",$R597))),0)</f>
        <v>0</v>
      </c>
      <c r="V597" t="s" s="35">
        <v>138</v>
      </c>
      <c r="W597" t="s" s="35">
        <v>138</v>
      </c>
      <c r="X597" s="36" cm="1">
        <f t="array" ref="X597">IF(OR(_xlfn.IFERROR(INDEX('Datos - Catálogo TIMSS'!$I$5:$I$107,MATCH(K597,'Datos - Catálogo TIMSS'!$A$5:$A$107,0)),"No")="Sí",_xlfn.IFERROR(INDEX('Datos - Catálogo TIMSS'!$I$5:$I$107,MATCH(L597,'Datos - Catálogo TIMSS'!$A$5:$A$107,0)),"No")="Sí"),1,0)</f>
        <v>1</v>
      </c>
      <c r="Y597" s="36" cm="1">
        <f t="array" ref="Y597">IF(_xlfn.IFERROR(INDEX('Datos - Catálogo TIMSS'!$J$5:$J$107,MATCH(K597,'Datos - Catálogo TIMSS'!$A$5:$A$107,0)),"No")="Sí",1,0)</f>
        <v>0</v>
      </c>
      <c r="Z597" s="36" cm="1">
        <f t="array" ref="Z597">IF(_xlfn.IFERROR(INDEX('Datos - Catálogo TIMSS'!$J$5:$J$107,MATCH(L597,'Datos - Catálogo TIMSS'!$A$5:$A$107,0)),"No")="Sí",1,0)</f>
        <v>0</v>
      </c>
      <c r="AA597" t="s" s="35">
        <v>3071</v>
      </c>
      <c r="AB597" t="s" s="35">
        <v>3059</v>
      </c>
      <c r="AC597" t="str" s="39">
        <v>Ciencias de la Tierra</v>
      </c>
      <c r="AD597" t="s" s="35">
        <v>1859</v>
      </c>
      <c r="AE597" t="str" s="39" cm="1">
        <f t="array" ref="AE597">IF(AD597="","",IF(LEFT(AD597,1)="1","C1",IF(LEFT(AD597,1)="2","C2",IF(LEFT(AD597,1)="3","C3",""))))</f>
        <v>C1</v>
      </c>
      <c r="AF597" t="s" s="35">
        <v>1615</v>
      </c>
      <c r="AG597" t="s" s="35">
        <v>1617</v>
      </c>
      <c r="AH597" t="s" s="35">
        <v>1602</v>
      </c>
      <c r="AI597" t="s" s="35">
        <v>1623</v>
      </c>
      <c r="AJ597" t="s" s="35">
        <v>1615</v>
      </c>
      <c r="AK597" t="s" s="35">
        <v>1550</v>
      </c>
      <c r="AL597" t="s" s="35">
        <v>1560</v>
      </c>
      <c r="AM597" t="str" s="39" cm="1">
        <f t="array" ref="AM597">IF(AK597="FUERA","Fuera del marco",_xlfn.IFERROR(INDEX('Datos - Catálogo PISA'!$C$5:$C$76,MATCH(AK597,'Datos - Catálogo PISA'!$A$5:$A$76,0)),"?"))</f>
        <v>Sistemas de la Tierra y el espacio</v>
      </c>
      <c r="AN597" t="s" s="35">
        <v>1651</v>
      </c>
      <c r="AO597" s="39"/>
      <c r="AP597" s="39"/>
      <c r="AQ597" t="s" s="35">
        <v>1752</v>
      </c>
      <c r="AR597" s="39"/>
      <c r="AS597" t="s" s="35">
        <v>1771</v>
      </c>
      <c r="AT597" t="s" s="35">
        <v>282</v>
      </c>
      <c r="AU597" t="s" s="35">
        <v>4661</v>
      </c>
      <c r="AV597" t="s" s="35">
        <v>139</v>
      </c>
      <c r="AW597" t="str" s="39" cm="1">
        <f t="array" ref="AW597">AF597&amp;"; "&amp;AG597&amp;"; "&amp;AH597&amp;"; "&amp;AI597&amp;"; "&amp;AJ597</f>
        <v>E6; D1; E1; D4; E6</v>
      </c>
    </row>
    <row r="598" ht="13.65" customHeight="1">
      <c r="A598" t="s" s="35">
        <v>4662</v>
      </c>
      <c r="B598" s="36">
        <v>9</v>
      </c>
      <c r="C598" t="s" s="35">
        <v>1823</v>
      </c>
      <c r="D598" t="s" s="35">
        <v>4371</v>
      </c>
      <c r="E598" t="s" s="35">
        <v>4648</v>
      </c>
      <c r="F598" s="36">
        <v>6</v>
      </c>
      <c r="G598" t="s" s="35">
        <v>712</v>
      </c>
      <c r="H598" t="s" s="35">
        <v>4663</v>
      </c>
      <c r="I598" t="s" s="120">
        <v>4664</v>
      </c>
      <c r="J598" t="s" s="35">
        <v>4375</v>
      </c>
      <c r="K598" t="s" s="35">
        <v>524</v>
      </c>
      <c r="L598" s="39"/>
      <c r="M598" t="str" s="39">
        <v>Ciencias de la Tierra</v>
      </c>
      <c r="N598" t="str" s="39">
        <v>Rasgos, procesos e historia de la Tierra</v>
      </c>
      <c r="O598" t="str" s="39" cm="1">
        <f t="array" ref="O598">IF(L598="","",_xlfn.IFERROR(INDEX('Datos - Catálogo TIMSS'!$C$5:$C$107,MATCH(L598,'Datos - Catálogo TIMSS'!$A$5:$A$107,0)),"?"))</f>
      </c>
      <c r="P598" t="s" s="35">
        <v>254</v>
      </c>
      <c r="Q598" t="s" s="120">
        <v>4665</v>
      </c>
      <c r="R598" t="s" s="120">
        <v>3023</v>
      </c>
      <c r="S598" s="121" cm="1">
        <f t="array" ref="S598">_xlfn.IFERROR(ISNUMBER(SEARCH("Conocer",$R598))/(ISNUMBER(SEARCH("Conocer",$R598))+ISNUMBER(SEARCH("Aplicar",$R598))+ISNUMBER(SEARCH("Razonar",$R598))),0)</f>
        <v>0</v>
      </c>
      <c r="T598" s="121" cm="1">
        <f t="array" ref="T598">_xlfn.IFERROR(ISNUMBER(SEARCH("Aplicar",$R598))/(ISNUMBER(SEARCH("Conocer",$R598))+ISNUMBER(SEARCH("Aplicar",$R598))+ISNUMBER(SEARCH("Razonar",$R598))),0)</f>
        <v>1</v>
      </c>
      <c r="U598" s="121" cm="1">
        <f t="array" ref="U598">_xlfn.IFERROR(ISNUMBER(SEARCH("Razonar",$R598))/(ISNUMBER(SEARCH("Conocer",$R598))+ISNUMBER(SEARCH("Aplicar",$R598))+ISNUMBER(SEARCH("Razonar",$R598))),0)</f>
        <v>0</v>
      </c>
      <c r="V598" t="s" s="35">
        <v>138</v>
      </c>
      <c r="W598" t="s" s="35">
        <v>138</v>
      </c>
      <c r="X598" s="36" cm="1">
        <f t="array" ref="X598">IF(OR(_xlfn.IFERROR(INDEX('Datos - Catálogo TIMSS'!$I$5:$I$107,MATCH(K598,'Datos - Catálogo TIMSS'!$A$5:$A$107,0)),"No")="Sí",_xlfn.IFERROR(INDEX('Datos - Catálogo TIMSS'!$I$5:$I$107,MATCH(L598,'Datos - Catálogo TIMSS'!$A$5:$A$107,0)),"No")="Sí"),1,0)</f>
        <v>1</v>
      </c>
      <c r="Y598" s="36" cm="1">
        <f t="array" ref="Y598">IF(_xlfn.IFERROR(INDEX('Datos - Catálogo TIMSS'!$J$5:$J$107,MATCH(K598,'Datos - Catálogo TIMSS'!$A$5:$A$107,0)),"No")="Sí",1,0)</f>
        <v>0</v>
      </c>
      <c r="Z598" s="36" cm="1">
        <f t="array" ref="Z598">IF(_xlfn.IFERROR(INDEX('Datos - Catálogo TIMSS'!$J$5:$J$107,MATCH(L598,'Datos - Catálogo TIMSS'!$A$5:$A$107,0)),"No")="Sí",1,0)</f>
        <v>0</v>
      </c>
      <c r="AA598" t="s" s="35">
        <v>3071</v>
      </c>
      <c r="AB598" s="39"/>
      <c r="AC598" t="str" s="39">
        <v>Ciencias de la Tierra</v>
      </c>
      <c r="AD598" t="s" s="35">
        <v>1859</v>
      </c>
      <c r="AE598" t="str" s="39" cm="1">
        <f t="array" ref="AE598">IF(AD598="","",IF(LEFT(AD598,1)="1","C1",IF(LEFT(AD598,1)="2","C2",IF(LEFT(AD598,1)="3","C3",""))))</f>
        <v>C1</v>
      </c>
      <c r="AF598" t="s" s="35">
        <v>1615</v>
      </c>
      <c r="AG598" t="s" s="35">
        <v>1617</v>
      </c>
      <c r="AH598" t="s" s="35">
        <v>1602</v>
      </c>
      <c r="AI598" t="s" s="35">
        <v>1623</v>
      </c>
      <c r="AJ598" t="s" s="35">
        <v>1602</v>
      </c>
      <c r="AK598" t="s" s="35">
        <v>1550</v>
      </c>
      <c r="AL598" s="39"/>
      <c r="AM598" t="str" s="39" cm="1">
        <f t="array" ref="AM598">IF(AK598="FUERA","Fuera del marco",_xlfn.IFERROR(INDEX('Datos - Catálogo PISA'!$C$5:$C$76,MATCH(AK598,'Datos - Catálogo PISA'!$A$5:$A$76,0)),"?"))</f>
        <v>Sistemas de la Tierra y el espacio</v>
      </c>
      <c r="AN598" t="s" s="35">
        <v>1651</v>
      </c>
      <c r="AO598" s="39"/>
      <c r="AP598" s="39"/>
      <c r="AQ598" t="s" s="35">
        <v>1752</v>
      </c>
      <c r="AR598" t="s" s="35">
        <v>1767</v>
      </c>
      <c r="AS598" t="s" s="35">
        <v>1770</v>
      </c>
      <c r="AT598" t="s" s="35">
        <v>254</v>
      </c>
      <c r="AU598" t="s" s="35">
        <v>4666</v>
      </c>
      <c r="AV598" t="s" s="35">
        <v>139</v>
      </c>
      <c r="AW598" t="str" s="39" cm="1">
        <f t="array" ref="AW598">AF598&amp;"; "&amp;AG598&amp;"; "&amp;AH598&amp;"; "&amp;AI598&amp;"; "&amp;AJ598</f>
        <v>E6; D1; E1; D4; E1</v>
      </c>
    </row>
    <row r="599" ht="13.65" customHeight="1">
      <c r="A599" t="s" s="35">
        <v>4667</v>
      </c>
      <c r="B599" s="36">
        <v>9</v>
      </c>
      <c r="C599" t="s" s="35">
        <v>1823</v>
      </c>
      <c r="D599" t="s" s="35">
        <v>4371</v>
      </c>
      <c r="E599" t="s" s="35">
        <v>4648</v>
      </c>
      <c r="F599" s="36">
        <v>7</v>
      </c>
      <c r="G599" t="s" s="35">
        <v>712</v>
      </c>
      <c r="H599" t="s" s="35">
        <v>4663</v>
      </c>
      <c r="I599" t="s" s="120">
        <v>4668</v>
      </c>
      <c r="J599" t="s" s="35">
        <v>4375</v>
      </c>
      <c r="K599" t="s" s="35">
        <v>524</v>
      </c>
      <c r="L599" s="39"/>
      <c r="M599" t="str" s="39">
        <v>Ciencias de la Tierra</v>
      </c>
      <c r="N599" t="str" s="39">
        <v>Rasgos, procesos e historia de la Tierra</v>
      </c>
      <c r="O599" t="str" s="39" cm="1">
        <f t="array" ref="O599">IF(L599="","",_xlfn.IFERROR(INDEX('Datos - Catálogo TIMSS'!$C$5:$C$107,MATCH(L599,'Datos - Catálogo TIMSS'!$A$5:$A$107,0)),"?"))</f>
      </c>
      <c r="P599" t="s" s="35">
        <v>254</v>
      </c>
      <c r="Q599" t="s" s="120">
        <v>4669</v>
      </c>
      <c r="R599" t="s" s="120">
        <v>2131</v>
      </c>
      <c r="S599" s="121" cm="1">
        <f t="array" ref="S599">_xlfn.IFERROR(ISNUMBER(SEARCH("Conocer",$R599))/(ISNUMBER(SEARCH("Conocer",$R599))+ISNUMBER(SEARCH("Aplicar",$R599))+ISNUMBER(SEARCH("Razonar",$R599))),0)</f>
        <v>0</v>
      </c>
      <c r="T599" s="121" cm="1">
        <f t="array" ref="T599">_xlfn.IFERROR(ISNUMBER(SEARCH("Aplicar",$R599))/(ISNUMBER(SEARCH("Conocer",$R599))+ISNUMBER(SEARCH("Aplicar",$R599))+ISNUMBER(SEARCH("Razonar",$R599))),0)</f>
        <v>1</v>
      </c>
      <c r="U599" s="121" cm="1">
        <f t="array" ref="U599">_xlfn.IFERROR(ISNUMBER(SEARCH("Razonar",$R599))/(ISNUMBER(SEARCH("Conocer",$R599))+ISNUMBER(SEARCH("Aplicar",$R599))+ISNUMBER(SEARCH("Razonar",$R599))),0)</f>
        <v>0</v>
      </c>
      <c r="V599" t="s" s="35">
        <v>138</v>
      </c>
      <c r="W599" t="s" s="35">
        <v>138</v>
      </c>
      <c r="X599" s="36" cm="1">
        <f t="array" ref="X599">IF(OR(_xlfn.IFERROR(INDEX('Datos - Catálogo TIMSS'!$I$5:$I$107,MATCH(K599,'Datos - Catálogo TIMSS'!$A$5:$A$107,0)),"No")="Sí",_xlfn.IFERROR(INDEX('Datos - Catálogo TIMSS'!$I$5:$I$107,MATCH(L599,'Datos - Catálogo TIMSS'!$A$5:$A$107,0)),"No")="Sí"),1,0)</f>
        <v>1</v>
      </c>
      <c r="Y599" s="36" cm="1">
        <f t="array" ref="Y599">IF(_xlfn.IFERROR(INDEX('Datos - Catálogo TIMSS'!$J$5:$J$107,MATCH(K599,'Datos - Catálogo TIMSS'!$A$5:$A$107,0)),"No")="Sí",1,0)</f>
        <v>0</v>
      </c>
      <c r="Z599" s="36" cm="1">
        <f t="array" ref="Z599">IF(_xlfn.IFERROR(INDEX('Datos - Catálogo TIMSS'!$J$5:$J$107,MATCH(L599,'Datos - Catálogo TIMSS'!$A$5:$A$107,0)),"No")="Sí",1,0)</f>
        <v>0</v>
      </c>
      <c r="AA599" t="s" s="35">
        <v>3071</v>
      </c>
      <c r="AB599" t="s" s="35">
        <v>3059</v>
      </c>
      <c r="AC599" t="str" s="39">
        <v>Ciencias de la Tierra</v>
      </c>
      <c r="AD599" t="s" s="35">
        <v>1859</v>
      </c>
      <c r="AE599" t="str" s="39" cm="1">
        <f t="array" ref="AE599">IF(AD599="","",IF(LEFT(AD599,1)="1","C1",IF(LEFT(AD599,1)="2","C2",IF(LEFT(AD599,1)="3","C3",""))))</f>
        <v>C1</v>
      </c>
      <c r="AF599" t="s" s="35">
        <v>1602</v>
      </c>
      <c r="AG599" t="s" s="35">
        <v>1617</v>
      </c>
      <c r="AH599" t="s" s="35">
        <v>1609</v>
      </c>
      <c r="AI599" t="s" s="35">
        <v>1623</v>
      </c>
      <c r="AJ599" t="s" s="35">
        <v>1602</v>
      </c>
      <c r="AK599" t="s" s="35">
        <v>1550</v>
      </c>
      <c r="AL599" t="s" s="35">
        <v>1558</v>
      </c>
      <c r="AM599" t="str" s="39" cm="1">
        <f t="array" ref="AM599">IF(AK599="FUERA","Fuera del marco",_xlfn.IFERROR(INDEX('Datos - Catálogo PISA'!$C$5:$C$76,MATCH(AK599,'Datos - Catálogo PISA'!$A$5:$A$76,0)),"?"))</f>
        <v>Sistemas de la Tierra y el espacio</v>
      </c>
      <c r="AN599" t="s" s="35">
        <v>1651</v>
      </c>
      <c r="AO599" s="39"/>
      <c r="AP599" t="s" s="35">
        <v>3534</v>
      </c>
      <c r="AQ599" t="s" s="35">
        <v>1752</v>
      </c>
      <c r="AR599" t="s" s="35">
        <v>1767</v>
      </c>
      <c r="AS599" t="s" s="35">
        <v>1771</v>
      </c>
      <c r="AT599" t="s" s="35">
        <v>254</v>
      </c>
      <c r="AU599" t="s" s="35">
        <v>4670</v>
      </c>
      <c r="AV599" t="s" s="35">
        <v>139</v>
      </c>
      <c r="AW599" t="str" s="39" cm="1">
        <f t="array" ref="AW599">AF599&amp;"; "&amp;AG599&amp;"; "&amp;AH599&amp;"; "&amp;AI599&amp;"; "&amp;AJ599</f>
        <v>E1; D1; E4; D4; E1</v>
      </c>
    </row>
    <row r="600" ht="13.65" customHeight="1">
      <c r="A600" t="s" s="35">
        <v>4671</v>
      </c>
      <c r="B600" s="36">
        <v>9</v>
      </c>
      <c r="C600" t="s" s="35">
        <v>1823</v>
      </c>
      <c r="D600" t="s" s="35">
        <v>4371</v>
      </c>
      <c r="E600" t="s" s="35">
        <v>4648</v>
      </c>
      <c r="F600" s="36">
        <v>8</v>
      </c>
      <c r="G600" t="s" s="35">
        <v>712</v>
      </c>
      <c r="H600" t="s" s="35">
        <v>4663</v>
      </c>
      <c r="I600" t="s" s="120">
        <v>4672</v>
      </c>
      <c r="J600" t="s" s="35">
        <v>4375</v>
      </c>
      <c r="K600" t="s" s="35">
        <v>524</v>
      </c>
      <c r="L600" t="s" s="35">
        <v>507</v>
      </c>
      <c r="M600" t="str" s="39">
        <v>Ciencias de la Tierra</v>
      </c>
      <c r="N600" t="str" s="39">
        <v>Rasgos, procesos e historia de la Tierra</v>
      </c>
      <c r="O600" t="str" s="39" cm="1">
        <f t="array" ref="O600">IF(L600="","",_xlfn.IFERROR(INDEX('Datos - Catálogo TIMSS'!$C$5:$C$107,MATCH(L600,'Datos - Catálogo TIMSS'!$A$5:$A$107,0)),"?"))</f>
        <v>Ciencias de la Tierra</v>
      </c>
      <c r="P600" t="s" s="35">
        <v>282</v>
      </c>
      <c r="Q600" t="s" s="120">
        <v>4673</v>
      </c>
      <c r="R600" t="s" s="120">
        <v>4674</v>
      </c>
      <c r="S600" s="121" cm="1">
        <f t="array" ref="S600">_xlfn.IFERROR(ISNUMBER(SEARCH("Conocer",$R600))/(ISNUMBER(SEARCH("Conocer",$R600))+ISNUMBER(SEARCH("Aplicar",$R600))+ISNUMBER(SEARCH("Razonar",$R600))),0)</f>
        <v>0</v>
      </c>
      <c r="T600" s="121" cm="1">
        <f t="array" ref="T600">_xlfn.IFERROR(ISNUMBER(SEARCH("Aplicar",$R600))/(ISNUMBER(SEARCH("Conocer",$R600))+ISNUMBER(SEARCH("Aplicar",$R600))+ISNUMBER(SEARCH("Razonar",$R600))),0)</f>
        <v>1</v>
      </c>
      <c r="U600" s="121" cm="1">
        <f t="array" ref="U600">_xlfn.IFERROR(ISNUMBER(SEARCH("Razonar",$R600))/(ISNUMBER(SEARCH("Conocer",$R600))+ISNUMBER(SEARCH("Aplicar",$R600))+ISNUMBER(SEARCH("Razonar",$R600))),0)</f>
        <v>0</v>
      </c>
      <c r="V600" t="s" s="35">
        <v>138</v>
      </c>
      <c r="W600" t="s" s="35">
        <v>138</v>
      </c>
      <c r="X600" s="36" cm="1">
        <f t="array" ref="X600">IF(OR(_xlfn.IFERROR(INDEX('Datos - Catálogo TIMSS'!$I$5:$I$107,MATCH(K600,'Datos - Catálogo TIMSS'!$A$5:$A$107,0)),"No")="Sí",_xlfn.IFERROR(INDEX('Datos - Catálogo TIMSS'!$I$5:$I$107,MATCH(L600,'Datos - Catálogo TIMSS'!$A$5:$A$107,0)),"No")="Sí"),1,0)</f>
        <v>1</v>
      </c>
      <c r="Y600" s="36" cm="1">
        <f t="array" ref="Y600">IF(_xlfn.IFERROR(INDEX('Datos - Catálogo TIMSS'!$J$5:$J$107,MATCH(K600,'Datos - Catálogo TIMSS'!$A$5:$A$107,0)),"No")="Sí",1,0)</f>
        <v>0</v>
      </c>
      <c r="Z600" s="36" cm="1">
        <f t="array" ref="Z600">IF(_xlfn.IFERROR(INDEX('Datos - Catálogo TIMSS'!$J$5:$J$107,MATCH(L600,'Datos - Catálogo TIMSS'!$A$5:$A$107,0)),"No")="Sí",1,0)</f>
        <v>0</v>
      </c>
      <c r="AA600" t="s" s="35">
        <v>3038</v>
      </c>
      <c r="AB600" t="s" s="35">
        <v>3071</v>
      </c>
      <c r="AC600" t="str" s="39">
        <v>Ciencias de la Tierra</v>
      </c>
      <c r="AD600" t="s" s="35">
        <v>1834</v>
      </c>
      <c r="AE600" t="str" s="39" cm="1">
        <f t="array" ref="AE600">IF(AD600="","",IF(LEFT(AD600,1)="1","C1",IF(LEFT(AD600,1)="2","C2",IF(LEFT(AD600,1)="3","C3",""))))</f>
        <v>C2</v>
      </c>
      <c r="AF600" t="s" s="35">
        <v>1602</v>
      </c>
      <c r="AG600" t="s" s="35">
        <v>1617</v>
      </c>
      <c r="AH600" t="s" s="35">
        <v>1605</v>
      </c>
      <c r="AI600" t="s" s="35">
        <v>1623</v>
      </c>
      <c r="AJ600" t="s" s="35">
        <v>1615</v>
      </c>
      <c r="AK600" t="s" s="35">
        <v>667</v>
      </c>
      <c r="AL600" t="s" s="35">
        <v>1550</v>
      </c>
      <c r="AM600" t="str" s="39" cm="1">
        <f t="array" ref="AM600">IF(AK600="FUERA","Fuera del marco",_xlfn.IFERROR(INDEX('Datos - Catálogo PISA'!$C$5:$C$76,MATCH(AK600,'Datos - Catálogo PISA'!$A$5:$A$76,0)),"?"))</f>
        <v>Sistemas de la Tierra y el espacio</v>
      </c>
      <c r="AN600" t="s" s="35">
        <v>1651</v>
      </c>
      <c r="AO600" s="39"/>
      <c r="AP600" s="39"/>
      <c r="AQ600" t="s" s="35">
        <v>1753</v>
      </c>
      <c r="AR600" s="39"/>
      <c r="AS600" t="s" s="35">
        <v>1770</v>
      </c>
      <c r="AT600" t="s" s="35">
        <v>254</v>
      </c>
      <c r="AU600" t="s" s="35">
        <v>4675</v>
      </c>
      <c r="AV600" t="s" s="35">
        <v>139</v>
      </c>
      <c r="AW600" t="str" s="39" cm="1">
        <f t="array" ref="AW600">AF600&amp;"; "&amp;AG600&amp;"; "&amp;AH600&amp;"; "&amp;AI600&amp;"; "&amp;AJ600</f>
        <v>E1; D1; E2; D4; E6</v>
      </c>
    </row>
    <row r="601" ht="13.65" customHeight="1">
      <c r="A601" t="s" s="35">
        <v>4676</v>
      </c>
      <c r="B601" s="36">
        <v>9</v>
      </c>
      <c r="C601" t="s" s="35">
        <v>1823</v>
      </c>
      <c r="D601" t="s" s="35">
        <v>4371</v>
      </c>
      <c r="E601" t="s" s="35">
        <v>4648</v>
      </c>
      <c r="F601" s="36">
        <v>9</v>
      </c>
      <c r="G601" t="s" s="35">
        <v>712</v>
      </c>
      <c r="H601" t="s" s="35">
        <v>4663</v>
      </c>
      <c r="I601" t="s" s="120">
        <v>4677</v>
      </c>
      <c r="J601" t="s" s="35">
        <v>4375</v>
      </c>
      <c r="K601" t="s" s="35">
        <v>524</v>
      </c>
      <c r="L601" s="39"/>
      <c r="M601" t="str" s="39">
        <v>Ciencias de la Tierra</v>
      </c>
      <c r="N601" t="str" s="39">
        <v>Rasgos, procesos e historia de la Tierra</v>
      </c>
      <c r="O601" t="str" s="39" cm="1">
        <f t="array" ref="O601">IF(L601="","",_xlfn.IFERROR(INDEX('Datos - Catálogo TIMSS'!$C$5:$C$107,MATCH(L601,'Datos - Catálogo TIMSS'!$A$5:$A$107,0)),"?"))</f>
      </c>
      <c r="P601" t="s" s="35">
        <v>254</v>
      </c>
      <c r="Q601" t="s" s="120">
        <v>4678</v>
      </c>
      <c r="R601" t="s" s="120">
        <v>2401</v>
      </c>
      <c r="S601" s="121" cm="1">
        <f t="array" ref="S601">_xlfn.IFERROR(ISNUMBER(SEARCH("Conocer",$R601))/(ISNUMBER(SEARCH("Conocer",$R601))+ISNUMBER(SEARCH("Aplicar",$R601))+ISNUMBER(SEARCH("Razonar",$R601))),0)</f>
        <v>0</v>
      </c>
      <c r="T601" s="121" cm="1">
        <f t="array" ref="T601">_xlfn.IFERROR(ISNUMBER(SEARCH("Aplicar",$R601))/(ISNUMBER(SEARCH("Conocer",$R601))+ISNUMBER(SEARCH("Aplicar",$R601))+ISNUMBER(SEARCH("Razonar",$R601))),0)</f>
        <v>1</v>
      </c>
      <c r="U601" s="121" cm="1">
        <f t="array" ref="U601">_xlfn.IFERROR(ISNUMBER(SEARCH("Razonar",$R601))/(ISNUMBER(SEARCH("Conocer",$R601))+ISNUMBER(SEARCH("Aplicar",$R601))+ISNUMBER(SEARCH("Razonar",$R601))),0)</f>
        <v>0</v>
      </c>
      <c r="V601" t="s" s="35">
        <v>138</v>
      </c>
      <c r="W601" t="s" s="35">
        <v>138</v>
      </c>
      <c r="X601" s="36" cm="1">
        <f t="array" ref="X601">IF(OR(_xlfn.IFERROR(INDEX('Datos - Catálogo TIMSS'!$I$5:$I$107,MATCH(K601,'Datos - Catálogo TIMSS'!$A$5:$A$107,0)),"No")="Sí",_xlfn.IFERROR(INDEX('Datos - Catálogo TIMSS'!$I$5:$I$107,MATCH(L601,'Datos - Catálogo TIMSS'!$A$5:$A$107,0)),"No")="Sí"),1,0)</f>
        <v>1</v>
      </c>
      <c r="Y601" s="36" cm="1">
        <f t="array" ref="Y601">IF(_xlfn.IFERROR(INDEX('Datos - Catálogo TIMSS'!$J$5:$J$107,MATCH(K601,'Datos - Catálogo TIMSS'!$A$5:$A$107,0)),"No")="Sí",1,0)</f>
        <v>0</v>
      </c>
      <c r="Z601" s="36" cm="1">
        <f t="array" ref="Z601">IF(_xlfn.IFERROR(INDEX('Datos - Catálogo TIMSS'!$J$5:$J$107,MATCH(L601,'Datos - Catálogo TIMSS'!$A$5:$A$107,0)),"No")="Sí",1,0)</f>
        <v>0</v>
      </c>
      <c r="AA601" t="s" s="35">
        <v>3071</v>
      </c>
      <c r="AB601" s="39"/>
      <c r="AC601" t="str" s="39">
        <v>Ciencias de la Tierra</v>
      </c>
      <c r="AD601" t="s" s="35">
        <v>1900</v>
      </c>
      <c r="AE601" t="str" s="39" cm="1">
        <f t="array" ref="AE601">IF(AD601="","",IF(LEFT(AD601,1)="1","C1",IF(LEFT(AD601,1)="2","C2",IF(LEFT(AD601,1)="3","C3",""))))</f>
        <v>C3</v>
      </c>
      <c r="AF601" t="s" s="35">
        <v>1615</v>
      </c>
      <c r="AG601" t="s" s="35">
        <v>1617</v>
      </c>
      <c r="AH601" t="s" s="35">
        <v>1605</v>
      </c>
      <c r="AI601" t="s" s="35">
        <v>1625</v>
      </c>
      <c r="AJ601" t="s" s="35">
        <v>1633</v>
      </c>
      <c r="AK601" t="s" s="35">
        <v>1550</v>
      </c>
      <c r="AL601" t="s" s="35">
        <v>1560</v>
      </c>
      <c r="AM601" t="str" s="39" cm="1">
        <f t="array" ref="AM601">IF(AK601="FUERA","Fuera del marco",_xlfn.IFERROR(INDEX('Datos - Catálogo PISA'!$C$5:$C$76,MATCH(AK601,'Datos - Catálogo PISA'!$A$5:$A$76,0)),"?"))</f>
        <v>Sistemas de la Tierra y el espacio</v>
      </c>
      <c r="AN601" t="s" s="35">
        <v>1651</v>
      </c>
      <c r="AO601" s="39"/>
      <c r="AP601" s="39"/>
      <c r="AQ601" t="s" s="35">
        <v>1752</v>
      </c>
      <c r="AR601" t="s" s="35">
        <v>1767</v>
      </c>
      <c r="AS601" t="s" s="35">
        <v>1771</v>
      </c>
      <c r="AT601" t="s" s="35">
        <v>254</v>
      </c>
      <c r="AU601" t="s" s="35">
        <v>4679</v>
      </c>
      <c r="AV601" t="s" s="35">
        <v>139</v>
      </c>
      <c r="AW601" t="str" s="39" cm="1">
        <f t="array" ref="AW601">AF601&amp;"; "&amp;AG601&amp;"; "&amp;AH601&amp;"; "&amp;AI601&amp;"; "&amp;AJ601</f>
        <v>E6; D1; E2; I1; I5</v>
      </c>
    </row>
    <row r="602" ht="13.65" customHeight="1">
      <c r="A602" t="s" s="35">
        <v>4680</v>
      </c>
      <c r="B602" s="36">
        <v>9</v>
      </c>
      <c r="C602" t="s" s="35">
        <v>1823</v>
      </c>
      <c r="D602" t="s" s="35">
        <v>4371</v>
      </c>
      <c r="E602" t="s" s="35">
        <v>4648</v>
      </c>
      <c r="F602" s="36">
        <v>10</v>
      </c>
      <c r="G602" t="s" s="35">
        <v>712</v>
      </c>
      <c r="H602" t="s" s="35">
        <v>4681</v>
      </c>
      <c r="I602" t="s" s="120">
        <v>4682</v>
      </c>
      <c r="J602" t="s" s="35">
        <v>4375</v>
      </c>
      <c r="K602" t="s" s="35">
        <v>524</v>
      </c>
      <c r="L602" s="39"/>
      <c r="M602" t="str" s="39">
        <v>Ciencias de la Tierra</v>
      </c>
      <c r="N602" t="str" s="39">
        <v>Rasgos, procesos e historia de la Tierra</v>
      </c>
      <c r="O602" t="str" s="39" cm="1">
        <f t="array" ref="O602">IF(L602="","",_xlfn.IFERROR(INDEX('Datos - Catálogo TIMSS'!$C$5:$C$107,MATCH(L602,'Datos - Catálogo TIMSS'!$A$5:$A$107,0)),"?"))</f>
      </c>
      <c r="P602" t="s" s="35">
        <v>254</v>
      </c>
      <c r="Q602" t="s" s="120">
        <v>4683</v>
      </c>
      <c r="R602" t="s" s="120">
        <v>4684</v>
      </c>
      <c r="S602" s="121" cm="1">
        <f t="array" ref="S602">_xlfn.IFERROR(ISNUMBER(SEARCH("Conocer",$R602))/(ISNUMBER(SEARCH("Conocer",$R602))+ISNUMBER(SEARCH("Aplicar",$R602))+ISNUMBER(SEARCH("Razonar",$R602))),0)</f>
        <v>0</v>
      </c>
      <c r="T602" s="121" cm="1">
        <f t="array" ref="T602">_xlfn.IFERROR(ISNUMBER(SEARCH("Aplicar",$R602))/(ISNUMBER(SEARCH("Conocer",$R602))+ISNUMBER(SEARCH("Aplicar",$R602))+ISNUMBER(SEARCH("Razonar",$R602))),0)</f>
        <v>1</v>
      </c>
      <c r="U602" s="121" cm="1">
        <f t="array" ref="U602">_xlfn.IFERROR(ISNUMBER(SEARCH("Razonar",$R602))/(ISNUMBER(SEARCH("Conocer",$R602))+ISNUMBER(SEARCH("Aplicar",$R602))+ISNUMBER(SEARCH("Razonar",$R602))),0)</f>
        <v>0</v>
      </c>
      <c r="V602" t="s" s="35">
        <v>138</v>
      </c>
      <c r="W602" t="s" s="35">
        <v>138</v>
      </c>
      <c r="X602" s="36" cm="1">
        <f t="array" ref="X602">IF(OR(_xlfn.IFERROR(INDEX('Datos - Catálogo TIMSS'!$I$5:$I$107,MATCH(K602,'Datos - Catálogo TIMSS'!$A$5:$A$107,0)),"No")="Sí",_xlfn.IFERROR(INDEX('Datos - Catálogo TIMSS'!$I$5:$I$107,MATCH(L602,'Datos - Catálogo TIMSS'!$A$5:$A$107,0)),"No")="Sí"),1,0)</f>
        <v>1</v>
      </c>
      <c r="Y602" s="36" cm="1">
        <f t="array" ref="Y602">IF(_xlfn.IFERROR(INDEX('Datos - Catálogo TIMSS'!$J$5:$J$107,MATCH(K602,'Datos - Catálogo TIMSS'!$A$5:$A$107,0)),"No")="Sí",1,0)</f>
        <v>0</v>
      </c>
      <c r="Z602" s="36" cm="1">
        <f t="array" ref="Z602">IF(_xlfn.IFERROR(INDEX('Datos - Catálogo TIMSS'!$J$5:$J$107,MATCH(L602,'Datos - Catálogo TIMSS'!$A$5:$A$107,0)),"No")="Sí",1,0)</f>
        <v>0</v>
      </c>
      <c r="AA602" t="s" s="35">
        <v>3071</v>
      </c>
      <c r="AB602" s="39"/>
      <c r="AC602" t="str" s="39">
        <v>Ciencias de la Tierra</v>
      </c>
      <c r="AD602" t="s" s="35">
        <v>1834</v>
      </c>
      <c r="AE602" t="str" s="39" cm="1">
        <f t="array" ref="AE602">IF(AD602="","",IF(LEFT(AD602,1)="1","C1",IF(LEFT(AD602,1)="2","C2",IF(LEFT(AD602,1)="3","C3",""))))</f>
        <v>C2</v>
      </c>
      <c r="AF602" t="s" s="35">
        <v>1615</v>
      </c>
      <c r="AG602" t="s" s="35">
        <v>1617</v>
      </c>
      <c r="AH602" t="s" s="35">
        <v>1602</v>
      </c>
      <c r="AI602" t="s" s="35">
        <v>1623</v>
      </c>
      <c r="AJ602" t="s" s="35">
        <v>1615</v>
      </c>
      <c r="AK602" t="s" s="35">
        <v>1550</v>
      </c>
      <c r="AL602" s="39"/>
      <c r="AM602" t="str" s="39" cm="1">
        <f t="array" ref="AM602">IF(AK602="FUERA","Fuera del marco",_xlfn.IFERROR(INDEX('Datos - Catálogo PISA'!$C$5:$C$76,MATCH(AK602,'Datos - Catálogo PISA'!$A$5:$A$76,0)),"?"))</f>
        <v>Sistemas de la Tierra y el espacio</v>
      </c>
      <c r="AN602" t="s" s="35">
        <v>1651</v>
      </c>
      <c r="AO602" t="s" s="35">
        <v>3488</v>
      </c>
      <c r="AP602" s="39"/>
      <c r="AQ602" t="s" s="35">
        <v>1752</v>
      </c>
      <c r="AR602" t="s" s="35">
        <v>1767</v>
      </c>
      <c r="AS602" t="s" s="35">
        <v>1771</v>
      </c>
      <c r="AT602" t="s" s="35">
        <v>254</v>
      </c>
      <c r="AU602" t="s" s="35">
        <v>4685</v>
      </c>
      <c r="AV602" t="s" s="35">
        <v>139</v>
      </c>
      <c r="AW602" t="str" s="39" cm="1">
        <f t="array" ref="AW602">AF602&amp;"; "&amp;AG602&amp;"; "&amp;AH602&amp;"; "&amp;AI602&amp;"; "&amp;AJ602</f>
        <v>E6; D1; E1; D4; E6</v>
      </c>
    </row>
    <row r="603" ht="13.65" customHeight="1">
      <c r="A603" t="s" s="35">
        <v>4686</v>
      </c>
      <c r="B603" s="36">
        <v>9</v>
      </c>
      <c r="C603" t="s" s="35">
        <v>1823</v>
      </c>
      <c r="D603" t="s" s="35">
        <v>4371</v>
      </c>
      <c r="E603" t="s" s="35">
        <v>4648</v>
      </c>
      <c r="F603" s="36">
        <v>11</v>
      </c>
      <c r="G603" t="s" s="35">
        <v>712</v>
      </c>
      <c r="H603" t="s" s="35">
        <v>4681</v>
      </c>
      <c r="I603" t="s" s="120">
        <v>4687</v>
      </c>
      <c r="J603" t="s" s="35">
        <v>4375</v>
      </c>
      <c r="K603" t="s" s="35">
        <v>524</v>
      </c>
      <c r="L603" t="s" s="35">
        <v>1272</v>
      </c>
      <c r="M603" t="str" s="39">
        <v>Ciencias de la Tierra</v>
      </c>
      <c r="N603" t="str" s="39">
        <v>Rasgos, procesos e historia de la Tierra</v>
      </c>
      <c r="O603" t="str" s="39" cm="1">
        <f t="array" ref="O603">IF(L603="","",_xlfn.IFERROR(INDEX('Datos - Catálogo TIMSS'!$C$5:$C$107,MATCH(L603,'Datos - Catálogo TIMSS'!$A$5:$A$107,0)),"?"))</f>
        <v>Ciencias de la Tierra</v>
      </c>
      <c r="P603" t="s" s="35">
        <v>282</v>
      </c>
      <c r="Q603" t="s" s="120">
        <v>4688</v>
      </c>
      <c r="R603" t="s" s="120">
        <v>4689</v>
      </c>
      <c r="S603" s="121" cm="1">
        <f t="array" ref="S603">_xlfn.IFERROR(ISNUMBER(SEARCH("Conocer",$R603))/(ISNUMBER(SEARCH("Conocer",$R603))+ISNUMBER(SEARCH("Aplicar",$R603))+ISNUMBER(SEARCH("Razonar",$R603))),0)</f>
        <v>0</v>
      </c>
      <c r="T603" s="121" cm="1">
        <f t="array" ref="T603">_xlfn.IFERROR(ISNUMBER(SEARCH("Aplicar",$R603))/(ISNUMBER(SEARCH("Conocer",$R603))+ISNUMBER(SEARCH("Aplicar",$R603))+ISNUMBER(SEARCH("Razonar",$R603))),0)</f>
        <v>0.5</v>
      </c>
      <c r="U603" s="121" cm="1">
        <f t="array" ref="U603">_xlfn.IFERROR(ISNUMBER(SEARCH("Razonar",$R603))/(ISNUMBER(SEARCH("Conocer",$R603))+ISNUMBER(SEARCH("Aplicar",$R603))+ISNUMBER(SEARCH("Razonar",$R603))),0)</f>
        <v>0.5</v>
      </c>
      <c r="V603" t="s" s="35">
        <v>138</v>
      </c>
      <c r="W603" t="s" s="35">
        <v>138</v>
      </c>
      <c r="X603" s="36" cm="1">
        <f t="array" ref="X603">IF(OR(_xlfn.IFERROR(INDEX('Datos - Catálogo TIMSS'!$I$5:$I$107,MATCH(K603,'Datos - Catálogo TIMSS'!$A$5:$A$107,0)),"No")="Sí",_xlfn.IFERROR(INDEX('Datos - Catálogo TIMSS'!$I$5:$I$107,MATCH(L603,'Datos - Catálogo TIMSS'!$A$5:$A$107,0)),"No")="Sí"),1,0)</f>
        <v>1</v>
      </c>
      <c r="Y603" s="36" cm="1">
        <f t="array" ref="Y603">IF(_xlfn.IFERROR(INDEX('Datos - Catálogo TIMSS'!$J$5:$J$107,MATCH(K603,'Datos - Catálogo TIMSS'!$A$5:$A$107,0)),"No")="Sí",1,0)</f>
        <v>0</v>
      </c>
      <c r="Z603" s="36" cm="1">
        <f t="array" ref="Z603">IF(_xlfn.IFERROR(INDEX('Datos - Catálogo TIMSS'!$J$5:$J$107,MATCH(L603,'Datos - Catálogo TIMSS'!$A$5:$A$107,0)),"No")="Sí",1,0)</f>
        <v>0</v>
      </c>
      <c r="AA603" t="s" s="35">
        <v>3071</v>
      </c>
      <c r="AB603" t="s" s="35">
        <v>3059</v>
      </c>
      <c r="AC603" t="str" s="39">
        <v>Ciencias de la Tierra</v>
      </c>
      <c r="AD603" t="s" s="35">
        <v>1834</v>
      </c>
      <c r="AE603" t="str" s="39" cm="1">
        <f t="array" ref="AE603">IF(AD603="","",IF(LEFT(AD603,1)="1","C1",IF(LEFT(AD603,1)="2","C2",IF(LEFT(AD603,1)="3","C3",""))))</f>
        <v>C2</v>
      </c>
      <c r="AF603" t="s" s="35">
        <v>1602</v>
      </c>
      <c r="AG603" t="s" s="35">
        <v>1617</v>
      </c>
      <c r="AH603" t="s" s="35">
        <v>1609</v>
      </c>
      <c r="AI603" t="s" s="35">
        <v>1623</v>
      </c>
      <c r="AJ603" t="s" s="35">
        <v>1615</v>
      </c>
      <c r="AK603" t="s" s="35">
        <v>826</v>
      </c>
      <c r="AL603" t="s" s="35">
        <v>1550</v>
      </c>
      <c r="AM603" t="str" s="39" cm="1">
        <f t="array" ref="AM603">IF(AK603="FUERA","Fuera del marco",_xlfn.IFERROR(INDEX('Datos - Catálogo PISA'!$C$5:$C$76,MATCH(AK603,'Datos - Catálogo PISA'!$A$5:$A$76,0)),"?"))</f>
        <v>Sistemas físicos</v>
      </c>
      <c r="AN603" t="s" s="35">
        <v>1651</v>
      </c>
      <c r="AO603" s="39"/>
      <c r="AP603" t="s" s="35">
        <v>3534</v>
      </c>
      <c r="AQ603" t="s" s="35">
        <v>1756</v>
      </c>
      <c r="AR603" s="39"/>
      <c r="AS603" t="s" s="35">
        <v>1771</v>
      </c>
      <c r="AT603" t="s" s="35">
        <v>254</v>
      </c>
      <c r="AU603" t="s" s="35">
        <v>4690</v>
      </c>
      <c r="AV603" t="s" s="35">
        <v>139</v>
      </c>
      <c r="AW603" t="str" s="39" cm="1">
        <f t="array" ref="AW603">AF603&amp;"; "&amp;AG603&amp;"; "&amp;AH603&amp;"; "&amp;AI603&amp;"; "&amp;AJ603</f>
        <v>E1; D1; E4; D4; E6</v>
      </c>
    </row>
    <row r="604" ht="13.65" customHeight="1">
      <c r="A604" t="s" s="35">
        <v>4691</v>
      </c>
      <c r="B604" s="36">
        <v>9</v>
      </c>
      <c r="C604" t="s" s="35">
        <v>1823</v>
      </c>
      <c r="D604" t="s" s="35">
        <v>4371</v>
      </c>
      <c r="E604" t="s" s="35">
        <v>4648</v>
      </c>
      <c r="F604" s="36">
        <v>12</v>
      </c>
      <c r="G604" t="s" s="35">
        <v>712</v>
      </c>
      <c r="H604" t="s" s="35">
        <v>4681</v>
      </c>
      <c r="I604" t="s" s="120">
        <v>4692</v>
      </c>
      <c r="J604" t="s" s="35">
        <v>4375</v>
      </c>
      <c r="K604" t="s" s="35">
        <v>524</v>
      </c>
      <c r="L604" s="39"/>
      <c r="M604" t="str" s="39">
        <v>Ciencias de la Tierra</v>
      </c>
      <c r="N604" t="str" s="39">
        <v>Rasgos, procesos e historia de la Tierra</v>
      </c>
      <c r="O604" t="str" s="39" cm="1">
        <f t="array" ref="O604">IF(L604="","",_xlfn.IFERROR(INDEX('Datos - Catálogo TIMSS'!$C$5:$C$107,MATCH(L604,'Datos - Catálogo TIMSS'!$A$5:$A$107,0)),"?"))</f>
      </c>
      <c r="P604" t="s" s="35">
        <v>254</v>
      </c>
      <c r="Q604" t="s" s="120">
        <v>4693</v>
      </c>
      <c r="R604" t="s" s="120">
        <v>4694</v>
      </c>
      <c r="S604" s="121" cm="1">
        <f t="array" ref="S604">_xlfn.IFERROR(ISNUMBER(SEARCH("Conocer",$R604))/(ISNUMBER(SEARCH("Conocer",$R604))+ISNUMBER(SEARCH("Aplicar",$R604))+ISNUMBER(SEARCH("Razonar",$R604))),0)</f>
        <v>0</v>
      </c>
      <c r="T604" s="121" cm="1">
        <f t="array" ref="T604">_xlfn.IFERROR(ISNUMBER(SEARCH("Aplicar",$R604))/(ISNUMBER(SEARCH("Conocer",$R604))+ISNUMBER(SEARCH("Aplicar",$R604))+ISNUMBER(SEARCH("Razonar",$R604))),0)</f>
        <v>0.5</v>
      </c>
      <c r="U604" s="121" cm="1">
        <f t="array" ref="U604">_xlfn.IFERROR(ISNUMBER(SEARCH("Razonar",$R604))/(ISNUMBER(SEARCH("Conocer",$R604))+ISNUMBER(SEARCH("Aplicar",$R604))+ISNUMBER(SEARCH("Razonar",$R604))),0)</f>
        <v>0.5</v>
      </c>
      <c r="V604" t="s" s="35">
        <v>138</v>
      </c>
      <c r="W604" t="s" s="35">
        <v>138</v>
      </c>
      <c r="X604" s="36" cm="1">
        <f t="array" ref="X604">IF(OR(_xlfn.IFERROR(INDEX('Datos - Catálogo TIMSS'!$I$5:$I$107,MATCH(K604,'Datos - Catálogo TIMSS'!$A$5:$A$107,0)),"No")="Sí",_xlfn.IFERROR(INDEX('Datos - Catálogo TIMSS'!$I$5:$I$107,MATCH(L604,'Datos - Catálogo TIMSS'!$A$5:$A$107,0)),"No")="Sí"),1,0)</f>
        <v>1</v>
      </c>
      <c r="Y604" s="36" cm="1">
        <f t="array" ref="Y604">IF(_xlfn.IFERROR(INDEX('Datos - Catálogo TIMSS'!$J$5:$J$107,MATCH(K604,'Datos - Catálogo TIMSS'!$A$5:$A$107,0)),"No")="Sí",1,0)</f>
        <v>0</v>
      </c>
      <c r="Z604" s="36" cm="1">
        <f t="array" ref="Z604">IF(_xlfn.IFERROR(INDEX('Datos - Catálogo TIMSS'!$J$5:$J$107,MATCH(L604,'Datos - Catálogo TIMSS'!$A$5:$A$107,0)),"No")="Sí",1,0)</f>
        <v>0</v>
      </c>
      <c r="AA604" t="s" s="35">
        <v>3071</v>
      </c>
      <c r="AB604" s="39"/>
      <c r="AC604" t="str" s="39">
        <v>Ciencias de la Tierra</v>
      </c>
      <c r="AD604" t="s" s="35">
        <v>1900</v>
      </c>
      <c r="AE604" t="str" s="39" cm="1">
        <f t="array" ref="AE604">IF(AD604="","",IF(LEFT(AD604,1)="1","C1",IF(LEFT(AD604,1)="2","C2",IF(LEFT(AD604,1)="3","C3",""))))</f>
        <v>C3</v>
      </c>
      <c r="AF604" t="s" s="35">
        <v>1615</v>
      </c>
      <c r="AG604" t="s" s="35">
        <v>1617</v>
      </c>
      <c r="AH604" t="s" s="35">
        <v>1605</v>
      </c>
      <c r="AI604" t="s" s="35">
        <v>1629</v>
      </c>
      <c r="AJ604" t="s" s="35">
        <v>1633</v>
      </c>
      <c r="AK604" t="s" s="35">
        <v>1550</v>
      </c>
      <c r="AL604" t="s" s="35">
        <v>1558</v>
      </c>
      <c r="AM604" t="str" s="39" cm="1">
        <f t="array" ref="AM604">IF(AK604="FUERA","Fuera del marco",_xlfn.IFERROR(INDEX('Datos - Catálogo PISA'!$C$5:$C$76,MATCH(AK604,'Datos - Catálogo PISA'!$A$5:$A$76,0)),"?"))</f>
        <v>Sistemas de la Tierra y el espacio</v>
      </c>
      <c r="AN604" t="s" s="35">
        <v>1651</v>
      </c>
      <c r="AO604" s="39"/>
      <c r="AP604" s="39"/>
      <c r="AQ604" t="s" s="35">
        <v>1752</v>
      </c>
      <c r="AR604" t="s" s="35">
        <v>1767</v>
      </c>
      <c r="AS604" t="s" s="35">
        <v>1771</v>
      </c>
      <c r="AT604" t="s" s="35">
        <v>254</v>
      </c>
      <c r="AU604" t="s" s="35">
        <v>4695</v>
      </c>
      <c r="AV604" t="s" s="35">
        <v>139</v>
      </c>
      <c r="AW604" t="str" s="39" cm="1">
        <f t="array" ref="AW604">AF604&amp;"; "&amp;AG604&amp;"; "&amp;AH604&amp;"; "&amp;AI604&amp;"; "&amp;AJ604</f>
        <v>E6; D1; E2; I3; I5</v>
      </c>
    </row>
    <row r="605" ht="13.65" customHeight="1">
      <c r="A605" t="s" s="35">
        <v>4696</v>
      </c>
      <c r="B605" s="36">
        <v>9</v>
      </c>
      <c r="C605" t="s" s="35">
        <v>1823</v>
      </c>
      <c r="D605" t="s" s="35">
        <v>4371</v>
      </c>
      <c r="E605" t="s" s="35">
        <v>4648</v>
      </c>
      <c r="F605" s="36">
        <v>13</v>
      </c>
      <c r="G605" t="s" s="35">
        <v>712</v>
      </c>
      <c r="H605" t="s" s="35">
        <v>4697</v>
      </c>
      <c r="I605" t="s" s="120">
        <v>4698</v>
      </c>
      <c r="J605" t="s" s="35">
        <v>4375</v>
      </c>
      <c r="K605" t="s" s="35">
        <v>1832</v>
      </c>
      <c r="L605" s="39"/>
      <c r="M605" t="str" s="39">
        <v>Fuera del marco</v>
      </c>
      <c r="N605" t="str" s="39">
        <v>Fuera del marco</v>
      </c>
      <c r="O605" t="str" s="39" cm="1">
        <f t="array" ref="O605">IF(L605="","",_xlfn.IFERROR(INDEX('Datos - Catálogo TIMSS'!$C$5:$C$107,MATCH(L605,'Datos - Catálogo TIMSS'!$A$5:$A$107,0)),"?"))</f>
      </c>
      <c r="P605" t="s" s="35">
        <v>254</v>
      </c>
      <c r="Q605" t="s" s="120">
        <v>4699</v>
      </c>
      <c r="R605" t="s" s="120">
        <v>2633</v>
      </c>
      <c r="S605" s="121" cm="1">
        <f t="array" ref="S605">_xlfn.IFERROR(ISNUMBER(SEARCH("Conocer",$R605))/(ISNUMBER(SEARCH("Conocer",$R605))+ISNUMBER(SEARCH("Aplicar",$R605))+ISNUMBER(SEARCH("Razonar",$R605))),0)</f>
        <v>0.5</v>
      </c>
      <c r="T605" s="121" cm="1">
        <f t="array" ref="T605">_xlfn.IFERROR(ISNUMBER(SEARCH("Aplicar",$R605))/(ISNUMBER(SEARCH("Conocer",$R605))+ISNUMBER(SEARCH("Aplicar",$R605))+ISNUMBER(SEARCH("Razonar",$R605))),0)</f>
        <v>0</v>
      </c>
      <c r="U605" s="121" cm="1">
        <f t="array" ref="U605">_xlfn.IFERROR(ISNUMBER(SEARCH("Razonar",$R605))/(ISNUMBER(SEARCH("Conocer",$R605))+ISNUMBER(SEARCH("Aplicar",$R605))+ISNUMBER(SEARCH("Razonar",$R605))),0)</f>
        <v>0.5</v>
      </c>
      <c r="V605" t="s" s="35">
        <v>138</v>
      </c>
      <c r="W605" t="s" s="35">
        <v>138</v>
      </c>
      <c r="X605" s="36" cm="1">
        <f t="array" ref="X605">IF(OR(_xlfn.IFERROR(INDEX('Datos - Catálogo TIMSS'!$I$5:$I$107,MATCH(K605,'Datos - Catálogo TIMSS'!$A$5:$A$107,0)),"No")="Sí",_xlfn.IFERROR(INDEX('Datos - Catálogo TIMSS'!$I$5:$I$107,MATCH(L605,'Datos - Catálogo TIMSS'!$A$5:$A$107,0)),"No")="Sí"),1,0)</f>
        <v>0</v>
      </c>
      <c r="Y605" s="36" cm="1">
        <f t="array" ref="Y605">IF(_xlfn.IFERROR(INDEX('Datos - Catálogo TIMSS'!$J$5:$J$107,MATCH(K605,'Datos - Catálogo TIMSS'!$A$5:$A$107,0)),"No")="Sí",1,0)</f>
        <v>0</v>
      </c>
      <c r="Z605" s="36" cm="1">
        <f t="array" ref="Z605">IF(_xlfn.IFERROR(INDEX('Datos - Catálogo TIMSS'!$J$5:$J$107,MATCH(L605,'Datos - Catálogo TIMSS'!$A$5:$A$107,0)),"No")="Sí",1,0)</f>
        <v>0</v>
      </c>
      <c r="AA605" t="s" s="35">
        <v>1832</v>
      </c>
      <c r="AB605" s="39"/>
      <c r="AC605" t="str" s="39">
        <v>Fuera del marco</v>
      </c>
      <c r="AD605" t="s" s="35">
        <v>1900</v>
      </c>
      <c r="AE605" t="str" s="39" cm="1">
        <f t="array" ref="AE605">IF(AD605="","",IF(LEFT(AD605,1)="1","C1",IF(LEFT(AD605,1)="2","C2",IF(LEFT(AD605,1)="3","C3",""))))</f>
        <v>C3</v>
      </c>
      <c r="AF605" t="s" s="35">
        <v>1602</v>
      </c>
      <c r="AG605" t="s" s="35">
        <v>1617</v>
      </c>
      <c r="AH605" t="s" s="35">
        <v>1602</v>
      </c>
      <c r="AI605" t="s" s="35">
        <v>1627</v>
      </c>
      <c r="AJ605" t="s" s="35">
        <v>1633</v>
      </c>
      <c r="AK605" t="s" s="35">
        <v>1550</v>
      </c>
      <c r="AL605" s="39"/>
      <c r="AM605" t="str" s="39" cm="1">
        <f t="array" ref="AM605">IF(AK605="FUERA","Fuera del marco",_xlfn.IFERROR(INDEX('Datos - Catálogo PISA'!$C$5:$C$76,MATCH(AK605,'Datos - Catálogo PISA'!$A$5:$A$76,0)),"?"))</f>
        <v>Sistemas de la Tierra y el espacio</v>
      </c>
      <c r="AN605" t="s" s="35">
        <v>1651</v>
      </c>
      <c r="AO605" s="39"/>
      <c r="AP605" s="39"/>
      <c r="AQ605" t="s" s="35">
        <v>1752</v>
      </c>
      <c r="AR605" t="s" s="35">
        <v>1767</v>
      </c>
      <c r="AS605" t="s" s="35">
        <v>1770</v>
      </c>
      <c r="AT605" t="s" s="35">
        <v>282</v>
      </c>
      <c r="AU605" t="s" s="35">
        <v>4700</v>
      </c>
      <c r="AV605" t="s" s="35">
        <v>139</v>
      </c>
      <c r="AW605" t="str" s="39" cm="1">
        <f t="array" ref="AW605">AF605&amp;"; "&amp;AG605&amp;"; "&amp;AH605&amp;"; "&amp;AI605&amp;"; "&amp;AJ605</f>
        <v>E1; D1; E1; I2; I5</v>
      </c>
    </row>
    <row r="606" ht="13.65" customHeight="1">
      <c r="A606" t="s" s="35">
        <v>4701</v>
      </c>
      <c r="B606" s="36">
        <v>9</v>
      </c>
      <c r="C606" t="s" s="35">
        <v>1823</v>
      </c>
      <c r="D606" t="s" s="35">
        <v>4371</v>
      </c>
      <c r="E606" t="s" s="35">
        <v>4702</v>
      </c>
      <c r="F606" s="36">
        <v>3</v>
      </c>
      <c r="G606" t="s" s="35">
        <v>898</v>
      </c>
      <c r="H606" t="s" s="35">
        <v>4703</v>
      </c>
      <c r="I606" t="s" s="120">
        <v>4704</v>
      </c>
      <c r="J606" t="s" s="35">
        <v>4375</v>
      </c>
      <c r="K606" t="s" s="35">
        <v>1256</v>
      </c>
      <c r="L606" s="39"/>
      <c r="M606" t="str" s="39">
        <v>Física</v>
      </c>
      <c r="N606" t="str" s="39">
        <v>Electricidad y magnetismo</v>
      </c>
      <c r="O606" t="str" s="39" cm="1">
        <f t="array" ref="O606">IF(L606="","",_xlfn.IFERROR(INDEX('Datos - Catálogo TIMSS'!$C$5:$C$107,MATCH(L606,'Datos - Catálogo TIMSS'!$A$5:$A$107,0)),"?"))</f>
      </c>
      <c r="P606" t="s" s="35">
        <v>291</v>
      </c>
      <c r="Q606" t="s" s="120">
        <v>4705</v>
      </c>
      <c r="R606" t="s" s="120">
        <v>3063</v>
      </c>
      <c r="S606" s="121" cm="1">
        <f t="array" ref="S606">_xlfn.IFERROR(ISNUMBER(SEARCH("Conocer",$R606))/(ISNUMBER(SEARCH("Conocer",$R606))+ISNUMBER(SEARCH("Aplicar",$R606))+ISNUMBER(SEARCH("Razonar",$R606))),0)</f>
        <v>0</v>
      </c>
      <c r="T606" s="121" cm="1">
        <f t="array" ref="T606">_xlfn.IFERROR(ISNUMBER(SEARCH("Aplicar",$R606))/(ISNUMBER(SEARCH("Conocer",$R606))+ISNUMBER(SEARCH("Aplicar",$R606))+ISNUMBER(SEARCH("Razonar",$R606))),0)</f>
        <v>1</v>
      </c>
      <c r="U606" s="121" cm="1">
        <f t="array" ref="U606">_xlfn.IFERROR(ISNUMBER(SEARCH("Razonar",$R606))/(ISNUMBER(SEARCH("Conocer",$R606))+ISNUMBER(SEARCH("Aplicar",$R606))+ISNUMBER(SEARCH("Razonar",$R606))),0)</f>
        <v>0</v>
      </c>
      <c r="V606" t="s" s="35">
        <v>138</v>
      </c>
      <c r="W606" t="s" s="35">
        <v>138</v>
      </c>
      <c r="X606" s="36" cm="1">
        <f t="array" ref="X606">IF(OR(_xlfn.IFERROR(INDEX('Datos - Catálogo TIMSS'!$I$5:$I$107,MATCH(K606,'Datos - Catálogo TIMSS'!$A$5:$A$107,0)),"No")="Sí",_xlfn.IFERROR(INDEX('Datos - Catálogo TIMSS'!$I$5:$I$107,MATCH(L606,'Datos - Catálogo TIMSS'!$A$5:$A$107,0)),"No")="Sí"),1,0)</f>
        <v>0</v>
      </c>
      <c r="Y606" s="36" cm="1">
        <f t="array" ref="Y606">IF(_xlfn.IFERROR(INDEX('Datos - Catálogo TIMSS'!$J$5:$J$107,MATCH(K606,'Datos - Catálogo TIMSS'!$A$5:$A$107,0)),"No")="Sí",1,0)</f>
        <v>0</v>
      </c>
      <c r="Z606" s="36" cm="1">
        <f t="array" ref="Z606">IF(_xlfn.IFERROR(INDEX('Datos - Catálogo TIMSS'!$J$5:$J$107,MATCH(L606,'Datos - Catálogo TIMSS'!$A$5:$A$107,0)),"No")="Sí",1,0)</f>
        <v>0</v>
      </c>
      <c r="AA606" t="s" s="35">
        <v>3231</v>
      </c>
      <c r="AB606" s="39"/>
      <c r="AC606" t="str" s="39">
        <v>Física</v>
      </c>
      <c r="AD606" t="s" s="35">
        <v>1834</v>
      </c>
      <c r="AE606" t="str" s="39" cm="1">
        <f t="array" ref="AE606">IF(AD606="","",IF(LEFT(AD606,1)="1","C1",IF(LEFT(AD606,1)="2","C2",IF(LEFT(AD606,1)="3","C3",""))))</f>
        <v>C2</v>
      </c>
      <c r="AF606" t="s" s="35">
        <v>1602</v>
      </c>
      <c r="AG606" t="s" s="35">
        <v>1617</v>
      </c>
      <c r="AH606" t="s" s="35">
        <v>1602</v>
      </c>
      <c r="AI606" t="s" s="35">
        <v>1619</v>
      </c>
      <c r="AJ606" t="s" s="35">
        <v>1615</v>
      </c>
      <c r="AK606" t="s" s="35">
        <v>838</v>
      </c>
      <c r="AL606" t="s" s="35">
        <v>822</v>
      </c>
      <c r="AM606" t="str" s="39" cm="1">
        <f t="array" ref="AM606">IF(AK606="FUERA","Fuera del marco",_xlfn.IFERROR(INDEX('Datos - Catálogo PISA'!$C$5:$C$76,MATCH(AK606,'Datos - Catálogo PISA'!$A$5:$A$76,0)),"?"))</f>
        <v>Sistemas físicos</v>
      </c>
      <c r="AN606" t="s" s="35">
        <v>1651</v>
      </c>
      <c r="AO606" s="39"/>
      <c r="AP606" s="39"/>
      <c r="AQ606" t="s" s="35">
        <v>1756</v>
      </c>
      <c r="AR606" s="39"/>
      <c r="AS606" t="s" s="35">
        <v>1770</v>
      </c>
      <c r="AT606" t="s" s="35">
        <v>254</v>
      </c>
      <c r="AU606" t="s" s="35">
        <v>4706</v>
      </c>
      <c r="AV606" t="s" s="35">
        <v>139</v>
      </c>
      <c r="AW606" t="str" s="39" cm="1">
        <f t="array" ref="AW606">AF606&amp;"; "&amp;AG606&amp;"; "&amp;AH606&amp;"; "&amp;AI606&amp;"; "&amp;AJ606</f>
        <v>E1; D1; E1; D2; E6</v>
      </c>
    </row>
    <row r="607" ht="13.65" customHeight="1">
      <c r="A607" t="s" s="35">
        <v>4707</v>
      </c>
      <c r="B607" s="36">
        <v>9</v>
      </c>
      <c r="C607" t="s" s="35">
        <v>1823</v>
      </c>
      <c r="D607" t="s" s="35">
        <v>4371</v>
      </c>
      <c r="E607" t="s" s="35">
        <v>4702</v>
      </c>
      <c r="F607" s="36">
        <v>4</v>
      </c>
      <c r="G607" t="s" s="35">
        <v>898</v>
      </c>
      <c r="H607" t="s" s="35">
        <v>4703</v>
      </c>
      <c r="I607" t="s" s="120">
        <v>4708</v>
      </c>
      <c r="J607" t="s" s="35">
        <v>4375</v>
      </c>
      <c r="K607" t="s" s="35">
        <v>588</v>
      </c>
      <c r="L607" t="s" s="35">
        <v>1256</v>
      </c>
      <c r="M607" t="str" s="39">
        <v>Física</v>
      </c>
      <c r="N607" t="str" s="39">
        <v>Movimiento y fuerzas</v>
      </c>
      <c r="O607" t="str" s="39" cm="1">
        <f t="array" ref="O607">IF(L607="","",_xlfn.IFERROR(INDEX('Datos - Catálogo TIMSS'!$C$5:$C$107,MATCH(L607,'Datos - Catálogo TIMSS'!$A$5:$A$107,0)),"?"))</f>
        <v>Física</v>
      </c>
      <c r="P607" t="s" s="35">
        <v>291</v>
      </c>
      <c r="Q607" t="s" s="120">
        <v>4709</v>
      </c>
      <c r="R607" t="s" s="120">
        <v>4245</v>
      </c>
      <c r="S607" s="121" cm="1">
        <f t="array" ref="S607">_xlfn.IFERROR(ISNUMBER(SEARCH("Conocer",$R607))/(ISNUMBER(SEARCH("Conocer",$R607))+ISNUMBER(SEARCH("Aplicar",$R607))+ISNUMBER(SEARCH("Razonar",$R607))),0)</f>
        <v>0</v>
      </c>
      <c r="T607" s="121" cm="1">
        <f t="array" ref="T607">_xlfn.IFERROR(ISNUMBER(SEARCH("Aplicar",$R607))/(ISNUMBER(SEARCH("Conocer",$R607))+ISNUMBER(SEARCH("Aplicar",$R607))+ISNUMBER(SEARCH("Razonar",$R607))),0)</f>
        <v>1</v>
      </c>
      <c r="U607" s="121" cm="1">
        <f t="array" ref="U607">_xlfn.IFERROR(ISNUMBER(SEARCH("Razonar",$R607))/(ISNUMBER(SEARCH("Conocer",$R607))+ISNUMBER(SEARCH("Aplicar",$R607))+ISNUMBER(SEARCH("Razonar",$R607))),0)</f>
        <v>0</v>
      </c>
      <c r="V607" t="s" s="35">
        <v>138</v>
      </c>
      <c r="W607" t="s" s="35">
        <v>138</v>
      </c>
      <c r="X607" s="36" cm="1">
        <f t="array" ref="X607">IF(OR(_xlfn.IFERROR(INDEX('Datos - Catálogo TIMSS'!$I$5:$I$107,MATCH(K607,'Datos - Catálogo TIMSS'!$A$5:$A$107,0)),"No")="Sí",_xlfn.IFERROR(INDEX('Datos - Catálogo TIMSS'!$I$5:$I$107,MATCH(L607,'Datos - Catálogo TIMSS'!$A$5:$A$107,0)),"No")="Sí"),1,0)</f>
        <v>0</v>
      </c>
      <c r="Y607" s="36" cm="1">
        <f t="array" ref="Y607">IF(_xlfn.IFERROR(INDEX('Datos - Catálogo TIMSS'!$J$5:$J$107,MATCH(K607,'Datos - Catálogo TIMSS'!$A$5:$A$107,0)),"No")="Sí",1,0)</f>
        <v>0</v>
      </c>
      <c r="Z607" s="36" cm="1">
        <f t="array" ref="Z607">IF(_xlfn.IFERROR(INDEX('Datos - Catálogo TIMSS'!$J$5:$J$107,MATCH(L607,'Datos - Catálogo TIMSS'!$A$5:$A$107,0)),"No")="Sí",1,0)</f>
        <v>0</v>
      </c>
      <c r="AA607" t="s" s="35">
        <v>3231</v>
      </c>
      <c r="AB607" t="s" s="35">
        <v>2889</v>
      </c>
      <c r="AC607" t="str" s="39">
        <v>Física</v>
      </c>
      <c r="AD607" t="s" s="35">
        <v>1834</v>
      </c>
      <c r="AE607" t="str" s="39" cm="1">
        <f t="array" ref="AE607">IF(AD607="","",IF(LEFT(AD607,1)="1","C1",IF(LEFT(AD607,1)="2","C2",IF(LEFT(AD607,1)="3","C3",""))))</f>
        <v>C2</v>
      </c>
      <c r="AF607" t="s" s="35">
        <v>1602</v>
      </c>
      <c r="AG607" t="s" s="35">
        <v>1607</v>
      </c>
      <c r="AH607" t="s" s="35">
        <v>1602</v>
      </c>
      <c r="AI607" t="s" s="35">
        <v>1623</v>
      </c>
      <c r="AJ607" t="s" s="35">
        <v>1602</v>
      </c>
      <c r="AK607" t="s" s="35">
        <v>838</v>
      </c>
      <c r="AL607" s="39"/>
      <c r="AM607" t="str" s="39" cm="1">
        <f t="array" ref="AM607">IF(AK607="FUERA","Fuera del marco",_xlfn.IFERROR(INDEX('Datos - Catálogo PISA'!$C$5:$C$76,MATCH(AK607,'Datos - Catálogo PISA'!$A$5:$A$76,0)),"?"))</f>
        <v>Sistemas físicos</v>
      </c>
      <c r="AN607" t="s" s="35">
        <v>1651</v>
      </c>
      <c r="AO607" t="s" s="35">
        <v>4212</v>
      </c>
      <c r="AP607" s="39"/>
      <c r="AQ607" t="s" s="35">
        <v>1756</v>
      </c>
      <c r="AR607" s="39"/>
      <c r="AS607" t="s" s="35">
        <v>1771</v>
      </c>
      <c r="AT607" t="s" s="35">
        <v>254</v>
      </c>
      <c r="AU607" t="s" s="35">
        <v>4710</v>
      </c>
      <c r="AV607" t="s" s="35">
        <v>139</v>
      </c>
      <c r="AW607" t="str" s="39" cm="1">
        <f t="array" ref="AW607">AF607&amp;"; "&amp;AG607&amp;"; "&amp;AH607&amp;"; "&amp;AI607&amp;"; "&amp;AJ607</f>
        <v>E1; E3; E1; D4; E1</v>
      </c>
    </row>
    <row r="608" ht="13.65" customHeight="1">
      <c r="A608" t="s" s="35">
        <v>4711</v>
      </c>
      <c r="B608" s="36">
        <v>9</v>
      </c>
      <c r="C608" t="s" s="35">
        <v>1823</v>
      </c>
      <c r="D608" t="s" s="35">
        <v>4371</v>
      </c>
      <c r="E608" t="s" s="35">
        <v>4702</v>
      </c>
      <c r="F608" s="36">
        <v>5</v>
      </c>
      <c r="G608" t="s" s="35">
        <v>898</v>
      </c>
      <c r="H608" t="s" s="35">
        <v>4703</v>
      </c>
      <c r="I608" t="s" s="120">
        <v>4712</v>
      </c>
      <c r="J608" t="s" s="35">
        <v>4375</v>
      </c>
      <c r="K608" t="s" s="35">
        <v>588</v>
      </c>
      <c r="L608" s="39"/>
      <c r="M608" t="str" s="39">
        <v>Física</v>
      </c>
      <c r="N608" t="str" s="39">
        <v>Movimiento y fuerzas</v>
      </c>
      <c r="O608" t="str" s="39" cm="1">
        <f t="array" ref="O608">IF(L608="","",_xlfn.IFERROR(INDEX('Datos - Catálogo TIMSS'!$C$5:$C$107,MATCH(L608,'Datos - Catálogo TIMSS'!$A$5:$A$107,0)),"?"))</f>
      </c>
      <c r="P608" t="s" s="35">
        <v>291</v>
      </c>
      <c r="Q608" t="s" s="120">
        <v>4713</v>
      </c>
      <c r="R608" t="s" s="120">
        <v>2962</v>
      </c>
      <c r="S608" s="121" cm="1">
        <f t="array" ref="S608">_xlfn.IFERROR(ISNUMBER(SEARCH("Conocer",$R608))/(ISNUMBER(SEARCH("Conocer",$R608))+ISNUMBER(SEARCH("Aplicar",$R608))+ISNUMBER(SEARCH("Razonar",$R608))),0)</f>
        <v>0</v>
      </c>
      <c r="T608" s="121" cm="1">
        <f t="array" ref="T608">_xlfn.IFERROR(ISNUMBER(SEARCH("Aplicar",$R608))/(ISNUMBER(SEARCH("Conocer",$R608))+ISNUMBER(SEARCH("Aplicar",$R608))+ISNUMBER(SEARCH("Razonar",$R608))),0)</f>
        <v>1</v>
      </c>
      <c r="U608" s="121" cm="1">
        <f t="array" ref="U608">_xlfn.IFERROR(ISNUMBER(SEARCH("Razonar",$R608))/(ISNUMBER(SEARCH("Conocer",$R608))+ISNUMBER(SEARCH("Aplicar",$R608))+ISNUMBER(SEARCH("Razonar",$R608))),0)</f>
        <v>0</v>
      </c>
      <c r="V608" t="s" s="35">
        <v>138</v>
      </c>
      <c r="W608" t="s" s="35">
        <v>138</v>
      </c>
      <c r="X608" s="36" cm="1">
        <f t="array" ref="X608">IF(OR(_xlfn.IFERROR(INDEX('Datos - Catálogo TIMSS'!$I$5:$I$107,MATCH(K608,'Datos - Catálogo TIMSS'!$A$5:$A$107,0)),"No")="Sí",_xlfn.IFERROR(INDEX('Datos - Catálogo TIMSS'!$I$5:$I$107,MATCH(L608,'Datos - Catálogo TIMSS'!$A$5:$A$107,0)),"No")="Sí"),1,0)</f>
        <v>0</v>
      </c>
      <c r="Y608" s="36" cm="1">
        <f t="array" ref="Y608">IF(_xlfn.IFERROR(INDEX('Datos - Catálogo TIMSS'!$J$5:$J$107,MATCH(K608,'Datos - Catálogo TIMSS'!$A$5:$A$107,0)),"No")="Sí",1,0)</f>
        <v>0</v>
      </c>
      <c r="Z608" s="36" cm="1">
        <f t="array" ref="Z608">IF(_xlfn.IFERROR(INDEX('Datos - Catálogo TIMSS'!$J$5:$J$107,MATCH(L608,'Datos - Catálogo TIMSS'!$A$5:$A$107,0)),"No")="Sí",1,0)</f>
        <v>0</v>
      </c>
      <c r="AA608" t="s" s="35">
        <v>2889</v>
      </c>
      <c r="AB608" t="s" s="35">
        <v>3231</v>
      </c>
      <c r="AC608" t="str" s="39">
        <v>Física</v>
      </c>
      <c r="AD608" t="s" s="35">
        <v>1834</v>
      </c>
      <c r="AE608" t="str" s="39" cm="1">
        <f t="array" ref="AE608">IF(AD608="","",IF(LEFT(AD608,1)="1","C1",IF(LEFT(AD608,1)="2","C2",IF(LEFT(AD608,1)="3","C3",""))))</f>
        <v>C2</v>
      </c>
      <c r="AF608" t="s" s="35">
        <v>1602</v>
      </c>
      <c r="AG608" t="s" s="35">
        <v>1617</v>
      </c>
      <c r="AH608" t="s" s="35">
        <v>1602</v>
      </c>
      <c r="AI608" t="s" s="35">
        <v>1623</v>
      </c>
      <c r="AJ608" t="s" s="35">
        <v>1607</v>
      </c>
      <c r="AK608" t="s" s="35">
        <v>838</v>
      </c>
      <c r="AL608" s="39"/>
      <c r="AM608" t="str" s="39" cm="1">
        <f t="array" ref="AM608">IF(AK608="FUERA","Fuera del marco",_xlfn.IFERROR(INDEX('Datos - Catálogo PISA'!$C$5:$C$76,MATCH(AK608,'Datos - Catálogo PISA'!$A$5:$A$76,0)),"?"))</f>
        <v>Sistemas físicos</v>
      </c>
      <c r="AN608" t="s" s="35">
        <v>1651</v>
      </c>
      <c r="AO608" s="39"/>
      <c r="AP608" s="39"/>
      <c r="AQ608" t="s" s="35">
        <v>1756</v>
      </c>
      <c r="AR608" s="39"/>
      <c r="AS608" t="s" s="35">
        <v>1771</v>
      </c>
      <c r="AT608" t="s" s="35">
        <v>254</v>
      </c>
      <c r="AU608" t="s" s="35">
        <v>4714</v>
      </c>
      <c r="AV608" t="s" s="35">
        <v>139</v>
      </c>
      <c r="AW608" t="str" s="39" cm="1">
        <f t="array" ref="AW608">AF608&amp;"; "&amp;AG608&amp;"; "&amp;AH608&amp;"; "&amp;AI608&amp;"; "&amp;AJ608</f>
        <v>E1; D1; E1; D4; E3</v>
      </c>
    </row>
    <row r="609" ht="13.65" customHeight="1">
      <c r="A609" t="s" s="35">
        <v>4715</v>
      </c>
      <c r="B609" s="36">
        <v>9</v>
      </c>
      <c r="C609" t="s" s="35">
        <v>1823</v>
      </c>
      <c r="D609" t="s" s="35">
        <v>4371</v>
      </c>
      <c r="E609" t="s" s="35">
        <v>4702</v>
      </c>
      <c r="F609" s="36">
        <v>6</v>
      </c>
      <c r="G609" t="s" s="35">
        <v>898</v>
      </c>
      <c r="H609" t="s" s="35">
        <v>4716</v>
      </c>
      <c r="I609" t="s" s="120">
        <v>4717</v>
      </c>
      <c r="J609" t="s" s="35">
        <v>4375</v>
      </c>
      <c r="K609" t="s" s="35">
        <v>1832</v>
      </c>
      <c r="L609" s="39"/>
      <c r="M609" t="str" s="39">
        <v>Fuera del marco</v>
      </c>
      <c r="N609" t="str" s="39">
        <v>Fuera del marco</v>
      </c>
      <c r="O609" t="str" s="39" cm="1">
        <f t="array" ref="O609">IF(L609="","",_xlfn.IFERROR(INDEX('Datos - Catálogo TIMSS'!$C$5:$C$107,MATCH(L609,'Datos - Catálogo TIMSS'!$A$5:$A$107,0)),"?"))</f>
      </c>
      <c r="P609" t="s" s="35">
        <v>254</v>
      </c>
      <c r="Q609" t="s" s="120">
        <v>4718</v>
      </c>
      <c r="R609" t="s" s="120">
        <v>3023</v>
      </c>
      <c r="S609" s="121" cm="1">
        <f t="array" ref="S609">_xlfn.IFERROR(ISNUMBER(SEARCH("Conocer",$R609))/(ISNUMBER(SEARCH("Conocer",$R609))+ISNUMBER(SEARCH("Aplicar",$R609))+ISNUMBER(SEARCH("Razonar",$R609))),0)</f>
        <v>0</v>
      </c>
      <c r="T609" s="121" cm="1">
        <f t="array" ref="T609">_xlfn.IFERROR(ISNUMBER(SEARCH("Aplicar",$R609))/(ISNUMBER(SEARCH("Conocer",$R609))+ISNUMBER(SEARCH("Aplicar",$R609))+ISNUMBER(SEARCH("Razonar",$R609))),0)</f>
        <v>1</v>
      </c>
      <c r="U609" s="121" cm="1">
        <f t="array" ref="U609">_xlfn.IFERROR(ISNUMBER(SEARCH("Razonar",$R609))/(ISNUMBER(SEARCH("Conocer",$R609))+ISNUMBER(SEARCH("Aplicar",$R609))+ISNUMBER(SEARCH("Razonar",$R609))),0)</f>
        <v>0</v>
      </c>
      <c r="V609" t="s" s="35">
        <v>138</v>
      </c>
      <c r="W609" t="s" s="35">
        <v>138</v>
      </c>
      <c r="X609" s="36" cm="1">
        <f t="array" ref="X609">IF(OR(_xlfn.IFERROR(INDEX('Datos - Catálogo TIMSS'!$I$5:$I$107,MATCH(K609,'Datos - Catálogo TIMSS'!$A$5:$A$107,0)),"No")="Sí",_xlfn.IFERROR(INDEX('Datos - Catálogo TIMSS'!$I$5:$I$107,MATCH(L609,'Datos - Catálogo TIMSS'!$A$5:$A$107,0)),"No")="Sí"),1,0)</f>
        <v>0</v>
      </c>
      <c r="Y609" s="36" cm="1">
        <f t="array" ref="Y609">IF(_xlfn.IFERROR(INDEX('Datos - Catálogo TIMSS'!$J$5:$J$107,MATCH(K609,'Datos - Catálogo TIMSS'!$A$5:$A$107,0)),"No")="Sí",1,0)</f>
        <v>0</v>
      </c>
      <c r="Z609" s="36" cm="1">
        <f t="array" ref="Z609">IF(_xlfn.IFERROR(INDEX('Datos - Catálogo TIMSS'!$J$5:$J$107,MATCH(L609,'Datos - Catálogo TIMSS'!$A$5:$A$107,0)),"No")="Sí",1,0)</f>
        <v>0</v>
      </c>
      <c r="AA609" t="s" s="35">
        <v>1832</v>
      </c>
      <c r="AB609" s="39"/>
      <c r="AC609" t="str" s="39">
        <v>Fuera del marco</v>
      </c>
      <c r="AD609" t="s" s="35">
        <v>1859</v>
      </c>
      <c r="AE609" t="str" s="39" cm="1">
        <f t="array" ref="AE609">IF(AD609="","",IF(LEFT(AD609,1)="1","C1",IF(LEFT(AD609,1)="2","C2",IF(LEFT(AD609,1)="3","C3",""))))</f>
        <v>C1</v>
      </c>
      <c r="AF609" t="s" s="35">
        <v>1602</v>
      </c>
      <c r="AG609" t="s" s="35">
        <v>1617</v>
      </c>
      <c r="AH609" t="s" s="35">
        <v>1602</v>
      </c>
      <c r="AI609" t="s" s="35">
        <v>1623</v>
      </c>
      <c r="AJ609" t="s" s="35">
        <v>1615</v>
      </c>
      <c r="AK609" t="s" s="35">
        <v>1832</v>
      </c>
      <c r="AL609" s="39"/>
      <c r="AM609" t="str" s="39" cm="1">
        <f t="array" ref="AM609">IF(AK609="FUERA","Fuera del marco",_xlfn.IFERROR(INDEX('Datos - Catálogo PISA'!$C$5:$C$76,MATCH(AK609,'Datos - Catálogo PISA'!$A$5:$A$76,0)),"?"))</f>
        <v>Fuera del marco</v>
      </c>
      <c r="AN609" t="s" s="35">
        <v>1651</v>
      </c>
      <c r="AO609" s="39"/>
      <c r="AP609" s="39"/>
      <c r="AQ609" t="s" s="35">
        <v>1751</v>
      </c>
      <c r="AR609" t="s" s="35">
        <v>1768</v>
      </c>
      <c r="AS609" t="s" s="35">
        <v>1770</v>
      </c>
      <c r="AT609" t="s" s="35">
        <v>282</v>
      </c>
      <c r="AU609" t="s" s="35">
        <v>4719</v>
      </c>
      <c r="AV609" t="s" s="35">
        <v>139</v>
      </c>
      <c r="AW609" t="str" s="39" cm="1">
        <f t="array" ref="AW609">AF609&amp;"; "&amp;AG609&amp;"; "&amp;AH609&amp;"; "&amp;AI609&amp;"; "&amp;AJ609</f>
        <v>E1; D1; E1; D4; E6</v>
      </c>
    </row>
    <row r="610" ht="13.65" customHeight="1">
      <c r="A610" t="s" s="35">
        <v>4720</v>
      </c>
      <c r="B610" s="36">
        <v>9</v>
      </c>
      <c r="C610" t="s" s="35">
        <v>1823</v>
      </c>
      <c r="D610" t="s" s="35">
        <v>4371</v>
      </c>
      <c r="E610" t="s" s="35">
        <v>4702</v>
      </c>
      <c r="F610" s="36">
        <v>7</v>
      </c>
      <c r="G610" t="s" s="35">
        <v>898</v>
      </c>
      <c r="H610" t="s" s="35">
        <v>4716</v>
      </c>
      <c r="I610" t="s" s="120">
        <v>4721</v>
      </c>
      <c r="J610" t="s" s="35">
        <v>4375</v>
      </c>
      <c r="K610" t="s" s="35">
        <v>1256</v>
      </c>
      <c r="L610" s="39"/>
      <c r="M610" t="str" s="39">
        <v>Física</v>
      </c>
      <c r="N610" t="str" s="39">
        <v>Electricidad y magnetismo</v>
      </c>
      <c r="O610" t="str" s="39" cm="1">
        <f t="array" ref="O610">IF(L610="","",_xlfn.IFERROR(INDEX('Datos - Catálogo TIMSS'!$C$5:$C$107,MATCH(L610,'Datos - Catálogo TIMSS'!$A$5:$A$107,0)),"?"))</f>
      </c>
      <c r="P610" t="s" s="35">
        <v>254</v>
      </c>
      <c r="Q610" t="s" s="120">
        <v>4722</v>
      </c>
      <c r="R610" t="s" s="120">
        <v>3802</v>
      </c>
      <c r="S610" s="121" cm="1">
        <f t="array" ref="S610">_xlfn.IFERROR(ISNUMBER(SEARCH("Conocer",$R610))/(ISNUMBER(SEARCH("Conocer",$R610))+ISNUMBER(SEARCH("Aplicar",$R610))+ISNUMBER(SEARCH("Razonar",$R610))),0)</f>
        <v>0</v>
      </c>
      <c r="T610" s="121" cm="1">
        <f t="array" ref="T610">_xlfn.IFERROR(ISNUMBER(SEARCH("Aplicar",$R610))/(ISNUMBER(SEARCH("Conocer",$R610))+ISNUMBER(SEARCH("Aplicar",$R610))+ISNUMBER(SEARCH("Razonar",$R610))),0)</f>
        <v>0.5</v>
      </c>
      <c r="U610" s="121" cm="1">
        <f t="array" ref="U610">_xlfn.IFERROR(ISNUMBER(SEARCH("Razonar",$R610))/(ISNUMBER(SEARCH("Conocer",$R610))+ISNUMBER(SEARCH("Aplicar",$R610))+ISNUMBER(SEARCH("Razonar",$R610))),0)</f>
        <v>0.5</v>
      </c>
      <c r="V610" t="s" s="35">
        <v>138</v>
      </c>
      <c r="W610" t="s" s="35">
        <v>138</v>
      </c>
      <c r="X610" s="36" cm="1">
        <f t="array" ref="X610">IF(OR(_xlfn.IFERROR(INDEX('Datos - Catálogo TIMSS'!$I$5:$I$107,MATCH(K610,'Datos - Catálogo TIMSS'!$A$5:$A$107,0)),"No")="Sí",_xlfn.IFERROR(INDEX('Datos - Catálogo TIMSS'!$I$5:$I$107,MATCH(L610,'Datos - Catálogo TIMSS'!$A$5:$A$107,0)),"No")="Sí"),1,0)</f>
        <v>0</v>
      </c>
      <c r="Y610" s="36" cm="1">
        <f t="array" ref="Y610">IF(_xlfn.IFERROR(INDEX('Datos - Catálogo TIMSS'!$J$5:$J$107,MATCH(K610,'Datos - Catálogo TIMSS'!$A$5:$A$107,0)),"No")="Sí",1,0)</f>
        <v>0</v>
      </c>
      <c r="Z610" s="36" cm="1">
        <f t="array" ref="Z610">IF(_xlfn.IFERROR(INDEX('Datos - Catálogo TIMSS'!$J$5:$J$107,MATCH(L610,'Datos - Catálogo TIMSS'!$A$5:$A$107,0)),"No")="Sí",1,0)</f>
        <v>0</v>
      </c>
      <c r="AA610" t="s" s="35">
        <v>3231</v>
      </c>
      <c r="AB610" s="39"/>
      <c r="AC610" t="str" s="39">
        <v>Física</v>
      </c>
      <c r="AD610" t="s" s="35">
        <v>1834</v>
      </c>
      <c r="AE610" t="str" s="39" cm="1">
        <f t="array" ref="AE610">IF(AD610="","",IF(LEFT(AD610,1)="1","C1",IF(LEFT(AD610,1)="2","C2",IF(LEFT(AD610,1)="3","C3",""))))</f>
        <v>C2</v>
      </c>
      <c r="AF610" t="s" s="35">
        <v>1602</v>
      </c>
      <c r="AG610" t="s" s="35">
        <v>1617</v>
      </c>
      <c r="AH610" t="s" s="35">
        <v>1609</v>
      </c>
      <c r="AI610" t="s" s="35">
        <v>1619</v>
      </c>
      <c r="AJ610" t="s" s="35">
        <v>1621</v>
      </c>
      <c r="AK610" t="s" s="35">
        <v>854</v>
      </c>
      <c r="AL610" t="s" s="35">
        <v>822</v>
      </c>
      <c r="AM610" t="str" s="39" cm="1">
        <f t="array" ref="AM610">IF(AK610="FUERA","Fuera del marco",_xlfn.IFERROR(INDEX('Datos - Catálogo PISA'!$C$5:$C$76,MATCH(AK610,'Datos - Catálogo PISA'!$A$5:$A$76,0)),"?"))</f>
        <v>Sistemas físicos</v>
      </c>
      <c r="AN610" t="s" s="35">
        <v>1651</v>
      </c>
      <c r="AO610" s="39"/>
      <c r="AP610" s="39"/>
      <c r="AQ610" t="s" s="35">
        <v>1756</v>
      </c>
      <c r="AR610" s="39"/>
      <c r="AS610" t="s" s="35">
        <v>1771</v>
      </c>
      <c r="AT610" t="s" s="35">
        <v>282</v>
      </c>
      <c r="AU610" t="s" s="35">
        <v>4723</v>
      </c>
      <c r="AV610" t="s" s="35">
        <v>139</v>
      </c>
      <c r="AW610" t="str" s="39" cm="1">
        <f t="array" ref="AW610">AF610&amp;"; "&amp;AG610&amp;"; "&amp;AH610&amp;"; "&amp;AI610&amp;"; "&amp;AJ610</f>
        <v>E1; D1; E4; D2; D3</v>
      </c>
    </row>
    <row r="611" ht="13.65" customHeight="1">
      <c r="A611" t="s" s="35">
        <v>4724</v>
      </c>
      <c r="B611" s="36">
        <v>9</v>
      </c>
      <c r="C611" t="s" s="35">
        <v>1823</v>
      </c>
      <c r="D611" t="s" s="35">
        <v>4371</v>
      </c>
      <c r="E611" t="s" s="35">
        <v>4702</v>
      </c>
      <c r="F611" s="36">
        <v>8</v>
      </c>
      <c r="G611" t="s" s="35">
        <v>898</v>
      </c>
      <c r="H611" t="s" s="35">
        <v>4716</v>
      </c>
      <c r="I611" t="s" s="120">
        <v>4725</v>
      </c>
      <c r="J611" t="s" s="35">
        <v>4375</v>
      </c>
      <c r="K611" t="s" s="35">
        <v>1256</v>
      </c>
      <c r="L611" s="39"/>
      <c r="M611" t="str" s="39">
        <v>Física</v>
      </c>
      <c r="N611" t="str" s="39">
        <v>Electricidad y magnetismo</v>
      </c>
      <c r="O611" t="str" s="39" cm="1">
        <f t="array" ref="O611">IF(L611="","",_xlfn.IFERROR(INDEX('Datos - Catálogo TIMSS'!$C$5:$C$107,MATCH(L611,'Datos - Catálogo TIMSS'!$A$5:$A$107,0)),"?"))</f>
      </c>
      <c r="P611" t="s" s="35">
        <v>282</v>
      </c>
      <c r="Q611" t="s" s="120">
        <v>4726</v>
      </c>
      <c r="R611" t="s" s="120">
        <v>3297</v>
      </c>
      <c r="S611" s="121" cm="1">
        <f t="array" ref="S611">_xlfn.IFERROR(ISNUMBER(SEARCH("Conocer",$R611))/(ISNUMBER(SEARCH("Conocer",$R611))+ISNUMBER(SEARCH("Aplicar",$R611))+ISNUMBER(SEARCH("Razonar",$R611))),0)</f>
        <v>1</v>
      </c>
      <c r="T611" s="121" cm="1">
        <f t="array" ref="T611">_xlfn.IFERROR(ISNUMBER(SEARCH("Aplicar",$R611))/(ISNUMBER(SEARCH("Conocer",$R611))+ISNUMBER(SEARCH("Aplicar",$R611))+ISNUMBER(SEARCH("Razonar",$R611))),0)</f>
        <v>0</v>
      </c>
      <c r="U611" s="121" cm="1">
        <f t="array" ref="U611">_xlfn.IFERROR(ISNUMBER(SEARCH("Razonar",$R611))/(ISNUMBER(SEARCH("Conocer",$R611))+ISNUMBER(SEARCH("Aplicar",$R611))+ISNUMBER(SEARCH("Razonar",$R611))),0)</f>
        <v>0</v>
      </c>
      <c r="V611" t="s" s="35">
        <v>138</v>
      </c>
      <c r="W611" t="s" s="35">
        <v>138</v>
      </c>
      <c r="X611" s="36" cm="1">
        <f t="array" ref="X611">IF(OR(_xlfn.IFERROR(INDEX('Datos - Catálogo TIMSS'!$I$5:$I$107,MATCH(K611,'Datos - Catálogo TIMSS'!$A$5:$A$107,0)),"No")="Sí",_xlfn.IFERROR(INDEX('Datos - Catálogo TIMSS'!$I$5:$I$107,MATCH(L611,'Datos - Catálogo TIMSS'!$A$5:$A$107,0)),"No")="Sí"),1,0)</f>
        <v>0</v>
      </c>
      <c r="Y611" s="36" cm="1">
        <f t="array" ref="Y611">IF(_xlfn.IFERROR(INDEX('Datos - Catálogo TIMSS'!$J$5:$J$107,MATCH(K611,'Datos - Catálogo TIMSS'!$A$5:$A$107,0)),"No")="Sí",1,0)</f>
        <v>0</v>
      </c>
      <c r="Z611" s="36" cm="1">
        <f t="array" ref="Z611">IF(_xlfn.IFERROR(INDEX('Datos - Catálogo TIMSS'!$J$5:$J$107,MATCH(L611,'Datos - Catálogo TIMSS'!$A$5:$A$107,0)),"No")="Sí",1,0)</f>
        <v>0</v>
      </c>
      <c r="AA611" t="s" s="35">
        <v>3231</v>
      </c>
      <c r="AB611" s="39"/>
      <c r="AC611" t="str" s="39">
        <v>Física</v>
      </c>
      <c r="AD611" t="s" s="35">
        <v>1859</v>
      </c>
      <c r="AE611" t="str" s="39" cm="1">
        <f t="array" ref="AE611">IF(AD611="","",IF(LEFT(AD611,1)="1","C1",IF(LEFT(AD611,1)="2","C2",IF(LEFT(AD611,1)="3","C3",""))))</f>
        <v>C1</v>
      </c>
      <c r="AF611" t="s" s="35">
        <v>1602</v>
      </c>
      <c r="AG611" t="s" s="35">
        <v>1617</v>
      </c>
      <c r="AH611" t="s" s="35">
        <v>1602</v>
      </c>
      <c r="AI611" t="s" s="35">
        <v>1623</v>
      </c>
      <c r="AJ611" t="s" s="35">
        <v>1602</v>
      </c>
      <c r="AK611" t="s" s="35">
        <v>822</v>
      </c>
      <c r="AL611" t="s" s="35">
        <v>854</v>
      </c>
      <c r="AM611" t="str" s="39" cm="1">
        <f t="array" ref="AM611">IF(AK611="FUERA","Fuera del marco",_xlfn.IFERROR(INDEX('Datos - Catálogo PISA'!$C$5:$C$76,MATCH(AK611,'Datos - Catálogo PISA'!$A$5:$A$76,0)),"?"))</f>
        <v>Sistemas físicos</v>
      </c>
      <c r="AN611" t="s" s="35">
        <v>1651</v>
      </c>
      <c r="AO611" s="39"/>
      <c r="AP611" s="39"/>
      <c r="AQ611" t="s" s="35">
        <v>1756</v>
      </c>
      <c r="AR611" s="39"/>
      <c r="AS611" t="s" s="35">
        <v>1771</v>
      </c>
      <c r="AT611" t="s" s="35">
        <v>291</v>
      </c>
      <c r="AU611" t="s" s="35">
        <v>4727</v>
      </c>
      <c r="AV611" t="s" s="35">
        <v>139</v>
      </c>
      <c r="AW611" t="str" s="39" cm="1">
        <f t="array" ref="AW611">AF611&amp;"; "&amp;AG611&amp;"; "&amp;AH611&amp;"; "&amp;AI611&amp;"; "&amp;AJ611</f>
        <v>E1; D1; E1; D4; E1</v>
      </c>
    </row>
    <row r="612" ht="13.65" customHeight="1">
      <c r="A612" t="s" s="35">
        <v>4728</v>
      </c>
      <c r="B612" s="36">
        <v>9</v>
      </c>
      <c r="C612" t="s" s="35">
        <v>1823</v>
      </c>
      <c r="D612" t="s" s="35">
        <v>4371</v>
      </c>
      <c r="E612" t="s" s="35">
        <v>4702</v>
      </c>
      <c r="F612" s="36">
        <v>9</v>
      </c>
      <c r="G612" t="s" s="35">
        <v>898</v>
      </c>
      <c r="H612" t="s" s="35">
        <v>4729</v>
      </c>
      <c r="I612" t="s" s="120">
        <v>4730</v>
      </c>
      <c r="J612" t="s" s="35">
        <v>4375</v>
      </c>
      <c r="K612" t="s" s="35">
        <v>1256</v>
      </c>
      <c r="L612" s="39"/>
      <c r="M612" t="str" s="39">
        <v>Física</v>
      </c>
      <c r="N612" t="str" s="39">
        <v>Electricidad y magnetismo</v>
      </c>
      <c r="O612" t="str" s="39" cm="1">
        <f t="array" ref="O612">IF(L612="","",_xlfn.IFERROR(INDEX('Datos - Catálogo TIMSS'!$C$5:$C$107,MATCH(L612,'Datos - Catálogo TIMSS'!$A$5:$A$107,0)),"?"))</f>
      </c>
      <c r="P612" t="s" s="35">
        <v>254</v>
      </c>
      <c r="Q612" t="s" s="120">
        <v>4731</v>
      </c>
      <c r="R612" t="s" s="120">
        <v>3848</v>
      </c>
      <c r="S612" s="121" cm="1">
        <f t="array" ref="S612">_xlfn.IFERROR(ISNUMBER(SEARCH("Conocer",$R612))/(ISNUMBER(SEARCH("Conocer",$R612))+ISNUMBER(SEARCH("Aplicar",$R612))+ISNUMBER(SEARCH("Razonar",$R612))),0)</f>
        <v>0</v>
      </c>
      <c r="T612" s="121" cm="1">
        <f t="array" ref="T612">_xlfn.IFERROR(ISNUMBER(SEARCH("Aplicar",$R612))/(ISNUMBER(SEARCH("Conocer",$R612))+ISNUMBER(SEARCH("Aplicar",$R612))+ISNUMBER(SEARCH("Razonar",$R612))),0)</f>
        <v>1</v>
      </c>
      <c r="U612" s="121" cm="1">
        <f t="array" ref="U612">_xlfn.IFERROR(ISNUMBER(SEARCH("Razonar",$R612))/(ISNUMBER(SEARCH("Conocer",$R612))+ISNUMBER(SEARCH("Aplicar",$R612))+ISNUMBER(SEARCH("Razonar",$R612))),0)</f>
        <v>0</v>
      </c>
      <c r="V612" t="s" s="35">
        <v>138</v>
      </c>
      <c r="W612" t="s" s="35">
        <v>138</v>
      </c>
      <c r="X612" s="36" cm="1">
        <f t="array" ref="X612">IF(OR(_xlfn.IFERROR(INDEX('Datos - Catálogo TIMSS'!$I$5:$I$107,MATCH(K612,'Datos - Catálogo TIMSS'!$A$5:$A$107,0)),"No")="Sí",_xlfn.IFERROR(INDEX('Datos - Catálogo TIMSS'!$I$5:$I$107,MATCH(L612,'Datos - Catálogo TIMSS'!$A$5:$A$107,0)),"No")="Sí"),1,0)</f>
        <v>0</v>
      </c>
      <c r="Y612" s="36" cm="1">
        <f t="array" ref="Y612">IF(_xlfn.IFERROR(INDEX('Datos - Catálogo TIMSS'!$J$5:$J$107,MATCH(K612,'Datos - Catálogo TIMSS'!$A$5:$A$107,0)),"No")="Sí",1,0)</f>
        <v>0</v>
      </c>
      <c r="Z612" s="36" cm="1">
        <f t="array" ref="Z612">IF(_xlfn.IFERROR(INDEX('Datos - Catálogo TIMSS'!$J$5:$J$107,MATCH(L612,'Datos - Catálogo TIMSS'!$A$5:$A$107,0)),"No")="Sí",1,0)</f>
        <v>0</v>
      </c>
      <c r="AA612" t="s" s="35">
        <v>3231</v>
      </c>
      <c r="AB612" s="39"/>
      <c r="AC612" t="str" s="39">
        <v>Física</v>
      </c>
      <c r="AD612" t="s" s="35">
        <v>1859</v>
      </c>
      <c r="AE612" t="str" s="39" cm="1">
        <f t="array" ref="AE612">IF(AD612="","",IF(LEFT(AD612,1)="1","C1",IF(LEFT(AD612,1)="2","C2",IF(LEFT(AD612,1)="3","C3",""))))</f>
        <v>C1</v>
      </c>
      <c r="AF612" t="s" s="35">
        <v>1602</v>
      </c>
      <c r="AG612" t="s" s="35">
        <v>1617</v>
      </c>
      <c r="AH612" t="s" s="35">
        <v>1605</v>
      </c>
      <c r="AI612" t="s" s="35">
        <v>1623</v>
      </c>
      <c r="AJ612" t="s" s="35">
        <v>1615</v>
      </c>
      <c r="AK612" t="s" s="35">
        <v>854</v>
      </c>
      <c r="AL612" s="39"/>
      <c r="AM612" t="str" s="39" cm="1">
        <f t="array" ref="AM612">IF(AK612="FUERA","Fuera del marco",_xlfn.IFERROR(INDEX('Datos - Catálogo PISA'!$C$5:$C$76,MATCH(AK612,'Datos - Catálogo PISA'!$A$5:$A$76,0)),"?"))</f>
        <v>Sistemas físicos</v>
      </c>
      <c r="AN612" t="s" s="35">
        <v>1651</v>
      </c>
      <c r="AO612" s="39"/>
      <c r="AP612" s="39"/>
      <c r="AQ612" t="s" s="35">
        <v>1751</v>
      </c>
      <c r="AR612" t="s" s="35">
        <v>1768</v>
      </c>
      <c r="AS612" t="s" s="35">
        <v>1771</v>
      </c>
      <c r="AT612" t="s" s="35">
        <v>282</v>
      </c>
      <c r="AU612" t="s" s="35">
        <v>4732</v>
      </c>
      <c r="AV612" t="s" s="35">
        <v>139</v>
      </c>
      <c r="AW612" t="str" s="39" cm="1">
        <f t="array" ref="AW612">AF612&amp;"; "&amp;AG612&amp;"; "&amp;AH612&amp;"; "&amp;AI612&amp;"; "&amp;AJ612</f>
        <v>E1; D1; E2; D4; E6</v>
      </c>
    </row>
    <row r="613" ht="13.65" customHeight="1">
      <c r="A613" t="s" s="35">
        <v>4733</v>
      </c>
      <c r="B613" s="36">
        <v>9</v>
      </c>
      <c r="C613" t="s" s="35">
        <v>1823</v>
      </c>
      <c r="D613" t="s" s="35">
        <v>4371</v>
      </c>
      <c r="E613" t="s" s="35">
        <v>4702</v>
      </c>
      <c r="F613" s="36">
        <v>10</v>
      </c>
      <c r="G613" t="s" s="35">
        <v>898</v>
      </c>
      <c r="H613" t="s" s="35">
        <v>4729</v>
      </c>
      <c r="I613" t="s" s="120">
        <v>4734</v>
      </c>
      <c r="J613" t="s" s="35">
        <v>4375</v>
      </c>
      <c r="K613" t="s" s="35">
        <v>1256</v>
      </c>
      <c r="L613" t="s" s="35">
        <v>575</v>
      </c>
      <c r="M613" t="str" s="39">
        <v>Física</v>
      </c>
      <c r="N613" t="str" s="39">
        <v>Electricidad y magnetismo</v>
      </c>
      <c r="O613" t="str" s="39" cm="1">
        <f t="array" ref="O613">IF(L613="","",_xlfn.IFERROR(INDEX('Datos - Catálogo TIMSS'!$C$5:$C$107,MATCH(L613,'Datos - Catálogo TIMSS'!$A$5:$A$107,0)),"?"))</f>
        <v>Física</v>
      </c>
      <c r="P613" t="s" s="35">
        <v>282</v>
      </c>
      <c r="Q613" t="s" s="120">
        <v>4735</v>
      </c>
      <c r="R613" t="s" s="120">
        <v>2086</v>
      </c>
      <c r="S613" s="121" cm="1">
        <f t="array" ref="S613">_xlfn.IFERROR(ISNUMBER(SEARCH("Conocer",$R613))/(ISNUMBER(SEARCH("Conocer",$R613))+ISNUMBER(SEARCH("Aplicar",$R613))+ISNUMBER(SEARCH("Razonar",$R613))),0)</f>
        <v>0</v>
      </c>
      <c r="T613" s="121" cm="1">
        <f t="array" ref="T613">_xlfn.IFERROR(ISNUMBER(SEARCH("Aplicar",$R613))/(ISNUMBER(SEARCH("Conocer",$R613))+ISNUMBER(SEARCH("Aplicar",$R613))+ISNUMBER(SEARCH("Razonar",$R613))),0)</f>
        <v>0.5</v>
      </c>
      <c r="U613" s="121" cm="1">
        <f t="array" ref="U613">_xlfn.IFERROR(ISNUMBER(SEARCH("Razonar",$R613))/(ISNUMBER(SEARCH("Conocer",$R613))+ISNUMBER(SEARCH("Aplicar",$R613))+ISNUMBER(SEARCH("Razonar",$R613))),0)</f>
        <v>0.5</v>
      </c>
      <c r="V613" t="s" s="35">
        <v>138</v>
      </c>
      <c r="W613" t="s" s="35">
        <v>138</v>
      </c>
      <c r="X613" s="36" cm="1">
        <f t="array" ref="X613">IF(OR(_xlfn.IFERROR(INDEX('Datos - Catálogo TIMSS'!$I$5:$I$107,MATCH(K613,'Datos - Catálogo TIMSS'!$A$5:$A$107,0)),"No")="Sí",_xlfn.IFERROR(INDEX('Datos - Catálogo TIMSS'!$I$5:$I$107,MATCH(L613,'Datos - Catálogo TIMSS'!$A$5:$A$107,0)),"No")="Sí"),1,0)</f>
        <v>0</v>
      </c>
      <c r="Y613" s="36" cm="1">
        <f t="array" ref="Y613">IF(_xlfn.IFERROR(INDEX('Datos - Catálogo TIMSS'!$J$5:$J$107,MATCH(K613,'Datos - Catálogo TIMSS'!$A$5:$A$107,0)),"No")="Sí",1,0)</f>
        <v>0</v>
      </c>
      <c r="Z613" s="36" cm="1">
        <f t="array" ref="Z613">IF(_xlfn.IFERROR(INDEX('Datos - Catálogo TIMSS'!$J$5:$J$107,MATCH(L613,'Datos - Catálogo TIMSS'!$A$5:$A$107,0)),"No")="Sí",1,0)</f>
        <v>0</v>
      </c>
      <c r="AA613" t="s" s="35">
        <v>3231</v>
      </c>
      <c r="AB613" t="s" s="35">
        <v>2929</v>
      </c>
      <c r="AC613" t="str" s="39">
        <v>Física</v>
      </c>
      <c r="AD613" t="s" s="35">
        <v>1900</v>
      </c>
      <c r="AE613" t="str" s="39" cm="1">
        <f t="array" ref="AE613">IF(AD613="","",IF(LEFT(AD613,1)="1","C1",IF(LEFT(AD613,1)="2","C2",IF(LEFT(AD613,1)="3","C3",""))))</f>
        <v>C3</v>
      </c>
      <c r="AF613" t="s" s="35">
        <v>1602</v>
      </c>
      <c r="AG613" t="s" s="35">
        <v>1617</v>
      </c>
      <c r="AH613" t="s" s="35">
        <v>1602</v>
      </c>
      <c r="AI613" t="s" s="35">
        <v>1629</v>
      </c>
      <c r="AJ613" t="s" s="35">
        <v>1633</v>
      </c>
      <c r="AK613" t="s" s="35">
        <v>854</v>
      </c>
      <c r="AL613" s="39"/>
      <c r="AM613" t="str" s="39" cm="1">
        <f t="array" ref="AM613">IF(AK613="FUERA","Fuera del marco",_xlfn.IFERROR(INDEX('Datos - Catálogo PISA'!$C$5:$C$76,MATCH(AK613,'Datos - Catálogo PISA'!$A$5:$A$76,0)),"?"))</f>
        <v>Sistemas físicos</v>
      </c>
      <c r="AN613" t="s" s="35">
        <v>1651</v>
      </c>
      <c r="AO613" s="39"/>
      <c r="AP613" s="39"/>
      <c r="AQ613" t="s" s="35">
        <v>1751</v>
      </c>
      <c r="AR613" t="s" s="35">
        <v>1765</v>
      </c>
      <c r="AS613" t="s" s="35">
        <v>1771</v>
      </c>
      <c r="AT613" t="s" s="35">
        <v>254</v>
      </c>
      <c r="AU613" t="s" s="35">
        <v>4736</v>
      </c>
      <c r="AV613" t="s" s="35">
        <v>139</v>
      </c>
      <c r="AW613" t="str" s="39" cm="1">
        <f t="array" ref="AW613">AF613&amp;"; "&amp;AG613&amp;"; "&amp;AH613&amp;"; "&amp;AI613&amp;"; "&amp;AJ613</f>
        <v>E1; D1; E1; I3; I5</v>
      </c>
    </row>
    <row r="614" ht="13.65" customHeight="1">
      <c r="A614" t="s" s="35">
        <v>4737</v>
      </c>
      <c r="B614" s="36">
        <v>9</v>
      </c>
      <c r="C614" t="s" s="35">
        <v>1823</v>
      </c>
      <c r="D614" t="s" s="35">
        <v>4371</v>
      </c>
      <c r="E614" t="s" s="35">
        <v>4702</v>
      </c>
      <c r="F614" s="36">
        <v>11</v>
      </c>
      <c r="G614" t="s" s="35">
        <v>898</v>
      </c>
      <c r="H614" t="s" s="35">
        <v>4729</v>
      </c>
      <c r="I614" t="s" s="120">
        <v>4738</v>
      </c>
      <c r="J614" t="s" s="35">
        <v>4375</v>
      </c>
      <c r="K614" t="s" s="35">
        <v>1832</v>
      </c>
      <c r="L614" s="39"/>
      <c r="M614" t="str" s="39">
        <v>Fuera del marco</v>
      </c>
      <c r="N614" t="str" s="39">
        <v>Fuera del marco</v>
      </c>
      <c r="O614" t="str" s="39" cm="1">
        <f t="array" ref="O614">IF(L614="","",_xlfn.IFERROR(INDEX('Datos - Catálogo TIMSS'!$C$5:$C$107,MATCH(L614,'Datos - Catálogo TIMSS'!$A$5:$A$107,0)),"?"))</f>
      </c>
      <c r="P614" t="s" s="35">
        <v>282</v>
      </c>
      <c r="Q614" t="s" s="120">
        <v>4739</v>
      </c>
      <c r="R614" t="s" s="120">
        <v>3297</v>
      </c>
      <c r="S614" s="121" cm="1">
        <f t="array" ref="S614">_xlfn.IFERROR(ISNUMBER(SEARCH("Conocer",$R614))/(ISNUMBER(SEARCH("Conocer",$R614))+ISNUMBER(SEARCH("Aplicar",$R614))+ISNUMBER(SEARCH("Razonar",$R614))),0)</f>
        <v>1</v>
      </c>
      <c r="T614" s="121" cm="1">
        <f t="array" ref="T614">_xlfn.IFERROR(ISNUMBER(SEARCH("Aplicar",$R614))/(ISNUMBER(SEARCH("Conocer",$R614))+ISNUMBER(SEARCH("Aplicar",$R614))+ISNUMBER(SEARCH("Razonar",$R614))),0)</f>
        <v>0</v>
      </c>
      <c r="U614" s="121" cm="1">
        <f t="array" ref="U614">_xlfn.IFERROR(ISNUMBER(SEARCH("Razonar",$R614))/(ISNUMBER(SEARCH("Conocer",$R614))+ISNUMBER(SEARCH("Aplicar",$R614))+ISNUMBER(SEARCH("Razonar",$R614))),0)</f>
        <v>0</v>
      </c>
      <c r="V614" t="s" s="35">
        <v>138</v>
      </c>
      <c r="W614" t="s" s="35">
        <v>138</v>
      </c>
      <c r="X614" s="36" cm="1">
        <f t="array" ref="X614">IF(OR(_xlfn.IFERROR(INDEX('Datos - Catálogo TIMSS'!$I$5:$I$107,MATCH(K614,'Datos - Catálogo TIMSS'!$A$5:$A$107,0)),"No")="Sí",_xlfn.IFERROR(INDEX('Datos - Catálogo TIMSS'!$I$5:$I$107,MATCH(L614,'Datos - Catálogo TIMSS'!$A$5:$A$107,0)),"No")="Sí"),1,0)</f>
        <v>0</v>
      </c>
      <c r="Y614" s="36" cm="1">
        <f t="array" ref="Y614">IF(_xlfn.IFERROR(INDEX('Datos - Catálogo TIMSS'!$J$5:$J$107,MATCH(K614,'Datos - Catálogo TIMSS'!$A$5:$A$107,0)),"No")="Sí",1,0)</f>
        <v>0</v>
      </c>
      <c r="Z614" s="36" cm="1">
        <f t="array" ref="Z614">IF(_xlfn.IFERROR(INDEX('Datos - Catálogo TIMSS'!$J$5:$J$107,MATCH(L614,'Datos - Catálogo TIMSS'!$A$5:$A$107,0)),"No")="Sí",1,0)</f>
        <v>0</v>
      </c>
      <c r="AA614" t="s" s="35">
        <v>1832</v>
      </c>
      <c r="AB614" s="39"/>
      <c r="AC614" t="str" s="39">
        <v>Fuera del marco</v>
      </c>
      <c r="AD614" t="s" s="35">
        <v>1859</v>
      </c>
      <c r="AE614" t="str" s="39" cm="1">
        <f t="array" ref="AE614">IF(AD614="","",IF(LEFT(AD614,1)="1","C1",IF(LEFT(AD614,1)="2","C2",IF(LEFT(AD614,1)="3","C3",""))))</f>
        <v>C1</v>
      </c>
      <c r="AF614" t="s" s="35">
        <v>1602</v>
      </c>
      <c r="AG614" t="s" s="35">
        <v>1617</v>
      </c>
      <c r="AH614" t="s" s="35">
        <v>1602</v>
      </c>
      <c r="AI614" t="s" s="35">
        <v>1623</v>
      </c>
      <c r="AJ614" t="s" s="35">
        <v>1615</v>
      </c>
      <c r="AK614" t="s" s="35">
        <v>854</v>
      </c>
      <c r="AL614" s="39"/>
      <c r="AM614" t="str" s="39" cm="1">
        <f t="array" ref="AM614">IF(AK614="FUERA","Fuera del marco",_xlfn.IFERROR(INDEX('Datos - Catálogo PISA'!$C$5:$C$76,MATCH(AK614,'Datos - Catálogo PISA'!$A$5:$A$76,0)),"?"))</f>
        <v>Sistemas físicos</v>
      </c>
      <c r="AN614" t="s" s="35">
        <v>1651</v>
      </c>
      <c r="AO614" s="39"/>
      <c r="AP614" s="39"/>
      <c r="AQ614" t="s" s="35">
        <v>1751</v>
      </c>
      <c r="AR614" t="s" s="35">
        <v>1768</v>
      </c>
      <c r="AS614" t="s" s="35">
        <v>1771</v>
      </c>
      <c r="AT614" t="s" s="35">
        <v>291</v>
      </c>
      <c r="AU614" t="s" s="35">
        <v>4740</v>
      </c>
      <c r="AV614" t="s" s="35">
        <v>139</v>
      </c>
      <c r="AW614" t="str" s="39" cm="1">
        <f t="array" ref="AW614">AF614&amp;"; "&amp;AG614&amp;"; "&amp;AH614&amp;"; "&amp;AI614&amp;"; "&amp;AJ614</f>
        <v>E1; D1; E1; D4; E6</v>
      </c>
    </row>
    <row r="615" ht="13.65" customHeight="1">
      <c r="A615" t="s" s="35">
        <v>4741</v>
      </c>
      <c r="B615" s="36">
        <v>9</v>
      </c>
      <c r="C615" t="s" s="35">
        <v>1823</v>
      </c>
      <c r="D615" t="s" s="35">
        <v>4371</v>
      </c>
      <c r="E615" t="s" s="35">
        <v>4702</v>
      </c>
      <c r="F615" s="36">
        <v>12</v>
      </c>
      <c r="G615" t="s" s="35">
        <v>898</v>
      </c>
      <c r="H615" t="s" s="35">
        <v>4742</v>
      </c>
      <c r="I615" t="s" s="120">
        <v>4743</v>
      </c>
      <c r="J615" t="s" s="35">
        <v>4375</v>
      </c>
      <c r="K615" t="s" s="35">
        <v>1832</v>
      </c>
      <c r="L615" s="39"/>
      <c r="M615" t="str" s="39">
        <v>Fuera del marco</v>
      </c>
      <c r="N615" t="str" s="39">
        <v>Fuera del marco</v>
      </c>
      <c r="O615" t="str" s="39" cm="1">
        <f t="array" ref="O615">IF(L615="","",_xlfn.IFERROR(INDEX('Datos - Catálogo TIMSS'!$C$5:$C$107,MATCH(L615,'Datos - Catálogo TIMSS'!$A$5:$A$107,0)),"?"))</f>
      </c>
      <c r="P615" t="s" s="35">
        <v>254</v>
      </c>
      <c r="Q615" t="s" s="120">
        <v>4744</v>
      </c>
      <c r="R615" t="s" s="120">
        <v>4745</v>
      </c>
      <c r="S615" s="121" cm="1">
        <f t="array" ref="S615">_xlfn.IFERROR(ISNUMBER(SEARCH("Conocer",$R615))/(ISNUMBER(SEARCH("Conocer",$R615))+ISNUMBER(SEARCH("Aplicar",$R615))+ISNUMBER(SEARCH("Razonar",$R615))),0)</f>
        <v>0</v>
      </c>
      <c r="T615" s="121" cm="1">
        <f t="array" ref="T615">_xlfn.IFERROR(ISNUMBER(SEARCH("Aplicar",$R615))/(ISNUMBER(SEARCH("Conocer",$R615))+ISNUMBER(SEARCH("Aplicar",$R615))+ISNUMBER(SEARCH("Razonar",$R615))),0)</f>
        <v>1</v>
      </c>
      <c r="U615" s="121" cm="1">
        <f t="array" ref="U615">_xlfn.IFERROR(ISNUMBER(SEARCH("Razonar",$R615))/(ISNUMBER(SEARCH("Conocer",$R615))+ISNUMBER(SEARCH("Aplicar",$R615))+ISNUMBER(SEARCH("Razonar",$R615))),0)</f>
        <v>0</v>
      </c>
      <c r="V615" t="s" s="35">
        <v>138</v>
      </c>
      <c r="W615" t="s" s="35">
        <v>138</v>
      </c>
      <c r="X615" s="36" cm="1">
        <f t="array" ref="X615">IF(OR(_xlfn.IFERROR(INDEX('Datos - Catálogo TIMSS'!$I$5:$I$107,MATCH(K615,'Datos - Catálogo TIMSS'!$A$5:$A$107,0)),"No")="Sí",_xlfn.IFERROR(INDEX('Datos - Catálogo TIMSS'!$I$5:$I$107,MATCH(L615,'Datos - Catálogo TIMSS'!$A$5:$A$107,0)),"No")="Sí"),1,0)</f>
        <v>0</v>
      </c>
      <c r="Y615" s="36" cm="1">
        <f t="array" ref="Y615">IF(_xlfn.IFERROR(INDEX('Datos - Catálogo TIMSS'!$J$5:$J$107,MATCH(K615,'Datos - Catálogo TIMSS'!$A$5:$A$107,0)),"No")="Sí",1,0)</f>
        <v>0</v>
      </c>
      <c r="Z615" s="36" cm="1">
        <f t="array" ref="Z615">IF(_xlfn.IFERROR(INDEX('Datos - Catálogo TIMSS'!$J$5:$J$107,MATCH(L615,'Datos - Catálogo TIMSS'!$A$5:$A$107,0)),"No")="Sí",1,0)</f>
        <v>0</v>
      </c>
      <c r="AA615" t="s" s="35">
        <v>1832</v>
      </c>
      <c r="AB615" s="39"/>
      <c r="AC615" t="str" s="39">
        <v>Fuera del marco</v>
      </c>
      <c r="AD615" t="s" s="35">
        <v>1859</v>
      </c>
      <c r="AE615" t="str" s="39" cm="1">
        <f t="array" ref="AE615">IF(AD615="","",IF(LEFT(AD615,1)="1","C1",IF(LEFT(AD615,1)="2","C2",IF(LEFT(AD615,1)="3","C3",""))))</f>
        <v>C1</v>
      </c>
      <c r="AF615" t="s" s="35">
        <v>1602</v>
      </c>
      <c r="AG615" t="s" s="35">
        <v>1617</v>
      </c>
      <c r="AH615" t="s" s="35">
        <v>1602</v>
      </c>
      <c r="AI615" t="s" s="35">
        <v>1623</v>
      </c>
      <c r="AJ615" t="s" s="35">
        <v>1615</v>
      </c>
      <c r="AK615" t="s" s="35">
        <v>1832</v>
      </c>
      <c r="AL615" s="39"/>
      <c r="AM615" t="str" s="39" cm="1">
        <f t="array" ref="AM615">IF(AK615="FUERA","Fuera del marco",_xlfn.IFERROR(INDEX('Datos - Catálogo PISA'!$C$5:$C$76,MATCH(AK615,'Datos - Catálogo PISA'!$A$5:$A$76,0)),"?"))</f>
        <v>Fuera del marco</v>
      </c>
      <c r="AN615" t="s" s="35">
        <v>1651</v>
      </c>
      <c r="AO615" s="39"/>
      <c r="AP615" s="39"/>
      <c r="AQ615" t="s" s="35">
        <v>1756</v>
      </c>
      <c r="AR615" s="39"/>
      <c r="AS615" t="s" s="35">
        <v>1770</v>
      </c>
      <c r="AT615" t="s" s="35">
        <v>254</v>
      </c>
      <c r="AU615" t="s" s="35">
        <v>4746</v>
      </c>
      <c r="AV615" t="s" s="35">
        <v>139</v>
      </c>
      <c r="AW615" t="str" s="39" cm="1">
        <f t="array" ref="AW615">AF615&amp;"; "&amp;AG615&amp;"; "&amp;AH615&amp;"; "&amp;AI615&amp;"; "&amp;AJ615</f>
        <v>E1; D1; E1; D4; E6</v>
      </c>
    </row>
    <row r="616" ht="13.65" customHeight="1">
      <c r="A616" t="s" s="35">
        <v>4747</v>
      </c>
      <c r="B616" s="36">
        <v>9</v>
      </c>
      <c r="C616" t="s" s="35">
        <v>1823</v>
      </c>
      <c r="D616" t="s" s="35">
        <v>4371</v>
      </c>
      <c r="E616" t="s" s="35">
        <v>4702</v>
      </c>
      <c r="F616" s="36">
        <v>13</v>
      </c>
      <c r="G616" t="s" s="35">
        <v>898</v>
      </c>
      <c r="H616" t="s" s="35">
        <v>4742</v>
      </c>
      <c r="I616" t="s" s="120">
        <v>4748</v>
      </c>
      <c r="J616" t="s" s="35">
        <v>4375</v>
      </c>
      <c r="K616" t="s" s="35">
        <v>1832</v>
      </c>
      <c r="L616" s="39"/>
      <c r="M616" t="str" s="39">
        <v>Fuera del marco</v>
      </c>
      <c r="N616" t="str" s="39">
        <v>Fuera del marco</v>
      </c>
      <c r="O616" t="str" s="39" cm="1">
        <f t="array" ref="O616">IF(L616="","",_xlfn.IFERROR(INDEX('Datos - Catálogo TIMSS'!$C$5:$C$107,MATCH(L616,'Datos - Catálogo TIMSS'!$A$5:$A$107,0)),"?"))</f>
      </c>
      <c r="P616" t="s" s="35">
        <v>282</v>
      </c>
      <c r="Q616" t="s" s="120">
        <v>4749</v>
      </c>
      <c r="R616" t="s" s="120">
        <v>3253</v>
      </c>
      <c r="S616" s="121" cm="1">
        <f t="array" ref="S616">_xlfn.IFERROR(ISNUMBER(SEARCH("Conocer",$R616))/(ISNUMBER(SEARCH("Conocer",$R616))+ISNUMBER(SEARCH("Aplicar",$R616))+ISNUMBER(SEARCH("Razonar",$R616))),0)</f>
        <v>0</v>
      </c>
      <c r="T616" s="121" cm="1">
        <f t="array" ref="T616">_xlfn.IFERROR(ISNUMBER(SEARCH("Aplicar",$R616))/(ISNUMBER(SEARCH("Conocer",$R616))+ISNUMBER(SEARCH("Aplicar",$R616))+ISNUMBER(SEARCH("Razonar",$R616))),0)</f>
        <v>1</v>
      </c>
      <c r="U616" s="121" cm="1">
        <f t="array" ref="U616">_xlfn.IFERROR(ISNUMBER(SEARCH("Razonar",$R616))/(ISNUMBER(SEARCH("Conocer",$R616))+ISNUMBER(SEARCH("Aplicar",$R616))+ISNUMBER(SEARCH("Razonar",$R616))),0)</f>
        <v>0</v>
      </c>
      <c r="V616" t="s" s="35">
        <v>138</v>
      </c>
      <c r="W616" t="s" s="35">
        <v>138</v>
      </c>
      <c r="X616" s="36" cm="1">
        <f t="array" ref="X616">IF(OR(_xlfn.IFERROR(INDEX('Datos - Catálogo TIMSS'!$I$5:$I$107,MATCH(K616,'Datos - Catálogo TIMSS'!$A$5:$A$107,0)),"No")="Sí",_xlfn.IFERROR(INDEX('Datos - Catálogo TIMSS'!$I$5:$I$107,MATCH(L616,'Datos - Catálogo TIMSS'!$A$5:$A$107,0)),"No")="Sí"),1,0)</f>
        <v>0</v>
      </c>
      <c r="Y616" s="36" cm="1">
        <f t="array" ref="Y616">IF(_xlfn.IFERROR(INDEX('Datos - Catálogo TIMSS'!$J$5:$J$107,MATCH(K616,'Datos - Catálogo TIMSS'!$A$5:$A$107,0)),"No")="Sí",1,0)</f>
        <v>0</v>
      </c>
      <c r="Z616" s="36" cm="1">
        <f t="array" ref="Z616">IF(_xlfn.IFERROR(INDEX('Datos - Catálogo TIMSS'!$J$5:$J$107,MATCH(L616,'Datos - Catálogo TIMSS'!$A$5:$A$107,0)),"No")="Sí",1,0)</f>
        <v>0</v>
      </c>
      <c r="AA616" t="s" s="35">
        <v>1832</v>
      </c>
      <c r="AB616" s="39"/>
      <c r="AC616" t="str" s="39">
        <v>Fuera del marco</v>
      </c>
      <c r="AD616" t="s" s="35">
        <v>1834</v>
      </c>
      <c r="AE616" t="str" s="39" cm="1">
        <f t="array" ref="AE616">IF(AD616="","",IF(LEFT(AD616,1)="1","C1",IF(LEFT(AD616,1)="2","C2",IF(LEFT(AD616,1)="3","C3",""))))</f>
        <v>C2</v>
      </c>
      <c r="AF616" t="s" s="35">
        <v>1602</v>
      </c>
      <c r="AG616" t="s" s="35">
        <v>1617</v>
      </c>
      <c r="AH616" t="s" s="35">
        <v>1609</v>
      </c>
      <c r="AI616" t="s" s="35">
        <v>1621</v>
      </c>
      <c r="AJ616" t="s" s="35">
        <v>1607</v>
      </c>
      <c r="AK616" t="s" s="35">
        <v>1832</v>
      </c>
      <c r="AL616" s="39"/>
      <c r="AM616" t="str" s="39" cm="1">
        <f t="array" ref="AM616">IF(AK616="FUERA","Fuera del marco",_xlfn.IFERROR(INDEX('Datos - Catálogo PISA'!$C$5:$C$76,MATCH(AK616,'Datos - Catálogo PISA'!$A$5:$A$76,0)),"?"))</f>
        <v>Fuera del marco</v>
      </c>
      <c r="AN616" t="s" s="35">
        <v>1651</v>
      </c>
      <c r="AO616" s="39"/>
      <c r="AP616" s="39"/>
      <c r="AQ616" t="s" s="35">
        <v>1756</v>
      </c>
      <c r="AR616" s="39"/>
      <c r="AS616" t="s" s="35">
        <v>1771</v>
      </c>
      <c r="AT616" t="s" s="35">
        <v>282</v>
      </c>
      <c r="AU616" t="s" s="35">
        <v>4750</v>
      </c>
      <c r="AV616" t="s" s="35">
        <v>139</v>
      </c>
      <c r="AW616" t="str" s="39" cm="1">
        <f t="array" ref="AW616">AF616&amp;"; "&amp;AG616&amp;"; "&amp;AH616&amp;"; "&amp;AI616&amp;"; "&amp;AJ616</f>
        <v>E1; D1; E4; D3; E3</v>
      </c>
    </row>
    <row r="617" ht="13.65" customHeight="1">
      <c r="A617" t="s" s="35">
        <v>4751</v>
      </c>
      <c r="B617" s="36">
        <v>9</v>
      </c>
      <c r="C617" t="s" s="35">
        <v>1823</v>
      </c>
      <c r="D617" t="s" s="35">
        <v>4371</v>
      </c>
      <c r="E617" t="s" s="35">
        <v>4702</v>
      </c>
      <c r="F617" s="36">
        <v>14</v>
      </c>
      <c r="G617" t="s" s="35">
        <v>898</v>
      </c>
      <c r="H617" t="s" s="35">
        <v>4752</v>
      </c>
      <c r="I617" t="s" s="120">
        <v>4753</v>
      </c>
      <c r="J617" t="s" s="35">
        <v>4375</v>
      </c>
      <c r="K617" t="s" s="35">
        <v>1832</v>
      </c>
      <c r="L617" s="39"/>
      <c r="M617" t="str" s="39">
        <v>Fuera del marco</v>
      </c>
      <c r="N617" t="str" s="39">
        <v>Fuera del marco</v>
      </c>
      <c r="O617" t="str" s="39" cm="1">
        <f t="array" ref="O617">IF(L617="","",_xlfn.IFERROR(INDEX('Datos - Catálogo TIMSS'!$C$5:$C$107,MATCH(L617,'Datos - Catálogo TIMSS'!$A$5:$A$107,0)),"?"))</f>
      </c>
      <c r="P617" t="s" s="35">
        <v>254</v>
      </c>
      <c r="Q617" t="s" s="120">
        <v>4754</v>
      </c>
      <c r="R617" t="s" s="120">
        <v>4755</v>
      </c>
      <c r="S617" s="121" cm="1">
        <f t="array" ref="S617">_xlfn.IFERROR(ISNUMBER(SEARCH("Conocer",$R617))/(ISNUMBER(SEARCH("Conocer",$R617))+ISNUMBER(SEARCH("Aplicar",$R617))+ISNUMBER(SEARCH("Razonar",$R617))),0)</f>
        <v>0</v>
      </c>
      <c r="T617" s="121" cm="1">
        <f t="array" ref="T617">_xlfn.IFERROR(ISNUMBER(SEARCH("Aplicar",$R617))/(ISNUMBER(SEARCH("Conocer",$R617))+ISNUMBER(SEARCH("Aplicar",$R617))+ISNUMBER(SEARCH("Razonar",$R617))),0)</f>
        <v>0.5</v>
      </c>
      <c r="U617" s="121" cm="1">
        <f t="array" ref="U617">_xlfn.IFERROR(ISNUMBER(SEARCH("Razonar",$R617))/(ISNUMBER(SEARCH("Conocer",$R617))+ISNUMBER(SEARCH("Aplicar",$R617))+ISNUMBER(SEARCH("Razonar",$R617))),0)</f>
        <v>0.5</v>
      </c>
      <c r="V617" t="s" s="35">
        <v>138</v>
      </c>
      <c r="W617" t="s" s="35">
        <v>138</v>
      </c>
      <c r="X617" s="36" cm="1">
        <f t="array" ref="X617">IF(OR(_xlfn.IFERROR(INDEX('Datos - Catálogo TIMSS'!$I$5:$I$107,MATCH(K617,'Datos - Catálogo TIMSS'!$A$5:$A$107,0)),"No")="Sí",_xlfn.IFERROR(INDEX('Datos - Catálogo TIMSS'!$I$5:$I$107,MATCH(L617,'Datos - Catálogo TIMSS'!$A$5:$A$107,0)),"No")="Sí"),1,0)</f>
        <v>0</v>
      </c>
      <c r="Y617" s="36" cm="1">
        <f t="array" ref="Y617">IF(_xlfn.IFERROR(INDEX('Datos - Catálogo TIMSS'!$J$5:$J$107,MATCH(K617,'Datos - Catálogo TIMSS'!$A$5:$A$107,0)),"No")="Sí",1,0)</f>
        <v>0</v>
      </c>
      <c r="Z617" s="36" cm="1">
        <f t="array" ref="Z617">IF(_xlfn.IFERROR(INDEX('Datos - Catálogo TIMSS'!$J$5:$J$107,MATCH(L617,'Datos - Catálogo TIMSS'!$A$5:$A$107,0)),"No")="Sí",1,0)</f>
        <v>0</v>
      </c>
      <c r="AA617" t="s" s="35">
        <v>1832</v>
      </c>
      <c r="AB617" s="39"/>
      <c r="AC617" t="str" s="39">
        <v>Fuera del marco</v>
      </c>
      <c r="AD617" t="s" s="35">
        <v>1834</v>
      </c>
      <c r="AE617" t="str" s="39" cm="1">
        <f t="array" ref="AE617">IF(AD617="","",IF(LEFT(AD617,1)="1","C1",IF(LEFT(AD617,1)="2","C2",IF(LEFT(AD617,1)="3","C3",""))))</f>
        <v>C2</v>
      </c>
      <c r="AF617" t="s" s="35">
        <v>1602</v>
      </c>
      <c r="AG617" t="s" s="35">
        <v>1617</v>
      </c>
      <c r="AH617" t="s" s="35">
        <v>1605</v>
      </c>
      <c r="AI617" t="s" s="35">
        <v>1623</v>
      </c>
      <c r="AJ617" t="s" s="35">
        <v>1602</v>
      </c>
      <c r="AK617" t="s" s="35">
        <v>1832</v>
      </c>
      <c r="AL617" s="39"/>
      <c r="AM617" t="str" s="39" cm="1">
        <f t="array" ref="AM617">IF(AK617="FUERA","Fuera del marco",_xlfn.IFERROR(INDEX('Datos - Catálogo PISA'!$C$5:$C$76,MATCH(AK617,'Datos - Catálogo PISA'!$A$5:$A$76,0)),"?"))</f>
        <v>Fuera del marco</v>
      </c>
      <c r="AN617" t="s" s="35">
        <v>1651</v>
      </c>
      <c r="AO617" s="39"/>
      <c r="AP617" s="39"/>
      <c r="AQ617" t="s" s="35">
        <v>1756</v>
      </c>
      <c r="AR617" s="39"/>
      <c r="AS617" t="s" s="35">
        <v>1771</v>
      </c>
      <c r="AT617" t="s" s="35">
        <v>254</v>
      </c>
      <c r="AU617" t="s" s="35">
        <v>4756</v>
      </c>
      <c r="AV617" t="s" s="35">
        <v>139</v>
      </c>
      <c r="AW617" t="str" s="39" cm="1">
        <f t="array" ref="AW617">AF617&amp;"; "&amp;AG617&amp;"; "&amp;AH617&amp;"; "&amp;AI617&amp;"; "&amp;AJ617</f>
        <v>E1; D1; E2; D4; E1</v>
      </c>
    </row>
    <row r="618" ht="13.65" customHeight="1">
      <c r="A618" t="s" s="35">
        <v>4757</v>
      </c>
      <c r="B618" s="36">
        <v>9</v>
      </c>
      <c r="C618" t="s" s="35">
        <v>1823</v>
      </c>
      <c r="D618" t="s" s="35">
        <v>4371</v>
      </c>
      <c r="E618" t="s" s="35">
        <v>4702</v>
      </c>
      <c r="F618" s="36">
        <v>15</v>
      </c>
      <c r="G618" t="s" s="35">
        <v>898</v>
      </c>
      <c r="H618" t="s" s="35">
        <v>4752</v>
      </c>
      <c r="I618" t="s" s="120">
        <v>4758</v>
      </c>
      <c r="J618" t="s" s="35">
        <v>4375</v>
      </c>
      <c r="K618" t="s" s="35">
        <v>1832</v>
      </c>
      <c r="L618" s="39"/>
      <c r="M618" t="str" s="39">
        <v>Fuera del marco</v>
      </c>
      <c r="N618" t="str" s="39">
        <v>Fuera del marco</v>
      </c>
      <c r="O618" t="str" s="39" cm="1">
        <f t="array" ref="O618">IF(L618="","",_xlfn.IFERROR(INDEX('Datos - Catálogo TIMSS'!$C$5:$C$107,MATCH(L618,'Datos - Catálogo TIMSS'!$A$5:$A$107,0)),"?"))</f>
      </c>
      <c r="P618" t="s" s="35">
        <v>254</v>
      </c>
      <c r="Q618" t="s" s="120">
        <v>4759</v>
      </c>
      <c r="R618" t="s" s="120">
        <v>3253</v>
      </c>
      <c r="S618" s="121" cm="1">
        <f t="array" ref="S618">_xlfn.IFERROR(ISNUMBER(SEARCH("Conocer",$R618))/(ISNUMBER(SEARCH("Conocer",$R618))+ISNUMBER(SEARCH("Aplicar",$R618))+ISNUMBER(SEARCH("Razonar",$R618))),0)</f>
        <v>0</v>
      </c>
      <c r="T618" s="121" cm="1">
        <f t="array" ref="T618">_xlfn.IFERROR(ISNUMBER(SEARCH("Aplicar",$R618))/(ISNUMBER(SEARCH("Conocer",$R618))+ISNUMBER(SEARCH("Aplicar",$R618))+ISNUMBER(SEARCH("Razonar",$R618))),0)</f>
        <v>1</v>
      </c>
      <c r="U618" s="121" cm="1">
        <f t="array" ref="U618">_xlfn.IFERROR(ISNUMBER(SEARCH("Razonar",$R618))/(ISNUMBER(SEARCH("Conocer",$R618))+ISNUMBER(SEARCH("Aplicar",$R618))+ISNUMBER(SEARCH("Razonar",$R618))),0)</f>
        <v>0</v>
      </c>
      <c r="V618" t="s" s="35">
        <v>138</v>
      </c>
      <c r="W618" t="s" s="35">
        <v>138</v>
      </c>
      <c r="X618" s="36" cm="1">
        <f t="array" ref="X618">IF(OR(_xlfn.IFERROR(INDEX('Datos - Catálogo TIMSS'!$I$5:$I$107,MATCH(K618,'Datos - Catálogo TIMSS'!$A$5:$A$107,0)),"No")="Sí",_xlfn.IFERROR(INDEX('Datos - Catálogo TIMSS'!$I$5:$I$107,MATCH(L618,'Datos - Catálogo TIMSS'!$A$5:$A$107,0)),"No")="Sí"),1,0)</f>
        <v>0</v>
      </c>
      <c r="Y618" s="36" cm="1">
        <f t="array" ref="Y618">IF(_xlfn.IFERROR(INDEX('Datos - Catálogo TIMSS'!$J$5:$J$107,MATCH(K618,'Datos - Catálogo TIMSS'!$A$5:$A$107,0)),"No")="Sí",1,0)</f>
        <v>0</v>
      </c>
      <c r="Z618" s="36" cm="1">
        <f t="array" ref="Z618">IF(_xlfn.IFERROR(INDEX('Datos - Catálogo TIMSS'!$J$5:$J$107,MATCH(L618,'Datos - Catálogo TIMSS'!$A$5:$A$107,0)),"No")="Sí",1,0)</f>
        <v>0</v>
      </c>
      <c r="AA618" t="s" s="35">
        <v>1832</v>
      </c>
      <c r="AB618" s="39"/>
      <c r="AC618" t="str" s="39">
        <v>Fuera del marco</v>
      </c>
      <c r="AD618" t="s" s="35">
        <v>1834</v>
      </c>
      <c r="AE618" t="str" s="39" cm="1">
        <f t="array" ref="AE618">IF(AD618="","",IF(LEFT(AD618,1)="1","C1",IF(LEFT(AD618,1)="2","C2",IF(LEFT(AD618,1)="3","C3",""))))</f>
        <v>C2</v>
      </c>
      <c r="AF618" t="s" s="35">
        <v>1602</v>
      </c>
      <c r="AG618" t="s" s="35">
        <v>1617</v>
      </c>
      <c r="AH618" t="s" s="35">
        <v>1609</v>
      </c>
      <c r="AI618" t="s" s="35">
        <v>1623</v>
      </c>
      <c r="AJ618" t="s" s="35">
        <v>1607</v>
      </c>
      <c r="AK618" t="s" s="35">
        <v>1832</v>
      </c>
      <c r="AL618" s="39"/>
      <c r="AM618" t="str" s="39" cm="1">
        <f t="array" ref="AM618">IF(AK618="FUERA","Fuera del marco",_xlfn.IFERROR(INDEX('Datos - Catálogo PISA'!$C$5:$C$76,MATCH(AK618,'Datos - Catálogo PISA'!$A$5:$A$76,0)),"?"))</f>
        <v>Fuera del marco</v>
      </c>
      <c r="AN618" t="s" s="35">
        <v>1651</v>
      </c>
      <c r="AO618" s="39"/>
      <c r="AP618" s="39"/>
      <c r="AQ618" t="s" s="35">
        <v>1756</v>
      </c>
      <c r="AR618" s="39"/>
      <c r="AS618" t="s" s="35">
        <v>1771</v>
      </c>
      <c r="AT618" t="s" s="35">
        <v>254</v>
      </c>
      <c r="AU618" t="s" s="35">
        <v>4760</v>
      </c>
      <c r="AV618" t="s" s="35">
        <v>139</v>
      </c>
      <c r="AW618" t="str" s="39" cm="1">
        <f t="array" ref="AW618">AF618&amp;"; "&amp;AG618&amp;"; "&amp;AH618&amp;"; "&amp;AI618&amp;"; "&amp;AJ618</f>
        <v>E1; D1; E4; D4; E3</v>
      </c>
    </row>
    <row r="619" ht="13.65" customHeight="1">
      <c r="A619" t="s" s="35">
        <v>4761</v>
      </c>
      <c r="B619" s="36">
        <v>9</v>
      </c>
      <c r="C619" t="s" s="35">
        <v>1823</v>
      </c>
      <c r="D619" t="s" s="35">
        <v>4371</v>
      </c>
      <c r="E619" t="s" s="35">
        <v>4702</v>
      </c>
      <c r="F619" s="36">
        <v>16</v>
      </c>
      <c r="G619" t="s" s="35">
        <v>898</v>
      </c>
      <c r="H619" t="s" s="35">
        <v>4752</v>
      </c>
      <c r="I619" t="s" s="120">
        <v>4762</v>
      </c>
      <c r="J619" t="s" s="35">
        <v>4375</v>
      </c>
      <c r="K619" t="s" s="35">
        <v>1832</v>
      </c>
      <c r="L619" s="39"/>
      <c r="M619" t="str" s="39">
        <v>Fuera del marco</v>
      </c>
      <c r="N619" t="str" s="39">
        <v>Fuera del marco</v>
      </c>
      <c r="O619" t="str" s="39" cm="1">
        <f t="array" ref="O619">IF(L619="","",_xlfn.IFERROR(INDEX('Datos - Catálogo TIMSS'!$C$5:$C$107,MATCH(L619,'Datos - Catálogo TIMSS'!$A$5:$A$107,0)),"?"))</f>
      </c>
      <c r="P619" t="s" s="35">
        <v>254</v>
      </c>
      <c r="Q619" t="s" s="120">
        <v>4763</v>
      </c>
      <c r="R619" t="s" s="120">
        <v>4764</v>
      </c>
      <c r="S619" s="121" cm="1">
        <f t="array" ref="S619">_xlfn.IFERROR(ISNUMBER(SEARCH("Conocer",$R619))/(ISNUMBER(SEARCH("Conocer",$R619))+ISNUMBER(SEARCH("Aplicar",$R619))+ISNUMBER(SEARCH("Razonar",$R619))),0)</f>
        <v>0</v>
      </c>
      <c r="T619" s="121" cm="1">
        <f t="array" ref="T619">_xlfn.IFERROR(ISNUMBER(SEARCH("Aplicar",$R619))/(ISNUMBER(SEARCH("Conocer",$R619))+ISNUMBER(SEARCH("Aplicar",$R619))+ISNUMBER(SEARCH("Razonar",$R619))),0)</f>
        <v>1</v>
      </c>
      <c r="U619" s="121" cm="1">
        <f t="array" ref="U619">_xlfn.IFERROR(ISNUMBER(SEARCH("Razonar",$R619))/(ISNUMBER(SEARCH("Conocer",$R619))+ISNUMBER(SEARCH("Aplicar",$R619))+ISNUMBER(SEARCH("Razonar",$R619))),0)</f>
        <v>0</v>
      </c>
      <c r="V619" t="s" s="35">
        <v>138</v>
      </c>
      <c r="W619" t="s" s="35">
        <v>138</v>
      </c>
      <c r="X619" s="36" cm="1">
        <f t="array" ref="X619">IF(OR(_xlfn.IFERROR(INDEX('Datos - Catálogo TIMSS'!$I$5:$I$107,MATCH(K619,'Datos - Catálogo TIMSS'!$A$5:$A$107,0)),"No")="Sí",_xlfn.IFERROR(INDEX('Datos - Catálogo TIMSS'!$I$5:$I$107,MATCH(L619,'Datos - Catálogo TIMSS'!$A$5:$A$107,0)),"No")="Sí"),1,0)</f>
        <v>0</v>
      </c>
      <c r="Y619" s="36" cm="1">
        <f t="array" ref="Y619">IF(_xlfn.IFERROR(INDEX('Datos - Catálogo TIMSS'!$J$5:$J$107,MATCH(K619,'Datos - Catálogo TIMSS'!$A$5:$A$107,0)),"No")="Sí",1,0)</f>
        <v>0</v>
      </c>
      <c r="Z619" s="36" cm="1">
        <f t="array" ref="Z619">IF(_xlfn.IFERROR(INDEX('Datos - Catálogo TIMSS'!$J$5:$J$107,MATCH(L619,'Datos - Catálogo TIMSS'!$A$5:$A$107,0)),"No")="Sí",1,0)</f>
        <v>0</v>
      </c>
      <c r="AA619" t="s" s="35">
        <v>1832</v>
      </c>
      <c r="AB619" s="39"/>
      <c r="AC619" t="str" s="39">
        <v>Fuera del marco</v>
      </c>
      <c r="AD619" t="s" s="35">
        <v>1834</v>
      </c>
      <c r="AE619" t="str" s="39" cm="1">
        <f t="array" ref="AE619">IF(AD619="","",IF(LEFT(AD619,1)="1","C1",IF(LEFT(AD619,1)="2","C2",IF(LEFT(AD619,1)="3","C3",""))))</f>
        <v>C2</v>
      </c>
      <c r="AF619" t="s" s="35">
        <v>1602</v>
      </c>
      <c r="AG619" t="s" s="35">
        <v>1617</v>
      </c>
      <c r="AH619" t="s" s="35">
        <v>1602</v>
      </c>
      <c r="AI619" t="s" s="35">
        <v>1623</v>
      </c>
      <c r="AJ619" t="s" s="35">
        <v>1607</v>
      </c>
      <c r="AK619" t="s" s="35">
        <v>1832</v>
      </c>
      <c r="AL619" s="39"/>
      <c r="AM619" t="str" s="39" cm="1">
        <f t="array" ref="AM619">IF(AK619="FUERA","Fuera del marco",_xlfn.IFERROR(INDEX('Datos - Catálogo PISA'!$C$5:$C$76,MATCH(AK619,'Datos - Catálogo PISA'!$A$5:$A$76,0)),"?"))</f>
        <v>Fuera del marco</v>
      </c>
      <c r="AN619" t="s" s="35">
        <v>1651</v>
      </c>
      <c r="AO619" s="39"/>
      <c r="AP619" s="39"/>
      <c r="AQ619" t="s" s="35">
        <v>1756</v>
      </c>
      <c r="AR619" s="39"/>
      <c r="AS619" t="s" s="35">
        <v>1771</v>
      </c>
      <c r="AT619" t="s" s="35">
        <v>254</v>
      </c>
      <c r="AU619" t="s" s="35">
        <v>4765</v>
      </c>
      <c r="AV619" t="s" s="35">
        <v>139</v>
      </c>
      <c r="AW619" t="str" s="39" cm="1">
        <f t="array" ref="AW619">AF619&amp;"; "&amp;AG619&amp;"; "&amp;AH619&amp;"; "&amp;AI619&amp;"; "&amp;AJ619</f>
        <v>E1; D1; E1; D4; E3</v>
      </c>
    </row>
    <row r="620" ht="13.65" customHeight="1">
      <c r="A620" t="s" s="35">
        <v>4766</v>
      </c>
      <c r="B620" s="36">
        <v>9</v>
      </c>
      <c r="C620" t="s" s="35">
        <v>1823</v>
      </c>
      <c r="D620" t="s" s="35">
        <v>4371</v>
      </c>
      <c r="E620" t="s" s="35">
        <v>4767</v>
      </c>
      <c r="F620" s="36">
        <v>3</v>
      </c>
      <c r="G620" t="s" s="35">
        <v>889</v>
      </c>
      <c r="H620" t="s" s="35">
        <v>4768</v>
      </c>
      <c r="I620" t="s" s="120">
        <v>4769</v>
      </c>
      <c r="J620" t="s" s="35">
        <v>4375</v>
      </c>
      <c r="K620" t="s" s="35">
        <v>1259</v>
      </c>
      <c r="L620" t="s" s="35">
        <v>1297</v>
      </c>
      <c r="M620" t="str" s="39">
        <v>Física</v>
      </c>
      <c r="N620" t="str" s="39">
        <v>Electricidad y magnetismo</v>
      </c>
      <c r="O620" t="str" s="39" cm="1">
        <f t="array" ref="O620">IF(L620="","",_xlfn.IFERROR(INDEX('Datos - Catálogo TIMSS'!$C$5:$C$107,MATCH(L620,'Datos - Catálogo TIMSS'!$A$5:$A$107,0)),"?"))</f>
        <v>Ciencias de la Tierra</v>
      </c>
      <c r="P620" t="s" s="35">
        <v>282</v>
      </c>
      <c r="Q620" t="s" s="120">
        <v>4770</v>
      </c>
      <c r="R620" t="s" s="120">
        <v>4422</v>
      </c>
      <c r="S620" s="121" cm="1">
        <f t="array" ref="S620">_xlfn.IFERROR(ISNUMBER(SEARCH("Conocer",$R620))/(ISNUMBER(SEARCH("Conocer",$R620))+ISNUMBER(SEARCH("Aplicar",$R620))+ISNUMBER(SEARCH("Razonar",$R620))),0)</f>
        <v>0</v>
      </c>
      <c r="T620" s="121" cm="1">
        <f t="array" ref="T620">_xlfn.IFERROR(ISNUMBER(SEARCH("Aplicar",$R620))/(ISNUMBER(SEARCH("Conocer",$R620))+ISNUMBER(SEARCH("Aplicar",$R620))+ISNUMBER(SEARCH("Razonar",$R620))),0)</f>
        <v>1</v>
      </c>
      <c r="U620" s="121" cm="1">
        <f t="array" ref="U620">_xlfn.IFERROR(ISNUMBER(SEARCH("Razonar",$R620))/(ISNUMBER(SEARCH("Conocer",$R620))+ISNUMBER(SEARCH("Aplicar",$R620))+ISNUMBER(SEARCH("Razonar",$R620))),0)</f>
        <v>0</v>
      </c>
      <c r="V620" t="s" s="35">
        <v>138</v>
      </c>
      <c r="W620" t="s" s="35">
        <v>138</v>
      </c>
      <c r="X620" s="36" cm="1">
        <f t="array" ref="X620">IF(OR(_xlfn.IFERROR(INDEX('Datos - Catálogo TIMSS'!$I$5:$I$107,MATCH(K620,'Datos - Catálogo TIMSS'!$A$5:$A$107,0)),"No")="Sí",_xlfn.IFERROR(INDEX('Datos - Catálogo TIMSS'!$I$5:$I$107,MATCH(L620,'Datos - Catálogo TIMSS'!$A$5:$A$107,0)),"No")="Sí"),1,0)</f>
        <v>0</v>
      </c>
      <c r="Y620" s="36" cm="1">
        <f t="array" ref="Y620">IF(_xlfn.IFERROR(INDEX('Datos - Catálogo TIMSS'!$J$5:$J$107,MATCH(K620,'Datos - Catálogo TIMSS'!$A$5:$A$107,0)),"No")="Sí",1,0)</f>
        <v>0</v>
      </c>
      <c r="Z620" s="36" cm="1">
        <f t="array" ref="Z620">IF(_xlfn.IFERROR(INDEX('Datos - Catálogo TIMSS'!$J$5:$J$107,MATCH(L620,'Datos - Catálogo TIMSS'!$A$5:$A$107,0)),"No")="Sí",1,0)</f>
        <v>1</v>
      </c>
      <c r="AA620" t="s" s="35">
        <v>3064</v>
      </c>
      <c r="AB620" s="39"/>
      <c r="AC620" t="str" s="39">
        <v>Física</v>
      </c>
      <c r="AD620" t="s" s="35">
        <v>1859</v>
      </c>
      <c r="AE620" t="str" s="39" cm="1">
        <f t="array" ref="AE620">IF(AD620="","",IF(LEFT(AD620,1)="1","C1",IF(LEFT(AD620,1)="2","C2",IF(LEFT(AD620,1)="3","C3",""))))</f>
        <v>C1</v>
      </c>
      <c r="AF620" t="s" s="35">
        <v>1602</v>
      </c>
      <c r="AG620" t="s" s="35">
        <v>1617</v>
      </c>
      <c r="AH620" t="s" s="35">
        <v>1602</v>
      </c>
      <c r="AI620" t="s" s="35">
        <v>1623</v>
      </c>
      <c r="AJ620" t="s" s="35">
        <v>1615</v>
      </c>
      <c r="AK620" t="s" s="35">
        <v>838</v>
      </c>
      <c r="AL620" t="s" s="35">
        <v>1550</v>
      </c>
      <c r="AM620" t="str" s="39" cm="1">
        <f t="array" ref="AM620">IF(AK620="FUERA","Fuera del marco",_xlfn.IFERROR(INDEX('Datos - Catálogo PISA'!$C$5:$C$76,MATCH(AK620,'Datos - Catálogo PISA'!$A$5:$A$76,0)),"?"))</f>
        <v>Sistemas físicos</v>
      </c>
      <c r="AN620" t="s" s="35">
        <v>1651</v>
      </c>
      <c r="AO620" t="s" s="35">
        <v>3488</v>
      </c>
      <c r="AP620" s="39"/>
      <c r="AQ620" t="s" s="35">
        <v>1753</v>
      </c>
      <c r="AR620" t="s" s="35">
        <v>1768</v>
      </c>
      <c r="AS620" t="s" s="35">
        <v>1771</v>
      </c>
      <c r="AT620" t="s" s="35">
        <v>282</v>
      </c>
      <c r="AU620" t="s" s="35">
        <v>4771</v>
      </c>
      <c r="AV620" t="s" s="35">
        <v>139</v>
      </c>
      <c r="AW620" t="str" s="39" cm="1">
        <f t="array" ref="AW620">AF620&amp;"; "&amp;AG620&amp;"; "&amp;AH620&amp;"; "&amp;AI620&amp;"; "&amp;AJ620</f>
        <v>E1; D1; E1; D4; E6</v>
      </c>
    </row>
    <row r="621" ht="13.65" customHeight="1">
      <c r="A621" t="s" s="35">
        <v>4772</v>
      </c>
      <c r="B621" s="36">
        <v>9</v>
      </c>
      <c r="C621" t="s" s="35">
        <v>1823</v>
      </c>
      <c r="D621" t="s" s="35">
        <v>4371</v>
      </c>
      <c r="E621" t="s" s="35">
        <v>4767</v>
      </c>
      <c r="F621" s="36">
        <v>4</v>
      </c>
      <c r="G621" t="s" s="35">
        <v>889</v>
      </c>
      <c r="H621" t="s" s="35">
        <v>4768</v>
      </c>
      <c r="I621" t="s" s="120">
        <v>4773</v>
      </c>
      <c r="J621" t="s" s="35">
        <v>4375</v>
      </c>
      <c r="K621" t="s" s="35">
        <v>1259</v>
      </c>
      <c r="L621" s="39"/>
      <c r="M621" t="str" s="39">
        <v>Física</v>
      </c>
      <c r="N621" t="str" s="39">
        <v>Electricidad y magnetismo</v>
      </c>
      <c r="O621" t="str" s="39" cm="1">
        <f t="array" ref="O621">IF(L621="","",_xlfn.IFERROR(INDEX('Datos - Catálogo TIMSS'!$C$5:$C$107,MATCH(L621,'Datos - Catálogo TIMSS'!$A$5:$A$107,0)),"?"))</f>
      </c>
      <c r="P621" t="s" s="35">
        <v>291</v>
      </c>
      <c r="Q621" t="s" s="120">
        <v>4774</v>
      </c>
      <c r="R621" t="s" s="120">
        <v>1878</v>
      </c>
      <c r="S621" s="121" cm="1">
        <f t="array" ref="S621">_xlfn.IFERROR(ISNUMBER(SEARCH("Conocer",$R621))/(ISNUMBER(SEARCH("Conocer",$R621))+ISNUMBER(SEARCH("Aplicar",$R621))+ISNUMBER(SEARCH("Razonar",$R621))),0)</f>
        <v>0</v>
      </c>
      <c r="T621" s="121" cm="1">
        <f t="array" ref="T621">_xlfn.IFERROR(ISNUMBER(SEARCH("Aplicar",$R621))/(ISNUMBER(SEARCH("Conocer",$R621))+ISNUMBER(SEARCH("Aplicar",$R621))+ISNUMBER(SEARCH("Razonar",$R621))),0)</f>
        <v>1</v>
      </c>
      <c r="U621" s="121" cm="1">
        <f t="array" ref="U621">_xlfn.IFERROR(ISNUMBER(SEARCH("Razonar",$R621))/(ISNUMBER(SEARCH("Conocer",$R621))+ISNUMBER(SEARCH("Aplicar",$R621))+ISNUMBER(SEARCH("Razonar",$R621))),0)</f>
        <v>0</v>
      </c>
      <c r="V621" t="s" s="35">
        <v>138</v>
      </c>
      <c r="W621" t="s" s="35">
        <v>138</v>
      </c>
      <c r="X621" s="36" cm="1">
        <f t="array" ref="X621">IF(OR(_xlfn.IFERROR(INDEX('Datos - Catálogo TIMSS'!$I$5:$I$107,MATCH(K621,'Datos - Catálogo TIMSS'!$A$5:$A$107,0)),"No")="Sí",_xlfn.IFERROR(INDEX('Datos - Catálogo TIMSS'!$I$5:$I$107,MATCH(L621,'Datos - Catálogo TIMSS'!$A$5:$A$107,0)),"No")="Sí"),1,0)</f>
        <v>0</v>
      </c>
      <c r="Y621" s="36" cm="1">
        <f t="array" ref="Y621">IF(_xlfn.IFERROR(INDEX('Datos - Catálogo TIMSS'!$J$5:$J$107,MATCH(K621,'Datos - Catálogo TIMSS'!$A$5:$A$107,0)),"No")="Sí",1,0)</f>
        <v>0</v>
      </c>
      <c r="Z621" s="36" cm="1">
        <f t="array" ref="Z621">IF(_xlfn.IFERROR(INDEX('Datos - Catálogo TIMSS'!$J$5:$J$107,MATCH(L621,'Datos - Catálogo TIMSS'!$A$5:$A$107,0)),"No")="Sí",1,0)</f>
        <v>0</v>
      </c>
      <c r="AA621" t="s" s="35">
        <v>3064</v>
      </c>
      <c r="AB621" s="39"/>
      <c r="AC621" t="str" s="39">
        <v>Física</v>
      </c>
      <c r="AD621" t="s" s="35">
        <v>1900</v>
      </c>
      <c r="AE621" t="str" s="39" cm="1">
        <f t="array" ref="AE621">IF(AD621="","",IF(LEFT(AD621,1)="1","C1",IF(LEFT(AD621,1)="2","C2",IF(LEFT(AD621,1)="3","C3",""))))</f>
        <v>C3</v>
      </c>
      <c r="AF621" t="s" s="35">
        <v>1602</v>
      </c>
      <c r="AG621" t="s" s="35">
        <v>1617</v>
      </c>
      <c r="AH621" t="s" s="35">
        <v>1602</v>
      </c>
      <c r="AI621" t="s" s="35">
        <v>1625</v>
      </c>
      <c r="AJ621" t="s" s="35">
        <v>1633</v>
      </c>
      <c r="AK621" t="s" s="35">
        <v>838</v>
      </c>
      <c r="AL621" t="s" s="35">
        <v>667</v>
      </c>
      <c r="AM621" t="str" s="39" cm="1">
        <f t="array" ref="AM621">IF(AK621="FUERA","Fuera del marco",_xlfn.IFERROR(INDEX('Datos - Catálogo PISA'!$C$5:$C$76,MATCH(AK621,'Datos - Catálogo PISA'!$A$5:$A$76,0)),"?"))</f>
        <v>Sistemas físicos</v>
      </c>
      <c r="AN621" t="s" s="35">
        <v>1651</v>
      </c>
      <c r="AO621" s="39"/>
      <c r="AP621" s="39"/>
      <c r="AQ621" t="s" s="35">
        <v>1753</v>
      </c>
      <c r="AR621" t="s" s="35">
        <v>1768</v>
      </c>
      <c r="AS621" t="s" s="35">
        <v>1770</v>
      </c>
      <c r="AT621" t="s" s="35">
        <v>282</v>
      </c>
      <c r="AU621" t="s" s="35">
        <v>4775</v>
      </c>
      <c r="AV621" t="s" s="35">
        <v>139</v>
      </c>
      <c r="AW621" t="str" s="39" cm="1">
        <f t="array" ref="AW621">AF621&amp;"; "&amp;AG621&amp;"; "&amp;AH621&amp;"; "&amp;AI621&amp;"; "&amp;AJ621</f>
        <v>E1; D1; E1; I1; I5</v>
      </c>
    </row>
    <row r="622" ht="13.65" customHeight="1">
      <c r="A622" t="s" s="35">
        <v>4776</v>
      </c>
      <c r="B622" s="36">
        <v>9</v>
      </c>
      <c r="C622" t="s" s="35">
        <v>1823</v>
      </c>
      <c r="D622" t="s" s="35">
        <v>4371</v>
      </c>
      <c r="E622" t="s" s="35">
        <v>4767</v>
      </c>
      <c r="F622" s="36">
        <v>5</v>
      </c>
      <c r="G622" t="s" s="35">
        <v>889</v>
      </c>
      <c r="H622" t="s" s="35">
        <v>4777</v>
      </c>
      <c r="I622" t="s" s="120">
        <v>4778</v>
      </c>
      <c r="J622" t="s" s="35">
        <v>4375</v>
      </c>
      <c r="K622" t="s" s="35">
        <v>1259</v>
      </c>
      <c r="L622" s="39"/>
      <c r="M622" t="str" s="39">
        <v>Física</v>
      </c>
      <c r="N622" t="str" s="39">
        <v>Electricidad y magnetismo</v>
      </c>
      <c r="O622" t="str" s="39" cm="1">
        <f t="array" ref="O622">IF(L622="","",_xlfn.IFERROR(INDEX('Datos - Catálogo TIMSS'!$C$5:$C$107,MATCH(L622,'Datos - Catálogo TIMSS'!$A$5:$A$107,0)),"?"))</f>
      </c>
      <c r="P622" t="s" s="35">
        <v>282</v>
      </c>
      <c r="Q622" t="s" s="120">
        <v>4779</v>
      </c>
      <c r="R622" t="s" s="120">
        <v>3553</v>
      </c>
      <c r="S622" s="121" cm="1">
        <f t="array" ref="S622">_xlfn.IFERROR(ISNUMBER(SEARCH("Conocer",$R622))/(ISNUMBER(SEARCH("Conocer",$R622))+ISNUMBER(SEARCH("Aplicar",$R622))+ISNUMBER(SEARCH("Razonar",$R622))),0)</f>
        <v>0</v>
      </c>
      <c r="T622" s="121" cm="1">
        <f t="array" ref="T622">_xlfn.IFERROR(ISNUMBER(SEARCH("Aplicar",$R622))/(ISNUMBER(SEARCH("Conocer",$R622))+ISNUMBER(SEARCH("Aplicar",$R622))+ISNUMBER(SEARCH("Razonar",$R622))),0)</f>
        <v>0</v>
      </c>
      <c r="U622" s="121" cm="1">
        <f t="array" ref="U622">_xlfn.IFERROR(ISNUMBER(SEARCH("Razonar",$R622))/(ISNUMBER(SEARCH("Conocer",$R622))+ISNUMBER(SEARCH("Aplicar",$R622))+ISNUMBER(SEARCH("Razonar",$R622))),0)</f>
        <v>1</v>
      </c>
      <c r="V622" t="s" s="35">
        <v>138</v>
      </c>
      <c r="W622" t="s" s="35">
        <v>138</v>
      </c>
      <c r="X622" s="36" cm="1">
        <f t="array" ref="X622">IF(OR(_xlfn.IFERROR(INDEX('Datos - Catálogo TIMSS'!$I$5:$I$107,MATCH(K622,'Datos - Catálogo TIMSS'!$A$5:$A$107,0)),"No")="Sí",_xlfn.IFERROR(INDEX('Datos - Catálogo TIMSS'!$I$5:$I$107,MATCH(L622,'Datos - Catálogo TIMSS'!$A$5:$A$107,0)),"No")="Sí"),1,0)</f>
        <v>0</v>
      </c>
      <c r="Y622" s="36" cm="1">
        <f t="array" ref="Y622">IF(_xlfn.IFERROR(INDEX('Datos - Catálogo TIMSS'!$J$5:$J$107,MATCH(K622,'Datos - Catálogo TIMSS'!$A$5:$A$107,0)),"No")="Sí",1,0)</f>
        <v>0</v>
      </c>
      <c r="Z622" s="36" cm="1">
        <f t="array" ref="Z622">IF(_xlfn.IFERROR(INDEX('Datos - Catálogo TIMSS'!$J$5:$J$107,MATCH(L622,'Datos - Catálogo TIMSS'!$A$5:$A$107,0)),"No")="Sí",1,0)</f>
        <v>0</v>
      </c>
      <c r="AA622" t="s" s="35">
        <v>3064</v>
      </c>
      <c r="AB622" s="39"/>
      <c r="AC622" t="str" s="39">
        <v>Física</v>
      </c>
      <c r="AD622" t="s" s="35">
        <v>1900</v>
      </c>
      <c r="AE622" t="str" s="39" cm="1">
        <f t="array" ref="AE622">IF(AD622="","",IF(LEFT(AD622,1)="1","C1",IF(LEFT(AD622,1)="2","C2",IF(LEFT(AD622,1)="3","C3",""))))</f>
        <v>C3</v>
      </c>
      <c r="AF622" t="s" s="35">
        <v>1602</v>
      </c>
      <c r="AG622" t="s" s="35">
        <v>1617</v>
      </c>
      <c r="AH622" t="s" s="35">
        <v>1602</v>
      </c>
      <c r="AI622" t="s" s="35">
        <v>1625</v>
      </c>
      <c r="AJ622" t="s" s="35">
        <v>1627</v>
      </c>
      <c r="AK622" t="s" s="35">
        <v>838</v>
      </c>
      <c r="AL622" s="39"/>
      <c r="AM622" t="str" s="39" cm="1">
        <f t="array" ref="AM622">IF(AK622="FUERA","Fuera del marco",_xlfn.IFERROR(INDEX('Datos - Catálogo PISA'!$C$5:$C$76,MATCH(AK622,'Datos - Catálogo PISA'!$A$5:$A$76,0)),"?"))</f>
        <v>Sistemas físicos</v>
      </c>
      <c r="AN622" t="s" s="35">
        <v>1651</v>
      </c>
      <c r="AO622" s="39"/>
      <c r="AP622" s="39"/>
      <c r="AQ622" t="s" s="35">
        <v>1751</v>
      </c>
      <c r="AR622" t="s" s="35">
        <v>1764</v>
      </c>
      <c r="AS622" t="s" s="35">
        <v>1771</v>
      </c>
      <c r="AT622" t="s" s="35">
        <v>282</v>
      </c>
      <c r="AU622" t="s" s="35">
        <v>4780</v>
      </c>
      <c r="AV622" t="s" s="35">
        <v>139</v>
      </c>
      <c r="AW622" t="str" s="39" cm="1">
        <f t="array" ref="AW622">AF622&amp;"; "&amp;AG622&amp;"; "&amp;AH622&amp;"; "&amp;AI622&amp;"; "&amp;AJ622</f>
        <v>E1; D1; E1; I1; I2</v>
      </c>
    </row>
    <row r="623" ht="13.65" customHeight="1">
      <c r="A623" t="s" s="35">
        <v>4782</v>
      </c>
      <c r="B623" s="36">
        <v>9</v>
      </c>
      <c r="C623" t="s" s="35">
        <v>1823</v>
      </c>
      <c r="D623" t="s" s="35">
        <v>4371</v>
      </c>
      <c r="E623" t="s" s="35">
        <v>4767</v>
      </c>
      <c r="F623" s="36">
        <v>6</v>
      </c>
      <c r="G623" t="s" s="35">
        <v>889</v>
      </c>
      <c r="H623" t="s" s="35">
        <v>4777</v>
      </c>
      <c r="I623" t="s" s="120">
        <v>4783</v>
      </c>
      <c r="J623" t="s" s="35">
        <v>4375</v>
      </c>
      <c r="K623" t="s" s="35">
        <v>1259</v>
      </c>
      <c r="L623" s="39"/>
      <c r="M623" t="str" s="39">
        <v>Física</v>
      </c>
      <c r="N623" t="str" s="39">
        <v>Electricidad y magnetismo</v>
      </c>
      <c r="O623" t="str" s="39" cm="1">
        <f t="array" ref="O623">IF(L623="","",_xlfn.IFERROR(INDEX('Datos - Catálogo TIMSS'!$C$5:$C$107,MATCH(L623,'Datos - Catálogo TIMSS'!$A$5:$A$107,0)),"?"))</f>
      </c>
      <c r="P623" t="s" s="35">
        <v>282</v>
      </c>
      <c r="Q623" t="s" s="120">
        <v>4784</v>
      </c>
      <c r="R623" t="s" s="120">
        <v>3297</v>
      </c>
      <c r="S623" s="121" cm="1">
        <f t="array" ref="S623">_xlfn.IFERROR(ISNUMBER(SEARCH("Conocer",$R623))/(ISNUMBER(SEARCH("Conocer",$R623))+ISNUMBER(SEARCH("Aplicar",$R623))+ISNUMBER(SEARCH("Razonar",$R623))),0)</f>
        <v>1</v>
      </c>
      <c r="T623" s="121" cm="1">
        <f t="array" ref="T623">_xlfn.IFERROR(ISNUMBER(SEARCH("Aplicar",$R623))/(ISNUMBER(SEARCH("Conocer",$R623))+ISNUMBER(SEARCH("Aplicar",$R623))+ISNUMBER(SEARCH("Razonar",$R623))),0)</f>
        <v>0</v>
      </c>
      <c r="U623" s="121" cm="1">
        <f t="array" ref="U623">_xlfn.IFERROR(ISNUMBER(SEARCH("Razonar",$R623))/(ISNUMBER(SEARCH("Conocer",$R623))+ISNUMBER(SEARCH("Aplicar",$R623))+ISNUMBER(SEARCH("Razonar",$R623))),0)</f>
        <v>0</v>
      </c>
      <c r="V623" t="s" s="35">
        <v>138</v>
      </c>
      <c r="W623" t="s" s="35">
        <v>138</v>
      </c>
      <c r="X623" s="36" cm="1">
        <f t="array" ref="X623">IF(OR(_xlfn.IFERROR(INDEX('Datos - Catálogo TIMSS'!$I$5:$I$107,MATCH(K623,'Datos - Catálogo TIMSS'!$A$5:$A$107,0)),"No")="Sí",_xlfn.IFERROR(INDEX('Datos - Catálogo TIMSS'!$I$5:$I$107,MATCH(L623,'Datos - Catálogo TIMSS'!$A$5:$A$107,0)),"No")="Sí"),1,0)</f>
        <v>0</v>
      </c>
      <c r="Y623" s="36" cm="1">
        <f t="array" ref="Y623">IF(_xlfn.IFERROR(INDEX('Datos - Catálogo TIMSS'!$J$5:$J$107,MATCH(K623,'Datos - Catálogo TIMSS'!$A$5:$A$107,0)),"No")="Sí",1,0)</f>
        <v>0</v>
      </c>
      <c r="Z623" s="36" cm="1">
        <f t="array" ref="Z623">IF(_xlfn.IFERROR(INDEX('Datos - Catálogo TIMSS'!$J$5:$J$107,MATCH(L623,'Datos - Catálogo TIMSS'!$A$5:$A$107,0)),"No")="Sí",1,0)</f>
        <v>0</v>
      </c>
      <c r="AA623" t="s" s="35">
        <v>3064</v>
      </c>
      <c r="AB623" s="39"/>
      <c r="AC623" t="str" s="39">
        <v>Física</v>
      </c>
      <c r="AD623" t="s" s="35">
        <v>1859</v>
      </c>
      <c r="AE623" t="str" s="39" cm="1">
        <f t="array" ref="AE623">IF(AD623="","",IF(LEFT(AD623,1)="1","C1",IF(LEFT(AD623,1)="2","C2",IF(LEFT(AD623,1)="3","C3",""))))</f>
        <v>C1</v>
      </c>
      <c r="AF623" t="s" s="35">
        <v>1602</v>
      </c>
      <c r="AG623" t="s" s="35">
        <v>1617</v>
      </c>
      <c r="AH623" t="s" s="35">
        <v>1602</v>
      </c>
      <c r="AI623" t="s" s="35">
        <v>1623</v>
      </c>
      <c r="AJ623" t="s" s="35">
        <v>1615</v>
      </c>
      <c r="AK623" t="s" s="35">
        <v>838</v>
      </c>
      <c r="AL623" s="39"/>
      <c r="AM623" t="str" s="39" cm="1">
        <f t="array" ref="AM623">IF(AK623="FUERA","Fuera del marco",_xlfn.IFERROR(INDEX('Datos - Catálogo PISA'!$C$5:$C$76,MATCH(AK623,'Datos - Catálogo PISA'!$A$5:$A$76,0)),"?"))</f>
        <v>Sistemas físicos</v>
      </c>
      <c r="AN623" t="s" s="35">
        <v>1651</v>
      </c>
      <c r="AO623" s="39"/>
      <c r="AP623" s="39"/>
      <c r="AQ623" t="s" s="35">
        <v>1751</v>
      </c>
      <c r="AR623" t="s" s="35">
        <v>1764</v>
      </c>
      <c r="AS623" t="s" s="35">
        <v>1771</v>
      </c>
      <c r="AT623" t="s" s="35">
        <v>282</v>
      </c>
      <c r="AU623" t="s" s="35">
        <v>4785</v>
      </c>
      <c r="AV623" t="s" s="35">
        <v>139</v>
      </c>
      <c r="AW623" t="str" s="39" cm="1">
        <f t="array" ref="AW623">AF623&amp;"; "&amp;AG623&amp;"; "&amp;AH623&amp;"; "&amp;AI623&amp;"; "&amp;AJ623</f>
        <v>E1; D1; E1; D4; E6</v>
      </c>
    </row>
    <row r="624" ht="13.65" customHeight="1">
      <c r="A624" t="s" s="35">
        <v>4786</v>
      </c>
      <c r="B624" s="36">
        <v>9</v>
      </c>
      <c r="C624" t="s" s="35">
        <v>1823</v>
      </c>
      <c r="D624" t="s" s="35">
        <v>4371</v>
      </c>
      <c r="E624" t="s" s="35">
        <v>4767</v>
      </c>
      <c r="F624" s="36">
        <v>7</v>
      </c>
      <c r="G624" t="s" s="35">
        <v>889</v>
      </c>
      <c r="H624" t="s" s="35">
        <v>4787</v>
      </c>
      <c r="I624" t="s" s="120">
        <v>4788</v>
      </c>
      <c r="J624" t="s" s="35">
        <v>4375</v>
      </c>
      <c r="K624" t="s" s="35">
        <v>1259</v>
      </c>
      <c r="L624" t="s" s="35">
        <v>1256</v>
      </c>
      <c r="M624" t="str" s="39">
        <v>Física</v>
      </c>
      <c r="N624" t="str" s="39">
        <v>Electricidad y magnetismo</v>
      </c>
      <c r="O624" t="str" s="39" cm="1">
        <f t="array" ref="O624">IF(L624="","",_xlfn.IFERROR(INDEX('Datos - Catálogo TIMSS'!$C$5:$C$107,MATCH(L624,'Datos - Catálogo TIMSS'!$A$5:$A$107,0)),"?"))</f>
        <v>Física</v>
      </c>
      <c r="P624" t="s" s="35">
        <v>254</v>
      </c>
      <c r="Q624" t="s" s="120">
        <v>4789</v>
      </c>
      <c r="R624" t="s" s="120">
        <v>3253</v>
      </c>
      <c r="S624" s="121" cm="1">
        <f t="array" ref="S624">_xlfn.IFERROR(ISNUMBER(SEARCH("Conocer",$R624))/(ISNUMBER(SEARCH("Conocer",$R624))+ISNUMBER(SEARCH("Aplicar",$R624))+ISNUMBER(SEARCH("Razonar",$R624))),0)</f>
        <v>0</v>
      </c>
      <c r="T624" s="121" cm="1">
        <f t="array" ref="T624">_xlfn.IFERROR(ISNUMBER(SEARCH("Aplicar",$R624))/(ISNUMBER(SEARCH("Conocer",$R624))+ISNUMBER(SEARCH("Aplicar",$R624))+ISNUMBER(SEARCH("Razonar",$R624))),0)</f>
        <v>1</v>
      </c>
      <c r="U624" s="121" cm="1">
        <f t="array" ref="U624">_xlfn.IFERROR(ISNUMBER(SEARCH("Razonar",$R624))/(ISNUMBER(SEARCH("Conocer",$R624))+ISNUMBER(SEARCH("Aplicar",$R624))+ISNUMBER(SEARCH("Razonar",$R624))),0)</f>
        <v>0</v>
      </c>
      <c r="V624" t="s" s="35">
        <v>138</v>
      </c>
      <c r="W624" t="s" s="35">
        <v>138</v>
      </c>
      <c r="X624" s="36" cm="1">
        <f t="array" ref="X624">IF(OR(_xlfn.IFERROR(INDEX('Datos - Catálogo TIMSS'!$I$5:$I$107,MATCH(K624,'Datos - Catálogo TIMSS'!$A$5:$A$107,0)),"No")="Sí",_xlfn.IFERROR(INDEX('Datos - Catálogo TIMSS'!$I$5:$I$107,MATCH(L624,'Datos - Catálogo TIMSS'!$A$5:$A$107,0)),"No")="Sí"),1,0)</f>
        <v>0</v>
      </c>
      <c r="Y624" s="36" cm="1">
        <f t="array" ref="Y624">IF(_xlfn.IFERROR(INDEX('Datos - Catálogo TIMSS'!$J$5:$J$107,MATCH(K624,'Datos - Catálogo TIMSS'!$A$5:$A$107,0)),"No")="Sí",1,0)</f>
        <v>0</v>
      </c>
      <c r="Z624" s="36" cm="1">
        <f t="array" ref="Z624">IF(_xlfn.IFERROR(INDEX('Datos - Catálogo TIMSS'!$J$5:$J$107,MATCH(L624,'Datos - Catálogo TIMSS'!$A$5:$A$107,0)),"No")="Sí",1,0)</f>
        <v>0</v>
      </c>
      <c r="AA624" t="s" s="35">
        <v>3064</v>
      </c>
      <c r="AB624" t="s" s="35">
        <v>3231</v>
      </c>
      <c r="AC624" t="str" s="39">
        <v>Física</v>
      </c>
      <c r="AD624" t="s" s="35">
        <v>1834</v>
      </c>
      <c r="AE624" t="str" s="39" cm="1">
        <f t="array" ref="AE624">IF(AD624="","",IF(LEFT(AD624,1)="1","C1",IF(LEFT(AD624,1)="2","C2",IF(LEFT(AD624,1)="3","C3",""))))</f>
        <v>C2</v>
      </c>
      <c r="AF624" t="s" s="35">
        <v>1602</v>
      </c>
      <c r="AG624" t="s" s="35">
        <v>1617</v>
      </c>
      <c r="AH624" t="s" s="35">
        <v>1609</v>
      </c>
      <c r="AI624" t="s" s="35">
        <v>1621</v>
      </c>
      <c r="AJ624" t="s" s="35">
        <v>1607</v>
      </c>
      <c r="AK624" t="s" s="35">
        <v>838</v>
      </c>
      <c r="AL624" t="s" s="35">
        <v>854</v>
      </c>
      <c r="AM624" t="str" s="39" cm="1">
        <f t="array" ref="AM624">IF(AK624="FUERA","Fuera del marco",_xlfn.IFERROR(INDEX('Datos - Catálogo PISA'!$C$5:$C$76,MATCH(AK624,'Datos - Catálogo PISA'!$A$5:$A$76,0)),"?"))</f>
        <v>Sistemas físicos</v>
      </c>
      <c r="AN624" t="s" s="35">
        <v>1651</v>
      </c>
      <c r="AO624" s="39"/>
      <c r="AP624" s="39"/>
      <c r="AQ624" t="s" s="35">
        <v>1756</v>
      </c>
      <c r="AR624" s="39"/>
      <c r="AS624" t="s" s="35">
        <v>1771</v>
      </c>
      <c r="AT624" t="s" s="35">
        <v>282</v>
      </c>
      <c r="AU624" t="s" s="35">
        <v>4790</v>
      </c>
      <c r="AV624" t="s" s="35">
        <v>139</v>
      </c>
      <c r="AW624" t="str" s="39" cm="1">
        <f t="array" ref="AW624">AF624&amp;"; "&amp;AG624&amp;"; "&amp;AH624&amp;"; "&amp;AI624&amp;"; "&amp;AJ624</f>
        <v>E1; D1; E4; D3; E3</v>
      </c>
    </row>
    <row r="625" ht="13.65" customHeight="1">
      <c r="A625" t="s" s="35">
        <v>4791</v>
      </c>
      <c r="B625" s="36">
        <v>9</v>
      </c>
      <c r="C625" t="s" s="35">
        <v>1823</v>
      </c>
      <c r="D625" t="s" s="35">
        <v>4371</v>
      </c>
      <c r="E625" t="s" s="35">
        <v>4767</v>
      </c>
      <c r="F625" s="36">
        <v>8</v>
      </c>
      <c r="G625" t="s" s="35">
        <v>889</v>
      </c>
      <c r="H625" t="s" s="35">
        <v>4787</v>
      </c>
      <c r="I625" t="s" s="120">
        <v>4792</v>
      </c>
      <c r="J625" t="s" s="35">
        <v>4375</v>
      </c>
      <c r="K625" t="s" s="35">
        <v>1259</v>
      </c>
      <c r="L625" t="s" s="35">
        <v>575</v>
      </c>
      <c r="M625" t="str" s="39">
        <v>Física</v>
      </c>
      <c r="N625" t="str" s="39">
        <v>Electricidad y magnetismo</v>
      </c>
      <c r="O625" t="str" s="39" cm="1">
        <f t="array" ref="O625">IF(L625="","",_xlfn.IFERROR(INDEX('Datos - Catálogo TIMSS'!$C$5:$C$107,MATCH(L625,'Datos - Catálogo TIMSS'!$A$5:$A$107,0)),"?"))</f>
        <v>Física</v>
      </c>
      <c r="P625" t="s" s="35">
        <v>282</v>
      </c>
      <c r="Q625" t="s" s="120">
        <v>4793</v>
      </c>
      <c r="R625" t="s" s="120">
        <v>4794</v>
      </c>
      <c r="S625" s="121" cm="1">
        <f t="array" ref="S625">_xlfn.IFERROR(ISNUMBER(SEARCH("Conocer",$R625))/(ISNUMBER(SEARCH("Conocer",$R625))+ISNUMBER(SEARCH("Aplicar",$R625))+ISNUMBER(SEARCH("Razonar",$R625))),0)</f>
        <v>0.5</v>
      </c>
      <c r="T625" s="121" cm="1">
        <f t="array" ref="T625">_xlfn.IFERROR(ISNUMBER(SEARCH("Aplicar",$R625))/(ISNUMBER(SEARCH("Conocer",$R625))+ISNUMBER(SEARCH("Aplicar",$R625))+ISNUMBER(SEARCH("Razonar",$R625))),0)</f>
        <v>0</v>
      </c>
      <c r="U625" s="121" cm="1">
        <f t="array" ref="U625">_xlfn.IFERROR(ISNUMBER(SEARCH("Razonar",$R625))/(ISNUMBER(SEARCH("Conocer",$R625))+ISNUMBER(SEARCH("Aplicar",$R625))+ISNUMBER(SEARCH("Razonar",$R625))),0)</f>
        <v>0.5</v>
      </c>
      <c r="V625" t="s" s="35">
        <v>138</v>
      </c>
      <c r="W625" t="s" s="35">
        <v>138</v>
      </c>
      <c r="X625" s="36" cm="1">
        <f t="array" ref="X625">IF(OR(_xlfn.IFERROR(INDEX('Datos - Catálogo TIMSS'!$I$5:$I$107,MATCH(K625,'Datos - Catálogo TIMSS'!$A$5:$A$107,0)),"No")="Sí",_xlfn.IFERROR(INDEX('Datos - Catálogo TIMSS'!$I$5:$I$107,MATCH(L625,'Datos - Catálogo TIMSS'!$A$5:$A$107,0)),"No")="Sí"),1,0)</f>
        <v>0</v>
      </c>
      <c r="Y625" s="36" cm="1">
        <f t="array" ref="Y625">IF(_xlfn.IFERROR(INDEX('Datos - Catálogo TIMSS'!$J$5:$J$107,MATCH(K625,'Datos - Catálogo TIMSS'!$A$5:$A$107,0)),"No")="Sí",1,0)</f>
        <v>0</v>
      </c>
      <c r="Z625" s="36" cm="1">
        <f t="array" ref="Z625">IF(_xlfn.IFERROR(INDEX('Datos - Catálogo TIMSS'!$J$5:$J$107,MATCH(L625,'Datos - Catálogo TIMSS'!$A$5:$A$107,0)),"No")="Sí",1,0)</f>
        <v>0</v>
      </c>
      <c r="AA625" t="s" s="35">
        <v>3064</v>
      </c>
      <c r="AB625" t="s" s="35">
        <v>2929</v>
      </c>
      <c r="AC625" t="str" s="39">
        <v>Física</v>
      </c>
      <c r="AD625" t="s" s="35">
        <v>1859</v>
      </c>
      <c r="AE625" t="str" s="39" cm="1">
        <f t="array" ref="AE625">IF(AD625="","",IF(LEFT(AD625,1)="1","C1",IF(LEFT(AD625,1)="2","C2",IF(LEFT(AD625,1)="3","C3",""))))</f>
        <v>C1</v>
      </c>
      <c r="AF625" t="s" s="35">
        <v>1602</v>
      </c>
      <c r="AG625" t="s" s="35">
        <v>1617</v>
      </c>
      <c r="AH625" t="s" s="35">
        <v>1602</v>
      </c>
      <c r="AI625" t="s" s="35">
        <v>1623</v>
      </c>
      <c r="AJ625" t="s" s="35">
        <v>1607</v>
      </c>
      <c r="AK625" t="s" s="35">
        <v>838</v>
      </c>
      <c r="AL625" t="s" s="35">
        <v>854</v>
      </c>
      <c r="AM625" t="str" s="39" cm="1">
        <f t="array" ref="AM625">IF(AK625="FUERA","Fuera del marco",_xlfn.IFERROR(INDEX('Datos - Catálogo PISA'!$C$5:$C$76,MATCH(AK625,'Datos - Catálogo PISA'!$A$5:$A$76,0)),"?"))</f>
        <v>Sistemas físicos</v>
      </c>
      <c r="AN625" t="s" s="35">
        <v>1651</v>
      </c>
      <c r="AO625" s="39"/>
      <c r="AP625" s="39"/>
      <c r="AQ625" t="s" s="35">
        <v>1756</v>
      </c>
      <c r="AR625" s="39"/>
      <c r="AS625" t="s" s="35">
        <v>1771</v>
      </c>
      <c r="AT625" t="s" s="35">
        <v>254</v>
      </c>
      <c r="AU625" t="s" s="35">
        <v>4795</v>
      </c>
      <c r="AV625" t="s" s="35">
        <v>139</v>
      </c>
      <c r="AW625" t="str" s="39" cm="1">
        <f t="array" ref="AW625">AF625&amp;"; "&amp;AG625&amp;"; "&amp;AH625&amp;"; "&amp;AI625&amp;"; "&amp;AJ625</f>
        <v>E1; D1; E1; D4; E3</v>
      </c>
    </row>
    <row r="626" ht="13.65" customHeight="1">
      <c r="A626" t="s" s="35">
        <v>4796</v>
      </c>
      <c r="B626" s="36">
        <v>9</v>
      </c>
      <c r="C626" t="s" s="35">
        <v>1823</v>
      </c>
      <c r="D626" t="s" s="35">
        <v>4371</v>
      </c>
      <c r="E626" t="s" s="35">
        <v>4767</v>
      </c>
      <c r="F626" s="36">
        <v>9</v>
      </c>
      <c r="G626" t="s" s="35">
        <v>889</v>
      </c>
      <c r="H626" t="s" s="35">
        <v>4787</v>
      </c>
      <c r="I626" t="s" s="120">
        <v>973</v>
      </c>
      <c r="J626" t="s" s="35">
        <v>4375</v>
      </c>
      <c r="K626" t="s" s="35">
        <v>575</v>
      </c>
      <c r="L626" t="s" s="35">
        <v>1287</v>
      </c>
      <c r="M626" t="str" s="39">
        <v>Física</v>
      </c>
      <c r="N626" t="str" s="39">
        <v>Transformación y transferencia de energía</v>
      </c>
      <c r="O626" t="str" s="39" cm="1">
        <f t="array" ref="O626">IF(L626="","",_xlfn.IFERROR(INDEX('Datos - Catálogo TIMSS'!$C$5:$C$107,MATCH(L626,'Datos - Catálogo TIMSS'!$A$5:$A$107,0)),"?"))</f>
        <v>Ciencias de la Tierra</v>
      </c>
      <c r="P626" t="s" s="35">
        <v>282</v>
      </c>
      <c r="Q626" t="s" s="120">
        <v>4797</v>
      </c>
      <c r="R626" t="s" s="120">
        <v>3826</v>
      </c>
      <c r="S626" s="121" cm="1">
        <f t="array" ref="S626">_xlfn.IFERROR(ISNUMBER(SEARCH("Conocer",$R626))/(ISNUMBER(SEARCH("Conocer",$R626))+ISNUMBER(SEARCH("Aplicar",$R626))+ISNUMBER(SEARCH("Razonar",$R626))),0)</f>
        <v>0</v>
      </c>
      <c r="T626" s="121" cm="1">
        <f t="array" ref="T626">_xlfn.IFERROR(ISNUMBER(SEARCH("Aplicar",$R626))/(ISNUMBER(SEARCH("Conocer",$R626))+ISNUMBER(SEARCH("Aplicar",$R626))+ISNUMBER(SEARCH("Razonar",$R626))),0)</f>
        <v>0</v>
      </c>
      <c r="U626" s="121" cm="1">
        <f t="array" ref="U626">_xlfn.IFERROR(ISNUMBER(SEARCH("Razonar",$R626))/(ISNUMBER(SEARCH("Conocer",$R626))+ISNUMBER(SEARCH("Aplicar",$R626))+ISNUMBER(SEARCH("Razonar",$R626))),0)</f>
        <v>1</v>
      </c>
      <c r="V626" t="s" s="35">
        <v>138</v>
      </c>
      <c r="W626" t="s" s="35">
        <v>138</v>
      </c>
      <c r="X626" s="36" cm="1">
        <f t="array" ref="X626">IF(OR(_xlfn.IFERROR(INDEX('Datos - Catálogo TIMSS'!$I$5:$I$107,MATCH(K626,'Datos - Catálogo TIMSS'!$A$5:$A$107,0)),"No")="Sí",_xlfn.IFERROR(INDEX('Datos - Catálogo TIMSS'!$I$5:$I$107,MATCH(L626,'Datos - Catálogo TIMSS'!$A$5:$A$107,0)),"No")="Sí"),1,0)</f>
        <v>1</v>
      </c>
      <c r="Y626" s="36" cm="1">
        <f t="array" ref="Y626">IF(_xlfn.IFERROR(INDEX('Datos - Catálogo TIMSS'!$J$5:$J$107,MATCH(K626,'Datos - Catálogo TIMSS'!$A$5:$A$107,0)),"No")="Sí",1,0)</f>
        <v>0</v>
      </c>
      <c r="Z626" s="36" cm="1">
        <f t="array" ref="Z626">IF(_xlfn.IFERROR(INDEX('Datos - Catálogo TIMSS'!$J$5:$J$107,MATCH(L626,'Datos - Catálogo TIMSS'!$A$5:$A$107,0)),"No")="Sí",1,0)</f>
        <v>0</v>
      </c>
      <c r="AA626" t="s" s="35">
        <v>2929</v>
      </c>
      <c r="AB626" t="s" s="35">
        <v>3708</v>
      </c>
      <c r="AC626" t="str" s="39">
        <v>Física</v>
      </c>
      <c r="AD626" t="s" s="35">
        <v>1900</v>
      </c>
      <c r="AE626" t="str" s="39" cm="1">
        <f t="array" ref="AE626">IF(AD626="","",IF(LEFT(AD626,1)="1","C1",IF(LEFT(AD626,1)="2","C2",IF(LEFT(AD626,1)="3","C3",""))))</f>
        <v>C3</v>
      </c>
      <c r="AF626" t="s" s="35">
        <v>1602</v>
      </c>
      <c r="AG626" t="s" s="35">
        <v>1617</v>
      </c>
      <c r="AH626" t="s" s="35">
        <v>1605</v>
      </c>
      <c r="AI626" t="s" s="35">
        <v>1629</v>
      </c>
      <c r="AJ626" t="s" s="35">
        <v>1633</v>
      </c>
      <c r="AK626" t="s" s="35">
        <v>854</v>
      </c>
      <c r="AL626" s="39"/>
      <c r="AM626" t="str" s="39" cm="1">
        <f t="array" ref="AM626">IF(AK626="FUERA","Fuera del marco",_xlfn.IFERROR(INDEX('Datos - Catálogo PISA'!$C$5:$C$76,MATCH(AK626,'Datos - Catálogo PISA'!$A$5:$A$76,0)),"?"))</f>
        <v>Sistemas físicos</v>
      </c>
      <c r="AN626" t="s" s="35">
        <v>1651</v>
      </c>
      <c r="AO626" s="39"/>
      <c r="AP626" s="39"/>
      <c r="AQ626" t="s" s="35">
        <v>1753</v>
      </c>
      <c r="AR626" t="s" s="35">
        <v>1766</v>
      </c>
      <c r="AS626" t="s" s="35">
        <v>1772</v>
      </c>
      <c r="AT626" t="s" s="35">
        <v>282</v>
      </c>
      <c r="AU626" t="s" s="35">
        <v>4798</v>
      </c>
      <c r="AV626" t="s" s="35">
        <v>139</v>
      </c>
      <c r="AW626" t="str" s="39" cm="1">
        <f t="array" ref="AW626">AF626&amp;"; "&amp;AG626&amp;"; "&amp;AH626&amp;"; "&amp;AI626&amp;"; "&amp;AJ626</f>
        <v>E1; D1; E2; I3; I5</v>
      </c>
    </row>
    <row r="627" ht="13.65" customHeight="1">
      <c r="A627" t="s" s="35">
        <v>4799</v>
      </c>
      <c r="B627" s="36">
        <v>10</v>
      </c>
      <c r="C627" t="s" s="35">
        <v>222</v>
      </c>
      <c r="D627" t="s" s="35">
        <v>4800</v>
      </c>
      <c r="E627" t="s" s="35">
        <v>4801</v>
      </c>
      <c r="F627" s="36">
        <v>3</v>
      </c>
      <c r="G627" t="s" s="35">
        <v>4802</v>
      </c>
      <c r="H627" t="s" s="35">
        <v>4803</v>
      </c>
      <c r="I627" t="s" s="120">
        <v>4804</v>
      </c>
      <c r="J627" t="s" s="35">
        <v>1301</v>
      </c>
      <c r="K627" t="s" s="35">
        <v>1832</v>
      </c>
      <c r="L627" s="39"/>
      <c r="M627" t="str" s="39">
        <v>Fuera del marco</v>
      </c>
      <c r="N627" t="str" s="39">
        <v>Fuera del marco</v>
      </c>
      <c r="O627" t="str" s="39" cm="1">
        <f t="array" ref="O627">IF(L627="","",_xlfn.IFERROR(INDEX('Datos - Catálogo TIMSS'!$C$5:$C$107,MATCH(L627,'Datos - Catálogo TIMSS'!$A$5:$A$107,0)),"?"))</f>
      </c>
      <c r="P627" t="s" s="35">
        <v>254</v>
      </c>
      <c r="Q627" t="s" s="120">
        <v>4805</v>
      </c>
      <c r="R627" t="s" s="120">
        <v>4806</v>
      </c>
      <c r="S627" s="121" cm="1">
        <f t="array" ref="S627">_xlfn.IFERROR(ISNUMBER(SEARCH("Conocer",$R627))/(ISNUMBER(SEARCH("Conocer",$R627))+ISNUMBER(SEARCH("Aplicar",$R627))+ISNUMBER(SEARCH("Razonar",$R627))),0)</f>
        <v>0.5</v>
      </c>
      <c r="T627" s="121" cm="1">
        <f t="array" ref="T627">_xlfn.IFERROR(ISNUMBER(SEARCH("Aplicar",$R627))/(ISNUMBER(SEARCH("Conocer",$R627))+ISNUMBER(SEARCH("Aplicar",$R627))+ISNUMBER(SEARCH("Razonar",$R627))),0)</f>
        <v>0</v>
      </c>
      <c r="U627" s="121" cm="1">
        <f t="array" ref="U627">_xlfn.IFERROR(ISNUMBER(SEARCH("Razonar",$R627))/(ISNUMBER(SEARCH("Conocer",$R627))+ISNUMBER(SEARCH("Aplicar",$R627))+ISNUMBER(SEARCH("Razonar",$R627))),0)</f>
        <v>0.5</v>
      </c>
      <c r="V627" t="s" s="35">
        <v>87</v>
      </c>
      <c r="W627" t="s" s="35">
        <v>119</v>
      </c>
      <c r="X627" s="36" cm="1">
        <f t="array" ref="X627">IF(OR(_xlfn.IFERROR(INDEX('Datos - Catálogo TIMSS'!$I$5:$I$107,MATCH(K627,'Datos - Catálogo TIMSS'!$A$5:$A$107,0)),"No")="Sí",_xlfn.IFERROR(INDEX('Datos - Catálogo TIMSS'!$I$5:$I$107,MATCH(L627,'Datos - Catálogo TIMSS'!$A$5:$A$107,0)),"No")="Sí"),1,0)</f>
        <v>0</v>
      </c>
      <c r="Y627" s="36" cm="1">
        <f t="array" ref="Y627">IF(_xlfn.IFERROR(INDEX('Datos - Catálogo TIMSS'!$J$5:$J$107,MATCH(K627,'Datos - Catálogo TIMSS'!$A$5:$A$107,0)),"No")="Sí",1,0)</f>
        <v>0</v>
      </c>
      <c r="Z627" s="36" cm="1">
        <f t="array" ref="Z627">IF(_xlfn.IFERROR(INDEX('Datos - Catálogo TIMSS'!$J$5:$J$107,MATCH(L627,'Datos - Catálogo TIMSS'!$A$5:$A$107,0)),"No")="Sí",1,0)</f>
        <v>0</v>
      </c>
      <c r="AA627" t="s" s="35">
        <v>1832</v>
      </c>
      <c r="AB627" s="39"/>
      <c r="AC627" t="str" s="39">
        <v>Fuera del marco</v>
      </c>
      <c r="AD627" t="s" s="35">
        <v>1900</v>
      </c>
      <c r="AE627" t="str" s="39" cm="1">
        <f t="array" ref="AE627">IF(AD627="","",IF(LEFT(AD627,1)="1","C1",IF(LEFT(AD627,1)="2","C2",IF(LEFT(AD627,1)="3","C3",""))))</f>
        <v>C3</v>
      </c>
      <c r="AF627" t="s" s="35">
        <v>1602</v>
      </c>
      <c r="AG627" t="s" s="35">
        <v>1617</v>
      </c>
      <c r="AH627" t="s" s="35">
        <v>1605</v>
      </c>
      <c r="AI627" t="s" s="35">
        <v>1627</v>
      </c>
      <c r="AJ627" t="s" s="35">
        <v>1615</v>
      </c>
      <c r="AK627" s="39"/>
      <c r="AL627" s="39"/>
      <c r="AM627" s="39"/>
      <c r="AN627" s="39"/>
      <c r="AO627" s="39"/>
      <c r="AP627" s="39"/>
      <c r="AQ627" s="39"/>
      <c r="AR627" s="39"/>
      <c r="AS627" s="39"/>
      <c r="AT627" s="39"/>
      <c r="AU627" s="39"/>
      <c r="AV627" s="39"/>
      <c r="AW627" t="str" s="39" cm="1">
        <f t="array" ref="AW627">AF627&amp;"; "&amp;AG627&amp;"; "&amp;AH627&amp;"; "&amp;AI627&amp;"; "&amp;AJ627</f>
        <v>E1; D1; E2; I2; E6</v>
      </c>
    </row>
    <row r="628" ht="13.65" customHeight="1">
      <c r="A628" t="s" s="35">
        <v>4808</v>
      </c>
      <c r="B628" s="36">
        <v>10</v>
      </c>
      <c r="C628" t="s" s="35">
        <v>222</v>
      </c>
      <c r="D628" t="s" s="35">
        <v>4800</v>
      </c>
      <c r="E628" t="s" s="35">
        <v>4801</v>
      </c>
      <c r="F628" s="36">
        <v>4</v>
      </c>
      <c r="G628" t="s" s="35">
        <v>4802</v>
      </c>
      <c r="H628" t="s" s="35">
        <v>4803</v>
      </c>
      <c r="I628" t="s" s="120">
        <v>4809</v>
      </c>
      <c r="J628" t="s" s="35">
        <v>1301</v>
      </c>
      <c r="K628" t="s" s="35">
        <v>1832</v>
      </c>
      <c r="L628" s="39"/>
      <c r="M628" t="str" s="39">
        <v>Fuera del marco</v>
      </c>
      <c r="N628" t="str" s="39">
        <v>Fuera del marco</v>
      </c>
      <c r="O628" t="str" s="39" cm="1">
        <f t="array" ref="O628">IF(L628="","",_xlfn.IFERROR(INDEX('Datos - Catálogo TIMSS'!$C$5:$C$107,MATCH(L628,'Datos - Catálogo TIMSS'!$A$5:$A$107,0)),"?"))</f>
      </c>
      <c r="P628" t="s" s="35">
        <v>254</v>
      </c>
      <c r="Q628" t="s" s="120">
        <v>4810</v>
      </c>
      <c r="R628" t="s" s="120">
        <v>4811</v>
      </c>
      <c r="S628" s="121" cm="1">
        <f t="array" ref="S628">_xlfn.IFERROR(ISNUMBER(SEARCH("Conocer",$R628))/(ISNUMBER(SEARCH("Conocer",$R628))+ISNUMBER(SEARCH("Aplicar",$R628))+ISNUMBER(SEARCH("Razonar",$R628))),0)</f>
        <v>0</v>
      </c>
      <c r="T628" s="121" cm="1">
        <f t="array" ref="T628">_xlfn.IFERROR(ISNUMBER(SEARCH("Aplicar",$R628))/(ISNUMBER(SEARCH("Conocer",$R628))+ISNUMBER(SEARCH("Aplicar",$R628))+ISNUMBER(SEARCH("Razonar",$R628))),0)</f>
        <v>0.5</v>
      </c>
      <c r="U628" s="121" cm="1">
        <f t="array" ref="U628">_xlfn.IFERROR(ISNUMBER(SEARCH("Razonar",$R628))/(ISNUMBER(SEARCH("Conocer",$R628))+ISNUMBER(SEARCH("Aplicar",$R628))+ISNUMBER(SEARCH("Razonar",$R628))),0)</f>
        <v>0.5</v>
      </c>
      <c r="V628" t="s" s="35">
        <v>87</v>
      </c>
      <c r="W628" t="s" s="35">
        <v>119</v>
      </c>
      <c r="X628" s="36" cm="1">
        <f t="array" ref="X628">IF(OR(_xlfn.IFERROR(INDEX('Datos - Catálogo TIMSS'!$I$5:$I$107,MATCH(K628,'Datos - Catálogo TIMSS'!$A$5:$A$107,0)),"No")="Sí",_xlfn.IFERROR(INDEX('Datos - Catálogo TIMSS'!$I$5:$I$107,MATCH(L628,'Datos - Catálogo TIMSS'!$A$5:$A$107,0)),"No")="Sí"),1,0)</f>
        <v>0</v>
      </c>
      <c r="Y628" s="36" cm="1">
        <f t="array" ref="Y628">IF(_xlfn.IFERROR(INDEX('Datos - Catálogo TIMSS'!$J$5:$J$107,MATCH(K628,'Datos - Catálogo TIMSS'!$A$5:$A$107,0)),"No")="Sí",1,0)</f>
        <v>0</v>
      </c>
      <c r="Z628" s="36" cm="1">
        <f t="array" ref="Z628">IF(_xlfn.IFERROR(INDEX('Datos - Catálogo TIMSS'!$J$5:$J$107,MATCH(L628,'Datos - Catálogo TIMSS'!$A$5:$A$107,0)),"No")="Sí",1,0)</f>
        <v>0</v>
      </c>
      <c r="AA628" t="s" s="35">
        <v>1832</v>
      </c>
      <c r="AB628" s="39"/>
      <c r="AC628" t="str" s="39">
        <v>Fuera del marco</v>
      </c>
      <c r="AD628" t="s" s="35">
        <v>1834</v>
      </c>
      <c r="AE628" t="str" s="39" cm="1">
        <f t="array" ref="AE628">IF(AD628="","",IF(LEFT(AD628,1)="1","C1",IF(LEFT(AD628,1)="2","C2",IF(LEFT(AD628,1)="3","C3",""))))</f>
        <v>C2</v>
      </c>
      <c r="AF628" t="s" s="35">
        <v>1602</v>
      </c>
      <c r="AG628" t="s" s="35">
        <v>1617</v>
      </c>
      <c r="AH628" t="s" s="35">
        <v>1609</v>
      </c>
      <c r="AI628" t="s" s="35">
        <v>1619</v>
      </c>
      <c r="AJ628" t="s" s="35">
        <v>1621</v>
      </c>
      <c r="AK628" s="39"/>
      <c r="AL628" s="39"/>
      <c r="AM628" s="39"/>
      <c r="AN628" s="39"/>
      <c r="AO628" s="39"/>
      <c r="AP628" s="39"/>
      <c r="AQ628" s="39"/>
      <c r="AR628" s="39"/>
      <c r="AS628" s="39"/>
      <c r="AT628" s="39"/>
      <c r="AU628" s="39"/>
      <c r="AV628" s="39"/>
      <c r="AW628" t="str" s="39" cm="1">
        <f t="array" ref="AW628">AF628&amp;"; "&amp;AG628&amp;"; "&amp;AH628&amp;"; "&amp;AI628&amp;"; "&amp;AJ628</f>
        <v>E1; D1; E4; D2; D3</v>
      </c>
    </row>
    <row r="629" ht="13.65" customHeight="1">
      <c r="A629" t="s" s="35">
        <v>4812</v>
      </c>
      <c r="B629" s="36">
        <v>10</v>
      </c>
      <c r="C629" t="s" s="35">
        <v>222</v>
      </c>
      <c r="D629" t="s" s="35">
        <v>4800</v>
      </c>
      <c r="E629" t="s" s="35">
        <v>4801</v>
      </c>
      <c r="F629" s="36">
        <v>5</v>
      </c>
      <c r="G629" t="s" s="35">
        <v>4802</v>
      </c>
      <c r="H629" t="s" s="35">
        <v>4813</v>
      </c>
      <c r="I629" t="s" s="120">
        <v>4814</v>
      </c>
      <c r="J629" t="s" s="35">
        <v>1301</v>
      </c>
      <c r="K629" t="s" s="35">
        <v>1832</v>
      </c>
      <c r="L629" s="39"/>
      <c r="M629" t="str" s="39">
        <v>Fuera del marco</v>
      </c>
      <c r="N629" t="str" s="39">
        <v>Fuera del marco</v>
      </c>
      <c r="O629" t="str" s="39" cm="1">
        <f t="array" ref="O629">IF(L629="","",_xlfn.IFERROR(INDEX('Datos - Catálogo TIMSS'!$C$5:$C$107,MATCH(L629,'Datos - Catálogo TIMSS'!$A$5:$A$107,0)),"?"))</f>
      </c>
      <c r="P629" t="s" s="35">
        <v>254</v>
      </c>
      <c r="Q629" t="s" s="120">
        <v>4815</v>
      </c>
      <c r="R629" t="s" s="120">
        <v>4816</v>
      </c>
      <c r="S629" s="121" cm="1">
        <f t="array" ref="S629">_xlfn.IFERROR(ISNUMBER(SEARCH("Conocer",$R629))/(ISNUMBER(SEARCH("Conocer",$R629))+ISNUMBER(SEARCH("Aplicar",$R629))+ISNUMBER(SEARCH("Razonar",$R629))),0)</f>
        <v>0</v>
      </c>
      <c r="T629" s="121" cm="1">
        <f t="array" ref="T629">_xlfn.IFERROR(ISNUMBER(SEARCH("Aplicar",$R629))/(ISNUMBER(SEARCH("Conocer",$R629))+ISNUMBER(SEARCH("Aplicar",$R629))+ISNUMBER(SEARCH("Razonar",$R629))),0)</f>
        <v>0.5</v>
      </c>
      <c r="U629" s="121" cm="1">
        <f t="array" ref="U629">_xlfn.IFERROR(ISNUMBER(SEARCH("Razonar",$R629))/(ISNUMBER(SEARCH("Conocer",$R629))+ISNUMBER(SEARCH("Aplicar",$R629))+ISNUMBER(SEARCH("Razonar",$R629))),0)</f>
        <v>0.5</v>
      </c>
      <c r="V629" t="s" s="35">
        <v>87</v>
      </c>
      <c r="W629" t="s" s="35">
        <v>119</v>
      </c>
      <c r="X629" s="36" cm="1">
        <f t="array" ref="X629">IF(OR(_xlfn.IFERROR(INDEX('Datos - Catálogo TIMSS'!$I$5:$I$107,MATCH(K629,'Datos - Catálogo TIMSS'!$A$5:$A$107,0)),"No")="Sí",_xlfn.IFERROR(INDEX('Datos - Catálogo TIMSS'!$I$5:$I$107,MATCH(L629,'Datos - Catálogo TIMSS'!$A$5:$A$107,0)),"No")="Sí"),1,0)</f>
        <v>0</v>
      </c>
      <c r="Y629" s="36" cm="1">
        <f t="array" ref="Y629">IF(_xlfn.IFERROR(INDEX('Datos - Catálogo TIMSS'!$J$5:$J$107,MATCH(K629,'Datos - Catálogo TIMSS'!$A$5:$A$107,0)),"No")="Sí",1,0)</f>
        <v>0</v>
      </c>
      <c r="Z629" s="36" cm="1">
        <f t="array" ref="Z629">IF(_xlfn.IFERROR(INDEX('Datos - Catálogo TIMSS'!$J$5:$J$107,MATCH(L629,'Datos - Catálogo TIMSS'!$A$5:$A$107,0)),"No")="Sí",1,0)</f>
        <v>0</v>
      </c>
      <c r="AA629" t="s" s="35">
        <v>1832</v>
      </c>
      <c r="AB629" s="39"/>
      <c r="AC629" t="str" s="39">
        <v>Fuera del marco</v>
      </c>
      <c r="AD629" t="s" s="35">
        <v>1834</v>
      </c>
      <c r="AE629" t="str" s="39" cm="1">
        <f t="array" ref="AE629">IF(AD629="","",IF(LEFT(AD629,1)="1","C1",IF(LEFT(AD629,1)="2","C2",IF(LEFT(AD629,1)="3","C3",""))))</f>
        <v>C2</v>
      </c>
      <c r="AF629" t="s" s="35">
        <v>1602</v>
      </c>
      <c r="AG629" t="s" s="35">
        <v>1612</v>
      </c>
      <c r="AH629" t="s" s="35">
        <v>1605</v>
      </c>
      <c r="AI629" t="s" s="35">
        <v>1619</v>
      </c>
      <c r="AJ629" t="s" s="35">
        <v>1621</v>
      </c>
      <c r="AK629" s="39"/>
      <c r="AL629" s="39"/>
      <c r="AM629" s="39"/>
      <c r="AN629" s="39"/>
      <c r="AO629" s="39"/>
      <c r="AP629" s="39"/>
      <c r="AQ629" s="39"/>
      <c r="AR629" s="39"/>
      <c r="AS629" s="39"/>
      <c r="AT629" s="39"/>
      <c r="AU629" s="39"/>
      <c r="AV629" s="39"/>
      <c r="AW629" t="str" s="39" cm="1">
        <f t="array" ref="AW629">AF629&amp;"; "&amp;AG629&amp;"; "&amp;AH629&amp;"; "&amp;AI629&amp;"; "&amp;AJ629</f>
        <v>E1; E5; E2; D2; D3</v>
      </c>
    </row>
    <row r="630" ht="13.65" customHeight="1">
      <c r="A630" t="s" s="35">
        <v>4818</v>
      </c>
      <c r="B630" s="36">
        <v>10</v>
      </c>
      <c r="C630" t="s" s="35">
        <v>222</v>
      </c>
      <c r="D630" t="s" s="35">
        <v>4800</v>
      </c>
      <c r="E630" t="s" s="35">
        <v>4801</v>
      </c>
      <c r="F630" s="36">
        <v>6</v>
      </c>
      <c r="G630" t="s" s="35">
        <v>4802</v>
      </c>
      <c r="H630" t="s" s="35">
        <v>4819</v>
      </c>
      <c r="I630" t="s" s="120">
        <v>4820</v>
      </c>
      <c r="J630" t="s" s="35">
        <v>1301</v>
      </c>
      <c r="K630" t="s" s="35">
        <v>1832</v>
      </c>
      <c r="L630" s="39"/>
      <c r="M630" t="str" s="39">
        <v>Fuera del marco</v>
      </c>
      <c r="N630" t="str" s="39">
        <v>Fuera del marco</v>
      </c>
      <c r="O630" t="str" s="39" cm="1">
        <f t="array" ref="O630">IF(L630="","",_xlfn.IFERROR(INDEX('Datos - Catálogo TIMSS'!$C$5:$C$107,MATCH(L630,'Datos - Catálogo TIMSS'!$A$5:$A$107,0)),"?"))</f>
      </c>
      <c r="P630" t="s" s="35">
        <v>254</v>
      </c>
      <c r="Q630" t="s" s="120">
        <v>4821</v>
      </c>
      <c r="R630" t="s" s="120">
        <v>4822</v>
      </c>
      <c r="S630" s="121" cm="1">
        <f t="array" ref="S630">_xlfn.IFERROR(ISNUMBER(SEARCH("Conocer",$R630))/(ISNUMBER(SEARCH("Conocer",$R630))+ISNUMBER(SEARCH("Aplicar",$R630))+ISNUMBER(SEARCH("Razonar",$R630))),0)</f>
        <v>0</v>
      </c>
      <c r="T630" s="121" cm="1">
        <f t="array" ref="T630">_xlfn.IFERROR(ISNUMBER(SEARCH("Aplicar",$R630))/(ISNUMBER(SEARCH("Conocer",$R630))+ISNUMBER(SEARCH("Aplicar",$R630))+ISNUMBER(SEARCH("Razonar",$R630))),0)</f>
        <v>0.5</v>
      </c>
      <c r="U630" s="121" cm="1">
        <f t="array" ref="U630">_xlfn.IFERROR(ISNUMBER(SEARCH("Razonar",$R630))/(ISNUMBER(SEARCH("Conocer",$R630))+ISNUMBER(SEARCH("Aplicar",$R630))+ISNUMBER(SEARCH("Razonar",$R630))),0)</f>
        <v>0.5</v>
      </c>
      <c r="V630" t="s" s="35">
        <v>87</v>
      </c>
      <c r="W630" t="s" s="35">
        <v>119</v>
      </c>
      <c r="X630" s="36" cm="1">
        <f t="array" ref="X630">IF(OR(_xlfn.IFERROR(INDEX('Datos - Catálogo TIMSS'!$I$5:$I$107,MATCH(K630,'Datos - Catálogo TIMSS'!$A$5:$A$107,0)),"No")="Sí",_xlfn.IFERROR(INDEX('Datos - Catálogo TIMSS'!$I$5:$I$107,MATCH(L630,'Datos - Catálogo TIMSS'!$A$5:$A$107,0)),"No")="Sí"),1,0)</f>
        <v>0</v>
      </c>
      <c r="Y630" s="36" cm="1">
        <f t="array" ref="Y630">IF(_xlfn.IFERROR(INDEX('Datos - Catálogo TIMSS'!$J$5:$J$107,MATCH(K630,'Datos - Catálogo TIMSS'!$A$5:$A$107,0)),"No")="Sí",1,0)</f>
        <v>0</v>
      </c>
      <c r="Z630" s="36" cm="1">
        <f t="array" ref="Z630">IF(_xlfn.IFERROR(INDEX('Datos - Catálogo TIMSS'!$J$5:$J$107,MATCH(L630,'Datos - Catálogo TIMSS'!$A$5:$A$107,0)),"No")="Sí",1,0)</f>
        <v>0</v>
      </c>
      <c r="AA630" t="s" s="35">
        <v>1832</v>
      </c>
      <c r="AB630" s="39"/>
      <c r="AC630" t="str" s="39">
        <v>Fuera del marco</v>
      </c>
      <c r="AD630" t="s" s="35">
        <v>1834</v>
      </c>
      <c r="AE630" t="str" s="39" cm="1">
        <f t="array" ref="AE630">IF(AD630="","",IF(LEFT(AD630,1)="1","C1",IF(LEFT(AD630,1)="2","C2",IF(LEFT(AD630,1)="3","C3",""))))</f>
        <v>C2</v>
      </c>
      <c r="AF630" t="s" s="35">
        <v>1602</v>
      </c>
      <c r="AG630" t="s" s="35">
        <v>1607</v>
      </c>
      <c r="AH630" t="s" s="35">
        <v>1605</v>
      </c>
      <c r="AI630" t="s" s="35">
        <v>1623</v>
      </c>
      <c r="AJ630" t="s" s="35">
        <v>1615</v>
      </c>
      <c r="AK630" s="39"/>
      <c r="AL630" s="39"/>
      <c r="AM630" s="39"/>
      <c r="AN630" s="39"/>
      <c r="AO630" s="39"/>
      <c r="AP630" s="39"/>
      <c r="AQ630" s="39"/>
      <c r="AR630" s="39"/>
      <c r="AS630" s="39"/>
      <c r="AT630" s="39"/>
      <c r="AU630" s="39"/>
      <c r="AV630" s="39"/>
      <c r="AW630" t="str" s="39" cm="1">
        <f t="array" ref="AW630">AF630&amp;"; "&amp;AG630&amp;"; "&amp;AH630&amp;"; "&amp;AI630&amp;"; "&amp;AJ630</f>
        <v>E1; E3; E2; D4; E6</v>
      </c>
    </row>
    <row r="631" ht="13.65" customHeight="1">
      <c r="A631" t="s" s="35">
        <v>4823</v>
      </c>
      <c r="B631" s="36">
        <v>10</v>
      </c>
      <c r="C631" t="s" s="35">
        <v>222</v>
      </c>
      <c r="D631" t="s" s="35">
        <v>4800</v>
      </c>
      <c r="E631" t="s" s="35">
        <v>4801</v>
      </c>
      <c r="F631" s="36">
        <v>7</v>
      </c>
      <c r="G631" t="s" s="35">
        <v>4802</v>
      </c>
      <c r="H631" t="s" s="35">
        <v>4824</v>
      </c>
      <c r="I631" t="s" s="120">
        <v>4825</v>
      </c>
      <c r="J631" t="s" s="35">
        <v>1301</v>
      </c>
      <c r="K631" t="s" s="35">
        <v>1832</v>
      </c>
      <c r="L631" s="39"/>
      <c r="M631" t="str" s="39">
        <v>Fuera del marco</v>
      </c>
      <c r="N631" t="str" s="39">
        <v>Fuera del marco</v>
      </c>
      <c r="O631" t="str" s="39" cm="1">
        <f t="array" ref="O631">IF(L631="","",_xlfn.IFERROR(INDEX('Datos - Catálogo TIMSS'!$C$5:$C$107,MATCH(L631,'Datos - Catálogo TIMSS'!$A$5:$A$107,0)),"?"))</f>
      </c>
      <c r="P631" t="s" s="35">
        <v>282</v>
      </c>
      <c r="Q631" t="s" s="120">
        <v>4826</v>
      </c>
      <c r="R631" t="s" s="120">
        <v>4827</v>
      </c>
      <c r="S631" s="121" cm="1">
        <f t="array" ref="S631">_xlfn.IFERROR(ISNUMBER(SEARCH("Conocer",$R631))/(ISNUMBER(SEARCH("Conocer",$R631))+ISNUMBER(SEARCH("Aplicar",$R631))+ISNUMBER(SEARCH("Razonar",$R631))),0)</f>
        <v>0</v>
      </c>
      <c r="T631" s="121" cm="1">
        <f t="array" ref="T631">_xlfn.IFERROR(ISNUMBER(SEARCH("Aplicar",$R631))/(ISNUMBER(SEARCH("Conocer",$R631))+ISNUMBER(SEARCH("Aplicar",$R631))+ISNUMBER(SEARCH("Razonar",$R631))),0)</f>
        <v>0.5</v>
      </c>
      <c r="U631" s="121" cm="1">
        <f t="array" ref="U631">_xlfn.IFERROR(ISNUMBER(SEARCH("Razonar",$R631))/(ISNUMBER(SEARCH("Conocer",$R631))+ISNUMBER(SEARCH("Aplicar",$R631))+ISNUMBER(SEARCH("Razonar",$R631))),0)</f>
        <v>0.5</v>
      </c>
      <c r="V631" t="s" s="35">
        <v>87</v>
      </c>
      <c r="W631" t="s" s="35">
        <v>119</v>
      </c>
      <c r="X631" s="36" cm="1">
        <f t="array" ref="X631">IF(OR(_xlfn.IFERROR(INDEX('Datos - Catálogo TIMSS'!$I$5:$I$107,MATCH(K631,'Datos - Catálogo TIMSS'!$A$5:$A$107,0)),"No")="Sí",_xlfn.IFERROR(INDEX('Datos - Catálogo TIMSS'!$I$5:$I$107,MATCH(L631,'Datos - Catálogo TIMSS'!$A$5:$A$107,0)),"No")="Sí"),1,0)</f>
        <v>0</v>
      </c>
      <c r="Y631" s="36" cm="1">
        <f t="array" ref="Y631">IF(_xlfn.IFERROR(INDEX('Datos - Catálogo TIMSS'!$J$5:$J$107,MATCH(K631,'Datos - Catálogo TIMSS'!$A$5:$A$107,0)),"No")="Sí",1,0)</f>
        <v>0</v>
      </c>
      <c r="Z631" s="36" cm="1">
        <f t="array" ref="Z631">IF(_xlfn.IFERROR(INDEX('Datos - Catálogo TIMSS'!$J$5:$J$107,MATCH(L631,'Datos - Catálogo TIMSS'!$A$5:$A$107,0)),"No")="Sí",1,0)</f>
        <v>0</v>
      </c>
      <c r="AA631" t="s" s="35">
        <v>1832</v>
      </c>
      <c r="AB631" s="39"/>
      <c r="AC631" t="str" s="39">
        <v>Fuera del marco</v>
      </c>
      <c r="AD631" t="s" s="35">
        <v>1859</v>
      </c>
      <c r="AE631" t="str" s="39" cm="1">
        <f t="array" ref="AE631">IF(AD631="","",IF(LEFT(AD631,1)="1","C1",IF(LEFT(AD631,1)="2","C2",IF(LEFT(AD631,1)="3","C3",""))))</f>
        <v>C1</v>
      </c>
      <c r="AF631" t="s" s="35">
        <v>1615</v>
      </c>
      <c r="AG631" t="s" s="35">
        <v>1612</v>
      </c>
      <c r="AH631" t="s" s="35">
        <v>1609</v>
      </c>
      <c r="AI631" t="s" s="35">
        <v>1623</v>
      </c>
      <c r="AJ631" t="s" s="35">
        <v>1631</v>
      </c>
      <c r="AK631" s="39"/>
      <c r="AL631" s="39"/>
      <c r="AM631" s="39"/>
      <c r="AN631" s="39"/>
      <c r="AO631" s="39"/>
      <c r="AP631" s="39"/>
      <c r="AQ631" s="39"/>
      <c r="AR631" s="39"/>
      <c r="AS631" s="39"/>
      <c r="AT631" s="39"/>
      <c r="AU631" s="39"/>
      <c r="AV631" s="39"/>
      <c r="AW631" t="str" s="39" cm="1">
        <f t="array" ref="AW631">AF631&amp;"; "&amp;AG631&amp;"; "&amp;AH631&amp;"; "&amp;AI631&amp;"; "&amp;AJ631</f>
        <v>E6; E5; E4; D4; I4</v>
      </c>
    </row>
    <row r="632" ht="13.65" customHeight="1">
      <c r="A632" t="s" s="35">
        <v>4829</v>
      </c>
      <c r="B632" s="36">
        <v>10</v>
      </c>
      <c r="C632" t="s" s="35">
        <v>222</v>
      </c>
      <c r="D632" t="s" s="35">
        <v>4800</v>
      </c>
      <c r="E632" t="s" s="35">
        <v>4801</v>
      </c>
      <c r="F632" s="36">
        <v>8</v>
      </c>
      <c r="G632" t="s" s="35">
        <v>4802</v>
      </c>
      <c r="H632" t="s" s="35">
        <v>4830</v>
      </c>
      <c r="I632" t="s" s="120">
        <v>4831</v>
      </c>
      <c r="J632" t="s" s="35">
        <v>1301</v>
      </c>
      <c r="K632" t="s" s="35">
        <v>1832</v>
      </c>
      <c r="L632" s="39"/>
      <c r="M632" t="str" s="39">
        <v>Fuera del marco</v>
      </c>
      <c r="N632" t="str" s="39">
        <v>Fuera del marco</v>
      </c>
      <c r="O632" t="str" s="39" cm="1">
        <f t="array" ref="O632">IF(L632="","",_xlfn.IFERROR(INDEX('Datos - Catálogo TIMSS'!$C$5:$C$107,MATCH(L632,'Datos - Catálogo TIMSS'!$A$5:$A$107,0)),"?"))</f>
      </c>
      <c r="P632" t="s" s="35">
        <v>254</v>
      </c>
      <c r="Q632" t="s" s="120">
        <v>4832</v>
      </c>
      <c r="R632" t="s" s="120">
        <v>4833</v>
      </c>
      <c r="S632" s="121" cm="1">
        <f t="array" ref="S632">_xlfn.IFERROR(ISNUMBER(SEARCH("Conocer",$R632))/(ISNUMBER(SEARCH("Conocer",$R632))+ISNUMBER(SEARCH("Aplicar",$R632))+ISNUMBER(SEARCH("Razonar",$R632))),0)</f>
        <v>0</v>
      </c>
      <c r="T632" s="121" cm="1">
        <f t="array" ref="T632">_xlfn.IFERROR(ISNUMBER(SEARCH("Aplicar",$R632))/(ISNUMBER(SEARCH("Conocer",$R632))+ISNUMBER(SEARCH("Aplicar",$R632))+ISNUMBER(SEARCH("Razonar",$R632))),0)</f>
        <v>0.5</v>
      </c>
      <c r="U632" s="121" cm="1">
        <f t="array" ref="U632">_xlfn.IFERROR(ISNUMBER(SEARCH("Razonar",$R632))/(ISNUMBER(SEARCH("Conocer",$R632))+ISNUMBER(SEARCH("Aplicar",$R632))+ISNUMBER(SEARCH("Razonar",$R632))),0)</f>
        <v>0.5</v>
      </c>
      <c r="V632" t="s" s="35">
        <v>87</v>
      </c>
      <c r="W632" t="s" s="35">
        <v>119</v>
      </c>
      <c r="X632" s="36" cm="1">
        <f t="array" ref="X632">IF(OR(_xlfn.IFERROR(INDEX('Datos - Catálogo TIMSS'!$I$5:$I$107,MATCH(K632,'Datos - Catálogo TIMSS'!$A$5:$A$107,0)),"No")="Sí",_xlfn.IFERROR(INDEX('Datos - Catálogo TIMSS'!$I$5:$I$107,MATCH(L632,'Datos - Catálogo TIMSS'!$A$5:$A$107,0)),"No")="Sí"),1,0)</f>
        <v>0</v>
      </c>
      <c r="Y632" s="36" cm="1">
        <f t="array" ref="Y632">IF(_xlfn.IFERROR(INDEX('Datos - Catálogo TIMSS'!$J$5:$J$107,MATCH(K632,'Datos - Catálogo TIMSS'!$A$5:$A$107,0)),"No")="Sí",1,0)</f>
        <v>0</v>
      </c>
      <c r="Z632" s="36" cm="1">
        <f t="array" ref="Z632">IF(_xlfn.IFERROR(INDEX('Datos - Catálogo TIMSS'!$J$5:$J$107,MATCH(L632,'Datos - Catálogo TIMSS'!$A$5:$A$107,0)),"No")="Sí",1,0)</f>
        <v>0</v>
      </c>
      <c r="AA632" t="s" s="35">
        <v>1832</v>
      </c>
      <c r="AB632" s="39"/>
      <c r="AC632" t="str" s="39">
        <v>Fuera del marco</v>
      </c>
      <c r="AD632" t="s" s="35">
        <v>1900</v>
      </c>
      <c r="AE632" t="str" s="39" cm="1">
        <f t="array" ref="AE632">IF(AD632="","",IF(LEFT(AD632,1)="1","C1",IF(LEFT(AD632,1)="2","C2",IF(LEFT(AD632,1)="3","C3",""))))</f>
        <v>C3</v>
      </c>
      <c r="AF632" t="s" s="35">
        <v>1602</v>
      </c>
      <c r="AG632" t="s" s="35">
        <v>1617</v>
      </c>
      <c r="AH632" t="s" s="35">
        <v>1605</v>
      </c>
      <c r="AI632" t="s" s="35">
        <v>1629</v>
      </c>
      <c r="AJ632" t="s" s="35">
        <v>1631</v>
      </c>
      <c r="AK632" s="39"/>
      <c r="AL632" s="39"/>
      <c r="AM632" s="39"/>
      <c r="AN632" s="39"/>
      <c r="AO632" s="39"/>
      <c r="AP632" s="39"/>
      <c r="AQ632" s="39"/>
      <c r="AR632" s="39"/>
      <c r="AS632" s="39"/>
      <c r="AT632" s="39"/>
      <c r="AU632" s="39"/>
      <c r="AV632" s="39"/>
      <c r="AW632" t="str" s="39" cm="1">
        <f t="array" ref="AW632">AF632&amp;"; "&amp;AG632&amp;"; "&amp;AH632&amp;"; "&amp;AI632&amp;"; "&amp;AJ632</f>
        <v>E1; D1; E2; I3; I4</v>
      </c>
    </row>
    <row r="633" ht="13.65" customHeight="1">
      <c r="A633" t="s" s="35">
        <v>4835</v>
      </c>
      <c r="B633" s="36">
        <v>10</v>
      </c>
      <c r="C633" t="s" s="35">
        <v>222</v>
      </c>
      <c r="D633" t="s" s="35">
        <v>4800</v>
      </c>
      <c r="E633" t="s" s="35">
        <v>4801</v>
      </c>
      <c r="F633" s="36">
        <v>9</v>
      </c>
      <c r="G633" t="s" s="35">
        <v>4836</v>
      </c>
      <c r="H633" t="s" s="35">
        <v>4837</v>
      </c>
      <c r="I633" t="s" s="120">
        <v>4838</v>
      </c>
      <c r="J633" t="s" s="35">
        <v>1301</v>
      </c>
      <c r="K633" t="s" s="35">
        <v>1832</v>
      </c>
      <c r="L633" s="39"/>
      <c r="M633" t="str" s="39">
        <v>Fuera del marco</v>
      </c>
      <c r="N633" t="str" s="39">
        <v>Fuera del marco</v>
      </c>
      <c r="O633" t="str" s="39" cm="1">
        <f t="array" ref="O633">IF(L633="","",_xlfn.IFERROR(INDEX('Datos - Catálogo TIMSS'!$C$5:$C$107,MATCH(L633,'Datos - Catálogo TIMSS'!$A$5:$A$107,0)),"?"))</f>
      </c>
      <c r="P633" t="s" s="35">
        <v>254</v>
      </c>
      <c r="Q633" t="s" s="120">
        <v>4839</v>
      </c>
      <c r="R633" t="s" s="120">
        <v>4840</v>
      </c>
      <c r="S633" s="121" cm="1">
        <f t="array" ref="S633">_xlfn.IFERROR(ISNUMBER(SEARCH("Conocer",$R633))/(ISNUMBER(SEARCH("Conocer",$R633))+ISNUMBER(SEARCH("Aplicar",$R633))+ISNUMBER(SEARCH("Razonar",$R633))),0)</f>
        <v>0</v>
      </c>
      <c r="T633" s="121" cm="1">
        <f t="array" ref="T633">_xlfn.IFERROR(ISNUMBER(SEARCH("Aplicar",$R633))/(ISNUMBER(SEARCH("Conocer",$R633))+ISNUMBER(SEARCH("Aplicar",$R633))+ISNUMBER(SEARCH("Razonar",$R633))),0)</f>
        <v>0.5</v>
      </c>
      <c r="U633" s="121" cm="1">
        <f t="array" ref="U633">_xlfn.IFERROR(ISNUMBER(SEARCH("Razonar",$R633))/(ISNUMBER(SEARCH("Conocer",$R633))+ISNUMBER(SEARCH("Aplicar",$R633))+ISNUMBER(SEARCH("Razonar",$R633))),0)</f>
        <v>0.5</v>
      </c>
      <c r="V633" t="s" s="35">
        <v>87</v>
      </c>
      <c r="W633" t="s" s="35">
        <v>119</v>
      </c>
      <c r="X633" s="36" cm="1">
        <f t="array" ref="X633">IF(OR(_xlfn.IFERROR(INDEX('Datos - Catálogo TIMSS'!$I$5:$I$107,MATCH(K633,'Datos - Catálogo TIMSS'!$A$5:$A$107,0)),"No")="Sí",_xlfn.IFERROR(INDEX('Datos - Catálogo TIMSS'!$I$5:$I$107,MATCH(L633,'Datos - Catálogo TIMSS'!$A$5:$A$107,0)),"No")="Sí"),1,0)</f>
        <v>0</v>
      </c>
      <c r="Y633" s="36" cm="1">
        <f t="array" ref="Y633">IF(_xlfn.IFERROR(INDEX('Datos - Catálogo TIMSS'!$J$5:$J$107,MATCH(K633,'Datos - Catálogo TIMSS'!$A$5:$A$107,0)),"No")="Sí",1,0)</f>
        <v>0</v>
      </c>
      <c r="Z633" s="36" cm="1">
        <f t="array" ref="Z633">IF(_xlfn.IFERROR(INDEX('Datos - Catálogo TIMSS'!$J$5:$J$107,MATCH(L633,'Datos - Catálogo TIMSS'!$A$5:$A$107,0)),"No")="Sí",1,0)</f>
        <v>0</v>
      </c>
      <c r="AA633" t="s" s="35">
        <v>1832</v>
      </c>
      <c r="AB633" s="39"/>
      <c r="AC633" t="str" s="39">
        <v>Fuera del marco</v>
      </c>
      <c r="AD633" t="s" s="35">
        <v>1859</v>
      </c>
      <c r="AE633" t="str" s="39" cm="1">
        <f t="array" ref="AE633">IF(AD633="","",IF(LEFT(AD633,1)="1","C1",IF(LEFT(AD633,1)="2","C2",IF(LEFT(AD633,1)="3","C3",""))))</f>
        <v>C1</v>
      </c>
      <c r="AF633" t="s" s="35">
        <v>1602</v>
      </c>
      <c r="AG633" t="s" s="35">
        <v>1607</v>
      </c>
      <c r="AH633" t="s" s="35">
        <v>1605</v>
      </c>
      <c r="AI633" t="s" s="35">
        <v>1609</v>
      </c>
      <c r="AJ633" t="s" s="35">
        <v>1633</v>
      </c>
      <c r="AK633" s="39"/>
      <c r="AL633" s="39"/>
      <c r="AM633" s="39"/>
      <c r="AN633" s="39"/>
      <c r="AO633" s="39"/>
      <c r="AP633" s="39"/>
      <c r="AQ633" s="39"/>
      <c r="AR633" s="39"/>
      <c r="AS633" s="39"/>
      <c r="AT633" s="39"/>
      <c r="AU633" s="39"/>
      <c r="AV633" s="39"/>
      <c r="AW633" t="str" s="39" cm="1">
        <f t="array" ref="AW633">AF633&amp;"; "&amp;AG633&amp;"; "&amp;AH633&amp;"; "&amp;AI633&amp;"; "&amp;AJ633</f>
        <v>E1; E3; E2; E4; I5</v>
      </c>
    </row>
    <row r="634" ht="13.65" customHeight="1">
      <c r="A634" t="s" s="35">
        <v>4842</v>
      </c>
      <c r="B634" s="36">
        <v>10</v>
      </c>
      <c r="C634" t="s" s="35">
        <v>222</v>
      </c>
      <c r="D634" t="s" s="35">
        <v>4800</v>
      </c>
      <c r="E634" t="s" s="35">
        <v>4801</v>
      </c>
      <c r="F634" s="36">
        <v>10</v>
      </c>
      <c r="G634" t="s" s="35">
        <v>4836</v>
      </c>
      <c r="H634" t="s" s="35">
        <v>4837</v>
      </c>
      <c r="I634" t="s" s="120">
        <v>4843</v>
      </c>
      <c r="J634" t="s" s="35">
        <v>1301</v>
      </c>
      <c r="K634" t="s" s="35">
        <v>1832</v>
      </c>
      <c r="L634" s="39"/>
      <c r="M634" t="str" s="39">
        <v>Fuera del marco</v>
      </c>
      <c r="N634" t="str" s="39">
        <v>Fuera del marco</v>
      </c>
      <c r="O634" t="str" s="39" cm="1">
        <f t="array" ref="O634">IF(L634="","",_xlfn.IFERROR(INDEX('Datos - Catálogo TIMSS'!$C$5:$C$107,MATCH(L634,'Datos - Catálogo TIMSS'!$A$5:$A$107,0)),"?"))</f>
      </c>
      <c r="P634" t="s" s="35">
        <v>254</v>
      </c>
      <c r="Q634" t="s" s="120">
        <v>4844</v>
      </c>
      <c r="R634" t="s" s="120">
        <v>4845</v>
      </c>
      <c r="S634" s="121" cm="1">
        <f t="array" ref="S634">_xlfn.IFERROR(ISNUMBER(SEARCH("Conocer",$R634))/(ISNUMBER(SEARCH("Conocer",$R634))+ISNUMBER(SEARCH("Aplicar",$R634))+ISNUMBER(SEARCH("Razonar",$R634))),0)</f>
        <v>0</v>
      </c>
      <c r="T634" s="121" cm="1">
        <f t="array" ref="T634">_xlfn.IFERROR(ISNUMBER(SEARCH("Aplicar",$R634))/(ISNUMBER(SEARCH("Conocer",$R634))+ISNUMBER(SEARCH("Aplicar",$R634))+ISNUMBER(SEARCH("Razonar",$R634))),0)</f>
        <v>0.5</v>
      </c>
      <c r="U634" s="121" cm="1">
        <f t="array" ref="U634">_xlfn.IFERROR(ISNUMBER(SEARCH("Razonar",$R634))/(ISNUMBER(SEARCH("Conocer",$R634))+ISNUMBER(SEARCH("Aplicar",$R634))+ISNUMBER(SEARCH("Razonar",$R634))),0)</f>
        <v>0.5</v>
      </c>
      <c r="V634" t="s" s="35">
        <v>87</v>
      </c>
      <c r="W634" t="s" s="35">
        <v>119</v>
      </c>
      <c r="X634" s="36" cm="1">
        <f t="array" ref="X634">IF(OR(_xlfn.IFERROR(INDEX('Datos - Catálogo TIMSS'!$I$5:$I$107,MATCH(K634,'Datos - Catálogo TIMSS'!$A$5:$A$107,0)),"No")="Sí",_xlfn.IFERROR(INDEX('Datos - Catálogo TIMSS'!$I$5:$I$107,MATCH(L634,'Datos - Catálogo TIMSS'!$A$5:$A$107,0)),"No")="Sí"),1,0)</f>
        <v>0</v>
      </c>
      <c r="Y634" s="36" cm="1">
        <f t="array" ref="Y634">IF(_xlfn.IFERROR(INDEX('Datos - Catálogo TIMSS'!$J$5:$J$107,MATCH(K634,'Datos - Catálogo TIMSS'!$A$5:$A$107,0)),"No")="Sí",1,0)</f>
        <v>0</v>
      </c>
      <c r="Z634" s="36" cm="1">
        <f t="array" ref="Z634">IF(_xlfn.IFERROR(INDEX('Datos - Catálogo TIMSS'!$J$5:$J$107,MATCH(L634,'Datos - Catálogo TIMSS'!$A$5:$A$107,0)),"No")="Sí",1,0)</f>
        <v>0</v>
      </c>
      <c r="AA634" t="s" s="35">
        <v>1832</v>
      </c>
      <c r="AB634" s="39"/>
      <c r="AC634" t="str" s="39">
        <v>Fuera del marco</v>
      </c>
      <c r="AD634" t="s" s="35">
        <v>1900</v>
      </c>
      <c r="AE634" t="str" s="39" cm="1">
        <f t="array" ref="AE634">IF(AD634="","",IF(LEFT(AD634,1)="1","C1",IF(LEFT(AD634,1)="2","C2",IF(LEFT(AD634,1)="3","C3",""))))</f>
        <v>C3</v>
      </c>
      <c r="AF634" t="s" s="35">
        <v>1615</v>
      </c>
      <c r="AG634" t="s" s="35">
        <v>1617</v>
      </c>
      <c r="AH634" t="s" s="35">
        <v>1602</v>
      </c>
      <c r="AI634" t="s" s="35">
        <v>1629</v>
      </c>
      <c r="AJ634" t="s" s="35">
        <v>1607</v>
      </c>
      <c r="AK634" s="39"/>
      <c r="AL634" s="39"/>
      <c r="AM634" s="39"/>
      <c r="AN634" s="39"/>
      <c r="AO634" s="39"/>
      <c r="AP634" s="39"/>
      <c r="AQ634" s="39"/>
      <c r="AR634" s="39"/>
      <c r="AS634" s="39"/>
      <c r="AT634" s="39"/>
      <c r="AU634" s="39"/>
      <c r="AV634" s="39"/>
      <c r="AW634" t="str" s="39" cm="1">
        <f t="array" ref="AW634">AF634&amp;"; "&amp;AG634&amp;"; "&amp;AH634&amp;"; "&amp;AI634&amp;"; "&amp;AJ634</f>
        <v>E6; D1; E1; I3; E3</v>
      </c>
    </row>
    <row r="635" ht="13.65" customHeight="1">
      <c r="A635" t="s" s="35">
        <v>4847</v>
      </c>
      <c r="B635" s="36">
        <v>10</v>
      </c>
      <c r="C635" t="s" s="35">
        <v>222</v>
      </c>
      <c r="D635" t="s" s="35">
        <v>4800</v>
      </c>
      <c r="E635" t="s" s="35">
        <v>4801</v>
      </c>
      <c r="F635" s="36">
        <v>11</v>
      </c>
      <c r="G635" t="s" s="35">
        <v>4836</v>
      </c>
      <c r="H635" t="s" s="35">
        <v>4848</v>
      </c>
      <c r="I635" t="s" s="120">
        <v>4849</v>
      </c>
      <c r="J635" t="s" s="35">
        <v>1301</v>
      </c>
      <c r="K635" t="s" s="35">
        <v>1832</v>
      </c>
      <c r="L635" s="39"/>
      <c r="M635" t="str" s="39">
        <v>Fuera del marco</v>
      </c>
      <c r="N635" t="str" s="39">
        <v>Fuera del marco</v>
      </c>
      <c r="O635" t="str" s="39" cm="1">
        <f t="array" ref="O635">IF(L635="","",_xlfn.IFERROR(INDEX('Datos - Catálogo TIMSS'!$C$5:$C$107,MATCH(L635,'Datos - Catálogo TIMSS'!$A$5:$A$107,0)),"?"))</f>
      </c>
      <c r="P635" t="s" s="35">
        <v>254</v>
      </c>
      <c r="Q635" t="s" s="120">
        <v>4850</v>
      </c>
      <c r="R635" t="s" s="120">
        <v>4851</v>
      </c>
      <c r="S635" s="121" cm="1">
        <f t="array" ref="S635">_xlfn.IFERROR(ISNUMBER(SEARCH("Conocer",$R635))/(ISNUMBER(SEARCH("Conocer",$R635))+ISNUMBER(SEARCH("Aplicar",$R635))+ISNUMBER(SEARCH("Razonar",$R635))),0)</f>
        <v>0</v>
      </c>
      <c r="T635" s="121" cm="1">
        <f t="array" ref="T635">_xlfn.IFERROR(ISNUMBER(SEARCH("Aplicar",$R635))/(ISNUMBER(SEARCH("Conocer",$R635))+ISNUMBER(SEARCH("Aplicar",$R635))+ISNUMBER(SEARCH("Razonar",$R635))),0)</f>
        <v>0.5</v>
      </c>
      <c r="U635" s="121" cm="1">
        <f t="array" ref="U635">_xlfn.IFERROR(ISNUMBER(SEARCH("Razonar",$R635))/(ISNUMBER(SEARCH("Conocer",$R635))+ISNUMBER(SEARCH("Aplicar",$R635))+ISNUMBER(SEARCH("Razonar",$R635))),0)</f>
        <v>0.5</v>
      </c>
      <c r="V635" t="s" s="35">
        <v>87</v>
      </c>
      <c r="W635" t="s" s="35">
        <v>119</v>
      </c>
      <c r="X635" s="36" cm="1">
        <f t="array" ref="X635">IF(OR(_xlfn.IFERROR(INDEX('Datos - Catálogo TIMSS'!$I$5:$I$107,MATCH(K635,'Datos - Catálogo TIMSS'!$A$5:$A$107,0)),"No")="Sí",_xlfn.IFERROR(INDEX('Datos - Catálogo TIMSS'!$I$5:$I$107,MATCH(L635,'Datos - Catálogo TIMSS'!$A$5:$A$107,0)),"No")="Sí"),1,0)</f>
        <v>0</v>
      </c>
      <c r="Y635" s="36" cm="1">
        <f t="array" ref="Y635">IF(_xlfn.IFERROR(INDEX('Datos - Catálogo TIMSS'!$J$5:$J$107,MATCH(K635,'Datos - Catálogo TIMSS'!$A$5:$A$107,0)),"No")="Sí",1,0)</f>
        <v>0</v>
      </c>
      <c r="Z635" s="36" cm="1">
        <f t="array" ref="Z635">IF(_xlfn.IFERROR(INDEX('Datos - Catálogo TIMSS'!$J$5:$J$107,MATCH(L635,'Datos - Catálogo TIMSS'!$A$5:$A$107,0)),"No")="Sí",1,0)</f>
        <v>0</v>
      </c>
      <c r="AA635" t="s" s="35">
        <v>1832</v>
      </c>
      <c r="AB635" s="39"/>
      <c r="AC635" t="str" s="39">
        <v>Fuera del marco</v>
      </c>
      <c r="AD635" t="s" s="35">
        <v>1834</v>
      </c>
      <c r="AE635" t="str" s="39" cm="1">
        <f t="array" ref="AE635">IF(AD635="","",IF(LEFT(AD635,1)="1","C1",IF(LEFT(AD635,1)="2","C2",IF(LEFT(AD635,1)="3","C3",""))))</f>
        <v>C2</v>
      </c>
      <c r="AF635" t="s" s="35">
        <v>1602</v>
      </c>
      <c r="AG635" t="s" s="35">
        <v>1617</v>
      </c>
      <c r="AH635" t="s" s="35">
        <v>1605</v>
      </c>
      <c r="AI635" t="s" s="35">
        <v>1619</v>
      </c>
      <c r="AJ635" t="s" s="35">
        <v>1621</v>
      </c>
      <c r="AK635" s="39"/>
      <c r="AL635" s="39"/>
      <c r="AM635" s="39"/>
      <c r="AN635" s="39"/>
      <c r="AO635" s="39"/>
      <c r="AP635" s="39"/>
      <c r="AQ635" s="39"/>
      <c r="AR635" s="39"/>
      <c r="AS635" s="39"/>
      <c r="AT635" s="39"/>
      <c r="AU635" s="39"/>
      <c r="AV635" s="39"/>
      <c r="AW635" t="str" s="39" cm="1">
        <f t="array" ref="AW635">AF635&amp;"; "&amp;AG635&amp;"; "&amp;AH635&amp;"; "&amp;AI635&amp;"; "&amp;AJ635</f>
        <v>E1; D1; E2; D2; D3</v>
      </c>
    </row>
    <row r="636" ht="13.65" customHeight="1">
      <c r="A636" t="s" s="35">
        <v>4853</v>
      </c>
      <c r="B636" s="36">
        <v>10</v>
      </c>
      <c r="C636" t="s" s="35">
        <v>222</v>
      </c>
      <c r="D636" t="s" s="35">
        <v>4800</v>
      </c>
      <c r="E636" t="s" s="35">
        <v>4801</v>
      </c>
      <c r="F636" s="36">
        <v>12</v>
      </c>
      <c r="G636" t="s" s="35">
        <v>4836</v>
      </c>
      <c r="H636" t="s" s="35">
        <v>3936</v>
      </c>
      <c r="I636" t="s" s="120">
        <v>4854</v>
      </c>
      <c r="J636" t="s" s="35">
        <v>1301</v>
      </c>
      <c r="K636" t="s" s="35">
        <v>1832</v>
      </c>
      <c r="L636" s="39"/>
      <c r="M636" t="str" s="39">
        <v>Fuera del marco</v>
      </c>
      <c r="N636" t="str" s="39">
        <v>Fuera del marco</v>
      </c>
      <c r="O636" t="str" s="39" cm="1">
        <f t="array" ref="O636">IF(L636="","",_xlfn.IFERROR(INDEX('Datos - Catálogo TIMSS'!$C$5:$C$107,MATCH(L636,'Datos - Catálogo TIMSS'!$A$5:$A$107,0)),"?"))</f>
      </c>
      <c r="P636" t="s" s="35">
        <v>254</v>
      </c>
      <c r="Q636" t="s" s="120">
        <v>4855</v>
      </c>
      <c r="R636" t="s" s="120">
        <v>4856</v>
      </c>
      <c r="S636" s="121" cm="1">
        <f t="array" ref="S636">_xlfn.IFERROR(ISNUMBER(SEARCH("Conocer",$R636))/(ISNUMBER(SEARCH("Conocer",$R636))+ISNUMBER(SEARCH("Aplicar",$R636))+ISNUMBER(SEARCH("Razonar",$R636))),0)</f>
        <v>0.5</v>
      </c>
      <c r="T636" s="121" cm="1">
        <f t="array" ref="T636">_xlfn.IFERROR(ISNUMBER(SEARCH("Aplicar",$R636))/(ISNUMBER(SEARCH("Conocer",$R636))+ISNUMBER(SEARCH("Aplicar",$R636))+ISNUMBER(SEARCH("Razonar",$R636))),0)</f>
        <v>0.5</v>
      </c>
      <c r="U636" s="121" cm="1">
        <f t="array" ref="U636">_xlfn.IFERROR(ISNUMBER(SEARCH("Razonar",$R636))/(ISNUMBER(SEARCH("Conocer",$R636))+ISNUMBER(SEARCH("Aplicar",$R636))+ISNUMBER(SEARCH("Razonar",$R636))),0)</f>
        <v>0</v>
      </c>
      <c r="V636" t="s" s="35">
        <v>87</v>
      </c>
      <c r="W636" t="s" s="35">
        <v>119</v>
      </c>
      <c r="X636" s="36" cm="1">
        <f t="array" ref="X636">IF(OR(_xlfn.IFERROR(INDEX('Datos - Catálogo TIMSS'!$I$5:$I$107,MATCH(K636,'Datos - Catálogo TIMSS'!$A$5:$A$107,0)),"No")="Sí",_xlfn.IFERROR(INDEX('Datos - Catálogo TIMSS'!$I$5:$I$107,MATCH(L636,'Datos - Catálogo TIMSS'!$A$5:$A$107,0)),"No")="Sí"),1,0)</f>
        <v>0</v>
      </c>
      <c r="Y636" s="36" cm="1">
        <f t="array" ref="Y636">IF(_xlfn.IFERROR(INDEX('Datos - Catálogo TIMSS'!$J$5:$J$107,MATCH(K636,'Datos - Catálogo TIMSS'!$A$5:$A$107,0)),"No")="Sí",1,0)</f>
        <v>0</v>
      </c>
      <c r="Z636" s="36" cm="1">
        <f t="array" ref="Z636">IF(_xlfn.IFERROR(INDEX('Datos - Catálogo TIMSS'!$J$5:$J$107,MATCH(L636,'Datos - Catálogo TIMSS'!$A$5:$A$107,0)),"No")="Sí",1,0)</f>
        <v>0</v>
      </c>
      <c r="AA636" t="s" s="35">
        <v>1832</v>
      </c>
      <c r="AB636" s="39"/>
      <c r="AC636" t="str" s="39">
        <v>Fuera del marco</v>
      </c>
      <c r="AD636" t="s" s="35">
        <v>1859</v>
      </c>
      <c r="AE636" t="str" s="39" cm="1">
        <f t="array" ref="AE636">IF(AD636="","",IF(LEFT(AD636,1)="1","C1",IF(LEFT(AD636,1)="2","C2",IF(LEFT(AD636,1)="3","C3",""))))</f>
        <v>C1</v>
      </c>
      <c r="AF636" t="s" s="35">
        <v>1602</v>
      </c>
      <c r="AG636" t="s" s="35">
        <v>1607</v>
      </c>
      <c r="AH636" t="s" s="35">
        <v>1605</v>
      </c>
      <c r="AI636" t="s" s="35">
        <v>1625</v>
      </c>
      <c r="AJ636" t="s" s="35">
        <v>1607</v>
      </c>
      <c r="AK636" s="39"/>
      <c r="AL636" s="39"/>
      <c r="AM636" s="39"/>
      <c r="AN636" s="39"/>
      <c r="AO636" s="39"/>
      <c r="AP636" s="39"/>
      <c r="AQ636" s="39"/>
      <c r="AR636" s="39"/>
      <c r="AS636" s="39"/>
      <c r="AT636" s="39"/>
      <c r="AU636" s="39"/>
      <c r="AV636" s="39"/>
      <c r="AW636" t="str" s="39" cm="1">
        <f t="array" ref="AW636">AF636&amp;"; "&amp;AG636&amp;"; "&amp;AH636&amp;"; "&amp;AI636&amp;"; "&amp;AJ636</f>
        <v>E1; E3; E2; I1; E3</v>
      </c>
    </row>
    <row r="637" ht="13.65" customHeight="1">
      <c r="A637" t="s" s="35">
        <v>4858</v>
      </c>
      <c r="B637" s="36">
        <v>10</v>
      </c>
      <c r="C637" t="s" s="35">
        <v>222</v>
      </c>
      <c r="D637" t="s" s="35">
        <v>4800</v>
      </c>
      <c r="E637" t="s" s="35">
        <v>4801</v>
      </c>
      <c r="F637" s="36">
        <v>13</v>
      </c>
      <c r="G637" t="s" s="35">
        <v>4836</v>
      </c>
      <c r="H637" t="s" s="35">
        <v>3936</v>
      </c>
      <c r="I637" t="s" s="120">
        <v>4859</v>
      </c>
      <c r="J637" t="s" s="35">
        <v>1301</v>
      </c>
      <c r="K637" t="s" s="35">
        <v>1832</v>
      </c>
      <c r="L637" s="39"/>
      <c r="M637" t="str" s="39">
        <v>Fuera del marco</v>
      </c>
      <c r="N637" t="str" s="39">
        <v>Fuera del marco</v>
      </c>
      <c r="O637" t="str" s="39" cm="1">
        <f t="array" ref="O637">IF(L637="","",_xlfn.IFERROR(INDEX('Datos - Catálogo TIMSS'!$C$5:$C$107,MATCH(L637,'Datos - Catálogo TIMSS'!$A$5:$A$107,0)),"?"))</f>
      </c>
      <c r="P637" t="s" s="35">
        <v>254</v>
      </c>
      <c r="Q637" t="s" s="120">
        <v>4860</v>
      </c>
      <c r="R637" t="s" s="120">
        <v>4861</v>
      </c>
      <c r="S637" s="121" cm="1">
        <f t="array" ref="S637">_xlfn.IFERROR(ISNUMBER(SEARCH("Conocer",$R637))/(ISNUMBER(SEARCH("Conocer",$R637))+ISNUMBER(SEARCH("Aplicar",$R637))+ISNUMBER(SEARCH("Razonar",$R637))),0)</f>
        <v>0</v>
      </c>
      <c r="T637" s="121" cm="1">
        <f t="array" ref="T637">_xlfn.IFERROR(ISNUMBER(SEARCH("Aplicar",$R637))/(ISNUMBER(SEARCH("Conocer",$R637))+ISNUMBER(SEARCH("Aplicar",$R637))+ISNUMBER(SEARCH("Razonar",$R637))),0)</f>
        <v>0.5</v>
      </c>
      <c r="U637" s="121" cm="1">
        <f t="array" ref="U637">_xlfn.IFERROR(ISNUMBER(SEARCH("Razonar",$R637))/(ISNUMBER(SEARCH("Conocer",$R637))+ISNUMBER(SEARCH("Aplicar",$R637))+ISNUMBER(SEARCH("Razonar",$R637))),0)</f>
        <v>0.5</v>
      </c>
      <c r="V637" t="s" s="35">
        <v>87</v>
      </c>
      <c r="W637" t="s" s="35">
        <v>119</v>
      </c>
      <c r="X637" s="36" cm="1">
        <f t="array" ref="X637">IF(OR(_xlfn.IFERROR(INDEX('Datos - Catálogo TIMSS'!$I$5:$I$107,MATCH(K637,'Datos - Catálogo TIMSS'!$A$5:$A$107,0)),"No")="Sí",_xlfn.IFERROR(INDEX('Datos - Catálogo TIMSS'!$I$5:$I$107,MATCH(L637,'Datos - Catálogo TIMSS'!$A$5:$A$107,0)),"No")="Sí"),1,0)</f>
        <v>0</v>
      </c>
      <c r="Y637" s="36" cm="1">
        <f t="array" ref="Y637">IF(_xlfn.IFERROR(INDEX('Datos - Catálogo TIMSS'!$J$5:$J$107,MATCH(K637,'Datos - Catálogo TIMSS'!$A$5:$A$107,0)),"No")="Sí",1,0)</f>
        <v>0</v>
      </c>
      <c r="Z637" s="36" cm="1">
        <f t="array" ref="Z637">IF(_xlfn.IFERROR(INDEX('Datos - Catálogo TIMSS'!$J$5:$J$107,MATCH(L637,'Datos - Catálogo TIMSS'!$A$5:$A$107,0)),"No")="Sí",1,0)</f>
        <v>0</v>
      </c>
      <c r="AA637" t="s" s="35">
        <v>1832</v>
      </c>
      <c r="AB637" s="39"/>
      <c r="AC637" t="str" s="39">
        <v>Fuera del marco</v>
      </c>
      <c r="AD637" t="s" s="35">
        <v>1859</v>
      </c>
      <c r="AE637" t="str" s="39" cm="1">
        <f t="array" ref="AE637">IF(AD637="","",IF(LEFT(AD637,1)="1","C1",IF(LEFT(AD637,1)="2","C2",IF(LEFT(AD637,1)="3","C3",""))))</f>
        <v>C1</v>
      </c>
      <c r="AF637" t="s" s="35">
        <v>1602</v>
      </c>
      <c r="AG637" t="s" s="35">
        <v>1617</v>
      </c>
      <c r="AH637" t="s" s="35">
        <v>1605</v>
      </c>
      <c r="AI637" t="s" s="35">
        <v>1609</v>
      </c>
      <c r="AJ637" t="s" s="35">
        <v>1621</v>
      </c>
      <c r="AK637" s="39"/>
      <c r="AL637" s="39"/>
      <c r="AM637" s="39"/>
      <c r="AN637" s="39"/>
      <c r="AO637" s="39"/>
      <c r="AP637" s="39"/>
      <c r="AQ637" s="39"/>
      <c r="AR637" s="39"/>
      <c r="AS637" s="39"/>
      <c r="AT637" s="39"/>
      <c r="AU637" s="39"/>
      <c r="AV637" s="39"/>
      <c r="AW637" t="str" s="39" cm="1">
        <f t="array" ref="AW637">AF637&amp;"; "&amp;AG637&amp;"; "&amp;AH637&amp;"; "&amp;AI637&amp;"; "&amp;AJ637</f>
        <v>E1; D1; E2; E4; D3</v>
      </c>
    </row>
    <row r="638" ht="13.65" customHeight="1">
      <c r="A638" t="s" s="35">
        <v>4863</v>
      </c>
      <c r="B638" s="36">
        <v>10</v>
      </c>
      <c r="C638" t="s" s="35">
        <v>222</v>
      </c>
      <c r="D638" t="s" s="35">
        <v>4800</v>
      </c>
      <c r="E638" t="s" s="35">
        <v>4801</v>
      </c>
      <c r="F638" s="36">
        <v>14</v>
      </c>
      <c r="G638" t="s" s="35">
        <v>4836</v>
      </c>
      <c r="H638" t="s" s="35">
        <v>3936</v>
      </c>
      <c r="I638" t="s" s="120">
        <v>4864</v>
      </c>
      <c r="J638" t="s" s="35">
        <v>1301</v>
      </c>
      <c r="K638" t="s" s="35">
        <v>1832</v>
      </c>
      <c r="L638" s="39"/>
      <c r="M638" t="str" s="39">
        <v>Fuera del marco</v>
      </c>
      <c r="N638" t="str" s="39">
        <v>Fuera del marco</v>
      </c>
      <c r="O638" t="str" s="39" cm="1">
        <f t="array" ref="O638">IF(L638="","",_xlfn.IFERROR(INDEX('Datos - Catálogo TIMSS'!$C$5:$C$107,MATCH(L638,'Datos - Catálogo TIMSS'!$A$5:$A$107,0)),"?"))</f>
      </c>
      <c r="P638" t="s" s="35">
        <v>254</v>
      </c>
      <c r="Q638" t="s" s="120">
        <v>4865</v>
      </c>
      <c r="R638" t="s" s="120">
        <v>4866</v>
      </c>
      <c r="S638" s="121" cm="1">
        <f t="array" ref="S638">_xlfn.IFERROR(ISNUMBER(SEARCH("Conocer",$R638))/(ISNUMBER(SEARCH("Conocer",$R638))+ISNUMBER(SEARCH("Aplicar",$R638))+ISNUMBER(SEARCH("Razonar",$R638))),0)</f>
        <v>0</v>
      </c>
      <c r="T638" s="121" cm="1">
        <f t="array" ref="T638">_xlfn.IFERROR(ISNUMBER(SEARCH("Aplicar",$R638))/(ISNUMBER(SEARCH("Conocer",$R638))+ISNUMBER(SEARCH("Aplicar",$R638))+ISNUMBER(SEARCH("Razonar",$R638))),0)</f>
        <v>0.5</v>
      </c>
      <c r="U638" s="121" cm="1">
        <f t="array" ref="U638">_xlfn.IFERROR(ISNUMBER(SEARCH("Razonar",$R638))/(ISNUMBER(SEARCH("Conocer",$R638))+ISNUMBER(SEARCH("Aplicar",$R638))+ISNUMBER(SEARCH("Razonar",$R638))),0)</f>
        <v>0.5</v>
      </c>
      <c r="V638" t="s" s="35">
        <v>87</v>
      </c>
      <c r="W638" t="s" s="35">
        <v>119</v>
      </c>
      <c r="X638" s="36" cm="1">
        <f t="array" ref="X638">IF(OR(_xlfn.IFERROR(INDEX('Datos - Catálogo TIMSS'!$I$5:$I$107,MATCH(K638,'Datos - Catálogo TIMSS'!$A$5:$A$107,0)),"No")="Sí",_xlfn.IFERROR(INDEX('Datos - Catálogo TIMSS'!$I$5:$I$107,MATCH(L638,'Datos - Catálogo TIMSS'!$A$5:$A$107,0)),"No")="Sí"),1,0)</f>
        <v>0</v>
      </c>
      <c r="Y638" s="36" cm="1">
        <f t="array" ref="Y638">IF(_xlfn.IFERROR(INDEX('Datos - Catálogo TIMSS'!$J$5:$J$107,MATCH(K638,'Datos - Catálogo TIMSS'!$A$5:$A$107,0)),"No")="Sí",1,0)</f>
        <v>0</v>
      </c>
      <c r="Z638" s="36" cm="1">
        <f t="array" ref="Z638">IF(_xlfn.IFERROR(INDEX('Datos - Catálogo TIMSS'!$J$5:$J$107,MATCH(L638,'Datos - Catálogo TIMSS'!$A$5:$A$107,0)),"No")="Sí",1,0)</f>
        <v>0</v>
      </c>
      <c r="AA638" t="s" s="35">
        <v>1832</v>
      </c>
      <c r="AB638" s="39"/>
      <c r="AC638" t="str" s="39">
        <v>Fuera del marco</v>
      </c>
      <c r="AD638" t="s" s="35">
        <v>1859</v>
      </c>
      <c r="AE638" t="str" s="39" cm="1">
        <f t="array" ref="AE638">IF(AD638="","",IF(LEFT(AD638,1)="1","C1",IF(LEFT(AD638,1)="2","C2",IF(LEFT(AD638,1)="3","C3",""))))</f>
        <v>C1</v>
      </c>
      <c r="AF638" t="s" s="35">
        <v>1602</v>
      </c>
      <c r="AG638" t="s" s="35">
        <v>1607</v>
      </c>
      <c r="AH638" t="s" s="35">
        <v>1605</v>
      </c>
      <c r="AI638" t="s" s="35">
        <v>1609</v>
      </c>
      <c r="AJ638" t="s" s="35">
        <v>1631</v>
      </c>
      <c r="AK638" s="39"/>
      <c r="AL638" s="39"/>
      <c r="AM638" s="39"/>
      <c r="AN638" s="39"/>
      <c r="AO638" s="39"/>
      <c r="AP638" s="39"/>
      <c r="AQ638" s="39"/>
      <c r="AR638" s="39"/>
      <c r="AS638" s="39"/>
      <c r="AT638" s="39"/>
      <c r="AU638" s="39"/>
      <c r="AV638" s="39"/>
      <c r="AW638" t="str" s="39" cm="1">
        <f t="array" ref="AW638">AF638&amp;"; "&amp;AG638&amp;"; "&amp;AH638&amp;"; "&amp;AI638&amp;"; "&amp;AJ638</f>
        <v>E1; E3; E2; E4; I4</v>
      </c>
    </row>
    <row r="639" ht="13.65" customHeight="1">
      <c r="A639" t="s" s="35">
        <v>4868</v>
      </c>
      <c r="B639" s="36">
        <v>10</v>
      </c>
      <c r="C639" t="s" s="35">
        <v>222</v>
      </c>
      <c r="D639" t="s" s="35">
        <v>4800</v>
      </c>
      <c r="E639" t="s" s="35">
        <v>4801</v>
      </c>
      <c r="F639" s="36">
        <v>15</v>
      </c>
      <c r="G639" t="s" s="35">
        <v>4836</v>
      </c>
      <c r="H639" t="s" s="35">
        <v>3936</v>
      </c>
      <c r="I639" t="s" s="120">
        <v>4869</v>
      </c>
      <c r="J639" t="s" s="35">
        <v>1301</v>
      </c>
      <c r="K639" t="s" s="35">
        <v>1832</v>
      </c>
      <c r="L639" s="39"/>
      <c r="M639" t="str" s="39">
        <v>Fuera del marco</v>
      </c>
      <c r="N639" t="str" s="39">
        <v>Fuera del marco</v>
      </c>
      <c r="O639" t="str" s="39" cm="1">
        <f t="array" ref="O639">IF(L639="","",_xlfn.IFERROR(INDEX('Datos - Catálogo TIMSS'!$C$5:$C$107,MATCH(L639,'Datos - Catálogo TIMSS'!$A$5:$A$107,0)),"?"))</f>
      </c>
      <c r="P639" t="s" s="35">
        <v>282</v>
      </c>
      <c r="Q639" t="s" s="120">
        <v>4870</v>
      </c>
      <c r="R639" t="s" s="120">
        <v>4871</v>
      </c>
      <c r="S639" s="121" cm="1">
        <f t="array" ref="S639">_xlfn.IFERROR(ISNUMBER(SEARCH("Conocer",$R639))/(ISNUMBER(SEARCH("Conocer",$R639))+ISNUMBER(SEARCH("Aplicar",$R639))+ISNUMBER(SEARCH("Razonar",$R639))),0)</f>
        <v>0</v>
      </c>
      <c r="T639" s="121" cm="1">
        <f t="array" ref="T639">_xlfn.IFERROR(ISNUMBER(SEARCH("Aplicar",$R639))/(ISNUMBER(SEARCH("Conocer",$R639))+ISNUMBER(SEARCH("Aplicar",$R639))+ISNUMBER(SEARCH("Razonar",$R639))),0)</f>
        <v>0.5</v>
      </c>
      <c r="U639" s="121" cm="1">
        <f t="array" ref="U639">_xlfn.IFERROR(ISNUMBER(SEARCH("Razonar",$R639))/(ISNUMBER(SEARCH("Conocer",$R639))+ISNUMBER(SEARCH("Aplicar",$R639))+ISNUMBER(SEARCH("Razonar",$R639))),0)</f>
        <v>0.5</v>
      </c>
      <c r="V639" t="s" s="35">
        <v>87</v>
      </c>
      <c r="W639" t="s" s="35">
        <v>119</v>
      </c>
      <c r="X639" s="36" cm="1">
        <f t="array" ref="X639">IF(OR(_xlfn.IFERROR(INDEX('Datos - Catálogo TIMSS'!$I$5:$I$107,MATCH(K639,'Datos - Catálogo TIMSS'!$A$5:$A$107,0)),"No")="Sí",_xlfn.IFERROR(INDEX('Datos - Catálogo TIMSS'!$I$5:$I$107,MATCH(L639,'Datos - Catálogo TIMSS'!$A$5:$A$107,0)),"No")="Sí"),1,0)</f>
        <v>0</v>
      </c>
      <c r="Y639" s="36" cm="1">
        <f t="array" ref="Y639">IF(_xlfn.IFERROR(INDEX('Datos - Catálogo TIMSS'!$J$5:$J$107,MATCH(K639,'Datos - Catálogo TIMSS'!$A$5:$A$107,0)),"No")="Sí",1,0)</f>
        <v>0</v>
      </c>
      <c r="Z639" s="36" cm="1">
        <f t="array" ref="Z639">IF(_xlfn.IFERROR(INDEX('Datos - Catálogo TIMSS'!$J$5:$J$107,MATCH(L639,'Datos - Catálogo TIMSS'!$A$5:$A$107,0)),"No")="Sí",1,0)</f>
        <v>0</v>
      </c>
      <c r="AA639" t="s" s="35">
        <v>1832</v>
      </c>
      <c r="AB639" s="39"/>
      <c r="AC639" t="str" s="39">
        <v>Fuera del marco</v>
      </c>
      <c r="AD639" t="s" s="35">
        <v>1859</v>
      </c>
      <c r="AE639" t="str" s="39" cm="1">
        <f t="array" ref="AE639">IF(AD639="","",IF(LEFT(AD639,1)="1","C1",IF(LEFT(AD639,1)="2","C2",IF(LEFT(AD639,1)="3","C3",""))))</f>
        <v>C1</v>
      </c>
      <c r="AF639" t="s" s="35">
        <v>1615</v>
      </c>
      <c r="AG639" t="s" s="35">
        <v>1607</v>
      </c>
      <c r="AH639" t="s" s="35">
        <v>1605</v>
      </c>
      <c r="AI639" t="s" s="35">
        <v>1623</v>
      </c>
      <c r="AJ639" t="s" s="35">
        <v>1633</v>
      </c>
      <c r="AK639" s="39"/>
      <c r="AL639" s="39"/>
      <c r="AM639" s="39"/>
      <c r="AN639" s="39"/>
      <c r="AO639" s="39"/>
      <c r="AP639" s="39"/>
      <c r="AQ639" s="39"/>
      <c r="AR639" s="39"/>
      <c r="AS639" s="39"/>
      <c r="AT639" s="39"/>
      <c r="AU639" s="39"/>
      <c r="AV639" s="39"/>
      <c r="AW639" t="str" s="39" cm="1">
        <f t="array" ref="AW639">AF639&amp;"; "&amp;AG639&amp;"; "&amp;AH639&amp;"; "&amp;AI639&amp;"; "&amp;AJ639</f>
        <v>E6; E3; E2; D4; I5</v>
      </c>
    </row>
    <row r="640" ht="13.65" customHeight="1">
      <c r="A640" t="s" s="35">
        <v>4873</v>
      </c>
      <c r="B640" s="36">
        <v>10</v>
      </c>
      <c r="C640" t="s" s="35">
        <v>222</v>
      </c>
      <c r="D640" t="s" s="35">
        <v>4800</v>
      </c>
      <c r="E640" t="s" s="35">
        <v>4801</v>
      </c>
      <c r="F640" s="36">
        <v>16</v>
      </c>
      <c r="G640" t="s" s="35">
        <v>4874</v>
      </c>
      <c r="H640" t="s" s="35">
        <v>4875</v>
      </c>
      <c r="I640" t="s" s="120">
        <v>4876</v>
      </c>
      <c r="J640" t="s" s="35">
        <v>1301</v>
      </c>
      <c r="K640" t="s" s="35">
        <v>1300</v>
      </c>
      <c r="L640" s="39"/>
      <c r="M640" t="str" s="39">
        <v>Mecánica y termodinámica</v>
      </c>
      <c r="N640" t="str" s="39">
        <v>Fuerzas y movimiento</v>
      </c>
      <c r="O640" t="str" s="39" cm="1">
        <f t="array" ref="O640">IF(L640="","",_xlfn.IFERROR(INDEX('Datos - Catálogo TIMSS'!$C$5:$C$107,MATCH(L640,'Datos - Catálogo TIMSS'!$A$5:$A$107,0)),"?"))</f>
      </c>
      <c r="P640" t="s" s="35">
        <v>254</v>
      </c>
      <c r="Q640" t="s" s="120">
        <v>4878</v>
      </c>
      <c r="R640" t="s" s="120">
        <v>4879</v>
      </c>
      <c r="S640" s="121" cm="1">
        <f t="array" ref="S640">_xlfn.IFERROR(ISNUMBER(SEARCH("Conocer",$R640))/(ISNUMBER(SEARCH("Conocer",$R640))+ISNUMBER(SEARCH("Aplicar",$R640))+ISNUMBER(SEARCH("Razonar",$R640))),0)</f>
        <v>0</v>
      </c>
      <c r="T640" s="121" cm="1">
        <f t="array" ref="T640">_xlfn.IFERROR(ISNUMBER(SEARCH("Aplicar",$R640))/(ISNUMBER(SEARCH("Conocer",$R640))+ISNUMBER(SEARCH("Aplicar",$R640))+ISNUMBER(SEARCH("Razonar",$R640))),0)</f>
        <v>0.5</v>
      </c>
      <c r="U640" s="121" cm="1">
        <f t="array" ref="U640">_xlfn.IFERROR(ISNUMBER(SEARCH("Razonar",$R640))/(ISNUMBER(SEARCH("Conocer",$R640))+ISNUMBER(SEARCH("Aplicar",$R640))+ISNUMBER(SEARCH("Razonar",$R640))),0)</f>
        <v>0.5</v>
      </c>
      <c r="V640" t="s" s="35">
        <v>87</v>
      </c>
      <c r="W640" t="s" s="35">
        <v>119</v>
      </c>
      <c r="X640" s="36" cm="1">
        <f t="array" ref="X640">IF(OR(_xlfn.IFERROR(INDEX('Datos - Catálogo TIMSS'!$I$5:$I$107,MATCH(K640,'Datos - Catálogo TIMSS'!$A$5:$A$107,0)),"No")="Sí",_xlfn.IFERROR(INDEX('Datos - Catálogo TIMSS'!$I$5:$I$107,MATCH(L640,'Datos - Catálogo TIMSS'!$A$5:$A$107,0)),"No")="Sí"),1,0)</f>
        <v>0</v>
      </c>
      <c r="Y640" s="36" cm="1">
        <f t="array" ref="Y640">IF(_xlfn.IFERROR(INDEX('Datos - Catálogo TIMSS'!$J$5:$J$107,MATCH(K640,'Datos - Catálogo TIMSS'!$A$5:$A$107,0)),"No")="Sí",1,0)</f>
        <v>0</v>
      </c>
      <c r="Z640" s="36" cm="1">
        <f t="array" ref="Z640">IF(_xlfn.IFERROR(INDEX('Datos - Catálogo TIMSS'!$J$5:$J$107,MATCH(L640,'Datos - Catálogo TIMSS'!$A$5:$A$107,0)),"No")="Sí",1,0)</f>
        <v>0</v>
      </c>
      <c r="AA640" t="s" s="35">
        <v>1300</v>
      </c>
      <c r="AB640" s="39"/>
      <c r="AC640" t="str" s="39">
        <v>Mecánica y termodinámica</v>
      </c>
      <c r="AD640" t="s" s="35">
        <v>1859</v>
      </c>
      <c r="AE640" t="str" s="39" cm="1">
        <f t="array" ref="AE640">IF(AD640="","",IF(LEFT(AD640,1)="1","C1",IF(LEFT(AD640,1)="2","C2",IF(LEFT(AD640,1)="3","C3",""))))</f>
        <v>C1</v>
      </c>
      <c r="AF640" t="s" s="35">
        <v>1602</v>
      </c>
      <c r="AG640" t="s" s="35">
        <v>1607</v>
      </c>
      <c r="AH640" t="s" s="35">
        <v>1605</v>
      </c>
      <c r="AI640" t="s" s="35">
        <v>1623</v>
      </c>
      <c r="AJ640" t="s" s="35">
        <v>1607</v>
      </c>
      <c r="AK640" s="39"/>
      <c r="AL640" s="39"/>
      <c r="AM640" s="39"/>
      <c r="AN640" s="39"/>
      <c r="AO640" s="39"/>
      <c r="AP640" s="39"/>
      <c r="AQ640" s="39"/>
      <c r="AR640" s="39"/>
      <c r="AS640" s="39"/>
      <c r="AT640" s="39"/>
      <c r="AU640" s="39"/>
      <c r="AV640" s="39"/>
      <c r="AW640" t="str" s="39" cm="1">
        <f t="array" ref="AW640">AF640&amp;"; "&amp;AG640&amp;"; "&amp;AH640&amp;"; "&amp;AI640&amp;"; "&amp;AJ640</f>
        <v>E1; E3; E2; D4; E3</v>
      </c>
    </row>
    <row r="641" ht="13.65" customHeight="1">
      <c r="A641" t="s" s="35">
        <v>4880</v>
      </c>
      <c r="B641" s="36">
        <v>10</v>
      </c>
      <c r="C641" t="s" s="35">
        <v>222</v>
      </c>
      <c r="D641" t="s" s="35">
        <v>4800</v>
      </c>
      <c r="E641" t="s" s="35">
        <v>4801</v>
      </c>
      <c r="F641" s="36">
        <v>17</v>
      </c>
      <c r="G641" t="s" s="35">
        <v>4874</v>
      </c>
      <c r="H641" t="s" s="35">
        <v>4875</v>
      </c>
      <c r="I641" t="s" s="120">
        <v>4881</v>
      </c>
      <c r="J641" t="s" s="35">
        <v>1301</v>
      </c>
      <c r="K641" t="s" s="35">
        <v>1300</v>
      </c>
      <c r="L641" s="39"/>
      <c r="M641" t="str" s="39">
        <v>Mecánica y termodinámica</v>
      </c>
      <c r="N641" t="str" s="39">
        <v>Fuerzas y movimiento</v>
      </c>
      <c r="O641" t="str" s="39" cm="1">
        <f t="array" ref="O641">IF(L641="","",_xlfn.IFERROR(INDEX('Datos - Catálogo TIMSS'!$C$5:$C$107,MATCH(L641,'Datos - Catálogo TIMSS'!$A$5:$A$107,0)),"?"))</f>
      </c>
      <c r="P641" t="s" s="35">
        <v>254</v>
      </c>
      <c r="Q641" t="s" s="120">
        <v>4882</v>
      </c>
      <c r="R641" t="s" s="120">
        <v>4883</v>
      </c>
      <c r="S641" s="121" cm="1">
        <f t="array" ref="S641">_xlfn.IFERROR(ISNUMBER(SEARCH("Conocer",$R641))/(ISNUMBER(SEARCH("Conocer",$R641))+ISNUMBER(SEARCH("Aplicar",$R641))+ISNUMBER(SEARCH("Razonar",$R641))),0)</f>
        <v>0</v>
      </c>
      <c r="T641" s="121" cm="1">
        <f t="array" ref="T641">_xlfn.IFERROR(ISNUMBER(SEARCH("Aplicar",$R641))/(ISNUMBER(SEARCH("Conocer",$R641))+ISNUMBER(SEARCH("Aplicar",$R641))+ISNUMBER(SEARCH("Razonar",$R641))),0)</f>
        <v>0.5</v>
      </c>
      <c r="U641" s="121" cm="1">
        <f t="array" ref="U641">_xlfn.IFERROR(ISNUMBER(SEARCH("Razonar",$R641))/(ISNUMBER(SEARCH("Conocer",$R641))+ISNUMBER(SEARCH("Aplicar",$R641))+ISNUMBER(SEARCH("Razonar",$R641))),0)</f>
        <v>0.5</v>
      </c>
      <c r="V641" t="s" s="35">
        <v>87</v>
      </c>
      <c r="W641" t="s" s="35">
        <v>119</v>
      </c>
      <c r="X641" s="36" cm="1">
        <f t="array" ref="X641">IF(OR(_xlfn.IFERROR(INDEX('Datos - Catálogo TIMSS'!$I$5:$I$107,MATCH(K641,'Datos - Catálogo TIMSS'!$A$5:$A$107,0)),"No")="Sí",_xlfn.IFERROR(INDEX('Datos - Catálogo TIMSS'!$I$5:$I$107,MATCH(L641,'Datos - Catálogo TIMSS'!$A$5:$A$107,0)),"No")="Sí"),1,0)</f>
        <v>0</v>
      </c>
      <c r="Y641" s="36" cm="1">
        <f t="array" ref="Y641">IF(_xlfn.IFERROR(INDEX('Datos - Catálogo TIMSS'!$J$5:$J$107,MATCH(K641,'Datos - Catálogo TIMSS'!$A$5:$A$107,0)),"No")="Sí",1,0)</f>
        <v>0</v>
      </c>
      <c r="Z641" s="36" cm="1">
        <f t="array" ref="Z641">IF(_xlfn.IFERROR(INDEX('Datos - Catálogo TIMSS'!$J$5:$J$107,MATCH(L641,'Datos - Catálogo TIMSS'!$A$5:$A$107,0)),"No")="Sí",1,0)</f>
        <v>0</v>
      </c>
      <c r="AA641" t="s" s="35">
        <v>1300</v>
      </c>
      <c r="AB641" s="39"/>
      <c r="AC641" t="str" s="39">
        <v>Mecánica y termodinámica</v>
      </c>
      <c r="AD641" t="s" s="35">
        <v>1859</v>
      </c>
      <c r="AE641" t="str" s="39" cm="1">
        <f t="array" ref="AE641">IF(AD641="","",IF(LEFT(AD641,1)="1","C1",IF(LEFT(AD641,1)="2","C2",IF(LEFT(AD641,1)="3","C3",""))))</f>
        <v>C1</v>
      </c>
      <c r="AF641" t="s" s="35">
        <v>1615</v>
      </c>
      <c r="AG641" t="s" s="35">
        <v>1617</v>
      </c>
      <c r="AH641" t="s" s="35">
        <v>1605</v>
      </c>
      <c r="AI641" t="s" s="35">
        <v>1623</v>
      </c>
      <c r="AJ641" t="s" s="35">
        <v>1633</v>
      </c>
      <c r="AK641" s="39"/>
      <c r="AL641" s="39"/>
      <c r="AM641" s="39"/>
      <c r="AN641" s="39"/>
      <c r="AO641" s="39"/>
      <c r="AP641" s="39"/>
      <c r="AQ641" s="39"/>
      <c r="AR641" s="39"/>
      <c r="AS641" s="39"/>
      <c r="AT641" s="39"/>
      <c r="AU641" s="39"/>
      <c r="AV641" s="39"/>
      <c r="AW641" t="str" s="39" cm="1">
        <f t="array" ref="AW641">AF641&amp;"; "&amp;AG641&amp;"; "&amp;AH641&amp;"; "&amp;AI641&amp;"; "&amp;AJ641</f>
        <v>E6; D1; E2; D4; I5</v>
      </c>
    </row>
    <row r="642" ht="13.65" customHeight="1">
      <c r="A642" t="s" s="35">
        <v>4885</v>
      </c>
      <c r="B642" s="36">
        <v>10</v>
      </c>
      <c r="C642" t="s" s="35">
        <v>222</v>
      </c>
      <c r="D642" t="s" s="35">
        <v>4800</v>
      </c>
      <c r="E642" t="s" s="35">
        <v>4801</v>
      </c>
      <c r="F642" s="36">
        <v>18</v>
      </c>
      <c r="G642" t="s" s="35">
        <v>4874</v>
      </c>
      <c r="H642" t="s" s="35">
        <v>4886</v>
      </c>
      <c r="I642" t="s" s="120">
        <v>4887</v>
      </c>
      <c r="J642" t="s" s="35">
        <v>1301</v>
      </c>
      <c r="K642" t="s" s="35">
        <v>1300</v>
      </c>
      <c r="L642" s="39"/>
      <c r="M642" t="str" s="39">
        <v>Mecánica y termodinámica</v>
      </c>
      <c r="N642" t="str" s="39">
        <v>Fuerzas y movimiento</v>
      </c>
      <c r="O642" t="str" s="39" cm="1">
        <f t="array" ref="O642">IF(L642="","",_xlfn.IFERROR(INDEX('Datos - Catálogo TIMSS'!$C$5:$C$107,MATCH(L642,'Datos - Catálogo TIMSS'!$A$5:$A$107,0)),"?"))</f>
      </c>
      <c r="P642" t="s" s="35">
        <v>254</v>
      </c>
      <c r="Q642" t="s" s="120">
        <v>4888</v>
      </c>
      <c r="R642" t="s" s="120">
        <v>4889</v>
      </c>
      <c r="S642" s="121" cm="1">
        <f t="array" ref="S642">_xlfn.IFERROR(ISNUMBER(SEARCH("Conocer",$R642))/(ISNUMBER(SEARCH("Conocer",$R642))+ISNUMBER(SEARCH("Aplicar",$R642))+ISNUMBER(SEARCH("Razonar",$R642))),0)</f>
        <v>0</v>
      </c>
      <c r="T642" s="121" cm="1">
        <f t="array" ref="T642">_xlfn.IFERROR(ISNUMBER(SEARCH("Aplicar",$R642))/(ISNUMBER(SEARCH("Conocer",$R642))+ISNUMBER(SEARCH("Aplicar",$R642))+ISNUMBER(SEARCH("Razonar",$R642))),0)</f>
        <v>0.5</v>
      </c>
      <c r="U642" s="121" cm="1">
        <f t="array" ref="U642">_xlfn.IFERROR(ISNUMBER(SEARCH("Razonar",$R642))/(ISNUMBER(SEARCH("Conocer",$R642))+ISNUMBER(SEARCH("Aplicar",$R642))+ISNUMBER(SEARCH("Razonar",$R642))),0)</f>
        <v>0.5</v>
      </c>
      <c r="V642" t="s" s="35">
        <v>87</v>
      </c>
      <c r="W642" t="s" s="35">
        <v>119</v>
      </c>
      <c r="X642" s="36" cm="1">
        <f t="array" ref="X642">IF(OR(_xlfn.IFERROR(INDEX('Datos - Catálogo TIMSS'!$I$5:$I$107,MATCH(K642,'Datos - Catálogo TIMSS'!$A$5:$A$107,0)),"No")="Sí",_xlfn.IFERROR(INDEX('Datos - Catálogo TIMSS'!$I$5:$I$107,MATCH(L642,'Datos - Catálogo TIMSS'!$A$5:$A$107,0)),"No")="Sí"),1,0)</f>
        <v>0</v>
      </c>
      <c r="Y642" s="36" cm="1">
        <f t="array" ref="Y642">IF(_xlfn.IFERROR(INDEX('Datos - Catálogo TIMSS'!$J$5:$J$107,MATCH(K642,'Datos - Catálogo TIMSS'!$A$5:$A$107,0)),"No")="Sí",1,0)</f>
        <v>0</v>
      </c>
      <c r="Z642" s="36" cm="1">
        <f t="array" ref="Z642">IF(_xlfn.IFERROR(INDEX('Datos - Catálogo TIMSS'!$J$5:$J$107,MATCH(L642,'Datos - Catálogo TIMSS'!$A$5:$A$107,0)),"No")="Sí",1,0)</f>
        <v>0</v>
      </c>
      <c r="AA642" t="s" s="35">
        <v>1300</v>
      </c>
      <c r="AB642" s="39"/>
      <c r="AC642" t="str" s="39">
        <v>Mecánica y termodinámica</v>
      </c>
      <c r="AD642" t="s" s="35">
        <v>1834</v>
      </c>
      <c r="AE642" t="str" s="39" cm="1">
        <f t="array" ref="AE642">IF(AD642="","",IF(LEFT(AD642,1)="1","C1",IF(LEFT(AD642,1)="2","C2",IF(LEFT(AD642,1)="3","C3",""))))</f>
        <v>C2</v>
      </c>
      <c r="AF642" t="s" s="35">
        <v>1602</v>
      </c>
      <c r="AG642" t="s" s="35">
        <v>1612</v>
      </c>
      <c r="AH642" t="s" s="35">
        <v>1605</v>
      </c>
      <c r="AI642" t="s" s="35">
        <v>1619</v>
      </c>
      <c r="AJ642" t="s" s="35">
        <v>1621</v>
      </c>
      <c r="AK642" s="39"/>
      <c r="AL642" s="39"/>
      <c r="AM642" s="39"/>
      <c r="AN642" s="39"/>
      <c r="AO642" s="39"/>
      <c r="AP642" s="39"/>
      <c r="AQ642" s="39"/>
      <c r="AR642" s="39"/>
      <c r="AS642" s="39"/>
      <c r="AT642" s="39"/>
      <c r="AU642" s="39"/>
      <c r="AV642" s="39"/>
      <c r="AW642" t="str" s="39" cm="1">
        <f t="array" ref="AW642">AF642&amp;"; "&amp;AG642&amp;"; "&amp;AH642&amp;"; "&amp;AI642&amp;"; "&amp;AJ642</f>
        <v>E1; E5; E2; D2; D3</v>
      </c>
    </row>
    <row r="643" ht="13.65" customHeight="1">
      <c r="A643" t="s" s="35">
        <v>4890</v>
      </c>
      <c r="B643" s="36">
        <v>10</v>
      </c>
      <c r="C643" t="s" s="35">
        <v>222</v>
      </c>
      <c r="D643" t="s" s="35">
        <v>4800</v>
      </c>
      <c r="E643" t="s" s="35">
        <v>4801</v>
      </c>
      <c r="F643" s="36">
        <v>19</v>
      </c>
      <c r="G643" t="s" s="35">
        <v>4874</v>
      </c>
      <c r="H643" t="s" s="35">
        <v>4891</v>
      </c>
      <c r="I643" t="s" s="120">
        <v>4892</v>
      </c>
      <c r="J643" t="s" s="35">
        <v>1301</v>
      </c>
      <c r="K643" t="s" s="35">
        <v>1300</v>
      </c>
      <c r="L643" s="39"/>
      <c r="M643" t="str" s="39">
        <v>Mecánica y termodinámica</v>
      </c>
      <c r="N643" t="str" s="39">
        <v>Fuerzas y movimiento</v>
      </c>
      <c r="O643" t="str" s="39" cm="1">
        <f t="array" ref="O643">IF(L643="","",_xlfn.IFERROR(INDEX('Datos - Catálogo TIMSS'!$C$5:$C$107,MATCH(L643,'Datos - Catálogo TIMSS'!$A$5:$A$107,0)),"?"))</f>
      </c>
      <c r="P643" t="s" s="35">
        <v>254</v>
      </c>
      <c r="Q643" t="s" s="120">
        <v>4893</v>
      </c>
      <c r="R643" t="s" s="120">
        <v>4894</v>
      </c>
      <c r="S643" s="121" cm="1">
        <f t="array" ref="S643">_xlfn.IFERROR(ISNUMBER(SEARCH("Conocer",$R643))/(ISNUMBER(SEARCH("Conocer",$R643))+ISNUMBER(SEARCH("Aplicar",$R643))+ISNUMBER(SEARCH("Razonar",$R643))),0)</f>
        <v>0</v>
      </c>
      <c r="T643" s="121" cm="1">
        <f t="array" ref="T643">_xlfn.IFERROR(ISNUMBER(SEARCH("Aplicar",$R643))/(ISNUMBER(SEARCH("Conocer",$R643))+ISNUMBER(SEARCH("Aplicar",$R643))+ISNUMBER(SEARCH("Razonar",$R643))),0)</f>
        <v>0.5</v>
      </c>
      <c r="U643" s="121" cm="1">
        <f t="array" ref="U643">_xlfn.IFERROR(ISNUMBER(SEARCH("Razonar",$R643))/(ISNUMBER(SEARCH("Conocer",$R643))+ISNUMBER(SEARCH("Aplicar",$R643))+ISNUMBER(SEARCH("Razonar",$R643))),0)</f>
        <v>0.5</v>
      </c>
      <c r="V643" t="s" s="35">
        <v>87</v>
      </c>
      <c r="W643" t="s" s="35">
        <v>119</v>
      </c>
      <c r="X643" s="36" cm="1">
        <f t="array" ref="X643">IF(OR(_xlfn.IFERROR(INDEX('Datos - Catálogo TIMSS'!$I$5:$I$107,MATCH(K643,'Datos - Catálogo TIMSS'!$A$5:$A$107,0)),"No")="Sí",_xlfn.IFERROR(INDEX('Datos - Catálogo TIMSS'!$I$5:$I$107,MATCH(L643,'Datos - Catálogo TIMSS'!$A$5:$A$107,0)),"No")="Sí"),1,0)</f>
        <v>0</v>
      </c>
      <c r="Y643" s="36" cm="1">
        <f t="array" ref="Y643">IF(_xlfn.IFERROR(INDEX('Datos - Catálogo TIMSS'!$J$5:$J$107,MATCH(K643,'Datos - Catálogo TIMSS'!$A$5:$A$107,0)),"No")="Sí",1,0)</f>
        <v>0</v>
      </c>
      <c r="Z643" s="36" cm="1">
        <f t="array" ref="Z643">IF(_xlfn.IFERROR(INDEX('Datos - Catálogo TIMSS'!$J$5:$J$107,MATCH(L643,'Datos - Catálogo TIMSS'!$A$5:$A$107,0)),"No")="Sí",1,0)</f>
        <v>0</v>
      </c>
      <c r="AA643" t="s" s="35">
        <v>1300</v>
      </c>
      <c r="AB643" s="39"/>
      <c r="AC643" t="str" s="39">
        <v>Mecánica y termodinámica</v>
      </c>
      <c r="AD643" t="s" s="35">
        <v>1859</v>
      </c>
      <c r="AE643" t="str" s="39" cm="1">
        <f t="array" ref="AE643">IF(AD643="","",IF(LEFT(AD643,1)="1","C1",IF(LEFT(AD643,1)="2","C2",IF(LEFT(AD643,1)="3","C3",""))))</f>
        <v>C1</v>
      </c>
      <c r="AF643" t="s" s="35">
        <v>1602</v>
      </c>
      <c r="AG643" t="s" s="35">
        <v>1607</v>
      </c>
      <c r="AH643" t="s" s="35">
        <v>1609</v>
      </c>
      <c r="AI643" t="s" s="35">
        <v>1609</v>
      </c>
      <c r="AJ643" t="s" s="35">
        <v>1607</v>
      </c>
      <c r="AK643" s="39"/>
      <c r="AL643" s="39"/>
      <c r="AM643" s="39"/>
      <c r="AN643" s="39"/>
      <c r="AO643" s="39"/>
      <c r="AP643" s="39"/>
      <c r="AQ643" s="39"/>
      <c r="AR643" s="39"/>
      <c r="AS643" s="39"/>
      <c r="AT643" s="39"/>
      <c r="AU643" s="39"/>
      <c r="AV643" s="39"/>
      <c r="AW643" t="str" s="39" cm="1">
        <f t="array" ref="AW643">AF643&amp;"; "&amp;AG643&amp;"; "&amp;AH643&amp;"; "&amp;AI643&amp;"; "&amp;AJ643</f>
        <v>E1; E3; E4; E4; E3</v>
      </c>
    </row>
    <row r="644" ht="13.65" customHeight="1">
      <c r="A644" t="s" s="35">
        <v>4896</v>
      </c>
      <c r="B644" s="36">
        <v>10</v>
      </c>
      <c r="C644" t="s" s="35">
        <v>222</v>
      </c>
      <c r="D644" t="s" s="35">
        <v>4800</v>
      </c>
      <c r="E644" t="s" s="35">
        <v>4801</v>
      </c>
      <c r="F644" s="36">
        <v>20</v>
      </c>
      <c r="G644" t="s" s="35">
        <v>4874</v>
      </c>
      <c r="H644" t="s" s="35">
        <v>4891</v>
      </c>
      <c r="I644" t="s" s="120">
        <v>4897</v>
      </c>
      <c r="J644" t="s" s="35">
        <v>1301</v>
      </c>
      <c r="K644" t="s" s="35">
        <v>1300</v>
      </c>
      <c r="L644" s="39"/>
      <c r="M644" t="str" s="39">
        <v>Mecánica y termodinámica</v>
      </c>
      <c r="N644" t="str" s="39">
        <v>Fuerzas y movimiento</v>
      </c>
      <c r="O644" t="str" s="39" cm="1">
        <f t="array" ref="O644">IF(L644="","",_xlfn.IFERROR(INDEX('Datos - Catálogo TIMSS'!$C$5:$C$107,MATCH(L644,'Datos - Catálogo TIMSS'!$A$5:$A$107,0)),"?"))</f>
      </c>
      <c r="P644" t="s" s="35">
        <v>254</v>
      </c>
      <c r="Q644" t="s" s="120">
        <v>4898</v>
      </c>
      <c r="R644" t="s" s="120">
        <v>4899</v>
      </c>
      <c r="S644" s="121" cm="1">
        <f t="array" ref="S644">_xlfn.IFERROR(ISNUMBER(SEARCH("Conocer",$R644))/(ISNUMBER(SEARCH("Conocer",$R644))+ISNUMBER(SEARCH("Aplicar",$R644))+ISNUMBER(SEARCH("Razonar",$R644))),0)</f>
        <v>0</v>
      </c>
      <c r="T644" s="121" cm="1">
        <f t="array" ref="T644">_xlfn.IFERROR(ISNUMBER(SEARCH("Aplicar",$R644))/(ISNUMBER(SEARCH("Conocer",$R644))+ISNUMBER(SEARCH("Aplicar",$R644))+ISNUMBER(SEARCH("Razonar",$R644))),0)</f>
        <v>0.5</v>
      </c>
      <c r="U644" s="121" cm="1">
        <f t="array" ref="U644">_xlfn.IFERROR(ISNUMBER(SEARCH("Razonar",$R644))/(ISNUMBER(SEARCH("Conocer",$R644))+ISNUMBER(SEARCH("Aplicar",$R644))+ISNUMBER(SEARCH("Razonar",$R644))),0)</f>
        <v>0.5</v>
      </c>
      <c r="V644" t="s" s="35">
        <v>87</v>
      </c>
      <c r="W644" t="s" s="35">
        <v>119</v>
      </c>
      <c r="X644" s="36" cm="1">
        <f t="array" ref="X644">IF(OR(_xlfn.IFERROR(INDEX('Datos - Catálogo TIMSS'!$I$5:$I$107,MATCH(K644,'Datos - Catálogo TIMSS'!$A$5:$A$107,0)),"No")="Sí",_xlfn.IFERROR(INDEX('Datos - Catálogo TIMSS'!$I$5:$I$107,MATCH(L644,'Datos - Catálogo TIMSS'!$A$5:$A$107,0)),"No")="Sí"),1,0)</f>
        <v>0</v>
      </c>
      <c r="Y644" s="36" cm="1">
        <f t="array" ref="Y644">IF(_xlfn.IFERROR(INDEX('Datos - Catálogo TIMSS'!$J$5:$J$107,MATCH(K644,'Datos - Catálogo TIMSS'!$A$5:$A$107,0)),"No")="Sí",1,0)</f>
        <v>0</v>
      </c>
      <c r="Z644" s="36" cm="1">
        <f t="array" ref="Z644">IF(_xlfn.IFERROR(INDEX('Datos - Catálogo TIMSS'!$J$5:$J$107,MATCH(L644,'Datos - Catálogo TIMSS'!$A$5:$A$107,0)),"No")="Sí",1,0)</f>
        <v>0</v>
      </c>
      <c r="AA644" t="s" s="35">
        <v>1300</v>
      </c>
      <c r="AB644" s="39"/>
      <c r="AC644" t="str" s="39">
        <v>Mecánica y termodinámica</v>
      </c>
      <c r="AD644" t="s" s="35">
        <v>1900</v>
      </c>
      <c r="AE644" t="str" s="39" cm="1">
        <f t="array" ref="AE644">IF(AD644="","",IF(LEFT(AD644,1)="1","C1",IF(LEFT(AD644,1)="2","C2",IF(LEFT(AD644,1)="3","C3",""))))</f>
        <v>C3</v>
      </c>
      <c r="AF644" t="s" s="35">
        <v>1615</v>
      </c>
      <c r="AG644" t="s" s="35">
        <v>1607</v>
      </c>
      <c r="AH644" t="s" s="35">
        <v>1602</v>
      </c>
      <c r="AI644" t="s" s="35">
        <v>1629</v>
      </c>
      <c r="AJ644" t="s" s="35">
        <v>1627</v>
      </c>
      <c r="AK644" s="39"/>
      <c r="AL644" s="39"/>
      <c r="AM644" s="39"/>
      <c r="AN644" s="39"/>
      <c r="AO644" s="39"/>
      <c r="AP644" s="39"/>
      <c r="AQ644" s="39"/>
      <c r="AR644" s="39"/>
      <c r="AS644" s="39"/>
      <c r="AT644" s="39"/>
      <c r="AU644" s="39"/>
      <c r="AV644" s="39"/>
      <c r="AW644" t="str" s="39" cm="1">
        <f t="array" ref="AW644">AF644&amp;"; "&amp;AG644&amp;"; "&amp;AH644&amp;"; "&amp;AI644&amp;"; "&amp;AJ644</f>
        <v>E6; E3; E1; I3; I2</v>
      </c>
    </row>
    <row r="645" ht="13.65" customHeight="1">
      <c r="A645" t="s" s="35">
        <v>4901</v>
      </c>
      <c r="B645" s="36">
        <v>10</v>
      </c>
      <c r="C645" t="s" s="35">
        <v>222</v>
      </c>
      <c r="D645" t="s" s="35">
        <v>4800</v>
      </c>
      <c r="E645" t="s" s="35">
        <v>4801</v>
      </c>
      <c r="F645" s="36">
        <v>21</v>
      </c>
      <c r="G645" t="s" s="35">
        <v>4874</v>
      </c>
      <c r="H645" t="s" s="35">
        <v>4902</v>
      </c>
      <c r="I645" t="s" s="120">
        <v>4903</v>
      </c>
      <c r="J645" t="s" s="35">
        <v>1301</v>
      </c>
      <c r="K645" t="s" s="35">
        <v>1300</v>
      </c>
      <c r="L645" s="39"/>
      <c r="M645" t="str" s="39">
        <v>Mecánica y termodinámica</v>
      </c>
      <c r="N645" t="str" s="39">
        <v>Fuerzas y movimiento</v>
      </c>
      <c r="O645" t="str" s="39" cm="1">
        <f t="array" ref="O645">IF(L645="","",_xlfn.IFERROR(INDEX('Datos - Catálogo TIMSS'!$C$5:$C$107,MATCH(L645,'Datos - Catálogo TIMSS'!$A$5:$A$107,0)),"?"))</f>
      </c>
      <c r="P645" t="s" s="35">
        <v>254</v>
      </c>
      <c r="Q645" t="s" s="120">
        <v>4904</v>
      </c>
      <c r="R645" t="s" s="120">
        <v>4905</v>
      </c>
      <c r="S645" s="121" cm="1">
        <f t="array" ref="S645">_xlfn.IFERROR(ISNUMBER(SEARCH("Conocer",$R645))/(ISNUMBER(SEARCH("Conocer",$R645))+ISNUMBER(SEARCH("Aplicar",$R645))+ISNUMBER(SEARCH("Razonar",$R645))),0)</f>
        <v>0</v>
      </c>
      <c r="T645" s="121" cm="1">
        <f t="array" ref="T645">_xlfn.IFERROR(ISNUMBER(SEARCH("Aplicar",$R645))/(ISNUMBER(SEARCH("Conocer",$R645))+ISNUMBER(SEARCH("Aplicar",$R645))+ISNUMBER(SEARCH("Razonar",$R645))),0)</f>
        <v>0.5</v>
      </c>
      <c r="U645" s="121" cm="1">
        <f t="array" ref="U645">_xlfn.IFERROR(ISNUMBER(SEARCH("Razonar",$R645))/(ISNUMBER(SEARCH("Conocer",$R645))+ISNUMBER(SEARCH("Aplicar",$R645))+ISNUMBER(SEARCH("Razonar",$R645))),0)</f>
        <v>0.5</v>
      </c>
      <c r="V645" t="s" s="35">
        <v>87</v>
      </c>
      <c r="W645" t="s" s="35">
        <v>119</v>
      </c>
      <c r="X645" s="36" cm="1">
        <f t="array" ref="X645">IF(OR(_xlfn.IFERROR(INDEX('Datos - Catálogo TIMSS'!$I$5:$I$107,MATCH(K645,'Datos - Catálogo TIMSS'!$A$5:$A$107,0)),"No")="Sí",_xlfn.IFERROR(INDEX('Datos - Catálogo TIMSS'!$I$5:$I$107,MATCH(L645,'Datos - Catálogo TIMSS'!$A$5:$A$107,0)),"No")="Sí"),1,0)</f>
        <v>0</v>
      </c>
      <c r="Y645" s="36" cm="1">
        <f t="array" ref="Y645">IF(_xlfn.IFERROR(INDEX('Datos - Catálogo TIMSS'!$J$5:$J$107,MATCH(K645,'Datos - Catálogo TIMSS'!$A$5:$A$107,0)),"No")="Sí",1,0)</f>
        <v>0</v>
      </c>
      <c r="Z645" s="36" cm="1">
        <f t="array" ref="Z645">IF(_xlfn.IFERROR(INDEX('Datos - Catálogo TIMSS'!$J$5:$J$107,MATCH(L645,'Datos - Catálogo TIMSS'!$A$5:$A$107,0)),"No")="Sí",1,0)</f>
        <v>0</v>
      </c>
      <c r="AA645" t="s" s="35">
        <v>1300</v>
      </c>
      <c r="AB645" s="39"/>
      <c r="AC645" t="str" s="39">
        <v>Mecánica y termodinámica</v>
      </c>
      <c r="AD645" t="s" s="35">
        <v>1834</v>
      </c>
      <c r="AE645" t="str" s="39" cm="1">
        <f t="array" ref="AE645">IF(AD645="","",IF(LEFT(AD645,1)="1","C1",IF(LEFT(AD645,1)="2","C2",IF(LEFT(AD645,1)="3","C3",""))))</f>
        <v>C2</v>
      </c>
      <c r="AF645" t="s" s="35">
        <v>1602</v>
      </c>
      <c r="AG645" t="s" s="35">
        <v>1617</v>
      </c>
      <c r="AH645" t="s" s="35">
        <v>1605</v>
      </c>
      <c r="AI645" t="s" s="35">
        <v>1623</v>
      </c>
      <c r="AJ645" t="s" s="35">
        <v>1607</v>
      </c>
      <c r="AK645" s="39"/>
      <c r="AL645" s="39"/>
      <c r="AM645" s="39"/>
      <c r="AN645" s="39"/>
      <c r="AO645" s="39"/>
      <c r="AP645" s="39"/>
      <c r="AQ645" s="39"/>
      <c r="AR645" s="39"/>
      <c r="AS645" s="39"/>
      <c r="AT645" s="39"/>
      <c r="AU645" s="39"/>
      <c r="AV645" s="39"/>
      <c r="AW645" t="str" s="39" cm="1">
        <f t="array" ref="AW645">AF645&amp;"; "&amp;AG645&amp;"; "&amp;AH645&amp;"; "&amp;AI645&amp;"; "&amp;AJ645</f>
        <v>E1; D1; E2; D4; E3</v>
      </c>
    </row>
    <row r="646" ht="13.65" customHeight="1">
      <c r="A646" t="s" s="35">
        <v>4906</v>
      </c>
      <c r="B646" s="36">
        <v>10</v>
      </c>
      <c r="C646" t="s" s="35">
        <v>222</v>
      </c>
      <c r="D646" t="s" s="35">
        <v>4800</v>
      </c>
      <c r="E646" t="s" s="35">
        <v>4801</v>
      </c>
      <c r="F646" s="36">
        <v>22</v>
      </c>
      <c r="G646" t="s" s="35">
        <v>4874</v>
      </c>
      <c r="H646" t="s" s="35">
        <v>4907</v>
      </c>
      <c r="I646" t="s" s="120">
        <v>4908</v>
      </c>
      <c r="J646" t="s" s="35">
        <v>1301</v>
      </c>
      <c r="K646" t="s" s="35">
        <v>1300</v>
      </c>
      <c r="L646" s="39"/>
      <c r="M646" t="str" s="39">
        <v>Mecánica y termodinámica</v>
      </c>
      <c r="N646" t="str" s="39">
        <v>Fuerzas y movimiento</v>
      </c>
      <c r="O646" t="str" s="39" cm="1">
        <f t="array" ref="O646">IF(L646="","",_xlfn.IFERROR(INDEX('Datos - Catálogo TIMSS'!$C$5:$C$107,MATCH(L646,'Datos - Catálogo TIMSS'!$A$5:$A$107,0)),"?"))</f>
      </c>
      <c r="P646" t="s" s="35">
        <v>254</v>
      </c>
      <c r="Q646" t="s" s="120">
        <v>4909</v>
      </c>
      <c r="R646" t="s" s="120">
        <v>4910</v>
      </c>
      <c r="S646" s="121" cm="1">
        <f t="array" ref="S646">_xlfn.IFERROR(ISNUMBER(SEARCH("Conocer",$R646))/(ISNUMBER(SEARCH("Conocer",$R646))+ISNUMBER(SEARCH("Aplicar",$R646))+ISNUMBER(SEARCH("Razonar",$R646))),0)</f>
        <v>0</v>
      </c>
      <c r="T646" s="121" cm="1">
        <f t="array" ref="T646">_xlfn.IFERROR(ISNUMBER(SEARCH("Aplicar",$R646))/(ISNUMBER(SEARCH("Conocer",$R646))+ISNUMBER(SEARCH("Aplicar",$R646))+ISNUMBER(SEARCH("Razonar",$R646))),0)</f>
        <v>0.5</v>
      </c>
      <c r="U646" s="121" cm="1">
        <f t="array" ref="U646">_xlfn.IFERROR(ISNUMBER(SEARCH("Razonar",$R646))/(ISNUMBER(SEARCH("Conocer",$R646))+ISNUMBER(SEARCH("Aplicar",$R646))+ISNUMBER(SEARCH("Razonar",$R646))),0)</f>
        <v>0.5</v>
      </c>
      <c r="V646" t="s" s="35">
        <v>87</v>
      </c>
      <c r="W646" t="s" s="35">
        <v>119</v>
      </c>
      <c r="X646" s="36" cm="1">
        <f t="array" ref="X646">IF(OR(_xlfn.IFERROR(INDEX('Datos - Catálogo TIMSS'!$I$5:$I$107,MATCH(K646,'Datos - Catálogo TIMSS'!$A$5:$A$107,0)),"No")="Sí",_xlfn.IFERROR(INDEX('Datos - Catálogo TIMSS'!$I$5:$I$107,MATCH(L646,'Datos - Catálogo TIMSS'!$A$5:$A$107,0)),"No")="Sí"),1,0)</f>
        <v>0</v>
      </c>
      <c r="Y646" s="36" cm="1">
        <f t="array" ref="Y646">IF(_xlfn.IFERROR(INDEX('Datos - Catálogo TIMSS'!$J$5:$J$107,MATCH(K646,'Datos - Catálogo TIMSS'!$A$5:$A$107,0)),"No")="Sí",1,0)</f>
        <v>0</v>
      </c>
      <c r="Z646" s="36" cm="1">
        <f t="array" ref="Z646">IF(_xlfn.IFERROR(INDEX('Datos - Catálogo TIMSS'!$J$5:$J$107,MATCH(L646,'Datos - Catálogo TIMSS'!$A$5:$A$107,0)),"No")="Sí",1,0)</f>
        <v>0</v>
      </c>
      <c r="AA646" t="s" s="35">
        <v>1300</v>
      </c>
      <c r="AB646" s="39"/>
      <c r="AC646" t="str" s="39">
        <v>Mecánica y termodinámica</v>
      </c>
      <c r="AD646" t="s" s="35">
        <v>1834</v>
      </c>
      <c r="AE646" t="str" s="39" cm="1">
        <f t="array" ref="AE646">IF(AD646="","",IF(LEFT(AD646,1)="1","C1",IF(LEFT(AD646,1)="2","C2",IF(LEFT(AD646,1)="3","C3",""))))</f>
        <v>C2</v>
      </c>
      <c r="AF646" t="s" s="35">
        <v>1602</v>
      </c>
      <c r="AG646" t="s" s="35">
        <v>1607</v>
      </c>
      <c r="AH646" t="s" s="35">
        <v>1605</v>
      </c>
      <c r="AI646" t="s" s="35">
        <v>1623</v>
      </c>
      <c r="AJ646" t="s" s="35">
        <v>1631</v>
      </c>
      <c r="AK646" s="39"/>
      <c r="AL646" s="39"/>
      <c r="AM646" s="39"/>
      <c r="AN646" s="39"/>
      <c r="AO646" s="39"/>
      <c r="AP646" s="39"/>
      <c r="AQ646" s="39"/>
      <c r="AR646" s="39"/>
      <c r="AS646" s="39"/>
      <c r="AT646" s="39"/>
      <c r="AU646" s="39"/>
      <c r="AV646" s="39"/>
      <c r="AW646" t="str" s="39" cm="1">
        <f t="array" ref="AW646">AF646&amp;"; "&amp;AG646&amp;"; "&amp;AH646&amp;"; "&amp;AI646&amp;"; "&amp;AJ646</f>
        <v>E1; E3; E2; D4; I4</v>
      </c>
    </row>
    <row r="647" ht="13.65" customHeight="1">
      <c r="A647" t="s" s="35">
        <v>4911</v>
      </c>
      <c r="B647" s="36">
        <v>10</v>
      </c>
      <c r="C647" t="s" s="35">
        <v>222</v>
      </c>
      <c r="D647" t="s" s="35">
        <v>4800</v>
      </c>
      <c r="E647" t="s" s="35">
        <v>4801</v>
      </c>
      <c r="F647" s="36">
        <v>23</v>
      </c>
      <c r="G647" t="s" s="35">
        <v>4912</v>
      </c>
      <c r="H647" t="s" s="35">
        <v>4913</v>
      </c>
      <c r="I647" t="s" s="120">
        <v>4914</v>
      </c>
      <c r="J647" t="s" s="35">
        <v>1301</v>
      </c>
      <c r="K647" t="s" s="35">
        <v>1300</v>
      </c>
      <c r="L647" s="39"/>
      <c r="M647" t="str" s="39">
        <v>Mecánica y termodinámica</v>
      </c>
      <c r="N647" t="str" s="39">
        <v>Fuerzas y movimiento</v>
      </c>
      <c r="O647" t="str" s="39" cm="1">
        <f t="array" ref="O647">IF(L647="","",_xlfn.IFERROR(INDEX('Datos - Catálogo TIMSS'!$C$5:$C$107,MATCH(L647,'Datos - Catálogo TIMSS'!$A$5:$A$107,0)),"?"))</f>
      </c>
      <c r="P647" t="s" s="35">
        <v>254</v>
      </c>
      <c r="Q647" t="s" s="120">
        <v>4915</v>
      </c>
      <c r="R647" t="s" s="120">
        <v>4916</v>
      </c>
      <c r="S647" s="121" cm="1">
        <f t="array" ref="S647">_xlfn.IFERROR(ISNUMBER(SEARCH("Conocer",$R647))/(ISNUMBER(SEARCH("Conocer",$R647))+ISNUMBER(SEARCH("Aplicar",$R647))+ISNUMBER(SEARCH("Razonar",$R647))),0)</f>
        <v>0</v>
      </c>
      <c r="T647" s="121" cm="1">
        <f t="array" ref="T647">_xlfn.IFERROR(ISNUMBER(SEARCH("Aplicar",$R647))/(ISNUMBER(SEARCH("Conocer",$R647))+ISNUMBER(SEARCH("Aplicar",$R647))+ISNUMBER(SEARCH("Razonar",$R647))),0)</f>
        <v>0.5</v>
      </c>
      <c r="U647" s="121" cm="1">
        <f t="array" ref="U647">_xlfn.IFERROR(ISNUMBER(SEARCH("Razonar",$R647))/(ISNUMBER(SEARCH("Conocer",$R647))+ISNUMBER(SEARCH("Aplicar",$R647))+ISNUMBER(SEARCH("Razonar",$R647))),0)</f>
        <v>0.5</v>
      </c>
      <c r="V647" t="s" s="35">
        <v>87</v>
      </c>
      <c r="W647" t="s" s="35">
        <v>119</v>
      </c>
      <c r="X647" s="36" cm="1">
        <f t="array" ref="X647">IF(OR(_xlfn.IFERROR(INDEX('Datos - Catálogo TIMSS'!$I$5:$I$107,MATCH(K647,'Datos - Catálogo TIMSS'!$A$5:$A$107,0)),"No")="Sí",_xlfn.IFERROR(INDEX('Datos - Catálogo TIMSS'!$I$5:$I$107,MATCH(L647,'Datos - Catálogo TIMSS'!$A$5:$A$107,0)),"No")="Sí"),1,0)</f>
        <v>0</v>
      </c>
      <c r="Y647" s="36" cm="1">
        <f t="array" ref="Y647">IF(_xlfn.IFERROR(INDEX('Datos - Catálogo TIMSS'!$J$5:$J$107,MATCH(K647,'Datos - Catálogo TIMSS'!$A$5:$A$107,0)),"No")="Sí",1,0)</f>
        <v>0</v>
      </c>
      <c r="Z647" s="36" cm="1">
        <f t="array" ref="Z647">IF(_xlfn.IFERROR(INDEX('Datos - Catálogo TIMSS'!$J$5:$J$107,MATCH(L647,'Datos - Catálogo TIMSS'!$A$5:$A$107,0)),"No")="Sí",1,0)</f>
        <v>0</v>
      </c>
      <c r="AA647" t="s" s="35">
        <v>1300</v>
      </c>
      <c r="AB647" s="39"/>
      <c r="AC647" t="str" s="39">
        <v>Mecánica y termodinámica</v>
      </c>
      <c r="AD647" t="s" s="35">
        <v>1859</v>
      </c>
      <c r="AE647" t="str" s="39" cm="1">
        <f t="array" ref="AE647">IF(AD647="","",IF(LEFT(AD647,1)="1","C1",IF(LEFT(AD647,1)="2","C2",IF(LEFT(AD647,1)="3","C3",""))))</f>
        <v>C1</v>
      </c>
      <c r="AF647" t="s" s="35">
        <v>1602</v>
      </c>
      <c r="AG647" t="s" s="35">
        <v>1607</v>
      </c>
      <c r="AH647" t="s" s="35">
        <v>1605</v>
      </c>
      <c r="AI647" t="s" s="35">
        <v>1623</v>
      </c>
      <c r="AJ647" t="s" s="35">
        <v>1607</v>
      </c>
      <c r="AK647" s="39"/>
      <c r="AL647" s="39"/>
      <c r="AM647" s="39"/>
      <c r="AN647" s="39"/>
      <c r="AO647" s="39"/>
      <c r="AP647" s="39"/>
      <c r="AQ647" s="39"/>
      <c r="AR647" s="39"/>
      <c r="AS647" s="39"/>
      <c r="AT647" s="39"/>
      <c r="AU647" s="39"/>
      <c r="AV647" s="39"/>
      <c r="AW647" t="str" s="39" cm="1">
        <f t="array" ref="AW647">AF647&amp;"; "&amp;AG647&amp;"; "&amp;AH647&amp;"; "&amp;AI647&amp;"; "&amp;AJ647</f>
        <v>E1; E3; E2; D4; E3</v>
      </c>
    </row>
    <row r="648" ht="13.65" customHeight="1">
      <c r="A648" t="s" s="35">
        <v>4917</v>
      </c>
      <c r="B648" s="36">
        <v>10</v>
      </c>
      <c r="C648" t="s" s="35">
        <v>222</v>
      </c>
      <c r="D648" t="s" s="35">
        <v>4800</v>
      </c>
      <c r="E648" t="s" s="35">
        <v>4801</v>
      </c>
      <c r="F648" s="36">
        <v>24</v>
      </c>
      <c r="G648" t="s" s="35">
        <v>4912</v>
      </c>
      <c r="H648" t="s" s="35">
        <v>4913</v>
      </c>
      <c r="I648" t="s" s="120">
        <v>4918</v>
      </c>
      <c r="J648" t="s" s="35">
        <v>1301</v>
      </c>
      <c r="K648" t="s" s="35">
        <v>1300</v>
      </c>
      <c r="L648" s="39"/>
      <c r="M648" t="str" s="39">
        <v>Mecánica y termodinámica</v>
      </c>
      <c r="N648" t="str" s="39">
        <v>Fuerzas y movimiento</v>
      </c>
      <c r="O648" t="str" s="39" cm="1">
        <f t="array" ref="O648">IF(L648="","",_xlfn.IFERROR(INDEX('Datos - Catálogo TIMSS'!$C$5:$C$107,MATCH(L648,'Datos - Catálogo TIMSS'!$A$5:$A$107,0)),"?"))</f>
      </c>
      <c r="P648" t="s" s="35">
        <v>254</v>
      </c>
      <c r="Q648" t="s" s="120">
        <v>4919</v>
      </c>
      <c r="R648" t="s" s="120">
        <v>4920</v>
      </c>
      <c r="S648" s="121" cm="1">
        <f t="array" ref="S648">_xlfn.IFERROR(ISNUMBER(SEARCH("Conocer",$R648))/(ISNUMBER(SEARCH("Conocer",$R648))+ISNUMBER(SEARCH("Aplicar",$R648))+ISNUMBER(SEARCH("Razonar",$R648))),0)</f>
        <v>0</v>
      </c>
      <c r="T648" s="121" cm="1">
        <f t="array" ref="T648">_xlfn.IFERROR(ISNUMBER(SEARCH("Aplicar",$R648))/(ISNUMBER(SEARCH("Conocer",$R648))+ISNUMBER(SEARCH("Aplicar",$R648))+ISNUMBER(SEARCH("Razonar",$R648))),0)</f>
        <v>0.5</v>
      </c>
      <c r="U648" s="121" cm="1">
        <f t="array" ref="U648">_xlfn.IFERROR(ISNUMBER(SEARCH("Razonar",$R648))/(ISNUMBER(SEARCH("Conocer",$R648))+ISNUMBER(SEARCH("Aplicar",$R648))+ISNUMBER(SEARCH("Razonar",$R648))),0)</f>
        <v>0.5</v>
      </c>
      <c r="V648" t="s" s="35">
        <v>87</v>
      </c>
      <c r="W648" t="s" s="35">
        <v>119</v>
      </c>
      <c r="X648" s="36" cm="1">
        <f t="array" ref="X648">IF(OR(_xlfn.IFERROR(INDEX('Datos - Catálogo TIMSS'!$I$5:$I$107,MATCH(K648,'Datos - Catálogo TIMSS'!$A$5:$A$107,0)),"No")="Sí",_xlfn.IFERROR(INDEX('Datos - Catálogo TIMSS'!$I$5:$I$107,MATCH(L648,'Datos - Catálogo TIMSS'!$A$5:$A$107,0)),"No")="Sí"),1,0)</f>
        <v>0</v>
      </c>
      <c r="Y648" s="36" cm="1">
        <f t="array" ref="Y648">IF(_xlfn.IFERROR(INDEX('Datos - Catálogo TIMSS'!$J$5:$J$107,MATCH(K648,'Datos - Catálogo TIMSS'!$A$5:$A$107,0)),"No")="Sí",1,0)</f>
        <v>0</v>
      </c>
      <c r="Z648" s="36" cm="1">
        <f t="array" ref="Z648">IF(_xlfn.IFERROR(INDEX('Datos - Catálogo TIMSS'!$J$5:$J$107,MATCH(L648,'Datos - Catálogo TIMSS'!$A$5:$A$107,0)),"No")="Sí",1,0)</f>
        <v>0</v>
      </c>
      <c r="AA648" t="s" s="35">
        <v>1300</v>
      </c>
      <c r="AB648" s="39"/>
      <c r="AC648" t="str" s="39">
        <v>Mecánica y termodinámica</v>
      </c>
      <c r="AD648" t="s" s="35">
        <v>1859</v>
      </c>
      <c r="AE648" t="str" s="39" cm="1">
        <f t="array" ref="AE648">IF(AD648="","",IF(LEFT(AD648,1)="1","C1",IF(LEFT(AD648,1)="2","C2",IF(LEFT(AD648,1)="3","C3",""))))</f>
        <v>C1</v>
      </c>
      <c r="AF648" t="s" s="35">
        <v>1602</v>
      </c>
      <c r="AG648" t="s" s="35">
        <v>1612</v>
      </c>
      <c r="AH648" t="s" s="35">
        <v>1609</v>
      </c>
      <c r="AI648" t="s" s="35">
        <v>1629</v>
      </c>
      <c r="AJ648" t="s" s="35">
        <v>1607</v>
      </c>
      <c r="AK648" s="39"/>
      <c r="AL648" s="39"/>
      <c r="AM648" s="39"/>
      <c r="AN648" s="39"/>
      <c r="AO648" s="39"/>
      <c r="AP648" s="39"/>
      <c r="AQ648" s="39"/>
      <c r="AR648" s="39"/>
      <c r="AS648" s="39"/>
      <c r="AT648" s="39"/>
      <c r="AU648" s="39"/>
      <c r="AV648" s="39"/>
      <c r="AW648" t="str" s="39" cm="1">
        <f t="array" ref="AW648">AF648&amp;"; "&amp;AG648&amp;"; "&amp;AH648&amp;"; "&amp;AI648&amp;"; "&amp;AJ648</f>
        <v>E1; E5; E4; I3; E3</v>
      </c>
    </row>
    <row r="649" ht="13.65" customHeight="1">
      <c r="A649" t="s" s="35">
        <v>4922</v>
      </c>
      <c r="B649" s="36">
        <v>10</v>
      </c>
      <c r="C649" t="s" s="35">
        <v>222</v>
      </c>
      <c r="D649" t="s" s="35">
        <v>4800</v>
      </c>
      <c r="E649" t="s" s="35">
        <v>4801</v>
      </c>
      <c r="F649" s="36">
        <v>25</v>
      </c>
      <c r="G649" t="s" s="35">
        <v>4912</v>
      </c>
      <c r="H649" t="s" s="35">
        <v>4923</v>
      </c>
      <c r="I649" t="s" s="120">
        <v>4924</v>
      </c>
      <c r="J649" t="s" s="35">
        <v>1301</v>
      </c>
      <c r="K649" t="s" s="35">
        <v>1300</v>
      </c>
      <c r="L649" s="39"/>
      <c r="M649" t="str" s="39">
        <v>Mecánica y termodinámica</v>
      </c>
      <c r="N649" t="str" s="39">
        <v>Fuerzas y movimiento</v>
      </c>
      <c r="O649" t="str" s="39" cm="1">
        <f t="array" ref="O649">IF(L649="","",_xlfn.IFERROR(INDEX('Datos - Catálogo TIMSS'!$C$5:$C$107,MATCH(L649,'Datos - Catálogo TIMSS'!$A$5:$A$107,0)),"?"))</f>
      </c>
      <c r="P649" t="s" s="35">
        <v>254</v>
      </c>
      <c r="Q649" t="s" s="120">
        <v>4925</v>
      </c>
      <c r="R649" t="s" s="120">
        <v>4926</v>
      </c>
      <c r="S649" s="121" cm="1">
        <f t="array" ref="S649">_xlfn.IFERROR(ISNUMBER(SEARCH("Conocer",$R649))/(ISNUMBER(SEARCH("Conocer",$R649))+ISNUMBER(SEARCH("Aplicar",$R649))+ISNUMBER(SEARCH("Razonar",$R649))),0)</f>
        <v>0</v>
      </c>
      <c r="T649" s="121" cm="1">
        <f t="array" ref="T649">_xlfn.IFERROR(ISNUMBER(SEARCH("Aplicar",$R649))/(ISNUMBER(SEARCH("Conocer",$R649))+ISNUMBER(SEARCH("Aplicar",$R649))+ISNUMBER(SEARCH("Razonar",$R649))),0)</f>
        <v>0.5</v>
      </c>
      <c r="U649" s="121" cm="1">
        <f t="array" ref="U649">_xlfn.IFERROR(ISNUMBER(SEARCH("Razonar",$R649))/(ISNUMBER(SEARCH("Conocer",$R649))+ISNUMBER(SEARCH("Aplicar",$R649))+ISNUMBER(SEARCH("Razonar",$R649))),0)</f>
        <v>0.5</v>
      </c>
      <c r="V649" t="s" s="35">
        <v>87</v>
      </c>
      <c r="W649" t="s" s="35">
        <v>119</v>
      </c>
      <c r="X649" s="36" cm="1">
        <f t="array" ref="X649">IF(OR(_xlfn.IFERROR(INDEX('Datos - Catálogo TIMSS'!$I$5:$I$107,MATCH(K649,'Datos - Catálogo TIMSS'!$A$5:$A$107,0)),"No")="Sí",_xlfn.IFERROR(INDEX('Datos - Catálogo TIMSS'!$I$5:$I$107,MATCH(L649,'Datos - Catálogo TIMSS'!$A$5:$A$107,0)),"No")="Sí"),1,0)</f>
        <v>0</v>
      </c>
      <c r="Y649" s="36" cm="1">
        <f t="array" ref="Y649">IF(_xlfn.IFERROR(INDEX('Datos - Catálogo TIMSS'!$J$5:$J$107,MATCH(K649,'Datos - Catálogo TIMSS'!$A$5:$A$107,0)),"No")="Sí",1,0)</f>
        <v>0</v>
      </c>
      <c r="Z649" s="36" cm="1">
        <f t="array" ref="Z649">IF(_xlfn.IFERROR(INDEX('Datos - Catálogo TIMSS'!$J$5:$J$107,MATCH(L649,'Datos - Catálogo TIMSS'!$A$5:$A$107,0)),"No")="Sí",1,0)</f>
        <v>0</v>
      </c>
      <c r="AA649" t="s" s="35">
        <v>1300</v>
      </c>
      <c r="AB649" s="39"/>
      <c r="AC649" t="str" s="39">
        <v>Mecánica y termodinámica</v>
      </c>
      <c r="AD649" t="s" s="35">
        <v>1834</v>
      </c>
      <c r="AE649" t="str" s="39" cm="1">
        <f t="array" ref="AE649">IF(AD649="","",IF(LEFT(AD649,1)="1","C1",IF(LEFT(AD649,1)="2","C2",IF(LEFT(AD649,1)="3","C3",""))))</f>
        <v>C2</v>
      </c>
      <c r="AF649" t="s" s="35">
        <v>1615</v>
      </c>
      <c r="AG649" t="s" s="35">
        <v>1617</v>
      </c>
      <c r="AH649" t="s" s="35">
        <v>1609</v>
      </c>
      <c r="AI649" t="s" s="35">
        <v>1619</v>
      </c>
      <c r="AJ649" t="s" s="35">
        <v>1621</v>
      </c>
      <c r="AK649" s="39"/>
      <c r="AL649" s="39"/>
      <c r="AM649" s="39"/>
      <c r="AN649" s="39"/>
      <c r="AO649" s="39"/>
      <c r="AP649" s="39"/>
      <c r="AQ649" s="39"/>
      <c r="AR649" s="39"/>
      <c r="AS649" s="39"/>
      <c r="AT649" s="39"/>
      <c r="AU649" s="39"/>
      <c r="AV649" s="39"/>
      <c r="AW649" t="str" s="39" cm="1">
        <f t="array" ref="AW649">AF649&amp;"; "&amp;AG649&amp;"; "&amp;AH649&amp;"; "&amp;AI649&amp;"; "&amp;AJ649</f>
        <v>E6; D1; E4; D2; D3</v>
      </c>
    </row>
    <row r="650" ht="13.65" customHeight="1">
      <c r="A650" t="s" s="35">
        <v>4928</v>
      </c>
      <c r="B650" s="36">
        <v>10</v>
      </c>
      <c r="C650" t="s" s="35">
        <v>222</v>
      </c>
      <c r="D650" t="s" s="35">
        <v>4800</v>
      </c>
      <c r="E650" t="s" s="35">
        <v>4801</v>
      </c>
      <c r="F650" s="36">
        <v>26</v>
      </c>
      <c r="G650" t="s" s="35">
        <v>4912</v>
      </c>
      <c r="H650" t="s" s="35">
        <v>4929</v>
      </c>
      <c r="I650" t="s" s="120">
        <v>4930</v>
      </c>
      <c r="J650" t="s" s="35">
        <v>1301</v>
      </c>
      <c r="K650" t="s" s="35">
        <v>1300</v>
      </c>
      <c r="L650" s="39"/>
      <c r="M650" t="str" s="39">
        <v>Mecánica y termodinámica</v>
      </c>
      <c r="N650" t="str" s="39">
        <v>Fuerzas y movimiento</v>
      </c>
      <c r="O650" t="str" s="39" cm="1">
        <f t="array" ref="O650">IF(L650="","",_xlfn.IFERROR(INDEX('Datos - Catálogo TIMSS'!$C$5:$C$107,MATCH(L650,'Datos - Catálogo TIMSS'!$A$5:$A$107,0)),"?"))</f>
      </c>
      <c r="P650" t="s" s="35">
        <v>282</v>
      </c>
      <c r="Q650" t="s" s="120">
        <v>4931</v>
      </c>
      <c r="R650" t="s" s="120">
        <v>4932</v>
      </c>
      <c r="S650" s="121" cm="1">
        <f t="array" ref="S650">_xlfn.IFERROR(ISNUMBER(SEARCH("Conocer",$R650))/(ISNUMBER(SEARCH("Conocer",$R650))+ISNUMBER(SEARCH("Aplicar",$R650))+ISNUMBER(SEARCH("Razonar",$R650))),0)</f>
        <v>0</v>
      </c>
      <c r="T650" s="121" cm="1">
        <f t="array" ref="T650">_xlfn.IFERROR(ISNUMBER(SEARCH("Aplicar",$R650))/(ISNUMBER(SEARCH("Conocer",$R650))+ISNUMBER(SEARCH("Aplicar",$R650))+ISNUMBER(SEARCH("Razonar",$R650))),0)</f>
        <v>0.5</v>
      </c>
      <c r="U650" s="121" cm="1">
        <f t="array" ref="U650">_xlfn.IFERROR(ISNUMBER(SEARCH("Razonar",$R650))/(ISNUMBER(SEARCH("Conocer",$R650))+ISNUMBER(SEARCH("Aplicar",$R650))+ISNUMBER(SEARCH("Razonar",$R650))),0)</f>
        <v>0.5</v>
      </c>
      <c r="V650" t="s" s="35">
        <v>87</v>
      </c>
      <c r="W650" t="s" s="35">
        <v>119</v>
      </c>
      <c r="X650" s="36" cm="1">
        <f t="array" ref="X650">IF(OR(_xlfn.IFERROR(INDEX('Datos - Catálogo TIMSS'!$I$5:$I$107,MATCH(K650,'Datos - Catálogo TIMSS'!$A$5:$A$107,0)),"No")="Sí",_xlfn.IFERROR(INDEX('Datos - Catálogo TIMSS'!$I$5:$I$107,MATCH(L650,'Datos - Catálogo TIMSS'!$A$5:$A$107,0)),"No")="Sí"),1,0)</f>
        <v>0</v>
      </c>
      <c r="Y650" s="36" cm="1">
        <f t="array" ref="Y650">IF(_xlfn.IFERROR(INDEX('Datos - Catálogo TIMSS'!$J$5:$J$107,MATCH(K650,'Datos - Catálogo TIMSS'!$A$5:$A$107,0)),"No")="Sí",1,0)</f>
        <v>0</v>
      </c>
      <c r="Z650" s="36" cm="1">
        <f t="array" ref="Z650">IF(_xlfn.IFERROR(INDEX('Datos - Catálogo TIMSS'!$J$5:$J$107,MATCH(L650,'Datos - Catálogo TIMSS'!$A$5:$A$107,0)),"No")="Sí",1,0)</f>
        <v>0</v>
      </c>
      <c r="AA650" t="s" s="35">
        <v>1300</v>
      </c>
      <c r="AB650" s="39"/>
      <c r="AC650" t="str" s="39">
        <v>Mecánica y termodinámica</v>
      </c>
      <c r="AD650" t="s" s="35">
        <v>1859</v>
      </c>
      <c r="AE650" t="str" s="39" cm="1">
        <f t="array" ref="AE650">IF(AD650="","",IF(LEFT(AD650,1)="1","C1",IF(LEFT(AD650,1)="2","C2",IF(LEFT(AD650,1)="3","C3",""))))</f>
        <v>C1</v>
      </c>
      <c r="AF650" t="s" s="35">
        <v>1602</v>
      </c>
      <c r="AG650" t="s" s="35">
        <v>1617</v>
      </c>
      <c r="AH650" t="s" s="35">
        <v>1605</v>
      </c>
      <c r="AI650" t="s" s="35">
        <v>1609</v>
      </c>
      <c r="AJ650" t="s" s="35">
        <v>1633</v>
      </c>
      <c r="AK650" s="39"/>
      <c r="AL650" s="39"/>
      <c r="AM650" s="39"/>
      <c r="AN650" s="39"/>
      <c r="AO650" s="39"/>
      <c r="AP650" s="39"/>
      <c r="AQ650" s="39"/>
      <c r="AR650" s="39"/>
      <c r="AS650" s="39"/>
      <c r="AT650" s="39"/>
      <c r="AU650" s="39"/>
      <c r="AV650" s="39"/>
      <c r="AW650" t="str" s="39" cm="1">
        <f t="array" ref="AW650">AF650&amp;"; "&amp;AG650&amp;"; "&amp;AH650&amp;"; "&amp;AI650&amp;"; "&amp;AJ650</f>
        <v>E1; D1; E2; E4; I5</v>
      </c>
    </row>
    <row r="651" ht="13.65" customHeight="1">
      <c r="A651" t="s" s="35">
        <v>4934</v>
      </c>
      <c r="B651" s="36">
        <v>10</v>
      </c>
      <c r="C651" t="s" s="35">
        <v>222</v>
      </c>
      <c r="D651" t="s" s="35">
        <v>4800</v>
      </c>
      <c r="E651" t="s" s="35">
        <v>4801</v>
      </c>
      <c r="F651" s="36">
        <v>27</v>
      </c>
      <c r="G651" t="s" s="35">
        <v>4935</v>
      </c>
      <c r="H651" t="s" s="35">
        <v>4936</v>
      </c>
      <c r="I651" t="s" s="120">
        <v>4937</v>
      </c>
      <c r="J651" t="s" s="35">
        <v>1301</v>
      </c>
      <c r="K651" t="s" s="35">
        <v>1300</v>
      </c>
      <c r="L651" s="39"/>
      <c r="M651" t="str" s="39">
        <v>Mecánica y termodinámica</v>
      </c>
      <c r="N651" t="str" s="39">
        <v>Fuerzas y movimiento</v>
      </c>
      <c r="O651" t="str" s="39" cm="1">
        <f t="array" ref="O651">IF(L651="","",_xlfn.IFERROR(INDEX('Datos - Catálogo TIMSS'!$C$5:$C$107,MATCH(L651,'Datos - Catálogo TIMSS'!$A$5:$A$107,0)),"?"))</f>
      </c>
      <c r="P651" t="s" s="35">
        <v>282</v>
      </c>
      <c r="Q651" t="s" s="120">
        <v>4938</v>
      </c>
      <c r="R651" t="s" s="120">
        <v>4939</v>
      </c>
      <c r="S651" s="121" cm="1">
        <f t="array" ref="S651">_xlfn.IFERROR(ISNUMBER(SEARCH("Conocer",$R651))/(ISNUMBER(SEARCH("Conocer",$R651))+ISNUMBER(SEARCH("Aplicar",$R651))+ISNUMBER(SEARCH("Razonar",$R651))),0)</f>
        <v>0.5</v>
      </c>
      <c r="T651" s="121" cm="1">
        <f t="array" ref="T651">_xlfn.IFERROR(ISNUMBER(SEARCH("Aplicar",$R651))/(ISNUMBER(SEARCH("Conocer",$R651))+ISNUMBER(SEARCH("Aplicar",$R651))+ISNUMBER(SEARCH("Razonar",$R651))),0)</f>
        <v>0</v>
      </c>
      <c r="U651" s="121" cm="1">
        <f t="array" ref="U651">_xlfn.IFERROR(ISNUMBER(SEARCH("Razonar",$R651))/(ISNUMBER(SEARCH("Conocer",$R651))+ISNUMBER(SEARCH("Aplicar",$R651))+ISNUMBER(SEARCH("Razonar",$R651))),0)</f>
        <v>0.5</v>
      </c>
      <c r="V651" t="s" s="35">
        <v>87</v>
      </c>
      <c r="W651" t="s" s="35">
        <v>119</v>
      </c>
      <c r="X651" s="36" cm="1">
        <f t="array" ref="X651">IF(OR(_xlfn.IFERROR(INDEX('Datos - Catálogo TIMSS'!$I$5:$I$107,MATCH(K651,'Datos - Catálogo TIMSS'!$A$5:$A$107,0)),"No")="Sí",_xlfn.IFERROR(INDEX('Datos - Catálogo TIMSS'!$I$5:$I$107,MATCH(L651,'Datos - Catálogo TIMSS'!$A$5:$A$107,0)),"No")="Sí"),1,0)</f>
        <v>0</v>
      </c>
      <c r="Y651" s="36" cm="1">
        <f t="array" ref="Y651">IF(_xlfn.IFERROR(INDEX('Datos - Catálogo TIMSS'!$J$5:$J$107,MATCH(K651,'Datos - Catálogo TIMSS'!$A$5:$A$107,0)),"No")="Sí",1,0)</f>
        <v>0</v>
      </c>
      <c r="Z651" s="36" cm="1">
        <f t="array" ref="Z651">IF(_xlfn.IFERROR(INDEX('Datos - Catálogo TIMSS'!$J$5:$J$107,MATCH(L651,'Datos - Catálogo TIMSS'!$A$5:$A$107,0)),"No")="Sí",1,0)</f>
        <v>0</v>
      </c>
      <c r="AA651" t="s" s="35">
        <v>1300</v>
      </c>
      <c r="AB651" s="39"/>
      <c r="AC651" t="str" s="39">
        <v>Mecánica y termodinámica</v>
      </c>
      <c r="AD651" t="s" s="35">
        <v>1900</v>
      </c>
      <c r="AE651" t="str" s="39" cm="1">
        <f t="array" ref="AE651">IF(AD651="","",IF(LEFT(AD651,1)="1","C1",IF(LEFT(AD651,1)="2","C2",IF(LEFT(AD651,1)="3","C3",""))))</f>
        <v>C3</v>
      </c>
      <c r="AF651" t="s" s="35">
        <v>1602</v>
      </c>
      <c r="AG651" t="s" s="35">
        <v>1612</v>
      </c>
      <c r="AH651" t="s" s="35">
        <v>1602</v>
      </c>
      <c r="AI651" t="s" s="35">
        <v>1625</v>
      </c>
      <c r="AJ651" t="s" s="35">
        <v>1627</v>
      </c>
      <c r="AK651" s="39"/>
      <c r="AL651" s="39"/>
      <c r="AM651" s="39"/>
      <c r="AN651" s="39"/>
      <c r="AO651" s="39"/>
      <c r="AP651" s="39"/>
      <c r="AQ651" s="39"/>
      <c r="AR651" s="39"/>
      <c r="AS651" s="39"/>
      <c r="AT651" s="39"/>
      <c r="AU651" s="39"/>
      <c r="AV651" s="39"/>
      <c r="AW651" t="str" s="39" cm="1">
        <f t="array" ref="AW651">AF651&amp;"; "&amp;AG651&amp;"; "&amp;AH651&amp;"; "&amp;AI651&amp;"; "&amp;AJ651</f>
        <v>E1; E5; E1; I1; I2</v>
      </c>
    </row>
    <row r="652" ht="13.65" customHeight="1">
      <c r="A652" t="s" s="35">
        <v>4941</v>
      </c>
      <c r="B652" s="36">
        <v>10</v>
      </c>
      <c r="C652" t="s" s="35">
        <v>222</v>
      </c>
      <c r="D652" t="s" s="35">
        <v>4800</v>
      </c>
      <c r="E652" t="s" s="35">
        <v>4801</v>
      </c>
      <c r="F652" s="36">
        <v>28</v>
      </c>
      <c r="G652" t="s" s="35">
        <v>4935</v>
      </c>
      <c r="H652" t="s" s="35">
        <v>4942</v>
      </c>
      <c r="I652" t="s" s="120">
        <v>4943</v>
      </c>
      <c r="J652" t="s" s="35">
        <v>1301</v>
      </c>
      <c r="K652" t="s" s="35">
        <v>1300</v>
      </c>
      <c r="L652" s="39"/>
      <c r="M652" t="str" s="39">
        <v>Mecánica y termodinámica</v>
      </c>
      <c r="N652" t="str" s="39">
        <v>Fuerzas y movimiento</v>
      </c>
      <c r="O652" t="str" s="39" cm="1">
        <f t="array" ref="O652">IF(L652="","",_xlfn.IFERROR(INDEX('Datos - Catálogo TIMSS'!$C$5:$C$107,MATCH(L652,'Datos - Catálogo TIMSS'!$A$5:$A$107,0)),"?"))</f>
      </c>
      <c r="P652" t="s" s="35">
        <v>254</v>
      </c>
      <c r="Q652" t="s" s="120">
        <v>4944</v>
      </c>
      <c r="R652" t="s" s="120">
        <v>4945</v>
      </c>
      <c r="S652" s="121" cm="1">
        <f t="array" ref="S652">_xlfn.IFERROR(ISNUMBER(SEARCH("Conocer",$R652))/(ISNUMBER(SEARCH("Conocer",$R652))+ISNUMBER(SEARCH("Aplicar",$R652))+ISNUMBER(SEARCH("Razonar",$R652))),0)</f>
        <v>0</v>
      </c>
      <c r="T652" s="121" cm="1">
        <f t="array" ref="T652">_xlfn.IFERROR(ISNUMBER(SEARCH("Aplicar",$R652))/(ISNUMBER(SEARCH("Conocer",$R652))+ISNUMBER(SEARCH("Aplicar",$R652))+ISNUMBER(SEARCH("Razonar",$R652))),0)</f>
        <v>0.5</v>
      </c>
      <c r="U652" s="121" cm="1">
        <f t="array" ref="U652">_xlfn.IFERROR(ISNUMBER(SEARCH("Razonar",$R652))/(ISNUMBER(SEARCH("Conocer",$R652))+ISNUMBER(SEARCH("Aplicar",$R652))+ISNUMBER(SEARCH("Razonar",$R652))),0)</f>
        <v>0.5</v>
      </c>
      <c r="V652" t="s" s="35">
        <v>87</v>
      </c>
      <c r="W652" t="s" s="35">
        <v>119</v>
      </c>
      <c r="X652" s="36" cm="1">
        <f t="array" ref="X652">IF(OR(_xlfn.IFERROR(INDEX('Datos - Catálogo TIMSS'!$I$5:$I$107,MATCH(K652,'Datos - Catálogo TIMSS'!$A$5:$A$107,0)),"No")="Sí",_xlfn.IFERROR(INDEX('Datos - Catálogo TIMSS'!$I$5:$I$107,MATCH(L652,'Datos - Catálogo TIMSS'!$A$5:$A$107,0)),"No")="Sí"),1,0)</f>
        <v>0</v>
      </c>
      <c r="Y652" s="36" cm="1">
        <f t="array" ref="Y652">IF(_xlfn.IFERROR(INDEX('Datos - Catálogo TIMSS'!$J$5:$J$107,MATCH(K652,'Datos - Catálogo TIMSS'!$A$5:$A$107,0)),"No")="Sí",1,0)</f>
        <v>0</v>
      </c>
      <c r="Z652" s="36" cm="1">
        <f t="array" ref="Z652">IF(_xlfn.IFERROR(INDEX('Datos - Catálogo TIMSS'!$J$5:$J$107,MATCH(L652,'Datos - Catálogo TIMSS'!$A$5:$A$107,0)),"No")="Sí",1,0)</f>
        <v>0</v>
      </c>
      <c r="AA652" t="s" s="35">
        <v>1300</v>
      </c>
      <c r="AB652" s="39"/>
      <c r="AC652" t="str" s="39">
        <v>Mecánica y termodinámica</v>
      </c>
      <c r="AD652" t="s" s="35">
        <v>1859</v>
      </c>
      <c r="AE652" t="str" s="39" cm="1">
        <f t="array" ref="AE652">IF(AD652="","",IF(LEFT(AD652,1)="1","C1",IF(LEFT(AD652,1)="2","C2",IF(LEFT(AD652,1)="3","C3",""))))</f>
        <v>C1</v>
      </c>
      <c r="AF652" t="s" s="35">
        <v>1615</v>
      </c>
      <c r="AG652" t="s" s="35">
        <v>1617</v>
      </c>
      <c r="AH652" t="s" s="35">
        <v>1609</v>
      </c>
      <c r="AI652" t="s" s="35">
        <v>1629</v>
      </c>
      <c r="AJ652" t="s" s="35">
        <v>1633</v>
      </c>
      <c r="AK652" s="39"/>
      <c r="AL652" s="39"/>
      <c r="AM652" s="39"/>
      <c r="AN652" s="39"/>
      <c r="AO652" s="39"/>
      <c r="AP652" s="39"/>
      <c r="AQ652" s="39"/>
      <c r="AR652" s="39"/>
      <c r="AS652" s="39"/>
      <c r="AT652" s="39"/>
      <c r="AU652" s="39"/>
      <c r="AV652" s="39"/>
      <c r="AW652" t="str" s="39" cm="1">
        <f t="array" ref="AW652">AF652&amp;"; "&amp;AG652&amp;"; "&amp;AH652&amp;"; "&amp;AI652&amp;"; "&amp;AJ652</f>
        <v>E6; D1; E4; I3; I5</v>
      </c>
    </row>
    <row r="653" ht="13.65" customHeight="1">
      <c r="A653" t="s" s="35">
        <v>4947</v>
      </c>
      <c r="B653" s="36">
        <v>10</v>
      </c>
      <c r="C653" t="s" s="35">
        <v>222</v>
      </c>
      <c r="D653" t="s" s="35">
        <v>4800</v>
      </c>
      <c r="E653" t="s" s="35">
        <v>4801</v>
      </c>
      <c r="F653" s="36">
        <v>29</v>
      </c>
      <c r="G653" t="s" s="35">
        <v>4935</v>
      </c>
      <c r="H653" t="s" s="35">
        <v>4942</v>
      </c>
      <c r="I653" t="s" s="120">
        <v>4948</v>
      </c>
      <c r="J653" t="s" s="35">
        <v>1301</v>
      </c>
      <c r="K653" t="s" s="35">
        <v>1300</v>
      </c>
      <c r="L653" s="39"/>
      <c r="M653" t="str" s="39">
        <v>Mecánica y termodinámica</v>
      </c>
      <c r="N653" t="str" s="39">
        <v>Fuerzas y movimiento</v>
      </c>
      <c r="O653" t="str" s="39" cm="1">
        <f t="array" ref="O653">IF(L653="","",_xlfn.IFERROR(INDEX('Datos - Catálogo TIMSS'!$C$5:$C$107,MATCH(L653,'Datos - Catálogo TIMSS'!$A$5:$A$107,0)),"?"))</f>
      </c>
      <c r="P653" t="s" s="35">
        <v>254</v>
      </c>
      <c r="Q653" t="s" s="120">
        <v>4949</v>
      </c>
      <c r="R653" t="s" s="120">
        <v>4950</v>
      </c>
      <c r="S653" s="121" cm="1">
        <f t="array" ref="S653">_xlfn.IFERROR(ISNUMBER(SEARCH("Conocer",$R653))/(ISNUMBER(SEARCH("Conocer",$R653))+ISNUMBER(SEARCH("Aplicar",$R653))+ISNUMBER(SEARCH("Razonar",$R653))),0)</f>
        <v>0</v>
      </c>
      <c r="T653" s="121" cm="1">
        <f t="array" ref="T653">_xlfn.IFERROR(ISNUMBER(SEARCH("Aplicar",$R653))/(ISNUMBER(SEARCH("Conocer",$R653))+ISNUMBER(SEARCH("Aplicar",$R653))+ISNUMBER(SEARCH("Razonar",$R653))),0)</f>
        <v>0.5</v>
      </c>
      <c r="U653" s="121" cm="1">
        <f t="array" ref="U653">_xlfn.IFERROR(ISNUMBER(SEARCH("Razonar",$R653))/(ISNUMBER(SEARCH("Conocer",$R653))+ISNUMBER(SEARCH("Aplicar",$R653))+ISNUMBER(SEARCH("Razonar",$R653))),0)</f>
        <v>0.5</v>
      </c>
      <c r="V653" t="s" s="35">
        <v>87</v>
      </c>
      <c r="W653" t="s" s="35">
        <v>119</v>
      </c>
      <c r="X653" s="36" cm="1">
        <f t="array" ref="X653">IF(OR(_xlfn.IFERROR(INDEX('Datos - Catálogo TIMSS'!$I$5:$I$107,MATCH(K653,'Datos - Catálogo TIMSS'!$A$5:$A$107,0)),"No")="Sí",_xlfn.IFERROR(INDEX('Datos - Catálogo TIMSS'!$I$5:$I$107,MATCH(L653,'Datos - Catálogo TIMSS'!$A$5:$A$107,0)),"No")="Sí"),1,0)</f>
        <v>0</v>
      </c>
      <c r="Y653" s="36" cm="1">
        <f t="array" ref="Y653">IF(_xlfn.IFERROR(INDEX('Datos - Catálogo TIMSS'!$J$5:$J$107,MATCH(K653,'Datos - Catálogo TIMSS'!$A$5:$A$107,0)),"No")="Sí",1,0)</f>
        <v>0</v>
      </c>
      <c r="Z653" s="36" cm="1">
        <f t="array" ref="Z653">IF(_xlfn.IFERROR(INDEX('Datos - Catálogo TIMSS'!$J$5:$J$107,MATCH(L653,'Datos - Catálogo TIMSS'!$A$5:$A$107,0)),"No")="Sí",1,0)</f>
        <v>0</v>
      </c>
      <c r="AA653" t="s" s="35">
        <v>1300</v>
      </c>
      <c r="AB653" s="39"/>
      <c r="AC653" t="str" s="39">
        <v>Mecánica y termodinámica</v>
      </c>
      <c r="AD653" t="s" s="35">
        <v>1834</v>
      </c>
      <c r="AE653" t="str" s="39" cm="1">
        <f t="array" ref="AE653">IF(AD653="","",IF(LEFT(AD653,1)="1","C1",IF(LEFT(AD653,1)="2","C2",IF(LEFT(AD653,1)="3","C3",""))))</f>
        <v>C2</v>
      </c>
      <c r="AF653" t="s" s="35">
        <v>1602</v>
      </c>
      <c r="AG653" t="s" s="35">
        <v>1607</v>
      </c>
      <c r="AH653" t="s" s="35">
        <v>1605</v>
      </c>
      <c r="AI653" t="s" s="35">
        <v>1623</v>
      </c>
      <c r="AJ653" t="s" s="35">
        <v>1621</v>
      </c>
      <c r="AK653" s="39"/>
      <c r="AL653" s="39"/>
      <c r="AM653" s="39"/>
      <c r="AN653" s="39"/>
      <c r="AO653" s="39"/>
      <c r="AP653" s="39"/>
      <c r="AQ653" s="39"/>
      <c r="AR653" s="39"/>
      <c r="AS653" s="39"/>
      <c r="AT653" s="39"/>
      <c r="AU653" s="39"/>
      <c r="AV653" s="39"/>
      <c r="AW653" t="str" s="39" cm="1">
        <f t="array" ref="AW653">AF653&amp;"; "&amp;AG653&amp;"; "&amp;AH653&amp;"; "&amp;AI653&amp;"; "&amp;AJ653</f>
        <v>E1; E3; E2; D4; D3</v>
      </c>
    </row>
    <row r="654" ht="13.65" customHeight="1">
      <c r="A654" t="s" s="35">
        <v>4952</v>
      </c>
      <c r="B654" s="36">
        <v>10</v>
      </c>
      <c r="C654" t="s" s="35">
        <v>222</v>
      </c>
      <c r="D654" t="s" s="35">
        <v>4800</v>
      </c>
      <c r="E654" t="s" s="35">
        <v>4801</v>
      </c>
      <c r="F654" s="36">
        <v>30</v>
      </c>
      <c r="G654" t="s" s="35">
        <v>4935</v>
      </c>
      <c r="H654" t="s" s="35">
        <v>4942</v>
      </c>
      <c r="I654" t="s" s="120">
        <v>4953</v>
      </c>
      <c r="J654" t="s" s="35">
        <v>1301</v>
      </c>
      <c r="K654" t="s" s="35">
        <v>1300</v>
      </c>
      <c r="L654" t="s" s="35">
        <v>1306</v>
      </c>
      <c r="M654" t="str" s="39">
        <v>Mecánica y termodinámica</v>
      </c>
      <c r="N654" t="str" s="39">
        <v>Fuerzas y movimiento</v>
      </c>
      <c r="O654" t="str" s="39" cm="1">
        <f t="array" ref="O654">IF(L654="","",_xlfn.IFERROR(INDEX('Datos - Catálogo TIMSS'!$C$5:$C$107,MATCH(L654,'Datos - Catálogo TIMSS'!$A$5:$A$107,0)),"?"))</f>
        <v>Mecánica y termodinámica</v>
      </c>
      <c r="P654" t="s" s="35">
        <v>254</v>
      </c>
      <c r="Q654" t="s" s="120">
        <v>4954</v>
      </c>
      <c r="R654" t="s" s="120">
        <v>4955</v>
      </c>
      <c r="S654" s="121" cm="1">
        <f t="array" ref="S654">_xlfn.IFERROR(ISNUMBER(SEARCH("Conocer",$R654))/(ISNUMBER(SEARCH("Conocer",$R654))+ISNUMBER(SEARCH("Aplicar",$R654))+ISNUMBER(SEARCH("Razonar",$R654))),0)</f>
        <v>0</v>
      </c>
      <c r="T654" s="121" cm="1">
        <f t="array" ref="T654">_xlfn.IFERROR(ISNUMBER(SEARCH("Aplicar",$R654))/(ISNUMBER(SEARCH("Conocer",$R654))+ISNUMBER(SEARCH("Aplicar",$R654))+ISNUMBER(SEARCH("Razonar",$R654))),0)</f>
        <v>0.5</v>
      </c>
      <c r="U654" s="121" cm="1">
        <f t="array" ref="U654">_xlfn.IFERROR(ISNUMBER(SEARCH("Razonar",$R654))/(ISNUMBER(SEARCH("Conocer",$R654))+ISNUMBER(SEARCH("Aplicar",$R654))+ISNUMBER(SEARCH("Razonar",$R654))),0)</f>
        <v>0.5</v>
      </c>
      <c r="V654" t="s" s="35">
        <v>87</v>
      </c>
      <c r="W654" t="s" s="35">
        <v>119</v>
      </c>
      <c r="X654" s="36" cm="1">
        <f t="array" ref="X654">IF(OR(_xlfn.IFERROR(INDEX('Datos - Catálogo TIMSS'!$I$5:$I$107,MATCH(K654,'Datos - Catálogo TIMSS'!$A$5:$A$107,0)),"No")="Sí",_xlfn.IFERROR(INDEX('Datos - Catálogo TIMSS'!$I$5:$I$107,MATCH(L654,'Datos - Catálogo TIMSS'!$A$5:$A$107,0)),"No")="Sí"),1,0)</f>
        <v>0</v>
      </c>
      <c r="Y654" s="36" cm="1">
        <f t="array" ref="Y654">IF(_xlfn.IFERROR(INDEX('Datos - Catálogo TIMSS'!$J$5:$J$107,MATCH(K654,'Datos - Catálogo TIMSS'!$A$5:$A$107,0)),"No")="Sí",1,0)</f>
        <v>0</v>
      </c>
      <c r="Z654" s="36" cm="1">
        <f t="array" ref="Z654">IF(_xlfn.IFERROR(INDEX('Datos - Catálogo TIMSS'!$J$5:$J$107,MATCH(L654,'Datos - Catálogo TIMSS'!$A$5:$A$107,0)),"No")="Sí",1,0)</f>
        <v>0</v>
      </c>
      <c r="AA654" t="s" s="35">
        <v>1300</v>
      </c>
      <c r="AB654" t="s" s="35">
        <v>1306</v>
      </c>
      <c r="AC654" t="str" s="39">
        <v>Mecánica y termodinámica</v>
      </c>
      <c r="AD654" t="s" s="35">
        <v>1859</v>
      </c>
      <c r="AE654" t="str" s="39" cm="1">
        <f t="array" ref="AE654">IF(AD654="","",IF(LEFT(AD654,1)="1","C1",IF(LEFT(AD654,1)="2","C2",IF(LEFT(AD654,1)="3","C3",""))))</f>
        <v>C1</v>
      </c>
      <c r="AF654" t="s" s="35">
        <v>1602</v>
      </c>
      <c r="AG654" t="s" s="35">
        <v>1607</v>
      </c>
      <c r="AH654" t="s" s="35">
        <v>1605</v>
      </c>
      <c r="AI654" t="s" s="35">
        <v>1609</v>
      </c>
      <c r="AJ654" t="s" s="35">
        <v>1607</v>
      </c>
      <c r="AK654" s="39"/>
      <c r="AL654" s="39"/>
      <c r="AM654" s="39"/>
      <c r="AN654" s="39"/>
      <c r="AO654" s="39"/>
      <c r="AP654" s="39"/>
      <c r="AQ654" s="39"/>
      <c r="AR654" s="39"/>
      <c r="AS654" s="39"/>
      <c r="AT654" s="39"/>
      <c r="AU654" s="39"/>
      <c r="AV654" s="39"/>
      <c r="AW654" t="str" s="39" cm="1">
        <f t="array" ref="AW654">AF654&amp;"; "&amp;AG654&amp;"; "&amp;AH654&amp;"; "&amp;AI654&amp;"; "&amp;AJ654</f>
        <v>E1; E3; E2; E4; E3</v>
      </c>
    </row>
    <row r="655" ht="13.65" customHeight="1">
      <c r="A655" t="s" s="35">
        <v>4957</v>
      </c>
      <c r="B655" s="36">
        <v>10</v>
      </c>
      <c r="C655" t="s" s="35">
        <v>222</v>
      </c>
      <c r="D655" t="s" s="35">
        <v>4800</v>
      </c>
      <c r="E655" t="s" s="35">
        <v>4801</v>
      </c>
      <c r="F655" s="36">
        <v>31</v>
      </c>
      <c r="G655" t="s" s="35">
        <v>4935</v>
      </c>
      <c r="H655" t="s" s="35">
        <v>4942</v>
      </c>
      <c r="I655" t="s" s="120">
        <v>4958</v>
      </c>
      <c r="J655" t="s" s="35">
        <v>1301</v>
      </c>
      <c r="K655" t="s" s="35">
        <v>1300</v>
      </c>
      <c r="L655" s="39"/>
      <c r="M655" t="str" s="39">
        <v>Mecánica y termodinámica</v>
      </c>
      <c r="N655" t="str" s="39">
        <v>Fuerzas y movimiento</v>
      </c>
      <c r="O655" t="str" s="39" cm="1">
        <f t="array" ref="O655">IF(L655="","",_xlfn.IFERROR(INDEX('Datos - Catálogo TIMSS'!$C$5:$C$107,MATCH(L655,'Datos - Catálogo TIMSS'!$A$5:$A$107,0)),"?"))</f>
      </c>
      <c r="P655" t="s" s="35">
        <v>254</v>
      </c>
      <c r="Q655" t="s" s="120">
        <v>4959</v>
      </c>
      <c r="R655" t="s" s="120">
        <v>4960</v>
      </c>
      <c r="S655" s="121" cm="1">
        <f t="array" ref="S655">_xlfn.IFERROR(ISNUMBER(SEARCH("Conocer",$R655))/(ISNUMBER(SEARCH("Conocer",$R655))+ISNUMBER(SEARCH("Aplicar",$R655))+ISNUMBER(SEARCH("Razonar",$R655))),0)</f>
        <v>0</v>
      </c>
      <c r="T655" s="121" cm="1">
        <f t="array" ref="T655">_xlfn.IFERROR(ISNUMBER(SEARCH("Aplicar",$R655))/(ISNUMBER(SEARCH("Conocer",$R655))+ISNUMBER(SEARCH("Aplicar",$R655))+ISNUMBER(SEARCH("Razonar",$R655))),0)</f>
        <v>0.5</v>
      </c>
      <c r="U655" s="121" cm="1">
        <f t="array" ref="U655">_xlfn.IFERROR(ISNUMBER(SEARCH("Razonar",$R655))/(ISNUMBER(SEARCH("Conocer",$R655))+ISNUMBER(SEARCH("Aplicar",$R655))+ISNUMBER(SEARCH("Razonar",$R655))),0)</f>
        <v>0.5</v>
      </c>
      <c r="V655" t="s" s="35">
        <v>87</v>
      </c>
      <c r="W655" t="s" s="35">
        <v>119</v>
      </c>
      <c r="X655" s="36" cm="1">
        <f t="array" ref="X655">IF(OR(_xlfn.IFERROR(INDEX('Datos - Catálogo TIMSS'!$I$5:$I$107,MATCH(K655,'Datos - Catálogo TIMSS'!$A$5:$A$107,0)),"No")="Sí",_xlfn.IFERROR(INDEX('Datos - Catálogo TIMSS'!$I$5:$I$107,MATCH(L655,'Datos - Catálogo TIMSS'!$A$5:$A$107,0)),"No")="Sí"),1,0)</f>
        <v>0</v>
      </c>
      <c r="Y655" s="36" cm="1">
        <f t="array" ref="Y655">IF(_xlfn.IFERROR(INDEX('Datos - Catálogo TIMSS'!$J$5:$J$107,MATCH(K655,'Datos - Catálogo TIMSS'!$A$5:$A$107,0)),"No")="Sí",1,0)</f>
        <v>0</v>
      </c>
      <c r="Z655" s="36" cm="1">
        <f t="array" ref="Z655">IF(_xlfn.IFERROR(INDEX('Datos - Catálogo TIMSS'!$J$5:$J$107,MATCH(L655,'Datos - Catálogo TIMSS'!$A$5:$A$107,0)),"No")="Sí",1,0)</f>
        <v>0</v>
      </c>
      <c r="AA655" t="s" s="35">
        <v>1300</v>
      </c>
      <c r="AB655" s="39"/>
      <c r="AC655" t="str" s="39">
        <v>Mecánica y termodinámica</v>
      </c>
      <c r="AD655" t="s" s="35">
        <v>1859</v>
      </c>
      <c r="AE655" t="str" s="39" cm="1">
        <f t="array" ref="AE655">IF(AD655="","",IF(LEFT(AD655,1)="1","C1",IF(LEFT(AD655,1)="2","C2",IF(LEFT(AD655,1)="3","C3",""))))</f>
        <v>C1</v>
      </c>
      <c r="AF655" t="s" s="35">
        <v>1602</v>
      </c>
      <c r="AG655" t="s" s="35">
        <v>1612</v>
      </c>
      <c r="AH655" t="s" s="35">
        <v>1609</v>
      </c>
      <c r="AI655" t="s" s="35">
        <v>1623</v>
      </c>
      <c r="AJ655" t="s" s="35">
        <v>1631</v>
      </c>
      <c r="AK655" s="39"/>
      <c r="AL655" s="39"/>
      <c r="AM655" s="39"/>
      <c r="AN655" s="39"/>
      <c r="AO655" s="39"/>
      <c r="AP655" s="39"/>
      <c r="AQ655" s="39"/>
      <c r="AR655" s="39"/>
      <c r="AS655" s="39"/>
      <c r="AT655" s="39"/>
      <c r="AU655" s="39"/>
      <c r="AV655" s="39"/>
      <c r="AW655" t="str" s="39" cm="1">
        <f t="array" ref="AW655">AF655&amp;"; "&amp;AG655&amp;"; "&amp;AH655&amp;"; "&amp;AI655&amp;"; "&amp;AJ655</f>
        <v>E1; E5; E4; D4; I4</v>
      </c>
    </row>
    <row r="656" ht="13.65" customHeight="1">
      <c r="A656" t="s" s="35">
        <v>4962</v>
      </c>
      <c r="B656" s="36">
        <v>10</v>
      </c>
      <c r="C656" t="s" s="35">
        <v>222</v>
      </c>
      <c r="D656" t="s" s="35">
        <v>4800</v>
      </c>
      <c r="E656" t="s" s="35">
        <v>4801</v>
      </c>
      <c r="F656" s="36">
        <v>32</v>
      </c>
      <c r="G656" t="s" s="35">
        <v>4935</v>
      </c>
      <c r="H656" t="s" s="35">
        <v>4963</v>
      </c>
      <c r="I656" t="s" s="120">
        <v>4964</v>
      </c>
      <c r="J656" t="s" s="35">
        <v>1301</v>
      </c>
      <c r="K656" t="s" s="35">
        <v>1306</v>
      </c>
      <c r="L656" s="39"/>
      <c r="M656" t="str" s="39">
        <v>Mecánica y termodinámica</v>
      </c>
      <c r="N656" t="str" s="39">
        <v>Fuerzas y movimiento</v>
      </c>
      <c r="O656" t="str" s="39" cm="1">
        <f t="array" ref="O656">IF(L656="","",_xlfn.IFERROR(INDEX('Datos - Catálogo TIMSS'!$C$5:$C$107,MATCH(L656,'Datos - Catálogo TIMSS'!$A$5:$A$107,0)),"?"))</f>
      </c>
      <c r="P656" t="s" s="35">
        <v>282</v>
      </c>
      <c r="Q656" t="s" s="120">
        <v>4965</v>
      </c>
      <c r="R656" t="s" s="120">
        <v>4966</v>
      </c>
      <c r="S656" s="121" cm="1">
        <f t="array" ref="S656">_xlfn.IFERROR(ISNUMBER(SEARCH("Conocer",$R656))/(ISNUMBER(SEARCH("Conocer",$R656))+ISNUMBER(SEARCH("Aplicar",$R656))+ISNUMBER(SEARCH("Razonar",$R656))),0)</f>
        <v>0.5</v>
      </c>
      <c r="T656" s="121" cm="1">
        <f t="array" ref="T656">_xlfn.IFERROR(ISNUMBER(SEARCH("Aplicar",$R656))/(ISNUMBER(SEARCH("Conocer",$R656))+ISNUMBER(SEARCH("Aplicar",$R656))+ISNUMBER(SEARCH("Razonar",$R656))),0)</f>
        <v>0</v>
      </c>
      <c r="U656" s="121" cm="1">
        <f t="array" ref="U656">_xlfn.IFERROR(ISNUMBER(SEARCH("Razonar",$R656))/(ISNUMBER(SEARCH("Conocer",$R656))+ISNUMBER(SEARCH("Aplicar",$R656))+ISNUMBER(SEARCH("Razonar",$R656))),0)</f>
        <v>0.5</v>
      </c>
      <c r="V656" t="s" s="35">
        <v>87</v>
      </c>
      <c r="W656" t="s" s="35">
        <v>119</v>
      </c>
      <c r="X656" s="36" cm="1">
        <f t="array" ref="X656">IF(OR(_xlfn.IFERROR(INDEX('Datos - Catálogo TIMSS'!$I$5:$I$107,MATCH(K656,'Datos - Catálogo TIMSS'!$A$5:$A$107,0)),"No")="Sí",_xlfn.IFERROR(INDEX('Datos - Catálogo TIMSS'!$I$5:$I$107,MATCH(L656,'Datos - Catálogo TIMSS'!$A$5:$A$107,0)),"No")="Sí"),1,0)</f>
        <v>0</v>
      </c>
      <c r="Y656" s="36" cm="1">
        <f t="array" ref="Y656">IF(_xlfn.IFERROR(INDEX('Datos - Catálogo TIMSS'!$J$5:$J$107,MATCH(K656,'Datos - Catálogo TIMSS'!$A$5:$A$107,0)),"No")="Sí",1,0)</f>
        <v>0</v>
      </c>
      <c r="Z656" s="36" cm="1">
        <f t="array" ref="Z656">IF(_xlfn.IFERROR(INDEX('Datos - Catálogo TIMSS'!$J$5:$J$107,MATCH(L656,'Datos - Catálogo TIMSS'!$A$5:$A$107,0)),"No")="Sí",1,0)</f>
        <v>0</v>
      </c>
      <c r="AA656" t="s" s="35">
        <v>1306</v>
      </c>
      <c r="AB656" s="39"/>
      <c r="AC656" t="str" s="39">
        <v>Mecánica y termodinámica</v>
      </c>
      <c r="AD656" t="s" s="35">
        <v>1900</v>
      </c>
      <c r="AE656" t="str" s="39" cm="1">
        <f t="array" ref="AE656">IF(AD656="","",IF(LEFT(AD656,1)="1","C1",IF(LEFT(AD656,1)="2","C2",IF(LEFT(AD656,1)="3","C3",""))))</f>
        <v>C3</v>
      </c>
      <c r="AF656" t="s" s="35">
        <v>1615</v>
      </c>
      <c r="AG656" t="s" s="35">
        <v>1607</v>
      </c>
      <c r="AH656" t="s" s="35">
        <v>1602</v>
      </c>
      <c r="AI656" t="s" s="35">
        <v>1625</v>
      </c>
      <c r="AJ656" t="s" s="35">
        <v>1633</v>
      </c>
      <c r="AK656" s="39"/>
      <c r="AL656" s="39"/>
      <c r="AM656" s="39"/>
      <c r="AN656" s="39"/>
      <c r="AO656" s="39"/>
      <c r="AP656" s="39"/>
      <c r="AQ656" s="39"/>
      <c r="AR656" s="39"/>
      <c r="AS656" s="39"/>
      <c r="AT656" s="39"/>
      <c r="AU656" s="39"/>
      <c r="AV656" s="39"/>
      <c r="AW656" t="str" s="39" cm="1">
        <f t="array" ref="AW656">AF656&amp;"; "&amp;AG656&amp;"; "&amp;AH656&amp;"; "&amp;AI656&amp;"; "&amp;AJ656</f>
        <v>E6; E3; E1; I1; I5</v>
      </c>
    </row>
    <row r="657" ht="13.65" customHeight="1">
      <c r="A657" t="s" s="35">
        <v>4968</v>
      </c>
      <c r="B657" s="36">
        <v>10</v>
      </c>
      <c r="C657" t="s" s="35">
        <v>222</v>
      </c>
      <c r="D657" t="s" s="35">
        <v>4800</v>
      </c>
      <c r="E657" t="s" s="35">
        <v>4801</v>
      </c>
      <c r="F657" s="36">
        <v>33</v>
      </c>
      <c r="G657" t="s" s="35">
        <v>4935</v>
      </c>
      <c r="H657" t="s" s="35">
        <v>4963</v>
      </c>
      <c r="I657" t="s" s="120">
        <v>4969</v>
      </c>
      <c r="J657" t="s" s="35">
        <v>1301</v>
      </c>
      <c r="K657" t="s" s="35">
        <v>1312</v>
      </c>
      <c r="L657" s="39"/>
      <c r="M657" t="str" s="39">
        <v>Mecánica y termodinámica</v>
      </c>
      <c r="N657" t="str" s="39">
        <v>Fuerzas y movimiento</v>
      </c>
      <c r="O657" t="str" s="39" cm="1">
        <f t="array" ref="O657">IF(L657="","",_xlfn.IFERROR(INDEX('Datos - Catálogo TIMSS'!$C$5:$C$107,MATCH(L657,'Datos - Catálogo TIMSS'!$A$5:$A$107,0)),"?"))</f>
      </c>
      <c r="P657" t="s" s="35">
        <v>254</v>
      </c>
      <c r="Q657" t="s" s="120">
        <v>4970</v>
      </c>
      <c r="R657" t="s" s="120">
        <v>4971</v>
      </c>
      <c r="S657" s="121" cm="1">
        <f t="array" ref="S657">_xlfn.IFERROR(ISNUMBER(SEARCH("Conocer",$R657))/(ISNUMBER(SEARCH("Conocer",$R657))+ISNUMBER(SEARCH("Aplicar",$R657))+ISNUMBER(SEARCH("Razonar",$R657))),0)</f>
        <v>0</v>
      </c>
      <c r="T657" s="121" cm="1">
        <f t="array" ref="T657">_xlfn.IFERROR(ISNUMBER(SEARCH("Aplicar",$R657))/(ISNUMBER(SEARCH("Conocer",$R657))+ISNUMBER(SEARCH("Aplicar",$R657))+ISNUMBER(SEARCH("Razonar",$R657))),0)</f>
        <v>0.5</v>
      </c>
      <c r="U657" s="121" cm="1">
        <f t="array" ref="U657">_xlfn.IFERROR(ISNUMBER(SEARCH("Razonar",$R657))/(ISNUMBER(SEARCH("Conocer",$R657))+ISNUMBER(SEARCH("Aplicar",$R657))+ISNUMBER(SEARCH("Razonar",$R657))),0)</f>
        <v>0.5</v>
      </c>
      <c r="V657" t="s" s="35">
        <v>87</v>
      </c>
      <c r="W657" t="s" s="35">
        <v>119</v>
      </c>
      <c r="X657" s="36" cm="1">
        <f t="array" ref="X657">IF(OR(_xlfn.IFERROR(INDEX('Datos - Catálogo TIMSS'!$I$5:$I$107,MATCH(K657,'Datos - Catálogo TIMSS'!$A$5:$A$107,0)),"No")="Sí",_xlfn.IFERROR(INDEX('Datos - Catálogo TIMSS'!$I$5:$I$107,MATCH(L657,'Datos - Catálogo TIMSS'!$A$5:$A$107,0)),"No")="Sí"),1,0)</f>
        <v>0</v>
      </c>
      <c r="Y657" s="36" cm="1">
        <f t="array" ref="Y657">IF(_xlfn.IFERROR(INDEX('Datos - Catálogo TIMSS'!$J$5:$J$107,MATCH(K657,'Datos - Catálogo TIMSS'!$A$5:$A$107,0)),"No")="Sí",1,0)</f>
        <v>0</v>
      </c>
      <c r="Z657" s="36" cm="1">
        <f t="array" ref="Z657">IF(_xlfn.IFERROR(INDEX('Datos - Catálogo TIMSS'!$J$5:$J$107,MATCH(L657,'Datos - Catálogo TIMSS'!$A$5:$A$107,0)),"No")="Sí",1,0)</f>
        <v>0</v>
      </c>
      <c r="AA657" t="s" s="35">
        <v>1312</v>
      </c>
      <c r="AB657" s="39"/>
      <c r="AC657" t="str" s="39">
        <v>Mecánica y termodinámica</v>
      </c>
      <c r="AD657" t="s" s="35">
        <v>1859</v>
      </c>
      <c r="AE657" t="str" s="39" cm="1">
        <f t="array" ref="AE657">IF(AD657="","",IF(LEFT(AD657,1)="1","C1",IF(LEFT(AD657,1)="2","C2",IF(LEFT(AD657,1)="3","C3",""))))</f>
        <v>C1</v>
      </c>
      <c r="AF657" t="s" s="35">
        <v>1602</v>
      </c>
      <c r="AG657" t="s" s="35">
        <v>1607</v>
      </c>
      <c r="AH657" t="s" s="35">
        <v>1605</v>
      </c>
      <c r="AI657" t="s" s="35">
        <v>1609</v>
      </c>
      <c r="AJ657" t="s" s="35">
        <v>1607</v>
      </c>
      <c r="AK657" s="39"/>
      <c r="AL657" s="39"/>
      <c r="AM657" s="39"/>
      <c r="AN657" s="39"/>
      <c r="AO657" s="39"/>
      <c r="AP657" s="39"/>
      <c r="AQ657" s="39"/>
      <c r="AR657" s="39"/>
      <c r="AS657" s="39"/>
      <c r="AT657" s="39"/>
      <c r="AU657" s="39"/>
      <c r="AV657" s="39"/>
      <c r="AW657" t="str" s="39" cm="1">
        <f t="array" ref="AW657">AF657&amp;"; "&amp;AG657&amp;"; "&amp;AH657&amp;"; "&amp;AI657&amp;"; "&amp;AJ657</f>
        <v>E1; E3; E2; E4; E3</v>
      </c>
    </row>
    <row r="658" ht="13.65" customHeight="1">
      <c r="A658" t="s" s="35">
        <v>4972</v>
      </c>
      <c r="B658" s="36">
        <v>10</v>
      </c>
      <c r="C658" t="s" s="35">
        <v>222</v>
      </c>
      <c r="D658" t="s" s="35">
        <v>4800</v>
      </c>
      <c r="E658" t="s" s="35">
        <v>4801</v>
      </c>
      <c r="F658" s="36">
        <v>34</v>
      </c>
      <c r="G658" t="s" s="35">
        <v>4935</v>
      </c>
      <c r="H658" t="s" s="35">
        <v>4973</v>
      </c>
      <c r="I658" t="s" s="120">
        <v>4974</v>
      </c>
      <c r="J658" t="s" s="35">
        <v>1301</v>
      </c>
      <c r="K658" t="s" s="35">
        <v>1306</v>
      </c>
      <c r="L658" s="39"/>
      <c r="M658" t="str" s="39">
        <v>Mecánica y termodinámica</v>
      </c>
      <c r="N658" t="str" s="39">
        <v>Fuerzas y movimiento</v>
      </c>
      <c r="O658" t="str" s="39" cm="1">
        <f t="array" ref="O658">IF(L658="","",_xlfn.IFERROR(INDEX('Datos - Catálogo TIMSS'!$C$5:$C$107,MATCH(L658,'Datos - Catálogo TIMSS'!$A$5:$A$107,0)),"?"))</f>
      </c>
      <c r="P658" t="s" s="35">
        <v>254</v>
      </c>
      <c r="Q658" t="s" s="120">
        <v>4975</v>
      </c>
      <c r="R658" t="s" s="120">
        <v>4976</v>
      </c>
      <c r="S658" s="121" cm="1">
        <f t="array" ref="S658">_xlfn.IFERROR(ISNUMBER(SEARCH("Conocer",$R658))/(ISNUMBER(SEARCH("Conocer",$R658))+ISNUMBER(SEARCH("Aplicar",$R658))+ISNUMBER(SEARCH("Razonar",$R658))),0)</f>
        <v>0</v>
      </c>
      <c r="T658" s="121" cm="1">
        <f t="array" ref="T658">_xlfn.IFERROR(ISNUMBER(SEARCH("Aplicar",$R658))/(ISNUMBER(SEARCH("Conocer",$R658))+ISNUMBER(SEARCH("Aplicar",$R658))+ISNUMBER(SEARCH("Razonar",$R658))),0)</f>
        <v>0.5</v>
      </c>
      <c r="U658" s="121" cm="1">
        <f t="array" ref="U658">_xlfn.IFERROR(ISNUMBER(SEARCH("Razonar",$R658))/(ISNUMBER(SEARCH("Conocer",$R658))+ISNUMBER(SEARCH("Aplicar",$R658))+ISNUMBER(SEARCH("Razonar",$R658))),0)</f>
        <v>0.5</v>
      </c>
      <c r="V658" t="s" s="35">
        <v>87</v>
      </c>
      <c r="W658" t="s" s="35">
        <v>119</v>
      </c>
      <c r="X658" s="36" cm="1">
        <f t="array" ref="X658">IF(OR(_xlfn.IFERROR(INDEX('Datos - Catálogo TIMSS'!$I$5:$I$107,MATCH(K658,'Datos - Catálogo TIMSS'!$A$5:$A$107,0)),"No")="Sí",_xlfn.IFERROR(INDEX('Datos - Catálogo TIMSS'!$I$5:$I$107,MATCH(L658,'Datos - Catálogo TIMSS'!$A$5:$A$107,0)),"No")="Sí"),1,0)</f>
        <v>0</v>
      </c>
      <c r="Y658" s="36" cm="1">
        <f t="array" ref="Y658">IF(_xlfn.IFERROR(INDEX('Datos - Catálogo TIMSS'!$J$5:$J$107,MATCH(K658,'Datos - Catálogo TIMSS'!$A$5:$A$107,0)),"No")="Sí",1,0)</f>
        <v>0</v>
      </c>
      <c r="Z658" s="36" cm="1">
        <f t="array" ref="Z658">IF(_xlfn.IFERROR(INDEX('Datos - Catálogo TIMSS'!$J$5:$J$107,MATCH(L658,'Datos - Catálogo TIMSS'!$A$5:$A$107,0)),"No")="Sí",1,0)</f>
        <v>0</v>
      </c>
      <c r="AA658" t="s" s="35">
        <v>1306</v>
      </c>
      <c r="AB658" s="39"/>
      <c r="AC658" t="str" s="39">
        <v>Mecánica y termodinámica</v>
      </c>
      <c r="AD658" t="s" s="35">
        <v>1859</v>
      </c>
      <c r="AE658" t="str" s="39" cm="1">
        <f t="array" ref="AE658">IF(AD658="","",IF(LEFT(AD658,1)="1","C1",IF(LEFT(AD658,1)="2","C2",IF(LEFT(AD658,1)="3","C3",""))))</f>
        <v>C1</v>
      </c>
      <c r="AF658" t="s" s="35">
        <v>1615</v>
      </c>
      <c r="AG658" t="s" s="35">
        <v>1607</v>
      </c>
      <c r="AH658" t="s" s="35">
        <v>1605</v>
      </c>
      <c r="AI658" t="s" s="35">
        <v>1609</v>
      </c>
      <c r="AJ658" t="s" s="35">
        <v>1607</v>
      </c>
      <c r="AK658" s="39"/>
      <c r="AL658" s="39"/>
      <c r="AM658" s="39"/>
      <c r="AN658" s="39"/>
      <c r="AO658" s="39"/>
      <c r="AP658" s="39"/>
      <c r="AQ658" s="39"/>
      <c r="AR658" s="39"/>
      <c r="AS658" s="39"/>
      <c r="AT658" s="39"/>
      <c r="AU658" s="39"/>
      <c r="AV658" s="39"/>
      <c r="AW658" t="str" s="39" cm="1">
        <f t="array" ref="AW658">AF658&amp;"; "&amp;AG658&amp;"; "&amp;AH658&amp;"; "&amp;AI658&amp;"; "&amp;AJ658</f>
        <v>E6; E3; E2; E4; E3</v>
      </c>
    </row>
    <row r="659" ht="13.65" customHeight="1">
      <c r="A659" t="s" s="35">
        <v>4978</v>
      </c>
      <c r="B659" s="36">
        <v>10</v>
      </c>
      <c r="C659" t="s" s="35">
        <v>222</v>
      </c>
      <c r="D659" t="s" s="35">
        <v>4800</v>
      </c>
      <c r="E659" t="s" s="35">
        <v>4801</v>
      </c>
      <c r="F659" s="36">
        <v>35</v>
      </c>
      <c r="G659" t="s" s="35">
        <v>4935</v>
      </c>
      <c r="H659" t="s" s="35">
        <v>4973</v>
      </c>
      <c r="I659" t="s" s="120">
        <v>4979</v>
      </c>
      <c r="J659" t="s" s="35">
        <v>1301</v>
      </c>
      <c r="K659" t="s" s="35">
        <v>1306</v>
      </c>
      <c r="L659" s="39"/>
      <c r="M659" t="str" s="39">
        <v>Mecánica y termodinámica</v>
      </c>
      <c r="N659" t="str" s="39">
        <v>Fuerzas y movimiento</v>
      </c>
      <c r="O659" t="str" s="39" cm="1">
        <f t="array" ref="O659">IF(L659="","",_xlfn.IFERROR(INDEX('Datos - Catálogo TIMSS'!$C$5:$C$107,MATCH(L659,'Datos - Catálogo TIMSS'!$A$5:$A$107,0)),"?"))</f>
      </c>
      <c r="P659" t="s" s="35">
        <v>254</v>
      </c>
      <c r="Q659" t="s" s="120">
        <v>4980</v>
      </c>
      <c r="R659" t="s" s="120">
        <v>4981</v>
      </c>
      <c r="S659" s="121" cm="1">
        <f t="array" ref="S659">_xlfn.IFERROR(ISNUMBER(SEARCH("Conocer",$R659))/(ISNUMBER(SEARCH("Conocer",$R659))+ISNUMBER(SEARCH("Aplicar",$R659))+ISNUMBER(SEARCH("Razonar",$R659))),0)</f>
        <v>0</v>
      </c>
      <c r="T659" s="121" cm="1">
        <f t="array" ref="T659">_xlfn.IFERROR(ISNUMBER(SEARCH("Aplicar",$R659))/(ISNUMBER(SEARCH("Conocer",$R659))+ISNUMBER(SEARCH("Aplicar",$R659))+ISNUMBER(SEARCH("Razonar",$R659))),0)</f>
        <v>0.5</v>
      </c>
      <c r="U659" s="121" cm="1">
        <f t="array" ref="U659">_xlfn.IFERROR(ISNUMBER(SEARCH("Razonar",$R659))/(ISNUMBER(SEARCH("Conocer",$R659))+ISNUMBER(SEARCH("Aplicar",$R659))+ISNUMBER(SEARCH("Razonar",$R659))),0)</f>
        <v>0.5</v>
      </c>
      <c r="V659" t="s" s="35">
        <v>87</v>
      </c>
      <c r="W659" t="s" s="35">
        <v>119</v>
      </c>
      <c r="X659" s="36" cm="1">
        <f t="array" ref="X659">IF(OR(_xlfn.IFERROR(INDEX('Datos - Catálogo TIMSS'!$I$5:$I$107,MATCH(K659,'Datos - Catálogo TIMSS'!$A$5:$A$107,0)),"No")="Sí",_xlfn.IFERROR(INDEX('Datos - Catálogo TIMSS'!$I$5:$I$107,MATCH(L659,'Datos - Catálogo TIMSS'!$A$5:$A$107,0)),"No")="Sí"),1,0)</f>
        <v>0</v>
      </c>
      <c r="Y659" s="36" cm="1">
        <f t="array" ref="Y659">IF(_xlfn.IFERROR(INDEX('Datos - Catálogo TIMSS'!$J$5:$J$107,MATCH(K659,'Datos - Catálogo TIMSS'!$A$5:$A$107,0)),"No")="Sí",1,0)</f>
        <v>0</v>
      </c>
      <c r="Z659" s="36" cm="1">
        <f t="array" ref="Z659">IF(_xlfn.IFERROR(INDEX('Datos - Catálogo TIMSS'!$J$5:$J$107,MATCH(L659,'Datos - Catálogo TIMSS'!$A$5:$A$107,0)),"No")="Sí",1,0)</f>
        <v>0</v>
      </c>
      <c r="AA659" t="s" s="35">
        <v>1306</v>
      </c>
      <c r="AB659" s="39"/>
      <c r="AC659" t="str" s="39">
        <v>Mecánica y termodinámica</v>
      </c>
      <c r="AD659" t="s" s="35">
        <v>1834</v>
      </c>
      <c r="AE659" t="str" s="39" cm="1">
        <f t="array" ref="AE659">IF(AD659="","",IF(LEFT(AD659,1)="1","C1",IF(LEFT(AD659,1)="2","C2",IF(LEFT(AD659,1)="3","C3",""))))</f>
        <v>C2</v>
      </c>
      <c r="AF659" t="s" s="35">
        <v>1602</v>
      </c>
      <c r="AG659" t="s" s="35">
        <v>1617</v>
      </c>
      <c r="AH659" t="s" s="35">
        <v>1609</v>
      </c>
      <c r="AI659" t="s" s="35">
        <v>1619</v>
      </c>
      <c r="AJ659" t="s" s="35">
        <v>1633</v>
      </c>
      <c r="AK659" s="39"/>
      <c r="AL659" s="39"/>
      <c r="AM659" s="39"/>
      <c r="AN659" s="39"/>
      <c r="AO659" s="39"/>
      <c r="AP659" s="39"/>
      <c r="AQ659" s="39"/>
      <c r="AR659" s="39"/>
      <c r="AS659" s="39"/>
      <c r="AT659" s="39"/>
      <c r="AU659" s="39"/>
      <c r="AV659" s="39"/>
      <c r="AW659" t="str" s="39" cm="1">
        <f t="array" ref="AW659">AF659&amp;"; "&amp;AG659&amp;"; "&amp;AH659&amp;"; "&amp;AI659&amp;"; "&amp;AJ659</f>
        <v>E1; D1; E4; D2; I5</v>
      </c>
    </row>
    <row r="660" ht="13.65" customHeight="1">
      <c r="A660" t="s" s="35">
        <v>4983</v>
      </c>
      <c r="B660" s="36">
        <v>10</v>
      </c>
      <c r="C660" t="s" s="35">
        <v>222</v>
      </c>
      <c r="D660" t="s" s="35">
        <v>4800</v>
      </c>
      <c r="E660" t="s" s="35">
        <v>4801</v>
      </c>
      <c r="F660" s="36">
        <v>36</v>
      </c>
      <c r="G660" t="s" s="35">
        <v>4935</v>
      </c>
      <c r="H660" t="s" s="35">
        <v>4973</v>
      </c>
      <c r="I660" t="s" s="120">
        <v>4984</v>
      </c>
      <c r="J660" t="s" s="35">
        <v>1301</v>
      </c>
      <c r="K660" t="s" s="35">
        <v>1306</v>
      </c>
      <c r="L660" t="s" s="35">
        <v>1300</v>
      </c>
      <c r="M660" t="str" s="39">
        <v>Mecánica y termodinámica</v>
      </c>
      <c r="N660" t="str" s="39">
        <v>Fuerzas y movimiento</v>
      </c>
      <c r="O660" t="str" s="39" cm="1">
        <f t="array" ref="O660">IF(L660="","",_xlfn.IFERROR(INDEX('Datos - Catálogo TIMSS'!$C$5:$C$107,MATCH(L660,'Datos - Catálogo TIMSS'!$A$5:$A$107,0)),"?"))</f>
        <v>Mecánica y termodinámica</v>
      </c>
      <c r="P660" t="s" s="35">
        <v>254</v>
      </c>
      <c r="Q660" t="s" s="120">
        <v>4985</v>
      </c>
      <c r="R660" t="s" s="120">
        <v>4986</v>
      </c>
      <c r="S660" s="121" cm="1">
        <f t="array" ref="S660">_xlfn.IFERROR(ISNUMBER(SEARCH("Conocer",$R660))/(ISNUMBER(SEARCH("Conocer",$R660))+ISNUMBER(SEARCH("Aplicar",$R660))+ISNUMBER(SEARCH("Razonar",$R660))),0)</f>
        <v>0</v>
      </c>
      <c r="T660" s="121" cm="1">
        <f t="array" ref="T660">_xlfn.IFERROR(ISNUMBER(SEARCH("Aplicar",$R660))/(ISNUMBER(SEARCH("Conocer",$R660))+ISNUMBER(SEARCH("Aplicar",$R660))+ISNUMBER(SEARCH("Razonar",$R660))),0)</f>
        <v>0.5</v>
      </c>
      <c r="U660" s="121" cm="1">
        <f t="array" ref="U660">_xlfn.IFERROR(ISNUMBER(SEARCH("Razonar",$R660))/(ISNUMBER(SEARCH("Conocer",$R660))+ISNUMBER(SEARCH("Aplicar",$R660))+ISNUMBER(SEARCH("Razonar",$R660))),0)</f>
        <v>0.5</v>
      </c>
      <c r="V660" t="s" s="35">
        <v>87</v>
      </c>
      <c r="W660" t="s" s="35">
        <v>119</v>
      </c>
      <c r="X660" s="36" cm="1">
        <f t="array" ref="X660">IF(OR(_xlfn.IFERROR(INDEX('Datos - Catálogo TIMSS'!$I$5:$I$107,MATCH(K660,'Datos - Catálogo TIMSS'!$A$5:$A$107,0)),"No")="Sí",_xlfn.IFERROR(INDEX('Datos - Catálogo TIMSS'!$I$5:$I$107,MATCH(L660,'Datos - Catálogo TIMSS'!$A$5:$A$107,0)),"No")="Sí"),1,0)</f>
        <v>0</v>
      </c>
      <c r="Y660" s="36" cm="1">
        <f t="array" ref="Y660">IF(_xlfn.IFERROR(INDEX('Datos - Catálogo TIMSS'!$J$5:$J$107,MATCH(K660,'Datos - Catálogo TIMSS'!$A$5:$A$107,0)),"No")="Sí",1,0)</f>
        <v>0</v>
      </c>
      <c r="Z660" s="36" cm="1">
        <f t="array" ref="Z660">IF(_xlfn.IFERROR(INDEX('Datos - Catálogo TIMSS'!$J$5:$J$107,MATCH(L660,'Datos - Catálogo TIMSS'!$A$5:$A$107,0)),"No")="Sí",1,0)</f>
        <v>0</v>
      </c>
      <c r="AA660" t="s" s="35">
        <v>1306</v>
      </c>
      <c r="AB660" t="s" s="35">
        <v>1300</v>
      </c>
      <c r="AC660" t="str" s="39">
        <v>Mecánica y termodinámica</v>
      </c>
      <c r="AD660" t="s" s="35">
        <v>1859</v>
      </c>
      <c r="AE660" t="str" s="39" cm="1">
        <f t="array" ref="AE660">IF(AD660="","",IF(LEFT(AD660,1)="1","C1",IF(LEFT(AD660,1)="2","C2",IF(LEFT(AD660,1)="3","C3",""))))</f>
        <v>C1</v>
      </c>
      <c r="AF660" t="s" s="35">
        <v>1602</v>
      </c>
      <c r="AG660" t="s" s="35">
        <v>1607</v>
      </c>
      <c r="AH660" t="s" s="35">
        <v>1609</v>
      </c>
      <c r="AI660" t="s" s="35">
        <v>1623</v>
      </c>
      <c r="AJ660" t="s" s="35">
        <v>1607</v>
      </c>
      <c r="AK660" s="39"/>
      <c r="AL660" s="39"/>
      <c r="AM660" s="39"/>
      <c r="AN660" s="39"/>
      <c r="AO660" s="39"/>
      <c r="AP660" s="39"/>
      <c r="AQ660" s="39"/>
      <c r="AR660" s="39"/>
      <c r="AS660" s="39"/>
      <c r="AT660" s="39"/>
      <c r="AU660" s="39"/>
      <c r="AV660" s="39"/>
      <c r="AW660" t="str" s="39" cm="1">
        <f t="array" ref="AW660">AF660&amp;"; "&amp;AG660&amp;"; "&amp;AH660&amp;"; "&amp;AI660&amp;"; "&amp;AJ660</f>
        <v>E1; E3; E4; D4; E3</v>
      </c>
    </row>
    <row r="661" ht="13.65" customHeight="1">
      <c r="A661" t="s" s="35">
        <v>4987</v>
      </c>
      <c r="B661" s="36">
        <v>10</v>
      </c>
      <c r="C661" t="s" s="35">
        <v>222</v>
      </c>
      <c r="D661" t="s" s="35">
        <v>4800</v>
      </c>
      <c r="E661" t="s" s="35">
        <v>4801</v>
      </c>
      <c r="F661" s="36">
        <v>37</v>
      </c>
      <c r="G661" t="s" s="35">
        <v>4935</v>
      </c>
      <c r="H661" t="s" s="35">
        <v>4988</v>
      </c>
      <c r="I661" t="s" s="120">
        <v>4989</v>
      </c>
      <c r="J661" t="s" s="35">
        <v>1301</v>
      </c>
      <c r="K661" t="s" s="35">
        <v>1306</v>
      </c>
      <c r="L661" s="39"/>
      <c r="M661" t="str" s="39">
        <v>Mecánica y termodinámica</v>
      </c>
      <c r="N661" t="str" s="39">
        <v>Fuerzas y movimiento</v>
      </c>
      <c r="O661" t="str" s="39" cm="1">
        <f t="array" ref="O661">IF(L661="","",_xlfn.IFERROR(INDEX('Datos - Catálogo TIMSS'!$C$5:$C$107,MATCH(L661,'Datos - Catálogo TIMSS'!$A$5:$A$107,0)),"?"))</f>
      </c>
      <c r="P661" t="s" s="35">
        <v>254</v>
      </c>
      <c r="Q661" t="s" s="120">
        <v>4990</v>
      </c>
      <c r="R661" t="s" s="120">
        <v>4991</v>
      </c>
      <c r="S661" s="121" cm="1">
        <f t="array" ref="S661">_xlfn.IFERROR(ISNUMBER(SEARCH("Conocer",$R661))/(ISNUMBER(SEARCH("Conocer",$R661))+ISNUMBER(SEARCH("Aplicar",$R661))+ISNUMBER(SEARCH("Razonar",$R661))),0)</f>
        <v>0</v>
      </c>
      <c r="T661" s="121" cm="1">
        <f t="array" ref="T661">_xlfn.IFERROR(ISNUMBER(SEARCH("Aplicar",$R661))/(ISNUMBER(SEARCH("Conocer",$R661))+ISNUMBER(SEARCH("Aplicar",$R661))+ISNUMBER(SEARCH("Razonar",$R661))),0)</f>
        <v>0.5</v>
      </c>
      <c r="U661" s="121" cm="1">
        <f t="array" ref="U661">_xlfn.IFERROR(ISNUMBER(SEARCH("Razonar",$R661))/(ISNUMBER(SEARCH("Conocer",$R661))+ISNUMBER(SEARCH("Aplicar",$R661))+ISNUMBER(SEARCH("Razonar",$R661))),0)</f>
        <v>0.5</v>
      </c>
      <c r="V661" t="s" s="35">
        <v>87</v>
      </c>
      <c r="W661" t="s" s="35">
        <v>119</v>
      </c>
      <c r="X661" s="36" cm="1">
        <f t="array" ref="X661">IF(OR(_xlfn.IFERROR(INDEX('Datos - Catálogo TIMSS'!$I$5:$I$107,MATCH(K661,'Datos - Catálogo TIMSS'!$A$5:$A$107,0)),"No")="Sí",_xlfn.IFERROR(INDEX('Datos - Catálogo TIMSS'!$I$5:$I$107,MATCH(L661,'Datos - Catálogo TIMSS'!$A$5:$A$107,0)),"No")="Sí"),1,0)</f>
        <v>0</v>
      </c>
      <c r="Y661" s="36" cm="1">
        <f t="array" ref="Y661">IF(_xlfn.IFERROR(INDEX('Datos - Catálogo TIMSS'!$J$5:$J$107,MATCH(K661,'Datos - Catálogo TIMSS'!$A$5:$A$107,0)),"No")="Sí",1,0)</f>
        <v>0</v>
      </c>
      <c r="Z661" s="36" cm="1">
        <f t="array" ref="Z661">IF(_xlfn.IFERROR(INDEX('Datos - Catálogo TIMSS'!$J$5:$J$107,MATCH(L661,'Datos - Catálogo TIMSS'!$A$5:$A$107,0)),"No")="Sí",1,0)</f>
        <v>0</v>
      </c>
      <c r="AA661" t="s" s="35">
        <v>1306</v>
      </c>
      <c r="AB661" s="39"/>
      <c r="AC661" t="str" s="39">
        <v>Mecánica y termodinámica</v>
      </c>
      <c r="AD661" t="s" s="35">
        <v>1834</v>
      </c>
      <c r="AE661" t="str" s="39" cm="1">
        <f t="array" ref="AE661">IF(AD661="","",IF(LEFT(AD661,1)="1","C1",IF(LEFT(AD661,1)="2","C2",IF(LEFT(AD661,1)="3","C3",""))))</f>
        <v>C2</v>
      </c>
      <c r="AF661" t="s" s="35">
        <v>1602</v>
      </c>
      <c r="AG661" t="s" s="35">
        <v>1607</v>
      </c>
      <c r="AH661" t="s" s="35">
        <v>1605</v>
      </c>
      <c r="AI661" t="s" s="35">
        <v>1619</v>
      </c>
      <c r="AJ661" t="s" s="35">
        <v>1621</v>
      </c>
      <c r="AK661" s="39"/>
      <c r="AL661" s="39"/>
      <c r="AM661" s="39"/>
      <c r="AN661" s="39"/>
      <c r="AO661" s="39"/>
      <c r="AP661" s="39"/>
      <c r="AQ661" s="39"/>
      <c r="AR661" s="39"/>
      <c r="AS661" s="39"/>
      <c r="AT661" s="39"/>
      <c r="AU661" s="39"/>
      <c r="AV661" s="39"/>
      <c r="AW661" t="str" s="39" cm="1">
        <f t="array" ref="AW661">AF661&amp;"; "&amp;AG661&amp;"; "&amp;AH661&amp;"; "&amp;AI661&amp;"; "&amp;AJ661</f>
        <v>E1; E3; E2; D2; D3</v>
      </c>
    </row>
    <row r="662" ht="13.65" customHeight="1">
      <c r="A662" t="s" s="35">
        <v>4993</v>
      </c>
      <c r="B662" s="36">
        <v>10</v>
      </c>
      <c r="C662" t="s" s="35">
        <v>222</v>
      </c>
      <c r="D662" t="s" s="35">
        <v>4800</v>
      </c>
      <c r="E662" t="s" s="35">
        <v>4801</v>
      </c>
      <c r="F662" s="36">
        <v>38</v>
      </c>
      <c r="G662" t="s" s="35">
        <v>4935</v>
      </c>
      <c r="H662" t="s" s="35">
        <v>4988</v>
      </c>
      <c r="I662" t="s" s="120">
        <v>4994</v>
      </c>
      <c r="J662" t="s" s="35">
        <v>1301</v>
      </c>
      <c r="K662" t="s" s="35">
        <v>1306</v>
      </c>
      <c r="L662" t="s" s="35">
        <v>1300</v>
      </c>
      <c r="M662" t="str" s="39">
        <v>Mecánica y termodinámica</v>
      </c>
      <c r="N662" t="str" s="39">
        <v>Fuerzas y movimiento</v>
      </c>
      <c r="O662" t="str" s="39" cm="1">
        <f t="array" ref="O662">IF(L662="","",_xlfn.IFERROR(INDEX('Datos - Catálogo TIMSS'!$C$5:$C$107,MATCH(L662,'Datos - Catálogo TIMSS'!$A$5:$A$107,0)),"?"))</f>
        <v>Mecánica y termodinámica</v>
      </c>
      <c r="P662" t="s" s="35">
        <v>254</v>
      </c>
      <c r="Q662" t="s" s="120">
        <v>4995</v>
      </c>
      <c r="R662" t="s" s="120">
        <v>4996</v>
      </c>
      <c r="S662" s="121" cm="1">
        <f t="array" ref="S662">_xlfn.IFERROR(ISNUMBER(SEARCH("Conocer",$R662))/(ISNUMBER(SEARCH("Conocer",$R662))+ISNUMBER(SEARCH("Aplicar",$R662))+ISNUMBER(SEARCH("Razonar",$R662))),0)</f>
        <v>0</v>
      </c>
      <c r="T662" s="121" cm="1">
        <f t="array" ref="T662">_xlfn.IFERROR(ISNUMBER(SEARCH("Aplicar",$R662))/(ISNUMBER(SEARCH("Conocer",$R662))+ISNUMBER(SEARCH("Aplicar",$R662))+ISNUMBER(SEARCH("Razonar",$R662))),0)</f>
        <v>0.5</v>
      </c>
      <c r="U662" s="121" cm="1">
        <f t="array" ref="U662">_xlfn.IFERROR(ISNUMBER(SEARCH("Razonar",$R662))/(ISNUMBER(SEARCH("Conocer",$R662))+ISNUMBER(SEARCH("Aplicar",$R662))+ISNUMBER(SEARCH("Razonar",$R662))),0)</f>
        <v>0.5</v>
      </c>
      <c r="V662" t="s" s="35">
        <v>87</v>
      </c>
      <c r="W662" t="s" s="35">
        <v>119</v>
      </c>
      <c r="X662" s="36" cm="1">
        <f t="array" ref="X662">IF(OR(_xlfn.IFERROR(INDEX('Datos - Catálogo TIMSS'!$I$5:$I$107,MATCH(K662,'Datos - Catálogo TIMSS'!$A$5:$A$107,0)),"No")="Sí",_xlfn.IFERROR(INDEX('Datos - Catálogo TIMSS'!$I$5:$I$107,MATCH(L662,'Datos - Catálogo TIMSS'!$A$5:$A$107,0)),"No")="Sí"),1,0)</f>
        <v>0</v>
      </c>
      <c r="Y662" s="36" cm="1">
        <f t="array" ref="Y662">IF(_xlfn.IFERROR(INDEX('Datos - Catálogo TIMSS'!$J$5:$J$107,MATCH(K662,'Datos - Catálogo TIMSS'!$A$5:$A$107,0)),"No")="Sí",1,0)</f>
        <v>0</v>
      </c>
      <c r="Z662" s="36" cm="1">
        <f t="array" ref="Z662">IF(_xlfn.IFERROR(INDEX('Datos - Catálogo TIMSS'!$J$5:$J$107,MATCH(L662,'Datos - Catálogo TIMSS'!$A$5:$A$107,0)),"No")="Sí",1,0)</f>
        <v>0</v>
      </c>
      <c r="AA662" t="s" s="35">
        <v>1306</v>
      </c>
      <c r="AB662" t="s" s="35">
        <v>1300</v>
      </c>
      <c r="AC662" t="str" s="39">
        <v>Mecánica y termodinámica</v>
      </c>
      <c r="AD662" t="s" s="35">
        <v>1900</v>
      </c>
      <c r="AE662" t="str" s="39" cm="1">
        <f t="array" ref="AE662">IF(AD662="","",IF(LEFT(AD662,1)="1","C1",IF(LEFT(AD662,1)="2","C2",IF(LEFT(AD662,1)="3","C3",""))))</f>
        <v>C3</v>
      </c>
      <c r="AF662" t="s" s="35">
        <v>1602</v>
      </c>
      <c r="AG662" t="s" s="35">
        <v>1607</v>
      </c>
      <c r="AH662" t="s" s="35">
        <v>1605</v>
      </c>
      <c r="AI662" t="s" s="35">
        <v>1629</v>
      </c>
      <c r="AJ662" t="s" s="35">
        <v>1633</v>
      </c>
      <c r="AK662" s="39"/>
      <c r="AL662" s="39"/>
      <c r="AM662" s="39"/>
      <c r="AN662" s="39"/>
      <c r="AO662" s="39"/>
      <c r="AP662" s="39"/>
      <c r="AQ662" s="39"/>
      <c r="AR662" s="39"/>
      <c r="AS662" s="39"/>
      <c r="AT662" s="39"/>
      <c r="AU662" s="39"/>
      <c r="AV662" s="39"/>
      <c r="AW662" t="str" s="39" cm="1">
        <f t="array" ref="AW662">AF662&amp;"; "&amp;AG662&amp;"; "&amp;AH662&amp;"; "&amp;AI662&amp;"; "&amp;AJ662</f>
        <v>E1; E3; E2; I3; I5</v>
      </c>
    </row>
    <row r="663" ht="13.65" customHeight="1">
      <c r="A663" t="s" s="35">
        <v>4998</v>
      </c>
      <c r="B663" s="36">
        <v>10</v>
      </c>
      <c r="C663" t="s" s="35">
        <v>222</v>
      </c>
      <c r="D663" t="s" s="35">
        <v>4800</v>
      </c>
      <c r="E663" t="s" s="35">
        <v>4801</v>
      </c>
      <c r="F663" s="36">
        <v>39</v>
      </c>
      <c r="G663" t="s" s="35">
        <v>4999</v>
      </c>
      <c r="H663" t="s" s="35">
        <v>5000</v>
      </c>
      <c r="I663" t="s" s="120">
        <v>5001</v>
      </c>
      <c r="J663" t="s" s="35">
        <v>1301</v>
      </c>
      <c r="K663" t="s" s="35">
        <v>1309</v>
      </c>
      <c r="L663" s="39"/>
      <c r="M663" t="str" s="39">
        <v>Mecánica y termodinámica</v>
      </c>
      <c r="N663" t="str" s="39">
        <v>Fuerzas y movimiento</v>
      </c>
      <c r="O663" t="str" s="39" cm="1">
        <f t="array" ref="O663">IF(L663="","",_xlfn.IFERROR(INDEX('Datos - Catálogo TIMSS'!$C$5:$C$107,MATCH(L663,'Datos - Catálogo TIMSS'!$A$5:$A$107,0)),"?"))</f>
      </c>
      <c r="P663" t="s" s="35">
        <v>254</v>
      </c>
      <c r="Q663" t="s" s="120">
        <v>5002</v>
      </c>
      <c r="R663" t="s" s="120">
        <v>5003</v>
      </c>
      <c r="S663" s="121" cm="1">
        <f t="array" ref="S663">_xlfn.IFERROR(ISNUMBER(SEARCH("Conocer",$R663))/(ISNUMBER(SEARCH("Conocer",$R663))+ISNUMBER(SEARCH("Aplicar",$R663))+ISNUMBER(SEARCH("Razonar",$R663))),0)</f>
        <v>0</v>
      </c>
      <c r="T663" s="121" cm="1">
        <f t="array" ref="T663">_xlfn.IFERROR(ISNUMBER(SEARCH("Aplicar",$R663))/(ISNUMBER(SEARCH("Conocer",$R663))+ISNUMBER(SEARCH("Aplicar",$R663))+ISNUMBER(SEARCH("Razonar",$R663))),0)</f>
        <v>0.5</v>
      </c>
      <c r="U663" s="121" cm="1">
        <f t="array" ref="U663">_xlfn.IFERROR(ISNUMBER(SEARCH("Razonar",$R663))/(ISNUMBER(SEARCH("Conocer",$R663))+ISNUMBER(SEARCH("Aplicar",$R663))+ISNUMBER(SEARCH("Razonar",$R663))),0)</f>
        <v>0.5</v>
      </c>
      <c r="V663" t="s" s="35">
        <v>87</v>
      </c>
      <c r="W663" t="s" s="35">
        <v>119</v>
      </c>
      <c r="X663" s="36" cm="1">
        <f t="array" ref="X663">IF(OR(_xlfn.IFERROR(INDEX('Datos - Catálogo TIMSS'!$I$5:$I$107,MATCH(K663,'Datos - Catálogo TIMSS'!$A$5:$A$107,0)),"No")="Sí",_xlfn.IFERROR(INDEX('Datos - Catálogo TIMSS'!$I$5:$I$107,MATCH(L663,'Datos - Catálogo TIMSS'!$A$5:$A$107,0)),"No")="Sí"),1,0)</f>
        <v>0</v>
      </c>
      <c r="Y663" s="36" cm="1">
        <f t="array" ref="Y663">IF(_xlfn.IFERROR(INDEX('Datos - Catálogo TIMSS'!$J$5:$J$107,MATCH(K663,'Datos - Catálogo TIMSS'!$A$5:$A$107,0)),"No")="Sí",1,0)</f>
        <v>0</v>
      </c>
      <c r="Z663" s="36" cm="1">
        <f t="array" ref="Z663">IF(_xlfn.IFERROR(INDEX('Datos - Catálogo TIMSS'!$J$5:$J$107,MATCH(L663,'Datos - Catálogo TIMSS'!$A$5:$A$107,0)),"No")="Sí",1,0)</f>
        <v>0</v>
      </c>
      <c r="AA663" t="s" s="35">
        <v>1309</v>
      </c>
      <c r="AB663" s="39"/>
      <c r="AC663" t="str" s="39">
        <v>Mecánica y termodinámica</v>
      </c>
      <c r="AD663" t="s" s="35">
        <v>1859</v>
      </c>
      <c r="AE663" t="str" s="39" cm="1">
        <f t="array" ref="AE663">IF(AD663="","",IF(LEFT(AD663,1)="1","C1",IF(LEFT(AD663,1)="2","C2",IF(LEFT(AD663,1)="3","C3",""))))</f>
        <v>C1</v>
      </c>
      <c r="AF663" t="s" s="35">
        <v>1602</v>
      </c>
      <c r="AG663" t="s" s="35">
        <v>1617</v>
      </c>
      <c r="AH663" t="s" s="35">
        <v>1605</v>
      </c>
      <c r="AI663" t="s" s="35">
        <v>1623</v>
      </c>
      <c r="AJ663" t="s" s="35">
        <v>1607</v>
      </c>
      <c r="AK663" s="39"/>
      <c r="AL663" s="39"/>
      <c r="AM663" s="39"/>
      <c r="AN663" s="39"/>
      <c r="AO663" s="39"/>
      <c r="AP663" s="39"/>
      <c r="AQ663" s="39"/>
      <c r="AR663" s="39"/>
      <c r="AS663" s="39"/>
      <c r="AT663" s="39"/>
      <c r="AU663" s="39"/>
      <c r="AV663" s="39"/>
      <c r="AW663" t="str" s="39" cm="1">
        <f t="array" ref="AW663">AF663&amp;"; "&amp;AG663&amp;"; "&amp;AH663&amp;"; "&amp;AI663&amp;"; "&amp;AJ663</f>
        <v>E1; D1; E2; D4; E3</v>
      </c>
    </row>
    <row r="664" ht="13.65" customHeight="1">
      <c r="A664" t="s" s="35">
        <v>5004</v>
      </c>
      <c r="B664" s="36">
        <v>10</v>
      </c>
      <c r="C664" t="s" s="35">
        <v>222</v>
      </c>
      <c r="D664" t="s" s="35">
        <v>4800</v>
      </c>
      <c r="E664" t="s" s="35">
        <v>4801</v>
      </c>
      <c r="F664" s="36">
        <v>40</v>
      </c>
      <c r="G664" t="s" s="35">
        <v>4999</v>
      </c>
      <c r="H664" t="s" s="35">
        <v>5005</v>
      </c>
      <c r="I664" t="s" s="120">
        <v>5006</v>
      </c>
      <c r="J664" t="s" s="35">
        <v>1301</v>
      </c>
      <c r="K664" t="s" s="35">
        <v>1309</v>
      </c>
      <c r="L664" s="39"/>
      <c r="M664" t="str" s="39">
        <v>Mecánica y termodinámica</v>
      </c>
      <c r="N664" t="str" s="39">
        <v>Fuerzas y movimiento</v>
      </c>
      <c r="O664" t="str" s="39" cm="1">
        <f t="array" ref="O664">IF(L664="","",_xlfn.IFERROR(INDEX('Datos - Catálogo TIMSS'!$C$5:$C$107,MATCH(L664,'Datos - Catálogo TIMSS'!$A$5:$A$107,0)),"?"))</f>
      </c>
      <c r="P664" t="s" s="35">
        <v>254</v>
      </c>
      <c r="Q664" t="s" s="120">
        <v>5005</v>
      </c>
      <c r="R664" t="s" s="120">
        <v>5007</v>
      </c>
      <c r="S664" s="121" cm="1">
        <f t="array" ref="S664">_xlfn.IFERROR(ISNUMBER(SEARCH("Conocer",$R664))/(ISNUMBER(SEARCH("Conocer",$R664))+ISNUMBER(SEARCH("Aplicar",$R664))+ISNUMBER(SEARCH("Razonar",$R664))),0)</f>
        <v>0</v>
      </c>
      <c r="T664" s="121" cm="1">
        <f t="array" ref="T664">_xlfn.IFERROR(ISNUMBER(SEARCH("Aplicar",$R664))/(ISNUMBER(SEARCH("Conocer",$R664))+ISNUMBER(SEARCH("Aplicar",$R664))+ISNUMBER(SEARCH("Razonar",$R664))),0)</f>
        <v>0.5</v>
      </c>
      <c r="U664" s="121" cm="1">
        <f t="array" ref="U664">_xlfn.IFERROR(ISNUMBER(SEARCH("Razonar",$R664))/(ISNUMBER(SEARCH("Conocer",$R664))+ISNUMBER(SEARCH("Aplicar",$R664))+ISNUMBER(SEARCH("Razonar",$R664))),0)</f>
        <v>0.5</v>
      </c>
      <c r="V664" t="s" s="35">
        <v>87</v>
      </c>
      <c r="W664" t="s" s="35">
        <v>119</v>
      </c>
      <c r="X664" s="36" cm="1">
        <f t="array" ref="X664">IF(OR(_xlfn.IFERROR(INDEX('Datos - Catálogo TIMSS'!$I$5:$I$107,MATCH(K664,'Datos - Catálogo TIMSS'!$A$5:$A$107,0)),"No")="Sí",_xlfn.IFERROR(INDEX('Datos - Catálogo TIMSS'!$I$5:$I$107,MATCH(L664,'Datos - Catálogo TIMSS'!$A$5:$A$107,0)),"No")="Sí"),1,0)</f>
        <v>0</v>
      </c>
      <c r="Y664" s="36" cm="1">
        <f t="array" ref="Y664">IF(_xlfn.IFERROR(INDEX('Datos - Catálogo TIMSS'!$J$5:$J$107,MATCH(K664,'Datos - Catálogo TIMSS'!$A$5:$A$107,0)),"No")="Sí",1,0)</f>
        <v>0</v>
      </c>
      <c r="Z664" s="36" cm="1">
        <f t="array" ref="Z664">IF(_xlfn.IFERROR(INDEX('Datos - Catálogo TIMSS'!$J$5:$J$107,MATCH(L664,'Datos - Catálogo TIMSS'!$A$5:$A$107,0)),"No")="Sí",1,0)</f>
        <v>0</v>
      </c>
      <c r="AA664" t="s" s="35">
        <v>1309</v>
      </c>
      <c r="AB664" s="39"/>
      <c r="AC664" t="str" s="39">
        <v>Mecánica y termodinámica</v>
      </c>
      <c r="AD664" t="s" s="35">
        <v>1859</v>
      </c>
      <c r="AE664" t="str" s="39" cm="1">
        <f t="array" ref="AE664">IF(AD664="","",IF(LEFT(AD664,1)="1","C1",IF(LEFT(AD664,1)="2","C2",IF(LEFT(AD664,1)="3","C3",""))))</f>
        <v>C1</v>
      </c>
      <c r="AF664" t="s" s="35">
        <v>1602</v>
      </c>
      <c r="AG664" t="s" s="35">
        <v>1607</v>
      </c>
      <c r="AH664" t="s" s="35">
        <v>1605</v>
      </c>
      <c r="AI664" t="s" s="35">
        <v>1623</v>
      </c>
      <c r="AJ664" t="s" s="35">
        <v>1607</v>
      </c>
      <c r="AK664" s="39"/>
      <c r="AL664" s="39"/>
      <c r="AM664" s="39"/>
      <c r="AN664" s="39"/>
      <c r="AO664" s="39"/>
      <c r="AP664" s="39"/>
      <c r="AQ664" s="39"/>
      <c r="AR664" s="39"/>
      <c r="AS664" s="39"/>
      <c r="AT664" s="39"/>
      <c r="AU664" s="39"/>
      <c r="AV664" s="39"/>
      <c r="AW664" t="str" s="39" cm="1">
        <f t="array" ref="AW664">AF664&amp;"; "&amp;AG664&amp;"; "&amp;AH664&amp;"; "&amp;AI664&amp;"; "&amp;AJ664</f>
        <v>E1; E3; E2; D4; E3</v>
      </c>
    </row>
    <row r="665" ht="13.65" customHeight="1">
      <c r="A665" t="s" s="35">
        <v>5008</v>
      </c>
      <c r="B665" s="36">
        <v>10</v>
      </c>
      <c r="C665" t="s" s="35">
        <v>222</v>
      </c>
      <c r="D665" t="s" s="35">
        <v>4800</v>
      </c>
      <c r="E665" t="s" s="35">
        <v>4801</v>
      </c>
      <c r="F665" s="36">
        <v>41</v>
      </c>
      <c r="G665" t="s" s="35">
        <v>4999</v>
      </c>
      <c r="H665" t="s" s="35">
        <v>5009</v>
      </c>
      <c r="I665" t="s" s="120">
        <v>5010</v>
      </c>
      <c r="J665" t="s" s="35">
        <v>1301</v>
      </c>
      <c r="K665" t="s" s="35">
        <v>1309</v>
      </c>
      <c r="L665" s="39"/>
      <c r="M665" t="str" s="39">
        <v>Mecánica y termodinámica</v>
      </c>
      <c r="N665" t="str" s="39">
        <v>Fuerzas y movimiento</v>
      </c>
      <c r="O665" t="str" s="39" cm="1">
        <f t="array" ref="O665">IF(L665="","",_xlfn.IFERROR(INDEX('Datos - Catálogo TIMSS'!$C$5:$C$107,MATCH(L665,'Datos - Catálogo TIMSS'!$A$5:$A$107,0)),"?"))</f>
      </c>
      <c r="P665" t="s" s="35">
        <v>254</v>
      </c>
      <c r="Q665" t="s" s="120">
        <v>5011</v>
      </c>
      <c r="R665" t="s" s="120">
        <v>5012</v>
      </c>
      <c r="S665" s="121" cm="1">
        <f t="array" ref="S665">_xlfn.IFERROR(ISNUMBER(SEARCH("Conocer",$R665))/(ISNUMBER(SEARCH("Conocer",$R665))+ISNUMBER(SEARCH("Aplicar",$R665))+ISNUMBER(SEARCH("Razonar",$R665))),0)</f>
        <v>0</v>
      </c>
      <c r="T665" s="121" cm="1">
        <f t="array" ref="T665">_xlfn.IFERROR(ISNUMBER(SEARCH("Aplicar",$R665))/(ISNUMBER(SEARCH("Conocer",$R665))+ISNUMBER(SEARCH("Aplicar",$R665))+ISNUMBER(SEARCH("Razonar",$R665))),0)</f>
        <v>0.5</v>
      </c>
      <c r="U665" s="121" cm="1">
        <f t="array" ref="U665">_xlfn.IFERROR(ISNUMBER(SEARCH("Razonar",$R665))/(ISNUMBER(SEARCH("Conocer",$R665))+ISNUMBER(SEARCH("Aplicar",$R665))+ISNUMBER(SEARCH("Razonar",$R665))),0)</f>
        <v>0.5</v>
      </c>
      <c r="V665" t="s" s="35">
        <v>87</v>
      </c>
      <c r="W665" t="s" s="35">
        <v>119</v>
      </c>
      <c r="X665" s="36" cm="1">
        <f t="array" ref="X665">IF(OR(_xlfn.IFERROR(INDEX('Datos - Catálogo TIMSS'!$I$5:$I$107,MATCH(K665,'Datos - Catálogo TIMSS'!$A$5:$A$107,0)),"No")="Sí",_xlfn.IFERROR(INDEX('Datos - Catálogo TIMSS'!$I$5:$I$107,MATCH(L665,'Datos - Catálogo TIMSS'!$A$5:$A$107,0)),"No")="Sí"),1,0)</f>
        <v>0</v>
      </c>
      <c r="Y665" s="36" cm="1">
        <f t="array" ref="Y665">IF(_xlfn.IFERROR(INDEX('Datos - Catálogo TIMSS'!$J$5:$J$107,MATCH(K665,'Datos - Catálogo TIMSS'!$A$5:$A$107,0)),"No")="Sí",1,0)</f>
        <v>0</v>
      </c>
      <c r="Z665" s="36" cm="1">
        <f t="array" ref="Z665">IF(_xlfn.IFERROR(INDEX('Datos - Catálogo TIMSS'!$J$5:$J$107,MATCH(L665,'Datos - Catálogo TIMSS'!$A$5:$A$107,0)),"No")="Sí",1,0)</f>
        <v>0</v>
      </c>
      <c r="AA665" t="s" s="35">
        <v>1309</v>
      </c>
      <c r="AB665" s="39"/>
      <c r="AC665" t="str" s="39">
        <v>Mecánica y termodinámica</v>
      </c>
      <c r="AD665" t="s" s="35">
        <v>1859</v>
      </c>
      <c r="AE665" t="str" s="39" cm="1">
        <f t="array" ref="AE665">IF(AD665="","",IF(LEFT(AD665,1)="1","C1",IF(LEFT(AD665,1)="2","C2",IF(LEFT(AD665,1)="3","C3",""))))</f>
        <v>C1</v>
      </c>
      <c r="AF665" t="s" s="35">
        <v>1602</v>
      </c>
      <c r="AG665" t="s" s="35">
        <v>1612</v>
      </c>
      <c r="AH665" t="s" s="35">
        <v>1609</v>
      </c>
      <c r="AI665" t="s" s="35">
        <v>1623</v>
      </c>
      <c r="AJ665" t="s" s="35">
        <v>1633</v>
      </c>
      <c r="AK665" s="39"/>
      <c r="AL665" s="39"/>
      <c r="AM665" s="39"/>
      <c r="AN665" s="39"/>
      <c r="AO665" s="39"/>
      <c r="AP665" s="39"/>
      <c r="AQ665" s="39"/>
      <c r="AR665" s="39"/>
      <c r="AS665" s="39"/>
      <c r="AT665" s="39"/>
      <c r="AU665" s="39"/>
      <c r="AV665" s="39"/>
      <c r="AW665" t="str" s="39" cm="1">
        <f t="array" ref="AW665">AF665&amp;"; "&amp;AG665&amp;"; "&amp;AH665&amp;"; "&amp;AI665&amp;"; "&amp;AJ665</f>
        <v>E1; E5; E4; D4; I5</v>
      </c>
    </row>
    <row r="666" ht="13.65" customHeight="1">
      <c r="A666" t="s" s="35">
        <v>5013</v>
      </c>
      <c r="B666" s="36">
        <v>10</v>
      </c>
      <c r="C666" t="s" s="35">
        <v>222</v>
      </c>
      <c r="D666" t="s" s="35">
        <v>4800</v>
      </c>
      <c r="E666" t="s" s="35">
        <v>4801</v>
      </c>
      <c r="F666" s="36">
        <v>42</v>
      </c>
      <c r="G666" t="s" s="35">
        <v>4999</v>
      </c>
      <c r="H666" t="s" s="35">
        <v>5009</v>
      </c>
      <c r="I666" t="s" s="120">
        <v>5014</v>
      </c>
      <c r="J666" t="s" s="35">
        <v>1301</v>
      </c>
      <c r="K666" t="s" s="35">
        <v>1309</v>
      </c>
      <c r="L666" t="s" s="35">
        <v>1306</v>
      </c>
      <c r="M666" t="str" s="39">
        <v>Mecánica y termodinámica</v>
      </c>
      <c r="N666" t="str" s="39">
        <v>Fuerzas y movimiento</v>
      </c>
      <c r="O666" t="str" s="39" cm="1">
        <f t="array" ref="O666">IF(L666="","",_xlfn.IFERROR(INDEX('Datos - Catálogo TIMSS'!$C$5:$C$107,MATCH(L666,'Datos - Catálogo TIMSS'!$A$5:$A$107,0)),"?"))</f>
        <v>Mecánica y termodinámica</v>
      </c>
      <c r="P666" t="s" s="35">
        <v>254</v>
      </c>
      <c r="Q666" t="s" s="120">
        <v>5015</v>
      </c>
      <c r="R666" t="s" s="120">
        <v>5016</v>
      </c>
      <c r="S666" s="121" cm="1">
        <f t="array" ref="S666">_xlfn.IFERROR(ISNUMBER(SEARCH("Conocer",$R666))/(ISNUMBER(SEARCH("Conocer",$R666))+ISNUMBER(SEARCH("Aplicar",$R666))+ISNUMBER(SEARCH("Razonar",$R666))),0)</f>
        <v>0</v>
      </c>
      <c r="T666" s="121" cm="1">
        <f t="array" ref="T666">_xlfn.IFERROR(ISNUMBER(SEARCH("Aplicar",$R666))/(ISNUMBER(SEARCH("Conocer",$R666))+ISNUMBER(SEARCH("Aplicar",$R666))+ISNUMBER(SEARCH("Razonar",$R666))),0)</f>
        <v>0.5</v>
      </c>
      <c r="U666" s="121" cm="1">
        <f t="array" ref="U666">_xlfn.IFERROR(ISNUMBER(SEARCH("Razonar",$R666))/(ISNUMBER(SEARCH("Conocer",$R666))+ISNUMBER(SEARCH("Aplicar",$R666))+ISNUMBER(SEARCH("Razonar",$R666))),0)</f>
        <v>0.5</v>
      </c>
      <c r="V666" t="s" s="35">
        <v>87</v>
      </c>
      <c r="W666" t="s" s="35">
        <v>119</v>
      </c>
      <c r="X666" s="36" cm="1">
        <f t="array" ref="X666">IF(OR(_xlfn.IFERROR(INDEX('Datos - Catálogo TIMSS'!$I$5:$I$107,MATCH(K666,'Datos - Catálogo TIMSS'!$A$5:$A$107,0)),"No")="Sí",_xlfn.IFERROR(INDEX('Datos - Catálogo TIMSS'!$I$5:$I$107,MATCH(L666,'Datos - Catálogo TIMSS'!$A$5:$A$107,0)),"No")="Sí"),1,0)</f>
        <v>0</v>
      </c>
      <c r="Y666" s="36" cm="1">
        <f t="array" ref="Y666">IF(_xlfn.IFERROR(INDEX('Datos - Catálogo TIMSS'!$J$5:$J$107,MATCH(K666,'Datos - Catálogo TIMSS'!$A$5:$A$107,0)),"No")="Sí",1,0)</f>
        <v>0</v>
      </c>
      <c r="Z666" s="36" cm="1">
        <f t="array" ref="Z666">IF(_xlfn.IFERROR(INDEX('Datos - Catálogo TIMSS'!$J$5:$J$107,MATCH(L666,'Datos - Catálogo TIMSS'!$A$5:$A$107,0)),"No")="Sí",1,0)</f>
        <v>0</v>
      </c>
      <c r="AA666" t="s" s="35">
        <v>1309</v>
      </c>
      <c r="AB666" t="s" s="35">
        <v>1306</v>
      </c>
      <c r="AC666" t="str" s="39">
        <v>Mecánica y termodinámica</v>
      </c>
      <c r="AD666" t="s" s="35">
        <v>1834</v>
      </c>
      <c r="AE666" t="str" s="39" cm="1">
        <f t="array" ref="AE666">IF(AD666="","",IF(LEFT(AD666,1)="1","C1",IF(LEFT(AD666,1)="2","C2",IF(LEFT(AD666,1)="3","C3",""))))</f>
        <v>C2</v>
      </c>
      <c r="AF666" t="s" s="35">
        <v>1615</v>
      </c>
      <c r="AG666" t="s" s="35">
        <v>1607</v>
      </c>
      <c r="AH666" t="s" s="35">
        <v>1609</v>
      </c>
      <c r="AI666" t="s" s="35">
        <v>1619</v>
      </c>
      <c r="AJ666" t="s" s="35">
        <v>1633</v>
      </c>
      <c r="AK666" s="39"/>
      <c r="AL666" s="39"/>
      <c r="AM666" s="39"/>
      <c r="AN666" s="39"/>
      <c r="AO666" s="39"/>
      <c r="AP666" s="39"/>
      <c r="AQ666" s="39"/>
      <c r="AR666" s="39"/>
      <c r="AS666" s="39"/>
      <c r="AT666" s="39"/>
      <c r="AU666" s="39"/>
      <c r="AV666" s="39"/>
      <c r="AW666" t="str" s="39" cm="1">
        <f t="array" ref="AW666">AF666&amp;"; "&amp;AG666&amp;"; "&amp;AH666&amp;"; "&amp;AI666&amp;"; "&amp;AJ666</f>
        <v>E6; E3; E4; D2; I5</v>
      </c>
    </row>
    <row r="667" ht="13.65" customHeight="1">
      <c r="A667" t="s" s="35">
        <v>5018</v>
      </c>
      <c r="B667" s="36">
        <v>10</v>
      </c>
      <c r="C667" t="s" s="35">
        <v>222</v>
      </c>
      <c r="D667" t="s" s="35">
        <v>4800</v>
      </c>
      <c r="E667" t="s" s="35">
        <v>4801</v>
      </c>
      <c r="F667" s="36">
        <v>43</v>
      </c>
      <c r="G667" t="s" s="35">
        <v>4999</v>
      </c>
      <c r="H667" t="s" s="35">
        <v>5019</v>
      </c>
      <c r="I667" t="s" s="120">
        <v>5020</v>
      </c>
      <c r="J667" t="s" s="35">
        <v>1301</v>
      </c>
      <c r="K667" t="s" s="35">
        <v>1312</v>
      </c>
      <c r="L667" t="s" s="35">
        <v>1309</v>
      </c>
      <c r="M667" t="str" s="39">
        <v>Mecánica y termodinámica</v>
      </c>
      <c r="N667" t="str" s="39">
        <v>Fuerzas y movimiento</v>
      </c>
      <c r="O667" t="str" s="39" cm="1">
        <f t="array" ref="O667">IF(L667="","",_xlfn.IFERROR(INDEX('Datos - Catálogo TIMSS'!$C$5:$C$107,MATCH(L667,'Datos - Catálogo TIMSS'!$A$5:$A$107,0)),"?"))</f>
        <v>Mecánica y termodinámica</v>
      </c>
      <c r="P667" t="s" s="35">
        <v>254</v>
      </c>
      <c r="Q667" t="s" s="120">
        <v>5021</v>
      </c>
      <c r="R667" t="s" s="120">
        <v>5022</v>
      </c>
      <c r="S667" s="121" cm="1">
        <f t="array" ref="S667">_xlfn.IFERROR(ISNUMBER(SEARCH("Conocer",$R667))/(ISNUMBER(SEARCH("Conocer",$R667))+ISNUMBER(SEARCH("Aplicar",$R667))+ISNUMBER(SEARCH("Razonar",$R667))),0)</f>
        <v>0</v>
      </c>
      <c r="T667" s="121" cm="1">
        <f t="array" ref="T667">_xlfn.IFERROR(ISNUMBER(SEARCH("Aplicar",$R667))/(ISNUMBER(SEARCH("Conocer",$R667))+ISNUMBER(SEARCH("Aplicar",$R667))+ISNUMBER(SEARCH("Razonar",$R667))),0)</f>
        <v>0.5</v>
      </c>
      <c r="U667" s="121" cm="1">
        <f t="array" ref="U667">_xlfn.IFERROR(ISNUMBER(SEARCH("Razonar",$R667))/(ISNUMBER(SEARCH("Conocer",$R667))+ISNUMBER(SEARCH("Aplicar",$R667))+ISNUMBER(SEARCH("Razonar",$R667))),0)</f>
        <v>0.5</v>
      </c>
      <c r="V667" t="s" s="35">
        <v>87</v>
      </c>
      <c r="W667" t="s" s="35">
        <v>119</v>
      </c>
      <c r="X667" s="36" cm="1">
        <f t="array" ref="X667">IF(OR(_xlfn.IFERROR(INDEX('Datos - Catálogo TIMSS'!$I$5:$I$107,MATCH(K667,'Datos - Catálogo TIMSS'!$A$5:$A$107,0)),"No")="Sí",_xlfn.IFERROR(INDEX('Datos - Catálogo TIMSS'!$I$5:$I$107,MATCH(L667,'Datos - Catálogo TIMSS'!$A$5:$A$107,0)),"No")="Sí"),1,0)</f>
        <v>0</v>
      </c>
      <c r="Y667" s="36" cm="1">
        <f t="array" ref="Y667">IF(_xlfn.IFERROR(INDEX('Datos - Catálogo TIMSS'!$J$5:$J$107,MATCH(K667,'Datos - Catálogo TIMSS'!$A$5:$A$107,0)),"No")="Sí",1,0)</f>
        <v>0</v>
      </c>
      <c r="Z667" s="36" cm="1">
        <f t="array" ref="Z667">IF(_xlfn.IFERROR(INDEX('Datos - Catálogo TIMSS'!$J$5:$J$107,MATCH(L667,'Datos - Catálogo TIMSS'!$A$5:$A$107,0)),"No")="Sí",1,0)</f>
        <v>0</v>
      </c>
      <c r="AA667" t="s" s="35">
        <v>1312</v>
      </c>
      <c r="AB667" t="s" s="35">
        <v>1309</v>
      </c>
      <c r="AC667" t="str" s="39">
        <v>Mecánica y termodinámica</v>
      </c>
      <c r="AD667" t="s" s="35">
        <v>1900</v>
      </c>
      <c r="AE667" t="str" s="39" cm="1">
        <f t="array" ref="AE667">IF(AD667="","",IF(LEFT(AD667,1)="1","C1",IF(LEFT(AD667,1)="2","C2",IF(LEFT(AD667,1)="3","C3",""))))</f>
        <v>C3</v>
      </c>
      <c r="AF667" t="s" s="35">
        <v>1615</v>
      </c>
      <c r="AG667" t="s" s="35">
        <v>1612</v>
      </c>
      <c r="AH667" t="s" s="35">
        <v>1609</v>
      </c>
      <c r="AI667" t="s" s="35">
        <v>1629</v>
      </c>
      <c r="AJ667" t="s" s="35">
        <v>1607</v>
      </c>
      <c r="AK667" s="39"/>
      <c r="AL667" s="39"/>
      <c r="AM667" s="39"/>
      <c r="AN667" s="39"/>
      <c r="AO667" s="39"/>
      <c r="AP667" s="39"/>
      <c r="AQ667" s="39"/>
      <c r="AR667" s="39"/>
      <c r="AS667" s="39"/>
      <c r="AT667" s="39"/>
      <c r="AU667" s="39"/>
      <c r="AV667" s="39"/>
      <c r="AW667" t="str" s="39" cm="1">
        <f t="array" ref="AW667">AF667&amp;"; "&amp;AG667&amp;"; "&amp;AH667&amp;"; "&amp;AI667&amp;"; "&amp;AJ667</f>
        <v>E6; E5; E4; I3; E3</v>
      </c>
    </row>
    <row r="668" ht="13.65" customHeight="1">
      <c r="A668" t="s" s="35">
        <v>5024</v>
      </c>
      <c r="B668" s="36">
        <v>10</v>
      </c>
      <c r="C668" t="s" s="35">
        <v>222</v>
      </c>
      <c r="D668" t="s" s="35">
        <v>4800</v>
      </c>
      <c r="E668" t="s" s="35">
        <v>4801</v>
      </c>
      <c r="F668" s="36">
        <v>44</v>
      </c>
      <c r="G668" t="s" s="35">
        <v>4999</v>
      </c>
      <c r="H668" t="s" s="35">
        <v>5019</v>
      </c>
      <c r="I668" t="s" s="120">
        <v>5025</v>
      </c>
      <c r="J668" t="s" s="35">
        <v>1301</v>
      </c>
      <c r="K668" t="s" s="35">
        <v>1309</v>
      </c>
      <c r="L668" t="s" s="35">
        <v>1312</v>
      </c>
      <c r="M668" t="str" s="39">
        <v>Mecánica y termodinámica</v>
      </c>
      <c r="N668" t="str" s="39">
        <v>Fuerzas y movimiento</v>
      </c>
      <c r="O668" t="str" s="39" cm="1">
        <f t="array" ref="O668">IF(L668="","",_xlfn.IFERROR(INDEX('Datos - Catálogo TIMSS'!$C$5:$C$107,MATCH(L668,'Datos - Catálogo TIMSS'!$A$5:$A$107,0)),"?"))</f>
        <v>Mecánica y termodinámica</v>
      </c>
      <c r="P668" t="s" s="35">
        <v>282</v>
      </c>
      <c r="Q668" t="s" s="120">
        <v>5026</v>
      </c>
      <c r="R668" t="s" s="120">
        <v>5027</v>
      </c>
      <c r="S668" s="121" cm="1">
        <f t="array" ref="S668">_xlfn.IFERROR(ISNUMBER(SEARCH("Conocer",$R668))/(ISNUMBER(SEARCH("Conocer",$R668))+ISNUMBER(SEARCH("Aplicar",$R668))+ISNUMBER(SEARCH("Razonar",$R668))),0)</f>
        <v>0</v>
      </c>
      <c r="T668" s="121" cm="1">
        <f t="array" ref="T668">_xlfn.IFERROR(ISNUMBER(SEARCH("Aplicar",$R668))/(ISNUMBER(SEARCH("Conocer",$R668))+ISNUMBER(SEARCH("Aplicar",$R668))+ISNUMBER(SEARCH("Razonar",$R668))),0)</f>
        <v>0.5</v>
      </c>
      <c r="U668" s="121" cm="1">
        <f t="array" ref="U668">_xlfn.IFERROR(ISNUMBER(SEARCH("Razonar",$R668))/(ISNUMBER(SEARCH("Conocer",$R668))+ISNUMBER(SEARCH("Aplicar",$R668))+ISNUMBER(SEARCH("Razonar",$R668))),0)</f>
        <v>0.5</v>
      </c>
      <c r="V668" t="s" s="35">
        <v>87</v>
      </c>
      <c r="W668" t="s" s="35">
        <v>119</v>
      </c>
      <c r="X668" s="36" cm="1">
        <f t="array" ref="X668">IF(OR(_xlfn.IFERROR(INDEX('Datos - Catálogo TIMSS'!$I$5:$I$107,MATCH(K668,'Datos - Catálogo TIMSS'!$A$5:$A$107,0)),"No")="Sí",_xlfn.IFERROR(INDEX('Datos - Catálogo TIMSS'!$I$5:$I$107,MATCH(L668,'Datos - Catálogo TIMSS'!$A$5:$A$107,0)),"No")="Sí"),1,0)</f>
        <v>0</v>
      </c>
      <c r="Y668" s="36" cm="1">
        <f t="array" ref="Y668">IF(_xlfn.IFERROR(INDEX('Datos - Catálogo TIMSS'!$J$5:$J$107,MATCH(K668,'Datos - Catálogo TIMSS'!$A$5:$A$107,0)),"No")="Sí",1,0)</f>
        <v>0</v>
      </c>
      <c r="Z668" s="36" cm="1">
        <f t="array" ref="Z668">IF(_xlfn.IFERROR(INDEX('Datos - Catálogo TIMSS'!$J$5:$J$107,MATCH(L668,'Datos - Catálogo TIMSS'!$A$5:$A$107,0)),"No")="Sí",1,0)</f>
        <v>0</v>
      </c>
      <c r="AA668" t="s" s="35">
        <v>1309</v>
      </c>
      <c r="AB668" t="s" s="35">
        <v>1312</v>
      </c>
      <c r="AC668" t="str" s="39">
        <v>Mecánica y termodinámica</v>
      </c>
      <c r="AD668" t="s" s="35">
        <v>1834</v>
      </c>
      <c r="AE668" t="str" s="39" cm="1">
        <f t="array" ref="AE668">IF(AD668="","",IF(LEFT(AD668,1)="1","C1",IF(LEFT(AD668,1)="2","C2",IF(LEFT(AD668,1)="3","C3",""))))</f>
        <v>C2</v>
      </c>
      <c r="AF668" t="s" s="35">
        <v>1602</v>
      </c>
      <c r="AG668" t="s" s="35">
        <v>1617</v>
      </c>
      <c r="AH668" t="s" s="35">
        <v>1609</v>
      </c>
      <c r="AI668" t="s" s="35">
        <v>1623</v>
      </c>
      <c r="AJ668" t="s" s="35">
        <v>1607</v>
      </c>
      <c r="AK668" s="39"/>
      <c r="AL668" s="39"/>
      <c r="AM668" s="39"/>
      <c r="AN668" s="39"/>
      <c r="AO668" s="39"/>
      <c r="AP668" s="39"/>
      <c r="AQ668" s="39"/>
      <c r="AR668" s="39"/>
      <c r="AS668" s="39"/>
      <c r="AT668" s="39"/>
      <c r="AU668" s="39"/>
      <c r="AV668" s="39"/>
      <c r="AW668" t="str" s="39" cm="1">
        <f t="array" ref="AW668">AF668&amp;"; "&amp;AG668&amp;"; "&amp;AH668&amp;"; "&amp;AI668&amp;"; "&amp;AJ668</f>
        <v>E1; D1; E4; D4; E3</v>
      </c>
    </row>
    <row r="669" ht="13.65" customHeight="1">
      <c r="A669" t="s" s="35">
        <v>5028</v>
      </c>
      <c r="B669" s="36">
        <v>10</v>
      </c>
      <c r="C669" t="s" s="35">
        <v>222</v>
      </c>
      <c r="D669" t="s" s="35">
        <v>4800</v>
      </c>
      <c r="E669" t="s" s="35">
        <v>4801</v>
      </c>
      <c r="F669" s="36">
        <v>45</v>
      </c>
      <c r="G669" t="s" s="35">
        <v>4999</v>
      </c>
      <c r="H669" t="s" s="35">
        <v>5029</v>
      </c>
      <c r="I669" t="s" s="120">
        <v>5030</v>
      </c>
      <c r="J669" t="s" s="35">
        <v>1301</v>
      </c>
      <c r="K669" t="s" s="35">
        <v>1309</v>
      </c>
      <c r="L669" s="39"/>
      <c r="M669" t="str" s="39">
        <v>Mecánica y termodinámica</v>
      </c>
      <c r="N669" t="str" s="39">
        <v>Fuerzas y movimiento</v>
      </c>
      <c r="O669" t="str" s="39" cm="1">
        <f t="array" ref="O669">IF(L669="","",_xlfn.IFERROR(INDEX('Datos - Catálogo TIMSS'!$C$5:$C$107,MATCH(L669,'Datos - Catálogo TIMSS'!$A$5:$A$107,0)),"?"))</f>
      </c>
      <c r="P669" t="s" s="35">
        <v>254</v>
      </c>
      <c r="Q669" t="s" s="120">
        <v>5031</v>
      </c>
      <c r="R669" t="s" s="120">
        <v>5032</v>
      </c>
      <c r="S669" s="121" cm="1">
        <f t="array" ref="S669">_xlfn.IFERROR(ISNUMBER(SEARCH("Conocer",$R669))/(ISNUMBER(SEARCH("Conocer",$R669))+ISNUMBER(SEARCH("Aplicar",$R669))+ISNUMBER(SEARCH("Razonar",$R669))),0)</f>
        <v>0</v>
      </c>
      <c r="T669" s="121" cm="1">
        <f t="array" ref="T669">_xlfn.IFERROR(ISNUMBER(SEARCH("Aplicar",$R669))/(ISNUMBER(SEARCH("Conocer",$R669))+ISNUMBER(SEARCH("Aplicar",$R669))+ISNUMBER(SEARCH("Razonar",$R669))),0)</f>
        <v>0.5</v>
      </c>
      <c r="U669" s="121" cm="1">
        <f t="array" ref="U669">_xlfn.IFERROR(ISNUMBER(SEARCH("Razonar",$R669))/(ISNUMBER(SEARCH("Conocer",$R669))+ISNUMBER(SEARCH("Aplicar",$R669))+ISNUMBER(SEARCH("Razonar",$R669))),0)</f>
        <v>0.5</v>
      </c>
      <c r="V669" t="s" s="35">
        <v>87</v>
      </c>
      <c r="W669" t="s" s="35">
        <v>119</v>
      </c>
      <c r="X669" s="36" cm="1">
        <f t="array" ref="X669">IF(OR(_xlfn.IFERROR(INDEX('Datos - Catálogo TIMSS'!$I$5:$I$107,MATCH(K669,'Datos - Catálogo TIMSS'!$A$5:$A$107,0)),"No")="Sí",_xlfn.IFERROR(INDEX('Datos - Catálogo TIMSS'!$I$5:$I$107,MATCH(L669,'Datos - Catálogo TIMSS'!$A$5:$A$107,0)),"No")="Sí"),1,0)</f>
        <v>0</v>
      </c>
      <c r="Y669" s="36" cm="1">
        <f t="array" ref="Y669">IF(_xlfn.IFERROR(INDEX('Datos - Catálogo TIMSS'!$J$5:$J$107,MATCH(K669,'Datos - Catálogo TIMSS'!$A$5:$A$107,0)),"No")="Sí",1,0)</f>
        <v>0</v>
      </c>
      <c r="Z669" s="36" cm="1">
        <f t="array" ref="Z669">IF(_xlfn.IFERROR(INDEX('Datos - Catálogo TIMSS'!$J$5:$J$107,MATCH(L669,'Datos - Catálogo TIMSS'!$A$5:$A$107,0)),"No")="Sí",1,0)</f>
        <v>0</v>
      </c>
      <c r="AA669" t="s" s="35">
        <v>1309</v>
      </c>
      <c r="AB669" s="39"/>
      <c r="AC669" t="str" s="39">
        <v>Mecánica y termodinámica</v>
      </c>
      <c r="AD669" t="s" s="35">
        <v>1859</v>
      </c>
      <c r="AE669" t="str" s="39" cm="1">
        <f t="array" ref="AE669">IF(AD669="","",IF(LEFT(AD669,1)="1","C1",IF(LEFT(AD669,1)="2","C2",IF(LEFT(AD669,1)="3","C3",""))))</f>
        <v>C1</v>
      </c>
      <c r="AF669" t="s" s="35">
        <v>1602</v>
      </c>
      <c r="AG669" t="s" s="35">
        <v>1607</v>
      </c>
      <c r="AH669" t="s" s="35">
        <v>1609</v>
      </c>
      <c r="AI669" t="s" s="35">
        <v>1621</v>
      </c>
      <c r="AJ669" t="s" s="35">
        <v>1607</v>
      </c>
      <c r="AK669" s="39"/>
      <c r="AL669" s="39"/>
      <c r="AM669" s="39"/>
      <c r="AN669" s="39"/>
      <c r="AO669" s="39"/>
      <c r="AP669" s="39"/>
      <c r="AQ669" s="39"/>
      <c r="AR669" s="39"/>
      <c r="AS669" s="39"/>
      <c r="AT669" s="39"/>
      <c r="AU669" s="39"/>
      <c r="AV669" s="39"/>
      <c r="AW669" t="str" s="39" cm="1">
        <f t="array" ref="AW669">AF669&amp;"; "&amp;AG669&amp;"; "&amp;AH669&amp;"; "&amp;AI669&amp;"; "&amp;AJ669</f>
        <v>E1; E3; E4; D3; E3</v>
      </c>
    </row>
    <row r="670" ht="13.65" customHeight="1">
      <c r="A670" t="s" s="35">
        <v>5033</v>
      </c>
      <c r="B670" s="36">
        <v>10</v>
      </c>
      <c r="C670" t="s" s="35">
        <v>222</v>
      </c>
      <c r="D670" t="s" s="35">
        <v>4800</v>
      </c>
      <c r="E670" t="s" s="35">
        <v>4801</v>
      </c>
      <c r="F670" s="36">
        <v>46</v>
      </c>
      <c r="G670" t="s" s="35">
        <v>5034</v>
      </c>
      <c r="H670" t="s" s="35">
        <v>5035</v>
      </c>
      <c r="I670" t="s" s="120">
        <v>5036</v>
      </c>
      <c r="J670" t="s" s="35">
        <v>1301</v>
      </c>
      <c r="K670" t="s" s="35">
        <v>1315</v>
      </c>
      <c r="L670" s="39"/>
      <c r="M670" t="str" s="39">
        <v>Mecánica y termodinámica</v>
      </c>
      <c r="N670" t="str" s="39">
        <v>Leyes de conservación</v>
      </c>
      <c r="O670" t="str" s="39" cm="1">
        <f t="array" ref="O670">IF(L670="","",_xlfn.IFERROR(INDEX('Datos - Catálogo TIMSS'!$C$5:$C$107,MATCH(L670,'Datos - Catálogo TIMSS'!$A$5:$A$107,0)),"?"))</f>
      </c>
      <c r="P670" t="s" s="35">
        <v>282</v>
      </c>
      <c r="Q670" t="s" s="120">
        <v>5038</v>
      </c>
      <c r="R670" t="s" s="120">
        <v>5039</v>
      </c>
      <c r="S670" s="121" cm="1">
        <f t="array" ref="S670">_xlfn.IFERROR(ISNUMBER(SEARCH("Conocer",$R670))/(ISNUMBER(SEARCH("Conocer",$R670))+ISNUMBER(SEARCH("Aplicar",$R670))+ISNUMBER(SEARCH("Razonar",$R670))),0)</f>
        <v>0</v>
      </c>
      <c r="T670" s="121" cm="1">
        <f t="array" ref="T670">_xlfn.IFERROR(ISNUMBER(SEARCH("Aplicar",$R670))/(ISNUMBER(SEARCH("Conocer",$R670))+ISNUMBER(SEARCH("Aplicar",$R670))+ISNUMBER(SEARCH("Razonar",$R670))),0)</f>
        <v>0.5</v>
      </c>
      <c r="U670" s="121" cm="1">
        <f t="array" ref="U670">_xlfn.IFERROR(ISNUMBER(SEARCH("Razonar",$R670))/(ISNUMBER(SEARCH("Conocer",$R670))+ISNUMBER(SEARCH("Aplicar",$R670))+ISNUMBER(SEARCH("Razonar",$R670))),0)</f>
        <v>0.5</v>
      </c>
      <c r="V670" t="s" s="35">
        <v>87</v>
      </c>
      <c r="W670" t="s" s="35">
        <v>119</v>
      </c>
      <c r="X670" s="36" cm="1">
        <f t="array" ref="X670">IF(OR(_xlfn.IFERROR(INDEX('Datos - Catálogo TIMSS'!$I$5:$I$107,MATCH(K670,'Datos - Catálogo TIMSS'!$A$5:$A$107,0)),"No")="Sí",_xlfn.IFERROR(INDEX('Datos - Catálogo TIMSS'!$I$5:$I$107,MATCH(L670,'Datos - Catálogo TIMSS'!$A$5:$A$107,0)),"No")="Sí"),1,0)</f>
        <v>0</v>
      </c>
      <c r="Y670" s="36" cm="1">
        <f t="array" ref="Y670">IF(_xlfn.IFERROR(INDEX('Datos - Catálogo TIMSS'!$J$5:$J$107,MATCH(K670,'Datos - Catálogo TIMSS'!$A$5:$A$107,0)),"No")="Sí",1,0)</f>
        <v>0</v>
      </c>
      <c r="Z670" s="36" cm="1">
        <f t="array" ref="Z670">IF(_xlfn.IFERROR(INDEX('Datos - Catálogo TIMSS'!$J$5:$J$107,MATCH(L670,'Datos - Catálogo TIMSS'!$A$5:$A$107,0)),"No")="Sí",1,0)</f>
        <v>0</v>
      </c>
      <c r="AA670" t="s" s="35">
        <v>1315</v>
      </c>
      <c r="AB670" s="39"/>
      <c r="AC670" t="str" s="39">
        <v>Mecánica y termodinámica</v>
      </c>
      <c r="AD670" t="s" s="35">
        <v>1859</v>
      </c>
      <c r="AE670" t="str" s="39" cm="1">
        <f t="array" ref="AE670">IF(AD670="","",IF(LEFT(AD670,1)="1","C1",IF(LEFT(AD670,1)="2","C2",IF(LEFT(AD670,1)="3","C3",""))))</f>
        <v>C1</v>
      </c>
      <c r="AF670" t="s" s="35">
        <v>1602</v>
      </c>
      <c r="AG670" t="s" s="35">
        <v>1607</v>
      </c>
      <c r="AH670" t="s" s="35">
        <v>1605</v>
      </c>
      <c r="AI670" t="s" s="35">
        <v>1623</v>
      </c>
      <c r="AJ670" t="s" s="35">
        <v>1607</v>
      </c>
      <c r="AK670" s="39"/>
      <c r="AL670" s="39"/>
      <c r="AM670" s="39"/>
      <c r="AN670" s="39"/>
      <c r="AO670" s="39"/>
      <c r="AP670" s="39"/>
      <c r="AQ670" s="39"/>
      <c r="AR670" s="39"/>
      <c r="AS670" s="39"/>
      <c r="AT670" s="39"/>
      <c r="AU670" s="39"/>
      <c r="AV670" s="39"/>
      <c r="AW670" t="str" s="39" cm="1">
        <f t="array" ref="AW670">AF670&amp;"; "&amp;AG670&amp;"; "&amp;AH670&amp;"; "&amp;AI670&amp;"; "&amp;AJ670</f>
        <v>E1; E3; E2; D4; E3</v>
      </c>
    </row>
    <row r="671" ht="13.65" customHeight="1">
      <c r="A671" t="s" s="35">
        <v>5040</v>
      </c>
      <c r="B671" s="36">
        <v>10</v>
      </c>
      <c r="C671" t="s" s="35">
        <v>222</v>
      </c>
      <c r="D671" t="s" s="35">
        <v>4800</v>
      </c>
      <c r="E671" t="s" s="35">
        <v>4801</v>
      </c>
      <c r="F671" s="36">
        <v>47</v>
      </c>
      <c r="G671" t="s" s="35">
        <v>5034</v>
      </c>
      <c r="H671" t="s" s="35">
        <v>5041</v>
      </c>
      <c r="I671" t="s" s="120">
        <v>5042</v>
      </c>
      <c r="J671" t="s" s="35">
        <v>1301</v>
      </c>
      <c r="K671" t="s" s="35">
        <v>1315</v>
      </c>
      <c r="L671" s="39"/>
      <c r="M671" t="str" s="39">
        <v>Mecánica y termodinámica</v>
      </c>
      <c r="N671" t="str" s="39">
        <v>Leyes de conservación</v>
      </c>
      <c r="O671" t="str" s="39" cm="1">
        <f t="array" ref="O671">IF(L671="","",_xlfn.IFERROR(INDEX('Datos - Catálogo TIMSS'!$C$5:$C$107,MATCH(L671,'Datos - Catálogo TIMSS'!$A$5:$A$107,0)),"?"))</f>
      </c>
      <c r="P671" t="s" s="35">
        <v>282</v>
      </c>
      <c r="Q671" t="s" s="120">
        <v>5043</v>
      </c>
      <c r="R671" t="s" s="120">
        <v>5044</v>
      </c>
      <c r="S671" s="121" cm="1">
        <f t="array" ref="S671">_xlfn.IFERROR(ISNUMBER(SEARCH("Conocer",$R671))/(ISNUMBER(SEARCH("Conocer",$R671))+ISNUMBER(SEARCH("Aplicar",$R671))+ISNUMBER(SEARCH("Razonar",$R671))),0)</f>
        <v>0</v>
      </c>
      <c r="T671" s="121" cm="1">
        <f t="array" ref="T671">_xlfn.IFERROR(ISNUMBER(SEARCH("Aplicar",$R671))/(ISNUMBER(SEARCH("Conocer",$R671))+ISNUMBER(SEARCH("Aplicar",$R671))+ISNUMBER(SEARCH("Razonar",$R671))),0)</f>
        <v>0.5</v>
      </c>
      <c r="U671" s="121" cm="1">
        <f t="array" ref="U671">_xlfn.IFERROR(ISNUMBER(SEARCH("Razonar",$R671))/(ISNUMBER(SEARCH("Conocer",$R671))+ISNUMBER(SEARCH("Aplicar",$R671))+ISNUMBER(SEARCH("Razonar",$R671))),0)</f>
        <v>0.5</v>
      </c>
      <c r="V671" t="s" s="35">
        <v>87</v>
      </c>
      <c r="W671" t="s" s="35">
        <v>119</v>
      </c>
      <c r="X671" s="36" cm="1">
        <f t="array" ref="X671">IF(OR(_xlfn.IFERROR(INDEX('Datos - Catálogo TIMSS'!$I$5:$I$107,MATCH(K671,'Datos - Catálogo TIMSS'!$A$5:$A$107,0)),"No")="Sí",_xlfn.IFERROR(INDEX('Datos - Catálogo TIMSS'!$I$5:$I$107,MATCH(L671,'Datos - Catálogo TIMSS'!$A$5:$A$107,0)),"No")="Sí"),1,0)</f>
        <v>0</v>
      </c>
      <c r="Y671" s="36" cm="1">
        <f t="array" ref="Y671">IF(_xlfn.IFERROR(INDEX('Datos - Catálogo TIMSS'!$J$5:$J$107,MATCH(K671,'Datos - Catálogo TIMSS'!$A$5:$A$107,0)),"No")="Sí",1,0)</f>
        <v>0</v>
      </c>
      <c r="Z671" s="36" cm="1">
        <f t="array" ref="Z671">IF(_xlfn.IFERROR(INDEX('Datos - Catálogo TIMSS'!$J$5:$J$107,MATCH(L671,'Datos - Catálogo TIMSS'!$A$5:$A$107,0)),"No")="Sí",1,0)</f>
        <v>0</v>
      </c>
      <c r="AA671" t="s" s="35">
        <v>1315</v>
      </c>
      <c r="AB671" s="39"/>
      <c r="AC671" t="str" s="39">
        <v>Mecánica y termodinámica</v>
      </c>
      <c r="AD671" t="s" s="35">
        <v>1859</v>
      </c>
      <c r="AE671" t="str" s="39" cm="1">
        <f t="array" ref="AE671">IF(AD671="","",IF(LEFT(AD671,1)="1","C1",IF(LEFT(AD671,1)="2","C2",IF(LEFT(AD671,1)="3","C3",""))))</f>
        <v>C1</v>
      </c>
      <c r="AF671" t="s" s="35">
        <v>1615</v>
      </c>
      <c r="AG671" t="s" s="35">
        <v>1612</v>
      </c>
      <c r="AH671" t="s" s="35">
        <v>1602</v>
      </c>
      <c r="AI671" t="s" s="35">
        <v>1623</v>
      </c>
      <c r="AJ671" t="s" s="35">
        <v>1633</v>
      </c>
      <c r="AK671" s="39"/>
      <c r="AL671" s="39"/>
      <c r="AM671" s="39"/>
      <c r="AN671" s="39"/>
      <c r="AO671" s="39"/>
      <c r="AP671" s="39"/>
      <c r="AQ671" s="39"/>
      <c r="AR671" s="39"/>
      <c r="AS671" s="39"/>
      <c r="AT671" s="39"/>
      <c r="AU671" s="39"/>
      <c r="AV671" s="39"/>
      <c r="AW671" t="str" s="39" cm="1">
        <f t="array" ref="AW671">AF671&amp;"; "&amp;AG671&amp;"; "&amp;AH671&amp;"; "&amp;AI671&amp;"; "&amp;AJ671</f>
        <v>E6; E5; E1; D4; I5</v>
      </c>
    </row>
    <row r="672" ht="13.65" customHeight="1">
      <c r="A672" t="s" s="35">
        <v>5046</v>
      </c>
      <c r="B672" s="36">
        <v>10</v>
      </c>
      <c r="C672" t="s" s="35">
        <v>222</v>
      </c>
      <c r="D672" t="s" s="35">
        <v>4800</v>
      </c>
      <c r="E672" t="s" s="35">
        <v>4801</v>
      </c>
      <c r="F672" s="36">
        <v>48</v>
      </c>
      <c r="G672" t="s" s="35">
        <v>5034</v>
      </c>
      <c r="H672" t="s" s="35">
        <v>5047</v>
      </c>
      <c r="I672" t="s" s="120">
        <v>5048</v>
      </c>
      <c r="J672" t="s" s="35">
        <v>1301</v>
      </c>
      <c r="K672" t="s" s="35">
        <v>1315</v>
      </c>
      <c r="L672" s="39"/>
      <c r="M672" t="str" s="39">
        <v>Mecánica y termodinámica</v>
      </c>
      <c r="N672" t="str" s="39">
        <v>Leyes de conservación</v>
      </c>
      <c r="O672" t="str" s="39" cm="1">
        <f t="array" ref="O672">IF(L672="","",_xlfn.IFERROR(INDEX('Datos - Catálogo TIMSS'!$C$5:$C$107,MATCH(L672,'Datos - Catálogo TIMSS'!$A$5:$A$107,0)),"?"))</f>
      </c>
      <c r="P672" t="s" s="35">
        <v>254</v>
      </c>
      <c r="Q672" t="s" s="120">
        <v>5049</v>
      </c>
      <c r="R672" t="s" s="120">
        <v>5050</v>
      </c>
      <c r="S672" s="121" cm="1">
        <f t="array" ref="S672">_xlfn.IFERROR(ISNUMBER(SEARCH("Conocer",$R672))/(ISNUMBER(SEARCH("Conocer",$R672))+ISNUMBER(SEARCH("Aplicar",$R672))+ISNUMBER(SEARCH("Razonar",$R672))),0)</f>
        <v>0</v>
      </c>
      <c r="T672" s="121" cm="1">
        <f t="array" ref="T672">_xlfn.IFERROR(ISNUMBER(SEARCH("Aplicar",$R672))/(ISNUMBER(SEARCH("Conocer",$R672))+ISNUMBER(SEARCH("Aplicar",$R672))+ISNUMBER(SEARCH("Razonar",$R672))),0)</f>
        <v>0.5</v>
      </c>
      <c r="U672" s="121" cm="1">
        <f t="array" ref="U672">_xlfn.IFERROR(ISNUMBER(SEARCH("Razonar",$R672))/(ISNUMBER(SEARCH("Conocer",$R672))+ISNUMBER(SEARCH("Aplicar",$R672))+ISNUMBER(SEARCH("Razonar",$R672))),0)</f>
        <v>0.5</v>
      </c>
      <c r="V672" t="s" s="35">
        <v>87</v>
      </c>
      <c r="W672" t="s" s="35">
        <v>119</v>
      </c>
      <c r="X672" s="36" cm="1">
        <f t="array" ref="X672">IF(OR(_xlfn.IFERROR(INDEX('Datos - Catálogo TIMSS'!$I$5:$I$107,MATCH(K672,'Datos - Catálogo TIMSS'!$A$5:$A$107,0)),"No")="Sí",_xlfn.IFERROR(INDEX('Datos - Catálogo TIMSS'!$I$5:$I$107,MATCH(L672,'Datos - Catálogo TIMSS'!$A$5:$A$107,0)),"No")="Sí"),1,0)</f>
        <v>0</v>
      </c>
      <c r="Y672" s="36" cm="1">
        <f t="array" ref="Y672">IF(_xlfn.IFERROR(INDEX('Datos - Catálogo TIMSS'!$J$5:$J$107,MATCH(K672,'Datos - Catálogo TIMSS'!$A$5:$A$107,0)),"No")="Sí",1,0)</f>
        <v>0</v>
      </c>
      <c r="Z672" s="36" cm="1">
        <f t="array" ref="Z672">IF(_xlfn.IFERROR(INDEX('Datos - Catálogo TIMSS'!$J$5:$J$107,MATCH(L672,'Datos - Catálogo TIMSS'!$A$5:$A$107,0)),"No")="Sí",1,0)</f>
        <v>0</v>
      </c>
      <c r="AA672" t="s" s="35">
        <v>1315</v>
      </c>
      <c r="AB672" s="39"/>
      <c r="AC672" t="str" s="39">
        <v>Mecánica y termodinámica</v>
      </c>
      <c r="AD672" t="s" s="35">
        <v>1859</v>
      </c>
      <c r="AE672" t="str" s="39" cm="1">
        <f t="array" ref="AE672">IF(AD672="","",IF(LEFT(AD672,1)="1","C1",IF(LEFT(AD672,1)="2","C2",IF(LEFT(AD672,1)="3","C3",""))))</f>
        <v>C1</v>
      </c>
      <c r="AF672" t="s" s="35">
        <v>1615</v>
      </c>
      <c r="AG672" t="s" s="35">
        <v>1617</v>
      </c>
      <c r="AH672" t="s" s="35">
        <v>1609</v>
      </c>
      <c r="AI672" t="s" s="35">
        <v>1619</v>
      </c>
      <c r="AJ672" t="s" s="35">
        <v>1607</v>
      </c>
      <c r="AK672" s="39"/>
      <c r="AL672" s="39"/>
      <c r="AM672" s="39"/>
      <c r="AN672" s="39"/>
      <c r="AO672" s="39"/>
      <c r="AP672" s="39"/>
      <c r="AQ672" s="39"/>
      <c r="AR672" s="39"/>
      <c r="AS672" s="39"/>
      <c r="AT672" s="39"/>
      <c r="AU672" s="39"/>
      <c r="AV672" s="39"/>
      <c r="AW672" t="str" s="39" cm="1">
        <f t="array" ref="AW672">AF672&amp;"; "&amp;AG672&amp;"; "&amp;AH672&amp;"; "&amp;AI672&amp;"; "&amp;AJ672</f>
        <v>E6; D1; E4; D2; E3</v>
      </c>
    </row>
    <row r="673" ht="13.65" customHeight="1">
      <c r="A673" t="s" s="35">
        <v>5052</v>
      </c>
      <c r="B673" s="36">
        <v>10</v>
      </c>
      <c r="C673" t="s" s="35">
        <v>222</v>
      </c>
      <c r="D673" t="s" s="35">
        <v>4800</v>
      </c>
      <c r="E673" t="s" s="35">
        <v>4801</v>
      </c>
      <c r="F673" s="36">
        <v>49</v>
      </c>
      <c r="G673" t="s" s="35">
        <v>5034</v>
      </c>
      <c r="H673" t="s" s="35">
        <v>5053</v>
      </c>
      <c r="I673" t="s" s="120">
        <v>5054</v>
      </c>
      <c r="J673" t="s" s="35">
        <v>1301</v>
      </c>
      <c r="K673" t="s" s="35">
        <v>1315</v>
      </c>
      <c r="L673" s="39"/>
      <c r="M673" t="str" s="39">
        <v>Mecánica y termodinámica</v>
      </c>
      <c r="N673" t="str" s="39">
        <v>Leyes de conservación</v>
      </c>
      <c r="O673" t="str" s="39" cm="1">
        <f t="array" ref="O673">IF(L673="","",_xlfn.IFERROR(INDEX('Datos - Catálogo TIMSS'!$C$5:$C$107,MATCH(L673,'Datos - Catálogo TIMSS'!$A$5:$A$107,0)),"?"))</f>
      </c>
      <c r="P673" t="s" s="35">
        <v>282</v>
      </c>
      <c r="Q673" t="s" s="120">
        <v>5053</v>
      </c>
      <c r="R673" t="s" s="120">
        <v>5055</v>
      </c>
      <c r="S673" s="121" cm="1">
        <f t="array" ref="S673">_xlfn.IFERROR(ISNUMBER(SEARCH("Conocer",$R673))/(ISNUMBER(SEARCH("Conocer",$R673))+ISNUMBER(SEARCH("Aplicar",$R673))+ISNUMBER(SEARCH("Razonar",$R673))),0)</f>
        <v>0.333333333333333</v>
      </c>
      <c r="T673" s="121" cm="1">
        <f t="array" ref="T673">_xlfn.IFERROR(ISNUMBER(SEARCH("Aplicar",$R673))/(ISNUMBER(SEARCH("Conocer",$R673))+ISNUMBER(SEARCH("Aplicar",$R673))+ISNUMBER(SEARCH("Razonar",$R673))),0)</f>
        <v>0.333333333333333</v>
      </c>
      <c r="U673" s="121" cm="1">
        <f t="array" ref="U673">_xlfn.IFERROR(ISNUMBER(SEARCH("Razonar",$R673))/(ISNUMBER(SEARCH("Conocer",$R673))+ISNUMBER(SEARCH("Aplicar",$R673))+ISNUMBER(SEARCH("Razonar",$R673))),0)</f>
        <v>0.333333333333333</v>
      </c>
      <c r="V673" t="s" s="35">
        <v>87</v>
      </c>
      <c r="W673" t="s" s="35">
        <v>119</v>
      </c>
      <c r="X673" s="36" cm="1">
        <f t="array" ref="X673">IF(OR(_xlfn.IFERROR(INDEX('Datos - Catálogo TIMSS'!$I$5:$I$107,MATCH(K673,'Datos - Catálogo TIMSS'!$A$5:$A$107,0)),"No")="Sí",_xlfn.IFERROR(INDEX('Datos - Catálogo TIMSS'!$I$5:$I$107,MATCH(L673,'Datos - Catálogo TIMSS'!$A$5:$A$107,0)),"No")="Sí"),1,0)</f>
        <v>0</v>
      </c>
      <c r="Y673" s="36" cm="1">
        <f t="array" ref="Y673">IF(_xlfn.IFERROR(INDEX('Datos - Catálogo TIMSS'!$J$5:$J$107,MATCH(K673,'Datos - Catálogo TIMSS'!$A$5:$A$107,0)),"No")="Sí",1,0)</f>
        <v>0</v>
      </c>
      <c r="Z673" s="36" cm="1">
        <f t="array" ref="Z673">IF(_xlfn.IFERROR(INDEX('Datos - Catálogo TIMSS'!$J$5:$J$107,MATCH(L673,'Datos - Catálogo TIMSS'!$A$5:$A$107,0)),"No")="Sí",1,0)</f>
        <v>0</v>
      </c>
      <c r="AA673" t="s" s="35">
        <v>1315</v>
      </c>
      <c r="AB673" s="39"/>
      <c r="AC673" t="str" s="39">
        <v>Mecánica y termodinámica</v>
      </c>
      <c r="AD673" t="s" s="35">
        <v>1834</v>
      </c>
      <c r="AE673" t="str" s="39" cm="1">
        <f t="array" ref="AE673">IF(AD673="","",IF(LEFT(AD673,1)="1","C1",IF(LEFT(AD673,1)="2","C2",IF(LEFT(AD673,1)="3","C3",""))))</f>
        <v>C2</v>
      </c>
      <c r="AF673" t="s" s="35">
        <v>1602</v>
      </c>
      <c r="AG673" t="s" s="35">
        <v>1617</v>
      </c>
      <c r="AH673" t="s" s="35">
        <v>1605</v>
      </c>
      <c r="AI673" t="s" s="35">
        <v>1623</v>
      </c>
      <c r="AJ673" t="s" s="35">
        <v>1607</v>
      </c>
      <c r="AK673" s="39"/>
      <c r="AL673" s="39"/>
      <c r="AM673" s="39"/>
      <c r="AN673" s="39"/>
      <c r="AO673" s="39"/>
      <c r="AP673" s="39"/>
      <c r="AQ673" s="39"/>
      <c r="AR673" s="39"/>
      <c r="AS673" s="39"/>
      <c r="AT673" s="39"/>
      <c r="AU673" s="39"/>
      <c r="AV673" s="39"/>
      <c r="AW673" t="str" s="39" cm="1">
        <f t="array" ref="AW673">AF673&amp;"; "&amp;AG673&amp;"; "&amp;AH673&amp;"; "&amp;AI673&amp;"; "&amp;AJ673</f>
        <v>E1; D1; E2; D4; E3</v>
      </c>
    </row>
    <row r="674" ht="13.65" customHeight="1">
      <c r="A674" t="s" s="35">
        <v>5056</v>
      </c>
      <c r="B674" s="36">
        <v>10</v>
      </c>
      <c r="C674" t="s" s="35">
        <v>222</v>
      </c>
      <c r="D674" t="s" s="35">
        <v>4800</v>
      </c>
      <c r="E674" t="s" s="35">
        <v>4801</v>
      </c>
      <c r="F674" s="36">
        <v>50</v>
      </c>
      <c r="G674" t="s" s="35">
        <v>5034</v>
      </c>
      <c r="H674" t="s" s="35">
        <v>1317</v>
      </c>
      <c r="I674" t="s" s="120">
        <v>5057</v>
      </c>
      <c r="J674" t="s" s="35">
        <v>1301</v>
      </c>
      <c r="K674" t="s" s="35">
        <v>1315</v>
      </c>
      <c r="L674" s="39"/>
      <c r="M674" t="str" s="39">
        <v>Mecánica y termodinámica</v>
      </c>
      <c r="N674" t="str" s="39">
        <v>Leyes de conservación</v>
      </c>
      <c r="O674" t="str" s="39" cm="1">
        <f t="array" ref="O674">IF(L674="","",_xlfn.IFERROR(INDEX('Datos - Catálogo TIMSS'!$C$5:$C$107,MATCH(L674,'Datos - Catálogo TIMSS'!$A$5:$A$107,0)),"?"))</f>
      </c>
      <c r="P674" t="s" s="35">
        <v>254</v>
      </c>
      <c r="Q674" t="s" s="120">
        <v>5058</v>
      </c>
      <c r="R674" t="s" s="120">
        <v>5059</v>
      </c>
      <c r="S674" s="121" cm="1">
        <f t="array" ref="S674">_xlfn.IFERROR(ISNUMBER(SEARCH("Conocer",$R674))/(ISNUMBER(SEARCH("Conocer",$R674))+ISNUMBER(SEARCH("Aplicar",$R674))+ISNUMBER(SEARCH("Razonar",$R674))),0)</f>
        <v>0</v>
      </c>
      <c r="T674" s="121" cm="1">
        <f t="array" ref="T674">_xlfn.IFERROR(ISNUMBER(SEARCH("Aplicar",$R674))/(ISNUMBER(SEARCH("Conocer",$R674))+ISNUMBER(SEARCH("Aplicar",$R674))+ISNUMBER(SEARCH("Razonar",$R674))),0)</f>
        <v>0.5</v>
      </c>
      <c r="U674" s="121" cm="1">
        <f t="array" ref="U674">_xlfn.IFERROR(ISNUMBER(SEARCH("Razonar",$R674))/(ISNUMBER(SEARCH("Conocer",$R674))+ISNUMBER(SEARCH("Aplicar",$R674))+ISNUMBER(SEARCH("Razonar",$R674))),0)</f>
        <v>0.5</v>
      </c>
      <c r="V674" t="s" s="35">
        <v>87</v>
      </c>
      <c r="W674" t="s" s="35">
        <v>119</v>
      </c>
      <c r="X674" s="36" cm="1">
        <f t="array" ref="X674">IF(OR(_xlfn.IFERROR(INDEX('Datos - Catálogo TIMSS'!$I$5:$I$107,MATCH(K674,'Datos - Catálogo TIMSS'!$A$5:$A$107,0)),"No")="Sí",_xlfn.IFERROR(INDEX('Datos - Catálogo TIMSS'!$I$5:$I$107,MATCH(L674,'Datos - Catálogo TIMSS'!$A$5:$A$107,0)),"No")="Sí"),1,0)</f>
        <v>0</v>
      </c>
      <c r="Y674" s="36" cm="1">
        <f t="array" ref="Y674">IF(_xlfn.IFERROR(INDEX('Datos - Catálogo TIMSS'!$J$5:$J$107,MATCH(K674,'Datos - Catálogo TIMSS'!$A$5:$A$107,0)),"No")="Sí",1,0)</f>
        <v>0</v>
      </c>
      <c r="Z674" s="36" cm="1">
        <f t="array" ref="Z674">IF(_xlfn.IFERROR(INDEX('Datos - Catálogo TIMSS'!$J$5:$J$107,MATCH(L674,'Datos - Catálogo TIMSS'!$A$5:$A$107,0)),"No")="Sí",1,0)</f>
        <v>0</v>
      </c>
      <c r="AA674" t="s" s="35">
        <v>1315</v>
      </c>
      <c r="AB674" s="39"/>
      <c r="AC674" t="str" s="39">
        <v>Mecánica y termodinámica</v>
      </c>
      <c r="AD674" t="s" s="35">
        <v>1859</v>
      </c>
      <c r="AE674" t="str" s="39" cm="1">
        <f t="array" ref="AE674">IF(AD674="","",IF(LEFT(AD674,1)="1","C1",IF(LEFT(AD674,1)="2","C2",IF(LEFT(AD674,1)="3","C3",""))))</f>
        <v>C1</v>
      </c>
      <c r="AF674" t="s" s="35">
        <v>1602</v>
      </c>
      <c r="AG674" t="s" s="35">
        <v>1607</v>
      </c>
      <c r="AH674" t="s" s="35">
        <v>1605</v>
      </c>
      <c r="AI674" t="s" s="35">
        <v>1623</v>
      </c>
      <c r="AJ674" t="s" s="35">
        <v>1621</v>
      </c>
      <c r="AK674" s="39"/>
      <c r="AL674" s="39"/>
      <c r="AM674" s="39"/>
      <c r="AN674" s="39"/>
      <c r="AO674" s="39"/>
      <c r="AP674" s="39"/>
      <c r="AQ674" s="39"/>
      <c r="AR674" s="39"/>
      <c r="AS674" s="39"/>
      <c r="AT674" s="39"/>
      <c r="AU674" s="39"/>
      <c r="AV674" s="39"/>
      <c r="AW674" t="str" s="39" cm="1">
        <f t="array" ref="AW674">AF674&amp;"; "&amp;AG674&amp;"; "&amp;AH674&amp;"; "&amp;AI674&amp;"; "&amp;AJ674</f>
        <v>E1; E3; E2; D4; D3</v>
      </c>
    </row>
    <row r="675" ht="13.65" customHeight="1">
      <c r="A675" t="s" s="35">
        <v>5060</v>
      </c>
      <c r="B675" s="36">
        <v>10</v>
      </c>
      <c r="C675" t="s" s="35">
        <v>222</v>
      </c>
      <c r="D675" t="s" s="35">
        <v>4800</v>
      </c>
      <c r="E675" t="s" s="35">
        <v>4801</v>
      </c>
      <c r="F675" s="36">
        <v>51</v>
      </c>
      <c r="G675" t="s" s="35">
        <v>5034</v>
      </c>
      <c r="H675" t="s" s="35">
        <v>1317</v>
      </c>
      <c r="I675" t="s" s="120">
        <v>5061</v>
      </c>
      <c r="J675" t="s" s="35">
        <v>1301</v>
      </c>
      <c r="K675" t="s" s="35">
        <v>1315</v>
      </c>
      <c r="L675" s="39"/>
      <c r="M675" t="str" s="39">
        <v>Mecánica y termodinámica</v>
      </c>
      <c r="N675" t="str" s="39">
        <v>Leyes de conservación</v>
      </c>
      <c r="O675" t="str" s="39" cm="1">
        <f t="array" ref="O675">IF(L675="","",_xlfn.IFERROR(INDEX('Datos - Catálogo TIMSS'!$C$5:$C$107,MATCH(L675,'Datos - Catálogo TIMSS'!$A$5:$A$107,0)),"?"))</f>
      </c>
      <c r="P675" t="s" s="35">
        <v>254</v>
      </c>
      <c r="Q675" t="s" s="120">
        <v>5062</v>
      </c>
      <c r="R675" t="s" s="120">
        <v>5063</v>
      </c>
      <c r="S675" s="121" cm="1">
        <f t="array" ref="S675">_xlfn.IFERROR(ISNUMBER(SEARCH("Conocer",$R675))/(ISNUMBER(SEARCH("Conocer",$R675))+ISNUMBER(SEARCH("Aplicar",$R675))+ISNUMBER(SEARCH("Razonar",$R675))),0)</f>
        <v>0</v>
      </c>
      <c r="T675" s="121" cm="1">
        <f t="array" ref="T675">_xlfn.IFERROR(ISNUMBER(SEARCH("Aplicar",$R675))/(ISNUMBER(SEARCH("Conocer",$R675))+ISNUMBER(SEARCH("Aplicar",$R675))+ISNUMBER(SEARCH("Razonar",$R675))),0)</f>
        <v>0.5</v>
      </c>
      <c r="U675" s="121" cm="1">
        <f t="array" ref="U675">_xlfn.IFERROR(ISNUMBER(SEARCH("Razonar",$R675))/(ISNUMBER(SEARCH("Conocer",$R675))+ISNUMBER(SEARCH("Aplicar",$R675))+ISNUMBER(SEARCH("Razonar",$R675))),0)</f>
        <v>0.5</v>
      </c>
      <c r="V675" t="s" s="35">
        <v>87</v>
      </c>
      <c r="W675" t="s" s="35">
        <v>119</v>
      </c>
      <c r="X675" s="36" cm="1">
        <f t="array" ref="X675">IF(OR(_xlfn.IFERROR(INDEX('Datos - Catálogo TIMSS'!$I$5:$I$107,MATCH(K675,'Datos - Catálogo TIMSS'!$A$5:$A$107,0)),"No")="Sí",_xlfn.IFERROR(INDEX('Datos - Catálogo TIMSS'!$I$5:$I$107,MATCH(L675,'Datos - Catálogo TIMSS'!$A$5:$A$107,0)),"No")="Sí"),1,0)</f>
        <v>0</v>
      </c>
      <c r="Y675" s="36" cm="1">
        <f t="array" ref="Y675">IF(_xlfn.IFERROR(INDEX('Datos - Catálogo TIMSS'!$J$5:$J$107,MATCH(K675,'Datos - Catálogo TIMSS'!$A$5:$A$107,0)),"No")="Sí",1,0)</f>
        <v>0</v>
      </c>
      <c r="Z675" s="36" cm="1">
        <f t="array" ref="Z675">IF(_xlfn.IFERROR(INDEX('Datos - Catálogo TIMSS'!$J$5:$J$107,MATCH(L675,'Datos - Catálogo TIMSS'!$A$5:$A$107,0)),"No")="Sí",1,0)</f>
        <v>0</v>
      </c>
      <c r="AA675" t="s" s="35">
        <v>1315</v>
      </c>
      <c r="AB675" s="39"/>
      <c r="AC675" t="str" s="39">
        <v>Mecánica y termodinámica</v>
      </c>
      <c r="AD675" t="s" s="35">
        <v>1834</v>
      </c>
      <c r="AE675" t="str" s="39" cm="1">
        <f t="array" ref="AE675">IF(AD675="","",IF(LEFT(AD675,1)="1","C1",IF(LEFT(AD675,1)="2","C2",IF(LEFT(AD675,1)="3","C3",""))))</f>
        <v>C2</v>
      </c>
      <c r="AF675" t="s" s="35">
        <v>1615</v>
      </c>
      <c r="AG675" t="s" s="35">
        <v>1617</v>
      </c>
      <c r="AH675" t="s" s="35">
        <v>1602</v>
      </c>
      <c r="AI675" t="s" s="35">
        <v>1623</v>
      </c>
      <c r="AJ675" t="s" s="35">
        <v>1607</v>
      </c>
      <c r="AK675" s="39"/>
      <c r="AL675" s="39"/>
      <c r="AM675" s="39"/>
      <c r="AN675" s="39"/>
      <c r="AO675" s="39"/>
      <c r="AP675" s="39"/>
      <c r="AQ675" s="39"/>
      <c r="AR675" s="39"/>
      <c r="AS675" s="39"/>
      <c r="AT675" s="39"/>
      <c r="AU675" s="39"/>
      <c r="AV675" s="39"/>
      <c r="AW675" t="str" s="39" cm="1">
        <f t="array" ref="AW675">AF675&amp;"; "&amp;AG675&amp;"; "&amp;AH675&amp;"; "&amp;AI675&amp;"; "&amp;AJ675</f>
        <v>E6; D1; E1; D4; E3</v>
      </c>
    </row>
    <row r="676" ht="13.65" customHeight="1">
      <c r="A676" t="s" s="35">
        <v>5065</v>
      </c>
      <c r="B676" s="36">
        <v>10</v>
      </c>
      <c r="C676" t="s" s="35">
        <v>222</v>
      </c>
      <c r="D676" t="s" s="35">
        <v>4800</v>
      </c>
      <c r="E676" t="s" s="35">
        <v>4801</v>
      </c>
      <c r="F676" s="36">
        <v>52</v>
      </c>
      <c r="G676" t="s" s="35">
        <v>5034</v>
      </c>
      <c r="H676" t="s" s="35">
        <v>5066</v>
      </c>
      <c r="I676" t="s" s="120">
        <v>5067</v>
      </c>
      <c r="J676" t="s" s="35">
        <v>1301</v>
      </c>
      <c r="K676" t="s" s="35">
        <v>1315</v>
      </c>
      <c r="L676" s="39"/>
      <c r="M676" t="str" s="39">
        <v>Mecánica y termodinámica</v>
      </c>
      <c r="N676" t="str" s="39">
        <v>Leyes de conservación</v>
      </c>
      <c r="O676" t="str" s="39" cm="1">
        <f t="array" ref="O676">IF(L676="","",_xlfn.IFERROR(INDEX('Datos - Catálogo TIMSS'!$C$5:$C$107,MATCH(L676,'Datos - Catálogo TIMSS'!$A$5:$A$107,0)),"?"))</f>
      </c>
      <c r="P676" t="s" s="35">
        <v>282</v>
      </c>
      <c r="Q676" t="s" s="120">
        <v>5068</v>
      </c>
      <c r="R676" t="s" s="120">
        <v>5069</v>
      </c>
      <c r="S676" s="121" cm="1">
        <f t="array" ref="S676">_xlfn.IFERROR(ISNUMBER(SEARCH("Conocer",$R676))/(ISNUMBER(SEARCH("Conocer",$R676))+ISNUMBER(SEARCH("Aplicar",$R676))+ISNUMBER(SEARCH("Razonar",$R676))),0)</f>
        <v>0</v>
      </c>
      <c r="T676" s="121" cm="1">
        <f t="array" ref="T676">_xlfn.IFERROR(ISNUMBER(SEARCH("Aplicar",$R676))/(ISNUMBER(SEARCH("Conocer",$R676))+ISNUMBER(SEARCH("Aplicar",$R676))+ISNUMBER(SEARCH("Razonar",$R676))),0)</f>
        <v>0.5</v>
      </c>
      <c r="U676" s="121" cm="1">
        <f t="array" ref="U676">_xlfn.IFERROR(ISNUMBER(SEARCH("Razonar",$R676))/(ISNUMBER(SEARCH("Conocer",$R676))+ISNUMBER(SEARCH("Aplicar",$R676))+ISNUMBER(SEARCH("Razonar",$R676))),0)</f>
        <v>0.5</v>
      </c>
      <c r="V676" t="s" s="35">
        <v>87</v>
      </c>
      <c r="W676" t="s" s="35">
        <v>119</v>
      </c>
      <c r="X676" s="36" cm="1">
        <f t="array" ref="X676">IF(OR(_xlfn.IFERROR(INDEX('Datos - Catálogo TIMSS'!$I$5:$I$107,MATCH(K676,'Datos - Catálogo TIMSS'!$A$5:$A$107,0)),"No")="Sí",_xlfn.IFERROR(INDEX('Datos - Catálogo TIMSS'!$I$5:$I$107,MATCH(L676,'Datos - Catálogo TIMSS'!$A$5:$A$107,0)),"No")="Sí"),1,0)</f>
        <v>0</v>
      </c>
      <c r="Y676" s="36" cm="1">
        <f t="array" ref="Y676">IF(_xlfn.IFERROR(INDEX('Datos - Catálogo TIMSS'!$J$5:$J$107,MATCH(K676,'Datos - Catálogo TIMSS'!$A$5:$A$107,0)),"No")="Sí",1,0)</f>
        <v>0</v>
      </c>
      <c r="Z676" s="36" cm="1">
        <f t="array" ref="Z676">IF(_xlfn.IFERROR(INDEX('Datos - Catálogo TIMSS'!$J$5:$J$107,MATCH(L676,'Datos - Catálogo TIMSS'!$A$5:$A$107,0)),"No")="Sí",1,0)</f>
        <v>0</v>
      </c>
      <c r="AA676" t="s" s="35">
        <v>1315</v>
      </c>
      <c r="AB676" s="39"/>
      <c r="AC676" t="str" s="39">
        <v>Mecánica y termodinámica</v>
      </c>
      <c r="AD676" t="s" s="35">
        <v>1859</v>
      </c>
      <c r="AE676" t="str" s="39" cm="1">
        <f t="array" ref="AE676">IF(AD676="","",IF(LEFT(AD676,1)="1","C1",IF(LEFT(AD676,1)="2","C2",IF(LEFT(AD676,1)="3","C3",""))))</f>
        <v>C1</v>
      </c>
      <c r="AF676" t="s" s="35">
        <v>1602</v>
      </c>
      <c r="AG676" t="s" s="35">
        <v>1612</v>
      </c>
      <c r="AH676" t="s" s="35">
        <v>1602</v>
      </c>
      <c r="AI676" t="s" s="35">
        <v>1623</v>
      </c>
      <c r="AJ676" t="s" s="35">
        <v>1615</v>
      </c>
      <c r="AK676" s="39"/>
      <c r="AL676" s="39"/>
      <c r="AM676" s="39"/>
      <c r="AN676" s="39"/>
      <c r="AO676" s="39"/>
      <c r="AP676" s="39"/>
      <c r="AQ676" s="39"/>
      <c r="AR676" s="39"/>
      <c r="AS676" s="39"/>
      <c r="AT676" s="39"/>
      <c r="AU676" s="39"/>
      <c r="AV676" s="39"/>
      <c r="AW676" t="str" s="39" cm="1">
        <f t="array" ref="AW676">AF676&amp;"; "&amp;AG676&amp;"; "&amp;AH676&amp;"; "&amp;AI676&amp;"; "&amp;AJ676</f>
        <v>E1; E5; E1; D4; E6</v>
      </c>
    </row>
    <row r="677" ht="13.65" customHeight="1">
      <c r="A677" t="s" s="35">
        <v>5070</v>
      </c>
      <c r="B677" s="36">
        <v>10</v>
      </c>
      <c r="C677" t="s" s="35">
        <v>222</v>
      </c>
      <c r="D677" t="s" s="35">
        <v>4800</v>
      </c>
      <c r="E677" t="s" s="35">
        <v>4801</v>
      </c>
      <c r="F677" s="36">
        <v>53</v>
      </c>
      <c r="G677" t="s" s="35">
        <v>5034</v>
      </c>
      <c r="H677" t="s" s="35">
        <v>5066</v>
      </c>
      <c r="I677" t="s" s="120">
        <v>5071</v>
      </c>
      <c r="J677" t="s" s="35">
        <v>1301</v>
      </c>
      <c r="K677" t="s" s="35">
        <v>1315</v>
      </c>
      <c r="L677" s="39"/>
      <c r="M677" t="str" s="39">
        <v>Mecánica y termodinámica</v>
      </c>
      <c r="N677" t="str" s="39">
        <v>Leyes de conservación</v>
      </c>
      <c r="O677" t="str" s="39" cm="1">
        <f t="array" ref="O677">IF(L677="","",_xlfn.IFERROR(INDEX('Datos - Catálogo TIMSS'!$C$5:$C$107,MATCH(L677,'Datos - Catálogo TIMSS'!$A$5:$A$107,0)),"?"))</f>
      </c>
      <c r="P677" t="s" s="35">
        <v>282</v>
      </c>
      <c r="Q677" t="s" s="120">
        <v>5072</v>
      </c>
      <c r="R677" t="s" s="120">
        <v>5073</v>
      </c>
      <c r="S677" s="121" cm="1">
        <f t="array" ref="S677">_xlfn.IFERROR(ISNUMBER(SEARCH("Conocer",$R677))/(ISNUMBER(SEARCH("Conocer",$R677))+ISNUMBER(SEARCH("Aplicar",$R677))+ISNUMBER(SEARCH("Razonar",$R677))),0)</f>
        <v>0.333333333333333</v>
      </c>
      <c r="T677" s="121" cm="1">
        <f t="array" ref="T677">_xlfn.IFERROR(ISNUMBER(SEARCH("Aplicar",$R677))/(ISNUMBER(SEARCH("Conocer",$R677))+ISNUMBER(SEARCH("Aplicar",$R677))+ISNUMBER(SEARCH("Razonar",$R677))),0)</f>
        <v>0.333333333333333</v>
      </c>
      <c r="U677" s="121" cm="1">
        <f t="array" ref="U677">_xlfn.IFERROR(ISNUMBER(SEARCH("Razonar",$R677))/(ISNUMBER(SEARCH("Conocer",$R677))+ISNUMBER(SEARCH("Aplicar",$R677))+ISNUMBER(SEARCH("Razonar",$R677))),0)</f>
        <v>0.333333333333333</v>
      </c>
      <c r="V677" t="s" s="35">
        <v>87</v>
      </c>
      <c r="W677" t="s" s="35">
        <v>119</v>
      </c>
      <c r="X677" s="36" cm="1">
        <f t="array" ref="X677">IF(OR(_xlfn.IFERROR(INDEX('Datos - Catálogo TIMSS'!$I$5:$I$107,MATCH(K677,'Datos - Catálogo TIMSS'!$A$5:$A$107,0)),"No")="Sí",_xlfn.IFERROR(INDEX('Datos - Catálogo TIMSS'!$I$5:$I$107,MATCH(L677,'Datos - Catálogo TIMSS'!$A$5:$A$107,0)),"No")="Sí"),1,0)</f>
        <v>0</v>
      </c>
      <c r="Y677" s="36" cm="1">
        <f t="array" ref="Y677">IF(_xlfn.IFERROR(INDEX('Datos - Catálogo TIMSS'!$J$5:$J$107,MATCH(K677,'Datos - Catálogo TIMSS'!$A$5:$A$107,0)),"No")="Sí",1,0)</f>
        <v>0</v>
      </c>
      <c r="Z677" s="36" cm="1">
        <f t="array" ref="Z677">IF(_xlfn.IFERROR(INDEX('Datos - Catálogo TIMSS'!$J$5:$J$107,MATCH(L677,'Datos - Catálogo TIMSS'!$A$5:$A$107,0)),"No")="Sí",1,0)</f>
        <v>0</v>
      </c>
      <c r="AA677" t="s" s="35">
        <v>1315</v>
      </c>
      <c r="AB677" s="39"/>
      <c r="AC677" t="str" s="39">
        <v>Mecánica y termodinámica</v>
      </c>
      <c r="AD677" t="s" s="35">
        <v>1900</v>
      </c>
      <c r="AE677" t="str" s="39" cm="1">
        <f t="array" ref="AE677">IF(AD677="","",IF(LEFT(AD677,1)="1","C1",IF(LEFT(AD677,1)="2","C2",IF(LEFT(AD677,1)="3","C3",""))))</f>
        <v>C3</v>
      </c>
      <c r="AF677" t="s" s="35">
        <v>1615</v>
      </c>
      <c r="AG677" t="s" s="35">
        <v>1607</v>
      </c>
      <c r="AH677" t="s" s="35">
        <v>1609</v>
      </c>
      <c r="AI677" t="s" s="35">
        <v>1629</v>
      </c>
      <c r="AJ677" t="s" s="35">
        <v>1633</v>
      </c>
      <c r="AK677" s="39"/>
      <c r="AL677" s="39"/>
      <c r="AM677" s="39"/>
      <c r="AN677" s="39"/>
      <c r="AO677" s="39"/>
      <c r="AP677" s="39"/>
      <c r="AQ677" s="39"/>
      <c r="AR677" s="39"/>
      <c r="AS677" s="39"/>
      <c r="AT677" s="39"/>
      <c r="AU677" s="39"/>
      <c r="AV677" s="39"/>
      <c r="AW677" t="str" s="39" cm="1">
        <f t="array" ref="AW677">AF677&amp;"; "&amp;AG677&amp;"; "&amp;AH677&amp;"; "&amp;AI677&amp;"; "&amp;AJ677</f>
        <v>E6; E3; E4; I3; I5</v>
      </c>
    </row>
    <row r="678" ht="13.65" customHeight="1">
      <c r="A678" t="s" s="35">
        <v>5075</v>
      </c>
      <c r="B678" s="36">
        <v>10</v>
      </c>
      <c r="C678" t="s" s="35">
        <v>222</v>
      </c>
      <c r="D678" t="s" s="35">
        <v>4800</v>
      </c>
      <c r="E678" t="s" s="35">
        <v>4801</v>
      </c>
      <c r="F678" s="36">
        <v>54</v>
      </c>
      <c r="G678" t="s" s="35">
        <v>5034</v>
      </c>
      <c r="H678" t="s" s="35">
        <v>5076</v>
      </c>
      <c r="I678" t="s" s="120">
        <v>5077</v>
      </c>
      <c r="J678" t="s" s="35">
        <v>1301</v>
      </c>
      <c r="K678" t="s" s="35">
        <v>1315</v>
      </c>
      <c r="L678" t="s" s="35">
        <v>1306</v>
      </c>
      <c r="M678" t="str" s="39">
        <v>Mecánica y termodinámica</v>
      </c>
      <c r="N678" t="str" s="39">
        <v>Leyes de conservación</v>
      </c>
      <c r="O678" t="str" s="39" cm="1">
        <f t="array" ref="O678">IF(L678="","",_xlfn.IFERROR(INDEX('Datos - Catálogo TIMSS'!$C$5:$C$107,MATCH(L678,'Datos - Catálogo TIMSS'!$A$5:$A$107,0)),"?"))</f>
        <v>Mecánica y termodinámica</v>
      </c>
      <c r="P678" t="s" s="35">
        <v>282</v>
      </c>
      <c r="Q678" t="s" s="120">
        <v>5078</v>
      </c>
      <c r="R678" t="s" s="120">
        <v>5079</v>
      </c>
      <c r="S678" s="121" cm="1">
        <f t="array" ref="S678">_xlfn.IFERROR(ISNUMBER(SEARCH("Conocer",$R678))/(ISNUMBER(SEARCH("Conocer",$R678))+ISNUMBER(SEARCH("Aplicar",$R678))+ISNUMBER(SEARCH("Razonar",$R678))),0)</f>
        <v>0</v>
      </c>
      <c r="T678" s="121" cm="1">
        <f t="array" ref="T678">_xlfn.IFERROR(ISNUMBER(SEARCH("Aplicar",$R678))/(ISNUMBER(SEARCH("Conocer",$R678))+ISNUMBER(SEARCH("Aplicar",$R678))+ISNUMBER(SEARCH("Razonar",$R678))),0)</f>
        <v>0.5</v>
      </c>
      <c r="U678" s="121" cm="1">
        <f t="array" ref="U678">_xlfn.IFERROR(ISNUMBER(SEARCH("Razonar",$R678))/(ISNUMBER(SEARCH("Conocer",$R678))+ISNUMBER(SEARCH("Aplicar",$R678))+ISNUMBER(SEARCH("Razonar",$R678))),0)</f>
        <v>0.5</v>
      </c>
      <c r="V678" t="s" s="35">
        <v>87</v>
      </c>
      <c r="W678" t="s" s="35">
        <v>119</v>
      </c>
      <c r="X678" s="36" cm="1">
        <f t="array" ref="X678">IF(OR(_xlfn.IFERROR(INDEX('Datos - Catálogo TIMSS'!$I$5:$I$107,MATCH(K678,'Datos - Catálogo TIMSS'!$A$5:$A$107,0)),"No")="Sí",_xlfn.IFERROR(INDEX('Datos - Catálogo TIMSS'!$I$5:$I$107,MATCH(L678,'Datos - Catálogo TIMSS'!$A$5:$A$107,0)),"No")="Sí"),1,0)</f>
        <v>0</v>
      </c>
      <c r="Y678" s="36" cm="1">
        <f t="array" ref="Y678">IF(_xlfn.IFERROR(INDEX('Datos - Catálogo TIMSS'!$J$5:$J$107,MATCH(K678,'Datos - Catálogo TIMSS'!$A$5:$A$107,0)),"No")="Sí",1,0)</f>
        <v>0</v>
      </c>
      <c r="Z678" s="36" cm="1">
        <f t="array" ref="Z678">IF(_xlfn.IFERROR(INDEX('Datos - Catálogo TIMSS'!$J$5:$J$107,MATCH(L678,'Datos - Catálogo TIMSS'!$A$5:$A$107,0)),"No")="Sí",1,0)</f>
        <v>0</v>
      </c>
      <c r="AA678" t="s" s="35">
        <v>1315</v>
      </c>
      <c r="AB678" t="s" s="35">
        <v>1306</v>
      </c>
      <c r="AC678" t="str" s="39">
        <v>Mecánica y termodinámica</v>
      </c>
      <c r="AD678" t="s" s="35">
        <v>1834</v>
      </c>
      <c r="AE678" t="str" s="39" cm="1">
        <f t="array" ref="AE678">IF(AD678="","",IF(LEFT(AD678,1)="1","C1",IF(LEFT(AD678,1)="2","C2",IF(LEFT(AD678,1)="3","C3",""))))</f>
        <v>C2</v>
      </c>
      <c r="AF678" t="s" s="35">
        <v>1602</v>
      </c>
      <c r="AG678" t="s" s="35">
        <v>1617</v>
      </c>
      <c r="AH678" t="s" s="35">
        <v>1605</v>
      </c>
      <c r="AI678" t="s" s="35">
        <v>1623</v>
      </c>
      <c r="AJ678" t="s" s="35">
        <v>1607</v>
      </c>
      <c r="AK678" s="39"/>
      <c r="AL678" s="39"/>
      <c r="AM678" s="39"/>
      <c r="AN678" s="39"/>
      <c r="AO678" s="39"/>
      <c r="AP678" s="39"/>
      <c r="AQ678" s="39"/>
      <c r="AR678" s="39"/>
      <c r="AS678" s="39"/>
      <c r="AT678" s="39"/>
      <c r="AU678" s="39"/>
      <c r="AV678" s="39"/>
      <c r="AW678" t="str" s="39" cm="1">
        <f t="array" ref="AW678">AF678&amp;"; "&amp;AG678&amp;"; "&amp;AH678&amp;"; "&amp;AI678&amp;"; "&amp;AJ678</f>
        <v>E1; D1; E2; D4; E3</v>
      </c>
    </row>
    <row r="679" ht="13.65" customHeight="1">
      <c r="A679" t="s" s="35">
        <v>5080</v>
      </c>
      <c r="B679" s="36">
        <v>10</v>
      </c>
      <c r="C679" t="s" s="35">
        <v>222</v>
      </c>
      <c r="D679" t="s" s="35">
        <v>4800</v>
      </c>
      <c r="E679" t="s" s="35">
        <v>4801</v>
      </c>
      <c r="F679" s="36">
        <v>55</v>
      </c>
      <c r="G679" t="s" s="35">
        <v>5081</v>
      </c>
      <c r="H679" t="s" s="35">
        <v>5082</v>
      </c>
      <c r="I679" t="s" s="120">
        <v>5083</v>
      </c>
      <c r="J679" t="s" s="35">
        <v>1301</v>
      </c>
      <c r="K679" t="s" s="35">
        <v>1319</v>
      </c>
      <c r="L679" s="39"/>
      <c r="M679" t="str" s="39">
        <v>Mecánica y termodinámica</v>
      </c>
      <c r="N679" t="str" s="39">
        <v>Leyes de conservación</v>
      </c>
      <c r="O679" t="str" s="39" cm="1">
        <f t="array" ref="O679">IF(L679="","",_xlfn.IFERROR(INDEX('Datos - Catálogo TIMSS'!$C$5:$C$107,MATCH(L679,'Datos - Catálogo TIMSS'!$A$5:$A$107,0)),"?"))</f>
      </c>
      <c r="P679" t="s" s="35">
        <v>282</v>
      </c>
      <c r="Q679" t="s" s="120">
        <v>5084</v>
      </c>
      <c r="R679" t="s" s="120">
        <v>5085</v>
      </c>
      <c r="S679" s="121" cm="1">
        <f t="array" ref="S679">_xlfn.IFERROR(ISNUMBER(SEARCH("Conocer",$R679))/(ISNUMBER(SEARCH("Conocer",$R679))+ISNUMBER(SEARCH("Aplicar",$R679))+ISNUMBER(SEARCH("Razonar",$R679))),0)</f>
        <v>0</v>
      </c>
      <c r="T679" s="121" cm="1">
        <f t="array" ref="T679">_xlfn.IFERROR(ISNUMBER(SEARCH("Aplicar",$R679))/(ISNUMBER(SEARCH("Conocer",$R679))+ISNUMBER(SEARCH("Aplicar",$R679))+ISNUMBER(SEARCH("Razonar",$R679))),0)</f>
        <v>0.5</v>
      </c>
      <c r="U679" s="121" cm="1">
        <f t="array" ref="U679">_xlfn.IFERROR(ISNUMBER(SEARCH("Razonar",$R679))/(ISNUMBER(SEARCH("Conocer",$R679))+ISNUMBER(SEARCH("Aplicar",$R679))+ISNUMBER(SEARCH("Razonar",$R679))),0)</f>
        <v>0.5</v>
      </c>
      <c r="V679" t="s" s="35">
        <v>87</v>
      </c>
      <c r="W679" t="s" s="35">
        <v>119</v>
      </c>
      <c r="X679" s="36" cm="1">
        <f t="array" ref="X679">IF(OR(_xlfn.IFERROR(INDEX('Datos - Catálogo TIMSS'!$I$5:$I$107,MATCH(K679,'Datos - Catálogo TIMSS'!$A$5:$A$107,0)),"No")="Sí",_xlfn.IFERROR(INDEX('Datos - Catálogo TIMSS'!$I$5:$I$107,MATCH(L679,'Datos - Catálogo TIMSS'!$A$5:$A$107,0)),"No")="Sí"),1,0)</f>
        <v>0</v>
      </c>
      <c r="Y679" s="36" cm="1">
        <f t="array" ref="Y679">IF(_xlfn.IFERROR(INDEX('Datos - Catálogo TIMSS'!$J$5:$J$107,MATCH(K679,'Datos - Catálogo TIMSS'!$A$5:$A$107,0)),"No")="Sí",1,0)</f>
        <v>0</v>
      </c>
      <c r="Z679" s="36" cm="1">
        <f t="array" ref="Z679">IF(_xlfn.IFERROR(INDEX('Datos - Catálogo TIMSS'!$J$5:$J$107,MATCH(L679,'Datos - Catálogo TIMSS'!$A$5:$A$107,0)),"No")="Sí",1,0)</f>
        <v>0</v>
      </c>
      <c r="AA679" t="s" s="35">
        <v>1319</v>
      </c>
      <c r="AB679" s="39"/>
      <c r="AC679" t="str" s="39">
        <v>Mecánica y termodinámica</v>
      </c>
      <c r="AD679" t="s" s="35">
        <v>1834</v>
      </c>
      <c r="AE679" t="str" s="39" cm="1">
        <f t="array" ref="AE679">IF(AD679="","",IF(LEFT(AD679,1)="1","C1",IF(LEFT(AD679,1)="2","C2",IF(LEFT(AD679,1)="3","C3",""))))</f>
        <v>C2</v>
      </c>
      <c r="AF679" t="s" s="35">
        <v>1602</v>
      </c>
      <c r="AG679" t="s" s="35">
        <v>1617</v>
      </c>
      <c r="AH679" t="s" s="35">
        <v>1605</v>
      </c>
      <c r="AI679" t="s" s="35">
        <v>1623</v>
      </c>
      <c r="AJ679" t="s" s="35">
        <v>1633</v>
      </c>
      <c r="AK679" s="39"/>
      <c r="AL679" s="39"/>
      <c r="AM679" s="39"/>
      <c r="AN679" s="39"/>
      <c r="AO679" s="39"/>
      <c r="AP679" s="39"/>
      <c r="AQ679" s="39"/>
      <c r="AR679" s="39"/>
      <c r="AS679" s="39"/>
      <c r="AT679" s="39"/>
      <c r="AU679" s="39"/>
      <c r="AV679" s="39"/>
      <c r="AW679" t="str" s="39" cm="1">
        <f t="array" ref="AW679">AF679&amp;"; "&amp;AG679&amp;"; "&amp;AH679&amp;"; "&amp;AI679&amp;"; "&amp;AJ679</f>
        <v>E1; D1; E2; D4; I5</v>
      </c>
    </row>
    <row r="680" ht="13.65" customHeight="1">
      <c r="A680" t="s" s="35">
        <v>5086</v>
      </c>
      <c r="B680" s="36">
        <v>10</v>
      </c>
      <c r="C680" t="s" s="35">
        <v>222</v>
      </c>
      <c r="D680" t="s" s="35">
        <v>4800</v>
      </c>
      <c r="E680" t="s" s="35">
        <v>4801</v>
      </c>
      <c r="F680" s="36">
        <v>56</v>
      </c>
      <c r="G680" t="s" s="35">
        <v>5081</v>
      </c>
      <c r="H680" t="s" s="35">
        <v>5087</v>
      </c>
      <c r="I680" t="s" s="120">
        <v>5088</v>
      </c>
      <c r="J680" t="s" s="35">
        <v>1301</v>
      </c>
      <c r="K680" t="s" s="35">
        <v>1319</v>
      </c>
      <c r="L680" s="39"/>
      <c r="M680" t="str" s="39">
        <v>Mecánica y termodinámica</v>
      </c>
      <c r="N680" t="str" s="39">
        <v>Leyes de conservación</v>
      </c>
      <c r="O680" t="str" s="39" cm="1">
        <f t="array" ref="O680">IF(L680="","",_xlfn.IFERROR(INDEX('Datos - Catálogo TIMSS'!$C$5:$C$107,MATCH(L680,'Datos - Catálogo TIMSS'!$A$5:$A$107,0)),"?"))</f>
      </c>
      <c r="P680" t="s" s="35">
        <v>254</v>
      </c>
      <c r="Q680" t="s" s="120">
        <v>5089</v>
      </c>
      <c r="R680" t="s" s="120">
        <v>5090</v>
      </c>
      <c r="S680" s="121" cm="1">
        <f t="array" ref="S680">_xlfn.IFERROR(ISNUMBER(SEARCH("Conocer",$R680))/(ISNUMBER(SEARCH("Conocer",$R680))+ISNUMBER(SEARCH("Aplicar",$R680))+ISNUMBER(SEARCH("Razonar",$R680))),0)</f>
        <v>0</v>
      </c>
      <c r="T680" s="121" cm="1">
        <f t="array" ref="T680">_xlfn.IFERROR(ISNUMBER(SEARCH("Aplicar",$R680))/(ISNUMBER(SEARCH("Conocer",$R680))+ISNUMBER(SEARCH("Aplicar",$R680))+ISNUMBER(SEARCH("Razonar",$R680))),0)</f>
        <v>0.5</v>
      </c>
      <c r="U680" s="121" cm="1">
        <f t="array" ref="U680">_xlfn.IFERROR(ISNUMBER(SEARCH("Razonar",$R680))/(ISNUMBER(SEARCH("Conocer",$R680))+ISNUMBER(SEARCH("Aplicar",$R680))+ISNUMBER(SEARCH("Razonar",$R680))),0)</f>
        <v>0.5</v>
      </c>
      <c r="V680" t="s" s="35">
        <v>87</v>
      </c>
      <c r="W680" t="s" s="35">
        <v>119</v>
      </c>
      <c r="X680" s="36" cm="1">
        <f t="array" ref="X680">IF(OR(_xlfn.IFERROR(INDEX('Datos - Catálogo TIMSS'!$I$5:$I$107,MATCH(K680,'Datos - Catálogo TIMSS'!$A$5:$A$107,0)),"No")="Sí",_xlfn.IFERROR(INDEX('Datos - Catálogo TIMSS'!$I$5:$I$107,MATCH(L680,'Datos - Catálogo TIMSS'!$A$5:$A$107,0)),"No")="Sí"),1,0)</f>
        <v>0</v>
      </c>
      <c r="Y680" s="36" cm="1">
        <f t="array" ref="Y680">IF(_xlfn.IFERROR(INDEX('Datos - Catálogo TIMSS'!$J$5:$J$107,MATCH(K680,'Datos - Catálogo TIMSS'!$A$5:$A$107,0)),"No")="Sí",1,0)</f>
        <v>0</v>
      </c>
      <c r="Z680" s="36" cm="1">
        <f t="array" ref="Z680">IF(_xlfn.IFERROR(INDEX('Datos - Catálogo TIMSS'!$J$5:$J$107,MATCH(L680,'Datos - Catálogo TIMSS'!$A$5:$A$107,0)),"No")="Sí",1,0)</f>
        <v>0</v>
      </c>
      <c r="AA680" t="s" s="35">
        <v>1319</v>
      </c>
      <c r="AB680" s="39"/>
      <c r="AC680" t="str" s="39">
        <v>Mecánica y termodinámica</v>
      </c>
      <c r="AD680" t="s" s="35">
        <v>1859</v>
      </c>
      <c r="AE680" t="str" s="39" cm="1">
        <f t="array" ref="AE680">IF(AD680="","",IF(LEFT(AD680,1)="1","C1",IF(LEFT(AD680,1)="2","C2",IF(LEFT(AD680,1)="3","C3",""))))</f>
        <v>C1</v>
      </c>
      <c r="AF680" t="s" s="35">
        <v>1602</v>
      </c>
      <c r="AG680" t="s" s="35">
        <v>1607</v>
      </c>
      <c r="AH680" t="s" s="35">
        <v>1609</v>
      </c>
      <c r="AI680" t="s" s="35">
        <v>1623</v>
      </c>
      <c r="AJ680" t="s" s="35">
        <v>1607</v>
      </c>
      <c r="AK680" s="39"/>
      <c r="AL680" s="39"/>
      <c r="AM680" s="39"/>
      <c r="AN680" s="39"/>
      <c r="AO680" s="39"/>
      <c r="AP680" s="39"/>
      <c r="AQ680" s="39"/>
      <c r="AR680" s="39"/>
      <c r="AS680" s="39"/>
      <c r="AT680" s="39"/>
      <c r="AU680" s="39"/>
      <c r="AV680" s="39"/>
      <c r="AW680" t="str" s="39" cm="1">
        <f t="array" ref="AW680">AF680&amp;"; "&amp;AG680&amp;"; "&amp;AH680&amp;"; "&amp;AI680&amp;"; "&amp;AJ680</f>
        <v>E1; E3; E4; D4; E3</v>
      </c>
    </row>
    <row r="681" ht="13.65" customHeight="1">
      <c r="A681" t="s" s="35">
        <v>5091</v>
      </c>
      <c r="B681" s="36">
        <v>10</v>
      </c>
      <c r="C681" t="s" s="35">
        <v>222</v>
      </c>
      <c r="D681" t="s" s="35">
        <v>4800</v>
      </c>
      <c r="E681" t="s" s="35">
        <v>4801</v>
      </c>
      <c r="F681" s="36">
        <v>57</v>
      </c>
      <c r="G681" t="s" s="35">
        <v>5081</v>
      </c>
      <c r="H681" t="s" s="35">
        <v>5092</v>
      </c>
      <c r="I681" t="s" s="120">
        <v>5093</v>
      </c>
      <c r="J681" t="s" s="35">
        <v>1301</v>
      </c>
      <c r="K681" t="s" s="35">
        <v>1319</v>
      </c>
      <c r="L681" t="s" s="35">
        <v>1315</v>
      </c>
      <c r="M681" t="str" s="39">
        <v>Mecánica y termodinámica</v>
      </c>
      <c r="N681" t="str" s="39">
        <v>Leyes de conservación</v>
      </c>
      <c r="O681" t="str" s="39" cm="1">
        <f t="array" ref="O681">IF(L681="","",_xlfn.IFERROR(INDEX('Datos - Catálogo TIMSS'!$C$5:$C$107,MATCH(L681,'Datos - Catálogo TIMSS'!$A$5:$A$107,0)),"?"))</f>
        <v>Mecánica y termodinámica</v>
      </c>
      <c r="P681" t="s" s="35">
        <v>254</v>
      </c>
      <c r="Q681" t="s" s="120">
        <v>5094</v>
      </c>
      <c r="R681" t="s" s="120">
        <v>5095</v>
      </c>
      <c r="S681" s="121" cm="1">
        <f t="array" ref="S681">_xlfn.IFERROR(ISNUMBER(SEARCH("Conocer",$R681))/(ISNUMBER(SEARCH("Conocer",$R681))+ISNUMBER(SEARCH("Aplicar",$R681))+ISNUMBER(SEARCH("Razonar",$R681))),0)</f>
        <v>0</v>
      </c>
      <c r="T681" s="121" cm="1">
        <f t="array" ref="T681">_xlfn.IFERROR(ISNUMBER(SEARCH("Aplicar",$R681))/(ISNUMBER(SEARCH("Conocer",$R681))+ISNUMBER(SEARCH("Aplicar",$R681))+ISNUMBER(SEARCH("Razonar",$R681))),0)</f>
        <v>0.5</v>
      </c>
      <c r="U681" s="121" cm="1">
        <f t="array" ref="U681">_xlfn.IFERROR(ISNUMBER(SEARCH("Razonar",$R681))/(ISNUMBER(SEARCH("Conocer",$R681))+ISNUMBER(SEARCH("Aplicar",$R681))+ISNUMBER(SEARCH("Razonar",$R681))),0)</f>
        <v>0.5</v>
      </c>
      <c r="V681" t="s" s="35">
        <v>87</v>
      </c>
      <c r="W681" t="s" s="35">
        <v>119</v>
      </c>
      <c r="X681" s="36" cm="1">
        <f t="array" ref="X681">IF(OR(_xlfn.IFERROR(INDEX('Datos - Catálogo TIMSS'!$I$5:$I$107,MATCH(K681,'Datos - Catálogo TIMSS'!$A$5:$A$107,0)),"No")="Sí",_xlfn.IFERROR(INDEX('Datos - Catálogo TIMSS'!$I$5:$I$107,MATCH(L681,'Datos - Catálogo TIMSS'!$A$5:$A$107,0)),"No")="Sí"),1,0)</f>
        <v>0</v>
      </c>
      <c r="Y681" s="36" cm="1">
        <f t="array" ref="Y681">IF(_xlfn.IFERROR(INDEX('Datos - Catálogo TIMSS'!$J$5:$J$107,MATCH(K681,'Datos - Catálogo TIMSS'!$A$5:$A$107,0)),"No")="Sí",1,0)</f>
        <v>0</v>
      </c>
      <c r="Z681" s="36" cm="1">
        <f t="array" ref="Z681">IF(_xlfn.IFERROR(INDEX('Datos - Catálogo TIMSS'!$J$5:$J$107,MATCH(L681,'Datos - Catálogo TIMSS'!$A$5:$A$107,0)),"No")="Sí",1,0)</f>
        <v>0</v>
      </c>
      <c r="AA681" t="s" s="35">
        <v>1319</v>
      </c>
      <c r="AB681" t="s" s="35">
        <v>1315</v>
      </c>
      <c r="AC681" t="str" s="39">
        <v>Mecánica y termodinámica</v>
      </c>
      <c r="AD681" t="s" s="35">
        <v>1834</v>
      </c>
      <c r="AE681" t="str" s="39" cm="1">
        <f t="array" ref="AE681">IF(AD681="","",IF(LEFT(AD681,1)="1","C1",IF(LEFT(AD681,1)="2","C2",IF(LEFT(AD681,1)="3","C3",""))))</f>
        <v>C2</v>
      </c>
      <c r="AF681" t="s" s="35">
        <v>1615</v>
      </c>
      <c r="AG681" t="s" s="35">
        <v>1617</v>
      </c>
      <c r="AH681" t="s" s="35">
        <v>1602</v>
      </c>
      <c r="AI681" t="s" s="35">
        <v>1623</v>
      </c>
      <c r="AJ681" t="s" s="35">
        <v>1621</v>
      </c>
      <c r="AK681" s="39"/>
      <c r="AL681" s="39"/>
      <c r="AM681" s="39"/>
      <c r="AN681" s="39"/>
      <c r="AO681" s="39"/>
      <c r="AP681" s="39"/>
      <c r="AQ681" s="39"/>
      <c r="AR681" s="39"/>
      <c r="AS681" s="39"/>
      <c r="AT681" s="39"/>
      <c r="AU681" s="39"/>
      <c r="AV681" s="39"/>
      <c r="AW681" t="str" s="39" cm="1">
        <f t="array" ref="AW681">AF681&amp;"; "&amp;AG681&amp;"; "&amp;AH681&amp;"; "&amp;AI681&amp;"; "&amp;AJ681</f>
        <v>E6; D1; E1; D4; D3</v>
      </c>
    </row>
    <row r="682" ht="13.65" customHeight="1">
      <c r="A682" t="s" s="35">
        <v>5097</v>
      </c>
      <c r="B682" s="36">
        <v>10</v>
      </c>
      <c r="C682" t="s" s="35">
        <v>222</v>
      </c>
      <c r="D682" t="s" s="35">
        <v>4800</v>
      </c>
      <c r="E682" t="s" s="35">
        <v>4801</v>
      </c>
      <c r="F682" s="36">
        <v>58</v>
      </c>
      <c r="G682" t="s" s="35">
        <v>5081</v>
      </c>
      <c r="H682" t="s" s="35">
        <v>5092</v>
      </c>
      <c r="I682" t="s" s="120">
        <v>5098</v>
      </c>
      <c r="J682" t="s" s="35">
        <v>1301</v>
      </c>
      <c r="K682" t="s" s="35">
        <v>1319</v>
      </c>
      <c r="L682" s="39"/>
      <c r="M682" t="str" s="39">
        <v>Mecánica y termodinámica</v>
      </c>
      <c r="N682" t="str" s="39">
        <v>Leyes de conservación</v>
      </c>
      <c r="O682" t="str" s="39" cm="1">
        <f t="array" ref="O682">IF(L682="","",_xlfn.IFERROR(INDEX('Datos - Catálogo TIMSS'!$C$5:$C$107,MATCH(L682,'Datos - Catálogo TIMSS'!$A$5:$A$107,0)),"?"))</f>
      </c>
      <c r="P682" t="s" s="35">
        <v>254</v>
      </c>
      <c r="Q682" t="s" s="120">
        <v>5099</v>
      </c>
      <c r="R682" t="s" s="120">
        <v>5100</v>
      </c>
      <c r="S682" s="121" cm="1">
        <f t="array" ref="S682">_xlfn.IFERROR(ISNUMBER(SEARCH("Conocer",$R682))/(ISNUMBER(SEARCH("Conocer",$R682))+ISNUMBER(SEARCH("Aplicar",$R682))+ISNUMBER(SEARCH("Razonar",$R682))),0)</f>
        <v>0</v>
      </c>
      <c r="T682" s="121" cm="1">
        <f t="array" ref="T682">_xlfn.IFERROR(ISNUMBER(SEARCH("Aplicar",$R682))/(ISNUMBER(SEARCH("Conocer",$R682))+ISNUMBER(SEARCH("Aplicar",$R682))+ISNUMBER(SEARCH("Razonar",$R682))),0)</f>
        <v>0.5</v>
      </c>
      <c r="U682" s="121" cm="1">
        <f t="array" ref="U682">_xlfn.IFERROR(ISNUMBER(SEARCH("Razonar",$R682))/(ISNUMBER(SEARCH("Conocer",$R682))+ISNUMBER(SEARCH("Aplicar",$R682))+ISNUMBER(SEARCH("Razonar",$R682))),0)</f>
        <v>0.5</v>
      </c>
      <c r="V682" t="s" s="35">
        <v>87</v>
      </c>
      <c r="W682" t="s" s="35">
        <v>119</v>
      </c>
      <c r="X682" s="36" cm="1">
        <f t="array" ref="X682">IF(OR(_xlfn.IFERROR(INDEX('Datos - Catálogo TIMSS'!$I$5:$I$107,MATCH(K682,'Datos - Catálogo TIMSS'!$A$5:$A$107,0)),"No")="Sí",_xlfn.IFERROR(INDEX('Datos - Catálogo TIMSS'!$I$5:$I$107,MATCH(L682,'Datos - Catálogo TIMSS'!$A$5:$A$107,0)),"No")="Sí"),1,0)</f>
        <v>0</v>
      </c>
      <c r="Y682" s="36" cm="1">
        <f t="array" ref="Y682">IF(_xlfn.IFERROR(INDEX('Datos - Catálogo TIMSS'!$J$5:$J$107,MATCH(K682,'Datos - Catálogo TIMSS'!$A$5:$A$107,0)),"No")="Sí",1,0)</f>
        <v>0</v>
      </c>
      <c r="Z682" s="36" cm="1">
        <f t="array" ref="Z682">IF(_xlfn.IFERROR(INDEX('Datos - Catálogo TIMSS'!$J$5:$J$107,MATCH(L682,'Datos - Catálogo TIMSS'!$A$5:$A$107,0)),"No")="Sí",1,0)</f>
        <v>0</v>
      </c>
      <c r="AA682" t="s" s="35">
        <v>1319</v>
      </c>
      <c r="AB682" s="39"/>
      <c r="AC682" t="str" s="39">
        <v>Mecánica y termodinámica</v>
      </c>
      <c r="AD682" t="s" s="35">
        <v>1859</v>
      </c>
      <c r="AE682" t="str" s="39" cm="1">
        <f t="array" ref="AE682">IF(AD682="","",IF(LEFT(AD682,1)="1","C1",IF(LEFT(AD682,1)="2","C2",IF(LEFT(AD682,1)="3","C3",""))))</f>
        <v>C1</v>
      </c>
      <c r="AF682" t="s" s="35">
        <v>1602</v>
      </c>
      <c r="AG682" t="s" s="35">
        <v>1607</v>
      </c>
      <c r="AH682" t="s" s="35">
        <v>1605</v>
      </c>
      <c r="AI682" t="s" s="35">
        <v>1623</v>
      </c>
      <c r="AJ682" t="s" s="35">
        <v>1607</v>
      </c>
      <c r="AK682" s="39"/>
      <c r="AL682" s="39"/>
      <c r="AM682" s="39"/>
      <c r="AN682" s="39"/>
      <c r="AO682" s="39"/>
      <c r="AP682" s="39"/>
      <c r="AQ682" s="39"/>
      <c r="AR682" s="39"/>
      <c r="AS682" s="39"/>
      <c r="AT682" s="39"/>
      <c r="AU682" s="39"/>
      <c r="AV682" s="39"/>
      <c r="AW682" t="str" s="39" cm="1">
        <f t="array" ref="AW682">AF682&amp;"; "&amp;AG682&amp;"; "&amp;AH682&amp;"; "&amp;AI682&amp;"; "&amp;AJ682</f>
        <v>E1; E3; E2; D4; E3</v>
      </c>
    </row>
    <row r="683" ht="13.65" customHeight="1">
      <c r="A683" t="s" s="35">
        <v>5101</v>
      </c>
      <c r="B683" s="36">
        <v>10</v>
      </c>
      <c r="C683" t="s" s="35">
        <v>222</v>
      </c>
      <c r="D683" t="s" s="35">
        <v>4800</v>
      </c>
      <c r="E683" t="s" s="35">
        <v>4801</v>
      </c>
      <c r="F683" s="36">
        <v>59</v>
      </c>
      <c r="G683" t="s" s="35">
        <v>5081</v>
      </c>
      <c r="H683" t="s" s="35">
        <v>5102</v>
      </c>
      <c r="I683" t="s" s="120">
        <v>5103</v>
      </c>
      <c r="J683" t="s" s="35">
        <v>1301</v>
      </c>
      <c r="K683" t="s" s="35">
        <v>1319</v>
      </c>
      <c r="L683" s="39"/>
      <c r="M683" t="str" s="39">
        <v>Mecánica y termodinámica</v>
      </c>
      <c r="N683" t="str" s="39">
        <v>Leyes de conservación</v>
      </c>
      <c r="O683" t="str" s="39" cm="1">
        <f t="array" ref="O683">IF(L683="","",_xlfn.IFERROR(INDEX('Datos - Catálogo TIMSS'!$C$5:$C$107,MATCH(L683,'Datos - Catálogo TIMSS'!$A$5:$A$107,0)),"?"))</f>
      </c>
      <c r="P683" t="s" s="35">
        <v>282</v>
      </c>
      <c r="Q683" t="s" s="120">
        <v>5104</v>
      </c>
      <c r="R683" t="s" s="120">
        <v>5105</v>
      </c>
      <c r="S683" s="121" cm="1">
        <f t="array" ref="S683">_xlfn.IFERROR(ISNUMBER(SEARCH("Conocer",$R683))/(ISNUMBER(SEARCH("Conocer",$R683))+ISNUMBER(SEARCH("Aplicar",$R683))+ISNUMBER(SEARCH("Razonar",$R683))),0)</f>
        <v>0</v>
      </c>
      <c r="T683" s="121" cm="1">
        <f t="array" ref="T683">_xlfn.IFERROR(ISNUMBER(SEARCH("Aplicar",$R683))/(ISNUMBER(SEARCH("Conocer",$R683))+ISNUMBER(SEARCH("Aplicar",$R683))+ISNUMBER(SEARCH("Razonar",$R683))),0)</f>
        <v>0.5</v>
      </c>
      <c r="U683" s="121" cm="1">
        <f t="array" ref="U683">_xlfn.IFERROR(ISNUMBER(SEARCH("Razonar",$R683))/(ISNUMBER(SEARCH("Conocer",$R683))+ISNUMBER(SEARCH("Aplicar",$R683))+ISNUMBER(SEARCH("Razonar",$R683))),0)</f>
        <v>0.5</v>
      </c>
      <c r="V683" t="s" s="35">
        <v>87</v>
      </c>
      <c r="W683" t="s" s="35">
        <v>119</v>
      </c>
      <c r="X683" s="36" cm="1">
        <f t="array" ref="X683">IF(OR(_xlfn.IFERROR(INDEX('Datos - Catálogo TIMSS'!$I$5:$I$107,MATCH(K683,'Datos - Catálogo TIMSS'!$A$5:$A$107,0)),"No")="Sí",_xlfn.IFERROR(INDEX('Datos - Catálogo TIMSS'!$I$5:$I$107,MATCH(L683,'Datos - Catálogo TIMSS'!$A$5:$A$107,0)),"No")="Sí"),1,0)</f>
        <v>0</v>
      </c>
      <c r="Y683" s="36" cm="1">
        <f t="array" ref="Y683">IF(_xlfn.IFERROR(INDEX('Datos - Catálogo TIMSS'!$J$5:$J$107,MATCH(K683,'Datos - Catálogo TIMSS'!$A$5:$A$107,0)),"No")="Sí",1,0)</f>
        <v>0</v>
      </c>
      <c r="Z683" s="36" cm="1">
        <f t="array" ref="Z683">IF(_xlfn.IFERROR(INDEX('Datos - Catálogo TIMSS'!$J$5:$J$107,MATCH(L683,'Datos - Catálogo TIMSS'!$A$5:$A$107,0)),"No")="Sí",1,0)</f>
        <v>0</v>
      </c>
      <c r="AA683" t="s" s="35">
        <v>1319</v>
      </c>
      <c r="AB683" s="39"/>
      <c r="AC683" t="str" s="39">
        <v>Mecánica y termodinámica</v>
      </c>
      <c r="AD683" t="s" s="35">
        <v>1859</v>
      </c>
      <c r="AE683" t="str" s="39" cm="1">
        <f t="array" ref="AE683">IF(AD683="","",IF(LEFT(AD683,1)="1","C1",IF(LEFT(AD683,1)="2","C2",IF(LEFT(AD683,1)="3","C3",""))))</f>
        <v>C1</v>
      </c>
      <c r="AF683" t="s" s="35">
        <v>1602</v>
      </c>
      <c r="AG683" t="s" s="35">
        <v>1617</v>
      </c>
      <c r="AH683" t="s" s="35">
        <v>1602</v>
      </c>
      <c r="AI683" t="s" s="35">
        <v>1623</v>
      </c>
      <c r="AJ683" t="s" s="35">
        <v>1607</v>
      </c>
      <c r="AK683" s="39"/>
      <c r="AL683" s="39"/>
      <c r="AM683" s="39"/>
      <c r="AN683" s="39"/>
      <c r="AO683" s="39"/>
      <c r="AP683" s="39"/>
      <c r="AQ683" s="39"/>
      <c r="AR683" s="39"/>
      <c r="AS683" s="39"/>
      <c r="AT683" s="39"/>
      <c r="AU683" s="39"/>
      <c r="AV683" s="39"/>
      <c r="AW683" t="str" s="39" cm="1">
        <f t="array" ref="AW683">AF683&amp;"; "&amp;AG683&amp;"; "&amp;AH683&amp;"; "&amp;AI683&amp;"; "&amp;AJ683</f>
        <v>E1; D1; E1; D4; E3</v>
      </c>
    </row>
    <row r="684" ht="13.65" customHeight="1">
      <c r="A684" t="s" s="35">
        <v>5106</v>
      </c>
      <c r="B684" s="36">
        <v>10</v>
      </c>
      <c r="C684" t="s" s="35">
        <v>222</v>
      </c>
      <c r="D684" t="s" s="35">
        <v>4800</v>
      </c>
      <c r="E684" t="s" s="35">
        <v>4801</v>
      </c>
      <c r="F684" s="36">
        <v>60</v>
      </c>
      <c r="G684" t="s" s="35">
        <v>5107</v>
      </c>
      <c r="H684" t="s" s="35">
        <v>5108</v>
      </c>
      <c r="I684" t="s" s="120">
        <v>5109</v>
      </c>
      <c r="J684" t="s" s="35">
        <v>1301</v>
      </c>
      <c r="K684" t="s" s="35">
        <v>1832</v>
      </c>
      <c r="L684" s="39"/>
      <c r="M684" t="str" s="39">
        <v>Fuera del marco</v>
      </c>
      <c r="N684" t="str" s="39">
        <v>Fuera del marco</v>
      </c>
      <c r="O684" t="str" s="39" cm="1">
        <f t="array" ref="O684">IF(L684="","",_xlfn.IFERROR(INDEX('Datos - Catálogo TIMSS'!$C$5:$C$107,MATCH(L684,'Datos - Catálogo TIMSS'!$A$5:$A$107,0)),"?"))</f>
      </c>
      <c r="P684" t="s" s="35">
        <v>282</v>
      </c>
      <c r="Q684" t="s" s="120">
        <v>5110</v>
      </c>
      <c r="R684" t="s" s="120">
        <v>5111</v>
      </c>
      <c r="S684" s="121" cm="1">
        <f t="array" ref="S684">_xlfn.IFERROR(ISNUMBER(SEARCH("Conocer",$R684))/(ISNUMBER(SEARCH("Conocer",$R684))+ISNUMBER(SEARCH("Aplicar",$R684))+ISNUMBER(SEARCH("Razonar",$R684))),0)</f>
        <v>0.333333333333333</v>
      </c>
      <c r="T684" s="121" cm="1">
        <f t="array" ref="T684">_xlfn.IFERROR(ISNUMBER(SEARCH("Aplicar",$R684))/(ISNUMBER(SEARCH("Conocer",$R684))+ISNUMBER(SEARCH("Aplicar",$R684))+ISNUMBER(SEARCH("Razonar",$R684))),0)</f>
        <v>0.333333333333333</v>
      </c>
      <c r="U684" s="121" cm="1">
        <f t="array" ref="U684">_xlfn.IFERROR(ISNUMBER(SEARCH("Razonar",$R684))/(ISNUMBER(SEARCH("Conocer",$R684))+ISNUMBER(SEARCH("Aplicar",$R684))+ISNUMBER(SEARCH("Razonar",$R684))),0)</f>
        <v>0.333333333333333</v>
      </c>
      <c r="V684" t="s" s="35">
        <v>87</v>
      </c>
      <c r="W684" t="s" s="35">
        <v>119</v>
      </c>
      <c r="X684" s="36" cm="1">
        <f t="array" ref="X684">IF(OR(_xlfn.IFERROR(INDEX('Datos - Catálogo TIMSS'!$I$5:$I$107,MATCH(K684,'Datos - Catálogo TIMSS'!$A$5:$A$107,0)),"No")="Sí",_xlfn.IFERROR(INDEX('Datos - Catálogo TIMSS'!$I$5:$I$107,MATCH(L684,'Datos - Catálogo TIMSS'!$A$5:$A$107,0)),"No")="Sí"),1,0)</f>
        <v>0</v>
      </c>
      <c r="Y684" s="36" cm="1">
        <f t="array" ref="Y684">IF(_xlfn.IFERROR(INDEX('Datos - Catálogo TIMSS'!$J$5:$J$107,MATCH(K684,'Datos - Catálogo TIMSS'!$A$5:$A$107,0)),"No")="Sí",1,0)</f>
        <v>0</v>
      </c>
      <c r="Z684" s="36" cm="1">
        <f t="array" ref="Z684">IF(_xlfn.IFERROR(INDEX('Datos - Catálogo TIMSS'!$J$5:$J$107,MATCH(L684,'Datos - Catálogo TIMSS'!$A$5:$A$107,0)),"No")="Sí",1,0)</f>
        <v>0</v>
      </c>
      <c r="AA684" t="s" s="35">
        <v>1832</v>
      </c>
      <c r="AB684" s="39"/>
      <c r="AC684" t="str" s="39">
        <v>Fuera del marco</v>
      </c>
      <c r="AD684" t="s" s="35">
        <v>1859</v>
      </c>
      <c r="AE684" t="str" s="39" cm="1">
        <f t="array" ref="AE684">IF(AD684="","",IF(LEFT(AD684,1)="1","C1",IF(LEFT(AD684,1)="2","C2",IF(LEFT(AD684,1)="3","C3",""))))</f>
        <v>C1</v>
      </c>
      <c r="AF684" t="s" s="35">
        <v>1602</v>
      </c>
      <c r="AG684" t="s" s="35">
        <v>1607</v>
      </c>
      <c r="AH684" t="s" s="35">
        <v>1602</v>
      </c>
      <c r="AI684" t="s" s="35">
        <v>1623</v>
      </c>
      <c r="AJ684" t="s" s="35">
        <v>1607</v>
      </c>
      <c r="AK684" s="39"/>
      <c r="AL684" s="39"/>
      <c r="AM684" s="39"/>
      <c r="AN684" s="39"/>
      <c r="AO684" s="39"/>
      <c r="AP684" s="39"/>
      <c r="AQ684" s="39"/>
      <c r="AR684" s="39"/>
      <c r="AS684" s="39"/>
      <c r="AT684" s="39"/>
      <c r="AU684" s="39"/>
      <c r="AV684" s="39"/>
      <c r="AW684" t="str" s="39" cm="1">
        <f t="array" ref="AW684">AF684&amp;"; "&amp;AG684&amp;"; "&amp;AH684&amp;"; "&amp;AI684&amp;"; "&amp;AJ684</f>
        <v>E1; E3; E1; D4; E3</v>
      </c>
    </row>
    <row r="685" ht="13.65" customHeight="1">
      <c r="A685" t="s" s="35">
        <v>5112</v>
      </c>
      <c r="B685" s="36">
        <v>10</v>
      </c>
      <c r="C685" t="s" s="35">
        <v>222</v>
      </c>
      <c r="D685" t="s" s="35">
        <v>4800</v>
      </c>
      <c r="E685" t="s" s="35">
        <v>4801</v>
      </c>
      <c r="F685" s="36">
        <v>61</v>
      </c>
      <c r="G685" t="s" s="35">
        <v>5107</v>
      </c>
      <c r="H685" t="s" s="35">
        <v>5108</v>
      </c>
      <c r="I685" t="s" s="120">
        <v>5113</v>
      </c>
      <c r="J685" t="s" s="35">
        <v>1301</v>
      </c>
      <c r="K685" t="s" s="35">
        <v>1832</v>
      </c>
      <c r="L685" s="39"/>
      <c r="M685" t="str" s="39">
        <v>Fuera del marco</v>
      </c>
      <c r="N685" t="str" s="39">
        <v>Fuera del marco</v>
      </c>
      <c r="O685" t="str" s="39" cm="1">
        <f t="array" ref="O685">IF(L685="","",_xlfn.IFERROR(INDEX('Datos - Catálogo TIMSS'!$C$5:$C$107,MATCH(L685,'Datos - Catálogo TIMSS'!$A$5:$A$107,0)),"?"))</f>
      </c>
      <c r="P685" t="s" s="35">
        <v>282</v>
      </c>
      <c r="Q685" t="s" s="120">
        <v>5114</v>
      </c>
      <c r="R685" t="s" s="120">
        <v>5115</v>
      </c>
      <c r="S685" s="121" cm="1">
        <f t="array" ref="S685">_xlfn.IFERROR(ISNUMBER(SEARCH("Conocer",$R685))/(ISNUMBER(SEARCH("Conocer",$R685))+ISNUMBER(SEARCH("Aplicar",$R685))+ISNUMBER(SEARCH("Razonar",$R685))),0)</f>
        <v>0</v>
      </c>
      <c r="T685" s="121" cm="1">
        <f t="array" ref="T685">_xlfn.IFERROR(ISNUMBER(SEARCH("Aplicar",$R685))/(ISNUMBER(SEARCH("Conocer",$R685))+ISNUMBER(SEARCH("Aplicar",$R685))+ISNUMBER(SEARCH("Razonar",$R685))),0)</f>
        <v>0.5</v>
      </c>
      <c r="U685" s="121" cm="1">
        <f t="array" ref="U685">_xlfn.IFERROR(ISNUMBER(SEARCH("Razonar",$R685))/(ISNUMBER(SEARCH("Conocer",$R685))+ISNUMBER(SEARCH("Aplicar",$R685))+ISNUMBER(SEARCH("Razonar",$R685))),0)</f>
        <v>0.5</v>
      </c>
      <c r="V685" t="s" s="35">
        <v>87</v>
      </c>
      <c r="W685" t="s" s="35">
        <v>119</v>
      </c>
      <c r="X685" s="36" cm="1">
        <f t="array" ref="X685">IF(OR(_xlfn.IFERROR(INDEX('Datos - Catálogo TIMSS'!$I$5:$I$107,MATCH(K685,'Datos - Catálogo TIMSS'!$A$5:$A$107,0)),"No")="Sí",_xlfn.IFERROR(INDEX('Datos - Catálogo TIMSS'!$I$5:$I$107,MATCH(L685,'Datos - Catálogo TIMSS'!$A$5:$A$107,0)),"No")="Sí"),1,0)</f>
        <v>0</v>
      </c>
      <c r="Y685" s="36" cm="1">
        <f t="array" ref="Y685">IF(_xlfn.IFERROR(INDEX('Datos - Catálogo TIMSS'!$J$5:$J$107,MATCH(K685,'Datos - Catálogo TIMSS'!$A$5:$A$107,0)),"No")="Sí",1,0)</f>
        <v>0</v>
      </c>
      <c r="Z685" s="36" cm="1">
        <f t="array" ref="Z685">IF(_xlfn.IFERROR(INDEX('Datos - Catálogo TIMSS'!$J$5:$J$107,MATCH(L685,'Datos - Catálogo TIMSS'!$A$5:$A$107,0)),"No")="Sí",1,0)</f>
        <v>0</v>
      </c>
      <c r="AA685" t="s" s="35">
        <v>1832</v>
      </c>
      <c r="AB685" s="39"/>
      <c r="AC685" t="str" s="39">
        <v>Fuera del marco</v>
      </c>
      <c r="AD685" t="s" s="35">
        <v>1834</v>
      </c>
      <c r="AE685" t="str" s="39" cm="1">
        <f t="array" ref="AE685">IF(AD685="","",IF(LEFT(AD685,1)="1","C1",IF(LEFT(AD685,1)="2","C2",IF(LEFT(AD685,1)="3","C3",""))))</f>
        <v>C2</v>
      </c>
      <c r="AF685" t="s" s="35">
        <v>1602</v>
      </c>
      <c r="AG685" t="s" s="35">
        <v>1617</v>
      </c>
      <c r="AH685" t="s" s="35">
        <v>1605</v>
      </c>
      <c r="AI685" t="s" s="35">
        <v>1623</v>
      </c>
      <c r="AJ685" t="s" s="35">
        <v>1607</v>
      </c>
      <c r="AK685" s="39"/>
      <c r="AL685" s="39"/>
      <c r="AM685" s="39"/>
      <c r="AN685" s="39"/>
      <c r="AO685" s="39"/>
      <c r="AP685" s="39"/>
      <c r="AQ685" s="39"/>
      <c r="AR685" s="39"/>
      <c r="AS685" s="39"/>
      <c r="AT685" s="39"/>
      <c r="AU685" s="39"/>
      <c r="AV685" s="39"/>
      <c r="AW685" t="str" s="39" cm="1">
        <f t="array" ref="AW685">AF685&amp;"; "&amp;AG685&amp;"; "&amp;AH685&amp;"; "&amp;AI685&amp;"; "&amp;AJ685</f>
        <v>E1; D1; E2; D4; E3</v>
      </c>
    </row>
    <row r="686" ht="13.65" customHeight="1">
      <c r="A686" t="s" s="35">
        <v>5116</v>
      </c>
      <c r="B686" s="36">
        <v>10</v>
      </c>
      <c r="C686" t="s" s="35">
        <v>222</v>
      </c>
      <c r="D686" t="s" s="35">
        <v>4800</v>
      </c>
      <c r="E686" t="s" s="35">
        <v>4801</v>
      </c>
      <c r="F686" s="36">
        <v>62</v>
      </c>
      <c r="G686" t="s" s="35">
        <v>5107</v>
      </c>
      <c r="H686" t="s" s="35">
        <v>5117</v>
      </c>
      <c r="I686" t="s" s="120">
        <v>5118</v>
      </c>
      <c r="J686" t="s" s="35">
        <v>1301</v>
      </c>
      <c r="K686" t="s" s="35">
        <v>1832</v>
      </c>
      <c r="L686" s="39"/>
      <c r="M686" t="str" s="39">
        <v>Fuera del marco</v>
      </c>
      <c r="N686" t="str" s="39">
        <v>Fuera del marco</v>
      </c>
      <c r="O686" t="str" s="39" cm="1">
        <f t="array" ref="O686">IF(L686="","",_xlfn.IFERROR(INDEX('Datos - Catálogo TIMSS'!$C$5:$C$107,MATCH(L686,'Datos - Catálogo TIMSS'!$A$5:$A$107,0)),"?"))</f>
      </c>
      <c r="P686" t="s" s="35">
        <v>282</v>
      </c>
      <c r="Q686" t="s" s="120">
        <v>5119</v>
      </c>
      <c r="R686" t="s" s="120">
        <v>5120</v>
      </c>
      <c r="S686" s="121" cm="1">
        <f t="array" ref="S686">_xlfn.IFERROR(ISNUMBER(SEARCH("Conocer",$R686))/(ISNUMBER(SEARCH("Conocer",$R686))+ISNUMBER(SEARCH("Aplicar",$R686))+ISNUMBER(SEARCH("Razonar",$R686))),0)</f>
        <v>0</v>
      </c>
      <c r="T686" s="121" cm="1">
        <f t="array" ref="T686">_xlfn.IFERROR(ISNUMBER(SEARCH("Aplicar",$R686))/(ISNUMBER(SEARCH("Conocer",$R686))+ISNUMBER(SEARCH("Aplicar",$R686))+ISNUMBER(SEARCH("Razonar",$R686))),0)</f>
        <v>0.5</v>
      </c>
      <c r="U686" s="121" cm="1">
        <f t="array" ref="U686">_xlfn.IFERROR(ISNUMBER(SEARCH("Razonar",$R686))/(ISNUMBER(SEARCH("Conocer",$R686))+ISNUMBER(SEARCH("Aplicar",$R686))+ISNUMBER(SEARCH("Razonar",$R686))),0)</f>
        <v>0.5</v>
      </c>
      <c r="V686" t="s" s="35">
        <v>87</v>
      </c>
      <c r="W686" t="s" s="35">
        <v>119</v>
      </c>
      <c r="X686" s="36" cm="1">
        <f t="array" ref="X686">IF(OR(_xlfn.IFERROR(INDEX('Datos - Catálogo TIMSS'!$I$5:$I$107,MATCH(K686,'Datos - Catálogo TIMSS'!$A$5:$A$107,0)),"No")="Sí",_xlfn.IFERROR(INDEX('Datos - Catálogo TIMSS'!$I$5:$I$107,MATCH(L686,'Datos - Catálogo TIMSS'!$A$5:$A$107,0)),"No")="Sí"),1,0)</f>
        <v>0</v>
      </c>
      <c r="Y686" s="36" cm="1">
        <f t="array" ref="Y686">IF(_xlfn.IFERROR(INDEX('Datos - Catálogo TIMSS'!$J$5:$J$107,MATCH(K686,'Datos - Catálogo TIMSS'!$A$5:$A$107,0)),"No")="Sí",1,0)</f>
        <v>0</v>
      </c>
      <c r="Z686" s="36" cm="1">
        <f t="array" ref="Z686">IF(_xlfn.IFERROR(INDEX('Datos - Catálogo TIMSS'!$J$5:$J$107,MATCH(L686,'Datos - Catálogo TIMSS'!$A$5:$A$107,0)),"No")="Sí",1,0)</f>
        <v>0</v>
      </c>
      <c r="AA686" t="s" s="35">
        <v>1832</v>
      </c>
      <c r="AB686" s="39"/>
      <c r="AC686" t="str" s="39">
        <v>Fuera del marco</v>
      </c>
      <c r="AD686" t="s" s="35">
        <v>1859</v>
      </c>
      <c r="AE686" t="str" s="39" cm="1">
        <f t="array" ref="AE686">IF(AD686="","",IF(LEFT(AD686,1)="1","C1",IF(LEFT(AD686,1)="2","C2",IF(LEFT(AD686,1)="3","C3",""))))</f>
        <v>C1</v>
      </c>
      <c r="AF686" t="s" s="35">
        <v>1602</v>
      </c>
      <c r="AG686" t="s" s="35">
        <v>1612</v>
      </c>
      <c r="AH686" t="s" s="35">
        <v>1609</v>
      </c>
      <c r="AI686" t="s" s="35">
        <v>1629</v>
      </c>
      <c r="AJ686" t="s" s="35">
        <v>1607</v>
      </c>
      <c r="AK686" s="39"/>
      <c r="AL686" s="39"/>
      <c r="AM686" s="39"/>
      <c r="AN686" s="39"/>
      <c r="AO686" s="39"/>
      <c r="AP686" s="39"/>
      <c r="AQ686" s="39"/>
      <c r="AR686" s="39"/>
      <c r="AS686" s="39"/>
      <c r="AT686" s="39"/>
      <c r="AU686" s="39"/>
      <c r="AV686" s="39"/>
      <c r="AW686" t="str" s="39" cm="1">
        <f t="array" ref="AW686">AF686&amp;"; "&amp;AG686&amp;"; "&amp;AH686&amp;"; "&amp;AI686&amp;"; "&amp;AJ686</f>
        <v>E1; E5; E4; I3; E3</v>
      </c>
    </row>
    <row r="687" ht="13.65" customHeight="1">
      <c r="A687" t="s" s="35">
        <v>5121</v>
      </c>
      <c r="B687" s="36">
        <v>10</v>
      </c>
      <c r="C687" t="s" s="35">
        <v>222</v>
      </c>
      <c r="D687" t="s" s="35">
        <v>4800</v>
      </c>
      <c r="E687" t="s" s="35">
        <v>4801</v>
      </c>
      <c r="F687" s="36">
        <v>63</v>
      </c>
      <c r="G687" t="s" s="35">
        <v>5107</v>
      </c>
      <c r="H687" t="s" s="35">
        <v>5122</v>
      </c>
      <c r="I687" t="s" s="120">
        <v>5123</v>
      </c>
      <c r="J687" t="s" s="35">
        <v>1301</v>
      </c>
      <c r="K687" t="s" s="35">
        <v>1832</v>
      </c>
      <c r="L687" s="39"/>
      <c r="M687" t="str" s="39">
        <v>Fuera del marco</v>
      </c>
      <c r="N687" t="str" s="39">
        <v>Fuera del marco</v>
      </c>
      <c r="O687" t="str" s="39" cm="1">
        <f t="array" ref="O687">IF(L687="","",_xlfn.IFERROR(INDEX('Datos - Catálogo TIMSS'!$C$5:$C$107,MATCH(L687,'Datos - Catálogo TIMSS'!$A$5:$A$107,0)),"?"))</f>
      </c>
      <c r="P687" t="s" s="35">
        <v>291</v>
      </c>
      <c r="Q687" t="s" s="120">
        <v>5124</v>
      </c>
      <c r="R687" t="s" s="120">
        <v>5125</v>
      </c>
      <c r="S687" s="121" cm="1">
        <f t="array" ref="S687">_xlfn.IFERROR(ISNUMBER(SEARCH("Conocer",$R687))/(ISNUMBER(SEARCH("Conocer",$R687))+ISNUMBER(SEARCH("Aplicar",$R687))+ISNUMBER(SEARCH("Razonar",$R687))),0)</f>
        <v>0</v>
      </c>
      <c r="T687" s="121" cm="1">
        <f t="array" ref="T687">_xlfn.IFERROR(ISNUMBER(SEARCH("Aplicar",$R687))/(ISNUMBER(SEARCH("Conocer",$R687))+ISNUMBER(SEARCH("Aplicar",$R687))+ISNUMBER(SEARCH("Razonar",$R687))),0)</f>
        <v>0.5</v>
      </c>
      <c r="U687" s="121" cm="1">
        <f t="array" ref="U687">_xlfn.IFERROR(ISNUMBER(SEARCH("Razonar",$R687))/(ISNUMBER(SEARCH("Conocer",$R687))+ISNUMBER(SEARCH("Aplicar",$R687))+ISNUMBER(SEARCH("Razonar",$R687))),0)</f>
        <v>0.5</v>
      </c>
      <c r="V687" t="s" s="35">
        <v>87</v>
      </c>
      <c r="W687" t="s" s="35">
        <v>119</v>
      </c>
      <c r="X687" s="36" cm="1">
        <f t="array" ref="X687">IF(OR(_xlfn.IFERROR(INDEX('Datos - Catálogo TIMSS'!$I$5:$I$107,MATCH(K687,'Datos - Catálogo TIMSS'!$A$5:$A$107,0)),"No")="Sí",_xlfn.IFERROR(INDEX('Datos - Catálogo TIMSS'!$I$5:$I$107,MATCH(L687,'Datos - Catálogo TIMSS'!$A$5:$A$107,0)),"No")="Sí"),1,0)</f>
        <v>0</v>
      </c>
      <c r="Y687" s="36" cm="1">
        <f t="array" ref="Y687">IF(_xlfn.IFERROR(INDEX('Datos - Catálogo TIMSS'!$J$5:$J$107,MATCH(K687,'Datos - Catálogo TIMSS'!$A$5:$A$107,0)),"No")="Sí",1,0)</f>
        <v>0</v>
      </c>
      <c r="Z687" s="36" cm="1">
        <f t="array" ref="Z687">IF(_xlfn.IFERROR(INDEX('Datos - Catálogo TIMSS'!$J$5:$J$107,MATCH(L687,'Datos - Catálogo TIMSS'!$A$5:$A$107,0)),"No")="Sí",1,0)</f>
        <v>0</v>
      </c>
      <c r="AA687" t="s" s="35">
        <v>1832</v>
      </c>
      <c r="AB687" s="39"/>
      <c r="AC687" t="str" s="39">
        <v>Fuera del marco</v>
      </c>
      <c r="AD687" t="s" s="35">
        <v>1900</v>
      </c>
      <c r="AE687" t="str" s="39" cm="1">
        <f t="array" ref="AE687">IF(AD687="","",IF(LEFT(AD687,1)="1","C1",IF(LEFT(AD687,1)="2","C2",IF(LEFT(AD687,1)="3","C3",""))))</f>
        <v>C3</v>
      </c>
      <c r="AF687" t="s" s="35">
        <v>1615</v>
      </c>
      <c r="AG687" t="s" s="35">
        <v>1617</v>
      </c>
      <c r="AH687" t="s" s="35">
        <v>1602</v>
      </c>
      <c r="AI687" t="s" s="35">
        <v>1625</v>
      </c>
      <c r="AJ687" t="s" s="35">
        <v>1607</v>
      </c>
      <c r="AK687" s="39"/>
      <c r="AL687" s="39"/>
      <c r="AM687" s="39"/>
      <c r="AN687" s="39"/>
      <c r="AO687" s="39"/>
      <c r="AP687" s="39"/>
      <c r="AQ687" s="39"/>
      <c r="AR687" s="39"/>
      <c r="AS687" s="39"/>
      <c r="AT687" s="39"/>
      <c r="AU687" s="39"/>
      <c r="AV687" s="39"/>
      <c r="AW687" t="str" s="39" cm="1">
        <f t="array" ref="AW687">AF687&amp;"; "&amp;AG687&amp;"; "&amp;AH687&amp;"; "&amp;AI687&amp;"; "&amp;AJ687</f>
        <v>E6; D1; E1; I1; E3</v>
      </c>
    </row>
    <row r="688" ht="13.65" customHeight="1">
      <c r="A688" t="s" s="35">
        <v>5127</v>
      </c>
      <c r="B688" s="36">
        <v>10</v>
      </c>
      <c r="C688" t="s" s="35">
        <v>222</v>
      </c>
      <c r="D688" t="s" s="35">
        <v>4800</v>
      </c>
      <c r="E688" t="s" s="35">
        <v>4801</v>
      </c>
      <c r="F688" s="36">
        <v>64</v>
      </c>
      <c r="G688" t="s" s="35">
        <v>5107</v>
      </c>
      <c r="H688" t="s" s="35">
        <v>5122</v>
      </c>
      <c r="I688" t="s" s="120">
        <v>5128</v>
      </c>
      <c r="J688" t="s" s="35">
        <v>1301</v>
      </c>
      <c r="K688" t="s" s="35">
        <v>1309</v>
      </c>
      <c r="L688" s="39"/>
      <c r="M688" t="str" s="39">
        <v>Mecánica y termodinámica</v>
      </c>
      <c r="N688" t="str" s="39">
        <v>Fuerzas y movimiento</v>
      </c>
      <c r="O688" t="str" s="39" cm="1">
        <f t="array" ref="O688">IF(L688="","",_xlfn.IFERROR(INDEX('Datos - Catálogo TIMSS'!$C$5:$C$107,MATCH(L688,'Datos - Catálogo TIMSS'!$A$5:$A$107,0)),"?"))</f>
      </c>
      <c r="P688" t="s" s="35">
        <v>282</v>
      </c>
      <c r="Q688" t="s" s="120">
        <v>5129</v>
      </c>
      <c r="R688" t="s" s="120">
        <v>5130</v>
      </c>
      <c r="S688" s="121" cm="1">
        <f t="array" ref="S688">_xlfn.IFERROR(ISNUMBER(SEARCH("Conocer",$R688))/(ISNUMBER(SEARCH("Conocer",$R688))+ISNUMBER(SEARCH("Aplicar",$R688))+ISNUMBER(SEARCH("Razonar",$R688))),0)</f>
        <v>0</v>
      </c>
      <c r="T688" s="121" cm="1">
        <f t="array" ref="T688">_xlfn.IFERROR(ISNUMBER(SEARCH("Aplicar",$R688))/(ISNUMBER(SEARCH("Conocer",$R688))+ISNUMBER(SEARCH("Aplicar",$R688))+ISNUMBER(SEARCH("Razonar",$R688))),0)</f>
        <v>0.5</v>
      </c>
      <c r="U688" s="121" cm="1">
        <f t="array" ref="U688">_xlfn.IFERROR(ISNUMBER(SEARCH("Razonar",$R688))/(ISNUMBER(SEARCH("Conocer",$R688))+ISNUMBER(SEARCH("Aplicar",$R688))+ISNUMBER(SEARCH("Razonar",$R688))),0)</f>
        <v>0.5</v>
      </c>
      <c r="V688" t="s" s="35">
        <v>87</v>
      </c>
      <c r="W688" t="s" s="35">
        <v>119</v>
      </c>
      <c r="X688" s="36" cm="1">
        <f t="array" ref="X688">IF(OR(_xlfn.IFERROR(INDEX('Datos - Catálogo TIMSS'!$I$5:$I$107,MATCH(K688,'Datos - Catálogo TIMSS'!$A$5:$A$107,0)),"No")="Sí",_xlfn.IFERROR(INDEX('Datos - Catálogo TIMSS'!$I$5:$I$107,MATCH(L688,'Datos - Catálogo TIMSS'!$A$5:$A$107,0)),"No")="Sí"),1,0)</f>
        <v>0</v>
      </c>
      <c r="Y688" s="36" cm="1">
        <f t="array" ref="Y688">IF(_xlfn.IFERROR(INDEX('Datos - Catálogo TIMSS'!$J$5:$J$107,MATCH(K688,'Datos - Catálogo TIMSS'!$A$5:$A$107,0)),"No")="Sí",1,0)</f>
        <v>0</v>
      </c>
      <c r="Z688" s="36" cm="1">
        <f t="array" ref="Z688">IF(_xlfn.IFERROR(INDEX('Datos - Catálogo TIMSS'!$J$5:$J$107,MATCH(L688,'Datos - Catálogo TIMSS'!$A$5:$A$107,0)),"No")="Sí",1,0)</f>
        <v>0</v>
      </c>
      <c r="AA688" t="s" s="35">
        <v>1309</v>
      </c>
      <c r="AB688" s="39"/>
      <c r="AC688" t="str" s="39">
        <v>Mecánica y termodinámica</v>
      </c>
      <c r="AD688" t="s" s="35">
        <v>1859</v>
      </c>
      <c r="AE688" t="str" s="39" cm="1">
        <f t="array" ref="AE688">IF(AD688="","",IF(LEFT(AD688,1)="1","C1",IF(LEFT(AD688,1)="2","C2",IF(LEFT(AD688,1)="3","C3",""))))</f>
        <v>C1</v>
      </c>
      <c r="AF688" t="s" s="35">
        <v>1602</v>
      </c>
      <c r="AG688" t="s" s="35">
        <v>1607</v>
      </c>
      <c r="AH688" t="s" s="35">
        <v>1605</v>
      </c>
      <c r="AI688" t="s" s="35">
        <v>1623</v>
      </c>
      <c r="AJ688" t="s" s="35">
        <v>1607</v>
      </c>
      <c r="AK688" s="39"/>
      <c r="AL688" s="39"/>
      <c r="AM688" s="39"/>
      <c r="AN688" s="39"/>
      <c r="AO688" s="39"/>
      <c r="AP688" s="39"/>
      <c r="AQ688" s="39"/>
      <c r="AR688" s="39"/>
      <c r="AS688" s="39"/>
      <c r="AT688" s="39"/>
      <c r="AU688" s="39"/>
      <c r="AV688" s="39"/>
      <c r="AW688" t="str" s="39" cm="1">
        <f t="array" ref="AW688">AF688&amp;"; "&amp;AG688&amp;"; "&amp;AH688&amp;"; "&amp;AI688&amp;"; "&amp;AJ688</f>
        <v>E1; E3; E2; D4; E3</v>
      </c>
    </row>
    <row r="689" ht="13.65" customHeight="1">
      <c r="A689" t="s" s="35">
        <v>5131</v>
      </c>
      <c r="B689" s="36">
        <v>10</v>
      </c>
      <c r="C689" t="s" s="35">
        <v>222</v>
      </c>
      <c r="D689" t="s" s="35">
        <v>4800</v>
      </c>
      <c r="E689" t="s" s="35">
        <v>4801</v>
      </c>
      <c r="F689" s="36">
        <v>65</v>
      </c>
      <c r="G689" t="s" s="35">
        <v>5107</v>
      </c>
      <c r="H689" t="s" s="35">
        <v>5132</v>
      </c>
      <c r="I689" t="s" s="120">
        <v>5133</v>
      </c>
      <c r="J689" t="s" s="35">
        <v>1301</v>
      </c>
      <c r="K689" t="s" s="35">
        <v>1832</v>
      </c>
      <c r="L689" s="39"/>
      <c r="M689" t="str" s="39">
        <v>Fuera del marco</v>
      </c>
      <c r="N689" t="str" s="39">
        <v>Fuera del marco</v>
      </c>
      <c r="O689" t="str" s="39" cm="1">
        <f t="array" ref="O689">IF(L689="","",_xlfn.IFERROR(INDEX('Datos - Catálogo TIMSS'!$C$5:$C$107,MATCH(L689,'Datos - Catálogo TIMSS'!$A$5:$A$107,0)),"?"))</f>
      </c>
      <c r="P689" t="s" s="35">
        <v>282</v>
      </c>
      <c r="Q689" t="s" s="120">
        <v>5134</v>
      </c>
      <c r="R689" t="s" s="120">
        <v>5135</v>
      </c>
      <c r="S689" s="121" cm="1">
        <f t="array" ref="S689">_xlfn.IFERROR(ISNUMBER(SEARCH("Conocer",$R689))/(ISNUMBER(SEARCH("Conocer",$R689))+ISNUMBER(SEARCH("Aplicar",$R689))+ISNUMBER(SEARCH("Razonar",$R689))),0)</f>
        <v>0</v>
      </c>
      <c r="T689" s="121" cm="1">
        <f t="array" ref="T689">_xlfn.IFERROR(ISNUMBER(SEARCH("Aplicar",$R689))/(ISNUMBER(SEARCH("Conocer",$R689))+ISNUMBER(SEARCH("Aplicar",$R689))+ISNUMBER(SEARCH("Razonar",$R689))),0)</f>
        <v>0.5</v>
      </c>
      <c r="U689" s="121" cm="1">
        <f t="array" ref="U689">_xlfn.IFERROR(ISNUMBER(SEARCH("Razonar",$R689))/(ISNUMBER(SEARCH("Conocer",$R689))+ISNUMBER(SEARCH("Aplicar",$R689))+ISNUMBER(SEARCH("Razonar",$R689))),0)</f>
        <v>0.5</v>
      </c>
      <c r="V689" t="s" s="35">
        <v>87</v>
      </c>
      <c r="W689" t="s" s="35">
        <v>119</v>
      </c>
      <c r="X689" s="36" cm="1">
        <f t="array" ref="X689">IF(OR(_xlfn.IFERROR(INDEX('Datos - Catálogo TIMSS'!$I$5:$I$107,MATCH(K689,'Datos - Catálogo TIMSS'!$A$5:$A$107,0)),"No")="Sí",_xlfn.IFERROR(INDEX('Datos - Catálogo TIMSS'!$I$5:$I$107,MATCH(L689,'Datos - Catálogo TIMSS'!$A$5:$A$107,0)),"No")="Sí"),1,0)</f>
        <v>0</v>
      </c>
      <c r="Y689" s="36" cm="1">
        <f t="array" ref="Y689">IF(_xlfn.IFERROR(INDEX('Datos - Catálogo TIMSS'!$J$5:$J$107,MATCH(K689,'Datos - Catálogo TIMSS'!$A$5:$A$107,0)),"No")="Sí",1,0)</f>
        <v>0</v>
      </c>
      <c r="Z689" s="36" cm="1">
        <f t="array" ref="Z689">IF(_xlfn.IFERROR(INDEX('Datos - Catálogo TIMSS'!$J$5:$J$107,MATCH(L689,'Datos - Catálogo TIMSS'!$A$5:$A$107,0)),"No")="Sí",1,0)</f>
        <v>0</v>
      </c>
      <c r="AA689" t="s" s="35">
        <v>1832</v>
      </c>
      <c r="AB689" s="39"/>
      <c r="AC689" t="str" s="39">
        <v>Fuera del marco</v>
      </c>
      <c r="AD689" t="s" s="35">
        <v>1859</v>
      </c>
      <c r="AE689" t="str" s="39" cm="1">
        <f t="array" ref="AE689">IF(AD689="","",IF(LEFT(AD689,1)="1","C1",IF(LEFT(AD689,1)="2","C2",IF(LEFT(AD689,1)="3","C3",""))))</f>
        <v>C1</v>
      </c>
      <c r="AF689" t="s" s="35">
        <v>1602</v>
      </c>
      <c r="AG689" t="s" s="35">
        <v>1612</v>
      </c>
      <c r="AH689" t="s" s="35">
        <v>1609</v>
      </c>
      <c r="AI689" t="s" s="35">
        <v>1623</v>
      </c>
      <c r="AJ689" t="s" s="35">
        <v>1607</v>
      </c>
      <c r="AK689" s="39"/>
      <c r="AL689" s="39"/>
      <c r="AM689" s="39"/>
      <c r="AN689" s="39"/>
      <c r="AO689" s="39"/>
      <c r="AP689" s="39"/>
      <c r="AQ689" s="39"/>
      <c r="AR689" s="39"/>
      <c r="AS689" s="39"/>
      <c r="AT689" s="39"/>
      <c r="AU689" s="39"/>
      <c r="AV689" s="39"/>
      <c r="AW689" t="str" s="39" cm="1">
        <f t="array" ref="AW689">AF689&amp;"; "&amp;AG689&amp;"; "&amp;AH689&amp;"; "&amp;AI689&amp;"; "&amp;AJ689</f>
        <v>E1; E5; E4; D4; E3</v>
      </c>
    </row>
    <row r="690" ht="13.65" customHeight="1">
      <c r="A690" t="s" s="35">
        <v>5136</v>
      </c>
      <c r="B690" s="36">
        <v>10</v>
      </c>
      <c r="C690" t="s" s="35">
        <v>222</v>
      </c>
      <c r="D690" t="s" s="35">
        <v>4800</v>
      </c>
      <c r="E690" t="s" s="35">
        <v>4801</v>
      </c>
      <c r="F690" s="36">
        <v>66</v>
      </c>
      <c r="G690" t="s" s="35">
        <v>5107</v>
      </c>
      <c r="H690" t="s" s="35">
        <v>5137</v>
      </c>
      <c r="I690" t="s" s="120">
        <v>5138</v>
      </c>
      <c r="J690" t="s" s="35">
        <v>1301</v>
      </c>
      <c r="K690" t="s" s="35">
        <v>1832</v>
      </c>
      <c r="L690" s="39"/>
      <c r="M690" t="str" s="39">
        <v>Fuera del marco</v>
      </c>
      <c r="N690" t="str" s="39">
        <v>Fuera del marco</v>
      </c>
      <c r="O690" t="str" s="39" cm="1">
        <f t="array" ref="O690">IF(L690="","",_xlfn.IFERROR(INDEX('Datos - Catálogo TIMSS'!$C$5:$C$107,MATCH(L690,'Datos - Catálogo TIMSS'!$A$5:$A$107,0)),"?"))</f>
      </c>
      <c r="P690" t="s" s="35">
        <v>254</v>
      </c>
      <c r="Q690" t="s" s="120">
        <v>5139</v>
      </c>
      <c r="R690" t="s" s="120">
        <v>5140</v>
      </c>
      <c r="S690" s="121" cm="1">
        <f t="array" ref="S690">_xlfn.IFERROR(ISNUMBER(SEARCH("Conocer",$R690))/(ISNUMBER(SEARCH("Conocer",$R690))+ISNUMBER(SEARCH("Aplicar",$R690))+ISNUMBER(SEARCH("Razonar",$R690))),0)</f>
        <v>0.333333333333333</v>
      </c>
      <c r="T690" s="121" cm="1">
        <f t="array" ref="T690">_xlfn.IFERROR(ISNUMBER(SEARCH("Aplicar",$R690))/(ISNUMBER(SEARCH("Conocer",$R690))+ISNUMBER(SEARCH("Aplicar",$R690))+ISNUMBER(SEARCH("Razonar",$R690))),0)</f>
        <v>0.333333333333333</v>
      </c>
      <c r="U690" s="121" cm="1">
        <f t="array" ref="U690">_xlfn.IFERROR(ISNUMBER(SEARCH("Razonar",$R690))/(ISNUMBER(SEARCH("Conocer",$R690))+ISNUMBER(SEARCH("Aplicar",$R690))+ISNUMBER(SEARCH("Razonar",$R690))),0)</f>
        <v>0.333333333333333</v>
      </c>
      <c r="V690" t="s" s="35">
        <v>87</v>
      </c>
      <c r="W690" t="s" s="35">
        <v>119</v>
      </c>
      <c r="X690" s="36" cm="1">
        <f t="array" ref="X690">IF(OR(_xlfn.IFERROR(INDEX('Datos - Catálogo TIMSS'!$I$5:$I$107,MATCH(K690,'Datos - Catálogo TIMSS'!$A$5:$A$107,0)),"No")="Sí",_xlfn.IFERROR(INDEX('Datos - Catálogo TIMSS'!$I$5:$I$107,MATCH(L690,'Datos - Catálogo TIMSS'!$A$5:$A$107,0)),"No")="Sí"),1,0)</f>
        <v>0</v>
      </c>
      <c r="Y690" s="36" cm="1">
        <f t="array" ref="Y690">IF(_xlfn.IFERROR(INDEX('Datos - Catálogo TIMSS'!$J$5:$J$107,MATCH(K690,'Datos - Catálogo TIMSS'!$A$5:$A$107,0)),"No")="Sí",1,0)</f>
        <v>0</v>
      </c>
      <c r="Z690" s="36" cm="1">
        <f t="array" ref="Z690">IF(_xlfn.IFERROR(INDEX('Datos - Catálogo TIMSS'!$J$5:$J$107,MATCH(L690,'Datos - Catálogo TIMSS'!$A$5:$A$107,0)),"No")="Sí",1,0)</f>
        <v>0</v>
      </c>
      <c r="AA690" t="s" s="35">
        <v>1832</v>
      </c>
      <c r="AB690" s="39"/>
      <c r="AC690" t="str" s="39">
        <v>Fuera del marco</v>
      </c>
      <c r="AD690" t="s" s="35">
        <v>1859</v>
      </c>
      <c r="AE690" t="str" s="39" cm="1">
        <f t="array" ref="AE690">IF(AD690="","",IF(LEFT(AD690,1)="1","C1",IF(LEFT(AD690,1)="2","C2",IF(LEFT(AD690,1)="3","C3",""))))</f>
        <v>C1</v>
      </c>
      <c r="AF690" t="s" s="35">
        <v>1602</v>
      </c>
      <c r="AG690" t="s" s="35">
        <v>1617</v>
      </c>
      <c r="AH690" t="s" s="35">
        <v>1605</v>
      </c>
      <c r="AI690" t="s" s="35">
        <v>1629</v>
      </c>
      <c r="AJ690" t="s" s="35">
        <v>1607</v>
      </c>
      <c r="AK690" s="39"/>
      <c r="AL690" s="39"/>
      <c r="AM690" s="39"/>
      <c r="AN690" s="39"/>
      <c r="AO690" s="39"/>
      <c r="AP690" s="39"/>
      <c r="AQ690" s="39"/>
      <c r="AR690" s="39"/>
      <c r="AS690" s="39"/>
      <c r="AT690" s="39"/>
      <c r="AU690" s="39"/>
      <c r="AV690" s="39"/>
      <c r="AW690" t="str" s="39" cm="1">
        <f t="array" ref="AW690">AF690&amp;"; "&amp;AG690&amp;"; "&amp;AH690&amp;"; "&amp;AI690&amp;"; "&amp;AJ690</f>
        <v>E1; D1; E2; I3; E3</v>
      </c>
    </row>
    <row r="691" ht="13.65" customHeight="1">
      <c r="A691" t="s" s="35">
        <v>5142</v>
      </c>
      <c r="B691" s="36">
        <v>10</v>
      </c>
      <c r="C691" t="s" s="35">
        <v>222</v>
      </c>
      <c r="D691" t="s" s="35">
        <v>4800</v>
      </c>
      <c r="E691" t="s" s="35">
        <v>4801</v>
      </c>
      <c r="F691" s="36">
        <v>67</v>
      </c>
      <c r="G691" t="s" s="35">
        <v>5143</v>
      </c>
      <c r="H691" t="s" s="35">
        <v>5144</v>
      </c>
      <c r="I691" t="s" s="120">
        <v>5145</v>
      </c>
      <c r="J691" t="s" s="35">
        <v>1301</v>
      </c>
      <c r="K691" t="s" s="35">
        <v>1832</v>
      </c>
      <c r="L691" s="39"/>
      <c r="M691" t="str" s="39">
        <v>Fuera del marco</v>
      </c>
      <c r="N691" t="str" s="39">
        <v>Fuera del marco</v>
      </c>
      <c r="O691" t="str" s="39" cm="1">
        <f t="array" ref="O691">IF(L691="","",_xlfn.IFERROR(INDEX('Datos - Catálogo TIMSS'!$C$5:$C$107,MATCH(L691,'Datos - Catálogo TIMSS'!$A$5:$A$107,0)),"?"))</f>
      </c>
      <c r="P691" t="s" s="35">
        <v>282</v>
      </c>
      <c r="Q691" t="s" s="120">
        <v>5146</v>
      </c>
      <c r="R691" t="s" s="120">
        <v>5147</v>
      </c>
      <c r="S691" s="121" cm="1">
        <f t="array" ref="S691">_xlfn.IFERROR(ISNUMBER(SEARCH("Conocer",$R691))/(ISNUMBER(SEARCH("Conocer",$R691))+ISNUMBER(SEARCH("Aplicar",$R691))+ISNUMBER(SEARCH("Razonar",$R691))),0)</f>
        <v>0</v>
      </c>
      <c r="T691" s="121" cm="1">
        <f t="array" ref="T691">_xlfn.IFERROR(ISNUMBER(SEARCH("Aplicar",$R691))/(ISNUMBER(SEARCH("Conocer",$R691))+ISNUMBER(SEARCH("Aplicar",$R691))+ISNUMBER(SEARCH("Razonar",$R691))),0)</f>
        <v>0.5</v>
      </c>
      <c r="U691" s="121" cm="1">
        <f t="array" ref="U691">_xlfn.IFERROR(ISNUMBER(SEARCH("Razonar",$R691))/(ISNUMBER(SEARCH("Conocer",$R691))+ISNUMBER(SEARCH("Aplicar",$R691))+ISNUMBER(SEARCH("Razonar",$R691))),0)</f>
        <v>0.5</v>
      </c>
      <c r="V691" t="s" s="35">
        <v>87</v>
      </c>
      <c r="W691" t="s" s="35">
        <v>119</v>
      </c>
      <c r="X691" s="36" cm="1">
        <f t="array" ref="X691">IF(OR(_xlfn.IFERROR(INDEX('Datos - Catálogo TIMSS'!$I$5:$I$107,MATCH(K691,'Datos - Catálogo TIMSS'!$A$5:$A$107,0)),"No")="Sí",_xlfn.IFERROR(INDEX('Datos - Catálogo TIMSS'!$I$5:$I$107,MATCH(L691,'Datos - Catálogo TIMSS'!$A$5:$A$107,0)),"No")="Sí"),1,0)</f>
        <v>0</v>
      </c>
      <c r="Y691" s="36" cm="1">
        <f t="array" ref="Y691">IF(_xlfn.IFERROR(INDEX('Datos - Catálogo TIMSS'!$J$5:$J$107,MATCH(K691,'Datos - Catálogo TIMSS'!$A$5:$A$107,0)),"No")="Sí",1,0)</f>
        <v>0</v>
      </c>
      <c r="Z691" s="36" cm="1">
        <f t="array" ref="Z691">IF(_xlfn.IFERROR(INDEX('Datos - Catálogo TIMSS'!$J$5:$J$107,MATCH(L691,'Datos - Catálogo TIMSS'!$A$5:$A$107,0)),"No")="Sí",1,0)</f>
        <v>0</v>
      </c>
      <c r="AA691" t="s" s="35">
        <v>1832</v>
      </c>
      <c r="AB691" s="39"/>
      <c r="AC691" t="str" s="39">
        <v>Fuera del marco</v>
      </c>
      <c r="AD691" t="s" s="35">
        <v>1859</v>
      </c>
      <c r="AE691" t="str" s="39" cm="1">
        <f t="array" ref="AE691">IF(AD691="","",IF(LEFT(AD691,1)="1","C1",IF(LEFT(AD691,1)="2","C2",IF(LEFT(AD691,1)="3","C3",""))))</f>
        <v>C1</v>
      </c>
      <c r="AF691" t="s" s="35">
        <v>1602</v>
      </c>
      <c r="AG691" t="s" s="35">
        <v>1607</v>
      </c>
      <c r="AH691" t="s" s="35">
        <v>1605</v>
      </c>
      <c r="AI691" t="s" s="35">
        <v>1623</v>
      </c>
      <c r="AJ691" t="s" s="35">
        <v>1607</v>
      </c>
      <c r="AK691" s="39"/>
      <c r="AL691" s="39"/>
      <c r="AM691" s="39"/>
      <c r="AN691" s="39"/>
      <c r="AO691" s="39"/>
      <c r="AP691" s="39"/>
      <c r="AQ691" s="39"/>
      <c r="AR691" s="39"/>
      <c r="AS691" s="39"/>
      <c r="AT691" s="39"/>
      <c r="AU691" s="39"/>
      <c r="AV691" s="39"/>
      <c r="AW691" t="str" s="39" cm="1">
        <f t="array" ref="AW691">AF691&amp;"; "&amp;AG691&amp;"; "&amp;AH691&amp;"; "&amp;AI691&amp;"; "&amp;AJ691</f>
        <v>E1; E3; E2; D4; E3</v>
      </c>
    </row>
    <row r="692" ht="13.65" customHeight="1">
      <c r="A692" t="s" s="35">
        <v>5148</v>
      </c>
      <c r="B692" s="36">
        <v>10</v>
      </c>
      <c r="C692" t="s" s="35">
        <v>222</v>
      </c>
      <c r="D692" t="s" s="35">
        <v>4800</v>
      </c>
      <c r="E692" t="s" s="35">
        <v>4801</v>
      </c>
      <c r="F692" s="36">
        <v>68</v>
      </c>
      <c r="G692" t="s" s="35">
        <v>5143</v>
      </c>
      <c r="H692" t="s" s="35">
        <v>5144</v>
      </c>
      <c r="I692" t="s" s="120">
        <v>5149</v>
      </c>
      <c r="J692" t="s" s="35">
        <v>1301</v>
      </c>
      <c r="K692" t="s" s="35">
        <v>1306</v>
      </c>
      <c r="L692" s="39"/>
      <c r="M692" t="str" s="39">
        <v>Mecánica y termodinámica</v>
      </c>
      <c r="N692" t="str" s="39">
        <v>Fuerzas y movimiento</v>
      </c>
      <c r="O692" t="str" s="39" cm="1">
        <f t="array" ref="O692">IF(L692="","",_xlfn.IFERROR(INDEX('Datos - Catálogo TIMSS'!$C$5:$C$107,MATCH(L692,'Datos - Catálogo TIMSS'!$A$5:$A$107,0)),"?"))</f>
      </c>
      <c r="P692" t="s" s="35">
        <v>291</v>
      </c>
      <c r="Q692" t="s" s="120">
        <v>5150</v>
      </c>
      <c r="R692" t="s" s="120">
        <v>5151</v>
      </c>
      <c r="S692" s="121" cm="1">
        <f t="array" ref="S692">_xlfn.IFERROR(ISNUMBER(SEARCH("Conocer",$R692))/(ISNUMBER(SEARCH("Conocer",$R692))+ISNUMBER(SEARCH("Aplicar",$R692))+ISNUMBER(SEARCH("Razonar",$R692))),0)</f>
        <v>0</v>
      </c>
      <c r="T692" s="121" cm="1">
        <f t="array" ref="T692">_xlfn.IFERROR(ISNUMBER(SEARCH("Aplicar",$R692))/(ISNUMBER(SEARCH("Conocer",$R692))+ISNUMBER(SEARCH("Aplicar",$R692))+ISNUMBER(SEARCH("Razonar",$R692))),0)</f>
        <v>0.5</v>
      </c>
      <c r="U692" s="121" cm="1">
        <f t="array" ref="U692">_xlfn.IFERROR(ISNUMBER(SEARCH("Razonar",$R692))/(ISNUMBER(SEARCH("Conocer",$R692))+ISNUMBER(SEARCH("Aplicar",$R692))+ISNUMBER(SEARCH("Razonar",$R692))),0)</f>
        <v>0.5</v>
      </c>
      <c r="V692" t="s" s="35">
        <v>87</v>
      </c>
      <c r="W692" t="s" s="35">
        <v>119</v>
      </c>
      <c r="X692" s="36" cm="1">
        <f t="array" ref="X692">IF(OR(_xlfn.IFERROR(INDEX('Datos - Catálogo TIMSS'!$I$5:$I$107,MATCH(K692,'Datos - Catálogo TIMSS'!$A$5:$A$107,0)),"No")="Sí",_xlfn.IFERROR(INDEX('Datos - Catálogo TIMSS'!$I$5:$I$107,MATCH(L692,'Datos - Catálogo TIMSS'!$A$5:$A$107,0)),"No")="Sí"),1,0)</f>
        <v>0</v>
      </c>
      <c r="Y692" s="36" cm="1">
        <f t="array" ref="Y692">IF(_xlfn.IFERROR(INDEX('Datos - Catálogo TIMSS'!$J$5:$J$107,MATCH(K692,'Datos - Catálogo TIMSS'!$A$5:$A$107,0)),"No")="Sí",1,0)</f>
        <v>0</v>
      </c>
      <c r="Z692" s="36" cm="1">
        <f t="array" ref="Z692">IF(_xlfn.IFERROR(INDEX('Datos - Catálogo TIMSS'!$J$5:$J$107,MATCH(L692,'Datos - Catálogo TIMSS'!$A$5:$A$107,0)),"No")="Sí",1,0)</f>
        <v>0</v>
      </c>
      <c r="AA692" t="s" s="35">
        <v>1306</v>
      </c>
      <c r="AB692" s="39"/>
      <c r="AC692" t="str" s="39">
        <v>Mecánica y termodinámica</v>
      </c>
      <c r="AD692" t="s" s="35">
        <v>1859</v>
      </c>
      <c r="AE692" t="str" s="39" cm="1">
        <f t="array" ref="AE692">IF(AD692="","",IF(LEFT(AD692,1)="1","C1",IF(LEFT(AD692,1)="2","C2",IF(LEFT(AD692,1)="3","C3",""))))</f>
        <v>C1</v>
      </c>
      <c r="AF692" t="s" s="35">
        <v>1615</v>
      </c>
      <c r="AG692" t="s" s="35">
        <v>1617</v>
      </c>
      <c r="AH692" t="s" s="35">
        <v>1609</v>
      </c>
      <c r="AI692" t="s" s="35">
        <v>1619</v>
      </c>
      <c r="AJ692" t="s" s="35">
        <v>1607</v>
      </c>
      <c r="AK692" s="39"/>
      <c r="AL692" s="39"/>
      <c r="AM692" s="39"/>
      <c r="AN692" s="39"/>
      <c r="AO692" s="39"/>
      <c r="AP692" s="39"/>
      <c r="AQ692" s="39"/>
      <c r="AR692" s="39"/>
      <c r="AS692" s="39"/>
      <c r="AT692" s="39"/>
      <c r="AU692" s="39"/>
      <c r="AV692" s="39"/>
      <c r="AW692" t="str" s="39" cm="1">
        <f t="array" ref="AW692">AF692&amp;"; "&amp;AG692&amp;"; "&amp;AH692&amp;"; "&amp;AI692&amp;"; "&amp;AJ692</f>
        <v>E6; D1; E4; D2; E3</v>
      </c>
    </row>
    <row r="693" ht="13.65" customHeight="1">
      <c r="A693" t="s" s="35">
        <v>5152</v>
      </c>
      <c r="B693" s="36">
        <v>10</v>
      </c>
      <c r="C693" t="s" s="35">
        <v>222</v>
      </c>
      <c r="D693" t="s" s="35">
        <v>4800</v>
      </c>
      <c r="E693" t="s" s="35">
        <v>4801</v>
      </c>
      <c r="F693" s="36">
        <v>69</v>
      </c>
      <c r="G693" t="s" s="35">
        <v>5143</v>
      </c>
      <c r="H693" t="s" s="35">
        <v>5153</v>
      </c>
      <c r="I693" t="s" s="120">
        <v>5154</v>
      </c>
      <c r="J693" t="s" s="35">
        <v>1301</v>
      </c>
      <c r="K693" t="s" s="35">
        <v>1832</v>
      </c>
      <c r="L693" s="39"/>
      <c r="M693" t="str" s="39">
        <v>Fuera del marco</v>
      </c>
      <c r="N693" t="str" s="39">
        <v>Fuera del marco</v>
      </c>
      <c r="O693" t="str" s="39" cm="1">
        <f t="array" ref="O693">IF(L693="","",_xlfn.IFERROR(INDEX('Datos - Catálogo TIMSS'!$C$5:$C$107,MATCH(L693,'Datos - Catálogo TIMSS'!$A$5:$A$107,0)),"?"))</f>
      </c>
      <c r="P693" t="s" s="35">
        <v>282</v>
      </c>
      <c r="Q693" t="s" s="120">
        <v>5155</v>
      </c>
      <c r="R693" t="s" s="120">
        <v>5156</v>
      </c>
      <c r="S693" s="121" cm="1">
        <f t="array" ref="S693">_xlfn.IFERROR(ISNUMBER(SEARCH("Conocer",$R693))/(ISNUMBER(SEARCH("Conocer",$R693))+ISNUMBER(SEARCH("Aplicar",$R693))+ISNUMBER(SEARCH("Razonar",$R693))),0)</f>
        <v>0</v>
      </c>
      <c r="T693" s="121" cm="1">
        <f t="array" ref="T693">_xlfn.IFERROR(ISNUMBER(SEARCH("Aplicar",$R693))/(ISNUMBER(SEARCH("Conocer",$R693))+ISNUMBER(SEARCH("Aplicar",$R693))+ISNUMBER(SEARCH("Razonar",$R693))),0)</f>
        <v>0.5</v>
      </c>
      <c r="U693" s="121" cm="1">
        <f t="array" ref="U693">_xlfn.IFERROR(ISNUMBER(SEARCH("Razonar",$R693))/(ISNUMBER(SEARCH("Conocer",$R693))+ISNUMBER(SEARCH("Aplicar",$R693))+ISNUMBER(SEARCH("Razonar",$R693))),0)</f>
        <v>0.5</v>
      </c>
      <c r="V693" t="s" s="35">
        <v>87</v>
      </c>
      <c r="W693" t="s" s="35">
        <v>119</v>
      </c>
      <c r="X693" s="36" cm="1">
        <f t="array" ref="X693">IF(OR(_xlfn.IFERROR(INDEX('Datos - Catálogo TIMSS'!$I$5:$I$107,MATCH(K693,'Datos - Catálogo TIMSS'!$A$5:$A$107,0)),"No")="Sí",_xlfn.IFERROR(INDEX('Datos - Catálogo TIMSS'!$I$5:$I$107,MATCH(L693,'Datos - Catálogo TIMSS'!$A$5:$A$107,0)),"No")="Sí"),1,0)</f>
        <v>0</v>
      </c>
      <c r="Y693" s="36" cm="1">
        <f t="array" ref="Y693">IF(_xlfn.IFERROR(INDEX('Datos - Catálogo TIMSS'!$J$5:$J$107,MATCH(K693,'Datos - Catálogo TIMSS'!$A$5:$A$107,0)),"No")="Sí",1,0)</f>
        <v>0</v>
      </c>
      <c r="Z693" s="36" cm="1">
        <f t="array" ref="Z693">IF(_xlfn.IFERROR(INDEX('Datos - Catálogo TIMSS'!$J$5:$J$107,MATCH(L693,'Datos - Catálogo TIMSS'!$A$5:$A$107,0)),"No")="Sí",1,0)</f>
        <v>0</v>
      </c>
      <c r="AA693" t="s" s="35">
        <v>1832</v>
      </c>
      <c r="AB693" s="39"/>
      <c r="AC693" t="str" s="39">
        <v>Fuera del marco</v>
      </c>
      <c r="AD693" t="s" s="35">
        <v>1859</v>
      </c>
      <c r="AE693" t="str" s="39" cm="1">
        <f t="array" ref="AE693">IF(AD693="","",IF(LEFT(AD693,1)="1","C1",IF(LEFT(AD693,1)="2","C2",IF(LEFT(AD693,1)="3","C3",""))))</f>
        <v>C1</v>
      </c>
      <c r="AF693" t="s" s="35">
        <v>1615</v>
      </c>
      <c r="AG693" t="s" s="35">
        <v>1612</v>
      </c>
      <c r="AH693" t="s" s="35">
        <v>1602</v>
      </c>
      <c r="AI693" t="s" s="35">
        <v>1623</v>
      </c>
      <c r="AJ693" t="s" s="35">
        <v>1615</v>
      </c>
      <c r="AK693" s="39"/>
      <c r="AL693" s="39"/>
      <c r="AM693" s="39"/>
      <c r="AN693" s="39"/>
      <c r="AO693" s="39"/>
      <c r="AP693" s="39"/>
      <c r="AQ693" s="39"/>
      <c r="AR693" s="39"/>
      <c r="AS693" s="39"/>
      <c r="AT693" s="39"/>
      <c r="AU693" s="39"/>
      <c r="AV693" s="39"/>
      <c r="AW693" t="str" s="39" cm="1">
        <f t="array" ref="AW693">AF693&amp;"; "&amp;AG693&amp;"; "&amp;AH693&amp;"; "&amp;AI693&amp;"; "&amp;AJ693</f>
        <v>E6; E5; E1; D4; E6</v>
      </c>
    </row>
    <row r="694" ht="13.65" customHeight="1">
      <c r="A694" t="s" s="35">
        <v>5157</v>
      </c>
      <c r="B694" s="36">
        <v>10</v>
      </c>
      <c r="C694" t="s" s="35">
        <v>222</v>
      </c>
      <c r="D694" t="s" s="35">
        <v>4800</v>
      </c>
      <c r="E694" t="s" s="35">
        <v>4801</v>
      </c>
      <c r="F694" s="36">
        <v>70</v>
      </c>
      <c r="G694" t="s" s="35">
        <v>5143</v>
      </c>
      <c r="H694" t="s" s="35">
        <v>5158</v>
      </c>
      <c r="I694" t="s" s="120">
        <v>5159</v>
      </c>
      <c r="J694" t="s" s="35">
        <v>1301</v>
      </c>
      <c r="K694" t="s" s="35">
        <v>1832</v>
      </c>
      <c r="L694" s="39"/>
      <c r="M694" t="str" s="39">
        <v>Fuera del marco</v>
      </c>
      <c r="N694" t="str" s="39">
        <v>Fuera del marco</v>
      </c>
      <c r="O694" t="str" s="39" cm="1">
        <f t="array" ref="O694">IF(L694="","",_xlfn.IFERROR(INDEX('Datos - Catálogo TIMSS'!$C$5:$C$107,MATCH(L694,'Datos - Catálogo TIMSS'!$A$5:$A$107,0)),"?"))</f>
      </c>
      <c r="P694" t="s" s="35">
        <v>254</v>
      </c>
      <c r="Q694" t="s" s="120">
        <v>5160</v>
      </c>
      <c r="R694" t="s" s="120">
        <v>5161</v>
      </c>
      <c r="S694" s="121" cm="1">
        <f t="array" ref="S694">_xlfn.IFERROR(ISNUMBER(SEARCH("Conocer",$R694))/(ISNUMBER(SEARCH("Conocer",$R694))+ISNUMBER(SEARCH("Aplicar",$R694))+ISNUMBER(SEARCH("Razonar",$R694))),0)</f>
        <v>0</v>
      </c>
      <c r="T694" s="121" cm="1">
        <f t="array" ref="T694">_xlfn.IFERROR(ISNUMBER(SEARCH("Aplicar",$R694))/(ISNUMBER(SEARCH("Conocer",$R694))+ISNUMBER(SEARCH("Aplicar",$R694))+ISNUMBER(SEARCH("Razonar",$R694))),0)</f>
        <v>0.5</v>
      </c>
      <c r="U694" s="121" cm="1">
        <f t="array" ref="U694">_xlfn.IFERROR(ISNUMBER(SEARCH("Razonar",$R694))/(ISNUMBER(SEARCH("Conocer",$R694))+ISNUMBER(SEARCH("Aplicar",$R694))+ISNUMBER(SEARCH("Razonar",$R694))),0)</f>
        <v>0.5</v>
      </c>
      <c r="V694" t="s" s="35">
        <v>87</v>
      </c>
      <c r="W694" t="s" s="35">
        <v>119</v>
      </c>
      <c r="X694" s="36" cm="1">
        <f t="array" ref="X694">IF(OR(_xlfn.IFERROR(INDEX('Datos - Catálogo TIMSS'!$I$5:$I$107,MATCH(K694,'Datos - Catálogo TIMSS'!$A$5:$A$107,0)),"No")="Sí",_xlfn.IFERROR(INDEX('Datos - Catálogo TIMSS'!$I$5:$I$107,MATCH(L694,'Datos - Catálogo TIMSS'!$A$5:$A$107,0)),"No")="Sí"),1,0)</f>
        <v>0</v>
      </c>
      <c r="Y694" s="36" cm="1">
        <f t="array" ref="Y694">IF(_xlfn.IFERROR(INDEX('Datos - Catálogo TIMSS'!$J$5:$J$107,MATCH(K694,'Datos - Catálogo TIMSS'!$A$5:$A$107,0)),"No")="Sí",1,0)</f>
        <v>0</v>
      </c>
      <c r="Z694" s="36" cm="1">
        <f t="array" ref="Z694">IF(_xlfn.IFERROR(INDEX('Datos - Catálogo TIMSS'!$J$5:$J$107,MATCH(L694,'Datos - Catálogo TIMSS'!$A$5:$A$107,0)),"No")="Sí",1,0)</f>
        <v>0</v>
      </c>
      <c r="AA694" t="s" s="35">
        <v>1832</v>
      </c>
      <c r="AB694" s="39"/>
      <c r="AC694" t="str" s="39">
        <v>Fuera del marco</v>
      </c>
      <c r="AD694" t="s" s="35">
        <v>1834</v>
      </c>
      <c r="AE694" t="str" s="39" cm="1">
        <f t="array" ref="AE694">IF(AD694="","",IF(LEFT(AD694,1)="1","C1",IF(LEFT(AD694,1)="2","C2",IF(LEFT(AD694,1)="3","C3",""))))</f>
        <v>C2</v>
      </c>
      <c r="AF694" t="s" s="35">
        <v>1602</v>
      </c>
      <c r="AG694" t="s" s="35">
        <v>1617</v>
      </c>
      <c r="AH694" t="s" s="35">
        <v>1609</v>
      </c>
      <c r="AI694" t="s" s="35">
        <v>1623</v>
      </c>
      <c r="AJ694" t="s" s="35">
        <v>1607</v>
      </c>
      <c r="AK694" s="39"/>
      <c r="AL694" s="39"/>
      <c r="AM694" s="39"/>
      <c r="AN694" s="39"/>
      <c r="AO694" s="39"/>
      <c r="AP694" s="39"/>
      <c r="AQ694" s="39"/>
      <c r="AR694" s="39"/>
      <c r="AS694" s="39"/>
      <c r="AT694" s="39"/>
      <c r="AU694" s="39"/>
      <c r="AV694" s="39"/>
      <c r="AW694" t="str" s="39" cm="1">
        <f t="array" ref="AW694">AF694&amp;"; "&amp;AG694&amp;"; "&amp;AH694&amp;"; "&amp;AI694&amp;"; "&amp;AJ694</f>
        <v>E1; D1; E4; D4; E3</v>
      </c>
    </row>
    <row r="695" ht="13.65" customHeight="1">
      <c r="A695" t="s" s="35">
        <v>5162</v>
      </c>
      <c r="B695" s="36">
        <v>10</v>
      </c>
      <c r="C695" t="s" s="35">
        <v>222</v>
      </c>
      <c r="D695" t="s" s="35">
        <v>4800</v>
      </c>
      <c r="E695" t="s" s="35">
        <v>4801</v>
      </c>
      <c r="F695" s="36">
        <v>71</v>
      </c>
      <c r="G695" t="s" s="35">
        <v>5143</v>
      </c>
      <c r="H695" t="s" s="35">
        <v>5163</v>
      </c>
      <c r="I695" t="s" s="120">
        <v>5164</v>
      </c>
      <c r="J695" t="s" s="35">
        <v>1301</v>
      </c>
      <c r="K695" t="s" s="35">
        <v>1315</v>
      </c>
      <c r="L695" s="39"/>
      <c r="M695" t="str" s="39">
        <v>Mecánica y termodinámica</v>
      </c>
      <c r="N695" t="str" s="39">
        <v>Leyes de conservación</v>
      </c>
      <c r="O695" t="str" s="39" cm="1">
        <f t="array" ref="O695">IF(L695="","",_xlfn.IFERROR(INDEX('Datos - Catálogo TIMSS'!$C$5:$C$107,MATCH(L695,'Datos - Catálogo TIMSS'!$A$5:$A$107,0)),"?"))</f>
      </c>
      <c r="P695" t="s" s="35">
        <v>282</v>
      </c>
      <c r="Q695" t="s" s="120">
        <v>5165</v>
      </c>
      <c r="R695" t="s" s="120">
        <v>5166</v>
      </c>
      <c r="S695" s="121" cm="1">
        <f t="array" ref="S695">_xlfn.IFERROR(ISNUMBER(SEARCH("Conocer",$R695))/(ISNUMBER(SEARCH("Conocer",$R695))+ISNUMBER(SEARCH("Aplicar",$R695))+ISNUMBER(SEARCH("Razonar",$R695))),0)</f>
        <v>0</v>
      </c>
      <c r="T695" s="121" cm="1">
        <f t="array" ref="T695">_xlfn.IFERROR(ISNUMBER(SEARCH("Aplicar",$R695))/(ISNUMBER(SEARCH("Conocer",$R695))+ISNUMBER(SEARCH("Aplicar",$R695))+ISNUMBER(SEARCH("Razonar",$R695))),0)</f>
        <v>0.5</v>
      </c>
      <c r="U695" s="121" cm="1">
        <f t="array" ref="U695">_xlfn.IFERROR(ISNUMBER(SEARCH("Razonar",$R695))/(ISNUMBER(SEARCH("Conocer",$R695))+ISNUMBER(SEARCH("Aplicar",$R695))+ISNUMBER(SEARCH("Razonar",$R695))),0)</f>
        <v>0.5</v>
      </c>
      <c r="V695" t="s" s="35">
        <v>87</v>
      </c>
      <c r="W695" t="s" s="35">
        <v>119</v>
      </c>
      <c r="X695" s="36" cm="1">
        <f t="array" ref="X695">IF(OR(_xlfn.IFERROR(INDEX('Datos - Catálogo TIMSS'!$I$5:$I$107,MATCH(K695,'Datos - Catálogo TIMSS'!$A$5:$A$107,0)),"No")="Sí",_xlfn.IFERROR(INDEX('Datos - Catálogo TIMSS'!$I$5:$I$107,MATCH(L695,'Datos - Catálogo TIMSS'!$A$5:$A$107,0)),"No")="Sí"),1,0)</f>
        <v>0</v>
      </c>
      <c r="Y695" s="36" cm="1">
        <f t="array" ref="Y695">IF(_xlfn.IFERROR(INDEX('Datos - Catálogo TIMSS'!$J$5:$J$107,MATCH(K695,'Datos - Catálogo TIMSS'!$A$5:$A$107,0)),"No")="Sí",1,0)</f>
        <v>0</v>
      </c>
      <c r="Z695" s="36" cm="1">
        <f t="array" ref="Z695">IF(_xlfn.IFERROR(INDEX('Datos - Catálogo TIMSS'!$J$5:$J$107,MATCH(L695,'Datos - Catálogo TIMSS'!$A$5:$A$107,0)),"No")="Sí",1,0)</f>
        <v>0</v>
      </c>
      <c r="AA695" t="s" s="35">
        <v>1315</v>
      </c>
      <c r="AB695" s="39"/>
      <c r="AC695" t="str" s="39">
        <v>Mecánica y termodinámica</v>
      </c>
      <c r="AD695" t="s" s="35">
        <v>1900</v>
      </c>
      <c r="AE695" t="str" s="39" cm="1">
        <f t="array" ref="AE695">IF(AD695="","",IF(LEFT(AD695,1)="1","C1",IF(LEFT(AD695,1)="2","C2",IF(LEFT(AD695,1)="3","C3",""))))</f>
        <v>C3</v>
      </c>
      <c r="AF695" t="s" s="35">
        <v>1615</v>
      </c>
      <c r="AG695" t="s" s="35">
        <v>1607</v>
      </c>
      <c r="AH695" t="s" s="35">
        <v>1602</v>
      </c>
      <c r="AI695" t="s" s="35">
        <v>1623</v>
      </c>
      <c r="AJ695" t="s" s="35">
        <v>1631</v>
      </c>
      <c r="AK695" s="39"/>
      <c r="AL695" s="39"/>
      <c r="AM695" s="39"/>
      <c r="AN695" s="39"/>
      <c r="AO695" s="39"/>
      <c r="AP695" s="39"/>
      <c r="AQ695" s="39"/>
      <c r="AR695" s="39"/>
      <c r="AS695" s="39"/>
      <c r="AT695" s="39"/>
      <c r="AU695" s="39"/>
      <c r="AV695" s="39"/>
      <c r="AW695" t="str" s="39" cm="1">
        <f t="array" ref="AW695">AF695&amp;"; "&amp;AG695&amp;"; "&amp;AH695&amp;"; "&amp;AI695&amp;"; "&amp;AJ695</f>
        <v>E6; E3; E1; D4; I4</v>
      </c>
    </row>
    <row r="696" ht="13.65" customHeight="1">
      <c r="A696" t="s" s="35">
        <v>5168</v>
      </c>
      <c r="B696" s="36">
        <v>10</v>
      </c>
      <c r="C696" t="s" s="35">
        <v>222</v>
      </c>
      <c r="D696" t="s" s="35">
        <v>4800</v>
      </c>
      <c r="E696" t="s" s="35">
        <v>4801</v>
      </c>
      <c r="F696" s="36">
        <v>72</v>
      </c>
      <c r="G696" t="s" s="35">
        <v>5143</v>
      </c>
      <c r="H696" t="s" s="35">
        <v>5163</v>
      </c>
      <c r="I696" t="s" s="120">
        <v>5169</v>
      </c>
      <c r="J696" t="s" s="35">
        <v>1301</v>
      </c>
      <c r="K696" t="s" s="35">
        <v>1832</v>
      </c>
      <c r="L696" s="39"/>
      <c r="M696" t="str" s="39">
        <v>Fuera del marco</v>
      </c>
      <c r="N696" t="str" s="39">
        <v>Fuera del marco</v>
      </c>
      <c r="O696" t="str" s="39" cm="1">
        <f t="array" ref="O696">IF(L696="","",_xlfn.IFERROR(INDEX('Datos - Catálogo TIMSS'!$C$5:$C$107,MATCH(L696,'Datos - Catálogo TIMSS'!$A$5:$A$107,0)),"?"))</f>
      </c>
      <c r="P696" t="s" s="35">
        <v>254</v>
      </c>
      <c r="Q696" t="s" s="120">
        <v>5170</v>
      </c>
      <c r="R696" t="s" s="120">
        <v>5171</v>
      </c>
      <c r="S696" s="121" cm="1">
        <f t="array" ref="S696">_xlfn.IFERROR(ISNUMBER(SEARCH("Conocer",$R696))/(ISNUMBER(SEARCH("Conocer",$R696))+ISNUMBER(SEARCH("Aplicar",$R696))+ISNUMBER(SEARCH("Razonar",$R696))),0)</f>
        <v>0</v>
      </c>
      <c r="T696" s="121" cm="1">
        <f t="array" ref="T696">_xlfn.IFERROR(ISNUMBER(SEARCH("Aplicar",$R696))/(ISNUMBER(SEARCH("Conocer",$R696))+ISNUMBER(SEARCH("Aplicar",$R696))+ISNUMBER(SEARCH("Razonar",$R696))),0)</f>
        <v>0.5</v>
      </c>
      <c r="U696" s="121" cm="1">
        <f t="array" ref="U696">_xlfn.IFERROR(ISNUMBER(SEARCH("Razonar",$R696))/(ISNUMBER(SEARCH("Conocer",$R696))+ISNUMBER(SEARCH("Aplicar",$R696))+ISNUMBER(SEARCH("Razonar",$R696))),0)</f>
        <v>0.5</v>
      </c>
      <c r="V696" t="s" s="35">
        <v>87</v>
      </c>
      <c r="W696" t="s" s="35">
        <v>119</v>
      </c>
      <c r="X696" s="36" cm="1">
        <f t="array" ref="X696">IF(OR(_xlfn.IFERROR(INDEX('Datos - Catálogo TIMSS'!$I$5:$I$107,MATCH(K696,'Datos - Catálogo TIMSS'!$A$5:$A$107,0)),"No")="Sí",_xlfn.IFERROR(INDEX('Datos - Catálogo TIMSS'!$I$5:$I$107,MATCH(L696,'Datos - Catálogo TIMSS'!$A$5:$A$107,0)),"No")="Sí"),1,0)</f>
        <v>0</v>
      </c>
      <c r="Y696" s="36" cm="1">
        <f t="array" ref="Y696">IF(_xlfn.IFERROR(INDEX('Datos - Catálogo TIMSS'!$J$5:$J$107,MATCH(K696,'Datos - Catálogo TIMSS'!$A$5:$A$107,0)),"No")="Sí",1,0)</f>
        <v>0</v>
      </c>
      <c r="Z696" s="36" cm="1">
        <f t="array" ref="Z696">IF(_xlfn.IFERROR(INDEX('Datos - Catálogo TIMSS'!$J$5:$J$107,MATCH(L696,'Datos - Catálogo TIMSS'!$A$5:$A$107,0)),"No")="Sí",1,0)</f>
        <v>0</v>
      </c>
      <c r="AA696" t="s" s="35">
        <v>1832</v>
      </c>
      <c r="AB696" s="39"/>
      <c r="AC696" t="str" s="39">
        <v>Fuera del marco</v>
      </c>
      <c r="AD696" t="s" s="35">
        <v>1859</v>
      </c>
      <c r="AE696" t="str" s="39" cm="1">
        <f t="array" ref="AE696">IF(AD696="","",IF(LEFT(AD696,1)="1","C1",IF(LEFT(AD696,1)="2","C2",IF(LEFT(AD696,1)="3","C3",""))))</f>
        <v>C1</v>
      </c>
      <c r="AF696" t="s" s="35">
        <v>1602</v>
      </c>
      <c r="AG696" t="s" s="35">
        <v>1617</v>
      </c>
      <c r="AH696" t="s" s="35">
        <v>1609</v>
      </c>
      <c r="AI696" t="s" s="35">
        <v>1623</v>
      </c>
      <c r="AJ696" t="s" s="35">
        <v>1607</v>
      </c>
      <c r="AK696" s="39"/>
      <c r="AL696" s="39"/>
      <c r="AM696" s="39"/>
      <c r="AN696" s="39"/>
      <c r="AO696" s="39"/>
      <c r="AP696" s="39"/>
      <c r="AQ696" s="39"/>
      <c r="AR696" s="39"/>
      <c r="AS696" s="39"/>
      <c r="AT696" s="39"/>
      <c r="AU696" s="39"/>
      <c r="AV696" s="39"/>
      <c r="AW696" t="str" s="39" cm="1">
        <f t="array" ref="AW696">AF696&amp;"; "&amp;AG696&amp;"; "&amp;AH696&amp;"; "&amp;AI696&amp;"; "&amp;AJ696</f>
        <v>E1; D1; E4; D4; E3</v>
      </c>
    </row>
    <row r="697" ht="13.65" customHeight="1">
      <c r="A697" t="s" s="35">
        <v>5172</v>
      </c>
      <c r="B697" s="36">
        <v>10</v>
      </c>
      <c r="C697" t="s" s="35">
        <v>222</v>
      </c>
      <c r="D697" t="s" s="35">
        <v>4800</v>
      </c>
      <c r="E697" t="s" s="35">
        <v>4801</v>
      </c>
      <c r="F697" s="36">
        <v>73</v>
      </c>
      <c r="G697" t="s" s="35">
        <v>5173</v>
      </c>
      <c r="H697" t="s" s="35">
        <v>5174</v>
      </c>
      <c r="I697" t="s" s="120">
        <v>5175</v>
      </c>
      <c r="J697" t="s" s="35">
        <v>1301</v>
      </c>
      <c r="K697" t="s" s="35">
        <v>1832</v>
      </c>
      <c r="L697" s="39"/>
      <c r="M697" t="str" s="39">
        <v>Fuera del marco</v>
      </c>
      <c r="N697" t="str" s="39">
        <v>Fuera del marco</v>
      </c>
      <c r="O697" t="str" s="39" cm="1">
        <f t="array" ref="O697">IF(L697="","",_xlfn.IFERROR(INDEX('Datos - Catálogo TIMSS'!$C$5:$C$107,MATCH(L697,'Datos - Catálogo TIMSS'!$A$5:$A$107,0)),"?"))</f>
      </c>
      <c r="P697" t="s" s="35">
        <v>254</v>
      </c>
      <c r="Q697" t="s" s="120">
        <v>5176</v>
      </c>
      <c r="R697" t="s" s="120">
        <v>5177</v>
      </c>
      <c r="S697" s="121" cm="1">
        <f t="array" ref="S697">_xlfn.IFERROR(ISNUMBER(SEARCH("Conocer",$R697))/(ISNUMBER(SEARCH("Conocer",$R697))+ISNUMBER(SEARCH("Aplicar",$R697))+ISNUMBER(SEARCH("Razonar",$R697))),0)</f>
        <v>0</v>
      </c>
      <c r="T697" s="121" cm="1">
        <f t="array" ref="T697">_xlfn.IFERROR(ISNUMBER(SEARCH("Aplicar",$R697))/(ISNUMBER(SEARCH("Conocer",$R697))+ISNUMBER(SEARCH("Aplicar",$R697))+ISNUMBER(SEARCH("Razonar",$R697))),0)</f>
        <v>0.5</v>
      </c>
      <c r="U697" s="121" cm="1">
        <f t="array" ref="U697">_xlfn.IFERROR(ISNUMBER(SEARCH("Razonar",$R697))/(ISNUMBER(SEARCH("Conocer",$R697))+ISNUMBER(SEARCH("Aplicar",$R697))+ISNUMBER(SEARCH("Razonar",$R697))),0)</f>
        <v>0.5</v>
      </c>
      <c r="V697" t="s" s="35">
        <v>87</v>
      </c>
      <c r="W697" t="s" s="35">
        <v>119</v>
      </c>
      <c r="X697" s="36" cm="1">
        <f t="array" ref="X697">IF(OR(_xlfn.IFERROR(INDEX('Datos - Catálogo TIMSS'!$I$5:$I$107,MATCH(K697,'Datos - Catálogo TIMSS'!$A$5:$A$107,0)),"No")="Sí",_xlfn.IFERROR(INDEX('Datos - Catálogo TIMSS'!$I$5:$I$107,MATCH(L697,'Datos - Catálogo TIMSS'!$A$5:$A$107,0)),"No")="Sí"),1,0)</f>
        <v>0</v>
      </c>
      <c r="Y697" s="36" cm="1">
        <f t="array" ref="Y697">IF(_xlfn.IFERROR(INDEX('Datos - Catálogo TIMSS'!$J$5:$J$107,MATCH(K697,'Datos - Catálogo TIMSS'!$A$5:$A$107,0)),"No")="Sí",1,0)</f>
        <v>0</v>
      </c>
      <c r="Z697" s="36" cm="1">
        <f t="array" ref="Z697">IF(_xlfn.IFERROR(INDEX('Datos - Catálogo TIMSS'!$J$5:$J$107,MATCH(L697,'Datos - Catálogo TIMSS'!$A$5:$A$107,0)),"No")="Sí",1,0)</f>
        <v>0</v>
      </c>
      <c r="AA697" t="s" s="35">
        <v>1832</v>
      </c>
      <c r="AB697" s="39"/>
      <c r="AC697" t="str" s="39">
        <v>Fuera del marco</v>
      </c>
      <c r="AD697" t="s" s="35">
        <v>1834</v>
      </c>
      <c r="AE697" t="str" s="39" cm="1">
        <f t="array" ref="AE697">IF(AD697="","",IF(LEFT(AD697,1)="1","C1",IF(LEFT(AD697,1)="2","C2",IF(LEFT(AD697,1)="3","C3",""))))</f>
        <v>C2</v>
      </c>
      <c r="AF697" t="s" s="35">
        <v>1602</v>
      </c>
      <c r="AG697" t="s" s="35">
        <v>1617</v>
      </c>
      <c r="AH697" t="s" s="35">
        <v>1602</v>
      </c>
      <c r="AI697" t="s" s="35">
        <v>1623</v>
      </c>
      <c r="AJ697" t="s" s="35">
        <v>1621</v>
      </c>
      <c r="AK697" s="39"/>
      <c r="AL697" s="39"/>
      <c r="AM697" s="39"/>
      <c r="AN697" s="39"/>
      <c r="AO697" s="39"/>
      <c r="AP697" s="39"/>
      <c r="AQ697" s="39"/>
      <c r="AR697" s="39"/>
      <c r="AS697" s="39"/>
      <c r="AT697" s="39"/>
      <c r="AU697" s="39"/>
      <c r="AV697" s="39"/>
      <c r="AW697" t="str" s="39" cm="1">
        <f t="array" ref="AW697">AF697&amp;"; "&amp;AG697&amp;"; "&amp;AH697&amp;"; "&amp;AI697&amp;"; "&amp;AJ697</f>
        <v>E1; D1; E1; D4; D3</v>
      </c>
    </row>
    <row r="698" ht="13.65" customHeight="1">
      <c r="A698" t="s" s="35">
        <v>5179</v>
      </c>
      <c r="B698" s="36">
        <v>10</v>
      </c>
      <c r="C698" t="s" s="35">
        <v>222</v>
      </c>
      <c r="D698" t="s" s="35">
        <v>4800</v>
      </c>
      <c r="E698" t="s" s="35">
        <v>4801</v>
      </c>
      <c r="F698" s="36">
        <v>74</v>
      </c>
      <c r="G698" t="s" s="35">
        <v>5173</v>
      </c>
      <c r="H698" t="s" s="35">
        <v>5174</v>
      </c>
      <c r="I698" t="s" s="120">
        <v>5180</v>
      </c>
      <c r="J698" t="s" s="35">
        <v>1301</v>
      </c>
      <c r="K698" t="s" s="35">
        <v>1832</v>
      </c>
      <c r="L698" s="39"/>
      <c r="M698" t="str" s="39">
        <v>Fuera del marco</v>
      </c>
      <c r="N698" t="str" s="39">
        <v>Fuera del marco</v>
      </c>
      <c r="O698" t="str" s="39" cm="1">
        <f t="array" ref="O698">IF(L698="","",_xlfn.IFERROR(INDEX('Datos - Catálogo TIMSS'!$C$5:$C$107,MATCH(L698,'Datos - Catálogo TIMSS'!$A$5:$A$107,0)),"?"))</f>
      </c>
      <c r="P698" t="s" s="35">
        <v>254</v>
      </c>
      <c r="Q698" t="s" s="120">
        <v>5181</v>
      </c>
      <c r="R698" t="s" s="120">
        <v>5182</v>
      </c>
      <c r="S698" s="121" cm="1">
        <f t="array" ref="S698">_xlfn.IFERROR(ISNUMBER(SEARCH("Conocer",$R698))/(ISNUMBER(SEARCH("Conocer",$R698))+ISNUMBER(SEARCH("Aplicar",$R698))+ISNUMBER(SEARCH("Razonar",$R698))),0)</f>
        <v>0</v>
      </c>
      <c r="T698" s="121" cm="1">
        <f t="array" ref="T698">_xlfn.IFERROR(ISNUMBER(SEARCH("Aplicar",$R698))/(ISNUMBER(SEARCH("Conocer",$R698))+ISNUMBER(SEARCH("Aplicar",$R698))+ISNUMBER(SEARCH("Razonar",$R698))),0)</f>
        <v>0.5</v>
      </c>
      <c r="U698" s="121" cm="1">
        <f t="array" ref="U698">_xlfn.IFERROR(ISNUMBER(SEARCH("Razonar",$R698))/(ISNUMBER(SEARCH("Conocer",$R698))+ISNUMBER(SEARCH("Aplicar",$R698))+ISNUMBER(SEARCH("Razonar",$R698))),0)</f>
        <v>0.5</v>
      </c>
      <c r="V698" t="s" s="35">
        <v>87</v>
      </c>
      <c r="W698" t="s" s="35">
        <v>119</v>
      </c>
      <c r="X698" s="36" cm="1">
        <f t="array" ref="X698">IF(OR(_xlfn.IFERROR(INDEX('Datos - Catálogo TIMSS'!$I$5:$I$107,MATCH(K698,'Datos - Catálogo TIMSS'!$A$5:$A$107,0)),"No")="Sí",_xlfn.IFERROR(INDEX('Datos - Catálogo TIMSS'!$I$5:$I$107,MATCH(L698,'Datos - Catálogo TIMSS'!$A$5:$A$107,0)),"No")="Sí"),1,0)</f>
        <v>0</v>
      </c>
      <c r="Y698" s="36" cm="1">
        <f t="array" ref="Y698">IF(_xlfn.IFERROR(INDEX('Datos - Catálogo TIMSS'!$J$5:$J$107,MATCH(K698,'Datos - Catálogo TIMSS'!$A$5:$A$107,0)),"No")="Sí",1,0)</f>
        <v>0</v>
      </c>
      <c r="Z698" s="36" cm="1">
        <f t="array" ref="Z698">IF(_xlfn.IFERROR(INDEX('Datos - Catálogo TIMSS'!$J$5:$J$107,MATCH(L698,'Datos - Catálogo TIMSS'!$A$5:$A$107,0)),"No")="Sí",1,0)</f>
        <v>0</v>
      </c>
      <c r="AA698" t="s" s="35">
        <v>1832</v>
      </c>
      <c r="AB698" s="39"/>
      <c r="AC698" t="str" s="39">
        <v>Fuera del marco</v>
      </c>
      <c r="AD698" t="s" s="35">
        <v>1859</v>
      </c>
      <c r="AE698" t="str" s="39" cm="1">
        <f t="array" ref="AE698">IF(AD698="","",IF(LEFT(AD698,1)="1","C1",IF(LEFT(AD698,1)="2","C2",IF(LEFT(AD698,1)="3","C3",""))))</f>
        <v>C1</v>
      </c>
      <c r="AF698" t="s" s="35">
        <v>1602</v>
      </c>
      <c r="AG698" t="s" s="35">
        <v>1607</v>
      </c>
      <c r="AH698" t="s" s="35">
        <v>1605</v>
      </c>
      <c r="AI698" t="s" s="35">
        <v>1623</v>
      </c>
      <c r="AJ698" t="s" s="35">
        <v>1615</v>
      </c>
      <c r="AK698" s="39"/>
      <c r="AL698" s="39"/>
      <c r="AM698" s="39"/>
      <c r="AN698" s="39"/>
      <c r="AO698" s="39"/>
      <c r="AP698" s="39"/>
      <c r="AQ698" s="39"/>
      <c r="AR698" s="39"/>
      <c r="AS698" s="39"/>
      <c r="AT698" s="39"/>
      <c r="AU698" s="39"/>
      <c r="AV698" s="39"/>
      <c r="AW698" t="str" s="39" cm="1">
        <f t="array" ref="AW698">AF698&amp;"; "&amp;AG698&amp;"; "&amp;AH698&amp;"; "&amp;AI698&amp;"; "&amp;AJ698</f>
        <v>E1; E3; E2; D4; E6</v>
      </c>
    </row>
    <row r="699" ht="13.65" customHeight="1">
      <c r="A699" t="s" s="35">
        <v>5183</v>
      </c>
      <c r="B699" s="36">
        <v>10</v>
      </c>
      <c r="C699" t="s" s="35">
        <v>222</v>
      </c>
      <c r="D699" t="s" s="35">
        <v>4800</v>
      </c>
      <c r="E699" t="s" s="35">
        <v>4801</v>
      </c>
      <c r="F699" s="36">
        <v>75</v>
      </c>
      <c r="G699" t="s" s="35">
        <v>5173</v>
      </c>
      <c r="H699" t="s" s="35">
        <v>5174</v>
      </c>
      <c r="I699" t="s" s="120">
        <v>5184</v>
      </c>
      <c r="J699" t="s" s="35">
        <v>1301</v>
      </c>
      <c r="K699" t="s" s="35">
        <v>1832</v>
      </c>
      <c r="L699" s="39"/>
      <c r="M699" t="str" s="39">
        <v>Fuera del marco</v>
      </c>
      <c r="N699" t="str" s="39">
        <v>Fuera del marco</v>
      </c>
      <c r="O699" t="str" s="39" cm="1">
        <f t="array" ref="O699">IF(L699="","",_xlfn.IFERROR(INDEX('Datos - Catálogo TIMSS'!$C$5:$C$107,MATCH(L699,'Datos - Catálogo TIMSS'!$A$5:$A$107,0)),"?"))</f>
      </c>
      <c r="P699" t="s" s="35">
        <v>254</v>
      </c>
      <c r="Q699" t="s" s="120">
        <v>5185</v>
      </c>
      <c r="R699" t="s" s="120">
        <v>5186</v>
      </c>
      <c r="S699" s="121" cm="1">
        <f t="array" ref="S699">_xlfn.IFERROR(ISNUMBER(SEARCH("Conocer",$R699))/(ISNUMBER(SEARCH("Conocer",$R699))+ISNUMBER(SEARCH("Aplicar",$R699))+ISNUMBER(SEARCH("Razonar",$R699))),0)</f>
        <v>0</v>
      </c>
      <c r="T699" s="121" cm="1">
        <f t="array" ref="T699">_xlfn.IFERROR(ISNUMBER(SEARCH("Aplicar",$R699))/(ISNUMBER(SEARCH("Conocer",$R699))+ISNUMBER(SEARCH("Aplicar",$R699))+ISNUMBER(SEARCH("Razonar",$R699))),0)</f>
        <v>0.5</v>
      </c>
      <c r="U699" s="121" cm="1">
        <f t="array" ref="U699">_xlfn.IFERROR(ISNUMBER(SEARCH("Razonar",$R699))/(ISNUMBER(SEARCH("Conocer",$R699))+ISNUMBER(SEARCH("Aplicar",$R699))+ISNUMBER(SEARCH("Razonar",$R699))),0)</f>
        <v>0.5</v>
      </c>
      <c r="V699" t="s" s="35">
        <v>87</v>
      </c>
      <c r="W699" t="s" s="35">
        <v>119</v>
      </c>
      <c r="X699" s="36" cm="1">
        <f t="array" ref="X699">IF(OR(_xlfn.IFERROR(INDEX('Datos - Catálogo TIMSS'!$I$5:$I$107,MATCH(K699,'Datos - Catálogo TIMSS'!$A$5:$A$107,0)),"No")="Sí",_xlfn.IFERROR(INDEX('Datos - Catálogo TIMSS'!$I$5:$I$107,MATCH(L699,'Datos - Catálogo TIMSS'!$A$5:$A$107,0)),"No")="Sí"),1,0)</f>
        <v>0</v>
      </c>
      <c r="Y699" s="36" cm="1">
        <f t="array" ref="Y699">IF(_xlfn.IFERROR(INDEX('Datos - Catálogo TIMSS'!$J$5:$J$107,MATCH(K699,'Datos - Catálogo TIMSS'!$A$5:$A$107,0)),"No")="Sí",1,0)</f>
        <v>0</v>
      </c>
      <c r="Z699" s="36" cm="1">
        <f t="array" ref="Z699">IF(_xlfn.IFERROR(INDEX('Datos - Catálogo TIMSS'!$J$5:$J$107,MATCH(L699,'Datos - Catálogo TIMSS'!$A$5:$A$107,0)),"No")="Sí",1,0)</f>
        <v>0</v>
      </c>
      <c r="AA699" t="s" s="35">
        <v>1832</v>
      </c>
      <c r="AB699" s="39"/>
      <c r="AC699" t="str" s="39">
        <v>Fuera del marco</v>
      </c>
      <c r="AD699" t="s" s="35">
        <v>1900</v>
      </c>
      <c r="AE699" t="str" s="39" cm="1">
        <f t="array" ref="AE699">IF(AD699="","",IF(LEFT(AD699,1)="1","C1",IF(LEFT(AD699,1)="2","C2",IF(LEFT(AD699,1)="3","C3",""))))</f>
        <v>C3</v>
      </c>
      <c r="AF699" t="s" s="35">
        <v>1602</v>
      </c>
      <c r="AG699" t="s" s="35">
        <v>1612</v>
      </c>
      <c r="AH699" t="s" s="35">
        <v>1602</v>
      </c>
      <c r="AI699" t="s" s="35">
        <v>1625</v>
      </c>
      <c r="AJ699" t="s" s="35">
        <v>1607</v>
      </c>
      <c r="AK699" s="39"/>
      <c r="AL699" s="39"/>
      <c r="AM699" s="39"/>
      <c r="AN699" s="39"/>
      <c r="AO699" s="39"/>
      <c r="AP699" s="39"/>
      <c r="AQ699" s="39"/>
      <c r="AR699" s="39"/>
      <c r="AS699" s="39"/>
      <c r="AT699" s="39"/>
      <c r="AU699" s="39"/>
      <c r="AV699" s="39"/>
      <c r="AW699" t="str" s="39" cm="1">
        <f t="array" ref="AW699">AF699&amp;"; "&amp;AG699&amp;"; "&amp;AH699&amp;"; "&amp;AI699&amp;"; "&amp;AJ699</f>
        <v>E1; E5; E1; I1; E3</v>
      </c>
    </row>
    <row r="700" ht="13.65" customHeight="1">
      <c r="A700" t="s" s="35">
        <v>5188</v>
      </c>
      <c r="B700" s="36">
        <v>10</v>
      </c>
      <c r="C700" t="s" s="35">
        <v>222</v>
      </c>
      <c r="D700" t="s" s="35">
        <v>4800</v>
      </c>
      <c r="E700" t="s" s="35">
        <v>4801</v>
      </c>
      <c r="F700" s="36">
        <v>76</v>
      </c>
      <c r="G700" t="s" s="35">
        <v>5173</v>
      </c>
      <c r="H700" t="s" s="35">
        <v>5189</v>
      </c>
      <c r="I700" t="s" s="120">
        <v>5190</v>
      </c>
      <c r="J700" t="s" s="35">
        <v>1301</v>
      </c>
      <c r="K700" t="s" s="35">
        <v>1832</v>
      </c>
      <c r="L700" s="39"/>
      <c r="M700" t="str" s="39">
        <v>Fuera del marco</v>
      </c>
      <c r="N700" t="str" s="39">
        <v>Fuera del marco</v>
      </c>
      <c r="O700" t="str" s="39" cm="1">
        <f t="array" ref="O700">IF(L700="","",_xlfn.IFERROR(INDEX('Datos - Catálogo TIMSS'!$C$5:$C$107,MATCH(L700,'Datos - Catálogo TIMSS'!$A$5:$A$107,0)),"?"))</f>
      </c>
      <c r="P700" t="s" s="35">
        <v>254</v>
      </c>
      <c r="Q700" t="s" s="120">
        <v>5191</v>
      </c>
      <c r="R700" t="s" s="120">
        <v>5192</v>
      </c>
      <c r="S700" s="121" cm="1">
        <f t="array" ref="S700">_xlfn.IFERROR(ISNUMBER(SEARCH("Conocer",$R700))/(ISNUMBER(SEARCH("Conocer",$R700))+ISNUMBER(SEARCH("Aplicar",$R700))+ISNUMBER(SEARCH("Razonar",$R700))),0)</f>
        <v>0</v>
      </c>
      <c r="T700" s="121" cm="1">
        <f t="array" ref="T700">_xlfn.IFERROR(ISNUMBER(SEARCH("Aplicar",$R700))/(ISNUMBER(SEARCH("Conocer",$R700))+ISNUMBER(SEARCH("Aplicar",$R700))+ISNUMBER(SEARCH("Razonar",$R700))),0)</f>
        <v>0.5</v>
      </c>
      <c r="U700" s="121" cm="1">
        <f t="array" ref="U700">_xlfn.IFERROR(ISNUMBER(SEARCH("Razonar",$R700))/(ISNUMBER(SEARCH("Conocer",$R700))+ISNUMBER(SEARCH("Aplicar",$R700))+ISNUMBER(SEARCH("Razonar",$R700))),0)</f>
        <v>0.5</v>
      </c>
      <c r="V700" t="s" s="35">
        <v>87</v>
      </c>
      <c r="W700" t="s" s="35">
        <v>119</v>
      </c>
      <c r="X700" s="36" cm="1">
        <f t="array" ref="X700">IF(OR(_xlfn.IFERROR(INDEX('Datos - Catálogo TIMSS'!$I$5:$I$107,MATCH(K700,'Datos - Catálogo TIMSS'!$A$5:$A$107,0)),"No")="Sí",_xlfn.IFERROR(INDEX('Datos - Catálogo TIMSS'!$I$5:$I$107,MATCH(L700,'Datos - Catálogo TIMSS'!$A$5:$A$107,0)),"No")="Sí"),1,0)</f>
        <v>0</v>
      </c>
      <c r="Y700" s="36" cm="1">
        <f t="array" ref="Y700">IF(_xlfn.IFERROR(INDEX('Datos - Catálogo TIMSS'!$J$5:$J$107,MATCH(K700,'Datos - Catálogo TIMSS'!$A$5:$A$107,0)),"No")="Sí",1,0)</f>
        <v>0</v>
      </c>
      <c r="Z700" s="36" cm="1">
        <f t="array" ref="Z700">IF(_xlfn.IFERROR(INDEX('Datos - Catálogo TIMSS'!$J$5:$J$107,MATCH(L700,'Datos - Catálogo TIMSS'!$A$5:$A$107,0)),"No")="Sí",1,0)</f>
        <v>0</v>
      </c>
      <c r="AA700" t="s" s="35">
        <v>1832</v>
      </c>
      <c r="AB700" s="39"/>
      <c r="AC700" t="str" s="39">
        <v>Fuera del marco</v>
      </c>
      <c r="AD700" t="s" s="35">
        <v>1834</v>
      </c>
      <c r="AE700" t="str" s="39" cm="1">
        <f t="array" ref="AE700">IF(AD700="","",IF(LEFT(AD700,1)="1","C1",IF(LEFT(AD700,1)="2","C2",IF(LEFT(AD700,1)="3","C3",""))))</f>
        <v>C2</v>
      </c>
      <c r="AF700" t="s" s="35">
        <v>1602</v>
      </c>
      <c r="AG700" t="s" s="35">
        <v>1617</v>
      </c>
      <c r="AH700" t="s" s="35">
        <v>1609</v>
      </c>
      <c r="AI700" t="s" s="35">
        <v>1619</v>
      </c>
      <c r="AJ700" t="s" s="35">
        <v>1621</v>
      </c>
      <c r="AK700" s="39"/>
      <c r="AL700" s="39"/>
      <c r="AM700" s="39"/>
      <c r="AN700" s="39"/>
      <c r="AO700" s="39"/>
      <c r="AP700" s="39"/>
      <c r="AQ700" s="39"/>
      <c r="AR700" s="39"/>
      <c r="AS700" s="39"/>
      <c r="AT700" s="39"/>
      <c r="AU700" s="39"/>
      <c r="AV700" s="39"/>
      <c r="AW700" t="str" s="39" cm="1">
        <f t="array" ref="AW700">AF700&amp;"; "&amp;AG700&amp;"; "&amp;AH700&amp;"; "&amp;AI700&amp;"; "&amp;AJ700</f>
        <v>E1; D1; E4; D2; D3</v>
      </c>
    </row>
    <row r="701" ht="13.65" customHeight="1">
      <c r="A701" t="s" s="35">
        <v>5193</v>
      </c>
      <c r="B701" s="36">
        <v>10</v>
      </c>
      <c r="C701" t="s" s="35">
        <v>222</v>
      </c>
      <c r="D701" t="s" s="35">
        <v>4800</v>
      </c>
      <c r="E701" t="s" s="35">
        <v>4801</v>
      </c>
      <c r="F701" s="36">
        <v>77</v>
      </c>
      <c r="G701" t="s" s="35">
        <v>5173</v>
      </c>
      <c r="H701" t="s" s="35">
        <v>5194</v>
      </c>
      <c r="I701" t="s" s="120">
        <v>5195</v>
      </c>
      <c r="J701" t="s" s="35">
        <v>1301</v>
      </c>
      <c r="K701" t="s" s="35">
        <v>1832</v>
      </c>
      <c r="L701" s="39"/>
      <c r="M701" t="str" s="39">
        <v>Fuera del marco</v>
      </c>
      <c r="N701" t="str" s="39">
        <v>Fuera del marco</v>
      </c>
      <c r="O701" t="str" s="39" cm="1">
        <f t="array" ref="O701">IF(L701="","",_xlfn.IFERROR(INDEX('Datos - Catálogo TIMSS'!$C$5:$C$107,MATCH(L701,'Datos - Catálogo TIMSS'!$A$5:$A$107,0)),"?"))</f>
      </c>
      <c r="P701" t="s" s="35">
        <v>254</v>
      </c>
      <c r="Q701" t="s" s="120">
        <v>5196</v>
      </c>
      <c r="R701" t="s" s="120">
        <v>5197</v>
      </c>
      <c r="S701" s="121" cm="1">
        <f t="array" ref="S701">_xlfn.IFERROR(ISNUMBER(SEARCH("Conocer",$R701))/(ISNUMBER(SEARCH("Conocer",$R701))+ISNUMBER(SEARCH("Aplicar",$R701))+ISNUMBER(SEARCH("Razonar",$R701))),0)</f>
        <v>0</v>
      </c>
      <c r="T701" s="121" cm="1">
        <f t="array" ref="T701">_xlfn.IFERROR(ISNUMBER(SEARCH("Aplicar",$R701))/(ISNUMBER(SEARCH("Conocer",$R701))+ISNUMBER(SEARCH("Aplicar",$R701))+ISNUMBER(SEARCH("Razonar",$R701))),0)</f>
        <v>0.5</v>
      </c>
      <c r="U701" s="121" cm="1">
        <f t="array" ref="U701">_xlfn.IFERROR(ISNUMBER(SEARCH("Razonar",$R701))/(ISNUMBER(SEARCH("Conocer",$R701))+ISNUMBER(SEARCH("Aplicar",$R701))+ISNUMBER(SEARCH("Razonar",$R701))),0)</f>
        <v>0.5</v>
      </c>
      <c r="V701" t="s" s="35">
        <v>87</v>
      </c>
      <c r="W701" t="s" s="35">
        <v>119</v>
      </c>
      <c r="X701" s="36" cm="1">
        <f t="array" ref="X701">IF(OR(_xlfn.IFERROR(INDEX('Datos - Catálogo TIMSS'!$I$5:$I$107,MATCH(K701,'Datos - Catálogo TIMSS'!$A$5:$A$107,0)),"No")="Sí",_xlfn.IFERROR(INDEX('Datos - Catálogo TIMSS'!$I$5:$I$107,MATCH(L701,'Datos - Catálogo TIMSS'!$A$5:$A$107,0)),"No")="Sí"),1,0)</f>
        <v>0</v>
      </c>
      <c r="Y701" s="36" cm="1">
        <f t="array" ref="Y701">IF(_xlfn.IFERROR(INDEX('Datos - Catálogo TIMSS'!$J$5:$J$107,MATCH(K701,'Datos - Catálogo TIMSS'!$A$5:$A$107,0)),"No")="Sí",1,0)</f>
        <v>0</v>
      </c>
      <c r="Z701" s="36" cm="1">
        <f t="array" ref="Z701">IF(_xlfn.IFERROR(INDEX('Datos - Catálogo TIMSS'!$J$5:$J$107,MATCH(L701,'Datos - Catálogo TIMSS'!$A$5:$A$107,0)),"No")="Sí",1,0)</f>
        <v>0</v>
      </c>
      <c r="AA701" t="s" s="35">
        <v>1832</v>
      </c>
      <c r="AB701" s="39"/>
      <c r="AC701" t="str" s="39">
        <v>Fuera del marco</v>
      </c>
      <c r="AD701" t="s" s="35">
        <v>1859</v>
      </c>
      <c r="AE701" t="str" s="39" cm="1">
        <f t="array" ref="AE701">IF(AD701="","",IF(LEFT(AD701,1)="1","C1",IF(LEFT(AD701,1)="2","C2",IF(LEFT(AD701,1)="3","C3",""))))</f>
        <v>C1</v>
      </c>
      <c r="AF701" t="s" s="35">
        <v>1602</v>
      </c>
      <c r="AG701" t="s" s="35">
        <v>1607</v>
      </c>
      <c r="AH701" t="s" s="35">
        <v>1609</v>
      </c>
      <c r="AI701" t="s" s="35">
        <v>1623</v>
      </c>
      <c r="AJ701" t="s" s="35">
        <v>1615</v>
      </c>
      <c r="AK701" s="39"/>
      <c r="AL701" s="39"/>
      <c r="AM701" s="39"/>
      <c r="AN701" s="39"/>
      <c r="AO701" s="39"/>
      <c r="AP701" s="39"/>
      <c r="AQ701" s="39"/>
      <c r="AR701" s="39"/>
      <c r="AS701" s="39"/>
      <c r="AT701" s="39"/>
      <c r="AU701" s="39"/>
      <c r="AV701" s="39"/>
      <c r="AW701" t="str" s="39" cm="1">
        <f t="array" ref="AW701">AF701&amp;"; "&amp;AG701&amp;"; "&amp;AH701&amp;"; "&amp;AI701&amp;"; "&amp;AJ701</f>
        <v>E1; E3; E4; D4; E6</v>
      </c>
    </row>
    <row r="702" ht="13.65" customHeight="1">
      <c r="A702" t="s" s="35">
        <v>5198</v>
      </c>
      <c r="B702" s="36">
        <v>10</v>
      </c>
      <c r="C702" t="s" s="35">
        <v>222</v>
      </c>
      <c r="D702" t="s" s="35">
        <v>4800</v>
      </c>
      <c r="E702" t="s" s="35">
        <v>4801</v>
      </c>
      <c r="F702" s="36">
        <v>78</v>
      </c>
      <c r="G702" t="s" s="35">
        <v>5173</v>
      </c>
      <c r="H702" t="s" s="35">
        <v>5194</v>
      </c>
      <c r="I702" t="s" s="120">
        <v>5199</v>
      </c>
      <c r="J702" t="s" s="35">
        <v>1301</v>
      </c>
      <c r="K702" t="s" s="35">
        <v>1832</v>
      </c>
      <c r="L702" s="39"/>
      <c r="M702" t="str" s="39">
        <v>Fuera del marco</v>
      </c>
      <c r="N702" t="str" s="39">
        <v>Fuera del marco</v>
      </c>
      <c r="O702" t="str" s="39" cm="1">
        <f t="array" ref="O702">IF(L702="","",_xlfn.IFERROR(INDEX('Datos - Catálogo TIMSS'!$C$5:$C$107,MATCH(L702,'Datos - Catálogo TIMSS'!$A$5:$A$107,0)),"?"))</f>
      </c>
      <c r="P702" t="s" s="35">
        <v>282</v>
      </c>
      <c r="Q702" t="s" s="120">
        <v>5200</v>
      </c>
      <c r="R702" t="s" s="120">
        <v>5201</v>
      </c>
      <c r="S702" s="121" cm="1">
        <f t="array" ref="S702">_xlfn.IFERROR(ISNUMBER(SEARCH("Conocer",$R702))/(ISNUMBER(SEARCH("Conocer",$R702))+ISNUMBER(SEARCH("Aplicar",$R702))+ISNUMBER(SEARCH("Razonar",$R702))),0)</f>
        <v>0</v>
      </c>
      <c r="T702" s="121" cm="1">
        <f t="array" ref="T702">_xlfn.IFERROR(ISNUMBER(SEARCH("Aplicar",$R702))/(ISNUMBER(SEARCH("Conocer",$R702))+ISNUMBER(SEARCH("Aplicar",$R702))+ISNUMBER(SEARCH("Razonar",$R702))),0)</f>
        <v>0.5</v>
      </c>
      <c r="U702" s="121" cm="1">
        <f t="array" ref="U702">_xlfn.IFERROR(ISNUMBER(SEARCH("Razonar",$R702))/(ISNUMBER(SEARCH("Conocer",$R702))+ISNUMBER(SEARCH("Aplicar",$R702))+ISNUMBER(SEARCH("Razonar",$R702))),0)</f>
        <v>0.5</v>
      </c>
      <c r="V702" t="s" s="35">
        <v>87</v>
      </c>
      <c r="W702" t="s" s="35">
        <v>119</v>
      </c>
      <c r="X702" s="36" cm="1">
        <f t="array" ref="X702">IF(OR(_xlfn.IFERROR(INDEX('Datos - Catálogo TIMSS'!$I$5:$I$107,MATCH(K702,'Datos - Catálogo TIMSS'!$A$5:$A$107,0)),"No")="Sí",_xlfn.IFERROR(INDEX('Datos - Catálogo TIMSS'!$I$5:$I$107,MATCH(L702,'Datos - Catálogo TIMSS'!$A$5:$A$107,0)),"No")="Sí"),1,0)</f>
        <v>0</v>
      </c>
      <c r="Y702" s="36" cm="1">
        <f t="array" ref="Y702">IF(_xlfn.IFERROR(INDEX('Datos - Catálogo TIMSS'!$J$5:$J$107,MATCH(K702,'Datos - Catálogo TIMSS'!$A$5:$A$107,0)),"No")="Sí",1,0)</f>
        <v>0</v>
      </c>
      <c r="Z702" s="36" cm="1">
        <f t="array" ref="Z702">IF(_xlfn.IFERROR(INDEX('Datos - Catálogo TIMSS'!$J$5:$J$107,MATCH(L702,'Datos - Catálogo TIMSS'!$A$5:$A$107,0)),"No")="Sí",1,0)</f>
        <v>0</v>
      </c>
      <c r="AA702" t="s" s="35">
        <v>1832</v>
      </c>
      <c r="AB702" s="39"/>
      <c r="AC702" t="str" s="39">
        <v>Fuera del marco</v>
      </c>
      <c r="AD702" t="s" s="35">
        <v>1859</v>
      </c>
      <c r="AE702" t="str" s="39" cm="1">
        <f t="array" ref="AE702">IF(AD702="","",IF(LEFT(AD702,1)="1","C1",IF(LEFT(AD702,1)="2","C2",IF(LEFT(AD702,1)="3","C3",""))))</f>
        <v>C1</v>
      </c>
      <c r="AF702" t="s" s="35">
        <v>1615</v>
      </c>
      <c r="AG702" t="s" s="35">
        <v>1612</v>
      </c>
      <c r="AH702" t="s" s="35">
        <v>1602</v>
      </c>
      <c r="AI702" t="s" s="35">
        <v>1619</v>
      </c>
      <c r="AJ702" t="s" s="35">
        <v>1633</v>
      </c>
      <c r="AK702" s="39"/>
      <c r="AL702" s="39"/>
      <c r="AM702" s="39"/>
      <c r="AN702" s="39"/>
      <c r="AO702" s="39"/>
      <c r="AP702" s="39"/>
      <c r="AQ702" s="39"/>
      <c r="AR702" s="39"/>
      <c r="AS702" s="39"/>
      <c r="AT702" s="39"/>
      <c r="AU702" s="39"/>
      <c r="AV702" s="39"/>
      <c r="AW702" t="str" s="39" cm="1">
        <f t="array" ref="AW702">AF702&amp;"; "&amp;AG702&amp;"; "&amp;AH702&amp;"; "&amp;AI702&amp;"; "&amp;AJ702</f>
        <v>E6; E5; E1; D2; I5</v>
      </c>
    </row>
    <row r="703" ht="13.65" customHeight="1">
      <c r="A703" t="s" s="35">
        <v>5203</v>
      </c>
      <c r="B703" s="36">
        <v>10</v>
      </c>
      <c r="C703" t="s" s="35">
        <v>222</v>
      </c>
      <c r="D703" t="s" s="35">
        <v>4800</v>
      </c>
      <c r="E703" t="s" s="35">
        <v>4801</v>
      </c>
      <c r="F703" s="36">
        <v>79</v>
      </c>
      <c r="G703" t="s" s="35">
        <v>5173</v>
      </c>
      <c r="H703" t="s" s="35">
        <v>5204</v>
      </c>
      <c r="I703" t="s" s="120">
        <v>5205</v>
      </c>
      <c r="J703" t="s" s="35">
        <v>1301</v>
      </c>
      <c r="K703" t="s" s="35">
        <v>1832</v>
      </c>
      <c r="L703" s="39"/>
      <c r="M703" t="str" s="39">
        <v>Fuera del marco</v>
      </c>
      <c r="N703" t="str" s="39">
        <v>Fuera del marco</v>
      </c>
      <c r="O703" t="str" s="39" cm="1">
        <f t="array" ref="O703">IF(L703="","",_xlfn.IFERROR(INDEX('Datos - Catálogo TIMSS'!$C$5:$C$107,MATCH(L703,'Datos - Catálogo TIMSS'!$A$5:$A$107,0)),"?"))</f>
      </c>
      <c r="P703" t="s" s="35">
        <v>254</v>
      </c>
      <c r="Q703" t="s" s="120">
        <v>5206</v>
      </c>
      <c r="R703" t="s" s="120">
        <v>5207</v>
      </c>
      <c r="S703" s="121" cm="1">
        <f t="array" ref="S703">_xlfn.IFERROR(ISNUMBER(SEARCH("Conocer",$R703))/(ISNUMBER(SEARCH("Conocer",$R703))+ISNUMBER(SEARCH("Aplicar",$R703))+ISNUMBER(SEARCH("Razonar",$R703))),0)</f>
        <v>0</v>
      </c>
      <c r="T703" s="121" cm="1">
        <f t="array" ref="T703">_xlfn.IFERROR(ISNUMBER(SEARCH("Aplicar",$R703))/(ISNUMBER(SEARCH("Conocer",$R703))+ISNUMBER(SEARCH("Aplicar",$R703))+ISNUMBER(SEARCH("Razonar",$R703))),0)</f>
        <v>0.5</v>
      </c>
      <c r="U703" s="121" cm="1">
        <f t="array" ref="U703">_xlfn.IFERROR(ISNUMBER(SEARCH("Razonar",$R703))/(ISNUMBER(SEARCH("Conocer",$R703))+ISNUMBER(SEARCH("Aplicar",$R703))+ISNUMBER(SEARCH("Razonar",$R703))),0)</f>
        <v>0.5</v>
      </c>
      <c r="V703" t="s" s="35">
        <v>87</v>
      </c>
      <c r="W703" t="s" s="35">
        <v>119</v>
      </c>
      <c r="X703" s="36" cm="1">
        <f t="array" ref="X703">IF(OR(_xlfn.IFERROR(INDEX('Datos - Catálogo TIMSS'!$I$5:$I$107,MATCH(K703,'Datos - Catálogo TIMSS'!$A$5:$A$107,0)),"No")="Sí",_xlfn.IFERROR(INDEX('Datos - Catálogo TIMSS'!$I$5:$I$107,MATCH(L703,'Datos - Catálogo TIMSS'!$A$5:$A$107,0)),"No")="Sí"),1,0)</f>
        <v>0</v>
      </c>
      <c r="Y703" s="36" cm="1">
        <f t="array" ref="Y703">IF(_xlfn.IFERROR(INDEX('Datos - Catálogo TIMSS'!$J$5:$J$107,MATCH(K703,'Datos - Catálogo TIMSS'!$A$5:$A$107,0)),"No")="Sí",1,0)</f>
        <v>0</v>
      </c>
      <c r="Z703" s="36" cm="1">
        <f t="array" ref="Z703">IF(_xlfn.IFERROR(INDEX('Datos - Catálogo TIMSS'!$J$5:$J$107,MATCH(L703,'Datos - Catálogo TIMSS'!$A$5:$A$107,0)),"No")="Sí",1,0)</f>
        <v>0</v>
      </c>
      <c r="AA703" t="s" s="35">
        <v>1832</v>
      </c>
      <c r="AB703" s="39"/>
      <c r="AC703" t="str" s="39">
        <v>Fuera del marco</v>
      </c>
      <c r="AD703" t="s" s="35">
        <v>1859</v>
      </c>
      <c r="AE703" t="str" s="39" cm="1">
        <f t="array" ref="AE703">IF(AD703="","",IF(LEFT(AD703,1)="1","C1",IF(LEFT(AD703,1)="2","C2",IF(LEFT(AD703,1)="3","C3",""))))</f>
        <v>C1</v>
      </c>
      <c r="AF703" t="s" s="35">
        <v>1602</v>
      </c>
      <c r="AG703" t="s" s="35">
        <v>1617</v>
      </c>
      <c r="AH703" t="s" s="35">
        <v>1605</v>
      </c>
      <c r="AI703" t="s" s="35">
        <v>1623</v>
      </c>
      <c r="AJ703" t="s" s="35">
        <v>1607</v>
      </c>
      <c r="AK703" s="39"/>
      <c r="AL703" s="39"/>
      <c r="AM703" s="39"/>
      <c r="AN703" s="39"/>
      <c r="AO703" s="39"/>
      <c r="AP703" s="39"/>
      <c r="AQ703" s="39"/>
      <c r="AR703" s="39"/>
      <c r="AS703" s="39"/>
      <c r="AT703" s="39"/>
      <c r="AU703" s="39"/>
      <c r="AV703" s="39"/>
      <c r="AW703" t="str" s="39" cm="1">
        <f t="array" ref="AW703">AF703&amp;"; "&amp;AG703&amp;"; "&amp;AH703&amp;"; "&amp;AI703&amp;"; "&amp;AJ703</f>
        <v>E1; D1; E2; D4; E3</v>
      </c>
    </row>
    <row r="704" ht="13.65" customHeight="1">
      <c r="A704" t="s" s="35">
        <v>5208</v>
      </c>
      <c r="B704" s="36">
        <v>10</v>
      </c>
      <c r="C704" t="s" s="35">
        <v>222</v>
      </c>
      <c r="D704" t="s" s="35">
        <v>4800</v>
      </c>
      <c r="E704" t="s" s="35">
        <v>4801</v>
      </c>
      <c r="F704" s="36">
        <v>80</v>
      </c>
      <c r="G704" t="s" s="35">
        <v>5173</v>
      </c>
      <c r="H704" t="s" s="35">
        <v>5204</v>
      </c>
      <c r="I704" t="s" s="120">
        <v>5209</v>
      </c>
      <c r="J704" t="s" s="35">
        <v>1301</v>
      </c>
      <c r="K704" t="s" s="35">
        <v>1832</v>
      </c>
      <c r="L704" s="39"/>
      <c r="M704" t="str" s="39">
        <v>Fuera del marco</v>
      </c>
      <c r="N704" t="str" s="39">
        <v>Fuera del marco</v>
      </c>
      <c r="O704" t="str" s="39" cm="1">
        <f t="array" ref="O704">IF(L704="","",_xlfn.IFERROR(INDEX('Datos - Catálogo TIMSS'!$C$5:$C$107,MATCH(L704,'Datos - Catálogo TIMSS'!$A$5:$A$107,0)),"?"))</f>
      </c>
      <c r="P704" t="s" s="35">
        <v>254</v>
      </c>
      <c r="Q704" t="s" s="120">
        <v>5210</v>
      </c>
      <c r="R704" t="s" s="120">
        <v>5211</v>
      </c>
      <c r="S704" s="121" cm="1">
        <f t="array" ref="S704">_xlfn.IFERROR(ISNUMBER(SEARCH("Conocer",$R704))/(ISNUMBER(SEARCH("Conocer",$R704))+ISNUMBER(SEARCH("Aplicar",$R704))+ISNUMBER(SEARCH("Razonar",$R704))),0)</f>
        <v>0</v>
      </c>
      <c r="T704" s="121" cm="1">
        <f t="array" ref="T704">_xlfn.IFERROR(ISNUMBER(SEARCH("Aplicar",$R704))/(ISNUMBER(SEARCH("Conocer",$R704))+ISNUMBER(SEARCH("Aplicar",$R704))+ISNUMBER(SEARCH("Razonar",$R704))),0)</f>
        <v>0.5</v>
      </c>
      <c r="U704" s="121" cm="1">
        <f t="array" ref="U704">_xlfn.IFERROR(ISNUMBER(SEARCH("Razonar",$R704))/(ISNUMBER(SEARCH("Conocer",$R704))+ISNUMBER(SEARCH("Aplicar",$R704))+ISNUMBER(SEARCH("Razonar",$R704))),0)</f>
        <v>0.5</v>
      </c>
      <c r="V704" t="s" s="35">
        <v>87</v>
      </c>
      <c r="W704" t="s" s="35">
        <v>119</v>
      </c>
      <c r="X704" s="36" cm="1">
        <f t="array" ref="X704">IF(OR(_xlfn.IFERROR(INDEX('Datos - Catálogo TIMSS'!$I$5:$I$107,MATCH(K704,'Datos - Catálogo TIMSS'!$A$5:$A$107,0)),"No")="Sí",_xlfn.IFERROR(INDEX('Datos - Catálogo TIMSS'!$I$5:$I$107,MATCH(L704,'Datos - Catálogo TIMSS'!$A$5:$A$107,0)),"No")="Sí"),1,0)</f>
        <v>0</v>
      </c>
      <c r="Y704" s="36" cm="1">
        <f t="array" ref="Y704">IF(_xlfn.IFERROR(INDEX('Datos - Catálogo TIMSS'!$J$5:$J$107,MATCH(K704,'Datos - Catálogo TIMSS'!$A$5:$A$107,0)),"No")="Sí",1,0)</f>
        <v>0</v>
      </c>
      <c r="Z704" s="36" cm="1">
        <f t="array" ref="Z704">IF(_xlfn.IFERROR(INDEX('Datos - Catálogo TIMSS'!$J$5:$J$107,MATCH(L704,'Datos - Catálogo TIMSS'!$A$5:$A$107,0)),"No")="Sí",1,0)</f>
        <v>0</v>
      </c>
      <c r="AA704" t="s" s="35">
        <v>1832</v>
      </c>
      <c r="AB704" s="39"/>
      <c r="AC704" t="str" s="39">
        <v>Fuera del marco</v>
      </c>
      <c r="AD704" t="s" s="35">
        <v>1859</v>
      </c>
      <c r="AE704" t="str" s="39" cm="1">
        <f t="array" ref="AE704">IF(AD704="","",IF(LEFT(AD704,1)="1","C1",IF(LEFT(AD704,1)="2","C2",IF(LEFT(AD704,1)="3","C3",""))))</f>
        <v>C1</v>
      </c>
      <c r="AF704" t="s" s="35">
        <v>1615</v>
      </c>
      <c r="AG704" t="s" s="35">
        <v>1607</v>
      </c>
      <c r="AH704" t="s" s="35">
        <v>1602</v>
      </c>
      <c r="AI704" t="s" s="35">
        <v>1623</v>
      </c>
      <c r="AJ704" t="s" s="35">
        <v>1633</v>
      </c>
      <c r="AK704" s="39"/>
      <c r="AL704" s="39"/>
      <c r="AM704" s="39"/>
      <c r="AN704" s="39"/>
      <c r="AO704" s="39"/>
      <c r="AP704" s="39"/>
      <c r="AQ704" s="39"/>
      <c r="AR704" s="39"/>
      <c r="AS704" s="39"/>
      <c r="AT704" s="39"/>
      <c r="AU704" s="39"/>
      <c r="AV704" s="39"/>
      <c r="AW704" t="str" s="39" cm="1">
        <f t="array" ref="AW704">AF704&amp;"; "&amp;AG704&amp;"; "&amp;AH704&amp;"; "&amp;AI704&amp;"; "&amp;AJ704</f>
        <v>E6; E3; E1; D4; I5</v>
      </c>
    </row>
    <row r="705" ht="13.65" customHeight="1">
      <c r="A705" t="s" s="35">
        <v>5212</v>
      </c>
      <c r="B705" s="36">
        <v>10</v>
      </c>
      <c r="C705" t="s" s="35">
        <v>222</v>
      </c>
      <c r="D705" t="s" s="35">
        <v>4800</v>
      </c>
      <c r="E705" t="s" s="35">
        <v>4801</v>
      </c>
      <c r="F705" s="36">
        <v>81</v>
      </c>
      <c r="G705" t="s" s="35">
        <v>5173</v>
      </c>
      <c r="H705" t="s" s="35">
        <v>5213</v>
      </c>
      <c r="I705" t="s" s="120">
        <v>5214</v>
      </c>
      <c r="J705" t="s" s="35">
        <v>1301</v>
      </c>
      <c r="K705" t="s" s="35">
        <v>1832</v>
      </c>
      <c r="L705" s="39"/>
      <c r="M705" t="str" s="39">
        <v>Fuera del marco</v>
      </c>
      <c r="N705" t="str" s="39">
        <v>Fuera del marco</v>
      </c>
      <c r="O705" t="str" s="39" cm="1">
        <f t="array" ref="O705">IF(L705="","",_xlfn.IFERROR(INDEX('Datos - Catálogo TIMSS'!$C$5:$C$107,MATCH(L705,'Datos - Catálogo TIMSS'!$A$5:$A$107,0)),"?"))</f>
      </c>
      <c r="P705" t="s" s="35">
        <v>282</v>
      </c>
      <c r="Q705" t="s" s="120">
        <v>5215</v>
      </c>
      <c r="R705" t="s" s="120">
        <v>5216</v>
      </c>
      <c r="S705" s="121" cm="1">
        <f t="array" ref="S705">_xlfn.IFERROR(ISNUMBER(SEARCH("Conocer",$R705))/(ISNUMBER(SEARCH("Conocer",$R705))+ISNUMBER(SEARCH("Aplicar",$R705))+ISNUMBER(SEARCH("Razonar",$R705))),0)</f>
        <v>0</v>
      </c>
      <c r="T705" s="121" cm="1">
        <f t="array" ref="T705">_xlfn.IFERROR(ISNUMBER(SEARCH("Aplicar",$R705))/(ISNUMBER(SEARCH("Conocer",$R705))+ISNUMBER(SEARCH("Aplicar",$R705))+ISNUMBER(SEARCH("Razonar",$R705))),0)</f>
        <v>0.5</v>
      </c>
      <c r="U705" s="121" cm="1">
        <f t="array" ref="U705">_xlfn.IFERROR(ISNUMBER(SEARCH("Razonar",$R705))/(ISNUMBER(SEARCH("Conocer",$R705))+ISNUMBER(SEARCH("Aplicar",$R705))+ISNUMBER(SEARCH("Razonar",$R705))),0)</f>
        <v>0.5</v>
      </c>
      <c r="V705" t="s" s="35">
        <v>87</v>
      </c>
      <c r="W705" t="s" s="35">
        <v>119</v>
      </c>
      <c r="X705" s="36" cm="1">
        <f t="array" ref="X705">IF(OR(_xlfn.IFERROR(INDEX('Datos - Catálogo TIMSS'!$I$5:$I$107,MATCH(K705,'Datos - Catálogo TIMSS'!$A$5:$A$107,0)),"No")="Sí",_xlfn.IFERROR(INDEX('Datos - Catálogo TIMSS'!$I$5:$I$107,MATCH(L705,'Datos - Catálogo TIMSS'!$A$5:$A$107,0)),"No")="Sí"),1,0)</f>
        <v>0</v>
      </c>
      <c r="Y705" s="36" cm="1">
        <f t="array" ref="Y705">IF(_xlfn.IFERROR(INDEX('Datos - Catálogo TIMSS'!$J$5:$J$107,MATCH(K705,'Datos - Catálogo TIMSS'!$A$5:$A$107,0)),"No")="Sí",1,0)</f>
        <v>0</v>
      </c>
      <c r="Z705" s="36" cm="1">
        <f t="array" ref="Z705">IF(_xlfn.IFERROR(INDEX('Datos - Catálogo TIMSS'!$J$5:$J$107,MATCH(L705,'Datos - Catálogo TIMSS'!$A$5:$A$107,0)),"No")="Sí",1,0)</f>
        <v>0</v>
      </c>
      <c r="AA705" t="s" s="35">
        <v>1832</v>
      </c>
      <c r="AB705" s="39"/>
      <c r="AC705" t="str" s="39">
        <v>Fuera del marco</v>
      </c>
      <c r="AD705" t="s" s="35">
        <v>1900</v>
      </c>
      <c r="AE705" t="str" s="39" cm="1">
        <f t="array" ref="AE705">IF(AD705="","",IF(LEFT(AD705,1)="1","C1",IF(LEFT(AD705,1)="2","C2",IF(LEFT(AD705,1)="3","C3",""))))</f>
        <v>C3</v>
      </c>
      <c r="AF705" t="s" s="35">
        <v>1602</v>
      </c>
      <c r="AG705" t="s" s="35">
        <v>1612</v>
      </c>
      <c r="AH705" t="s" s="35">
        <v>1609</v>
      </c>
      <c r="AI705" t="s" s="35">
        <v>1629</v>
      </c>
      <c r="AJ705" t="s" s="35">
        <v>1607</v>
      </c>
      <c r="AK705" s="39"/>
      <c r="AL705" s="39"/>
      <c r="AM705" s="39"/>
      <c r="AN705" s="39"/>
      <c r="AO705" s="39"/>
      <c r="AP705" s="39"/>
      <c r="AQ705" s="39"/>
      <c r="AR705" s="39"/>
      <c r="AS705" s="39"/>
      <c r="AT705" s="39"/>
      <c r="AU705" s="39"/>
      <c r="AV705" s="39"/>
      <c r="AW705" t="str" s="39" cm="1">
        <f t="array" ref="AW705">AF705&amp;"; "&amp;AG705&amp;"; "&amp;AH705&amp;"; "&amp;AI705&amp;"; "&amp;AJ705</f>
        <v>E1; E5; E4; I3; E3</v>
      </c>
    </row>
    <row r="706" ht="13.65" customHeight="1">
      <c r="A706" t="s" s="35">
        <v>5217</v>
      </c>
      <c r="B706" s="36">
        <v>10</v>
      </c>
      <c r="C706" t="s" s="35">
        <v>222</v>
      </c>
      <c r="D706" t="s" s="35">
        <v>4800</v>
      </c>
      <c r="E706" t="s" s="35">
        <v>4801</v>
      </c>
      <c r="F706" s="36">
        <v>82</v>
      </c>
      <c r="G706" t="s" s="35">
        <v>5173</v>
      </c>
      <c r="H706" t="s" s="35">
        <v>5213</v>
      </c>
      <c r="I706" t="s" s="120">
        <v>5218</v>
      </c>
      <c r="J706" t="s" s="35">
        <v>1301</v>
      </c>
      <c r="K706" t="s" s="35">
        <v>1832</v>
      </c>
      <c r="L706" s="39"/>
      <c r="M706" t="str" s="39">
        <v>Fuera del marco</v>
      </c>
      <c r="N706" t="str" s="39">
        <v>Fuera del marco</v>
      </c>
      <c r="O706" t="str" s="39" cm="1">
        <f t="array" ref="O706">IF(L706="","",_xlfn.IFERROR(INDEX('Datos - Catálogo TIMSS'!$C$5:$C$107,MATCH(L706,'Datos - Catálogo TIMSS'!$A$5:$A$107,0)),"?"))</f>
      </c>
      <c r="P706" t="s" s="35">
        <v>254</v>
      </c>
      <c r="Q706" t="s" s="120">
        <v>5219</v>
      </c>
      <c r="R706" t="s" s="120">
        <v>5220</v>
      </c>
      <c r="S706" s="121" cm="1">
        <f t="array" ref="S706">_xlfn.IFERROR(ISNUMBER(SEARCH("Conocer",$R706))/(ISNUMBER(SEARCH("Conocer",$R706))+ISNUMBER(SEARCH("Aplicar",$R706))+ISNUMBER(SEARCH("Razonar",$R706))),0)</f>
        <v>0</v>
      </c>
      <c r="T706" s="121" cm="1">
        <f t="array" ref="T706">_xlfn.IFERROR(ISNUMBER(SEARCH("Aplicar",$R706))/(ISNUMBER(SEARCH("Conocer",$R706))+ISNUMBER(SEARCH("Aplicar",$R706))+ISNUMBER(SEARCH("Razonar",$R706))),0)</f>
        <v>0.5</v>
      </c>
      <c r="U706" s="121" cm="1">
        <f t="array" ref="U706">_xlfn.IFERROR(ISNUMBER(SEARCH("Razonar",$R706))/(ISNUMBER(SEARCH("Conocer",$R706))+ISNUMBER(SEARCH("Aplicar",$R706))+ISNUMBER(SEARCH("Razonar",$R706))),0)</f>
        <v>0.5</v>
      </c>
      <c r="V706" t="s" s="35">
        <v>87</v>
      </c>
      <c r="W706" t="s" s="35">
        <v>119</v>
      </c>
      <c r="X706" s="36" cm="1">
        <f t="array" ref="X706">IF(OR(_xlfn.IFERROR(INDEX('Datos - Catálogo TIMSS'!$I$5:$I$107,MATCH(K706,'Datos - Catálogo TIMSS'!$A$5:$A$107,0)),"No")="Sí",_xlfn.IFERROR(INDEX('Datos - Catálogo TIMSS'!$I$5:$I$107,MATCH(L706,'Datos - Catálogo TIMSS'!$A$5:$A$107,0)),"No")="Sí"),1,0)</f>
        <v>0</v>
      </c>
      <c r="Y706" s="36" cm="1">
        <f t="array" ref="Y706">IF(_xlfn.IFERROR(INDEX('Datos - Catálogo TIMSS'!$J$5:$J$107,MATCH(K706,'Datos - Catálogo TIMSS'!$A$5:$A$107,0)),"No")="Sí",1,0)</f>
        <v>0</v>
      </c>
      <c r="Z706" s="36" cm="1">
        <f t="array" ref="Z706">IF(_xlfn.IFERROR(INDEX('Datos - Catálogo TIMSS'!$J$5:$J$107,MATCH(L706,'Datos - Catálogo TIMSS'!$A$5:$A$107,0)),"No")="Sí",1,0)</f>
        <v>0</v>
      </c>
      <c r="AA706" t="s" s="35">
        <v>1832</v>
      </c>
      <c r="AB706" s="39"/>
      <c r="AC706" t="str" s="39">
        <v>Fuera del marco</v>
      </c>
      <c r="AD706" t="s" s="35">
        <v>1900</v>
      </c>
      <c r="AE706" t="str" s="39" cm="1">
        <f t="array" ref="AE706">IF(AD706="","",IF(LEFT(AD706,1)="1","C1",IF(LEFT(AD706,1)="2","C2",IF(LEFT(AD706,1)="3","C3",""))))</f>
        <v>C3</v>
      </c>
      <c r="AF706" t="s" s="35">
        <v>1615</v>
      </c>
      <c r="AG706" t="s" s="35">
        <v>1617</v>
      </c>
      <c r="AH706" t="s" s="35">
        <v>1605</v>
      </c>
      <c r="AI706" t="s" s="35">
        <v>1629</v>
      </c>
      <c r="AJ706" t="s" s="35">
        <v>1625</v>
      </c>
      <c r="AK706" s="39"/>
      <c r="AL706" s="39"/>
      <c r="AM706" s="39"/>
      <c r="AN706" s="39"/>
      <c r="AO706" s="39"/>
      <c r="AP706" s="39"/>
      <c r="AQ706" s="39"/>
      <c r="AR706" s="39"/>
      <c r="AS706" s="39"/>
      <c r="AT706" s="39"/>
      <c r="AU706" s="39"/>
      <c r="AV706" s="39"/>
      <c r="AW706" t="str" s="39" cm="1">
        <f t="array" ref="AW706">AF706&amp;"; "&amp;AG706&amp;"; "&amp;AH706&amp;"; "&amp;AI706&amp;"; "&amp;AJ706</f>
        <v>E6; D1; E2; I3; I1</v>
      </c>
    </row>
    <row r="707" ht="13.65" customHeight="1">
      <c r="A707" t="s" s="35">
        <v>5222</v>
      </c>
      <c r="B707" s="36">
        <v>10</v>
      </c>
      <c r="C707" t="s" s="35">
        <v>222</v>
      </c>
      <c r="D707" t="s" s="35">
        <v>4800</v>
      </c>
      <c r="E707" t="s" s="35">
        <v>4801</v>
      </c>
      <c r="F707" s="36">
        <v>83</v>
      </c>
      <c r="G707" t="s" s="35">
        <v>5173</v>
      </c>
      <c r="H707" t="s" s="35">
        <v>5223</v>
      </c>
      <c r="I707" t="s" s="120">
        <v>5224</v>
      </c>
      <c r="J707" t="s" s="35">
        <v>1301</v>
      </c>
      <c r="K707" t="s" s="35">
        <v>1832</v>
      </c>
      <c r="L707" s="39"/>
      <c r="M707" t="str" s="39">
        <v>Fuera del marco</v>
      </c>
      <c r="N707" t="str" s="39">
        <v>Fuera del marco</v>
      </c>
      <c r="O707" t="str" s="39" cm="1">
        <f t="array" ref="O707">IF(L707="","",_xlfn.IFERROR(INDEX('Datos - Catálogo TIMSS'!$C$5:$C$107,MATCH(L707,'Datos - Catálogo TIMSS'!$A$5:$A$107,0)),"?"))</f>
      </c>
      <c r="P707" t="s" s="35">
        <v>254</v>
      </c>
      <c r="Q707" t="s" s="120">
        <v>5225</v>
      </c>
      <c r="R707" t="s" s="120">
        <v>5226</v>
      </c>
      <c r="S707" s="121" cm="1">
        <f t="array" ref="S707">_xlfn.IFERROR(ISNUMBER(SEARCH("Conocer",$R707))/(ISNUMBER(SEARCH("Conocer",$R707))+ISNUMBER(SEARCH("Aplicar",$R707))+ISNUMBER(SEARCH("Razonar",$R707))),0)</f>
        <v>0</v>
      </c>
      <c r="T707" s="121" cm="1">
        <f t="array" ref="T707">_xlfn.IFERROR(ISNUMBER(SEARCH("Aplicar",$R707))/(ISNUMBER(SEARCH("Conocer",$R707))+ISNUMBER(SEARCH("Aplicar",$R707))+ISNUMBER(SEARCH("Razonar",$R707))),0)</f>
        <v>0.5</v>
      </c>
      <c r="U707" s="121" cm="1">
        <f t="array" ref="U707">_xlfn.IFERROR(ISNUMBER(SEARCH("Razonar",$R707))/(ISNUMBER(SEARCH("Conocer",$R707))+ISNUMBER(SEARCH("Aplicar",$R707))+ISNUMBER(SEARCH("Razonar",$R707))),0)</f>
        <v>0.5</v>
      </c>
      <c r="V707" t="s" s="35">
        <v>87</v>
      </c>
      <c r="W707" t="s" s="35">
        <v>119</v>
      </c>
      <c r="X707" s="36" cm="1">
        <f t="array" ref="X707">IF(OR(_xlfn.IFERROR(INDEX('Datos - Catálogo TIMSS'!$I$5:$I$107,MATCH(K707,'Datos - Catálogo TIMSS'!$A$5:$A$107,0)),"No")="Sí",_xlfn.IFERROR(INDEX('Datos - Catálogo TIMSS'!$I$5:$I$107,MATCH(L707,'Datos - Catálogo TIMSS'!$A$5:$A$107,0)),"No")="Sí"),1,0)</f>
        <v>0</v>
      </c>
      <c r="Y707" s="36" cm="1">
        <f t="array" ref="Y707">IF(_xlfn.IFERROR(INDEX('Datos - Catálogo TIMSS'!$J$5:$J$107,MATCH(K707,'Datos - Catálogo TIMSS'!$A$5:$A$107,0)),"No")="Sí",1,0)</f>
        <v>0</v>
      </c>
      <c r="Z707" s="36" cm="1">
        <f t="array" ref="Z707">IF(_xlfn.IFERROR(INDEX('Datos - Catálogo TIMSS'!$J$5:$J$107,MATCH(L707,'Datos - Catálogo TIMSS'!$A$5:$A$107,0)),"No")="Sí",1,0)</f>
        <v>0</v>
      </c>
      <c r="AA707" t="s" s="35">
        <v>1832</v>
      </c>
      <c r="AB707" s="39"/>
      <c r="AC707" t="str" s="39">
        <v>Fuera del marco</v>
      </c>
      <c r="AD707" t="s" s="35">
        <v>1859</v>
      </c>
      <c r="AE707" t="str" s="39" cm="1">
        <f t="array" ref="AE707">IF(AD707="","",IF(LEFT(AD707,1)="1","C1",IF(LEFT(AD707,1)="2","C2",IF(LEFT(AD707,1)="3","C3",""))))</f>
        <v>C1</v>
      </c>
      <c r="AF707" t="s" s="35">
        <v>1602</v>
      </c>
      <c r="AG707" t="s" s="35">
        <v>1607</v>
      </c>
      <c r="AH707" t="s" s="35">
        <v>1609</v>
      </c>
      <c r="AI707" t="s" s="35">
        <v>1623</v>
      </c>
      <c r="AJ707" t="s" s="35">
        <v>1633</v>
      </c>
      <c r="AK707" s="39"/>
      <c r="AL707" s="39"/>
      <c r="AM707" s="39"/>
      <c r="AN707" s="39"/>
      <c r="AO707" s="39"/>
      <c r="AP707" s="39"/>
      <c r="AQ707" s="39"/>
      <c r="AR707" s="39"/>
      <c r="AS707" s="39"/>
      <c r="AT707" s="39"/>
      <c r="AU707" s="39"/>
      <c r="AV707" s="39"/>
      <c r="AW707" t="str" s="39" cm="1">
        <f t="array" ref="AW707">AF707&amp;"; "&amp;AG707&amp;"; "&amp;AH707&amp;"; "&amp;AI707&amp;"; "&amp;AJ707</f>
        <v>E1; E3; E4; D4; I5</v>
      </c>
    </row>
    <row r="708" ht="13.65" customHeight="1">
      <c r="A708" t="s" s="35">
        <v>5228</v>
      </c>
      <c r="B708" s="36">
        <v>10</v>
      </c>
      <c r="C708" t="s" s="35">
        <v>222</v>
      </c>
      <c r="D708" t="s" s="35">
        <v>4800</v>
      </c>
      <c r="E708" t="s" s="35">
        <v>4801</v>
      </c>
      <c r="F708" s="36">
        <v>84</v>
      </c>
      <c r="G708" t="s" s="35">
        <v>5229</v>
      </c>
      <c r="H708" t="s" s="35">
        <v>5230</v>
      </c>
      <c r="I708" t="s" s="120">
        <v>5231</v>
      </c>
      <c r="J708" t="s" s="35">
        <v>1301</v>
      </c>
      <c r="K708" t="s" s="35">
        <v>1832</v>
      </c>
      <c r="L708" s="39"/>
      <c r="M708" t="str" s="39">
        <v>Fuera del marco</v>
      </c>
      <c r="N708" t="str" s="39">
        <v>Fuera del marco</v>
      </c>
      <c r="O708" t="str" s="39" cm="1">
        <f t="array" ref="O708">IF(L708="","",_xlfn.IFERROR(INDEX('Datos - Catálogo TIMSS'!$C$5:$C$107,MATCH(L708,'Datos - Catálogo TIMSS'!$A$5:$A$107,0)),"?"))</f>
      </c>
      <c r="P708" t="s" s="35">
        <v>282</v>
      </c>
      <c r="Q708" t="s" s="120">
        <v>5232</v>
      </c>
      <c r="R708" t="s" s="120">
        <v>5233</v>
      </c>
      <c r="S708" s="121" cm="1">
        <f t="array" ref="S708">_xlfn.IFERROR(ISNUMBER(SEARCH("Conocer",$R708))/(ISNUMBER(SEARCH("Conocer",$R708))+ISNUMBER(SEARCH("Aplicar",$R708))+ISNUMBER(SEARCH("Razonar",$R708))),0)</f>
        <v>0</v>
      </c>
      <c r="T708" s="121" cm="1">
        <f t="array" ref="T708">_xlfn.IFERROR(ISNUMBER(SEARCH("Aplicar",$R708))/(ISNUMBER(SEARCH("Conocer",$R708))+ISNUMBER(SEARCH("Aplicar",$R708))+ISNUMBER(SEARCH("Razonar",$R708))),0)</f>
        <v>0.5</v>
      </c>
      <c r="U708" s="121" cm="1">
        <f t="array" ref="U708">_xlfn.IFERROR(ISNUMBER(SEARCH("Razonar",$R708))/(ISNUMBER(SEARCH("Conocer",$R708))+ISNUMBER(SEARCH("Aplicar",$R708))+ISNUMBER(SEARCH("Razonar",$R708))),0)</f>
        <v>0.5</v>
      </c>
      <c r="V708" t="s" s="35">
        <v>87</v>
      </c>
      <c r="W708" t="s" s="35">
        <v>119</v>
      </c>
      <c r="X708" s="36" cm="1">
        <f t="array" ref="X708">IF(OR(_xlfn.IFERROR(INDEX('Datos - Catálogo TIMSS'!$I$5:$I$107,MATCH(K708,'Datos - Catálogo TIMSS'!$A$5:$A$107,0)),"No")="Sí",_xlfn.IFERROR(INDEX('Datos - Catálogo TIMSS'!$I$5:$I$107,MATCH(L708,'Datos - Catálogo TIMSS'!$A$5:$A$107,0)),"No")="Sí"),1,0)</f>
        <v>0</v>
      </c>
      <c r="Y708" s="36" cm="1">
        <f t="array" ref="Y708">IF(_xlfn.IFERROR(INDEX('Datos - Catálogo TIMSS'!$J$5:$J$107,MATCH(K708,'Datos - Catálogo TIMSS'!$A$5:$A$107,0)),"No")="Sí",1,0)</f>
        <v>0</v>
      </c>
      <c r="Z708" s="36" cm="1">
        <f t="array" ref="Z708">IF(_xlfn.IFERROR(INDEX('Datos - Catálogo TIMSS'!$J$5:$J$107,MATCH(L708,'Datos - Catálogo TIMSS'!$A$5:$A$107,0)),"No")="Sí",1,0)</f>
        <v>0</v>
      </c>
      <c r="AA708" t="s" s="35">
        <v>1832</v>
      </c>
      <c r="AB708" s="39"/>
      <c r="AC708" t="str" s="39">
        <v>Fuera del marco</v>
      </c>
      <c r="AD708" t="s" s="35">
        <v>1859</v>
      </c>
      <c r="AE708" t="str" s="39" cm="1">
        <f t="array" ref="AE708">IF(AD708="","",IF(LEFT(AD708,1)="1","C1",IF(LEFT(AD708,1)="2","C2",IF(LEFT(AD708,1)="3","C3",""))))</f>
        <v>C1</v>
      </c>
      <c r="AF708" t="s" s="35">
        <v>1602</v>
      </c>
      <c r="AG708" t="s" s="35">
        <v>1617</v>
      </c>
      <c r="AH708" t="s" s="35">
        <v>1605</v>
      </c>
      <c r="AI708" t="s" s="35">
        <v>1623</v>
      </c>
      <c r="AJ708" t="s" s="35">
        <v>1607</v>
      </c>
      <c r="AK708" s="39"/>
      <c r="AL708" s="39"/>
      <c r="AM708" s="39"/>
      <c r="AN708" s="39"/>
      <c r="AO708" s="39"/>
      <c r="AP708" s="39"/>
      <c r="AQ708" s="39"/>
      <c r="AR708" s="39"/>
      <c r="AS708" s="39"/>
      <c r="AT708" s="39"/>
      <c r="AU708" s="39"/>
      <c r="AV708" s="39"/>
      <c r="AW708" t="str" s="39" cm="1">
        <f t="array" ref="AW708">AF708&amp;"; "&amp;AG708&amp;"; "&amp;AH708&amp;"; "&amp;AI708&amp;"; "&amp;AJ708</f>
        <v>E1; D1; E2; D4; E3</v>
      </c>
    </row>
    <row r="709" ht="13.65" customHeight="1">
      <c r="A709" t="s" s="35">
        <v>5234</v>
      </c>
      <c r="B709" s="36">
        <v>10</v>
      </c>
      <c r="C709" t="s" s="35">
        <v>222</v>
      </c>
      <c r="D709" t="s" s="35">
        <v>4800</v>
      </c>
      <c r="E709" t="s" s="35">
        <v>4801</v>
      </c>
      <c r="F709" s="36">
        <v>85</v>
      </c>
      <c r="G709" t="s" s="35">
        <v>5229</v>
      </c>
      <c r="H709" t="s" s="35">
        <v>5230</v>
      </c>
      <c r="I709" t="s" s="120">
        <v>5235</v>
      </c>
      <c r="J709" t="s" s="35">
        <v>1301</v>
      </c>
      <c r="K709" t="s" s="35">
        <v>1329</v>
      </c>
      <c r="L709" s="39"/>
      <c r="M709" t="str" s="39">
        <v>Mecánica y termodinámica</v>
      </c>
      <c r="N709" t="str" s="39">
        <v>Calor y temperatura</v>
      </c>
      <c r="O709" t="str" s="39" cm="1">
        <f t="array" ref="O709">IF(L709="","",_xlfn.IFERROR(INDEX('Datos - Catálogo TIMSS'!$C$5:$C$107,MATCH(L709,'Datos - Catálogo TIMSS'!$A$5:$A$107,0)),"?"))</f>
      </c>
      <c r="P709" t="s" s="35">
        <v>282</v>
      </c>
      <c r="Q709" t="s" s="120">
        <v>5237</v>
      </c>
      <c r="R709" t="s" s="120">
        <v>5238</v>
      </c>
      <c r="S709" s="121" cm="1">
        <f t="array" ref="S709">_xlfn.IFERROR(ISNUMBER(SEARCH("Conocer",$R709))/(ISNUMBER(SEARCH("Conocer",$R709))+ISNUMBER(SEARCH("Aplicar",$R709))+ISNUMBER(SEARCH("Razonar",$R709))),0)</f>
        <v>0</v>
      </c>
      <c r="T709" s="121" cm="1">
        <f t="array" ref="T709">_xlfn.IFERROR(ISNUMBER(SEARCH("Aplicar",$R709))/(ISNUMBER(SEARCH("Conocer",$R709))+ISNUMBER(SEARCH("Aplicar",$R709))+ISNUMBER(SEARCH("Razonar",$R709))),0)</f>
        <v>0.5</v>
      </c>
      <c r="U709" s="121" cm="1">
        <f t="array" ref="U709">_xlfn.IFERROR(ISNUMBER(SEARCH("Razonar",$R709))/(ISNUMBER(SEARCH("Conocer",$R709))+ISNUMBER(SEARCH("Aplicar",$R709))+ISNUMBER(SEARCH("Razonar",$R709))),0)</f>
        <v>0.5</v>
      </c>
      <c r="V709" t="s" s="35">
        <v>87</v>
      </c>
      <c r="W709" t="s" s="35">
        <v>119</v>
      </c>
      <c r="X709" s="36" cm="1">
        <f t="array" ref="X709">IF(OR(_xlfn.IFERROR(INDEX('Datos - Catálogo TIMSS'!$I$5:$I$107,MATCH(K709,'Datos - Catálogo TIMSS'!$A$5:$A$107,0)),"No")="Sí",_xlfn.IFERROR(INDEX('Datos - Catálogo TIMSS'!$I$5:$I$107,MATCH(L709,'Datos - Catálogo TIMSS'!$A$5:$A$107,0)),"No")="Sí"),1,0)</f>
        <v>0</v>
      </c>
      <c r="Y709" s="36" cm="1">
        <f t="array" ref="Y709">IF(_xlfn.IFERROR(INDEX('Datos - Catálogo TIMSS'!$J$5:$J$107,MATCH(K709,'Datos - Catálogo TIMSS'!$A$5:$A$107,0)),"No")="Sí",1,0)</f>
        <v>0</v>
      </c>
      <c r="Z709" s="36" cm="1">
        <f t="array" ref="Z709">IF(_xlfn.IFERROR(INDEX('Datos - Catálogo TIMSS'!$J$5:$J$107,MATCH(L709,'Datos - Catálogo TIMSS'!$A$5:$A$107,0)),"No")="Sí",1,0)</f>
        <v>0</v>
      </c>
      <c r="AA709" t="s" s="35">
        <v>1329</v>
      </c>
      <c r="AB709" s="39"/>
      <c r="AC709" t="str" s="39">
        <v>Mecánica y termodinámica</v>
      </c>
      <c r="AD709" t="s" s="35">
        <v>1834</v>
      </c>
      <c r="AE709" t="str" s="39" cm="1">
        <f t="array" ref="AE709">IF(AD709="","",IF(LEFT(AD709,1)="1","C1",IF(LEFT(AD709,1)="2","C2",IF(LEFT(AD709,1)="3","C3",""))))</f>
        <v>C2</v>
      </c>
      <c r="AF709" t="s" s="35">
        <v>1602</v>
      </c>
      <c r="AG709" t="s" s="35">
        <v>1607</v>
      </c>
      <c r="AH709" t="s" s="35">
        <v>1609</v>
      </c>
      <c r="AI709" t="s" s="35">
        <v>1623</v>
      </c>
      <c r="AJ709" t="s" s="35">
        <v>1621</v>
      </c>
      <c r="AK709" s="39"/>
      <c r="AL709" s="39"/>
      <c r="AM709" s="39"/>
      <c r="AN709" s="39"/>
      <c r="AO709" s="39"/>
      <c r="AP709" s="39"/>
      <c r="AQ709" s="39"/>
      <c r="AR709" s="39"/>
      <c r="AS709" s="39"/>
      <c r="AT709" s="39"/>
      <c r="AU709" s="39"/>
      <c r="AV709" s="39"/>
      <c r="AW709" t="str" s="39" cm="1">
        <f t="array" ref="AW709">AF709&amp;"; "&amp;AG709&amp;"; "&amp;AH709&amp;"; "&amp;AI709&amp;"; "&amp;AJ709</f>
        <v>E1; E3; E4; D4; D3</v>
      </c>
    </row>
    <row r="710" ht="13.65" customHeight="1">
      <c r="A710" t="s" s="35">
        <v>5240</v>
      </c>
      <c r="B710" s="36">
        <v>10</v>
      </c>
      <c r="C710" t="s" s="35">
        <v>222</v>
      </c>
      <c r="D710" t="s" s="35">
        <v>4800</v>
      </c>
      <c r="E710" t="s" s="35">
        <v>4801</v>
      </c>
      <c r="F710" s="36">
        <v>86</v>
      </c>
      <c r="G710" t="s" s="35">
        <v>5229</v>
      </c>
      <c r="H710" t="s" s="35">
        <v>5230</v>
      </c>
      <c r="I710" t="s" s="120">
        <v>5241</v>
      </c>
      <c r="J710" t="s" s="35">
        <v>1301</v>
      </c>
      <c r="K710" t="s" s="35">
        <v>1325</v>
      </c>
      <c r="L710" s="39"/>
      <c r="M710" t="str" s="39">
        <v>Mecánica y termodinámica</v>
      </c>
      <c r="N710" t="str" s="39">
        <v>Calor y temperatura</v>
      </c>
      <c r="O710" t="str" s="39" cm="1">
        <f t="array" ref="O710">IF(L710="","",_xlfn.IFERROR(INDEX('Datos - Catálogo TIMSS'!$C$5:$C$107,MATCH(L710,'Datos - Catálogo TIMSS'!$A$5:$A$107,0)),"?"))</f>
      </c>
      <c r="P710" t="s" s="35">
        <v>291</v>
      </c>
      <c r="Q710" t="s" s="120">
        <v>5242</v>
      </c>
      <c r="R710" t="s" s="120">
        <v>5243</v>
      </c>
      <c r="S710" s="121" cm="1">
        <f t="array" ref="S710">_xlfn.IFERROR(ISNUMBER(SEARCH("Conocer",$R710))/(ISNUMBER(SEARCH("Conocer",$R710))+ISNUMBER(SEARCH("Aplicar",$R710))+ISNUMBER(SEARCH("Razonar",$R710))),0)</f>
        <v>0.333333333333333</v>
      </c>
      <c r="T710" s="121" cm="1">
        <f t="array" ref="T710">_xlfn.IFERROR(ISNUMBER(SEARCH("Aplicar",$R710))/(ISNUMBER(SEARCH("Conocer",$R710))+ISNUMBER(SEARCH("Aplicar",$R710))+ISNUMBER(SEARCH("Razonar",$R710))),0)</f>
        <v>0.333333333333333</v>
      </c>
      <c r="U710" s="121" cm="1">
        <f t="array" ref="U710">_xlfn.IFERROR(ISNUMBER(SEARCH("Razonar",$R710))/(ISNUMBER(SEARCH("Conocer",$R710))+ISNUMBER(SEARCH("Aplicar",$R710))+ISNUMBER(SEARCH("Razonar",$R710))),0)</f>
        <v>0.333333333333333</v>
      </c>
      <c r="V710" t="s" s="35">
        <v>87</v>
      </c>
      <c r="W710" t="s" s="35">
        <v>119</v>
      </c>
      <c r="X710" s="36" cm="1">
        <f t="array" ref="X710">IF(OR(_xlfn.IFERROR(INDEX('Datos - Catálogo TIMSS'!$I$5:$I$107,MATCH(K710,'Datos - Catálogo TIMSS'!$A$5:$A$107,0)),"No")="Sí",_xlfn.IFERROR(INDEX('Datos - Catálogo TIMSS'!$I$5:$I$107,MATCH(L710,'Datos - Catálogo TIMSS'!$A$5:$A$107,0)),"No")="Sí"),1,0)</f>
        <v>0</v>
      </c>
      <c r="Y710" s="36" cm="1">
        <f t="array" ref="Y710">IF(_xlfn.IFERROR(INDEX('Datos - Catálogo TIMSS'!$J$5:$J$107,MATCH(K710,'Datos - Catálogo TIMSS'!$A$5:$A$107,0)),"No")="Sí",1,0)</f>
        <v>0</v>
      </c>
      <c r="Z710" s="36" cm="1">
        <f t="array" ref="Z710">IF(_xlfn.IFERROR(INDEX('Datos - Catálogo TIMSS'!$J$5:$J$107,MATCH(L710,'Datos - Catálogo TIMSS'!$A$5:$A$107,0)),"No")="Sí",1,0)</f>
        <v>0</v>
      </c>
      <c r="AA710" t="s" s="35">
        <v>1325</v>
      </c>
      <c r="AB710" s="39"/>
      <c r="AC710" t="str" s="39">
        <v>Mecánica y termodinámica</v>
      </c>
      <c r="AD710" t="s" s="35">
        <v>1900</v>
      </c>
      <c r="AE710" t="str" s="39" cm="1">
        <f t="array" ref="AE710">IF(AD710="","",IF(LEFT(AD710,1)="1","C1",IF(LEFT(AD710,1)="2","C2",IF(LEFT(AD710,1)="3","C3",""))))</f>
        <v>C3</v>
      </c>
      <c r="AF710" t="s" s="35">
        <v>1615</v>
      </c>
      <c r="AG710" t="s" s="35">
        <v>1617</v>
      </c>
      <c r="AH710" t="s" s="35">
        <v>1602</v>
      </c>
      <c r="AI710" t="s" s="35">
        <v>1625</v>
      </c>
      <c r="AJ710" t="s" s="35">
        <v>1633</v>
      </c>
      <c r="AK710" s="39"/>
      <c r="AL710" s="39"/>
      <c r="AM710" s="39"/>
      <c r="AN710" s="39"/>
      <c r="AO710" s="39"/>
      <c r="AP710" s="39"/>
      <c r="AQ710" s="39"/>
      <c r="AR710" s="39"/>
      <c r="AS710" s="39"/>
      <c r="AT710" s="39"/>
      <c r="AU710" s="39"/>
      <c r="AV710" s="39"/>
      <c r="AW710" t="str" s="39" cm="1">
        <f t="array" ref="AW710">AF710&amp;"; "&amp;AG710&amp;"; "&amp;AH710&amp;"; "&amp;AI710&amp;"; "&amp;AJ710</f>
        <v>E6; D1; E1; I1; I5</v>
      </c>
    </row>
    <row r="711" ht="13.65" customHeight="1">
      <c r="A711" t="s" s="35">
        <v>5244</v>
      </c>
      <c r="B711" s="36">
        <v>10</v>
      </c>
      <c r="C711" t="s" s="35">
        <v>222</v>
      </c>
      <c r="D711" t="s" s="35">
        <v>4800</v>
      </c>
      <c r="E711" t="s" s="35">
        <v>4801</v>
      </c>
      <c r="F711" s="36">
        <v>87</v>
      </c>
      <c r="G711" t="s" s="35">
        <v>5229</v>
      </c>
      <c r="H711" t="s" s="35">
        <v>5245</v>
      </c>
      <c r="I711" t="s" s="120">
        <v>5246</v>
      </c>
      <c r="J711" t="s" s="35">
        <v>1301</v>
      </c>
      <c r="K711" t="s" s="35">
        <v>1329</v>
      </c>
      <c r="L711" s="39"/>
      <c r="M711" t="str" s="39">
        <v>Mecánica y termodinámica</v>
      </c>
      <c r="N711" t="str" s="39">
        <v>Calor y temperatura</v>
      </c>
      <c r="O711" t="str" s="39" cm="1">
        <f t="array" ref="O711">IF(L711="","",_xlfn.IFERROR(INDEX('Datos - Catálogo TIMSS'!$C$5:$C$107,MATCH(L711,'Datos - Catálogo TIMSS'!$A$5:$A$107,0)),"?"))</f>
      </c>
      <c r="P711" t="s" s="35">
        <v>254</v>
      </c>
      <c r="Q711" t="s" s="120">
        <v>5247</v>
      </c>
      <c r="R711" t="s" s="120">
        <v>5248</v>
      </c>
      <c r="S711" s="121" cm="1">
        <f t="array" ref="S711">_xlfn.IFERROR(ISNUMBER(SEARCH("Conocer",$R711))/(ISNUMBER(SEARCH("Conocer",$R711))+ISNUMBER(SEARCH("Aplicar",$R711))+ISNUMBER(SEARCH("Razonar",$R711))),0)</f>
        <v>0</v>
      </c>
      <c r="T711" s="121" cm="1">
        <f t="array" ref="T711">_xlfn.IFERROR(ISNUMBER(SEARCH("Aplicar",$R711))/(ISNUMBER(SEARCH("Conocer",$R711))+ISNUMBER(SEARCH("Aplicar",$R711))+ISNUMBER(SEARCH("Razonar",$R711))),0)</f>
        <v>0.5</v>
      </c>
      <c r="U711" s="121" cm="1">
        <f t="array" ref="U711">_xlfn.IFERROR(ISNUMBER(SEARCH("Razonar",$R711))/(ISNUMBER(SEARCH("Conocer",$R711))+ISNUMBER(SEARCH("Aplicar",$R711))+ISNUMBER(SEARCH("Razonar",$R711))),0)</f>
        <v>0.5</v>
      </c>
      <c r="V711" t="s" s="35">
        <v>87</v>
      </c>
      <c r="W711" t="s" s="35">
        <v>119</v>
      </c>
      <c r="X711" s="36" cm="1">
        <f t="array" ref="X711">IF(OR(_xlfn.IFERROR(INDEX('Datos - Catálogo TIMSS'!$I$5:$I$107,MATCH(K711,'Datos - Catálogo TIMSS'!$A$5:$A$107,0)),"No")="Sí",_xlfn.IFERROR(INDEX('Datos - Catálogo TIMSS'!$I$5:$I$107,MATCH(L711,'Datos - Catálogo TIMSS'!$A$5:$A$107,0)),"No")="Sí"),1,0)</f>
        <v>0</v>
      </c>
      <c r="Y711" s="36" cm="1">
        <f t="array" ref="Y711">IF(_xlfn.IFERROR(INDEX('Datos - Catálogo TIMSS'!$J$5:$J$107,MATCH(K711,'Datos - Catálogo TIMSS'!$A$5:$A$107,0)),"No")="Sí",1,0)</f>
        <v>0</v>
      </c>
      <c r="Z711" s="36" cm="1">
        <f t="array" ref="Z711">IF(_xlfn.IFERROR(INDEX('Datos - Catálogo TIMSS'!$J$5:$J$107,MATCH(L711,'Datos - Catálogo TIMSS'!$A$5:$A$107,0)),"No")="Sí",1,0)</f>
        <v>0</v>
      </c>
      <c r="AA711" t="s" s="35">
        <v>1329</v>
      </c>
      <c r="AB711" s="39"/>
      <c r="AC711" t="str" s="39">
        <v>Mecánica y termodinámica</v>
      </c>
      <c r="AD711" t="s" s="35">
        <v>1859</v>
      </c>
      <c r="AE711" t="str" s="39" cm="1">
        <f t="array" ref="AE711">IF(AD711="","",IF(LEFT(AD711,1)="1","C1",IF(LEFT(AD711,1)="2","C2",IF(LEFT(AD711,1)="3","C3",""))))</f>
        <v>C1</v>
      </c>
      <c r="AF711" t="s" s="35">
        <v>1615</v>
      </c>
      <c r="AG711" t="s" s="35">
        <v>1612</v>
      </c>
      <c r="AH711" t="s" s="35">
        <v>1602</v>
      </c>
      <c r="AI711" t="s" s="35">
        <v>1619</v>
      </c>
      <c r="AJ711" t="s" s="35">
        <v>1607</v>
      </c>
      <c r="AK711" s="39"/>
      <c r="AL711" s="39"/>
      <c r="AM711" s="39"/>
      <c r="AN711" s="39"/>
      <c r="AO711" s="39"/>
      <c r="AP711" s="39"/>
      <c r="AQ711" s="39"/>
      <c r="AR711" s="39"/>
      <c r="AS711" s="39"/>
      <c r="AT711" s="39"/>
      <c r="AU711" s="39"/>
      <c r="AV711" s="39"/>
      <c r="AW711" t="str" s="39" cm="1">
        <f t="array" ref="AW711">AF711&amp;"; "&amp;AG711&amp;"; "&amp;AH711&amp;"; "&amp;AI711&amp;"; "&amp;AJ711</f>
        <v>E6; E5; E1; D2; E3</v>
      </c>
    </row>
    <row r="712" ht="13.65" customHeight="1">
      <c r="A712" t="s" s="35">
        <v>5250</v>
      </c>
      <c r="B712" s="36">
        <v>10</v>
      </c>
      <c r="C712" t="s" s="35">
        <v>222</v>
      </c>
      <c r="D712" t="s" s="35">
        <v>4800</v>
      </c>
      <c r="E712" t="s" s="35">
        <v>4801</v>
      </c>
      <c r="F712" s="36">
        <v>88</v>
      </c>
      <c r="G712" t="s" s="35">
        <v>5229</v>
      </c>
      <c r="H712" t="s" s="35">
        <v>5245</v>
      </c>
      <c r="I712" t="s" s="120">
        <v>5251</v>
      </c>
      <c r="J712" t="s" s="35">
        <v>1301</v>
      </c>
      <c r="K712" t="s" s="35">
        <v>1329</v>
      </c>
      <c r="L712" s="39"/>
      <c r="M712" t="str" s="39">
        <v>Mecánica y termodinámica</v>
      </c>
      <c r="N712" t="str" s="39">
        <v>Calor y temperatura</v>
      </c>
      <c r="O712" t="str" s="39" cm="1">
        <f t="array" ref="O712">IF(L712="","",_xlfn.IFERROR(INDEX('Datos - Catálogo TIMSS'!$C$5:$C$107,MATCH(L712,'Datos - Catálogo TIMSS'!$A$5:$A$107,0)),"?"))</f>
      </c>
      <c r="P712" t="s" s="35">
        <v>254</v>
      </c>
      <c r="Q712" t="s" s="120">
        <v>5252</v>
      </c>
      <c r="R712" t="s" s="120">
        <v>5253</v>
      </c>
      <c r="S712" s="121" cm="1">
        <f t="array" ref="S712">_xlfn.IFERROR(ISNUMBER(SEARCH("Conocer",$R712))/(ISNUMBER(SEARCH("Conocer",$R712))+ISNUMBER(SEARCH("Aplicar",$R712))+ISNUMBER(SEARCH("Razonar",$R712))),0)</f>
        <v>0</v>
      </c>
      <c r="T712" s="121" cm="1">
        <f t="array" ref="T712">_xlfn.IFERROR(ISNUMBER(SEARCH("Aplicar",$R712))/(ISNUMBER(SEARCH("Conocer",$R712))+ISNUMBER(SEARCH("Aplicar",$R712))+ISNUMBER(SEARCH("Razonar",$R712))),0)</f>
        <v>0.5</v>
      </c>
      <c r="U712" s="121" cm="1">
        <f t="array" ref="U712">_xlfn.IFERROR(ISNUMBER(SEARCH("Razonar",$R712))/(ISNUMBER(SEARCH("Conocer",$R712))+ISNUMBER(SEARCH("Aplicar",$R712))+ISNUMBER(SEARCH("Razonar",$R712))),0)</f>
        <v>0.5</v>
      </c>
      <c r="V712" t="s" s="35">
        <v>87</v>
      </c>
      <c r="W712" t="s" s="35">
        <v>119</v>
      </c>
      <c r="X712" s="36" cm="1">
        <f t="array" ref="X712">IF(OR(_xlfn.IFERROR(INDEX('Datos - Catálogo TIMSS'!$I$5:$I$107,MATCH(K712,'Datos - Catálogo TIMSS'!$A$5:$A$107,0)),"No")="Sí",_xlfn.IFERROR(INDEX('Datos - Catálogo TIMSS'!$I$5:$I$107,MATCH(L712,'Datos - Catálogo TIMSS'!$A$5:$A$107,0)),"No")="Sí"),1,0)</f>
        <v>0</v>
      </c>
      <c r="Y712" s="36" cm="1">
        <f t="array" ref="Y712">IF(_xlfn.IFERROR(INDEX('Datos - Catálogo TIMSS'!$J$5:$J$107,MATCH(K712,'Datos - Catálogo TIMSS'!$A$5:$A$107,0)),"No")="Sí",1,0)</f>
        <v>0</v>
      </c>
      <c r="Z712" s="36" cm="1">
        <f t="array" ref="Z712">IF(_xlfn.IFERROR(INDEX('Datos - Catálogo TIMSS'!$J$5:$J$107,MATCH(L712,'Datos - Catálogo TIMSS'!$A$5:$A$107,0)),"No")="Sí",1,0)</f>
        <v>0</v>
      </c>
      <c r="AA712" t="s" s="35">
        <v>1329</v>
      </c>
      <c r="AB712" s="39"/>
      <c r="AC712" t="str" s="39">
        <v>Mecánica y termodinámica</v>
      </c>
      <c r="AD712" t="s" s="35">
        <v>1834</v>
      </c>
      <c r="AE712" t="str" s="39" cm="1">
        <f t="array" ref="AE712">IF(AD712="","",IF(LEFT(AD712,1)="1","C1",IF(LEFT(AD712,1)="2","C2",IF(LEFT(AD712,1)="3","C3",""))))</f>
        <v>C2</v>
      </c>
      <c r="AF712" t="s" s="35">
        <v>1602</v>
      </c>
      <c r="AG712" t="s" s="35">
        <v>1607</v>
      </c>
      <c r="AH712" t="s" s="35">
        <v>1605</v>
      </c>
      <c r="AI712" t="s" s="35">
        <v>1623</v>
      </c>
      <c r="AJ712" t="s" s="35">
        <v>1615</v>
      </c>
      <c r="AK712" s="39"/>
      <c r="AL712" s="39"/>
      <c r="AM712" s="39"/>
      <c r="AN712" s="39"/>
      <c r="AO712" s="39"/>
      <c r="AP712" s="39"/>
      <c r="AQ712" s="39"/>
      <c r="AR712" s="39"/>
      <c r="AS712" s="39"/>
      <c r="AT712" s="39"/>
      <c r="AU712" s="39"/>
      <c r="AV712" s="39"/>
      <c r="AW712" t="str" s="39" cm="1">
        <f t="array" ref="AW712">AF712&amp;"; "&amp;AG712&amp;"; "&amp;AH712&amp;"; "&amp;AI712&amp;"; "&amp;AJ712</f>
        <v>E1; E3; E2; D4; E6</v>
      </c>
    </row>
    <row r="713" ht="13.65" customHeight="1">
      <c r="A713" t="s" s="35">
        <v>5254</v>
      </c>
      <c r="B713" s="36">
        <v>10</v>
      </c>
      <c r="C713" t="s" s="35">
        <v>222</v>
      </c>
      <c r="D713" t="s" s="35">
        <v>4800</v>
      </c>
      <c r="E713" t="s" s="35">
        <v>4801</v>
      </c>
      <c r="F713" s="36">
        <v>89</v>
      </c>
      <c r="G713" t="s" s="35">
        <v>5229</v>
      </c>
      <c r="H713" t="s" s="35">
        <v>5255</v>
      </c>
      <c r="I713" t="s" s="120">
        <v>5256</v>
      </c>
      <c r="J713" t="s" s="35">
        <v>1301</v>
      </c>
      <c r="K713" t="s" s="35">
        <v>1325</v>
      </c>
      <c r="L713" t="s" s="35">
        <v>1322</v>
      </c>
      <c r="M713" t="str" s="39">
        <v>Mecánica y termodinámica</v>
      </c>
      <c r="N713" t="str" s="39">
        <v>Calor y temperatura</v>
      </c>
      <c r="O713" t="str" s="39" cm="1">
        <f t="array" ref="O713">IF(L713="","",_xlfn.IFERROR(INDEX('Datos - Catálogo TIMSS'!$C$5:$C$107,MATCH(L713,'Datos - Catálogo TIMSS'!$A$5:$A$107,0)),"?"))</f>
        <v>Mecánica y termodinámica</v>
      </c>
      <c r="P713" t="s" s="35">
        <v>282</v>
      </c>
      <c r="Q713" t="s" s="120">
        <v>5257</v>
      </c>
      <c r="R713" t="s" s="120">
        <v>5258</v>
      </c>
      <c r="S713" s="121" cm="1">
        <f t="array" ref="S713">_xlfn.IFERROR(ISNUMBER(SEARCH("Conocer",$R713))/(ISNUMBER(SEARCH("Conocer",$R713))+ISNUMBER(SEARCH("Aplicar",$R713))+ISNUMBER(SEARCH("Razonar",$R713))),0)</f>
        <v>0.5</v>
      </c>
      <c r="T713" s="121" cm="1">
        <f t="array" ref="T713">_xlfn.IFERROR(ISNUMBER(SEARCH("Aplicar",$R713))/(ISNUMBER(SEARCH("Conocer",$R713))+ISNUMBER(SEARCH("Aplicar",$R713))+ISNUMBER(SEARCH("Razonar",$R713))),0)</f>
        <v>0</v>
      </c>
      <c r="U713" s="121" cm="1">
        <f t="array" ref="U713">_xlfn.IFERROR(ISNUMBER(SEARCH("Razonar",$R713))/(ISNUMBER(SEARCH("Conocer",$R713))+ISNUMBER(SEARCH("Aplicar",$R713))+ISNUMBER(SEARCH("Razonar",$R713))),0)</f>
        <v>0.5</v>
      </c>
      <c r="V713" t="s" s="35">
        <v>87</v>
      </c>
      <c r="W713" t="s" s="35">
        <v>119</v>
      </c>
      <c r="X713" s="36" cm="1">
        <f t="array" ref="X713">IF(OR(_xlfn.IFERROR(INDEX('Datos - Catálogo TIMSS'!$I$5:$I$107,MATCH(K713,'Datos - Catálogo TIMSS'!$A$5:$A$107,0)),"No")="Sí",_xlfn.IFERROR(INDEX('Datos - Catálogo TIMSS'!$I$5:$I$107,MATCH(L713,'Datos - Catálogo TIMSS'!$A$5:$A$107,0)),"No")="Sí"),1,0)</f>
        <v>0</v>
      </c>
      <c r="Y713" s="36" cm="1">
        <f t="array" ref="Y713">IF(_xlfn.IFERROR(INDEX('Datos - Catálogo TIMSS'!$J$5:$J$107,MATCH(K713,'Datos - Catálogo TIMSS'!$A$5:$A$107,0)),"No")="Sí",1,0)</f>
        <v>0</v>
      </c>
      <c r="Z713" s="36" cm="1">
        <f t="array" ref="Z713">IF(_xlfn.IFERROR(INDEX('Datos - Catálogo TIMSS'!$J$5:$J$107,MATCH(L713,'Datos - Catálogo TIMSS'!$A$5:$A$107,0)),"No")="Sí",1,0)</f>
        <v>0</v>
      </c>
      <c r="AA713" t="s" s="35">
        <v>1325</v>
      </c>
      <c r="AB713" t="s" s="35">
        <v>1322</v>
      </c>
      <c r="AC713" t="str" s="39">
        <v>Mecánica y termodinámica</v>
      </c>
      <c r="AD713" t="s" s="35">
        <v>1859</v>
      </c>
      <c r="AE713" t="str" s="39" cm="1">
        <f t="array" ref="AE713">IF(AD713="","",IF(LEFT(AD713,1)="1","C1",IF(LEFT(AD713,1)="2","C2",IF(LEFT(AD713,1)="3","C3",""))))</f>
        <v>C1</v>
      </c>
      <c r="AF713" t="s" s="35">
        <v>1602</v>
      </c>
      <c r="AG713" t="s" s="35">
        <v>1612</v>
      </c>
      <c r="AH713" t="s" s="35">
        <v>1609</v>
      </c>
      <c r="AI713" t="s" s="35">
        <v>1623</v>
      </c>
      <c r="AJ713" t="s" s="35">
        <v>1631</v>
      </c>
      <c r="AK713" s="39"/>
      <c r="AL713" s="39"/>
      <c r="AM713" s="39"/>
      <c r="AN713" s="39"/>
      <c r="AO713" s="39"/>
      <c r="AP713" s="39"/>
      <c r="AQ713" s="39"/>
      <c r="AR713" s="39"/>
      <c r="AS713" s="39"/>
      <c r="AT713" s="39"/>
      <c r="AU713" s="39"/>
      <c r="AV713" s="39"/>
      <c r="AW713" t="str" s="39" cm="1">
        <f t="array" ref="AW713">AF713&amp;"; "&amp;AG713&amp;"; "&amp;AH713&amp;"; "&amp;AI713&amp;"; "&amp;AJ713</f>
        <v>E1; E5; E4; D4; I4</v>
      </c>
    </row>
    <row r="714" ht="13.65" customHeight="1">
      <c r="A714" t="s" s="35">
        <v>5259</v>
      </c>
      <c r="B714" s="36">
        <v>10</v>
      </c>
      <c r="C714" t="s" s="35">
        <v>222</v>
      </c>
      <c r="D714" t="s" s="35">
        <v>4800</v>
      </c>
      <c r="E714" t="s" s="35">
        <v>4801</v>
      </c>
      <c r="F714" s="36">
        <v>90</v>
      </c>
      <c r="G714" t="s" s="35">
        <v>5229</v>
      </c>
      <c r="H714" t="s" s="35">
        <v>5260</v>
      </c>
      <c r="I714" t="s" s="120">
        <v>5261</v>
      </c>
      <c r="J714" t="s" s="35">
        <v>1301</v>
      </c>
      <c r="K714" t="s" s="35">
        <v>1325</v>
      </c>
      <c r="L714" s="39"/>
      <c r="M714" t="str" s="39">
        <v>Mecánica y termodinámica</v>
      </c>
      <c r="N714" t="str" s="39">
        <v>Calor y temperatura</v>
      </c>
      <c r="O714" t="str" s="39" cm="1">
        <f t="array" ref="O714">IF(L714="","",_xlfn.IFERROR(INDEX('Datos - Catálogo TIMSS'!$C$5:$C$107,MATCH(L714,'Datos - Catálogo TIMSS'!$A$5:$A$107,0)),"?"))</f>
      </c>
      <c r="P714" t="s" s="35">
        <v>254</v>
      </c>
      <c r="Q714" t="s" s="120">
        <v>5262</v>
      </c>
      <c r="R714" t="s" s="120">
        <v>5263</v>
      </c>
      <c r="S714" s="121" cm="1">
        <f t="array" ref="S714">_xlfn.IFERROR(ISNUMBER(SEARCH("Conocer",$R714))/(ISNUMBER(SEARCH("Conocer",$R714))+ISNUMBER(SEARCH("Aplicar",$R714))+ISNUMBER(SEARCH("Razonar",$R714))),0)</f>
        <v>0</v>
      </c>
      <c r="T714" s="121" cm="1">
        <f t="array" ref="T714">_xlfn.IFERROR(ISNUMBER(SEARCH("Aplicar",$R714))/(ISNUMBER(SEARCH("Conocer",$R714))+ISNUMBER(SEARCH("Aplicar",$R714))+ISNUMBER(SEARCH("Razonar",$R714))),0)</f>
        <v>0.5</v>
      </c>
      <c r="U714" s="121" cm="1">
        <f t="array" ref="U714">_xlfn.IFERROR(ISNUMBER(SEARCH("Razonar",$R714))/(ISNUMBER(SEARCH("Conocer",$R714))+ISNUMBER(SEARCH("Aplicar",$R714))+ISNUMBER(SEARCH("Razonar",$R714))),0)</f>
        <v>0.5</v>
      </c>
      <c r="V714" t="s" s="35">
        <v>87</v>
      </c>
      <c r="W714" t="s" s="35">
        <v>119</v>
      </c>
      <c r="X714" s="36" cm="1">
        <f t="array" ref="X714">IF(OR(_xlfn.IFERROR(INDEX('Datos - Catálogo TIMSS'!$I$5:$I$107,MATCH(K714,'Datos - Catálogo TIMSS'!$A$5:$A$107,0)),"No")="Sí",_xlfn.IFERROR(INDEX('Datos - Catálogo TIMSS'!$I$5:$I$107,MATCH(L714,'Datos - Catálogo TIMSS'!$A$5:$A$107,0)),"No")="Sí"),1,0)</f>
        <v>0</v>
      </c>
      <c r="Y714" s="36" cm="1">
        <f t="array" ref="Y714">IF(_xlfn.IFERROR(INDEX('Datos - Catálogo TIMSS'!$J$5:$J$107,MATCH(K714,'Datos - Catálogo TIMSS'!$A$5:$A$107,0)),"No")="Sí",1,0)</f>
        <v>0</v>
      </c>
      <c r="Z714" s="36" cm="1">
        <f t="array" ref="Z714">IF(_xlfn.IFERROR(INDEX('Datos - Catálogo TIMSS'!$J$5:$J$107,MATCH(L714,'Datos - Catálogo TIMSS'!$A$5:$A$107,0)),"No")="Sí",1,0)</f>
        <v>0</v>
      </c>
      <c r="AA714" t="s" s="35">
        <v>1325</v>
      </c>
      <c r="AB714" s="39"/>
      <c r="AC714" t="str" s="39">
        <v>Mecánica y termodinámica</v>
      </c>
      <c r="AD714" t="s" s="35">
        <v>1834</v>
      </c>
      <c r="AE714" t="str" s="39" cm="1">
        <f t="array" ref="AE714">IF(AD714="","",IF(LEFT(AD714,1)="1","C1",IF(LEFT(AD714,1)="2","C2",IF(LEFT(AD714,1)="3","C3",""))))</f>
        <v>C2</v>
      </c>
      <c r="AF714" t="s" s="35">
        <v>1615</v>
      </c>
      <c r="AG714" t="s" s="35">
        <v>1617</v>
      </c>
      <c r="AH714" t="s" s="35">
        <v>1602</v>
      </c>
      <c r="AI714" t="s" s="35">
        <v>1619</v>
      </c>
      <c r="AJ714" t="s" s="35">
        <v>1621</v>
      </c>
      <c r="AK714" s="39"/>
      <c r="AL714" s="39"/>
      <c r="AM714" s="39"/>
      <c r="AN714" s="39"/>
      <c r="AO714" s="39"/>
      <c r="AP714" s="39"/>
      <c r="AQ714" s="39"/>
      <c r="AR714" s="39"/>
      <c r="AS714" s="39"/>
      <c r="AT714" s="39"/>
      <c r="AU714" s="39"/>
      <c r="AV714" s="39"/>
      <c r="AW714" t="str" s="39" cm="1">
        <f t="array" ref="AW714">AF714&amp;"; "&amp;AG714&amp;"; "&amp;AH714&amp;"; "&amp;AI714&amp;"; "&amp;AJ714</f>
        <v>E6; D1; E1; D2; D3</v>
      </c>
    </row>
    <row r="715" ht="13.65" customHeight="1">
      <c r="A715" t="s" s="35">
        <v>5265</v>
      </c>
      <c r="B715" s="36">
        <v>10</v>
      </c>
      <c r="C715" t="s" s="35">
        <v>222</v>
      </c>
      <c r="D715" t="s" s="35">
        <v>4800</v>
      </c>
      <c r="E715" t="s" s="35">
        <v>4801</v>
      </c>
      <c r="F715" s="36">
        <v>91</v>
      </c>
      <c r="G715" t="s" s="35">
        <v>5229</v>
      </c>
      <c r="H715" t="s" s="35">
        <v>5260</v>
      </c>
      <c r="I715" t="s" s="120">
        <v>5266</v>
      </c>
      <c r="J715" t="s" s="35">
        <v>1301</v>
      </c>
      <c r="K715" t="s" s="35">
        <v>1325</v>
      </c>
      <c r="L715" s="39"/>
      <c r="M715" t="str" s="39">
        <v>Mecánica y termodinámica</v>
      </c>
      <c r="N715" t="str" s="39">
        <v>Calor y temperatura</v>
      </c>
      <c r="O715" t="str" s="39" cm="1">
        <f t="array" ref="O715">IF(L715="","",_xlfn.IFERROR(INDEX('Datos - Catálogo TIMSS'!$C$5:$C$107,MATCH(L715,'Datos - Catálogo TIMSS'!$A$5:$A$107,0)),"?"))</f>
      </c>
      <c r="P715" t="s" s="35">
        <v>254</v>
      </c>
      <c r="Q715" t="s" s="120">
        <v>5267</v>
      </c>
      <c r="R715" t="s" s="120">
        <v>5268</v>
      </c>
      <c r="S715" s="121" cm="1">
        <f t="array" ref="S715">_xlfn.IFERROR(ISNUMBER(SEARCH("Conocer",$R715))/(ISNUMBER(SEARCH("Conocer",$R715))+ISNUMBER(SEARCH("Aplicar",$R715))+ISNUMBER(SEARCH("Razonar",$R715))),0)</f>
        <v>0</v>
      </c>
      <c r="T715" s="121" cm="1">
        <f t="array" ref="T715">_xlfn.IFERROR(ISNUMBER(SEARCH("Aplicar",$R715))/(ISNUMBER(SEARCH("Conocer",$R715))+ISNUMBER(SEARCH("Aplicar",$R715))+ISNUMBER(SEARCH("Razonar",$R715))),0)</f>
        <v>0.5</v>
      </c>
      <c r="U715" s="121" cm="1">
        <f t="array" ref="U715">_xlfn.IFERROR(ISNUMBER(SEARCH("Razonar",$R715))/(ISNUMBER(SEARCH("Conocer",$R715))+ISNUMBER(SEARCH("Aplicar",$R715))+ISNUMBER(SEARCH("Razonar",$R715))),0)</f>
        <v>0.5</v>
      </c>
      <c r="V715" t="s" s="35">
        <v>87</v>
      </c>
      <c r="W715" t="s" s="35">
        <v>119</v>
      </c>
      <c r="X715" s="36" cm="1">
        <f t="array" ref="X715">IF(OR(_xlfn.IFERROR(INDEX('Datos - Catálogo TIMSS'!$I$5:$I$107,MATCH(K715,'Datos - Catálogo TIMSS'!$A$5:$A$107,0)),"No")="Sí",_xlfn.IFERROR(INDEX('Datos - Catálogo TIMSS'!$I$5:$I$107,MATCH(L715,'Datos - Catálogo TIMSS'!$A$5:$A$107,0)),"No")="Sí"),1,0)</f>
        <v>0</v>
      </c>
      <c r="Y715" s="36" cm="1">
        <f t="array" ref="Y715">IF(_xlfn.IFERROR(INDEX('Datos - Catálogo TIMSS'!$J$5:$J$107,MATCH(K715,'Datos - Catálogo TIMSS'!$A$5:$A$107,0)),"No")="Sí",1,0)</f>
        <v>0</v>
      </c>
      <c r="Z715" s="36" cm="1">
        <f t="array" ref="Z715">IF(_xlfn.IFERROR(INDEX('Datos - Catálogo TIMSS'!$J$5:$J$107,MATCH(L715,'Datos - Catálogo TIMSS'!$A$5:$A$107,0)),"No")="Sí",1,0)</f>
        <v>0</v>
      </c>
      <c r="AA715" t="s" s="35">
        <v>1325</v>
      </c>
      <c r="AB715" s="39"/>
      <c r="AC715" t="str" s="39">
        <v>Mecánica y termodinámica</v>
      </c>
      <c r="AD715" t="s" s="35">
        <v>1859</v>
      </c>
      <c r="AE715" t="str" s="39" cm="1">
        <f t="array" ref="AE715">IF(AD715="","",IF(LEFT(AD715,1)="1","C1",IF(LEFT(AD715,1)="2","C2",IF(LEFT(AD715,1)="3","C3",""))))</f>
        <v>C1</v>
      </c>
      <c r="AF715" t="s" s="35">
        <v>1615</v>
      </c>
      <c r="AG715" t="s" s="35">
        <v>1607</v>
      </c>
      <c r="AH715" t="s" s="35">
        <v>1605</v>
      </c>
      <c r="AI715" t="s" s="35">
        <v>1623</v>
      </c>
      <c r="AJ715" t="s" s="35">
        <v>1633</v>
      </c>
      <c r="AK715" s="39"/>
      <c r="AL715" s="39"/>
      <c r="AM715" s="39"/>
      <c r="AN715" s="39"/>
      <c r="AO715" s="39"/>
      <c r="AP715" s="39"/>
      <c r="AQ715" s="39"/>
      <c r="AR715" s="39"/>
      <c r="AS715" s="39"/>
      <c r="AT715" s="39"/>
      <c r="AU715" s="39"/>
      <c r="AV715" s="39"/>
      <c r="AW715" t="str" s="39" cm="1">
        <f t="array" ref="AW715">AF715&amp;"; "&amp;AG715&amp;"; "&amp;AH715&amp;"; "&amp;AI715&amp;"; "&amp;AJ715</f>
        <v>E6; E3; E2; D4; I5</v>
      </c>
    </row>
    <row r="716" ht="13.65" customHeight="1">
      <c r="A716" t="s" s="35">
        <v>5269</v>
      </c>
      <c r="B716" s="36">
        <v>10</v>
      </c>
      <c r="C716" t="s" s="35">
        <v>222</v>
      </c>
      <c r="D716" t="s" s="35">
        <v>4800</v>
      </c>
      <c r="E716" t="s" s="35">
        <v>4801</v>
      </c>
      <c r="F716" s="36">
        <v>92</v>
      </c>
      <c r="G716" t="s" s="35">
        <v>5229</v>
      </c>
      <c r="H716" t="s" s="35">
        <v>5270</v>
      </c>
      <c r="I716" t="s" s="120">
        <v>5271</v>
      </c>
      <c r="J716" t="s" s="35">
        <v>1301</v>
      </c>
      <c r="K716" t="s" s="35">
        <v>1832</v>
      </c>
      <c r="L716" s="39"/>
      <c r="M716" t="str" s="39">
        <v>Fuera del marco</v>
      </c>
      <c r="N716" t="str" s="39">
        <v>Fuera del marco</v>
      </c>
      <c r="O716" t="str" s="39" cm="1">
        <f t="array" ref="O716">IF(L716="","",_xlfn.IFERROR(INDEX('Datos - Catálogo TIMSS'!$C$5:$C$107,MATCH(L716,'Datos - Catálogo TIMSS'!$A$5:$A$107,0)),"?"))</f>
      </c>
      <c r="P716" t="s" s="35">
        <v>282</v>
      </c>
      <c r="Q716" t="s" s="120">
        <v>5272</v>
      </c>
      <c r="R716" t="s" s="120">
        <v>5273</v>
      </c>
      <c r="S716" s="121" cm="1">
        <f t="array" ref="S716">_xlfn.IFERROR(ISNUMBER(SEARCH("Conocer",$R716))/(ISNUMBER(SEARCH("Conocer",$R716))+ISNUMBER(SEARCH("Aplicar",$R716))+ISNUMBER(SEARCH("Razonar",$R716))),0)</f>
        <v>0</v>
      </c>
      <c r="T716" s="121" cm="1">
        <f t="array" ref="T716">_xlfn.IFERROR(ISNUMBER(SEARCH("Aplicar",$R716))/(ISNUMBER(SEARCH("Conocer",$R716))+ISNUMBER(SEARCH("Aplicar",$R716))+ISNUMBER(SEARCH("Razonar",$R716))),0)</f>
        <v>0.5</v>
      </c>
      <c r="U716" s="121" cm="1">
        <f t="array" ref="U716">_xlfn.IFERROR(ISNUMBER(SEARCH("Razonar",$R716))/(ISNUMBER(SEARCH("Conocer",$R716))+ISNUMBER(SEARCH("Aplicar",$R716))+ISNUMBER(SEARCH("Razonar",$R716))),0)</f>
        <v>0.5</v>
      </c>
      <c r="V716" t="s" s="35">
        <v>87</v>
      </c>
      <c r="W716" t="s" s="35">
        <v>119</v>
      </c>
      <c r="X716" s="36" cm="1">
        <f t="array" ref="X716">IF(OR(_xlfn.IFERROR(INDEX('Datos - Catálogo TIMSS'!$I$5:$I$107,MATCH(K716,'Datos - Catálogo TIMSS'!$A$5:$A$107,0)),"No")="Sí",_xlfn.IFERROR(INDEX('Datos - Catálogo TIMSS'!$I$5:$I$107,MATCH(L716,'Datos - Catálogo TIMSS'!$A$5:$A$107,0)),"No")="Sí"),1,0)</f>
        <v>0</v>
      </c>
      <c r="Y716" s="36" cm="1">
        <f t="array" ref="Y716">IF(_xlfn.IFERROR(INDEX('Datos - Catálogo TIMSS'!$J$5:$J$107,MATCH(K716,'Datos - Catálogo TIMSS'!$A$5:$A$107,0)),"No")="Sí",1,0)</f>
        <v>0</v>
      </c>
      <c r="Z716" s="36" cm="1">
        <f t="array" ref="Z716">IF(_xlfn.IFERROR(INDEX('Datos - Catálogo TIMSS'!$J$5:$J$107,MATCH(L716,'Datos - Catálogo TIMSS'!$A$5:$A$107,0)),"No")="Sí",1,0)</f>
        <v>0</v>
      </c>
      <c r="AA716" t="s" s="35">
        <v>1832</v>
      </c>
      <c r="AB716" s="39"/>
      <c r="AC716" t="str" s="39">
        <v>Fuera del marco</v>
      </c>
      <c r="AD716" t="s" s="35">
        <v>1859</v>
      </c>
      <c r="AE716" t="str" s="39" cm="1">
        <f t="array" ref="AE716">IF(AD716="","",IF(LEFT(AD716,1)="1","C1",IF(LEFT(AD716,1)="2","C2",IF(LEFT(AD716,1)="3","C3",""))))</f>
        <v>C1</v>
      </c>
      <c r="AF716" t="s" s="35">
        <v>1602</v>
      </c>
      <c r="AG716" t="s" s="35">
        <v>1612</v>
      </c>
      <c r="AH716" t="s" s="35">
        <v>1605</v>
      </c>
      <c r="AI716" t="s" s="35">
        <v>1629</v>
      </c>
      <c r="AJ716" t="s" s="35">
        <v>1607</v>
      </c>
      <c r="AK716" s="39"/>
      <c r="AL716" s="39"/>
      <c r="AM716" s="39"/>
      <c r="AN716" s="39"/>
      <c r="AO716" s="39"/>
      <c r="AP716" s="39"/>
      <c r="AQ716" s="39"/>
      <c r="AR716" s="39"/>
      <c r="AS716" s="39"/>
      <c r="AT716" s="39"/>
      <c r="AU716" s="39"/>
      <c r="AV716" s="39"/>
      <c r="AW716" t="str" s="39" cm="1">
        <f t="array" ref="AW716">AF716&amp;"; "&amp;AG716&amp;"; "&amp;AH716&amp;"; "&amp;AI716&amp;"; "&amp;AJ716</f>
        <v>E1; E5; E2; I3; E3</v>
      </c>
    </row>
    <row r="717" ht="13.65" customHeight="1">
      <c r="A717" t="s" s="35">
        <v>5275</v>
      </c>
      <c r="B717" s="36">
        <v>10</v>
      </c>
      <c r="C717" t="s" s="35">
        <v>222</v>
      </c>
      <c r="D717" t="s" s="35">
        <v>4800</v>
      </c>
      <c r="E717" t="s" s="35">
        <v>4801</v>
      </c>
      <c r="F717" s="36">
        <v>93</v>
      </c>
      <c r="G717" t="s" s="35">
        <v>5229</v>
      </c>
      <c r="H717" t="s" s="35">
        <v>5270</v>
      </c>
      <c r="I717" t="s" s="120">
        <v>5276</v>
      </c>
      <c r="J717" t="s" s="35">
        <v>1301</v>
      </c>
      <c r="K717" t="s" s="35">
        <v>1832</v>
      </c>
      <c r="L717" s="39"/>
      <c r="M717" t="str" s="39">
        <v>Fuera del marco</v>
      </c>
      <c r="N717" t="str" s="39">
        <v>Fuera del marco</v>
      </c>
      <c r="O717" t="str" s="39" cm="1">
        <f t="array" ref="O717">IF(L717="","",_xlfn.IFERROR(INDEX('Datos - Catálogo TIMSS'!$C$5:$C$107,MATCH(L717,'Datos - Catálogo TIMSS'!$A$5:$A$107,0)),"?"))</f>
      </c>
      <c r="P717" t="s" s="35">
        <v>282</v>
      </c>
      <c r="Q717" t="s" s="120">
        <v>5277</v>
      </c>
      <c r="R717" t="s" s="120">
        <v>5278</v>
      </c>
      <c r="S717" s="121" cm="1">
        <f t="array" ref="S717">_xlfn.IFERROR(ISNUMBER(SEARCH("Conocer",$R717))/(ISNUMBER(SEARCH("Conocer",$R717))+ISNUMBER(SEARCH("Aplicar",$R717))+ISNUMBER(SEARCH("Razonar",$R717))),0)</f>
        <v>0</v>
      </c>
      <c r="T717" s="121" cm="1">
        <f t="array" ref="T717">_xlfn.IFERROR(ISNUMBER(SEARCH("Aplicar",$R717))/(ISNUMBER(SEARCH("Conocer",$R717))+ISNUMBER(SEARCH("Aplicar",$R717))+ISNUMBER(SEARCH("Razonar",$R717))),0)</f>
        <v>0.5</v>
      </c>
      <c r="U717" s="121" cm="1">
        <f t="array" ref="U717">_xlfn.IFERROR(ISNUMBER(SEARCH("Razonar",$R717))/(ISNUMBER(SEARCH("Conocer",$R717))+ISNUMBER(SEARCH("Aplicar",$R717))+ISNUMBER(SEARCH("Razonar",$R717))),0)</f>
        <v>0.5</v>
      </c>
      <c r="V717" t="s" s="35">
        <v>87</v>
      </c>
      <c r="W717" t="s" s="35">
        <v>119</v>
      </c>
      <c r="X717" s="36" cm="1">
        <f t="array" ref="X717">IF(OR(_xlfn.IFERROR(INDEX('Datos - Catálogo TIMSS'!$I$5:$I$107,MATCH(K717,'Datos - Catálogo TIMSS'!$A$5:$A$107,0)),"No")="Sí",_xlfn.IFERROR(INDEX('Datos - Catálogo TIMSS'!$I$5:$I$107,MATCH(L717,'Datos - Catálogo TIMSS'!$A$5:$A$107,0)),"No")="Sí"),1,0)</f>
        <v>0</v>
      </c>
      <c r="Y717" s="36" cm="1">
        <f t="array" ref="Y717">IF(_xlfn.IFERROR(INDEX('Datos - Catálogo TIMSS'!$J$5:$J$107,MATCH(K717,'Datos - Catálogo TIMSS'!$A$5:$A$107,0)),"No")="Sí",1,0)</f>
        <v>0</v>
      </c>
      <c r="Z717" s="36" cm="1">
        <f t="array" ref="Z717">IF(_xlfn.IFERROR(INDEX('Datos - Catálogo TIMSS'!$J$5:$J$107,MATCH(L717,'Datos - Catálogo TIMSS'!$A$5:$A$107,0)),"No")="Sí",1,0)</f>
        <v>0</v>
      </c>
      <c r="AA717" t="s" s="35">
        <v>1832</v>
      </c>
      <c r="AB717" s="39"/>
      <c r="AC717" t="str" s="39">
        <v>Fuera del marco</v>
      </c>
      <c r="AD717" t="s" s="35">
        <v>1900</v>
      </c>
      <c r="AE717" t="str" s="39" cm="1">
        <f t="array" ref="AE717">IF(AD717="","",IF(LEFT(AD717,1)="1","C1",IF(LEFT(AD717,1)="2","C2",IF(LEFT(AD717,1)="3","C3",""))))</f>
        <v>C3</v>
      </c>
      <c r="AF717" t="s" s="35">
        <v>1615</v>
      </c>
      <c r="AG717" t="s" s="35">
        <v>1617</v>
      </c>
      <c r="AH717" t="s" s="35">
        <v>1602</v>
      </c>
      <c r="AI717" t="s" s="35">
        <v>1625</v>
      </c>
      <c r="AJ717" t="s" s="35">
        <v>1627</v>
      </c>
      <c r="AK717" s="39"/>
      <c r="AL717" s="39"/>
      <c r="AM717" s="39"/>
      <c r="AN717" s="39"/>
      <c r="AO717" s="39"/>
      <c r="AP717" s="39"/>
      <c r="AQ717" s="39"/>
      <c r="AR717" s="39"/>
      <c r="AS717" s="39"/>
      <c r="AT717" s="39"/>
      <c r="AU717" s="39"/>
      <c r="AV717" s="39"/>
      <c r="AW717" t="str" s="39" cm="1">
        <f t="array" ref="AW717">AF717&amp;"; "&amp;AG717&amp;"; "&amp;AH717&amp;"; "&amp;AI717&amp;"; "&amp;AJ717</f>
        <v>E6; D1; E1; I1; I2</v>
      </c>
    </row>
    <row r="718" ht="13.65" customHeight="1">
      <c r="A718" t="s" s="35">
        <v>5280</v>
      </c>
      <c r="B718" s="36">
        <v>10</v>
      </c>
      <c r="C718" t="s" s="35">
        <v>222</v>
      </c>
      <c r="D718" t="s" s="35">
        <v>4800</v>
      </c>
      <c r="E718" t="s" s="35">
        <v>4801</v>
      </c>
      <c r="F718" s="36">
        <v>94</v>
      </c>
      <c r="G718" t="s" s="35">
        <v>5281</v>
      </c>
      <c r="H718" t="s" s="35">
        <v>5282</v>
      </c>
      <c r="I718" t="s" s="120">
        <v>5283</v>
      </c>
      <c r="J718" t="s" s="35">
        <v>1301</v>
      </c>
      <c r="K718" t="s" s="35">
        <v>1325</v>
      </c>
      <c r="L718" s="39"/>
      <c r="M718" t="str" s="39">
        <v>Mecánica y termodinámica</v>
      </c>
      <c r="N718" t="str" s="39">
        <v>Calor y temperatura</v>
      </c>
      <c r="O718" t="str" s="39" cm="1">
        <f t="array" ref="O718">IF(L718="","",_xlfn.IFERROR(INDEX('Datos - Catálogo TIMSS'!$C$5:$C$107,MATCH(L718,'Datos - Catálogo TIMSS'!$A$5:$A$107,0)),"?"))</f>
      </c>
      <c r="P718" t="s" s="35">
        <v>254</v>
      </c>
      <c r="Q718" t="s" s="120">
        <v>5284</v>
      </c>
      <c r="R718" t="s" s="120">
        <v>5285</v>
      </c>
      <c r="S718" s="121" cm="1">
        <f t="array" ref="S718">_xlfn.IFERROR(ISNUMBER(SEARCH("Conocer",$R718))/(ISNUMBER(SEARCH("Conocer",$R718))+ISNUMBER(SEARCH("Aplicar",$R718))+ISNUMBER(SEARCH("Razonar",$R718))),0)</f>
        <v>0.5</v>
      </c>
      <c r="T718" s="121" cm="1">
        <f t="array" ref="T718">_xlfn.IFERROR(ISNUMBER(SEARCH("Aplicar",$R718))/(ISNUMBER(SEARCH("Conocer",$R718))+ISNUMBER(SEARCH("Aplicar",$R718))+ISNUMBER(SEARCH("Razonar",$R718))),0)</f>
        <v>0</v>
      </c>
      <c r="U718" s="121" cm="1">
        <f t="array" ref="U718">_xlfn.IFERROR(ISNUMBER(SEARCH("Razonar",$R718))/(ISNUMBER(SEARCH("Conocer",$R718))+ISNUMBER(SEARCH("Aplicar",$R718))+ISNUMBER(SEARCH("Razonar",$R718))),0)</f>
        <v>0.5</v>
      </c>
      <c r="V718" t="s" s="35">
        <v>87</v>
      </c>
      <c r="W718" t="s" s="35">
        <v>119</v>
      </c>
      <c r="X718" s="36" cm="1">
        <f t="array" ref="X718">IF(OR(_xlfn.IFERROR(INDEX('Datos - Catálogo TIMSS'!$I$5:$I$107,MATCH(K718,'Datos - Catálogo TIMSS'!$A$5:$A$107,0)),"No")="Sí",_xlfn.IFERROR(INDEX('Datos - Catálogo TIMSS'!$I$5:$I$107,MATCH(L718,'Datos - Catálogo TIMSS'!$A$5:$A$107,0)),"No")="Sí"),1,0)</f>
        <v>0</v>
      </c>
      <c r="Y718" s="36" cm="1">
        <f t="array" ref="Y718">IF(_xlfn.IFERROR(INDEX('Datos - Catálogo TIMSS'!$J$5:$J$107,MATCH(K718,'Datos - Catálogo TIMSS'!$A$5:$A$107,0)),"No")="Sí",1,0)</f>
        <v>0</v>
      </c>
      <c r="Z718" s="36" cm="1">
        <f t="array" ref="Z718">IF(_xlfn.IFERROR(INDEX('Datos - Catálogo TIMSS'!$J$5:$J$107,MATCH(L718,'Datos - Catálogo TIMSS'!$A$5:$A$107,0)),"No")="Sí",1,0)</f>
        <v>0</v>
      </c>
      <c r="AA718" t="s" s="35">
        <v>1325</v>
      </c>
      <c r="AB718" s="39"/>
      <c r="AC718" t="str" s="39">
        <v>Mecánica y termodinámica</v>
      </c>
      <c r="AD718" t="s" s="35">
        <v>1859</v>
      </c>
      <c r="AE718" t="str" s="39" cm="1">
        <f t="array" ref="AE718">IF(AD718="","",IF(LEFT(AD718,1)="1","C1",IF(LEFT(AD718,1)="2","C2",IF(LEFT(AD718,1)="3","C3",""))))</f>
        <v>C1</v>
      </c>
      <c r="AF718" t="s" s="35">
        <v>1615</v>
      </c>
      <c r="AG718" t="s" s="35">
        <v>1612</v>
      </c>
      <c r="AH718" t="s" s="35">
        <v>1609</v>
      </c>
      <c r="AI718" t="s" s="35">
        <v>1623</v>
      </c>
      <c r="AJ718" t="s" s="35">
        <v>1607</v>
      </c>
      <c r="AK718" s="39"/>
      <c r="AL718" s="39"/>
      <c r="AM718" s="39"/>
      <c r="AN718" s="39"/>
      <c r="AO718" s="39"/>
      <c r="AP718" s="39"/>
      <c r="AQ718" s="39"/>
      <c r="AR718" s="39"/>
      <c r="AS718" s="39"/>
      <c r="AT718" s="39"/>
      <c r="AU718" s="39"/>
      <c r="AV718" s="39"/>
      <c r="AW718" t="str" s="39" cm="1">
        <f t="array" ref="AW718">AF718&amp;"; "&amp;AG718&amp;"; "&amp;AH718&amp;"; "&amp;AI718&amp;"; "&amp;AJ718</f>
        <v>E6; E5; E4; D4; E3</v>
      </c>
    </row>
    <row r="719" ht="13.65" customHeight="1">
      <c r="A719" t="s" s="35">
        <v>5287</v>
      </c>
      <c r="B719" s="36">
        <v>10</v>
      </c>
      <c r="C719" t="s" s="35">
        <v>222</v>
      </c>
      <c r="D719" t="s" s="35">
        <v>4800</v>
      </c>
      <c r="E719" t="s" s="35">
        <v>4801</v>
      </c>
      <c r="F719" s="36">
        <v>95</v>
      </c>
      <c r="G719" t="s" s="35">
        <v>5281</v>
      </c>
      <c r="H719" t="s" s="35">
        <v>5282</v>
      </c>
      <c r="I719" t="s" s="120">
        <v>5288</v>
      </c>
      <c r="J719" t="s" s="35">
        <v>1301</v>
      </c>
      <c r="K719" t="s" s="35">
        <v>1325</v>
      </c>
      <c r="L719" s="39"/>
      <c r="M719" t="str" s="39">
        <v>Mecánica y termodinámica</v>
      </c>
      <c r="N719" t="str" s="39">
        <v>Calor y temperatura</v>
      </c>
      <c r="O719" t="str" s="39" cm="1">
        <f t="array" ref="O719">IF(L719="","",_xlfn.IFERROR(INDEX('Datos - Catálogo TIMSS'!$C$5:$C$107,MATCH(L719,'Datos - Catálogo TIMSS'!$A$5:$A$107,0)),"?"))</f>
      </c>
      <c r="P719" t="s" s="35">
        <v>254</v>
      </c>
      <c r="Q719" t="s" s="120">
        <v>5289</v>
      </c>
      <c r="R719" t="s" s="120">
        <v>5290</v>
      </c>
      <c r="S719" s="121" cm="1">
        <f t="array" ref="S719">_xlfn.IFERROR(ISNUMBER(SEARCH("Conocer",$R719))/(ISNUMBER(SEARCH("Conocer",$R719))+ISNUMBER(SEARCH("Aplicar",$R719))+ISNUMBER(SEARCH("Razonar",$R719))),0)</f>
        <v>0</v>
      </c>
      <c r="T719" s="121" cm="1">
        <f t="array" ref="T719">_xlfn.IFERROR(ISNUMBER(SEARCH("Aplicar",$R719))/(ISNUMBER(SEARCH("Conocer",$R719))+ISNUMBER(SEARCH("Aplicar",$R719))+ISNUMBER(SEARCH("Razonar",$R719))),0)</f>
        <v>0.5</v>
      </c>
      <c r="U719" s="121" cm="1">
        <f t="array" ref="U719">_xlfn.IFERROR(ISNUMBER(SEARCH("Razonar",$R719))/(ISNUMBER(SEARCH("Conocer",$R719))+ISNUMBER(SEARCH("Aplicar",$R719))+ISNUMBER(SEARCH("Razonar",$R719))),0)</f>
        <v>0.5</v>
      </c>
      <c r="V719" t="s" s="35">
        <v>87</v>
      </c>
      <c r="W719" t="s" s="35">
        <v>119</v>
      </c>
      <c r="X719" s="36" cm="1">
        <f t="array" ref="X719">IF(OR(_xlfn.IFERROR(INDEX('Datos - Catálogo TIMSS'!$I$5:$I$107,MATCH(K719,'Datos - Catálogo TIMSS'!$A$5:$A$107,0)),"No")="Sí",_xlfn.IFERROR(INDEX('Datos - Catálogo TIMSS'!$I$5:$I$107,MATCH(L719,'Datos - Catálogo TIMSS'!$A$5:$A$107,0)),"No")="Sí"),1,0)</f>
        <v>0</v>
      </c>
      <c r="Y719" s="36" cm="1">
        <f t="array" ref="Y719">IF(_xlfn.IFERROR(INDEX('Datos - Catálogo TIMSS'!$J$5:$J$107,MATCH(K719,'Datos - Catálogo TIMSS'!$A$5:$A$107,0)),"No")="Sí",1,0)</f>
        <v>0</v>
      </c>
      <c r="Z719" s="36" cm="1">
        <f t="array" ref="Z719">IF(_xlfn.IFERROR(INDEX('Datos - Catálogo TIMSS'!$J$5:$J$107,MATCH(L719,'Datos - Catálogo TIMSS'!$A$5:$A$107,0)),"No")="Sí",1,0)</f>
        <v>0</v>
      </c>
      <c r="AA719" t="s" s="35">
        <v>1325</v>
      </c>
      <c r="AB719" s="39"/>
      <c r="AC719" t="str" s="39">
        <v>Mecánica y termodinámica</v>
      </c>
      <c r="AD719" t="s" s="35">
        <v>1834</v>
      </c>
      <c r="AE719" t="str" s="39" cm="1">
        <f t="array" ref="AE719">IF(AD719="","",IF(LEFT(AD719,1)="1","C1",IF(LEFT(AD719,1)="2","C2",IF(LEFT(AD719,1)="3","C3",""))))</f>
        <v>C2</v>
      </c>
      <c r="AF719" t="s" s="35">
        <v>1602</v>
      </c>
      <c r="AG719" t="s" s="35">
        <v>1617</v>
      </c>
      <c r="AH719" t="s" s="35">
        <v>1602</v>
      </c>
      <c r="AI719" t="s" s="35">
        <v>1619</v>
      </c>
      <c r="AJ719" t="s" s="35">
        <v>1621</v>
      </c>
      <c r="AK719" s="39"/>
      <c r="AL719" s="39"/>
      <c r="AM719" s="39"/>
      <c r="AN719" s="39"/>
      <c r="AO719" s="39"/>
      <c r="AP719" s="39"/>
      <c r="AQ719" s="39"/>
      <c r="AR719" s="39"/>
      <c r="AS719" s="39"/>
      <c r="AT719" s="39"/>
      <c r="AU719" s="39"/>
      <c r="AV719" s="39"/>
      <c r="AW719" t="str" s="39" cm="1">
        <f t="array" ref="AW719">AF719&amp;"; "&amp;AG719&amp;"; "&amp;AH719&amp;"; "&amp;AI719&amp;"; "&amp;AJ719</f>
        <v>E1; D1; E1; D2; D3</v>
      </c>
    </row>
    <row r="720" ht="13.65" customHeight="1">
      <c r="A720" t="s" s="35">
        <v>5291</v>
      </c>
      <c r="B720" s="36">
        <v>10</v>
      </c>
      <c r="C720" t="s" s="35">
        <v>222</v>
      </c>
      <c r="D720" t="s" s="35">
        <v>4800</v>
      </c>
      <c r="E720" t="s" s="35">
        <v>4801</v>
      </c>
      <c r="F720" s="36">
        <v>96</v>
      </c>
      <c r="G720" t="s" s="35">
        <v>5281</v>
      </c>
      <c r="H720" t="s" s="35">
        <v>5282</v>
      </c>
      <c r="I720" t="s" s="120">
        <v>5292</v>
      </c>
      <c r="J720" t="s" s="35">
        <v>1301</v>
      </c>
      <c r="K720" t="s" s="35">
        <v>1360</v>
      </c>
      <c r="L720" t="s" s="35">
        <v>1325</v>
      </c>
      <c r="M720" t="str" s="39">
        <v>Ondas y física atómica/nuclear</v>
      </c>
      <c r="N720" t="str" s="39">
        <v>Fenómenos ondulatorios</v>
      </c>
      <c r="O720" t="str" s="39" cm="1">
        <f t="array" ref="O720">IF(L720="","",_xlfn.IFERROR(INDEX('Datos - Catálogo TIMSS'!$C$5:$C$107,MATCH(L720,'Datos - Catálogo TIMSS'!$A$5:$A$107,0)),"?"))</f>
        <v>Mecánica y termodinámica</v>
      </c>
      <c r="P720" t="s" s="35">
        <v>254</v>
      </c>
      <c r="Q720" t="s" s="120">
        <v>5294</v>
      </c>
      <c r="R720" t="s" s="120">
        <v>5295</v>
      </c>
      <c r="S720" s="121" cm="1">
        <f t="array" ref="S720">_xlfn.IFERROR(ISNUMBER(SEARCH("Conocer",$R720))/(ISNUMBER(SEARCH("Conocer",$R720))+ISNUMBER(SEARCH("Aplicar",$R720))+ISNUMBER(SEARCH("Razonar",$R720))),0)</f>
        <v>0</v>
      </c>
      <c r="T720" s="121" cm="1">
        <f t="array" ref="T720">_xlfn.IFERROR(ISNUMBER(SEARCH("Aplicar",$R720))/(ISNUMBER(SEARCH("Conocer",$R720))+ISNUMBER(SEARCH("Aplicar",$R720))+ISNUMBER(SEARCH("Razonar",$R720))),0)</f>
        <v>0.5</v>
      </c>
      <c r="U720" s="121" cm="1">
        <f t="array" ref="U720">_xlfn.IFERROR(ISNUMBER(SEARCH("Razonar",$R720))/(ISNUMBER(SEARCH("Conocer",$R720))+ISNUMBER(SEARCH("Aplicar",$R720))+ISNUMBER(SEARCH("Razonar",$R720))),0)</f>
        <v>0.5</v>
      </c>
      <c r="V720" t="s" s="35">
        <v>87</v>
      </c>
      <c r="W720" t="s" s="35">
        <v>119</v>
      </c>
      <c r="X720" s="36" cm="1">
        <f t="array" ref="X720">IF(OR(_xlfn.IFERROR(INDEX('Datos - Catálogo TIMSS'!$I$5:$I$107,MATCH(K720,'Datos - Catálogo TIMSS'!$A$5:$A$107,0)),"No")="Sí",_xlfn.IFERROR(INDEX('Datos - Catálogo TIMSS'!$I$5:$I$107,MATCH(L720,'Datos - Catálogo TIMSS'!$A$5:$A$107,0)),"No")="Sí"),1,0)</f>
        <v>0</v>
      </c>
      <c r="Y720" s="36" cm="1">
        <f t="array" ref="Y720">IF(_xlfn.IFERROR(INDEX('Datos - Catálogo TIMSS'!$J$5:$J$107,MATCH(K720,'Datos - Catálogo TIMSS'!$A$5:$A$107,0)),"No")="Sí",1,0)</f>
        <v>0</v>
      </c>
      <c r="Z720" s="36" cm="1">
        <f t="array" ref="Z720">IF(_xlfn.IFERROR(INDEX('Datos - Catálogo TIMSS'!$J$5:$J$107,MATCH(L720,'Datos - Catálogo TIMSS'!$A$5:$A$107,0)),"No")="Sí",1,0)</f>
        <v>0</v>
      </c>
      <c r="AA720" t="s" s="35">
        <v>1360</v>
      </c>
      <c r="AB720" t="s" s="35">
        <v>1325</v>
      </c>
      <c r="AC720" t="str" s="39">
        <v>Ondas y física atómica/nuclear</v>
      </c>
      <c r="AD720" t="s" s="35">
        <v>1859</v>
      </c>
      <c r="AE720" t="str" s="39" cm="1">
        <f t="array" ref="AE720">IF(AD720="","",IF(LEFT(AD720,1)="1","C1",IF(LEFT(AD720,1)="2","C2",IF(LEFT(AD720,1)="3","C3",""))))</f>
        <v>C1</v>
      </c>
      <c r="AF720" t="s" s="35">
        <v>1602</v>
      </c>
      <c r="AG720" t="s" s="35">
        <v>1607</v>
      </c>
      <c r="AH720" t="s" s="35">
        <v>1605</v>
      </c>
      <c r="AI720" t="s" s="35">
        <v>1629</v>
      </c>
      <c r="AJ720" t="s" s="35">
        <v>1615</v>
      </c>
      <c r="AK720" s="39"/>
      <c r="AL720" s="39"/>
      <c r="AM720" s="39"/>
      <c r="AN720" s="39"/>
      <c r="AO720" s="39"/>
      <c r="AP720" s="39"/>
      <c r="AQ720" s="39"/>
      <c r="AR720" s="39"/>
      <c r="AS720" s="39"/>
      <c r="AT720" s="39"/>
      <c r="AU720" s="39"/>
      <c r="AV720" s="39"/>
      <c r="AW720" t="str" s="39" cm="1">
        <f t="array" ref="AW720">AF720&amp;"; "&amp;AG720&amp;"; "&amp;AH720&amp;"; "&amp;AI720&amp;"; "&amp;AJ720</f>
        <v>E1; E3; E2; I3; E6</v>
      </c>
    </row>
    <row r="721" ht="13.65" customHeight="1">
      <c r="A721" t="s" s="35">
        <v>5297</v>
      </c>
      <c r="B721" s="36">
        <v>10</v>
      </c>
      <c r="C721" t="s" s="35">
        <v>222</v>
      </c>
      <c r="D721" t="s" s="35">
        <v>4800</v>
      </c>
      <c r="E721" t="s" s="35">
        <v>4801</v>
      </c>
      <c r="F721" s="36">
        <v>97</v>
      </c>
      <c r="G721" t="s" s="35">
        <v>5281</v>
      </c>
      <c r="H721" t="s" s="35">
        <v>5298</v>
      </c>
      <c r="I721" t="s" s="120">
        <v>5299</v>
      </c>
      <c r="J721" t="s" s="35">
        <v>1301</v>
      </c>
      <c r="K721" t="s" s="35">
        <v>1325</v>
      </c>
      <c r="L721" s="39"/>
      <c r="M721" t="str" s="39">
        <v>Mecánica y termodinámica</v>
      </c>
      <c r="N721" t="str" s="39">
        <v>Calor y temperatura</v>
      </c>
      <c r="O721" t="str" s="39" cm="1">
        <f t="array" ref="O721">IF(L721="","",_xlfn.IFERROR(INDEX('Datos - Catálogo TIMSS'!$C$5:$C$107,MATCH(L721,'Datos - Catálogo TIMSS'!$A$5:$A$107,0)),"?"))</f>
      </c>
      <c r="P721" t="s" s="35">
        <v>254</v>
      </c>
      <c r="Q721" t="s" s="120">
        <v>5300</v>
      </c>
      <c r="R721" t="s" s="120">
        <v>5301</v>
      </c>
      <c r="S721" s="121" cm="1">
        <f t="array" ref="S721">_xlfn.IFERROR(ISNUMBER(SEARCH("Conocer",$R721))/(ISNUMBER(SEARCH("Conocer",$R721))+ISNUMBER(SEARCH("Aplicar",$R721))+ISNUMBER(SEARCH("Razonar",$R721))),0)</f>
        <v>0</v>
      </c>
      <c r="T721" s="121" cm="1">
        <f t="array" ref="T721">_xlfn.IFERROR(ISNUMBER(SEARCH("Aplicar",$R721))/(ISNUMBER(SEARCH("Conocer",$R721))+ISNUMBER(SEARCH("Aplicar",$R721))+ISNUMBER(SEARCH("Razonar",$R721))),0)</f>
        <v>0.5</v>
      </c>
      <c r="U721" s="121" cm="1">
        <f t="array" ref="U721">_xlfn.IFERROR(ISNUMBER(SEARCH("Razonar",$R721))/(ISNUMBER(SEARCH("Conocer",$R721))+ISNUMBER(SEARCH("Aplicar",$R721))+ISNUMBER(SEARCH("Razonar",$R721))),0)</f>
        <v>0.5</v>
      </c>
      <c r="V721" t="s" s="35">
        <v>87</v>
      </c>
      <c r="W721" t="s" s="35">
        <v>119</v>
      </c>
      <c r="X721" s="36" cm="1">
        <f t="array" ref="X721">IF(OR(_xlfn.IFERROR(INDEX('Datos - Catálogo TIMSS'!$I$5:$I$107,MATCH(K721,'Datos - Catálogo TIMSS'!$A$5:$A$107,0)),"No")="Sí",_xlfn.IFERROR(INDEX('Datos - Catálogo TIMSS'!$I$5:$I$107,MATCH(L721,'Datos - Catálogo TIMSS'!$A$5:$A$107,0)),"No")="Sí"),1,0)</f>
        <v>0</v>
      </c>
      <c r="Y721" s="36" cm="1">
        <f t="array" ref="Y721">IF(_xlfn.IFERROR(INDEX('Datos - Catálogo TIMSS'!$J$5:$J$107,MATCH(K721,'Datos - Catálogo TIMSS'!$A$5:$A$107,0)),"No")="Sí",1,0)</f>
        <v>0</v>
      </c>
      <c r="Z721" s="36" cm="1">
        <f t="array" ref="Z721">IF(_xlfn.IFERROR(INDEX('Datos - Catálogo TIMSS'!$J$5:$J$107,MATCH(L721,'Datos - Catálogo TIMSS'!$A$5:$A$107,0)),"No")="Sí",1,0)</f>
        <v>0</v>
      </c>
      <c r="AA721" t="s" s="35">
        <v>1325</v>
      </c>
      <c r="AB721" s="39"/>
      <c r="AC721" t="str" s="39">
        <v>Mecánica y termodinámica</v>
      </c>
      <c r="AD721" t="s" s="35">
        <v>1900</v>
      </c>
      <c r="AE721" t="str" s="39" cm="1">
        <f t="array" ref="AE721">IF(AD721="","",IF(LEFT(AD721,1)="1","C1",IF(LEFT(AD721,1)="2","C2",IF(LEFT(AD721,1)="3","C3",""))))</f>
        <v>C3</v>
      </c>
      <c r="AF721" t="s" s="35">
        <v>1615</v>
      </c>
      <c r="AG721" t="s" s="35">
        <v>1612</v>
      </c>
      <c r="AH721" t="s" s="35">
        <v>1609</v>
      </c>
      <c r="AI721" t="s" s="35">
        <v>1625</v>
      </c>
      <c r="AJ721" t="s" s="35">
        <v>1633</v>
      </c>
      <c r="AK721" s="39"/>
      <c r="AL721" s="39"/>
      <c r="AM721" s="39"/>
      <c r="AN721" s="39"/>
      <c r="AO721" s="39"/>
      <c r="AP721" s="39"/>
      <c r="AQ721" s="39"/>
      <c r="AR721" s="39"/>
      <c r="AS721" s="39"/>
      <c r="AT721" s="39"/>
      <c r="AU721" s="39"/>
      <c r="AV721" s="39"/>
      <c r="AW721" t="str" s="39" cm="1">
        <f t="array" ref="AW721">AF721&amp;"; "&amp;AG721&amp;"; "&amp;AH721&amp;"; "&amp;AI721&amp;"; "&amp;AJ721</f>
        <v>E6; E5; E4; I1; I5</v>
      </c>
    </row>
    <row r="722" ht="13.65" customHeight="1">
      <c r="A722" t="s" s="35">
        <v>5303</v>
      </c>
      <c r="B722" s="36">
        <v>10</v>
      </c>
      <c r="C722" t="s" s="35">
        <v>222</v>
      </c>
      <c r="D722" t="s" s="35">
        <v>4800</v>
      </c>
      <c r="E722" t="s" s="35">
        <v>4801</v>
      </c>
      <c r="F722" s="36">
        <v>98</v>
      </c>
      <c r="G722" t="s" s="35">
        <v>5304</v>
      </c>
      <c r="H722" t="s" s="35">
        <v>5305</v>
      </c>
      <c r="I722" t="s" s="120">
        <v>5306</v>
      </c>
      <c r="J722" t="s" s="35">
        <v>1301</v>
      </c>
      <c r="K722" t="s" s="35">
        <v>1329</v>
      </c>
      <c r="L722" s="39"/>
      <c r="M722" t="str" s="39">
        <v>Mecánica y termodinámica</v>
      </c>
      <c r="N722" t="str" s="39">
        <v>Calor y temperatura</v>
      </c>
      <c r="O722" t="str" s="39" cm="1">
        <f t="array" ref="O722">IF(L722="","",_xlfn.IFERROR(INDEX('Datos - Catálogo TIMSS'!$C$5:$C$107,MATCH(L722,'Datos - Catálogo TIMSS'!$A$5:$A$107,0)),"?"))</f>
      </c>
      <c r="P722" t="s" s="35">
        <v>254</v>
      </c>
      <c r="Q722" t="s" s="120">
        <v>5307</v>
      </c>
      <c r="R722" t="s" s="120">
        <v>5308</v>
      </c>
      <c r="S722" s="121" cm="1">
        <f t="array" ref="S722">_xlfn.IFERROR(ISNUMBER(SEARCH("Conocer",$R722))/(ISNUMBER(SEARCH("Conocer",$R722))+ISNUMBER(SEARCH("Aplicar",$R722))+ISNUMBER(SEARCH("Razonar",$R722))),0)</f>
        <v>0</v>
      </c>
      <c r="T722" s="121" cm="1">
        <f t="array" ref="T722">_xlfn.IFERROR(ISNUMBER(SEARCH("Aplicar",$R722))/(ISNUMBER(SEARCH("Conocer",$R722))+ISNUMBER(SEARCH("Aplicar",$R722))+ISNUMBER(SEARCH("Razonar",$R722))),0)</f>
        <v>0.5</v>
      </c>
      <c r="U722" s="121" cm="1">
        <f t="array" ref="U722">_xlfn.IFERROR(ISNUMBER(SEARCH("Razonar",$R722))/(ISNUMBER(SEARCH("Conocer",$R722))+ISNUMBER(SEARCH("Aplicar",$R722))+ISNUMBER(SEARCH("Razonar",$R722))),0)</f>
        <v>0.5</v>
      </c>
      <c r="V722" t="s" s="35">
        <v>87</v>
      </c>
      <c r="W722" t="s" s="35">
        <v>119</v>
      </c>
      <c r="X722" s="36" cm="1">
        <f t="array" ref="X722">IF(OR(_xlfn.IFERROR(INDEX('Datos - Catálogo TIMSS'!$I$5:$I$107,MATCH(K722,'Datos - Catálogo TIMSS'!$A$5:$A$107,0)),"No")="Sí",_xlfn.IFERROR(INDEX('Datos - Catálogo TIMSS'!$I$5:$I$107,MATCH(L722,'Datos - Catálogo TIMSS'!$A$5:$A$107,0)),"No")="Sí"),1,0)</f>
        <v>0</v>
      </c>
      <c r="Y722" s="36" cm="1">
        <f t="array" ref="Y722">IF(_xlfn.IFERROR(INDEX('Datos - Catálogo TIMSS'!$J$5:$J$107,MATCH(K722,'Datos - Catálogo TIMSS'!$A$5:$A$107,0)),"No")="Sí",1,0)</f>
        <v>0</v>
      </c>
      <c r="Z722" s="36" cm="1">
        <f t="array" ref="Z722">IF(_xlfn.IFERROR(INDEX('Datos - Catálogo TIMSS'!$J$5:$J$107,MATCH(L722,'Datos - Catálogo TIMSS'!$A$5:$A$107,0)),"No")="Sí",1,0)</f>
        <v>0</v>
      </c>
      <c r="AA722" t="s" s="35">
        <v>1329</v>
      </c>
      <c r="AB722" s="39"/>
      <c r="AC722" t="str" s="39">
        <v>Mecánica y termodinámica</v>
      </c>
      <c r="AD722" t="s" s="35">
        <v>1834</v>
      </c>
      <c r="AE722" t="str" s="39" cm="1">
        <f t="array" ref="AE722">IF(AD722="","",IF(LEFT(AD722,1)="1","C1",IF(LEFT(AD722,1)="2","C2",IF(LEFT(AD722,1)="3","C3",""))))</f>
        <v>C2</v>
      </c>
      <c r="AF722" t="s" s="35">
        <v>1602</v>
      </c>
      <c r="AG722" t="s" s="35">
        <v>1617</v>
      </c>
      <c r="AH722" t="s" s="35">
        <v>1605</v>
      </c>
      <c r="AI722" t="s" s="35">
        <v>1623</v>
      </c>
      <c r="AJ722" t="s" s="35">
        <v>1621</v>
      </c>
      <c r="AK722" s="39"/>
      <c r="AL722" s="39"/>
      <c r="AM722" s="39"/>
      <c r="AN722" s="39"/>
      <c r="AO722" s="39"/>
      <c r="AP722" s="39"/>
      <c r="AQ722" s="39"/>
      <c r="AR722" s="39"/>
      <c r="AS722" s="39"/>
      <c r="AT722" s="39"/>
      <c r="AU722" s="39"/>
      <c r="AV722" s="39"/>
      <c r="AW722" t="str" s="39" cm="1">
        <f t="array" ref="AW722">AF722&amp;"; "&amp;AG722&amp;"; "&amp;AH722&amp;"; "&amp;AI722&amp;"; "&amp;AJ722</f>
        <v>E1; D1; E2; D4; D3</v>
      </c>
    </row>
    <row r="723" ht="13.65" customHeight="1">
      <c r="A723" t="s" s="35">
        <v>5310</v>
      </c>
      <c r="B723" s="36">
        <v>10</v>
      </c>
      <c r="C723" t="s" s="35">
        <v>222</v>
      </c>
      <c r="D723" t="s" s="35">
        <v>4800</v>
      </c>
      <c r="E723" t="s" s="35">
        <v>4801</v>
      </c>
      <c r="F723" s="36">
        <v>99</v>
      </c>
      <c r="G723" t="s" s="35">
        <v>5304</v>
      </c>
      <c r="H723" t="s" s="35">
        <v>5311</v>
      </c>
      <c r="I723" t="s" s="120">
        <v>5312</v>
      </c>
      <c r="J723" t="s" s="35">
        <v>1301</v>
      </c>
      <c r="K723" t="s" s="35">
        <v>1329</v>
      </c>
      <c r="L723" s="39"/>
      <c r="M723" t="str" s="39">
        <v>Mecánica y termodinámica</v>
      </c>
      <c r="N723" t="str" s="39">
        <v>Calor y temperatura</v>
      </c>
      <c r="O723" t="str" s="39" cm="1">
        <f t="array" ref="O723">IF(L723="","",_xlfn.IFERROR(INDEX('Datos - Catálogo TIMSS'!$C$5:$C$107,MATCH(L723,'Datos - Catálogo TIMSS'!$A$5:$A$107,0)),"?"))</f>
      </c>
      <c r="P723" t="s" s="35">
        <v>282</v>
      </c>
      <c r="Q723" t="s" s="120">
        <v>5313</v>
      </c>
      <c r="R723" t="s" s="120">
        <v>5314</v>
      </c>
      <c r="S723" s="121" cm="1">
        <f t="array" ref="S723">_xlfn.IFERROR(ISNUMBER(SEARCH("Conocer",$R723))/(ISNUMBER(SEARCH("Conocer",$R723))+ISNUMBER(SEARCH("Aplicar",$R723))+ISNUMBER(SEARCH("Razonar",$R723))),0)</f>
        <v>0</v>
      </c>
      <c r="T723" s="121" cm="1">
        <f t="array" ref="T723">_xlfn.IFERROR(ISNUMBER(SEARCH("Aplicar",$R723))/(ISNUMBER(SEARCH("Conocer",$R723))+ISNUMBER(SEARCH("Aplicar",$R723))+ISNUMBER(SEARCH("Razonar",$R723))),0)</f>
        <v>0.5</v>
      </c>
      <c r="U723" s="121" cm="1">
        <f t="array" ref="U723">_xlfn.IFERROR(ISNUMBER(SEARCH("Razonar",$R723))/(ISNUMBER(SEARCH("Conocer",$R723))+ISNUMBER(SEARCH("Aplicar",$R723))+ISNUMBER(SEARCH("Razonar",$R723))),0)</f>
        <v>0.5</v>
      </c>
      <c r="V723" t="s" s="35">
        <v>87</v>
      </c>
      <c r="W723" t="s" s="35">
        <v>119</v>
      </c>
      <c r="X723" s="36" cm="1">
        <f t="array" ref="X723">IF(OR(_xlfn.IFERROR(INDEX('Datos - Catálogo TIMSS'!$I$5:$I$107,MATCH(K723,'Datos - Catálogo TIMSS'!$A$5:$A$107,0)),"No")="Sí",_xlfn.IFERROR(INDEX('Datos - Catálogo TIMSS'!$I$5:$I$107,MATCH(L723,'Datos - Catálogo TIMSS'!$A$5:$A$107,0)),"No")="Sí"),1,0)</f>
        <v>0</v>
      </c>
      <c r="Y723" s="36" cm="1">
        <f t="array" ref="Y723">IF(_xlfn.IFERROR(INDEX('Datos - Catálogo TIMSS'!$J$5:$J$107,MATCH(K723,'Datos - Catálogo TIMSS'!$A$5:$A$107,0)),"No")="Sí",1,0)</f>
        <v>0</v>
      </c>
      <c r="Z723" s="36" cm="1">
        <f t="array" ref="Z723">IF(_xlfn.IFERROR(INDEX('Datos - Catálogo TIMSS'!$J$5:$J$107,MATCH(L723,'Datos - Catálogo TIMSS'!$A$5:$A$107,0)),"No")="Sí",1,0)</f>
        <v>0</v>
      </c>
      <c r="AA723" t="s" s="35">
        <v>1329</v>
      </c>
      <c r="AB723" s="39"/>
      <c r="AC723" t="str" s="39">
        <v>Mecánica y termodinámica</v>
      </c>
      <c r="AD723" t="s" s="35">
        <v>1859</v>
      </c>
      <c r="AE723" t="str" s="39" cm="1">
        <f t="array" ref="AE723">IF(AD723="","",IF(LEFT(AD723,1)="1","C1",IF(LEFT(AD723,1)="2","C2",IF(LEFT(AD723,1)="3","C3",""))))</f>
        <v>C1</v>
      </c>
      <c r="AF723" t="s" s="35">
        <v>1602</v>
      </c>
      <c r="AG723" t="s" s="35">
        <v>1607</v>
      </c>
      <c r="AH723" t="s" s="35">
        <v>1609</v>
      </c>
      <c r="AI723" t="s" s="35">
        <v>1623</v>
      </c>
      <c r="AJ723" t="s" s="35">
        <v>1615</v>
      </c>
      <c r="AK723" s="39"/>
      <c r="AL723" s="39"/>
      <c r="AM723" s="39"/>
      <c r="AN723" s="39"/>
      <c r="AO723" s="39"/>
      <c r="AP723" s="39"/>
      <c r="AQ723" s="39"/>
      <c r="AR723" s="39"/>
      <c r="AS723" s="39"/>
      <c r="AT723" s="39"/>
      <c r="AU723" s="39"/>
      <c r="AV723" s="39"/>
      <c r="AW723" t="str" s="39" cm="1">
        <f t="array" ref="AW723">AF723&amp;"; "&amp;AG723&amp;"; "&amp;AH723&amp;"; "&amp;AI723&amp;"; "&amp;AJ723</f>
        <v>E1; E3; E4; D4; E6</v>
      </c>
    </row>
    <row r="724" ht="13.65" customHeight="1">
      <c r="A724" t="s" s="35">
        <v>5315</v>
      </c>
      <c r="B724" s="36">
        <v>10</v>
      </c>
      <c r="C724" t="s" s="35">
        <v>222</v>
      </c>
      <c r="D724" t="s" s="35">
        <v>4800</v>
      </c>
      <c r="E724" t="s" s="35">
        <v>4801</v>
      </c>
      <c r="F724" s="36">
        <v>100</v>
      </c>
      <c r="G724" t="s" s="35">
        <v>5316</v>
      </c>
      <c r="H724" t="s" s="35">
        <v>5317</v>
      </c>
      <c r="I724" t="s" s="120">
        <v>5318</v>
      </c>
      <c r="J724" t="s" s="35">
        <v>1301</v>
      </c>
      <c r="K724" t="s" s="35">
        <v>1322</v>
      </c>
      <c r="L724" s="39"/>
      <c r="M724" t="str" s="39">
        <v>Mecánica y termodinámica</v>
      </c>
      <c r="N724" t="str" s="39">
        <v>Leyes de conservación</v>
      </c>
      <c r="O724" t="str" s="39" cm="1">
        <f t="array" ref="O724">IF(L724="","",_xlfn.IFERROR(INDEX('Datos - Catálogo TIMSS'!$C$5:$C$107,MATCH(L724,'Datos - Catálogo TIMSS'!$A$5:$A$107,0)),"?"))</f>
      </c>
      <c r="P724" t="s" s="35">
        <v>291</v>
      </c>
      <c r="Q724" t="s" s="120">
        <v>5319</v>
      </c>
      <c r="R724" t="s" s="120">
        <v>5320</v>
      </c>
      <c r="S724" s="121" cm="1">
        <f t="array" ref="S724">_xlfn.IFERROR(ISNUMBER(SEARCH("Conocer",$R724))/(ISNUMBER(SEARCH("Conocer",$R724))+ISNUMBER(SEARCH("Aplicar",$R724))+ISNUMBER(SEARCH("Razonar",$R724))),0)</f>
        <v>0.5</v>
      </c>
      <c r="T724" s="121" cm="1">
        <f t="array" ref="T724">_xlfn.IFERROR(ISNUMBER(SEARCH("Aplicar",$R724))/(ISNUMBER(SEARCH("Conocer",$R724))+ISNUMBER(SEARCH("Aplicar",$R724))+ISNUMBER(SEARCH("Razonar",$R724))),0)</f>
        <v>0.5</v>
      </c>
      <c r="U724" s="121" cm="1">
        <f t="array" ref="U724">_xlfn.IFERROR(ISNUMBER(SEARCH("Razonar",$R724))/(ISNUMBER(SEARCH("Conocer",$R724))+ISNUMBER(SEARCH("Aplicar",$R724))+ISNUMBER(SEARCH("Razonar",$R724))),0)</f>
        <v>0</v>
      </c>
      <c r="V724" t="s" s="35">
        <v>87</v>
      </c>
      <c r="W724" t="s" s="35">
        <v>119</v>
      </c>
      <c r="X724" s="36" cm="1">
        <f t="array" ref="X724">IF(OR(_xlfn.IFERROR(INDEX('Datos - Catálogo TIMSS'!$I$5:$I$107,MATCH(K724,'Datos - Catálogo TIMSS'!$A$5:$A$107,0)),"No")="Sí",_xlfn.IFERROR(INDEX('Datos - Catálogo TIMSS'!$I$5:$I$107,MATCH(L724,'Datos - Catálogo TIMSS'!$A$5:$A$107,0)),"No")="Sí"),1,0)</f>
        <v>0</v>
      </c>
      <c r="Y724" s="36" cm="1">
        <f t="array" ref="Y724">IF(_xlfn.IFERROR(INDEX('Datos - Catálogo TIMSS'!$J$5:$J$107,MATCH(K724,'Datos - Catálogo TIMSS'!$A$5:$A$107,0)),"No")="Sí",1,0)</f>
        <v>0</v>
      </c>
      <c r="Z724" s="36" cm="1">
        <f t="array" ref="Z724">IF(_xlfn.IFERROR(INDEX('Datos - Catálogo TIMSS'!$J$5:$J$107,MATCH(L724,'Datos - Catálogo TIMSS'!$A$5:$A$107,0)),"No")="Sí",1,0)</f>
        <v>0</v>
      </c>
      <c r="AA724" t="s" s="35">
        <v>1322</v>
      </c>
      <c r="AB724" s="39"/>
      <c r="AC724" t="str" s="39">
        <v>Mecánica y termodinámica</v>
      </c>
      <c r="AD724" t="s" s="35">
        <v>1859</v>
      </c>
      <c r="AE724" t="str" s="39" cm="1">
        <f t="array" ref="AE724">IF(AD724="","",IF(LEFT(AD724,1)="1","C1",IF(LEFT(AD724,1)="2","C2",IF(LEFT(AD724,1)="3","C3",""))))</f>
        <v>C1</v>
      </c>
      <c r="AF724" t="s" s="35">
        <v>1615</v>
      </c>
      <c r="AG724" t="s" s="35">
        <v>1607</v>
      </c>
      <c r="AH724" t="s" s="35">
        <v>1602</v>
      </c>
      <c r="AI724" t="s" s="35">
        <v>1609</v>
      </c>
      <c r="AJ724" t="s" s="35">
        <v>1615</v>
      </c>
      <c r="AK724" s="39"/>
      <c r="AL724" s="39"/>
      <c r="AM724" s="39"/>
      <c r="AN724" s="39"/>
      <c r="AO724" s="39"/>
      <c r="AP724" s="39"/>
      <c r="AQ724" s="39"/>
      <c r="AR724" s="39"/>
      <c r="AS724" s="39"/>
      <c r="AT724" s="39"/>
      <c r="AU724" s="39"/>
      <c r="AV724" s="39"/>
      <c r="AW724" t="str" s="39" cm="1">
        <f t="array" ref="AW724">AF724&amp;"; "&amp;AG724&amp;"; "&amp;AH724&amp;"; "&amp;AI724&amp;"; "&amp;AJ724</f>
        <v>E6; E3; E1; E4; E6</v>
      </c>
    </row>
    <row r="725" ht="13.65" customHeight="1">
      <c r="A725" t="s" s="35">
        <v>5322</v>
      </c>
      <c r="B725" s="36">
        <v>10</v>
      </c>
      <c r="C725" t="s" s="35">
        <v>222</v>
      </c>
      <c r="D725" t="s" s="35">
        <v>4800</v>
      </c>
      <c r="E725" t="s" s="35">
        <v>4801</v>
      </c>
      <c r="F725" s="36">
        <v>101</v>
      </c>
      <c r="G725" t="s" s="35">
        <v>5316</v>
      </c>
      <c r="H725" t="s" s="35">
        <v>5317</v>
      </c>
      <c r="I725" t="s" s="120">
        <v>5323</v>
      </c>
      <c r="J725" t="s" s="35">
        <v>1301</v>
      </c>
      <c r="K725" t="s" s="35">
        <v>1325</v>
      </c>
      <c r="L725" s="39"/>
      <c r="M725" t="str" s="39">
        <v>Mecánica y termodinámica</v>
      </c>
      <c r="N725" t="str" s="39">
        <v>Calor y temperatura</v>
      </c>
      <c r="O725" t="str" s="39" cm="1">
        <f t="array" ref="O725">IF(L725="","",_xlfn.IFERROR(INDEX('Datos - Catálogo TIMSS'!$C$5:$C$107,MATCH(L725,'Datos - Catálogo TIMSS'!$A$5:$A$107,0)),"?"))</f>
      </c>
      <c r="P725" t="s" s="35">
        <v>254</v>
      </c>
      <c r="Q725" t="s" s="120">
        <v>5324</v>
      </c>
      <c r="R725" t="s" s="120">
        <v>5325</v>
      </c>
      <c r="S725" s="121" cm="1">
        <f t="array" ref="S725">_xlfn.IFERROR(ISNUMBER(SEARCH("Conocer",$R725))/(ISNUMBER(SEARCH("Conocer",$R725))+ISNUMBER(SEARCH("Aplicar",$R725))+ISNUMBER(SEARCH("Razonar",$R725))),0)</f>
        <v>0</v>
      </c>
      <c r="T725" s="121" cm="1">
        <f t="array" ref="T725">_xlfn.IFERROR(ISNUMBER(SEARCH("Aplicar",$R725))/(ISNUMBER(SEARCH("Conocer",$R725))+ISNUMBER(SEARCH("Aplicar",$R725))+ISNUMBER(SEARCH("Razonar",$R725))),0)</f>
        <v>0.5</v>
      </c>
      <c r="U725" s="121" cm="1">
        <f t="array" ref="U725">_xlfn.IFERROR(ISNUMBER(SEARCH("Razonar",$R725))/(ISNUMBER(SEARCH("Conocer",$R725))+ISNUMBER(SEARCH("Aplicar",$R725))+ISNUMBER(SEARCH("Razonar",$R725))),0)</f>
        <v>0.5</v>
      </c>
      <c r="V725" t="s" s="35">
        <v>87</v>
      </c>
      <c r="W725" t="s" s="35">
        <v>119</v>
      </c>
      <c r="X725" s="36" cm="1">
        <f t="array" ref="X725">IF(OR(_xlfn.IFERROR(INDEX('Datos - Catálogo TIMSS'!$I$5:$I$107,MATCH(K725,'Datos - Catálogo TIMSS'!$A$5:$A$107,0)),"No")="Sí",_xlfn.IFERROR(INDEX('Datos - Catálogo TIMSS'!$I$5:$I$107,MATCH(L725,'Datos - Catálogo TIMSS'!$A$5:$A$107,0)),"No")="Sí"),1,0)</f>
        <v>0</v>
      </c>
      <c r="Y725" s="36" cm="1">
        <f t="array" ref="Y725">IF(_xlfn.IFERROR(INDEX('Datos - Catálogo TIMSS'!$J$5:$J$107,MATCH(K725,'Datos - Catálogo TIMSS'!$A$5:$A$107,0)),"No")="Sí",1,0)</f>
        <v>0</v>
      </c>
      <c r="Z725" s="36" cm="1">
        <f t="array" ref="Z725">IF(_xlfn.IFERROR(INDEX('Datos - Catálogo TIMSS'!$J$5:$J$107,MATCH(L725,'Datos - Catálogo TIMSS'!$A$5:$A$107,0)),"No")="Sí",1,0)</f>
        <v>0</v>
      </c>
      <c r="AA725" t="s" s="35">
        <v>1325</v>
      </c>
      <c r="AB725" s="39"/>
      <c r="AC725" t="str" s="39">
        <v>Mecánica y termodinámica</v>
      </c>
      <c r="AD725" t="s" s="35">
        <v>1834</v>
      </c>
      <c r="AE725" t="str" s="39" cm="1">
        <f t="array" ref="AE725">IF(AD725="","",IF(LEFT(AD725,1)="1","C1",IF(LEFT(AD725,1)="2","C2",IF(LEFT(AD725,1)="3","C3",""))))</f>
        <v>C2</v>
      </c>
      <c r="AF725" t="s" s="35">
        <v>1602</v>
      </c>
      <c r="AG725" t="s" s="35">
        <v>1617</v>
      </c>
      <c r="AH725" t="s" s="35">
        <v>1605</v>
      </c>
      <c r="AI725" t="s" s="35">
        <v>1623</v>
      </c>
      <c r="AJ725" t="s" s="35">
        <v>1621</v>
      </c>
      <c r="AK725" s="39"/>
      <c r="AL725" s="39"/>
      <c r="AM725" s="39"/>
      <c r="AN725" s="39"/>
      <c r="AO725" s="39"/>
      <c r="AP725" s="39"/>
      <c r="AQ725" s="39"/>
      <c r="AR725" s="39"/>
      <c r="AS725" s="39"/>
      <c r="AT725" s="39"/>
      <c r="AU725" s="39"/>
      <c r="AV725" s="39"/>
      <c r="AW725" t="str" s="39" cm="1">
        <f t="array" ref="AW725">AF725&amp;"; "&amp;AG725&amp;"; "&amp;AH725&amp;"; "&amp;AI725&amp;"; "&amp;AJ725</f>
        <v>E1; D1; E2; D4; D3</v>
      </c>
    </row>
    <row r="726" ht="13.65" customHeight="1">
      <c r="A726" t="s" s="35">
        <v>5326</v>
      </c>
      <c r="B726" s="36">
        <v>10</v>
      </c>
      <c r="C726" t="s" s="35">
        <v>222</v>
      </c>
      <c r="D726" t="s" s="35">
        <v>4800</v>
      </c>
      <c r="E726" t="s" s="35">
        <v>4801</v>
      </c>
      <c r="F726" s="36">
        <v>102</v>
      </c>
      <c r="G726" t="s" s="35">
        <v>5316</v>
      </c>
      <c r="H726" t="s" s="35">
        <v>1323</v>
      </c>
      <c r="I726" t="s" s="120">
        <v>5327</v>
      </c>
      <c r="J726" t="s" s="35">
        <v>1301</v>
      </c>
      <c r="K726" t="s" s="35">
        <v>1322</v>
      </c>
      <c r="L726" s="39"/>
      <c r="M726" t="str" s="39">
        <v>Mecánica y termodinámica</v>
      </c>
      <c r="N726" t="str" s="39">
        <v>Leyes de conservación</v>
      </c>
      <c r="O726" t="str" s="39" cm="1">
        <f t="array" ref="O726">IF(L726="","",_xlfn.IFERROR(INDEX('Datos - Catálogo TIMSS'!$C$5:$C$107,MATCH(L726,'Datos - Catálogo TIMSS'!$A$5:$A$107,0)),"?"))</f>
      </c>
      <c r="P726" t="s" s="35">
        <v>254</v>
      </c>
      <c r="Q726" t="s" s="120">
        <v>5328</v>
      </c>
      <c r="R726" t="s" s="120">
        <v>5329</v>
      </c>
      <c r="S726" s="121" cm="1">
        <f t="array" ref="S726">_xlfn.IFERROR(ISNUMBER(SEARCH("Conocer",$R726))/(ISNUMBER(SEARCH("Conocer",$R726))+ISNUMBER(SEARCH("Aplicar",$R726))+ISNUMBER(SEARCH("Razonar",$R726))),0)</f>
        <v>0</v>
      </c>
      <c r="T726" s="121" cm="1">
        <f t="array" ref="T726">_xlfn.IFERROR(ISNUMBER(SEARCH("Aplicar",$R726))/(ISNUMBER(SEARCH("Conocer",$R726))+ISNUMBER(SEARCH("Aplicar",$R726))+ISNUMBER(SEARCH("Razonar",$R726))),0)</f>
        <v>0.5</v>
      </c>
      <c r="U726" s="121" cm="1">
        <f t="array" ref="U726">_xlfn.IFERROR(ISNUMBER(SEARCH("Razonar",$R726))/(ISNUMBER(SEARCH("Conocer",$R726))+ISNUMBER(SEARCH("Aplicar",$R726))+ISNUMBER(SEARCH("Razonar",$R726))),0)</f>
        <v>0.5</v>
      </c>
      <c r="V726" t="s" s="35">
        <v>87</v>
      </c>
      <c r="W726" t="s" s="35">
        <v>119</v>
      </c>
      <c r="X726" s="36" cm="1">
        <f t="array" ref="X726">IF(OR(_xlfn.IFERROR(INDEX('Datos - Catálogo TIMSS'!$I$5:$I$107,MATCH(K726,'Datos - Catálogo TIMSS'!$A$5:$A$107,0)),"No")="Sí",_xlfn.IFERROR(INDEX('Datos - Catálogo TIMSS'!$I$5:$I$107,MATCH(L726,'Datos - Catálogo TIMSS'!$A$5:$A$107,0)),"No")="Sí"),1,0)</f>
        <v>0</v>
      </c>
      <c r="Y726" s="36" cm="1">
        <f t="array" ref="Y726">IF(_xlfn.IFERROR(INDEX('Datos - Catálogo TIMSS'!$J$5:$J$107,MATCH(K726,'Datos - Catálogo TIMSS'!$A$5:$A$107,0)),"No")="Sí",1,0)</f>
        <v>0</v>
      </c>
      <c r="Z726" s="36" cm="1">
        <f t="array" ref="Z726">IF(_xlfn.IFERROR(INDEX('Datos - Catálogo TIMSS'!$J$5:$J$107,MATCH(L726,'Datos - Catálogo TIMSS'!$A$5:$A$107,0)),"No")="Sí",1,0)</f>
        <v>0</v>
      </c>
      <c r="AA726" t="s" s="35">
        <v>1322</v>
      </c>
      <c r="AB726" s="39"/>
      <c r="AC726" t="str" s="39">
        <v>Mecánica y termodinámica</v>
      </c>
      <c r="AD726" t="s" s="35">
        <v>1859</v>
      </c>
      <c r="AE726" t="str" s="39" cm="1">
        <f t="array" ref="AE726">IF(AD726="","",IF(LEFT(AD726,1)="1","C1",IF(LEFT(AD726,1)="2","C2",IF(LEFT(AD726,1)="3","C3",""))))</f>
        <v>C1</v>
      </c>
      <c r="AF726" t="s" s="35">
        <v>1602</v>
      </c>
      <c r="AG726" t="s" s="35">
        <v>1607</v>
      </c>
      <c r="AH726" t="s" s="35">
        <v>1609</v>
      </c>
      <c r="AI726" t="s" s="35">
        <v>1623</v>
      </c>
      <c r="AJ726" t="s" s="35">
        <v>1607</v>
      </c>
      <c r="AK726" s="39"/>
      <c r="AL726" s="39"/>
      <c r="AM726" s="39"/>
      <c r="AN726" s="39"/>
      <c r="AO726" s="39"/>
      <c r="AP726" s="39"/>
      <c r="AQ726" s="39"/>
      <c r="AR726" s="39"/>
      <c r="AS726" s="39"/>
      <c r="AT726" s="39"/>
      <c r="AU726" s="39"/>
      <c r="AV726" s="39"/>
      <c r="AW726" t="str" s="39" cm="1">
        <f t="array" ref="AW726">AF726&amp;"; "&amp;AG726&amp;"; "&amp;AH726&amp;"; "&amp;AI726&amp;"; "&amp;AJ726</f>
        <v>E1; E3; E4; D4; E3</v>
      </c>
    </row>
    <row r="727" ht="13.65" customHeight="1">
      <c r="A727" t="s" s="35">
        <v>5330</v>
      </c>
      <c r="B727" s="36">
        <v>10</v>
      </c>
      <c r="C727" t="s" s="35">
        <v>222</v>
      </c>
      <c r="D727" t="s" s="35">
        <v>4800</v>
      </c>
      <c r="E727" t="s" s="35">
        <v>4801</v>
      </c>
      <c r="F727" s="36">
        <v>103</v>
      </c>
      <c r="G727" t="s" s="35">
        <v>5316</v>
      </c>
      <c r="H727" t="s" s="35">
        <v>4448</v>
      </c>
      <c r="I727" t="s" s="120">
        <v>5331</v>
      </c>
      <c r="J727" t="s" s="35">
        <v>1301</v>
      </c>
      <c r="K727" t="s" s="35">
        <v>1322</v>
      </c>
      <c r="L727" t="s" s="35">
        <v>1329</v>
      </c>
      <c r="M727" t="str" s="39">
        <v>Mecánica y termodinámica</v>
      </c>
      <c r="N727" t="str" s="39">
        <v>Leyes de conservación</v>
      </c>
      <c r="O727" t="str" s="39" cm="1">
        <f t="array" ref="O727">IF(L727="","",_xlfn.IFERROR(INDEX('Datos - Catálogo TIMSS'!$C$5:$C$107,MATCH(L727,'Datos - Catálogo TIMSS'!$A$5:$A$107,0)),"?"))</f>
        <v>Mecánica y termodinámica</v>
      </c>
      <c r="P727" t="s" s="35">
        <v>254</v>
      </c>
      <c r="Q727" t="s" s="120">
        <v>5332</v>
      </c>
      <c r="R727" t="s" s="120">
        <v>5333</v>
      </c>
      <c r="S727" s="121" cm="1">
        <f t="array" ref="S727">_xlfn.IFERROR(ISNUMBER(SEARCH("Conocer",$R727))/(ISNUMBER(SEARCH("Conocer",$R727))+ISNUMBER(SEARCH("Aplicar",$R727))+ISNUMBER(SEARCH("Razonar",$R727))),0)</f>
        <v>0</v>
      </c>
      <c r="T727" s="121" cm="1">
        <f t="array" ref="T727">_xlfn.IFERROR(ISNUMBER(SEARCH("Aplicar",$R727))/(ISNUMBER(SEARCH("Conocer",$R727))+ISNUMBER(SEARCH("Aplicar",$R727))+ISNUMBER(SEARCH("Razonar",$R727))),0)</f>
        <v>0.5</v>
      </c>
      <c r="U727" s="121" cm="1">
        <f t="array" ref="U727">_xlfn.IFERROR(ISNUMBER(SEARCH("Razonar",$R727))/(ISNUMBER(SEARCH("Conocer",$R727))+ISNUMBER(SEARCH("Aplicar",$R727))+ISNUMBER(SEARCH("Razonar",$R727))),0)</f>
        <v>0.5</v>
      </c>
      <c r="V727" t="s" s="35">
        <v>87</v>
      </c>
      <c r="W727" t="s" s="35">
        <v>119</v>
      </c>
      <c r="X727" s="36" cm="1">
        <f t="array" ref="X727">IF(OR(_xlfn.IFERROR(INDEX('Datos - Catálogo TIMSS'!$I$5:$I$107,MATCH(K727,'Datos - Catálogo TIMSS'!$A$5:$A$107,0)),"No")="Sí",_xlfn.IFERROR(INDEX('Datos - Catálogo TIMSS'!$I$5:$I$107,MATCH(L727,'Datos - Catálogo TIMSS'!$A$5:$A$107,0)),"No")="Sí"),1,0)</f>
        <v>0</v>
      </c>
      <c r="Y727" s="36" cm="1">
        <f t="array" ref="Y727">IF(_xlfn.IFERROR(INDEX('Datos - Catálogo TIMSS'!$J$5:$J$107,MATCH(K727,'Datos - Catálogo TIMSS'!$A$5:$A$107,0)),"No")="Sí",1,0)</f>
        <v>0</v>
      </c>
      <c r="Z727" s="36" cm="1">
        <f t="array" ref="Z727">IF(_xlfn.IFERROR(INDEX('Datos - Catálogo TIMSS'!$J$5:$J$107,MATCH(L727,'Datos - Catálogo TIMSS'!$A$5:$A$107,0)),"No")="Sí",1,0)</f>
        <v>0</v>
      </c>
      <c r="AA727" t="s" s="35">
        <v>1322</v>
      </c>
      <c r="AB727" t="s" s="35">
        <v>1329</v>
      </c>
      <c r="AC727" t="str" s="39">
        <v>Mecánica y termodinámica</v>
      </c>
      <c r="AD727" t="s" s="35">
        <v>1859</v>
      </c>
      <c r="AE727" t="str" s="39" cm="1">
        <f t="array" ref="AE727">IF(AD727="","",IF(LEFT(AD727,1)="1","C1",IF(LEFT(AD727,1)="2","C2",IF(LEFT(AD727,1)="3","C3",""))))</f>
        <v>C1</v>
      </c>
      <c r="AF727" t="s" s="35">
        <v>1602</v>
      </c>
      <c r="AG727" t="s" s="35">
        <v>1612</v>
      </c>
      <c r="AH727" t="s" s="35">
        <v>1605</v>
      </c>
      <c r="AI727" t="s" s="35">
        <v>1609</v>
      </c>
      <c r="AJ727" t="s" s="35">
        <v>1607</v>
      </c>
      <c r="AK727" s="39"/>
      <c r="AL727" s="39"/>
      <c r="AM727" s="39"/>
      <c r="AN727" s="39"/>
      <c r="AO727" s="39"/>
      <c r="AP727" s="39"/>
      <c r="AQ727" s="39"/>
      <c r="AR727" s="39"/>
      <c r="AS727" s="39"/>
      <c r="AT727" s="39"/>
      <c r="AU727" s="39"/>
      <c r="AV727" s="39"/>
      <c r="AW727" t="str" s="39" cm="1">
        <f t="array" ref="AW727">AF727&amp;"; "&amp;AG727&amp;"; "&amp;AH727&amp;"; "&amp;AI727&amp;"; "&amp;AJ727</f>
        <v>E1; E5; E2; E4; E3</v>
      </c>
    </row>
    <row r="728" ht="13.65" customHeight="1">
      <c r="A728" t="s" s="35">
        <v>5335</v>
      </c>
      <c r="B728" s="36">
        <v>10</v>
      </c>
      <c r="C728" t="s" s="35">
        <v>222</v>
      </c>
      <c r="D728" t="s" s="35">
        <v>4800</v>
      </c>
      <c r="E728" t="s" s="35">
        <v>4801</v>
      </c>
      <c r="F728" s="36">
        <v>104</v>
      </c>
      <c r="G728" t="s" s="35">
        <v>5316</v>
      </c>
      <c r="H728" t="s" s="35">
        <v>4448</v>
      </c>
      <c r="I728" t="s" s="120">
        <v>5336</v>
      </c>
      <c r="J728" t="s" s="35">
        <v>1301</v>
      </c>
      <c r="K728" t="s" s="35">
        <v>1322</v>
      </c>
      <c r="L728" t="s" s="35">
        <v>1329</v>
      </c>
      <c r="M728" t="str" s="39">
        <v>Mecánica y termodinámica</v>
      </c>
      <c r="N728" t="str" s="39">
        <v>Leyes de conservación</v>
      </c>
      <c r="O728" t="str" s="39" cm="1">
        <f t="array" ref="O728">IF(L728="","",_xlfn.IFERROR(INDEX('Datos - Catálogo TIMSS'!$C$5:$C$107,MATCH(L728,'Datos - Catálogo TIMSS'!$A$5:$A$107,0)),"?"))</f>
        <v>Mecánica y termodinámica</v>
      </c>
      <c r="P728" t="s" s="35">
        <v>254</v>
      </c>
      <c r="Q728" t="s" s="120">
        <v>5337</v>
      </c>
      <c r="R728" t="s" s="120">
        <v>5338</v>
      </c>
      <c r="S728" s="121" cm="1">
        <f t="array" ref="S728">_xlfn.IFERROR(ISNUMBER(SEARCH("Conocer",$R728))/(ISNUMBER(SEARCH("Conocer",$R728))+ISNUMBER(SEARCH("Aplicar",$R728))+ISNUMBER(SEARCH("Razonar",$R728))),0)</f>
        <v>0</v>
      </c>
      <c r="T728" s="121" cm="1">
        <f t="array" ref="T728">_xlfn.IFERROR(ISNUMBER(SEARCH("Aplicar",$R728))/(ISNUMBER(SEARCH("Conocer",$R728))+ISNUMBER(SEARCH("Aplicar",$R728))+ISNUMBER(SEARCH("Razonar",$R728))),0)</f>
        <v>0.5</v>
      </c>
      <c r="U728" s="121" cm="1">
        <f t="array" ref="U728">_xlfn.IFERROR(ISNUMBER(SEARCH("Razonar",$R728))/(ISNUMBER(SEARCH("Conocer",$R728))+ISNUMBER(SEARCH("Aplicar",$R728))+ISNUMBER(SEARCH("Razonar",$R728))),0)</f>
        <v>0.5</v>
      </c>
      <c r="V728" t="s" s="35">
        <v>87</v>
      </c>
      <c r="W728" t="s" s="35">
        <v>119</v>
      </c>
      <c r="X728" s="36" cm="1">
        <f t="array" ref="X728">IF(OR(_xlfn.IFERROR(INDEX('Datos - Catálogo TIMSS'!$I$5:$I$107,MATCH(K728,'Datos - Catálogo TIMSS'!$A$5:$A$107,0)),"No")="Sí",_xlfn.IFERROR(INDEX('Datos - Catálogo TIMSS'!$I$5:$I$107,MATCH(L728,'Datos - Catálogo TIMSS'!$A$5:$A$107,0)),"No")="Sí"),1,0)</f>
        <v>0</v>
      </c>
      <c r="Y728" s="36" cm="1">
        <f t="array" ref="Y728">IF(_xlfn.IFERROR(INDEX('Datos - Catálogo TIMSS'!$J$5:$J$107,MATCH(K728,'Datos - Catálogo TIMSS'!$A$5:$A$107,0)),"No")="Sí",1,0)</f>
        <v>0</v>
      </c>
      <c r="Z728" s="36" cm="1">
        <f t="array" ref="Z728">IF(_xlfn.IFERROR(INDEX('Datos - Catálogo TIMSS'!$J$5:$J$107,MATCH(L728,'Datos - Catálogo TIMSS'!$A$5:$A$107,0)),"No")="Sí",1,0)</f>
        <v>0</v>
      </c>
      <c r="AA728" t="s" s="35">
        <v>1322</v>
      </c>
      <c r="AB728" t="s" s="35">
        <v>1329</v>
      </c>
      <c r="AC728" t="str" s="39">
        <v>Mecánica y termodinámica</v>
      </c>
      <c r="AD728" t="s" s="35">
        <v>1834</v>
      </c>
      <c r="AE728" t="str" s="39" cm="1">
        <f t="array" ref="AE728">IF(AD728="","",IF(LEFT(AD728,1)="1","C1",IF(LEFT(AD728,1)="2","C2",IF(LEFT(AD728,1)="3","C3",""))))</f>
        <v>C2</v>
      </c>
      <c r="AF728" t="s" s="35">
        <v>1602</v>
      </c>
      <c r="AG728" t="s" s="35">
        <v>1607</v>
      </c>
      <c r="AH728" t="s" s="35">
        <v>1605</v>
      </c>
      <c r="AI728" t="s" s="35">
        <v>1623</v>
      </c>
      <c r="AJ728" t="s" s="35">
        <v>1621</v>
      </c>
      <c r="AK728" s="39"/>
      <c r="AL728" s="39"/>
      <c r="AM728" s="39"/>
      <c r="AN728" s="39"/>
      <c r="AO728" s="39"/>
      <c r="AP728" s="39"/>
      <c r="AQ728" s="39"/>
      <c r="AR728" s="39"/>
      <c r="AS728" s="39"/>
      <c r="AT728" s="39"/>
      <c r="AU728" s="39"/>
      <c r="AV728" s="39"/>
      <c r="AW728" t="str" s="39" cm="1">
        <f t="array" ref="AW728">AF728&amp;"; "&amp;AG728&amp;"; "&amp;AH728&amp;"; "&amp;AI728&amp;"; "&amp;AJ728</f>
        <v>E1; E3; E2; D4; D3</v>
      </c>
    </row>
    <row r="729" ht="13.65" customHeight="1">
      <c r="A729" t="s" s="35">
        <v>5339</v>
      </c>
      <c r="B729" s="36">
        <v>10</v>
      </c>
      <c r="C729" t="s" s="35">
        <v>222</v>
      </c>
      <c r="D729" t="s" s="35">
        <v>4800</v>
      </c>
      <c r="E729" t="s" s="35">
        <v>4801</v>
      </c>
      <c r="F729" s="36">
        <v>105</v>
      </c>
      <c r="G729" t="s" s="35">
        <v>5316</v>
      </c>
      <c r="H729" t="s" s="35">
        <v>4448</v>
      </c>
      <c r="I729" t="s" s="120">
        <v>5340</v>
      </c>
      <c r="J729" t="s" s="35">
        <v>1301</v>
      </c>
      <c r="K729" t="s" s="35">
        <v>1322</v>
      </c>
      <c r="L729" t="s" s="35">
        <v>1325</v>
      </c>
      <c r="M729" t="str" s="39">
        <v>Mecánica y termodinámica</v>
      </c>
      <c r="N729" t="str" s="39">
        <v>Leyes de conservación</v>
      </c>
      <c r="O729" t="str" s="39" cm="1">
        <f t="array" ref="O729">IF(L729="","",_xlfn.IFERROR(INDEX('Datos - Catálogo TIMSS'!$C$5:$C$107,MATCH(L729,'Datos - Catálogo TIMSS'!$A$5:$A$107,0)),"?"))</f>
        <v>Mecánica y termodinámica</v>
      </c>
      <c r="P729" t="s" s="35">
        <v>254</v>
      </c>
      <c r="Q729" t="s" s="120">
        <v>5341</v>
      </c>
      <c r="R729" t="s" s="120">
        <v>5342</v>
      </c>
      <c r="S729" s="121" cm="1">
        <f t="array" ref="S729">_xlfn.IFERROR(ISNUMBER(SEARCH("Conocer",$R729))/(ISNUMBER(SEARCH("Conocer",$R729))+ISNUMBER(SEARCH("Aplicar",$R729))+ISNUMBER(SEARCH("Razonar",$R729))),0)</f>
        <v>0</v>
      </c>
      <c r="T729" s="121" cm="1">
        <f t="array" ref="T729">_xlfn.IFERROR(ISNUMBER(SEARCH("Aplicar",$R729))/(ISNUMBER(SEARCH("Conocer",$R729))+ISNUMBER(SEARCH("Aplicar",$R729))+ISNUMBER(SEARCH("Razonar",$R729))),0)</f>
        <v>0.5</v>
      </c>
      <c r="U729" s="121" cm="1">
        <f t="array" ref="U729">_xlfn.IFERROR(ISNUMBER(SEARCH("Razonar",$R729))/(ISNUMBER(SEARCH("Conocer",$R729))+ISNUMBER(SEARCH("Aplicar",$R729))+ISNUMBER(SEARCH("Razonar",$R729))),0)</f>
        <v>0.5</v>
      </c>
      <c r="V729" t="s" s="35">
        <v>87</v>
      </c>
      <c r="W729" t="s" s="35">
        <v>119</v>
      </c>
      <c r="X729" s="36" cm="1">
        <f t="array" ref="X729">IF(OR(_xlfn.IFERROR(INDEX('Datos - Catálogo TIMSS'!$I$5:$I$107,MATCH(K729,'Datos - Catálogo TIMSS'!$A$5:$A$107,0)),"No")="Sí",_xlfn.IFERROR(INDEX('Datos - Catálogo TIMSS'!$I$5:$I$107,MATCH(L729,'Datos - Catálogo TIMSS'!$A$5:$A$107,0)),"No")="Sí"),1,0)</f>
        <v>0</v>
      </c>
      <c r="Y729" s="36" cm="1">
        <f t="array" ref="Y729">IF(_xlfn.IFERROR(INDEX('Datos - Catálogo TIMSS'!$J$5:$J$107,MATCH(K729,'Datos - Catálogo TIMSS'!$A$5:$A$107,0)),"No")="Sí",1,0)</f>
        <v>0</v>
      </c>
      <c r="Z729" s="36" cm="1">
        <f t="array" ref="Z729">IF(_xlfn.IFERROR(INDEX('Datos - Catálogo TIMSS'!$J$5:$J$107,MATCH(L729,'Datos - Catálogo TIMSS'!$A$5:$A$107,0)),"No")="Sí",1,0)</f>
        <v>0</v>
      </c>
      <c r="AA729" t="s" s="35">
        <v>1322</v>
      </c>
      <c r="AB729" t="s" s="35">
        <v>1325</v>
      </c>
      <c r="AC729" t="str" s="39">
        <v>Mecánica y termodinámica</v>
      </c>
      <c r="AD729" t="s" s="35">
        <v>1859</v>
      </c>
      <c r="AE729" t="str" s="39" cm="1">
        <f t="array" ref="AE729">IF(AD729="","",IF(LEFT(AD729,1)="1","C1",IF(LEFT(AD729,1)="2","C2",IF(LEFT(AD729,1)="3","C3",""))))</f>
        <v>C1</v>
      </c>
      <c r="AF729" t="s" s="35">
        <v>1602</v>
      </c>
      <c r="AG729" t="s" s="35">
        <v>1617</v>
      </c>
      <c r="AH729" t="s" s="35">
        <v>1602</v>
      </c>
      <c r="AI729" t="s" s="35">
        <v>1629</v>
      </c>
      <c r="AJ729" t="s" s="35">
        <v>1607</v>
      </c>
      <c r="AK729" s="39"/>
      <c r="AL729" s="39"/>
      <c r="AM729" s="39"/>
      <c r="AN729" s="39"/>
      <c r="AO729" s="39"/>
      <c r="AP729" s="39"/>
      <c r="AQ729" s="39"/>
      <c r="AR729" s="39"/>
      <c r="AS729" s="39"/>
      <c r="AT729" s="39"/>
      <c r="AU729" s="39"/>
      <c r="AV729" s="39"/>
      <c r="AW729" t="str" s="39" cm="1">
        <f t="array" ref="AW729">AF729&amp;"; "&amp;AG729&amp;"; "&amp;AH729&amp;"; "&amp;AI729&amp;"; "&amp;AJ729</f>
        <v>E1; D1; E1; I3; E3</v>
      </c>
    </row>
    <row r="730" ht="13.65" customHeight="1">
      <c r="A730" t="s" s="35">
        <v>5344</v>
      </c>
      <c r="B730" s="36">
        <v>10</v>
      </c>
      <c r="C730" t="s" s="35">
        <v>222</v>
      </c>
      <c r="D730" t="s" s="35">
        <v>4800</v>
      </c>
      <c r="E730" t="s" s="35">
        <v>4801</v>
      </c>
      <c r="F730" s="36">
        <v>106</v>
      </c>
      <c r="G730" t="s" s="35">
        <v>5316</v>
      </c>
      <c r="H730" t="s" s="35">
        <v>4472</v>
      </c>
      <c r="I730" t="s" s="120">
        <v>5345</v>
      </c>
      <c r="J730" t="s" s="35">
        <v>1301</v>
      </c>
      <c r="K730" t="s" s="35">
        <v>1832</v>
      </c>
      <c r="L730" s="39"/>
      <c r="M730" t="str" s="39">
        <v>Fuera del marco</v>
      </c>
      <c r="N730" t="str" s="39">
        <v>Fuera del marco</v>
      </c>
      <c r="O730" t="str" s="39" cm="1">
        <f t="array" ref="O730">IF(L730="","",_xlfn.IFERROR(INDEX('Datos - Catálogo TIMSS'!$C$5:$C$107,MATCH(L730,'Datos - Catálogo TIMSS'!$A$5:$A$107,0)),"?"))</f>
      </c>
      <c r="P730" t="s" s="35">
        <v>282</v>
      </c>
      <c r="Q730" t="s" s="120">
        <v>5346</v>
      </c>
      <c r="R730" t="s" s="120">
        <v>5347</v>
      </c>
      <c r="S730" s="121" cm="1">
        <f t="array" ref="S730">_xlfn.IFERROR(ISNUMBER(SEARCH("Conocer",$R730))/(ISNUMBER(SEARCH("Conocer",$R730))+ISNUMBER(SEARCH("Aplicar",$R730))+ISNUMBER(SEARCH("Razonar",$R730))),0)</f>
        <v>0</v>
      </c>
      <c r="T730" s="121" cm="1">
        <f t="array" ref="T730">_xlfn.IFERROR(ISNUMBER(SEARCH("Aplicar",$R730))/(ISNUMBER(SEARCH("Conocer",$R730))+ISNUMBER(SEARCH("Aplicar",$R730))+ISNUMBER(SEARCH("Razonar",$R730))),0)</f>
        <v>0.5</v>
      </c>
      <c r="U730" s="121" cm="1">
        <f t="array" ref="U730">_xlfn.IFERROR(ISNUMBER(SEARCH("Razonar",$R730))/(ISNUMBER(SEARCH("Conocer",$R730))+ISNUMBER(SEARCH("Aplicar",$R730))+ISNUMBER(SEARCH("Razonar",$R730))),0)</f>
        <v>0.5</v>
      </c>
      <c r="V730" t="s" s="35">
        <v>87</v>
      </c>
      <c r="W730" t="s" s="35">
        <v>119</v>
      </c>
      <c r="X730" s="36" cm="1">
        <f t="array" ref="X730">IF(OR(_xlfn.IFERROR(INDEX('Datos - Catálogo TIMSS'!$I$5:$I$107,MATCH(K730,'Datos - Catálogo TIMSS'!$A$5:$A$107,0)),"No")="Sí",_xlfn.IFERROR(INDEX('Datos - Catálogo TIMSS'!$I$5:$I$107,MATCH(L730,'Datos - Catálogo TIMSS'!$A$5:$A$107,0)),"No")="Sí"),1,0)</f>
        <v>0</v>
      </c>
      <c r="Y730" s="36" cm="1">
        <f t="array" ref="Y730">IF(_xlfn.IFERROR(INDEX('Datos - Catálogo TIMSS'!$J$5:$J$107,MATCH(K730,'Datos - Catálogo TIMSS'!$A$5:$A$107,0)),"No")="Sí",1,0)</f>
        <v>0</v>
      </c>
      <c r="Z730" s="36" cm="1">
        <f t="array" ref="Z730">IF(_xlfn.IFERROR(INDEX('Datos - Catálogo TIMSS'!$J$5:$J$107,MATCH(L730,'Datos - Catálogo TIMSS'!$A$5:$A$107,0)),"No")="Sí",1,0)</f>
        <v>0</v>
      </c>
      <c r="AA730" t="s" s="35">
        <v>1832</v>
      </c>
      <c r="AB730" s="39"/>
      <c r="AC730" t="str" s="39">
        <v>Fuera del marco</v>
      </c>
      <c r="AD730" t="s" s="35">
        <v>1900</v>
      </c>
      <c r="AE730" t="str" s="39" cm="1">
        <f t="array" ref="AE730">IF(AD730="","",IF(LEFT(AD730,1)="1","C1",IF(LEFT(AD730,1)="2","C2",IF(LEFT(AD730,1)="3","C3",""))))</f>
        <v>C3</v>
      </c>
      <c r="AF730" t="s" s="35">
        <v>1602</v>
      </c>
      <c r="AG730" t="s" s="35">
        <v>1612</v>
      </c>
      <c r="AH730" t="s" s="35">
        <v>1602</v>
      </c>
      <c r="AI730" t="s" s="35">
        <v>1627</v>
      </c>
      <c r="AJ730" t="s" s="35">
        <v>1631</v>
      </c>
      <c r="AK730" s="39"/>
      <c r="AL730" s="39"/>
      <c r="AM730" s="39"/>
      <c r="AN730" s="39"/>
      <c r="AO730" s="39"/>
      <c r="AP730" s="39"/>
      <c r="AQ730" s="39"/>
      <c r="AR730" s="39"/>
      <c r="AS730" s="39"/>
      <c r="AT730" s="39"/>
      <c r="AU730" s="39"/>
      <c r="AV730" s="39"/>
      <c r="AW730" t="str" s="39" cm="1">
        <f t="array" ref="AW730">AF730&amp;"; "&amp;AG730&amp;"; "&amp;AH730&amp;"; "&amp;AI730&amp;"; "&amp;AJ730</f>
        <v>E1; E5; E1; I2; I4</v>
      </c>
    </row>
    <row r="731" ht="13.65" customHeight="1">
      <c r="A731" t="s" s="35">
        <v>5349</v>
      </c>
      <c r="B731" s="36">
        <v>10</v>
      </c>
      <c r="C731" t="s" s="35">
        <v>222</v>
      </c>
      <c r="D731" t="s" s="35">
        <v>4800</v>
      </c>
      <c r="E731" t="s" s="35">
        <v>4801</v>
      </c>
      <c r="F731" s="36">
        <v>107</v>
      </c>
      <c r="G731" t="s" s="35">
        <v>5316</v>
      </c>
      <c r="H731" t="s" s="35">
        <v>4472</v>
      </c>
      <c r="I731" t="s" s="120">
        <v>5350</v>
      </c>
      <c r="J731" t="s" s="35">
        <v>1301</v>
      </c>
      <c r="K731" t="s" s="35">
        <v>1322</v>
      </c>
      <c r="L731" s="39"/>
      <c r="M731" t="str" s="39">
        <v>Mecánica y termodinámica</v>
      </c>
      <c r="N731" t="str" s="39">
        <v>Leyes de conservación</v>
      </c>
      <c r="O731" t="str" s="39" cm="1">
        <f t="array" ref="O731">IF(L731="","",_xlfn.IFERROR(INDEX('Datos - Catálogo TIMSS'!$C$5:$C$107,MATCH(L731,'Datos - Catálogo TIMSS'!$A$5:$A$107,0)),"?"))</f>
      </c>
      <c r="P731" t="s" s="35">
        <v>282</v>
      </c>
      <c r="Q731" t="s" s="120">
        <v>5351</v>
      </c>
      <c r="R731" t="s" s="120">
        <v>5352</v>
      </c>
      <c r="S731" s="121" cm="1">
        <f t="array" ref="S731">_xlfn.IFERROR(ISNUMBER(SEARCH("Conocer",$R731))/(ISNUMBER(SEARCH("Conocer",$R731))+ISNUMBER(SEARCH("Aplicar",$R731))+ISNUMBER(SEARCH("Razonar",$R731))),0)</f>
        <v>0</v>
      </c>
      <c r="T731" s="121" cm="1">
        <f t="array" ref="T731">_xlfn.IFERROR(ISNUMBER(SEARCH("Aplicar",$R731))/(ISNUMBER(SEARCH("Conocer",$R731))+ISNUMBER(SEARCH("Aplicar",$R731))+ISNUMBER(SEARCH("Razonar",$R731))),0)</f>
        <v>0.5</v>
      </c>
      <c r="U731" s="121" cm="1">
        <f t="array" ref="U731">_xlfn.IFERROR(ISNUMBER(SEARCH("Razonar",$R731))/(ISNUMBER(SEARCH("Conocer",$R731))+ISNUMBER(SEARCH("Aplicar",$R731))+ISNUMBER(SEARCH("Razonar",$R731))),0)</f>
        <v>0.5</v>
      </c>
      <c r="V731" t="s" s="35">
        <v>87</v>
      </c>
      <c r="W731" t="s" s="35">
        <v>119</v>
      </c>
      <c r="X731" s="36" cm="1">
        <f t="array" ref="X731">IF(OR(_xlfn.IFERROR(INDEX('Datos - Catálogo TIMSS'!$I$5:$I$107,MATCH(K731,'Datos - Catálogo TIMSS'!$A$5:$A$107,0)),"No")="Sí",_xlfn.IFERROR(INDEX('Datos - Catálogo TIMSS'!$I$5:$I$107,MATCH(L731,'Datos - Catálogo TIMSS'!$A$5:$A$107,0)),"No")="Sí"),1,0)</f>
        <v>0</v>
      </c>
      <c r="Y731" s="36" cm="1">
        <f t="array" ref="Y731">IF(_xlfn.IFERROR(INDEX('Datos - Catálogo TIMSS'!$J$5:$J$107,MATCH(K731,'Datos - Catálogo TIMSS'!$A$5:$A$107,0)),"No")="Sí",1,0)</f>
        <v>0</v>
      </c>
      <c r="Z731" s="36" cm="1">
        <f t="array" ref="Z731">IF(_xlfn.IFERROR(INDEX('Datos - Catálogo TIMSS'!$J$5:$J$107,MATCH(L731,'Datos - Catálogo TIMSS'!$A$5:$A$107,0)),"No")="Sí",1,0)</f>
        <v>0</v>
      </c>
      <c r="AA731" t="s" s="35">
        <v>1322</v>
      </c>
      <c r="AB731" s="39"/>
      <c r="AC731" t="str" s="39">
        <v>Mecánica y termodinámica</v>
      </c>
      <c r="AD731" t="s" s="35">
        <v>1900</v>
      </c>
      <c r="AE731" t="str" s="39" cm="1">
        <f t="array" ref="AE731">IF(AD731="","",IF(LEFT(AD731,1)="1","C1",IF(LEFT(AD731,1)="2","C2",IF(LEFT(AD731,1)="3","C3",""))))</f>
        <v>C3</v>
      </c>
      <c r="AF731" t="s" s="35">
        <v>1615</v>
      </c>
      <c r="AG731" t="s" s="35">
        <v>1617</v>
      </c>
      <c r="AH731" t="s" s="35">
        <v>1605</v>
      </c>
      <c r="AI731" t="s" s="35">
        <v>1625</v>
      </c>
      <c r="AJ731" t="s" s="35">
        <v>1633</v>
      </c>
      <c r="AK731" s="39"/>
      <c r="AL731" s="39"/>
      <c r="AM731" s="39"/>
      <c r="AN731" s="39"/>
      <c r="AO731" s="39"/>
      <c r="AP731" s="39"/>
      <c r="AQ731" s="39"/>
      <c r="AR731" s="39"/>
      <c r="AS731" s="39"/>
      <c r="AT731" s="39"/>
      <c r="AU731" s="39"/>
      <c r="AV731" s="39"/>
      <c r="AW731" t="str" s="39" cm="1">
        <f t="array" ref="AW731">AF731&amp;"; "&amp;AG731&amp;"; "&amp;AH731&amp;"; "&amp;AI731&amp;"; "&amp;AJ731</f>
        <v>E6; D1; E2; I1; I5</v>
      </c>
    </row>
    <row r="732" ht="13.65" customHeight="1">
      <c r="A732" t="s" s="35">
        <v>5353</v>
      </c>
      <c r="B732" s="36">
        <v>10</v>
      </c>
      <c r="C732" t="s" s="35">
        <v>222</v>
      </c>
      <c r="D732" t="s" s="35">
        <v>4800</v>
      </c>
      <c r="E732" t="s" s="35">
        <v>4801</v>
      </c>
      <c r="F732" s="36">
        <v>108</v>
      </c>
      <c r="G732" t="s" s="35">
        <v>5316</v>
      </c>
      <c r="H732" t="s" s="35">
        <v>4472</v>
      </c>
      <c r="I732" t="s" s="120">
        <v>5354</v>
      </c>
      <c r="J732" t="s" s="35">
        <v>1301</v>
      </c>
      <c r="K732" t="s" s="35">
        <v>1832</v>
      </c>
      <c r="L732" s="39"/>
      <c r="M732" t="str" s="39">
        <v>Fuera del marco</v>
      </c>
      <c r="N732" t="str" s="39">
        <v>Fuera del marco</v>
      </c>
      <c r="O732" t="str" s="39" cm="1">
        <f t="array" ref="O732">IF(L732="","",_xlfn.IFERROR(INDEX('Datos - Catálogo TIMSS'!$C$5:$C$107,MATCH(L732,'Datos - Catálogo TIMSS'!$A$5:$A$107,0)),"?"))</f>
      </c>
      <c r="P732" t="s" s="35">
        <v>291</v>
      </c>
      <c r="Q732" t="s" s="120">
        <v>5355</v>
      </c>
      <c r="R732" t="s" s="120">
        <v>5356</v>
      </c>
      <c r="S732" s="121" cm="1">
        <f t="array" ref="S732">_xlfn.IFERROR(ISNUMBER(SEARCH("Conocer",$R732))/(ISNUMBER(SEARCH("Conocer",$R732))+ISNUMBER(SEARCH("Aplicar",$R732))+ISNUMBER(SEARCH("Razonar",$R732))),0)</f>
        <v>0</v>
      </c>
      <c r="T732" s="121" cm="1">
        <f t="array" ref="T732">_xlfn.IFERROR(ISNUMBER(SEARCH("Aplicar",$R732))/(ISNUMBER(SEARCH("Conocer",$R732))+ISNUMBER(SEARCH("Aplicar",$R732))+ISNUMBER(SEARCH("Razonar",$R732))),0)</f>
        <v>0.5</v>
      </c>
      <c r="U732" s="121" cm="1">
        <f t="array" ref="U732">_xlfn.IFERROR(ISNUMBER(SEARCH("Razonar",$R732))/(ISNUMBER(SEARCH("Conocer",$R732))+ISNUMBER(SEARCH("Aplicar",$R732))+ISNUMBER(SEARCH("Razonar",$R732))),0)</f>
        <v>0.5</v>
      </c>
      <c r="V732" t="s" s="35">
        <v>87</v>
      </c>
      <c r="W732" t="s" s="35">
        <v>119</v>
      </c>
      <c r="X732" s="36" cm="1">
        <f t="array" ref="X732">IF(OR(_xlfn.IFERROR(INDEX('Datos - Catálogo TIMSS'!$I$5:$I$107,MATCH(K732,'Datos - Catálogo TIMSS'!$A$5:$A$107,0)),"No")="Sí",_xlfn.IFERROR(INDEX('Datos - Catálogo TIMSS'!$I$5:$I$107,MATCH(L732,'Datos - Catálogo TIMSS'!$A$5:$A$107,0)),"No")="Sí"),1,0)</f>
        <v>0</v>
      </c>
      <c r="Y732" s="36" cm="1">
        <f t="array" ref="Y732">IF(_xlfn.IFERROR(INDEX('Datos - Catálogo TIMSS'!$J$5:$J$107,MATCH(K732,'Datos - Catálogo TIMSS'!$A$5:$A$107,0)),"No")="Sí",1,0)</f>
        <v>0</v>
      </c>
      <c r="Z732" s="36" cm="1">
        <f t="array" ref="Z732">IF(_xlfn.IFERROR(INDEX('Datos - Catálogo TIMSS'!$J$5:$J$107,MATCH(L732,'Datos - Catálogo TIMSS'!$A$5:$A$107,0)),"No")="Sí",1,0)</f>
        <v>0</v>
      </c>
      <c r="AA732" t="s" s="35">
        <v>1832</v>
      </c>
      <c r="AB732" s="39"/>
      <c r="AC732" t="str" s="39">
        <v>Fuera del marco</v>
      </c>
      <c r="AD732" t="s" s="35">
        <v>1859</v>
      </c>
      <c r="AE732" t="str" s="39" cm="1">
        <f t="array" ref="AE732">IF(AD732="","",IF(LEFT(AD732,1)="1","C1",IF(LEFT(AD732,1)="2","C2",IF(LEFT(AD732,1)="3","C3",""))))</f>
        <v>C1</v>
      </c>
      <c r="AF732" t="s" s="35">
        <v>1602</v>
      </c>
      <c r="AG732" t="s" s="35">
        <v>1607</v>
      </c>
      <c r="AH732" t="s" s="35">
        <v>1609</v>
      </c>
      <c r="AI732" t="s" s="35">
        <v>1623</v>
      </c>
      <c r="AJ732" t="s" s="35">
        <v>1633</v>
      </c>
      <c r="AK732" s="39"/>
      <c r="AL732" s="39"/>
      <c r="AM732" s="39"/>
      <c r="AN732" s="39"/>
      <c r="AO732" s="39"/>
      <c r="AP732" s="39"/>
      <c r="AQ732" s="39"/>
      <c r="AR732" s="39"/>
      <c r="AS732" s="39"/>
      <c r="AT732" s="39"/>
      <c r="AU732" s="39"/>
      <c r="AV732" s="39"/>
      <c r="AW732" t="str" s="39" cm="1">
        <f t="array" ref="AW732">AF732&amp;"; "&amp;AG732&amp;"; "&amp;AH732&amp;"; "&amp;AI732&amp;"; "&amp;AJ732</f>
        <v>E1; E3; E4; D4; I5</v>
      </c>
    </row>
    <row r="733" ht="13.65" customHeight="1">
      <c r="A733" t="s" s="35">
        <v>5357</v>
      </c>
      <c r="B733" s="36">
        <v>10</v>
      </c>
      <c r="C733" t="s" s="35">
        <v>222</v>
      </c>
      <c r="D733" t="s" s="35">
        <v>4800</v>
      </c>
      <c r="E733" t="s" s="35">
        <v>4801</v>
      </c>
      <c r="F733" s="36">
        <v>109</v>
      </c>
      <c r="G733" t="s" s="35">
        <v>5316</v>
      </c>
      <c r="H733" t="s" s="35">
        <v>5358</v>
      </c>
      <c r="I733" t="s" s="120">
        <v>5359</v>
      </c>
      <c r="J733" t="s" s="35">
        <v>1301</v>
      </c>
      <c r="K733" t="s" s="35">
        <v>1322</v>
      </c>
      <c r="L733" s="39"/>
      <c r="M733" t="str" s="39">
        <v>Mecánica y termodinámica</v>
      </c>
      <c r="N733" t="str" s="39">
        <v>Leyes de conservación</v>
      </c>
      <c r="O733" t="str" s="39" cm="1">
        <f t="array" ref="O733">IF(L733="","",_xlfn.IFERROR(INDEX('Datos - Catálogo TIMSS'!$C$5:$C$107,MATCH(L733,'Datos - Catálogo TIMSS'!$A$5:$A$107,0)),"?"))</f>
      </c>
      <c r="P733" t="s" s="35">
        <v>291</v>
      </c>
      <c r="Q733" t="s" s="120">
        <v>5360</v>
      </c>
      <c r="R733" t="s" s="120">
        <v>5361</v>
      </c>
      <c r="S733" s="121" cm="1">
        <f t="array" ref="S733">_xlfn.IFERROR(ISNUMBER(SEARCH("Conocer",$R733))/(ISNUMBER(SEARCH("Conocer",$R733))+ISNUMBER(SEARCH("Aplicar",$R733))+ISNUMBER(SEARCH("Razonar",$R733))),0)</f>
        <v>0</v>
      </c>
      <c r="T733" s="121" cm="1">
        <f t="array" ref="T733">_xlfn.IFERROR(ISNUMBER(SEARCH("Aplicar",$R733))/(ISNUMBER(SEARCH("Conocer",$R733))+ISNUMBER(SEARCH("Aplicar",$R733))+ISNUMBER(SEARCH("Razonar",$R733))),0)</f>
        <v>0.5</v>
      </c>
      <c r="U733" s="121" cm="1">
        <f t="array" ref="U733">_xlfn.IFERROR(ISNUMBER(SEARCH("Razonar",$R733))/(ISNUMBER(SEARCH("Conocer",$R733))+ISNUMBER(SEARCH("Aplicar",$R733))+ISNUMBER(SEARCH("Razonar",$R733))),0)</f>
        <v>0.5</v>
      </c>
      <c r="V733" t="s" s="35">
        <v>87</v>
      </c>
      <c r="W733" t="s" s="35">
        <v>119</v>
      </c>
      <c r="X733" s="36" cm="1">
        <f t="array" ref="X733">IF(OR(_xlfn.IFERROR(INDEX('Datos - Catálogo TIMSS'!$I$5:$I$107,MATCH(K733,'Datos - Catálogo TIMSS'!$A$5:$A$107,0)),"No")="Sí",_xlfn.IFERROR(INDEX('Datos - Catálogo TIMSS'!$I$5:$I$107,MATCH(L733,'Datos - Catálogo TIMSS'!$A$5:$A$107,0)),"No")="Sí"),1,0)</f>
        <v>0</v>
      </c>
      <c r="Y733" s="36" cm="1">
        <f t="array" ref="Y733">IF(_xlfn.IFERROR(INDEX('Datos - Catálogo TIMSS'!$J$5:$J$107,MATCH(K733,'Datos - Catálogo TIMSS'!$A$5:$A$107,0)),"No")="Sí",1,0)</f>
        <v>0</v>
      </c>
      <c r="Z733" s="36" cm="1">
        <f t="array" ref="Z733">IF(_xlfn.IFERROR(INDEX('Datos - Catálogo TIMSS'!$J$5:$J$107,MATCH(L733,'Datos - Catálogo TIMSS'!$A$5:$A$107,0)),"No")="Sí",1,0)</f>
        <v>0</v>
      </c>
      <c r="AA733" t="s" s="35">
        <v>1322</v>
      </c>
      <c r="AB733" s="39"/>
      <c r="AC733" t="str" s="39">
        <v>Mecánica y termodinámica</v>
      </c>
      <c r="AD733" t="s" s="35">
        <v>1900</v>
      </c>
      <c r="AE733" t="str" s="39" cm="1">
        <f t="array" ref="AE733">IF(AD733="","",IF(LEFT(AD733,1)="1","C1",IF(LEFT(AD733,1)="2","C2",IF(LEFT(AD733,1)="3","C3",""))))</f>
        <v>C3</v>
      </c>
      <c r="AF733" t="s" s="35">
        <v>1615</v>
      </c>
      <c r="AG733" t="s" s="35">
        <v>1607</v>
      </c>
      <c r="AH733" t="s" s="35">
        <v>1609</v>
      </c>
      <c r="AI733" t="s" s="35">
        <v>1629</v>
      </c>
      <c r="AJ733" t="s" s="35">
        <v>1615</v>
      </c>
      <c r="AK733" s="39"/>
      <c r="AL733" s="39"/>
      <c r="AM733" s="39"/>
      <c r="AN733" s="39"/>
      <c r="AO733" s="39"/>
      <c r="AP733" s="39"/>
      <c r="AQ733" s="39"/>
      <c r="AR733" s="39"/>
      <c r="AS733" s="39"/>
      <c r="AT733" s="39"/>
      <c r="AU733" s="39"/>
      <c r="AV733" s="39"/>
      <c r="AW733" t="str" s="39" cm="1">
        <f t="array" ref="AW733">AF733&amp;"; "&amp;AG733&amp;"; "&amp;AH733&amp;"; "&amp;AI733&amp;"; "&amp;AJ733</f>
        <v>E6; E3; E4; I3; E6</v>
      </c>
    </row>
    <row r="734" ht="13.65" customHeight="1">
      <c r="A734" t="s" s="35">
        <v>5363</v>
      </c>
      <c r="B734" s="36">
        <v>10</v>
      </c>
      <c r="C734" t="s" s="35">
        <v>222</v>
      </c>
      <c r="D734" t="s" s="35">
        <v>4800</v>
      </c>
      <c r="E734" t="s" s="35">
        <v>4801</v>
      </c>
      <c r="F734" s="36">
        <v>110</v>
      </c>
      <c r="G734" t="s" s="35">
        <v>5316</v>
      </c>
      <c r="H734" t="s" s="35">
        <v>5364</v>
      </c>
      <c r="I734" t="s" s="120">
        <v>5365</v>
      </c>
      <c r="J734" t="s" s="35">
        <v>1301</v>
      </c>
      <c r="K734" t="s" s="35">
        <v>1832</v>
      </c>
      <c r="L734" s="39"/>
      <c r="M734" t="str" s="39">
        <v>Fuera del marco</v>
      </c>
      <c r="N734" t="str" s="39">
        <v>Fuera del marco</v>
      </c>
      <c r="O734" t="str" s="39" cm="1">
        <f t="array" ref="O734">IF(L734="","",_xlfn.IFERROR(INDEX('Datos - Catálogo TIMSS'!$C$5:$C$107,MATCH(L734,'Datos - Catálogo TIMSS'!$A$5:$A$107,0)),"?"))</f>
      </c>
      <c r="P734" t="s" s="35">
        <v>254</v>
      </c>
      <c r="Q734" t="s" s="120">
        <v>5366</v>
      </c>
      <c r="R734" t="s" s="120">
        <v>5367</v>
      </c>
      <c r="S734" s="121" cm="1">
        <f t="array" ref="S734">_xlfn.IFERROR(ISNUMBER(SEARCH("Conocer",$R734))/(ISNUMBER(SEARCH("Conocer",$R734))+ISNUMBER(SEARCH("Aplicar",$R734))+ISNUMBER(SEARCH("Razonar",$R734))),0)</f>
        <v>0</v>
      </c>
      <c r="T734" s="121" cm="1">
        <f t="array" ref="T734">_xlfn.IFERROR(ISNUMBER(SEARCH("Aplicar",$R734))/(ISNUMBER(SEARCH("Conocer",$R734))+ISNUMBER(SEARCH("Aplicar",$R734))+ISNUMBER(SEARCH("Razonar",$R734))),0)</f>
        <v>0.5</v>
      </c>
      <c r="U734" s="121" cm="1">
        <f t="array" ref="U734">_xlfn.IFERROR(ISNUMBER(SEARCH("Razonar",$R734))/(ISNUMBER(SEARCH("Conocer",$R734))+ISNUMBER(SEARCH("Aplicar",$R734))+ISNUMBER(SEARCH("Razonar",$R734))),0)</f>
        <v>0.5</v>
      </c>
      <c r="V734" t="s" s="35">
        <v>87</v>
      </c>
      <c r="W734" t="s" s="35">
        <v>119</v>
      </c>
      <c r="X734" s="36" cm="1">
        <f t="array" ref="X734">IF(OR(_xlfn.IFERROR(INDEX('Datos - Catálogo TIMSS'!$I$5:$I$107,MATCH(K734,'Datos - Catálogo TIMSS'!$A$5:$A$107,0)),"No")="Sí",_xlfn.IFERROR(INDEX('Datos - Catálogo TIMSS'!$I$5:$I$107,MATCH(L734,'Datos - Catálogo TIMSS'!$A$5:$A$107,0)),"No")="Sí"),1,0)</f>
        <v>0</v>
      </c>
      <c r="Y734" s="36" cm="1">
        <f t="array" ref="Y734">IF(_xlfn.IFERROR(INDEX('Datos - Catálogo TIMSS'!$J$5:$J$107,MATCH(K734,'Datos - Catálogo TIMSS'!$A$5:$A$107,0)),"No")="Sí",1,0)</f>
        <v>0</v>
      </c>
      <c r="Z734" s="36" cm="1">
        <f t="array" ref="Z734">IF(_xlfn.IFERROR(INDEX('Datos - Catálogo TIMSS'!$J$5:$J$107,MATCH(L734,'Datos - Catálogo TIMSS'!$A$5:$A$107,0)),"No")="Sí",1,0)</f>
        <v>0</v>
      </c>
      <c r="AA734" t="s" s="35">
        <v>1832</v>
      </c>
      <c r="AB734" s="39"/>
      <c r="AC734" t="str" s="39">
        <v>Fuera del marco</v>
      </c>
      <c r="AD734" t="s" s="35">
        <v>1859</v>
      </c>
      <c r="AE734" t="str" s="39" cm="1">
        <f t="array" ref="AE734">IF(AD734="","",IF(LEFT(AD734,1)="1","C1",IF(LEFT(AD734,1)="2","C2",IF(LEFT(AD734,1)="3","C3",""))))</f>
        <v>C1</v>
      </c>
      <c r="AF734" t="s" s="35">
        <v>1602</v>
      </c>
      <c r="AG734" t="s" s="35">
        <v>1612</v>
      </c>
      <c r="AH734" t="s" s="35">
        <v>1602</v>
      </c>
      <c r="AI734" t="s" s="35">
        <v>1619</v>
      </c>
      <c r="AJ734" t="s" s="35">
        <v>1607</v>
      </c>
      <c r="AK734" s="39"/>
      <c r="AL734" s="39"/>
      <c r="AM734" s="39"/>
      <c r="AN734" s="39"/>
      <c r="AO734" s="39"/>
      <c r="AP734" s="39"/>
      <c r="AQ734" s="39"/>
      <c r="AR734" s="39"/>
      <c r="AS734" s="39"/>
      <c r="AT734" s="39"/>
      <c r="AU734" s="39"/>
      <c r="AV734" s="39"/>
      <c r="AW734" t="str" s="39" cm="1">
        <f t="array" ref="AW734">AF734&amp;"; "&amp;AG734&amp;"; "&amp;AH734&amp;"; "&amp;AI734&amp;"; "&amp;AJ734</f>
        <v>E1; E5; E1; D2; E3</v>
      </c>
    </row>
    <row r="735" ht="13.65" customHeight="1">
      <c r="A735" t="s" s="35">
        <v>5368</v>
      </c>
      <c r="B735" s="36">
        <v>10</v>
      </c>
      <c r="C735" t="s" s="35">
        <v>222</v>
      </c>
      <c r="D735" t="s" s="35">
        <v>4800</v>
      </c>
      <c r="E735" t="s" s="35">
        <v>4801</v>
      </c>
      <c r="F735" s="36">
        <v>111</v>
      </c>
      <c r="G735" t="s" s="35">
        <v>5316</v>
      </c>
      <c r="H735" t="s" s="35">
        <v>5364</v>
      </c>
      <c r="I735" t="s" s="120">
        <v>5369</v>
      </c>
      <c r="J735" t="s" s="35">
        <v>1301</v>
      </c>
      <c r="K735" t="s" s="35">
        <v>1832</v>
      </c>
      <c r="L735" s="39"/>
      <c r="M735" t="str" s="39">
        <v>Fuera del marco</v>
      </c>
      <c r="N735" t="str" s="39">
        <v>Fuera del marco</v>
      </c>
      <c r="O735" t="str" s="39" cm="1">
        <f t="array" ref="O735">IF(L735="","",_xlfn.IFERROR(INDEX('Datos - Catálogo TIMSS'!$C$5:$C$107,MATCH(L735,'Datos - Catálogo TIMSS'!$A$5:$A$107,0)),"?"))</f>
      </c>
      <c r="P735" t="s" s="35">
        <v>254</v>
      </c>
      <c r="Q735" t="s" s="120">
        <v>5370</v>
      </c>
      <c r="R735" t="s" s="120">
        <v>5371</v>
      </c>
      <c r="S735" s="121" cm="1">
        <f t="array" ref="S735">_xlfn.IFERROR(ISNUMBER(SEARCH("Conocer",$R735))/(ISNUMBER(SEARCH("Conocer",$R735))+ISNUMBER(SEARCH("Aplicar",$R735))+ISNUMBER(SEARCH("Razonar",$R735))),0)</f>
        <v>0.5</v>
      </c>
      <c r="T735" s="121" cm="1">
        <f t="array" ref="T735">_xlfn.IFERROR(ISNUMBER(SEARCH("Aplicar",$R735))/(ISNUMBER(SEARCH("Conocer",$R735))+ISNUMBER(SEARCH("Aplicar",$R735))+ISNUMBER(SEARCH("Razonar",$R735))),0)</f>
        <v>0</v>
      </c>
      <c r="U735" s="121" cm="1">
        <f t="array" ref="U735">_xlfn.IFERROR(ISNUMBER(SEARCH("Razonar",$R735))/(ISNUMBER(SEARCH("Conocer",$R735))+ISNUMBER(SEARCH("Aplicar",$R735))+ISNUMBER(SEARCH("Razonar",$R735))),0)</f>
        <v>0.5</v>
      </c>
      <c r="V735" t="s" s="35">
        <v>87</v>
      </c>
      <c r="W735" t="s" s="35">
        <v>119</v>
      </c>
      <c r="X735" s="36" cm="1">
        <f t="array" ref="X735">IF(OR(_xlfn.IFERROR(INDEX('Datos - Catálogo TIMSS'!$I$5:$I$107,MATCH(K735,'Datos - Catálogo TIMSS'!$A$5:$A$107,0)),"No")="Sí",_xlfn.IFERROR(INDEX('Datos - Catálogo TIMSS'!$I$5:$I$107,MATCH(L735,'Datos - Catálogo TIMSS'!$A$5:$A$107,0)),"No")="Sí"),1,0)</f>
        <v>0</v>
      </c>
      <c r="Y735" s="36" cm="1">
        <f t="array" ref="Y735">IF(_xlfn.IFERROR(INDEX('Datos - Catálogo TIMSS'!$J$5:$J$107,MATCH(K735,'Datos - Catálogo TIMSS'!$A$5:$A$107,0)),"No")="Sí",1,0)</f>
        <v>0</v>
      </c>
      <c r="Z735" s="36" cm="1">
        <f t="array" ref="Z735">IF(_xlfn.IFERROR(INDEX('Datos - Catálogo TIMSS'!$J$5:$J$107,MATCH(L735,'Datos - Catálogo TIMSS'!$A$5:$A$107,0)),"No")="Sí",1,0)</f>
        <v>0</v>
      </c>
      <c r="AA735" t="s" s="35">
        <v>1832</v>
      </c>
      <c r="AB735" s="39"/>
      <c r="AC735" t="str" s="39">
        <v>Fuera del marco</v>
      </c>
      <c r="AD735" t="s" s="35">
        <v>1900</v>
      </c>
      <c r="AE735" t="str" s="39" cm="1">
        <f t="array" ref="AE735">IF(AD735="","",IF(LEFT(AD735,1)="1","C1",IF(LEFT(AD735,1)="2","C2",IF(LEFT(AD735,1)="3","C3",""))))</f>
        <v>C3</v>
      </c>
      <c r="AF735" t="s" s="35">
        <v>1602</v>
      </c>
      <c r="AG735" t="s" s="35">
        <v>1607</v>
      </c>
      <c r="AH735" t="s" s="35">
        <v>1602</v>
      </c>
      <c r="AI735" t="s" s="35">
        <v>1625</v>
      </c>
      <c r="AJ735" t="s" s="35">
        <v>1631</v>
      </c>
      <c r="AK735" s="39"/>
      <c r="AL735" s="39"/>
      <c r="AM735" s="39"/>
      <c r="AN735" s="39"/>
      <c r="AO735" s="39"/>
      <c r="AP735" s="39"/>
      <c r="AQ735" s="39"/>
      <c r="AR735" s="39"/>
      <c r="AS735" s="39"/>
      <c r="AT735" s="39"/>
      <c r="AU735" s="39"/>
      <c r="AV735" s="39"/>
      <c r="AW735" t="str" s="39" cm="1">
        <f t="array" ref="AW735">AF735&amp;"; "&amp;AG735&amp;"; "&amp;AH735&amp;"; "&amp;AI735&amp;"; "&amp;AJ735</f>
        <v>E1; E3; E1; I1; I4</v>
      </c>
    </row>
    <row r="736" ht="13.65" customHeight="1">
      <c r="A736" t="s" s="35">
        <v>5373</v>
      </c>
      <c r="B736" s="36">
        <v>10</v>
      </c>
      <c r="C736" t="s" s="35">
        <v>222</v>
      </c>
      <c r="D736" t="s" s="35">
        <v>4800</v>
      </c>
      <c r="E736" t="s" s="35">
        <v>4801</v>
      </c>
      <c r="F736" s="36">
        <v>112</v>
      </c>
      <c r="G736" t="s" s="35">
        <v>5374</v>
      </c>
      <c r="H736" t="s" s="35">
        <v>5375</v>
      </c>
      <c r="I736" t="s" s="120">
        <v>5376</v>
      </c>
      <c r="J736" t="s" s="35">
        <v>1301</v>
      </c>
      <c r="K736" t="s" s="35">
        <v>1363</v>
      </c>
      <c r="L736" s="39"/>
      <c r="M736" t="str" s="39">
        <v>Ondas y física atómica/nuclear</v>
      </c>
      <c r="N736" t="str" s="39">
        <v>Fenómenos ondulatorios</v>
      </c>
      <c r="O736" t="str" s="39" cm="1">
        <f t="array" ref="O736">IF(L736="","",_xlfn.IFERROR(INDEX('Datos - Catálogo TIMSS'!$C$5:$C$107,MATCH(L736,'Datos - Catálogo TIMSS'!$A$5:$A$107,0)),"?"))</f>
      </c>
      <c r="P736" t="s" s="35">
        <v>282</v>
      </c>
      <c r="Q736" t="s" s="120">
        <v>5377</v>
      </c>
      <c r="R736" t="s" s="120">
        <v>5378</v>
      </c>
      <c r="S736" s="121" cm="1">
        <f t="array" ref="S736">_xlfn.IFERROR(ISNUMBER(SEARCH("Conocer",$R736))/(ISNUMBER(SEARCH("Conocer",$R736))+ISNUMBER(SEARCH("Aplicar",$R736))+ISNUMBER(SEARCH("Razonar",$R736))),0)</f>
        <v>0.333333333333333</v>
      </c>
      <c r="T736" s="121" cm="1">
        <f t="array" ref="T736">_xlfn.IFERROR(ISNUMBER(SEARCH("Aplicar",$R736))/(ISNUMBER(SEARCH("Conocer",$R736))+ISNUMBER(SEARCH("Aplicar",$R736))+ISNUMBER(SEARCH("Razonar",$R736))),0)</f>
        <v>0.333333333333333</v>
      </c>
      <c r="U736" s="121" cm="1">
        <f t="array" ref="U736">_xlfn.IFERROR(ISNUMBER(SEARCH("Razonar",$R736))/(ISNUMBER(SEARCH("Conocer",$R736))+ISNUMBER(SEARCH("Aplicar",$R736))+ISNUMBER(SEARCH("Razonar",$R736))),0)</f>
        <v>0.333333333333333</v>
      </c>
      <c r="V736" t="s" s="35">
        <v>87</v>
      </c>
      <c r="W736" t="s" s="35">
        <v>119</v>
      </c>
      <c r="X736" s="36" cm="1">
        <f t="array" ref="X736">IF(OR(_xlfn.IFERROR(INDEX('Datos - Catálogo TIMSS'!$I$5:$I$107,MATCH(K736,'Datos - Catálogo TIMSS'!$A$5:$A$107,0)),"No")="Sí",_xlfn.IFERROR(INDEX('Datos - Catálogo TIMSS'!$I$5:$I$107,MATCH(L736,'Datos - Catálogo TIMSS'!$A$5:$A$107,0)),"No")="Sí"),1,0)</f>
        <v>0</v>
      </c>
      <c r="Y736" s="36" cm="1">
        <f t="array" ref="Y736">IF(_xlfn.IFERROR(INDEX('Datos - Catálogo TIMSS'!$J$5:$J$107,MATCH(K736,'Datos - Catálogo TIMSS'!$A$5:$A$107,0)),"No")="Sí",1,0)</f>
        <v>0</v>
      </c>
      <c r="Z736" s="36" cm="1">
        <f t="array" ref="Z736">IF(_xlfn.IFERROR(INDEX('Datos - Catálogo TIMSS'!$J$5:$J$107,MATCH(L736,'Datos - Catálogo TIMSS'!$A$5:$A$107,0)),"No")="Sí",1,0)</f>
        <v>0</v>
      </c>
      <c r="AA736" t="s" s="35">
        <v>1363</v>
      </c>
      <c r="AB736" s="39"/>
      <c r="AC736" t="str" s="39">
        <v>Ondas y física atómica/nuclear</v>
      </c>
      <c r="AD736" t="s" s="35">
        <v>1859</v>
      </c>
      <c r="AE736" t="str" s="39" cm="1">
        <f t="array" ref="AE736">IF(AD736="","",IF(LEFT(AD736,1)="1","C1",IF(LEFT(AD736,1)="2","C2",IF(LEFT(AD736,1)="3","C3",""))))</f>
        <v>C1</v>
      </c>
      <c r="AF736" t="s" s="35">
        <v>1602</v>
      </c>
      <c r="AG736" t="s" s="35">
        <v>1612</v>
      </c>
      <c r="AH736" t="s" s="35">
        <v>1609</v>
      </c>
      <c r="AI736" t="s" s="35">
        <v>1623</v>
      </c>
      <c r="AJ736" t="s" s="35">
        <v>1607</v>
      </c>
      <c r="AK736" s="39"/>
      <c r="AL736" s="39"/>
      <c r="AM736" s="39"/>
      <c r="AN736" s="39"/>
      <c r="AO736" s="39"/>
      <c r="AP736" s="39"/>
      <c r="AQ736" s="39"/>
      <c r="AR736" s="39"/>
      <c r="AS736" s="39"/>
      <c r="AT736" s="39"/>
      <c r="AU736" s="39"/>
      <c r="AV736" s="39"/>
      <c r="AW736" t="str" s="39" cm="1">
        <f t="array" ref="AW736">AF736&amp;"; "&amp;AG736&amp;"; "&amp;AH736&amp;"; "&amp;AI736&amp;"; "&amp;AJ736</f>
        <v>E1; E5; E4; D4; E3</v>
      </c>
    </row>
    <row r="737" ht="13.65" customHeight="1">
      <c r="A737" t="s" s="35">
        <v>5379</v>
      </c>
      <c r="B737" s="36">
        <v>10</v>
      </c>
      <c r="C737" t="s" s="35">
        <v>222</v>
      </c>
      <c r="D737" t="s" s="35">
        <v>4800</v>
      </c>
      <c r="E737" t="s" s="35">
        <v>4801</v>
      </c>
      <c r="F737" s="36">
        <v>113</v>
      </c>
      <c r="G737" t="s" s="35">
        <v>5374</v>
      </c>
      <c r="H737" t="s" s="35">
        <v>5375</v>
      </c>
      <c r="I737" t="s" s="120">
        <v>5380</v>
      </c>
      <c r="J737" t="s" s="35">
        <v>1301</v>
      </c>
      <c r="K737" t="s" s="35">
        <v>1363</v>
      </c>
      <c r="L737" s="39"/>
      <c r="M737" t="str" s="39">
        <v>Ondas y física atómica/nuclear</v>
      </c>
      <c r="N737" t="str" s="39">
        <v>Fenómenos ondulatorios</v>
      </c>
      <c r="O737" t="str" s="39" cm="1">
        <f t="array" ref="O737">IF(L737="","",_xlfn.IFERROR(INDEX('Datos - Catálogo TIMSS'!$C$5:$C$107,MATCH(L737,'Datos - Catálogo TIMSS'!$A$5:$A$107,0)),"?"))</f>
      </c>
      <c r="P737" t="s" s="35">
        <v>254</v>
      </c>
      <c r="Q737" t="s" s="120">
        <v>5381</v>
      </c>
      <c r="R737" t="s" s="120">
        <v>5382</v>
      </c>
      <c r="S737" s="121" cm="1">
        <f t="array" ref="S737">_xlfn.IFERROR(ISNUMBER(SEARCH("Conocer",$R737))/(ISNUMBER(SEARCH("Conocer",$R737))+ISNUMBER(SEARCH("Aplicar",$R737))+ISNUMBER(SEARCH("Razonar",$R737))),0)</f>
        <v>0</v>
      </c>
      <c r="T737" s="121" cm="1">
        <f t="array" ref="T737">_xlfn.IFERROR(ISNUMBER(SEARCH("Aplicar",$R737))/(ISNUMBER(SEARCH("Conocer",$R737))+ISNUMBER(SEARCH("Aplicar",$R737))+ISNUMBER(SEARCH("Razonar",$R737))),0)</f>
        <v>0.5</v>
      </c>
      <c r="U737" s="121" cm="1">
        <f t="array" ref="U737">_xlfn.IFERROR(ISNUMBER(SEARCH("Razonar",$R737))/(ISNUMBER(SEARCH("Conocer",$R737))+ISNUMBER(SEARCH("Aplicar",$R737))+ISNUMBER(SEARCH("Razonar",$R737))),0)</f>
        <v>0.5</v>
      </c>
      <c r="V737" t="s" s="35">
        <v>87</v>
      </c>
      <c r="W737" t="s" s="35">
        <v>119</v>
      </c>
      <c r="X737" s="36" cm="1">
        <f t="array" ref="X737">IF(OR(_xlfn.IFERROR(INDEX('Datos - Catálogo TIMSS'!$I$5:$I$107,MATCH(K737,'Datos - Catálogo TIMSS'!$A$5:$A$107,0)),"No")="Sí",_xlfn.IFERROR(INDEX('Datos - Catálogo TIMSS'!$I$5:$I$107,MATCH(L737,'Datos - Catálogo TIMSS'!$A$5:$A$107,0)),"No")="Sí"),1,0)</f>
        <v>0</v>
      </c>
      <c r="Y737" s="36" cm="1">
        <f t="array" ref="Y737">IF(_xlfn.IFERROR(INDEX('Datos - Catálogo TIMSS'!$J$5:$J$107,MATCH(K737,'Datos - Catálogo TIMSS'!$A$5:$A$107,0)),"No")="Sí",1,0)</f>
        <v>0</v>
      </c>
      <c r="Z737" s="36" cm="1">
        <f t="array" ref="Z737">IF(_xlfn.IFERROR(INDEX('Datos - Catálogo TIMSS'!$J$5:$J$107,MATCH(L737,'Datos - Catálogo TIMSS'!$A$5:$A$107,0)),"No")="Sí",1,0)</f>
        <v>0</v>
      </c>
      <c r="AA737" t="s" s="35">
        <v>1363</v>
      </c>
      <c r="AB737" s="39"/>
      <c r="AC737" t="str" s="39">
        <v>Ondas y física atómica/nuclear</v>
      </c>
      <c r="AD737" t="s" s="35">
        <v>1834</v>
      </c>
      <c r="AE737" t="str" s="39" cm="1">
        <f t="array" ref="AE737">IF(AD737="","",IF(LEFT(AD737,1)="1","C1",IF(LEFT(AD737,1)="2","C2",IF(LEFT(AD737,1)="3","C3",""))))</f>
        <v>C2</v>
      </c>
      <c r="AF737" t="s" s="35">
        <v>1602</v>
      </c>
      <c r="AG737" t="s" s="35">
        <v>1617</v>
      </c>
      <c r="AH737" t="s" s="35">
        <v>1605</v>
      </c>
      <c r="AI737" t="s" s="35">
        <v>1619</v>
      </c>
      <c r="AJ737" t="s" s="35">
        <v>1621</v>
      </c>
      <c r="AK737" s="39"/>
      <c r="AL737" s="39"/>
      <c r="AM737" s="39"/>
      <c r="AN737" s="39"/>
      <c r="AO737" s="39"/>
      <c r="AP737" s="39"/>
      <c r="AQ737" s="39"/>
      <c r="AR737" s="39"/>
      <c r="AS737" s="39"/>
      <c r="AT737" s="39"/>
      <c r="AU737" s="39"/>
      <c r="AV737" s="39"/>
      <c r="AW737" t="str" s="39" cm="1">
        <f t="array" ref="AW737">AF737&amp;"; "&amp;AG737&amp;"; "&amp;AH737&amp;"; "&amp;AI737&amp;"; "&amp;AJ737</f>
        <v>E1; D1; E2; D2; D3</v>
      </c>
    </row>
    <row r="738" ht="13.65" customHeight="1">
      <c r="A738" t="s" s="35">
        <v>5383</v>
      </c>
      <c r="B738" s="36">
        <v>10</v>
      </c>
      <c r="C738" t="s" s="35">
        <v>222</v>
      </c>
      <c r="D738" t="s" s="35">
        <v>4800</v>
      </c>
      <c r="E738" t="s" s="35">
        <v>4801</v>
      </c>
      <c r="F738" s="36">
        <v>114</v>
      </c>
      <c r="G738" t="s" s="35">
        <v>5374</v>
      </c>
      <c r="H738" t="s" s="35">
        <v>5375</v>
      </c>
      <c r="I738" t="s" s="120">
        <v>5384</v>
      </c>
      <c r="J738" t="s" s="35">
        <v>1301</v>
      </c>
      <c r="K738" t="s" s="35">
        <v>1363</v>
      </c>
      <c r="L738" s="39"/>
      <c r="M738" t="str" s="39">
        <v>Ondas y física atómica/nuclear</v>
      </c>
      <c r="N738" t="str" s="39">
        <v>Fenómenos ondulatorios</v>
      </c>
      <c r="O738" t="str" s="39" cm="1">
        <f t="array" ref="O738">IF(L738="","",_xlfn.IFERROR(INDEX('Datos - Catálogo TIMSS'!$C$5:$C$107,MATCH(L738,'Datos - Catálogo TIMSS'!$A$5:$A$107,0)),"?"))</f>
      </c>
      <c r="P738" t="s" s="35">
        <v>282</v>
      </c>
      <c r="Q738" t="s" s="120">
        <v>5385</v>
      </c>
      <c r="R738" t="s" s="120">
        <v>5386</v>
      </c>
      <c r="S738" s="121" cm="1">
        <f t="array" ref="S738">_xlfn.IFERROR(ISNUMBER(SEARCH("Conocer",$R738))/(ISNUMBER(SEARCH("Conocer",$R738))+ISNUMBER(SEARCH("Aplicar",$R738))+ISNUMBER(SEARCH("Razonar",$R738))),0)</f>
        <v>0.5</v>
      </c>
      <c r="T738" s="121" cm="1">
        <f t="array" ref="T738">_xlfn.IFERROR(ISNUMBER(SEARCH("Aplicar",$R738))/(ISNUMBER(SEARCH("Conocer",$R738))+ISNUMBER(SEARCH("Aplicar",$R738))+ISNUMBER(SEARCH("Razonar",$R738))),0)</f>
        <v>0</v>
      </c>
      <c r="U738" s="121" cm="1">
        <f t="array" ref="U738">_xlfn.IFERROR(ISNUMBER(SEARCH("Razonar",$R738))/(ISNUMBER(SEARCH("Conocer",$R738))+ISNUMBER(SEARCH("Aplicar",$R738))+ISNUMBER(SEARCH("Razonar",$R738))),0)</f>
        <v>0.5</v>
      </c>
      <c r="V738" t="s" s="35">
        <v>87</v>
      </c>
      <c r="W738" t="s" s="35">
        <v>119</v>
      </c>
      <c r="X738" s="36" cm="1">
        <f t="array" ref="X738">IF(OR(_xlfn.IFERROR(INDEX('Datos - Catálogo TIMSS'!$I$5:$I$107,MATCH(K738,'Datos - Catálogo TIMSS'!$A$5:$A$107,0)),"No")="Sí",_xlfn.IFERROR(INDEX('Datos - Catálogo TIMSS'!$I$5:$I$107,MATCH(L738,'Datos - Catálogo TIMSS'!$A$5:$A$107,0)),"No")="Sí"),1,0)</f>
        <v>0</v>
      </c>
      <c r="Y738" s="36" cm="1">
        <f t="array" ref="Y738">IF(_xlfn.IFERROR(INDEX('Datos - Catálogo TIMSS'!$J$5:$J$107,MATCH(K738,'Datos - Catálogo TIMSS'!$A$5:$A$107,0)),"No")="Sí",1,0)</f>
        <v>0</v>
      </c>
      <c r="Z738" s="36" cm="1">
        <f t="array" ref="Z738">IF(_xlfn.IFERROR(INDEX('Datos - Catálogo TIMSS'!$J$5:$J$107,MATCH(L738,'Datos - Catálogo TIMSS'!$A$5:$A$107,0)),"No")="Sí",1,0)</f>
        <v>0</v>
      </c>
      <c r="AA738" t="s" s="35">
        <v>1363</v>
      </c>
      <c r="AB738" s="39"/>
      <c r="AC738" t="str" s="39">
        <v>Ondas y física atómica/nuclear</v>
      </c>
      <c r="AD738" t="s" s="35">
        <v>1900</v>
      </c>
      <c r="AE738" t="str" s="39" cm="1">
        <f t="array" ref="AE738">IF(AD738="","",IF(LEFT(AD738,1)="1","C1",IF(LEFT(AD738,1)="2","C2",IF(LEFT(AD738,1)="3","C3",""))))</f>
        <v>C3</v>
      </c>
      <c r="AF738" t="s" s="35">
        <v>1615</v>
      </c>
      <c r="AG738" t="s" s="35">
        <v>1607</v>
      </c>
      <c r="AH738" t="s" s="35">
        <v>1602</v>
      </c>
      <c r="AI738" t="s" s="35">
        <v>1625</v>
      </c>
      <c r="AJ738" t="s" s="35">
        <v>1633</v>
      </c>
      <c r="AK738" s="39"/>
      <c r="AL738" s="39"/>
      <c r="AM738" s="39"/>
      <c r="AN738" s="39"/>
      <c r="AO738" s="39"/>
      <c r="AP738" s="39"/>
      <c r="AQ738" s="39"/>
      <c r="AR738" s="39"/>
      <c r="AS738" s="39"/>
      <c r="AT738" s="39"/>
      <c r="AU738" s="39"/>
      <c r="AV738" s="39"/>
      <c r="AW738" t="str" s="39" cm="1">
        <f t="array" ref="AW738">AF738&amp;"; "&amp;AG738&amp;"; "&amp;AH738&amp;"; "&amp;AI738&amp;"; "&amp;AJ738</f>
        <v>E6; E3; E1; I1; I5</v>
      </c>
    </row>
    <row r="739" ht="13.65" customHeight="1">
      <c r="A739" t="s" s="35">
        <v>5387</v>
      </c>
      <c r="B739" s="36">
        <v>10</v>
      </c>
      <c r="C739" t="s" s="35">
        <v>222</v>
      </c>
      <c r="D739" t="s" s="35">
        <v>4800</v>
      </c>
      <c r="E739" t="s" s="35">
        <v>4801</v>
      </c>
      <c r="F739" s="36">
        <v>115</v>
      </c>
      <c r="G739" t="s" s="35">
        <v>5374</v>
      </c>
      <c r="H739" t="s" s="35">
        <v>5375</v>
      </c>
      <c r="I739" t="s" s="120">
        <v>5388</v>
      </c>
      <c r="J739" t="s" s="35">
        <v>1301</v>
      </c>
      <c r="K739" t="s" s="35">
        <v>1363</v>
      </c>
      <c r="L739" t="s" s="35">
        <v>1357</v>
      </c>
      <c r="M739" t="str" s="39">
        <v>Ondas y física atómica/nuclear</v>
      </c>
      <c r="N739" t="str" s="39">
        <v>Fenómenos ondulatorios</v>
      </c>
      <c r="O739" t="str" s="39" cm="1">
        <f t="array" ref="O739">IF(L739="","",_xlfn.IFERROR(INDEX('Datos - Catálogo TIMSS'!$C$5:$C$107,MATCH(L739,'Datos - Catálogo TIMSS'!$A$5:$A$107,0)),"?"))</f>
        <v>Ondas y física atómica/nuclear</v>
      </c>
      <c r="P739" t="s" s="35">
        <v>282</v>
      </c>
      <c r="Q739" t="s" s="120">
        <v>5389</v>
      </c>
      <c r="R739" t="s" s="120">
        <v>5390</v>
      </c>
      <c r="S739" s="121" cm="1">
        <f t="array" ref="S739">_xlfn.IFERROR(ISNUMBER(SEARCH("Conocer",$R739))/(ISNUMBER(SEARCH("Conocer",$R739))+ISNUMBER(SEARCH("Aplicar",$R739))+ISNUMBER(SEARCH("Razonar",$R739))),0)</f>
        <v>0.5</v>
      </c>
      <c r="T739" s="121" cm="1">
        <f t="array" ref="T739">_xlfn.IFERROR(ISNUMBER(SEARCH("Aplicar",$R739))/(ISNUMBER(SEARCH("Conocer",$R739))+ISNUMBER(SEARCH("Aplicar",$R739))+ISNUMBER(SEARCH("Razonar",$R739))),0)</f>
        <v>0</v>
      </c>
      <c r="U739" s="121" cm="1">
        <f t="array" ref="U739">_xlfn.IFERROR(ISNUMBER(SEARCH("Razonar",$R739))/(ISNUMBER(SEARCH("Conocer",$R739))+ISNUMBER(SEARCH("Aplicar",$R739))+ISNUMBER(SEARCH("Razonar",$R739))),0)</f>
        <v>0.5</v>
      </c>
      <c r="V739" t="s" s="35">
        <v>87</v>
      </c>
      <c r="W739" t="s" s="35">
        <v>119</v>
      </c>
      <c r="X739" s="36" cm="1">
        <f t="array" ref="X739">IF(OR(_xlfn.IFERROR(INDEX('Datos - Catálogo TIMSS'!$I$5:$I$107,MATCH(K739,'Datos - Catálogo TIMSS'!$A$5:$A$107,0)),"No")="Sí",_xlfn.IFERROR(INDEX('Datos - Catálogo TIMSS'!$I$5:$I$107,MATCH(L739,'Datos - Catálogo TIMSS'!$A$5:$A$107,0)),"No")="Sí"),1,0)</f>
        <v>0</v>
      </c>
      <c r="Y739" s="36" cm="1">
        <f t="array" ref="Y739">IF(_xlfn.IFERROR(INDEX('Datos - Catálogo TIMSS'!$J$5:$J$107,MATCH(K739,'Datos - Catálogo TIMSS'!$A$5:$A$107,0)),"No")="Sí",1,0)</f>
        <v>0</v>
      </c>
      <c r="Z739" s="36" cm="1">
        <f t="array" ref="Z739">IF(_xlfn.IFERROR(INDEX('Datos - Catálogo TIMSS'!$J$5:$J$107,MATCH(L739,'Datos - Catálogo TIMSS'!$A$5:$A$107,0)),"No")="Sí",1,0)</f>
        <v>0</v>
      </c>
      <c r="AA739" t="s" s="35">
        <v>1363</v>
      </c>
      <c r="AB739" t="s" s="35">
        <v>1357</v>
      </c>
      <c r="AC739" t="str" s="39">
        <v>Ondas y física atómica/nuclear</v>
      </c>
      <c r="AD739" t="s" s="35">
        <v>1859</v>
      </c>
      <c r="AE739" t="str" s="39" cm="1">
        <f t="array" ref="AE739">IF(AD739="","",IF(LEFT(AD739,1)="1","C1",IF(LEFT(AD739,1)="2","C2",IF(LEFT(AD739,1)="3","C3",""))))</f>
        <v>C1</v>
      </c>
      <c r="AF739" t="s" s="35">
        <v>1602</v>
      </c>
      <c r="AG739" t="s" s="35">
        <v>1612</v>
      </c>
      <c r="AH739" t="s" s="35">
        <v>1602</v>
      </c>
      <c r="AI739" t="s" s="35">
        <v>1623</v>
      </c>
      <c r="AJ739" t="s" s="35">
        <v>1615</v>
      </c>
      <c r="AK739" s="39"/>
      <c r="AL739" s="39"/>
      <c r="AM739" s="39"/>
      <c r="AN739" s="39"/>
      <c r="AO739" s="39"/>
      <c r="AP739" s="39"/>
      <c r="AQ739" s="39"/>
      <c r="AR739" s="39"/>
      <c r="AS739" s="39"/>
      <c r="AT739" s="39"/>
      <c r="AU739" s="39"/>
      <c r="AV739" s="39"/>
      <c r="AW739" t="str" s="39" cm="1">
        <f t="array" ref="AW739">AF739&amp;"; "&amp;AG739&amp;"; "&amp;AH739&amp;"; "&amp;AI739&amp;"; "&amp;AJ739</f>
        <v>E1; E5; E1; D4; E6</v>
      </c>
    </row>
    <row r="740" ht="13.65" customHeight="1">
      <c r="A740" t="s" s="35">
        <v>5391</v>
      </c>
      <c r="B740" s="36">
        <v>10</v>
      </c>
      <c r="C740" t="s" s="35">
        <v>222</v>
      </c>
      <c r="D740" t="s" s="35">
        <v>4800</v>
      </c>
      <c r="E740" t="s" s="35">
        <v>4801</v>
      </c>
      <c r="F740" s="36">
        <v>116</v>
      </c>
      <c r="G740" t="s" s="35">
        <v>5374</v>
      </c>
      <c r="H740" t="s" s="35">
        <v>5375</v>
      </c>
      <c r="I740" t="s" s="120">
        <v>5392</v>
      </c>
      <c r="J740" t="s" s="35">
        <v>1301</v>
      </c>
      <c r="K740" t="s" s="35">
        <v>1363</v>
      </c>
      <c r="L740" t="s" s="35">
        <v>1357</v>
      </c>
      <c r="M740" t="str" s="39">
        <v>Ondas y física atómica/nuclear</v>
      </c>
      <c r="N740" t="str" s="39">
        <v>Fenómenos ondulatorios</v>
      </c>
      <c r="O740" t="str" s="39" cm="1">
        <f t="array" ref="O740">IF(L740="","",_xlfn.IFERROR(INDEX('Datos - Catálogo TIMSS'!$C$5:$C$107,MATCH(L740,'Datos - Catálogo TIMSS'!$A$5:$A$107,0)),"?"))</f>
        <v>Ondas y física atómica/nuclear</v>
      </c>
      <c r="P740" t="s" s="35">
        <v>282</v>
      </c>
      <c r="Q740" t="s" s="120">
        <v>5393</v>
      </c>
      <c r="R740" t="s" s="120">
        <v>5394</v>
      </c>
      <c r="S740" s="121" cm="1">
        <f t="array" ref="S740">_xlfn.IFERROR(ISNUMBER(SEARCH("Conocer",$R740))/(ISNUMBER(SEARCH("Conocer",$R740))+ISNUMBER(SEARCH("Aplicar",$R740))+ISNUMBER(SEARCH("Razonar",$R740))),0)</f>
        <v>0</v>
      </c>
      <c r="T740" s="121" cm="1">
        <f t="array" ref="T740">_xlfn.IFERROR(ISNUMBER(SEARCH("Aplicar",$R740))/(ISNUMBER(SEARCH("Conocer",$R740))+ISNUMBER(SEARCH("Aplicar",$R740))+ISNUMBER(SEARCH("Razonar",$R740))),0)</f>
        <v>0.5</v>
      </c>
      <c r="U740" s="121" cm="1">
        <f t="array" ref="U740">_xlfn.IFERROR(ISNUMBER(SEARCH("Razonar",$R740))/(ISNUMBER(SEARCH("Conocer",$R740))+ISNUMBER(SEARCH("Aplicar",$R740))+ISNUMBER(SEARCH("Razonar",$R740))),0)</f>
        <v>0.5</v>
      </c>
      <c r="V740" t="s" s="35">
        <v>87</v>
      </c>
      <c r="W740" t="s" s="35">
        <v>119</v>
      </c>
      <c r="X740" s="36" cm="1">
        <f t="array" ref="X740">IF(OR(_xlfn.IFERROR(INDEX('Datos - Catálogo TIMSS'!$I$5:$I$107,MATCH(K740,'Datos - Catálogo TIMSS'!$A$5:$A$107,0)),"No")="Sí",_xlfn.IFERROR(INDEX('Datos - Catálogo TIMSS'!$I$5:$I$107,MATCH(L740,'Datos - Catálogo TIMSS'!$A$5:$A$107,0)),"No")="Sí"),1,0)</f>
        <v>0</v>
      </c>
      <c r="Y740" s="36" cm="1">
        <f t="array" ref="Y740">IF(_xlfn.IFERROR(INDEX('Datos - Catálogo TIMSS'!$J$5:$J$107,MATCH(K740,'Datos - Catálogo TIMSS'!$A$5:$A$107,0)),"No")="Sí",1,0)</f>
        <v>0</v>
      </c>
      <c r="Z740" s="36" cm="1">
        <f t="array" ref="Z740">IF(_xlfn.IFERROR(INDEX('Datos - Catálogo TIMSS'!$J$5:$J$107,MATCH(L740,'Datos - Catálogo TIMSS'!$A$5:$A$107,0)),"No")="Sí",1,0)</f>
        <v>0</v>
      </c>
      <c r="AA740" t="s" s="35">
        <v>1363</v>
      </c>
      <c r="AB740" t="s" s="35">
        <v>1357</v>
      </c>
      <c r="AC740" t="str" s="39">
        <v>Ondas y física atómica/nuclear</v>
      </c>
      <c r="AD740" t="s" s="35">
        <v>1834</v>
      </c>
      <c r="AE740" t="str" s="39" cm="1">
        <f t="array" ref="AE740">IF(AD740="","",IF(LEFT(AD740,1)="1","C1",IF(LEFT(AD740,1)="2","C2",IF(LEFT(AD740,1)="3","C3",""))))</f>
        <v>C2</v>
      </c>
      <c r="AF740" t="s" s="35">
        <v>1602</v>
      </c>
      <c r="AG740" t="s" s="35">
        <v>1607</v>
      </c>
      <c r="AH740" t="s" s="35">
        <v>1605</v>
      </c>
      <c r="AI740" t="s" s="35">
        <v>1623</v>
      </c>
      <c r="AJ740" t="s" s="35">
        <v>1621</v>
      </c>
      <c r="AK740" s="39"/>
      <c r="AL740" s="39"/>
      <c r="AM740" s="39"/>
      <c r="AN740" s="39"/>
      <c r="AO740" s="39"/>
      <c r="AP740" s="39"/>
      <c r="AQ740" s="39"/>
      <c r="AR740" s="39"/>
      <c r="AS740" s="39"/>
      <c r="AT740" s="39"/>
      <c r="AU740" s="39"/>
      <c r="AV740" s="39"/>
      <c r="AW740" t="str" s="39" cm="1">
        <f t="array" ref="AW740">AF740&amp;"; "&amp;AG740&amp;"; "&amp;AH740&amp;"; "&amp;AI740&amp;"; "&amp;AJ740</f>
        <v>E1; E3; E2; D4; D3</v>
      </c>
    </row>
    <row r="741" ht="13.65" customHeight="1">
      <c r="A741" t="s" s="35">
        <v>5395</v>
      </c>
      <c r="B741" s="36">
        <v>10</v>
      </c>
      <c r="C741" t="s" s="35">
        <v>222</v>
      </c>
      <c r="D741" t="s" s="35">
        <v>4800</v>
      </c>
      <c r="E741" t="s" s="35">
        <v>4801</v>
      </c>
      <c r="F741" s="36">
        <v>117</v>
      </c>
      <c r="G741" t="s" s="35">
        <v>5374</v>
      </c>
      <c r="H741" t="s" s="35">
        <v>5375</v>
      </c>
      <c r="I741" t="s" s="120">
        <v>5396</v>
      </c>
      <c r="J741" t="s" s="35">
        <v>1301</v>
      </c>
      <c r="K741" t="s" s="35">
        <v>1363</v>
      </c>
      <c r="L741" s="39"/>
      <c r="M741" t="str" s="39">
        <v>Ondas y física atómica/nuclear</v>
      </c>
      <c r="N741" t="str" s="39">
        <v>Fenómenos ondulatorios</v>
      </c>
      <c r="O741" t="str" s="39" cm="1">
        <f t="array" ref="O741">IF(L741="","",_xlfn.IFERROR(INDEX('Datos - Catálogo TIMSS'!$C$5:$C$107,MATCH(L741,'Datos - Catálogo TIMSS'!$A$5:$A$107,0)),"?"))</f>
      </c>
      <c r="P741" t="s" s="35">
        <v>291</v>
      </c>
      <c r="Q741" t="s" s="120">
        <v>5397</v>
      </c>
      <c r="R741" t="s" s="120">
        <v>5398</v>
      </c>
      <c r="S741" s="121" cm="1">
        <f t="array" ref="S741">_xlfn.IFERROR(ISNUMBER(SEARCH("Conocer",$R741))/(ISNUMBER(SEARCH("Conocer",$R741))+ISNUMBER(SEARCH("Aplicar",$R741))+ISNUMBER(SEARCH("Razonar",$R741))),0)</f>
        <v>0.333333333333333</v>
      </c>
      <c r="T741" s="121" cm="1">
        <f t="array" ref="T741">_xlfn.IFERROR(ISNUMBER(SEARCH("Aplicar",$R741))/(ISNUMBER(SEARCH("Conocer",$R741))+ISNUMBER(SEARCH("Aplicar",$R741))+ISNUMBER(SEARCH("Razonar",$R741))),0)</f>
        <v>0.333333333333333</v>
      </c>
      <c r="U741" s="121" cm="1">
        <f t="array" ref="U741">_xlfn.IFERROR(ISNUMBER(SEARCH("Razonar",$R741))/(ISNUMBER(SEARCH("Conocer",$R741))+ISNUMBER(SEARCH("Aplicar",$R741))+ISNUMBER(SEARCH("Razonar",$R741))),0)</f>
        <v>0.333333333333333</v>
      </c>
      <c r="V741" t="s" s="35">
        <v>87</v>
      </c>
      <c r="W741" t="s" s="35">
        <v>119</v>
      </c>
      <c r="X741" s="36" cm="1">
        <f t="array" ref="X741">IF(OR(_xlfn.IFERROR(INDEX('Datos - Catálogo TIMSS'!$I$5:$I$107,MATCH(K741,'Datos - Catálogo TIMSS'!$A$5:$A$107,0)),"No")="Sí",_xlfn.IFERROR(INDEX('Datos - Catálogo TIMSS'!$I$5:$I$107,MATCH(L741,'Datos - Catálogo TIMSS'!$A$5:$A$107,0)),"No")="Sí"),1,0)</f>
        <v>0</v>
      </c>
      <c r="Y741" s="36" cm="1">
        <f t="array" ref="Y741">IF(_xlfn.IFERROR(INDEX('Datos - Catálogo TIMSS'!$J$5:$J$107,MATCH(K741,'Datos - Catálogo TIMSS'!$A$5:$A$107,0)),"No")="Sí",1,0)</f>
        <v>0</v>
      </c>
      <c r="Z741" s="36" cm="1">
        <f t="array" ref="Z741">IF(_xlfn.IFERROR(INDEX('Datos - Catálogo TIMSS'!$J$5:$J$107,MATCH(L741,'Datos - Catálogo TIMSS'!$A$5:$A$107,0)),"No")="Sí",1,0)</f>
        <v>0</v>
      </c>
      <c r="AA741" t="s" s="35">
        <v>1363</v>
      </c>
      <c r="AB741" s="39"/>
      <c r="AC741" t="str" s="39">
        <v>Ondas y física atómica/nuclear</v>
      </c>
      <c r="AD741" t="s" s="35">
        <v>1900</v>
      </c>
      <c r="AE741" t="str" s="39" cm="1">
        <f t="array" ref="AE741">IF(AD741="","",IF(LEFT(AD741,1)="1","C1",IF(LEFT(AD741,1)="2","C2",IF(LEFT(AD741,1)="3","C3",""))))</f>
        <v>C3</v>
      </c>
      <c r="AF741" t="s" s="35">
        <v>1615</v>
      </c>
      <c r="AG741" t="s" s="35">
        <v>1617</v>
      </c>
      <c r="AH741" t="s" s="35">
        <v>1602</v>
      </c>
      <c r="AI741" t="s" s="35">
        <v>1625</v>
      </c>
      <c r="AJ741" t="s" s="35">
        <v>1633</v>
      </c>
      <c r="AK741" s="39"/>
      <c r="AL741" s="39"/>
      <c r="AM741" s="39"/>
      <c r="AN741" s="39"/>
      <c r="AO741" s="39"/>
      <c r="AP741" s="39"/>
      <c r="AQ741" s="39"/>
      <c r="AR741" s="39"/>
      <c r="AS741" s="39"/>
      <c r="AT741" s="39"/>
      <c r="AU741" s="39"/>
      <c r="AV741" s="39"/>
      <c r="AW741" t="str" s="39" cm="1">
        <f t="array" ref="AW741">AF741&amp;"; "&amp;AG741&amp;"; "&amp;AH741&amp;"; "&amp;AI741&amp;"; "&amp;AJ741</f>
        <v>E6; D1; E1; I1; I5</v>
      </c>
    </row>
    <row r="742" ht="13.65" customHeight="1">
      <c r="A742" t="s" s="35">
        <v>5399</v>
      </c>
      <c r="B742" s="36">
        <v>10</v>
      </c>
      <c r="C742" t="s" s="35">
        <v>222</v>
      </c>
      <c r="D742" t="s" s="35">
        <v>4800</v>
      </c>
      <c r="E742" t="s" s="35">
        <v>4801</v>
      </c>
      <c r="F742" s="36">
        <v>118</v>
      </c>
      <c r="G742" t="s" s="35">
        <v>5374</v>
      </c>
      <c r="H742" t="s" s="35">
        <v>5400</v>
      </c>
      <c r="I742" t="s" s="120">
        <v>5401</v>
      </c>
      <c r="J742" t="s" s="35">
        <v>1301</v>
      </c>
      <c r="K742" t="s" s="35">
        <v>1363</v>
      </c>
      <c r="L742" s="39"/>
      <c r="M742" t="str" s="39">
        <v>Ondas y física atómica/nuclear</v>
      </c>
      <c r="N742" t="str" s="39">
        <v>Fenómenos ondulatorios</v>
      </c>
      <c r="O742" t="str" s="39" cm="1">
        <f t="array" ref="O742">IF(L742="","",_xlfn.IFERROR(INDEX('Datos - Catálogo TIMSS'!$C$5:$C$107,MATCH(L742,'Datos - Catálogo TIMSS'!$A$5:$A$107,0)),"?"))</f>
      </c>
      <c r="P742" t="s" s="35">
        <v>282</v>
      </c>
      <c r="Q742" t="s" s="120">
        <v>5402</v>
      </c>
      <c r="R742" t="s" s="120">
        <v>5403</v>
      </c>
      <c r="S742" s="121" cm="1">
        <f t="array" ref="S742">_xlfn.IFERROR(ISNUMBER(SEARCH("Conocer",$R742))/(ISNUMBER(SEARCH("Conocer",$R742))+ISNUMBER(SEARCH("Aplicar",$R742))+ISNUMBER(SEARCH("Razonar",$R742))),0)</f>
        <v>0.333333333333333</v>
      </c>
      <c r="T742" s="121" cm="1">
        <f t="array" ref="T742">_xlfn.IFERROR(ISNUMBER(SEARCH("Aplicar",$R742))/(ISNUMBER(SEARCH("Conocer",$R742))+ISNUMBER(SEARCH("Aplicar",$R742))+ISNUMBER(SEARCH("Razonar",$R742))),0)</f>
        <v>0.333333333333333</v>
      </c>
      <c r="U742" s="121" cm="1">
        <f t="array" ref="U742">_xlfn.IFERROR(ISNUMBER(SEARCH("Razonar",$R742))/(ISNUMBER(SEARCH("Conocer",$R742))+ISNUMBER(SEARCH("Aplicar",$R742))+ISNUMBER(SEARCH("Razonar",$R742))),0)</f>
        <v>0.333333333333333</v>
      </c>
      <c r="V742" t="s" s="35">
        <v>87</v>
      </c>
      <c r="W742" t="s" s="35">
        <v>119</v>
      </c>
      <c r="X742" s="36" cm="1">
        <f t="array" ref="X742">IF(OR(_xlfn.IFERROR(INDEX('Datos - Catálogo TIMSS'!$I$5:$I$107,MATCH(K742,'Datos - Catálogo TIMSS'!$A$5:$A$107,0)),"No")="Sí",_xlfn.IFERROR(INDEX('Datos - Catálogo TIMSS'!$I$5:$I$107,MATCH(L742,'Datos - Catálogo TIMSS'!$A$5:$A$107,0)),"No")="Sí"),1,0)</f>
        <v>0</v>
      </c>
      <c r="Y742" s="36" cm="1">
        <f t="array" ref="Y742">IF(_xlfn.IFERROR(INDEX('Datos - Catálogo TIMSS'!$J$5:$J$107,MATCH(K742,'Datos - Catálogo TIMSS'!$A$5:$A$107,0)),"No")="Sí",1,0)</f>
        <v>0</v>
      </c>
      <c r="Z742" s="36" cm="1">
        <f t="array" ref="Z742">IF(_xlfn.IFERROR(INDEX('Datos - Catálogo TIMSS'!$J$5:$J$107,MATCH(L742,'Datos - Catálogo TIMSS'!$A$5:$A$107,0)),"No")="Sí",1,0)</f>
        <v>0</v>
      </c>
      <c r="AA742" t="s" s="35">
        <v>1363</v>
      </c>
      <c r="AB742" s="39"/>
      <c r="AC742" t="str" s="39">
        <v>Ondas y física atómica/nuclear</v>
      </c>
      <c r="AD742" t="s" s="35">
        <v>1859</v>
      </c>
      <c r="AE742" t="str" s="39" cm="1">
        <f t="array" ref="AE742">IF(AD742="","",IF(LEFT(AD742,1)="1","C1",IF(LEFT(AD742,1)="2","C2",IF(LEFT(AD742,1)="3","C3",""))))</f>
        <v>C1</v>
      </c>
      <c r="AF742" t="s" s="35">
        <v>1602</v>
      </c>
      <c r="AG742" t="s" s="35">
        <v>1607</v>
      </c>
      <c r="AH742" t="s" s="35">
        <v>1609</v>
      </c>
      <c r="AI742" t="s" s="35">
        <v>1623</v>
      </c>
      <c r="AJ742" t="s" s="35">
        <v>1607</v>
      </c>
      <c r="AK742" s="39"/>
      <c r="AL742" s="39"/>
      <c r="AM742" s="39"/>
      <c r="AN742" s="39"/>
      <c r="AO742" s="39"/>
      <c r="AP742" s="39"/>
      <c r="AQ742" s="39"/>
      <c r="AR742" s="39"/>
      <c r="AS742" s="39"/>
      <c r="AT742" s="39"/>
      <c r="AU742" s="39"/>
      <c r="AV742" s="39"/>
      <c r="AW742" t="str" s="39" cm="1">
        <f t="array" ref="AW742">AF742&amp;"; "&amp;AG742&amp;"; "&amp;AH742&amp;"; "&amp;AI742&amp;"; "&amp;AJ742</f>
        <v>E1; E3; E4; D4; E3</v>
      </c>
    </row>
    <row r="743" ht="13.65" customHeight="1">
      <c r="A743" t="s" s="35">
        <v>5404</v>
      </c>
      <c r="B743" s="36">
        <v>10</v>
      </c>
      <c r="C743" t="s" s="35">
        <v>222</v>
      </c>
      <c r="D743" t="s" s="35">
        <v>4800</v>
      </c>
      <c r="E743" t="s" s="35">
        <v>4801</v>
      </c>
      <c r="F743" s="36">
        <v>119</v>
      </c>
      <c r="G743" t="s" s="35">
        <v>5374</v>
      </c>
      <c r="H743" t="s" s="35">
        <v>5400</v>
      </c>
      <c r="I743" t="s" s="120">
        <v>5405</v>
      </c>
      <c r="J743" t="s" s="35">
        <v>1301</v>
      </c>
      <c r="K743" t="s" s="35">
        <v>1363</v>
      </c>
      <c r="L743" s="39"/>
      <c r="M743" t="str" s="39">
        <v>Ondas y física atómica/nuclear</v>
      </c>
      <c r="N743" t="str" s="39">
        <v>Fenómenos ondulatorios</v>
      </c>
      <c r="O743" t="str" s="39" cm="1">
        <f t="array" ref="O743">IF(L743="","",_xlfn.IFERROR(INDEX('Datos - Catálogo TIMSS'!$C$5:$C$107,MATCH(L743,'Datos - Catálogo TIMSS'!$A$5:$A$107,0)),"?"))</f>
      </c>
      <c r="P743" t="s" s="35">
        <v>254</v>
      </c>
      <c r="Q743" t="s" s="120">
        <v>5406</v>
      </c>
      <c r="R743" t="s" s="120">
        <v>5407</v>
      </c>
      <c r="S743" s="121" cm="1">
        <f t="array" ref="S743">_xlfn.IFERROR(ISNUMBER(SEARCH("Conocer",$R743))/(ISNUMBER(SEARCH("Conocer",$R743))+ISNUMBER(SEARCH("Aplicar",$R743))+ISNUMBER(SEARCH("Razonar",$R743))),0)</f>
        <v>0</v>
      </c>
      <c r="T743" s="121" cm="1">
        <f t="array" ref="T743">_xlfn.IFERROR(ISNUMBER(SEARCH("Aplicar",$R743))/(ISNUMBER(SEARCH("Conocer",$R743))+ISNUMBER(SEARCH("Aplicar",$R743))+ISNUMBER(SEARCH("Razonar",$R743))),0)</f>
        <v>0.5</v>
      </c>
      <c r="U743" s="121" cm="1">
        <f t="array" ref="U743">_xlfn.IFERROR(ISNUMBER(SEARCH("Razonar",$R743))/(ISNUMBER(SEARCH("Conocer",$R743))+ISNUMBER(SEARCH("Aplicar",$R743))+ISNUMBER(SEARCH("Razonar",$R743))),0)</f>
        <v>0.5</v>
      </c>
      <c r="V743" t="s" s="35">
        <v>87</v>
      </c>
      <c r="W743" t="s" s="35">
        <v>119</v>
      </c>
      <c r="X743" s="36" cm="1">
        <f t="array" ref="X743">IF(OR(_xlfn.IFERROR(INDEX('Datos - Catálogo TIMSS'!$I$5:$I$107,MATCH(K743,'Datos - Catálogo TIMSS'!$A$5:$A$107,0)),"No")="Sí",_xlfn.IFERROR(INDEX('Datos - Catálogo TIMSS'!$I$5:$I$107,MATCH(L743,'Datos - Catálogo TIMSS'!$A$5:$A$107,0)),"No")="Sí"),1,0)</f>
        <v>0</v>
      </c>
      <c r="Y743" s="36" cm="1">
        <f t="array" ref="Y743">IF(_xlfn.IFERROR(INDEX('Datos - Catálogo TIMSS'!$J$5:$J$107,MATCH(K743,'Datos - Catálogo TIMSS'!$A$5:$A$107,0)),"No")="Sí",1,0)</f>
        <v>0</v>
      </c>
      <c r="Z743" s="36" cm="1">
        <f t="array" ref="Z743">IF(_xlfn.IFERROR(INDEX('Datos - Catálogo TIMSS'!$J$5:$J$107,MATCH(L743,'Datos - Catálogo TIMSS'!$A$5:$A$107,0)),"No")="Sí",1,0)</f>
        <v>0</v>
      </c>
      <c r="AA743" t="s" s="35">
        <v>1363</v>
      </c>
      <c r="AB743" s="39"/>
      <c r="AC743" t="str" s="39">
        <v>Ondas y física atómica/nuclear</v>
      </c>
      <c r="AD743" t="s" s="35">
        <v>1834</v>
      </c>
      <c r="AE743" t="str" s="39" cm="1">
        <f t="array" ref="AE743">IF(AD743="","",IF(LEFT(AD743,1)="1","C1",IF(LEFT(AD743,1)="2","C2",IF(LEFT(AD743,1)="3","C3",""))))</f>
        <v>C2</v>
      </c>
      <c r="AF743" t="s" s="35">
        <v>1602</v>
      </c>
      <c r="AG743" t="s" s="35">
        <v>1617</v>
      </c>
      <c r="AH743" t="s" s="35">
        <v>1605</v>
      </c>
      <c r="AI743" t="s" s="35">
        <v>1623</v>
      </c>
      <c r="AJ743" t="s" s="35">
        <v>1621</v>
      </c>
      <c r="AK743" s="39"/>
      <c r="AL743" s="39"/>
      <c r="AM743" s="39"/>
      <c r="AN743" s="39"/>
      <c r="AO743" s="39"/>
      <c r="AP743" s="39"/>
      <c r="AQ743" s="39"/>
      <c r="AR743" s="39"/>
      <c r="AS743" s="39"/>
      <c r="AT743" s="39"/>
      <c r="AU743" s="39"/>
      <c r="AV743" s="39"/>
      <c r="AW743" t="str" s="39" cm="1">
        <f t="array" ref="AW743">AF743&amp;"; "&amp;AG743&amp;"; "&amp;AH743&amp;"; "&amp;AI743&amp;"; "&amp;AJ743</f>
        <v>E1; D1; E2; D4; D3</v>
      </c>
    </row>
    <row r="744" ht="13.65" customHeight="1">
      <c r="A744" t="s" s="35">
        <v>5408</v>
      </c>
      <c r="B744" s="36">
        <v>10</v>
      </c>
      <c r="C744" t="s" s="35">
        <v>222</v>
      </c>
      <c r="D744" t="s" s="35">
        <v>4800</v>
      </c>
      <c r="E744" t="s" s="35">
        <v>4801</v>
      </c>
      <c r="F744" s="36">
        <v>120</v>
      </c>
      <c r="G744" t="s" s="35">
        <v>5374</v>
      </c>
      <c r="H744" t="s" s="35">
        <v>5400</v>
      </c>
      <c r="I744" t="s" s="120">
        <v>5409</v>
      </c>
      <c r="J744" t="s" s="35">
        <v>1301</v>
      </c>
      <c r="K744" t="s" s="35">
        <v>1363</v>
      </c>
      <c r="L744" s="39"/>
      <c r="M744" t="str" s="39">
        <v>Ondas y física atómica/nuclear</v>
      </c>
      <c r="N744" t="str" s="39">
        <v>Fenómenos ondulatorios</v>
      </c>
      <c r="O744" t="str" s="39" cm="1">
        <f t="array" ref="O744">IF(L744="","",_xlfn.IFERROR(INDEX('Datos - Catálogo TIMSS'!$C$5:$C$107,MATCH(L744,'Datos - Catálogo TIMSS'!$A$5:$A$107,0)),"?"))</f>
      </c>
      <c r="P744" t="s" s="35">
        <v>254</v>
      </c>
      <c r="Q744" t="s" s="120">
        <v>5410</v>
      </c>
      <c r="R744" t="s" s="120">
        <v>5411</v>
      </c>
      <c r="S744" s="121" cm="1">
        <f t="array" ref="S744">_xlfn.IFERROR(ISNUMBER(SEARCH("Conocer",$R744))/(ISNUMBER(SEARCH("Conocer",$R744))+ISNUMBER(SEARCH("Aplicar",$R744))+ISNUMBER(SEARCH("Razonar",$R744))),0)</f>
        <v>0</v>
      </c>
      <c r="T744" s="121" cm="1">
        <f t="array" ref="T744">_xlfn.IFERROR(ISNUMBER(SEARCH("Aplicar",$R744))/(ISNUMBER(SEARCH("Conocer",$R744))+ISNUMBER(SEARCH("Aplicar",$R744))+ISNUMBER(SEARCH("Razonar",$R744))),0)</f>
        <v>0.5</v>
      </c>
      <c r="U744" s="121" cm="1">
        <f t="array" ref="U744">_xlfn.IFERROR(ISNUMBER(SEARCH("Razonar",$R744))/(ISNUMBER(SEARCH("Conocer",$R744))+ISNUMBER(SEARCH("Aplicar",$R744))+ISNUMBER(SEARCH("Razonar",$R744))),0)</f>
        <v>0.5</v>
      </c>
      <c r="V744" t="s" s="35">
        <v>87</v>
      </c>
      <c r="W744" t="s" s="35">
        <v>119</v>
      </c>
      <c r="X744" s="36" cm="1">
        <f t="array" ref="X744">IF(OR(_xlfn.IFERROR(INDEX('Datos - Catálogo TIMSS'!$I$5:$I$107,MATCH(K744,'Datos - Catálogo TIMSS'!$A$5:$A$107,0)),"No")="Sí",_xlfn.IFERROR(INDEX('Datos - Catálogo TIMSS'!$I$5:$I$107,MATCH(L744,'Datos - Catálogo TIMSS'!$A$5:$A$107,0)),"No")="Sí"),1,0)</f>
        <v>0</v>
      </c>
      <c r="Y744" s="36" cm="1">
        <f t="array" ref="Y744">IF(_xlfn.IFERROR(INDEX('Datos - Catálogo TIMSS'!$J$5:$J$107,MATCH(K744,'Datos - Catálogo TIMSS'!$A$5:$A$107,0)),"No")="Sí",1,0)</f>
        <v>0</v>
      </c>
      <c r="Z744" s="36" cm="1">
        <f t="array" ref="Z744">IF(_xlfn.IFERROR(INDEX('Datos - Catálogo TIMSS'!$J$5:$J$107,MATCH(L744,'Datos - Catálogo TIMSS'!$A$5:$A$107,0)),"No")="Sí",1,0)</f>
        <v>0</v>
      </c>
      <c r="AA744" t="s" s="35">
        <v>1363</v>
      </c>
      <c r="AB744" s="39"/>
      <c r="AC744" t="str" s="39">
        <v>Ondas y física atómica/nuclear</v>
      </c>
      <c r="AD744" t="s" s="35">
        <v>1859</v>
      </c>
      <c r="AE744" t="str" s="39" cm="1">
        <f t="array" ref="AE744">IF(AD744="","",IF(LEFT(AD744,1)="1","C1",IF(LEFT(AD744,1)="2","C2",IF(LEFT(AD744,1)="3","C3",""))))</f>
        <v>C1</v>
      </c>
      <c r="AF744" t="s" s="35">
        <v>1602</v>
      </c>
      <c r="AG744" t="s" s="35">
        <v>1607</v>
      </c>
      <c r="AH744" t="s" s="35">
        <v>1602</v>
      </c>
      <c r="AI744" t="s" s="35">
        <v>1609</v>
      </c>
      <c r="AJ744" t="s" s="35">
        <v>1607</v>
      </c>
      <c r="AK744" s="39"/>
      <c r="AL744" s="39"/>
      <c r="AM744" s="39"/>
      <c r="AN744" s="39"/>
      <c r="AO744" s="39"/>
      <c r="AP744" s="39"/>
      <c r="AQ744" s="39"/>
      <c r="AR744" s="39"/>
      <c r="AS744" s="39"/>
      <c r="AT744" s="39"/>
      <c r="AU744" s="39"/>
      <c r="AV744" s="39"/>
      <c r="AW744" t="str" s="39" cm="1">
        <f t="array" ref="AW744">AF744&amp;"; "&amp;AG744&amp;"; "&amp;AH744&amp;"; "&amp;AI744&amp;"; "&amp;AJ744</f>
        <v>E1; E3; E1; E4; E3</v>
      </c>
    </row>
    <row r="745" ht="13.65" customHeight="1">
      <c r="A745" t="s" s="35">
        <v>5413</v>
      </c>
      <c r="B745" s="36">
        <v>10</v>
      </c>
      <c r="C745" t="s" s="35">
        <v>222</v>
      </c>
      <c r="D745" t="s" s="35">
        <v>4800</v>
      </c>
      <c r="E745" t="s" s="35">
        <v>4801</v>
      </c>
      <c r="F745" s="36">
        <v>121</v>
      </c>
      <c r="G745" t="s" s="35">
        <v>5374</v>
      </c>
      <c r="H745" t="s" s="35">
        <v>5400</v>
      </c>
      <c r="I745" t="s" s="120">
        <v>5414</v>
      </c>
      <c r="J745" t="s" s="35">
        <v>1301</v>
      </c>
      <c r="K745" t="s" s="35">
        <v>1363</v>
      </c>
      <c r="L745" s="39"/>
      <c r="M745" t="str" s="39">
        <v>Ondas y física atómica/nuclear</v>
      </c>
      <c r="N745" t="str" s="39">
        <v>Fenómenos ondulatorios</v>
      </c>
      <c r="O745" t="str" s="39" cm="1">
        <f t="array" ref="O745">IF(L745="","",_xlfn.IFERROR(INDEX('Datos - Catálogo TIMSS'!$C$5:$C$107,MATCH(L745,'Datos - Catálogo TIMSS'!$A$5:$A$107,0)),"?"))</f>
      </c>
      <c r="P745" t="s" s="35">
        <v>282</v>
      </c>
      <c r="Q745" t="s" s="120">
        <v>5415</v>
      </c>
      <c r="R745" t="s" s="120">
        <v>5416</v>
      </c>
      <c r="S745" s="121" cm="1">
        <f t="array" ref="S745">_xlfn.IFERROR(ISNUMBER(SEARCH("Conocer",$R745))/(ISNUMBER(SEARCH("Conocer",$R745))+ISNUMBER(SEARCH("Aplicar",$R745))+ISNUMBER(SEARCH("Razonar",$R745))),0)</f>
        <v>0.5</v>
      </c>
      <c r="T745" s="121" cm="1">
        <f t="array" ref="T745">_xlfn.IFERROR(ISNUMBER(SEARCH("Aplicar",$R745))/(ISNUMBER(SEARCH("Conocer",$R745))+ISNUMBER(SEARCH("Aplicar",$R745))+ISNUMBER(SEARCH("Razonar",$R745))),0)</f>
        <v>0</v>
      </c>
      <c r="U745" s="121" cm="1">
        <f t="array" ref="U745">_xlfn.IFERROR(ISNUMBER(SEARCH("Razonar",$R745))/(ISNUMBER(SEARCH("Conocer",$R745))+ISNUMBER(SEARCH("Aplicar",$R745))+ISNUMBER(SEARCH("Razonar",$R745))),0)</f>
        <v>0.5</v>
      </c>
      <c r="V745" t="s" s="35">
        <v>87</v>
      </c>
      <c r="W745" t="s" s="35">
        <v>119</v>
      </c>
      <c r="X745" s="36" cm="1">
        <f t="array" ref="X745">IF(OR(_xlfn.IFERROR(INDEX('Datos - Catálogo TIMSS'!$I$5:$I$107,MATCH(K745,'Datos - Catálogo TIMSS'!$A$5:$A$107,0)),"No")="Sí",_xlfn.IFERROR(INDEX('Datos - Catálogo TIMSS'!$I$5:$I$107,MATCH(L745,'Datos - Catálogo TIMSS'!$A$5:$A$107,0)),"No")="Sí"),1,0)</f>
        <v>0</v>
      </c>
      <c r="Y745" s="36" cm="1">
        <f t="array" ref="Y745">IF(_xlfn.IFERROR(INDEX('Datos - Catálogo TIMSS'!$J$5:$J$107,MATCH(K745,'Datos - Catálogo TIMSS'!$A$5:$A$107,0)),"No")="Sí",1,0)</f>
        <v>0</v>
      </c>
      <c r="Z745" s="36" cm="1">
        <f t="array" ref="Z745">IF(_xlfn.IFERROR(INDEX('Datos - Catálogo TIMSS'!$J$5:$J$107,MATCH(L745,'Datos - Catálogo TIMSS'!$A$5:$A$107,0)),"No")="Sí",1,0)</f>
        <v>0</v>
      </c>
      <c r="AA745" t="s" s="35">
        <v>1363</v>
      </c>
      <c r="AB745" s="39"/>
      <c r="AC745" t="str" s="39">
        <v>Ondas y física atómica/nuclear</v>
      </c>
      <c r="AD745" t="s" s="35">
        <v>1859</v>
      </c>
      <c r="AE745" t="str" s="39" cm="1">
        <f t="array" ref="AE745">IF(AD745="","",IF(LEFT(AD745,1)="1","C1",IF(LEFT(AD745,1)="2","C2",IF(LEFT(AD745,1)="3","C3",""))))</f>
        <v>C1</v>
      </c>
      <c r="AF745" t="s" s="35">
        <v>1602</v>
      </c>
      <c r="AG745" t="s" s="35">
        <v>1617</v>
      </c>
      <c r="AH745" t="s" s="35">
        <v>1605</v>
      </c>
      <c r="AI745" t="s" s="35">
        <v>1623</v>
      </c>
      <c r="AJ745" t="s" s="35">
        <v>1607</v>
      </c>
      <c r="AK745" s="39"/>
      <c r="AL745" s="39"/>
      <c r="AM745" s="39"/>
      <c r="AN745" s="39"/>
      <c r="AO745" s="39"/>
      <c r="AP745" s="39"/>
      <c r="AQ745" s="39"/>
      <c r="AR745" s="39"/>
      <c r="AS745" s="39"/>
      <c r="AT745" s="39"/>
      <c r="AU745" s="39"/>
      <c r="AV745" s="39"/>
      <c r="AW745" t="str" s="39" cm="1">
        <f t="array" ref="AW745">AF745&amp;"; "&amp;AG745&amp;"; "&amp;AH745&amp;"; "&amp;AI745&amp;"; "&amp;AJ745</f>
        <v>E1; D1; E2; D4; E3</v>
      </c>
    </row>
    <row r="746" ht="13.65" customHeight="1">
      <c r="A746" t="s" s="35">
        <v>5417</v>
      </c>
      <c r="B746" s="36">
        <v>10</v>
      </c>
      <c r="C746" t="s" s="35">
        <v>222</v>
      </c>
      <c r="D746" t="s" s="35">
        <v>4800</v>
      </c>
      <c r="E746" t="s" s="35">
        <v>4801</v>
      </c>
      <c r="F746" s="36">
        <v>122</v>
      </c>
      <c r="G746" t="s" s="35">
        <v>5374</v>
      </c>
      <c r="H746" t="s" s="35">
        <v>5400</v>
      </c>
      <c r="I746" t="s" s="120">
        <v>5418</v>
      </c>
      <c r="J746" t="s" s="35">
        <v>1301</v>
      </c>
      <c r="K746" t="s" s="35">
        <v>1363</v>
      </c>
      <c r="L746" s="39"/>
      <c r="M746" t="str" s="39">
        <v>Ondas y física atómica/nuclear</v>
      </c>
      <c r="N746" t="str" s="39">
        <v>Fenómenos ondulatorios</v>
      </c>
      <c r="O746" t="str" s="39" cm="1">
        <f t="array" ref="O746">IF(L746="","",_xlfn.IFERROR(INDEX('Datos - Catálogo TIMSS'!$C$5:$C$107,MATCH(L746,'Datos - Catálogo TIMSS'!$A$5:$A$107,0)),"?"))</f>
      </c>
      <c r="P746" t="s" s="35">
        <v>282</v>
      </c>
      <c r="Q746" t="s" s="120">
        <v>5419</v>
      </c>
      <c r="R746" t="s" s="120">
        <v>5420</v>
      </c>
      <c r="S746" s="121" cm="1">
        <f t="array" ref="S746">_xlfn.IFERROR(ISNUMBER(SEARCH("Conocer",$R746))/(ISNUMBER(SEARCH("Conocer",$R746))+ISNUMBER(SEARCH("Aplicar",$R746))+ISNUMBER(SEARCH("Razonar",$R746))),0)</f>
        <v>0</v>
      </c>
      <c r="T746" s="121" cm="1">
        <f t="array" ref="T746">_xlfn.IFERROR(ISNUMBER(SEARCH("Aplicar",$R746))/(ISNUMBER(SEARCH("Conocer",$R746))+ISNUMBER(SEARCH("Aplicar",$R746))+ISNUMBER(SEARCH("Razonar",$R746))),0)</f>
        <v>0.5</v>
      </c>
      <c r="U746" s="121" cm="1">
        <f t="array" ref="U746">_xlfn.IFERROR(ISNUMBER(SEARCH("Razonar",$R746))/(ISNUMBER(SEARCH("Conocer",$R746))+ISNUMBER(SEARCH("Aplicar",$R746))+ISNUMBER(SEARCH("Razonar",$R746))),0)</f>
        <v>0.5</v>
      </c>
      <c r="V746" t="s" s="35">
        <v>87</v>
      </c>
      <c r="W746" t="s" s="35">
        <v>119</v>
      </c>
      <c r="X746" s="36" cm="1">
        <f t="array" ref="X746">IF(OR(_xlfn.IFERROR(INDEX('Datos - Catálogo TIMSS'!$I$5:$I$107,MATCH(K746,'Datos - Catálogo TIMSS'!$A$5:$A$107,0)),"No")="Sí",_xlfn.IFERROR(INDEX('Datos - Catálogo TIMSS'!$I$5:$I$107,MATCH(L746,'Datos - Catálogo TIMSS'!$A$5:$A$107,0)),"No")="Sí"),1,0)</f>
        <v>0</v>
      </c>
      <c r="Y746" s="36" cm="1">
        <f t="array" ref="Y746">IF(_xlfn.IFERROR(INDEX('Datos - Catálogo TIMSS'!$J$5:$J$107,MATCH(K746,'Datos - Catálogo TIMSS'!$A$5:$A$107,0)),"No")="Sí",1,0)</f>
        <v>0</v>
      </c>
      <c r="Z746" s="36" cm="1">
        <f t="array" ref="Z746">IF(_xlfn.IFERROR(INDEX('Datos - Catálogo TIMSS'!$J$5:$J$107,MATCH(L746,'Datos - Catálogo TIMSS'!$A$5:$A$107,0)),"No")="Sí",1,0)</f>
        <v>0</v>
      </c>
      <c r="AA746" t="s" s="35">
        <v>1363</v>
      </c>
      <c r="AB746" s="39"/>
      <c r="AC746" t="str" s="39">
        <v>Ondas y física atómica/nuclear</v>
      </c>
      <c r="AD746" t="s" s="35">
        <v>1834</v>
      </c>
      <c r="AE746" t="str" s="39" cm="1">
        <f t="array" ref="AE746">IF(AD746="","",IF(LEFT(AD746,1)="1","C1",IF(LEFT(AD746,1)="2","C2",IF(LEFT(AD746,1)="3","C3",""))))</f>
        <v>C2</v>
      </c>
      <c r="AF746" t="s" s="35">
        <v>1602</v>
      </c>
      <c r="AG746" t="s" s="35">
        <v>1607</v>
      </c>
      <c r="AH746" t="s" s="35">
        <v>1605</v>
      </c>
      <c r="AI746" t="s" s="35">
        <v>1623</v>
      </c>
      <c r="AJ746" t="s" s="35">
        <v>1621</v>
      </c>
      <c r="AK746" s="39"/>
      <c r="AL746" s="39"/>
      <c r="AM746" s="39"/>
      <c r="AN746" s="39"/>
      <c r="AO746" s="39"/>
      <c r="AP746" s="39"/>
      <c r="AQ746" s="39"/>
      <c r="AR746" s="39"/>
      <c r="AS746" s="39"/>
      <c r="AT746" s="39"/>
      <c r="AU746" s="39"/>
      <c r="AV746" s="39"/>
      <c r="AW746" t="str" s="39" cm="1">
        <f t="array" ref="AW746">AF746&amp;"; "&amp;AG746&amp;"; "&amp;AH746&amp;"; "&amp;AI746&amp;"; "&amp;AJ746</f>
        <v>E1; E3; E2; D4; D3</v>
      </c>
    </row>
    <row r="747" ht="13.65" customHeight="1">
      <c r="A747" t="s" s="35">
        <v>5421</v>
      </c>
      <c r="B747" s="36">
        <v>10</v>
      </c>
      <c r="C747" t="s" s="35">
        <v>222</v>
      </c>
      <c r="D747" t="s" s="35">
        <v>4800</v>
      </c>
      <c r="E747" t="s" s="35">
        <v>4801</v>
      </c>
      <c r="F747" s="36">
        <v>123</v>
      </c>
      <c r="G747" t="s" s="35">
        <v>5374</v>
      </c>
      <c r="H747" t="s" s="35">
        <v>5400</v>
      </c>
      <c r="I747" t="s" s="120">
        <v>5422</v>
      </c>
      <c r="J747" t="s" s="35">
        <v>1301</v>
      </c>
      <c r="K747" t="s" s="35">
        <v>1363</v>
      </c>
      <c r="L747" s="39"/>
      <c r="M747" t="str" s="39">
        <v>Ondas y física atómica/nuclear</v>
      </c>
      <c r="N747" t="str" s="39">
        <v>Fenómenos ondulatorios</v>
      </c>
      <c r="O747" t="str" s="39" cm="1">
        <f t="array" ref="O747">IF(L747="","",_xlfn.IFERROR(INDEX('Datos - Catálogo TIMSS'!$C$5:$C$107,MATCH(L747,'Datos - Catálogo TIMSS'!$A$5:$A$107,0)),"?"))</f>
      </c>
      <c r="P747" t="s" s="35">
        <v>291</v>
      </c>
      <c r="Q747" t="s" s="120">
        <v>5423</v>
      </c>
      <c r="R747" t="s" s="120">
        <v>5424</v>
      </c>
      <c r="S747" s="121" cm="1">
        <f t="array" ref="S747">_xlfn.IFERROR(ISNUMBER(SEARCH("Conocer",$R747))/(ISNUMBER(SEARCH("Conocer",$R747))+ISNUMBER(SEARCH("Aplicar",$R747))+ISNUMBER(SEARCH("Razonar",$R747))),0)</f>
        <v>0</v>
      </c>
      <c r="T747" s="121" cm="1">
        <f t="array" ref="T747">_xlfn.IFERROR(ISNUMBER(SEARCH("Aplicar",$R747))/(ISNUMBER(SEARCH("Conocer",$R747))+ISNUMBER(SEARCH("Aplicar",$R747))+ISNUMBER(SEARCH("Razonar",$R747))),0)</f>
        <v>0.5</v>
      </c>
      <c r="U747" s="121" cm="1">
        <f t="array" ref="U747">_xlfn.IFERROR(ISNUMBER(SEARCH("Razonar",$R747))/(ISNUMBER(SEARCH("Conocer",$R747))+ISNUMBER(SEARCH("Aplicar",$R747))+ISNUMBER(SEARCH("Razonar",$R747))),0)</f>
        <v>0.5</v>
      </c>
      <c r="V747" t="s" s="35">
        <v>87</v>
      </c>
      <c r="W747" t="s" s="35">
        <v>119</v>
      </c>
      <c r="X747" s="36" cm="1">
        <f t="array" ref="X747">IF(OR(_xlfn.IFERROR(INDEX('Datos - Catálogo TIMSS'!$I$5:$I$107,MATCH(K747,'Datos - Catálogo TIMSS'!$A$5:$A$107,0)),"No")="Sí",_xlfn.IFERROR(INDEX('Datos - Catálogo TIMSS'!$I$5:$I$107,MATCH(L747,'Datos - Catálogo TIMSS'!$A$5:$A$107,0)),"No")="Sí"),1,0)</f>
        <v>0</v>
      </c>
      <c r="Y747" s="36" cm="1">
        <f t="array" ref="Y747">IF(_xlfn.IFERROR(INDEX('Datos - Catálogo TIMSS'!$J$5:$J$107,MATCH(K747,'Datos - Catálogo TIMSS'!$A$5:$A$107,0)),"No")="Sí",1,0)</f>
        <v>0</v>
      </c>
      <c r="Z747" s="36" cm="1">
        <f t="array" ref="Z747">IF(_xlfn.IFERROR(INDEX('Datos - Catálogo TIMSS'!$J$5:$J$107,MATCH(L747,'Datos - Catálogo TIMSS'!$A$5:$A$107,0)),"No")="Sí",1,0)</f>
        <v>0</v>
      </c>
      <c r="AA747" t="s" s="35">
        <v>1363</v>
      </c>
      <c r="AB747" s="39"/>
      <c r="AC747" t="str" s="39">
        <v>Ondas y física atómica/nuclear</v>
      </c>
      <c r="AD747" t="s" s="35">
        <v>1859</v>
      </c>
      <c r="AE747" t="str" s="39" cm="1">
        <f t="array" ref="AE747">IF(AD747="","",IF(LEFT(AD747,1)="1","C1",IF(LEFT(AD747,1)="2","C2",IF(LEFT(AD747,1)="3","C3",""))))</f>
        <v>C1</v>
      </c>
      <c r="AF747" t="s" s="35">
        <v>1615</v>
      </c>
      <c r="AG747" t="s" s="35">
        <v>1612</v>
      </c>
      <c r="AH747" t="s" s="35">
        <v>1609</v>
      </c>
      <c r="AI747" t="s" s="35">
        <v>1619</v>
      </c>
      <c r="AJ747" t="s" s="35">
        <v>1615</v>
      </c>
      <c r="AK747" s="39"/>
      <c r="AL747" s="39"/>
      <c r="AM747" s="39"/>
      <c r="AN747" s="39"/>
      <c r="AO747" s="39"/>
      <c r="AP747" s="39"/>
      <c r="AQ747" s="39"/>
      <c r="AR747" s="39"/>
      <c r="AS747" s="39"/>
      <c r="AT747" s="39"/>
      <c r="AU747" s="39"/>
      <c r="AV747" s="39"/>
      <c r="AW747" t="str" s="39" cm="1">
        <f t="array" ref="AW747">AF747&amp;"; "&amp;AG747&amp;"; "&amp;AH747&amp;"; "&amp;AI747&amp;"; "&amp;AJ747</f>
        <v>E6; E5; E4; D2; E6</v>
      </c>
    </row>
    <row r="748" ht="13.65" customHeight="1">
      <c r="A748" t="s" s="35">
        <v>5426</v>
      </c>
      <c r="B748" s="36">
        <v>11</v>
      </c>
      <c r="C748" t="s" s="35">
        <v>222</v>
      </c>
      <c r="D748" t="s" s="35">
        <v>4800</v>
      </c>
      <c r="E748" t="s" s="35">
        <v>5427</v>
      </c>
      <c r="F748" s="36">
        <v>3</v>
      </c>
      <c r="G748" t="s" s="35">
        <v>5428</v>
      </c>
      <c r="H748" t="s" s="35">
        <v>5429</v>
      </c>
      <c r="I748" t="s" s="120">
        <v>5430</v>
      </c>
      <c r="J748" t="s" s="35">
        <v>1301</v>
      </c>
      <c r="K748" t="s" s="35">
        <v>1306</v>
      </c>
      <c r="L748" s="39"/>
      <c r="M748" t="str" s="39">
        <v>Mecánica y termodinámica</v>
      </c>
      <c r="N748" t="str" s="39">
        <v>Fuerzas y movimiento</v>
      </c>
      <c r="O748" t="str" s="39" cm="1">
        <f t="array" ref="O748">IF(L748="","",_xlfn.IFERROR(INDEX('Datos - Catálogo TIMSS'!$C$5:$C$107,MATCH(L748,'Datos - Catálogo TIMSS'!$A$5:$A$107,0)),"?"))</f>
      </c>
      <c r="P748" t="s" s="35">
        <v>282</v>
      </c>
      <c r="Q748" t="s" s="120">
        <v>5431</v>
      </c>
      <c r="R748" t="s" s="120">
        <v>5432</v>
      </c>
      <c r="S748" s="121" cm="1">
        <f t="array" ref="S748">_xlfn.IFERROR(ISNUMBER(SEARCH("Conocer",$R748))/(ISNUMBER(SEARCH("Conocer",$R748))+ISNUMBER(SEARCH("Aplicar",$R748))+ISNUMBER(SEARCH("Razonar",$R748))),0)</f>
        <v>0</v>
      </c>
      <c r="T748" s="121" cm="1">
        <f t="array" ref="T748">_xlfn.IFERROR(ISNUMBER(SEARCH("Aplicar",$R748))/(ISNUMBER(SEARCH("Conocer",$R748))+ISNUMBER(SEARCH("Aplicar",$R748))+ISNUMBER(SEARCH("Razonar",$R748))),0)</f>
        <v>0.5</v>
      </c>
      <c r="U748" s="121" cm="1">
        <f t="array" ref="U748">_xlfn.IFERROR(ISNUMBER(SEARCH("Razonar",$R748))/(ISNUMBER(SEARCH("Conocer",$R748))+ISNUMBER(SEARCH("Aplicar",$R748))+ISNUMBER(SEARCH("Razonar",$R748))),0)</f>
        <v>0.5</v>
      </c>
      <c r="V748" t="s" s="35">
        <v>91</v>
      </c>
      <c r="W748" t="s" s="35">
        <v>119</v>
      </c>
      <c r="X748" s="36" cm="1">
        <f t="array" ref="X748">IF(OR(_xlfn.IFERROR(INDEX('Datos - Catálogo TIMSS'!$I$5:$I$107,MATCH(K748,'Datos - Catálogo TIMSS'!$A$5:$A$107,0)),"No")="Sí",_xlfn.IFERROR(INDEX('Datos - Catálogo TIMSS'!$I$5:$I$107,MATCH(L748,'Datos - Catálogo TIMSS'!$A$5:$A$107,0)),"No")="Sí"),1,0)</f>
        <v>0</v>
      </c>
      <c r="Y748" s="36" cm="1">
        <f t="array" ref="Y748">IF(_xlfn.IFERROR(INDEX('Datos - Catálogo TIMSS'!$J$5:$J$107,MATCH(K748,'Datos - Catálogo TIMSS'!$A$5:$A$107,0)),"No")="Sí",1,0)</f>
        <v>0</v>
      </c>
      <c r="Z748" s="36" cm="1">
        <f t="array" ref="Z748">IF(_xlfn.IFERROR(INDEX('Datos - Catálogo TIMSS'!$J$5:$J$107,MATCH(L748,'Datos - Catálogo TIMSS'!$A$5:$A$107,0)),"No")="Sí",1,0)</f>
        <v>0</v>
      </c>
      <c r="AA748" t="s" s="35">
        <v>1306</v>
      </c>
      <c r="AB748" s="39"/>
      <c r="AC748" t="str" s="39">
        <v>Mecánica y termodinámica</v>
      </c>
      <c r="AD748" t="s" s="35">
        <v>1859</v>
      </c>
      <c r="AE748" t="str" s="39" cm="1">
        <f t="array" ref="AE748">IF(AD748="","",IF(LEFT(AD748,1)="1","C1",IF(LEFT(AD748,1)="2","C2",IF(LEFT(AD748,1)="3","C3",""))))</f>
        <v>C1</v>
      </c>
      <c r="AF748" t="s" s="35">
        <v>1602</v>
      </c>
      <c r="AG748" t="s" s="35">
        <v>1607</v>
      </c>
      <c r="AH748" t="s" s="35">
        <v>1605</v>
      </c>
      <c r="AI748" t="s" s="35">
        <v>1623</v>
      </c>
      <c r="AJ748" t="s" s="35">
        <v>1607</v>
      </c>
      <c r="AK748" s="39"/>
      <c r="AL748" s="39"/>
      <c r="AM748" s="39"/>
      <c r="AN748" s="39"/>
      <c r="AO748" s="39"/>
      <c r="AP748" s="39"/>
      <c r="AQ748" s="39"/>
      <c r="AR748" s="39"/>
      <c r="AS748" s="39"/>
      <c r="AT748" s="39"/>
      <c r="AU748" s="39"/>
      <c r="AV748" s="39"/>
      <c r="AW748" t="str" s="39" cm="1">
        <f t="array" ref="AW748">AF748&amp;"; "&amp;AG748&amp;"; "&amp;AH748&amp;"; "&amp;AI748&amp;"; "&amp;AJ748</f>
        <v>E1; E3; E2; D4; E3</v>
      </c>
    </row>
    <row r="749" ht="13.65" customHeight="1">
      <c r="A749" t="s" s="35">
        <v>5433</v>
      </c>
      <c r="B749" s="36">
        <v>11</v>
      </c>
      <c r="C749" t="s" s="35">
        <v>222</v>
      </c>
      <c r="D749" t="s" s="35">
        <v>4800</v>
      </c>
      <c r="E749" t="s" s="35">
        <v>5427</v>
      </c>
      <c r="F749" s="36">
        <v>4</v>
      </c>
      <c r="G749" t="s" s="35">
        <v>5428</v>
      </c>
      <c r="H749" t="s" s="35">
        <v>5429</v>
      </c>
      <c r="I749" t="s" s="120">
        <v>5434</v>
      </c>
      <c r="J749" t="s" s="35">
        <v>1301</v>
      </c>
      <c r="K749" t="s" s="35">
        <v>1832</v>
      </c>
      <c r="L749" s="39"/>
      <c r="M749" t="str" s="39">
        <v>Fuera del marco</v>
      </c>
      <c r="N749" t="str" s="39">
        <v>Fuera del marco</v>
      </c>
      <c r="O749" t="str" s="39" cm="1">
        <f t="array" ref="O749">IF(L749="","",_xlfn.IFERROR(INDEX('Datos - Catálogo TIMSS'!$C$5:$C$107,MATCH(L749,'Datos - Catálogo TIMSS'!$A$5:$A$107,0)),"?"))</f>
      </c>
      <c r="P749" t="s" s="35">
        <v>282</v>
      </c>
      <c r="Q749" t="s" s="120">
        <v>5435</v>
      </c>
      <c r="R749" t="s" s="120">
        <v>5436</v>
      </c>
      <c r="S749" s="121" cm="1">
        <f t="array" ref="S749">_xlfn.IFERROR(ISNUMBER(SEARCH("Conocer",$R749))/(ISNUMBER(SEARCH("Conocer",$R749))+ISNUMBER(SEARCH("Aplicar",$R749))+ISNUMBER(SEARCH("Razonar",$R749))),0)</f>
        <v>0</v>
      </c>
      <c r="T749" s="121" cm="1">
        <f t="array" ref="T749">_xlfn.IFERROR(ISNUMBER(SEARCH("Aplicar",$R749))/(ISNUMBER(SEARCH("Conocer",$R749))+ISNUMBER(SEARCH("Aplicar",$R749))+ISNUMBER(SEARCH("Razonar",$R749))),0)</f>
        <v>0.5</v>
      </c>
      <c r="U749" s="121" cm="1">
        <f t="array" ref="U749">_xlfn.IFERROR(ISNUMBER(SEARCH("Razonar",$R749))/(ISNUMBER(SEARCH("Conocer",$R749))+ISNUMBER(SEARCH("Aplicar",$R749))+ISNUMBER(SEARCH("Razonar",$R749))),0)</f>
        <v>0.5</v>
      </c>
      <c r="V749" t="s" s="35">
        <v>91</v>
      </c>
      <c r="W749" t="s" s="35">
        <v>119</v>
      </c>
      <c r="X749" s="36" cm="1">
        <f t="array" ref="X749">IF(OR(_xlfn.IFERROR(INDEX('Datos - Catálogo TIMSS'!$I$5:$I$107,MATCH(K749,'Datos - Catálogo TIMSS'!$A$5:$A$107,0)),"No")="Sí",_xlfn.IFERROR(INDEX('Datos - Catálogo TIMSS'!$I$5:$I$107,MATCH(L749,'Datos - Catálogo TIMSS'!$A$5:$A$107,0)),"No")="Sí"),1,0)</f>
        <v>0</v>
      </c>
      <c r="Y749" s="36" cm="1">
        <f t="array" ref="Y749">IF(_xlfn.IFERROR(INDEX('Datos - Catálogo TIMSS'!$J$5:$J$107,MATCH(K749,'Datos - Catálogo TIMSS'!$A$5:$A$107,0)),"No")="Sí",1,0)</f>
        <v>0</v>
      </c>
      <c r="Z749" s="36" cm="1">
        <f t="array" ref="Z749">IF(_xlfn.IFERROR(INDEX('Datos - Catálogo TIMSS'!$J$5:$J$107,MATCH(L749,'Datos - Catálogo TIMSS'!$A$5:$A$107,0)),"No")="Sí",1,0)</f>
        <v>0</v>
      </c>
      <c r="AA749" t="s" s="35">
        <v>1832</v>
      </c>
      <c r="AB749" s="39"/>
      <c r="AC749" t="str" s="39">
        <v>Fuera del marco</v>
      </c>
      <c r="AD749" t="s" s="35">
        <v>1859</v>
      </c>
      <c r="AE749" t="str" s="39" cm="1">
        <f t="array" ref="AE749">IF(AD749="","",IF(LEFT(AD749,1)="1","C1",IF(LEFT(AD749,1)="2","C2",IF(LEFT(AD749,1)="3","C3",""))))</f>
        <v>C1</v>
      </c>
      <c r="AF749" t="s" s="35">
        <v>1602</v>
      </c>
      <c r="AG749" t="s" s="35">
        <v>1617</v>
      </c>
      <c r="AH749" t="s" s="35">
        <v>1605</v>
      </c>
      <c r="AI749" t="s" s="35">
        <v>1609</v>
      </c>
      <c r="AJ749" t="s" s="35">
        <v>1607</v>
      </c>
      <c r="AK749" s="39"/>
      <c r="AL749" s="39"/>
      <c r="AM749" s="39"/>
      <c r="AN749" s="39"/>
      <c r="AO749" s="39"/>
      <c r="AP749" s="39"/>
      <c r="AQ749" s="39"/>
      <c r="AR749" s="39"/>
      <c r="AS749" s="39"/>
      <c r="AT749" s="39"/>
      <c r="AU749" s="39"/>
      <c r="AV749" s="39"/>
      <c r="AW749" t="str" s="39" cm="1">
        <f t="array" ref="AW749">AF749&amp;"; "&amp;AG749&amp;"; "&amp;AH749&amp;"; "&amp;AI749&amp;"; "&amp;AJ749</f>
        <v>E1; D1; E2; E4; E3</v>
      </c>
    </row>
    <row r="750" ht="13.65" customHeight="1">
      <c r="A750" t="s" s="35">
        <v>5437</v>
      </c>
      <c r="B750" s="36">
        <v>11</v>
      </c>
      <c r="C750" t="s" s="35">
        <v>222</v>
      </c>
      <c r="D750" t="s" s="35">
        <v>4800</v>
      </c>
      <c r="E750" t="s" s="35">
        <v>5427</v>
      </c>
      <c r="F750" s="36">
        <v>5</v>
      </c>
      <c r="G750" t="s" s="35">
        <v>5428</v>
      </c>
      <c r="H750" t="s" s="35">
        <v>5438</v>
      </c>
      <c r="I750" t="s" s="120">
        <v>5439</v>
      </c>
      <c r="J750" t="s" s="35">
        <v>1301</v>
      </c>
      <c r="K750" t="s" s="35">
        <v>1315</v>
      </c>
      <c r="L750" s="39"/>
      <c r="M750" t="str" s="39">
        <v>Mecánica y termodinámica</v>
      </c>
      <c r="N750" t="str" s="39">
        <v>Leyes de conservación</v>
      </c>
      <c r="O750" t="str" s="39" cm="1">
        <f t="array" ref="O750">IF(L750="","",_xlfn.IFERROR(INDEX('Datos - Catálogo TIMSS'!$C$5:$C$107,MATCH(L750,'Datos - Catálogo TIMSS'!$A$5:$A$107,0)),"?"))</f>
      </c>
      <c r="P750" t="s" s="35">
        <v>254</v>
      </c>
      <c r="Q750" t="s" s="120">
        <v>5440</v>
      </c>
      <c r="R750" t="s" s="120">
        <v>5441</v>
      </c>
      <c r="S750" s="121" cm="1">
        <f t="array" ref="S750">_xlfn.IFERROR(ISNUMBER(SEARCH("Conocer",$R750))/(ISNUMBER(SEARCH("Conocer",$R750))+ISNUMBER(SEARCH("Aplicar",$R750))+ISNUMBER(SEARCH("Razonar",$R750))),0)</f>
        <v>0</v>
      </c>
      <c r="T750" s="121" cm="1">
        <f t="array" ref="T750">_xlfn.IFERROR(ISNUMBER(SEARCH("Aplicar",$R750))/(ISNUMBER(SEARCH("Conocer",$R750))+ISNUMBER(SEARCH("Aplicar",$R750))+ISNUMBER(SEARCH("Razonar",$R750))),0)</f>
        <v>0.5</v>
      </c>
      <c r="U750" s="121" cm="1">
        <f t="array" ref="U750">_xlfn.IFERROR(ISNUMBER(SEARCH("Razonar",$R750))/(ISNUMBER(SEARCH("Conocer",$R750))+ISNUMBER(SEARCH("Aplicar",$R750))+ISNUMBER(SEARCH("Razonar",$R750))),0)</f>
        <v>0.5</v>
      </c>
      <c r="V750" t="s" s="35">
        <v>91</v>
      </c>
      <c r="W750" t="s" s="35">
        <v>119</v>
      </c>
      <c r="X750" s="36" cm="1">
        <f t="array" ref="X750">IF(OR(_xlfn.IFERROR(INDEX('Datos - Catálogo TIMSS'!$I$5:$I$107,MATCH(K750,'Datos - Catálogo TIMSS'!$A$5:$A$107,0)),"No")="Sí",_xlfn.IFERROR(INDEX('Datos - Catálogo TIMSS'!$I$5:$I$107,MATCH(L750,'Datos - Catálogo TIMSS'!$A$5:$A$107,0)),"No")="Sí"),1,0)</f>
        <v>0</v>
      </c>
      <c r="Y750" s="36" cm="1">
        <f t="array" ref="Y750">IF(_xlfn.IFERROR(INDEX('Datos - Catálogo TIMSS'!$J$5:$J$107,MATCH(K750,'Datos - Catálogo TIMSS'!$A$5:$A$107,0)),"No")="Sí",1,0)</f>
        <v>0</v>
      </c>
      <c r="Z750" s="36" cm="1">
        <f t="array" ref="Z750">IF(_xlfn.IFERROR(INDEX('Datos - Catálogo TIMSS'!$J$5:$J$107,MATCH(L750,'Datos - Catálogo TIMSS'!$A$5:$A$107,0)),"No")="Sí",1,0)</f>
        <v>0</v>
      </c>
      <c r="AA750" t="s" s="35">
        <v>1315</v>
      </c>
      <c r="AB750" s="39"/>
      <c r="AC750" t="str" s="39">
        <v>Mecánica y termodinámica</v>
      </c>
      <c r="AD750" t="s" s="35">
        <v>1859</v>
      </c>
      <c r="AE750" t="str" s="39" cm="1">
        <f t="array" ref="AE750">IF(AD750="","",IF(LEFT(AD750,1)="1","C1",IF(LEFT(AD750,1)="2","C2",IF(LEFT(AD750,1)="3","C3",""))))</f>
        <v>C1</v>
      </c>
      <c r="AF750" t="s" s="35">
        <v>1602</v>
      </c>
      <c r="AG750" t="s" s="35">
        <v>1612</v>
      </c>
      <c r="AH750" t="s" s="35">
        <v>1602</v>
      </c>
      <c r="AI750" t="s" s="35">
        <v>1623</v>
      </c>
      <c r="AJ750" t="s" s="35">
        <v>1615</v>
      </c>
      <c r="AK750" s="39"/>
      <c r="AL750" s="39"/>
      <c r="AM750" s="39"/>
      <c r="AN750" s="39"/>
      <c r="AO750" s="39"/>
      <c r="AP750" s="39"/>
      <c r="AQ750" s="39"/>
      <c r="AR750" s="39"/>
      <c r="AS750" s="39"/>
      <c r="AT750" s="39"/>
      <c r="AU750" s="39"/>
      <c r="AV750" s="39"/>
      <c r="AW750" t="str" s="39" cm="1">
        <f t="array" ref="AW750">AF750&amp;"; "&amp;AG750&amp;"; "&amp;AH750&amp;"; "&amp;AI750&amp;"; "&amp;AJ750</f>
        <v>E1; E5; E1; D4; E6</v>
      </c>
    </row>
    <row r="751" ht="13.65" customHeight="1">
      <c r="A751" t="s" s="35">
        <v>5442</v>
      </c>
      <c r="B751" s="36">
        <v>11</v>
      </c>
      <c r="C751" t="s" s="35">
        <v>222</v>
      </c>
      <c r="D751" t="s" s="35">
        <v>4800</v>
      </c>
      <c r="E751" t="s" s="35">
        <v>5427</v>
      </c>
      <c r="F751" s="36">
        <v>6</v>
      </c>
      <c r="G751" t="s" s="35">
        <v>5428</v>
      </c>
      <c r="H751" t="s" s="35">
        <v>5443</v>
      </c>
      <c r="I751" t="s" s="120">
        <v>5444</v>
      </c>
      <c r="J751" t="s" s="35">
        <v>1301</v>
      </c>
      <c r="K751" t="s" s="35">
        <v>1832</v>
      </c>
      <c r="L751" s="39"/>
      <c r="M751" t="str" s="39">
        <v>Fuera del marco</v>
      </c>
      <c r="N751" t="str" s="39">
        <v>Fuera del marco</v>
      </c>
      <c r="O751" t="str" s="39" cm="1">
        <f t="array" ref="O751">IF(L751="","",_xlfn.IFERROR(INDEX('Datos - Catálogo TIMSS'!$C$5:$C$107,MATCH(L751,'Datos - Catálogo TIMSS'!$A$5:$A$107,0)),"?"))</f>
      </c>
      <c r="P751" t="s" s="35">
        <v>291</v>
      </c>
      <c r="Q751" t="s" s="120">
        <v>5445</v>
      </c>
      <c r="R751" t="s" s="120">
        <v>5446</v>
      </c>
      <c r="S751" s="121" cm="1">
        <f t="array" ref="S751">_xlfn.IFERROR(ISNUMBER(SEARCH("Conocer",$R751))/(ISNUMBER(SEARCH("Conocer",$R751))+ISNUMBER(SEARCH("Aplicar",$R751))+ISNUMBER(SEARCH("Razonar",$R751))),0)</f>
        <v>0</v>
      </c>
      <c r="T751" s="121" cm="1">
        <f t="array" ref="T751">_xlfn.IFERROR(ISNUMBER(SEARCH("Aplicar",$R751))/(ISNUMBER(SEARCH("Conocer",$R751))+ISNUMBER(SEARCH("Aplicar",$R751))+ISNUMBER(SEARCH("Razonar",$R751))),0)</f>
        <v>0.5</v>
      </c>
      <c r="U751" s="121" cm="1">
        <f t="array" ref="U751">_xlfn.IFERROR(ISNUMBER(SEARCH("Razonar",$R751))/(ISNUMBER(SEARCH("Conocer",$R751))+ISNUMBER(SEARCH("Aplicar",$R751))+ISNUMBER(SEARCH("Razonar",$R751))),0)</f>
        <v>0.5</v>
      </c>
      <c r="V751" t="s" s="35">
        <v>91</v>
      </c>
      <c r="W751" t="s" s="35">
        <v>119</v>
      </c>
      <c r="X751" s="36" cm="1">
        <f t="array" ref="X751">IF(OR(_xlfn.IFERROR(INDEX('Datos - Catálogo TIMSS'!$I$5:$I$107,MATCH(K751,'Datos - Catálogo TIMSS'!$A$5:$A$107,0)),"No")="Sí",_xlfn.IFERROR(INDEX('Datos - Catálogo TIMSS'!$I$5:$I$107,MATCH(L751,'Datos - Catálogo TIMSS'!$A$5:$A$107,0)),"No")="Sí"),1,0)</f>
        <v>0</v>
      </c>
      <c r="Y751" s="36" cm="1">
        <f t="array" ref="Y751">IF(_xlfn.IFERROR(INDEX('Datos - Catálogo TIMSS'!$J$5:$J$107,MATCH(K751,'Datos - Catálogo TIMSS'!$A$5:$A$107,0)),"No")="Sí",1,0)</f>
        <v>0</v>
      </c>
      <c r="Z751" s="36" cm="1">
        <f t="array" ref="Z751">IF(_xlfn.IFERROR(INDEX('Datos - Catálogo TIMSS'!$J$5:$J$107,MATCH(L751,'Datos - Catálogo TIMSS'!$A$5:$A$107,0)),"No")="Sí",1,0)</f>
        <v>0</v>
      </c>
      <c r="AA751" t="s" s="35">
        <v>1832</v>
      </c>
      <c r="AB751" s="39"/>
      <c r="AC751" t="str" s="39">
        <v>Fuera del marco</v>
      </c>
      <c r="AD751" t="s" s="35">
        <v>1834</v>
      </c>
      <c r="AE751" t="str" s="39" cm="1">
        <f t="array" ref="AE751">IF(AD751="","",IF(LEFT(AD751,1)="1","C1",IF(LEFT(AD751,1)="2","C2",IF(LEFT(AD751,1)="3","C3",""))))</f>
        <v>C2</v>
      </c>
      <c r="AF751" t="s" s="35">
        <v>1602</v>
      </c>
      <c r="AG751" t="s" s="35">
        <v>1617</v>
      </c>
      <c r="AH751" t="s" s="35">
        <v>1605</v>
      </c>
      <c r="AI751" t="s" s="35">
        <v>1619</v>
      </c>
      <c r="AJ751" t="s" s="35">
        <v>1621</v>
      </c>
      <c r="AK751" s="39"/>
      <c r="AL751" s="39"/>
      <c r="AM751" s="39"/>
      <c r="AN751" s="39"/>
      <c r="AO751" s="39"/>
      <c r="AP751" s="39"/>
      <c r="AQ751" s="39"/>
      <c r="AR751" s="39"/>
      <c r="AS751" s="39"/>
      <c r="AT751" s="39"/>
      <c r="AU751" s="39"/>
      <c r="AV751" s="39"/>
      <c r="AW751" t="str" s="39" cm="1">
        <f t="array" ref="AW751">AF751&amp;"; "&amp;AG751&amp;"; "&amp;AH751&amp;"; "&amp;AI751&amp;"; "&amp;AJ751</f>
        <v>E1; D1; E2; D2; D3</v>
      </c>
    </row>
    <row r="752" ht="13.65" customHeight="1">
      <c r="A752" t="s" s="35">
        <v>5447</v>
      </c>
      <c r="B752" s="36">
        <v>11</v>
      </c>
      <c r="C752" t="s" s="35">
        <v>222</v>
      </c>
      <c r="D752" t="s" s="35">
        <v>4800</v>
      </c>
      <c r="E752" t="s" s="35">
        <v>5427</v>
      </c>
      <c r="F752" s="36">
        <v>7</v>
      </c>
      <c r="G752" t="s" s="35">
        <v>5428</v>
      </c>
      <c r="H752" t="s" s="35">
        <v>5448</v>
      </c>
      <c r="I752" t="s" s="120">
        <v>5449</v>
      </c>
      <c r="J752" t="s" s="35">
        <v>1301</v>
      </c>
      <c r="K752" t="s" s="35">
        <v>1832</v>
      </c>
      <c r="L752" s="39"/>
      <c r="M752" t="str" s="39">
        <v>Fuera del marco</v>
      </c>
      <c r="N752" t="str" s="39">
        <v>Fuera del marco</v>
      </c>
      <c r="O752" t="str" s="39" cm="1">
        <f t="array" ref="O752">IF(L752="","",_xlfn.IFERROR(INDEX('Datos - Catálogo TIMSS'!$C$5:$C$107,MATCH(L752,'Datos - Catálogo TIMSS'!$A$5:$A$107,0)),"?"))</f>
      </c>
      <c r="P752" t="s" s="35">
        <v>254</v>
      </c>
      <c r="Q752" t="s" s="120">
        <v>5450</v>
      </c>
      <c r="R752" t="s" s="120">
        <v>5451</v>
      </c>
      <c r="S752" s="121" cm="1">
        <f t="array" ref="S752">_xlfn.IFERROR(ISNUMBER(SEARCH("Conocer",$R752))/(ISNUMBER(SEARCH("Conocer",$R752))+ISNUMBER(SEARCH("Aplicar",$R752))+ISNUMBER(SEARCH("Razonar",$R752))),0)</f>
        <v>0</v>
      </c>
      <c r="T752" s="121" cm="1">
        <f t="array" ref="T752">_xlfn.IFERROR(ISNUMBER(SEARCH("Aplicar",$R752))/(ISNUMBER(SEARCH("Conocer",$R752))+ISNUMBER(SEARCH("Aplicar",$R752))+ISNUMBER(SEARCH("Razonar",$R752))),0)</f>
        <v>0.5</v>
      </c>
      <c r="U752" s="121" cm="1">
        <f t="array" ref="U752">_xlfn.IFERROR(ISNUMBER(SEARCH("Razonar",$R752))/(ISNUMBER(SEARCH("Conocer",$R752))+ISNUMBER(SEARCH("Aplicar",$R752))+ISNUMBER(SEARCH("Razonar",$R752))),0)</f>
        <v>0.5</v>
      </c>
      <c r="V752" t="s" s="35">
        <v>91</v>
      </c>
      <c r="W752" t="s" s="35">
        <v>119</v>
      </c>
      <c r="X752" s="36" cm="1">
        <f t="array" ref="X752">IF(OR(_xlfn.IFERROR(INDEX('Datos - Catálogo TIMSS'!$I$5:$I$107,MATCH(K752,'Datos - Catálogo TIMSS'!$A$5:$A$107,0)),"No")="Sí",_xlfn.IFERROR(INDEX('Datos - Catálogo TIMSS'!$I$5:$I$107,MATCH(L752,'Datos - Catálogo TIMSS'!$A$5:$A$107,0)),"No")="Sí"),1,0)</f>
        <v>0</v>
      </c>
      <c r="Y752" s="36" cm="1">
        <f t="array" ref="Y752">IF(_xlfn.IFERROR(INDEX('Datos - Catálogo TIMSS'!$J$5:$J$107,MATCH(K752,'Datos - Catálogo TIMSS'!$A$5:$A$107,0)),"No")="Sí",1,0)</f>
        <v>0</v>
      </c>
      <c r="Z752" s="36" cm="1">
        <f t="array" ref="Z752">IF(_xlfn.IFERROR(INDEX('Datos - Catálogo TIMSS'!$J$5:$J$107,MATCH(L752,'Datos - Catálogo TIMSS'!$A$5:$A$107,0)),"No")="Sí",1,0)</f>
        <v>0</v>
      </c>
      <c r="AA752" t="s" s="35">
        <v>1832</v>
      </c>
      <c r="AB752" s="39"/>
      <c r="AC752" t="str" s="39">
        <v>Fuera del marco</v>
      </c>
      <c r="AD752" t="s" s="35">
        <v>1834</v>
      </c>
      <c r="AE752" t="str" s="39" cm="1">
        <f t="array" ref="AE752">IF(AD752="","",IF(LEFT(AD752,1)="1","C1",IF(LEFT(AD752,1)="2","C2",IF(LEFT(AD752,1)="3","C3",""))))</f>
        <v>C2</v>
      </c>
      <c r="AF752" t="s" s="35">
        <v>1615</v>
      </c>
      <c r="AG752" t="s" s="35">
        <v>1612</v>
      </c>
      <c r="AH752" t="s" s="35">
        <v>1605</v>
      </c>
      <c r="AI752" t="s" s="35">
        <v>1623</v>
      </c>
      <c r="AJ752" t="s" s="35">
        <v>1633</v>
      </c>
      <c r="AK752" s="39"/>
      <c r="AL752" s="39"/>
      <c r="AM752" s="39"/>
      <c r="AN752" s="39"/>
      <c r="AO752" s="39"/>
      <c r="AP752" s="39"/>
      <c r="AQ752" s="39"/>
      <c r="AR752" s="39"/>
      <c r="AS752" s="39"/>
      <c r="AT752" s="39"/>
      <c r="AU752" s="39"/>
      <c r="AV752" s="39"/>
      <c r="AW752" t="str" s="39" cm="1">
        <f t="array" ref="AW752">AF752&amp;"; "&amp;AG752&amp;"; "&amp;AH752&amp;"; "&amp;AI752&amp;"; "&amp;AJ752</f>
        <v>E6; E5; E2; D4; I5</v>
      </c>
    </row>
    <row r="753" ht="13.65" customHeight="1">
      <c r="A753" t="s" s="35">
        <v>5453</v>
      </c>
      <c r="B753" s="36">
        <v>11</v>
      </c>
      <c r="C753" t="s" s="35">
        <v>222</v>
      </c>
      <c r="D753" t="s" s="35">
        <v>4800</v>
      </c>
      <c r="E753" t="s" s="35">
        <v>5427</v>
      </c>
      <c r="F753" s="36">
        <v>8</v>
      </c>
      <c r="G753" t="s" s="35">
        <v>5428</v>
      </c>
      <c r="H753" t="s" s="35">
        <v>5448</v>
      </c>
      <c r="I753" t="s" s="120">
        <v>5454</v>
      </c>
      <c r="J753" t="s" s="35">
        <v>1301</v>
      </c>
      <c r="K753" t="s" s="35">
        <v>1832</v>
      </c>
      <c r="L753" s="39"/>
      <c r="M753" t="str" s="39">
        <v>Fuera del marco</v>
      </c>
      <c r="N753" t="str" s="39">
        <v>Fuera del marco</v>
      </c>
      <c r="O753" t="str" s="39" cm="1">
        <f t="array" ref="O753">IF(L753="","",_xlfn.IFERROR(INDEX('Datos - Catálogo TIMSS'!$C$5:$C$107,MATCH(L753,'Datos - Catálogo TIMSS'!$A$5:$A$107,0)),"?"))</f>
      </c>
      <c r="P753" t="s" s="35">
        <v>282</v>
      </c>
      <c r="Q753" t="s" s="120">
        <v>5455</v>
      </c>
      <c r="R753" t="s" s="120">
        <v>5456</v>
      </c>
      <c r="S753" s="121" cm="1">
        <f t="array" ref="S753">_xlfn.IFERROR(ISNUMBER(SEARCH("Conocer",$R753))/(ISNUMBER(SEARCH("Conocer",$R753))+ISNUMBER(SEARCH("Aplicar",$R753))+ISNUMBER(SEARCH("Razonar",$R753))),0)</f>
        <v>0.5</v>
      </c>
      <c r="T753" s="121" cm="1">
        <f t="array" ref="T753">_xlfn.IFERROR(ISNUMBER(SEARCH("Aplicar",$R753))/(ISNUMBER(SEARCH("Conocer",$R753))+ISNUMBER(SEARCH("Aplicar",$R753))+ISNUMBER(SEARCH("Razonar",$R753))),0)</f>
        <v>0</v>
      </c>
      <c r="U753" s="121" cm="1">
        <f t="array" ref="U753">_xlfn.IFERROR(ISNUMBER(SEARCH("Razonar",$R753))/(ISNUMBER(SEARCH("Conocer",$R753))+ISNUMBER(SEARCH("Aplicar",$R753))+ISNUMBER(SEARCH("Razonar",$R753))),0)</f>
        <v>0.5</v>
      </c>
      <c r="V753" t="s" s="35">
        <v>91</v>
      </c>
      <c r="W753" t="s" s="35">
        <v>119</v>
      </c>
      <c r="X753" s="36" cm="1">
        <f t="array" ref="X753">IF(OR(_xlfn.IFERROR(INDEX('Datos - Catálogo TIMSS'!$I$5:$I$107,MATCH(K753,'Datos - Catálogo TIMSS'!$A$5:$A$107,0)),"No")="Sí",_xlfn.IFERROR(INDEX('Datos - Catálogo TIMSS'!$I$5:$I$107,MATCH(L753,'Datos - Catálogo TIMSS'!$A$5:$A$107,0)),"No")="Sí"),1,0)</f>
        <v>0</v>
      </c>
      <c r="Y753" s="36" cm="1">
        <f t="array" ref="Y753">IF(_xlfn.IFERROR(INDEX('Datos - Catálogo TIMSS'!$J$5:$J$107,MATCH(K753,'Datos - Catálogo TIMSS'!$A$5:$A$107,0)),"No")="Sí",1,0)</f>
        <v>0</v>
      </c>
      <c r="Z753" s="36" cm="1">
        <f t="array" ref="Z753">IF(_xlfn.IFERROR(INDEX('Datos - Catálogo TIMSS'!$J$5:$J$107,MATCH(L753,'Datos - Catálogo TIMSS'!$A$5:$A$107,0)),"No")="Sí",1,0)</f>
        <v>0</v>
      </c>
      <c r="AA753" t="s" s="35">
        <v>1832</v>
      </c>
      <c r="AB753" s="39"/>
      <c r="AC753" t="str" s="39">
        <v>Fuera del marco</v>
      </c>
      <c r="AD753" t="s" s="35">
        <v>1900</v>
      </c>
      <c r="AE753" t="str" s="39" cm="1">
        <f t="array" ref="AE753">IF(AD753="","",IF(LEFT(AD753,1)="1","C1",IF(LEFT(AD753,1)="2","C2",IF(LEFT(AD753,1)="3","C3",""))))</f>
        <v>C3</v>
      </c>
      <c r="AF753" t="s" s="35">
        <v>1615</v>
      </c>
      <c r="AG753" t="s" s="35">
        <v>1607</v>
      </c>
      <c r="AH753" t="s" s="35">
        <v>1609</v>
      </c>
      <c r="AI753" t="s" s="35">
        <v>1625</v>
      </c>
      <c r="AJ753" t="s" s="35">
        <v>1631</v>
      </c>
      <c r="AK753" s="39"/>
      <c r="AL753" s="39"/>
      <c r="AM753" s="39"/>
      <c r="AN753" s="39"/>
      <c r="AO753" s="39"/>
      <c r="AP753" s="39"/>
      <c r="AQ753" s="39"/>
      <c r="AR753" s="39"/>
      <c r="AS753" s="39"/>
      <c r="AT753" s="39"/>
      <c r="AU753" s="39"/>
      <c r="AV753" s="39"/>
      <c r="AW753" t="str" s="39" cm="1">
        <f t="array" ref="AW753">AF753&amp;"; "&amp;AG753&amp;"; "&amp;AH753&amp;"; "&amp;AI753&amp;"; "&amp;AJ753</f>
        <v>E6; E3; E4; I1; I4</v>
      </c>
    </row>
    <row r="754" ht="13.65" customHeight="1">
      <c r="A754" t="s" s="35">
        <v>5458</v>
      </c>
      <c r="B754" s="36">
        <v>11</v>
      </c>
      <c r="C754" t="s" s="35">
        <v>222</v>
      </c>
      <c r="D754" t="s" s="35">
        <v>4800</v>
      </c>
      <c r="E754" t="s" s="35">
        <v>5427</v>
      </c>
      <c r="F754" s="36">
        <v>9</v>
      </c>
      <c r="G754" t="s" s="35">
        <v>5459</v>
      </c>
      <c r="H754" t="s" s="35">
        <v>5460</v>
      </c>
      <c r="I754" t="s" s="120">
        <v>5461</v>
      </c>
      <c r="J754" t="s" s="35">
        <v>1301</v>
      </c>
      <c r="K754" t="s" s="35">
        <v>1832</v>
      </c>
      <c r="L754" s="39"/>
      <c r="M754" t="str" s="39">
        <v>Fuera del marco</v>
      </c>
      <c r="N754" t="str" s="39">
        <v>Fuera del marco</v>
      </c>
      <c r="O754" t="str" s="39" cm="1">
        <f t="array" ref="O754">IF(L754="","",_xlfn.IFERROR(INDEX('Datos - Catálogo TIMSS'!$C$5:$C$107,MATCH(L754,'Datos - Catálogo TIMSS'!$A$5:$A$107,0)),"?"))</f>
      </c>
      <c r="P754" t="s" s="35">
        <v>282</v>
      </c>
      <c r="Q754" t="s" s="120">
        <v>5462</v>
      </c>
      <c r="R754" t="s" s="120">
        <v>5463</v>
      </c>
      <c r="S754" s="121" cm="1">
        <f t="array" ref="S754">_xlfn.IFERROR(ISNUMBER(SEARCH("Conocer",$R754))/(ISNUMBER(SEARCH("Conocer",$R754))+ISNUMBER(SEARCH("Aplicar",$R754))+ISNUMBER(SEARCH("Razonar",$R754))),0)</f>
        <v>0</v>
      </c>
      <c r="T754" s="121" cm="1">
        <f t="array" ref="T754">_xlfn.IFERROR(ISNUMBER(SEARCH("Aplicar",$R754))/(ISNUMBER(SEARCH("Conocer",$R754))+ISNUMBER(SEARCH("Aplicar",$R754))+ISNUMBER(SEARCH("Razonar",$R754))),0)</f>
        <v>0.5</v>
      </c>
      <c r="U754" s="121" cm="1">
        <f t="array" ref="U754">_xlfn.IFERROR(ISNUMBER(SEARCH("Razonar",$R754))/(ISNUMBER(SEARCH("Conocer",$R754))+ISNUMBER(SEARCH("Aplicar",$R754))+ISNUMBER(SEARCH("Razonar",$R754))),0)</f>
        <v>0.5</v>
      </c>
      <c r="V754" t="s" s="35">
        <v>91</v>
      </c>
      <c r="W754" t="s" s="35">
        <v>119</v>
      </c>
      <c r="X754" s="36" cm="1">
        <f t="array" ref="X754">IF(OR(_xlfn.IFERROR(INDEX('Datos - Catálogo TIMSS'!$I$5:$I$107,MATCH(K754,'Datos - Catálogo TIMSS'!$A$5:$A$107,0)),"No")="Sí",_xlfn.IFERROR(INDEX('Datos - Catálogo TIMSS'!$I$5:$I$107,MATCH(L754,'Datos - Catálogo TIMSS'!$A$5:$A$107,0)),"No")="Sí"),1,0)</f>
        <v>0</v>
      </c>
      <c r="Y754" s="36" cm="1">
        <f t="array" ref="Y754">IF(_xlfn.IFERROR(INDEX('Datos - Catálogo TIMSS'!$J$5:$J$107,MATCH(K754,'Datos - Catálogo TIMSS'!$A$5:$A$107,0)),"No")="Sí",1,0)</f>
        <v>0</v>
      </c>
      <c r="Z754" s="36" cm="1">
        <f t="array" ref="Z754">IF(_xlfn.IFERROR(INDEX('Datos - Catálogo TIMSS'!$J$5:$J$107,MATCH(L754,'Datos - Catálogo TIMSS'!$A$5:$A$107,0)),"No")="Sí",1,0)</f>
        <v>0</v>
      </c>
      <c r="AA754" t="s" s="35">
        <v>1832</v>
      </c>
      <c r="AB754" s="39"/>
      <c r="AC754" t="str" s="39">
        <v>Fuera del marco</v>
      </c>
      <c r="AD754" t="s" s="35">
        <v>1859</v>
      </c>
      <c r="AE754" t="str" s="39" cm="1">
        <f t="array" ref="AE754">IF(AD754="","",IF(LEFT(AD754,1)="1","C1",IF(LEFT(AD754,1)="2","C2",IF(LEFT(AD754,1)="3","C3",""))))</f>
        <v>C1</v>
      </c>
      <c r="AF754" t="s" s="35">
        <v>1602</v>
      </c>
      <c r="AG754" t="s" s="35">
        <v>1617</v>
      </c>
      <c r="AH754" t="s" s="35">
        <v>1602</v>
      </c>
      <c r="AI754" t="s" s="35">
        <v>1609</v>
      </c>
      <c r="AJ754" t="s" s="35">
        <v>1607</v>
      </c>
      <c r="AK754" s="39"/>
      <c r="AL754" s="39"/>
      <c r="AM754" s="39"/>
      <c r="AN754" s="39"/>
      <c r="AO754" s="39"/>
      <c r="AP754" s="39"/>
      <c r="AQ754" s="39"/>
      <c r="AR754" s="39"/>
      <c r="AS754" s="39"/>
      <c r="AT754" s="39"/>
      <c r="AU754" s="39"/>
      <c r="AV754" s="39"/>
      <c r="AW754" t="str" s="39" cm="1">
        <f t="array" ref="AW754">AF754&amp;"; "&amp;AG754&amp;"; "&amp;AH754&amp;"; "&amp;AI754&amp;"; "&amp;AJ754</f>
        <v>E1; D1; E1; E4; E3</v>
      </c>
    </row>
    <row r="755" ht="13.65" customHeight="1">
      <c r="A755" t="s" s="35">
        <v>5465</v>
      </c>
      <c r="B755" s="36">
        <v>11</v>
      </c>
      <c r="C755" t="s" s="35">
        <v>222</v>
      </c>
      <c r="D755" t="s" s="35">
        <v>4800</v>
      </c>
      <c r="E755" t="s" s="35">
        <v>5427</v>
      </c>
      <c r="F755" s="36">
        <v>10</v>
      </c>
      <c r="G755" t="s" s="35">
        <v>5459</v>
      </c>
      <c r="H755" t="s" s="35">
        <v>5460</v>
      </c>
      <c r="I755" t="s" s="120">
        <v>5466</v>
      </c>
      <c r="J755" t="s" s="35">
        <v>1301</v>
      </c>
      <c r="K755" t="s" s="35">
        <v>1832</v>
      </c>
      <c r="L755" s="39"/>
      <c r="M755" t="str" s="39">
        <v>Fuera del marco</v>
      </c>
      <c r="N755" t="str" s="39">
        <v>Fuera del marco</v>
      </c>
      <c r="O755" t="str" s="39" cm="1">
        <f t="array" ref="O755">IF(L755="","",_xlfn.IFERROR(INDEX('Datos - Catálogo TIMSS'!$C$5:$C$107,MATCH(L755,'Datos - Catálogo TIMSS'!$A$5:$A$107,0)),"?"))</f>
      </c>
      <c r="P755" t="s" s="35">
        <v>282</v>
      </c>
      <c r="Q755" t="s" s="120">
        <v>5467</v>
      </c>
      <c r="R755" t="s" s="120">
        <v>5468</v>
      </c>
      <c r="S755" s="121" cm="1">
        <f t="array" ref="S755">_xlfn.IFERROR(ISNUMBER(SEARCH("Conocer",$R755))/(ISNUMBER(SEARCH("Conocer",$R755))+ISNUMBER(SEARCH("Aplicar",$R755))+ISNUMBER(SEARCH("Razonar",$R755))),0)</f>
        <v>0</v>
      </c>
      <c r="T755" s="121" cm="1">
        <f t="array" ref="T755">_xlfn.IFERROR(ISNUMBER(SEARCH("Aplicar",$R755))/(ISNUMBER(SEARCH("Conocer",$R755))+ISNUMBER(SEARCH("Aplicar",$R755))+ISNUMBER(SEARCH("Razonar",$R755))),0)</f>
        <v>0.5</v>
      </c>
      <c r="U755" s="121" cm="1">
        <f t="array" ref="U755">_xlfn.IFERROR(ISNUMBER(SEARCH("Razonar",$R755))/(ISNUMBER(SEARCH("Conocer",$R755))+ISNUMBER(SEARCH("Aplicar",$R755))+ISNUMBER(SEARCH("Razonar",$R755))),0)</f>
        <v>0.5</v>
      </c>
      <c r="V755" t="s" s="35">
        <v>91</v>
      </c>
      <c r="W755" t="s" s="35">
        <v>119</v>
      </c>
      <c r="X755" s="36" cm="1">
        <f t="array" ref="X755">IF(OR(_xlfn.IFERROR(INDEX('Datos - Catálogo TIMSS'!$I$5:$I$107,MATCH(K755,'Datos - Catálogo TIMSS'!$A$5:$A$107,0)),"No")="Sí",_xlfn.IFERROR(INDEX('Datos - Catálogo TIMSS'!$I$5:$I$107,MATCH(L755,'Datos - Catálogo TIMSS'!$A$5:$A$107,0)),"No")="Sí"),1,0)</f>
        <v>0</v>
      </c>
      <c r="Y755" s="36" cm="1">
        <f t="array" ref="Y755">IF(_xlfn.IFERROR(INDEX('Datos - Catálogo TIMSS'!$J$5:$J$107,MATCH(K755,'Datos - Catálogo TIMSS'!$A$5:$A$107,0)),"No")="Sí",1,0)</f>
        <v>0</v>
      </c>
      <c r="Z755" s="36" cm="1">
        <f t="array" ref="Z755">IF(_xlfn.IFERROR(INDEX('Datos - Catálogo TIMSS'!$J$5:$J$107,MATCH(L755,'Datos - Catálogo TIMSS'!$A$5:$A$107,0)),"No")="Sí",1,0)</f>
        <v>0</v>
      </c>
      <c r="AA755" t="s" s="35">
        <v>1832</v>
      </c>
      <c r="AB755" s="39"/>
      <c r="AC755" t="str" s="39">
        <v>Fuera del marco</v>
      </c>
      <c r="AD755" t="s" s="35">
        <v>1834</v>
      </c>
      <c r="AE755" t="str" s="39" cm="1">
        <f t="array" ref="AE755">IF(AD755="","",IF(LEFT(AD755,1)="1","C1",IF(LEFT(AD755,1)="2","C2",IF(LEFT(AD755,1)="3","C3",""))))</f>
        <v>C2</v>
      </c>
      <c r="AF755" t="s" s="35">
        <v>1602</v>
      </c>
      <c r="AG755" t="s" s="35">
        <v>1612</v>
      </c>
      <c r="AH755" t="s" s="35">
        <v>1605</v>
      </c>
      <c r="AI755" t="s" s="35">
        <v>1623</v>
      </c>
      <c r="AJ755" t="s" s="35">
        <v>1621</v>
      </c>
      <c r="AK755" s="39"/>
      <c r="AL755" s="39"/>
      <c r="AM755" s="39"/>
      <c r="AN755" s="39"/>
      <c r="AO755" s="39"/>
      <c r="AP755" s="39"/>
      <c r="AQ755" s="39"/>
      <c r="AR755" s="39"/>
      <c r="AS755" s="39"/>
      <c r="AT755" s="39"/>
      <c r="AU755" s="39"/>
      <c r="AV755" s="39"/>
      <c r="AW755" t="str" s="39" cm="1">
        <f t="array" ref="AW755">AF755&amp;"; "&amp;AG755&amp;"; "&amp;AH755&amp;"; "&amp;AI755&amp;"; "&amp;AJ755</f>
        <v>E1; E5; E2; D4; D3</v>
      </c>
    </row>
    <row r="756" ht="13.65" customHeight="1">
      <c r="A756" t="s" s="35">
        <v>5470</v>
      </c>
      <c r="B756" s="36">
        <v>11</v>
      </c>
      <c r="C756" t="s" s="35">
        <v>222</v>
      </c>
      <c r="D756" t="s" s="35">
        <v>4800</v>
      </c>
      <c r="E756" t="s" s="35">
        <v>5427</v>
      </c>
      <c r="F756" s="36">
        <v>11</v>
      </c>
      <c r="G756" t="s" s="35">
        <v>5459</v>
      </c>
      <c r="H756" t="s" s="35">
        <v>5471</v>
      </c>
      <c r="I756" t="s" s="120">
        <v>5472</v>
      </c>
      <c r="J756" t="s" s="35">
        <v>1301</v>
      </c>
      <c r="K756" t="s" s="35">
        <v>1832</v>
      </c>
      <c r="L756" s="39"/>
      <c r="M756" t="str" s="39">
        <v>Fuera del marco</v>
      </c>
      <c r="N756" t="str" s="39">
        <v>Fuera del marco</v>
      </c>
      <c r="O756" t="str" s="39" cm="1">
        <f t="array" ref="O756">IF(L756="","",_xlfn.IFERROR(INDEX('Datos - Catálogo TIMSS'!$C$5:$C$107,MATCH(L756,'Datos - Catálogo TIMSS'!$A$5:$A$107,0)),"?"))</f>
      </c>
      <c r="P756" t="s" s="35">
        <v>254</v>
      </c>
      <c r="Q756" t="s" s="120">
        <v>5473</v>
      </c>
      <c r="R756" t="s" s="120">
        <v>5474</v>
      </c>
      <c r="S756" s="121" cm="1">
        <f t="array" ref="S756">_xlfn.IFERROR(ISNUMBER(SEARCH("Conocer",$R756))/(ISNUMBER(SEARCH("Conocer",$R756))+ISNUMBER(SEARCH("Aplicar",$R756))+ISNUMBER(SEARCH("Razonar",$R756))),0)</f>
        <v>0</v>
      </c>
      <c r="T756" s="121" cm="1">
        <f t="array" ref="T756">_xlfn.IFERROR(ISNUMBER(SEARCH("Aplicar",$R756))/(ISNUMBER(SEARCH("Conocer",$R756))+ISNUMBER(SEARCH("Aplicar",$R756))+ISNUMBER(SEARCH("Razonar",$R756))),0)</f>
        <v>0.5</v>
      </c>
      <c r="U756" s="121" cm="1">
        <f t="array" ref="U756">_xlfn.IFERROR(ISNUMBER(SEARCH("Razonar",$R756))/(ISNUMBER(SEARCH("Conocer",$R756))+ISNUMBER(SEARCH("Aplicar",$R756))+ISNUMBER(SEARCH("Razonar",$R756))),0)</f>
        <v>0.5</v>
      </c>
      <c r="V756" t="s" s="35">
        <v>91</v>
      </c>
      <c r="W756" t="s" s="35">
        <v>119</v>
      </c>
      <c r="X756" s="36" cm="1">
        <f t="array" ref="X756">IF(OR(_xlfn.IFERROR(INDEX('Datos - Catálogo TIMSS'!$I$5:$I$107,MATCH(K756,'Datos - Catálogo TIMSS'!$A$5:$A$107,0)),"No")="Sí",_xlfn.IFERROR(INDEX('Datos - Catálogo TIMSS'!$I$5:$I$107,MATCH(L756,'Datos - Catálogo TIMSS'!$A$5:$A$107,0)),"No")="Sí"),1,0)</f>
        <v>0</v>
      </c>
      <c r="Y756" s="36" cm="1">
        <f t="array" ref="Y756">IF(_xlfn.IFERROR(INDEX('Datos - Catálogo TIMSS'!$J$5:$J$107,MATCH(K756,'Datos - Catálogo TIMSS'!$A$5:$A$107,0)),"No")="Sí",1,0)</f>
        <v>0</v>
      </c>
      <c r="Z756" s="36" cm="1">
        <f t="array" ref="Z756">IF(_xlfn.IFERROR(INDEX('Datos - Catálogo TIMSS'!$J$5:$J$107,MATCH(L756,'Datos - Catálogo TIMSS'!$A$5:$A$107,0)),"No")="Sí",1,0)</f>
        <v>0</v>
      </c>
      <c r="AA756" t="s" s="35">
        <v>1832</v>
      </c>
      <c r="AB756" s="39"/>
      <c r="AC756" t="str" s="39">
        <v>Fuera del marco</v>
      </c>
      <c r="AD756" t="s" s="35">
        <v>1900</v>
      </c>
      <c r="AE756" t="str" s="39" cm="1">
        <f t="array" ref="AE756">IF(AD756="","",IF(LEFT(AD756,1)="1","C1",IF(LEFT(AD756,1)="2","C2",IF(LEFT(AD756,1)="3","C3",""))))</f>
        <v>C3</v>
      </c>
      <c r="AF756" t="s" s="35">
        <v>1615</v>
      </c>
      <c r="AG756" t="s" s="35">
        <v>1607</v>
      </c>
      <c r="AH756" t="s" s="35">
        <v>1602</v>
      </c>
      <c r="AI756" t="s" s="35">
        <v>1629</v>
      </c>
      <c r="AJ756" t="s" s="35">
        <v>1633</v>
      </c>
      <c r="AK756" s="39"/>
      <c r="AL756" s="39"/>
      <c r="AM756" s="39"/>
      <c r="AN756" s="39"/>
      <c r="AO756" s="39"/>
      <c r="AP756" s="39"/>
      <c r="AQ756" s="39"/>
      <c r="AR756" s="39"/>
      <c r="AS756" s="39"/>
      <c r="AT756" s="39"/>
      <c r="AU756" s="39"/>
      <c r="AV756" s="39"/>
      <c r="AW756" t="str" s="39" cm="1">
        <f t="array" ref="AW756">AF756&amp;"; "&amp;AG756&amp;"; "&amp;AH756&amp;"; "&amp;AI756&amp;"; "&amp;AJ756</f>
        <v>E6; E3; E1; I3; I5</v>
      </c>
    </row>
    <row r="757" ht="13.65" customHeight="1">
      <c r="A757" t="s" s="35">
        <v>5476</v>
      </c>
      <c r="B757" s="36">
        <v>11</v>
      </c>
      <c r="C757" t="s" s="35">
        <v>222</v>
      </c>
      <c r="D757" t="s" s="35">
        <v>4800</v>
      </c>
      <c r="E757" t="s" s="35">
        <v>5427</v>
      </c>
      <c r="F757" s="36">
        <v>12</v>
      </c>
      <c r="G757" t="s" s="35">
        <v>5477</v>
      </c>
      <c r="H757" t="s" s="35">
        <v>5478</v>
      </c>
      <c r="I757" t="s" s="120">
        <v>5479</v>
      </c>
      <c r="J757" t="s" s="35">
        <v>1301</v>
      </c>
      <c r="K757" t="s" s="35">
        <v>1353</v>
      </c>
      <c r="L757" s="39"/>
      <c r="M757" t="str" s="39">
        <v>Ondas y física atómica/nuclear</v>
      </c>
      <c r="N757" t="str" s="39">
        <v>Fenómenos ondulatorios</v>
      </c>
      <c r="O757" t="str" s="39" cm="1">
        <f t="array" ref="O757">IF(L757="","",_xlfn.IFERROR(INDEX('Datos - Catálogo TIMSS'!$C$5:$C$107,MATCH(L757,'Datos - Catálogo TIMSS'!$A$5:$A$107,0)),"?"))</f>
      </c>
      <c r="P757" t="s" s="35">
        <v>254</v>
      </c>
      <c r="Q757" t="s" s="120">
        <v>5480</v>
      </c>
      <c r="R757" t="s" s="120">
        <v>5481</v>
      </c>
      <c r="S757" s="121" cm="1">
        <f t="array" ref="S757">_xlfn.IFERROR(ISNUMBER(SEARCH("Conocer",$R757))/(ISNUMBER(SEARCH("Conocer",$R757))+ISNUMBER(SEARCH("Aplicar",$R757))+ISNUMBER(SEARCH("Razonar",$R757))),0)</f>
        <v>0.5</v>
      </c>
      <c r="T757" s="121" cm="1">
        <f t="array" ref="T757">_xlfn.IFERROR(ISNUMBER(SEARCH("Aplicar",$R757))/(ISNUMBER(SEARCH("Conocer",$R757))+ISNUMBER(SEARCH("Aplicar",$R757))+ISNUMBER(SEARCH("Razonar",$R757))),0)</f>
        <v>0.5</v>
      </c>
      <c r="U757" s="121" cm="1">
        <f t="array" ref="U757">_xlfn.IFERROR(ISNUMBER(SEARCH("Razonar",$R757))/(ISNUMBER(SEARCH("Conocer",$R757))+ISNUMBER(SEARCH("Aplicar",$R757))+ISNUMBER(SEARCH("Razonar",$R757))),0)</f>
        <v>0</v>
      </c>
      <c r="V757" t="s" s="35">
        <v>91</v>
      </c>
      <c r="W757" t="s" s="35">
        <v>119</v>
      </c>
      <c r="X757" s="36" cm="1">
        <f t="array" ref="X757">IF(OR(_xlfn.IFERROR(INDEX('Datos - Catálogo TIMSS'!$I$5:$I$107,MATCH(K757,'Datos - Catálogo TIMSS'!$A$5:$A$107,0)),"No")="Sí",_xlfn.IFERROR(INDEX('Datos - Catálogo TIMSS'!$I$5:$I$107,MATCH(L757,'Datos - Catálogo TIMSS'!$A$5:$A$107,0)),"No")="Sí"),1,0)</f>
        <v>0</v>
      </c>
      <c r="Y757" s="36" cm="1">
        <f t="array" ref="Y757">IF(_xlfn.IFERROR(INDEX('Datos - Catálogo TIMSS'!$J$5:$J$107,MATCH(K757,'Datos - Catálogo TIMSS'!$A$5:$A$107,0)),"No")="Sí",1,0)</f>
        <v>0</v>
      </c>
      <c r="Z757" s="36" cm="1">
        <f t="array" ref="Z757">IF(_xlfn.IFERROR(INDEX('Datos - Catálogo TIMSS'!$J$5:$J$107,MATCH(L757,'Datos - Catálogo TIMSS'!$A$5:$A$107,0)),"No")="Sí",1,0)</f>
        <v>0</v>
      </c>
      <c r="AA757" t="s" s="35">
        <v>1353</v>
      </c>
      <c r="AB757" s="39"/>
      <c r="AC757" t="str" s="39">
        <v>Ondas y física atómica/nuclear</v>
      </c>
      <c r="AD757" t="s" s="35">
        <v>1859</v>
      </c>
      <c r="AE757" t="str" s="39" cm="1">
        <f t="array" ref="AE757">IF(AD757="","",IF(LEFT(AD757,1)="1","C1",IF(LEFT(AD757,1)="2","C2",IF(LEFT(AD757,1)="3","C3",""))))</f>
        <v>C1</v>
      </c>
      <c r="AF757" t="s" s="35">
        <v>1615</v>
      </c>
      <c r="AG757" t="s" s="35">
        <v>1617</v>
      </c>
      <c r="AH757" t="s" s="35">
        <v>1602</v>
      </c>
      <c r="AI757" t="s" s="35">
        <v>1625</v>
      </c>
      <c r="AJ757" t="s" s="35">
        <v>1607</v>
      </c>
      <c r="AK757" s="39"/>
      <c r="AL757" s="39"/>
      <c r="AM757" s="39"/>
      <c r="AN757" s="39"/>
      <c r="AO757" s="39"/>
      <c r="AP757" s="39"/>
      <c r="AQ757" s="39"/>
      <c r="AR757" s="39"/>
      <c r="AS757" s="39"/>
      <c r="AT757" s="39"/>
      <c r="AU757" s="39"/>
      <c r="AV757" s="39"/>
      <c r="AW757" t="str" s="39" cm="1">
        <f t="array" ref="AW757">AF757&amp;"; "&amp;AG757&amp;"; "&amp;AH757&amp;"; "&amp;AI757&amp;"; "&amp;AJ757</f>
        <v>E6; D1; E1; I1; E3</v>
      </c>
    </row>
    <row r="758" ht="13.65" customHeight="1">
      <c r="A758" t="s" s="35">
        <v>5482</v>
      </c>
      <c r="B758" s="36">
        <v>11</v>
      </c>
      <c r="C758" t="s" s="35">
        <v>222</v>
      </c>
      <c r="D758" t="s" s="35">
        <v>4800</v>
      </c>
      <c r="E758" t="s" s="35">
        <v>5427</v>
      </c>
      <c r="F758" s="36">
        <v>13</v>
      </c>
      <c r="G758" t="s" s="35">
        <v>5477</v>
      </c>
      <c r="H758" t="s" s="35">
        <v>5478</v>
      </c>
      <c r="I758" t="s" s="120">
        <v>5483</v>
      </c>
      <c r="J758" t="s" s="35">
        <v>1301</v>
      </c>
      <c r="K758" t="s" s="35">
        <v>1353</v>
      </c>
      <c r="L758" s="39"/>
      <c r="M758" t="str" s="39">
        <v>Ondas y física atómica/nuclear</v>
      </c>
      <c r="N758" t="str" s="39">
        <v>Fenómenos ondulatorios</v>
      </c>
      <c r="O758" t="str" s="39" cm="1">
        <f t="array" ref="O758">IF(L758="","",_xlfn.IFERROR(INDEX('Datos - Catálogo TIMSS'!$C$5:$C$107,MATCH(L758,'Datos - Catálogo TIMSS'!$A$5:$A$107,0)),"?"))</f>
      </c>
      <c r="P758" t="s" s="35">
        <v>254</v>
      </c>
      <c r="Q758" t="s" s="120">
        <v>5484</v>
      </c>
      <c r="R758" t="s" s="120">
        <v>5485</v>
      </c>
      <c r="S758" s="121" cm="1">
        <f t="array" ref="S758">_xlfn.IFERROR(ISNUMBER(SEARCH("Conocer",$R758))/(ISNUMBER(SEARCH("Conocer",$R758))+ISNUMBER(SEARCH("Aplicar",$R758))+ISNUMBER(SEARCH("Razonar",$R758))),0)</f>
        <v>0</v>
      </c>
      <c r="T758" s="121" cm="1">
        <f t="array" ref="T758">_xlfn.IFERROR(ISNUMBER(SEARCH("Aplicar",$R758))/(ISNUMBER(SEARCH("Conocer",$R758))+ISNUMBER(SEARCH("Aplicar",$R758))+ISNUMBER(SEARCH("Razonar",$R758))),0)</f>
        <v>0.5</v>
      </c>
      <c r="U758" s="121" cm="1">
        <f t="array" ref="U758">_xlfn.IFERROR(ISNUMBER(SEARCH("Razonar",$R758))/(ISNUMBER(SEARCH("Conocer",$R758))+ISNUMBER(SEARCH("Aplicar",$R758))+ISNUMBER(SEARCH("Razonar",$R758))),0)</f>
        <v>0.5</v>
      </c>
      <c r="V758" t="s" s="35">
        <v>91</v>
      </c>
      <c r="W758" t="s" s="35">
        <v>119</v>
      </c>
      <c r="X758" s="36" cm="1">
        <f t="array" ref="X758">IF(OR(_xlfn.IFERROR(INDEX('Datos - Catálogo TIMSS'!$I$5:$I$107,MATCH(K758,'Datos - Catálogo TIMSS'!$A$5:$A$107,0)),"No")="Sí",_xlfn.IFERROR(INDEX('Datos - Catálogo TIMSS'!$I$5:$I$107,MATCH(L758,'Datos - Catálogo TIMSS'!$A$5:$A$107,0)),"No")="Sí"),1,0)</f>
        <v>0</v>
      </c>
      <c r="Y758" s="36" cm="1">
        <f t="array" ref="Y758">IF(_xlfn.IFERROR(INDEX('Datos - Catálogo TIMSS'!$J$5:$J$107,MATCH(K758,'Datos - Catálogo TIMSS'!$A$5:$A$107,0)),"No")="Sí",1,0)</f>
        <v>0</v>
      </c>
      <c r="Z758" s="36" cm="1">
        <f t="array" ref="Z758">IF(_xlfn.IFERROR(INDEX('Datos - Catálogo TIMSS'!$J$5:$J$107,MATCH(L758,'Datos - Catálogo TIMSS'!$A$5:$A$107,0)),"No")="Sí",1,0)</f>
        <v>0</v>
      </c>
      <c r="AA758" t="s" s="35">
        <v>1353</v>
      </c>
      <c r="AB758" s="39"/>
      <c r="AC758" t="str" s="39">
        <v>Ondas y física atómica/nuclear</v>
      </c>
      <c r="AD758" t="s" s="35">
        <v>1859</v>
      </c>
      <c r="AE758" t="str" s="39" cm="1">
        <f t="array" ref="AE758">IF(AD758="","",IF(LEFT(AD758,1)="1","C1",IF(LEFT(AD758,1)="2","C2",IF(LEFT(AD758,1)="3","C3",""))))</f>
        <v>C1</v>
      </c>
      <c r="AF758" t="s" s="35">
        <v>1602</v>
      </c>
      <c r="AG758" t="s" s="35">
        <v>1607</v>
      </c>
      <c r="AH758" t="s" s="35">
        <v>1605</v>
      </c>
      <c r="AI758" t="s" s="35">
        <v>1609</v>
      </c>
      <c r="AJ758" t="s" s="35">
        <v>1607</v>
      </c>
      <c r="AK758" s="39"/>
      <c r="AL758" s="39"/>
      <c r="AM758" s="39"/>
      <c r="AN758" s="39"/>
      <c r="AO758" s="39"/>
      <c r="AP758" s="39"/>
      <c r="AQ758" s="39"/>
      <c r="AR758" s="39"/>
      <c r="AS758" s="39"/>
      <c r="AT758" s="39"/>
      <c r="AU758" s="39"/>
      <c r="AV758" s="39"/>
      <c r="AW758" t="str" s="39" cm="1">
        <f t="array" ref="AW758">AF758&amp;"; "&amp;AG758&amp;"; "&amp;AH758&amp;"; "&amp;AI758&amp;"; "&amp;AJ758</f>
        <v>E1; E3; E2; E4; E3</v>
      </c>
    </row>
    <row r="759" ht="13.65" customHeight="1">
      <c r="A759" t="s" s="35">
        <v>5486</v>
      </c>
      <c r="B759" s="36">
        <v>11</v>
      </c>
      <c r="C759" t="s" s="35">
        <v>222</v>
      </c>
      <c r="D759" t="s" s="35">
        <v>4800</v>
      </c>
      <c r="E759" t="s" s="35">
        <v>5427</v>
      </c>
      <c r="F759" s="36">
        <v>14</v>
      </c>
      <c r="G759" t="s" s="35">
        <v>5477</v>
      </c>
      <c r="H759" t="s" s="35">
        <v>5487</v>
      </c>
      <c r="I759" t="s" s="120">
        <v>5488</v>
      </c>
      <c r="J759" t="s" s="35">
        <v>1301</v>
      </c>
      <c r="K759" t="s" s="35">
        <v>1353</v>
      </c>
      <c r="L759" s="39"/>
      <c r="M759" t="str" s="39">
        <v>Ondas y física atómica/nuclear</v>
      </c>
      <c r="N759" t="str" s="39">
        <v>Fenómenos ondulatorios</v>
      </c>
      <c r="O759" t="str" s="39" cm="1">
        <f t="array" ref="O759">IF(L759="","",_xlfn.IFERROR(INDEX('Datos - Catálogo TIMSS'!$C$5:$C$107,MATCH(L759,'Datos - Catálogo TIMSS'!$A$5:$A$107,0)),"?"))</f>
      </c>
      <c r="P759" t="s" s="35">
        <v>254</v>
      </c>
      <c r="Q759" t="s" s="120">
        <v>5489</v>
      </c>
      <c r="R759" t="s" s="120">
        <v>5490</v>
      </c>
      <c r="S759" s="121" cm="1">
        <f t="array" ref="S759">_xlfn.IFERROR(ISNUMBER(SEARCH("Conocer",$R759))/(ISNUMBER(SEARCH("Conocer",$R759))+ISNUMBER(SEARCH("Aplicar",$R759))+ISNUMBER(SEARCH("Razonar",$R759))),0)</f>
        <v>0</v>
      </c>
      <c r="T759" s="121" cm="1">
        <f t="array" ref="T759">_xlfn.IFERROR(ISNUMBER(SEARCH("Aplicar",$R759))/(ISNUMBER(SEARCH("Conocer",$R759))+ISNUMBER(SEARCH("Aplicar",$R759))+ISNUMBER(SEARCH("Razonar",$R759))),0)</f>
        <v>0.5</v>
      </c>
      <c r="U759" s="121" cm="1">
        <f t="array" ref="U759">_xlfn.IFERROR(ISNUMBER(SEARCH("Razonar",$R759))/(ISNUMBER(SEARCH("Conocer",$R759))+ISNUMBER(SEARCH("Aplicar",$R759))+ISNUMBER(SEARCH("Razonar",$R759))),0)</f>
        <v>0.5</v>
      </c>
      <c r="V759" t="s" s="35">
        <v>91</v>
      </c>
      <c r="W759" t="s" s="35">
        <v>119</v>
      </c>
      <c r="X759" s="36" cm="1">
        <f t="array" ref="X759">IF(OR(_xlfn.IFERROR(INDEX('Datos - Catálogo TIMSS'!$I$5:$I$107,MATCH(K759,'Datos - Catálogo TIMSS'!$A$5:$A$107,0)),"No")="Sí",_xlfn.IFERROR(INDEX('Datos - Catálogo TIMSS'!$I$5:$I$107,MATCH(L759,'Datos - Catálogo TIMSS'!$A$5:$A$107,0)),"No")="Sí"),1,0)</f>
        <v>0</v>
      </c>
      <c r="Y759" s="36" cm="1">
        <f t="array" ref="Y759">IF(_xlfn.IFERROR(INDEX('Datos - Catálogo TIMSS'!$J$5:$J$107,MATCH(K759,'Datos - Catálogo TIMSS'!$A$5:$A$107,0)),"No")="Sí",1,0)</f>
        <v>0</v>
      </c>
      <c r="Z759" s="36" cm="1">
        <f t="array" ref="Z759">IF(_xlfn.IFERROR(INDEX('Datos - Catálogo TIMSS'!$J$5:$J$107,MATCH(L759,'Datos - Catálogo TIMSS'!$A$5:$A$107,0)),"No")="Sí",1,0)</f>
        <v>0</v>
      </c>
      <c r="AA759" t="s" s="35">
        <v>1353</v>
      </c>
      <c r="AB759" s="39"/>
      <c r="AC759" t="str" s="39">
        <v>Ondas y física atómica/nuclear</v>
      </c>
      <c r="AD759" t="s" s="35">
        <v>1834</v>
      </c>
      <c r="AE759" t="str" s="39" cm="1">
        <f t="array" ref="AE759">IF(AD759="","",IF(LEFT(AD759,1)="1","C1",IF(LEFT(AD759,1)="2","C2",IF(LEFT(AD759,1)="3","C3",""))))</f>
        <v>C2</v>
      </c>
      <c r="AF759" t="s" s="35">
        <v>1602</v>
      </c>
      <c r="AG759" t="s" s="35">
        <v>1612</v>
      </c>
      <c r="AH759" t="s" s="35">
        <v>1602</v>
      </c>
      <c r="AI759" t="s" s="35">
        <v>1619</v>
      </c>
      <c r="AJ759" t="s" s="35">
        <v>1621</v>
      </c>
      <c r="AK759" s="39"/>
      <c r="AL759" s="39"/>
      <c r="AM759" s="39"/>
      <c r="AN759" s="39"/>
      <c r="AO759" s="39"/>
      <c r="AP759" s="39"/>
      <c r="AQ759" s="39"/>
      <c r="AR759" s="39"/>
      <c r="AS759" s="39"/>
      <c r="AT759" s="39"/>
      <c r="AU759" s="39"/>
      <c r="AV759" s="39"/>
      <c r="AW759" t="str" s="39" cm="1">
        <f t="array" ref="AW759">AF759&amp;"; "&amp;AG759&amp;"; "&amp;AH759&amp;"; "&amp;AI759&amp;"; "&amp;AJ759</f>
        <v>E1; E5; E1; D2; D3</v>
      </c>
    </row>
    <row r="760" ht="13.65" customHeight="1">
      <c r="A760" t="s" s="35">
        <v>5492</v>
      </c>
      <c r="B760" s="36">
        <v>11</v>
      </c>
      <c r="C760" t="s" s="35">
        <v>222</v>
      </c>
      <c r="D760" t="s" s="35">
        <v>4800</v>
      </c>
      <c r="E760" t="s" s="35">
        <v>5427</v>
      </c>
      <c r="F760" s="36">
        <v>15</v>
      </c>
      <c r="G760" t="s" s="35">
        <v>5477</v>
      </c>
      <c r="H760" t="s" s="35">
        <v>5487</v>
      </c>
      <c r="I760" t="s" s="120">
        <v>5493</v>
      </c>
      <c r="J760" t="s" s="35">
        <v>1301</v>
      </c>
      <c r="K760" t="s" s="35">
        <v>1353</v>
      </c>
      <c r="L760" s="39"/>
      <c r="M760" t="str" s="39">
        <v>Ondas y física atómica/nuclear</v>
      </c>
      <c r="N760" t="str" s="39">
        <v>Fenómenos ondulatorios</v>
      </c>
      <c r="O760" t="str" s="39" cm="1">
        <f t="array" ref="O760">IF(L760="","",_xlfn.IFERROR(INDEX('Datos - Catálogo TIMSS'!$C$5:$C$107,MATCH(L760,'Datos - Catálogo TIMSS'!$A$5:$A$107,0)),"?"))</f>
      </c>
      <c r="P760" t="s" s="35">
        <v>254</v>
      </c>
      <c r="Q760" t="s" s="120">
        <v>5494</v>
      </c>
      <c r="R760" t="s" s="120">
        <v>5495</v>
      </c>
      <c r="S760" s="121" cm="1">
        <f t="array" ref="S760">_xlfn.IFERROR(ISNUMBER(SEARCH("Conocer",$R760))/(ISNUMBER(SEARCH("Conocer",$R760))+ISNUMBER(SEARCH("Aplicar",$R760))+ISNUMBER(SEARCH("Razonar",$R760))),0)</f>
        <v>0</v>
      </c>
      <c r="T760" s="121" cm="1">
        <f t="array" ref="T760">_xlfn.IFERROR(ISNUMBER(SEARCH("Aplicar",$R760))/(ISNUMBER(SEARCH("Conocer",$R760))+ISNUMBER(SEARCH("Aplicar",$R760))+ISNUMBER(SEARCH("Razonar",$R760))),0)</f>
        <v>0.5</v>
      </c>
      <c r="U760" s="121" cm="1">
        <f t="array" ref="U760">_xlfn.IFERROR(ISNUMBER(SEARCH("Razonar",$R760))/(ISNUMBER(SEARCH("Conocer",$R760))+ISNUMBER(SEARCH("Aplicar",$R760))+ISNUMBER(SEARCH("Razonar",$R760))),0)</f>
        <v>0.5</v>
      </c>
      <c r="V760" t="s" s="35">
        <v>91</v>
      </c>
      <c r="W760" t="s" s="35">
        <v>119</v>
      </c>
      <c r="X760" s="36" cm="1">
        <f t="array" ref="X760">IF(OR(_xlfn.IFERROR(INDEX('Datos - Catálogo TIMSS'!$I$5:$I$107,MATCH(K760,'Datos - Catálogo TIMSS'!$A$5:$A$107,0)),"No")="Sí",_xlfn.IFERROR(INDEX('Datos - Catálogo TIMSS'!$I$5:$I$107,MATCH(L760,'Datos - Catálogo TIMSS'!$A$5:$A$107,0)),"No")="Sí"),1,0)</f>
        <v>0</v>
      </c>
      <c r="Y760" s="36" cm="1">
        <f t="array" ref="Y760">IF(_xlfn.IFERROR(INDEX('Datos - Catálogo TIMSS'!$J$5:$J$107,MATCH(K760,'Datos - Catálogo TIMSS'!$A$5:$A$107,0)),"No")="Sí",1,0)</f>
        <v>0</v>
      </c>
      <c r="Z760" s="36" cm="1">
        <f t="array" ref="Z760">IF(_xlfn.IFERROR(INDEX('Datos - Catálogo TIMSS'!$J$5:$J$107,MATCH(L760,'Datos - Catálogo TIMSS'!$A$5:$A$107,0)),"No")="Sí",1,0)</f>
        <v>0</v>
      </c>
      <c r="AA760" t="s" s="35">
        <v>1353</v>
      </c>
      <c r="AB760" s="39"/>
      <c r="AC760" t="str" s="39">
        <v>Ondas y física atómica/nuclear</v>
      </c>
      <c r="AD760" t="s" s="35">
        <v>1859</v>
      </c>
      <c r="AE760" t="str" s="39" cm="1">
        <f t="array" ref="AE760">IF(AD760="","",IF(LEFT(AD760,1)="1","C1",IF(LEFT(AD760,1)="2","C2",IF(LEFT(AD760,1)="3","C3",""))))</f>
        <v>C1</v>
      </c>
      <c r="AF760" t="s" s="35">
        <v>1602</v>
      </c>
      <c r="AG760" t="s" s="35">
        <v>1617</v>
      </c>
      <c r="AH760" t="s" s="35">
        <v>1605</v>
      </c>
      <c r="AI760" t="s" s="35">
        <v>1609</v>
      </c>
      <c r="AJ760" t="s" s="35">
        <v>1607</v>
      </c>
      <c r="AK760" s="39"/>
      <c r="AL760" s="39"/>
      <c r="AM760" s="39"/>
      <c r="AN760" s="39"/>
      <c r="AO760" s="39"/>
      <c r="AP760" s="39"/>
      <c r="AQ760" s="39"/>
      <c r="AR760" s="39"/>
      <c r="AS760" s="39"/>
      <c r="AT760" s="39"/>
      <c r="AU760" s="39"/>
      <c r="AV760" s="39"/>
      <c r="AW760" t="str" s="39" cm="1">
        <f t="array" ref="AW760">AF760&amp;"; "&amp;AG760&amp;"; "&amp;AH760&amp;"; "&amp;AI760&amp;"; "&amp;AJ760</f>
        <v>E1; D1; E2; E4; E3</v>
      </c>
    </row>
    <row r="761" ht="13.65" customHeight="1">
      <c r="A761" t="s" s="35">
        <v>5496</v>
      </c>
      <c r="B761" s="36">
        <v>11</v>
      </c>
      <c r="C761" t="s" s="35">
        <v>222</v>
      </c>
      <c r="D761" t="s" s="35">
        <v>4800</v>
      </c>
      <c r="E761" t="s" s="35">
        <v>5427</v>
      </c>
      <c r="F761" s="36">
        <v>16</v>
      </c>
      <c r="G761" t="s" s="35">
        <v>5497</v>
      </c>
      <c r="H761" t="s" s="35">
        <v>5498</v>
      </c>
      <c r="I761" t="s" s="120">
        <v>5499</v>
      </c>
      <c r="J761" t="s" s="35">
        <v>1301</v>
      </c>
      <c r="K761" t="s" s="35">
        <v>1353</v>
      </c>
      <c r="L761" s="39"/>
      <c r="M761" t="str" s="39">
        <v>Ondas y física atómica/nuclear</v>
      </c>
      <c r="N761" t="str" s="39">
        <v>Fenómenos ondulatorios</v>
      </c>
      <c r="O761" t="str" s="39" cm="1">
        <f t="array" ref="O761">IF(L761="","",_xlfn.IFERROR(INDEX('Datos - Catálogo TIMSS'!$C$5:$C$107,MATCH(L761,'Datos - Catálogo TIMSS'!$A$5:$A$107,0)),"?"))</f>
      </c>
      <c r="P761" t="s" s="35">
        <v>254</v>
      </c>
      <c r="Q761" t="s" s="120">
        <v>5500</v>
      </c>
      <c r="R761" t="s" s="120">
        <v>5501</v>
      </c>
      <c r="S761" s="121" cm="1">
        <f t="array" ref="S761">_xlfn.IFERROR(ISNUMBER(SEARCH("Conocer",$R761))/(ISNUMBER(SEARCH("Conocer",$R761))+ISNUMBER(SEARCH("Aplicar",$R761))+ISNUMBER(SEARCH("Razonar",$R761))),0)</f>
        <v>0.5</v>
      </c>
      <c r="T761" s="121" cm="1">
        <f t="array" ref="T761">_xlfn.IFERROR(ISNUMBER(SEARCH("Aplicar",$R761))/(ISNUMBER(SEARCH("Conocer",$R761))+ISNUMBER(SEARCH("Aplicar",$R761))+ISNUMBER(SEARCH("Razonar",$R761))),0)</f>
        <v>0.5</v>
      </c>
      <c r="U761" s="121" cm="1">
        <f t="array" ref="U761">_xlfn.IFERROR(ISNUMBER(SEARCH("Razonar",$R761))/(ISNUMBER(SEARCH("Conocer",$R761))+ISNUMBER(SEARCH("Aplicar",$R761))+ISNUMBER(SEARCH("Razonar",$R761))),0)</f>
        <v>0</v>
      </c>
      <c r="V761" t="s" s="35">
        <v>91</v>
      </c>
      <c r="W761" t="s" s="35">
        <v>119</v>
      </c>
      <c r="X761" s="36" cm="1">
        <f t="array" ref="X761">IF(OR(_xlfn.IFERROR(INDEX('Datos - Catálogo TIMSS'!$I$5:$I$107,MATCH(K761,'Datos - Catálogo TIMSS'!$A$5:$A$107,0)),"No")="Sí",_xlfn.IFERROR(INDEX('Datos - Catálogo TIMSS'!$I$5:$I$107,MATCH(L761,'Datos - Catálogo TIMSS'!$A$5:$A$107,0)),"No")="Sí"),1,0)</f>
        <v>0</v>
      </c>
      <c r="Y761" s="36" cm="1">
        <f t="array" ref="Y761">IF(_xlfn.IFERROR(INDEX('Datos - Catálogo TIMSS'!$J$5:$J$107,MATCH(K761,'Datos - Catálogo TIMSS'!$A$5:$A$107,0)),"No")="Sí",1,0)</f>
        <v>0</v>
      </c>
      <c r="Z761" s="36" cm="1">
        <f t="array" ref="Z761">IF(_xlfn.IFERROR(INDEX('Datos - Catálogo TIMSS'!$J$5:$J$107,MATCH(L761,'Datos - Catálogo TIMSS'!$A$5:$A$107,0)),"No")="Sí",1,0)</f>
        <v>0</v>
      </c>
      <c r="AA761" t="s" s="35">
        <v>1353</v>
      </c>
      <c r="AB761" s="39"/>
      <c r="AC761" t="str" s="39">
        <v>Ondas y física atómica/nuclear</v>
      </c>
      <c r="AD761" t="s" s="35">
        <v>1859</v>
      </c>
      <c r="AE761" t="str" s="39" cm="1">
        <f t="array" ref="AE761">IF(AD761="","",IF(LEFT(AD761,1)="1","C1",IF(LEFT(AD761,1)="2","C2",IF(LEFT(AD761,1)="3","C3",""))))</f>
        <v>C1</v>
      </c>
      <c r="AF761" t="s" s="35">
        <v>1602</v>
      </c>
      <c r="AG761" t="s" s="35">
        <v>1617</v>
      </c>
      <c r="AH761" t="s" s="35">
        <v>1605</v>
      </c>
      <c r="AI761" t="s" s="35">
        <v>1623</v>
      </c>
      <c r="AJ761" t="s" s="35">
        <v>1607</v>
      </c>
      <c r="AK761" s="39"/>
      <c r="AL761" s="39"/>
      <c r="AM761" s="39"/>
      <c r="AN761" s="39"/>
      <c r="AO761" s="39"/>
      <c r="AP761" s="39"/>
      <c r="AQ761" s="39"/>
      <c r="AR761" s="39"/>
      <c r="AS761" s="39"/>
      <c r="AT761" s="39"/>
      <c r="AU761" s="39"/>
      <c r="AV761" s="39"/>
      <c r="AW761" t="str" s="39" cm="1">
        <f t="array" ref="AW761">AF761&amp;"; "&amp;AG761&amp;"; "&amp;AH761&amp;"; "&amp;AI761&amp;"; "&amp;AJ761</f>
        <v>E1; D1; E2; D4; E3</v>
      </c>
    </row>
    <row r="762" ht="13.65" customHeight="1">
      <c r="A762" t="s" s="35">
        <v>5502</v>
      </c>
      <c r="B762" s="36">
        <v>11</v>
      </c>
      <c r="C762" t="s" s="35">
        <v>222</v>
      </c>
      <c r="D762" t="s" s="35">
        <v>4800</v>
      </c>
      <c r="E762" t="s" s="35">
        <v>5427</v>
      </c>
      <c r="F762" s="36">
        <v>17</v>
      </c>
      <c r="G762" t="s" s="35">
        <v>5497</v>
      </c>
      <c r="H762" t="s" s="35">
        <v>5498</v>
      </c>
      <c r="I762" t="s" s="120">
        <v>5503</v>
      </c>
      <c r="J762" t="s" s="35">
        <v>1301</v>
      </c>
      <c r="K762" t="s" s="35">
        <v>1353</v>
      </c>
      <c r="L762" s="39"/>
      <c r="M762" t="str" s="39">
        <v>Ondas y física atómica/nuclear</v>
      </c>
      <c r="N762" t="str" s="39">
        <v>Fenómenos ondulatorios</v>
      </c>
      <c r="O762" t="str" s="39" cm="1">
        <f t="array" ref="O762">IF(L762="","",_xlfn.IFERROR(INDEX('Datos - Catálogo TIMSS'!$C$5:$C$107,MATCH(L762,'Datos - Catálogo TIMSS'!$A$5:$A$107,0)),"?"))</f>
      </c>
      <c r="P762" t="s" s="35">
        <v>254</v>
      </c>
      <c r="Q762" t="s" s="120">
        <v>5504</v>
      </c>
      <c r="R762" t="s" s="120">
        <v>5505</v>
      </c>
      <c r="S762" s="121" cm="1">
        <f t="array" ref="S762">_xlfn.IFERROR(ISNUMBER(SEARCH("Conocer",$R762))/(ISNUMBER(SEARCH("Conocer",$R762))+ISNUMBER(SEARCH("Aplicar",$R762))+ISNUMBER(SEARCH("Razonar",$R762))),0)</f>
        <v>0</v>
      </c>
      <c r="T762" s="121" cm="1">
        <f t="array" ref="T762">_xlfn.IFERROR(ISNUMBER(SEARCH("Aplicar",$R762))/(ISNUMBER(SEARCH("Conocer",$R762))+ISNUMBER(SEARCH("Aplicar",$R762))+ISNUMBER(SEARCH("Razonar",$R762))),0)</f>
        <v>0.5</v>
      </c>
      <c r="U762" s="121" cm="1">
        <f t="array" ref="U762">_xlfn.IFERROR(ISNUMBER(SEARCH("Razonar",$R762))/(ISNUMBER(SEARCH("Conocer",$R762))+ISNUMBER(SEARCH("Aplicar",$R762))+ISNUMBER(SEARCH("Razonar",$R762))),0)</f>
        <v>0.5</v>
      </c>
      <c r="V762" t="s" s="35">
        <v>91</v>
      </c>
      <c r="W762" t="s" s="35">
        <v>119</v>
      </c>
      <c r="X762" s="36" cm="1">
        <f t="array" ref="X762">IF(OR(_xlfn.IFERROR(INDEX('Datos - Catálogo TIMSS'!$I$5:$I$107,MATCH(K762,'Datos - Catálogo TIMSS'!$A$5:$A$107,0)),"No")="Sí",_xlfn.IFERROR(INDEX('Datos - Catálogo TIMSS'!$I$5:$I$107,MATCH(L762,'Datos - Catálogo TIMSS'!$A$5:$A$107,0)),"No")="Sí"),1,0)</f>
        <v>0</v>
      </c>
      <c r="Y762" s="36" cm="1">
        <f t="array" ref="Y762">IF(_xlfn.IFERROR(INDEX('Datos - Catálogo TIMSS'!$J$5:$J$107,MATCH(K762,'Datos - Catálogo TIMSS'!$A$5:$A$107,0)),"No")="Sí",1,0)</f>
        <v>0</v>
      </c>
      <c r="Z762" s="36" cm="1">
        <f t="array" ref="Z762">IF(_xlfn.IFERROR(INDEX('Datos - Catálogo TIMSS'!$J$5:$J$107,MATCH(L762,'Datos - Catálogo TIMSS'!$A$5:$A$107,0)),"No")="Sí",1,0)</f>
        <v>0</v>
      </c>
      <c r="AA762" t="s" s="35">
        <v>1353</v>
      </c>
      <c r="AB762" s="39"/>
      <c r="AC762" t="str" s="39">
        <v>Ondas y física atómica/nuclear</v>
      </c>
      <c r="AD762" t="s" s="35">
        <v>1834</v>
      </c>
      <c r="AE762" t="str" s="39" cm="1">
        <f t="array" ref="AE762">IF(AD762="","",IF(LEFT(AD762,1)="1","C1",IF(LEFT(AD762,1)="2","C2",IF(LEFT(AD762,1)="3","C3",""))))</f>
        <v>C2</v>
      </c>
      <c r="AF762" t="s" s="35">
        <v>1602</v>
      </c>
      <c r="AG762" t="s" s="35">
        <v>1612</v>
      </c>
      <c r="AH762" t="s" s="35">
        <v>1602</v>
      </c>
      <c r="AI762" t="s" s="35">
        <v>1619</v>
      </c>
      <c r="AJ762" t="s" s="35">
        <v>1621</v>
      </c>
      <c r="AK762" s="39"/>
      <c r="AL762" s="39"/>
      <c r="AM762" s="39"/>
      <c r="AN762" s="39"/>
      <c r="AO762" s="39"/>
      <c r="AP762" s="39"/>
      <c r="AQ762" s="39"/>
      <c r="AR762" s="39"/>
      <c r="AS762" s="39"/>
      <c r="AT762" s="39"/>
      <c r="AU762" s="39"/>
      <c r="AV762" s="39"/>
      <c r="AW762" t="str" s="39" cm="1">
        <f t="array" ref="AW762">AF762&amp;"; "&amp;AG762&amp;"; "&amp;AH762&amp;"; "&amp;AI762&amp;"; "&amp;AJ762</f>
        <v>E1; E5; E1; D2; D3</v>
      </c>
    </row>
    <row r="763" ht="13.65" customHeight="1">
      <c r="A763" t="s" s="35">
        <v>5506</v>
      </c>
      <c r="B763" s="36">
        <v>11</v>
      </c>
      <c r="C763" t="s" s="35">
        <v>222</v>
      </c>
      <c r="D763" t="s" s="35">
        <v>4800</v>
      </c>
      <c r="E763" t="s" s="35">
        <v>5427</v>
      </c>
      <c r="F763" s="36">
        <v>18</v>
      </c>
      <c r="G763" t="s" s="35">
        <v>5497</v>
      </c>
      <c r="H763" t="s" s="35">
        <v>5507</v>
      </c>
      <c r="I763" t="s" s="120">
        <v>5508</v>
      </c>
      <c r="J763" t="s" s="35">
        <v>1301</v>
      </c>
      <c r="K763" t="s" s="35">
        <v>1353</v>
      </c>
      <c r="L763" s="39"/>
      <c r="M763" t="str" s="39">
        <v>Ondas y física atómica/nuclear</v>
      </c>
      <c r="N763" t="str" s="39">
        <v>Fenómenos ondulatorios</v>
      </c>
      <c r="O763" t="str" s="39" cm="1">
        <f t="array" ref="O763">IF(L763="","",_xlfn.IFERROR(INDEX('Datos - Catálogo TIMSS'!$C$5:$C$107,MATCH(L763,'Datos - Catálogo TIMSS'!$A$5:$A$107,0)),"?"))</f>
      </c>
      <c r="P763" t="s" s="35">
        <v>282</v>
      </c>
      <c r="Q763" t="s" s="120">
        <v>5509</v>
      </c>
      <c r="R763" t="s" s="120">
        <v>5510</v>
      </c>
      <c r="S763" s="121" cm="1">
        <f t="array" ref="S763">_xlfn.IFERROR(ISNUMBER(SEARCH("Conocer",$R763))/(ISNUMBER(SEARCH("Conocer",$R763))+ISNUMBER(SEARCH("Aplicar",$R763))+ISNUMBER(SEARCH("Razonar",$R763))),0)</f>
        <v>0</v>
      </c>
      <c r="T763" s="121" cm="1">
        <f t="array" ref="T763">_xlfn.IFERROR(ISNUMBER(SEARCH("Aplicar",$R763))/(ISNUMBER(SEARCH("Conocer",$R763))+ISNUMBER(SEARCH("Aplicar",$R763))+ISNUMBER(SEARCH("Razonar",$R763))),0)</f>
        <v>0.5</v>
      </c>
      <c r="U763" s="121" cm="1">
        <f t="array" ref="U763">_xlfn.IFERROR(ISNUMBER(SEARCH("Razonar",$R763))/(ISNUMBER(SEARCH("Conocer",$R763))+ISNUMBER(SEARCH("Aplicar",$R763))+ISNUMBER(SEARCH("Razonar",$R763))),0)</f>
        <v>0.5</v>
      </c>
      <c r="V763" t="s" s="35">
        <v>91</v>
      </c>
      <c r="W763" t="s" s="35">
        <v>119</v>
      </c>
      <c r="X763" s="36" cm="1">
        <f t="array" ref="X763">IF(OR(_xlfn.IFERROR(INDEX('Datos - Catálogo TIMSS'!$I$5:$I$107,MATCH(K763,'Datos - Catálogo TIMSS'!$A$5:$A$107,0)),"No")="Sí",_xlfn.IFERROR(INDEX('Datos - Catálogo TIMSS'!$I$5:$I$107,MATCH(L763,'Datos - Catálogo TIMSS'!$A$5:$A$107,0)),"No")="Sí"),1,0)</f>
        <v>0</v>
      </c>
      <c r="Y763" s="36" cm="1">
        <f t="array" ref="Y763">IF(_xlfn.IFERROR(INDEX('Datos - Catálogo TIMSS'!$J$5:$J$107,MATCH(K763,'Datos - Catálogo TIMSS'!$A$5:$A$107,0)),"No")="Sí",1,0)</f>
        <v>0</v>
      </c>
      <c r="Z763" s="36" cm="1">
        <f t="array" ref="Z763">IF(_xlfn.IFERROR(INDEX('Datos - Catálogo TIMSS'!$J$5:$J$107,MATCH(L763,'Datos - Catálogo TIMSS'!$A$5:$A$107,0)),"No")="Sí",1,0)</f>
        <v>0</v>
      </c>
      <c r="AA763" t="s" s="35">
        <v>1353</v>
      </c>
      <c r="AB763" s="39"/>
      <c r="AC763" t="str" s="39">
        <v>Ondas y física atómica/nuclear</v>
      </c>
      <c r="AD763" t="s" s="35">
        <v>1859</v>
      </c>
      <c r="AE763" t="str" s="39" cm="1">
        <f t="array" ref="AE763">IF(AD763="","",IF(LEFT(AD763,1)="1","C1",IF(LEFT(AD763,1)="2","C2",IF(LEFT(AD763,1)="3","C3",""))))</f>
        <v>C1</v>
      </c>
      <c r="AF763" t="s" s="35">
        <v>1615</v>
      </c>
      <c r="AG763" t="s" s="35">
        <v>1607</v>
      </c>
      <c r="AH763" t="s" s="35">
        <v>1605</v>
      </c>
      <c r="AI763" t="s" s="35">
        <v>1609</v>
      </c>
      <c r="AJ763" t="s" s="35">
        <v>1633</v>
      </c>
      <c r="AK763" s="39"/>
      <c r="AL763" s="39"/>
      <c r="AM763" s="39"/>
      <c r="AN763" s="39"/>
      <c r="AO763" s="39"/>
      <c r="AP763" s="39"/>
      <c r="AQ763" s="39"/>
      <c r="AR763" s="39"/>
      <c r="AS763" s="39"/>
      <c r="AT763" s="39"/>
      <c r="AU763" s="39"/>
      <c r="AV763" s="39"/>
      <c r="AW763" t="str" s="39" cm="1">
        <f t="array" ref="AW763">AF763&amp;"; "&amp;AG763&amp;"; "&amp;AH763&amp;"; "&amp;AI763&amp;"; "&amp;AJ763</f>
        <v>E6; E3; E2; E4; I5</v>
      </c>
    </row>
    <row r="764" ht="13.65" customHeight="1">
      <c r="A764" t="s" s="35">
        <v>5512</v>
      </c>
      <c r="B764" s="36">
        <v>11</v>
      </c>
      <c r="C764" t="s" s="35">
        <v>222</v>
      </c>
      <c r="D764" t="s" s="35">
        <v>4800</v>
      </c>
      <c r="E764" t="s" s="35">
        <v>5427</v>
      </c>
      <c r="F764" s="36">
        <v>19</v>
      </c>
      <c r="G764" t="s" s="35">
        <v>5497</v>
      </c>
      <c r="H764" t="s" s="35">
        <v>5507</v>
      </c>
      <c r="I764" t="s" s="120">
        <v>5513</v>
      </c>
      <c r="J764" t="s" s="35">
        <v>1301</v>
      </c>
      <c r="K764" t="s" s="35">
        <v>1353</v>
      </c>
      <c r="L764" s="39"/>
      <c r="M764" t="str" s="39">
        <v>Ondas y física atómica/nuclear</v>
      </c>
      <c r="N764" t="str" s="39">
        <v>Fenómenos ondulatorios</v>
      </c>
      <c r="O764" t="str" s="39" cm="1">
        <f t="array" ref="O764">IF(L764="","",_xlfn.IFERROR(INDEX('Datos - Catálogo TIMSS'!$C$5:$C$107,MATCH(L764,'Datos - Catálogo TIMSS'!$A$5:$A$107,0)),"?"))</f>
      </c>
      <c r="P764" t="s" s="35">
        <v>282</v>
      </c>
      <c r="Q764" t="s" s="120">
        <v>5514</v>
      </c>
      <c r="R764" t="s" s="120">
        <v>5515</v>
      </c>
      <c r="S764" s="121" cm="1">
        <f t="array" ref="S764">_xlfn.IFERROR(ISNUMBER(SEARCH("Conocer",$R764))/(ISNUMBER(SEARCH("Conocer",$R764))+ISNUMBER(SEARCH("Aplicar",$R764))+ISNUMBER(SEARCH("Razonar",$R764))),0)</f>
        <v>0</v>
      </c>
      <c r="T764" s="121" cm="1">
        <f t="array" ref="T764">_xlfn.IFERROR(ISNUMBER(SEARCH("Aplicar",$R764))/(ISNUMBER(SEARCH("Conocer",$R764))+ISNUMBER(SEARCH("Aplicar",$R764))+ISNUMBER(SEARCH("Razonar",$R764))),0)</f>
        <v>0.5</v>
      </c>
      <c r="U764" s="121" cm="1">
        <f t="array" ref="U764">_xlfn.IFERROR(ISNUMBER(SEARCH("Razonar",$R764))/(ISNUMBER(SEARCH("Conocer",$R764))+ISNUMBER(SEARCH("Aplicar",$R764))+ISNUMBER(SEARCH("Razonar",$R764))),0)</f>
        <v>0.5</v>
      </c>
      <c r="V764" t="s" s="35">
        <v>91</v>
      </c>
      <c r="W764" t="s" s="35">
        <v>119</v>
      </c>
      <c r="X764" s="36" cm="1">
        <f t="array" ref="X764">IF(OR(_xlfn.IFERROR(INDEX('Datos - Catálogo TIMSS'!$I$5:$I$107,MATCH(K764,'Datos - Catálogo TIMSS'!$A$5:$A$107,0)),"No")="Sí",_xlfn.IFERROR(INDEX('Datos - Catálogo TIMSS'!$I$5:$I$107,MATCH(L764,'Datos - Catálogo TIMSS'!$A$5:$A$107,0)),"No")="Sí"),1,0)</f>
        <v>0</v>
      </c>
      <c r="Y764" s="36" cm="1">
        <f t="array" ref="Y764">IF(_xlfn.IFERROR(INDEX('Datos - Catálogo TIMSS'!$J$5:$J$107,MATCH(K764,'Datos - Catálogo TIMSS'!$A$5:$A$107,0)),"No")="Sí",1,0)</f>
        <v>0</v>
      </c>
      <c r="Z764" s="36" cm="1">
        <f t="array" ref="Z764">IF(_xlfn.IFERROR(INDEX('Datos - Catálogo TIMSS'!$J$5:$J$107,MATCH(L764,'Datos - Catálogo TIMSS'!$A$5:$A$107,0)),"No")="Sí",1,0)</f>
        <v>0</v>
      </c>
      <c r="AA764" t="s" s="35">
        <v>1353</v>
      </c>
      <c r="AB764" s="39"/>
      <c r="AC764" t="str" s="39">
        <v>Ondas y física atómica/nuclear</v>
      </c>
      <c r="AD764" t="s" s="35">
        <v>1900</v>
      </c>
      <c r="AE764" t="str" s="39" cm="1">
        <f t="array" ref="AE764">IF(AD764="","",IF(LEFT(AD764,1)="1","C1",IF(LEFT(AD764,1)="2","C2",IF(LEFT(AD764,1)="3","C3",""))))</f>
        <v>C3</v>
      </c>
      <c r="AF764" t="s" s="35">
        <v>1615</v>
      </c>
      <c r="AG764" t="s" s="35">
        <v>1617</v>
      </c>
      <c r="AH764" t="s" s="35">
        <v>1602</v>
      </c>
      <c r="AI764" t="s" s="35">
        <v>1629</v>
      </c>
      <c r="AJ764" t="s" s="35">
        <v>1633</v>
      </c>
      <c r="AK764" s="39"/>
      <c r="AL764" s="39"/>
      <c r="AM764" s="39"/>
      <c r="AN764" s="39"/>
      <c r="AO764" s="39"/>
      <c r="AP764" s="39"/>
      <c r="AQ764" s="39"/>
      <c r="AR764" s="39"/>
      <c r="AS764" s="39"/>
      <c r="AT764" s="39"/>
      <c r="AU764" s="39"/>
      <c r="AV764" s="39"/>
      <c r="AW764" t="str" s="39" cm="1">
        <f t="array" ref="AW764">AF764&amp;"; "&amp;AG764&amp;"; "&amp;AH764&amp;"; "&amp;AI764&amp;"; "&amp;AJ764</f>
        <v>E6; D1; E1; I3; I5</v>
      </c>
    </row>
    <row r="765" ht="13.65" customHeight="1">
      <c r="A765" t="s" s="35">
        <v>5516</v>
      </c>
      <c r="B765" s="36">
        <v>11</v>
      </c>
      <c r="C765" t="s" s="35">
        <v>222</v>
      </c>
      <c r="D765" t="s" s="35">
        <v>4800</v>
      </c>
      <c r="E765" t="s" s="35">
        <v>5427</v>
      </c>
      <c r="F765" s="36">
        <v>20</v>
      </c>
      <c r="G765" t="s" s="35">
        <v>5497</v>
      </c>
      <c r="H765" t="s" s="35">
        <v>5517</v>
      </c>
      <c r="I765" t="s" s="120">
        <v>5518</v>
      </c>
      <c r="J765" t="s" s="35">
        <v>1301</v>
      </c>
      <c r="K765" t="s" s="35">
        <v>1353</v>
      </c>
      <c r="L765" s="39"/>
      <c r="M765" t="str" s="39">
        <v>Ondas y física atómica/nuclear</v>
      </c>
      <c r="N765" t="str" s="39">
        <v>Fenómenos ondulatorios</v>
      </c>
      <c r="O765" t="str" s="39" cm="1">
        <f t="array" ref="O765">IF(L765="","",_xlfn.IFERROR(INDEX('Datos - Catálogo TIMSS'!$C$5:$C$107,MATCH(L765,'Datos - Catálogo TIMSS'!$A$5:$A$107,0)),"?"))</f>
      </c>
      <c r="P765" t="s" s="35">
        <v>282</v>
      </c>
      <c r="Q765" t="s" s="120">
        <v>5519</v>
      </c>
      <c r="R765" t="s" s="120">
        <v>5520</v>
      </c>
      <c r="S765" s="121" cm="1">
        <f t="array" ref="S765">_xlfn.IFERROR(ISNUMBER(SEARCH("Conocer",$R765))/(ISNUMBER(SEARCH("Conocer",$R765))+ISNUMBER(SEARCH("Aplicar",$R765))+ISNUMBER(SEARCH("Razonar",$R765))),0)</f>
        <v>0</v>
      </c>
      <c r="T765" s="121" cm="1">
        <f t="array" ref="T765">_xlfn.IFERROR(ISNUMBER(SEARCH("Aplicar",$R765))/(ISNUMBER(SEARCH("Conocer",$R765))+ISNUMBER(SEARCH("Aplicar",$R765))+ISNUMBER(SEARCH("Razonar",$R765))),0)</f>
        <v>0.5</v>
      </c>
      <c r="U765" s="121" cm="1">
        <f t="array" ref="U765">_xlfn.IFERROR(ISNUMBER(SEARCH("Razonar",$R765))/(ISNUMBER(SEARCH("Conocer",$R765))+ISNUMBER(SEARCH("Aplicar",$R765))+ISNUMBER(SEARCH("Razonar",$R765))),0)</f>
        <v>0.5</v>
      </c>
      <c r="V765" t="s" s="35">
        <v>91</v>
      </c>
      <c r="W765" t="s" s="35">
        <v>119</v>
      </c>
      <c r="X765" s="36" cm="1">
        <f t="array" ref="X765">IF(OR(_xlfn.IFERROR(INDEX('Datos - Catálogo TIMSS'!$I$5:$I$107,MATCH(K765,'Datos - Catálogo TIMSS'!$A$5:$A$107,0)),"No")="Sí",_xlfn.IFERROR(INDEX('Datos - Catálogo TIMSS'!$I$5:$I$107,MATCH(L765,'Datos - Catálogo TIMSS'!$A$5:$A$107,0)),"No")="Sí"),1,0)</f>
        <v>0</v>
      </c>
      <c r="Y765" s="36" cm="1">
        <f t="array" ref="Y765">IF(_xlfn.IFERROR(INDEX('Datos - Catálogo TIMSS'!$J$5:$J$107,MATCH(K765,'Datos - Catálogo TIMSS'!$A$5:$A$107,0)),"No")="Sí",1,0)</f>
        <v>0</v>
      </c>
      <c r="Z765" s="36" cm="1">
        <f t="array" ref="Z765">IF(_xlfn.IFERROR(INDEX('Datos - Catálogo TIMSS'!$J$5:$J$107,MATCH(L765,'Datos - Catálogo TIMSS'!$A$5:$A$107,0)),"No")="Sí",1,0)</f>
        <v>0</v>
      </c>
      <c r="AA765" t="s" s="35">
        <v>1353</v>
      </c>
      <c r="AB765" s="39"/>
      <c r="AC765" t="str" s="39">
        <v>Ondas y física atómica/nuclear</v>
      </c>
      <c r="AD765" t="s" s="35">
        <v>1859</v>
      </c>
      <c r="AE765" t="str" s="39" cm="1">
        <f t="array" ref="AE765">IF(AD765="","",IF(LEFT(AD765,1)="1","C1",IF(LEFT(AD765,1)="2","C2",IF(LEFT(AD765,1)="3","C3",""))))</f>
        <v>C1</v>
      </c>
      <c r="AF765" t="s" s="35">
        <v>1602</v>
      </c>
      <c r="AG765" t="s" s="35">
        <v>1612</v>
      </c>
      <c r="AH765" t="s" s="35">
        <v>1609</v>
      </c>
      <c r="AI765" t="s" s="35">
        <v>1623</v>
      </c>
      <c r="AJ765" t="s" s="35">
        <v>1607</v>
      </c>
      <c r="AK765" s="39"/>
      <c r="AL765" s="39"/>
      <c r="AM765" s="39"/>
      <c r="AN765" s="39"/>
      <c r="AO765" s="39"/>
      <c r="AP765" s="39"/>
      <c r="AQ765" s="39"/>
      <c r="AR765" s="39"/>
      <c r="AS765" s="39"/>
      <c r="AT765" s="39"/>
      <c r="AU765" s="39"/>
      <c r="AV765" s="39"/>
      <c r="AW765" t="str" s="39" cm="1">
        <f t="array" ref="AW765">AF765&amp;"; "&amp;AG765&amp;"; "&amp;AH765&amp;"; "&amp;AI765&amp;"; "&amp;AJ765</f>
        <v>E1; E5; E4; D4; E3</v>
      </c>
    </row>
    <row r="766" ht="13.65" customHeight="1">
      <c r="A766" t="s" s="35">
        <v>5521</v>
      </c>
      <c r="B766" s="36">
        <v>11</v>
      </c>
      <c r="C766" t="s" s="35">
        <v>222</v>
      </c>
      <c r="D766" t="s" s="35">
        <v>4800</v>
      </c>
      <c r="E766" t="s" s="35">
        <v>5427</v>
      </c>
      <c r="F766" s="36">
        <v>21</v>
      </c>
      <c r="G766" t="s" s="35">
        <v>5497</v>
      </c>
      <c r="H766" t="s" s="35">
        <v>5517</v>
      </c>
      <c r="I766" t="s" s="120">
        <v>5522</v>
      </c>
      <c r="J766" t="s" s="35">
        <v>1301</v>
      </c>
      <c r="K766" t="s" s="35">
        <v>1353</v>
      </c>
      <c r="L766" t="s" s="35">
        <v>1363</v>
      </c>
      <c r="M766" t="str" s="39">
        <v>Ondas y física atómica/nuclear</v>
      </c>
      <c r="N766" t="str" s="39">
        <v>Fenómenos ondulatorios</v>
      </c>
      <c r="O766" t="str" s="39" cm="1">
        <f t="array" ref="O766">IF(L766="","",_xlfn.IFERROR(INDEX('Datos - Catálogo TIMSS'!$C$5:$C$107,MATCH(L766,'Datos - Catálogo TIMSS'!$A$5:$A$107,0)),"?"))</f>
        <v>Ondas y física atómica/nuclear</v>
      </c>
      <c r="P766" t="s" s="35">
        <v>282</v>
      </c>
      <c r="Q766" t="s" s="120">
        <v>5523</v>
      </c>
      <c r="R766" t="s" s="120">
        <v>5524</v>
      </c>
      <c r="S766" s="121" cm="1">
        <f t="array" ref="S766">_xlfn.IFERROR(ISNUMBER(SEARCH("Conocer",$R766))/(ISNUMBER(SEARCH("Conocer",$R766))+ISNUMBER(SEARCH("Aplicar",$R766))+ISNUMBER(SEARCH("Razonar",$R766))),0)</f>
        <v>0.5</v>
      </c>
      <c r="T766" s="121" cm="1">
        <f t="array" ref="T766">_xlfn.IFERROR(ISNUMBER(SEARCH("Aplicar",$R766))/(ISNUMBER(SEARCH("Conocer",$R766))+ISNUMBER(SEARCH("Aplicar",$R766))+ISNUMBER(SEARCH("Razonar",$R766))),0)</f>
        <v>0.5</v>
      </c>
      <c r="U766" s="121" cm="1">
        <f t="array" ref="U766">_xlfn.IFERROR(ISNUMBER(SEARCH("Razonar",$R766))/(ISNUMBER(SEARCH("Conocer",$R766))+ISNUMBER(SEARCH("Aplicar",$R766))+ISNUMBER(SEARCH("Razonar",$R766))),0)</f>
        <v>0</v>
      </c>
      <c r="V766" t="s" s="35">
        <v>91</v>
      </c>
      <c r="W766" t="s" s="35">
        <v>119</v>
      </c>
      <c r="X766" s="36" cm="1">
        <f t="array" ref="X766">IF(OR(_xlfn.IFERROR(INDEX('Datos - Catálogo TIMSS'!$I$5:$I$107,MATCH(K766,'Datos - Catálogo TIMSS'!$A$5:$A$107,0)),"No")="Sí",_xlfn.IFERROR(INDEX('Datos - Catálogo TIMSS'!$I$5:$I$107,MATCH(L766,'Datos - Catálogo TIMSS'!$A$5:$A$107,0)),"No")="Sí"),1,0)</f>
        <v>0</v>
      </c>
      <c r="Y766" s="36" cm="1">
        <f t="array" ref="Y766">IF(_xlfn.IFERROR(INDEX('Datos - Catálogo TIMSS'!$J$5:$J$107,MATCH(K766,'Datos - Catálogo TIMSS'!$A$5:$A$107,0)),"No")="Sí",1,0)</f>
        <v>0</v>
      </c>
      <c r="Z766" s="36" cm="1">
        <f t="array" ref="Z766">IF(_xlfn.IFERROR(INDEX('Datos - Catálogo TIMSS'!$J$5:$J$107,MATCH(L766,'Datos - Catálogo TIMSS'!$A$5:$A$107,0)),"No")="Sí",1,0)</f>
        <v>0</v>
      </c>
      <c r="AA766" t="s" s="35">
        <v>1353</v>
      </c>
      <c r="AB766" t="s" s="35">
        <v>1363</v>
      </c>
      <c r="AC766" t="str" s="39">
        <v>Ondas y física atómica/nuclear</v>
      </c>
      <c r="AD766" t="s" s="35">
        <v>1900</v>
      </c>
      <c r="AE766" t="str" s="39" cm="1">
        <f t="array" ref="AE766">IF(AD766="","",IF(LEFT(AD766,1)="1","C1",IF(LEFT(AD766,1)="2","C2",IF(LEFT(AD766,1)="3","C3",""))))</f>
        <v>C3</v>
      </c>
      <c r="AF766" t="s" s="35">
        <v>1615</v>
      </c>
      <c r="AG766" t="s" s="35">
        <v>1607</v>
      </c>
      <c r="AH766" t="s" s="35">
        <v>1602</v>
      </c>
      <c r="AI766" t="s" s="35">
        <v>1625</v>
      </c>
      <c r="AJ766" t="s" s="35">
        <v>1627</v>
      </c>
      <c r="AK766" s="39"/>
      <c r="AL766" s="39"/>
      <c r="AM766" s="39"/>
      <c r="AN766" s="39"/>
      <c r="AO766" s="39"/>
      <c r="AP766" s="39"/>
      <c r="AQ766" s="39"/>
      <c r="AR766" s="39"/>
      <c r="AS766" s="39"/>
      <c r="AT766" s="39"/>
      <c r="AU766" s="39"/>
      <c r="AV766" s="39"/>
      <c r="AW766" t="str" s="39" cm="1">
        <f t="array" ref="AW766">AF766&amp;"; "&amp;AG766&amp;"; "&amp;AH766&amp;"; "&amp;AI766&amp;"; "&amp;AJ766</f>
        <v>E6; E3; E1; I1; I2</v>
      </c>
    </row>
    <row r="767" ht="13.65" customHeight="1">
      <c r="A767" t="s" s="35">
        <v>5526</v>
      </c>
      <c r="B767" s="36">
        <v>11</v>
      </c>
      <c r="C767" t="s" s="35">
        <v>222</v>
      </c>
      <c r="D767" t="s" s="35">
        <v>4800</v>
      </c>
      <c r="E767" t="s" s="35">
        <v>5427</v>
      </c>
      <c r="F767" s="36">
        <v>22</v>
      </c>
      <c r="G767" t="s" s="35">
        <v>5497</v>
      </c>
      <c r="H767" t="s" s="35">
        <v>5527</v>
      </c>
      <c r="I767" t="s" s="120">
        <v>5528</v>
      </c>
      <c r="J767" t="s" s="35">
        <v>1301</v>
      </c>
      <c r="K767" t="s" s="35">
        <v>1353</v>
      </c>
      <c r="L767" s="39"/>
      <c r="M767" t="str" s="39">
        <v>Ondas y física atómica/nuclear</v>
      </c>
      <c r="N767" t="str" s="39">
        <v>Fenómenos ondulatorios</v>
      </c>
      <c r="O767" t="str" s="39" cm="1">
        <f t="array" ref="O767">IF(L767="","",_xlfn.IFERROR(INDEX('Datos - Catálogo TIMSS'!$C$5:$C$107,MATCH(L767,'Datos - Catálogo TIMSS'!$A$5:$A$107,0)),"?"))</f>
      </c>
      <c r="P767" t="s" s="35">
        <v>291</v>
      </c>
      <c r="Q767" t="s" s="120">
        <v>5529</v>
      </c>
      <c r="R767" t="s" s="120">
        <v>5530</v>
      </c>
      <c r="S767" s="121" cm="1">
        <f t="array" ref="S767">_xlfn.IFERROR(ISNUMBER(SEARCH("Conocer",$R767))/(ISNUMBER(SEARCH("Conocer",$R767))+ISNUMBER(SEARCH("Aplicar",$R767))+ISNUMBER(SEARCH("Razonar",$R767))),0)</f>
        <v>0</v>
      </c>
      <c r="T767" s="121" cm="1">
        <f t="array" ref="T767">_xlfn.IFERROR(ISNUMBER(SEARCH("Aplicar",$R767))/(ISNUMBER(SEARCH("Conocer",$R767))+ISNUMBER(SEARCH("Aplicar",$R767))+ISNUMBER(SEARCH("Razonar",$R767))),0)</f>
        <v>0.5</v>
      </c>
      <c r="U767" s="121" cm="1">
        <f t="array" ref="U767">_xlfn.IFERROR(ISNUMBER(SEARCH("Razonar",$R767))/(ISNUMBER(SEARCH("Conocer",$R767))+ISNUMBER(SEARCH("Aplicar",$R767))+ISNUMBER(SEARCH("Razonar",$R767))),0)</f>
        <v>0.5</v>
      </c>
      <c r="V767" t="s" s="35">
        <v>91</v>
      </c>
      <c r="W767" t="s" s="35">
        <v>119</v>
      </c>
      <c r="X767" s="36" cm="1">
        <f t="array" ref="X767">IF(OR(_xlfn.IFERROR(INDEX('Datos - Catálogo TIMSS'!$I$5:$I$107,MATCH(K767,'Datos - Catálogo TIMSS'!$A$5:$A$107,0)),"No")="Sí",_xlfn.IFERROR(INDEX('Datos - Catálogo TIMSS'!$I$5:$I$107,MATCH(L767,'Datos - Catálogo TIMSS'!$A$5:$A$107,0)),"No")="Sí"),1,0)</f>
        <v>0</v>
      </c>
      <c r="Y767" s="36" cm="1">
        <f t="array" ref="Y767">IF(_xlfn.IFERROR(INDEX('Datos - Catálogo TIMSS'!$J$5:$J$107,MATCH(K767,'Datos - Catálogo TIMSS'!$A$5:$A$107,0)),"No")="Sí",1,0)</f>
        <v>0</v>
      </c>
      <c r="Z767" s="36" cm="1">
        <f t="array" ref="Z767">IF(_xlfn.IFERROR(INDEX('Datos - Catálogo TIMSS'!$J$5:$J$107,MATCH(L767,'Datos - Catálogo TIMSS'!$A$5:$A$107,0)),"No")="Sí",1,0)</f>
        <v>0</v>
      </c>
      <c r="AA767" t="s" s="35">
        <v>1353</v>
      </c>
      <c r="AB767" s="39"/>
      <c r="AC767" t="str" s="39">
        <v>Ondas y física atómica/nuclear</v>
      </c>
      <c r="AD767" t="s" s="35">
        <v>1859</v>
      </c>
      <c r="AE767" t="str" s="39" cm="1">
        <f t="array" ref="AE767">IF(AD767="","",IF(LEFT(AD767,1)="1","C1",IF(LEFT(AD767,1)="2","C2",IF(LEFT(AD767,1)="3","C3",""))))</f>
        <v>C1</v>
      </c>
      <c r="AF767" t="s" s="35">
        <v>1602</v>
      </c>
      <c r="AG767" t="s" s="35">
        <v>1617</v>
      </c>
      <c r="AH767" t="s" s="35">
        <v>1605</v>
      </c>
      <c r="AI767" t="s" s="35">
        <v>1629</v>
      </c>
      <c r="AJ767" t="s" s="35">
        <v>1615</v>
      </c>
      <c r="AK767" s="39"/>
      <c r="AL767" s="39"/>
      <c r="AM767" s="39"/>
      <c r="AN767" s="39"/>
      <c r="AO767" s="39"/>
      <c r="AP767" s="39"/>
      <c r="AQ767" s="39"/>
      <c r="AR767" s="39"/>
      <c r="AS767" s="39"/>
      <c r="AT767" s="39"/>
      <c r="AU767" s="39"/>
      <c r="AV767" s="39"/>
      <c r="AW767" t="str" s="39" cm="1">
        <f t="array" ref="AW767">AF767&amp;"; "&amp;AG767&amp;"; "&amp;AH767&amp;"; "&amp;AI767&amp;"; "&amp;AJ767</f>
        <v>E1; D1; E2; I3; E6</v>
      </c>
    </row>
    <row r="768" ht="13.65" customHeight="1">
      <c r="A768" t="s" s="35">
        <v>5532</v>
      </c>
      <c r="B768" s="36">
        <v>11</v>
      </c>
      <c r="C768" t="s" s="35">
        <v>222</v>
      </c>
      <c r="D768" t="s" s="35">
        <v>4800</v>
      </c>
      <c r="E768" t="s" s="35">
        <v>5427</v>
      </c>
      <c r="F768" s="36">
        <v>23</v>
      </c>
      <c r="G768" t="s" s="35">
        <v>5533</v>
      </c>
      <c r="H768" t="s" s="35">
        <v>5534</v>
      </c>
      <c r="I768" t="s" s="120">
        <v>5535</v>
      </c>
      <c r="J768" t="s" s="35">
        <v>1301</v>
      </c>
      <c r="K768" t="s" s="35">
        <v>1363</v>
      </c>
      <c r="L768" s="39"/>
      <c r="M768" t="str" s="39">
        <v>Ondas y física atómica/nuclear</v>
      </c>
      <c r="N768" t="str" s="39">
        <v>Fenómenos ondulatorios</v>
      </c>
      <c r="O768" t="str" s="39" cm="1">
        <f t="array" ref="O768">IF(L768="","",_xlfn.IFERROR(INDEX('Datos - Catálogo TIMSS'!$C$5:$C$107,MATCH(L768,'Datos - Catálogo TIMSS'!$A$5:$A$107,0)),"?"))</f>
      </c>
      <c r="P768" t="s" s="35">
        <v>254</v>
      </c>
      <c r="Q768" t="s" s="120">
        <v>5536</v>
      </c>
      <c r="R768" t="s" s="120">
        <v>5537</v>
      </c>
      <c r="S768" s="121" cm="1">
        <f t="array" ref="S768">_xlfn.IFERROR(ISNUMBER(SEARCH("Conocer",$R768))/(ISNUMBER(SEARCH("Conocer",$R768))+ISNUMBER(SEARCH("Aplicar",$R768))+ISNUMBER(SEARCH("Razonar",$R768))),0)</f>
        <v>0</v>
      </c>
      <c r="T768" s="121" cm="1">
        <f t="array" ref="T768">_xlfn.IFERROR(ISNUMBER(SEARCH("Aplicar",$R768))/(ISNUMBER(SEARCH("Conocer",$R768))+ISNUMBER(SEARCH("Aplicar",$R768))+ISNUMBER(SEARCH("Razonar",$R768))),0)</f>
        <v>0.5</v>
      </c>
      <c r="U768" s="121" cm="1">
        <f t="array" ref="U768">_xlfn.IFERROR(ISNUMBER(SEARCH("Razonar",$R768))/(ISNUMBER(SEARCH("Conocer",$R768))+ISNUMBER(SEARCH("Aplicar",$R768))+ISNUMBER(SEARCH("Razonar",$R768))),0)</f>
        <v>0.5</v>
      </c>
      <c r="V768" t="s" s="35">
        <v>91</v>
      </c>
      <c r="W768" t="s" s="35">
        <v>119</v>
      </c>
      <c r="X768" s="36" cm="1">
        <f t="array" ref="X768">IF(OR(_xlfn.IFERROR(INDEX('Datos - Catálogo TIMSS'!$I$5:$I$107,MATCH(K768,'Datos - Catálogo TIMSS'!$A$5:$A$107,0)),"No")="Sí",_xlfn.IFERROR(INDEX('Datos - Catálogo TIMSS'!$I$5:$I$107,MATCH(L768,'Datos - Catálogo TIMSS'!$A$5:$A$107,0)),"No")="Sí"),1,0)</f>
        <v>0</v>
      </c>
      <c r="Y768" s="36" cm="1">
        <f t="array" ref="Y768">IF(_xlfn.IFERROR(INDEX('Datos - Catálogo TIMSS'!$J$5:$J$107,MATCH(K768,'Datos - Catálogo TIMSS'!$A$5:$A$107,0)),"No")="Sí",1,0)</f>
        <v>0</v>
      </c>
      <c r="Z768" s="36" cm="1">
        <f t="array" ref="Z768">IF(_xlfn.IFERROR(INDEX('Datos - Catálogo TIMSS'!$J$5:$J$107,MATCH(L768,'Datos - Catálogo TIMSS'!$A$5:$A$107,0)),"No")="Sí",1,0)</f>
        <v>0</v>
      </c>
      <c r="AA768" t="s" s="35">
        <v>1363</v>
      </c>
      <c r="AB768" s="39"/>
      <c r="AC768" t="str" s="39">
        <v>Ondas y física atómica/nuclear</v>
      </c>
      <c r="AD768" t="s" s="35">
        <v>1859</v>
      </c>
      <c r="AE768" t="str" s="39" cm="1">
        <f t="array" ref="AE768">IF(AD768="","",IF(LEFT(AD768,1)="1","C1",IF(LEFT(AD768,1)="2","C2",IF(LEFT(AD768,1)="3","C3",""))))</f>
        <v>C1</v>
      </c>
      <c r="AF768" t="s" s="35">
        <v>1602</v>
      </c>
      <c r="AG768" t="s" s="35">
        <v>1607</v>
      </c>
      <c r="AH768" t="s" s="35">
        <v>1605</v>
      </c>
      <c r="AI768" t="s" s="35">
        <v>1609</v>
      </c>
      <c r="AJ768" t="s" s="35">
        <v>1607</v>
      </c>
      <c r="AK768" s="39"/>
      <c r="AL768" s="39"/>
      <c r="AM768" s="39"/>
      <c r="AN768" s="39"/>
      <c r="AO768" s="39"/>
      <c r="AP768" s="39"/>
      <c r="AQ768" s="39"/>
      <c r="AR768" s="39"/>
      <c r="AS768" s="39"/>
      <c r="AT768" s="39"/>
      <c r="AU768" s="39"/>
      <c r="AV768" s="39"/>
      <c r="AW768" t="str" s="39" cm="1">
        <f t="array" ref="AW768">AF768&amp;"; "&amp;AG768&amp;"; "&amp;AH768&amp;"; "&amp;AI768&amp;"; "&amp;AJ768</f>
        <v>E1; E3; E2; E4; E3</v>
      </c>
    </row>
    <row r="769" ht="13.65" customHeight="1">
      <c r="A769" t="s" s="35">
        <v>5538</v>
      </c>
      <c r="B769" s="36">
        <v>11</v>
      </c>
      <c r="C769" t="s" s="35">
        <v>222</v>
      </c>
      <c r="D769" t="s" s="35">
        <v>4800</v>
      </c>
      <c r="E769" t="s" s="35">
        <v>5427</v>
      </c>
      <c r="F769" s="36">
        <v>24</v>
      </c>
      <c r="G769" t="s" s="35">
        <v>5533</v>
      </c>
      <c r="H769" t="s" s="35">
        <v>5534</v>
      </c>
      <c r="I769" t="s" s="120">
        <v>5539</v>
      </c>
      <c r="J769" t="s" s="35">
        <v>1301</v>
      </c>
      <c r="K769" t="s" s="35">
        <v>1363</v>
      </c>
      <c r="L769" s="39"/>
      <c r="M769" t="str" s="39">
        <v>Ondas y física atómica/nuclear</v>
      </c>
      <c r="N769" t="str" s="39">
        <v>Fenómenos ondulatorios</v>
      </c>
      <c r="O769" t="str" s="39" cm="1">
        <f t="array" ref="O769">IF(L769="","",_xlfn.IFERROR(INDEX('Datos - Catálogo TIMSS'!$C$5:$C$107,MATCH(L769,'Datos - Catálogo TIMSS'!$A$5:$A$107,0)),"?"))</f>
      </c>
      <c r="P769" t="s" s="35">
        <v>254</v>
      </c>
      <c r="Q769" t="s" s="120">
        <v>5540</v>
      </c>
      <c r="R769" t="s" s="120">
        <v>5541</v>
      </c>
      <c r="S769" s="121" cm="1">
        <f t="array" ref="S769">_xlfn.IFERROR(ISNUMBER(SEARCH("Conocer",$R769))/(ISNUMBER(SEARCH("Conocer",$R769))+ISNUMBER(SEARCH("Aplicar",$R769))+ISNUMBER(SEARCH("Razonar",$R769))),0)</f>
        <v>0</v>
      </c>
      <c r="T769" s="121" cm="1">
        <f t="array" ref="T769">_xlfn.IFERROR(ISNUMBER(SEARCH("Aplicar",$R769))/(ISNUMBER(SEARCH("Conocer",$R769))+ISNUMBER(SEARCH("Aplicar",$R769))+ISNUMBER(SEARCH("Razonar",$R769))),0)</f>
        <v>0.5</v>
      </c>
      <c r="U769" s="121" cm="1">
        <f t="array" ref="U769">_xlfn.IFERROR(ISNUMBER(SEARCH("Razonar",$R769))/(ISNUMBER(SEARCH("Conocer",$R769))+ISNUMBER(SEARCH("Aplicar",$R769))+ISNUMBER(SEARCH("Razonar",$R769))),0)</f>
        <v>0.5</v>
      </c>
      <c r="V769" t="s" s="35">
        <v>91</v>
      </c>
      <c r="W769" t="s" s="35">
        <v>119</v>
      </c>
      <c r="X769" s="36" cm="1">
        <f t="array" ref="X769">IF(OR(_xlfn.IFERROR(INDEX('Datos - Catálogo TIMSS'!$I$5:$I$107,MATCH(K769,'Datos - Catálogo TIMSS'!$A$5:$A$107,0)),"No")="Sí",_xlfn.IFERROR(INDEX('Datos - Catálogo TIMSS'!$I$5:$I$107,MATCH(L769,'Datos - Catálogo TIMSS'!$A$5:$A$107,0)),"No")="Sí"),1,0)</f>
        <v>0</v>
      </c>
      <c r="Y769" s="36" cm="1">
        <f t="array" ref="Y769">IF(_xlfn.IFERROR(INDEX('Datos - Catálogo TIMSS'!$J$5:$J$107,MATCH(K769,'Datos - Catálogo TIMSS'!$A$5:$A$107,0)),"No")="Sí",1,0)</f>
        <v>0</v>
      </c>
      <c r="Z769" s="36" cm="1">
        <f t="array" ref="Z769">IF(_xlfn.IFERROR(INDEX('Datos - Catálogo TIMSS'!$J$5:$J$107,MATCH(L769,'Datos - Catálogo TIMSS'!$A$5:$A$107,0)),"No")="Sí",1,0)</f>
        <v>0</v>
      </c>
      <c r="AA769" t="s" s="35">
        <v>1363</v>
      </c>
      <c r="AB769" s="39"/>
      <c r="AC769" t="str" s="39">
        <v>Ondas y física atómica/nuclear</v>
      </c>
      <c r="AD769" t="s" s="35">
        <v>1834</v>
      </c>
      <c r="AE769" t="str" s="39" cm="1">
        <f t="array" ref="AE769">IF(AD769="","",IF(LEFT(AD769,1)="1","C1",IF(LEFT(AD769,1)="2","C2",IF(LEFT(AD769,1)="3","C3",""))))</f>
        <v>C2</v>
      </c>
      <c r="AF769" t="s" s="35">
        <v>1615</v>
      </c>
      <c r="AG769" t="s" s="35">
        <v>1617</v>
      </c>
      <c r="AH769" t="s" s="35">
        <v>1605</v>
      </c>
      <c r="AI769" t="s" s="35">
        <v>1623</v>
      </c>
      <c r="AJ769" t="s" s="35">
        <v>1621</v>
      </c>
      <c r="AK769" s="39"/>
      <c r="AL769" s="39"/>
      <c r="AM769" s="39"/>
      <c r="AN769" s="39"/>
      <c r="AO769" s="39"/>
      <c r="AP769" s="39"/>
      <c r="AQ769" s="39"/>
      <c r="AR769" s="39"/>
      <c r="AS769" s="39"/>
      <c r="AT769" s="39"/>
      <c r="AU769" s="39"/>
      <c r="AV769" s="39"/>
      <c r="AW769" t="str" s="39" cm="1">
        <f t="array" ref="AW769">AF769&amp;"; "&amp;AG769&amp;"; "&amp;AH769&amp;"; "&amp;AI769&amp;"; "&amp;AJ769</f>
        <v>E6; D1; E2; D4; D3</v>
      </c>
    </row>
    <row r="770" ht="13.65" customHeight="1">
      <c r="A770" t="s" s="35">
        <v>5543</v>
      </c>
      <c r="B770" s="36">
        <v>11</v>
      </c>
      <c r="C770" t="s" s="35">
        <v>222</v>
      </c>
      <c r="D770" t="s" s="35">
        <v>4800</v>
      </c>
      <c r="E770" t="s" s="35">
        <v>5427</v>
      </c>
      <c r="F770" s="36">
        <v>25</v>
      </c>
      <c r="G770" t="s" s="35">
        <v>5533</v>
      </c>
      <c r="H770" t="s" s="35">
        <v>5544</v>
      </c>
      <c r="I770" t="s" s="120">
        <v>5545</v>
      </c>
      <c r="J770" t="s" s="35">
        <v>1301</v>
      </c>
      <c r="K770" t="s" s="35">
        <v>1363</v>
      </c>
      <c r="L770" s="39"/>
      <c r="M770" t="str" s="39">
        <v>Ondas y física atómica/nuclear</v>
      </c>
      <c r="N770" t="str" s="39">
        <v>Fenómenos ondulatorios</v>
      </c>
      <c r="O770" t="str" s="39" cm="1">
        <f t="array" ref="O770">IF(L770="","",_xlfn.IFERROR(INDEX('Datos - Catálogo TIMSS'!$C$5:$C$107,MATCH(L770,'Datos - Catálogo TIMSS'!$A$5:$A$107,0)),"?"))</f>
      </c>
      <c r="P770" t="s" s="35">
        <v>254</v>
      </c>
      <c r="Q770" t="s" s="120">
        <v>5546</v>
      </c>
      <c r="R770" t="s" s="120">
        <v>5547</v>
      </c>
      <c r="S770" s="121" cm="1">
        <f t="array" ref="S770">_xlfn.IFERROR(ISNUMBER(SEARCH("Conocer",$R770))/(ISNUMBER(SEARCH("Conocer",$R770))+ISNUMBER(SEARCH("Aplicar",$R770))+ISNUMBER(SEARCH("Razonar",$R770))),0)</f>
        <v>0</v>
      </c>
      <c r="T770" s="121" cm="1">
        <f t="array" ref="T770">_xlfn.IFERROR(ISNUMBER(SEARCH("Aplicar",$R770))/(ISNUMBER(SEARCH("Conocer",$R770))+ISNUMBER(SEARCH("Aplicar",$R770))+ISNUMBER(SEARCH("Razonar",$R770))),0)</f>
        <v>0.5</v>
      </c>
      <c r="U770" s="121" cm="1">
        <f t="array" ref="U770">_xlfn.IFERROR(ISNUMBER(SEARCH("Razonar",$R770))/(ISNUMBER(SEARCH("Conocer",$R770))+ISNUMBER(SEARCH("Aplicar",$R770))+ISNUMBER(SEARCH("Razonar",$R770))),0)</f>
        <v>0.5</v>
      </c>
      <c r="V770" t="s" s="35">
        <v>91</v>
      </c>
      <c r="W770" t="s" s="35">
        <v>119</v>
      </c>
      <c r="X770" s="36" cm="1">
        <f t="array" ref="X770">IF(OR(_xlfn.IFERROR(INDEX('Datos - Catálogo TIMSS'!$I$5:$I$107,MATCH(K770,'Datos - Catálogo TIMSS'!$A$5:$A$107,0)),"No")="Sí",_xlfn.IFERROR(INDEX('Datos - Catálogo TIMSS'!$I$5:$I$107,MATCH(L770,'Datos - Catálogo TIMSS'!$A$5:$A$107,0)),"No")="Sí"),1,0)</f>
        <v>0</v>
      </c>
      <c r="Y770" s="36" cm="1">
        <f t="array" ref="Y770">IF(_xlfn.IFERROR(INDEX('Datos - Catálogo TIMSS'!$J$5:$J$107,MATCH(K770,'Datos - Catálogo TIMSS'!$A$5:$A$107,0)),"No")="Sí",1,0)</f>
        <v>0</v>
      </c>
      <c r="Z770" s="36" cm="1">
        <f t="array" ref="Z770">IF(_xlfn.IFERROR(INDEX('Datos - Catálogo TIMSS'!$J$5:$J$107,MATCH(L770,'Datos - Catálogo TIMSS'!$A$5:$A$107,0)),"No")="Sí",1,0)</f>
        <v>0</v>
      </c>
      <c r="AA770" t="s" s="35">
        <v>1363</v>
      </c>
      <c r="AB770" s="39"/>
      <c r="AC770" t="str" s="39">
        <v>Ondas y física atómica/nuclear</v>
      </c>
      <c r="AD770" t="s" s="35">
        <v>1859</v>
      </c>
      <c r="AE770" t="str" s="39" cm="1">
        <f t="array" ref="AE770">IF(AD770="","",IF(LEFT(AD770,1)="1","C1",IF(LEFT(AD770,1)="2","C2",IF(LEFT(AD770,1)="3","C3",""))))</f>
        <v>C1</v>
      </c>
      <c r="AF770" t="s" s="35">
        <v>1602</v>
      </c>
      <c r="AG770" t="s" s="35">
        <v>1612</v>
      </c>
      <c r="AH770" t="s" s="35">
        <v>1609</v>
      </c>
      <c r="AI770" t="s" s="35">
        <v>1623</v>
      </c>
      <c r="AJ770" t="s" s="35">
        <v>1615</v>
      </c>
      <c r="AK770" s="39"/>
      <c r="AL770" s="39"/>
      <c r="AM770" s="39"/>
      <c r="AN770" s="39"/>
      <c r="AO770" s="39"/>
      <c r="AP770" s="39"/>
      <c r="AQ770" s="39"/>
      <c r="AR770" s="39"/>
      <c r="AS770" s="39"/>
      <c r="AT770" s="39"/>
      <c r="AU770" s="39"/>
      <c r="AV770" s="39"/>
      <c r="AW770" t="str" s="39" cm="1">
        <f t="array" ref="AW770">AF770&amp;"; "&amp;AG770&amp;"; "&amp;AH770&amp;"; "&amp;AI770&amp;"; "&amp;AJ770</f>
        <v>E1; E5; E4; D4; E6</v>
      </c>
    </row>
    <row r="771" ht="13.65" customHeight="1">
      <c r="A771" t="s" s="35">
        <v>5548</v>
      </c>
      <c r="B771" s="36">
        <v>11</v>
      </c>
      <c r="C771" t="s" s="35">
        <v>222</v>
      </c>
      <c r="D771" t="s" s="35">
        <v>4800</v>
      </c>
      <c r="E771" t="s" s="35">
        <v>5427</v>
      </c>
      <c r="F771" s="36">
        <v>26</v>
      </c>
      <c r="G771" t="s" s="35">
        <v>5533</v>
      </c>
      <c r="H771" t="s" s="35">
        <v>5544</v>
      </c>
      <c r="I771" t="s" s="120">
        <v>5549</v>
      </c>
      <c r="J771" t="s" s="35">
        <v>1301</v>
      </c>
      <c r="K771" t="s" s="35">
        <v>1363</v>
      </c>
      <c r="L771" t="s" s="35">
        <v>1353</v>
      </c>
      <c r="M771" t="str" s="39">
        <v>Ondas y física atómica/nuclear</v>
      </c>
      <c r="N771" t="str" s="39">
        <v>Fenómenos ondulatorios</v>
      </c>
      <c r="O771" t="str" s="39" cm="1">
        <f t="array" ref="O771">IF(L771="","",_xlfn.IFERROR(INDEX('Datos - Catálogo TIMSS'!$C$5:$C$107,MATCH(L771,'Datos - Catálogo TIMSS'!$A$5:$A$107,0)),"?"))</f>
        <v>Ondas y física atómica/nuclear</v>
      </c>
      <c r="P771" t="s" s="35">
        <v>282</v>
      </c>
      <c r="Q771" t="s" s="120">
        <v>5550</v>
      </c>
      <c r="R771" t="s" s="120">
        <v>5551</v>
      </c>
      <c r="S771" s="121" cm="1">
        <f t="array" ref="S771">_xlfn.IFERROR(ISNUMBER(SEARCH("Conocer",$R771))/(ISNUMBER(SEARCH("Conocer",$R771))+ISNUMBER(SEARCH("Aplicar",$R771))+ISNUMBER(SEARCH("Razonar",$R771))),0)</f>
        <v>0</v>
      </c>
      <c r="T771" s="121" cm="1">
        <f t="array" ref="T771">_xlfn.IFERROR(ISNUMBER(SEARCH("Aplicar",$R771))/(ISNUMBER(SEARCH("Conocer",$R771))+ISNUMBER(SEARCH("Aplicar",$R771))+ISNUMBER(SEARCH("Razonar",$R771))),0)</f>
        <v>0.5</v>
      </c>
      <c r="U771" s="121" cm="1">
        <f t="array" ref="U771">_xlfn.IFERROR(ISNUMBER(SEARCH("Razonar",$R771))/(ISNUMBER(SEARCH("Conocer",$R771))+ISNUMBER(SEARCH("Aplicar",$R771))+ISNUMBER(SEARCH("Razonar",$R771))),0)</f>
        <v>0.5</v>
      </c>
      <c r="V771" t="s" s="35">
        <v>91</v>
      </c>
      <c r="W771" t="s" s="35">
        <v>119</v>
      </c>
      <c r="X771" s="36" cm="1">
        <f t="array" ref="X771">IF(OR(_xlfn.IFERROR(INDEX('Datos - Catálogo TIMSS'!$I$5:$I$107,MATCH(K771,'Datos - Catálogo TIMSS'!$A$5:$A$107,0)),"No")="Sí",_xlfn.IFERROR(INDEX('Datos - Catálogo TIMSS'!$I$5:$I$107,MATCH(L771,'Datos - Catálogo TIMSS'!$A$5:$A$107,0)),"No")="Sí"),1,0)</f>
        <v>0</v>
      </c>
      <c r="Y771" s="36" cm="1">
        <f t="array" ref="Y771">IF(_xlfn.IFERROR(INDEX('Datos - Catálogo TIMSS'!$J$5:$J$107,MATCH(K771,'Datos - Catálogo TIMSS'!$A$5:$A$107,0)),"No")="Sí",1,0)</f>
        <v>0</v>
      </c>
      <c r="Z771" s="36" cm="1">
        <f t="array" ref="Z771">IF(_xlfn.IFERROR(INDEX('Datos - Catálogo TIMSS'!$J$5:$J$107,MATCH(L771,'Datos - Catálogo TIMSS'!$A$5:$A$107,0)),"No")="Sí",1,0)</f>
        <v>0</v>
      </c>
      <c r="AA771" t="s" s="35">
        <v>1363</v>
      </c>
      <c r="AB771" t="s" s="35">
        <v>1353</v>
      </c>
      <c r="AC771" t="str" s="39">
        <v>Ondas y física atómica/nuclear</v>
      </c>
      <c r="AD771" t="s" s="35">
        <v>1834</v>
      </c>
      <c r="AE771" t="str" s="39" cm="1">
        <f t="array" ref="AE771">IF(AD771="","",IF(LEFT(AD771,1)="1","C1",IF(LEFT(AD771,1)="2","C2",IF(LEFT(AD771,1)="3","C3",""))))</f>
        <v>C2</v>
      </c>
      <c r="AF771" t="s" s="35">
        <v>1602</v>
      </c>
      <c r="AG771" t="s" s="35">
        <v>1607</v>
      </c>
      <c r="AH771" t="s" s="35">
        <v>1605</v>
      </c>
      <c r="AI771" t="s" s="35">
        <v>1619</v>
      </c>
      <c r="AJ771" t="s" s="35">
        <v>1621</v>
      </c>
      <c r="AK771" s="39"/>
      <c r="AL771" s="39"/>
      <c r="AM771" s="39"/>
      <c r="AN771" s="39"/>
      <c r="AO771" s="39"/>
      <c r="AP771" s="39"/>
      <c r="AQ771" s="39"/>
      <c r="AR771" s="39"/>
      <c r="AS771" s="39"/>
      <c r="AT771" s="39"/>
      <c r="AU771" s="39"/>
      <c r="AV771" s="39"/>
      <c r="AW771" t="str" s="39" cm="1">
        <f t="array" ref="AW771">AF771&amp;"; "&amp;AG771&amp;"; "&amp;AH771&amp;"; "&amp;AI771&amp;"; "&amp;AJ771</f>
        <v>E1; E3; E2; D2; D3</v>
      </c>
    </row>
    <row r="772" ht="13.65" customHeight="1">
      <c r="A772" t="s" s="35">
        <v>5552</v>
      </c>
      <c r="B772" s="36">
        <v>11</v>
      </c>
      <c r="C772" t="s" s="35">
        <v>222</v>
      </c>
      <c r="D772" t="s" s="35">
        <v>4800</v>
      </c>
      <c r="E772" t="s" s="35">
        <v>5427</v>
      </c>
      <c r="F772" s="36">
        <v>27</v>
      </c>
      <c r="G772" t="s" s="35">
        <v>5533</v>
      </c>
      <c r="H772" t="s" s="35">
        <v>5553</v>
      </c>
      <c r="I772" t="s" s="120">
        <v>5554</v>
      </c>
      <c r="J772" t="s" s="35">
        <v>1301</v>
      </c>
      <c r="K772" t="s" s="35">
        <v>1353</v>
      </c>
      <c r="L772" t="s" s="35">
        <v>1363</v>
      </c>
      <c r="M772" t="str" s="39">
        <v>Ondas y física atómica/nuclear</v>
      </c>
      <c r="N772" t="str" s="39">
        <v>Fenómenos ondulatorios</v>
      </c>
      <c r="O772" t="str" s="39" cm="1">
        <f t="array" ref="O772">IF(L772="","",_xlfn.IFERROR(INDEX('Datos - Catálogo TIMSS'!$C$5:$C$107,MATCH(L772,'Datos - Catálogo TIMSS'!$A$5:$A$107,0)),"?"))</f>
        <v>Ondas y física atómica/nuclear</v>
      </c>
      <c r="P772" t="s" s="35">
        <v>282</v>
      </c>
      <c r="Q772" t="s" s="120">
        <v>5555</v>
      </c>
      <c r="R772" t="s" s="120">
        <v>5556</v>
      </c>
      <c r="S772" s="121" cm="1">
        <f t="array" ref="S772">_xlfn.IFERROR(ISNUMBER(SEARCH("Conocer",$R772))/(ISNUMBER(SEARCH("Conocer",$R772))+ISNUMBER(SEARCH("Aplicar",$R772))+ISNUMBER(SEARCH("Razonar",$R772))),0)</f>
        <v>0</v>
      </c>
      <c r="T772" s="121" cm="1">
        <f t="array" ref="T772">_xlfn.IFERROR(ISNUMBER(SEARCH("Aplicar",$R772))/(ISNUMBER(SEARCH("Conocer",$R772))+ISNUMBER(SEARCH("Aplicar",$R772))+ISNUMBER(SEARCH("Razonar",$R772))),0)</f>
        <v>0.5</v>
      </c>
      <c r="U772" s="121" cm="1">
        <f t="array" ref="U772">_xlfn.IFERROR(ISNUMBER(SEARCH("Razonar",$R772))/(ISNUMBER(SEARCH("Conocer",$R772))+ISNUMBER(SEARCH("Aplicar",$R772))+ISNUMBER(SEARCH("Razonar",$R772))),0)</f>
        <v>0.5</v>
      </c>
      <c r="V772" t="s" s="35">
        <v>91</v>
      </c>
      <c r="W772" t="s" s="35">
        <v>119</v>
      </c>
      <c r="X772" s="36" cm="1">
        <f t="array" ref="X772">IF(OR(_xlfn.IFERROR(INDEX('Datos - Catálogo TIMSS'!$I$5:$I$107,MATCH(K772,'Datos - Catálogo TIMSS'!$A$5:$A$107,0)),"No")="Sí",_xlfn.IFERROR(INDEX('Datos - Catálogo TIMSS'!$I$5:$I$107,MATCH(L772,'Datos - Catálogo TIMSS'!$A$5:$A$107,0)),"No")="Sí"),1,0)</f>
        <v>0</v>
      </c>
      <c r="Y772" s="36" cm="1">
        <f t="array" ref="Y772">IF(_xlfn.IFERROR(INDEX('Datos - Catálogo TIMSS'!$J$5:$J$107,MATCH(K772,'Datos - Catálogo TIMSS'!$A$5:$A$107,0)),"No")="Sí",1,0)</f>
        <v>0</v>
      </c>
      <c r="Z772" s="36" cm="1">
        <f t="array" ref="Z772">IF(_xlfn.IFERROR(INDEX('Datos - Catálogo TIMSS'!$J$5:$J$107,MATCH(L772,'Datos - Catálogo TIMSS'!$A$5:$A$107,0)),"No")="Sí",1,0)</f>
        <v>0</v>
      </c>
      <c r="AA772" t="s" s="35">
        <v>1353</v>
      </c>
      <c r="AB772" t="s" s="35">
        <v>1363</v>
      </c>
      <c r="AC772" t="str" s="39">
        <v>Ondas y física atómica/nuclear</v>
      </c>
      <c r="AD772" t="s" s="35">
        <v>1834</v>
      </c>
      <c r="AE772" t="str" s="39" cm="1">
        <f t="array" ref="AE772">IF(AD772="","",IF(LEFT(AD772,1)="1","C1",IF(LEFT(AD772,1)="2","C2",IF(LEFT(AD772,1)="3","C3",""))))</f>
        <v>C2</v>
      </c>
      <c r="AF772" t="s" s="35">
        <v>1602</v>
      </c>
      <c r="AG772" t="s" s="35">
        <v>1617</v>
      </c>
      <c r="AH772" t="s" s="35">
        <v>1609</v>
      </c>
      <c r="AI772" t="s" s="35">
        <v>1623</v>
      </c>
      <c r="AJ772" t="s" s="35">
        <v>1607</v>
      </c>
      <c r="AK772" s="39"/>
      <c r="AL772" s="39"/>
      <c r="AM772" s="39"/>
      <c r="AN772" s="39"/>
      <c r="AO772" s="39"/>
      <c r="AP772" s="39"/>
      <c r="AQ772" s="39"/>
      <c r="AR772" s="39"/>
      <c r="AS772" s="39"/>
      <c r="AT772" s="39"/>
      <c r="AU772" s="39"/>
      <c r="AV772" s="39"/>
      <c r="AW772" t="str" s="39" cm="1">
        <f t="array" ref="AW772">AF772&amp;"; "&amp;AG772&amp;"; "&amp;AH772&amp;"; "&amp;AI772&amp;"; "&amp;AJ772</f>
        <v>E1; D1; E4; D4; E3</v>
      </c>
    </row>
    <row r="773" ht="13.65" customHeight="1">
      <c r="A773" t="s" s="35">
        <v>5557</v>
      </c>
      <c r="B773" s="36">
        <v>11</v>
      </c>
      <c r="C773" t="s" s="35">
        <v>222</v>
      </c>
      <c r="D773" t="s" s="35">
        <v>4800</v>
      </c>
      <c r="E773" t="s" s="35">
        <v>5427</v>
      </c>
      <c r="F773" s="36">
        <v>28</v>
      </c>
      <c r="G773" t="s" s="35">
        <v>5533</v>
      </c>
      <c r="H773" t="s" s="35">
        <v>5553</v>
      </c>
      <c r="I773" t="s" s="120">
        <v>5558</v>
      </c>
      <c r="J773" t="s" s="35">
        <v>1301</v>
      </c>
      <c r="K773" t="s" s="35">
        <v>1353</v>
      </c>
      <c r="L773" t="s" s="35">
        <v>1363</v>
      </c>
      <c r="M773" t="str" s="39">
        <v>Ondas y física atómica/nuclear</v>
      </c>
      <c r="N773" t="str" s="39">
        <v>Fenómenos ondulatorios</v>
      </c>
      <c r="O773" t="str" s="39" cm="1">
        <f t="array" ref="O773">IF(L773="","",_xlfn.IFERROR(INDEX('Datos - Catálogo TIMSS'!$C$5:$C$107,MATCH(L773,'Datos - Catálogo TIMSS'!$A$5:$A$107,0)),"?"))</f>
        <v>Ondas y física atómica/nuclear</v>
      </c>
      <c r="P773" t="s" s="35">
        <v>282</v>
      </c>
      <c r="Q773" t="s" s="120">
        <v>5559</v>
      </c>
      <c r="R773" t="s" s="120">
        <v>5560</v>
      </c>
      <c r="S773" s="121" cm="1">
        <f t="array" ref="S773">_xlfn.IFERROR(ISNUMBER(SEARCH("Conocer",$R773))/(ISNUMBER(SEARCH("Conocer",$R773))+ISNUMBER(SEARCH("Aplicar",$R773))+ISNUMBER(SEARCH("Razonar",$R773))),0)</f>
        <v>0</v>
      </c>
      <c r="T773" s="121" cm="1">
        <f t="array" ref="T773">_xlfn.IFERROR(ISNUMBER(SEARCH("Aplicar",$R773))/(ISNUMBER(SEARCH("Conocer",$R773))+ISNUMBER(SEARCH("Aplicar",$R773))+ISNUMBER(SEARCH("Razonar",$R773))),0)</f>
        <v>0.5</v>
      </c>
      <c r="U773" s="121" cm="1">
        <f t="array" ref="U773">_xlfn.IFERROR(ISNUMBER(SEARCH("Razonar",$R773))/(ISNUMBER(SEARCH("Conocer",$R773))+ISNUMBER(SEARCH("Aplicar",$R773))+ISNUMBER(SEARCH("Razonar",$R773))),0)</f>
        <v>0.5</v>
      </c>
      <c r="V773" t="s" s="35">
        <v>91</v>
      </c>
      <c r="W773" t="s" s="35">
        <v>119</v>
      </c>
      <c r="X773" s="36" cm="1">
        <f t="array" ref="X773">IF(OR(_xlfn.IFERROR(INDEX('Datos - Catálogo TIMSS'!$I$5:$I$107,MATCH(K773,'Datos - Catálogo TIMSS'!$A$5:$A$107,0)),"No")="Sí",_xlfn.IFERROR(INDEX('Datos - Catálogo TIMSS'!$I$5:$I$107,MATCH(L773,'Datos - Catálogo TIMSS'!$A$5:$A$107,0)),"No")="Sí"),1,0)</f>
        <v>0</v>
      </c>
      <c r="Y773" s="36" cm="1">
        <f t="array" ref="Y773">IF(_xlfn.IFERROR(INDEX('Datos - Catálogo TIMSS'!$J$5:$J$107,MATCH(K773,'Datos - Catálogo TIMSS'!$A$5:$A$107,0)),"No")="Sí",1,0)</f>
        <v>0</v>
      </c>
      <c r="Z773" s="36" cm="1">
        <f t="array" ref="Z773">IF(_xlfn.IFERROR(INDEX('Datos - Catálogo TIMSS'!$J$5:$J$107,MATCH(L773,'Datos - Catálogo TIMSS'!$A$5:$A$107,0)),"No")="Sí",1,0)</f>
        <v>0</v>
      </c>
      <c r="AA773" t="s" s="35">
        <v>1353</v>
      </c>
      <c r="AB773" t="s" s="35">
        <v>1363</v>
      </c>
      <c r="AC773" t="str" s="39">
        <v>Ondas y física atómica/nuclear</v>
      </c>
      <c r="AD773" t="s" s="35">
        <v>1834</v>
      </c>
      <c r="AE773" t="str" s="39" cm="1">
        <f t="array" ref="AE773">IF(AD773="","",IF(LEFT(AD773,1)="1","C1",IF(LEFT(AD773,1)="2","C2",IF(LEFT(AD773,1)="3","C3",""))))</f>
        <v>C2</v>
      </c>
      <c r="AF773" t="s" s="35">
        <v>1602</v>
      </c>
      <c r="AG773" t="s" s="35">
        <v>1612</v>
      </c>
      <c r="AH773" t="s" s="35">
        <v>1605</v>
      </c>
      <c r="AI773" t="s" s="35">
        <v>1623</v>
      </c>
      <c r="AJ773" t="s" s="35">
        <v>1607</v>
      </c>
      <c r="AK773" s="39"/>
      <c r="AL773" s="39"/>
      <c r="AM773" s="39"/>
      <c r="AN773" s="39"/>
      <c r="AO773" s="39"/>
      <c r="AP773" s="39"/>
      <c r="AQ773" s="39"/>
      <c r="AR773" s="39"/>
      <c r="AS773" s="39"/>
      <c r="AT773" s="39"/>
      <c r="AU773" s="39"/>
      <c r="AV773" s="39"/>
      <c r="AW773" t="str" s="39" cm="1">
        <f t="array" ref="AW773">AF773&amp;"; "&amp;AG773&amp;"; "&amp;AH773&amp;"; "&amp;AI773&amp;"; "&amp;AJ773</f>
        <v>E1; E5; E2; D4; E3</v>
      </c>
    </row>
    <row r="774" ht="13.65" customHeight="1">
      <c r="A774" t="s" s="35">
        <v>5562</v>
      </c>
      <c r="B774" s="36">
        <v>11</v>
      </c>
      <c r="C774" t="s" s="35">
        <v>222</v>
      </c>
      <c r="D774" t="s" s="35">
        <v>4800</v>
      </c>
      <c r="E774" t="s" s="35">
        <v>5427</v>
      </c>
      <c r="F774" s="36">
        <v>29</v>
      </c>
      <c r="G774" t="s" s="35">
        <v>5533</v>
      </c>
      <c r="H774" t="s" s="35">
        <v>5563</v>
      </c>
      <c r="I774" t="s" s="120">
        <v>5564</v>
      </c>
      <c r="J774" t="s" s="35">
        <v>1301</v>
      </c>
      <c r="K774" t="s" s="35">
        <v>1353</v>
      </c>
      <c r="L774" s="39"/>
      <c r="M774" t="str" s="39">
        <v>Ondas y física atómica/nuclear</v>
      </c>
      <c r="N774" t="str" s="39">
        <v>Fenómenos ondulatorios</v>
      </c>
      <c r="O774" t="str" s="39" cm="1">
        <f t="array" ref="O774">IF(L774="","",_xlfn.IFERROR(INDEX('Datos - Catálogo TIMSS'!$C$5:$C$107,MATCH(L774,'Datos - Catálogo TIMSS'!$A$5:$A$107,0)),"?"))</f>
      </c>
      <c r="P774" t="s" s="35">
        <v>282</v>
      </c>
      <c r="Q774" t="s" s="120">
        <v>5565</v>
      </c>
      <c r="R774" t="s" s="120">
        <v>5566</v>
      </c>
      <c r="S774" s="121" cm="1">
        <f t="array" ref="S774">_xlfn.IFERROR(ISNUMBER(SEARCH("Conocer",$R774))/(ISNUMBER(SEARCH("Conocer",$R774))+ISNUMBER(SEARCH("Aplicar",$R774))+ISNUMBER(SEARCH("Razonar",$R774))),0)</f>
        <v>0</v>
      </c>
      <c r="T774" s="121" cm="1">
        <f t="array" ref="T774">_xlfn.IFERROR(ISNUMBER(SEARCH("Aplicar",$R774))/(ISNUMBER(SEARCH("Conocer",$R774))+ISNUMBER(SEARCH("Aplicar",$R774))+ISNUMBER(SEARCH("Razonar",$R774))),0)</f>
        <v>0.5</v>
      </c>
      <c r="U774" s="121" cm="1">
        <f t="array" ref="U774">_xlfn.IFERROR(ISNUMBER(SEARCH("Razonar",$R774))/(ISNUMBER(SEARCH("Conocer",$R774))+ISNUMBER(SEARCH("Aplicar",$R774))+ISNUMBER(SEARCH("Razonar",$R774))),0)</f>
        <v>0.5</v>
      </c>
      <c r="V774" t="s" s="35">
        <v>91</v>
      </c>
      <c r="W774" t="s" s="35">
        <v>119</v>
      </c>
      <c r="X774" s="36" cm="1">
        <f t="array" ref="X774">IF(OR(_xlfn.IFERROR(INDEX('Datos - Catálogo TIMSS'!$I$5:$I$107,MATCH(K774,'Datos - Catálogo TIMSS'!$A$5:$A$107,0)),"No")="Sí",_xlfn.IFERROR(INDEX('Datos - Catálogo TIMSS'!$I$5:$I$107,MATCH(L774,'Datos - Catálogo TIMSS'!$A$5:$A$107,0)),"No")="Sí"),1,0)</f>
        <v>0</v>
      </c>
      <c r="Y774" s="36" cm="1">
        <f t="array" ref="Y774">IF(_xlfn.IFERROR(INDEX('Datos - Catálogo TIMSS'!$J$5:$J$107,MATCH(K774,'Datos - Catálogo TIMSS'!$A$5:$A$107,0)),"No")="Sí",1,0)</f>
        <v>0</v>
      </c>
      <c r="Z774" s="36" cm="1">
        <f t="array" ref="Z774">IF(_xlfn.IFERROR(INDEX('Datos - Catálogo TIMSS'!$J$5:$J$107,MATCH(L774,'Datos - Catálogo TIMSS'!$A$5:$A$107,0)),"No")="Sí",1,0)</f>
        <v>0</v>
      </c>
      <c r="AA774" t="s" s="35">
        <v>1353</v>
      </c>
      <c r="AB774" s="39"/>
      <c r="AC774" t="str" s="39">
        <v>Ondas y física atómica/nuclear</v>
      </c>
      <c r="AD774" t="s" s="35">
        <v>1900</v>
      </c>
      <c r="AE774" t="str" s="39" cm="1">
        <f t="array" ref="AE774">IF(AD774="","",IF(LEFT(AD774,1)="1","C1",IF(LEFT(AD774,1)="2","C2",IF(LEFT(AD774,1)="3","C3",""))))</f>
        <v>C3</v>
      </c>
      <c r="AF774" t="s" s="35">
        <v>1615</v>
      </c>
      <c r="AG774" t="s" s="35">
        <v>1617</v>
      </c>
      <c r="AH774" t="s" s="35">
        <v>1605</v>
      </c>
      <c r="AI774" t="s" s="35">
        <v>1629</v>
      </c>
      <c r="AJ774" t="s" s="35">
        <v>1631</v>
      </c>
      <c r="AK774" s="39"/>
      <c r="AL774" s="39"/>
      <c r="AM774" s="39"/>
      <c r="AN774" s="39"/>
      <c r="AO774" s="39"/>
      <c r="AP774" s="39"/>
      <c r="AQ774" s="39"/>
      <c r="AR774" s="39"/>
      <c r="AS774" s="39"/>
      <c r="AT774" s="39"/>
      <c r="AU774" s="39"/>
      <c r="AV774" s="39"/>
      <c r="AW774" t="str" s="39" cm="1">
        <f t="array" ref="AW774">AF774&amp;"; "&amp;AG774&amp;"; "&amp;AH774&amp;"; "&amp;AI774&amp;"; "&amp;AJ774</f>
        <v>E6; D1; E2; I3; I4</v>
      </c>
    </row>
    <row r="775" ht="13.65" customHeight="1">
      <c r="A775" t="s" s="35">
        <v>5568</v>
      </c>
      <c r="B775" s="36">
        <v>11</v>
      </c>
      <c r="C775" t="s" s="35">
        <v>222</v>
      </c>
      <c r="D775" t="s" s="35">
        <v>4800</v>
      </c>
      <c r="E775" t="s" s="35">
        <v>5427</v>
      </c>
      <c r="F775" s="36">
        <v>30</v>
      </c>
      <c r="G775" t="s" s="35">
        <v>5569</v>
      </c>
      <c r="H775" t="s" s="35">
        <v>5570</v>
      </c>
      <c r="I775" t="s" s="120">
        <v>5571</v>
      </c>
      <c r="J775" t="s" s="35">
        <v>1301</v>
      </c>
      <c r="K775" t="s" s="35">
        <v>1332</v>
      </c>
      <c r="L775" t="s" s="35">
        <v>1366</v>
      </c>
      <c r="M775" t="str" s="39">
        <v>Electricidad y magnetismo</v>
      </c>
      <c r="N775" t="str" s="39">
        <v>Electricidad y circuitos</v>
      </c>
      <c r="O775" t="str" s="39" cm="1">
        <f t="array" ref="O775">IF(L775="","",_xlfn.IFERROR(INDEX('Datos - Catálogo TIMSS'!$C$5:$C$107,MATCH(L775,'Datos - Catálogo TIMSS'!$A$5:$A$107,0)),"?"))</f>
        <v>Ondas y física atómica/nuclear</v>
      </c>
      <c r="P775" t="s" s="35">
        <v>282</v>
      </c>
      <c r="Q775" t="s" s="120">
        <v>5573</v>
      </c>
      <c r="R775" t="s" s="120">
        <v>5574</v>
      </c>
      <c r="S775" s="121" cm="1">
        <f t="array" ref="S775">_xlfn.IFERROR(ISNUMBER(SEARCH("Conocer",$R775))/(ISNUMBER(SEARCH("Conocer",$R775))+ISNUMBER(SEARCH("Aplicar",$R775))+ISNUMBER(SEARCH("Razonar",$R775))),0)</f>
        <v>0.5</v>
      </c>
      <c r="T775" s="121" cm="1">
        <f t="array" ref="T775">_xlfn.IFERROR(ISNUMBER(SEARCH("Aplicar",$R775))/(ISNUMBER(SEARCH("Conocer",$R775))+ISNUMBER(SEARCH("Aplicar",$R775))+ISNUMBER(SEARCH("Razonar",$R775))),0)</f>
        <v>0.5</v>
      </c>
      <c r="U775" s="121" cm="1">
        <f t="array" ref="U775">_xlfn.IFERROR(ISNUMBER(SEARCH("Razonar",$R775))/(ISNUMBER(SEARCH("Conocer",$R775))+ISNUMBER(SEARCH("Aplicar",$R775))+ISNUMBER(SEARCH("Razonar",$R775))),0)</f>
        <v>0</v>
      </c>
      <c r="V775" t="s" s="35">
        <v>91</v>
      </c>
      <c r="W775" t="s" s="35">
        <v>119</v>
      </c>
      <c r="X775" s="36" cm="1">
        <f t="array" ref="X775">IF(OR(_xlfn.IFERROR(INDEX('Datos - Catálogo TIMSS'!$I$5:$I$107,MATCH(K775,'Datos - Catálogo TIMSS'!$A$5:$A$107,0)),"No")="Sí",_xlfn.IFERROR(INDEX('Datos - Catálogo TIMSS'!$I$5:$I$107,MATCH(L775,'Datos - Catálogo TIMSS'!$A$5:$A$107,0)),"No")="Sí"),1,0)</f>
        <v>0</v>
      </c>
      <c r="Y775" s="36" cm="1">
        <f t="array" ref="Y775">IF(_xlfn.IFERROR(INDEX('Datos - Catálogo TIMSS'!$J$5:$J$107,MATCH(K775,'Datos - Catálogo TIMSS'!$A$5:$A$107,0)),"No")="Sí",1,0)</f>
        <v>0</v>
      </c>
      <c r="Z775" s="36" cm="1">
        <f t="array" ref="Z775">IF(_xlfn.IFERROR(INDEX('Datos - Catálogo TIMSS'!$J$5:$J$107,MATCH(L775,'Datos - Catálogo TIMSS'!$A$5:$A$107,0)),"No")="Sí",1,0)</f>
        <v>0</v>
      </c>
      <c r="AA775" t="s" s="35">
        <v>1332</v>
      </c>
      <c r="AB775" t="s" s="35">
        <v>1366</v>
      </c>
      <c r="AC775" t="str" s="39">
        <v>Electricidad y magnetismo</v>
      </c>
      <c r="AD775" t="s" s="35">
        <v>1859</v>
      </c>
      <c r="AE775" t="str" s="39" cm="1">
        <f t="array" ref="AE775">IF(AD775="","",IF(LEFT(AD775,1)="1","C1",IF(LEFT(AD775,1)="2","C2",IF(LEFT(AD775,1)="3","C3",""))))</f>
        <v>C1</v>
      </c>
      <c r="AF775" t="s" s="35">
        <v>1602</v>
      </c>
      <c r="AG775" t="s" s="35">
        <v>1617</v>
      </c>
      <c r="AH775" t="s" s="35">
        <v>1602</v>
      </c>
      <c r="AI775" t="s" s="35">
        <v>1625</v>
      </c>
      <c r="AJ775" t="s" s="35">
        <v>1607</v>
      </c>
      <c r="AK775" s="39"/>
      <c r="AL775" s="39"/>
      <c r="AM775" s="39"/>
      <c r="AN775" s="39"/>
      <c r="AO775" s="39"/>
      <c r="AP775" s="39"/>
      <c r="AQ775" s="39"/>
      <c r="AR775" s="39"/>
      <c r="AS775" s="39"/>
      <c r="AT775" s="39"/>
      <c r="AU775" s="39"/>
      <c r="AV775" s="39"/>
      <c r="AW775" t="str" s="39" cm="1">
        <f t="array" ref="AW775">AF775&amp;"; "&amp;AG775&amp;"; "&amp;AH775&amp;"; "&amp;AI775&amp;"; "&amp;AJ775</f>
        <v>E1; D1; E1; I1; E3</v>
      </c>
    </row>
    <row r="776" ht="13.65" customHeight="1">
      <c r="A776" t="s" s="35">
        <v>5576</v>
      </c>
      <c r="B776" s="36">
        <v>11</v>
      </c>
      <c r="C776" t="s" s="35">
        <v>222</v>
      </c>
      <c r="D776" t="s" s="35">
        <v>4800</v>
      </c>
      <c r="E776" t="s" s="35">
        <v>5427</v>
      </c>
      <c r="F776" s="36">
        <v>31</v>
      </c>
      <c r="G776" t="s" s="35">
        <v>5569</v>
      </c>
      <c r="H776" t="s" s="35">
        <v>5570</v>
      </c>
      <c r="I776" t="s" s="120">
        <v>5577</v>
      </c>
      <c r="J776" t="s" s="35">
        <v>1301</v>
      </c>
      <c r="K776" t="s" s="35">
        <v>1332</v>
      </c>
      <c r="L776" s="39"/>
      <c r="M776" t="str" s="39">
        <v>Electricidad y magnetismo</v>
      </c>
      <c r="N776" t="str" s="39">
        <v>Electricidad y circuitos</v>
      </c>
      <c r="O776" t="str" s="39" cm="1">
        <f t="array" ref="O776">IF(L776="","",_xlfn.IFERROR(INDEX('Datos - Catálogo TIMSS'!$C$5:$C$107,MATCH(L776,'Datos - Catálogo TIMSS'!$A$5:$A$107,0)),"?"))</f>
      </c>
      <c r="P776" t="s" s="35">
        <v>282</v>
      </c>
      <c r="Q776" t="s" s="120">
        <v>5578</v>
      </c>
      <c r="R776" t="s" s="120">
        <v>5579</v>
      </c>
      <c r="S776" s="121" cm="1">
        <f t="array" ref="S776">_xlfn.IFERROR(ISNUMBER(SEARCH("Conocer",$R776))/(ISNUMBER(SEARCH("Conocer",$R776))+ISNUMBER(SEARCH("Aplicar",$R776))+ISNUMBER(SEARCH("Razonar",$R776))),0)</f>
        <v>0</v>
      </c>
      <c r="T776" s="121" cm="1">
        <f t="array" ref="T776">_xlfn.IFERROR(ISNUMBER(SEARCH("Aplicar",$R776))/(ISNUMBER(SEARCH("Conocer",$R776))+ISNUMBER(SEARCH("Aplicar",$R776))+ISNUMBER(SEARCH("Razonar",$R776))),0)</f>
        <v>0.5</v>
      </c>
      <c r="U776" s="121" cm="1">
        <f t="array" ref="U776">_xlfn.IFERROR(ISNUMBER(SEARCH("Razonar",$R776))/(ISNUMBER(SEARCH("Conocer",$R776))+ISNUMBER(SEARCH("Aplicar",$R776))+ISNUMBER(SEARCH("Razonar",$R776))),0)</f>
        <v>0.5</v>
      </c>
      <c r="V776" t="s" s="35">
        <v>91</v>
      </c>
      <c r="W776" t="s" s="35">
        <v>119</v>
      </c>
      <c r="X776" s="36" cm="1">
        <f t="array" ref="X776">IF(OR(_xlfn.IFERROR(INDEX('Datos - Catálogo TIMSS'!$I$5:$I$107,MATCH(K776,'Datos - Catálogo TIMSS'!$A$5:$A$107,0)),"No")="Sí",_xlfn.IFERROR(INDEX('Datos - Catálogo TIMSS'!$I$5:$I$107,MATCH(L776,'Datos - Catálogo TIMSS'!$A$5:$A$107,0)),"No")="Sí"),1,0)</f>
        <v>0</v>
      </c>
      <c r="Y776" s="36" cm="1">
        <f t="array" ref="Y776">IF(_xlfn.IFERROR(INDEX('Datos - Catálogo TIMSS'!$J$5:$J$107,MATCH(K776,'Datos - Catálogo TIMSS'!$A$5:$A$107,0)),"No")="Sí",1,0)</f>
        <v>0</v>
      </c>
      <c r="Z776" s="36" cm="1">
        <f t="array" ref="Z776">IF(_xlfn.IFERROR(INDEX('Datos - Catálogo TIMSS'!$J$5:$J$107,MATCH(L776,'Datos - Catálogo TIMSS'!$A$5:$A$107,0)),"No")="Sí",1,0)</f>
        <v>0</v>
      </c>
      <c r="AA776" t="s" s="35">
        <v>1332</v>
      </c>
      <c r="AB776" s="39"/>
      <c r="AC776" t="str" s="39">
        <v>Electricidad y magnetismo</v>
      </c>
      <c r="AD776" t="s" s="35">
        <v>1859</v>
      </c>
      <c r="AE776" t="str" s="39" cm="1">
        <f t="array" ref="AE776">IF(AD776="","",IF(LEFT(AD776,1)="1","C1",IF(LEFT(AD776,1)="2","C2",IF(LEFT(AD776,1)="3","C3",""))))</f>
        <v>C1</v>
      </c>
      <c r="AF776" t="s" s="35">
        <v>1615</v>
      </c>
      <c r="AG776" t="s" s="35">
        <v>1607</v>
      </c>
      <c r="AH776" t="s" s="35">
        <v>1602</v>
      </c>
      <c r="AI776" t="s" s="35">
        <v>1627</v>
      </c>
      <c r="AJ776" t="s" s="35">
        <v>1615</v>
      </c>
      <c r="AK776" s="39"/>
      <c r="AL776" s="39"/>
      <c r="AM776" s="39"/>
      <c r="AN776" s="39"/>
      <c r="AO776" s="39"/>
      <c r="AP776" s="39"/>
      <c r="AQ776" s="39"/>
      <c r="AR776" s="39"/>
      <c r="AS776" s="39"/>
      <c r="AT776" s="39"/>
      <c r="AU776" s="39"/>
      <c r="AV776" s="39"/>
      <c r="AW776" t="str" s="39" cm="1">
        <f t="array" ref="AW776">AF776&amp;"; "&amp;AG776&amp;"; "&amp;AH776&amp;"; "&amp;AI776&amp;"; "&amp;AJ776</f>
        <v>E6; E3; E1; I2; E6</v>
      </c>
    </row>
    <row r="777" ht="13.65" customHeight="1">
      <c r="A777" t="s" s="35">
        <v>5581</v>
      </c>
      <c r="B777" s="36">
        <v>11</v>
      </c>
      <c r="C777" t="s" s="35">
        <v>222</v>
      </c>
      <c r="D777" t="s" s="35">
        <v>4800</v>
      </c>
      <c r="E777" t="s" s="35">
        <v>5427</v>
      </c>
      <c r="F777" s="36">
        <v>32</v>
      </c>
      <c r="G777" t="s" s="35">
        <v>5569</v>
      </c>
      <c r="H777" t="s" s="35">
        <v>5582</v>
      </c>
      <c r="I777" t="s" s="120">
        <v>5583</v>
      </c>
      <c r="J777" t="s" s="35">
        <v>1301</v>
      </c>
      <c r="K777" t="s" s="35">
        <v>1332</v>
      </c>
      <c r="L777" s="39"/>
      <c r="M777" t="str" s="39">
        <v>Electricidad y magnetismo</v>
      </c>
      <c r="N777" t="str" s="39">
        <v>Electricidad y circuitos</v>
      </c>
      <c r="O777" t="str" s="39" cm="1">
        <f t="array" ref="O777">IF(L777="","",_xlfn.IFERROR(INDEX('Datos - Catálogo TIMSS'!$C$5:$C$107,MATCH(L777,'Datos - Catálogo TIMSS'!$A$5:$A$107,0)),"?"))</f>
      </c>
      <c r="P777" t="s" s="35">
        <v>291</v>
      </c>
      <c r="Q777" t="s" s="120">
        <v>5584</v>
      </c>
      <c r="R777" t="s" s="120">
        <v>5585</v>
      </c>
      <c r="S777" s="121" cm="1">
        <f t="array" ref="S777">_xlfn.IFERROR(ISNUMBER(SEARCH("Conocer",$R777))/(ISNUMBER(SEARCH("Conocer",$R777))+ISNUMBER(SEARCH("Aplicar",$R777))+ISNUMBER(SEARCH("Razonar",$R777))),0)</f>
        <v>0</v>
      </c>
      <c r="T777" s="121" cm="1">
        <f t="array" ref="T777">_xlfn.IFERROR(ISNUMBER(SEARCH("Aplicar",$R777))/(ISNUMBER(SEARCH("Conocer",$R777))+ISNUMBER(SEARCH("Aplicar",$R777))+ISNUMBER(SEARCH("Razonar",$R777))),0)</f>
        <v>0.5</v>
      </c>
      <c r="U777" s="121" cm="1">
        <f t="array" ref="U777">_xlfn.IFERROR(ISNUMBER(SEARCH("Razonar",$R777))/(ISNUMBER(SEARCH("Conocer",$R777))+ISNUMBER(SEARCH("Aplicar",$R777))+ISNUMBER(SEARCH("Razonar",$R777))),0)</f>
        <v>0.5</v>
      </c>
      <c r="V777" t="s" s="35">
        <v>91</v>
      </c>
      <c r="W777" t="s" s="35">
        <v>119</v>
      </c>
      <c r="X777" s="36" cm="1">
        <f t="array" ref="X777">IF(OR(_xlfn.IFERROR(INDEX('Datos - Catálogo TIMSS'!$I$5:$I$107,MATCH(K777,'Datos - Catálogo TIMSS'!$A$5:$A$107,0)),"No")="Sí",_xlfn.IFERROR(INDEX('Datos - Catálogo TIMSS'!$I$5:$I$107,MATCH(L777,'Datos - Catálogo TIMSS'!$A$5:$A$107,0)),"No")="Sí"),1,0)</f>
        <v>0</v>
      </c>
      <c r="Y777" s="36" cm="1">
        <f t="array" ref="Y777">IF(_xlfn.IFERROR(INDEX('Datos - Catálogo TIMSS'!$J$5:$J$107,MATCH(K777,'Datos - Catálogo TIMSS'!$A$5:$A$107,0)),"No")="Sí",1,0)</f>
        <v>0</v>
      </c>
      <c r="Z777" s="36" cm="1">
        <f t="array" ref="Z777">IF(_xlfn.IFERROR(INDEX('Datos - Catálogo TIMSS'!$J$5:$J$107,MATCH(L777,'Datos - Catálogo TIMSS'!$A$5:$A$107,0)),"No")="Sí",1,0)</f>
        <v>0</v>
      </c>
      <c r="AA777" t="s" s="35">
        <v>1332</v>
      </c>
      <c r="AB777" s="39"/>
      <c r="AC777" t="str" s="39">
        <v>Electricidad y magnetismo</v>
      </c>
      <c r="AD777" t="s" s="35">
        <v>1834</v>
      </c>
      <c r="AE777" t="str" s="39" cm="1">
        <f t="array" ref="AE777">IF(AD777="","",IF(LEFT(AD777,1)="1","C1",IF(LEFT(AD777,1)="2","C2",IF(LEFT(AD777,1)="3","C3",""))))</f>
        <v>C2</v>
      </c>
      <c r="AF777" t="s" s="35">
        <v>1602</v>
      </c>
      <c r="AG777" t="s" s="35">
        <v>1612</v>
      </c>
      <c r="AH777" t="s" s="35">
        <v>1609</v>
      </c>
      <c r="AI777" t="s" s="35">
        <v>1623</v>
      </c>
      <c r="AJ777" t="s" s="35">
        <v>1621</v>
      </c>
      <c r="AK777" s="39"/>
      <c r="AL777" s="39"/>
      <c r="AM777" s="39"/>
      <c r="AN777" s="39"/>
      <c r="AO777" s="39"/>
      <c r="AP777" s="39"/>
      <c r="AQ777" s="39"/>
      <c r="AR777" s="39"/>
      <c r="AS777" s="39"/>
      <c r="AT777" s="39"/>
      <c r="AU777" s="39"/>
      <c r="AV777" s="39"/>
      <c r="AW777" t="str" s="39" cm="1">
        <f t="array" ref="AW777">AF777&amp;"; "&amp;AG777&amp;"; "&amp;AH777&amp;"; "&amp;AI777&amp;"; "&amp;AJ777</f>
        <v>E1; E5; E4; D4; D3</v>
      </c>
    </row>
    <row r="778" ht="13.65" customHeight="1">
      <c r="A778" t="s" s="35">
        <v>5587</v>
      </c>
      <c r="B778" s="36">
        <v>11</v>
      </c>
      <c r="C778" t="s" s="35">
        <v>222</v>
      </c>
      <c r="D778" t="s" s="35">
        <v>4800</v>
      </c>
      <c r="E778" t="s" s="35">
        <v>5427</v>
      </c>
      <c r="F778" s="36">
        <v>33</v>
      </c>
      <c r="G778" t="s" s="35">
        <v>5569</v>
      </c>
      <c r="H778" t="s" s="35">
        <v>5582</v>
      </c>
      <c r="I778" t="s" s="120">
        <v>5588</v>
      </c>
      <c r="J778" t="s" s="35">
        <v>1301</v>
      </c>
      <c r="K778" t="s" s="35">
        <v>1332</v>
      </c>
      <c r="L778" s="39"/>
      <c r="M778" t="str" s="39">
        <v>Electricidad y magnetismo</v>
      </c>
      <c r="N778" t="str" s="39">
        <v>Electricidad y circuitos</v>
      </c>
      <c r="O778" t="str" s="39" cm="1">
        <f t="array" ref="O778">IF(L778="","",_xlfn.IFERROR(INDEX('Datos - Catálogo TIMSS'!$C$5:$C$107,MATCH(L778,'Datos - Catálogo TIMSS'!$A$5:$A$107,0)),"?"))</f>
      </c>
      <c r="P778" t="s" s="35">
        <v>282</v>
      </c>
      <c r="Q778" t="s" s="120">
        <v>5589</v>
      </c>
      <c r="R778" t="s" s="120">
        <v>5590</v>
      </c>
      <c r="S778" s="121" cm="1">
        <f t="array" ref="S778">_xlfn.IFERROR(ISNUMBER(SEARCH("Conocer",$R778))/(ISNUMBER(SEARCH("Conocer",$R778))+ISNUMBER(SEARCH("Aplicar",$R778))+ISNUMBER(SEARCH("Razonar",$R778))),0)</f>
        <v>0</v>
      </c>
      <c r="T778" s="121" cm="1">
        <f t="array" ref="T778">_xlfn.IFERROR(ISNUMBER(SEARCH("Aplicar",$R778))/(ISNUMBER(SEARCH("Conocer",$R778))+ISNUMBER(SEARCH("Aplicar",$R778))+ISNUMBER(SEARCH("Razonar",$R778))),0)</f>
        <v>0.5</v>
      </c>
      <c r="U778" s="121" cm="1">
        <f t="array" ref="U778">_xlfn.IFERROR(ISNUMBER(SEARCH("Razonar",$R778))/(ISNUMBER(SEARCH("Conocer",$R778))+ISNUMBER(SEARCH("Aplicar",$R778))+ISNUMBER(SEARCH("Razonar",$R778))),0)</f>
        <v>0.5</v>
      </c>
      <c r="V778" t="s" s="35">
        <v>91</v>
      </c>
      <c r="W778" t="s" s="35">
        <v>119</v>
      </c>
      <c r="X778" s="36" cm="1">
        <f t="array" ref="X778">IF(OR(_xlfn.IFERROR(INDEX('Datos - Catálogo TIMSS'!$I$5:$I$107,MATCH(K778,'Datos - Catálogo TIMSS'!$A$5:$A$107,0)),"No")="Sí",_xlfn.IFERROR(INDEX('Datos - Catálogo TIMSS'!$I$5:$I$107,MATCH(L778,'Datos - Catálogo TIMSS'!$A$5:$A$107,0)),"No")="Sí"),1,0)</f>
        <v>0</v>
      </c>
      <c r="Y778" s="36" cm="1">
        <f t="array" ref="Y778">IF(_xlfn.IFERROR(INDEX('Datos - Catálogo TIMSS'!$J$5:$J$107,MATCH(K778,'Datos - Catálogo TIMSS'!$A$5:$A$107,0)),"No")="Sí",1,0)</f>
        <v>0</v>
      </c>
      <c r="Z778" s="36" cm="1">
        <f t="array" ref="Z778">IF(_xlfn.IFERROR(INDEX('Datos - Catálogo TIMSS'!$J$5:$J$107,MATCH(L778,'Datos - Catálogo TIMSS'!$A$5:$A$107,0)),"No")="Sí",1,0)</f>
        <v>0</v>
      </c>
      <c r="AA778" t="s" s="35">
        <v>1332</v>
      </c>
      <c r="AB778" s="39"/>
      <c r="AC778" t="str" s="39">
        <v>Electricidad y magnetismo</v>
      </c>
      <c r="AD778" t="s" s="35">
        <v>1859</v>
      </c>
      <c r="AE778" t="str" s="39" cm="1">
        <f t="array" ref="AE778">IF(AD778="","",IF(LEFT(AD778,1)="1","C1",IF(LEFT(AD778,1)="2","C2",IF(LEFT(AD778,1)="3","C3",""))))</f>
        <v>C1</v>
      </c>
      <c r="AF778" t="s" s="35">
        <v>1602</v>
      </c>
      <c r="AG778" t="s" s="35">
        <v>1617</v>
      </c>
      <c r="AH778" t="s" s="35">
        <v>1605</v>
      </c>
      <c r="AI778" t="s" s="35">
        <v>1623</v>
      </c>
      <c r="AJ778" t="s" s="35">
        <v>1607</v>
      </c>
      <c r="AK778" s="39"/>
      <c r="AL778" s="39"/>
      <c r="AM778" s="39"/>
      <c r="AN778" s="39"/>
      <c r="AO778" s="39"/>
      <c r="AP778" s="39"/>
      <c r="AQ778" s="39"/>
      <c r="AR778" s="39"/>
      <c r="AS778" s="39"/>
      <c r="AT778" s="39"/>
      <c r="AU778" s="39"/>
      <c r="AV778" s="39"/>
      <c r="AW778" t="str" s="39" cm="1">
        <f t="array" ref="AW778">AF778&amp;"; "&amp;AG778&amp;"; "&amp;AH778&amp;"; "&amp;AI778&amp;"; "&amp;AJ778</f>
        <v>E1; D1; E2; D4; E3</v>
      </c>
    </row>
    <row r="779" ht="13.65" customHeight="1">
      <c r="A779" t="s" s="35">
        <v>5591</v>
      </c>
      <c r="B779" s="36">
        <v>11</v>
      </c>
      <c r="C779" t="s" s="35">
        <v>222</v>
      </c>
      <c r="D779" t="s" s="35">
        <v>4800</v>
      </c>
      <c r="E779" t="s" s="35">
        <v>5427</v>
      </c>
      <c r="F779" s="36">
        <v>34</v>
      </c>
      <c r="G779" t="s" s="35">
        <v>5569</v>
      </c>
      <c r="H779" t="s" s="35">
        <v>1334</v>
      </c>
      <c r="I779" t="s" s="120">
        <v>5592</v>
      </c>
      <c r="J779" t="s" s="35">
        <v>1301</v>
      </c>
      <c r="K779" t="s" s="35">
        <v>1332</v>
      </c>
      <c r="L779" s="39"/>
      <c r="M779" t="str" s="39">
        <v>Electricidad y magnetismo</v>
      </c>
      <c r="N779" t="str" s="39">
        <v>Electricidad y circuitos</v>
      </c>
      <c r="O779" t="str" s="39" cm="1">
        <f t="array" ref="O779">IF(L779="","",_xlfn.IFERROR(INDEX('Datos - Catálogo TIMSS'!$C$5:$C$107,MATCH(L779,'Datos - Catálogo TIMSS'!$A$5:$A$107,0)),"?"))</f>
      </c>
      <c r="P779" t="s" s="35">
        <v>254</v>
      </c>
      <c r="Q779" t="s" s="120">
        <v>5593</v>
      </c>
      <c r="R779" t="s" s="120">
        <v>5594</v>
      </c>
      <c r="S779" s="121" cm="1">
        <f t="array" ref="S779">_xlfn.IFERROR(ISNUMBER(SEARCH("Conocer",$R779))/(ISNUMBER(SEARCH("Conocer",$R779))+ISNUMBER(SEARCH("Aplicar",$R779))+ISNUMBER(SEARCH("Razonar",$R779))),0)</f>
        <v>0</v>
      </c>
      <c r="T779" s="121" cm="1">
        <f t="array" ref="T779">_xlfn.IFERROR(ISNUMBER(SEARCH("Aplicar",$R779))/(ISNUMBER(SEARCH("Conocer",$R779))+ISNUMBER(SEARCH("Aplicar",$R779))+ISNUMBER(SEARCH("Razonar",$R779))),0)</f>
        <v>0.5</v>
      </c>
      <c r="U779" s="121" cm="1">
        <f t="array" ref="U779">_xlfn.IFERROR(ISNUMBER(SEARCH("Razonar",$R779))/(ISNUMBER(SEARCH("Conocer",$R779))+ISNUMBER(SEARCH("Aplicar",$R779))+ISNUMBER(SEARCH("Razonar",$R779))),0)</f>
        <v>0.5</v>
      </c>
      <c r="V779" t="s" s="35">
        <v>91</v>
      </c>
      <c r="W779" t="s" s="35">
        <v>119</v>
      </c>
      <c r="X779" s="36" cm="1">
        <f t="array" ref="X779">IF(OR(_xlfn.IFERROR(INDEX('Datos - Catálogo TIMSS'!$I$5:$I$107,MATCH(K779,'Datos - Catálogo TIMSS'!$A$5:$A$107,0)),"No")="Sí",_xlfn.IFERROR(INDEX('Datos - Catálogo TIMSS'!$I$5:$I$107,MATCH(L779,'Datos - Catálogo TIMSS'!$A$5:$A$107,0)),"No")="Sí"),1,0)</f>
        <v>0</v>
      </c>
      <c r="Y779" s="36" cm="1">
        <f t="array" ref="Y779">IF(_xlfn.IFERROR(INDEX('Datos - Catálogo TIMSS'!$J$5:$J$107,MATCH(K779,'Datos - Catálogo TIMSS'!$A$5:$A$107,0)),"No")="Sí",1,0)</f>
        <v>0</v>
      </c>
      <c r="Z779" s="36" cm="1">
        <f t="array" ref="Z779">IF(_xlfn.IFERROR(INDEX('Datos - Catálogo TIMSS'!$J$5:$J$107,MATCH(L779,'Datos - Catálogo TIMSS'!$A$5:$A$107,0)),"No")="Sí",1,0)</f>
        <v>0</v>
      </c>
      <c r="AA779" t="s" s="35">
        <v>1332</v>
      </c>
      <c r="AB779" s="39"/>
      <c r="AC779" t="str" s="39">
        <v>Electricidad y magnetismo</v>
      </c>
      <c r="AD779" t="s" s="35">
        <v>1859</v>
      </c>
      <c r="AE779" t="str" s="39" cm="1">
        <f t="array" ref="AE779">IF(AD779="","",IF(LEFT(AD779,1)="1","C1",IF(LEFT(AD779,1)="2","C2",IF(LEFT(AD779,1)="3","C3",""))))</f>
        <v>C1</v>
      </c>
      <c r="AF779" t="s" s="35">
        <v>1602</v>
      </c>
      <c r="AG779" t="s" s="35">
        <v>1607</v>
      </c>
      <c r="AH779" t="s" s="35">
        <v>1605</v>
      </c>
      <c r="AI779" t="s" s="35">
        <v>1609</v>
      </c>
      <c r="AJ779" t="s" s="35">
        <v>1633</v>
      </c>
      <c r="AK779" s="39"/>
      <c r="AL779" s="39"/>
      <c r="AM779" s="39"/>
      <c r="AN779" s="39"/>
      <c r="AO779" s="39"/>
      <c r="AP779" s="39"/>
      <c r="AQ779" s="39"/>
      <c r="AR779" s="39"/>
      <c r="AS779" s="39"/>
      <c r="AT779" s="39"/>
      <c r="AU779" s="39"/>
      <c r="AV779" s="39"/>
      <c r="AW779" t="str" s="39" cm="1">
        <f t="array" ref="AW779">AF779&amp;"; "&amp;AG779&amp;"; "&amp;AH779&amp;"; "&amp;AI779&amp;"; "&amp;AJ779</f>
        <v>E1; E3; E2; E4; I5</v>
      </c>
    </row>
    <row r="780" ht="13.65" customHeight="1">
      <c r="A780" t="s" s="35">
        <v>5595</v>
      </c>
      <c r="B780" s="36">
        <v>11</v>
      </c>
      <c r="C780" t="s" s="35">
        <v>222</v>
      </c>
      <c r="D780" t="s" s="35">
        <v>4800</v>
      </c>
      <c r="E780" t="s" s="35">
        <v>5427</v>
      </c>
      <c r="F780" s="36">
        <v>35</v>
      </c>
      <c r="G780" t="s" s="35">
        <v>5596</v>
      </c>
      <c r="H780" t="s" s="35">
        <v>5597</v>
      </c>
      <c r="I780" t="s" s="120">
        <v>5598</v>
      </c>
      <c r="J780" t="s" s="35">
        <v>1301</v>
      </c>
      <c r="K780" t="s" s="35">
        <v>1337</v>
      </c>
      <c r="L780" t="s" s="35">
        <v>1332</v>
      </c>
      <c r="M780" t="str" s="39">
        <v>Electricidad y magnetismo</v>
      </c>
      <c r="N780" t="str" s="39">
        <v>Electricidad y circuitos</v>
      </c>
      <c r="O780" t="str" s="39" cm="1">
        <f t="array" ref="O780">IF(L780="","",_xlfn.IFERROR(INDEX('Datos - Catálogo TIMSS'!$C$5:$C$107,MATCH(L780,'Datos - Catálogo TIMSS'!$A$5:$A$107,0)),"?"))</f>
        <v>Electricidad y magnetismo</v>
      </c>
      <c r="P780" t="s" s="35">
        <v>254</v>
      </c>
      <c r="Q780" t="s" s="120">
        <v>5599</v>
      </c>
      <c r="R780" t="s" s="120">
        <v>5600</v>
      </c>
      <c r="S780" s="121" cm="1">
        <f t="array" ref="S780">_xlfn.IFERROR(ISNUMBER(SEARCH("Conocer",$R780))/(ISNUMBER(SEARCH("Conocer",$R780))+ISNUMBER(SEARCH("Aplicar",$R780))+ISNUMBER(SEARCH("Razonar",$R780))),0)</f>
        <v>0</v>
      </c>
      <c r="T780" s="121" cm="1">
        <f t="array" ref="T780">_xlfn.IFERROR(ISNUMBER(SEARCH("Aplicar",$R780))/(ISNUMBER(SEARCH("Conocer",$R780))+ISNUMBER(SEARCH("Aplicar",$R780))+ISNUMBER(SEARCH("Razonar",$R780))),0)</f>
        <v>0.5</v>
      </c>
      <c r="U780" s="121" cm="1">
        <f t="array" ref="U780">_xlfn.IFERROR(ISNUMBER(SEARCH("Razonar",$R780))/(ISNUMBER(SEARCH("Conocer",$R780))+ISNUMBER(SEARCH("Aplicar",$R780))+ISNUMBER(SEARCH("Razonar",$R780))),0)</f>
        <v>0.5</v>
      </c>
      <c r="V780" t="s" s="35">
        <v>91</v>
      </c>
      <c r="W780" t="s" s="35">
        <v>119</v>
      </c>
      <c r="X780" s="36" cm="1">
        <f t="array" ref="X780">IF(OR(_xlfn.IFERROR(INDEX('Datos - Catálogo TIMSS'!$I$5:$I$107,MATCH(K780,'Datos - Catálogo TIMSS'!$A$5:$A$107,0)),"No")="Sí",_xlfn.IFERROR(INDEX('Datos - Catálogo TIMSS'!$I$5:$I$107,MATCH(L780,'Datos - Catálogo TIMSS'!$A$5:$A$107,0)),"No")="Sí"),1,0)</f>
        <v>0</v>
      </c>
      <c r="Y780" s="36" cm="1">
        <f t="array" ref="Y780">IF(_xlfn.IFERROR(INDEX('Datos - Catálogo TIMSS'!$J$5:$J$107,MATCH(K780,'Datos - Catálogo TIMSS'!$A$5:$A$107,0)),"No")="Sí",1,0)</f>
        <v>0</v>
      </c>
      <c r="Z780" s="36" cm="1">
        <f t="array" ref="Z780">IF(_xlfn.IFERROR(INDEX('Datos - Catálogo TIMSS'!$J$5:$J$107,MATCH(L780,'Datos - Catálogo TIMSS'!$A$5:$A$107,0)),"No")="Sí",1,0)</f>
        <v>0</v>
      </c>
      <c r="AA780" t="s" s="35">
        <v>1337</v>
      </c>
      <c r="AB780" t="s" s="35">
        <v>1332</v>
      </c>
      <c r="AC780" t="str" s="39">
        <v>Electricidad y magnetismo</v>
      </c>
      <c r="AD780" t="s" s="35">
        <v>1859</v>
      </c>
      <c r="AE780" t="str" s="39" cm="1">
        <f t="array" ref="AE780">IF(AD780="","",IF(LEFT(AD780,1)="1","C1",IF(LEFT(AD780,1)="2","C2",IF(LEFT(AD780,1)="3","C3",""))))</f>
        <v>C1</v>
      </c>
      <c r="AF780" t="s" s="35">
        <v>1602</v>
      </c>
      <c r="AG780" t="s" s="35">
        <v>1617</v>
      </c>
      <c r="AH780" t="s" s="35">
        <v>1602</v>
      </c>
      <c r="AI780" t="s" s="35">
        <v>1609</v>
      </c>
      <c r="AJ780" t="s" s="35">
        <v>1607</v>
      </c>
      <c r="AK780" s="39"/>
      <c r="AL780" s="39"/>
      <c r="AM780" s="39"/>
      <c r="AN780" s="39"/>
      <c r="AO780" s="39"/>
      <c r="AP780" s="39"/>
      <c r="AQ780" s="39"/>
      <c r="AR780" s="39"/>
      <c r="AS780" s="39"/>
      <c r="AT780" s="39"/>
      <c r="AU780" s="39"/>
      <c r="AV780" s="39"/>
      <c r="AW780" t="str" s="39" cm="1">
        <f t="array" ref="AW780">AF780&amp;"; "&amp;AG780&amp;"; "&amp;AH780&amp;"; "&amp;AI780&amp;"; "&amp;AJ780</f>
        <v>E1; D1; E1; E4; E3</v>
      </c>
    </row>
    <row r="781" ht="13.65" customHeight="1">
      <c r="A781" t="s" s="35">
        <v>5601</v>
      </c>
      <c r="B781" s="36">
        <v>11</v>
      </c>
      <c r="C781" t="s" s="35">
        <v>222</v>
      </c>
      <c r="D781" t="s" s="35">
        <v>4800</v>
      </c>
      <c r="E781" t="s" s="35">
        <v>5427</v>
      </c>
      <c r="F781" s="36">
        <v>36</v>
      </c>
      <c r="G781" t="s" s="35">
        <v>5596</v>
      </c>
      <c r="H781" t="s" s="35">
        <v>5597</v>
      </c>
      <c r="I781" t="s" s="120">
        <v>5602</v>
      </c>
      <c r="J781" t="s" s="35">
        <v>1301</v>
      </c>
      <c r="K781" t="s" s="35">
        <v>1337</v>
      </c>
      <c r="L781" s="39"/>
      <c r="M781" t="str" s="39">
        <v>Electricidad y magnetismo</v>
      </c>
      <c r="N781" t="str" s="39">
        <v>Electricidad y circuitos</v>
      </c>
      <c r="O781" t="str" s="39" cm="1">
        <f t="array" ref="O781">IF(L781="","",_xlfn.IFERROR(INDEX('Datos - Catálogo TIMSS'!$C$5:$C$107,MATCH(L781,'Datos - Catálogo TIMSS'!$A$5:$A$107,0)),"?"))</f>
      </c>
      <c r="P781" t="s" s="35">
        <v>254</v>
      </c>
      <c r="Q781" t="s" s="120">
        <v>5603</v>
      </c>
      <c r="R781" t="s" s="120">
        <v>5604</v>
      </c>
      <c r="S781" s="121" cm="1">
        <f t="array" ref="S781">_xlfn.IFERROR(ISNUMBER(SEARCH("Conocer",$R781))/(ISNUMBER(SEARCH("Conocer",$R781))+ISNUMBER(SEARCH("Aplicar",$R781))+ISNUMBER(SEARCH("Razonar",$R781))),0)</f>
        <v>0</v>
      </c>
      <c r="T781" s="121" cm="1">
        <f t="array" ref="T781">_xlfn.IFERROR(ISNUMBER(SEARCH("Aplicar",$R781))/(ISNUMBER(SEARCH("Conocer",$R781))+ISNUMBER(SEARCH("Aplicar",$R781))+ISNUMBER(SEARCH("Razonar",$R781))),0)</f>
        <v>0.5</v>
      </c>
      <c r="U781" s="121" cm="1">
        <f t="array" ref="U781">_xlfn.IFERROR(ISNUMBER(SEARCH("Razonar",$R781))/(ISNUMBER(SEARCH("Conocer",$R781))+ISNUMBER(SEARCH("Aplicar",$R781))+ISNUMBER(SEARCH("Razonar",$R781))),0)</f>
        <v>0.5</v>
      </c>
      <c r="V781" t="s" s="35">
        <v>91</v>
      </c>
      <c r="W781" t="s" s="35">
        <v>119</v>
      </c>
      <c r="X781" s="36" cm="1">
        <f t="array" ref="X781">IF(OR(_xlfn.IFERROR(INDEX('Datos - Catálogo TIMSS'!$I$5:$I$107,MATCH(K781,'Datos - Catálogo TIMSS'!$A$5:$A$107,0)),"No")="Sí",_xlfn.IFERROR(INDEX('Datos - Catálogo TIMSS'!$I$5:$I$107,MATCH(L781,'Datos - Catálogo TIMSS'!$A$5:$A$107,0)),"No")="Sí"),1,0)</f>
        <v>0</v>
      </c>
      <c r="Y781" s="36" cm="1">
        <f t="array" ref="Y781">IF(_xlfn.IFERROR(INDEX('Datos - Catálogo TIMSS'!$J$5:$J$107,MATCH(K781,'Datos - Catálogo TIMSS'!$A$5:$A$107,0)),"No")="Sí",1,0)</f>
        <v>0</v>
      </c>
      <c r="Z781" s="36" cm="1">
        <f t="array" ref="Z781">IF(_xlfn.IFERROR(INDEX('Datos - Catálogo TIMSS'!$J$5:$J$107,MATCH(L781,'Datos - Catálogo TIMSS'!$A$5:$A$107,0)),"No")="Sí",1,0)</f>
        <v>0</v>
      </c>
      <c r="AA781" t="s" s="35">
        <v>1337</v>
      </c>
      <c r="AB781" s="39"/>
      <c r="AC781" t="str" s="39">
        <v>Electricidad y magnetismo</v>
      </c>
      <c r="AD781" t="s" s="35">
        <v>1859</v>
      </c>
      <c r="AE781" t="str" s="39" cm="1">
        <f t="array" ref="AE781">IF(AD781="","",IF(LEFT(AD781,1)="1","C1",IF(LEFT(AD781,1)="2","C2",IF(LEFT(AD781,1)="3","C3",""))))</f>
        <v>C1</v>
      </c>
      <c r="AF781" t="s" s="35">
        <v>1602</v>
      </c>
      <c r="AG781" t="s" s="35">
        <v>1607</v>
      </c>
      <c r="AH781" t="s" s="35">
        <v>1605</v>
      </c>
      <c r="AI781" t="s" s="35">
        <v>1623</v>
      </c>
      <c r="AJ781" t="s" s="35">
        <v>1607</v>
      </c>
      <c r="AK781" s="39"/>
      <c r="AL781" s="39"/>
      <c r="AM781" s="39"/>
      <c r="AN781" s="39"/>
      <c r="AO781" s="39"/>
      <c r="AP781" s="39"/>
      <c r="AQ781" s="39"/>
      <c r="AR781" s="39"/>
      <c r="AS781" s="39"/>
      <c r="AT781" s="39"/>
      <c r="AU781" s="39"/>
      <c r="AV781" s="39"/>
      <c r="AW781" t="str" s="39" cm="1">
        <f t="array" ref="AW781">AF781&amp;"; "&amp;AG781&amp;"; "&amp;AH781&amp;"; "&amp;AI781&amp;"; "&amp;AJ781</f>
        <v>E1; E3; E2; D4; E3</v>
      </c>
    </row>
    <row r="782" ht="13.65" customHeight="1">
      <c r="A782" t="s" s="35">
        <v>5605</v>
      </c>
      <c r="B782" s="36">
        <v>11</v>
      </c>
      <c r="C782" t="s" s="35">
        <v>222</v>
      </c>
      <c r="D782" t="s" s="35">
        <v>4800</v>
      </c>
      <c r="E782" t="s" s="35">
        <v>5427</v>
      </c>
      <c r="F782" s="36">
        <v>37</v>
      </c>
      <c r="G782" t="s" s="35">
        <v>5596</v>
      </c>
      <c r="H782" t="s" s="35">
        <v>5606</v>
      </c>
      <c r="I782" t="s" s="120">
        <v>5607</v>
      </c>
      <c r="J782" t="s" s="35">
        <v>1301</v>
      </c>
      <c r="K782" t="s" s="35">
        <v>1337</v>
      </c>
      <c r="L782" s="39"/>
      <c r="M782" t="str" s="39">
        <v>Electricidad y magnetismo</v>
      </c>
      <c r="N782" t="str" s="39">
        <v>Electricidad y circuitos</v>
      </c>
      <c r="O782" t="str" s="39" cm="1">
        <f t="array" ref="O782">IF(L782="","",_xlfn.IFERROR(INDEX('Datos - Catálogo TIMSS'!$C$5:$C$107,MATCH(L782,'Datos - Catálogo TIMSS'!$A$5:$A$107,0)),"?"))</f>
      </c>
      <c r="P782" t="s" s="35">
        <v>282</v>
      </c>
      <c r="Q782" t="s" s="120">
        <v>5608</v>
      </c>
      <c r="R782" t="s" s="120">
        <v>5609</v>
      </c>
      <c r="S782" s="121" cm="1">
        <f t="array" ref="S782">_xlfn.IFERROR(ISNUMBER(SEARCH("Conocer",$R782))/(ISNUMBER(SEARCH("Conocer",$R782))+ISNUMBER(SEARCH("Aplicar",$R782))+ISNUMBER(SEARCH("Razonar",$R782))),0)</f>
        <v>0</v>
      </c>
      <c r="T782" s="121" cm="1">
        <f t="array" ref="T782">_xlfn.IFERROR(ISNUMBER(SEARCH("Aplicar",$R782))/(ISNUMBER(SEARCH("Conocer",$R782))+ISNUMBER(SEARCH("Aplicar",$R782))+ISNUMBER(SEARCH("Razonar",$R782))),0)</f>
        <v>0.5</v>
      </c>
      <c r="U782" s="121" cm="1">
        <f t="array" ref="U782">_xlfn.IFERROR(ISNUMBER(SEARCH("Razonar",$R782))/(ISNUMBER(SEARCH("Conocer",$R782))+ISNUMBER(SEARCH("Aplicar",$R782))+ISNUMBER(SEARCH("Razonar",$R782))),0)</f>
        <v>0.5</v>
      </c>
      <c r="V782" t="s" s="35">
        <v>91</v>
      </c>
      <c r="W782" t="s" s="35">
        <v>119</v>
      </c>
      <c r="X782" s="36" cm="1">
        <f t="array" ref="X782">IF(OR(_xlfn.IFERROR(INDEX('Datos - Catálogo TIMSS'!$I$5:$I$107,MATCH(K782,'Datos - Catálogo TIMSS'!$A$5:$A$107,0)),"No")="Sí",_xlfn.IFERROR(INDEX('Datos - Catálogo TIMSS'!$I$5:$I$107,MATCH(L782,'Datos - Catálogo TIMSS'!$A$5:$A$107,0)),"No")="Sí"),1,0)</f>
        <v>0</v>
      </c>
      <c r="Y782" s="36" cm="1">
        <f t="array" ref="Y782">IF(_xlfn.IFERROR(INDEX('Datos - Catálogo TIMSS'!$J$5:$J$107,MATCH(K782,'Datos - Catálogo TIMSS'!$A$5:$A$107,0)),"No")="Sí",1,0)</f>
        <v>0</v>
      </c>
      <c r="Z782" s="36" cm="1">
        <f t="array" ref="Z782">IF(_xlfn.IFERROR(INDEX('Datos - Catálogo TIMSS'!$J$5:$J$107,MATCH(L782,'Datos - Catálogo TIMSS'!$A$5:$A$107,0)),"No")="Sí",1,0)</f>
        <v>0</v>
      </c>
      <c r="AA782" t="s" s="35">
        <v>1337</v>
      </c>
      <c r="AB782" s="39"/>
      <c r="AC782" t="str" s="39">
        <v>Electricidad y magnetismo</v>
      </c>
      <c r="AD782" t="s" s="35">
        <v>1834</v>
      </c>
      <c r="AE782" t="str" s="39" cm="1">
        <f t="array" ref="AE782">IF(AD782="","",IF(LEFT(AD782,1)="1","C1",IF(LEFT(AD782,1)="2","C2",IF(LEFT(AD782,1)="3","C3",""))))</f>
        <v>C2</v>
      </c>
      <c r="AF782" t="s" s="35">
        <v>1615</v>
      </c>
      <c r="AG782" t="s" s="35">
        <v>1612</v>
      </c>
      <c r="AH782" t="s" s="35">
        <v>1609</v>
      </c>
      <c r="AI782" t="s" s="35">
        <v>1619</v>
      </c>
      <c r="AJ782" t="s" s="35">
        <v>1633</v>
      </c>
      <c r="AK782" s="39"/>
      <c r="AL782" s="39"/>
      <c r="AM782" s="39"/>
      <c r="AN782" s="39"/>
      <c r="AO782" s="39"/>
      <c r="AP782" s="39"/>
      <c r="AQ782" s="39"/>
      <c r="AR782" s="39"/>
      <c r="AS782" s="39"/>
      <c r="AT782" s="39"/>
      <c r="AU782" s="39"/>
      <c r="AV782" s="39"/>
      <c r="AW782" t="str" s="39" cm="1">
        <f t="array" ref="AW782">AF782&amp;"; "&amp;AG782&amp;"; "&amp;AH782&amp;"; "&amp;AI782&amp;"; "&amp;AJ782</f>
        <v>E6; E5; E4; D2; I5</v>
      </c>
    </row>
    <row r="783" ht="13.65" customHeight="1">
      <c r="A783" t="s" s="35">
        <v>5611</v>
      </c>
      <c r="B783" s="36">
        <v>11</v>
      </c>
      <c r="C783" t="s" s="35">
        <v>222</v>
      </c>
      <c r="D783" t="s" s="35">
        <v>4800</v>
      </c>
      <c r="E783" t="s" s="35">
        <v>5427</v>
      </c>
      <c r="F783" s="36">
        <v>38</v>
      </c>
      <c r="G783" t="s" s="35">
        <v>5596</v>
      </c>
      <c r="H783" t="s" s="35">
        <v>5606</v>
      </c>
      <c r="I783" t="s" s="120">
        <v>5612</v>
      </c>
      <c r="J783" t="s" s="35">
        <v>1301</v>
      </c>
      <c r="K783" t="s" s="35">
        <v>1337</v>
      </c>
      <c r="L783" s="39"/>
      <c r="M783" t="str" s="39">
        <v>Electricidad y magnetismo</v>
      </c>
      <c r="N783" t="str" s="39">
        <v>Electricidad y circuitos</v>
      </c>
      <c r="O783" t="str" s="39" cm="1">
        <f t="array" ref="O783">IF(L783="","",_xlfn.IFERROR(INDEX('Datos - Catálogo TIMSS'!$C$5:$C$107,MATCH(L783,'Datos - Catálogo TIMSS'!$A$5:$A$107,0)),"?"))</f>
      </c>
      <c r="P783" t="s" s="35">
        <v>282</v>
      </c>
      <c r="Q783" t="s" s="120">
        <v>5613</v>
      </c>
      <c r="R783" t="s" s="120">
        <v>5614</v>
      </c>
      <c r="S783" s="121" cm="1">
        <f t="array" ref="S783">_xlfn.IFERROR(ISNUMBER(SEARCH("Conocer",$R783))/(ISNUMBER(SEARCH("Conocer",$R783))+ISNUMBER(SEARCH("Aplicar",$R783))+ISNUMBER(SEARCH("Razonar",$R783))),0)</f>
        <v>0</v>
      </c>
      <c r="T783" s="121" cm="1">
        <f t="array" ref="T783">_xlfn.IFERROR(ISNUMBER(SEARCH("Aplicar",$R783))/(ISNUMBER(SEARCH("Conocer",$R783))+ISNUMBER(SEARCH("Aplicar",$R783))+ISNUMBER(SEARCH("Razonar",$R783))),0)</f>
        <v>0.5</v>
      </c>
      <c r="U783" s="121" cm="1">
        <f t="array" ref="U783">_xlfn.IFERROR(ISNUMBER(SEARCH("Razonar",$R783))/(ISNUMBER(SEARCH("Conocer",$R783))+ISNUMBER(SEARCH("Aplicar",$R783))+ISNUMBER(SEARCH("Razonar",$R783))),0)</f>
        <v>0.5</v>
      </c>
      <c r="V783" t="s" s="35">
        <v>91</v>
      </c>
      <c r="W783" t="s" s="35">
        <v>119</v>
      </c>
      <c r="X783" s="36" cm="1">
        <f t="array" ref="X783">IF(OR(_xlfn.IFERROR(INDEX('Datos - Catálogo TIMSS'!$I$5:$I$107,MATCH(K783,'Datos - Catálogo TIMSS'!$A$5:$A$107,0)),"No")="Sí",_xlfn.IFERROR(INDEX('Datos - Catálogo TIMSS'!$I$5:$I$107,MATCH(L783,'Datos - Catálogo TIMSS'!$A$5:$A$107,0)),"No")="Sí"),1,0)</f>
        <v>0</v>
      </c>
      <c r="Y783" s="36" cm="1">
        <f t="array" ref="Y783">IF(_xlfn.IFERROR(INDEX('Datos - Catálogo TIMSS'!$J$5:$J$107,MATCH(K783,'Datos - Catálogo TIMSS'!$A$5:$A$107,0)),"No")="Sí",1,0)</f>
        <v>0</v>
      </c>
      <c r="Z783" s="36" cm="1">
        <f t="array" ref="Z783">IF(_xlfn.IFERROR(INDEX('Datos - Catálogo TIMSS'!$J$5:$J$107,MATCH(L783,'Datos - Catálogo TIMSS'!$A$5:$A$107,0)),"No")="Sí",1,0)</f>
        <v>0</v>
      </c>
      <c r="AA783" t="s" s="35">
        <v>1337</v>
      </c>
      <c r="AB783" s="39"/>
      <c r="AC783" t="str" s="39">
        <v>Electricidad y magnetismo</v>
      </c>
      <c r="AD783" t="s" s="35">
        <v>1859</v>
      </c>
      <c r="AE783" t="str" s="39" cm="1">
        <f t="array" ref="AE783">IF(AD783="","",IF(LEFT(AD783,1)="1","C1",IF(LEFT(AD783,1)="2","C2",IF(LEFT(AD783,1)="3","C3",""))))</f>
        <v>C1</v>
      </c>
      <c r="AF783" t="s" s="35">
        <v>1602</v>
      </c>
      <c r="AG783" t="s" s="35">
        <v>1607</v>
      </c>
      <c r="AH783" t="s" s="35">
        <v>1605</v>
      </c>
      <c r="AI783" t="s" s="35">
        <v>1609</v>
      </c>
      <c r="AJ783" t="s" s="35">
        <v>1631</v>
      </c>
      <c r="AK783" s="39"/>
      <c r="AL783" s="39"/>
      <c r="AM783" s="39"/>
      <c r="AN783" s="39"/>
      <c r="AO783" s="39"/>
      <c r="AP783" s="39"/>
      <c r="AQ783" s="39"/>
      <c r="AR783" s="39"/>
      <c r="AS783" s="39"/>
      <c r="AT783" s="39"/>
      <c r="AU783" s="39"/>
      <c r="AV783" s="39"/>
      <c r="AW783" t="str" s="39" cm="1">
        <f t="array" ref="AW783">AF783&amp;"; "&amp;AG783&amp;"; "&amp;AH783&amp;"; "&amp;AI783&amp;"; "&amp;AJ783</f>
        <v>E1; E3; E2; E4; I4</v>
      </c>
    </row>
    <row r="784" ht="13.65" customHeight="1">
      <c r="A784" t="s" s="35">
        <v>5615</v>
      </c>
      <c r="B784" s="36">
        <v>11</v>
      </c>
      <c r="C784" t="s" s="35">
        <v>222</v>
      </c>
      <c r="D784" t="s" s="35">
        <v>4800</v>
      </c>
      <c r="E784" t="s" s="35">
        <v>5427</v>
      </c>
      <c r="F784" s="36">
        <v>39</v>
      </c>
      <c r="G784" t="s" s="35">
        <v>5596</v>
      </c>
      <c r="H784" t="s" s="35">
        <v>5616</v>
      </c>
      <c r="I784" t="s" s="120">
        <v>5617</v>
      </c>
      <c r="J784" t="s" s="35">
        <v>1301</v>
      </c>
      <c r="K784" t="s" s="35">
        <v>1337</v>
      </c>
      <c r="L784" s="39"/>
      <c r="M784" t="str" s="39">
        <v>Electricidad y magnetismo</v>
      </c>
      <c r="N784" t="str" s="39">
        <v>Electricidad y circuitos</v>
      </c>
      <c r="O784" t="str" s="39" cm="1">
        <f t="array" ref="O784">IF(L784="","",_xlfn.IFERROR(INDEX('Datos - Catálogo TIMSS'!$C$5:$C$107,MATCH(L784,'Datos - Catálogo TIMSS'!$A$5:$A$107,0)),"?"))</f>
      </c>
      <c r="P784" t="s" s="35">
        <v>291</v>
      </c>
      <c r="Q784" t="s" s="120">
        <v>5618</v>
      </c>
      <c r="R784" t="s" s="120">
        <v>5619</v>
      </c>
      <c r="S784" s="121" cm="1">
        <f t="array" ref="S784">_xlfn.IFERROR(ISNUMBER(SEARCH("Conocer",$R784))/(ISNUMBER(SEARCH("Conocer",$R784))+ISNUMBER(SEARCH("Aplicar",$R784))+ISNUMBER(SEARCH("Razonar",$R784))),0)</f>
        <v>0.5</v>
      </c>
      <c r="T784" s="121" cm="1">
        <f t="array" ref="T784">_xlfn.IFERROR(ISNUMBER(SEARCH("Aplicar",$R784))/(ISNUMBER(SEARCH("Conocer",$R784))+ISNUMBER(SEARCH("Aplicar",$R784))+ISNUMBER(SEARCH("Razonar",$R784))),0)</f>
        <v>0</v>
      </c>
      <c r="U784" s="121" cm="1">
        <f t="array" ref="U784">_xlfn.IFERROR(ISNUMBER(SEARCH("Razonar",$R784))/(ISNUMBER(SEARCH("Conocer",$R784))+ISNUMBER(SEARCH("Aplicar",$R784))+ISNUMBER(SEARCH("Razonar",$R784))),0)</f>
        <v>0.5</v>
      </c>
      <c r="V784" t="s" s="35">
        <v>91</v>
      </c>
      <c r="W784" t="s" s="35">
        <v>119</v>
      </c>
      <c r="X784" s="36" cm="1">
        <f t="array" ref="X784">IF(OR(_xlfn.IFERROR(INDEX('Datos - Catálogo TIMSS'!$I$5:$I$107,MATCH(K784,'Datos - Catálogo TIMSS'!$A$5:$A$107,0)),"No")="Sí",_xlfn.IFERROR(INDEX('Datos - Catálogo TIMSS'!$I$5:$I$107,MATCH(L784,'Datos - Catálogo TIMSS'!$A$5:$A$107,0)),"No")="Sí"),1,0)</f>
        <v>0</v>
      </c>
      <c r="Y784" s="36" cm="1">
        <f t="array" ref="Y784">IF(_xlfn.IFERROR(INDEX('Datos - Catálogo TIMSS'!$J$5:$J$107,MATCH(K784,'Datos - Catálogo TIMSS'!$A$5:$A$107,0)),"No")="Sí",1,0)</f>
        <v>0</v>
      </c>
      <c r="Z784" s="36" cm="1">
        <f t="array" ref="Z784">IF(_xlfn.IFERROR(INDEX('Datos - Catálogo TIMSS'!$J$5:$J$107,MATCH(L784,'Datos - Catálogo TIMSS'!$A$5:$A$107,0)),"No")="Sí",1,0)</f>
        <v>0</v>
      </c>
      <c r="AA784" t="s" s="35">
        <v>1337</v>
      </c>
      <c r="AB784" s="39"/>
      <c r="AC784" t="str" s="39">
        <v>Electricidad y magnetismo</v>
      </c>
      <c r="AD784" t="s" s="35">
        <v>1900</v>
      </c>
      <c r="AE784" t="str" s="39" cm="1">
        <f t="array" ref="AE784">IF(AD784="","",IF(LEFT(AD784,1)="1","C1",IF(LEFT(AD784,1)="2","C2",IF(LEFT(AD784,1)="3","C3",""))))</f>
        <v>C3</v>
      </c>
      <c r="AF784" t="s" s="35">
        <v>1615</v>
      </c>
      <c r="AG784" t="s" s="35">
        <v>1607</v>
      </c>
      <c r="AH784" t="s" s="35">
        <v>1609</v>
      </c>
      <c r="AI784" t="s" s="35">
        <v>1625</v>
      </c>
      <c r="AJ784" t="s" s="35">
        <v>1633</v>
      </c>
      <c r="AK784" s="39"/>
      <c r="AL784" s="39"/>
      <c r="AM784" s="39"/>
      <c r="AN784" s="39"/>
      <c r="AO784" s="39"/>
      <c r="AP784" s="39"/>
      <c r="AQ784" s="39"/>
      <c r="AR784" s="39"/>
      <c r="AS784" s="39"/>
      <c r="AT784" s="39"/>
      <c r="AU784" s="39"/>
      <c r="AV784" s="39"/>
      <c r="AW784" t="str" s="39" cm="1">
        <f t="array" ref="AW784">AF784&amp;"; "&amp;AG784&amp;"; "&amp;AH784&amp;"; "&amp;AI784&amp;"; "&amp;AJ784</f>
        <v>E6; E3; E4; I1; I5</v>
      </c>
    </row>
    <row r="785" ht="13.65" customHeight="1">
      <c r="A785" t="s" s="35">
        <v>5621</v>
      </c>
      <c r="B785" s="36">
        <v>11</v>
      </c>
      <c r="C785" t="s" s="35">
        <v>222</v>
      </c>
      <c r="D785" t="s" s="35">
        <v>4800</v>
      </c>
      <c r="E785" t="s" s="35">
        <v>5427</v>
      </c>
      <c r="F785" s="36">
        <v>40</v>
      </c>
      <c r="G785" t="s" s="35">
        <v>5622</v>
      </c>
      <c r="H785" t="s" s="35">
        <v>5623</v>
      </c>
      <c r="I785" t="s" s="120">
        <v>5624</v>
      </c>
      <c r="J785" t="s" s="35">
        <v>1301</v>
      </c>
      <c r="K785" t="s" s="35">
        <v>1337</v>
      </c>
      <c r="L785" t="s" s="35">
        <v>1315</v>
      </c>
      <c r="M785" t="str" s="39">
        <v>Electricidad y magnetismo</v>
      </c>
      <c r="N785" t="str" s="39">
        <v>Electricidad y circuitos</v>
      </c>
      <c r="O785" t="str" s="39" cm="1">
        <f t="array" ref="O785">IF(L785="","",_xlfn.IFERROR(INDEX('Datos - Catálogo TIMSS'!$C$5:$C$107,MATCH(L785,'Datos - Catálogo TIMSS'!$A$5:$A$107,0)),"?"))</f>
        <v>Mecánica y termodinámica</v>
      </c>
      <c r="P785" t="s" s="35">
        <v>282</v>
      </c>
      <c r="Q785" t="s" s="120">
        <v>5625</v>
      </c>
      <c r="R785" t="s" s="120">
        <v>5626</v>
      </c>
      <c r="S785" s="121" cm="1">
        <f t="array" ref="S785">_xlfn.IFERROR(ISNUMBER(SEARCH("Conocer",$R785))/(ISNUMBER(SEARCH("Conocer",$R785))+ISNUMBER(SEARCH("Aplicar",$R785))+ISNUMBER(SEARCH("Razonar",$R785))),0)</f>
        <v>0.333333333333333</v>
      </c>
      <c r="T785" s="121" cm="1">
        <f t="array" ref="T785">_xlfn.IFERROR(ISNUMBER(SEARCH("Aplicar",$R785))/(ISNUMBER(SEARCH("Conocer",$R785))+ISNUMBER(SEARCH("Aplicar",$R785))+ISNUMBER(SEARCH("Razonar",$R785))),0)</f>
        <v>0.333333333333333</v>
      </c>
      <c r="U785" s="121" cm="1">
        <f t="array" ref="U785">_xlfn.IFERROR(ISNUMBER(SEARCH("Razonar",$R785))/(ISNUMBER(SEARCH("Conocer",$R785))+ISNUMBER(SEARCH("Aplicar",$R785))+ISNUMBER(SEARCH("Razonar",$R785))),0)</f>
        <v>0.333333333333333</v>
      </c>
      <c r="V785" t="s" s="35">
        <v>91</v>
      </c>
      <c r="W785" t="s" s="35">
        <v>119</v>
      </c>
      <c r="X785" s="36" cm="1">
        <f t="array" ref="X785">IF(OR(_xlfn.IFERROR(INDEX('Datos - Catálogo TIMSS'!$I$5:$I$107,MATCH(K785,'Datos - Catálogo TIMSS'!$A$5:$A$107,0)),"No")="Sí",_xlfn.IFERROR(INDEX('Datos - Catálogo TIMSS'!$I$5:$I$107,MATCH(L785,'Datos - Catálogo TIMSS'!$A$5:$A$107,0)),"No")="Sí"),1,0)</f>
        <v>0</v>
      </c>
      <c r="Y785" s="36" cm="1">
        <f t="array" ref="Y785">IF(_xlfn.IFERROR(INDEX('Datos - Catálogo TIMSS'!$J$5:$J$107,MATCH(K785,'Datos - Catálogo TIMSS'!$A$5:$A$107,0)),"No")="Sí",1,0)</f>
        <v>0</v>
      </c>
      <c r="Z785" s="36" cm="1">
        <f t="array" ref="Z785">IF(_xlfn.IFERROR(INDEX('Datos - Catálogo TIMSS'!$J$5:$J$107,MATCH(L785,'Datos - Catálogo TIMSS'!$A$5:$A$107,0)),"No")="Sí",1,0)</f>
        <v>0</v>
      </c>
      <c r="AA785" t="s" s="35">
        <v>1337</v>
      </c>
      <c r="AB785" t="s" s="35">
        <v>1315</v>
      </c>
      <c r="AC785" t="str" s="39">
        <v>Electricidad y magnetismo</v>
      </c>
      <c r="AD785" t="s" s="35">
        <v>1859</v>
      </c>
      <c r="AE785" t="str" s="39" cm="1">
        <f t="array" ref="AE785">IF(AD785="","",IF(LEFT(AD785,1)="1","C1",IF(LEFT(AD785,1)="2","C2",IF(LEFT(AD785,1)="3","C3",""))))</f>
        <v>C1</v>
      </c>
      <c r="AF785" t="s" s="35">
        <v>1602</v>
      </c>
      <c r="AG785" t="s" s="35">
        <v>1607</v>
      </c>
      <c r="AH785" t="s" s="35">
        <v>1605</v>
      </c>
      <c r="AI785" t="s" s="35">
        <v>1609</v>
      </c>
      <c r="AJ785" t="s" s="35">
        <v>1615</v>
      </c>
      <c r="AK785" s="39"/>
      <c r="AL785" s="39"/>
      <c r="AM785" s="39"/>
      <c r="AN785" s="39"/>
      <c r="AO785" s="39"/>
      <c r="AP785" s="39"/>
      <c r="AQ785" s="39"/>
      <c r="AR785" s="39"/>
      <c r="AS785" s="39"/>
      <c r="AT785" s="39"/>
      <c r="AU785" s="39"/>
      <c r="AV785" s="39"/>
      <c r="AW785" t="str" s="39" cm="1">
        <f t="array" ref="AW785">AF785&amp;"; "&amp;AG785&amp;"; "&amp;AH785&amp;"; "&amp;AI785&amp;"; "&amp;AJ785</f>
        <v>E1; E3; E2; E4; E6</v>
      </c>
    </row>
    <row r="786" ht="13.65" customHeight="1">
      <c r="A786" t="s" s="35">
        <v>5628</v>
      </c>
      <c r="B786" s="36">
        <v>11</v>
      </c>
      <c r="C786" t="s" s="35">
        <v>222</v>
      </c>
      <c r="D786" t="s" s="35">
        <v>4800</v>
      </c>
      <c r="E786" t="s" s="35">
        <v>5427</v>
      </c>
      <c r="F786" s="36">
        <v>41</v>
      </c>
      <c r="G786" t="s" s="35">
        <v>5622</v>
      </c>
      <c r="H786" t="s" s="35">
        <v>5623</v>
      </c>
      <c r="I786" t="s" s="120">
        <v>5629</v>
      </c>
      <c r="J786" t="s" s="35">
        <v>1301</v>
      </c>
      <c r="K786" t="s" s="35">
        <v>1337</v>
      </c>
      <c r="L786" s="39"/>
      <c r="M786" t="str" s="39">
        <v>Electricidad y magnetismo</v>
      </c>
      <c r="N786" t="str" s="39">
        <v>Electricidad y circuitos</v>
      </c>
      <c r="O786" t="str" s="39" cm="1">
        <f t="array" ref="O786">IF(L786="","",_xlfn.IFERROR(INDEX('Datos - Catálogo TIMSS'!$C$5:$C$107,MATCH(L786,'Datos - Catálogo TIMSS'!$A$5:$A$107,0)),"?"))</f>
      </c>
      <c r="P786" t="s" s="35">
        <v>254</v>
      </c>
      <c r="Q786" t="s" s="120">
        <v>5630</v>
      </c>
      <c r="R786" t="s" s="120">
        <v>5631</v>
      </c>
      <c r="S786" s="121" cm="1">
        <f t="array" ref="S786">_xlfn.IFERROR(ISNUMBER(SEARCH("Conocer",$R786))/(ISNUMBER(SEARCH("Conocer",$R786))+ISNUMBER(SEARCH("Aplicar",$R786))+ISNUMBER(SEARCH("Razonar",$R786))),0)</f>
        <v>0</v>
      </c>
      <c r="T786" s="121" cm="1">
        <f t="array" ref="T786">_xlfn.IFERROR(ISNUMBER(SEARCH("Aplicar",$R786))/(ISNUMBER(SEARCH("Conocer",$R786))+ISNUMBER(SEARCH("Aplicar",$R786))+ISNUMBER(SEARCH("Razonar",$R786))),0)</f>
        <v>0.5</v>
      </c>
      <c r="U786" s="121" cm="1">
        <f t="array" ref="U786">_xlfn.IFERROR(ISNUMBER(SEARCH("Razonar",$R786))/(ISNUMBER(SEARCH("Conocer",$R786))+ISNUMBER(SEARCH("Aplicar",$R786))+ISNUMBER(SEARCH("Razonar",$R786))),0)</f>
        <v>0.5</v>
      </c>
      <c r="V786" t="s" s="35">
        <v>91</v>
      </c>
      <c r="W786" t="s" s="35">
        <v>119</v>
      </c>
      <c r="X786" s="36" cm="1">
        <f t="array" ref="X786">IF(OR(_xlfn.IFERROR(INDEX('Datos - Catálogo TIMSS'!$I$5:$I$107,MATCH(K786,'Datos - Catálogo TIMSS'!$A$5:$A$107,0)),"No")="Sí",_xlfn.IFERROR(INDEX('Datos - Catálogo TIMSS'!$I$5:$I$107,MATCH(L786,'Datos - Catálogo TIMSS'!$A$5:$A$107,0)),"No")="Sí"),1,0)</f>
        <v>0</v>
      </c>
      <c r="Y786" s="36" cm="1">
        <f t="array" ref="Y786">IF(_xlfn.IFERROR(INDEX('Datos - Catálogo TIMSS'!$J$5:$J$107,MATCH(K786,'Datos - Catálogo TIMSS'!$A$5:$A$107,0)),"No")="Sí",1,0)</f>
        <v>0</v>
      </c>
      <c r="Z786" s="36" cm="1">
        <f t="array" ref="Z786">IF(_xlfn.IFERROR(INDEX('Datos - Catálogo TIMSS'!$J$5:$J$107,MATCH(L786,'Datos - Catálogo TIMSS'!$A$5:$A$107,0)),"No")="Sí",1,0)</f>
        <v>0</v>
      </c>
      <c r="AA786" t="s" s="35">
        <v>1337</v>
      </c>
      <c r="AB786" s="39"/>
      <c r="AC786" t="str" s="39">
        <v>Electricidad y magnetismo</v>
      </c>
      <c r="AD786" t="s" s="35">
        <v>1859</v>
      </c>
      <c r="AE786" t="str" s="39" cm="1">
        <f t="array" ref="AE786">IF(AD786="","",IF(LEFT(AD786,1)="1","C1",IF(LEFT(AD786,1)="2","C2",IF(LEFT(AD786,1)="3","C3",""))))</f>
        <v>C1</v>
      </c>
      <c r="AF786" t="s" s="35">
        <v>1602</v>
      </c>
      <c r="AG786" t="s" s="35">
        <v>1617</v>
      </c>
      <c r="AH786" t="s" s="35">
        <v>1602</v>
      </c>
      <c r="AI786" t="s" s="35">
        <v>1623</v>
      </c>
      <c r="AJ786" t="s" s="35">
        <v>1607</v>
      </c>
      <c r="AK786" s="39"/>
      <c r="AL786" s="39"/>
      <c r="AM786" s="39"/>
      <c r="AN786" s="39"/>
      <c r="AO786" s="39"/>
      <c r="AP786" s="39"/>
      <c r="AQ786" s="39"/>
      <c r="AR786" s="39"/>
      <c r="AS786" s="39"/>
      <c r="AT786" s="39"/>
      <c r="AU786" s="39"/>
      <c r="AV786" s="39"/>
      <c r="AW786" t="str" s="39" cm="1">
        <f t="array" ref="AW786">AF786&amp;"; "&amp;AG786&amp;"; "&amp;AH786&amp;"; "&amp;AI786&amp;"; "&amp;AJ786</f>
        <v>E1; D1; E1; D4; E3</v>
      </c>
    </row>
    <row r="787" ht="13.65" customHeight="1">
      <c r="A787" t="s" s="35">
        <v>5632</v>
      </c>
      <c r="B787" s="36">
        <v>11</v>
      </c>
      <c r="C787" t="s" s="35">
        <v>222</v>
      </c>
      <c r="D787" t="s" s="35">
        <v>4800</v>
      </c>
      <c r="E787" t="s" s="35">
        <v>5427</v>
      </c>
      <c r="F787" s="36">
        <v>42</v>
      </c>
      <c r="G787" t="s" s="35">
        <v>5622</v>
      </c>
      <c r="H787" t="s" s="35">
        <v>5633</v>
      </c>
      <c r="I787" t="s" s="120">
        <v>5634</v>
      </c>
      <c r="J787" t="s" s="35">
        <v>1301</v>
      </c>
      <c r="K787" t="s" s="35">
        <v>1337</v>
      </c>
      <c r="L787" t="s" s="35">
        <v>1332</v>
      </c>
      <c r="M787" t="str" s="39">
        <v>Electricidad y magnetismo</v>
      </c>
      <c r="N787" t="str" s="39">
        <v>Electricidad y circuitos</v>
      </c>
      <c r="O787" t="str" s="39" cm="1">
        <f t="array" ref="O787">IF(L787="","",_xlfn.IFERROR(INDEX('Datos - Catálogo TIMSS'!$C$5:$C$107,MATCH(L787,'Datos - Catálogo TIMSS'!$A$5:$A$107,0)),"?"))</f>
        <v>Electricidad y magnetismo</v>
      </c>
      <c r="P787" t="s" s="35">
        <v>282</v>
      </c>
      <c r="Q787" t="s" s="120">
        <v>5635</v>
      </c>
      <c r="R787" t="s" s="120">
        <v>5636</v>
      </c>
      <c r="S787" s="121" cm="1">
        <f t="array" ref="S787">_xlfn.IFERROR(ISNUMBER(SEARCH("Conocer",$R787))/(ISNUMBER(SEARCH("Conocer",$R787))+ISNUMBER(SEARCH("Aplicar",$R787))+ISNUMBER(SEARCH("Razonar",$R787))),0)</f>
        <v>0</v>
      </c>
      <c r="T787" s="121" cm="1">
        <f t="array" ref="T787">_xlfn.IFERROR(ISNUMBER(SEARCH("Aplicar",$R787))/(ISNUMBER(SEARCH("Conocer",$R787))+ISNUMBER(SEARCH("Aplicar",$R787))+ISNUMBER(SEARCH("Razonar",$R787))),0)</f>
        <v>0.5</v>
      </c>
      <c r="U787" s="121" cm="1">
        <f t="array" ref="U787">_xlfn.IFERROR(ISNUMBER(SEARCH("Razonar",$R787))/(ISNUMBER(SEARCH("Conocer",$R787))+ISNUMBER(SEARCH("Aplicar",$R787))+ISNUMBER(SEARCH("Razonar",$R787))),0)</f>
        <v>0.5</v>
      </c>
      <c r="V787" t="s" s="35">
        <v>91</v>
      </c>
      <c r="W787" t="s" s="35">
        <v>119</v>
      </c>
      <c r="X787" s="36" cm="1">
        <f t="array" ref="X787">IF(OR(_xlfn.IFERROR(INDEX('Datos - Catálogo TIMSS'!$I$5:$I$107,MATCH(K787,'Datos - Catálogo TIMSS'!$A$5:$A$107,0)),"No")="Sí",_xlfn.IFERROR(INDEX('Datos - Catálogo TIMSS'!$I$5:$I$107,MATCH(L787,'Datos - Catálogo TIMSS'!$A$5:$A$107,0)),"No")="Sí"),1,0)</f>
        <v>0</v>
      </c>
      <c r="Y787" s="36" cm="1">
        <f t="array" ref="Y787">IF(_xlfn.IFERROR(INDEX('Datos - Catálogo TIMSS'!$J$5:$J$107,MATCH(K787,'Datos - Catálogo TIMSS'!$A$5:$A$107,0)),"No")="Sí",1,0)</f>
        <v>0</v>
      </c>
      <c r="Z787" s="36" cm="1">
        <f t="array" ref="Z787">IF(_xlfn.IFERROR(INDEX('Datos - Catálogo TIMSS'!$J$5:$J$107,MATCH(L787,'Datos - Catálogo TIMSS'!$A$5:$A$107,0)),"No")="Sí",1,0)</f>
        <v>0</v>
      </c>
      <c r="AA787" t="s" s="35">
        <v>1337</v>
      </c>
      <c r="AB787" t="s" s="35">
        <v>1332</v>
      </c>
      <c r="AC787" t="str" s="39">
        <v>Electricidad y magnetismo</v>
      </c>
      <c r="AD787" t="s" s="35">
        <v>1859</v>
      </c>
      <c r="AE787" t="str" s="39" cm="1">
        <f t="array" ref="AE787">IF(AD787="","",IF(LEFT(AD787,1)="1","C1",IF(LEFT(AD787,1)="2","C2",IF(LEFT(AD787,1)="3","C3",""))))</f>
        <v>C1</v>
      </c>
      <c r="AF787" t="s" s="35">
        <v>1602</v>
      </c>
      <c r="AG787" t="s" s="35">
        <v>1612</v>
      </c>
      <c r="AH787" t="s" s="35">
        <v>1605</v>
      </c>
      <c r="AI787" t="s" s="35">
        <v>1609</v>
      </c>
      <c r="AJ787" t="s" s="35">
        <v>1621</v>
      </c>
      <c r="AK787" s="39"/>
      <c r="AL787" s="39"/>
      <c r="AM787" s="39"/>
      <c r="AN787" s="39"/>
      <c r="AO787" s="39"/>
      <c r="AP787" s="39"/>
      <c r="AQ787" s="39"/>
      <c r="AR787" s="39"/>
      <c r="AS787" s="39"/>
      <c r="AT787" s="39"/>
      <c r="AU787" s="39"/>
      <c r="AV787" s="39"/>
      <c r="AW787" t="str" s="39" cm="1">
        <f t="array" ref="AW787">AF787&amp;"; "&amp;AG787&amp;"; "&amp;AH787&amp;"; "&amp;AI787&amp;"; "&amp;AJ787</f>
        <v>E1; E5; E2; E4; D3</v>
      </c>
    </row>
    <row r="788" ht="13.65" customHeight="1">
      <c r="A788" t="s" s="35">
        <v>5638</v>
      </c>
      <c r="B788" s="36">
        <v>11</v>
      </c>
      <c r="C788" t="s" s="35">
        <v>222</v>
      </c>
      <c r="D788" t="s" s="35">
        <v>4800</v>
      </c>
      <c r="E788" t="s" s="35">
        <v>5427</v>
      </c>
      <c r="F788" s="36">
        <v>43</v>
      </c>
      <c r="G788" t="s" s="35">
        <v>5622</v>
      </c>
      <c r="H788" t="s" s="35">
        <v>5633</v>
      </c>
      <c r="I788" t="s" s="120">
        <v>5639</v>
      </c>
      <c r="J788" t="s" s="35">
        <v>1301</v>
      </c>
      <c r="K788" t="s" s="35">
        <v>1337</v>
      </c>
      <c r="L788" s="39"/>
      <c r="M788" t="str" s="39">
        <v>Electricidad y magnetismo</v>
      </c>
      <c r="N788" t="str" s="39">
        <v>Electricidad y circuitos</v>
      </c>
      <c r="O788" t="str" s="39" cm="1">
        <f t="array" ref="O788">IF(L788="","",_xlfn.IFERROR(INDEX('Datos - Catálogo TIMSS'!$C$5:$C$107,MATCH(L788,'Datos - Catálogo TIMSS'!$A$5:$A$107,0)),"?"))</f>
      </c>
      <c r="P788" t="s" s="35">
        <v>282</v>
      </c>
      <c r="Q788" t="s" s="120">
        <v>5640</v>
      </c>
      <c r="R788" t="s" s="120">
        <v>5641</v>
      </c>
      <c r="S788" s="121" cm="1">
        <f t="array" ref="S788">_xlfn.IFERROR(ISNUMBER(SEARCH("Conocer",$R788))/(ISNUMBER(SEARCH("Conocer",$R788))+ISNUMBER(SEARCH("Aplicar",$R788))+ISNUMBER(SEARCH("Razonar",$R788))),0)</f>
        <v>0</v>
      </c>
      <c r="T788" s="121" cm="1">
        <f t="array" ref="T788">_xlfn.IFERROR(ISNUMBER(SEARCH("Aplicar",$R788))/(ISNUMBER(SEARCH("Conocer",$R788))+ISNUMBER(SEARCH("Aplicar",$R788))+ISNUMBER(SEARCH("Razonar",$R788))),0)</f>
        <v>0.5</v>
      </c>
      <c r="U788" s="121" cm="1">
        <f t="array" ref="U788">_xlfn.IFERROR(ISNUMBER(SEARCH("Razonar",$R788))/(ISNUMBER(SEARCH("Conocer",$R788))+ISNUMBER(SEARCH("Aplicar",$R788))+ISNUMBER(SEARCH("Razonar",$R788))),0)</f>
        <v>0.5</v>
      </c>
      <c r="V788" t="s" s="35">
        <v>91</v>
      </c>
      <c r="W788" t="s" s="35">
        <v>119</v>
      </c>
      <c r="X788" s="36" cm="1">
        <f t="array" ref="X788">IF(OR(_xlfn.IFERROR(INDEX('Datos - Catálogo TIMSS'!$I$5:$I$107,MATCH(K788,'Datos - Catálogo TIMSS'!$A$5:$A$107,0)),"No")="Sí",_xlfn.IFERROR(INDEX('Datos - Catálogo TIMSS'!$I$5:$I$107,MATCH(L788,'Datos - Catálogo TIMSS'!$A$5:$A$107,0)),"No")="Sí"),1,0)</f>
        <v>0</v>
      </c>
      <c r="Y788" s="36" cm="1">
        <f t="array" ref="Y788">IF(_xlfn.IFERROR(INDEX('Datos - Catálogo TIMSS'!$J$5:$J$107,MATCH(K788,'Datos - Catálogo TIMSS'!$A$5:$A$107,0)),"No")="Sí",1,0)</f>
        <v>0</v>
      </c>
      <c r="Z788" s="36" cm="1">
        <f t="array" ref="Z788">IF(_xlfn.IFERROR(INDEX('Datos - Catálogo TIMSS'!$J$5:$J$107,MATCH(L788,'Datos - Catálogo TIMSS'!$A$5:$A$107,0)),"No")="Sí",1,0)</f>
        <v>0</v>
      </c>
      <c r="AA788" t="s" s="35">
        <v>1337</v>
      </c>
      <c r="AB788" s="39"/>
      <c r="AC788" t="str" s="39">
        <v>Electricidad y magnetismo</v>
      </c>
      <c r="AD788" t="s" s="35">
        <v>1834</v>
      </c>
      <c r="AE788" t="str" s="39" cm="1">
        <f t="array" ref="AE788">IF(AD788="","",IF(LEFT(AD788,1)="1","C1",IF(LEFT(AD788,1)="2","C2",IF(LEFT(AD788,1)="3","C3",""))))</f>
        <v>C2</v>
      </c>
      <c r="AF788" t="s" s="35">
        <v>1602</v>
      </c>
      <c r="AG788" t="s" s="35">
        <v>1617</v>
      </c>
      <c r="AH788" t="s" s="35">
        <v>1605</v>
      </c>
      <c r="AI788" t="s" s="35">
        <v>1619</v>
      </c>
      <c r="AJ788" t="s" s="35">
        <v>1607</v>
      </c>
      <c r="AK788" s="39"/>
      <c r="AL788" s="39"/>
      <c r="AM788" s="39"/>
      <c r="AN788" s="39"/>
      <c r="AO788" s="39"/>
      <c r="AP788" s="39"/>
      <c r="AQ788" s="39"/>
      <c r="AR788" s="39"/>
      <c r="AS788" s="39"/>
      <c r="AT788" s="39"/>
      <c r="AU788" s="39"/>
      <c r="AV788" s="39"/>
      <c r="AW788" t="str" s="39" cm="1">
        <f t="array" ref="AW788">AF788&amp;"; "&amp;AG788&amp;"; "&amp;AH788&amp;"; "&amp;AI788&amp;"; "&amp;AJ788</f>
        <v>E1; D1; E2; D2; E3</v>
      </c>
    </row>
    <row r="789" ht="13.65" customHeight="1">
      <c r="A789" t="s" s="35">
        <v>5642</v>
      </c>
      <c r="B789" s="36">
        <v>11</v>
      </c>
      <c r="C789" t="s" s="35">
        <v>222</v>
      </c>
      <c r="D789" t="s" s="35">
        <v>4800</v>
      </c>
      <c r="E789" t="s" s="35">
        <v>5427</v>
      </c>
      <c r="F789" s="36">
        <v>44</v>
      </c>
      <c r="G789" t="s" s="35">
        <v>5622</v>
      </c>
      <c r="H789" t="s" s="35">
        <v>5643</v>
      </c>
      <c r="I789" t="s" s="120">
        <v>5644</v>
      </c>
      <c r="J789" t="s" s="35">
        <v>1301</v>
      </c>
      <c r="K789" t="s" s="35">
        <v>1337</v>
      </c>
      <c r="L789" s="39"/>
      <c r="M789" t="str" s="39">
        <v>Electricidad y magnetismo</v>
      </c>
      <c r="N789" t="str" s="39">
        <v>Electricidad y circuitos</v>
      </c>
      <c r="O789" t="str" s="39" cm="1">
        <f t="array" ref="O789">IF(L789="","",_xlfn.IFERROR(INDEX('Datos - Catálogo TIMSS'!$C$5:$C$107,MATCH(L789,'Datos - Catálogo TIMSS'!$A$5:$A$107,0)),"?"))</f>
      </c>
      <c r="P789" t="s" s="35">
        <v>291</v>
      </c>
      <c r="Q789" t="s" s="120">
        <v>5645</v>
      </c>
      <c r="R789" t="s" s="120">
        <v>5646</v>
      </c>
      <c r="S789" s="121" cm="1">
        <f t="array" ref="S789">_xlfn.IFERROR(ISNUMBER(SEARCH("Conocer",$R789))/(ISNUMBER(SEARCH("Conocer",$R789))+ISNUMBER(SEARCH("Aplicar",$R789))+ISNUMBER(SEARCH("Razonar",$R789))),0)</f>
        <v>0</v>
      </c>
      <c r="T789" s="121" cm="1">
        <f t="array" ref="T789">_xlfn.IFERROR(ISNUMBER(SEARCH("Aplicar",$R789))/(ISNUMBER(SEARCH("Conocer",$R789))+ISNUMBER(SEARCH("Aplicar",$R789))+ISNUMBER(SEARCH("Razonar",$R789))),0)</f>
        <v>0.5</v>
      </c>
      <c r="U789" s="121" cm="1">
        <f t="array" ref="U789">_xlfn.IFERROR(ISNUMBER(SEARCH("Razonar",$R789))/(ISNUMBER(SEARCH("Conocer",$R789))+ISNUMBER(SEARCH("Aplicar",$R789))+ISNUMBER(SEARCH("Razonar",$R789))),0)</f>
        <v>0.5</v>
      </c>
      <c r="V789" t="s" s="35">
        <v>91</v>
      </c>
      <c r="W789" t="s" s="35">
        <v>119</v>
      </c>
      <c r="X789" s="36" cm="1">
        <f t="array" ref="X789">IF(OR(_xlfn.IFERROR(INDEX('Datos - Catálogo TIMSS'!$I$5:$I$107,MATCH(K789,'Datos - Catálogo TIMSS'!$A$5:$A$107,0)),"No")="Sí",_xlfn.IFERROR(INDEX('Datos - Catálogo TIMSS'!$I$5:$I$107,MATCH(L789,'Datos - Catálogo TIMSS'!$A$5:$A$107,0)),"No")="Sí"),1,0)</f>
        <v>0</v>
      </c>
      <c r="Y789" s="36" cm="1">
        <f t="array" ref="Y789">IF(_xlfn.IFERROR(INDEX('Datos - Catálogo TIMSS'!$J$5:$J$107,MATCH(K789,'Datos - Catálogo TIMSS'!$A$5:$A$107,0)),"No")="Sí",1,0)</f>
        <v>0</v>
      </c>
      <c r="Z789" s="36" cm="1">
        <f t="array" ref="Z789">IF(_xlfn.IFERROR(INDEX('Datos - Catálogo TIMSS'!$J$5:$J$107,MATCH(L789,'Datos - Catálogo TIMSS'!$A$5:$A$107,0)),"No")="Sí",1,0)</f>
        <v>0</v>
      </c>
      <c r="AA789" t="s" s="35">
        <v>1337</v>
      </c>
      <c r="AB789" s="39"/>
      <c r="AC789" t="str" s="39">
        <v>Electricidad y magnetismo</v>
      </c>
      <c r="AD789" t="s" s="35">
        <v>1834</v>
      </c>
      <c r="AE789" t="str" s="39" cm="1">
        <f t="array" ref="AE789">IF(AD789="","",IF(LEFT(AD789,1)="1","C1",IF(LEFT(AD789,1)="2","C2",IF(LEFT(AD789,1)="3","C3",""))))</f>
        <v>C2</v>
      </c>
      <c r="AF789" t="s" s="35">
        <v>1602</v>
      </c>
      <c r="AG789" t="s" s="35">
        <v>1612</v>
      </c>
      <c r="AH789" t="s" s="35">
        <v>1602</v>
      </c>
      <c r="AI789" t="s" s="35">
        <v>1623</v>
      </c>
      <c r="AJ789" t="s" s="35">
        <v>1633</v>
      </c>
      <c r="AK789" s="39"/>
      <c r="AL789" s="39"/>
      <c r="AM789" s="39"/>
      <c r="AN789" s="39"/>
      <c r="AO789" s="39"/>
      <c r="AP789" s="39"/>
      <c r="AQ789" s="39"/>
      <c r="AR789" s="39"/>
      <c r="AS789" s="39"/>
      <c r="AT789" s="39"/>
      <c r="AU789" s="39"/>
      <c r="AV789" s="39"/>
      <c r="AW789" t="str" s="39" cm="1">
        <f t="array" ref="AW789">AF789&amp;"; "&amp;AG789&amp;"; "&amp;AH789&amp;"; "&amp;AI789&amp;"; "&amp;AJ789</f>
        <v>E1; E5; E1; D4; I5</v>
      </c>
    </row>
    <row r="790" ht="13.65" customHeight="1">
      <c r="A790" t="s" s="35">
        <v>5647</v>
      </c>
      <c r="B790" s="36">
        <v>11</v>
      </c>
      <c r="C790" t="s" s="35">
        <v>222</v>
      </c>
      <c r="D790" t="s" s="35">
        <v>4800</v>
      </c>
      <c r="E790" t="s" s="35">
        <v>5427</v>
      </c>
      <c r="F790" s="36">
        <v>45</v>
      </c>
      <c r="G790" t="s" s="35">
        <v>5622</v>
      </c>
      <c r="H790" t="s" s="35">
        <v>5648</v>
      </c>
      <c r="I790" t="s" s="120">
        <v>5649</v>
      </c>
      <c r="J790" t="s" s="35">
        <v>1301</v>
      </c>
      <c r="K790" t="s" s="35">
        <v>1832</v>
      </c>
      <c r="L790" s="39"/>
      <c r="M790" t="str" s="39">
        <v>Fuera del marco</v>
      </c>
      <c r="N790" t="str" s="39">
        <v>Fuera del marco</v>
      </c>
      <c r="O790" t="str" s="39" cm="1">
        <f t="array" ref="O790">IF(L790="","",_xlfn.IFERROR(INDEX('Datos - Catálogo TIMSS'!$C$5:$C$107,MATCH(L790,'Datos - Catálogo TIMSS'!$A$5:$A$107,0)),"?"))</f>
      </c>
      <c r="P790" t="s" s="35">
        <v>282</v>
      </c>
      <c r="Q790" t="s" s="120">
        <v>5650</v>
      </c>
      <c r="R790" t="s" s="120">
        <v>5651</v>
      </c>
      <c r="S790" s="121" cm="1">
        <f t="array" ref="S790">_xlfn.IFERROR(ISNUMBER(SEARCH("Conocer",$R790))/(ISNUMBER(SEARCH("Conocer",$R790))+ISNUMBER(SEARCH("Aplicar",$R790))+ISNUMBER(SEARCH("Razonar",$R790))),0)</f>
        <v>0.333333333333333</v>
      </c>
      <c r="T790" s="121" cm="1">
        <f t="array" ref="T790">_xlfn.IFERROR(ISNUMBER(SEARCH("Aplicar",$R790))/(ISNUMBER(SEARCH("Conocer",$R790))+ISNUMBER(SEARCH("Aplicar",$R790))+ISNUMBER(SEARCH("Razonar",$R790))),0)</f>
        <v>0.333333333333333</v>
      </c>
      <c r="U790" s="121" cm="1">
        <f t="array" ref="U790">_xlfn.IFERROR(ISNUMBER(SEARCH("Razonar",$R790))/(ISNUMBER(SEARCH("Conocer",$R790))+ISNUMBER(SEARCH("Aplicar",$R790))+ISNUMBER(SEARCH("Razonar",$R790))),0)</f>
        <v>0.333333333333333</v>
      </c>
      <c r="V790" t="s" s="35">
        <v>91</v>
      </c>
      <c r="W790" t="s" s="35">
        <v>119</v>
      </c>
      <c r="X790" s="36" cm="1">
        <f t="array" ref="X790">IF(OR(_xlfn.IFERROR(INDEX('Datos - Catálogo TIMSS'!$I$5:$I$107,MATCH(K790,'Datos - Catálogo TIMSS'!$A$5:$A$107,0)),"No")="Sí",_xlfn.IFERROR(INDEX('Datos - Catálogo TIMSS'!$I$5:$I$107,MATCH(L790,'Datos - Catálogo TIMSS'!$A$5:$A$107,0)),"No")="Sí"),1,0)</f>
        <v>0</v>
      </c>
      <c r="Y790" s="36" cm="1">
        <f t="array" ref="Y790">IF(_xlfn.IFERROR(INDEX('Datos - Catálogo TIMSS'!$J$5:$J$107,MATCH(K790,'Datos - Catálogo TIMSS'!$A$5:$A$107,0)),"No")="Sí",1,0)</f>
        <v>0</v>
      </c>
      <c r="Z790" s="36" cm="1">
        <f t="array" ref="Z790">IF(_xlfn.IFERROR(INDEX('Datos - Catálogo TIMSS'!$J$5:$J$107,MATCH(L790,'Datos - Catálogo TIMSS'!$A$5:$A$107,0)),"No")="Sí",1,0)</f>
        <v>0</v>
      </c>
      <c r="AA790" t="s" s="35">
        <v>1832</v>
      </c>
      <c r="AB790" s="39"/>
      <c r="AC790" t="str" s="39">
        <v>Fuera del marco</v>
      </c>
      <c r="AD790" t="s" s="35">
        <v>1900</v>
      </c>
      <c r="AE790" t="str" s="39" cm="1">
        <f t="array" ref="AE790">IF(AD790="","",IF(LEFT(AD790,1)="1","C1",IF(LEFT(AD790,1)="2","C2",IF(LEFT(AD790,1)="3","C3",""))))</f>
        <v>C3</v>
      </c>
      <c r="AF790" t="s" s="35">
        <v>1615</v>
      </c>
      <c r="AG790" t="s" s="35">
        <v>1612</v>
      </c>
      <c r="AH790" t="s" s="35">
        <v>1609</v>
      </c>
      <c r="AI790" t="s" s="35">
        <v>1625</v>
      </c>
      <c r="AJ790" t="s" s="35">
        <v>1615</v>
      </c>
      <c r="AK790" s="39"/>
      <c r="AL790" s="39"/>
      <c r="AM790" s="39"/>
      <c r="AN790" s="39"/>
      <c r="AO790" s="39"/>
      <c r="AP790" s="39"/>
      <c r="AQ790" s="39"/>
      <c r="AR790" s="39"/>
      <c r="AS790" s="39"/>
      <c r="AT790" s="39"/>
      <c r="AU790" s="39"/>
      <c r="AV790" s="39"/>
      <c r="AW790" t="str" s="39" cm="1">
        <f t="array" ref="AW790">AF790&amp;"; "&amp;AG790&amp;"; "&amp;AH790&amp;"; "&amp;AI790&amp;"; "&amp;AJ790</f>
        <v>E6; E5; E4; I1; E6</v>
      </c>
    </row>
    <row r="791" ht="13.65" customHeight="1">
      <c r="A791" t="s" s="35">
        <v>5653</v>
      </c>
      <c r="B791" s="36">
        <v>11</v>
      </c>
      <c r="C791" t="s" s="35">
        <v>222</v>
      </c>
      <c r="D791" t="s" s="35">
        <v>4800</v>
      </c>
      <c r="E791" t="s" s="35">
        <v>5427</v>
      </c>
      <c r="F791" s="36">
        <v>46</v>
      </c>
      <c r="G791" t="s" s="35">
        <v>5654</v>
      </c>
      <c r="H791" t="s" s="35">
        <v>5655</v>
      </c>
      <c r="I791" t="s" s="120">
        <v>5656</v>
      </c>
      <c r="J791" t="s" s="35">
        <v>1301</v>
      </c>
      <c r="K791" t="s" s="35">
        <v>1340</v>
      </c>
      <c r="L791" s="39"/>
      <c r="M791" t="str" s="39">
        <v>Electricidad y magnetismo</v>
      </c>
      <c r="N791" t="str" s="39">
        <v>Electricidad y circuitos</v>
      </c>
      <c r="O791" t="str" s="39" cm="1">
        <f t="array" ref="O791">IF(L791="","",_xlfn.IFERROR(INDEX('Datos - Catálogo TIMSS'!$C$5:$C$107,MATCH(L791,'Datos - Catálogo TIMSS'!$A$5:$A$107,0)),"?"))</f>
      </c>
      <c r="P791" t="s" s="35">
        <v>254</v>
      </c>
      <c r="Q791" t="s" s="120">
        <v>5657</v>
      </c>
      <c r="R791" t="s" s="120">
        <v>5658</v>
      </c>
      <c r="S791" s="121" cm="1">
        <f t="array" ref="S791">_xlfn.IFERROR(ISNUMBER(SEARCH("Conocer",$R791))/(ISNUMBER(SEARCH("Conocer",$R791))+ISNUMBER(SEARCH("Aplicar",$R791))+ISNUMBER(SEARCH("Razonar",$R791))),0)</f>
        <v>0.5</v>
      </c>
      <c r="T791" s="121" cm="1">
        <f t="array" ref="T791">_xlfn.IFERROR(ISNUMBER(SEARCH("Aplicar",$R791))/(ISNUMBER(SEARCH("Conocer",$R791))+ISNUMBER(SEARCH("Aplicar",$R791))+ISNUMBER(SEARCH("Razonar",$R791))),0)</f>
        <v>0.5</v>
      </c>
      <c r="U791" s="121" cm="1">
        <f t="array" ref="U791">_xlfn.IFERROR(ISNUMBER(SEARCH("Razonar",$R791))/(ISNUMBER(SEARCH("Conocer",$R791))+ISNUMBER(SEARCH("Aplicar",$R791))+ISNUMBER(SEARCH("Razonar",$R791))),0)</f>
        <v>0</v>
      </c>
      <c r="V791" t="s" s="35">
        <v>91</v>
      </c>
      <c r="W791" t="s" s="35">
        <v>119</v>
      </c>
      <c r="X791" s="36" cm="1">
        <f t="array" ref="X791">IF(OR(_xlfn.IFERROR(INDEX('Datos - Catálogo TIMSS'!$I$5:$I$107,MATCH(K791,'Datos - Catálogo TIMSS'!$A$5:$A$107,0)),"No")="Sí",_xlfn.IFERROR(INDEX('Datos - Catálogo TIMSS'!$I$5:$I$107,MATCH(L791,'Datos - Catálogo TIMSS'!$A$5:$A$107,0)),"No")="Sí"),1,0)</f>
        <v>0</v>
      </c>
      <c r="Y791" s="36" cm="1">
        <f t="array" ref="Y791">IF(_xlfn.IFERROR(INDEX('Datos - Catálogo TIMSS'!$J$5:$J$107,MATCH(K791,'Datos - Catálogo TIMSS'!$A$5:$A$107,0)),"No")="Sí",1,0)</f>
        <v>0</v>
      </c>
      <c r="Z791" s="36" cm="1">
        <f t="array" ref="Z791">IF(_xlfn.IFERROR(INDEX('Datos - Catálogo TIMSS'!$J$5:$J$107,MATCH(L791,'Datos - Catálogo TIMSS'!$A$5:$A$107,0)),"No")="Sí",1,0)</f>
        <v>0</v>
      </c>
      <c r="AA791" t="s" s="35">
        <v>1340</v>
      </c>
      <c r="AB791" s="39"/>
      <c r="AC791" t="str" s="39">
        <v>Electricidad y magnetismo</v>
      </c>
      <c r="AD791" t="s" s="35">
        <v>1859</v>
      </c>
      <c r="AE791" t="str" s="39" cm="1">
        <f t="array" ref="AE791">IF(AD791="","",IF(LEFT(AD791,1)="1","C1",IF(LEFT(AD791,1)="2","C2",IF(LEFT(AD791,1)="3","C3",""))))</f>
        <v>C1</v>
      </c>
      <c r="AF791" t="s" s="35">
        <v>1602</v>
      </c>
      <c r="AG791" t="s" s="35">
        <v>1617</v>
      </c>
      <c r="AH791" t="s" s="35">
        <v>1602</v>
      </c>
      <c r="AI791" t="s" s="35">
        <v>1623</v>
      </c>
      <c r="AJ791" t="s" s="35">
        <v>1607</v>
      </c>
      <c r="AK791" s="39"/>
      <c r="AL791" s="39"/>
      <c r="AM791" s="39"/>
      <c r="AN791" s="39"/>
      <c r="AO791" s="39"/>
      <c r="AP791" s="39"/>
      <c r="AQ791" s="39"/>
      <c r="AR791" s="39"/>
      <c r="AS791" s="39"/>
      <c r="AT791" s="39"/>
      <c r="AU791" s="39"/>
      <c r="AV791" s="39"/>
      <c r="AW791" t="str" s="39" cm="1">
        <f t="array" ref="AW791">AF791&amp;"; "&amp;AG791&amp;"; "&amp;AH791&amp;"; "&amp;AI791&amp;"; "&amp;AJ791</f>
        <v>E1; D1; E1; D4; E3</v>
      </c>
    </row>
    <row r="792" ht="13.65" customHeight="1">
      <c r="A792" t="s" s="35">
        <v>5659</v>
      </c>
      <c r="B792" s="36">
        <v>11</v>
      </c>
      <c r="C792" t="s" s="35">
        <v>222</v>
      </c>
      <c r="D792" t="s" s="35">
        <v>4800</v>
      </c>
      <c r="E792" t="s" s="35">
        <v>5427</v>
      </c>
      <c r="F792" s="36">
        <v>47</v>
      </c>
      <c r="G792" t="s" s="35">
        <v>5654</v>
      </c>
      <c r="H792" t="s" s="35">
        <v>5655</v>
      </c>
      <c r="I792" t="s" s="120">
        <v>5660</v>
      </c>
      <c r="J792" t="s" s="35">
        <v>1301</v>
      </c>
      <c r="K792" t="s" s="35">
        <v>1340</v>
      </c>
      <c r="L792" s="39"/>
      <c r="M792" t="str" s="39">
        <v>Electricidad y magnetismo</v>
      </c>
      <c r="N792" t="str" s="39">
        <v>Electricidad y circuitos</v>
      </c>
      <c r="O792" t="str" s="39" cm="1">
        <f t="array" ref="O792">IF(L792="","",_xlfn.IFERROR(INDEX('Datos - Catálogo TIMSS'!$C$5:$C$107,MATCH(L792,'Datos - Catálogo TIMSS'!$A$5:$A$107,0)),"?"))</f>
      </c>
      <c r="P792" t="s" s="35">
        <v>254</v>
      </c>
      <c r="Q792" t="s" s="120">
        <v>5661</v>
      </c>
      <c r="R792" t="s" s="120">
        <v>5662</v>
      </c>
      <c r="S792" s="121" cm="1">
        <f t="array" ref="S792">_xlfn.IFERROR(ISNUMBER(SEARCH("Conocer",$R792))/(ISNUMBER(SEARCH("Conocer",$R792))+ISNUMBER(SEARCH("Aplicar",$R792))+ISNUMBER(SEARCH("Razonar",$R792))),0)</f>
        <v>0</v>
      </c>
      <c r="T792" s="121" cm="1">
        <f t="array" ref="T792">_xlfn.IFERROR(ISNUMBER(SEARCH("Aplicar",$R792))/(ISNUMBER(SEARCH("Conocer",$R792))+ISNUMBER(SEARCH("Aplicar",$R792))+ISNUMBER(SEARCH("Razonar",$R792))),0)</f>
        <v>0.5</v>
      </c>
      <c r="U792" s="121" cm="1">
        <f t="array" ref="U792">_xlfn.IFERROR(ISNUMBER(SEARCH("Razonar",$R792))/(ISNUMBER(SEARCH("Conocer",$R792))+ISNUMBER(SEARCH("Aplicar",$R792))+ISNUMBER(SEARCH("Razonar",$R792))),0)</f>
        <v>0.5</v>
      </c>
      <c r="V792" t="s" s="35">
        <v>91</v>
      </c>
      <c r="W792" t="s" s="35">
        <v>119</v>
      </c>
      <c r="X792" s="36" cm="1">
        <f t="array" ref="X792">IF(OR(_xlfn.IFERROR(INDEX('Datos - Catálogo TIMSS'!$I$5:$I$107,MATCH(K792,'Datos - Catálogo TIMSS'!$A$5:$A$107,0)),"No")="Sí",_xlfn.IFERROR(INDEX('Datos - Catálogo TIMSS'!$I$5:$I$107,MATCH(L792,'Datos - Catálogo TIMSS'!$A$5:$A$107,0)),"No")="Sí"),1,0)</f>
        <v>0</v>
      </c>
      <c r="Y792" s="36" cm="1">
        <f t="array" ref="Y792">IF(_xlfn.IFERROR(INDEX('Datos - Catálogo TIMSS'!$J$5:$J$107,MATCH(K792,'Datos - Catálogo TIMSS'!$A$5:$A$107,0)),"No")="Sí",1,0)</f>
        <v>0</v>
      </c>
      <c r="Z792" s="36" cm="1">
        <f t="array" ref="Z792">IF(_xlfn.IFERROR(INDEX('Datos - Catálogo TIMSS'!$J$5:$J$107,MATCH(L792,'Datos - Catálogo TIMSS'!$A$5:$A$107,0)),"No")="Sí",1,0)</f>
        <v>0</v>
      </c>
      <c r="AA792" t="s" s="35">
        <v>1340</v>
      </c>
      <c r="AB792" s="39"/>
      <c r="AC792" t="str" s="39">
        <v>Electricidad y magnetismo</v>
      </c>
      <c r="AD792" t="s" s="35">
        <v>1834</v>
      </c>
      <c r="AE792" t="str" s="39" cm="1">
        <f t="array" ref="AE792">IF(AD792="","",IF(LEFT(AD792,1)="1","C1",IF(LEFT(AD792,1)="2","C2",IF(LEFT(AD792,1)="3","C3",""))))</f>
        <v>C2</v>
      </c>
      <c r="AF792" t="s" s="35">
        <v>1602</v>
      </c>
      <c r="AG792" t="s" s="35">
        <v>1607</v>
      </c>
      <c r="AH792" t="s" s="35">
        <v>1605</v>
      </c>
      <c r="AI792" t="s" s="35">
        <v>1623</v>
      </c>
      <c r="AJ792" t="s" s="35">
        <v>1627</v>
      </c>
      <c r="AK792" s="39"/>
      <c r="AL792" s="39"/>
      <c r="AM792" s="39"/>
      <c r="AN792" s="39"/>
      <c r="AO792" s="39"/>
      <c r="AP792" s="39"/>
      <c r="AQ792" s="39"/>
      <c r="AR792" s="39"/>
      <c r="AS792" s="39"/>
      <c r="AT792" s="39"/>
      <c r="AU792" s="39"/>
      <c r="AV792" s="39"/>
      <c r="AW792" t="str" s="39" cm="1">
        <f t="array" ref="AW792">AF792&amp;"; "&amp;AG792&amp;"; "&amp;AH792&amp;"; "&amp;AI792&amp;"; "&amp;AJ792</f>
        <v>E1; E3; E2; D4; I2</v>
      </c>
    </row>
    <row r="793" ht="13.65" customHeight="1">
      <c r="A793" t="s" s="35">
        <v>5664</v>
      </c>
      <c r="B793" s="36">
        <v>11</v>
      </c>
      <c r="C793" t="s" s="35">
        <v>222</v>
      </c>
      <c r="D793" t="s" s="35">
        <v>4800</v>
      </c>
      <c r="E793" t="s" s="35">
        <v>5427</v>
      </c>
      <c r="F793" s="36">
        <v>48</v>
      </c>
      <c r="G793" t="s" s="35">
        <v>5654</v>
      </c>
      <c r="H793" t="s" s="35">
        <v>5665</v>
      </c>
      <c r="I793" t="s" s="120">
        <v>5666</v>
      </c>
      <c r="J793" t="s" s="35">
        <v>1301</v>
      </c>
      <c r="K793" t="s" s="35">
        <v>1340</v>
      </c>
      <c r="L793" s="39"/>
      <c r="M793" t="str" s="39">
        <v>Electricidad y magnetismo</v>
      </c>
      <c r="N793" t="str" s="39">
        <v>Electricidad y circuitos</v>
      </c>
      <c r="O793" t="str" s="39" cm="1">
        <f t="array" ref="O793">IF(L793="","",_xlfn.IFERROR(INDEX('Datos - Catálogo TIMSS'!$C$5:$C$107,MATCH(L793,'Datos - Catálogo TIMSS'!$A$5:$A$107,0)),"?"))</f>
      </c>
      <c r="P793" t="s" s="35">
        <v>254</v>
      </c>
      <c r="Q793" t="s" s="120">
        <v>5667</v>
      </c>
      <c r="R793" t="s" s="120">
        <v>5668</v>
      </c>
      <c r="S793" s="121" cm="1">
        <f t="array" ref="S793">_xlfn.IFERROR(ISNUMBER(SEARCH("Conocer",$R793))/(ISNUMBER(SEARCH("Conocer",$R793))+ISNUMBER(SEARCH("Aplicar",$R793))+ISNUMBER(SEARCH("Razonar",$R793))),0)</f>
        <v>0</v>
      </c>
      <c r="T793" s="121" cm="1">
        <f t="array" ref="T793">_xlfn.IFERROR(ISNUMBER(SEARCH("Aplicar",$R793))/(ISNUMBER(SEARCH("Conocer",$R793))+ISNUMBER(SEARCH("Aplicar",$R793))+ISNUMBER(SEARCH("Razonar",$R793))),0)</f>
        <v>0.5</v>
      </c>
      <c r="U793" s="121" cm="1">
        <f t="array" ref="U793">_xlfn.IFERROR(ISNUMBER(SEARCH("Razonar",$R793))/(ISNUMBER(SEARCH("Conocer",$R793))+ISNUMBER(SEARCH("Aplicar",$R793))+ISNUMBER(SEARCH("Razonar",$R793))),0)</f>
        <v>0.5</v>
      </c>
      <c r="V793" t="s" s="35">
        <v>91</v>
      </c>
      <c r="W793" t="s" s="35">
        <v>119</v>
      </c>
      <c r="X793" s="36" cm="1">
        <f t="array" ref="X793">IF(OR(_xlfn.IFERROR(INDEX('Datos - Catálogo TIMSS'!$I$5:$I$107,MATCH(K793,'Datos - Catálogo TIMSS'!$A$5:$A$107,0)),"No")="Sí",_xlfn.IFERROR(INDEX('Datos - Catálogo TIMSS'!$I$5:$I$107,MATCH(L793,'Datos - Catálogo TIMSS'!$A$5:$A$107,0)),"No")="Sí"),1,0)</f>
        <v>0</v>
      </c>
      <c r="Y793" s="36" cm="1">
        <f t="array" ref="Y793">IF(_xlfn.IFERROR(INDEX('Datos - Catálogo TIMSS'!$J$5:$J$107,MATCH(K793,'Datos - Catálogo TIMSS'!$A$5:$A$107,0)),"No")="Sí",1,0)</f>
        <v>0</v>
      </c>
      <c r="Z793" s="36" cm="1">
        <f t="array" ref="Z793">IF(_xlfn.IFERROR(INDEX('Datos - Catálogo TIMSS'!$J$5:$J$107,MATCH(L793,'Datos - Catálogo TIMSS'!$A$5:$A$107,0)),"No")="Sí",1,0)</f>
        <v>0</v>
      </c>
      <c r="AA793" t="s" s="35">
        <v>1340</v>
      </c>
      <c r="AB793" s="39"/>
      <c r="AC793" t="str" s="39">
        <v>Electricidad y magnetismo</v>
      </c>
      <c r="AD793" t="s" s="35">
        <v>1834</v>
      </c>
      <c r="AE793" t="str" s="39" cm="1">
        <f t="array" ref="AE793">IF(AD793="","",IF(LEFT(AD793,1)="1","C1",IF(LEFT(AD793,1)="2","C2",IF(LEFT(AD793,1)="3","C3",""))))</f>
        <v>C2</v>
      </c>
      <c r="AF793" t="s" s="35">
        <v>1615</v>
      </c>
      <c r="AG793" t="s" s="35">
        <v>1612</v>
      </c>
      <c r="AH793" t="s" s="35">
        <v>1602</v>
      </c>
      <c r="AI793" t="s" s="35">
        <v>1619</v>
      </c>
      <c r="AJ793" t="s" s="35">
        <v>1633</v>
      </c>
      <c r="AK793" s="39"/>
      <c r="AL793" s="39"/>
      <c r="AM793" s="39"/>
      <c r="AN793" s="39"/>
      <c r="AO793" s="39"/>
      <c r="AP793" s="39"/>
      <c r="AQ793" s="39"/>
      <c r="AR793" s="39"/>
      <c r="AS793" s="39"/>
      <c r="AT793" s="39"/>
      <c r="AU793" s="39"/>
      <c r="AV793" s="39"/>
      <c r="AW793" t="str" s="39" cm="1">
        <f t="array" ref="AW793">AF793&amp;"; "&amp;AG793&amp;"; "&amp;AH793&amp;"; "&amp;AI793&amp;"; "&amp;AJ793</f>
        <v>E6; E5; E1; D2; I5</v>
      </c>
    </row>
    <row r="794" ht="13.65" customHeight="1">
      <c r="A794" t="s" s="35">
        <v>5669</v>
      </c>
      <c r="B794" s="36">
        <v>11</v>
      </c>
      <c r="C794" t="s" s="35">
        <v>222</v>
      </c>
      <c r="D794" t="s" s="35">
        <v>4800</v>
      </c>
      <c r="E794" t="s" s="35">
        <v>5427</v>
      </c>
      <c r="F794" s="36">
        <v>49</v>
      </c>
      <c r="G794" t="s" s="35">
        <v>5654</v>
      </c>
      <c r="H794" t="s" s="35">
        <v>5665</v>
      </c>
      <c r="I794" t="s" s="120">
        <v>5670</v>
      </c>
      <c r="J794" t="s" s="35">
        <v>1301</v>
      </c>
      <c r="K794" t="s" s="35">
        <v>1340</v>
      </c>
      <c r="L794" s="39"/>
      <c r="M794" t="str" s="39">
        <v>Electricidad y magnetismo</v>
      </c>
      <c r="N794" t="str" s="39">
        <v>Electricidad y circuitos</v>
      </c>
      <c r="O794" t="str" s="39" cm="1">
        <f t="array" ref="O794">IF(L794="","",_xlfn.IFERROR(INDEX('Datos - Catálogo TIMSS'!$C$5:$C$107,MATCH(L794,'Datos - Catálogo TIMSS'!$A$5:$A$107,0)),"?"))</f>
      </c>
      <c r="P794" t="s" s="35">
        <v>254</v>
      </c>
      <c r="Q794" t="s" s="120">
        <v>5671</v>
      </c>
      <c r="R794" t="s" s="120">
        <v>5672</v>
      </c>
      <c r="S794" s="121" cm="1">
        <f t="array" ref="S794">_xlfn.IFERROR(ISNUMBER(SEARCH("Conocer",$R794))/(ISNUMBER(SEARCH("Conocer",$R794))+ISNUMBER(SEARCH("Aplicar",$R794))+ISNUMBER(SEARCH("Razonar",$R794))),0)</f>
        <v>0</v>
      </c>
      <c r="T794" s="121" cm="1">
        <f t="array" ref="T794">_xlfn.IFERROR(ISNUMBER(SEARCH("Aplicar",$R794))/(ISNUMBER(SEARCH("Conocer",$R794))+ISNUMBER(SEARCH("Aplicar",$R794))+ISNUMBER(SEARCH("Razonar",$R794))),0)</f>
        <v>0.5</v>
      </c>
      <c r="U794" s="121" cm="1">
        <f t="array" ref="U794">_xlfn.IFERROR(ISNUMBER(SEARCH("Razonar",$R794))/(ISNUMBER(SEARCH("Conocer",$R794))+ISNUMBER(SEARCH("Aplicar",$R794))+ISNUMBER(SEARCH("Razonar",$R794))),0)</f>
        <v>0.5</v>
      </c>
      <c r="V794" t="s" s="35">
        <v>91</v>
      </c>
      <c r="W794" t="s" s="35">
        <v>119</v>
      </c>
      <c r="X794" s="36" cm="1">
        <f t="array" ref="X794">IF(OR(_xlfn.IFERROR(INDEX('Datos - Catálogo TIMSS'!$I$5:$I$107,MATCH(K794,'Datos - Catálogo TIMSS'!$A$5:$A$107,0)),"No")="Sí",_xlfn.IFERROR(INDEX('Datos - Catálogo TIMSS'!$I$5:$I$107,MATCH(L794,'Datos - Catálogo TIMSS'!$A$5:$A$107,0)),"No")="Sí"),1,0)</f>
        <v>0</v>
      </c>
      <c r="Y794" s="36" cm="1">
        <f t="array" ref="Y794">IF(_xlfn.IFERROR(INDEX('Datos - Catálogo TIMSS'!$J$5:$J$107,MATCH(K794,'Datos - Catálogo TIMSS'!$A$5:$A$107,0)),"No")="Sí",1,0)</f>
        <v>0</v>
      </c>
      <c r="Z794" s="36" cm="1">
        <f t="array" ref="Z794">IF(_xlfn.IFERROR(INDEX('Datos - Catálogo TIMSS'!$J$5:$J$107,MATCH(L794,'Datos - Catálogo TIMSS'!$A$5:$A$107,0)),"No")="Sí",1,0)</f>
        <v>0</v>
      </c>
      <c r="AA794" t="s" s="35">
        <v>1340</v>
      </c>
      <c r="AB794" s="39"/>
      <c r="AC794" t="str" s="39">
        <v>Electricidad y magnetismo</v>
      </c>
      <c r="AD794" t="s" s="35">
        <v>1900</v>
      </c>
      <c r="AE794" t="str" s="39" cm="1">
        <f t="array" ref="AE794">IF(AD794="","",IF(LEFT(AD794,1)="1","C1",IF(LEFT(AD794,1)="2","C2",IF(LEFT(AD794,1)="3","C3",""))))</f>
        <v>C3</v>
      </c>
      <c r="AF794" t="s" s="35">
        <v>1615</v>
      </c>
      <c r="AG794" t="s" s="35">
        <v>1607</v>
      </c>
      <c r="AH794" t="s" s="35">
        <v>1602</v>
      </c>
      <c r="AI794" t="s" s="35">
        <v>1629</v>
      </c>
      <c r="AJ794" t="s" s="35">
        <v>1615</v>
      </c>
      <c r="AK794" s="39"/>
      <c r="AL794" s="39"/>
      <c r="AM794" s="39"/>
      <c r="AN794" s="39"/>
      <c r="AO794" s="39"/>
      <c r="AP794" s="39"/>
      <c r="AQ794" s="39"/>
      <c r="AR794" s="39"/>
      <c r="AS794" s="39"/>
      <c r="AT794" s="39"/>
      <c r="AU794" s="39"/>
      <c r="AV794" s="39"/>
      <c r="AW794" t="str" s="39" cm="1">
        <f t="array" ref="AW794">AF794&amp;"; "&amp;AG794&amp;"; "&amp;AH794&amp;"; "&amp;AI794&amp;"; "&amp;AJ794</f>
        <v>E6; E3; E1; I3; E6</v>
      </c>
    </row>
    <row r="795" ht="13.65" customHeight="1">
      <c r="A795" t="s" s="35">
        <v>5674</v>
      </c>
      <c r="B795" s="36">
        <v>11</v>
      </c>
      <c r="C795" t="s" s="35">
        <v>222</v>
      </c>
      <c r="D795" t="s" s="35">
        <v>4800</v>
      </c>
      <c r="E795" t="s" s="35">
        <v>5427</v>
      </c>
      <c r="F795" s="36">
        <v>50</v>
      </c>
      <c r="G795" t="s" s="35">
        <v>5654</v>
      </c>
      <c r="H795" t="s" s="35">
        <v>5675</v>
      </c>
      <c r="I795" t="s" s="120">
        <v>5676</v>
      </c>
      <c r="J795" t="s" s="35">
        <v>1301</v>
      </c>
      <c r="K795" t="s" s="35">
        <v>1340</v>
      </c>
      <c r="L795" s="39"/>
      <c r="M795" t="str" s="39">
        <v>Electricidad y magnetismo</v>
      </c>
      <c r="N795" t="str" s="39">
        <v>Electricidad y circuitos</v>
      </c>
      <c r="O795" t="str" s="39" cm="1">
        <f t="array" ref="O795">IF(L795="","",_xlfn.IFERROR(INDEX('Datos - Catálogo TIMSS'!$C$5:$C$107,MATCH(L795,'Datos - Catálogo TIMSS'!$A$5:$A$107,0)),"?"))</f>
      </c>
      <c r="P795" t="s" s="35">
        <v>254</v>
      </c>
      <c r="Q795" t="s" s="120">
        <v>5677</v>
      </c>
      <c r="R795" t="s" s="120">
        <v>5678</v>
      </c>
      <c r="S795" s="121" cm="1">
        <f t="array" ref="S795">_xlfn.IFERROR(ISNUMBER(SEARCH("Conocer",$R795))/(ISNUMBER(SEARCH("Conocer",$R795))+ISNUMBER(SEARCH("Aplicar",$R795))+ISNUMBER(SEARCH("Razonar",$R795))),0)</f>
        <v>0</v>
      </c>
      <c r="T795" s="121" cm="1">
        <f t="array" ref="T795">_xlfn.IFERROR(ISNUMBER(SEARCH("Aplicar",$R795))/(ISNUMBER(SEARCH("Conocer",$R795))+ISNUMBER(SEARCH("Aplicar",$R795))+ISNUMBER(SEARCH("Razonar",$R795))),0)</f>
        <v>0.5</v>
      </c>
      <c r="U795" s="121" cm="1">
        <f t="array" ref="U795">_xlfn.IFERROR(ISNUMBER(SEARCH("Razonar",$R795))/(ISNUMBER(SEARCH("Conocer",$R795))+ISNUMBER(SEARCH("Aplicar",$R795))+ISNUMBER(SEARCH("Razonar",$R795))),0)</f>
        <v>0.5</v>
      </c>
      <c r="V795" t="s" s="35">
        <v>91</v>
      </c>
      <c r="W795" t="s" s="35">
        <v>119</v>
      </c>
      <c r="X795" s="36" cm="1">
        <f t="array" ref="X795">IF(OR(_xlfn.IFERROR(INDEX('Datos - Catálogo TIMSS'!$I$5:$I$107,MATCH(K795,'Datos - Catálogo TIMSS'!$A$5:$A$107,0)),"No")="Sí",_xlfn.IFERROR(INDEX('Datos - Catálogo TIMSS'!$I$5:$I$107,MATCH(L795,'Datos - Catálogo TIMSS'!$A$5:$A$107,0)),"No")="Sí"),1,0)</f>
        <v>0</v>
      </c>
      <c r="Y795" s="36" cm="1">
        <f t="array" ref="Y795">IF(_xlfn.IFERROR(INDEX('Datos - Catálogo TIMSS'!$J$5:$J$107,MATCH(K795,'Datos - Catálogo TIMSS'!$A$5:$A$107,0)),"No")="Sí",1,0)</f>
        <v>0</v>
      </c>
      <c r="Z795" s="36" cm="1">
        <f t="array" ref="Z795">IF(_xlfn.IFERROR(INDEX('Datos - Catálogo TIMSS'!$J$5:$J$107,MATCH(L795,'Datos - Catálogo TIMSS'!$A$5:$A$107,0)),"No")="Sí",1,0)</f>
        <v>0</v>
      </c>
      <c r="AA795" t="s" s="35">
        <v>1340</v>
      </c>
      <c r="AB795" s="39"/>
      <c r="AC795" t="str" s="39">
        <v>Electricidad y magnetismo</v>
      </c>
      <c r="AD795" t="s" s="35">
        <v>1859</v>
      </c>
      <c r="AE795" t="str" s="39" cm="1">
        <f t="array" ref="AE795">IF(AD795="","",IF(LEFT(AD795,1)="1","C1",IF(LEFT(AD795,1)="2","C2",IF(LEFT(AD795,1)="3","C3",""))))</f>
        <v>C1</v>
      </c>
      <c r="AF795" t="s" s="35">
        <v>1602</v>
      </c>
      <c r="AG795" t="s" s="35">
        <v>1617</v>
      </c>
      <c r="AH795" t="s" s="35">
        <v>1605</v>
      </c>
      <c r="AI795" t="s" s="35">
        <v>1623</v>
      </c>
      <c r="AJ795" t="s" s="35">
        <v>1607</v>
      </c>
      <c r="AK795" s="39"/>
      <c r="AL795" s="39"/>
      <c r="AM795" s="39"/>
      <c r="AN795" s="39"/>
      <c r="AO795" s="39"/>
      <c r="AP795" s="39"/>
      <c r="AQ795" s="39"/>
      <c r="AR795" s="39"/>
      <c r="AS795" s="39"/>
      <c r="AT795" s="39"/>
      <c r="AU795" s="39"/>
      <c r="AV795" s="39"/>
      <c r="AW795" t="str" s="39" cm="1">
        <f t="array" ref="AW795">AF795&amp;"; "&amp;AG795&amp;"; "&amp;AH795&amp;"; "&amp;AI795&amp;"; "&amp;AJ795</f>
        <v>E1; D1; E2; D4; E3</v>
      </c>
    </row>
    <row r="796" ht="13.65" customHeight="1">
      <c r="A796" t="s" s="35">
        <v>5679</v>
      </c>
      <c r="B796" s="36">
        <v>11</v>
      </c>
      <c r="C796" t="s" s="35">
        <v>222</v>
      </c>
      <c r="D796" t="s" s="35">
        <v>4800</v>
      </c>
      <c r="E796" t="s" s="35">
        <v>5427</v>
      </c>
      <c r="F796" s="36">
        <v>51</v>
      </c>
      <c r="G796" t="s" s="35">
        <v>5654</v>
      </c>
      <c r="H796" t="s" s="35">
        <v>5675</v>
      </c>
      <c r="I796" t="s" s="120">
        <v>5680</v>
      </c>
      <c r="J796" t="s" s="35">
        <v>1301</v>
      </c>
      <c r="K796" t="s" s="35">
        <v>1340</v>
      </c>
      <c r="L796" s="39"/>
      <c r="M796" t="str" s="39">
        <v>Electricidad y magnetismo</v>
      </c>
      <c r="N796" t="str" s="39">
        <v>Electricidad y circuitos</v>
      </c>
      <c r="O796" t="str" s="39" cm="1">
        <f t="array" ref="O796">IF(L796="","",_xlfn.IFERROR(INDEX('Datos - Catálogo TIMSS'!$C$5:$C$107,MATCH(L796,'Datos - Catálogo TIMSS'!$A$5:$A$107,0)),"?"))</f>
      </c>
      <c r="P796" t="s" s="35">
        <v>254</v>
      </c>
      <c r="Q796" t="s" s="120">
        <v>5681</v>
      </c>
      <c r="R796" t="s" s="120">
        <v>5682</v>
      </c>
      <c r="S796" s="121" cm="1">
        <f t="array" ref="S796">_xlfn.IFERROR(ISNUMBER(SEARCH("Conocer",$R796))/(ISNUMBER(SEARCH("Conocer",$R796))+ISNUMBER(SEARCH("Aplicar",$R796))+ISNUMBER(SEARCH("Razonar",$R796))),0)</f>
        <v>0</v>
      </c>
      <c r="T796" s="121" cm="1">
        <f t="array" ref="T796">_xlfn.IFERROR(ISNUMBER(SEARCH("Aplicar",$R796))/(ISNUMBER(SEARCH("Conocer",$R796))+ISNUMBER(SEARCH("Aplicar",$R796))+ISNUMBER(SEARCH("Razonar",$R796))),0)</f>
        <v>0.5</v>
      </c>
      <c r="U796" s="121" cm="1">
        <f t="array" ref="U796">_xlfn.IFERROR(ISNUMBER(SEARCH("Razonar",$R796))/(ISNUMBER(SEARCH("Conocer",$R796))+ISNUMBER(SEARCH("Aplicar",$R796))+ISNUMBER(SEARCH("Razonar",$R796))),0)</f>
        <v>0.5</v>
      </c>
      <c r="V796" t="s" s="35">
        <v>91</v>
      </c>
      <c r="W796" t="s" s="35">
        <v>119</v>
      </c>
      <c r="X796" s="36" cm="1">
        <f t="array" ref="X796">IF(OR(_xlfn.IFERROR(INDEX('Datos - Catálogo TIMSS'!$I$5:$I$107,MATCH(K796,'Datos - Catálogo TIMSS'!$A$5:$A$107,0)),"No")="Sí",_xlfn.IFERROR(INDEX('Datos - Catálogo TIMSS'!$I$5:$I$107,MATCH(L796,'Datos - Catálogo TIMSS'!$A$5:$A$107,0)),"No")="Sí"),1,0)</f>
        <v>0</v>
      </c>
      <c r="Y796" s="36" cm="1">
        <f t="array" ref="Y796">IF(_xlfn.IFERROR(INDEX('Datos - Catálogo TIMSS'!$J$5:$J$107,MATCH(K796,'Datos - Catálogo TIMSS'!$A$5:$A$107,0)),"No")="Sí",1,0)</f>
        <v>0</v>
      </c>
      <c r="Z796" s="36" cm="1">
        <f t="array" ref="Z796">IF(_xlfn.IFERROR(INDEX('Datos - Catálogo TIMSS'!$J$5:$J$107,MATCH(L796,'Datos - Catálogo TIMSS'!$A$5:$A$107,0)),"No")="Sí",1,0)</f>
        <v>0</v>
      </c>
      <c r="AA796" t="s" s="35">
        <v>1340</v>
      </c>
      <c r="AB796" s="39"/>
      <c r="AC796" t="str" s="39">
        <v>Electricidad y magnetismo</v>
      </c>
      <c r="AD796" t="s" s="35">
        <v>1859</v>
      </c>
      <c r="AE796" t="str" s="39" cm="1">
        <f t="array" ref="AE796">IF(AD796="","",IF(LEFT(AD796,1)="1","C1",IF(LEFT(AD796,1)="2","C2",IF(LEFT(AD796,1)="3","C3",""))))</f>
        <v>C1</v>
      </c>
      <c r="AF796" t="s" s="35">
        <v>1615</v>
      </c>
      <c r="AG796" t="s" s="35">
        <v>1607</v>
      </c>
      <c r="AH796" t="s" s="35">
        <v>1602</v>
      </c>
      <c r="AI796" t="s" s="35">
        <v>1623</v>
      </c>
      <c r="AJ796" t="s" s="35">
        <v>1633</v>
      </c>
      <c r="AK796" s="39"/>
      <c r="AL796" s="39"/>
      <c r="AM796" s="39"/>
      <c r="AN796" s="39"/>
      <c r="AO796" s="39"/>
      <c r="AP796" s="39"/>
      <c r="AQ796" s="39"/>
      <c r="AR796" s="39"/>
      <c r="AS796" s="39"/>
      <c r="AT796" s="39"/>
      <c r="AU796" s="39"/>
      <c r="AV796" s="39"/>
      <c r="AW796" t="str" s="39" cm="1">
        <f t="array" ref="AW796">AF796&amp;"; "&amp;AG796&amp;"; "&amp;AH796&amp;"; "&amp;AI796&amp;"; "&amp;AJ796</f>
        <v>E6; E3; E1; D4; I5</v>
      </c>
    </row>
    <row r="797" ht="13.65" customHeight="1">
      <c r="A797" t="s" s="35">
        <v>5683</v>
      </c>
      <c r="B797" s="36">
        <v>11</v>
      </c>
      <c r="C797" t="s" s="35">
        <v>222</v>
      </c>
      <c r="D797" t="s" s="35">
        <v>4800</v>
      </c>
      <c r="E797" t="s" s="35">
        <v>5427</v>
      </c>
      <c r="F797" s="36">
        <v>52</v>
      </c>
      <c r="G797" t="s" s="35">
        <v>5654</v>
      </c>
      <c r="H797" t="s" s="35">
        <v>5675</v>
      </c>
      <c r="I797" t="s" s="120">
        <v>5684</v>
      </c>
      <c r="J797" t="s" s="35">
        <v>1301</v>
      </c>
      <c r="K797" t="s" s="35">
        <v>1340</v>
      </c>
      <c r="L797" s="39"/>
      <c r="M797" t="str" s="39">
        <v>Electricidad y magnetismo</v>
      </c>
      <c r="N797" t="str" s="39">
        <v>Electricidad y circuitos</v>
      </c>
      <c r="O797" t="str" s="39" cm="1">
        <f t="array" ref="O797">IF(L797="","",_xlfn.IFERROR(INDEX('Datos - Catálogo TIMSS'!$C$5:$C$107,MATCH(L797,'Datos - Catálogo TIMSS'!$A$5:$A$107,0)),"?"))</f>
      </c>
      <c r="P797" t="s" s="35">
        <v>254</v>
      </c>
      <c r="Q797" t="s" s="120">
        <v>5685</v>
      </c>
      <c r="R797" t="s" s="120">
        <v>5686</v>
      </c>
      <c r="S797" s="121" cm="1">
        <f t="array" ref="S797">_xlfn.IFERROR(ISNUMBER(SEARCH("Conocer",$R797))/(ISNUMBER(SEARCH("Conocer",$R797))+ISNUMBER(SEARCH("Aplicar",$R797))+ISNUMBER(SEARCH("Razonar",$R797))),0)</f>
        <v>0</v>
      </c>
      <c r="T797" s="121" cm="1">
        <f t="array" ref="T797">_xlfn.IFERROR(ISNUMBER(SEARCH("Aplicar",$R797))/(ISNUMBER(SEARCH("Conocer",$R797))+ISNUMBER(SEARCH("Aplicar",$R797))+ISNUMBER(SEARCH("Razonar",$R797))),0)</f>
        <v>0.5</v>
      </c>
      <c r="U797" s="121" cm="1">
        <f t="array" ref="U797">_xlfn.IFERROR(ISNUMBER(SEARCH("Razonar",$R797))/(ISNUMBER(SEARCH("Conocer",$R797))+ISNUMBER(SEARCH("Aplicar",$R797))+ISNUMBER(SEARCH("Razonar",$R797))),0)</f>
        <v>0.5</v>
      </c>
      <c r="V797" t="s" s="35">
        <v>91</v>
      </c>
      <c r="W797" t="s" s="35">
        <v>119</v>
      </c>
      <c r="X797" s="36" cm="1">
        <f t="array" ref="X797">IF(OR(_xlfn.IFERROR(INDEX('Datos - Catálogo TIMSS'!$I$5:$I$107,MATCH(K797,'Datos - Catálogo TIMSS'!$A$5:$A$107,0)),"No")="Sí",_xlfn.IFERROR(INDEX('Datos - Catálogo TIMSS'!$I$5:$I$107,MATCH(L797,'Datos - Catálogo TIMSS'!$A$5:$A$107,0)),"No")="Sí"),1,0)</f>
        <v>0</v>
      </c>
      <c r="Y797" s="36" cm="1">
        <f t="array" ref="Y797">IF(_xlfn.IFERROR(INDEX('Datos - Catálogo TIMSS'!$J$5:$J$107,MATCH(K797,'Datos - Catálogo TIMSS'!$A$5:$A$107,0)),"No")="Sí",1,0)</f>
        <v>0</v>
      </c>
      <c r="Z797" s="36" cm="1">
        <f t="array" ref="Z797">IF(_xlfn.IFERROR(INDEX('Datos - Catálogo TIMSS'!$J$5:$J$107,MATCH(L797,'Datos - Catálogo TIMSS'!$A$5:$A$107,0)),"No")="Sí",1,0)</f>
        <v>0</v>
      </c>
      <c r="AA797" t="s" s="35">
        <v>1340</v>
      </c>
      <c r="AB797" s="39"/>
      <c r="AC797" t="str" s="39">
        <v>Electricidad y magnetismo</v>
      </c>
      <c r="AD797" t="s" s="35">
        <v>1859</v>
      </c>
      <c r="AE797" t="str" s="39" cm="1">
        <f t="array" ref="AE797">IF(AD797="","",IF(LEFT(AD797,1)="1","C1",IF(LEFT(AD797,1)="2","C2",IF(LEFT(AD797,1)="3","C3",""))))</f>
        <v>C1</v>
      </c>
      <c r="AF797" t="s" s="35">
        <v>1602</v>
      </c>
      <c r="AG797" t="s" s="35">
        <v>1607</v>
      </c>
      <c r="AH797" t="s" s="35">
        <v>1609</v>
      </c>
      <c r="AI797" t="s" s="35">
        <v>1623</v>
      </c>
      <c r="AJ797" t="s" s="35">
        <v>1607</v>
      </c>
      <c r="AK797" s="39"/>
      <c r="AL797" s="39"/>
      <c r="AM797" s="39"/>
      <c r="AN797" s="39"/>
      <c r="AO797" s="39"/>
      <c r="AP797" s="39"/>
      <c r="AQ797" s="39"/>
      <c r="AR797" s="39"/>
      <c r="AS797" s="39"/>
      <c r="AT797" s="39"/>
      <c r="AU797" s="39"/>
      <c r="AV797" s="39"/>
      <c r="AW797" t="str" s="39" cm="1">
        <f t="array" ref="AW797">AF797&amp;"; "&amp;AG797&amp;"; "&amp;AH797&amp;"; "&amp;AI797&amp;"; "&amp;AJ797</f>
        <v>E1; E3; E4; D4; E3</v>
      </c>
    </row>
    <row r="798" ht="13.65" customHeight="1">
      <c r="A798" t="s" s="35">
        <v>5687</v>
      </c>
      <c r="B798" s="36">
        <v>11</v>
      </c>
      <c r="C798" t="s" s="35">
        <v>222</v>
      </c>
      <c r="D798" t="s" s="35">
        <v>4800</v>
      </c>
      <c r="E798" t="s" s="35">
        <v>5427</v>
      </c>
      <c r="F798" s="36">
        <v>53</v>
      </c>
      <c r="G798" t="s" s="35">
        <v>5654</v>
      </c>
      <c r="H798" t="s" s="35">
        <v>5688</v>
      </c>
      <c r="I798" t="s" s="120">
        <v>5689</v>
      </c>
      <c r="J798" t="s" s="35">
        <v>1301</v>
      </c>
      <c r="K798" t="s" s="35">
        <v>1340</v>
      </c>
      <c r="L798" s="39"/>
      <c r="M798" t="str" s="39">
        <v>Electricidad y magnetismo</v>
      </c>
      <c r="N798" t="str" s="39">
        <v>Electricidad y circuitos</v>
      </c>
      <c r="O798" t="str" s="39" cm="1">
        <f t="array" ref="O798">IF(L798="","",_xlfn.IFERROR(INDEX('Datos - Catálogo TIMSS'!$C$5:$C$107,MATCH(L798,'Datos - Catálogo TIMSS'!$A$5:$A$107,0)),"?"))</f>
      </c>
      <c r="P798" t="s" s="35">
        <v>254</v>
      </c>
      <c r="Q798" t="s" s="120">
        <v>5690</v>
      </c>
      <c r="R798" t="s" s="120">
        <v>5691</v>
      </c>
      <c r="S798" s="121" cm="1">
        <f t="array" ref="S798">_xlfn.IFERROR(ISNUMBER(SEARCH("Conocer",$R798))/(ISNUMBER(SEARCH("Conocer",$R798))+ISNUMBER(SEARCH("Aplicar",$R798))+ISNUMBER(SEARCH("Razonar",$R798))),0)</f>
        <v>0</v>
      </c>
      <c r="T798" s="121" cm="1">
        <f t="array" ref="T798">_xlfn.IFERROR(ISNUMBER(SEARCH("Aplicar",$R798))/(ISNUMBER(SEARCH("Conocer",$R798))+ISNUMBER(SEARCH("Aplicar",$R798))+ISNUMBER(SEARCH("Razonar",$R798))),0)</f>
        <v>0.5</v>
      </c>
      <c r="U798" s="121" cm="1">
        <f t="array" ref="U798">_xlfn.IFERROR(ISNUMBER(SEARCH("Razonar",$R798))/(ISNUMBER(SEARCH("Conocer",$R798))+ISNUMBER(SEARCH("Aplicar",$R798))+ISNUMBER(SEARCH("Razonar",$R798))),0)</f>
        <v>0.5</v>
      </c>
      <c r="V798" t="s" s="35">
        <v>91</v>
      </c>
      <c r="W798" t="s" s="35">
        <v>119</v>
      </c>
      <c r="X798" s="36" cm="1">
        <f t="array" ref="X798">IF(OR(_xlfn.IFERROR(INDEX('Datos - Catálogo TIMSS'!$I$5:$I$107,MATCH(K798,'Datos - Catálogo TIMSS'!$A$5:$A$107,0)),"No")="Sí",_xlfn.IFERROR(INDEX('Datos - Catálogo TIMSS'!$I$5:$I$107,MATCH(L798,'Datos - Catálogo TIMSS'!$A$5:$A$107,0)),"No")="Sí"),1,0)</f>
        <v>0</v>
      </c>
      <c r="Y798" s="36" cm="1">
        <f t="array" ref="Y798">IF(_xlfn.IFERROR(INDEX('Datos - Catálogo TIMSS'!$J$5:$J$107,MATCH(K798,'Datos - Catálogo TIMSS'!$A$5:$A$107,0)),"No")="Sí",1,0)</f>
        <v>0</v>
      </c>
      <c r="Z798" s="36" cm="1">
        <f t="array" ref="Z798">IF(_xlfn.IFERROR(INDEX('Datos - Catálogo TIMSS'!$J$5:$J$107,MATCH(L798,'Datos - Catálogo TIMSS'!$A$5:$A$107,0)),"No")="Sí",1,0)</f>
        <v>0</v>
      </c>
      <c r="AA798" t="s" s="35">
        <v>1340</v>
      </c>
      <c r="AB798" s="39"/>
      <c r="AC798" t="str" s="39">
        <v>Electricidad y magnetismo</v>
      </c>
      <c r="AD798" t="s" s="35">
        <v>1834</v>
      </c>
      <c r="AE798" t="str" s="39" cm="1">
        <f t="array" ref="AE798">IF(AD798="","",IF(LEFT(AD798,1)="1","C1",IF(LEFT(AD798,1)="2","C2",IF(LEFT(AD798,1)="3","C3",""))))</f>
        <v>C2</v>
      </c>
      <c r="AF798" t="s" s="35">
        <v>1602</v>
      </c>
      <c r="AG798" t="s" s="35">
        <v>1612</v>
      </c>
      <c r="AH798" t="s" s="35">
        <v>1605</v>
      </c>
      <c r="AI798" t="s" s="35">
        <v>1623</v>
      </c>
      <c r="AJ798" t="s" s="35">
        <v>1633</v>
      </c>
      <c r="AK798" s="39"/>
      <c r="AL798" s="39"/>
      <c r="AM798" s="39"/>
      <c r="AN798" s="39"/>
      <c r="AO798" s="39"/>
      <c r="AP798" s="39"/>
      <c r="AQ798" s="39"/>
      <c r="AR798" s="39"/>
      <c r="AS798" s="39"/>
      <c r="AT798" s="39"/>
      <c r="AU798" s="39"/>
      <c r="AV798" s="39"/>
      <c r="AW798" t="str" s="39" cm="1">
        <f t="array" ref="AW798">AF798&amp;"; "&amp;AG798&amp;"; "&amp;AH798&amp;"; "&amp;AI798&amp;"; "&amp;AJ798</f>
        <v>E1; E5; E2; D4; I5</v>
      </c>
    </row>
    <row r="799" ht="13.65" customHeight="1">
      <c r="A799" t="s" s="35">
        <v>5693</v>
      </c>
      <c r="B799" s="36">
        <v>11</v>
      </c>
      <c r="C799" t="s" s="35">
        <v>222</v>
      </c>
      <c r="D799" t="s" s="35">
        <v>4800</v>
      </c>
      <c r="E799" t="s" s="35">
        <v>5427</v>
      </c>
      <c r="F799" s="36">
        <v>54</v>
      </c>
      <c r="G799" t="s" s="35">
        <v>5654</v>
      </c>
      <c r="H799" t="s" s="35">
        <v>5688</v>
      </c>
      <c r="I799" t="s" s="120">
        <v>5694</v>
      </c>
      <c r="J799" t="s" s="35">
        <v>1301</v>
      </c>
      <c r="K799" t="s" s="35">
        <v>1340</v>
      </c>
      <c r="L799" s="39"/>
      <c r="M799" t="str" s="39">
        <v>Electricidad y magnetismo</v>
      </c>
      <c r="N799" t="str" s="39">
        <v>Electricidad y circuitos</v>
      </c>
      <c r="O799" t="str" s="39" cm="1">
        <f t="array" ref="O799">IF(L799="","",_xlfn.IFERROR(INDEX('Datos - Catálogo TIMSS'!$C$5:$C$107,MATCH(L799,'Datos - Catálogo TIMSS'!$A$5:$A$107,0)),"?"))</f>
      </c>
      <c r="P799" t="s" s="35">
        <v>254</v>
      </c>
      <c r="Q799" t="s" s="120">
        <v>5695</v>
      </c>
      <c r="R799" t="s" s="120">
        <v>5696</v>
      </c>
      <c r="S799" s="121" cm="1">
        <f t="array" ref="S799">_xlfn.IFERROR(ISNUMBER(SEARCH("Conocer",$R799))/(ISNUMBER(SEARCH("Conocer",$R799))+ISNUMBER(SEARCH("Aplicar",$R799))+ISNUMBER(SEARCH("Razonar",$R799))),0)</f>
        <v>0</v>
      </c>
      <c r="T799" s="121" cm="1">
        <f t="array" ref="T799">_xlfn.IFERROR(ISNUMBER(SEARCH("Aplicar",$R799))/(ISNUMBER(SEARCH("Conocer",$R799))+ISNUMBER(SEARCH("Aplicar",$R799))+ISNUMBER(SEARCH("Razonar",$R799))),0)</f>
        <v>0.5</v>
      </c>
      <c r="U799" s="121" cm="1">
        <f t="array" ref="U799">_xlfn.IFERROR(ISNUMBER(SEARCH("Razonar",$R799))/(ISNUMBER(SEARCH("Conocer",$R799))+ISNUMBER(SEARCH("Aplicar",$R799))+ISNUMBER(SEARCH("Razonar",$R799))),0)</f>
        <v>0.5</v>
      </c>
      <c r="V799" t="s" s="35">
        <v>91</v>
      </c>
      <c r="W799" t="s" s="35">
        <v>119</v>
      </c>
      <c r="X799" s="36" cm="1">
        <f t="array" ref="X799">IF(OR(_xlfn.IFERROR(INDEX('Datos - Catálogo TIMSS'!$I$5:$I$107,MATCH(K799,'Datos - Catálogo TIMSS'!$A$5:$A$107,0)),"No")="Sí",_xlfn.IFERROR(INDEX('Datos - Catálogo TIMSS'!$I$5:$I$107,MATCH(L799,'Datos - Catálogo TIMSS'!$A$5:$A$107,0)),"No")="Sí"),1,0)</f>
        <v>0</v>
      </c>
      <c r="Y799" s="36" cm="1">
        <f t="array" ref="Y799">IF(_xlfn.IFERROR(INDEX('Datos - Catálogo TIMSS'!$J$5:$J$107,MATCH(K799,'Datos - Catálogo TIMSS'!$A$5:$A$107,0)),"No")="Sí",1,0)</f>
        <v>0</v>
      </c>
      <c r="Z799" s="36" cm="1">
        <f t="array" ref="Z799">IF(_xlfn.IFERROR(INDEX('Datos - Catálogo TIMSS'!$J$5:$J$107,MATCH(L799,'Datos - Catálogo TIMSS'!$A$5:$A$107,0)),"No")="Sí",1,0)</f>
        <v>0</v>
      </c>
      <c r="AA799" t="s" s="35">
        <v>1340</v>
      </c>
      <c r="AB799" s="39"/>
      <c r="AC799" t="str" s="39">
        <v>Electricidad y magnetismo</v>
      </c>
      <c r="AD799" t="s" s="35">
        <v>1859</v>
      </c>
      <c r="AE799" t="str" s="39" cm="1">
        <f t="array" ref="AE799">IF(AD799="","",IF(LEFT(AD799,1)="1","C1",IF(LEFT(AD799,1)="2","C2",IF(LEFT(AD799,1)="3","C3",""))))</f>
        <v>C1</v>
      </c>
      <c r="AF799" t="s" s="35">
        <v>1602</v>
      </c>
      <c r="AG799" t="s" s="35">
        <v>1617</v>
      </c>
      <c r="AH799" t="s" s="35">
        <v>1609</v>
      </c>
      <c r="AI799" t="s" s="35">
        <v>1621</v>
      </c>
      <c r="AJ799" t="s" s="35">
        <v>1607</v>
      </c>
      <c r="AK799" s="39"/>
      <c r="AL799" s="39"/>
      <c r="AM799" s="39"/>
      <c r="AN799" s="39"/>
      <c r="AO799" s="39"/>
      <c r="AP799" s="39"/>
      <c r="AQ799" s="39"/>
      <c r="AR799" s="39"/>
      <c r="AS799" s="39"/>
      <c r="AT799" s="39"/>
      <c r="AU799" s="39"/>
      <c r="AV799" s="39"/>
      <c r="AW799" t="str" s="39" cm="1">
        <f t="array" ref="AW799">AF799&amp;"; "&amp;AG799&amp;"; "&amp;AH799&amp;"; "&amp;AI799&amp;"; "&amp;AJ799</f>
        <v>E1; D1; E4; D3; E3</v>
      </c>
    </row>
    <row r="800" ht="13.65" customHeight="1">
      <c r="A800" t="s" s="35">
        <v>5697</v>
      </c>
      <c r="B800" s="36">
        <v>11</v>
      </c>
      <c r="C800" t="s" s="35">
        <v>222</v>
      </c>
      <c r="D800" t="s" s="35">
        <v>4800</v>
      </c>
      <c r="E800" t="s" s="35">
        <v>5427</v>
      </c>
      <c r="F800" s="36">
        <v>55</v>
      </c>
      <c r="G800" t="s" s="35">
        <v>5654</v>
      </c>
      <c r="H800" t="s" s="35">
        <v>5688</v>
      </c>
      <c r="I800" t="s" s="120">
        <v>5698</v>
      </c>
      <c r="J800" t="s" s="35">
        <v>1301</v>
      </c>
      <c r="K800" t="s" s="35">
        <v>1340</v>
      </c>
      <c r="L800" s="39"/>
      <c r="M800" t="str" s="39">
        <v>Electricidad y magnetismo</v>
      </c>
      <c r="N800" t="str" s="39">
        <v>Electricidad y circuitos</v>
      </c>
      <c r="O800" t="str" s="39" cm="1">
        <f t="array" ref="O800">IF(L800="","",_xlfn.IFERROR(INDEX('Datos - Catálogo TIMSS'!$C$5:$C$107,MATCH(L800,'Datos - Catálogo TIMSS'!$A$5:$A$107,0)),"?"))</f>
      </c>
      <c r="P800" t="s" s="35">
        <v>254</v>
      </c>
      <c r="Q800" t="s" s="120">
        <v>5699</v>
      </c>
      <c r="R800" t="s" s="120">
        <v>5700</v>
      </c>
      <c r="S800" s="121" cm="1">
        <f t="array" ref="S800">_xlfn.IFERROR(ISNUMBER(SEARCH("Conocer",$R800))/(ISNUMBER(SEARCH("Conocer",$R800))+ISNUMBER(SEARCH("Aplicar",$R800))+ISNUMBER(SEARCH("Razonar",$R800))),0)</f>
        <v>0.333333333333333</v>
      </c>
      <c r="T800" s="121" cm="1">
        <f t="array" ref="T800">_xlfn.IFERROR(ISNUMBER(SEARCH("Aplicar",$R800))/(ISNUMBER(SEARCH("Conocer",$R800))+ISNUMBER(SEARCH("Aplicar",$R800))+ISNUMBER(SEARCH("Razonar",$R800))),0)</f>
        <v>0.333333333333333</v>
      </c>
      <c r="U800" s="121" cm="1">
        <f t="array" ref="U800">_xlfn.IFERROR(ISNUMBER(SEARCH("Razonar",$R800))/(ISNUMBER(SEARCH("Conocer",$R800))+ISNUMBER(SEARCH("Aplicar",$R800))+ISNUMBER(SEARCH("Razonar",$R800))),0)</f>
        <v>0.333333333333333</v>
      </c>
      <c r="V800" t="s" s="35">
        <v>91</v>
      </c>
      <c r="W800" t="s" s="35">
        <v>119</v>
      </c>
      <c r="X800" s="36" cm="1">
        <f t="array" ref="X800">IF(OR(_xlfn.IFERROR(INDEX('Datos - Catálogo TIMSS'!$I$5:$I$107,MATCH(K800,'Datos - Catálogo TIMSS'!$A$5:$A$107,0)),"No")="Sí",_xlfn.IFERROR(INDEX('Datos - Catálogo TIMSS'!$I$5:$I$107,MATCH(L800,'Datos - Catálogo TIMSS'!$A$5:$A$107,0)),"No")="Sí"),1,0)</f>
        <v>0</v>
      </c>
      <c r="Y800" s="36" cm="1">
        <f t="array" ref="Y800">IF(_xlfn.IFERROR(INDEX('Datos - Catálogo TIMSS'!$J$5:$J$107,MATCH(K800,'Datos - Catálogo TIMSS'!$A$5:$A$107,0)),"No")="Sí",1,0)</f>
        <v>0</v>
      </c>
      <c r="Z800" s="36" cm="1">
        <f t="array" ref="Z800">IF(_xlfn.IFERROR(INDEX('Datos - Catálogo TIMSS'!$J$5:$J$107,MATCH(L800,'Datos - Catálogo TIMSS'!$A$5:$A$107,0)),"No")="Sí",1,0)</f>
        <v>0</v>
      </c>
      <c r="AA800" t="s" s="35">
        <v>1340</v>
      </c>
      <c r="AB800" s="39"/>
      <c r="AC800" t="str" s="39">
        <v>Electricidad y magnetismo</v>
      </c>
      <c r="AD800" t="s" s="35">
        <v>1834</v>
      </c>
      <c r="AE800" t="str" s="39" cm="1">
        <f t="array" ref="AE800">IF(AD800="","",IF(LEFT(AD800,1)="1","C1",IF(LEFT(AD800,1)="2","C2",IF(LEFT(AD800,1)="3","C3",""))))</f>
        <v>C2</v>
      </c>
      <c r="AF800" t="s" s="35">
        <v>1602</v>
      </c>
      <c r="AG800" t="s" s="35">
        <v>1607</v>
      </c>
      <c r="AH800" t="s" s="35">
        <v>1609</v>
      </c>
      <c r="AI800" t="s" s="35">
        <v>1619</v>
      </c>
      <c r="AJ800" t="s" s="35">
        <v>1621</v>
      </c>
      <c r="AK800" s="39"/>
      <c r="AL800" s="39"/>
      <c r="AM800" s="39"/>
      <c r="AN800" s="39"/>
      <c r="AO800" s="39"/>
      <c r="AP800" s="39"/>
      <c r="AQ800" s="39"/>
      <c r="AR800" s="39"/>
      <c r="AS800" s="39"/>
      <c r="AT800" s="39"/>
      <c r="AU800" s="39"/>
      <c r="AV800" s="39"/>
      <c r="AW800" t="str" s="39" cm="1">
        <f t="array" ref="AW800">AF800&amp;"; "&amp;AG800&amp;"; "&amp;AH800&amp;"; "&amp;AI800&amp;"; "&amp;AJ800</f>
        <v>E1; E3; E4; D2; D3</v>
      </c>
    </row>
    <row r="801" ht="13.65" customHeight="1">
      <c r="A801" t="s" s="35">
        <v>5702</v>
      </c>
      <c r="B801" s="36">
        <v>11</v>
      </c>
      <c r="C801" t="s" s="35">
        <v>222</v>
      </c>
      <c r="D801" t="s" s="35">
        <v>4800</v>
      </c>
      <c r="E801" t="s" s="35">
        <v>5427</v>
      </c>
      <c r="F801" s="36">
        <v>56</v>
      </c>
      <c r="G801" t="s" s="35">
        <v>5654</v>
      </c>
      <c r="H801" t="s" s="35">
        <v>5703</v>
      </c>
      <c r="I801" t="s" s="120">
        <v>5704</v>
      </c>
      <c r="J801" t="s" s="35">
        <v>1301</v>
      </c>
      <c r="K801" t="s" s="35">
        <v>1340</v>
      </c>
      <c r="L801" s="39"/>
      <c r="M801" t="str" s="39">
        <v>Electricidad y magnetismo</v>
      </c>
      <c r="N801" t="str" s="39">
        <v>Electricidad y circuitos</v>
      </c>
      <c r="O801" t="str" s="39" cm="1">
        <f t="array" ref="O801">IF(L801="","",_xlfn.IFERROR(INDEX('Datos - Catálogo TIMSS'!$C$5:$C$107,MATCH(L801,'Datos - Catálogo TIMSS'!$A$5:$A$107,0)),"?"))</f>
      </c>
      <c r="P801" t="s" s="35">
        <v>282</v>
      </c>
      <c r="Q801" t="s" s="120">
        <v>5705</v>
      </c>
      <c r="R801" t="s" s="120">
        <v>5706</v>
      </c>
      <c r="S801" s="121" cm="1">
        <f t="array" ref="S801">_xlfn.IFERROR(ISNUMBER(SEARCH("Conocer",$R801))/(ISNUMBER(SEARCH("Conocer",$R801))+ISNUMBER(SEARCH("Aplicar",$R801))+ISNUMBER(SEARCH("Razonar",$R801))),0)</f>
        <v>0</v>
      </c>
      <c r="T801" s="121" cm="1">
        <f t="array" ref="T801">_xlfn.IFERROR(ISNUMBER(SEARCH("Aplicar",$R801))/(ISNUMBER(SEARCH("Conocer",$R801))+ISNUMBER(SEARCH("Aplicar",$R801))+ISNUMBER(SEARCH("Razonar",$R801))),0)</f>
        <v>0.5</v>
      </c>
      <c r="U801" s="121" cm="1">
        <f t="array" ref="U801">_xlfn.IFERROR(ISNUMBER(SEARCH("Razonar",$R801))/(ISNUMBER(SEARCH("Conocer",$R801))+ISNUMBER(SEARCH("Aplicar",$R801))+ISNUMBER(SEARCH("Razonar",$R801))),0)</f>
        <v>0.5</v>
      </c>
      <c r="V801" t="s" s="35">
        <v>91</v>
      </c>
      <c r="W801" t="s" s="35">
        <v>119</v>
      </c>
      <c r="X801" s="36" cm="1">
        <f t="array" ref="X801">IF(OR(_xlfn.IFERROR(INDEX('Datos - Catálogo TIMSS'!$I$5:$I$107,MATCH(K801,'Datos - Catálogo TIMSS'!$A$5:$A$107,0)),"No")="Sí",_xlfn.IFERROR(INDEX('Datos - Catálogo TIMSS'!$I$5:$I$107,MATCH(L801,'Datos - Catálogo TIMSS'!$A$5:$A$107,0)),"No")="Sí"),1,0)</f>
        <v>0</v>
      </c>
      <c r="Y801" s="36" cm="1">
        <f t="array" ref="Y801">IF(_xlfn.IFERROR(INDEX('Datos - Catálogo TIMSS'!$J$5:$J$107,MATCH(K801,'Datos - Catálogo TIMSS'!$A$5:$A$107,0)),"No")="Sí",1,0)</f>
        <v>0</v>
      </c>
      <c r="Z801" s="36" cm="1">
        <f t="array" ref="Z801">IF(_xlfn.IFERROR(INDEX('Datos - Catálogo TIMSS'!$J$5:$J$107,MATCH(L801,'Datos - Catálogo TIMSS'!$A$5:$A$107,0)),"No")="Sí",1,0)</f>
        <v>0</v>
      </c>
      <c r="AA801" t="s" s="35">
        <v>1340</v>
      </c>
      <c r="AB801" s="39"/>
      <c r="AC801" t="str" s="39">
        <v>Electricidad y magnetismo</v>
      </c>
      <c r="AD801" t="s" s="35">
        <v>1859</v>
      </c>
      <c r="AE801" t="str" s="39" cm="1">
        <f t="array" ref="AE801">IF(AD801="","",IF(LEFT(AD801,1)="1","C1",IF(LEFT(AD801,1)="2","C2",IF(LEFT(AD801,1)="3","C3",""))))</f>
        <v>C1</v>
      </c>
      <c r="AF801" t="s" s="35">
        <v>1602</v>
      </c>
      <c r="AG801" t="s" s="35">
        <v>1607</v>
      </c>
      <c r="AH801" t="s" s="35">
        <v>1605</v>
      </c>
      <c r="AI801" t="s" s="35">
        <v>1623</v>
      </c>
      <c r="AJ801" t="s" s="35">
        <v>1607</v>
      </c>
      <c r="AK801" s="39"/>
      <c r="AL801" s="39"/>
      <c r="AM801" s="39"/>
      <c r="AN801" s="39"/>
      <c r="AO801" s="39"/>
      <c r="AP801" s="39"/>
      <c r="AQ801" s="39"/>
      <c r="AR801" s="39"/>
      <c r="AS801" s="39"/>
      <c r="AT801" s="39"/>
      <c r="AU801" s="39"/>
      <c r="AV801" s="39"/>
      <c r="AW801" t="str" s="39" cm="1">
        <f t="array" ref="AW801">AF801&amp;"; "&amp;AG801&amp;"; "&amp;AH801&amp;"; "&amp;AI801&amp;"; "&amp;AJ801</f>
        <v>E1; E3; E2; D4; E3</v>
      </c>
    </row>
    <row r="802" ht="13.65" customHeight="1">
      <c r="A802" t="s" s="35">
        <v>5707</v>
      </c>
      <c r="B802" s="36">
        <v>11</v>
      </c>
      <c r="C802" t="s" s="35">
        <v>222</v>
      </c>
      <c r="D802" t="s" s="35">
        <v>4800</v>
      </c>
      <c r="E802" t="s" s="35">
        <v>5427</v>
      </c>
      <c r="F802" s="36">
        <v>57</v>
      </c>
      <c r="G802" t="s" s="35">
        <v>5654</v>
      </c>
      <c r="H802" t="s" s="35">
        <v>5703</v>
      </c>
      <c r="I802" t="s" s="120">
        <v>5708</v>
      </c>
      <c r="J802" t="s" s="35">
        <v>1301</v>
      </c>
      <c r="K802" t="s" s="35">
        <v>1340</v>
      </c>
      <c r="L802" s="39"/>
      <c r="M802" t="str" s="39">
        <v>Electricidad y magnetismo</v>
      </c>
      <c r="N802" t="str" s="39">
        <v>Electricidad y circuitos</v>
      </c>
      <c r="O802" t="str" s="39" cm="1">
        <f t="array" ref="O802">IF(L802="","",_xlfn.IFERROR(INDEX('Datos - Catálogo TIMSS'!$C$5:$C$107,MATCH(L802,'Datos - Catálogo TIMSS'!$A$5:$A$107,0)),"?"))</f>
      </c>
      <c r="P802" t="s" s="35">
        <v>282</v>
      </c>
      <c r="Q802" t="s" s="120">
        <v>5709</v>
      </c>
      <c r="R802" t="s" s="120">
        <v>5710</v>
      </c>
      <c r="S802" s="121" cm="1">
        <f t="array" ref="S802">_xlfn.IFERROR(ISNUMBER(SEARCH("Conocer",$R802))/(ISNUMBER(SEARCH("Conocer",$R802))+ISNUMBER(SEARCH("Aplicar",$R802))+ISNUMBER(SEARCH("Razonar",$R802))),0)</f>
        <v>0</v>
      </c>
      <c r="T802" s="121" cm="1">
        <f t="array" ref="T802">_xlfn.IFERROR(ISNUMBER(SEARCH("Aplicar",$R802))/(ISNUMBER(SEARCH("Conocer",$R802))+ISNUMBER(SEARCH("Aplicar",$R802))+ISNUMBER(SEARCH("Razonar",$R802))),0)</f>
        <v>0.5</v>
      </c>
      <c r="U802" s="121" cm="1">
        <f t="array" ref="U802">_xlfn.IFERROR(ISNUMBER(SEARCH("Razonar",$R802))/(ISNUMBER(SEARCH("Conocer",$R802))+ISNUMBER(SEARCH("Aplicar",$R802))+ISNUMBER(SEARCH("Razonar",$R802))),0)</f>
        <v>0.5</v>
      </c>
      <c r="V802" t="s" s="35">
        <v>91</v>
      </c>
      <c r="W802" t="s" s="35">
        <v>119</v>
      </c>
      <c r="X802" s="36" cm="1">
        <f t="array" ref="X802">IF(OR(_xlfn.IFERROR(INDEX('Datos - Catálogo TIMSS'!$I$5:$I$107,MATCH(K802,'Datos - Catálogo TIMSS'!$A$5:$A$107,0)),"No")="Sí",_xlfn.IFERROR(INDEX('Datos - Catálogo TIMSS'!$I$5:$I$107,MATCH(L802,'Datos - Catálogo TIMSS'!$A$5:$A$107,0)),"No")="Sí"),1,0)</f>
        <v>0</v>
      </c>
      <c r="Y802" s="36" cm="1">
        <f t="array" ref="Y802">IF(_xlfn.IFERROR(INDEX('Datos - Catálogo TIMSS'!$J$5:$J$107,MATCH(K802,'Datos - Catálogo TIMSS'!$A$5:$A$107,0)),"No")="Sí",1,0)</f>
        <v>0</v>
      </c>
      <c r="Z802" s="36" cm="1">
        <f t="array" ref="Z802">IF(_xlfn.IFERROR(INDEX('Datos - Catálogo TIMSS'!$J$5:$J$107,MATCH(L802,'Datos - Catálogo TIMSS'!$A$5:$A$107,0)),"No")="Sí",1,0)</f>
        <v>0</v>
      </c>
      <c r="AA802" t="s" s="35">
        <v>1340</v>
      </c>
      <c r="AB802" s="39"/>
      <c r="AC802" t="str" s="39">
        <v>Electricidad y magnetismo</v>
      </c>
      <c r="AD802" t="s" s="35">
        <v>1834</v>
      </c>
      <c r="AE802" t="str" s="39" cm="1">
        <f t="array" ref="AE802">IF(AD802="","",IF(LEFT(AD802,1)="1","C1",IF(LEFT(AD802,1)="2","C2",IF(LEFT(AD802,1)="3","C3",""))))</f>
        <v>C2</v>
      </c>
      <c r="AF802" t="s" s="35">
        <v>1602</v>
      </c>
      <c r="AG802" t="s" s="35">
        <v>1617</v>
      </c>
      <c r="AH802" t="s" s="35">
        <v>1605</v>
      </c>
      <c r="AI802" t="s" s="35">
        <v>1623</v>
      </c>
      <c r="AJ802" t="s" s="35">
        <v>1615</v>
      </c>
      <c r="AK802" s="39"/>
      <c r="AL802" s="39"/>
      <c r="AM802" s="39"/>
      <c r="AN802" s="39"/>
      <c r="AO802" s="39"/>
      <c r="AP802" s="39"/>
      <c r="AQ802" s="39"/>
      <c r="AR802" s="39"/>
      <c r="AS802" s="39"/>
      <c r="AT802" s="39"/>
      <c r="AU802" s="39"/>
      <c r="AV802" s="39"/>
      <c r="AW802" t="str" s="39" cm="1">
        <f t="array" ref="AW802">AF802&amp;"; "&amp;AG802&amp;"; "&amp;AH802&amp;"; "&amp;AI802&amp;"; "&amp;AJ802</f>
        <v>E1; D1; E2; D4; E6</v>
      </c>
    </row>
    <row r="803" ht="13.65" customHeight="1">
      <c r="A803" t="s" s="35">
        <v>5711</v>
      </c>
      <c r="B803" s="36">
        <v>11</v>
      </c>
      <c r="C803" t="s" s="35">
        <v>222</v>
      </c>
      <c r="D803" t="s" s="35">
        <v>4800</v>
      </c>
      <c r="E803" t="s" s="35">
        <v>5427</v>
      </c>
      <c r="F803" s="36">
        <v>58</v>
      </c>
      <c r="G803" t="s" s="35">
        <v>5654</v>
      </c>
      <c r="H803" t="s" s="35">
        <v>5712</v>
      </c>
      <c r="I803" t="s" s="120">
        <v>5713</v>
      </c>
      <c r="J803" t="s" s="35">
        <v>1301</v>
      </c>
      <c r="K803" t="s" s="35">
        <v>1340</v>
      </c>
      <c r="L803" s="39"/>
      <c r="M803" t="str" s="39">
        <v>Electricidad y magnetismo</v>
      </c>
      <c r="N803" t="str" s="39">
        <v>Electricidad y circuitos</v>
      </c>
      <c r="O803" t="str" s="39" cm="1">
        <f t="array" ref="O803">IF(L803="","",_xlfn.IFERROR(INDEX('Datos - Catálogo TIMSS'!$C$5:$C$107,MATCH(L803,'Datos - Catálogo TIMSS'!$A$5:$A$107,0)),"?"))</f>
      </c>
      <c r="P803" t="s" s="35">
        <v>282</v>
      </c>
      <c r="Q803" t="s" s="120">
        <v>5714</v>
      </c>
      <c r="R803" t="s" s="120">
        <v>5715</v>
      </c>
      <c r="S803" s="121" cm="1">
        <f t="array" ref="S803">_xlfn.IFERROR(ISNUMBER(SEARCH("Conocer",$R803))/(ISNUMBER(SEARCH("Conocer",$R803))+ISNUMBER(SEARCH("Aplicar",$R803))+ISNUMBER(SEARCH("Razonar",$R803))),0)</f>
        <v>0.333333333333333</v>
      </c>
      <c r="T803" s="121" cm="1">
        <f t="array" ref="T803">_xlfn.IFERROR(ISNUMBER(SEARCH("Aplicar",$R803))/(ISNUMBER(SEARCH("Conocer",$R803))+ISNUMBER(SEARCH("Aplicar",$R803))+ISNUMBER(SEARCH("Razonar",$R803))),0)</f>
        <v>0.333333333333333</v>
      </c>
      <c r="U803" s="121" cm="1">
        <f t="array" ref="U803">_xlfn.IFERROR(ISNUMBER(SEARCH("Razonar",$R803))/(ISNUMBER(SEARCH("Conocer",$R803))+ISNUMBER(SEARCH("Aplicar",$R803))+ISNUMBER(SEARCH("Razonar",$R803))),0)</f>
        <v>0.333333333333333</v>
      </c>
      <c r="V803" t="s" s="35">
        <v>91</v>
      </c>
      <c r="W803" t="s" s="35">
        <v>119</v>
      </c>
      <c r="X803" s="36" cm="1">
        <f t="array" ref="X803">IF(OR(_xlfn.IFERROR(INDEX('Datos - Catálogo TIMSS'!$I$5:$I$107,MATCH(K803,'Datos - Catálogo TIMSS'!$A$5:$A$107,0)),"No")="Sí",_xlfn.IFERROR(INDEX('Datos - Catálogo TIMSS'!$I$5:$I$107,MATCH(L803,'Datos - Catálogo TIMSS'!$A$5:$A$107,0)),"No")="Sí"),1,0)</f>
        <v>0</v>
      </c>
      <c r="Y803" s="36" cm="1">
        <f t="array" ref="Y803">IF(_xlfn.IFERROR(INDEX('Datos - Catálogo TIMSS'!$J$5:$J$107,MATCH(K803,'Datos - Catálogo TIMSS'!$A$5:$A$107,0)),"No")="Sí",1,0)</f>
        <v>0</v>
      </c>
      <c r="Z803" s="36" cm="1">
        <f t="array" ref="Z803">IF(_xlfn.IFERROR(INDEX('Datos - Catálogo TIMSS'!$J$5:$J$107,MATCH(L803,'Datos - Catálogo TIMSS'!$A$5:$A$107,0)),"No")="Sí",1,0)</f>
        <v>0</v>
      </c>
      <c r="AA803" t="s" s="35">
        <v>1340</v>
      </c>
      <c r="AB803" s="39"/>
      <c r="AC803" t="str" s="39">
        <v>Electricidad y magnetismo</v>
      </c>
      <c r="AD803" t="s" s="35">
        <v>1900</v>
      </c>
      <c r="AE803" t="str" s="39" cm="1">
        <f t="array" ref="AE803">IF(AD803="","",IF(LEFT(AD803,1)="1","C1",IF(LEFT(AD803,1)="2","C2",IF(LEFT(AD803,1)="3","C3",""))))</f>
        <v>C3</v>
      </c>
      <c r="AF803" t="s" s="35">
        <v>1615</v>
      </c>
      <c r="AG803" t="s" s="35">
        <v>1607</v>
      </c>
      <c r="AH803" t="s" s="35">
        <v>1602</v>
      </c>
      <c r="AI803" t="s" s="35">
        <v>1629</v>
      </c>
      <c r="AJ803" t="s" s="35">
        <v>1633</v>
      </c>
      <c r="AK803" s="39"/>
      <c r="AL803" s="39"/>
      <c r="AM803" s="39"/>
      <c r="AN803" s="39"/>
      <c r="AO803" s="39"/>
      <c r="AP803" s="39"/>
      <c r="AQ803" s="39"/>
      <c r="AR803" s="39"/>
      <c r="AS803" s="39"/>
      <c r="AT803" s="39"/>
      <c r="AU803" s="39"/>
      <c r="AV803" s="39"/>
      <c r="AW803" t="str" s="39" cm="1">
        <f t="array" ref="AW803">AF803&amp;"; "&amp;AG803&amp;"; "&amp;AH803&amp;"; "&amp;AI803&amp;"; "&amp;AJ803</f>
        <v>E6; E3; E1; I3; I5</v>
      </c>
    </row>
    <row r="804" ht="13.65" customHeight="1">
      <c r="A804" t="s" s="35">
        <v>5716</v>
      </c>
      <c r="B804" s="36">
        <v>11</v>
      </c>
      <c r="C804" t="s" s="35">
        <v>222</v>
      </c>
      <c r="D804" t="s" s="35">
        <v>4800</v>
      </c>
      <c r="E804" t="s" s="35">
        <v>5427</v>
      </c>
      <c r="F804" s="36">
        <v>59</v>
      </c>
      <c r="G804" t="s" s="35">
        <v>5717</v>
      </c>
      <c r="H804" t="s" s="35">
        <v>5718</v>
      </c>
      <c r="I804" t="s" s="120">
        <v>5719</v>
      </c>
      <c r="J804" t="s" s="35">
        <v>1301</v>
      </c>
      <c r="K804" t="s" s="35">
        <v>1343</v>
      </c>
      <c r="L804" s="39"/>
      <c r="M804" t="str" s="39">
        <v>Electricidad y magnetismo</v>
      </c>
      <c r="N804" t="str" s="39">
        <v>Magnetismo e inducción electromagnética</v>
      </c>
      <c r="O804" t="str" s="39" cm="1">
        <f t="array" ref="O804">IF(L804="","",_xlfn.IFERROR(INDEX('Datos - Catálogo TIMSS'!$C$5:$C$107,MATCH(L804,'Datos - Catálogo TIMSS'!$A$5:$A$107,0)),"?"))</f>
      </c>
      <c r="P804" t="s" s="35">
        <v>254</v>
      </c>
      <c r="Q804" t="s" s="120">
        <v>5721</v>
      </c>
      <c r="R804" t="s" s="120">
        <v>5722</v>
      </c>
      <c r="S804" s="121" cm="1">
        <f t="array" ref="S804">_xlfn.IFERROR(ISNUMBER(SEARCH("Conocer",$R804))/(ISNUMBER(SEARCH("Conocer",$R804))+ISNUMBER(SEARCH("Aplicar",$R804))+ISNUMBER(SEARCH("Razonar",$R804))),0)</f>
        <v>0</v>
      </c>
      <c r="T804" s="121" cm="1">
        <f t="array" ref="T804">_xlfn.IFERROR(ISNUMBER(SEARCH("Aplicar",$R804))/(ISNUMBER(SEARCH("Conocer",$R804))+ISNUMBER(SEARCH("Aplicar",$R804))+ISNUMBER(SEARCH("Razonar",$R804))),0)</f>
        <v>0.5</v>
      </c>
      <c r="U804" s="121" cm="1">
        <f t="array" ref="U804">_xlfn.IFERROR(ISNUMBER(SEARCH("Razonar",$R804))/(ISNUMBER(SEARCH("Conocer",$R804))+ISNUMBER(SEARCH("Aplicar",$R804))+ISNUMBER(SEARCH("Razonar",$R804))),0)</f>
        <v>0.5</v>
      </c>
      <c r="V804" t="s" s="35">
        <v>91</v>
      </c>
      <c r="W804" t="s" s="35">
        <v>119</v>
      </c>
      <c r="X804" s="36" cm="1">
        <f t="array" ref="X804">IF(OR(_xlfn.IFERROR(INDEX('Datos - Catálogo TIMSS'!$I$5:$I$107,MATCH(K804,'Datos - Catálogo TIMSS'!$A$5:$A$107,0)),"No")="Sí",_xlfn.IFERROR(INDEX('Datos - Catálogo TIMSS'!$I$5:$I$107,MATCH(L804,'Datos - Catálogo TIMSS'!$A$5:$A$107,0)),"No")="Sí"),1,0)</f>
        <v>0</v>
      </c>
      <c r="Y804" s="36" cm="1">
        <f t="array" ref="Y804">IF(_xlfn.IFERROR(INDEX('Datos - Catálogo TIMSS'!$J$5:$J$107,MATCH(K804,'Datos - Catálogo TIMSS'!$A$5:$A$107,0)),"No")="Sí",1,0)</f>
        <v>0</v>
      </c>
      <c r="Z804" s="36" cm="1">
        <f t="array" ref="Z804">IF(_xlfn.IFERROR(INDEX('Datos - Catálogo TIMSS'!$J$5:$J$107,MATCH(L804,'Datos - Catálogo TIMSS'!$A$5:$A$107,0)),"No")="Sí",1,0)</f>
        <v>0</v>
      </c>
      <c r="AA804" t="s" s="35">
        <v>1343</v>
      </c>
      <c r="AB804" s="39"/>
      <c r="AC804" t="str" s="39">
        <v>Electricidad y magnetismo</v>
      </c>
      <c r="AD804" t="s" s="35">
        <v>1859</v>
      </c>
      <c r="AE804" t="str" s="39" cm="1">
        <f t="array" ref="AE804">IF(AD804="","",IF(LEFT(AD804,1)="1","C1",IF(LEFT(AD804,1)="2","C2",IF(LEFT(AD804,1)="3","C3",""))))</f>
        <v>C1</v>
      </c>
      <c r="AF804" t="s" s="35">
        <v>1615</v>
      </c>
      <c r="AG804" t="s" s="35">
        <v>1617</v>
      </c>
      <c r="AH804" t="s" s="35">
        <v>1605</v>
      </c>
      <c r="AI804" t="s" s="35">
        <v>1609</v>
      </c>
      <c r="AJ804" t="s" s="35">
        <v>1607</v>
      </c>
      <c r="AK804" s="39"/>
      <c r="AL804" s="39"/>
      <c r="AM804" s="39"/>
      <c r="AN804" s="39"/>
      <c r="AO804" s="39"/>
      <c r="AP804" s="39"/>
      <c r="AQ804" s="39"/>
      <c r="AR804" s="39"/>
      <c r="AS804" s="39"/>
      <c r="AT804" s="39"/>
      <c r="AU804" s="39"/>
      <c r="AV804" s="39"/>
      <c r="AW804" t="str" s="39" cm="1">
        <f t="array" ref="AW804">AF804&amp;"; "&amp;AG804&amp;"; "&amp;AH804&amp;"; "&amp;AI804&amp;"; "&amp;AJ804</f>
        <v>E6; D1; E2; E4; E3</v>
      </c>
    </row>
    <row r="805" ht="13.65" customHeight="1">
      <c r="A805" t="s" s="35">
        <v>5724</v>
      </c>
      <c r="B805" s="36">
        <v>11</v>
      </c>
      <c r="C805" t="s" s="35">
        <v>222</v>
      </c>
      <c r="D805" t="s" s="35">
        <v>4800</v>
      </c>
      <c r="E805" t="s" s="35">
        <v>5427</v>
      </c>
      <c r="F805" s="36">
        <v>60</v>
      </c>
      <c r="G805" t="s" s="35">
        <v>5717</v>
      </c>
      <c r="H805" t="s" s="35">
        <v>5718</v>
      </c>
      <c r="I805" t="s" s="120">
        <v>5725</v>
      </c>
      <c r="J805" t="s" s="35">
        <v>1301</v>
      </c>
      <c r="K805" t="s" s="35">
        <v>1343</v>
      </c>
      <c r="L805" t="s" s="35">
        <v>1309</v>
      </c>
      <c r="M805" t="str" s="39">
        <v>Electricidad y magnetismo</v>
      </c>
      <c r="N805" t="str" s="39">
        <v>Magnetismo e inducción electromagnética</v>
      </c>
      <c r="O805" t="str" s="39" cm="1">
        <f t="array" ref="O805">IF(L805="","",_xlfn.IFERROR(INDEX('Datos - Catálogo TIMSS'!$C$5:$C$107,MATCH(L805,'Datos - Catálogo TIMSS'!$A$5:$A$107,0)),"?"))</f>
        <v>Mecánica y termodinámica</v>
      </c>
      <c r="P805" t="s" s="35">
        <v>254</v>
      </c>
      <c r="Q805" t="s" s="120">
        <v>5726</v>
      </c>
      <c r="R805" t="s" s="120">
        <v>5727</v>
      </c>
      <c r="S805" s="121" cm="1">
        <f t="array" ref="S805">_xlfn.IFERROR(ISNUMBER(SEARCH("Conocer",$R805))/(ISNUMBER(SEARCH("Conocer",$R805))+ISNUMBER(SEARCH("Aplicar",$R805))+ISNUMBER(SEARCH("Razonar",$R805))),0)</f>
        <v>0</v>
      </c>
      <c r="T805" s="121" cm="1">
        <f t="array" ref="T805">_xlfn.IFERROR(ISNUMBER(SEARCH("Aplicar",$R805))/(ISNUMBER(SEARCH("Conocer",$R805))+ISNUMBER(SEARCH("Aplicar",$R805))+ISNUMBER(SEARCH("Razonar",$R805))),0)</f>
        <v>0.5</v>
      </c>
      <c r="U805" s="121" cm="1">
        <f t="array" ref="U805">_xlfn.IFERROR(ISNUMBER(SEARCH("Razonar",$R805))/(ISNUMBER(SEARCH("Conocer",$R805))+ISNUMBER(SEARCH("Aplicar",$R805))+ISNUMBER(SEARCH("Razonar",$R805))),0)</f>
        <v>0.5</v>
      </c>
      <c r="V805" t="s" s="35">
        <v>91</v>
      </c>
      <c r="W805" t="s" s="35">
        <v>119</v>
      </c>
      <c r="X805" s="36" cm="1">
        <f t="array" ref="X805">IF(OR(_xlfn.IFERROR(INDEX('Datos - Catálogo TIMSS'!$I$5:$I$107,MATCH(K805,'Datos - Catálogo TIMSS'!$A$5:$A$107,0)),"No")="Sí",_xlfn.IFERROR(INDEX('Datos - Catálogo TIMSS'!$I$5:$I$107,MATCH(L805,'Datos - Catálogo TIMSS'!$A$5:$A$107,0)),"No")="Sí"),1,0)</f>
        <v>0</v>
      </c>
      <c r="Y805" s="36" cm="1">
        <f t="array" ref="Y805">IF(_xlfn.IFERROR(INDEX('Datos - Catálogo TIMSS'!$J$5:$J$107,MATCH(K805,'Datos - Catálogo TIMSS'!$A$5:$A$107,0)),"No")="Sí",1,0)</f>
        <v>0</v>
      </c>
      <c r="Z805" s="36" cm="1">
        <f t="array" ref="Z805">IF(_xlfn.IFERROR(INDEX('Datos - Catálogo TIMSS'!$J$5:$J$107,MATCH(L805,'Datos - Catálogo TIMSS'!$A$5:$A$107,0)),"No")="Sí",1,0)</f>
        <v>0</v>
      </c>
      <c r="AA805" t="s" s="35">
        <v>1343</v>
      </c>
      <c r="AB805" t="s" s="35">
        <v>1309</v>
      </c>
      <c r="AC805" t="str" s="39">
        <v>Electricidad y magnetismo</v>
      </c>
      <c r="AD805" t="s" s="35">
        <v>1859</v>
      </c>
      <c r="AE805" t="str" s="39" cm="1">
        <f t="array" ref="AE805">IF(AD805="","",IF(LEFT(AD805,1)="1","C1",IF(LEFT(AD805,1)="2","C2",IF(LEFT(AD805,1)="3","C3",""))))</f>
        <v>C1</v>
      </c>
      <c r="AF805" t="s" s="35">
        <v>1602</v>
      </c>
      <c r="AG805" t="s" s="35">
        <v>1607</v>
      </c>
      <c r="AH805" t="s" s="35">
        <v>1609</v>
      </c>
      <c r="AI805" t="s" s="35">
        <v>1623</v>
      </c>
      <c r="AJ805" t="s" s="35">
        <v>1607</v>
      </c>
      <c r="AK805" s="39"/>
      <c r="AL805" s="39"/>
      <c r="AM805" s="39"/>
      <c r="AN805" s="39"/>
      <c r="AO805" s="39"/>
      <c r="AP805" s="39"/>
      <c r="AQ805" s="39"/>
      <c r="AR805" s="39"/>
      <c r="AS805" s="39"/>
      <c r="AT805" s="39"/>
      <c r="AU805" s="39"/>
      <c r="AV805" s="39"/>
      <c r="AW805" t="str" s="39" cm="1">
        <f t="array" ref="AW805">AF805&amp;"; "&amp;AG805&amp;"; "&amp;AH805&amp;"; "&amp;AI805&amp;"; "&amp;AJ805</f>
        <v>E1; E3; E4; D4; E3</v>
      </c>
    </row>
    <row r="806" ht="13.65" customHeight="1">
      <c r="A806" t="s" s="35">
        <v>5728</v>
      </c>
      <c r="B806" s="36">
        <v>11</v>
      </c>
      <c r="C806" t="s" s="35">
        <v>222</v>
      </c>
      <c r="D806" t="s" s="35">
        <v>4800</v>
      </c>
      <c r="E806" t="s" s="35">
        <v>5427</v>
      </c>
      <c r="F806" s="36">
        <v>61</v>
      </c>
      <c r="G806" t="s" s="35">
        <v>5717</v>
      </c>
      <c r="H806" t="s" s="35">
        <v>5718</v>
      </c>
      <c r="I806" t="s" s="120">
        <v>5729</v>
      </c>
      <c r="J806" t="s" s="35">
        <v>1301</v>
      </c>
      <c r="K806" t="s" s="35">
        <v>1343</v>
      </c>
      <c r="L806" s="39"/>
      <c r="M806" t="str" s="39">
        <v>Electricidad y magnetismo</v>
      </c>
      <c r="N806" t="str" s="39">
        <v>Magnetismo e inducción electromagnética</v>
      </c>
      <c r="O806" t="str" s="39" cm="1">
        <f t="array" ref="O806">IF(L806="","",_xlfn.IFERROR(INDEX('Datos - Catálogo TIMSS'!$C$5:$C$107,MATCH(L806,'Datos - Catálogo TIMSS'!$A$5:$A$107,0)),"?"))</f>
      </c>
      <c r="P806" t="s" s="35">
        <v>254</v>
      </c>
      <c r="Q806" t="s" s="120">
        <v>5730</v>
      </c>
      <c r="R806" t="s" s="120">
        <v>5731</v>
      </c>
      <c r="S806" s="121" cm="1">
        <f t="array" ref="S806">_xlfn.IFERROR(ISNUMBER(SEARCH("Conocer",$R806))/(ISNUMBER(SEARCH("Conocer",$R806))+ISNUMBER(SEARCH("Aplicar",$R806))+ISNUMBER(SEARCH("Razonar",$R806))),0)</f>
        <v>0</v>
      </c>
      <c r="T806" s="121" cm="1">
        <f t="array" ref="T806">_xlfn.IFERROR(ISNUMBER(SEARCH("Aplicar",$R806))/(ISNUMBER(SEARCH("Conocer",$R806))+ISNUMBER(SEARCH("Aplicar",$R806))+ISNUMBER(SEARCH("Razonar",$R806))),0)</f>
        <v>0.5</v>
      </c>
      <c r="U806" s="121" cm="1">
        <f t="array" ref="U806">_xlfn.IFERROR(ISNUMBER(SEARCH("Razonar",$R806))/(ISNUMBER(SEARCH("Conocer",$R806))+ISNUMBER(SEARCH("Aplicar",$R806))+ISNUMBER(SEARCH("Razonar",$R806))),0)</f>
        <v>0.5</v>
      </c>
      <c r="V806" t="s" s="35">
        <v>91</v>
      </c>
      <c r="W806" t="s" s="35">
        <v>119</v>
      </c>
      <c r="X806" s="36" cm="1">
        <f t="array" ref="X806">IF(OR(_xlfn.IFERROR(INDEX('Datos - Catálogo TIMSS'!$I$5:$I$107,MATCH(K806,'Datos - Catálogo TIMSS'!$A$5:$A$107,0)),"No")="Sí",_xlfn.IFERROR(INDEX('Datos - Catálogo TIMSS'!$I$5:$I$107,MATCH(L806,'Datos - Catálogo TIMSS'!$A$5:$A$107,0)),"No")="Sí"),1,0)</f>
        <v>0</v>
      </c>
      <c r="Y806" s="36" cm="1">
        <f t="array" ref="Y806">IF(_xlfn.IFERROR(INDEX('Datos - Catálogo TIMSS'!$J$5:$J$107,MATCH(K806,'Datos - Catálogo TIMSS'!$A$5:$A$107,0)),"No")="Sí",1,0)</f>
        <v>0</v>
      </c>
      <c r="Z806" s="36" cm="1">
        <f t="array" ref="Z806">IF(_xlfn.IFERROR(INDEX('Datos - Catálogo TIMSS'!$J$5:$J$107,MATCH(L806,'Datos - Catálogo TIMSS'!$A$5:$A$107,0)),"No")="Sí",1,0)</f>
        <v>0</v>
      </c>
      <c r="AA806" t="s" s="35">
        <v>1343</v>
      </c>
      <c r="AB806" s="39"/>
      <c r="AC806" t="str" s="39">
        <v>Electricidad y magnetismo</v>
      </c>
      <c r="AD806" t="s" s="35">
        <v>1900</v>
      </c>
      <c r="AE806" t="str" s="39" cm="1">
        <f t="array" ref="AE806">IF(AD806="","",IF(LEFT(AD806,1)="1","C1",IF(LEFT(AD806,1)="2","C2",IF(LEFT(AD806,1)="3","C3",""))))</f>
        <v>C3</v>
      </c>
      <c r="AF806" t="s" s="35">
        <v>1615</v>
      </c>
      <c r="AG806" t="s" s="35">
        <v>1612</v>
      </c>
      <c r="AH806" t="s" s="35">
        <v>1602</v>
      </c>
      <c r="AI806" t="s" s="35">
        <v>1625</v>
      </c>
      <c r="AJ806" t="s" s="35">
        <v>1633</v>
      </c>
      <c r="AK806" s="39"/>
      <c r="AL806" s="39"/>
      <c r="AM806" s="39"/>
      <c r="AN806" s="39"/>
      <c r="AO806" s="39"/>
      <c r="AP806" s="39"/>
      <c r="AQ806" s="39"/>
      <c r="AR806" s="39"/>
      <c r="AS806" s="39"/>
      <c r="AT806" s="39"/>
      <c r="AU806" s="39"/>
      <c r="AV806" s="39"/>
      <c r="AW806" t="str" s="39" cm="1">
        <f t="array" ref="AW806">AF806&amp;"; "&amp;AG806&amp;"; "&amp;AH806&amp;"; "&amp;AI806&amp;"; "&amp;AJ806</f>
        <v>E6; E5; E1; I1; I5</v>
      </c>
    </row>
    <row r="807" ht="13.65" customHeight="1">
      <c r="A807" t="s" s="35">
        <v>5733</v>
      </c>
      <c r="B807" s="36">
        <v>11</v>
      </c>
      <c r="C807" t="s" s="35">
        <v>222</v>
      </c>
      <c r="D807" t="s" s="35">
        <v>4800</v>
      </c>
      <c r="E807" t="s" s="35">
        <v>5427</v>
      </c>
      <c r="F807" s="36">
        <v>62</v>
      </c>
      <c r="G807" t="s" s="35">
        <v>5717</v>
      </c>
      <c r="H807" t="s" s="35">
        <v>5734</v>
      </c>
      <c r="I807" t="s" s="120">
        <v>5735</v>
      </c>
      <c r="J807" t="s" s="35">
        <v>1301</v>
      </c>
      <c r="K807" t="s" s="35">
        <v>1343</v>
      </c>
      <c r="L807" t="s" s="35">
        <v>1347</v>
      </c>
      <c r="M807" t="str" s="39">
        <v>Electricidad y magnetismo</v>
      </c>
      <c r="N807" t="str" s="39">
        <v>Magnetismo e inducción electromagnética</v>
      </c>
      <c r="O807" t="str" s="39" cm="1">
        <f t="array" ref="O807">IF(L807="","",_xlfn.IFERROR(INDEX('Datos - Catálogo TIMSS'!$C$5:$C$107,MATCH(L807,'Datos - Catálogo TIMSS'!$A$5:$A$107,0)),"?"))</f>
        <v>Electricidad y magnetismo</v>
      </c>
      <c r="P807" t="s" s="35">
        <v>282</v>
      </c>
      <c r="Q807" t="s" s="120">
        <v>5736</v>
      </c>
      <c r="R807" t="s" s="120">
        <v>5737</v>
      </c>
      <c r="S807" s="121" cm="1">
        <f t="array" ref="S807">_xlfn.IFERROR(ISNUMBER(SEARCH("Conocer",$R807))/(ISNUMBER(SEARCH("Conocer",$R807))+ISNUMBER(SEARCH("Aplicar",$R807))+ISNUMBER(SEARCH("Razonar",$R807))),0)</f>
        <v>0</v>
      </c>
      <c r="T807" s="121" cm="1">
        <f t="array" ref="T807">_xlfn.IFERROR(ISNUMBER(SEARCH("Aplicar",$R807))/(ISNUMBER(SEARCH("Conocer",$R807))+ISNUMBER(SEARCH("Aplicar",$R807))+ISNUMBER(SEARCH("Razonar",$R807))),0)</f>
        <v>0.5</v>
      </c>
      <c r="U807" s="121" cm="1">
        <f t="array" ref="U807">_xlfn.IFERROR(ISNUMBER(SEARCH("Razonar",$R807))/(ISNUMBER(SEARCH("Conocer",$R807))+ISNUMBER(SEARCH("Aplicar",$R807))+ISNUMBER(SEARCH("Razonar",$R807))),0)</f>
        <v>0.5</v>
      </c>
      <c r="V807" t="s" s="35">
        <v>91</v>
      </c>
      <c r="W807" t="s" s="35">
        <v>119</v>
      </c>
      <c r="X807" s="36" cm="1">
        <f t="array" ref="X807">IF(OR(_xlfn.IFERROR(INDEX('Datos - Catálogo TIMSS'!$I$5:$I$107,MATCH(K807,'Datos - Catálogo TIMSS'!$A$5:$A$107,0)),"No")="Sí",_xlfn.IFERROR(INDEX('Datos - Catálogo TIMSS'!$I$5:$I$107,MATCH(L807,'Datos - Catálogo TIMSS'!$A$5:$A$107,0)),"No")="Sí"),1,0)</f>
        <v>0</v>
      </c>
      <c r="Y807" s="36" cm="1">
        <f t="array" ref="Y807">IF(_xlfn.IFERROR(INDEX('Datos - Catálogo TIMSS'!$J$5:$J$107,MATCH(K807,'Datos - Catálogo TIMSS'!$A$5:$A$107,0)),"No")="Sí",1,0)</f>
        <v>0</v>
      </c>
      <c r="Z807" s="36" cm="1">
        <f t="array" ref="Z807">IF(_xlfn.IFERROR(INDEX('Datos - Catálogo TIMSS'!$J$5:$J$107,MATCH(L807,'Datos - Catálogo TIMSS'!$A$5:$A$107,0)),"No")="Sí",1,0)</f>
        <v>0</v>
      </c>
      <c r="AA807" t="s" s="35">
        <v>1343</v>
      </c>
      <c r="AB807" t="s" s="35">
        <v>1347</v>
      </c>
      <c r="AC807" t="str" s="39">
        <v>Electricidad y magnetismo</v>
      </c>
      <c r="AD807" t="s" s="35">
        <v>1834</v>
      </c>
      <c r="AE807" t="str" s="39" cm="1">
        <f t="array" ref="AE807">IF(AD807="","",IF(LEFT(AD807,1)="1","C1",IF(LEFT(AD807,1)="2","C2",IF(LEFT(AD807,1)="3","C3",""))))</f>
        <v>C2</v>
      </c>
      <c r="AF807" t="s" s="35">
        <v>1602</v>
      </c>
      <c r="AG807" t="s" s="35">
        <v>1612</v>
      </c>
      <c r="AH807" t="s" s="35">
        <v>1602</v>
      </c>
      <c r="AI807" t="s" s="35">
        <v>1619</v>
      </c>
      <c r="AJ807" t="s" s="35">
        <v>1621</v>
      </c>
      <c r="AK807" s="39"/>
      <c r="AL807" s="39"/>
      <c r="AM807" s="39"/>
      <c r="AN807" s="39"/>
      <c r="AO807" s="39"/>
      <c r="AP807" s="39"/>
      <c r="AQ807" s="39"/>
      <c r="AR807" s="39"/>
      <c r="AS807" s="39"/>
      <c r="AT807" s="39"/>
      <c r="AU807" s="39"/>
      <c r="AV807" s="39"/>
      <c r="AW807" t="str" s="39" cm="1">
        <f t="array" ref="AW807">AF807&amp;"; "&amp;AG807&amp;"; "&amp;AH807&amp;"; "&amp;AI807&amp;"; "&amp;AJ807</f>
        <v>E1; E5; E1; D2; D3</v>
      </c>
    </row>
    <row r="808" ht="13.65" customHeight="1">
      <c r="A808" t="s" s="35">
        <v>5738</v>
      </c>
      <c r="B808" s="36">
        <v>11</v>
      </c>
      <c r="C808" t="s" s="35">
        <v>222</v>
      </c>
      <c r="D808" t="s" s="35">
        <v>4800</v>
      </c>
      <c r="E808" t="s" s="35">
        <v>5427</v>
      </c>
      <c r="F808" s="36">
        <v>63</v>
      </c>
      <c r="G808" t="s" s="35">
        <v>5717</v>
      </c>
      <c r="H808" t="s" s="35">
        <v>5734</v>
      </c>
      <c r="I808" t="s" s="120">
        <v>5739</v>
      </c>
      <c r="J808" t="s" s="35">
        <v>1301</v>
      </c>
      <c r="K808" t="s" s="35">
        <v>1347</v>
      </c>
      <c r="L808" t="s" s="35">
        <v>1343</v>
      </c>
      <c r="M808" t="str" s="39">
        <v>Electricidad y magnetismo</v>
      </c>
      <c r="N808" t="str" s="39">
        <v>Magnetismo e inducción electromagnética</v>
      </c>
      <c r="O808" t="str" s="39" cm="1">
        <f t="array" ref="O808">IF(L808="","",_xlfn.IFERROR(INDEX('Datos - Catálogo TIMSS'!$C$5:$C$107,MATCH(L808,'Datos - Catálogo TIMSS'!$A$5:$A$107,0)),"?"))</f>
        <v>Electricidad y magnetismo</v>
      </c>
      <c r="P808" t="s" s="35">
        <v>282</v>
      </c>
      <c r="Q808" t="s" s="120">
        <v>5740</v>
      </c>
      <c r="R808" t="s" s="120">
        <v>5741</v>
      </c>
      <c r="S808" s="121" cm="1">
        <f t="array" ref="S808">_xlfn.IFERROR(ISNUMBER(SEARCH("Conocer",$R808))/(ISNUMBER(SEARCH("Conocer",$R808))+ISNUMBER(SEARCH("Aplicar",$R808))+ISNUMBER(SEARCH("Razonar",$R808))),0)</f>
        <v>0</v>
      </c>
      <c r="T808" s="121" cm="1">
        <f t="array" ref="T808">_xlfn.IFERROR(ISNUMBER(SEARCH("Aplicar",$R808))/(ISNUMBER(SEARCH("Conocer",$R808))+ISNUMBER(SEARCH("Aplicar",$R808))+ISNUMBER(SEARCH("Razonar",$R808))),0)</f>
        <v>0.5</v>
      </c>
      <c r="U808" s="121" cm="1">
        <f t="array" ref="U808">_xlfn.IFERROR(ISNUMBER(SEARCH("Razonar",$R808))/(ISNUMBER(SEARCH("Conocer",$R808))+ISNUMBER(SEARCH("Aplicar",$R808))+ISNUMBER(SEARCH("Razonar",$R808))),0)</f>
        <v>0.5</v>
      </c>
      <c r="V808" t="s" s="35">
        <v>91</v>
      </c>
      <c r="W808" t="s" s="35">
        <v>119</v>
      </c>
      <c r="X808" s="36" cm="1">
        <f t="array" ref="X808">IF(OR(_xlfn.IFERROR(INDEX('Datos - Catálogo TIMSS'!$I$5:$I$107,MATCH(K808,'Datos - Catálogo TIMSS'!$A$5:$A$107,0)),"No")="Sí",_xlfn.IFERROR(INDEX('Datos - Catálogo TIMSS'!$I$5:$I$107,MATCH(L808,'Datos - Catálogo TIMSS'!$A$5:$A$107,0)),"No")="Sí"),1,0)</f>
        <v>0</v>
      </c>
      <c r="Y808" s="36" cm="1">
        <f t="array" ref="Y808">IF(_xlfn.IFERROR(INDEX('Datos - Catálogo TIMSS'!$J$5:$J$107,MATCH(K808,'Datos - Catálogo TIMSS'!$A$5:$A$107,0)),"No")="Sí",1,0)</f>
        <v>0</v>
      </c>
      <c r="Z808" s="36" cm="1">
        <f t="array" ref="Z808">IF(_xlfn.IFERROR(INDEX('Datos - Catálogo TIMSS'!$J$5:$J$107,MATCH(L808,'Datos - Catálogo TIMSS'!$A$5:$A$107,0)),"No")="Sí",1,0)</f>
        <v>0</v>
      </c>
      <c r="AA808" t="s" s="35">
        <v>1347</v>
      </c>
      <c r="AB808" t="s" s="35">
        <v>1343</v>
      </c>
      <c r="AC808" t="str" s="39">
        <v>Electricidad y magnetismo</v>
      </c>
      <c r="AD808" t="s" s="35">
        <v>1859</v>
      </c>
      <c r="AE808" t="str" s="39" cm="1">
        <f t="array" ref="AE808">IF(AD808="","",IF(LEFT(AD808,1)="1","C1",IF(LEFT(AD808,1)="2","C2",IF(LEFT(AD808,1)="3","C3",""))))</f>
        <v>C1</v>
      </c>
      <c r="AF808" t="s" s="35">
        <v>1602</v>
      </c>
      <c r="AG808" t="s" s="35">
        <v>1617</v>
      </c>
      <c r="AH808" t="s" s="35">
        <v>1605</v>
      </c>
      <c r="AI808" t="s" s="35">
        <v>1623</v>
      </c>
      <c r="AJ808" t="s" s="35">
        <v>1615</v>
      </c>
      <c r="AK808" s="39"/>
      <c r="AL808" s="39"/>
      <c r="AM808" s="39"/>
      <c r="AN808" s="39"/>
      <c r="AO808" s="39"/>
      <c r="AP808" s="39"/>
      <c r="AQ808" s="39"/>
      <c r="AR808" s="39"/>
      <c r="AS808" s="39"/>
      <c r="AT808" s="39"/>
      <c r="AU808" s="39"/>
      <c r="AV808" s="39"/>
      <c r="AW808" t="str" s="39" cm="1">
        <f t="array" ref="AW808">AF808&amp;"; "&amp;AG808&amp;"; "&amp;AH808&amp;"; "&amp;AI808&amp;"; "&amp;AJ808</f>
        <v>E1; D1; E2; D4; E6</v>
      </c>
    </row>
    <row r="809" ht="13.65" customHeight="1">
      <c r="A809" t="s" s="35">
        <v>5742</v>
      </c>
      <c r="B809" s="36">
        <v>11</v>
      </c>
      <c r="C809" t="s" s="35">
        <v>222</v>
      </c>
      <c r="D809" t="s" s="35">
        <v>4800</v>
      </c>
      <c r="E809" t="s" s="35">
        <v>5427</v>
      </c>
      <c r="F809" s="36">
        <v>64</v>
      </c>
      <c r="G809" t="s" s="35">
        <v>5743</v>
      </c>
      <c r="H809" t="s" s="35">
        <v>5744</v>
      </c>
      <c r="I809" t="s" s="120">
        <v>5745</v>
      </c>
      <c r="J809" t="s" s="35">
        <v>1301</v>
      </c>
      <c r="K809" t="s" s="35">
        <v>1347</v>
      </c>
      <c r="L809" s="39"/>
      <c r="M809" t="str" s="39">
        <v>Electricidad y magnetismo</v>
      </c>
      <c r="N809" t="str" s="39">
        <v>Magnetismo e inducción electromagnética</v>
      </c>
      <c r="O809" t="str" s="39" cm="1">
        <f t="array" ref="O809">IF(L809="","",_xlfn.IFERROR(INDEX('Datos - Catálogo TIMSS'!$C$5:$C$107,MATCH(L809,'Datos - Catálogo TIMSS'!$A$5:$A$107,0)),"?"))</f>
      </c>
      <c r="P809" t="s" s="35">
        <v>282</v>
      </c>
      <c r="Q809" t="s" s="120">
        <v>5746</v>
      </c>
      <c r="R809" t="s" s="120">
        <v>5747</v>
      </c>
      <c r="S809" s="121" cm="1">
        <f t="array" ref="S809">_xlfn.IFERROR(ISNUMBER(SEARCH("Conocer",$R809))/(ISNUMBER(SEARCH("Conocer",$R809))+ISNUMBER(SEARCH("Aplicar",$R809))+ISNUMBER(SEARCH("Razonar",$R809))),0)</f>
        <v>0.333333333333333</v>
      </c>
      <c r="T809" s="121" cm="1">
        <f t="array" ref="T809">_xlfn.IFERROR(ISNUMBER(SEARCH("Aplicar",$R809))/(ISNUMBER(SEARCH("Conocer",$R809))+ISNUMBER(SEARCH("Aplicar",$R809))+ISNUMBER(SEARCH("Razonar",$R809))),0)</f>
        <v>0.333333333333333</v>
      </c>
      <c r="U809" s="121" cm="1">
        <f t="array" ref="U809">_xlfn.IFERROR(ISNUMBER(SEARCH("Razonar",$R809))/(ISNUMBER(SEARCH("Conocer",$R809))+ISNUMBER(SEARCH("Aplicar",$R809))+ISNUMBER(SEARCH("Razonar",$R809))),0)</f>
        <v>0.333333333333333</v>
      </c>
      <c r="V809" t="s" s="35">
        <v>91</v>
      </c>
      <c r="W809" t="s" s="35">
        <v>119</v>
      </c>
      <c r="X809" s="36" cm="1">
        <f t="array" ref="X809">IF(OR(_xlfn.IFERROR(INDEX('Datos - Catálogo TIMSS'!$I$5:$I$107,MATCH(K809,'Datos - Catálogo TIMSS'!$A$5:$A$107,0)),"No")="Sí",_xlfn.IFERROR(INDEX('Datos - Catálogo TIMSS'!$I$5:$I$107,MATCH(L809,'Datos - Catálogo TIMSS'!$A$5:$A$107,0)),"No")="Sí"),1,0)</f>
        <v>0</v>
      </c>
      <c r="Y809" s="36" cm="1">
        <f t="array" ref="Y809">IF(_xlfn.IFERROR(INDEX('Datos - Catálogo TIMSS'!$J$5:$J$107,MATCH(K809,'Datos - Catálogo TIMSS'!$A$5:$A$107,0)),"No")="Sí",1,0)</f>
        <v>0</v>
      </c>
      <c r="Z809" s="36" cm="1">
        <f t="array" ref="Z809">IF(_xlfn.IFERROR(INDEX('Datos - Catálogo TIMSS'!$J$5:$J$107,MATCH(L809,'Datos - Catálogo TIMSS'!$A$5:$A$107,0)),"No")="Sí",1,0)</f>
        <v>0</v>
      </c>
      <c r="AA809" t="s" s="35">
        <v>1347</v>
      </c>
      <c r="AB809" s="39"/>
      <c r="AC809" t="str" s="39">
        <v>Electricidad y magnetismo</v>
      </c>
      <c r="AD809" t="s" s="35">
        <v>1859</v>
      </c>
      <c r="AE809" t="str" s="39" cm="1">
        <f t="array" ref="AE809">IF(AD809="","",IF(LEFT(AD809,1)="1","C1",IF(LEFT(AD809,1)="2","C2",IF(LEFT(AD809,1)="3","C3",""))))</f>
        <v>C1</v>
      </c>
      <c r="AF809" t="s" s="35">
        <v>1615</v>
      </c>
      <c r="AG809" t="s" s="35">
        <v>1617</v>
      </c>
      <c r="AH809" t="s" s="35">
        <v>1605</v>
      </c>
      <c r="AI809" t="s" s="35">
        <v>1609</v>
      </c>
      <c r="AJ809" t="s" s="35">
        <v>1607</v>
      </c>
      <c r="AK809" s="39"/>
      <c r="AL809" s="39"/>
      <c r="AM809" s="39"/>
      <c r="AN809" s="39"/>
      <c r="AO809" s="39"/>
      <c r="AP809" s="39"/>
      <c r="AQ809" s="39"/>
      <c r="AR809" s="39"/>
      <c r="AS809" s="39"/>
      <c r="AT809" s="39"/>
      <c r="AU809" s="39"/>
      <c r="AV809" s="39"/>
      <c r="AW809" t="str" s="39" cm="1">
        <f t="array" ref="AW809">AF809&amp;"; "&amp;AG809&amp;"; "&amp;AH809&amp;"; "&amp;AI809&amp;"; "&amp;AJ809</f>
        <v>E6; D1; E2; E4; E3</v>
      </c>
    </row>
    <row r="810" ht="13.65" customHeight="1">
      <c r="A810" t="s" s="35">
        <v>5748</v>
      </c>
      <c r="B810" s="36">
        <v>11</v>
      </c>
      <c r="C810" t="s" s="35">
        <v>222</v>
      </c>
      <c r="D810" t="s" s="35">
        <v>4800</v>
      </c>
      <c r="E810" t="s" s="35">
        <v>5427</v>
      </c>
      <c r="F810" s="36">
        <v>65</v>
      </c>
      <c r="G810" t="s" s="35">
        <v>5743</v>
      </c>
      <c r="H810" t="s" s="35">
        <v>5744</v>
      </c>
      <c r="I810" t="s" s="120">
        <v>5749</v>
      </c>
      <c r="J810" t="s" s="35">
        <v>1301</v>
      </c>
      <c r="K810" t="s" s="35">
        <v>1347</v>
      </c>
      <c r="L810" s="39"/>
      <c r="M810" t="str" s="39">
        <v>Electricidad y magnetismo</v>
      </c>
      <c r="N810" t="str" s="39">
        <v>Magnetismo e inducción electromagnética</v>
      </c>
      <c r="O810" t="str" s="39" cm="1">
        <f t="array" ref="O810">IF(L810="","",_xlfn.IFERROR(INDEX('Datos - Catálogo TIMSS'!$C$5:$C$107,MATCH(L810,'Datos - Catálogo TIMSS'!$A$5:$A$107,0)),"?"))</f>
      </c>
      <c r="P810" t="s" s="35">
        <v>254</v>
      </c>
      <c r="Q810" t="s" s="120">
        <v>5750</v>
      </c>
      <c r="R810" t="s" s="120">
        <v>5751</v>
      </c>
      <c r="S810" s="121" cm="1">
        <f t="array" ref="S810">_xlfn.IFERROR(ISNUMBER(SEARCH("Conocer",$R810))/(ISNUMBER(SEARCH("Conocer",$R810))+ISNUMBER(SEARCH("Aplicar",$R810))+ISNUMBER(SEARCH("Razonar",$R810))),0)</f>
        <v>0</v>
      </c>
      <c r="T810" s="121" cm="1">
        <f t="array" ref="T810">_xlfn.IFERROR(ISNUMBER(SEARCH("Aplicar",$R810))/(ISNUMBER(SEARCH("Conocer",$R810))+ISNUMBER(SEARCH("Aplicar",$R810))+ISNUMBER(SEARCH("Razonar",$R810))),0)</f>
        <v>0.5</v>
      </c>
      <c r="U810" s="121" cm="1">
        <f t="array" ref="U810">_xlfn.IFERROR(ISNUMBER(SEARCH("Razonar",$R810))/(ISNUMBER(SEARCH("Conocer",$R810))+ISNUMBER(SEARCH("Aplicar",$R810))+ISNUMBER(SEARCH("Razonar",$R810))),0)</f>
        <v>0.5</v>
      </c>
      <c r="V810" t="s" s="35">
        <v>91</v>
      </c>
      <c r="W810" t="s" s="35">
        <v>119</v>
      </c>
      <c r="X810" s="36" cm="1">
        <f t="array" ref="X810">IF(OR(_xlfn.IFERROR(INDEX('Datos - Catálogo TIMSS'!$I$5:$I$107,MATCH(K810,'Datos - Catálogo TIMSS'!$A$5:$A$107,0)),"No")="Sí",_xlfn.IFERROR(INDEX('Datos - Catálogo TIMSS'!$I$5:$I$107,MATCH(L810,'Datos - Catálogo TIMSS'!$A$5:$A$107,0)),"No")="Sí"),1,0)</f>
        <v>0</v>
      </c>
      <c r="Y810" s="36" cm="1">
        <f t="array" ref="Y810">IF(_xlfn.IFERROR(INDEX('Datos - Catálogo TIMSS'!$J$5:$J$107,MATCH(K810,'Datos - Catálogo TIMSS'!$A$5:$A$107,0)),"No")="Sí",1,0)</f>
        <v>0</v>
      </c>
      <c r="Z810" s="36" cm="1">
        <f t="array" ref="Z810">IF(_xlfn.IFERROR(INDEX('Datos - Catálogo TIMSS'!$J$5:$J$107,MATCH(L810,'Datos - Catálogo TIMSS'!$A$5:$A$107,0)),"No")="Sí",1,0)</f>
        <v>0</v>
      </c>
      <c r="AA810" t="s" s="35">
        <v>1347</v>
      </c>
      <c r="AB810" s="39"/>
      <c r="AC810" t="str" s="39">
        <v>Electricidad y magnetismo</v>
      </c>
      <c r="AD810" t="s" s="35">
        <v>1834</v>
      </c>
      <c r="AE810" t="str" s="39" cm="1">
        <f t="array" ref="AE810">IF(AD810="","",IF(LEFT(AD810,1)="1","C1",IF(LEFT(AD810,1)="2","C2",IF(LEFT(AD810,1)="3","C3",""))))</f>
        <v>C2</v>
      </c>
      <c r="AF810" t="s" s="35">
        <v>1602</v>
      </c>
      <c r="AG810" t="s" s="35">
        <v>1612</v>
      </c>
      <c r="AH810" t="s" s="35">
        <v>1602</v>
      </c>
      <c r="AI810" t="s" s="35">
        <v>1623</v>
      </c>
      <c r="AJ810" t="s" s="35">
        <v>1621</v>
      </c>
      <c r="AK810" s="39"/>
      <c r="AL810" s="39"/>
      <c r="AM810" s="39"/>
      <c r="AN810" s="39"/>
      <c r="AO810" s="39"/>
      <c r="AP810" s="39"/>
      <c r="AQ810" s="39"/>
      <c r="AR810" s="39"/>
      <c r="AS810" s="39"/>
      <c r="AT810" s="39"/>
      <c r="AU810" s="39"/>
      <c r="AV810" s="39"/>
      <c r="AW810" t="str" s="39" cm="1">
        <f t="array" ref="AW810">AF810&amp;"; "&amp;AG810&amp;"; "&amp;AH810&amp;"; "&amp;AI810&amp;"; "&amp;AJ810</f>
        <v>E1; E5; E1; D4; D3</v>
      </c>
    </row>
    <row r="811" ht="13.65" customHeight="1">
      <c r="A811" t="s" s="35">
        <v>5753</v>
      </c>
      <c r="B811" s="36">
        <v>11</v>
      </c>
      <c r="C811" t="s" s="35">
        <v>222</v>
      </c>
      <c r="D811" t="s" s="35">
        <v>4800</v>
      </c>
      <c r="E811" t="s" s="35">
        <v>5427</v>
      </c>
      <c r="F811" s="36">
        <v>66</v>
      </c>
      <c r="G811" t="s" s="35">
        <v>5743</v>
      </c>
      <c r="H811" t="s" s="35">
        <v>5754</v>
      </c>
      <c r="I811" t="s" s="120">
        <v>5755</v>
      </c>
      <c r="J811" t="s" s="35">
        <v>1301</v>
      </c>
      <c r="K811" t="s" s="35">
        <v>1347</v>
      </c>
      <c r="L811" s="39"/>
      <c r="M811" t="str" s="39">
        <v>Electricidad y magnetismo</v>
      </c>
      <c r="N811" t="str" s="39">
        <v>Magnetismo e inducción electromagnética</v>
      </c>
      <c r="O811" t="str" s="39" cm="1">
        <f t="array" ref="O811">IF(L811="","",_xlfn.IFERROR(INDEX('Datos - Catálogo TIMSS'!$C$5:$C$107,MATCH(L811,'Datos - Catálogo TIMSS'!$A$5:$A$107,0)),"?"))</f>
      </c>
      <c r="P811" t="s" s="35">
        <v>254</v>
      </c>
      <c r="Q811" t="s" s="120">
        <v>5756</v>
      </c>
      <c r="R811" t="s" s="120">
        <v>5757</v>
      </c>
      <c r="S811" s="121" cm="1">
        <f t="array" ref="S811">_xlfn.IFERROR(ISNUMBER(SEARCH("Conocer",$R811))/(ISNUMBER(SEARCH("Conocer",$R811))+ISNUMBER(SEARCH("Aplicar",$R811))+ISNUMBER(SEARCH("Razonar",$R811))),0)</f>
        <v>0</v>
      </c>
      <c r="T811" s="121" cm="1">
        <f t="array" ref="T811">_xlfn.IFERROR(ISNUMBER(SEARCH("Aplicar",$R811))/(ISNUMBER(SEARCH("Conocer",$R811))+ISNUMBER(SEARCH("Aplicar",$R811))+ISNUMBER(SEARCH("Razonar",$R811))),0)</f>
        <v>0.5</v>
      </c>
      <c r="U811" s="121" cm="1">
        <f t="array" ref="U811">_xlfn.IFERROR(ISNUMBER(SEARCH("Razonar",$R811))/(ISNUMBER(SEARCH("Conocer",$R811))+ISNUMBER(SEARCH("Aplicar",$R811))+ISNUMBER(SEARCH("Razonar",$R811))),0)</f>
        <v>0.5</v>
      </c>
      <c r="V811" t="s" s="35">
        <v>91</v>
      </c>
      <c r="W811" t="s" s="35">
        <v>119</v>
      </c>
      <c r="X811" s="36" cm="1">
        <f t="array" ref="X811">IF(OR(_xlfn.IFERROR(INDEX('Datos - Catálogo TIMSS'!$I$5:$I$107,MATCH(K811,'Datos - Catálogo TIMSS'!$A$5:$A$107,0)),"No")="Sí",_xlfn.IFERROR(INDEX('Datos - Catálogo TIMSS'!$I$5:$I$107,MATCH(L811,'Datos - Catálogo TIMSS'!$A$5:$A$107,0)),"No")="Sí"),1,0)</f>
        <v>0</v>
      </c>
      <c r="Y811" s="36" cm="1">
        <f t="array" ref="Y811">IF(_xlfn.IFERROR(INDEX('Datos - Catálogo TIMSS'!$J$5:$J$107,MATCH(K811,'Datos - Catálogo TIMSS'!$A$5:$A$107,0)),"No")="Sí",1,0)</f>
        <v>0</v>
      </c>
      <c r="Z811" s="36" cm="1">
        <f t="array" ref="Z811">IF(_xlfn.IFERROR(INDEX('Datos - Catálogo TIMSS'!$J$5:$J$107,MATCH(L811,'Datos - Catálogo TIMSS'!$A$5:$A$107,0)),"No")="Sí",1,0)</f>
        <v>0</v>
      </c>
      <c r="AA811" t="s" s="35">
        <v>1347</v>
      </c>
      <c r="AB811" s="39"/>
      <c r="AC811" t="str" s="39">
        <v>Electricidad y magnetismo</v>
      </c>
      <c r="AD811" t="s" s="35">
        <v>1859</v>
      </c>
      <c r="AE811" t="str" s="39" cm="1">
        <f t="array" ref="AE811">IF(AD811="","",IF(LEFT(AD811,1)="1","C1",IF(LEFT(AD811,1)="2","C2",IF(LEFT(AD811,1)="3","C3",""))))</f>
        <v>C1</v>
      </c>
      <c r="AF811" t="s" s="35">
        <v>1602</v>
      </c>
      <c r="AG811" t="s" s="35">
        <v>1607</v>
      </c>
      <c r="AH811" t="s" s="35">
        <v>1609</v>
      </c>
      <c r="AI811" t="s" s="35">
        <v>1623</v>
      </c>
      <c r="AJ811" t="s" s="35">
        <v>1631</v>
      </c>
      <c r="AK811" s="39"/>
      <c r="AL811" s="39"/>
      <c r="AM811" s="39"/>
      <c r="AN811" s="39"/>
      <c r="AO811" s="39"/>
      <c r="AP811" s="39"/>
      <c r="AQ811" s="39"/>
      <c r="AR811" s="39"/>
      <c r="AS811" s="39"/>
      <c r="AT811" s="39"/>
      <c r="AU811" s="39"/>
      <c r="AV811" s="39"/>
      <c r="AW811" t="str" s="39" cm="1">
        <f t="array" ref="AW811">AF811&amp;"; "&amp;AG811&amp;"; "&amp;AH811&amp;"; "&amp;AI811&amp;"; "&amp;AJ811</f>
        <v>E1; E3; E4; D4; I4</v>
      </c>
    </row>
    <row r="812" ht="13.65" customHeight="1">
      <c r="A812" t="s" s="35">
        <v>5759</v>
      </c>
      <c r="B812" s="36">
        <v>11</v>
      </c>
      <c r="C812" t="s" s="35">
        <v>222</v>
      </c>
      <c r="D812" t="s" s="35">
        <v>4800</v>
      </c>
      <c r="E812" t="s" s="35">
        <v>5427</v>
      </c>
      <c r="F812" s="36">
        <v>67</v>
      </c>
      <c r="G812" t="s" s="35">
        <v>5743</v>
      </c>
      <c r="H812" t="s" s="35">
        <v>5760</v>
      </c>
      <c r="I812" t="s" s="120">
        <v>5761</v>
      </c>
      <c r="J812" t="s" s="35">
        <v>1301</v>
      </c>
      <c r="K812" t="s" s="35">
        <v>1347</v>
      </c>
      <c r="L812" s="39"/>
      <c r="M812" t="str" s="39">
        <v>Electricidad y magnetismo</v>
      </c>
      <c r="N812" t="str" s="39">
        <v>Magnetismo e inducción electromagnética</v>
      </c>
      <c r="O812" t="str" s="39" cm="1">
        <f t="array" ref="O812">IF(L812="","",_xlfn.IFERROR(INDEX('Datos - Catálogo TIMSS'!$C$5:$C$107,MATCH(L812,'Datos - Catálogo TIMSS'!$A$5:$A$107,0)),"?"))</f>
      </c>
      <c r="P812" t="s" s="35">
        <v>291</v>
      </c>
      <c r="Q812" t="s" s="120">
        <v>5762</v>
      </c>
      <c r="R812" t="s" s="120">
        <v>5763</v>
      </c>
      <c r="S812" s="121" cm="1">
        <f t="array" ref="S812">_xlfn.IFERROR(ISNUMBER(SEARCH("Conocer",$R812))/(ISNUMBER(SEARCH("Conocer",$R812))+ISNUMBER(SEARCH("Aplicar",$R812))+ISNUMBER(SEARCH("Razonar",$R812))),0)</f>
        <v>0.333333333333333</v>
      </c>
      <c r="T812" s="121" cm="1">
        <f t="array" ref="T812">_xlfn.IFERROR(ISNUMBER(SEARCH("Aplicar",$R812))/(ISNUMBER(SEARCH("Conocer",$R812))+ISNUMBER(SEARCH("Aplicar",$R812))+ISNUMBER(SEARCH("Razonar",$R812))),0)</f>
        <v>0.333333333333333</v>
      </c>
      <c r="U812" s="121" cm="1">
        <f t="array" ref="U812">_xlfn.IFERROR(ISNUMBER(SEARCH("Razonar",$R812))/(ISNUMBER(SEARCH("Conocer",$R812))+ISNUMBER(SEARCH("Aplicar",$R812))+ISNUMBER(SEARCH("Razonar",$R812))),0)</f>
        <v>0.333333333333333</v>
      </c>
      <c r="V812" t="s" s="35">
        <v>91</v>
      </c>
      <c r="W812" t="s" s="35">
        <v>119</v>
      </c>
      <c r="X812" s="36" cm="1">
        <f t="array" ref="X812">IF(OR(_xlfn.IFERROR(INDEX('Datos - Catálogo TIMSS'!$I$5:$I$107,MATCH(K812,'Datos - Catálogo TIMSS'!$A$5:$A$107,0)),"No")="Sí",_xlfn.IFERROR(INDEX('Datos - Catálogo TIMSS'!$I$5:$I$107,MATCH(L812,'Datos - Catálogo TIMSS'!$A$5:$A$107,0)),"No")="Sí"),1,0)</f>
        <v>0</v>
      </c>
      <c r="Y812" s="36" cm="1">
        <f t="array" ref="Y812">IF(_xlfn.IFERROR(INDEX('Datos - Catálogo TIMSS'!$J$5:$J$107,MATCH(K812,'Datos - Catálogo TIMSS'!$A$5:$A$107,0)),"No")="Sí",1,0)</f>
        <v>0</v>
      </c>
      <c r="Z812" s="36" cm="1">
        <f t="array" ref="Z812">IF(_xlfn.IFERROR(INDEX('Datos - Catálogo TIMSS'!$J$5:$J$107,MATCH(L812,'Datos - Catálogo TIMSS'!$A$5:$A$107,0)),"No")="Sí",1,0)</f>
        <v>0</v>
      </c>
      <c r="AA812" t="s" s="35">
        <v>1347</v>
      </c>
      <c r="AB812" s="39"/>
      <c r="AC812" t="str" s="39">
        <v>Electricidad y magnetismo</v>
      </c>
      <c r="AD812" t="s" s="35">
        <v>1900</v>
      </c>
      <c r="AE812" t="str" s="39" cm="1">
        <f t="array" ref="AE812">IF(AD812="","",IF(LEFT(AD812,1)="1","C1",IF(LEFT(AD812,1)="2","C2",IF(LEFT(AD812,1)="3","C3",""))))</f>
        <v>C3</v>
      </c>
      <c r="AF812" t="s" s="35">
        <v>1602</v>
      </c>
      <c r="AG812" t="s" s="35">
        <v>1612</v>
      </c>
      <c r="AH812" t="s" s="35">
        <v>1609</v>
      </c>
      <c r="AI812" t="s" s="35">
        <v>1625</v>
      </c>
      <c r="AJ812" t="s" s="35">
        <v>1633</v>
      </c>
      <c r="AK812" s="39"/>
      <c r="AL812" s="39"/>
      <c r="AM812" s="39"/>
      <c r="AN812" s="39"/>
      <c r="AO812" s="39"/>
      <c r="AP812" s="39"/>
      <c r="AQ812" s="39"/>
      <c r="AR812" s="39"/>
      <c r="AS812" s="39"/>
      <c r="AT812" s="39"/>
      <c r="AU812" s="39"/>
      <c r="AV812" s="39"/>
      <c r="AW812" t="str" s="39" cm="1">
        <f t="array" ref="AW812">AF812&amp;"; "&amp;AG812&amp;"; "&amp;AH812&amp;"; "&amp;AI812&amp;"; "&amp;AJ812</f>
        <v>E1; E5; E4; I1; I5</v>
      </c>
    </row>
    <row r="813" ht="13.65" customHeight="1">
      <c r="A813" t="s" s="35">
        <v>5765</v>
      </c>
      <c r="B813" s="36">
        <v>11</v>
      </c>
      <c r="C813" t="s" s="35">
        <v>222</v>
      </c>
      <c r="D813" t="s" s="35">
        <v>4800</v>
      </c>
      <c r="E813" t="s" s="35">
        <v>5427</v>
      </c>
      <c r="F813" s="36">
        <v>68</v>
      </c>
      <c r="G813" t="s" s="35">
        <v>5766</v>
      </c>
      <c r="H813" t="s" s="35">
        <v>5767</v>
      </c>
      <c r="I813" t="s" s="120">
        <v>5768</v>
      </c>
      <c r="J813" t="s" s="35">
        <v>1301</v>
      </c>
      <c r="K813" t="s" s="35">
        <v>1350</v>
      </c>
      <c r="L813" s="39"/>
      <c r="M813" t="str" s="39">
        <v>Electricidad y magnetismo</v>
      </c>
      <c r="N813" t="str" s="39">
        <v>Magnetismo e inducción electromagnética</v>
      </c>
      <c r="O813" t="str" s="39" cm="1">
        <f t="array" ref="O813">IF(L813="","",_xlfn.IFERROR(INDEX('Datos - Catálogo TIMSS'!$C$5:$C$107,MATCH(L813,'Datos - Catálogo TIMSS'!$A$5:$A$107,0)),"?"))</f>
      </c>
      <c r="P813" t="s" s="35">
        <v>254</v>
      </c>
      <c r="Q813" t="s" s="120">
        <v>5769</v>
      </c>
      <c r="R813" t="s" s="120">
        <v>5770</v>
      </c>
      <c r="S813" s="121" cm="1">
        <f t="array" ref="S813">_xlfn.IFERROR(ISNUMBER(SEARCH("Conocer",$R813))/(ISNUMBER(SEARCH("Conocer",$R813))+ISNUMBER(SEARCH("Aplicar",$R813))+ISNUMBER(SEARCH("Razonar",$R813))),0)</f>
        <v>0</v>
      </c>
      <c r="T813" s="121" cm="1">
        <f t="array" ref="T813">_xlfn.IFERROR(ISNUMBER(SEARCH("Aplicar",$R813))/(ISNUMBER(SEARCH("Conocer",$R813))+ISNUMBER(SEARCH("Aplicar",$R813))+ISNUMBER(SEARCH("Razonar",$R813))),0)</f>
        <v>0.5</v>
      </c>
      <c r="U813" s="121" cm="1">
        <f t="array" ref="U813">_xlfn.IFERROR(ISNUMBER(SEARCH("Razonar",$R813))/(ISNUMBER(SEARCH("Conocer",$R813))+ISNUMBER(SEARCH("Aplicar",$R813))+ISNUMBER(SEARCH("Razonar",$R813))),0)</f>
        <v>0.5</v>
      </c>
      <c r="V813" t="s" s="35">
        <v>91</v>
      </c>
      <c r="W813" t="s" s="35">
        <v>119</v>
      </c>
      <c r="X813" s="36" cm="1">
        <f t="array" ref="X813">IF(OR(_xlfn.IFERROR(INDEX('Datos - Catálogo TIMSS'!$I$5:$I$107,MATCH(K813,'Datos - Catálogo TIMSS'!$A$5:$A$107,0)),"No")="Sí",_xlfn.IFERROR(INDEX('Datos - Catálogo TIMSS'!$I$5:$I$107,MATCH(L813,'Datos - Catálogo TIMSS'!$A$5:$A$107,0)),"No")="Sí"),1,0)</f>
        <v>0</v>
      </c>
      <c r="Y813" s="36" cm="1">
        <f t="array" ref="Y813">IF(_xlfn.IFERROR(INDEX('Datos - Catálogo TIMSS'!$J$5:$J$107,MATCH(K813,'Datos - Catálogo TIMSS'!$A$5:$A$107,0)),"No")="Sí",1,0)</f>
        <v>0</v>
      </c>
      <c r="Z813" s="36" cm="1">
        <f t="array" ref="Z813">IF(_xlfn.IFERROR(INDEX('Datos - Catálogo TIMSS'!$J$5:$J$107,MATCH(L813,'Datos - Catálogo TIMSS'!$A$5:$A$107,0)),"No")="Sí",1,0)</f>
        <v>0</v>
      </c>
      <c r="AA813" t="s" s="35">
        <v>1350</v>
      </c>
      <c r="AB813" s="39"/>
      <c r="AC813" t="str" s="39">
        <v>Electricidad y magnetismo</v>
      </c>
      <c r="AD813" t="s" s="35">
        <v>1859</v>
      </c>
      <c r="AE813" t="str" s="39" cm="1">
        <f t="array" ref="AE813">IF(AD813="","",IF(LEFT(AD813,1)="1","C1",IF(LEFT(AD813,1)="2","C2",IF(LEFT(AD813,1)="3","C3",""))))</f>
        <v>C1</v>
      </c>
      <c r="AF813" t="s" s="35">
        <v>1602</v>
      </c>
      <c r="AG813" t="s" s="35">
        <v>1617</v>
      </c>
      <c r="AH813" t="s" s="35">
        <v>1609</v>
      </c>
      <c r="AI813" t="s" s="35">
        <v>1623</v>
      </c>
      <c r="AJ813" t="s" s="35">
        <v>1615</v>
      </c>
      <c r="AK813" s="39"/>
      <c r="AL813" s="39"/>
      <c r="AM813" s="39"/>
      <c r="AN813" s="39"/>
      <c r="AO813" s="39"/>
      <c r="AP813" s="39"/>
      <c r="AQ813" s="39"/>
      <c r="AR813" s="39"/>
      <c r="AS813" s="39"/>
      <c r="AT813" s="39"/>
      <c r="AU813" s="39"/>
      <c r="AV813" s="39"/>
      <c r="AW813" t="str" s="39" cm="1">
        <f t="array" ref="AW813">AF813&amp;"; "&amp;AG813&amp;"; "&amp;AH813&amp;"; "&amp;AI813&amp;"; "&amp;AJ813</f>
        <v>E1; D1; E4; D4; E6</v>
      </c>
    </row>
    <row r="814" ht="13.65" customHeight="1">
      <c r="A814" t="s" s="35">
        <v>5771</v>
      </c>
      <c r="B814" s="36">
        <v>11</v>
      </c>
      <c r="C814" t="s" s="35">
        <v>222</v>
      </c>
      <c r="D814" t="s" s="35">
        <v>4800</v>
      </c>
      <c r="E814" t="s" s="35">
        <v>5427</v>
      </c>
      <c r="F814" s="36">
        <v>69</v>
      </c>
      <c r="G814" t="s" s="35">
        <v>5766</v>
      </c>
      <c r="H814" t="s" s="35">
        <v>5767</v>
      </c>
      <c r="I814" t="s" s="120">
        <v>5772</v>
      </c>
      <c r="J814" t="s" s="35">
        <v>1301</v>
      </c>
      <c r="K814" t="s" s="35">
        <v>1350</v>
      </c>
      <c r="L814" t="s" s="35">
        <v>1347</v>
      </c>
      <c r="M814" t="str" s="39">
        <v>Electricidad y magnetismo</v>
      </c>
      <c r="N814" t="str" s="39">
        <v>Magnetismo e inducción electromagnética</v>
      </c>
      <c r="O814" t="str" s="39" cm="1">
        <f t="array" ref="O814">IF(L814="","",_xlfn.IFERROR(INDEX('Datos - Catálogo TIMSS'!$C$5:$C$107,MATCH(L814,'Datos - Catálogo TIMSS'!$A$5:$A$107,0)),"?"))</f>
        <v>Electricidad y magnetismo</v>
      </c>
      <c r="P814" t="s" s="35">
        <v>282</v>
      </c>
      <c r="Q814" t="s" s="120">
        <v>5773</v>
      </c>
      <c r="R814" t="s" s="120">
        <v>5774</v>
      </c>
      <c r="S814" s="121" cm="1">
        <f t="array" ref="S814">_xlfn.IFERROR(ISNUMBER(SEARCH("Conocer",$R814))/(ISNUMBER(SEARCH("Conocer",$R814))+ISNUMBER(SEARCH("Aplicar",$R814))+ISNUMBER(SEARCH("Razonar",$R814))),0)</f>
        <v>0.5</v>
      </c>
      <c r="T814" s="121" cm="1">
        <f t="array" ref="T814">_xlfn.IFERROR(ISNUMBER(SEARCH("Aplicar",$R814))/(ISNUMBER(SEARCH("Conocer",$R814))+ISNUMBER(SEARCH("Aplicar",$R814))+ISNUMBER(SEARCH("Razonar",$R814))),0)</f>
        <v>0</v>
      </c>
      <c r="U814" s="121" cm="1">
        <f t="array" ref="U814">_xlfn.IFERROR(ISNUMBER(SEARCH("Razonar",$R814))/(ISNUMBER(SEARCH("Conocer",$R814))+ISNUMBER(SEARCH("Aplicar",$R814))+ISNUMBER(SEARCH("Razonar",$R814))),0)</f>
        <v>0.5</v>
      </c>
      <c r="V814" t="s" s="35">
        <v>91</v>
      </c>
      <c r="W814" t="s" s="35">
        <v>119</v>
      </c>
      <c r="X814" s="36" cm="1">
        <f t="array" ref="X814">IF(OR(_xlfn.IFERROR(INDEX('Datos - Catálogo TIMSS'!$I$5:$I$107,MATCH(K814,'Datos - Catálogo TIMSS'!$A$5:$A$107,0)),"No")="Sí",_xlfn.IFERROR(INDEX('Datos - Catálogo TIMSS'!$I$5:$I$107,MATCH(L814,'Datos - Catálogo TIMSS'!$A$5:$A$107,0)),"No")="Sí"),1,0)</f>
        <v>0</v>
      </c>
      <c r="Y814" s="36" cm="1">
        <f t="array" ref="Y814">IF(_xlfn.IFERROR(INDEX('Datos - Catálogo TIMSS'!$J$5:$J$107,MATCH(K814,'Datos - Catálogo TIMSS'!$A$5:$A$107,0)),"No")="Sí",1,0)</f>
        <v>0</v>
      </c>
      <c r="Z814" s="36" cm="1">
        <f t="array" ref="Z814">IF(_xlfn.IFERROR(INDEX('Datos - Catálogo TIMSS'!$J$5:$J$107,MATCH(L814,'Datos - Catálogo TIMSS'!$A$5:$A$107,0)),"No")="Sí",1,0)</f>
        <v>0</v>
      </c>
      <c r="AA814" t="s" s="35">
        <v>1350</v>
      </c>
      <c r="AB814" t="s" s="35">
        <v>1347</v>
      </c>
      <c r="AC814" t="str" s="39">
        <v>Electricidad y magnetismo</v>
      </c>
      <c r="AD814" t="s" s="35">
        <v>1834</v>
      </c>
      <c r="AE814" t="str" s="39" cm="1">
        <f t="array" ref="AE814">IF(AD814="","",IF(LEFT(AD814,1)="1","C1",IF(LEFT(AD814,1)="2","C2",IF(LEFT(AD814,1)="3","C3",""))))</f>
        <v>C2</v>
      </c>
      <c r="AF814" t="s" s="35">
        <v>1602</v>
      </c>
      <c r="AG814" t="s" s="35">
        <v>1612</v>
      </c>
      <c r="AH814" t="s" s="35">
        <v>1605</v>
      </c>
      <c r="AI814" t="s" s="35">
        <v>1619</v>
      </c>
      <c r="AJ814" t="s" s="35">
        <v>1621</v>
      </c>
      <c r="AK814" s="39"/>
      <c r="AL814" s="39"/>
      <c r="AM814" s="39"/>
      <c r="AN814" s="39"/>
      <c r="AO814" s="39"/>
      <c r="AP814" s="39"/>
      <c r="AQ814" s="39"/>
      <c r="AR814" s="39"/>
      <c r="AS814" s="39"/>
      <c r="AT814" s="39"/>
      <c r="AU814" s="39"/>
      <c r="AV814" s="39"/>
      <c r="AW814" t="str" s="39" cm="1">
        <f t="array" ref="AW814">AF814&amp;"; "&amp;AG814&amp;"; "&amp;AH814&amp;"; "&amp;AI814&amp;"; "&amp;AJ814</f>
        <v>E1; E5; E2; D2; D3</v>
      </c>
    </row>
    <row r="815" ht="13.65" customHeight="1">
      <c r="A815" t="s" s="35">
        <v>5775</v>
      </c>
      <c r="B815" s="36">
        <v>11</v>
      </c>
      <c r="C815" t="s" s="35">
        <v>222</v>
      </c>
      <c r="D815" t="s" s="35">
        <v>4800</v>
      </c>
      <c r="E815" t="s" s="35">
        <v>5427</v>
      </c>
      <c r="F815" s="36">
        <v>70</v>
      </c>
      <c r="G815" t="s" s="35">
        <v>5766</v>
      </c>
      <c r="H815" t="s" s="35">
        <v>5767</v>
      </c>
      <c r="I815" t="s" s="120">
        <v>5776</v>
      </c>
      <c r="J815" t="s" s="35">
        <v>1301</v>
      </c>
      <c r="K815" t="s" s="35">
        <v>1343</v>
      </c>
      <c r="L815" t="s" s="35">
        <v>1337</v>
      </c>
      <c r="M815" t="str" s="39">
        <v>Electricidad y magnetismo</v>
      </c>
      <c r="N815" t="str" s="39">
        <v>Magnetismo e inducción electromagnética</v>
      </c>
      <c r="O815" t="str" s="39" cm="1">
        <f t="array" ref="O815">IF(L815="","",_xlfn.IFERROR(INDEX('Datos - Catálogo TIMSS'!$C$5:$C$107,MATCH(L815,'Datos - Catálogo TIMSS'!$A$5:$A$107,0)),"?"))</f>
        <v>Electricidad y magnetismo</v>
      </c>
      <c r="P815" t="s" s="35">
        <v>282</v>
      </c>
      <c r="Q815" t="s" s="120">
        <v>5777</v>
      </c>
      <c r="R815" t="s" s="120">
        <v>5778</v>
      </c>
      <c r="S815" s="121" cm="1">
        <f t="array" ref="S815">_xlfn.IFERROR(ISNUMBER(SEARCH("Conocer",$R815))/(ISNUMBER(SEARCH("Conocer",$R815))+ISNUMBER(SEARCH("Aplicar",$R815))+ISNUMBER(SEARCH("Razonar",$R815))),0)</f>
        <v>0</v>
      </c>
      <c r="T815" s="121" cm="1">
        <f t="array" ref="T815">_xlfn.IFERROR(ISNUMBER(SEARCH("Aplicar",$R815))/(ISNUMBER(SEARCH("Conocer",$R815))+ISNUMBER(SEARCH("Aplicar",$R815))+ISNUMBER(SEARCH("Razonar",$R815))),0)</f>
        <v>0.5</v>
      </c>
      <c r="U815" s="121" cm="1">
        <f t="array" ref="U815">_xlfn.IFERROR(ISNUMBER(SEARCH("Razonar",$R815))/(ISNUMBER(SEARCH("Conocer",$R815))+ISNUMBER(SEARCH("Aplicar",$R815))+ISNUMBER(SEARCH("Razonar",$R815))),0)</f>
        <v>0.5</v>
      </c>
      <c r="V815" t="s" s="35">
        <v>91</v>
      </c>
      <c r="W815" t="s" s="35">
        <v>119</v>
      </c>
      <c r="X815" s="36" cm="1">
        <f t="array" ref="X815">IF(OR(_xlfn.IFERROR(INDEX('Datos - Catálogo TIMSS'!$I$5:$I$107,MATCH(K815,'Datos - Catálogo TIMSS'!$A$5:$A$107,0)),"No")="Sí",_xlfn.IFERROR(INDEX('Datos - Catálogo TIMSS'!$I$5:$I$107,MATCH(L815,'Datos - Catálogo TIMSS'!$A$5:$A$107,0)),"No")="Sí"),1,0)</f>
        <v>0</v>
      </c>
      <c r="Y815" s="36" cm="1">
        <f t="array" ref="Y815">IF(_xlfn.IFERROR(INDEX('Datos - Catálogo TIMSS'!$J$5:$J$107,MATCH(K815,'Datos - Catálogo TIMSS'!$A$5:$A$107,0)),"No")="Sí",1,0)</f>
        <v>0</v>
      </c>
      <c r="Z815" s="36" cm="1">
        <f t="array" ref="Z815">IF(_xlfn.IFERROR(INDEX('Datos - Catálogo TIMSS'!$J$5:$J$107,MATCH(L815,'Datos - Catálogo TIMSS'!$A$5:$A$107,0)),"No")="Sí",1,0)</f>
        <v>0</v>
      </c>
      <c r="AA815" t="s" s="35">
        <v>1343</v>
      </c>
      <c r="AB815" t="s" s="35">
        <v>1337</v>
      </c>
      <c r="AC815" t="str" s="39">
        <v>Electricidad y magnetismo</v>
      </c>
      <c r="AD815" t="s" s="35">
        <v>1859</v>
      </c>
      <c r="AE815" t="str" s="39" cm="1">
        <f t="array" ref="AE815">IF(AD815="","",IF(LEFT(AD815,1)="1","C1",IF(LEFT(AD815,1)="2","C2",IF(LEFT(AD815,1)="3","C3",""))))</f>
        <v>C1</v>
      </c>
      <c r="AF815" t="s" s="35">
        <v>1615</v>
      </c>
      <c r="AG815" t="s" s="35">
        <v>1607</v>
      </c>
      <c r="AH815" t="s" s="35">
        <v>1602</v>
      </c>
      <c r="AI815" t="s" s="35">
        <v>1623</v>
      </c>
      <c r="AJ815" t="s" s="35">
        <v>1607</v>
      </c>
      <c r="AK815" s="39"/>
      <c r="AL815" s="39"/>
      <c r="AM815" s="39"/>
      <c r="AN815" s="39"/>
      <c r="AO815" s="39"/>
      <c r="AP815" s="39"/>
      <c r="AQ815" s="39"/>
      <c r="AR815" s="39"/>
      <c r="AS815" s="39"/>
      <c r="AT815" s="39"/>
      <c r="AU815" s="39"/>
      <c r="AV815" s="39"/>
      <c r="AW815" t="str" s="39" cm="1">
        <f t="array" ref="AW815">AF815&amp;"; "&amp;AG815&amp;"; "&amp;AH815&amp;"; "&amp;AI815&amp;"; "&amp;AJ815</f>
        <v>E6; E3; E1; D4; E3</v>
      </c>
    </row>
    <row r="816" ht="13.65" customHeight="1">
      <c r="A816" t="s" s="35">
        <v>5780</v>
      </c>
      <c r="B816" s="36">
        <v>11</v>
      </c>
      <c r="C816" t="s" s="35">
        <v>222</v>
      </c>
      <c r="D816" t="s" s="35">
        <v>4800</v>
      </c>
      <c r="E816" t="s" s="35">
        <v>5427</v>
      </c>
      <c r="F816" s="36">
        <v>71</v>
      </c>
      <c r="G816" t="s" s="35">
        <v>5766</v>
      </c>
      <c r="H816" t="s" s="35">
        <v>5781</v>
      </c>
      <c r="I816" t="s" s="120">
        <v>5782</v>
      </c>
      <c r="J816" t="s" s="35">
        <v>1301</v>
      </c>
      <c r="K816" t="s" s="35">
        <v>1357</v>
      </c>
      <c r="L816" s="39"/>
      <c r="M816" t="str" s="39">
        <v>Ondas y física atómica/nuclear</v>
      </c>
      <c r="N816" t="str" s="39">
        <v>Fenómenos ondulatorios</v>
      </c>
      <c r="O816" t="str" s="39" cm="1">
        <f t="array" ref="O816">IF(L816="","",_xlfn.IFERROR(INDEX('Datos - Catálogo TIMSS'!$C$5:$C$107,MATCH(L816,'Datos - Catálogo TIMSS'!$A$5:$A$107,0)),"?"))</f>
      </c>
      <c r="P816" t="s" s="35">
        <v>254</v>
      </c>
      <c r="Q816" t="s" s="120">
        <v>5783</v>
      </c>
      <c r="R816" t="s" s="120">
        <v>5784</v>
      </c>
      <c r="S816" s="121" cm="1">
        <f t="array" ref="S816">_xlfn.IFERROR(ISNUMBER(SEARCH("Conocer",$R816))/(ISNUMBER(SEARCH("Conocer",$R816))+ISNUMBER(SEARCH("Aplicar",$R816))+ISNUMBER(SEARCH("Razonar",$R816))),0)</f>
        <v>0.5</v>
      </c>
      <c r="T816" s="121" cm="1">
        <f t="array" ref="T816">_xlfn.IFERROR(ISNUMBER(SEARCH("Aplicar",$R816))/(ISNUMBER(SEARCH("Conocer",$R816))+ISNUMBER(SEARCH("Aplicar",$R816))+ISNUMBER(SEARCH("Razonar",$R816))),0)</f>
        <v>0.5</v>
      </c>
      <c r="U816" s="121" cm="1">
        <f t="array" ref="U816">_xlfn.IFERROR(ISNUMBER(SEARCH("Razonar",$R816))/(ISNUMBER(SEARCH("Conocer",$R816))+ISNUMBER(SEARCH("Aplicar",$R816))+ISNUMBER(SEARCH("Razonar",$R816))),0)</f>
        <v>0</v>
      </c>
      <c r="V816" t="s" s="35">
        <v>91</v>
      </c>
      <c r="W816" t="s" s="35">
        <v>119</v>
      </c>
      <c r="X816" s="36" cm="1">
        <f t="array" ref="X816">IF(OR(_xlfn.IFERROR(INDEX('Datos - Catálogo TIMSS'!$I$5:$I$107,MATCH(K816,'Datos - Catálogo TIMSS'!$A$5:$A$107,0)),"No")="Sí",_xlfn.IFERROR(INDEX('Datos - Catálogo TIMSS'!$I$5:$I$107,MATCH(L816,'Datos - Catálogo TIMSS'!$A$5:$A$107,0)),"No")="Sí"),1,0)</f>
        <v>0</v>
      </c>
      <c r="Y816" s="36" cm="1">
        <f t="array" ref="Y816">IF(_xlfn.IFERROR(INDEX('Datos - Catálogo TIMSS'!$J$5:$J$107,MATCH(K816,'Datos - Catálogo TIMSS'!$A$5:$A$107,0)),"No")="Sí",1,0)</f>
        <v>0</v>
      </c>
      <c r="Z816" s="36" cm="1">
        <f t="array" ref="Z816">IF(_xlfn.IFERROR(INDEX('Datos - Catálogo TIMSS'!$J$5:$J$107,MATCH(L816,'Datos - Catálogo TIMSS'!$A$5:$A$107,0)),"No")="Sí",1,0)</f>
        <v>0</v>
      </c>
      <c r="AA816" t="s" s="35">
        <v>1357</v>
      </c>
      <c r="AB816" s="39"/>
      <c r="AC816" t="str" s="39">
        <v>Ondas y física atómica/nuclear</v>
      </c>
      <c r="AD816" t="s" s="35">
        <v>1900</v>
      </c>
      <c r="AE816" t="str" s="39" cm="1">
        <f t="array" ref="AE816">IF(AD816="","",IF(LEFT(AD816,1)="1","C1",IF(LEFT(AD816,1)="2","C2",IF(LEFT(AD816,1)="3","C3",""))))</f>
        <v>C3</v>
      </c>
      <c r="AF816" t="s" s="35">
        <v>1602</v>
      </c>
      <c r="AG816" t="s" s="35">
        <v>1617</v>
      </c>
      <c r="AH816" t="s" s="35">
        <v>1605</v>
      </c>
      <c r="AI816" t="s" s="35">
        <v>1625</v>
      </c>
      <c r="AJ816" t="s" s="35">
        <v>1615</v>
      </c>
      <c r="AK816" s="39"/>
      <c r="AL816" s="39"/>
      <c r="AM816" s="39"/>
      <c r="AN816" s="39"/>
      <c r="AO816" s="39"/>
      <c r="AP816" s="39"/>
      <c r="AQ816" s="39"/>
      <c r="AR816" s="39"/>
      <c r="AS816" s="39"/>
      <c r="AT816" s="39"/>
      <c r="AU816" s="39"/>
      <c r="AV816" s="39"/>
      <c r="AW816" t="str" s="39" cm="1">
        <f t="array" ref="AW816">AF816&amp;"; "&amp;AG816&amp;"; "&amp;AH816&amp;"; "&amp;AI816&amp;"; "&amp;AJ816</f>
        <v>E1; D1; E2; I1; E6</v>
      </c>
    </row>
    <row r="817" ht="13.65" customHeight="1">
      <c r="A817" t="s" s="35">
        <v>5785</v>
      </c>
      <c r="B817" s="36">
        <v>11</v>
      </c>
      <c r="C817" t="s" s="35">
        <v>222</v>
      </c>
      <c r="D817" t="s" s="35">
        <v>4800</v>
      </c>
      <c r="E817" t="s" s="35">
        <v>5427</v>
      </c>
      <c r="F817" s="36">
        <v>72</v>
      </c>
      <c r="G817" t="s" s="35">
        <v>5766</v>
      </c>
      <c r="H817" t="s" s="35">
        <v>5781</v>
      </c>
      <c r="I817" t="s" s="120">
        <v>5786</v>
      </c>
      <c r="J817" t="s" s="35">
        <v>1301</v>
      </c>
      <c r="K817" t="s" s="35">
        <v>1357</v>
      </c>
      <c r="L817" s="39"/>
      <c r="M817" t="str" s="39">
        <v>Ondas y física atómica/nuclear</v>
      </c>
      <c r="N817" t="str" s="39">
        <v>Fenómenos ondulatorios</v>
      </c>
      <c r="O817" t="str" s="39" cm="1">
        <f t="array" ref="O817">IF(L817="","",_xlfn.IFERROR(INDEX('Datos - Catálogo TIMSS'!$C$5:$C$107,MATCH(L817,'Datos - Catálogo TIMSS'!$A$5:$A$107,0)),"?"))</f>
      </c>
      <c r="P817" t="s" s="35">
        <v>254</v>
      </c>
      <c r="Q817" t="s" s="120">
        <v>5787</v>
      </c>
      <c r="R817" t="s" s="120">
        <v>5788</v>
      </c>
      <c r="S817" s="121" cm="1">
        <f t="array" ref="S817">_xlfn.IFERROR(ISNUMBER(SEARCH("Conocer",$R817))/(ISNUMBER(SEARCH("Conocer",$R817))+ISNUMBER(SEARCH("Aplicar",$R817))+ISNUMBER(SEARCH("Razonar",$R817))),0)</f>
        <v>0</v>
      </c>
      <c r="T817" s="121" cm="1">
        <f t="array" ref="T817">_xlfn.IFERROR(ISNUMBER(SEARCH("Aplicar",$R817))/(ISNUMBER(SEARCH("Conocer",$R817))+ISNUMBER(SEARCH("Aplicar",$R817))+ISNUMBER(SEARCH("Razonar",$R817))),0)</f>
        <v>0.5</v>
      </c>
      <c r="U817" s="121" cm="1">
        <f t="array" ref="U817">_xlfn.IFERROR(ISNUMBER(SEARCH("Razonar",$R817))/(ISNUMBER(SEARCH("Conocer",$R817))+ISNUMBER(SEARCH("Aplicar",$R817))+ISNUMBER(SEARCH("Razonar",$R817))),0)</f>
        <v>0.5</v>
      </c>
      <c r="V817" t="s" s="35">
        <v>91</v>
      </c>
      <c r="W817" t="s" s="35">
        <v>119</v>
      </c>
      <c r="X817" s="36" cm="1">
        <f t="array" ref="X817">IF(OR(_xlfn.IFERROR(INDEX('Datos - Catálogo TIMSS'!$I$5:$I$107,MATCH(K817,'Datos - Catálogo TIMSS'!$A$5:$A$107,0)),"No")="Sí",_xlfn.IFERROR(INDEX('Datos - Catálogo TIMSS'!$I$5:$I$107,MATCH(L817,'Datos - Catálogo TIMSS'!$A$5:$A$107,0)),"No")="Sí"),1,0)</f>
        <v>0</v>
      </c>
      <c r="Y817" s="36" cm="1">
        <f t="array" ref="Y817">IF(_xlfn.IFERROR(INDEX('Datos - Catálogo TIMSS'!$J$5:$J$107,MATCH(K817,'Datos - Catálogo TIMSS'!$A$5:$A$107,0)),"No")="Sí",1,0)</f>
        <v>0</v>
      </c>
      <c r="Z817" s="36" cm="1">
        <f t="array" ref="Z817">IF(_xlfn.IFERROR(INDEX('Datos - Catálogo TIMSS'!$J$5:$J$107,MATCH(L817,'Datos - Catálogo TIMSS'!$A$5:$A$107,0)),"No")="Sí",1,0)</f>
        <v>0</v>
      </c>
      <c r="AA817" t="s" s="35">
        <v>1357</v>
      </c>
      <c r="AB817" s="39"/>
      <c r="AC817" t="str" s="39">
        <v>Ondas y física atómica/nuclear</v>
      </c>
      <c r="AD817" t="s" s="35">
        <v>1834</v>
      </c>
      <c r="AE817" t="str" s="39" cm="1">
        <f t="array" ref="AE817">IF(AD817="","",IF(LEFT(AD817,1)="1","C1",IF(LEFT(AD817,1)="2","C2",IF(LEFT(AD817,1)="3","C3",""))))</f>
        <v>C2</v>
      </c>
      <c r="AF817" t="s" s="35">
        <v>1602</v>
      </c>
      <c r="AG817" t="s" s="35">
        <v>1612</v>
      </c>
      <c r="AH817" t="s" s="35">
        <v>1602</v>
      </c>
      <c r="AI817" t="s" s="35">
        <v>1619</v>
      </c>
      <c r="AJ817" t="s" s="35">
        <v>1621</v>
      </c>
      <c r="AK817" s="39"/>
      <c r="AL817" s="39"/>
      <c r="AM817" s="39"/>
      <c r="AN817" s="39"/>
      <c r="AO817" s="39"/>
      <c r="AP817" s="39"/>
      <c r="AQ817" s="39"/>
      <c r="AR817" s="39"/>
      <c r="AS817" s="39"/>
      <c r="AT817" s="39"/>
      <c r="AU817" s="39"/>
      <c r="AV817" s="39"/>
      <c r="AW817" t="str" s="39" cm="1">
        <f t="array" ref="AW817">AF817&amp;"; "&amp;AG817&amp;"; "&amp;AH817&amp;"; "&amp;AI817&amp;"; "&amp;AJ817</f>
        <v>E1; E5; E1; D2; D3</v>
      </c>
    </row>
    <row r="818" ht="13.65" customHeight="1">
      <c r="A818" t="s" s="35">
        <v>5789</v>
      </c>
      <c r="B818" s="36">
        <v>11</v>
      </c>
      <c r="C818" t="s" s="35">
        <v>222</v>
      </c>
      <c r="D818" t="s" s="35">
        <v>4800</v>
      </c>
      <c r="E818" t="s" s="35">
        <v>5427</v>
      </c>
      <c r="F818" s="36">
        <v>73</v>
      </c>
      <c r="G818" t="s" s="35">
        <v>5766</v>
      </c>
      <c r="H818" t="s" s="35">
        <v>5781</v>
      </c>
      <c r="I818" t="s" s="120">
        <v>5790</v>
      </c>
      <c r="J818" t="s" s="35">
        <v>1301</v>
      </c>
      <c r="K818" t="s" s="35">
        <v>1357</v>
      </c>
      <c r="L818" s="39"/>
      <c r="M818" t="str" s="39">
        <v>Ondas y física atómica/nuclear</v>
      </c>
      <c r="N818" t="str" s="39">
        <v>Fenómenos ondulatorios</v>
      </c>
      <c r="O818" t="str" s="39" cm="1">
        <f t="array" ref="O818">IF(L818="","",_xlfn.IFERROR(INDEX('Datos - Catálogo TIMSS'!$C$5:$C$107,MATCH(L818,'Datos - Catálogo TIMSS'!$A$5:$A$107,0)),"?"))</f>
      </c>
      <c r="P818" t="s" s="35">
        <v>282</v>
      </c>
      <c r="Q818" t="s" s="120">
        <v>5791</v>
      </c>
      <c r="R818" t="s" s="120">
        <v>5792</v>
      </c>
      <c r="S818" s="121" cm="1">
        <f t="array" ref="S818">_xlfn.IFERROR(ISNUMBER(SEARCH("Conocer",$R818))/(ISNUMBER(SEARCH("Conocer",$R818))+ISNUMBER(SEARCH("Aplicar",$R818))+ISNUMBER(SEARCH("Razonar",$R818))),0)</f>
        <v>0</v>
      </c>
      <c r="T818" s="121" cm="1">
        <f t="array" ref="T818">_xlfn.IFERROR(ISNUMBER(SEARCH("Aplicar",$R818))/(ISNUMBER(SEARCH("Conocer",$R818))+ISNUMBER(SEARCH("Aplicar",$R818))+ISNUMBER(SEARCH("Razonar",$R818))),0)</f>
        <v>0.5</v>
      </c>
      <c r="U818" s="121" cm="1">
        <f t="array" ref="U818">_xlfn.IFERROR(ISNUMBER(SEARCH("Razonar",$R818))/(ISNUMBER(SEARCH("Conocer",$R818))+ISNUMBER(SEARCH("Aplicar",$R818))+ISNUMBER(SEARCH("Razonar",$R818))),0)</f>
        <v>0.5</v>
      </c>
      <c r="V818" t="s" s="35">
        <v>91</v>
      </c>
      <c r="W818" t="s" s="35">
        <v>119</v>
      </c>
      <c r="X818" s="36" cm="1">
        <f t="array" ref="X818">IF(OR(_xlfn.IFERROR(INDEX('Datos - Catálogo TIMSS'!$I$5:$I$107,MATCH(K818,'Datos - Catálogo TIMSS'!$A$5:$A$107,0)),"No")="Sí",_xlfn.IFERROR(INDEX('Datos - Catálogo TIMSS'!$I$5:$I$107,MATCH(L818,'Datos - Catálogo TIMSS'!$A$5:$A$107,0)),"No")="Sí"),1,0)</f>
        <v>0</v>
      </c>
      <c r="Y818" s="36" cm="1">
        <f t="array" ref="Y818">IF(_xlfn.IFERROR(INDEX('Datos - Catálogo TIMSS'!$J$5:$J$107,MATCH(K818,'Datos - Catálogo TIMSS'!$A$5:$A$107,0)),"No")="Sí",1,0)</f>
        <v>0</v>
      </c>
      <c r="Z818" s="36" cm="1">
        <f t="array" ref="Z818">IF(_xlfn.IFERROR(INDEX('Datos - Catálogo TIMSS'!$J$5:$J$107,MATCH(L818,'Datos - Catálogo TIMSS'!$A$5:$A$107,0)),"No")="Sí",1,0)</f>
        <v>0</v>
      </c>
      <c r="AA818" t="s" s="35">
        <v>1357</v>
      </c>
      <c r="AB818" s="39"/>
      <c r="AC818" t="str" s="39">
        <v>Ondas y física atómica/nuclear</v>
      </c>
      <c r="AD818" t="s" s="35">
        <v>1859</v>
      </c>
      <c r="AE818" t="str" s="39" cm="1">
        <f t="array" ref="AE818">IF(AD818="","",IF(LEFT(AD818,1)="1","C1",IF(LEFT(AD818,1)="2","C2",IF(LEFT(AD818,1)="3","C3",""))))</f>
        <v>C1</v>
      </c>
      <c r="AF818" t="s" s="35">
        <v>1615</v>
      </c>
      <c r="AG818" t="s" s="35">
        <v>1607</v>
      </c>
      <c r="AH818" t="s" s="35">
        <v>1605</v>
      </c>
      <c r="AI818" t="s" s="35">
        <v>1609</v>
      </c>
      <c r="AJ818" t="s" s="35">
        <v>1633</v>
      </c>
      <c r="AK818" s="39"/>
      <c r="AL818" s="39"/>
      <c r="AM818" s="39"/>
      <c r="AN818" s="39"/>
      <c r="AO818" s="39"/>
      <c r="AP818" s="39"/>
      <c r="AQ818" s="39"/>
      <c r="AR818" s="39"/>
      <c r="AS818" s="39"/>
      <c r="AT818" s="39"/>
      <c r="AU818" s="39"/>
      <c r="AV818" s="39"/>
      <c r="AW818" t="str" s="39" cm="1">
        <f t="array" ref="AW818">AF818&amp;"; "&amp;AG818&amp;"; "&amp;AH818&amp;"; "&amp;AI818&amp;"; "&amp;AJ818</f>
        <v>E6; E3; E2; E4; I5</v>
      </c>
    </row>
    <row r="819" ht="13.65" customHeight="1">
      <c r="A819" t="s" s="35">
        <v>5793</v>
      </c>
      <c r="B819" s="36">
        <v>11</v>
      </c>
      <c r="C819" t="s" s="35">
        <v>222</v>
      </c>
      <c r="D819" t="s" s="35">
        <v>4800</v>
      </c>
      <c r="E819" t="s" s="35">
        <v>5427</v>
      </c>
      <c r="F819" s="36">
        <v>74</v>
      </c>
      <c r="G819" t="s" s="35">
        <v>5766</v>
      </c>
      <c r="H819" t="s" s="35">
        <v>5794</v>
      </c>
      <c r="I819" t="s" s="120">
        <v>5795</v>
      </c>
      <c r="J819" t="s" s="35">
        <v>1301</v>
      </c>
      <c r="K819" t="s" s="35">
        <v>1357</v>
      </c>
      <c r="L819" s="39"/>
      <c r="M819" t="str" s="39">
        <v>Ondas y física atómica/nuclear</v>
      </c>
      <c r="N819" t="str" s="39">
        <v>Fenómenos ondulatorios</v>
      </c>
      <c r="O819" t="str" s="39" cm="1">
        <f t="array" ref="O819">IF(L819="","",_xlfn.IFERROR(INDEX('Datos - Catálogo TIMSS'!$C$5:$C$107,MATCH(L819,'Datos - Catálogo TIMSS'!$A$5:$A$107,0)),"?"))</f>
      </c>
      <c r="P819" t="s" s="35">
        <v>282</v>
      </c>
      <c r="Q819" t="s" s="120">
        <v>5796</v>
      </c>
      <c r="R819" t="s" s="120">
        <v>5797</v>
      </c>
      <c r="S819" s="121" cm="1">
        <f t="array" ref="S819">_xlfn.IFERROR(ISNUMBER(SEARCH("Conocer",$R819))/(ISNUMBER(SEARCH("Conocer",$R819))+ISNUMBER(SEARCH("Aplicar",$R819))+ISNUMBER(SEARCH("Razonar",$R819))),0)</f>
        <v>0.5</v>
      </c>
      <c r="T819" s="121" cm="1">
        <f t="array" ref="T819">_xlfn.IFERROR(ISNUMBER(SEARCH("Aplicar",$R819))/(ISNUMBER(SEARCH("Conocer",$R819))+ISNUMBER(SEARCH("Aplicar",$R819))+ISNUMBER(SEARCH("Razonar",$R819))),0)</f>
        <v>0</v>
      </c>
      <c r="U819" s="121" cm="1">
        <f t="array" ref="U819">_xlfn.IFERROR(ISNUMBER(SEARCH("Razonar",$R819))/(ISNUMBER(SEARCH("Conocer",$R819))+ISNUMBER(SEARCH("Aplicar",$R819))+ISNUMBER(SEARCH("Razonar",$R819))),0)</f>
        <v>0.5</v>
      </c>
      <c r="V819" t="s" s="35">
        <v>91</v>
      </c>
      <c r="W819" t="s" s="35">
        <v>119</v>
      </c>
      <c r="X819" s="36" cm="1">
        <f t="array" ref="X819">IF(OR(_xlfn.IFERROR(INDEX('Datos - Catálogo TIMSS'!$I$5:$I$107,MATCH(K819,'Datos - Catálogo TIMSS'!$A$5:$A$107,0)),"No")="Sí",_xlfn.IFERROR(INDEX('Datos - Catálogo TIMSS'!$I$5:$I$107,MATCH(L819,'Datos - Catálogo TIMSS'!$A$5:$A$107,0)),"No")="Sí"),1,0)</f>
        <v>0</v>
      </c>
      <c r="Y819" s="36" cm="1">
        <f t="array" ref="Y819">IF(_xlfn.IFERROR(INDEX('Datos - Catálogo TIMSS'!$J$5:$J$107,MATCH(K819,'Datos - Catálogo TIMSS'!$A$5:$A$107,0)),"No")="Sí",1,0)</f>
        <v>0</v>
      </c>
      <c r="Z819" s="36" cm="1">
        <f t="array" ref="Z819">IF(_xlfn.IFERROR(INDEX('Datos - Catálogo TIMSS'!$J$5:$J$107,MATCH(L819,'Datos - Catálogo TIMSS'!$A$5:$A$107,0)),"No")="Sí",1,0)</f>
        <v>0</v>
      </c>
      <c r="AA819" t="s" s="35">
        <v>1357</v>
      </c>
      <c r="AB819" s="39"/>
      <c r="AC819" t="str" s="39">
        <v>Ondas y física atómica/nuclear</v>
      </c>
      <c r="AD819" t="s" s="35">
        <v>1900</v>
      </c>
      <c r="AE819" t="str" s="39" cm="1">
        <f t="array" ref="AE819">IF(AD819="","",IF(LEFT(AD819,1)="1","C1",IF(LEFT(AD819,1)="2","C2",IF(LEFT(AD819,1)="3","C3",""))))</f>
        <v>C3</v>
      </c>
      <c r="AF819" t="s" s="35">
        <v>1615</v>
      </c>
      <c r="AG819" t="s" s="35">
        <v>1617</v>
      </c>
      <c r="AH819" t="s" s="35">
        <v>1605</v>
      </c>
      <c r="AI819" t="s" s="35">
        <v>1625</v>
      </c>
      <c r="AJ819" t="s" s="35">
        <v>1627</v>
      </c>
      <c r="AK819" s="39"/>
      <c r="AL819" s="39"/>
      <c r="AM819" s="39"/>
      <c r="AN819" s="39"/>
      <c r="AO819" s="39"/>
      <c r="AP819" s="39"/>
      <c r="AQ819" s="39"/>
      <c r="AR819" s="39"/>
      <c r="AS819" s="39"/>
      <c r="AT819" s="39"/>
      <c r="AU819" s="39"/>
      <c r="AV819" s="39"/>
      <c r="AW819" t="str" s="39" cm="1">
        <f t="array" ref="AW819">AF819&amp;"; "&amp;AG819&amp;"; "&amp;AH819&amp;"; "&amp;AI819&amp;"; "&amp;AJ819</f>
        <v>E6; D1; E2; I1; I2</v>
      </c>
    </row>
    <row r="820" ht="13.65" customHeight="1">
      <c r="A820" t="s" s="35">
        <v>5799</v>
      </c>
      <c r="B820" s="36">
        <v>11</v>
      </c>
      <c r="C820" t="s" s="35">
        <v>222</v>
      </c>
      <c r="D820" t="s" s="35">
        <v>4800</v>
      </c>
      <c r="E820" t="s" s="35">
        <v>5427</v>
      </c>
      <c r="F820" s="36">
        <v>75</v>
      </c>
      <c r="G820" t="s" s="35">
        <v>5766</v>
      </c>
      <c r="H820" t="s" s="35">
        <v>5794</v>
      </c>
      <c r="I820" t="s" s="120">
        <v>5800</v>
      </c>
      <c r="J820" t="s" s="35">
        <v>1301</v>
      </c>
      <c r="K820" t="s" s="35">
        <v>1357</v>
      </c>
      <c r="L820" s="39"/>
      <c r="M820" t="str" s="39">
        <v>Ondas y física atómica/nuclear</v>
      </c>
      <c r="N820" t="str" s="39">
        <v>Fenómenos ondulatorios</v>
      </c>
      <c r="O820" t="str" s="39" cm="1">
        <f t="array" ref="O820">IF(L820="","",_xlfn.IFERROR(INDEX('Datos - Catálogo TIMSS'!$C$5:$C$107,MATCH(L820,'Datos - Catálogo TIMSS'!$A$5:$A$107,0)),"?"))</f>
      </c>
      <c r="P820" t="s" s="35">
        <v>291</v>
      </c>
      <c r="Q820" t="s" s="120">
        <v>5801</v>
      </c>
      <c r="R820" t="s" s="120">
        <v>5802</v>
      </c>
      <c r="S820" s="121" cm="1">
        <f t="array" ref="S820">_xlfn.IFERROR(ISNUMBER(SEARCH("Conocer",$R820))/(ISNUMBER(SEARCH("Conocer",$R820))+ISNUMBER(SEARCH("Aplicar",$R820))+ISNUMBER(SEARCH("Razonar",$R820))),0)</f>
        <v>0</v>
      </c>
      <c r="T820" s="121" cm="1">
        <f t="array" ref="T820">_xlfn.IFERROR(ISNUMBER(SEARCH("Aplicar",$R820))/(ISNUMBER(SEARCH("Conocer",$R820))+ISNUMBER(SEARCH("Aplicar",$R820))+ISNUMBER(SEARCH("Razonar",$R820))),0)</f>
        <v>0.5</v>
      </c>
      <c r="U820" s="121" cm="1">
        <f t="array" ref="U820">_xlfn.IFERROR(ISNUMBER(SEARCH("Razonar",$R820))/(ISNUMBER(SEARCH("Conocer",$R820))+ISNUMBER(SEARCH("Aplicar",$R820))+ISNUMBER(SEARCH("Razonar",$R820))),0)</f>
        <v>0.5</v>
      </c>
      <c r="V820" t="s" s="35">
        <v>91</v>
      </c>
      <c r="W820" t="s" s="35">
        <v>119</v>
      </c>
      <c r="X820" s="36" cm="1">
        <f t="array" ref="X820">IF(OR(_xlfn.IFERROR(INDEX('Datos - Catálogo TIMSS'!$I$5:$I$107,MATCH(K820,'Datos - Catálogo TIMSS'!$A$5:$A$107,0)),"No")="Sí",_xlfn.IFERROR(INDEX('Datos - Catálogo TIMSS'!$I$5:$I$107,MATCH(L820,'Datos - Catálogo TIMSS'!$A$5:$A$107,0)),"No")="Sí"),1,0)</f>
        <v>0</v>
      </c>
      <c r="Y820" s="36" cm="1">
        <f t="array" ref="Y820">IF(_xlfn.IFERROR(INDEX('Datos - Catálogo TIMSS'!$J$5:$J$107,MATCH(K820,'Datos - Catálogo TIMSS'!$A$5:$A$107,0)),"No")="Sí",1,0)</f>
        <v>0</v>
      </c>
      <c r="Z820" s="36" cm="1">
        <f t="array" ref="Z820">IF(_xlfn.IFERROR(INDEX('Datos - Catálogo TIMSS'!$J$5:$J$107,MATCH(L820,'Datos - Catálogo TIMSS'!$A$5:$A$107,0)),"No")="Sí",1,0)</f>
        <v>0</v>
      </c>
      <c r="AA820" t="s" s="35">
        <v>1357</v>
      </c>
      <c r="AB820" s="39"/>
      <c r="AC820" t="str" s="39">
        <v>Ondas y física atómica/nuclear</v>
      </c>
      <c r="AD820" t="s" s="35">
        <v>1834</v>
      </c>
      <c r="AE820" t="str" s="39" cm="1">
        <f t="array" ref="AE820">IF(AD820="","",IF(LEFT(AD820,1)="1","C1",IF(LEFT(AD820,1)="2","C2",IF(LEFT(AD820,1)="3","C3",""))))</f>
        <v>C2</v>
      </c>
      <c r="AF820" t="s" s="35">
        <v>1615</v>
      </c>
      <c r="AG820" t="s" s="35">
        <v>1607</v>
      </c>
      <c r="AH820" t="s" s="35">
        <v>1609</v>
      </c>
      <c r="AI820" t="s" s="35">
        <v>1619</v>
      </c>
      <c r="AJ820" t="s" s="35">
        <v>1621</v>
      </c>
      <c r="AK820" s="39"/>
      <c r="AL820" s="39"/>
      <c r="AM820" s="39"/>
      <c r="AN820" s="39"/>
      <c r="AO820" s="39"/>
      <c r="AP820" s="39"/>
      <c r="AQ820" s="39"/>
      <c r="AR820" s="39"/>
      <c r="AS820" s="39"/>
      <c r="AT820" s="39"/>
      <c r="AU820" s="39"/>
      <c r="AV820" s="39"/>
      <c r="AW820" t="str" s="39" cm="1">
        <f t="array" ref="AW820">AF820&amp;"; "&amp;AG820&amp;"; "&amp;AH820&amp;"; "&amp;AI820&amp;"; "&amp;AJ820</f>
        <v>E6; E3; E4; D2; D3</v>
      </c>
    </row>
    <row r="821" ht="13.65" customHeight="1">
      <c r="A821" t="s" s="35">
        <v>5804</v>
      </c>
      <c r="B821" s="36">
        <v>11</v>
      </c>
      <c r="C821" t="s" s="35">
        <v>222</v>
      </c>
      <c r="D821" t="s" s="35">
        <v>4800</v>
      </c>
      <c r="E821" t="s" s="35">
        <v>5427</v>
      </c>
      <c r="F821" s="36">
        <v>76</v>
      </c>
      <c r="G821" t="s" s="35">
        <v>5766</v>
      </c>
      <c r="H821" t="s" s="35">
        <v>5794</v>
      </c>
      <c r="I821" t="s" s="120">
        <v>5805</v>
      </c>
      <c r="J821" t="s" s="35">
        <v>1301</v>
      </c>
      <c r="K821" t="s" s="35">
        <v>1832</v>
      </c>
      <c r="L821" s="39"/>
      <c r="M821" t="str" s="39">
        <v>Fuera del marco</v>
      </c>
      <c r="N821" t="str" s="39">
        <v>Fuera del marco</v>
      </c>
      <c r="O821" t="str" s="39" cm="1">
        <f t="array" ref="O821">IF(L821="","",_xlfn.IFERROR(INDEX('Datos - Catálogo TIMSS'!$C$5:$C$107,MATCH(L821,'Datos - Catálogo TIMSS'!$A$5:$A$107,0)),"?"))</f>
      </c>
      <c r="P821" t="s" s="35">
        <v>282</v>
      </c>
      <c r="Q821" t="s" s="120">
        <v>5806</v>
      </c>
      <c r="R821" t="s" s="120">
        <v>5807</v>
      </c>
      <c r="S821" s="121" cm="1">
        <f t="array" ref="S821">_xlfn.IFERROR(ISNUMBER(SEARCH("Conocer",$R821))/(ISNUMBER(SEARCH("Conocer",$R821))+ISNUMBER(SEARCH("Aplicar",$R821))+ISNUMBER(SEARCH("Razonar",$R821))),0)</f>
        <v>0.5</v>
      </c>
      <c r="T821" s="121" cm="1">
        <f t="array" ref="T821">_xlfn.IFERROR(ISNUMBER(SEARCH("Aplicar",$R821))/(ISNUMBER(SEARCH("Conocer",$R821))+ISNUMBER(SEARCH("Aplicar",$R821))+ISNUMBER(SEARCH("Razonar",$R821))),0)</f>
        <v>0</v>
      </c>
      <c r="U821" s="121" cm="1">
        <f t="array" ref="U821">_xlfn.IFERROR(ISNUMBER(SEARCH("Razonar",$R821))/(ISNUMBER(SEARCH("Conocer",$R821))+ISNUMBER(SEARCH("Aplicar",$R821))+ISNUMBER(SEARCH("Razonar",$R821))),0)</f>
        <v>0.5</v>
      </c>
      <c r="V821" t="s" s="35">
        <v>91</v>
      </c>
      <c r="W821" t="s" s="35">
        <v>119</v>
      </c>
      <c r="X821" s="36" cm="1">
        <f t="array" ref="X821">IF(OR(_xlfn.IFERROR(INDEX('Datos - Catálogo TIMSS'!$I$5:$I$107,MATCH(K821,'Datos - Catálogo TIMSS'!$A$5:$A$107,0)),"No")="Sí",_xlfn.IFERROR(INDEX('Datos - Catálogo TIMSS'!$I$5:$I$107,MATCH(L821,'Datos - Catálogo TIMSS'!$A$5:$A$107,0)),"No")="Sí"),1,0)</f>
        <v>0</v>
      </c>
      <c r="Y821" s="36" cm="1">
        <f t="array" ref="Y821">IF(_xlfn.IFERROR(INDEX('Datos - Catálogo TIMSS'!$J$5:$J$107,MATCH(K821,'Datos - Catálogo TIMSS'!$A$5:$A$107,0)),"No")="Sí",1,0)</f>
        <v>0</v>
      </c>
      <c r="Z821" s="36" cm="1">
        <f t="array" ref="Z821">IF(_xlfn.IFERROR(INDEX('Datos - Catálogo TIMSS'!$J$5:$J$107,MATCH(L821,'Datos - Catálogo TIMSS'!$A$5:$A$107,0)),"No")="Sí",1,0)</f>
        <v>0</v>
      </c>
      <c r="AA821" t="s" s="35">
        <v>1832</v>
      </c>
      <c r="AB821" s="39"/>
      <c r="AC821" t="str" s="39">
        <v>Fuera del marco</v>
      </c>
      <c r="AD821" t="s" s="35">
        <v>1900</v>
      </c>
      <c r="AE821" t="str" s="39" cm="1">
        <f t="array" ref="AE821">IF(AD821="","",IF(LEFT(AD821,1)="1","C1",IF(LEFT(AD821,1)="2","C2",IF(LEFT(AD821,1)="3","C3",""))))</f>
        <v>C3</v>
      </c>
      <c r="AF821" t="s" s="35">
        <v>1602</v>
      </c>
      <c r="AG821" t="s" s="35">
        <v>1617</v>
      </c>
      <c r="AH821" t="s" s="35">
        <v>1602</v>
      </c>
      <c r="AI821" t="s" s="35">
        <v>1625</v>
      </c>
      <c r="AJ821" t="s" s="35">
        <v>1615</v>
      </c>
      <c r="AK821" s="39"/>
      <c r="AL821" s="39"/>
      <c r="AM821" s="39"/>
      <c r="AN821" s="39"/>
      <c r="AO821" s="39"/>
      <c r="AP821" s="39"/>
      <c r="AQ821" s="39"/>
      <c r="AR821" s="39"/>
      <c r="AS821" s="39"/>
      <c r="AT821" s="39"/>
      <c r="AU821" s="39"/>
      <c r="AV821" s="39"/>
      <c r="AW821" t="str" s="39" cm="1">
        <f t="array" ref="AW821">AF821&amp;"; "&amp;AG821&amp;"; "&amp;AH821&amp;"; "&amp;AI821&amp;"; "&amp;AJ821</f>
        <v>E1; D1; E1; I1; E6</v>
      </c>
    </row>
    <row r="822" ht="13.65" customHeight="1">
      <c r="A822" t="s" s="35">
        <v>5808</v>
      </c>
      <c r="B822" s="36">
        <v>11</v>
      </c>
      <c r="C822" t="s" s="35">
        <v>222</v>
      </c>
      <c r="D822" t="s" s="35">
        <v>4800</v>
      </c>
      <c r="E822" t="s" s="35">
        <v>5427</v>
      </c>
      <c r="F822" s="36">
        <v>77</v>
      </c>
      <c r="G822" t="s" s="35">
        <v>5809</v>
      </c>
      <c r="H822" t="s" s="35">
        <v>5810</v>
      </c>
      <c r="I822" t="s" s="120">
        <v>5811</v>
      </c>
      <c r="J822" t="s" s="35">
        <v>1301</v>
      </c>
      <c r="K822" t="s" s="35">
        <v>1340</v>
      </c>
      <c r="L822" t="s" s="35">
        <v>1350</v>
      </c>
      <c r="M822" t="str" s="39">
        <v>Electricidad y magnetismo</v>
      </c>
      <c r="N822" t="str" s="39">
        <v>Electricidad y circuitos</v>
      </c>
      <c r="O822" t="str" s="39" cm="1">
        <f t="array" ref="O822">IF(L822="","",_xlfn.IFERROR(INDEX('Datos - Catálogo TIMSS'!$C$5:$C$107,MATCH(L822,'Datos - Catálogo TIMSS'!$A$5:$A$107,0)),"?"))</f>
        <v>Electricidad y magnetismo</v>
      </c>
      <c r="P822" t="s" s="35">
        <v>291</v>
      </c>
      <c r="Q822" t="s" s="120">
        <v>5812</v>
      </c>
      <c r="R822" t="s" s="120">
        <v>5813</v>
      </c>
      <c r="S822" s="121" cm="1">
        <f t="array" ref="S822">_xlfn.IFERROR(ISNUMBER(SEARCH("Conocer",$R822))/(ISNUMBER(SEARCH("Conocer",$R822))+ISNUMBER(SEARCH("Aplicar",$R822))+ISNUMBER(SEARCH("Razonar",$R822))),0)</f>
        <v>0</v>
      </c>
      <c r="T822" s="121" cm="1">
        <f t="array" ref="T822">_xlfn.IFERROR(ISNUMBER(SEARCH("Aplicar",$R822))/(ISNUMBER(SEARCH("Conocer",$R822))+ISNUMBER(SEARCH("Aplicar",$R822))+ISNUMBER(SEARCH("Razonar",$R822))),0)</f>
        <v>0.5</v>
      </c>
      <c r="U822" s="121" cm="1">
        <f t="array" ref="U822">_xlfn.IFERROR(ISNUMBER(SEARCH("Razonar",$R822))/(ISNUMBER(SEARCH("Conocer",$R822))+ISNUMBER(SEARCH("Aplicar",$R822))+ISNUMBER(SEARCH("Razonar",$R822))),0)</f>
        <v>0.5</v>
      </c>
      <c r="V822" t="s" s="35">
        <v>91</v>
      </c>
      <c r="W822" t="s" s="35">
        <v>119</v>
      </c>
      <c r="X822" s="36" cm="1">
        <f t="array" ref="X822">IF(OR(_xlfn.IFERROR(INDEX('Datos - Catálogo TIMSS'!$I$5:$I$107,MATCH(K822,'Datos - Catálogo TIMSS'!$A$5:$A$107,0)),"No")="Sí",_xlfn.IFERROR(INDEX('Datos - Catálogo TIMSS'!$I$5:$I$107,MATCH(L822,'Datos - Catálogo TIMSS'!$A$5:$A$107,0)),"No")="Sí"),1,0)</f>
        <v>0</v>
      </c>
      <c r="Y822" s="36" cm="1">
        <f t="array" ref="Y822">IF(_xlfn.IFERROR(INDEX('Datos - Catálogo TIMSS'!$J$5:$J$107,MATCH(K822,'Datos - Catálogo TIMSS'!$A$5:$A$107,0)),"No")="Sí",1,0)</f>
        <v>0</v>
      </c>
      <c r="Z822" s="36" cm="1">
        <f t="array" ref="Z822">IF(_xlfn.IFERROR(INDEX('Datos - Catálogo TIMSS'!$J$5:$J$107,MATCH(L822,'Datos - Catálogo TIMSS'!$A$5:$A$107,0)),"No")="Sí",1,0)</f>
        <v>0</v>
      </c>
      <c r="AA822" t="s" s="35">
        <v>1340</v>
      </c>
      <c r="AB822" t="s" s="35">
        <v>1350</v>
      </c>
      <c r="AC822" t="str" s="39">
        <v>Electricidad y magnetismo</v>
      </c>
      <c r="AD822" t="s" s="35">
        <v>1900</v>
      </c>
      <c r="AE822" t="str" s="39" cm="1">
        <f t="array" ref="AE822">IF(AD822="","",IF(LEFT(AD822,1)="1","C1",IF(LEFT(AD822,1)="2","C2",IF(LEFT(AD822,1)="3","C3",""))))</f>
        <v>C3</v>
      </c>
      <c r="AF822" t="s" s="35">
        <v>1602</v>
      </c>
      <c r="AG822" t="s" s="35">
        <v>1607</v>
      </c>
      <c r="AH822" t="s" s="35">
        <v>1605</v>
      </c>
      <c r="AI822" t="s" s="35">
        <v>1627</v>
      </c>
      <c r="AJ822" t="s" s="35">
        <v>1615</v>
      </c>
      <c r="AK822" s="39"/>
      <c r="AL822" s="39"/>
      <c r="AM822" s="39"/>
      <c r="AN822" s="39"/>
      <c r="AO822" s="39"/>
      <c r="AP822" s="39"/>
      <c r="AQ822" s="39"/>
      <c r="AR822" s="39"/>
      <c r="AS822" s="39"/>
      <c r="AT822" s="39"/>
      <c r="AU822" s="39"/>
      <c r="AV822" s="39"/>
      <c r="AW822" t="str" s="39" cm="1">
        <f t="array" ref="AW822">AF822&amp;"; "&amp;AG822&amp;"; "&amp;AH822&amp;"; "&amp;AI822&amp;"; "&amp;AJ822</f>
        <v>E1; E3; E2; I2; E6</v>
      </c>
    </row>
    <row r="823" ht="13.65" customHeight="1">
      <c r="A823" t="s" s="35">
        <v>5815</v>
      </c>
      <c r="B823" s="36">
        <v>11</v>
      </c>
      <c r="C823" t="s" s="35">
        <v>222</v>
      </c>
      <c r="D823" t="s" s="35">
        <v>4800</v>
      </c>
      <c r="E823" t="s" s="35">
        <v>5427</v>
      </c>
      <c r="F823" s="36">
        <v>78</v>
      </c>
      <c r="G823" t="s" s="35">
        <v>5809</v>
      </c>
      <c r="H823" t="s" s="35">
        <v>5810</v>
      </c>
      <c r="I823" t="s" s="120">
        <v>5816</v>
      </c>
      <c r="J823" t="s" s="35">
        <v>1301</v>
      </c>
      <c r="K823" t="s" s="35">
        <v>1350</v>
      </c>
      <c r="L823" t="s" s="35">
        <v>1340</v>
      </c>
      <c r="M823" t="str" s="39">
        <v>Electricidad y magnetismo</v>
      </c>
      <c r="N823" t="str" s="39">
        <v>Magnetismo e inducción electromagnética</v>
      </c>
      <c r="O823" t="str" s="39" cm="1">
        <f t="array" ref="O823">IF(L823="","",_xlfn.IFERROR(INDEX('Datos - Catálogo TIMSS'!$C$5:$C$107,MATCH(L823,'Datos - Catálogo TIMSS'!$A$5:$A$107,0)),"?"))</f>
        <v>Electricidad y magnetismo</v>
      </c>
      <c r="P823" t="s" s="35">
        <v>282</v>
      </c>
      <c r="Q823" t="s" s="120">
        <v>5817</v>
      </c>
      <c r="R823" t="s" s="120">
        <v>5818</v>
      </c>
      <c r="S823" s="121" cm="1">
        <f t="array" ref="S823">_xlfn.IFERROR(ISNUMBER(SEARCH("Conocer",$R823))/(ISNUMBER(SEARCH("Conocer",$R823))+ISNUMBER(SEARCH("Aplicar",$R823))+ISNUMBER(SEARCH("Razonar",$R823))),0)</f>
        <v>0</v>
      </c>
      <c r="T823" s="121" cm="1">
        <f t="array" ref="T823">_xlfn.IFERROR(ISNUMBER(SEARCH("Aplicar",$R823))/(ISNUMBER(SEARCH("Conocer",$R823))+ISNUMBER(SEARCH("Aplicar",$R823))+ISNUMBER(SEARCH("Razonar",$R823))),0)</f>
        <v>0.5</v>
      </c>
      <c r="U823" s="121" cm="1">
        <f t="array" ref="U823">_xlfn.IFERROR(ISNUMBER(SEARCH("Razonar",$R823))/(ISNUMBER(SEARCH("Conocer",$R823))+ISNUMBER(SEARCH("Aplicar",$R823))+ISNUMBER(SEARCH("Razonar",$R823))),0)</f>
        <v>0.5</v>
      </c>
      <c r="V823" t="s" s="35">
        <v>91</v>
      </c>
      <c r="W823" t="s" s="35">
        <v>119</v>
      </c>
      <c r="X823" s="36" cm="1">
        <f t="array" ref="X823">IF(OR(_xlfn.IFERROR(INDEX('Datos - Catálogo TIMSS'!$I$5:$I$107,MATCH(K823,'Datos - Catálogo TIMSS'!$A$5:$A$107,0)),"No")="Sí",_xlfn.IFERROR(INDEX('Datos - Catálogo TIMSS'!$I$5:$I$107,MATCH(L823,'Datos - Catálogo TIMSS'!$A$5:$A$107,0)),"No")="Sí"),1,0)</f>
        <v>0</v>
      </c>
      <c r="Y823" s="36" cm="1">
        <f t="array" ref="Y823">IF(_xlfn.IFERROR(INDEX('Datos - Catálogo TIMSS'!$J$5:$J$107,MATCH(K823,'Datos - Catálogo TIMSS'!$A$5:$A$107,0)),"No")="Sí",1,0)</f>
        <v>0</v>
      </c>
      <c r="Z823" s="36" cm="1">
        <f t="array" ref="Z823">IF(_xlfn.IFERROR(INDEX('Datos - Catálogo TIMSS'!$J$5:$J$107,MATCH(L823,'Datos - Catálogo TIMSS'!$A$5:$A$107,0)),"No")="Sí",1,0)</f>
        <v>0</v>
      </c>
      <c r="AA823" t="s" s="35">
        <v>1350</v>
      </c>
      <c r="AB823" t="s" s="35">
        <v>1340</v>
      </c>
      <c r="AC823" t="str" s="39">
        <v>Electricidad y magnetismo</v>
      </c>
      <c r="AD823" t="s" s="35">
        <v>1859</v>
      </c>
      <c r="AE823" t="str" s="39" cm="1">
        <f t="array" ref="AE823">IF(AD823="","",IF(LEFT(AD823,1)="1","C1",IF(LEFT(AD823,1)="2","C2",IF(LEFT(AD823,1)="3","C3",""))))</f>
        <v>C1</v>
      </c>
      <c r="AF823" t="s" s="35">
        <v>1615</v>
      </c>
      <c r="AG823" t="s" s="35">
        <v>1612</v>
      </c>
      <c r="AH823" t="s" s="35">
        <v>1602</v>
      </c>
      <c r="AI823" t="s" s="35">
        <v>1609</v>
      </c>
      <c r="AJ823" t="s" s="35">
        <v>1633</v>
      </c>
      <c r="AK823" s="39"/>
      <c r="AL823" s="39"/>
      <c r="AM823" s="39"/>
      <c r="AN823" s="39"/>
      <c r="AO823" s="39"/>
      <c r="AP823" s="39"/>
      <c r="AQ823" s="39"/>
      <c r="AR823" s="39"/>
      <c r="AS823" s="39"/>
      <c r="AT823" s="39"/>
      <c r="AU823" s="39"/>
      <c r="AV823" s="39"/>
      <c r="AW823" t="str" s="39" cm="1">
        <f t="array" ref="AW823">AF823&amp;"; "&amp;AG823&amp;"; "&amp;AH823&amp;"; "&amp;AI823&amp;"; "&amp;AJ823</f>
        <v>E6; E5; E1; E4; I5</v>
      </c>
    </row>
    <row r="824" ht="13.65" customHeight="1">
      <c r="A824" t="s" s="35">
        <v>5820</v>
      </c>
      <c r="B824" s="36">
        <v>11</v>
      </c>
      <c r="C824" t="s" s="35">
        <v>222</v>
      </c>
      <c r="D824" t="s" s="35">
        <v>4800</v>
      </c>
      <c r="E824" t="s" s="35">
        <v>5427</v>
      </c>
      <c r="F824" s="36">
        <v>79</v>
      </c>
      <c r="G824" t="s" s="35">
        <v>5809</v>
      </c>
      <c r="H824" t="s" s="35">
        <v>5821</v>
      </c>
      <c r="I824" t="s" s="120">
        <v>5822</v>
      </c>
      <c r="J824" t="s" s="35">
        <v>1301</v>
      </c>
      <c r="K824" t="s" s="35">
        <v>1832</v>
      </c>
      <c r="L824" s="39"/>
      <c r="M824" t="str" s="39">
        <v>Fuera del marco</v>
      </c>
      <c r="N824" t="str" s="39">
        <v>Fuera del marco</v>
      </c>
      <c r="O824" t="str" s="39" cm="1">
        <f t="array" ref="O824">IF(L824="","",_xlfn.IFERROR(INDEX('Datos - Catálogo TIMSS'!$C$5:$C$107,MATCH(L824,'Datos - Catálogo TIMSS'!$A$5:$A$107,0)),"?"))</f>
      </c>
      <c r="P824" t="s" s="35">
        <v>282</v>
      </c>
      <c r="Q824" t="s" s="120">
        <v>5823</v>
      </c>
      <c r="R824" t="s" s="120">
        <v>5824</v>
      </c>
      <c r="S824" s="121" cm="1">
        <f t="array" ref="S824">_xlfn.IFERROR(ISNUMBER(SEARCH("Conocer",$R824))/(ISNUMBER(SEARCH("Conocer",$R824))+ISNUMBER(SEARCH("Aplicar",$R824))+ISNUMBER(SEARCH("Razonar",$R824))),0)</f>
        <v>0</v>
      </c>
      <c r="T824" s="121" cm="1">
        <f t="array" ref="T824">_xlfn.IFERROR(ISNUMBER(SEARCH("Aplicar",$R824))/(ISNUMBER(SEARCH("Conocer",$R824))+ISNUMBER(SEARCH("Aplicar",$R824))+ISNUMBER(SEARCH("Razonar",$R824))),0)</f>
        <v>0.5</v>
      </c>
      <c r="U824" s="121" cm="1">
        <f t="array" ref="U824">_xlfn.IFERROR(ISNUMBER(SEARCH("Razonar",$R824))/(ISNUMBER(SEARCH("Conocer",$R824))+ISNUMBER(SEARCH("Aplicar",$R824))+ISNUMBER(SEARCH("Razonar",$R824))),0)</f>
        <v>0.5</v>
      </c>
      <c r="V824" t="s" s="35">
        <v>91</v>
      </c>
      <c r="W824" t="s" s="35">
        <v>119</v>
      </c>
      <c r="X824" s="36" cm="1">
        <f t="array" ref="X824">IF(OR(_xlfn.IFERROR(INDEX('Datos - Catálogo TIMSS'!$I$5:$I$107,MATCH(K824,'Datos - Catálogo TIMSS'!$A$5:$A$107,0)),"No")="Sí",_xlfn.IFERROR(INDEX('Datos - Catálogo TIMSS'!$I$5:$I$107,MATCH(L824,'Datos - Catálogo TIMSS'!$A$5:$A$107,0)),"No")="Sí"),1,0)</f>
        <v>0</v>
      </c>
      <c r="Y824" s="36" cm="1">
        <f t="array" ref="Y824">IF(_xlfn.IFERROR(INDEX('Datos - Catálogo TIMSS'!$J$5:$J$107,MATCH(K824,'Datos - Catálogo TIMSS'!$A$5:$A$107,0)),"No")="Sí",1,0)</f>
        <v>0</v>
      </c>
      <c r="Z824" s="36" cm="1">
        <f t="array" ref="Z824">IF(_xlfn.IFERROR(INDEX('Datos - Catálogo TIMSS'!$J$5:$J$107,MATCH(L824,'Datos - Catálogo TIMSS'!$A$5:$A$107,0)),"No")="Sí",1,0)</f>
        <v>0</v>
      </c>
      <c r="AA824" t="s" s="35">
        <v>1832</v>
      </c>
      <c r="AB824" s="39"/>
      <c r="AC824" t="str" s="39">
        <v>Fuera del marco</v>
      </c>
      <c r="AD824" t="s" s="35">
        <v>1859</v>
      </c>
      <c r="AE824" t="str" s="39" cm="1">
        <f t="array" ref="AE824">IF(AD824="","",IF(LEFT(AD824,1)="1","C1",IF(LEFT(AD824,1)="2","C2",IF(LEFT(AD824,1)="3","C3",""))))</f>
        <v>C1</v>
      </c>
      <c r="AF824" t="s" s="35">
        <v>1602</v>
      </c>
      <c r="AG824" t="s" s="35">
        <v>1607</v>
      </c>
      <c r="AH824" t="s" s="35">
        <v>1605</v>
      </c>
      <c r="AI824" t="s" s="35">
        <v>1623</v>
      </c>
      <c r="AJ824" t="s" s="35">
        <v>1607</v>
      </c>
      <c r="AK824" s="39"/>
      <c r="AL824" s="39"/>
      <c r="AM824" s="39"/>
      <c r="AN824" s="39"/>
      <c r="AO824" s="39"/>
      <c r="AP824" s="39"/>
      <c r="AQ824" s="39"/>
      <c r="AR824" s="39"/>
      <c r="AS824" s="39"/>
      <c r="AT824" s="39"/>
      <c r="AU824" s="39"/>
      <c r="AV824" s="39"/>
      <c r="AW824" t="str" s="39" cm="1">
        <f t="array" ref="AW824">AF824&amp;"; "&amp;AG824&amp;"; "&amp;AH824&amp;"; "&amp;AI824&amp;"; "&amp;AJ824</f>
        <v>E1; E3; E2; D4; E3</v>
      </c>
    </row>
    <row r="825" ht="13.65" customHeight="1">
      <c r="A825" t="s" s="35">
        <v>5825</v>
      </c>
      <c r="B825" s="36">
        <v>11</v>
      </c>
      <c r="C825" t="s" s="35">
        <v>222</v>
      </c>
      <c r="D825" t="s" s="35">
        <v>4800</v>
      </c>
      <c r="E825" t="s" s="35">
        <v>5427</v>
      </c>
      <c r="F825" s="36">
        <v>80</v>
      </c>
      <c r="G825" t="s" s="35">
        <v>5809</v>
      </c>
      <c r="H825" t="s" s="35">
        <v>5821</v>
      </c>
      <c r="I825" t="s" s="120">
        <v>5826</v>
      </c>
      <c r="J825" t="s" s="35">
        <v>1301</v>
      </c>
      <c r="K825" t="s" s="35">
        <v>1350</v>
      </c>
      <c r="L825" s="39"/>
      <c r="M825" t="str" s="39">
        <v>Electricidad y magnetismo</v>
      </c>
      <c r="N825" t="str" s="39">
        <v>Magnetismo e inducción electromagnética</v>
      </c>
      <c r="O825" t="str" s="39" cm="1">
        <f t="array" ref="O825">IF(L825="","",_xlfn.IFERROR(INDEX('Datos - Catálogo TIMSS'!$C$5:$C$107,MATCH(L825,'Datos - Catálogo TIMSS'!$A$5:$A$107,0)),"?"))</f>
      </c>
      <c r="P825" t="s" s="35">
        <v>291</v>
      </c>
      <c r="Q825" t="s" s="120">
        <v>5827</v>
      </c>
      <c r="R825" t="s" s="120">
        <v>5828</v>
      </c>
      <c r="S825" s="121" cm="1">
        <f t="array" ref="S825">_xlfn.IFERROR(ISNUMBER(SEARCH("Conocer",$R825))/(ISNUMBER(SEARCH("Conocer",$R825))+ISNUMBER(SEARCH("Aplicar",$R825))+ISNUMBER(SEARCH("Razonar",$R825))),0)</f>
        <v>0</v>
      </c>
      <c r="T825" s="121" cm="1">
        <f t="array" ref="T825">_xlfn.IFERROR(ISNUMBER(SEARCH("Aplicar",$R825))/(ISNUMBER(SEARCH("Conocer",$R825))+ISNUMBER(SEARCH("Aplicar",$R825))+ISNUMBER(SEARCH("Razonar",$R825))),0)</f>
        <v>0.5</v>
      </c>
      <c r="U825" s="121" cm="1">
        <f t="array" ref="U825">_xlfn.IFERROR(ISNUMBER(SEARCH("Razonar",$R825))/(ISNUMBER(SEARCH("Conocer",$R825))+ISNUMBER(SEARCH("Aplicar",$R825))+ISNUMBER(SEARCH("Razonar",$R825))),0)</f>
        <v>0.5</v>
      </c>
      <c r="V825" t="s" s="35">
        <v>91</v>
      </c>
      <c r="W825" t="s" s="35">
        <v>119</v>
      </c>
      <c r="X825" s="36" cm="1">
        <f t="array" ref="X825">IF(OR(_xlfn.IFERROR(INDEX('Datos - Catálogo TIMSS'!$I$5:$I$107,MATCH(K825,'Datos - Catálogo TIMSS'!$A$5:$A$107,0)),"No")="Sí",_xlfn.IFERROR(INDEX('Datos - Catálogo TIMSS'!$I$5:$I$107,MATCH(L825,'Datos - Catálogo TIMSS'!$A$5:$A$107,0)),"No")="Sí"),1,0)</f>
        <v>0</v>
      </c>
      <c r="Y825" s="36" cm="1">
        <f t="array" ref="Y825">IF(_xlfn.IFERROR(INDEX('Datos - Catálogo TIMSS'!$J$5:$J$107,MATCH(K825,'Datos - Catálogo TIMSS'!$A$5:$A$107,0)),"No")="Sí",1,0)</f>
        <v>0</v>
      </c>
      <c r="Z825" s="36" cm="1">
        <f t="array" ref="Z825">IF(_xlfn.IFERROR(INDEX('Datos - Catálogo TIMSS'!$J$5:$J$107,MATCH(L825,'Datos - Catálogo TIMSS'!$A$5:$A$107,0)),"No")="Sí",1,0)</f>
        <v>0</v>
      </c>
      <c r="AA825" t="s" s="35">
        <v>1350</v>
      </c>
      <c r="AB825" s="39"/>
      <c r="AC825" t="str" s="39">
        <v>Electricidad y magnetismo</v>
      </c>
      <c r="AD825" t="s" s="35">
        <v>1834</v>
      </c>
      <c r="AE825" t="str" s="39" cm="1">
        <f t="array" ref="AE825">IF(AD825="","",IF(LEFT(AD825,1)="1","C1",IF(LEFT(AD825,1)="2","C2",IF(LEFT(AD825,1)="3","C3",""))))</f>
        <v>C2</v>
      </c>
      <c r="AF825" t="s" s="35">
        <v>1602</v>
      </c>
      <c r="AG825" t="s" s="35">
        <v>1612</v>
      </c>
      <c r="AH825" t="s" s="35">
        <v>1609</v>
      </c>
      <c r="AI825" t="s" s="35">
        <v>1623</v>
      </c>
      <c r="AJ825" t="s" s="35">
        <v>1621</v>
      </c>
      <c r="AK825" s="39"/>
      <c r="AL825" s="39"/>
      <c r="AM825" s="39"/>
      <c r="AN825" s="39"/>
      <c r="AO825" s="39"/>
      <c r="AP825" s="39"/>
      <c r="AQ825" s="39"/>
      <c r="AR825" s="39"/>
      <c r="AS825" s="39"/>
      <c r="AT825" s="39"/>
      <c r="AU825" s="39"/>
      <c r="AV825" s="39"/>
      <c r="AW825" t="str" s="39" cm="1">
        <f t="array" ref="AW825">AF825&amp;"; "&amp;AG825&amp;"; "&amp;AH825&amp;"; "&amp;AI825&amp;"; "&amp;AJ825</f>
        <v>E1; E5; E4; D4; D3</v>
      </c>
    </row>
    <row r="826" ht="13.65" customHeight="1">
      <c r="A826" t="s" s="35">
        <v>5829</v>
      </c>
      <c r="B826" s="36">
        <v>11</v>
      </c>
      <c r="C826" t="s" s="35">
        <v>222</v>
      </c>
      <c r="D826" t="s" s="35">
        <v>4800</v>
      </c>
      <c r="E826" t="s" s="35">
        <v>5427</v>
      </c>
      <c r="F826" s="36">
        <v>81</v>
      </c>
      <c r="G826" t="s" s="35">
        <v>5809</v>
      </c>
      <c r="H826" t="s" s="35">
        <v>5830</v>
      </c>
      <c r="I826" t="s" s="120">
        <v>5831</v>
      </c>
      <c r="J826" t="s" s="35">
        <v>1301</v>
      </c>
      <c r="K826" t="s" s="35">
        <v>1832</v>
      </c>
      <c r="L826" s="39"/>
      <c r="M826" t="str" s="39">
        <v>Fuera del marco</v>
      </c>
      <c r="N826" t="str" s="39">
        <v>Fuera del marco</v>
      </c>
      <c r="O826" t="str" s="39" cm="1">
        <f t="array" ref="O826">IF(L826="","",_xlfn.IFERROR(INDEX('Datos - Catálogo TIMSS'!$C$5:$C$107,MATCH(L826,'Datos - Catálogo TIMSS'!$A$5:$A$107,0)),"?"))</f>
      </c>
      <c r="P826" t="s" s="35">
        <v>254</v>
      </c>
      <c r="Q826" t="s" s="120">
        <v>5832</v>
      </c>
      <c r="R826" t="s" s="120">
        <v>5833</v>
      </c>
      <c r="S826" s="121" cm="1">
        <f t="array" ref="S826">_xlfn.IFERROR(ISNUMBER(SEARCH("Conocer",$R826))/(ISNUMBER(SEARCH("Conocer",$R826))+ISNUMBER(SEARCH("Aplicar",$R826))+ISNUMBER(SEARCH("Razonar",$R826))),0)</f>
        <v>0</v>
      </c>
      <c r="T826" s="121" cm="1">
        <f t="array" ref="T826">_xlfn.IFERROR(ISNUMBER(SEARCH("Aplicar",$R826))/(ISNUMBER(SEARCH("Conocer",$R826))+ISNUMBER(SEARCH("Aplicar",$R826))+ISNUMBER(SEARCH("Razonar",$R826))),0)</f>
        <v>0.5</v>
      </c>
      <c r="U826" s="121" cm="1">
        <f t="array" ref="U826">_xlfn.IFERROR(ISNUMBER(SEARCH("Razonar",$R826))/(ISNUMBER(SEARCH("Conocer",$R826))+ISNUMBER(SEARCH("Aplicar",$R826))+ISNUMBER(SEARCH("Razonar",$R826))),0)</f>
        <v>0.5</v>
      </c>
      <c r="V826" t="s" s="35">
        <v>91</v>
      </c>
      <c r="W826" t="s" s="35">
        <v>119</v>
      </c>
      <c r="X826" s="36" cm="1">
        <f t="array" ref="X826">IF(OR(_xlfn.IFERROR(INDEX('Datos - Catálogo TIMSS'!$I$5:$I$107,MATCH(K826,'Datos - Catálogo TIMSS'!$A$5:$A$107,0)),"No")="Sí",_xlfn.IFERROR(INDEX('Datos - Catálogo TIMSS'!$I$5:$I$107,MATCH(L826,'Datos - Catálogo TIMSS'!$A$5:$A$107,0)),"No")="Sí"),1,0)</f>
        <v>0</v>
      </c>
      <c r="Y826" s="36" cm="1">
        <f t="array" ref="Y826">IF(_xlfn.IFERROR(INDEX('Datos - Catálogo TIMSS'!$J$5:$J$107,MATCH(K826,'Datos - Catálogo TIMSS'!$A$5:$A$107,0)),"No")="Sí",1,0)</f>
        <v>0</v>
      </c>
      <c r="Z826" s="36" cm="1">
        <f t="array" ref="Z826">IF(_xlfn.IFERROR(INDEX('Datos - Catálogo TIMSS'!$J$5:$J$107,MATCH(L826,'Datos - Catálogo TIMSS'!$A$5:$A$107,0)),"No")="Sí",1,0)</f>
        <v>0</v>
      </c>
      <c r="AA826" t="s" s="35">
        <v>1832</v>
      </c>
      <c r="AB826" s="39"/>
      <c r="AC826" t="str" s="39">
        <v>Fuera del marco</v>
      </c>
      <c r="AD826" t="s" s="35">
        <v>1859</v>
      </c>
      <c r="AE826" t="str" s="39" cm="1">
        <f t="array" ref="AE826">IF(AD826="","",IF(LEFT(AD826,1)="1","C1",IF(LEFT(AD826,1)="2","C2",IF(LEFT(AD826,1)="3","C3",""))))</f>
        <v>C1</v>
      </c>
      <c r="AF826" t="s" s="35">
        <v>1602</v>
      </c>
      <c r="AG826" t="s" s="35">
        <v>1617</v>
      </c>
      <c r="AH826" t="s" s="35">
        <v>1605</v>
      </c>
      <c r="AI826" t="s" s="35">
        <v>1623</v>
      </c>
      <c r="AJ826" t="s" s="35">
        <v>1631</v>
      </c>
      <c r="AK826" s="39"/>
      <c r="AL826" s="39"/>
      <c r="AM826" s="39"/>
      <c r="AN826" s="39"/>
      <c r="AO826" s="39"/>
      <c r="AP826" s="39"/>
      <c r="AQ826" s="39"/>
      <c r="AR826" s="39"/>
      <c r="AS826" s="39"/>
      <c r="AT826" s="39"/>
      <c r="AU826" s="39"/>
      <c r="AV826" s="39"/>
      <c r="AW826" t="str" s="39" cm="1">
        <f t="array" ref="AW826">AF826&amp;"; "&amp;AG826&amp;"; "&amp;AH826&amp;"; "&amp;AI826&amp;"; "&amp;AJ826</f>
        <v>E1; D1; E2; D4; I4</v>
      </c>
    </row>
    <row r="827" ht="13.65" customHeight="1">
      <c r="A827" t="s" s="35">
        <v>5834</v>
      </c>
      <c r="B827" s="36">
        <v>11</v>
      </c>
      <c r="C827" t="s" s="35">
        <v>222</v>
      </c>
      <c r="D827" t="s" s="35">
        <v>4800</v>
      </c>
      <c r="E827" t="s" s="35">
        <v>5427</v>
      </c>
      <c r="F827" s="36">
        <v>82</v>
      </c>
      <c r="G827" t="s" s="35">
        <v>5809</v>
      </c>
      <c r="H827" t="s" s="35">
        <v>5830</v>
      </c>
      <c r="I827" t="s" s="120">
        <v>5835</v>
      </c>
      <c r="J827" t="s" s="35">
        <v>1301</v>
      </c>
      <c r="K827" t="s" s="35">
        <v>1832</v>
      </c>
      <c r="L827" s="39"/>
      <c r="M827" t="str" s="39">
        <v>Fuera del marco</v>
      </c>
      <c r="N827" t="str" s="39">
        <v>Fuera del marco</v>
      </c>
      <c r="O827" t="str" s="39" cm="1">
        <f t="array" ref="O827">IF(L827="","",_xlfn.IFERROR(INDEX('Datos - Catálogo TIMSS'!$C$5:$C$107,MATCH(L827,'Datos - Catálogo TIMSS'!$A$5:$A$107,0)),"?"))</f>
      </c>
      <c r="P827" t="s" s="35">
        <v>282</v>
      </c>
      <c r="Q827" t="s" s="120">
        <v>5836</v>
      </c>
      <c r="R827" t="s" s="120">
        <v>5837</v>
      </c>
      <c r="S827" s="121" cm="1">
        <f t="array" ref="S827">_xlfn.IFERROR(ISNUMBER(SEARCH("Conocer",$R827))/(ISNUMBER(SEARCH("Conocer",$R827))+ISNUMBER(SEARCH("Aplicar",$R827))+ISNUMBER(SEARCH("Razonar",$R827))),0)</f>
        <v>0</v>
      </c>
      <c r="T827" s="121" cm="1">
        <f t="array" ref="T827">_xlfn.IFERROR(ISNUMBER(SEARCH("Aplicar",$R827))/(ISNUMBER(SEARCH("Conocer",$R827))+ISNUMBER(SEARCH("Aplicar",$R827))+ISNUMBER(SEARCH("Razonar",$R827))),0)</f>
        <v>0.5</v>
      </c>
      <c r="U827" s="121" cm="1">
        <f t="array" ref="U827">_xlfn.IFERROR(ISNUMBER(SEARCH("Razonar",$R827))/(ISNUMBER(SEARCH("Conocer",$R827))+ISNUMBER(SEARCH("Aplicar",$R827))+ISNUMBER(SEARCH("Razonar",$R827))),0)</f>
        <v>0.5</v>
      </c>
      <c r="V827" t="s" s="35">
        <v>91</v>
      </c>
      <c r="W827" t="s" s="35">
        <v>119</v>
      </c>
      <c r="X827" s="36" cm="1">
        <f t="array" ref="X827">IF(OR(_xlfn.IFERROR(INDEX('Datos - Catálogo TIMSS'!$I$5:$I$107,MATCH(K827,'Datos - Catálogo TIMSS'!$A$5:$A$107,0)),"No")="Sí",_xlfn.IFERROR(INDEX('Datos - Catálogo TIMSS'!$I$5:$I$107,MATCH(L827,'Datos - Catálogo TIMSS'!$A$5:$A$107,0)),"No")="Sí"),1,0)</f>
        <v>0</v>
      </c>
      <c r="Y827" s="36" cm="1">
        <f t="array" ref="Y827">IF(_xlfn.IFERROR(INDEX('Datos - Catálogo TIMSS'!$J$5:$J$107,MATCH(K827,'Datos - Catálogo TIMSS'!$A$5:$A$107,0)),"No")="Sí",1,0)</f>
        <v>0</v>
      </c>
      <c r="Z827" s="36" cm="1">
        <f t="array" ref="Z827">IF(_xlfn.IFERROR(INDEX('Datos - Catálogo TIMSS'!$J$5:$J$107,MATCH(L827,'Datos - Catálogo TIMSS'!$A$5:$A$107,0)),"No")="Sí",1,0)</f>
        <v>0</v>
      </c>
      <c r="AA827" t="s" s="35">
        <v>1832</v>
      </c>
      <c r="AB827" s="39"/>
      <c r="AC827" t="str" s="39">
        <v>Fuera del marco</v>
      </c>
      <c r="AD827" t="s" s="35">
        <v>1859</v>
      </c>
      <c r="AE827" t="str" s="39" cm="1">
        <f t="array" ref="AE827">IF(AD827="","",IF(LEFT(AD827,1)="1","C1",IF(LEFT(AD827,1)="2","C2",IF(LEFT(AD827,1)="3","C3",""))))</f>
        <v>C1</v>
      </c>
      <c r="AF827" t="s" s="35">
        <v>1615</v>
      </c>
      <c r="AG827" t="s" s="35">
        <v>1607</v>
      </c>
      <c r="AH827" t="s" s="35">
        <v>1602</v>
      </c>
      <c r="AI827" t="s" s="35">
        <v>1623</v>
      </c>
      <c r="AJ827" t="s" s="35">
        <v>1633</v>
      </c>
      <c r="AK827" s="39"/>
      <c r="AL827" s="39"/>
      <c r="AM827" s="39"/>
      <c r="AN827" s="39"/>
      <c r="AO827" s="39"/>
      <c r="AP827" s="39"/>
      <c r="AQ827" s="39"/>
      <c r="AR827" s="39"/>
      <c r="AS827" s="39"/>
      <c r="AT827" s="39"/>
      <c r="AU827" s="39"/>
      <c r="AV827" s="39"/>
      <c r="AW827" t="str" s="39" cm="1">
        <f t="array" ref="AW827">AF827&amp;"; "&amp;AG827&amp;"; "&amp;AH827&amp;"; "&amp;AI827&amp;"; "&amp;AJ827</f>
        <v>E6; E3; E1; D4; I5</v>
      </c>
    </row>
    <row r="828" ht="13.65" customHeight="1">
      <c r="A828" t="s" s="35">
        <v>5838</v>
      </c>
      <c r="B828" s="36">
        <v>11</v>
      </c>
      <c r="C828" t="s" s="35">
        <v>222</v>
      </c>
      <c r="D828" t="s" s="35">
        <v>4800</v>
      </c>
      <c r="E828" t="s" s="35">
        <v>5427</v>
      </c>
      <c r="F828" s="36">
        <v>83</v>
      </c>
      <c r="G828" t="s" s="35">
        <v>5809</v>
      </c>
      <c r="H828" t="s" s="35">
        <v>5839</v>
      </c>
      <c r="I828" t="s" s="120">
        <v>5840</v>
      </c>
      <c r="J828" t="s" s="35">
        <v>1301</v>
      </c>
      <c r="K828" t="s" s="35">
        <v>1832</v>
      </c>
      <c r="L828" s="39"/>
      <c r="M828" t="str" s="39">
        <v>Fuera del marco</v>
      </c>
      <c r="N828" t="str" s="39">
        <v>Fuera del marco</v>
      </c>
      <c r="O828" t="str" s="39" cm="1">
        <f t="array" ref="O828">IF(L828="","",_xlfn.IFERROR(INDEX('Datos - Catálogo TIMSS'!$C$5:$C$107,MATCH(L828,'Datos - Catálogo TIMSS'!$A$5:$A$107,0)),"?"))</f>
      </c>
      <c r="P828" t="s" s="35">
        <v>282</v>
      </c>
      <c r="Q828" t="s" s="120">
        <v>5841</v>
      </c>
      <c r="R828" t="s" s="120">
        <v>5842</v>
      </c>
      <c r="S828" s="121" cm="1">
        <f t="array" ref="S828">_xlfn.IFERROR(ISNUMBER(SEARCH("Conocer",$R828))/(ISNUMBER(SEARCH("Conocer",$R828))+ISNUMBER(SEARCH("Aplicar",$R828))+ISNUMBER(SEARCH("Razonar",$R828))),0)</f>
        <v>0.333333333333333</v>
      </c>
      <c r="T828" s="121" cm="1">
        <f t="array" ref="T828">_xlfn.IFERROR(ISNUMBER(SEARCH("Aplicar",$R828))/(ISNUMBER(SEARCH("Conocer",$R828))+ISNUMBER(SEARCH("Aplicar",$R828))+ISNUMBER(SEARCH("Razonar",$R828))),0)</f>
        <v>0.333333333333333</v>
      </c>
      <c r="U828" s="121" cm="1">
        <f t="array" ref="U828">_xlfn.IFERROR(ISNUMBER(SEARCH("Razonar",$R828))/(ISNUMBER(SEARCH("Conocer",$R828))+ISNUMBER(SEARCH("Aplicar",$R828))+ISNUMBER(SEARCH("Razonar",$R828))),0)</f>
        <v>0.333333333333333</v>
      </c>
      <c r="V828" t="s" s="35">
        <v>91</v>
      </c>
      <c r="W828" t="s" s="35">
        <v>119</v>
      </c>
      <c r="X828" s="36" cm="1">
        <f t="array" ref="X828">IF(OR(_xlfn.IFERROR(INDEX('Datos - Catálogo TIMSS'!$I$5:$I$107,MATCH(K828,'Datos - Catálogo TIMSS'!$A$5:$A$107,0)),"No")="Sí",_xlfn.IFERROR(INDEX('Datos - Catálogo TIMSS'!$I$5:$I$107,MATCH(L828,'Datos - Catálogo TIMSS'!$A$5:$A$107,0)),"No")="Sí"),1,0)</f>
        <v>0</v>
      </c>
      <c r="Y828" s="36" cm="1">
        <f t="array" ref="Y828">IF(_xlfn.IFERROR(INDEX('Datos - Catálogo TIMSS'!$J$5:$J$107,MATCH(K828,'Datos - Catálogo TIMSS'!$A$5:$A$107,0)),"No")="Sí",1,0)</f>
        <v>0</v>
      </c>
      <c r="Z828" s="36" cm="1">
        <f t="array" ref="Z828">IF(_xlfn.IFERROR(INDEX('Datos - Catálogo TIMSS'!$J$5:$J$107,MATCH(L828,'Datos - Catálogo TIMSS'!$A$5:$A$107,0)),"No")="Sí",1,0)</f>
        <v>0</v>
      </c>
      <c r="AA828" t="s" s="35">
        <v>1832</v>
      </c>
      <c r="AB828" s="39"/>
      <c r="AC828" t="str" s="39">
        <v>Fuera del marco</v>
      </c>
      <c r="AD828" t="s" s="35">
        <v>1859</v>
      </c>
      <c r="AE828" t="str" s="39" cm="1">
        <f t="array" ref="AE828">IF(AD828="","",IF(LEFT(AD828,1)="1","C1",IF(LEFT(AD828,1)="2","C2",IF(LEFT(AD828,1)="3","C3",""))))</f>
        <v>C1</v>
      </c>
      <c r="AF828" t="s" s="35">
        <v>1602</v>
      </c>
      <c r="AG828" t="s" s="35">
        <v>1612</v>
      </c>
      <c r="AH828" t="s" s="35">
        <v>1609</v>
      </c>
      <c r="AI828" t="s" s="35">
        <v>1623</v>
      </c>
      <c r="AJ828" t="s" s="35">
        <v>1615</v>
      </c>
      <c r="AK828" s="39"/>
      <c r="AL828" s="39"/>
      <c r="AM828" s="39"/>
      <c r="AN828" s="39"/>
      <c r="AO828" s="39"/>
      <c r="AP828" s="39"/>
      <c r="AQ828" s="39"/>
      <c r="AR828" s="39"/>
      <c r="AS828" s="39"/>
      <c r="AT828" s="39"/>
      <c r="AU828" s="39"/>
      <c r="AV828" s="39"/>
      <c r="AW828" t="str" s="39" cm="1">
        <f t="array" ref="AW828">AF828&amp;"; "&amp;AG828&amp;"; "&amp;AH828&amp;"; "&amp;AI828&amp;"; "&amp;AJ828</f>
        <v>E1; E5; E4; D4; E6</v>
      </c>
    </row>
    <row r="829" ht="13.65" customHeight="1">
      <c r="A829" t="s" s="35">
        <v>5843</v>
      </c>
      <c r="B829" s="36">
        <v>11</v>
      </c>
      <c r="C829" t="s" s="35">
        <v>222</v>
      </c>
      <c r="D829" t="s" s="35">
        <v>4800</v>
      </c>
      <c r="E829" t="s" s="35">
        <v>5427</v>
      </c>
      <c r="F829" s="36">
        <v>84</v>
      </c>
      <c r="G829" t="s" s="35">
        <v>5844</v>
      </c>
      <c r="H829" t="s" s="35">
        <v>5845</v>
      </c>
      <c r="I829" t="s" s="120">
        <v>5846</v>
      </c>
      <c r="J829" t="s" s="35">
        <v>1301</v>
      </c>
      <c r="K829" t="s" s="35">
        <v>1357</v>
      </c>
      <c r="L829" s="39"/>
      <c r="M829" t="str" s="39">
        <v>Ondas y física atómica/nuclear</v>
      </c>
      <c r="N829" t="str" s="39">
        <v>Fenómenos ondulatorios</v>
      </c>
      <c r="O829" t="str" s="39" cm="1">
        <f t="array" ref="O829">IF(L829="","",_xlfn.IFERROR(INDEX('Datos - Catálogo TIMSS'!$C$5:$C$107,MATCH(L829,'Datos - Catálogo TIMSS'!$A$5:$A$107,0)),"?"))</f>
      </c>
      <c r="P829" t="s" s="35">
        <v>282</v>
      </c>
      <c r="Q829" t="s" s="120">
        <v>5847</v>
      </c>
      <c r="R829" t="s" s="120">
        <v>5848</v>
      </c>
      <c r="S829" s="121" cm="1">
        <f t="array" ref="S829">_xlfn.IFERROR(ISNUMBER(SEARCH("Conocer",$R829))/(ISNUMBER(SEARCH("Conocer",$R829))+ISNUMBER(SEARCH("Aplicar",$R829))+ISNUMBER(SEARCH("Razonar",$R829))),0)</f>
        <v>0</v>
      </c>
      <c r="T829" s="121" cm="1">
        <f t="array" ref="T829">_xlfn.IFERROR(ISNUMBER(SEARCH("Aplicar",$R829))/(ISNUMBER(SEARCH("Conocer",$R829))+ISNUMBER(SEARCH("Aplicar",$R829))+ISNUMBER(SEARCH("Razonar",$R829))),0)</f>
        <v>0.5</v>
      </c>
      <c r="U829" s="121" cm="1">
        <f t="array" ref="U829">_xlfn.IFERROR(ISNUMBER(SEARCH("Razonar",$R829))/(ISNUMBER(SEARCH("Conocer",$R829))+ISNUMBER(SEARCH("Aplicar",$R829))+ISNUMBER(SEARCH("Razonar",$R829))),0)</f>
        <v>0.5</v>
      </c>
      <c r="V829" t="s" s="35">
        <v>91</v>
      </c>
      <c r="W829" t="s" s="35">
        <v>119</v>
      </c>
      <c r="X829" s="36" cm="1">
        <f t="array" ref="X829">IF(OR(_xlfn.IFERROR(INDEX('Datos - Catálogo TIMSS'!$I$5:$I$107,MATCH(K829,'Datos - Catálogo TIMSS'!$A$5:$A$107,0)),"No")="Sí",_xlfn.IFERROR(INDEX('Datos - Catálogo TIMSS'!$I$5:$I$107,MATCH(L829,'Datos - Catálogo TIMSS'!$A$5:$A$107,0)),"No")="Sí"),1,0)</f>
        <v>0</v>
      </c>
      <c r="Y829" s="36" cm="1">
        <f t="array" ref="Y829">IF(_xlfn.IFERROR(INDEX('Datos - Catálogo TIMSS'!$J$5:$J$107,MATCH(K829,'Datos - Catálogo TIMSS'!$A$5:$A$107,0)),"No")="Sí",1,0)</f>
        <v>0</v>
      </c>
      <c r="Z829" s="36" cm="1">
        <f t="array" ref="Z829">IF(_xlfn.IFERROR(INDEX('Datos - Catálogo TIMSS'!$J$5:$J$107,MATCH(L829,'Datos - Catálogo TIMSS'!$A$5:$A$107,0)),"No")="Sí",1,0)</f>
        <v>0</v>
      </c>
      <c r="AA829" t="s" s="35">
        <v>1357</v>
      </c>
      <c r="AB829" s="39"/>
      <c r="AC829" t="str" s="39">
        <v>Ondas y física atómica/nuclear</v>
      </c>
      <c r="AD829" t="s" s="35">
        <v>1859</v>
      </c>
      <c r="AE829" t="str" s="39" cm="1">
        <f t="array" ref="AE829">IF(AD829="","",IF(LEFT(AD829,1)="1","C1",IF(LEFT(AD829,1)="2","C2",IF(LEFT(AD829,1)="3","C3",""))))</f>
        <v>C1</v>
      </c>
      <c r="AF829" t="s" s="35">
        <v>1602</v>
      </c>
      <c r="AG829" t="s" s="35">
        <v>1607</v>
      </c>
      <c r="AH829" t="s" s="35">
        <v>1605</v>
      </c>
      <c r="AI829" t="s" s="35">
        <v>1623</v>
      </c>
      <c r="AJ829" t="s" s="35">
        <v>1615</v>
      </c>
      <c r="AK829" s="39"/>
      <c r="AL829" s="39"/>
      <c r="AM829" s="39"/>
      <c r="AN829" s="39"/>
      <c r="AO829" s="39"/>
      <c r="AP829" s="39"/>
      <c r="AQ829" s="39"/>
      <c r="AR829" s="39"/>
      <c r="AS829" s="39"/>
      <c r="AT829" s="39"/>
      <c r="AU829" s="39"/>
      <c r="AV829" s="39"/>
      <c r="AW829" t="str" s="39" cm="1">
        <f t="array" ref="AW829">AF829&amp;"; "&amp;AG829&amp;"; "&amp;AH829&amp;"; "&amp;AI829&amp;"; "&amp;AJ829</f>
        <v>E1; E3; E2; D4; E6</v>
      </c>
    </row>
    <row r="830" ht="13.65" customHeight="1">
      <c r="A830" t="s" s="35">
        <v>5849</v>
      </c>
      <c r="B830" s="36">
        <v>11</v>
      </c>
      <c r="C830" t="s" s="35">
        <v>222</v>
      </c>
      <c r="D830" t="s" s="35">
        <v>4800</v>
      </c>
      <c r="E830" t="s" s="35">
        <v>5427</v>
      </c>
      <c r="F830" s="36">
        <v>85</v>
      </c>
      <c r="G830" t="s" s="35">
        <v>5844</v>
      </c>
      <c r="H830" t="s" s="35">
        <v>5850</v>
      </c>
      <c r="I830" t="s" s="120">
        <v>5851</v>
      </c>
      <c r="J830" t="s" s="35">
        <v>1301</v>
      </c>
      <c r="K830" t="s" s="35">
        <v>1357</v>
      </c>
      <c r="L830" s="39"/>
      <c r="M830" t="str" s="39">
        <v>Ondas y física atómica/nuclear</v>
      </c>
      <c r="N830" t="str" s="39">
        <v>Fenómenos ondulatorios</v>
      </c>
      <c r="O830" t="str" s="39" cm="1">
        <f t="array" ref="O830">IF(L830="","",_xlfn.IFERROR(INDEX('Datos - Catálogo TIMSS'!$C$5:$C$107,MATCH(L830,'Datos - Catálogo TIMSS'!$A$5:$A$107,0)),"?"))</f>
      </c>
      <c r="P830" t="s" s="35">
        <v>291</v>
      </c>
      <c r="Q830" t="s" s="120">
        <v>5852</v>
      </c>
      <c r="R830" t="s" s="120">
        <v>5853</v>
      </c>
      <c r="S830" s="121" cm="1">
        <f t="array" ref="S830">_xlfn.IFERROR(ISNUMBER(SEARCH("Conocer",$R830))/(ISNUMBER(SEARCH("Conocer",$R830))+ISNUMBER(SEARCH("Aplicar",$R830))+ISNUMBER(SEARCH("Razonar",$R830))),0)</f>
        <v>0</v>
      </c>
      <c r="T830" s="121" cm="1">
        <f t="array" ref="T830">_xlfn.IFERROR(ISNUMBER(SEARCH("Aplicar",$R830))/(ISNUMBER(SEARCH("Conocer",$R830))+ISNUMBER(SEARCH("Aplicar",$R830))+ISNUMBER(SEARCH("Razonar",$R830))),0)</f>
        <v>0.5</v>
      </c>
      <c r="U830" s="121" cm="1">
        <f t="array" ref="U830">_xlfn.IFERROR(ISNUMBER(SEARCH("Razonar",$R830))/(ISNUMBER(SEARCH("Conocer",$R830))+ISNUMBER(SEARCH("Aplicar",$R830))+ISNUMBER(SEARCH("Razonar",$R830))),0)</f>
        <v>0.5</v>
      </c>
      <c r="V830" t="s" s="35">
        <v>91</v>
      </c>
      <c r="W830" t="s" s="35">
        <v>119</v>
      </c>
      <c r="X830" s="36" cm="1">
        <f t="array" ref="X830">IF(OR(_xlfn.IFERROR(INDEX('Datos - Catálogo TIMSS'!$I$5:$I$107,MATCH(K830,'Datos - Catálogo TIMSS'!$A$5:$A$107,0)),"No")="Sí",_xlfn.IFERROR(INDEX('Datos - Catálogo TIMSS'!$I$5:$I$107,MATCH(L830,'Datos - Catálogo TIMSS'!$A$5:$A$107,0)),"No")="Sí"),1,0)</f>
        <v>0</v>
      </c>
      <c r="Y830" s="36" cm="1">
        <f t="array" ref="Y830">IF(_xlfn.IFERROR(INDEX('Datos - Catálogo TIMSS'!$J$5:$J$107,MATCH(K830,'Datos - Catálogo TIMSS'!$A$5:$A$107,0)),"No")="Sí",1,0)</f>
        <v>0</v>
      </c>
      <c r="Z830" s="36" cm="1">
        <f t="array" ref="Z830">IF(_xlfn.IFERROR(INDEX('Datos - Catálogo TIMSS'!$J$5:$J$107,MATCH(L830,'Datos - Catálogo TIMSS'!$A$5:$A$107,0)),"No")="Sí",1,0)</f>
        <v>0</v>
      </c>
      <c r="AA830" t="s" s="35">
        <v>1357</v>
      </c>
      <c r="AB830" s="39"/>
      <c r="AC830" t="str" s="39">
        <v>Ondas y física atómica/nuclear</v>
      </c>
      <c r="AD830" t="s" s="35">
        <v>1834</v>
      </c>
      <c r="AE830" t="str" s="39" cm="1">
        <f t="array" ref="AE830">IF(AD830="","",IF(LEFT(AD830,1)="1","C1",IF(LEFT(AD830,1)="2","C2",IF(LEFT(AD830,1)="3","C3",""))))</f>
        <v>C2</v>
      </c>
      <c r="AF830" t="s" s="35">
        <v>1615</v>
      </c>
      <c r="AG830" t="s" s="35">
        <v>1617</v>
      </c>
      <c r="AH830" t="s" s="35">
        <v>1609</v>
      </c>
      <c r="AI830" t="s" s="35">
        <v>1619</v>
      </c>
      <c r="AJ830" t="s" s="35">
        <v>1621</v>
      </c>
      <c r="AK830" s="39"/>
      <c r="AL830" s="39"/>
      <c r="AM830" s="39"/>
      <c r="AN830" s="39"/>
      <c r="AO830" s="39"/>
      <c r="AP830" s="39"/>
      <c r="AQ830" s="39"/>
      <c r="AR830" s="39"/>
      <c r="AS830" s="39"/>
      <c r="AT830" s="39"/>
      <c r="AU830" s="39"/>
      <c r="AV830" s="39"/>
      <c r="AW830" t="str" s="39" cm="1">
        <f t="array" ref="AW830">AF830&amp;"; "&amp;AG830&amp;"; "&amp;AH830&amp;"; "&amp;AI830&amp;"; "&amp;AJ830</f>
        <v>E6; D1; E4; D2; D3</v>
      </c>
    </row>
    <row r="831" ht="13.65" customHeight="1">
      <c r="A831" t="s" s="35">
        <v>5854</v>
      </c>
      <c r="B831" s="36">
        <v>11</v>
      </c>
      <c r="C831" t="s" s="35">
        <v>222</v>
      </c>
      <c r="D831" t="s" s="35">
        <v>4800</v>
      </c>
      <c r="E831" t="s" s="35">
        <v>5427</v>
      </c>
      <c r="F831" s="36">
        <v>86</v>
      </c>
      <c r="G831" t="s" s="35">
        <v>5844</v>
      </c>
      <c r="H831" t="s" s="35">
        <v>5855</v>
      </c>
      <c r="I831" t="s" s="120">
        <v>5856</v>
      </c>
      <c r="J831" t="s" s="35">
        <v>1301</v>
      </c>
      <c r="K831" t="s" s="35">
        <v>1357</v>
      </c>
      <c r="L831" s="39"/>
      <c r="M831" t="str" s="39">
        <v>Ondas y física atómica/nuclear</v>
      </c>
      <c r="N831" t="str" s="39">
        <v>Fenómenos ondulatorios</v>
      </c>
      <c r="O831" t="str" s="39" cm="1">
        <f t="array" ref="O831">IF(L831="","",_xlfn.IFERROR(INDEX('Datos - Catálogo TIMSS'!$C$5:$C$107,MATCH(L831,'Datos - Catálogo TIMSS'!$A$5:$A$107,0)),"?"))</f>
      </c>
      <c r="P831" t="s" s="35">
        <v>282</v>
      </c>
      <c r="Q831" t="s" s="120">
        <v>5857</v>
      </c>
      <c r="R831" t="s" s="120">
        <v>5858</v>
      </c>
      <c r="S831" s="121" cm="1">
        <f t="array" ref="S831">_xlfn.IFERROR(ISNUMBER(SEARCH("Conocer",$R831))/(ISNUMBER(SEARCH("Conocer",$R831))+ISNUMBER(SEARCH("Aplicar",$R831))+ISNUMBER(SEARCH("Razonar",$R831))),0)</f>
        <v>0</v>
      </c>
      <c r="T831" s="121" cm="1">
        <f t="array" ref="T831">_xlfn.IFERROR(ISNUMBER(SEARCH("Aplicar",$R831))/(ISNUMBER(SEARCH("Conocer",$R831))+ISNUMBER(SEARCH("Aplicar",$R831))+ISNUMBER(SEARCH("Razonar",$R831))),0)</f>
        <v>0.5</v>
      </c>
      <c r="U831" s="121" cm="1">
        <f t="array" ref="U831">_xlfn.IFERROR(ISNUMBER(SEARCH("Razonar",$R831))/(ISNUMBER(SEARCH("Conocer",$R831))+ISNUMBER(SEARCH("Aplicar",$R831))+ISNUMBER(SEARCH("Razonar",$R831))),0)</f>
        <v>0.5</v>
      </c>
      <c r="V831" t="s" s="35">
        <v>91</v>
      </c>
      <c r="W831" t="s" s="35">
        <v>119</v>
      </c>
      <c r="X831" s="36" cm="1">
        <f t="array" ref="X831">IF(OR(_xlfn.IFERROR(INDEX('Datos - Catálogo TIMSS'!$I$5:$I$107,MATCH(K831,'Datos - Catálogo TIMSS'!$A$5:$A$107,0)),"No")="Sí",_xlfn.IFERROR(INDEX('Datos - Catálogo TIMSS'!$I$5:$I$107,MATCH(L831,'Datos - Catálogo TIMSS'!$A$5:$A$107,0)),"No")="Sí"),1,0)</f>
        <v>0</v>
      </c>
      <c r="Y831" s="36" cm="1">
        <f t="array" ref="Y831">IF(_xlfn.IFERROR(INDEX('Datos - Catálogo TIMSS'!$J$5:$J$107,MATCH(K831,'Datos - Catálogo TIMSS'!$A$5:$A$107,0)),"No")="Sí",1,0)</f>
        <v>0</v>
      </c>
      <c r="Z831" s="36" cm="1">
        <f t="array" ref="Z831">IF(_xlfn.IFERROR(INDEX('Datos - Catálogo TIMSS'!$J$5:$J$107,MATCH(L831,'Datos - Catálogo TIMSS'!$A$5:$A$107,0)),"No")="Sí",1,0)</f>
        <v>0</v>
      </c>
      <c r="AA831" t="s" s="35">
        <v>1357</v>
      </c>
      <c r="AB831" s="39"/>
      <c r="AC831" t="str" s="39">
        <v>Ondas y física atómica/nuclear</v>
      </c>
      <c r="AD831" t="s" s="35">
        <v>1900</v>
      </c>
      <c r="AE831" t="str" s="39" cm="1">
        <f t="array" ref="AE831">IF(AD831="","",IF(LEFT(AD831,1)="1","C1",IF(LEFT(AD831,1)="2","C2",IF(LEFT(AD831,1)="3","C3",""))))</f>
        <v>C3</v>
      </c>
      <c r="AF831" t="s" s="35">
        <v>1615</v>
      </c>
      <c r="AG831" t="s" s="35">
        <v>1612</v>
      </c>
      <c r="AH831" t="s" s="35">
        <v>1602</v>
      </c>
      <c r="AI831" t="s" s="35">
        <v>1627</v>
      </c>
      <c r="AJ831" t="s" s="35">
        <v>1631</v>
      </c>
      <c r="AK831" s="39"/>
      <c r="AL831" s="39"/>
      <c r="AM831" s="39"/>
      <c r="AN831" s="39"/>
      <c r="AO831" s="39"/>
      <c r="AP831" s="39"/>
      <c r="AQ831" s="39"/>
      <c r="AR831" s="39"/>
      <c r="AS831" s="39"/>
      <c r="AT831" s="39"/>
      <c r="AU831" s="39"/>
      <c r="AV831" s="39"/>
      <c r="AW831" t="str" s="39" cm="1">
        <f t="array" ref="AW831">AF831&amp;"; "&amp;AG831&amp;"; "&amp;AH831&amp;"; "&amp;AI831&amp;"; "&amp;AJ831</f>
        <v>E6; E5; E1; I2; I4</v>
      </c>
    </row>
    <row r="832" ht="13.65" customHeight="1">
      <c r="A832" t="s" s="35">
        <v>5860</v>
      </c>
      <c r="B832" s="36">
        <v>11</v>
      </c>
      <c r="C832" t="s" s="35">
        <v>222</v>
      </c>
      <c r="D832" t="s" s="35">
        <v>4800</v>
      </c>
      <c r="E832" t="s" s="35">
        <v>5427</v>
      </c>
      <c r="F832" s="36">
        <v>87</v>
      </c>
      <c r="G832" t="s" s="35">
        <v>5861</v>
      </c>
      <c r="H832" t="s" s="35">
        <v>5862</v>
      </c>
      <c r="I832" t="s" s="120">
        <v>5863</v>
      </c>
      <c r="J832" t="s" s="35">
        <v>1301</v>
      </c>
      <c r="K832" t="s" s="35">
        <v>1357</v>
      </c>
      <c r="L832" s="39"/>
      <c r="M832" t="str" s="39">
        <v>Ondas y física atómica/nuclear</v>
      </c>
      <c r="N832" t="str" s="39">
        <v>Fenómenos ondulatorios</v>
      </c>
      <c r="O832" t="str" s="39" cm="1">
        <f t="array" ref="O832">IF(L832="","",_xlfn.IFERROR(INDEX('Datos - Catálogo TIMSS'!$C$5:$C$107,MATCH(L832,'Datos - Catálogo TIMSS'!$A$5:$A$107,0)),"?"))</f>
      </c>
      <c r="P832" t="s" s="35">
        <v>282</v>
      </c>
      <c r="Q832" t="s" s="120">
        <v>5864</v>
      </c>
      <c r="R832" t="s" s="120">
        <v>5865</v>
      </c>
      <c r="S832" s="121" cm="1">
        <f t="array" ref="S832">_xlfn.IFERROR(ISNUMBER(SEARCH("Conocer",$R832))/(ISNUMBER(SEARCH("Conocer",$R832))+ISNUMBER(SEARCH("Aplicar",$R832))+ISNUMBER(SEARCH("Razonar",$R832))),0)</f>
        <v>0</v>
      </c>
      <c r="T832" s="121" cm="1">
        <f t="array" ref="T832">_xlfn.IFERROR(ISNUMBER(SEARCH("Aplicar",$R832))/(ISNUMBER(SEARCH("Conocer",$R832))+ISNUMBER(SEARCH("Aplicar",$R832))+ISNUMBER(SEARCH("Razonar",$R832))),0)</f>
        <v>0.5</v>
      </c>
      <c r="U832" s="121" cm="1">
        <f t="array" ref="U832">_xlfn.IFERROR(ISNUMBER(SEARCH("Razonar",$R832))/(ISNUMBER(SEARCH("Conocer",$R832))+ISNUMBER(SEARCH("Aplicar",$R832))+ISNUMBER(SEARCH("Razonar",$R832))),0)</f>
        <v>0.5</v>
      </c>
      <c r="V832" t="s" s="35">
        <v>91</v>
      </c>
      <c r="W832" t="s" s="35">
        <v>119</v>
      </c>
      <c r="X832" s="36" cm="1">
        <f t="array" ref="X832">IF(OR(_xlfn.IFERROR(INDEX('Datos - Catálogo TIMSS'!$I$5:$I$107,MATCH(K832,'Datos - Catálogo TIMSS'!$A$5:$A$107,0)),"No")="Sí",_xlfn.IFERROR(INDEX('Datos - Catálogo TIMSS'!$I$5:$I$107,MATCH(L832,'Datos - Catálogo TIMSS'!$A$5:$A$107,0)),"No")="Sí"),1,0)</f>
        <v>0</v>
      </c>
      <c r="Y832" s="36" cm="1">
        <f t="array" ref="Y832">IF(_xlfn.IFERROR(INDEX('Datos - Catálogo TIMSS'!$J$5:$J$107,MATCH(K832,'Datos - Catálogo TIMSS'!$A$5:$A$107,0)),"No")="Sí",1,0)</f>
        <v>0</v>
      </c>
      <c r="Z832" s="36" cm="1">
        <f t="array" ref="Z832">IF(_xlfn.IFERROR(INDEX('Datos - Catálogo TIMSS'!$J$5:$J$107,MATCH(L832,'Datos - Catálogo TIMSS'!$A$5:$A$107,0)),"No")="Sí",1,0)</f>
        <v>0</v>
      </c>
      <c r="AA832" t="s" s="35">
        <v>1357</v>
      </c>
      <c r="AB832" s="39"/>
      <c r="AC832" t="str" s="39">
        <v>Ondas y física atómica/nuclear</v>
      </c>
      <c r="AD832" t="s" s="35">
        <v>1834</v>
      </c>
      <c r="AE832" t="str" s="39" cm="1">
        <f t="array" ref="AE832">IF(AD832="","",IF(LEFT(AD832,1)="1","C1",IF(LEFT(AD832,1)="2","C2",IF(LEFT(AD832,1)="3","C3",""))))</f>
        <v>C2</v>
      </c>
      <c r="AF832" t="s" s="35">
        <v>1602</v>
      </c>
      <c r="AG832" t="s" s="35">
        <v>1617</v>
      </c>
      <c r="AH832" t="s" s="35">
        <v>1609</v>
      </c>
      <c r="AI832" t="s" s="35">
        <v>1623</v>
      </c>
      <c r="AJ832" t="s" s="35">
        <v>1607</v>
      </c>
      <c r="AK832" s="39"/>
      <c r="AL832" s="39"/>
      <c r="AM832" s="39"/>
      <c r="AN832" s="39"/>
      <c r="AO832" s="39"/>
      <c r="AP832" s="39"/>
      <c r="AQ832" s="39"/>
      <c r="AR832" s="39"/>
      <c r="AS832" s="39"/>
      <c r="AT832" s="39"/>
      <c r="AU832" s="39"/>
      <c r="AV832" s="39"/>
      <c r="AW832" t="str" s="39" cm="1">
        <f t="array" ref="AW832">AF832&amp;"; "&amp;AG832&amp;"; "&amp;AH832&amp;"; "&amp;AI832&amp;"; "&amp;AJ832</f>
        <v>E1; D1; E4; D4; E3</v>
      </c>
    </row>
    <row r="833" ht="13.65" customHeight="1">
      <c r="A833" t="s" s="35">
        <v>5866</v>
      </c>
      <c r="B833" s="36">
        <v>11</v>
      </c>
      <c r="C833" t="s" s="35">
        <v>222</v>
      </c>
      <c r="D833" t="s" s="35">
        <v>4800</v>
      </c>
      <c r="E833" t="s" s="35">
        <v>5427</v>
      </c>
      <c r="F833" s="36">
        <v>88</v>
      </c>
      <c r="G833" t="s" s="35">
        <v>5861</v>
      </c>
      <c r="H833" t="s" s="35">
        <v>5867</v>
      </c>
      <c r="I833" t="s" s="120">
        <v>5868</v>
      </c>
      <c r="J833" t="s" s="35">
        <v>1301</v>
      </c>
      <c r="K833" t="s" s="35">
        <v>1370</v>
      </c>
      <c r="L833" t="s" s="35">
        <v>1363</v>
      </c>
      <c r="M833" t="str" s="39">
        <v>Ondas y física atómica/nuclear</v>
      </c>
      <c r="N833" t="str" s="39">
        <v>Física atómica y nuclear</v>
      </c>
      <c r="O833" t="str" s="39" cm="1">
        <f t="array" ref="O833">IF(L833="","",_xlfn.IFERROR(INDEX('Datos - Catálogo TIMSS'!$C$5:$C$107,MATCH(L833,'Datos - Catálogo TIMSS'!$A$5:$A$107,0)),"?"))</f>
        <v>Ondas y física atómica/nuclear</v>
      </c>
      <c r="P833" t="s" s="35">
        <v>254</v>
      </c>
      <c r="Q833" t="s" s="120">
        <v>5870</v>
      </c>
      <c r="R833" t="s" s="120">
        <v>5871</v>
      </c>
      <c r="S833" s="121" cm="1">
        <f t="array" ref="S833">_xlfn.IFERROR(ISNUMBER(SEARCH("Conocer",$R833))/(ISNUMBER(SEARCH("Conocer",$R833))+ISNUMBER(SEARCH("Aplicar",$R833))+ISNUMBER(SEARCH("Razonar",$R833))),0)</f>
        <v>0.5</v>
      </c>
      <c r="T833" s="121" cm="1">
        <f t="array" ref="T833">_xlfn.IFERROR(ISNUMBER(SEARCH("Aplicar",$R833))/(ISNUMBER(SEARCH("Conocer",$R833))+ISNUMBER(SEARCH("Aplicar",$R833))+ISNUMBER(SEARCH("Razonar",$R833))),0)</f>
        <v>0</v>
      </c>
      <c r="U833" s="121" cm="1">
        <f t="array" ref="U833">_xlfn.IFERROR(ISNUMBER(SEARCH("Razonar",$R833))/(ISNUMBER(SEARCH("Conocer",$R833))+ISNUMBER(SEARCH("Aplicar",$R833))+ISNUMBER(SEARCH("Razonar",$R833))),0)</f>
        <v>0.5</v>
      </c>
      <c r="V833" t="s" s="35">
        <v>91</v>
      </c>
      <c r="W833" t="s" s="35">
        <v>119</v>
      </c>
      <c r="X833" s="36" cm="1">
        <f t="array" ref="X833">IF(OR(_xlfn.IFERROR(INDEX('Datos - Catálogo TIMSS'!$I$5:$I$107,MATCH(K833,'Datos - Catálogo TIMSS'!$A$5:$A$107,0)),"No")="Sí",_xlfn.IFERROR(INDEX('Datos - Catálogo TIMSS'!$I$5:$I$107,MATCH(L833,'Datos - Catálogo TIMSS'!$A$5:$A$107,0)),"No")="Sí"),1,0)</f>
        <v>0</v>
      </c>
      <c r="Y833" s="36" cm="1">
        <f t="array" ref="Y833">IF(_xlfn.IFERROR(INDEX('Datos - Catálogo TIMSS'!$J$5:$J$107,MATCH(K833,'Datos - Catálogo TIMSS'!$A$5:$A$107,0)),"No")="Sí",1,0)</f>
        <v>0</v>
      </c>
      <c r="Z833" s="36" cm="1">
        <f t="array" ref="Z833">IF(_xlfn.IFERROR(INDEX('Datos - Catálogo TIMSS'!$J$5:$J$107,MATCH(L833,'Datos - Catálogo TIMSS'!$A$5:$A$107,0)),"No")="Sí",1,0)</f>
        <v>0</v>
      </c>
      <c r="AA833" t="s" s="35">
        <v>1370</v>
      </c>
      <c r="AB833" t="s" s="35">
        <v>1363</v>
      </c>
      <c r="AC833" t="str" s="39">
        <v>Ondas y física atómica/nuclear</v>
      </c>
      <c r="AD833" t="s" s="35">
        <v>1859</v>
      </c>
      <c r="AE833" t="str" s="39" cm="1">
        <f t="array" ref="AE833">IF(AD833="","",IF(LEFT(AD833,1)="1","C1",IF(LEFT(AD833,1)="2","C2",IF(LEFT(AD833,1)="3","C3",""))))</f>
        <v>C1</v>
      </c>
      <c r="AF833" t="s" s="35">
        <v>1615</v>
      </c>
      <c r="AG833" t="s" s="35">
        <v>1612</v>
      </c>
      <c r="AH833" t="s" s="35">
        <v>1605</v>
      </c>
      <c r="AI833" t="s" s="35">
        <v>1625</v>
      </c>
      <c r="AJ833" t="s" s="35">
        <v>1607</v>
      </c>
      <c r="AK833" s="39"/>
      <c r="AL833" s="39"/>
      <c r="AM833" s="39"/>
      <c r="AN833" s="39"/>
      <c r="AO833" s="39"/>
      <c r="AP833" s="39"/>
      <c r="AQ833" s="39"/>
      <c r="AR833" s="39"/>
      <c r="AS833" s="39"/>
      <c r="AT833" s="39"/>
      <c r="AU833" s="39"/>
      <c r="AV833" s="39"/>
      <c r="AW833" t="str" s="39" cm="1">
        <f t="array" ref="AW833">AF833&amp;"; "&amp;AG833&amp;"; "&amp;AH833&amp;"; "&amp;AI833&amp;"; "&amp;AJ833</f>
        <v>E6; E5; E2; I1; E3</v>
      </c>
    </row>
    <row r="834" ht="13.65" customHeight="1">
      <c r="A834" t="s" s="35">
        <v>5873</v>
      </c>
      <c r="B834" s="36">
        <v>11</v>
      </c>
      <c r="C834" t="s" s="35">
        <v>222</v>
      </c>
      <c r="D834" t="s" s="35">
        <v>4800</v>
      </c>
      <c r="E834" t="s" s="35">
        <v>5427</v>
      </c>
      <c r="F834" s="36">
        <v>89</v>
      </c>
      <c r="G834" t="s" s="35">
        <v>5861</v>
      </c>
      <c r="H834" t="s" s="35">
        <v>5874</v>
      </c>
      <c r="I834" t="s" s="120">
        <v>5875</v>
      </c>
      <c r="J834" t="s" s="35">
        <v>1301</v>
      </c>
      <c r="K834" t="s" s="35">
        <v>1360</v>
      </c>
      <c r="L834" t="s" s="35">
        <v>1370</v>
      </c>
      <c r="M834" t="str" s="39">
        <v>Ondas y física atómica/nuclear</v>
      </c>
      <c r="N834" t="str" s="39">
        <v>Fenómenos ondulatorios</v>
      </c>
      <c r="O834" t="str" s="39" cm="1">
        <f t="array" ref="O834">IF(L834="","",_xlfn.IFERROR(INDEX('Datos - Catálogo TIMSS'!$C$5:$C$107,MATCH(L834,'Datos - Catálogo TIMSS'!$A$5:$A$107,0)),"?"))</f>
        <v>Ondas y física atómica/nuclear</v>
      </c>
      <c r="P834" t="s" s="35">
        <v>254</v>
      </c>
      <c r="Q834" t="s" s="120">
        <v>5876</v>
      </c>
      <c r="R834" t="s" s="120">
        <v>5877</v>
      </c>
      <c r="S834" s="121" cm="1">
        <f t="array" ref="S834">_xlfn.IFERROR(ISNUMBER(SEARCH("Conocer",$R834))/(ISNUMBER(SEARCH("Conocer",$R834))+ISNUMBER(SEARCH("Aplicar",$R834))+ISNUMBER(SEARCH("Razonar",$R834))),0)</f>
        <v>0</v>
      </c>
      <c r="T834" s="121" cm="1">
        <f t="array" ref="T834">_xlfn.IFERROR(ISNUMBER(SEARCH("Aplicar",$R834))/(ISNUMBER(SEARCH("Conocer",$R834))+ISNUMBER(SEARCH("Aplicar",$R834))+ISNUMBER(SEARCH("Razonar",$R834))),0)</f>
        <v>0.5</v>
      </c>
      <c r="U834" s="121" cm="1">
        <f t="array" ref="U834">_xlfn.IFERROR(ISNUMBER(SEARCH("Razonar",$R834))/(ISNUMBER(SEARCH("Conocer",$R834))+ISNUMBER(SEARCH("Aplicar",$R834))+ISNUMBER(SEARCH("Razonar",$R834))),0)</f>
        <v>0.5</v>
      </c>
      <c r="V834" t="s" s="35">
        <v>91</v>
      </c>
      <c r="W834" t="s" s="35">
        <v>119</v>
      </c>
      <c r="X834" s="36" cm="1">
        <f t="array" ref="X834">IF(OR(_xlfn.IFERROR(INDEX('Datos - Catálogo TIMSS'!$I$5:$I$107,MATCH(K834,'Datos - Catálogo TIMSS'!$A$5:$A$107,0)),"No")="Sí",_xlfn.IFERROR(INDEX('Datos - Catálogo TIMSS'!$I$5:$I$107,MATCH(L834,'Datos - Catálogo TIMSS'!$A$5:$A$107,0)),"No")="Sí"),1,0)</f>
        <v>0</v>
      </c>
      <c r="Y834" s="36" cm="1">
        <f t="array" ref="Y834">IF(_xlfn.IFERROR(INDEX('Datos - Catálogo TIMSS'!$J$5:$J$107,MATCH(K834,'Datos - Catálogo TIMSS'!$A$5:$A$107,0)),"No")="Sí",1,0)</f>
        <v>0</v>
      </c>
      <c r="Z834" s="36" cm="1">
        <f t="array" ref="Z834">IF(_xlfn.IFERROR(INDEX('Datos - Catálogo TIMSS'!$J$5:$J$107,MATCH(L834,'Datos - Catálogo TIMSS'!$A$5:$A$107,0)),"No")="Sí",1,0)</f>
        <v>0</v>
      </c>
      <c r="AA834" t="s" s="35">
        <v>1360</v>
      </c>
      <c r="AB834" t="s" s="35">
        <v>1370</v>
      </c>
      <c r="AC834" t="str" s="39">
        <v>Ondas y física atómica/nuclear</v>
      </c>
      <c r="AD834" t="s" s="35">
        <v>1859</v>
      </c>
      <c r="AE834" t="str" s="39" cm="1">
        <f t="array" ref="AE834">IF(AD834="","",IF(LEFT(AD834,1)="1","C1",IF(LEFT(AD834,1)="2","C2",IF(LEFT(AD834,1)="3","C3",""))))</f>
        <v>C1</v>
      </c>
      <c r="AF834" t="s" s="35">
        <v>1602</v>
      </c>
      <c r="AG834" t="s" s="35">
        <v>1617</v>
      </c>
      <c r="AH834" t="s" s="35">
        <v>1605</v>
      </c>
      <c r="AI834" t="s" s="35">
        <v>1609</v>
      </c>
      <c r="AJ834" t="s" s="35">
        <v>1607</v>
      </c>
      <c r="AK834" s="39"/>
      <c r="AL834" s="39"/>
      <c r="AM834" s="39"/>
      <c r="AN834" s="39"/>
      <c r="AO834" s="39"/>
      <c r="AP834" s="39"/>
      <c r="AQ834" s="39"/>
      <c r="AR834" s="39"/>
      <c r="AS834" s="39"/>
      <c r="AT834" s="39"/>
      <c r="AU834" s="39"/>
      <c r="AV834" s="39"/>
      <c r="AW834" t="str" s="39" cm="1">
        <f t="array" ref="AW834">AF834&amp;"; "&amp;AG834&amp;"; "&amp;AH834&amp;"; "&amp;AI834&amp;"; "&amp;AJ834</f>
        <v>E1; D1; E2; E4; E3</v>
      </c>
    </row>
    <row r="835" ht="13.65" customHeight="1">
      <c r="A835" t="s" s="35">
        <v>5878</v>
      </c>
      <c r="B835" s="36">
        <v>11</v>
      </c>
      <c r="C835" t="s" s="35">
        <v>222</v>
      </c>
      <c r="D835" t="s" s="35">
        <v>4800</v>
      </c>
      <c r="E835" t="s" s="35">
        <v>5427</v>
      </c>
      <c r="F835" s="36">
        <v>90</v>
      </c>
      <c r="G835" t="s" s="35">
        <v>5861</v>
      </c>
      <c r="H835" t="s" s="35">
        <v>5874</v>
      </c>
      <c r="I835" t="s" s="120">
        <v>5879</v>
      </c>
      <c r="J835" t="s" s="35">
        <v>1301</v>
      </c>
      <c r="K835" t="s" s="35">
        <v>1370</v>
      </c>
      <c r="L835" s="39"/>
      <c r="M835" t="str" s="39">
        <v>Ondas y física atómica/nuclear</v>
      </c>
      <c r="N835" t="str" s="39">
        <v>Física atómica y nuclear</v>
      </c>
      <c r="O835" t="str" s="39" cm="1">
        <f t="array" ref="O835">IF(L835="","",_xlfn.IFERROR(INDEX('Datos - Catálogo TIMSS'!$C$5:$C$107,MATCH(L835,'Datos - Catálogo TIMSS'!$A$5:$A$107,0)),"?"))</f>
      </c>
      <c r="P835" t="s" s="35">
        <v>254</v>
      </c>
      <c r="Q835" t="s" s="120">
        <v>5880</v>
      </c>
      <c r="R835" t="s" s="120">
        <v>5881</v>
      </c>
      <c r="S835" s="121" cm="1">
        <f t="array" ref="S835">_xlfn.IFERROR(ISNUMBER(SEARCH("Conocer",$R835))/(ISNUMBER(SEARCH("Conocer",$R835))+ISNUMBER(SEARCH("Aplicar",$R835))+ISNUMBER(SEARCH("Razonar",$R835))),0)</f>
        <v>0</v>
      </c>
      <c r="T835" s="121" cm="1">
        <f t="array" ref="T835">_xlfn.IFERROR(ISNUMBER(SEARCH("Aplicar",$R835))/(ISNUMBER(SEARCH("Conocer",$R835))+ISNUMBER(SEARCH("Aplicar",$R835))+ISNUMBER(SEARCH("Razonar",$R835))),0)</f>
        <v>0.5</v>
      </c>
      <c r="U835" s="121" cm="1">
        <f t="array" ref="U835">_xlfn.IFERROR(ISNUMBER(SEARCH("Razonar",$R835))/(ISNUMBER(SEARCH("Conocer",$R835))+ISNUMBER(SEARCH("Aplicar",$R835))+ISNUMBER(SEARCH("Razonar",$R835))),0)</f>
        <v>0.5</v>
      </c>
      <c r="V835" t="s" s="35">
        <v>91</v>
      </c>
      <c r="W835" t="s" s="35">
        <v>119</v>
      </c>
      <c r="X835" s="36" cm="1">
        <f t="array" ref="X835">IF(OR(_xlfn.IFERROR(INDEX('Datos - Catálogo TIMSS'!$I$5:$I$107,MATCH(K835,'Datos - Catálogo TIMSS'!$A$5:$A$107,0)),"No")="Sí",_xlfn.IFERROR(INDEX('Datos - Catálogo TIMSS'!$I$5:$I$107,MATCH(L835,'Datos - Catálogo TIMSS'!$A$5:$A$107,0)),"No")="Sí"),1,0)</f>
        <v>0</v>
      </c>
      <c r="Y835" s="36" cm="1">
        <f t="array" ref="Y835">IF(_xlfn.IFERROR(INDEX('Datos - Catálogo TIMSS'!$J$5:$J$107,MATCH(K835,'Datos - Catálogo TIMSS'!$A$5:$A$107,0)),"No")="Sí",1,0)</f>
        <v>0</v>
      </c>
      <c r="Z835" s="36" cm="1">
        <f t="array" ref="Z835">IF(_xlfn.IFERROR(INDEX('Datos - Catálogo TIMSS'!$J$5:$J$107,MATCH(L835,'Datos - Catálogo TIMSS'!$A$5:$A$107,0)),"No")="Sí",1,0)</f>
        <v>0</v>
      </c>
      <c r="AA835" t="s" s="35">
        <v>1370</v>
      </c>
      <c r="AB835" s="39"/>
      <c r="AC835" t="str" s="39">
        <v>Ondas y física atómica/nuclear</v>
      </c>
      <c r="AD835" t="s" s="35">
        <v>1834</v>
      </c>
      <c r="AE835" t="str" s="39" cm="1">
        <f t="array" ref="AE835">IF(AD835="","",IF(LEFT(AD835,1)="1","C1",IF(LEFT(AD835,1)="2","C2",IF(LEFT(AD835,1)="3","C3",""))))</f>
        <v>C2</v>
      </c>
      <c r="AF835" t="s" s="35">
        <v>1615</v>
      </c>
      <c r="AG835" t="s" s="35">
        <v>1607</v>
      </c>
      <c r="AH835" t="s" s="35">
        <v>1602</v>
      </c>
      <c r="AI835" t="s" s="35">
        <v>1623</v>
      </c>
      <c r="AJ835" t="s" s="35">
        <v>1633</v>
      </c>
      <c r="AK835" s="39"/>
      <c r="AL835" s="39"/>
      <c r="AM835" s="39"/>
      <c r="AN835" s="39"/>
      <c r="AO835" s="39"/>
      <c r="AP835" s="39"/>
      <c r="AQ835" s="39"/>
      <c r="AR835" s="39"/>
      <c r="AS835" s="39"/>
      <c r="AT835" s="39"/>
      <c r="AU835" s="39"/>
      <c r="AV835" s="39"/>
      <c r="AW835" t="str" s="39" cm="1">
        <f t="array" ref="AW835">AF835&amp;"; "&amp;AG835&amp;"; "&amp;AH835&amp;"; "&amp;AI835&amp;"; "&amp;AJ835</f>
        <v>E6; E3; E1; D4; I5</v>
      </c>
    </row>
    <row r="836" ht="13.65" customHeight="1">
      <c r="A836" t="s" s="35">
        <v>5882</v>
      </c>
      <c r="B836" s="36">
        <v>11</v>
      </c>
      <c r="C836" t="s" s="35">
        <v>222</v>
      </c>
      <c r="D836" t="s" s="35">
        <v>4800</v>
      </c>
      <c r="E836" t="s" s="35">
        <v>5427</v>
      </c>
      <c r="F836" s="36">
        <v>91</v>
      </c>
      <c r="G836" t="s" s="35">
        <v>5861</v>
      </c>
      <c r="H836" t="s" s="35">
        <v>5883</v>
      </c>
      <c r="I836" t="s" s="120">
        <v>5884</v>
      </c>
      <c r="J836" t="s" s="35">
        <v>1301</v>
      </c>
      <c r="K836" t="s" s="35">
        <v>1370</v>
      </c>
      <c r="L836" t="s" s="35">
        <v>1319</v>
      </c>
      <c r="M836" t="str" s="39">
        <v>Ondas y física atómica/nuclear</v>
      </c>
      <c r="N836" t="str" s="39">
        <v>Física atómica y nuclear</v>
      </c>
      <c r="O836" t="str" s="39" cm="1">
        <f t="array" ref="O836">IF(L836="","",_xlfn.IFERROR(INDEX('Datos - Catálogo TIMSS'!$C$5:$C$107,MATCH(L836,'Datos - Catálogo TIMSS'!$A$5:$A$107,0)),"?"))</f>
        <v>Mecánica y termodinámica</v>
      </c>
      <c r="P836" t="s" s="35">
        <v>254</v>
      </c>
      <c r="Q836" t="s" s="120">
        <v>5885</v>
      </c>
      <c r="R836" t="s" s="120">
        <v>5886</v>
      </c>
      <c r="S836" s="121" cm="1">
        <f t="array" ref="S836">_xlfn.IFERROR(ISNUMBER(SEARCH("Conocer",$R836))/(ISNUMBER(SEARCH("Conocer",$R836))+ISNUMBER(SEARCH("Aplicar",$R836))+ISNUMBER(SEARCH("Razonar",$R836))),0)</f>
        <v>0</v>
      </c>
      <c r="T836" s="121" cm="1">
        <f t="array" ref="T836">_xlfn.IFERROR(ISNUMBER(SEARCH("Aplicar",$R836))/(ISNUMBER(SEARCH("Conocer",$R836))+ISNUMBER(SEARCH("Aplicar",$R836))+ISNUMBER(SEARCH("Razonar",$R836))),0)</f>
        <v>0.5</v>
      </c>
      <c r="U836" s="121" cm="1">
        <f t="array" ref="U836">_xlfn.IFERROR(ISNUMBER(SEARCH("Razonar",$R836))/(ISNUMBER(SEARCH("Conocer",$R836))+ISNUMBER(SEARCH("Aplicar",$R836))+ISNUMBER(SEARCH("Razonar",$R836))),0)</f>
        <v>0.5</v>
      </c>
      <c r="V836" t="s" s="35">
        <v>91</v>
      </c>
      <c r="W836" t="s" s="35">
        <v>119</v>
      </c>
      <c r="X836" s="36" cm="1">
        <f t="array" ref="X836">IF(OR(_xlfn.IFERROR(INDEX('Datos - Catálogo TIMSS'!$I$5:$I$107,MATCH(K836,'Datos - Catálogo TIMSS'!$A$5:$A$107,0)),"No")="Sí",_xlfn.IFERROR(INDEX('Datos - Catálogo TIMSS'!$I$5:$I$107,MATCH(L836,'Datos - Catálogo TIMSS'!$A$5:$A$107,0)),"No")="Sí"),1,0)</f>
        <v>0</v>
      </c>
      <c r="Y836" s="36" cm="1">
        <f t="array" ref="Y836">IF(_xlfn.IFERROR(INDEX('Datos - Catálogo TIMSS'!$J$5:$J$107,MATCH(K836,'Datos - Catálogo TIMSS'!$A$5:$A$107,0)),"No")="Sí",1,0)</f>
        <v>0</v>
      </c>
      <c r="Z836" s="36" cm="1">
        <f t="array" ref="Z836">IF(_xlfn.IFERROR(INDEX('Datos - Catálogo TIMSS'!$J$5:$J$107,MATCH(L836,'Datos - Catálogo TIMSS'!$A$5:$A$107,0)),"No")="Sí",1,0)</f>
        <v>0</v>
      </c>
      <c r="AA836" t="s" s="35">
        <v>1370</v>
      </c>
      <c r="AB836" t="s" s="35">
        <v>1319</v>
      </c>
      <c r="AC836" t="str" s="39">
        <v>Ondas y física atómica/nuclear</v>
      </c>
      <c r="AD836" t="s" s="35">
        <v>1859</v>
      </c>
      <c r="AE836" t="str" s="39" cm="1">
        <f t="array" ref="AE836">IF(AD836="","",IF(LEFT(AD836,1)="1","C1",IF(LEFT(AD836,1)="2","C2",IF(LEFT(AD836,1)="3","C3",""))))</f>
        <v>C1</v>
      </c>
      <c r="AF836" t="s" s="35">
        <v>1602</v>
      </c>
      <c r="AG836" t="s" s="35">
        <v>1612</v>
      </c>
      <c r="AH836" t="s" s="35">
        <v>1609</v>
      </c>
      <c r="AI836" t="s" s="35">
        <v>1623</v>
      </c>
      <c r="AJ836" t="s" s="35">
        <v>1607</v>
      </c>
      <c r="AK836" s="39"/>
      <c r="AL836" s="39"/>
      <c r="AM836" s="39"/>
      <c r="AN836" s="39"/>
      <c r="AO836" s="39"/>
      <c r="AP836" s="39"/>
      <c r="AQ836" s="39"/>
      <c r="AR836" s="39"/>
      <c r="AS836" s="39"/>
      <c r="AT836" s="39"/>
      <c r="AU836" s="39"/>
      <c r="AV836" s="39"/>
      <c r="AW836" t="str" s="39" cm="1">
        <f t="array" ref="AW836">AF836&amp;"; "&amp;AG836&amp;"; "&amp;AH836&amp;"; "&amp;AI836&amp;"; "&amp;AJ836</f>
        <v>E1; E5; E4; D4; E3</v>
      </c>
    </row>
    <row r="837" ht="13.65" customHeight="1">
      <c r="A837" t="s" s="35">
        <v>5887</v>
      </c>
      <c r="B837" s="36">
        <v>11</v>
      </c>
      <c r="C837" t="s" s="35">
        <v>222</v>
      </c>
      <c r="D837" t="s" s="35">
        <v>4800</v>
      </c>
      <c r="E837" t="s" s="35">
        <v>5427</v>
      </c>
      <c r="F837" s="36">
        <v>92</v>
      </c>
      <c r="G837" t="s" s="35">
        <v>5861</v>
      </c>
      <c r="H837" t="s" s="35">
        <v>5888</v>
      </c>
      <c r="I837" t="s" s="120">
        <v>5889</v>
      </c>
      <c r="J837" t="s" s="35">
        <v>1301</v>
      </c>
      <c r="K837" t="s" s="35">
        <v>1370</v>
      </c>
      <c r="L837" s="39"/>
      <c r="M837" t="str" s="39">
        <v>Ondas y física atómica/nuclear</v>
      </c>
      <c r="N837" t="str" s="39">
        <v>Física atómica y nuclear</v>
      </c>
      <c r="O837" t="str" s="39" cm="1">
        <f t="array" ref="O837">IF(L837="","",_xlfn.IFERROR(INDEX('Datos - Catálogo TIMSS'!$C$5:$C$107,MATCH(L837,'Datos - Catálogo TIMSS'!$A$5:$A$107,0)),"?"))</f>
      </c>
      <c r="P837" t="s" s="35">
        <v>254</v>
      </c>
      <c r="Q837" t="s" s="120">
        <v>5890</v>
      </c>
      <c r="R837" t="s" s="120">
        <v>5891</v>
      </c>
      <c r="S837" s="121" cm="1">
        <f t="array" ref="S837">_xlfn.IFERROR(ISNUMBER(SEARCH("Conocer",$R837))/(ISNUMBER(SEARCH("Conocer",$R837))+ISNUMBER(SEARCH("Aplicar",$R837))+ISNUMBER(SEARCH("Razonar",$R837))),0)</f>
        <v>0</v>
      </c>
      <c r="T837" s="121" cm="1">
        <f t="array" ref="T837">_xlfn.IFERROR(ISNUMBER(SEARCH("Aplicar",$R837))/(ISNUMBER(SEARCH("Conocer",$R837))+ISNUMBER(SEARCH("Aplicar",$R837))+ISNUMBER(SEARCH("Razonar",$R837))),0)</f>
        <v>0.5</v>
      </c>
      <c r="U837" s="121" cm="1">
        <f t="array" ref="U837">_xlfn.IFERROR(ISNUMBER(SEARCH("Razonar",$R837))/(ISNUMBER(SEARCH("Conocer",$R837))+ISNUMBER(SEARCH("Aplicar",$R837))+ISNUMBER(SEARCH("Razonar",$R837))),0)</f>
        <v>0.5</v>
      </c>
      <c r="V837" t="s" s="35">
        <v>91</v>
      </c>
      <c r="W837" t="s" s="35">
        <v>119</v>
      </c>
      <c r="X837" s="36" cm="1">
        <f t="array" ref="X837">IF(OR(_xlfn.IFERROR(INDEX('Datos - Catálogo TIMSS'!$I$5:$I$107,MATCH(K837,'Datos - Catálogo TIMSS'!$A$5:$A$107,0)),"No")="Sí",_xlfn.IFERROR(INDEX('Datos - Catálogo TIMSS'!$I$5:$I$107,MATCH(L837,'Datos - Catálogo TIMSS'!$A$5:$A$107,0)),"No")="Sí"),1,0)</f>
        <v>0</v>
      </c>
      <c r="Y837" s="36" cm="1">
        <f t="array" ref="Y837">IF(_xlfn.IFERROR(INDEX('Datos - Catálogo TIMSS'!$J$5:$J$107,MATCH(K837,'Datos - Catálogo TIMSS'!$A$5:$A$107,0)),"No")="Sí",1,0)</f>
        <v>0</v>
      </c>
      <c r="Z837" s="36" cm="1">
        <f t="array" ref="Z837">IF(_xlfn.IFERROR(INDEX('Datos - Catálogo TIMSS'!$J$5:$J$107,MATCH(L837,'Datos - Catálogo TIMSS'!$A$5:$A$107,0)),"No")="Sí",1,0)</f>
        <v>0</v>
      </c>
      <c r="AA837" t="s" s="35">
        <v>1370</v>
      </c>
      <c r="AB837" s="39"/>
      <c r="AC837" t="str" s="39">
        <v>Ondas y física atómica/nuclear</v>
      </c>
      <c r="AD837" t="s" s="35">
        <v>1859</v>
      </c>
      <c r="AE837" t="str" s="39" cm="1">
        <f t="array" ref="AE837">IF(AD837="","",IF(LEFT(AD837,1)="1","C1",IF(LEFT(AD837,1)="2","C2",IF(LEFT(AD837,1)="3","C3",""))))</f>
        <v>C1</v>
      </c>
      <c r="AF837" t="s" s="35">
        <v>1602</v>
      </c>
      <c r="AG837" t="s" s="35">
        <v>1607</v>
      </c>
      <c r="AH837" t="s" s="35">
        <v>1605</v>
      </c>
      <c r="AI837" t="s" s="35">
        <v>1623</v>
      </c>
      <c r="AJ837" t="s" s="35">
        <v>1615</v>
      </c>
      <c r="AK837" s="39"/>
      <c r="AL837" s="39"/>
      <c r="AM837" s="39"/>
      <c r="AN837" s="39"/>
      <c r="AO837" s="39"/>
      <c r="AP837" s="39"/>
      <c r="AQ837" s="39"/>
      <c r="AR837" s="39"/>
      <c r="AS837" s="39"/>
      <c r="AT837" s="39"/>
      <c r="AU837" s="39"/>
      <c r="AV837" s="39"/>
      <c r="AW837" t="str" s="39" cm="1">
        <f t="array" ref="AW837">AF837&amp;"; "&amp;AG837&amp;"; "&amp;AH837&amp;"; "&amp;AI837&amp;"; "&amp;AJ837</f>
        <v>E1; E3; E2; D4; E6</v>
      </c>
    </row>
    <row r="838" ht="13.65" customHeight="1">
      <c r="A838" t="s" s="35">
        <v>5892</v>
      </c>
      <c r="B838" s="36">
        <v>11</v>
      </c>
      <c r="C838" t="s" s="35">
        <v>222</v>
      </c>
      <c r="D838" t="s" s="35">
        <v>4800</v>
      </c>
      <c r="E838" t="s" s="35">
        <v>5427</v>
      </c>
      <c r="F838" s="36">
        <v>93</v>
      </c>
      <c r="G838" t="s" s="35">
        <v>5861</v>
      </c>
      <c r="H838" t="s" s="35">
        <v>5888</v>
      </c>
      <c r="I838" t="s" s="120">
        <v>5893</v>
      </c>
      <c r="J838" t="s" s="35">
        <v>1301</v>
      </c>
      <c r="K838" t="s" s="35">
        <v>1370</v>
      </c>
      <c r="L838" s="39"/>
      <c r="M838" t="str" s="39">
        <v>Ondas y física atómica/nuclear</v>
      </c>
      <c r="N838" t="str" s="39">
        <v>Física atómica y nuclear</v>
      </c>
      <c r="O838" t="str" s="39" cm="1">
        <f t="array" ref="O838">IF(L838="","",_xlfn.IFERROR(INDEX('Datos - Catálogo TIMSS'!$C$5:$C$107,MATCH(L838,'Datos - Catálogo TIMSS'!$A$5:$A$107,0)),"?"))</f>
      </c>
      <c r="P838" t="s" s="35">
        <v>291</v>
      </c>
      <c r="Q838" t="s" s="120">
        <v>5894</v>
      </c>
      <c r="R838" t="s" s="120">
        <v>5895</v>
      </c>
      <c r="S838" s="121" cm="1">
        <f t="array" ref="S838">_xlfn.IFERROR(ISNUMBER(SEARCH("Conocer",$R838))/(ISNUMBER(SEARCH("Conocer",$R838))+ISNUMBER(SEARCH("Aplicar",$R838))+ISNUMBER(SEARCH("Razonar",$R838))),0)</f>
        <v>0</v>
      </c>
      <c r="T838" s="121" cm="1">
        <f t="array" ref="T838">_xlfn.IFERROR(ISNUMBER(SEARCH("Aplicar",$R838))/(ISNUMBER(SEARCH("Conocer",$R838))+ISNUMBER(SEARCH("Aplicar",$R838))+ISNUMBER(SEARCH("Razonar",$R838))),0)</f>
        <v>0.5</v>
      </c>
      <c r="U838" s="121" cm="1">
        <f t="array" ref="U838">_xlfn.IFERROR(ISNUMBER(SEARCH("Razonar",$R838))/(ISNUMBER(SEARCH("Conocer",$R838))+ISNUMBER(SEARCH("Aplicar",$R838))+ISNUMBER(SEARCH("Razonar",$R838))),0)</f>
        <v>0.5</v>
      </c>
      <c r="V838" t="s" s="35">
        <v>91</v>
      </c>
      <c r="W838" t="s" s="35">
        <v>119</v>
      </c>
      <c r="X838" s="36" cm="1">
        <f t="array" ref="X838">IF(OR(_xlfn.IFERROR(INDEX('Datos - Catálogo TIMSS'!$I$5:$I$107,MATCH(K838,'Datos - Catálogo TIMSS'!$A$5:$A$107,0)),"No")="Sí",_xlfn.IFERROR(INDEX('Datos - Catálogo TIMSS'!$I$5:$I$107,MATCH(L838,'Datos - Catálogo TIMSS'!$A$5:$A$107,0)),"No")="Sí"),1,0)</f>
        <v>0</v>
      </c>
      <c r="Y838" s="36" cm="1">
        <f t="array" ref="Y838">IF(_xlfn.IFERROR(INDEX('Datos - Catálogo TIMSS'!$J$5:$J$107,MATCH(K838,'Datos - Catálogo TIMSS'!$A$5:$A$107,0)),"No")="Sí",1,0)</f>
        <v>0</v>
      </c>
      <c r="Z838" s="36" cm="1">
        <f t="array" ref="Z838">IF(_xlfn.IFERROR(INDEX('Datos - Catálogo TIMSS'!$J$5:$J$107,MATCH(L838,'Datos - Catálogo TIMSS'!$A$5:$A$107,0)),"No")="Sí",1,0)</f>
        <v>0</v>
      </c>
      <c r="AA838" t="s" s="35">
        <v>1370</v>
      </c>
      <c r="AB838" s="39"/>
      <c r="AC838" t="str" s="39">
        <v>Ondas y física atómica/nuclear</v>
      </c>
      <c r="AD838" t="s" s="35">
        <v>1900</v>
      </c>
      <c r="AE838" t="str" s="39" cm="1">
        <f t="array" ref="AE838">IF(AD838="","",IF(LEFT(AD838,1)="1","C1",IF(LEFT(AD838,1)="2","C2",IF(LEFT(AD838,1)="3","C3",""))))</f>
        <v>C3</v>
      </c>
      <c r="AF838" t="s" s="35">
        <v>1602</v>
      </c>
      <c r="AG838" t="s" s="35">
        <v>1612</v>
      </c>
      <c r="AH838" t="s" s="35">
        <v>1609</v>
      </c>
      <c r="AI838" t="s" s="35">
        <v>1629</v>
      </c>
      <c r="AJ838" t="s" s="35">
        <v>1631</v>
      </c>
      <c r="AK838" s="39"/>
      <c r="AL838" s="39"/>
      <c r="AM838" s="39"/>
      <c r="AN838" s="39"/>
      <c r="AO838" s="39"/>
      <c r="AP838" s="39"/>
      <c r="AQ838" s="39"/>
      <c r="AR838" s="39"/>
      <c r="AS838" s="39"/>
      <c r="AT838" s="39"/>
      <c r="AU838" s="39"/>
      <c r="AV838" s="39"/>
      <c r="AW838" t="str" s="39" cm="1">
        <f t="array" ref="AW838">AF838&amp;"; "&amp;AG838&amp;"; "&amp;AH838&amp;"; "&amp;AI838&amp;"; "&amp;AJ838</f>
        <v>E1; E5; E4; I3; I4</v>
      </c>
    </row>
    <row r="839" ht="13.65" customHeight="1">
      <c r="A839" t="s" s="35">
        <v>5897</v>
      </c>
      <c r="B839" s="36">
        <v>11</v>
      </c>
      <c r="C839" t="s" s="35">
        <v>222</v>
      </c>
      <c r="D839" t="s" s="35">
        <v>4800</v>
      </c>
      <c r="E839" t="s" s="35">
        <v>5427</v>
      </c>
      <c r="F839" s="36">
        <v>94</v>
      </c>
      <c r="G839" t="s" s="35">
        <v>5898</v>
      </c>
      <c r="H839" t="s" s="35">
        <v>5899</v>
      </c>
      <c r="I839" t="s" s="120">
        <v>5900</v>
      </c>
      <c r="J839" t="s" s="35">
        <v>1301</v>
      </c>
      <c r="K839" t="s" s="35">
        <v>1363</v>
      </c>
      <c r="L839" s="39"/>
      <c r="M839" t="str" s="39">
        <v>Ondas y física atómica/nuclear</v>
      </c>
      <c r="N839" t="str" s="39">
        <v>Fenómenos ondulatorios</v>
      </c>
      <c r="O839" t="str" s="39" cm="1">
        <f t="array" ref="O839">IF(L839="","",_xlfn.IFERROR(INDEX('Datos - Catálogo TIMSS'!$C$5:$C$107,MATCH(L839,'Datos - Catálogo TIMSS'!$A$5:$A$107,0)),"?"))</f>
      </c>
      <c r="P839" t="s" s="35">
        <v>282</v>
      </c>
      <c r="Q839" t="s" s="120">
        <v>5901</v>
      </c>
      <c r="R839" t="s" s="120">
        <v>5902</v>
      </c>
      <c r="S839" s="121" cm="1">
        <f t="array" ref="S839">_xlfn.IFERROR(ISNUMBER(SEARCH("Conocer",$R839))/(ISNUMBER(SEARCH("Conocer",$R839))+ISNUMBER(SEARCH("Aplicar",$R839))+ISNUMBER(SEARCH("Razonar",$R839))),0)</f>
        <v>0.333333333333333</v>
      </c>
      <c r="T839" s="121" cm="1">
        <f t="array" ref="T839">_xlfn.IFERROR(ISNUMBER(SEARCH("Aplicar",$R839))/(ISNUMBER(SEARCH("Conocer",$R839))+ISNUMBER(SEARCH("Aplicar",$R839))+ISNUMBER(SEARCH("Razonar",$R839))),0)</f>
        <v>0.333333333333333</v>
      </c>
      <c r="U839" s="121" cm="1">
        <f t="array" ref="U839">_xlfn.IFERROR(ISNUMBER(SEARCH("Razonar",$R839))/(ISNUMBER(SEARCH("Conocer",$R839))+ISNUMBER(SEARCH("Aplicar",$R839))+ISNUMBER(SEARCH("Razonar",$R839))),0)</f>
        <v>0.333333333333333</v>
      </c>
      <c r="V839" t="s" s="35">
        <v>91</v>
      </c>
      <c r="W839" t="s" s="35">
        <v>119</v>
      </c>
      <c r="X839" s="36" cm="1">
        <f t="array" ref="X839">IF(OR(_xlfn.IFERROR(INDEX('Datos - Catálogo TIMSS'!$I$5:$I$107,MATCH(K839,'Datos - Catálogo TIMSS'!$A$5:$A$107,0)),"No")="Sí",_xlfn.IFERROR(INDEX('Datos - Catálogo TIMSS'!$I$5:$I$107,MATCH(L839,'Datos - Catálogo TIMSS'!$A$5:$A$107,0)),"No")="Sí"),1,0)</f>
        <v>0</v>
      </c>
      <c r="Y839" s="36" cm="1">
        <f t="array" ref="Y839">IF(_xlfn.IFERROR(INDEX('Datos - Catálogo TIMSS'!$J$5:$J$107,MATCH(K839,'Datos - Catálogo TIMSS'!$A$5:$A$107,0)),"No")="Sí",1,0)</f>
        <v>0</v>
      </c>
      <c r="Z839" s="36" cm="1">
        <f t="array" ref="Z839">IF(_xlfn.IFERROR(INDEX('Datos - Catálogo TIMSS'!$J$5:$J$107,MATCH(L839,'Datos - Catálogo TIMSS'!$A$5:$A$107,0)),"No")="Sí",1,0)</f>
        <v>0</v>
      </c>
      <c r="AA839" t="s" s="35">
        <v>1363</v>
      </c>
      <c r="AB839" s="39"/>
      <c r="AC839" t="str" s="39">
        <v>Ondas y física atómica/nuclear</v>
      </c>
      <c r="AD839" t="s" s="35">
        <v>1859</v>
      </c>
      <c r="AE839" t="str" s="39" cm="1">
        <f t="array" ref="AE839">IF(AD839="","",IF(LEFT(AD839,1)="1","C1",IF(LEFT(AD839,1)="2","C2",IF(LEFT(AD839,1)="3","C3",""))))</f>
        <v>C1</v>
      </c>
      <c r="AF839" t="s" s="35">
        <v>1602</v>
      </c>
      <c r="AG839" t="s" s="35">
        <v>1607</v>
      </c>
      <c r="AH839" t="s" s="35">
        <v>1605</v>
      </c>
      <c r="AI839" t="s" s="35">
        <v>1609</v>
      </c>
      <c r="AJ839" t="s" s="35">
        <v>1615</v>
      </c>
      <c r="AK839" s="39"/>
      <c r="AL839" s="39"/>
      <c r="AM839" s="39"/>
      <c r="AN839" s="39"/>
      <c r="AO839" s="39"/>
      <c r="AP839" s="39"/>
      <c r="AQ839" s="39"/>
      <c r="AR839" s="39"/>
      <c r="AS839" s="39"/>
      <c r="AT839" s="39"/>
      <c r="AU839" s="39"/>
      <c r="AV839" s="39"/>
      <c r="AW839" t="str" s="39" cm="1">
        <f t="array" ref="AW839">AF839&amp;"; "&amp;AG839&amp;"; "&amp;AH839&amp;"; "&amp;AI839&amp;"; "&amp;AJ839</f>
        <v>E1; E3; E2; E4; E6</v>
      </c>
    </row>
    <row r="840" ht="13.65" customHeight="1">
      <c r="A840" t="s" s="35">
        <v>5903</v>
      </c>
      <c r="B840" s="36">
        <v>11</v>
      </c>
      <c r="C840" t="s" s="35">
        <v>222</v>
      </c>
      <c r="D840" t="s" s="35">
        <v>4800</v>
      </c>
      <c r="E840" t="s" s="35">
        <v>5427</v>
      </c>
      <c r="F840" s="36">
        <v>95</v>
      </c>
      <c r="G840" t="s" s="35">
        <v>5898</v>
      </c>
      <c r="H840" t="s" s="35">
        <v>5904</v>
      </c>
      <c r="I840" t="s" s="120">
        <v>5905</v>
      </c>
      <c r="J840" t="s" s="35">
        <v>1301</v>
      </c>
      <c r="K840" t="s" s="35">
        <v>1363</v>
      </c>
      <c r="L840" s="39"/>
      <c r="M840" t="str" s="39">
        <v>Ondas y física atómica/nuclear</v>
      </c>
      <c r="N840" t="str" s="39">
        <v>Fenómenos ondulatorios</v>
      </c>
      <c r="O840" t="str" s="39" cm="1">
        <f t="array" ref="O840">IF(L840="","",_xlfn.IFERROR(INDEX('Datos - Catálogo TIMSS'!$C$5:$C$107,MATCH(L840,'Datos - Catálogo TIMSS'!$A$5:$A$107,0)),"?"))</f>
      </c>
      <c r="P840" t="s" s="35">
        <v>282</v>
      </c>
      <c r="Q840" t="s" s="120">
        <v>5906</v>
      </c>
      <c r="R840" t="s" s="120">
        <v>5907</v>
      </c>
      <c r="S840" s="121" cm="1">
        <f t="array" ref="S840">_xlfn.IFERROR(ISNUMBER(SEARCH("Conocer",$R840))/(ISNUMBER(SEARCH("Conocer",$R840))+ISNUMBER(SEARCH("Aplicar",$R840))+ISNUMBER(SEARCH("Razonar",$R840))),0)</f>
        <v>0</v>
      </c>
      <c r="T840" s="121" cm="1">
        <f t="array" ref="T840">_xlfn.IFERROR(ISNUMBER(SEARCH("Aplicar",$R840))/(ISNUMBER(SEARCH("Conocer",$R840))+ISNUMBER(SEARCH("Aplicar",$R840))+ISNUMBER(SEARCH("Razonar",$R840))),0)</f>
        <v>0.5</v>
      </c>
      <c r="U840" s="121" cm="1">
        <f t="array" ref="U840">_xlfn.IFERROR(ISNUMBER(SEARCH("Razonar",$R840))/(ISNUMBER(SEARCH("Conocer",$R840))+ISNUMBER(SEARCH("Aplicar",$R840))+ISNUMBER(SEARCH("Razonar",$R840))),0)</f>
        <v>0.5</v>
      </c>
      <c r="V840" t="s" s="35">
        <v>91</v>
      </c>
      <c r="W840" t="s" s="35">
        <v>119</v>
      </c>
      <c r="X840" s="36" cm="1">
        <f t="array" ref="X840">IF(OR(_xlfn.IFERROR(INDEX('Datos - Catálogo TIMSS'!$I$5:$I$107,MATCH(K840,'Datos - Catálogo TIMSS'!$A$5:$A$107,0)),"No")="Sí",_xlfn.IFERROR(INDEX('Datos - Catálogo TIMSS'!$I$5:$I$107,MATCH(L840,'Datos - Catálogo TIMSS'!$A$5:$A$107,0)),"No")="Sí"),1,0)</f>
        <v>0</v>
      </c>
      <c r="Y840" s="36" cm="1">
        <f t="array" ref="Y840">IF(_xlfn.IFERROR(INDEX('Datos - Catálogo TIMSS'!$J$5:$J$107,MATCH(K840,'Datos - Catálogo TIMSS'!$A$5:$A$107,0)),"No")="Sí",1,0)</f>
        <v>0</v>
      </c>
      <c r="Z840" s="36" cm="1">
        <f t="array" ref="Z840">IF(_xlfn.IFERROR(INDEX('Datos - Catálogo TIMSS'!$J$5:$J$107,MATCH(L840,'Datos - Catálogo TIMSS'!$A$5:$A$107,0)),"No")="Sí",1,0)</f>
        <v>0</v>
      </c>
      <c r="AA840" t="s" s="35">
        <v>1363</v>
      </c>
      <c r="AB840" s="39"/>
      <c r="AC840" t="str" s="39">
        <v>Ondas y física atómica/nuclear</v>
      </c>
      <c r="AD840" t="s" s="35">
        <v>1834</v>
      </c>
      <c r="AE840" t="str" s="39" cm="1">
        <f t="array" ref="AE840">IF(AD840="","",IF(LEFT(AD840,1)="1","C1",IF(LEFT(AD840,1)="2","C2",IF(LEFT(AD840,1)="3","C3",""))))</f>
        <v>C2</v>
      </c>
      <c r="AF840" t="s" s="35">
        <v>1602</v>
      </c>
      <c r="AG840" t="s" s="35">
        <v>1617</v>
      </c>
      <c r="AH840" t="s" s="35">
        <v>1605</v>
      </c>
      <c r="AI840" t="s" s="35">
        <v>1623</v>
      </c>
      <c r="AJ840" t="s" s="35">
        <v>1607</v>
      </c>
      <c r="AK840" s="39"/>
      <c r="AL840" s="39"/>
      <c r="AM840" s="39"/>
      <c r="AN840" s="39"/>
      <c r="AO840" s="39"/>
      <c r="AP840" s="39"/>
      <c r="AQ840" s="39"/>
      <c r="AR840" s="39"/>
      <c r="AS840" s="39"/>
      <c r="AT840" s="39"/>
      <c r="AU840" s="39"/>
      <c r="AV840" s="39"/>
      <c r="AW840" t="str" s="39" cm="1">
        <f t="array" ref="AW840">AF840&amp;"; "&amp;AG840&amp;"; "&amp;AH840&amp;"; "&amp;AI840&amp;"; "&amp;AJ840</f>
        <v>E1; D1; E2; D4; E3</v>
      </c>
    </row>
    <row r="841" ht="13.65" customHeight="1">
      <c r="A841" t="s" s="35">
        <v>5908</v>
      </c>
      <c r="B841" s="36">
        <v>11</v>
      </c>
      <c r="C841" t="s" s="35">
        <v>222</v>
      </c>
      <c r="D841" t="s" s="35">
        <v>4800</v>
      </c>
      <c r="E841" t="s" s="35">
        <v>5427</v>
      </c>
      <c r="F841" s="36">
        <v>96</v>
      </c>
      <c r="G841" t="s" s="35">
        <v>5898</v>
      </c>
      <c r="H841" t="s" s="35">
        <v>5909</v>
      </c>
      <c r="I841" t="s" s="120">
        <v>5910</v>
      </c>
      <c r="J841" t="s" s="35">
        <v>1301</v>
      </c>
      <c r="K841" t="s" s="35">
        <v>1363</v>
      </c>
      <c r="L841" s="39"/>
      <c r="M841" t="str" s="39">
        <v>Ondas y física atómica/nuclear</v>
      </c>
      <c r="N841" t="str" s="39">
        <v>Fenómenos ondulatorios</v>
      </c>
      <c r="O841" t="str" s="39" cm="1">
        <f t="array" ref="O841">IF(L841="","",_xlfn.IFERROR(INDEX('Datos - Catálogo TIMSS'!$C$5:$C$107,MATCH(L841,'Datos - Catálogo TIMSS'!$A$5:$A$107,0)),"?"))</f>
      </c>
      <c r="P841" t="s" s="35">
        <v>282</v>
      </c>
      <c r="Q841" t="s" s="120">
        <v>5911</v>
      </c>
      <c r="R841" t="s" s="120">
        <v>5912</v>
      </c>
      <c r="S841" s="121" cm="1">
        <f t="array" ref="S841">_xlfn.IFERROR(ISNUMBER(SEARCH("Conocer",$R841))/(ISNUMBER(SEARCH("Conocer",$R841))+ISNUMBER(SEARCH("Aplicar",$R841))+ISNUMBER(SEARCH("Razonar",$R841))),0)</f>
        <v>0</v>
      </c>
      <c r="T841" s="121" cm="1">
        <f t="array" ref="T841">_xlfn.IFERROR(ISNUMBER(SEARCH("Aplicar",$R841))/(ISNUMBER(SEARCH("Conocer",$R841))+ISNUMBER(SEARCH("Aplicar",$R841))+ISNUMBER(SEARCH("Razonar",$R841))),0)</f>
        <v>0.5</v>
      </c>
      <c r="U841" s="121" cm="1">
        <f t="array" ref="U841">_xlfn.IFERROR(ISNUMBER(SEARCH("Razonar",$R841))/(ISNUMBER(SEARCH("Conocer",$R841))+ISNUMBER(SEARCH("Aplicar",$R841))+ISNUMBER(SEARCH("Razonar",$R841))),0)</f>
        <v>0.5</v>
      </c>
      <c r="V841" t="s" s="35">
        <v>91</v>
      </c>
      <c r="W841" t="s" s="35">
        <v>119</v>
      </c>
      <c r="X841" s="36" cm="1">
        <f t="array" ref="X841">IF(OR(_xlfn.IFERROR(INDEX('Datos - Catálogo TIMSS'!$I$5:$I$107,MATCH(K841,'Datos - Catálogo TIMSS'!$A$5:$A$107,0)),"No")="Sí",_xlfn.IFERROR(INDEX('Datos - Catálogo TIMSS'!$I$5:$I$107,MATCH(L841,'Datos - Catálogo TIMSS'!$A$5:$A$107,0)),"No")="Sí"),1,0)</f>
        <v>0</v>
      </c>
      <c r="Y841" s="36" cm="1">
        <f t="array" ref="Y841">IF(_xlfn.IFERROR(INDEX('Datos - Catálogo TIMSS'!$J$5:$J$107,MATCH(K841,'Datos - Catálogo TIMSS'!$A$5:$A$107,0)),"No")="Sí",1,0)</f>
        <v>0</v>
      </c>
      <c r="Z841" s="36" cm="1">
        <f t="array" ref="Z841">IF(_xlfn.IFERROR(INDEX('Datos - Catálogo TIMSS'!$J$5:$J$107,MATCH(L841,'Datos - Catálogo TIMSS'!$A$5:$A$107,0)),"No")="Sí",1,0)</f>
        <v>0</v>
      </c>
      <c r="AA841" t="s" s="35">
        <v>1363</v>
      </c>
      <c r="AB841" s="39"/>
      <c r="AC841" t="str" s="39">
        <v>Ondas y física atómica/nuclear</v>
      </c>
      <c r="AD841" t="s" s="35">
        <v>1859</v>
      </c>
      <c r="AE841" t="str" s="39" cm="1">
        <f t="array" ref="AE841">IF(AD841="","",IF(LEFT(AD841,1)="1","C1",IF(LEFT(AD841,1)="2","C2",IF(LEFT(AD841,1)="3","C3",""))))</f>
        <v>C1</v>
      </c>
      <c r="AF841" t="s" s="35">
        <v>1615</v>
      </c>
      <c r="AG841" t="s" s="35">
        <v>1612</v>
      </c>
      <c r="AH841" t="s" s="35">
        <v>1602</v>
      </c>
      <c r="AI841" t="s" s="35">
        <v>1619</v>
      </c>
      <c r="AJ841" t="s" s="35">
        <v>1633</v>
      </c>
      <c r="AK841" s="39"/>
      <c r="AL841" s="39"/>
      <c r="AM841" s="39"/>
      <c r="AN841" s="39"/>
      <c r="AO841" s="39"/>
      <c r="AP841" s="39"/>
      <c r="AQ841" s="39"/>
      <c r="AR841" s="39"/>
      <c r="AS841" s="39"/>
      <c r="AT841" s="39"/>
      <c r="AU841" s="39"/>
      <c r="AV841" s="39"/>
      <c r="AW841" t="str" s="39" cm="1">
        <f t="array" ref="AW841">AF841&amp;"; "&amp;AG841&amp;"; "&amp;AH841&amp;"; "&amp;AI841&amp;"; "&amp;AJ841</f>
        <v>E6; E5; E1; D2; I5</v>
      </c>
    </row>
    <row r="842" ht="13.65" customHeight="1">
      <c r="A842" t="s" s="35">
        <v>5913</v>
      </c>
      <c r="B842" s="36">
        <v>11</v>
      </c>
      <c r="C842" t="s" s="35">
        <v>222</v>
      </c>
      <c r="D842" t="s" s="35">
        <v>4800</v>
      </c>
      <c r="E842" t="s" s="35">
        <v>5427</v>
      </c>
      <c r="F842" s="36">
        <v>97</v>
      </c>
      <c r="G842" t="s" s="35">
        <v>5898</v>
      </c>
      <c r="H842" t="s" s="35">
        <v>5909</v>
      </c>
      <c r="I842" t="s" s="120">
        <v>5914</v>
      </c>
      <c r="J842" t="s" s="35">
        <v>1301</v>
      </c>
      <c r="K842" t="s" s="35">
        <v>1363</v>
      </c>
      <c r="L842" s="39"/>
      <c r="M842" t="str" s="39">
        <v>Ondas y física atómica/nuclear</v>
      </c>
      <c r="N842" t="str" s="39">
        <v>Fenómenos ondulatorios</v>
      </c>
      <c r="O842" t="str" s="39" cm="1">
        <f t="array" ref="O842">IF(L842="","",_xlfn.IFERROR(INDEX('Datos - Catálogo TIMSS'!$C$5:$C$107,MATCH(L842,'Datos - Catálogo TIMSS'!$A$5:$A$107,0)),"?"))</f>
      </c>
      <c r="P842" t="s" s="35">
        <v>282</v>
      </c>
      <c r="Q842" t="s" s="120">
        <v>5915</v>
      </c>
      <c r="R842" t="s" s="120">
        <v>5916</v>
      </c>
      <c r="S842" s="121" cm="1">
        <f t="array" ref="S842">_xlfn.IFERROR(ISNUMBER(SEARCH("Conocer",$R842))/(ISNUMBER(SEARCH("Conocer",$R842))+ISNUMBER(SEARCH("Aplicar",$R842))+ISNUMBER(SEARCH("Razonar",$R842))),0)</f>
        <v>0</v>
      </c>
      <c r="T842" s="121" cm="1">
        <f t="array" ref="T842">_xlfn.IFERROR(ISNUMBER(SEARCH("Aplicar",$R842))/(ISNUMBER(SEARCH("Conocer",$R842))+ISNUMBER(SEARCH("Aplicar",$R842))+ISNUMBER(SEARCH("Razonar",$R842))),0)</f>
        <v>0.5</v>
      </c>
      <c r="U842" s="121" cm="1">
        <f t="array" ref="U842">_xlfn.IFERROR(ISNUMBER(SEARCH("Razonar",$R842))/(ISNUMBER(SEARCH("Conocer",$R842))+ISNUMBER(SEARCH("Aplicar",$R842))+ISNUMBER(SEARCH("Razonar",$R842))),0)</f>
        <v>0.5</v>
      </c>
      <c r="V842" t="s" s="35">
        <v>91</v>
      </c>
      <c r="W842" t="s" s="35">
        <v>119</v>
      </c>
      <c r="X842" s="36" cm="1">
        <f t="array" ref="X842">IF(OR(_xlfn.IFERROR(INDEX('Datos - Catálogo TIMSS'!$I$5:$I$107,MATCH(K842,'Datos - Catálogo TIMSS'!$A$5:$A$107,0)),"No")="Sí",_xlfn.IFERROR(INDEX('Datos - Catálogo TIMSS'!$I$5:$I$107,MATCH(L842,'Datos - Catálogo TIMSS'!$A$5:$A$107,0)),"No")="Sí"),1,0)</f>
        <v>0</v>
      </c>
      <c r="Y842" s="36" cm="1">
        <f t="array" ref="Y842">IF(_xlfn.IFERROR(INDEX('Datos - Catálogo TIMSS'!$J$5:$J$107,MATCH(K842,'Datos - Catálogo TIMSS'!$A$5:$A$107,0)),"No")="Sí",1,0)</f>
        <v>0</v>
      </c>
      <c r="Z842" s="36" cm="1">
        <f t="array" ref="Z842">IF(_xlfn.IFERROR(INDEX('Datos - Catálogo TIMSS'!$J$5:$J$107,MATCH(L842,'Datos - Catálogo TIMSS'!$A$5:$A$107,0)),"No")="Sí",1,0)</f>
        <v>0</v>
      </c>
      <c r="AA842" t="s" s="35">
        <v>1363</v>
      </c>
      <c r="AB842" s="39"/>
      <c r="AC842" t="str" s="39">
        <v>Ondas y física atómica/nuclear</v>
      </c>
      <c r="AD842" t="s" s="35">
        <v>1859</v>
      </c>
      <c r="AE842" t="str" s="39" cm="1">
        <f t="array" ref="AE842">IF(AD842="","",IF(LEFT(AD842,1)="1","C1",IF(LEFT(AD842,1)="2","C2",IF(LEFT(AD842,1)="3","C3",""))))</f>
        <v>C1</v>
      </c>
      <c r="AF842" t="s" s="35">
        <v>1602</v>
      </c>
      <c r="AG842" t="s" s="35">
        <v>1607</v>
      </c>
      <c r="AH842" t="s" s="35">
        <v>1605</v>
      </c>
      <c r="AI842" t="s" s="35">
        <v>1609</v>
      </c>
      <c r="AJ842" t="s" s="35">
        <v>1607</v>
      </c>
      <c r="AK842" s="39"/>
      <c r="AL842" s="39"/>
      <c r="AM842" s="39"/>
      <c r="AN842" s="39"/>
      <c r="AO842" s="39"/>
      <c r="AP842" s="39"/>
      <c r="AQ842" s="39"/>
      <c r="AR842" s="39"/>
      <c r="AS842" s="39"/>
      <c r="AT842" s="39"/>
      <c r="AU842" s="39"/>
      <c r="AV842" s="39"/>
      <c r="AW842" t="str" s="39" cm="1">
        <f t="array" ref="AW842">AF842&amp;"; "&amp;AG842&amp;"; "&amp;AH842&amp;"; "&amp;AI842&amp;"; "&amp;AJ842</f>
        <v>E1; E3; E2; E4; E3</v>
      </c>
    </row>
    <row r="843" ht="13.65" customHeight="1">
      <c r="A843" t="s" s="35">
        <v>5917</v>
      </c>
      <c r="B843" s="36">
        <v>11</v>
      </c>
      <c r="C843" t="s" s="35">
        <v>222</v>
      </c>
      <c r="D843" t="s" s="35">
        <v>4800</v>
      </c>
      <c r="E843" t="s" s="35">
        <v>5427</v>
      </c>
      <c r="F843" s="36">
        <v>98</v>
      </c>
      <c r="G843" t="s" s="35">
        <v>5898</v>
      </c>
      <c r="H843" t="s" s="35">
        <v>5918</v>
      </c>
      <c r="I843" t="s" s="120">
        <v>5919</v>
      </c>
      <c r="J843" t="s" s="35">
        <v>1301</v>
      </c>
      <c r="K843" t="s" s="35">
        <v>1363</v>
      </c>
      <c r="L843" s="39"/>
      <c r="M843" t="str" s="39">
        <v>Ondas y física atómica/nuclear</v>
      </c>
      <c r="N843" t="str" s="39">
        <v>Fenómenos ondulatorios</v>
      </c>
      <c r="O843" t="str" s="39" cm="1">
        <f t="array" ref="O843">IF(L843="","",_xlfn.IFERROR(INDEX('Datos - Catálogo TIMSS'!$C$5:$C$107,MATCH(L843,'Datos - Catálogo TIMSS'!$A$5:$A$107,0)),"?"))</f>
      </c>
      <c r="P843" t="s" s="35">
        <v>282</v>
      </c>
      <c r="Q843" t="s" s="120">
        <v>5920</v>
      </c>
      <c r="R843" t="s" s="120">
        <v>5921</v>
      </c>
      <c r="S843" s="121" cm="1">
        <f t="array" ref="S843">_xlfn.IFERROR(ISNUMBER(SEARCH("Conocer",$R843))/(ISNUMBER(SEARCH("Conocer",$R843))+ISNUMBER(SEARCH("Aplicar",$R843))+ISNUMBER(SEARCH("Razonar",$R843))),0)</f>
        <v>0</v>
      </c>
      <c r="T843" s="121" cm="1">
        <f t="array" ref="T843">_xlfn.IFERROR(ISNUMBER(SEARCH("Aplicar",$R843))/(ISNUMBER(SEARCH("Conocer",$R843))+ISNUMBER(SEARCH("Aplicar",$R843))+ISNUMBER(SEARCH("Razonar",$R843))),0)</f>
        <v>0.5</v>
      </c>
      <c r="U843" s="121" cm="1">
        <f t="array" ref="U843">_xlfn.IFERROR(ISNUMBER(SEARCH("Razonar",$R843))/(ISNUMBER(SEARCH("Conocer",$R843))+ISNUMBER(SEARCH("Aplicar",$R843))+ISNUMBER(SEARCH("Razonar",$R843))),0)</f>
        <v>0.5</v>
      </c>
      <c r="V843" t="s" s="35">
        <v>91</v>
      </c>
      <c r="W843" t="s" s="35">
        <v>119</v>
      </c>
      <c r="X843" s="36" cm="1">
        <f t="array" ref="X843">IF(OR(_xlfn.IFERROR(INDEX('Datos - Catálogo TIMSS'!$I$5:$I$107,MATCH(K843,'Datos - Catálogo TIMSS'!$A$5:$A$107,0)),"No")="Sí",_xlfn.IFERROR(INDEX('Datos - Catálogo TIMSS'!$I$5:$I$107,MATCH(L843,'Datos - Catálogo TIMSS'!$A$5:$A$107,0)),"No")="Sí"),1,0)</f>
        <v>0</v>
      </c>
      <c r="Y843" s="36" cm="1">
        <f t="array" ref="Y843">IF(_xlfn.IFERROR(INDEX('Datos - Catálogo TIMSS'!$J$5:$J$107,MATCH(K843,'Datos - Catálogo TIMSS'!$A$5:$A$107,0)),"No")="Sí",1,0)</f>
        <v>0</v>
      </c>
      <c r="Z843" s="36" cm="1">
        <f t="array" ref="Z843">IF(_xlfn.IFERROR(INDEX('Datos - Catálogo TIMSS'!$J$5:$J$107,MATCH(L843,'Datos - Catálogo TIMSS'!$A$5:$A$107,0)),"No")="Sí",1,0)</f>
        <v>0</v>
      </c>
      <c r="AA843" t="s" s="35">
        <v>1363</v>
      </c>
      <c r="AB843" s="39"/>
      <c r="AC843" t="str" s="39">
        <v>Ondas y física atómica/nuclear</v>
      </c>
      <c r="AD843" t="s" s="35">
        <v>1834</v>
      </c>
      <c r="AE843" t="str" s="39" cm="1">
        <f t="array" ref="AE843">IF(AD843="","",IF(LEFT(AD843,1)="1","C1",IF(LEFT(AD843,1)="2","C2",IF(LEFT(AD843,1)="3","C3",""))))</f>
        <v>C2</v>
      </c>
      <c r="AF843" t="s" s="35">
        <v>1602</v>
      </c>
      <c r="AG843" t="s" s="35">
        <v>1617</v>
      </c>
      <c r="AH843" t="s" s="35">
        <v>1602</v>
      </c>
      <c r="AI843" t="s" s="35">
        <v>1623</v>
      </c>
      <c r="AJ843" t="s" s="35">
        <v>1621</v>
      </c>
      <c r="AK843" s="39"/>
      <c r="AL843" s="39"/>
      <c r="AM843" s="39"/>
      <c r="AN843" s="39"/>
      <c r="AO843" s="39"/>
      <c r="AP843" s="39"/>
      <c r="AQ843" s="39"/>
      <c r="AR843" s="39"/>
      <c r="AS843" s="39"/>
      <c r="AT843" s="39"/>
      <c r="AU843" s="39"/>
      <c r="AV843" s="39"/>
      <c r="AW843" t="str" s="39" cm="1">
        <f t="array" ref="AW843">AF843&amp;"; "&amp;AG843&amp;"; "&amp;AH843&amp;"; "&amp;AI843&amp;"; "&amp;AJ843</f>
        <v>E1; D1; E1; D4; D3</v>
      </c>
    </row>
    <row r="844" ht="13.65" customHeight="1">
      <c r="A844" t="s" s="35">
        <v>5922</v>
      </c>
      <c r="B844" s="36">
        <v>11</v>
      </c>
      <c r="C844" t="s" s="35">
        <v>222</v>
      </c>
      <c r="D844" t="s" s="35">
        <v>4800</v>
      </c>
      <c r="E844" t="s" s="35">
        <v>5427</v>
      </c>
      <c r="F844" s="36">
        <v>99</v>
      </c>
      <c r="G844" t="s" s="35">
        <v>5923</v>
      </c>
      <c r="H844" t="s" s="35">
        <v>5924</v>
      </c>
      <c r="I844" t="s" s="120">
        <v>5925</v>
      </c>
      <c r="J844" t="s" s="35">
        <v>1301</v>
      </c>
      <c r="K844" t="s" s="35">
        <v>1363</v>
      </c>
      <c r="L844" t="s" s="35">
        <v>1357</v>
      </c>
      <c r="M844" t="str" s="39">
        <v>Ondas y física atómica/nuclear</v>
      </c>
      <c r="N844" t="str" s="39">
        <v>Fenómenos ondulatorios</v>
      </c>
      <c r="O844" t="str" s="39" cm="1">
        <f t="array" ref="O844">IF(L844="","",_xlfn.IFERROR(INDEX('Datos - Catálogo TIMSS'!$C$5:$C$107,MATCH(L844,'Datos - Catálogo TIMSS'!$A$5:$A$107,0)),"?"))</f>
        <v>Ondas y física atómica/nuclear</v>
      </c>
      <c r="P844" t="s" s="35">
        <v>282</v>
      </c>
      <c r="Q844" t="s" s="120">
        <v>5926</v>
      </c>
      <c r="R844" t="s" s="120">
        <v>5927</v>
      </c>
      <c r="S844" s="121" cm="1">
        <f t="array" ref="S844">_xlfn.IFERROR(ISNUMBER(SEARCH("Conocer",$R844))/(ISNUMBER(SEARCH("Conocer",$R844))+ISNUMBER(SEARCH("Aplicar",$R844))+ISNUMBER(SEARCH("Razonar",$R844))),0)</f>
        <v>0</v>
      </c>
      <c r="T844" s="121" cm="1">
        <f t="array" ref="T844">_xlfn.IFERROR(ISNUMBER(SEARCH("Aplicar",$R844))/(ISNUMBER(SEARCH("Conocer",$R844))+ISNUMBER(SEARCH("Aplicar",$R844))+ISNUMBER(SEARCH("Razonar",$R844))),0)</f>
        <v>0.5</v>
      </c>
      <c r="U844" s="121" cm="1">
        <f t="array" ref="U844">_xlfn.IFERROR(ISNUMBER(SEARCH("Razonar",$R844))/(ISNUMBER(SEARCH("Conocer",$R844))+ISNUMBER(SEARCH("Aplicar",$R844))+ISNUMBER(SEARCH("Razonar",$R844))),0)</f>
        <v>0.5</v>
      </c>
      <c r="V844" t="s" s="35">
        <v>91</v>
      </c>
      <c r="W844" t="s" s="35">
        <v>119</v>
      </c>
      <c r="X844" s="36" cm="1">
        <f t="array" ref="X844">IF(OR(_xlfn.IFERROR(INDEX('Datos - Catálogo TIMSS'!$I$5:$I$107,MATCH(K844,'Datos - Catálogo TIMSS'!$A$5:$A$107,0)),"No")="Sí",_xlfn.IFERROR(INDEX('Datos - Catálogo TIMSS'!$I$5:$I$107,MATCH(L844,'Datos - Catálogo TIMSS'!$A$5:$A$107,0)),"No")="Sí"),1,0)</f>
        <v>0</v>
      </c>
      <c r="Y844" s="36" cm="1">
        <f t="array" ref="Y844">IF(_xlfn.IFERROR(INDEX('Datos - Catálogo TIMSS'!$J$5:$J$107,MATCH(K844,'Datos - Catálogo TIMSS'!$A$5:$A$107,0)),"No")="Sí",1,0)</f>
        <v>0</v>
      </c>
      <c r="Z844" s="36" cm="1">
        <f t="array" ref="Z844">IF(_xlfn.IFERROR(INDEX('Datos - Catálogo TIMSS'!$J$5:$J$107,MATCH(L844,'Datos - Catálogo TIMSS'!$A$5:$A$107,0)),"No")="Sí",1,0)</f>
        <v>0</v>
      </c>
      <c r="AA844" t="s" s="35">
        <v>1363</v>
      </c>
      <c r="AB844" t="s" s="35">
        <v>1357</v>
      </c>
      <c r="AC844" t="str" s="39">
        <v>Ondas y física atómica/nuclear</v>
      </c>
      <c r="AD844" t="s" s="35">
        <v>1834</v>
      </c>
      <c r="AE844" t="str" s="39" cm="1">
        <f t="array" ref="AE844">IF(AD844="","",IF(LEFT(AD844,1)="1","C1",IF(LEFT(AD844,1)="2","C2",IF(LEFT(AD844,1)="3","C3",""))))</f>
        <v>C2</v>
      </c>
      <c r="AF844" t="s" s="35">
        <v>1615</v>
      </c>
      <c r="AG844" t="s" s="35">
        <v>1617</v>
      </c>
      <c r="AH844" t="s" s="35">
        <v>1605</v>
      </c>
      <c r="AI844" t="s" s="35">
        <v>1619</v>
      </c>
      <c r="AJ844" t="s" s="35">
        <v>1633</v>
      </c>
      <c r="AK844" s="39"/>
      <c r="AL844" s="39"/>
      <c r="AM844" s="39"/>
      <c r="AN844" s="39"/>
      <c r="AO844" s="39"/>
      <c r="AP844" s="39"/>
      <c r="AQ844" s="39"/>
      <c r="AR844" s="39"/>
      <c r="AS844" s="39"/>
      <c r="AT844" s="39"/>
      <c r="AU844" s="39"/>
      <c r="AV844" s="39"/>
      <c r="AW844" t="str" s="39" cm="1">
        <f t="array" ref="AW844">AF844&amp;"; "&amp;AG844&amp;"; "&amp;AH844&amp;"; "&amp;AI844&amp;"; "&amp;AJ844</f>
        <v>E6; D1; E2; D2; I5</v>
      </c>
    </row>
    <row r="845" ht="13.65" customHeight="1">
      <c r="A845" t="s" s="35">
        <v>5929</v>
      </c>
      <c r="B845" s="36">
        <v>11</v>
      </c>
      <c r="C845" t="s" s="35">
        <v>222</v>
      </c>
      <c r="D845" t="s" s="35">
        <v>4800</v>
      </c>
      <c r="E845" t="s" s="35">
        <v>5427</v>
      </c>
      <c r="F845" s="36">
        <v>100</v>
      </c>
      <c r="G845" t="s" s="35">
        <v>5923</v>
      </c>
      <c r="H845" t="s" s="35">
        <v>5930</v>
      </c>
      <c r="I845" t="s" s="120">
        <v>5931</v>
      </c>
      <c r="J845" t="s" s="35">
        <v>1301</v>
      </c>
      <c r="K845" t="s" s="35">
        <v>1363</v>
      </c>
      <c r="L845" s="39"/>
      <c r="M845" t="str" s="39">
        <v>Ondas y física atómica/nuclear</v>
      </c>
      <c r="N845" t="str" s="39">
        <v>Fenómenos ondulatorios</v>
      </c>
      <c r="O845" t="str" s="39" cm="1">
        <f t="array" ref="O845">IF(L845="","",_xlfn.IFERROR(INDEX('Datos - Catálogo TIMSS'!$C$5:$C$107,MATCH(L845,'Datos - Catálogo TIMSS'!$A$5:$A$107,0)),"?"))</f>
      </c>
      <c r="P845" t="s" s="35">
        <v>282</v>
      </c>
      <c r="Q845" t="s" s="120">
        <v>5932</v>
      </c>
      <c r="R845" t="s" s="120">
        <v>5933</v>
      </c>
      <c r="S845" s="121" cm="1">
        <f t="array" ref="S845">_xlfn.IFERROR(ISNUMBER(SEARCH("Conocer",$R845))/(ISNUMBER(SEARCH("Conocer",$R845))+ISNUMBER(SEARCH("Aplicar",$R845))+ISNUMBER(SEARCH("Razonar",$R845))),0)</f>
        <v>0.5</v>
      </c>
      <c r="T845" s="121" cm="1">
        <f t="array" ref="T845">_xlfn.IFERROR(ISNUMBER(SEARCH("Aplicar",$R845))/(ISNUMBER(SEARCH("Conocer",$R845))+ISNUMBER(SEARCH("Aplicar",$R845))+ISNUMBER(SEARCH("Razonar",$R845))),0)</f>
        <v>0.5</v>
      </c>
      <c r="U845" s="121" cm="1">
        <f t="array" ref="U845">_xlfn.IFERROR(ISNUMBER(SEARCH("Razonar",$R845))/(ISNUMBER(SEARCH("Conocer",$R845))+ISNUMBER(SEARCH("Aplicar",$R845))+ISNUMBER(SEARCH("Razonar",$R845))),0)</f>
        <v>0</v>
      </c>
      <c r="V845" t="s" s="35">
        <v>91</v>
      </c>
      <c r="W845" t="s" s="35">
        <v>119</v>
      </c>
      <c r="X845" s="36" cm="1">
        <f t="array" ref="X845">IF(OR(_xlfn.IFERROR(INDEX('Datos - Catálogo TIMSS'!$I$5:$I$107,MATCH(K845,'Datos - Catálogo TIMSS'!$A$5:$A$107,0)),"No")="Sí",_xlfn.IFERROR(INDEX('Datos - Catálogo TIMSS'!$I$5:$I$107,MATCH(L845,'Datos - Catálogo TIMSS'!$A$5:$A$107,0)),"No")="Sí"),1,0)</f>
        <v>0</v>
      </c>
      <c r="Y845" s="36" cm="1">
        <f t="array" ref="Y845">IF(_xlfn.IFERROR(INDEX('Datos - Catálogo TIMSS'!$J$5:$J$107,MATCH(K845,'Datos - Catálogo TIMSS'!$A$5:$A$107,0)),"No")="Sí",1,0)</f>
        <v>0</v>
      </c>
      <c r="Z845" s="36" cm="1">
        <f t="array" ref="Z845">IF(_xlfn.IFERROR(INDEX('Datos - Catálogo TIMSS'!$J$5:$J$107,MATCH(L845,'Datos - Catálogo TIMSS'!$A$5:$A$107,0)),"No")="Sí",1,0)</f>
        <v>0</v>
      </c>
      <c r="AA845" t="s" s="35">
        <v>1363</v>
      </c>
      <c r="AB845" s="39"/>
      <c r="AC845" t="str" s="39">
        <v>Ondas y física atómica/nuclear</v>
      </c>
      <c r="AD845" t="s" s="35">
        <v>1859</v>
      </c>
      <c r="AE845" t="str" s="39" cm="1">
        <f t="array" ref="AE845">IF(AD845="","",IF(LEFT(AD845,1)="1","C1",IF(LEFT(AD845,1)="2","C2",IF(LEFT(AD845,1)="3","C3",""))))</f>
        <v>C1</v>
      </c>
      <c r="AF845" t="s" s="35">
        <v>1602</v>
      </c>
      <c r="AG845" t="s" s="35">
        <v>1612</v>
      </c>
      <c r="AH845" t="s" s="35">
        <v>1602</v>
      </c>
      <c r="AI845" t="s" s="35">
        <v>1623</v>
      </c>
      <c r="AJ845" t="s" s="35">
        <v>1607</v>
      </c>
      <c r="AK845" s="39"/>
      <c r="AL845" s="39"/>
      <c r="AM845" s="39"/>
      <c r="AN845" s="39"/>
      <c r="AO845" s="39"/>
      <c r="AP845" s="39"/>
      <c r="AQ845" s="39"/>
      <c r="AR845" s="39"/>
      <c r="AS845" s="39"/>
      <c r="AT845" s="39"/>
      <c r="AU845" s="39"/>
      <c r="AV845" s="39"/>
      <c r="AW845" t="str" s="39" cm="1">
        <f t="array" ref="AW845">AF845&amp;"; "&amp;AG845&amp;"; "&amp;AH845&amp;"; "&amp;AI845&amp;"; "&amp;AJ845</f>
        <v>E1; E5; E1; D4; E3</v>
      </c>
    </row>
    <row r="846" ht="13.65" customHeight="1">
      <c r="A846" t="s" s="35">
        <v>5934</v>
      </c>
      <c r="B846" s="36">
        <v>11</v>
      </c>
      <c r="C846" t="s" s="35">
        <v>222</v>
      </c>
      <c r="D846" t="s" s="35">
        <v>4800</v>
      </c>
      <c r="E846" t="s" s="35">
        <v>5427</v>
      </c>
      <c r="F846" s="36">
        <v>101</v>
      </c>
      <c r="G846" t="s" s="35">
        <v>5923</v>
      </c>
      <c r="H846" t="s" s="35">
        <v>5930</v>
      </c>
      <c r="I846" t="s" s="120">
        <v>5935</v>
      </c>
      <c r="J846" t="s" s="35">
        <v>1301</v>
      </c>
      <c r="K846" t="s" s="35">
        <v>1363</v>
      </c>
      <c r="L846" s="39"/>
      <c r="M846" t="str" s="39">
        <v>Ondas y física atómica/nuclear</v>
      </c>
      <c r="N846" t="str" s="39">
        <v>Fenómenos ondulatorios</v>
      </c>
      <c r="O846" t="str" s="39" cm="1">
        <f t="array" ref="O846">IF(L846="","",_xlfn.IFERROR(INDEX('Datos - Catálogo TIMSS'!$C$5:$C$107,MATCH(L846,'Datos - Catálogo TIMSS'!$A$5:$A$107,0)),"?"))</f>
      </c>
      <c r="P846" t="s" s="35">
        <v>282</v>
      </c>
      <c r="Q846" t="s" s="120">
        <v>5936</v>
      </c>
      <c r="R846" t="s" s="120">
        <v>5937</v>
      </c>
      <c r="S846" s="121" cm="1">
        <f t="array" ref="S846">_xlfn.IFERROR(ISNUMBER(SEARCH("Conocer",$R846))/(ISNUMBER(SEARCH("Conocer",$R846))+ISNUMBER(SEARCH("Aplicar",$R846))+ISNUMBER(SEARCH("Razonar",$R846))),0)</f>
        <v>0</v>
      </c>
      <c r="T846" s="121" cm="1">
        <f t="array" ref="T846">_xlfn.IFERROR(ISNUMBER(SEARCH("Aplicar",$R846))/(ISNUMBER(SEARCH("Conocer",$R846))+ISNUMBER(SEARCH("Aplicar",$R846))+ISNUMBER(SEARCH("Razonar",$R846))),0)</f>
        <v>0.5</v>
      </c>
      <c r="U846" s="121" cm="1">
        <f t="array" ref="U846">_xlfn.IFERROR(ISNUMBER(SEARCH("Razonar",$R846))/(ISNUMBER(SEARCH("Conocer",$R846))+ISNUMBER(SEARCH("Aplicar",$R846))+ISNUMBER(SEARCH("Razonar",$R846))),0)</f>
        <v>0.5</v>
      </c>
      <c r="V846" t="s" s="35">
        <v>91</v>
      </c>
      <c r="W846" t="s" s="35">
        <v>119</v>
      </c>
      <c r="X846" s="36" cm="1">
        <f t="array" ref="X846">IF(OR(_xlfn.IFERROR(INDEX('Datos - Catálogo TIMSS'!$I$5:$I$107,MATCH(K846,'Datos - Catálogo TIMSS'!$A$5:$A$107,0)),"No")="Sí",_xlfn.IFERROR(INDEX('Datos - Catálogo TIMSS'!$I$5:$I$107,MATCH(L846,'Datos - Catálogo TIMSS'!$A$5:$A$107,0)),"No")="Sí"),1,0)</f>
        <v>0</v>
      </c>
      <c r="Y846" s="36" cm="1">
        <f t="array" ref="Y846">IF(_xlfn.IFERROR(INDEX('Datos - Catálogo TIMSS'!$J$5:$J$107,MATCH(K846,'Datos - Catálogo TIMSS'!$A$5:$A$107,0)),"No")="Sí",1,0)</f>
        <v>0</v>
      </c>
      <c r="Z846" s="36" cm="1">
        <f t="array" ref="Z846">IF(_xlfn.IFERROR(INDEX('Datos - Catálogo TIMSS'!$J$5:$J$107,MATCH(L846,'Datos - Catálogo TIMSS'!$A$5:$A$107,0)),"No")="Sí",1,0)</f>
        <v>0</v>
      </c>
      <c r="AA846" t="s" s="35">
        <v>1363</v>
      </c>
      <c r="AB846" s="39"/>
      <c r="AC846" t="str" s="39">
        <v>Ondas y física atómica/nuclear</v>
      </c>
      <c r="AD846" t="s" s="35">
        <v>1859</v>
      </c>
      <c r="AE846" t="str" s="39" cm="1">
        <f t="array" ref="AE846">IF(AD846="","",IF(LEFT(AD846,1)="1","C1",IF(LEFT(AD846,1)="2","C2",IF(LEFT(AD846,1)="3","C3",""))))</f>
        <v>C1</v>
      </c>
      <c r="AF846" t="s" s="35">
        <v>1602</v>
      </c>
      <c r="AG846" t="s" s="35">
        <v>1607</v>
      </c>
      <c r="AH846" t="s" s="35">
        <v>1605</v>
      </c>
      <c r="AI846" t="s" s="35">
        <v>1609</v>
      </c>
      <c r="AJ846" t="s" s="35">
        <v>1615</v>
      </c>
      <c r="AK846" s="39"/>
      <c r="AL846" s="39"/>
      <c r="AM846" s="39"/>
      <c r="AN846" s="39"/>
      <c r="AO846" s="39"/>
      <c r="AP846" s="39"/>
      <c r="AQ846" s="39"/>
      <c r="AR846" s="39"/>
      <c r="AS846" s="39"/>
      <c r="AT846" s="39"/>
      <c r="AU846" s="39"/>
      <c r="AV846" s="39"/>
      <c r="AW846" t="str" s="39" cm="1">
        <f t="array" ref="AW846">AF846&amp;"; "&amp;AG846&amp;"; "&amp;AH846&amp;"; "&amp;AI846&amp;"; "&amp;AJ846</f>
        <v>E1; E3; E2; E4; E6</v>
      </c>
    </row>
    <row r="847" ht="13.65" customHeight="1">
      <c r="A847" t="s" s="35">
        <v>5938</v>
      </c>
      <c r="B847" s="36">
        <v>11</v>
      </c>
      <c r="C847" t="s" s="35">
        <v>222</v>
      </c>
      <c r="D847" t="s" s="35">
        <v>4800</v>
      </c>
      <c r="E847" t="s" s="35">
        <v>5427</v>
      </c>
      <c r="F847" s="36">
        <v>102</v>
      </c>
      <c r="G847" t="s" s="35">
        <v>5923</v>
      </c>
      <c r="H847" t="s" s="35">
        <v>5939</v>
      </c>
      <c r="I847" t="s" s="120">
        <v>5940</v>
      </c>
      <c r="J847" t="s" s="35">
        <v>1301</v>
      </c>
      <c r="K847" t="s" s="35">
        <v>1363</v>
      </c>
      <c r="L847" s="39"/>
      <c r="M847" t="str" s="39">
        <v>Ondas y física atómica/nuclear</v>
      </c>
      <c r="N847" t="str" s="39">
        <v>Fenómenos ondulatorios</v>
      </c>
      <c r="O847" t="str" s="39" cm="1">
        <f t="array" ref="O847">IF(L847="","",_xlfn.IFERROR(INDEX('Datos - Catálogo TIMSS'!$C$5:$C$107,MATCH(L847,'Datos - Catálogo TIMSS'!$A$5:$A$107,0)),"?"))</f>
      </c>
      <c r="P847" t="s" s="35">
        <v>282</v>
      </c>
      <c r="Q847" t="s" s="120">
        <v>5941</v>
      </c>
      <c r="R847" t="s" s="120">
        <v>5942</v>
      </c>
      <c r="S847" s="121" cm="1">
        <f t="array" ref="S847">_xlfn.IFERROR(ISNUMBER(SEARCH("Conocer",$R847))/(ISNUMBER(SEARCH("Conocer",$R847))+ISNUMBER(SEARCH("Aplicar",$R847))+ISNUMBER(SEARCH("Razonar",$R847))),0)</f>
        <v>0</v>
      </c>
      <c r="T847" s="121" cm="1">
        <f t="array" ref="T847">_xlfn.IFERROR(ISNUMBER(SEARCH("Aplicar",$R847))/(ISNUMBER(SEARCH("Conocer",$R847))+ISNUMBER(SEARCH("Aplicar",$R847))+ISNUMBER(SEARCH("Razonar",$R847))),0)</f>
        <v>0.5</v>
      </c>
      <c r="U847" s="121" cm="1">
        <f t="array" ref="U847">_xlfn.IFERROR(ISNUMBER(SEARCH("Razonar",$R847))/(ISNUMBER(SEARCH("Conocer",$R847))+ISNUMBER(SEARCH("Aplicar",$R847))+ISNUMBER(SEARCH("Razonar",$R847))),0)</f>
        <v>0.5</v>
      </c>
      <c r="V847" t="s" s="35">
        <v>91</v>
      </c>
      <c r="W847" t="s" s="35">
        <v>119</v>
      </c>
      <c r="X847" s="36" cm="1">
        <f t="array" ref="X847">IF(OR(_xlfn.IFERROR(INDEX('Datos - Catálogo TIMSS'!$I$5:$I$107,MATCH(K847,'Datos - Catálogo TIMSS'!$A$5:$A$107,0)),"No")="Sí",_xlfn.IFERROR(INDEX('Datos - Catálogo TIMSS'!$I$5:$I$107,MATCH(L847,'Datos - Catálogo TIMSS'!$A$5:$A$107,0)),"No")="Sí"),1,0)</f>
        <v>0</v>
      </c>
      <c r="Y847" s="36" cm="1">
        <f t="array" ref="Y847">IF(_xlfn.IFERROR(INDEX('Datos - Catálogo TIMSS'!$J$5:$J$107,MATCH(K847,'Datos - Catálogo TIMSS'!$A$5:$A$107,0)),"No")="Sí",1,0)</f>
        <v>0</v>
      </c>
      <c r="Z847" s="36" cm="1">
        <f t="array" ref="Z847">IF(_xlfn.IFERROR(INDEX('Datos - Catálogo TIMSS'!$J$5:$J$107,MATCH(L847,'Datos - Catálogo TIMSS'!$A$5:$A$107,0)),"No")="Sí",1,0)</f>
        <v>0</v>
      </c>
      <c r="AA847" t="s" s="35">
        <v>1363</v>
      </c>
      <c r="AB847" s="39"/>
      <c r="AC847" t="str" s="39">
        <v>Ondas y física atómica/nuclear</v>
      </c>
      <c r="AD847" t="s" s="35">
        <v>1834</v>
      </c>
      <c r="AE847" t="str" s="39" cm="1">
        <f t="array" ref="AE847">IF(AD847="","",IF(LEFT(AD847,1)="1","C1",IF(LEFT(AD847,1)="2","C2",IF(LEFT(AD847,1)="3","C3",""))))</f>
        <v>C2</v>
      </c>
      <c r="AF847" t="s" s="35">
        <v>1602</v>
      </c>
      <c r="AG847" t="s" s="35">
        <v>1617</v>
      </c>
      <c r="AH847" t="s" s="35">
        <v>1602</v>
      </c>
      <c r="AI847" t="s" s="35">
        <v>1623</v>
      </c>
      <c r="AJ847" t="s" s="35">
        <v>1621</v>
      </c>
      <c r="AK847" s="39"/>
      <c r="AL847" s="39"/>
      <c r="AM847" s="39"/>
      <c r="AN847" s="39"/>
      <c r="AO847" s="39"/>
      <c r="AP847" s="39"/>
      <c r="AQ847" s="39"/>
      <c r="AR847" s="39"/>
      <c r="AS847" s="39"/>
      <c r="AT847" s="39"/>
      <c r="AU847" s="39"/>
      <c r="AV847" s="39"/>
      <c r="AW847" t="str" s="39" cm="1">
        <f t="array" ref="AW847">AF847&amp;"; "&amp;AG847&amp;"; "&amp;AH847&amp;"; "&amp;AI847&amp;"; "&amp;AJ847</f>
        <v>E1; D1; E1; D4; D3</v>
      </c>
    </row>
    <row r="848" ht="13.65" customHeight="1">
      <c r="A848" t="s" s="35">
        <v>5943</v>
      </c>
      <c r="B848" s="36">
        <v>11</v>
      </c>
      <c r="C848" t="s" s="35">
        <v>222</v>
      </c>
      <c r="D848" t="s" s="35">
        <v>4800</v>
      </c>
      <c r="E848" t="s" s="35">
        <v>5427</v>
      </c>
      <c r="F848" s="36">
        <v>103</v>
      </c>
      <c r="G848" t="s" s="35">
        <v>5923</v>
      </c>
      <c r="H848" t="s" s="35">
        <v>5944</v>
      </c>
      <c r="I848" t="s" s="120">
        <v>5945</v>
      </c>
      <c r="J848" t="s" s="35">
        <v>1301</v>
      </c>
      <c r="K848" t="s" s="35">
        <v>1363</v>
      </c>
      <c r="L848" s="39"/>
      <c r="M848" t="str" s="39">
        <v>Ondas y física atómica/nuclear</v>
      </c>
      <c r="N848" t="str" s="39">
        <v>Fenómenos ondulatorios</v>
      </c>
      <c r="O848" t="str" s="39" cm="1">
        <f t="array" ref="O848">IF(L848="","",_xlfn.IFERROR(INDEX('Datos - Catálogo TIMSS'!$C$5:$C$107,MATCH(L848,'Datos - Catálogo TIMSS'!$A$5:$A$107,0)),"?"))</f>
      </c>
      <c r="P848" t="s" s="35">
        <v>282</v>
      </c>
      <c r="Q848" t="s" s="120">
        <v>5946</v>
      </c>
      <c r="R848" t="s" s="120">
        <v>5947</v>
      </c>
      <c r="S848" s="121" cm="1">
        <f t="array" ref="S848">_xlfn.IFERROR(ISNUMBER(SEARCH("Conocer",$R848))/(ISNUMBER(SEARCH("Conocer",$R848))+ISNUMBER(SEARCH("Aplicar",$R848))+ISNUMBER(SEARCH("Razonar",$R848))),0)</f>
        <v>0</v>
      </c>
      <c r="T848" s="121" cm="1">
        <f t="array" ref="T848">_xlfn.IFERROR(ISNUMBER(SEARCH("Aplicar",$R848))/(ISNUMBER(SEARCH("Conocer",$R848))+ISNUMBER(SEARCH("Aplicar",$R848))+ISNUMBER(SEARCH("Razonar",$R848))),0)</f>
        <v>0.5</v>
      </c>
      <c r="U848" s="121" cm="1">
        <f t="array" ref="U848">_xlfn.IFERROR(ISNUMBER(SEARCH("Razonar",$R848))/(ISNUMBER(SEARCH("Conocer",$R848))+ISNUMBER(SEARCH("Aplicar",$R848))+ISNUMBER(SEARCH("Razonar",$R848))),0)</f>
        <v>0.5</v>
      </c>
      <c r="V848" t="s" s="35">
        <v>91</v>
      </c>
      <c r="W848" t="s" s="35">
        <v>119</v>
      </c>
      <c r="X848" s="36" cm="1">
        <f t="array" ref="X848">IF(OR(_xlfn.IFERROR(INDEX('Datos - Catálogo TIMSS'!$I$5:$I$107,MATCH(K848,'Datos - Catálogo TIMSS'!$A$5:$A$107,0)),"No")="Sí",_xlfn.IFERROR(INDEX('Datos - Catálogo TIMSS'!$I$5:$I$107,MATCH(L848,'Datos - Catálogo TIMSS'!$A$5:$A$107,0)),"No")="Sí"),1,0)</f>
        <v>0</v>
      </c>
      <c r="Y848" s="36" cm="1">
        <f t="array" ref="Y848">IF(_xlfn.IFERROR(INDEX('Datos - Catálogo TIMSS'!$J$5:$J$107,MATCH(K848,'Datos - Catálogo TIMSS'!$A$5:$A$107,0)),"No")="Sí",1,0)</f>
        <v>0</v>
      </c>
      <c r="Z848" s="36" cm="1">
        <f t="array" ref="Z848">IF(_xlfn.IFERROR(INDEX('Datos - Catálogo TIMSS'!$J$5:$J$107,MATCH(L848,'Datos - Catálogo TIMSS'!$A$5:$A$107,0)),"No")="Sí",1,0)</f>
        <v>0</v>
      </c>
      <c r="AA848" t="s" s="35">
        <v>1363</v>
      </c>
      <c r="AB848" s="39"/>
      <c r="AC848" t="str" s="39">
        <v>Ondas y física atómica/nuclear</v>
      </c>
      <c r="AD848" t="s" s="35">
        <v>1859</v>
      </c>
      <c r="AE848" t="str" s="39" cm="1">
        <f t="array" ref="AE848">IF(AD848="","",IF(LEFT(AD848,1)="1","C1",IF(LEFT(AD848,1)="2","C2",IF(LEFT(AD848,1)="3","C3",""))))</f>
        <v>C1</v>
      </c>
      <c r="AF848" t="s" s="35">
        <v>1615</v>
      </c>
      <c r="AG848" t="s" s="35">
        <v>1607</v>
      </c>
      <c r="AH848" t="s" s="35">
        <v>1602</v>
      </c>
      <c r="AI848" t="s" s="35">
        <v>1623</v>
      </c>
      <c r="AJ848" t="s" s="35">
        <v>1607</v>
      </c>
      <c r="AK848" s="39"/>
      <c r="AL848" s="39"/>
      <c r="AM848" s="39"/>
      <c r="AN848" s="39"/>
      <c r="AO848" s="39"/>
      <c r="AP848" s="39"/>
      <c r="AQ848" s="39"/>
      <c r="AR848" s="39"/>
      <c r="AS848" s="39"/>
      <c r="AT848" s="39"/>
      <c r="AU848" s="39"/>
      <c r="AV848" s="39"/>
      <c r="AW848" t="str" s="39" cm="1">
        <f t="array" ref="AW848">AF848&amp;"; "&amp;AG848&amp;"; "&amp;AH848&amp;"; "&amp;AI848&amp;"; "&amp;AJ848</f>
        <v>E6; E3; E1; D4; E3</v>
      </c>
    </row>
    <row r="849" ht="13.65" customHeight="1">
      <c r="A849" t="s" s="35">
        <v>5948</v>
      </c>
      <c r="B849" s="36">
        <v>11</v>
      </c>
      <c r="C849" t="s" s="35">
        <v>222</v>
      </c>
      <c r="D849" t="s" s="35">
        <v>4800</v>
      </c>
      <c r="E849" t="s" s="35">
        <v>5427</v>
      </c>
      <c r="F849" s="36">
        <v>104</v>
      </c>
      <c r="G849" t="s" s="35">
        <v>5923</v>
      </c>
      <c r="H849" t="s" s="35">
        <v>5949</v>
      </c>
      <c r="I849" t="s" s="120">
        <v>5950</v>
      </c>
      <c r="J849" t="s" s="35">
        <v>1301</v>
      </c>
      <c r="K849" t="s" s="35">
        <v>1363</v>
      </c>
      <c r="L849" s="39"/>
      <c r="M849" t="str" s="39">
        <v>Ondas y física atómica/nuclear</v>
      </c>
      <c r="N849" t="str" s="39">
        <v>Fenómenos ondulatorios</v>
      </c>
      <c r="O849" t="str" s="39" cm="1">
        <f t="array" ref="O849">IF(L849="","",_xlfn.IFERROR(INDEX('Datos - Catálogo TIMSS'!$C$5:$C$107,MATCH(L849,'Datos - Catálogo TIMSS'!$A$5:$A$107,0)),"?"))</f>
      </c>
      <c r="P849" t="s" s="35">
        <v>282</v>
      </c>
      <c r="Q849" t="s" s="120">
        <v>5951</v>
      </c>
      <c r="R849" t="s" s="120">
        <v>5952</v>
      </c>
      <c r="S849" s="121" cm="1">
        <f t="array" ref="S849">_xlfn.IFERROR(ISNUMBER(SEARCH("Conocer",$R849))/(ISNUMBER(SEARCH("Conocer",$R849))+ISNUMBER(SEARCH("Aplicar",$R849))+ISNUMBER(SEARCH("Razonar",$R849))),0)</f>
        <v>0</v>
      </c>
      <c r="T849" s="121" cm="1">
        <f t="array" ref="T849">_xlfn.IFERROR(ISNUMBER(SEARCH("Aplicar",$R849))/(ISNUMBER(SEARCH("Conocer",$R849))+ISNUMBER(SEARCH("Aplicar",$R849))+ISNUMBER(SEARCH("Razonar",$R849))),0)</f>
        <v>0.5</v>
      </c>
      <c r="U849" s="121" cm="1">
        <f t="array" ref="U849">_xlfn.IFERROR(ISNUMBER(SEARCH("Razonar",$R849))/(ISNUMBER(SEARCH("Conocer",$R849))+ISNUMBER(SEARCH("Aplicar",$R849))+ISNUMBER(SEARCH("Razonar",$R849))),0)</f>
        <v>0.5</v>
      </c>
      <c r="V849" t="s" s="35">
        <v>91</v>
      </c>
      <c r="W849" t="s" s="35">
        <v>119</v>
      </c>
      <c r="X849" s="36" cm="1">
        <f t="array" ref="X849">IF(OR(_xlfn.IFERROR(INDEX('Datos - Catálogo TIMSS'!$I$5:$I$107,MATCH(K849,'Datos - Catálogo TIMSS'!$A$5:$A$107,0)),"No")="Sí",_xlfn.IFERROR(INDEX('Datos - Catálogo TIMSS'!$I$5:$I$107,MATCH(L849,'Datos - Catálogo TIMSS'!$A$5:$A$107,0)),"No")="Sí"),1,0)</f>
        <v>0</v>
      </c>
      <c r="Y849" s="36" cm="1">
        <f t="array" ref="Y849">IF(_xlfn.IFERROR(INDEX('Datos - Catálogo TIMSS'!$J$5:$J$107,MATCH(K849,'Datos - Catálogo TIMSS'!$A$5:$A$107,0)),"No")="Sí",1,0)</f>
        <v>0</v>
      </c>
      <c r="Z849" s="36" cm="1">
        <f t="array" ref="Z849">IF(_xlfn.IFERROR(INDEX('Datos - Catálogo TIMSS'!$J$5:$J$107,MATCH(L849,'Datos - Catálogo TIMSS'!$A$5:$A$107,0)),"No")="Sí",1,0)</f>
        <v>0</v>
      </c>
      <c r="AA849" t="s" s="35">
        <v>1363</v>
      </c>
      <c r="AB849" s="39"/>
      <c r="AC849" t="str" s="39">
        <v>Ondas y física atómica/nuclear</v>
      </c>
      <c r="AD849" t="s" s="35">
        <v>1900</v>
      </c>
      <c r="AE849" t="str" s="39" cm="1">
        <f t="array" ref="AE849">IF(AD849="","",IF(LEFT(AD849,1)="1","C1",IF(LEFT(AD849,1)="2","C2",IF(LEFT(AD849,1)="3","C3",""))))</f>
        <v>C3</v>
      </c>
      <c r="AF849" t="s" s="35">
        <v>1615</v>
      </c>
      <c r="AG849" t="s" s="35">
        <v>1612</v>
      </c>
      <c r="AH849" t="s" s="35">
        <v>1609</v>
      </c>
      <c r="AI849" t="s" s="35">
        <v>1625</v>
      </c>
      <c r="AJ849" t="s" s="35">
        <v>1633</v>
      </c>
      <c r="AK849" s="39"/>
      <c r="AL849" s="39"/>
      <c r="AM849" s="39"/>
      <c r="AN849" s="39"/>
      <c r="AO849" s="39"/>
      <c r="AP849" s="39"/>
      <c r="AQ849" s="39"/>
      <c r="AR849" s="39"/>
      <c r="AS849" s="39"/>
      <c r="AT849" s="39"/>
      <c r="AU849" s="39"/>
      <c r="AV849" s="39"/>
      <c r="AW849" t="str" s="39" cm="1">
        <f t="array" ref="AW849">AF849&amp;"; "&amp;AG849&amp;"; "&amp;AH849&amp;"; "&amp;AI849&amp;"; "&amp;AJ849</f>
        <v>E6; E5; E4; I1; I5</v>
      </c>
    </row>
    <row r="850" ht="13.65" customHeight="1">
      <c r="A850" t="s" s="35">
        <v>5953</v>
      </c>
      <c r="B850" s="36">
        <v>11</v>
      </c>
      <c r="C850" t="s" s="35">
        <v>222</v>
      </c>
      <c r="D850" t="s" s="35">
        <v>4800</v>
      </c>
      <c r="E850" t="s" s="35">
        <v>5427</v>
      </c>
      <c r="F850" s="36">
        <v>105</v>
      </c>
      <c r="G850" t="s" s="35">
        <v>5923</v>
      </c>
      <c r="H850" t="s" s="35">
        <v>5954</v>
      </c>
      <c r="I850" t="s" s="120">
        <v>5955</v>
      </c>
      <c r="J850" t="s" s="35">
        <v>1301</v>
      </c>
      <c r="K850" t="s" s="35">
        <v>1363</v>
      </c>
      <c r="L850" s="39"/>
      <c r="M850" t="str" s="39">
        <v>Ondas y física atómica/nuclear</v>
      </c>
      <c r="N850" t="str" s="39">
        <v>Fenómenos ondulatorios</v>
      </c>
      <c r="O850" t="str" s="39" cm="1">
        <f t="array" ref="O850">IF(L850="","",_xlfn.IFERROR(INDEX('Datos - Catálogo TIMSS'!$C$5:$C$107,MATCH(L850,'Datos - Catálogo TIMSS'!$A$5:$A$107,0)),"?"))</f>
      </c>
      <c r="P850" t="s" s="35">
        <v>282</v>
      </c>
      <c r="Q850" t="s" s="120">
        <v>5956</v>
      </c>
      <c r="R850" t="s" s="120">
        <v>5957</v>
      </c>
      <c r="S850" s="121" cm="1">
        <f t="array" ref="S850">_xlfn.IFERROR(ISNUMBER(SEARCH("Conocer",$R850))/(ISNUMBER(SEARCH("Conocer",$R850))+ISNUMBER(SEARCH("Aplicar",$R850))+ISNUMBER(SEARCH("Razonar",$R850))),0)</f>
        <v>0</v>
      </c>
      <c r="T850" s="121" cm="1">
        <f t="array" ref="T850">_xlfn.IFERROR(ISNUMBER(SEARCH("Aplicar",$R850))/(ISNUMBER(SEARCH("Conocer",$R850))+ISNUMBER(SEARCH("Aplicar",$R850))+ISNUMBER(SEARCH("Razonar",$R850))),0)</f>
        <v>0.5</v>
      </c>
      <c r="U850" s="121" cm="1">
        <f t="array" ref="U850">_xlfn.IFERROR(ISNUMBER(SEARCH("Razonar",$R850))/(ISNUMBER(SEARCH("Conocer",$R850))+ISNUMBER(SEARCH("Aplicar",$R850))+ISNUMBER(SEARCH("Razonar",$R850))),0)</f>
        <v>0.5</v>
      </c>
      <c r="V850" t="s" s="35">
        <v>91</v>
      </c>
      <c r="W850" t="s" s="35">
        <v>119</v>
      </c>
      <c r="X850" s="36" cm="1">
        <f t="array" ref="X850">IF(OR(_xlfn.IFERROR(INDEX('Datos - Catálogo TIMSS'!$I$5:$I$107,MATCH(K850,'Datos - Catálogo TIMSS'!$A$5:$A$107,0)),"No")="Sí",_xlfn.IFERROR(INDEX('Datos - Catálogo TIMSS'!$I$5:$I$107,MATCH(L850,'Datos - Catálogo TIMSS'!$A$5:$A$107,0)),"No")="Sí"),1,0)</f>
        <v>0</v>
      </c>
      <c r="Y850" s="36" cm="1">
        <f t="array" ref="Y850">IF(_xlfn.IFERROR(INDEX('Datos - Catálogo TIMSS'!$J$5:$J$107,MATCH(K850,'Datos - Catálogo TIMSS'!$A$5:$A$107,0)),"No")="Sí",1,0)</f>
        <v>0</v>
      </c>
      <c r="Z850" s="36" cm="1">
        <f t="array" ref="Z850">IF(_xlfn.IFERROR(INDEX('Datos - Catálogo TIMSS'!$J$5:$J$107,MATCH(L850,'Datos - Catálogo TIMSS'!$A$5:$A$107,0)),"No")="Sí",1,0)</f>
        <v>0</v>
      </c>
      <c r="AA850" t="s" s="35">
        <v>1363</v>
      </c>
      <c r="AB850" s="39"/>
      <c r="AC850" t="str" s="39">
        <v>Ondas y física atómica/nuclear</v>
      </c>
      <c r="AD850" t="s" s="35">
        <v>1859</v>
      </c>
      <c r="AE850" t="str" s="39" cm="1">
        <f t="array" ref="AE850">IF(AD850="","",IF(LEFT(AD850,1)="1","C1",IF(LEFT(AD850,1)="2","C2",IF(LEFT(AD850,1)="3","C3",""))))</f>
        <v>C1</v>
      </c>
      <c r="AF850" t="s" s="35">
        <v>1602</v>
      </c>
      <c r="AG850" t="s" s="35">
        <v>1607</v>
      </c>
      <c r="AH850" t="s" s="35">
        <v>1605</v>
      </c>
      <c r="AI850" t="s" s="35">
        <v>1623</v>
      </c>
      <c r="AJ850" t="s" s="35">
        <v>1615</v>
      </c>
      <c r="AK850" s="39"/>
      <c r="AL850" s="39"/>
      <c r="AM850" s="39"/>
      <c r="AN850" s="39"/>
      <c r="AO850" s="39"/>
      <c r="AP850" s="39"/>
      <c r="AQ850" s="39"/>
      <c r="AR850" s="39"/>
      <c r="AS850" s="39"/>
      <c r="AT850" s="39"/>
      <c r="AU850" s="39"/>
      <c r="AV850" s="39"/>
      <c r="AW850" t="str" s="39" cm="1">
        <f t="array" ref="AW850">AF850&amp;"; "&amp;AG850&amp;"; "&amp;AH850&amp;"; "&amp;AI850&amp;"; "&amp;AJ850</f>
        <v>E1; E3; E2; D4; E6</v>
      </c>
    </row>
    <row r="851" ht="13.65" customHeight="1">
      <c r="A851" t="s" s="35">
        <v>5958</v>
      </c>
      <c r="B851" s="36">
        <v>11</v>
      </c>
      <c r="C851" t="s" s="35">
        <v>222</v>
      </c>
      <c r="D851" t="s" s="35">
        <v>4800</v>
      </c>
      <c r="E851" t="s" s="35">
        <v>5427</v>
      </c>
      <c r="F851" s="36">
        <v>106</v>
      </c>
      <c r="G851" t="s" s="35">
        <v>5923</v>
      </c>
      <c r="H851" t="s" s="35">
        <v>5954</v>
      </c>
      <c r="I851" t="s" s="120">
        <v>5959</v>
      </c>
      <c r="J851" t="s" s="35">
        <v>1301</v>
      </c>
      <c r="K851" t="s" s="35">
        <v>1363</v>
      </c>
      <c r="L851" s="39"/>
      <c r="M851" t="str" s="39">
        <v>Ondas y física atómica/nuclear</v>
      </c>
      <c r="N851" t="str" s="39">
        <v>Fenómenos ondulatorios</v>
      </c>
      <c r="O851" t="str" s="39" cm="1">
        <f t="array" ref="O851">IF(L851="","",_xlfn.IFERROR(INDEX('Datos - Catálogo TIMSS'!$C$5:$C$107,MATCH(L851,'Datos - Catálogo TIMSS'!$A$5:$A$107,0)),"?"))</f>
      </c>
      <c r="P851" t="s" s="35">
        <v>282</v>
      </c>
      <c r="Q851" t="s" s="120">
        <v>5960</v>
      </c>
      <c r="R851" t="s" s="120">
        <v>5961</v>
      </c>
      <c r="S851" s="121" cm="1">
        <f t="array" ref="S851">_xlfn.IFERROR(ISNUMBER(SEARCH("Conocer",$R851))/(ISNUMBER(SEARCH("Conocer",$R851))+ISNUMBER(SEARCH("Aplicar",$R851))+ISNUMBER(SEARCH("Razonar",$R851))),0)</f>
        <v>0</v>
      </c>
      <c r="T851" s="121" cm="1">
        <f t="array" ref="T851">_xlfn.IFERROR(ISNUMBER(SEARCH("Aplicar",$R851))/(ISNUMBER(SEARCH("Conocer",$R851))+ISNUMBER(SEARCH("Aplicar",$R851))+ISNUMBER(SEARCH("Razonar",$R851))),0)</f>
        <v>0.5</v>
      </c>
      <c r="U851" s="121" cm="1">
        <f t="array" ref="U851">_xlfn.IFERROR(ISNUMBER(SEARCH("Razonar",$R851))/(ISNUMBER(SEARCH("Conocer",$R851))+ISNUMBER(SEARCH("Aplicar",$R851))+ISNUMBER(SEARCH("Razonar",$R851))),0)</f>
        <v>0.5</v>
      </c>
      <c r="V851" t="s" s="35">
        <v>91</v>
      </c>
      <c r="W851" t="s" s="35">
        <v>119</v>
      </c>
      <c r="X851" s="36" cm="1">
        <f t="array" ref="X851">IF(OR(_xlfn.IFERROR(INDEX('Datos - Catálogo TIMSS'!$I$5:$I$107,MATCH(K851,'Datos - Catálogo TIMSS'!$A$5:$A$107,0)),"No")="Sí",_xlfn.IFERROR(INDEX('Datos - Catálogo TIMSS'!$I$5:$I$107,MATCH(L851,'Datos - Catálogo TIMSS'!$A$5:$A$107,0)),"No")="Sí"),1,0)</f>
        <v>0</v>
      </c>
      <c r="Y851" s="36" cm="1">
        <f t="array" ref="Y851">IF(_xlfn.IFERROR(INDEX('Datos - Catálogo TIMSS'!$J$5:$J$107,MATCH(K851,'Datos - Catálogo TIMSS'!$A$5:$A$107,0)),"No")="Sí",1,0)</f>
        <v>0</v>
      </c>
      <c r="Z851" s="36" cm="1">
        <f t="array" ref="Z851">IF(_xlfn.IFERROR(INDEX('Datos - Catálogo TIMSS'!$J$5:$J$107,MATCH(L851,'Datos - Catálogo TIMSS'!$A$5:$A$107,0)),"No")="Sí",1,0)</f>
        <v>0</v>
      </c>
      <c r="AA851" t="s" s="35">
        <v>1363</v>
      </c>
      <c r="AB851" s="39"/>
      <c r="AC851" t="str" s="39">
        <v>Ondas y física atómica/nuclear</v>
      </c>
      <c r="AD851" t="s" s="35">
        <v>1859</v>
      </c>
      <c r="AE851" t="str" s="39" cm="1">
        <f t="array" ref="AE851">IF(AD851="","",IF(LEFT(AD851,1)="1","C1",IF(LEFT(AD851,1)="2","C2",IF(LEFT(AD851,1)="3","C3",""))))</f>
        <v>C1</v>
      </c>
      <c r="AF851" t="s" s="35">
        <v>1602</v>
      </c>
      <c r="AG851" t="s" s="35">
        <v>1607</v>
      </c>
      <c r="AH851" t="s" s="35">
        <v>1609</v>
      </c>
      <c r="AI851" t="s" s="35">
        <v>1623</v>
      </c>
      <c r="AJ851" t="s" s="35">
        <v>1615</v>
      </c>
      <c r="AK851" s="39"/>
      <c r="AL851" s="39"/>
      <c r="AM851" s="39"/>
      <c r="AN851" s="39"/>
      <c r="AO851" s="39"/>
      <c r="AP851" s="39"/>
      <c r="AQ851" s="39"/>
      <c r="AR851" s="39"/>
      <c r="AS851" s="39"/>
      <c r="AT851" s="39"/>
      <c r="AU851" s="39"/>
      <c r="AV851" s="39"/>
      <c r="AW851" t="str" s="39" cm="1">
        <f t="array" ref="AW851">AF851&amp;"; "&amp;AG851&amp;"; "&amp;AH851&amp;"; "&amp;AI851&amp;"; "&amp;AJ851</f>
        <v>E1; E3; E4; D4; E6</v>
      </c>
    </row>
    <row r="852" ht="13.65" customHeight="1">
      <c r="A852" t="s" s="35">
        <v>5962</v>
      </c>
      <c r="B852" s="36">
        <v>11</v>
      </c>
      <c r="C852" t="s" s="35">
        <v>222</v>
      </c>
      <c r="D852" t="s" s="35">
        <v>4800</v>
      </c>
      <c r="E852" t="s" s="35">
        <v>5427</v>
      </c>
      <c r="F852" s="36">
        <v>107</v>
      </c>
      <c r="G852" t="s" s="35">
        <v>5923</v>
      </c>
      <c r="H852" t="s" s="35">
        <v>5954</v>
      </c>
      <c r="I852" t="s" s="120">
        <v>5963</v>
      </c>
      <c r="J852" t="s" s="35">
        <v>1301</v>
      </c>
      <c r="K852" t="s" s="35">
        <v>1363</v>
      </c>
      <c r="L852" s="39"/>
      <c r="M852" t="str" s="39">
        <v>Ondas y física atómica/nuclear</v>
      </c>
      <c r="N852" t="str" s="39">
        <v>Fenómenos ondulatorios</v>
      </c>
      <c r="O852" t="str" s="39" cm="1">
        <f t="array" ref="O852">IF(L852="","",_xlfn.IFERROR(INDEX('Datos - Catálogo TIMSS'!$C$5:$C$107,MATCH(L852,'Datos - Catálogo TIMSS'!$A$5:$A$107,0)),"?"))</f>
      </c>
      <c r="P852" t="s" s="35">
        <v>282</v>
      </c>
      <c r="Q852" t="s" s="120">
        <v>5964</v>
      </c>
      <c r="R852" t="s" s="120">
        <v>5965</v>
      </c>
      <c r="S852" s="121" cm="1">
        <f t="array" ref="S852">_xlfn.IFERROR(ISNUMBER(SEARCH("Conocer",$R852))/(ISNUMBER(SEARCH("Conocer",$R852))+ISNUMBER(SEARCH("Aplicar",$R852))+ISNUMBER(SEARCH("Razonar",$R852))),0)</f>
        <v>0</v>
      </c>
      <c r="T852" s="121" cm="1">
        <f t="array" ref="T852">_xlfn.IFERROR(ISNUMBER(SEARCH("Aplicar",$R852))/(ISNUMBER(SEARCH("Conocer",$R852))+ISNUMBER(SEARCH("Aplicar",$R852))+ISNUMBER(SEARCH("Razonar",$R852))),0)</f>
        <v>0.5</v>
      </c>
      <c r="U852" s="121" cm="1">
        <f t="array" ref="U852">_xlfn.IFERROR(ISNUMBER(SEARCH("Razonar",$R852))/(ISNUMBER(SEARCH("Conocer",$R852))+ISNUMBER(SEARCH("Aplicar",$R852))+ISNUMBER(SEARCH("Razonar",$R852))),0)</f>
        <v>0.5</v>
      </c>
      <c r="V852" t="s" s="35">
        <v>91</v>
      </c>
      <c r="W852" t="s" s="35">
        <v>119</v>
      </c>
      <c r="X852" s="36" cm="1">
        <f t="array" ref="X852">IF(OR(_xlfn.IFERROR(INDEX('Datos - Catálogo TIMSS'!$I$5:$I$107,MATCH(K852,'Datos - Catálogo TIMSS'!$A$5:$A$107,0)),"No")="Sí",_xlfn.IFERROR(INDEX('Datos - Catálogo TIMSS'!$I$5:$I$107,MATCH(L852,'Datos - Catálogo TIMSS'!$A$5:$A$107,0)),"No")="Sí"),1,0)</f>
        <v>0</v>
      </c>
      <c r="Y852" s="36" cm="1">
        <f t="array" ref="Y852">IF(_xlfn.IFERROR(INDEX('Datos - Catálogo TIMSS'!$J$5:$J$107,MATCH(K852,'Datos - Catálogo TIMSS'!$A$5:$A$107,0)),"No")="Sí",1,0)</f>
        <v>0</v>
      </c>
      <c r="Z852" s="36" cm="1">
        <f t="array" ref="Z852">IF(_xlfn.IFERROR(INDEX('Datos - Catálogo TIMSS'!$J$5:$J$107,MATCH(L852,'Datos - Catálogo TIMSS'!$A$5:$A$107,0)),"No")="Sí",1,0)</f>
        <v>0</v>
      </c>
      <c r="AA852" t="s" s="35">
        <v>1363</v>
      </c>
      <c r="AB852" s="39"/>
      <c r="AC852" t="str" s="39">
        <v>Ondas y física atómica/nuclear</v>
      </c>
      <c r="AD852" t="s" s="35">
        <v>1859</v>
      </c>
      <c r="AE852" t="str" s="39" cm="1">
        <f t="array" ref="AE852">IF(AD852="","",IF(LEFT(AD852,1)="1","C1",IF(LEFT(AD852,1)="2","C2",IF(LEFT(AD852,1)="3","C3",""))))</f>
        <v>C1</v>
      </c>
      <c r="AF852" t="s" s="35">
        <v>1602</v>
      </c>
      <c r="AG852" t="s" s="35">
        <v>1607</v>
      </c>
      <c r="AH852" t="s" s="35">
        <v>1605</v>
      </c>
      <c r="AI852" t="s" s="35">
        <v>1619</v>
      </c>
      <c r="AJ852" t="s" s="35">
        <v>1633</v>
      </c>
      <c r="AK852" s="39"/>
      <c r="AL852" s="39"/>
      <c r="AM852" s="39"/>
      <c r="AN852" s="39"/>
      <c r="AO852" s="39"/>
      <c r="AP852" s="39"/>
      <c r="AQ852" s="39"/>
      <c r="AR852" s="39"/>
      <c r="AS852" s="39"/>
      <c r="AT852" s="39"/>
      <c r="AU852" s="39"/>
      <c r="AV852" s="39"/>
      <c r="AW852" t="str" s="39" cm="1">
        <f t="array" ref="AW852">AF852&amp;"; "&amp;AG852&amp;"; "&amp;AH852&amp;"; "&amp;AI852&amp;"; "&amp;AJ852</f>
        <v>E1; E3; E2; D2; I5</v>
      </c>
    </row>
    <row r="853" ht="13.65" customHeight="1">
      <c r="A853" t="s" s="35">
        <v>5967</v>
      </c>
      <c r="B853" s="36">
        <v>11</v>
      </c>
      <c r="C853" t="s" s="35">
        <v>222</v>
      </c>
      <c r="D853" t="s" s="35">
        <v>4800</v>
      </c>
      <c r="E853" t="s" s="35">
        <v>5427</v>
      </c>
      <c r="F853" s="36">
        <v>108</v>
      </c>
      <c r="G853" t="s" s="35">
        <v>5923</v>
      </c>
      <c r="H853" t="s" s="35">
        <v>5954</v>
      </c>
      <c r="I853" t="s" s="120">
        <v>5968</v>
      </c>
      <c r="J853" t="s" s="35">
        <v>1301</v>
      </c>
      <c r="K853" t="s" s="35">
        <v>1363</v>
      </c>
      <c r="L853" s="39"/>
      <c r="M853" t="str" s="39">
        <v>Ondas y física atómica/nuclear</v>
      </c>
      <c r="N853" t="str" s="39">
        <v>Fenómenos ondulatorios</v>
      </c>
      <c r="O853" t="str" s="39" cm="1">
        <f t="array" ref="O853">IF(L853="","",_xlfn.IFERROR(INDEX('Datos - Catálogo TIMSS'!$C$5:$C$107,MATCH(L853,'Datos - Catálogo TIMSS'!$A$5:$A$107,0)),"?"))</f>
      </c>
      <c r="P853" t="s" s="35">
        <v>291</v>
      </c>
      <c r="Q853" t="s" s="120">
        <v>5969</v>
      </c>
      <c r="R853" t="s" s="120">
        <v>5970</v>
      </c>
      <c r="S853" s="121" cm="1">
        <f t="array" ref="S853">_xlfn.IFERROR(ISNUMBER(SEARCH("Conocer",$R853))/(ISNUMBER(SEARCH("Conocer",$R853))+ISNUMBER(SEARCH("Aplicar",$R853))+ISNUMBER(SEARCH("Razonar",$R853))),0)</f>
        <v>0.5</v>
      </c>
      <c r="T853" s="121" cm="1">
        <f t="array" ref="T853">_xlfn.IFERROR(ISNUMBER(SEARCH("Aplicar",$R853))/(ISNUMBER(SEARCH("Conocer",$R853))+ISNUMBER(SEARCH("Aplicar",$R853))+ISNUMBER(SEARCH("Razonar",$R853))),0)</f>
        <v>0</v>
      </c>
      <c r="U853" s="121" cm="1">
        <f t="array" ref="U853">_xlfn.IFERROR(ISNUMBER(SEARCH("Razonar",$R853))/(ISNUMBER(SEARCH("Conocer",$R853))+ISNUMBER(SEARCH("Aplicar",$R853))+ISNUMBER(SEARCH("Razonar",$R853))),0)</f>
        <v>0.5</v>
      </c>
      <c r="V853" t="s" s="35">
        <v>91</v>
      </c>
      <c r="W853" t="s" s="35">
        <v>119</v>
      </c>
      <c r="X853" s="36" cm="1">
        <f t="array" ref="X853">IF(OR(_xlfn.IFERROR(INDEX('Datos - Catálogo TIMSS'!$I$5:$I$107,MATCH(K853,'Datos - Catálogo TIMSS'!$A$5:$A$107,0)),"No")="Sí",_xlfn.IFERROR(INDEX('Datos - Catálogo TIMSS'!$I$5:$I$107,MATCH(L853,'Datos - Catálogo TIMSS'!$A$5:$A$107,0)),"No")="Sí"),1,0)</f>
        <v>0</v>
      </c>
      <c r="Y853" s="36" cm="1">
        <f t="array" ref="Y853">IF(_xlfn.IFERROR(INDEX('Datos - Catálogo TIMSS'!$J$5:$J$107,MATCH(K853,'Datos - Catálogo TIMSS'!$A$5:$A$107,0)),"No")="Sí",1,0)</f>
        <v>0</v>
      </c>
      <c r="Z853" s="36" cm="1">
        <f t="array" ref="Z853">IF(_xlfn.IFERROR(INDEX('Datos - Catálogo TIMSS'!$J$5:$J$107,MATCH(L853,'Datos - Catálogo TIMSS'!$A$5:$A$107,0)),"No")="Sí",1,0)</f>
        <v>0</v>
      </c>
      <c r="AA853" t="s" s="35">
        <v>1363</v>
      </c>
      <c r="AB853" s="39"/>
      <c r="AC853" t="str" s="39">
        <v>Ondas y física atómica/nuclear</v>
      </c>
      <c r="AD853" t="s" s="35">
        <v>1859</v>
      </c>
      <c r="AE853" t="str" s="39" cm="1">
        <f t="array" ref="AE853">IF(AD853="","",IF(LEFT(AD853,1)="1","C1",IF(LEFT(AD853,1)="2","C2",IF(LEFT(AD853,1)="3","C3",""))))</f>
        <v>C1</v>
      </c>
      <c r="AF853" t="s" s="35">
        <v>1602</v>
      </c>
      <c r="AG853" t="s" s="35">
        <v>1612</v>
      </c>
      <c r="AH853" t="s" s="35">
        <v>1609</v>
      </c>
      <c r="AI853" t="s" s="35">
        <v>1625</v>
      </c>
      <c r="AJ853" t="s" s="35">
        <v>1607</v>
      </c>
      <c r="AK853" s="39"/>
      <c r="AL853" s="39"/>
      <c r="AM853" s="39"/>
      <c r="AN853" s="39"/>
      <c r="AO853" s="39"/>
      <c r="AP853" s="39"/>
      <c r="AQ853" s="39"/>
      <c r="AR853" s="39"/>
      <c r="AS853" s="39"/>
      <c r="AT853" s="39"/>
      <c r="AU853" s="39"/>
      <c r="AV853" s="39"/>
      <c r="AW853" t="str" s="39" cm="1">
        <f t="array" ref="AW853">AF853&amp;"; "&amp;AG853&amp;"; "&amp;AH853&amp;"; "&amp;AI853&amp;"; "&amp;AJ853</f>
        <v>E1; E5; E4; I1; E3</v>
      </c>
    </row>
    <row r="854" ht="13.65" customHeight="1">
      <c r="A854" t="s" s="35">
        <v>5972</v>
      </c>
      <c r="B854" s="36">
        <v>11</v>
      </c>
      <c r="C854" t="s" s="35">
        <v>222</v>
      </c>
      <c r="D854" t="s" s="35">
        <v>4800</v>
      </c>
      <c r="E854" t="s" s="35">
        <v>5427</v>
      </c>
      <c r="F854" s="36">
        <v>109</v>
      </c>
      <c r="G854" t="s" s="35">
        <v>5973</v>
      </c>
      <c r="H854" t="s" s="35">
        <v>5974</v>
      </c>
      <c r="I854" t="s" s="120">
        <v>5975</v>
      </c>
      <c r="J854" t="s" s="35">
        <v>1301</v>
      </c>
      <c r="K854" t="s" s="35">
        <v>1363</v>
      </c>
      <c r="L854" s="39"/>
      <c r="M854" t="str" s="39">
        <v>Ondas y física atómica/nuclear</v>
      </c>
      <c r="N854" t="str" s="39">
        <v>Fenómenos ondulatorios</v>
      </c>
      <c r="O854" t="str" s="39" cm="1">
        <f t="array" ref="O854">IF(L854="","",_xlfn.IFERROR(INDEX('Datos - Catálogo TIMSS'!$C$5:$C$107,MATCH(L854,'Datos - Catálogo TIMSS'!$A$5:$A$107,0)),"?"))</f>
      </c>
      <c r="P854" t="s" s="35">
        <v>254</v>
      </c>
      <c r="Q854" t="s" s="120">
        <v>5976</v>
      </c>
      <c r="R854" t="s" s="120">
        <v>5977</v>
      </c>
      <c r="S854" s="121" cm="1">
        <f t="array" ref="S854">_xlfn.IFERROR(ISNUMBER(SEARCH("Conocer",$R854))/(ISNUMBER(SEARCH("Conocer",$R854))+ISNUMBER(SEARCH("Aplicar",$R854))+ISNUMBER(SEARCH("Razonar",$R854))),0)</f>
        <v>0</v>
      </c>
      <c r="T854" s="121" cm="1">
        <f t="array" ref="T854">_xlfn.IFERROR(ISNUMBER(SEARCH("Aplicar",$R854))/(ISNUMBER(SEARCH("Conocer",$R854))+ISNUMBER(SEARCH("Aplicar",$R854))+ISNUMBER(SEARCH("Razonar",$R854))),0)</f>
        <v>0.5</v>
      </c>
      <c r="U854" s="121" cm="1">
        <f t="array" ref="U854">_xlfn.IFERROR(ISNUMBER(SEARCH("Razonar",$R854))/(ISNUMBER(SEARCH("Conocer",$R854))+ISNUMBER(SEARCH("Aplicar",$R854))+ISNUMBER(SEARCH("Razonar",$R854))),0)</f>
        <v>0.5</v>
      </c>
      <c r="V854" t="s" s="35">
        <v>91</v>
      </c>
      <c r="W854" t="s" s="35">
        <v>119</v>
      </c>
      <c r="X854" s="36" cm="1">
        <f t="array" ref="X854">IF(OR(_xlfn.IFERROR(INDEX('Datos - Catálogo TIMSS'!$I$5:$I$107,MATCH(K854,'Datos - Catálogo TIMSS'!$A$5:$A$107,0)),"No")="Sí",_xlfn.IFERROR(INDEX('Datos - Catálogo TIMSS'!$I$5:$I$107,MATCH(L854,'Datos - Catálogo TIMSS'!$A$5:$A$107,0)),"No")="Sí"),1,0)</f>
        <v>0</v>
      </c>
      <c r="Y854" s="36" cm="1">
        <f t="array" ref="Y854">IF(_xlfn.IFERROR(INDEX('Datos - Catálogo TIMSS'!$J$5:$J$107,MATCH(K854,'Datos - Catálogo TIMSS'!$A$5:$A$107,0)),"No")="Sí",1,0)</f>
        <v>0</v>
      </c>
      <c r="Z854" s="36" cm="1">
        <f t="array" ref="Z854">IF(_xlfn.IFERROR(INDEX('Datos - Catálogo TIMSS'!$J$5:$J$107,MATCH(L854,'Datos - Catálogo TIMSS'!$A$5:$A$107,0)),"No")="Sí",1,0)</f>
        <v>0</v>
      </c>
      <c r="AA854" t="s" s="35">
        <v>1363</v>
      </c>
      <c r="AB854" s="39"/>
      <c r="AC854" t="str" s="39">
        <v>Ondas y física atómica/nuclear</v>
      </c>
      <c r="AD854" t="s" s="35">
        <v>1834</v>
      </c>
      <c r="AE854" t="str" s="39" cm="1">
        <f t="array" ref="AE854">IF(AD854="","",IF(LEFT(AD854,1)="1","C1",IF(LEFT(AD854,1)="2","C2",IF(LEFT(AD854,1)="3","C3",""))))</f>
        <v>C2</v>
      </c>
      <c r="AF854" t="s" s="35">
        <v>1602</v>
      </c>
      <c r="AG854" t="s" s="35">
        <v>1617</v>
      </c>
      <c r="AH854" t="s" s="35">
        <v>1605</v>
      </c>
      <c r="AI854" t="s" s="35">
        <v>1623</v>
      </c>
      <c r="AJ854" t="s" s="35">
        <v>1621</v>
      </c>
      <c r="AK854" s="39"/>
      <c r="AL854" s="39"/>
      <c r="AM854" s="39"/>
      <c r="AN854" s="39"/>
      <c r="AO854" s="39"/>
      <c r="AP854" s="39"/>
      <c r="AQ854" s="39"/>
      <c r="AR854" s="39"/>
      <c r="AS854" s="39"/>
      <c r="AT854" s="39"/>
      <c r="AU854" s="39"/>
      <c r="AV854" s="39"/>
      <c r="AW854" t="str" s="39" cm="1">
        <f t="array" ref="AW854">AF854&amp;"; "&amp;AG854&amp;"; "&amp;AH854&amp;"; "&amp;AI854&amp;"; "&amp;AJ854</f>
        <v>E1; D1; E2; D4; D3</v>
      </c>
    </row>
    <row r="855" ht="13.65" customHeight="1">
      <c r="A855" t="s" s="35">
        <v>5978</v>
      </c>
      <c r="B855" s="36">
        <v>11</v>
      </c>
      <c r="C855" t="s" s="35">
        <v>222</v>
      </c>
      <c r="D855" t="s" s="35">
        <v>4800</v>
      </c>
      <c r="E855" t="s" s="35">
        <v>5427</v>
      </c>
      <c r="F855" s="36">
        <v>110</v>
      </c>
      <c r="G855" t="s" s="35">
        <v>5973</v>
      </c>
      <c r="H855" t="s" s="35">
        <v>5974</v>
      </c>
      <c r="I855" t="s" s="120">
        <v>5979</v>
      </c>
      <c r="J855" t="s" s="35">
        <v>1301</v>
      </c>
      <c r="K855" t="s" s="35">
        <v>1363</v>
      </c>
      <c r="L855" s="39"/>
      <c r="M855" t="str" s="39">
        <v>Ondas y física atómica/nuclear</v>
      </c>
      <c r="N855" t="str" s="39">
        <v>Fenómenos ondulatorios</v>
      </c>
      <c r="O855" t="str" s="39" cm="1">
        <f t="array" ref="O855">IF(L855="","",_xlfn.IFERROR(INDEX('Datos - Catálogo TIMSS'!$C$5:$C$107,MATCH(L855,'Datos - Catálogo TIMSS'!$A$5:$A$107,0)),"?"))</f>
      </c>
      <c r="P855" t="s" s="35">
        <v>254</v>
      </c>
      <c r="Q855" t="s" s="120">
        <v>5980</v>
      </c>
      <c r="R855" t="s" s="120">
        <v>5981</v>
      </c>
      <c r="S855" s="121" cm="1">
        <f t="array" ref="S855">_xlfn.IFERROR(ISNUMBER(SEARCH("Conocer",$R855))/(ISNUMBER(SEARCH("Conocer",$R855))+ISNUMBER(SEARCH("Aplicar",$R855))+ISNUMBER(SEARCH("Razonar",$R855))),0)</f>
        <v>0</v>
      </c>
      <c r="T855" s="121" cm="1">
        <f t="array" ref="T855">_xlfn.IFERROR(ISNUMBER(SEARCH("Aplicar",$R855))/(ISNUMBER(SEARCH("Conocer",$R855))+ISNUMBER(SEARCH("Aplicar",$R855))+ISNUMBER(SEARCH("Razonar",$R855))),0)</f>
        <v>0.5</v>
      </c>
      <c r="U855" s="121" cm="1">
        <f t="array" ref="U855">_xlfn.IFERROR(ISNUMBER(SEARCH("Razonar",$R855))/(ISNUMBER(SEARCH("Conocer",$R855))+ISNUMBER(SEARCH("Aplicar",$R855))+ISNUMBER(SEARCH("Razonar",$R855))),0)</f>
        <v>0.5</v>
      </c>
      <c r="V855" t="s" s="35">
        <v>91</v>
      </c>
      <c r="W855" t="s" s="35">
        <v>119</v>
      </c>
      <c r="X855" s="36" cm="1">
        <f t="array" ref="X855">IF(OR(_xlfn.IFERROR(INDEX('Datos - Catálogo TIMSS'!$I$5:$I$107,MATCH(K855,'Datos - Catálogo TIMSS'!$A$5:$A$107,0)),"No")="Sí",_xlfn.IFERROR(INDEX('Datos - Catálogo TIMSS'!$I$5:$I$107,MATCH(L855,'Datos - Catálogo TIMSS'!$A$5:$A$107,0)),"No")="Sí"),1,0)</f>
        <v>0</v>
      </c>
      <c r="Y855" s="36" cm="1">
        <f t="array" ref="Y855">IF(_xlfn.IFERROR(INDEX('Datos - Catálogo TIMSS'!$J$5:$J$107,MATCH(K855,'Datos - Catálogo TIMSS'!$A$5:$A$107,0)),"No")="Sí",1,0)</f>
        <v>0</v>
      </c>
      <c r="Z855" s="36" cm="1">
        <f t="array" ref="Z855">IF(_xlfn.IFERROR(INDEX('Datos - Catálogo TIMSS'!$J$5:$J$107,MATCH(L855,'Datos - Catálogo TIMSS'!$A$5:$A$107,0)),"No")="Sí",1,0)</f>
        <v>0</v>
      </c>
      <c r="AA855" t="s" s="35">
        <v>1363</v>
      </c>
      <c r="AB855" s="39"/>
      <c r="AC855" t="str" s="39">
        <v>Ondas y física atómica/nuclear</v>
      </c>
      <c r="AD855" t="s" s="35">
        <v>1859</v>
      </c>
      <c r="AE855" t="str" s="39" cm="1">
        <f t="array" ref="AE855">IF(AD855="","",IF(LEFT(AD855,1)="1","C1",IF(LEFT(AD855,1)="2","C2",IF(LEFT(AD855,1)="3","C3",""))))</f>
        <v>C1</v>
      </c>
      <c r="AF855" t="s" s="35">
        <v>1615</v>
      </c>
      <c r="AG855" t="s" s="35">
        <v>1612</v>
      </c>
      <c r="AH855" t="s" s="35">
        <v>1609</v>
      </c>
      <c r="AI855" t="s" s="35">
        <v>1609</v>
      </c>
      <c r="AJ855" t="s" s="35">
        <v>1607</v>
      </c>
      <c r="AK855" s="39"/>
      <c r="AL855" s="39"/>
      <c r="AM855" s="39"/>
      <c r="AN855" s="39"/>
      <c r="AO855" s="39"/>
      <c r="AP855" s="39"/>
      <c r="AQ855" s="39"/>
      <c r="AR855" s="39"/>
      <c r="AS855" s="39"/>
      <c r="AT855" s="39"/>
      <c r="AU855" s="39"/>
      <c r="AV855" s="39"/>
      <c r="AW855" t="str" s="39" cm="1">
        <f t="array" ref="AW855">AF855&amp;"; "&amp;AG855&amp;"; "&amp;AH855&amp;"; "&amp;AI855&amp;"; "&amp;AJ855</f>
        <v>E6; E5; E4; E4; E3</v>
      </c>
    </row>
    <row r="856" ht="13.65" customHeight="1">
      <c r="A856" t="s" s="35">
        <v>5983</v>
      </c>
      <c r="B856" s="36">
        <v>11</v>
      </c>
      <c r="C856" t="s" s="35">
        <v>222</v>
      </c>
      <c r="D856" t="s" s="35">
        <v>4800</v>
      </c>
      <c r="E856" t="s" s="35">
        <v>5427</v>
      </c>
      <c r="F856" s="36">
        <v>111</v>
      </c>
      <c r="G856" t="s" s="35">
        <v>5973</v>
      </c>
      <c r="H856" t="s" s="35">
        <v>5974</v>
      </c>
      <c r="I856" t="s" s="120">
        <v>5984</v>
      </c>
      <c r="J856" t="s" s="35">
        <v>1301</v>
      </c>
      <c r="K856" t="s" s="35">
        <v>1363</v>
      </c>
      <c r="L856" s="39"/>
      <c r="M856" t="str" s="39">
        <v>Ondas y física atómica/nuclear</v>
      </c>
      <c r="N856" t="str" s="39">
        <v>Fenómenos ondulatorios</v>
      </c>
      <c r="O856" t="str" s="39" cm="1">
        <f t="array" ref="O856">IF(L856="","",_xlfn.IFERROR(INDEX('Datos - Catálogo TIMSS'!$C$5:$C$107,MATCH(L856,'Datos - Catálogo TIMSS'!$A$5:$A$107,0)),"?"))</f>
      </c>
      <c r="P856" t="s" s="35">
        <v>254</v>
      </c>
      <c r="Q856" t="s" s="120">
        <v>5985</v>
      </c>
      <c r="R856" t="s" s="120">
        <v>5986</v>
      </c>
      <c r="S856" s="121" cm="1">
        <f t="array" ref="S856">_xlfn.IFERROR(ISNUMBER(SEARCH("Conocer",$R856))/(ISNUMBER(SEARCH("Conocer",$R856))+ISNUMBER(SEARCH("Aplicar",$R856))+ISNUMBER(SEARCH("Razonar",$R856))),0)</f>
        <v>0</v>
      </c>
      <c r="T856" s="121" cm="1">
        <f t="array" ref="T856">_xlfn.IFERROR(ISNUMBER(SEARCH("Aplicar",$R856))/(ISNUMBER(SEARCH("Conocer",$R856))+ISNUMBER(SEARCH("Aplicar",$R856))+ISNUMBER(SEARCH("Razonar",$R856))),0)</f>
        <v>0.5</v>
      </c>
      <c r="U856" s="121" cm="1">
        <f t="array" ref="U856">_xlfn.IFERROR(ISNUMBER(SEARCH("Razonar",$R856))/(ISNUMBER(SEARCH("Conocer",$R856))+ISNUMBER(SEARCH("Aplicar",$R856))+ISNUMBER(SEARCH("Razonar",$R856))),0)</f>
        <v>0.5</v>
      </c>
      <c r="V856" t="s" s="35">
        <v>91</v>
      </c>
      <c r="W856" t="s" s="35">
        <v>119</v>
      </c>
      <c r="X856" s="36" cm="1">
        <f t="array" ref="X856">IF(OR(_xlfn.IFERROR(INDEX('Datos - Catálogo TIMSS'!$I$5:$I$107,MATCH(K856,'Datos - Catálogo TIMSS'!$A$5:$A$107,0)),"No")="Sí",_xlfn.IFERROR(INDEX('Datos - Catálogo TIMSS'!$I$5:$I$107,MATCH(L856,'Datos - Catálogo TIMSS'!$A$5:$A$107,0)),"No")="Sí"),1,0)</f>
        <v>0</v>
      </c>
      <c r="Y856" s="36" cm="1">
        <f t="array" ref="Y856">IF(_xlfn.IFERROR(INDEX('Datos - Catálogo TIMSS'!$J$5:$J$107,MATCH(K856,'Datos - Catálogo TIMSS'!$A$5:$A$107,0)),"No")="Sí",1,0)</f>
        <v>0</v>
      </c>
      <c r="Z856" s="36" cm="1">
        <f t="array" ref="Z856">IF(_xlfn.IFERROR(INDEX('Datos - Catálogo TIMSS'!$J$5:$J$107,MATCH(L856,'Datos - Catálogo TIMSS'!$A$5:$A$107,0)),"No")="Sí",1,0)</f>
        <v>0</v>
      </c>
      <c r="AA856" t="s" s="35">
        <v>1363</v>
      </c>
      <c r="AB856" s="39"/>
      <c r="AC856" t="str" s="39">
        <v>Ondas y física atómica/nuclear</v>
      </c>
      <c r="AD856" t="s" s="35">
        <v>1900</v>
      </c>
      <c r="AE856" t="str" s="39" cm="1">
        <f t="array" ref="AE856">IF(AD856="","",IF(LEFT(AD856,1)="1","C1",IF(LEFT(AD856,1)="2","C2",IF(LEFT(AD856,1)="3","C3",""))))</f>
        <v>C3</v>
      </c>
      <c r="AF856" t="s" s="35">
        <v>1615</v>
      </c>
      <c r="AG856" t="s" s="35">
        <v>1607</v>
      </c>
      <c r="AH856" t="s" s="35">
        <v>1609</v>
      </c>
      <c r="AI856" t="s" s="35">
        <v>1629</v>
      </c>
      <c r="AJ856" t="s" s="35">
        <v>1627</v>
      </c>
      <c r="AK856" s="39"/>
      <c r="AL856" s="39"/>
      <c r="AM856" s="39"/>
      <c r="AN856" s="39"/>
      <c r="AO856" s="39"/>
      <c r="AP856" s="39"/>
      <c r="AQ856" s="39"/>
      <c r="AR856" s="39"/>
      <c r="AS856" s="39"/>
      <c r="AT856" s="39"/>
      <c r="AU856" s="39"/>
      <c r="AV856" s="39"/>
      <c r="AW856" t="str" s="39" cm="1">
        <f t="array" ref="AW856">AF856&amp;"; "&amp;AG856&amp;"; "&amp;AH856&amp;"; "&amp;AI856&amp;"; "&amp;AJ856</f>
        <v>E6; E3; E4; I3; I2</v>
      </c>
    </row>
    <row r="857" ht="13.65" customHeight="1">
      <c r="A857" t="s" s="35">
        <v>5988</v>
      </c>
      <c r="B857" s="36">
        <v>11</v>
      </c>
      <c r="C857" t="s" s="35">
        <v>222</v>
      </c>
      <c r="D857" t="s" s="35">
        <v>4800</v>
      </c>
      <c r="E857" t="s" s="35">
        <v>5427</v>
      </c>
      <c r="F857" s="36">
        <v>112</v>
      </c>
      <c r="G857" t="s" s="35">
        <v>5973</v>
      </c>
      <c r="H857" t="s" s="35">
        <v>5989</v>
      </c>
      <c r="I857" t="s" s="120">
        <v>5990</v>
      </c>
      <c r="J857" t="s" s="35">
        <v>1301</v>
      </c>
      <c r="K857" t="s" s="35">
        <v>1363</v>
      </c>
      <c r="L857" s="39"/>
      <c r="M857" t="str" s="39">
        <v>Ondas y física atómica/nuclear</v>
      </c>
      <c r="N857" t="str" s="39">
        <v>Fenómenos ondulatorios</v>
      </c>
      <c r="O857" t="str" s="39" cm="1">
        <f t="array" ref="O857">IF(L857="","",_xlfn.IFERROR(INDEX('Datos - Catálogo TIMSS'!$C$5:$C$107,MATCH(L857,'Datos - Catálogo TIMSS'!$A$5:$A$107,0)),"?"))</f>
      </c>
      <c r="P857" t="s" s="35">
        <v>254</v>
      </c>
      <c r="Q857" t="s" s="120">
        <v>5991</v>
      </c>
      <c r="R857" t="s" s="120">
        <v>5992</v>
      </c>
      <c r="S857" s="121" cm="1">
        <f t="array" ref="S857">_xlfn.IFERROR(ISNUMBER(SEARCH("Conocer",$R857))/(ISNUMBER(SEARCH("Conocer",$R857))+ISNUMBER(SEARCH("Aplicar",$R857))+ISNUMBER(SEARCH("Razonar",$R857))),0)</f>
        <v>0</v>
      </c>
      <c r="T857" s="121" cm="1">
        <f t="array" ref="T857">_xlfn.IFERROR(ISNUMBER(SEARCH("Aplicar",$R857))/(ISNUMBER(SEARCH("Conocer",$R857))+ISNUMBER(SEARCH("Aplicar",$R857))+ISNUMBER(SEARCH("Razonar",$R857))),0)</f>
        <v>0.5</v>
      </c>
      <c r="U857" s="121" cm="1">
        <f t="array" ref="U857">_xlfn.IFERROR(ISNUMBER(SEARCH("Razonar",$R857))/(ISNUMBER(SEARCH("Conocer",$R857))+ISNUMBER(SEARCH("Aplicar",$R857))+ISNUMBER(SEARCH("Razonar",$R857))),0)</f>
        <v>0.5</v>
      </c>
      <c r="V857" t="s" s="35">
        <v>91</v>
      </c>
      <c r="W857" t="s" s="35">
        <v>119</v>
      </c>
      <c r="X857" s="36" cm="1">
        <f t="array" ref="X857">IF(OR(_xlfn.IFERROR(INDEX('Datos - Catálogo TIMSS'!$I$5:$I$107,MATCH(K857,'Datos - Catálogo TIMSS'!$A$5:$A$107,0)),"No")="Sí",_xlfn.IFERROR(INDEX('Datos - Catálogo TIMSS'!$I$5:$I$107,MATCH(L857,'Datos - Catálogo TIMSS'!$A$5:$A$107,0)),"No")="Sí"),1,0)</f>
        <v>0</v>
      </c>
      <c r="Y857" s="36" cm="1">
        <f t="array" ref="Y857">IF(_xlfn.IFERROR(INDEX('Datos - Catálogo TIMSS'!$J$5:$J$107,MATCH(K857,'Datos - Catálogo TIMSS'!$A$5:$A$107,0)),"No")="Sí",1,0)</f>
        <v>0</v>
      </c>
      <c r="Z857" s="36" cm="1">
        <f t="array" ref="Z857">IF(_xlfn.IFERROR(INDEX('Datos - Catálogo TIMSS'!$J$5:$J$107,MATCH(L857,'Datos - Catálogo TIMSS'!$A$5:$A$107,0)),"No")="Sí",1,0)</f>
        <v>0</v>
      </c>
      <c r="AA857" t="s" s="35">
        <v>1363</v>
      </c>
      <c r="AB857" s="39"/>
      <c r="AC857" t="str" s="39">
        <v>Ondas y física atómica/nuclear</v>
      </c>
      <c r="AD857" t="s" s="35">
        <v>1834</v>
      </c>
      <c r="AE857" t="str" s="39" cm="1">
        <f t="array" ref="AE857">IF(AD857="","",IF(LEFT(AD857,1)="1","C1",IF(LEFT(AD857,1)="2","C2",IF(LEFT(AD857,1)="3","C3",""))))</f>
        <v>C2</v>
      </c>
      <c r="AF857" t="s" s="35">
        <v>1602</v>
      </c>
      <c r="AG857" t="s" s="35">
        <v>1617</v>
      </c>
      <c r="AH857" t="s" s="35">
        <v>1609</v>
      </c>
      <c r="AI857" t="s" s="35">
        <v>1619</v>
      </c>
      <c r="AJ857" t="s" s="35">
        <v>1607</v>
      </c>
      <c r="AK857" s="39"/>
      <c r="AL857" s="39"/>
      <c r="AM857" s="39"/>
      <c r="AN857" s="39"/>
      <c r="AO857" s="39"/>
      <c r="AP857" s="39"/>
      <c r="AQ857" s="39"/>
      <c r="AR857" s="39"/>
      <c r="AS857" s="39"/>
      <c r="AT857" s="39"/>
      <c r="AU857" s="39"/>
      <c r="AV857" s="39"/>
      <c r="AW857" t="str" s="39" cm="1">
        <f t="array" ref="AW857">AF857&amp;"; "&amp;AG857&amp;"; "&amp;AH857&amp;"; "&amp;AI857&amp;"; "&amp;AJ857</f>
        <v>E1; D1; E4; D2; E3</v>
      </c>
    </row>
    <row r="858" ht="13.65" customHeight="1">
      <c r="A858" t="s" s="35">
        <v>5994</v>
      </c>
      <c r="B858" s="36">
        <v>11</v>
      </c>
      <c r="C858" t="s" s="35">
        <v>222</v>
      </c>
      <c r="D858" t="s" s="35">
        <v>4800</v>
      </c>
      <c r="E858" t="s" s="35">
        <v>5427</v>
      </c>
      <c r="F858" s="36">
        <v>113</v>
      </c>
      <c r="G858" t="s" s="35">
        <v>5973</v>
      </c>
      <c r="H858" t="s" s="35">
        <v>5989</v>
      </c>
      <c r="I858" t="s" s="120">
        <v>5995</v>
      </c>
      <c r="J858" t="s" s="35">
        <v>1301</v>
      </c>
      <c r="K858" t="s" s="35">
        <v>1363</v>
      </c>
      <c r="L858" s="39"/>
      <c r="M858" t="str" s="39">
        <v>Ondas y física atómica/nuclear</v>
      </c>
      <c r="N858" t="str" s="39">
        <v>Fenómenos ondulatorios</v>
      </c>
      <c r="O858" t="str" s="39" cm="1">
        <f t="array" ref="O858">IF(L858="","",_xlfn.IFERROR(INDEX('Datos - Catálogo TIMSS'!$C$5:$C$107,MATCH(L858,'Datos - Catálogo TIMSS'!$A$5:$A$107,0)),"?"))</f>
      </c>
      <c r="P858" t="s" s="35">
        <v>254</v>
      </c>
      <c r="Q858" t="s" s="120">
        <v>5996</v>
      </c>
      <c r="R858" t="s" s="120">
        <v>5997</v>
      </c>
      <c r="S858" s="121" cm="1">
        <f t="array" ref="S858">_xlfn.IFERROR(ISNUMBER(SEARCH("Conocer",$R858))/(ISNUMBER(SEARCH("Conocer",$R858))+ISNUMBER(SEARCH("Aplicar",$R858))+ISNUMBER(SEARCH("Razonar",$R858))),0)</f>
        <v>0</v>
      </c>
      <c r="T858" s="121" cm="1">
        <f t="array" ref="T858">_xlfn.IFERROR(ISNUMBER(SEARCH("Aplicar",$R858))/(ISNUMBER(SEARCH("Conocer",$R858))+ISNUMBER(SEARCH("Aplicar",$R858))+ISNUMBER(SEARCH("Razonar",$R858))),0)</f>
        <v>0.5</v>
      </c>
      <c r="U858" s="121" cm="1">
        <f t="array" ref="U858">_xlfn.IFERROR(ISNUMBER(SEARCH("Razonar",$R858))/(ISNUMBER(SEARCH("Conocer",$R858))+ISNUMBER(SEARCH("Aplicar",$R858))+ISNUMBER(SEARCH("Razonar",$R858))),0)</f>
        <v>0.5</v>
      </c>
      <c r="V858" t="s" s="35">
        <v>91</v>
      </c>
      <c r="W858" t="s" s="35">
        <v>119</v>
      </c>
      <c r="X858" s="36" cm="1">
        <f t="array" ref="X858">IF(OR(_xlfn.IFERROR(INDEX('Datos - Catálogo TIMSS'!$I$5:$I$107,MATCH(K858,'Datos - Catálogo TIMSS'!$A$5:$A$107,0)),"No")="Sí",_xlfn.IFERROR(INDEX('Datos - Catálogo TIMSS'!$I$5:$I$107,MATCH(L858,'Datos - Catálogo TIMSS'!$A$5:$A$107,0)),"No")="Sí"),1,0)</f>
        <v>0</v>
      </c>
      <c r="Y858" s="36" cm="1">
        <f t="array" ref="Y858">IF(_xlfn.IFERROR(INDEX('Datos - Catálogo TIMSS'!$J$5:$J$107,MATCH(K858,'Datos - Catálogo TIMSS'!$A$5:$A$107,0)),"No")="Sí",1,0)</f>
        <v>0</v>
      </c>
      <c r="Z858" s="36" cm="1">
        <f t="array" ref="Z858">IF(_xlfn.IFERROR(INDEX('Datos - Catálogo TIMSS'!$J$5:$J$107,MATCH(L858,'Datos - Catálogo TIMSS'!$A$5:$A$107,0)),"No")="Sí",1,0)</f>
        <v>0</v>
      </c>
      <c r="AA858" t="s" s="35">
        <v>1363</v>
      </c>
      <c r="AB858" s="39"/>
      <c r="AC858" t="str" s="39">
        <v>Ondas y física atómica/nuclear</v>
      </c>
      <c r="AD858" t="s" s="35">
        <v>1859</v>
      </c>
      <c r="AE858" t="str" s="39" cm="1">
        <f t="array" ref="AE858">IF(AD858="","",IF(LEFT(AD858,1)="1","C1",IF(LEFT(AD858,1)="2","C2",IF(LEFT(AD858,1)="3","C3",""))))</f>
        <v>C1</v>
      </c>
      <c r="AF858" t="s" s="35">
        <v>1602</v>
      </c>
      <c r="AG858" t="s" s="35">
        <v>1607</v>
      </c>
      <c r="AH858" t="s" s="35">
        <v>1602</v>
      </c>
      <c r="AI858" t="s" s="35">
        <v>1623</v>
      </c>
      <c r="AJ858" t="s" s="35">
        <v>1633</v>
      </c>
      <c r="AK858" s="39"/>
      <c r="AL858" s="39"/>
      <c r="AM858" s="39"/>
      <c r="AN858" s="39"/>
      <c r="AO858" s="39"/>
      <c r="AP858" s="39"/>
      <c r="AQ858" s="39"/>
      <c r="AR858" s="39"/>
      <c r="AS858" s="39"/>
      <c r="AT858" s="39"/>
      <c r="AU858" s="39"/>
      <c r="AV858" s="39"/>
      <c r="AW858" t="str" s="39" cm="1">
        <f t="array" ref="AW858">AF858&amp;"; "&amp;AG858&amp;"; "&amp;AH858&amp;"; "&amp;AI858&amp;"; "&amp;AJ858</f>
        <v>E1; E3; E1; D4; I5</v>
      </c>
    </row>
    <row r="859" ht="13.65" customHeight="1">
      <c r="A859" t="s" s="35">
        <v>5999</v>
      </c>
      <c r="B859" s="36">
        <v>11</v>
      </c>
      <c r="C859" t="s" s="35">
        <v>222</v>
      </c>
      <c r="D859" t="s" s="35">
        <v>4800</v>
      </c>
      <c r="E859" t="s" s="35">
        <v>5427</v>
      </c>
      <c r="F859" s="36">
        <v>114</v>
      </c>
      <c r="G859" t="s" s="35">
        <v>5973</v>
      </c>
      <c r="H859" t="s" s="35">
        <v>5989</v>
      </c>
      <c r="I859" t="s" s="120">
        <v>6000</v>
      </c>
      <c r="J859" t="s" s="35">
        <v>1301</v>
      </c>
      <c r="K859" t="s" s="35">
        <v>1363</v>
      </c>
      <c r="L859" s="39"/>
      <c r="M859" t="str" s="39">
        <v>Ondas y física atómica/nuclear</v>
      </c>
      <c r="N859" t="str" s="39">
        <v>Fenómenos ondulatorios</v>
      </c>
      <c r="O859" t="str" s="39" cm="1">
        <f t="array" ref="O859">IF(L859="","",_xlfn.IFERROR(INDEX('Datos - Catálogo TIMSS'!$C$5:$C$107,MATCH(L859,'Datos - Catálogo TIMSS'!$A$5:$A$107,0)),"?"))</f>
      </c>
      <c r="P859" t="s" s="35">
        <v>254</v>
      </c>
      <c r="Q859" t="s" s="120">
        <v>6001</v>
      </c>
      <c r="R859" t="s" s="120">
        <v>6002</v>
      </c>
      <c r="S859" s="121" cm="1">
        <f t="array" ref="S859">_xlfn.IFERROR(ISNUMBER(SEARCH("Conocer",$R859))/(ISNUMBER(SEARCH("Conocer",$R859))+ISNUMBER(SEARCH("Aplicar",$R859))+ISNUMBER(SEARCH("Razonar",$R859))),0)</f>
        <v>0</v>
      </c>
      <c r="T859" s="121" cm="1">
        <f t="array" ref="T859">_xlfn.IFERROR(ISNUMBER(SEARCH("Aplicar",$R859))/(ISNUMBER(SEARCH("Conocer",$R859))+ISNUMBER(SEARCH("Aplicar",$R859))+ISNUMBER(SEARCH("Razonar",$R859))),0)</f>
        <v>0.5</v>
      </c>
      <c r="U859" s="121" cm="1">
        <f t="array" ref="U859">_xlfn.IFERROR(ISNUMBER(SEARCH("Razonar",$R859))/(ISNUMBER(SEARCH("Conocer",$R859))+ISNUMBER(SEARCH("Aplicar",$R859))+ISNUMBER(SEARCH("Razonar",$R859))),0)</f>
        <v>0.5</v>
      </c>
      <c r="V859" t="s" s="35">
        <v>91</v>
      </c>
      <c r="W859" t="s" s="35">
        <v>119</v>
      </c>
      <c r="X859" s="36" cm="1">
        <f t="array" ref="X859">IF(OR(_xlfn.IFERROR(INDEX('Datos - Catálogo TIMSS'!$I$5:$I$107,MATCH(K859,'Datos - Catálogo TIMSS'!$A$5:$A$107,0)),"No")="Sí",_xlfn.IFERROR(INDEX('Datos - Catálogo TIMSS'!$I$5:$I$107,MATCH(L859,'Datos - Catálogo TIMSS'!$A$5:$A$107,0)),"No")="Sí"),1,0)</f>
        <v>0</v>
      </c>
      <c r="Y859" s="36" cm="1">
        <f t="array" ref="Y859">IF(_xlfn.IFERROR(INDEX('Datos - Catálogo TIMSS'!$J$5:$J$107,MATCH(K859,'Datos - Catálogo TIMSS'!$A$5:$A$107,0)),"No")="Sí",1,0)</f>
        <v>0</v>
      </c>
      <c r="Z859" s="36" cm="1">
        <f t="array" ref="Z859">IF(_xlfn.IFERROR(INDEX('Datos - Catálogo TIMSS'!$J$5:$J$107,MATCH(L859,'Datos - Catálogo TIMSS'!$A$5:$A$107,0)),"No")="Sí",1,0)</f>
        <v>0</v>
      </c>
      <c r="AA859" t="s" s="35">
        <v>1363</v>
      </c>
      <c r="AB859" s="39"/>
      <c r="AC859" t="str" s="39">
        <v>Ondas y física atómica/nuclear</v>
      </c>
      <c r="AD859" t="s" s="35">
        <v>1834</v>
      </c>
      <c r="AE859" t="str" s="39" cm="1">
        <f t="array" ref="AE859">IF(AD859="","",IF(LEFT(AD859,1)="1","C1",IF(LEFT(AD859,1)="2","C2",IF(LEFT(AD859,1)="3","C3",""))))</f>
        <v>C2</v>
      </c>
      <c r="AF859" t="s" s="35">
        <v>1615</v>
      </c>
      <c r="AG859" t="s" s="35">
        <v>1612</v>
      </c>
      <c r="AH859" t="s" s="35">
        <v>1605</v>
      </c>
      <c r="AI859" t="s" s="35">
        <v>1623</v>
      </c>
      <c r="AJ859" t="s" s="35">
        <v>1607</v>
      </c>
      <c r="AK859" s="39"/>
      <c r="AL859" s="39"/>
      <c r="AM859" s="39"/>
      <c r="AN859" s="39"/>
      <c r="AO859" s="39"/>
      <c r="AP859" s="39"/>
      <c r="AQ859" s="39"/>
      <c r="AR859" s="39"/>
      <c r="AS859" s="39"/>
      <c r="AT859" s="39"/>
      <c r="AU859" s="39"/>
      <c r="AV859" s="39"/>
      <c r="AW859" t="str" s="39" cm="1">
        <f t="array" ref="AW859">AF859&amp;"; "&amp;AG859&amp;"; "&amp;AH859&amp;"; "&amp;AI859&amp;"; "&amp;AJ859</f>
        <v>E6; E5; E2; D4; E3</v>
      </c>
    </row>
    <row r="860" ht="13.65" customHeight="1">
      <c r="A860" t="s" s="35">
        <v>6004</v>
      </c>
      <c r="B860" s="36">
        <v>11</v>
      </c>
      <c r="C860" t="s" s="35">
        <v>222</v>
      </c>
      <c r="D860" t="s" s="35">
        <v>4800</v>
      </c>
      <c r="E860" t="s" s="35">
        <v>5427</v>
      </c>
      <c r="F860" s="36">
        <v>115</v>
      </c>
      <c r="G860" t="s" s="35">
        <v>5973</v>
      </c>
      <c r="H860" t="s" s="35">
        <v>6005</v>
      </c>
      <c r="I860" t="s" s="120">
        <v>6006</v>
      </c>
      <c r="J860" t="s" s="35">
        <v>1301</v>
      </c>
      <c r="K860" t="s" s="35">
        <v>1363</v>
      </c>
      <c r="L860" s="39"/>
      <c r="M860" t="str" s="39">
        <v>Ondas y física atómica/nuclear</v>
      </c>
      <c r="N860" t="str" s="39">
        <v>Fenómenos ondulatorios</v>
      </c>
      <c r="O860" t="str" s="39" cm="1">
        <f t="array" ref="O860">IF(L860="","",_xlfn.IFERROR(INDEX('Datos - Catálogo TIMSS'!$C$5:$C$107,MATCH(L860,'Datos - Catálogo TIMSS'!$A$5:$A$107,0)),"?"))</f>
      </c>
      <c r="P860" t="s" s="35">
        <v>254</v>
      </c>
      <c r="Q860" t="s" s="120">
        <v>6007</v>
      </c>
      <c r="R860" t="s" s="120">
        <v>6008</v>
      </c>
      <c r="S860" s="121" cm="1">
        <f t="array" ref="S860">_xlfn.IFERROR(ISNUMBER(SEARCH("Conocer",$R860))/(ISNUMBER(SEARCH("Conocer",$R860))+ISNUMBER(SEARCH("Aplicar",$R860))+ISNUMBER(SEARCH("Razonar",$R860))),0)</f>
        <v>0</v>
      </c>
      <c r="T860" s="121" cm="1">
        <f t="array" ref="T860">_xlfn.IFERROR(ISNUMBER(SEARCH("Aplicar",$R860))/(ISNUMBER(SEARCH("Conocer",$R860))+ISNUMBER(SEARCH("Aplicar",$R860))+ISNUMBER(SEARCH("Razonar",$R860))),0)</f>
        <v>0.5</v>
      </c>
      <c r="U860" s="121" cm="1">
        <f t="array" ref="U860">_xlfn.IFERROR(ISNUMBER(SEARCH("Razonar",$R860))/(ISNUMBER(SEARCH("Conocer",$R860))+ISNUMBER(SEARCH("Aplicar",$R860))+ISNUMBER(SEARCH("Razonar",$R860))),0)</f>
        <v>0.5</v>
      </c>
      <c r="V860" t="s" s="35">
        <v>91</v>
      </c>
      <c r="W860" t="s" s="35">
        <v>119</v>
      </c>
      <c r="X860" s="36" cm="1">
        <f t="array" ref="X860">IF(OR(_xlfn.IFERROR(INDEX('Datos - Catálogo TIMSS'!$I$5:$I$107,MATCH(K860,'Datos - Catálogo TIMSS'!$A$5:$A$107,0)),"No")="Sí",_xlfn.IFERROR(INDEX('Datos - Catálogo TIMSS'!$I$5:$I$107,MATCH(L860,'Datos - Catálogo TIMSS'!$A$5:$A$107,0)),"No")="Sí"),1,0)</f>
        <v>0</v>
      </c>
      <c r="Y860" s="36" cm="1">
        <f t="array" ref="Y860">IF(_xlfn.IFERROR(INDEX('Datos - Catálogo TIMSS'!$J$5:$J$107,MATCH(K860,'Datos - Catálogo TIMSS'!$A$5:$A$107,0)),"No")="Sí",1,0)</f>
        <v>0</v>
      </c>
      <c r="Z860" s="36" cm="1">
        <f t="array" ref="Z860">IF(_xlfn.IFERROR(INDEX('Datos - Catálogo TIMSS'!$J$5:$J$107,MATCH(L860,'Datos - Catálogo TIMSS'!$A$5:$A$107,0)),"No")="Sí",1,0)</f>
        <v>0</v>
      </c>
      <c r="AA860" t="s" s="35">
        <v>1363</v>
      </c>
      <c r="AB860" s="39"/>
      <c r="AC860" t="str" s="39">
        <v>Ondas y física atómica/nuclear</v>
      </c>
      <c r="AD860" t="s" s="35">
        <v>1900</v>
      </c>
      <c r="AE860" t="str" s="39" cm="1">
        <f t="array" ref="AE860">IF(AD860="","",IF(LEFT(AD860,1)="1","C1",IF(LEFT(AD860,1)="2","C2",IF(LEFT(AD860,1)="3","C3",""))))</f>
        <v>C3</v>
      </c>
      <c r="AF860" t="s" s="35">
        <v>1615</v>
      </c>
      <c r="AG860" t="s" s="35">
        <v>1607</v>
      </c>
      <c r="AH860" t="s" s="35">
        <v>1609</v>
      </c>
      <c r="AI860" t="s" s="35">
        <v>1625</v>
      </c>
      <c r="AJ860" t="s" s="35">
        <v>1633</v>
      </c>
      <c r="AK860" s="39"/>
      <c r="AL860" s="39"/>
      <c r="AM860" s="39"/>
      <c r="AN860" s="39"/>
      <c r="AO860" s="39"/>
      <c r="AP860" s="39"/>
      <c r="AQ860" s="39"/>
      <c r="AR860" s="39"/>
      <c r="AS860" s="39"/>
      <c r="AT860" s="39"/>
      <c r="AU860" s="39"/>
      <c r="AV860" s="39"/>
      <c r="AW860" t="str" s="39" cm="1">
        <f t="array" ref="AW860">AF860&amp;"; "&amp;AG860&amp;"; "&amp;AH860&amp;"; "&amp;AI860&amp;"; "&amp;AJ860</f>
        <v>E6; E3; E4; I1; I5</v>
      </c>
    </row>
    <row r="861" ht="13.65" customHeight="1">
      <c r="A861" t="s" s="35">
        <v>6009</v>
      </c>
      <c r="B861" s="36">
        <v>11</v>
      </c>
      <c r="C861" t="s" s="35">
        <v>222</v>
      </c>
      <c r="D861" t="s" s="35">
        <v>4800</v>
      </c>
      <c r="E861" t="s" s="35">
        <v>5427</v>
      </c>
      <c r="F861" s="36">
        <v>116</v>
      </c>
      <c r="G861" t="s" s="35">
        <v>6010</v>
      </c>
      <c r="H861" t="s" s="35">
        <v>6011</v>
      </c>
      <c r="I861" t="s" s="120">
        <v>6012</v>
      </c>
      <c r="J861" t="s" s="35">
        <v>1301</v>
      </c>
      <c r="K861" t="s" s="35">
        <v>1832</v>
      </c>
      <c r="L861" s="39"/>
      <c r="M861" t="str" s="39">
        <v>Fuera del marco</v>
      </c>
      <c r="N861" t="str" s="39">
        <v>Fuera del marco</v>
      </c>
      <c r="O861" t="str" s="39" cm="1">
        <f t="array" ref="O861">IF(L861="","",_xlfn.IFERROR(INDEX('Datos - Catálogo TIMSS'!$C$5:$C$107,MATCH(L861,'Datos - Catálogo TIMSS'!$A$5:$A$107,0)),"?"))</f>
      </c>
      <c r="P861" t="s" s="35">
        <v>254</v>
      </c>
      <c r="Q861" t="s" s="120">
        <v>6013</v>
      </c>
      <c r="R861" t="s" s="120">
        <v>6014</v>
      </c>
      <c r="S861" s="121" cm="1">
        <f t="array" ref="S861">_xlfn.IFERROR(ISNUMBER(SEARCH("Conocer",$R861))/(ISNUMBER(SEARCH("Conocer",$R861))+ISNUMBER(SEARCH("Aplicar",$R861))+ISNUMBER(SEARCH("Razonar",$R861))),0)</f>
        <v>0.5</v>
      </c>
      <c r="T861" s="121" cm="1">
        <f t="array" ref="T861">_xlfn.IFERROR(ISNUMBER(SEARCH("Aplicar",$R861))/(ISNUMBER(SEARCH("Conocer",$R861))+ISNUMBER(SEARCH("Aplicar",$R861))+ISNUMBER(SEARCH("Razonar",$R861))),0)</f>
        <v>0</v>
      </c>
      <c r="U861" s="121" cm="1">
        <f t="array" ref="U861">_xlfn.IFERROR(ISNUMBER(SEARCH("Razonar",$R861))/(ISNUMBER(SEARCH("Conocer",$R861))+ISNUMBER(SEARCH("Aplicar",$R861))+ISNUMBER(SEARCH("Razonar",$R861))),0)</f>
        <v>0.5</v>
      </c>
      <c r="V861" t="s" s="35">
        <v>91</v>
      </c>
      <c r="W861" t="s" s="35">
        <v>119</v>
      </c>
      <c r="X861" s="36" cm="1">
        <f t="array" ref="X861">IF(OR(_xlfn.IFERROR(INDEX('Datos - Catálogo TIMSS'!$I$5:$I$107,MATCH(K861,'Datos - Catálogo TIMSS'!$A$5:$A$107,0)),"No")="Sí",_xlfn.IFERROR(INDEX('Datos - Catálogo TIMSS'!$I$5:$I$107,MATCH(L861,'Datos - Catálogo TIMSS'!$A$5:$A$107,0)),"No")="Sí"),1,0)</f>
        <v>0</v>
      </c>
      <c r="Y861" s="36" cm="1">
        <f t="array" ref="Y861">IF(_xlfn.IFERROR(INDEX('Datos - Catálogo TIMSS'!$J$5:$J$107,MATCH(K861,'Datos - Catálogo TIMSS'!$A$5:$A$107,0)),"No")="Sí",1,0)</f>
        <v>0</v>
      </c>
      <c r="Z861" s="36" cm="1">
        <f t="array" ref="Z861">IF(_xlfn.IFERROR(INDEX('Datos - Catálogo TIMSS'!$J$5:$J$107,MATCH(L861,'Datos - Catálogo TIMSS'!$A$5:$A$107,0)),"No")="Sí",1,0)</f>
        <v>0</v>
      </c>
      <c r="AA861" t="s" s="35">
        <v>1832</v>
      </c>
      <c r="AB861" s="39"/>
      <c r="AC861" t="str" s="39">
        <v>Fuera del marco</v>
      </c>
      <c r="AD861" t="s" s="35">
        <v>1859</v>
      </c>
      <c r="AE861" t="str" s="39" cm="1">
        <f t="array" ref="AE861">IF(AD861="","",IF(LEFT(AD861,1)="1","C1",IF(LEFT(AD861,1)="2","C2",IF(LEFT(AD861,1)="3","C3",""))))</f>
        <v>C1</v>
      </c>
      <c r="AF861" t="s" s="35">
        <v>1602</v>
      </c>
      <c r="AG861" t="s" s="35">
        <v>1617</v>
      </c>
      <c r="AH861" t="s" s="35">
        <v>1609</v>
      </c>
      <c r="AI861" t="s" s="35">
        <v>1625</v>
      </c>
      <c r="AJ861" t="s" s="35">
        <v>1607</v>
      </c>
      <c r="AK861" s="39"/>
      <c r="AL861" s="39"/>
      <c r="AM861" s="39"/>
      <c r="AN861" s="39"/>
      <c r="AO861" s="39"/>
      <c r="AP861" s="39"/>
      <c r="AQ861" s="39"/>
      <c r="AR861" s="39"/>
      <c r="AS861" s="39"/>
      <c r="AT861" s="39"/>
      <c r="AU861" s="39"/>
      <c r="AV861" s="39"/>
      <c r="AW861" t="str" s="39" cm="1">
        <f t="array" ref="AW861">AF861&amp;"; "&amp;AG861&amp;"; "&amp;AH861&amp;"; "&amp;AI861&amp;"; "&amp;AJ861</f>
        <v>E1; D1; E4; I1; E3</v>
      </c>
    </row>
    <row r="862" ht="13.65" customHeight="1">
      <c r="A862" t="s" s="35">
        <v>6016</v>
      </c>
      <c r="B862" s="36">
        <v>11</v>
      </c>
      <c r="C862" t="s" s="35">
        <v>222</v>
      </c>
      <c r="D862" t="s" s="35">
        <v>4800</v>
      </c>
      <c r="E862" t="s" s="35">
        <v>5427</v>
      </c>
      <c r="F862" s="36">
        <v>117</v>
      </c>
      <c r="G862" t="s" s="35">
        <v>6010</v>
      </c>
      <c r="H862" t="s" s="35">
        <v>6017</v>
      </c>
      <c r="I862" t="s" s="120">
        <v>6018</v>
      </c>
      <c r="J862" t="s" s="35">
        <v>1301</v>
      </c>
      <c r="K862" t="s" s="35">
        <v>1832</v>
      </c>
      <c r="L862" s="39"/>
      <c r="M862" t="str" s="39">
        <v>Fuera del marco</v>
      </c>
      <c r="N862" t="str" s="39">
        <v>Fuera del marco</v>
      </c>
      <c r="O862" t="str" s="39" cm="1">
        <f t="array" ref="O862">IF(L862="","",_xlfn.IFERROR(INDEX('Datos - Catálogo TIMSS'!$C$5:$C$107,MATCH(L862,'Datos - Catálogo TIMSS'!$A$5:$A$107,0)),"?"))</f>
      </c>
      <c r="P862" t="s" s="35">
        <v>254</v>
      </c>
      <c r="Q862" t="s" s="120">
        <v>6019</v>
      </c>
      <c r="R862" t="s" s="120">
        <v>6020</v>
      </c>
      <c r="S862" s="121" cm="1">
        <f t="array" ref="S862">_xlfn.IFERROR(ISNUMBER(SEARCH("Conocer",$R862))/(ISNUMBER(SEARCH("Conocer",$R862))+ISNUMBER(SEARCH("Aplicar",$R862))+ISNUMBER(SEARCH("Razonar",$R862))),0)</f>
        <v>0</v>
      </c>
      <c r="T862" s="121" cm="1">
        <f t="array" ref="T862">_xlfn.IFERROR(ISNUMBER(SEARCH("Aplicar",$R862))/(ISNUMBER(SEARCH("Conocer",$R862))+ISNUMBER(SEARCH("Aplicar",$R862))+ISNUMBER(SEARCH("Razonar",$R862))),0)</f>
        <v>0.5</v>
      </c>
      <c r="U862" s="121" cm="1">
        <f t="array" ref="U862">_xlfn.IFERROR(ISNUMBER(SEARCH("Razonar",$R862))/(ISNUMBER(SEARCH("Conocer",$R862))+ISNUMBER(SEARCH("Aplicar",$R862))+ISNUMBER(SEARCH("Razonar",$R862))),0)</f>
        <v>0.5</v>
      </c>
      <c r="V862" t="s" s="35">
        <v>91</v>
      </c>
      <c r="W862" t="s" s="35">
        <v>119</v>
      </c>
      <c r="X862" s="36" cm="1">
        <f t="array" ref="X862">IF(OR(_xlfn.IFERROR(INDEX('Datos - Catálogo TIMSS'!$I$5:$I$107,MATCH(K862,'Datos - Catálogo TIMSS'!$A$5:$A$107,0)),"No")="Sí",_xlfn.IFERROR(INDEX('Datos - Catálogo TIMSS'!$I$5:$I$107,MATCH(L862,'Datos - Catálogo TIMSS'!$A$5:$A$107,0)),"No")="Sí"),1,0)</f>
        <v>0</v>
      </c>
      <c r="Y862" s="36" cm="1">
        <f t="array" ref="Y862">IF(_xlfn.IFERROR(INDEX('Datos - Catálogo TIMSS'!$J$5:$J$107,MATCH(K862,'Datos - Catálogo TIMSS'!$A$5:$A$107,0)),"No")="Sí",1,0)</f>
        <v>0</v>
      </c>
      <c r="Z862" s="36" cm="1">
        <f t="array" ref="Z862">IF(_xlfn.IFERROR(INDEX('Datos - Catálogo TIMSS'!$J$5:$J$107,MATCH(L862,'Datos - Catálogo TIMSS'!$A$5:$A$107,0)),"No")="Sí",1,0)</f>
        <v>0</v>
      </c>
      <c r="AA862" t="s" s="35">
        <v>1832</v>
      </c>
      <c r="AB862" s="39"/>
      <c r="AC862" t="str" s="39">
        <v>Fuera del marco</v>
      </c>
      <c r="AD862" t="s" s="35">
        <v>1859</v>
      </c>
      <c r="AE862" t="str" s="39" cm="1">
        <f t="array" ref="AE862">IF(AD862="","",IF(LEFT(AD862,1)="1","C1",IF(LEFT(AD862,1)="2","C2",IF(LEFT(AD862,1)="3","C3",""))))</f>
        <v>C1</v>
      </c>
      <c r="AF862" t="s" s="35">
        <v>1602</v>
      </c>
      <c r="AG862" t="s" s="35">
        <v>1607</v>
      </c>
      <c r="AH862" t="s" s="35">
        <v>1605</v>
      </c>
      <c r="AI862" t="s" s="35">
        <v>1623</v>
      </c>
      <c r="AJ862" t="s" s="35">
        <v>1633</v>
      </c>
      <c r="AK862" s="39"/>
      <c r="AL862" s="39"/>
      <c r="AM862" s="39"/>
      <c r="AN862" s="39"/>
      <c r="AO862" s="39"/>
      <c r="AP862" s="39"/>
      <c r="AQ862" s="39"/>
      <c r="AR862" s="39"/>
      <c r="AS862" s="39"/>
      <c r="AT862" s="39"/>
      <c r="AU862" s="39"/>
      <c r="AV862" s="39"/>
      <c r="AW862" t="str" s="39" cm="1">
        <f t="array" ref="AW862">AF862&amp;"; "&amp;AG862&amp;"; "&amp;AH862&amp;"; "&amp;AI862&amp;"; "&amp;AJ862</f>
        <v>E1; E3; E2; D4; I5</v>
      </c>
    </row>
    <row r="863" ht="13.65" customHeight="1">
      <c r="A863" t="s" s="35">
        <v>6022</v>
      </c>
      <c r="B863" s="36">
        <v>11</v>
      </c>
      <c r="C863" t="s" s="35">
        <v>222</v>
      </c>
      <c r="D863" t="s" s="35">
        <v>4800</v>
      </c>
      <c r="E863" t="s" s="35">
        <v>5427</v>
      </c>
      <c r="F863" s="36">
        <v>118</v>
      </c>
      <c r="G863" t="s" s="35">
        <v>6010</v>
      </c>
      <c r="H863" t="s" s="35">
        <v>6023</v>
      </c>
      <c r="I863" t="s" s="120">
        <v>6024</v>
      </c>
      <c r="J863" t="s" s="35">
        <v>1301</v>
      </c>
      <c r="K863" t="s" s="35">
        <v>1832</v>
      </c>
      <c r="L863" s="39"/>
      <c r="M863" t="str" s="39">
        <v>Fuera del marco</v>
      </c>
      <c r="N863" t="str" s="39">
        <v>Fuera del marco</v>
      </c>
      <c r="O863" t="str" s="39" cm="1">
        <f t="array" ref="O863">IF(L863="","",_xlfn.IFERROR(INDEX('Datos - Catálogo TIMSS'!$C$5:$C$107,MATCH(L863,'Datos - Catálogo TIMSS'!$A$5:$A$107,0)),"?"))</f>
      </c>
      <c r="P863" t="s" s="35">
        <v>282</v>
      </c>
      <c r="Q863" t="s" s="120">
        <v>6025</v>
      </c>
      <c r="R863" t="s" s="120">
        <v>6026</v>
      </c>
      <c r="S863" s="121" cm="1">
        <f t="array" ref="S863">_xlfn.IFERROR(ISNUMBER(SEARCH("Conocer",$R863))/(ISNUMBER(SEARCH("Conocer",$R863))+ISNUMBER(SEARCH("Aplicar",$R863))+ISNUMBER(SEARCH("Razonar",$R863))),0)</f>
        <v>0</v>
      </c>
      <c r="T863" s="121" cm="1">
        <f t="array" ref="T863">_xlfn.IFERROR(ISNUMBER(SEARCH("Aplicar",$R863))/(ISNUMBER(SEARCH("Conocer",$R863))+ISNUMBER(SEARCH("Aplicar",$R863))+ISNUMBER(SEARCH("Razonar",$R863))),0)</f>
        <v>0.5</v>
      </c>
      <c r="U863" s="121" cm="1">
        <f t="array" ref="U863">_xlfn.IFERROR(ISNUMBER(SEARCH("Razonar",$R863))/(ISNUMBER(SEARCH("Conocer",$R863))+ISNUMBER(SEARCH("Aplicar",$R863))+ISNUMBER(SEARCH("Razonar",$R863))),0)</f>
        <v>0.5</v>
      </c>
      <c r="V863" t="s" s="35">
        <v>91</v>
      </c>
      <c r="W863" t="s" s="35">
        <v>119</v>
      </c>
      <c r="X863" s="36" cm="1">
        <f t="array" ref="X863">IF(OR(_xlfn.IFERROR(INDEX('Datos - Catálogo TIMSS'!$I$5:$I$107,MATCH(K863,'Datos - Catálogo TIMSS'!$A$5:$A$107,0)),"No")="Sí",_xlfn.IFERROR(INDEX('Datos - Catálogo TIMSS'!$I$5:$I$107,MATCH(L863,'Datos - Catálogo TIMSS'!$A$5:$A$107,0)),"No")="Sí"),1,0)</f>
        <v>0</v>
      </c>
      <c r="Y863" s="36" cm="1">
        <f t="array" ref="Y863">IF(_xlfn.IFERROR(INDEX('Datos - Catálogo TIMSS'!$J$5:$J$107,MATCH(K863,'Datos - Catálogo TIMSS'!$A$5:$A$107,0)),"No")="Sí",1,0)</f>
        <v>0</v>
      </c>
      <c r="Z863" s="36" cm="1">
        <f t="array" ref="Z863">IF(_xlfn.IFERROR(INDEX('Datos - Catálogo TIMSS'!$J$5:$J$107,MATCH(L863,'Datos - Catálogo TIMSS'!$A$5:$A$107,0)),"No")="Sí",1,0)</f>
        <v>0</v>
      </c>
      <c r="AA863" t="s" s="35">
        <v>1832</v>
      </c>
      <c r="AB863" s="39"/>
      <c r="AC863" t="str" s="39">
        <v>Fuera del marco</v>
      </c>
      <c r="AD863" t="s" s="35">
        <v>1859</v>
      </c>
      <c r="AE863" t="str" s="39" cm="1">
        <f t="array" ref="AE863">IF(AD863="","",IF(LEFT(AD863,1)="1","C1",IF(LEFT(AD863,1)="2","C2",IF(LEFT(AD863,1)="3","C3",""))))</f>
        <v>C1</v>
      </c>
      <c r="AF863" t="s" s="35">
        <v>1602</v>
      </c>
      <c r="AG863" t="s" s="35">
        <v>1612</v>
      </c>
      <c r="AH863" t="s" s="35">
        <v>1605</v>
      </c>
      <c r="AI863" t="s" s="35">
        <v>1609</v>
      </c>
      <c r="AJ863" t="s" s="35">
        <v>1607</v>
      </c>
      <c r="AK863" s="39"/>
      <c r="AL863" s="39"/>
      <c r="AM863" s="39"/>
      <c r="AN863" s="39"/>
      <c r="AO863" s="39"/>
      <c r="AP863" s="39"/>
      <c r="AQ863" s="39"/>
      <c r="AR863" s="39"/>
      <c r="AS863" s="39"/>
      <c r="AT863" s="39"/>
      <c r="AU863" s="39"/>
      <c r="AV863" s="39"/>
      <c r="AW863" t="str" s="39" cm="1">
        <f t="array" ref="AW863">AF863&amp;"; "&amp;AG863&amp;"; "&amp;AH863&amp;"; "&amp;AI863&amp;"; "&amp;AJ863</f>
        <v>E1; E5; E2; E4; E3</v>
      </c>
    </row>
    <row r="864" ht="13.65" customHeight="1">
      <c r="A864" t="s" s="35">
        <v>6027</v>
      </c>
      <c r="B864" s="36">
        <v>11</v>
      </c>
      <c r="C864" t="s" s="35">
        <v>222</v>
      </c>
      <c r="D864" t="s" s="35">
        <v>4800</v>
      </c>
      <c r="E864" t="s" s="35">
        <v>5427</v>
      </c>
      <c r="F864" s="36">
        <v>119</v>
      </c>
      <c r="G864" t="s" s="35">
        <v>6010</v>
      </c>
      <c r="H864" t="s" s="35">
        <v>6023</v>
      </c>
      <c r="I864" t="s" s="120">
        <v>6028</v>
      </c>
      <c r="J864" t="s" s="35">
        <v>1301</v>
      </c>
      <c r="K864" t="s" s="35">
        <v>1376</v>
      </c>
      <c r="L864" s="39"/>
      <c r="M864" t="str" s="39">
        <v>Ondas y física atómica/nuclear</v>
      </c>
      <c r="N864" t="str" s="39">
        <v>Física atómica y nuclear</v>
      </c>
      <c r="O864" t="str" s="39" cm="1">
        <f t="array" ref="O864">IF(L864="","",_xlfn.IFERROR(INDEX('Datos - Catálogo TIMSS'!$C$5:$C$107,MATCH(L864,'Datos - Catálogo TIMSS'!$A$5:$A$107,0)),"?"))</f>
      </c>
      <c r="P864" t="s" s="35">
        <v>282</v>
      </c>
      <c r="Q864" t="s" s="120">
        <v>6029</v>
      </c>
      <c r="R864" t="s" s="120">
        <v>6030</v>
      </c>
      <c r="S864" s="121" cm="1">
        <f t="array" ref="S864">_xlfn.IFERROR(ISNUMBER(SEARCH("Conocer",$R864))/(ISNUMBER(SEARCH("Conocer",$R864))+ISNUMBER(SEARCH("Aplicar",$R864))+ISNUMBER(SEARCH("Razonar",$R864))),0)</f>
        <v>0</v>
      </c>
      <c r="T864" s="121" cm="1">
        <f t="array" ref="T864">_xlfn.IFERROR(ISNUMBER(SEARCH("Aplicar",$R864))/(ISNUMBER(SEARCH("Conocer",$R864))+ISNUMBER(SEARCH("Aplicar",$R864))+ISNUMBER(SEARCH("Razonar",$R864))),0)</f>
        <v>0.5</v>
      </c>
      <c r="U864" s="121" cm="1">
        <f t="array" ref="U864">_xlfn.IFERROR(ISNUMBER(SEARCH("Razonar",$R864))/(ISNUMBER(SEARCH("Conocer",$R864))+ISNUMBER(SEARCH("Aplicar",$R864))+ISNUMBER(SEARCH("Razonar",$R864))),0)</f>
        <v>0.5</v>
      </c>
      <c r="V864" t="s" s="35">
        <v>91</v>
      </c>
      <c r="W864" t="s" s="35">
        <v>119</v>
      </c>
      <c r="X864" s="36" cm="1">
        <f t="array" ref="X864">IF(OR(_xlfn.IFERROR(INDEX('Datos - Catálogo TIMSS'!$I$5:$I$107,MATCH(K864,'Datos - Catálogo TIMSS'!$A$5:$A$107,0)),"No")="Sí",_xlfn.IFERROR(INDEX('Datos - Catálogo TIMSS'!$I$5:$I$107,MATCH(L864,'Datos - Catálogo TIMSS'!$A$5:$A$107,0)),"No")="Sí"),1,0)</f>
        <v>0</v>
      </c>
      <c r="Y864" s="36" cm="1">
        <f t="array" ref="Y864">IF(_xlfn.IFERROR(INDEX('Datos - Catálogo TIMSS'!$J$5:$J$107,MATCH(K864,'Datos - Catálogo TIMSS'!$A$5:$A$107,0)),"No")="Sí",1,0)</f>
        <v>0</v>
      </c>
      <c r="Z864" s="36" cm="1">
        <f t="array" ref="Z864">IF(_xlfn.IFERROR(INDEX('Datos - Catálogo TIMSS'!$J$5:$J$107,MATCH(L864,'Datos - Catálogo TIMSS'!$A$5:$A$107,0)),"No")="Sí",1,0)</f>
        <v>0</v>
      </c>
      <c r="AA864" t="s" s="35">
        <v>1376</v>
      </c>
      <c r="AB864" s="39"/>
      <c r="AC864" t="str" s="39">
        <v>Ondas y física atómica/nuclear</v>
      </c>
      <c r="AD864" t="s" s="35">
        <v>1859</v>
      </c>
      <c r="AE864" t="str" s="39" cm="1">
        <f t="array" ref="AE864">IF(AD864="","",IF(LEFT(AD864,1)="1","C1",IF(LEFT(AD864,1)="2","C2",IF(LEFT(AD864,1)="3","C3",""))))</f>
        <v>C1</v>
      </c>
      <c r="AF864" t="s" s="35">
        <v>1615</v>
      </c>
      <c r="AG864" t="s" s="35">
        <v>1617</v>
      </c>
      <c r="AH864" t="s" s="35">
        <v>1602</v>
      </c>
      <c r="AI864" t="s" s="35">
        <v>1629</v>
      </c>
      <c r="AJ864" t="s" s="35">
        <v>1607</v>
      </c>
      <c r="AK864" s="39"/>
      <c r="AL864" s="39"/>
      <c r="AM864" s="39"/>
      <c r="AN864" s="39"/>
      <c r="AO864" s="39"/>
      <c r="AP864" s="39"/>
      <c r="AQ864" s="39"/>
      <c r="AR864" s="39"/>
      <c r="AS864" s="39"/>
      <c r="AT864" s="39"/>
      <c r="AU864" s="39"/>
      <c r="AV864" s="39"/>
      <c r="AW864" t="str" s="39" cm="1">
        <f t="array" ref="AW864">AF864&amp;"; "&amp;AG864&amp;"; "&amp;AH864&amp;"; "&amp;AI864&amp;"; "&amp;AJ864</f>
        <v>E6; D1; E1; I3; E3</v>
      </c>
    </row>
    <row r="865" ht="13.65" customHeight="1">
      <c r="A865" t="s" s="35">
        <v>6031</v>
      </c>
      <c r="B865" s="36">
        <v>11</v>
      </c>
      <c r="C865" t="s" s="35">
        <v>222</v>
      </c>
      <c r="D865" t="s" s="35">
        <v>4800</v>
      </c>
      <c r="E865" t="s" s="35">
        <v>5427</v>
      </c>
      <c r="F865" s="36">
        <v>120</v>
      </c>
      <c r="G865" t="s" s="35">
        <v>6010</v>
      </c>
      <c r="H865" t="s" s="35">
        <v>6032</v>
      </c>
      <c r="I865" t="s" s="120">
        <v>6033</v>
      </c>
      <c r="J865" t="s" s="35">
        <v>1301</v>
      </c>
      <c r="K865" t="s" s="35">
        <v>1832</v>
      </c>
      <c r="L865" s="39"/>
      <c r="M865" t="str" s="39">
        <v>Fuera del marco</v>
      </c>
      <c r="N865" t="str" s="39">
        <v>Fuera del marco</v>
      </c>
      <c r="O865" t="str" s="39" cm="1">
        <f t="array" ref="O865">IF(L865="","",_xlfn.IFERROR(INDEX('Datos - Catálogo TIMSS'!$C$5:$C$107,MATCH(L865,'Datos - Catálogo TIMSS'!$A$5:$A$107,0)),"?"))</f>
      </c>
      <c r="P865" t="s" s="35">
        <v>254</v>
      </c>
      <c r="Q865" t="s" s="120">
        <v>6034</v>
      </c>
      <c r="R865" t="s" s="120">
        <v>6035</v>
      </c>
      <c r="S865" s="121" cm="1">
        <f t="array" ref="S865">_xlfn.IFERROR(ISNUMBER(SEARCH("Conocer",$R865))/(ISNUMBER(SEARCH("Conocer",$R865))+ISNUMBER(SEARCH("Aplicar",$R865))+ISNUMBER(SEARCH("Razonar",$R865))),0)</f>
        <v>0</v>
      </c>
      <c r="T865" s="121" cm="1">
        <f t="array" ref="T865">_xlfn.IFERROR(ISNUMBER(SEARCH("Aplicar",$R865))/(ISNUMBER(SEARCH("Conocer",$R865))+ISNUMBER(SEARCH("Aplicar",$R865))+ISNUMBER(SEARCH("Razonar",$R865))),0)</f>
        <v>0.5</v>
      </c>
      <c r="U865" s="121" cm="1">
        <f t="array" ref="U865">_xlfn.IFERROR(ISNUMBER(SEARCH("Razonar",$R865))/(ISNUMBER(SEARCH("Conocer",$R865))+ISNUMBER(SEARCH("Aplicar",$R865))+ISNUMBER(SEARCH("Razonar",$R865))),0)</f>
        <v>0.5</v>
      </c>
      <c r="V865" t="s" s="35">
        <v>91</v>
      </c>
      <c r="W865" t="s" s="35">
        <v>119</v>
      </c>
      <c r="X865" s="36" cm="1">
        <f t="array" ref="X865">IF(OR(_xlfn.IFERROR(INDEX('Datos - Catálogo TIMSS'!$I$5:$I$107,MATCH(K865,'Datos - Catálogo TIMSS'!$A$5:$A$107,0)),"No")="Sí",_xlfn.IFERROR(INDEX('Datos - Catálogo TIMSS'!$I$5:$I$107,MATCH(L865,'Datos - Catálogo TIMSS'!$A$5:$A$107,0)),"No")="Sí"),1,0)</f>
        <v>0</v>
      </c>
      <c r="Y865" s="36" cm="1">
        <f t="array" ref="Y865">IF(_xlfn.IFERROR(INDEX('Datos - Catálogo TIMSS'!$J$5:$J$107,MATCH(K865,'Datos - Catálogo TIMSS'!$A$5:$A$107,0)),"No")="Sí",1,0)</f>
        <v>0</v>
      </c>
      <c r="Z865" s="36" cm="1">
        <f t="array" ref="Z865">IF(_xlfn.IFERROR(INDEX('Datos - Catálogo TIMSS'!$J$5:$J$107,MATCH(L865,'Datos - Catálogo TIMSS'!$A$5:$A$107,0)),"No")="Sí",1,0)</f>
        <v>0</v>
      </c>
      <c r="AA865" t="s" s="35">
        <v>1832</v>
      </c>
      <c r="AB865" s="39"/>
      <c r="AC865" t="str" s="39">
        <v>Fuera del marco</v>
      </c>
      <c r="AD865" t="s" s="35">
        <v>1834</v>
      </c>
      <c r="AE865" t="str" s="39" cm="1">
        <f t="array" ref="AE865">IF(AD865="","",IF(LEFT(AD865,1)="1","C1",IF(LEFT(AD865,1)="2","C2",IF(LEFT(AD865,1)="3","C3",""))))</f>
        <v>C2</v>
      </c>
      <c r="AF865" t="s" s="35">
        <v>1602</v>
      </c>
      <c r="AG865" t="s" s="35">
        <v>1617</v>
      </c>
      <c r="AH865" t="s" s="35">
        <v>1605</v>
      </c>
      <c r="AI865" t="s" s="35">
        <v>1623</v>
      </c>
      <c r="AJ865" t="s" s="35">
        <v>1621</v>
      </c>
      <c r="AK865" s="39"/>
      <c r="AL865" s="39"/>
      <c r="AM865" s="39"/>
      <c r="AN865" s="39"/>
      <c r="AO865" s="39"/>
      <c r="AP865" s="39"/>
      <c r="AQ865" s="39"/>
      <c r="AR865" s="39"/>
      <c r="AS865" s="39"/>
      <c r="AT865" s="39"/>
      <c r="AU865" s="39"/>
      <c r="AV865" s="39"/>
      <c r="AW865" t="str" s="39" cm="1">
        <f t="array" ref="AW865">AF865&amp;"; "&amp;AG865&amp;"; "&amp;AH865&amp;"; "&amp;AI865&amp;"; "&amp;AJ865</f>
        <v>E1; D1; E2; D4; D3</v>
      </c>
    </row>
    <row r="866" ht="13.65" customHeight="1">
      <c r="A866" t="s" s="35">
        <v>6036</v>
      </c>
      <c r="B866" s="36">
        <v>11</v>
      </c>
      <c r="C866" t="s" s="35">
        <v>222</v>
      </c>
      <c r="D866" t="s" s="35">
        <v>4800</v>
      </c>
      <c r="E866" t="s" s="35">
        <v>5427</v>
      </c>
      <c r="F866" s="36">
        <v>121</v>
      </c>
      <c r="G866" t="s" s="35">
        <v>6037</v>
      </c>
      <c r="H866" t="s" s="35">
        <v>6038</v>
      </c>
      <c r="I866" t="s" s="120">
        <v>6039</v>
      </c>
      <c r="J866" t="s" s="35">
        <v>1301</v>
      </c>
      <c r="K866" t="s" s="35">
        <v>1366</v>
      </c>
      <c r="L866" s="39"/>
      <c r="M866" t="str" s="39">
        <v>Ondas y física atómica/nuclear</v>
      </c>
      <c r="N866" t="str" s="39">
        <v>Física atómica y nuclear</v>
      </c>
      <c r="O866" t="str" s="39" cm="1">
        <f t="array" ref="O866">IF(L866="","",_xlfn.IFERROR(INDEX('Datos - Catálogo TIMSS'!$C$5:$C$107,MATCH(L866,'Datos - Catálogo TIMSS'!$A$5:$A$107,0)),"?"))</f>
      </c>
      <c r="P866" t="s" s="35">
        <v>282</v>
      </c>
      <c r="Q866" t="s" s="120">
        <v>6040</v>
      </c>
      <c r="R866" t="s" s="120">
        <v>6041</v>
      </c>
      <c r="S866" s="121" cm="1">
        <f t="array" ref="S866">_xlfn.IFERROR(ISNUMBER(SEARCH("Conocer",$R866))/(ISNUMBER(SEARCH("Conocer",$R866))+ISNUMBER(SEARCH("Aplicar",$R866))+ISNUMBER(SEARCH("Razonar",$R866))),0)</f>
        <v>0</v>
      </c>
      <c r="T866" s="121" cm="1">
        <f t="array" ref="T866">_xlfn.IFERROR(ISNUMBER(SEARCH("Aplicar",$R866))/(ISNUMBER(SEARCH("Conocer",$R866))+ISNUMBER(SEARCH("Aplicar",$R866))+ISNUMBER(SEARCH("Razonar",$R866))),0)</f>
        <v>0.5</v>
      </c>
      <c r="U866" s="121" cm="1">
        <f t="array" ref="U866">_xlfn.IFERROR(ISNUMBER(SEARCH("Razonar",$R866))/(ISNUMBER(SEARCH("Conocer",$R866))+ISNUMBER(SEARCH("Aplicar",$R866))+ISNUMBER(SEARCH("Razonar",$R866))),0)</f>
        <v>0.5</v>
      </c>
      <c r="V866" t="s" s="35">
        <v>91</v>
      </c>
      <c r="W866" t="s" s="35">
        <v>119</v>
      </c>
      <c r="X866" s="36" cm="1">
        <f t="array" ref="X866">IF(OR(_xlfn.IFERROR(INDEX('Datos - Catálogo TIMSS'!$I$5:$I$107,MATCH(K866,'Datos - Catálogo TIMSS'!$A$5:$A$107,0)),"No")="Sí",_xlfn.IFERROR(INDEX('Datos - Catálogo TIMSS'!$I$5:$I$107,MATCH(L866,'Datos - Catálogo TIMSS'!$A$5:$A$107,0)),"No")="Sí"),1,0)</f>
        <v>0</v>
      </c>
      <c r="Y866" s="36" cm="1">
        <f t="array" ref="Y866">IF(_xlfn.IFERROR(INDEX('Datos - Catálogo TIMSS'!$J$5:$J$107,MATCH(K866,'Datos - Catálogo TIMSS'!$A$5:$A$107,0)),"No")="Sí",1,0)</f>
        <v>0</v>
      </c>
      <c r="Z866" s="36" cm="1">
        <f t="array" ref="Z866">IF(_xlfn.IFERROR(INDEX('Datos - Catálogo TIMSS'!$J$5:$J$107,MATCH(L866,'Datos - Catálogo TIMSS'!$A$5:$A$107,0)),"No")="Sí",1,0)</f>
        <v>0</v>
      </c>
      <c r="AA866" t="s" s="35">
        <v>1366</v>
      </c>
      <c r="AB866" s="39"/>
      <c r="AC866" t="str" s="39">
        <v>Ondas y física atómica/nuclear</v>
      </c>
      <c r="AD866" t="s" s="35">
        <v>1859</v>
      </c>
      <c r="AE866" t="str" s="39" cm="1">
        <f t="array" ref="AE866">IF(AD866="","",IF(LEFT(AD866,1)="1","C1",IF(LEFT(AD866,1)="2","C2",IF(LEFT(AD866,1)="3","C3",""))))</f>
        <v>C1</v>
      </c>
      <c r="AF866" t="s" s="35">
        <v>1602</v>
      </c>
      <c r="AG866" t="s" s="35">
        <v>1617</v>
      </c>
      <c r="AH866" t="s" s="35">
        <v>1602</v>
      </c>
      <c r="AI866" t="s" s="35">
        <v>1623</v>
      </c>
      <c r="AJ866" t="s" s="35">
        <v>1607</v>
      </c>
      <c r="AK866" s="39"/>
      <c r="AL866" s="39"/>
      <c r="AM866" s="39"/>
      <c r="AN866" s="39"/>
      <c r="AO866" s="39"/>
      <c r="AP866" s="39"/>
      <c r="AQ866" s="39"/>
      <c r="AR866" s="39"/>
      <c r="AS866" s="39"/>
      <c r="AT866" s="39"/>
      <c r="AU866" s="39"/>
      <c r="AV866" s="39"/>
      <c r="AW866" t="str" s="39" cm="1">
        <f t="array" ref="AW866">AF866&amp;"; "&amp;AG866&amp;"; "&amp;AH866&amp;"; "&amp;AI866&amp;"; "&amp;AJ866</f>
        <v>E1; D1; E1; D4; E3</v>
      </c>
    </row>
    <row r="867" ht="13.65" customHeight="1">
      <c r="A867" t="s" s="35">
        <v>6042</v>
      </c>
      <c r="B867" s="36">
        <v>11</v>
      </c>
      <c r="C867" t="s" s="35">
        <v>222</v>
      </c>
      <c r="D867" t="s" s="35">
        <v>4800</v>
      </c>
      <c r="E867" t="s" s="35">
        <v>5427</v>
      </c>
      <c r="F867" s="36">
        <v>122</v>
      </c>
      <c r="G867" t="s" s="35">
        <v>6037</v>
      </c>
      <c r="H867" t="s" s="35">
        <v>6038</v>
      </c>
      <c r="I867" t="s" s="120">
        <v>6043</v>
      </c>
      <c r="J867" t="s" s="35">
        <v>1301</v>
      </c>
      <c r="K867" t="s" s="35">
        <v>1373</v>
      </c>
      <c r="L867" t="s" s="35">
        <v>1366</v>
      </c>
      <c r="M867" t="str" s="39">
        <v>Ondas y física atómica/nuclear</v>
      </c>
      <c r="N867" t="str" s="39">
        <v>Física atómica y nuclear</v>
      </c>
      <c r="O867" t="str" s="39" cm="1">
        <f t="array" ref="O867">IF(L867="","",_xlfn.IFERROR(INDEX('Datos - Catálogo TIMSS'!$C$5:$C$107,MATCH(L867,'Datos - Catálogo TIMSS'!$A$5:$A$107,0)),"?"))</f>
        <v>Ondas y física atómica/nuclear</v>
      </c>
      <c r="P867" t="s" s="35">
        <v>282</v>
      </c>
      <c r="Q867" t="s" s="120">
        <v>6044</v>
      </c>
      <c r="R867" t="s" s="120">
        <v>6045</v>
      </c>
      <c r="S867" s="121" cm="1">
        <f t="array" ref="S867">_xlfn.IFERROR(ISNUMBER(SEARCH("Conocer",$R867))/(ISNUMBER(SEARCH("Conocer",$R867))+ISNUMBER(SEARCH("Aplicar",$R867))+ISNUMBER(SEARCH("Razonar",$R867))),0)</f>
        <v>0</v>
      </c>
      <c r="T867" s="121" cm="1">
        <f t="array" ref="T867">_xlfn.IFERROR(ISNUMBER(SEARCH("Aplicar",$R867))/(ISNUMBER(SEARCH("Conocer",$R867))+ISNUMBER(SEARCH("Aplicar",$R867))+ISNUMBER(SEARCH("Razonar",$R867))),0)</f>
        <v>0.5</v>
      </c>
      <c r="U867" s="121" cm="1">
        <f t="array" ref="U867">_xlfn.IFERROR(ISNUMBER(SEARCH("Razonar",$R867))/(ISNUMBER(SEARCH("Conocer",$R867))+ISNUMBER(SEARCH("Aplicar",$R867))+ISNUMBER(SEARCH("Razonar",$R867))),0)</f>
        <v>0.5</v>
      </c>
      <c r="V867" t="s" s="35">
        <v>91</v>
      </c>
      <c r="W867" t="s" s="35">
        <v>119</v>
      </c>
      <c r="X867" s="36" cm="1">
        <f t="array" ref="X867">IF(OR(_xlfn.IFERROR(INDEX('Datos - Catálogo TIMSS'!$I$5:$I$107,MATCH(K867,'Datos - Catálogo TIMSS'!$A$5:$A$107,0)),"No")="Sí",_xlfn.IFERROR(INDEX('Datos - Catálogo TIMSS'!$I$5:$I$107,MATCH(L867,'Datos - Catálogo TIMSS'!$A$5:$A$107,0)),"No")="Sí"),1,0)</f>
        <v>0</v>
      </c>
      <c r="Y867" s="36" cm="1">
        <f t="array" ref="Y867">IF(_xlfn.IFERROR(INDEX('Datos - Catálogo TIMSS'!$J$5:$J$107,MATCH(K867,'Datos - Catálogo TIMSS'!$A$5:$A$107,0)),"No")="Sí",1,0)</f>
        <v>0</v>
      </c>
      <c r="Z867" s="36" cm="1">
        <f t="array" ref="Z867">IF(_xlfn.IFERROR(INDEX('Datos - Catálogo TIMSS'!$J$5:$J$107,MATCH(L867,'Datos - Catálogo TIMSS'!$A$5:$A$107,0)),"No")="Sí",1,0)</f>
        <v>0</v>
      </c>
      <c r="AA867" t="s" s="35">
        <v>1373</v>
      </c>
      <c r="AB867" t="s" s="35">
        <v>1366</v>
      </c>
      <c r="AC867" t="str" s="39">
        <v>Ondas y física atómica/nuclear</v>
      </c>
      <c r="AD867" t="s" s="35">
        <v>1859</v>
      </c>
      <c r="AE867" t="str" s="39" cm="1">
        <f t="array" ref="AE867">IF(AD867="","",IF(LEFT(AD867,1)="1","C1",IF(LEFT(AD867,1)="2","C2",IF(LEFT(AD867,1)="3","C3",""))))</f>
        <v>C1</v>
      </c>
      <c r="AF867" t="s" s="35">
        <v>1602</v>
      </c>
      <c r="AG867" t="s" s="35">
        <v>1612</v>
      </c>
      <c r="AH867" t="s" s="35">
        <v>1609</v>
      </c>
      <c r="AI867" t="s" s="35">
        <v>1619</v>
      </c>
      <c r="AJ867" t="s" s="35">
        <v>1607</v>
      </c>
      <c r="AK867" s="39"/>
      <c r="AL867" s="39"/>
      <c r="AM867" s="39"/>
      <c r="AN867" s="39"/>
      <c r="AO867" s="39"/>
      <c r="AP867" s="39"/>
      <c r="AQ867" s="39"/>
      <c r="AR867" s="39"/>
      <c r="AS867" s="39"/>
      <c r="AT867" s="39"/>
      <c r="AU867" s="39"/>
      <c r="AV867" s="39"/>
      <c r="AW867" t="str" s="39" cm="1">
        <f t="array" ref="AW867">AF867&amp;"; "&amp;AG867&amp;"; "&amp;AH867&amp;"; "&amp;AI867&amp;"; "&amp;AJ867</f>
        <v>E1; E5; E4; D2; E3</v>
      </c>
    </row>
    <row r="868" ht="13.65" customHeight="1">
      <c r="A868" t="s" s="35">
        <v>6047</v>
      </c>
      <c r="B868" s="36">
        <v>11</v>
      </c>
      <c r="C868" t="s" s="35">
        <v>222</v>
      </c>
      <c r="D868" t="s" s="35">
        <v>4800</v>
      </c>
      <c r="E868" t="s" s="35">
        <v>5427</v>
      </c>
      <c r="F868" s="36">
        <v>123</v>
      </c>
      <c r="G868" t="s" s="35">
        <v>6037</v>
      </c>
      <c r="H868" t="s" s="35">
        <v>6048</v>
      </c>
      <c r="I868" t="s" s="120">
        <v>6049</v>
      </c>
      <c r="J868" t="s" s="35">
        <v>1301</v>
      </c>
      <c r="K868" t="s" s="35">
        <v>1376</v>
      </c>
      <c r="L868" t="s" s="35">
        <v>1373</v>
      </c>
      <c r="M868" t="str" s="39">
        <v>Ondas y física atómica/nuclear</v>
      </c>
      <c r="N868" t="str" s="39">
        <v>Física atómica y nuclear</v>
      </c>
      <c r="O868" t="str" s="39" cm="1">
        <f t="array" ref="O868">IF(L868="","",_xlfn.IFERROR(INDEX('Datos - Catálogo TIMSS'!$C$5:$C$107,MATCH(L868,'Datos - Catálogo TIMSS'!$A$5:$A$107,0)),"?"))</f>
        <v>Ondas y física atómica/nuclear</v>
      </c>
      <c r="P868" t="s" s="35">
        <v>254</v>
      </c>
      <c r="Q868" t="s" s="120">
        <v>6050</v>
      </c>
      <c r="R868" t="s" s="120">
        <v>6051</v>
      </c>
      <c r="S868" s="121" cm="1">
        <f t="array" ref="S868">_xlfn.IFERROR(ISNUMBER(SEARCH("Conocer",$R868))/(ISNUMBER(SEARCH("Conocer",$R868))+ISNUMBER(SEARCH("Aplicar",$R868))+ISNUMBER(SEARCH("Razonar",$R868))),0)</f>
        <v>0</v>
      </c>
      <c r="T868" s="121" cm="1">
        <f t="array" ref="T868">_xlfn.IFERROR(ISNUMBER(SEARCH("Aplicar",$R868))/(ISNUMBER(SEARCH("Conocer",$R868))+ISNUMBER(SEARCH("Aplicar",$R868))+ISNUMBER(SEARCH("Razonar",$R868))),0)</f>
        <v>0.5</v>
      </c>
      <c r="U868" s="121" cm="1">
        <f t="array" ref="U868">_xlfn.IFERROR(ISNUMBER(SEARCH("Razonar",$R868))/(ISNUMBER(SEARCH("Conocer",$R868))+ISNUMBER(SEARCH("Aplicar",$R868))+ISNUMBER(SEARCH("Razonar",$R868))),0)</f>
        <v>0.5</v>
      </c>
      <c r="V868" t="s" s="35">
        <v>91</v>
      </c>
      <c r="W868" t="s" s="35">
        <v>119</v>
      </c>
      <c r="X868" s="36" cm="1">
        <f t="array" ref="X868">IF(OR(_xlfn.IFERROR(INDEX('Datos - Catálogo TIMSS'!$I$5:$I$107,MATCH(K868,'Datos - Catálogo TIMSS'!$A$5:$A$107,0)),"No")="Sí",_xlfn.IFERROR(INDEX('Datos - Catálogo TIMSS'!$I$5:$I$107,MATCH(L868,'Datos - Catálogo TIMSS'!$A$5:$A$107,0)),"No")="Sí"),1,0)</f>
        <v>0</v>
      </c>
      <c r="Y868" s="36" cm="1">
        <f t="array" ref="Y868">IF(_xlfn.IFERROR(INDEX('Datos - Catálogo TIMSS'!$J$5:$J$107,MATCH(K868,'Datos - Catálogo TIMSS'!$A$5:$A$107,0)),"No")="Sí",1,0)</f>
        <v>0</v>
      </c>
      <c r="Z868" s="36" cm="1">
        <f t="array" ref="Z868">IF(_xlfn.IFERROR(INDEX('Datos - Catálogo TIMSS'!$J$5:$J$107,MATCH(L868,'Datos - Catálogo TIMSS'!$A$5:$A$107,0)),"No")="Sí",1,0)</f>
        <v>0</v>
      </c>
      <c r="AA868" t="s" s="35">
        <v>1376</v>
      </c>
      <c r="AB868" t="s" s="35">
        <v>1373</v>
      </c>
      <c r="AC868" t="str" s="39">
        <v>Ondas y física atómica/nuclear</v>
      </c>
      <c r="AD868" t="s" s="35">
        <v>1834</v>
      </c>
      <c r="AE868" t="str" s="39" cm="1">
        <f t="array" ref="AE868">IF(AD868="","",IF(LEFT(AD868,1)="1","C1",IF(LEFT(AD868,1)="2","C2",IF(LEFT(AD868,1)="3","C3",""))))</f>
        <v>C2</v>
      </c>
      <c r="AF868" t="s" s="35">
        <v>1615</v>
      </c>
      <c r="AG868" t="s" s="35">
        <v>1607</v>
      </c>
      <c r="AH868" t="s" s="35">
        <v>1602</v>
      </c>
      <c r="AI868" t="s" s="35">
        <v>1623</v>
      </c>
      <c r="AJ868" t="s" s="35">
        <v>1607</v>
      </c>
      <c r="AK868" s="39"/>
      <c r="AL868" s="39"/>
      <c r="AM868" s="39"/>
      <c r="AN868" s="39"/>
      <c r="AO868" s="39"/>
      <c r="AP868" s="39"/>
      <c r="AQ868" s="39"/>
      <c r="AR868" s="39"/>
      <c r="AS868" s="39"/>
      <c r="AT868" s="39"/>
      <c r="AU868" s="39"/>
      <c r="AV868" s="39"/>
      <c r="AW868" t="str" s="39" cm="1">
        <f t="array" ref="AW868">AF868&amp;"; "&amp;AG868&amp;"; "&amp;AH868&amp;"; "&amp;AI868&amp;"; "&amp;AJ868</f>
        <v>E6; E3; E1; D4; E3</v>
      </c>
    </row>
    <row r="869" ht="13.65" customHeight="1">
      <c r="A869" t="s" s="35">
        <v>6052</v>
      </c>
      <c r="B869" s="36">
        <v>11</v>
      </c>
      <c r="C869" t="s" s="35">
        <v>222</v>
      </c>
      <c r="D869" t="s" s="35">
        <v>4800</v>
      </c>
      <c r="E869" t="s" s="35">
        <v>5427</v>
      </c>
      <c r="F869" s="36">
        <v>124</v>
      </c>
      <c r="G869" t="s" s="35">
        <v>6037</v>
      </c>
      <c r="H869" t="s" s="35">
        <v>6053</v>
      </c>
      <c r="I869" t="s" s="120">
        <v>6054</v>
      </c>
      <c r="J869" t="s" s="35">
        <v>1301</v>
      </c>
      <c r="K869" t="s" s="35">
        <v>1373</v>
      </c>
      <c r="L869" s="39"/>
      <c r="M869" t="str" s="39">
        <v>Ondas y física atómica/nuclear</v>
      </c>
      <c r="N869" t="str" s="39">
        <v>Física atómica y nuclear</v>
      </c>
      <c r="O869" t="str" s="39" cm="1">
        <f t="array" ref="O869">IF(L869="","",_xlfn.IFERROR(INDEX('Datos - Catálogo TIMSS'!$C$5:$C$107,MATCH(L869,'Datos - Catálogo TIMSS'!$A$5:$A$107,0)),"?"))</f>
      </c>
      <c r="P869" t="s" s="35">
        <v>282</v>
      </c>
      <c r="Q869" t="s" s="120">
        <v>6055</v>
      </c>
      <c r="R869" t="s" s="120">
        <v>6056</v>
      </c>
      <c r="S869" s="121" cm="1">
        <f t="array" ref="S869">_xlfn.IFERROR(ISNUMBER(SEARCH("Conocer",$R869))/(ISNUMBER(SEARCH("Conocer",$R869))+ISNUMBER(SEARCH("Aplicar",$R869))+ISNUMBER(SEARCH("Razonar",$R869))),0)</f>
        <v>0.5</v>
      </c>
      <c r="T869" s="121" cm="1">
        <f t="array" ref="T869">_xlfn.IFERROR(ISNUMBER(SEARCH("Aplicar",$R869))/(ISNUMBER(SEARCH("Conocer",$R869))+ISNUMBER(SEARCH("Aplicar",$R869))+ISNUMBER(SEARCH("Razonar",$R869))),0)</f>
        <v>0</v>
      </c>
      <c r="U869" s="121" cm="1">
        <f t="array" ref="U869">_xlfn.IFERROR(ISNUMBER(SEARCH("Razonar",$R869))/(ISNUMBER(SEARCH("Conocer",$R869))+ISNUMBER(SEARCH("Aplicar",$R869))+ISNUMBER(SEARCH("Razonar",$R869))),0)</f>
        <v>0.5</v>
      </c>
      <c r="V869" t="s" s="35">
        <v>91</v>
      </c>
      <c r="W869" t="s" s="35">
        <v>119</v>
      </c>
      <c r="X869" s="36" cm="1">
        <f t="array" ref="X869">IF(OR(_xlfn.IFERROR(INDEX('Datos - Catálogo TIMSS'!$I$5:$I$107,MATCH(K869,'Datos - Catálogo TIMSS'!$A$5:$A$107,0)),"No")="Sí",_xlfn.IFERROR(INDEX('Datos - Catálogo TIMSS'!$I$5:$I$107,MATCH(L869,'Datos - Catálogo TIMSS'!$A$5:$A$107,0)),"No")="Sí"),1,0)</f>
        <v>0</v>
      </c>
      <c r="Y869" s="36" cm="1">
        <f t="array" ref="Y869">IF(_xlfn.IFERROR(INDEX('Datos - Catálogo TIMSS'!$J$5:$J$107,MATCH(K869,'Datos - Catálogo TIMSS'!$A$5:$A$107,0)),"No")="Sí",1,0)</f>
        <v>0</v>
      </c>
      <c r="Z869" s="36" cm="1">
        <f t="array" ref="Z869">IF(_xlfn.IFERROR(INDEX('Datos - Catálogo TIMSS'!$J$5:$J$107,MATCH(L869,'Datos - Catálogo TIMSS'!$A$5:$A$107,0)),"No")="Sí",1,0)</f>
        <v>0</v>
      </c>
      <c r="AA869" t="s" s="35">
        <v>1373</v>
      </c>
      <c r="AB869" s="39"/>
      <c r="AC869" t="str" s="39">
        <v>Ondas y física atómica/nuclear</v>
      </c>
      <c r="AD869" t="s" s="35">
        <v>1900</v>
      </c>
      <c r="AE869" t="str" s="39" cm="1">
        <f t="array" ref="AE869">IF(AD869="","",IF(LEFT(AD869,1)="1","C1",IF(LEFT(AD869,1)="2","C2",IF(LEFT(AD869,1)="3","C3",""))))</f>
        <v>C3</v>
      </c>
      <c r="AF869" t="s" s="35">
        <v>1602</v>
      </c>
      <c r="AG869" t="s" s="35">
        <v>1617</v>
      </c>
      <c r="AH869" t="s" s="35">
        <v>1605</v>
      </c>
      <c r="AI869" t="s" s="35">
        <v>1625</v>
      </c>
      <c r="AJ869" t="s" s="35">
        <v>1627</v>
      </c>
      <c r="AK869" s="39"/>
      <c r="AL869" s="39"/>
      <c r="AM869" s="39"/>
      <c r="AN869" s="39"/>
      <c r="AO869" s="39"/>
      <c r="AP869" s="39"/>
      <c r="AQ869" s="39"/>
      <c r="AR869" s="39"/>
      <c r="AS869" s="39"/>
      <c r="AT869" s="39"/>
      <c r="AU869" s="39"/>
      <c r="AV869" s="39"/>
      <c r="AW869" t="str" s="39" cm="1">
        <f t="array" ref="AW869">AF869&amp;"; "&amp;AG869&amp;"; "&amp;AH869&amp;"; "&amp;AI869&amp;"; "&amp;AJ869</f>
        <v>E1; D1; E2; I1; I2</v>
      </c>
    </row>
    <row r="870" ht="13.65" customHeight="1">
      <c r="A870" t="s" s="35">
        <v>6058</v>
      </c>
      <c r="B870" s="36">
        <v>11</v>
      </c>
      <c r="C870" t="s" s="35">
        <v>222</v>
      </c>
      <c r="D870" t="s" s="35">
        <v>4800</v>
      </c>
      <c r="E870" t="s" s="35">
        <v>5427</v>
      </c>
      <c r="F870" s="36">
        <v>125</v>
      </c>
      <c r="G870" t="s" s="35">
        <v>6037</v>
      </c>
      <c r="H870" t="s" s="35">
        <v>6059</v>
      </c>
      <c r="I870" t="s" s="120">
        <v>6060</v>
      </c>
      <c r="J870" t="s" s="35">
        <v>1301</v>
      </c>
      <c r="K870" t="s" s="35">
        <v>1832</v>
      </c>
      <c r="L870" s="39"/>
      <c r="M870" t="str" s="39">
        <v>Fuera del marco</v>
      </c>
      <c r="N870" t="str" s="39">
        <v>Fuera del marco</v>
      </c>
      <c r="O870" t="str" s="39" cm="1">
        <f t="array" ref="O870">IF(L870="","",_xlfn.IFERROR(INDEX('Datos - Catálogo TIMSS'!$C$5:$C$107,MATCH(L870,'Datos - Catálogo TIMSS'!$A$5:$A$107,0)),"?"))</f>
      </c>
      <c r="P870" t="s" s="35">
        <v>254</v>
      </c>
      <c r="Q870" t="s" s="120">
        <v>6061</v>
      </c>
      <c r="R870" t="s" s="120">
        <v>6062</v>
      </c>
      <c r="S870" s="121" cm="1">
        <f t="array" ref="S870">_xlfn.IFERROR(ISNUMBER(SEARCH("Conocer",$R870))/(ISNUMBER(SEARCH("Conocer",$R870))+ISNUMBER(SEARCH("Aplicar",$R870))+ISNUMBER(SEARCH("Razonar",$R870))),0)</f>
        <v>0.333333333333333</v>
      </c>
      <c r="T870" s="121" cm="1">
        <f t="array" ref="T870">_xlfn.IFERROR(ISNUMBER(SEARCH("Aplicar",$R870))/(ISNUMBER(SEARCH("Conocer",$R870))+ISNUMBER(SEARCH("Aplicar",$R870))+ISNUMBER(SEARCH("Razonar",$R870))),0)</f>
        <v>0.333333333333333</v>
      </c>
      <c r="U870" s="121" cm="1">
        <f t="array" ref="U870">_xlfn.IFERROR(ISNUMBER(SEARCH("Razonar",$R870))/(ISNUMBER(SEARCH("Conocer",$R870))+ISNUMBER(SEARCH("Aplicar",$R870))+ISNUMBER(SEARCH("Razonar",$R870))),0)</f>
        <v>0.333333333333333</v>
      </c>
      <c r="V870" t="s" s="35">
        <v>91</v>
      </c>
      <c r="W870" t="s" s="35">
        <v>119</v>
      </c>
      <c r="X870" s="36" cm="1">
        <f t="array" ref="X870">IF(OR(_xlfn.IFERROR(INDEX('Datos - Catálogo TIMSS'!$I$5:$I$107,MATCH(K870,'Datos - Catálogo TIMSS'!$A$5:$A$107,0)),"No")="Sí",_xlfn.IFERROR(INDEX('Datos - Catálogo TIMSS'!$I$5:$I$107,MATCH(L870,'Datos - Catálogo TIMSS'!$A$5:$A$107,0)),"No")="Sí"),1,0)</f>
        <v>0</v>
      </c>
      <c r="Y870" s="36" cm="1">
        <f t="array" ref="Y870">IF(_xlfn.IFERROR(INDEX('Datos - Catálogo TIMSS'!$J$5:$J$107,MATCH(K870,'Datos - Catálogo TIMSS'!$A$5:$A$107,0)),"No")="Sí",1,0)</f>
        <v>0</v>
      </c>
      <c r="Z870" s="36" cm="1">
        <f t="array" ref="Z870">IF(_xlfn.IFERROR(INDEX('Datos - Catálogo TIMSS'!$J$5:$J$107,MATCH(L870,'Datos - Catálogo TIMSS'!$A$5:$A$107,0)),"No")="Sí",1,0)</f>
        <v>0</v>
      </c>
      <c r="AA870" t="s" s="35">
        <v>1832</v>
      </c>
      <c r="AB870" s="39"/>
      <c r="AC870" t="str" s="39">
        <v>Fuera del marco</v>
      </c>
      <c r="AD870" t="s" s="35">
        <v>1859</v>
      </c>
      <c r="AE870" t="str" s="39" cm="1">
        <f t="array" ref="AE870">IF(AD870="","",IF(LEFT(AD870,1)="1","C1",IF(LEFT(AD870,1)="2","C2",IF(LEFT(AD870,1)="3","C3",""))))</f>
        <v>C1</v>
      </c>
      <c r="AF870" t="s" s="35">
        <v>1602</v>
      </c>
      <c r="AG870" t="s" s="35">
        <v>1612</v>
      </c>
      <c r="AH870" t="s" s="35">
        <v>1609</v>
      </c>
      <c r="AI870" t="s" s="35">
        <v>1629</v>
      </c>
      <c r="AJ870" t="s" s="35">
        <v>1631</v>
      </c>
      <c r="AK870" s="39"/>
      <c r="AL870" s="39"/>
      <c r="AM870" s="39"/>
      <c r="AN870" s="39"/>
      <c r="AO870" s="39"/>
      <c r="AP870" s="39"/>
      <c r="AQ870" s="39"/>
      <c r="AR870" s="39"/>
      <c r="AS870" s="39"/>
      <c r="AT870" s="39"/>
      <c r="AU870" s="39"/>
      <c r="AV870" s="39"/>
      <c r="AW870" t="str" s="39" cm="1">
        <f t="array" ref="AW870">AF870&amp;"; "&amp;AG870&amp;"; "&amp;AH870&amp;"; "&amp;AI870&amp;"; "&amp;AJ870</f>
        <v>E1; E5; E4; I3; I4</v>
      </c>
    </row>
    <row r="871" ht="13.65" customHeight="1">
      <c r="A871" t="s" s="35">
        <v>6063</v>
      </c>
      <c r="B871" s="36">
        <v>11</v>
      </c>
      <c r="C871" t="s" s="35">
        <v>222</v>
      </c>
      <c r="D871" t="s" s="35">
        <v>4800</v>
      </c>
      <c r="E871" t="s" s="35">
        <v>5427</v>
      </c>
      <c r="F871" s="36">
        <v>126</v>
      </c>
      <c r="G871" t="s" s="35">
        <v>6037</v>
      </c>
      <c r="H871" t="s" s="35">
        <v>6064</v>
      </c>
      <c r="I871" t="s" s="120">
        <v>6065</v>
      </c>
      <c r="J871" t="s" s="35">
        <v>1301</v>
      </c>
      <c r="K871" t="s" s="35">
        <v>1832</v>
      </c>
      <c r="L871" s="39"/>
      <c r="M871" t="str" s="39">
        <v>Fuera del marco</v>
      </c>
      <c r="N871" t="str" s="39">
        <v>Fuera del marco</v>
      </c>
      <c r="O871" t="str" s="39" cm="1">
        <f t="array" ref="O871">IF(L871="","",_xlfn.IFERROR(INDEX('Datos - Catálogo TIMSS'!$C$5:$C$107,MATCH(L871,'Datos - Catálogo TIMSS'!$A$5:$A$107,0)),"?"))</f>
      </c>
      <c r="P871" t="s" s="35">
        <v>254</v>
      </c>
      <c r="Q871" t="s" s="120">
        <v>6066</v>
      </c>
      <c r="R871" t="s" s="120">
        <v>6067</v>
      </c>
      <c r="S871" s="121" cm="1">
        <f t="array" ref="S871">_xlfn.IFERROR(ISNUMBER(SEARCH("Conocer",$R871))/(ISNUMBER(SEARCH("Conocer",$R871))+ISNUMBER(SEARCH("Aplicar",$R871))+ISNUMBER(SEARCH("Razonar",$R871))),0)</f>
        <v>0</v>
      </c>
      <c r="T871" s="121" cm="1">
        <f t="array" ref="T871">_xlfn.IFERROR(ISNUMBER(SEARCH("Aplicar",$R871))/(ISNUMBER(SEARCH("Conocer",$R871))+ISNUMBER(SEARCH("Aplicar",$R871))+ISNUMBER(SEARCH("Razonar",$R871))),0)</f>
        <v>0.5</v>
      </c>
      <c r="U871" s="121" cm="1">
        <f t="array" ref="U871">_xlfn.IFERROR(ISNUMBER(SEARCH("Razonar",$R871))/(ISNUMBER(SEARCH("Conocer",$R871))+ISNUMBER(SEARCH("Aplicar",$R871))+ISNUMBER(SEARCH("Razonar",$R871))),0)</f>
        <v>0.5</v>
      </c>
      <c r="V871" t="s" s="35">
        <v>91</v>
      </c>
      <c r="W871" t="s" s="35">
        <v>119</v>
      </c>
      <c r="X871" s="36" cm="1">
        <f t="array" ref="X871">IF(OR(_xlfn.IFERROR(INDEX('Datos - Catálogo TIMSS'!$I$5:$I$107,MATCH(K871,'Datos - Catálogo TIMSS'!$A$5:$A$107,0)),"No")="Sí",_xlfn.IFERROR(INDEX('Datos - Catálogo TIMSS'!$I$5:$I$107,MATCH(L871,'Datos - Catálogo TIMSS'!$A$5:$A$107,0)),"No")="Sí"),1,0)</f>
        <v>0</v>
      </c>
      <c r="Y871" s="36" cm="1">
        <f t="array" ref="Y871">IF(_xlfn.IFERROR(INDEX('Datos - Catálogo TIMSS'!$J$5:$J$107,MATCH(K871,'Datos - Catálogo TIMSS'!$A$5:$A$107,0)),"No")="Sí",1,0)</f>
        <v>0</v>
      </c>
      <c r="Z871" s="36" cm="1">
        <f t="array" ref="Z871">IF(_xlfn.IFERROR(INDEX('Datos - Catálogo TIMSS'!$J$5:$J$107,MATCH(L871,'Datos - Catálogo TIMSS'!$A$5:$A$107,0)),"No")="Sí",1,0)</f>
        <v>0</v>
      </c>
      <c r="AA871" t="s" s="35">
        <v>1832</v>
      </c>
      <c r="AB871" s="39"/>
      <c r="AC871" t="str" s="39">
        <v>Fuera del marco</v>
      </c>
      <c r="AD871" t="s" s="35">
        <v>1834</v>
      </c>
      <c r="AE871" t="str" s="39" cm="1">
        <f t="array" ref="AE871">IF(AD871="","",IF(LEFT(AD871,1)="1","C1",IF(LEFT(AD871,1)="2","C2",IF(LEFT(AD871,1)="3","C3",""))))</f>
        <v>C2</v>
      </c>
      <c r="AF871" t="s" s="35">
        <v>1615</v>
      </c>
      <c r="AG871" t="s" s="35">
        <v>1617</v>
      </c>
      <c r="AH871" t="s" s="35">
        <v>1605</v>
      </c>
      <c r="AI871" t="s" s="35">
        <v>1623</v>
      </c>
      <c r="AJ871" t="s" s="35">
        <v>1633</v>
      </c>
      <c r="AK871" s="39"/>
      <c r="AL871" s="39"/>
      <c r="AM871" s="39"/>
      <c r="AN871" s="39"/>
      <c r="AO871" s="39"/>
      <c r="AP871" s="39"/>
      <c r="AQ871" s="39"/>
      <c r="AR871" s="39"/>
      <c r="AS871" s="39"/>
      <c r="AT871" s="39"/>
      <c r="AU871" s="39"/>
      <c r="AV871" s="39"/>
      <c r="AW871" t="str" s="39" cm="1">
        <f t="array" ref="AW871">AF871&amp;"; "&amp;AG871&amp;"; "&amp;AH871&amp;"; "&amp;AI871&amp;"; "&amp;AJ871</f>
        <v>E6; D1; E2; D4; I5</v>
      </c>
    </row>
    <row r="872" ht="13.65" customHeight="1">
      <c r="A872" t="s" s="35">
        <v>6068</v>
      </c>
      <c r="B872" s="36">
        <v>11</v>
      </c>
      <c r="C872" t="s" s="35">
        <v>222</v>
      </c>
      <c r="D872" t="s" s="35">
        <v>4800</v>
      </c>
      <c r="E872" t="s" s="35">
        <v>5427</v>
      </c>
      <c r="F872" s="36">
        <v>127</v>
      </c>
      <c r="G872" t="s" s="35">
        <v>6069</v>
      </c>
      <c r="H872" t="s" s="35">
        <v>6070</v>
      </c>
      <c r="I872" t="s" s="120">
        <v>6071</v>
      </c>
      <c r="J872" t="s" s="35">
        <v>1301</v>
      </c>
      <c r="K872" t="s" s="35">
        <v>1373</v>
      </c>
      <c r="L872" s="39"/>
      <c r="M872" t="str" s="39">
        <v>Ondas y física atómica/nuclear</v>
      </c>
      <c r="N872" t="str" s="39">
        <v>Física atómica y nuclear</v>
      </c>
      <c r="O872" t="str" s="39" cm="1">
        <f t="array" ref="O872">IF(L872="","",_xlfn.IFERROR(INDEX('Datos - Catálogo TIMSS'!$C$5:$C$107,MATCH(L872,'Datos - Catálogo TIMSS'!$A$5:$A$107,0)),"?"))</f>
      </c>
      <c r="P872" t="s" s="35">
        <v>254</v>
      </c>
      <c r="Q872" t="s" s="120">
        <v>6072</v>
      </c>
      <c r="R872" t="s" s="120">
        <v>6073</v>
      </c>
      <c r="S872" s="121" cm="1">
        <f t="array" ref="S872">_xlfn.IFERROR(ISNUMBER(SEARCH("Conocer",$R872))/(ISNUMBER(SEARCH("Conocer",$R872))+ISNUMBER(SEARCH("Aplicar",$R872))+ISNUMBER(SEARCH("Razonar",$R872))),0)</f>
        <v>0</v>
      </c>
      <c r="T872" s="121" cm="1">
        <f t="array" ref="T872">_xlfn.IFERROR(ISNUMBER(SEARCH("Aplicar",$R872))/(ISNUMBER(SEARCH("Conocer",$R872))+ISNUMBER(SEARCH("Aplicar",$R872))+ISNUMBER(SEARCH("Razonar",$R872))),0)</f>
        <v>0.5</v>
      </c>
      <c r="U872" s="121" cm="1">
        <f t="array" ref="U872">_xlfn.IFERROR(ISNUMBER(SEARCH("Razonar",$R872))/(ISNUMBER(SEARCH("Conocer",$R872))+ISNUMBER(SEARCH("Aplicar",$R872))+ISNUMBER(SEARCH("Razonar",$R872))),0)</f>
        <v>0.5</v>
      </c>
      <c r="V872" t="s" s="35">
        <v>91</v>
      </c>
      <c r="W872" t="s" s="35">
        <v>119</v>
      </c>
      <c r="X872" s="36" cm="1">
        <f t="array" ref="X872">IF(OR(_xlfn.IFERROR(INDEX('Datos - Catálogo TIMSS'!$I$5:$I$107,MATCH(K872,'Datos - Catálogo TIMSS'!$A$5:$A$107,0)),"No")="Sí",_xlfn.IFERROR(INDEX('Datos - Catálogo TIMSS'!$I$5:$I$107,MATCH(L872,'Datos - Catálogo TIMSS'!$A$5:$A$107,0)),"No")="Sí"),1,0)</f>
        <v>0</v>
      </c>
      <c r="Y872" s="36" cm="1">
        <f t="array" ref="Y872">IF(_xlfn.IFERROR(INDEX('Datos - Catálogo TIMSS'!$J$5:$J$107,MATCH(K872,'Datos - Catálogo TIMSS'!$A$5:$A$107,0)),"No")="Sí",1,0)</f>
        <v>0</v>
      </c>
      <c r="Z872" s="36" cm="1">
        <f t="array" ref="Z872">IF(_xlfn.IFERROR(INDEX('Datos - Catálogo TIMSS'!$J$5:$J$107,MATCH(L872,'Datos - Catálogo TIMSS'!$A$5:$A$107,0)),"No")="Sí",1,0)</f>
        <v>0</v>
      </c>
      <c r="AA872" t="s" s="35">
        <v>1373</v>
      </c>
      <c r="AB872" s="39"/>
      <c r="AC872" t="str" s="39">
        <v>Ondas y física atómica/nuclear</v>
      </c>
      <c r="AD872" t="s" s="35">
        <v>1859</v>
      </c>
      <c r="AE872" t="str" s="39" cm="1">
        <f t="array" ref="AE872">IF(AD872="","",IF(LEFT(AD872,1)="1","C1",IF(LEFT(AD872,1)="2","C2",IF(LEFT(AD872,1)="3","C3",""))))</f>
        <v>C1</v>
      </c>
      <c r="AF872" t="s" s="35">
        <v>1602</v>
      </c>
      <c r="AG872" t="s" s="35">
        <v>1617</v>
      </c>
      <c r="AH872" t="s" s="35">
        <v>1605</v>
      </c>
      <c r="AI872" t="s" s="35">
        <v>1623</v>
      </c>
      <c r="AJ872" t="s" s="35">
        <v>1607</v>
      </c>
      <c r="AK872" s="39"/>
      <c r="AL872" s="39"/>
      <c r="AM872" s="39"/>
      <c r="AN872" s="39"/>
      <c r="AO872" s="39"/>
      <c r="AP872" s="39"/>
      <c r="AQ872" s="39"/>
      <c r="AR872" s="39"/>
      <c r="AS872" s="39"/>
      <c r="AT872" s="39"/>
      <c r="AU872" s="39"/>
      <c r="AV872" s="39"/>
      <c r="AW872" t="str" s="39" cm="1">
        <f t="array" ref="AW872">AF872&amp;"; "&amp;AG872&amp;"; "&amp;AH872&amp;"; "&amp;AI872&amp;"; "&amp;AJ872</f>
        <v>E1; D1; E2; D4; E3</v>
      </c>
    </row>
    <row r="873" ht="13.65" customHeight="1">
      <c r="A873" t="s" s="35">
        <v>6074</v>
      </c>
      <c r="B873" s="36">
        <v>11</v>
      </c>
      <c r="C873" t="s" s="35">
        <v>222</v>
      </c>
      <c r="D873" t="s" s="35">
        <v>4800</v>
      </c>
      <c r="E873" t="s" s="35">
        <v>5427</v>
      </c>
      <c r="F873" s="36">
        <v>128</v>
      </c>
      <c r="G873" t="s" s="35">
        <v>6069</v>
      </c>
      <c r="H873" t="s" s="35">
        <v>6075</v>
      </c>
      <c r="I873" t="s" s="120">
        <v>6076</v>
      </c>
      <c r="J873" t="s" s="35">
        <v>1301</v>
      </c>
      <c r="K873" t="s" s="35">
        <v>1373</v>
      </c>
      <c r="L873" s="39"/>
      <c r="M873" t="str" s="39">
        <v>Ondas y física atómica/nuclear</v>
      </c>
      <c r="N873" t="str" s="39">
        <v>Física atómica y nuclear</v>
      </c>
      <c r="O873" t="str" s="39" cm="1">
        <f t="array" ref="O873">IF(L873="","",_xlfn.IFERROR(INDEX('Datos - Catálogo TIMSS'!$C$5:$C$107,MATCH(L873,'Datos - Catálogo TIMSS'!$A$5:$A$107,0)),"?"))</f>
      </c>
      <c r="P873" t="s" s="35">
        <v>254</v>
      </c>
      <c r="Q873" t="s" s="120">
        <v>6077</v>
      </c>
      <c r="R873" t="s" s="120">
        <v>6078</v>
      </c>
      <c r="S873" s="121" cm="1">
        <f t="array" ref="S873">_xlfn.IFERROR(ISNUMBER(SEARCH("Conocer",$R873))/(ISNUMBER(SEARCH("Conocer",$R873))+ISNUMBER(SEARCH("Aplicar",$R873))+ISNUMBER(SEARCH("Razonar",$R873))),0)</f>
        <v>0</v>
      </c>
      <c r="T873" s="121" cm="1">
        <f t="array" ref="T873">_xlfn.IFERROR(ISNUMBER(SEARCH("Aplicar",$R873))/(ISNUMBER(SEARCH("Conocer",$R873))+ISNUMBER(SEARCH("Aplicar",$R873))+ISNUMBER(SEARCH("Razonar",$R873))),0)</f>
        <v>0.5</v>
      </c>
      <c r="U873" s="121" cm="1">
        <f t="array" ref="U873">_xlfn.IFERROR(ISNUMBER(SEARCH("Razonar",$R873))/(ISNUMBER(SEARCH("Conocer",$R873))+ISNUMBER(SEARCH("Aplicar",$R873))+ISNUMBER(SEARCH("Razonar",$R873))),0)</f>
        <v>0.5</v>
      </c>
      <c r="V873" t="s" s="35">
        <v>91</v>
      </c>
      <c r="W873" t="s" s="35">
        <v>119</v>
      </c>
      <c r="X873" s="36" cm="1">
        <f t="array" ref="X873">IF(OR(_xlfn.IFERROR(INDEX('Datos - Catálogo TIMSS'!$I$5:$I$107,MATCH(K873,'Datos - Catálogo TIMSS'!$A$5:$A$107,0)),"No")="Sí",_xlfn.IFERROR(INDEX('Datos - Catálogo TIMSS'!$I$5:$I$107,MATCH(L873,'Datos - Catálogo TIMSS'!$A$5:$A$107,0)),"No")="Sí"),1,0)</f>
        <v>0</v>
      </c>
      <c r="Y873" s="36" cm="1">
        <f t="array" ref="Y873">IF(_xlfn.IFERROR(INDEX('Datos - Catálogo TIMSS'!$J$5:$J$107,MATCH(K873,'Datos - Catálogo TIMSS'!$A$5:$A$107,0)),"No")="Sí",1,0)</f>
        <v>0</v>
      </c>
      <c r="Z873" s="36" cm="1">
        <f t="array" ref="Z873">IF(_xlfn.IFERROR(INDEX('Datos - Catálogo TIMSS'!$J$5:$J$107,MATCH(L873,'Datos - Catálogo TIMSS'!$A$5:$A$107,0)),"No")="Sí",1,0)</f>
        <v>0</v>
      </c>
      <c r="AA873" t="s" s="35">
        <v>1373</v>
      </c>
      <c r="AB873" s="39"/>
      <c r="AC873" t="str" s="39">
        <v>Ondas y física atómica/nuclear</v>
      </c>
      <c r="AD873" t="s" s="35">
        <v>1834</v>
      </c>
      <c r="AE873" t="str" s="39" cm="1">
        <f t="array" ref="AE873">IF(AD873="","",IF(LEFT(AD873,1)="1","C1",IF(LEFT(AD873,1)="2","C2",IF(LEFT(AD873,1)="3","C3",""))))</f>
        <v>C2</v>
      </c>
      <c r="AF873" t="s" s="35">
        <v>1602</v>
      </c>
      <c r="AG873" t="s" s="35">
        <v>1612</v>
      </c>
      <c r="AH873" t="s" s="35">
        <v>1609</v>
      </c>
      <c r="AI873" t="s" s="35">
        <v>1623</v>
      </c>
      <c r="AJ873" t="s" s="35">
        <v>1621</v>
      </c>
      <c r="AK873" s="39"/>
      <c r="AL873" s="39"/>
      <c r="AM873" s="39"/>
      <c r="AN873" s="39"/>
      <c r="AO873" s="39"/>
      <c r="AP873" s="39"/>
      <c r="AQ873" s="39"/>
      <c r="AR873" s="39"/>
      <c r="AS873" s="39"/>
      <c r="AT873" s="39"/>
      <c r="AU873" s="39"/>
      <c r="AV873" s="39"/>
      <c r="AW873" t="str" s="39" cm="1">
        <f t="array" ref="AW873">AF873&amp;"; "&amp;AG873&amp;"; "&amp;AH873&amp;"; "&amp;AI873&amp;"; "&amp;AJ873</f>
        <v>E1; E5; E4; D4; D3</v>
      </c>
    </row>
    <row r="874" ht="13.65" customHeight="1">
      <c r="A874" t="s" s="35">
        <v>6079</v>
      </c>
      <c r="B874" s="36">
        <v>11</v>
      </c>
      <c r="C874" t="s" s="35">
        <v>222</v>
      </c>
      <c r="D874" t="s" s="35">
        <v>4800</v>
      </c>
      <c r="E874" t="s" s="35">
        <v>5427</v>
      </c>
      <c r="F874" s="36">
        <v>129</v>
      </c>
      <c r="G874" t="s" s="35">
        <v>6069</v>
      </c>
      <c r="H874" t="s" s="35">
        <v>6080</v>
      </c>
      <c r="I874" t="s" s="120">
        <v>6081</v>
      </c>
      <c r="J874" t="s" s="35">
        <v>1301</v>
      </c>
      <c r="K874" t="s" s="35">
        <v>1373</v>
      </c>
      <c r="L874" s="39"/>
      <c r="M874" t="str" s="39">
        <v>Ondas y física atómica/nuclear</v>
      </c>
      <c r="N874" t="str" s="39">
        <v>Física atómica y nuclear</v>
      </c>
      <c r="O874" t="str" s="39" cm="1">
        <f t="array" ref="O874">IF(L874="","",_xlfn.IFERROR(INDEX('Datos - Catálogo TIMSS'!$C$5:$C$107,MATCH(L874,'Datos - Catálogo TIMSS'!$A$5:$A$107,0)),"?"))</f>
      </c>
      <c r="P874" t="s" s="35">
        <v>254</v>
      </c>
      <c r="Q874" t="s" s="120">
        <v>6082</v>
      </c>
      <c r="R874" t="s" s="120">
        <v>6083</v>
      </c>
      <c r="S874" s="121" cm="1">
        <f t="array" ref="S874">_xlfn.IFERROR(ISNUMBER(SEARCH("Conocer",$R874))/(ISNUMBER(SEARCH("Conocer",$R874))+ISNUMBER(SEARCH("Aplicar",$R874))+ISNUMBER(SEARCH("Razonar",$R874))),0)</f>
        <v>0</v>
      </c>
      <c r="T874" s="121" cm="1">
        <f t="array" ref="T874">_xlfn.IFERROR(ISNUMBER(SEARCH("Aplicar",$R874))/(ISNUMBER(SEARCH("Conocer",$R874))+ISNUMBER(SEARCH("Aplicar",$R874))+ISNUMBER(SEARCH("Razonar",$R874))),0)</f>
        <v>0.5</v>
      </c>
      <c r="U874" s="121" cm="1">
        <f t="array" ref="U874">_xlfn.IFERROR(ISNUMBER(SEARCH("Razonar",$R874))/(ISNUMBER(SEARCH("Conocer",$R874))+ISNUMBER(SEARCH("Aplicar",$R874))+ISNUMBER(SEARCH("Razonar",$R874))),0)</f>
        <v>0.5</v>
      </c>
      <c r="V874" t="s" s="35">
        <v>91</v>
      </c>
      <c r="W874" t="s" s="35">
        <v>119</v>
      </c>
      <c r="X874" s="36" cm="1">
        <f t="array" ref="X874">IF(OR(_xlfn.IFERROR(INDEX('Datos - Catálogo TIMSS'!$I$5:$I$107,MATCH(K874,'Datos - Catálogo TIMSS'!$A$5:$A$107,0)),"No")="Sí",_xlfn.IFERROR(INDEX('Datos - Catálogo TIMSS'!$I$5:$I$107,MATCH(L874,'Datos - Catálogo TIMSS'!$A$5:$A$107,0)),"No")="Sí"),1,0)</f>
        <v>0</v>
      </c>
      <c r="Y874" s="36" cm="1">
        <f t="array" ref="Y874">IF(_xlfn.IFERROR(INDEX('Datos - Catálogo TIMSS'!$J$5:$J$107,MATCH(K874,'Datos - Catálogo TIMSS'!$A$5:$A$107,0)),"No")="Sí",1,0)</f>
        <v>0</v>
      </c>
      <c r="Z874" s="36" cm="1">
        <f t="array" ref="Z874">IF(_xlfn.IFERROR(INDEX('Datos - Catálogo TIMSS'!$J$5:$J$107,MATCH(L874,'Datos - Catálogo TIMSS'!$A$5:$A$107,0)),"No")="Sí",1,0)</f>
        <v>0</v>
      </c>
      <c r="AA874" t="s" s="35">
        <v>1373</v>
      </c>
      <c r="AB874" s="39"/>
      <c r="AC874" t="str" s="39">
        <v>Ondas y física atómica/nuclear</v>
      </c>
      <c r="AD874" t="s" s="35">
        <v>1900</v>
      </c>
      <c r="AE874" t="str" s="39" cm="1">
        <f t="array" ref="AE874">IF(AD874="","",IF(LEFT(AD874,1)="1","C1",IF(LEFT(AD874,1)="2","C2",IF(LEFT(AD874,1)="3","C3",""))))</f>
        <v>C3</v>
      </c>
      <c r="AF874" t="s" s="35">
        <v>1615</v>
      </c>
      <c r="AG874" t="s" s="35">
        <v>1617</v>
      </c>
      <c r="AH874" t="s" s="35">
        <v>1602</v>
      </c>
      <c r="AI874" t="s" s="35">
        <v>1625</v>
      </c>
      <c r="AJ874" t="s" s="35">
        <v>1633</v>
      </c>
      <c r="AK874" s="39"/>
      <c r="AL874" s="39"/>
      <c r="AM874" s="39"/>
      <c r="AN874" s="39"/>
      <c r="AO874" s="39"/>
      <c r="AP874" s="39"/>
      <c r="AQ874" s="39"/>
      <c r="AR874" s="39"/>
      <c r="AS874" s="39"/>
      <c r="AT874" s="39"/>
      <c r="AU874" s="39"/>
      <c r="AV874" s="39"/>
      <c r="AW874" t="str" s="39" cm="1">
        <f t="array" ref="AW874">AF874&amp;"; "&amp;AG874&amp;"; "&amp;AH874&amp;"; "&amp;AI874&amp;"; "&amp;AJ874</f>
        <v>E6; D1; E1; I1; I5</v>
      </c>
    </row>
    <row r="875" ht="13.65" customHeight="1">
      <c r="A875" t="s" s="35">
        <v>6084</v>
      </c>
      <c r="B875" s="36">
        <v>11</v>
      </c>
      <c r="C875" t="s" s="35">
        <v>222</v>
      </c>
      <c r="D875" t="s" s="35">
        <v>4800</v>
      </c>
      <c r="E875" t="s" s="35">
        <v>5427</v>
      </c>
      <c r="F875" s="36">
        <v>130</v>
      </c>
      <c r="G875" t="s" s="35">
        <v>6069</v>
      </c>
      <c r="H875" t="s" s="35">
        <v>6085</v>
      </c>
      <c r="I875" t="s" s="120">
        <v>6086</v>
      </c>
      <c r="J875" t="s" s="35">
        <v>1301</v>
      </c>
      <c r="K875" t="s" s="35">
        <v>1373</v>
      </c>
      <c r="L875" s="39"/>
      <c r="M875" t="str" s="39">
        <v>Ondas y física atómica/nuclear</v>
      </c>
      <c r="N875" t="str" s="39">
        <v>Física atómica y nuclear</v>
      </c>
      <c r="O875" t="str" s="39" cm="1">
        <f t="array" ref="O875">IF(L875="","",_xlfn.IFERROR(INDEX('Datos - Catálogo TIMSS'!$C$5:$C$107,MATCH(L875,'Datos - Catálogo TIMSS'!$A$5:$A$107,0)),"?"))</f>
      </c>
      <c r="P875" t="s" s="35">
        <v>282</v>
      </c>
      <c r="Q875" t="s" s="120">
        <v>6087</v>
      </c>
      <c r="R875" t="s" s="120">
        <v>6088</v>
      </c>
      <c r="S875" s="121" cm="1">
        <f t="array" ref="S875">_xlfn.IFERROR(ISNUMBER(SEARCH("Conocer",$R875))/(ISNUMBER(SEARCH("Conocer",$R875))+ISNUMBER(SEARCH("Aplicar",$R875))+ISNUMBER(SEARCH("Razonar",$R875))),0)</f>
        <v>0.5</v>
      </c>
      <c r="T875" s="121" cm="1">
        <f t="array" ref="T875">_xlfn.IFERROR(ISNUMBER(SEARCH("Aplicar",$R875))/(ISNUMBER(SEARCH("Conocer",$R875))+ISNUMBER(SEARCH("Aplicar",$R875))+ISNUMBER(SEARCH("Razonar",$R875))),0)</f>
        <v>0</v>
      </c>
      <c r="U875" s="121" cm="1">
        <f t="array" ref="U875">_xlfn.IFERROR(ISNUMBER(SEARCH("Razonar",$R875))/(ISNUMBER(SEARCH("Conocer",$R875))+ISNUMBER(SEARCH("Aplicar",$R875))+ISNUMBER(SEARCH("Razonar",$R875))),0)</f>
        <v>0.5</v>
      </c>
      <c r="V875" t="s" s="35">
        <v>91</v>
      </c>
      <c r="W875" t="s" s="35">
        <v>119</v>
      </c>
      <c r="X875" s="36" cm="1">
        <f t="array" ref="X875">IF(OR(_xlfn.IFERROR(INDEX('Datos - Catálogo TIMSS'!$I$5:$I$107,MATCH(K875,'Datos - Catálogo TIMSS'!$A$5:$A$107,0)),"No")="Sí",_xlfn.IFERROR(INDEX('Datos - Catálogo TIMSS'!$I$5:$I$107,MATCH(L875,'Datos - Catálogo TIMSS'!$A$5:$A$107,0)),"No")="Sí"),1,0)</f>
        <v>0</v>
      </c>
      <c r="Y875" s="36" cm="1">
        <f t="array" ref="Y875">IF(_xlfn.IFERROR(INDEX('Datos - Catálogo TIMSS'!$J$5:$J$107,MATCH(K875,'Datos - Catálogo TIMSS'!$A$5:$A$107,0)),"No")="Sí",1,0)</f>
        <v>0</v>
      </c>
      <c r="Z875" s="36" cm="1">
        <f t="array" ref="Z875">IF(_xlfn.IFERROR(INDEX('Datos - Catálogo TIMSS'!$J$5:$J$107,MATCH(L875,'Datos - Catálogo TIMSS'!$A$5:$A$107,0)),"No")="Sí",1,0)</f>
        <v>0</v>
      </c>
      <c r="AA875" t="s" s="35">
        <v>1373</v>
      </c>
      <c r="AB875" s="39"/>
      <c r="AC875" t="str" s="39">
        <v>Ondas y física atómica/nuclear</v>
      </c>
      <c r="AD875" t="s" s="35">
        <v>1859</v>
      </c>
      <c r="AE875" t="str" s="39" cm="1">
        <f t="array" ref="AE875">IF(AD875="","",IF(LEFT(AD875,1)="1","C1",IF(LEFT(AD875,1)="2","C2",IF(LEFT(AD875,1)="3","C3",""))))</f>
        <v>C1</v>
      </c>
      <c r="AF875" t="s" s="35">
        <v>1615</v>
      </c>
      <c r="AG875" t="s" s="35">
        <v>1607</v>
      </c>
      <c r="AH875" t="s" s="35">
        <v>1609</v>
      </c>
      <c r="AI875" t="s" s="35">
        <v>1623</v>
      </c>
      <c r="AJ875" t="s" s="35">
        <v>1621</v>
      </c>
      <c r="AK875" s="39"/>
      <c r="AL875" s="39"/>
      <c r="AM875" s="39"/>
      <c r="AN875" s="39"/>
      <c r="AO875" s="39"/>
      <c r="AP875" s="39"/>
      <c r="AQ875" s="39"/>
      <c r="AR875" s="39"/>
      <c r="AS875" s="39"/>
      <c r="AT875" s="39"/>
      <c r="AU875" s="39"/>
      <c r="AV875" s="39"/>
      <c r="AW875" t="str" s="39" cm="1">
        <f t="array" ref="AW875">AF875&amp;"; "&amp;AG875&amp;"; "&amp;AH875&amp;"; "&amp;AI875&amp;"; "&amp;AJ875</f>
        <v>E6; E3; E4; D4; D3</v>
      </c>
    </row>
    <row r="876" ht="13.65" customHeight="1">
      <c r="A876" t="s" s="35">
        <v>6090</v>
      </c>
      <c r="B876" s="36">
        <v>11</v>
      </c>
      <c r="C876" t="s" s="35">
        <v>222</v>
      </c>
      <c r="D876" t="s" s="35">
        <v>4800</v>
      </c>
      <c r="E876" t="s" s="35">
        <v>5427</v>
      </c>
      <c r="F876" s="36">
        <v>131</v>
      </c>
      <c r="G876" t="s" s="35">
        <v>6091</v>
      </c>
      <c r="H876" t="s" s="35">
        <v>6092</v>
      </c>
      <c r="I876" t="s" s="120">
        <v>6093</v>
      </c>
      <c r="J876" t="s" s="35">
        <v>1301</v>
      </c>
      <c r="K876" t="s" s="35">
        <v>1832</v>
      </c>
      <c r="L876" s="39"/>
      <c r="M876" t="str" s="39">
        <v>Fuera del marco</v>
      </c>
      <c r="N876" t="str" s="39">
        <v>Fuera del marco</v>
      </c>
      <c r="O876" t="str" s="39" cm="1">
        <f t="array" ref="O876">IF(L876="","",_xlfn.IFERROR(INDEX('Datos - Catálogo TIMSS'!$C$5:$C$107,MATCH(L876,'Datos - Catálogo TIMSS'!$A$5:$A$107,0)),"?"))</f>
      </c>
      <c r="P876" t="s" s="35">
        <v>282</v>
      </c>
      <c r="Q876" t="s" s="120">
        <v>6094</v>
      </c>
      <c r="R876" t="s" s="120">
        <v>6095</v>
      </c>
      <c r="S876" s="121" cm="1">
        <f t="array" ref="S876">_xlfn.IFERROR(ISNUMBER(SEARCH("Conocer",$R876))/(ISNUMBER(SEARCH("Conocer",$R876))+ISNUMBER(SEARCH("Aplicar",$R876))+ISNUMBER(SEARCH("Razonar",$R876))),0)</f>
        <v>0.5</v>
      </c>
      <c r="T876" s="121" cm="1">
        <f t="array" ref="T876">_xlfn.IFERROR(ISNUMBER(SEARCH("Aplicar",$R876))/(ISNUMBER(SEARCH("Conocer",$R876))+ISNUMBER(SEARCH("Aplicar",$R876))+ISNUMBER(SEARCH("Razonar",$R876))),0)</f>
        <v>0</v>
      </c>
      <c r="U876" s="121" cm="1">
        <f t="array" ref="U876">_xlfn.IFERROR(ISNUMBER(SEARCH("Razonar",$R876))/(ISNUMBER(SEARCH("Conocer",$R876))+ISNUMBER(SEARCH("Aplicar",$R876))+ISNUMBER(SEARCH("Razonar",$R876))),0)</f>
        <v>0.5</v>
      </c>
      <c r="V876" t="s" s="35">
        <v>91</v>
      </c>
      <c r="W876" t="s" s="35">
        <v>119</v>
      </c>
      <c r="X876" s="36" cm="1">
        <f t="array" ref="X876">IF(OR(_xlfn.IFERROR(INDEX('Datos - Catálogo TIMSS'!$I$5:$I$107,MATCH(K876,'Datos - Catálogo TIMSS'!$A$5:$A$107,0)),"No")="Sí",_xlfn.IFERROR(INDEX('Datos - Catálogo TIMSS'!$I$5:$I$107,MATCH(L876,'Datos - Catálogo TIMSS'!$A$5:$A$107,0)),"No")="Sí"),1,0)</f>
        <v>0</v>
      </c>
      <c r="Y876" s="36" cm="1">
        <f t="array" ref="Y876">IF(_xlfn.IFERROR(INDEX('Datos - Catálogo TIMSS'!$J$5:$J$107,MATCH(K876,'Datos - Catálogo TIMSS'!$A$5:$A$107,0)),"No")="Sí",1,0)</f>
        <v>0</v>
      </c>
      <c r="Z876" s="36" cm="1">
        <f t="array" ref="Z876">IF(_xlfn.IFERROR(INDEX('Datos - Catálogo TIMSS'!$J$5:$J$107,MATCH(L876,'Datos - Catálogo TIMSS'!$A$5:$A$107,0)),"No")="Sí",1,0)</f>
        <v>0</v>
      </c>
      <c r="AA876" t="s" s="35">
        <v>1832</v>
      </c>
      <c r="AB876" s="39"/>
      <c r="AC876" t="str" s="39">
        <v>Fuera del marco</v>
      </c>
      <c r="AD876" t="s" s="35">
        <v>1859</v>
      </c>
      <c r="AE876" t="str" s="39" cm="1">
        <f t="array" ref="AE876">IF(AD876="","",IF(LEFT(AD876,1)="1","C1",IF(LEFT(AD876,1)="2","C2",IF(LEFT(AD876,1)="3","C3",""))))</f>
        <v>C1</v>
      </c>
      <c r="AF876" t="s" s="35">
        <v>1602</v>
      </c>
      <c r="AG876" t="s" s="35">
        <v>1617</v>
      </c>
      <c r="AH876" t="s" s="35">
        <v>1609</v>
      </c>
      <c r="AI876" t="s" s="35">
        <v>1629</v>
      </c>
      <c r="AJ876" t="s" s="35">
        <v>1615</v>
      </c>
      <c r="AK876" s="39"/>
      <c r="AL876" s="39"/>
      <c r="AM876" s="39"/>
      <c r="AN876" s="39"/>
      <c r="AO876" s="39"/>
      <c r="AP876" s="39"/>
      <c r="AQ876" s="39"/>
      <c r="AR876" s="39"/>
      <c r="AS876" s="39"/>
      <c r="AT876" s="39"/>
      <c r="AU876" s="39"/>
      <c r="AV876" s="39"/>
      <c r="AW876" t="str" s="39" cm="1">
        <f t="array" ref="AW876">AF876&amp;"; "&amp;AG876&amp;"; "&amp;AH876&amp;"; "&amp;AI876&amp;"; "&amp;AJ876</f>
        <v>E1; D1; E4; I3; E6</v>
      </c>
    </row>
    <row r="877" ht="13.65" customHeight="1">
      <c r="A877" t="s" s="35">
        <v>6097</v>
      </c>
      <c r="B877" s="36">
        <v>11</v>
      </c>
      <c r="C877" t="s" s="35">
        <v>222</v>
      </c>
      <c r="D877" t="s" s="35">
        <v>4800</v>
      </c>
      <c r="E877" t="s" s="35">
        <v>5427</v>
      </c>
      <c r="F877" s="36">
        <v>132</v>
      </c>
      <c r="G877" t="s" s="35">
        <v>6091</v>
      </c>
      <c r="H877" t="s" s="35">
        <v>6092</v>
      </c>
      <c r="I877" t="s" s="120">
        <v>6098</v>
      </c>
      <c r="J877" t="s" s="35">
        <v>1301</v>
      </c>
      <c r="K877" t="s" s="35">
        <v>1312</v>
      </c>
      <c r="L877" s="39"/>
      <c r="M877" t="str" s="39">
        <v>Mecánica y termodinámica</v>
      </c>
      <c r="N877" t="str" s="39">
        <v>Fuerzas y movimiento</v>
      </c>
      <c r="O877" t="str" s="39" cm="1">
        <f t="array" ref="O877">IF(L877="","",_xlfn.IFERROR(INDEX('Datos - Catálogo TIMSS'!$C$5:$C$107,MATCH(L877,'Datos - Catálogo TIMSS'!$A$5:$A$107,0)),"?"))</f>
      </c>
      <c r="P877" t="s" s="35">
        <v>254</v>
      </c>
      <c r="Q877" t="s" s="120">
        <v>6099</v>
      </c>
      <c r="R877" t="s" s="120">
        <v>6100</v>
      </c>
      <c r="S877" s="121" cm="1">
        <f t="array" ref="S877">_xlfn.IFERROR(ISNUMBER(SEARCH("Conocer",$R877))/(ISNUMBER(SEARCH("Conocer",$R877))+ISNUMBER(SEARCH("Aplicar",$R877))+ISNUMBER(SEARCH("Razonar",$R877))),0)</f>
        <v>0</v>
      </c>
      <c r="T877" s="121" cm="1">
        <f t="array" ref="T877">_xlfn.IFERROR(ISNUMBER(SEARCH("Aplicar",$R877))/(ISNUMBER(SEARCH("Conocer",$R877))+ISNUMBER(SEARCH("Aplicar",$R877))+ISNUMBER(SEARCH("Razonar",$R877))),0)</f>
        <v>0.5</v>
      </c>
      <c r="U877" s="121" cm="1">
        <f t="array" ref="U877">_xlfn.IFERROR(ISNUMBER(SEARCH("Razonar",$R877))/(ISNUMBER(SEARCH("Conocer",$R877))+ISNUMBER(SEARCH("Aplicar",$R877))+ISNUMBER(SEARCH("Razonar",$R877))),0)</f>
        <v>0.5</v>
      </c>
      <c r="V877" t="s" s="35">
        <v>91</v>
      </c>
      <c r="W877" t="s" s="35">
        <v>119</v>
      </c>
      <c r="X877" s="36" cm="1">
        <f t="array" ref="X877">IF(OR(_xlfn.IFERROR(INDEX('Datos - Catálogo TIMSS'!$I$5:$I$107,MATCH(K877,'Datos - Catálogo TIMSS'!$A$5:$A$107,0)),"No")="Sí",_xlfn.IFERROR(INDEX('Datos - Catálogo TIMSS'!$I$5:$I$107,MATCH(L877,'Datos - Catálogo TIMSS'!$A$5:$A$107,0)),"No")="Sí"),1,0)</f>
        <v>0</v>
      </c>
      <c r="Y877" s="36" cm="1">
        <f t="array" ref="Y877">IF(_xlfn.IFERROR(INDEX('Datos - Catálogo TIMSS'!$J$5:$J$107,MATCH(K877,'Datos - Catálogo TIMSS'!$A$5:$A$107,0)),"No")="Sí",1,0)</f>
        <v>0</v>
      </c>
      <c r="Z877" s="36" cm="1">
        <f t="array" ref="Z877">IF(_xlfn.IFERROR(INDEX('Datos - Catálogo TIMSS'!$J$5:$J$107,MATCH(L877,'Datos - Catálogo TIMSS'!$A$5:$A$107,0)),"No")="Sí",1,0)</f>
        <v>0</v>
      </c>
      <c r="AA877" t="s" s="35">
        <v>1312</v>
      </c>
      <c r="AB877" s="39"/>
      <c r="AC877" t="str" s="39">
        <v>Mecánica y termodinámica</v>
      </c>
      <c r="AD877" t="s" s="35">
        <v>1834</v>
      </c>
      <c r="AE877" t="str" s="39" cm="1">
        <f t="array" ref="AE877">IF(AD877="","",IF(LEFT(AD877,1)="1","C1",IF(LEFT(AD877,1)="2","C2",IF(LEFT(AD877,1)="3","C3",""))))</f>
        <v>C2</v>
      </c>
      <c r="AF877" t="s" s="35">
        <v>1602</v>
      </c>
      <c r="AG877" t="s" s="35">
        <v>1617</v>
      </c>
      <c r="AH877" t="s" s="35">
        <v>1605</v>
      </c>
      <c r="AI877" t="s" s="35">
        <v>1623</v>
      </c>
      <c r="AJ877" t="s" s="35">
        <v>1607</v>
      </c>
      <c r="AK877" s="39"/>
      <c r="AL877" s="39"/>
      <c r="AM877" s="39"/>
      <c r="AN877" s="39"/>
      <c r="AO877" s="39"/>
      <c r="AP877" s="39"/>
      <c r="AQ877" s="39"/>
      <c r="AR877" s="39"/>
      <c r="AS877" s="39"/>
      <c r="AT877" s="39"/>
      <c r="AU877" s="39"/>
      <c r="AV877" s="39"/>
      <c r="AW877" t="str" s="39" cm="1">
        <f t="array" ref="AW877">AF877&amp;"; "&amp;AG877&amp;"; "&amp;AH877&amp;"; "&amp;AI877&amp;"; "&amp;AJ877</f>
        <v>E1; D1; E2; D4; E3</v>
      </c>
    </row>
    <row r="878" ht="13.65" customHeight="1">
      <c r="A878" t="s" s="35">
        <v>6101</v>
      </c>
      <c r="B878" s="36">
        <v>11</v>
      </c>
      <c r="C878" t="s" s="35">
        <v>222</v>
      </c>
      <c r="D878" t="s" s="35">
        <v>4800</v>
      </c>
      <c r="E878" t="s" s="35">
        <v>5427</v>
      </c>
      <c r="F878" s="36">
        <v>133</v>
      </c>
      <c r="G878" t="s" s="35">
        <v>6091</v>
      </c>
      <c r="H878" t="s" s="35">
        <v>6092</v>
      </c>
      <c r="I878" t="s" s="120">
        <v>6102</v>
      </c>
      <c r="J878" t="s" s="35">
        <v>1301</v>
      </c>
      <c r="K878" t="s" s="35">
        <v>1312</v>
      </c>
      <c r="L878" s="39"/>
      <c r="M878" t="str" s="39">
        <v>Mecánica y termodinámica</v>
      </c>
      <c r="N878" t="str" s="39">
        <v>Fuerzas y movimiento</v>
      </c>
      <c r="O878" t="str" s="39" cm="1">
        <f t="array" ref="O878">IF(L878="","",_xlfn.IFERROR(INDEX('Datos - Catálogo TIMSS'!$C$5:$C$107,MATCH(L878,'Datos - Catálogo TIMSS'!$A$5:$A$107,0)),"?"))</f>
      </c>
      <c r="P878" t="s" s="35">
        <v>254</v>
      </c>
      <c r="Q878" t="s" s="120">
        <v>6103</v>
      </c>
      <c r="R878" t="s" s="120">
        <v>6104</v>
      </c>
      <c r="S878" s="121" cm="1">
        <f t="array" ref="S878">_xlfn.IFERROR(ISNUMBER(SEARCH("Conocer",$R878))/(ISNUMBER(SEARCH("Conocer",$R878))+ISNUMBER(SEARCH("Aplicar",$R878))+ISNUMBER(SEARCH("Razonar",$R878))),0)</f>
        <v>0</v>
      </c>
      <c r="T878" s="121" cm="1">
        <f t="array" ref="T878">_xlfn.IFERROR(ISNUMBER(SEARCH("Aplicar",$R878))/(ISNUMBER(SEARCH("Conocer",$R878))+ISNUMBER(SEARCH("Aplicar",$R878))+ISNUMBER(SEARCH("Razonar",$R878))),0)</f>
        <v>0.5</v>
      </c>
      <c r="U878" s="121" cm="1">
        <f t="array" ref="U878">_xlfn.IFERROR(ISNUMBER(SEARCH("Razonar",$R878))/(ISNUMBER(SEARCH("Conocer",$R878))+ISNUMBER(SEARCH("Aplicar",$R878))+ISNUMBER(SEARCH("Razonar",$R878))),0)</f>
        <v>0.5</v>
      </c>
      <c r="V878" t="s" s="35">
        <v>91</v>
      </c>
      <c r="W878" t="s" s="35">
        <v>119</v>
      </c>
      <c r="X878" s="36" cm="1">
        <f t="array" ref="X878">IF(OR(_xlfn.IFERROR(INDEX('Datos - Catálogo TIMSS'!$I$5:$I$107,MATCH(K878,'Datos - Catálogo TIMSS'!$A$5:$A$107,0)),"No")="Sí",_xlfn.IFERROR(INDEX('Datos - Catálogo TIMSS'!$I$5:$I$107,MATCH(L878,'Datos - Catálogo TIMSS'!$A$5:$A$107,0)),"No")="Sí"),1,0)</f>
        <v>0</v>
      </c>
      <c r="Y878" s="36" cm="1">
        <f t="array" ref="Y878">IF(_xlfn.IFERROR(INDEX('Datos - Catálogo TIMSS'!$J$5:$J$107,MATCH(K878,'Datos - Catálogo TIMSS'!$A$5:$A$107,0)),"No")="Sí",1,0)</f>
        <v>0</v>
      </c>
      <c r="Z878" s="36" cm="1">
        <f t="array" ref="Z878">IF(_xlfn.IFERROR(INDEX('Datos - Catálogo TIMSS'!$J$5:$J$107,MATCH(L878,'Datos - Catálogo TIMSS'!$A$5:$A$107,0)),"No")="Sí",1,0)</f>
        <v>0</v>
      </c>
      <c r="AA878" t="s" s="35">
        <v>1312</v>
      </c>
      <c r="AB878" s="39"/>
      <c r="AC878" t="str" s="39">
        <v>Mecánica y termodinámica</v>
      </c>
      <c r="AD878" t="s" s="35">
        <v>1859</v>
      </c>
      <c r="AE878" t="str" s="39" cm="1">
        <f t="array" ref="AE878">IF(AD878="","",IF(LEFT(AD878,1)="1","C1",IF(LEFT(AD878,1)="2","C2",IF(LEFT(AD878,1)="3","C3",""))))</f>
        <v>C1</v>
      </c>
      <c r="AF878" t="s" s="35">
        <v>1602</v>
      </c>
      <c r="AG878" t="s" s="35">
        <v>1607</v>
      </c>
      <c r="AH878" t="s" s="35">
        <v>1602</v>
      </c>
      <c r="AI878" t="s" s="35">
        <v>1619</v>
      </c>
      <c r="AJ878" t="s" s="35">
        <v>1621</v>
      </c>
      <c r="AK878" s="39"/>
      <c r="AL878" s="39"/>
      <c r="AM878" s="39"/>
      <c r="AN878" s="39"/>
      <c r="AO878" s="39"/>
      <c r="AP878" s="39"/>
      <c r="AQ878" s="39"/>
      <c r="AR878" s="39"/>
      <c r="AS878" s="39"/>
      <c r="AT878" s="39"/>
      <c r="AU878" s="39"/>
      <c r="AV878" s="39"/>
      <c r="AW878" t="str" s="39" cm="1">
        <f t="array" ref="AW878">AF878&amp;"; "&amp;AG878&amp;"; "&amp;AH878&amp;"; "&amp;AI878&amp;"; "&amp;AJ878</f>
        <v>E1; E3; E1; D2; D3</v>
      </c>
    </row>
    <row r="879" ht="13.65" customHeight="1">
      <c r="A879" t="s" s="35">
        <v>6105</v>
      </c>
      <c r="B879" s="36">
        <v>11</v>
      </c>
      <c r="C879" t="s" s="35">
        <v>222</v>
      </c>
      <c r="D879" t="s" s="35">
        <v>4800</v>
      </c>
      <c r="E879" t="s" s="35">
        <v>5427</v>
      </c>
      <c r="F879" s="36">
        <v>134</v>
      </c>
      <c r="G879" t="s" s="35">
        <v>6091</v>
      </c>
      <c r="H879" t="s" s="35">
        <v>6106</v>
      </c>
      <c r="I879" t="s" s="120">
        <v>6107</v>
      </c>
      <c r="J879" t="s" s="35">
        <v>1301</v>
      </c>
      <c r="K879" t="s" s="35">
        <v>1360</v>
      </c>
      <c r="L879" s="39"/>
      <c r="M879" t="str" s="39">
        <v>Ondas y física atómica/nuclear</v>
      </c>
      <c r="N879" t="str" s="39">
        <v>Fenómenos ondulatorios</v>
      </c>
      <c r="O879" t="str" s="39" cm="1">
        <f t="array" ref="O879">IF(L879="","",_xlfn.IFERROR(INDEX('Datos - Catálogo TIMSS'!$C$5:$C$107,MATCH(L879,'Datos - Catálogo TIMSS'!$A$5:$A$107,0)),"?"))</f>
      </c>
      <c r="P879" t="s" s="35">
        <v>254</v>
      </c>
      <c r="Q879" t="s" s="120">
        <v>6108</v>
      </c>
      <c r="R879" t="s" s="120">
        <v>6109</v>
      </c>
      <c r="S879" s="121" cm="1">
        <f t="array" ref="S879">_xlfn.IFERROR(ISNUMBER(SEARCH("Conocer",$R879))/(ISNUMBER(SEARCH("Conocer",$R879))+ISNUMBER(SEARCH("Aplicar",$R879))+ISNUMBER(SEARCH("Razonar",$R879))),0)</f>
        <v>0</v>
      </c>
      <c r="T879" s="121" cm="1">
        <f t="array" ref="T879">_xlfn.IFERROR(ISNUMBER(SEARCH("Aplicar",$R879))/(ISNUMBER(SEARCH("Conocer",$R879))+ISNUMBER(SEARCH("Aplicar",$R879))+ISNUMBER(SEARCH("Razonar",$R879))),0)</f>
        <v>0.5</v>
      </c>
      <c r="U879" s="121" cm="1">
        <f t="array" ref="U879">_xlfn.IFERROR(ISNUMBER(SEARCH("Razonar",$R879))/(ISNUMBER(SEARCH("Conocer",$R879))+ISNUMBER(SEARCH("Aplicar",$R879))+ISNUMBER(SEARCH("Razonar",$R879))),0)</f>
        <v>0.5</v>
      </c>
      <c r="V879" t="s" s="35">
        <v>91</v>
      </c>
      <c r="W879" t="s" s="35">
        <v>119</v>
      </c>
      <c r="X879" s="36" cm="1">
        <f t="array" ref="X879">IF(OR(_xlfn.IFERROR(INDEX('Datos - Catálogo TIMSS'!$I$5:$I$107,MATCH(K879,'Datos - Catálogo TIMSS'!$A$5:$A$107,0)),"No")="Sí",_xlfn.IFERROR(INDEX('Datos - Catálogo TIMSS'!$I$5:$I$107,MATCH(L879,'Datos - Catálogo TIMSS'!$A$5:$A$107,0)),"No")="Sí"),1,0)</f>
        <v>0</v>
      </c>
      <c r="Y879" s="36" cm="1">
        <f t="array" ref="Y879">IF(_xlfn.IFERROR(INDEX('Datos - Catálogo TIMSS'!$J$5:$J$107,MATCH(K879,'Datos - Catálogo TIMSS'!$A$5:$A$107,0)),"No")="Sí",1,0)</f>
        <v>0</v>
      </c>
      <c r="Z879" s="36" cm="1">
        <f t="array" ref="Z879">IF(_xlfn.IFERROR(INDEX('Datos - Catálogo TIMSS'!$J$5:$J$107,MATCH(L879,'Datos - Catálogo TIMSS'!$A$5:$A$107,0)),"No")="Sí",1,0)</f>
        <v>0</v>
      </c>
      <c r="AA879" t="s" s="35">
        <v>1360</v>
      </c>
      <c r="AB879" s="39"/>
      <c r="AC879" t="str" s="39">
        <v>Ondas y física atómica/nuclear</v>
      </c>
      <c r="AD879" t="s" s="35">
        <v>1859</v>
      </c>
      <c r="AE879" t="str" s="39" cm="1">
        <f t="array" ref="AE879">IF(AD879="","",IF(LEFT(AD879,1)="1","C1",IF(LEFT(AD879,1)="2","C2",IF(LEFT(AD879,1)="3","C3",""))))</f>
        <v>C1</v>
      </c>
      <c r="AF879" t="s" s="35">
        <v>1602</v>
      </c>
      <c r="AG879" t="s" s="35">
        <v>1612</v>
      </c>
      <c r="AH879" t="s" s="35">
        <v>1605</v>
      </c>
      <c r="AI879" t="s" s="35">
        <v>1623</v>
      </c>
      <c r="AJ879" t="s" s="35">
        <v>1607</v>
      </c>
      <c r="AK879" s="39"/>
      <c r="AL879" s="39"/>
      <c r="AM879" s="39"/>
      <c r="AN879" s="39"/>
      <c r="AO879" s="39"/>
      <c r="AP879" s="39"/>
      <c r="AQ879" s="39"/>
      <c r="AR879" s="39"/>
      <c r="AS879" s="39"/>
      <c r="AT879" s="39"/>
      <c r="AU879" s="39"/>
      <c r="AV879" s="39"/>
      <c r="AW879" t="str" s="39" cm="1">
        <f t="array" ref="AW879">AF879&amp;"; "&amp;AG879&amp;"; "&amp;AH879&amp;"; "&amp;AI879&amp;"; "&amp;AJ879</f>
        <v>E1; E5; E2; D4; E3</v>
      </c>
    </row>
    <row r="880" ht="13.65" customHeight="1">
      <c r="A880" t="s" s="35">
        <v>6110</v>
      </c>
      <c r="B880" s="36">
        <v>11</v>
      </c>
      <c r="C880" t="s" s="35">
        <v>222</v>
      </c>
      <c r="D880" t="s" s="35">
        <v>4800</v>
      </c>
      <c r="E880" t="s" s="35">
        <v>5427</v>
      </c>
      <c r="F880" s="36">
        <v>135</v>
      </c>
      <c r="G880" t="s" s="35">
        <v>6091</v>
      </c>
      <c r="H880" t="s" s="35">
        <v>6106</v>
      </c>
      <c r="I880" t="s" s="120">
        <v>6111</v>
      </c>
      <c r="J880" t="s" s="35">
        <v>1301</v>
      </c>
      <c r="K880" t="s" s="35">
        <v>1363</v>
      </c>
      <c r="L880" s="39"/>
      <c r="M880" t="str" s="39">
        <v>Ondas y física atómica/nuclear</v>
      </c>
      <c r="N880" t="str" s="39">
        <v>Fenómenos ondulatorios</v>
      </c>
      <c r="O880" t="str" s="39" cm="1">
        <f t="array" ref="O880">IF(L880="","",_xlfn.IFERROR(INDEX('Datos - Catálogo TIMSS'!$C$5:$C$107,MATCH(L880,'Datos - Catálogo TIMSS'!$A$5:$A$107,0)),"?"))</f>
      </c>
      <c r="P880" t="s" s="35">
        <v>291</v>
      </c>
      <c r="Q880" t="s" s="120">
        <v>6112</v>
      </c>
      <c r="R880" t="s" s="120">
        <v>6113</v>
      </c>
      <c r="S880" s="121" cm="1">
        <f t="array" ref="S880">_xlfn.IFERROR(ISNUMBER(SEARCH("Conocer",$R880))/(ISNUMBER(SEARCH("Conocer",$R880))+ISNUMBER(SEARCH("Aplicar",$R880))+ISNUMBER(SEARCH("Razonar",$R880))),0)</f>
        <v>0</v>
      </c>
      <c r="T880" s="121" cm="1">
        <f t="array" ref="T880">_xlfn.IFERROR(ISNUMBER(SEARCH("Aplicar",$R880))/(ISNUMBER(SEARCH("Conocer",$R880))+ISNUMBER(SEARCH("Aplicar",$R880))+ISNUMBER(SEARCH("Razonar",$R880))),0)</f>
        <v>0.5</v>
      </c>
      <c r="U880" s="121" cm="1">
        <f t="array" ref="U880">_xlfn.IFERROR(ISNUMBER(SEARCH("Razonar",$R880))/(ISNUMBER(SEARCH("Conocer",$R880))+ISNUMBER(SEARCH("Aplicar",$R880))+ISNUMBER(SEARCH("Razonar",$R880))),0)</f>
        <v>0.5</v>
      </c>
      <c r="V880" t="s" s="35">
        <v>91</v>
      </c>
      <c r="W880" t="s" s="35">
        <v>119</v>
      </c>
      <c r="X880" s="36" cm="1">
        <f t="array" ref="X880">IF(OR(_xlfn.IFERROR(INDEX('Datos - Catálogo TIMSS'!$I$5:$I$107,MATCH(K880,'Datos - Catálogo TIMSS'!$A$5:$A$107,0)),"No")="Sí",_xlfn.IFERROR(INDEX('Datos - Catálogo TIMSS'!$I$5:$I$107,MATCH(L880,'Datos - Catálogo TIMSS'!$A$5:$A$107,0)),"No")="Sí"),1,0)</f>
        <v>0</v>
      </c>
      <c r="Y880" s="36" cm="1">
        <f t="array" ref="Y880">IF(_xlfn.IFERROR(INDEX('Datos - Catálogo TIMSS'!$J$5:$J$107,MATCH(K880,'Datos - Catálogo TIMSS'!$A$5:$A$107,0)),"No")="Sí",1,0)</f>
        <v>0</v>
      </c>
      <c r="Z880" s="36" cm="1">
        <f t="array" ref="Z880">IF(_xlfn.IFERROR(INDEX('Datos - Catálogo TIMSS'!$J$5:$J$107,MATCH(L880,'Datos - Catálogo TIMSS'!$A$5:$A$107,0)),"No")="Sí",1,0)</f>
        <v>0</v>
      </c>
      <c r="AA880" t="s" s="35">
        <v>1363</v>
      </c>
      <c r="AB880" s="39"/>
      <c r="AC880" t="str" s="39">
        <v>Ondas y física atómica/nuclear</v>
      </c>
      <c r="AD880" t="s" s="35">
        <v>1900</v>
      </c>
      <c r="AE880" t="str" s="39" cm="1">
        <f t="array" ref="AE880">IF(AD880="","",IF(LEFT(AD880,1)="1","C1",IF(LEFT(AD880,1)="2","C2",IF(LEFT(AD880,1)="3","C3",""))))</f>
        <v>C3</v>
      </c>
      <c r="AF880" t="s" s="35">
        <v>1615</v>
      </c>
      <c r="AG880" t="s" s="35">
        <v>1607</v>
      </c>
      <c r="AH880" t="s" s="35">
        <v>1605</v>
      </c>
      <c r="AI880" t="s" s="35">
        <v>1625</v>
      </c>
      <c r="AJ880" t="s" s="35">
        <v>1633</v>
      </c>
      <c r="AK880" s="39"/>
      <c r="AL880" s="39"/>
      <c r="AM880" s="39"/>
      <c r="AN880" s="39"/>
      <c r="AO880" s="39"/>
      <c r="AP880" s="39"/>
      <c r="AQ880" s="39"/>
      <c r="AR880" s="39"/>
      <c r="AS880" s="39"/>
      <c r="AT880" s="39"/>
      <c r="AU880" s="39"/>
      <c r="AV880" s="39"/>
      <c r="AW880" t="str" s="39" cm="1">
        <f t="array" ref="AW880">AF880&amp;"; "&amp;AG880&amp;"; "&amp;AH880&amp;"; "&amp;AI880&amp;"; "&amp;AJ880</f>
        <v>E6; E3; E2; I1; I5</v>
      </c>
    </row>
    <row r="881" ht="13.65" customHeight="1">
      <c r="A881" t="s" s="35">
        <v>6115</v>
      </c>
      <c r="B881" s="36">
        <v>11</v>
      </c>
      <c r="C881" t="s" s="35">
        <v>222</v>
      </c>
      <c r="D881" t="s" s="35">
        <v>4800</v>
      </c>
      <c r="E881" t="s" s="35">
        <v>5427</v>
      </c>
      <c r="F881" s="36">
        <v>136</v>
      </c>
      <c r="G881" t="s" s="35">
        <v>6091</v>
      </c>
      <c r="H881" t="s" s="35">
        <v>6106</v>
      </c>
      <c r="I881" t="s" s="120">
        <v>6116</v>
      </c>
      <c r="J881" t="s" s="35">
        <v>1301</v>
      </c>
      <c r="K881" t="s" s="35">
        <v>1832</v>
      </c>
      <c r="L881" s="39"/>
      <c r="M881" t="str" s="39">
        <v>Fuera del marco</v>
      </c>
      <c r="N881" t="str" s="39">
        <v>Fuera del marco</v>
      </c>
      <c r="O881" t="str" s="39" cm="1">
        <f t="array" ref="O881">IF(L881="","",_xlfn.IFERROR(INDEX('Datos - Catálogo TIMSS'!$C$5:$C$107,MATCH(L881,'Datos - Catálogo TIMSS'!$A$5:$A$107,0)),"?"))</f>
      </c>
      <c r="P881" t="s" s="35">
        <v>282</v>
      </c>
      <c r="Q881" t="s" s="120">
        <v>6117</v>
      </c>
      <c r="R881" t="s" s="120">
        <v>6118</v>
      </c>
      <c r="S881" s="121" cm="1">
        <f t="array" ref="S881">_xlfn.IFERROR(ISNUMBER(SEARCH("Conocer",$R881))/(ISNUMBER(SEARCH("Conocer",$R881))+ISNUMBER(SEARCH("Aplicar",$R881))+ISNUMBER(SEARCH("Razonar",$R881))),0)</f>
        <v>0.5</v>
      </c>
      <c r="T881" s="121" cm="1">
        <f t="array" ref="T881">_xlfn.IFERROR(ISNUMBER(SEARCH("Aplicar",$R881))/(ISNUMBER(SEARCH("Conocer",$R881))+ISNUMBER(SEARCH("Aplicar",$R881))+ISNUMBER(SEARCH("Razonar",$R881))),0)</f>
        <v>0.5</v>
      </c>
      <c r="U881" s="121" cm="1">
        <f t="array" ref="U881">_xlfn.IFERROR(ISNUMBER(SEARCH("Razonar",$R881))/(ISNUMBER(SEARCH("Conocer",$R881))+ISNUMBER(SEARCH("Aplicar",$R881))+ISNUMBER(SEARCH("Razonar",$R881))),0)</f>
        <v>0</v>
      </c>
      <c r="V881" t="s" s="35">
        <v>91</v>
      </c>
      <c r="W881" t="s" s="35">
        <v>119</v>
      </c>
      <c r="X881" s="36" cm="1">
        <f t="array" ref="X881">IF(OR(_xlfn.IFERROR(INDEX('Datos - Catálogo TIMSS'!$I$5:$I$107,MATCH(K881,'Datos - Catálogo TIMSS'!$A$5:$A$107,0)),"No")="Sí",_xlfn.IFERROR(INDEX('Datos - Catálogo TIMSS'!$I$5:$I$107,MATCH(L881,'Datos - Catálogo TIMSS'!$A$5:$A$107,0)),"No")="Sí"),1,0)</f>
        <v>0</v>
      </c>
      <c r="Y881" s="36" cm="1">
        <f t="array" ref="Y881">IF(_xlfn.IFERROR(INDEX('Datos - Catálogo TIMSS'!$J$5:$J$107,MATCH(K881,'Datos - Catálogo TIMSS'!$A$5:$A$107,0)),"No")="Sí",1,0)</f>
        <v>0</v>
      </c>
      <c r="Z881" s="36" cm="1">
        <f t="array" ref="Z881">IF(_xlfn.IFERROR(INDEX('Datos - Catálogo TIMSS'!$J$5:$J$107,MATCH(L881,'Datos - Catálogo TIMSS'!$A$5:$A$107,0)),"No")="Sí",1,0)</f>
        <v>0</v>
      </c>
      <c r="AA881" t="s" s="35">
        <v>1832</v>
      </c>
      <c r="AB881" s="39"/>
      <c r="AC881" t="str" s="39">
        <v>Fuera del marco</v>
      </c>
      <c r="AD881" t="s" s="35">
        <v>1859</v>
      </c>
      <c r="AE881" t="str" s="39" cm="1">
        <f t="array" ref="AE881">IF(AD881="","",IF(LEFT(AD881,1)="1","C1",IF(LEFT(AD881,1)="2","C2",IF(LEFT(AD881,1)="3","C3",""))))</f>
        <v>C1</v>
      </c>
      <c r="AF881" t="s" s="35">
        <v>1602</v>
      </c>
      <c r="AG881" t="s" s="35">
        <v>1617</v>
      </c>
      <c r="AH881" t="s" s="35">
        <v>1609</v>
      </c>
      <c r="AI881" t="s" s="35">
        <v>1625</v>
      </c>
      <c r="AJ881" t="s" s="35">
        <v>1615</v>
      </c>
      <c r="AK881" s="39"/>
      <c r="AL881" s="39"/>
      <c r="AM881" s="39"/>
      <c r="AN881" s="39"/>
      <c r="AO881" s="39"/>
      <c r="AP881" s="39"/>
      <c r="AQ881" s="39"/>
      <c r="AR881" s="39"/>
      <c r="AS881" s="39"/>
      <c r="AT881" s="39"/>
      <c r="AU881" s="39"/>
      <c r="AV881" s="39"/>
      <c r="AW881" t="str" s="39" cm="1">
        <f t="array" ref="AW881">AF881&amp;"; "&amp;AG881&amp;"; "&amp;AH881&amp;"; "&amp;AI881&amp;"; "&amp;AJ881</f>
        <v>E1; D1; E4; I1; E6</v>
      </c>
    </row>
    <row r="882" ht="13.65" customHeight="1">
      <c r="A882" t="s" s="35">
        <v>6120</v>
      </c>
      <c r="B882" s="36">
        <v>11</v>
      </c>
      <c r="C882" t="s" s="35">
        <v>222</v>
      </c>
      <c r="D882" t="s" s="35">
        <v>4800</v>
      </c>
      <c r="E882" t="s" s="35">
        <v>5427</v>
      </c>
      <c r="F882" s="36">
        <v>137</v>
      </c>
      <c r="G882" t="s" s="35">
        <v>6091</v>
      </c>
      <c r="H882" t="s" s="35">
        <v>6121</v>
      </c>
      <c r="I882" t="s" s="120">
        <v>6122</v>
      </c>
      <c r="J882" t="s" s="35">
        <v>1301</v>
      </c>
      <c r="K882" t="s" s="35">
        <v>1832</v>
      </c>
      <c r="L882" s="39"/>
      <c r="M882" t="str" s="39">
        <v>Fuera del marco</v>
      </c>
      <c r="N882" t="str" s="39">
        <v>Fuera del marco</v>
      </c>
      <c r="O882" t="str" s="39" cm="1">
        <f t="array" ref="O882">IF(L882="","",_xlfn.IFERROR(INDEX('Datos - Catálogo TIMSS'!$C$5:$C$107,MATCH(L882,'Datos - Catálogo TIMSS'!$A$5:$A$107,0)),"?"))</f>
      </c>
      <c r="P882" t="s" s="35">
        <v>282</v>
      </c>
      <c r="Q882" t="s" s="120">
        <v>6123</v>
      </c>
      <c r="R882" t="s" s="120">
        <v>6124</v>
      </c>
      <c r="S882" s="121" cm="1">
        <f t="array" ref="S882">_xlfn.IFERROR(ISNUMBER(SEARCH("Conocer",$R882))/(ISNUMBER(SEARCH("Conocer",$R882))+ISNUMBER(SEARCH("Aplicar",$R882))+ISNUMBER(SEARCH("Razonar",$R882))),0)</f>
        <v>0</v>
      </c>
      <c r="T882" s="121" cm="1">
        <f t="array" ref="T882">_xlfn.IFERROR(ISNUMBER(SEARCH("Aplicar",$R882))/(ISNUMBER(SEARCH("Conocer",$R882))+ISNUMBER(SEARCH("Aplicar",$R882))+ISNUMBER(SEARCH("Razonar",$R882))),0)</f>
        <v>0.5</v>
      </c>
      <c r="U882" s="121" cm="1">
        <f t="array" ref="U882">_xlfn.IFERROR(ISNUMBER(SEARCH("Razonar",$R882))/(ISNUMBER(SEARCH("Conocer",$R882))+ISNUMBER(SEARCH("Aplicar",$R882))+ISNUMBER(SEARCH("Razonar",$R882))),0)</f>
        <v>0.5</v>
      </c>
      <c r="V882" t="s" s="35">
        <v>91</v>
      </c>
      <c r="W882" t="s" s="35">
        <v>119</v>
      </c>
      <c r="X882" s="36" cm="1">
        <f t="array" ref="X882">IF(OR(_xlfn.IFERROR(INDEX('Datos - Catálogo TIMSS'!$I$5:$I$107,MATCH(K882,'Datos - Catálogo TIMSS'!$A$5:$A$107,0)),"No")="Sí",_xlfn.IFERROR(INDEX('Datos - Catálogo TIMSS'!$I$5:$I$107,MATCH(L882,'Datos - Catálogo TIMSS'!$A$5:$A$107,0)),"No")="Sí"),1,0)</f>
        <v>0</v>
      </c>
      <c r="Y882" s="36" cm="1">
        <f t="array" ref="Y882">IF(_xlfn.IFERROR(INDEX('Datos - Catálogo TIMSS'!$J$5:$J$107,MATCH(K882,'Datos - Catálogo TIMSS'!$A$5:$A$107,0)),"No")="Sí",1,0)</f>
        <v>0</v>
      </c>
      <c r="Z882" s="36" cm="1">
        <f t="array" ref="Z882">IF(_xlfn.IFERROR(INDEX('Datos - Catálogo TIMSS'!$J$5:$J$107,MATCH(L882,'Datos - Catálogo TIMSS'!$A$5:$A$107,0)),"No")="Sí",1,0)</f>
        <v>0</v>
      </c>
      <c r="AA882" t="s" s="35">
        <v>1832</v>
      </c>
      <c r="AB882" s="39"/>
      <c r="AC882" t="str" s="39">
        <v>Fuera del marco</v>
      </c>
      <c r="AD882" t="s" s="35">
        <v>1834</v>
      </c>
      <c r="AE882" t="str" s="39" cm="1">
        <f t="array" ref="AE882">IF(AD882="","",IF(LEFT(AD882,1)="1","C1",IF(LEFT(AD882,1)="2","C2",IF(LEFT(AD882,1)="3","C3",""))))</f>
        <v>C2</v>
      </c>
      <c r="AF882" t="s" s="35">
        <v>1602</v>
      </c>
      <c r="AG882" t="s" s="35">
        <v>1617</v>
      </c>
      <c r="AH882" t="s" s="35">
        <v>1605</v>
      </c>
      <c r="AI882" t="s" s="35">
        <v>1623</v>
      </c>
      <c r="AJ882" t="s" s="35">
        <v>1621</v>
      </c>
      <c r="AK882" s="39"/>
      <c r="AL882" s="39"/>
      <c r="AM882" s="39"/>
      <c r="AN882" s="39"/>
      <c r="AO882" s="39"/>
      <c r="AP882" s="39"/>
      <c r="AQ882" s="39"/>
      <c r="AR882" s="39"/>
      <c r="AS882" s="39"/>
      <c r="AT882" s="39"/>
      <c r="AU882" s="39"/>
      <c r="AV882" s="39"/>
      <c r="AW882" t="str" s="39" cm="1">
        <f t="array" ref="AW882">AF882&amp;"; "&amp;AG882&amp;"; "&amp;AH882&amp;"; "&amp;AI882&amp;"; "&amp;AJ882</f>
        <v>E1; D1; E2; D4; D3</v>
      </c>
    </row>
    <row r="883" ht="13.65" customHeight="1">
      <c r="A883" t="s" s="35">
        <v>6125</v>
      </c>
      <c r="B883" s="36">
        <v>11</v>
      </c>
      <c r="C883" t="s" s="35">
        <v>222</v>
      </c>
      <c r="D883" t="s" s="35">
        <v>4800</v>
      </c>
      <c r="E883" t="s" s="35">
        <v>5427</v>
      </c>
      <c r="F883" s="36">
        <v>138</v>
      </c>
      <c r="G883" t="s" s="35">
        <v>6091</v>
      </c>
      <c r="H883" t="s" s="35">
        <v>6121</v>
      </c>
      <c r="I883" t="s" s="120">
        <v>6126</v>
      </c>
      <c r="J883" t="s" s="35">
        <v>1301</v>
      </c>
      <c r="K883" t="s" s="35">
        <v>1832</v>
      </c>
      <c r="L883" s="39"/>
      <c r="M883" t="str" s="39">
        <v>Fuera del marco</v>
      </c>
      <c r="N883" t="str" s="39">
        <v>Fuera del marco</v>
      </c>
      <c r="O883" t="str" s="39" cm="1">
        <f t="array" ref="O883">IF(L883="","",_xlfn.IFERROR(INDEX('Datos - Catálogo TIMSS'!$C$5:$C$107,MATCH(L883,'Datos - Catálogo TIMSS'!$A$5:$A$107,0)),"?"))</f>
      </c>
      <c r="P883" t="s" s="35">
        <v>291</v>
      </c>
      <c r="Q883" t="s" s="120">
        <v>6127</v>
      </c>
      <c r="R883" t="s" s="120">
        <v>6128</v>
      </c>
      <c r="S883" s="121" cm="1">
        <f t="array" ref="S883">_xlfn.IFERROR(ISNUMBER(SEARCH("Conocer",$R883))/(ISNUMBER(SEARCH("Conocer",$R883))+ISNUMBER(SEARCH("Aplicar",$R883))+ISNUMBER(SEARCH("Razonar",$R883))),0)</f>
        <v>0</v>
      </c>
      <c r="T883" s="121" cm="1">
        <f t="array" ref="T883">_xlfn.IFERROR(ISNUMBER(SEARCH("Aplicar",$R883))/(ISNUMBER(SEARCH("Conocer",$R883))+ISNUMBER(SEARCH("Aplicar",$R883))+ISNUMBER(SEARCH("Razonar",$R883))),0)</f>
        <v>0.5</v>
      </c>
      <c r="U883" s="121" cm="1">
        <f t="array" ref="U883">_xlfn.IFERROR(ISNUMBER(SEARCH("Razonar",$R883))/(ISNUMBER(SEARCH("Conocer",$R883))+ISNUMBER(SEARCH("Aplicar",$R883))+ISNUMBER(SEARCH("Razonar",$R883))),0)</f>
        <v>0.5</v>
      </c>
      <c r="V883" t="s" s="35">
        <v>91</v>
      </c>
      <c r="W883" t="s" s="35">
        <v>119</v>
      </c>
      <c r="X883" s="36" cm="1">
        <f t="array" ref="X883">IF(OR(_xlfn.IFERROR(INDEX('Datos - Catálogo TIMSS'!$I$5:$I$107,MATCH(K883,'Datos - Catálogo TIMSS'!$A$5:$A$107,0)),"No")="Sí",_xlfn.IFERROR(INDEX('Datos - Catálogo TIMSS'!$I$5:$I$107,MATCH(L883,'Datos - Catálogo TIMSS'!$A$5:$A$107,0)),"No")="Sí"),1,0)</f>
        <v>0</v>
      </c>
      <c r="Y883" s="36" cm="1">
        <f t="array" ref="Y883">IF(_xlfn.IFERROR(INDEX('Datos - Catálogo TIMSS'!$J$5:$J$107,MATCH(K883,'Datos - Catálogo TIMSS'!$A$5:$A$107,0)),"No")="Sí",1,0)</f>
        <v>0</v>
      </c>
      <c r="Z883" s="36" cm="1">
        <f t="array" ref="Z883">IF(_xlfn.IFERROR(INDEX('Datos - Catálogo TIMSS'!$J$5:$J$107,MATCH(L883,'Datos - Catálogo TIMSS'!$A$5:$A$107,0)),"No")="Sí",1,0)</f>
        <v>0</v>
      </c>
      <c r="AA883" t="s" s="35">
        <v>1832</v>
      </c>
      <c r="AB883" s="39"/>
      <c r="AC883" t="str" s="39">
        <v>Fuera del marco</v>
      </c>
      <c r="AD883" t="s" s="35">
        <v>1900</v>
      </c>
      <c r="AE883" t="str" s="39" cm="1">
        <f t="array" ref="AE883">IF(AD883="","",IF(LEFT(AD883,1)="1","C1",IF(LEFT(AD883,1)="2","C2",IF(LEFT(AD883,1)="3","C3",""))))</f>
        <v>C3</v>
      </c>
      <c r="AF883" t="s" s="35">
        <v>1615</v>
      </c>
      <c r="AG883" t="s" s="35">
        <v>1612</v>
      </c>
      <c r="AH883" t="s" s="35">
        <v>1602</v>
      </c>
      <c r="AI883" t="s" s="35">
        <v>1629</v>
      </c>
      <c r="AJ883" t="s" s="35">
        <v>1627</v>
      </c>
      <c r="AK883" s="39"/>
      <c r="AL883" s="39"/>
      <c r="AM883" s="39"/>
      <c r="AN883" s="39"/>
      <c r="AO883" s="39"/>
      <c r="AP883" s="39"/>
      <c r="AQ883" s="39"/>
      <c r="AR883" s="39"/>
      <c r="AS883" s="39"/>
      <c r="AT883" s="39"/>
      <c r="AU883" s="39"/>
      <c r="AV883" s="39"/>
      <c r="AW883" t="str" s="39" cm="1">
        <f t="array" ref="AW883">AF883&amp;"; "&amp;AG883&amp;"; "&amp;AH883&amp;"; "&amp;AI883&amp;"; "&amp;AJ883</f>
        <v>E6; E5; E1; I3; I2</v>
      </c>
    </row>
    <row r="884" ht="13.65" customHeight="1">
      <c r="A884" t="s" s="35">
        <v>6130</v>
      </c>
      <c r="B884" s="36">
        <v>11</v>
      </c>
      <c r="C884" t="s" s="35">
        <v>222</v>
      </c>
      <c r="D884" t="s" s="35">
        <v>4800</v>
      </c>
      <c r="E884" t="s" s="35">
        <v>5427</v>
      </c>
      <c r="F884" s="36">
        <v>139</v>
      </c>
      <c r="G884" t="s" s="35">
        <v>6091</v>
      </c>
      <c r="H884" t="s" s="35">
        <v>6121</v>
      </c>
      <c r="I884" t="s" s="120">
        <v>6131</v>
      </c>
      <c r="J884" t="s" s="35">
        <v>1301</v>
      </c>
      <c r="K884" t="s" s="35">
        <v>1832</v>
      </c>
      <c r="L884" s="39"/>
      <c r="M884" t="str" s="39">
        <v>Fuera del marco</v>
      </c>
      <c r="N884" t="str" s="39">
        <v>Fuera del marco</v>
      </c>
      <c r="O884" t="str" s="39" cm="1">
        <f t="array" ref="O884">IF(L884="","",_xlfn.IFERROR(INDEX('Datos - Catálogo TIMSS'!$C$5:$C$107,MATCH(L884,'Datos - Catálogo TIMSS'!$A$5:$A$107,0)),"?"))</f>
      </c>
      <c r="P884" t="s" s="35">
        <v>254</v>
      </c>
      <c r="Q884" t="s" s="120">
        <v>6132</v>
      </c>
      <c r="R884" t="s" s="120">
        <v>6133</v>
      </c>
      <c r="S884" s="121" cm="1">
        <f t="array" ref="S884">_xlfn.IFERROR(ISNUMBER(SEARCH("Conocer",$R884))/(ISNUMBER(SEARCH("Conocer",$R884))+ISNUMBER(SEARCH("Aplicar",$R884))+ISNUMBER(SEARCH("Razonar",$R884))),0)</f>
        <v>0</v>
      </c>
      <c r="T884" s="121" cm="1">
        <f t="array" ref="T884">_xlfn.IFERROR(ISNUMBER(SEARCH("Aplicar",$R884))/(ISNUMBER(SEARCH("Conocer",$R884))+ISNUMBER(SEARCH("Aplicar",$R884))+ISNUMBER(SEARCH("Razonar",$R884))),0)</f>
        <v>0</v>
      </c>
      <c r="U884" s="121" cm="1">
        <f t="array" ref="U884">_xlfn.IFERROR(ISNUMBER(SEARCH("Razonar",$R884))/(ISNUMBER(SEARCH("Conocer",$R884))+ISNUMBER(SEARCH("Aplicar",$R884))+ISNUMBER(SEARCH("Razonar",$R884))),0)</f>
        <v>1</v>
      </c>
      <c r="V884" t="s" s="35">
        <v>91</v>
      </c>
      <c r="W884" t="s" s="35">
        <v>119</v>
      </c>
      <c r="X884" s="36" cm="1">
        <f t="array" ref="X884">IF(OR(_xlfn.IFERROR(INDEX('Datos - Catálogo TIMSS'!$I$5:$I$107,MATCH(K884,'Datos - Catálogo TIMSS'!$A$5:$A$107,0)),"No")="Sí",_xlfn.IFERROR(INDEX('Datos - Catálogo TIMSS'!$I$5:$I$107,MATCH(L884,'Datos - Catálogo TIMSS'!$A$5:$A$107,0)),"No")="Sí"),1,0)</f>
        <v>0</v>
      </c>
      <c r="Y884" s="36" cm="1">
        <f t="array" ref="Y884">IF(_xlfn.IFERROR(INDEX('Datos - Catálogo TIMSS'!$J$5:$J$107,MATCH(K884,'Datos - Catálogo TIMSS'!$A$5:$A$107,0)),"No")="Sí",1,0)</f>
        <v>0</v>
      </c>
      <c r="Z884" s="36" cm="1">
        <f t="array" ref="Z884">IF(_xlfn.IFERROR(INDEX('Datos - Catálogo TIMSS'!$J$5:$J$107,MATCH(L884,'Datos - Catálogo TIMSS'!$A$5:$A$107,0)),"No")="Sí",1,0)</f>
        <v>0</v>
      </c>
      <c r="AA884" t="s" s="35">
        <v>1832</v>
      </c>
      <c r="AB884" s="39"/>
      <c r="AC884" t="str" s="39">
        <v>Fuera del marco</v>
      </c>
      <c r="AD884" t="s" s="35">
        <v>1900</v>
      </c>
      <c r="AE884" t="str" s="39" cm="1">
        <f t="array" ref="AE884">IF(AD884="","",IF(LEFT(AD884,1)="1","C1",IF(LEFT(AD884,1)="2","C2",IF(LEFT(AD884,1)="3","C3",""))))</f>
        <v>C3</v>
      </c>
      <c r="AF884" t="s" s="35">
        <v>1615</v>
      </c>
      <c r="AG884" t="s" s="35">
        <v>1607</v>
      </c>
      <c r="AH884" t="s" s="35">
        <v>1609</v>
      </c>
      <c r="AI884" t="s" s="35">
        <v>1629</v>
      </c>
      <c r="AJ884" t="s" s="35">
        <v>1631</v>
      </c>
      <c r="AK884" s="39"/>
      <c r="AL884" s="39"/>
      <c r="AM884" s="39"/>
      <c r="AN884" s="39"/>
      <c r="AO884" s="39"/>
      <c r="AP884" s="39"/>
      <c r="AQ884" s="39"/>
      <c r="AR884" s="39"/>
      <c r="AS884" s="39"/>
      <c r="AT884" s="39"/>
      <c r="AU884" s="39"/>
      <c r="AV884" s="39"/>
      <c r="AW884" t="str" s="39" cm="1">
        <f t="array" ref="AW884">AF884&amp;"; "&amp;AG884&amp;"; "&amp;AH884&amp;"; "&amp;AI884&amp;"; "&amp;AJ884</f>
        <v>E6; E3; E4; I3; I4</v>
      </c>
    </row>
    <row r="885" ht="13.65" customHeight="1">
      <c r="A885" t="s" s="35">
        <v>6135</v>
      </c>
      <c r="B885" s="36">
        <v>11</v>
      </c>
      <c r="C885" t="s" s="35">
        <v>222</v>
      </c>
      <c r="D885" t="s" s="35">
        <v>4800</v>
      </c>
      <c r="E885" t="s" s="35">
        <v>5427</v>
      </c>
      <c r="F885" s="36">
        <v>140</v>
      </c>
      <c r="G885" t="s" s="35">
        <v>6136</v>
      </c>
      <c r="H885" t="s" s="35">
        <v>6137</v>
      </c>
      <c r="I885" t="s" s="120">
        <v>6138</v>
      </c>
      <c r="J885" t="s" s="35">
        <v>1301</v>
      </c>
      <c r="K885" t="s" s="35">
        <v>1832</v>
      </c>
      <c r="L885" s="39"/>
      <c r="M885" t="str" s="39">
        <v>Fuera del marco</v>
      </c>
      <c r="N885" t="str" s="39">
        <v>Fuera del marco</v>
      </c>
      <c r="O885" t="str" s="39" cm="1">
        <f t="array" ref="O885">IF(L885="","",_xlfn.IFERROR(INDEX('Datos - Catálogo TIMSS'!$C$5:$C$107,MATCH(L885,'Datos - Catálogo TIMSS'!$A$5:$A$107,0)),"?"))</f>
      </c>
      <c r="P885" t="s" s="35">
        <v>254</v>
      </c>
      <c r="Q885" t="s" s="120">
        <v>6139</v>
      </c>
      <c r="R885" t="s" s="120">
        <v>6140</v>
      </c>
      <c r="S885" s="121" cm="1">
        <f t="array" ref="S885">_xlfn.IFERROR(ISNUMBER(SEARCH("Conocer",$R885))/(ISNUMBER(SEARCH("Conocer",$R885))+ISNUMBER(SEARCH("Aplicar",$R885))+ISNUMBER(SEARCH("Razonar",$R885))),0)</f>
        <v>0</v>
      </c>
      <c r="T885" s="121" cm="1">
        <f t="array" ref="T885">_xlfn.IFERROR(ISNUMBER(SEARCH("Aplicar",$R885))/(ISNUMBER(SEARCH("Conocer",$R885))+ISNUMBER(SEARCH("Aplicar",$R885))+ISNUMBER(SEARCH("Razonar",$R885))),0)</f>
        <v>0.5</v>
      </c>
      <c r="U885" s="121" cm="1">
        <f t="array" ref="U885">_xlfn.IFERROR(ISNUMBER(SEARCH("Razonar",$R885))/(ISNUMBER(SEARCH("Conocer",$R885))+ISNUMBER(SEARCH("Aplicar",$R885))+ISNUMBER(SEARCH("Razonar",$R885))),0)</f>
        <v>0.5</v>
      </c>
      <c r="V885" t="s" s="35">
        <v>91</v>
      </c>
      <c r="W885" t="s" s="35">
        <v>119</v>
      </c>
      <c r="X885" s="36" cm="1">
        <f t="array" ref="X885">IF(OR(_xlfn.IFERROR(INDEX('Datos - Catálogo TIMSS'!$I$5:$I$107,MATCH(K885,'Datos - Catálogo TIMSS'!$A$5:$A$107,0)),"No")="Sí",_xlfn.IFERROR(INDEX('Datos - Catálogo TIMSS'!$I$5:$I$107,MATCH(L885,'Datos - Catálogo TIMSS'!$A$5:$A$107,0)),"No")="Sí"),1,0)</f>
        <v>0</v>
      </c>
      <c r="Y885" s="36" cm="1">
        <f t="array" ref="Y885">IF(_xlfn.IFERROR(INDEX('Datos - Catálogo TIMSS'!$J$5:$J$107,MATCH(K885,'Datos - Catálogo TIMSS'!$A$5:$A$107,0)),"No")="Sí",1,0)</f>
        <v>0</v>
      </c>
      <c r="Z885" s="36" cm="1">
        <f t="array" ref="Z885">IF(_xlfn.IFERROR(INDEX('Datos - Catálogo TIMSS'!$J$5:$J$107,MATCH(L885,'Datos - Catálogo TIMSS'!$A$5:$A$107,0)),"No")="Sí",1,0)</f>
        <v>0</v>
      </c>
      <c r="AA885" t="s" s="35">
        <v>1832</v>
      </c>
      <c r="AB885" s="39"/>
      <c r="AC885" t="str" s="39">
        <v>Fuera del marco</v>
      </c>
      <c r="AD885" t="s" s="35">
        <v>1859</v>
      </c>
      <c r="AE885" t="str" s="39" cm="1">
        <f t="array" ref="AE885">IF(AD885="","",IF(LEFT(AD885,1)="1","C1",IF(LEFT(AD885,1)="2","C2",IF(LEFT(AD885,1)="3","C3",""))))</f>
        <v>C1</v>
      </c>
      <c r="AF885" t="s" s="35">
        <v>1602</v>
      </c>
      <c r="AG885" t="s" s="35">
        <v>1607</v>
      </c>
      <c r="AH885" t="s" s="35">
        <v>1605</v>
      </c>
      <c r="AI885" t="s" s="35">
        <v>1609</v>
      </c>
      <c r="AJ885" t="s" s="35">
        <v>1633</v>
      </c>
      <c r="AK885" s="39"/>
      <c r="AL885" s="39"/>
      <c r="AM885" s="39"/>
      <c r="AN885" s="39"/>
      <c r="AO885" s="39"/>
      <c r="AP885" s="39"/>
      <c r="AQ885" s="39"/>
      <c r="AR885" s="39"/>
      <c r="AS885" s="39"/>
      <c r="AT885" s="39"/>
      <c r="AU885" s="39"/>
      <c r="AV885" s="39"/>
      <c r="AW885" t="str" s="39" cm="1">
        <f t="array" ref="AW885">AF885&amp;"; "&amp;AG885&amp;"; "&amp;AH885&amp;"; "&amp;AI885&amp;"; "&amp;AJ885</f>
        <v>E1; E3; E2; E4; I5</v>
      </c>
    </row>
    <row r="886" ht="13.65" customHeight="1">
      <c r="A886" t="s" s="35">
        <v>6141</v>
      </c>
      <c r="B886" s="36">
        <v>11</v>
      </c>
      <c r="C886" t="s" s="35">
        <v>222</v>
      </c>
      <c r="D886" t="s" s="35">
        <v>4800</v>
      </c>
      <c r="E886" t="s" s="35">
        <v>5427</v>
      </c>
      <c r="F886" s="36">
        <v>141</v>
      </c>
      <c r="G886" t="s" s="35">
        <v>6136</v>
      </c>
      <c r="H886" t="s" s="35">
        <v>6137</v>
      </c>
      <c r="I886" t="s" s="120">
        <v>6142</v>
      </c>
      <c r="J886" t="s" s="35">
        <v>1301</v>
      </c>
      <c r="K886" t="s" s="35">
        <v>1832</v>
      </c>
      <c r="L886" s="39"/>
      <c r="M886" t="str" s="39">
        <v>Fuera del marco</v>
      </c>
      <c r="N886" t="str" s="39">
        <v>Fuera del marco</v>
      </c>
      <c r="O886" t="str" s="39" cm="1">
        <f t="array" ref="O886">IF(L886="","",_xlfn.IFERROR(INDEX('Datos - Catálogo TIMSS'!$C$5:$C$107,MATCH(L886,'Datos - Catálogo TIMSS'!$A$5:$A$107,0)),"?"))</f>
      </c>
      <c r="P886" t="s" s="35">
        <v>254</v>
      </c>
      <c r="Q886" t="s" s="120">
        <v>6143</v>
      </c>
      <c r="R886" t="s" s="120">
        <v>6144</v>
      </c>
      <c r="S886" s="121" cm="1">
        <f t="array" ref="S886">_xlfn.IFERROR(ISNUMBER(SEARCH("Conocer",$R886))/(ISNUMBER(SEARCH("Conocer",$R886))+ISNUMBER(SEARCH("Aplicar",$R886))+ISNUMBER(SEARCH("Razonar",$R886))),0)</f>
        <v>0</v>
      </c>
      <c r="T886" s="121" cm="1">
        <f t="array" ref="T886">_xlfn.IFERROR(ISNUMBER(SEARCH("Aplicar",$R886))/(ISNUMBER(SEARCH("Conocer",$R886))+ISNUMBER(SEARCH("Aplicar",$R886))+ISNUMBER(SEARCH("Razonar",$R886))),0)</f>
        <v>0</v>
      </c>
      <c r="U886" s="121" cm="1">
        <f t="array" ref="U886">_xlfn.IFERROR(ISNUMBER(SEARCH("Razonar",$R886))/(ISNUMBER(SEARCH("Conocer",$R886))+ISNUMBER(SEARCH("Aplicar",$R886))+ISNUMBER(SEARCH("Razonar",$R886))),0)</f>
        <v>1</v>
      </c>
      <c r="V886" t="s" s="35">
        <v>91</v>
      </c>
      <c r="W886" t="s" s="35">
        <v>119</v>
      </c>
      <c r="X886" s="36" cm="1">
        <f t="array" ref="X886">IF(OR(_xlfn.IFERROR(INDEX('Datos - Catálogo TIMSS'!$I$5:$I$107,MATCH(K886,'Datos - Catálogo TIMSS'!$A$5:$A$107,0)),"No")="Sí",_xlfn.IFERROR(INDEX('Datos - Catálogo TIMSS'!$I$5:$I$107,MATCH(L886,'Datos - Catálogo TIMSS'!$A$5:$A$107,0)),"No")="Sí"),1,0)</f>
        <v>0</v>
      </c>
      <c r="Y886" s="36" cm="1">
        <f t="array" ref="Y886">IF(_xlfn.IFERROR(INDEX('Datos - Catálogo TIMSS'!$J$5:$J$107,MATCH(K886,'Datos - Catálogo TIMSS'!$A$5:$A$107,0)),"No")="Sí",1,0)</f>
        <v>0</v>
      </c>
      <c r="Z886" s="36" cm="1">
        <f t="array" ref="Z886">IF(_xlfn.IFERROR(INDEX('Datos - Catálogo TIMSS'!$J$5:$J$107,MATCH(L886,'Datos - Catálogo TIMSS'!$A$5:$A$107,0)),"No")="Sí",1,0)</f>
        <v>0</v>
      </c>
      <c r="AA886" t="s" s="35">
        <v>1832</v>
      </c>
      <c r="AB886" s="39"/>
      <c r="AC886" t="str" s="39">
        <v>Fuera del marco</v>
      </c>
      <c r="AD886" t="s" s="35">
        <v>1859</v>
      </c>
      <c r="AE886" t="str" s="39" cm="1">
        <f t="array" ref="AE886">IF(AD886="","",IF(LEFT(AD886,1)="1","C1",IF(LEFT(AD886,1)="2","C2",IF(LEFT(AD886,1)="3","C3",""))))</f>
        <v>C1</v>
      </c>
      <c r="AF886" t="s" s="35">
        <v>1602</v>
      </c>
      <c r="AG886" t="s" s="35">
        <v>1617</v>
      </c>
      <c r="AH886" t="s" s="35">
        <v>1609</v>
      </c>
      <c r="AI886" t="s" s="35">
        <v>1629</v>
      </c>
      <c r="AJ886" t="s" s="35">
        <v>1607</v>
      </c>
      <c r="AK886" s="39"/>
      <c r="AL886" s="39"/>
      <c r="AM886" s="39"/>
      <c r="AN886" s="39"/>
      <c r="AO886" s="39"/>
      <c r="AP886" s="39"/>
      <c r="AQ886" s="39"/>
      <c r="AR886" s="39"/>
      <c r="AS886" s="39"/>
      <c r="AT886" s="39"/>
      <c r="AU886" s="39"/>
      <c r="AV886" s="39"/>
      <c r="AW886" t="str" s="39" cm="1">
        <f t="array" ref="AW886">AF886&amp;"; "&amp;AG886&amp;"; "&amp;AH886&amp;"; "&amp;AI886&amp;"; "&amp;AJ886</f>
        <v>E1; D1; E4; I3; E3</v>
      </c>
    </row>
    <row r="887" ht="13.65" customHeight="1">
      <c r="A887" t="s" s="35">
        <v>6146</v>
      </c>
      <c r="B887" s="36">
        <v>11</v>
      </c>
      <c r="C887" t="s" s="35">
        <v>222</v>
      </c>
      <c r="D887" t="s" s="35">
        <v>4800</v>
      </c>
      <c r="E887" t="s" s="35">
        <v>5427</v>
      </c>
      <c r="F887" s="36">
        <v>142</v>
      </c>
      <c r="G887" t="s" s="35">
        <v>6136</v>
      </c>
      <c r="H887" t="s" s="35">
        <v>6137</v>
      </c>
      <c r="I887" t="s" s="120">
        <v>6147</v>
      </c>
      <c r="J887" t="s" s="35">
        <v>1301</v>
      </c>
      <c r="K887" t="s" s="35">
        <v>1832</v>
      </c>
      <c r="L887" s="39"/>
      <c r="M887" t="str" s="39">
        <v>Fuera del marco</v>
      </c>
      <c r="N887" t="str" s="39">
        <v>Fuera del marco</v>
      </c>
      <c r="O887" t="str" s="39" cm="1">
        <f t="array" ref="O887">IF(L887="","",_xlfn.IFERROR(INDEX('Datos - Catálogo TIMSS'!$C$5:$C$107,MATCH(L887,'Datos - Catálogo TIMSS'!$A$5:$A$107,0)),"?"))</f>
      </c>
      <c r="P887" t="s" s="35">
        <v>254</v>
      </c>
      <c r="Q887" t="s" s="120">
        <v>6148</v>
      </c>
      <c r="R887" t="s" s="120">
        <v>6149</v>
      </c>
      <c r="S887" s="121" cm="1">
        <f t="array" ref="S887">_xlfn.IFERROR(ISNUMBER(SEARCH("Conocer",$R887))/(ISNUMBER(SEARCH("Conocer",$R887))+ISNUMBER(SEARCH("Aplicar",$R887))+ISNUMBER(SEARCH("Razonar",$R887))),0)</f>
        <v>0</v>
      </c>
      <c r="T887" s="121" cm="1">
        <f t="array" ref="T887">_xlfn.IFERROR(ISNUMBER(SEARCH("Aplicar",$R887))/(ISNUMBER(SEARCH("Conocer",$R887))+ISNUMBER(SEARCH("Aplicar",$R887))+ISNUMBER(SEARCH("Razonar",$R887))),0)</f>
        <v>0.5</v>
      </c>
      <c r="U887" s="121" cm="1">
        <f t="array" ref="U887">_xlfn.IFERROR(ISNUMBER(SEARCH("Razonar",$R887))/(ISNUMBER(SEARCH("Conocer",$R887))+ISNUMBER(SEARCH("Aplicar",$R887))+ISNUMBER(SEARCH("Razonar",$R887))),0)</f>
        <v>0.5</v>
      </c>
      <c r="V887" t="s" s="35">
        <v>91</v>
      </c>
      <c r="W887" t="s" s="35">
        <v>119</v>
      </c>
      <c r="X887" s="36" cm="1">
        <f t="array" ref="X887">IF(OR(_xlfn.IFERROR(INDEX('Datos - Catálogo TIMSS'!$I$5:$I$107,MATCH(K887,'Datos - Catálogo TIMSS'!$A$5:$A$107,0)),"No")="Sí",_xlfn.IFERROR(INDEX('Datos - Catálogo TIMSS'!$I$5:$I$107,MATCH(L887,'Datos - Catálogo TIMSS'!$A$5:$A$107,0)),"No")="Sí"),1,0)</f>
        <v>0</v>
      </c>
      <c r="Y887" s="36" cm="1">
        <f t="array" ref="Y887">IF(_xlfn.IFERROR(INDEX('Datos - Catálogo TIMSS'!$J$5:$J$107,MATCH(K887,'Datos - Catálogo TIMSS'!$A$5:$A$107,0)),"No")="Sí",1,0)</f>
        <v>0</v>
      </c>
      <c r="Z887" s="36" cm="1">
        <f t="array" ref="Z887">IF(_xlfn.IFERROR(INDEX('Datos - Catálogo TIMSS'!$J$5:$J$107,MATCH(L887,'Datos - Catálogo TIMSS'!$A$5:$A$107,0)),"No")="Sí",1,0)</f>
        <v>0</v>
      </c>
      <c r="AA887" t="s" s="35">
        <v>1832</v>
      </c>
      <c r="AB887" s="39"/>
      <c r="AC887" t="str" s="39">
        <v>Fuera del marco</v>
      </c>
      <c r="AD887" t="s" s="35">
        <v>1859</v>
      </c>
      <c r="AE887" t="str" s="39" cm="1">
        <f t="array" ref="AE887">IF(AD887="","",IF(LEFT(AD887,1)="1","C1",IF(LEFT(AD887,1)="2","C2",IF(LEFT(AD887,1)="3","C3",""))))</f>
        <v>C1</v>
      </c>
      <c r="AF887" t="s" s="35">
        <v>1615</v>
      </c>
      <c r="AG887" t="s" s="35">
        <v>1607</v>
      </c>
      <c r="AH887" t="s" s="35">
        <v>1602</v>
      </c>
      <c r="AI887" t="s" s="35">
        <v>1609</v>
      </c>
      <c r="AJ887" t="s" s="35">
        <v>1607</v>
      </c>
      <c r="AK887" s="39"/>
      <c r="AL887" s="39"/>
      <c r="AM887" s="39"/>
      <c r="AN887" s="39"/>
      <c r="AO887" s="39"/>
      <c r="AP887" s="39"/>
      <c r="AQ887" s="39"/>
      <c r="AR887" s="39"/>
      <c r="AS887" s="39"/>
      <c r="AT887" s="39"/>
      <c r="AU887" s="39"/>
      <c r="AV887" s="39"/>
      <c r="AW887" t="str" s="39" cm="1">
        <f t="array" ref="AW887">AF887&amp;"; "&amp;AG887&amp;"; "&amp;AH887&amp;"; "&amp;AI887&amp;"; "&amp;AJ887</f>
        <v>E6; E3; E1; E4; E3</v>
      </c>
    </row>
    <row r="888" ht="13.65" customHeight="1">
      <c r="A888" t="s" s="35">
        <v>6151</v>
      </c>
      <c r="B888" s="36">
        <v>11</v>
      </c>
      <c r="C888" t="s" s="35">
        <v>222</v>
      </c>
      <c r="D888" t="s" s="35">
        <v>4800</v>
      </c>
      <c r="E888" t="s" s="35">
        <v>5427</v>
      </c>
      <c r="F888" s="36">
        <v>143</v>
      </c>
      <c r="G888" t="s" s="35">
        <v>6136</v>
      </c>
      <c r="H888" t="s" s="35">
        <v>6152</v>
      </c>
      <c r="I888" t="s" s="120">
        <v>6153</v>
      </c>
      <c r="J888" t="s" s="35">
        <v>1301</v>
      </c>
      <c r="K888" t="s" s="35">
        <v>1373</v>
      </c>
      <c r="L888" s="39"/>
      <c r="M888" t="str" s="39">
        <v>Ondas y física atómica/nuclear</v>
      </c>
      <c r="N888" t="str" s="39">
        <v>Física atómica y nuclear</v>
      </c>
      <c r="O888" t="str" s="39" cm="1">
        <f t="array" ref="O888">IF(L888="","",_xlfn.IFERROR(INDEX('Datos - Catálogo TIMSS'!$C$5:$C$107,MATCH(L888,'Datos - Catálogo TIMSS'!$A$5:$A$107,0)),"?"))</f>
      </c>
      <c r="P888" t="s" s="35">
        <v>291</v>
      </c>
      <c r="Q888" t="s" s="120">
        <v>6154</v>
      </c>
      <c r="R888" t="s" s="120">
        <v>6155</v>
      </c>
      <c r="S888" s="121" cm="1">
        <f t="array" ref="S888">_xlfn.IFERROR(ISNUMBER(SEARCH("Conocer",$R888))/(ISNUMBER(SEARCH("Conocer",$R888))+ISNUMBER(SEARCH("Aplicar",$R888))+ISNUMBER(SEARCH("Razonar",$R888))),0)</f>
        <v>0.5</v>
      </c>
      <c r="T888" s="121" cm="1">
        <f t="array" ref="T888">_xlfn.IFERROR(ISNUMBER(SEARCH("Aplicar",$R888))/(ISNUMBER(SEARCH("Conocer",$R888))+ISNUMBER(SEARCH("Aplicar",$R888))+ISNUMBER(SEARCH("Razonar",$R888))),0)</f>
        <v>0</v>
      </c>
      <c r="U888" s="121" cm="1">
        <f t="array" ref="U888">_xlfn.IFERROR(ISNUMBER(SEARCH("Razonar",$R888))/(ISNUMBER(SEARCH("Conocer",$R888))+ISNUMBER(SEARCH("Aplicar",$R888))+ISNUMBER(SEARCH("Razonar",$R888))),0)</f>
        <v>0.5</v>
      </c>
      <c r="V888" t="s" s="35">
        <v>91</v>
      </c>
      <c r="W888" t="s" s="35">
        <v>119</v>
      </c>
      <c r="X888" s="36" cm="1">
        <f t="array" ref="X888">IF(OR(_xlfn.IFERROR(INDEX('Datos - Catálogo TIMSS'!$I$5:$I$107,MATCH(K888,'Datos - Catálogo TIMSS'!$A$5:$A$107,0)),"No")="Sí",_xlfn.IFERROR(INDEX('Datos - Catálogo TIMSS'!$I$5:$I$107,MATCH(L888,'Datos - Catálogo TIMSS'!$A$5:$A$107,0)),"No")="Sí"),1,0)</f>
        <v>0</v>
      </c>
      <c r="Y888" s="36" cm="1">
        <f t="array" ref="Y888">IF(_xlfn.IFERROR(INDEX('Datos - Catálogo TIMSS'!$J$5:$J$107,MATCH(K888,'Datos - Catálogo TIMSS'!$A$5:$A$107,0)),"No")="Sí",1,0)</f>
        <v>0</v>
      </c>
      <c r="Z888" s="36" cm="1">
        <f t="array" ref="Z888">IF(_xlfn.IFERROR(INDEX('Datos - Catálogo TIMSS'!$J$5:$J$107,MATCH(L888,'Datos - Catálogo TIMSS'!$A$5:$A$107,0)),"No")="Sí",1,0)</f>
        <v>0</v>
      </c>
      <c r="AA888" t="s" s="35">
        <v>1373</v>
      </c>
      <c r="AB888" s="39"/>
      <c r="AC888" t="str" s="39">
        <v>Ondas y física atómica/nuclear</v>
      </c>
      <c r="AD888" t="s" s="35">
        <v>1900</v>
      </c>
      <c r="AE888" t="str" s="39" cm="1">
        <f t="array" ref="AE888">IF(AD888="","",IF(LEFT(AD888,1)="1","C1",IF(LEFT(AD888,1)="2","C2",IF(LEFT(AD888,1)="3","C3",""))))</f>
        <v>C3</v>
      </c>
      <c r="AF888" t="s" s="35">
        <v>1615</v>
      </c>
      <c r="AG888" t="s" s="35">
        <v>1617</v>
      </c>
      <c r="AH888" t="s" s="35">
        <v>1602</v>
      </c>
      <c r="AI888" t="s" s="35">
        <v>1627</v>
      </c>
      <c r="AJ888" t="s" s="35">
        <v>1615</v>
      </c>
      <c r="AK888" s="39"/>
      <c r="AL888" s="39"/>
      <c r="AM888" s="39"/>
      <c r="AN888" s="39"/>
      <c r="AO888" s="39"/>
      <c r="AP888" s="39"/>
      <c r="AQ888" s="39"/>
      <c r="AR888" s="39"/>
      <c r="AS888" s="39"/>
      <c r="AT888" s="39"/>
      <c r="AU888" s="39"/>
      <c r="AV888" s="39"/>
      <c r="AW888" t="str" s="39" cm="1">
        <f t="array" ref="AW888">AF888&amp;"; "&amp;AG888&amp;"; "&amp;AH888&amp;"; "&amp;AI888&amp;"; "&amp;AJ888</f>
        <v>E6; D1; E1; I2; E6</v>
      </c>
    </row>
    <row r="889" ht="13.65" customHeight="1">
      <c r="A889" t="s" s="35">
        <v>6157</v>
      </c>
      <c r="B889" s="36">
        <v>11</v>
      </c>
      <c r="C889" t="s" s="35">
        <v>222</v>
      </c>
      <c r="D889" t="s" s="35">
        <v>4800</v>
      </c>
      <c r="E889" t="s" s="35">
        <v>5427</v>
      </c>
      <c r="F889" s="36">
        <v>144</v>
      </c>
      <c r="G889" t="s" s="35">
        <v>6136</v>
      </c>
      <c r="H889" t="s" s="35">
        <v>6152</v>
      </c>
      <c r="I889" t="s" s="120">
        <v>6158</v>
      </c>
      <c r="J889" t="s" s="35">
        <v>1301</v>
      </c>
      <c r="K889" t="s" s="35">
        <v>1373</v>
      </c>
      <c r="L889" t="s" s="35">
        <v>1357</v>
      </c>
      <c r="M889" t="str" s="39">
        <v>Ondas y física atómica/nuclear</v>
      </c>
      <c r="N889" t="str" s="39">
        <v>Física atómica y nuclear</v>
      </c>
      <c r="O889" t="str" s="39" cm="1">
        <f t="array" ref="O889">IF(L889="","",_xlfn.IFERROR(INDEX('Datos - Catálogo TIMSS'!$C$5:$C$107,MATCH(L889,'Datos - Catálogo TIMSS'!$A$5:$A$107,0)),"?"))</f>
        <v>Ondas y física atómica/nuclear</v>
      </c>
      <c r="P889" t="s" s="35">
        <v>291</v>
      </c>
      <c r="Q889" t="s" s="120">
        <v>6159</v>
      </c>
      <c r="R889" t="s" s="120">
        <v>6160</v>
      </c>
      <c r="S889" s="121" cm="1">
        <f t="array" ref="S889">_xlfn.IFERROR(ISNUMBER(SEARCH("Conocer",$R889))/(ISNUMBER(SEARCH("Conocer",$R889))+ISNUMBER(SEARCH("Aplicar",$R889))+ISNUMBER(SEARCH("Razonar",$R889))),0)</f>
        <v>0</v>
      </c>
      <c r="T889" s="121" cm="1">
        <f t="array" ref="T889">_xlfn.IFERROR(ISNUMBER(SEARCH("Aplicar",$R889))/(ISNUMBER(SEARCH("Conocer",$R889))+ISNUMBER(SEARCH("Aplicar",$R889))+ISNUMBER(SEARCH("Razonar",$R889))),0)</f>
        <v>0.5</v>
      </c>
      <c r="U889" s="121" cm="1">
        <f t="array" ref="U889">_xlfn.IFERROR(ISNUMBER(SEARCH("Razonar",$R889))/(ISNUMBER(SEARCH("Conocer",$R889))+ISNUMBER(SEARCH("Aplicar",$R889))+ISNUMBER(SEARCH("Razonar",$R889))),0)</f>
        <v>0.5</v>
      </c>
      <c r="V889" t="s" s="35">
        <v>91</v>
      </c>
      <c r="W889" t="s" s="35">
        <v>119</v>
      </c>
      <c r="X889" s="36" cm="1">
        <f t="array" ref="X889">IF(OR(_xlfn.IFERROR(INDEX('Datos - Catálogo TIMSS'!$I$5:$I$107,MATCH(K889,'Datos - Catálogo TIMSS'!$A$5:$A$107,0)),"No")="Sí",_xlfn.IFERROR(INDEX('Datos - Catálogo TIMSS'!$I$5:$I$107,MATCH(L889,'Datos - Catálogo TIMSS'!$A$5:$A$107,0)),"No")="Sí"),1,0)</f>
        <v>0</v>
      </c>
      <c r="Y889" s="36" cm="1">
        <f t="array" ref="Y889">IF(_xlfn.IFERROR(INDEX('Datos - Catálogo TIMSS'!$J$5:$J$107,MATCH(K889,'Datos - Catálogo TIMSS'!$A$5:$A$107,0)),"No")="Sí",1,0)</f>
        <v>0</v>
      </c>
      <c r="Z889" s="36" cm="1">
        <f t="array" ref="Z889">IF(_xlfn.IFERROR(INDEX('Datos - Catálogo TIMSS'!$J$5:$J$107,MATCH(L889,'Datos - Catálogo TIMSS'!$A$5:$A$107,0)),"No")="Sí",1,0)</f>
        <v>0</v>
      </c>
      <c r="AA889" t="s" s="35">
        <v>1373</v>
      </c>
      <c r="AB889" t="s" s="35">
        <v>1357</v>
      </c>
      <c r="AC889" t="str" s="39">
        <v>Ondas y física atómica/nuclear</v>
      </c>
      <c r="AD889" t="s" s="35">
        <v>1859</v>
      </c>
      <c r="AE889" t="str" s="39" cm="1">
        <f t="array" ref="AE889">IF(AD889="","",IF(LEFT(AD889,1)="1","C1",IF(LEFT(AD889,1)="2","C2",IF(LEFT(AD889,1)="3","C3",""))))</f>
        <v>C1</v>
      </c>
      <c r="AF889" t="s" s="35">
        <v>1602</v>
      </c>
      <c r="AG889" t="s" s="35">
        <v>1612</v>
      </c>
      <c r="AH889" t="s" s="35">
        <v>1605</v>
      </c>
      <c r="AI889" t="s" s="35">
        <v>1623</v>
      </c>
      <c r="AJ889" t="s" s="35">
        <v>1607</v>
      </c>
      <c r="AK889" s="39"/>
      <c r="AL889" s="39"/>
      <c r="AM889" s="39"/>
      <c r="AN889" s="39"/>
      <c r="AO889" s="39"/>
      <c r="AP889" s="39"/>
      <c r="AQ889" s="39"/>
      <c r="AR889" s="39"/>
      <c r="AS889" s="39"/>
      <c r="AT889" s="39"/>
      <c r="AU889" s="39"/>
      <c r="AV889" s="39"/>
      <c r="AW889" t="str" s="39" cm="1">
        <f t="array" ref="AW889">AF889&amp;"; "&amp;AG889&amp;"; "&amp;AH889&amp;"; "&amp;AI889&amp;"; "&amp;AJ889</f>
        <v>E1; E5; E2; D4; E3</v>
      </c>
    </row>
    <row r="890" ht="13.65" customHeight="1">
      <c r="A890" t="s" s="35">
        <v>6161</v>
      </c>
      <c r="B890" s="36">
        <v>11</v>
      </c>
      <c r="C890" t="s" s="35">
        <v>222</v>
      </c>
      <c r="D890" t="s" s="35">
        <v>4800</v>
      </c>
      <c r="E890" t="s" s="35">
        <v>5427</v>
      </c>
      <c r="F890" s="36">
        <v>145</v>
      </c>
      <c r="G890" t="s" s="35">
        <v>6136</v>
      </c>
      <c r="H890" t="s" s="35">
        <v>6152</v>
      </c>
      <c r="I890" t="s" s="120">
        <v>6162</v>
      </c>
      <c r="J890" t="s" s="35">
        <v>1301</v>
      </c>
      <c r="K890" t="s" s="35">
        <v>1373</v>
      </c>
      <c r="L890" s="39"/>
      <c r="M890" t="str" s="39">
        <v>Ondas y física atómica/nuclear</v>
      </c>
      <c r="N890" t="str" s="39">
        <v>Física atómica y nuclear</v>
      </c>
      <c r="O890" t="str" s="39" cm="1">
        <f t="array" ref="O890">IF(L890="","",_xlfn.IFERROR(INDEX('Datos - Catálogo TIMSS'!$C$5:$C$107,MATCH(L890,'Datos - Catálogo TIMSS'!$A$5:$A$107,0)),"?"))</f>
      </c>
      <c r="P890" t="s" s="35">
        <v>291</v>
      </c>
      <c r="Q890" t="s" s="120">
        <v>6163</v>
      </c>
      <c r="R890" t="s" s="120">
        <v>6164</v>
      </c>
      <c r="S890" s="121" cm="1">
        <f t="array" ref="S890">_xlfn.IFERROR(ISNUMBER(SEARCH("Conocer",$R890))/(ISNUMBER(SEARCH("Conocer",$R890))+ISNUMBER(SEARCH("Aplicar",$R890))+ISNUMBER(SEARCH("Razonar",$R890))),0)</f>
        <v>0.5</v>
      </c>
      <c r="T890" s="121" cm="1">
        <f t="array" ref="T890">_xlfn.IFERROR(ISNUMBER(SEARCH("Aplicar",$R890))/(ISNUMBER(SEARCH("Conocer",$R890))+ISNUMBER(SEARCH("Aplicar",$R890))+ISNUMBER(SEARCH("Razonar",$R890))),0)</f>
        <v>0</v>
      </c>
      <c r="U890" s="121" cm="1">
        <f t="array" ref="U890">_xlfn.IFERROR(ISNUMBER(SEARCH("Razonar",$R890))/(ISNUMBER(SEARCH("Conocer",$R890))+ISNUMBER(SEARCH("Aplicar",$R890))+ISNUMBER(SEARCH("Razonar",$R890))),0)</f>
        <v>0.5</v>
      </c>
      <c r="V890" t="s" s="35">
        <v>91</v>
      </c>
      <c r="W890" t="s" s="35">
        <v>119</v>
      </c>
      <c r="X890" s="36" cm="1">
        <f t="array" ref="X890">IF(OR(_xlfn.IFERROR(INDEX('Datos - Catálogo TIMSS'!$I$5:$I$107,MATCH(K890,'Datos - Catálogo TIMSS'!$A$5:$A$107,0)),"No")="Sí",_xlfn.IFERROR(INDEX('Datos - Catálogo TIMSS'!$I$5:$I$107,MATCH(L890,'Datos - Catálogo TIMSS'!$A$5:$A$107,0)),"No")="Sí"),1,0)</f>
        <v>0</v>
      </c>
      <c r="Y890" s="36" cm="1">
        <f t="array" ref="Y890">IF(_xlfn.IFERROR(INDEX('Datos - Catálogo TIMSS'!$J$5:$J$107,MATCH(K890,'Datos - Catálogo TIMSS'!$A$5:$A$107,0)),"No")="Sí",1,0)</f>
        <v>0</v>
      </c>
      <c r="Z890" s="36" cm="1">
        <f t="array" ref="Z890">IF(_xlfn.IFERROR(INDEX('Datos - Catálogo TIMSS'!$J$5:$J$107,MATCH(L890,'Datos - Catálogo TIMSS'!$A$5:$A$107,0)),"No")="Sí",1,0)</f>
        <v>0</v>
      </c>
      <c r="AA890" t="s" s="35">
        <v>1373</v>
      </c>
      <c r="AB890" s="39"/>
      <c r="AC890" t="str" s="39">
        <v>Ondas y física atómica/nuclear</v>
      </c>
      <c r="AD890" t="s" s="35">
        <v>1900</v>
      </c>
      <c r="AE890" t="str" s="39" cm="1">
        <f t="array" ref="AE890">IF(AD890="","",IF(LEFT(AD890,1)="1","C1",IF(LEFT(AD890,1)="2","C2",IF(LEFT(AD890,1)="3","C3",""))))</f>
        <v>C3</v>
      </c>
      <c r="AF890" t="s" s="35">
        <v>1615</v>
      </c>
      <c r="AG890" t="s" s="35">
        <v>1617</v>
      </c>
      <c r="AH890" t="s" s="35">
        <v>1602</v>
      </c>
      <c r="AI890" t="s" s="35">
        <v>1625</v>
      </c>
      <c r="AJ890" t="s" s="35">
        <v>1633</v>
      </c>
      <c r="AK890" s="39"/>
      <c r="AL890" s="39"/>
      <c r="AM890" s="39"/>
      <c r="AN890" s="39"/>
      <c r="AO890" s="39"/>
      <c r="AP890" s="39"/>
      <c r="AQ890" s="39"/>
      <c r="AR890" s="39"/>
      <c r="AS890" s="39"/>
      <c r="AT890" s="39"/>
      <c r="AU890" s="39"/>
      <c r="AV890" s="39"/>
      <c r="AW890" t="str" s="39" cm="1">
        <f t="array" ref="AW890">AF890&amp;"; "&amp;AG890&amp;"; "&amp;AH890&amp;"; "&amp;AI890&amp;"; "&amp;AJ890</f>
        <v>E6; D1; E1; I1; I5</v>
      </c>
    </row>
    <row r="891" ht="13.65" customHeight="1">
      <c r="A891" t="s" s="35">
        <v>6165</v>
      </c>
      <c r="B891" s="36">
        <v>11</v>
      </c>
      <c r="C891" t="s" s="35">
        <v>222</v>
      </c>
      <c r="D891" t="s" s="35">
        <v>4800</v>
      </c>
      <c r="E891" t="s" s="35">
        <v>5427</v>
      </c>
      <c r="F891" s="36">
        <v>146</v>
      </c>
      <c r="G891" t="s" s="35">
        <v>6136</v>
      </c>
      <c r="H891" t="s" s="35">
        <v>6166</v>
      </c>
      <c r="I891" t="s" s="120">
        <v>6167</v>
      </c>
      <c r="J891" t="s" s="35">
        <v>1301</v>
      </c>
      <c r="K891" t="s" s="35">
        <v>1373</v>
      </c>
      <c r="L891" t="s" s="35">
        <v>1376</v>
      </c>
      <c r="M891" t="str" s="39">
        <v>Ondas y física atómica/nuclear</v>
      </c>
      <c r="N891" t="str" s="39">
        <v>Física atómica y nuclear</v>
      </c>
      <c r="O891" t="str" s="39" cm="1">
        <f t="array" ref="O891">IF(L891="","",_xlfn.IFERROR(INDEX('Datos - Catálogo TIMSS'!$C$5:$C$107,MATCH(L891,'Datos - Catálogo TIMSS'!$A$5:$A$107,0)),"?"))</f>
        <v>Ondas y física atómica/nuclear</v>
      </c>
      <c r="P891" t="s" s="35">
        <v>254</v>
      </c>
      <c r="Q891" t="s" s="120">
        <v>6168</v>
      </c>
      <c r="R891" t="s" s="120">
        <v>6169</v>
      </c>
      <c r="S891" s="121" cm="1">
        <f t="array" ref="S891">_xlfn.IFERROR(ISNUMBER(SEARCH("Conocer",$R891))/(ISNUMBER(SEARCH("Conocer",$R891))+ISNUMBER(SEARCH("Aplicar",$R891))+ISNUMBER(SEARCH("Razonar",$R891))),0)</f>
        <v>0</v>
      </c>
      <c r="T891" s="121" cm="1">
        <f t="array" ref="T891">_xlfn.IFERROR(ISNUMBER(SEARCH("Aplicar",$R891))/(ISNUMBER(SEARCH("Conocer",$R891))+ISNUMBER(SEARCH("Aplicar",$R891))+ISNUMBER(SEARCH("Razonar",$R891))),0)</f>
        <v>0.5</v>
      </c>
      <c r="U891" s="121" cm="1">
        <f t="array" ref="U891">_xlfn.IFERROR(ISNUMBER(SEARCH("Razonar",$R891))/(ISNUMBER(SEARCH("Conocer",$R891))+ISNUMBER(SEARCH("Aplicar",$R891))+ISNUMBER(SEARCH("Razonar",$R891))),0)</f>
        <v>0.5</v>
      </c>
      <c r="V891" t="s" s="35">
        <v>91</v>
      </c>
      <c r="W891" t="s" s="35">
        <v>119</v>
      </c>
      <c r="X891" s="36" cm="1">
        <f t="array" ref="X891">IF(OR(_xlfn.IFERROR(INDEX('Datos - Catálogo TIMSS'!$I$5:$I$107,MATCH(K891,'Datos - Catálogo TIMSS'!$A$5:$A$107,0)),"No")="Sí",_xlfn.IFERROR(INDEX('Datos - Catálogo TIMSS'!$I$5:$I$107,MATCH(L891,'Datos - Catálogo TIMSS'!$A$5:$A$107,0)),"No")="Sí"),1,0)</f>
        <v>0</v>
      </c>
      <c r="Y891" s="36" cm="1">
        <f t="array" ref="Y891">IF(_xlfn.IFERROR(INDEX('Datos - Catálogo TIMSS'!$J$5:$J$107,MATCH(K891,'Datos - Catálogo TIMSS'!$A$5:$A$107,0)),"No")="Sí",1,0)</f>
        <v>0</v>
      </c>
      <c r="Z891" s="36" cm="1">
        <f t="array" ref="Z891">IF(_xlfn.IFERROR(INDEX('Datos - Catálogo TIMSS'!$J$5:$J$107,MATCH(L891,'Datos - Catálogo TIMSS'!$A$5:$A$107,0)),"No")="Sí",1,0)</f>
        <v>0</v>
      </c>
      <c r="AA891" t="s" s="35">
        <v>1373</v>
      </c>
      <c r="AB891" t="s" s="35">
        <v>1376</v>
      </c>
      <c r="AC891" t="str" s="39">
        <v>Ondas y física atómica/nuclear</v>
      </c>
      <c r="AD891" t="s" s="35">
        <v>1859</v>
      </c>
      <c r="AE891" t="str" s="39" cm="1">
        <f t="array" ref="AE891">IF(AD891="","",IF(LEFT(AD891,1)="1","C1",IF(LEFT(AD891,1)="2","C2",IF(LEFT(AD891,1)="3","C3",""))))</f>
        <v>C1</v>
      </c>
      <c r="AF891" t="s" s="35">
        <v>1602</v>
      </c>
      <c r="AG891" t="s" s="35">
        <v>1607</v>
      </c>
      <c r="AH891" t="s" s="35">
        <v>1602</v>
      </c>
      <c r="AI891" t="s" s="35">
        <v>1623</v>
      </c>
      <c r="AJ891" t="s" s="35">
        <v>1615</v>
      </c>
      <c r="AK891" s="39"/>
      <c r="AL891" s="39"/>
      <c r="AM891" s="39"/>
      <c r="AN891" s="39"/>
      <c r="AO891" s="39"/>
      <c r="AP891" s="39"/>
      <c r="AQ891" s="39"/>
      <c r="AR891" s="39"/>
      <c r="AS891" s="39"/>
      <c r="AT891" s="39"/>
      <c r="AU891" s="39"/>
      <c r="AV891" s="39"/>
      <c r="AW891" t="str" s="39" cm="1">
        <f t="array" ref="AW891">AF891&amp;"; "&amp;AG891&amp;"; "&amp;AH891&amp;"; "&amp;AI891&amp;"; "&amp;AJ891</f>
        <v>E1; E3; E1; D4; E6</v>
      </c>
    </row>
    <row r="892" ht="13.65" customHeight="1">
      <c r="A892" t="s" s="35">
        <v>6170</v>
      </c>
      <c r="B892" s="36">
        <v>11</v>
      </c>
      <c r="C892" t="s" s="35">
        <v>222</v>
      </c>
      <c r="D892" t="s" s="35">
        <v>4800</v>
      </c>
      <c r="E892" t="s" s="35">
        <v>5427</v>
      </c>
      <c r="F892" s="36">
        <v>147</v>
      </c>
      <c r="G892" t="s" s="35">
        <v>6136</v>
      </c>
      <c r="H892" t="s" s="35">
        <v>6166</v>
      </c>
      <c r="I892" t="s" s="120">
        <v>6171</v>
      </c>
      <c r="J892" t="s" s="35">
        <v>1301</v>
      </c>
      <c r="K892" t="s" s="35">
        <v>1373</v>
      </c>
      <c r="L892" t="s" s="35">
        <v>1376</v>
      </c>
      <c r="M892" t="str" s="39">
        <v>Ondas y física atómica/nuclear</v>
      </c>
      <c r="N892" t="str" s="39">
        <v>Física atómica y nuclear</v>
      </c>
      <c r="O892" t="str" s="39" cm="1">
        <f t="array" ref="O892">IF(L892="","",_xlfn.IFERROR(INDEX('Datos - Catálogo TIMSS'!$C$5:$C$107,MATCH(L892,'Datos - Catálogo TIMSS'!$A$5:$A$107,0)),"?"))</f>
        <v>Ondas y física atómica/nuclear</v>
      </c>
      <c r="P892" t="s" s="35">
        <v>282</v>
      </c>
      <c r="Q892" t="s" s="120">
        <v>6172</v>
      </c>
      <c r="R892" t="s" s="120">
        <v>6173</v>
      </c>
      <c r="S892" s="121" cm="1">
        <f t="array" ref="S892">_xlfn.IFERROR(ISNUMBER(SEARCH("Conocer",$R892))/(ISNUMBER(SEARCH("Conocer",$R892))+ISNUMBER(SEARCH("Aplicar",$R892))+ISNUMBER(SEARCH("Razonar",$R892))),0)</f>
        <v>0.5</v>
      </c>
      <c r="T892" s="121" cm="1">
        <f t="array" ref="T892">_xlfn.IFERROR(ISNUMBER(SEARCH("Aplicar",$R892))/(ISNUMBER(SEARCH("Conocer",$R892))+ISNUMBER(SEARCH("Aplicar",$R892))+ISNUMBER(SEARCH("Razonar",$R892))),0)</f>
        <v>0.5</v>
      </c>
      <c r="U892" s="121" cm="1">
        <f t="array" ref="U892">_xlfn.IFERROR(ISNUMBER(SEARCH("Razonar",$R892))/(ISNUMBER(SEARCH("Conocer",$R892))+ISNUMBER(SEARCH("Aplicar",$R892))+ISNUMBER(SEARCH("Razonar",$R892))),0)</f>
        <v>0</v>
      </c>
      <c r="V892" t="s" s="35">
        <v>91</v>
      </c>
      <c r="W892" t="s" s="35">
        <v>119</v>
      </c>
      <c r="X892" s="36" cm="1">
        <f t="array" ref="X892">IF(OR(_xlfn.IFERROR(INDEX('Datos - Catálogo TIMSS'!$I$5:$I$107,MATCH(K892,'Datos - Catálogo TIMSS'!$A$5:$A$107,0)),"No")="Sí",_xlfn.IFERROR(INDEX('Datos - Catálogo TIMSS'!$I$5:$I$107,MATCH(L892,'Datos - Catálogo TIMSS'!$A$5:$A$107,0)),"No")="Sí"),1,0)</f>
        <v>0</v>
      </c>
      <c r="Y892" s="36" cm="1">
        <f t="array" ref="Y892">IF(_xlfn.IFERROR(INDEX('Datos - Catálogo TIMSS'!$J$5:$J$107,MATCH(K892,'Datos - Catálogo TIMSS'!$A$5:$A$107,0)),"No")="Sí",1,0)</f>
        <v>0</v>
      </c>
      <c r="Z892" s="36" cm="1">
        <f t="array" ref="Z892">IF(_xlfn.IFERROR(INDEX('Datos - Catálogo TIMSS'!$J$5:$J$107,MATCH(L892,'Datos - Catálogo TIMSS'!$A$5:$A$107,0)),"No")="Sí",1,0)</f>
        <v>0</v>
      </c>
      <c r="AA892" t="s" s="35">
        <v>1373</v>
      </c>
      <c r="AB892" t="s" s="35">
        <v>1376</v>
      </c>
      <c r="AC892" t="str" s="39">
        <v>Ondas y física atómica/nuclear</v>
      </c>
      <c r="AD892" t="s" s="35">
        <v>1859</v>
      </c>
      <c r="AE892" t="str" s="39" cm="1">
        <f t="array" ref="AE892">IF(AD892="","",IF(LEFT(AD892,1)="1","C1",IF(LEFT(AD892,1)="2","C2",IF(LEFT(AD892,1)="3","C3",""))))</f>
        <v>C1</v>
      </c>
      <c r="AF892" t="s" s="35">
        <v>1615</v>
      </c>
      <c r="AG892" t="s" s="35">
        <v>1617</v>
      </c>
      <c r="AH892" t="s" s="35">
        <v>1609</v>
      </c>
      <c r="AI892" t="s" s="35">
        <v>1609</v>
      </c>
      <c r="AJ892" t="s" s="35">
        <v>1607</v>
      </c>
      <c r="AK892" s="39"/>
      <c r="AL892" s="39"/>
      <c r="AM892" s="39"/>
      <c r="AN892" s="39"/>
      <c r="AO892" s="39"/>
      <c r="AP892" s="39"/>
      <c r="AQ892" s="39"/>
      <c r="AR892" s="39"/>
      <c r="AS892" s="39"/>
      <c r="AT892" s="39"/>
      <c r="AU892" s="39"/>
      <c r="AV892" s="39"/>
      <c r="AW892" t="str" s="39" cm="1">
        <f t="array" ref="AW892">AF892&amp;"; "&amp;AG892&amp;"; "&amp;AH892&amp;"; "&amp;AI892&amp;"; "&amp;AJ892</f>
        <v>E6; D1; E4; E4; E3</v>
      </c>
    </row>
    <row r="893" ht="13.65" customHeight="1">
      <c r="A893" t="s" s="35">
        <v>6175</v>
      </c>
      <c r="B893" s="36">
        <v>11</v>
      </c>
      <c r="C893" t="s" s="35">
        <v>222</v>
      </c>
      <c r="D893" t="s" s="35">
        <v>4800</v>
      </c>
      <c r="E893" t="s" s="35">
        <v>5427</v>
      </c>
      <c r="F893" s="36">
        <v>148</v>
      </c>
      <c r="G893" t="s" s="35">
        <v>6136</v>
      </c>
      <c r="H893" t="s" s="35">
        <v>6166</v>
      </c>
      <c r="I893" t="s" s="120">
        <v>6176</v>
      </c>
      <c r="J893" t="s" s="35">
        <v>1301</v>
      </c>
      <c r="K893" t="s" s="35">
        <v>1373</v>
      </c>
      <c r="L893" s="39"/>
      <c r="M893" t="str" s="39">
        <v>Ondas y física atómica/nuclear</v>
      </c>
      <c r="N893" t="str" s="39">
        <v>Física atómica y nuclear</v>
      </c>
      <c r="O893" t="str" s="39" cm="1">
        <f t="array" ref="O893">IF(L893="","",_xlfn.IFERROR(INDEX('Datos - Catálogo TIMSS'!$C$5:$C$107,MATCH(L893,'Datos - Catálogo TIMSS'!$A$5:$A$107,0)),"?"))</f>
      </c>
      <c r="P893" t="s" s="35">
        <v>291</v>
      </c>
      <c r="Q893" t="s" s="120">
        <v>6177</v>
      </c>
      <c r="R893" t="s" s="120">
        <v>6178</v>
      </c>
      <c r="S893" s="121" cm="1">
        <f t="array" ref="S893">_xlfn.IFERROR(ISNUMBER(SEARCH("Conocer",$R893))/(ISNUMBER(SEARCH("Conocer",$R893))+ISNUMBER(SEARCH("Aplicar",$R893))+ISNUMBER(SEARCH("Razonar",$R893))),0)</f>
        <v>0.5</v>
      </c>
      <c r="T893" s="121" cm="1">
        <f t="array" ref="T893">_xlfn.IFERROR(ISNUMBER(SEARCH("Aplicar",$R893))/(ISNUMBER(SEARCH("Conocer",$R893))+ISNUMBER(SEARCH("Aplicar",$R893))+ISNUMBER(SEARCH("Razonar",$R893))),0)</f>
        <v>0</v>
      </c>
      <c r="U893" s="121" cm="1">
        <f t="array" ref="U893">_xlfn.IFERROR(ISNUMBER(SEARCH("Razonar",$R893))/(ISNUMBER(SEARCH("Conocer",$R893))+ISNUMBER(SEARCH("Aplicar",$R893))+ISNUMBER(SEARCH("Razonar",$R893))),0)</f>
        <v>0.5</v>
      </c>
      <c r="V893" t="s" s="35">
        <v>91</v>
      </c>
      <c r="W893" t="s" s="35">
        <v>119</v>
      </c>
      <c r="X893" s="36" cm="1">
        <f t="array" ref="X893">IF(OR(_xlfn.IFERROR(INDEX('Datos - Catálogo TIMSS'!$I$5:$I$107,MATCH(K893,'Datos - Catálogo TIMSS'!$A$5:$A$107,0)),"No")="Sí",_xlfn.IFERROR(INDEX('Datos - Catálogo TIMSS'!$I$5:$I$107,MATCH(L893,'Datos - Catálogo TIMSS'!$A$5:$A$107,0)),"No")="Sí"),1,0)</f>
        <v>0</v>
      </c>
      <c r="Y893" s="36" cm="1">
        <f t="array" ref="Y893">IF(_xlfn.IFERROR(INDEX('Datos - Catálogo TIMSS'!$J$5:$J$107,MATCH(K893,'Datos - Catálogo TIMSS'!$A$5:$A$107,0)),"No")="Sí",1,0)</f>
        <v>0</v>
      </c>
      <c r="Z893" s="36" cm="1">
        <f t="array" ref="Z893">IF(_xlfn.IFERROR(INDEX('Datos - Catálogo TIMSS'!$J$5:$J$107,MATCH(L893,'Datos - Catálogo TIMSS'!$A$5:$A$107,0)),"No")="Sí",1,0)</f>
        <v>0</v>
      </c>
      <c r="AA893" t="s" s="35">
        <v>1373</v>
      </c>
      <c r="AB893" s="39"/>
      <c r="AC893" t="str" s="39">
        <v>Ondas y física atómica/nuclear</v>
      </c>
      <c r="AD893" t="s" s="35">
        <v>1900</v>
      </c>
      <c r="AE893" t="str" s="39" cm="1">
        <f t="array" ref="AE893">IF(AD893="","",IF(LEFT(AD893,1)="1","C1",IF(LEFT(AD893,1)="2","C2",IF(LEFT(AD893,1)="3","C3",""))))</f>
        <v>C3</v>
      </c>
      <c r="AF893" t="s" s="35">
        <v>1615</v>
      </c>
      <c r="AG893" t="s" s="35">
        <v>1612</v>
      </c>
      <c r="AH893" t="s" s="35">
        <v>1602</v>
      </c>
      <c r="AI893" t="s" s="35">
        <v>1625</v>
      </c>
      <c r="AJ893" t="s" s="35">
        <v>1633</v>
      </c>
      <c r="AK893" s="39"/>
      <c r="AL893" s="39"/>
      <c r="AM893" s="39"/>
      <c r="AN893" s="39"/>
      <c r="AO893" s="39"/>
      <c r="AP893" s="39"/>
      <c r="AQ893" s="39"/>
      <c r="AR893" s="39"/>
      <c r="AS893" s="39"/>
      <c r="AT893" s="39"/>
      <c r="AU893" s="39"/>
      <c r="AV893" s="39"/>
      <c r="AW893" t="str" s="39" cm="1">
        <f t="array" ref="AW893">AF893&amp;"; "&amp;AG893&amp;"; "&amp;AH893&amp;"; "&amp;AI893&amp;"; "&amp;AJ893</f>
        <v>E6; E5; E1; I1; I5</v>
      </c>
    </row>
    <row r="894" ht="13.65" customHeight="1">
      <c r="A894" t="s" s="35">
        <v>6179</v>
      </c>
      <c r="B894" s="36">
        <v>10</v>
      </c>
      <c r="C894" t="s" s="35">
        <v>220</v>
      </c>
      <c r="D894" t="s" s="35">
        <v>6180</v>
      </c>
      <c r="E894" t="s" s="35">
        <v>6181</v>
      </c>
      <c r="F894" s="36">
        <v>3</v>
      </c>
      <c r="G894" t="s" s="35">
        <v>6182</v>
      </c>
      <c r="H894" t="s" s="35">
        <v>6183</v>
      </c>
      <c r="I894" t="s" s="120">
        <v>6184</v>
      </c>
      <c r="J894" t="s" s="35">
        <v>6185</v>
      </c>
      <c r="K894" t="s" s="35">
        <v>1058</v>
      </c>
      <c r="L894" s="39"/>
      <c r="M894" t="str" s="39">
        <v>Sin marco</v>
      </c>
      <c r="N894" t="str" s="39">
        <v>Sin marco</v>
      </c>
      <c r="O894" t="str" s="39" cm="1">
        <f t="array" ref="O894">IF(L894="","",_xlfn.IFERROR(INDEX('Datos - Catálogo TIMSS'!$C$5:$C$107,MATCH(L894,'Datos - Catálogo TIMSS'!$A$5:$A$107,0)),"?"))</f>
      </c>
      <c r="P894" t="s" s="35">
        <v>1058</v>
      </c>
      <c r="Q894" t="s" s="120">
        <v>6186</v>
      </c>
      <c r="R894" t="s" s="120">
        <v>6187</v>
      </c>
      <c r="S894" s="121" cm="1">
        <f t="array" ref="S894">_xlfn.IFERROR(ISNUMBER(SEARCH("Conocer",$R894))/(ISNUMBER(SEARCH("Conocer",$R894))+ISNUMBER(SEARCH("Aplicar",$R894))+ISNUMBER(SEARCH("Razonar",$R894))),0)</f>
        <v>0.5</v>
      </c>
      <c r="T894" s="121" cm="1">
        <f t="array" ref="T894">_xlfn.IFERROR(ISNUMBER(SEARCH("Aplicar",$R894))/(ISNUMBER(SEARCH("Conocer",$R894))+ISNUMBER(SEARCH("Aplicar",$R894))+ISNUMBER(SEARCH("Razonar",$R894))),0)</f>
        <v>0</v>
      </c>
      <c r="U894" s="121" cm="1">
        <f t="array" ref="U894">_xlfn.IFERROR(ISNUMBER(SEARCH("Razonar",$R894))/(ISNUMBER(SEARCH("Conocer",$R894))+ISNUMBER(SEARCH("Aplicar",$R894))+ISNUMBER(SEARCH("Razonar",$R894))),0)</f>
        <v>0.5</v>
      </c>
      <c r="V894" t="s" s="35">
        <v>1405</v>
      </c>
      <c r="W894" t="s" s="35">
        <v>6188</v>
      </c>
      <c r="X894" s="36" cm="1">
        <f t="array" ref="X894">IF(OR(_xlfn.IFERROR(INDEX('Datos - Catálogo TIMSS'!$I$5:$I$107,MATCH(K894,'Datos - Catálogo TIMSS'!$A$5:$A$107,0)),"No")="Sí",_xlfn.IFERROR(INDEX('Datos - Catálogo TIMSS'!$I$5:$I$107,MATCH(L894,'Datos - Catálogo TIMSS'!$A$5:$A$107,0)),"No")="Sí"),1,0)</f>
        <v>0</v>
      </c>
      <c r="Y894" s="36" cm="1">
        <f t="array" ref="Y894">IF(_xlfn.IFERROR(INDEX('Datos - Catálogo TIMSS'!$J$5:$J$107,MATCH(K894,'Datos - Catálogo TIMSS'!$A$5:$A$107,0)),"No")="Sí",1,0)</f>
        <v>0</v>
      </c>
      <c r="Z894" s="36" cm="1">
        <f t="array" ref="Z894">IF(_xlfn.IFERROR(INDEX('Datos - Catálogo TIMSS'!$J$5:$J$107,MATCH(L894,'Datos - Catálogo TIMSS'!$A$5:$A$107,0)),"No")="Sí",1,0)</f>
        <v>0</v>
      </c>
      <c r="AA894" t="s" s="35">
        <v>1058</v>
      </c>
      <c r="AB894" s="39"/>
      <c r="AC894" t="str" s="39">
        <v>Sin marco</v>
      </c>
      <c r="AD894" t="s" s="35">
        <v>1859</v>
      </c>
      <c r="AE894" t="str" s="39" cm="1">
        <f t="array" ref="AE894">IF(AD894="","",IF(LEFT(AD894,1)="1","C1",IF(LEFT(AD894,1)="2","C2",IF(LEFT(AD894,1)="3","C3",""))))</f>
        <v>C1</v>
      </c>
      <c r="AF894" t="s" s="35">
        <v>1602</v>
      </c>
      <c r="AG894" t="s" s="35">
        <v>1612</v>
      </c>
      <c r="AH894" t="s" s="35">
        <v>1605</v>
      </c>
      <c r="AI894" t="s" s="35">
        <v>1625</v>
      </c>
      <c r="AJ894" t="s" s="35">
        <v>1615</v>
      </c>
      <c r="AK894" s="39"/>
      <c r="AL894" s="39"/>
      <c r="AM894" s="39"/>
      <c r="AN894" s="39"/>
      <c r="AO894" s="39"/>
      <c r="AP894" s="39"/>
      <c r="AQ894" s="39"/>
      <c r="AR894" s="39"/>
      <c r="AS894" s="39"/>
      <c r="AT894" s="39"/>
      <c r="AU894" s="39"/>
      <c r="AV894" s="39"/>
      <c r="AW894" t="str" s="39" cm="1">
        <f t="array" ref="AW894">AF894&amp;"; "&amp;AG894&amp;"; "&amp;AH894&amp;"; "&amp;AI894&amp;"; "&amp;AJ894</f>
        <v>E1; E5; E2; I1; E6</v>
      </c>
    </row>
    <row r="895" ht="13.65" customHeight="1">
      <c r="A895" t="s" s="35">
        <v>6190</v>
      </c>
      <c r="B895" s="36">
        <v>10</v>
      </c>
      <c r="C895" t="s" s="35">
        <v>220</v>
      </c>
      <c r="D895" t="s" s="35">
        <v>6180</v>
      </c>
      <c r="E895" t="s" s="35">
        <v>6181</v>
      </c>
      <c r="F895" s="36">
        <v>4</v>
      </c>
      <c r="G895" t="s" s="35">
        <v>6182</v>
      </c>
      <c r="H895" t="s" s="35">
        <v>6183</v>
      </c>
      <c r="I895" t="s" s="120">
        <v>6191</v>
      </c>
      <c r="J895" t="s" s="35">
        <v>6185</v>
      </c>
      <c r="K895" t="s" s="35">
        <v>1058</v>
      </c>
      <c r="L895" s="39"/>
      <c r="M895" t="str" s="39">
        <v>Sin marco</v>
      </c>
      <c r="N895" t="str" s="39">
        <v>Sin marco</v>
      </c>
      <c r="O895" t="str" s="39" cm="1">
        <f t="array" ref="O895">IF(L895="","",_xlfn.IFERROR(INDEX('Datos - Catálogo TIMSS'!$C$5:$C$107,MATCH(L895,'Datos - Catálogo TIMSS'!$A$5:$A$107,0)),"?"))</f>
      </c>
      <c r="P895" t="s" s="35">
        <v>1058</v>
      </c>
      <c r="Q895" t="s" s="120">
        <v>6186</v>
      </c>
      <c r="R895" t="s" s="120">
        <v>6192</v>
      </c>
      <c r="S895" s="121" cm="1">
        <f t="array" ref="S895">_xlfn.IFERROR(ISNUMBER(SEARCH("Conocer",$R895))/(ISNUMBER(SEARCH("Conocer",$R895))+ISNUMBER(SEARCH("Aplicar",$R895))+ISNUMBER(SEARCH("Razonar",$R895))),0)</f>
        <v>0.333333333333333</v>
      </c>
      <c r="T895" s="121" cm="1">
        <f t="array" ref="T895">_xlfn.IFERROR(ISNUMBER(SEARCH("Aplicar",$R895))/(ISNUMBER(SEARCH("Conocer",$R895))+ISNUMBER(SEARCH("Aplicar",$R895))+ISNUMBER(SEARCH("Razonar",$R895))),0)</f>
        <v>0.333333333333333</v>
      </c>
      <c r="U895" s="121" cm="1">
        <f t="array" ref="U895">_xlfn.IFERROR(ISNUMBER(SEARCH("Razonar",$R895))/(ISNUMBER(SEARCH("Conocer",$R895))+ISNUMBER(SEARCH("Aplicar",$R895))+ISNUMBER(SEARCH("Razonar",$R895))),0)</f>
        <v>0.333333333333333</v>
      </c>
      <c r="V895" t="s" s="35">
        <v>1405</v>
      </c>
      <c r="W895" t="s" s="35">
        <v>6188</v>
      </c>
      <c r="X895" s="36" cm="1">
        <f t="array" ref="X895">IF(OR(_xlfn.IFERROR(INDEX('Datos - Catálogo TIMSS'!$I$5:$I$107,MATCH(K895,'Datos - Catálogo TIMSS'!$A$5:$A$107,0)),"No")="Sí",_xlfn.IFERROR(INDEX('Datos - Catálogo TIMSS'!$I$5:$I$107,MATCH(L895,'Datos - Catálogo TIMSS'!$A$5:$A$107,0)),"No")="Sí"),1,0)</f>
        <v>0</v>
      </c>
      <c r="Y895" s="36" cm="1">
        <f t="array" ref="Y895">IF(_xlfn.IFERROR(INDEX('Datos - Catálogo TIMSS'!$J$5:$J$107,MATCH(K895,'Datos - Catálogo TIMSS'!$A$5:$A$107,0)),"No")="Sí",1,0)</f>
        <v>0</v>
      </c>
      <c r="Z895" s="36" cm="1">
        <f t="array" ref="Z895">IF(_xlfn.IFERROR(INDEX('Datos - Catálogo TIMSS'!$J$5:$J$107,MATCH(L895,'Datos - Catálogo TIMSS'!$A$5:$A$107,0)),"No")="Sí",1,0)</f>
        <v>0</v>
      </c>
      <c r="AA895" t="s" s="35">
        <v>1058</v>
      </c>
      <c r="AB895" s="39"/>
      <c r="AC895" t="str" s="39">
        <v>Sin marco</v>
      </c>
      <c r="AD895" t="s" s="35">
        <v>1859</v>
      </c>
      <c r="AE895" t="str" s="39" cm="1">
        <f t="array" ref="AE895">IF(AD895="","",IF(LEFT(AD895,1)="1","C1",IF(LEFT(AD895,1)="2","C2",IF(LEFT(AD895,1)="3","C3",""))))</f>
        <v>C1</v>
      </c>
      <c r="AF895" t="s" s="35">
        <v>1602</v>
      </c>
      <c r="AG895" t="s" s="35">
        <v>1617</v>
      </c>
      <c r="AH895" t="s" s="35">
        <v>1602</v>
      </c>
      <c r="AI895" t="s" s="35">
        <v>1609</v>
      </c>
      <c r="AJ895" t="s" s="35">
        <v>1607</v>
      </c>
      <c r="AK895" s="39"/>
      <c r="AL895" s="39"/>
      <c r="AM895" s="39"/>
      <c r="AN895" s="39"/>
      <c r="AO895" s="39"/>
      <c r="AP895" s="39"/>
      <c r="AQ895" s="39"/>
      <c r="AR895" s="39"/>
      <c r="AS895" s="39"/>
      <c r="AT895" s="39"/>
      <c r="AU895" s="39"/>
      <c r="AV895" s="39"/>
      <c r="AW895" t="str" s="39" cm="1">
        <f t="array" ref="AW895">AF895&amp;"; "&amp;AG895&amp;"; "&amp;AH895&amp;"; "&amp;AI895&amp;"; "&amp;AJ895</f>
        <v>E1; D1; E1; E4; E3</v>
      </c>
    </row>
    <row r="896" ht="13.65" customHeight="1">
      <c r="A896" t="s" s="35">
        <v>6193</v>
      </c>
      <c r="B896" s="36">
        <v>10</v>
      </c>
      <c r="C896" t="s" s="35">
        <v>220</v>
      </c>
      <c r="D896" t="s" s="35">
        <v>6180</v>
      </c>
      <c r="E896" t="s" s="35">
        <v>6181</v>
      </c>
      <c r="F896" s="36">
        <v>5</v>
      </c>
      <c r="G896" t="s" s="35">
        <v>6182</v>
      </c>
      <c r="H896" t="s" s="35">
        <v>6183</v>
      </c>
      <c r="I896" t="s" s="120">
        <v>6194</v>
      </c>
      <c r="J896" t="s" s="35">
        <v>6185</v>
      </c>
      <c r="K896" t="s" s="35">
        <v>1058</v>
      </c>
      <c r="L896" s="39"/>
      <c r="M896" t="str" s="39">
        <v>Sin marco</v>
      </c>
      <c r="N896" t="str" s="39">
        <v>Sin marco</v>
      </c>
      <c r="O896" t="str" s="39" cm="1">
        <f t="array" ref="O896">IF(L896="","",_xlfn.IFERROR(INDEX('Datos - Catálogo TIMSS'!$C$5:$C$107,MATCH(L896,'Datos - Catálogo TIMSS'!$A$5:$A$107,0)),"?"))</f>
      </c>
      <c r="P896" t="s" s="35">
        <v>1058</v>
      </c>
      <c r="Q896" t="s" s="120">
        <v>6186</v>
      </c>
      <c r="R896" t="s" s="120">
        <v>6195</v>
      </c>
      <c r="S896" s="121" cm="1">
        <f t="array" ref="S896">_xlfn.IFERROR(ISNUMBER(SEARCH("Conocer",$R896))/(ISNUMBER(SEARCH("Conocer",$R896))+ISNUMBER(SEARCH("Aplicar",$R896))+ISNUMBER(SEARCH("Razonar",$R896))),0)</f>
        <v>0</v>
      </c>
      <c r="T896" s="121" cm="1">
        <f t="array" ref="T896">_xlfn.IFERROR(ISNUMBER(SEARCH("Aplicar",$R896))/(ISNUMBER(SEARCH("Conocer",$R896))+ISNUMBER(SEARCH("Aplicar",$R896))+ISNUMBER(SEARCH("Razonar",$R896))),0)</f>
        <v>0.5</v>
      </c>
      <c r="U896" s="121" cm="1">
        <f t="array" ref="U896">_xlfn.IFERROR(ISNUMBER(SEARCH("Razonar",$R896))/(ISNUMBER(SEARCH("Conocer",$R896))+ISNUMBER(SEARCH("Aplicar",$R896))+ISNUMBER(SEARCH("Razonar",$R896))),0)</f>
        <v>0.5</v>
      </c>
      <c r="V896" t="s" s="35">
        <v>1405</v>
      </c>
      <c r="W896" t="s" s="35">
        <v>6188</v>
      </c>
      <c r="X896" s="36" cm="1">
        <f t="array" ref="X896">IF(OR(_xlfn.IFERROR(INDEX('Datos - Catálogo TIMSS'!$I$5:$I$107,MATCH(K896,'Datos - Catálogo TIMSS'!$A$5:$A$107,0)),"No")="Sí",_xlfn.IFERROR(INDEX('Datos - Catálogo TIMSS'!$I$5:$I$107,MATCH(L896,'Datos - Catálogo TIMSS'!$A$5:$A$107,0)),"No")="Sí"),1,0)</f>
        <v>0</v>
      </c>
      <c r="Y896" s="36" cm="1">
        <f t="array" ref="Y896">IF(_xlfn.IFERROR(INDEX('Datos - Catálogo TIMSS'!$J$5:$J$107,MATCH(K896,'Datos - Catálogo TIMSS'!$A$5:$A$107,0)),"No")="Sí",1,0)</f>
        <v>0</v>
      </c>
      <c r="Z896" s="36" cm="1">
        <f t="array" ref="Z896">IF(_xlfn.IFERROR(INDEX('Datos - Catálogo TIMSS'!$J$5:$J$107,MATCH(L896,'Datos - Catálogo TIMSS'!$A$5:$A$107,0)),"No")="Sí",1,0)</f>
        <v>0</v>
      </c>
      <c r="AA896" t="s" s="35">
        <v>1058</v>
      </c>
      <c r="AB896" s="39"/>
      <c r="AC896" t="str" s="39">
        <v>Sin marco</v>
      </c>
      <c r="AD896" t="s" s="35">
        <v>1900</v>
      </c>
      <c r="AE896" t="str" s="39" cm="1">
        <f t="array" ref="AE896">IF(AD896="","",IF(LEFT(AD896,1)="1","C1",IF(LEFT(AD896,1)="2","C2",IF(LEFT(AD896,1)="3","C3",""))))</f>
        <v>C3</v>
      </c>
      <c r="AF896" t="s" s="35">
        <v>1615</v>
      </c>
      <c r="AG896" t="s" s="35">
        <v>1607</v>
      </c>
      <c r="AH896" t="s" s="35">
        <v>1602</v>
      </c>
      <c r="AI896" t="s" s="35">
        <v>1629</v>
      </c>
      <c r="AJ896" t="s" s="35">
        <v>1631</v>
      </c>
      <c r="AK896" s="39"/>
      <c r="AL896" s="39"/>
      <c r="AM896" s="39"/>
      <c r="AN896" s="39"/>
      <c r="AO896" s="39"/>
      <c r="AP896" s="39"/>
      <c r="AQ896" s="39"/>
      <c r="AR896" s="39"/>
      <c r="AS896" s="39"/>
      <c r="AT896" s="39"/>
      <c r="AU896" s="39"/>
      <c r="AV896" s="39"/>
      <c r="AW896" t="str" s="39" cm="1">
        <f t="array" ref="AW896">AF896&amp;"; "&amp;AG896&amp;"; "&amp;AH896&amp;"; "&amp;AI896&amp;"; "&amp;AJ896</f>
        <v>E6; E3; E1; I3; I4</v>
      </c>
    </row>
    <row r="897" ht="13.65" customHeight="1">
      <c r="A897" t="s" s="35">
        <v>6197</v>
      </c>
      <c r="B897" s="36">
        <v>10</v>
      </c>
      <c r="C897" t="s" s="35">
        <v>220</v>
      </c>
      <c r="D897" t="s" s="35">
        <v>6180</v>
      </c>
      <c r="E897" t="s" s="35">
        <v>6181</v>
      </c>
      <c r="F897" s="36">
        <v>6</v>
      </c>
      <c r="G897" t="s" s="35">
        <v>6182</v>
      </c>
      <c r="H897" t="s" s="35">
        <v>6183</v>
      </c>
      <c r="I897" t="s" s="120">
        <v>6198</v>
      </c>
      <c r="J897" t="s" s="35">
        <v>6185</v>
      </c>
      <c r="K897" t="s" s="35">
        <v>1058</v>
      </c>
      <c r="L897" s="39"/>
      <c r="M897" t="str" s="39">
        <v>Sin marco</v>
      </c>
      <c r="N897" t="str" s="39">
        <v>Sin marco</v>
      </c>
      <c r="O897" t="str" s="39" cm="1">
        <f t="array" ref="O897">IF(L897="","",_xlfn.IFERROR(INDEX('Datos - Catálogo TIMSS'!$C$5:$C$107,MATCH(L897,'Datos - Catálogo TIMSS'!$A$5:$A$107,0)),"?"))</f>
      </c>
      <c r="P897" t="s" s="35">
        <v>1058</v>
      </c>
      <c r="Q897" t="s" s="120">
        <v>6186</v>
      </c>
      <c r="R897" t="s" s="120">
        <v>6199</v>
      </c>
      <c r="S897" s="121" cm="1">
        <f t="array" ref="S897">_xlfn.IFERROR(ISNUMBER(SEARCH("Conocer",$R897))/(ISNUMBER(SEARCH("Conocer",$R897))+ISNUMBER(SEARCH("Aplicar",$R897))+ISNUMBER(SEARCH("Razonar",$R897))),0)</f>
        <v>0.5</v>
      </c>
      <c r="T897" s="121" cm="1">
        <f t="array" ref="T897">_xlfn.IFERROR(ISNUMBER(SEARCH("Aplicar",$R897))/(ISNUMBER(SEARCH("Conocer",$R897))+ISNUMBER(SEARCH("Aplicar",$R897))+ISNUMBER(SEARCH("Razonar",$R897))),0)</f>
        <v>0</v>
      </c>
      <c r="U897" s="121" cm="1">
        <f t="array" ref="U897">_xlfn.IFERROR(ISNUMBER(SEARCH("Razonar",$R897))/(ISNUMBER(SEARCH("Conocer",$R897))+ISNUMBER(SEARCH("Aplicar",$R897))+ISNUMBER(SEARCH("Razonar",$R897))),0)</f>
        <v>0.5</v>
      </c>
      <c r="V897" t="s" s="35">
        <v>1405</v>
      </c>
      <c r="W897" t="s" s="35">
        <v>6188</v>
      </c>
      <c r="X897" s="36" cm="1">
        <f t="array" ref="X897">IF(OR(_xlfn.IFERROR(INDEX('Datos - Catálogo TIMSS'!$I$5:$I$107,MATCH(K897,'Datos - Catálogo TIMSS'!$A$5:$A$107,0)),"No")="Sí",_xlfn.IFERROR(INDEX('Datos - Catálogo TIMSS'!$I$5:$I$107,MATCH(L897,'Datos - Catálogo TIMSS'!$A$5:$A$107,0)),"No")="Sí"),1,0)</f>
        <v>0</v>
      </c>
      <c r="Y897" s="36" cm="1">
        <f t="array" ref="Y897">IF(_xlfn.IFERROR(INDEX('Datos - Catálogo TIMSS'!$J$5:$J$107,MATCH(K897,'Datos - Catálogo TIMSS'!$A$5:$A$107,0)),"No")="Sí",1,0)</f>
        <v>0</v>
      </c>
      <c r="Z897" s="36" cm="1">
        <f t="array" ref="Z897">IF(_xlfn.IFERROR(INDEX('Datos - Catálogo TIMSS'!$J$5:$J$107,MATCH(L897,'Datos - Catálogo TIMSS'!$A$5:$A$107,0)),"No")="Sí",1,0)</f>
        <v>0</v>
      </c>
      <c r="AA897" t="s" s="35">
        <v>1058</v>
      </c>
      <c r="AB897" s="39"/>
      <c r="AC897" t="str" s="39">
        <v>Sin marco</v>
      </c>
      <c r="AD897" t="s" s="35">
        <v>1859</v>
      </c>
      <c r="AE897" t="str" s="39" cm="1">
        <f t="array" ref="AE897">IF(AD897="","",IF(LEFT(AD897,1)="1","C1",IF(LEFT(AD897,1)="2","C2",IF(LEFT(AD897,1)="3","C3",""))))</f>
        <v>C1</v>
      </c>
      <c r="AF897" t="s" s="35">
        <v>1602</v>
      </c>
      <c r="AG897" t="s" s="35">
        <v>1617</v>
      </c>
      <c r="AH897" t="s" s="35">
        <v>1605</v>
      </c>
      <c r="AI897" t="s" s="35">
        <v>1625</v>
      </c>
      <c r="AJ897" t="s" s="35">
        <v>1615</v>
      </c>
      <c r="AK897" s="39"/>
      <c r="AL897" s="39"/>
      <c r="AM897" s="39"/>
      <c r="AN897" s="39"/>
      <c r="AO897" s="39"/>
      <c r="AP897" s="39"/>
      <c r="AQ897" s="39"/>
      <c r="AR897" s="39"/>
      <c r="AS897" s="39"/>
      <c r="AT897" s="39"/>
      <c r="AU897" s="39"/>
      <c r="AV897" s="39"/>
      <c r="AW897" t="str" s="39" cm="1">
        <f t="array" ref="AW897">AF897&amp;"; "&amp;AG897&amp;"; "&amp;AH897&amp;"; "&amp;AI897&amp;"; "&amp;AJ897</f>
        <v>E1; D1; E2; I1; E6</v>
      </c>
    </row>
    <row r="898" ht="13.65" customHeight="1">
      <c r="A898" t="s" s="35">
        <v>6200</v>
      </c>
      <c r="B898" s="36">
        <v>10</v>
      </c>
      <c r="C898" t="s" s="35">
        <v>220</v>
      </c>
      <c r="D898" t="s" s="35">
        <v>6180</v>
      </c>
      <c r="E898" t="s" s="35">
        <v>6181</v>
      </c>
      <c r="F898" s="36">
        <v>7</v>
      </c>
      <c r="G898" t="s" s="35">
        <v>6182</v>
      </c>
      <c r="H898" t="s" s="35">
        <v>6183</v>
      </c>
      <c r="I898" t="s" s="120">
        <v>6201</v>
      </c>
      <c r="J898" t="s" s="35">
        <v>6185</v>
      </c>
      <c r="K898" t="s" s="35">
        <v>1058</v>
      </c>
      <c r="L898" s="39"/>
      <c r="M898" t="str" s="39">
        <v>Sin marco</v>
      </c>
      <c r="N898" t="str" s="39">
        <v>Sin marco</v>
      </c>
      <c r="O898" t="str" s="39" cm="1">
        <f t="array" ref="O898">IF(L898="","",_xlfn.IFERROR(INDEX('Datos - Catálogo TIMSS'!$C$5:$C$107,MATCH(L898,'Datos - Catálogo TIMSS'!$A$5:$A$107,0)),"?"))</f>
      </c>
      <c r="P898" t="s" s="35">
        <v>1058</v>
      </c>
      <c r="Q898" t="s" s="120">
        <v>6186</v>
      </c>
      <c r="R898" t="s" s="120">
        <v>6202</v>
      </c>
      <c r="S898" s="121" cm="1">
        <f t="array" ref="S898">_xlfn.IFERROR(ISNUMBER(SEARCH("Conocer",$R898))/(ISNUMBER(SEARCH("Conocer",$R898))+ISNUMBER(SEARCH("Aplicar",$R898))+ISNUMBER(SEARCH("Razonar",$R898))),0)</f>
        <v>0</v>
      </c>
      <c r="T898" s="121" cm="1">
        <f t="array" ref="T898">_xlfn.IFERROR(ISNUMBER(SEARCH("Aplicar",$R898))/(ISNUMBER(SEARCH("Conocer",$R898))+ISNUMBER(SEARCH("Aplicar",$R898))+ISNUMBER(SEARCH("Razonar",$R898))),0)</f>
        <v>0.5</v>
      </c>
      <c r="U898" s="121" cm="1">
        <f t="array" ref="U898">_xlfn.IFERROR(ISNUMBER(SEARCH("Razonar",$R898))/(ISNUMBER(SEARCH("Conocer",$R898))+ISNUMBER(SEARCH("Aplicar",$R898))+ISNUMBER(SEARCH("Razonar",$R898))),0)</f>
        <v>0.5</v>
      </c>
      <c r="V898" t="s" s="35">
        <v>1405</v>
      </c>
      <c r="W898" t="s" s="35">
        <v>6188</v>
      </c>
      <c r="X898" s="36" cm="1">
        <f t="array" ref="X898">IF(OR(_xlfn.IFERROR(INDEX('Datos - Catálogo TIMSS'!$I$5:$I$107,MATCH(K898,'Datos - Catálogo TIMSS'!$A$5:$A$107,0)),"No")="Sí",_xlfn.IFERROR(INDEX('Datos - Catálogo TIMSS'!$I$5:$I$107,MATCH(L898,'Datos - Catálogo TIMSS'!$A$5:$A$107,0)),"No")="Sí"),1,0)</f>
        <v>0</v>
      </c>
      <c r="Y898" s="36" cm="1">
        <f t="array" ref="Y898">IF(_xlfn.IFERROR(INDEX('Datos - Catálogo TIMSS'!$J$5:$J$107,MATCH(K898,'Datos - Catálogo TIMSS'!$A$5:$A$107,0)),"No")="Sí",1,0)</f>
        <v>0</v>
      </c>
      <c r="Z898" s="36" cm="1">
        <f t="array" ref="Z898">IF(_xlfn.IFERROR(INDEX('Datos - Catálogo TIMSS'!$J$5:$J$107,MATCH(L898,'Datos - Catálogo TIMSS'!$A$5:$A$107,0)),"No")="Sí",1,0)</f>
        <v>0</v>
      </c>
      <c r="AA898" t="s" s="35">
        <v>1058</v>
      </c>
      <c r="AB898" s="39"/>
      <c r="AC898" t="str" s="39">
        <v>Sin marco</v>
      </c>
      <c r="AD898" t="s" s="35">
        <v>1900</v>
      </c>
      <c r="AE898" t="str" s="39" cm="1">
        <f t="array" ref="AE898">IF(AD898="","",IF(LEFT(AD898,1)="1","C1",IF(LEFT(AD898,1)="2","C2",IF(LEFT(AD898,1)="3","C3",""))))</f>
        <v>C3</v>
      </c>
      <c r="AF898" t="s" s="35">
        <v>1615</v>
      </c>
      <c r="AG898" t="s" s="35">
        <v>1612</v>
      </c>
      <c r="AH898" t="s" s="35">
        <v>1602</v>
      </c>
      <c r="AI898" t="s" s="35">
        <v>1629</v>
      </c>
      <c r="AJ898" t="s" s="35">
        <v>1633</v>
      </c>
      <c r="AK898" s="39"/>
      <c r="AL898" s="39"/>
      <c r="AM898" s="39"/>
      <c r="AN898" s="39"/>
      <c r="AO898" s="39"/>
      <c r="AP898" s="39"/>
      <c r="AQ898" s="39"/>
      <c r="AR898" s="39"/>
      <c r="AS898" s="39"/>
      <c r="AT898" s="39"/>
      <c r="AU898" s="39"/>
      <c r="AV898" s="39"/>
      <c r="AW898" t="str" s="39" cm="1">
        <f t="array" ref="AW898">AF898&amp;"; "&amp;AG898&amp;"; "&amp;AH898&amp;"; "&amp;AI898&amp;"; "&amp;AJ898</f>
        <v>E6; E5; E1; I3; I5</v>
      </c>
    </row>
    <row r="899" ht="13.65" customHeight="1">
      <c r="A899" t="s" s="35">
        <v>6204</v>
      </c>
      <c r="B899" s="36">
        <v>10</v>
      </c>
      <c r="C899" t="s" s="35">
        <v>220</v>
      </c>
      <c r="D899" t="s" s="35">
        <v>6180</v>
      </c>
      <c r="E899" t="s" s="35">
        <v>6181</v>
      </c>
      <c r="F899" s="36">
        <v>8</v>
      </c>
      <c r="G899" t="s" s="35">
        <v>6182</v>
      </c>
      <c r="H899" t="s" s="35">
        <v>6205</v>
      </c>
      <c r="I899" t="s" s="120">
        <v>6206</v>
      </c>
      <c r="J899" t="s" s="35">
        <v>6185</v>
      </c>
      <c r="K899" t="s" s="35">
        <v>1058</v>
      </c>
      <c r="L899" s="39"/>
      <c r="M899" t="str" s="39">
        <v>Sin marco</v>
      </c>
      <c r="N899" t="str" s="39">
        <v>Sin marco</v>
      </c>
      <c r="O899" t="str" s="39" cm="1">
        <f t="array" ref="O899">IF(L899="","",_xlfn.IFERROR(INDEX('Datos - Catálogo TIMSS'!$C$5:$C$107,MATCH(L899,'Datos - Catálogo TIMSS'!$A$5:$A$107,0)),"?"))</f>
      </c>
      <c r="P899" t="s" s="35">
        <v>1058</v>
      </c>
      <c r="Q899" t="s" s="120">
        <v>6186</v>
      </c>
      <c r="R899" t="s" s="120">
        <v>6207</v>
      </c>
      <c r="S899" s="121" cm="1">
        <f t="array" ref="S899">_xlfn.IFERROR(ISNUMBER(SEARCH("Conocer",$R899))/(ISNUMBER(SEARCH("Conocer",$R899))+ISNUMBER(SEARCH("Aplicar",$R899))+ISNUMBER(SEARCH("Razonar",$R899))),0)</f>
        <v>0</v>
      </c>
      <c r="T899" s="121" cm="1">
        <f t="array" ref="T899">_xlfn.IFERROR(ISNUMBER(SEARCH("Aplicar",$R899))/(ISNUMBER(SEARCH("Conocer",$R899))+ISNUMBER(SEARCH("Aplicar",$R899))+ISNUMBER(SEARCH("Razonar",$R899))),0)</f>
        <v>0.5</v>
      </c>
      <c r="U899" s="121" cm="1">
        <f t="array" ref="U899">_xlfn.IFERROR(ISNUMBER(SEARCH("Razonar",$R899))/(ISNUMBER(SEARCH("Conocer",$R899))+ISNUMBER(SEARCH("Aplicar",$R899))+ISNUMBER(SEARCH("Razonar",$R899))),0)</f>
        <v>0.5</v>
      </c>
      <c r="V899" t="s" s="35">
        <v>1405</v>
      </c>
      <c r="W899" t="s" s="35">
        <v>6188</v>
      </c>
      <c r="X899" s="36" cm="1">
        <f t="array" ref="X899">IF(OR(_xlfn.IFERROR(INDEX('Datos - Catálogo TIMSS'!$I$5:$I$107,MATCH(K899,'Datos - Catálogo TIMSS'!$A$5:$A$107,0)),"No")="Sí",_xlfn.IFERROR(INDEX('Datos - Catálogo TIMSS'!$I$5:$I$107,MATCH(L899,'Datos - Catálogo TIMSS'!$A$5:$A$107,0)),"No")="Sí"),1,0)</f>
        <v>0</v>
      </c>
      <c r="Y899" s="36" cm="1">
        <f t="array" ref="Y899">IF(_xlfn.IFERROR(INDEX('Datos - Catálogo TIMSS'!$J$5:$J$107,MATCH(K899,'Datos - Catálogo TIMSS'!$A$5:$A$107,0)),"No")="Sí",1,0)</f>
        <v>0</v>
      </c>
      <c r="Z899" s="36" cm="1">
        <f t="array" ref="Z899">IF(_xlfn.IFERROR(INDEX('Datos - Catálogo TIMSS'!$J$5:$J$107,MATCH(L899,'Datos - Catálogo TIMSS'!$A$5:$A$107,0)),"No")="Sí",1,0)</f>
        <v>0</v>
      </c>
      <c r="AA899" t="s" s="35">
        <v>1058</v>
      </c>
      <c r="AB899" s="39"/>
      <c r="AC899" t="str" s="39">
        <v>Sin marco</v>
      </c>
      <c r="AD899" t="s" s="35">
        <v>1834</v>
      </c>
      <c r="AE899" t="str" s="39" cm="1">
        <f t="array" ref="AE899">IF(AD899="","",IF(LEFT(AD899,1)="1","C1",IF(LEFT(AD899,1)="2","C2",IF(LEFT(AD899,1)="3","C3",""))))</f>
        <v>C2</v>
      </c>
      <c r="AF899" t="s" s="35">
        <v>1602</v>
      </c>
      <c r="AG899" t="s" s="35">
        <v>1617</v>
      </c>
      <c r="AH899" t="s" s="35">
        <v>1602</v>
      </c>
      <c r="AI899" t="s" s="35">
        <v>1619</v>
      </c>
      <c r="AJ899" t="s" s="35">
        <v>1621</v>
      </c>
      <c r="AK899" s="39"/>
      <c r="AL899" s="39"/>
      <c r="AM899" s="39"/>
      <c r="AN899" s="39"/>
      <c r="AO899" s="39"/>
      <c r="AP899" s="39"/>
      <c r="AQ899" s="39"/>
      <c r="AR899" s="39"/>
      <c r="AS899" s="39"/>
      <c r="AT899" s="39"/>
      <c r="AU899" s="39"/>
      <c r="AV899" s="39"/>
      <c r="AW899" t="str" s="39" cm="1">
        <f t="array" ref="AW899">AF899&amp;"; "&amp;AG899&amp;"; "&amp;AH899&amp;"; "&amp;AI899&amp;"; "&amp;AJ899</f>
        <v>E1; D1; E1; D2; D3</v>
      </c>
    </row>
    <row r="900" ht="13.65" customHeight="1">
      <c r="A900" t="s" s="35">
        <v>6208</v>
      </c>
      <c r="B900" s="36">
        <v>10</v>
      </c>
      <c r="C900" t="s" s="35">
        <v>220</v>
      </c>
      <c r="D900" t="s" s="35">
        <v>6180</v>
      </c>
      <c r="E900" t="s" s="35">
        <v>6181</v>
      </c>
      <c r="F900" s="36">
        <v>9</v>
      </c>
      <c r="G900" t="s" s="35">
        <v>6182</v>
      </c>
      <c r="H900" t="s" s="35">
        <v>6209</v>
      </c>
      <c r="I900" t="s" s="120">
        <v>6210</v>
      </c>
      <c r="J900" t="s" s="35">
        <v>6185</v>
      </c>
      <c r="K900" t="s" s="35">
        <v>1058</v>
      </c>
      <c r="L900" s="39"/>
      <c r="M900" t="str" s="39">
        <v>Sin marco</v>
      </c>
      <c r="N900" t="str" s="39">
        <v>Sin marco</v>
      </c>
      <c r="O900" t="str" s="39" cm="1">
        <f t="array" ref="O900">IF(L900="","",_xlfn.IFERROR(INDEX('Datos - Catálogo TIMSS'!$C$5:$C$107,MATCH(L900,'Datos - Catálogo TIMSS'!$A$5:$A$107,0)),"?"))</f>
      </c>
      <c r="P900" t="s" s="35">
        <v>1058</v>
      </c>
      <c r="Q900" t="s" s="120">
        <v>6186</v>
      </c>
      <c r="R900" t="s" s="120">
        <v>6211</v>
      </c>
      <c r="S900" s="121" cm="1">
        <f t="array" ref="S900">_xlfn.IFERROR(ISNUMBER(SEARCH("Conocer",$R900))/(ISNUMBER(SEARCH("Conocer",$R900))+ISNUMBER(SEARCH("Aplicar",$R900))+ISNUMBER(SEARCH("Razonar",$R900))),0)</f>
        <v>0</v>
      </c>
      <c r="T900" s="121" cm="1">
        <f t="array" ref="T900">_xlfn.IFERROR(ISNUMBER(SEARCH("Aplicar",$R900))/(ISNUMBER(SEARCH("Conocer",$R900))+ISNUMBER(SEARCH("Aplicar",$R900))+ISNUMBER(SEARCH("Razonar",$R900))),0)</f>
        <v>0.5</v>
      </c>
      <c r="U900" s="121" cm="1">
        <f t="array" ref="U900">_xlfn.IFERROR(ISNUMBER(SEARCH("Razonar",$R900))/(ISNUMBER(SEARCH("Conocer",$R900))+ISNUMBER(SEARCH("Aplicar",$R900))+ISNUMBER(SEARCH("Razonar",$R900))),0)</f>
        <v>0.5</v>
      </c>
      <c r="V900" t="s" s="35">
        <v>1405</v>
      </c>
      <c r="W900" t="s" s="35">
        <v>6188</v>
      </c>
      <c r="X900" s="36" cm="1">
        <f t="array" ref="X900">IF(OR(_xlfn.IFERROR(INDEX('Datos - Catálogo TIMSS'!$I$5:$I$107,MATCH(K900,'Datos - Catálogo TIMSS'!$A$5:$A$107,0)),"No")="Sí",_xlfn.IFERROR(INDEX('Datos - Catálogo TIMSS'!$I$5:$I$107,MATCH(L900,'Datos - Catálogo TIMSS'!$A$5:$A$107,0)),"No")="Sí"),1,0)</f>
        <v>0</v>
      </c>
      <c r="Y900" s="36" cm="1">
        <f t="array" ref="Y900">IF(_xlfn.IFERROR(INDEX('Datos - Catálogo TIMSS'!$J$5:$J$107,MATCH(K900,'Datos - Catálogo TIMSS'!$A$5:$A$107,0)),"No")="Sí",1,0)</f>
        <v>0</v>
      </c>
      <c r="Z900" s="36" cm="1">
        <f t="array" ref="Z900">IF(_xlfn.IFERROR(INDEX('Datos - Catálogo TIMSS'!$J$5:$J$107,MATCH(L900,'Datos - Catálogo TIMSS'!$A$5:$A$107,0)),"No")="Sí",1,0)</f>
        <v>0</v>
      </c>
      <c r="AA900" t="s" s="35">
        <v>1058</v>
      </c>
      <c r="AB900" s="39"/>
      <c r="AC900" t="str" s="39">
        <v>Sin marco</v>
      </c>
      <c r="AD900" t="s" s="35">
        <v>1859</v>
      </c>
      <c r="AE900" t="str" s="39" cm="1">
        <f t="array" ref="AE900">IF(AD900="","",IF(LEFT(AD900,1)="1","C1",IF(LEFT(AD900,1)="2","C2",IF(LEFT(AD900,1)="3","C3",""))))</f>
        <v>C1</v>
      </c>
      <c r="AF900" t="s" s="35">
        <v>1602</v>
      </c>
      <c r="AG900" t="s" s="35">
        <v>1607</v>
      </c>
      <c r="AH900" t="s" s="35">
        <v>1605</v>
      </c>
      <c r="AI900" t="s" s="35">
        <v>1623</v>
      </c>
      <c r="AJ900" t="s" s="35">
        <v>1607</v>
      </c>
      <c r="AK900" s="39"/>
      <c r="AL900" s="39"/>
      <c r="AM900" s="39"/>
      <c r="AN900" s="39"/>
      <c r="AO900" s="39"/>
      <c r="AP900" s="39"/>
      <c r="AQ900" s="39"/>
      <c r="AR900" s="39"/>
      <c r="AS900" s="39"/>
      <c r="AT900" s="39"/>
      <c r="AU900" s="39"/>
      <c r="AV900" s="39"/>
      <c r="AW900" t="str" s="39" cm="1">
        <f t="array" ref="AW900">AF900&amp;"; "&amp;AG900&amp;"; "&amp;AH900&amp;"; "&amp;AI900&amp;"; "&amp;AJ900</f>
        <v>E1; E3; E2; D4; E3</v>
      </c>
    </row>
    <row r="901" ht="13.65" customHeight="1">
      <c r="A901" t="s" s="35">
        <v>6212</v>
      </c>
      <c r="B901" s="36">
        <v>10</v>
      </c>
      <c r="C901" t="s" s="35">
        <v>220</v>
      </c>
      <c r="D901" t="s" s="35">
        <v>6180</v>
      </c>
      <c r="E901" t="s" s="35">
        <v>6181</v>
      </c>
      <c r="F901" s="36">
        <v>10</v>
      </c>
      <c r="G901" t="s" s="35">
        <v>6182</v>
      </c>
      <c r="H901" t="s" s="35">
        <v>6209</v>
      </c>
      <c r="I901" t="s" s="120">
        <v>6213</v>
      </c>
      <c r="J901" t="s" s="35">
        <v>6185</v>
      </c>
      <c r="K901" t="s" s="35">
        <v>1058</v>
      </c>
      <c r="L901" s="39"/>
      <c r="M901" t="str" s="39">
        <v>Sin marco</v>
      </c>
      <c r="N901" t="str" s="39">
        <v>Sin marco</v>
      </c>
      <c r="O901" t="str" s="39" cm="1">
        <f t="array" ref="O901">IF(L901="","",_xlfn.IFERROR(INDEX('Datos - Catálogo TIMSS'!$C$5:$C$107,MATCH(L901,'Datos - Catálogo TIMSS'!$A$5:$A$107,0)),"?"))</f>
      </c>
      <c r="P901" t="s" s="35">
        <v>1058</v>
      </c>
      <c r="Q901" t="s" s="120">
        <v>6186</v>
      </c>
      <c r="R901" t="s" s="120">
        <v>6214</v>
      </c>
      <c r="S901" s="121" cm="1">
        <f t="array" ref="S901">_xlfn.IFERROR(ISNUMBER(SEARCH("Conocer",$R901))/(ISNUMBER(SEARCH("Conocer",$R901))+ISNUMBER(SEARCH("Aplicar",$R901))+ISNUMBER(SEARCH("Razonar",$R901))),0)</f>
        <v>0</v>
      </c>
      <c r="T901" s="121" cm="1">
        <f t="array" ref="T901">_xlfn.IFERROR(ISNUMBER(SEARCH("Aplicar",$R901))/(ISNUMBER(SEARCH("Conocer",$R901))+ISNUMBER(SEARCH("Aplicar",$R901))+ISNUMBER(SEARCH("Razonar",$R901))),0)</f>
        <v>0.5</v>
      </c>
      <c r="U901" s="121" cm="1">
        <f t="array" ref="U901">_xlfn.IFERROR(ISNUMBER(SEARCH("Razonar",$R901))/(ISNUMBER(SEARCH("Conocer",$R901))+ISNUMBER(SEARCH("Aplicar",$R901))+ISNUMBER(SEARCH("Razonar",$R901))),0)</f>
        <v>0.5</v>
      </c>
      <c r="V901" t="s" s="35">
        <v>1405</v>
      </c>
      <c r="W901" t="s" s="35">
        <v>6188</v>
      </c>
      <c r="X901" s="36" cm="1">
        <f t="array" ref="X901">IF(OR(_xlfn.IFERROR(INDEX('Datos - Catálogo TIMSS'!$I$5:$I$107,MATCH(K901,'Datos - Catálogo TIMSS'!$A$5:$A$107,0)),"No")="Sí",_xlfn.IFERROR(INDEX('Datos - Catálogo TIMSS'!$I$5:$I$107,MATCH(L901,'Datos - Catálogo TIMSS'!$A$5:$A$107,0)),"No")="Sí"),1,0)</f>
        <v>0</v>
      </c>
      <c r="Y901" s="36" cm="1">
        <f t="array" ref="Y901">IF(_xlfn.IFERROR(INDEX('Datos - Catálogo TIMSS'!$J$5:$J$107,MATCH(K901,'Datos - Catálogo TIMSS'!$A$5:$A$107,0)),"No")="Sí",1,0)</f>
        <v>0</v>
      </c>
      <c r="Z901" s="36" cm="1">
        <f t="array" ref="Z901">IF(_xlfn.IFERROR(INDEX('Datos - Catálogo TIMSS'!$J$5:$J$107,MATCH(L901,'Datos - Catálogo TIMSS'!$A$5:$A$107,0)),"No")="Sí",1,0)</f>
        <v>0</v>
      </c>
      <c r="AA901" t="s" s="35">
        <v>1058</v>
      </c>
      <c r="AB901" s="39"/>
      <c r="AC901" t="str" s="39">
        <v>Sin marco</v>
      </c>
      <c r="AD901" t="s" s="35">
        <v>1834</v>
      </c>
      <c r="AE901" t="str" s="39" cm="1">
        <f t="array" ref="AE901">IF(AD901="","",IF(LEFT(AD901,1)="1","C1",IF(LEFT(AD901,1)="2","C2",IF(LEFT(AD901,1)="3","C3",""))))</f>
        <v>C2</v>
      </c>
      <c r="AF901" t="s" s="35">
        <v>1602</v>
      </c>
      <c r="AG901" t="s" s="35">
        <v>1617</v>
      </c>
      <c r="AH901" t="s" s="35">
        <v>1605</v>
      </c>
      <c r="AI901" t="s" s="35">
        <v>1623</v>
      </c>
      <c r="AJ901" t="s" s="35">
        <v>1621</v>
      </c>
      <c r="AK901" s="39"/>
      <c r="AL901" s="39"/>
      <c r="AM901" s="39"/>
      <c r="AN901" s="39"/>
      <c r="AO901" s="39"/>
      <c r="AP901" s="39"/>
      <c r="AQ901" s="39"/>
      <c r="AR901" s="39"/>
      <c r="AS901" s="39"/>
      <c r="AT901" s="39"/>
      <c r="AU901" s="39"/>
      <c r="AV901" s="39"/>
      <c r="AW901" t="str" s="39" cm="1">
        <f t="array" ref="AW901">AF901&amp;"; "&amp;AG901&amp;"; "&amp;AH901&amp;"; "&amp;AI901&amp;"; "&amp;AJ901</f>
        <v>E1; D1; E2; D4; D3</v>
      </c>
    </row>
    <row r="902" ht="13.65" customHeight="1">
      <c r="A902" t="s" s="35">
        <v>6215</v>
      </c>
      <c r="B902" s="36">
        <v>10</v>
      </c>
      <c r="C902" t="s" s="35">
        <v>220</v>
      </c>
      <c r="D902" t="s" s="35">
        <v>6180</v>
      </c>
      <c r="E902" t="s" s="35">
        <v>6181</v>
      </c>
      <c r="F902" s="36">
        <v>11</v>
      </c>
      <c r="G902" t="s" s="35">
        <v>6182</v>
      </c>
      <c r="H902" t="s" s="35">
        <v>6209</v>
      </c>
      <c r="I902" t="s" s="120">
        <v>6216</v>
      </c>
      <c r="J902" t="s" s="35">
        <v>6185</v>
      </c>
      <c r="K902" t="s" s="35">
        <v>1058</v>
      </c>
      <c r="L902" s="39"/>
      <c r="M902" t="str" s="39">
        <v>Sin marco</v>
      </c>
      <c r="N902" t="str" s="39">
        <v>Sin marco</v>
      </c>
      <c r="O902" t="str" s="39" cm="1">
        <f t="array" ref="O902">IF(L902="","",_xlfn.IFERROR(INDEX('Datos - Catálogo TIMSS'!$C$5:$C$107,MATCH(L902,'Datos - Catálogo TIMSS'!$A$5:$A$107,0)),"?"))</f>
      </c>
      <c r="P902" t="s" s="35">
        <v>1058</v>
      </c>
      <c r="Q902" t="s" s="120">
        <v>6186</v>
      </c>
      <c r="R902" t="s" s="120">
        <v>6217</v>
      </c>
      <c r="S902" s="121" cm="1">
        <f t="array" ref="S902">_xlfn.IFERROR(ISNUMBER(SEARCH("Conocer",$R902))/(ISNUMBER(SEARCH("Conocer",$R902))+ISNUMBER(SEARCH("Aplicar",$R902))+ISNUMBER(SEARCH("Razonar",$R902))),0)</f>
        <v>0</v>
      </c>
      <c r="T902" s="121" cm="1">
        <f t="array" ref="T902">_xlfn.IFERROR(ISNUMBER(SEARCH("Aplicar",$R902))/(ISNUMBER(SEARCH("Conocer",$R902))+ISNUMBER(SEARCH("Aplicar",$R902))+ISNUMBER(SEARCH("Razonar",$R902))),0)</f>
        <v>0.5</v>
      </c>
      <c r="U902" s="121" cm="1">
        <f t="array" ref="U902">_xlfn.IFERROR(ISNUMBER(SEARCH("Razonar",$R902))/(ISNUMBER(SEARCH("Conocer",$R902))+ISNUMBER(SEARCH("Aplicar",$R902))+ISNUMBER(SEARCH("Razonar",$R902))),0)</f>
        <v>0.5</v>
      </c>
      <c r="V902" t="s" s="35">
        <v>1405</v>
      </c>
      <c r="W902" t="s" s="35">
        <v>6188</v>
      </c>
      <c r="X902" s="36" cm="1">
        <f t="array" ref="X902">IF(OR(_xlfn.IFERROR(INDEX('Datos - Catálogo TIMSS'!$I$5:$I$107,MATCH(K902,'Datos - Catálogo TIMSS'!$A$5:$A$107,0)),"No")="Sí",_xlfn.IFERROR(INDEX('Datos - Catálogo TIMSS'!$I$5:$I$107,MATCH(L902,'Datos - Catálogo TIMSS'!$A$5:$A$107,0)),"No")="Sí"),1,0)</f>
        <v>0</v>
      </c>
      <c r="Y902" s="36" cm="1">
        <f t="array" ref="Y902">IF(_xlfn.IFERROR(INDEX('Datos - Catálogo TIMSS'!$J$5:$J$107,MATCH(K902,'Datos - Catálogo TIMSS'!$A$5:$A$107,0)),"No")="Sí",1,0)</f>
        <v>0</v>
      </c>
      <c r="Z902" s="36" cm="1">
        <f t="array" ref="Z902">IF(_xlfn.IFERROR(INDEX('Datos - Catálogo TIMSS'!$J$5:$J$107,MATCH(L902,'Datos - Catálogo TIMSS'!$A$5:$A$107,0)),"No")="Sí",1,0)</f>
        <v>0</v>
      </c>
      <c r="AA902" t="s" s="35">
        <v>1058</v>
      </c>
      <c r="AB902" s="39"/>
      <c r="AC902" t="str" s="39">
        <v>Sin marco</v>
      </c>
      <c r="AD902" t="s" s="35">
        <v>1859</v>
      </c>
      <c r="AE902" t="str" s="39" cm="1">
        <f t="array" ref="AE902">IF(AD902="","",IF(LEFT(AD902,1)="1","C1",IF(LEFT(AD902,1)="2","C2",IF(LEFT(AD902,1)="3","C3",""))))</f>
        <v>C1</v>
      </c>
      <c r="AF902" t="s" s="35">
        <v>1602</v>
      </c>
      <c r="AG902" t="s" s="35">
        <v>1607</v>
      </c>
      <c r="AH902" t="s" s="35">
        <v>1602</v>
      </c>
      <c r="AI902" t="s" s="35">
        <v>1623</v>
      </c>
      <c r="AJ902" t="s" s="35">
        <v>1607</v>
      </c>
      <c r="AK902" s="39"/>
      <c r="AL902" s="39"/>
      <c r="AM902" s="39"/>
      <c r="AN902" s="39"/>
      <c r="AO902" s="39"/>
      <c r="AP902" s="39"/>
      <c r="AQ902" s="39"/>
      <c r="AR902" s="39"/>
      <c r="AS902" s="39"/>
      <c r="AT902" s="39"/>
      <c r="AU902" s="39"/>
      <c r="AV902" s="39"/>
      <c r="AW902" t="str" s="39" cm="1">
        <f t="array" ref="AW902">AF902&amp;"; "&amp;AG902&amp;"; "&amp;AH902&amp;"; "&amp;AI902&amp;"; "&amp;AJ902</f>
        <v>E1; E3; E1; D4; E3</v>
      </c>
    </row>
    <row r="903" ht="13.65" customHeight="1">
      <c r="A903" t="s" s="35">
        <v>6218</v>
      </c>
      <c r="B903" s="36">
        <v>10</v>
      </c>
      <c r="C903" t="s" s="35">
        <v>220</v>
      </c>
      <c r="D903" t="s" s="35">
        <v>6180</v>
      </c>
      <c r="E903" t="s" s="35">
        <v>6181</v>
      </c>
      <c r="F903" s="36">
        <v>12</v>
      </c>
      <c r="G903" t="s" s="35">
        <v>6182</v>
      </c>
      <c r="H903" t="s" s="35">
        <v>6209</v>
      </c>
      <c r="I903" t="s" s="120">
        <v>6219</v>
      </c>
      <c r="J903" t="s" s="35">
        <v>6185</v>
      </c>
      <c r="K903" t="s" s="35">
        <v>1058</v>
      </c>
      <c r="L903" s="39"/>
      <c r="M903" t="str" s="39">
        <v>Sin marco</v>
      </c>
      <c r="N903" t="str" s="39">
        <v>Sin marco</v>
      </c>
      <c r="O903" t="str" s="39" cm="1">
        <f t="array" ref="O903">IF(L903="","",_xlfn.IFERROR(INDEX('Datos - Catálogo TIMSS'!$C$5:$C$107,MATCH(L903,'Datos - Catálogo TIMSS'!$A$5:$A$107,0)),"?"))</f>
      </c>
      <c r="P903" t="s" s="35">
        <v>1058</v>
      </c>
      <c r="Q903" t="s" s="120">
        <v>6186</v>
      </c>
      <c r="R903" t="s" s="120">
        <v>6220</v>
      </c>
      <c r="S903" s="121" cm="1">
        <f t="array" ref="S903">_xlfn.IFERROR(ISNUMBER(SEARCH("Conocer",$R903))/(ISNUMBER(SEARCH("Conocer",$R903))+ISNUMBER(SEARCH("Aplicar",$R903))+ISNUMBER(SEARCH("Razonar",$R903))),0)</f>
        <v>0</v>
      </c>
      <c r="T903" s="121" cm="1">
        <f t="array" ref="T903">_xlfn.IFERROR(ISNUMBER(SEARCH("Aplicar",$R903))/(ISNUMBER(SEARCH("Conocer",$R903))+ISNUMBER(SEARCH("Aplicar",$R903))+ISNUMBER(SEARCH("Razonar",$R903))),0)</f>
        <v>0.5</v>
      </c>
      <c r="U903" s="121" cm="1">
        <f t="array" ref="U903">_xlfn.IFERROR(ISNUMBER(SEARCH("Razonar",$R903))/(ISNUMBER(SEARCH("Conocer",$R903))+ISNUMBER(SEARCH("Aplicar",$R903))+ISNUMBER(SEARCH("Razonar",$R903))),0)</f>
        <v>0.5</v>
      </c>
      <c r="V903" t="s" s="35">
        <v>1405</v>
      </c>
      <c r="W903" t="s" s="35">
        <v>6188</v>
      </c>
      <c r="X903" s="36" cm="1">
        <f t="array" ref="X903">IF(OR(_xlfn.IFERROR(INDEX('Datos - Catálogo TIMSS'!$I$5:$I$107,MATCH(K903,'Datos - Catálogo TIMSS'!$A$5:$A$107,0)),"No")="Sí",_xlfn.IFERROR(INDEX('Datos - Catálogo TIMSS'!$I$5:$I$107,MATCH(L903,'Datos - Catálogo TIMSS'!$A$5:$A$107,0)),"No")="Sí"),1,0)</f>
        <v>0</v>
      </c>
      <c r="Y903" s="36" cm="1">
        <f t="array" ref="Y903">IF(_xlfn.IFERROR(INDEX('Datos - Catálogo TIMSS'!$J$5:$J$107,MATCH(K903,'Datos - Catálogo TIMSS'!$A$5:$A$107,0)),"No")="Sí",1,0)</f>
        <v>0</v>
      </c>
      <c r="Z903" s="36" cm="1">
        <f t="array" ref="Z903">IF(_xlfn.IFERROR(INDEX('Datos - Catálogo TIMSS'!$J$5:$J$107,MATCH(L903,'Datos - Catálogo TIMSS'!$A$5:$A$107,0)),"No")="Sí",1,0)</f>
        <v>0</v>
      </c>
      <c r="AA903" t="s" s="35">
        <v>1058</v>
      </c>
      <c r="AB903" s="39"/>
      <c r="AC903" t="str" s="39">
        <v>Sin marco</v>
      </c>
      <c r="AD903" t="s" s="35">
        <v>1900</v>
      </c>
      <c r="AE903" t="str" s="39" cm="1">
        <f t="array" ref="AE903">IF(AD903="","",IF(LEFT(AD903,1)="1","C1",IF(LEFT(AD903,1)="2","C2",IF(LEFT(AD903,1)="3","C3",""))))</f>
        <v>C3</v>
      </c>
      <c r="AF903" t="s" s="35">
        <v>1602</v>
      </c>
      <c r="AG903" t="s" s="35">
        <v>1617</v>
      </c>
      <c r="AH903" t="s" s="35">
        <v>1605</v>
      </c>
      <c r="AI903" t="s" s="35">
        <v>1629</v>
      </c>
      <c r="AJ903" t="s" s="35">
        <v>1631</v>
      </c>
      <c r="AK903" s="39"/>
      <c r="AL903" s="39"/>
      <c r="AM903" s="39"/>
      <c r="AN903" s="39"/>
      <c r="AO903" s="39"/>
      <c r="AP903" s="39"/>
      <c r="AQ903" s="39"/>
      <c r="AR903" s="39"/>
      <c r="AS903" s="39"/>
      <c r="AT903" s="39"/>
      <c r="AU903" s="39"/>
      <c r="AV903" s="39"/>
      <c r="AW903" t="str" s="39" cm="1">
        <f t="array" ref="AW903">AF903&amp;"; "&amp;AG903&amp;"; "&amp;AH903&amp;"; "&amp;AI903&amp;"; "&amp;AJ903</f>
        <v>E1; D1; E2; I3; I4</v>
      </c>
    </row>
    <row r="904" ht="13.65" customHeight="1">
      <c r="A904" t="s" s="35">
        <v>6221</v>
      </c>
      <c r="B904" s="36">
        <v>10</v>
      </c>
      <c r="C904" t="s" s="35">
        <v>220</v>
      </c>
      <c r="D904" t="s" s="35">
        <v>6180</v>
      </c>
      <c r="E904" t="s" s="35">
        <v>6181</v>
      </c>
      <c r="F904" s="36">
        <v>13</v>
      </c>
      <c r="G904" t="s" s="35">
        <v>6182</v>
      </c>
      <c r="H904" t="s" s="35">
        <v>6222</v>
      </c>
      <c r="I904" t="s" s="120">
        <v>6223</v>
      </c>
      <c r="J904" t="s" s="35">
        <v>6185</v>
      </c>
      <c r="K904" t="s" s="35">
        <v>1058</v>
      </c>
      <c r="L904" s="39"/>
      <c r="M904" t="str" s="39">
        <v>Sin marco</v>
      </c>
      <c r="N904" t="str" s="39">
        <v>Sin marco</v>
      </c>
      <c r="O904" t="str" s="39" cm="1">
        <f t="array" ref="O904">IF(L904="","",_xlfn.IFERROR(INDEX('Datos - Catálogo TIMSS'!$C$5:$C$107,MATCH(L904,'Datos - Catálogo TIMSS'!$A$5:$A$107,0)),"?"))</f>
      </c>
      <c r="P904" t="s" s="35">
        <v>1058</v>
      </c>
      <c r="Q904" t="s" s="120">
        <v>6186</v>
      </c>
      <c r="R904" t="s" s="120">
        <v>6224</v>
      </c>
      <c r="S904" s="121" cm="1">
        <f t="array" ref="S904">_xlfn.IFERROR(ISNUMBER(SEARCH("Conocer",$R904))/(ISNUMBER(SEARCH("Conocer",$R904))+ISNUMBER(SEARCH("Aplicar",$R904))+ISNUMBER(SEARCH("Razonar",$R904))),0)</f>
        <v>0.5</v>
      </c>
      <c r="T904" s="121" cm="1">
        <f t="array" ref="T904">_xlfn.IFERROR(ISNUMBER(SEARCH("Aplicar",$R904))/(ISNUMBER(SEARCH("Conocer",$R904))+ISNUMBER(SEARCH("Aplicar",$R904))+ISNUMBER(SEARCH("Razonar",$R904))),0)</f>
        <v>0</v>
      </c>
      <c r="U904" s="121" cm="1">
        <f t="array" ref="U904">_xlfn.IFERROR(ISNUMBER(SEARCH("Razonar",$R904))/(ISNUMBER(SEARCH("Conocer",$R904))+ISNUMBER(SEARCH("Aplicar",$R904))+ISNUMBER(SEARCH("Razonar",$R904))),0)</f>
        <v>0.5</v>
      </c>
      <c r="V904" t="s" s="35">
        <v>1405</v>
      </c>
      <c r="W904" t="s" s="35">
        <v>6188</v>
      </c>
      <c r="X904" s="36" cm="1">
        <f t="array" ref="X904">IF(OR(_xlfn.IFERROR(INDEX('Datos - Catálogo TIMSS'!$I$5:$I$107,MATCH(K904,'Datos - Catálogo TIMSS'!$A$5:$A$107,0)),"No")="Sí",_xlfn.IFERROR(INDEX('Datos - Catálogo TIMSS'!$I$5:$I$107,MATCH(L904,'Datos - Catálogo TIMSS'!$A$5:$A$107,0)),"No")="Sí"),1,0)</f>
        <v>0</v>
      </c>
      <c r="Y904" s="36" cm="1">
        <f t="array" ref="Y904">IF(_xlfn.IFERROR(INDEX('Datos - Catálogo TIMSS'!$J$5:$J$107,MATCH(K904,'Datos - Catálogo TIMSS'!$A$5:$A$107,0)),"No")="Sí",1,0)</f>
        <v>0</v>
      </c>
      <c r="Z904" s="36" cm="1">
        <f t="array" ref="Z904">IF(_xlfn.IFERROR(INDEX('Datos - Catálogo TIMSS'!$J$5:$J$107,MATCH(L904,'Datos - Catálogo TIMSS'!$A$5:$A$107,0)),"No")="Sí",1,0)</f>
        <v>0</v>
      </c>
      <c r="AA904" t="s" s="35">
        <v>1058</v>
      </c>
      <c r="AB904" s="39"/>
      <c r="AC904" t="str" s="39">
        <v>Sin marco</v>
      </c>
      <c r="AD904" t="s" s="35">
        <v>1859</v>
      </c>
      <c r="AE904" t="str" s="39" cm="1">
        <f t="array" ref="AE904">IF(AD904="","",IF(LEFT(AD904,1)="1","C1",IF(LEFT(AD904,1)="2","C2",IF(LEFT(AD904,1)="3","C3",""))))</f>
        <v>C1</v>
      </c>
      <c r="AF904" t="s" s="35">
        <v>1602</v>
      </c>
      <c r="AG904" t="s" s="35">
        <v>1612</v>
      </c>
      <c r="AH904" t="s" s="35">
        <v>1609</v>
      </c>
      <c r="AI904" t="s" s="35">
        <v>1609</v>
      </c>
      <c r="AJ904" t="s" s="35">
        <v>1607</v>
      </c>
      <c r="AK904" s="39"/>
      <c r="AL904" s="39"/>
      <c r="AM904" s="39"/>
      <c r="AN904" s="39"/>
      <c r="AO904" s="39"/>
      <c r="AP904" s="39"/>
      <c r="AQ904" s="39"/>
      <c r="AR904" s="39"/>
      <c r="AS904" s="39"/>
      <c r="AT904" s="39"/>
      <c r="AU904" s="39"/>
      <c r="AV904" s="39"/>
      <c r="AW904" t="str" s="39" cm="1">
        <f t="array" ref="AW904">AF904&amp;"; "&amp;AG904&amp;"; "&amp;AH904&amp;"; "&amp;AI904&amp;"; "&amp;AJ904</f>
        <v>E1; E5; E4; E4; E3</v>
      </c>
    </row>
    <row r="905" ht="13.65" customHeight="1">
      <c r="A905" t="s" s="35">
        <v>6225</v>
      </c>
      <c r="B905" s="36">
        <v>10</v>
      </c>
      <c r="C905" t="s" s="35">
        <v>220</v>
      </c>
      <c r="D905" t="s" s="35">
        <v>6180</v>
      </c>
      <c r="E905" t="s" s="35">
        <v>6181</v>
      </c>
      <c r="F905" s="36">
        <v>14</v>
      </c>
      <c r="G905" t="s" s="35">
        <v>6182</v>
      </c>
      <c r="H905" t="s" s="35">
        <v>6222</v>
      </c>
      <c r="I905" t="s" s="120">
        <v>6226</v>
      </c>
      <c r="J905" t="s" s="35">
        <v>6185</v>
      </c>
      <c r="K905" t="s" s="35">
        <v>1058</v>
      </c>
      <c r="L905" s="39"/>
      <c r="M905" t="str" s="39">
        <v>Sin marco</v>
      </c>
      <c r="N905" t="str" s="39">
        <v>Sin marco</v>
      </c>
      <c r="O905" t="str" s="39" cm="1">
        <f t="array" ref="O905">IF(L905="","",_xlfn.IFERROR(INDEX('Datos - Catálogo TIMSS'!$C$5:$C$107,MATCH(L905,'Datos - Catálogo TIMSS'!$A$5:$A$107,0)),"?"))</f>
      </c>
      <c r="P905" t="s" s="35">
        <v>1058</v>
      </c>
      <c r="Q905" t="s" s="120">
        <v>6186</v>
      </c>
      <c r="R905" t="s" s="120">
        <v>6227</v>
      </c>
      <c r="S905" s="121" cm="1">
        <f t="array" ref="S905">_xlfn.IFERROR(ISNUMBER(SEARCH("Conocer",$R905))/(ISNUMBER(SEARCH("Conocer",$R905))+ISNUMBER(SEARCH("Aplicar",$R905))+ISNUMBER(SEARCH("Razonar",$R905))),0)</f>
        <v>0</v>
      </c>
      <c r="T905" s="121" cm="1">
        <f t="array" ref="T905">_xlfn.IFERROR(ISNUMBER(SEARCH("Aplicar",$R905))/(ISNUMBER(SEARCH("Conocer",$R905))+ISNUMBER(SEARCH("Aplicar",$R905))+ISNUMBER(SEARCH("Razonar",$R905))),0)</f>
        <v>0.5</v>
      </c>
      <c r="U905" s="121" cm="1">
        <f t="array" ref="U905">_xlfn.IFERROR(ISNUMBER(SEARCH("Razonar",$R905))/(ISNUMBER(SEARCH("Conocer",$R905))+ISNUMBER(SEARCH("Aplicar",$R905))+ISNUMBER(SEARCH("Razonar",$R905))),0)</f>
        <v>0.5</v>
      </c>
      <c r="V905" t="s" s="35">
        <v>1405</v>
      </c>
      <c r="W905" t="s" s="35">
        <v>6188</v>
      </c>
      <c r="X905" s="36" cm="1">
        <f t="array" ref="X905">IF(OR(_xlfn.IFERROR(INDEX('Datos - Catálogo TIMSS'!$I$5:$I$107,MATCH(K905,'Datos - Catálogo TIMSS'!$A$5:$A$107,0)),"No")="Sí",_xlfn.IFERROR(INDEX('Datos - Catálogo TIMSS'!$I$5:$I$107,MATCH(L905,'Datos - Catálogo TIMSS'!$A$5:$A$107,0)),"No")="Sí"),1,0)</f>
        <v>0</v>
      </c>
      <c r="Y905" s="36" cm="1">
        <f t="array" ref="Y905">IF(_xlfn.IFERROR(INDEX('Datos - Catálogo TIMSS'!$J$5:$J$107,MATCH(K905,'Datos - Catálogo TIMSS'!$A$5:$A$107,0)),"No")="Sí",1,0)</f>
        <v>0</v>
      </c>
      <c r="Z905" s="36" cm="1">
        <f t="array" ref="Z905">IF(_xlfn.IFERROR(INDEX('Datos - Catálogo TIMSS'!$J$5:$J$107,MATCH(L905,'Datos - Catálogo TIMSS'!$A$5:$A$107,0)),"No")="Sí",1,0)</f>
        <v>0</v>
      </c>
      <c r="AA905" t="s" s="35">
        <v>1058</v>
      </c>
      <c r="AB905" s="39"/>
      <c r="AC905" t="str" s="39">
        <v>Sin marco</v>
      </c>
      <c r="AD905" t="s" s="35">
        <v>1834</v>
      </c>
      <c r="AE905" t="str" s="39" cm="1">
        <f t="array" ref="AE905">IF(AD905="","",IF(LEFT(AD905,1)="1","C1",IF(LEFT(AD905,1)="2","C2",IF(LEFT(AD905,1)="3","C3",""))))</f>
        <v>C2</v>
      </c>
      <c r="AF905" t="s" s="35">
        <v>1602</v>
      </c>
      <c r="AG905" t="s" s="35">
        <v>1617</v>
      </c>
      <c r="AH905" t="s" s="35">
        <v>1602</v>
      </c>
      <c r="AI905" t="s" s="35">
        <v>1623</v>
      </c>
      <c r="AJ905" t="s" s="35">
        <v>1621</v>
      </c>
      <c r="AK905" s="39"/>
      <c r="AL905" s="39"/>
      <c r="AM905" s="39"/>
      <c r="AN905" s="39"/>
      <c r="AO905" s="39"/>
      <c r="AP905" s="39"/>
      <c r="AQ905" s="39"/>
      <c r="AR905" s="39"/>
      <c r="AS905" s="39"/>
      <c r="AT905" s="39"/>
      <c r="AU905" s="39"/>
      <c r="AV905" s="39"/>
      <c r="AW905" t="str" s="39" cm="1">
        <f t="array" ref="AW905">AF905&amp;"; "&amp;AG905&amp;"; "&amp;AH905&amp;"; "&amp;AI905&amp;"; "&amp;AJ905</f>
        <v>E1; D1; E1; D4; D3</v>
      </c>
    </row>
    <row r="906" ht="13.65" customHeight="1">
      <c r="A906" t="s" s="35">
        <v>6228</v>
      </c>
      <c r="B906" s="36">
        <v>10</v>
      </c>
      <c r="C906" t="s" s="35">
        <v>220</v>
      </c>
      <c r="D906" t="s" s="35">
        <v>6180</v>
      </c>
      <c r="E906" t="s" s="35">
        <v>6181</v>
      </c>
      <c r="F906" s="36">
        <v>15</v>
      </c>
      <c r="G906" t="s" s="35">
        <v>6182</v>
      </c>
      <c r="H906" t="s" s="35">
        <v>6222</v>
      </c>
      <c r="I906" t="s" s="120">
        <v>6229</v>
      </c>
      <c r="J906" t="s" s="35">
        <v>6185</v>
      </c>
      <c r="K906" t="s" s="35">
        <v>1058</v>
      </c>
      <c r="L906" s="39"/>
      <c r="M906" t="str" s="39">
        <v>Sin marco</v>
      </c>
      <c r="N906" t="str" s="39">
        <v>Sin marco</v>
      </c>
      <c r="O906" t="str" s="39" cm="1">
        <f t="array" ref="O906">IF(L906="","",_xlfn.IFERROR(INDEX('Datos - Catálogo TIMSS'!$C$5:$C$107,MATCH(L906,'Datos - Catálogo TIMSS'!$A$5:$A$107,0)),"?"))</f>
      </c>
      <c r="P906" t="s" s="35">
        <v>1058</v>
      </c>
      <c r="Q906" t="s" s="120">
        <v>6186</v>
      </c>
      <c r="R906" t="s" s="120">
        <v>6230</v>
      </c>
      <c r="S906" s="121" cm="1">
        <f t="array" ref="S906">_xlfn.IFERROR(ISNUMBER(SEARCH("Conocer",$R906))/(ISNUMBER(SEARCH("Conocer",$R906))+ISNUMBER(SEARCH("Aplicar",$R906))+ISNUMBER(SEARCH("Razonar",$R906))),0)</f>
        <v>0.333333333333333</v>
      </c>
      <c r="T906" s="121" cm="1">
        <f t="array" ref="T906">_xlfn.IFERROR(ISNUMBER(SEARCH("Aplicar",$R906))/(ISNUMBER(SEARCH("Conocer",$R906))+ISNUMBER(SEARCH("Aplicar",$R906))+ISNUMBER(SEARCH("Razonar",$R906))),0)</f>
        <v>0.333333333333333</v>
      </c>
      <c r="U906" s="121" cm="1">
        <f t="array" ref="U906">_xlfn.IFERROR(ISNUMBER(SEARCH("Razonar",$R906))/(ISNUMBER(SEARCH("Conocer",$R906))+ISNUMBER(SEARCH("Aplicar",$R906))+ISNUMBER(SEARCH("Razonar",$R906))),0)</f>
        <v>0.333333333333333</v>
      </c>
      <c r="V906" t="s" s="35">
        <v>1405</v>
      </c>
      <c r="W906" t="s" s="35">
        <v>6188</v>
      </c>
      <c r="X906" s="36" cm="1">
        <f t="array" ref="X906">IF(OR(_xlfn.IFERROR(INDEX('Datos - Catálogo TIMSS'!$I$5:$I$107,MATCH(K906,'Datos - Catálogo TIMSS'!$A$5:$A$107,0)),"No")="Sí",_xlfn.IFERROR(INDEX('Datos - Catálogo TIMSS'!$I$5:$I$107,MATCH(L906,'Datos - Catálogo TIMSS'!$A$5:$A$107,0)),"No")="Sí"),1,0)</f>
        <v>0</v>
      </c>
      <c r="Y906" s="36" cm="1">
        <f t="array" ref="Y906">IF(_xlfn.IFERROR(INDEX('Datos - Catálogo TIMSS'!$J$5:$J$107,MATCH(K906,'Datos - Catálogo TIMSS'!$A$5:$A$107,0)),"No")="Sí",1,0)</f>
        <v>0</v>
      </c>
      <c r="Z906" s="36" cm="1">
        <f t="array" ref="Z906">IF(_xlfn.IFERROR(INDEX('Datos - Catálogo TIMSS'!$J$5:$J$107,MATCH(L906,'Datos - Catálogo TIMSS'!$A$5:$A$107,0)),"No")="Sí",1,0)</f>
        <v>0</v>
      </c>
      <c r="AA906" t="s" s="35">
        <v>1058</v>
      </c>
      <c r="AB906" s="39"/>
      <c r="AC906" t="str" s="39">
        <v>Sin marco</v>
      </c>
      <c r="AD906" t="s" s="35">
        <v>1859</v>
      </c>
      <c r="AE906" t="str" s="39" cm="1">
        <f t="array" ref="AE906">IF(AD906="","",IF(LEFT(AD906,1)="1","C1",IF(LEFT(AD906,1)="2","C2",IF(LEFT(AD906,1)="3","C3",""))))</f>
        <v>C1</v>
      </c>
      <c r="AF906" t="s" s="35">
        <v>1602</v>
      </c>
      <c r="AG906" t="s" s="35">
        <v>1612</v>
      </c>
      <c r="AH906" t="s" s="35">
        <v>1605</v>
      </c>
      <c r="AI906" t="s" s="35">
        <v>1623</v>
      </c>
      <c r="AJ906" t="s" s="35">
        <v>1607</v>
      </c>
      <c r="AK906" s="39"/>
      <c r="AL906" s="39"/>
      <c r="AM906" s="39"/>
      <c r="AN906" s="39"/>
      <c r="AO906" s="39"/>
      <c r="AP906" s="39"/>
      <c r="AQ906" s="39"/>
      <c r="AR906" s="39"/>
      <c r="AS906" s="39"/>
      <c r="AT906" s="39"/>
      <c r="AU906" s="39"/>
      <c r="AV906" s="39"/>
      <c r="AW906" t="str" s="39" cm="1">
        <f t="array" ref="AW906">AF906&amp;"; "&amp;AG906&amp;"; "&amp;AH906&amp;"; "&amp;AI906&amp;"; "&amp;AJ906</f>
        <v>E1; E5; E2; D4; E3</v>
      </c>
    </row>
    <row r="907" ht="13.65" customHeight="1">
      <c r="A907" t="s" s="35">
        <v>6231</v>
      </c>
      <c r="B907" s="36">
        <v>10</v>
      </c>
      <c r="C907" t="s" s="35">
        <v>220</v>
      </c>
      <c r="D907" t="s" s="35">
        <v>6180</v>
      </c>
      <c r="E907" t="s" s="35">
        <v>6181</v>
      </c>
      <c r="F907" s="36">
        <v>16</v>
      </c>
      <c r="G907" t="s" s="35">
        <v>6182</v>
      </c>
      <c r="H907" t="s" s="35">
        <v>6222</v>
      </c>
      <c r="I907" t="s" s="120">
        <v>6232</v>
      </c>
      <c r="J907" t="s" s="35">
        <v>6185</v>
      </c>
      <c r="K907" t="s" s="35">
        <v>1058</v>
      </c>
      <c r="L907" s="39"/>
      <c r="M907" t="str" s="39">
        <v>Sin marco</v>
      </c>
      <c r="N907" t="str" s="39">
        <v>Sin marco</v>
      </c>
      <c r="O907" t="str" s="39" cm="1">
        <f t="array" ref="O907">IF(L907="","",_xlfn.IFERROR(INDEX('Datos - Catálogo TIMSS'!$C$5:$C$107,MATCH(L907,'Datos - Catálogo TIMSS'!$A$5:$A$107,0)),"?"))</f>
      </c>
      <c r="P907" t="s" s="35">
        <v>1058</v>
      </c>
      <c r="Q907" t="s" s="120">
        <v>6186</v>
      </c>
      <c r="R907" t="s" s="120">
        <v>6233</v>
      </c>
      <c r="S907" s="121" cm="1">
        <f t="array" ref="S907">_xlfn.IFERROR(ISNUMBER(SEARCH("Conocer",$R907))/(ISNUMBER(SEARCH("Conocer",$R907))+ISNUMBER(SEARCH("Aplicar",$R907))+ISNUMBER(SEARCH("Razonar",$R907))),0)</f>
        <v>0</v>
      </c>
      <c r="T907" s="121" cm="1">
        <f t="array" ref="T907">_xlfn.IFERROR(ISNUMBER(SEARCH("Aplicar",$R907))/(ISNUMBER(SEARCH("Conocer",$R907))+ISNUMBER(SEARCH("Aplicar",$R907))+ISNUMBER(SEARCH("Razonar",$R907))),0)</f>
        <v>0.5</v>
      </c>
      <c r="U907" s="121" cm="1">
        <f t="array" ref="U907">_xlfn.IFERROR(ISNUMBER(SEARCH("Razonar",$R907))/(ISNUMBER(SEARCH("Conocer",$R907))+ISNUMBER(SEARCH("Aplicar",$R907))+ISNUMBER(SEARCH("Razonar",$R907))),0)</f>
        <v>0.5</v>
      </c>
      <c r="V907" t="s" s="35">
        <v>1405</v>
      </c>
      <c r="W907" t="s" s="35">
        <v>6188</v>
      </c>
      <c r="X907" s="36" cm="1">
        <f t="array" ref="X907">IF(OR(_xlfn.IFERROR(INDEX('Datos - Catálogo TIMSS'!$I$5:$I$107,MATCH(K907,'Datos - Catálogo TIMSS'!$A$5:$A$107,0)),"No")="Sí",_xlfn.IFERROR(INDEX('Datos - Catálogo TIMSS'!$I$5:$I$107,MATCH(L907,'Datos - Catálogo TIMSS'!$A$5:$A$107,0)),"No")="Sí"),1,0)</f>
        <v>0</v>
      </c>
      <c r="Y907" s="36" cm="1">
        <f t="array" ref="Y907">IF(_xlfn.IFERROR(INDEX('Datos - Catálogo TIMSS'!$J$5:$J$107,MATCH(K907,'Datos - Catálogo TIMSS'!$A$5:$A$107,0)),"No")="Sí",1,0)</f>
        <v>0</v>
      </c>
      <c r="Z907" s="36" cm="1">
        <f t="array" ref="Z907">IF(_xlfn.IFERROR(INDEX('Datos - Catálogo TIMSS'!$J$5:$J$107,MATCH(L907,'Datos - Catálogo TIMSS'!$A$5:$A$107,0)),"No")="Sí",1,0)</f>
        <v>0</v>
      </c>
      <c r="AA907" t="s" s="35">
        <v>1058</v>
      </c>
      <c r="AB907" s="39"/>
      <c r="AC907" t="str" s="39">
        <v>Sin marco</v>
      </c>
      <c r="AD907" t="s" s="35">
        <v>1834</v>
      </c>
      <c r="AE907" t="str" s="39" cm="1">
        <f t="array" ref="AE907">IF(AD907="","",IF(LEFT(AD907,1)="1","C1",IF(LEFT(AD907,1)="2","C2",IF(LEFT(AD907,1)="3","C3",""))))</f>
        <v>C2</v>
      </c>
      <c r="AF907" t="s" s="35">
        <v>1615</v>
      </c>
      <c r="AG907" t="s" s="35">
        <v>1617</v>
      </c>
      <c r="AH907" t="s" s="35">
        <v>1602</v>
      </c>
      <c r="AI907" t="s" s="35">
        <v>1619</v>
      </c>
      <c r="AJ907" t="s" s="35">
        <v>1633</v>
      </c>
      <c r="AK907" s="39"/>
      <c r="AL907" s="39"/>
      <c r="AM907" s="39"/>
      <c r="AN907" s="39"/>
      <c r="AO907" s="39"/>
      <c r="AP907" s="39"/>
      <c r="AQ907" s="39"/>
      <c r="AR907" s="39"/>
      <c r="AS907" s="39"/>
      <c r="AT907" s="39"/>
      <c r="AU907" s="39"/>
      <c r="AV907" s="39"/>
      <c r="AW907" t="str" s="39" cm="1">
        <f t="array" ref="AW907">AF907&amp;"; "&amp;AG907&amp;"; "&amp;AH907&amp;"; "&amp;AI907&amp;"; "&amp;AJ907</f>
        <v>E6; D1; E1; D2; I5</v>
      </c>
    </row>
    <row r="908" ht="13.65" customHeight="1">
      <c r="A908" t="s" s="35">
        <v>6235</v>
      </c>
      <c r="B908" s="36">
        <v>10</v>
      </c>
      <c r="C908" t="s" s="35">
        <v>220</v>
      </c>
      <c r="D908" t="s" s="35">
        <v>6180</v>
      </c>
      <c r="E908" t="s" s="35">
        <v>6181</v>
      </c>
      <c r="F908" s="36">
        <v>17</v>
      </c>
      <c r="G908" t="s" s="35">
        <v>6236</v>
      </c>
      <c r="H908" t="s" s="35">
        <v>6237</v>
      </c>
      <c r="I908" t="s" s="120">
        <v>6238</v>
      </c>
      <c r="J908" t="s" s="35">
        <v>6185</v>
      </c>
      <c r="K908" t="s" s="35">
        <v>1058</v>
      </c>
      <c r="L908" s="39"/>
      <c r="M908" t="str" s="39">
        <v>Sin marco</v>
      </c>
      <c r="N908" t="str" s="39">
        <v>Sin marco</v>
      </c>
      <c r="O908" t="str" s="39" cm="1">
        <f t="array" ref="O908">IF(L908="","",_xlfn.IFERROR(INDEX('Datos - Catálogo TIMSS'!$C$5:$C$107,MATCH(L908,'Datos - Catálogo TIMSS'!$A$5:$A$107,0)),"?"))</f>
      </c>
      <c r="P908" t="s" s="35">
        <v>1058</v>
      </c>
      <c r="Q908" t="s" s="120">
        <v>6186</v>
      </c>
      <c r="R908" t="s" s="120">
        <v>6239</v>
      </c>
      <c r="S908" s="121" cm="1">
        <f t="array" ref="S908">_xlfn.IFERROR(ISNUMBER(SEARCH("Conocer",$R908))/(ISNUMBER(SEARCH("Conocer",$R908))+ISNUMBER(SEARCH("Aplicar",$R908))+ISNUMBER(SEARCH("Razonar",$R908))),0)</f>
        <v>0</v>
      </c>
      <c r="T908" s="121" cm="1">
        <f t="array" ref="T908">_xlfn.IFERROR(ISNUMBER(SEARCH("Aplicar",$R908))/(ISNUMBER(SEARCH("Conocer",$R908))+ISNUMBER(SEARCH("Aplicar",$R908))+ISNUMBER(SEARCH("Razonar",$R908))),0)</f>
        <v>0.5</v>
      </c>
      <c r="U908" s="121" cm="1">
        <f t="array" ref="U908">_xlfn.IFERROR(ISNUMBER(SEARCH("Razonar",$R908))/(ISNUMBER(SEARCH("Conocer",$R908))+ISNUMBER(SEARCH("Aplicar",$R908))+ISNUMBER(SEARCH("Razonar",$R908))),0)</f>
        <v>0.5</v>
      </c>
      <c r="V908" t="s" s="35">
        <v>1405</v>
      </c>
      <c r="W908" t="s" s="35">
        <v>6188</v>
      </c>
      <c r="X908" s="36" cm="1">
        <f t="array" ref="X908">IF(OR(_xlfn.IFERROR(INDEX('Datos - Catálogo TIMSS'!$I$5:$I$107,MATCH(K908,'Datos - Catálogo TIMSS'!$A$5:$A$107,0)),"No")="Sí",_xlfn.IFERROR(INDEX('Datos - Catálogo TIMSS'!$I$5:$I$107,MATCH(L908,'Datos - Catálogo TIMSS'!$A$5:$A$107,0)),"No")="Sí"),1,0)</f>
        <v>0</v>
      </c>
      <c r="Y908" s="36" cm="1">
        <f t="array" ref="Y908">IF(_xlfn.IFERROR(INDEX('Datos - Catálogo TIMSS'!$J$5:$J$107,MATCH(K908,'Datos - Catálogo TIMSS'!$A$5:$A$107,0)),"No")="Sí",1,0)</f>
        <v>0</v>
      </c>
      <c r="Z908" s="36" cm="1">
        <f t="array" ref="Z908">IF(_xlfn.IFERROR(INDEX('Datos - Catálogo TIMSS'!$J$5:$J$107,MATCH(L908,'Datos - Catálogo TIMSS'!$A$5:$A$107,0)),"No")="Sí",1,0)</f>
        <v>0</v>
      </c>
      <c r="AA908" t="s" s="35">
        <v>1058</v>
      </c>
      <c r="AB908" s="39"/>
      <c r="AC908" t="str" s="39">
        <v>Sin marco</v>
      </c>
      <c r="AD908" t="s" s="35">
        <v>1834</v>
      </c>
      <c r="AE908" t="str" s="39" cm="1">
        <f t="array" ref="AE908">IF(AD908="","",IF(LEFT(AD908,1)="1","C1",IF(LEFT(AD908,1)="2","C2",IF(LEFT(AD908,1)="3","C3",""))))</f>
        <v>C2</v>
      </c>
      <c r="AF908" t="s" s="35">
        <v>1602</v>
      </c>
      <c r="AG908" t="s" s="35">
        <v>1617</v>
      </c>
      <c r="AH908" t="s" s="35">
        <v>1605</v>
      </c>
      <c r="AI908" t="s" s="35">
        <v>1623</v>
      </c>
      <c r="AJ908" t="s" s="35">
        <v>1621</v>
      </c>
      <c r="AK908" s="39"/>
      <c r="AL908" s="39"/>
      <c r="AM908" s="39"/>
      <c r="AN908" s="39"/>
      <c r="AO908" s="39"/>
      <c r="AP908" s="39"/>
      <c r="AQ908" s="39"/>
      <c r="AR908" s="39"/>
      <c r="AS908" s="39"/>
      <c r="AT908" s="39"/>
      <c r="AU908" s="39"/>
      <c r="AV908" s="39"/>
      <c r="AW908" t="str" s="39" cm="1">
        <f t="array" ref="AW908">AF908&amp;"; "&amp;AG908&amp;"; "&amp;AH908&amp;"; "&amp;AI908&amp;"; "&amp;AJ908</f>
        <v>E1; D1; E2; D4; D3</v>
      </c>
    </row>
    <row r="909" ht="13.65" customHeight="1">
      <c r="A909" t="s" s="35">
        <v>6240</v>
      </c>
      <c r="B909" s="36">
        <v>10</v>
      </c>
      <c r="C909" t="s" s="35">
        <v>220</v>
      </c>
      <c r="D909" t="s" s="35">
        <v>6180</v>
      </c>
      <c r="E909" t="s" s="35">
        <v>6181</v>
      </c>
      <c r="F909" s="36">
        <v>18</v>
      </c>
      <c r="G909" t="s" s="35">
        <v>6236</v>
      </c>
      <c r="H909" t="s" s="35">
        <v>6237</v>
      </c>
      <c r="I909" t="s" s="120">
        <v>6241</v>
      </c>
      <c r="J909" t="s" s="35">
        <v>6185</v>
      </c>
      <c r="K909" t="s" s="35">
        <v>1058</v>
      </c>
      <c r="L909" s="39"/>
      <c r="M909" t="str" s="39">
        <v>Sin marco</v>
      </c>
      <c r="N909" t="str" s="39">
        <v>Sin marco</v>
      </c>
      <c r="O909" t="str" s="39" cm="1">
        <f t="array" ref="O909">IF(L909="","",_xlfn.IFERROR(INDEX('Datos - Catálogo TIMSS'!$C$5:$C$107,MATCH(L909,'Datos - Catálogo TIMSS'!$A$5:$A$107,0)),"?"))</f>
      </c>
      <c r="P909" t="s" s="35">
        <v>1058</v>
      </c>
      <c r="Q909" t="s" s="120">
        <v>6186</v>
      </c>
      <c r="R909" t="s" s="120">
        <v>6242</v>
      </c>
      <c r="S909" s="121" cm="1">
        <f t="array" ref="S909">_xlfn.IFERROR(ISNUMBER(SEARCH("Conocer",$R909))/(ISNUMBER(SEARCH("Conocer",$R909))+ISNUMBER(SEARCH("Aplicar",$R909))+ISNUMBER(SEARCH("Razonar",$R909))),0)</f>
        <v>0.5</v>
      </c>
      <c r="T909" s="121" cm="1">
        <f t="array" ref="T909">_xlfn.IFERROR(ISNUMBER(SEARCH("Aplicar",$R909))/(ISNUMBER(SEARCH("Conocer",$R909))+ISNUMBER(SEARCH("Aplicar",$R909))+ISNUMBER(SEARCH("Razonar",$R909))),0)</f>
        <v>0</v>
      </c>
      <c r="U909" s="121" cm="1">
        <f t="array" ref="U909">_xlfn.IFERROR(ISNUMBER(SEARCH("Razonar",$R909))/(ISNUMBER(SEARCH("Conocer",$R909))+ISNUMBER(SEARCH("Aplicar",$R909))+ISNUMBER(SEARCH("Razonar",$R909))),0)</f>
        <v>0.5</v>
      </c>
      <c r="V909" t="s" s="35">
        <v>1405</v>
      </c>
      <c r="W909" t="s" s="35">
        <v>6188</v>
      </c>
      <c r="X909" s="36" cm="1">
        <f t="array" ref="X909">IF(OR(_xlfn.IFERROR(INDEX('Datos - Catálogo TIMSS'!$I$5:$I$107,MATCH(K909,'Datos - Catálogo TIMSS'!$A$5:$A$107,0)),"No")="Sí",_xlfn.IFERROR(INDEX('Datos - Catálogo TIMSS'!$I$5:$I$107,MATCH(L909,'Datos - Catálogo TIMSS'!$A$5:$A$107,0)),"No")="Sí"),1,0)</f>
        <v>0</v>
      </c>
      <c r="Y909" s="36" cm="1">
        <f t="array" ref="Y909">IF(_xlfn.IFERROR(INDEX('Datos - Catálogo TIMSS'!$J$5:$J$107,MATCH(K909,'Datos - Catálogo TIMSS'!$A$5:$A$107,0)),"No")="Sí",1,0)</f>
        <v>0</v>
      </c>
      <c r="Z909" s="36" cm="1">
        <f t="array" ref="Z909">IF(_xlfn.IFERROR(INDEX('Datos - Catálogo TIMSS'!$J$5:$J$107,MATCH(L909,'Datos - Catálogo TIMSS'!$A$5:$A$107,0)),"No")="Sí",1,0)</f>
        <v>0</v>
      </c>
      <c r="AA909" t="s" s="35">
        <v>1058</v>
      </c>
      <c r="AB909" s="39"/>
      <c r="AC909" t="str" s="39">
        <v>Sin marco</v>
      </c>
      <c r="AD909" t="s" s="35">
        <v>1859</v>
      </c>
      <c r="AE909" t="str" s="39" cm="1">
        <f t="array" ref="AE909">IF(AD909="","",IF(LEFT(AD909,1)="1","C1",IF(LEFT(AD909,1)="2","C2",IF(LEFT(AD909,1)="3","C3",""))))</f>
        <v>C1</v>
      </c>
      <c r="AF909" t="s" s="35">
        <v>1602</v>
      </c>
      <c r="AG909" t="s" s="35">
        <v>1607</v>
      </c>
      <c r="AH909" t="s" s="35">
        <v>1609</v>
      </c>
      <c r="AI909" t="s" s="35">
        <v>1627</v>
      </c>
      <c r="AJ909" t="s" s="35">
        <v>1631</v>
      </c>
      <c r="AK909" s="39"/>
      <c r="AL909" s="39"/>
      <c r="AM909" s="39"/>
      <c r="AN909" s="39"/>
      <c r="AO909" s="39"/>
      <c r="AP909" s="39"/>
      <c r="AQ909" s="39"/>
      <c r="AR909" s="39"/>
      <c r="AS909" s="39"/>
      <c r="AT909" s="39"/>
      <c r="AU909" s="39"/>
      <c r="AV909" s="39"/>
      <c r="AW909" t="str" s="39" cm="1">
        <f t="array" ref="AW909">AF909&amp;"; "&amp;AG909&amp;"; "&amp;AH909&amp;"; "&amp;AI909&amp;"; "&amp;AJ909</f>
        <v>E1; E3; E4; I2; I4</v>
      </c>
    </row>
    <row r="910" ht="13.65" customHeight="1">
      <c r="A910" t="s" s="35">
        <v>6244</v>
      </c>
      <c r="B910" s="36">
        <v>10</v>
      </c>
      <c r="C910" t="s" s="35">
        <v>220</v>
      </c>
      <c r="D910" t="s" s="35">
        <v>6180</v>
      </c>
      <c r="E910" t="s" s="35">
        <v>6181</v>
      </c>
      <c r="F910" s="36">
        <v>19</v>
      </c>
      <c r="G910" t="s" s="35">
        <v>6236</v>
      </c>
      <c r="H910" t="s" s="35">
        <v>6237</v>
      </c>
      <c r="I910" t="s" s="120">
        <v>6245</v>
      </c>
      <c r="J910" t="s" s="35">
        <v>6185</v>
      </c>
      <c r="K910" t="s" s="35">
        <v>1058</v>
      </c>
      <c r="L910" s="39"/>
      <c r="M910" t="str" s="39">
        <v>Sin marco</v>
      </c>
      <c r="N910" t="str" s="39">
        <v>Sin marco</v>
      </c>
      <c r="O910" t="str" s="39" cm="1">
        <f t="array" ref="O910">IF(L910="","",_xlfn.IFERROR(INDEX('Datos - Catálogo TIMSS'!$C$5:$C$107,MATCH(L910,'Datos - Catálogo TIMSS'!$A$5:$A$107,0)),"?"))</f>
      </c>
      <c r="P910" t="s" s="35">
        <v>1058</v>
      </c>
      <c r="Q910" t="s" s="120">
        <v>6186</v>
      </c>
      <c r="R910" t="s" s="120">
        <v>6246</v>
      </c>
      <c r="S910" s="121" cm="1">
        <f t="array" ref="S910">_xlfn.IFERROR(ISNUMBER(SEARCH("Conocer",$R910))/(ISNUMBER(SEARCH("Conocer",$R910))+ISNUMBER(SEARCH("Aplicar",$R910))+ISNUMBER(SEARCH("Razonar",$R910))),0)</f>
        <v>0</v>
      </c>
      <c r="T910" s="121" cm="1">
        <f t="array" ref="T910">_xlfn.IFERROR(ISNUMBER(SEARCH("Aplicar",$R910))/(ISNUMBER(SEARCH("Conocer",$R910))+ISNUMBER(SEARCH("Aplicar",$R910))+ISNUMBER(SEARCH("Razonar",$R910))),0)</f>
        <v>0.5</v>
      </c>
      <c r="U910" s="121" cm="1">
        <f t="array" ref="U910">_xlfn.IFERROR(ISNUMBER(SEARCH("Razonar",$R910))/(ISNUMBER(SEARCH("Conocer",$R910))+ISNUMBER(SEARCH("Aplicar",$R910))+ISNUMBER(SEARCH("Razonar",$R910))),0)</f>
        <v>0.5</v>
      </c>
      <c r="V910" t="s" s="35">
        <v>1405</v>
      </c>
      <c r="W910" t="s" s="35">
        <v>6188</v>
      </c>
      <c r="X910" s="36" cm="1">
        <f t="array" ref="X910">IF(OR(_xlfn.IFERROR(INDEX('Datos - Catálogo TIMSS'!$I$5:$I$107,MATCH(K910,'Datos - Catálogo TIMSS'!$A$5:$A$107,0)),"No")="Sí",_xlfn.IFERROR(INDEX('Datos - Catálogo TIMSS'!$I$5:$I$107,MATCH(L910,'Datos - Catálogo TIMSS'!$A$5:$A$107,0)),"No")="Sí"),1,0)</f>
        <v>0</v>
      </c>
      <c r="Y910" s="36" cm="1">
        <f t="array" ref="Y910">IF(_xlfn.IFERROR(INDEX('Datos - Catálogo TIMSS'!$J$5:$J$107,MATCH(K910,'Datos - Catálogo TIMSS'!$A$5:$A$107,0)),"No")="Sí",1,0)</f>
        <v>0</v>
      </c>
      <c r="Z910" s="36" cm="1">
        <f t="array" ref="Z910">IF(_xlfn.IFERROR(INDEX('Datos - Catálogo TIMSS'!$J$5:$J$107,MATCH(L910,'Datos - Catálogo TIMSS'!$A$5:$A$107,0)),"No")="Sí",1,0)</f>
        <v>0</v>
      </c>
      <c r="AA910" t="s" s="35">
        <v>1058</v>
      </c>
      <c r="AB910" s="39"/>
      <c r="AC910" t="str" s="39">
        <v>Sin marco</v>
      </c>
      <c r="AD910" t="s" s="35">
        <v>1859</v>
      </c>
      <c r="AE910" t="str" s="39" cm="1">
        <f t="array" ref="AE910">IF(AD910="","",IF(LEFT(AD910,1)="1","C1",IF(LEFT(AD910,1)="2","C2",IF(LEFT(AD910,1)="3","C3",""))))</f>
        <v>C1</v>
      </c>
      <c r="AF910" t="s" s="35">
        <v>1615</v>
      </c>
      <c r="AG910" t="s" s="35">
        <v>1612</v>
      </c>
      <c r="AH910" t="s" s="35">
        <v>1609</v>
      </c>
      <c r="AI910" t="s" s="35">
        <v>1623</v>
      </c>
      <c r="AJ910" t="s" s="35">
        <v>1607</v>
      </c>
      <c r="AK910" s="39"/>
      <c r="AL910" s="39"/>
      <c r="AM910" s="39"/>
      <c r="AN910" s="39"/>
      <c r="AO910" s="39"/>
      <c r="AP910" s="39"/>
      <c r="AQ910" s="39"/>
      <c r="AR910" s="39"/>
      <c r="AS910" s="39"/>
      <c r="AT910" s="39"/>
      <c r="AU910" s="39"/>
      <c r="AV910" s="39"/>
      <c r="AW910" t="str" s="39" cm="1">
        <f t="array" ref="AW910">AF910&amp;"; "&amp;AG910&amp;"; "&amp;AH910&amp;"; "&amp;AI910&amp;"; "&amp;AJ910</f>
        <v>E6; E5; E4; D4; E3</v>
      </c>
    </row>
    <row r="911" ht="13.65" customHeight="1">
      <c r="A911" t="s" s="35">
        <v>6247</v>
      </c>
      <c r="B911" s="36">
        <v>10</v>
      </c>
      <c r="C911" t="s" s="35">
        <v>220</v>
      </c>
      <c r="D911" t="s" s="35">
        <v>6180</v>
      </c>
      <c r="E911" t="s" s="35">
        <v>6181</v>
      </c>
      <c r="F911" s="36">
        <v>20</v>
      </c>
      <c r="G911" t="s" s="35">
        <v>6236</v>
      </c>
      <c r="H911" t="s" s="35">
        <v>6248</v>
      </c>
      <c r="I911" t="s" s="120">
        <v>6249</v>
      </c>
      <c r="J911" t="s" s="35">
        <v>6185</v>
      </c>
      <c r="K911" t="s" s="35">
        <v>1058</v>
      </c>
      <c r="L911" s="39"/>
      <c r="M911" t="str" s="39">
        <v>Sin marco</v>
      </c>
      <c r="N911" t="str" s="39">
        <v>Sin marco</v>
      </c>
      <c r="O911" t="str" s="39" cm="1">
        <f t="array" ref="O911">IF(L911="","",_xlfn.IFERROR(INDEX('Datos - Catálogo TIMSS'!$C$5:$C$107,MATCH(L911,'Datos - Catálogo TIMSS'!$A$5:$A$107,0)),"?"))</f>
      </c>
      <c r="P911" t="s" s="35">
        <v>1058</v>
      </c>
      <c r="Q911" t="s" s="120">
        <v>6186</v>
      </c>
      <c r="R911" t="s" s="120">
        <v>6250</v>
      </c>
      <c r="S911" s="121" cm="1">
        <f t="array" ref="S911">_xlfn.IFERROR(ISNUMBER(SEARCH("Conocer",$R911))/(ISNUMBER(SEARCH("Conocer",$R911))+ISNUMBER(SEARCH("Aplicar",$R911))+ISNUMBER(SEARCH("Razonar",$R911))),0)</f>
        <v>0</v>
      </c>
      <c r="T911" s="121" cm="1">
        <f t="array" ref="T911">_xlfn.IFERROR(ISNUMBER(SEARCH("Aplicar",$R911))/(ISNUMBER(SEARCH("Conocer",$R911))+ISNUMBER(SEARCH("Aplicar",$R911))+ISNUMBER(SEARCH("Razonar",$R911))),0)</f>
        <v>0.5</v>
      </c>
      <c r="U911" s="121" cm="1">
        <f t="array" ref="U911">_xlfn.IFERROR(ISNUMBER(SEARCH("Razonar",$R911))/(ISNUMBER(SEARCH("Conocer",$R911))+ISNUMBER(SEARCH("Aplicar",$R911))+ISNUMBER(SEARCH("Razonar",$R911))),0)</f>
        <v>0.5</v>
      </c>
      <c r="V911" t="s" s="35">
        <v>1405</v>
      </c>
      <c r="W911" t="s" s="35">
        <v>6188</v>
      </c>
      <c r="X911" s="36" cm="1">
        <f t="array" ref="X911">IF(OR(_xlfn.IFERROR(INDEX('Datos - Catálogo TIMSS'!$I$5:$I$107,MATCH(K911,'Datos - Catálogo TIMSS'!$A$5:$A$107,0)),"No")="Sí",_xlfn.IFERROR(INDEX('Datos - Catálogo TIMSS'!$I$5:$I$107,MATCH(L911,'Datos - Catálogo TIMSS'!$A$5:$A$107,0)),"No")="Sí"),1,0)</f>
        <v>0</v>
      </c>
      <c r="Y911" s="36" cm="1">
        <f t="array" ref="Y911">IF(_xlfn.IFERROR(INDEX('Datos - Catálogo TIMSS'!$J$5:$J$107,MATCH(K911,'Datos - Catálogo TIMSS'!$A$5:$A$107,0)),"No")="Sí",1,0)</f>
        <v>0</v>
      </c>
      <c r="Z911" s="36" cm="1">
        <f t="array" ref="Z911">IF(_xlfn.IFERROR(INDEX('Datos - Catálogo TIMSS'!$J$5:$J$107,MATCH(L911,'Datos - Catálogo TIMSS'!$A$5:$A$107,0)),"No")="Sí",1,0)</f>
        <v>0</v>
      </c>
      <c r="AA911" t="s" s="35">
        <v>1058</v>
      </c>
      <c r="AB911" s="39"/>
      <c r="AC911" t="str" s="39">
        <v>Sin marco</v>
      </c>
      <c r="AD911" t="s" s="35">
        <v>1859</v>
      </c>
      <c r="AE911" t="str" s="39" cm="1">
        <f t="array" ref="AE911">IF(AD911="","",IF(LEFT(AD911,1)="1","C1",IF(LEFT(AD911,1)="2","C2",IF(LEFT(AD911,1)="3","C3",""))))</f>
        <v>C1</v>
      </c>
      <c r="AF911" t="s" s="35">
        <v>1602</v>
      </c>
      <c r="AG911" t="s" s="35">
        <v>1607</v>
      </c>
      <c r="AH911" t="s" s="35">
        <v>1605</v>
      </c>
      <c r="AI911" t="s" s="35">
        <v>1623</v>
      </c>
      <c r="AJ911" t="s" s="35">
        <v>1607</v>
      </c>
      <c r="AK911" s="39"/>
      <c r="AL911" s="39"/>
      <c r="AM911" s="39"/>
      <c r="AN911" s="39"/>
      <c r="AO911" s="39"/>
      <c r="AP911" s="39"/>
      <c r="AQ911" s="39"/>
      <c r="AR911" s="39"/>
      <c r="AS911" s="39"/>
      <c r="AT911" s="39"/>
      <c r="AU911" s="39"/>
      <c r="AV911" s="39"/>
      <c r="AW911" t="str" s="39" cm="1">
        <f t="array" ref="AW911">AF911&amp;"; "&amp;AG911&amp;"; "&amp;AH911&amp;"; "&amp;AI911&amp;"; "&amp;AJ911</f>
        <v>E1; E3; E2; D4; E3</v>
      </c>
    </row>
    <row r="912" ht="13.65" customHeight="1">
      <c r="A912" t="s" s="35">
        <v>6251</v>
      </c>
      <c r="B912" s="36">
        <v>10</v>
      </c>
      <c r="C912" t="s" s="35">
        <v>220</v>
      </c>
      <c r="D912" t="s" s="35">
        <v>6180</v>
      </c>
      <c r="E912" t="s" s="35">
        <v>6181</v>
      </c>
      <c r="F912" s="36">
        <v>21</v>
      </c>
      <c r="G912" t="s" s="35">
        <v>6236</v>
      </c>
      <c r="H912" t="s" s="35">
        <v>6248</v>
      </c>
      <c r="I912" t="s" s="120">
        <v>6252</v>
      </c>
      <c r="J912" t="s" s="35">
        <v>6185</v>
      </c>
      <c r="K912" t="s" s="35">
        <v>1058</v>
      </c>
      <c r="L912" s="39"/>
      <c r="M912" t="str" s="39">
        <v>Sin marco</v>
      </c>
      <c r="N912" t="str" s="39">
        <v>Sin marco</v>
      </c>
      <c r="O912" t="str" s="39" cm="1">
        <f t="array" ref="O912">IF(L912="","",_xlfn.IFERROR(INDEX('Datos - Catálogo TIMSS'!$C$5:$C$107,MATCH(L912,'Datos - Catálogo TIMSS'!$A$5:$A$107,0)),"?"))</f>
      </c>
      <c r="P912" t="s" s="35">
        <v>1058</v>
      </c>
      <c r="Q912" t="s" s="120">
        <v>6186</v>
      </c>
      <c r="R912" t="s" s="120">
        <v>6253</v>
      </c>
      <c r="S912" s="121" cm="1">
        <f t="array" ref="S912">_xlfn.IFERROR(ISNUMBER(SEARCH("Conocer",$R912))/(ISNUMBER(SEARCH("Conocer",$R912))+ISNUMBER(SEARCH("Aplicar",$R912))+ISNUMBER(SEARCH("Razonar",$R912))),0)</f>
        <v>0</v>
      </c>
      <c r="T912" s="121" cm="1">
        <f t="array" ref="T912">_xlfn.IFERROR(ISNUMBER(SEARCH("Aplicar",$R912))/(ISNUMBER(SEARCH("Conocer",$R912))+ISNUMBER(SEARCH("Aplicar",$R912))+ISNUMBER(SEARCH("Razonar",$R912))),0)</f>
        <v>0.5</v>
      </c>
      <c r="U912" s="121" cm="1">
        <f t="array" ref="U912">_xlfn.IFERROR(ISNUMBER(SEARCH("Razonar",$R912))/(ISNUMBER(SEARCH("Conocer",$R912))+ISNUMBER(SEARCH("Aplicar",$R912))+ISNUMBER(SEARCH("Razonar",$R912))),0)</f>
        <v>0.5</v>
      </c>
      <c r="V912" t="s" s="35">
        <v>1405</v>
      </c>
      <c r="W912" t="s" s="35">
        <v>6188</v>
      </c>
      <c r="X912" s="36" cm="1">
        <f t="array" ref="X912">IF(OR(_xlfn.IFERROR(INDEX('Datos - Catálogo TIMSS'!$I$5:$I$107,MATCH(K912,'Datos - Catálogo TIMSS'!$A$5:$A$107,0)),"No")="Sí",_xlfn.IFERROR(INDEX('Datos - Catálogo TIMSS'!$I$5:$I$107,MATCH(L912,'Datos - Catálogo TIMSS'!$A$5:$A$107,0)),"No")="Sí"),1,0)</f>
        <v>0</v>
      </c>
      <c r="Y912" s="36" cm="1">
        <f t="array" ref="Y912">IF(_xlfn.IFERROR(INDEX('Datos - Catálogo TIMSS'!$J$5:$J$107,MATCH(K912,'Datos - Catálogo TIMSS'!$A$5:$A$107,0)),"No")="Sí",1,0)</f>
        <v>0</v>
      </c>
      <c r="Z912" s="36" cm="1">
        <f t="array" ref="Z912">IF(_xlfn.IFERROR(INDEX('Datos - Catálogo TIMSS'!$J$5:$J$107,MATCH(L912,'Datos - Catálogo TIMSS'!$A$5:$A$107,0)),"No")="Sí",1,0)</f>
        <v>0</v>
      </c>
      <c r="AA912" t="s" s="35">
        <v>1058</v>
      </c>
      <c r="AB912" s="39"/>
      <c r="AC912" t="str" s="39">
        <v>Sin marco</v>
      </c>
      <c r="AD912" t="s" s="35">
        <v>1859</v>
      </c>
      <c r="AE912" t="str" s="39" cm="1">
        <f t="array" ref="AE912">IF(AD912="","",IF(LEFT(AD912,1)="1","C1",IF(LEFT(AD912,1)="2","C2",IF(LEFT(AD912,1)="3","C3",""))))</f>
        <v>C1</v>
      </c>
      <c r="AF912" t="s" s="35">
        <v>1602</v>
      </c>
      <c r="AG912" t="s" s="35">
        <v>1607</v>
      </c>
      <c r="AH912" t="s" s="35">
        <v>1605</v>
      </c>
      <c r="AI912" t="s" s="35">
        <v>1623</v>
      </c>
      <c r="AJ912" t="s" s="35">
        <v>1633</v>
      </c>
      <c r="AK912" s="39"/>
      <c r="AL912" s="39"/>
      <c r="AM912" s="39"/>
      <c r="AN912" s="39"/>
      <c r="AO912" s="39"/>
      <c r="AP912" s="39"/>
      <c r="AQ912" s="39"/>
      <c r="AR912" s="39"/>
      <c r="AS912" s="39"/>
      <c r="AT912" s="39"/>
      <c r="AU912" s="39"/>
      <c r="AV912" s="39"/>
      <c r="AW912" t="str" s="39" cm="1">
        <f t="array" ref="AW912">AF912&amp;"; "&amp;AG912&amp;"; "&amp;AH912&amp;"; "&amp;AI912&amp;"; "&amp;AJ912</f>
        <v>E1; E3; E2; D4; I5</v>
      </c>
    </row>
    <row r="913" ht="13.65" customHeight="1">
      <c r="A913" t="s" s="35">
        <v>6254</v>
      </c>
      <c r="B913" s="36">
        <v>10</v>
      </c>
      <c r="C913" t="s" s="35">
        <v>220</v>
      </c>
      <c r="D913" t="s" s="35">
        <v>6180</v>
      </c>
      <c r="E913" t="s" s="35">
        <v>6181</v>
      </c>
      <c r="F913" s="36">
        <v>22</v>
      </c>
      <c r="G913" t="s" s="35">
        <v>6236</v>
      </c>
      <c r="H913" t="s" s="35">
        <v>6248</v>
      </c>
      <c r="I913" t="s" s="120">
        <v>6255</v>
      </c>
      <c r="J913" t="s" s="35">
        <v>6185</v>
      </c>
      <c r="K913" t="s" s="35">
        <v>1058</v>
      </c>
      <c r="L913" s="39"/>
      <c r="M913" t="str" s="39">
        <v>Sin marco</v>
      </c>
      <c r="N913" t="str" s="39">
        <v>Sin marco</v>
      </c>
      <c r="O913" t="str" s="39" cm="1">
        <f t="array" ref="O913">IF(L913="","",_xlfn.IFERROR(INDEX('Datos - Catálogo TIMSS'!$C$5:$C$107,MATCH(L913,'Datos - Catálogo TIMSS'!$A$5:$A$107,0)),"?"))</f>
      </c>
      <c r="P913" t="s" s="35">
        <v>1058</v>
      </c>
      <c r="Q913" t="s" s="120">
        <v>6186</v>
      </c>
      <c r="R913" t="s" s="120">
        <v>6256</v>
      </c>
      <c r="S913" s="121" cm="1">
        <f t="array" ref="S913">_xlfn.IFERROR(ISNUMBER(SEARCH("Conocer",$R913))/(ISNUMBER(SEARCH("Conocer",$R913))+ISNUMBER(SEARCH("Aplicar",$R913))+ISNUMBER(SEARCH("Razonar",$R913))),0)</f>
        <v>0</v>
      </c>
      <c r="T913" s="121" cm="1">
        <f t="array" ref="T913">_xlfn.IFERROR(ISNUMBER(SEARCH("Aplicar",$R913))/(ISNUMBER(SEARCH("Conocer",$R913))+ISNUMBER(SEARCH("Aplicar",$R913))+ISNUMBER(SEARCH("Razonar",$R913))),0)</f>
        <v>0.5</v>
      </c>
      <c r="U913" s="121" cm="1">
        <f t="array" ref="U913">_xlfn.IFERROR(ISNUMBER(SEARCH("Razonar",$R913))/(ISNUMBER(SEARCH("Conocer",$R913))+ISNUMBER(SEARCH("Aplicar",$R913))+ISNUMBER(SEARCH("Razonar",$R913))),0)</f>
        <v>0.5</v>
      </c>
      <c r="V913" t="s" s="35">
        <v>1405</v>
      </c>
      <c r="W913" t="s" s="35">
        <v>6188</v>
      </c>
      <c r="X913" s="36" cm="1">
        <f t="array" ref="X913">IF(OR(_xlfn.IFERROR(INDEX('Datos - Catálogo TIMSS'!$I$5:$I$107,MATCH(K913,'Datos - Catálogo TIMSS'!$A$5:$A$107,0)),"No")="Sí",_xlfn.IFERROR(INDEX('Datos - Catálogo TIMSS'!$I$5:$I$107,MATCH(L913,'Datos - Catálogo TIMSS'!$A$5:$A$107,0)),"No")="Sí"),1,0)</f>
        <v>0</v>
      </c>
      <c r="Y913" s="36" cm="1">
        <f t="array" ref="Y913">IF(_xlfn.IFERROR(INDEX('Datos - Catálogo TIMSS'!$J$5:$J$107,MATCH(K913,'Datos - Catálogo TIMSS'!$A$5:$A$107,0)),"No")="Sí",1,0)</f>
        <v>0</v>
      </c>
      <c r="Z913" s="36" cm="1">
        <f t="array" ref="Z913">IF(_xlfn.IFERROR(INDEX('Datos - Catálogo TIMSS'!$J$5:$J$107,MATCH(L913,'Datos - Catálogo TIMSS'!$A$5:$A$107,0)),"No")="Sí",1,0)</f>
        <v>0</v>
      </c>
      <c r="AA913" t="s" s="35">
        <v>1058</v>
      </c>
      <c r="AB913" s="39"/>
      <c r="AC913" t="str" s="39">
        <v>Sin marco</v>
      </c>
      <c r="AD913" t="s" s="35">
        <v>1900</v>
      </c>
      <c r="AE913" t="str" s="39" cm="1">
        <f t="array" ref="AE913">IF(AD913="","",IF(LEFT(AD913,1)="1","C1",IF(LEFT(AD913,1)="2","C2",IF(LEFT(AD913,1)="3","C3",""))))</f>
        <v>C3</v>
      </c>
      <c r="AF913" t="s" s="35">
        <v>1602</v>
      </c>
      <c r="AG913" t="s" s="35">
        <v>1617</v>
      </c>
      <c r="AH913" t="s" s="35">
        <v>1605</v>
      </c>
      <c r="AI913" t="s" s="35">
        <v>1625</v>
      </c>
      <c r="AJ913" t="s" s="35">
        <v>1627</v>
      </c>
      <c r="AK913" s="39"/>
      <c r="AL913" s="39"/>
      <c r="AM913" s="39"/>
      <c r="AN913" s="39"/>
      <c r="AO913" s="39"/>
      <c r="AP913" s="39"/>
      <c r="AQ913" s="39"/>
      <c r="AR913" s="39"/>
      <c r="AS913" s="39"/>
      <c r="AT913" s="39"/>
      <c r="AU913" s="39"/>
      <c r="AV913" s="39"/>
      <c r="AW913" t="str" s="39" cm="1">
        <f t="array" ref="AW913">AF913&amp;"; "&amp;AG913&amp;"; "&amp;AH913&amp;"; "&amp;AI913&amp;"; "&amp;AJ913</f>
        <v>E1; D1; E2; I1; I2</v>
      </c>
    </row>
    <row r="914" ht="13.65" customHeight="1">
      <c r="A914" t="s" s="35">
        <v>6257</v>
      </c>
      <c r="B914" s="36">
        <v>10</v>
      </c>
      <c r="C914" t="s" s="35">
        <v>220</v>
      </c>
      <c r="D914" t="s" s="35">
        <v>6180</v>
      </c>
      <c r="E914" t="s" s="35">
        <v>6181</v>
      </c>
      <c r="F914" s="36">
        <v>23</v>
      </c>
      <c r="G914" t="s" s="35">
        <v>6258</v>
      </c>
      <c r="H914" t="s" s="35">
        <v>6259</v>
      </c>
      <c r="I914" t="s" s="120">
        <v>6260</v>
      </c>
      <c r="J914" t="s" s="35">
        <v>6185</v>
      </c>
      <c r="K914" t="s" s="35">
        <v>1058</v>
      </c>
      <c r="L914" s="39"/>
      <c r="M914" t="str" s="39">
        <v>Sin marco</v>
      </c>
      <c r="N914" t="str" s="39">
        <v>Sin marco</v>
      </c>
      <c r="O914" t="str" s="39" cm="1">
        <f t="array" ref="O914">IF(L914="","",_xlfn.IFERROR(INDEX('Datos - Catálogo TIMSS'!$C$5:$C$107,MATCH(L914,'Datos - Catálogo TIMSS'!$A$5:$A$107,0)),"?"))</f>
      </c>
      <c r="P914" t="s" s="35">
        <v>1058</v>
      </c>
      <c r="Q914" t="s" s="120">
        <v>6186</v>
      </c>
      <c r="R914" t="s" s="120">
        <v>6261</v>
      </c>
      <c r="S914" s="121" cm="1">
        <f t="array" ref="S914">_xlfn.IFERROR(ISNUMBER(SEARCH("Conocer",$R914))/(ISNUMBER(SEARCH("Conocer",$R914))+ISNUMBER(SEARCH("Aplicar",$R914))+ISNUMBER(SEARCH("Razonar",$R914))),0)</f>
        <v>0.333333333333333</v>
      </c>
      <c r="T914" s="121" cm="1">
        <f t="array" ref="T914">_xlfn.IFERROR(ISNUMBER(SEARCH("Aplicar",$R914))/(ISNUMBER(SEARCH("Conocer",$R914))+ISNUMBER(SEARCH("Aplicar",$R914))+ISNUMBER(SEARCH("Razonar",$R914))),0)</f>
        <v>0.333333333333333</v>
      </c>
      <c r="U914" s="121" cm="1">
        <f t="array" ref="U914">_xlfn.IFERROR(ISNUMBER(SEARCH("Razonar",$R914))/(ISNUMBER(SEARCH("Conocer",$R914))+ISNUMBER(SEARCH("Aplicar",$R914))+ISNUMBER(SEARCH("Razonar",$R914))),0)</f>
        <v>0.333333333333333</v>
      </c>
      <c r="V914" t="s" s="35">
        <v>1405</v>
      </c>
      <c r="W914" t="s" s="35">
        <v>6188</v>
      </c>
      <c r="X914" s="36" cm="1">
        <f t="array" ref="X914">IF(OR(_xlfn.IFERROR(INDEX('Datos - Catálogo TIMSS'!$I$5:$I$107,MATCH(K914,'Datos - Catálogo TIMSS'!$A$5:$A$107,0)),"No")="Sí",_xlfn.IFERROR(INDEX('Datos - Catálogo TIMSS'!$I$5:$I$107,MATCH(L914,'Datos - Catálogo TIMSS'!$A$5:$A$107,0)),"No")="Sí"),1,0)</f>
        <v>0</v>
      </c>
      <c r="Y914" s="36" cm="1">
        <f t="array" ref="Y914">IF(_xlfn.IFERROR(INDEX('Datos - Catálogo TIMSS'!$J$5:$J$107,MATCH(K914,'Datos - Catálogo TIMSS'!$A$5:$A$107,0)),"No")="Sí",1,0)</f>
        <v>0</v>
      </c>
      <c r="Z914" s="36" cm="1">
        <f t="array" ref="Z914">IF(_xlfn.IFERROR(INDEX('Datos - Catálogo TIMSS'!$J$5:$J$107,MATCH(L914,'Datos - Catálogo TIMSS'!$A$5:$A$107,0)),"No")="Sí",1,0)</f>
        <v>0</v>
      </c>
      <c r="AA914" t="s" s="35">
        <v>1058</v>
      </c>
      <c r="AB914" s="39"/>
      <c r="AC914" t="str" s="39">
        <v>Sin marco</v>
      </c>
      <c r="AD914" t="s" s="35">
        <v>1859</v>
      </c>
      <c r="AE914" t="str" s="39" cm="1">
        <f t="array" ref="AE914">IF(AD914="","",IF(LEFT(AD914,1)="1","C1",IF(LEFT(AD914,1)="2","C2",IF(LEFT(AD914,1)="3","C3",""))))</f>
        <v>C1</v>
      </c>
      <c r="AF914" t="s" s="35">
        <v>1602</v>
      </c>
      <c r="AG914" t="s" s="35">
        <v>1612</v>
      </c>
      <c r="AH914" t="s" s="35">
        <v>1609</v>
      </c>
      <c r="AI914" t="s" s="35">
        <v>1623</v>
      </c>
      <c r="AJ914" t="s" s="35">
        <v>1607</v>
      </c>
      <c r="AK914" s="39"/>
      <c r="AL914" s="39"/>
      <c r="AM914" s="39"/>
      <c r="AN914" s="39"/>
      <c r="AO914" s="39"/>
      <c r="AP914" s="39"/>
      <c r="AQ914" s="39"/>
      <c r="AR914" s="39"/>
      <c r="AS914" s="39"/>
      <c r="AT914" s="39"/>
      <c r="AU914" s="39"/>
      <c r="AV914" s="39"/>
      <c r="AW914" t="str" s="39" cm="1">
        <f t="array" ref="AW914">AF914&amp;"; "&amp;AG914&amp;"; "&amp;AH914&amp;"; "&amp;AI914&amp;"; "&amp;AJ914</f>
        <v>E1; E5; E4; D4; E3</v>
      </c>
    </row>
    <row r="915" ht="13.65" customHeight="1">
      <c r="A915" t="s" s="35">
        <v>6262</v>
      </c>
      <c r="B915" s="36">
        <v>10</v>
      </c>
      <c r="C915" t="s" s="35">
        <v>220</v>
      </c>
      <c r="D915" t="s" s="35">
        <v>6180</v>
      </c>
      <c r="E915" t="s" s="35">
        <v>6181</v>
      </c>
      <c r="F915" s="36">
        <v>24</v>
      </c>
      <c r="G915" t="s" s="35">
        <v>6258</v>
      </c>
      <c r="H915" t="s" s="35">
        <v>6259</v>
      </c>
      <c r="I915" t="s" s="120">
        <v>6263</v>
      </c>
      <c r="J915" t="s" s="35">
        <v>6185</v>
      </c>
      <c r="K915" t="s" s="35">
        <v>1058</v>
      </c>
      <c r="L915" s="39"/>
      <c r="M915" t="str" s="39">
        <v>Sin marco</v>
      </c>
      <c r="N915" t="str" s="39">
        <v>Sin marco</v>
      </c>
      <c r="O915" t="str" s="39" cm="1">
        <f t="array" ref="O915">IF(L915="","",_xlfn.IFERROR(INDEX('Datos - Catálogo TIMSS'!$C$5:$C$107,MATCH(L915,'Datos - Catálogo TIMSS'!$A$5:$A$107,0)),"?"))</f>
      </c>
      <c r="P915" t="s" s="35">
        <v>1058</v>
      </c>
      <c r="Q915" t="s" s="120">
        <v>6186</v>
      </c>
      <c r="R915" t="s" s="120">
        <v>6264</v>
      </c>
      <c r="S915" s="121" cm="1">
        <f t="array" ref="S915">_xlfn.IFERROR(ISNUMBER(SEARCH("Conocer",$R915))/(ISNUMBER(SEARCH("Conocer",$R915))+ISNUMBER(SEARCH("Aplicar",$R915))+ISNUMBER(SEARCH("Razonar",$R915))),0)</f>
        <v>0</v>
      </c>
      <c r="T915" s="121" cm="1">
        <f t="array" ref="T915">_xlfn.IFERROR(ISNUMBER(SEARCH("Aplicar",$R915))/(ISNUMBER(SEARCH("Conocer",$R915))+ISNUMBER(SEARCH("Aplicar",$R915))+ISNUMBER(SEARCH("Razonar",$R915))),0)</f>
        <v>0.5</v>
      </c>
      <c r="U915" s="121" cm="1">
        <f t="array" ref="U915">_xlfn.IFERROR(ISNUMBER(SEARCH("Razonar",$R915))/(ISNUMBER(SEARCH("Conocer",$R915))+ISNUMBER(SEARCH("Aplicar",$R915))+ISNUMBER(SEARCH("Razonar",$R915))),0)</f>
        <v>0.5</v>
      </c>
      <c r="V915" t="s" s="35">
        <v>1405</v>
      </c>
      <c r="W915" t="s" s="35">
        <v>6188</v>
      </c>
      <c r="X915" s="36" cm="1">
        <f t="array" ref="X915">IF(OR(_xlfn.IFERROR(INDEX('Datos - Catálogo TIMSS'!$I$5:$I$107,MATCH(K915,'Datos - Catálogo TIMSS'!$A$5:$A$107,0)),"No")="Sí",_xlfn.IFERROR(INDEX('Datos - Catálogo TIMSS'!$I$5:$I$107,MATCH(L915,'Datos - Catálogo TIMSS'!$A$5:$A$107,0)),"No")="Sí"),1,0)</f>
        <v>0</v>
      </c>
      <c r="Y915" s="36" cm="1">
        <f t="array" ref="Y915">IF(_xlfn.IFERROR(INDEX('Datos - Catálogo TIMSS'!$J$5:$J$107,MATCH(K915,'Datos - Catálogo TIMSS'!$A$5:$A$107,0)),"No")="Sí",1,0)</f>
        <v>0</v>
      </c>
      <c r="Z915" s="36" cm="1">
        <f t="array" ref="Z915">IF(_xlfn.IFERROR(INDEX('Datos - Catálogo TIMSS'!$J$5:$J$107,MATCH(L915,'Datos - Catálogo TIMSS'!$A$5:$A$107,0)),"No")="Sí",1,0)</f>
        <v>0</v>
      </c>
      <c r="AA915" t="s" s="35">
        <v>1058</v>
      </c>
      <c r="AB915" s="39"/>
      <c r="AC915" t="str" s="39">
        <v>Sin marco</v>
      </c>
      <c r="AD915" t="s" s="35">
        <v>1834</v>
      </c>
      <c r="AE915" t="str" s="39" cm="1">
        <f t="array" ref="AE915">IF(AD915="","",IF(LEFT(AD915,1)="1","C1",IF(LEFT(AD915,1)="2","C2",IF(LEFT(AD915,1)="3","C3",""))))</f>
        <v>C2</v>
      </c>
      <c r="AF915" t="s" s="35">
        <v>1602</v>
      </c>
      <c r="AG915" t="s" s="35">
        <v>1617</v>
      </c>
      <c r="AH915" t="s" s="35">
        <v>1602</v>
      </c>
      <c r="AI915" t="s" s="35">
        <v>1623</v>
      </c>
      <c r="AJ915" t="s" s="35">
        <v>1607</v>
      </c>
      <c r="AK915" s="39"/>
      <c r="AL915" s="39"/>
      <c r="AM915" s="39"/>
      <c r="AN915" s="39"/>
      <c r="AO915" s="39"/>
      <c r="AP915" s="39"/>
      <c r="AQ915" s="39"/>
      <c r="AR915" s="39"/>
      <c r="AS915" s="39"/>
      <c r="AT915" s="39"/>
      <c r="AU915" s="39"/>
      <c r="AV915" s="39"/>
      <c r="AW915" t="str" s="39" cm="1">
        <f t="array" ref="AW915">AF915&amp;"; "&amp;AG915&amp;"; "&amp;AH915&amp;"; "&amp;AI915&amp;"; "&amp;AJ915</f>
        <v>E1; D1; E1; D4; E3</v>
      </c>
    </row>
    <row r="916" ht="13.65" customHeight="1">
      <c r="A916" t="s" s="35">
        <v>6265</v>
      </c>
      <c r="B916" s="36">
        <v>10</v>
      </c>
      <c r="C916" t="s" s="35">
        <v>220</v>
      </c>
      <c r="D916" t="s" s="35">
        <v>6180</v>
      </c>
      <c r="E916" t="s" s="35">
        <v>6181</v>
      </c>
      <c r="F916" s="36">
        <v>25</v>
      </c>
      <c r="G916" t="s" s="35">
        <v>6258</v>
      </c>
      <c r="H916" t="s" s="35">
        <v>6259</v>
      </c>
      <c r="I916" t="s" s="120">
        <v>6266</v>
      </c>
      <c r="J916" t="s" s="35">
        <v>6185</v>
      </c>
      <c r="K916" t="s" s="35">
        <v>1058</v>
      </c>
      <c r="L916" s="39"/>
      <c r="M916" t="str" s="39">
        <v>Sin marco</v>
      </c>
      <c r="N916" t="str" s="39">
        <v>Sin marco</v>
      </c>
      <c r="O916" t="str" s="39" cm="1">
        <f t="array" ref="O916">IF(L916="","",_xlfn.IFERROR(INDEX('Datos - Catálogo TIMSS'!$C$5:$C$107,MATCH(L916,'Datos - Catálogo TIMSS'!$A$5:$A$107,0)),"?"))</f>
      </c>
      <c r="P916" t="s" s="35">
        <v>1058</v>
      </c>
      <c r="Q916" t="s" s="120">
        <v>6186</v>
      </c>
      <c r="R916" t="s" s="120">
        <v>6267</v>
      </c>
      <c r="S916" s="121" cm="1">
        <f t="array" ref="S916">_xlfn.IFERROR(ISNUMBER(SEARCH("Conocer",$R916))/(ISNUMBER(SEARCH("Conocer",$R916))+ISNUMBER(SEARCH("Aplicar",$R916))+ISNUMBER(SEARCH("Razonar",$R916))),0)</f>
        <v>0.5</v>
      </c>
      <c r="T916" s="121" cm="1">
        <f t="array" ref="T916">_xlfn.IFERROR(ISNUMBER(SEARCH("Aplicar",$R916))/(ISNUMBER(SEARCH("Conocer",$R916))+ISNUMBER(SEARCH("Aplicar",$R916))+ISNUMBER(SEARCH("Razonar",$R916))),0)</f>
        <v>0</v>
      </c>
      <c r="U916" s="121" cm="1">
        <f t="array" ref="U916">_xlfn.IFERROR(ISNUMBER(SEARCH("Razonar",$R916))/(ISNUMBER(SEARCH("Conocer",$R916))+ISNUMBER(SEARCH("Aplicar",$R916))+ISNUMBER(SEARCH("Razonar",$R916))),0)</f>
        <v>0.5</v>
      </c>
      <c r="V916" t="s" s="35">
        <v>1405</v>
      </c>
      <c r="W916" t="s" s="35">
        <v>6188</v>
      </c>
      <c r="X916" s="36" cm="1">
        <f t="array" ref="X916">IF(OR(_xlfn.IFERROR(INDEX('Datos - Catálogo TIMSS'!$I$5:$I$107,MATCH(K916,'Datos - Catálogo TIMSS'!$A$5:$A$107,0)),"No")="Sí",_xlfn.IFERROR(INDEX('Datos - Catálogo TIMSS'!$I$5:$I$107,MATCH(L916,'Datos - Catálogo TIMSS'!$A$5:$A$107,0)),"No")="Sí"),1,0)</f>
        <v>0</v>
      </c>
      <c r="Y916" s="36" cm="1">
        <f t="array" ref="Y916">IF(_xlfn.IFERROR(INDEX('Datos - Catálogo TIMSS'!$J$5:$J$107,MATCH(K916,'Datos - Catálogo TIMSS'!$A$5:$A$107,0)),"No")="Sí",1,0)</f>
        <v>0</v>
      </c>
      <c r="Z916" s="36" cm="1">
        <f t="array" ref="Z916">IF(_xlfn.IFERROR(INDEX('Datos - Catálogo TIMSS'!$J$5:$J$107,MATCH(L916,'Datos - Catálogo TIMSS'!$A$5:$A$107,0)),"No")="Sí",1,0)</f>
        <v>0</v>
      </c>
      <c r="AA916" t="s" s="35">
        <v>1058</v>
      </c>
      <c r="AB916" s="39"/>
      <c r="AC916" t="str" s="39">
        <v>Sin marco</v>
      </c>
      <c r="AD916" t="s" s="35">
        <v>1859</v>
      </c>
      <c r="AE916" t="str" s="39" cm="1">
        <f t="array" ref="AE916">IF(AD916="","",IF(LEFT(AD916,1)="1","C1",IF(LEFT(AD916,1)="2","C2",IF(LEFT(AD916,1)="3","C3",""))))</f>
        <v>C1</v>
      </c>
      <c r="AF916" t="s" s="35">
        <v>1602</v>
      </c>
      <c r="AG916" t="s" s="35">
        <v>1612</v>
      </c>
      <c r="AH916" t="s" s="35">
        <v>1605</v>
      </c>
      <c r="AI916" t="s" s="35">
        <v>1609</v>
      </c>
      <c r="AJ916" t="s" s="35">
        <v>1607</v>
      </c>
      <c r="AK916" s="39"/>
      <c r="AL916" s="39"/>
      <c r="AM916" s="39"/>
      <c r="AN916" s="39"/>
      <c r="AO916" s="39"/>
      <c r="AP916" s="39"/>
      <c r="AQ916" s="39"/>
      <c r="AR916" s="39"/>
      <c r="AS916" s="39"/>
      <c r="AT916" s="39"/>
      <c r="AU916" s="39"/>
      <c r="AV916" s="39"/>
      <c r="AW916" t="str" s="39" cm="1">
        <f t="array" ref="AW916">AF916&amp;"; "&amp;AG916&amp;"; "&amp;AH916&amp;"; "&amp;AI916&amp;"; "&amp;AJ916</f>
        <v>E1; E5; E2; E4; E3</v>
      </c>
    </row>
    <row r="917" ht="13.65" customHeight="1">
      <c r="A917" t="s" s="35">
        <v>6268</v>
      </c>
      <c r="B917" s="36">
        <v>10</v>
      </c>
      <c r="C917" t="s" s="35">
        <v>220</v>
      </c>
      <c r="D917" t="s" s="35">
        <v>6180</v>
      </c>
      <c r="E917" t="s" s="35">
        <v>6181</v>
      </c>
      <c r="F917" s="36">
        <v>26</v>
      </c>
      <c r="G917" t="s" s="35">
        <v>6258</v>
      </c>
      <c r="H917" t="s" s="35">
        <v>6269</v>
      </c>
      <c r="I917" t="s" s="120">
        <v>6270</v>
      </c>
      <c r="J917" t="s" s="35">
        <v>6185</v>
      </c>
      <c r="K917" t="s" s="35">
        <v>1058</v>
      </c>
      <c r="L917" s="39"/>
      <c r="M917" t="str" s="39">
        <v>Sin marco</v>
      </c>
      <c r="N917" t="str" s="39">
        <v>Sin marco</v>
      </c>
      <c r="O917" t="str" s="39" cm="1">
        <f t="array" ref="O917">IF(L917="","",_xlfn.IFERROR(INDEX('Datos - Catálogo TIMSS'!$C$5:$C$107,MATCH(L917,'Datos - Catálogo TIMSS'!$A$5:$A$107,0)),"?"))</f>
      </c>
      <c r="P917" t="s" s="35">
        <v>1058</v>
      </c>
      <c r="Q917" t="s" s="120">
        <v>6186</v>
      </c>
      <c r="R917" t="s" s="120">
        <v>6271</v>
      </c>
      <c r="S917" s="121" cm="1">
        <f t="array" ref="S917">_xlfn.IFERROR(ISNUMBER(SEARCH("Conocer",$R917))/(ISNUMBER(SEARCH("Conocer",$R917))+ISNUMBER(SEARCH("Aplicar",$R917))+ISNUMBER(SEARCH("Razonar",$R917))),0)</f>
        <v>0</v>
      </c>
      <c r="T917" s="121" cm="1">
        <f t="array" ref="T917">_xlfn.IFERROR(ISNUMBER(SEARCH("Aplicar",$R917))/(ISNUMBER(SEARCH("Conocer",$R917))+ISNUMBER(SEARCH("Aplicar",$R917))+ISNUMBER(SEARCH("Razonar",$R917))),0)</f>
        <v>0.5</v>
      </c>
      <c r="U917" s="121" cm="1">
        <f t="array" ref="U917">_xlfn.IFERROR(ISNUMBER(SEARCH("Razonar",$R917))/(ISNUMBER(SEARCH("Conocer",$R917))+ISNUMBER(SEARCH("Aplicar",$R917))+ISNUMBER(SEARCH("Razonar",$R917))),0)</f>
        <v>0.5</v>
      </c>
      <c r="V917" t="s" s="35">
        <v>1405</v>
      </c>
      <c r="W917" t="s" s="35">
        <v>6188</v>
      </c>
      <c r="X917" s="36" cm="1">
        <f t="array" ref="X917">IF(OR(_xlfn.IFERROR(INDEX('Datos - Catálogo TIMSS'!$I$5:$I$107,MATCH(K917,'Datos - Catálogo TIMSS'!$A$5:$A$107,0)),"No")="Sí",_xlfn.IFERROR(INDEX('Datos - Catálogo TIMSS'!$I$5:$I$107,MATCH(L917,'Datos - Catálogo TIMSS'!$A$5:$A$107,0)),"No")="Sí"),1,0)</f>
        <v>0</v>
      </c>
      <c r="Y917" s="36" cm="1">
        <f t="array" ref="Y917">IF(_xlfn.IFERROR(INDEX('Datos - Catálogo TIMSS'!$J$5:$J$107,MATCH(K917,'Datos - Catálogo TIMSS'!$A$5:$A$107,0)),"No")="Sí",1,0)</f>
        <v>0</v>
      </c>
      <c r="Z917" s="36" cm="1">
        <f t="array" ref="Z917">IF(_xlfn.IFERROR(INDEX('Datos - Catálogo TIMSS'!$J$5:$J$107,MATCH(L917,'Datos - Catálogo TIMSS'!$A$5:$A$107,0)),"No")="Sí",1,0)</f>
        <v>0</v>
      </c>
      <c r="AA917" t="s" s="35">
        <v>1058</v>
      </c>
      <c r="AB917" s="39"/>
      <c r="AC917" t="str" s="39">
        <v>Sin marco</v>
      </c>
      <c r="AD917" t="s" s="35">
        <v>1900</v>
      </c>
      <c r="AE917" t="str" s="39" cm="1">
        <f t="array" ref="AE917">IF(AD917="","",IF(LEFT(AD917,1)="1","C1",IF(LEFT(AD917,1)="2","C2",IF(LEFT(AD917,1)="3","C3",""))))</f>
        <v>C3</v>
      </c>
      <c r="AF917" t="s" s="35">
        <v>1615</v>
      </c>
      <c r="AG917" t="s" s="35">
        <v>1607</v>
      </c>
      <c r="AH917" t="s" s="35">
        <v>1602</v>
      </c>
      <c r="AI917" t="s" s="35">
        <v>1629</v>
      </c>
      <c r="AJ917" t="s" s="35">
        <v>1625</v>
      </c>
      <c r="AK917" s="39"/>
      <c r="AL917" s="39"/>
      <c r="AM917" s="39"/>
      <c r="AN917" s="39"/>
      <c r="AO917" s="39"/>
      <c r="AP917" s="39"/>
      <c r="AQ917" s="39"/>
      <c r="AR917" s="39"/>
      <c r="AS917" s="39"/>
      <c r="AT917" s="39"/>
      <c r="AU917" s="39"/>
      <c r="AV917" s="39"/>
      <c r="AW917" t="str" s="39" cm="1">
        <f t="array" ref="AW917">AF917&amp;"; "&amp;AG917&amp;"; "&amp;AH917&amp;"; "&amp;AI917&amp;"; "&amp;AJ917</f>
        <v>E6; E3; E1; I3; I1</v>
      </c>
    </row>
    <row r="918" ht="13.65" customHeight="1">
      <c r="A918" t="s" s="35">
        <v>6273</v>
      </c>
      <c r="B918" s="36">
        <v>10</v>
      </c>
      <c r="C918" t="s" s="35">
        <v>220</v>
      </c>
      <c r="D918" t="s" s="35">
        <v>6180</v>
      </c>
      <c r="E918" t="s" s="35">
        <v>6181</v>
      </c>
      <c r="F918" s="36">
        <v>27</v>
      </c>
      <c r="G918" t="s" s="35">
        <v>6258</v>
      </c>
      <c r="H918" t="s" s="35">
        <v>6269</v>
      </c>
      <c r="I918" t="s" s="120">
        <v>6274</v>
      </c>
      <c r="J918" t="s" s="35">
        <v>6185</v>
      </c>
      <c r="K918" t="s" s="35">
        <v>1058</v>
      </c>
      <c r="L918" s="39"/>
      <c r="M918" t="str" s="39">
        <v>Sin marco</v>
      </c>
      <c r="N918" t="str" s="39">
        <v>Sin marco</v>
      </c>
      <c r="O918" t="str" s="39" cm="1">
        <f t="array" ref="O918">IF(L918="","",_xlfn.IFERROR(INDEX('Datos - Catálogo TIMSS'!$C$5:$C$107,MATCH(L918,'Datos - Catálogo TIMSS'!$A$5:$A$107,0)),"?"))</f>
      </c>
      <c r="P918" t="s" s="35">
        <v>1058</v>
      </c>
      <c r="Q918" t="s" s="120">
        <v>6186</v>
      </c>
      <c r="R918" t="s" s="120">
        <v>6275</v>
      </c>
      <c r="S918" s="121" cm="1">
        <f t="array" ref="S918">_xlfn.IFERROR(ISNUMBER(SEARCH("Conocer",$R918))/(ISNUMBER(SEARCH("Conocer",$R918))+ISNUMBER(SEARCH("Aplicar",$R918))+ISNUMBER(SEARCH("Razonar",$R918))),0)</f>
        <v>0</v>
      </c>
      <c r="T918" s="121" cm="1">
        <f t="array" ref="T918">_xlfn.IFERROR(ISNUMBER(SEARCH("Aplicar",$R918))/(ISNUMBER(SEARCH("Conocer",$R918))+ISNUMBER(SEARCH("Aplicar",$R918))+ISNUMBER(SEARCH("Razonar",$R918))),0)</f>
        <v>0.5</v>
      </c>
      <c r="U918" s="121" cm="1">
        <f t="array" ref="U918">_xlfn.IFERROR(ISNUMBER(SEARCH("Razonar",$R918))/(ISNUMBER(SEARCH("Conocer",$R918))+ISNUMBER(SEARCH("Aplicar",$R918))+ISNUMBER(SEARCH("Razonar",$R918))),0)</f>
        <v>0.5</v>
      </c>
      <c r="V918" t="s" s="35">
        <v>1405</v>
      </c>
      <c r="W918" t="s" s="35">
        <v>6188</v>
      </c>
      <c r="X918" s="36" cm="1">
        <f t="array" ref="X918">IF(OR(_xlfn.IFERROR(INDEX('Datos - Catálogo TIMSS'!$I$5:$I$107,MATCH(K918,'Datos - Catálogo TIMSS'!$A$5:$A$107,0)),"No")="Sí",_xlfn.IFERROR(INDEX('Datos - Catálogo TIMSS'!$I$5:$I$107,MATCH(L918,'Datos - Catálogo TIMSS'!$A$5:$A$107,0)),"No")="Sí"),1,0)</f>
        <v>0</v>
      </c>
      <c r="Y918" s="36" cm="1">
        <f t="array" ref="Y918">IF(_xlfn.IFERROR(INDEX('Datos - Catálogo TIMSS'!$J$5:$J$107,MATCH(K918,'Datos - Catálogo TIMSS'!$A$5:$A$107,0)),"No")="Sí",1,0)</f>
        <v>0</v>
      </c>
      <c r="Z918" s="36" cm="1">
        <f t="array" ref="Z918">IF(_xlfn.IFERROR(INDEX('Datos - Catálogo TIMSS'!$J$5:$J$107,MATCH(L918,'Datos - Catálogo TIMSS'!$A$5:$A$107,0)),"No")="Sí",1,0)</f>
        <v>0</v>
      </c>
      <c r="AA918" t="s" s="35">
        <v>1058</v>
      </c>
      <c r="AB918" s="39"/>
      <c r="AC918" t="str" s="39">
        <v>Sin marco</v>
      </c>
      <c r="AD918" t="s" s="35">
        <v>1834</v>
      </c>
      <c r="AE918" t="str" s="39" cm="1">
        <f t="array" ref="AE918">IF(AD918="","",IF(LEFT(AD918,1)="1","C1",IF(LEFT(AD918,1)="2","C2",IF(LEFT(AD918,1)="3","C3",""))))</f>
        <v>C2</v>
      </c>
      <c r="AF918" t="s" s="35">
        <v>1602</v>
      </c>
      <c r="AG918" t="s" s="35">
        <v>1617</v>
      </c>
      <c r="AH918" t="s" s="35">
        <v>1605</v>
      </c>
      <c r="AI918" t="s" s="35">
        <v>1619</v>
      </c>
      <c r="AJ918" t="s" s="35">
        <v>1625</v>
      </c>
      <c r="AK918" s="39"/>
      <c r="AL918" s="39"/>
      <c r="AM918" s="39"/>
      <c r="AN918" s="39"/>
      <c r="AO918" s="39"/>
      <c r="AP918" s="39"/>
      <c r="AQ918" s="39"/>
      <c r="AR918" s="39"/>
      <c r="AS918" s="39"/>
      <c r="AT918" s="39"/>
      <c r="AU918" s="39"/>
      <c r="AV918" s="39"/>
      <c r="AW918" t="str" s="39" cm="1">
        <f t="array" ref="AW918">AF918&amp;"; "&amp;AG918&amp;"; "&amp;AH918&amp;"; "&amp;AI918&amp;"; "&amp;AJ918</f>
        <v>E1; D1; E2; D2; I1</v>
      </c>
    </row>
    <row r="919" ht="13.65" customHeight="1">
      <c r="A919" t="s" s="35">
        <v>6277</v>
      </c>
      <c r="B919" s="36">
        <v>10</v>
      </c>
      <c r="C919" t="s" s="35">
        <v>220</v>
      </c>
      <c r="D919" t="s" s="35">
        <v>6180</v>
      </c>
      <c r="E919" t="s" s="35">
        <v>6181</v>
      </c>
      <c r="F919" s="36">
        <v>28</v>
      </c>
      <c r="G919" t="s" s="35">
        <v>6258</v>
      </c>
      <c r="H919" t="s" s="35">
        <v>6269</v>
      </c>
      <c r="I919" t="s" s="120">
        <v>6278</v>
      </c>
      <c r="J919" t="s" s="35">
        <v>6185</v>
      </c>
      <c r="K919" t="s" s="35">
        <v>1058</v>
      </c>
      <c r="L919" s="39"/>
      <c r="M919" t="str" s="39">
        <v>Sin marco</v>
      </c>
      <c r="N919" t="str" s="39">
        <v>Sin marco</v>
      </c>
      <c r="O919" t="str" s="39" cm="1">
        <f t="array" ref="O919">IF(L919="","",_xlfn.IFERROR(INDEX('Datos - Catálogo TIMSS'!$C$5:$C$107,MATCH(L919,'Datos - Catálogo TIMSS'!$A$5:$A$107,0)),"?"))</f>
      </c>
      <c r="P919" t="s" s="35">
        <v>1058</v>
      </c>
      <c r="Q919" t="s" s="120">
        <v>6186</v>
      </c>
      <c r="R919" t="s" s="120">
        <v>6279</v>
      </c>
      <c r="S919" s="121" cm="1">
        <f t="array" ref="S919">_xlfn.IFERROR(ISNUMBER(SEARCH("Conocer",$R919))/(ISNUMBER(SEARCH("Conocer",$R919))+ISNUMBER(SEARCH("Aplicar",$R919))+ISNUMBER(SEARCH("Razonar",$R919))),0)</f>
        <v>0</v>
      </c>
      <c r="T919" s="121" cm="1">
        <f t="array" ref="T919">_xlfn.IFERROR(ISNUMBER(SEARCH("Aplicar",$R919))/(ISNUMBER(SEARCH("Conocer",$R919))+ISNUMBER(SEARCH("Aplicar",$R919))+ISNUMBER(SEARCH("Razonar",$R919))),0)</f>
        <v>0.5</v>
      </c>
      <c r="U919" s="121" cm="1">
        <f t="array" ref="U919">_xlfn.IFERROR(ISNUMBER(SEARCH("Razonar",$R919))/(ISNUMBER(SEARCH("Conocer",$R919))+ISNUMBER(SEARCH("Aplicar",$R919))+ISNUMBER(SEARCH("Razonar",$R919))),0)</f>
        <v>0.5</v>
      </c>
      <c r="V919" t="s" s="35">
        <v>1405</v>
      </c>
      <c r="W919" t="s" s="35">
        <v>6188</v>
      </c>
      <c r="X919" s="36" cm="1">
        <f t="array" ref="X919">IF(OR(_xlfn.IFERROR(INDEX('Datos - Catálogo TIMSS'!$I$5:$I$107,MATCH(K919,'Datos - Catálogo TIMSS'!$A$5:$A$107,0)),"No")="Sí",_xlfn.IFERROR(INDEX('Datos - Catálogo TIMSS'!$I$5:$I$107,MATCH(L919,'Datos - Catálogo TIMSS'!$A$5:$A$107,0)),"No")="Sí"),1,0)</f>
        <v>0</v>
      </c>
      <c r="Y919" s="36" cm="1">
        <f t="array" ref="Y919">IF(_xlfn.IFERROR(INDEX('Datos - Catálogo TIMSS'!$J$5:$J$107,MATCH(K919,'Datos - Catálogo TIMSS'!$A$5:$A$107,0)),"No")="Sí",1,0)</f>
        <v>0</v>
      </c>
      <c r="Z919" s="36" cm="1">
        <f t="array" ref="Z919">IF(_xlfn.IFERROR(INDEX('Datos - Catálogo TIMSS'!$J$5:$J$107,MATCH(L919,'Datos - Catálogo TIMSS'!$A$5:$A$107,0)),"No")="Sí",1,0)</f>
        <v>0</v>
      </c>
      <c r="AA919" t="s" s="35">
        <v>1058</v>
      </c>
      <c r="AB919" s="39"/>
      <c r="AC919" t="str" s="39">
        <v>Sin marco</v>
      </c>
      <c r="AD919" t="s" s="35">
        <v>1859</v>
      </c>
      <c r="AE919" t="str" s="39" cm="1">
        <f t="array" ref="AE919">IF(AD919="","",IF(LEFT(AD919,1)="1","C1",IF(LEFT(AD919,1)="2","C2",IF(LEFT(AD919,1)="3","C3",""))))</f>
        <v>C1</v>
      </c>
      <c r="AF919" t="s" s="35">
        <v>1602</v>
      </c>
      <c r="AG919" t="s" s="35">
        <v>1607</v>
      </c>
      <c r="AH919" t="s" s="35">
        <v>1609</v>
      </c>
      <c r="AI919" t="s" s="35">
        <v>1623</v>
      </c>
      <c r="AJ919" t="s" s="35">
        <v>1607</v>
      </c>
      <c r="AK919" s="39"/>
      <c r="AL919" s="39"/>
      <c r="AM919" s="39"/>
      <c r="AN919" s="39"/>
      <c r="AO919" s="39"/>
      <c r="AP919" s="39"/>
      <c r="AQ919" s="39"/>
      <c r="AR919" s="39"/>
      <c r="AS919" s="39"/>
      <c r="AT919" s="39"/>
      <c r="AU919" s="39"/>
      <c r="AV919" s="39"/>
      <c r="AW919" t="str" s="39" cm="1">
        <f t="array" ref="AW919">AF919&amp;"; "&amp;AG919&amp;"; "&amp;AH919&amp;"; "&amp;AI919&amp;"; "&amp;AJ919</f>
        <v>E1; E3; E4; D4; E3</v>
      </c>
    </row>
    <row r="920" ht="13.65" customHeight="1">
      <c r="A920" t="s" s="35">
        <v>6280</v>
      </c>
      <c r="B920" s="36">
        <v>10</v>
      </c>
      <c r="C920" t="s" s="35">
        <v>220</v>
      </c>
      <c r="D920" t="s" s="35">
        <v>6180</v>
      </c>
      <c r="E920" t="s" s="35">
        <v>6181</v>
      </c>
      <c r="F920" s="36">
        <v>29</v>
      </c>
      <c r="G920" t="s" s="35">
        <v>6258</v>
      </c>
      <c r="H920" t="s" s="35">
        <v>6281</v>
      </c>
      <c r="I920" t="s" s="120">
        <v>6282</v>
      </c>
      <c r="J920" t="s" s="35">
        <v>6185</v>
      </c>
      <c r="K920" t="s" s="35">
        <v>1058</v>
      </c>
      <c r="L920" s="39"/>
      <c r="M920" t="str" s="39">
        <v>Sin marco</v>
      </c>
      <c r="N920" t="str" s="39">
        <v>Sin marco</v>
      </c>
      <c r="O920" t="str" s="39" cm="1">
        <f t="array" ref="O920">IF(L920="","",_xlfn.IFERROR(INDEX('Datos - Catálogo TIMSS'!$C$5:$C$107,MATCH(L920,'Datos - Catálogo TIMSS'!$A$5:$A$107,0)),"?"))</f>
      </c>
      <c r="P920" t="s" s="35">
        <v>1058</v>
      </c>
      <c r="Q920" t="s" s="120">
        <v>6186</v>
      </c>
      <c r="R920" t="s" s="120">
        <v>6283</v>
      </c>
      <c r="S920" s="121" cm="1">
        <f t="array" ref="S920">_xlfn.IFERROR(ISNUMBER(SEARCH("Conocer",$R920))/(ISNUMBER(SEARCH("Conocer",$R920))+ISNUMBER(SEARCH("Aplicar",$R920))+ISNUMBER(SEARCH("Razonar",$R920))),0)</f>
        <v>0</v>
      </c>
      <c r="T920" s="121" cm="1">
        <f t="array" ref="T920">_xlfn.IFERROR(ISNUMBER(SEARCH("Aplicar",$R920))/(ISNUMBER(SEARCH("Conocer",$R920))+ISNUMBER(SEARCH("Aplicar",$R920))+ISNUMBER(SEARCH("Razonar",$R920))),0)</f>
        <v>0.5</v>
      </c>
      <c r="U920" s="121" cm="1">
        <f t="array" ref="U920">_xlfn.IFERROR(ISNUMBER(SEARCH("Razonar",$R920))/(ISNUMBER(SEARCH("Conocer",$R920))+ISNUMBER(SEARCH("Aplicar",$R920))+ISNUMBER(SEARCH("Razonar",$R920))),0)</f>
        <v>0.5</v>
      </c>
      <c r="V920" t="s" s="35">
        <v>1405</v>
      </c>
      <c r="W920" t="s" s="35">
        <v>6188</v>
      </c>
      <c r="X920" s="36" cm="1">
        <f t="array" ref="X920">IF(OR(_xlfn.IFERROR(INDEX('Datos - Catálogo TIMSS'!$I$5:$I$107,MATCH(K920,'Datos - Catálogo TIMSS'!$A$5:$A$107,0)),"No")="Sí",_xlfn.IFERROR(INDEX('Datos - Catálogo TIMSS'!$I$5:$I$107,MATCH(L920,'Datos - Catálogo TIMSS'!$A$5:$A$107,0)),"No")="Sí"),1,0)</f>
        <v>0</v>
      </c>
      <c r="Y920" s="36" cm="1">
        <f t="array" ref="Y920">IF(_xlfn.IFERROR(INDEX('Datos - Catálogo TIMSS'!$J$5:$J$107,MATCH(K920,'Datos - Catálogo TIMSS'!$A$5:$A$107,0)),"No")="Sí",1,0)</f>
        <v>0</v>
      </c>
      <c r="Z920" s="36" cm="1">
        <f t="array" ref="Z920">IF(_xlfn.IFERROR(INDEX('Datos - Catálogo TIMSS'!$J$5:$J$107,MATCH(L920,'Datos - Catálogo TIMSS'!$A$5:$A$107,0)),"No")="Sí",1,0)</f>
        <v>0</v>
      </c>
      <c r="AA920" t="s" s="35">
        <v>1058</v>
      </c>
      <c r="AB920" s="39"/>
      <c r="AC920" t="str" s="39">
        <v>Sin marco</v>
      </c>
      <c r="AD920" t="s" s="35">
        <v>1859</v>
      </c>
      <c r="AE920" t="str" s="39" cm="1">
        <f t="array" ref="AE920">IF(AD920="","",IF(LEFT(AD920,1)="1","C1",IF(LEFT(AD920,1)="2","C2",IF(LEFT(AD920,1)="3","C3",""))))</f>
        <v>C1</v>
      </c>
      <c r="AF920" t="s" s="35">
        <v>1602</v>
      </c>
      <c r="AG920" t="s" s="35">
        <v>1612</v>
      </c>
      <c r="AH920" t="s" s="35">
        <v>1602</v>
      </c>
      <c r="AI920" t="s" s="35">
        <v>1627</v>
      </c>
      <c r="AJ920" t="s" s="35">
        <v>1625</v>
      </c>
      <c r="AK920" s="39"/>
      <c r="AL920" s="39"/>
      <c r="AM920" s="39"/>
      <c r="AN920" s="39"/>
      <c r="AO920" s="39"/>
      <c r="AP920" s="39"/>
      <c r="AQ920" s="39"/>
      <c r="AR920" s="39"/>
      <c r="AS920" s="39"/>
      <c r="AT920" s="39"/>
      <c r="AU920" s="39"/>
      <c r="AV920" s="39"/>
      <c r="AW920" t="str" s="39" cm="1">
        <f t="array" ref="AW920">AF920&amp;"; "&amp;AG920&amp;"; "&amp;AH920&amp;"; "&amp;AI920&amp;"; "&amp;AJ920</f>
        <v>E1; E5; E1; I2; I1</v>
      </c>
    </row>
    <row r="921" ht="13.65" customHeight="1">
      <c r="A921" t="s" s="35">
        <v>6285</v>
      </c>
      <c r="B921" s="36">
        <v>10</v>
      </c>
      <c r="C921" t="s" s="35">
        <v>220</v>
      </c>
      <c r="D921" t="s" s="35">
        <v>6180</v>
      </c>
      <c r="E921" t="s" s="35">
        <v>6181</v>
      </c>
      <c r="F921" s="36">
        <v>30</v>
      </c>
      <c r="G921" t="s" s="35">
        <v>6258</v>
      </c>
      <c r="H921" t="s" s="35">
        <v>6281</v>
      </c>
      <c r="I921" t="s" s="120">
        <v>6286</v>
      </c>
      <c r="J921" t="s" s="35">
        <v>6185</v>
      </c>
      <c r="K921" t="s" s="35">
        <v>1058</v>
      </c>
      <c r="L921" s="39"/>
      <c r="M921" t="str" s="39">
        <v>Sin marco</v>
      </c>
      <c r="N921" t="str" s="39">
        <v>Sin marco</v>
      </c>
      <c r="O921" t="str" s="39" cm="1">
        <f t="array" ref="O921">IF(L921="","",_xlfn.IFERROR(INDEX('Datos - Catálogo TIMSS'!$C$5:$C$107,MATCH(L921,'Datos - Catálogo TIMSS'!$A$5:$A$107,0)),"?"))</f>
      </c>
      <c r="P921" t="s" s="35">
        <v>1058</v>
      </c>
      <c r="Q921" t="s" s="120">
        <v>6186</v>
      </c>
      <c r="R921" t="s" s="120">
        <v>6287</v>
      </c>
      <c r="S921" s="121" cm="1">
        <f t="array" ref="S921">_xlfn.IFERROR(ISNUMBER(SEARCH("Conocer",$R921))/(ISNUMBER(SEARCH("Conocer",$R921))+ISNUMBER(SEARCH("Aplicar",$R921))+ISNUMBER(SEARCH("Razonar",$R921))),0)</f>
        <v>0</v>
      </c>
      <c r="T921" s="121" cm="1">
        <f t="array" ref="T921">_xlfn.IFERROR(ISNUMBER(SEARCH("Aplicar",$R921))/(ISNUMBER(SEARCH("Conocer",$R921))+ISNUMBER(SEARCH("Aplicar",$R921))+ISNUMBER(SEARCH("Razonar",$R921))),0)</f>
        <v>0.5</v>
      </c>
      <c r="U921" s="121" cm="1">
        <f t="array" ref="U921">_xlfn.IFERROR(ISNUMBER(SEARCH("Razonar",$R921))/(ISNUMBER(SEARCH("Conocer",$R921))+ISNUMBER(SEARCH("Aplicar",$R921))+ISNUMBER(SEARCH("Razonar",$R921))),0)</f>
        <v>0.5</v>
      </c>
      <c r="V921" t="s" s="35">
        <v>1405</v>
      </c>
      <c r="W921" t="s" s="35">
        <v>6188</v>
      </c>
      <c r="X921" s="36" cm="1">
        <f t="array" ref="X921">IF(OR(_xlfn.IFERROR(INDEX('Datos - Catálogo TIMSS'!$I$5:$I$107,MATCH(K921,'Datos - Catálogo TIMSS'!$A$5:$A$107,0)),"No")="Sí",_xlfn.IFERROR(INDEX('Datos - Catálogo TIMSS'!$I$5:$I$107,MATCH(L921,'Datos - Catálogo TIMSS'!$A$5:$A$107,0)),"No")="Sí"),1,0)</f>
        <v>0</v>
      </c>
      <c r="Y921" s="36" cm="1">
        <f t="array" ref="Y921">IF(_xlfn.IFERROR(INDEX('Datos - Catálogo TIMSS'!$J$5:$J$107,MATCH(K921,'Datos - Catálogo TIMSS'!$A$5:$A$107,0)),"No")="Sí",1,0)</f>
        <v>0</v>
      </c>
      <c r="Z921" s="36" cm="1">
        <f t="array" ref="Z921">IF(_xlfn.IFERROR(INDEX('Datos - Catálogo TIMSS'!$J$5:$J$107,MATCH(L921,'Datos - Catálogo TIMSS'!$A$5:$A$107,0)),"No")="Sí",1,0)</f>
        <v>0</v>
      </c>
      <c r="AA921" t="s" s="35">
        <v>1058</v>
      </c>
      <c r="AB921" s="39"/>
      <c r="AC921" t="str" s="39">
        <v>Sin marco</v>
      </c>
      <c r="AD921" t="s" s="35">
        <v>1859</v>
      </c>
      <c r="AE921" t="str" s="39" cm="1">
        <f t="array" ref="AE921">IF(AD921="","",IF(LEFT(AD921,1)="1","C1",IF(LEFT(AD921,1)="2","C2",IF(LEFT(AD921,1)="3","C3",""))))</f>
        <v>C1</v>
      </c>
      <c r="AF921" t="s" s="35">
        <v>1602</v>
      </c>
      <c r="AG921" t="s" s="35">
        <v>1607</v>
      </c>
      <c r="AH921" t="s" s="35">
        <v>1605</v>
      </c>
      <c r="AI921" t="s" s="35">
        <v>1609</v>
      </c>
      <c r="AJ921" t="s" s="35">
        <v>1631</v>
      </c>
      <c r="AK921" s="39"/>
      <c r="AL921" s="39"/>
      <c r="AM921" s="39"/>
      <c r="AN921" s="39"/>
      <c r="AO921" s="39"/>
      <c r="AP921" s="39"/>
      <c r="AQ921" s="39"/>
      <c r="AR921" s="39"/>
      <c r="AS921" s="39"/>
      <c r="AT921" s="39"/>
      <c r="AU921" s="39"/>
      <c r="AV921" s="39"/>
      <c r="AW921" t="str" s="39" cm="1">
        <f t="array" ref="AW921">AF921&amp;"; "&amp;AG921&amp;"; "&amp;AH921&amp;"; "&amp;AI921&amp;"; "&amp;AJ921</f>
        <v>E1; E3; E2; E4; I4</v>
      </c>
    </row>
    <row r="922" ht="13.65" customHeight="1">
      <c r="A922" t="s" s="35">
        <v>6288</v>
      </c>
      <c r="B922" s="36">
        <v>10</v>
      </c>
      <c r="C922" t="s" s="35">
        <v>220</v>
      </c>
      <c r="D922" t="s" s="35">
        <v>6180</v>
      </c>
      <c r="E922" t="s" s="35">
        <v>6181</v>
      </c>
      <c r="F922" s="36">
        <v>31</v>
      </c>
      <c r="G922" t="s" s="35">
        <v>6258</v>
      </c>
      <c r="H922" t="s" s="35">
        <v>6281</v>
      </c>
      <c r="I922" t="s" s="120">
        <v>6289</v>
      </c>
      <c r="J922" t="s" s="35">
        <v>6185</v>
      </c>
      <c r="K922" t="s" s="35">
        <v>1058</v>
      </c>
      <c r="L922" s="39"/>
      <c r="M922" t="str" s="39">
        <v>Sin marco</v>
      </c>
      <c r="N922" t="str" s="39">
        <v>Sin marco</v>
      </c>
      <c r="O922" t="str" s="39" cm="1">
        <f t="array" ref="O922">IF(L922="","",_xlfn.IFERROR(INDEX('Datos - Catálogo TIMSS'!$C$5:$C$107,MATCH(L922,'Datos - Catálogo TIMSS'!$A$5:$A$107,0)),"?"))</f>
      </c>
      <c r="P922" t="s" s="35">
        <v>1058</v>
      </c>
      <c r="Q922" t="s" s="120">
        <v>6186</v>
      </c>
      <c r="R922" t="s" s="120">
        <v>6290</v>
      </c>
      <c r="S922" s="121" cm="1">
        <f t="array" ref="S922">_xlfn.IFERROR(ISNUMBER(SEARCH("Conocer",$R922))/(ISNUMBER(SEARCH("Conocer",$R922))+ISNUMBER(SEARCH("Aplicar",$R922))+ISNUMBER(SEARCH("Razonar",$R922))),0)</f>
        <v>0.333333333333333</v>
      </c>
      <c r="T922" s="121" cm="1">
        <f t="array" ref="T922">_xlfn.IFERROR(ISNUMBER(SEARCH("Aplicar",$R922))/(ISNUMBER(SEARCH("Conocer",$R922))+ISNUMBER(SEARCH("Aplicar",$R922))+ISNUMBER(SEARCH("Razonar",$R922))),0)</f>
        <v>0.333333333333333</v>
      </c>
      <c r="U922" s="121" cm="1">
        <f t="array" ref="U922">_xlfn.IFERROR(ISNUMBER(SEARCH("Razonar",$R922))/(ISNUMBER(SEARCH("Conocer",$R922))+ISNUMBER(SEARCH("Aplicar",$R922))+ISNUMBER(SEARCH("Razonar",$R922))),0)</f>
        <v>0.333333333333333</v>
      </c>
      <c r="V922" t="s" s="35">
        <v>1405</v>
      </c>
      <c r="W922" t="s" s="35">
        <v>6188</v>
      </c>
      <c r="X922" s="36" cm="1">
        <f t="array" ref="X922">IF(OR(_xlfn.IFERROR(INDEX('Datos - Catálogo TIMSS'!$I$5:$I$107,MATCH(K922,'Datos - Catálogo TIMSS'!$A$5:$A$107,0)),"No")="Sí",_xlfn.IFERROR(INDEX('Datos - Catálogo TIMSS'!$I$5:$I$107,MATCH(L922,'Datos - Catálogo TIMSS'!$A$5:$A$107,0)),"No")="Sí"),1,0)</f>
        <v>0</v>
      </c>
      <c r="Y922" s="36" cm="1">
        <f t="array" ref="Y922">IF(_xlfn.IFERROR(INDEX('Datos - Catálogo TIMSS'!$J$5:$J$107,MATCH(K922,'Datos - Catálogo TIMSS'!$A$5:$A$107,0)),"No")="Sí",1,0)</f>
        <v>0</v>
      </c>
      <c r="Z922" s="36" cm="1">
        <f t="array" ref="Z922">IF(_xlfn.IFERROR(INDEX('Datos - Catálogo TIMSS'!$J$5:$J$107,MATCH(L922,'Datos - Catálogo TIMSS'!$A$5:$A$107,0)),"No")="Sí",1,0)</f>
        <v>0</v>
      </c>
      <c r="AA922" t="s" s="35">
        <v>1058</v>
      </c>
      <c r="AB922" s="39"/>
      <c r="AC922" t="str" s="39">
        <v>Sin marco</v>
      </c>
      <c r="AD922" t="s" s="35">
        <v>1859</v>
      </c>
      <c r="AE922" t="str" s="39" cm="1">
        <f t="array" ref="AE922">IF(AD922="","",IF(LEFT(AD922,1)="1","C1",IF(LEFT(AD922,1)="2","C2",IF(LEFT(AD922,1)="3","C3",""))))</f>
        <v>C1</v>
      </c>
      <c r="AF922" t="s" s="35">
        <v>1602</v>
      </c>
      <c r="AG922" t="s" s="35">
        <v>1607</v>
      </c>
      <c r="AH922" t="s" s="35">
        <v>1605</v>
      </c>
      <c r="AI922" t="s" s="35">
        <v>1609</v>
      </c>
      <c r="AJ922" t="s" s="35">
        <v>1607</v>
      </c>
      <c r="AK922" s="39"/>
      <c r="AL922" s="39"/>
      <c r="AM922" s="39"/>
      <c r="AN922" s="39"/>
      <c r="AO922" s="39"/>
      <c r="AP922" s="39"/>
      <c r="AQ922" s="39"/>
      <c r="AR922" s="39"/>
      <c r="AS922" s="39"/>
      <c r="AT922" s="39"/>
      <c r="AU922" s="39"/>
      <c r="AV922" s="39"/>
      <c r="AW922" t="str" s="39" cm="1">
        <f t="array" ref="AW922">AF922&amp;"; "&amp;AG922&amp;"; "&amp;AH922&amp;"; "&amp;AI922&amp;"; "&amp;AJ922</f>
        <v>E1; E3; E2; E4; E3</v>
      </c>
    </row>
    <row r="923" ht="13.65" customHeight="1">
      <c r="A923" t="s" s="35">
        <v>6291</v>
      </c>
      <c r="B923" s="36">
        <v>10</v>
      </c>
      <c r="C923" t="s" s="35">
        <v>220</v>
      </c>
      <c r="D923" t="s" s="35">
        <v>6180</v>
      </c>
      <c r="E923" t="s" s="35">
        <v>6181</v>
      </c>
      <c r="F923" s="36">
        <v>32</v>
      </c>
      <c r="G923" t="s" s="35">
        <v>6258</v>
      </c>
      <c r="H923" t="s" s="35">
        <v>6281</v>
      </c>
      <c r="I923" t="s" s="120">
        <v>6292</v>
      </c>
      <c r="J923" t="s" s="35">
        <v>6185</v>
      </c>
      <c r="K923" t="s" s="35">
        <v>1058</v>
      </c>
      <c r="L923" s="39"/>
      <c r="M923" t="str" s="39">
        <v>Sin marco</v>
      </c>
      <c r="N923" t="str" s="39">
        <v>Sin marco</v>
      </c>
      <c r="O923" t="str" s="39" cm="1">
        <f t="array" ref="O923">IF(L923="","",_xlfn.IFERROR(INDEX('Datos - Catálogo TIMSS'!$C$5:$C$107,MATCH(L923,'Datos - Catálogo TIMSS'!$A$5:$A$107,0)),"?"))</f>
      </c>
      <c r="P923" t="s" s="35">
        <v>1058</v>
      </c>
      <c r="Q923" t="s" s="120">
        <v>6186</v>
      </c>
      <c r="R923" t="s" s="120">
        <v>6293</v>
      </c>
      <c r="S923" s="121" cm="1">
        <f t="array" ref="S923">_xlfn.IFERROR(ISNUMBER(SEARCH("Conocer",$R923))/(ISNUMBER(SEARCH("Conocer",$R923))+ISNUMBER(SEARCH("Aplicar",$R923))+ISNUMBER(SEARCH("Razonar",$R923))),0)</f>
        <v>0</v>
      </c>
      <c r="T923" s="121" cm="1">
        <f t="array" ref="T923">_xlfn.IFERROR(ISNUMBER(SEARCH("Aplicar",$R923))/(ISNUMBER(SEARCH("Conocer",$R923))+ISNUMBER(SEARCH("Aplicar",$R923))+ISNUMBER(SEARCH("Razonar",$R923))),0)</f>
        <v>0.5</v>
      </c>
      <c r="U923" s="121" cm="1">
        <f t="array" ref="U923">_xlfn.IFERROR(ISNUMBER(SEARCH("Razonar",$R923))/(ISNUMBER(SEARCH("Conocer",$R923))+ISNUMBER(SEARCH("Aplicar",$R923))+ISNUMBER(SEARCH("Razonar",$R923))),0)</f>
        <v>0.5</v>
      </c>
      <c r="V923" t="s" s="35">
        <v>1405</v>
      </c>
      <c r="W923" t="s" s="35">
        <v>6188</v>
      </c>
      <c r="X923" s="36" cm="1">
        <f t="array" ref="X923">IF(OR(_xlfn.IFERROR(INDEX('Datos - Catálogo TIMSS'!$I$5:$I$107,MATCH(K923,'Datos - Catálogo TIMSS'!$A$5:$A$107,0)),"No")="Sí",_xlfn.IFERROR(INDEX('Datos - Catálogo TIMSS'!$I$5:$I$107,MATCH(L923,'Datos - Catálogo TIMSS'!$A$5:$A$107,0)),"No")="Sí"),1,0)</f>
        <v>0</v>
      </c>
      <c r="Y923" s="36" cm="1">
        <f t="array" ref="Y923">IF(_xlfn.IFERROR(INDEX('Datos - Catálogo TIMSS'!$J$5:$J$107,MATCH(K923,'Datos - Catálogo TIMSS'!$A$5:$A$107,0)),"No")="Sí",1,0)</f>
        <v>0</v>
      </c>
      <c r="Z923" s="36" cm="1">
        <f t="array" ref="Z923">IF(_xlfn.IFERROR(INDEX('Datos - Catálogo TIMSS'!$J$5:$J$107,MATCH(L923,'Datos - Catálogo TIMSS'!$A$5:$A$107,0)),"No")="Sí",1,0)</f>
        <v>0</v>
      </c>
      <c r="AA923" t="s" s="35">
        <v>1058</v>
      </c>
      <c r="AB923" s="39"/>
      <c r="AC923" t="str" s="39">
        <v>Sin marco</v>
      </c>
      <c r="AD923" t="s" s="35">
        <v>1859</v>
      </c>
      <c r="AE923" t="str" s="39" cm="1">
        <f t="array" ref="AE923">IF(AD923="","",IF(LEFT(AD923,1)="1","C1",IF(LEFT(AD923,1)="2","C2",IF(LEFT(AD923,1)="3","C3",""))))</f>
        <v>C1</v>
      </c>
      <c r="AF923" t="s" s="35">
        <v>1602</v>
      </c>
      <c r="AG923" t="s" s="35">
        <v>1607</v>
      </c>
      <c r="AH923" t="s" s="35">
        <v>1605</v>
      </c>
      <c r="AI923" t="s" s="35">
        <v>1623</v>
      </c>
      <c r="AJ923" t="s" s="35">
        <v>1631</v>
      </c>
      <c r="AK923" s="39"/>
      <c r="AL923" s="39"/>
      <c r="AM923" s="39"/>
      <c r="AN923" s="39"/>
      <c r="AO923" s="39"/>
      <c r="AP923" s="39"/>
      <c r="AQ923" s="39"/>
      <c r="AR923" s="39"/>
      <c r="AS923" s="39"/>
      <c r="AT923" s="39"/>
      <c r="AU923" s="39"/>
      <c r="AV923" s="39"/>
      <c r="AW923" t="str" s="39" cm="1">
        <f t="array" ref="AW923">AF923&amp;"; "&amp;AG923&amp;"; "&amp;AH923&amp;"; "&amp;AI923&amp;"; "&amp;AJ923</f>
        <v>E1; E3; E2; D4; I4</v>
      </c>
    </row>
    <row r="924" ht="13.65" customHeight="1">
      <c r="A924" t="s" s="35">
        <v>6294</v>
      </c>
      <c r="B924" s="36">
        <v>10</v>
      </c>
      <c r="C924" t="s" s="35">
        <v>220</v>
      </c>
      <c r="D924" t="s" s="35">
        <v>6180</v>
      </c>
      <c r="E924" t="s" s="35">
        <v>6181</v>
      </c>
      <c r="F924" s="36">
        <v>33</v>
      </c>
      <c r="G924" t="s" s="35">
        <v>6295</v>
      </c>
      <c r="H924" t="s" s="35">
        <v>6296</v>
      </c>
      <c r="I924" t="s" s="120">
        <v>6297</v>
      </c>
      <c r="J924" t="s" s="35">
        <v>6185</v>
      </c>
      <c r="K924" t="s" s="35">
        <v>1058</v>
      </c>
      <c r="L924" s="39"/>
      <c r="M924" t="str" s="39">
        <v>Sin marco</v>
      </c>
      <c r="N924" t="str" s="39">
        <v>Sin marco</v>
      </c>
      <c r="O924" t="str" s="39" cm="1">
        <f t="array" ref="O924">IF(L924="","",_xlfn.IFERROR(INDEX('Datos - Catálogo TIMSS'!$C$5:$C$107,MATCH(L924,'Datos - Catálogo TIMSS'!$A$5:$A$107,0)),"?"))</f>
      </c>
      <c r="P924" t="s" s="35">
        <v>1058</v>
      </c>
      <c r="Q924" t="s" s="120">
        <v>6186</v>
      </c>
      <c r="R924" t="s" s="120">
        <v>6298</v>
      </c>
      <c r="S924" s="121" cm="1">
        <f t="array" ref="S924">_xlfn.IFERROR(ISNUMBER(SEARCH("Conocer",$R924))/(ISNUMBER(SEARCH("Conocer",$R924))+ISNUMBER(SEARCH("Aplicar",$R924))+ISNUMBER(SEARCH("Razonar",$R924))),0)</f>
        <v>0.5</v>
      </c>
      <c r="T924" s="121" cm="1">
        <f t="array" ref="T924">_xlfn.IFERROR(ISNUMBER(SEARCH("Aplicar",$R924))/(ISNUMBER(SEARCH("Conocer",$R924))+ISNUMBER(SEARCH("Aplicar",$R924))+ISNUMBER(SEARCH("Razonar",$R924))),0)</f>
        <v>0</v>
      </c>
      <c r="U924" s="121" cm="1">
        <f t="array" ref="U924">_xlfn.IFERROR(ISNUMBER(SEARCH("Razonar",$R924))/(ISNUMBER(SEARCH("Conocer",$R924))+ISNUMBER(SEARCH("Aplicar",$R924))+ISNUMBER(SEARCH("Razonar",$R924))),0)</f>
        <v>0.5</v>
      </c>
      <c r="V924" t="s" s="35">
        <v>1405</v>
      </c>
      <c r="W924" t="s" s="35">
        <v>6188</v>
      </c>
      <c r="X924" s="36" cm="1">
        <f t="array" ref="X924">IF(OR(_xlfn.IFERROR(INDEX('Datos - Catálogo TIMSS'!$I$5:$I$107,MATCH(K924,'Datos - Catálogo TIMSS'!$A$5:$A$107,0)),"No")="Sí",_xlfn.IFERROR(INDEX('Datos - Catálogo TIMSS'!$I$5:$I$107,MATCH(L924,'Datos - Catálogo TIMSS'!$A$5:$A$107,0)),"No")="Sí"),1,0)</f>
        <v>0</v>
      </c>
      <c r="Y924" s="36" cm="1">
        <f t="array" ref="Y924">IF(_xlfn.IFERROR(INDEX('Datos - Catálogo TIMSS'!$J$5:$J$107,MATCH(K924,'Datos - Catálogo TIMSS'!$A$5:$A$107,0)),"No")="Sí",1,0)</f>
        <v>0</v>
      </c>
      <c r="Z924" s="36" cm="1">
        <f t="array" ref="Z924">IF(_xlfn.IFERROR(INDEX('Datos - Catálogo TIMSS'!$J$5:$J$107,MATCH(L924,'Datos - Catálogo TIMSS'!$A$5:$A$107,0)),"No")="Sí",1,0)</f>
        <v>0</v>
      </c>
      <c r="AA924" t="s" s="35">
        <v>1058</v>
      </c>
      <c r="AB924" s="39"/>
      <c r="AC924" t="str" s="39">
        <v>Sin marco</v>
      </c>
      <c r="AD924" t="s" s="35">
        <v>1859</v>
      </c>
      <c r="AE924" t="str" s="39" cm="1">
        <f t="array" ref="AE924">IF(AD924="","",IF(LEFT(AD924,1)="1","C1",IF(LEFT(AD924,1)="2","C2",IF(LEFT(AD924,1)="3","C3",""))))</f>
        <v>C1</v>
      </c>
      <c r="AF924" t="s" s="35">
        <v>1602</v>
      </c>
      <c r="AG924" t="s" s="35">
        <v>1612</v>
      </c>
      <c r="AH924" t="s" s="35">
        <v>1602</v>
      </c>
      <c r="AI924" t="s" s="35">
        <v>1623</v>
      </c>
      <c r="AJ924" t="s" s="35">
        <v>1615</v>
      </c>
      <c r="AK924" s="39"/>
      <c r="AL924" s="39"/>
      <c r="AM924" s="39"/>
      <c r="AN924" s="39"/>
      <c r="AO924" s="39"/>
      <c r="AP924" s="39"/>
      <c r="AQ924" s="39"/>
      <c r="AR924" s="39"/>
      <c r="AS924" s="39"/>
      <c r="AT924" s="39"/>
      <c r="AU924" s="39"/>
      <c r="AV924" s="39"/>
      <c r="AW924" t="str" s="39" cm="1">
        <f t="array" ref="AW924">AF924&amp;"; "&amp;AG924&amp;"; "&amp;AH924&amp;"; "&amp;AI924&amp;"; "&amp;AJ924</f>
        <v>E1; E5; E1; D4; E6</v>
      </c>
    </row>
    <row r="925" ht="13.65" customHeight="1">
      <c r="A925" t="s" s="35">
        <v>6299</v>
      </c>
      <c r="B925" s="36">
        <v>10</v>
      </c>
      <c r="C925" t="s" s="35">
        <v>220</v>
      </c>
      <c r="D925" t="s" s="35">
        <v>6180</v>
      </c>
      <c r="E925" t="s" s="35">
        <v>6181</v>
      </c>
      <c r="F925" s="36">
        <v>34</v>
      </c>
      <c r="G925" t="s" s="35">
        <v>6295</v>
      </c>
      <c r="H925" t="s" s="35">
        <v>6296</v>
      </c>
      <c r="I925" t="s" s="120">
        <v>6300</v>
      </c>
      <c r="J925" t="s" s="35">
        <v>6185</v>
      </c>
      <c r="K925" t="s" s="35">
        <v>1058</v>
      </c>
      <c r="L925" s="39"/>
      <c r="M925" t="str" s="39">
        <v>Sin marco</v>
      </c>
      <c r="N925" t="str" s="39">
        <v>Sin marco</v>
      </c>
      <c r="O925" t="str" s="39" cm="1">
        <f t="array" ref="O925">IF(L925="","",_xlfn.IFERROR(INDEX('Datos - Catálogo TIMSS'!$C$5:$C$107,MATCH(L925,'Datos - Catálogo TIMSS'!$A$5:$A$107,0)),"?"))</f>
      </c>
      <c r="P925" t="s" s="35">
        <v>1058</v>
      </c>
      <c r="Q925" t="s" s="120">
        <v>6186</v>
      </c>
      <c r="R925" t="s" s="120">
        <v>6301</v>
      </c>
      <c r="S925" s="121" cm="1">
        <f t="array" ref="S925">_xlfn.IFERROR(ISNUMBER(SEARCH("Conocer",$R925))/(ISNUMBER(SEARCH("Conocer",$R925))+ISNUMBER(SEARCH("Aplicar",$R925))+ISNUMBER(SEARCH("Razonar",$R925))),0)</f>
        <v>0.333333333333333</v>
      </c>
      <c r="T925" s="121" cm="1">
        <f t="array" ref="T925">_xlfn.IFERROR(ISNUMBER(SEARCH("Aplicar",$R925))/(ISNUMBER(SEARCH("Conocer",$R925))+ISNUMBER(SEARCH("Aplicar",$R925))+ISNUMBER(SEARCH("Razonar",$R925))),0)</f>
        <v>0.333333333333333</v>
      </c>
      <c r="U925" s="121" cm="1">
        <f t="array" ref="U925">_xlfn.IFERROR(ISNUMBER(SEARCH("Razonar",$R925))/(ISNUMBER(SEARCH("Conocer",$R925))+ISNUMBER(SEARCH("Aplicar",$R925))+ISNUMBER(SEARCH("Razonar",$R925))),0)</f>
        <v>0.333333333333333</v>
      </c>
      <c r="V925" t="s" s="35">
        <v>1405</v>
      </c>
      <c r="W925" t="s" s="35">
        <v>6188</v>
      </c>
      <c r="X925" s="36" cm="1">
        <f t="array" ref="X925">IF(OR(_xlfn.IFERROR(INDEX('Datos - Catálogo TIMSS'!$I$5:$I$107,MATCH(K925,'Datos - Catálogo TIMSS'!$A$5:$A$107,0)),"No")="Sí",_xlfn.IFERROR(INDEX('Datos - Catálogo TIMSS'!$I$5:$I$107,MATCH(L925,'Datos - Catálogo TIMSS'!$A$5:$A$107,0)),"No")="Sí"),1,0)</f>
        <v>0</v>
      </c>
      <c r="Y925" s="36" cm="1">
        <f t="array" ref="Y925">IF(_xlfn.IFERROR(INDEX('Datos - Catálogo TIMSS'!$J$5:$J$107,MATCH(K925,'Datos - Catálogo TIMSS'!$A$5:$A$107,0)),"No")="Sí",1,0)</f>
        <v>0</v>
      </c>
      <c r="Z925" s="36" cm="1">
        <f t="array" ref="Z925">IF(_xlfn.IFERROR(INDEX('Datos - Catálogo TIMSS'!$J$5:$J$107,MATCH(L925,'Datos - Catálogo TIMSS'!$A$5:$A$107,0)),"No")="Sí",1,0)</f>
        <v>0</v>
      </c>
      <c r="AA925" t="s" s="35">
        <v>1058</v>
      </c>
      <c r="AB925" s="39"/>
      <c r="AC925" t="str" s="39">
        <v>Sin marco</v>
      </c>
      <c r="AD925" t="s" s="35">
        <v>1859</v>
      </c>
      <c r="AE925" t="str" s="39" cm="1">
        <f t="array" ref="AE925">IF(AD925="","",IF(LEFT(AD925,1)="1","C1",IF(LEFT(AD925,1)="2","C2",IF(LEFT(AD925,1)="3","C3",""))))</f>
        <v>C1</v>
      </c>
      <c r="AF925" t="s" s="35">
        <v>1602</v>
      </c>
      <c r="AG925" t="s" s="35">
        <v>1617</v>
      </c>
      <c r="AH925" t="s" s="35">
        <v>1602</v>
      </c>
      <c r="AI925" t="s" s="35">
        <v>1625</v>
      </c>
      <c r="AJ925" t="s" s="35">
        <v>1615</v>
      </c>
      <c r="AK925" s="39"/>
      <c r="AL925" s="39"/>
      <c r="AM925" s="39"/>
      <c r="AN925" s="39"/>
      <c r="AO925" s="39"/>
      <c r="AP925" s="39"/>
      <c r="AQ925" s="39"/>
      <c r="AR925" s="39"/>
      <c r="AS925" s="39"/>
      <c r="AT925" s="39"/>
      <c r="AU925" s="39"/>
      <c r="AV925" s="39"/>
      <c r="AW925" t="str" s="39" cm="1">
        <f t="array" ref="AW925">AF925&amp;"; "&amp;AG925&amp;"; "&amp;AH925&amp;"; "&amp;AI925&amp;"; "&amp;AJ925</f>
        <v>E1; D1; E1; I1; E6</v>
      </c>
    </row>
    <row r="926" ht="13.65" customHeight="1">
      <c r="A926" t="s" s="35">
        <v>6302</v>
      </c>
      <c r="B926" s="36">
        <v>10</v>
      </c>
      <c r="C926" t="s" s="35">
        <v>220</v>
      </c>
      <c r="D926" t="s" s="35">
        <v>6180</v>
      </c>
      <c r="E926" t="s" s="35">
        <v>6181</v>
      </c>
      <c r="F926" s="36">
        <v>35</v>
      </c>
      <c r="G926" t="s" s="35">
        <v>6295</v>
      </c>
      <c r="H926" t="s" s="35">
        <v>6296</v>
      </c>
      <c r="I926" t="s" s="120">
        <v>6303</v>
      </c>
      <c r="J926" t="s" s="35">
        <v>6185</v>
      </c>
      <c r="K926" t="s" s="35">
        <v>1058</v>
      </c>
      <c r="L926" s="39"/>
      <c r="M926" t="str" s="39">
        <v>Sin marco</v>
      </c>
      <c r="N926" t="str" s="39">
        <v>Sin marco</v>
      </c>
      <c r="O926" t="str" s="39" cm="1">
        <f t="array" ref="O926">IF(L926="","",_xlfn.IFERROR(INDEX('Datos - Catálogo TIMSS'!$C$5:$C$107,MATCH(L926,'Datos - Catálogo TIMSS'!$A$5:$A$107,0)),"?"))</f>
      </c>
      <c r="P926" t="s" s="35">
        <v>1058</v>
      </c>
      <c r="Q926" t="s" s="120">
        <v>6186</v>
      </c>
      <c r="R926" t="s" s="120">
        <v>6304</v>
      </c>
      <c r="S926" s="121" cm="1">
        <f t="array" ref="S926">_xlfn.IFERROR(ISNUMBER(SEARCH("Conocer",$R926))/(ISNUMBER(SEARCH("Conocer",$R926))+ISNUMBER(SEARCH("Aplicar",$R926))+ISNUMBER(SEARCH("Razonar",$R926))),0)</f>
        <v>0</v>
      </c>
      <c r="T926" s="121" cm="1">
        <f t="array" ref="T926">_xlfn.IFERROR(ISNUMBER(SEARCH("Aplicar",$R926))/(ISNUMBER(SEARCH("Conocer",$R926))+ISNUMBER(SEARCH("Aplicar",$R926))+ISNUMBER(SEARCH("Razonar",$R926))),0)</f>
        <v>0.5</v>
      </c>
      <c r="U926" s="121" cm="1">
        <f t="array" ref="U926">_xlfn.IFERROR(ISNUMBER(SEARCH("Razonar",$R926))/(ISNUMBER(SEARCH("Conocer",$R926))+ISNUMBER(SEARCH("Aplicar",$R926))+ISNUMBER(SEARCH("Razonar",$R926))),0)</f>
        <v>0.5</v>
      </c>
      <c r="V926" t="s" s="35">
        <v>1405</v>
      </c>
      <c r="W926" t="s" s="35">
        <v>6188</v>
      </c>
      <c r="X926" s="36" cm="1">
        <f t="array" ref="X926">IF(OR(_xlfn.IFERROR(INDEX('Datos - Catálogo TIMSS'!$I$5:$I$107,MATCH(K926,'Datos - Catálogo TIMSS'!$A$5:$A$107,0)),"No")="Sí",_xlfn.IFERROR(INDEX('Datos - Catálogo TIMSS'!$I$5:$I$107,MATCH(L926,'Datos - Catálogo TIMSS'!$A$5:$A$107,0)),"No")="Sí"),1,0)</f>
        <v>0</v>
      </c>
      <c r="Y926" s="36" cm="1">
        <f t="array" ref="Y926">IF(_xlfn.IFERROR(INDEX('Datos - Catálogo TIMSS'!$J$5:$J$107,MATCH(K926,'Datos - Catálogo TIMSS'!$A$5:$A$107,0)),"No")="Sí",1,0)</f>
        <v>0</v>
      </c>
      <c r="Z926" s="36" cm="1">
        <f t="array" ref="Z926">IF(_xlfn.IFERROR(INDEX('Datos - Catálogo TIMSS'!$J$5:$J$107,MATCH(L926,'Datos - Catálogo TIMSS'!$A$5:$A$107,0)),"No")="Sí",1,0)</f>
        <v>0</v>
      </c>
      <c r="AA926" t="s" s="35">
        <v>1058</v>
      </c>
      <c r="AB926" s="39"/>
      <c r="AC926" t="str" s="39">
        <v>Sin marco</v>
      </c>
      <c r="AD926" t="s" s="35">
        <v>1859</v>
      </c>
      <c r="AE926" t="str" s="39" cm="1">
        <f t="array" ref="AE926">IF(AD926="","",IF(LEFT(AD926,1)="1","C1",IF(LEFT(AD926,1)="2","C2",IF(LEFT(AD926,1)="3","C3",""))))</f>
        <v>C1</v>
      </c>
      <c r="AF926" t="s" s="35">
        <v>1602</v>
      </c>
      <c r="AG926" t="s" s="35">
        <v>1607</v>
      </c>
      <c r="AH926" t="s" s="35">
        <v>1605</v>
      </c>
      <c r="AI926" t="s" s="35">
        <v>1609</v>
      </c>
      <c r="AJ926" t="s" s="35">
        <v>1607</v>
      </c>
      <c r="AK926" s="39"/>
      <c r="AL926" s="39"/>
      <c r="AM926" s="39"/>
      <c r="AN926" s="39"/>
      <c r="AO926" s="39"/>
      <c r="AP926" s="39"/>
      <c r="AQ926" s="39"/>
      <c r="AR926" s="39"/>
      <c r="AS926" s="39"/>
      <c r="AT926" s="39"/>
      <c r="AU926" s="39"/>
      <c r="AV926" s="39"/>
      <c r="AW926" t="str" s="39" cm="1">
        <f t="array" ref="AW926">AF926&amp;"; "&amp;AG926&amp;"; "&amp;AH926&amp;"; "&amp;AI926&amp;"; "&amp;AJ926</f>
        <v>E1; E3; E2; E4; E3</v>
      </c>
    </row>
    <row r="927" ht="13.65" customHeight="1">
      <c r="A927" t="s" s="35">
        <v>6305</v>
      </c>
      <c r="B927" s="36">
        <v>10</v>
      </c>
      <c r="C927" t="s" s="35">
        <v>220</v>
      </c>
      <c r="D927" t="s" s="35">
        <v>6180</v>
      </c>
      <c r="E927" t="s" s="35">
        <v>6181</v>
      </c>
      <c r="F927" s="36">
        <v>36</v>
      </c>
      <c r="G927" t="s" s="35">
        <v>6295</v>
      </c>
      <c r="H927" t="s" s="35">
        <v>6306</v>
      </c>
      <c r="I927" t="s" s="120">
        <v>6307</v>
      </c>
      <c r="J927" t="s" s="35">
        <v>6185</v>
      </c>
      <c r="K927" t="s" s="35">
        <v>1058</v>
      </c>
      <c r="L927" s="39"/>
      <c r="M927" t="str" s="39">
        <v>Sin marco</v>
      </c>
      <c r="N927" t="str" s="39">
        <v>Sin marco</v>
      </c>
      <c r="O927" t="str" s="39" cm="1">
        <f t="array" ref="O927">IF(L927="","",_xlfn.IFERROR(INDEX('Datos - Catálogo TIMSS'!$C$5:$C$107,MATCH(L927,'Datos - Catálogo TIMSS'!$A$5:$A$107,0)),"?"))</f>
      </c>
      <c r="P927" t="s" s="35">
        <v>1058</v>
      </c>
      <c r="Q927" t="s" s="120">
        <v>6186</v>
      </c>
      <c r="R927" t="s" s="120">
        <v>6308</v>
      </c>
      <c r="S927" s="121" cm="1">
        <f t="array" ref="S927">_xlfn.IFERROR(ISNUMBER(SEARCH("Conocer",$R927))/(ISNUMBER(SEARCH("Conocer",$R927))+ISNUMBER(SEARCH("Aplicar",$R927))+ISNUMBER(SEARCH("Razonar",$R927))),0)</f>
        <v>0</v>
      </c>
      <c r="T927" s="121" cm="1">
        <f t="array" ref="T927">_xlfn.IFERROR(ISNUMBER(SEARCH("Aplicar",$R927))/(ISNUMBER(SEARCH("Conocer",$R927))+ISNUMBER(SEARCH("Aplicar",$R927))+ISNUMBER(SEARCH("Razonar",$R927))),0)</f>
        <v>0.5</v>
      </c>
      <c r="U927" s="121" cm="1">
        <f t="array" ref="U927">_xlfn.IFERROR(ISNUMBER(SEARCH("Razonar",$R927))/(ISNUMBER(SEARCH("Conocer",$R927))+ISNUMBER(SEARCH("Aplicar",$R927))+ISNUMBER(SEARCH("Razonar",$R927))),0)</f>
        <v>0.5</v>
      </c>
      <c r="V927" t="s" s="35">
        <v>1405</v>
      </c>
      <c r="W927" t="s" s="35">
        <v>6188</v>
      </c>
      <c r="X927" s="36" cm="1">
        <f t="array" ref="X927">IF(OR(_xlfn.IFERROR(INDEX('Datos - Catálogo TIMSS'!$I$5:$I$107,MATCH(K927,'Datos - Catálogo TIMSS'!$A$5:$A$107,0)),"No")="Sí",_xlfn.IFERROR(INDEX('Datos - Catálogo TIMSS'!$I$5:$I$107,MATCH(L927,'Datos - Catálogo TIMSS'!$A$5:$A$107,0)),"No")="Sí"),1,0)</f>
        <v>0</v>
      </c>
      <c r="Y927" s="36" cm="1">
        <f t="array" ref="Y927">IF(_xlfn.IFERROR(INDEX('Datos - Catálogo TIMSS'!$J$5:$J$107,MATCH(K927,'Datos - Catálogo TIMSS'!$A$5:$A$107,0)),"No")="Sí",1,0)</f>
        <v>0</v>
      </c>
      <c r="Z927" s="36" cm="1">
        <f t="array" ref="Z927">IF(_xlfn.IFERROR(INDEX('Datos - Catálogo TIMSS'!$J$5:$J$107,MATCH(L927,'Datos - Catálogo TIMSS'!$A$5:$A$107,0)),"No")="Sí",1,0)</f>
        <v>0</v>
      </c>
      <c r="AA927" t="s" s="35">
        <v>1058</v>
      </c>
      <c r="AB927" s="39"/>
      <c r="AC927" t="str" s="39">
        <v>Sin marco</v>
      </c>
      <c r="AD927" t="s" s="35">
        <v>1834</v>
      </c>
      <c r="AE927" t="str" s="39" cm="1">
        <f t="array" ref="AE927">IF(AD927="","",IF(LEFT(AD927,1)="1","C1",IF(LEFT(AD927,1)="2","C2",IF(LEFT(AD927,1)="3","C3",""))))</f>
        <v>C2</v>
      </c>
      <c r="AF927" t="s" s="35">
        <v>1602</v>
      </c>
      <c r="AG927" t="s" s="35">
        <v>1617</v>
      </c>
      <c r="AH927" t="s" s="35">
        <v>1609</v>
      </c>
      <c r="AI927" t="s" s="35">
        <v>1623</v>
      </c>
      <c r="AJ927" t="s" s="35">
        <v>1607</v>
      </c>
      <c r="AK927" s="39"/>
      <c r="AL927" s="39"/>
      <c r="AM927" s="39"/>
      <c r="AN927" s="39"/>
      <c r="AO927" s="39"/>
      <c r="AP927" s="39"/>
      <c r="AQ927" s="39"/>
      <c r="AR927" s="39"/>
      <c r="AS927" s="39"/>
      <c r="AT927" s="39"/>
      <c r="AU927" s="39"/>
      <c r="AV927" s="39"/>
      <c r="AW927" t="str" s="39" cm="1">
        <f t="array" ref="AW927">AF927&amp;"; "&amp;AG927&amp;"; "&amp;AH927&amp;"; "&amp;AI927&amp;"; "&amp;AJ927</f>
        <v>E1; D1; E4; D4; E3</v>
      </c>
    </row>
    <row r="928" ht="13.65" customHeight="1">
      <c r="A928" t="s" s="35">
        <v>6309</v>
      </c>
      <c r="B928" s="36">
        <v>10</v>
      </c>
      <c r="C928" t="s" s="35">
        <v>220</v>
      </c>
      <c r="D928" t="s" s="35">
        <v>6180</v>
      </c>
      <c r="E928" t="s" s="35">
        <v>6181</v>
      </c>
      <c r="F928" s="36">
        <v>37</v>
      </c>
      <c r="G928" t="s" s="35">
        <v>6295</v>
      </c>
      <c r="H928" t="s" s="35">
        <v>6306</v>
      </c>
      <c r="I928" t="s" s="120">
        <v>6310</v>
      </c>
      <c r="J928" t="s" s="35">
        <v>6185</v>
      </c>
      <c r="K928" t="s" s="35">
        <v>1058</v>
      </c>
      <c r="L928" s="39"/>
      <c r="M928" t="str" s="39">
        <v>Sin marco</v>
      </c>
      <c r="N928" t="str" s="39">
        <v>Sin marco</v>
      </c>
      <c r="O928" t="str" s="39" cm="1">
        <f t="array" ref="O928">IF(L928="","",_xlfn.IFERROR(INDEX('Datos - Catálogo TIMSS'!$C$5:$C$107,MATCH(L928,'Datos - Catálogo TIMSS'!$A$5:$A$107,0)),"?"))</f>
      </c>
      <c r="P928" t="s" s="35">
        <v>1058</v>
      </c>
      <c r="Q928" t="s" s="120">
        <v>6186</v>
      </c>
      <c r="R928" t="s" s="120">
        <v>6311</v>
      </c>
      <c r="S928" s="121" cm="1">
        <f t="array" ref="S928">_xlfn.IFERROR(ISNUMBER(SEARCH("Conocer",$R928))/(ISNUMBER(SEARCH("Conocer",$R928))+ISNUMBER(SEARCH("Aplicar",$R928))+ISNUMBER(SEARCH("Razonar",$R928))),0)</f>
        <v>0</v>
      </c>
      <c r="T928" s="121" cm="1">
        <f t="array" ref="T928">_xlfn.IFERROR(ISNUMBER(SEARCH("Aplicar",$R928))/(ISNUMBER(SEARCH("Conocer",$R928))+ISNUMBER(SEARCH("Aplicar",$R928))+ISNUMBER(SEARCH("Razonar",$R928))),0)</f>
        <v>0.5</v>
      </c>
      <c r="U928" s="121" cm="1">
        <f t="array" ref="U928">_xlfn.IFERROR(ISNUMBER(SEARCH("Razonar",$R928))/(ISNUMBER(SEARCH("Conocer",$R928))+ISNUMBER(SEARCH("Aplicar",$R928))+ISNUMBER(SEARCH("Razonar",$R928))),0)</f>
        <v>0.5</v>
      </c>
      <c r="V928" t="s" s="35">
        <v>1405</v>
      </c>
      <c r="W928" t="s" s="35">
        <v>6188</v>
      </c>
      <c r="X928" s="36" cm="1">
        <f t="array" ref="X928">IF(OR(_xlfn.IFERROR(INDEX('Datos - Catálogo TIMSS'!$I$5:$I$107,MATCH(K928,'Datos - Catálogo TIMSS'!$A$5:$A$107,0)),"No")="Sí",_xlfn.IFERROR(INDEX('Datos - Catálogo TIMSS'!$I$5:$I$107,MATCH(L928,'Datos - Catálogo TIMSS'!$A$5:$A$107,0)),"No")="Sí"),1,0)</f>
        <v>0</v>
      </c>
      <c r="Y928" s="36" cm="1">
        <f t="array" ref="Y928">IF(_xlfn.IFERROR(INDEX('Datos - Catálogo TIMSS'!$J$5:$J$107,MATCH(K928,'Datos - Catálogo TIMSS'!$A$5:$A$107,0)),"No")="Sí",1,0)</f>
        <v>0</v>
      </c>
      <c r="Z928" s="36" cm="1">
        <f t="array" ref="Z928">IF(_xlfn.IFERROR(INDEX('Datos - Catálogo TIMSS'!$J$5:$J$107,MATCH(L928,'Datos - Catálogo TIMSS'!$A$5:$A$107,0)),"No")="Sí",1,0)</f>
        <v>0</v>
      </c>
      <c r="AA928" t="s" s="35">
        <v>1058</v>
      </c>
      <c r="AB928" s="39"/>
      <c r="AC928" t="str" s="39">
        <v>Sin marco</v>
      </c>
      <c r="AD928" t="s" s="35">
        <v>1834</v>
      </c>
      <c r="AE928" t="str" s="39" cm="1">
        <f t="array" ref="AE928">IF(AD928="","",IF(LEFT(AD928,1)="1","C1",IF(LEFT(AD928,1)="2","C2",IF(LEFT(AD928,1)="3","C3",""))))</f>
        <v>C2</v>
      </c>
      <c r="AF928" t="s" s="35">
        <v>1602</v>
      </c>
      <c r="AG928" t="s" s="35">
        <v>1607</v>
      </c>
      <c r="AH928" t="s" s="35">
        <v>1605</v>
      </c>
      <c r="AI928" t="s" s="35">
        <v>1623</v>
      </c>
      <c r="AJ928" t="s" s="35">
        <v>1633</v>
      </c>
      <c r="AK928" s="39"/>
      <c r="AL928" s="39"/>
      <c r="AM928" s="39"/>
      <c r="AN928" s="39"/>
      <c r="AO928" s="39"/>
      <c r="AP928" s="39"/>
      <c r="AQ928" s="39"/>
      <c r="AR928" s="39"/>
      <c r="AS928" s="39"/>
      <c r="AT928" s="39"/>
      <c r="AU928" s="39"/>
      <c r="AV928" s="39"/>
      <c r="AW928" t="str" s="39" cm="1">
        <f t="array" ref="AW928">AF928&amp;"; "&amp;AG928&amp;"; "&amp;AH928&amp;"; "&amp;AI928&amp;"; "&amp;AJ928</f>
        <v>E1; E3; E2; D4; I5</v>
      </c>
    </row>
    <row r="929" ht="13.65" customHeight="1">
      <c r="A929" t="s" s="35">
        <v>6312</v>
      </c>
      <c r="B929" s="36">
        <v>10</v>
      </c>
      <c r="C929" t="s" s="35">
        <v>220</v>
      </c>
      <c r="D929" t="s" s="35">
        <v>6180</v>
      </c>
      <c r="E929" t="s" s="35">
        <v>6181</v>
      </c>
      <c r="F929" s="36">
        <v>38</v>
      </c>
      <c r="G929" t="s" s="35">
        <v>6295</v>
      </c>
      <c r="H929" t="s" s="35">
        <v>6306</v>
      </c>
      <c r="I929" t="s" s="120">
        <v>6313</v>
      </c>
      <c r="J929" t="s" s="35">
        <v>6185</v>
      </c>
      <c r="K929" t="s" s="35">
        <v>1058</v>
      </c>
      <c r="L929" s="39"/>
      <c r="M929" t="str" s="39">
        <v>Sin marco</v>
      </c>
      <c r="N929" t="str" s="39">
        <v>Sin marco</v>
      </c>
      <c r="O929" t="str" s="39" cm="1">
        <f t="array" ref="O929">IF(L929="","",_xlfn.IFERROR(INDEX('Datos - Catálogo TIMSS'!$C$5:$C$107,MATCH(L929,'Datos - Catálogo TIMSS'!$A$5:$A$107,0)),"?"))</f>
      </c>
      <c r="P929" t="s" s="35">
        <v>1058</v>
      </c>
      <c r="Q929" t="s" s="120">
        <v>6186</v>
      </c>
      <c r="R929" t="s" s="120">
        <v>6314</v>
      </c>
      <c r="S929" s="121" cm="1">
        <f t="array" ref="S929">_xlfn.IFERROR(ISNUMBER(SEARCH("Conocer",$R929))/(ISNUMBER(SEARCH("Conocer",$R929))+ISNUMBER(SEARCH("Aplicar",$R929))+ISNUMBER(SEARCH("Razonar",$R929))),0)</f>
        <v>0</v>
      </c>
      <c r="T929" s="121" cm="1">
        <f t="array" ref="T929">_xlfn.IFERROR(ISNUMBER(SEARCH("Aplicar",$R929))/(ISNUMBER(SEARCH("Conocer",$R929))+ISNUMBER(SEARCH("Aplicar",$R929))+ISNUMBER(SEARCH("Razonar",$R929))),0)</f>
        <v>0.5</v>
      </c>
      <c r="U929" s="121" cm="1">
        <f t="array" ref="U929">_xlfn.IFERROR(ISNUMBER(SEARCH("Razonar",$R929))/(ISNUMBER(SEARCH("Conocer",$R929))+ISNUMBER(SEARCH("Aplicar",$R929))+ISNUMBER(SEARCH("Razonar",$R929))),0)</f>
        <v>0.5</v>
      </c>
      <c r="V929" t="s" s="35">
        <v>1405</v>
      </c>
      <c r="W929" t="s" s="35">
        <v>6188</v>
      </c>
      <c r="X929" s="36" cm="1">
        <f t="array" ref="X929">IF(OR(_xlfn.IFERROR(INDEX('Datos - Catálogo TIMSS'!$I$5:$I$107,MATCH(K929,'Datos - Catálogo TIMSS'!$A$5:$A$107,0)),"No")="Sí",_xlfn.IFERROR(INDEX('Datos - Catálogo TIMSS'!$I$5:$I$107,MATCH(L929,'Datos - Catálogo TIMSS'!$A$5:$A$107,0)),"No")="Sí"),1,0)</f>
        <v>0</v>
      </c>
      <c r="Y929" s="36" cm="1">
        <f t="array" ref="Y929">IF(_xlfn.IFERROR(INDEX('Datos - Catálogo TIMSS'!$J$5:$J$107,MATCH(K929,'Datos - Catálogo TIMSS'!$A$5:$A$107,0)),"No")="Sí",1,0)</f>
        <v>0</v>
      </c>
      <c r="Z929" s="36" cm="1">
        <f t="array" ref="Z929">IF(_xlfn.IFERROR(INDEX('Datos - Catálogo TIMSS'!$J$5:$J$107,MATCH(L929,'Datos - Catálogo TIMSS'!$A$5:$A$107,0)),"No")="Sí",1,0)</f>
        <v>0</v>
      </c>
      <c r="AA929" t="s" s="35">
        <v>1058</v>
      </c>
      <c r="AB929" s="39"/>
      <c r="AC929" t="str" s="39">
        <v>Sin marco</v>
      </c>
      <c r="AD929" t="s" s="35">
        <v>1859</v>
      </c>
      <c r="AE929" t="str" s="39" cm="1">
        <f t="array" ref="AE929">IF(AD929="","",IF(LEFT(AD929,1)="1","C1",IF(LEFT(AD929,1)="2","C2",IF(LEFT(AD929,1)="3","C3",""))))</f>
        <v>C1</v>
      </c>
      <c r="AF929" t="s" s="35">
        <v>1602</v>
      </c>
      <c r="AG929" t="s" s="35">
        <v>1607</v>
      </c>
      <c r="AH929" t="s" s="35">
        <v>1602</v>
      </c>
      <c r="AI929" t="s" s="35">
        <v>1623</v>
      </c>
      <c r="AJ929" t="s" s="35">
        <v>1607</v>
      </c>
      <c r="AK929" s="39"/>
      <c r="AL929" s="39"/>
      <c r="AM929" s="39"/>
      <c r="AN929" s="39"/>
      <c r="AO929" s="39"/>
      <c r="AP929" s="39"/>
      <c r="AQ929" s="39"/>
      <c r="AR929" s="39"/>
      <c r="AS929" s="39"/>
      <c r="AT929" s="39"/>
      <c r="AU929" s="39"/>
      <c r="AV929" s="39"/>
      <c r="AW929" t="str" s="39" cm="1">
        <f t="array" ref="AW929">AF929&amp;"; "&amp;AG929&amp;"; "&amp;AH929&amp;"; "&amp;AI929&amp;"; "&amp;AJ929</f>
        <v>E1; E3; E1; D4; E3</v>
      </c>
    </row>
    <row r="930" ht="13.65" customHeight="1">
      <c r="A930" t="s" s="35">
        <v>6315</v>
      </c>
      <c r="B930" s="36">
        <v>10</v>
      </c>
      <c r="C930" t="s" s="35">
        <v>220</v>
      </c>
      <c r="D930" t="s" s="35">
        <v>6180</v>
      </c>
      <c r="E930" t="s" s="35">
        <v>6181</v>
      </c>
      <c r="F930" s="36">
        <v>39</v>
      </c>
      <c r="G930" t="s" s="35">
        <v>6295</v>
      </c>
      <c r="H930" t="s" s="35">
        <v>6306</v>
      </c>
      <c r="I930" t="s" s="120">
        <v>6316</v>
      </c>
      <c r="J930" t="s" s="35">
        <v>6185</v>
      </c>
      <c r="K930" t="s" s="35">
        <v>1058</v>
      </c>
      <c r="L930" s="39"/>
      <c r="M930" t="str" s="39">
        <v>Sin marco</v>
      </c>
      <c r="N930" t="str" s="39">
        <v>Sin marco</v>
      </c>
      <c r="O930" t="str" s="39" cm="1">
        <f t="array" ref="O930">IF(L930="","",_xlfn.IFERROR(INDEX('Datos - Catálogo TIMSS'!$C$5:$C$107,MATCH(L930,'Datos - Catálogo TIMSS'!$A$5:$A$107,0)),"?"))</f>
      </c>
      <c r="P930" t="s" s="35">
        <v>1058</v>
      </c>
      <c r="Q930" t="s" s="120">
        <v>6186</v>
      </c>
      <c r="R930" t="s" s="120">
        <v>6317</v>
      </c>
      <c r="S930" s="121" cm="1">
        <f t="array" ref="S930">_xlfn.IFERROR(ISNUMBER(SEARCH("Conocer",$R930))/(ISNUMBER(SEARCH("Conocer",$R930))+ISNUMBER(SEARCH("Aplicar",$R930))+ISNUMBER(SEARCH("Razonar",$R930))),0)</f>
        <v>0</v>
      </c>
      <c r="T930" s="121" cm="1">
        <f t="array" ref="T930">_xlfn.IFERROR(ISNUMBER(SEARCH("Aplicar",$R930))/(ISNUMBER(SEARCH("Conocer",$R930))+ISNUMBER(SEARCH("Aplicar",$R930))+ISNUMBER(SEARCH("Razonar",$R930))),0)</f>
        <v>0.5</v>
      </c>
      <c r="U930" s="121" cm="1">
        <f t="array" ref="U930">_xlfn.IFERROR(ISNUMBER(SEARCH("Razonar",$R930))/(ISNUMBER(SEARCH("Conocer",$R930))+ISNUMBER(SEARCH("Aplicar",$R930))+ISNUMBER(SEARCH("Razonar",$R930))),0)</f>
        <v>0.5</v>
      </c>
      <c r="V930" t="s" s="35">
        <v>1405</v>
      </c>
      <c r="W930" t="s" s="35">
        <v>6188</v>
      </c>
      <c r="X930" s="36" cm="1">
        <f t="array" ref="X930">IF(OR(_xlfn.IFERROR(INDEX('Datos - Catálogo TIMSS'!$I$5:$I$107,MATCH(K930,'Datos - Catálogo TIMSS'!$A$5:$A$107,0)),"No")="Sí",_xlfn.IFERROR(INDEX('Datos - Catálogo TIMSS'!$I$5:$I$107,MATCH(L930,'Datos - Catálogo TIMSS'!$A$5:$A$107,0)),"No")="Sí"),1,0)</f>
        <v>0</v>
      </c>
      <c r="Y930" s="36" cm="1">
        <f t="array" ref="Y930">IF(_xlfn.IFERROR(INDEX('Datos - Catálogo TIMSS'!$J$5:$J$107,MATCH(K930,'Datos - Catálogo TIMSS'!$A$5:$A$107,0)),"No")="Sí",1,0)</f>
        <v>0</v>
      </c>
      <c r="Z930" s="36" cm="1">
        <f t="array" ref="Z930">IF(_xlfn.IFERROR(INDEX('Datos - Catálogo TIMSS'!$J$5:$J$107,MATCH(L930,'Datos - Catálogo TIMSS'!$A$5:$A$107,0)),"No")="Sí",1,0)</f>
        <v>0</v>
      </c>
      <c r="AA930" t="s" s="35">
        <v>1058</v>
      </c>
      <c r="AB930" s="39"/>
      <c r="AC930" t="str" s="39">
        <v>Sin marco</v>
      </c>
      <c r="AD930" t="s" s="35">
        <v>1859</v>
      </c>
      <c r="AE930" t="str" s="39" cm="1">
        <f t="array" ref="AE930">IF(AD930="","",IF(LEFT(AD930,1)="1","C1",IF(LEFT(AD930,1)="2","C2",IF(LEFT(AD930,1)="3","C3",""))))</f>
        <v>C1</v>
      </c>
      <c r="AF930" t="s" s="35">
        <v>1602</v>
      </c>
      <c r="AG930" t="s" s="35">
        <v>1612</v>
      </c>
      <c r="AH930" t="s" s="35">
        <v>1602</v>
      </c>
      <c r="AI930" t="s" s="35">
        <v>1629</v>
      </c>
      <c r="AJ930" t="s" s="35">
        <v>1607</v>
      </c>
      <c r="AK930" s="39"/>
      <c r="AL930" s="39"/>
      <c r="AM930" s="39"/>
      <c r="AN930" s="39"/>
      <c r="AO930" s="39"/>
      <c r="AP930" s="39"/>
      <c r="AQ930" s="39"/>
      <c r="AR930" s="39"/>
      <c r="AS930" s="39"/>
      <c r="AT930" s="39"/>
      <c r="AU930" s="39"/>
      <c r="AV930" s="39"/>
      <c r="AW930" t="str" s="39" cm="1">
        <f t="array" ref="AW930">AF930&amp;"; "&amp;AG930&amp;"; "&amp;AH930&amp;"; "&amp;AI930&amp;"; "&amp;AJ930</f>
        <v>E1; E5; E1; I3; E3</v>
      </c>
    </row>
    <row r="931" ht="13.65" customHeight="1">
      <c r="A931" t="s" s="35">
        <v>6319</v>
      </c>
      <c r="B931" s="36">
        <v>10</v>
      </c>
      <c r="C931" t="s" s="35">
        <v>220</v>
      </c>
      <c r="D931" t="s" s="35">
        <v>6180</v>
      </c>
      <c r="E931" t="s" s="35">
        <v>6181</v>
      </c>
      <c r="F931" s="36">
        <v>40</v>
      </c>
      <c r="G931" t="s" s="35">
        <v>6295</v>
      </c>
      <c r="H931" t="s" s="35">
        <v>6306</v>
      </c>
      <c r="I931" t="s" s="120">
        <v>6320</v>
      </c>
      <c r="J931" t="s" s="35">
        <v>6185</v>
      </c>
      <c r="K931" t="s" s="35">
        <v>1058</v>
      </c>
      <c r="L931" s="39"/>
      <c r="M931" t="str" s="39">
        <v>Sin marco</v>
      </c>
      <c r="N931" t="str" s="39">
        <v>Sin marco</v>
      </c>
      <c r="O931" t="str" s="39" cm="1">
        <f t="array" ref="O931">IF(L931="","",_xlfn.IFERROR(INDEX('Datos - Catálogo TIMSS'!$C$5:$C$107,MATCH(L931,'Datos - Catálogo TIMSS'!$A$5:$A$107,0)),"?"))</f>
      </c>
      <c r="P931" t="s" s="35">
        <v>1058</v>
      </c>
      <c r="Q931" t="s" s="120">
        <v>6186</v>
      </c>
      <c r="R931" t="s" s="120">
        <v>6321</v>
      </c>
      <c r="S931" s="121" cm="1">
        <f t="array" ref="S931">_xlfn.IFERROR(ISNUMBER(SEARCH("Conocer",$R931))/(ISNUMBER(SEARCH("Conocer",$R931))+ISNUMBER(SEARCH("Aplicar",$R931))+ISNUMBER(SEARCH("Razonar",$R931))),0)</f>
        <v>0</v>
      </c>
      <c r="T931" s="121" cm="1">
        <f t="array" ref="T931">_xlfn.IFERROR(ISNUMBER(SEARCH("Aplicar",$R931))/(ISNUMBER(SEARCH("Conocer",$R931))+ISNUMBER(SEARCH("Aplicar",$R931))+ISNUMBER(SEARCH("Razonar",$R931))),0)</f>
        <v>0.5</v>
      </c>
      <c r="U931" s="121" cm="1">
        <f t="array" ref="U931">_xlfn.IFERROR(ISNUMBER(SEARCH("Razonar",$R931))/(ISNUMBER(SEARCH("Conocer",$R931))+ISNUMBER(SEARCH("Aplicar",$R931))+ISNUMBER(SEARCH("Razonar",$R931))),0)</f>
        <v>0.5</v>
      </c>
      <c r="V931" t="s" s="35">
        <v>1405</v>
      </c>
      <c r="W931" t="s" s="35">
        <v>6188</v>
      </c>
      <c r="X931" s="36" cm="1">
        <f t="array" ref="X931">IF(OR(_xlfn.IFERROR(INDEX('Datos - Catálogo TIMSS'!$I$5:$I$107,MATCH(K931,'Datos - Catálogo TIMSS'!$A$5:$A$107,0)),"No")="Sí",_xlfn.IFERROR(INDEX('Datos - Catálogo TIMSS'!$I$5:$I$107,MATCH(L931,'Datos - Catálogo TIMSS'!$A$5:$A$107,0)),"No")="Sí"),1,0)</f>
        <v>0</v>
      </c>
      <c r="Y931" s="36" cm="1">
        <f t="array" ref="Y931">IF(_xlfn.IFERROR(INDEX('Datos - Catálogo TIMSS'!$J$5:$J$107,MATCH(K931,'Datos - Catálogo TIMSS'!$A$5:$A$107,0)),"No")="Sí",1,0)</f>
        <v>0</v>
      </c>
      <c r="Z931" s="36" cm="1">
        <f t="array" ref="Z931">IF(_xlfn.IFERROR(INDEX('Datos - Catálogo TIMSS'!$J$5:$J$107,MATCH(L931,'Datos - Catálogo TIMSS'!$A$5:$A$107,0)),"No")="Sí",1,0)</f>
        <v>0</v>
      </c>
      <c r="AA931" t="s" s="35">
        <v>1058</v>
      </c>
      <c r="AB931" s="39"/>
      <c r="AC931" t="str" s="39">
        <v>Sin marco</v>
      </c>
      <c r="AD931" t="s" s="35">
        <v>1900</v>
      </c>
      <c r="AE931" t="str" s="39" cm="1">
        <f t="array" ref="AE931">IF(AD931="","",IF(LEFT(AD931,1)="1","C1",IF(LEFT(AD931,1)="2","C2",IF(LEFT(AD931,1)="3","C3",""))))</f>
        <v>C3</v>
      </c>
      <c r="AF931" t="s" s="35">
        <v>1615</v>
      </c>
      <c r="AG931" t="s" s="35">
        <v>1617</v>
      </c>
      <c r="AH931" t="s" s="35">
        <v>1609</v>
      </c>
      <c r="AI931" t="s" s="35">
        <v>1623</v>
      </c>
      <c r="AJ931" t="s" s="35">
        <v>1633</v>
      </c>
      <c r="AK931" s="39"/>
      <c r="AL931" s="39"/>
      <c r="AM931" s="39"/>
      <c r="AN931" s="39"/>
      <c r="AO931" s="39"/>
      <c r="AP931" s="39"/>
      <c r="AQ931" s="39"/>
      <c r="AR931" s="39"/>
      <c r="AS931" s="39"/>
      <c r="AT931" s="39"/>
      <c r="AU931" s="39"/>
      <c r="AV931" s="39"/>
      <c r="AW931" t="str" s="39" cm="1">
        <f t="array" ref="AW931">AF931&amp;"; "&amp;AG931&amp;"; "&amp;AH931&amp;"; "&amp;AI931&amp;"; "&amp;AJ931</f>
        <v>E6; D1; E4; D4; I5</v>
      </c>
    </row>
    <row r="932" ht="13.65" customHeight="1">
      <c r="A932" t="s" s="35">
        <v>6323</v>
      </c>
      <c r="B932" s="36">
        <v>10</v>
      </c>
      <c r="C932" t="s" s="35">
        <v>220</v>
      </c>
      <c r="D932" t="s" s="35">
        <v>6180</v>
      </c>
      <c r="E932" t="s" s="35">
        <v>6181</v>
      </c>
      <c r="F932" s="36">
        <v>41</v>
      </c>
      <c r="G932" t="s" s="35">
        <v>6324</v>
      </c>
      <c r="H932" t="s" s="35">
        <v>6325</v>
      </c>
      <c r="I932" t="s" s="120">
        <v>6326</v>
      </c>
      <c r="J932" t="s" s="35">
        <v>6185</v>
      </c>
      <c r="K932" t="s" s="35">
        <v>1058</v>
      </c>
      <c r="L932" s="39"/>
      <c r="M932" t="str" s="39">
        <v>Sin marco</v>
      </c>
      <c r="N932" t="str" s="39">
        <v>Sin marco</v>
      </c>
      <c r="O932" t="str" s="39" cm="1">
        <f t="array" ref="O932">IF(L932="","",_xlfn.IFERROR(INDEX('Datos - Catálogo TIMSS'!$C$5:$C$107,MATCH(L932,'Datos - Catálogo TIMSS'!$A$5:$A$107,0)),"?"))</f>
      </c>
      <c r="P932" t="s" s="35">
        <v>1058</v>
      </c>
      <c r="Q932" t="s" s="120">
        <v>6186</v>
      </c>
      <c r="R932" t="s" s="120">
        <v>6327</v>
      </c>
      <c r="S932" s="121" cm="1">
        <f t="array" ref="S932">_xlfn.IFERROR(ISNUMBER(SEARCH("Conocer",$R932))/(ISNUMBER(SEARCH("Conocer",$R932))+ISNUMBER(SEARCH("Aplicar",$R932))+ISNUMBER(SEARCH("Razonar",$R932))),0)</f>
        <v>0</v>
      </c>
      <c r="T932" s="121" cm="1">
        <f t="array" ref="T932">_xlfn.IFERROR(ISNUMBER(SEARCH("Aplicar",$R932))/(ISNUMBER(SEARCH("Conocer",$R932))+ISNUMBER(SEARCH("Aplicar",$R932))+ISNUMBER(SEARCH("Razonar",$R932))),0)</f>
        <v>0.5</v>
      </c>
      <c r="U932" s="121" cm="1">
        <f t="array" ref="U932">_xlfn.IFERROR(ISNUMBER(SEARCH("Razonar",$R932))/(ISNUMBER(SEARCH("Conocer",$R932))+ISNUMBER(SEARCH("Aplicar",$R932))+ISNUMBER(SEARCH("Razonar",$R932))),0)</f>
        <v>0.5</v>
      </c>
      <c r="V932" t="s" s="35">
        <v>1405</v>
      </c>
      <c r="W932" t="s" s="35">
        <v>6188</v>
      </c>
      <c r="X932" s="36" cm="1">
        <f t="array" ref="X932">IF(OR(_xlfn.IFERROR(INDEX('Datos - Catálogo TIMSS'!$I$5:$I$107,MATCH(K932,'Datos - Catálogo TIMSS'!$A$5:$A$107,0)),"No")="Sí",_xlfn.IFERROR(INDEX('Datos - Catálogo TIMSS'!$I$5:$I$107,MATCH(L932,'Datos - Catálogo TIMSS'!$A$5:$A$107,0)),"No")="Sí"),1,0)</f>
        <v>0</v>
      </c>
      <c r="Y932" s="36" cm="1">
        <f t="array" ref="Y932">IF(_xlfn.IFERROR(INDEX('Datos - Catálogo TIMSS'!$J$5:$J$107,MATCH(K932,'Datos - Catálogo TIMSS'!$A$5:$A$107,0)),"No")="Sí",1,0)</f>
        <v>0</v>
      </c>
      <c r="Z932" s="36" cm="1">
        <f t="array" ref="Z932">IF(_xlfn.IFERROR(INDEX('Datos - Catálogo TIMSS'!$J$5:$J$107,MATCH(L932,'Datos - Catálogo TIMSS'!$A$5:$A$107,0)),"No")="Sí",1,0)</f>
        <v>0</v>
      </c>
      <c r="AA932" t="s" s="35">
        <v>1058</v>
      </c>
      <c r="AB932" s="39"/>
      <c r="AC932" t="str" s="39">
        <v>Sin marco</v>
      </c>
      <c r="AD932" t="s" s="35">
        <v>1859</v>
      </c>
      <c r="AE932" t="str" s="39" cm="1">
        <f t="array" ref="AE932">IF(AD932="","",IF(LEFT(AD932,1)="1","C1",IF(LEFT(AD932,1)="2","C2",IF(LEFT(AD932,1)="3","C3",""))))</f>
        <v>C1</v>
      </c>
      <c r="AF932" t="s" s="35">
        <v>1602</v>
      </c>
      <c r="AG932" t="s" s="35">
        <v>1617</v>
      </c>
      <c r="AH932" t="s" s="35">
        <v>1605</v>
      </c>
      <c r="AI932" t="s" s="35">
        <v>1623</v>
      </c>
      <c r="AJ932" t="s" s="35">
        <v>1607</v>
      </c>
      <c r="AK932" s="39"/>
      <c r="AL932" s="39"/>
      <c r="AM932" s="39"/>
      <c r="AN932" s="39"/>
      <c r="AO932" s="39"/>
      <c r="AP932" s="39"/>
      <c r="AQ932" s="39"/>
      <c r="AR932" s="39"/>
      <c r="AS932" s="39"/>
      <c r="AT932" s="39"/>
      <c r="AU932" s="39"/>
      <c r="AV932" s="39"/>
      <c r="AW932" t="str" s="39" cm="1">
        <f t="array" ref="AW932">AF932&amp;"; "&amp;AG932&amp;"; "&amp;AH932&amp;"; "&amp;AI932&amp;"; "&amp;AJ932</f>
        <v>E1; D1; E2; D4; E3</v>
      </c>
    </row>
    <row r="933" ht="13.65" customHeight="1">
      <c r="A933" t="s" s="35">
        <v>6328</v>
      </c>
      <c r="B933" s="36">
        <v>10</v>
      </c>
      <c r="C933" t="s" s="35">
        <v>220</v>
      </c>
      <c r="D933" t="s" s="35">
        <v>6180</v>
      </c>
      <c r="E933" t="s" s="35">
        <v>6181</v>
      </c>
      <c r="F933" s="36">
        <v>42</v>
      </c>
      <c r="G933" t="s" s="35">
        <v>6324</v>
      </c>
      <c r="H933" t="s" s="35">
        <v>6329</v>
      </c>
      <c r="I933" t="s" s="120">
        <v>6330</v>
      </c>
      <c r="J933" t="s" s="35">
        <v>6185</v>
      </c>
      <c r="K933" t="s" s="35">
        <v>1058</v>
      </c>
      <c r="L933" s="39"/>
      <c r="M933" t="str" s="39">
        <v>Sin marco</v>
      </c>
      <c r="N933" t="str" s="39">
        <v>Sin marco</v>
      </c>
      <c r="O933" t="str" s="39" cm="1">
        <f t="array" ref="O933">IF(L933="","",_xlfn.IFERROR(INDEX('Datos - Catálogo TIMSS'!$C$5:$C$107,MATCH(L933,'Datos - Catálogo TIMSS'!$A$5:$A$107,0)),"?"))</f>
      </c>
      <c r="P933" t="s" s="35">
        <v>1058</v>
      </c>
      <c r="Q933" t="s" s="120">
        <v>6186</v>
      </c>
      <c r="R933" t="s" s="120">
        <v>6331</v>
      </c>
      <c r="S933" s="121" cm="1">
        <f t="array" ref="S933">_xlfn.IFERROR(ISNUMBER(SEARCH("Conocer",$R933))/(ISNUMBER(SEARCH("Conocer",$R933))+ISNUMBER(SEARCH("Aplicar",$R933))+ISNUMBER(SEARCH("Razonar",$R933))),0)</f>
        <v>0</v>
      </c>
      <c r="T933" s="121" cm="1">
        <f t="array" ref="T933">_xlfn.IFERROR(ISNUMBER(SEARCH("Aplicar",$R933))/(ISNUMBER(SEARCH("Conocer",$R933))+ISNUMBER(SEARCH("Aplicar",$R933))+ISNUMBER(SEARCH("Razonar",$R933))),0)</f>
        <v>0.5</v>
      </c>
      <c r="U933" s="121" cm="1">
        <f t="array" ref="U933">_xlfn.IFERROR(ISNUMBER(SEARCH("Razonar",$R933))/(ISNUMBER(SEARCH("Conocer",$R933))+ISNUMBER(SEARCH("Aplicar",$R933))+ISNUMBER(SEARCH("Razonar",$R933))),0)</f>
        <v>0.5</v>
      </c>
      <c r="V933" t="s" s="35">
        <v>1405</v>
      </c>
      <c r="W933" t="s" s="35">
        <v>6188</v>
      </c>
      <c r="X933" s="36" cm="1">
        <f t="array" ref="X933">IF(OR(_xlfn.IFERROR(INDEX('Datos - Catálogo TIMSS'!$I$5:$I$107,MATCH(K933,'Datos - Catálogo TIMSS'!$A$5:$A$107,0)),"No")="Sí",_xlfn.IFERROR(INDEX('Datos - Catálogo TIMSS'!$I$5:$I$107,MATCH(L933,'Datos - Catálogo TIMSS'!$A$5:$A$107,0)),"No")="Sí"),1,0)</f>
        <v>0</v>
      </c>
      <c r="Y933" s="36" cm="1">
        <f t="array" ref="Y933">IF(_xlfn.IFERROR(INDEX('Datos - Catálogo TIMSS'!$J$5:$J$107,MATCH(K933,'Datos - Catálogo TIMSS'!$A$5:$A$107,0)),"No")="Sí",1,0)</f>
        <v>0</v>
      </c>
      <c r="Z933" s="36" cm="1">
        <f t="array" ref="Z933">IF(_xlfn.IFERROR(INDEX('Datos - Catálogo TIMSS'!$J$5:$J$107,MATCH(L933,'Datos - Catálogo TIMSS'!$A$5:$A$107,0)),"No")="Sí",1,0)</f>
        <v>0</v>
      </c>
      <c r="AA933" t="s" s="35">
        <v>1058</v>
      </c>
      <c r="AB933" s="39"/>
      <c r="AC933" t="str" s="39">
        <v>Sin marco</v>
      </c>
      <c r="AD933" t="s" s="35">
        <v>1859</v>
      </c>
      <c r="AE933" t="str" s="39" cm="1">
        <f t="array" ref="AE933">IF(AD933="","",IF(LEFT(AD933,1)="1","C1",IF(LEFT(AD933,1)="2","C2",IF(LEFT(AD933,1)="3","C3",""))))</f>
        <v>C1</v>
      </c>
      <c r="AF933" t="s" s="35">
        <v>1602</v>
      </c>
      <c r="AG933" t="s" s="35">
        <v>1607</v>
      </c>
      <c r="AH933" t="s" s="35">
        <v>1605</v>
      </c>
      <c r="AI933" t="s" s="35">
        <v>1621</v>
      </c>
      <c r="AJ933" t="s" s="35">
        <v>1631</v>
      </c>
      <c r="AK933" s="39"/>
      <c r="AL933" s="39"/>
      <c r="AM933" s="39"/>
      <c r="AN933" s="39"/>
      <c r="AO933" s="39"/>
      <c r="AP933" s="39"/>
      <c r="AQ933" s="39"/>
      <c r="AR933" s="39"/>
      <c r="AS933" s="39"/>
      <c r="AT933" s="39"/>
      <c r="AU933" s="39"/>
      <c r="AV933" s="39"/>
      <c r="AW933" t="str" s="39" cm="1">
        <f t="array" ref="AW933">AF933&amp;"; "&amp;AG933&amp;"; "&amp;AH933&amp;"; "&amp;AI933&amp;"; "&amp;AJ933</f>
        <v>E1; E3; E2; D3; I4</v>
      </c>
    </row>
    <row r="934" ht="13.65" customHeight="1">
      <c r="A934" t="s" s="35">
        <v>6333</v>
      </c>
      <c r="B934" s="36">
        <v>10</v>
      </c>
      <c r="C934" t="s" s="35">
        <v>220</v>
      </c>
      <c r="D934" t="s" s="35">
        <v>6180</v>
      </c>
      <c r="E934" t="s" s="35">
        <v>6181</v>
      </c>
      <c r="F934" s="36">
        <v>43</v>
      </c>
      <c r="G934" t="s" s="35">
        <v>6324</v>
      </c>
      <c r="H934" t="s" s="35">
        <v>6329</v>
      </c>
      <c r="I934" t="s" s="120">
        <v>6334</v>
      </c>
      <c r="J934" t="s" s="35">
        <v>6185</v>
      </c>
      <c r="K934" t="s" s="35">
        <v>1058</v>
      </c>
      <c r="L934" s="39"/>
      <c r="M934" t="str" s="39">
        <v>Sin marco</v>
      </c>
      <c r="N934" t="str" s="39">
        <v>Sin marco</v>
      </c>
      <c r="O934" t="str" s="39" cm="1">
        <f t="array" ref="O934">IF(L934="","",_xlfn.IFERROR(INDEX('Datos - Catálogo TIMSS'!$C$5:$C$107,MATCH(L934,'Datos - Catálogo TIMSS'!$A$5:$A$107,0)),"?"))</f>
      </c>
      <c r="P934" t="s" s="35">
        <v>1058</v>
      </c>
      <c r="Q934" t="s" s="120">
        <v>6186</v>
      </c>
      <c r="R934" t="s" s="120">
        <v>6335</v>
      </c>
      <c r="S934" s="121" cm="1">
        <f t="array" ref="S934">_xlfn.IFERROR(ISNUMBER(SEARCH("Conocer",$R934))/(ISNUMBER(SEARCH("Conocer",$R934))+ISNUMBER(SEARCH("Aplicar",$R934))+ISNUMBER(SEARCH("Razonar",$R934))),0)</f>
        <v>0</v>
      </c>
      <c r="T934" s="121" cm="1">
        <f t="array" ref="T934">_xlfn.IFERROR(ISNUMBER(SEARCH("Aplicar",$R934))/(ISNUMBER(SEARCH("Conocer",$R934))+ISNUMBER(SEARCH("Aplicar",$R934))+ISNUMBER(SEARCH("Razonar",$R934))),0)</f>
        <v>0.5</v>
      </c>
      <c r="U934" s="121" cm="1">
        <f t="array" ref="U934">_xlfn.IFERROR(ISNUMBER(SEARCH("Razonar",$R934))/(ISNUMBER(SEARCH("Conocer",$R934))+ISNUMBER(SEARCH("Aplicar",$R934))+ISNUMBER(SEARCH("Razonar",$R934))),0)</f>
        <v>0.5</v>
      </c>
      <c r="V934" t="s" s="35">
        <v>1405</v>
      </c>
      <c r="W934" t="s" s="35">
        <v>6188</v>
      </c>
      <c r="X934" s="36" cm="1">
        <f t="array" ref="X934">IF(OR(_xlfn.IFERROR(INDEX('Datos - Catálogo TIMSS'!$I$5:$I$107,MATCH(K934,'Datos - Catálogo TIMSS'!$A$5:$A$107,0)),"No")="Sí",_xlfn.IFERROR(INDEX('Datos - Catálogo TIMSS'!$I$5:$I$107,MATCH(L934,'Datos - Catálogo TIMSS'!$A$5:$A$107,0)),"No")="Sí"),1,0)</f>
        <v>0</v>
      </c>
      <c r="Y934" s="36" cm="1">
        <f t="array" ref="Y934">IF(_xlfn.IFERROR(INDEX('Datos - Catálogo TIMSS'!$J$5:$J$107,MATCH(K934,'Datos - Catálogo TIMSS'!$A$5:$A$107,0)),"No")="Sí",1,0)</f>
        <v>0</v>
      </c>
      <c r="Z934" s="36" cm="1">
        <f t="array" ref="Z934">IF(_xlfn.IFERROR(INDEX('Datos - Catálogo TIMSS'!$J$5:$J$107,MATCH(L934,'Datos - Catálogo TIMSS'!$A$5:$A$107,0)),"No")="Sí",1,0)</f>
        <v>0</v>
      </c>
      <c r="AA934" t="s" s="35">
        <v>1058</v>
      </c>
      <c r="AB934" s="39"/>
      <c r="AC934" t="str" s="39">
        <v>Sin marco</v>
      </c>
      <c r="AD934" t="s" s="35">
        <v>1900</v>
      </c>
      <c r="AE934" t="str" s="39" cm="1">
        <f t="array" ref="AE934">IF(AD934="","",IF(LEFT(AD934,1)="1","C1",IF(LEFT(AD934,1)="2","C2",IF(LEFT(AD934,1)="3","C3",""))))</f>
        <v>C3</v>
      </c>
      <c r="AF934" t="s" s="35">
        <v>1615</v>
      </c>
      <c r="AG934" t="s" s="35">
        <v>1617</v>
      </c>
      <c r="AH934" t="s" s="35">
        <v>1609</v>
      </c>
      <c r="AI934" t="s" s="35">
        <v>1625</v>
      </c>
      <c r="AJ934" t="s" s="35">
        <v>1633</v>
      </c>
      <c r="AK934" s="39"/>
      <c r="AL934" s="39"/>
      <c r="AM934" s="39"/>
      <c r="AN934" s="39"/>
      <c r="AO934" s="39"/>
      <c r="AP934" s="39"/>
      <c r="AQ934" s="39"/>
      <c r="AR934" s="39"/>
      <c r="AS934" s="39"/>
      <c r="AT934" s="39"/>
      <c r="AU934" s="39"/>
      <c r="AV934" s="39"/>
      <c r="AW934" t="str" s="39" cm="1">
        <f t="array" ref="AW934">AF934&amp;"; "&amp;AG934&amp;"; "&amp;AH934&amp;"; "&amp;AI934&amp;"; "&amp;AJ934</f>
        <v>E6; D1; E4; I1; I5</v>
      </c>
    </row>
    <row r="935" ht="13.65" customHeight="1">
      <c r="A935" t="s" s="35">
        <v>6337</v>
      </c>
      <c r="B935" s="36">
        <v>10</v>
      </c>
      <c r="C935" t="s" s="35">
        <v>220</v>
      </c>
      <c r="D935" t="s" s="35">
        <v>6180</v>
      </c>
      <c r="E935" t="s" s="35">
        <v>6181</v>
      </c>
      <c r="F935" s="36">
        <v>44</v>
      </c>
      <c r="G935" t="s" s="35">
        <v>6324</v>
      </c>
      <c r="H935" t="s" s="35">
        <v>6329</v>
      </c>
      <c r="I935" t="s" s="120">
        <v>6338</v>
      </c>
      <c r="J935" t="s" s="35">
        <v>6185</v>
      </c>
      <c r="K935" t="s" s="35">
        <v>1058</v>
      </c>
      <c r="L935" s="39"/>
      <c r="M935" t="str" s="39">
        <v>Sin marco</v>
      </c>
      <c r="N935" t="str" s="39">
        <v>Sin marco</v>
      </c>
      <c r="O935" t="str" s="39" cm="1">
        <f t="array" ref="O935">IF(L935="","",_xlfn.IFERROR(INDEX('Datos - Catálogo TIMSS'!$C$5:$C$107,MATCH(L935,'Datos - Catálogo TIMSS'!$A$5:$A$107,0)),"?"))</f>
      </c>
      <c r="P935" t="s" s="35">
        <v>1058</v>
      </c>
      <c r="Q935" t="s" s="120">
        <v>6186</v>
      </c>
      <c r="R935" t="s" s="120">
        <v>6339</v>
      </c>
      <c r="S935" s="121" cm="1">
        <f t="array" ref="S935">_xlfn.IFERROR(ISNUMBER(SEARCH("Conocer",$R935))/(ISNUMBER(SEARCH("Conocer",$R935))+ISNUMBER(SEARCH("Aplicar",$R935))+ISNUMBER(SEARCH("Razonar",$R935))),0)</f>
        <v>0</v>
      </c>
      <c r="T935" s="121" cm="1">
        <f t="array" ref="T935">_xlfn.IFERROR(ISNUMBER(SEARCH("Aplicar",$R935))/(ISNUMBER(SEARCH("Conocer",$R935))+ISNUMBER(SEARCH("Aplicar",$R935))+ISNUMBER(SEARCH("Razonar",$R935))),0)</f>
        <v>0.5</v>
      </c>
      <c r="U935" s="121" cm="1">
        <f t="array" ref="U935">_xlfn.IFERROR(ISNUMBER(SEARCH("Razonar",$R935))/(ISNUMBER(SEARCH("Conocer",$R935))+ISNUMBER(SEARCH("Aplicar",$R935))+ISNUMBER(SEARCH("Razonar",$R935))),0)</f>
        <v>0.5</v>
      </c>
      <c r="V935" t="s" s="35">
        <v>1405</v>
      </c>
      <c r="W935" t="s" s="35">
        <v>6188</v>
      </c>
      <c r="X935" s="36" cm="1">
        <f t="array" ref="X935">IF(OR(_xlfn.IFERROR(INDEX('Datos - Catálogo TIMSS'!$I$5:$I$107,MATCH(K935,'Datos - Catálogo TIMSS'!$A$5:$A$107,0)),"No")="Sí",_xlfn.IFERROR(INDEX('Datos - Catálogo TIMSS'!$I$5:$I$107,MATCH(L935,'Datos - Catálogo TIMSS'!$A$5:$A$107,0)),"No")="Sí"),1,0)</f>
        <v>0</v>
      </c>
      <c r="Y935" s="36" cm="1">
        <f t="array" ref="Y935">IF(_xlfn.IFERROR(INDEX('Datos - Catálogo TIMSS'!$J$5:$J$107,MATCH(K935,'Datos - Catálogo TIMSS'!$A$5:$A$107,0)),"No")="Sí",1,0)</f>
        <v>0</v>
      </c>
      <c r="Z935" s="36" cm="1">
        <f t="array" ref="Z935">IF(_xlfn.IFERROR(INDEX('Datos - Catálogo TIMSS'!$J$5:$J$107,MATCH(L935,'Datos - Catálogo TIMSS'!$A$5:$A$107,0)),"No")="Sí",1,0)</f>
        <v>0</v>
      </c>
      <c r="AA935" t="s" s="35">
        <v>1058</v>
      </c>
      <c r="AB935" s="39"/>
      <c r="AC935" t="str" s="39">
        <v>Sin marco</v>
      </c>
      <c r="AD935" t="s" s="35">
        <v>1859</v>
      </c>
      <c r="AE935" t="str" s="39" cm="1">
        <f t="array" ref="AE935">IF(AD935="","",IF(LEFT(AD935,1)="1","C1",IF(LEFT(AD935,1)="2","C2",IF(LEFT(AD935,1)="3","C3",""))))</f>
        <v>C1</v>
      </c>
      <c r="AF935" t="s" s="35">
        <v>1615</v>
      </c>
      <c r="AG935" t="s" s="35">
        <v>1607</v>
      </c>
      <c r="AH935" t="s" s="35">
        <v>1605</v>
      </c>
      <c r="AI935" t="s" s="35">
        <v>1623</v>
      </c>
      <c r="AJ935" t="s" s="35">
        <v>1607</v>
      </c>
      <c r="AK935" s="39"/>
      <c r="AL935" s="39"/>
      <c r="AM935" s="39"/>
      <c r="AN935" s="39"/>
      <c r="AO935" s="39"/>
      <c r="AP935" s="39"/>
      <c r="AQ935" s="39"/>
      <c r="AR935" s="39"/>
      <c r="AS935" s="39"/>
      <c r="AT935" s="39"/>
      <c r="AU935" s="39"/>
      <c r="AV935" s="39"/>
      <c r="AW935" t="str" s="39" cm="1">
        <f t="array" ref="AW935">AF935&amp;"; "&amp;AG935&amp;"; "&amp;AH935&amp;"; "&amp;AI935&amp;"; "&amp;AJ935</f>
        <v>E6; E3; E2; D4; E3</v>
      </c>
    </row>
    <row r="936" ht="13.65" customHeight="1">
      <c r="A936" t="s" s="35">
        <v>6341</v>
      </c>
      <c r="B936" s="36">
        <v>10</v>
      </c>
      <c r="C936" t="s" s="35">
        <v>220</v>
      </c>
      <c r="D936" t="s" s="35">
        <v>6180</v>
      </c>
      <c r="E936" t="s" s="35">
        <v>6181</v>
      </c>
      <c r="F936" s="36">
        <v>45</v>
      </c>
      <c r="G936" t="s" s="35">
        <v>6324</v>
      </c>
      <c r="H936" t="s" s="35">
        <v>6342</v>
      </c>
      <c r="I936" t="s" s="120">
        <v>6343</v>
      </c>
      <c r="J936" t="s" s="35">
        <v>6185</v>
      </c>
      <c r="K936" t="s" s="35">
        <v>1058</v>
      </c>
      <c r="L936" s="39"/>
      <c r="M936" t="str" s="39">
        <v>Sin marco</v>
      </c>
      <c r="N936" t="str" s="39">
        <v>Sin marco</v>
      </c>
      <c r="O936" t="str" s="39" cm="1">
        <f t="array" ref="O936">IF(L936="","",_xlfn.IFERROR(INDEX('Datos - Catálogo TIMSS'!$C$5:$C$107,MATCH(L936,'Datos - Catálogo TIMSS'!$A$5:$A$107,0)),"?"))</f>
      </c>
      <c r="P936" t="s" s="35">
        <v>1058</v>
      </c>
      <c r="Q936" t="s" s="120">
        <v>6186</v>
      </c>
      <c r="R936" t="s" s="120">
        <v>6344</v>
      </c>
      <c r="S936" s="121" cm="1">
        <f t="array" ref="S936">_xlfn.IFERROR(ISNUMBER(SEARCH("Conocer",$R936))/(ISNUMBER(SEARCH("Conocer",$R936))+ISNUMBER(SEARCH("Aplicar",$R936))+ISNUMBER(SEARCH("Razonar",$R936))),0)</f>
        <v>0</v>
      </c>
      <c r="T936" s="121" cm="1">
        <f t="array" ref="T936">_xlfn.IFERROR(ISNUMBER(SEARCH("Aplicar",$R936))/(ISNUMBER(SEARCH("Conocer",$R936))+ISNUMBER(SEARCH("Aplicar",$R936))+ISNUMBER(SEARCH("Razonar",$R936))),0)</f>
        <v>0.5</v>
      </c>
      <c r="U936" s="121" cm="1">
        <f t="array" ref="U936">_xlfn.IFERROR(ISNUMBER(SEARCH("Razonar",$R936))/(ISNUMBER(SEARCH("Conocer",$R936))+ISNUMBER(SEARCH("Aplicar",$R936))+ISNUMBER(SEARCH("Razonar",$R936))),0)</f>
        <v>0.5</v>
      </c>
      <c r="V936" t="s" s="35">
        <v>1405</v>
      </c>
      <c r="W936" t="s" s="35">
        <v>6188</v>
      </c>
      <c r="X936" s="36" cm="1">
        <f t="array" ref="X936">IF(OR(_xlfn.IFERROR(INDEX('Datos - Catálogo TIMSS'!$I$5:$I$107,MATCH(K936,'Datos - Catálogo TIMSS'!$A$5:$A$107,0)),"No")="Sí",_xlfn.IFERROR(INDEX('Datos - Catálogo TIMSS'!$I$5:$I$107,MATCH(L936,'Datos - Catálogo TIMSS'!$A$5:$A$107,0)),"No")="Sí"),1,0)</f>
        <v>0</v>
      </c>
      <c r="Y936" s="36" cm="1">
        <f t="array" ref="Y936">IF(_xlfn.IFERROR(INDEX('Datos - Catálogo TIMSS'!$J$5:$J$107,MATCH(K936,'Datos - Catálogo TIMSS'!$A$5:$A$107,0)),"No")="Sí",1,0)</f>
        <v>0</v>
      </c>
      <c r="Z936" s="36" cm="1">
        <f t="array" ref="Z936">IF(_xlfn.IFERROR(INDEX('Datos - Catálogo TIMSS'!$J$5:$J$107,MATCH(L936,'Datos - Catálogo TIMSS'!$A$5:$A$107,0)),"No")="Sí",1,0)</f>
        <v>0</v>
      </c>
      <c r="AA936" t="s" s="35">
        <v>1058</v>
      </c>
      <c r="AB936" s="39"/>
      <c r="AC936" t="str" s="39">
        <v>Sin marco</v>
      </c>
      <c r="AD936" t="s" s="35">
        <v>1859</v>
      </c>
      <c r="AE936" t="str" s="39" cm="1">
        <f t="array" ref="AE936">IF(AD936="","",IF(LEFT(AD936,1)="1","C1",IF(LEFT(AD936,1)="2","C2",IF(LEFT(AD936,1)="3","C3",""))))</f>
        <v>C1</v>
      </c>
      <c r="AF936" t="s" s="35">
        <v>1602</v>
      </c>
      <c r="AG936" t="s" s="35">
        <v>1612</v>
      </c>
      <c r="AH936" t="s" s="35">
        <v>1609</v>
      </c>
      <c r="AI936" t="s" s="35">
        <v>1623</v>
      </c>
      <c r="AJ936" t="s" s="35">
        <v>1615</v>
      </c>
      <c r="AK936" s="39"/>
      <c r="AL936" s="39"/>
      <c r="AM936" s="39"/>
      <c r="AN936" s="39"/>
      <c r="AO936" s="39"/>
      <c r="AP936" s="39"/>
      <c r="AQ936" s="39"/>
      <c r="AR936" s="39"/>
      <c r="AS936" s="39"/>
      <c r="AT936" s="39"/>
      <c r="AU936" s="39"/>
      <c r="AV936" s="39"/>
      <c r="AW936" t="str" s="39" cm="1">
        <f t="array" ref="AW936">AF936&amp;"; "&amp;AG936&amp;"; "&amp;AH936&amp;"; "&amp;AI936&amp;"; "&amp;AJ936</f>
        <v>E1; E5; E4; D4; E6</v>
      </c>
    </row>
    <row r="937" ht="13.65" customHeight="1">
      <c r="A937" t="s" s="35">
        <v>6345</v>
      </c>
      <c r="B937" s="36">
        <v>10</v>
      </c>
      <c r="C937" t="s" s="35">
        <v>220</v>
      </c>
      <c r="D937" t="s" s="35">
        <v>6180</v>
      </c>
      <c r="E937" t="s" s="35">
        <v>6181</v>
      </c>
      <c r="F937" s="36">
        <v>46</v>
      </c>
      <c r="G937" t="s" s="35">
        <v>6324</v>
      </c>
      <c r="H937" t="s" s="35">
        <v>6346</v>
      </c>
      <c r="I937" t="s" s="120">
        <v>6347</v>
      </c>
      <c r="J937" t="s" s="35">
        <v>6185</v>
      </c>
      <c r="K937" t="s" s="35">
        <v>1058</v>
      </c>
      <c r="L937" s="39"/>
      <c r="M937" t="str" s="39">
        <v>Sin marco</v>
      </c>
      <c r="N937" t="str" s="39">
        <v>Sin marco</v>
      </c>
      <c r="O937" t="str" s="39" cm="1">
        <f t="array" ref="O937">IF(L937="","",_xlfn.IFERROR(INDEX('Datos - Catálogo TIMSS'!$C$5:$C$107,MATCH(L937,'Datos - Catálogo TIMSS'!$A$5:$A$107,0)),"?"))</f>
      </c>
      <c r="P937" t="s" s="35">
        <v>1058</v>
      </c>
      <c r="Q937" t="s" s="120">
        <v>6186</v>
      </c>
      <c r="R937" t="s" s="120">
        <v>6348</v>
      </c>
      <c r="S937" s="121" cm="1">
        <f t="array" ref="S937">_xlfn.IFERROR(ISNUMBER(SEARCH("Conocer",$R937))/(ISNUMBER(SEARCH("Conocer",$R937))+ISNUMBER(SEARCH("Aplicar",$R937))+ISNUMBER(SEARCH("Razonar",$R937))),0)</f>
        <v>0</v>
      </c>
      <c r="T937" s="121" cm="1">
        <f t="array" ref="T937">_xlfn.IFERROR(ISNUMBER(SEARCH("Aplicar",$R937))/(ISNUMBER(SEARCH("Conocer",$R937))+ISNUMBER(SEARCH("Aplicar",$R937))+ISNUMBER(SEARCH("Razonar",$R937))),0)</f>
        <v>0.5</v>
      </c>
      <c r="U937" s="121" cm="1">
        <f t="array" ref="U937">_xlfn.IFERROR(ISNUMBER(SEARCH("Razonar",$R937))/(ISNUMBER(SEARCH("Conocer",$R937))+ISNUMBER(SEARCH("Aplicar",$R937))+ISNUMBER(SEARCH("Razonar",$R937))),0)</f>
        <v>0.5</v>
      </c>
      <c r="V937" t="s" s="35">
        <v>1405</v>
      </c>
      <c r="W937" t="s" s="35">
        <v>6188</v>
      </c>
      <c r="X937" s="36" cm="1">
        <f t="array" ref="X937">IF(OR(_xlfn.IFERROR(INDEX('Datos - Catálogo TIMSS'!$I$5:$I$107,MATCH(K937,'Datos - Catálogo TIMSS'!$A$5:$A$107,0)),"No")="Sí",_xlfn.IFERROR(INDEX('Datos - Catálogo TIMSS'!$I$5:$I$107,MATCH(L937,'Datos - Catálogo TIMSS'!$A$5:$A$107,0)),"No")="Sí"),1,0)</f>
        <v>0</v>
      </c>
      <c r="Y937" s="36" cm="1">
        <f t="array" ref="Y937">IF(_xlfn.IFERROR(INDEX('Datos - Catálogo TIMSS'!$J$5:$J$107,MATCH(K937,'Datos - Catálogo TIMSS'!$A$5:$A$107,0)),"No")="Sí",1,0)</f>
        <v>0</v>
      </c>
      <c r="Z937" s="36" cm="1">
        <f t="array" ref="Z937">IF(_xlfn.IFERROR(INDEX('Datos - Catálogo TIMSS'!$J$5:$J$107,MATCH(L937,'Datos - Catálogo TIMSS'!$A$5:$A$107,0)),"No")="Sí",1,0)</f>
        <v>0</v>
      </c>
      <c r="AA937" t="s" s="35">
        <v>1058</v>
      </c>
      <c r="AB937" s="39"/>
      <c r="AC937" t="str" s="39">
        <v>Sin marco</v>
      </c>
      <c r="AD937" t="s" s="35">
        <v>1859</v>
      </c>
      <c r="AE937" t="str" s="39" cm="1">
        <f t="array" ref="AE937">IF(AD937="","",IF(LEFT(AD937,1)="1","C1",IF(LEFT(AD937,1)="2","C2",IF(LEFT(AD937,1)="3","C3",""))))</f>
        <v>C1</v>
      </c>
      <c r="AF937" t="s" s="35">
        <v>1602</v>
      </c>
      <c r="AG937" t="s" s="35">
        <v>1612</v>
      </c>
      <c r="AH937" t="s" s="35">
        <v>1609</v>
      </c>
      <c r="AI937" t="s" s="35">
        <v>1623</v>
      </c>
      <c r="AJ937" t="s" s="35">
        <v>1607</v>
      </c>
      <c r="AK937" s="39"/>
      <c r="AL937" s="39"/>
      <c r="AM937" s="39"/>
      <c r="AN937" s="39"/>
      <c r="AO937" s="39"/>
      <c r="AP937" s="39"/>
      <c r="AQ937" s="39"/>
      <c r="AR937" s="39"/>
      <c r="AS937" s="39"/>
      <c r="AT937" s="39"/>
      <c r="AU937" s="39"/>
      <c r="AV937" s="39"/>
      <c r="AW937" t="str" s="39" cm="1">
        <f t="array" ref="AW937">AF937&amp;"; "&amp;AG937&amp;"; "&amp;AH937&amp;"; "&amp;AI937&amp;"; "&amp;AJ937</f>
        <v>E1; E5; E4; D4; E3</v>
      </c>
    </row>
    <row r="938" ht="13.65" customHeight="1">
      <c r="A938" t="s" s="35">
        <v>6349</v>
      </c>
      <c r="B938" s="36">
        <v>10</v>
      </c>
      <c r="C938" t="s" s="35">
        <v>220</v>
      </c>
      <c r="D938" t="s" s="35">
        <v>6180</v>
      </c>
      <c r="E938" t="s" s="35">
        <v>6181</v>
      </c>
      <c r="F938" s="36">
        <v>47</v>
      </c>
      <c r="G938" t="s" s="35">
        <v>6324</v>
      </c>
      <c r="H938" t="s" s="35">
        <v>6346</v>
      </c>
      <c r="I938" t="s" s="120">
        <v>6350</v>
      </c>
      <c r="J938" t="s" s="35">
        <v>6185</v>
      </c>
      <c r="K938" t="s" s="35">
        <v>1058</v>
      </c>
      <c r="L938" s="39"/>
      <c r="M938" t="str" s="39">
        <v>Sin marco</v>
      </c>
      <c r="N938" t="str" s="39">
        <v>Sin marco</v>
      </c>
      <c r="O938" t="str" s="39" cm="1">
        <f t="array" ref="O938">IF(L938="","",_xlfn.IFERROR(INDEX('Datos - Catálogo TIMSS'!$C$5:$C$107,MATCH(L938,'Datos - Catálogo TIMSS'!$A$5:$A$107,0)),"?"))</f>
      </c>
      <c r="P938" t="s" s="35">
        <v>1058</v>
      </c>
      <c r="Q938" t="s" s="120">
        <v>6186</v>
      </c>
      <c r="R938" t="s" s="120">
        <v>6351</v>
      </c>
      <c r="S938" s="121" cm="1">
        <f t="array" ref="S938">_xlfn.IFERROR(ISNUMBER(SEARCH("Conocer",$R938))/(ISNUMBER(SEARCH("Conocer",$R938))+ISNUMBER(SEARCH("Aplicar",$R938))+ISNUMBER(SEARCH("Razonar",$R938))),0)</f>
        <v>0</v>
      </c>
      <c r="T938" s="121" cm="1">
        <f t="array" ref="T938">_xlfn.IFERROR(ISNUMBER(SEARCH("Aplicar",$R938))/(ISNUMBER(SEARCH("Conocer",$R938))+ISNUMBER(SEARCH("Aplicar",$R938))+ISNUMBER(SEARCH("Razonar",$R938))),0)</f>
        <v>0.5</v>
      </c>
      <c r="U938" s="121" cm="1">
        <f t="array" ref="U938">_xlfn.IFERROR(ISNUMBER(SEARCH("Razonar",$R938))/(ISNUMBER(SEARCH("Conocer",$R938))+ISNUMBER(SEARCH("Aplicar",$R938))+ISNUMBER(SEARCH("Razonar",$R938))),0)</f>
        <v>0.5</v>
      </c>
      <c r="V938" t="s" s="35">
        <v>1405</v>
      </c>
      <c r="W938" t="s" s="35">
        <v>6188</v>
      </c>
      <c r="X938" s="36" cm="1">
        <f t="array" ref="X938">IF(OR(_xlfn.IFERROR(INDEX('Datos - Catálogo TIMSS'!$I$5:$I$107,MATCH(K938,'Datos - Catálogo TIMSS'!$A$5:$A$107,0)),"No")="Sí",_xlfn.IFERROR(INDEX('Datos - Catálogo TIMSS'!$I$5:$I$107,MATCH(L938,'Datos - Catálogo TIMSS'!$A$5:$A$107,0)),"No")="Sí"),1,0)</f>
        <v>0</v>
      </c>
      <c r="Y938" s="36" cm="1">
        <f t="array" ref="Y938">IF(_xlfn.IFERROR(INDEX('Datos - Catálogo TIMSS'!$J$5:$J$107,MATCH(K938,'Datos - Catálogo TIMSS'!$A$5:$A$107,0)),"No")="Sí",1,0)</f>
        <v>0</v>
      </c>
      <c r="Z938" s="36" cm="1">
        <f t="array" ref="Z938">IF(_xlfn.IFERROR(INDEX('Datos - Catálogo TIMSS'!$J$5:$J$107,MATCH(L938,'Datos - Catálogo TIMSS'!$A$5:$A$107,0)),"No")="Sí",1,0)</f>
        <v>0</v>
      </c>
      <c r="AA938" t="s" s="35">
        <v>1058</v>
      </c>
      <c r="AB938" s="39"/>
      <c r="AC938" t="str" s="39">
        <v>Sin marco</v>
      </c>
      <c r="AD938" t="s" s="35">
        <v>1859</v>
      </c>
      <c r="AE938" t="str" s="39" cm="1">
        <f t="array" ref="AE938">IF(AD938="","",IF(LEFT(AD938,1)="1","C1",IF(LEFT(AD938,1)="2","C2",IF(LEFT(AD938,1)="3","C3",""))))</f>
        <v>C1</v>
      </c>
      <c r="AF938" t="s" s="35">
        <v>1602</v>
      </c>
      <c r="AG938" t="s" s="35">
        <v>1617</v>
      </c>
      <c r="AH938" t="s" s="35">
        <v>1609</v>
      </c>
      <c r="AI938" t="s" s="35">
        <v>1625</v>
      </c>
      <c r="AJ938" t="s" s="35">
        <v>1607</v>
      </c>
      <c r="AK938" s="39"/>
      <c r="AL938" s="39"/>
      <c r="AM938" s="39"/>
      <c r="AN938" s="39"/>
      <c r="AO938" s="39"/>
      <c r="AP938" s="39"/>
      <c r="AQ938" s="39"/>
      <c r="AR938" s="39"/>
      <c r="AS938" s="39"/>
      <c r="AT938" s="39"/>
      <c r="AU938" s="39"/>
      <c r="AV938" s="39"/>
      <c r="AW938" t="str" s="39" cm="1">
        <f t="array" ref="AW938">AF938&amp;"; "&amp;AG938&amp;"; "&amp;AH938&amp;"; "&amp;AI938&amp;"; "&amp;AJ938</f>
        <v>E1; D1; E4; I1; E3</v>
      </c>
    </row>
    <row r="939" ht="13.65" customHeight="1">
      <c r="A939" t="s" s="35">
        <v>6352</v>
      </c>
      <c r="B939" s="36">
        <v>10</v>
      </c>
      <c r="C939" t="s" s="35">
        <v>220</v>
      </c>
      <c r="D939" t="s" s="35">
        <v>6180</v>
      </c>
      <c r="E939" t="s" s="35">
        <v>6181</v>
      </c>
      <c r="F939" s="36">
        <v>48</v>
      </c>
      <c r="G939" t="s" s="35">
        <v>6324</v>
      </c>
      <c r="H939" t="s" s="35">
        <v>6353</v>
      </c>
      <c r="I939" t="s" s="120">
        <v>6354</v>
      </c>
      <c r="J939" t="s" s="35">
        <v>6185</v>
      </c>
      <c r="K939" t="s" s="35">
        <v>1058</v>
      </c>
      <c r="L939" s="39"/>
      <c r="M939" t="str" s="39">
        <v>Sin marco</v>
      </c>
      <c r="N939" t="str" s="39">
        <v>Sin marco</v>
      </c>
      <c r="O939" t="str" s="39" cm="1">
        <f t="array" ref="O939">IF(L939="","",_xlfn.IFERROR(INDEX('Datos - Catálogo TIMSS'!$C$5:$C$107,MATCH(L939,'Datos - Catálogo TIMSS'!$A$5:$A$107,0)),"?"))</f>
      </c>
      <c r="P939" t="s" s="35">
        <v>1058</v>
      </c>
      <c r="Q939" t="s" s="120">
        <v>6186</v>
      </c>
      <c r="R939" t="s" s="120">
        <v>6355</v>
      </c>
      <c r="S939" s="121" cm="1">
        <f t="array" ref="S939">_xlfn.IFERROR(ISNUMBER(SEARCH("Conocer",$R939))/(ISNUMBER(SEARCH("Conocer",$R939))+ISNUMBER(SEARCH("Aplicar",$R939))+ISNUMBER(SEARCH("Razonar",$R939))),0)</f>
        <v>0</v>
      </c>
      <c r="T939" s="121" cm="1">
        <f t="array" ref="T939">_xlfn.IFERROR(ISNUMBER(SEARCH("Aplicar",$R939))/(ISNUMBER(SEARCH("Conocer",$R939))+ISNUMBER(SEARCH("Aplicar",$R939))+ISNUMBER(SEARCH("Razonar",$R939))),0)</f>
        <v>0.5</v>
      </c>
      <c r="U939" s="121" cm="1">
        <f t="array" ref="U939">_xlfn.IFERROR(ISNUMBER(SEARCH("Razonar",$R939))/(ISNUMBER(SEARCH("Conocer",$R939))+ISNUMBER(SEARCH("Aplicar",$R939))+ISNUMBER(SEARCH("Razonar",$R939))),0)</f>
        <v>0.5</v>
      </c>
      <c r="V939" t="s" s="35">
        <v>1405</v>
      </c>
      <c r="W939" t="s" s="35">
        <v>6188</v>
      </c>
      <c r="X939" s="36" cm="1">
        <f t="array" ref="X939">IF(OR(_xlfn.IFERROR(INDEX('Datos - Catálogo TIMSS'!$I$5:$I$107,MATCH(K939,'Datos - Catálogo TIMSS'!$A$5:$A$107,0)),"No")="Sí",_xlfn.IFERROR(INDEX('Datos - Catálogo TIMSS'!$I$5:$I$107,MATCH(L939,'Datos - Catálogo TIMSS'!$A$5:$A$107,0)),"No")="Sí"),1,0)</f>
        <v>0</v>
      </c>
      <c r="Y939" s="36" cm="1">
        <f t="array" ref="Y939">IF(_xlfn.IFERROR(INDEX('Datos - Catálogo TIMSS'!$J$5:$J$107,MATCH(K939,'Datos - Catálogo TIMSS'!$A$5:$A$107,0)),"No")="Sí",1,0)</f>
        <v>0</v>
      </c>
      <c r="Z939" s="36" cm="1">
        <f t="array" ref="Z939">IF(_xlfn.IFERROR(INDEX('Datos - Catálogo TIMSS'!$J$5:$J$107,MATCH(L939,'Datos - Catálogo TIMSS'!$A$5:$A$107,0)),"No")="Sí",1,0)</f>
        <v>0</v>
      </c>
      <c r="AA939" t="s" s="35">
        <v>1058</v>
      </c>
      <c r="AB939" s="39"/>
      <c r="AC939" t="str" s="39">
        <v>Sin marco</v>
      </c>
      <c r="AD939" t="s" s="35">
        <v>1834</v>
      </c>
      <c r="AE939" t="str" s="39" cm="1">
        <f t="array" ref="AE939">IF(AD939="","",IF(LEFT(AD939,1)="1","C1",IF(LEFT(AD939,1)="2","C2",IF(LEFT(AD939,1)="3","C3",""))))</f>
        <v>C2</v>
      </c>
      <c r="AF939" t="s" s="35">
        <v>1615</v>
      </c>
      <c r="AG939" t="s" s="35">
        <v>1617</v>
      </c>
      <c r="AH939" t="s" s="35">
        <v>1605</v>
      </c>
      <c r="AI939" t="s" s="35">
        <v>1623</v>
      </c>
      <c r="AJ939" t="s" s="35">
        <v>1607</v>
      </c>
      <c r="AK939" s="39"/>
      <c r="AL939" s="39"/>
      <c r="AM939" s="39"/>
      <c r="AN939" s="39"/>
      <c r="AO939" s="39"/>
      <c r="AP939" s="39"/>
      <c r="AQ939" s="39"/>
      <c r="AR939" s="39"/>
      <c r="AS939" s="39"/>
      <c r="AT939" s="39"/>
      <c r="AU939" s="39"/>
      <c r="AV939" s="39"/>
      <c r="AW939" t="str" s="39" cm="1">
        <f t="array" ref="AW939">AF939&amp;"; "&amp;AG939&amp;"; "&amp;AH939&amp;"; "&amp;AI939&amp;"; "&amp;AJ939</f>
        <v>E6; D1; E2; D4; E3</v>
      </c>
    </row>
    <row r="940" ht="13.65" customHeight="1">
      <c r="A940" t="s" s="35">
        <v>6357</v>
      </c>
      <c r="B940" s="36">
        <v>10</v>
      </c>
      <c r="C940" t="s" s="35">
        <v>220</v>
      </c>
      <c r="D940" t="s" s="35">
        <v>6180</v>
      </c>
      <c r="E940" t="s" s="35">
        <v>6181</v>
      </c>
      <c r="F940" s="36">
        <v>49</v>
      </c>
      <c r="G940" t="s" s="35">
        <v>6324</v>
      </c>
      <c r="H940" t="s" s="35">
        <v>6358</v>
      </c>
      <c r="I940" t="s" s="120">
        <v>6359</v>
      </c>
      <c r="J940" t="s" s="35">
        <v>6185</v>
      </c>
      <c r="K940" t="s" s="35">
        <v>1058</v>
      </c>
      <c r="L940" s="39"/>
      <c r="M940" t="str" s="39">
        <v>Sin marco</v>
      </c>
      <c r="N940" t="str" s="39">
        <v>Sin marco</v>
      </c>
      <c r="O940" t="str" s="39" cm="1">
        <f t="array" ref="O940">IF(L940="","",_xlfn.IFERROR(INDEX('Datos - Catálogo TIMSS'!$C$5:$C$107,MATCH(L940,'Datos - Catálogo TIMSS'!$A$5:$A$107,0)),"?"))</f>
      </c>
      <c r="P940" t="s" s="35">
        <v>1058</v>
      </c>
      <c r="Q940" t="s" s="120">
        <v>6186</v>
      </c>
      <c r="R940" t="s" s="120">
        <v>6360</v>
      </c>
      <c r="S940" s="121" cm="1">
        <f t="array" ref="S940">_xlfn.IFERROR(ISNUMBER(SEARCH("Conocer",$R940))/(ISNUMBER(SEARCH("Conocer",$R940))+ISNUMBER(SEARCH("Aplicar",$R940))+ISNUMBER(SEARCH("Razonar",$R940))),0)</f>
        <v>0.5</v>
      </c>
      <c r="T940" s="121" cm="1">
        <f t="array" ref="T940">_xlfn.IFERROR(ISNUMBER(SEARCH("Aplicar",$R940))/(ISNUMBER(SEARCH("Conocer",$R940))+ISNUMBER(SEARCH("Aplicar",$R940))+ISNUMBER(SEARCH("Razonar",$R940))),0)</f>
        <v>0</v>
      </c>
      <c r="U940" s="121" cm="1">
        <f t="array" ref="U940">_xlfn.IFERROR(ISNUMBER(SEARCH("Razonar",$R940))/(ISNUMBER(SEARCH("Conocer",$R940))+ISNUMBER(SEARCH("Aplicar",$R940))+ISNUMBER(SEARCH("Razonar",$R940))),0)</f>
        <v>0.5</v>
      </c>
      <c r="V940" t="s" s="35">
        <v>1405</v>
      </c>
      <c r="W940" t="s" s="35">
        <v>6188</v>
      </c>
      <c r="X940" s="36" cm="1">
        <f t="array" ref="X940">IF(OR(_xlfn.IFERROR(INDEX('Datos - Catálogo TIMSS'!$I$5:$I$107,MATCH(K940,'Datos - Catálogo TIMSS'!$A$5:$A$107,0)),"No")="Sí",_xlfn.IFERROR(INDEX('Datos - Catálogo TIMSS'!$I$5:$I$107,MATCH(L940,'Datos - Catálogo TIMSS'!$A$5:$A$107,0)),"No")="Sí"),1,0)</f>
        <v>0</v>
      </c>
      <c r="Y940" s="36" cm="1">
        <f t="array" ref="Y940">IF(_xlfn.IFERROR(INDEX('Datos - Catálogo TIMSS'!$J$5:$J$107,MATCH(K940,'Datos - Catálogo TIMSS'!$A$5:$A$107,0)),"No")="Sí",1,0)</f>
        <v>0</v>
      </c>
      <c r="Z940" s="36" cm="1">
        <f t="array" ref="Z940">IF(_xlfn.IFERROR(INDEX('Datos - Catálogo TIMSS'!$J$5:$J$107,MATCH(L940,'Datos - Catálogo TIMSS'!$A$5:$A$107,0)),"No")="Sí",1,0)</f>
        <v>0</v>
      </c>
      <c r="AA940" t="s" s="35">
        <v>1058</v>
      </c>
      <c r="AB940" s="39"/>
      <c r="AC940" t="str" s="39">
        <v>Sin marco</v>
      </c>
      <c r="AD940" t="s" s="35">
        <v>1859</v>
      </c>
      <c r="AE940" t="str" s="39" cm="1">
        <f t="array" ref="AE940">IF(AD940="","",IF(LEFT(AD940,1)="1","C1",IF(LEFT(AD940,1)="2","C2",IF(LEFT(AD940,1)="3","C3",""))))</f>
        <v>C1</v>
      </c>
      <c r="AF940" t="s" s="35">
        <v>1602</v>
      </c>
      <c r="AG940" t="s" s="35">
        <v>1607</v>
      </c>
      <c r="AH940" t="s" s="35">
        <v>1609</v>
      </c>
      <c r="AI940" t="s" s="35">
        <v>1629</v>
      </c>
      <c r="AJ940" t="s" s="35">
        <v>1615</v>
      </c>
      <c r="AK940" s="39"/>
      <c r="AL940" s="39"/>
      <c r="AM940" s="39"/>
      <c r="AN940" s="39"/>
      <c r="AO940" s="39"/>
      <c r="AP940" s="39"/>
      <c r="AQ940" s="39"/>
      <c r="AR940" s="39"/>
      <c r="AS940" s="39"/>
      <c r="AT940" s="39"/>
      <c r="AU940" s="39"/>
      <c r="AV940" s="39"/>
      <c r="AW940" t="str" s="39" cm="1">
        <f t="array" ref="AW940">AF940&amp;"; "&amp;AG940&amp;"; "&amp;AH940&amp;"; "&amp;AI940&amp;"; "&amp;AJ940</f>
        <v>E1; E3; E4; I3; E6</v>
      </c>
    </row>
    <row r="941" ht="13.65" customHeight="1">
      <c r="A941" t="s" s="35">
        <v>6362</v>
      </c>
      <c r="B941" s="36">
        <v>10</v>
      </c>
      <c r="C941" t="s" s="35">
        <v>220</v>
      </c>
      <c r="D941" t="s" s="35">
        <v>6180</v>
      </c>
      <c r="E941" t="s" s="35">
        <v>6181</v>
      </c>
      <c r="F941" s="36">
        <v>50</v>
      </c>
      <c r="G941" t="s" s="35">
        <v>6324</v>
      </c>
      <c r="H941" t="s" s="35">
        <v>6363</v>
      </c>
      <c r="I941" t="s" s="120">
        <v>6364</v>
      </c>
      <c r="J941" t="s" s="35">
        <v>6185</v>
      </c>
      <c r="K941" t="s" s="35">
        <v>1058</v>
      </c>
      <c r="L941" s="39"/>
      <c r="M941" t="str" s="39">
        <v>Sin marco</v>
      </c>
      <c r="N941" t="str" s="39">
        <v>Sin marco</v>
      </c>
      <c r="O941" t="str" s="39" cm="1">
        <f t="array" ref="O941">IF(L941="","",_xlfn.IFERROR(INDEX('Datos - Catálogo TIMSS'!$C$5:$C$107,MATCH(L941,'Datos - Catálogo TIMSS'!$A$5:$A$107,0)),"?"))</f>
      </c>
      <c r="P941" t="s" s="35">
        <v>1058</v>
      </c>
      <c r="Q941" t="s" s="120">
        <v>6186</v>
      </c>
      <c r="R941" t="s" s="120">
        <v>6365</v>
      </c>
      <c r="S941" s="121" cm="1">
        <f t="array" ref="S941">_xlfn.IFERROR(ISNUMBER(SEARCH("Conocer",$R941))/(ISNUMBER(SEARCH("Conocer",$R941))+ISNUMBER(SEARCH("Aplicar",$R941))+ISNUMBER(SEARCH("Razonar",$R941))),0)</f>
        <v>0</v>
      </c>
      <c r="T941" s="121" cm="1">
        <f t="array" ref="T941">_xlfn.IFERROR(ISNUMBER(SEARCH("Aplicar",$R941))/(ISNUMBER(SEARCH("Conocer",$R941))+ISNUMBER(SEARCH("Aplicar",$R941))+ISNUMBER(SEARCH("Razonar",$R941))),0)</f>
        <v>0.5</v>
      </c>
      <c r="U941" s="121" cm="1">
        <f t="array" ref="U941">_xlfn.IFERROR(ISNUMBER(SEARCH("Razonar",$R941))/(ISNUMBER(SEARCH("Conocer",$R941))+ISNUMBER(SEARCH("Aplicar",$R941))+ISNUMBER(SEARCH("Razonar",$R941))),0)</f>
        <v>0.5</v>
      </c>
      <c r="V941" t="s" s="35">
        <v>1405</v>
      </c>
      <c r="W941" t="s" s="35">
        <v>6188</v>
      </c>
      <c r="X941" s="36" cm="1">
        <f t="array" ref="X941">IF(OR(_xlfn.IFERROR(INDEX('Datos - Catálogo TIMSS'!$I$5:$I$107,MATCH(K941,'Datos - Catálogo TIMSS'!$A$5:$A$107,0)),"No")="Sí",_xlfn.IFERROR(INDEX('Datos - Catálogo TIMSS'!$I$5:$I$107,MATCH(L941,'Datos - Catálogo TIMSS'!$A$5:$A$107,0)),"No")="Sí"),1,0)</f>
        <v>0</v>
      </c>
      <c r="Y941" s="36" cm="1">
        <f t="array" ref="Y941">IF(_xlfn.IFERROR(INDEX('Datos - Catálogo TIMSS'!$J$5:$J$107,MATCH(K941,'Datos - Catálogo TIMSS'!$A$5:$A$107,0)),"No")="Sí",1,0)</f>
        <v>0</v>
      </c>
      <c r="Z941" s="36" cm="1">
        <f t="array" ref="Z941">IF(_xlfn.IFERROR(INDEX('Datos - Catálogo TIMSS'!$J$5:$J$107,MATCH(L941,'Datos - Catálogo TIMSS'!$A$5:$A$107,0)),"No")="Sí",1,0)</f>
        <v>0</v>
      </c>
      <c r="AA941" t="s" s="35">
        <v>1058</v>
      </c>
      <c r="AB941" s="39"/>
      <c r="AC941" t="str" s="39">
        <v>Sin marco</v>
      </c>
      <c r="AD941" t="s" s="35">
        <v>1859</v>
      </c>
      <c r="AE941" t="str" s="39" cm="1">
        <f t="array" ref="AE941">IF(AD941="","",IF(LEFT(AD941,1)="1","C1",IF(LEFT(AD941,1)="2","C2",IF(LEFT(AD941,1)="3","C3",""))))</f>
        <v>C1</v>
      </c>
      <c r="AF941" t="s" s="35">
        <v>1602</v>
      </c>
      <c r="AG941" t="s" s="35">
        <v>1617</v>
      </c>
      <c r="AH941" t="s" s="35">
        <v>1609</v>
      </c>
      <c r="AI941" t="s" s="35">
        <v>1623</v>
      </c>
      <c r="AJ941" t="s" s="35">
        <v>1607</v>
      </c>
      <c r="AK941" s="39"/>
      <c r="AL941" s="39"/>
      <c r="AM941" s="39"/>
      <c r="AN941" s="39"/>
      <c r="AO941" s="39"/>
      <c r="AP941" s="39"/>
      <c r="AQ941" s="39"/>
      <c r="AR941" s="39"/>
      <c r="AS941" s="39"/>
      <c r="AT941" s="39"/>
      <c r="AU941" s="39"/>
      <c r="AV941" s="39"/>
      <c r="AW941" t="str" s="39" cm="1">
        <f t="array" ref="AW941">AF941&amp;"; "&amp;AG941&amp;"; "&amp;AH941&amp;"; "&amp;AI941&amp;"; "&amp;AJ941</f>
        <v>E1; D1; E4; D4; E3</v>
      </c>
    </row>
    <row r="942" ht="13.65" customHeight="1">
      <c r="A942" t="s" s="35">
        <v>6366</v>
      </c>
      <c r="B942" s="36">
        <v>10</v>
      </c>
      <c r="C942" t="s" s="35">
        <v>220</v>
      </c>
      <c r="D942" t="s" s="35">
        <v>6180</v>
      </c>
      <c r="E942" t="s" s="35">
        <v>6181</v>
      </c>
      <c r="F942" s="36">
        <v>51</v>
      </c>
      <c r="G942" t="s" s="35">
        <v>6324</v>
      </c>
      <c r="H942" t="s" s="35">
        <v>6363</v>
      </c>
      <c r="I942" t="s" s="120">
        <v>6367</v>
      </c>
      <c r="J942" t="s" s="35">
        <v>6185</v>
      </c>
      <c r="K942" t="s" s="35">
        <v>1058</v>
      </c>
      <c r="L942" s="39"/>
      <c r="M942" t="str" s="39">
        <v>Sin marco</v>
      </c>
      <c r="N942" t="str" s="39">
        <v>Sin marco</v>
      </c>
      <c r="O942" t="str" s="39" cm="1">
        <f t="array" ref="O942">IF(L942="","",_xlfn.IFERROR(INDEX('Datos - Catálogo TIMSS'!$C$5:$C$107,MATCH(L942,'Datos - Catálogo TIMSS'!$A$5:$A$107,0)),"?"))</f>
      </c>
      <c r="P942" t="s" s="35">
        <v>1058</v>
      </c>
      <c r="Q942" t="s" s="120">
        <v>6186</v>
      </c>
      <c r="R942" t="s" s="120">
        <v>6368</v>
      </c>
      <c r="S942" s="121" cm="1">
        <f t="array" ref="S942">_xlfn.IFERROR(ISNUMBER(SEARCH("Conocer",$R942))/(ISNUMBER(SEARCH("Conocer",$R942))+ISNUMBER(SEARCH("Aplicar",$R942))+ISNUMBER(SEARCH("Razonar",$R942))),0)</f>
        <v>0</v>
      </c>
      <c r="T942" s="121" cm="1">
        <f t="array" ref="T942">_xlfn.IFERROR(ISNUMBER(SEARCH("Aplicar",$R942))/(ISNUMBER(SEARCH("Conocer",$R942))+ISNUMBER(SEARCH("Aplicar",$R942))+ISNUMBER(SEARCH("Razonar",$R942))),0)</f>
        <v>0.5</v>
      </c>
      <c r="U942" s="121" cm="1">
        <f t="array" ref="U942">_xlfn.IFERROR(ISNUMBER(SEARCH("Razonar",$R942))/(ISNUMBER(SEARCH("Conocer",$R942))+ISNUMBER(SEARCH("Aplicar",$R942))+ISNUMBER(SEARCH("Razonar",$R942))),0)</f>
        <v>0.5</v>
      </c>
      <c r="V942" t="s" s="35">
        <v>1405</v>
      </c>
      <c r="W942" t="s" s="35">
        <v>6188</v>
      </c>
      <c r="X942" s="36" cm="1">
        <f t="array" ref="X942">IF(OR(_xlfn.IFERROR(INDEX('Datos - Catálogo TIMSS'!$I$5:$I$107,MATCH(K942,'Datos - Catálogo TIMSS'!$A$5:$A$107,0)),"No")="Sí",_xlfn.IFERROR(INDEX('Datos - Catálogo TIMSS'!$I$5:$I$107,MATCH(L942,'Datos - Catálogo TIMSS'!$A$5:$A$107,0)),"No")="Sí"),1,0)</f>
        <v>0</v>
      </c>
      <c r="Y942" s="36" cm="1">
        <f t="array" ref="Y942">IF(_xlfn.IFERROR(INDEX('Datos - Catálogo TIMSS'!$J$5:$J$107,MATCH(K942,'Datos - Catálogo TIMSS'!$A$5:$A$107,0)),"No")="Sí",1,0)</f>
        <v>0</v>
      </c>
      <c r="Z942" s="36" cm="1">
        <f t="array" ref="Z942">IF(_xlfn.IFERROR(INDEX('Datos - Catálogo TIMSS'!$J$5:$J$107,MATCH(L942,'Datos - Catálogo TIMSS'!$A$5:$A$107,0)),"No")="Sí",1,0)</f>
        <v>0</v>
      </c>
      <c r="AA942" t="s" s="35">
        <v>1058</v>
      </c>
      <c r="AB942" s="39"/>
      <c r="AC942" t="str" s="39">
        <v>Sin marco</v>
      </c>
      <c r="AD942" t="s" s="35">
        <v>1859</v>
      </c>
      <c r="AE942" t="str" s="39" cm="1">
        <f t="array" ref="AE942">IF(AD942="","",IF(LEFT(AD942,1)="1","C1",IF(LEFT(AD942,1)="2","C2",IF(LEFT(AD942,1)="3","C3",""))))</f>
        <v>C1</v>
      </c>
      <c r="AF942" t="s" s="35">
        <v>1602</v>
      </c>
      <c r="AG942" t="s" s="35">
        <v>1607</v>
      </c>
      <c r="AH942" t="s" s="35">
        <v>1605</v>
      </c>
      <c r="AI942" t="s" s="35">
        <v>1623</v>
      </c>
      <c r="AJ942" t="s" s="35">
        <v>1633</v>
      </c>
      <c r="AK942" s="39"/>
      <c r="AL942" s="39"/>
      <c r="AM942" s="39"/>
      <c r="AN942" s="39"/>
      <c r="AO942" s="39"/>
      <c r="AP942" s="39"/>
      <c r="AQ942" s="39"/>
      <c r="AR942" s="39"/>
      <c r="AS942" s="39"/>
      <c r="AT942" s="39"/>
      <c r="AU942" s="39"/>
      <c r="AV942" s="39"/>
      <c r="AW942" t="str" s="39" cm="1">
        <f t="array" ref="AW942">AF942&amp;"; "&amp;AG942&amp;"; "&amp;AH942&amp;"; "&amp;AI942&amp;"; "&amp;AJ942</f>
        <v>E1; E3; E2; D4; I5</v>
      </c>
    </row>
    <row r="943" ht="13.65" customHeight="1">
      <c r="A943" t="s" s="35">
        <v>6369</v>
      </c>
      <c r="B943" s="36">
        <v>10</v>
      </c>
      <c r="C943" t="s" s="35">
        <v>220</v>
      </c>
      <c r="D943" t="s" s="35">
        <v>6180</v>
      </c>
      <c r="E943" t="s" s="35">
        <v>6181</v>
      </c>
      <c r="F943" s="36">
        <v>52</v>
      </c>
      <c r="G943" t="s" s="35">
        <v>6324</v>
      </c>
      <c r="H943" t="s" s="35">
        <v>6370</v>
      </c>
      <c r="I943" t="s" s="120">
        <v>6371</v>
      </c>
      <c r="J943" t="s" s="35">
        <v>6185</v>
      </c>
      <c r="K943" t="s" s="35">
        <v>1058</v>
      </c>
      <c r="L943" s="39"/>
      <c r="M943" t="str" s="39">
        <v>Sin marco</v>
      </c>
      <c r="N943" t="str" s="39">
        <v>Sin marco</v>
      </c>
      <c r="O943" t="str" s="39" cm="1">
        <f t="array" ref="O943">IF(L943="","",_xlfn.IFERROR(INDEX('Datos - Catálogo TIMSS'!$C$5:$C$107,MATCH(L943,'Datos - Catálogo TIMSS'!$A$5:$A$107,0)),"?"))</f>
      </c>
      <c r="P943" t="s" s="35">
        <v>1058</v>
      </c>
      <c r="Q943" t="s" s="120">
        <v>6186</v>
      </c>
      <c r="R943" t="s" s="120">
        <v>6372</v>
      </c>
      <c r="S943" s="121" cm="1">
        <f t="array" ref="S943">_xlfn.IFERROR(ISNUMBER(SEARCH("Conocer",$R943))/(ISNUMBER(SEARCH("Conocer",$R943))+ISNUMBER(SEARCH("Aplicar",$R943))+ISNUMBER(SEARCH("Razonar",$R943))),0)</f>
        <v>0</v>
      </c>
      <c r="T943" s="121" cm="1">
        <f t="array" ref="T943">_xlfn.IFERROR(ISNUMBER(SEARCH("Aplicar",$R943))/(ISNUMBER(SEARCH("Conocer",$R943))+ISNUMBER(SEARCH("Aplicar",$R943))+ISNUMBER(SEARCH("Razonar",$R943))),0)</f>
        <v>0.5</v>
      </c>
      <c r="U943" s="121" cm="1">
        <f t="array" ref="U943">_xlfn.IFERROR(ISNUMBER(SEARCH("Razonar",$R943))/(ISNUMBER(SEARCH("Conocer",$R943))+ISNUMBER(SEARCH("Aplicar",$R943))+ISNUMBER(SEARCH("Razonar",$R943))),0)</f>
        <v>0.5</v>
      </c>
      <c r="V943" t="s" s="35">
        <v>1405</v>
      </c>
      <c r="W943" t="s" s="35">
        <v>6188</v>
      </c>
      <c r="X943" s="36" cm="1">
        <f t="array" ref="X943">IF(OR(_xlfn.IFERROR(INDEX('Datos - Catálogo TIMSS'!$I$5:$I$107,MATCH(K943,'Datos - Catálogo TIMSS'!$A$5:$A$107,0)),"No")="Sí",_xlfn.IFERROR(INDEX('Datos - Catálogo TIMSS'!$I$5:$I$107,MATCH(L943,'Datos - Catálogo TIMSS'!$A$5:$A$107,0)),"No")="Sí"),1,0)</f>
        <v>0</v>
      </c>
      <c r="Y943" s="36" cm="1">
        <f t="array" ref="Y943">IF(_xlfn.IFERROR(INDEX('Datos - Catálogo TIMSS'!$J$5:$J$107,MATCH(K943,'Datos - Catálogo TIMSS'!$A$5:$A$107,0)),"No")="Sí",1,0)</f>
        <v>0</v>
      </c>
      <c r="Z943" s="36" cm="1">
        <f t="array" ref="Z943">IF(_xlfn.IFERROR(INDEX('Datos - Catálogo TIMSS'!$J$5:$J$107,MATCH(L943,'Datos - Catálogo TIMSS'!$A$5:$A$107,0)),"No")="Sí",1,0)</f>
        <v>0</v>
      </c>
      <c r="AA943" t="s" s="35">
        <v>1058</v>
      </c>
      <c r="AB943" s="39"/>
      <c r="AC943" t="str" s="39">
        <v>Sin marco</v>
      </c>
      <c r="AD943" t="s" s="35">
        <v>1834</v>
      </c>
      <c r="AE943" t="str" s="39" cm="1">
        <f t="array" ref="AE943">IF(AD943="","",IF(LEFT(AD943,1)="1","C1",IF(LEFT(AD943,1)="2","C2",IF(LEFT(AD943,1)="3","C3",""))))</f>
        <v>C2</v>
      </c>
      <c r="AF943" t="s" s="35">
        <v>1602</v>
      </c>
      <c r="AG943" t="s" s="35">
        <v>1612</v>
      </c>
      <c r="AH943" t="s" s="35">
        <v>1609</v>
      </c>
      <c r="AI943" t="s" s="35">
        <v>1619</v>
      </c>
      <c r="AJ943" t="s" s="35">
        <v>1621</v>
      </c>
      <c r="AK943" s="39"/>
      <c r="AL943" s="39"/>
      <c r="AM943" s="39"/>
      <c r="AN943" s="39"/>
      <c r="AO943" s="39"/>
      <c r="AP943" s="39"/>
      <c r="AQ943" s="39"/>
      <c r="AR943" s="39"/>
      <c r="AS943" s="39"/>
      <c r="AT943" s="39"/>
      <c r="AU943" s="39"/>
      <c r="AV943" s="39"/>
      <c r="AW943" t="str" s="39" cm="1">
        <f t="array" ref="AW943">AF943&amp;"; "&amp;AG943&amp;"; "&amp;AH943&amp;"; "&amp;AI943&amp;"; "&amp;AJ943</f>
        <v>E1; E5; E4; D2; D3</v>
      </c>
    </row>
    <row r="944" ht="13.65" customHeight="1">
      <c r="A944" t="s" s="35">
        <v>6374</v>
      </c>
      <c r="B944" s="36">
        <v>10</v>
      </c>
      <c r="C944" t="s" s="35">
        <v>220</v>
      </c>
      <c r="D944" t="s" s="35">
        <v>6180</v>
      </c>
      <c r="E944" t="s" s="35">
        <v>6181</v>
      </c>
      <c r="F944" s="36">
        <v>53</v>
      </c>
      <c r="G944" t="s" s="35">
        <v>6324</v>
      </c>
      <c r="H944" t="s" s="35">
        <v>6375</v>
      </c>
      <c r="I944" t="s" s="120">
        <v>6376</v>
      </c>
      <c r="J944" t="s" s="35">
        <v>6185</v>
      </c>
      <c r="K944" t="s" s="35">
        <v>1058</v>
      </c>
      <c r="L944" s="39"/>
      <c r="M944" t="str" s="39">
        <v>Sin marco</v>
      </c>
      <c r="N944" t="str" s="39">
        <v>Sin marco</v>
      </c>
      <c r="O944" t="str" s="39" cm="1">
        <f t="array" ref="O944">IF(L944="","",_xlfn.IFERROR(INDEX('Datos - Catálogo TIMSS'!$C$5:$C$107,MATCH(L944,'Datos - Catálogo TIMSS'!$A$5:$A$107,0)),"?"))</f>
      </c>
      <c r="P944" t="s" s="35">
        <v>1058</v>
      </c>
      <c r="Q944" t="s" s="120">
        <v>6186</v>
      </c>
      <c r="R944" t="s" s="120">
        <v>6377</v>
      </c>
      <c r="S944" s="121" cm="1">
        <f t="array" ref="S944">_xlfn.IFERROR(ISNUMBER(SEARCH("Conocer",$R944))/(ISNUMBER(SEARCH("Conocer",$R944))+ISNUMBER(SEARCH("Aplicar",$R944))+ISNUMBER(SEARCH("Razonar",$R944))),0)</f>
        <v>0.5</v>
      </c>
      <c r="T944" s="121" cm="1">
        <f t="array" ref="T944">_xlfn.IFERROR(ISNUMBER(SEARCH("Aplicar",$R944))/(ISNUMBER(SEARCH("Conocer",$R944))+ISNUMBER(SEARCH("Aplicar",$R944))+ISNUMBER(SEARCH("Razonar",$R944))),0)</f>
        <v>0</v>
      </c>
      <c r="U944" s="121" cm="1">
        <f t="array" ref="U944">_xlfn.IFERROR(ISNUMBER(SEARCH("Razonar",$R944))/(ISNUMBER(SEARCH("Conocer",$R944))+ISNUMBER(SEARCH("Aplicar",$R944))+ISNUMBER(SEARCH("Razonar",$R944))),0)</f>
        <v>0.5</v>
      </c>
      <c r="V944" t="s" s="35">
        <v>1405</v>
      </c>
      <c r="W944" t="s" s="35">
        <v>6188</v>
      </c>
      <c r="X944" s="36" cm="1">
        <f t="array" ref="X944">IF(OR(_xlfn.IFERROR(INDEX('Datos - Catálogo TIMSS'!$I$5:$I$107,MATCH(K944,'Datos - Catálogo TIMSS'!$A$5:$A$107,0)),"No")="Sí",_xlfn.IFERROR(INDEX('Datos - Catálogo TIMSS'!$I$5:$I$107,MATCH(L944,'Datos - Catálogo TIMSS'!$A$5:$A$107,0)),"No")="Sí"),1,0)</f>
        <v>0</v>
      </c>
      <c r="Y944" s="36" cm="1">
        <f t="array" ref="Y944">IF(_xlfn.IFERROR(INDEX('Datos - Catálogo TIMSS'!$J$5:$J$107,MATCH(K944,'Datos - Catálogo TIMSS'!$A$5:$A$107,0)),"No")="Sí",1,0)</f>
        <v>0</v>
      </c>
      <c r="Z944" s="36" cm="1">
        <f t="array" ref="Z944">IF(_xlfn.IFERROR(INDEX('Datos - Catálogo TIMSS'!$J$5:$J$107,MATCH(L944,'Datos - Catálogo TIMSS'!$A$5:$A$107,0)),"No")="Sí",1,0)</f>
        <v>0</v>
      </c>
      <c r="AA944" t="s" s="35">
        <v>1058</v>
      </c>
      <c r="AB944" s="39"/>
      <c r="AC944" t="str" s="39">
        <v>Sin marco</v>
      </c>
      <c r="AD944" t="s" s="35">
        <v>1859</v>
      </c>
      <c r="AE944" t="str" s="39" cm="1">
        <f t="array" ref="AE944">IF(AD944="","",IF(LEFT(AD944,1)="1","C1",IF(LEFT(AD944,1)="2","C2",IF(LEFT(AD944,1)="3","C3",""))))</f>
        <v>C1</v>
      </c>
      <c r="AF944" t="s" s="35">
        <v>1615</v>
      </c>
      <c r="AG944" t="s" s="35">
        <v>1617</v>
      </c>
      <c r="AH944" t="s" s="35">
        <v>1609</v>
      </c>
      <c r="AI944" t="s" s="35">
        <v>1625</v>
      </c>
      <c r="AJ944" t="s" s="35">
        <v>1633</v>
      </c>
      <c r="AK944" s="39"/>
      <c r="AL944" s="39"/>
      <c r="AM944" s="39"/>
      <c r="AN944" s="39"/>
      <c r="AO944" s="39"/>
      <c r="AP944" s="39"/>
      <c r="AQ944" s="39"/>
      <c r="AR944" s="39"/>
      <c r="AS944" s="39"/>
      <c r="AT944" s="39"/>
      <c r="AU944" s="39"/>
      <c r="AV944" s="39"/>
      <c r="AW944" t="str" s="39" cm="1">
        <f t="array" ref="AW944">AF944&amp;"; "&amp;AG944&amp;"; "&amp;AH944&amp;"; "&amp;AI944&amp;"; "&amp;AJ944</f>
        <v>E6; D1; E4; I1; I5</v>
      </c>
    </row>
    <row r="945" ht="13.65" customHeight="1">
      <c r="A945" t="s" s="35">
        <v>6378</v>
      </c>
      <c r="B945" s="36">
        <v>10</v>
      </c>
      <c r="C945" t="s" s="35">
        <v>220</v>
      </c>
      <c r="D945" t="s" s="35">
        <v>6180</v>
      </c>
      <c r="E945" t="s" s="35">
        <v>6181</v>
      </c>
      <c r="F945" s="36">
        <v>54</v>
      </c>
      <c r="G945" t="s" s="35">
        <v>6324</v>
      </c>
      <c r="H945" t="s" s="35">
        <v>6379</v>
      </c>
      <c r="I945" t="s" s="120">
        <v>6380</v>
      </c>
      <c r="J945" t="s" s="35">
        <v>6185</v>
      </c>
      <c r="K945" t="s" s="35">
        <v>1058</v>
      </c>
      <c r="L945" s="39"/>
      <c r="M945" t="str" s="39">
        <v>Sin marco</v>
      </c>
      <c r="N945" t="str" s="39">
        <v>Sin marco</v>
      </c>
      <c r="O945" t="str" s="39" cm="1">
        <f t="array" ref="O945">IF(L945="","",_xlfn.IFERROR(INDEX('Datos - Catálogo TIMSS'!$C$5:$C$107,MATCH(L945,'Datos - Catálogo TIMSS'!$A$5:$A$107,0)),"?"))</f>
      </c>
      <c r="P945" t="s" s="35">
        <v>1058</v>
      </c>
      <c r="Q945" t="s" s="120">
        <v>6186</v>
      </c>
      <c r="R945" t="s" s="120">
        <v>6381</v>
      </c>
      <c r="S945" s="121" cm="1">
        <f t="array" ref="S945">_xlfn.IFERROR(ISNUMBER(SEARCH("Conocer",$R945))/(ISNUMBER(SEARCH("Conocer",$R945))+ISNUMBER(SEARCH("Aplicar",$R945))+ISNUMBER(SEARCH("Razonar",$R945))),0)</f>
        <v>0</v>
      </c>
      <c r="T945" s="121" cm="1">
        <f t="array" ref="T945">_xlfn.IFERROR(ISNUMBER(SEARCH("Aplicar",$R945))/(ISNUMBER(SEARCH("Conocer",$R945))+ISNUMBER(SEARCH("Aplicar",$R945))+ISNUMBER(SEARCH("Razonar",$R945))),0)</f>
        <v>0.5</v>
      </c>
      <c r="U945" s="121" cm="1">
        <f t="array" ref="U945">_xlfn.IFERROR(ISNUMBER(SEARCH("Razonar",$R945))/(ISNUMBER(SEARCH("Conocer",$R945))+ISNUMBER(SEARCH("Aplicar",$R945))+ISNUMBER(SEARCH("Razonar",$R945))),0)</f>
        <v>0.5</v>
      </c>
      <c r="V945" t="s" s="35">
        <v>1405</v>
      </c>
      <c r="W945" t="s" s="35">
        <v>6188</v>
      </c>
      <c r="X945" s="36" cm="1">
        <f t="array" ref="X945">IF(OR(_xlfn.IFERROR(INDEX('Datos - Catálogo TIMSS'!$I$5:$I$107,MATCH(K945,'Datos - Catálogo TIMSS'!$A$5:$A$107,0)),"No")="Sí",_xlfn.IFERROR(INDEX('Datos - Catálogo TIMSS'!$I$5:$I$107,MATCH(L945,'Datos - Catálogo TIMSS'!$A$5:$A$107,0)),"No")="Sí"),1,0)</f>
        <v>0</v>
      </c>
      <c r="Y945" s="36" cm="1">
        <f t="array" ref="Y945">IF(_xlfn.IFERROR(INDEX('Datos - Catálogo TIMSS'!$J$5:$J$107,MATCH(K945,'Datos - Catálogo TIMSS'!$A$5:$A$107,0)),"No")="Sí",1,0)</f>
        <v>0</v>
      </c>
      <c r="Z945" s="36" cm="1">
        <f t="array" ref="Z945">IF(_xlfn.IFERROR(INDEX('Datos - Catálogo TIMSS'!$J$5:$J$107,MATCH(L945,'Datos - Catálogo TIMSS'!$A$5:$A$107,0)),"No")="Sí",1,0)</f>
        <v>0</v>
      </c>
      <c r="AA945" t="s" s="35">
        <v>1058</v>
      </c>
      <c r="AB945" s="39"/>
      <c r="AC945" t="str" s="39">
        <v>Sin marco</v>
      </c>
      <c r="AD945" t="s" s="35">
        <v>1900</v>
      </c>
      <c r="AE945" t="str" s="39" cm="1">
        <f t="array" ref="AE945">IF(AD945="","",IF(LEFT(AD945,1)="1","C1",IF(LEFT(AD945,1)="2","C2",IF(LEFT(AD945,1)="3","C3",""))))</f>
        <v>C3</v>
      </c>
      <c r="AF945" t="s" s="35">
        <v>1602</v>
      </c>
      <c r="AG945" t="s" s="35">
        <v>1607</v>
      </c>
      <c r="AH945" t="s" s="35">
        <v>1602</v>
      </c>
      <c r="AI945" t="s" s="35">
        <v>1629</v>
      </c>
      <c r="AJ945" t="s" s="35">
        <v>1615</v>
      </c>
      <c r="AK945" s="39"/>
      <c r="AL945" s="39"/>
      <c r="AM945" s="39"/>
      <c r="AN945" s="39"/>
      <c r="AO945" s="39"/>
      <c r="AP945" s="39"/>
      <c r="AQ945" s="39"/>
      <c r="AR945" s="39"/>
      <c r="AS945" s="39"/>
      <c r="AT945" s="39"/>
      <c r="AU945" s="39"/>
      <c r="AV945" s="39"/>
      <c r="AW945" t="str" s="39" cm="1">
        <f t="array" ref="AW945">AF945&amp;"; "&amp;AG945&amp;"; "&amp;AH945&amp;"; "&amp;AI945&amp;"; "&amp;AJ945</f>
        <v>E1; E3; E1; I3; E6</v>
      </c>
    </row>
    <row r="946" ht="13.65" customHeight="1">
      <c r="A946" t="s" s="35">
        <v>6383</v>
      </c>
      <c r="B946" s="36">
        <v>10</v>
      </c>
      <c r="C946" t="s" s="35">
        <v>220</v>
      </c>
      <c r="D946" t="s" s="35">
        <v>6180</v>
      </c>
      <c r="E946" t="s" s="35">
        <v>6181</v>
      </c>
      <c r="F946" s="36">
        <v>55</v>
      </c>
      <c r="G946" t="s" s="35">
        <v>6384</v>
      </c>
      <c r="H946" t="s" s="35">
        <v>6385</v>
      </c>
      <c r="I946" t="s" s="120">
        <v>6386</v>
      </c>
      <c r="J946" t="s" s="35">
        <v>6185</v>
      </c>
      <c r="K946" t="s" s="35">
        <v>1058</v>
      </c>
      <c r="L946" s="39"/>
      <c r="M946" t="str" s="39">
        <v>Sin marco</v>
      </c>
      <c r="N946" t="str" s="39">
        <v>Sin marco</v>
      </c>
      <c r="O946" t="str" s="39" cm="1">
        <f t="array" ref="O946">IF(L946="","",_xlfn.IFERROR(INDEX('Datos - Catálogo TIMSS'!$C$5:$C$107,MATCH(L946,'Datos - Catálogo TIMSS'!$A$5:$A$107,0)),"?"))</f>
      </c>
      <c r="P946" t="s" s="35">
        <v>1058</v>
      </c>
      <c r="Q946" t="s" s="120">
        <v>6186</v>
      </c>
      <c r="R946" t="s" s="120">
        <v>6387</v>
      </c>
      <c r="S946" s="121" cm="1">
        <f t="array" ref="S946">_xlfn.IFERROR(ISNUMBER(SEARCH("Conocer",$R946))/(ISNUMBER(SEARCH("Conocer",$R946))+ISNUMBER(SEARCH("Aplicar",$R946))+ISNUMBER(SEARCH("Razonar",$R946))),0)</f>
        <v>0</v>
      </c>
      <c r="T946" s="121" cm="1">
        <f t="array" ref="T946">_xlfn.IFERROR(ISNUMBER(SEARCH("Aplicar",$R946))/(ISNUMBER(SEARCH("Conocer",$R946))+ISNUMBER(SEARCH("Aplicar",$R946))+ISNUMBER(SEARCH("Razonar",$R946))),0)</f>
        <v>0.5</v>
      </c>
      <c r="U946" s="121" cm="1">
        <f t="array" ref="U946">_xlfn.IFERROR(ISNUMBER(SEARCH("Razonar",$R946))/(ISNUMBER(SEARCH("Conocer",$R946))+ISNUMBER(SEARCH("Aplicar",$R946))+ISNUMBER(SEARCH("Razonar",$R946))),0)</f>
        <v>0.5</v>
      </c>
      <c r="V946" t="s" s="35">
        <v>1405</v>
      </c>
      <c r="W946" t="s" s="35">
        <v>6188</v>
      </c>
      <c r="X946" s="36" cm="1">
        <f t="array" ref="X946">IF(OR(_xlfn.IFERROR(INDEX('Datos - Catálogo TIMSS'!$I$5:$I$107,MATCH(K946,'Datos - Catálogo TIMSS'!$A$5:$A$107,0)),"No")="Sí",_xlfn.IFERROR(INDEX('Datos - Catálogo TIMSS'!$I$5:$I$107,MATCH(L946,'Datos - Catálogo TIMSS'!$A$5:$A$107,0)),"No")="Sí"),1,0)</f>
        <v>0</v>
      </c>
      <c r="Y946" s="36" cm="1">
        <f t="array" ref="Y946">IF(_xlfn.IFERROR(INDEX('Datos - Catálogo TIMSS'!$J$5:$J$107,MATCH(K946,'Datos - Catálogo TIMSS'!$A$5:$A$107,0)),"No")="Sí",1,0)</f>
        <v>0</v>
      </c>
      <c r="Z946" s="36" cm="1">
        <f t="array" ref="Z946">IF(_xlfn.IFERROR(INDEX('Datos - Catálogo TIMSS'!$J$5:$J$107,MATCH(L946,'Datos - Catálogo TIMSS'!$A$5:$A$107,0)),"No")="Sí",1,0)</f>
        <v>0</v>
      </c>
      <c r="AA946" t="s" s="35">
        <v>1058</v>
      </c>
      <c r="AB946" s="39"/>
      <c r="AC946" t="str" s="39">
        <v>Sin marco</v>
      </c>
      <c r="AD946" t="s" s="35">
        <v>1834</v>
      </c>
      <c r="AE946" t="str" s="39" cm="1">
        <f t="array" ref="AE946">IF(AD946="","",IF(LEFT(AD946,1)="1","C1",IF(LEFT(AD946,1)="2","C2",IF(LEFT(AD946,1)="3","C3",""))))</f>
        <v>C2</v>
      </c>
      <c r="AF946" t="s" s="35">
        <v>1602</v>
      </c>
      <c r="AG946" t="s" s="35">
        <v>1617</v>
      </c>
      <c r="AH946" t="s" s="35">
        <v>1605</v>
      </c>
      <c r="AI946" t="s" s="35">
        <v>1623</v>
      </c>
      <c r="AJ946" t="s" s="35">
        <v>1615</v>
      </c>
      <c r="AK946" s="39"/>
      <c r="AL946" s="39"/>
      <c r="AM946" s="39"/>
      <c r="AN946" s="39"/>
      <c r="AO946" s="39"/>
      <c r="AP946" s="39"/>
      <c r="AQ946" s="39"/>
      <c r="AR946" s="39"/>
      <c r="AS946" s="39"/>
      <c r="AT946" s="39"/>
      <c r="AU946" s="39"/>
      <c r="AV946" s="39"/>
      <c r="AW946" t="str" s="39" cm="1">
        <f t="array" ref="AW946">AF946&amp;"; "&amp;AG946&amp;"; "&amp;AH946&amp;"; "&amp;AI946&amp;"; "&amp;AJ946</f>
        <v>E1; D1; E2; D4; E6</v>
      </c>
    </row>
    <row r="947" ht="13.65" customHeight="1">
      <c r="A947" t="s" s="35">
        <v>6388</v>
      </c>
      <c r="B947" s="36">
        <v>10</v>
      </c>
      <c r="C947" t="s" s="35">
        <v>220</v>
      </c>
      <c r="D947" t="s" s="35">
        <v>6180</v>
      </c>
      <c r="E947" t="s" s="35">
        <v>6181</v>
      </c>
      <c r="F947" s="36">
        <v>56</v>
      </c>
      <c r="G947" t="s" s="35">
        <v>6384</v>
      </c>
      <c r="H947" t="s" s="35">
        <v>6389</v>
      </c>
      <c r="I947" t="s" s="120">
        <v>6390</v>
      </c>
      <c r="J947" t="s" s="35">
        <v>6185</v>
      </c>
      <c r="K947" t="s" s="35">
        <v>1058</v>
      </c>
      <c r="L947" s="39"/>
      <c r="M947" t="str" s="39">
        <v>Sin marco</v>
      </c>
      <c r="N947" t="str" s="39">
        <v>Sin marco</v>
      </c>
      <c r="O947" t="str" s="39" cm="1">
        <f t="array" ref="O947">IF(L947="","",_xlfn.IFERROR(INDEX('Datos - Catálogo TIMSS'!$C$5:$C$107,MATCH(L947,'Datos - Catálogo TIMSS'!$A$5:$A$107,0)),"?"))</f>
      </c>
      <c r="P947" t="s" s="35">
        <v>1058</v>
      </c>
      <c r="Q947" t="s" s="120">
        <v>6186</v>
      </c>
      <c r="R947" t="s" s="120">
        <v>6391</v>
      </c>
      <c r="S947" s="121" cm="1">
        <f t="array" ref="S947">_xlfn.IFERROR(ISNUMBER(SEARCH("Conocer",$R947))/(ISNUMBER(SEARCH("Conocer",$R947))+ISNUMBER(SEARCH("Aplicar",$R947))+ISNUMBER(SEARCH("Razonar",$R947))),0)</f>
        <v>0</v>
      </c>
      <c r="T947" s="121" cm="1">
        <f t="array" ref="T947">_xlfn.IFERROR(ISNUMBER(SEARCH("Aplicar",$R947))/(ISNUMBER(SEARCH("Conocer",$R947))+ISNUMBER(SEARCH("Aplicar",$R947))+ISNUMBER(SEARCH("Razonar",$R947))),0)</f>
        <v>0.5</v>
      </c>
      <c r="U947" s="121" cm="1">
        <f t="array" ref="U947">_xlfn.IFERROR(ISNUMBER(SEARCH("Razonar",$R947))/(ISNUMBER(SEARCH("Conocer",$R947))+ISNUMBER(SEARCH("Aplicar",$R947))+ISNUMBER(SEARCH("Razonar",$R947))),0)</f>
        <v>0.5</v>
      </c>
      <c r="V947" t="s" s="35">
        <v>1405</v>
      </c>
      <c r="W947" t="s" s="35">
        <v>6188</v>
      </c>
      <c r="X947" s="36" cm="1">
        <f t="array" ref="X947">IF(OR(_xlfn.IFERROR(INDEX('Datos - Catálogo TIMSS'!$I$5:$I$107,MATCH(K947,'Datos - Catálogo TIMSS'!$A$5:$A$107,0)),"No")="Sí",_xlfn.IFERROR(INDEX('Datos - Catálogo TIMSS'!$I$5:$I$107,MATCH(L947,'Datos - Catálogo TIMSS'!$A$5:$A$107,0)),"No")="Sí"),1,0)</f>
        <v>0</v>
      </c>
      <c r="Y947" s="36" cm="1">
        <f t="array" ref="Y947">IF(_xlfn.IFERROR(INDEX('Datos - Catálogo TIMSS'!$J$5:$J$107,MATCH(K947,'Datos - Catálogo TIMSS'!$A$5:$A$107,0)),"No")="Sí",1,0)</f>
        <v>0</v>
      </c>
      <c r="Z947" s="36" cm="1">
        <f t="array" ref="Z947">IF(_xlfn.IFERROR(INDEX('Datos - Catálogo TIMSS'!$J$5:$J$107,MATCH(L947,'Datos - Catálogo TIMSS'!$A$5:$A$107,0)),"No")="Sí",1,0)</f>
        <v>0</v>
      </c>
      <c r="AA947" t="s" s="35">
        <v>1058</v>
      </c>
      <c r="AB947" s="39"/>
      <c r="AC947" t="str" s="39">
        <v>Sin marco</v>
      </c>
      <c r="AD947" t="s" s="35">
        <v>1834</v>
      </c>
      <c r="AE947" t="str" s="39" cm="1">
        <f t="array" ref="AE947">IF(AD947="","",IF(LEFT(AD947,1)="1","C1",IF(LEFT(AD947,1)="2","C2",IF(LEFT(AD947,1)="3","C3",""))))</f>
        <v>C2</v>
      </c>
      <c r="AF947" t="s" s="35">
        <v>1602</v>
      </c>
      <c r="AG947" t="s" s="35">
        <v>1607</v>
      </c>
      <c r="AH947" t="s" s="35">
        <v>1605</v>
      </c>
      <c r="AI947" t="s" s="35">
        <v>1623</v>
      </c>
      <c r="AJ947" t="s" s="35">
        <v>1621</v>
      </c>
      <c r="AK947" s="39"/>
      <c r="AL947" s="39"/>
      <c r="AM947" s="39"/>
      <c r="AN947" s="39"/>
      <c r="AO947" s="39"/>
      <c r="AP947" s="39"/>
      <c r="AQ947" s="39"/>
      <c r="AR947" s="39"/>
      <c r="AS947" s="39"/>
      <c r="AT947" s="39"/>
      <c r="AU947" s="39"/>
      <c r="AV947" s="39"/>
      <c r="AW947" t="str" s="39" cm="1">
        <f t="array" ref="AW947">AF947&amp;"; "&amp;AG947&amp;"; "&amp;AH947&amp;"; "&amp;AI947&amp;"; "&amp;AJ947</f>
        <v>E1; E3; E2; D4; D3</v>
      </c>
    </row>
    <row r="948" ht="13.65" customHeight="1">
      <c r="A948" t="s" s="35">
        <v>6392</v>
      </c>
      <c r="B948" s="36">
        <v>10</v>
      </c>
      <c r="C948" t="s" s="35">
        <v>220</v>
      </c>
      <c r="D948" t="s" s="35">
        <v>6180</v>
      </c>
      <c r="E948" t="s" s="35">
        <v>6181</v>
      </c>
      <c r="F948" s="36">
        <v>57</v>
      </c>
      <c r="G948" t="s" s="35">
        <v>6384</v>
      </c>
      <c r="H948" t="s" s="35">
        <v>6393</v>
      </c>
      <c r="I948" t="s" s="120">
        <v>6394</v>
      </c>
      <c r="J948" t="s" s="35">
        <v>6185</v>
      </c>
      <c r="K948" t="s" s="35">
        <v>1058</v>
      </c>
      <c r="L948" s="39"/>
      <c r="M948" t="str" s="39">
        <v>Sin marco</v>
      </c>
      <c r="N948" t="str" s="39">
        <v>Sin marco</v>
      </c>
      <c r="O948" t="str" s="39" cm="1">
        <f t="array" ref="O948">IF(L948="","",_xlfn.IFERROR(INDEX('Datos - Catálogo TIMSS'!$C$5:$C$107,MATCH(L948,'Datos - Catálogo TIMSS'!$A$5:$A$107,0)),"?"))</f>
      </c>
      <c r="P948" t="s" s="35">
        <v>1058</v>
      </c>
      <c r="Q948" t="s" s="120">
        <v>6186</v>
      </c>
      <c r="R948" t="s" s="120">
        <v>6395</v>
      </c>
      <c r="S948" s="121" cm="1">
        <f t="array" ref="S948">_xlfn.IFERROR(ISNUMBER(SEARCH("Conocer",$R948))/(ISNUMBER(SEARCH("Conocer",$R948))+ISNUMBER(SEARCH("Aplicar",$R948))+ISNUMBER(SEARCH("Razonar",$R948))),0)</f>
        <v>0</v>
      </c>
      <c r="T948" s="121" cm="1">
        <f t="array" ref="T948">_xlfn.IFERROR(ISNUMBER(SEARCH("Aplicar",$R948))/(ISNUMBER(SEARCH("Conocer",$R948))+ISNUMBER(SEARCH("Aplicar",$R948))+ISNUMBER(SEARCH("Razonar",$R948))),0)</f>
        <v>0.5</v>
      </c>
      <c r="U948" s="121" cm="1">
        <f t="array" ref="U948">_xlfn.IFERROR(ISNUMBER(SEARCH("Razonar",$R948))/(ISNUMBER(SEARCH("Conocer",$R948))+ISNUMBER(SEARCH("Aplicar",$R948))+ISNUMBER(SEARCH("Razonar",$R948))),0)</f>
        <v>0.5</v>
      </c>
      <c r="V948" t="s" s="35">
        <v>1405</v>
      </c>
      <c r="W948" t="s" s="35">
        <v>6188</v>
      </c>
      <c r="X948" s="36" cm="1">
        <f t="array" ref="X948">IF(OR(_xlfn.IFERROR(INDEX('Datos - Catálogo TIMSS'!$I$5:$I$107,MATCH(K948,'Datos - Catálogo TIMSS'!$A$5:$A$107,0)),"No")="Sí",_xlfn.IFERROR(INDEX('Datos - Catálogo TIMSS'!$I$5:$I$107,MATCH(L948,'Datos - Catálogo TIMSS'!$A$5:$A$107,0)),"No")="Sí"),1,0)</f>
        <v>0</v>
      </c>
      <c r="Y948" s="36" cm="1">
        <f t="array" ref="Y948">IF(_xlfn.IFERROR(INDEX('Datos - Catálogo TIMSS'!$J$5:$J$107,MATCH(K948,'Datos - Catálogo TIMSS'!$A$5:$A$107,0)),"No")="Sí",1,0)</f>
        <v>0</v>
      </c>
      <c r="Z948" s="36" cm="1">
        <f t="array" ref="Z948">IF(_xlfn.IFERROR(INDEX('Datos - Catálogo TIMSS'!$J$5:$J$107,MATCH(L948,'Datos - Catálogo TIMSS'!$A$5:$A$107,0)),"No")="Sí",1,0)</f>
        <v>0</v>
      </c>
      <c r="AA948" t="s" s="35">
        <v>1058</v>
      </c>
      <c r="AB948" s="39"/>
      <c r="AC948" t="str" s="39">
        <v>Sin marco</v>
      </c>
      <c r="AD948" t="s" s="35">
        <v>1859</v>
      </c>
      <c r="AE948" t="str" s="39" cm="1">
        <f t="array" ref="AE948">IF(AD948="","",IF(LEFT(AD948,1)="1","C1",IF(LEFT(AD948,1)="2","C2",IF(LEFT(AD948,1)="3","C3",""))))</f>
        <v>C1</v>
      </c>
      <c r="AF948" t="s" s="35">
        <v>1602</v>
      </c>
      <c r="AG948" t="s" s="35">
        <v>1607</v>
      </c>
      <c r="AH948" t="s" s="35">
        <v>1602</v>
      </c>
      <c r="AI948" t="s" s="35">
        <v>1623</v>
      </c>
      <c r="AJ948" t="s" s="35">
        <v>1633</v>
      </c>
      <c r="AK948" s="39"/>
      <c r="AL948" s="39"/>
      <c r="AM948" s="39"/>
      <c r="AN948" s="39"/>
      <c r="AO948" s="39"/>
      <c r="AP948" s="39"/>
      <c r="AQ948" s="39"/>
      <c r="AR948" s="39"/>
      <c r="AS948" s="39"/>
      <c r="AT948" s="39"/>
      <c r="AU948" s="39"/>
      <c r="AV948" s="39"/>
      <c r="AW948" t="str" s="39" cm="1">
        <f t="array" ref="AW948">AF948&amp;"; "&amp;AG948&amp;"; "&amp;AH948&amp;"; "&amp;AI948&amp;"; "&amp;AJ948</f>
        <v>E1; E3; E1; D4; I5</v>
      </c>
    </row>
    <row r="949" ht="13.65" customHeight="1">
      <c r="A949" t="s" s="35">
        <v>6396</v>
      </c>
      <c r="B949" s="36">
        <v>10</v>
      </c>
      <c r="C949" t="s" s="35">
        <v>220</v>
      </c>
      <c r="D949" t="s" s="35">
        <v>6180</v>
      </c>
      <c r="E949" t="s" s="35">
        <v>6181</v>
      </c>
      <c r="F949" s="36">
        <v>58</v>
      </c>
      <c r="G949" t="s" s="35">
        <v>6384</v>
      </c>
      <c r="H949" t="s" s="35">
        <v>6397</v>
      </c>
      <c r="I949" t="s" s="120">
        <v>6398</v>
      </c>
      <c r="J949" t="s" s="35">
        <v>6185</v>
      </c>
      <c r="K949" t="s" s="35">
        <v>1058</v>
      </c>
      <c r="L949" s="39"/>
      <c r="M949" t="str" s="39">
        <v>Sin marco</v>
      </c>
      <c r="N949" t="str" s="39">
        <v>Sin marco</v>
      </c>
      <c r="O949" t="str" s="39" cm="1">
        <f t="array" ref="O949">IF(L949="","",_xlfn.IFERROR(INDEX('Datos - Catálogo TIMSS'!$C$5:$C$107,MATCH(L949,'Datos - Catálogo TIMSS'!$A$5:$A$107,0)),"?"))</f>
      </c>
      <c r="P949" t="s" s="35">
        <v>1058</v>
      </c>
      <c r="Q949" t="s" s="120">
        <v>6186</v>
      </c>
      <c r="R949" t="s" s="120">
        <v>6399</v>
      </c>
      <c r="S949" s="121" cm="1">
        <f t="array" ref="S949">_xlfn.IFERROR(ISNUMBER(SEARCH("Conocer",$R949))/(ISNUMBER(SEARCH("Conocer",$R949))+ISNUMBER(SEARCH("Aplicar",$R949))+ISNUMBER(SEARCH("Razonar",$R949))),0)</f>
        <v>0</v>
      </c>
      <c r="T949" s="121" cm="1">
        <f t="array" ref="T949">_xlfn.IFERROR(ISNUMBER(SEARCH("Aplicar",$R949))/(ISNUMBER(SEARCH("Conocer",$R949))+ISNUMBER(SEARCH("Aplicar",$R949))+ISNUMBER(SEARCH("Razonar",$R949))),0)</f>
        <v>0.5</v>
      </c>
      <c r="U949" s="121" cm="1">
        <f t="array" ref="U949">_xlfn.IFERROR(ISNUMBER(SEARCH("Razonar",$R949))/(ISNUMBER(SEARCH("Conocer",$R949))+ISNUMBER(SEARCH("Aplicar",$R949))+ISNUMBER(SEARCH("Razonar",$R949))),0)</f>
        <v>0.5</v>
      </c>
      <c r="V949" t="s" s="35">
        <v>1405</v>
      </c>
      <c r="W949" t="s" s="35">
        <v>6188</v>
      </c>
      <c r="X949" s="36" cm="1">
        <f t="array" ref="X949">IF(OR(_xlfn.IFERROR(INDEX('Datos - Catálogo TIMSS'!$I$5:$I$107,MATCH(K949,'Datos - Catálogo TIMSS'!$A$5:$A$107,0)),"No")="Sí",_xlfn.IFERROR(INDEX('Datos - Catálogo TIMSS'!$I$5:$I$107,MATCH(L949,'Datos - Catálogo TIMSS'!$A$5:$A$107,0)),"No")="Sí"),1,0)</f>
        <v>0</v>
      </c>
      <c r="Y949" s="36" cm="1">
        <f t="array" ref="Y949">IF(_xlfn.IFERROR(INDEX('Datos - Catálogo TIMSS'!$J$5:$J$107,MATCH(K949,'Datos - Catálogo TIMSS'!$A$5:$A$107,0)),"No")="Sí",1,0)</f>
        <v>0</v>
      </c>
      <c r="Z949" s="36" cm="1">
        <f t="array" ref="Z949">IF(_xlfn.IFERROR(INDEX('Datos - Catálogo TIMSS'!$J$5:$J$107,MATCH(L949,'Datos - Catálogo TIMSS'!$A$5:$A$107,0)),"No")="Sí",1,0)</f>
        <v>0</v>
      </c>
      <c r="AA949" t="s" s="35">
        <v>1058</v>
      </c>
      <c r="AB949" s="39"/>
      <c r="AC949" t="str" s="39">
        <v>Sin marco</v>
      </c>
      <c r="AD949" t="s" s="35">
        <v>1859</v>
      </c>
      <c r="AE949" t="str" s="39" cm="1">
        <f t="array" ref="AE949">IF(AD949="","",IF(LEFT(AD949,1)="1","C1",IF(LEFT(AD949,1)="2","C2",IF(LEFT(AD949,1)="3","C3",""))))</f>
        <v>C1</v>
      </c>
      <c r="AF949" t="s" s="35">
        <v>1615</v>
      </c>
      <c r="AG949" t="s" s="35">
        <v>1617</v>
      </c>
      <c r="AH949" t="s" s="35">
        <v>1605</v>
      </c>
      <c r="AI949" t="s" s="35">
        <v>1629</v>
      </c>
      <c r="AJ949" t="s" s="35">
        <v>1607</v>
      </c>
      <c r="AK949" s="39"/>
      <c r="AL949" s="39"/>
      <c r="AM949" s="39"/>
      <c r="AN949" s="39"/>
      <c r="AO949" s="39"/>
      <c r="AP949" s="39"/>
      <c r="AQ949" s="39"/>
      <c r="AR949" s="39"/>
      <c r="AS949" s="39"/>
      <c r="AT949" s="39"/>
      <c r="AU949" s="39"/>
      <c r="AV949" s="39"/>
      <c r="AW949" t="str" s="39" cm="1">
        <f t="array" ref="AW949">AF949&amp;"; "&amp;AG949&amp;"; "&amp;AH949&amp;"; "&amp;AI949&amp;"; "&amp;AJ949</f>
        <v>E6; D1; E2; I3; E3</v>
      </c>
    </row>
    <row r="950" ht="13.65" customHeight="1">
      <c r="A950" t="s" s="35">
        <v>6401</v>
      </c>
      <c r="B950" s="36">
        <v>10</v>
      </c>
      <c r="C950" t="s" s="35">
        <v>220</v>
      </c>
      <c r="D950" t="s" s="35">
        <v>6180</v>
      </c>
      <c r="E950" t="s" s="35">
        <v>6181</v>
      </c>
      <c r="F950" s="36">
        <v>59</v>
      </c>
      <c r="G950" t="s" s="35">
        <v>6384</v>
      </c>
      <c r="H950" t="s" s="35">
        <v>6402</v>
      </c>
      <c r="I950" t="s" s="120">
        <v>6403</v>
      </c>
      <c r="J950" t="s" s="35">
        <v>6185</v>
      </c>
      <c r="K950" t="s" s="35">
        <v>1058</v>
      </c>
      <c r="L950" s="39"/>
      <c r="M950" t="str" s="39">
        <v>Sin marco</v>
      </c>
      <c r="N950" t="str" s="39">
        <v>Sin marco</v>
      </c>
      <c r="O950" t="str" s="39" cm="1">
        <f t="array" ref="O950">IF(L950="","",_xlfn.IFERROR(INDEX('Datos - Catálogo TIMSS'!$C$5:$C$107,MATCH(L950,'Datos - Catálogo TIMSS'!$A$5:$A$107,0)),"?"))</f>
      </c>
      <c r="P950" t="s" s="35">
        <v>1058</v>
      </c>
      <c r="Q950" t="s" s="120">
        <v>6186</v>
      </c>
      <c r="R950" t="s" s="120">
        <v>6404</v>
      </c>
      <c r="S950" s="121" cm="1">
        <f t="array" ref="S950">_xlfn.IFERROR(ISNUMBER(SEARCH("Conocer",$R950))/(ISNUMBER(SEARCH("Conocer",$R950))+ISNUMBER(SEARCH("Aplicar",$R950))+ISNUMBER(SEARCH("Razonar",$R950))),0)</f>
        <v>0</v>
      </c>
      <c r="T950" s="121" cm="1">
        <f t="array" ref="T950">_xlfn.IFERROR(ISNUMBER(SEARCH("Aplicar",$R950))/(ISNUMBER(SEARCH("Conocer",$R950))+ISNUMBER(SEARCH("Aplicar",$R950))+ISNUMBER(SEARCH("Razonar",$R950))),0)</f>
        <v>0.5</v>
      </c>
      <c r="U950" s="121" cm="1">
        <f t="array" ref="U950">_xlfn.IFERROR(ISNUMBER(SEARCH("Razonar",$R950))/(ISNUMBER(SEARCH("Conocer",$R950))+ISNUMBER(SEARCH("Aplicar",$R950))+ISNUMBER(SEARCH("Razonar",$R950))),0)</f>
        <v>0.5</v>
      </c>
      <c r="V950" t="s" s="35">
        <v>1405</v>
      </c>
      <c r="W950" t="s" s="35">
        <v>6188</v>
      </c>
      <c r="X950" s="36" cm="1">
        <f t="array" ref="X950">IF(OR(_xlfn.IFERROR(INDEX('Datos - Catálogo TIMSS'!$I$5:$I$107,MATCH(K950,'Datos - Catálogo TIMSS'!$A$5:$A$107,0)),"No")="Sí",_xlfn.IFERROR(INDEX('Datos - Catálogo TIMSS'!$I$5:$I$107,MATCH(L950,'Datos - Catálogo TIMSS'!$A$5:$A$107,0)),"No")="Sí"),1,0)</f>
        <v>0</v>
      </c>
      <c r="Y950" s="36" cm="1">
        <f t="array" ref="Y950">IF(_xlfn.IFERROR(INDEX('Datos - Catálogo TIMSS'!$J$5:$J$107,MATCH(K950,'Datos - Catálogo TIMSS'!$A$5:$A$107,0)),"No")="Sí",1,0)</f>
        <v>0</v>
      </c>
      <c r="Z950" s="36" cm="1">
        <f t="array" ref="Z950">IF(_xlfn.IFERROR(INDEX('Datos - Catálogo TIMSS'!$J$5:$J$107,MATCH(L950,'Datos - Catálogo TIMSS'!$A$5:$A$107,0)),"No")="Sí",1,0)</f>
        <v>0</v>
      </c>
      <c r="AA950" t="s" s="35">
        <v>1058</v>
      </c>
      <c r="AB950" s="39"/>
      <c r="AC950" t="str" s="39">
        <v>Sin marco</v>
      </c>
      <c r="AD950" t="s" s="35">
        <v>1900</v>
      </c>
      <c r="AE950" t="str" s="39" cm="1">
        <f t="array" ref="AE950">IF(AD950="","",IF(LEFT(AD950,1)="1","C1",IF(LEFT(AD950,1)="2","C2",IF(LEFT(AD950,1)="3","C3",""))))</f>
        <v>C3</v>
      </c>
      <c r="AF950" t="s" s="35">
        <v>1602</v>
      </c>
      <c r="AG950" t="s" s="35">
        <v>1612</v>
      </c>
      <c r="AH950" t="s" s="35">
        <v>1605</v>
      </c>
      <c r="AI950" t="s" s="35">
        <v>1625</v>
      </c>
      <c r="AJ950" t="s" s="35">
        <v>1633</v>
      </c>
      <c r="AK950" s="39"/>
      <c r="AL950" s="39"/>
      <c r="AM950" s="39"/>
      <c r="AN950" s="39"/>
      <c r="AO950" s="39"/>
      <c r="AP950" s="39"/>
      <c r="AQ950" s="39"/>
      <c r="AR950" s="39"/>
      <c r="AS950" s="39"/>
      <c r="AT950" s="39"/>
      <c r="AU950" s="39"/>
      <c r="AV950" s="39"/>
      <c r="AW950" t="str" s="39" cm="1">
        <f t="array" ref="AW950">AF950&amp;"; "&amp;AG950&amp;"; "&amp;AH950&amp;"; "&amp;AI950&amp;"; "&amp;AJ950</f>
        <v>E1; E5; E2; I1; I5</v>
      </c>
    </row>
    <row r="951" ht="13.65" customHeight="1">
      <c r="A951" t="s" s="35">
        <v>6406</v>
      </c>
      <c r="B951" s="36">
        <v>10</v>
      </c>
      <c r="C951" t="s" s="35">
        <v>220</v>
      </c>
      <c r="D951" t="s" s="35">
        <v>6180</v>
      </c>
      <c r="E951" t="s" s="35">
        <v>6181</v>
      </c>
      <c r="F951" s="36">
        <v>60</v>
      </c>
      <c r="G951" t="s" s="35">
        <v>6384</v>
      </c>
      <c r="H951" t="s" s="35">
        <v>6407</v>
      </c>
      <c r="I951" t="s" s="120">
        <v>6408</v>
      </c>
      <c r="J951" t="s" s="35">
        <v>6185</v>
      </c>
      <c r="K951" t="s" s="35">
        <v>1058</v>
      </c>
      <c r="L951" s="39"/>
      <c r="M951" t="str" s="39">
        <v>Sin marco</v>
      </c>
      <c r="N951" t="str" s="39">
        <v>Sin marco</v>
      </c>
      <c r="O951" t="str" s="39" cm="1">
        <f t="array" ref="O951">IF(L951="","",_xlfn.IFERROR(INDEX('Datos - Catálogo TIMSS'!$C$5:$C$107,MATCH(L951,'Datos - Catálogo TIMSS'!$A$5:$A$107,0)),"?"))</f>
      </c>
      <c r="P951" t="s" s="35">
        <v>1058</v>
      </c>
      <c r="Q951" t="s" s="120">
        <v>6186</v>
      </c>
      <c r="R951" t="s" s="120">
        <v>6409</v>
      </c>
      <c r="S951" s="121" cm="1">
        <f t="array" ref="S951">_xlfn.IFERROR(ISNUMBER(SEARCH("Conocer",$R951))/(ISNUMBER(SEARCH("Conocer",$R951))+ISNUMBER(SEARCH("Aplicar",$R951))+ISNUMBER(SEARCH("Razonar",$R951))),0)</f>
        <v>0</v>
      </c>
      <c r="T951" s="121" cm="1">
        <f t="array" ref="T951">_xlfn.IFERROR(ISNUMBER(SEARCH("Aplicar",$R951))/(ISNUMBER(SEARCH("Conocer",$R951))+ISNUMBER(SEARCH("Aplicar",$R951))+ISNUMBER(SEARCH("Razonar",$R951))),0)</f>
        <v>0.5</v>
      </c>
      <c r="U951" s="121" cm="1">
        <f t="array" ref="U951">_xlfn.IFERROR(ISNUMBER(SEARCH("Razonar",$R951))/(ISNUMBER(SEARCH("Conocer",$R951))+ISNUMBER(SEARCH("Aplicar",$R951))+ISNUMBER(SEARCH("Razonar",$R951))),0)</f>
        <v>0.5</v>
      </c>
      <c r="V951" t="s" s="35">
        <v>1405</v>
      </c>
      <c r="W951" t="s" s="35">
        <v>6188</v>
      </c>
      <c r="X951" s="36" cm="1">
        <f t="array" ref="X951">IF(OR(_xlfn.IFERROR(INDEX('Datos - Catálogo TIMSS'!$I$5:$I$107,MATCH(K951,'Datos - Catálogo TIMSS'!$A$5:$A$107,0)),"No")="Sí",_xlfn.IFERROR(INDEX('Datos - Catálogo TIMSS'!$I$5:$I$107,MATCH(L951,'Datos - Catálogo TIMSS'!$A$5:$A$107,0)),"No")="Sí"),1,0)</f>
        <v>0</v>
      </c>
      <c r="Y951" s="36" cm="1">
        <f t="array" ref="Y951">IF(_xlfn.IFERROR(INDEX('Datos - Catálogo TIMSS'!$J$5:$J$107,MATCH(K951,'Datos - Catálogo TIMSS'!$A$5:$A$107,0)),"No")="Sí",1,0)</f>
        <v>0</v>
      </c>
      <c r="Z951" s="36" cm="1">
        <f t="array" ref="Z951">IF(_xlfn.IFERROR(INDEX('Datos - Catálogo TIMSS'!$J$5:$J$107,MATCH(L951,'Datos - Catálogo TIMSS'!$A$5:$A$107,0)),"No")="Sí",1,0)</f>
        <v>0</v>
      </c>
      <c r="AA951" t="s" s="35">
        <v>1058</v>
      </c>
      <c r="AB951" s="39"/>
      <c r="AC951" t="str" s="39">
        <v>Sin marco</v>
      </c>
      <c r="AD951" t="s" s="35">
        <v>1859</v>
      </c>
      <c r="AE951" t="str" s="39" cm="1">
        <f t="array" ref="AE951">IF(AD951="","",IF(LEFT(AD951,1)="1","C1",IF(LEFT(AD951,1)="2","C2",IF(LEFT(AD951,1)="3","C3",""))))</f>
        <v>C1</v>
      </c>
      <c r="AF951" t="s" s="35">
        <v>1602</v>
      </c>
      <c r="AG951" t="s" s="35">
        <v>1607</v>
      </c>
      <c r="AH951" t="s" s="35">
        <v>1602</v>
      </c>
      <c r="AI951" t="s" s="35">
        <v>1623</v>
      </c>
      <c r="AJ951" t="s" s="35">
        <v>1615</v>
      </c>
      <c r="AK951" s="39"/>
      <c r="AL951" s="39"/>
      <c r="AM951" s="39"/>
      <c r="AN951" s="39"/>
      <c r="AO951" s="39"/>
      <c r="AP951" s="39"/>
      <c r="AQ951" s="39"/>
      <c r="AR951" s="39"/>
      <c r="AS951" s="39"/>
      <c r="AT951" s="39"/>
      <c r="AU951" s="39"/>
      <c r="AV951" s="39"/>
      <c r="AW951" t="str" s="39" cm="1">
        <f t="array" ref="AW951">AF951&amp;"; "&amp;AG951&amp;"; "&amp;AH951&amp;"; "&amp;AI951&amp;"; "&amp;AJ951</f>
        <v>E1; E3; E1; D4; E6</v>
      </c>
    </row>
    <row r="952" ht="13.65" customHeight="1">
      <c r="A952" t="s" s="35">
        <v>6410</v>
      </c>
      <c r="B952" s="36">
        <v>10</v>
      </c>
      <c r="C952" t="s" s="35">
        <v>220</v>
      </c>
      <c r="D952" t="s" s="35">
        <v>6180</v>
      </c>
      <c r="E952" t="s" s="35">
        <v>6181</v>
      </c>
      <c r="F952" s="36">
        <v>61</v>
      </c>
      <c r="G952" t="s" s="35">
        <v>6384</v>
      </c>
      <c r="H952" t="s" s="35">
        <v>6411</v>
      </c>
      <c r="I952" t="s" s="120">
        <v>6412</v>
      </c>
      <c r="J952" t="s" s="35">
        <v>6185</v>
      </c>
      <c r="K952" t="s" s="35">
        <v>1058</v>
      </c>
      <c r="L952" s="39"/>
      <c r="M952" t="str" s="39">
        <v>Sin marco</v>
      </c>
      <c r="N952" t="str" s="39">
        <v>Sin marco</v>
      </c>
      <c r="O952" t="str" s="39" cm="1">
        <f t="array" ref="O952">IF(L952="","",_xlfn.IFERROR(INDEX('Datos - Catálogo TIMSS'!$C$5:$C$107,MATCH(L952,'Datos - Catálogo TIMSS'!$A$5:$A$107,0)),"?"))</f>
      </c>
      <c r="P952" t="s" s="35">
        <v>1058</v>
      </c>
      <c r="Q952" t="s" s="120">
        <v>6186</v>
      </c>
      <c r="R952" t="s" s="120">
        <v>6413</v>
      </c>
      <c r="S952" s="121" cm="1">
        <f t="array" ref="S952">_xlfn.IFERROR(ISNUMBER(SEARCH("Conocer",$R952))/(ISNUMBER(SEARCH("Conocer",$R952))+ISNUMBER(SEARCH("Aplicar",$R952))+ISNUMBER(SEARCH("Razonar",$R952))),0)</f>
        <v>0</v>
      </c>
      <c r="T952" s="121" cm="1">
        <f t="array" ref="T952">_xlfn.IFERROR(ISNUMBER(SEARCH("Aplicar",$R952))/(ISNUMBER(SEARCH("Conocer",$R952))+ISNUMBER(SEARCH("Aplicar",$R952))+ISNUMBER(SEARCH("Razonar",$R952))),0)</f>
        <v>0.5</v>
      </c>
      <c r="U952" s="121" cm="1">
        <f t="array" ref="U952">_xlfn.IFERROR(ISNUMBER(SEARCH("Razonar",$R952))/(ISNUMBER(SEARCH("Conocer",$R952))+ISNUMBER(SEARCH("Aplicar",$R952))+ISNUMBER(SEARCH("Razonar",$R952))),0)</f>
        <v>0.5</v>
      </c>
      <c r="V952" t="s" s="35">
        <v>1405</v>
      </c>
      <c r="W952" t="s" s="35">
        <v>6188</v>
      </c>
      <c r="X952" s="36" cm="1">
        <f t="array" ref="X952">IF(OR(_xlfn.IFERROR(INDEX('Datos - Catálogo TIMSS'!$I$5:$I$107,MATCH(K952,'Datos - Catálogo TIMSS'!$A$5:$A$107,0)),"No")="Sí",_xlfn.IFERROR(INDEX('Datos - Catálogo TIMSS'!$I$5:$I$107,MATCH(L952,'Datos - Catálogo TIMSS'!$A$5:$A$107,0)),"No")="Sí"),1,0)</f>
        <v>0</v>
      </c>
      <c r="Y952" s="36" cm="1">
        <f t="array" ref="Y952">IF(_xlfn.IFERROR(INDEX('Datos - Catálogo TIMSS'!$J$5:$J$107,MATCH(K952,'Datos - Catálogo TIMSS'!$A$5:$A$107,0)),"No")="Sí",1,0)</f>
        <v>0</v>
      </c>
      <c r="Z952" s="36" cm="1">
        <f t="array" ref="Z952">IF(_xlfn.IFERROR(INDEX('Datos - Catálogo TIMSS'!$J$5:$J$107,MATCH(L952,'Datos - Catálogo TIMSS'!$A$5:$A$107,0)),"No")="Sí",1,0)</f>
        <v>0</v>
      </c>
      <c r="AA952" t="s" s="35">
        <v>1058</v>
      </c>
      <c r="AB952" s="39"/>
      <c r="AC952" t="str" s="39">
        <v>Sin marco</v>
      </c>
      <c r="AD952" t="s" s="35">
        <v>1834</v>
      </c>
      <c r="AE952" t="str" s="39" cm="1">
        <f t="array" ref="AE952">IF(AD952="","",IF(LEFT(AD952,1)="1","C1",IF(LEFT(AD952,1)="2","C2",IF(LEFT(AD952,1)="3","C3",""))))</f>
        <v>C2</v>
      </c>
      <c r="AF952" t="s" s="35">
        <v>1615</v>
      </c>
      <c r="AG952" t="s" s="35">
        <v>1612</v>
      </c>
      <c r="AH952" t="s" s="35">
        <v>1609</v>
      </c>
      <c r="AI952" t="s" s="35">
        <v>1623</v>
      </c>
      <c r="AJ952" t="s" s="35">
        <v>1607</v>
      </c>
      <c r="AK952" s="39"/>
      <c r="AL952" s="39"/>
      <c r="AM952" s="39"/>
      <c r="AN952" s="39"/>
      <c r="AO952" s="39"/>
      <c r="AP952" s="39"/>
      <c r="AQ952" s="39"/>
      <c r="AR952" s="39"/>
      <c r="AS952" s="39"/>
      <c r="AT952" s="39"/>
      <c r="AU952" s="39"/>
      <c r="AV952" s="39"/>
      <c r="AW952" t="str" s="39" cm="1">
        <f t="array" ref="AW952">AF952&amp;"; "&amp;AG952&amp;"; "&amp;AH952&amp;"; "&amp;AI952&amp;"; "&amp;AJ952</f>
        <v>E6; E5; E4; D4; E3</v>
      </c>
    </row>
    <row r="953" ht="13.65" customHeight="1">
      <c r="A953" t="s" s="35">
        <v>6414</v>
      </c>
      <c r="B953" s="36">
        <v>10</v>
      </c>
      <c r="C953" t="s" s="35">
        <v>220</v>
      </c>
      <c r="D953" t="s" s="35">
        <v>6180</v>
      </c>
      <c r="E953" t="s" s="35">
        <v>6181</v>
      </c>
      <c r="F953" s="36">
        <v>62</v>
      </c>
      <c r="G953" t="s" s="35">
        <v>6415</v>
      </c>
      <c r="H953" t="s" s="35">
        <v>6416</v>
      </c>
      <c r="I953" t="s" s="120">
        <v>6417</v>
      </c>
      <c r="J953" t="s" s="35">
        <v>6185</v>
      </c>
      <c r="K953" t="s" s="35">
        <v>1058</v>
      </c>
      <c r="L953" s="39"/>
      <c r="M953" t="str" s="39">
        <v>Sin marco</v>
      </c>
      <c r="N953" t="str" s="39">
        <v>Sin marco</v>
      </c>
      <c r="O953" t="str" s="39" cm="1">
        <f t="array" ref="O953">IF(L953="","",_xlfn.IFERROR(INDEX('Datos - Catálogo TIMSS'!$C$5:$C$107,MATCH(L953,'Datos - Catálogo TIMSS'!$A$5:$A$107,0)),"?"))</f>
      </c>
      <c r="P953" t="s" s="35">
        <v>1058</v>
      </c>
      <c r="Q953" t="s" s="120">
        <v>6186</v>
      </c>
      <c r="R953" t="s" s="120">
        <v>6418</v>
      </c>
      <c r="S953" s="121" cm="1">
        <f t="array" ref="S953">_xlfn.IFERROR(ISNUMBER(SEARCH("Conocer",$R953))/(ISNUMBER(SEARCH("Conocer",$R953))+ISNUMBER(SEARCH("Aplicar",$R953))+ISNUMBER(SEARCH("Razonar",$R953))),0)</f>
        <v>0.5</v>
      </c>
      <c r="T953" s="121" cm="1">
        <f t="array" ref="T953">_xlfn.IFERROR(ISNUMBER(SEARCH("Aplicar",$R953))/(ISNUMBER(SEARCH("Conocer",$R953))+ISNUMBER(SEARCH("Aplicar",$R953))+ISNUMBER(SEARCH("Razonar",$R953))),0)</f>
        <v>0</v>
      </c>
      <c r="U953" s="121" cm="1">
        <f t="array" ref="U953">_xlfn.IFERROR(ISNUMBER(SEARCH("Razonar",$R953))/(ISNUMBER(SEARCH("Conocer",$R953))+ISNUMBER(SEARCH("Aplicar",$R953))+ISNUMBER(SEARCH("Razonar",$R953))),0)</f>
        <v>0.5</v>
      </c>
      <c r="V953" t="s" s="35">
        <v>1405</v>
      </c>
      <c r="W953" t="s" s="35">
        <v>6188</v>
      </c>
      <c r="X953" s="36" cm="1">
        <f t="array" ref="X953">IF(OR(_xlfn.IFERROR(INDEX('Datos - Catálogo TIMSS'!$I$5:$I$107,MATCH(K953,'Datos - Catálogo TIMSS'!$A$5:$A$107,0)),"No")="Sí",_xlfn.IFERROR(INDEX('Datos - Catálogo TIMSS'!$I$5:$I$107,MATCH(L953,'Datos - Catálogo TIMSS'!$A$5:$A$107,0)),"No")="Sí"),1,0)</f>
        <v>0</v>
      </c>
      <c r="Y953" s="36" cm="1">
        <f t="array" ref="Y953">IF(_xlfn.IFERROR(INDEX('Datos - Catálogo TIMSS'!$J$5:$J$107,MATCH(K953,'Datos - Catálogo TIMSS'!$A$5:$A$107,0)),"No")="Sí",1,0)</f>
        <v>0</v>
      </c>
      <c r="Z953" s="36" cm="1">
        <f t="array" ref="Z953">IF(_xlfn.IFERROR(INDEX('Datos - Catálogo TIMSS'!$J$5:$J$107,MATCH(L953,'Datos - Catálogo TIMSS'!$A$5:$A$107,0)),"No")="Sí",1,0)</f>
        <v>0</v>
      </c>
      <c r="AA953" t="s" s="35">
        <v>1058</v>
      </c>
      <c r="AB953" s="39"/>
      <c r="AC953" t="str" s="39">
        <v>Sin marco</v>
      </c>
      <c r="AD953" t="s" s="35">
        <v>1859</v>
      </c>
      <c r="AE953" t="str" s="39" cm="1">
        <f t="array" ref="AE953">IF(AD953="","",IF(LEFT(AD953,1)="1","C1",IF(LEFT(AD953,1)="2","C2",IF(LEFT(AD953,1)="3","C3",""))))</f>
        <v>C1</v>
      </c>
      <c r="AF953" t="s" s="35">
        <v>1602</v>
      </c>
      <c r="AG953" t="s" s="35">
        <v>1607</v>
      </c>
      <c r="AH953" t="s" s="35">
        <v>1609</v>
      </c>
      <c r="AI953" t="s" s="35">
        <v>1623</v>
      </c>
      <c r="AJ953" t="s" s="35">
        <v>1607</v>
      </c>
      <c r="AK953" s="39"/>
      <c r="AL953" s="39"/>
      <c r="AM953" s="39"/>
      <c r="AN953" s="39"/>
      <c r="AO953" s="39"/>
      <c r="AP953" s="39"/>
      <c r="AQ953" s="39"/>
      <c r="AR953" s="39"/>
      <c r="AS953" s="39"/>
      <c r="AT953" s="39"/>
      <c r="AU953" s="39"/>
      <c r="AV953" s="39"/>
      <c r="AW953" t="str" s="39" cm="1">
        <f t="array" ref="AW953">AF953&amp;"; "&amp;AG953&amp;"; "&amp;AH953&amp;"; "&amp;AI953&amp;"; "&amp;AJ953</f>
        <v>E1; E3; E4; D4; E3</v>
      </c>
    </row>
    <row r="954" ht="13.65" customHeight="1">
      <c r="A954" t="s" s="35">
        <v>6419</v>
      </c>
      <c r="B954" s="36">
        <v>10</v>
      </c>
      <c r="C954" t="s" s="35">
        <v>220</v>
      </c>
      <c r="D954" t="s" s="35">
        <v>6180</v>
      </c>
      <c r="E954" t="s" s="35">
        <v>6181</v>
      </c>
      <c r="F954" s="36">
        <v>63</v>
      </c>
      <c r="G954" t="s" s="35">
        <v>6415</v>
      </c>
      <c r="H954" t="s" s="35">
        <v>6420</v>
      </c>
      <c r="I954" t="s" s="120">
        <v>6421</v>
      </c>
      <c r="J954" t="s" s="35">
        <v>6185</v>
      </c>
      <c r="K954" t="s" s="35">
        <v>1058</v>
      </c>
      <c r="L954" s="39"/>
      <c r="M954" t="str" s="39">
        <v>Sin marco</v>
      </c>
      <c r="N954" t="str" s="39">
        <v>Sin marco</v>
      </c>
      <c r="O954" t="str" s="39" cm="1">
        <f t="array" ref="O954">IF(L954="","",_xlfn.IFERROR(INDEX('Datos - Catálogo TIMSS'!$C$5:$C$107,MATCH(L954,'Datos - Catálogo TIMSS'!$A$5:$A$107,0)),"?"))</f>
      </c>
      <c r="P954" t="s" s="35">
        <v>1058</v>
      </c>
      <c r="Q954" t="s" s="120">
        <v>6186</v>
      </c>
      <c r="R954" t="s" s="120">
        <v>6422</v>
      </c>
      <c r="S954" s="121" cm="1">
        <f t="array" ref="S954">_xlfn.IFERROR(ISNUMBER(SEARCH("Conocer",$R954))/(ISNUMBER(SEARCH("Conocer",$R954))+ISNUMBER(SEARCH("Aplicar",$R954))+ISNUMBER(SEARCH("Razonar",$R954))),0)</f>
        <v>0</v>
      </c>
      <c r="T954" s="121" cm="1">
        <f t="array" ref="T954">_xlfn.IFERROR(ISNUMBER(SEARCH("Aplicar",$R954))/(ISNUMBER(SEARCH("Conocer",$R954))+ISNUMBER(SEARCH("Aplicar",$R954))+ISNUMBER(SEARCH("Razonar",$R954))),0)</f>
        <v>0.5</v>
      </c>
      <c r="U954" s="121" cm="1">
        <f t="array" ref="U954">_xlfn.IFERROR(ISNUMBER(SEARCH("Razonar",$R954))/(ISNUMBER(SEARCH("Conocer",$R954))+ISNUMBER(SEARCH("Aplicar",$R954))+ISNUMBER(SEARCH("Razonar",$R954))),0)</f>
        <v>0.5</v>
      </c>
      <c r="V954" t="s" s="35">
        <v>1405</v>
      </c>
      <c r="W954" t="s" s="35">
        <v>6188</v>
      </c>
      <c r="X954" s="36" cm="1">
        <f t="array" ref="X954">IF(OR(_xlfn.IFERROR(INDEX('Datos - Catálogo TIMSS'!$I$5:$I$107,MATCH(K954,'Datos - Catálogo TIMSS'!$A$5:$A$107,0)),"No")="Sí",_xlfn.IFERROR(INDEX('Datos - Catálogo TIMSS'!$I$5:$I$107,MATCH(L954,'Datos - Catálogo TIMSS'!$A$5:$A$107,0)),"No")="Sí"),1,0)</f>
        <v>0</v>
      </c>
      <c r="Y954" s="36" cm="1">
        <f t="array" ref="Y954">IF(_xlfn.IFERROR(INDEX('Datos - Catálogo TIMSS'!$J$5:$J$107,MATCH(K954,'Datos - Catálogo TIMSS'!$A$5:$A$107,0)),"No")="Sí",1,0)</f>
        <v>0</v>
      </c>
      <c r="Z954" s="36" cm="1">
        <f t="array" ref="Z954">IF(_xlfn.IFERROR(INDEX('Datos - Catálogo TIMSS'!$J$5:$J$107,MATCH(L954,'Datos - Catálogo TIMSS'!$A$5:$A$107,0)),"No")="Sí",1,0)</f>
        <v>0</v>
      </c>
      <c r="AA954" t="s" s="35">
        <v>1058</v>
      </c>
      <c r="AB954" s="39"/>
      <c r="AC954" t="str" s="39">
        <v>Sin marco</v>
      </c>
      <c r="AD954" t="s" s="35">
        <v>1859</v>
      </c>
      <c r="AE954" t="str" s="39" cm="1">
        <f t="array" ref="AE954">IF(AD954="","",IF(LEFT(AD954,1)="1","C1",IF(LEFT(AD954,1)="2","C2",IF(LEFT(AD954,1)="3","C3",""))))</f>
        <v>C1</v>
      </c>
      <c r="AF954" t="s" s="35">
        <v>1602</v>
      </c>
      <c r="AG954" t="s" s="35">
        <v>1617</v>
      </c>
      <c r="AH954" t="s" s="35">
        <v>1609</v>
      </c>
      <c r="AI954" t="s" s="35">
        <v>1629</v>
      </c>
      <c r="AJ954" t="s" s="35">
        <v>1607</v>
      </c>
      <c r="AK954" s="39"/>
      <c r="AL954" s="39"/>
      <c r="AM954" s="39"/>
      <c r="AN954" s="39"/>
      <c r="AO954" s="39"/>
      <c r="AP954" s="39"/>
      <c r="AQ954" s="39"/>
      <c r="AR954" s="39"/>
      <c r="AS954" s="39"/>
      <c r="AT954" s="39"/>
      <c r="AU954" s="39"/>
      <c r="AV954" s="39"/>
      <c r="AW954" t="str" s="39" cm="1">
        <f t="array" ref="AW954">AF954&amp;"; "&amp;AG954&amp;"; "&amp;AH954&amp;"; "&amp;AI954&amp;"; "&amp;AJ954</f>
        <v>E1; D1; E4; I3; E3</v>
      </c>
    </row>
    <row r="955" ht="13.65" customHeight="1">
      <c r="A955" t="s" s="35">
        <v>6423</v>
      </c>
      <c r="B955" s="36">
        <v>10</v>
      </c>
      <c r="C955" t="s" s="35">
        <v>220</v>
      </c>
      <c r="D955" t="s" s="35">
        <v>6180</v>
      </c>
      <c r="E955" t="s" s="35">
        <v>6181</v>
      </c>
      <c r="F955" s="36">
        <v>64</v>
      </c>
      <c r="G955" t="s" s="35">
        <v>6415</v>
      </c>
      <c r="H955" t="s" s="35">
        <v>6424</v>
      </c>
      <c r="I955" t="s" s="120">
        <v>6425</v>
      </c>
      <c r="J955" t="s" s="35">
        <v>6185</v>
      </c>
      <c r="K955" t="s" s="35">
        <v>1058</v>
      </c>
      <c r="L955" s="39"/>
      <c r="M955" t="str" s="39">
        <v>Sin marco</v>
      </c>
      <c r="N955" t="str" s="39">
        <v>Sin marco</v>
      </c>
      <c r="O955" t="str" s="39" cm="1">
        <f t="array" ref="O955">IF(L955="","",_xlfn.IFERROR(INDEX('Datos - Catálogo TIMSS'!$C$5:$C$107,MATCH(L955,'Datos - Catálogo TIMSS'!$A$5:$A$107,0)),"?"))</f>
      </c>
      <c r="P955" t="s" s="35">
        <v>1058</v>
      </c>
      <c r="Q955" t="s" s="120">
        <v>6186</v>
      </c>
      <c r="R955" t="s" s="120">
        <v>6426</v>
      </c>
      <c r="S955" s="121" cm="1">
        <f t="array" ref="S955">_xlfn.IFERROR(ISNUMBER(SEARCH("Conocer",$R955))/(ISNUMBER(SEARCH("Conocer",$R955))+ISNUMBER(SEARCH("Aplicar",$R955))+ISNUMBER(SEARCH("Razonar",$R955))),0)</f>
        <v>0</v>
      </c>
      <c r="T955" s="121" cm="1">
        <f t="array" ref="T955">_xlfn.IFERROR(ISNUMBER(SEARCH("Aplicar",$R955))/(ISNUMBER(SEARCH("Conocer",$R955))+ISNUMBER(SEARCH("Aplicar",$R955))+ISNUMBER(SEARCH("Razonar",$R955))),0)</f>
        <v>0.5</v>
      </c>
      <c r="U955" s="121" cm="1">
        <f t="array" ref="U955">_xlfn.IFERROR(ISNUMBER(SEARCH("Razonar",$R955))/(ISNUMBER(SEARCH("Conocer",$R955))+ISNUMBER(SEARCH("Aplicar",$R955))+ISNUMBER(SEARCH("Razonar",$R955))),0)</f>
        <v>0.5</v>
      </c>
      <c r="V955" t="s" s="35">
        <v>1405</v>
      </c>
      <c r="W955" t="s" s="35">
        <v>6188</v>
      </c>
      <c r="X955" s="36" cm="1">
        <f t="array" ref="X955">IF(OR(_xlfn.IFERROR(INDEX('Datos - Catálogo TIMSS'!$I$5:$I$107,MATCH(K955,'Datos - Catálogo TIMSS'!$A$5:$A$107,0)),"No")="Sí",_xlfn.IFERROR(INDEX('Datos - Catálogo TIMSS'!$I$5:$I$107,MATCH(L955,'Datos - Catálogo TIMSS'!$A$5:$A$107,0)),"No")="Sí"),1,0)</f>
        <v>0</v>
      </c>
      <c r="Y955" s="36" cm="1">
        <f t="array" ref="Y955">IF(_xlfn.IFERROR(INDEX('Datos - Catálogo TIMSS'!$J$5:$J$107,MATCH(K955,'Datos - Catálogo TIMSS'!$A$5:$A$107,0)),"No")="Sí",1,0)</f>
        <v>0</v>
      </c>
      <c r="Z955" s="36" cm="1">
        <f t="array" ref="Z955">IF(_xlfn.IFERROR(INDEX('Datos - Catálogo TIMSS'!$J$5:$J$107,MATCH(L955,'Datos - Catálogo TIMSS'!$A$5:$A$107,0)),"No")="Sí",1,0)</f>
        <v>0</v>
      </c>
      <c r="AA955" t="s" s="35">
        <v>1058</v>
      </c>
      <c r="AB955" s="39"/>
      <c r="AC955" t="str" s="39">
        <v>Sin marco</v>
      </c>
      <c r="AD955" t="s" s="35">
        <v>1834</v>
      </c>
      <c r="AE955" t="str" s="39" cm="1">
        <f t="array" ref="AE955">IF(AD955="","",IF(LEFT(AD955,1)="1","C1",IF(LEFT(AD955,1)="2","C2",IF(LEFT(AD955,1)="3","C3",""))))</f>
        <v>C2</v>
      </c>
      <c r="AF955" t="s" s="35">
        <v>1615</v>
      </c>
      <c r="AG955" t="s" s="35">
        <v>1612</v>
      </c>
      <c r="AH955" t="s" s="35">
        <v>1602</v>
      </c>
      <c r="AI955" t="s" s="35">
        <v>1619</v>
      </c>
      <c r="AJ955" t="s" s="35">
        <v>1621</v>
      </c>
      <c r="AK955" s="39"/>
      <c r="AL955" s="39"/>
      <c r="AM955" s="39"/>
      <c r="AN955" s="39"/>
      <c r="AO955" s="39"/>
      <c r="AP955" s="39"/>
      <c r="AQ955" s="39"/>
      <c r="AR955" s="39"/>
      <c r="AS955" s="39"/>
      <c r="AT955" s="39"/>
      <c r="AU955" s="39"/>
      <c r="AV955" s="39"/>
      <c r="AW955" t="str" s="39" cm="1">
        <f t="array" ref="AW955">AF955&amp;"; "&amp;AG955&amp;"; "&amp;AH955&amp;"; "&amp;AI955&amp;"; "&amp;AJ955</f>
        <v>E6; E5; E1; D2; D3</v>
      </c>
    </row>
    <row r="956" ht="13.65" customHeight="1">
      <c r="A956" t="s" s="35">
        <v>6428</v>
      </c>
      <c r="B956" s="36">
        <v>10</v>
      </c>
      <c r="C956" t="s" s="35">
        <v>220</v>
      </c>
      <c r="D956" t="s" s="35">
        <v>6180</v>
      </c>
      <c r="E956" t="s" s="35">
        <v>6181</v>
      </c>
      <c r="F956" s="36">
        <v>65</v>
      </c>
      <c r="G956" t="s" s="35">
        <v>6415</v>
      </c>
      <c r="H956" t="s" s="35">
        <v>6429</v>
      </c>
      <c r="I956" t="s" s="120">
        <v>6430</v>
      </c>
      <c r="J956" t="s" s="35">
        <v>6185</v>
      </c>
      <c r="K956" t="s" s="35">
        <v>1058</v>
      </c>
      <c r="L956" s="39"/>
      <c r="M956" t="str" s="39">
        <v>Sin marco</v>
      </c>
      <c r="N956" t="str" s="39">
        <v>Sin marco</v>
      </c>
      <c r="O956" t="str" s="39" cm="1">
        <f t="array" ref="O956">IF(L956="","",_xlfn.IFERROR(INDEX('Datos - Catálogo TIMSS'!$C$5:$C$107,MATCH(L956,'Datos - Catálogo TIMSS'!$A$5:$A$107,0)),"?"))</f>
      </c>
      <c r="P956" t="s" s="35">
        <v>1058</v>
      </c>
      <c r="Q956" t="s" s="120">
        <v>6186</v>
      </c>
      <c r="R956" t="s" s="120">
        <v>6431</v>
      </c>
      <c r="S956" s="121" cm="1">
        <f t="array" ref="S956">_xlfn.IFERROR(ISNUMBER(SEARCH("Conocer",$R956))/(ISNUMBER(SEARCH("Conocer",$R956))+ISNUMBER(SEARCH("Aplicar",$R956))+ISNUMBER(SEARCH("Razonar",$R956))),0)</f>
        <v>0</v>
      </c>
      <c r="T956" s="121" cm="1">
        <f t="array" ref="T956">_xlfn.IFERROR(ISNUMBER(SEARCH("Aplicar",$R956))/(ISNUMBER(SEARCH("Conocer",$R956))+ISNUMBER(SEARCH("Aplicar",$R956))+ISNUMBER(SEARCH("Razonar",$R956))),0)</f>
        <v>0.5</v>
      </c>
      <c r="U956" s="121" cm="1">
        <f t="array" ref="U956">_xlfn.IFERROR(ISNUMBER(SEARCH("Razonar",$R956))/(ISNUMBER(SEARCH("Conocer",$R956))+ISNUMBER(SEARCH("Aplicar",$R956))+ISNUMBER(SEARCH("Razonar",$R956))),0)</f>
        <v>0.5</v>
      </c>
      <c r="V956" t="s" s="35">
        <v>1405</v>
      </c>
      <c r="W956" t="s" s="35">
        <v>6188</v>
      </c>
      <c r="X956" s="36" cm="1">
        <f t="array" ref="X956">IF(OR(_xlfn.IFERROR(INDEX('Datos - Catálogo TIMSS'!$I$5:$I$107,MATCH(K956,'Datos - Catálogo TIMSS'!$A$5:$A$107,0)),"No")="Sí",_xlfn.IFERROR(INDEX('Datos - Catálogo TIMSS'!$I$5:$I$107,MATCH(L956,'Datos - Catálogo TIMSS'!$A$5:$A$107,0)),"No")="Sí"),1,0)</f>
        <v>0</v>
      </c>
      <c r="Y956" s="36" cm="1">
        <f t="array" ref="Y956">IF(_xlfn.IFERROR(INDEX('Datos - Catálogo TIMSS'!$J$5:$J$107,MATCH(K956,'Datos - Catálogo TIMSS'!$A$5:$A$107,0)),"No")="Sí",1,0)</f>
        <v>0</v>
      </c>
      <c r="Z956" s="36" cm="1">
        <f t="array" ref="Z956">IF(_xlfn.IFERROR(INDEX('Datos - Catálogo TIMSS'!$J$5:$J$107,MATCH(L956,'Datos - Catálogo TIMSS'!$A$5:$A$107,0)),"No")="Sí",1,0)</f>
        <v>0</v>
      </c>
      <c r="AA956" t="s" s="35">
        <v>1058</v>
      </c>
      <c r="AB956" s="39"/>
      <c r="AC956" t="str" s="39">
        <v>Sin marco</v>
      </c>
      <c r="AD956" t="s" s="35">
        <v>1859</v>
      </c>
      <c r="AE956" t="str" s="39" cm="1">
        <f t="array" ref="AE956">IF(AD956="","",IF(LEFT(AD956,1)="1","C1",IF(LEFT(AD956,1)="2","C2",IF(LEFT(AD956,1)="3","C3",""))))</f>
        <v>C1</v>
      </c>
      <c r="AF956" t="s" s="35">
        <v>1602</v>
      </c>
      <c r="AG956" t="s" s="35">
        <v>1607</v>
      </c>
      <c r="AH956" t="s" s="35">
        <v>1605</v>
      </c>
      <c r="AI956" t="s" s="35">
        <v>1623</v>
      </c>
      <c r="AJ956" t="s" s="35">
        <v>1615</v>
      </c>
      <c r="AK956" s="39"/>
      <c r="AL956" s="39"/>
      <c r="AM956" s="39"/>
      <c r="AN956" s="39"/>
      <c r="AO956" s="39"/>
      <c r="AP956" s="39"/>
      <c r="AQ956" s="39"/>
      <c r="AR956" s="39"/>
      <c r="AS956" s="39"/>
      <c r="AT956" s="39"/>
      <c r="AU956" s="39"/>
      <c r="AV956" s="39"/>
      <c r="AW956" t="str" s="39" cm="1">
        <f t="array" ref="AW956">AF956&amp;"; "&amp;AG956&amp;"; "&amp;AH956&amp;"; "&amp;AI956&amp;"; "&amp;AJ956</f>
        <v>E1; E3; E2; D4; E6</v>
      </c>
    </row>
    <row r="957" ht="13.65" customHeight="1">
      <c r="A957" t="s" s="35">
        <v>6432</v>
      </c>
      <c r="B957" s="36">
        <v>10</v>
      </c>
      <c r="C957" t="s" s="35">
        <v>220</v>
      </c>
      <c r="D957" t="s" s="35">
        <v>6180</v>
      </c>
      <c r="E957" t="s" s="35">
        <v>6181</v>
      </c>
      <c r="F957" s="36">
        <v>66</v>
      </c>
      <c r="G957" t="s" s="35">
        <v>6415</v>
      </c>
      <c r="H957" t="s" s="35">
        <v>6433</v>
      </c>
      <c r="I957" t="s" s="120">
        <v>6434</v>
      </c>
      <c r="J957" t="s" s="35">
        <v>6185</v>
      </c>
      <c r="K957" t="s" s="35">
        <v>1058</v>
      </c>
      <c r="L957" s="39"/>
      <c r="M957" t="str" s="39">
        <v>Sin marco</v>
      </c>
      <c r="N957" t="str" s="39">
        <v>Sin marco</v>
      </c>
      <c r="O957" t="str" s="39" cm="1">
        <f t="array" ref="O957">IF(L957="","",_xlfn.IFERROR(INDEX('Datos - Catálogo TIMSS'!$C$5:$C$107,MATCH(L957,'Datos - Catálogo TIMSS'!$A$5:$A$107,0)),"?"))</f>
      </c>
      <c r="P957" t="s" s="35">
        <v>1058</v>
      </c>
      <c r="Q957" t="s" s="120">
        <v>6186</v>
      </c>
      <c r="R957" t="s" s="120">
        <v>6435</v>
      </c>
      <c r="S957" s="121" cm="1">
        <f t="array" ref="S957">_xlfn.IFERROR(ISNUMBER(SEARCH("Conocer",$R957))/(ISNUMBER(SEARCH("Conocer",$R957))+ISNUMBER(SEARCH("Aplicar",$R957))+ISNUMBER(SEARCH("Razonar",$R957))),0)</f>
        <v>0</v>
      </c>
      <c r="T957" s="121" cm="1">
        <f t="array" ref="T957">_xlfn.IFERROR(ISNUMBER(SEARCH("Aplicar",$R957))/(ISNUMBER(SEARCH("Conocer",$R957))+ISNUMBER(SEARCH("Aplicar",$R957))+ISNUMBER(SEARCH("Razonar",$R957))),0)</f>
        <v>0.5</v>
      </c>
      <c r="U957" s="121" cm="1">
        <f t="array" ref="U957">_xlfn.IFERROR(ISNUMBER(SEARCH("Razonar",$R957))/(ISNUMBER(SEARCH("Conocer",$R957))+ISNUMBER(SEARCH("Aplicar",$R957))+ISNUMBER(SEARCH("Razonar",$R957))),0)</f>
        <v>0.5</v>
      </c>
      <c r="V957" t="s" s="35">
        <v>1405</v>
      </c>
      <c r="W957" t="s" s="35">
        <v>6188</v>
      </c>
      <c r="X957" s="36" cm="1">
        <f t="array" ref="X957">IF(OR(_xlfn.IFERROR(INDEX('Datos - Catálogo TIMSS'!$I$5:$I$107,MATCH(K957,'Datos - Catálogo TIMSS'!$A$5:$A$107,0)),"No")="Sí",_xlfn.IFERROR(INDEX('Datos - Catálogo TIMSS'!$I$5:$I$107,MATCH(L957,'Datos - Catálogo TIMSS'!$A$5:$A$107,0)),"No")="Sí"),1,0)</f>
        <v>0</v>
      </c>
      <c r="Y957" s="36" cm="1">
        <f t="array" ref="Y957">IF(_xlfn.IFERROR(INDEX('Datos - Catálogo TIMSS'!$J$5:$J$107,MATCH(K957,'Datos - Catálogo TIMSS'!$A$5:$A$107,0)),"No")="Sí",1,0)</f>
        <v>0</v>
      </c>
      <c r="Z957" s="36" cm="1">
        <f t="array" ref="Z957">IF(_xlfn.IFERROR(INDEX('Datos - Catálogo TIMSS'!$J$5:$J$107,MATCH(L957,'Datos - Catálogo TIMSS'!$A$5:$A$107,0)),"No")="Sí",1,0)</f>
        <v>0</v>
      </c>
      <c r="AA957" t="s" s="35">
        <v>1058</v>
      </c>
      <c r="AB957" s="39"/>
      <c r="AC957" t="str" s="39">
        <v>Sin marco</v>
      </c>
      <c r="AD957" t="s" s="35">
        <v>1859</v>
      </c>
      <c r="AE957" t="str" s="39" cm="1">
        <f t="array" ref="AE957">IF(AD957="","",IF(LEFT(AD957,1)="1","C1",IF(LEFT(AD957,1)="2","C2",IF(LEFT(AD957,1)="3","C3",""))))</f>
        <v>C1</v>
      </c>
      <c r="AF957" t="s" s="35">
        <v>1615</v>
      </c>
      <c r="AG957" t="s" s="35">
        <v>1617</v>
      </c>
      <c r="AH957" t="s" s="35">
        <v>1605</v>
      </c>
      <c r="AI957" t="s" s="35">
        <v>1629</v>
      </c>
      <c r="AJ957" t="s" s="35">
        <v>1607</v>
      </c>
      <c r="AK957" s="39"/>
      <c r="AL957" s="39"/>
      <c r="AM957" s="39"/>
      <c r="AN957" s="39"/>
      <c r="AO957" s="39"/>
      <c r="AP957" s="39"/>
      <c r="AQ957" s="39"/>
      <c r="AR957" s="39"/>
      <c r="AS957" s="39"/>
      <c r="AT957" s="39"/>
      <c r="AU957" s="39"/>
      <c r="AV957" s="39"/>
      <c r="AW957" t="str" s="39" cm="1">
        <f t="array" ref="AW957">AF957&amp;"; "&amp;AG957&amp;"; "&amp;AH957&amp;"; "&amp;AI957&amp;"; "&amp;AJ957</f>
        <v>E6; D1; E2; I3; E3</v>
      </c>
    </row>
    <row r="958" ht="13.65" customHeight="1">
      <c r="A958" t="s" s="35">
        <v>6436</v>
      </c>
      <c r="B958" s="36">
        <v>10</v>
      </c>
      <c r="C958" t="s" s="35">
        <v>220</v>
      </c>
      <c r="D958" t="s" s="35">
        <v>6180</v>
      </c>
      <c r="E958" t="s" s="35">
        <v>6181</v>
      </c>
      <c r="F958" s="36">
        <v>67</v>
      </c>
      <c r="G958" t="s" s="35">
        <v>6415</v>
      </c>
      <c r="H958" t="s" s="35">
        <v>6437</v>
      </c>
      <c r="I958" t="s" s="120">
        <v>6438</v>
      </c>
      <c r="J958" t="s" s="35">
        <v>6185</v>
      </c>
      <c r="K958" t="s" s="35">
        <v>1058</v>
      </c>
      <c r="L958" s="39"/>
      <c r="M958" t="str" s="39">
        <v>Sin marco</v>
      </c>
      <c r="N958" t="str" s="39">
        <v>Sin marco</v>
      </c>
      <c r="O958" t="str" s="39" cm="1">
        <f t="array" ref="O958">IF(L958="","",_xlfn.IFERROR(INDEX('Datos - Catálogo TIMSS'!$C$5:$C$107,MATCH(L958,'Datos - Catálogo TIMSS'!$A$5:$A$107,0)),"?"))</f>
      </c>
      <c r="P958" t="s" s="35">
        <v>1058</v>
      </c>
      <c r="Q958" t="s" s="120">
        <v>6186</v>
      </c>
      <c r="R958" t="s" s="120">
        <v>6439</v>
      </c>
      <c r="S958" s="121" cm="1">
        <f t="array" ref="S958">_xlfn.IFERROR(ISNUMBER(SEARCH("Conocer",$R958))/(ISNUMBER(SEARCH("Conocer",$R958))+ISNUMBER(SEARCH("Aplicar",$R958))+ISNUMBER(SEARCH("Razonar",$R958))),0)</f>
        <v>0</v>
      </c>
      <c r="T958" s="121" cm="1">
        <f t="array" ref="T958">_xlfn.IFERROR(ISNUMBER(SEARCH("Aplicar",$R958))/(ISNUMBER(SEARCH("Conocer",$R958))+ISNUMBER(SEARCH("Aplicar",$R958))+ISNUMBER(SEARCH("Razonar",$R958))),0)</f>
        <v>0.5</v>
      </c>
      <c r="U958" s="121" cm="1">
        <f t="array" ref="U958">_xlfn.IFERROR(ISNUMBER(SEARCH("Razonar",$R958))/(ISNUMBER(SEARCH("Conocer",$R958))+ISNUMBER(SEARCH("Aplicar",$R958))+ISNUMBER(SEARCH("Razonar",$R958))),0)</f>
        <v>0.5</v>
      </c>
      <c r="V958" t="s" s="35">
        <v>1405</v>
      </c>
      <c r="W958" t="s" s="35">
        <v>6188</v>
      </c>
      <c r="X958" s="36" cm="1">
        <f t="array" ref="X958">IF(OR(_xlfn.IFERROR(INDEX('Datos - Catálogo TIMSS'!$I$5:$I$107,MATCH(K958,'Datos - Catálogo TIMSS'!$A$5:$A$107,0)),"No")="Sí",_xlfn.IFERROR(INDEX('Datos - Catálogo TIMSS'!$I$5:$I$107,MATCH(L958,'Datos - Catálogo TIMSS'!$A$5:$A$107,0)),"No")="Sí"),1,0)</f>
        <v>0</v>
      </c>
      <c r="Y958" s="36" cm="1">
        <f t="array" ref="Y958">IF(_xlfn.IFERROR(INDEX('Datos - Catálogo TIMSS'!$J$5:$J$107,MATCH(K958,'Datos - Catálogo TIMSS'!$A$5:$A$107,0)),"No")="Sí",1,0)</f>
        <v>0</v>
      </c>
      <c r="Z958" s="36" cm="1">
        <f t="array" ref="Z958">IF(_xlfn.IFERROR(INDEX('Datos - Catálogo TIMSS'!$J$5:$J$107,MATCH(L958,'Datos - Catálogo TIMSS'!$A$5:$A$107,0)),"No")="Sí",1,0)</f>
        <v>0</v>
      </c>
      <c r="AA958" t="s" s="35">
        <v>1058</v>
      </c>
      <c r="AB958" s="39"/>
      <c r="AC958" t="str" s="39">
        <v>Sin marco</v>
      </c>
      <c r="AD958" t="s" s="35">
        <v>1834</v>
      </c>
      <c r="AE958" t="str" s="39" cm="1">
        <f t="array" ref="AE958">IF(AD958="","",IF(LEFT(AD958,1)="1","C1",IF(LEFT(AD958,1)="2","C2",IF(LEFT(AD958,1)="3","C3",""))))</f>
        <v>C2</v>
      </c>
      <c r="AF958" t="s" s="35">
        <v>1615</v>
      </c>
      <c r="AG958" t="s" s="35">
        <v>1607</v>
      </c>
      <c r="AH958" t="s" s="35">
        <v>1609</v>
      </c>
      <c r="AI958" t="s" s="35">
        <v>1623</v>
      </c>
      <c r="AJ958" t="s" s="35">
        <v>1627</v>
      </c>
      <c r="AK958" s="39"/>
      <c r="AL958" s="39"/>
      <c r="AM958" s="39"/>
      <c r="AN958" s="39"/>
      <c r="AO958" s="39"/>
      <c r="AP958" s="39"/>
      <c r="AQ958" s="39"/>
      <c r="AR958" s="39"/>
      <c r="AS958" s="39"/>
      <c r="AT958" s="39"/>
      <c r="AU958" s="39"/>
      <c r="AV958" s="39"/>
      <c r="AW958" t="str" s="39" cm="1">
        <f t="array" ref="AW958">AF958&amp;"; "&amp;AG958&amp;"; "&amp;AH958&amp;"; "&amp;AI958&amp;"; "&amp;AJ958</f>
        <v>E6; E3; E4; D4; I2</v>
      </c>
    </row>
    <row r="959" ht="13.65" customHeight="1">
      <c r="A959" t="s" s="35">
        <v>6441</v>
      </c>
      <c r="B959" s="36">
        <v>10</v>
      </c>
      <c r="C959" t="s" s="35">
        <v>220</v>
      </c>
      <c r="D959" t="s" s="35">
        <v>6180</v>
      </c>
      <c r="E959" t="s" s="35">
        <v>6181</v>
      </c>
      <c r="F959" s="36">
        <v>68</v>
      </c>
      <c r="G959" t="s" s="35">
        <v>6415</v>
      </c>
      <c r="H959" t="s" s="35">
        <v>6442</v>
      </c>
      <c r="I959" t="s" s="120">
        <v>6443</v>
      </c>
      <c r="J959" t="s" s="35">
        <v>6185</v>
      </c>
      <c r="K959" t="s" s="35">
        <v>1058</v>
      </c>
      <c r="L959" s="39"/>
      <c r="M959" t="str" s="39">
        <v>Sin marco</v>
      </c>
      <c r="N959" t="str" s="39">
        <v>Sin marco</v>
      </c>
      <c r="O959" t="str" s="39" cm="1">
        <f t="array" ref="O959">IF(L959="","",_xlfn.IFERROR(INDEX('Datos - Catálogo TIMSS'!$C$5:$C$107,MATCH(L959,'Datos - Catálogo TIMSS'!$A$5:$A$107,0)),"?"))</f>
      </c>
      <c r="P959" t="s" s="35">
        <v>1058</v>
      </c>
      <c r="Q959" t="s" s="120">
        <v>6186</v>
      </c>
      <c r="R959" t="s" s="120">
        <v>6444</v>
      </c>
      <c r="S959" s="121" cm="1">
        <f t="array" ref="S959">_xlfn.IFERROR(ISNUMBER(SEARCH("Conocer",$R959))/(ISNUMBER(SEARCH("Conocer",$R959))+ISNUMBER(SEARCH("Aplicar",$R959))+ISNUMBER(SEARCH("Razonar",$R959))),0)</f>
        <v>0.5</v>
      </c>
      <c r="T959" s="121" cm="1">
        <f t="array" ref="T959">_xlfn.IFERROR(ISNUMBER(SEARCH("Aplicar",$R959))/(ISNUMBER(SEARCH("Conocer",$R959))+ISNUMBER(SEARCH("Aplicar",$R959))+ISNUMBER(SEARCH("Razonar",$R959))),0)</f>
        <v>0</v>
      </c>
      <c r="U959" s="121" cm="1">
        <f t="array" ref="U959">_xlfn.IFERROR(ISNUMBER(SEARCH("Razonar",$R959))/(ISNUMBER(SEARCH("Conocer",$R959))+ISNUMBER(SEARCH("Aplicar",$R959))+ISNUMBER(SEARCH("Razonar",$R959))),0)</f>
        <v>0.5</v>
      </c>
      <c r="V959" t="s" s="35">
        <v>1405</v>
      </c>
      <c r="W959" t="s" s="35">
        <v>6188</v>
      </c>
      <c r="X959" s="36" cm="1">
        <f t="array" ref="X959">IF(OR(_xlfn.IFERROR(INDEX('Datos - Catálogo TIMSS'!$I$5:$I$107,MATCH(K959,'Datos - Catálogo TIMSS'!$A$5:$A$107,0)),"No")="Sí",_xlfn.IFERROR(INDEX('Datos - Catálogo TIMSS'!$I$5:$I$107,MATCH(L959,'Datos - Catálogo TIMSS'!$A$5:$A$107,0)),"No")="Sí"),1,0)</f>
        <v>0</v>
      </c>
      <c r="Y959" s="36" cm="1">
        <f t="array" ref="Y959">IF(_xlfn.IFERROR(INDEX('Datos - Catálogo TIMSS'!$J$5:$J$107,MATCH(K959,'Datos - Catálogo TIMSS'!$A$5:$A$107,0)),"No")="Sí",1,0)</f>
        <v>0</v>
      </c>
      <c r="Z959" s="36" cm="1">
        <f t="array" ref="Z959">IF(_xlfn.IFERROR(INDEX('Datos - Catálogo TIMSS'!$J$5:$J$107,MATCH(L959,'Datos - Catálogo TIMSS'!$A$5:$A$107,0)),"No")="Sí",1,0)</f>
        <v>0</v>
      </c>
      <c r="AA959" t="s" s="35">
        <v>1058</v>
      </c>
      <c r="AB959" s="39"/>
      <c r="AC959" t="str" s="39">
        <v>Sin marco</v>
      </c>
      <c r="AD959" t="s" s="35">
        <v>1900</v>
      </c>
      <c r="AE959" t="str" s="39" cm="1">
        <f t="array" ref="AE959">IF(AD959="","",IF(LEFT(AD959,1)="1","C1",IF(LEFT(AD959,1)="2","C2",IF(LEFT(AD959,1)="3","C3",""))))</f>
        <v>C3</v>
      </c>
      <c r="AF959" t="s" s="35">
        <v>1602</v>
      </c>
      <c r="AG959" t="s" s="35">
        <v>1612</v>
      </c>
      <c r="AH959" t="s" s="35">
        <v>1609</v>
      </c>
      <c r="AI959" t="s" s="35">
        <v>1625</v>
      </c>
      <c r="AJ959" t="s" s="35">
        <v>1633</v>
      </c>
      <c r="AK959" s="39"/>
      <c r="AL959" s="39"/>
      <c r="AM959" s="39"/>
      <c r="AN959" s="39"/>
      <c r="AO959" s="39"/>
      <c r="AP959" s="39"/>
      <c r="AQ959" s="39"/>
      <c r="AR959" s="39"/>
      <c r="AS959" s="39"/>
      <c r="AT959" s="39"/>
      <c r="AU959" s="39"/>
      <c r="AV959" s="39"/>
      <c r="AW959" t="str" s="39" cm="1">
        <f t="array" ref="AW959">AF959&amp;"; "&amp;AG959&amp;"; "&amp;AH959&amp;"; "&amp;AI959&amp;"; "&amp;AJ959</f>
        <v>E1; E5; E4; I1; I5</v>
      </c>
    </row>
    <row r="960" ht="13.65" customHeight="1">
      <c r="A960" t="s" s="35">
        <v>6445</v>
      </c>
      <c r="B960" s="36">
        <v>10</v>
      </c>
      <c r="C960" t="s" s="35">
        <v>220</v>
      </c>
      <c r="D960" t="s" s="35">
        <v>6180</v>
      </c>
      <c r="E960" t="s" s="35">
        <v>6181</v>
      </c>
      <c r="F960" s="36">
        <v>69</v>
      </c>
      <c r="G960" t="s" s="35">
        <v>6446</v>
      </c>
      <c r="H960" t="s" s="35">
        <v>6447</v>
      </c>
      <c r="I960" t="s" s="120">
        <v>6448</v>
      </c>
      <c r="J960" t="s" s="35">
        <v>6185</v>
      </c>
      <c r="K960" t="s" s="35">
        <v>1058</v>
      </c>
      <c r="L960" s="39"/>
      <c r="M960" t="str" s="39">
        <v>Sin marco</v>
      </c>
      <c r="N960" t="str" s="39">
        <v>Sin marco</v>
      </c>
      <c r="O960" t="str" s="39" cm="1">
        <f t="array" ref="O960">IF(L960="","",_xlfn.IFERROR(INDEX('Datos - Catálogo TIMSS'!$C$5:$C$107,MATCH(L960,'Datos - Catálogo TIMSS'!$A$5:$A$107,0)),"?"))</f>
      </c>
      <c r="P960" t="s" s="35">
        <v>1058</v>
      </c>
      <c r="Q960" t="s" s="120">
        <v>6186</v>
      </c>
      <c r="R960" t="s" s="120">
        <v>6449</v>
      </c>
      <c r="S960" s="121" cm="1">
        <f t="array" ref="S960">_xlfn.IFERROR(ISNUMBER(SEARCH("Conocer",$R960))/(ISNUMBER(SEARCH("Conocer",$R960))+ISNUMBER(SEARCH("Aplicar",$R960))+ISNUMBER(SEARCH("Razonar",$R960))),0)</f>
        <v>0.5</v>
      </c>
      <c r="T960" s="121" cm="1">
        <f t="array" ref="T960">_xlfn.IFERROR(ISNUMBER(SEARCH("Aplicar",$R960))/(ISNUMBER(SEARCH("Conocer",$R960))+ISNUMBER(SEARCH("Aplicar",$R960))+ISNUMBER(SEARCH("Razonar",$R960))),0)</f>
        <v>0.5</v>
      </c>
      <c r="U960" s="121" cm="1">
        <f t="array" ref="U960">_xlfn.IFERROR(ISNUMBER(SEARCH("Razonar",$R960))/(ISNUMBER(SEARCH("Conocer",$R960))+ISNUMBER(SEARCH("Aplicar",$R960))+ISNUMBER(SEARCH("Razonar",$R960))),0)</f>
        <v>0</v>
      </c>
      <c r="V960" t="s" s="35">
        <v>1405</v>
      </c>
      <c r="W960" t="s" s="35">
        <v>6188</v>
      </c>
      <c r="X960" s="36" cm="1">
        <f t="array" ref="X960">IF(OR(_xlfn.IFERROR(INDEX('Datos - Catálogo TIMSS'!$I$5:$I$107,MATCH(K960,'Datos - Catálogo TIMSS'!$A$5:$A$107,0)),"No")="Sí",_xlfn.IFERROR(INDEX('Datos - Catálogo TIMSS'!$I$5:$I$107,MATCH(L960,'Datos - Catálogo TIMSS'!$A$5:$A$107,0)),"No")="Sí"),1,0)</f>
        <v>0</v>
      </c>
      <c r="Y960" s="36" cm="1">
        <f t="array" ref="Y960">IF(_xlfn.IFERROR(INDEX('Datos - Catálogo TIMSS'!$J$5:$J$107,MATCH(K960,'Datos - Catálogo TIMSS'!$A$5:$A$107,0)),"No")="Sí",1,0)</f>
        <v>0</v>
      </c>
      <c r="Z960" s="36" cm="1">
        <f t="array" ref="Z960">IF(_xlfn.IFERROR(INDEX('Datos - Catálogo TIMSS'!$J$5:$J$107,MATCH(L960,'Datos - Catálogo TIMSS'!$A$5:$A$107,0)),"No")="Sí",1,0)</f>
        <v>0</v>
      </c>
      <c r="AA960" t="s" s="35">
        <v>1058</v>
      </c>
      <c r="AB960" s="39"/>
      <c r="AC960" t="str" s="39">
        <v>Sin marco</v>
      </c>
      <c r="AD960" t="s" s="35">
        <v>1859</v>
      </c>
      <c r="AE960" t="str" s="39" cm="1">
        <f t="array" ref="AE960">IF(AD960="","",IF(LEFT(AD960,1)="1","C1",IF(LEFT(AD960,1)="2","C2",IF(LEFT(AD960,1)="3","C3",""))))</f>
        <v>C1</v>
      </c>
      <c r="AF960" t="s" s="35">
        <v>1602</v>
      </c>
      <c r="AG960" t="s" s="35">
        <v>1617</v>
      </c>
      <c r="AH960" t="s" s="35">
        <v>1605</v>
      </c>
      <c r="AI960" t="s" s="35">
        <v>1623</v>
      </c>
      <c r="AJ960" t="s" s="35">
        <v>1615</v>
      </c>
      <c r="AK960" s="39"/>
      <c r="AL960" s="39"/>
      <c r="AM960" s="39"/>
      <c r="AN960" s="39"/>
      <c r="AO960" s="39"/>
      <c r="AP960" s="39"/>
      <c r="AQ960" s="39"/>
      <c r="AR960" s="39"/>
      <c r="AS960" s="39"/>
      <c r="AT960" s="39"/>
      <c r="AU960" s="39"/>
      <c r="AV960" s="39"/>
      <c r="AW960" t="str" s="39" cm="1">
        <f t="array" ref="AW960">AF960&amp;"; "&amp;AG960&amp;"; "&amp;AH960&amp;"; "&amp;AI960&amp;"; "&amp;AJ960</f>
        <v>E1; D1; E2; D4; E6</v>
      </c>
    </row>
    <row r="961" ht="13.65" customHeight="1">
      <c r="A961" t="s" s="35">
        <v>6450</v>
      </c>
      <c r="B961" s="36">
        <v>10</v>
      </c>
      <c r="C961" t="s" s="35">
        <v>220</v>
      </c>
      <c r="D961" t="s" s="35">
        <v>6180</v>
      </c>
      <c r="E961" t="s" s="35">
        <v>6181</v>
      </c>
      <c r="F961" s="36">
        <v>70</v>
      </c>
      <c r="G961" t="s" s="35">
        <v>6446</v>
      </c>
      <c r="H961" t="s" s="35">
        <v>6451</v>
      </c>
      <c r="I961" t="s" s="120">
        <v>6452</v>
      </c>
      <c r="J961" t="s" s="35">
        <v>6185</v>
      </c>
      <c r="K961" t="s" s="35">
        <v>1058</v>
      </c>
      <c r="L961" s="39"/>
      <c r="M961" t="str" s="39">
        <v>Sin marco</v>
      </c>
      <c r="N961" t="str" s="39">
        <v>Sin marco</v>
      </c>
      <c r="O961" t="str" s="39" cm="1">
        <f t="array" ref="O961">IF(L961="","",_xlfn.IFERROR(INDEX('Datos - Catálogo TIMSS'!$C$5:$C$107,MATCH(L961,'Datos - Catálogo TIMSS'!$A$5:$A$107,0)),"?"))</f>
      </c>
      <c r="P961" t="s" s="35">
        <v>1058</v>
      </c>
      <c r="Q961" t="s" s="120">
        <v>6186</v>
      </c>
      <c r="R961" t="s" s="120">
        <v>6453</v>
      </c>
      <c r="S961" s="121" cm="1">
        <f t="array" ref="S961">_xlfn.IFERROR(ISNUMBER(SEARCH("Conocer",$R961))/(ISNUMBER(SEARCH("Conocer",$R961))+ISNUMBER(SEARCH("Aplicar",$R961))+ISNUMBER(SEARCH("Razonar",$R961))),0)</f>
        <v>0</v>
      </c>
      <c r="T961" s="121" cm="1">
        <f t="array" ref="T961">_xlfn.IFERROR(ISNUMBER(SEARCH("Aplicar",$R961))/(ISNUMBER(SEARCH("Conocer",$R961))+ISNUMBER(SEARCH("Aplicar",$R961))+ISNUMBER(SEARCH("Razonar",$R961))),0)</f>
        <v>0.5</v>
      </c>
      <c r="U961" s="121" cm="1">
        <f t="array" ref="U961">_xlfn.IFERROR(ISNUMBER(SEARCH("Razonar",$R961))/(ISNUMBER(SEARCH("Conocer",$R961))+ISNUMBER(SEARCH("Aplicar",$R961))+ISNUMBER(SEARCH("Razonar",$R961))),0)</f>
        <v>0.5</v>
      </c>
      <c r="V961" t="s" s="35">
        <v>1405</v>
      </c>
      <c r="W961" t="s" s="35">
        <v>6188</v>
      </c>
      <c r="X961" s="36" cm="1">
        <f t="array" ref="X961">IF(OR(_xlfn.IFERROR(INDEX('Datos - Catálogo TIMSS'!$I$5:$I$107,MATCH(K961,'Datos - Catálogo TIMSS'!$A$5:$A$107,0)),"No")="Sí",_xlfn.IFERROR(INDEX('Datos - Catálogo TIMSS'!$I$5:$I$107,MATCH(L961,'Datos - Catálogo TIMSS'!$A$5:$A$107,0)),"No")="Sí"),1,0)</f>
        <v>0</v>
      </c>
      <c r="Y961" s="36" cm="1">
        <f t="array" ref="Y961">IF(_xlfn.IFERROR(INDEX('Datos - Catálogo TIMSS'!$J$5:$J$107,MATCH(K961,'Datos - Catálogo TIMSS'!$A$5:$A$107,0)),"No")="Sí",1,0)</f>
        <v>0</v>
      </c>
      <c r="Z961" s="36" cm="1">
        <f t="array" ref="Z961">IF(_xlfn.IFERROR(INDEX('Datos - Catálogo TIMSS'!$J$5:$J$107,MATCH(L961,'Datos - Catálogo TIMSS'!$A$5:$A$107,0)),"No")="Sí",1,0)</f>
        <v>0</v>
      </c>
      <c r="AA961" t="s" s="35">
        <v>1058</v>
      </c>
      <c r="AB961" s="39"/>
      <c r="AC961" t="str" s="39">
        <v>Sin marco</v>
      </c>
      <c r="AD961" t="s" s="35">
        <v>1834</v>
      </c>
      <c r="AE961" t="str" s="39" cm="1">
        <f t="array" ref="AE961">IF(AD961="","",IF(LEFT(AD961,1)="1","C1",IF(LEFT(AD961,1)="2","C2",IF(LEFT(AD961,1)="3","C3",""))))</f>
        <v>C2</v>
      </c>
      <c r="AF961" t="s" s="35">
        <v>1615</v>
      </c>
      <c r="AG961" t="s" s="35">
        <v>1612</v>
      </c>
      <c r="AH961" t="s" s="35">
        <v>1609</v>
      </c>
      <c r="AI961" t="s" s="35">
        <v>1619</v>
      </c>
      <c r="AJ961" t="s" s="35">
        <v>1621</v>
      </c>
      <c r="AK961" s="39"/>
      <c r="AL961" s="39"/>
      <c r="AM961" s="39"/>
      <c r="AN961" s="39"/>
      <c r="AO961" s="39"/>
      <c r="AP961" s="39"/>
      <c r="AQ961" s="39"/>
      <c r="AR961" s="39"/>
      <c r="AS961" s="39"/>
      <c r="AT961" s="39"/>
      <c r="AU961" s="39"/>
      <c r="AV961" s="39"/>
      <c r="AW961" t="str" s="39" cm="1">
        <f t="array" ref="AW961">AF961&amp;"; "&amp;AG961&amp;"; "&amp;AH961&amp;"; "&amp;AI961&amp;"; "&amp;AJ961</f>
        <v>E6; E5; E4; D2; D3</v>
      </c>
    </row>
    <row r="962" ht="13.65" customHeight="1">
      <c r="A962" t="s" s="35">
        <v>6455</v>
      </c>
      <c r="B962" s="36">
        <v>10</v>
      </c>
      <c r="C962" t="s" s="35">
        <v>220</v>
      </c>
      <c r="D962" t="s" s="35">
        <v>6180</v>
      </c>
      <c r="E962" t="s" s="35">
        <v>6181</v>
      </c>
      <c r="F962" s="36">
        <v>71</v>
      </c>
      <c r="G962" t="s" s="35">
        <v>6446</v>
      </c>
      <c r="H962" t="s" s="35">
        <v>6456</v>
      </c>
      <c r="I962" t="s" s="120">
        <v>6457</v>
      </c>
      <c r="J962" t="s" s="35">
        <v>6185</v>
      </c>
      <c r="K962" t="s" s="35">
        <v>1058</v>
      </c>
      <c r="L962" s="39"/>
      <c r="M962" t="str" s="39">
        <v>Sin marco</v>
      </c>
      <c r="N962" t="str" s="39">
        <v>Sin marco</v>
      </c>
      <c r="O962" t="str" s="39" cm="1">
        <f t="array" ref="O962">IF(L962="","",_xlfn.IFERROR(INDEX('Datos - Catálogo TIMSS'!$C$5:$C$107,MATCH(L962,'Datos - Catálogo TIMSS'!$A$5:$A$107,0)),"?"))</f>
      </c>
      <c r="P962" t="s" s="35">
        <v>1058</v>
      </c>
      <c r="Q962" t="s" s="120">
        <v>6186</v>
      </c>
      <c r="R962" t="s" s="120">
        <v>6458</v>
      </c>
      <c r="S962" s="121" cm="1">
        <f t="array" ref="S962">_xlfn.IFERROR(ISNUMBER(SEARCH("Conocer",$R962))/(ISNUMBER(SEARCH("Conocer",$R962))+ISNUMBER(SEARCH("Aplicar",$R962))+ISNUMBER(SEARCH("Razonar",$R962))),0)</f>
        <v>0</v>
      </c>
      <c r="T962" s="121" cm="1">
        <f t="array" ref="T962">_xlfn.IFERROR(ISNUMBER(SEARCH("Aplicar",$R962))/(ISNUMBER(SEARCH("Conocer",$R962))+ISNUMBER(SEARCH("Aplicar",$R962))+ISNUMBER(SEARCH("Razonar",$R962))),0)</f>
        <v>0.5</v>
      </c>
      <c r="U962" s="121" cm="1">
        <f t="array" ref="U962">_xlfn.IFERROR(ISNUMBER(SEARCH("Razonar",$R962))/(ISNUMBER(SEARCH("Conocer",$R962))+ISNUMBER(SEARCH("Aplicar",$R962))+ISNUMBER(SEARCH("Razonar",$R962))),0)</f>
        <v>0.5</v>
      </c>
      <c r="V962" t="s" s="35">
        <v>1405</v>
      </c>
      <c r="W962" t="s" s="35">
        <v>6188</v>
      </c>
      <c r="X962" s="36" cm="1">
        <f t="array" ref="X962">IF(OR(_xlfn.IFERROR(INDEX('Datos - Catálogo TIMSS'!$I$5:$I$107,MATCH(K962,'Datos - Catálogo TIMSS'!$A$5:$A$107,0)),"No")="Sí",_xlfn.IFERROR(INDEX('Datos - Catálogo TIMSS'!$I$5:$I$107,MATCH(L962,'Datos - Catálogo TIMSS'!$A$5:$A$107,0)),"No")="Sí"),1,0)</f>
        <v>0</v>
      </c>
      <c r="Y962" s="36" cm="1">
        <f t="array" ref="Y962">IF(_xlfn.IFERROR(INDEX('Datos - Catálogo TIMSS'!$J$5:$J$107,MATCH(K962,'Datos - Catálogo TIMSS'!$A$5:$A$107,0)),"No")="Sí",1,0)</f>
        <v>0</v>
      </c>
      <c r="Z962" s="36" cm="1">
        <f t="array" ref="Z962">IF(_xlfn.IFERROR(INDEX('Datos - Catálogo TIMSS'!$J$5:$J$107,MATCH(L962,'Datos - Catálogo TIMSS'!$A$5:$A$107,0)),"No")="Sí",1,0)</f>
        <v>0</v>
      </c>
      <c r="AA962" t="s" s="35">
        <v>1058</v>
      </c>
      <c r="AB962" s="39"/>
      <c r="AC962" t="str" s="39">
        <v>Sin marco</v>
      </c>
      <c r="AD962" t="s" s="35">
        <v>1859</v>
      </c>
      <c r="AE962" t="str" s="39" cm="1">
        <f t="array" ref="AE962">IF(AD962="","",IF(LEFT(AD962,1)="1","C1",IF(LEFT(AD962,1)="2","C2",IF(LEFT(AD962,1)="3","C3",""))))</f>
        <v>C1</v>
      </c>
      <c r="AF962" t="s" s="35">
        <v>1602</v>
      </c>
      <c r="AG962" t="s" s="35">
        <v>1607</v>
      </c>
      <c r="AH962" t="s" s="35">
        <v>1602</v>
      </c>
      <c r="AI962" t="s" s="35">
        <v>1623</v>
      </c>
      <c r="AJ962" t="s" s="35">
        <v>1633</v>
      </c>
      <c r="AK962" s="39"/>
      <c r="AL962" s="39"/>
      <c r="AM962" s="39"/>
      <c r="AN962" s="39"/>
      <c r="AO962" s="39"/>
      <c r="AP962" s="39"/>
      <c r="AQ962" s="39"/>
      <c r="AR962" s="39"/>
      <c r="AS962" s="39"/>
      <c r="AT962" s="39"/>
      <c r="AU962" s="39"/>
      <c r="AV962" s="39"/>
      <c r="AW962" t="str" s="39" cm="1">
        <f t="array" ref="AW962">AF962&amp;"; "&amp;AG962&amp;"; "&amp;AH962&amp;"; "&amp;AI962&amp;"; "&amp;AJ962</f>
        <v>E1; E3; E1; D4; I5</v>
      </c>
    </row>
    <row r="963" ht="13.65" customHeight="1">
      <c r="A963" t="s" s="35">
        <v>6459</v>
      </c>
      <c r="B963" s="36">
        <v>10</v>
      </c>
      <c r="C963" t="s" s="35">
        <v>220</v>
      </c>
      <c r="D963" t="s" s="35">
        <v>6180</v>
      </c>
      <c r="E963" t="s" s="35">
        <v>6181</v>
      </c>
      <c r="F963" s="36">
        <v>72</v>
      </c>
      <c r="G963" t="s" s="35">
        <v>6446</v>
      </c>
      <c r="H963" t="s" s="35">
        <v>6460</v>
      </c>
      <c r="I963" t="s" s="120">
        <v>6461</v>
      </c>
      <c r="J963" t="s" s="35">
        <v>6185</v>
      </c>
      <c r="K963" t="s" s="35">
        <v>1058</v>
      </c>
      <c r="L963" s="39"/>
      <c r="M963" t="str" s="39">
        <v>Sin marco</v>
      </c>
      <c r="N963" t="str" s="39">
        <v>Sin marco</v>
      </c>
      <c r="O963" t="str" s="39" cm="1">
        <f t="array" ref="O963">IF(L963="","",_xlfn.IFERROR(INDEX('Datos - Catálogo TIMSS'!$C$5:$C$107,MATCH(L963,'Datos - Catálogo TIMSS'!$A$5:$A$107,0)),"?"))</f>
      </c>
      <c r="P963" t="s" s="35">
        <v>1058</v>
      </c>
      <c r="Q963" t="s" s="120">
        <v>6186</v>
      </c>
      <c r="R963" t="s" s="120">
        <v>6462</v>
      </c>
      <c r="S963" s="121" cm="1">
        <f t="array" ref="S963">_xlfn.IFERROR(ISNUMBER(SEARCH("Conocer",$R963))/(ISNUMBER(SEARCH("Conocer",$R963))+ISNUMBER(SEARCH("Aplicar",$R963))+ISNUMBER(SEARCH("Razonar",$R963))),0)</f>
        <v>0</v>
      </c>
      <c r="T963" s="121" cm="1">
        <f t="array" ref="T963">_xlfn.IFERROR(ISNUMBER(SEARCH("Aplicar",$R963))/(ISNUMBER(SEARCH("Conocer",$R963))+ISNUMBER(SEARCH("Aplicar",$R963))+ISNUMBER(SEARCH("Razonar",$R963))),0)</f>
        <v>0.5</v>
      </c>
      <c r="U963" s="121" cm="1">
        <f t="array" ref="U963">_xlfn.IFERROR(ISNUMBER(SEARCH("Razonar",$R963))/(ISNUMBER(SEARCH("Conocer",$R963))+ISNUMBER(SEARCH("Aplicar",$R963))+ISNUMBER(SEARCH("Razonar",$R963))),0)</f>
        <v>0.5</v>
      </c>
      <c r="V963" t="s" s="35">
        <v>1405</v>
      </c>
      <c r="W963" t="s" s="35">
        <v>6188</v>
      </c>
      <c r="X963" s="36" cm="1">
        <f t="array" ref="X963">IF(OR(_xlfn.IFERROR(INDEX('Datos - Catálogo TIMSS'!$I$5:$I$107,MATCH(K963,'Datos - Catálogo TIMSS'!$A$5:$A$107,0)),"No")="Sí",_xlfn.IFERROR(INDEX('Datos - Catálogo TIMSS'!$I$5:$I$107,MATCH(L963,'Datos - Catálogo TIMSS'!$A$5:$A$107,0)),"No")="Sí"),1,0)</f>
        <v>0</v>
      </c>
      <c r="Y963" s="36" cm="1">
        <f t="array" ref="Y963">IF(_xlfn.IFERROR(INDEX('Datos - Catálogo TIMSS'!$J$5:$J$107,MATCH(K963,'Datos - Catálogo TIMSS'!$A$5:$A$107,0)),"No")="Sí",1,0)</f>
        <v>0</v>
      </c>
      <c r="Z963" s="36" cm="1">
        <f t="array" ref="Z963">IF(_xlfn.IFERROR(INDEX('Datos - Catálogo TIMSS'!$J$5:$J$107,MATCH(L963,'Datos - Catálogo TIMSS'!$A$5:$A$107,0)),"No")="Sí",1,0)</f>
        <v>0</v>
      </c>
      <c r="AA963" t="s" s="35">
        <v>1058</v>
      </c>
      <c r="AB963" s="39"/>
      <c r="AC963" t="str" s="39">
        <v>Sin marco</v>
      </c>
      <c r="AD963" t="s" s="35">
        <v>1834</v>
      </c>
      <c r="AE963" t="str" s="39" cm="1">
        <f t="array" ref="AE963">IF(AD963="","",IF(LEFT(AD963,1)="1","C1",IF(LEFT(AD963,1)="2","C2",IF(LEFT(AD963,1)="3","C3",""))))</f>
        <v>C2</v>
      </c>
      <c r="AF963" t="s" s="35">
        <v>1602</v>
      </c>
      <c r="AG963" t="s" s="35">
        <v>1607</v>
      </c>
      <c r="AH963" t="s" s="35">
        <v>1602</v>
      </c>
      <c r="AI963" t="s" s="35">
        <v>1619</v>
      </c>
      <c r="AJ963" t="s" s="35">
        <v>1621</v>
      </c>
      <c r="AK963" s="39"/>
      <c r="AL963" s="39"/>
      <c r="AM963" s="39"/>
      <c r="AN963" s="39"/>
      <c r="AO963" s="39"/>
      <c r="AP963" s="39"/>
      <c r="AQ963" s="39"/>
      <c r="AR963" s="39"/>
      <c r="AS963" s="39"/>
      <c r="AT963" s="39"/>
      <c r="AU963" s="39"/>
      <c r="AV963" s="39"/>
      <c r="AW963" t="str" s="39" cm="1">
        <f t="array" ref="AW963">AF963&amp;"; "&amp;AG963&amp;"; "&amp;AH963&amp;"; "&amp;AI963&amp;"; "&amp;AJ963</f>
        <v>E1; E3; E1; D2; D3</v>
      </c>
    </row>
    <row r="964" ht="13.65" customHeight="1">
      <c r="A964" t="s" s="35">
        <v>6463</v>
      </c>
      <c r="B964" s="36">
        <v>10</v>
      </c>
      <c r="C964" t="s" s="35">
        <v>220</v>
      </c>
      <c r="D964" t="s" s="35">
        <v>6180</v>
      </c>
      <c r="E964" t="s" s="35">
        <v>6181</v>
      </c>
      <c r="F964" s="36">
        <v>73</v>
      </c>
      <c r="G964" t="s" s="35">
        <v>6446</v>
      </c>
      <c r="H964" t="s" s="35">
        <v>6464</v>
      </c>
      <c r="I964" t="s" s="120">
        <v>6465</v>
      </c>
      <c r="J964" t="s" s="35">
        <v>6185</v>
      </c>
      <c r="K964" t="s" s="35">
        <v>1058</v>
      </c>
      <c r="L964" s="39"/>
      <c r="M964" t="str" s="39">
        <v>Sin marco</v>
      </c>
      <c r="N964" t="str" s="39">
        <v>Sin marco</v>
      </c>
      <c r="O964" t="str" s="39" cm="1">
        <f t="array" ref="O964">IF(L964="","",_xlfn.IFERROR(INDEX('Datos - Catálogo TIMSS'!$C$5:$C$107,MATCH(L964,'Datos - Catálogo TIMSS'!$A$5:$A$107,0)),"?"))</f>
      </c>
      <c r="P964" t="s" s="35">
        <v>1058</v>
      </c>
      <c r="Q964" t="s" s="120">
        <v>6186</v>
      </c>
      <c r="R964" t="s" s="120">
        <v>6466</v>
      </c>
      <c r="S964" s="121" cm="1">
        <f t="array" ref="S964">_xlfn.IFERROR(ISNUMBER(SEARCH("Conocer",$R964))/(ISNUMBER(SEARCH("Conocer",$R964))+ISNUMBER(SEARCH("Aplicar",$R964))+ISNUMBER(SEARCH("Razonar",$R964))),0)</f>
        <v>0</v>
      </c>
      <c r="T964" s="121" cm="1">
        <f t="array" ref="T964">_xlfn.IFERROR(ISNUMBER(SEARCH("Aplicar",$R964))/(ISNUMBER(SEARCH("Conocer",$R964))+ISNUMBER(SEARCH("Aplicar",$R964))+ISNUMBER(SEARCH("Razonar",$R964))),0)</f>
        <v>0.5</v>
      </c>
      <c r="U964" s="121" cm="1">
        <f t="array" ref="U964">_xlfn.IFERROR(ISNUMBER(SEARCH("Razonar",$R964))/(ISNUMBER(SEARCH("Conocer",$R964))+ISNUMBER(SEARCH("Aplicar",$R964))+ISNUMBER(SEARCH("Razonar",$R964))),0)</f>
        <v>0.5</v>
      </c>
      <c r="V964" t="s" s="35">
        <v>1405</v>
      </c>
      <c r="W964" t="s" s="35">
        <v>6188</v>
      </c>
      <c r="X964" s="36" cm="1">
        <f t="array" ref="X964">IF(OR(_xlfn.IFERROR(INDEX('Datos - Catálogo TIMSS'!$I$5:$I$107,MATCH(K964,'Datos - Catálogo TIMSS'!$A$5:$A$107,0)),"No")="Sí",_xlfn.IFERROR(INDEX('Datos - Catálogo TIMSS'!$I$5:$I$107,MATCH(L964,'Datos - Catálogo TIMSS'!$A$5:$A$107,0)),"No")="Sí"),1,0)</f>
        <v>0</v>
      </c>
      <c r="Y964" s="36" cm="1">
        <f t="array" ref="Y964">IF(_xlfn.IFERROR(INDEX('Datos - Catálogo TIMSS'!$J$5:$J$107,MATCH(K964,'Datos - Catálogo TIMSS'!$A$5:$A$107,0)),"No")="Sí",1,0)</f>
        <v>0</v>
      </c>
      <c r="Z964" s="36" cm="1">
        <f t="array" ref="Z964">IF(_xlfn.IFERROR(INDEX('Datos - Catálogo TIMSS'!$J$5:$J$107,MATCH(L964,'Datos - Catálogo TIMSS'!$A$5:$A$107,0)),"No")="Sí",1,0)</f>
        <v>0</v>
      </c>
      <c r="AA964" t="s" s="35">
        <v>1058</v>
      </c>
      <c r="AB964" s="39"/>
      <c r="AC964" t="str" s="39">
        <v>Sin marco</v>
      </c>
      <c r="AD964" t="s" s="35">
        <v>1900</v>
      </c>
      <c r="AE964" t="str" s="39" cm="1">
        <f t="array" ref="AE964">IF(AD964="","",IF(LEFT(AD964,1)="1","C1",IF(LEFT(AD964,1)="2","C2",IF(LEFT(AD964,1)="3","C3",""))))</f>
        <v>C3</v>
      </c>
      <c r="AF964" t="s" s="35">
        <v>1602</v>
      </c>
      <c r="AG964" t="s" s="35">
        <v>1607</v>
      </c>
      <c r="AH964" t="s" s="35">
        <v>1602</v>
      </c>
      <c r="AI964" t="s" s="35">
        <v>1629</v>
      </c>
      <c r="AJ964" t="s" s="35">
        <v>1633</v>
      </c>
      <c r="AK964" s="39"/>
      <c r="AL964" s="39"/>
      <c r="AM964" s="39"/>
      <c r="AN964" s="39"/>
      <c r="AO964" s="39"/>
      <c r="AP964" s="39"/>
      <c r="AQ964" s="39"/>
      <c r="AR964" s="39"/>
      <c r="AS964" s="39"/>
      <c r="AT964" s="39"/>
      <c r="AU964" s="39"/>
      <c r="AV964" s="39"/>
      <c r="AW964" t="str" s="39" cm="1">
        <f t="array" ref="AW964">AF964&amp;"; "&amp;AG964&amp;"; "&amp;AH964&amp;"; "&amp;AI964&amp;"; "&amp;AJ964</f>
        <v>E1; E3; E1; I3; I5</v>
      </c>
    </row>
    <row r="965" ht="13.65" customHeight="1">
      <c r="A965" t="s" s="35">
        <v>6467</v>
      </c>
      <c r="B965" s="36">
        <v>10</v>
      </c>
      <c r="C965" t="s" s="35">
        <v>220</v>
      </c>
      <c r="D965" t="s" s="35">
        <v>6180</v>
      </c>
      <c r="E965" t="s" s="35">
        <v>6181</v>
      </c>
      <c r="F965" s="36">
        <v>74</v>
      </c>
      <c r="G965" t="s" s="35">
        <v>6446</v>
      </c>
      <c r="H965" t="s" s="35">
        <v>6468</v>
      </c>
      <c r="I965" t="s" s="120">
        <v>6469</v>
      </c>
      <c r="J965" t="s" s="35">
        <v>6185</v>
      </c>
      <c r="K965" t="s" s="35">
        <v>1058</v>
      </c>
      <c r="L965" s="39"/>
      <c r="M965" t="str" s="39">
        <v>Sin marco</v>
      </c>
      <c r="N965" t="str" s="39">
        <v>Sin marco</v>
      </c>
      <c r="O965" t="str" s="39" cm="1">
        <f t="array" ref="O965">IF(L965="","",_xlfn.IFERROR(INDEX('Datos - Catálogo TIMSS'!$C$5:$C$107,MATCH(L965,'Datos - Catálogo TIMSS'!$A$5:$A$107,0)),"?"))</f>
      </c>
      <c r="P965" t="s" s="35">
        <v>1058</v>
      </c>
      <c r="Q965" t="s" s="120">
        <v>6186</v>
      </c>
      <c r="R965" t="s" s="120">
        <v>6470</v>
      </c>
      <c r="S965" s="121" cm="1">
        <f t="array" ref="S965">_xlfn.IFERROR(ISNUMBER(SEARCH("Conocer",$R965))/(ISNUMBER(SEARCH("Conocer",$R965))+ISNUMBER(SEARCH("Aplicar",$R965))+ISNUMBER(SEARCH("Razonar",$R965))),0)</f>
        <v>0</v>
      </c>
      <c r="T965" s="121" cm="1">
        <f t="array" ref="T965">_xlfn.IFERROR(ISNUMBER(SEARCH("Aplicar",$R965))/(ISNUMBER(SEARCH("Conocer",$R965))+ISNUMBER(SEARCH("Aplicar",$R965))+ISNUMBER(SEARCH("Razonar",$R965))),0)</f>
        <v>0.5</v>
      </c>
      <c r="U965" s="121" cm="1">
        <f t="array" ref="U965">_xlfn.IFERROR(ISNUMBER(SEARCH("Razonar",$R965))/(ISNUMBER(SEARCH("Conocer",$R965))+ISNUMBER(SEARCH("Aplicar",$R965))+ISNUMBER(SEARCH("Razonar",$R965))),0)</f>
        <v>0.5</v>
      </c>
      <c r="V965" t="s" s="35">
        <v>1405</v>
      </c>
      <c r="W965" t="s" s="35">
        <v>6188</v>
      </c>
      <c r="X965" s="36" cm="1">
        <f t="array" ref="X965">IF(OR(_xlfn.IFERROR(INDEX('Datos - Catálogo TIMSS'!$I$5:$I$107,MATCH(K965,'Datos - Catálogo TIMSS'!$A$5:$A$107,0)),"No")="Sí",_xlfn.IFERROR(INDEX('Datos - Catálogo TIMSS'!$I$5:$I$107,MATCH(L965,'Datos - Catálogo TIMSS'!$A$5:$A$107,0)),"No")="Sí"),1,0)</f>
        <v>0</v>
      </c>
      <c r="Y965" s="36" cm="1">
        <f t="array" ref="Y965">IF(_xlfn.IFERROR(INDEX('Datos - Catálogo TIMSS'!$J$5:$J$107,MATCH(K965,'Datos - Catálogo TIMSS'!$A$5:$A$107,0)),"No")="Sí",1,0)</f>
        <v>0</v>
      </c>
      <c r="Z965" s="36" cm="1">
        <f t="array" ref="Z965">IF(_xlfn.IFERROR(INDEX('Datos - Catálogo TIMSS'!$J$5:$J$107,MATCH(L965,'Datos - Catálogo TIMSS'!$A$5:$A$107,0)),"No")="Sí",1,0)</f>
        <v>0</v>
      </c>
      <c r="AA965" t="s" s="35">
        <v>1058</v>
      </c>
      <c r="AB965" s="39"/>
      <c r="AC965" t="str" s="39">
        <v>Sin marco</v>
      </c>
      <c r="AD965" t="s" s="35">
        <v>1859</v>
      </c>
      <c r="AE965" t="str" s="39" cm="1">
        <f t="array" ref="AE965">IF(AD965="","",IF(LEFT(AD965,1)="1","C1",IF(LEFT(AD965,1)="2","C2",IF(LEFT(AD965,1)="3","C3",""))))</f>
        <v>C1</v>
      </c>
      <c r="AF965" t="s" s="35">
        <v>1602</v>
      </c>
      <c r="AG965" t="s" s="35">
        <v>1617</v>
      </c>
      <c r="AH965" t="s" s="35">
        <v>1609</v>
      </c>
      <c r="AI965" t="s" s="35">
        <v>1623</v>
      </c>
      <c r="AJ965" t="s" s="35">
        <v>1607</v>
      </c>
      <c r="AK965" s="39"/>
      <c r="AL965" s="39"/>
      <c r="AM965" s="39"/>
      <c r="AN965" s="39"/>
      <c r="AO965" s="39"/>
      <c r="AP965" s="39"/>
      <c r="AQ965" s="39"/>
      <c r="AR965" s="39"/>
      <c r="AS965" s="39"/>
      <c r="AT965" s="39"/>
      <c r="AU965" s="39"/>
      <c r="AV965" s="39"/>
      <c r="AW965" t="str" s="39" cm="1">
        <f t="array" ref="AW965">AF965&amp;"; "&amp;AG965&amp;"; "&amp;AH965&amp;"; "&amp;AI965&amp;"; "&amp;AJ965</f>
        <v>E1; D1; E4; D4; E3</v>
      </c>
    </row>
    <row r="966" ht="13.65" customHeight="1">
      <c r="A966" t="s" s="35">
        <v>6471</v>
      </c>
      <c r="B966" s="36">
        <v>10</v>
      </c>
      <c r="C966" t="s" s="35">
        <v>220</v>
      </c>
      <c r="D966" t="s" s="35">
        <v>6180</v>
      </c>
      <c r="E966" t="s" s="35">
        <v>6181</v>
      </c>
      <c r="F966" s="36">
        <v>75</v>
      </c>
      <c r="G966" t="s" s="35">
        <v>6446</v>
      </c>
      <c r="H966" t="s" s="35">
        <v>6472</v>
      </c>
      <c r="I966" t="s" s="120">
        <v>6473</v>
      </c>
      <c r="J966" t="s" s="35">
        <v>6185</v>
      </c>
      <c r="K966" t="s" s="35">
        <v>1058</v>
      </c>
      <c r="L966" s="39"/>
      <c r="M966" t="str" s="39">
        <v>Sin marco</v>
      </c>
      <c r="N966" t="str" s="39">
        <v>Sin marco</v>
      </c>
      <c r="O966" t="str" s="39" cm="1">
        <f t="array" ref="O966">IF(L966="","",_xlfn.IFERROR(INDEX('Datos - Catálogo TIMSS'!$C$5:$C$107,MATCH(L966,'Datos - Catálogo TIMSS'!$A$5:$A$107,0)),"?"))</f>
      </c>
      <c r="P966" t="s" s="35">
        <v>1058</v>
      </c>
      <c r="Q966" t="s" s="120">
        <v>6186</v>
      </c>
      <c r="R966" t="s" s="120">
        <v>6474</v>
      </c>
      <c r="S966" s="121" cm="1">
        <f t="array" ref="S966">_xlfn.IFERROR(ISNUMBER(SEARCH("Conocer",$R966))/(ISNUMBER(SEARCH("Conocer",$R966))+ISNUMBER(SEARCH("Aplicar",$R966))+ISNUMBER(SEARCH("Razonar",$R966))),0)</f>
        <v>0</v>
      </c>
      <c r="T966" s="121" cm="1">
        <f t="array" ref="T966">_xlfn.IFERROR(ISNUMBER(SEARCH("Aplicar",$R966))/(ISNUMBER(SEARCH("Conocer",$R966))+ISNUMBER(SEARCH("Aplicar",$R966))+ISNUMBER(SEARCH("Razonar",$R966))),0)</f>
        <v>0.5</v>
      </c>
      <c r="U966" s="121" cm="1">
        <f t="array" ref="U966">_xlfn.IFERROR(ISNUMBER(SEARCH("Razonar",$R966))/(ISNUMBER(SEARCH("Conocer",$R966))+ISNUMBER(SEARCH("Aplicar",$R966))+ISNUMBER(SEARCH("Razonar",$R966))),0)</f>
        <v>0.5</v>
      </c>
      <c r="V966" t="s" s="35">
        <v>1405</v>
      </c>
      <c r="W966" t="s" s="35">
        <v>6188</v>
      </c>
      <c r="X966" s="36" cm="1">
        <f t="array" ref="X966">IF(OR(_xlfn.IFERROR(INDEX('Datos - Catálogo TIMSS'!$I$5:$I$107,MATCH(K966,'Datos - Catálogo TIMSS'!$A$5:$A$107,0)),"No")="Sí",_xlfn.IFERROR(INDEX('Datos - Catálogo TIMSS'!$I$5:$I$107,MATCH(L966,'Datos - Catálogo TIMSS'!$A$5:$A$107,0)),"No")="Sí"),1,0)</f>
        <v>0</v>
      </c>
      <c r="Y966" s="36" cm="1">
        <f t="array" ref="Y966">IF(_xlfn.IFERROR(INDEX('Datos - Catálogo TIMSS'!$J$5:$J$107,MATCH(K966,'Datos - Catálogo TIMSS'!$A$5:$A$107,0)),"No")="Sí",1,0)</f>
        <v>0</v>
      </c>
      <c r="Z966" s="36" cm="1">
        <f t="array" ref="Z966">IF(_xlfn.IFERROR(INDEX('Datos - Catálogo TIMSS'!$J$5:$J$107,MATCH(L966,'Datos - Catálogo TIMSS'!$A$5:$A$107,0)),"No")="Sí",1,0)</f>
        <v>0</v>
      </c>
      <c r="AA966" t="s" s="35">
        <v>1058</v>
      </c>
      <c r="AB966" s="39"/>
      <c r="AC966" t="str" s="39">
        <v>Sin marco</v>
      </c>
      <c r="AD966" t="s" s="35">
        <v>1834</v>
      </c>
      <c r="AE966" t="str" s="39" cm="1">
        <f t="array" ref="AE966">IF(AD966="","",IF(LEFT(AD966,1)="1","C1",IF(LEFT(AD966,1)="2","C2",IF(LEFT(AD966,1)="3","C3",""))))</f>
        <v>C2</v>
      </c>
      <c r="AF966" t="s" s="35">
        <v>1615</v>
      </c>
      <c r="AG966" t="s" s="35">
        <v>1612</v>
      </c>
      <c r="AH966" t="s" s="35">
        <v>1605</v>
      </c>
      <c r="AI966" t="s" s="35">
        <v>1623</v>
      </c>
      <c r="AJ966" t="s" s="35">
        <v>1627</v>
      </c>
      <c r="AK966" s="39"/>
      <c r="AL966" s="39"/>
      <c r="AM966" s="39"/>
      <c r="AN966" s="39"/>
      <c r="AO966" s="39"/>
      <c r="AP966" s="39"/>
      <c r="AQ966" s="39"/>
      <c r="AR966" s="39"/>
      <c r="AS966" s="39"/>
      <c r="AT966" s="39"/>
      <c r="AU966" s="39"/>
      <c r="AV966" s="39"/>
      <c r="AW966" t="str" s="39" cm="1">
        <f t="array" ref="AW966">AF966&amp;"; "&amp;AG966&amp;"; "&amp;AH966&amp;"; "&amp;AI966&amp;"; "&amp;AJ966</f>
        <v>E6; E5; E2; D4; I2</v>
      </c>
    </row>
    <row r="967" ht="13.65" customHeight="1">
      <c r="A967" t="s" s="35">
        <v>6476</v>
      </c>
      <c r="B967" s="36">
        <v>10</v>
      </c>
      <c r="C967" t="s" s="35">
        <v>220</v>
      </c>
      <c r="D967" t="s" s="35">
        <v>6180</v>
      </c>
      <c r="E967" t="s" s="35">
        <v>6181</v>
      </c>
      <c r="F967" s="36">
        <v>76</v>
      </c>
      <c r="G967" t="s" s="35">
        <v>6446</v>
      </c>
      <c r="H967" t="s" s="35">
        <v>6477</v>
      </c>
      <c r="I967" t="s" s="120">
        <v>6478</v>
      </c>
      <c r="J967" t="s" s="35">
        <v>6185</v>
      </c>
      <c r="K967" t="s" s="35">
        <v>1058</v>
      </c>
      <c r="L967" s="39"/>
      <c r="M967" t="str" s="39">
        <v>Sin marco</v>
      </c>
      <c r="N967" t="str" s="39">
        <v>Sin marco</v>
      </c>
      <c r="O967" t="str" s="39" cm="1">
        <f t="array" ref="O967">IF(L967="","",_xlfn.IFERROR(INDEX('Datos - Catálogo TIMSS'!$C$5:$C$107,MATCH(L967,'Datos - Catálogo TIMSS'!$A$5:$A$107,0)),"?"))</f>
      </c>
      <c r="P967" t="s" s="35">
        <v>1058</v>
      </c>
      <c r="Q967" t="s" s="120">
        <v>6186</v>
      </c>
      <c r="R967" t="s" s="120">
        <v>6479</v>
      </c>
      <c r="S967" s="121" cm="1">
        <f t="array" ref="S967">_xlfn.IFERROR(ISNUMBER(SEARCH("Conocer",$R967))/(ISNUMBER(SEARCH("Conocer",$R967))+ISNUMBER(SEARCH("Aplicar",$R967))+ISNUMBER(SEARCH("Razonar",$R967))),0)</f>
        <v>0</v>
      </c>
      <c r="T967" s="121" cm="1">
        <f t="array" ref="T967">_xlfn.IFERROR(ISNUMBER(SEARCH("Aplicar",$R967))/(ISNUMBER(SEARCH("Conocer",$R967))+ISNUMBER(SEARCH("Aplicar",$R967))+ISNUMBER(SEARCH("Razonar",$R967))),0)</f>
        <v>0.5</v>
      </c>
      <c r="U967" s="121" cm="1">
        <f t="array" ref="U967">_xlfn.IFERROR(ISNUMBER(SEARCH("Razonar",$R967))/(ISNUMBER(SEARCH("Conocer",$R967))+ISNUMBER(SEARCH("Aplicar",$R967))+ISNUMBER(SEARCH("Razonar",$R967))),0)</f>
        <v>0.5</v>
      </c>
      <c r="V967" t="s" s="35">
        <v>1405</v>
      </c>
      <c r="W967" t="s" s="35">
        <v>6188</v>
      </c>
      <c r="X967" s="36" cm="1">
        <f t="array" ref="X967">IF(OR(_xlfn.IFERROR(INDEX('Datos - Catálogo TIMSS'!$I$5:$I$107,MATCH(K967,'Datos - Catálogo TIMSS'!$A$5:$A$107,0)),"No")="Sí",_xlfn.IFERROR(INDEX('Datos - Catálogo TIMSS'!$I$5:$I$107,MATCH(L967,'Datos - Catálogo TIMSS'!$A$5:$A$107,0)),"No")="Sí"),1,0)</f>
        <v>0</v>
      </c>
      <c r="Y967" s="36" cm="1">
        <f t="array" ref="Y967">IF(_xlfn.IFERROR(INDEX('Datos - Catálogo TIMSS'!$J$5:$J$107,MATCH(K967,'Datos - Catálogo TIMSS'!$A$5:$A$107,0)),"No")="Sí",1,0)</f>
        <v>0</v>
      </c>
      <c r="Z967" s="36" cm="1">
        <f t="array" ref="Z967">IF(_xlfn.IFERROR(INDEX('Datos - Catálogo TIMSS'!$J$5:$J$107,MATCH(L967,'Datos - Catálogo TIMSS'!$A$5:$A$107,0)),"No")="Sí",1,0)</f>
        <v>0</v>
      </c>
      <c r="AA967" t="s" s="35">
        <v>1058</v>
      </c>
      <c r="AB967" s="39"/>
      <c r="AC967" t="str" s="39">
        <v>Sin marco</v>
      </c>
      <c r="AD967" t="s" s="35">
        <v>1859</v>
      </c>
      <c r="AE967" t="str" s="39" cm="1">
        <f t="array" ref="AE967">IF(AD967="","",IF(LEFT(AD967,1)="1","C1",IF(LEFT(AD967,1)="2","C2",IF(LEFT(AD967,1)="3","C3",""))))</f>
        <v>C1</v>
      </c>
      <c r="AF967" t="s" s="35">
        <v>1615</v>
      </c>
      <c r="AG967" t="s" s="35">
        <v>1607</v>
      </c>
      <c r="AH967" t="s" s="35">
        <v>1602</v>
      </c>
      <c r="AI967" t="s" s="35">
        <v>1623</v>
      </c>
      <c r="AJ967" t="s" s="35">
        <v>1633</v>
      </c>
      <c r="AK967" s="39"/>
      <c r="AL967" s="39"/>
      <c r="AM967" s="39"/>
      <c r="AN967" s="39"/>
      <c r="AO967" s="39"/>
      <c r="AP967" s="39"/>
      <c r="AQ967" s="39"/>
      <c r="AR967" s="39"/>
      <c r="AS967" s="39"/>
      <c r="AT967" s="39"/>
      <c r="AU967" s="39"/>
      <c r="AV967" s="39"/>
      <c r="AW967" t="str" s="39" cm="1">
        <f t="array" ref="AW967">AF967&amp;"; "&amp;AG967&amp;"; "&amp;AH967&amp;"; "&amp;AI967&amp;"; "&amp;AJ967</f>
        <v>E6; E3; E1; D4; I5</v>
      </c>
    </row>
    <row r="968" ht="13.65" customHeight="1">
      <c r="A968" t="s" s="35">
        <v>6480</v>
      </c>
      <c r="B968" s="36">
        <v>10</v>
      </c>
      <c r="C968" t="s" s="35">
        <v>220</v>
      </c>
      <c r="D968" t="s" s="35">
        <v>6180</v>
      </c>
      <c r="E968" t="s" s="35">
        <v>6181</v>
      </c>
      <c r="F968" s="36">
        <v>77</v>
      </c>
      <c r="G968" t="s" s="35">
        <v>6481</v>
      </c>
      <c r="H968" t="s" s="35">
        <v>6482</v>
      </c>
      <c r="I968" t="s" s="120">
        <v>6483</v>
      </c>
      <c r="J968" t="s" s="35">
        <v>6185</v>
      </c>
      <c r="K968" t="s" s="35">
        <v>1058</v>
      </c>
      <c r="L968" s="39"/>
      <c r="M968" t="str" s="39">
        <v>Sin marco</v>
      </c>
      <c r="N968" t="str" s="39">
        <v>Sin marco</v>
      </c>
      <c r="O968" t="str" s="39" cm="1">
        <f t="array" ref="O968">IF(L968="","",_xlfn.IFERROR(INDEX('Datos - Catálogo TIMSS'!$C$5:$C$107,MATCH(L968,'Datos - Catálogo TIMSS'!$A$5:$A$107,0)),"?"))</f>
      </c>
      <c r="P968" t="s" s="35">
        <v>1058</v>
      </c>
      <c r="Q968" t="s" s="120">
        <v>6186</v>
      </c>
      <c r="R968" t="s" s="120">
        <v>6484</v>
      </c>
      <c r="S968" s="121" cm="1">
        <f t="array" ref="S968">_xlfn.IFERROR(ISNUMBER(SEARCH("Conocer",$R968))/(ISNUMBER(SEARCH("Conocer",$R968))+ISNUMBER(SEARCH("Aplicar",$R968))+ISNUMBER(SEARCH("Razonar",$R968))),0)</f>
        <v>0.333333333333333</v>
      </c>
      <c r="T968" s="121" cm="1">
        <f t="array" ref="T968">_xlfn.IFERROR(ISNUMBER(SEARCH("Aplicar",$R968))/(ISNUMBER(SEARCH("Conocer",$R968))+ISNUMBER(SEARCH("Aplicar",$R968))+ISNUMBER(SEARCH("Razonar",$R968))),0)</f>
        <v>0.333333333333333</v>
      </c>
      <c r="U968" s="121" cm="1">
        <f t="array" ref="U968">_xlfn.IFERROR(ISNUMBER(SEARCH("Razonar",$R968))/(ISNUMBER(SEARCH("Conocer",$R968))+ISNUMBER(SEARCH("Aplicar",$R968))+ISNUMBER(SEARCH("Razonar",$R968))),0)</f>
        <v>0.333333333333333</v>
      </c>
      <c r="V968" t="s" s="35">
        <v>1405</v>
      </c>
      <c r="W968" t="s" s="35">
        <v>6188</v>
      </c>
      <c r="X968" s="36" cm="1">
        <f t="array" ref="X968">IF(OR(_xlfn.IFERROR(INDEX('Datos - Catálogo TIMSS'!$I$5:$I$107,MATCH(K968,'Datos - Catálogo TIMSS'!$A$5:$A$107,0)),"No")="Sí",_xlfn.IFERROR(INDEX('Datos - Catálogo TIMSS'!$I$5:$I$107,MATCH(L968,'Datos - Catálogo TIMSS'!$A$5:$A$107,0)),"No")="Sí"),1,0)</f>
        <v>0</v>
      </c>
      <c r="Y968" s="36" cm="1">
        <f t="array" ref="Y968">IF(_xlfn.IFERROR(INDEX('Datos - Catálogo TIMSS'!$J$5:$J$107,MATCH(K968,'Datos - Catálogo TIMSS'!$A$5:$A$107,0)),"No")="Sí",1,0)</f>
        <v>0</v>
      </c>
      <c r="Z968" s="36" cm="1">
        <f t="array" ref="Z968">IF(_xlfn.IFERROR(INDEX('Datos - Catálogo TIMSS'!$J$5:$J$107,MATCH(L968,'Datos - Catálogo TIMSS'!$A$5:$A$107,0)),"No")="Sí",1,0)</f>
        <v>0</v>
      </c>
      <c r="AA968" t="s" s="35">
        <v>1058</v>
      </c>
      <c r="AB968" s="39"/>
      <c r="AC968" t="str" s="39">
        <v>Sin marco</v>
      </c>
      <c r="AD968" t="s" s="35">
        <v>1859</v>
      </c>
      <c r="AE968" t="str" s="39" cm="1">
        <f t="array" ref="AE968">IF(AD968="","",IF(LEFT(AD968,1)="1","C1",IF(LEFT(AD968,1)="2","C2",IF(LEFT(AD968,1)="3","C3",""))))</f>
        <v>C1</v>
      </c>
      <c r="AF968" t="s" s="35">
        <v>1602</v>
      </c>
      <c r="AG968" t="s" s="35">
        <v>1617</v>
      </c>
      <c r="AH968" t="s" s="35">
        <v>1605</v>
      </c>
      <c r="AI968" t="s" s="35">
        <v>1623</v>
      </c>
      <c r="AJ968" t="s" s="35">
        <v>1607</v>
      </c>
      <c r="AK968" s="39"/>
      <c r="AL968" s="39"/>
      <c r="AM968" s="39"/>
      <c r="AN968" s="39"/>
      <c r="AO968" s="39"/>
      <c r="AP968" s="39"/>
      <c r="AQ968" s="39"/>
      <c r="AR968" s="39"/>
      <c r="AS968" s="39"/>
      <c r="AT968" s="39"/>
      <c r="AU968" s="39"/>
      <c r="AV968" s="39"/>
      <c r="AW968" t="str" s="39" cm="1">
        <f t="array" ref="AW968">AF968&amp;"; "&amp;AG968&amp;"; "&amp;AH968&amp;"; "&amp;AI968&amp;"; "&amp;AJ968</f>
        <v>E1; D1; E2; D4; E3</v>
      </c>
    </row>
    <row r="969" ht="13.65" customHeight="1">
      <c r="A969" t="s" s="35">
        <v>6485</v>
      </c>
      <c r="B969" s="36">
        <v>10</v>
      </c>
      <c r="C969" t="s" s="35">
        <v>220</v>
      </c>
      <c r="D969" t="s" s="35">
        <v>6180</v>
      </c>
      <c r="E969" t="s" s="35">
        <v>6181</v>
      </c>
      <c r="F969" s="36">
        <v>78</v>
      </c>
      <c r="G969" t="s" s="35">
        <v>6481</v>
      </c>
      <c r="H969" t="s" s="35">
        <v>6486</v>
      </c>
      <c r="I969" t="s" s="120">
        <v>6487</v>
      </c>
      <c r="J969" t="s" s="35">
        <v>6185</v>
      </c>
      <c r="K969" t="s" s="35">
        <v>1058</v>
      </c>
      <c r="L969" s="39"/>
      <c r="M969" t="str" s="39">
        <v>Sin marco</v>
      </c>
      <c r="N969" t="str" s="39">
        <v>Sin marco</v>
      </c>
      <c r="O969" t="str" s="39" cm="1">
        <f t="array" ref="O969">IF(L969="","",_xlfn.IFERROR(INDEX('Datos - Catálogo TIMSS'!$C$5:$C$107,MATCH(L969,'Datos - Catálogo TIMSS'!$A$5:$A$107,0)),"?"))</f>
      </c>
      <c r="P969" t="s" s="35">
        <v>1058</v>
      </c>
      <c r="Q969" t="s" s="120">
        <v>6186</v>
      </c>
      <c r="R969" t="s" s="120">
        <v>6488</v>
      </c>
      <c r="S969" s="121" cm="1">
        <f t="array" ref="S969">_xlfn.IFERROR(ISNUMBER(SEARCH("Conocer",$R969))/(ISNUMBER(SEARCH("Conocer",$R969))+ISNUMBER(SEARCH("Aplicar",$R969))+ISNUMBER(SEARCH("Razonar",$R969))),0)</f>
        <v>0</v>
      </c>
      <c r="T969" s="121" cm="1">
        <f t="array" ref="T969">_xlfn.IFERROR(ISNUMBER(SEARCH("Aplicar",$R969))/(ISNUMBER(SEARCH("Conocer",$R969))+ISNUMBER(SEARCH("Aplicar",$R969))+ISNUMBER(SEARCH("Razonar",$R969))),0)</f>
        <v>0.5</v>
      </c>
      <c r="U969" s="121" cm="1">
        <f t="array" ref="U969">_xlfn.IFERROR(ISNUMBER(SEARCH("Razonar",$R969))/(ISNUMBER(SEARCH("Conocer",$R969))+ISNUMBER(SEARCH("Aplicar",$R969))+ISNUMBER(SEARCH("Razonar",$R969))),0)</f>
        <v>0.5</v>
      </c>
      <c r="V969" t="s" s="35">
        <v>1405</v>
      </c>
      <c r="W969" t="s" s="35">
        <v>6188</v>
      </c>
      <c r="X969" s="36" cm="1">
        <f t="array" ref="X969">IF(OR(_xlfn.IFERROR(INDEX('Datos - Catálogo TIMSS'!$I$5:$I$107,MATCH(K969,'Datos - Catálogo TIMSS'!$A$5:$A$107,0)),"No")="Sí",_xlfn.IFERROR(INDEX('Datos - Catálogo TIMSS'!$I$5:$I$107,MATCH(L969,'Datos - Catálogo TIMSS'!$A$5:$A$107,0)),"No")="Sí"),1,0)</f>
        <v>0</v>
      </c>
      <c r="Y969" s="36" cm="1">
        <f t="array" ref="Y969">IF(_xlfn.IFERROR(INDEX('Datos - Catálogo TIMSS'!$J$5:$J$107,MATCH(K969,'Datos - Catálogo TIMSS'!$A$5:$A$107,0)),"No")="Sí",1,0)</f>
        <v>0</v>
      </c>
      <c r="Z969" s="36" cm="1">
        <f t="array" ref="Z969">IF(_xlfn.IFERROR(INDEX('Datos - Catálogo TIMSS'!$J$5:$J$107,MATCH(L969,'Datos - Catálogo TIMSS'!$A$5:$A$107,0)),"No")="Sí",1,0)</f>
        <v>0</v>
      </c>
      <c r="AA969" t="s" s="35">
        <v>1058</v>
      </c>
      <c r="AB969" s="39"/>
      <c r="AC969" t="str" s="39">
        <v>Sin marco</v>
      </c>
      <c r="AD969" t="s" s="35">
        <v>1859</v>
      </c>
      <c r="AE969" t="str" s="39" cm="1">
        <f t="array" ref="AE969">IF(AD969="","",IF(LEFT(AD969,1)="1","C1",IF(LEFT(AD969,1)="2","C2",IF(LEFT(AD969,1)="3","C3",""))))</f>
        <v>C1</v>
      </c>
      <c r="AF969" t="s" s="35">
        <v>1615</v>
      </c>
      <c r="AG969" t="s" s="35">
        <v>1612</v>
      </c>
      <c r="AH969" t="s" s="35">
        <v>1609</v>
      </c>
      <c r="AI969" t="s" s="35">
        <v>1629</v>
      </c>
      <c r="AJ969" t="s" s="35">
        <v>1607</v>
      </c>
      <c r="AK969" s="39"/>
      <c r="AL969" s="39"/>
      <c r="AM969" s="39"/>
      <c r="AN969" s="39"/>
      <c r="AO969" s="39"/>
      <c r="AP969" s="39"/>
      <c r="AQ969" s="39"/>
      <c r="AR969" s="39"/>
      <c r="AS969" s="39"/>
      <c r="AT969" s="39"/>
      <c r="AU969" s="39"/>
      <c r="AV969" s="39"/>
      <c r="AW969" t="str" s="39" cm="1">
        <f t="array" ref="AW969">AF969&amp;"; "&amp;AG969&amp;"; "&amp;AH969&amp;"; "&amp;AI969&amp;"; "&amp;AJ969</f>
        <v>E6; E5; E4; I3; E3</v>
      </c>
    </row>
    <row r="970" ht="13.65" customHeight="1">
      <c r="A970" t="s" s="35">
        <v>6489</v>
      </c>
      <c r="B970" s="36">
        <v>10</v>
      </c>
      <c r="C970" t="s" s="35">
        <v>220</v>
      </c>
      <c r="D970" t="s" s="35">
        <v>6180</v>
      </c>
      <c r="E970" t="s" s="35">
        <v>6181</v>
      </c>
      <c r="F970" s="36">
        <v>79</v>
      </c>
      <c r="G970" t="s" s="35">
        <v>6481</v>
      </c>
      <c r="H970" t="s" s="35">
        <v>6490</v>
      </c>
      <c r="I970" t="s" s="120">
        <v>6491</v>
      </c>
      <c r="J970" t="s" s="35">
        <v>6185</v>
      </c>
      <c r="K970" t="s" s="35">
        <v>1058</v>
      </c>
      <c r="L970" s="39"/>
      <c r="M970" t="str" s="39">
        <v>Sin marco</v>
      </c>
      <c r="N970" t="str" s="39">
        <v>Sin marco</v>
      </c>
      <c r="O970" t="str" s="39" cm="1">
        <f t="array" ref="O970">IF(L970="","",_xlfn.IFERROR(INDEX('Datos - Catálogo TIMSS'!$C$5:$C$107,MATCH(L970,'Datos - Catálogo TIMSS'!$A$5:$A$107,0)),"?"))</f>
      </c>
      <c r="P970" t="s" s="35">
        <v>1058</v>
      </c>
      <c r="Q970" t="s" s="120">
        <v>6186</v>
      </c>
      <c r="R970" t="s" s="120">
        <v>6492</v>
      </c>
      <c r="S970" s="121" cm="1">
        <f t="array" ref="S970">_xlfn.IFERROR(ISNUMBER(SEARCH("Conocer",$R970))/(ISNUMBER(SEARCH("Conocer",$R970))+ISNUMBER(SEARCH("Aplicar",$R970))+ISNUMBER(SEARCH("Razonar",$R970))),0)</f>
        <v>0.5</v>
      </c>
      <c r="T970" s="121" cm="1">
        <f t="array" ref="T970">_xlfn.IFERROR(ISNUMBER(SEARCH("Aplicar",$R970))/(ISNUMBER(SEARCH("Conocer",$R970))+ISNUMBER(SEARCH("Aplicar",$R970))+ISNUMBER(SEARCH("Razonar",$R970))),0)</f>
        <v>0</v>
      </c>
      <c r="U970" s="121" cm="1">
        <f t="array" ref="U970">_xlfn.IFERROR(ISNUMBER(SEARCH("Razonar",$R970))/(ISNUMBER(SEARCH("Conocer",$R970))+ISNUMBER(SEARCH("Aplicar",$R970))+ISNUMBER(SEARCH("Razonar",$R970))),0)</f>
        <v>0.5</v>
      </c>
      <c r="V970" t="s" s="35">
        <v>1405</v>
      </c>
      <c r="W970" t="s" s="35">
        <v>6188</v>
      </c>
      <c r="X970" s="36" cm="1">
        <f t="array" ref="X970">IF(OR(_xlfn.IFERROR(INDEX('Datos - Catálogo TIMSS'!$I$5:$I$107,MATCH(K970,'Datos - Catálogo TIMSS'!$A$5:$A$107,0)),"No")="Sí",_xlfn.IFERROR(INDEX('Datos - Catálogo TIMSS'!$I$5:$I$107,MATCH(L970,'Datos - Catálogo TIMSS'!$A$5:$A$107,0)),"No")="Sí"),1,0)</f>
        <v>0</v>
      </c>
      <c r="Y970" s="36" cm="1">
        <f t="array" ref="Y970">IF(_xlfn.IFERROR(INDEX('Datos - Catálogo TIMSS'!$J$5:$J$107,MATCH(K970,'Datos - Catálogo TIMSS'!$A$5:$A$107,0)),"No")="Sí",1,0)</f>
        <v>0</v>
      </c>
      <c r="Z970" s="36" cm="1">
        <f t="array" ref="Z970">IF(_xlfn.IFERROR(INDEX('Datos - Catálogo TIMSS'!$J$5:$J$107,MATCH(L970,'Datos - Catálogo TIMSS'!$A$5:$A$107,0)),"No")="Sí",1,0)</f>
        <v>0</v>
      </c>
      <c r="AA970" t="s" s="35">
        <v>1058</v>
      </c>
      <c r="AB970" s="39"/>
      <c r="AC970" t="str" s="39">
        <v>Sin marco</v>
      </c>
      <c r="AD970" t="s" s="35">
        <v>1834</v>
      </c>
      <c r="AE970" t="str" s="39" cm="1">
        <f t="array" ref="AE970">IF(AD970="","",IF(LEFT(AD970,1)="1","C1",IF(LEFT(AD970,1)="2","C2",IF(LEFT(AD970,1)="3","C3",""))))</f>
        <v>C2</v>
      </c>
      <c r="AF970" t="s" s="35">
        <v>1602</v>
      </c>
      <c r="AG970" t="s" s="35">
        <v>1617</v>
      </c>
      <c r="AH970" t="s" s="35">
        <v>1602</v>
      </c>
      <c r="AI970" t="s" s="35">
        <v>1619</v>
      </c>
      <c r="AJ970" t="s" s="35">
        <v>1621</v>
      </c>
      <c r="AK970" s="39"/>
      <c r="AL970" s="39"/>
      <c r="AM970" s="39"/>
      <c r="AN970" s="39"/>
      <c r="AO970" s="39"/>
      <c r="AP970" s="39"/>
      <c r="AQ970" s="39"/>
      <c r="AR970" s="39"/>
      <c r="AS970" s="39"/>
      <c r="AT970" s="39"/>
      <c r="AU970" s="39"/>
      <c r="AV970" s="39"/>
      <c r="AW970" t="str" s="39" cm="1">
        <f t="array" ref="AW970">AF970&amp;"; "&amp;AG970&amp;"; "&amp;AH970&amp;"; "&amp;AI970&amp;"; "&amp;AJ970</f>
        <v>E1; D1; E1; D2; D3</v>
      </c>
    </row>
    <row r="971" ht="13.65" customHeight="1">
      <c r="A971" t="s" s="35">
        <v>6493</v>
      </c>
      <c r="B971" s="36">
        <v>10</v>
      </c>
      <c r="C971" t="s" s="35">
        <v>220</v>
      </c>
      <c r="D971" t="s" s="35">
        <v>6180</v>
      </c>
      <c r="E971" t="s" s="35">
        <v>6181</v>
      </c>
      <c r="F971" s="36">
        <v>80</v>
      </c>
      <c r="G971" t="s" s="35">
        <v>6481</v>
      </c>
      <c r="H971" t="s" s="35">
        <v>6494</v>
      </c>
      <c r="I971" t="s" s="120">
        <v>6495</v>
      </c>
      <c r="J971" t="s" s="35">
        <v>6185</v>
      </c>
      <c r="K971" t="s" s="35">
        <v>1058</v>
      </c>
      <c r="L971" s="39"/>
      <c r="M971" t="str" s="39">
        <v>Sin marco</v>
      </c>
      <c r="N971" t="str" s="39">
        <v>Sin marco</v>
      </c>
      <c r="O971" t="str" s="39" cm="1">
        <f t="array" ref="O971">IF(L971="","",_xlfn.IFERROR(INDEX('Datos - Catálogo TIMSS'!$C$5:$C$107,MATCH(L971,'Datos - Catálogo TIMSS'!$A$5:$A$107,0)),"?"))</f>
      </c>
      <c r="P971" t="s" s="35">
        <v>1058</v>
      </c>
      <c r="Q971" t="s" s="120">
        <v>6186</v>
      </c>
      <c r="R971" t="s" s="120">
        <v>6496</v>
      </c>
      <c r="S971" s="121" cm="1">
        <f t="array" ref="S971">_xlfn.IFERROR(ISNUMBER(SEARCH("Conocer",$R971))/(ISNUMBER(SEARCH("Conocer",$R971))+ISNUMBER(SEARCH("Aplicar",$R971))+ISNUMBER(SEARCH("Razonar",$R971))),0)</f>
        <v>0.333333333333333</v>
      </c>
      <c r="T971" s="121" cm="1">
        <f t="array" ref="T971">_xlfn.IFERROR(ISNUMBER(SEARCH("Aplicar",$R971))/(ISNUMBER(SEARCH("Conocer",$R971))+ISNUMBER(SEARCH("Aplicar",$R971))+ISNUMBER(SEARCH("Razonar",$R971))),0)</f>
        <v>0.333333333333333</v>
      </c>
      <c r="U971" s="121" cm="1">
        <f t="array" ref="U971">_xlfn.IFERROR(ISNUMBER(SEARCH("Razonar",$R971))/(ISNUMBER(SEARCH("Conocer",$R971))+ISNUMBER(SEARCH("Aplicar",$R971))+ISNUMBER(SEARCH("Razonar",$R971))),0)</f>
        <v>0.333333333333333</v>
      </c>
      <c r="V971" t="s" s="35">
        <v>1405</v>
      </c>
      <c r="W971" t="s" s="35">
        <v>6188</v>
      </c>
      <c r="X971" s="36" cm="1">
        <f t="array" ref="X971">IF(OR(_xlfn.IFERROR(INDEX('Datos - Catálogo TIMSS'!$I$5:$I$107,MATCH(K971,'Datos - Catálogo TIMSS'!$A$5:$A$107,0)),"No")="Sí",_xlfn.IFERROR(INDEX('Datos - Catálogo TIMSS'!$I$5:$I$107,MATCH(L971,'Datos - Catálogo TIMSS'!$A$5:$A$107,0)),"No")="Sí"),1,0)</f>
        <v>0</v>
      </c>
      <c r="Y971" s="36" cm="1">
        <f t="array" ref="Y971">IF(_xlfn.IFERROR(INDEX('Datos - Catálogo TIMSS'!$J$5:$J$107,MATCH(K971,'Datos - Catálogo TIMSS'!$A$5:$A$107,0)),"No")="Sí",1,0)</f>
        <v>0</v>
      </c>
      <c r="Z971" s="36" cm="1">
        <f t="array" ref="Z971">IF(_xlfn.IFERROR(INDEX('Datos - Catálogo TIMSS'!$J$5:$J$107,MATCH(L971,'Datos - Catálogo TIMSS'!$A$5:$A$107,0)),"No")="Sí",1,0)</f>
        <v>0</v>
      </c>
      <c r="AA971" t="s" s="35">
        <v>1058</v>
      </c>
      <c r="AB971" s="39"/>
      <c r="AC971" t="str" s="39">
        <v>Sin marco</v>
      </c>
      <c r="AD971" t="s" s="35">
        <v>1900</v>
      </c>
      <c r="AE971" t="str" s="39" cm="1">
        <f t="array" ref="AE971">IF(AD971="","",IF(LEFT(AD971,1)="1","C1",IF(LEFT(AD971,1)="2","C2",IF(LEFT(AD971,1)="3","C3",""))))</f>
        <v>C3</v>
      </c>
      <c r="AF971" t="s" s="35">
        <v>1615</v>
      </c>
      <c r="AG971" t="s" s="35">
        <v>1617</v>
      </c>
      <c r="AH971" t="s" s="35">
        <v>1605</v>
      </c>
      <c r="AI971" t="s" s="35">
        <v>1625</v>
      </c>
      <c r="AJ971" t="s" s="35">
        <v>1633</v>
      </c>
      <c r="AK971" s="39"/>
      <c r="AL971" s="39"/>
      <c r="AM971" s="39"/>
      <c r="AN971" s="39"/>
      <c r="AO971" s="39"/>
      <c r="AP971" s="39"/>
      <c r="AQ971" s="39"/>
      <c r="AR971" s="39"/>
      <c r="AS971" s="39"/>
      <c r="AT971" s="39"/>
      <c r="AU971" s="39"/>
      <c r="AV971" s="39"/>
      <c r="AW971" t="str" s="39" cm="1">
        <f t="array" ref="AW971">AF971&amp;"; "&amp;AG971&amp;"; "&amp;AH971&amp;"; "&amp;AI971&amp;"; "&amp;AJ971</f>
        <v>E6; D1; E2; I1; I5</v>
      </c>
    </row>
    <row r="972" ht="13.65" customHeight="1">
      <c r="A972" t="s" s="35">
        <v>6497</v>
      </c>
      <c r="B972" s="36">
        <v>10</v>
      </c>
      <c r="C972" t="s" s="35">
        <v>220</v>
      </c>
      <c r="D972" t="s" s="35">
        <v>6180</v>
      </c>
      <c r="E972" t="s" s="35">
        <v>6181</v>
      </c>
      <c r="F972" s="36">
        <v>81</v>
      </c>
      <c r="G972" t="s" s="35">
        <v>6498</v>
      </c>
      <c r="H972" t="s" s="35">
        <v>4114</v>
      </c>
      <c r="I972" t="s" s="120">
        <v>6499</v>
      </c>
      <c r="J972" t="s" s="35">
        <v>6185</v>
      </c>
      <c r="K972" t="s" s="35">
        <v>1058</v>
      </c>
      <c r="L972" s="39"/>
      <c r="M972" t="str" s="39">
        <v>Sin marco</v>
      </c>
      <c r="N972" t="str" s="39">
        <v>Sin marco</v>
      </c>
      <c r="O972" t="str" s="39" cm="1">
        <f t="array" ref="O972">IF(L972="","",_xlfn.IFERROR(INDEX('Datos - Catálogo TIMSS'!$C$5:$C$107,MATCH(L972,'Datos - Catálogo TIMSS'!$A$5:$A$107,0)),"?"))</f>
      </c>
      <c r="P972" t="s" s="35">
        <v>1058</v>
      </c>
      <c r="Q972" t="s" s="120">
        <v>6186</v>
      </c>
      <c r="R972" t="s" s="120">
        <v>6500</v>
      </c>
      <c r="S972" s="121" cm="1">
        <f t="array" ref="S972">_xlfn.IFERROR(ISNUMBER(SEARCH("Conocer",$R972))/(ISNUMBER(SEARCH("Conocer",$R972))+ISNUMBER(SEARCH("Aplicar",$R972))+ISNUMBER(SEARCH("Razonar",$R972))),0)</f>
        <v>0</v>
      </c>
      <c r="T972" s="121" cm="1">
        <f t="array" ref="T972">_xlfn.IFERROR(ISNUMBER(SEARCH("Aplicar",$R972))/(ISNUMBER(SEARCH("Conocer",$R972))+ISNUMBER(SEARCH("Aplicar",$R972))+ISNUMBER(SEARCH("Razonar",$R972))),0)</f>
        <v>0.5</v>
      </c>
      <c r="U972" s="121" cm="1">
        <f t="array" ref="U972">_xlfn.IFERROR(ISNUMBER(SEARCH("Razonar",$R972))/(ISNUMBER(SEARCH("Conocer",$R972))+ISNUMBER(SEARCH("Aplicar",$R972))+ISNUMBER(SEARCH("Razonar",$R972))),0)</f>
        <v>0.5</v>
      </c>
      <c r="V972" t="s" s="35">
        <v>1405</v>
      </c>
      <c r="W972" t="s" s="35">
        <v>6188</v>
      </c>
      <c r="X972" s="36" cm="1">
        <f t="array" ref="X972">IF(OR(_xlfn.IFERROR(INDEX('Datos - Catálogo TIMSS'!$I$5:$I$107,MATCH(K972,'Datos - Catálogo TIMSS'!$A$5:$A$107,0)),"No")="Sí",_xlfn.IFERROR(INDEX('Datos - Catálogo TIMSS'!$I$5:$I$107,MATCH(L972,'Datos - Catálogo TIMSS'!$A$5:$A$107,0)),"No")="Sí"),1,0)</f>
        <v>0</v>
      </c>
      <c r="Y972" s="36" cm="1">
        <f t="array" ref="Y972">IF(_xlfn.IFERROR(INDEX('Datos - Catálogo TIMSS'!$J$5:$J$107,MATCH(K972,'Datos - Catálogo TIMSS'!$A$5:$A$107,0)),"No")="Sí",1,0)</f>
        <v>0</v>
      </c>
      <c r="Z972" s="36" cm="1">
        <f t="array" ref="Z972">IF(_xlfn.IFERROR(INDEX('Datos - Catálogo TIMSS'!$J$5:$J$107,MATCH(L972,'Datos - Catálogo TIMSS'!$A$5:$A$107,0)),"No")="Sí",1,0)</f>
        <v>0</v>
      </c>
      <c r="AA972" t="s" s="35">
        <v>1058</v>
      </c>
      <c r="AB972" s="39"/>
      <c r="AC972" t="str" s="39">
        <v>Sin marco</v>
      </c>
      <c r="AD972" t="s" s="35">
        <v>1859</v>
      </c>
      <c r="AE972" t="str" s="39" cm="1">
        <f t="array" ref="AE972">IF(AD972="","",IF(LEFT(AD972,1)="1","C1",IF(LEFT(AD972,1)="2","C2",IF(LEFT(AD972,1)="3","C3",""))))</f>
        <v>C1</v>
      </c>
      <c r="AF972" t="s" s="35">
        <v>1602</v>
      </c>
      <c r="AG972" t="s" s="35">
        <v>1607</v>
      </c>
      <c r="AH972" t="s" s="35">
        <v>1605</v>
      </c>
      <c r="AI972" t="s" s="35">
        <v>1623</v>
      </c>
      <c r="AJ972" t="s" s="35">
        <v>1633</v>
      </c>
      <c r="AK972" s="39"/>
      <c r="AL972" s="39"/>
      <c r="AM972" s="39"/>
      <c r="AN972" s="39"/>
      <c r="AO972" s="39"/>
      <c r="AP972" s="39"/>
      <c r="AQ972" s="39"/>
      <c r="AR972" s="39"/>
      <c r="AS972" s="39"/>
      <c r="AT972" s="39"/>
      <c r="AU972" s="39"/>
      <c r="AV972" s="39"/>
      <c r="AW972" t="str" s="39" cm="1">
        <f t="array" ref="AW972">AF972&amp;"; "&amp;AG972&amp;"; "&amp;AH972&amp;"; "&amp;AI972&amp;"; "&amp;AJ972</f>
        <v>E1; E3; E2; D4; I5</v>
      </c>
    </row>
    <row r="973" ht="13.65" customHeight="1">
      <c r="A973" t="s" s="35">
        <v>6501</v>
      </c>
      <c r="B973" s="36">
        <v>10</v>
      </c>
      <c r="C973" t="s" s="35">
        <v>220</v>
      </c>
      <c r="D973" t="s" s="35">
        <v>6180</v>
      </c>
      <c r="E973" t="s" s="35">
        <v>6181</v>
      </c>
      <c r="F973" s="36">
        <v>82</v>
      </c>
      <c r="G973" t="s" s="35">
        <v>6498</v>
      </c>
      <c r="H973" t="s" s="35">
        <v>4114</v>
      </c>
      <c r="I973" t="s" s="120">
        <v>6502</v>
      </c>
      <c r="J973" t="s" s="35">
        <v>6185</v>
      </c>
      <c r="K973" t="s" s="35">
        <v>1058</v>
      </c>
      <c r="L973" s="39"/>
      <c r="M973" t="str" s="39">
        <v>Sin marco</v>
      </c>
      <c r="N973" t="str" s="39">
        <v>Sin marco</v>
      </c>
      <c r="O973" t="str" s="39" cm="1">
        <f t="array" ref="O973">IF(L973="","",_xlfn.IFERROR(INDEX('Datos - Catálogo TIMSS'!$C$5:$C$107,MATCH(L973,'Datos - Catálogo TIMSS'!$A$5:$A$107,0)),"?"))</f>
      </c>
      <c r="P973" t="s" s="35">
        <v>1058</v>
      </c>
      <c r="Q973" t="s" s="120">
        <v>6186</v>
      </c>
      <c r="R973" t="s" s="120">
        <v>6503</v>
      </c>
      <c r="S973" s="121" cm="1">
        <f t="array" ref="S973">_xlfn.IFERROR(ISNUMBER(SEARCH("Conocer",$R973))/(ISNUMBER(SEARCH("Conocer",$R973))+ISNUMBER(SEARCH("Aplicar",$R973))+ISNUMBER(SEARCH("Razonar",$R973))),0)</f>
        <v>0</v>
      </c>
      <c r="T973" s="121" cm="1">
        <f t="array" ref="T973">_xlfn.IFERROR(ISNUMBER(SEARCH("Aplicar",$R973))/(ISNUMBER(SEARCH("Conocer",$R973))+ISNUMBER(SEARCH("Aplicar",$R973))+ISNUMBER(SEARCH("Razonar",$R973))),0)</f>
        <v>0.5</v>
      </c>
      <c r="U973" s="121" cm="1">
        <f t="array" ref="U973">_xlfn.IFERROR(ISNUMBER(SEARCH("Razonar",$R973))/(ISNUMBER(SEARCH("Conocer",$R973))+ISNUMBER(SEARCH("Aplicar",$R973))+ISNUMBER(SEARCH("Razonar",$R973))),0)</f>
        <v>0.5</v>
      </c>
      <c r="V973" t="s" s="35">
        <v>1405</v>
      </c>
      <c r="W973" t="s" s="35">
        <v>6188</v>
      </c>
      <c r="X973" s="36" cm="1">
        <f t="array" ref="X973">IF(OR(_xlfn.IFERROR(INDEX('Datos - Catálogo TIMSS'!$I$5:$I$107,MATCH(K973,'Datos - Catálogo TIMSS'!$A$5:$A$107,0)),"No")="Sí",_xlfn.IFERROR(INDEX('Datos - Catálogo TIMSS'!$I$5:$I$107,MATCH(L973,'Datos - Catálogo TIMSS'!$A$5:$A$107,0)),"No")="Sí"),1,0)</f>
        <v>0</v>
      </c>
      <c r="Y973" s="36" cm="1">
        <f t="array" ref="Y973">IF(_xlfn.IFERROR(INDEX('Datos - Catálogo TIMSS'!$J$5:$J$107,MATCH(K973,'Datos - Catálogo TIMSS'!$A$5:$A$107,0)),"No")="Sí",1,0)</f>
        <v>0</v>
      </c>
      <c r="Z973" s="36" cm="1">
        <f t="array" ref="Z973">IF(_xlfn.IFERROR(INDEX('Datos - Catálogo TIMSS'!$J$5:$J$107,MATCH(L973,'Datos - Catálogo TIMSS'!$A$5:$A$107,0)),"No")="Sí",1,0)</f>
        <v>0</v>
      </c>
      <c r="AA973" t="s" s="35">
        <v>1058</v>
      </c>
      <c r="AB973" s="39"/>
      <c r="AC973" t="str" s="39">
        <v>Sin marco</v>
      </c>
      <c r="AD973" t="s" s="35">
        <v>1834</v>
      </c>
      <c r="AE973" t="str" s="39" cm="1">
        <f t="array" ref="AE973">IF(AD973="","",IF(LEFT(AD973,1)="1","C1",IF(LEFT(AD973,1)="2","C2",IF(LEFT(AD973,1)="3","C3",""))))</f>
        <v>C2</v>
      </c>
      <c r="AF973" t="s" s="35">
        <v>1602</v>
      </c>
      <c r="AG973" t="s" s="35">
        <v>1617</v>
      </c>
      <c r="AH973" t="s" s="35">
        <v>1609</v>
      </c>
      <c r="AI973" t="s" s="35">
        <v>1623</v>
      </c>
      <c r="AJ973" t="s" s="35">
        <v>1621</v>
      </c>
      <c r="AK973" s="39"/>
      <c r="AL973" s="39"/>
      <c r="AM973" s="39"/>
      <c r="AN973" s="39"/>
      <c r="AO973" s="39"/>
      <c r="AP973" s="39"/>
      <c r="AQ973" s="39"/>
      <c r="AR973" s="39"/>
      <c r="AS973" s="39"/>
      <c r="AT973" s="39"/>
      <c r="AU973" s="39"/>
      <c r="AV973" s="39"/>
      <c r="AW973" t="str" s="39" cm="1">
        <f t="array" ref="AW973">AF973&amp;"; "&amp;AG973&amp;"; "&amp;AH973&amp;"; "&amp;AI973&amp;"; "&amp;AJ973</f>
        <v>E1; D1; E4; D4; D3</v>
      </c>
    </row>
    <row r="974" ht="13.65" customHeight="1">
      <c r="A974" t="s" s="35">
        <v>6505</v>
      </c>
      <c r="B974" s="36">
        <v>10</v>
      </c>
      <c r="C974" t="s" s="35">
        <v>220</v>
      </c>
      <c r="D974" t="s" s="35">
        <v>6180</v>
      </c>
      <c r="E974" t="s" s="35">
        <v>6181</v>
      </c>
      <c r="F974" s="36">
        <v>83</v>
      </c>
      <c r="G974" t="s" s="35">
        <v>6498</v>
      </c>
      <c r="H974" t="s" s="35">
        <v>6506</v>
      </c>
      <c r="I974" t="s" s="120">
        <v>6507</v>
      </c>
      <c r="J974" t="s" s="35">
        <v>6185</v>
      </c>
      <c r="K974" t="s" s="35">
        <v>1058</v>
      </c>
      <c r="L974" s="39"/>
      <c r="M974" t="str" s="39">
        <v>Sin marco</v>
      </c>
      <c r="N974" t="str" s="39">
        <v>Sin marco</v>
      </c>
      <c r="O974" t="str" s="39" cm="1">
        <f t="array" ref="O974">IF(L974="","",_xlfn.IFERROR(INDEX('Datos - Catálogo TIMSS'!$C$5:$C$107,MATCH(L974,'Datos - Catálogo TIMSS'!$A$5:$A$107,0)),"?"))</f>
      </c>
      <c r="P974" t="s" s="35">
        <v>1058</v>
      </c>
      <c r="Q974" t="s" s="120">
        <v>6186</v>
      </c>
      <c r="R974" t="s" s="120">
        <v>6508</v>
      </c>
      <c r="S974" s="121" cm="1">
        <f t="array" ref="S974">_xlfn.IFERROR(ISNUMBER(SEARCH("Conocer",$R974))/(ISNUMBER(SEARCH("Conocer",$R974))+ISNUMBER(SEARCH("Aplicar",$R974))+ISNUMBER(SEARCH("Razonar",$R974))),0)</f>
        <v>0</v>
      </c>
      <c r="T974" s="121" cm="1">
        <f t="array" ref="T974">_xlfn.IFERROR(ISNUMBER(SEARCH("Aplicar",$R974))/(ISNUMBER(SEARCH("Conocer",$R974))+ISNUMBER(SEARCH("Aplicar",$R974))+ISNUMBER(SEARCH("Razonar",$R974))),0)</f>
        <v>0.5</v>
      </c>
      <c r="U974" s="121" cm="1">
        <f t="array" ref="U974">_xlfn.IFERROR(ISNUMBER(SEARCH("Razonar",$R974))/(ISNUMBER(SEARCH("Conocer",$R974))+ISNUMBER(SEARCH("Aplicar",$R974))+ISNUMBER(SEARCH("Razonar",$R974))),0)</f>
        <v>0.5</v>
      </c>
      <c r="V974" t="s" s="35">
        <v>1405</v>
      </c>
      <c r="W974" t="s" s="35">
        <v>6188</v>
      </c>
      <c r="X974" s="36" cm="1">
        <f t="array" ref="X974">IF(OR(_xlfn.IFERROR(INDEX('Datos - Catálogo TIMSS'!$I$5:$I$107,MATCH(K974,'Datos - Catálogo TIMSS'!$A$5:$A$107,0)),"No")="Sí",_xlfn.IFERROR(INDEX('Datos - Catálogo TIMSS'!$I$5:$I$107,MATCH(L974,'Datos - Catálogo TIMSS'!$A$5:$A$107,0)),"No")="Sí"),1,0)</f>
        <v>0</v>
      </c>
      <c r="Y974" s="36" cm="1">
        <f t="array" ref="Y974">IF(_xlfn.IFERROR(INDEX('Datos - Catálogo TIMSS'!$J$5:$J$107,MATCH(K974,'Datos - Catálogo TIMSS'!$A$5:$A$107,0)),"No")="Sí",1,0)</f>
        <v>0</v>
      </c>
      <c r="Z974" s="36" cm="1">
        <f t="array" ref="Z974">IF(_xlfn.IFERROR(INDEX('Datos - Catálogo TIMSS'!$J$5:$J$107,MATCH(L974,'Datos - Catálogo TIMSS'!$A$5:$A$107,0)),"No")="Sí",1,0)</f>
        <v>0</v>
      </c>
      <c r="AA974" t="s" s="35">
        <v>1058</v>
      </c>
      <c r="AB974" s="39"/>
      <c r="AC974" t="str" s="39">
        <v>Sin marco</v>
      </c>
      <c r="AD974" t="s" s="35">
        <v>1859</v>
      </c>
      <c r="AE974" t="str" s="39" cm="1">
        <f t="array" ref="AE974">IF(AD974="","",IF(LEFT(AD974,1)="1","C1",IF(LEFT(AD974,1)="2","C2",IF(LEFT(AD974,1)="3","C3",""))))</f>
        <v>C1</v>
      </c>
      <c r="AF974" t="s" s="35">
        <v>1615</v>
      </c>
      <c r="AG974" t="s" s="35">
        <v>1612</v>
      </c>
      <c r="AH974" t="s" s="35">
        <v>1602</v>
      </c>
      <c r="AI974" t="s" s="35">
        <v>1623</v>
      </c>
      <c r="AJ974" t="s" s="35">
        <v>1607</v>
      </c>
      <c r="AK974" s="39"/>
      <c r="AL974" s="39"/>
      <c r="AM974" s="39"/>
      <c r="AN974" s="39"/>
      <c r="AO974" s="39"/>
      <c r="AP974" s="39"/>
      <c r="AQ974" s="39"/>
      <c r="AR974" s="39"/>
      <c r="AS974" s="39"/>
      <c r="AT974" s="39"/>
      <c r="AU974" s="39"/>
      <c r="AV974" s="39"/>
      <c r="AW974" t="str" s="39" cm="1">
        <f t="array" ref="AW974">AF974&amp;"; "&amp;AG974&amp;"; "&amp;AH974&amp;"; "&amp;AI974&amp;"; "&amp;AJ974</f>
        <v>E6; E5; E1; D4; E3</v>
      </c>
    </row>
    <row r="975" ht="13.65" customHeight="1">
      <c r="A975" t="s" s="35">
        <v>6510</v>
      </c>
      <c r="B975" s="36">
        <v>10</v>
      </c>
      <c r="C975" t="s" s="35">
        <v>220</v>
      </c>
      <c r="D975" t="s" s="35">
        <v>6180</v>
      </c>
      <c r="E975" t="s" s="35">
        <v>6181</v>
      </c>
      <c r="F975" s="36">
        <v>84</v>
      </c>
      <c r="G975" t="s" s="35">
        <v>6498</v>
      </c>
      <c r="H975" t="s" s="35">
        <v>6506</v>
      </c>
      <c r="I975" t="s" s="120">
        <v>6511</v>
      </c>
      <c r="J975" t="s" s="35">
        <v>6185</v>
      </c>
      <c r="K975" t="s" s="35">
        <v>1058</v>
      </c>
      <c r="L975" s="39"/>
      <c r="M975" t="str" s="39">
        <v>Sin marco</v>
      </c>
      <c r="N975" t="str" s="39">
        <v>Sin marco</v>
      </c>
      <c r="O975" t="str" s="39" cm="1">
        <f t="array" ref="O975">IF(L975="","",_xlfn.IFERROR(INDEX('Datos - Catálogo TIMSS'!$C$5:$C$107,MATCH(L975,'Datos - Catálogo TIMSS'!$A$5:$A$107,0)),"?"))</f>
      </c>
      <c r="P975" t="s" s="35">
        <v>1058</v>
      </c>
      <c r="Q975" t="s" s="120">
        <v>6186</v>
      </c>
      <c r="R975" t="s" s="120">
        <v>6512</v>
      </c>
      <c r="S975" s="121" cm="1">
        <f t="array" ref="S975">_xlfn.IFERROR(ISNUMBER(SEARCH("Conocer",$R975))/(ISNUMBER(SEARCH("Conocer",$R975))+ISNUMBER(SEARCH("Aplicar",$R975))+ISNUMBER(SEARCH("Razonar",$R975))),0)</f>
        <v>0</v>
      </c>
      <c r="T975" s="121" cm="1">
        <f t="array" ref="T975">_xlfn.IFERROR(ISNUMBER(SEARCH("Aplicar",$R975))/(ISNUMBER(SEARCH("Conocer",$R975))+ISNUMBER(SEARCH("Aplicar",$R975))+ISNUMBER(SEARCH("Razonar",$R975))),0)</f>
        <v>0.5</v>
      </c>
      <c r="U975" s="121" cm="1">
        <f t="array" ref="U975">_xlfn.IFERROR(ISNUMBER(SEARCH("Razonar",$R975))/(ISNUMBER(SEARCH("Conocer",$R975))+ISNUMBER(SEARCH("Aplicar",$R975))+ISNUMBER(SEARCH("Razonar",$R975))),0)</f>
        <v>0.5</v>
      </c>
      <c r="V975" t="s" s="35">
        <v>1405</v>
      </c>
      <c r="W975" t="s" s="35">
        <v>6188</v>
      </c>
      <c r="X975" s="36" cm="1">
        <f t="array" ref="X975">IF(OR(_xlfn.IFERROR(INDEX('Datos - Catálogo TIMSS'!$I$5:$I$107,MATCH(K975,'Datos - Catálogo TIMSS'!$A$5:$A$107,0)),"No")="Sí",_xlfn.IFERROR(INDEX('Datos - Catálogo TIMSS'!$I$5:$I$107,MATCH(L975,'Datos - Catálogo TIMSS'!$A$5:$A$107,0)),"No")="Sí"),1,0)</f>
        <v>0</v>
      </c>
      <c r="Y975" s="36" cm="1">
        <f t="array" ref="Y975">IF(_xlfn.IFERROR(INDEX('Datos - Catálogo TIMSS'!$J$5:$J$107,MATCH(K975,'Datos - Catálogo TIMSS'!$A$5:$A$107,0)),"No")="Sí",1,0)</f>
        <v>0</v>
      </c>
      <c r="Z975" s="36" cm="1">
        <f t="array" ref="Z975">IF(_xlfn.IFERROR(INDEX('Datos - Catálogo TIMSS'!$J$5:$J$107,MATCH(L975,'Datos - Catálogo TIMSS'!$A$5:$A$107,0)),"No")="Sí",1,0)</f>
        <v>0</v>
      </c>
      <c r="AA975" t="s" s="35">
        <v>1058</v>
      </c>
      <c r="AB975" s="39"/>
      <c r="AC975" t="str" s="39">
        <v>Sin marco</v>
      </c>
      <c r="AD975" t="s" s="35">
        <v>1900</v>
      </c>
      <c r="AE975" t="str" s="39" cm="1">
        <f t="array" ref="AE975">IF(AD975="","",IF(LEFT(AD975,1)="1","C1",IF(LEFT(AD975,1)="2","C2",IF(LEFT(AD975,1)="3","C3",""))))</f>
        <v>C3</v>
      </c>
      <c r="AF975" t="s" s="35">
        <v>1602</v>
      </c>
      <c r="AG975" t="s" s="35">
        <v>1607</v>
      </c>
      <c r="AH975" t="s" s="35">
        <v>1605</v>
      </c>
      <c r="AI975" t="s" s="35">
        <v>1625</v>
      </c>
      <c r="AJ975" t="s" s="35">
        <v>1631</v>
      </c>
      <c r="AK975" s="39"/>
      <c r="AL975" s="39"/>
      <c r="AM975" s="39"/>
      <c r="AN975" s="39"/>
      <c r="AO975" s="39"/>
      <c r="AP975" s="39"/>
      <c r="AQ975" s="39"/>
      <c r="AR975" s="39"/>
      <c r="AS975" s="39"/>
      <c r="AT975" s="39"/>
      <c r="AU975" s="39"/>
      <c r="AV975" s="39"/>
      <c r="AW975" t="str" s="39" cm="1">
        <f t="array" ref="AW975">AF975&amp;"; "&amp;AG975&amp;"; "&amp;AH975&amp;"; "&amp;AI975&amp;"; "&amp;AJ975</f>
        <v>E1; E3; E2; I1; I4</v>
      </c>
    </row>
    <row r="976" ht="13.65" customHeight="1">
      <c r="A976" t="s" s="35">
        <v>6514</v>
      </c>
      <c r="B976" s="36">
        <v>10</v>
      </c>
      <c r="C976" t="s" s="35">
        <v>220</v>
      </c>
      <c r="D976" t="s" s="35">
        <v>6180</v>
      </c>
      <c r="E976" t="s" s="35">
        <v>6181</v>
      </c>
      <c r="F976" s="36">
        <v>85</v>
      </c>
      <c r="G976" t="s" s="35">
        <v>6515</v>
      </c>
      <c r="H976" t="s" s="35">
        <v>6516</v>
      </c>
      <c r="I976" t="s" s="120">
        <v>6517</v>
      </c>
      <c r="J976" t="s" s="35">
        <v>6185</v>
      </c>
      <c r="K976" t="s" s="35">
        <v>1058</v>
      </c>
      <c r="L976" s="39"/>
      <c r="M976" t="str" s="39">
        <v>Sin marco</v>
      </c>
      <c r="N976" t="str" s="39">
        <v>Sin marco</v>
      </c>
      <c r="O976" t="str" s="39" cm="1">
        <f t="array" ref="O976">IF(L976="","",_xlfn.IFERROR(INDEX('Datos - Catálogo TIMSS'!$C$5:$C$107,MATCH(L976,'Datos - Catálogo TIMSS'!$A$5:$A$107,0)),"?"))</f>
      </c>
      <c r="P976" t="s" s="35">
        <v>1058</v>
      </c>
      <c r="Q976" t="s" s="120">
        <v>6186</v>
      </c>
      <c r="R976" t="s" s="120">
        <v>6518</v>
      </c>
      <c r="S976" s="121" cm="1">
        <f t="array" ref="S976">_xlfn.IFERROR(ISNUMBER(SEARCH("Conocer",$R976))/(ISNUMBER(SEARCH("Conocer",$R976))+ISNUMBER(SEARCH("Aplicar",$R976))+ISNUMBER(SEARCH("Razonar",$R976))),0)</f>
        <v>0</v>
      </c>
      <c r="T976" s="121" cm="1">
        <f t="array" ref="T976">_xlfn.IFERROR(ISNUMBER(SEARCH("Aplicar",$R976))/(ISNUMBER(SEARCH("Conocer",$R976))+ISNUMBER(SEARCH("Aplicar",$R976))+ISNUMBER(SEARCH("Razonar",$R976))),0)</f>
        <v>0.5</v>
      </c>
      <c r="U976" s="121" cm="1">
        <f t="array" ref="U976">_xlfn.IFERROR(ISNUMBER(SEARCH("Razonar",$R976))/(ISNUMBER(SEARCH("Conocer",$R976))+ISNUMBER(SEARCH("Aplicar",$R976))+ISNUMBER(SEARCH("Razonar",$R976))),0)</f>
        <v>0.5</v>
      </c>
      <c r="V976" t="s" s="35">
        <v>1405</v>
      </c>
      <c r="W976" t="s" s="35">
        <v>6188</v>
      </c>
      <c r="X976" s="36" cm="1">
        <f t="array" ref="X976">IF(OR(_xlfn.IFERROR(INDEX('Datos - Catálogo TIMSS'!$I$5:$I$107,MATCH(K976,'Datos - Catálogo TIMSS'!$A$5:$A$107,0)),"No")="Sí",_xlfn.IFERROR(INDEX('Datos - Catálogo TIMSS'!$I$5:$I$107,MATCH(L976,'Datos - Catálogo TIMSS'!$A$5:$A$107,0)),"No")="Sí"),1,0)</f>
        <v>0</v>
      </c>
      <c r="Y976" s="36" cm="1">
        <f t="array" ref="Y976">IF(_xlfn.IFERROR(INDEX('Datos - Catálogo TIMSS'!$J$5:$J$107,MATCH(K976,'Datos - Catálogo TIMSS'!$A$5:$A$107,0)),"No")="Sí",1,0)</f>
        <v>0</v>
      </c>
      <c r="Z976" s="36" cm="1">
        <f t="array" ref="Z976">IF(_xlfn.IFERROR(INDEX('Datos - Catálogo TIMSS'!$J$5:$J$107,MATCH(L976,'Datos - Catálogo TIMSS'!$A$5:$A$107,0)),"No")="Sí",1,0)</f>
        <v>0</v>
      </c>
      <c r="AA976" t="s" s="35">
        <v>1058</v>
      </c>
      <c r="AB976" s="39"/>
      <c r="AC976" t="str" s="39">
        <v>Sin marco</v>
      </c>
      <c r="AD976" t="s" s="35">
        <v>1834</v>
      </c>
      <c r="AE976" t="str" s="39" cm="1">
        <f t="array" ref="AE976">IF(AD976="","",IF(LEFT(AD976,1)="1","C1",IF(LEFT(AD976,1)="2","C2",IF(LEFT(AD976,1)="3","C3",""))))</f>
        <v>C2</v>
      </c>
      <c r="AF976" t="s" s="35">
        <v>1602</v>
      </c>
      <c r="AG976" t="s" s="35">
        <v>1617</v>
      </c>
      <c r="AH976" t="s" s="35">
        <v>1605</v>
      </c>
      <c r="AI976" t="s" s="35">
        <v>1619</v>
      </c>
      <c r="AJ976" t="s" s="35">
        <v>1621</v>
      </c>
      <c r="AK976" s="39"/>
      <c r="AL976" s="39"/>
      <c r="AM976" s="39"/>
      <c r="AN976" s="39"/>
      <c r="AO976" s="39"/>
      <c r="AP976" s="39"/>
      <c r="AQ976" s="39"/>
      <c r="AR976" s="39"/>
      <c r="AS976" s="39"/>
      <c r="AT976" s="39"/>
      <c r="AU976" s="39"/>
      <c r="AV976" s="39"/>
      <c r="AW976" t="str" s="39" cm="1">
        <f t="array" ref="AW976">AF976&amp;"; "&amp;AG976&amp;"; "&amp;AH976&amp;"; "&amp;AI976&amp;"; "&amp;AJ976</f>
        <v>E1; D1; E2; D2; D3</v>
      </c>
    </row>
    <row r="977" ht="13.65" customHeight="1">
      <c r="A977" t="s" s="35">
        <v>6519</v>
      </c>
      <c r="B977" s="36">
        <v>10</v>
      </c>
      <c r="C977" t="s" s="35">
        <v>220</v>
      </c>
      <c r="D977" t="s" s="35">
        <v>6180</v>
      </c>
      <c r="E977" t="s" s="35">
        <v>6181</v>
      </c>
      <c r="F977" s="36">
        <v>86</v>
      </c>
      <c r="G977" t="s" s="35">
        <v>6515</v>
      </c>
      <c r="H977" t="s" s="35">
        <v>6516</v>
      </c>
      <c r="I977" t="s" s="120">
        <v>6520</v>
      </c>
      <c r="J977" t="s" s="35">
        <v>6185</v>
      </c>
      <c r="K977" t="s" s="35">
        <v>1058</v>
      </c>
      <c r="L977" s="39"/>
      <c r="M977" t="str" s="39">
        <v>Sin marco</v>
      </c>
      <c r="N977" t="str" s="39">
        <v>Sin marco</v>
      </c>
      <c r="O977" t="str" s="39" cm="1">
        <f t="array" ref="O977">IF(L977="","",_xlfn.IFERROR(INDEX('Datos - Catálogo TIMSS'!$C$5:$C$107,MATCH(L977,'Datos - Catálogo TIMSS'!$A$5:$A$107,0)),"?"))</f>
      </c>
      <c r="P977" t="s" s="35">
        <v>1058</v>
      </c>
      <c r="Q977" t="s" s="120">
        <v>6186</v>
      </c>
      <c r="R977" t="s" s="120">
        <v>6521</v>
      </c>
      <c r="S977" s="121" cm="1">
        <f t="array" ref="S977">_xlfn.IFERROR(ISNUMBER(SEARCH("Conocer",$R977))/(ISNUMBER(SEARCH("Conocer",$R977))+ISNUMBER(SEARCH("Aplicar",$R977))+ISNUMBER(SEARCH("Razonar",$R977))),0)</f>
        <v>0</v>
      </c>
      <c r="T977" s="121" cm="1">
        <f t="array" ref="T977">_xlfn.IFERROR(ISNUMBER(SEARCH("Aplicar",$R977))/(ISNUMBER(SEARCH("Conocer",$R977))+ISNUMBER(SEARCH("Aplicar",$R977))+ISNUMBER(SEARCH("Razonar",$R977))),0)</f>
        <v>0.5</v>
      </c>
      <c r="U977" s="121" cm="1">
        <f t="array" ref="U977">_xlfn.IFERROR(ISNUMBER(SEARCH("Razonar",$R977))/(ISNUMBER(SEARCH("Conocer",$R977))+ISNUMBER(SEARCH("Aplicar",$R977))+ISNUMBER(SEARCH("Razonar",$R977))),0)</f>
        <v>0.5</v>
      </c>
      <c r="V977" t="s" s="35">
        <v>1405</v>
      </c>
      <c r="W977" t="s" s="35">
        <v>6188</v>
      </c>
      <c r="X977" s="36" cm="1">
        <f t="array" ref="X977">IF(OR(_xlfn.IFERROR(INDEX('Datos - Catálogo TIMSS'!$I$5:$I$107,MATCH(K977,'Datos - Catálogo TIMSS'!$A$5:$A$107,0)),"No")="Sí",_xlfn.IFERROR(INDEX('Datos - Catálogo TIMSS'!$I$5:$I$107,MATCH(L977,'Datos - Catálogo TIMSS'!$A$5:$A$107,0)),"No")="Sí"),1,0)</f>
        <v>0</v>
      </c>
      <c r="Y977" s="36" cm="1">
        <f t="array" ref="Y977">IF(_xlfn.IFERROR(INDEX('Datos - Catálogo TIMSS'!$J$5:$J$107,MATCH(K977,'Datos - Catálogo TIMSS'!$A$5:$A$107,0)),"No")="Sí",1,0)</f>
        <v>0</v>
      </c>
      <c r="Z977" s="36" cm="1">
        <f t="array" ref="Z977">IF(_xlfn.IFERROR(INDEX('Datos - Catálogo TIMSS'!$J$5:$J$107,MATCH(L977,'Datos - Catálogo TIMSS'!$A$5:$A$107,0)),"No")="Sí",1,0)</f>
        <v>0</v>
      </c>
      <c r="AA977" t="s" s="35">
        <v>1058</v>
      </c>
      <c r="AB977" s="39"/>
      <c r="AC977" t="str" s="39">
        <v>Sin marco</v>
      </c>
      <c r="AD977" t="s" s="35">
        <v>1859</v>
      </c>
      <c r="AE977" t="str" s="39" cm="1">
        <f t="array" ref="AE977">IF(AD977="","",IF(LEFT(AD977,1)="1","C1",IF(LEFT(AD977,1)="2","C2",IF(LEFT(AD977,1)="3","C3",""))))</f>
        <v>C1</v>
      </c>
      <c r="AF977" t="s" s="35">
        <v>1615</v>
      </c>
      <c r="AG977" t="s" s="35">
        <v>1607</v>
      </c>
      <c r="AH977" t="s" s="35">
        <v>1605</v>
      </c>
      <c r="AI977" t="s" s="35">
        <v>1629</v>
      </c>
      <c r="AJ977" t="s" s="35">
        <v>1607</v>
      </c>
      <c r="AK977" s="39"/>
      <c r="AL977" s="39"/>
      <c r="AM977" s="39"/>
      <c r="AN977" s="39"/>
      <c r="AO977" s="39"/>
      <c r="AP977" s="39"/>
      <c r="AQ977" s="39"/>
      <c r="AR977" s="39"/>
      <c r="AS977" s="39"/>
      <c r="AT977" s="39"/>
      <c r="AU977" s="39"/>
      <c r="AV977" s="39"/>
      <c r="AW977" t="str" s="39" cm="1">
        <f t="array" ref="AW977">AF977&amp;"; "&amp;AG977&amp;"; "&amp;AH977&amp;"; "&amp;AI977&amp;"; "&amp;AJ977</f>
        <v>E6; E3; E2; I3; E3</v>
      </c>
    </row>
    <row r="978" ht="13.65" customHeight="1">
      <c r="A978" t="s" s="35">
        <v>6523</v>
      </c>
      <c r="B978" s="36">
        <v>10</v>
      </c>
      <c r="C978" t="s" s="35">
        <v>220</v>
      </c>
      <c r="D978" t="s" s="35">
        <v>6180</v>
      </c>
      <c r="E978" t="s" s="35">
        <v>6181</v>
      </c>
      <c r="F978" s="36">
        <v>87</v>
      </c>
      <c r="G978" t="s" s="35">
        <v>6515</v>
      </c>
      <c r="H978" t="s" s="35">
        <v>6516</v>
      </c>
      <c r="I978" t="s" s="120">
        <v>6524</v>
      </c>
      <c r="J978" t="s" s="35">
        <v>6185</v>
      </c>
      <c r="K978" t="s" s="35">
        <v>1058</v>
      </c>
      <c r="L978" s="39"/>
      <c r="M978" t="str" s="39">
        <v>Sin marco</v>
      </c>
      <c r="N978" t="str" s="39">
        <v>Sin marco</v>
      </c>
      <c r="O978" t="str" s="39" cm="1">
        <f t="array" ref="O978">IF(L978="","",_xlfn.IFERROR(INDEX('Datos - Catálogo TIMSS'!$C$5:$C$107,MATCH(L978,'Datos - Catálogo TIMSS'!$A$5:$A$107,0)),"?"))</f>
      </c>
      <c r="P978" t="s" s="35">
        <v>1058</v>
      </c>
      <c r="Q978" t="s" s="120">
        <v>6186</v>
      </c>
      <c r="R978" t="s" s="120">
        <v>6525</v>
      </c>
      <c r="S978" s="121" cm="1">
        <f t="array" ref="S978">_xlfn.IFERROR(ISNUMBER(SEARCH("Conocer",$R978))/(ISNUMBER(SEARCH("Conocer",$R978))+ISNUMBER(SEARCH("Aplicar",$R978))+ISNUMBER(SEARCH("Razonar",$R978))),0)</f>
        <v>0</v>
      </c>
      <c r="T978" s="121" cm="1">
        <f t="array" ref="T978">_xlfn.IFERROR(ISNUMBER(SEARCH("Aplicar",$R978))/(ISNUMBER(SEARCH("Conocer",$R978))+ISNUMBER(SEARCH("Aplicar",$R978))+ISNUMBER(SEARCH("Razonar",$R978))),0)</f>
        <v>0.5</v>
      </c>
      <c r="U978" s="121" cm="1">
        <f t="array" ref="U978">_xlfn.IFERROR(ISNUMBER(SEARCH("Razonar",$R978))/(ISNUMBER(SEARCH("Conocer",$R978))+ISNUMBER(SEARCH("Aplicar",$R978))+ISNUMBER(SEARCH("Razonar",$R978))),0)</f>
        <v>0.5</v>
      </c>
      <c r="V978" t="s" s="35">
        <v>1405</v>
      </c>
      <c r="W978" t="s" s="35">
        <v>6188</v>
      </c>
      <c r="X978" s="36" cm="1">
        <f t="array" ref="X978">IF(OR(_xlfn.IFERROR(INDEX('Datos - Catálogo TIMSS'!$I$5:$I$107,MATCH(K978,'Datos - Catálogo TIMSS'!$A$5:$A$107,0)),"No")="Sí",_xlfn.IFERROR(INDEX('Datos - Catálogo TIMSS'!$I$5:$I$107,MATCH(L978,'Datos - Catálogo TIMSS'!$A$5:$A$107,0)),"No")="Sí"),1,0)</f>
        <v>0</v>
      </c>
      <c r="Y978" s="36" cm="1">
        <f t="array" ref="Y978">IF(_xlfn.IFERROR(INDEX('Datos - Catálogo TIMSS'!$J$5:$J$107,MATCH(K978,'Datos - Catálogo TIMSS'!$A$5:$A$107,0)),"No")="Sí",1,0)</f>
        <v>0</v>
      </c>
      <c r="Z978" s="36" cm="1">
        <f t="array" ref="Z978">IF(_xlfn.IFERROR(INDEX('Datos - Catálogo TIMSS'!$J$5:$J$107,MATCH(L978,'Datos - Catálogo TIMSS'!$A$5:$A$107,0)),"No")="Sí",1,0)</f>
        <v>0</v>
      </c>
      <c r="AA978" t="s" s="35">
        <v>1058</v>
      </c>
      <c r="AB978" s="39"/>
      <c r="AC978" t="str" s="39">
        <v>Sin marco</v>
      </c>
      <c r="AD978" t="s" s="35">
        <v>1859</v>
      </c>
      <c r="AE978" t="str" s="39" cm="1">
        <f t="array" ref="AE978">IF(AD978="","",IF(LEFT(AD978,1)="1","C1",IF(LEFT(AD978,1)="2","C2",IF(LEFT(AD978,1)="3","C3",""))))</f>
        <v>C1</v>
      </c>
      <c r="AF978" t="s" s="35">
        <v>1602</v>
      </c>
      <c r="AG978" t="s" s="35">
        <v>1612</v>
      </c>
      <c r="AH978" t="s" s="35">
        <v>1609</v>
      </c>
      <c r="AI978" t="s" s="35">
        <v>1623</v>
      </c>
      <c r="AJ978" t="s" s="35">
        <v>1607</v>
      </c>
      <c r="AK978" s="39"/>
      <c r="AL978" s="39"/>
      <c r="AM978" s="39"/>
      <c r="AN978" s="39"/>
      <c r="AO978" s="39"/>
      <c r="AP978" s="39"/>
      <c r="AQ978" s="39"/>
      <c r="AR978" s="39"/>
      <c r="AS978" s="39"/>
      <c r="AT978" s="39"/>
      <c r="AU978" s="39"/>
      <c r="AV978" s="39"/>
      <c r="AW978" t="str" s="39" cm="1">
        <f t="array" ref="AW978">AF978&amp;"; "&amp;AG978&amp;"; "&amp;AH978&amp;"; "&amp;AI978&amp;"; "&amp;AJ978</f>
        <v>E1; E5; E4; D4; E3</v>
      </c>
    </row>
    <row r="979" ht="13.65" customHeight="1">
      <c r="A979" t="s" s="35">
        <v>6526</v>
      </c>
      <c r="B979" s="36">
        <v>10</v>
      </c>
      <c r="C979" t="s" s="35">
        <v>220</v>
      </c>
      <c r="D979" t="s" s="35">
        <v>6180</v>
      </c>
      <c r="E979" t="s" s="35">
        <v>6181</v>
      </c>
      <c r="F979" s="36">
        <v>88</v>
      </c>
      <c r="G979" t="s" s="35">
        <v>6515</v>
      </c>
      <c r="H979" t="s" s="35">
        <v>6527</v>
      </c>
      <c r="I979" t="s" s="120">
        <v>6528</v>
      </c>
      <c r="J979" t="s" s="35">
        <v>6185</v>
      </c>
      <c r="K979" t="s" s="35">
        <v>1058</v>
      </c>
      <c r="L979" s="39"/>
      <c r="M979" t="str" s="39">
        <v>Sin marco</v>
      </c>
      <c r="N979" t="str" s="39">
        <v>Sin marco</v>
      </c>
      <c r="O979" t="str" s="39" cm="1">
        <f t="array" ref="O979">IF(L979="","",_xlfn.IFERROR(INDEX('Datos - Catálogo TIMSS'!$C$5:$C$107,MATCH(L979,'Datos - Catálogo TIMSS'!$A$5:$A$107,0)),"?"))</f>
      </c>
      <c r="P979" t="s" s="35">
        <v>1058</v>
      </c>
      <c r="Q979" t="s" s="120">
        <v>6186</v>
      </c>
      <c r="R979" t="s" s="120">
        <v>6529</v>
      </c>
      <c r="S979" s="121" cm="1">
        <f t="array" ref="S979">_xlfn.IFERROR(ISNUMBER(SEARCH("Conocer",$R979))/(ISNUMBER(SEARCH("Conocer",$R979))+ISNUMBER(SEARCH("Aplicar",$R979))+ISNUMBER(SEARCH("Razonar",$R979))),0)</f>
        <v>0.5</v>
      </c>
      <c r="T979" s="121" cm="1">
        <f t="array" ref="T979">_xlfn.IFERROR(ISNUMBER(SEARCH("Aplicar",$R979))/(ISNUMBER(SEARCH("Conocer",$R979))+ISNUMBER(SEARCH("Aplicar",$R979))+ISNUMBER(SEARCH("Razonar",$R979))),0)</f>
        <v>0</v>
      </c>
      <c r="U979" s="121" cm="1">
        <f t="array" ref="U979">_xlfn.IFERROR(ISNUMBER(SEARCH("Razonar",$R979))/(ISNUMBER(SEARCH("Conocer",$R979))+ISNUMBER(SEARCH("Aplicar",$R979))+ISNUMBER(SEARCH("Razonar",$R979))),0)</f>
        <v>0.5</v>
      </c>
      <c r="V979" t="s" s="35">
        <v>1405</v>
      </c>
      <c r="W979" t="s" s="35">
        <v>6188</v>
      </c>
      <c r="X979" s="36" cm="1">
        <f t="array" ref="X979">IF(OR(_xlfn.IFERROR(INDEX('Datos - Catálogo TIMSS'!$I$5:$I$107,MATCH(K979,'Datos - Catálogo TIMSS'!$A$5:$A$107,0)),"No")="Sí",_xlfn.IFERROR(INDEX('Datos - Catálogo TIMSS'!$I$5:$I$107,MATCH(L979,'Datos - Catálogo TIMSS'!$A$5:$A$107,0)),"No")="Sí"),1,0)</f>
        <v>0</v>
      </c>
      <c r="Y979" s="36" cm="1">
        <f t="array" ref="Y979">IF(_xlfn.IFERROR(INDEX('Datos - Catálogo TIMSS'!$J$5:$J$107,MATCH(K979,'Datos - Catálogo TIMSS'!$A$5:$A$107,0)),"No")="Sí",1,0)</f>
        <v>0</v>
      </c>
      <c r="Z979" s="36" cm="1">
        <f t="array" ref="Z979">IF(_xlfn.IFERROR(INDEX('Datos - Catálogo TIMSS'!$J$5:$J$107,MATCH(L979,'Datos - Catálogo TIMSS'!$A$5:$A$107,0)),"No")="Sí",1,0)</f>
        <v>0</v>
      </c>
      <c r="AA979" t="s" s="35">
        <v>1058</v>
      </c>
      <c r="AB979" s="39"/>
      <c r="AC979" t="str" s="39">
        <v>Sin marco</v>
      </c>
      <c r="AD979" t="s" s="35">
        <v>1859</v>
      </c>
      <c r="AE979" t="str" s="39" cm="1">
        <f t="array" ref="AE979">IF(AD979="","",IF(LEFT(AD979,1)="1","C1",IF(LEFT(AD979,1)="2","C2",IF(LEFT(AD979,1)="3","C3",""))))</f>
        <v>C1</v>
      </c>
      <c r="AF979" t="s" s="35">
        <v>1602</v>
      </c>
      <c r="AG979" t="s" s="35">
        <v>1617</v>
      </c>
      <c r="AH979" t="s" s="35">
        <v>1602</v>
      </c>
      <c r="AI979" t="s" s="35">
        <v>1627</v>
      </c>
      <c r="AJ979" t="s" s="35">
        <v>1607</v>
      </c>
      <c r="AK979" s="39"/>
      <c r="AL979" s="39"/>
      <c r="AM979" s="39"/>
      <c r="AN979" s="39"/>
      <c r="AO979" s="39"/>
      <c r="AP979" s="39"/>
      <c r="AQ979" s="39"/>
      <c r="AR979" s="39"/>
      <c r="AS979" s="39"/>
      <c r="AT979" s="39"/>
      <c r="AU979" s="39"/>
      <c r="AV979" s="39"/>
      <c r="AW979" t="str" s="39" cm="1">
        <f t="array" ref="AW979">AF979&amp;"; "&amp;AG979&amp;"; "&amp;AH979&amp;"; "&amp;AI979&amp;"; "&amp;AJ979</f>
        <v>E1; D1; E1; I2; E3</v>
      </c>
    </row>
    <row r="980" ht="13.65" customHeight="1">
      <c r="A980" t="s" s="35">
        <v>6531</v>
      </c>
      <c r="B980" s="36">
        <v>10</v>
      </c>
      <c r="C980" t="s" s="35">
        <v>220</v>
      </c>
      <c r="D980" t="s" s="35">
        <v>6180</v>
      </c>
      <c r="E980" t="s" s="35">
        <v>6181</v>
      </c>
      <c r="F980" s="36">
        <v>89</v>
      </c>
      <c r="G980" t="s" s="35">
        <v>6515</v>
      </c>
      <c r="H980" t="s" s="35">
        <v>6527</v>
      </c>
      <c r="I980" t="s" s="120">
        <v>6532</v>
      </c>
      <c r="J980" t="s" s="35">
        <v>6185</v>
      </c>
      <c r="K980" t="s" s="35">
        <v>1058</v>
      </c>
      <c r="L980" s="39"/>
      <c r="M980" t="str" s="39">
        <v>Sin marco</v>
      </c>
      <c r="N980" t="str" s="39">
        <v>Sin marco</v>
      </c>
      <c r="O980" t="str" s="39" cm="1">
        <f t="array" ref="O980">IF(L980="","",_xlfn.IFERROR(INDEX('Datos - Catálogo TIMSS'!$C$5:$C$107,MATCH(L980,'Datos - Catálogo TIMSS'!$A$5:$A$107,0)),"?"))</f>
      </c>
      <c r="P980" t="s" s="35">
        <v>1058</v>
      </c>
      <c r="Q980" t="s" s="120">
        <v>6186</v>
      </c>
      <c r="R980" t="s" s="120">
        <v>6533</v>
      </c>
      <c r="S980" s="121" cm="1">
        <f t="array" ref="S980">_xlfn.IFERROR(ISNUMBER(SEARCH("Conocer",$R980))/(ISNUMBER(SEARCH("Conocer",$R980))+ISNUMBER(SEARCH("Aplicar",$R980))+ISNUMBER(SEARCH("Razonar",$R980))),0)</f>
        <v>0.333333333333333</v>
      </c>
      <c r="T980" s="121" cm="1">
        <f t="array" ref="T980">_xlfn.IFERROR(ISNUMBER(SEARCH("Aplicar",$R980))/(ISNUMBER(SEARCH("Conocer",$R980))+ISNUMBER(SEARCH("Aplicar",$R980))+ISNUMBER(SEARCH("Razonar",$R980))),0)</f>
        <v>0.333333333333333</v>
      </c>
      <c r="U980" s="121" cm="1">
        <f t="array" ref="U980">_xlfn.IFERROR(ISNUMBER(SEARCH("Razonar",$R980))/(ISNUMBER(SEARCH("Conocer",$R980))+ISNUMBER(SEARCH("Aplicar",$R980))+ISNUMBER(SEARCH("Razonar",$R980))),0)</f>
        <v>0.333333333333333</v>
      </c>
      <c r="V980" t="s" s="35">
        <v>1405</v>
      </c>
      <c r="W980" t="s" s="35">
        <v>6188</v>
      </c>
      <c r="X980" s="36" cm="1">
        <f t="array" ref="X980">IF(OR(_xlfn.IFERROR(INDEX('Datos - Catálogo TIMSS'!$I$5:$I$107,MATCH(K980,'Datos - Catálogo TIMSS'!$A$5:$A$107,0)),"No")="Sí",_xlfn.IFERROR(INDEX('Datos - Catálogo TIMSS'!$I$5:$I$107,MATCH(L980,'Datos - Catálogo TIMSS'!$A$5:$A$107,0)),"No")="Sí"),1,0)</f>
        <v>0</v>
      </c>
      <c r="Y980" s="36" cm="1">
        <f t="array" ref="Y980">IF(_xlfn.IFERROR(INDEX('Datos - Catálogo TIMSS'!$J$5:$J$107,MATCH(K980,'Datos - Catálogo TIMSS'!$A$5:$A$107,0)),"No")="Sí",1,0)</f>
        <v>0</v>
      </c>
      <c r="Z980" s="36" cm="1">
        <f t="array" ref="Z980">IF(_xlfn.IFERROR(INDEX('Datos - Catálogo TIMSS'!$J$5:$J$107,MATCH(L980,'Datos - Catálogo TIMSS'!$A$5:$A$107,0)),"No")="Sí",1,0)</f>
        <v>0</v>
      </c>
      <c r="AA980" t="s" s="35">
        <v>1058</v>
      </c>
      <c r="AB980" s="39"/>
      <c r="AC980" t="str" s="39">
        <v>Sin marco</v>
      </c>
      <c r="AD980" t="s" s="35">
        <v>1859</v>
      </c>
      <c r="AE980" t="str" s="39" cm="1">
        <f t="array" ref="AE980">IF(AD980="","",IF(LEFT(AD980,1)="1","C1",IF(LEFT(AD980,1)="2","C2",IF(LEFT(AD980,1)="3","C3",""))))</f>
        <v>C1</v>
      </c>
      <c r="AF980" t="s" s="35">
        <v>1602</v>
      </c>
      <c r="AG980" t="s" s="35">
        <v>1607</v>
      </c>
      <c r="AH980" t="s" s="35">
        <v>1609</v>
      </c>
      <c r="AI980" t="s" s="35">
        <v>1623</v>
      </c>
      <c r="AJ980" t="s" s="35">
        <v>1607</v>
      </c>
      <c r="AK980" s="39"/>
      <c r="AL980" s="39"/>
      <c r="AM980" s="39"/>
      <c r="AN980" s="39"/>
      <c r="AO980" s="39"/>
      <c r="AP980" s="39"/>
      <c r="AQ980" s="39"/>
      <c r="AR980" s="39"/>
      <c r="AS980" s="39"/>
      <c r="AT980" s="39"/>
      <c r="AU980" s="39"/>
      <c r="AV980" s="39"/>
      <c r="AW980" t="str" s="39" cm="1">
        <f t="array" ref="AW980">AF980&amp;"; "&amp;AG980&amp;"; "&amp;AH980&amp;"; "&amp;AI980&amp;"; "&amp;AJ980</f>
        <v>E1; E3; E4; D4; E3</v>
      </c>
    </row>
    <row r="981" ht="13.65" customHeight="1">
      <c r="A981" t="s" s="35">
        <v>6534</v>
      </c>
      <c r="B981" s="36">
        <v>10</v>
      </c>
      <c r="C981" t="s" s="35">
        <v>220</v>
      </c>
      <c r="D981" t="s" s="35">
        <v>6180</v>
      </c>
      <c r="E981" t="s" s="35">
        <v>6181</v>
      </c>
      <c r="F981" s="36">
        <v>90</v>
      </c>
      <c r="G981" t="s" s="35">
        <v>6515</v>
      </c>
      <c r="H981" t="s" s="35">
        <v>6527</v>
      </c>
      <c r="I981" t="s" s="120">
        <v>6535</v>
      </c>
      <c r="J981" t="s" s="35">
        <v>6185</v>
      </c>
      <c r="K981" t="s" s="35">
        <v>1058</v>
      </c>
      <c r="L981" s="39"/>
      <c r="M981" t="str" s="39">
        <v>Sin marco</v>
      </c>
      <c r="N981" t="str" s="39">
        <v>Sin marco</v>
      </c>
      <c r="O981" t="str" s="39" cm="1">
        <f t="array" ref="O981">IF(L981="","",_xlfn.IFERROR(INDEX('Datos - Catálogo TIMSS'!$C$5:$C$107,MATCH(L981,'Datos - Catálogo TIMSS'!$A$5:$A$107,0)),"?"))</f>
      </c>
      <c r="P981" t="s" s="35">
        <v>1058</v>
      </c>
      <c r="Q981" t="s" s="120">
        <v>6186</v>
      </c>
      <c r="R981" t="s" s="120">
        <v>6536</v>
      </c>
      <c r="S981" s="121" cm="1">
        <f t="array" ref="S981">_xlfn.IFERROR(ISNUMBER(SEARCH("Conocer",$R981))/(ISNUMBER(SEARCH("Conocer",$R981))+ISNUMBER(SEARCH("Aplicar",$R981))+ISNUMBER(SEARCH("Razonar",$R981))),0)</f>
        <v>0</v>
      </c>
      <c r="T981" s="121" cm="1">
        <f t="array" ref="T981">_xlfn.IFERROR(ISNUMBER(SEARCH("Aplicar",$R981))/(ISNUMBER(SEARCH("Conocer",$R981))+ISNUMBER(SEARCH("Aplicar",$R981))+ISNUMBER(SEARCH("Razonar",$R981))),0)</f>
        <v>0.5</v>
      </c>
      <c r="U981" s="121" cm="1">
        <f t="array" ref="U981">_xlfn.IFERROR(ISNUMBER(SEARCH("Razonar",$R981))/(ISNUMBER(SEARCH("Conocer",$R981))+ISNUMBER(SEARCH("Aplicar",$R981))+ISNUMBER(SEARCH("Razonar",$R981))),0)</f>
        <v>0.5</v>
      </c>
      <c r="V981" t="s" s="35">
        <v>1405</v>
      </c>
      <c r="W981" t="s" s="35">
        <v>6188</v>
      </c>
      <c r="X981" s="36" cm="1">
        <f t="array" ref="X981">IF(OR(_xlfn.IFERROR(INDEX('Datos - Catálogo TIMSS'!$I$5:$I$107,MATCH(K981,'Datos - Catálogo TIMSS'!$A$5:$A$107,0)),"No")="Sí",_xlfn.IFERROR(INDEX('Datos - Catálogo TIMSS'!$I$5:$I$107,MATCH(L981,'Datos - Catálogo TIMSS'!$A$5:$A$107,0)),"No")="Sí"),1,0)</f>
        <v>0</v>
      </c>
      <c r="Y981" s="36" cm="1">
        <f t="array" ref="Y981">IF(_xlfn.IFERROR(INDEX('Datos - Catálogo TIMSS'!$J$5:$J$107,MATCH(K981,'Datos - Catálogo TIMSS'!$A$5:$A$107,0)),"No")="Sí",1,0)</f>
        <v>0</v>
      </c>
      <c r="Z981" s="36" cm="1">
        <f t="array" ref="Z981">IF(_xlfn.IFERROR(INDEX('Datos - Catálogo TIMSS'!$J$5:$J$107,MATCH(L981,'Datos - Catálogo TIMSS'!$A$5:$A$107,0)),"No")="Sí",1,0)</f>
        <v>0</v>
      </c>
      <c r="AA981" t="s" s="35">
        <v>1058</v>
      </c>
      <c r="AB981" s="39"/>
      <c r="AC981" t="str" s="39">
        <v>Sin marco</v>
      </c>
      <c r="AD981" t="s" s="35">
        <v>1834</v>
      </c>
      <c r="AE981" t="str" s="39" cm="1">
        <f t="array" ref="AE981">IF(AD981="","",IF(LEFT(AD981,1)="1","C1",IF(LEFT(AD981,1)="2","C2",IF(LEFT(AD981,1)="3","C3",""))))</f>
        <v>C2</v>
      </c>
      <c r="AF981" t="s" s="35">
        <v>1602</v>
      </c>
      <c r="AG981" t="s" s="35">
        <v>1617</v>
      </c>
      <c r="AH981" t="s" s="35">
        <v>1602</v>
      </c>
      <c r="AI981" t="s" s="35">
        <v>1623</v>
      </c>
      <c r="AJ981" t="s" s="35">
        <v>1607</v>
      </c>
      <c r="AK981" s="39"/>
      <c r="AL981" s="39"/>
      <c r="AM981" s="39"/>
      <c r="AN981" s="39"/>
      <c r="AO981" s="39"/>
      <c r="AP981" s="39"/>
      <c r="AQ981" s="39"/>
      <c r="AR981" s="39"/>
      <c r="AS981" s="39"/>
      <c r="AT981" s="39"/>
      <c r="AU981" s="39"/>
      <c r="AV981" s="39"/>
      <c r="AW981" t="str" s="39" cm="1">
        <f t="array" ref="AW981">AF981&amp;"; "&amp;AG981&amp;"; "&amp;AH981&amp;"; "&amp;AI981&amp;"; "&amp;AJ981</f>
        <v>E1; D1; E1; D4; E3</v>
      </c>
    </row>
    <row r="982" ht="13.65" customHeight="1">
      <c r="A982" t="s" s="35">
        <v>6537</v>
      </c>
      <c r="B982" s="36">
        <v>10</v>
      </c>
      <c r="C982" t="s" s="35">
        <v>220</v>
      </c>
      <c r="D982" t="s" s="35">
        <v>6180</v>
      </c>
      <c r="E982" t="s" s="35">
        <v>6181</v>
      </c>
      <c r="F982" s="36">
        <v>91</v>
      </c>
      <c r="G982" t="s" s="35">
        <v>6515</v>
      </c>
      <c r="H982" t="s" s="35">
        <v>6527</v>
      </c>
      <c r="I982" t="s" s="120">
        <v>6538</v>
      </c>
      <c r="J982" t="s" s="35">
        <v>6185</v>
      </c>
      <c r="K982" t="s" s="35">
        <v>1058</v>
      </c>
      <c r="L982" s="39"/>
      <c r="M982" t="str" s="39">
        <v>Sin marco</v>
      </c>
      <c r="N982" t="str" s="39">
        <v>Sin marco</v>
      </c>
      <c r="O982" t="str" s="39" cm="1">
        <f t="array" ref="O982">IF(L982="","",_xlfn.IFERROR(INDEX('Datos - Catálogo TIMSS'!$C$5:$C$107,MATCH(L982,'Datos - Catálogo TIMSS'!$A$5:$A$107,0)),"?"))</f>
      </c>
      <c r="P982" t="s" s="35">
        <v>1058</v>
      </c>
      <c r="Q982" t="s" s="120">
        <v>6186</v>
      </c>
      <c r="R982" t="s" s="120">
        <v>6539</v>
      </c>
      <c r="S982" s="121" cm="1">
        <f t="array" ref="S982">_xlfn.IFERROR(ISNUMBER(SEARCH("Conocer",$R982))/(ISNUMBER(SEARCH("Conocer",$R982))+ISNUMBER(SEARCH("Aplicar",$R982))+ISNUMBER(SEARCH("Razonar",$R982))),0)</f>
        <v>0</v>
      </c>
      <c r="T982" s="121" cm="1">
        <f t="array" ref="T982">_xlfn.IFERROR(ISNUMBER(SEARCH("Aplicar",$R982))/(ISNUMBER(SEARCH("Conocer",$R982))+ISNUMBER(SEARCH("Aplicar",$R982))+ISNUMBER(SEARCH("Razonar",$R982))),0)</f>
        <v>0.5</v>
      </c>
      <c r="U982" s="121" cm="1">
        <f t="array" ref="U982">_xlfn.IFERROR(ISNUMBER(SEARCH("Razonar",$R982))/(ISNUMBER(SEARCH("Conocer",$R982))+ISNUMBER(SEARCH("Aplicar",$R982))+ISNUMBER(SEARCH("Razonar",$R982))),0)</f>
        <v>0.5</v>
      </c>
      <c r="V982" t="s" s="35">
        <v>1405</v>
      </c>
      <c r="W982" t="s" s="35">
        <v>6188</v>
      </c>
      <c r="X982" s="36" cm="1">
        <f t="array" ref="X982">IF(OR(_xlfn.IFERROR(INDEX('Datos - Catálogo TIMSS'!$I$5:$I$107,MATCH(K982,'Datos - Catálogo TIMSS'!$A$5:$A$107,0)),"No")="Sí",_xlfn.IFERROR(INDEX('Datos - Catálogo TIMSS'!$I$5:$I$107,MATCH(L982,'Datos - Catálogo TIMSS'!$A$5:$A$107,0)),"No")="Sí"),1,0)</f>
        <v>0</v>
      </c>
      <c r="Y982" s="36" cm="1">
        <f t="array" ref="Y982">IF(_xlfn.IFERROR(INDEX('Datos - Catálogo TIMSS'!$J$5:$J$107,MATCH(K982,'Datos - Catálogo TIMSS'!$A$5:$A$107,0)),"No")="Sí",1,0)</f>
        <v>0</v>
      </c>
      <c r="Z982" s="36" cm="1">
        <f t="array" ref="Z982">IF(_xlfn.IFERROR(INDEX('Datos - Catálogo TIMSS'!$J$5:$J$107,MATCH(L982,'Datos - Catálogo TIMSS'!$A$5:$A$107,0)),"No")="Sí",1,0)</f>
        <v>0</v>
      </c>
      <c r="AA982" t="s" s="35">
        <v>1058</v>
      </c>
      <c r="AB982" s="39"/>
      <c r="AC982" t="str" s="39">
        <v>Sin marco</v>
      </c>
      <c r="AD982" t="s" s="35">
        <v>1900</v>
      </c>
      <c r="AE982" t="str" s="39" cm="1">
        <f t="array" ref="AE982">IF(AD982="","",IF(LEFT(AD982,1)="1","C1",IF(LEFT(AD982,1)="2","C2",IF(LEFT(AD982,1)="3","C3",""))))</f>
        <v>C3</v>
      </c>
      <c r="AF982" t="s" s="35">
        <v>1615</v>
      </c>
      <c r="AG982" t="s" s="35">
        <v>1612</v>
      </c>
      <c r="AH982" t="s" s="35">
        <v>1605</v>
      </c>
      <c r="AI982" t="s" s="35">
        <v>1629</v>
      </c>
      <c r="AJ982" t="s" s="35">
        <v>1633</v>
      </c>
      <c r="AK982" s="39"/>
      <c r="AL982" s="39"/>
      <c r="AM982" s="39"/>
      <c r="AN982" s="39"/>
      <c r="AO982" s="39"/>
      <c r="AP982" s="39"/>
      <c r="AQ982" s="39"/>
      <c r="AR982" s="39"/>
      <c r="AS982" s="39"/>
      <c r="AT982" s="39"/>
      <c r="AU982" s="39"/>
      <c r="AV982" s="39"/>
      <c r="AW982" t="str" s="39" cm="1">
        <f t="array" ref="AW982">AF982&amp;"; "&amp;AG982&amp;"; "&amp;AH982&amp;"; "&amp;AI982&amp;"; "&amp;AJ982</f>
        <v>E6; E5; E2; I3; I5</v>
      </c>
    </row>
    <row r="983" ht="13.65" customHeight="1">
      <c r="A983" t="s" s="35">
        <v>6541</v>
      </c>
      <c r="B983" s="36">
        <v>10</v>
      </c>
      <c r="C983" t="s" s="35">
        <v>220</v>
      </c>
      <c r="D983" t="s" s="35">
        <v>6180</v>
      </c>
      <c r="E983" t="s" s="35">
        <v>6181</v>
      </c>
      <c r="F983" s="36">
        <v>92</v>
      </c>
      <c r="G983" t="s" s="35">
        <v>6542</v>
      </c>
      <c r="H983" t="s" s="35">
        <v>6543</v>
      </c>
      <c r="I983" t="s" s="120">
        <v>6544</v>
      </c>
      <c r="J983" t="s" s="35">
        <v>6185</v>
      </c>
      <c r="K983" t="s" s="35">
        <v>1058</v>
      </c>
      <c r="L983" s="39"/>
      <c r="M983" t="str" s="39">
        <v>Sin marco</v>
      </c>
      <c r="N983" t="str" s="39">
        <v>Sin marco</v>
      </c>
      <c r="O983" t="str" s="39" cm="1">
        <f t="array" ref="O983">IF(L983="","",_xlfn.IFERROR(INDEX('Datos - Catálogo TIMSS'!$C$5:$C$107,MATCH(L983,'Datos - Catálogo TIMSS'!$A$5:$A$107,0)),"?"))</f>
      </c>
      <c r="P983" t="s" s="35">
        <v>1058</v>
      </c>
      <c r="Q983" t="s" s="120">
        <v>6186</v>
      </c>
      <c r="R983" t="s" s="120">
        <v>6545</v>
      </c>
      <c r="S983" s="121" cm="1">
        <f t="array" ref="S983">_xlfn.IFERROR(ISNUMBER(SEARCH("Conocer",$R983))/(ISNUMBER(SEARCH("Conocer",$R983))+ISNUMBER(SEARCH("Aplicar",$R983))+ISNUMBER(SEARCH("Razonar",$R983))),0)</f>
        <v>0</v>
      </c>
      <c r="T983" s="121" cm="1">
        <f t="array" ref="T983">_xlfn.IFERROR(ISNUMBER(SEARCH("Aplicar",$R983))/(ISNUMBER(SEARCH("Conocer",$R983))+ISNUMBER(SEARCH("Aplicar",$R983))+ISNUMBER(SEARCH("Razonar",$R983))),0)</f>
        <v>0.5</v>
      </c>
      <c r="U983" s="121" cm="1">
        <f t="array" ref="U983">_xlfn.IFERROR(ISNUMBER(SEARCH("Razonar",$R983))/(ISNUMBER(SEARCH("Conocer",$R983))+ISNUMBER(SEARCH("Aplicar",$R983))+ISNUMBER(SEARCH("Razonar",$R983))),0)</f>
        <v>0.5</v>
      </c>
      <c r="V983" t="s" s="35">
        <v>1405</v>
      </c>
      <c r="W983" t="s" s="35">
        <v>6188</v>
      </c>
      <c r="X983" s="36" cm="1">
        <f t="array" ref="X983">IF(OR(_xlfn.IFERROR(INDEX('Datos - Catálogo TIMSS'!$I$5:$I$107,MATCH(K983,'Datos - Catálogo TIMSS'!$A$5:$A$107,0)),"No")="Sí",_xlfn.IFERROR(INDEX('Datos - Catálogo TIMSS'!$I$5:$I$107,MATCH(L983,'Datos - Catálogo TIMSS'!$A$5:$A$107,0)),"No")="Sí"),1,0)</f>
        <v>0</v>
      </c>
      <c r="Y983" s="36" cm="1">
        <f t="array" ref="Y983">IF(_xlfn.IFERROR(INDEX('Datos - Catálogo TIMSS'!$J$5:$J$107,MATCH(K983,'Datos - Catálogo TIMSS'!$A$5:$A$107,0)),"No")="Sí",1,0)</f>
        <v>0</v>
      </c>
      <c r="Z983" s="36" cm="1">
        <f t="array" ref="Z983">IF(_xlfn.IFERROR(INDEX('Datos - Catálogo TIMSS'!$J$5:$J$107,MATCH(L983,'Datos - Catálogo TIMSS'!$A$5:$A$107,0)),"No")="Sí",1,0)</f>
        <v>0</v>
      </c>
      <c r="AA983" t="s" s="35">
        <v>1058</v>
      </c>
      <c r="AB983" s="39"/>
      <c r="AC983" t="str" s="39">
        <v>Sin marco</v>
      </c>
      <c r="AD983" t="s" s="35">
        <v>1834</v>
      </c>
      <c r="AE983" t="str" s="39" cm="1">
        <f t="array" ref="AE983">IF(AD983="","",IF(LEFT(AD983,1)="1","C1",IF(LEFT(AD983,1)="2","C2",IF(LEFT(AD983,1)="3","C3",""))))</f>
        <v>C2</v>
      </c>
      <c r="AF983" t="s" s="35">
        <v>1602</v>
      </c>
      <c r="AG983" t="s" s="35">
        <v>1617</v>
      </c>
      <c r="AH983" t="s" s="35">
        <v>1605</v>
      </c>
      <c r="AI983" t="s" s="35">
        <v>1623</v>
      </c>
      <c r="AJ983" t="s" s="35">
        <v>1607</v>
      </c>
      <c r="AK983" s="39"/>
      <c r="AL983" s="39"/>
      <c r="AM983" s="39"/>
      <c r="AN983" s="39"/>
      <c r="AO983" s="39"/>
      <c r="AP983" s="39"/>
      <c r="AQ983" s="39"/>
      <c r="AR983" s="39"/>
      <c r="AS983" s="39"/>
      <c r="AT983" s="39"/>
      <c r="AU983" s="39"/>
      <c r="AV983" s="39"/>
      <c r="AW983" t="str" s="39" cm="1">
        <f t="array" ref="AW983">AF983&amp;"; "&amp;AG983&amp;"; "&amp;AH983&amp;"; "&amp;AI983&amp;"; "&amp;AJ983</f>
        <v>E1; D1; E2; D4; E3</v>
      </c>
    </row>
    <row r="984" ht="13.65" customHeight="1">
      <c r="A984" t="s" s="35">
        <v>6546</v>
      </c>
      <c r="B984" s="36">
        <v>10</v>
      </c>
      <c r="C984" t="s" s="35">
        <v>220</v>
      </c>
      <c r="D984" t="s" s="35">
        <v>6180</v>
      </c>
      <c r="E984" t="s" s="35">
        <v>6181</v>
      </c>
      <c r="F984" s="36">
        <v>93</v>
      </c>
      <c r="G984" t="s" s="35">
        <v>6542</v>
      </c>
      <c r="H984" t="s" s="35">
        <v>6543</v>
      </c>
      <c r="I984" t="s" s="120">
        <v>6547</v>
      </c>
      <c r="J984" t="s" s="35">
        <v>6185</v>
      </c>
      <c r="K984" t="s" s="35">
        <v>1058</v>
      </c>
      <c r="L984" s="39"/>
      <c r="M984" t="str" s="39">
        <v>Sin marco</v>
      </c>
      <c r="N984" t="str" s="39">
        <v>Sin marco</v>
      </c>
      <c r="O984" t="str" s="39" cm="1">
        <f t="array" ref="O984">IF(L984="","",_xlfn.IFERROR(INDEX('Datos - Catálogo TIMSS'!$C$5:$C$107,MATCH(L984,'Datos - Catálogo TIMSS'!$A$5:$A$107,0)),"?"))</f>
      </c>
      <c r="P984" t="s" s="35">
        <v>1058</v>
      </c>
      <c r="Q984" t="s" s="120">
        <v>6186</v>
      </c>
      <c r="R984" t="s" s="120">
        <v>6548</v>
      </c>
      <c r="S984" s="121" cm="1">
        <f t="array" ref="S984">_xlfn.IFERROR(ISNUMBER(SEARCH("Conocer",$R984))/(ISNUMBER(SEARCH("Conocer",$R984))+ISNUMBER(SEARCH("Aplicar",$R984))+ISNUMBER(SEARCH("Razonar",$R984))),0)</f>
        <v>0</v>
      </c>
      <c r="T984" s="121" cm="1">
        <f t="array" ref="T984">_xlfn.IFERROR(ISNUMBER(SEARCH("Aplicar",$R984))/(ISNUMBER(SEARCH("Conocer",$R984))+ISNUMBER(SEARCH("Aplicar",$R984))+ISNUMBER(SEARCH("Razonar",$R984))),0)</f>
        <v>0.5</v>
      </c>
      <c r="U984" s="121" cm="1">
        <f t="array" ref="U984">_xlfn.IFERROR(ISNUMBER(SEARCH("Razonar",$R984))/(ISNUMBER(SEARCH("Conocer",$R984))+ISNUMBER(SEARCH("Aplicar",$R984))+ISNUMBER(SEARCH("Razonar",$R984))),0)</f>
        <v>0.5</v>
      </c>
      <c r="V984" t="s" s="35">
        <v>1405</v>
      </c>
      <c r="W984" t="s" s="35">
        <v>6188</v>
      </c>
      <c r="X984" s="36" cm="1">
        <f t="array" ref="X984">IF(OR(_xlfn.IFERROR(INDEX('Datos - Catálogo TIMSS'!$I$5:$I$107,MATCH(K984,'Datos - Catálogo TIMSS'!$A$5:$A$107,0)),"No")="Sí",_xlfn.IFERROR(INDEX('Datos - Catálogo TIMSS'!$I$5:$I$107,MATCH(L984,'Datos - Catálogo TIMSS'!$A$5:$A$107,0)),"No")="Sí"),1,0)</f>
        <v>0</v>
      </c>
      <c r="Y984" s="36" cm="1">
        <f t="array" ref="Y984">IF(_xlfn.IFERROR(INDEX('Datos - Catálogo TIMSS'!$J$5:$J$107,MATCH(K984,'Datos - Catálogo TIMSS'!$A$5:$A$107,0)),"No")="Sí",1,0)</f>
        <v>0</v>
      </c>
      <c r="Z984" s="36" cm="1">
        <f t="array" ref="Z984">IF(_xlfn.IFERROR(INDEX('Datos - Catálogo TIMSS'!$J$5:$J$107,MATCH(L984,'Datos - Catálogo TIMSS'!$A$5:$A$107,0)),"No")="Sí",1,0)</f>
        <v>0</v>
      </c>
      <c r="AA984" t="s" s="35">
        <v>1058</v>
      </c>
      <c r="AB984" s="39"/>
      <c r="AC984" t="str" s="39">
        <v>Sin marco</v>
      </c>
      <c r="AD984" t="s" s="35">
        <v>1859</v>
      </c>
      <c r="AE984" t="str" s="39" cm="1">
        <f t="array" ref="AE984">IF(AD984="","",IF(LEFT(AD984,1)="1","C1",IF(LEFT(AD984,1)="2","C2",IF(LEFT(AD984,1)="3","C3",""))))</f>
        <v>C1</v>
      </c>
      <c r="AF984" t="s" s="35">
        <v>1602</v>
      </c>
      <c r="AG984" t="s" s="35">
        <v>1607</v>
      </c>
      <c r="AH984" t="s" s="35">
        <v>1602</v>
      </c>
      <c r="AI984" t="s" s="35">
        <v>1623</v>
      </c>
      <c r="AJ984" t="s" s="35">
        <v>1631</v>
      </c>
      <c r="AK984" s="39"/>
      <c r="AL984" s="39"/>
      <c r="AM984" s="39"/>
      <c r="AN984" s="39"/>
      <c r="AO984" s="39"/>
      <c r="AP984" s="39"/>
      <c r="AQ984" s="39"/>
      <c r="AR984" s="39"/>
      <c r="AS984" s="39"/>
      <c r="AT984" s="39"/>
      <c r="AU984" s="39"/>
      <c r="AV984" s="39"/>
      <c r="AW984" t="str" s="39" cm="1">
        <f t="array" ref="AW984">AF984&amp;"; "&amp;AG984&amp;"; "&amp;AH984&amp;"; "&amp;AI984&amp;"; "&amp;AJ984</f>
        <v>E1; E3; E1; D4; I4</v>
      </c>
    </row>
    <row r="985" ht="13.65" customHeight="1">
      <c r="A985" t="s" s="35">
        <v>6549</v>
      </c>
      <c r="B985" s="36">
        <v>10</v>
      </c>
      <c r="C985" t="s" s="35">
        <v>220</v>
      </c>
      <c r="D985" t="s" s="35">
        <v>6180</v>
      </c>
      <c r="E985" t="s" s="35">
        <v>6181</v>
      </c>
      <c r="F985" s="36">
        <v>94</v>
      </c>
      <c r="G985" t="s" s="35">
        <v>6542</v>
      </c>
      <c r="H985" t="s" s="35">
        <v>6543</v>
      </c>
      <c r="I985" t="s" s="120">
        <v>6550</v>
      </c>
      <c r="J985" t="s" s="35">
        <v>6185</v>
      </c>
      <c r="K985" t="s" s="35">
        <v>1058</v>
      </c>
      <c r="L985" s="39"/>
      <c r="M985" t="str" s="39">
        <v>Sin marco</v>
      </c>
      <c r="N985" t="str" s="39">
        <v>Sin marco</v>
      </c>
      <c r="O985" t="str" s="39" cm="1">
        <f t="array" ref="O985">IF(L985="","",_xlfn.IFERROR(INDEX('Datos - Catálogo TIMSS'!$C$5:$C$107,MATCH(L985,'Datos - Catálogo TIMSS'!$A$5:$A$107,0)),"?"))</f>
      </c>
      <c r="P985" t="s" s="35">
        <v>1058</v>
      </c>
      <c r="Q985" t="s" s="120">
        <v>6186</v>
      </c>
      <c r="R985" t="s" s="120">
        <v>6551</v>
      </c>
      <c r="S985" s="121" cm="1">
        <f t="array" ref="S985">_xlfn.IFERROR(ISNUMBER(SEARCH("Conocer",$R985))/(ISNUMBER(SEARCH("Conocer",$R985))+ISNUMBER(SEARCH("Aplicar",$R985))+ISNUMBER(SEARCH("Razonar",$R985))),0)</f>
        <v>0</v>
      </c>
      <c r="T985" s="121" cm="1">
        <f t="array" ref="T985">_xlfn.IFERROR(ISNUMBER(SEARCH("Aplicar",$R985))/(ISNUMBER(SEARCH("Conocer",$R985))+ISNUMBER(SEARCH("Aplicar",$R985))+ISNUMBER(SEARCH("Razonar",$R985))),0)</f>
        <v>0.5</v>
      </c>
      <c r="U985" s="121" cm="1">
        <f t="array" ref="U985">_xlfn.IFERROR(ISNUMBER(SEARCH("Razonar",$R985))/(ISNUMBER(SEARCH("Conocer",$R985))+ISNUMBER(SEARCH("Aplicar",$R985))+ISNUMBER(SEARCH("Razonar",$R985))),0)</f>
        <v>0.5</v>
      </c>
      <c r="V985" t="s" s="35">
        <v>1405</v>
      </c>
      <c r="W985" t="s" s="35">
        <v>6188</v>
      </c>
      <c r="X985" s="36" cm="1">
        <f t="array" ref="X985">IF(OR(_xlfn.IFERROR(INDEX('Datos - Catálogo TIMSS'!$I$5:$I$107,MATCH(K985,'Datos - Catálogo TIMSS'!$A$5:$A$107,0)),"No")="Sí",_xlfn.IFERROR(INDEX('Datos - Catálogo TIMSS'!$I$5:$I$107,MATCH(L985,'Datos - Catálogo TIMSS'!$A$5:$A$107,0)),"No")="Sí"),1,0)</f>
        <v>0</v>
      </c>
      <c r="Y985" s="36" cm="1">
        <f t="array" ref="Y985">IF(_xlfn.IFERROR(INDEX('Datos - Catálogo TIMSS'!$J$5:$J$107,MATCH(K985,'Datos - Catálogo TIMSS'!$A$5:$A$107,0)),"No")="Sí",1,0)</f>
        <v>0</v>
      </c>
      <c r="Z985" s="36" cm="1">
        <f t="array" ref="Z985">IF(_xlfn.IFERROR(INDEX('Datos - Catálogo TIMSS'!$J$5:$J$107,MATCH(L985,'Datos - Catálogo TIMSS'!$A$5:$A$107,0)),"No")="Sí",1,0)</f>
        <v>0</v>
      </c>
      <c r="AA985" t="s" s="35">
        <v>1058</v>
      </c>
      <c r="AB985" s="39"/>
      <c r="AC985" t="str" s="39">
        <v>Sin marco</v>
      </c>
      <c r="AD985" t="s" s="35">
        <v>1859</v>
      </c>
      <c r="AE985" t="str" s="39" cm="1">
        <f t="array" ref="AE985">IF(AD985="","",IF(LEFT(AD985,1)="1","C1",IF(LEFT(AD985,1)="2","C2",IF(LEFT(AD985,1)="3","C3",""))))</f>
        <v>C1</v>
      </c>
      <c r="AF985" t="s" s="35">
        <v>1615</v>
      </c>
      <c r="AG985" t="s" s="35">
        <v>1612</v>
      </c>
      <c r="AH985" t="s" s="35">
        <v>1605</v>
      </c>
      <c r="AI985" t="s" s="35">
        <v>1623</v>
      </c>
      <c r="AJ985" t="s" s="35">
        <v>1607</v>
      </c>
      <c r="AK985" s="39"/>
      <c r="AL985" s="39"/>
      <c r="AM985" s="39"/>
      <c r="AN985" s="39"/>
      <c r="AO985" s="39"/>
      <c r="AP985" s="39"/>
      <c r="AQ985" s="39"/>
      <c r="AR985" s="39"/>
      <c r="AS985" s="39"/>
      <c r="AT985" s="39"/>
      <c r="AU985" s="39"/>
      <c r="AV985" s="39"/>
      <c r="AW985" t="str" s="39" cm="1">
        <f t="array" ref="AW985">AF985&amp;"; "&amp;AG985&amp;"; "&amp;AH985&amp;"; "&amp;AI985&amp;"; "&amp;AJ985</f>
        <v>E6; E5; E2; D4; E3</v>
      </c>
    </row>
    <row r="986" ht="13.65" customHeight="1">
      <c r="A986" t="s" s="35">
        <v>6552</v>
      </c>
      <c r="B986" s="36">
        <v>10</v>
      </c>
      <c r="C986" t="s" s="35">
        <v>220</v>
      </c>
      <c r="D986" t="s" s="35">
        <v>6180</v>
      </c>
      <c r="E986" t="s" s="35">
        <v>6181</v>
      </c>
      <c r="F986" s="36">
        <v>95</v>
      </c>
      <c r="G986" t="s" s="35">
        <v>6542</v>
      </c>
      <c r="H986" t="s" s="35">
        <v>6553</v>
      </c>
      <c r="I986" t="s" s="120">
        <v>6554</v>
      </c>
      <c r="J986" t="s" s="35">
        <v>6185</v>
      </c>
      <c r="K986" t="s" s="35">
        <v>1058</v>
      </c>
      <c r="L986" s="39"/>
      <c r="M986" t="str" s="39">
        <v>Sin marco</v>
      </c>
      <c r="N986" t="str" s="39">
        <v>Sin marco</v>
      </c>
      <c r="O986" t="str" s="39" cm="1">
        <f t="array" ref="O986">IF(L986="","",_xlfn.IFERROR(INDEX('Datos - Catálogo TIMSS'!$C$5:$C$107,MATCH(L986,'Datos - Catálogo TIMSS'!$A$5:$A$107,0)),"?"))</f>
      </c>
      <c r="P986" t="s" s="35">
        <v>1058</v>
      </c>
      <c r="Q986" t="s" s="120">
        <v>6186</v>
      </c>
      <c r="R986" t="s" s="120">
        <v>6555</v>
      </c>
      <c r="S986" s="121" cm="1">
        <f t="array" ref="S986">_xlfn.IFERROR(ISNUMBER(SEARCH("Conocer",$R986))/(ISNUMBER(SEARCH("Conocer",$R986))+ISNUMBER(SEARCH("Aplicar",$R986))+ISNUMBER(SEARCH("Razonar",$R986))),0)</f>
        <v>0.333333333333333</v>
      </c>
      <c r="T986" s="121" cm="1">
        <f t="array" ref="T986">_xlfn.IFERROR(ISNUMBER(SEARCH("Aplicar",$R986))/(ISNUMBER(SEARCH("Conocer",$R986))+ISNUMBER(SEARCH("Aplicar",$R986))+ISNUMBER(SEARCH("Razonar",$R986))),0)</f>
        <v>0.333333333333333</v>
      </c>
      <c r="U986" s="121" cm="1">
        <f t="array" ref="U986">_xlfn.IFERROR(ISNUMBER(SEARCH("Razonar",$R986))/(ISNUMBER(SEARCH("Conocer",$R986))+ISNUMBER(SEARCH("Aplicar",$R986))+ISNUMBER(SEARCH("Razonar",$R986))),0)</f>
        <v>0.333333333333333</v>
      </c>
      <c r="V986" t="s" s="35">
        <v>1405</v>
      </c>
      <c r="W986" t="s" s="35">
        <v>6188</v>
      </c>
      <c r="X986" s="36" cm="1">
        <f t="array" ref="X986">IF(OR(_xlfn.IFERROR(INDEX('Datos - Catálogo TIMSS'!$I$5:$I$107,MATCH(K986,'Datos - Catálogo TIMSS'!$A$5:$A$107,0)),"No")="Sí",_xlfn.IFERROR(INDEX('Datos - Catálogo TIMSS'!$I$5:$I$107,MATCH(L986,'Datos - Catálogo TIMSS'!$A$5:$A$107,0)),"No")="Sí"),1,0)</f>
        <v>0</v>
      </c>
      <c r="Y986" s="36" cm="1">
        <f t="array" ref="Y986">IF(_xlfn.IFERROR(INDEX('Datos - Catálogo TIMSS'!$J$5:$J$107,MATCH(K986,'Datos - Catálogo TIMSS'!$A$5:$A$107,0)),"No")="Sí",1,0)</f>
        <v>0</v>
      </c>
      <c r="Z986" s="36" cm="1">
        <f t="array" ref="Z986">IF(_xlfn.IFERROR(INDEX('Datos - Catálogo TIMSS'!$J$5:$J$107,MATCH(L986,'Datos - Catálogo TIMSS'!$A$5:$A$107,0)),"No")="Sí",1,0)</f>
        <v>0</v>
      </c>
      <c r="AA986" t="s" s="35">
        <v>1058</v>
      </c>
      <c r="AB986" s="39"/>
      <c r="AC986" t="str" s="39">
        <v>Sin marco</v>
      </c>
      <c r="AD986" t="s" s="35">
        <v>1859</v>
      </c>
      <c r="AE986" t="str" s="39" cm="1">
        <f t="array" ref="AE986">IF(AD986="","",IF(LEFT(AD986,1)="1","C1",IF(LEFT(AD986,1)="2","C2",IF(LEFT(AD986,1)="3","C3",""))))</f>
        <v>C1</v>
      </c>
      <c r="AF986" t="s" s="35">
        <v>1602</v>
      </c>
      <c r="AG986" t="s" s="35">
        <v>1612</v>
      </c>
      <c r="AH986" t="s" s="35">
        <v>1609</v>
      </c>
      <c r="AI986" t="s" s="35">
        <v>1619</v>
      </c>
      <c r="AJ986" t="s" s="35">
        <v>1607</v>
      </c>
      <c r="AK986" s="39"/>
      <c r="AL986" s="39"/>
      <c r="AM986" s="39"/>
      <c r="AN986" s="39"/>
      <c r="AO986" s="39"/>
      <c r="AP986" s="39"/>
      <c r="AQ986" s="39"/>
      <c r="AR986" s="39"/>
      <c r="AS986" s="39"/>
      <c r="AT986" s="39"/>
      <c r="AU986" s="39"/>
      <c r="AV986" s="39"/>
      <c r="AW986" t="str" s="39" cm="1">
        <f t="array" ref="AW986">AF986&amp;"; "&amp;AG986&amp;"; "&amp;AH986&amp;"; "&amp;AI986&amp;"; "&amp;AJ986</f>
        <v>E1; E5; E4; D2; E3</v>
      </c>
    </row>
    <row r="987" ht="13.65" customHeight="1">
      <c r="A987" t="s" s="35">
        <v>6556</v>
      </c>
      <c r="B987" s="36">
        <v>10</v>
      </c>
      <c r="C987" t="s" s="35">
        <v>220</v>
      </c>
      <c r="D987" t="s" s="35">
        <v>6180</v>
      </c>
      <c r="E987" t="s" s="35">
        <v>6181</v>
      </c>
      <c r="F987" s="36">
        <v>96</v>
      </c>
      <c r="G987" t="s" s="35">
        <v>6542</v>
      </c>
      <c r="H987" t="s" s="35">
        <v>6553</v>
      </c>
      <c r="I987" t="s" s="120">
        <v>6557</v>
      </c>
      <c r="J987" t="s" s="35">
        <v>6185</v>
      </c>
      <c r="K987" t="s" s="35">
        <v>1058</v>
      </c>
      <c r="L987" s="39"/>
      <c r="M987" t="str" s="39">
        <v>Sin marco</v>
      </c>
      <c r="N987" t="str" s="39">
        <v>Sin marco</v>
      </c>
      <c r="O987" t="str" s="39" cm="1">
        <f t="array" ref="O987">IF(L987="","",_xlfn.IFERROR(INDEX('Datos - Catálogo TIMSS'!$C$5:$C$107,MATCH(L987,'Datos - Catálogo TIMSS'!$A$5:$A$107,0)),"?"))</f>
      </c>
      <c r="P987" t="s" s="35">
        <v>1058</v>
      </c>
      <c r="Q987" t="s" s="120">
        <v>6186</v>
      </c>
      <c r="R987" t="s" s="120">
        <v>6558</v>
      </c>
      <c r="S987" s="121" cm="1">
        <f t="array" ref="S987">_xlfn.IFERROR(ISNUMBER(SEARCH("Conocer",$R987))/(ISNUMBER(SEARCH("Conocer",$R987))+ISNUMBER(SEARCH("Aplicar",$R987))+ISNUMBER(SEARCH("Razonar",$R987))),0)</f>
        <v>0</v>
      </c>
      <c r="T987" s="121" cm="1">
        <f t="array" ref="T987">_xlfn.IFERROR(ISNUMBER(SEARCH("Aplicar",$R987))/(ISNUMBER(SEARCH("Conocer",$R987))+ISNUMBER(SEARCH("Aplicar",$R987))+ISNUMBER(SEARCH("Razonar",$R987))),0)</f>
        <v>0.5</v>
      </c>
      <c r="U987" s="121" cm="1">
        <f t="array" ref="U987">_xlfn.IFERROR(ISNUMBER(SEARCH("Razonar",$R987))/(ISNUMBER(SEARCH("Conocer",$R987))+ISNUMBER(SEARCH("Aplicar",$R987))+ISNUMBER(SEARCH("Razonar",$R987))),0)</f>
        <v>0.5</v>
      </c>
      <c r="V987" t="s" s="35">
        <v>1405</v>
      </c>
      <c r="W987" t="s" s="35">
        <v>6188</v>
      </c>
      <c r="X987" s="36" cm="1">
        <f t="array" ref="X987">IF(OR(_xlfn.IFERROR(INDEX('Datos - Catálogo TIMSS'!$I$5:$I$107,MATCH(K987,'Datos - Catálogo TIMSS'!$A$5:$A$107,0)),"No")="Sí",_xlfn.IFERROR(INDEX('Datos - Catálogo TIMSS'!$I$5:$I$107,MATCH(L987,'Datos - Catálogo TIMSS'!$A$5:$A$107,0)),"No")="Sí"),1,0)</f>
        <v>0</v>
      </c>
      <c r="Y987" s="36" cm="1">
        <f t="array" ref="Y987">IF(_xlfn.IFERROR(INDEX('Datos - Catálogo TIMSS'!$J$5:$J$107,MATCH(K987,'Datos - Catálogo TIMSS'!$A$5:$A$107,0)),"No")="Sí",1,0)</f>
        <v>0</v>
      </c>
      <c r="Z987" s="36" cm="1">
        <f t="array" ref="Z987">IF(_xlfn.IFERROR(INDEX('Datos - Catálogo TIMSS'!$J$5:$J$107,MATCH(L987,'Datos - Catálogo TIMSS'!$A$5:$A$107,0)),"No")="Sí",1,0)</f>
        <v>0</v>
      </c>
      <c r="AA987" t="s" s="35">
        <v>1058</v>
      </c>
      <c r="AB987" s="39"/>
      <c r="AC987" t="str" s="39">
        <v>Sin marco</v>
      </c>
      <c r="AD987" t="s" s="35">
        <v>1900</v>
      </c>
      <c r="AE987" t="str" s="39" cm="1">
        <f t="array" ref="AE987">IF(AD987="","",IF(LEFT(AD987,1)="1","C1",IF(LEFT(AD987,1)="2","C2",IF(LEFT(AD987,1)="3","C3",""))))</f>
        <v>C3</v>
      </c>
      <c r="AF987" t="s" s="35">
        <v>1602</v>
      </c>
      <c r="AG987" t="s" s="35">
        <v>1617</v>
      </c>
      <c r="AH987" t="s" s="35">
        <v>1609</v>
      </c>
      <c r="AI987" t="s" s="35">
        <v>1629</v>
      </c>
      <c r="AJ987" t="s" s="35">
        <v>1631</v>
      </c>
      <c r="AK987" s="39"/>
      <c r="AL987" s="39"/>
      <c r="AM987" s="39"/>
      <c r="AN987" s="39"/>
      <c r="AO987" s="39"/>
      <c r="AP987" s="39"/>
      <c r="AQ987" s="39"/>
      <c r="AR987" s="39"/>
      <c r="AS987" s="39"/>
      <c r="AT987" s="39"/>
      <c r="AU987" s="39"/>
      <c r="AV987" s="39"/>
      <c r="AW987" t="str" s="39" cm="1">
        <f t="array" ref="AW987">AF987&amp;"; "&amp;AG987&amp;"; "&amp;AH987&amp;"; "&amp;AI987&amp;"; "&amp;AJ987</f>
        <v>E1; D1; E4; I3; I4</v>
      </c>
    </row>
    <row r="988" ht="13.65" customHeight="1">
      <c r="A988" t="s" s="35">
        <v>6560</v>
      </c>
      <c r="B988" s="36">
        <v>10</v>
      </c>
      <c r="C988" t="s" s="35">
        <v>220</v>
      </c>
      <c r="D988" t="s" s="35">
        <v>6180</v>
      </c>
      <c r="E988" t="s" s="35">
        <v>6181</v>
      </c>
      <c r="F988" s="36">
        <v>97</v>
      </c>
      <c r="G988" t="s" s="35">
        <v>6542</v>
      </c>
      <c r="H988" t="s" s="35">
        <v>6561</v>
      </c>
      <c r="I988" t="s" s="120">
        <v>6562</v>
      </c>
      <c r="J988" t="s" s="35">
        <v>6185</v>
      </c>
      <c r="K988" t="s" s="35">
        <v>1058</v>
      </c>
      <c r="L988" s="39"/>
      <c r="M988" t="str" s="39">
        <v>Sin marco</v>
      </c>
      <c r="N988" t="str" s="39">
        <v>Sin marco</v>
      </c>
      <c r="O988" t="str" s="39" cm="1">
        <f t="array" ref="O988">IF(L988="","",_xlfn.IFERROR(INDEX('Datos - Catálogo TIMSS'!$C$5:$C$107,MATCH(L988,'Datos - Catálogo TIMSS'!$A$5:$A$107,0)),"?"))</f>
      </c>
      <c r="P988" t="s" s="35">
        <v>1058</v>
      </c>
      <c r="Q988" t="s" s="120">
        <v>6186</v>
      </c>
      <c r="R988" t="s" s="120">
        <v>6563</v>
      </c>
      <c r="S988" s="121" cm="1">
        <f t="array" ref="S988">_xlfn.IFERROR(ISNUMBER(SEARCH("Conocer",$R988))/(ISNUMBER(SEARCH("Conocer",$R988))+ISNUMBER(SEARCH("Aplicar",$R988))+ISNUMBER(SEARCH("Razonar",$R988))),0)</f>
        <v>0</v>
      </c>
      <c r="T988" s="121" cm="1">
        <f t="array" ref="T988">_xlfn.IFERROR(ISNUMBER(SEARCH("Aplicar",$R988))/(ISNUMBER(SEARCH("Conocer",$R988))+ISNUMBER(SEARCH("Aplicar",$R988))+ISNUMBER(SEARCH("Razonar",$R988))),0)</f>
        <v>0.5</v>
      </c>
      <c r="U988" s="121" cm="1">
        <f t="array" ref="U988">_xlfn.IFERROR(ISNUMBER(SEARCH("Razonar",$R988))/(ISNUMBER(SEARCH("Conocer",$R988))+ISNUMBER(SEARCH("Aplicar",$R988))+ISNUMBER(SEARCH("Razonar",$R988))),0)</f>
        <v>0.5</v>
      </c>
      <c r="V988" t="s" s="35">
        <v>1405</v>
      </c>
      <c r="W988" t="s" s="35">
        <v>6188</v>
      </c>
      <c r="X988" s="36" cm="1">
        <f t="array" ref="X988">IF(OR(_xlfn.IFERROR(INDEX('Datos - Catálogo TIMSS'!$I$5:$I$107,MATCH(K988,'Datos - Catálogo TIMSS'!$A$5:$A$107,0)),"No")="Sí",_xlfn.IFERROR(INDEX('Datos - Catálogo TIMSS'!$I$5:$I$107,MATCH(L988,'Datos - Catálogo TIMSS'!$A$5:$A$107,0)),"No")="Sí"),1,0)</f>
        <v>0</v>
      </c>
      <c r="Y988" s="36" cm="1">
        <f t="array" ref="Y988">IF(_xlfn.IFERROR(INDEX('Datos - Catálogo TIMSS'!$J$5:$J$107,MATCH(K988,'Datos - Catálogo TIMSS'!$A$5:$A$107,0)),"No")="Sí",1,0)</f>
        <v>0</v>
      </c>
      <c r="Z988" s="36" cm="1">
        <f t="array" ref="Z988">IF(_xlfn.IFERROR(INDEX('Datos - Catálogo TIMSS'!$J$5:$J$107,MATCH(L988,'Datos - Catálogo TIMSS'!$A$5:$A$107,0)),"No")="Sí",1,0)</f>
        <v>0</v>
      </c>
      <c r="AA988" t="s" s="35">
        <v>1058</v>
      </c>
      <c r="AB988" s="39"/>
      <c r="AC988" t="str" s="39">
        <v>Sin marco</v>
      </c>
      <c r="AD988" t="s" s="35">
        <v>1834</v>
      </c>
      <c r="AE988" t="str" s="39" cm="1">
        <f t="array" ref="AE988">IF(AD988="","",IF(LEFT(AD988,1)="1","C1",IF(LEFT(AD988,1)="2","C2",IF(LEFT(AD988,1)="3","C3",""))))</f>
        <v>C2</v>
      </c>
      <c r="AF988" t="s" s="35">
        <v>1615</v>
      </c>
      <c r="AG988" t="s" s="35">
        <v>1607</v>
      </c>
      <c r="AH988" t="s" s="35">
        <v>1605</v>
      </c>
      <c r="AI988" t="s" s="35">
        <v>1619</v>
      </c>
      <c r="AJ988" t="s" s="35">
        <v>1621</v>
      </c>
      <c r="AK988" s="39"/>
      <c r="AL988" s="39"/>
      <c r="AM988" s="39"/>
      <c r="AN988" s="39"/>
      <c r="AO988" s="39"/>
      <c r="AP988" s="39"/>
      <c r="AQ988" s="39"/>
      <c r="AR988" s="39"/>
      <c r="AS988" s="39"/>
      <c r="AT988" s="39"/>
      <c r="AU988" s="39"/>
      <c r="AV988" s="39"/>
      <c r="AW988" t="str" s="39" cm="1">
        <f t="array" ref="AW988">AF988&amp;"; "&amp;AG988&amp;"; "&amp;AH988&amp;"; "&amp;AI988&amp;"; "&amp;AJ988</f>
        <v>E6; E3; E2; D2; D3</v>
      </c>
    </row>
    <row r="989" ht="13.65" customHeight="1">
      <c r="A989" t="s" s="35">
        <v>6565</v>
      </c>
      <c r="B989" s="36">
        <v>10</v>
      </c>
      <c r="C989" t="s" s="35">
        <v>220</v>
      </c>
      <c r="D989" t="s" s="35">
        <v>6180</v>
      </c>
      <c r="E989" t="s" s="35">
        <v>6181</v>
      </c>
      <c r="F989" s="36">
        <v>98</v>
      </c>
      <c r="G989" t="s" s="35">
        <v>6542</v>
      </c>
      <c r="H989" t="s" s="35">
        <v>6561</v>
      </c>
      <c r="I989" t="s" s="120">
        <v>6566</v>
      </c>
      <c r="J989" t="s" s="35">
        <v>6185</v>
      </c>
      <c r="K989" t="s" s="35">
        <v>1058</v>
      </c>
      <c r="L989" s="39"/>
      <c r="M989" t="str" s="39">
        <v>Sin marco</v>
      </c>
      <c r="N989" t="str" s="39">
        <v>Sin marco</v>
      </c>
      <c r="O989" t="str" s="39" cm="1">
        <f t="array" ref="O989">IF(L989="","",_xlfn.IFERROR(INDEX('Datos - Catálogo TIMSS'!$C$5:$C$107,MATCH(L989,'Datos - Catálogo TIMSS'!$A$5:$A$107,0)),"?"))</f>
      </c>
      <c r="P989" t="s" s="35">
        <v>1058</v>
      </c>
      <c r="Q989" t="s" s="120">
        <v>6186</v>
      </c>
      <c r="R989" t="s" s="120">
        <v>6567</v>
      </c>
      <c r="S989" s="121" cm="1">
        <f t="array" ref="S989">_xlfn.IFERROR(ISNUMBER(SEARCH("Conocer",$R989))/(ISNUMBER(SEARCH("Conocer",$R989))+ISNUMBER(SEARCH("Aplicar",$R989))+ISNUMBER(SEARCH("Razonar",$R989))),0)</f>
        <v>0.333333333333333</v>
      </c>
      <c r="T989" s="121" cm="1">
        <f t="array" ref="T989">_xlfn.IFERROR(ISNUMBER(SEARCH("Aplicar",$R989))/(ISNUMBER(SEARCH("Conocer",$R989))+ISNUMBER(SEARCH("Aplicar",$R989))+ISNUMBER(SEARCH("Razonar",$R989))),0)</f>
        <v>0.333333333333333</v>
      </c>
      <c r="U989" s="121" cm="1">
        <f t="array" ref="U989">_xlfn.IFERROR(ISNUMBER(SEARCH("Razonar",$R989))/(ISNUMBER(SEARCH("Conocer",$R989))+ISNUMBER(SEARCH("Aplicar",$R989))+ISNUMBER(SEARCH("Razonar",$R989))),0)</f>
        <v>0.333333333333333</v>
      </c>
      <c r="V989" t="s" s="35">
        <v>1405</v>
      </c>
      <c r="W989" t="s" s="35">
        <v>6188</v>
      </c>
      <c r="X989" s="36" cm="1">
        <f t="array" ref="X989">IF(OR(_xlfn.IFERROR(INDEX('Datos - Catálogo TIMSS'!$I$5:$I$107,MATCH(K989,'Datos - Catálogo TIMSS'!$A$5:$A$107,0)),"No")="Sí",_xlfn.IFERROR(INDEX('Datos - Catálogo TIMSS'!$I$5:$I$107,MATCH(L989,'Datos - Catálogo TIMSS'!$A$5:$A$107,0)),"No")="Sí"),1,0)</f>
        <v>0</v>
      </c>
      <c r="Y989" s="36" cm="1">
        <f t="array" ref="Y989">IF(_xlfn.IFERROR(INDEX('Datos - Catálogo TIMSS'!$J$5:$J$107,MATCH(K989,'Datos - Catálogo TIMSS'!$A$5:$A$107,0)),"No")="Sí",1,0)</f>
        <v>0</v>
      </c>
      <c r="Z989" s="36" cm="1">
        <f t="array" ref="Z989">IF(_xlfn.IFERROR(INDEX('Datos - Catálogo TIMSS'!$J$5:$J$107,MATCH(L989,'Datos - Catálogo TIMSS'!$A$5:$A$107,0)),"No")="Sí",1,0)</f>
        <v>0</v>
      </c>
      <c r="AA989" t="s" s="35">
        <v>1058</v>
      </c>
      <c r="AB989" s="39"/>
      <c r="AC989" t="str" s="39">
        <v>Sin marco</v>
      </c>
      <c r="AD989" t="s" s="35">
        <v>1859</v>
      </c>
      <c r="AE989" t="str" s="39" cm="1">
        <f t="array" ref="AE989">IF(AD989="","",IF(LEFT(AD989,1)="1","C1",IF(LEFT(AD989,1)="2","C2",IF(LEFT(AD989,1)="3","C3",""))))</f>
        <v>C1</v>
      </c>
      <c r="AF989" t="s" s="35">
        <v>1602</v>
      </c>
      <c r="AG989" t="s" s="35">
        <v>1617</v>
      </c>
      <c r="AH989" t="s" s="35">
        <v>1609</v>
      </c>
      <c r="AI989" t="s" s="35">
        <v>1623</v>
      </c>
      <c r="AJ989" t="s" s="35">
        <v>1615</v>
      </c>
      <c r="AK989" s="39"/>
      <c r="AL989" s="39"/>
      <c r="AM989" s="39"/>
      <c r="AN989" s="39"/>
      <c r="AO989" s="39"/>
      <c r="AP989" s="39"/>
      <c r="AQ989" s="39"/>
      <c r="AR989" s="39"/>
      <c r="AS989" s="39"/>
      <c r="AT989" s="39"/>
      <c r="AU989" s="39"/>
      <c r="AV989" s="39"/>
      <c r="AW989" t="str" s="39" cm="1">
        <f t="array" ref="AW989">AF989&amp;"; "&amp;AG989&amp;"; "&amp;AH989&amp;"; "&amp;AI989&amp;"; "&amp;AJ989</f>
        <v>E1; D1; E4; D4; E6</v>
      </c>
    </row>
    <row r="990" ht="13.65" customHeight="1">
      <c r="A990" t="s" s="35">
        <v>6568</v>
      </c>
      <c r="B990" s="36">
        <v>10</v>
      </c>
      <c r="C990" t="s" s="35">
        <v>220</v>
      </c>
      <c r="D990" t="s" s="35">
        <v>6180</v>
      </c>
      <c r="E990" t="s" s="35">
        <v>6181</v>
      </c>
      <c r="F990" s="36">
        <v>99</v>
      </c>
      <c r="G990" t="s" s="35">
        <v>6542</v>
      </c>
      <c r="H990" t="s" s="35">
        <v>6569</v>
      </c>
      <c r="I990" t="s" s="120">
        <v>6570</v>
      </c>
      <c r="J990" t="s" s="35">
        <v>6185</v>
      </c>
      <c r="K990" t="s" s="35">
        <v>1058</v>
      </c>
      <c r="L990" s="39"/>
      <c r="M990" t="str" s="39">
        <v>Sin marco</v>
      </c>
      <c r="N990" t="str" s="39">
        <v>Sin marco</v>
      </c>
      <c r="O990" t="str" s="39" cm="1">
        <f t="array" ref="O990">IF(L990="","",_xlfn.IFERROR(INDEX('Datos - Catálogo TIMSS'!$C$5:$C$107,MATCH(L990,'Datos - Catálogo TIMSS'!$A$5:$A$107,0)),"?"))</f>
      </c>
      <c r="P990" t="s" s="35">
        <v>1058</v>
      </c>
      <c r="Q990" t="s" s="120">
        <v>6186</v>
      </c>
      <c r="R990" t="s" s="120">
        <v>6571</v>
      </c>
      <c r="S990" s="121" cm="1">
        <f t="array" ref="S990">_xlfn.IFERROR(ISNUMBER(SEARCH("Conocer",$R990))/(ISNUMBER(SEARCH("Conocer",$R990))+ISNUMBER(SEARCH("Aplicar",$R990))+ISNUMBER(SEARCH("Razonar",$R990))),0)</f>
        <v>0</v>
      </c>
      <c r="T990" s="121" cm="1">
        <f t="array" ref="T990">_xlfn.IFERROR(ISNUMBER(SEARCH("Aplicar",$R990))/(ISNUMBER(SEARCH("Conocer",$R990))+ISNUMBER(SEARCH("Aplicar",$R990))+ISNUMBER(SEARCH("Razonar",$R990))),0)</f>
        <v>0.5</v>
      </c>
      <c r="U990" s="121" cm="1">
        <f t="array" ref="U990">_xlfn.IFERROR(ISNUMBER(SEARCH("Razonar",$R990))/(ISNUMBER(SEARCH("Conocer",$R990))+ISNUMBER(SEARCH("Aplicar",$R990))+ISNUMBER(SEARCH("Razonar",$R990))),0)</f>
        <v>0.5</v>
      </c>
      <c r="V990" t="s" s="35">
        <v>1405</v>
      </c>
      <c r="W990" t="s" s="35">
        <v>6188</v>
      </c>
      <c r="X990" s="36" cm="1">
        <f t="array" ref="X990">IF(OR(_xlfn.IFERROR(INDEX('Datos - Catálogo TIMSS'!$I$5:$I$107,MATCH(K990,'Datos - Catálogo TIMSS'!$A$5:$A$107,0)),"No")="Sí",_xlfn.IFERROR(INDEX('Datos - Catálogo TIMSS'!$I$5:$I$107,MATCH(L990,'Datos - Catálogo TIMSS'!$A$5:$A$107,0)),"No")="Sí"),1,0)</f>
        <v>0</v>
      </c>
      <c r="Y990" s="36" cm="1">
        <f t="array" ref="Y990">IF(_xlfn.IFERROR(INDEX('Datos - Catálogo TIMSS'!$J$5:$J$107,MATCH(K990,'Datos - Catálogo TIMSS'!$A$5:$A$107,0)),"No")="Sí",1,0)</f>
        <v>0</v>
      </c>
      <c r="Z990" s="36" cm="1">
        <f t="array" ref="Z990">IF(_xlfn.IFERROR(INDEX('Datos - Catálogo TIMSS'!$J$5:$J$107,MATCH(L990,'Datos - Catálogo TIMSS'!$A$5:$A$107,0)),"No")="Sí",1,0)</f>
        <v>0</v>
      </c>
      <c r="AA990" t="s" s="35">
        <v>1058</v>
      </c>
      <c r="AB990" s="39"/>
      <c r="AC990" t="str" s="39">
        <v>Sin marco</v>
      </c>
      <c r="AD990" t="s" s="35">
        <v>1859</v>
      </c>
      <c r="AE990" t="str" s="39" cm="1">
        <f t="array" ref="AE990">IF(AD990="","",IF(LEFT(AD990,1)="1","C1",IF(LEFT(AD990,1)="2","C2",IF(LEFT(AD990,1)="3","C3",""))))</f>
        <v>C1</v>
      </c>
      <c r="AF990" t="s" s="35">
        <v>1602</v>
      </c>
      <c r="AG990" t="s" s="35">
        <v>1612</v>
      </c>
      <c r="AH990" t="s" s="35">
        <v>1609</v>
      </c>
      <c r="AI990" t="s" s="35">
        <v>1623</v>
      </c>
      <c r="AJ990" t="s" s="35">
        <v>1607</v>
      </c>
      <c r="AK990" s="39"/>
      <c r="AL990" s="39"/>
      <c r="AM990" s="39"/>
      <c r="AN990" s="39"/>
      <c r="AO990" s="39"/>
      <c r="AP990" s="39"/>
      <c r="AQ990" s="39"/>
      <c r="AR990" s="39"/>
      <c r="AS990" s="39"/>
      <c r="AT990" s="39"/>
      <c r="AU990" s="39"/>
      <c r="AV990" s="39"/>
      <c r="AW990" t="str" s="39" cm="1">
        <f t="array" ref="AW990">AF990&amp;"; "&amp;AG990&amp;"; "&amp;AH990&amp;"; "&amp;AI990&amp;"; "&amp;AJ990</f>
        <v>E1; E5; E4; D4; E3</v>
      </c>
    </row>
    <row r="991" ht="13.65" customHeight="1">
      <c r="A991" t="s" s="35">
        <v>6572</v>
      </c>
      <c r="B991" s="36">
        <v>10</v>
      </c>
      <c r="C991" t="s" s="35">
        <v>220</v>
      </c>
      <c r="D991" t="s" s="35">
        <v>6180</v>
      </c>
      <c r="E991" t="s" s="35">
        <v>6181</v>
      </c>
      <c r="F991" s="36">
        <v>100</v>
      </c>
      <c r="G991" t="s" s="35">
        <v>6542</v>
      </c>
      <c r="H991" t="s" s="35">
        <v>6569</v>
      </c>
      <c r="I991" t="s" s="120">
        <v>6573</v>
      </c>
      <c r="J991" t="s" s="35">
        <v>6185</v>
      </c>
      <c r="K991" t="s" s="35">
        <v>1058</v>
      </c>
      <c r="L991" s="39"/>
      <c r="M991" t="str" s="39">
        <v>Sin marco</v>
      </c>
      <c r="N991" t="str" s="39">
        <v>Sin marco</v>
      </c>
      <c r="O991" t="str" s="39" cm="1">
        <f t="array" ref="O991">IF(L991="","",_xlfn.IFERROR(INDEX('Datos - Catálogo TIMSS'!$C$5:$C$107,MATCH(L991,'Datos - Catálogo TIMSS'!$A$5:$A$107,0)),"?"))</f>
      </c>
      <c r="P991" t="s" s="35">
        <v>1058</v>
      </c>
      <c r="Q991" t="s" s="120">
        <v>6186</v>
      </c>
      <c r="R991" t="s" s="120">
        <v>6574</v>
      </c>
      <c r="S991" s="121" cm="1">
        <f t="array" ref="S991">_xlfn.IFERROR(ISNUMBER(SEARCH("Conocer",$R991))/(ISNUMBER(SEARCH("Conocer",$R991))+ISNUMBER(SEARCH("Aplicar",$R991))+ISNUMBER(SEARCH("Razonar",$R991))),0)</f>
        <v>0</v>
      </c>
      <c r="T991" s="121" cm="1">
        <f t="array" ref="T991">_xlfn.IFERROR(ISNUMBER(SEARCH("Aplicar",$R991))/(ISNUMBER(SEARCH("Conocer",$R991))+ISNUMBER(SEARCH("Aplicar",$R991))+ISNUMBER(SEARCH("Razonar",$R991))),0)</f>
        <v>0.5</v>
      </c>
      <c r="U991" s="121" cm="1">
        <f t="array" ref="U991">_xlfn.IFERROR(ISNUMBER(SEARCH("Razonar",$R991))/(ISNUMBER(SEARCH("Conocer",$R991))+ISNUMBER(SEARCH("Aplicar",$R991))+ISNUMBER(SEARCH("Razonar",$R991))),0)</f>
        <v>0.5</v>
      </c>
      <c r="V991" t="s" s="35">
        <v>1405</v>
      </c>
      <c r="W991" t="s" s="35">
        <v>6188</v>
      </c>
      <c r="X991" s="36" cm="1">
        <f t="array" ref="X991">IF(OR(_xlfn.IFERROR(INDEX('Datos - Catálogo TIMSS'!$I$5:$I$107,MATCH(K991,'Datos - Catálogo TIMSS'!$A$5:$A$107,0)),"No")="Sí",_xlfn.IFERROR(INDEX('Datos - Catálogo TIMSS'!$I$5:$I$107,MATCH(L991,'Datos - Catálogo TIMSS'!$A$5:$A$107,0)),"No")="Sí"),1,0)</f>
        <v>0</v>
      </c>
      <c r="Y991" s="36" cm="1">
        <f t="array" ref="Y991">IF(_xlfn.IFERROR(INDEX('Datos - Catálogo TIMSS'!$J$5:$J$107,MATCH(K991,'Datos - Catálogo TIMSS'!$A$5:$A$107,0)),"No")="Sí",1,0)</f>
        <v>0</v>
      </c>
      <c r="Z991" s="36" cm="1">
        <f t="array" ref="Z991">IF(_xlfn.IFERROR(INDEX('Datos - Catálogo TIMSS'!$J$5:$J$107,MATCH(L991,'Datos - Catálogo TIMSS'!$A$5:$A$107,0)),"No")="Sí",1,0)</f>
        <v>0</v>
      </c>
      <c r="AA991" t="s" s="35">
        <v>1058</v>
      </c>
      <c r="AB991" s="39"/>
      <c r="AC991" t="str" s="39">
        <v>Sin marco</v>
      </c>
      <c r="AD991" t="s" s="35">
        <v>1859</v>
      </c>
      <c r="AE991" t="str" s="39" cm="1">
        <f t="array" ref="AE991">IF(AD991="","",IF(LEFT(AD991,1)="1","C1",IF(LEFT(AD991,1)="2","C2",IF(LEFT(AD991,1)="3","C3",""))))</f>
        <v>C1</v>
      </c>
      <c r="AF991" t="s" s="35">
        <v>1602</v>
      </c>
      <c r="AG991" t="s" s="35">
        <v>1607</v>
      </c>
      <c r="AH991" t="s" s="35">
        <v>1605</v>
      </c>
      <c r="AI991" t="s" s="35">
        <v>1629</v>
      </c>
      <c r="AJ991" t="s" s="35">
        <v>1631</v>
      </c>
      <c r="AK991" s="39"/>
      <c r="AL991" s="39"/>
      <c r="AM991" s="39"/>
      <c r="AN991" s="39"/>
      <c r="AO991" s="39"/>
      <c r="AP991" s="39"/>
      <c r="AQ991" s="39"/>
      <c r="AR991" s="39"/>
      <c r="AS991" s="39"/>
      <c r="AT991" s="39"/>
      <c r="AU991" s="39"/>
      <c r="AV991" s="39"/>
      <c r="AW991" t="str" s="39" cm="1">
        <f t="array" ref="AW991">AF991&amp;"; "&amp;AG991&amp;"; "&amp;AH991&amp;"; "&amp;AI991&amp;"; "&amp;AJ991</f>
        <v>E1; E3; E2; I3; I4</v>
      </c>
    </row>
    <row r="992" ht="13.65" customHeight="1">
      <c r="A992" t="s" s="35">
        <v>6576</v>
      </c>
      <c r="B992" s="36">
        <v>10</v>
      </c>
      <c r="C992" t="s" s="35">
        <v>220</v>
      </c>
      <c r="D992" t="s" s="35">
        <v>6180</v>
      </c>
      <c r="E992" t="s" s="35">
        <v>6181</v>
      </c>
      <c r="F992" s="36">
        <v>101</v>
      </c>
      <c r="G992" t="s" s="35">
        <v>6542</v>
      </c>
      <c r="H992" t="s" s="35">
        <v>6577</v>
      </c>
      <c r="I992" t="s" s="120">
        <v>6578</v>
      </c>
      <c r="J992" t="s" s="35">
        <v>6185</v>
      </c>
      <c r="K992" t="s" s="35">
        <v>1058</v>
      </c>
      <c r="L992" s="39"/>
      <c r="M992" t="str" s="39">
        <v>Sin marco</v>
      </c>
      <c r="N992" t="str" s="39">
        <v>Sin marco</v>
      </c>
      <c r="O992" t="str" s="39" cm="1">
        <f t="array" ref="O992">IF(L992="","",_xlfn.IFERROR(INDEX('Datos - Catálogo TIMSS'!$C$5:$C$107,MATCH(L992,'Datos - Catálogo TIMSS'!$A$5:$A$107,0)),"?"))</f>
      </c>
      <c r="P992" t="s" s="35">
        <v>1058</v>
      </c>
      <c r="Q992" t="s" s="120">
        <v>6186</v>
      </c>
      <c r="R992" t="s" s="120">
        <v>6579</v>
      </c>
      <c r="S992" s="121" cm="1">
        <f t="array" ref="S992">_xlfn.IFERROR(ISNUMBER(SEARCH("Conocer",$R992))/(ISNUMBER(SEARCH("Conocer",$R992))+ISNUMBER(SEARCH("Aplicar",$R992))+ISNUMBER(SEARCH("Razonar",$R992))),0)</f>
        <v>0</v>
      </c>
      <c r="T992" s="121" cm="1">
        <f t="array" ref="T992">_xlfn.IFERROR(ISNUMBER(SEARCH("Aplicar",$R992))/(ISNUMBER(SEARCH("Conocer",$R992))+ISNUMBER(SEARCH("Aplicar",$R992))+ISNUMBER(SEARCH("Razonar",$R992))),0)</f>
        <v>0.5</v>
      </c>
      <c r="U992" s="121" cm="1">
        <f t="array" ref="U992">_xlfn.IFERROR(ISNUMBER(SEARCH("Razonar",$R992))/(ISNUMBER(SEARCH("Conocer",$R992))+ISNUMBER(SEARCH("Aplicar",$R992))+ISNUMBER(SEARCH("Razonar",$R992))),0)</f>
        <v>0.5</v>
      </c>
      <c r="V992" t="s" s="35">
        <v>1405</v>
      </c>
      <c r="W992" t="s" s="35">
        <v>6188</v>
      </c>
      <c r="X992" s="36" cm="1">
        <f t="array" ref="X992">IF(OR(_xlfn.IFERROR(INDEX('Datos - Catálogo TIMSS'!$I$5:$I$107,MATCH(K992,'Datos - Catálogo TIMSS'!$A$5:$A$107,0)),"No")="Sí",_xlfn.IFERROR(INDEX('Datos - Catálogo TIMSS'!$I$5:$I$107,MATCH(L992,'Datos - Catálogo TIMSS'!$A$5:$A$107,0)),"No")="Sí"),1,0)</f>
        <v>0</v>
      </c>
      <c r="Y992" s="36" cm="1">
        <f t="array" ref="Y992">IF(_xlfn.IFERROR(INDEX('Datos - Catálogo TIMSS'!$J$5:$J$107,MATCH(K992,'Datos - Catálogo TIMSS'!$A$5:$A$107,0)),"No")="Sí",1,0)</f>
        <v>0</v>
      </c>
      <c r="Z992" s="36" cm="1">
        <f t="array" ref="Z992">IF(_xlfn.IFERROR(INDEX('Datos - Catálogo TIMSS'!$J$5:$J$107,MATCH(L992,'Datos - Catálogo TIMSS'!$A$5:$A$107,0)),"No")="Sí",1,0)</f>
        <v>0</v>
      </c>
      <c r="AA992" t="s" s="35">
        <v>1058</v>
      </c>
      <c r="AB992" s="39"/>
      <c r="AC992" t="str" s="39">
        <v>Sin marco</v>
      </c>
      <c r="AD992" t="s" s="35">
        <v>1859</v>
      </c>
      <c r="AE992" t="str" s="39" cm="1">
        <f t="array" ref="AE992">IF(AD992="","",IF(LEFT(AD992,1)="1","C1",IF(LEFT(AD992,1)="2","C2",IF(LEFT(AD992,1)="3","C3",""))))</f>
        <v>C1</v>
      </c>
      <c r="AF992" t="s" s="35">
        <v>1602</v>
      </c>
      <c r="AG992" t="s" s="35">
        <v>1607</v>
      </c>
      <c r="AH992" t="s" s="35">
        <v>1605</v>
      </c>
      <c r="AI992" t="s" s="35">
        <v>1623</v>
      </c>
      <c r="AJ992" t="s" s="35">
        <v>1607</v>
      </c>
      <c r="AK992" s="39"/>
      <c r="AL992" s="39"/>
      <c r="AM992" s="39"/>
      <c r="AN992" s="39"/>
      <c r="AO992" s="39"/>
      <c r="AP992" s="39"/>
      <c r="AQ992" s="39"/>
      <c r="AR992" s="39"/>
      <c r="AS992" s="39"/>
      <c r="AT992" s="39"/>
      <c r="AU992" s="39"/>
      <c r="AV992" s="39"/>
      <c r="AW992" t="str" s="39" cm="1">
        <f t="array" ref="AW992">AF992&amp;"; "&amp;AG992&amp;"; "&amp;AH992&amp;"; "&amp;AI992&amp;"; "&amp;AJ992</f>
        <v>E1; E3; E2; D4; E3</v>
      </c>
    </row>
    <row r="993" ht="13.65" customHeight="1">
      <c r="A993" t="s" s="35">
        <v>6580</v>
      </c>
      <c r="B993" s="36">
        <v>10</v>
      </c>
      <c r="C993" t="s" s="35">
        <v>220</v>
      </c>
      <c r="D993" t="s" s="35">
        <v>6180</v>
      </c>
      <c r="E993" t="s" s="35">
        <v>6181</v>
      </c>
      <c r="F993" s="36">
        <v>102</v>
      </c>
      <c r="G993" t="s" s="35">
        <v>6542</v>
      </c>
      <c r="H993" t="s" s="35">
        <v>6577</v>
      </c>
      <c r="I993" t="s" s="120">
        <v>6581</v>
      </c>
      <c r="J993" t="s" s="35">
        <v>6185</v>
      </c>
      <c r="K993" t="s" s="35">
        <v>1058</v>
      </c>
      <c r="L993" s="39"/>
      <c r="M993" t="str" s="39">
        <v>Sin marco</v>
      </c>
      <c r="N993" t="str" s="39">
        <v>Sin marco</v>
      </c>
      <c r="O993" t="str" s="39" cm="1">
        <f t="array" ref="O993">IF(L993="","",_xlfn.IFERROR(INDEX('Datos - Catálogo TIMSS'!$C$5:$C$107,MATCH(L993,'Datos - Catálogo TIMSS'!$A$5:$A$107,0)),"?"))</f>
      </c>
      <c r="P993" t="s" s="35">
        <v>1058</v>
      </c>
      <c r="Q993" t="s" s="120">
        <v>6186</v>
      </c>
      <c r="R993" t="s" s="120">
        <v>6582</v>
      </c>
      <c r="S993" s="121" cm="1">
        <f t="array" ref="S993">_xlfn.IFERROR(ISNUMBER(SEARCH("Conocer",$R993))/(ISNUMBER(SEARCH("Conocer",$R993))+ISNUMBER(SEARCH("Aplicar",$R993))+ISNUMBER(SEARCH("Razonar",$R993))),0)</f>
        <v>0</v>
      </c>
      <c r="T993" s="121" cm="1">
        <f t="array" ref="T993">_xlfn.IFERROR(ISNUMBER(SEARCH("Aplicar",$R993))/(ISNUMBER(SEARCH("Conocer",$R993))+ISNUMBER(SEARCH("Aplicar",$R993))+ISNUMBER(SEARCH("Razonar",$R993))),0)</f>
        <v>0.5</v>
      </c>
      <c r="U993" s="121" cm="1">
        <f t="array" ref="U993">_xlfn.IFERROR(ISNUMBER(SEARCH("Razonar",$R993))/(ISNUMBER(SEARCH("Conocer",$R993))+ISNUMBER(SEARCH("Aplicar",$R993))+ISNUMBER(SEARCH("Razonar",$R993))),0)</f>
        <v>0.5</v>
      </c>
      <c r="V993" t="s" s="35">
        <v>1405</v>
      </c>
      <c r="W993" t="s" s="35">
        <v>6188</v>
      </c>
      <c r="X993" s="36" cm="1">
        <f t="array" ref="X993">IF(OR(_xlfn.IFERROR(INDEX('Datos - Catálogo TIMSS'!$I$5:$I$107,MATCH(K993,'Datos - Catálogo TIMSS'!$A$5:$A$107,0)),"No")="Sí",_xlfn.IFERROR(INDEX('Datos - Catálogo TIMSS'!$I$5:$I$107,MATCH(L993,'Datos - Catálogo TIMSS'!$A$5:$A$107,0)),"No")="Sí"),1,0)</f>
        <v>0</v>
      </c>
      <c r="Y993" s="36" cm="1">
        <f t="array" ref="Y993">IF(_xlfn.IFERROR(INDEX('Datos - Catálogo TIMSS'!$J$5:$J$107,MATCH(K993,'Datos - Catálogo TIMSS'!$A$5:$A$107,0)),"No")="Sí",1,0)</f>
        <v>0</v>
      </c>
      <c r="Z993" s="36" cm="1">
        <f t="array" ref="Z993">IF(_xlfn.IFERROR(INDEX('Datos - Catálogo TIMSS'!$J$5:$J$107,MATCH(L993,'Datos - Catálogo TIMSS'!$A$5:$A$107,0)),"No")="Sí",1,0)</f>
        <v>0</v>
      </c>
      <c r="AA993" t="s" s="35">
        <v>1058</v>
      </c>
      <c r="AB993" s="39"/>
      <c r="AC993" t="str" s="39">
        <v>Sin marco</v>
      </c>
      <c r="AD993" t="s" s="35">
        <v>1834</v>
      </c>
      <c r="AE993" t="str" s="39" cm="1">
        <f t="array" ref="AE993">IF(AD993="","",IF(LEFT(AD993,1)="1","C1",IF(LEFT(AD993,1)="2","C2",IF(LEFT(AD993,1)="3","C3",""))))</f>
        <v>C2</v>
      </c>
      <c r="AF993" t="s" s="35">
        <v>1602</v>
      </c>
      <c r="AG993" t="s" s="35">
        <v>1617</v>
      </c>
      <c r="AH993" t="s" s="35">
        <v>1602</v>
      </c>
      <c r="AI993" t="s" s="35">
        <v>1619</v>
      </c>
      <c r="AJ993" t="s" s="35">
        <v>1621</v>
      </c>
      <c r="AK993" s="39"/>
      <c r="AL993" s="39"/>
      <c r="AM993" s="39"/>
      <c r="AN993" s="39"/>
      <c r="AO993" s="39"/>
      <c r="AP993" s="39"/>
      <c r="AQ993" s="39"/>
      <c r="AR993" s="39"/>
      <c r="AS993" s="39"/>
      <c r="AT993" s="39"/>
      <c r="AU993" s="39"/>
      <c r="AV993" s="39"/>
      <c r="AW993" t="str" s="39" cm="1">
        <f t="array" ref="AW993">AF993&amp;"; "&amp;AG993&amp;"; "&amp;AH993&amp;"; "&amp;AI993&amp;"; "&amp;AJ993</f>
        <v>E1; D1; E1; D2; D3</v>
      </c>
    </row>
    <row r="994" ht="13.65" customHeight="1">
      <c r="A994" t="s" s="35">
        <v>6583</v>
      </c>
      <c r="B994" s="36">
        <v>10</v>
      </c>
      <c r="C994" t="s" s="35">
        <v>220</v>
      </c>
      <c r="D994" t="s" s="35">
        <v>6180</v>
      </c>
      <c r="E994" t="s" s="35">
        <v>6181</v>
      </c>
      <c r="F994" s="36">
        <v>103</v>
      </c>
      <c r="G994" t="s" s="35">
        <v>6542</v>
      </c>
      <c r="H994" t="s" s="35">
        <v>6577</v>
      </c>
      <c r="I994" t="s" s="120">
        <v>6584</v>
      </c>
      <c r="J994" t="s" s="35">
        <v>6185</v>
      </c>
      <c r="K994" t="s" s="35">
        <v>1058</v>
      </c>
      <c r="L994" s="39"/>
      <c r="M994" t="str" s="39">
        <v>Sin marco</v>
      </c>
      <c r="N994" t="str" s="39">
        <v>Sin marco</v>
      </c>
      <c r="O994" t="str" s="39" cm="1">
        <f t="array" ref="O994">IF(L994="","",_xlfn.IFERROR(INDEX('Datos - Catálogo TIMSS'!$C$5:$C$107,MATCH(L994,'Datos - Catálogo TIMSS'!$A$5:$A$107,0)),"?"))</f>
      </c>
      <c r="P994" t="s" s="35">
        <v>1058</v>
      </c>
      <c r="Q994" t="s" s="120">
        <v>6186</v>
      </c>
      <c r="R994" t="s" s="120">
        <v>6585</v>
      </c>
      <c r="S994" s="121" cm="1">
        <f t="array" ref="S994">_xlfn.IFERROR(ISNUMBER(SEARCH("Conocer",$R994))/(ISNUMBER(SEARCH("Conocer",$R994))+ISNUMBER(SEARCH("Aplicar",$R994))+ISNUMBER(SEARCH("Razonar",$R994))),0)</f>
        <v>0</v>
      </c>
      <c r="T994" s="121" cm="1">
        <f t="array" ref="T994">_xlfn.IFERROR(ISNUMBER(SEARCH("Aplicar",$R994))/(ISNUMBER(SEARCH("Conocer",$R994))+ISNUMBER(SEARCH("Aplicar",$R994))+ISNUMBER(SEARCH("Razonar",$R994))),0)</f>
        <v>0.5</v>
      </c>
      <c r="U994" s="121" cm="1">
        <f t="array" ref="U994">_xlfn.IFERROR(ISNUMBER(SEARCH("Razonar",$R994))/(ISNUMBER(SEARCH("Conocer",$R994))+ISNUMBER(SEARCH("Aplicar",$R994))+ISNUMBER(SEARCH("Razonar",$R994))),0)</f>
        <v>0.5</v>
      </c>
      <c r="V994" t="s" s="35">
        <v>1405</v>
      </c>
      <c r="W994" t="s" s="35">
        <v>6188</v>
      </c>
      <c r="X994" s="36" cm="1">
        <f t="array" ref="X994">IF(OR(_xlfn.IFERROR(INDEX('Datos - Catálogo TIMSS'!$I$5:$I$107,MATCH(K994,'Datos - Catálogo TIMSS'!$A$5:$A$107,0)),"No")="Sí",_xlfn.IFERROR(INDEX('Datos - Catálogo TIMSS'!$I$5:$I$107,MATCH(L994,'Datos - Catálogo TIMSS'!$A$5:$A$107,0)),"No")="Sí"),1,0)</f>
        <v>0</v>
      </c>
      <c r="Y994" s="36" cm="1">
        <f t="array" ref="Y994">IF(_xlfn.IFERROR(INDEX('Datos - Catálogo TIMSS'!$J$5:$J$107,MATCH(K994,'Datos - Catálogo TIMSS'!$A$5:$A$107,0)),"No")="Sí",1,0)</f>
        <v>0</v>
      </c>
      <c r="Z994" s="36" cm="1">
        <f t="array" ref="Z994">IF(_xlfn.IFERROR(INDEX('Datos - Catálogo TIMSS'!$J$5:$J$107,MATCH(L994,'Datos - Catálogo TIMSS'!$A$5:$A$107,0)),"No")="Sí",1,0)</f>
        <v>0</v>
      </c>
      <c r="AA994" t="s" s="35">
        <v>1058</v>
      </c>
      <c r="AB994" s="39"/>
      <c r="AC994" t="str" s="39">
        <v>Sin marco</v>
      </c>
      <c r="AD994" t="s" s="35">
        <v>1900</v>
      </c>
      <c r="AE994" t="str" s="39" cm="1">
        <f t="array" ref="AE994">IF(AD994="","",IF(LEFT(AD994,1)="1","C1",IF(LEFT(AD994,1)="2","C2",IF(LEFT(AD994,1)="3","C3",""))))</f>
        <v>C3</v>
      </c>
      <c r="AF994" t="s" s="35">
        <v>1615</v>
      </c>
      <c r="AG994" t="s" s="35">
        <v>1612</v>
      </c>
      <c r="AH994" t="s" s="35">
        <v>1602</v>
      </c>
      <c r="AI994" t="s" s="35">
        <v>1625</v>
      </c>
      <c r="AJ994" t="s" s="35">
        <v>1627</v>
      </c>
      <c r="AK994" s="39"/>
      <c r="AL994" s="39"/>
      <c r="AM994" s="39"/>
      <c r="AN994" s="39"/>
      <c r="AO994" s="39"/>
      <c r="AP994" s="39"/>
      <c r="AQ994" s="39"/>
      <c r="AR994" s="39"/>
      <c r="AS994" s="39"/>
      <c r="AT994" s="39"/>
      <c r="AU994" s="39"/>
      <c r="AV994" s="39"/>
      <c r="AW994" t="str" s="39" cm="1">
        <f t="array" ref="AW994">AF994&amp;"; "&amp;AG994&amp;"; "&amp;AH994&amp;"; "&amp;AI994&amp;"; "&amp;AJ994</f>
        <v>E6; E5; E1; I1; I2</v>
      </c>
    </row>
    <row r="995" ht="13.65" customHeight="1">
      <c r="A995" t="s" s="35">
        <v>6587</v>
      </c>
      <c r="B995" s="36">
        <v>10</v>
      </c>
      <c r="C995" t="s" s="35">
        <v>220</v>
      </c>
      <c r="D995" t="s" s="35">
        <v>6180</v>
      </c>
      <c r="E995" t="s" s="35">
        <v>6181</v>
      </c>
      <c r="F995" s="36">
        <v>104</v>
      </c>
      <c r="G995" t="s" s="35">
        <v>6542</v>
      </c>
      <c r="H995" t="s" s="35">
        <v>6588</v>
      </c>
      <c r="I995" t="s" s="120">
        <v>6589</v>
      </c>
      <c r="J995" t="s" s="35">
        <v>6185</v>
      </c>
      <c r="K995" t="s" s="35">
        <v>1058</v>
      </c>
      <c r="L995" s="39"/>
      <c r="M995" t="str" s="39">
        <v>Sin marco</v>
      </c>
      <c r="N995" t="str" s="39">
        <v>Sin marco</v>
      </c>
      <c r="O995" t="str" s="39" cm="1">
        <f t="array" ref="O995">IF(L995="","",_xlfn.IFERROR(INDEX('Datos - Catálogo TIMSS'!$C$5:$C$107,MATCH(L995,'Datos - Catálogo TIMSS'!$A$5:$A$107,0)),"?"))</f>
      </c>
      <c r="P995" t="s" s="35">
        <v>1058</v>
      </c>
      <c r="Q995" t="s" s="120">
        <v>6186</v>
      </c>
      <c r="R995" t="s" s="120">
        <v>6590</v>
      </c>
      <c r="S995" s="121" cm="1">
        <f t="array" ref="S995">_xlfn.IFERROR(ISNUMBER(SEARCH("Conocer",$R995))/(ISNUMBER(SEARCH("Conocer",$R995))+ISNUMBER(SEARCH("Aplicar",$R995))+ISNUMBER(SEARCH("Razonar",$R995))),0)</f>
        <v>0</v>
      </c>
      <c r="T995" s="121" cm="1">
        <f t="array" ref="T995">_xlfn.IFERROR(ISNUMBER(SEARCH("Aplicar",$R995))/(ISNUMBER(SEARCH("Conocer",$R995))+ISNUMBER(SEARCH("Aplicar",$R995))+ISNUMBER(SEARCH("Razonar",$R995))),0)</f>
        <v>0.5</v>
      </c>
      <c r="U995" s="121" cm="1">
        <f t="array" ref="U995">_xlfn.IFERROR(ISNUMBER(SEARCH("Razonar",$R995))/(ISNUMBER(SEARCH("Conocer",$R995))+ISNUMBER(SEARCH("Aplicar",$R995))+ISNUMBER(SEARCH("Razonar",$R995))),0)</f>
        <v>0.5</v>
      </c>
      <c r="V995" t="s" s="35">
        <v>1405</v>
      </c>
      <c r="W995" t="s" s="35">
        <v>6188</v>
      </c>
      <c r="X995" s="36" cm="1">
        <f t="array" ref="X995">IF(OR(_xlfn.IFERROR(INDEX('Datos - Catálogo TIMSS'!$I$5:$I$107,MATCH(K995,'Datos - Catálogo TIMSS'!$A$5:$A$107,0)),"No")="Sí",_xlfn.IFERROR(INDEX('Datos - Catálogo TIMSS'!$I$5:$I$107,MATCH(L995,'Datos - Catálogo TIMSS'!$A$5:$A$107,0)),"No")="Sí"),1,0)</f>
        <v>0</v>
      </c>
      <c r="Y995" s="36" cm="1">
        <f t="array" ref="Y995">IF(_xlfn.IFERROR(INDEX('Datos - Catálogo TIMSS'!$J$5:$J$107,MATCH(K995,'Datos - Catálogo TIMSS'!$A$5:$A$107,0)),"No")="Sí",1,0)</f>
        <v>0</v>
      </c>
      <c r="Z995" s="36" cm="1">
        <f t="array" ref="Z995">IF(_xlfn.IFERROR(INDEX('Datos - Catálogo TIMSS'!$J$5:$J$107,MATCH(L995,'Datos - Catálogo TIMSS'!$A$5:$A$107,0)),"No")="Sí",1,0)</f>
        <v>0</v>
      </c>
      <c r="AA995" t="s" s="35">
        <v>1058</v>
      </c>
      <c r="AB995" s="39"/>
      <c r="AC995" t="str" s="39">
        <v>Sin marco</v>
      </c>
      <c r="AD995" t="s" s="35">
        <v>1859</v>
      </c>
      <c r="AE995" t="str" s="39" cm="1">
        <f t="array" ref="AE995">IF(AD995="","",IF(LEFT(AD995,1)="1","C1",IF(LEFT(AD995,1)="2","C2",IF(LEFT(AD995,1)="3","C3",""))))</f>
        <v>C1</v>
      </c>
      <c r="AF995" t="s" s="35">
        <v>1602</v>
      </c>
      <c r="AG995" t="s" s="35">
        <v>1607</v>
      </c>
      <c r="AH995" t="s" s="35">
        <v>1605</v>
      </c>
      <c r="AI995" t="s" s="35">
        <v>1623</v>
      </c>
      <c r="AJ995" t="s" s="35">
        <v>1607</v>
      </c>
      <c r="AK995" s="39"/>
      <c r="AL995" s="39"/>
      <c r="AM995" s="39"/>
      <c r="AN995" s="39"/>
      <c r="AO995" s="39"/>
      <c r="AP995" s="39"/>
      <c r="AQ995" s="39"/>
      <c r="AR995" s="39"/>
      <c r="AS995" s="39"/>
      <c r="AT995" s="39"/>
      <c r="AU995" s="39"/>
      <c r="AV995" s="39"/>
      <c r="AW995" t="str" s="39" cm="1">
        <f t="array" ref="AW995">AF995&amp;"; "&amp;AG995&amp;"; "&amp;AH995&amp;"; "&amp;AI995&amp;"; "&amp;AJ995</f>
        <v>E1; E3; E2; D4; E3</v>
      </c>
    </row>
    <row r="996" ht="13.65" customHeight="1">
      <c r="A996" t="s" s="35">
        <v>6591</v>
      </c>
      <c r="B996" s="36">
        <v>10</v>
      </c>
      <c r="C996" t="s" s="35">
        <v>220</v>
      </c>
      <c r="D996" t="s" s="35">
        <v>6180</v>
      </c>
      <c r="E996" t="s" s="35">
        <v>6181</v>
      </c>
      <c r="F996" s="36">
        <v>105</v>
      </c>
      <c r="G996" t="s" s="35">
        <v>6542</v>
      </c>
      <c r="H996" t="s" s="35">
        <v>6588</v>
      </c>
      <c r="I996" t="s" s="120">
        <v>6592</v>
      </c>
      <c r="J996" t="s" s="35">
        <v>6185</v>
      </c>
      <c r="K996" t="s" s="35">
        <v>1058</v>
      </c>
      <c r="L996" s="39"/>
      <c r="M996" t="str" s="39">
        <v>Sin marco</v>
      </c>
      <c r="N996" t="str" s="39">
        <v>Sin marco</v>
      </c>
      <c r="O996" t="str" s="39" cm="1">
        <f t="array" ref="O996">IF(L996="","",_xlfn.IFERROR(INDEX('Datos - Catálogo TIMSS'!$C$5:$C$107,MATCH(L996,'Datos - Catálogo TIMSS'!$A$5:$A$107,0)),"?"))</f>
      </c>
      <c r="P996" t="s" s="35">
        <v>1058</v>
      </c>
      <c r="Q996" t="s" s="120">
        <v>6186</v>
      </c>
      <c r="R996" t="s" s="120">
        <v>6593</v>
      </c>
      <c r="S996" s="121" cm="1">
        <f t="array" ref="S996">_xlfn.IFERROR(ISNUMBER(SEARCH("Conocer",$R996))/(ISNUMBER(SEARCH("Conocer",$R996))+ISNUMBER(SEARCH("Aplicar",$R996))+ISNUMBER(SEARCH("Razonar",$R996))),0)</f>
        <v>0</v>
      </c>
      <c r="T996" s="121" cm="1">
        <f t="array" ref="T996">_xlfn.IFERROR(ISNUMBER(SEARCH("Aplicar",$R996))/(ISNUMBER(SEARCH("Conocer",$R996))+ISNUMBER(SEARCH("Aplicar",$R996))+ISNUMBER(SEARCH("Razonar",$R996))),0)</f>
        <v>0.5</v>
      </c>
      <c r="U996" s="121" cm="1">
        <f t="array" ref="U996">_xlfn.IFERROR(ISNUMBER(SEARCH("Razonar",$R996))/(ISNUMBER(SEARCH("Conocer",$R996))+ISNUMBER(SEARCH("Aplicar",$R996))+ISNUMBER(SEARCH("Razonar",$R996))),0)</f>
        <v>0.5</v>
      </c>
      <c r="V996" t="s" s="35">
        <v>1405</v>
      </c>
      <c r="W996" t="s" s="35">
        <v>6188</v>
      </c>
      <c r="X996" s="36" cm="1">
        <f t="array" ref="X996">IF(OR(_xlfn.IFERROR(INDEX('Datos - Catálogo TIMSS'!$I$5:$I$107,MATCH(K996,'Datos - Catálogo TIMSS'!$A$5:$A$107,0)),"No")="Sí",_xlfn.IFERROR(INDEX('Datos - Catálogo TIMSS'!$I$5:$I$107,MATCH(L996,'Datos - Catálogo TIMSS'!$A$5:$A$107,0)),"No")="Sí"),1,0)</f>
        <v>0</v>
      </c>
      <c r="Y996" s="36" cm="1">
        <f t="array" ref="Y996">IF(_xlfn.IFERROR(INDEX('Datos - Catálogo TIMSS'!$J$5:$J$107,MATCH(K996,'Datos - Catálogo TIMSS'!$A$5:$A$107,0)),"No")="Sí",1,0)</f>
        <v>0</v>
      </c>
      <c r="Z996" s="36" cm="1">
        <f t="array" ref="Z996">IF(_xlfn.IFERROR(INDEX('Datos - Catálogo TIMSS'!$J$5:$J$107,MATCH(L996,'Datos - Catálogo TIMSS'!$A$5:$A$107,0)),"No")="Sí",1,0)</f>
        <v>0</v>
      </c>
      <c r="AA996" t="s" s="35">
        <v>1058</v>
      </c>
      <c r="AB996" s="39"/>
      <c r="AC996" t="str" s="39">
        <v>Sin marco</v>
      </c>
      <c r="AD996" t="s" s="35">
        <v>1900</v>
      </c>
      <c r="AE996" t="str" s="39" cm="1">
        <f t="array" ref="AE996">IF(AD996="","",IF(LEFT(AD996,1)="1","C1",IF(LEFT(AD996,1)="2","C2",IF(LEFT(AD996,1)="3","C3",""))))</f>
        <v>C3</v>
      </c>
      <c r="AF996" t="s" s="35">
        <v>1615</v>
      </c>
      <c r="AG996" t="s" s="35">
        <v>1607</v>
      </c>
      <c r="AH996" t="s" s="35">
        <v>1602</v>
      </c>
      <c r="AI996" t="s" s="35">
        <v>1629</v>
      </c>
      <c r="AJ996" t="s" s="35">
        <v>1633</v>
      </c>
      <c r="AK996" s="39"/>
      <c r="AL996" s="39"/>
      <c r="AM996" s="39"/>
      <c r="AN996" s="39"/>
      <c r="AO996" s="39"/>
      <c r="AP996" s="39"/>
      <c r="AQ996" s="39"/>
      <c r="AR996" s="39"/>
      <c r="AS996" s="39"/>
      <c r="AT996" s="39"/>
      <c r="AU996" s="39"/>
      <c r="AV996" s="39"/>
      <c r="AW996" t="str" s="39" cm="1">
        <f t="array" ref="AW996">AF996&amp;"; "&amp;AG996&amp;"; "&amp;AH996&amp;"; "&amp;AI996&amp;"; "&amp;AJ996</f>
        <v>E6; E3; E1; I3; I5</v>
      </c>
    </row>
    <row r="997" ht="13.65" customHeight="1">
      <c r="A997" t="s" s="35">
        <v>6594</v>
      </c>
      <c r="B997" s="36">
        <v>10</v>
      </c>
      <c r="C997" t="s" s="35">
        <v>220</v>
      </c>
      <c r="D997" t="s" s="35">
        <v>6180</v>
      </c>
      <c r="E997" t="s" s="35">
        <v>6181</v>
      </c>
      <c r="F997" s="36">
        <v>106</v>
      </c>
      <c r="G997" t="s" s="35">
        <v>6595</v>
      </c>
      <c r="H997" t="s" s="35">
        <v>6596</v>
      </c>
      <c r="I997" t="s" s="120">
        <v>6597</v>
      </c>
      <c r="J997" t="s" s="35">
        <v>6185</v>
      </c>
      <c r="K997" t="s" s="35">
        <v>1058</v>
      </c>
      <c r="L997" s="39"/>
      <c r="M997" t="str" s="39">
        <v>Sin marco</v>
      </c>
      <c r="N997" t="str" s="39">
        <v>Sin marco</v>
      </c>
      <c r="O997" t="str" s="39" cm="1">
        <f t="array" ref="O997">IF(L997="","",_xlfn.IFERROR(INDEX('Datos - Catálogo TIMSS'!$C$5:$C$107,MATCH(L997,'Datos - Catálogo TIMSS'!$A$5:$A$107,0)),"?"))</f>
      </c>
      <c r="P997" t="s" s="35">
        <v>1058</v>
      </c>
      <c r="Q997" t="s" s="120">
        <v>6186</v>
      </c>
      <c r="R997" t="s" s="120">
        <v>6598</v>
      </c>
      <c r="S997" s="121" cm="1">
        <f t="array" ref="S997">_xlfn.IFERROR(ISNUMBER(SEARCH("Conocer",$R997))/(ISNUMBER(SEARCH("Conocer",$R997))+ISNUMBER(SEARCH("Aplicar",$R997))+ISNUMBER(SEARCH("Razonar",$R997))),0)</f>
        <v>0.333333333333333</v>
      </c>
      <c r="T997" s="121" cm="1">
        <f t="array" ref="T997">_xlfn.IFERROR(ISNUMBER(SEARCH("Aplicar",$R997))/(ISNUMBER(SEARCH("Conocer",$R997))+ISNUMBER(SEARCH("Aplicar",$R997))+ISNUMBER(SEARCH("Razonar",$R997))),0)</f>
        <v>0.333333333333333</v>
      </c>
      <c r="U997" s="121" cm="1">
        <f t="array" ref="U997">_xlfn.IFERROR(ISNUMBER(SEARCH("Razonar",$R997))/(ISNUMBER(SEARCH("Conocer",$R997))+ISNUMBER(SEARCH("Aplicar",$R997))+ISNUMBER(SEARCH("Razonar",$R997))),0)</f>
        <v>0.333333333333333</v>
      </c>
      <c r="V997" t="s" s="35">
        <v>1405</v>
      </c>
      <c r="W997" t="s" s="35">
        <v>6188</v>
      </c>
      <c r="X997" s="36" cm="1">
        <f t="array" ref="X997">IF(OR(_xlfn.IFERROR(INDEX('Datos - Catálogo TIMSS'!$I$5:$I$107,MATCH(K997,'Datos - Catálogo TIMSS'!$A$5:$A$107,0)),"No")="Sí",_xlfn.IFERROR(INDEX('Datos - Catálogo TIMSS'!$I$5:$I$107,MATCH(L997,'Datos - Catálogo TIMSS'!$A$5:$A$107,0)),"No")="Sí"),1,0)</f>
        <v>0</v>
      </c>
      <c r="Y997" s="36" cm="1">
        <f t="array" ref="Y997">IF(_xlfn.IFERROR(INDEX('Datos - Catálogo TIMSS'!$J$5:$J$107,MATCH(K997,'Datos - Catálogo TIMSS'!$A$5:$A$107,0)),"No")="Sí",1,0)</f>
        <v>0</v>
      </c>
      <c r="Z997" s="36" cm="1">
        <f t="array" ref="Z997">IF(_xlfn.IFERROR(INDEX('Datos - Catálogo TIMSS'!$J$5:$J$107,MATCH(L997,'Datos - Catálogo TIMSS'!$A$5:$A$107,0)),"No")="Sí",1,0)</f>
        <v>0</v>
      </c>
      <c r="AA997" t="s" s="35">
        <v>1058</v>
      </c>
      <c r="AB997" s="39"/>
      <c r="AC997" t="str" s="39">
        <v>Sin marco</v>
      </c>
      <c r="AD997" t="s" s="35">
        <v>1859</v>
      </c>
      <c r="AE997" t="str" s="39" cm="1">
        <f t="array" ref="AE997">IF(AD997="","",IF(LEFT(AD997,1)="1","C1",IF(LEFT(AD997,1)="2","C2",IF(LEFT(AD997,1)="3","C3",""))))</f>
        <v>C1</v>
      </c>
      <c r="AF997" t="s" s="35">
        <v>1615</v>
      </c>
      <c r="AG997" t="s" s="35">
        <v>1617</v>
      </c>
      <c r="AH997" t="s" s="35">
        <v>1605</v>
      </c>
      <c r="AI997" t="s" s="35">
        <v>1623</v>
      </c>
      <c r="AJ997" t="s" s="35">
        <v>1607</v>
      </c>
      <c r="AK997" s="39"/>
      <c r="AL997" s="39"/>
      <c r="AM997" s="39"/>
      <c r="AN997" s="39"/>
      <c r="AO997" s="39"/>
      <c r="AP997" s="39"/>
      <c r="AQ997" s="39"/>
      <c r="AR997" s="39"/>
      <c r="AS997" s="39"/>
      <c r="AT997" s="39"/>
      <c r="AU997" s="39"/>
      <c r="AV997" s="39"/>
      <c r="AW997" t="str" s="39" cm="1">
        <f t="array" ref="AW997">AF997&amp;"; "&amp;AG997&amp;"; "&amp;AH997&amp;"; "&amp;AI997&amp;"; "&amp;AJ997</f>
        <v>E6; D1; E2; D4; E3</v>
      </c>
    </row>
    <row r="998" ht="13.65" customHeight="1">
      <c r="A998" t="s" s="35">
        <v>6599</v>
      </c>
      <c r="B998" s="36">
        <v>10</v>
      </c>
      <c r="C998" t="s" s="35">
        <v>220</v>
      </c>
      <c r="D998" t="s" s="35">
        <v>6180</v>
      </c>
      <c r="E998" t="s" s="35">
        <v>6181</v>
      </c>
      <c r="F998" s="36">
        <v>107</v>
      </c>
      <c r="G998" t="s" s="35">
        <v>6595</v>
      </c>
      <c r="H998" t="s" s="35">
        <v>6596</v>
      </c>
      <c r="I998" t="s" s="120">
        <v>6600</v>
      </c>
      <c r="J998" t="s" s="35">
        <v>6185</v>
      </c>
      <c r="K998" t="s" s="35">
        <v>1058</v>
      </c>
      <c r="L998" s="39"/>
      <c r="M998" t="str" s="39">
        <v>Sin marco</v>
      </c>
      <c r="N998" t="str" s="39">
        <v>Sin marco</v>
      </c>
      <c r="O998" t="str" s="39" cm="1">
        <f t="array" ref="O998">IF(L998="","",_xlfn.IFERROR(INDEX('Datos - Catálogo TIMSS'!$C$5:$C$107,MATCH(L998,'Datos - Catálogo TIMSS'!$A$5:$A$107,0)),"?"))</f>
      </c>
      <c r="P998" t="s" s="35">
        <v>1058</v>
      </c>
      <c r="Q998" t="s" s="120">
        <v>6186</v>
      </c>
      <c r="R998" t="s" s="120">
        <v>6601</v>
      </c>
      <c r="S998" s="121" cm="1">
        <f t="array" ref="S998">_xlfn.IFERROR(ISNUMBER(SEARCH("Conocer",$R998))/(ISNUMBER(SEARCH("Conocer",$R998))+ISNUMBER(SEARCH("Aplicar",$R998))+ISNUMBER(SEARCH("Razonar",$R998))),0)</f>
        <v>0.333333333333333</v>
      </c>
      <c r="T998" s="121" cm="1">
        <f t="array" ref="T998">_xlfn.IFERROR(ISNUMBER(SEARCH("Aplicar",$R998))/(ISNUMBER(SEARCH("Conocer",$R998))+ISNUMBER(SEARCH("Aplicar",$R998))+ISNUMBER(SEARCH("Razonar",$R998))),0)</f>
        <v>0.333333333333333</v>
      </c>
      <c r="U998" s="121" cm="1">
        <f t="array" ref="U998">_xlfn.IFERROR(ISNUMBER(SEARCH("Razonar",$R998))/(ISNUMBER(SEARCH("Conocer",$R998))+ISNUMBER(SEARCH("Aplicar",$R998))+ISNUMBER(SEARCH("Razonar",$R998))),0)</f>
        <v>0.333333333333333</v>
      </c>
      <c r="V998" t="s" s="35">
        <v>1405</v>
      </c>
      <c r="W998" t="s" s="35">
        <v>6188</v>
      </c>
      <c r="X998" s="36" cm="1">
        <f t="array" ref="X998">IF(OR(_xlfn.IFERROR(INDEX('Datos - Catálogo TIMSS'!$I$5:$I$107,MATCH(K998,'Datos - Catálogo TIMSS'!$A$5:$A$107,0)),"No")="Sí",_xlfn.IFERROR(INDEX('Datos - Catálogo TIMSS'!$I$5:$I$107,MATCH(L998,'Datos - Catálogo TIMSS'!$A$5:$A$107,0)),"No")="Sí"),1,0)</f>
        <v>0</v>
      </c>
      <c r="Y998" s="36" cm="1">
        <f t="array" ref="Y998">IF(_xlfn.IFERROR(INDEX('Datos - Catálogo TIMSS'!$J$5:$J$107,MATCH(K998,'Datos - Catálogo TIMSS'!$A$5:$A$107,0)),"No")="Sí",1,0)</f>
        <v>0</v>
      </c>
      <c r="Z998" s="36" cm="1">
        <f t="array" ref="Z998">IF(_xlfn.IFERROR(INDEX('Datos - Catálogo TIMSS'!$J$5:$J$107,MATCH(L998,'Datos - Catálogo TIMSS'!$A$5:$A$107,0)),"No")="Sí",1,0)</f>
        <v>0</v>
      </c>
      <c r="AA998" t="s" s="35">
        <v>1058</v>
      </c>
      <c r="AB998" s="39"/>
      <c r="AC998" t="str" s="39">
        <v>Sin marco</v>
      </c>
      <c r="AD998" t="s" s="35">
        <v>1859</v>
      </c>
      <c r="AE998" t="str" s="39" cm="1">
        <f t="array" ref="AE998">IF(AD998="","",IF(LEFT(AD998,1)="1","C1",IF(LEFT(AD998,1)="2","C2",IF(LEFT(AD998,1)="3","C3",""))))</f>
        <v>C1</v>
      </c>
      <c r="AF998" t="s" s="35">
        <v>1602</v>
      </c>
      <c r="AG998" t="s" s="35">
        <v>1612</v>
      </c>
      <c r="AH998" t="s" s="35">
        <v>1602</v>
      </c>
      <c r="AI998" t="s" s="35">
        <v>1625</v>
      </c>
      <c r="AJ998" t="s" s="35">
        <v>1633</v>
      </c>
      <c r="AK998" s="39"/>
      <c r="AL998" s="39"/>
      <c r="AM998" s="39"/>
      <c r="AN998" s="39"/>
      <c r="AO998" s="39"/>
      <c r="AP998" s="39"/>
      <c r="AQ998" s="39"/>
      <c r="AR998" s="39"/>
      <c r="AS998" s="39"/>
      <c r="AT998" s="39"/>
      <c r="AU998" s="39"/>
      <c r="AV998" s="39"/>
      <c r="AW998" t="str" s="39" cm="1">
        <f t="array" ref="AW998">AF998&amp;"; "&amp;AG998&amp;"; "&amp;AH998&amp;"; "&amp;AI998&amp;"; "&amp;AJ998</f>
        <v>E1; E5; E1; I1; I5</v>
      </c>
    </row>
    <row r="999" ht="13.65" customHeight="1">
      <c r="A999" t="s" s="35">
        <v>6603</v>
      </c>
      <c r="B999" s="36">
        <v>10</v>
      </c>
      <c r="C999" t="s" s="35">
        <v>220</v>
      </c>
      <c r="D999" t="s" s="35">
        <v>6180</v>
      </c>
      <c r="E999" t="s" s="35">
        <v>6181</v>
      </c>
      <c r="F999" s="36">
        <v>108</v>
      </c>
      <c r="G999" t="s" s="35">
        <v>6595</v>
      </c>
      <c r="H999" t="s" s="35">
        <v>6596</v>
      </c>
      <c r="I999" t="s" s="120">
        <v>6604</v>
      </c>
      <c r="J999" t="s" s="35">
        <v>6185</v>
      </c>
      <c r="K999" t="s" s="35">
        <v>1058</v>
      </c>
      <c r="L999" s="39"/>
      <c r="M999" t="str" s="39">
        <v>Sin marco</v>
      </c>
      <c r="N999" t="str" s="39">
        <v>Sin marco</v>
      </c>
      <c r="O999" t="str" s="39" cm="1">
        <f t="array" ref="O999">IF(L999="","",_xlfn.IFERROR(INDEX('Datos - Catálogo TIMSS'!$C$5:$C$107,MATCH(L999,'Datos - Catálogo TIMSS'!$A$5:$A$107,0)),"?"))</f>
      </c>
      <c r="P999" t="s" s="35">
        <v>1058</v>
      </c>
      <c r="Q999" t="s" s="120">
        <v>6186</v>
      </c>
      <c r="R999" t="s" s="120">
        <v>6605</v>
      </c>
      <c r="S999" s="121" cm="1">
        <f t="array" ref="S999">_xlfn.IFERROR(ISNUMBER(SEARCH("Conocer",$R999))/(ISNUMBER(SEARCH("Conocer",$R999))+ISNUMBER(SEARCH("Aplicar",$R999))+ISNUMBER(SEARCH("Razonar",$R999))),0)</f>
        <v>0.333333333333333</v>
      </c>
      <c r="T999" s="121" cm="1">
        <f t="array" ref="T999">_xlfn.IFERROR(ISNUMBER(SEARCH("Aplicar",$R999))/(ISNUMBER(SEARCH("Conocer",$R999))+ISNUMBER(SEARCH("Aplicar",$R999))+ISNUMBER(SEARCH("Razonar",$R999))),0)</f>
        <v>0.333333333333333</v>
      </c>
      <c r="U999" s="121" cm="1">
        <f t="array" ref="U999">_xlfn.IFERROR(ISNUMBER(SEARCH("Razonar",$R999))/(ISNUMBER(SEARCH("Conocer",$R999))+ISNUMBER(SEARCH("Aplicar",$R999))+ISNUMBER(SEARCH("Razonar",$R999))),0)</f>
        <v>0.333333333333333</v>
      </c>
      <c r="V999" t="s" s="35">
        <v>1405</v>
      </c>
      <c r="W999" t="s" s="35">
        <v>6188</v>
      </c>
      <c r="X999" s="36" cm="1">
        <f t="array" ref="X999">IF(OR(_xlfn.IFERROR(INDEX('Datos - Catálogo TIMSS'!$I$5:$I$107,MATCH(K999,'Datos - Catálogo TIMSS'!$A$5:$A$107,0)),"No")="Sí",_xlfn.IFERROR(INDEX('Datos - Catálogo TIMSS'!$I$5:$I$107,MATCH(L999,'Datos - Catálogo TIMSS'!$A$5:$A$107,0)),"No")="Sí"),1,0)</f>
        <v>0</v>
      </c>
      <c r="Y999" s="36" cm="1">
        <f t="array" ref="Y999">IF(_xlfn.IFERROR(INDEX('Datos - Catálogo TIMSS'!$J$5:$J$107,MATCH(K999,'Datos - Catálogo TIMSS'!$A$5:$A$107,0)),"No")="Sí",1,0)</f>
        <v>0</v>
      </c>
      <c r="Z999" s="36" cm="1">
        <f t="array" ref="Z999">IF(_xlfn.IFERROR(INDEX('Datos - Catálogo TIMSS'!$J$5:$J$107,MATCH(L999,'Datos - Catálogo TIMSS'!$A$5:$A$107,0)),"No")="Sí",1,0)</f>
        <v>0</v>
      </c>
      <c r="AA999" t="s" s="35">
        <v>1058</v>
      </c>
      <c r="AB999" s="39"/>
      <c r="AC999" t="str" s="39">
        <v>Sin marco</v>
      </c>
      <c r="AD999" t="s" s="35">
        <v>1834</v>
      </c>
      <c r="AE999" t="str" s="39" cm="1">
        <f t="array" ref="AE999">IF(AD999="","",IF(LEFT(AD999,1)="1","C1",IF(LEFT(AD999,1)="2","C2",IF(LEFT(AD999,1)="3","C3",""))))</f>
        <v>C2</v>
      </c>
      <c r="AF999" t="s" s="35">
        <v>1602</v>
      </c>
      <c r="AG999" t="s" s="35">
        <v>1607</v>
      </c>
      <c r="AH999" t="s" s="35">
        <v>1609</v>
      </c>
      <c r="AI999" t="s" s="35">
        <v>1619</v>
      </c>
      <c r="AJ999" t="s" s="35">
        <v>1621</v>
      </c>
      <c r="AK999" s="39"/>
      <c r="AL999" s="39"/>
      <c r="AM999" s="39"/>
      <c r="AN999" s="39"/>
      <c r="AO999" s="39"/>
      <c r="AP999" s="39"/>
      <c r="AQ999" s="39"/>
      <c r="AR999" s="39"/>
      <c r="AS999" s="39"/>
      <c r="AT999" s="39"/>
      <c r="AU999" s="39"/>
      <c r="AV999" s="39"/>
      <c r="AW999" t="str" s="39" cm="1">
        <f t="array" ref="AW999">AF999&amp;"; "&amp;AG999&amp;"; "&amp;AH999&amp;"; "&amp;AI999&amp;"; "&amp;AJ999</f>
        <v>E1; E3; E4; D2; D3</v>
      </c>
    </row>
    <row r="1000" ht="13.65" customHeight="1">
      <c r="A1000" t="s" s="35">
        <v>6606</v>
      </c>
      <c r="B1000" s="36">
        <v>10</v>
      </c>
      <c r="C1000" t="s" s="35">
        <v>220</v>
      </c>
      <c r="D1000" t="s" s="35">
        <v>6180</v>
      </c>
      <c r="E1000" t="s" s="35">
        <v>6181</v>
      </c>
      <c r="F1000" s="36">
        <v>109</v>
      </c>
      <c r="G1000" t="s" s="35">
        <v>6595</v>
      </c>
      <c r="H1000" t="s" s="35">
        <v>6607</v>
      </c>
      <c r="I1000" t="s" s="120">
        <v>6608</v>
      </c>
      <c r="J1000" t="s" s="35">
        <v>6185</v>
      </c>
      <c r="K1000" t="s" s="35">
        <v>1058</v>
      </c>
      <c r="L1000" s="39"/>
      <c r="M1000" t="str" s="39">
        <v>Sin marco</v>
      </c>
      <c r="N1000" t="str" s="39">
        <v>Sin marco</v>
      </c>
      <c r="O1000" t="str" s="39" cm="1">
        <f t="array" ref="O1000">IF(L1000="","",_xlfn.IFERROR(INDEX('Datos - Catálogo TIMSS'!$C$5:$C$107,MATCH(L1000,'Datos - Catálogo TIMSS'!$A$5:$A$107,0)),"?"))</f>
      </c>
      <c r="P1000" t="s" s="35">
        <v>1058</v>
      </c>
      <c r="Q1000" t="s" s="120">
        <v>6186</v>
      </c>
      <c r="R1000" t="s" s="120">
        <v>6609</v>
      </c>
      <c r="S1000" s="121" cm="1">
        <f t="array" ref="S1000">_xlfn.IFERROR(ISNUMBER(SEARCH("Conocer",$R1000))/(ISNUMBER(SEARCH("Conocer",$R1000))+ISNUMBER(SEARCH("Aplicar",$R1000))+ISNUMBER(SEARCH("Razonar",$R1000))),0)</f>
        <v>0.333333333333333</v>
      </c>
      <c r="T1000" s="121" cm="1">
        <f t="array" ref="T1000">_xlfn.IFERROR(ISNUMBER(SEARCH("Aplicar",$R1000))/(ISNUMBER(SEARCH("Conocer",$R1000))+ISNUMBER(SEARCH("Aplicar",$R1000))+ISNUMBER(SEARCH("Razonar",$R1000))),0)</f>
        <v>0.333333333333333</v>
      </c>
      <c r="U1000" s="121" cm="1">
        <f t="array" ref="U1000">_xlfn.IFERROR(ISNUMBER(SEARCH("Razonar",$R1000))/(ISNUMBER(SEARCH("Conocer",$R1000))+ISNUMBER(SEARCH("Aplicar",$R1000))+ISNUMBER(SEARCH("Razonar",$R1000))),0)</f>
        <v>0.333333333333333</v>
      </c>
      <c r="V1000" t="s" s="35">
        <v>1405</v>
      </c>
      <c r="W1000" t="s" s="35">
        <v>6188</v>
      </c>
      <c r="X1000" s="36" cm="1">
        <f t="array" ref="X1000">IF(OR(_xlfn.IFERROR(INDEX('Datos - Catálogo TIMSS'!$I$5:$I$107,MATCH(K1000,'Datos - Catálogo TIMSS'!$A$5:$A$107,0)),"No")="Sí",_xlfn.IFERROR(INDEX('Datos - Catálogo TIMSS'!$I$5:$I$107,MATCH(L1000,'Datos - Catálogo TIMSS'!$A$5:$A$107,0)),"No")="Sí"),1,0)</f>
        <v>0</v>
      </c>
      <c r="Y1000" s="36" cm="1">
        <f t="array" ref="Y1000">IF(_xlfn.IFERROR(INDEX('Datos - Catálogo TIMSS'!$J$5:$J$107,MATCH(K1000,'Datos - Catálogo TIMSS'!$A$5:$A$107,0)),"No")="Sí",1,0)</f>
        <v>0</v>
      </c>
      <c r="Z1000" s="36" cm="1">
        <f t="array" ref="Z1000">IF(_xlfn.IFERROR(INDEX('Datos - Catálogo TIMSS'!$J$5:$J$107,MATCH(L1000,'Datos - Catálogo TIMSS'!$A$5:$A$107,0)),"No")="Sí",1,0)</f>
        <v>0</v>
      </c>
      <c r="AA1000" t="s" s="35">
        <v>1058</v>
      </c>
      <c r="AB1000" s="39"/>
      <c r="AC1000" t="str" s="39">
        <v>Sin marco</v>
      </c>
      <c r="AD1000" t="s" s="35">
        <v>1900</v>
      </c>
      <c r="AE1000" t="str" s="39" cm="1">
        <f t="array" ref="AE1000">IF(AD1000="","",IF(LEFT(AD1000,1)="1","C1",IF(LEFT(AD1000,1)="2","C2",IF(LEFT(AD1000,1)="3","C3",""))))</f>
        <v>C3</v>
      </c>
      <c r="AF1000" t="s" s="35">
        <v>1602</v>
      </c>
      <c r="AG1000" t="s" s="35">
        <v>1612</v>
      </c>
      <c r="AH1000" t="s" s="35">
        <v>1609</v>
      </c>
      <c r="AI1000" t="s" s="35">
        <v>1629</v>
      </c>
      <c r="AJ1000" t="s" s="35">
        <v>1615</v>
      </c>
      <c r="AK1000" s="39"/>
      <c r="AL1000" s="39"/>
      <c r="AM1000" s="39"/>
      <c r="AN1000" s="39"/>
      <c r="AO1000" s="39"/>
      <c r="AP1000" s="39"/>
      <c r="AQ1000" s="39"/>
      <c r="AR1000" s="39"/>
      <c r="AS1000" s="39"/>
      <c r="AT1000" s="39"/>
      <c r="AU1000" s="39"/>
      <c r="AV1000" s="39"/>
      <c r="AW1000" t="str" s="39" cm="1">
        <f t="array" ref="AW1000">AF1000&amp;"; "&amp;AG1000&amp;"; "&amp;AH1000&amp;"; "&amp;AI1000&amp;"; "&amp;AJ1000</f>
        <v>E1; E5; E4; I3; E6</v>
      </c>
    </row>
    <row r="1001" ht="13.65" customHeight="1">
      <c r="A1001" t="s" s="35">
        <v>6611</v>
      </c>
      <c r="B1001" s="36">
        <v>10</v>
      </c>
      <c r="C1001" t="s" s="35">
        <v>220</v>
      </c>
      <c r="D1001" t="s" s="35">
        <v>6180</v>
      </c>
      <c r="E1001" t="s" s="35">
        <v>6181</v>
      </c>
      <c r="F1001" s="36">
        <v>110</v>
      </c>
      <c r="G1001" t="s" s="35">
        <v>6595</v>
      </c>
      <c r="H1001" t="s" s="35">
        <v>6607</v>
      </c>
      <c r="I1001" t="s" s="120">
        <v>6612</v>
      </c>
      <c r="J1001" t="s" s="35">
        <v>6185</v>
      </c>
      <c r="K1001" t="s" s="35">
        <v>1058</v>
      </c>
      <c r="L1001" s="39"/>
      <c r="M1001" t="str" s="39">
        <v>Sin marco</v>
      </c>
      <c r="N1001" t="str" s="39">
        <v>Sin marco</v>
      </c>
      <c r="O1001" t="str" s="39" cm="1">
        <f t="array" ref="O1001">IF(L1001="","",_xlfn.IFERROR(INDEX('Datos - Catálogo TIMSS'!$C$5:$C$107,MATCH(L1001,'Datos - Catálogo TIMSS'!$A$5:$A$107,0)),"?"))</f>
      </c>
      <c r="P1001" t="s" s="35">
        <v>1058</v>
      </c>
      <c r="Q1001" t="s" s="120">
        <v>6186</v>
      </c>
      <c r="R1001" t="s" s="120">
        <v>6613</v>
      </c>
      <c r="S1001" s="121" cm="1">
        <f t="array" ref="S1001">_xlfn.IFERROR(ISNUMBER(SEARCH("Conocer",$R1001))/(ISNUMBER(SEARCH("Conocer",$R1001))+ISNUMBER(SEARCH("Aplicar",$R1001))+ISNUMBER(SEARCH("Razonar",$R1001))),0)</f>
        <v>0.333333333333333</v>
      </c>
      <c r="T1001" s="121" cm="1">
        <f t="array" ref="T1001">_xlfn.IFERROR(ISNUMBER(SEARCH("Aplicar",$R1001))/(ISNUMBER(SEARCH("Conocer",$R1001))+ISNUMBER(SEARCH("Aplicar",$R1001))+ISNUMBER(SEARCH("Razonar",$R1001))),0)</f>
        <v>0.333333333333333</v>
      </c>
      <c r="U1001" s="121" cm="1">
        <f t="array" ref="U1001">_xlfn.IFERROR(ISNUMBER(SEARCH("Razonar",$R1001))/(ISNUMBER(SEARCH("Conocer",$R1001))+ISNUMBER(SEARCH("Aplicar",$R1001))+ISNUMBER(SEARCH("Razonar",$R1001))),0)</f>
        <v>0.333333333333333</v>
      </c>
      <c r="V1001" t="s" s="35">
        <v>1405</v>
      </c>
      <c r="W1001" t="s" s="35">
        <v>6188</v>
      </c>
      <c r="X1001" s="36" cm="1">
        <f t="array" ref="X1001">IF(OR(_xlfn.IFERROR(INDEX('Datos - Catálogo TIMSS'!$I$5:$I$107,MATCH(K1001,'Datos - Catálogo TIMSS'!$A$5:$A$107,0)),"No")="Sí",_xlfn.IFERROR(INDEX('Datos - Catálogo TIMSS'!$I$5:$I$107,MATCH(L1001,'Datos - Catálogo TIMSS'!$A$5:$A$107,0)),"No")="Sí"),1,0)</f>
        <v>0</v>
      </c>
      <c r="Y1001" s="36" cm="1">
        <f t="array" ref="Y1001">IF(_xlfn.IFERROR(INDEX('Datos - Catálogo TIMSS'!$J$5:$J$107,MATCH(K1001,'Datos - Catálogo TIMSS'!$A$5:$A$107,0)),"No")="Sí",1,0)</f>
        <v>0</v>
      </c>
      <c r="Z1001" s="36" cm="1">
        <f t="array" ref="Z1001">IF(_xlfn.IFERROR(INDEX('Datos - Catálogo TIMSS'!$J$5:$J$107,MATCH(L1001,'Datos - Catálogo TIMSS'!$A$5:$A$107,0)),"No")="Sí",1,0)</f>
        <v>0</v>
      </c>
      <c r="AA1001" t="s" s="35">
        <v>1058</v>
      </c>
      <c r="AB1001" s="39"/>
      <c r="AC1001" t="str" s="39">
        <v>Sin marco</v>
      </c>
      <c r="AD1001" t="s" s="35">
        <v>1859</v>
      </c>
      <c r="AE1001" t="str" s="39" cm="1">
        <f t="array" ref="AE1001">IF(AD1001="","",IF(LEFT(AD1001,1)="1","C1",IF(LEFT(AD1001,1)="2","C2",IF(LEFT(AD1001,1)="3","C3",""))))</f>
        <v>C1</v>
      </c>
      <c r="AF1001" t="s" s="35">
        <v>1615</v>
      </c>
      <c r="AG1001" t="s" s="35">
        <v>1617</v>
      </c>
      <c r="AH1001" t="s" s="35">
        <v>1609</v>
      </c>
      <c r="AI1001" t="s" s="35">
        <v>1625</v>
      </c>
      <c r="AJ1001" t="s" s="35">
        <v>1633</v>
      </c>
      <c r="AK1001" s="39"/>
      <c r="AL1001" s="39"/>
      <c r="AM1001" s="39"/>
      <c r="AN1001" s="39"/>
      <c r="AO1001" s="39"/>
      <c r="AP1001" s="39"/>
      <c r="AQ1001" s="39"/>
      <c r="AR1001" s="39"/>
      <c r="AS1001" s="39"/>
      <c r="AT1001" s="39"/>
      <c r="AU1001" s="39"/>
      <c r="AV1001" s="39"/>
      <c r="AW1001" t="str" s="39" cm="1">
        <f t="array" ref="AW1001">AF1001&amp;"; "&amp;AG1001&amp;"; "&amp;AH1001&amp;"; "&amp;AI1001&amp;"; "&amp;AJ1001</f>
        <v>E6; D1; E4; I1; I5</v>
      </c>
    </row>
    <row r="1002" ht="13.65" customHeight="1">
      <c r="A1002" t="s" s="35">
        <v>6614</v>
      </c>
      <c r="B1002" s="36">
        <v>10</v>
      </c>
      <c r="C1002" t="s" s="35">
        <v>220</v>
      </c>
      <c r="D1002" t="s" s="35">
        <v>6180</v>
      </c>
      <c r="E1002" t="s" s="35">
        <v>6181</v>
      </c>
      <c r="F1002" s="36">
        <v>111</v>
      </c>
      <c r="G1002" t="s" s="35">
        <v>6595</v>
      </c>
      <c r="H1002" t="s" s="35">
        <v>6607</v>
      </c>
      <c r="I1002" t="s" s="120">
        <v>6615</v>
      </c>
      <c r="J1002" t="s" s="35">
        <v>6185</v>
      </c>
      <c r="K1002" t="s" s="35">
        <v>1058</v>
      </c>
      <c r="L1002" s="39"/>
      <c r="M1002" t="str" s="39">
        <v>Sin marco</v>
      </c>
      <c r="N1002" t="str" s="39">
        <v>Sin marco</v>
      </c>
      <c r="O1002" t="str" s="39" cm="1">
        <f t="array" ref="O1002">IF(L1002="","",_xlfn.IFERROR(INDEX('Datos - Catálogo TIMSS'!$C$5:$C$107,MATCH(L1002,'Datos - Catálogo TIMSS'!$A$5:$A$107,0)),"?"))</f>
      </c>
      <c r="P1002" t="s" s="35">
        <v>1058</v>
      </c>
      <c r="Q1002" t="s" s="120">
        <v>6186</v>
      </c>
      <c r="R1002" t="s" s="120">
        <v>6616</v>
      </c>
      <c r="S1002" s="121" cm="1">
        <f t="array" ref="S1002">_xlfn.IFERROR(ISNUMBER(SEARCH("Conocer",$R1002))/(ISNUMBER(SEARCH("Conocer",$R1002))+ISNUMBER(SEARCH("Aplicar",$R1002))+ISNUMBER(SEARCH("Razonar",$R1002))),0)</f>
        <v>0.333333333333333</v>
      </c>
      <c r="T1002" s="121" cm="1">
        <f t="array" ref="T1002">_xlfn.IFERROR(ISNUMBER(SEARCH("Aplicar",$R1002))/(ISNUMBER(SEARCH("Conocer",$R1002))+ISNUMBER(SEARCH("Aplicar",$R1002))+ISNUMBER(SEARCH("Razonar",$R1002))),0)</f>
        <v>0.333333333333333</v>
      </c>
      <c r="U1002" s="121" cm="1">
        <f t="array" ref="U1002">_xlfn.IFERROR(ISNUMBER(SEARCH("Razonar",$R1002))/(ISNUMBER(SEARCH("Conocer",$R1002))+ISNUMBER(SEARCH("Aplicar",$R1002))+ISNUMBER(SEARCH("Razonar",$R1002))),0)</f>
        <v>0.333333333333333</v>
      </c>
      <c r="V1002" t="s" s="35">
        <v>1405</v>
      </c>
      <c r="W1002" t="s" s="35">
        <v>6188</v>
      </c>
      <c r="X1002" s="36" cm="1">
        <f t="array" ref="X1002">IF(OR(_xlfn.IFERROR(INDEX('Datos - Catálogo TIMSS'!$I$5:$I$107,MATCH(K1002,'Datos - Catálogo TIMSS'!$A$5:$A$107,0)),"No")="Sí",_xlfn.IFERROR(INDEX('Datos - Catálogo TIMSS'!$I$5:$I$107,MATCH(L1002,'Datos - Catálogo TIMSS'!$A$5:$A$107,0)),"No")="Sí"),1,0)</f>
        <v>0</v>
      </c>
      <c r="Y1002" s="36" cm="1">
        <f t="array" ref="Y1002">IF(_xlfn.IFERROR(INDEX('Datos - Catálogo TIMSS'!$J$5:$J$107,MATCH(K1002,'Datos - Catálogo TIMSS'!$A$5:$A$107,0)),"No")="Sí",1,0)</f>
        <v>0</v>
      </c>
      <c r="Z1002" s="36" cm="1">
        <f t="array" ref="Z1002">IF(_xlfn.IFERROR(INDEX('Datos - Catálogo TIMSS'!$J$5:$J$107,MATCH(L1002,'Datos - Catálogo TIMSS'!$A$5:$A$107,0)),"No")="Sí",1,0)</f>
        <v>0</v>
      </c>
      <c r="AA1002" t="s" s="35">
        <v>1058</v>
      </c>
      <c r="AB1002" s="39"/>
      <c r="AC1002" t="str" s="39">
        <v>Sin marco</v>
      </c>
      <c r="AD1002" t="s" s="35">
        <v>1900</v>
      </c>
      <c r="AE1002" t="str" s="39" cm="1">
        <f t="array" ref="AE1002">IF(AD1002="","",IF(LEFT(AD1002,1)="1","C1",IF(LEFT(AD1002,1)="2","C2",IF(LEFT(AD1002,1)="3","C3",""))))</f>
        <v>C3</v>
      </c>
      <c r="AF1002" t="s" s="35">
        <v>1602</v>
      </c>
      <c r="AG1002" t="s" s="35">
        <v>1607</v>
      </c>
      <c r="AH1002" t="s" s="35">
        <v>1602</v>
      </c>
      <c r="AI1002" t="s" s="35">
        <v>1625</v>
      </c>
      <c r="AJ1002" t="s" s="35">
        <v>1615</v>
      </c>
      <c r="AK1002" s="39"/>
      <c r="AL1002" s="39"/>
      <c r="AM1002" s="39"/>
      <c r="AN1002" s="39"/>
      <c r="AO1002" s="39"/>
      <c r="AP1002" s="39"/>
      <c r="AQ1002" s="39"/>
      <c r="AR1002" s="39"/>
      <c r="AS1002" s="39"/>
      <c r="AT1002" s="39"/>
      <c r="AU1002" s="39"/>
      <c r="AV1002" s="39"/>
      <c r="AW1002" t="str" s="39" cm="1">
        <f t="array" ref="AW1002">AF1002&amp;"; "&amp;AG1002&amp;"; "&amp;AH1002&amp;"; "&amp;AI1002&amp;"; "&amp;AJ1002</f>
        <v>E1; E3; E1; I1; E6</v>
      </c>
    </row>
    <row r="1003" ht="13.65" customHeight="1">
      <c r="A1003" t="s" s="35">
        <v>6618</v>
      </c>
      <c r="B1003" s="36">
        <v>10</v>
      </c>
      <c r="C1003" t="s" s="35">
        <v>220</v>
      </c>
      <c r="D1003" t="s" s="35">
        <v>6180</v>
      </c>
      <c r="E1003" t="s" s="35">
        <v>6181</v>
      </c>
      <c r="F1003" s="36">
        <v>112</v>
      </c>
      <c r="G1003" t="s" s="35">
        <v>6595</v>
      </c>
      <c r="H1003" t="s" s="35">
        <v>6607</v>
      </c>
      <c r="I1003" t="s" s="120">
        <v>6619</v>
      </c>
      <c r="J1003" t="s" s="35">
        <v>6185</v>
      </c>
      <c r="K1003" t="s" s="35">
        <v>1058</v>
      </c>
      <c r="L1003" s="39"/>
      <c r="M1003" t="str" s="39">
        <v>Sin marco</v>
      </c>
      <c r="N1003" t="str" s="39">
        <v>Sin marco</v>
      </c>
      <c r="O1003" t="str" s="39" cm="1">
        <f t="array" ref="O1003">IF(L1003="","",_xlfn.IFERROR(INDEX('Datos - Catálogo TIMSS'!$C$5:$C$107,MATCH(L1003,'Datos - Catálogo TIMSS'!$A$5:$A$107,0)),"?"))</f>
      </c>
      <c r="P1003" t="s" s="35">
        <v>1058</v>
      </c>
      <c r="Q1003" t="s" s="120">
        <v>6186</v>
      </c>
      <c r="R1003" t="s" s="120">
        <v>6620</v>
      </c>
      <c r="S1003" s="121" cm="1">
        <f t="array" ref="S1003">_xlfn.IFERROR(ISNUMBER(SEARCH("Conocer",$R1003))/(ISNUMBER(SEARCH("Conocer",$R1003))+ISNUMBER(SEARCH("Aplicar",$R1003))+ISNUMBER(SEARCH("Razonar",$R1003))),0)</f>
        <v>0.333333333333333</v>
      </c>
      <c r="T1003" s="121" cm="1">
        <f t="array" ref="T1003">_xlfn.IFERROR(ISNUMBER(SEARCH("Aplicar",$R1003))/(ISNUMBER(SEARCH("Conocer",$R1003))+ISNUMBER(SEARCH("Aplicar",$R1003))+ISNUMBER(SEARCH("Razonar",$R1003))),0)</f>
        <v>0.333333333333333</v>
      </c>
      <c r="U1003" s="121" cm="1">
        <f t="array" ref="U1003">_xlfn.IFERROR(ISNUMBER(SEARCH("Razonar",$R1003))/(ISNUMBER(SEARCH("Conocer",$R1003))+ISNUMBER(SEARCH("Aplicar",$R1003))+ISNUMBER(SEARCH("Razonar",$R1003))),0)</f>
        <v>0.333333333333333</v>
      </c>
      <c r="V1003" t="s" s="35">
        <v>1405</v>
      </c>
      <c r="W1003" t="s" s="35">
        <v>6188</v>
      </c>
      <c r="X1003" s="36" cm="1">
        <f t="array" ref="X1003">IF(OR(_xlfn.IFERROR(INDEX('Datos - Catálogo TIMSS'!$I$5:$I$107,MATCH(K1003,'Datos - Catálogo TIMSS'!$A$5:$A$107,0)),"No")="Sí",_xlfn.IFERROR(INDEX('Datos - Catálogo TIMSS'!$I$5:$I$107,MATCH(L1003,'Datos - Catálogo TIMSS'!$A$5:$A$107,0)),"No")="Sí"),1,0)</f>
        <v>0</v>
      </c>
      <c r="Y1003" s="36" cm="1">
        <f t="array" ref="Y1003">IF(_xlfn.IFERROR(INDEX('Datos - Catálogo TIMSS'!$J$5:$J$107,MATCH(K1003,'Datos - Catálogo TIMSS'!$A$5:$A$107,0)),"No")="Sí",1,0)</f>
        <v>0</v>
      </c>
      <c r="Z1003" s="36" cm="1">
        <f t="array" ref="Z1003">IF(_xlfn.IFERROR(INDEX('Datos - Catálogo TIMSS'!$J$5:$J$107,MATCH(L1003,'Datos - Catálogo TIMSS'!$A$5:$A$107,0)),"No")="Sí",1,0)</f>
        <v>0</v>
      </c>
      <c r="AA1003" t="s" s="35">
        <v>1058</v>
      </c>
      <c r="AB1003" s="39"/>
      <c r="AC1003" t="str" s="39">
        <v>Sin marco</v>
      </c>
      <c r="AD1003" t="s" s="35">
        <v>1859</v>
      </c>
      <c r="AE1003" t="str" s="39" cm="1">
        <f t="array" ref="AE1003">IF(AD1003="","",IF(LEFT(AD1003,1)="1","C1",IF(LEFT(AD1003,1)="2","C2",IF(LEFT(AD1003,1)="3","C3",""))))</f>
        <v>C1</v>
      </c>
      <c r="AF1003" t="s" s="35">
        <v>1615</v>
      </c>
      <c r="AG1003" t="s" s="35">
        <v>1612</v>
      </c>
      <c r="AH1003" t="s" s="35">
        <v>1605</v>
      </c>
      <c r="AI1003" t="s" s="35">
        <v>1623</v>
      </c>
      <c r="AJ1003" t="s" s="35">
        <v>1627</v>
      </c>
      <c r="AK1003" s="39"/>
      <c r="AL1003" s="39"/>
      <c r="AM1003" s="39"/>
      <c r="AN1003" s="39"/>
      <c r="AO1003" s="39"/>
      <c r="AP1003" s="39"/>
      <c r="AQ1003" s="39"/>
      <c r="AR1003" s="39"/>
      <c r="AS1003" s="39"/>
      <c r="AT1003" s="39"/>
      <c r="AU1003" s="39"/>
      <c r="AV1003" s="39"/>
      <c r="AW1003" t="str" s="39" cm="1">
        <f t="array" ref="AW1003">AF1003&amp;"; "&amp;AG1003&amp;"; "&amp;AH1003&amp;"; "&amp;AI1003&amp;"; "&amp;AJ1003</f>
        <v>E6; E5; E2; D4; I2</v>
      </c>
    </row>
    <row r="1004" ht="13.65" customHeight="1">
      <c r="A1004" t="s" s="35">
        <v>6621</v>
      </c>
      <c r="B1004" s="36">
        <v>10</v>
      </c>
      <c r="C1004" t="s" s="35">
        <v>220</v>
      </c>
      <c r="D1004" t="s" s="35">
        <v>6180</v>
      </c>
      <c r="E1004" t="s" s="35">
        <v>6181</v>
      </c>
      <c r="F1004" s="36">
        <v>113</v>
      </c>
      <c r="G1004" t="s" s="35">
        <v>6595</v>
      </c>
      <c r="H1004" t="s" s="35">
        <v>6622</v>
      </c>
      <c r="I1004" t="s" s="120">
        <v>6623</v>
      </c>
      <c r="J1004" t="s" s="35">
        <v>6185</v>
      </c>
      <c r="K1004" t="s" s="35">
        <v>1058</v>
      </c>
      <c r="L1004" s="39"/>
      <c r="M1004" t="str" s="39">
        <v>Sin marco</v>
      </c>
      <c r="N1004" t="str" s="39">
        <v>Sin marco</v>
      </c>
      <c r="O1004" t="str" s="39" cm="1">
        <f t="array" ref="O1004">IF(L1004="","",_xlfn.IFERROR(INDEX('Datos - Catálogo TIMSS'!$C$5:$C$107,MATCH(L1004,'Datos - Catálogo TIMSS'!$A$5:$A$107,0)),"?"))</f>
      </c>
      <c r="P1004" t="s" s="35">
        <v>1058</v>
      </c>
      <c r="Q1004" t="s" s="120">
        <v>6186</v>
      </c>
      <c r="R1004" t="s" s="120">
        <v>6624</v>
      </c>
      <c r="S1004" s="121" cm="1">
        <f t="array" ref="S1004">_xlfn.IFERROR(ISNUMBER(SEARCH("Conocer",$R1004))/(ISNUMBER(SEARCH("Conocer",$R1004))+ISNUMBER(SEARCH("Aplicar",$R1004))+ISNUMBER(SEARCH("Razonar",$R1004))),0)</f>
        <v>0.333333333333333</v>
      </c>
      <c r="T1004" s="121" cm="1">
        <f t="array" ref="T1004">_xlfn.IFERROR(ISNUMBER(SEARCH("Aplicar",$R1004))/(ISNUMBER(SEARCH("Conocer",$R1004))+ISNUMBER(SEARCH("Aplicar",$R1004))+ISNUMBER(SEARCH("Razonar",$R1004))),0)</f>
        <v>0.333333333333333</v>
      </c>
      <c r="U1004" s="121" cm="1">
        <f t="array" ref="U1004">_xlfn.IFERROR(ISNUMBER(SEARCH("Razonar",$R1004))/(ISNUMBER(SEARCH("Conocer",$R1004))+ISNUMBER(SEARCH("Aplicar",$R1004))+ISNUMBER(SEARCH("Razonar",$R1004))),0)</f>
        <v>0.333333333333333</v>
      </c>
      <c r="V1004" t="s" s="35">
        <v>1405</v>
      </c>
      <c r="W1004" t="s" s="35">
        <v>6188</v>
      </c>
      <c r="X1004" s="36" cm="1">
        <f t="array" ref="X1004">IF(OR(_xlfn.IFERROR(INDEX('Datos - Catálogo TIMSS'!$I$5:$I$107,MATCH(K1004,'Datos - Catálogo TIMSS'!$A$5:$A$107,0)),"No")="Sí",_xlfn.IFERROR(INDEX('Datos - Catálogo TIMSS'!$I$5:$I$107,MATCH(L1004,'Datos - Catálogo TIMSS'!$A$5:$A$107,0)),"No")="Sí"),1,0)</f>
        <v>0</v>
      </c>
      <c r="Y1004" s="36" cm="1">
        <f t="array" ref="Y1004">IF(_xlfn.IFERROR(INDEX('Datos - Catálogo TIMSS'!$J$5:$J$107,MATCH(K1004,'Datos - Catálogo TIMSS'!$A$5:$A$107,0)),"No")="Sí",1,0)</f>
        <v>0</v>
      </c>
      <c r="Z1004" s="36" cm="1">
        <f t="array" ref="Z1004">IF(_xlfn.IFERROR(INDEX('Datos - Catálogo TIMSS'!$J$5:$J$107,MATCH(L1004,'Datos - Catálogo TIMSS'!$A$5:$A$107,0)),"No")="Sí",1,0)</f>
        <v>0</v>
      </c>
      <c r="AA1004" t="s" s="35">
        <v>1058</v>
      </c>
      <c r="AB1004" s="39"/>
      <c r="AC1004" t="str" s="39">
        <v>Sin marco</v>
      </c>
      <c r="AD1004" t="s" s="35">
        <v>1834</v>
      </c>
      <c r="AE1004" t="str" s="39" cm="1">
        <f t="array" ref="AE1004">IF(AD1004="","",IF(LEFT(AD1004,1)="1","C1",IF(LEFT(AD1004,1)="2","C2",IF(LEFT(AD1004,1)="3","C3",""))))</f>
        <v>C2</v>
      </c>
      <c r="AF1004" t="s" s="35">
        <v>1602</v>
      </c>
      <c r="AG1004" t="s" s="35">
        <v>1617</v>
      </c>
      <c r="AH1004" t="s" s="35">
        <v>1605</v>
      </c>
      <c r="AI1004" t="s" s="35">
        <v>1619</v>
      </c>
      <c r="AJ1004" t="s" s="35">
        <v>1621</v>
      </c>
      <c r="AK1004" s="39"/>
      <c r="AL1004" s="39"/>
      <c r="AM1004" s="39"/>
      <c r="AN1004" s="39"/>
      <c r="AO1004" s="39"/>
      <c r="AP1004" s="39"/>
      <c r="AQ1004" s="39"/>
      <c r="AR1004" s="39"/>
      <c r="AS1004" s="39"/>
      <c r="AT1004" s="39"/>
      <c r="AU1004" s="39"/>
      <c r="AV1004" s="39"/>
      <c r="AW1004" t="str" s="39" cm="1">
        <f t="array" ref="AW1004">AF1004&amp;"; "&amp;AG1004&amp;"; "&amp;AH1004&amp;"; "&amp;AI1004&amp;"; "&amp;AJ1004</f>
        <v>E1; D1; E2; D2; D3</v>
      </c>
    </row>
    <row r="1005" ht="13.65" customHeight="1">
      <c r="A1005" t="s" s="35">
        <v>6625</v>
      </c>
      <c r="B1005" s="36">
        <v>10</v>
      </c>
      <c r="C1005" t="s" s="35">
        <v>220</v>
      </c>
      <c r="D1005" t="s" s="35">
        <v>6180</v>
      </c>
      <c r="E1005" t="s" s="35">
        <v>6181</v>
      </c>
      <c r="F1005" s="36">
        <v>114</v>
      </c>
      <c r="G1005" t="s" s="35">
        <v>6595</v>
      </c>
      <c r="H1005" t="s" s="35">
        <v>6626</v>
      </c>
      <c r="I1005" t="s" s="120">
        <v>6627</v>
      </c>
      <c r="J1005" t="s" s="35">
        <v>6185</v>
      </c>
      <c r="K1005" t="s" s="35">
        <v>1058</v>
      </c>
      <c r="L1005" s="39"/>
      <c r="M1005" t="str" s="39">
        <v>Sin marco</v>
      </c>
      <c r="N1005" t="str" s="39">
        <v>Sin marco</v>
      </c>
      <c r="O1005" t="str" s="39" cm="1">
        <f t="array" ref="O1005">IF(L1005="","",_xlfn.IFERROR(INDEX('Datos - Catálogo TIMSS'!$C$5:$C$107,MATCH(L1005,'Datos - Catálogo TIMSS'!$A$5:$A$107,0)),"?"))</f>
      </c>
      <c r="P1005" t="s" s="35">
        <v>1058</v>
      </c>
      <c r="Q1005" t="s" s="120">
        <v>6186</v>
      </c>
      <c r="R1005" t="s" s="120">
        <v>6628</v>
      </c>
      <c r="S1005" s="121" cm="1">
        <f t="array" ref="S1005">_xlfn.IFERROR(ISNUMBER(SEARCH("Conocer",$R1005))/(ISNUMBER(SEARCH("Conocer",$R1005))+ISNUMBER(SEARCH("Aplicar",$R1005))+ISNUMBER(SEARCH("Razonar",$R1005))),0)</f>
        <v>0.333333333333333</v>
      </c>
      <c r="T1005" s="121" cm="1">
        <f t="array" ref="T1005">_xlfn.IFERROR(ISNUMBER(SEARCH("Aplicar",$R1005))/(ISNUMBER(SEARCH("Conocer",$R1005))+ISNUMBER(SEARCH("Aplicar",$R1005))+ISNUMBER(SEARCH("Razonar",$R1005))),0)</f>
        <v>0.333333333333333</v>
      </c>
      <c r="U1005" s="121" cm="1">
        <f t="array" ref="U1005">_xlfn.IFERROR(ISNUMBER(SEARCH("Razonar",$R1005))/(ISNUMBER(SEARCH("Conocer",$R1005))+ISNUMBER(SEARCH("Aplicar",$R1005))+ISNUMBER(SEARCH("Razonar",$R1005))),0)</f>
        <v>0.333333333333333</v>
      </c>
      <c r="V1005" t="s" s="35">
        <v>1405</v>
      </c>
      <c r="W1005" t="s" s="35">
        <v>6188</v>
      </c>
      <c r="X1005" s="36" cm="1">
        <f t="array" ref="X1005">IF(OR(_xlfn.IFERROR(INDEX('Datos - Catálogo TIMSS'!$I$5:$I$107,MATCH(K1005,'Datos - Catálogo TIMSS'!$A$5:$A$107,0)),"No")="Sí",_xlfn.IFERROR(INDEX('Datos - Catálogo TIMSS'!$I$5:$I$107,MATCH(L1005,'Datos - Catálogo TIMSS'!$A$5:$A$107,0)),"No")="Sí"),1,0)</f>
        <v>0</v>
      </c>
      <c r="Y1005" s="36" cm="1">
        <f t="array" ref="Y1005">IF(_xlfn.IFERROR(INDEX('Datos - Catálogo TIMSS'!$J$5:$J$107,MATCH(K1005,'Datos - Catálogo TIMSS'!$A$5:$A$107,0)),"No")="Sí",1,0)</f>
        <v>0</v>
      </c>
      <c r="Z1005" s="36" cm="1">
        <f t="array" ref="Z1005">IF(_xlfn.IFERROR(INDEX('Datos - Catálogo TIMSS'!$J$5:$J$107,MATCH(L1005,'Datos - Catálogo TIMSS'!$A$5:$A$107,0)),"No")="Sí",1,0)</f>
        <v>0</v>
      </c>
      <c r="AA1005" t="s" s="35">
        <v>1058</v>
      </c>
      <c r="AB1005" s="39"/>
      <c r="AC1005" t="str" s="39">
        <v>Sin marco</v>
      </c>
      <c r="AD1005" t="s" s="35">
        <v>1859</v>
      </c>
      <c r="AE1005" t="str" s="39" cm="1">
        <f t="array" ref="AE1005">IF(AD1005="","",IF(LEFT(AD1005,1)="1","C1",IF(LEFT(AD1005,1)="2","C2",IF(LEFT(AD1005,1)="3","C3",""))))</f>
        <v>C1</v>
      </c>
      <c r="AF1005" t="s" s="35">
        <v>1615</v>
      </c>
      <c r="AG1005" t="s" s="35">
        <v>1607</v>
      </c>
      <c r="AH1005" t="s" s="35">
        <v>1602</v>
      </c>
      <c r="AI1005" t="s" s="35">
        <v>1625</v>
      </c>
      <c r="AJ1005" t="s" s="35">
        <v>1615</v>
      </c>
      <c r="AK1005" s="39"/>
      <c r="AL1005" s="39"/>
      <c r="AM1005" s="39"/>
      <c r="AN1005" s="39"/>
      <c r="AO1005" s="39"/>
      <c r="AP1005" s="39"/>
      <c r="AQ1005" s="39"/>
      <c r="AR1005" s="39"/>
      <c r="AS1005" s="39"/>
      <c r="AT1005" s="39"/>
      <c r="AU1005" s="39"/>
      <c r="AV1005" s="39"/>
      <c r="AW1005" t="str" s="39" cm="1">
        <f t="array" ref="AW1005">AF1005&amp;"; "&amp;AG1005&amp;"; "&amp;AH1005&amp;"; "&amp;AI1005&amp;"; "&amp;AJ1005</f>
        <v>E6; E3; E1; I1; E6</v>
      </c>
    </row>
    <row r="1006" ht="13.65" customHeight="1">
      <c r="A1006" t="s" s="35">
        <v>6630</v>
      </c>
      <c r="B1006" s="36">
        <v>11</v>
      </c>
      <c r="C1006" t="s" s="35">
        <v>220</v>
      </c>
      <c r="D1006" t="s" s="35">
        <v>6180</v>
      </c>
      <c r="E1006" t="s" s="35">
        <v>6631</v>
      </c>
      <c r="F1006" s="36">
        <v>3</v>
      </c>
      <c r="G1006" t="s" s="35">
        <v>6632</v>
      </c>
      <c r="H1006" t="s" s="35">
        <v>6633</v>
      </c>
      <c r="I1006" t="s" s="120">
        <v>6634</v>
      </c>
      <c r="J1006" t="s" s="35">
        <v>6185</v>
      </c>
      <c r="K1006" t="s" s="35">
        <v>1058</v>
      </c>
      <c r="L1006" s="39"/>
      <c r="M1006" t="str" s="39">
        <v>Sin marco</v>
      </c>
      <c r="N1006" t="str" s="39">
        <v>Sin marco</v>
      </c>
      <c r="O1006" t="str" s="39" cm="1">
        <f t="array" ref="O1006">IF(L1006="","",_xlfn.IFERROR(INDEX('Datos - Catálogo TIMSS'!$C$5:$C$107,MATCH(L1006,'Datos - Catálogo TIMSS'!$A$5:$A$107,0)),"?"))</f>
      </c>
      <c r="P1006" t="s" s="35">
        <v>1058</v>
      </c>
      <c r="Q1006" t="s" s="120">
        <v>6186</v>
      </c>
      <c r="R1006" t="s" s="120">
        <v>6635</v>
      </c>
      <c r="S1006" s="121" cm="1">
        <f t="array" ref="S1006">_xlfn.IFERROR(ISNUMBER(SEARCH("Conocer",$R1006))/(ISNUMBER(SEARCH("Conocer",$R1006))+ISNUMBER(SEARCH("Aplicar",$R1006))+ISNUMBER(SEARCH("Razonar",$R1006))),0)</f>
        <v>0.333333333333333</v>
      </c>
      <c r="T1006" s="121" cm="1">
        <f t="array" ref="T1006">_xlfn.IFERROR(ISNUMBER(SEARCH("Aplicar",$R1006))/(ISNUMBER(SEARCH("Conocer",$R1006))+ISNUMBER(SEARCH("Aplicar",$R1006))+ISNUMBER(SEARCH("Razonar",$R1006))),0)</f>
        <v>0.333333333333333</v>
      </c>
      <c r="U1006" s="121" cm="1">
        <f t="array" ref="U1006">_xlfn.IFERROR(ISNUMBER(SEARCH("Razonar",$R1006))/(ISNUMBER(SEARCH("Conocer",$R1006))+ISNUMBER(SEARCH("Aplicar",$R1006))+ISNUMBER(SEARCH("Razonar",$R1006))),0)</f>
        <v>0.333333333333333</v>
      </c>
      <c r="V1006" t="s" s="35">
        <v>1407</v>
      </c>
      <c r="W1006" t="s" s="35">
        <v>6188</v>
      </c>
      <c r="X1006" s="36" cm="1">
        <f t="array" ref="X1006">IF(OR(_xlfn.IFERROR(INDEX('Datos - Catálogo TIMSS'!$I$5:$I$107,MATCH(K1006,'Datos - Catálogo TIMSS'!$A$5:$A$107,0)),"No")="Sí",_xlfn.IFERROR(INDEX('Datos - Catálogo TIMSS'!$I$5:$I$107,MATCH(L1006,'Datos - Catálogo TIMSS'!$A$5:$A$107,0)),"No")="Sí"),1,0)</f>
        <v>0</v>
      </c>
      <c r="Y1006" s="36" cm="1">
        <f t="array" ref="Y1006">IF(_xlfn.IFERROR(INDEX('Datos - Catálogo TIMSS'!$J$5:$J$107,MATCH(K1006,'Datos - Catálogo TIMSS'!$A$5:$A$107,0)),"No")="Sí",1,0)</f>
        <v>0</v>
      </c>
      <c r="Z1006" s="36" cm="1">
        <f t="array" ref="Z1006">IF(_xlfn.IFERROR(INDEX('Datos - Catálogo TIMSS'!$J$5:$J$107,MATCH(L1006,'Datos - Catálogo TIMSS'!$A$5:$A$107,0)),"No")="Sí",1,0)</f>
        <v>0</v>
      </c>
      <c r="AA1006" t="s" s="35">
        <v>1058</v>
      </c>
      <c r="AB1006" s="39"/>
      <c r="AC1006" t="str" s="39">
        <v>Sin marco</v>
      </c>
      <c r="AD1006" t="s" s="35">
        <v>1859</v>
      </c>
      <c r="AE1006" t="str" s="39" cm="1">
        <f t="array" ref="AE1006">IF(AD1006="","",IF(LEFT(AD1006,1)="1","C1",IF(LEFT(AD1006,1)="2","C2",IF(LEFT(AD1006,1)="3","C3",""))))</f>
        <v>C1</v>
      </c>
      <c r="AF1006" t="s" s="35">
        <v>1602</v>
      </c>
      <c r="AG1006" t="s" s="35">
        <v>1617</v>
      </c>
      <c r="AH1006" t="s" s="35">
        <v>1602</v>
      </c>
      <c r="AI1006" t="s" s="35">
        <v>1623</v>
      </c>
      <c r="AJ1006" t="s" s="35">
        <v>1607</v>
      </c>
      <c r="AK1006" s="39"/>
      <c r="AL1006" s="39"/>
      <c r="AM1006" s="39"/>
      <c r="AN1006" s="39"/>
      <c r="AO1006" s="39"/>
      <c r="AP1006" s="39"/>
      <c r="AQ1006" s="39"/>
      <c r="AR1006" s="39"/>
      <c r="AS1006" s="39"/>
      <c r="AT1006" s="39"/>
      <c r="AU1006" s="39"/>
      <c r="AV1006" s="39"/>
      <c r="AW1006" t="str" s="39" cm="1">
        <f t="array" ref="AW1006">AF1006&amp;"; "&amp;AG1006&amp;"; "&amp;AH1006&amp;"; "&amp;AI1006&amp;"; "&amp;AJ1006</f>
        <v>E1; D1; E1; D4; E3</v>
      </c>
    </row>
    <row r="1007" ht="13.65" customHeight="1">
      <c r="A1007" t="s" s="35">
        <v>6636</v>
      </c>
      <c r="B1007" s="36">
        <v>11</v>
      </c>
      <c r="C1007" t="s" s="35">
        <v>220</v>
      </c>
      <c r="D1007" t="s" s="35">
        <v>6180</v>
      </c>
      <c r="E1007" t="s" s="35">
        <v>6631</v>
      </c>
      <c r="F1007" s="36">
        <v>4</v>
      </c>
      <c r="G1007" t="s" s="35">
        <v>6632</v>
      </c>
      <c r="H1007" t="s" s="35">
        <v>6633</v>
      </c>
      <c r="I1007" t="s" s="120">
        <v>6637</v>
      </c>
      <c r="J1007" t="s" s="35">
        <v>6185</v>
      </c>
      <c r="K1007" t="s" s="35">
        <v>1058</v>
      </c>
      <c r="L1007" s="39"/>
      <c r="M1007" t="str" s="39">
        <v>Sin marco</v>
      </c>
      <c r="N1007" t="str" s="39">
        <v>Sin marco</v>
      </c>
      <c r="O1007" t="str" s="39" cm="1">
        <f t="array" ref="O1007">IF(L1007="","",_xlfn.IFERROR(INDEX('Datos - Catálogo TIMSS'!$C$5:$C$107,MATCH(L1007,'Datos - Catálogo TIMSS'!$A$5:$A$107,0)),"?"))</f>
      </c>
      <c r="P1007" t="s" s="35">
        <v>1058</v>
      </c>
      <c r="Q1007" t="s" s="120">
        <v>6186</v>
      </c>
      <c r="R1007" t="s" s="120">
        <v>6638</v>
      </c>
      <c r="S1007" s="121" cm="1">
        <f t="array" ref="S1007">_xlfn.IFERROR(ISNUMBER(SEARCH("Conocer",$R1007))/(ISNUMBER(SEARCH("Conocer",$R1007))+ISNUMBER(SEARCH("Aplicar",$R1007))+ISNUMBER(SEARCH("Razonar",$R1007))),0)</f>
        <v>0.5</v>
      </c>
      <c r="T1007" s="121" cm="1">
        <f t="array" ref="T1007">_xlfn.IFERROR(ISNUMBER(SEARCH("Aplicar",$R1007))/(ISNUMBER(SEARCH("Conocer",$R1007))+ISNUMBER(SEARCH("Aplicar",$R1007))+ISNUMBER(SEARCH("Razonar",$R1007))),0)</f>
        <v>0</v>
      </c>
      <c r="U1007" s="121" cm="1">
        <f t="array" ref="U1007">_xlfn.IFERROR(ISNUMBER(SEARCH("Razonar",$R1007))/(ISNUMBER(SEARCH("Conocer",$R1007))+ISNUMBER(SEARCH("Aplicar",$R1007))+ISNUMBER(SEARCH("Razonar",$R1007))),0)</f>
        <v>0.5</v>
      </c>
      <c r="V1007" t="s" s="35">
        <v>1407</v>
      </c>
      <c r="W1007" t="s" s="35">
        <v>6188</v>
      </c>
      <c r="X1007" s="36" cm="1">
        <f t="array" ref="X1007">IF(OR(_xlfn.IFERROR(INDEX('Datos - Catálogo TIMSS'!$I$5:$I$107,MATCH(K1007,'Datos - Catálogo TIMSS'!$A$5:$A$107,0)),"No")="Sí",_xlfn.IFERROR(INDEX('Datos - Catálogo TIMSS'!$I$5:$I$107,MATCH(L1007,'Datos - Catálogo TIMSS'!$A$5:$A$107,0)),"No")="Sí"),1,0)</f>
        <v>0</v>
      </c>
      <c r="Y1007" s="36" cm="1">
        <f t="array" ref="Y1007">IF(_xlfn.IFERROR(INDEX('Datos - Catálogo TIMSS'!$J$5:$J$107,MATCH(K1007,'Datos - Catálogo TIMSS'!$A$5:$A$107,0)),"No")="Sí",1,0)</f>
        <v>0</v>
      </c>
      <c r="Z1007" s="36" cm="1">
        <f t="array" ref="Z1007">IF(_xlfn.IFERROR(INDEX('Datos - Catálogo TIMSS'!$J$5:$J$107,MATCH(L1007,'Datos - Catálogo TIMSS'!$A$5:$A$107,0)),"No")="Sí",1,0)</f>
        <v>0</v>
      </c>
      <c r="AA1007" t="s" s="35">
        <v>1058</v>
      </c>
      <c r="AB1007" s="39"/>
      <c r="AC1007" t="str" s="39">
        <v>Sin marco</v>
      </c>
      <c r="AD1007" t="s" s="35">
        <v>1859</v>
      </c>
      <c r="AE1007" t="str" s="39" cm="1">
        <f t="array" ref="AE1007">IF(AD1007="","",IF(LEFT(AD1007,1)="1","C1",IF(LEFT(AD1007,1)="2","C2",IF(LEFT(AD1007,1)="3","C3",""))))</f>
        <v>C1</v>
      </c>
      <c r="AF1007" t="s" s="35">
        <v>1602</v>
      </c>
      <c r="AG1007" t="s" s="35">
        <v>1612</v>
      </c>
      <c r="AH1007" t="s" s="35">
        <v>1609</v>
      </c>
      <c r="AI1007" t="s" s="35">
        <v>1609</v>
      </c>
      <c r="AJ1007" t="s" s="35">
        <v>1615</v>
      </c>
      <c r="AK1007" s="39"/>
      <c r="AL1007" s="39"/>
      <c r="AM1007" s="39"/>
      <c r="AN1007" s="39"/>
      <c r="AO1007" s="39"/>
      <c r="AP1007" s="39"/>
      <c r="AQ1007" s="39"/>
      <c r="AR1007" s="39"/>
      <c r="AS1007" s="39"/>
      <c r="AT1007" s="39"/>
      <c r="AU1007" s="39"/>
      <c r="AV1007" s="39"/>
      <c r="AW1007" t="str" s="39" cm="1">
        <f t="array" ref="AW1007">AF1007&amp;"; "&amp;AG1007&amp;"; "&amp;AH1007&amp;"; "&amp;AI1007&amp;"; "&amp;AJ1007</f>
        <v>E1; E5; E4; E4; E6</v>
      </c>
    </row>
    <row r="1008" ht="13.65" customHeight="1">
      <c r="A1008" t="s" s="35">
        <v>6639</v>
      </c>
      <c r="B1008" s="36">
        <v>11</v>
      </c>
      <c r="C1008" t="s" s="35">
        <v>220</v>
      </c>
      <c r="D1008" t="s" s="35">
        <v>6180</v>
      </c>
      <c r="E1008" t="s" s="35">
        <v>6631</v>
      </c>
      <c r="F1008" s="36">
        <v>5</v>
      </c>
      <c r="G1008" t="s" s="35">
        <v>6632</v>
      </c>
      <c r="H1008" t="s" s="35">
        <v>6633</v>
      </c>
      <c r="I1008" t="s" s="120">
        <v>6640</v>
      </c>
      <c r="J1008" t="s" s="35">
        <v>6185</v>
      </c>
      <c r="K1008" t="s" s="35">
        <v>1058</v>
      </c>
      <c r="L1008" s="39"/>
      <c r="M1008" t="str" s="39">
        <v>Sin marco</v>
      </c>
      <c r="N1008" t="str" s="39">
        <v>Sin marco</v>
      </c>
      <c r="O1008" t="str" s="39" cm="1">
        <f t="array" ref="O1008">IF(L1008="","",_xlfn.IFERROR(INDEX('Datos - Catálogo TIMSS'!$C$5:$C$107,MATCH(L1008,'Datos - Catálogo TIMSS'!$A$5:$A$107,0)),"?"))</f>
      </c>
      <c r="P1008" t="s" s="35">
        <v>1058</v>
      </c>
      <c r="Q1008" t="s" s="120">
        <v>6186</v>
      </c>
      <c r="R1008" t="s" s="120">
        <v>6641</v>
      </c>
      <c r="S1008" s="121" cm="1">
        <f t="array" ref="S1008">_xlfn.IFERROR(ISNUMBER(SEARCH("Conocer",$R1008))/(ISNUMBER(SEARCH("Conocer",$R1008))+ISNUMBER(SEARCH("Aplicar",$R1008))+ISNUMBER(SEARCH("Razonar",$R1008))),0)</f>
        <v>0</v>
      </c>
      <c r="T1008" s="121" cm="1">
        <f t="array" ref="T1008">_xlfn.IFERROR(ISNUMBER(SEARCH("Aplicar",$R1008))/(ISNUMBER(SEARCH("Conocer",$R1008))+ISNUMBER(SEARCH("Aplicar",$R1008))+ISNUMBER(SEARCH("Razonar",$R1008))),0)</f>
        <v>0.5</v>
      </c>
      <c r="U1008" s="121" cm="1">
        <f t="array" ref="U1008">_xlfn.IFERROR(ISNUMBER(SEARCH("Razonar",$R1008))/(ISNUMBER(SEARCH("Conocer",$R1008))+ISNUMBER(SEARCH("Aplicar",$R1008))+ISNUMBER(SEARCH("Razonar",$R1008))),0)</f>
        <v>0.5</v>
      </c>
      <c r="V1008" t="s" s="35">
        <v>1407</v>
      </c>
      <c r="W1008" t="s" s="35">
        <v>6188</v>
      </c>
      <c r="X1008" s="36" cm="1">
        <f t="array" ref="X1008">IF(OR(_xlfn.IFERROR(INDEX('Datos - Catálogo TIMSS'!$I$5:$I$107,MATCH(K1008,'Datos - Catálogo TIMSS'!$A$5:$A$107,0)),"No")="Sí",_xlfn.IFERROR(INDEX('Datos - Catálogo TIMSS'!$I$5:$I$107,MATCH(L1008,'Datos - Catálogo TIMSS'!$A$5:$A$107,0)),"No")="Sí"),1,0)</f>
        <v>0</v>
      </c>
      <c r="Y1008" s="36" cm="1">
        <f t="array" ref="Y1008">IF(_xlfn.IFERROR(INDEX('Datos - Catálogo TIMSS'!$J$5:$J$107,MATCH(K1008,'Datos - Catálogo TIMSS'!$A$5:$A$107,0)),"No")="Sí",1,0)</f>
        <v>0</v>
      </c>
      <c r="Z1008" s="36" cm="1">
        <f t="array" ref="Z1008">IF(_xlfn.IFERROR(INDEX('Datos - Catálogo TIMSS'!$J$5:$J$107,MATCH(L1008,'Datos - Catálogo TIMSS'!$A$5:$A$107,0)),"No")="Sí",1,0)</f>
        <v>0</v>
      </c>
      <c r="AA1008" t="s" s="35">
        <v>1058</v>
      </c>
      <c r="AB1008" s="39"/>
      <c r="AC1008" t="str" s="39">
        <v>Sin marco</v>
      </c>
      <c r="AD1008" t="s" s="35">
        <v>1900</v>
      </c>
      <c r="AE1008" t="str" s="39" cm="1">
        <f t="array" ref="AE1008">IF(AD1008="","",IF(LEFT(AD1008,1)="1","C1",IF(LEFT(AD1008,1)="2","C2",IF(LEFT(AD1008,1)="3","C3",""))))</f>
        <v>C3</v>
      </c>
      <c r="AF1008" t="s" s="35">
        <v>1615</v>
      </c>
      <c r="AG1008" t="s" s="35">
        <v>1617</v>
      </c>
      <c r="AH1008" t="s" s="35">
        <v>1602</v>
      </c>
      <c r="AI1008" t="s" s="35">
        <v>1625</v>
      </c>
      <c r="AJ1008" t="s" s="35">
        <v>1633</v>
      </c>
      <c r="AK1008" s="39"/>
      <c r="AL1008" s="39"/>
      <c r="AM1008" s="39"/>
      <c r="AN1008" s="39"/>
      <c r="AO1008" s="39"/>
      <c r="AP1008" s="39"/>
      <c r="AQ1008" s="39"/>
      <c r="AR1008" s="39"/>
      <c r="AS1008" s="39"/>
      <c r="AT1008" s="39"/>
      <c r="AU1008" s="39"/>
      <c r="AV1008" s="39"/>
      <c r="AW1008" t="str" s="39" cm="1">
        <f t="array" ref="AW1008">AF1008&amp;"; "&amp;AG1008&amp;"; "&amp;AH1008&amp;"; "&amp;AI1008&amp;"; "&amp;AJ1008</f>
        <v>E6; D1; E1; I1; I5</v>
      </c>
    </row>
    <row r="1009" ht="13.65" customHeight="1">
      <c r="A1009" t="s" s="35">
        <v>6642</v>
      </c>
      <c r="B1009" s="36">
        <v>11</v>
      </c>
      <c r="C1009" t="s" s="35">
        <v>220</v>
      </c>
      <c r="D1009" t="s" s="35">
        <v>6180</v>
      </c>
      <c r="E1009" t="s" s="35">
        <v>6631</v>
      </c>
      <c r="F1009" s="36">
        <v>6</v>
      </c>
      <c r="G1009" t="s" s="35">
        <v>6632</v>
      </c>
      <c r="H1009" t="s" s="35">
        <v>6643</v>
      </c>
      <c r="I1009" t="s" s="120">
        <v>6644</v>
      </c>
      <c r="J1009" t="s" s="35">
        <v>6185</v>
      </c>
      <c r="K1009" t="s" s="35">
        <v>1058</v>
      </c>
      <c r="L1009" s="39"/>
      <c r="M1009" t="str" s="39">
        <v>Sin marco</v>
      </c>
      <c r="N1009" t="str" s="39">
        <v>Sin marco</v>
      </c>
      <c r="O1009" t="str" s="39" cm="1">
        <f t="array" ref="O1009">IF(L1009="","",_xlfn.IFERROR(INDEX('Datos - Catálogo TIMSS'!$C$5:$C$107,MATCH(L1009,'Datos - Catálogo TIMSS'!$A$5:$A$107,0)),"?"))</f>
      </c>
      <c r="P1009" t="s" s="35">
        <v>1058</v>
      </c>
      <c r="Q1009" t="s" s="120">
        <v>6186</v>
      </c>
      <c r="R1009" t="s" s="120">
        <v>6645</v>
      </c>
      <c r="S1009" s="121" cm="1">
        <f t="array" ref="S1009">_xlfn.IFERROR(ISNUMBER(SEARCH("Conocer",$R1009))/(ISNUMBER(SEARCH("Conocer",$R1009))+ISNUMBER(SEARCH("Aplicar",$R1009))+ISNUMBER(SEARCH("Razonar",$R1009))),0)</f>
        <v>0.5</v>
      </c>
      <c r="T1009" s="121" cm="1">
        <f t="array" ref="T1009">_xlfn.IFERROR(ISNUMBER(SEARCH("Aplicar",$R1009))/(ISNUMBER(SEARCH("Conocer",$R1009))+ISNUMBER(SEARCH("Aplicar",$R1009))+ISNUMBER(SEARCH("Razonar",$R1009))),0)</f>
        <v>0.5</v>
      </c>
      <c r="U1009" s="121" cm="1">
        <f t="array" ref="U1009">_xlfn.IFERROR(ISNUMBER(SEARCH("Razonar",$R1009))/(ISNUMBER(SEARCH("Conocer",$R1009))+ISNUMBER(SEARCH("Aplicar",$R1009))+ISNUMBER(SEARCH("Razonar",$R1009))),0)</f>
        <v>0</v>
      </c>
      <c r="V1009" t="s" s="35">
        <v>1407</v>
      </c>
      <c r="W1009" t="s" s="35">
        <v>6188</v>
      </c>
      <c r="X1009" s="36" cm="1">
        <f t="array" ref="X1009">IF(OR(_xlfn.IFERROR(INDEX('Datos - Catálogo TIMSS'!$I$5:$I$107,MATCH(K1009,'Datos - Catálogo TIMSS'!$A$5:$A$107,0)),"No")="Sí",_xlfn.IFERROR(INDEX('Datos - Catálogo TIMSS'!$I$5:$I$107,MATCH(L1009,'Datos - Catálogo TIMSS'!$A$5:$A$107,0)),"No")="Sí"),1,0)</f>
        <v>0</v>
      </c>
      <c r="Y1009" s="36" cm="1">
        <f t="array" ref="Y1009">IF(_xlfn.IFERROR(INDEX('Datos - Catálogo TIMSS'!$J$5:$J$107,MATCH(K1009,'Datos - Catálogo TIMSS'!$A$5:$A$107,0)),"No")="Sí",1,0)</f>
        <v>0</v>
      </c>
      <c r="Z1009" s="36" cm="1">
        <f t="array" ref="Z1009">IF(_xlfn.IFERROR(INDEX('Datos - Catálogo TIMSS'!$J$5:$J$107,MATCH(L1009,'Datos - Catálogo TIMSS'!$A$5:$A$107,0)),"No")="Sí",1,0)</f>
        <v>0</v>
      </c>
      <c r="AA1009" t="s" s="35">
        <v>1058</v>
      </c>
      <c r="AB1009" s="39"/>
      <c r="AC1009" t="str" s="39">
        <v>Sin marco</v>
      </c>
      <c r="AD1009" t="s" s="35">
        <v>1859</v>
      </c>
      <c r="AE1009" t="str" s="39" cm="1">
        <f t="array" ref="AE1009">IF(AD1009="","",IF(LEFT(AD1009,1)="1","C1",IF(LEFT(AD1009,1)="2","C2",IF(LEFT(AD1009,1)="3","C3",""))))</f>
        <v>C1</v>
      </c>
      <c r="AF1009" t="s" s="35">
        <v>1602</v>
      </c>
      <c r="AG1009" t="s" s="35">
        <v>1607</v>
      </c>
      <c r="AH1009" t="s" s="35">
        <v>1605</v>
      </c>
      <c r="AI1009" t="s" s="35">
        <v>1623</v>
      </c>
      <c r="AJ1009" t="s" s="35">
        <v>1615</v>
      </c>
      <c r="AK1009" s="39"/>
      <c r="AL1009" s="39"/>
      <c r="AM1009" s="39"/>
      <c r="AN1009" s="39"/>
      <c r="AO1009" s="39"/>
      <c r="AP1009" s="39"/>
      <c r="AQ1009" s="39"/>
      <c r="AR1009" s="39"/>
      <c r="AS1009" s="39"/>
      <c r="AT1009" s="39"/>
      <c r="AU1009" s="39"/>
      <c r="AV1009" s="39"/>
      <c r="AW1009" t="str" s="39" cm="1">
        <f t="array" ref="AW1009">AF1009&amp;"; "&amp;AG1009&amp;"; "&amp;AH1009&amp;"; "&amp;AI1009&amp;"; "&amp;AJ1009</f>
        <v>E1; E3; E2; D4; E6</v>
      </c>
    </row>
    <row r="1010" ht="13.65" customHeight="1">
      <c r="A1010" t="s" s="35">
        <v>6646</v>
      </c>
      <c r="B1010" s="36">
        <v>11</v>
      </c>
      <c r="C1010" t="s" s="35">
        <v>220</v>
      </c>
      <c r="D1010" t="s" s="35">
        <v>6180</v>
      </c>
      <c r="E1010" t="s" s="35">
        <v>6631</v>
      </c>
      <c r="F1010" s="36">
        <v>7</v>
      </c>
      <c r="G1010" t="s" s="35">
        <v>6632</v>
      </c>
      <c r="H1010" t="s" s="35">
        <v>6643</v>
      </c>
      <c r="I1010" t="s" s="120">
        <v>6647</v>
      </c>
      <c r="J1010" t="s" s="35">
        <v>6185</v>
      </c>
      <c r="K1010" t="s" s="35">
        <v>1058</v>
      </c>
      <c r="L1010" s="39"/>
      <c r="M1010" t="str" s="39">
        <v>Sin marco</v>
      </c>
      <c r="N1010" t="str" s="39">
        <v>Sin marco</v>
      </c>
      <c r="O1010" t="str" s="39" cm="1">
        <f t="array" ref="O1010">IF(L1010="","",_xlfn.IFERROR(INDEX('Datos - Catálogo TIMSS'!$C$5:$C$107,MATCH(L1010,'Datos - Catálogo TIMSS'!$A$5:$A$107,0)),"?"))</f>
      </c>
      <c r="P1010" t="s" s="35">
        <v>1058</v>
      </c>
      <c r="Q1010" t="s" s="120">
        <v>6186</v>
      </c>
      <c r="R1010" t="s" s="120">
        <v>6648</v>
      </c>
      <c r="S1010" s="121" cm="1">
        <f t="array" ref="S1010">_xlfn.IFERROR(ISNUMBER(SEARCH("Conocer",$R1010))/(ISNUMBER(SEARCH("Conocer",$R1010))+ISNUMBER(SEARCH("Aplicar",$R1010))+ISNUMBER(SEARCH("Razonar",$R1010))),0)</f>
        <v>0</v>
      </c>
      <c r="T1010" s="121" cm="1">
        <f t="array" ref="T1010">_xlfn.IFERROR(ISNUMBER(SEARCH("Aplicar",$R1010))/(ISNUMBER(SEARCH("Conocer",$R1010))+ISNUMBER(SEARCH("Aplicar",$R1010))+ISNUMBER(SEARCH("Razonar",$R1010))),0)</f>
        <v>0.5</v>
      </c>
      <c r="U1010" s="121" cm="1">
        <f t="array" ref="U1010">_xlfn.IFERROR(ISNUMBER(SEARCH("Razonar",$R1010))/(ISNUMBER(SEARCH("Conocer",$R1010))+ISNUMBER(SEARCH("Aplicar",$R1010))+ISNUMBER(SEARCH("Razonar",$R1010))),0)</f>
        <v>0.5</v>
      </c>
      <c r="V1010" t="s" s="35">
        <v>1407</v>
      </c>
      <c r="W1010" t="s" s="35">
        <v>6188</v>
      </c>
      <c r="X1010" s="36" cm="1">
        <f t="array" ref="X1010">IF(OR(_xlfn.IFERROR(INDEX('Datos - Catálogo TIMSS'!$I$5:$I$107,MATCH(K1010,'Datos - Catálogo TIMSS'!$A$5:$A$107,0)),"No")="Sí",_xlfn.IFERROR(INDEX('Datos - Catálogo TIMSS'!$I$5:$I$107,MATCH(L1010,'Datos - Catálogo TIMSS'!$A$5:$A$107,0)),"No")="Sí"),1,0)</f>
        <v>0</v>
      </c>
      <c r="Y1010" s="36" cm="1">
        <f t="array" ref="Y1010">IF(_xlfn.IFERROR(INDEX('Datos - Catálogo TIMSS'!$J$5:$J$107,MATCH(K1010,'Datos - Catálogo TIMSS'!$A$5:$A$107,0)),"No")="Sí",1,0)</f>
        <v>0</v>
      </c>
      <c r="Z1010" s="36" cm="1">
        <f t="array" ref="Z1010">IF(_xlfn.IFERROR(INDEX('Datos - Catálogo TIMSS'!$J$5:$J$107,MATCH(L1010,'Datos - Catálogo TIMSS'!$A$5:$A$107,0)),"No")="Sí",1,0)</f>
        <v>0</v>
      </c>
      <c r="AA1010" t="s" s="35">
        <v>1058</v>
      </c>
      <c r="AB1010" s="39"/>
      <c r="AC1010" t="str" s="39">
        <v>Sin marco</v>
      </c>
      <c r="AD1010" t="s" s="35">
        <v>1834</v>
      </c>
      <c r="AE1010" t="str" s="39" cm="1">
        <f t="array" ref="AE1010">IF(AD1010="","",IF(LEFT(AD1010,1)="1","C1",IF(LEFT(AD1010,1)="2","C2",IF(LEFT(AD1010,1)="3","C3",""))))</f>
        <v>C2</v>
      </c>
      <c r="AF1010" t="s" s="35">
        <v>1602</v>
      </c>
      <c r="AG1010" t="s" s="35">
        <v>1617</v>
      </c>
      <c r="AH1010" t="s" s="35">
        <v>1605</v>
      </c>
      <c r="AI1010" t="s" s="35">
        <v>1623</v>
      </c>
      <c r="AJ1010" t="s" s="35">
        <v>1621</v>
      </c>
      <c r="AK1010" s="39"/>
      <c r="AL1010" s="39"/>
      <c r="AM1010" s="39"/>
      <c r="AN1010" s="39"/>
      <c r="AO1010" s="39"/>
      <c r="AP1010" s="39"/>
      <c r="AQ1010" s="39"/>
      <c r="AR1010" s="39"/>
      <c r="AS1010" s="39"/>
      <c r="AT1010" s="39"/>
      <c r="AU1010" s="39"/>
      <c r="AV1010" s="39"/>
      <c r="AW1010" t="str" s="39" cm="1">
        <f t="array" ref="AW1010">AF1010&amp;"; "&amp;AG1010&amp;"; "&amp;AH1010&amp;"; "&amp;AI1010&amp;"; "&amp;AJ1010</f>
        <v>E1; D1; E2; D4; D3</v>
      </c>
    </row>
    <row r="1011" ht="13.65" customHeight="1">
      <c r="A1011" t="s" s="35">
        <v>6649</v>
      </c>
      <c r="B1011" s="36">
        <v>11</v>
      </c>
      <c r="C1011" t="s" s="35">
        <v>220</v>
      </c>
      <c r="D1011" t="s" s="35">
        <v>6180</v>
      </c>
      <c r="E1011" t="s" s="35">
        <v>6631</v>
      </c>
      <c r="F1011" s="36">
        <v>8</v>
      </c>
      <c r="G1011" t="s" s="35">
        <v>6632</v>
      </c>
      <c r="H1011" t="s" s="35">
        <v>6643</v>
      </c>
      <c r="I1011" t="s" s="120">
        <v>6650</v>
      </c>
      <c r="J1011" t="s" s="35">
        <v>6185</v>
      </c>
      <c r="K1011" t="s" s="35">
        <v>1058</v>
      </c>
      <c r="L1011" s="39"/>
      <c r="M1011" t="str" s="39">
        <v>Sin marco</v>
      </c>
      <c r="N1011" t="str" s="39">
        <v>Sin marco</v>
      </c>
      <c r="O1011" t="str" s="39" cm="1">
        <f t="array" ref="O1011">IF(L1011="","",_xlfn.IFERROR(INDEX('Datos - Catálogo TIMSS'!$C$5:$C$107,MATCH(L1011,'Datos - Catálogo TIMSS'!$A$5:$A$107,0)),"?"))</f>
      </c>
      <c r="P1011" t="s" s="35">
        <v>1058</v>
      </c>
      <c r="Q1011" t="s" s="120">
        <v>6186</v>
      </c>
      <c r="R1011" t="s" s="120">
        <v>6651</v>
      </c>
      <c r="S1011" s="121" cm="1">
        <f t="array" ref="S1011">_xlfn.IFERROR(ISNUMBER(SEARCH("Conocer",$R1011))/(ISNUMBER(SEARCH("Conocer",$R1011))+ISNUMBER(SEARCH("Aplicar",$R1011))+ISNUMBER(SEARCH("Razonar",$R1011))),0)</f>
        <v>0.5</v>
      </c>
      <c r="T1011" s="121" cm="1">
        <f t="array" ref="T1011">_xlfn.IFERROR(ISNUMBER(SEARCH("Aplicar",$R1011))/(ISNUMBER(SEARCH("Conocer",$R1011))+ISNUMBER(SEARCH("Aplicar",$R1011))+ISNUMBER(SEARCH("Razonar",$R1011))),0)</f>
        <v>0</v>
      </c>
      <c r="U1011" s="121" cm="1">
        <f t="array" ref="U1011">_xlfn.IFERROR(ISNUMBER(SEARCH("Razonar",$R1011))/(ISNUMBER(SEARCH("Conocer",$R1011))+ISNUMBER(SEARCH("Aplicar",$R1011))+ISNUMBER(SEARCH("Razonar",$R1011))),0)</f>
        <v>0.5</v>
      </c>
      <c r="V1011" t="s" s="35">
        <v>1407</v>
      </c>
      <c r="W1011" t="s" s="35">
        <v>6188</v>
      </c>
      <c r="X1011" s="36" cm="1">
        <f t="array" ref="X1011">IF(OR(_xlfn.IFERROR(INDEX('Datos - Catálogo TIMSS'!$I$5:$I$107,MATCH(K1011,'Datos - Catálogo TIMSS'!$A$5:$A$107,0)),"No")="Sí",_xlfn.IFERROR(INDEX('Datos - Catálogo TIMSS'!$I$5:$I$107,MATCH(L1011,'Datos - Catálogo TIMSS'!$A$5:$A$107,0)),"No")="Sí"),1,0)</f>
        <v>0</v>
      </c>
      <c r="Y1011" s="36" cm="1">
        <f t="array" ref="Y1011">IF(_xlfn.IFERROR(INDEX('Datos - Catálogo TIMSS'!$J$5:$J$107,MATCH(K1011,'Datos - Catálogo TIMSS'!$A$5:$A$107,0)),"No")="Sí",1,0)</f>
        <v>0</v>
      </c>
      <c r="Z1011" s="36" cm="1">
        <f t="array" ref="Z1011">IF(_xlfn.IFERROR(INDEX('Datos - Catálogo TIMSS'!$J$5:$J$107,MATCH(L1011,'Datos - Catálogo TIMSS'!$A$5:$A$107,0)),"No")="Sí",1,0)</f>
        <v>0</v>
      </c>
      <c r="AA1011" t="s" s="35">
        <v>1058</v>
      </c>
      <c r="AB1011" s="39"/>
      <c r="AC1011" t="str" s="39">
        <v>Sin marco</v>
      </c>
      <c r="AD1011" t="s" s="35">
        <v>1900</v>
      </c>
      <c r="AE1011" t="str" s="39" cm="1">
        <f t="array" ref="AE1011">IF(AD1011="","",IF(LEFT(AD1011,1)="1","C1",IF(LEFT(AD1011,1)="2","C2",IF(LEFT(AD1011,1)="3","C3",""))))</f>
        <v>C3</v>
      </c>
      <c r="AF1011" t="s" s="35">
        <v>1615</v>
      </c>
      <c r="AG1011" t="s" s="35">
        <v>1612</v>
      </c>
      <c r="AH1011" t="s" s="35">
        <v>1602</v>
      </c>
      <c r="AI1011" t="s" s="35">
        <v>1625</v>
      </c>
      <c r="AJ1011" t="s" s="35">
        <v>1633</v>
      </c>
      <c r="AK1011" s="39"/>
      <c r="AL1011" s="39"/>
      <c r="AM1011" s="39"/>
      <c r="AN1011" s="39"/>
      <c r="AO1011" s="39"/>
      <c r="AP1011" s="39"/>
      <c r="AQ1011" s="39"/>
      <c r="AR1011" s="39"/>
      <c r="AS1011" s="39"/>
      <c r="AT1011" s="39"/>
      <c r="AU1011" s="39"/>
      <c r="AV1011" s="39"/>
      <c r="AW1011" t="str" s="39" cm="1">
        <f t="array" ref="AW1011">AF1011&amp;"; "&amp;AG1011&amp;"; "&amp;AH1011&amp;"; "&amp;AI1011&amp;"; "&amp;AJ1011</f>
        <v>E6; E5; E1; I1; I5</v>
      </c>
    </row>
    <row r="1012" ht="13.65" customHeight="1">
      <c r="A1012" t="s" s="35">
        <v>6652</v>
      </c>
      <c r="B1012" s="36">
        <v>11</v>
      </c>
      <c r="C1012" t="s" s="35">
        <v>220</v>
      </c>
      <c r="D1012" t="s" s="35">
        <v>6180</v>
      </c>
      <c r="E1012" t="s" s="35">
        <v>6631</v>
      </c>
      <c r="F1012" s="36">
        <v>9</v>
      </c>
      <c r="G1012" t="s" s="35">
        <v>6632</v>
      </c>
      <c r="H1012" t="s" s="35">
        <v>6653</v>
      </c>
      <c r="I1012" t="s" s="120">
        <v>6654</v>
      </c>
      <c r="J1012" t="s" s="35">
        <v>6185</v>
      </c>
      <c r="K1012" t="s" s="35">
        <v>1058</v>
      </c>
      <c r="L1012" s="39"/>
      <c r="M1012" t="str" s="39">
        <v>Sin marco</v>
      </c>
      <c r="N1012" t="str" s="39">
        <v>Sin marco</v>
      </c>
      <c r="O1012" t="str" s="39" cm="1">
        <f t="array" ref="O1012">IF(L1012="","",_xlfn.IFERROR(INDEX('Datos - Catálogo TIMSS'!$C$5:$C$107,MATCH(L1012,'Datos - Catálogo TIMSS'!$A$5:$A$107,0)),"?"))</f>
      </c>
      <c r="P1012" t="s" s="35">
        <v>1058</v>
      </c>
      <c r="Q1012" t="s" s="120">
        <v>6186</v>
      </c>
      <c r="R1012" t="s" s="120">
        <v>6655</v>
      </c>
      <c r="S1012" s="121" cm="1">
        <f t="array" ref="S1012">_xlfn.IFERROR(ISNUMBER(SEARCH("Conocer",$R1012))/(ISNUMBER(SEARCH("Conocer",$R1012))+ISNUMBER(SEARCH("Aplicar",$R1012))+ISNUMBER(SEARCH("Razonar",$R1012))),0)</f>
        <v>0</v>
      </c>
      <c r="T1012" s="121" cm="1">
        <f t="array" ref="T1012">_xlfn.IFERROR(ISNUMBER(SEARCH("Aplicar",$R1012))/(ISNUMBER(SEARCH("Conocer",$R1012))+ISNUMBER(SEARCH("Aplicar",$R1012))+ISNUMBER(SEARCH("Razonar",$R1012))),0)</f>
        <v>0.5</v>
      </c>
      <c r="U1012" s="121" cm="1">
        <f t="array" ref="U1012">_xlfn.IFERROR(ISNUMBER(SEARCH("Razonar",$R1012))/(ISNUMBER(SEARCH("Conocer",$R1012))+ISNUMBER(SEARCH("Aplicar",$R1012))+ISNUMBER(SEARCH("Razonar",$R1012))),0)</f>
        <v>0.5</v>
      </c>
      <c r="V1012" t="s" s="35">
        <v>1407</v>
      </c>
      <c r="W1012" t="s" s="35">
        <v>6188</v>
      </c>
      <c r="X1012" s="36" cm="1">
        <f t="array" ref="X1012">IF(OR(_xlfn.IFERROR(INDEX('Datos - Catálogo TIMSS'!$I$5:$I$107,MATCH(K1012,'Datos - Catálogo TIMSS'!$A$5:$A$107,0)),"No")="Sí",_xlfn.IFERROR(INDEX('Datos - Catálogo TIMSS'!$I$5:$I$107,MATCH(L1012,'Datos - Catálogo TIMSS'!$A$5:$A$107,0)),"No")="Sí"),1,0)</f>
        <v>0</v>
      </c>
      <c r="Y1012" s="36" cm="1">
        <f t="array" ref="Y1012">IF(_xlfn.IFERROR(INDEX('Datos - Catálogo TIMSS'!$J$5:$J$107,MATCH(K1012,'Datos - Catálogo TIMSS'!$A$5:$A$107,0)),"No")="Sí",1,0)</f>
        <v>0</v>
      </c>
      <c r="Z1012" s="36" cm="1">
        <f t="array" ref="Z1012">IF(_xlfn.IFERROR(INDEX('Datos - Catálogo TIMSS'!$J$5:$J$107,MATCH(L1012,'Datos - Catálogo TIMSS'!$A$5:$A$107,0)),"No")="Sí",1,0)</f>
        <v>0</v>
      </c>
      <c r="AA1012" t="s" s="35">
        <v>1058</v>
      </c>
      <c r="AB1012" s="39"/>
      <c r="AC1012" t="str" s="39">
        <v>Sin marco</v>
      </c>
      <c r="AD1012" t="s" s="35">
        <v>1834</v>
      </c>
      <c r="AE1012" t="str" s="39" cm="1">
        <f t="array" ref="AE1012">IF(AD1012="","",IF(LEFT(AD1012,1)="1","C1",IF(LEFT(AD1012,1)="2","C2",IF(LEFT(AD1012,1)="3","C3",""))))</f>
        <v>C2</v>
      </c>
      <c r="AF1012" t="s" s="35">
        <v>1602</v>
      </c>
      <c r="AG1012" t="s" s="35">
        <v>1607</v>
      </c>
      <c r="AH1012" t="s" s="35">
        <v>1602</v>
      </c>
      <c r="AI1012" t="s" s="35">
        <v>1623</v>
      </c>
      <c r="AJ1012" t="s" s="35">
        <v>1633</v>
      </c>
      <c r="AK1012" s="39"/>
      <c r="AL1012" s="39"/>
      <c r="AM1012" s="39"/>
      <c r="AN1012" s="39"/>
      <c r="AO1012" s="39"/>
      <c r="AP1012" s="39"/>
      <c r="AQ1012" s="39"/>
      <c r="AR1012" s="39"/>
      <c r="AS1012" s="39"/>
      <c r="AT1012" s="39"/>
      <c r="AU1012" s="39"/>
      <c r="AV1012" s="39"/>
      <c r="AW1012" t="str" s="39" cm="1">
        <f t="array" ref="AW1012">AF1012&amp;"; "&amp;AG1012&amp;"; "&amp;AH1012&amp;"; "&amp;AI1012&amp;"; "&amp;AJ1012</f>
        <v>E1; E3; E1; D4; I5</v>
      </c>
    </row>
    <row r="1013" ht="13.65" customHeight="1">
      <c r="A1013" t="s" s="35">
        <v>6656</v>
      </c>
      <c r="B1013" s="36">
        <v>11</v>
      </c>
      <c r="C1013" t="s" s="35">
        <v>220</v>
      </c>
      <c r="D1013" t="s" s="35">
        <v>6180</v>
      </c>
      <c r="E1013" t="s" s="35">
        <v>6631</v>
      </c>
      <c r="F1013" s="36">
        <v>10</v>
      </c>
      <c r="G1013" t="s" s="35">
        <v>6632</v>
      </c>
      <c r="H1013" t="s" s="35">
        <v>6657</v>
      </c>
      <c r="I1013" t="s" s="120">
        <v>6658</v>
      </c>
      <c r="J1013" t="s" s="35">
        <v>6185</v>
      </c>
      <c r="K1013" t="s" s="35">
        <v>1058</v>
      </c>
      <c r="L1013" s="39"/>
      <c r="M1013" t="str" s="39">
        <v>Sin marco</v>
      </c>
      <c r="N1013" t="str" s="39">
        <v>Sin marco</v>
      </c>
      <c r="O1013" t="str" s="39" cm="1">
        <f t="array" ref="O1013">IF(L1013="","",_xlfn.IFERROR(INDEX('Datos - Catálogo TIMSS'!$C$5:$C$107,MATCH(L1013,'Datos - Catálogo TIMSS'!$A$5:$A$107,0)),"?"))</f>
      </c>
      <c r="P1013" t="s" s="35">
        <v>1058</v>
      </c>
      <c r="Q1013" t="s" s="120">
        <v>6186</v>
      </c>
      <c r="R1013" t="s" s="120">
        <v>6659</v>
      </c>
      <c r="S1013" s="121" cm="1">
        <f t="array" ref="S1013">_xlfn.IFERROR(ISNUMBER(SEARCH("Conocer",$R1013))/(ISNUMBER(SEARCH("Conocer",$R1013))+ISNUMBER(SEARCH("Aplicar",$R1013))+ISNUMBER(SEARCH("Razonar",$R1013))),0)</f>
        <v>0</v>
      </c>
      <c r="T1013" s="121" cm="1">
        <f t="array" ref="T1013">_xlfn.IFERROR(ISNUMBER(SEARCH("Aplicar",$R1013))/(ISNUMBER(SEARCH("Conocer",$R1013))+ISNUMBER(SEARCH("Aplicar",$R1013))+ISNUMBER(SEARCH("Razonar",$R1013))),0)</f>
        <v>0.5</v>
      </c>
      <c r="U1013" s="121" cm="1">
        <f t="array" ref="U1013">_xlfn.IFERROR(ISNUMBER(SEARCH("Razonar",$R1013))/(ISNUMBER(SEARCH("Conocer",$R1013))+ISNUMBER(SEARCH("Aplicar",$R1013))+ISNUMBER(SEARCH("Razonar",$R1013))),0)</f>
        <v>0.5</v>
      </c>
      <c r="V1013" t="s" s="35">
        <v>1407</v>
      </c>
      <c r="W1013" t="s" s="35">
        <v>6188</v>
      </c>
      <c r="X1013" s="36" cm="1">
        <f t="array" ref="X1013">IF(OR(_xlfn.IFERROR(INDEX('Datos - Catálogo TIMSS'!$I$5:$I$107,MATCH(K1013,'Datos - Catálogo TIMSS'!$A$5:$A$107,0)),"No")="Sí",_xlfn.IFERROR(INDEX('Datos - Catálogo TIMSS'!$I$5:$I$107,MATCH(L1013,'Datos - Catálogo TIMSS'!$A$5:$A$107,0)),"No")="Sí"),1,0)</f>
        <v>0</v>
      </c>
      <c r="Y1013" s="36" cm="1">
        <f t="array" ref="Y1013">IF(_xlfn.IFERROR(INDEX('Datos - Catálogo TIMSS'!$J$5:$J$107,MATCH(K1013,'Datos - Catálogo TIMSS'!$A$5:$A$107,0)),"No")="Sí",1,0)</f>
        <v>0</v>
      </c>
      <c r="Z1013" s="36" cm="1">
        <f t="array" ref="Z1013">IF(_xlfn.IFERROR(INDEX('Datos - Catálogo TIMSS'!$J$5:$J$107,MATCH(L1013,'Datos - Catálogo TIMSS'!$A$5:$A$107,0)),"No")="Sí",1,0)</f>
        <v>0</v>
      </c>
      <c r="AA1013" t="s" s="35">
        <v>1058</v>
      </c>
      <c r="AB1013" s="39"/>
      <c r="AC1013" t="str" s="39">
        <v>Sin marco</v>
      </c>
      <c r="AD1013" t="s" s="35">
        <v>1859</v>
      </c>
      <c r="AE1013" t="str" s="39" cm="1">
        <f t="array" ref="AE1013">IF(AD1013="","",IF(LEFT(AD1013,1)="1","C1",IF(LEFT(AD1013,1)="2","C2",IF(LEFT(AD1013,1)="3","C3",""))))</f>
        <v>C1</v>
      </c>
      <c r="AF1013" t="s" s="35">
        <v>1602</v>
      </c>
      <c r="AG1013" t="s" s="35">
        <v>1607</v>
      </c>
      <c r="AH1013" t="s" s="35">
        <v>1605</v>
      </c>
      <c r="AI1013" t="s" s="35">
        <v>1609</v>
      </c>
      <c r="AJ1013" t="s" s="35">
        <v>1607</v>
      </c>
      <c r="AK1013" s="39"/>
      <c r="AL1013" s="39"/>
      <c r="AM1013" s="39"/>
      <c r="AN1013" s="39"/>
      <c r="AO1013" s="39"/>
      <c r="AP1013" s="39"/>
      <c r="AQ1013" s="39"/>
      <c r="AR1013" s="39"/>
      <c r="AS1013" s="39"/>
      <c r="AT1013" s="39"/>
      <c r="AU1013" s="39"/>
      <c r="AV1013" s="39"/>
      <c r="AW1013" t="str" s="39" cm="1">
        <f t="array" ref="AW1013">AF1013&amp;"; "&amp;AG1013&amp;"; "&amp;AH1013&amp;"; "&amp;AI1013&amp;"; "&amp;AJ1013</f>
        <v>E1; E3; E2; E4; E3</v>
      </c>
    </row>
    <row r="1014" ht="13.65" customHeight="1">
      <c r="A1014" t="s" s="35">
        <v>6660</v>
      </c>
      <c r="B1014" s="36">
        <v>11</v>
      </c>
      <c r="C1014" t="s" s="35">
        <v>220</v>
      </c>
      <c r="D1014" t="s" s="35">
        <v>6180</v>
      </c>
      <c r="E1014" t="s" s="35">
        <v>6631</v>
      </c>
      <c r="F1014" s="36">
        <v>11</v>
      </c>
      <c r="G1014" t="s" s="35">
        <v>6632</v>
      </c>
      <c r="H1014" t="s" s="35">
        <v>6657</v>
      </c>
      <c r="I1014" t="s" s="120">
        <v>6661</v>
      </c>
      <c r="J1014" t="s" s="35">
        <v>6185</v>
      </c>
      <c r="K1014" t="s" s="35">
        <v>1058</v>
      </c>
      <c r="L1014" s="39"/>
      <c r="M1014" t="str" s="39">
        <v>Sin marco</v>
      </c>
      <c r="N1014" t="str" s="39">
        <v>Sin marco</v>
      </c>
      <c r="O1014" t="str" s="39" cm="1">
        <f t="array" ref="O1014">IF(L1014="","",_xlfn.IFERROR(INDEX('Datos - Catálogo TIMSS'!$C$5:$C$107,MATCH(L1014,'Datos - Catálogo TIMSS'!$A$5:$A$107,0)),"?"))</f>
      </c>
      <c r="P1014" t="s" s="35">
        <v>1058</v>
      </c>
      <c r="Q1014" t="s" s="120">
        <v>6186</v>
      </c>
      <c r="R1014" t="s" s="120">
        <v>6662</v>
      </c>
      <c r="S1014" s="121" cm="1">
        <f t="array" ref="S1014">_xlfn.IFERROR(ISNUMBER(SEARCH("Conocer",$R1014))/(ISNUMBER(SEARCH("Conocer",$R1014))+ISNUMBER(SEARCH("Aplicar",$R1014))+ISNUMBER(SEARCH("Razonar",$R1014))),0)</f>
        <v>0.5</v>
      </c>
      <c r="T1014" s="121" cm="1">
        <f t="array" ref="T1014">_xlfn.IFERROR(ISNUMBER(SEARCH("Aplicar",$R1014))/(ISNUMBER(SEARCH("Conocer",$R1014))+ISNUMBER(SEARCH("Aplicar",$R1014))+ISNUMBER(SEARCH("Razonar",$R1014))),0)</f>
        <v>0</v>
      </c>
      <c r="U1014" s="121" cm="1">
        <f t="array" ref="U1014">_xlfn.IFERROR(ISNUMBER(SEARCH("Razonar",$R1014))/(ISNUMBER(SEARCH("Conocer",$R1014))+ISNUMBER(SEARCH("Aplicar",$R1014))+ISNUMBER(SEARCH("Razonar",$R1014))),0)</f>
        <v>0.5</v>
      </c>
      <c r="V1014" t="s" s="35">
        <v>1407</v>
      </c>
      <c r="W1014" t="s" s="35">
        <v>6188</v>
      </c>
      <c r="X1014" s="36" cm="1">
        <f t="array" ref="X1014">IF(OR(_xlfn.IFERROR(INDEX('Datos - Catálogo TIMSS'!$I$5:$I$107,MATCH(K1014,'Datos - Catálogo TIMSS'!$A$5:$A$107,0)),"No")="Sí",_xlfn.IFERROR(INDEX('Datos - Catálogo TIMSS'!$I$5:$I$107,MATCH(L1014,'Datos - Catálogo TIMSS'!$A$5:$A$107,0)),"No")="Sí"),1,0)</f>
        <v>0</v>
      </c>
      <c r="Y1014" s="36" cm="1">
        <f t="array" ref="Y1014">IF(_xlfn.IFERROR(INDEX('Datos - Catálogo TIMSS'!$J$5:$J$107,MATCH(K1014,'Datos - Catálogo TIMSS'!$A$5:$A$107,0)),"No")="Sí",1,0)</f>
        <v>0</v>
      </c>
      <c r="Z1014" s="36" cm="1">
        <f t="array" ref="Z1014">IF(_xlfn.IFERROR(INDEX('Datos - Catálogo TIMSS'!$J$5:$J$107,MATCH(L1014,'Datos - Catálogo TIMSS'!$A$5:$A$107,0)),"No")="Sí",1,0)</f>
        <v>0</v>
      </c>
      <c r="AA1014" t="s" s="35">
        <v>1058</v>
      </c>
      <c r="AB1014" s="39"/>
      <c r="AC1014" t="str" s="39">
        <v>Sin marco</v>
      </c>
      <c r="AD1014" t="s" s="35">
        <v>1900</v>
      </c>
      <c r="AE1014" t="str" s="39" cm="1">
        <f t="array" ref="AE1014">IF(AD1014="","",IF(LEFT(AD1014,1)="1","C1",IF(LEFT(AD1014,1)="2","C2",IF(LEFT(AD1014,1)="3","C3",""))))</f>
        <v>C3</v>
      </c>
      <c r="AF1014" t="s" s="35">
        <v>1615</v>
      </c>
      <c r="AG1014" t="s" s="35">
        <v>1617</v>
      </c>
      <c r="AH1014" t="s" s="35">
        <v>1602</v>
      </c>
      <c r="AI1014" t="s" s="35">
        <v>1627</v>
      </c>
      <c r="AJ1014" t="s" s="35">
        <v>1633</v>
      </c>
      <c r="AK1014" s="39"/>
      <c r="AL1014" s="39"/>
      <c r="AM1014" s="39"/>
      <c r="AN1014" s="39"/>
      <c r="AO1014" s="39"/>
      <c r="AP1014" s="39"/>
      <c r="AQ1014" s="39"/>
      <c r="AR1014" s="39"/>
      <c r="AS1014" s="39"/>
      <c r="AT1014" s="39"/>
      <c r="AU1014" s="39"/>
      <c r="AV1014" s="39"/>
      <c r="AW1014" t="str" s="39" cm="1">
        <f t="array" ref="AW1014">AF1014&amp;"; "&amp;AG1014&amp;"; "&amp;AH1014&amp;"; "&amp;AI1014&amp;"; "&amp;AJ1014</f>
        <v>E6; D1; E1; I2; I5</v>
      </c>
    </row>
    <row r="1015" ht="13.65" customHeight="1">
      <c r="A1015" t="s" s="35">
        <v>6663</v>
      </c>
      <c r="B1015" s="36">
        <v>11</v>
      </c>
      <c r="C1015" t="s" s="35">
        <v>220</v>
      </c>
      <c r="D1015" t="s" s="35">
        <v>6180</v>
      </c>
      <c r="E1015" t="s" s="35">
        <v>6631</v>
      </c>
      <c r="F1015" s="36">
        <v>12</v>
      </c>
      <c r="G1015" t="s" s="35">
        <v>6664</v>
      </c>
      <c r="H1015" t="s" s="35">
        <v>6665</v>
      </c>
      <c r="I1015" t="s" s="120">
        <v>6666</v>
      </c>
      <c r="J1015" t="s" s="35">
        <v>6185</v>
      </c>
      <c r="K1015" t="s" s="35">
        <v>1058</v>
      </c>
      <c r="L1015" s="39"/>
      <c r="M1015" t="str" s="39">
        <v>Sin marco</v>
      </c>
      <c r="N1015" t="str" s="39">
        <v>Sin marco</v>
      </c>
      <c r="O1015" t="str" s="39" cm="1">
        <f t="array" ref="O1015">IF(L1015="","",_xlfn.IFERROR(INDEX('Datos - Catálogo TIMSS'!$C$5:$C$107,MATCH(L1015,'Datos - Catálogo TIMSS'!$A$5:$A$107,0)),"?"))</f>
      </c>
      <c r="P1015" t="s" s="35">
        <v>1058</v>
      </c>
      <c r="Q1015" t="s" s="120">
        <v>6186</v>
      </c>
      <c r="R1015" t="s" s="120">
        <v>6667</v>
      </c>
      <c r="S1015" s="121" cm="1">
        <f t="array" ref="S1015">_xlfn.IFERROR(ISNUMBER(SEARCH("Conocer",$R1015))/(ISNUMBER(SEARCH("Conocer",$R1015))+ISNUMBER(SEARCH("Aplicar",$R1015))+ISNUMBER(SEARCH("Razonar",$R1015))),0)</f>
        <v>0.5</v>
      </c>
      <c r="T1015" s="121" cm="1">
        <f t="array" ref="T1015">_xlfn.IFERROR(ISNUMBER(SEARCH("Aplicar",$R1015))/(ISNUMBER(SEARCH("Conocer",$R1015))+ISNUMBER(SEARCH("Aplicar",$R1015))+ISNUMBER(SEARCH("Razonar",$R1015))),0)</f>
        <v>0.5</v>
      </c>
      <c r="U1015" s="121" cm="1">
        <f t="array" ref="U1015">_xlfn.IFERROR(ISNUMBER(SEARCH("Razonar",$R1015))/(ISNUMBER(SEARCH("Conocer",$R1015))+ISNUMBER(SEARCH("Aplicar",$R1015))+ISNUMBER(SEARCH("Razonar",$R1015))),0)</f>
        <v>0</v>
      </c>
      <c r="V1015" t="s" s="35">
        <v>1407</v>
      </c>
      <c r="W1015" t="s" s="35">
        <v>6188</v>
      </c>
      <c r="X1015" s="36" cm="1">
        <f t="array" ref="X1015">IF(OR(_xlfn.IFERROR(INDEX('Datos - Catálogo TIMSS'!$I$5:$I$107,MATCH(K1015,'Datos - Catálogo TIMSS'!$A$5:$A$107,0)),"No")="Sí",_xlfn.IFERROR(INDEX('Datos - Catálogo TIMSS'!$I$5:$I$107,MATCH(L1015,'Datos - Catálogo TIMSS'!$A$5:$A$107,0)),"No")="Sí"),1,0)</f>
        <v>0</v>
      </c>
      <c r="Y1015" s="36" cm="1">
        <f t="array" ref="Y1015">IF(_xlfn.IFERROR(INDEX('Datos - Catálogo TIMSS'!$J$5:$J$107,MATCH(K1015,'Datos - Catálogo TIMSS'!$A$5:$A$107,0)),"No")="Sí",1,0)</f>
        <v>0</v>
      </c>
      <c r="Z1015" s="36" cm="1">
        <f t="array" ref="Z1015">IF(_xlfn.IFERROR(INDEX('Datos - Catálogo TIMSS'!$J$5:$J$107,MATCH(L1015,'Datos - Catálogo TIMSS'!$A$5:$A$107,0)),"No")="Sí",1,0)</f>
        <v>0</v>
      </c>
      <c r="AA1015" t="s" s="35">
        <v>1058</v>
      </c>
      <c r="AB1015" s="39"/>
      <c r="AC1015" t="str" s="39">
        <v>Sin marco</v>
      </c>
      <c r="AD1015" t="s" s="35">
        <v>1859</v>
      </c>
      <c r="AE1015" t="str" s="39" cm="1">
        <f t="array" ref="AE1015">IF(AD1015="","",IF(LEFT(AD1015,1)="1","C1",IF(LEFT(AD1015,1)="2","C2",IF(LEFT(AD1015,1)="3","C3",""))))</f>
        <v>C1</v>
      </c>
      <c r="AF1015" t="s" s="35">
        <v>1602</v>
      </c>
      <c r="AG1015" t="s" s="35">
        <v>1612</v>
      </c>
      <c r="AH1015" t="s" s="35">
        <v>1602</v>
      </c>
      <c r="AI1015" t="s" s="35">
        <v>1623</v>
      </c>
      <c r="AJ1015" t="s" s="35">
        <v>1615</v>
      </c>
      <c r="AK1015" s="39"/>
      <c r="AL1015" s="39"/>
      <c r="AM1015" s="39"/>
      <c r="AN1015" s="39"/>
      <c r="AO1015" s="39"/>
      <c r="AP1015" s="39"/>
      <c r="AQ1015" s="39"/>
      <c r="AR1015" s="39"/>
      <c r="AS1015" s="39"/>
      <c r="AT1015" s="39"/>
      <c r="AU1015" s="39"/>
      <c r="AV1015" s="39"/>
      <c r="AW1015" t="str" s="39" cm="1">
        <f t="array" ref="AW1015">AF1015&amp;"; "&amp;AG1015&amp;"; "&amp;AH1015&amp;"; "&amp;AI1015&amp;"; "&amp;AJ1015</f>
        <v>E1; E5; E1; D4; E6</v>
      </c>
    </row>
    <row r="1016" ht="13.65" customHeight="1">
      <c r="A1016" t="s" s="35">
        <v>6668</v>
      </c>
      <c r="B1016" s="36">
        <v>11</v>
      </c>
      <c r="C1016" t="s" s="35">
        <v>220</v>
      </c>
      <c r="D1016" t="s" s="35">
        <v>6180</v>
      </c>
      <c r="E1016" t="s" s="35">
        <v>6631</v>
      </c>
      <c r="F1016" s="36">
        <v>13</v>
      </c>
      <c r="G1016" t="s" s="35">
        <v>6664</v>
      </c>
      <c r="H1016" t="s" s="35">
        <v>6665</v>
      </c>
      <c r="I1016" t="s" s="120">
        <v>6669</v>
      </c>
      <c r="J1016" t="s" s="35">
        <v>6185</v>
      </c>
      <c r="K1016" t="s" s="35">
        <v>1058</v>
      </c>
      <c r="L1016" s="39"/>
      <c r="M1016" t="str" s="39">
        <v>Sin marco</v>
      </c>
      <c r="N1016" t="str" s="39">
        <v>Sin marco</v>
      </c>
      <c r="O1016" t="str" s="39" cm="1">
        <f t="array" ref="O1016">IF(L1016="","",_xlfn.IFERROR(INDEX('Datos - Catálogo TIMSS'!$C$5:$C$107,MATCH(L1016,'Datos - Catálogo TIMSS'!$A$5:$A$107,0)),"?"))</f>
      </c>
      <c r="P1016" t="s" s="35">
        <v>1058</v>
      </c>
      <c r="Q1016" t="s" s="120">
        <v>6186</v>
      </c>
      <c r="R1016" t="s" s="120">
        <v>6670</v>
      </c>
      <c r="S1016" s="121" cm="1">
        <f t="array" ref="S1016">_xlfn.IFERROR(ISNUMBER(SEARCH("Conocer",$R1016))/(ISNUMBER(SEARCH("Conocer",$R1016))+ISNUMBER(SEARCH("Aplicar",$R1016))+ISNUMBER(SEARCH("Razonar",$R1016))),0)</f>
        <v>0</v>
      </c>
      <c r="T1016" s="121" cm="1">
        <f t="array" ref="T1016">_xlfn.IFERROR(ISNUMBER(SEARCH("Aplicar",$R1016))/(ISNUMBER(SEARCH("Conocer",$R1016))+ISNUMBER(SEARCH("Aplicar",$R1016))+ISNUMBER(SEARCH("Razonar",$R1016))),0)</f>
        <v>0.5</v>
      </c>
      <c r="U1016" s="121" cm="1">
        <f t="array" ref="U1016">_xlfn.IFERROR(ISNUMBER(SEARCH("Razonar",$R1016))/(ISNUMBER(SEARCH("Conocer",$R1016))+ISNUMBER(SEARCH("Aplicar",$R1016))+ISNUMBER(SEARCH("Razonar",$R1016))),0)</f>
        <v>0.5</v>
      </c>
      <c r="V1016" t="s" s="35">
        <v>1407</v>
      </c>
      <c r="W1016" t="s" s="35">
        <v>6188</v>
      </c>
      <c r="X1016" s="36" cm="1">
        <f t="array" ref="X1016">IF(OR(_xlfn.IFERROR(INDEX('Datos - Catálogo TIMSS'!$I$5:$I$107,MATCH(K1016,'Datos - Catálogo TIMSS'!$A$5:$A$107,0)),"No")="Sí",_xlfn.IFERROR(INDEX('Datos - Catálogo TIMSS'!$I$5:$I$107,MATCH(L1016,'Datos - Catálogo TIMSS'!$A$5:$A$107,0)),"No")="Sí"),1,0)</f>
        <v>0</v>
      </c>
      <c r="Y1016" s="36" cm="1">
        <f t="array" ref="Y1016">IF(_xlfn.IFERROR(INDEX('Datos - Catálogo TIMSS'!$J$5:$J$107,MATCH(K1016,'Datos - Catálogo TIMSS'!$A$5:$A$107,0)),"No")="Sí",1,0)</f>
        <v>0</v>
      </c>
      <c r="Z1016" s="36" cm="1">
        <f t="array" ref="Z1016">IF(_xlfn.IFERROR(INDEX('Datos - Catálogo TIMSS'!$J$5:$J$107,MATCH(L1016,'Datos - Catálogo TIMSS'!$A$5:$A$107,0)),"No")="Sí",1,0)</f>
        <v>0</v>
      </c>
      <c r="AA1016" t="s" s="35">
        <v>1058</v>
      </c>
      <c r="AB1016" s="39"/>
      <c r="AC1016" t="str" s="39">
        <v>Sin marco</v>
      </c>
      <c r="AD1016" t="s" s="35">
        <v>1859</v>
      </c>
      <c r="AE1016" t="str" s="39" cm="1">
        <f t="array" ref="AE1016">IF(AD1016="","",IF(LEFT(AD1016,1)="1","C1",IF(LEFT(AD1016,1)="2","C2",IF(LEFT(AD1016,1)="3","C3",""))))</f>
        <v>C1</v>
      </c>
      <c r="AF1016" t="s" s="35">
        <v>1602</v>
      </c>
      <c r="AG1016" t="s" s="35">
        <v>1607</v>
      </c>
      <c r="AH1016" t="s" s="35">
        <v>1609</v>
      </c>
      <c r="AI1016" t="s" s="35">
        <v>1609</v>
      </c>
      <c r="AJ1016" t="s" s="35">
        <v>1607</v>
      </c>
      <c r="AK1016" s="39"/>
      <c r="AL1016" s="39"/>
      <c r="AM1016" s="39"/>
      <c r="AN1016" s="39"/>
      <c r="AO1016" s="39"/>
      <c r="AP1016" s="39"/>
      <c r="AQ1016" s="39"/>
      <c r="AR1016" s="39"/>
      <c r="AS1016" s="39"/>
      <c r="AT1016" s="39"/>
      <c r="AU1016" s="39"/>
      <c r="AV1016" s="39"/>
      <c r="AW1016" t="str" s="39" cm="1">
        <f t="array" ref="AW1016">AF1016&amp;"; "&amp;AG1016&amp;"; "&amp;AH1016&amp;"; "&amp;AI1016&amp;"; "&amp;AJ1016</f>
        <v>E1; E3; E4; E4; E3</v>
      </c>
    </row>
    <row r="1017" ht="13.65" customHeight="1">
      <c r="A1017" t="s" s="35">
        <v>6671</v>
      </c>
      <c r="B1017" s="36">
        <v>11</v>
      </c>
      <c r="C1017" t="s" s="35">
        <v>220</v>
      </c>
      <c r="D1017" t="s" s="35">
        <v>6180</v>
      </c>
      <c r="E1017" t="s" s="35">
        <v>6631</v>
      </c>
      <c r="F1017" s="36">
        <v>14</v>
      </c>
      <c r="G1017" t="s" s="35">
        <v>6664</v>
      </c>
      <c r="H1017" t="s" s="35">
        <v>6665</v>
      </c>
      <c r="I1017" t="s" s="120">
        <v>6672</v>
      </c>
      <c r="J1017" t="s" s="35">
        <v>6185</v>
      </c>
      <c r="K1017" t="s" s="35">
        <v>1058</v>
      </c>
      <c r="L1017" s="39"/>
      <c r="M1017" t="str" s="39">
        <v>Sin marco</v>
      </c>
      <c r="N1017" t="str" s="39">
        <v>Sin marco</v>
      </c>
      <c r="O1017" t="str" s="39" cm="1">
        <f t="array" ref="O1017">IF(L1017="","",_xlfn.IFERROR(INDEX('Datos - Catálogo TIMSS'!$C$5:$C$107,MATCH(L1017,'Datos - Catálogo TIMSS'!$A$5:$A$107,0)),"?"))</f>
      </c>
      <c r="P1017" t="s" s="35">
        <v>1058</v>
      </c>
      <c r="Q1017" t="s" s="120">
        <v>6186</v>
      </c>
      <c r="R1017" t="s" s="120">
        <v>6673</v>
      </c>
      <c r="S1017" s="121" cm="1">
        <f t="array" ref="S1017">_xlfn.IFERROR(ISNUMBER(SEARCH("Conocer",$R1017))/(ISNUMBER(SEARCH("Conocer",$R1017))+ISNUMBER(SEARCH("Aplicar",$R1017))+ISNUMBER(SEARCH("Razonar",$R1017))),0)</f>
        <v>0.5</v>
      </c>
      <c r="T1017" s="121" cm="1">
        <f t="array" ref="T1017">_xlfn.IFERROR(ISNUMBER(SEARCH("Aplicar",$R1017))/(ISNUMBER(SEARCH("Conocer",$R1017))+ISNUMBER(SEARCH("Aplicar",$R1017))+ISNUMBER(SEARCH("Razonar",$R1017))),0)</f>
        <v>0.5</v>
      </c>
      <c r="U1017" s="121" cm="1">
        <f t="array" ref="U1017">_xlfn.IFERROR(ISNUMBER(SEARCH("Razonar",$R1017))/(ISNUMBER(SEARCH("Conocer",$R1017))+ISNUMBER(SEARCH("Aplicar",$R1017))+ISNUMBER(SEARCH("Razonar",$R1017))),0)</f>
        <v>0</v>
      </c>
      <c r="V1017" t="s" s="35">
        <v>1407</v>
      </c>
      <c r="W1017" t="s" s="35">
        <v>6188</v>
      </c>
      <c r="X1017" s="36" cm="1">
        <f t="array" ref="X1017">IF(OR(_xlfn.IFERROR(INDEX('Datos - Catálogo TIMSS'!$I$5:$I$107,MATCH(K1017,'Datos - Catálogo TIMSS'!$A$5:$A$107,0)),"No")="Sí",_xlfn.IFERROR(INDEX('Datos - Catálogo TIMSS'!$I$5:$I$107,MATCH(L1017,'Datos - Catálogo TIMSS'!$A$5:$A$107,0)),"No")="Sí"),1,0)</f>
        <v>0</v>
      </c>
      <c r="Y1017" s="36" cm="1">
        <f t="array" ref="Y1017">IF(_xlfn.IFERROR(INDEX('Datos - Catálogo TIMSS'!$J$5:$J$107,MATCH(K1017,'Datos - Catálogo TIMSS'!$A$5:$A$107,0)),"No")="Sí",1,0)</f>
        <v>0</v>
      </c>
      <c r="Z1017" s="36" cm="1">
        <f t="array" ref="Z1017">IF(_xlfn.IFERROR(INDEX('Datos - Catálogo TIMSS'!$J$5:$J$107,MATCH(L1017,'Datos - Catálogo TIMSS'!$A$5:$A$107,0)),"No")="Sí",1,0)</f>
        <v>0</v>
      </c>
      <c r="AA1017" t="s" s="35">
        <v>1058</v>
      </c>
      <c r="AB1017" s="39"/>
      <c r="AC1017" t="str" s="39">
        <v>Sin marco</v>
      </c>
      <c r="AD1017" t="s" s="35">
        <v>1859</v>
      </c>
      <c r="AE1017" t="str" s="39" cm="1">
        <f t="array" ref="AE1017">IF(AD1017="","",IF(LEFT(AD1017,1)="1","C1",IF(LEFT(AD1017,1)="2","C2",IF(LEFT(AD1017,1)="3","C3",""))))</f>
        <v>C1</v>
      </c>
      <c r="AF1017" t="s" s="35">
        <v>1602</v>
      </c>
      <c r="AG1017" t="s" s="35">
        <v>1617</v>
      </c>
      <c r="AH1017" t="s" s="35">
        <v>1609</v>
      </c>
      <c r="AI1017" t="s" s="35">
        <v>1623</v>
      </c>
      <c r="AJ1017" t="s" s="35">
        <v>1607</v>
      </c>
      <c r="AK1017" s="39"/>
      <c r="AL1017" s="39"/>
      <c r="AM1017" s="39"/>
      <c r="AN1017" s="39"/>
      <c r="AO1017" s="39"/>
      <c r="AP1017" s="39"/>
      <c r="AQ1017" s="39"/>
      <c r="AR1017" s="39"/>
      <c r="AS1017" s="39"/>
      <c r="AT1017" s="39"/>
      <c r="AU1017" s="39"/>
      <c r="AV1017" s="39"/>
      <c r="AW1017" t="str" s="39" cm="1">
        <f t="array" ref="AW1017">AF1017&amp;"; "&amp;AG1017&amp;"; "&amp;AH1017&amp;"; "&amp;AI1017&amp;"; "&amp;AJ1017</f>
        <v>E1; D1; E4; D4; E3</v>
      </c>
    </row>
    <row r="1018" ht="13.65" customHeight="1">
      <c r="A1018" t="s" s="35">
        <v>6674</v>
      </c>
      <c r="B1018" s="36">
        <v>11</v>
      </c>
      <c r="C1018" t="s" s="35">
        <v>220</v>
      </c>
      <c r="D1018" t="s" s="35">
        <v>6180</v>
      </c>
      <c r="E1018" t="s" s="35">
        <v>6631</v>
      </c>
      <c r="F1018" s="36">
        <v>15</v>
      </c>
      <c r="G1018" t="s" s="35">
        <v>6664</v>
      </c>
      <c r="H1018" t="s" s="35">
        <v>6675</v>
      </c>
      <c r="I1018" t="s" s="120">
        <v>6676</v>
      </c>
      <c r="J1018" t="s" s="35">
        <v>6185</v>
      </c>
      <c r="K1018" t="s" s="35">
        <v>1058</v>
      </c>
      <c r="L1018" s="39"/>
      <c r="M1018" t="str" s="39">
        <v>Sin marco</v>
      </c>
      <c r="N1018" t="str" s="39">
        <v>Sin marco</v>
      </c>
      <c r="O1018" t="str" s="39" cm="1">
        <f t="array" ref="O1018">IF(L1018="","",_xlfn.IFERROR(INDEX('Datos - Catálogo TIMSS'!$C$5:$C$107,MATCH(L1018,'Datos - Catálogo TIMSS'!$A$5:$A$107,0)),"?"))</f>
      </c>
      <c r="P1018" t="s" s="35">
        <v>1058</v>
      </c>
      <c r="Q1018" t="s" s="120">
        <v>6186</v>
      </c>
      <c r="R1018" t="s" s="120">
        <v>6677</v>
      </c>
      <c r="S1018" s="121" cm="1">
        <f t="array" ref="S1018">_xlfn.IFERROR(ISNUMBER(SEARCH("Conocer",$R1018))/(ISNUMBER(SEARCH("Conocer",$R1018))+ISNUMBER(SEARCH("Aplicar",$R1018))+ISNUMBER(SEARCH("Razonar",$R1018))),0)</f>
        <v>0.5</v>
      </c>
      <c r="T1018" s="121" cm="1">
        <f t="array" ref="T1018">_xlfn.IFERROR(ISNUMBER(SEARCH("Aplicar",$R1018))/(ISNUMBER(SEARCH("Conocer",$R1018))+ISNUMBER(SEARCH("Aplicar",$R1018))+ISNUMBER(SEARCH("Razonar",$R1018))),0)</f>
        <v>0</v>
      </c>
      <c r="U1018" s="121" cm="1">
        <f t="array" ref="U1018">_xlfn.IFERROR(ISNUMBER(SEARCH("Razonar",$R1018))/(ISNUMBER(SEARCH("Conocer",$R1018))+ISNUMBER(SEARCH("Aplicar",$R1018))+ISNUMBER(SEARCH("Razonar",$R1018))),0)</f>
        <v>0.5</v>
      </c>
      <c r="V1018" t="s" s="35">
        <v>1407</v>
      </c>
      <c r="W1018" t="s" s="35">
        <v>6188</v>
      </c>
      <c r="X1018" s="36" cm="1">
        <f t="array" ref="X1018">IF(OR(_xlfn.IFERROR(INDEX('Datos - Catálogo TIMSS'!$I$5:$I$107,MATCH(K1018,'Datos - Catálogo TIMSS'!$A$5:$A$107,0)),"No")="Sí",_xlfn.IFERROR(INDEX('Datos - Catálogo TIMSS'!$I$5:$I$107,MATCH(L1018,'Datos - Catálogo TIMSS'!$A$5:$A$107,0)),"No")="Sí"),1,0)</f>
        <v>0</v>
      </c>
      <c r="Y1018" s="36" cm="1">
        <f t="array" ref="Y1018">IF(_xlfn.IFERROR(INDEX('Datos - Catálogo TIMSS'!$J$5:$J$107,MATCH(K1018,'Datos - Catálogo TIMSS'!$A$5:$A$107,0)),"No")="Sí",1,0)</f>
        <v>0</v>
      </c>
      <c r="Z1018" s="36" cm="1">
        <f t="array" ref="Z1018">IF(_xlfn.IFERROR(INDEX('Datos - Catálogo TIMSS'!$J$5:$J$107,MATCH(L1018,'Datos - Catálogo TIMSS'!$A$5:$A$107,0)),"No")="Sí",1,0)</f>
        <v>0</v>
      </c>
      <c r="AA1018" t="s" s="35">
        <v>1058</v>
      </c>
      <c r="AB1018" s="39"/>
      <c r="AC1018" t="str" s="39">
        <v>Sin marco</v>
      </c>
      <c r="AD1018" t="s" s="35">
        <v>1900</v>
      </c>
      <c r="AE1018" t="str" s="39" cm="1">
        <f t="array" ref="AE1018">IF(AD1018="","",IF(LEFT(AD1018,1)="1","C1",IF(LEFT(AD1018,1)="2","C2",IF(LEFT(AD1018,1)="3","C3",""))))</f>
        <v>C3</v>
      </c>
      <c r="AF1018" t="s" s="35">
        <v>1615</v>
      </c>
      <c r="AG1018" t="s" s="35">
        <v>1607</v>
      </c>
      <c r="AH1018" t="s" s="35">
        <v>1602</v>
      </c>
      <c r="AI1018" t="s" s="35">
        <v>1625</v>
      </c>
      <c r="AJ1018" t="s" s="35">
        <v>1631</v>
      </c>
      <c r="AK1018" s="39"/>
      <c r="AL1018" s="39"/>
      <c r="AM1018" s="39"/>
      <c r="AN1018" s="39"/>
      <c r="AO1018" s="39"/>
      <c r="AP1018" s="39"/>
      <c r="AQ1018" s="39"/>
      <c r="AR1018" s="39"/>
      <c r="AS1018" s="39"/>
      <c r="AT1018" s="39"/>
      <c r="AU1018" s="39"/>
      <c r="AV1018" s="39"/>
      <c r="AW1018" t="str" s="39" cm="1">
        <f t="array" ref="AW1018">AF1018&amp;"; "&amp;AG1018&amp;"; "&amp;AH1018&amp;"; "&amp;AI1018&amp;"; "&amp;AJ1018</f>
        <v>E6; E3; E1; I1; I4</v>
      </c>
    </row>
    <row r="1019" ht="13.65" customHeight="1">
      <c r="A1019" t="s" s="35">
        <v>6679</v>
      </c>
      <c r="B1019" s="36">
        <v>11</v>
      </c>
      <c r="C1019" t="s" s="35">
        <v>220</v>
      </c>
      <c r="D1019" t="s" s="35">
        <v>6180</v>
      </c>
      <c r="E1019" t="s" s="35">
        <v>6631</v>
      </c>
      <c r="F1019" s="36">
        <v>16</v>
      </c>
      <c r="G1019" t="s" s="35">
        <v>6664</v>
      </c>
      <c r="H1019" t="s" s="35">
        <v>6675</v>
      </c>
      <c r="I1019" t="s" s="120">
        <v>6680</v>
      </c>
      <c r="J1019" t="s" s="35">
        <v>6185</v>
      </c>
      <c r="K1019" t="s" s="35">
        <v>1058</v>
      </c>
      <c r="L1019" s="39"/>
      <c r="M1019" t="str" s="39">
        <v>Sin marco</v>
      </c>
      <c r="N1019" t="str" s="39">
        <v>Sin marco</v>
      </c>
      <c r="O1019" t="str" s="39" cm="1">
        <f t="array" ref="O1019">IF(L1019="","",_xlfn.IFERROR(INDEX('Datos - Catálogo TIMSS'!$C$5:$C$107,MATCH(L1019,'Datos - Catálogo TIMSS'!$A$5:$A$107,0)),"?"))</f>
      </c>
      <c r="P1019" t="s" s="35">
        <v>1058</v>
      </c>
      <c r="Q1019" t="s" s="120">
        <v>6186</v>
      </c>
      <c r="R1019" t="s" s="120">
        <v>6681</v>
      </c>
      <c r="S1019" s="121" cm="1">
        <f t="array" ref="S1019">_xlfn.IFERROR(ISNUMBER(SEARCH("Conocer",$R1019))/(ISNUMBER(SEARCH("Conocer",$R1019))+ISNUMBER(SEARCH("Aplicar",$R1019))+ISNUMBER(SEARCH("Razonar",$R1019))),0)</f>
        <v>0</v>
      </c>
      <c r="T1019" s="121" cm="1">
        <f t="array" ref="T1019">_xlfn.IFERROR(ISNUMBER(SEARCH("Aplicar",$R1019))/(ISNUMBER(SEARCH("Conocer",$R1019))+ISNUMBER(SEARCH("Aplicar",$R1019))+ISNUMBER(SEARCH("Razonar",$R1019))),0)</f>
        <v>0.5</v>
      </c>
      <c r="U1019" s="121" cm="1">
        <f t="array" ref="U1019">_xlfn.IFERROR(ISNUMBER(SEARCH("Razonar",$R1019))/(ISNUMBER(SEARCH("Conocer",$R1019))+ISNUMBER(SEARCH("Aplicar",$R1019))+ISNUMBER(SEARCH("Razonar",$R1019))),0)</f>
        <v>0.5</v>
      </c>
      <c r="V1019" t="s" s="35">
        <v>1407</v>
      </c>
      <c r="W1019" t="s" s="35">
        <v>6188</v>
      </c>
      <c r="X1019" s="36" cm="1">
        <f t="array" ref="X1019">IF(OR(_xlfn.IFERROR(INDEX('Datos - Catálogo TIMSS'!$I$5:$I$107,MATCH(K1019,'Datos - Catálogo TIMSS'!$A$5:$A$107,0)),"No")="Sí",_xlfn.IFERROR(INDEX('Datos - Catálogo TIMSS'!$I$5:$I$107,MATCH(L1019,'Datos - Catálogo TIMSS'!$A$5:$A$107,0)),"No")="Sí"),1,0)</f>
        <v>0</v>
      </c>
      <c r="Y1019" s="36" cm="1">
        <f t="array" ref="Y1019">IF(_xlfn.IFERROR(INDEX('Datos - Catálogo TIMSS'!$J$5:$J$107,MATCH(K1019,'Datos - Catálogo TIMSS'!$A$5:$A$107,0)),"No")="Sí",1,0)</f>
        <v>0</v>
      </c>
      <c r="Z1019" s="36" cm="1">
        <f t="array" ref="Z1019">IF(_xlfn.IFERROR(INDEX('Datos - Catálogo TIMSS'!$J$5:$J$107,MATCH(L1019,'Datos - Catálogo TIMSS'!$A$5:$A$107,0)),"No")="Sí",1,0)</f>
        <v>0</v>
      </c>
      <c r="AA1019" t="s" s="35">
        <v>1058</v>
      </c>
      <c r="AB1019" s="39"/>
      <c r="AC1019" t="str" s="39">
        <v>Sin marco</v>
      </c>
      <c r="AD1019" t="s" s="35">
        <v>1834</v>
      </c>
      <c r="AE1019" t="str" s="39" cm="1">
        <f t="array" ref="AE1019">IF(AD1019="","",IF(LEFT(AD1019,1)="1","C1",IF(LEFT(AD1019,1)="2","C2",IF(LEFT(AD1019,1)="3","C3",""))))</f>
        <v>C2</v>
      </c>
      <c r="AF1019" t="s" s="35">
        <v>1602</v>
      </c>
      <c r="AG1019" t="s" s="35">
        <v>1607</v>
      </c>
      <c r="AH1019" t="s" s="35">
        <v>1609</v>
      </c>
      <c r="AI1019" t="s" s="35">
        <v>1623</v>
      </c>
      <c r="AJ1019" t="s" s="35">
        <v>1621</v>
      </c>
      <c r="AK1019" s="39"/>
      <c r="AL1019" s="39"/>
      <c r="AM1019" s="39"/>
      <c r="AN1019" s="39"/>
      <c r="AO1019" s="39"/>
      <c r="AP1019" s="39"/>
      <c r="AQ1019" s="39"/>
      <c r="AR1019" s="39"/>
      <c r="AS1019" s="39"/>
      <c r="AT1019" s="39"/>
      <c r="AU1019" s="39"/>
      <c r="AV1019" s="39"/>
      <c r="AW1019" t="str" s="39" cm="1">
        <f t="array" ref="AW1019">AF1019&amp;"; "&amp;AG1019&amp;"; "&amp;AH1019&amp;"; "&amp;AI1019&amp;"; "&amp;AJ1019</f>
        <v>E1; E3; E4; D4; D3</v>
      </c>
    </row>
    <row r="1020" ht="13.65" customHeight="1">
      <c r="A1020" t="s" s="35">
        <v>6682</v>
      </c>
      <c r="B1020" s="36">
        <v>11</v>
      </c>
      <c r="C1020" t="s" s="35">
        <v>220</v>
      </c>
      <c r="D1020" t="s" s="35">
        <v>6180</v>
      </c>
      <c r="E1020" t="s" s="35">
        <v>6631</v>
      </c>
      <c r="F1020" s="36">
        <v>17</v>
      </c>
      <c r="G1020" t="s" s="35">
        <v>6664</v>
      </c>
      <c r="H1020" t="s" s="35">
        <v>6675</v>
      </c>
      <c r="I1020" t="s" s="120">
        <v>6683</v>
      </c>
      <c r="J1020" t="s" s="35">
        <v>6185</v>
      </c>
      <c r="K1020" t="s" s="35">
        <v>1058</v>
      </c>
      <c r="L1020" s="39"/>
      <c r="M1020" t="str" s="39">
        <v>Sin marco</v>
      </c>
      <c r="N1020" t="str" s="39">
        <v>Sin marco</v>
      </c>
      <c r="O1020" t="str" s="39" cm="1">
        <f t="array" ref="O1020">IF(L1020="","",_xlfn.IFERROR(INDEX('Datos - Catálogo TIMSS'!$C$5:$C$107,MATCH(L1020,'Datos - Catálogo TIMSS'!$A$5:$A$107,0)),"?"))</f>
      </c>
      <c r="P1020" t="s" s="35">
        <v>1058</v>
      </c>
      <c r="Q1020" t="s" s="120">
        <v>6186</v>
      </c>
      <c r="R1020" t="s" s="120">
        <v>6684</v>
      </c>
      <c r="S1020" s="121" cm="1">
        <f t="array" ref="S1020">_xlfn.IFERROR(ISNUMBER(SEARCH("Conocer",$R1020))/(ISNUMBER(SEARCH("Conocer",$R1020))+ISNUMBER(SEARCH("Aplicar",$R1020))+ISNUMBER(SEARCH("Razonar",$R1020))),0)</f>
        <v>0</v>
      </c>
      <c r="T1020" s="121" cm="1">
        <f t="array" ref="T1020">_xlfn.IFERROR(ISNUMBER(SEARCH("Aplicar",$R1020))/(ISNUMBER(SEARCH("Conocer",$R1020))+ISNUMBER(SEARCH("Aplicar",$R1020))+ISNUMBER(SEARCH("Razonar",$R1020))),0)</f>
        <v>0.5</v>
      </c>
      <c r="U1020" s="121" cm="1">
        <f t="array" ref="U1020">_xlfn.IFERROR(ISNUMBER(SEARCH("Razonar",$R1020))/(ISNUMBER(SEARCH("Conocer",$R1020))+ISNUMBER(SEARCH("Aplicar",$R1020))+ISNUMBER(SEARCH("Razonar",$R1020))),0)</f>
        <v>0.5</v>
      </c>
      <c r="V1020" t="s" s="35">
        <v>1407</v>
      </c>
      <c r="W1020" t="s" s="35">
        <v>6188</v>
      </c>
      <c r="X1020" s="36" cm="1">
        <f t="array" ref="X1020">IF(OR(_xlfn.IFERROR(INDEX('Datos - Catálogo TIMSS'!$I$5:$I$107,MATCH(K1020,'Datos - Catálogo TIMSS'!$A$5:$A$107,0)),"No")="Sí",_xlfn.IFERROR(INDEX('Datos - Catálogo TIMSS'!$I$5:$I$107,MATCH(L1020,'Datos - Catálogo TIMSS'!$A$5:$A$107,0)),"No")="Sí"),1,0)</f>
        <v>0</v>
      </c>
      <c r="Y1020" s="36" cm="1">
        <f t="array" ref="Y1020">IF(_xlfn.IFERROR(INDEX('Datos - Catálogo TIMSS'!$J$5:$J$107,MATCH(K1020,'Datos - Catálogo TIMSS'!$A$5:$A$107,0)),"No")="Sí",1,0)</f>
        <v>0</v>
      </c>
      <c r="Z1020" s="36" cm="1">
        <f t="array" ref="Z1020">IF(_xlfn.IFERROR(INDEX('Datos - Catálogo TIMSS'!$J$5:$J$107,MATCH(L1020,'Datos - Catálogo TIMSS'!$A$5:$A$107,0)),"No")="Sí",1,0)</f>
        <v>0</v>
      </c>
      <c r="AA1020" t="s" s="35">
        <v>1058</v>
      </c>
      <c r="AB1020" s="39"/>
      <c r="AC1020" t="str" s="39">
        <v>Sin marco</v>
      </c>
      <c r="AD1020" t="s" s="35">
        <v>1859</v>
      </c>
      <c r="AE1020" t="str" s="39" cm="1">
        <f t="array" ref="AE1020">IF(AD1020="","",IF(LEFT(AD1020,1)="1","C1",IF(LEFT(AD1020,1)="2","C2",IF(LEFT(AD1020,1)="3","C3",""))))</f>
        <v>C1</v>
      </c>
      <c r="AF1020" t="s" s="35">
        <v>1602</v>
      </c>
      <c r="AG1020" t="s" s="35">
        <v>1607</v>
      </c>
      <c r="AH1020" t="s" s="35">
        <v>1605</v>
      </c>
      <c r="AI1020" t="s" s="35">
        <v>1609</v>
      </c>
      <c r="AJ1020" t="s" s="35">
        <v>1621</v>
      </c>
      <c r="AK1020" s="39"/>
      <c r="AL1020" s="39"/>
      <c r="AM1020" s="39"/>
      <c r="AN1020" s="39"/>
      <c r="AO1020" s="39"/>
      <c r="AP1020" s="39"/>
      <c r="AQ1020" s="39"/>
      <c r="AR1020" s="39"/>
      <c r="AS1020" s="39"/>
      <c r="AT1020" s="39"/>
      <c r="AU1020" s="39"/>
      <c r="AV1020" s="39"/>
      <c r="AW1020" t="str" s="39" cm="1">
        <f t="array" ref="AW1020">AF1020&amp;"; "&amp;AG1020&amp;"; "&amp;AH1020&amp;"; "&amp;AI1020&amp;"; "&amp;AJ1020</f>
        <v>E1; E3; E2; E4; D3</v>
      </c>
    </row>
    <row r="1021" ht="13.65" customHeight="1">
      <c r="A1021" t="s" s="35">
        <v>6686</v>
      </c>
      <c r="B1021" s="36">
        <v>11</v>
      </c>
      <c r="C1021" t="s" s="35">
        <v>220</v>
      </c>
      <c r="D1021" t="s" s="35">
        <v>6180</v>
      </c>
      <c r="E1021" t="s" s="35">
        <v>6631</v>
      </c>
      <c r="F1021" s="36">
        <v>18</v>
      </c>
      <c r="G1021" t="s" s="35">
        <v>6664</v>
      </c>
      <c r="H1021" t="s" s="35">
        <v>6687</v>
      </c>
      <c r="I1021" t="s" s="120">
        <v>6688</v>
      </c>
      <c r="J1021" t="s" s="35">
        <v>6185</v>
      </c>
      <c r="K1021" t="s" s="35">
        <v>1058</v>
      </c>
      <c r="L1021" s="39"/>
      <c r="M1021" t="str" s="39">
        <v>Sin marco</v>
      </c>
      <c r="N1021" t="str" s="39">
        <v>Sin marco</v>
      </c>
      <c r="O1021" t="str" s="39" cm="1">
        <f t="array" ref="O1021">IF(L1021="","",_xlfn.IFERROR(INDEX('Datos - Catálogo TIMSS'!$C$5:$C$107,MATCH(L1021,'Datos - Catálogo TIMSS'!$A$5:$A$107,0)),"?"))</f>
      </c>
      <c r="P1021" t="s" s="35">
        <v>1058</v>
      </c>
      <c r="Q1021" t="s" s="120">
        <v>6186</v>
      </c>
      <c r="R1021" t="s" s="120">
        <v>6689</v>
      </c>
      <c r="S1021" s="121" cm="1">
        <f t="array" ref="S1021">_xlfn.IFERROR(ISNUMBER(SEARCH("Conocer",$R1021))/(ISNUMBER(SEARCH("Conocer",$R1021))+ISNUMBER(SEARCH("Aplicar",$R1021))+ISNUMBER(SEARCH("Razonar",$R1021))),0)</f>
        <v>0.5</v>
      </c>
      <c r="T1021" s="121" cm="1">
        <f t="array" ref="T1021">_xlfn.IFERROR(ISNUMBER(SEARCH("Aplicar",$R1021))/(ISNUMBER(SEARCH("Conocer",$R1021))+ISNUMBER(SEARCH("Aplicar",$R1021))+ISNUMBER(SEARCH("Razonar",$R1021))),0)</f>
        <v>0</v>
      </c>
      <c r="U1021" s="121" cm="1">
        <f t="array" ref="U1021">_xlfn.IFERROR(ISNUMBER(SEARCH("Razonar",$R1021))/(ISNUMBER(SEARCH("Conocer",$R1021))+ISNUMBER(SEARCH("Aplicar",$R1021))+ISNUMBER(SEARCH("Razonar",$R1021))),0)</f>
        <v>0.5</v>
      </c>
      <c r="V1021" t="s" s="35">
        <v>1407</v>
      </c>
      <c r="W1021" t="s" s="35">
        <v>6188</v>
      </c>
      <c r="X1021" s="36" cm="1">
        <f t="array" ref="X1021">IF(OR(_xlfn.IFERROR(INDEX('Datos - Catálogo TIMSS'!$I$5:$I$107,MATCH(K1021,'Datos - Catálogo TIMSS'!$A$5:$A$107,0)),"No")="Sí",_xlfn.IFERROR(INDEX('Datos - Catálogo TIMSS'!$I$5:$I$107,MATCH(L1021,'Datos - Catálogo TIMSS'!$A$5:$A$107,0)),"No")="Sí"),1,0)</f>
        <v>0</v>
      </c>
      <c r="Y1021" s="36" cm="1">
        <f t="array" ref="Y1021">IF(_xlfn.IFERROR(INDEX('Datos - Catálogo TIMSS'!$J$5:$J$107,MATCH(K1021,'Datos - Catálogo TIMSS'!$A$5:$A$107,0)),"No")="Sí",1,0)</f>
        <v>0</v>
      </c>
      <c r="Z1021" s="36" cm="1">
        <f t="array" ref="Z1021">IF(_xlfn.IFERROR(INDEX('Datos - Catálogo TIMSS'!$J$5:$J$107,MATCH(L1021,'Datos - Catálogo TIMSS'!$A$5:$A$107,0)),"No")="Sí",1,0)</f>
        <v>0</v>
      </c>
      <c r="AA1021" t="s" s="35">
        <v>1058</v>
      </c>
      <c r="AB1021" s="39"/>
      <c r="AC1021" t="str" s="39">
        <v>Sin marco</v>
      </c>
      <c r="AD1021" t="s" s="35">
        <v>1900</v>
      </c>
      <c r="AE1021" t="str" s="39" cm="1">
        <f t="array" ref="AE1021">IF(AD1021="","",IF(LEFT(AD1021,1)="1","C1",IF(LEFT(AD1021,1)="2","C2",IF(LEFT(AD1021,1)="3","C3",""))))</f>
        <v>C3</v>
      </c>
      <c r="AF1021" t="s" s="35">
        <v>1615</v>
      </c>
      <c r="AG1021" t="s" s="35">
        <v>1617</v>
      </c>
      <c r="AH1021" t="s" s="35">
        <v>1602</v>
      </c>
      <c r="AI1021" t="s" s="35">
        <v>1625</v>
      </c>
      <c r="AJ1021" t="s" s="35">
        <v>1633</v>
      </c>
      <c r="AK1021" s="39"/>
      <c r="AL1021" s="39"/>
      <c r="AM1021" s="39"/>
      <c r="AN1021" s="39"/>
      <c r="AO1021" s="39"/>
      <c r="AP1021" s="39"/>
      <c r="AQ1021" s="39"/>
      <c r="AR1021" s="39"/>
      <c r="AS1021" s="39"/>
      <c r="AT1021" s="39"/>
      <c r="AU1021" s="39"/>
      <c r="AV1021" s="39"/>
      <c r="AW1021" t="str" s="39" cm="1">
        <f t="array" ref="AW1021">AF1021&amp;"; "&amp;AG1021&amp;"; "&amp;AH1021&amp;"; "&amp;AI1021&amp;"; "&amp;AJ1021</f>
        <v>E6; D1; E1; I1; I5</v>
      </c>
    </row>
    <row r="1022" ht="13.65" customHeight="1">
      <c r="A1022" t="s" s="35">
        <v>6690</v>
      </c>
      <c r="B1022" s="36">
        <v>11</v>
      </c>
      <c r="C1022" t="s" s="35">
        <v>220</v>
      </c>
      <c r="D1022" t="s" s="35">
        <v>6180</v>
      </c>
      <c r="E1022" t="s" s="35">
        <v>6631</v>
      </c>
      <c r="F1022" s="36">
        <v>19</v>
      </c>
      <c r="G1022" t="s" s="35">
        <v>6664</v>
      </c>
      <c r="H1022" t="s" s="35">
        <v>6687</v>
      </c>
      <c r="I1022" t="s" s="120">
        <v>6691</v>
      </c>
      <c r="J1022" t="s" s="35">
        <v>6185</v>
      </c>
      <c r="K1022" t="s" s="35">
        <v>1058</v>
      </c>
      <c r="L1022" s="39"/>
      <c r="M1022" t="str" s="39">
        <v>Sin marco</v>
      </c>
      <c r="N1022" t="str" s="39">
        <v>Sin marco</v>
      </c>
      <c r="O1022" t="str" s="39" cm="1">
        <f t="array" ref="O1022">IF(L1022="","",_xlfn.IFERROR(INDEX('Datos - Catálogo TIMSS'!$C$5:$C$107,MATCH(L1022,'Datos - Catálogo TIMSS'!$A$5:$A$107,0)),"?"))</f>
      </c>
      <c r="P1022" t="s" s="35">
        <v>1058</v>
      </c>
      <c r="Q1022" t="s" s="120">
        <v>6186</v>
      </c>
      <c r="R1022" t="s" s="120">
        <v>6692</v>
      </c>
      <c r="S1022" s="121" cm="1">
        <f t="array" ref="S1022">_xlfn.IFERROR(ISNUMBER(SEARCH("Conocer",$R1022))/(ISNUMBER(SEARCH("Conocer",$R1022))+ISNUMBER(SEARCH("Aplicar",$R1022))+ISNUMBER(SEARCH("Razonar",$R1022))),0)</f>
        <v>0</v>
      </c>
      <c r="T1022" s="121" cm="1">
        <f t="array" ref="T1022">_xlfn.IFERROR(ISNUMBER(SEARCH("Aplicar",$R1022))/(ISNUMBER(SEARCH("Conocer",$R1022))+ISNUMBER(SEARCH("Aplicar",$R1022))+ISNUMBER(SEARCH("Razonar",$R1022))),0)</f>
        <v>0.5</v>
      </c>
      <c r="U1022" s="121" cm="1">
        <f t="array" ref="U1022">_xlfn.IFERROR(ISNUMBER(SEARCH("Razonar",$R1022))/(ISNUMBER(SEARCH("Conocer",$R1022))+ISNUMBER(SEARCH("Aplicar",$R1022))+ISNUMBER(SEARCH("Razonar",$R1022))),0)</f>
        <v>0.5</v>
      </c>
      <c r="V1022" t="s" s="35">
        <v>1407</v>
      </c>
      <c r="W1022" t="s" s="35">
        <v>6188</v>
      </c>
      <c r="X1022" s="36" cm="1">
        <f t="array" ref="X1022">IF(OR(_xlfn.IFERROR(INDEX('Datos - Catálogo TIMSS'!$I$5:$I$107,MATCH(K1022,'Datos - Catálogo TIMSS'!$A$5:$A$107,0)),"No")="Sí",_xlfn.IFERROR(INDEX('Datos - Catálogo TIMSS'!$I$5:$I$107,MATCH(L1022,'Datos - Catálogo TIMSS'!$A$5:$A$107,0)),"No")="Sí"),1,0)</f>
        <v>0</v>
      </c>
      <c r="Y1022" s="36" cm="1">
        <f t="array" ref="Y1022">IF(_xlfn.IFERROR(INDEX('Datos - Catálogo TIMSS'!$J$5:$J$107,MATCH(K1022,'Datos - Catálogo TIMSS'!$A$5:$A$107,0)),"No")="Sí",1,0)</f>
        <v>0</v>
      </c>
      <c r="Z1022" s="36" cm="1">
        <f t="array" ref="Z1022">IF(_xlfn.IFERROR(INDEX('Datos - Catálogo TIMSS'!$J$5:$J$107,MATCH(L1022,'Datos - Catálogo TIMSS'!$A$5:$A$107,0)),"No")="Sí",1,0)</f>
        <v>0</v>
      </c>
      <c r="AA1022" t="s" s="35">
        <v>1058</v>
      </c>
      <c r="AB1022" s="39"/>
      <c r="AC1022" t="str" s="39">
        <v>Sin marco</v>
      </c>
      <c r="AD1022" t="s" s="35">
        <v>1834</v>
      </c>
      <c r="AE1022" t="str" s="39" cm="1">
        <f t="array" ref="AE1022">IF(AD1022="","",IF(LEFT(AD1022,1)="1","C1",IF(LEFT(AD1022,1)="2","C2",IF(LEFT(AD1022,1)="3","C3",""))))</f>
        <v>C2</v>
      </c>
      <c r="AF1022" t="s" s="35">
        <v>1602</v>
      </c>
      <c r="AG1022" t="s" s="35">
        <v>1612</v>
      </c>
      <c r="AH1022" t="s" s="35">
        <v>1605</v>
      </c>
      <c r="AI1022" t="s" s="35">
        <v>1619</v>
      </c>
      <c r="AJ1022" t="s" s="35">
        <v>1607</v>
      </c>
      <c r="AK1022" s="39"/>
      <c r="AL1022" s="39"/>
      <c r="AM1022" s="39"/>
      <c r="AN1022" s="39"/>
      <c r="AO1022" s="39"/>
      <c r="AP1022" s="39"/>
      <c r="AQ1022" s="39"/>
      <c r="AR1022" s="39"/>
      <c r="AS1022" s="39"/>
      <c r="AT1022" s="39"/>
      <c r="AU1022" s="39"/>
      <c r="AV1022" s="39"/>
      <c r="AW1022" t="str" s="39" cm="1">
        <f t="array" ref="AW1022">AF1022&amp;"; "&amp;AG1022&amp;"; "&amp;AH1022&amp;"; "&amp;AI1022&amp;"; "&amp;AJ1022</f>
        <v>E1; E5; E2; D2; E3</v>
      </c>
    </row>
    <row r="1023" ht="13.65" customHeight="1">
      <c r="A1023" t="s" s="35">
        <v>6694</v>
      </c>
      <c r="B1023" s="36">
        <v>11</v>
      </c>
      <c r="C1023" t="s" s="35">
        <v>220</v>
      </c>
      <c r="D1023" t="s" s="35">
        <v>6180</v>
      </c>
      <c r="E1023" t="s" s="35">
        <v>6631</v>
      </c>
      <c r="F1023" s="36">
        <v>20</v>
      </c>
      <c r="G1023" t="s" s="35">
        <v>6664</v>
      </c>
      <c r="H1023" t="s" s="35">
        <v>6687</v>
      </c>
      <c r="I1023" t="s" s="120">
        <v>6695</v>
      </c>
      <c r="J1023" t="s" s="35">
        <v>6185</v>
      </c>
      <c r="K1023" t="s" s="35">
        <v>1058</v>
      </c>
      <c r="L1023" s="39"/>
      <c r="M1023" t="str" s="39">
        <v>Sin marco</v>
      </c>
      <c r="N1023" t="str" s="39">
        <v>Sin marco</v>
      </c>
      <c r="O1023" t="str" s="39" cm="1">
        <f t="array" ref="O1023">IF(L1023="","",_xlfn.IFERROR(INDEX('Datos - Catálogo TIMSS'!$C$5:$C$107,MATCH(L1023,'Datos - Catálogo TIMSS'!$A$5:$A$107,0)),"?"))</f>
      </c>
      <c r="P1023" t="s" s="35">
        <v>1058</v>
      </c>
      <c r="Q1023" t="s" s="120">
        <v>6186</v>
      </c>
      <c r="R1023" t="s" s="120">
        <v>6696</v>
      </c>
      <c r="S1023" s="121" cm="1">
        <f t="array" ref="S1023">_xlfn.IFERROR(ISNUMBER(SEARCH("Conocer",$R1023))/(ISNUMBER(SEARCH("Conocer",$R1023))+ISNUMBER(SEARCH("Aplicar",$R1023))+ISNUMBER(SEARCH("Razonar",$R1023))),0)</f>
        <v>0</v>
      </c>
      <c r="T1023" s="121" cm="1">
        <f t="array" ref="T1023">_xlfn.IFERROR(ISNUMBER(SEARCH("Aplicar",$R1023))/(ISNUMBER(SEARCH("Conocer",$R1023))+ISNUMBER(SEARCH("Aplicar",$R1023))+ISNUMBER(SEARCH("Razonar",$R1023))),0)</f>
        <v>0.5</v>
      </c>
      <c r="U1023" s="121" cm="1">
        <f t="array" ref="U1023">_xlfn.IFERROR(ISNUMBER(SEARCH("Razonar",$R1023))/(ISNUMBER(SEARCH("Conocer",$R1023))+ISNUMBER(SEARCH("Aplicar",$R1023))+ISNUMBER(SEARCH("Razonar",$R1023))),0)</f>
        <v>0.5</v>
      </c>
      <c r="V1023" t="s" s="35">
        <v>1407</v>
      </c>
      <c r="W1023" t="s" s="35">
        <v>6188</v>
      </c>
      <c r="X1023" s="36" cm="1">
        <f t="array" ref="X1023">IF(OR(_xlfn.IFERROR(INDEX('Datos - Catálogo TIMSS'!$I$5:$I$107,MATCH(K1023,'Datos - Catálogo TIMSS'!$A$5:$A$107,0)),"No")="Sí",_xlfn.IFERROR(INDEX('Datos - Catálogo TIMSS'!$I$5:$I$107,MATCH(L1023,'Datos - Catálogo TIMSS'!$A$5:$A$107,0)),"No")="Sí"),1,0)</f>
        <v>0</v>
      </c>
      <c r="Y1023" s="36" cm="1">
        <f t="array" ref="Y1023">IF(_xlfn.IFERROR(INDEX('Datos - Catálogo TIMSS'!$J$5:$J$107,MATCH(K1023,'Datos - Catálogo TIMSS'!$A$5:$A$107,0)),"No")="Sí",1,0)</f>
        <v>0</v>
      </c>
      <c r="Z1023" s="36" cm="1">
        <f t="array" ref="Z1023">IF(_xlfn.IFERROR(INDEX('Datos - Catálogo TIMSS'!$J$5:$J$107,MATCH(L1023,'Datos - Catálogo TIMSS'!$A$5:$A$107,0)),"No")="Sí",1,0)</f>
        <v>0</v>
      </c>
      <c r="AA1023" t="s" s="35">
        <v>1058</v>
      </c>
      <c r="AB1023" s="39"/>
      <c r="AC1023" t="str" s="39">
        <v>Sin marco</v>
      </c>
      <c r="AD1023" t="s" s="35">
        <v>1859</v>
      </c>
      <c r="AE1023" t="str" s="39" cm="1">
        <f t="array" ref="AE1023">IF(AD1023="","",IF(LEFT(AD1023,1)="1","C1",IF(LEFT(AD1023,1)="2","C2",IF(LEFT(AD1023,1)="3","C3",""))))</f>
        <v>C1</v>
      </c>
      <c r="AF1023" t="s" s="35">
        <v>1602</v>
      </c>
      <c r="AG1023" t="s" s="35">
        <v>1607</v>
      </c>
      <c r="AH1023" t="s" s="35">
        <v>1605</v>
      </c>
      <c r="AI1023" t="s" s="35">
        <v>1609</v>
      </c>
      <c r="AJ1023" t="s" s="35">
        <v>1621</v>
      </c>
      <c r="AK1023" s="39"/>
      <c r="AL1023" s="39"/>
      <c r="AM1023" s="39"/>
      <c r="AN1023" s="39"/>
      <c r="AO1023" s="39"/>
      <c r="AP1023" s="39"/>
      <c r="AQ1023" s="39"/>
      <c r="AR1023" s="39"/>
      <c r="AS1023" s="39"/>
      <c r="AT1023" s="39"/>
      <c r="AU1023" s="39"/>
      <c r="AV1023" s="39"/>
      <c r="AW1023" t="str" s="39" cm="1">
        <f t="array" ref="AW1023">AF1023&amp;"; "&amp;AG1023&amp;"; "&amp;AH1023&amp;"; "&amp;AI1023&amp;"; "&amp;AJ1023</f>
        <v>E1; E3; E2; E4; D3</v>
      </c>
    </row>
    <row r="1024" ht="13.65" customHeight="1">
      <c r="A1024" t="s" s="35">
        <v>6697</v>
      </c>
      <c r="B1024" s="36">
        <v>11</v>
      </c>
      <c r="C1024" t="s" s="35">
        <v>220</v>
      </c>
      <c r="D1024" t="s" s="35">
        <v>6180</v>
      </c>
      <c r="E1024" t="s" s="35">
        <v>6631</v>
      </c>
      <c r="F1024" s="36">
        <v>21</v>
      </c>
      <c r="G1024" t="s" s="35">
        <v>6664</v>
      </c>
      <c r="H1024" t="s" s="35">
        <v>6698</v>
      </c>
      <c r="I1024" t="s" s="120">
        <v>6699</v>
      </c>
      <c r="J1024" t="s" s="35">
        <v>6185</v>
      </c>
      <c r="K1024" t="s" s="35">
        <v>1058</v>
      </c>
      <c r="L1024" s="39"/>
      <c r="M1024" t="str" s="39">
        <v>Sin marco</v>
      </c>
      <c r="N1024" t="str" s="39">
        <v>Sin marco</v>
      </c>
      <c r="O1024" t="str" s="39" cm="1">
        <f t="array" ref="O1024">IF(L1024="","",_xlfn.IFERROR(INDEX('Datos - Catálogo TIMSS'!$C$5:$C$107,MATCH(L1024,'Datos - Catálogo TIMSS'!$A$5:$A$107,0)),"?"))</f>
      </c>
      <c r="P1024" t="s" s="35">
        <v>1058</v>
      </c>
      <c r="Q1024" t="s" s="120">
        <v>6186</v>
      </c>
      <c r="R1024" t="s" s="120">
        <v>6700</v>
      </c>
      <c r="S1024" s="121" cm="1">
        <f t="array" ref="S1024">_xlfn.IFERROR(ISNUMBER(SEARCH("Conocer",$R1024))/(ISNUMBER(SEARCH("Conocer",$R1024))+ISNUMBER(SEARCH("Aplicar",$R1024))+ISNUMBER(SEARCH("Razonar",$R1024))),0)</f>
        <v>0.5</v>
      </c>
      <c r="T1024" s="121" cm="1">
        <f t="array" ref="T1024">_xlfn.IFERROR(ISNUMBER(SEARCH("Aplicar",$R1024))/(ISNUMBER(SEARCH("Conocer",$R1024))+ISNUMBER(SEARCH("Aplicar",$R1024))+ISNUMBER(SEARCH("Razonar",$R1024))),0)</f>
        <v>0.5</v>
      </c>
      <c r="U1024" s="121" cm="1">
        <f t="array" ref="U1024">_xlfn.IFERROR(ISNUMBER(SEARCH("Razonar",$R1024))/(ISNUMBER(SEARCH("Conocer",$R1024))+ISNUMBER(SEARCH("Aplicar",$R1024))+ISNUMBER(SEARCH("Razonar",$R1024))),0)</f>
        <v>0</v>
      </c>
      <c r="V1024" t="s" s="35">
        <v>1407</v>
      </c>
      <c r="W1024" t="s" s="35">
        <v>6188</v>
      </c>
      <c r="X1024" s="36" cm="1">
        <f t="array" ref="X1024">IF(OR(_xlfn.IFERROR(INDEX('Datos - Catálogo TIMSS'!$I$5:$I$107,MATCH(K1024,'Datos - Catálogo TIMSS'!$A$5:$A$107,0)),"No")="Sí",_xlfn.IFERROR(INDEX('Datos - Catálogo TIMSS'!$I$5:$I$107,MATCH(L1024,'Datos - Catálogo TIMSS'!$A$5:$A$107,0)),"No")="Sí"),1,0)</f>
        <v>0</v>
      </c>
      <c r="Y1024" s="36" cm="1">
        <f t="array" ref="Y1024">IF(_xlfn.IFERROR(INDEX('Datos - Catálogo TIMSS'!$J$5:$J$107,MATCH(K1024,'Datos - Catálogo TIMSS'!$A$5:$A$107,0)),"No")="Sí",1,0)</f>
        <v>0</v>
      </c>
      <c r="Z1024" s="36" cm="1">
        <f t="array" ref="Z1024">IF(_xlfn.IFERROR(INDEX('Datos - Catálogo TIMSS'!$J$5:$J$107,MATCH(L1024,'Datos - Catálogo TIMSS'!$A$5:$A$107,0)),"No")="Sí",1,0)</f>
        <v>0</v>
      </c>
      <c r="AA1024" t="s" s="35">
        <v>1058</v>
      </c>
      <c r="AB1024" s="39"/>
      <c r="AC1024" t="str" s="39">
        <v>Sin marco</v>
      </c>
      <c r="AD1024" t="s" s="35">
        <v>1859</v>
      </c>
      <c r="AE1024" t="str" s="39" cm="1">
        <f t="array" ref="AE1024">IF(AD1024="","",IF(LEFT(AD1024,1)="1","C1",IF(LEFT(AD1024,1)="2","C2",IF(LEFT(AD1024,1)="3","C3",""))))</f>
        <v>C1</v>
      </c>
      <c r="AF1024" t="s" s="35">
        <v>1615</v>
      </c>
      <c r="AG1024" t="s" s="35">
        <v>1617</v>
      </c>
      <c r="AH1024" t="s" s="35">
        <v>1602</v>
      </c>
      <c r="AI1024" t="s" s="35">
        <v>1609</v>
      </c>
      <c r="AJ1024" t="s" s="35">
        <v>1607</v>
      </c>
      <c r="AK1024" s="39"/>
      <c r="AL1024" s="39"/>
      <c r="AM1024" s="39"/>
      <c r="AN1024" s="39"/>
      <c r="AO1024" s="39"/>
      <c r="AP1024" s="39"/>
      <c r="AQ1024" s="39"/>
      <c r="AR1024" s="39"/>
      <c r="AS1024" s="39"/>
      <c r="AT1024" s="39"/>
      <c r="AU1024" s="39"/>
      <c r="AV1024" s="39"/>
      <c r="AW1024" t="str" s="39" cm="1">
        <f t="array" ref="AW1024">AF1024&amp;"; "&amp;AG1024&amp;"; "&amp;AH1024&amp;"; "&amp;AI1024&amp;"; "&amp;AJ1024</f>
        <v>E6; D1; E1; E4; E3</v>
      </c>
    </row>
    <row r="1025" ht="13.65" customHeight="1">
      <c r="A1025" t="s" s="35">
        <v>6702</v>
      </c>
      <c r="B1025" s="36">
        <v>11</v>
      </c>
      <c r="C1025" t="s" s="35">
        <v>220</v>
      </c>
      <c r="D1025" t="s" s="35">
        <v>6180</v>
      </c>
      <c r="E1025" t="s" s="35">
        <v>6631</v>
      </c>
      <c r="F1025" s="36">
        <v>22</v>
      </c>
      <c r="G1025" t="s" s="35">
        <v>6664</v>
      </c>
      <c r="H1025" t="s" s="35">
        <v>6698</v>
      </c>
      <c r="I1025" t="s" s="120">
        <v>6703</v>
      </c>
      <c r="J1025" t="s" s="35">
        <v>6185</v>
      </c>
      <c r="K1025" t="s" s="35">
        <v>1058</v>
      </c>
      <c r="L1025" s="39"/>
      <c r="M1025" t="str" s="39">
        <v>Sin marco</v>
      </c>
      <c r="N1025" t="str" s="39">
        <v>Sin marco</v>
      </c>
      <c r="O1025" t="str" s="39" cm="1">
        <f t="array" ref="O1025">IF(L1025="","",_xlfn.IFERROR(INDEX('Datos - Catálogo TIMSS'!$C$5:$C$107,MATCH(L1025,'Datos - Catálogo TIMSS'!$A$5:$A$107,0)),"?"))</f>
      </c>
      <c r="P1025" t="s" s="35">
        <v>1058</v>
      </c>
      <c r="Q1025" t="s" s="120">
        <v>6186</v>
      </c>
      <c r="R1025" t="s" s="120">
        <v>6704</v>
      </c>
      <c r="S1025" s="121" cm="1">
        <f t="array" ref="S1025">_xlfn.IFERROR(ISNUMBER(SEARCH("Conocer",$R1025))/(ISNUMBER(SEARCH("Conocer",$R1025))+ISNUMBER(SEARCH("Aplicar",$R1025))+ISNUMBER(SEARCH("Razonar",$R1025))),0)</f>
        <v>0</v>
      </c>
      <c r="T1025" s="121" cm="1">
        <f t="array" ref="T1025">_xlfn.IFERROR(ISNUMBER(SEARCH("Aplicar",$R1025))/(ISNUMBER(SEARCH("Conocer",$R1025))+ISNUMBER(SEARCH("Aplicar",$R1025))+ISNUMBER(SEARCH("Razonar",$R1025))),0)</f>
        <v>0.5</v>
      </c>
      <c r="U1025" s="121" cm="1">
        <f t="array" ref="U1025">_xlfn.IFERROR(ISNUMBER(SEARCH("Razonar",$R1025))/(ISNUMBER(SEARCH("Conocer",$R1025))+ISNUMBER(SEARCH("Aplicar",$R1025))+ISNUMBER(SEARCH("Razonar",$R1025))),0)</f>
        <v>0.5</v>
      </c>
      <c r="V1025" t="s" s="35">
        <v>1407</v>
      </c>
      <c r="W1025" t="s" s="35">
        <v>6188</v>
      </c>
      <c r="X1025" s="36" cm="1">
        <f t="array" ref="X1025">IF(OR(_xlfn.IFERROR(INDEX('Datos - Catálogo TIMSS'!$I$5:$I$107,MATCH(K1025,'Datos - Catálogo TIMSS'!$A$5:$A$107,0)),"No")="Sí",_xlfn.IFERROR(INDEX('Datos - Catálogo TIMSS'!$I$5:$I$107,MATCH(L1025,'Datos - Catálogo TIMSS'!$A$5:$A$107,0)),"No")="Sí"),1,0)</f>
        <v>0</v>
      </c>
      <c r="Y1025" s="36" cm="1">
        <f t="array" ref="Y1025">IF(_xlfn.IFERROR(INDEX('Datos - Catálogo TIMSS'!$J$5:$J$107,MATCH(K1025,'Datos - Catálogo TIMSS'!$A$5:$A$107,0)),"No")="Sí",1,0)</f>
        <v>0</v>
      </c>
      <c r="Z1025" s="36" cm="1">
        <f t="array" ref="Z1025">IF(_xlfn.IFERROR(INDEX('Datos - Catálogo TIMSS'!$J$5:$J$107,MATCH(L1025,'Datos - Catálogo TIMSS'!$A$5:$A$107,0)),"No")="Sí",1,0)</f>
        <v>0</v>
      </c>
      <c r="AA1025" t="s" s="35">
        <v>1058</v>
      </c>
      <c r="AB1025" s="39"/>
      <c r="AC1025" t="str" s="39">
        <v>Sin marco</v>
      </c>
      <c r="AD1025" t="s" s="35">
        <v>1900</v>
      </c>
      <c r="AE1025" t="str" s="39" cm="1">
        <f t="array" ref="AE1025">IF(AD1025="","",IF(LEFT(AD1025,1)="1","C1",IF(LEFT(AD1025,1)="2","C2",IF(LEFT(AD1025,1)="3","C3",""))))</f>
        <v>C3</v>
      </c>
      <c r="AF1025" t="s" s="35">
        <v>1615</v>
      </c>
      <c r="AG1025" t="s" s="35">
        <v>1612</v>
      </c>
      <c r="AH1025" t="s" s="35">
        <v>1605</v>
      </c>
      <c r="AI1025" t="s" s="35">
        <v>1629</v>
      </c>
      <c r="AJ1025" t="s" s="35">
        <v>1633</v>
      </c>
      <c r="AK1025" s="39"/>
      <c r="AL1025" s="39"/>
      <c r="AM1025" s="39"/>
      <c r="AN1025" s="39"/>
      <c r="AO1025" s="39"/>
      <c r="AP1025" s="39"/>
      <c r="AQ1025" s="39"/>
      <c r="AR1025" s="39"/>
      <c r="AS1025" s="39"/>
      <c r="AT1025" s="39"/>
      <c r="AU1025" s="39"/>
      <c r="AV1025" s="39"/>
      <c r="AW1025" t="str" s="39" cm="1">
        <f t="array" ref="AW1025">AF1025&amp;"; "&amp;AG1025&amp;"; "&amp;AH1025&amp;"; "&amp;AI1025&amp;"; "&amp;AJ1025</f>
        <v>E6; E5; E2; I3; I5</v>
      </c>
    </row>
    <row r="1026" ht="13.65" customHeight="1">
      <c r="A1026" t="s" s="35">
        <v>6705</v>
      </c>
      <c r="B1026" s="36">
        <v>11</v>
      </c>
      <c r="C1026" t="s" s="35">
        <v>220</v>
      </c>
      <c r="D1026" t="s" s="35">
        <v>6180</v>
      </c>
      <c r="E1026" t="s" s="35">
        <v>6631</v>
      </c>
      <c r="F1026" s="36">
        <v>23</v>
      </c>
      <c r="G1026" t="s" s="35">
        <v>6664</v>
      </c>
      <c r="H1026" t="s" s="35">
        <v>6698</v>
      </c>
      <c r="I1026" t="s" s="120">
        <v>6706</v>
      </c>
      <c r="J1026" t="s" s="35">
        <v>6185</v>
      </c>
      <c r="K1026" t="s" s="35">
        <v>1058</v>
      </c>
      <c r="L1026" s="39"/>
      <c r="M1026" t="str" s="39">
        <v>Sin marco</v>
      </c>
      <c r="N1026" t="str" s="39">
        <v>Sin marco</v>
      </c>
      <c r="O1026" t="str" s="39" cm="1">
        <f t="array" ref="O1026">IF(L1026="","",_xlfn.IFERROR(INDEX('Datos - Catálogo TIMSS'!$C$5:$C$107,MATCH(L1026,'Datos - Catálogo TIMSS'!$A$5:$A$107,0)),"?"))</f>
      </c>
      <c r="P1026" t="s" s="35">
        <v>1058</v>
      </c>
      <c r="Q1026" t="s" s="120">
        <v>6186</v>
      </c>
      <c r="R1026" t="s" s="120">
        <v>6707</v>
      </c>
      <c r="S1026" s="121" cm="1">
        <f t="array" ref="S1026">_xlfn.IFERROR(ISNUMBER(SEARCH("Conocer",$R1026))/(ISNUMBER(SEARCH("Conocer",$R1026))+ISNUMBER(SEARCH("Aplicar",$R1026))+ISNUMBER(SEARCH("Razonar",$R1026))),0)</f>
        <v>0</v>
      </c>
      <c r="T1026" s="121" cm="1">
        <f t="array" ref="T1026">_xlfn.IFERROR(ISNUMBER(SEARCH("Aplicar",$R1026))/(ISNUMBER(SEARCH("Conocer",$R1026))+ISNUMBER(SEARCH("Aplicar",$R1026))+ISNUMBER(SEARCH("Razonar",$R1026))),0)</f>
        <v>0.5</v>
      </c>
      <c r="U1026" s="121" cm="1">
        <f t="array" ref="U1026">_xlfn.IFERROR(ISNUMBER(SEARCH("Razonar",$R1026))/(ISNUMBER(SEARCH("Conocer",$R1026))+ISNUMBER(SEARCH("Aplicar",$R1026))+ISNUMBER(SEARCH("Razonar",$R1026))),0)</f>
        <v>0.5</v>
      </c>
      <c r="V1026" t="s" s="35">
        <v>1407</v>
      </c>
      <c r="W1026" t="s" s="35">
        <v>6188</v>
      </c>
      <c r="X1026" s="36" cm="1">
        <f t="array" ref="X1026">IF(OR(_xlfn.IFERROR(INDEX('Datos - Catálogo TIMSS'!$I$5:$I$107,MATCH(K1026,'Datos - Catálogo TIMSS'!$A$5:$A$107,0)),"No")="Sí",_xlfn.IFERROR(INDEX('Datos - Catálogo TIMSS'!$I$5:$I$107,MATCH(L1026,'Datos - Catálogo TIMSS'!$A$5:$A$107,0)),"No")="Sí"),1,0)</f>
        <v>0</v>
      </c>
      <c r="Y1026" s="36" cm="1">
        <f t="array" ref="Y1026">IF(_xlfn.IFERROR(INDEX('Datos - Catálogo TIMSS'!$J$5:$J$107,MATCH(K1026,'Datos - Catálogo TIMSS'!$A$5:$A$107,0)),"No")="Sí",1,0)</f>
        <v>0</v>
      </c>
      <c r="Z1026" s="36" cm="1">
        <f t="array" ref="Z1026">IF(_xlfn.IFERROR(INDEX('Datos - Catálogo TIMSS'!$J$5:$J$107,MATCH(L1026,'Datos - Catálogo TIMSS'!$A$5:$A$107,0)),"No")="Sí",1,0)</f>
        <v>0</v>
      </c>
      <c r="AA1026" t="s" s="35">
        <v>1058</v>
      </c>
      <c r="AB1026" s="39"/>
      <c r="AC1026" t="str" s="39">
        <v>Sin marco</v>
      </c>
      <c r="AD1026" t="s" s="35">
        <v>1859</v>
      </c>
      <c r="AE1026" t="str" s="39" cm="1">
        <f t="array" ref="AE1026">IF(AD1026="","",IF(LEFT(AD1026,1)="1","C1",IF(LEFT(AD1026,1)="2","C2",IF(LEFT(AD1026,1)="3","C3",""))))</f>
        <v>C1</v>
      </c>
      <c r="AF1026" t="s" s="35">
        <v>1602</v>
      </c>
      <c r="AG1026" t="s" s="35">
        <v>1607</v>
      </c>
      <c r="AH1026" t="s" s="35">
        <v>1605</v>
      </c>
      <c r="AI1026" t="s" s="35">
        <v>1609</v>
      </c>
      <c r="AJ1026" t="s" s="35">
        <v>1607</v>
      </c>
      <c r="AK1026" s="39"/>
      <c r="AL1026" s="39"/>
      <c r="AM1026" s="39"/>
      <c r="AN1026" s="39"/>
      <c r="AO1026" s="39"/>
      <c r="AP1026" s="39"/>
      <c r="AQ1026" s="39"/>
      <c r="AR1026" s="39"/>
      <c r="AS1026" s="39"/>
      <c r="AT1026" s="39"/>
      <c r="AU1026" s="39"/>
      <c r="AV1026" s="39"/>
      <c r="AW1026" t="str" s="39" cm="1">
        <f t="array" ref="AW1026">AF1026&amp;"; "&amp;AG1026&amp;"; "&amp;AH1026&amp;"; "&amp;AI1026&amp;"; "&amp;AJ1026</f>
        <v>E1; E3; E2; E4; E3</v>
      </c>
    </row>
    <row r="1027" ht="13.65" customHeight="1">
      <c r="A1027" t="s" s="35">
        <v>6708</v>
      </c>
      <c r="B1027" s="36">
        <v>11</v>
      </c>
      <c r="C1027" t="s" s="35">
        <v>220</v>
      </c>
      <c r="D1027" t="s" s="35">
        <v>6180</v>
      </c>
      <c r="E1027" t="s" s="35">
        <v>6631</v>
      </c>
      <c r="F1027" s="36">
        <v>24</v>
      </c>
      <c r="G1027" t="s" s="35">
        <v>6709</v>
      </c>
      <c r="H1027" t="s" s="35">
        <v>6710</v>
      </c>
      <c r="I1027" t="s" s="120">
        <v>6711</v>
      </c>
      <c r="J1027" t="s" s="35">
        <v>6185</v>
      </c>
      <c r="K1027" t="s" s="35">
        <v>1058</v>
      </c>
      <c r="L1027" s="39"/>
      <c r="M1027" t="str" s="39">
        <v>Sin marco</v>
      </c>
      <c r="N1027" t="str" s="39">
        <v>Sin marco</v>
      </c>
      <c r="O1027" t="str" s="39" cm="1">
        <f t="array" ref="O1027">IF(L1027="","",_xlfn.IFERROR(INDEX('Datos - Catálogo TIMSS'!$C$5:$C$107,MATCH(L1027,'Datos - Catálogo TIMSS'!$A$5:$A$107,0)),"?"))</f>
      </c>
      <c r="P1027" t="s" s="35">
        <v>1058</v>
      </c>
      <c r="Q1027" t="s" s="120">
        <v>6186</v>
      </c>
      <c r="R1027" t="s" s="120">
        <v>6712</v>
      </c>
      <c r="S1027" s="121" cm="1">
        <f t="array" ref="S1027">_xlfn.IFERROR(ISNUMBER(SEARCH("Conocer",$R1027))/(ISNUMBER(SEARCH("Conocer",$R1027))+ISNUMBER(SEARCH("Aplicar",$R1027))+ISNUMBER(SEARCH("Razonar",$R1027))),0)</f>
        <v>0.333333333333333</v>
      </c>
      <c r="T1027" s="121" cm="1">
        <f t="array" ref="T1027">_xlfn.IFERROR(ISNUMBER(SEARCH("Aplicar",$R1027))/(ISNUMBER(SEARCH("Conocer",$R1027))+ISNUMBER(SEARCH("Aplicar",$R1027))+ISNUMBER(SEARCH("Razonar",$R1027))),0)</f>
        <v>0.333333333333333</v>
      </c>
      <c r="U1027" s="121" cm="1">
        <f t="array" ref="U1027">_xlfn.IFERROR(ISNUMBER(SEARCH("Razonar",$R1027))/(ISNUMBER(SEARCH("Conocer",$R1027))+ISNUMBER(SEARCH("Aplicar",$R1027))+ISNUMBER(SEARCH("Razonar",$R1027))),0)</f>
        <v>0.333333333333333</v>
      </c>
      <c r="V1027" t="s" s="35">
        <v>1407</v>
      </c>
      <c r="W1027" t="s" s="35">
        <v>6188</v>
      </c>
      <c r="X1027" s="36" cm="1">
        <f t="array" ref="X1027">IF(OR(_xlfn.IFERROR(INDEX('Datos - Catálogo TIMSS'!$I$5:$I$107,MATCH(K1027,'Datos - Catálogo TIMSS'!$A$5:$A$107,0)),"No")="Sí",_xlfn.IFERROR(INDEX('Datos - Catálogo TIMSS'!$I$5:$I$107,MATCH(L1027,'Datos - Catálogo TIMSS'!$A$5:$A$107,0)),"No")="Sí"),1,0)</f>
        <v>0</v>
      </c>
      <c r="Y1027" s="36" cm="1">
        <f t="array" ref="Y1027">IF(_xlfn.IFERROR(INDEX('Datos - Catálogo TIMSS'!$J$5:$J$107,MATCH(K1027,'Datos - Catálogo TIMSS'!$A$5:$A$107,0)),"No")="Sí",1,0)</f>
        <v>0</v>
      </c>
      <c r="Z1027" s="36" cm="1">
        <f t="array" ref="Z1027">IF(_xlfn.IFERROR(INDEX('Datos - Catálogo TIMSS'!$J$5:$J$107,MATCH(L1027,'Datos - Catálogo TIMSS'!$A$5:$A$107,0)),"No")="Sí",1,0)</f>
        <v>0</v>
      </c>
      <c r="AA1027" t="s" s="35">
        <v>1058</v>
      </c>
      <c r="AB1027" s="39"/>
      <c r="AC1027" t="str" s="39">
        <v>Sin marco</v>
      </c>
      <c r="AD1027" t="s" s="35">
        <v>1859</v>
      </c>
      <c r="AE1027" t="str" s="39" cm="1">
        <f t="array" ref="AE1027">IF(AD1027="","",IF(LEFT(AD1027,1)="1","C1",IF(LEFT(AD1027,1)="2","C2",IF(LEFT(AD1027,1)="3","C3",""))))</f>
        <v>C1</v>
      </c>
      <c r="AF1027" t="s" s="35">
        <v>1602</v>
      </c>
      <c r="AG1027" t="s" s="35">
        <v>1617</v>
      </c>
      <c r="AH1027" t="s" s="35">
        <v>1609</v>
      </c>
      <c r="AI1027" t="s" s="35">
        <v>1609</v>
      </c>
      <c r="AJ1027" t="s" s="35">
        <v>1607</v>
      </c>
      <c r="AK1027" s="39"/>
      <c r="AL1027" s="39"/>
      <c r="AM1027" s="39"/>
      <c r="AN1027" s="39"/>
      <c r="AO1027" s="39"/>
      <c r="AP1027" s="39"/>
      <c r="AQ1027" s="39"/>
      <c r="AR1027" s="39"/>
      <c r="AS1027" s="39"/>
      <c r="AT1027" s="39"/>
      <c r="AU1027" s="39"/>
      <c r="AV1027" s="39"/>
      <c r="AW1027" t="str" s="39" cm="1">
        <f t="array" ref="AW1027">AF1027&amp;"; "&amp;AG1027&amp;"; "&amp;AH1027&amp;"; "&amp;AI1027&amp;"; "&amp;AJ1027</f>
        <v>E1; D1; E4; E4; E3</v>
      </c>
    </row>
    <row r="1028" ht="13.65" customHeight="1">
      <c r="A1028" t="s" s="35">
        <v>6713</v>
      </c>
      <c r="B1028" s="36">
        <v>11</v>
      </c>
      <c r="C1028" t="s" s="35">
        <v>220</v>
      </c>
      <c r="D1028" t="s" s="35">
        <v>6180</v>
      </c>
      <c r="E1028" t="s" s="35">
        <v>6631</v>
      </c>
      <c r="F1028" s="36">
        <v>25</v>
      </c>
      <c r="G1028" t="s" s="35">
        <v>6709</v>
      </c>
      <c r="H1028" t="s" s="35">
        <v>6710</v>
      </c>
      <c r="I1028" t="s" s="120">
        <v>6714</v>
      </c>
      <c r="J1028" t="s" s="35">
        <v>6185</v>
      </c>
      <c r="K1028" t="s" s="35">
        <v>1058</v>
      </c>
      <c r="L1028" s="39"/>
      <c r="M1028" t="str" s="39">
        <v>Sin marco</v>
      </c>
      <c r="N1028" t="str" s="39">
        <v>Sin marco</v>
      </c>
      <c r="O1028" t="str" s="39" cm="1">
        <f t="array" ref="O1028">IF(L1028="","",_xlfn.IFERROR(INDEX('Datos - Catálogo TIMSS'!$C$5:$C$107,MATCH(L1028,'Datos - Catálogo TIMSS'!$A$5:$A$107,0)),"?"))</f>
      </c>
      <c r="P1028" t="s" s="35">
        <v>1058</v>
      </c>
      <c r="Q1028" t="s" s="120">
        <v>6186</v>
      </c>
      <c r="R1028" t="s" s="120">
        <v>6715</v>
      </c>
      <c r="S1028" s="121" cm="1">
        <f t="array" ref="S1028">_xlfn.IFERROR(ISNUMBER(SEARCH("Conocer",$R1028))/(ISNUMBER(SEARCH("Conocer",$R1028))+ISNUMBER(SEARCH("Aplicar",$R1028))+ISNUMBER(SEARCH("Razonar",$R1028))),0)</f>
        <v>0</v>
      </c>
      <c r="T1028" s="121" cm="1">
        <f t="array" ref="T1028">_xlfn.IFERROR(ISNUMBER(SEARCH("Aplicar",$R1028))/(ISNUMBER(SEARCH("Conocer",$R1028))+ISNUMBER(SEARCH("Aplicar",$R1028))+ISNUMBER(SEARCH("Razonar",$R1028))),0)</f>
        <v>0.5</v>
      </c>
      <c r="U1028" s="121" cm="1">
        <f t="array" ref="U1028">_xlfn.IFERROR(ISNUMBER(SEARCH("Razonar",$R1028))/(ISNUMBER(SEARCH("Conocer",$R1028))+ISNUMBER(SEARCH("Aplicar",$R1028))+ISNUMBER(SEARCH("Razonar",$R1028))),0)</f>
        <v>0.5</v>
      </c>
      <c r="V1028" t="s" s="35">
        <v>1407</v>
      </c>
      <c r="W1028" t="s" s="35">
        <v>6188</v>
      </c>
      <c r="X1028" s="36" cm="1">
        <f t="array" ref="X1028">IF(OR(_xlfn.IFERROR(INDEX('Datos - Catálogo TIMSS'!$I$5:$I$107,MATCH(K1028,'Datos - Catálogo TIMSS'!$A$5:$A$107,0)),"No")="Sí",_xlfn.IFERROR(INDEX('Datos - Catálogo TIMSS'!$I$5:$I$107,MATCH(L1028,'Datos - Catálogo TIMSS'!$A$5:$A$107,0)),"No")="Sí"),1,0)</f>
        <v>0</v>
      </c>
      <c r="Y1028" s="36" cm="1">
        <f t="array" ref="Y1028">IF(_xlfn.IFERROR(INDEX('Datos - Catálogo TIMSS'!$J$5:$J$107,MATCH(K1028,'Datos - Catálogo TIMSS'!$A$5:$A$107,0)),"No")="Sí",1,0)</f>
        <v>0</v>
      </c>
      <c r="Z1028" s="36" cm="1">
        <f t="array" ref="Z1028">IF(_xlfn.IFERROR(INDEX('Datos - Catálogo TIMSS'!$J$5:$J$107,MATCH(L1028,'Datos - Catálogo TIMSS'!$A$5:$A$107,0)),"No")="Sí",1,0)</f>
        <v>0</v>
      </c>
      <c r="AA1028" t="s" s="35">
        <v>1058</v>
      </c>
      <c r="AB1028" s="39"/>
      <c r="AC1028" t="str" s="39">
        <v>Sin marco</v>
      </c>
      <c r="AD1028" t="s" s="35">
        <v>1834</v>
      </c>
      <c r="AE1028" t="str" s="39" cm="1">
        <f t="array" ref="AE1028">IF(AD1028="","",IF(LEFT(AD1028,1)="1","C1",IF(LEFT(AD1028,1)="2","C2",IF(LEFT(AD1028,1)="3","C3",""))))</f>
        <v>C2</v>
      </c>
      <c r="AF1028" t="s" s="35">
        <v>1615</v>
      </c>
      <c r="AG1028" t="s" s="35">
        <v>1607</v>
      </c>
      <c r="AH1028" t="s" s="35">
        <v>1602</v>
      </c>
      <c r="AI1028" t="s" s="35">
        <v>1623</v>
      </c>
      <c r="AJ1028" t="s" s="35">
        <v>1633</v>
      </c>
      <c r="AK1028" s="39"/>
      <c r="AL1028" s="39"/>
      <c r="AM1028" s="39"/>
      <c r="AN1028" s="39"/>
      <c r="AO1028" s="39"/>
      <c r="AP1028" s="39"/>
      <c r="AQ1028" s="39"/>
      <c r="AR1028" s="39"/>
      <c r="AS1028" s="39"/>
      <c r="AT1028" s="39"/>
      <c r="AU1028" s="39"/>
      <c r="AV1028" s="39"/>
      <c r="AW1028" t="str" s="39" cm="1">
        <f t="array" ref="AW1028">AF1028&amp;"; "&amp;AG1028&amp;"; "&amp;AH1028&amp;"; "&amp;AI1028&amp;"; "&amp;AJ1028</f>
        <v>E6; E3; E1; D4; I5</v>
      </c>
    </row>
    <row r="1029" ht="13.65" customHeight="1">
      <c r="A1029" t="s" s="35">
        <v>6716</v>
      </c>
      <c r="B1029" s="36">
        <v>11</v>
      </c>
      <c r="C1029" t="s" s="35">
        <v>220</v>
      </c>
      <c r="D1029" t="s" s="35">
        <v>6180</v>
      </c>
      <c r="E1029" t="s" s="35">
        <v>6631</v>
      </c>
      <c r="F1029" s="36">
        <v>26</v>
      </c>
      <c r="G1029" t="s" s="35">
        <v>6709</v>
      </c>
      <c r="H1029" t="s" s="35">
        <v>6710</v>
      </c>
      <c r="I1029" t="s" s="120">
        <v>6717</v>
      </c>
      <c r="J1029" t="s" s="35">
        <v>6185</v>
      </c>
      <c r="K1029" t="s" s="35">
        <v>1058</v>
      </c>
      <c r="L1029" s="39"/>
      <c r="M1029" t="str" s="39">
        <v>Sin marco</v>
      </c>
      <c r="N1029" t="str" s="39">
        <v>Sin marco</v>
      </c>
      <c r="O1029" t="str" s="39" cm="1">
        <f t="array" ref="O1029">IF(L1029="","",_xlfn.IFERROR(INDEX('Datos - Catálogo TIMSS'!$C$5:$C$107,MATCH(L1029,'Datos - Catálogo TIMSS'!$A$5:$A$107,0)),"?"))</f>
      </c>
      <c r="P1029" t="s" s="35">
        <v>1058</v>
      </c>
      <c r="Q1029" t="s" s="120">
        <v>6186</v>
      </c>
      <c r="R1029" t="s" s="120">
        <v>6718</v>
      </c>
      <c r="S1029" s="121" cm="1">
        <f t="array" ref="S1029">_xlfn.IFERROR(ISNUMBER(SEARCH("Conocer",$R1029))/(ISNUMBER(SEARCH("Conocer",$R1029))+ISNUMBER(SEARCH("Aplicar",$R1029))+ISNUMBER(SEARCH("Razonar",$R1029))),0)</f>
        <v>0</v>
      </c>
      <c r="T1029" s="121" cm="1">
        <f t="array" ref="T1029">_xlfn.IFERROR(ISNUMBER(SEARCH("Aplicar",$R1029))/(ISNUMBER(SEARCH("Conocer",$R1029))+ISNUMBER(SEARCH("Aplicar",$R1029))+ISNUMBER(SEARCH("Razonar",$R1029))),0)</f>
        <v>0.5</v>
      </c>
      <c r="U1029" s="121" cm="1">
        <f t="array" ref="U1029">_xlfn.IFERROR(ISNUMBER(SEARCH("Razonar",$R1029))/(ISNUMBER(SEARCH("Conocer",$R1029))+ISNUMBER(SEARCH("Aplicar",$R1029))+ISNUMBER(SEARCH("Razonar",$R1029))),0)</f>
        <v>0.5</v>
      </c>
      <c r="V1029" t="s" s="35">
        <v>1407</v>
      </c>
      <c r="W1029" t="s" s="35">
        <v>6188</v>
      </c>
      <c r="X1029" s="36" cm="1">
        <f t="array" ref="X1029">IF(OR(_xlfn.IFERROR(INDEX('Datos - Catálogo TIMSS'!$I$5:$I$107,MATCH(K1029,'Datos - Catálogo TIMSS'!$A$5:$A$107,0)),"No")="Sí",_xlfn.IFERROR(INDEX('Datos - Catálogo TIMSS'!$I$5:$I$107,MATCH(L1029,'Datos - Catálogo TIMSS'!$A$5:$A$107,0)),"No")="Sí"),1,0)</f>
        <v>0</v>
      </c>
      <c r="Y1029" s="36" cm="1">
        <f t="array" ref="Y1029">IF(_xlfn.IFERROR(INDEX('Datos - Catálogo TIMSS'!$J$5:$J$107,MATCH(K1029,'Datos - Catálogo TIMSS'!$A$5:$A$107,0)),"No")="Sí",1,0)</f>
        <v>0</v>
      </c>
      <c r="Z1029" s="36" cm="1">
        <f t="array" ref="Z1029">IF(_xlfn.IFERROR(INDEX('Datos - Catálogo TIMSS'!$J$5:$J$107,MATCH(L1029,'Datos - Catálogo TIMSS'!$A$5:$A$107,0)),"No")="Sí",1,0)</f>
        <v>0</v>
      </c>
      <c r="AA1029" t="s" s="35">
        <v>1058</v>
      </c>
      <c r="AB1029" s="39"/>
      <c r="AC1029" t="str" s="39">
        <v>Sin marco</v>
      </c>
      <c r="AD1029" t="s" s="35">
        <v>1859</v>
      </c>
      <c r="AE1029" t="str" s="39" cm="1">
        <f t="array" ref="AE1029">IF(AD1029="","",IF(LEFT(AD1029,1)="1","C1",IF(LEFT(AD1029,1)="2","C2",IF(LEFT(AD1029,1)="3","C3",""))))</f>
        <v>C1</v>
      </c>
      <c r="AF1029" t="s" s="35">
        <v>1602</v>
      </c>
      <c r="AG1029" t="s" s="35">
        <v>1607</v>
      </c>
      <c r="AH1029" t="s" s="35">
        <v>1605</v>
      </c>
      <c r="AI1029" t="s" s="35">
        <v>1609</v>
      </c>
      <c r="AJ1029" t="s" s="35">
        <v>1621</v>
      </c>
      <c r="AK1029" s="39"/>
      <c r="AL1029" s="39"/>
      <c r="AM1029" s="39"/>
      <c r="AN1029" s="39"/>
      <c r="AO1029" s="39"/>
      <c r="AP1029" s="39"/>
      <c r="AQ1029" s="39"/>
      <c r="AR1029" s="39"/>
      <c r="AS1029" s="39"/>
      <c r="AT1029" s="39"/>
      <c r="AU1029" s="39"/>
      <c r="AV1029" s="39"/>
      <c r="AW1029" t="str" s="39" cm="1">
        <f t="array" ref="AW1029">AF1029&amp;"; "&amp;AG1029&amp;"; "&amp;AH1029&amp;"; "&amp;AI1029&amp;"; "&amp;AJ1029</f>
        <v>E1; E3; E2; E4; D3</v>
      </c>
    </row>
    <row r="1030" ht="13.65" customHeight="1">
      <c r="A1030" t="s" s="35">
        <v>6719</v>
      </c>
      <c r="B1030" s="36">
        <v>11</v>
      </c>
      <c r="C1030" t="s" s="35">
        <v>220</v>
      </c>
      <c r="D1030" t="s" s="35">
        <v>6180</v>
      </c>
      <c r="E1030" t="s" s="35">
        <v>6631</v>
      </c>
      <c r="F1030" s="36">
        <v>27</v>
      </c>
      <c r="G1030" t="s" s="35">
        <v>6709</v>
      </c>
      <c r="H1030" t="s" s="35">
        <v>6720</v>
      </c>
      <c r="I1030" t="s" s="120">
        <v>6721</v>
      </c>
      <c r="J1030" t="s" s="35">
        <v>6185</v>
      </c>
      <c r="K1030" t="s" s="35">
        <v>1058</v>
      </c>
      <c r="L1030" s="39"/>
      <c r="M1030" t="str" s="39">
        <v>Sin marco</v>
      </c>
      <c r="N1030" t="str" s="39">
        <v>Sin marco</v>
      </c>
      <c r="O1030" t="str" s="39" cm="1">
        <f t="array" ref="O1030">IF(L1030="","",_xlfn.IFERROR(INDEX('Datos - Catálogo TIMSS'!$C$5:$C$107,MATCH(L1030,'Datos - Catálogo TIMSS'!$A$5:$A$107,0)),"?"))</f>
      </c>
      <c r="P1030" t="s" s="35">
        <v>1058</v>
      </c>
      <c r="Q1030" t="s" s="120">
        <v>6186</v>
      </c>
      <c r="R1030" t="s" s="120">
        <v>6722</v>
      </c>
      <c r="S1030" s="121" cm="1">
        <f t="array" ref="S1030">_xlfn.IFERROR(ISNUMBER(SEARCH("Conocer",$R1030))/(ISNUMBER(SEARCH("Conocer",$R1030))+ISNUMBER(SEARCH("Aplicar",$R1030))+ISNUMBER(SEARCH("Razonar",$R1030))),0)</f>
        <v>0.5</v>
      </c>
      <c r="T1030" s="121" cm="1">
        <f t="array" ref="T1030">_xlfn.IFERROR(ISNUMBER(SEARCH("Aplicar",$R1030))/(ISNUMBER(SEARCH("Conocer",$R1030))+ISNUMBER(SEARCH("Aplicar",$R1030))+ISNUMBER(SEARCH("Razonar",$R1030))),0)</f>
        <v>0.5</v>
      </c>
      <c r="U1030" s="121" cm="1">
        <f t="array" ref="U1030">_xlfn.IFERROR(ISNUMBER(SEARCH("Razonar",$R1030))/(ISNUMBER(SEARCH("Conocer",$R1030))+ISNUMBER(SEARCH("Aplicar",$R1030))+ISNUMBER(SEARCH("Razonar",$R1030))),0)</f>
        <v>0</v>
      </c>
      <c r="V1030" t="s" s="35">
        <v>1407</v>
      </c>
      <c r="W1030" t="s" s="35">
        <v>6188</v>
      </c>
      <c r="X1030" s="36" cm="1">
        <f t="array" ref="X1030">IF(OR(_xlfn.IFERROR(INDEX('Datos - Catálogo TIMSS'!$I$5:$I$107,MATCH(K1030,'Datos - Catálogo TIMSS'!$A$5:$A$107,0)),"No")="Sí",_xlfn.IFERROR(INDEX('Datos - Catálogo TIMSS'!$I$5:$I$107,MATCH(L1030,'Datos - Catálogo TIMSS'!$A$5:$A$107,0)),"No")="Sí"),1,0)</f>
        <v>0</v>
      </c>
      <c r="Y1030" s="36" cm="1">
        <f t="array" ref="Y1030">IF(_xlfn.IFERROR(INDEX('Datos - Catálogo TIMSS'!$J$5:$J$107,MATCH(K1030,'Datos - Catálogo TIMSS'!$A$5:$A$107,0)),"No")="Sí",1,0)</f>
        <v>0</v>
      </c>
      <c r="Z1030" s="36" cm="1">
        <f t="array" ref="Z1030">IF(_xlfn.IFERROR(INDEX('Datos - Catálogo TIMSS'!$J$5:$J$107,MATCH(L1030,'Datos - Catálogo TIMSS'!$A$5:$A$107,0)),"No")="Sí",1,0)</f>
        <v>0</v>
      </c>
      <c r="AA1030" t="s" s="35">
        <v>1058</v>
      </c>
      <c r="AB1030" s="39"/>
      <c r="AC1030" t="str" s="39">
        <v>Sin marco</v>
      </c>
      <c r="AD1030" t="s" s="35">
        <v>1859</v>
      </c>
      <c r="AE1030" t="str" s="39" cm="1">
        <f t="array" ref="AE1030">IF(AD1030="","",IF(LEFT(AD1030,1)="1","C1",IF(LEFT(AD1030,1)="2","C2",IF(LEFT(AD1030,1)="3","C3",""))))</f>
        <v>C1</v>
      </c>
      <c r="AF1030" t="s" s="35">
        <v>1602</v>
      </c>
      <c r="AG1030" t="s" s="35">
        <v>1612</v>
      </c>
      <c r="AH1030" t="s" s="35">
        <v>1602</v>
      </c>
      <c r="AI1030" t="s" s="35">
        <v>1623</v>
      </c>
      <c r="AJ1030" t="s" s="35">
        <v>1607</v>
      </c>
      <c r="AK1030" s="39"/>
      <c r="AL1030" s="39"/>
      <c r="AM1030" s="39"/>
      <c r="AN1030" s="39"/>
      <c r="AO1030" s="39"/>
      <c r="AP1030" s="39"/>
      <c r="AQ1030" s="39"/>
      <c r="AR1030" s="39"/>
      <c r="AS1030" s="39"/>
      <c r="AT1030" s="39"/>
      <c r="AU1030" s="39"/>
      <c r="AV1030" s="39"/>
      <c r="AW1030" t="str" s="39" cm="1">
        <f t="array" ref="AW1030">AF1030&amp;"; "&amp;AG1030&amp;"; "&amp;AH1030&amp;"; "&amp;AI1030&amp;"; "&amp;AJ1030</f>
        <v>E1; E5; E1; D4; E3</v>
      </c>
    </row>
    <row r="1031" ht="13.65" customHeight="1">
      <c r="A1031" t="s" s="35">
        <v>6723</v>
      </c>
      <c r="B1031" s="36">
        <v>11</v>
      </c>
      <c r="C1031" t="s" s="35">
        <v>220</v>
      </c>
      <c r="D1031" t="s" s="35">
        <v>6180</v>
      </c>
      <c r="E1031" t="s" s="35">
        <v>6631</v>
      </c>
      <c r="F1031" s="36">
        <v>28</v>
      </c>
      <c r="G1031" t="s" s="35">
        <v>6709</v>
      </c>
      <c r="H1031" t="s" s="35">
        <v>6720</v>
      </c>
      <c r="I1031" t="s" s="120">
        <v>6724</v>
      </c>
      <c r="J1031" t="s" s="35">
        <v>6185</v>
      </c>
      <c r="K1031" t="s" s="35">
        <v>1058</v>
      </c>
      <c r="L1031" s="39"/>
      <c r="M1031" t="str" s="39">
        <v>Sin marco</v>
      </c>
      <c r="N1031" t="str" s="39">
        <v>Sin marco</v>
      </c>
      <c r="O1031" t="str" s="39" cm="1">
        <f t="array" ref="O1031">IF(L1031="","",_xlfn.IFERROR(INDEX('Datos - Catálogo TIMSS'!$C$5:$C$107,MATCH(L1031,'Datos - Catálogo TIMSS'!$A$5:$A$107,0)),"?"))</f>
      </c>
      <c r="P1031" t="s" s="35">
        <v>1058</v>
      </c>
      <c r="Q1031" t="s" s="120">
        <v>6186</v>
      </c>
      <c r="R1031" t="s" s="120">
        <v>6725</v>
      </c>
      <c r="S1031" s="121" cm="1">
        <f t="array" ref="S1031">_xlfn.IFERROR(ISNUMBER(SEARCH("Conocer",$R1031))/(ISNUMBER(SEARCH("Conocer",$R1031))+ISNUMBER(SEARCH("Aplicar",$R1031))+ISNUMBER(SEARCH("Razonar",$R1031))),0)</f>
        <v>0</v>
      </c>
      <c r="T1031" s="121" cm="1">
        <f t="array" ref="T1031">_xlfn.IFERROR(ISNUMBER(SEARCH("Aplicar",$R1031))/(ISNUMBER(SEARCH("Conocer",$R1031))+ISNUMBER(SEARCH("Aplicar",$R1031))+ISNUMBER(SEARCH("Razonar",$R1031))),0)</f>
        <v>0.5</v>
      </c>
      <c r="U1031" s="121" cm="1">
        <f t="array" ref="U1031">_xlfn.IFERROR(ISNUMBER(SEARCH("Razonar",$R1031))/(ISNUMBER(SEARCH("Conocer",$R1031))+ISNUMBER(SEARCH("Aplicar",$R1031))+ISNUMBER(SEARCH("Razonar",$R1031))),0)</f>
        <v>0.5</v>
      </c>
      <c r="V1031" t="s" s="35">
        <v>1407</v>
      </c>
      <c r="W1031" t="s" s="35">
        <v>6188</v>
      </c>
      <c r="X1031" s="36" cm="1">
        <f t="array" ref="X1031">IF(OR(_xlfn.IFERROR(INDEX('Datos - Catálogo TIMSS'!$I$5:$I$107,MATCH(K1031,'Datos - Catálogo TIMSS'!$A$5:$A$107,0)),"No")="Sí",_xlfn.IFERROR(INDEX('Datos - Catálogo TIMSS'!$I$5:$I$107,MATCH(L1031,'Datos - Catálogo TIMSS'!$A$5:$A$107,0)),"No")="Sí"),1,0)</f>
        <v>0</v>
      </c>
      <c r="Y1031" s="36" cm="1">
        <f t="array" ref="Y1031">IF(_xlfn.IFERROR(INDEX('Datos - Catálogo TIMSS'!$J$5:$J$107,MATCH(K1031,'Datos - Catálogo TIMSS'!$A$5:$A$107,0)),"No")="Sí",1,0)</f>
        <v>0</v>
      </c>
      <c r="Z1031" s="36" cm="1">
        <f t="array" ref="Z1031">IF(_xlfn.IFERROR(INDEX('Datos - Catálogo TIMSS'!$J$5:$J$107,MATCH(L1031,'Datos - Catálogo TIMSS'!$A$5:$A$107,0)),"No")="Sí",1,0)</f>
        <v>0</v>
      </c>
      <c r="AA1031" t="s" s="35">
        <v>1058</v>
      </c>
      <c r="AB1031" s="39"/>
      <c r="AC1031" t="str" s="39">
        <v>Sin marco</v>
      </c>
      <c r="AD1031" t="s" s="35">
        <v>1834</v>
      </c>
      <c r="AE1031" t="str" s="39" cm="1">
        <f t="array" ref="AE1031">IF(AD1031="","",IF(LEFT(AD1031,1)="1","C1",IF(LEFT(AD1031,1)="2","C2",IF(LEFT(AD1031,1)="3","C3",""))))</f>
        <v>C2</v>
      </c>
      <c r="AF1031" t="s" s="35">
        <v>1602</v>
      </c>
      <c r="AG1031" t="s" s="35">
        <v>1607</v>
      </c>
      <c r="AH1031" t="s" s="35">
        <v>1609</v>
      </c>
      <c r="AI1031" t="s" s="35">
        <v>1623</v>
      </c>
      <c r="AJ1031" t="s" s="35">
        <v>1621</v>
      </c>
      <c r="AK1031" s="39"/>
      <c r="AL1031" s="39"/>
      <c r="AM1031" s="39"/>
      <c r="AN1031" s="39"/>
      <c r="AO1031" s="39"/>
      <c r="AP1031" s="39"/>
      <c r="AQ1031" s="39"/>
      <c r="AR1031" s="39"/>
      <c r="AS1031" s="39"/>
      <c r="AT1031" s="39"/>
      <c r="AU1031" s="39"/>
      <c r="AV1031" s="39"/>
      <c r="AW1031" t="str" s="39" cm="1">
        <f t="array" ref="AW1031">AF1031&amp;"; "&amp;AG1031&amp;"; "&amp;AH1031&amp;"; "&amp;AI1031&amp;"; "&amp;AJ1031</f>
        <v>E1; E3; E4; D4; D3</v>
      </c>
    </row>
    <row r="1032" ht="13.65" customHeight="1">
      <c r="A1032" t="s" s="35">
        <v>6726</v>
      </c>
      <c r="B1032" s="36">
        <v>11</v>
      </c>
      <c r="C1032" t="s" s="35">
        <v>220</v>
      </c>
      <c r="D1032" t="s" s="35">
        <v>6180</v>
      </c>
      <c r="E1032" t="s" s="35">
        <v>6631</v>
      </c>
      <c r="F1032" s="36">
        <v>29</v>
      </c>
      <c r="G1032" t="s" s="35">
        <v>6709</v>
      </c>
      <c r="H1032" t="s" s="35">
        <v>6720</v>
      </c>
      <c r="I1032" t="s" s="120">
        <v>6727</v>
      </c>
      <c r="J1032" t="s" s="35">
        <v>6185</v>
      </c>
      <c r="K1032" t="s" s="35">
        <v>1058</v>
      </c>
      <c r="L1032" s="39"/>
      <c r="M1032" t="str" s="39">
        <v>Sin marco</v>
      </c>
      <c r="N1032" t="str" s="39">
        <v>Sin marco</v>
      </c>
      <c r="O1032" t="str" s="39" cm="1">
        <f t="array" ref="O1032">IF(L1032="","",_xlfn.IFERROR(INDEX('Datos - Catálogo TIMSS'!$C$5:$C$107,MATCH(L1032,'Datos - Catálogo TIMSS'!$A$5:$A$107,0)),"?"))</f>
      </c>
      <c r="P1032" t="s" s="35">
        <v>1058</v>
      </c>
      <c r="Q1032" t="s" s="120">
        <v>6186</v>
      </c>
      <c r="R1032" t="s" s="120">
        <v>6728</v>
      </c>
      <c r="S1032" s="121" cm="1">
        <f t="array" ref="S1032">_xlfn.IFERROR(ISNUMBER(SEARCH("Conocer",$R1032))/(ISNUMBER(SEARCH("Conocer",$R1032))+ISNUMBER(SEARCH("Aplicar",$R1032))+ISNUMBER(SEARCH("Razonar",$R1032))),0)</f>
        <v>0</v>
      </c>
      <c r="T1032" s="121" cm="1">
        <f t="array" ref="T1032">_xlfn.IFERROR(ISNUMBER(SEARCH("Aplicar",$R1032))/(ISNUMBER(SEARCH("Conocer",$R1032))+ISNUMBER(SEARCH("Aplicar",$R1032))+ISNUMBER(SEARCH("Razonar",$R1032))),0)</f>
        <v>0.5</v>
      </c>
      <c r="U1032" s="121" cm="1">
        <f t="array" ref="U1032">_xlfn.IFERROR(ISNUMBER(SEARCH("Razonar",$R1032))/(ISNUMBER(SEARCH("Conocer",$R1032))+ISNUMBER(SEARCH("Aplicar",$R1032))+ISNUMBER(SEARCH("Razonar",$R1032))),0)</f>
        <v>0.5</v>
      </c>
      <c r="V1032" t="s" s="35">
        <v>1407</v>
      </c>
      <c r="W1032" t="s" s="35">
        <v>6188</v>
      </c>
      <c r="X1032" s="36" cm="1">
        <f t="array" ref="X1032">IF(OR(_xlfn.IFERROR(INDEX('Datos - Catálogo TIMSS'!$I$5:$I$107,MATCH(K1032,'Datos - Catálogo TIMSS'!$A$5:$A$107,0)),"No")="Sí",_xlfn.IFERROR(INDEX('Datos - Catálogo TIMSS'!$I$5:$I$107,MATCH(L1032,'Datos - Catálogo TIMSS'!$A$5:$A$107,0)),"No")="Sí"),1,0)</f>
        <v>0</v>
      </c>
      <c r="Y1032" s="36" cm="1">
        <f t="array" ref="Y1032">IF(_xlfn.IFERROR(INDEX('Datos - Catálogo TIMSS'!$J$5:$J$107,MATCH(K1032,'Datos - Catálogo TIMSS'!$A$5:$A$107,0)),"No")="Sí",1,0)</f>
        <v>0</v>
      </c>
      <c r="Z1032" s="36" cm="1">
        <f t="array" ref="Z1032">IF(_xlfn.IFERROR(INDEX('Datos - Catálogo TIMSS'!$J$5:$J$107,MATCH(L1032,'Datos - Catálogo TIMSS'!$A$5:$A$107,0)),"No")="Sí",1,0)</f>
        <v>0</v>
      </c>
      <c r="AA1032" t="s" s="35">
        <v>1058</v>
      </c>
      <c r="AB1032" s="39"/>
      <c r="AC1032" t="str" s="39">
        <v>Sin marco</v>
      </c>
      <c r="AD1032" t="s" s="35">
        <v>1859</v>
      </c>
      <c r="AE1032" t="str" s="39" cm="1">
        <f t="array" ref="AE1032">IF(AD1032="","",IF(LEFT(AD1032,1)="1","C1",IF(LEFT(AD1032,1)="2","C2",IF(LEFT(AD1032,1)="3","C3",""))))</f>
        <v>C1</v>
      </c>
      <c r="AF1032" t="s" s="35">
        <v>1602</v>
      </c>
      <c r="AG1032" t="s" s="35">
        <v>1607</v>
      </c>
      <c r="AH1032" t="s" s="35">
        <v>1605</v>
      </c>
      <c r="AI1032" t="s" s="35">
        <v>1609</v>
      </c>
      <c r="AJ1032" t="s" s="35">
        <v>1607</v>
      </c>
      <c r="AK1032" s="39"/>
      <c r="AL1032" s="39"/>
      <c r="AM1032" s="39"/>
      <c r="AN1032" s="39"/>
      <c r="AO1032" s="39"/>
      <c r="AP1032" s="39"/>
      <c r="AQ1032" s="39"/>
      <c r="AR1032" s="39"/>
      <c r="AS1032" s="39"/>
      <c r="AT1032" s="39"/>
      <c r="AU1032" s="39"/>
      <c r="AV1032" s="39"/>
      <c r="AW1032" t="str" s="39" cm="1">
        <f t="array" ref="AW1032">AF1032&amp;"; "&amp;AG1032&amp;"; "&amp;AH1032&amp;"; "&amp;AI1032&amp;"; "&amp;AJ1032</f>
        <v>E1; E3; E2; E4; E3</v>
      </c>
    </row>
    <row r="1033" ht="13.65" customHeight="1">
      <c r="A1033" t="s" s="35">
        <v>6729</v>
      </c>
      <c r="B1033" s="36">
        <v>11</v>
      </c>
      <c r="C1033" t="s" s="35">
        <v>220</v>
      </c>
      <c r="D1033" t="s" s="35">
        <v>6180</v>
      </c>
      <c r="E1033" t="s" s="35">
        <v>6631</v>
      </c>
      <c r="F1033" s="36">
        <v>30</v>
      </c>
      <c r="G1033" t="s" s="35">
        <v>6709</v>
      </c>
      <c r="H1033" t="s" s="35">
        <v>6720</v>
      </c>
      <c r="I1033" t="s" s="120">
        <v>6730</v>
      </c>
      <c r="J1033" t="s" s="35">
        <v>6185</v>
      </c>
      <c r="K1033" t="s" s="35">
        <v>1058</v>
      </c>
      <c r="L1033" s="39"/>
      <c r="M1033" t="str" s="39">
        <v>Sin marco</v>
      </c>
      <c r="N1033" t="str" s="39">
        <v>Sin marco</v>
      </c>
      <c r="O1033" t="str" s="39" cm="1">
        <f t="array" ref="O1033">IF(L1033="","",_xlfn.IFERROR(INDEX('Datos - Catálogo TIMSS'!$C$5:$C$107,MATCH(L1033,'Datos - Catálogo TIMSS'!$A$5:$A$107,0)),"?"))</f>
      </c>
      <c r="P1033" t="s" s="35">
        <v>1058</v>
      </c>
      <c r="Q1033" t="s" s="120">
        <v>6186</v>
      </c>
      <c r="R1033" t="s" s="120">
        <v>6731</v>
      </c>
      <c r="S1033" s="121" cm="1">
        <f t="array" ref="S1033">_xlfn.IFERROR(ISNUMBER(SEARCH("Conocer",$R1033))/(ISNUMBER(SEARCH("Conocer",$R1033))+ISNUMBER(SEARCH("Aplicar",$R1033))+ISNUMBER(SEARCH("Razonar",$R1033))),0)</f>
        <v>0.5</v>
      </c>
      <c r="T1033" s="121" cm="1">
        <f t="array" ref="T1033">_xlfn.IFERROR(ISNUMBER(SEARCH("Aplicar",$R1033))/(ISNUMBER(SEARCH("Conocer",$R1033))+ISNUMBER(SEARCH("Aplicar",$R1033))+ISNUMBER(SEARCH("Razonar",$R1033))),0)</f>
        <v>0.5</v>
      </c>
      <c r="U1033" s="121" cm="1">
        <f t="array" ref="U1033">_xlfn.IFERROR(ISNUMBER(SEARCH("Razonar",$R1033))/(ISNUMBER(SEARCH("Conocer",$R1033))+ISNUMBER(SEARCH("Aplicar",$R1033))+ISNUMBER(SEARCH("Razonar",$R1033))),0)</f>
        <v>0</v>
      </c>
      <c r="V1033" t="s" s="35">
        <v>1407</v>
      </c>
      <c r="W1033" t="s" s="35">
        <v>6188</v>
      </c>
      <c r="X1033" s="36" cm="1">
        <f t="array" ref="X1033">IF(OR(_xlfn.IFERROR(INDEX('Datos - Catálogo TIMSS'!$I$5:$I$107,MATCH(K1033,'Datos - Catálogo TIMSS'!$A$5:$A$107,0)),"No")="Sí",_xlfn.IFERROR(INDEX('Datos - Catálogo TIMSS'!$I$5:$I$107,MATCH(L1033,'Datos - Catálogo TIMSS'!$A$5:$A$107,0)),"No")="Sí"),1,0)</f>
        <v>0</v>
      </c>
      <c r="Y1033" s="36" cm="1">
        <f t="array" ref="Y1033">IF(_xlfn.IFERROR(INDEX('Datos - Catálogo TIMSS'!$J$5:$J$107,MATCH(K1033,'Datos - Catálogo TIMSS'!$A$5:$A$107,0)),"No")="Sí",1,0)</f>
        <v>0</v>
      </c>
      <c r="Z1033" s="36" cm="1">
        <f t="array" ref="Z1033">IF(_xlfn.IFERROR(INDEX('Datos - Catálogo TIMSS'!$J$5:$J$107,MATCH(L1033,'Datos - Catálogo TIMSS'!$A$5:$A$107,0)),"No")="Sí",1,0)</f>
        <v>0</v>
      </c>
      <c r="AA1033" t="s" s="35">
        <v>1058</v>
      </c>
      <c r="AB1033" s="39"/>
      <c r="AC1033" t="str" s="39">
        <v>Sin marco</v>
      </c>
      <c r="AD1033" t="s" s="35">
        <v>1859</v>
      </c>
      <c r="AE1033" t="str" s="39" cm="1">
        <f t="array" ref="AE1033">IF(AD1033="","",IF(LEFT(AD1033,1)="1","C1",IF(LEFT(AD1033,1)="2","C2",IF(LEFT(AD1033,1)="3","C3",""))))</f>
        <v>C1</v>
      </c>
      <c r="AF1033" t="s" s="35">
        <v>1615</v>
      </c>
      <c r="AG1033" t="s" s="35">
        <v>1617</v>
      </c>
      <c r="AH1033" t="s" s="35">
        <v>1602</v>
      </c>
      <c r="AI1033" t="s" s="35">
        <v>1609</v>
      </c>
      <c r="AJ1033" t="s" s="35">
        <v>1607</v>
      </c>
      <c r="AK1033" s="39"/>
      <c r="AL1033" s="39"/>
      <c r="AM1033" s="39"/>
      <c r="AN1033" s="39"/>
      <c r="AO1033" s="39"/>
      <c r="AP1033" s="39"/>
      <c r="AQ1033" s="39"/>
      <c r="AR1033" s="39"/>
      <c r="AS1033" s="39"/>
      <c r="AT1033" s="39"/>
      <c r="AU1033" s="39"/>
      <c r="AV1033" s="39"/>
      <c r="AW1033" t="str" s="39" cm="1">
        <f t="array" ref="AW1033">AF1033&amp;"; "&amp;AG1033&amp;"; "&amp;AH1033&amp;"; "&amp;AI1033&amp;"; "&amp;AJ1033</f>
        <v>E6; D1; E1; E4; E3</v>
      </c>
    </row>
    <row r="1034" ht="13.65" customHeight="1">
      <c r="A1034" t="s" s="35">
        <v>6732</v>
      </c>
      <c r="B1034" s="36">
        <v>11</v>
      </c>
      <c r="C1034" t="s" s="35">
        <v>220</v>
      </c>
      <c r="D1034" t="s" s="35">
        <v>6180</v>
      </c>
      <c r="E1034" t="s" s="35">
        <v>6631</v>
      </c>
      <c r="F1034" s="36">
        <v>31</v>
      </c>
      <c r="G1034" t="s" s="35">
        <v>6709</v>
      </c>
      <c r="H1034" t="s" s="35">
        <v>6720</v>
      </c>
      <c r="I1034" t="s" s="120">
        <v>6733</v>
      </c>
      <c r="J1034" t="s" s="35">
        <v>6185</v>
      </c>
      <c r="K1034" t="s" s="35">
        <v>1058</v>
      </c>
      <c r="L1034" s="39"/>
      <c r="M1034" t="str" s="39">
        <v>Sin marco</v>
      </c>
      <c r="N1034" t="str" s="39">
        <v>Sin marco</v>
      </c>
      <c r="O1034" t="str" s="39" cm="1">
        <f t="array" ref="O1034">IF(L1034="","",_xlfn.IFERROR(INDEX('Datos - Catálogo TIMSS'!$C$5:$C$107,MATCH(L1034,'Datos - Catálogo TIMSS'!$A$5:$A$107,0)),"?"))</f>
      </c>
      <c r="P1034" t="s" s="35">
        <v>1058</v>
      </c>
      <c r="Q1034" t="s" s="120">
        <v>6186</v>
      </c>
      <c r="R1034" t="s" s="120">
        <v>6734</v>
      </c>
      <c r="S1034" s="121" cm="1">
        <f t="array" ref="S1034">_xlfn.IFERROR(ISNUMBER(SEARCH("Conocer",$R1034))/(ISNUMBER(SEARCH("Conocer",$R1034))+ISNUMBER(SEARCH("Aplicar",$R1034))+ISNUMBER(SEARCH("Razonar",$R1034))),0)</f>
        <v>0</v>
      </c>
      <c r="T1034" s="121" cm="1">
        <f t="array" ref="T1034">_xlfn.IFERROR(ISNUMBER(SEARCH("Aplicar",$R1034))/(ISNUMBER(SEARCH("Conocer",$R1034))+ISNUMBER(SEARCH("Aplicar",$R1034))+ISNUMBER(SEARCH("Razonar",$R1034))),0)</f>
        <v>0.5</v>
      </c>
      <c r="U1034" s="121" cm="1">
        <f t="array" ref="U1034">_xlfn.IFERROR(ISNUMBER(SEARCH("Razonar",$R1034))/(ISNUMBER(SEARCH("Conocer",$R1034))+ISNUMBER(SEARCH("Aplicar",$R1034))+ISNUMBER(SEARCH("Razonar",$R1034))),0)</f>
        <v>0.5</v>
      </c>
      <c r="V1034" t="s" s="35">
        <v>1407</v>
      </c>
      <c r="W1034" t="s" s="35">
        <v>6188</v>
      </c>
      <c r="X1034" s="36" cm="1">
        <f t="array" ref="X1034">IF(OR(_xlfn.IFERROR(INDEX('Datos - Catálogo TIMSS'!$I$5:$I$107,MATCH(K1034,'Datos - Catálogo TIMSS'!$A$5:$A$107,0)),"No")="Sí",_xlfn.IFERROR(INDEX('Datos - Catálogo TIMSS'!$I$5:$I$107,MATCH(L1034,'Datos - Catálogo TIMSS'!$A$5:$A$107,0)),"No")="Sí"),1,0)</f>
        <v>0</v>
      </c>
      <c r="Y1034" s="36" cm="1">
        <f t="array" ref="Y1034">IF(_xlfn.IFERROR(INDEX('Datos - Catálogo TIMSS'!$J$5:$J$107,MATCH(K1034,'Datos - Catálogo TIMSS'!$A$5:$A$107,0)),"No")="Sí",1,0)</f>
        <v>0</v>
      </c>
      <c r="Z1034" s="36" cm="1">
        <f t="array" ref="Z1034">IF(_xlfn.IFERROR(INDEX('Datos - Catálogo TIMSS'!$J$5:$J$107,MATCH(L1034,'Datos - Catálogo TIMSS'!$A$5:$A$107,0)),"No")="Sí",1,0)</f>
        <v>0</v>
      </c>
      <c r="AA1034" t="s" s="35">
        <v>1058</v>
      </c>
      <c r="AB1034" s="39"/>
      <c r="AC1034" t="str" s="39">
        <v>Sin marco</v>
      </c>
      <c r="AD1034" t="s" s="35">
        <v>1834</v>
      </c>
      <c r="AE1034" t="str" s="39" cm="1">
        <f t="array" ref="AE1034">IF(AD1034="","",IF(LEFT(AD1034,1)="1","C1",IF(LEFT(AD1034,1)="2","C2",IF(LEFT(AD1034,1)="3","C3",""))))</f>
        <v>C2</v>
      </c>
      <c r="AF1034" t="s" s="35">
        <v>1602</v>
      </c>
      <c r="AG1034" t="s" s="35">
        <v>1607</v>
      </c>
      <c r="AH1034" t="s" s="35">
        <v>1605</v>
      </c>
      <c r="AI1034" t="s" s="35">
        <v>1619</v>
      </c>
      <c r="AJ1034" t="s" s="35">
        <v>1621</v>
      </c>
      <c r="AK1034" s="39"/>
      <c r="AL1034" s="39"/>
      <c r="AM1034" s="39"/>
      <c r="AN1034" s="39"/>
      <c r="AO1034" s="39"/>
      <c r="AP1034" s="39"/>
      <c r="AQ1034" s="39"/>
      <c r="AR1034" s="39"/>
      <c r="AS1034" s="39"/>
      <c r="AT1034" s="39"/>
      <c r="AU1034" s="39"/>
      <c r="AV1034" s="39"/>
      <c r="AW1034" t="str" s="39" cm="1">
        <f t="array" ref="AW1034">AF1034&amp;"; "&amp;AG1034&amp;"; "&amp;AH1034&amp;"; "&amp;AI1034&amp;"; "&amp;AJ1034</f>
        <v>E1; E3; E2; D2; D3</v>
      </c>
    </row>
    <row r="1035" ht="13.65" customHeight="1">
      <c r="A1035" t="s" s="35">
        <v>6735</v>
      </c>
      <c r="B1035" s="36">
        <v>11</v>
      </c>
      <c r="C1035" t="s" s="35">
        <v>220</v>
      </c>
      <c r="D1035" t="s" s="35">
        <v>6180</v>
      </c>
      <c r="E1035" t="s" s="35">
        <v>6631</v>
      </c>
      <c r="F1035" s="36">
        <v>32</v>
      </c>
      <c r="G1035" t="s" s="35">
        <v>6709</v>
      </c>
      <c r="H1035" t="s" s="35">
        <v>6720</v>
      </c>
      <c r="I1035" t="s" s="120">
        <v>6736</v>
      </c>
      <c r="J1035" t="s" s="35">
        <v>6185</v>
      </c>
      <c r="K1035" t="s" s="35">
        <v>1058</v>
      </c>
      <c r="L1035" s="39"/>
      <c r="M1035" t="str" s="39">
        <v>Sin marco</v>
      </c>
      <c r="N1035" t="str" s="39">
        <v>Sin marco</v>
      </c>
      <c r="O1035" t="str" s="39" cm="1">
        <f t="array" ref="O1035">IF(L1035="","",_xlfn.IFERROR(INDEX('Datos - Catálogo TIMSS'!$C$5:$C$107,MATCH(L1035,'Datos - Catálogo TIMSS'!$A$5:$A$107,0)),"?"))</f>
      </c>
      <c r="P1035" t="s" s="35">
        <v>1058</v>
      </c>
      <c r="Q1035" t="s" s="120">
        <v>6186</v>
      </c>
      <c r="R1035" t="s" s="120">
        <v>6737</v>
      </c>
      <c r="S1035" s="121" cm="1">
        <f t="array" ref="S1035">_xlfn.IFERROR(ISNUMBER(SEARCH("Conocer",$R1035))/(ISNUMBER(SEARCH("Conocer",$R1035))+ISNUMBER(SEARCH("Aplicar",$R1035))+ISNUMBER(SEARCH("Razonar",$R1035))),0)</f>
        <v>0</v>
      </c>
      <c r="T1035" s="121" cm="1">
        <f t="array" ref="T1035">_xlfn.IFERROR(ISNUMBER(SEARCH("Aplicar",$R1035))/(ISNUMBER(SEARCH("Conocer",$R1035))+ISNUMBER(SEARCH("Aplicar",$R1035))+ISNUMBER(SEARCH("Razonar",$R1035))),0)</f>
        <v>0.5</v>
      </c>
      <c r="U1035" s="121" cm="1">
        <f t="array" ref="U1035">_xlfn.IFERROR(ISNUMBER(SEARCH("Razonar",$R1035))/(ISNUMBER(SEARCH("Conocer",$R1035))+ISNUMBER(SEARCH("Aplicar",$R1035))+ISNUMBER(SEARCH("Razonar",$R1035))),0)</f>
        <v>0.5</v>
      </c>
      <c r="V1035" t="s" s="35">
        <v>1407</v>
      </c>
      <c r="W1035" t="s" s="35">
        <v>6188</v>
      </c>
      <c r="X1035" s="36" cm="1">
        <f t="array" ref="X1035">IF(OR(_xlfn.IFERROR(INDEX('Datos - Catálogo TIMSS'!$I$5:$I$107,MATCH(K1035,'Datos - Catálogo TIMSS'!$A$5:$A$107,0)),"No")="Sí",_xlfn.IFERROR(INDEX('Datos - Catálogo TIMSS'!$I$5:$I$107,MATCH(L1035,'Datos - Catálogo TIMSS'!$A$5:$A$107,0)),"No")="Sí"),1,0)</f>
        <v>0</v>
      </c>
      <c r="Y1035" s="36" cm="1">
        <f t="array" ref="Y1035">IF(_xlfn.IFERROR(INDEX('Datos - Catálogo TIMSS'!$J$5:$J$107,MATCH(K1035,'Datos - Catálogo TIMSS'!$A$5:$A$107,0)),"No")="Sí",1,0)</f>
        <v>0</v>
      </c>
      <c r="Z1035" s="36" cm="1">
        <f t="array" ref="Z1035">IF(_xlfn.IFERROR(INDEX('Datos - Catálogo TIMSS'!$J$5:$J$107,MATCH(L1035,'Datos - Catálogo TIMSS'!$A$5:$A$107,0)),"No")="Sí",1,0)</f>
        <v>0</v>
      </c>
      <c r="AA1035" t="s" s="35">
        <v>1058</v>
      </c>
      <c r="AB1035" s="39"/>
      <c r="AC1035" t="str" s="39">
        <v>Sin marco</v>
      </c>
      <c r="AD1035" t="s" s="35">
        <v>1859</v>
      </c>
      <c r="AE1035" t="str" s="39" cm="1">
        <f t="array" ref="AE1035">IF(AD1035="","",IF(LEFT(AD1035,1)="1","C1",IF(LEFT(AD1035,1)="2","C2",IF(LEFT(AD1035,1)="3","C3",""))))</f>
        <v>C1</v>
      </c>
      <c r="AF1035" t="s" s="35">
        <v>1602</v>
      </c>
      <c r="AG1035" t="s" s="35">
        <v>1607</v>
      </c>
      <c r="AH1035" t="s" s="35">
        <v>1605</v>
      </c>
      <c r="AI1035" t="s" s="35">
        <v>1609</v>
      </c>
      <c r="AJ1035" t="s" s="35">
        <v>1631</v>
      </c>
      <c r="AK1035" s="39"/>
      <c r="AL1035" s="39"/>
      <c r="AM1035" s="39"/>
      <c r="AN1035" s="39"/>
      <c r="AO1035" s="39"/>
      <c r="AP1035" s="39"/>
      <c r="AQ1035" s="39"/>
      <c r="AR1035" s="39"/>
      <c r="AS1035" s="39"/>
      <c r="AT1035" s="39"/>
      <c r="AU1035" s="39"/>
      <c r="AV1035" s="39"/>
      <c r="AW1035" t="str" s="39" cm="1">
        <f t="array" ref="AW1035">AF1035&amp;"; "&amp;AG1035&amp;"; "&amp;AH1035&amp;"; "&amp;AI1035&amp;"; "&amp;AJ1035</f>
        <v>E1; E3; E2; E4; I4</v>
      </c>
    </row>
    <row r="1036" ht="13.65" customHeight="1">
      <c r="A1036" t="s" s="35">
        <v>6738</v>
      </c>
      <c r="B1036" s="36">
        <v>11</v>
      </c>
      <c r="C1036" t="s" s="35">
        <v>220</v>
      </c>
      <c r="D1036" t="s" s="35">
        <v>6180</v>
      </c>
      <c r="E1036" t="s" s="35">
        <v>6631</v>
      </c>
      <c r="F1036" s="36">
        <v>33</v>
      </c>
      <c r="G1036" t="s" s="35">
        <v>6709</v>
      </c>
      <c r="H1036" t="s" s="35">
        <v>6739</v>
      </c>
      <c r="I1036" t="s" s="120">
        <v>6740</v>
      </c>
      <c r="J1036" t="s" s="35">
        <v>6185</v>
      </c>
      <c r="K1036" t="s" s="35">
        <v>1058</v>
      </c>
      <c r="L1036" s="39"/>
      <c r="M1036" t="str" s="39">
        <v>Sin marco</v>
      </c>
      <c r="N1036" t="str" s="39">
        <v>Sin marco</v>
      </c>
      <c r="O1036" t="str" s="39" cm="1">
        <f t="array" ref="O1036">IF(L1036="","",_xlfn.IFERROR(INDEX('Datos - Catálogo TIMSS'!$C$5:$C$107,MATCH(L1036,'Datos - Catálogo TIMSS'!$A$5:$A$107,0)),"?"))</f>
      </c>
      <c r="P1036" t="s" s="35">
        <v>1058</v>
      </c>
      <c r="Q1036" t="s" s="120">
        <v>6186</v>
      </c>
      <c r="R1036" t="s" s="120">
        <v>6741</v>
      </c>
      <c r="S1036" s="121" cm="1">
        <f t="array" ref="S1036">_xlfn.IFERROR(ISNUMBER(SEARCH("Conocer",$R1036))/(ISNUMBER(SEARCH("Conocer",$R1036))+ISNUMBER(SEARCH("Aplicar",$R1036))+ISNUMBER(SEARCH("Razonar",$R1036))),0)</f>
        <v>0.5</v>
      </c>
      <c r="T1036" s="121" cm="1">
        <f t="array" ref="T1036">_xlfn.IFERROR(ISNUMBER(SEARCH("Aplicar",$R1036))/(ISNUMBER(SEARCH("Conocer",$R1036))+ISNUMBER(SEARCH("Aplicar",$R1036))+ISNUMBER(SEARCH("Razonar",$R1036))),0)</f>
        <v>0</v>
      </c>
      <c r="U1036" s="121" cm="1">
        <f t="array" ref="U1036">_xlfn.IFERROR(ISNUMBER(SEARCH("Razonar",$R1036))/(ISNUMBER(SEARCH("Conocer",$R1036))+ISNUMBER(SEARCH("Aplicar",$R1036))+ISNUMBER(SEARCH("Razonar",$R1036))),0)</f>
        <v>0.5</v>
      </c>
      <c r="V1036" t="s" s="35">
        <v>1407</v>
      </c>
      <c r="W1036" t="s" s="35">
        <v>6188</v>
      </c>
      <c r="X1036" s="36" cm="1">
        <f t="array" ref="X1036">IF(OR(_xlfn.IFERROR(INDEX('Datos - Catálogo TIMSS'!$I$5:$I$107,MATCH(K1036,'Datos - Catálogo TIMSS'!$A$5:$A$107,0)),"No")="Sí",_xlfn.IFERROR(INDEX('Datos - Catálogo TIMSS'!$I$5:$I$107,MATCH(L1036,'Datos - Catálogo TIMSS'!$A$5:$A$107,0)),"No")="Sí"),1,0)</f>
        <v>0</v>
      </c>
      <c r="Y1036" s="36" cm="1">
        <f t="array" ref="Y1036">IF(_xlfn.IFERROR(INDEX('Datos - Catálogo TIMSS'!$J$5:$J$107,MATCH(K1036,'Datos - Catálogo TIMSS'!$A$5:$A$107,0)),"No")="Sí",1,0)</f>
        <v>0</v>
      </c>
      <c r="Z1036" s="36" cm="1">
        <f t="array" ref="Z1036">IF(_xlfn.IFERROR(INDEX('Datos - Catálogo TIMSS'!$J$5:$J$107,MATCH(L1036,'Datos - Catálogo TIMSS'!$A$5:$A$107,0)),"No")="Sí",1,0)</f>
        <v>0</v>
      </c>
      <c r="AA1036" t="s" s="35">
        <v>1058</v>
      </c>
      <c r="AB1036" s="39"/>
      <c r="AC1036" t="str" s="39">
        <v>Sin marco</v>
      </c>
      <c r="AD1036" t="s" s="35">
        <v>1900</v>
      </c>
      <c r="AE1036" t="str" s="39" cm="1">
        <f t="array" ref="AE1036">IF(AD1036="","",IF(LEFT(AD1036,1)="1","C1",IF(LEFT(AD1036,1)="2","C2",IF(LEFT(AD1036,1)="3","C3",""))))</f>
        <v>C3</v>
      </c>
      <c r="AF1036" t="s" s="35">
        <v>1615</v>
      </c>
      <c r="AG1036" t="s" s="35">
        <v>1617</v>
      </c>
      <c r="AH1036" t="s" s="35">
        <v>1602</v>
      </c>
      <c r="AI1036" t="s" s="35">
        <v>1625</v>
      </c>
      <c r="AJ1036" t="s" s="35">
        <v>1633</v>
      </c>
      <c r="AK1036" s="39"/>
      <c r="AL1036" s="39"/>
      <c r="AM1036" s="39"/>
      <c r="AN1036" s="39"/>
      <c r="AO1036" s="39"/>
      <c r="AP1036" s="39"/>
      <c r="AQ1036" s="39"/>
      <c r="AR1036" s="39"/>
      <c r="AS1036" s="39"/>
      <c r="AT1036" s="39"/>
      <c r="AU1036" s="39"/>
      <c r="AV1036" s="39"/>
      <c r="AW1036" t="str" s="39" cm="1">
        <f t="array" ref="AW1036">AF1036&amp;"; "&amp;AG1036&amp;"; "&amp;AH1036&amp;"; "&amp;AI1036&amp;"; "&amp;AJ1036</f>
        <v>E6; D1; E1; I1; I5</v>
      </c>
    </row>
    <row r="1037" ht="13.65" customHeight="1">
      <c r="A1037" t="s" s="35">
        <v>6742</v>
      </c>
      <c r="B1037" s="36">
        <v>11</v>
      </c>
      <c r="C1037" t="s" s="35">
        <v>220</v>
      </c>
      <c r="D1037" t="s" s="35">
        <v>6180</v>
      </c>
      <c r="E1037" t="s" s="35">
        <v>6631</v>
      </c>
      <c r="F1037" s="36">
        <v>34</v>
      </c>
      <c r="G1037" t="s" s="35">
        <v>6709</v>
      </c>
      <c r="H1037" t="s" s="35">
        <v>6739</v>
      </c>
      <c r="I1037" t="s" s="120">
        <v>6743</v>
      </c>
      <c r="J1037" t="s" s="35">
        <v>6185</v>
      </c>
      <c r="K1037" t="s" s="35">
        <v>1058</v>
      </c>
      <c r="L1037" s="39"/>
      <c r="M1037" t="str" s="39">
        <v>Sin marco</v>
      </c>
      <c r="N1037" t="str" s="39">
        <v>Sin marco</v>
      </c>
      <c r="O1037" t="str" s="39" cm="1">
        <f t="array" ref="O1037">IF(L1037="","",_xlfn.IFERROR(INDEX('Datos - Catálogo TIMSS'!$C$5:$C$107,MATCH(L1037,'Datos - Catálogo TIMSS'!$A$5:$A$107,0)),"?"))</f>
      </c>
      <c r="P1037" t="s" s="35">
        <v>1058</v>
      </c>
      <c r="Q1037" t="s" s="120">
        <v>6186</v>
      </c>
      <c r="R1037" t="s" s="120">
        <v>6744</v>
      </c>
      <c r="S1037" s="121" cm="1">
        <f t="array" ref="S1037">_xlfn.IFERROR(ISNUMBER(SEARCH("Conocer",$R1037))/(ISNUMBER(SEARCH("Conocer",$R1037))+ISNUMBER(SEARCH("Aplicar",$R1037))+ISNUMBER(SEARCH("Razonar",$R1037))),0)</f>
        <v>0</v>
      </c>
      <c r="T1037" s="121" cm="1">
        <f t="array" ref="T1037">_xlfn.IFERROR(ISNUMBER(SEARCH("Aplicar",$R1037))/(ISNUMBER(SEARCH("Conocer",$R1037))+ISNUMBER(SEARCH("Aplicar",$R1037))+ISNUMBER(SEARCH("Razonar",$R1037))),0)</f>
        <v>0.5</v>
      </c>
      <c r="U1037" s="121" cm="1">
        <f t="array" ref="U1037">_xlfn.IFERROR(ISNUMBER(SEARCH("Razonar",$R1037))/(ISNUMBER(SEARCH("Conocer",$R1037))+ISNUMBER(SEARCH("Aplicar",$R1037))+ISNUMBER(SEARCH("Razonar",$R1037))),0)</f>
        <v>0.5</v>
      </c>
      <c r="V1037" t="s" s="35">
        <v>1407</v>
      </c>
      <c r="W1037" t="s" s="35">
        <v>6188</v>
      </c>
      <c r="X1037" s="36" cm="1">
        <f t="array" ref="X1037">IF(OR(_xlfn.IFERROR(INDEX('Datos - Catálogo TIMSS'!$I$5:$I$107,MATCH(K1037,'Datos - Catálogo TIMSS'!$A$5:$A$107,0)),"No")="Sí",_xlfn.IFERROR(INDEX('Datos - Catálogo TIMSS'!$I$5:$I$107,MATCH(L1037,'Datos - Catálogo TIMSS'!$A$5:$A$107,0)),"No")="Sí"),1,0)</f>
        <v>0</v>
      </c>
      <c r="Y1037" s="36" cm="1">
        <f t="array" ref="Y1037">IF(_xlfn.IFERROR(INDEX('Datos - Catálogo TIMSS'!$J$5:$J$107,MATCH(K1037,'Datos - Catálogo TIMSS'!$A$5:$A$107,0)),"No")="Sí",1,0)</f>
        <v>0</v>
      </c>
      <c r="Z1037" s="36" cm="1">
        <f t="array" ref="Z1037">IF(_xlfn.IFERROR(INDEX('Datos - Catálogo TIMSS'!$J$5:$J$107,MATCH(L1037,'Datos - Catálogo TIMSS'!$A$5:$A$107,0)),"No")="Sí",1,0)</f>
        <v>0</v>
      </c>
      <c r="AA1037" t="s" s="35">
        <v>1058</v>
      </c>
      <c r="AB1037" s="39"/>
      <c r="AC1037" t="str" s="39">
        <v>Sin marco</v>
      </c>
      <c r="AD1037" t="s" s="35">
        <v>1900</v>
      </c>
      <c r="AE1037" t="str" s="39" cm="1">
        <f t="array" ref="AE1037">IF(AD1037="","",IF(LEFT(AD1037,1)="1","C1",IF(LEFT(AD1037,1)="2","C2",IF(LEFT(AD1037,1)="3","C3",""))))</f>
        <v>C3</v>
      </c>
      <c r="AF1037" t="s" s="35">
        <v>1615</v>
      </c>
      <c r="AG1037" t="s" s="35">
        <v>1612</v>
      </c>
      <c r="AH1037" t="s" s="35">
        <v>1609</v>
      </c>
      <c r="AI1037" t="s" s="35">
        <v>1629</v>
      </c>
      <c r="AJ1037" t="s" s="35">
        <v>1615</v>
      </c>
      <c r="AK1037" s="39"/>
      <c r="AL1037" s="39"/>
      <c r="AM1037" s="39"/>
      <c r="AN1037" s="39"/>
      <c r="AO1037" s="39"/>
      <c r="AP1037" s="39"/>
      <c r="AQ1037" s="39"/>
      <c r="AR1037" s="39"/>
      <c r="AS1037" s="39"/>
      <c r="AT1037" s="39"/>
      <c r="AU1037" s="39"/>
      <c r="AV1037" s="39"/>
      <c r="AW1037" t="str" s="39" cm="1">
        <f t="array" ref="AW1037">AF1037&amp;"; "&amp;AG1037&amp;"; "&amp;AH1037&amp;"; "&amp;AI1037&amp;"; "&amp;AJ1037</f>
        <v>E6; E5; E4; I3; E6</v>
      </c>
    </row>
    <row r="1038" ht="13.65" customHeight="1">
      <c r="A1038" t="s" s="35">
        <v>6746</v>
      </c>
      <c r="B1038" s="36">
        <v>11</v>
      </c>
      <c r="C1038" t="s" s="35">
        <v>220</v>
      </c>
      <c r="D1038" t="s" s="35">
        <v>6180</v>
      </c>
      <c r="E1038" t="s" s="35">
        <v>6631</v>
      </c>
      <c r="F1038" s="36">
        <v>35</v>
      </c>
      <c r="G1038" t="s" s="35">
        <v>6709</v>
      </c>
      <c r="H1038" t="s" s="35">
        <v>6739</v>
      </c>
      <c r="I1038" t="s" s="120">
        <v>6747</v>
      </c>
      <c r="J1038" t="s" s="35">
        <v>6185</v>
      </c>
      <c r="K1038" t="s" s="35">
        <v>1058</v>
      </c>
      <c r="L1038" s="39"/>
      <c r="M1038" t="str" s="39">
        <v>Sin marco</v>
      </c>
      <c r="N1038" t="str" s="39">
        <v>Sin marco</v>
      </c>
      <c r="O1038" t="str" s="39" cm="1">
        <f t="array" ref="O1038">IF(L1038="","",_xlfn.IFERROR(INDEX('Datos - Catálogo TIMSS'!$C$5:$C$107,MATCH(L1038,'Datos - Catálogo TIMSS'!$A$5:$A$107,0)),"?"))</f>
      </c>
      <c r="P1038" t="s" s="35">
        <v>1058</v>
      </c>
      <c r="Q1038" t="s" s="120">
        <v>6186</v>
      </c>
      <c r="R1038" t="s" s="120">
        <v>6748</v>
      </c>
      <c r="S1038" s="121" cm="1">
        <f t="array" ref="S1038">_xlfn.IFERROR(ISNUMBER(SEARCH("Conocer",$R1038))/(ISNUMBER(SEARCH("Conocer",$R1038))+ISNUMBER(SEARCH("Aplicar",$R1038))+ISNUMBER(SEARCH("Razonar",$R1038))),0)</f>
        <v>0</v>
      </c>
      <c r="T1038" s="121" cm="1">
        <f t="array" ref="T1038">_xlfn.IFERROR(ISNUMBER(SEARCH("Aplicar",$R1038))/(ISNUMBER(SEARCH("Conocer",$R1038))+ISNUMBER(SEARCH("Aplicar",$R1038))+ISNUMBER(SEARCH("Razonar",$R1038))),0)</f>
        <v>0.5</v>
      </c>
      <c r="U1038" s="121" cm="1">
        <f t="array" ref="U1038">_xlfn.IFERROR(ISNUMBER(SEARCH("Razonar",$R1038))/(ISNUMBER(SEARCH("Conocer",$R1038))+ISNUMBER(SEARCH("Aplicar",$R1038))+ISNUMBER(SEARCH("Razonar",$R1038))),0)</f>
        <v>0.5</v>
      </c>
      <c r="V1038" t="s" s="35">
        <v>1407</v>
      </c>
      <c r="W1038" t="s" s="35">
        <v>6188</v>
      </c>
      <c r="X1038" s="36" cm="1">
        <f t="array" ref="X1038">IF(OR(_xlfn.IFERROR(INDEX('Datos - Catálogo TIMSS'!$I$5:$I$107,MATCH(K1038,'Datos - Catálogo TIMSS'!$A$5:$A$107,0)),"No")="Sí",_xlfn.IFERROR(INDEX('Datos - Catálogo TIMSS'!$I$5:$I$107,MATCH(L1038,'Datos - Catálogo TIMSS'!$A$5:$A$107,0)),"No")="Sí"),1,0)</f>
        <v>0</v>
      </c>
      <c r="Y1038" s="36" cm="1">
        <f t="array" ref="Y1038">IF(_xlfn.IFERROR(INDEX('Datos - Catálogo TIMSS'!$J$5:$J$107,MATCH(K1038,'Datos - Catálogo TIMSS'!$A$5:$A$107,0)),"No")="Sí",1,0)</f>
        <v>0</v>
      </c>
      <c r="Z1038" s="36" cm="1">
        <f t="array" ref="Z1038">IF(_xlfn.IFERROR(INDEX('Datos - Catálogo TIMSS'!$J$5:$J$107,MATCH(L1038,'Datos - Catálogo TIMSS'!$A$5:$A$107,0)),"No")="Sí",1,0)</f>
        <v>0</v>
      </c>
      <c r="AA1038" t="s" s="35">
        <v>1058</v>
      </c>
      <c r="AB1038" s="39"/>
      <c r="AC1038" t="str" s="39">
        <v>Sin marco</v>
      </c>
      <c r="AD1038" t="s" s="35">
        <v>1859</v>
      </c>
      <c r="AE1038" t="str" s="39" cm="1">
        <f t="array" ref="AE1038">IF(AD1038="","",IF(LEFT(AD1038,1)="1","C1",IF(LEFT(AD1038,1)="2","C2",IF(LEFT(AD1038,1)="3","C3",""))))</f>
        <v>C1</v>
      </c>
      <c r="AF1038" t="s" s="35">
        <v>1602</v>
      </c>
      <c r="AG1038" t="s" s="35">
        <v>1607</v>
      </c>
      <c r="AH1038" t="s" s="35">
        <v>1605</v>
      </c>
      <c r="AI1038" t="s" s="35">
        <v>1609</v>
      </c>
      <c r="AJ1038" t="s" s="35">
        <v>1607</v>
      </c>
      <c r="AK1038" s="39"/>
      <c r="AL1038" s="39"/>
      <c r="AM1038" s="39"/>
      <c r="AN1038" s="39"/>
      <c r="AO1038" s="39"/>
      <c r="AP1038" s="39"/>
      <c r="AQ1038" s="39"/>
      <c r="AR1038" s="39"/>
      <c r="AS1038" s="39"/>
      <c r="AT1038" s="39"/>
      <c r="AU1038" s="39"/>
      <c r="AV1038" s="39"/>
      <c r="AW1038" t="str" s="39" cm="1">
        <f t="array" ref="AW1038">AF1038&amp;"; "&amp;AG1038&amp;"; "&amp;AH1038&amp;"; "&amp;AI1038&amp;"; "&amp;AJ1038</f>
        <v>E1; E3; E2; E4; E3</v>
      </c>
    </row>
    <row r="1039" ht="13.65" customHeight="1">
      <c r="A1039" t="s" s="35">
        <v>6749</v>
      </c>
      <c r="B1039" s="36">
        <v>11</v>
      </c>
      <c r="C1039" t="s" s="35">
        <v>220</v>
      </c>
      <c r="D1039" t="s" s="35">
        <v>6180</v>
      </c>
      <c r="E1039" t="s" s="35">
        <v>6631</v>
      </c>
      <c r="F1039" s="36">
        <v>36</v>
      </c>
      <c r="G1039" t="s" s="35">
        <v>6709</v>
      </c>
      <c r="H1039" t="s" s="35">
        <v>6750</v>
      </c>
      <c r="I1039" t="s" s="120">
        <v>6751</v>
      </c>
      <c r="J1039" t="s" s="35">
        <v>6185</v>
      </c>
      <c r="K1039" t="s" s="35">
        <v>1058</v>
      </c>
      <c r="L1039" s="39"/>
      <c r="M1039" t="str" s="39">
        <v>Sin marco</v>
      </c>
      <c r="N1039" t="str" s="39">
        <v>Sin marco</v>
      </c>
      <c r="O1039" t="str" s="39" cm="1">
        <f t="array" ref="O1039">IF(L1039="","",_xlfn.IFERROR(INDEX('Datos - Catálogo TIMSS'!$C$5:$C$107,MATCH(L1039,'Datos - Catálogo TIMSS'!$A$5:$A$107,0)),"?"))</f>
      </c>
      <c r="P1039" t="s" s="35">
        <v>1058</v>
      </c>
      <c r="Q1039" t="s" s="120">
        <v>6186</v>
      </c>
      <c r="R1039" t="s" s="120">
        <v>6752</v>
      </c>
      <c r="S1039" s="121" cm="1">
        <f t="array" ref="S1039">_xlfn.IFERROR(ISNUMBER(SEARCH("Conocer",$R1039))/(ISNUMBER(SEARCH("Conocer",$R1039))+ISNUMBER(SEARCH("Aplicar",$R1039))+ISNUMBER(SEARCH("Razonar",$R1039))),0)</f>
        <v>0.5</v>
      </c>
      <c r="T1039" s="121" cm="1">
        <f t="array" ref="T1039">_xlfn.IFERROR(ISNUMBER(SEARCH("Aplicar",$R1039))/(ISNUMBER(SEARCH("Conocer",$R1039))+ISNUMBER(SEARCH("Aplicar",$R1039))+ISNUMBER(SEARCH("Razonar",$R1039))),0)</f>
        <v>0</v>
      </c>
      <c r="U1039" s="121" cm="1">
        <f t="array" ref="U1039">_xlfn.IFERROR(ISNUMBER(SEARCH("Razonar",$R1039))/(ISNUMBER(SEARCH("Conocer",$R1039))+ISNUMBER(SEARCH("Aplicar",$R1039))+ISNUMBER(SEARCH("Razonar",$R1039))),0)</f>
        <v>0.5</v>
      </c>
      <c r="V1039" t="s" s="35">
        <v>1407</v>
      </c>
      <c r="W1039" t="s" s="35">
        <v>6188</v>
      </c>
      <c r="X1039" s="36" cm="1">
        <f t="array" ref="X1039">IF(OR(_xlfn.IFERROR(INDEX('Datos - Catálogo TIMSS'!$I$5:$I$107,MATCH(K1039,'Datos - Catálogo TIMSS'!$A$5:$A$107,0)),"No")="Sí",_xlfn.IFERROR(INDEX('Datos - Catálogo TIMSS'!$I$5:$I$107,MATCH(L1039,'Datos - Catálogo TIMSS'!$A$5:$A$107,0)),"No")="Sí"),1,0)</f>
        <v>0</v>
      </c>
      <c r="Y1039" s="36" cm="1">
        <f t="array" ref="Y1039">IF(_xlfn.IFERROR(INDEX('Datos - Catálogo TIMSS'!$J$5:$J$107,MATCH(K1039,'Datos - Catálogo TIMSS'!$A$5:$A$107,0)),"No")="Sí",1,0)</f>
        <v>0</v>
      </c>
      <c r="Z1039" s="36" cm="1">
        <f t="array" ref="Z1039">IF(_xlfn.IFERROR(INDEX('Datos - Catálogo TIMSS'!$J$5:$J$107,MATCH(L1039,'Datos - Catálogo TIMSS'!$A$5:$A$107,0)),"No")="Sí",1,0)</f>
        <v>0</v>
      </c>
      <c r="AA1039" t="s" s="35">
        <v>1058</v>
      </c>
      <c r="AB1039" s="39"/>
      <c r="AC1039" t="str" s="39">
        <v>Sin marco</v>
      </c>
      <c r="AD1039" t="s" s="35">
        <v>1859</v>
      </c>
      <c r="AE1039" t="str" s="39" cm="1">
        <f t="array" ref="AE1039">IF(AD1039="","",IF(LEFT(AD1039,1)="1","C1",IF(LEFT(AD1039,1)="2","C2",IF(LEFT(AD1039,1)="3","C3",""))))</f>
        <v>C1</v>
      </c>
      <c r="AF1039" t="s" s="35">
        <v>1602</v>
      </c>
      <c r="AG1039" t="s" s="35">
        <v>1607</v>
      </c>
      <c r="AH1039" t="s" s="35">
        <v>1609</v>
      </c>
      <c r="AI1039" t="s" s="35">
        <v>1609</v>
      </c>
      <c r="AJ1039" t="s" s="35">
        <v>1615</v>
      </c>
      <c r="AK1039" s="39"/>
      <c r="AL1039" s="39"/>
      <c r="AM1039" s="39"/>
      <c r="AN1039" s="39"/>
      <c r="AO1039" s="39"/>
      <c r="AP1039" s="39"/>
      <c r="AQ1039" s="39"/>
      <c r="AR1039" s="39"/>
      <c r="AS1039" s="39"/>
      <c r="AT1039" s="39"/>
      <c r="AU1039" s="39"/>
      <c r="AV1039" s="39"/>
      <c r="AW1039" t="str" s="39" cm="1">
        <f t="array" ref="AW1039">AF1039&amp;"; "&amp;AG1039&amp;"; "&amp;AH1039&amp;"; "&amp;AI1039&amp;"; "&amp;AJ1039</f>
        <v>E1; E3; E4; E4; E6</v>
      </c>
    </row>
    <row r="1040" ht="13.65" customHeight="1">
      <c r="A1040" t="s" s="35">
        <v>6754</v>
      </c>
      <c r="B1040" s="36">
        <v>11</v>
      </c>
      <c r="C1040" t="s" s="35">
        <v>220</v>
      </c>
      <c r="D1040" t="s" s="35">
        <v>6180</v>
      </c>
      <c r="E1040" t="s" s="35">
        <v>6631</v>
      </c>
      <c r="F1040" s="36">
        <v>37</v>
      </c>
      <c r="G1040" t="s" s="35">
        <v>6709</v>
      </c>
      <c r="H1040" t="s" s="35">
        <v>6750</v>
      </c>
      <c r="I1040" t="s" s="120">
        <v>6755</v>
      </c>
      <c r="J1040" t="s" s="35">
        <v>6185</v>
      </c>
      <c r="K1040" t="s" s="35">
        <v>1058</v>
      </c>
      <c r="L1040" s="39"/>
      <c r="M1040" t="str" s="39">
        <v>Sin marco</v>
      </c>
      <c r="N1040" t="str" s="39">
        <v>Sin marco</v>
      </c>
      <c r="O1040" t="str" s="39" cm="1">
        <f t="array" ref="O1040">IF(L1040="","",_xlfn.IFERROR(INDEX('Datos - Catálogo TIMSS'!$C$5:$C$107,MATCH(L1040,'Datos - Catálogo TIMSS'!$A$5:$A$107,0)),"?"))</f>
      </c>
      <c r="P1040" t="s" s="35">
        <v>1058</v>
      </c>
      <c r="Q1040" t="s" s="120">
        <v>6186</v>
      </c>
      <c r="R1040" t="s" s="120">
        <v>6756</v>
      </c>
      <c r="S1040" s="121" cm="1">
        <f t="array" ref="S1040">_xlfn.IFERROR(ISNUMBER(SEARCH("Conocer",$R1040))/(ISNUMBER(SEARCH("Conocer",$R1040))+ISNUMBER(SEARCH("Aplicar",$R1040))+ISNUMBER(SEARCH("Razonar",$R1040))),0)</f>
        <v>0</v>
      </c>
      <c r="T1040" s="121" cm="1">
        <f t="array" ref="T1040">_xlfn.IFERROR(ISNUMBER(SEARCH("Aplicar",$R1040))/(ISNUMBER(SEARCH("Conocer",$R1040))+ISNUMBER(SEARCH("Aplicar",$R1040))+ISNUMBER(SEARCH("Razonar",$R1040))),0)</f>
        <v>0.5</v>
      </c>
      <c r="U1040" s="121" cm="1">
        <f t="array" ref="U1040">_xlfn.IFERROR(ISNUMBER(SEARCH("Razonar",$R1040))/(ISNUMBER(SEARCH("Conocer",$R1040))+ISNUMBER(SEARCH("Aplicar",$R1040))+ISNUMBER(SEARCH("Razonar",$R1040))),0)</f>
        <v>0.5</v>
      </c>
      <c r="V1040" t="s" s="35">
        <v>1407</v>
      </c>
      <c r="W1040" t="s" s="35">
        <v>6188</v>
      </c>
      <c r="X1040" s="36" cm="1">
        <f t="array" ref="X1040">IF(OR(_xlfn.IFERROR(INDEX('Datos - Catálogo TIMSS'!$I$5:$I$107,MATCH(K1040,'Datos - Catálogo TIMSS'!$A$5:$A$107,0)),"No")="Sí",_xlfn.IFERROR(INDEX('Datos - Catálogo TIMSS'!$I$5:$I$107,MATCH(L1040,'Datos - Catálogo TIMSS'!$A$5:$A$107,0)),"No")="Sí"),1,0)</f>
        <v>0</v>
      </c>
      <c r="Y1040" s="36" cm="1">
        <f t="array" ref="Y1040">IF(_xlfn.IFERROR(INDEX('Datos - Catálogo TIMSS'!$J$5:$J$107,MATCH(K1040,'Datos - Catálogo TIMSS'!$A$5:$A$107,0)),"No")="Sí",1,0)</f>
        <v>0</v>
      </c>
      <c r="Z1040" s="36" cm="1">
        <f t="array" ref="Z1040">IF(_xlfn.IFERROR(INDEX('Datos - Catálogo TIMSS'!$J$5:$J$107,MATCH(L1040,'Datos - Catálogo TIMSS'!$A$5:$A$107,0)),"No")="Sí",1,0)</f>
        <v>0</v>
      </c>
      <c r="AA1040" t="s" s="35">
        <v>1058</v>
      </c>
      <c r="AB1040" s="39"/>
      <c r="AC1040" t="str" s="39">
        <v>Sin marco</v>
      </c>
      <c r="AD1040" t="s" s="35">
        <v>1859</v>
      </c>
      <c r="AE1040" t="str" s="39" cm="1">
        <f t="array" ref="AE1040">IF(AD1040="","",IF(LEFT(AD1040,1)="1","C1",IF(LEFT(AD1040,1)="2","C2",IF(LEFT(AD1040,1)="3","C3",""))))</f>
        <v>C1</v>
      </c>
      <c r="AF1040" t="s" s="35">
        <v>1602</v>
      </c>
      <c r="AG1040" t="s" s="35">
        <v>1612</v>
      </c>
      <c r="AH1040" t="s" s="35">
        <v>1605</v>
      </c>
      <c r="AI1040" t="s" s="35">
        <v>1609</v>
      </c>
      <c r="AJ1040" t="s" s="35">
        <v>1607</v>
      </c>
      <c r="AK1040" s="39"/>
      <c r="AL1040" s="39"/>
      <c r="AM1040" s="39"/>
      <c r="AN1040" s="39"/>
      <c r="AO1040" s="39"/>
      <c r="AP1040" s="39"/>
      <c r="AQ1040" s="39"/>
      <c r="AR1040" s="39"/>
      <c r="AS1040" s="39"/>
      <c r="AT1040" s="39"/>
      <c r="AU1040" s="39"/>
      <c r="AV1040" s="39"/>
      <c r="AW1040" t="str" s="39" cm="1">
        <f t="array" ref="AW1040">AF1040&amp;"; "&amp;AG1040&amp;"; "&amp;AH1040&amp;"; "&amp;AI1040&amp;"; "&amp;AJ1040</f>
        <v>E1; E5; E2; E4; E3</v>
      </c>
    </row>
    <row r="1041" ht="13.65" customHeight="1">
      <c r="A1041" t="s" s="35">
        <v>6757</v>
      </c>
      <c r="B1041" s="36">
        <v>11</v>
      </c>
      <c r="C1041" t="s" s="35">
        <v>220</v>
      </c>
      <c r="D1041" t="s" s="35">
        <v>6180</v>
      </c>
      <c r="E1041" t="s" s="35">
        <v>6631</v>
      </c>
      <c r="F1041" s="36">
        <v>38</v>
      </c>
      <c r="G1041" t="s" s="35">
        <v>6758</v>
      </c>
      <c r="H1041" t="s" s="35">
        <v>6759</v>
      </c>
      <c r="I1041" t="s" s="120">
        <v>6760</v>
      </c>
      <c r="J1041" t="s" s="35">
        <v>6185</v>
      </c>
      <c r="K1041" t="s" s="35">
        <v>1058</v>
      </c>
      <c r="L1041" s="39"/>
      <c r="M1041" t="str" s="39">
        <v>Sin marco</v>
      </c>
      <c r="N1041" t="str" s="39">
        <v>Sin marco</v>
      </c>
      <c r="O1041" t="str" s="39" cm="1">
        <f t="array" ref="O1041">IF(L1041="","",_xlfn.IFERROR(INDEX('Datos - Catálogo TIMSS'!$C$5:$C$107,MATCH(L1041,'Datos - Catálogo TIMSS'!$A$5:$A$107,0)),"?"))</f>
      </c>
      <c r="P1041" t="s" s="35">
        <v>1058</v>
      </c>
      <c r="Q1041" t="s" s="120">
        <v>6186</v>
      </c>
      <c r="R1041" t="s" s="120">
        <v>6761</v>
      </c>
      <c r="S1041" s="121" cm="1">
        <f t="array" ref="S1041">_xlfn.IFERROR(ISNUMBER(SEARCH("Conocer",$R1041))/(ISNUMBER(SEARCH("Conocer",$R1041))+ISNUMBER(SEARCH("Aplicar",$R1041))+ISNUMBER(SEARCH("Razonar",$R1041))),0)</f>
        <v>0</v>
      </c>
      <c r="T1041" s="121" cm="1">
        <f t="array" ref="T1041">_xlfn.IFERROR(ISNUMBER(SEARCH("Aplicar",$R1041))/(ISNUMBER(SEARCH("Conocer",$R1041))+ISNUMBER(SEARCH("Aplicar",$R1041))+ISNUMBER(SEARCH("Razonar",$R1041))),0)</f>
        <v>0.5</v>
      </c>
      <c r="U1041" s="121" cm="1">
        <f t="array" ref="U1041">_xlfn.IFERROR(ISNUMBER(SEARCH("Razonar",$R1041))/(ISNUMBER(SEARCH("Conocer",$R1041))+ISNUMBER(SEARCH("Aplicar",$R1041))+ISNUMBER(SEARCH("Razonar",$R1041))),0)</f>
        <v>0.5</v>
      </c>
      <c r="V1041" t="s" s="35">
        <v>1407</v>
      </c>
      <c r="W1041" t="s" s="35">
        <v>6188</v>
      </c>
      <c r="X1041" s="36" cm="1">
        <f t="array" ref="X1041">IF(OR(_xlfn.IFERROR(INDEX('Datos - Catálogo TIMSS'!$I$5:$I$107,MATCH(K1041,'Datos - Catálogo TIMSS'!$A$5:$A$107,0)),"No")="Sí",_xlfn.IFERROR(INDEX('Datos - Catálogo TIMSS'!$I$5:$I$107,MATCH(L1041,'Datos - Catálogo TIMSS'!$A$5:$A$107,0)),"No")="Sí"),1,0)</f>
        <v>0</v>
      </c>
      <c r="Y1041" s="36" cm="1">
        <f t="array" ref="Y1041">IF(_xlfn.IFERROR(INDEX('Datos - Catálogo TIMSS'!$J$5:$J$107,MATCH(K1041,'Datos - Catálogo TIMSS'!$A$5:$A$107,0)),"No")="Sí",1,0)</f>
        <v>0</v>
      </c>
      <c r="Z1041" s="36" cm="1">
        <f t="array" ref="Z1041">IF(_xlfn.IFERROR(INDEX('Datos - Catálogo TIMSS'!$J$5:$J$107,MATCH(L1041,'Datos - Catálogo TIMSS'!$A$5:$A$107,0)),"No")="Sí",1,0)</f>
        <v>0</v>
      </c>
      <c r="AA1041" t="s" s="35">
        <v>1058</v>
      </c>
      <c r="AB1041" s="39"/>
      <c r="AC1041" t="str" s="39">
        <v>Sin marco</v>
      </c>
      <c r="AD1041" t="s" s="35">
        <v>1859</v>
      </c>
      <c r="AE1041" t="str" s="39" cm="1">
        <f t="array" ref="AE1041">IF(AD1041="","",IF(LEFT(AD1041,1)="1","C1",IF(LEFT(AD1041,1)="2","C2",IF(LEFT(AD1041,1)="3","C3",""))))</f>
        <v>C1</v>
      </c>
      <c r="AF1041" t="s" s="35">
        <v>1602</v>
      </c>
      <c r="AG1041" t="s" s="35">
        <v>1607</v>
      </c>
      <c r="AH1041" t="s" s="35">
        <v>1605</v>
      </c>
      <c r="AI1041" t="s" s="35">
        <v>1609</v>
      </c>
      <c r="AJ1041" t="s" s="35">
        <v>1607</v>
      </c>
      <c r="AK1041" s="39"/>
      <c r="AL1041" s="39"/>
      <c r="AM1041" s="39"/>
      <c r="AN1041" s="39"/>
      <c r="AO1041" s="39"/>
      <c r="AP1041" s="39"/>
      <c r="AQ1041" s="39"/>
      <c r="AR1041" s="39"/>
      <c r="AS1041" s="39"/>
      <c r="AT1041" s="39"/>
      <c r="AU1041" s="39"/>
      <c r="AV1041" s="39"/>
      <c r="AW1041" t="str" s="39" cm="1">
        <f t="array" ref="AW1041">AF1041&amp;"; "&amp;AG1041&amp;"; "&amp;AH1041&amp;"; "&amp;AI1041&amp;"; "&amp;AJ1041</f>
        <v>E1; E3; E2; E4; E3</v>
      </c>
    </row>
    <row r="1042" ht="13.65" customHeight="1">
      <c r="A1042" t="s" s="35">
        <v>6762</v>
      </c>
      <c r="B1042" s="36">
        <v>11</v>
      </c>
      <c r="C1042" t="s" s="35">
        <v>220</v>
      </c>
      <c r="D1042" t="s" s="35">
        <v>6180</v>
      </c>
      <c r="E1042" t="s" s="35">
        <v>6631</v>
      </c>
      <c r="F1042" s="36">
        <v>39</v>
      </c>
      <c r="G1042" t="s" s="35">
        <v>6758</v>
      </c>
      <c r="H1042" t="s" s="35">
        <v>6759</v>
      </c>
      <c r="I1042" t="s" s="120">
        <v>6763</v>
      </c>
      <c r="J1042" t="s" s="35">
        <v>6185</v>
      </c>
      <c r="K1042" t="s" s="35">
        <v>1058</v>
      </c>
      <c r="L1042" s="39"/>
      <c r="M1042" t="str" s="39">
        <v>Sin marco</v>
      </c>
      <c r="N1042" t="str" s="39">
        <v>Sin marco</v>
      </c>
      <c r="O1042" t="str" s="39" cm="1">
        <f t="array" ref="O1042">IF(L1042="","",_xlfn.IFERROR(INDEX('Datos - Catálogo TIMSS'!$C$5:$C$107,MATCH(L1042,'Datos - Catálogo TIMSS'!$A$5:$A$107,0)),"?"))</f>
      </c>
      <c r="P1042" t="s" s="35">
        <v>1058</v>
      </c>
      <c r="Q1042" t="s" s="120">
        <v>6186</v>
      </c>
      <c r="R1042" t="s" s="120">
        <v>6764</v>
      </c>
      <c r="S1042" s="121" cm="1">
        <f t="array" ref="S1042">_xlfn.IFERROR(ISNUMBER(SEARCH("Conocer",$R1042))/(ISNUMBER(SEARCH("Conocer",$R1042))+ISNUMBER(SEARCH("Aplicar",$R1042))+ISNUMBER(SEARCH("Razonar",$R1042))),0)</f>
        <v>0</v>
      </c>
      <c r="T1042" s="121" cm="1">
        <f t="array" ref="T1042">_xlfn.IFERROR(ISNUMBER(SEARCH("Aplicar",$R1042))/(ISNUMBER(SEARCH("Conocer",$R1042))+ISNUMBER(SEARCH("Aplicar",$R1042))+ISNUMBER(SEARCH("Razonar",$R1042))),0)</f>
        <v>0.5</v>
      </c>
      <c r="U1042" s="121" cm="1">
        <f t="array" ref="U1042">_xlfn.IFERROR(ISNUMBER(SEARCH("Razonar",$R1042))/(ISNUMBER(SEARCH("Conocer",$R1042))+ISNUMBER(SEARCH("Aplicar",$R1042))+ISNUMBER(SEARCH("Razonar",$R1042))),0)</f>
        <v>0.5</v>
      </c>
      <c r="V1042" t="s" s="35">
        <v>1407</v>
      </c>
      <c r="W1042" t="s" s="35">
        <v>6188</v>
      </c>
      <c r="X1042" s="36" cm="1">
        <f t="array" ref="X1042">IF(OR(_xlfn.IFERROR(INDEX('Datos - Catálogo TIMSS'!$I$5:$I$107,MATCH(K1042,'Datos - Catálogo TIMSS'!$A$5:$A$107,0)),"No")="Sí",_xlfn.IFERROR(INDEX('Datos - Catálogo TIMSS'!$I$5:$I$107,MATCH(L1042,'Datos - Catálogo TIMSS'!$A$5:$A$107,0)),"No")="Sí"),1,0)</f>
        <v>0</v>
      </c>
      <c r="Y1042" s="36" cm="1">
        <f t="array" ref="Y1042">IF(_xlfn.IFERROR(INDEX('Datos - Catálogo TIMSS'!$J$5:$J$107,MATCH(K1042,'Datos - Catálogo TIMSS'!$A$5:$A$107,0)),"No")="Sí",1,0)</f>
        <v>0</v>
      </c>
      <c r="Z1042" s="36" cm="1">
        <f t="array" ref="Z1042">IF(_xlfn.IFERROR(INDEX('Datos - Catálogo TIMSS'!$J$5:$J$107,MATCH(L1042,'Datos - Catálogo TIMSS'!$A$5:$A$107,0)),"No")="Sí",1,0)</f>
        <v>0</v>
      </c>
      <c r="AA1042" t="s" s="35">
        <v>1058</v>
      </c>
      <c r="AB1042" s="39"/>
      <c r="AC1042" t="str" s="39">
        <v>Sin marco</v>
      </c>
      <c r="AD1042" t="s" s="35">
        <v>1859</v>
      </c>
      <c r="AE1042" t="str" s="39" cm="1">
        <f t="array" ref="AE1042">IF(AD1042="","",IF(LEFT(AD1042,1)="1","C1",IF(LEFT(AD1042,1)="2","C2",IF(LEFT(AD1042,1)="3","C3",""))))</f>
        <v>C1</v>
      </c>
      <c r="AF1042" t="s" s="35">
        <v>1602</v>
      </c>
      <c r="AG1042" t="s" s="35">
        <v>1617</v>
      </c>
      <c r="AH1042" t="s" s="35">
        <v>1605</v>
      </c>
      <c r="AI1042" t="s" s="35">
        <v>1623</v>
      </c>
      <c r="AJ1042" t="s" s="35">
        <v>1607</v>
      </c>
      <c r="AK1042" s="39"/>
      <c r="AL1042" s="39"/>
      <c r="AM1042" s="39"/>
      <c r="AN1042" s="39"/>
      <c r="AO1042" s="39"/>
      <c r="AP1042" s="39"/>
      <c r="AQ1042" s="39"/>
      <c r="AR1042" s="39"/>
      <c r="AS1042" s="39"/>
      <c r="AT1042" s="39"/>
      <c r="AU1042" s="39"/>
      <c r="AV1042" s="39"/>
      <c r="AW1042" t="str" s="39" cm="1">
        <f t="array" ref="AW1042">AF1042&amp;"; "&amp;AG1042&amp;"; "&amp;AH1042&amp;"; "&amp;AI1042&amp;"; "&amp;AJ1042</f>
        <v>E1; D1; E2; D4; E3</v>
      </c>
    </row>
    <row r="1043" ht="13.65" customHeight="1">
      <c r="A1043" t="s" s="35">
        <v>6765</v>
      </c>
      <c r="B1043" s="36">
        <v>11</v>
      </c>
      <c r="C1043" t="s" s="35">
        <v>220</v>
      </c>
      <c r="D1043" t="s" s="35">
        <v>6180</v>
      </c>
      <c r="E1043" t="s" s="35">
        <v>6631</v>
      </c>
      <c r="F1043" s="36">
        <v>40</v>
      </c>
      <c r="G1043" t="s" s="35">
        <v>6758</v>
      </c>
      <c r="H1043" t="s" s="35">
        <v>6759</v>
      </c>
      <c r="I1043" t="s" s="120">
        <v>6766</v>
      </c>
      <c r="J1043" t="s" s="35">
        <v>6185</v>
      </c>
      <c r="K1043" t="s" s="35">
        <v>1058</v>
      </c>
      <c r="L1043" s="39"/>
      <c r="M1043" t="str" s="39">
        <v>Sin marco</v>
      </c>
      <c r="N1043" t="str" s="39">
        <v>Sin marco</v>
      </c>
      <c r="O1043" t="str" s="39" cm="1">
        <f t="array" ref="O1043">IF(L1043="","",_xlfn.IFERROR(INDEX('Datos - Catálogo TIMSS'!$C$5:$C$107,MATCH(L1043,'Datos - Catálogo TIMSS'!$A$5:$A$107,0)),"?"))</f>
      </c>
      <c r="P1043" t="s" s="35">
        <v>1058</v>
      </c>
      <c r="Q1043" t="s" s="120">
        <v>6186</v>
      </c>
      <c r="R1043" t="s" s="120">
        <v>6767</v>
      </c>
      <c r="S1043" s="121" cm="1">
        <f t="array" ref="S1043">_xlfn.IFERROR(ISNUMBER(SEARCH("Conocer",$R1043))/(ISNUMBER(SEARCH("Conocer",$R1043))+ISNUMBER(SEARCH("Aplicar",$R1043))+ISNUMBER(SEARCH("Razonar",$R1043))),0)</f>
        <v>0</v>
      </c>
      <c r="T1043" s="121" cm="1">
        <f t="array" ref="T1043">_xlfn.IFERROR(ISNUMBER(SEARCH("Aplicar",$R1043))/(ISNUMBER(SEARCH("Conocer",$R1043))+ISNUMBER(SEARCH("Aplicar",$R1043))+ISNUMBER(SEARCH("Razonar",$R1043))),0)</f>
        <v>0.5</v>
      </c>
      <c r="U1043" s="121" cm="1">
        <f t="array" ref="U1043">_xlfn.IFERROR(ISNUMBER(SEARCH("Razonar",$R1043))/(ISNUMBER(SEARCH("Conocer",$R1043))+ISNUMBER(SEARCH("Aplicar",$R1043))+ISNUMBER(SEARCH("Razonar",$R1043))),0)</f>
        <v>0.5</v>
      </c>
      <c r="V1043" t="s" s="35">
        <v>1407</v>
      </c>
      <c r="W1043" t="s" s="35">
        <v>6188</v>
      </c>
      <c r="X1043" s="36" cm="1">
        <f t="array" ref="X1043">IF(OR(_xlfn.IFERROR(INDEX('Datos - Catálogo TIMSS'!$I$5:$I$107,MATCH(K1043,'Datos - Catálogo TIMSS'!$A$5:$A$107,0)),"No")="Sí",_xlfn.IFERROR(INDEX('Datos - Catálogo TIMSS'!$I$5:$I$107,MATCH(L1043,'Datos - Catálogo TIMSS'!$A$5:$A$107,0)),"No")="Sí"),1,0)</f>
        <v>0</v>
      </c>
      <c r="Y1043" s="36" cm="1">
        <f t="array" ref="Y1043">IF(_xlfn.IFERROR(INDEX('Datos - Catálogo TIMSS'!$J$5:$J$107,MATCH(K1043,'Datos - Catálogo TIMSS'!$A$5:$A$107,0)),"No")="Sí",1,0)</f>
        <v>0</v>
      </c>
      <c r="Z1043" s="36" cm="1">
        <f t="array" ref="Z1043">IF(_xlfn.IFERROR(INDEX('Datos - Catálogo TIMSS'!$J$5:$J$107,MATCH(L1043,'Datos - Catálogo TIMSS'!$A$5:$A$107,0)),"No")="Sí",1,0)</f>
        <v>0</v>
      </c>
      <c r="AA1043" t="s" s="35">
        <v>1058</v>
      </c>
      <c r="AB1043" s="39"/>
      <c r="AC1043" t="str" s="39">
        <v>Sin marco</v>
      </c>
      <c r="AD1043" t="s" s="35">
        <v>1834</v>
      </c>
      <c r="AE1043" t="str" s="39" cm="1">
        <f t="array" ref="AE1043">IF(AD1043="","",IF(LEFT(AD1043,1)="1","C1",IF(LEFT(AD1043,1)="2","C2",IF(LEFT(AD1043,1)="3","C3",""))))</f>
        <v>C2</v>
      </c>
      <c r="AF1043" t="s" s="35">
        <v>1602</v>
      </c>
      <c r="AG1043" t="s" s="35">
        <v>1607</v>
      </c>
      <c r="AH1043" t="s" s="35">
        <v>1605</v>
      </c>
      <c r="AI1043" t="s" s="35">
        <v>1623</v>
      </c>
      <c r="AJ1043" t="s" s="35">
        <v>1621</v>
      </c>
      <c r="AK1043" s="39"/>
      <c r="AL1043" s="39"/>
      <c r="AM1043" s="39"/>
      <c r="AN1043" s="39"/>
      <c r="AO1043" s="39"/>
      <c r="AP1043" s="39"/>
      <c r="AQ1043" s="39"/>
      <c r="AR1043" s="39"/>
      <c r="AS1043" s="39"/>
      <c r="AT1043" s="39"/>
      <c r="AU1043" s="39"/>
      <c r="AV1043" s="39"/>
      <c r="AW1043" t="str" s="39" cm="1">
        <f t="array" ref="AW1043">AF1043&amp;"; "&amp;AG1043&amp;"; "&amp;AH1043&amp;"; "&amp;AI1043&amp;"; "&amp;AJ1043</f>
        <v>E1; E3; E2; D4; D3</v>
      </c>
    </row>
    <row r="1044" ht="13.65" customHeight="1">
      <c r="A1044" t="s" s="35">
        <v>6768</v>
      </c>
      <c r="B1044" s="36">
        <v>11</v>
      </c>
      <c r="C1044" t="s" s="35">
        <v>220</v>
      </c>
      <c r="D1044" t="s" s="35">
        <v>6180</v>
      </c>
      <c r="E1044" t="s" s="35">
        <v>6631</v>
      </c>
      <c r="F1044" s="36">
        <v>41</v>
      </c>
      <c r="G1044" t="s" s="35">
        <v>6758</v>
      </c>
      <c r="H1044" t="s" s="35">
        <v>6769</v>
      </c>
      <c r="I1044" t="s" s="120">
        <v>6770</v>
      </c>
      <c r="J1044" t="s" s="35">
        <v>6185</v>
      </c>
      <c r="K1044" t="s" s="35">
        <v>1058</v>
      </c>
      <c r="L1044" s="39"/>
      <c r="M1044" t="str" s="39">
        <v>Sin marco</v>
      </c>
      <c r="N1044" t="str" s="39">
        <v>Sin marco</v>
      </c>
      <c r="O1044" t="str" s="39" cm="1">
        <f t="array" ref="O1044">IF(L1044="","",_xlfn.IFERROR(INDEX('Datos - Catálogo TIMSS'!$C$5:$C$107,MATCH(L1044,'Datos - Catálogo TIMSS'!$A$5:$A$107,0)),"?"))</f>
      </c>
      <c r="P1044" t="s" s="35">
        <v>1058</v>
      </c>
      <c r="Q1044" t="s" s="120">
        <v>6186</v>
      </c>
      <c r="R1044" t="s" s="120">
        <v>6771</v>
      </c>
      <c r="S1044" s="121" cm="1">
        <f t="array" ref="S1044">_xlfn.IFERROR(ISNUMBER(SEARCH("Conocer",$R1044))/(ISNUMBER(SEARCH("Conocer",$R1044))+ISNUMBER(SEARCH("Aplicar",$R1044))+ISNUMBER(SEARCH("Razonar",$R1044))),0)</f>
        <v>0</v>
      </c>
      <c r="T1044" s="121" cm="1">
        <f t="array" ref="T1044">_xlfn.IFERROR(ISNUMBER(SEARCH("Aplicar",$R1044))/(ISNUMBER(SEARCH("Conocer",$R1044))+ISNUMBER(SEARCH("Aplicar",$R1044))+ISNUMBER(SEARCH("Razonar",$R1044))),0)</f>
        <v>0.5</v>
      </c>
      <c r="U1044" s="121" cm="1">
        <f t="array" ref="U1044">_xlfn.IFERROR(ISNUMBER(SEARCH("Razonar",$R1044))/(ISNUMBER(SEARCH("Conocer",$R1044))+ISNUMBER(SEARCH("Aplicar",$R1044))+ISNUMBER(SEARCH("Razonar",$R1044))),0)</f>
        <v>0.5</v>
      </c>
      <c r="V1044" t="s" s="35">
        <v>1407</v>
      </c>
      <c r="W1044" t="s" s="35">
        <v>6188</v>
      </c>
      <c r="X1044" s="36" cm="1">
        <f t="array" ref="X1044">IF(OR(_xlfn.IFERROR(INDEX('Datos - Catálogo TIMSS'!$I$5:$I$107,MATCH(K1044,'Datos - Catálogo TIMSS'!$A$5:$A$107,0)),"No")="Sí",_xlfn.IFERROR(INDEX('Datos - Catálogo TIMSS'!$I$5:$I$107,MATCH(L1044,'Datos - Catálogo TIMSS'!$A$5:$A$107,0)),"No")="Sí"),1,0)</f>
        <v>0</v>
      </c>
      <c r="Y1044" s="36" cm="1">
        <f t="array" ref="Y1044">IF(_xlfn.IFERROR(INDEX('Datos - Catálogo TIMSS'!$J$5:$J$107,MATCH(K1044,'Datos - Catálogo TIMSS'!$A$5:$A$107,0)),"No")="Sí",1,0)</f>
        <v>0</v>
      </c>
      <c r="Z1044" s="36" cm="1">
        <f t="array" ref="Z1044">IF(_xlfn.IFERROR(INDEX('Datos - Catálogo TIMSS'!$J$5:$J$107,MATCH(L1044,'Datos - Catálogo TIMSS'!$A$5:$A$107,0)),"No")="Sí",1,0)</f>
        <v>0</v>
      </c>
      <c r="AA1044" t="s" s="35">
        <v>1058</v>
      </c>
      <c r="AB1044" s="39"/>
      <c r="AC1044" t="str" s="39">
        <v>Sin marco</v>
      </c>
      <c r="AD1044" t="s" s="35">
        <v>1859</v>
      </c>
      <c r="AE1044" t="str" s="39" cm="1">
        <f t="array" ref="AE1044">IF(AD1044="","",IF(LEFT(AD1044,1)="1","C1",IF(LEFT(AD1044,1)="2","C2",IF(LEFT(AD1044,1)="3","C3",""))))</f>
        <v>C1</v>
      </c>
      <c r="AF1044" t="s" s="35">
        <v>1602</v>
      </c>
      <c r="AG1044" t="s" s="35">
        <v>1607</v>
      </c>
      <c r="AH1044" t="s" s="35">
        <v>1605</v>
      </c>
      <c r="AI1044" t="s" s="35">
        <v>1609</v>
      </c>
      <c r="AJ1044" t="s" s="35">
        <v>1607</v>
      </c>
      <c r="AK1044" s="39"/>
      <c r="AL1044" s="39"/>
      <c r="AM1044" s="39"/>
      <c r="AN1044" s="39"/>
      <c r="AO1044" s="39"/>
      <c r="AP1044" s="39"/>
      <c r="AQ1044" s="39"/>
      <c r="AR1044" s="39"/>
      <c r="AS1044" s="39"/>
      <c r="AT1044" s="39"/>
      <c r="AU1044" s="39"/>
      <c r="AV1044" s="39"/>
      <c r="AW1044" t="str" s="39" cm="1">
        <f t="array" ref="AW1044">AF1044&amp;"; "&amp;AG1044&amp;"; "&amp;AH1044&amp;"; "&amp;AI1044&amp;"; "&amp;AJ1044</f>
        <v>E1; E3; E2; E4; E3</v>
      </c>
    </row>
    <row r="1045" ht="13.65" customHeight="1">
      <c r="A1045" t="s" s="35">
        <v>6772</v>
      </c>
      <c r="B1045" s="36">
        <v>11</v>
      </c>
      <c r="C1045" t="s" s="35">
        <v>220</v>
      </c>
      <c r="D1045" t="s" s="35">
        <v>6180</v>
      </c>
      <c r="E1045" t="s" s="35">
        <v>6631</v>
      </c>
      <c r="F1045" s="36">
        <v>42</v>
      </c>
      <c r="G1045" t="s" s="35">
        <v>6758</v>
      </c>
      <c r="H1045" t="s" s="35">
        <v>6769</v>
      </c>
      <c r="I1045" t="s" s="120">
        <v>6773</v>
      </c>
      <c r="J1045" t="s" s="35">
        <v>6185</v>
      </c>
      <c r="K1045" t="s" s="35">
        <v>1058</v>
      </c>
      <c r="L1045" s="39"/>
      <c r="M1045" t="str" s="39">
        <v>Sin marco</v>
      </c>
      <c r="N1045" t="str" s="39">
        <v>Sin marco</v>
      </c>
      <c r="O1045" t="str" s="39" cm="1">
        <f t="array" ref="O1045">IF(L1045="","",_xlfn.IFERROR(INDEX('Datos - Catálogo TIMSS'!$C$5:$C$107,MATCH(L1045,'Datos - Catálogo TIMSS'!$A$5:$A$107,0)),"?"))</f>
      </c>
      <c r="P1045" t="s" s="35">
        <v>1058</v>
      </c>
      <c r="Q1045" t="s" s="120">
        <v>6186</v>
      </c>
      <c r="R1045" t="s" s="120">
        <v>6774</v>
      </c>
      <c r="S1045" s="121" cm="1">
        <f t="array" ref="S1045">_xlfn.IFERROR(ISNUMBER(SEARCH("Conocer",$R1045))/(ISNUMBER(SEARCH("Conocer",$R1045))+ISNUMBER(SEARCH("Aplicar",$R1045))+ISNUMBER(SEARCH("Razonar",$R1045))),0)</f>
        <v>0</v>
      </c>
      <c r="T1045" s="121" cm="1">
        <f t="array" ref="T1045">_xlfn.IFERROR(ISNUMBER(SEARCH("Aplicar",$R1045))/(ISNUMBER(SEARCH("Conocer",$R1045))+ISNUMBER(SEARCH("Aplicar",$R1045))+ISNUMBER(SEARCH("Razonar",$R1045))),0)</f>
        <v>0.5</v>
      </c>
      <c r="U1045" s="121" cm="1">
        <f t="array" ref="U1045">_xlfn.IFERROR(ISNUMBER(SEARCH("Razonar",$R1045))/(ISNUMBER(SEARCH("Conocer",$R1045))+ISNUMBER(SEARCH("Aplicar",$R1045))+ISNUMBER(SEARCH("Razonar",$R1045))),0)</f>
        <v>0.5</v>
      </c>
      <c r="V1045" t="s" s="35">
        <v>1407</v>
      </c>
      <c r="W1045" t="s" s="35">
        <v>6188</v>
      </c>
      <c r="X1045" s="36" cm="1">
        <f t="array" ref="X1045">IF(OR(_xlfn.IFERROR(INDEX('Datos - Catálogo TIMSS'!$I$5:$I$107,MATCH(K1045,'Datos - Catálogo TIMSS'!$A$5:$A$107,0)),"No")="Sí",_xlfn.IFERROR(INDEX('Datos - Catálogo TIMSS'!$I$5:$I$107,MATCH(L1045,'Datos - Catálogo TIMSS'!$A$5:$A$107,0)),"No")="Sí"),1,0)</f>
        <v>0</v>
      </c>
      <c r="Y1045" s="36" cm="1">
        <f t="array" ref="Y1045">IF(_xlfn.IFERROR(INDEX('Datos - Catálogo TIMSS'!$J$5:$J$107,MATCH(K1045,'Datos - Catálogo TIMSS'!$A$5:$A$107,0)),"No")="Sí",1,0)</f>
        <v>0</v>
      </c>
      <c r="Z1045" s="36" cm="1">
        <f t="array" ref="Z1045">IF(_xlfn.IFERROR(INDEX('Datos - Catálogo TIMSS'!$J$5:$J$107,MATCH(L1045,'Datos - Catálogo TIMSS'!$A$5:$A$107,0)),"No")="Sí",1,0)</f>
        <v>0</v>
      </c>
      <c r="AA1045" t="s" s="35">
        <v>1058</v>
      </c>
      <c r="AB1045" s="39"/>
      <c r="AC1045" t="str" s="39">
        <v>Sin marco</v>
      </c>
      <c r="AD1045" t="s" s="35">
        <v>1859</v>
      </c>
      <c r="AE1045" t="str" s="39" cm="1">
        <f t="array" ref="AE1045">IF(AD1045="","",IF(LEFT(AD1045,1)="1","C1",IF(LEFT(AD1045,1)="2","C2",IF(LEFT(AD1045,1)="3","C3",""))))</f>
        <v>C1</v>
      </c>
      <c r="AF1045" t="s" s="35">
        <v>1602</v>
      </c>
      <c r="AG1045" t="s" s="35">
        <v>1612</v>
      </c>
      <c r="AH1045" t="s" s="35">
        <v>1605</v>
      </c>
      <c r="AI1045" t="s" s="35">
        <v>1609</v>
      </c>
      <c r="AJ1045" t="s" s="35">
        <v>1607</v>
      </c>
      <c r="AK1045" s="39"/>
      <c r="AL1045" s="39"/>
      <c r="AM1045" s="39"/>
      <c r="AN1045" s="39"/>
      <c r="AO1045" s="39"/>
      <c r="AP1045" s="39"/>
      <c r="AQ1045" s="39"/>
      <c r="AR1045" s="39"/>
      <c r="AS1045" s="39"/>
      <c r="AT1045" s="39"/>
      <c r="AU1045" s="39"/>
      <c r="AV1045" s="39"/>
      <c r="AW1045" t="str" s="39" cm="1">
        <f t="array" ref="AW1045">AF1045&amp;"; "&amp;AG1045&amp;"; "&amp;AH1045&amp;"; "&amp;AI1045&amp;"; "&amp;AJ1045</f>
        <v>E1; E5; E2; E4; E3</v>
      </c>
    </row>
    <row r="1046" ht="13.65" customHeight="1">
      <c r="A1046" t="s" s="35">
        <v>6775</v>
      </c>
      <c r="B1046" s="36">
        <v>11</v>
      </c>
      <c r="C1046" t="s" s="35">
        <v>220</v>
      </c>
      <c r="D1046" t="s" s="35">
        <v>6180</v>
      </c>
      <c r="E1046" t="s" s="35">
        <v>6631</v>
      </c>
      <c r="F1046" s="36">
        <v>43</v>
      </c>
      <c r="G1046" t="s" s="35">
        <v>6758</v>
      </c>
      <c r="H1046" t="s" s="35">
        <v>6769</v>
      </c>
      <c r="I1046" t="s" s="120">
        <v>6776</v>
      </c>
      <c r="J1046" t="s" s="35">
        <v>6185</v>
      </c>
      <c r="K1046" t="s" s="35">
        <v>1058</v>
      </c>
      <c r="L1046" s="39"/>
      <c r="M1046" t="str" s="39">
        <v>Sin marco</v>
      </c>
      <c r="N1046" t="str" s="39">
        <v>Sin marco</v>
      </c>
      <c r="O1046" t="str" s="39" cm="1">
        <f t="array" ref="O1046">IF(L1046="","",_xlfn.IFERROR(INDEX('Datos - Catálogo TIMSS'!$C$5:$C$107,MATCH(L1046,'Datos - Catálogo TIMSS'!$A$5:$A$107,0)),"?"))</f>
      </c>
      <c r="P1046" t="s" s="35">
        <v>1058</v>
      </c>
      <c r="Q1046" t="s" s="120">
        <v>6186</v>
      </c>
      <c r="R1046" t="s" s="120">
        <v>6777</v>
      </c>
      <c r="S1046" s="121" cm="1">
        <f t="array" ref="S1046">_xlfn.IFERROR(ISNUMBER(SEARCH("Conocer",$R1046))/(ISNUMBER(SEARCH("Conocer",$R1046))+ISNUMBER(SEARCH("Aplicar",$R1046))+ISNUMBER(SEARCH("Razonar",$R1046))),0)</f>
        <v>0</v>
      </c>
      <c r="T1046" s="121" cm="1">
        <f t="array" ref="T1046">_xlfn.IFERROR(ISNUMBER(SEARCH("Aplicar",$R1046))/(ISNUMBER(SEARCH("Conocer",$R1046))+ISNUMBER(SEARCH("Aplicar",$R1046))+ISNUMBER(SEARCH("Razonar",$R1046))),0)</f>
        <v>0.5</v>
      </c>
      <c r="U1046" s="121" cm="1">
        <f t="array" ref="U1046">_xlfn.IFERROR(ISNUMBER(SEARCH("Razonar",$R1046))/(ISNUMBER(SEARCH("Conocer",$R1046))+ISNUMBER(SEARCH("Aplicar",$R1046))+ISNUMBER(SEARCH("Razonar",$R1046))),0)</f>
        <v>0.5</v>
      </c>
      <c r="V1046" t="s" s="35">
        <v>1407</v>
      </c>
      <c r="W1046" t="s" s="35">
        <v>6188</v>
      </c>
      <c r="X1046" s="36" cm="1">
        <f t="array" ref="X1046">IF(OR(_xlfn.IFERROR(INDEX('Datos - Catálogo TIMSS'!$I$5:$I$107,MATCH(K1046,'Datos - Catálogo TIMSS'!$A$5:$A$107,0)),"No")="Sí",_xlfn.IFERROR(INDEX('Datos - Catálogo TIMSS'!$I$5:$I$107,MATCH(L1046,'Datos - Catálogo TIMSS'!$A$5:$A$107,0)),"No")="Sí"),1,0)</f>
        <v>0</v>
      </c>
      <c r="Y1046" s="36" cm="1">
        <f t="array" ref="Y1046">IF(_xlfn.IFERROR(INDEX('Datos - Catálogo TIMSS'!$J$5:$J$107,MATCH(K1046,'Datos - Catálogo TIMSS'!$A$5:$A$107,0)),"No")="Sí",1,0)</f>
        <v>0</v>
      </c>
      <c r="Z1046" s="36" cm="1">
        <f t="array" ref="Z1046">IF(_xlfn.IFERROR(INDEX('Datos - Catálogo TIMSS'!$J$5:$J$107,MATCH(L1046,'Datos - Catálogo TIMSS'!$A$5:$A$107,0)),"No")="Sí",1,0)</f>
        <v>0</v>
      </c>
      <c r="AA1046" t="s" s="35">
        <v>1058</v>
      </c>
      <c r="AB1046" s="39"/>
      <c r="AC1046" t="str" s="39">
        <v>Sin marco</v>
      </c>
      <c r="AD1046" t="s" s="35">
        <v>1834</v>
      </c>
      <c r="AE1046" t="str" s="39" cm="1">
        <f t="array" ref="AE1046">IF(AD1046="","",IF(LEFT(AD1046,1)="1","C1",IF(LEFT(AD1046,1)="2","C2",IF(LEFT(AD1046,1)="3","C3",""))))</f>
        <v>C2</v>
      </c>
      <c r="AF1046" t="s" s="35">
        <v>1602</v>
      </c>
      <c r="AG1046" t="s" s="35">
        <v>1607</v>
      </c>
      <c r="AH1046" t="s" s="35">
        <v>1605</v>
      </c>
      <c r="AI1046" t="s" s="35">
        <v>1623</v>
      </c>
      <c r="AJ1046" t="s" s="35">
        <v>1633</v>
      </c>
      <c r="AK1046" s="39"/>
      <c r="AL1046" s="39"/>
      <c r="AM1046" s="39"/>
      <c r="AN1046" s="39"/>
      <c r="AO1046" s="39"/>
      <c r="AP1046" s="39"/>
      <c r="AQ1046" s="39"/>
      <c r="AR1046" s="39"/>
      <c r="AS1046" s="39"/>
      <c r="AT1046" s="39"/>
      <c r="AU1046" s="39"/>
      <c r="AV1046" s="39"/>
      <c r="AW1046" t="str" s="39" cm="1">
        <f t="array" ref="AW1046">AF1046&amp;"; "&amp;AG1046&amp;"; "&amp;AH1046&amp;"; "&amp;AI1046&amp;"; "&amp;AJ1046</f>
        <v>E1; E3; E2; D4; I5</v>
      </c>
    </row>
    <row r="1047" ht="13.65" customHeight="1">
      <c r="A1047" t="s" s="35">
        <v>6778</v>
      </c>
      <c r="B1047" s="36">
        <v>11</v>
      </c>
      <c r="C1047" t="s" s="35">
        <v>220</v>
      </c>
      <c r="D1047" t="s" s="35">
        <v>6180</v>
      </c>
      <c r="E1047" t="s" s="35">
        <v>6631</v>
      </c>
      <c r="F1047" s="36">
        <v>44</v>
      </c>
      <c r="G1047" t="s" s="35">
        <v>6758</v>
      </c>
      <c r="H1047" t="s" s="35">
        <v>6779</v>
      </c>
      <c r="I1047" t="s" s="120">
        <v>6780</v>
      </c>
      <c r="J1047" t="s" s="35">
        <v>6185</v>
      </c>
      <c r="K1047" t="s" s="35">
        <v>1058</v>
      </c>
      <c r="L1047" s="39"/>
      <c r="M1047" t="str" s="39">
        <v>Sin marco</v>
      </c>
      <c r="N1047" t="str" s="39">
        <v>Sin marco</v>
      </c>
      <c r="O1047" t="str" s="39" cm="1">
        <f t="array" ref="O1047">IF(L1047="","",_xlfn.IFERROR(INDEX('Datos - Catálogo TIMSS'!$C$5:$C$107,MATCH(L1047,'Datos - Catálogo TIMSS'!$A$5:$A$107,0)),"?"))</f>
      </c>
      <c r="P1047" t="s" s="35">
        <v>1058</v>
      </c>
      <c r="Q1047" t="s" s="120">
        <v>6186</v>
      </c>
      <c r="R1047" t="s" s="120">
        <v>6781</v>
      </c>
      <c r="S1047" s="121" cm="1">
        <f t="array" ref="S1047">_xlfn.IFERROR(ISNUMBER(SEARCH("Conocer",$R1047))/(ISNUMBER(SEARCH("Conocer",$R1047))+ISNUMBER(SEARCH("Aplicar",$R1047))+ISNUMBER(SEARCH("Razonar",$R1047))),0)</f>
        <v>0</v>
      </c>
      <c r="T1047" s="121" cm="1">
        <f t="array" ref="T1047">_xlfn.IFERROR(ISNUMBER(SEARCH("Aplicar",$R1047))/(ISNUMBER(SEARCH("Conocer",$R1047))+ISNUMBER(SEARCH("Aplicar",$R1047))+ISNUMBER(SEARCH("Razonar",$R1047))),0)</f>
        <v>0.5</v>
      </c>
      <c r="U1047" s="121" cm="1">
        <f t="array" ref="U1047">_xlfn.IFERROR(ISNUMBER(SEARCH("Razonar",$R1047))/(ISNUMBER(SEARCH("Conocer",$R1047))+ISNUMBER(SEARCH("Aplicar",$R1047))+ISNUMBER(SEARCH("Razonar",$R1047))),0)</f>
        <v>0.5</v>
      </c>
      <c r="V1047" t="s" s="35">
        <v>1407</v>
      </c>
      <c r="W1047" t="s" s="35">
        <v>6188</v>
      </c>
      <c r="X1047" s="36" cm="1">
        <f t="array" ref="X1047">IF(OR(_xlfn.IFERROR(INDEX('Datos - Catálogo TIMSS'!$I$5:$I$107,MATCH(K1047,'Datos - Catálogo TIMSS'!$A$5:$A$107,0)),"No")="Sí",_xlfn.IFERROR(INDEX('Datos - Catálogo TIMSS'!$I$5:$I$107,MATCH(L1047,'Datos - Catálogo TIMSS'!$A$5:$A$107,0)),"No")="Sí"),1,0)</f>
        <v>0</v>
      </c>
      <c r="Y1047" s="36" cm="1">
        <f t="array" ref="Y1047">IF(_xlfn.IFERROR(INDEX('Datos - Catálogo TIMSS'!$J$5:$J$107,MATCH(K1047,'Datos - Catálogo TIMSS'!$A$5:$A$107,0)),"No")="Sí",1,0)</f>
        <v>0</v>
      </c>
      <c r="Z1047" s="36" cm="1">
        <f t="array" ref="Z1047">IF(_xlfn.IFERROR(INDEX('Datos - Catálogo TIMSS'!$J$5:$J$107,MATCH(L1047,'Datos - Catálogo TIMSS'!$A$5:$A$107,0)),"No")="Sí",1,0)</f>
        <v>0</v>
      </c>
      <c r="AA1047" t="s" s="35">
        <v>1058</v>
      </c>
      <c r="AB1047" s="39"/>
      <c r="AC1047" t="str" s="39">
        <v>Sin marco</v>
      </c>
      <c r="AD1047" t="s" s="35">
        <v>1859</v>
      </c>
      <c r="AE1047" t="str" s="39" cm="1">
        <f t="array" ref="AE1047">IF(AD1047="","",IF(LEFT(AD1047,1)="1","C1",IF(LEFT(AD1047,1)="2","C2",IF(LEFT(AD1047,1)="3","C3",""))))</f>
        <v>C1</v>
      </c>
      <c r="AF1047" t="s" s="35">
        <v>1602</v>
      </c>
      <c r="AG1047" t="s" s="35">
        <v>1607</v>
      </c>
      <c r="AH1047" t="s" s="35">
        <v>1605</v>
      </c>
      <c r="AI1047" t="s" s="35">
        <v>1623</v>
      </c>
      <c r="AJ1047" t="s" s="35">
        <v>1607</v>
      </c>
      <c r="AK1047" s="39"/>
      <c r="AL1047" s="39"/>
      <c r="AM1047" s="39"/>
      <c r="AN1047" s="39"/>
      <c r="AO1047" s="39"/>
      <c r="AP1047" s="39"/>
      <c r="AQ1047" s="39"/>
      <c r="AR1047" s="39"/>
      <c r="AS1047" s="39"/>
      <c r="AT1047" s="39"/>
      <c r="AU1047" s="39"/>
      <c r="AV1047" s="39"/>
      <c r="AW1047" t="str" s="39" cm="1">
        <f t="array" ref="AW1047">AF1047&amp;"; "&amp;AG1047&amp;"; "&amp;AH1047&amp;"; "&amp;AI1047&amp;"; "&amp;AJ1047</f>
        <v>E1; E3; E2; D4; E3</v>
      </c>
    </row>
    <row r="1048" ht="13.65" customHeight="1">
      <c r="A1048" t="s" s="35">
        <v>6782</v>
      </c>
      <c r="B1048" s="36">
        <v>11</v>
      </c>
      <c r="C1048" t="s" s="35">
        <v>220</v>
      </c>
      <c r="D1048" t="s" s="35">
        <v>6180</v>
      </c>
      <c r="E1048" t="s" s="35">
        <v>6631</v>
      </c>
      <c r="F1048" s="36">
        <v>45</v>
      </c>
      <c r="G1048" t="s" s="35">
        <v>6758</v>
      </c>
      <c r="H1048" t="s" s="35">
        <v>6779</v>
      </c>
      <c r="I1048" t="s" s="120">
        <v>6783</v>
      </c>
      <c r="J1048" t="s" s="35">
        <v>6185</v>
      </c>
      <c r="K1048" t="s" s="35">
        <v>1058</v>
      </c>
      <c r="L1048" s="39"/>
      <c r="M1048" t="str" s="39">
        <v>Sin marco</v>
      </c>
      <c r="N1048" t="str" s="39">
        <v>Sin marco</v>
      </c>
      <c r="O1048" t="str" s="39" cm="1">
        <f t="array" ref="O1048">IF(L1048="","",_xlfn.IFERROR(INDEX('Datos - Catálogo TIMSS'!$C$5:$C$107,MATCH(L1048,'Datos - Catálogo TIMSS'!$A$5:$A$107,0)),"?"))</f>
      </c>
      <c r="P1048" t="s" s="35">
        <v>1058</v>
      </c>
      <c r="Q1048" t="s" s="120">
        <v>6186</v>
      </c>
      <c r="R1048" t="s" s="120">
        <v>6784</v>
      </c>
      <c r="S1048" s="121" cm="1">
        <f t="array" ref="S1048">_xlfn.IFERROR(ISNUMBER(SEARCH("Conocer",$R1048))/(ISNUMBER(SEARCH("Conocer",$R1048))+ISNUMBER(SEARCH("Aplicar",$R1048))+ISNUMBER(SEARCH("Razonar",$R1048))),0)</f>
        <v>0</v>
      </c>
      <c r="T1048" s="121" cm="1">
        <f t="array" ref="T1048">_xlfn.IFERROR(ISNUMBER(SEARCH("Aplicar",$R1048))/(ISNUMBER(SEARCH("Conocer",$R1048))+ISNUMBER(SEARCH("Aplicar",$R1048))+ISNUMBER(SEARCH("Razonar",$R1048))),0)</f>
        <v>0.5</v>
      </c>
      <c r="U1048" s="121" cm="1">
        <f t="array" ref="U1048">_xlfn.IFERROR(ISNUMBER(SEARCH("Razonar",$R1048))/(ISNUMBER(SEARCH("Conocer",$R1048))+ISNUMBER(SEARCH("Aplicar",$R1048))+ISNUMBER(SEARCH("Razonar",$R1048))),0)</f>
        <v>0.5</v>
      </c>
      <c r="V1048" t="s" s="35">
        <v>1407</v>
      </c>
      <c r="W1048" t="s" s="35">
        <v>6188</v>
      </c>
      <c r="X1048" s="36" cm="1">
        <f t="array" ref="X1048">IF(OR(_xlfn.IFERROR(INDEX('Datos - Catálogo TIMSS'!$I$5:$I$107,MATCH(K1048,'Datos - Catálogo TIMSS'!$A$5:$A$107,0)),"No")="Sí",_xlfn.IFERROR(INDEX('Datos - Catálogo TIMSS'!$I$5:$I$107,MATCH(L1048,'Datos - Catálogo TIMSS'!$A$5:$A$107,0)),"No")="Sí"),1,0)</f>
        <v>0</v>
      </c>
      <c r="Y1048" s="36" cm="1">
        <f t="array" ref="Y1048">IF(_xlfn.IFERROR(INDEX('Datos - Catálogo TIMSS'!$J$5:$J$107,MATCH(K1048,'Datos - Catálogo TIMSS'!$A$5:$A$107,0)),"No")="Sí",1,0)</f>
        <v>0</v>
      </c>
      <c r="Z1048" s="36" cm="1">
        <f t="array" ref="Z1048">IF(_xlfn.IFERROR(INDEX('Datos - Catálogo TIMSS'!$J$5:$J$107,MATCH(L1048,'Datos - Catálogo TIMSS'!$A$5:$A$107,0)),"No")="Sí",1,0)</f>
        <v>0</v>
      </c>
      <c r="AA1048" t="s" s="35">
        <v>1058</v>
      </c>
      <c r="AB1048" s="39"/>
      <c r="AC1048" t="str" s="39">
        <v>Sin marco</v>
      </c>
      <c r="AD1048" t="s" s="35">
        <v>1834</v>
      </c>
      <c r="AE1048" t="str" s="39" cm="1">
        <f t="array" ref="AE1048">IF(AD1048="","",IF(LEFT(AD1048,1)="1","C1",IF(LEFT(AD1048,1)="2","C2",IF(LEFT(AD1048,1)="3","C3",""))))</f>
        <v>C2</v>
      </c>
      <c r="AF1048" t="s" s="35">
        <v>1602</v>
      </c>
      <c r="AG1048" t="s" s="35">
        <v>1617</v>
      </c>
      <c r="AH1048" t="s" s="35">
        <v>1605</v>
      </c>
      <c r="AI1048" t="s" s="35">
        <v>1619</v>
      </c>
      <c r="AJ1048" t="s" s="35">
        <v>1621</v>
      </c>
      <c r="AK1048" s="39"/>
      <c r="AL1048" s="39"/>
      <c r="AM1048" s="39"/>
      <c r="AN1048" s="39"/>
      <c r="AO1048" s="39"/>
      <c r="AP1048" s="39"/>
      <c r="AQ1048" s="39"/>
      <c r="AR1048" s="39"/>
      <c r="AS1048" s="39"/>
      <c r="AT1048" s="39"/>
      <c r="AU1048" s="39"/>
      <c r="AV1048" s="39"/>
      <c r="AW1048" t="str" s="39" cm="1">
        <f t="array" ref="AW1048">AF1048&amp;"; "&amp;AG1048&amp;"; "&amp;AH1048&amp;"; "&amp;AI1048&amp;"; "&amp;AJ1048</f>
        <v>E1; D1; E2; D2; D3</v>
      </c>
    </row>
    <row r="1049" ht="13.65" customHeight="1">
      <c r="A1049" t="s" s="35">
        <v>6785</v>
      </c>
      <c r="B1049" s="36">
        <v>11</v>
      </c>
      <c r="C1049" t="s" s="35">
        <v>220</v>
      </c>
      <c r="D1049" t="s" s="35">
        <v>6180</v>
      </c>
      <c r="E1049" t="s" s="35">
        <v>6631</v>
      </c>
      <c r="F1049" s="36">
        <v>46</v>
      </c>
      <c r="G1049" t="s" s="35">
        <v>6758</v>
      </c>
      <c r="H1049" t="s" s="35">
        <v>6779</v>
      </c>
      <c r="I1049" t="s" s="120">
        <v>6786</v>
      </c>
      <c r="J1049" t="s" s="35">
        <v>6185</v>
      </c>
      <c r="K1049" t="s" s="35">
        <v>1058</v>
      </c>
      <c r="L1049" s="39"/>
      <c r="M1049" t="str" s="39">
        <v>Sin marco</v>
      </c>
      <c r="N1049" t="str" s="39">
        <v>Sin marco</v>
      </c>
      <c r="O1049" t="str" s="39" cm="1">
        <f t="array" ref="O1049">IF(L1049="","",_xlfn.IFERROR(INDEX('Datos - Catálogo TIMSS'!$C$5:$C$107,MATCH(L1049,'Datos - Catálogo TIMSS'!$A$5:$A$107,0)),"?"))</f>
      </c>
      <c r="P1049" t="s" s="35">
        <v>1058</v>
      </c>
      <c r="Q1049" t="s" s="120">
        <v>6186</v>
      </c>
      <c r="R1049" t="s" s="120">
        <v>6787</v>
      </c>
      <c r="S1049" s="121" cm="1">
        <f t="array" ref="S1049">_xlfn.IFERROR(ISNUMBER(SEARCH("Conocer",$R1049))/(ISNUMBER(SEARCH("Conocer",$R1049))+ISNUMBER(SEARCH("Aplicar",$R1049))+ISNUMBER(SEARCH("Razonar",$R1049))),0)</f>
        <v>0</v>
      </c>
      <c r="T1049" s="121" cm="1">
        <f t="array" ref="T1049">_xlfn.IFERROR(ISNUMBER(SEARCH("Aplicar",$R1049))/(ISNUMBER(SEARCH("Conocer",$R1049))+ISNUMBER(SEARCH("Aplicar",$R1049))+ISNUMBER(SEARCH("Razonar",$R1049))),0)</f>
        <v>0.5</v>
      </c>
      <c r="U1049" s="121" cm="1">
        <f t="array" ref="U1049">_xlfn.IFERROR(ISNUMBER(SEARCH("Razonar",$R1049))/(ISNUMBER(SEARCH("Conocer",$R1049))+ISNUMBER(SEARCH("Aplicar",$R1049))+ISNUMBER(SEARCH("Razonar",$R1049))),0)</f>
        <v>0.5</v>
      </c>
      <c r="V1049" t="s" s="35">
        <v>1407</v>
      </c>
      <c r="W1049" t="s" s="35">
        <v>6188</v>
      </c>
      <c r="X1049" s="36" cm="1">
        <f t="array" ref="X1049">IF(OR(_xlfn.IFERROR(INDEX('Datos - Catálogo TIMSS'!$I$5:$I$107,MATCH(K1049,'Datos - Catálogo TIMSS'!$A$5:$A$107,0)),"No")="Sí",_xlfn.IFERROR(INDEX('Datos - Catálogo TIMSS'!$I$5:$I$107,MATCH(L1049,'Datos - Catálogo TIMSS'!$A$5:$A$107,0)),"No")="Sí"),1,0)</f>
        <v>0</v>
      </c>
      <c r="Y1049" s="36" cm="1">
        <f t="array" ref="Y1049">IF(_xlfn.IFERROR(INDEX('Datos - Catálogo TIMSS'!$J$5:$J$107,MATCH(K1049,'Datos - Catálogo TIMSS'!$A$5:$A$107,0)),"No")="Sí",1,0)</f>
        <v>0</v>
      </c>
      <c r="Z1049" s="36" cm="1">
        <f t="array" ref="Z1049">IF(_xlfn.IFERROR(INDEX('Datos - Catálogo TIMSS'!$J$5:$J$107,MATCH(L1049,'Datos - Catálogo TIMSS'!$A$5:$A$107,0)),"No")="Sí",1,0)</f>
        <v>0</v>
      </c>
      <c r="AA1049" t="s" s="35">
        <v>1058</v>
      </c>
      <c r="AB1049" s="39"/>
      <c r="AC1049" t="str" s="39">
        <v>Sin marco</v>
      </c>
      <c r="AD1049" t="s" s="35">
        <v>1900</v>
      </c>
      <c r="AE1049" t="str" s="39" cm="1">
        <f t="array" ref="AE1049">IF(AD1049="","",IF(LEFT(AD1049,1)="1","C1",IF(LEFT(AD1049,1)="2","C2",IF(LEFT(AD1049,1)="3","C3",""))))</f>
        <v>C3</v>
      </c>
      <c r="AF1049" t="s" s="35">
        <v>1615</v>
      </c>
      <c r="AG1049" t="s" s="35">
        <v>1612</v>
      </c>
      <c r="AH1049" t="s" s="35">
        <v>1605</v>
      </c>
      <c r="AI1049" t="s" s="35">
        <v>1629</v>
      </c>
      <c r="AJ1049" t="s" s="35">
        <v>1631</v>
      </c>
      <c r="AK1049" s="39"/>
      <c r="AL1049" s="39"/>
      <c r="AM1049" s="39"/>
      <c r="AN1049" s="39"/>
      <c r="AO1049" s="39"/>
      <c r="AP1049" s="39"/>
      <c r="AQ1049" s="39"/>
      <c r="AR1049" s="39"/>
      <c r="AS1049" s="39"/>
      <c r="AT1049" s="39"/>
      <c r="AU1049" s="39"/>
      <c r="AV1049" s="39"/>
      <c r="AW1049" t="str" s="39" cm="1">
        <f t="array" ref="AW1049">AF1049&amp;"; "&amp;AG1049&amp;"; "&amp;AH1049&amp;"; "&amp;AI1049&amp;"; "&amp;AJ1049</f>
        <v>E6; E5; E2; I3; I4</v>
      </c>
    </row>
    <row r="1050" ht="13.65" customHeight="1">
      <c r="A1050" t="s" s="35">
        <v>6789</v>
      </c>
      <c r="B1050" s="36">
        <v>11</v>
      </c>
      <c r="C1050" t="s" s="35">
        <v>220</v>
      </c>
      <c r="D1050" t="s" s="35">
        <v>6180</v>
      </c>
      <c r="E1050" t="s" s="35">
        <v>6631</v>
      </c>
      <c r="F1050" s="36">
        <v>47</v>
      </c>
      <c r="G1050" t="s" s="35">
        <v>6758</v>
      </c>
      <c r="H1050" t="s" s="35">
        <v>6790</v>
      </c>
      <c r="I1050" t="s" s="120">
        <v>6791</v>
      </c>
      <c r="J1050" t="s" s="35">
        <v>6185</v>
      </c>
      <c r="K1050" t="s" s="35">
        <v>1058</v>
      </c>
      <c r="L1050" s="39"/>
      <c r="M1050" t="str" s="39">
        <v>Sin marco</v>
      </c>
      <c r="N1050" t="str" s="39">
        <v>Sin marco</v>
      </c>
      <c r="O1050" t="str" s="39" cm="1">
        <f t="array" ref="O1050">IF(L1050="","",_xlfn.IFERROR(INDEX('Datos - Catálogo TIMSS'!$C$5:$C$107,MATCH(L1050,'Datos - Catálogo TIMSS'!$A$5:$A$107,0)),"?"))</f>
      </c>
      <c r="P1050" t="s" s="35">
        <v>1058</v>
      </c>
      <c r="Q1050" t="s" s="120">
        <v>6186</v>
      </c>
      <c r="R1050" t="s" s="120">
        <v>6792</v>
      </c>
      <c r="S1050" s="121" cm="1">
        <f t="array" ref="S1050">_xlfn.IFERROR(ISNUMBER(SEARCH("Conocer",$R1050))/(ISNUMBER(SEARCH("Conocer",$R1050))+ISNUMBER(SEARCH("Aplicar",$R1050))+ISNUMBER(SEARCH("Razonar",$R1050))),0)</f>
        <v>0</v>
      </c>
      <c r="T1050" s="121" cm="1">
        <f t="array" ref="T1050">_xlfn.IFERROR(ISNUMBER(SEARCH("Aplicar",$R1050))/(ISNUMBER(SEARCH("Conocer",$R1050))+ISNUMBER(SEARCH("Aplicar",$R1050))+ISNUMBER(SEARCH("Razonar",$R1050))),0)</f>
        <v>0.5</v>
      </c>
      <c r="U1050" s="121" cm="1">
        <f t="array" ref="U1050">_xlfn.IFERROR(ISNUMBER(SEARCH("Razonar",$R1050))/(ISNUMBER(SEARCH("Conocer",$R1050))+ISNUMBER(SEARCH("Aplicar",$R1050))+ISNUMBER(SEARCH("Razonar",$R1050))),0)</f>
        <v>0.5</v>
      </c>
      <c r="V1050" t="s" s="35">
        <v>1407</v>
      </c>
      <c r="W1050" t="s" s="35">
        <v>6188</v>
      </c>
      <c r="X1050" s="36" cm="1">
        <f t="array" ref="X1050">IF(OR(_xlfn.IFERROR(INDEX('Datos - Catálogo TIMSS'!$I$5:$I$107,MATCH(K1050,'Datos - Catálogo TIMSS'!$A$5:$A$107,0)),"No")="Sí",_xlfn.IFERROR(INDEX('Datos - Catálogo TIMSS'!$I$5:$I$107,MATCH(L1050,'Datos - Catálogo TIMSS'!$A$5:$A$107,0)),"No")="Sí"),1,0)</f>
        <v>0</v>
      </c>
      <c r="Y1050" s="36" cm="1">
        <f t="array" ref="Y1050">IF(_xlfn.IFERROR(INDEX('Datos - Catálogo TIMSS'!$J$5:$J$107,MATCH(K1050,'Datos - Catálogo TIMSS'!$A$5:$A$107,0)),"No")="Sí",1,0)</f>
        <v>0</v>
      </c>
      <c r="Z1050" s="36" cm="1">
        <f t="array" ref="Z1050">IF(_xlfn.IFERROR(INDEX('Datos - Catálogo TIMSS'!$J$5:$J$107,MATCH(L1050,'Datos - Catálogo TIMSS'!$A$5:$A$107,0)),"No")="Sí",1,0)</f>
        <v>0</v>
      </c>
      <c r="AA1050" t="s" s="35">
        <v>1058</v>
      </c>
      <c r="AB1050" s="39"/>
      <c r="AC1050" t="str" s="39">
        <v>Sin marco</v>
      </c>
      <c r="AD1050" t="s" s="35">
        <v>1834</v>
      </c>
      <c r="AE1050" t="str" s="39" cm="1">
        <f t="array" ref="AE1050">IF(AD1050="","",IF(LEFT(AD1050,1)="1","C1",IF(LEFT(AD1050,1)="2","C2",IF(LEFT(AD1050,1)="3","C3",""))))</f>
        <v>C2</v>
      </c>
      <c r="AF1050" t="s" s="35">
        <v>1602</v>
      </c>
      <c r="AG1050" t="s" s="35">
        <v>1607</v>
      </c>
      <c r="AH1050" t="s" s="35">
        <v>1605</v>
      </c>
      <c r="AI1050" t="s" s="35">
        <v>1623</v>
      </c>
      <c r="AJ1050" t="s" s="35">
        <v>1621</v>
      </c>
      <c r="AK1050" s="39"/>
      <c r="AL1050" s="39"/>
      <c r="AM1050" s="39"/>
      <c r="AN1050" s="39"/>
      <c r="AO1050" s="39"/>
      <c r="AP1050" s="39"/>
      <c r="AQ1050" s="39"/>
      <c r="AR1050" s="39"/>
      <c r="AS1050" s="39"/>
      <c r="AT1050" s="39"/>
      <c r="AU1050" s="39"/>
      <c r="AV1050" s="39"/>
      <c r="AW1050" t="str" s="39" cm="1">
        <f t="array" ref="AW1050">AF1050&amp;"; "&amp;AG1050&amp;"; "&amp;AH1050&amp;"; "&amp;AI1050&amp;"; "&amp;AJ1050</f>
        <v>E1; E3; E2; D4; D3</v>
      </c>
    </row>
    <row r="1051" ht="13.65" customHeight="1">
      <c r="A1051" t="s" s="35">
        <v>6793</v>
      </c>
      <c r="B1051" s="36">
        <v>11</v>
      </c>
      <c r="C1051" t="s" s="35">
        <v>220</v>
      </c>
      <c r="D1051" t="s" s="35">
        <v>6180</v>
      </c>
      <c r="E1051" t="s" s="35">
        <v>6631</v>
      </c>
      <c r="F1051" s="36">
        <v>48</v>
      </c>
      <c r="G1051" t="s" s="35">
        <v>6758</v>
      </c>
      <c r="H1051" t="s" s="35">
        <v>6790</v>
      </c>
      <c r="I1051" t="s" s="120">
        <v>6794</v>
      </c>
      <c r="J1051" t="s" s="35">
        <v>6185</v>
      </c>
      <c r="K1051" t="s" s="35">
        <v>1058</v>
      </c>
      <c r="L1051" s="39"/>
      <c r="M1051" t="str" s="39">
        <v>Sin marco</v>
      </c>
      <c r="N1051" t="str" s="39">
        <v>Sin marco</v>
      </c>
      <c r="O1051" t="str" s="39" cm="1">
        <f t="array" ref="O1051">IF(L1051="","",_xlfn.IFERROR(INDEX('Datos - Catálogo TIMSS'!$C$5:$C$107,MATCH(L1051,'Datos - Catálogo TIMSS'!$A$5:$A$107,0)),"?"))</f>
      </c>
      <c r="P1051" t="s" s="35">
        <v>1058</v>
      </c>
      <c r="Q1051" t="s" s="120">
        <v>6186</v>
      </c>
      <c r="R1051" t="s" s="120">
        <v>6795</v>
      </c>
      <c r="S1051" s="121" cm="1">
        <f t="array" ref="S1051">_xlfn.IFERROR(ISNUMBER(SEARCH("Conocer",$R1051))/(ISNUMBER(SEARCH("Conocer",$R1051))+ISNUMBER(SEARCH("Aplicar",$R1051))+ISNUMBER(SEARCH("Razonar",$R1051))),0)</f>
        <v>0</v>
      </c>
      <c r="T1051" s="121" cm="1">
        <f t="array" ref="T1051">_xlfn.IFERROR(ISNUMBER(SEARCH("Aplicar",$R1051))/(ISNUMBER(SEARCH("Conocer",$R1051))+ISNUMBER(SEARCH("Aplicar",$R1051))+ISNUMBER(SEARCH("Razonar",$R1051))),0)</f>
        <v>0.5</v>
      </c>
      <c r="U1051" s="121" cm="1">
        <f t="array" ref="U1051">_xlfn.IFERROR(ISNUMBER(SEARCH("Razonar",$R1051))/(ISNUMBER(SEARCH("Conocer",$R1051))+ISNUMBER(SEARCH("Aplicar",$R1051))+ISNUMBER(SEARCH("Razonar",$R1051))),0)</f>
        <v>0.5</v>
      </c>
      <c r="V1051" t="s" s="35">
        <v>1407</v>
      </c>
      <c r="W1051" t="s" s="35">
        <v>6188</v>
      </c>
      <c r="X1051" s="36" cm="1">
        <f t="array" ref="X1051">IF(OR(_xlfn.IFERROR(INDEX('Datos - Catálogo TIMSS'!$I$5:$I$107,MATCH(K1051,'Datos - Catálogo TIMSS'!$A$5:$A$107,0)),"No")="Sí",_xlfn.IFERROR(INDEX('Datos - Catálogo TIMSS'!$I$5:$I$107,MATCH(L1051,'Datos - Catálogo TIMSS'!$A$5:$A$107,0)),"No")="Sí"),1,0)</f>
        <v>0</v>
      </c>
      <c r="Y1051" s="36" cm="1">
        <f t="array" ref="Y1051">IF(_xlfn.IFERROR(INDEX('Datos - Catálogo TIMSS'!$J$5:$J$107,MATCH(K1051,'Datos - Catálogo TIMSS'!$A$5:$A$107,0)),"No")="Sí",1,0)</f>
        <v>0</v>
      </c>
      <c r="Z1051" s="36" cm="1">
        <f t="array" ref="Z1051">IF(_xlfn.IFERROR(INDEX('Datos - Catálogo TIMSS'!$J$5:$J$107,MATCH(L1051,'Datos - Catálogo TIMSS'!$A$5:$A$107,0)),"No")="Sí",1,0)</f>
        <v>0</v>
      </c>
      <c r="AA1051" t="s" s="35">
        <v>1058</v>
      </c>
      <c r="AB1051" s="39"/>
      <c r="AC1051" t="str" s="39">
        <v>Sin marco</v>
      </c>
      <c r="AD1051" t="s" s="35">
        <v>1834</v>
      </c>
      <c r="AE1051" t="str" s="39" cm="1">
        <f t="array" ref="AE1051">IF(AD1051="","",IF(LEFT(AD1051,1)="1","C1",IF(LEFT(AD1051,1)="2","C2",IF(LEFT(AD1051,1)="3","C3",""))))</f>
        <v>C2</v>
      </c>
      <c r="AF1051" t="s" s="35">
        <v>1602</v>
      </c>
      <c r="AG1051" t="s" s="35">
        <v>1617</v>
      </c>
      <c r="AH1051" t="s" s="35">
        <v>1609</v>
      </c>
      <c r="AI1051" t="s" s="35">
        <v>1623</v>
      </c>
      <c r="AJ1051" t="s" s="35">
        <v>1621</v>
      </c>
      <c r="AK1051" s="39"/>
      <c r="AL1051" s="39"/>
      <c r="AM1051" s="39"/>
      <c r="AN1051" s="39"/>
      <c r="AO1051" s="39"/>
      <c r="AP1051" s="39"/>
      <c r="AQ1051" s="39"/>
      <c r="AR1051" s="39"/>
      <c r="AS1051" s="39"/>
      <c r="AT1051" s="39"/>
      <c r="AU1051" s="39"/>
      <c r="AV1051" s="39"/>
      <c r="AW1051" t="str" s="39" cm="1">
        <f t="array" ref="AW1051">AF1051&amp;"; "&amp;AG1051&amp;"; "&amp;AH1051&amp;"; "&amp;AI1051&amp;"; "&amp;AJ1051</f>
        <v>E1; D1; E4; D4; D3</v>
      </c>
    </row>
    <row r="1052" ht="13.65" customHeight="1">
      <c r="A1052" t="s" s="35">
        <v>6796</v>
      </c>
      <c r="B1052" s="36">
        <v>11</v>
      </c>
      <c r="C1052" t="s" s="35">
        <v>220</v>
      </c>
      <c r="D1052" t="s" s="35">
        <v>6180</v>
      </c>
      <c r="E1052" t="s" s="35">
        <v>6631</v>
      </c>
      <c r="F1052" s="36">
        <v>49</v>
      </c>
      <c r="G1052" t="s" s="35">
        <v>6758</v>
      </c>
      <c r="H1052" t="s" s="35">
        <v>6797</v>
      </c>
      <c r="I1052" t="s" s="120">
        <v>6798</v>
      </c>
      <c r="J1052" t="s" s="35">
        <v>6185</v>
      </c>
      <c r="K1052" t="s" s="35">
        <v>1058</v>
      </c>
      <c r="L1052" s="39"/>
      <c r="M1052" t="str" s="39">
        <v>Sin marco</v>
      </c>
      <c r="N1052" t="str" s="39">
        <v>Sin marco</v>
      </c>
      <c r="O1052" t="str" s="39" cm="1">
        <f t="array" ref="O1052">IF(L1052="","",_xlfn.IFERROR(INDEX('Datos - Catálogo TIMSS'!$C$5:$C$107,MATCH(L1052,'Datos - Catálogo TIMSS'!$A$5:$A$107,0)),"?"))</f>
      </c>
      <c r="P1052" t="s" s="35">
        <v>1058</v>
      </c>
      <c r="Q1052" t="s" s="120">
        <v>6186</v>
      </c>
      <c r="R1052" t="s" s="120">
        <v>6799</v>
      </c>
      <c r="S1052" s="121" cm="1">
        <f t="array" ref="S1052">_xlfn.IFERROR(ISNUMBER(SEARCH("Conocer",$R1052))/(ISNUMBER(SEARCH("Conocer",$R1052))+ISNUMBER(SEARCH("Aplicar",$R1052))+ISNUMBER(SEARCH("Razonar",$R1052))),0)</f>
        <v>0</v>
      </c>
      <c r="T1052" s="121" cm="1">
        <f t="array" ref="T1052">_xlfn.IFERROR(ISNUMBER(SEARCH("Aplicar",$R1052))/(ISNUMBER(SEARCH("Conocer",$R1052))+ISNUMBER(SEARCH("Aplicar",$R1052))+ISNUMBER(SEARCH("Razonar",$R1052))),0)</f>
        <v>0.5</v>
      </c>
      <c r="U1052" s="121" cm="1">
        <f t="array" ref="U1052">_xlfn.IFERROR(ISNUMBER(SEARCH("Razonar",$R1052))/(ISNUMBER(SEARCH("Conocer",$R1052))+ISNUMBER(SEARCH("Aplicar",$R1052))+ISNUMBER(SEARCH("Razonar",$R1052))),0)</f>
        <v>0.5</v>
      </c>
      <c r="V1052" t="s" s="35">
        <v>1407</v>
      </c>
      <c r="W1052" t="s" s="35">
        <v>6188</v>
      </c>
      <c r="X1052" s="36" cm="1">
        <f t="array" ref="X1052">IF(OR(_xlfn.IFERROR(INDEX('Datos - Catálogo TIMSS'!$I$5:$I$107,MATCH(K1052,'Datos - Catálogo TIMSS'!$A$5:$A$107,0)),"No")="Sí",_xlfn.IFERROR(INDEX('Datos - Catálogo TIMSS'!$I$5:$I$107,MATCH(L1052,'Datos - Catálogo TIMSS'!$A$5:$A$107,0)),"No")="Sí"),1,0)</f>
        <v>0</v>
      </c>
      <c r="Y1052" s="36" cm="1">
        <f t="array" ref="Y1052">IF(_xlfn.IFERROR(INDEX('Datos - Catálogo TIMSS'!$J$5:$J$107,MATCH(K1052,'Datos - Catálogo TIMSS'!$A$5:$A$107,0)),"No")="Sí",1,0)</f>
        <v>0</v>
      </c>
      <c r="Z1052" s="36" cm="1">
        <f t="array" ref="Z1052">IF(_xlfn.IFERROR(INDEX('Datos - Catálogo TIMSS'!$J$5:$J$107,MATCH(L1052,'Datos - Catálogo TIMSS'!$A$5:$A$107,0)),"No")="Sí",1,0)</f>
        <v>0</v>
      </c>
      <c r="AA1052" t="s" s="35">
        <v>1058</v>
      </c>
      <c r="AB1052" s="39"/>
      <c r="AC1052" t="str" s="39">
        <v>Sin marco</v>
      </c>
      <c r="AD1052" t="s" s="35">
        <v>1900</v>
      </c>
      <c r="AE1052" t="str" s="39" cm="1">
        <f t="array" ref="AE1052">IF(AD1052="","",IF(LEFT(AD1052,1)="1","C1",IF(LEFT(AD1052,1)="2","C2",IF(LEFT(AD1052,1)="3","C3",""))))</f>
        <v>C3</v>
      </c>
      <c r="AF1052" t="s" s="35">
        <v>1615</v>
      </c>
      <c r="AG1052" t="s" s="35">
        <v>1617</v>
      </c>
      <c r="AH1052" t="s" s="35">
        <v>1605</v>
      </c>
      <c r="AI1052" t="s" s="35">
        <v>1629</v>
      </c>
      <c r="AJ1052" t="s" s="35">
        <v>1621</v>
      </c>
      <c r="AK1052" s="39"/>
      <c r="AL1052" s="39"/>
      <c r="AM1052" s="39"/>
      <c r="AN1052" s="39"/>
      <c r="AO1052" s="39"/>
      <c r="AP1052" s="39"/>
      <c r="AQ1052" s="39"/>
      <c r="AR1052" s="39"/>
      <c r="AS1052" s="39"/>
      <c r="AT1052" s="39"/>
      <c r="AU1052" s="39"/>
      <c r="AV1052" s="39"/>
      <c r="AW1052" t="str" s="39" cm="1">
        <f t="array" ref="AW1052">AF1052&amp;"; "&amp;AG1052&amp;"; "&amp;AH1052&amp;"; "&amp;AI1052&amp;"; "&amp;AJ1052</f>
        <v>E6; D1; E2; I3; D3</v>
      </c>
    </row>
    <row r="1053" ht="13.65" customHeight="1">
      <c r="A1053" t="s" s="35">
        <v>6801</v>
      </c>
      <c r="B1053" s="36">
        <v>11</v>
      </c>
      <c r="C1053" t="s" s="35">
        <v>220</v>
      </c>
      <c r="D1053" t="s" s="35">
        <v>6180</v>
      </c>
      <c r="E1053" t="s" s="35">
        <v>6631</v>
      </c>
      <c r="F1053" s="36">
        <v>50</v>
      </c>
      <c r="G1053" t="s" s="35">
        <v>6802</v>
      </c>
      <c r="H1053" t="s" s="35">
        <v>6803</v>
      </c>
      <c r="I1053" t="s" s="120">
        <v>6804</v>
      </c>
      <c r="J1053" t="s" s="35">
        <v>6185</v>
      </c>
      <c r="K1053" t="s" s="35">
        <v>1058</v>
      </c>
      <c r="L1053" s="39"/>
      <c r="M1053" t="str" s="39">
        <v>Sin marco</v>
      </c>
      <c r="N1053" t="str" s="39">
        <v>Sin marco</v>
      </c>
      <c r="O1053" t="str" s="39" cm="1">
        <f t="array" ref="O1053">IF(L1053="","",_xlfn.IFERROR(INDEX('Datos - Catálogo TIMSS'!$C$5:$C$107,MATCH(L1053,'Datos - Catálogo TIMSS'!$A$5:$A$107,0)),"?"))</f>
      </c>
      <c r="P1053" t="s" s="35">
        <v>1058</v>
      </c>
      <c r="Q1053" t="s" s="120">
        <v>6186</v>
      </c>
      <c r="R1053" t="s" s="120">
        <v>6805</v>
      </c>
      <c r="S1053" s="121" cm="1">
        <f t="array" ref="S1053">_xlfn.IFERROR(ISNUMBER(SEARCH("Conocer",$R1053))/(ISNUMBER(SEARCH("Conocer",$R1053))+ISNUMBER(SEARCH("Aplicar",$R1053))+ISNUMBER(SEARCH("Razonar",$R1053))),0)</f>
        <v>0</v>
      </c>
      <c r="T1053" s="121" cm="1">
        <f t="array" ref="T1053">_xlfn.IFERROR(ISNUMBER(SEARCH("Aplicar",$R1053))/(ISNUMBER(SEARCH("Conocer",$R1053))+ISNUMBER(SEARCH("Aplicar",$R1053))+ISNUMBER(SEARCH("Razonar",$R1053))),0)</f>
        <v>0.5</v>
      </c>
      <c r="U1053" s="121" cm="1">
        <f t="array" ref="U1053">_xlfn.IFERROR(ISNUMBER(SEARCH("Razonar",$R1053))/(ISNUMBER(SEARCH("Conocer",$R1053))+ISNUMBER(SEARCH("Aplicar",$R1053))+ISNUMBER(SEARCH("Razonar",$R1053))),0)</f>
        <v>0.5</v>
      </c>
      <c r="V1053" t="s" s="35">
        <v>1407</v>
      </c>
      <c r="W1053" t="s" s="35">
        <v>6188</v>
      </c>
      <c r="X1053" s="36" cm="1">
        <f t="array" ref="X1053">IF(OR(_xlfn.IFERROR(INDEX('Datos - Catálogo TIMSS'!$I$5:$I$107,MATCH(K1053,'Datos - Catálogo TIMSS'!$A$5:$A$107,0)),"No")="Sí",_xlfn.IFERROR(INDEX('Datos - Catálogo TIMSS'!$I$5:$I$107,MATCH(L1053,'Datos - Catálogo TIMSS'!$A$5:$A$107,0)),"No")="Sí"),1,0)</f>
        <v>0</v>
      </c>
      <c r="Y1053" s="36" cm="1">
        <f t="array" ref="Y1053">IF(_xlfn.IFERROR(INDEX('Datos - Catálogo TIMSS'!$J$5:$J$107,MATCH(K1053,'Datos - Catálogo TIMSS'!$A$5:$A$107,0)),"No")="Sí",1,0)</f>
        <v>0</v>
      </c>
      <c r="Z1053" s="36" cm="1">
        <f t="array" ref="Z1053">IF(_xlfn.IFERROR(INDEX('Datos - Catálogo TIMSS'!$J$5:$J$107,MATCH(L1053,'Datos - Catálogo TIMSS'!$A$5:$A$107,0)),"No")="Sí",1,0)</f>
        <v>0</v>
      </c>
      <c r="AA1053" t="s" s="35">
        <v>1058</v>
      </c>
      <c r="AB1053" s="39"/>
      <c r="AC1053" t="str" s="39">
        <v>Sin marco</v>
      </c>
      <c r="AD1053" t="s" s="35">
        <v>1859</v>
      </c>
      <c r="AE1053" t="str" s="39" cm="1">
        <f t="array" ref="AE1053">IF(AD1053="","",IF(LEFT(AD1053,1)="1","C1",IF(LEFT(AD1053,1)="2","C2",IF(LEFT(AD1053,1)="3","C3",""))))</f>
        <v>C1</v>
      </c>
      <c r="AF1053" t="s" s="35">
        <v>1602</v>
      </c>
      <c r="AG1053" t="s" s="35">
        <v>1607</v>
      </c>
      <c r="AH1053" t="s" s="35">
        <v>1605</v>
      </c>
      <c r="AI1053" t="s" s="35">
        <v>1623</v>
      </c>
      <c r="AJ1053" t="s" s="35">
        <v>1607</v>
      </c>
      <c r="AK1053" s="39"/>
      <c r="AL1053" s="39"/>
      <c r="AM1053" s="39"/>
      <c r="AN1053" s="39"/>
      <c r="AO1053" s="39"/>
      <c r="AP1053" s="39"/>
      <c r="AQ1053" s="39"/>
      <c r="AR1053" s="39"/>
      <c r="AS1053" s="39"/>
      <c r="AT1053" s="39"/>
      <c r="AU1053" s="39"/>
      <c r="AV1053" s="39"/>
      <c r="AW1053" t="str" s="39" cm="1">
        <f t="array" ref="AW1053">AF1053&amp;"; "&amp;AG1053&amp;"; "&amp;AH1053&amp;"; "&amp;AI1053&amp;"; "&amp;AJ1053</f>
        <v>E1; E3; E2; D4; E3</v>
      </c>
    </row>
    <row r="1054" ht="13.65" customHeight="1">
      <c r="A1054" t="s" s="35">
        <v>6806</v>
      </c>
      <c r="B1054" s="36">
        <v>11</v>
      </c>
      <c r="C1054" t="s" s="35">
        <v>220</v>
      </c>
      <c r="D1054" t="s" s="35">
        <v>6180</v>
      </c>
      <c r="E1054" t="s" s="35">
        <v>6631</v>
      </c>
      <c r="F1054" s="36">
        <v>51</v>
      </c>
      <c r="G1054" t="s" s="35">
        <v>6802</v>
      </c>
      <c r="H1054" t="s" s="35">
        <v>6803</v>
      </c>
      <c r="I1054" t="s" s="120">
        <v>6807</v>
      </c>
      <c r="J1054" t="s" s="35">
        <v>6185</v>
      </c>
      <c r="K1054" t="s" s="35">
        <v>1058</v>
      </c>
      <c r="L1054" s="39"/>
      <c r="M1054" t="str" s="39">
        <v>Sin marco</v>
      </c>
      <c r="N1054" t="str" s="39">
        <v>Sin marco</v>
      </c>
      <c r="O1054" t="str" s="39" cm="1">
        <f t="array" ref="O1054">IF(L1054="","",_xlfn.IFERROR(INDEX('Datos - Catálogo TIMSS'!$C$5:$C$107,MATCH(L1054,'Datos - Catálogo TIMSS'!$A$5:$A$107,0)),"?"))</f>
      </c>
      <c r="P1054" t="s" s="35">
        <v>1058</v>
      </c>
      <c r="Q1054" t="s" s="120">
        <v>6186</v>
      </c>
      <c r="R1054" t="s" s="120">
        <v>6808</v>
      </c>
      <c r="S1054" s="121" cm="1">
        <f t="array" ref="S1054">_xlfn.IFERROR(ISNUMBER(SEARCH("Conocer",$R1054))/(ISNUMBER(SEARCH("Conocer",$R1054))+ISNUMBER(SEARCH("Aplicar",$R1054))+ISNUMBER(SEARCH("Razonar",$R1054))),0)</f>
        <v>0</v>
      </c>
      <c r="T1054" s="121" cm="1">
        <f t="array" ref="T1054">_xlfn.IFERROR(ISNUMBER(SEARCH("Aplicar",$R1054))/(ISNUMBER(SEARCH("Conocer",$R1054))+ISNUMBER(SEARCH("Aplicar",$R1054))+ISNUMBER(SEARCH("Razonar",$R1054))),0)</f>
        <v>0.5</v>
      </c>
      <c r="U1054" s="121" cm="1">
        <f t="array" ref="U1054">_xlfn.IFERROR(ISNUMBER(SEARCH("Razonar",$R1054))/(ISNUMBER(SEARCH("Conocer",$R1054))+ISNUMBER(SEARCH("Aplicar",$R1054))+ISNUMBER(SEARCH("Razonar",$R1054))),0)</f>
        <v>0.5</v>
      </c>
      <c r="V1054" t="s" s="35">
        <v>1407</v>
      </c>
      <c r="W1054" t="s" s="35">
        <v>6188</v>
      </c>
      <c r="X1054" s="36" cm="1">
        <f t="array" ref="X1054">IF(OR(_xlfn.IFERROR(INDEX('Datos - Catálogo TIMSS'!$I$5:$I$107,MATCH(K1054,'Datos - Catálogo TIMSS'!$A$5:$A$107,0)),"No")="Sí",_xlfn.IFERROR(INDEX('Datos - Catálogo TIMSS'!$I$5:$I$107,MATCH(L1054,'Datos - Catálogo TIMSS'!$A$5:$A$107,0)),"No")="Sí"),1,0)</f>
        <v>0</v>
      </c>
      <c r="Y1054" s="36" cm="1">
        <f t="array" ref="Y1054">IF(_xlfn.IFERROR(INDEX('Datos - Catálogo TIMSS'!$J$5:$J$107,MATCH(K1054,'Datos - Catálogo TIMSS'!$A$5:$A$107,0)),"No")="Sí",1,0)</f>
        <v>0</v>
      </c>
      <c r="Z1054" s="36" cm="1">
        <f t="array" ref="Z1054">IF(_xlfn.IFERROR(INDEX('Datos - Catálogo TIMSS'!$J$5:$J$107,MATCH(L1054,'Datos - Catálogo TIMSS'!$A$5:$A$107,0)),"No")="Sí",1,0)</f>
        <v>0</v>
      </c>
      <c r="AA1054" t="s" s="35">
        <v>1058</v>
      </c>
      <c r="AB1054" s="39"/>
      <c r="AC1054" t="str" s="39">
        <v>Sin marco</v>
      </c>
      <c r="AD1054" t="s" s="35">
        <v>1859</v>
      </c>
      <c r="AE1054" t="str" s="39" cm="1">
        <f t="array" ref="AE1054">IF(AD1054="","",IF(LEFT(AD1054,1)="1","C1",IF(LEFT(AD1054,1)="2","C2",IF(LEFT(AD1054,1)="3","C3",""))))</f>
        <v>C1</v>
      </c>
      <c r="AF1054" t="s" s="35">
        <v>1602</v>
      </c>
      <c r="AG1054" t="s" s="35">
        <v>1617</v>
      </c>
      <c r="AH1054" t="s" s="35">
        <v>1605</v>
      </c>
      <c r="AI1054" t="s" s="35">
        <v>1623</v>
      </c>
      <c r="AJ1054" t="s" s="35">
        <v>1607</v>
      </c>
      <c r="AK1054" s="39"/>
      <c r="AL1054" s="39"/>
      <c r="AM1054" s="39"/>
      <c r="AN1054" s="39"/>
      <c r="AO1054" s="39"/>
      <c r="AP1054" s="39"/>
      <c r="AQ1054" s="39"/>
      <c r="AR1054" s="39"/>
      <c r="AS1054" s="39"/>
      <c r="AT1054" s="39"/>
      <c r="AU1054" s="39"/>
      <c r="AV1054" s="39"/>
      <c r="AW1054" t="str" s="39" cm="1">
        <f t="array" ref="AW1054">AF1054&amp;"; "&amp;AG1054&amp;"; "&amp;AH1054&amp;"; "&amp;AI1054&amp;"; "&amp;AJ1054</f>
        <v>E1; D1; E2; D4; E3</v>
      </c>
    </row>
    <row r="1055" ht="13.65" customHeight="1">
      <c r="A1055" t="s" s="35">
        <v>6809</v>
      </c>
      <c r="B1055" s="36">
        <v>11</v>
      </c>
      <c r="C1055" t="s" s="35">
        <v>220</v>
      </c>
      <c r="D1055" t="s" s="35">
        <v>6180</v>
      </c>
      <c r="E1055" t="s" s="35">
        <v>6631</v>
      </c>
      <c r="F1055" s="36">
        <v>52</v>
      </c>
      <c r="G1055" t="s" s="35">
        <v>6802</v>
      </c>
      <c r="H1055" t="s" s="35">
        <v>6810</v>
      </c>
      <c r="I1055" t="s" s="120">
        <v>6811</v>
      </c>
      <c r="J1055" t="s" s="35">
        <v>6185</v>
      </c>
      <c r="K1055" t="s" s="35">
        <v>1058</v>
      </c>
      <c r="L1055" s="39"/>
      <c r="M1055" t="str" s="39">
        <v>Sin marco</v>
      </c>
      <c r="N1055" t="str" s="39">
        <v>Sin marco</v>
      </c>
      <c r="O1055" t="str" s="39" cm="1">
        <f t="array" ref="O1055">IF(L1055="","",_xlfn.IFERROR(INDEX('Datos - Catálogo TIMSS'!$C$5:$C$107,MATCH(L1055,'Datos - Catálogo TIMSS'!$A$5:$A$107,0)),"?"))</f>
      </c>
      <c r="P1055" t="s" s="35">
        <v>1058</v>
      </c>
      <c r="Q1055" t="s" s="120">
        <v>6186</v>
      </c>
      <c r="R1055" t="s" s="120">
        <v>6812</v>
      </c>
      <c r="S1055" s="121" cm="1">
        <f t="array" ref="S1055">_xlfn.IFERROR(ISNUMBER(SEARCH("Conocer",$R1055))/(ISNUMBER(SEARCH("Conocer",$R1055))+ISNUMBER(SEARCH("Aplicar",$R1055))+ISNUMBER(SEARCH("Razonar",$R1055))),0)</f>
        <v>0</v>
      </c>
      <c r="T1055" s="121" cm="1">
        <f t="array" ref="T1055">_xlfn.IFERROR(ISNUMBER(SEARCH("Aplicar",$R1055))/(ISNUMBER(SEARCH("Conocer",$R1055))+ISNUMBER(SEARCH("Aplicar",$R1055))+ISNUMBER(SEARCH("Razonar",$R1055))),0)</f>
        <v>0.5</v>
      </c>
      <c r="U1055" s="121" cm="1">
        <f t="array" ref="U1055">_xlfn.IFERROR(ISNUMBER(SEARCH("Razonar",$R1055))/(ISNUMBER(SEARCH("Conocer",$R1055))+ISNUMBER(SEARCH("Aplicar",$R1055))+ISNUMBER(SEARCH("Razonar",$R1055))),0)</f>
        <v>0.5</v>
      </c>
      <c r="V1055" t="s" s="35">
        <v>1407</v>
      </c>
      <c r="W1055" t="s" s="35">
        <v>6188</v>
      </c>
      <c r="X1055" s="36" cm="1">
        <f t="array" ref="X1055">IF(OR(_xlfn.IFERROR(INDEX('Datos - Catálogo TIMSS'!$I$5:$I$107,MATCH(K1055,'Datos - Catálogo TIMSS'!$A$5:$A$107,0)),"No")="Sí",_xlfn.IFERROR(INDEX('Datos - Catálogo TIMSS'!$I$5:$I$107,MATCH(L1055,'Datos - Catálogo TIMSS'!$A$5:$A$107,0)),"No")="Sí"),1,0)</f>
        <v>0</v>
      </c>
      <c r="Y1055" s="36" cm="1">
        <f t="array" ref="Y1055">IF(_xlfn.IFERROR(INDEX('Datos - Catálogo TIMSS'!$J$5:$J$107,MATCH(K1055,'Datos - Catálogo TIMSS'!$A$5:$A$107,0)),"No")="Sí",1,0)</f>
        <v>0</v>
      </c>
      <c r="Z1055" s="36" cm="1">
        <f t="array" ref="Z1055">IF(_xlfn.IFERROR(INDEX('Datos - Catálogo TIMSS'!$J$5:$J$107,MATCH(L1055,'Datos - Catálogo TIMSS'!$A$5:$A$107,0)),"No")="Sí",1,0)</f>
        <v>0</v>
      </c>
      <c r="AA1055" t="s" s="35">
        <v>1058</v>
      </c>
      <c r="AB1055" s="39"/>
      <c r="AC1055" t="str" s="39">
        <v>Sin marco</v>
      </c>
      <c r="AD1055" t="s" s="35">
        <v>1859</v>
      </c>
      <c r="AE1055" t="str" s="39" cm="1">
        <f t="array" ref="AE1055">IF(AD1055="","",IF(LEFT(AD1055,1)="1","C1",IF(LEFT(AD1055,1)="2","C2",IF(LEFT(AD1055,1)="3","C3",""))))</f>
        <v>C1</v>
      </c>
      <c r="AF1055" t="s" s="35">
        <v>1615</v>
      </c>
      <c r="AG1055" t="s" s="35">
        <v>1612</v>
      </c>
      <c r="AH1055" t="s" s="35">
        <v>1609</v>
      </c>
      <c r="AI1055" t="s" s="35">
        <v>1623</v>
      </c>
      <c r="AJ1055" t="s" s="35">
        <v>1633</v>
      </c>
      <c r="AK1055" s="39"/>
      <c r="AL1055" s="39"/>
      <c r="AM1055" s="39"/>
      <c r="AN1055" s="39"/>
      <c r="AO1055" s="39"/>
      <c r="AP1055" s="39"/>
      <c r="AQ1055" s="39"/>
      <c r="AR1055" s="39"/>
      <c r="AS1055" s="39"/>
      <c r="AT1055" s="39"/>
      <c r="AU1055" s="39"/>
      <c r="AV1055" s="39"/>
      <c r="AW1055" t="str" s="39" cm="1">
        <f t="array" ref="AW1055">AF1055&amp;"; "&amp;AG1055&amp;"; "&amp;AH1055&amp;"; "&amp;AI1055&amp;"; "&amp;AJ1055</f>
        <v>E6; E5; E4; D4; I5</v>
      </c>
    </row>
    <row r="1056" ht="13.65" customHeight="1">
      <c r="A1056" t="s" s="35">
        <v>6814</v>
      </c>
      <c r="B1056" s="36">
        <v>11</v>
      </c>
      <c r="C1056" t="s" s="35">
        <v>220</v>
      </c>
      <c r="D1056" t="s" s="35">
        <v>6180</v>
      </c>
      <c r="E1056" t="s" s="35">
        <v>6631</v>
      </c>
      <c r="F1056" s="36">
        <v>53</v>
      </c>
      <c r="G1056" t="s" s="35">
        <v>6802</v>
      </c>
      <c r="H1056" t="s" s="35">
        <v>6815</v>
      </c>
      <c r="I1056" t="s" s="120">
        <v>6816</v>
      </c>
      <c r="J1056" t="s" s="35">
        <v>6185</v>
      </c>
      <c r="K1056" t="s" s="35">
        <v>1058</v>
      </c>
      <c r="L1056" s="39"/>
      <c r="M1056" t="str" s="39">
        <v>Sin marco</v>
      </c>
      <c r="N1056" t="str" s="39">
        <v>Sin marco</v>
      </c>
      <c r="O1056" t="str" s="39" cm="1">
        <f t="array" ref="O1056">IF(L1056="","",_xlfn.IFERROR(INDEX('Datos - Catálogo TIMSS'!$C$5:$C$107,MATCH(L1056,'Datos - Catálogo TIMSS'!$A$5:$A$107,0)),"?"))</f>
      </c>
      <c r="P1056" t="s" s="35">
        <v>1058</v>
      </c>
      <c r="Q1056" t="s" s="120">
        <v>6186</v>
      </c>
      <c r="R1056" t="s" s="120">
        <v>6817</v>
      </c>
      <c r="S1056" s="121" cm="1">
        <f t="array" ref="S1056">_xlfn.IFERROR(ISNUMBER(SEARCH("Conocer",$R1056))/(ISNUMBER(SEARCH("Conocer",$R1056))+ISNUMBER(SEARCH("Aplicar",$R1056))+ISNUMBER(SEARCH("Razonar",$R1056))),0)</f>
        <v>0</v>
      </c>
      <c r="T1056" s="121" cm="1">
        <f t="array" ref="T1056">_xlfn.IFERROR(ISNUMBER(SEARCH("Aplicar",$R1056))/(ISNUMBER(SEARCH("Conocer",$R1056))+ISNUMBER(SEARCH("Aplicar",$R1056))+ISNUMBER(SEARCH("Razonar",$R1056))),0)</f>
        <v>0.5</v>
      </c>
      <c r="U1056" s="121" cm="1">
        <f t="array" ref="U1056">_xlfn.IFERROR(ISNUMBER(SEARCH("Razonar",$R1056))/(ISNUMBER(SEARCH("Conocer",$R1056))+ISNUMBER(SEARCH("Aplicar",$R1056))+ISNUMBER(SEARCH("Razonar",$R1056))),0)</f>
        <v>0.5</v>
      </c>
      <c r="V1056" t="s" s="35">
        <v>1407</v>
      </c>
      <c r="W1056" t="s" s="35">
        <v>6188</v>
      </c>
      <c r="X1056" s="36" cm="1">
        <f t="array" ref="X1056">IF(OR(_xlfn.IFERROR(INDEX('Datos - Catálogo TIMSS'!$I$5:$I$107,MATCH(K1056,'Datos - Catálogo TIMSS'!$A$5:$A$107,0)),"No")="Sí",_xlfn.IFERROR(INDEX('Datos - Catálogo TIMSS'!$I$5:$I$107,MATCH(L1056,'Datos - Catálogo TIMSS'!$A$5:$A$107,0)),"No")="Sí"),1,0)</f>
        <v>0</v>
      </c>
      <c r="Y1056" s="36" cm="1">
        <f t="array" ref="Y1056">IF(_xlfn.IFERROR(INDEX('Datos - Catálogo TIMSS'!$J$5:$J$107,MATCH(K1056,'Datos - Catálogo TIMSS'!$A$5:$A$107,0)),"No")="Sí",1,0)</f>
        <v>0</v>
      </c>
      <c r="Z1056" s="36" cm="1">
        <f t="array" ref="Z1056">IF(_xlfn.IFERROR(INDEX('Datos - Catálogo TIMSS'!$J$5:$J$107,MATCH(L1056,'Datos - Catálogo TIMSS'!$A$5:$A$107,0)),"No")="Sí",1,0)</f>
        <v>0</v>
      </c>
      <c r="AA1056" t="s" s="35">
        <v>1058</v>
      </c>
      <c r="AB1056" s="39"/>
      <c r="AC1056" t="str" s="39">
        <v>Sin marco</v>
      </c>
      <c r="AD1056" t="s" s="35">
        <v>1834</v>
      </c>
      <c r="AE1056" t="str" s="39" cm="1">
        <f t="array" ref="AE1056">IF(AD1056="","",IF(LEFT(AD1056,1)="1","C1",IF(LEFT(AD1056,1)="2","C2",IF(LEFT(AD1056,1)="3","C3",""))))</f>
        <v>C2</v>
      </c>
      <c r="AF1056" t="s" s="35">
        <v>1602</v>
      </c>
      <c r="AG1056" t="s" s="35">
        <v>1617</v>
      </c>
      <c r="AH1056" t="s" s="35">
        <v>1605</v>
      </c>
      <c r="AI1056" t="s" s="35">
        <v>1619</v>
      </c>
      <c r="AJ1056" t="s" s="35">
        <v>1621</v>
      </c>
      <c r="AK1056" s="39"/>
      <c r="AL1056" s="39"/>
      <c r="AM1056" s="39"/>
      <c r="AN1056" s="39"/>
      <c r="AO1056" s="39"/>
      <c r="AP1056" s="39"/>
      <c r="AQ1056" s="39"/>
      <c r="AR1056" s="39"/>
      <c r="AS1056" s="39"/>
      <c r="AT1056" s="39"/>
      <c r="AU1056" s="39"/>
      <c r="AV1056" s="39"/>
      <c r="AW1056" t="str" s="39" cm="1">
        <f t="array" ref="AW1056">AF1056&amp;"; "&amp;AG1056&amp;"; "&amp;AH1056&amp;"; "&amp;AI1056&amp;"; "&amp;AJ1056</f>
        <v>E1; D1; E2; D2; D3</v>
      </c>
    </row>
    <row r="1057" ht="13.65" customHeight="1">
      <c r="A1057" t="s" s="35">
        <v>6818</v>
      </c>
      <c r="B1057" s="36">
        <v>11</v>
      </c>
      <c r="C1057" t="s" s="35">
        <v>220</v>
      </c>
      <c r="D1057" t="s" s="35">
        <v>6180</v>
      </c>
      <c r="E1057" t="s" s="35">
        <v>6631</v>
      </c>
      <c r="F1057" s="36">
        <v>54</v>
      </c>
      <c r="G1057" t="s" s="35">
        <v>6802</v>
      </c>
      <c r="H1057" t="s" s="35">
        <v>6815</v>
      </c>
      <c r="I1057" t="s" s="120">
        <v>6819</v>
      </c>
      <c r="J1057" t="s" s="35">
        <v>6185</v>
      </c>
      <c r="K1057" t="s" s="35">
        <v>1058</v>
      </c>
      <c r="L1057" s="39"/>
      <c r="M1057" t="str" s="39">
        <v>Sin marco</v>
      </c>
      <c r="N1057" t="str" s="39">
        <v>Sin marco</v>
      </c>
      <c r="O1057" t="str" s="39" cm="1">
        <f t="array" ref="O1057">IF(L1057="","",_xlfn.IFERROR(INDEX('Datos - Catálogo TIMSS'!$C$5:$C$107,MATCH(L1057,'Datos - Catálogo TIMSS'!$A$5:$A$107,0)),"?"))</f>
      </c>
      <c r="P1057" t="s" s="35">
        <v>1058</v>
      </c>
      <c r="Q1057" t="s" s="120">
        <v>6186</v>
      </c>
      <c r="R1057" t="s" s="120">
        <v>6820</v>
      </c>
      <c r="S1057" s="121" cm="1">
        <f t="array" ref="S1057">_xlfn.IFERROR(ISNUMBER(SEARCH("Conocer",$R1057))/(ISNUMBER(SEARCH("Conocer",$R1057))+ISNUMBER(SEARCH("Aplicar",$R1057))+ISNUMBER(SEARCH("Razonar",$R1057))),0)</f>
        <v>0.5</v>
      </c>
      <c r="T1057" s="121" cm="1">
        <f t="array" ref="T1057">_xlfn.IFERROR(ISNUMBER(SEARCH("Aplicar",$R1057))/(ISNUMBER(SEARCH("Conocer",$R1057))+ISNUMBER(SEARCH("Aplicar",$R1057))+ISNUMBER(SEARCH("Razonar",$R1057))),0)</f>
        <v>0</v>
      </c>
      <c r="U1057" s="121" cm="1">
        <f t="array" ref="U1057">_xlfn.IFERROR(ISNUMBER(SEARCH("Razonar",$R1057))/(ISNUMBER(SEARCH("Conocer",$R1057))+ISNUMBER(SEARCH("Aplicar",$R1057))+ISNUMBER(SEARCH("Razonar",$R1057))),0)</f>
        <v>0.5</v>
      </c>
      <c r="V1057" t="s" s="35">
        <v>1407</v>
      </c>
      <c r="W1057" t="s" s="35">
        <v>6188</v>
      </c>
      <c r="X1057" s="36" cm="1">
        <f t="array" ref="X1057">IF(OR(_xlfn.IFERROR(INDEX('Datos - Catálogo TIMSS'!$I$5:$I$107,MATCH(K1057,'Datos - Catálogo TIMSS'!$A$5:$A$107,0)),"No")="Sí",_xlfn.IFERROR(INDEX('Datos - Catálogo TIMSS'!$I$5:$I$107,MATCH(L1057,'Datos - Catálogo TIMSS'!$A$5:$A$107,0)),"No")="Sí"),1,0)</f>
        <v>0</v>
      </c>
      <c r="Y1057" s="36" cm="1">
        <f t="array" ref="Y1057">IF(_xlfn.IFERROR(INDEX('Datos - Catálogo TIMSS'!$J$5:$J$107,MATCH(K1057,'Datos - Catálogo TIMSS'!$A$5:$A$107,0)),"No")="Sí",1,0)</f>
        <v>0</v>
      </c>
      <c r="Z1057" s="36" cm="1">
        <f t="array" ref="Z1057">IF(_xlfn.IFERROR(INDEX('Datos - Catálogo TIMSS'!$J$5:$J$107,MATCH(L1057,'Datos - Catálogo TIMSS'!$A$5:$A$107,0)),"No")="Sí",1,0)</f>
        <v>0</v>
      </c>
      <c r="AA1057" t="s" s="35">
        <v>1058</v>
      </c>
      <c r="AB1057" s="39"/>
      <c r="AC1057" t="str" s="39">
        <v>Sin marco</v>
      </c>
      <c r="AD1057" t="s" s="35">
        <v>1900</v>
      </c>
      <c r="AE1057" t="str" s="39" cm="1">
        <f t="array" ref="AE1057">IF(AD1057="","",IF(LEFT(AD1057,1)="1","C1",IF(LEFT(AD1057,1)="2","C2",IF(LEFT(AD1057,1)="3","C3",""))))</f>
        <v>C3</v>
      </c>
      <c r="AF1057" t="s" s="35">
        <v>1615</v>
      </c>
      <c r="AG1057" t="s" s="35">
        <v>1617</v>
      </c>
      <c r="AH1057" t="s" s="35">
        <v>1605</v>
      </c>
      <c r="AI1057" t="s" s="35">
        <v>1629</v>
      </c>
      <c r="AJ1057" t="s" s="35">
        <v>1625</v>
      </c>
      <c r="AK1057" s="39"/>
      <c r="AL1057" s="39"/>
      <c r="AM1057" s="39"/>
      <c r="AN1057" s="39"/>
      <c r="AO1057" s="39"/>
      <c r="AP1057" s="39"/>
      <c r="AQ1057" s="39"/>
      <c r="AR1057" s="39"/>
      <c r="AS1057" s="39"/>
      <c r="AT1057" s="39"/>
      <c r="AU1057" s="39"/>
      <c r="AV1057" s="39"/>
      <c r="AW1057" t="str" s="39" cm="1">
        <f t="array" ref="AW1057">AF1057&amp;"; "&amp;AG1057&amp;"; "&amp;AH1057&amp;"; "&amp;AI1057&amp;"; "&amp;AJ1057</f>
        <v>E6; D1; E2; I3; I1</v>
      </c>
    </row>
    <row r="1058" ht="13.65" customHeight="1">
      <c r="A1058" t="s" s="35">
        <v>6821</v>
      </c>
      <c r="B1058" s="36">
        <v>11</v>
      </c>
      <c r="C1058" t="s" s="35">
        <v>220</v>
      </c>
      <c r="D1058" t="s" s="35">
        <v>6180</v>
      </c>
      <c r="E1058" t="s" s="35">
        <v>6631</v>
      </c>
      <c r="F1058" s="36">
        <v>55</v>
      </c>
      <c r="G1058" t="s" s="35">
        <v>6822</v>
      </c>
      <c r="H1058" t="s" s="35">
        <v>6823</v>
      </c>
      <c r="I1058" t="s" s="120">
        <v>6824</v>
      </c>
      <c r="J1058" t="s" s="35">
        <v>6185</v>
      </c>
      <c r="K1058" t="s" s="35">
        <v>1058</v>
      </c>
      <c r="L1058" s="39"/>
      <c r="M1058" t="str" s="39">
        <v>Sin marco</v>
      </c>
      <c r="N1058" t="str" s="39">
        <v>Sin marco</v>
      </c>
      <c r="O1058" t="str" s="39" cm="1">
        <f t="array" ref="O1058">IF(L1058="","",_xlfn.IFERROR(INDEX('Datos - Catálogo TIMSS'!$C$5:$C$107,MATCH(L1058,'Datos - Catálogo TIMSS'!$A$5:$A$107,0)),"?"))</f>
      </c>
      <c r="P1058" t="s" s="35">
        <v>1058</v>
      </c>
      <c r="Q1058" t="s" s="120">
        <v>6186</v>
      </c>
      <c r="R1058" t="s" s="120">
        <v>6825</v>
      </c>
      <c r="S1058" s="121" cm="1">
        <f t="array" ref="S1058">_xlfn.IFERROR(ISNUMBER(SEARCH("Conocer",$R1058))/(ISNUMBER(SEARCH("Conocer",$R1058))+ISNUMBER(SEARCH("Aplicar",$R1058))+ISNUMBER(SEARCH("Razonar",$R1058))),0)</f>
        <v>0.5</v>
      </c>
      <c r="T1058" s="121" cm="1">
        <f t="array" ref="T1058">_xlfn.IFERROR(ISNUMBER(SEARCH("Aplicar",$R1058))/(ISNUMBER(SEARCH("Conocer",$R1058))+ISNUMBER(SEARCH("Aplicar",$R1058))+ISNUMBER(SEARCH("Razonar",$R1058))),0)</f>
        <v>0</v>
      </c>
      <c r="U1058" s="121" cm="1">
        <f t="array" ref="U1058">_xlfn.IFERROR(ISNUMBER(SEARCH("Razonar",$R1058))/(ISNUMBER(SEARCH("Conocer",$R1058))+ISNUMBER(SEARCH("Aplicar",$R1058))+ISNUMBER(SEARCH("Razonar",$R1058))),0)</f>
        <v>0.5</v>
      </c>
      <c r="V1058" t="s" s="35">
        <v>1407</v>
      </c>
      <c r="W1058" t="s" s="35">
        <v>6188</v>
      </c>
      <c r="X1058" s="36" cm="1">
        <f t="array" ref="X1058">IF(OR(_xlfn.IFERROR(INDEX('Datos - Catálogo TIMSS'!$I$5:$I$107,MATCH(K1058,'Datos - Catálogo TIMSS'!$A$5:$A$107,0)),"No")="Sí",_xlfn.IFERROR(INDEX('Datos - Catálogo TIMSS'!$I$5:$I$107,MATCH(L1058,'Datos - Catálogo TIMSS'!$A$5:$A$107,0)),"No")="Sí"),1,0)</f>
        <v>0</v>
      </c>
      <c r="Y1058" s="36" cm="1">
        <f t="array" ref="Y1058">IF(_xlfn.IFERROR(INDEX('Datos - Catálogo TIMSS'!$J$5:$J$107,MATCH(K1058,'Datos - Catálogo TIMSS'!$A$5:$A$107,0)),"No")="Sí",1,0)</f>
        <v>0</v>
      </c>
      <c r="Z1058" s="36" cm="1">
        <f t="array" ref="Z1058">IF(_xlfn.IFERROR(INDEX('Datos - Catálogo TIMSS'!$J$5:$J$107,MATCH(L1058,'Datos - Catálogo TIMSS'!$A$5:$A$107,0)),"No")="Sí",1,0)</f>
        <v>0</v>
      </c>
      <c r="AA1058" t="s" s="35">
        <v>1058</v>
      </c>
      <c r="AB1058" s="39"/>
      <c r="AC1058" t="str" s="39">
        <v>Sin marco</v>
      </c>
      <c r="AD1058" t="s" s="35">
        <v>1859</v>
      </c>
      <c r="AE1058" t="str" s="39" cm="1">
        <f t="array" ref="AE1058">IF(AD1058="","",IF(LEFT(AD1058,1)="1","C1",IF(LEFT(AD1058,1)="2","C2",IF(LEFT(AD1058,1)="3","C3",""))))</f>
        <v>C1</v>
      </c>
      <c r="AF1058" t="s" s="35">
        <v>1602</v>
      </c>
      <c r="AG1058" t="s" s="35">
        <v>1607</v>
      </c>
      <c r="AH1058" t="s" s="35">
        <v>1605</v>
      </c>
      <c r="AI1058" t="s" s="35">
        <v>1623</v>
      </c>
      <c r="AJ1058" t="s" s="35">
        <v>1607</v>
      </c>
      <c r="AK1058" s="39"/>
      <c r="AL1058" s="39"/>
      <c r="AM1058" s="39"/>
      <c r="AN1058" s="39"/>
      <c r="AO1058" s="39"/>
      <c r="AP1058" s="39"/>
      <c r="AQ1058" s="39"/>
      <c r="AR1058" s="39"/>
      <c r="AS1058" s="39"/>
      <c r="AT1058" s="39"/>
      <c r="AU1058" s="39"/>
      <c r="AV1058" s="39"/>
      <c r="AW1058" t="str" s="39" cm="1">
        <f t="array" ref="AW1058">AF1058&amp;"; "&amp;AG1058&amp;"; "&amp;AH1058&amp;"; "&amp;AI1058&amp;"; "&amp;AJ1058</f>
        <v>E1; E3; E2; D4; E3</v>
      </c>
    </row>
    <row r="1059" ht="13.65" customHeight="1">
      <c r="A1059" t="s" s="35">
        <v>6826</v>
      </c>
      <c r="B1059" s="36">
        <v>11</v>
      </c>
      <c r="C1059" t="s" s="35">
        <v>220</v>
      </c>
      <c r="D1059" t="s" s="35">
        <v>6180</v>
      </c>
      <c r="E1059" t="s" s="35">
        <v>6631</v>
      </c>
      <c r="F1059" s="36">
        <v>56</v>
      </c>
      <c r="G1059" t="s" s="35">
        <v>6822</v>
      </c>
      <c r="H1059" t="s" s="35">
        <v>6823</v>
      </c>
      <c r="I1059" t="s" s="120">
        <v>6827</v>
      </c>
      <c r="J1059" t="s" s="35">
        <v>6185</v>
      </c>
      <c r="K1059" t="s" s="35">
        <v>1058</v>
      </c>
      <c r="L1059" s="39"/>
      <c r="M1059" t="str" s="39">
        <v>Sin marco</v>
      </c>
      <c r="N1059" t="str" s="39">
        <v>Sin marco</v>
      </c>
      <c r="O1059" t="str" s="39" cm="1">
        <f t="array" ref="O1059">IF(L1059="","",_xlfn.IFERROR(INDEX('Datos - Catálogo TIMSS'!$C$5:$C$107,MATCH(L1059,'Datos - Catálogo TIMSS'!$A$5:$A$107,0)),"?"))</f>
      </c>
      <c r="P1059" t="s" s="35">
        <v>1058</v>
      </c>
      <c r="Q1059" t="s" s="120">
        <v>6186</v>
      </c>
      <c r="R1059" t="s" s="120">
        <v>6828</v>
      </c>
      <c r="S1059" s="121" cm="1">
        <f t="array" ref="S1059">_xlfn.IFERROR(ISNUMBER(SEARCH("Conocer",$R1059))/(ISNUMBER(SEARCH("Conocer",$R1059))+ISNUMBER(SEARCH("Aplicar",$R1059))+ISNUMBER(SEARCH("Razonar",$R1059))),0)</f>
        <v>0</v>
      </c>
      <c r="T1059" s="121" cm="1">
        <f t="array" ref="T1059">_xlfn.IFERROR(ISNUMBER(SEARCH("Aplicar",$R1059))/(ISNUMBER(SEARCH("Conocer",$R1059))+ISNUMBER(SEARCH("Aplicar",$R1059))+ISNUMBER(SEARCH("Razonar",$R1059))),0)</f>
        <v>0.5</v>
      </c>
      <c r="U1059" s="121" cm="1">
        <f t="array" ref="U1059">_xlfn.IFERROR(ISNUMBER(SEARCH("Razonar",$R1059))/(ISNUMBER(SEARCH("Conocer",$R1059))+ISNUMBER(SEARCH("Aplicar",$R1059))+ISNUMBER(SEARCH("Razonar",$R1059))),0)</f>
        <v>0.5</v>
      </c>
      <c r="V1059" t="s" s="35">
        <v>1407</v>
      </c>
      <c r="W1059" t="s" s="35">
        <v>6188</v>
      </c>
      <c r="X1059" s="36" cm="1">
        <f t="array" ref="X1059">IF(OR(_xlfn.IFERROR(INDEX('Datos - Catálogo TIMSS'!$I$5:$I$107,MATCH(K1059,'Datos - Catálogo TIMSS'!$A$5:$A$107,0)),"No")="Sí",_xlfn.IFERROR(INDEX('Datos - Catálogo TIMSS'!$I$5:$I$107,MATCH(L1059,'Datos - Catálogo TIMSS'!$A$5:$A$107,0)),"No")="Sí"),1,0)</f>
        <v>0</v>
      </c>
      <c r="Y1059" s="36" cm="1">
        <f t="array" ref="Y1059">IF(_xlfn.IFERROR(INDEX('Datos - Catálogo TIMSS'!$J$5:$J$107,MATCH(K1059,'Datos - Catálogo TIMSS'!$A$5:$A$107,0)),"No")="Sí",1,0)</f>
        <v>0</v>
      </c>
      <c r="Z1059" s="36" cm="1">
        <f t="array" ref="Z1059">IF(_xlfn.IFERROR(INDEX('Datos - Catálogo TIMSS'!$J$5:$J$107,MATCH(L1059,'Datos - Catálogo TIMSS'!$A$5:$A$107,0)),"No")="Sí",1,0)</f>
        <v>0</v>
      </c>
      <c r="AA1059" t="s" s="35">
        <v>1058</v>
      </c>
      <c r="AB1059" s="39"/>
      <c r="AC1059" t="str" s="39">
        <v>Sin marco</v>
      </c>
      <c r="AD1059" t="s" s="35">
        <v>1859</v>
      </c>
      <c r="AE1059" t="str" s="39" cm="1">
        <f t="array" ref="AE1059">IF(AD1059="","",IF(LEFT(AD1059,1)="1","C1",IF(LEFT(AD1059,1)="2","C2",IF(LEFT(AD1059,1)="3","C3",""))))</f>
        <v>C1</v>
      </c>
      <c r="AF1059" t="s" s="35">
        <v>1602</v>
      </c>
      <c r="AG1059" t="s" s="35">
        <v>1617</v>
      </c>
      <c r="AH1059" t="s" s="35">
        <v>1605</v>
      </c>
      <c r="AI1059" t="s" s="35">
        <v>1623</v>
      </c>
      <c r="AJ1059" t="s" s="35">
        <v>1633</v>
      </c>
      <c r="AK1059" s="39"/>
      <c r="AL1059" s="39"/>
      <c r="AM1059" s="39"/>
      <c r="AN1059" s="39"/>
      <c r="AO1059" s="39"/>
      <c r="AP1059" s="39"/>
      <c r="AQ1059" s="39"/>
      <c r="AR1059" s="39"/>
      <c r="AS1059" s="39"/>
      <c r="AT1059" s="39"/>
      <c r="AU1059" s="39"/>
      <c r="AV1059" s="39"/>
      <c r="AW1059" t="str" s="39" cm="1">
        <f t="array" ref="AW1059">AF1059&amp;"; "&amp;AG1059&amp;"; "&amp;AH1059&amp;"; "&amp;AI1059&amp;"; "&amp;AJ1059</f>
        <v>E1; D1; E2; D4; I5</v>
      </c>
    </row>
    <row r="1060" ht="13.65" customHeight="1">
      <c r="A1060" t="s" s="35">
        <v>6829</v>
      </c>
      <c r="B1060" s="36">
        <v>11</v>
      </c>
      <c r="C1060" t="s" s="35">
        <v>220</v>
      </c>
      <c r="D1060" t="s" s="35">
        <v>6180</v>
      </c>
      <c r="E1060" t="s" s="35">
        <v>6631</v>
      </c>
      <c r="F1060" s="36">
        <v>57</v>
      </c>
      <c r="G1060" t="s" s="35">
        <v>6822</v>
      </c>
      <c r="H1060" t="s" s="35">
        <v>6823</v>
      </c>
      <c r="I1060" t="s" s="120">
        <v>6830</v>
      </c>
      <c r="J1060" t="s" s="35">
        <v>6185</v>
      </c>
      <c r="K1060" t="s" s="35">
        <v>1058</v>
      </c>
      <c r="L1060" s="39"/>
      <c r="M1060" t="str" s="39">
        <v>Sin marco</v>
      </c>
      <c r="N1060" t="str" s="39">
        <v>Sin marco</v>
      </c>
      <c r="O1060" t="str" s="39" cm="1">
        <f t="array" ref="O1060">IF(L1060="","",_xlfn.IFERROR(INDEX('Datos - Catálogo TIMSS'!$C$5:$C$107,MATCH(L1060,'Datos - Catálogo TIMSS'!$A$5:$A$107,0)),"?"))</f>
      </c>
      <c r="P1060" t="s" s="35">
        <v>1058</v>
      </c>
      <c r="Q1060" t="s" s="120">
        <v>6186</v>
      </c>
      <c r="R1060" t="s" s="120">
        <v>6831</v>
      </c>
      <c r="S1060" s="121" cm="1">
        <f t="array" ref="S1060">_xlfn.IFERROR(ISNUMBER(SEARCH("Conocer",$R1060))/(ISNUMBER(SEARCH("Conocer",$R1060))+ISNUMBER(SEARCH("Aplicar",$R1060))+ISNUMBER(SEARCH("Razonar",$R1060))),0)</f>
        <v>0</v>
      </c>
      <c r="T1060" s="121" cm="1">
        <f t="array" ref="T1060">_xlfn.IFERROR(ISNUMBER(SEARCH("Aplicar",$R1060))/(ISNUMBER(SEARCH("Conocer",$R1060))+ISNUMBER(SEARCH("Aplicar",$R1060))+ISNUMBER(SEARCH("Razonar",$R1060))),0)</f>
        <v>0.5</v>
      </c>
      <c r="U1060" s="121" cm="1">
        <f t="array" ref="U1060">_xlfn.IFERROR(ISNUMBER(SEARCH("Razonar",$R1060))/(ISNUMBER(SEARCH("Conocer",$R1060))+ISNUMBER(SEARCH("Aplicar",$R1060))+ISNUMBER(SEARCH("Razonar",$R1060))),0)</f>
        <v>0.5</v>
      </c>
      <c r="V1060" t="s" s="35">
        <v>1407</v>
      </c>
      <c r="W1060" t="s" s="35">
        <v>6188</v>
      </c>
      <c r="X1060" s="36" cm="1">
        <f t="array" ref="X1060">IF(OR(_xlfn.IFERROR(INDEX('Datos - Catálogo TIMSS'!$I$5:$I$107,MATCH(K1060,'Datos - Catálogo TIMSS'!$A$5:$A$107,0)),"No")="Sí",_xlfn.IFERROR(INDEX('Datos - Catálogo TIMSS'!$I$5:$I$107,MATCH(L1060,'Datos - Catálogo TIMSS'!$A$5:$A$107,0)),"No")="Sí"),1,0)</f>
        <v>0</v>
      </c>
      <c r="Y1060" s="36" cm="1">
        <f t="array" ref="Y1060">IF(_xlfn.IFERROR(INDEX('Datos - Catálogo TIMSS'!$J$5:$J$107,MATCH(K1060,'Datos - Catálogo TIMSS'!$A$5:$A$107,0)),"No")="Sí",1,0)</f>
        <v>0</v>
      </c>
      <c r="Z1060" s="36" cm="1">
        <f t="array" ref="Z1060">IF(_xlfn.IFERROR(INDEX('Datos - Catálogo TIMSS'!$J$5:$J$107,MATCH(L1060,'Datos - Catálogo TIMSS'!$A$5:$A$107,0)),"No")="Sí",1,0)</f>
        <v>0</v>
      </c>
      <c r="AA1060" t="s" s="35">
        <v>1058</v>
      </c>
      <c r="AB1060" s="39"/>
      <c r="AC1060" t="str" s="39">
        <v>Sin marco</v>
      </c>
      <c r="AD1060" t="s" s="35">
        <v>1859</v>
      </c>
      <c r="AE1060" t="str" s="39" cm="1">
        <f t="array" ref="AE1060">IF(AD1060="","",IF(LEFT(AD1060,1)="1","C1",IF(LEFT(AD1060,1)="2","C2",IF(LEFT(AD1060,1)="3","C3",""))))</f>
        <v>C1</v>
      </c>
      <c r="AF1060" t="s" s="35">
        <v>1602</v>
      </c>
      <c r="AG1060" t="s" s="35">
        <v>1612</v>
      </c>
      <c r="AH1060" t="s" s="35">
        <v>1605</v>
      </c>
      <c r="AI1060" t="s" s="35">
        <v>1609</v>
      </c>
      <c r="AJ1060" t="s" s="35">
        <v>1607</v>
      </c>
      <c r="AK1060" s="39"/>
      <c r="AL1060" s="39"/>
      <c r="AM1060" s="39"/>
      <c r="AN1060" s="39"/>
      <c r="AO1060" s="39"/>
      <c r="AP1060" s="39"/>
      <c r="AQ1060" s="39"/>
      <c r="AR1060" s="39"/>
      <c r="AS1060" s="39"/>
      <c r="AT1060" s="39"/>
      <c r="AU1060" s="39"/>
      <c r="AV1060" s="39"/>
      <c r="AW1060" t="str" s="39" cm="1">
        <f t="array" ref="AW1060">AF1060&amp;"; "&amp;AG1060&amp;"; "&amp;AH1060&amp;"; "&amp;AI1060&amp;"; "&amp;AJ1060</f>
        <v>E1; E5; E2; E4; E3</v>
      </c>
    </row>
    <row r="1061" ht="13.65" customHeight="1">
      <c r="A1061" t="s" s="35">
        <v>6832</v>
      </c>
      <c r="B1061" s="36">
        <v>11</v>
      </c>
      <c r="C1061" t="s" s="35">
        <v>220</v>
      </c>
      <c r="D1061" t="s" s="35">
        <v>6180</v>
      </c>
      <c r="E1061" t="s" s="35">
        <v>6631</v>
      </c>
      <c r="F1061" s="36">
        <v>58</v>
      </c>
      <c r="G1061" t="s" s="35">
        <v>6822</v>
      </c>
      <c r="H1061" t="s" s="35">
        <v>6833</v>
      </c>
      <c r="I1061" t="s" s="120">
        <v>6834</v>
      </c>
      <c r="J1061" t="s" s="35">
        <v>6185</v>
      </c>
      <c r="K1061" t="s" s="35">
        <v>1058</v>
      </c>
      <c r="L1061" s="39"/>
      <c r="M1061" t="str" s="39">
        <v>Sin marco</v>
      </c>
      <c r="N1061" t="str" s="39">
        <v>Sin marco</v>
      </c>
      <c r="O1061" t="str" s="39" cm="1">
        <f t="array" ref="O1061">IF(L1061="","",_xlfn.IFERROR(INDEX('Datos - Catálogo TIMSS'!$C$5:$C$107,MATCH(L1061,'Datos - Catálogo TIMSS'!$A$5:$A$107,0)),"?"))</f>
      </c>
      <c r="P1061" t="s" s="35">
        <v>1058</v>
      </c>
      <c r="Q1061" t="s" s="120">
        <v>6186</v>
      </c>
      <c r="R1061" t="s" s="120">
        <v>6835</v>
      </c>
      <c r="S1061" s="121" cm="1">
        <f t="array" ref="S1061">_xlfn.IFERROR(ISNUMBER(SEARCH("Conocer",$R1061))/(ISNUMBER(SEARCH("Conocer",$R1061))+ISNUMBER(SEARCH("Aplicar",$R1061))+ISNUMBER(SEARCH("Razonar",$R1061))),0)</f>
        <v>0</v>
      </c>
      <c r="T1061" s="121" cm="1">
        <f t="array" ref="T1061">_xlfn.IFERROR(ISNUMBER(SEARCH("Aplicar",$R1061))/(ISNUMBER(SEARCH("Conocer",$R1061))+ISNUMBER(SEARCH("Aplicar",$R1061))+ISNUMBER(SEARCH("Razonar",$R1061))),0)</f>
        <v>0.5</v>
      </c>
      <c r="U1061" s="121" cm="1">
        <f t="array" ref="U1061">_xlfn.IFERROR(ISNUMBER(SEARCH("Razonar",$R1061))/(ISNUMBER(SEARCH("Conocer",$R1061))+ISNUMBER(SEARCH("Aplicar",$R1061))+ISNUMBER(SEARCH("Razonar",$R1061))),0)</f>
        <v>0.5</v>
      </c>
      <c r="V1061" t="s" s="35">
        <v>1407</v>
      </c>
      <c r="W1061" t="s" s="35">
        <v>6188</v>
      </c>
      <c r="X1061" s="36" cm="1">
        <f t="array" ref="X1061">IF(OR(_xlfn.IFERROR(INDEX('Datos - Catálogo TIMSS'!$I$5:$I$107,MATCH(K1061,'Datos - Catálogo TIMSS'!$A$5:$A$107,0)),"No")="Sí",_xlfn.IFERROR(INDEX('Datos - Catálogo TIMSS'!$I$5:$I$107,MATCH(L1061,'Datos - Catálogo TIMSS'!$A$5:$A$107,0)),"No")="Sí"),1,0)</f>
        <v>0</v>
      </c>
      <c r="Y1061" s="36" cm="1">
        <f t="array" ref="Y1061">IF(_xlfn.IFERROR(INDEX('Datos - Catálogo TIMSS'!$J$5:$J$107,MATCH(K1061,'Datos - Catálogo TIMSS'!$A$5:$A$107,0)),"No")="Sí",1,0)</f>
        <v>0</v>
      </c>
      <c r="Z1061" s="36" cm="1">
        <f t="array" ref="Z1061">IF(_xlfn.IFERROR(INDEX('Datos - Catálogo TIMSS'!$J$5:$J$107,MATCH(L1061,'Datos - Catálogo TIMSS'!$A$5:$A$107,0)),"No")="Sí",1,0)</f>
        <v>0</v>
      </c>
      <c r="AA1061" t="s" s="35">
        <v>1058</v>
      </c>
      <c r="AB1061" s="39"/>
      <c r="AC1061" t="str" s="39">
        <v>Sin marco</v>
      </c>
      <c r="AD1061" t="s" s="35">
        <v>1834</v>
      </c>
      <c r="AE1061" t="str" s="39" cm="1">
        <f t="array" ref="AE1061">IF(AD1061="","",IF(LEFT(AD1061,1)="1","C1",IF(LEFT(AD1061,1)="2","C2",IF(LEFT(AD1061,1)="3","C3",""))))</f>
        <v>C2</v>
      </c>
      <c r="AF1061" t="s" s="35">
        <v>1602</v>
      </c>
      <c r="AG1061" t="s" s="35">
        <v>1617</v>
      </c>
      <c r="AH1061" t="s" s="35">
        <v>1609</v>
      </c>
      <c r="AI1061" t="s" s="35">
        <v>1623</v>
      </c>
      <c r="AJ1061" t="s" s="35">
        <v>1621</v>
      </c>
      <c r="AK1061" s="39"/>
      <c r="AL1061" s="39"/>
      <c r="AM1061" s="39"/>
      <c r="AN1061" s="39"/>
      <c r="AO1061" s="39"/>
      <c r="AP1061" s="39"/>
      <c r="AQ1061" s="39"/>
      <c r="AR1061" s="39"/>
      <c r="AS1061" s="39"/>
      <c r="AT1061" s="39"/>
      <c r="AU1061" s="39"/>
      <c r="AV1061" s="39"/>
      <c r="AW1061" t="str" s="39" cm="1">
        <f t="array" ref="AW1061">AF1061&amp;"; "&amp;AG1061&amp;"; "&amp;AH1061&amp;"; "&amp;AI1061&amp;"; "&amp;AJ1061</f>
        <v>E1; D1; E4; D4; D3</v>
      </c>
    </row>
    <row r="1062" ht="13.65" customHeight="1">
      <c r="A1062" t="s" s="35">
        <v>6836</v>
      </c>
      <c r="B1062" s="36">
        <v>11</v>
      </c>
      <c r="C1062" t="s" s="35">
        <v>220</v>
      </c>
      <c r="D1062" t="s" s="35">
        <v>6180</v>
      </c>
      <c r="E1062" t="s" s="35">
        <v>6631</v>
      </c>
      <c r="F1062" s="36">
        <v>59</v>
      </c>
      <c r="G1062" t="s" s="35">
        <v>6822</v>
      </c>
      <c r="H1062" t="s" s="35">
        <v>6833</v>
      </c>
      <c r="I1062" t="s" s="120">
        <v>6837</v>
      </c>
      <c r="J1062" t="s" s="35">
        <v>6185</v>
      </c>
      <c r="K1062" t="s" s="35">
        <v>1058</v>
      </c>
      <c r="L1062" s="39"/>
      <c r="M1062" t="str" s="39">
        <v>Sin marco</v>
      </c>
      <c r="N1062" t="str" s="39">
        <v>Sin marco</v>
      </c>
      <c r="O1062" t="str" s="39" cm="1">
        <f t="array" ref="O1062">IF(L1062="","",_xlfn.IFERROR(INDEX('Datos - Catálogo TIMSS'!$C$5:$C$107,MATCH(L1062,'Datos - Catálogo TIMSS'!$A$5:$A$107,0)),"?"))</f>
      </c>
      <c r="P1062" t="s" s="35">
        <v>1058</v>
      </c>
      <c r="Q1062" t="s" s="120">
        <v>6186</v>
      </c>
      <c r="R1062" t="s" s="120">
        <v>6838</v>
      </c>
      <c r="S1062" s="121" cm="1">
        <f t="array" ref="S1062">_xlfn.IFERROR(ISNUMBER(SEARCH("Conocer",$R1062))/(ISNUMBER(SEARCH("Conocer",$R1062))+ISNUMBER(SEARCH("Aplicar",$R1062))+ISNUMBER(SEARCH("Razonar",$R1062))),0)</f>
        <v>0</v>
      </c>
      <c r="T1062" s="121" cm="1">
        <f t="array" ref="T1062">_xlfn.IFERROR(ISNUMBER(SEARCH("Aplicar",$R1062))/(ISNUMBER(SEARCH("Conocer",$R1062))+ISNUMBER(SEARCH("Aplicar",$R1062))+ISNUMBER(SEARCH("Razonar",$R1062))),0)</f>
        <v>0.5</v>
      </c>
      <c r="U1062" s="121" cm="1">
        <f t="array" ref="U1062">_xlfn.IFERROR(ISNUMBER(SEARCH("Razonar",$R1062))/(ISNUMBER(SEARCH("Conocer",$R1062))+ISNUMBER(SEARCH("Aplicar",$R1062))+ISNUMBER(SEARCH("Razonar",$R1062))),0)</f>
        <v>0.5</v>
      </c>
      <c r="V1062" t="s" s="35">
        <v>1407</v>
      </c>
      <c r="W1062" t="s" s="35">
        <v>6188</v>
      </c>
      <c r="X1062" s="36" cm="1">
        <f t="array" ref="X1062">IF(OR(_xlfn.IFERROR(INDEX('Datos - Catálogo TIMSS'!$I$5:$I$107,MATCH(K1062,'Datos - Catálogo TIMSS'!$A$5:$A$107,0)),"No")="Sí",_xlfn.IFERROR(INDEX('Datos - Catálogo TIMSS'!$I$5:$I$107,MATCH(L1062,'Datos - Catálogo TIMSS'!$A$5:$A$107,0)),"No")="Sí"),1,0)</f>
        <v>0</v>
      </c>
      <c r="Y1062" s="36" cm="1">
        <f t="array" ref="Y1062">IF(_xlfn.IFERROR(INDEX('Datos - Catálogo TIMSS'!$J$5:$J$107,MATCH(K1062,'Datos - Catálogo TIMSS'!$A$5:$A$107,0)),"No")="Sí",1,0)</f>
        <v>0</v>
      </c>
      <c r="Z1062" s="36" cm="1">
        <f t="array" ref="Z1062">IF(_xlfn.IFERROR(INDEX('Datos - Catálogo TIMSS'!$J$5:$J$107,MATCH(L1062,'Datos - Catálogo TIMSS'!$A$5:$A$107,0)),"No")="Sí",1,0)</f>
        <v>0</v>
      </c>
      <c r="AA1062" t="s" s="35">
        <v>1058</v>
      </c>
      <c r="AB1062" s="39"/>
      <c r="AC1062" t="str" s="39">
        <v>Sin marco</v>
      </c>
      <c r="AD1062" t="s" s="35">
        <v>1834</v>
      </c>
      <c r="AE1062" t="str" s="39" cm="1">
        <f t="array" ref="AE1062">IF(AD1062="","",IF(LEFT(AD1062,1)="1","C1",IF(LEFT(AD1062,1)="2","C2",IF(LEFT(AD1062,1)="3","C3",""))))</f>
        <v>C2</v>
      </c>
      <c r="AF1062" t="s" s="35">
        <v>1615</v>
      </c>
      <c r="AG1062" t="s" s="35">
        <v>1617</v>
      </c>
      <c r="AH1062" t="s" s="35">
        <v>1605</v>
      </c>
      <c r="AI1062" t="s" s="35">
        <v>1619</v>
      </c>
      <c r="AJ1062" t="s" s="35">
        <v>1607</v>
      </c>
      <c r="AK1062" s="39"/>
      <c r="AL1062" s="39"/>
      <c r="AM1062" s="39"/>
      <c r="AN1062" s="39"/>
      <c r="AO1062" s="39"/>
      <c r="AP1062" s="39"/>
      <c r="AQ1062" s="39"/>
      <c r="AR1062" s="39"/>
      <c r="AS1062" s="39"/>
      <c r="AT1062" s="39"/>
      <c r="AU1062" s="39"/>
      <c r="AV1062" s="39"/>
      <c r="AW1062" t="str" s="39" cm="1">
        <f t="array" ref="AW1062">AF1062&amp;"; "&amp;AG1062&amp;"; "&amp;AH1062&amp;"; "&amp;AI1062&amp;"; "&amp;AJ1062</f>
        <v>E6; D1; E2; D2; E3</v>
      </c>
    </row>
    <row r="1063" ht="13.65" customHeight="1">
      <c r="A1063" t="s" s="35">
        <v>6840</v>
      </c>
      <c r="B1063" s="36">
        <v>11</v>
      </c>
      <c r="C1063" t="s" s="35">
        <v>220</v>
      </c>
      <c r="D1063" t="s" s="35">
        <v>6180</v>
      </c>
      <c r="E1063" t="s" s="35">
        <v>6631</v>
      </c>
      <c r="F1063" s="36">
        <v>60</v>
      </c>
      <c r="G1063" t="s" s="35">
        <v>6822</v>
      </c>
      <c r="H1063" t="s" s="35">
        <v>6833</v>
      </c>
      <c r="I1063" t="s" s="120">
        <v>6841</v>
      </c>
      <c r="J1063" t="s" s="35">
        <v>6185</v>
      </c>
      <c r="K1063" t="s" s="35">
        <v>1058</v>
      </c>
      <c r="L1063" s="39"/>
      <c r="M1063" t="str" s="39">
        <v>Sin marco</v>
      </c>
      <c r="N1063" t="str" s="39">
        <v>Sin marco</v>
      </c>
      <c r="O1063" t="str" s="39" cm="1">
        <f t="array" ref="O1063">IF(L1063="","",_xlfn.IFERROR(INDEX('Datos - Catálogo TIMSS'!$C$5:$C$107,MATCH(L1063,'Datos - Catálogo TIMSS'!$A$5:$A$107,0)),"?"))</f>
      </c>
      <c r="P1063" t="s" s="35">
        <v>1058</v>
      </c>
      <c r="Q1063" t="s" s="120">
        <v>6186</v>
      </c>
      <c r="R1063" t="s" s="120">
        <v>6842</v>
      </c>
      <c r="S1063" s="121" cm="1">
        <f t="array" ref="S1063">_xlfn.IFERROR(ISNUMBER(SEARCH("Conocer",$R1063))/(ISNUMBER(SEARCH("Conocer",$R1063))+ISNUMBER(SEARCH("Aplicar",$R1063))+ISNUMBER(SEARCH("Razonar",$R1063))),0)</f>
        <v>0</v>
      </c>
      <c r="T1063" s="121" cm="1">
        <f t="array" ref="T1063">_xlfn.IFERROR(ISNUMBER(SEARCH("Aplicar",$R1063))/(ISNUMBER(SEARCH("Conocer",$R1063))+ISNUMBER(SEARCH("Aplicar",$R1063))+ISNUMBER(SEARCH("Razonar",$R1063))),0)</f>
        <v>0</v>
      </c>
      <c r="U1063" s="121" cm="1">
        <f t="array" ref="U1063">_xlfn.IFERROR(ISNUMBER(SEARCH("Razonar",$R1063))/(ISNUMBER(SEARCH("Conocer",$R1063))+ISNUMBER(SEARCH("Aplicar",$R1063))+ISNUMBER(SEARCH("Razonar",$R1063))),0)</f>
        <v>1</v>
      </c>
      <c r="V1063" t="s" s="35">
        <v>1407</v>
      </c>
      <c r="W1063" t="s" s="35">
        <v>6188</v>
      </c>
      <c r="X1063" s="36" cm="1">
        <f t="array" ref="X1063">IF(OR(_xlfn.IFERROR(INDEX('Datos - Catálogo TIMSS'!$I$5:$I$107,MATCH(K1063,'Datos - Catálogo TIMSS'!$A$5:$A$107,0)),"No")="Sí",_xlfn.IFERROR(INDEX('Datos - Catálogo TIMSS'!$I$5:$I$107,MATCH(L1063,'Datos - Catálogo TIMSS'!$A$5:$A$107,0)),"No")="Sí"),1,0)</f>
        <v>0</v>
      </c>
      <c r="Y1063" s="36" cm="1">
        <f t="array" ref="Y1063">IF(_xlfn.IFERROR(INDEX('Datos - Catálogo TIMSS'!$J$5:$J$107,MATCH(K1063,'Datos - Catálogo TIMSS'!$A$5:$A$107,0)),"No")="Sí",1,0)</f>
        <v>0</v>
      </c>
      <c r="Z1063" s="36" cm="1">
        <f t="array" ref="Z1063">IF(_xlfn.IFERROR(INDEX('Datos - Catálogo TIMSS'!$J$5:$J$107,MATCH(L1063,'Datos - Catálogo TIMSS'!$A$5:$A$107,0)),"No")="Sí",1,0)</f>
        <v>0</v>
      </c>
      <c r="AA1063" t="s" s="35">
        <v>1058</v>
      </c>
      <c r="AB1063" s="39"/>
      <c r="AC1063" t="str" s="39">
        <v>Sin marco</v>
      </c>
      <c r="AD1063" t="s" s="35">
        <v>1834</v>
      </c>
      <c r="AE1063" t="str" s="39" cm="1">
        <f t="array" ref="AE1063">IF(AD1063="","",IF(LEFT(AD1063,1)="1","C1",IF(LEFT(AD1063,1)="2","C2",IF(LEFT(AD1063,1)="3","C3",""))))</f>
        <v>C2</v>
      </c>
      <c r="AF1063" t="s" s="35">
        <v>1602</v>
      </c>
      <c r="AG1063" t="s" s="35">
        <v>1617</v>
      </c>
      <c r="AH1063" t="s" s="35">
        <v>1605</v>
      </c>
      <c r="AI1063" t="s" s="35">
        <v>1621</v>
      </c>
      <c r="AJ1063" t="s" s="35">
        <v>1631</v>
      </c>
      <c r="AK1063" s="39"/>
      <c r="AL1063" s="39"/>
      <c r="AM1063" s="39"/>
      <c r="AN1063" s="39"/>
      <c r="AO1063" s="39"/>
      <c r="AP1063" s="39"/>
      <c r="AQ1063" s="39"/>
      <c r="AR1063" s="39"/>
      <c r="AS1063" s="39"/>
      <c r="AT1063" s="39"/>
      <c r="AU1063" s="39"/>
      <c r="AV1063" s="39"/>
      <c r="AW1063" t="str" s="39" cm="1">
        <f t="array" ref="AW1063">AF1063&amp;"; "&amp;AG1063&amp;"; "&amp;AH1063&amp;"; "&amp;AI1063&amp;"; "&amp;AJ1063</f>
        <v>E1; D1; E2; D3; I4</v>
      </c>
    </row>
    <row r="1064" ht="13.65" customHeight="1">
      <c r="A1064" t="s" s="35">
        <v>6844</v>
      </c>
      <c r="B1064" s="36">
        <v>11</v>
      </c>
      <c r="C1064" t="s" s="35">
        <v>220</v>
      </c>
      <c r="D1064" t="s" s="35">
        <v>6180</v>
      </c>
      <c r="E1064" t="s" s="35">
        <v>6631</v>
      </c>
      <c r="F1064" s="36">
        <v>61</v>
      </c>
      <c r="G1064" t="s" s="35">
        <v>6822</v>
      </c>
      <c r="H1064" t="s" s="35">
        <v>6845</v>
      </c>
      <c r="I1064" t="s" s="120">
        <v>6846</v>
      </c>
      <c r="J1064" t="s" s="35">
        <v>6185</v>
      </c>
      <c r="K1064" t="s" s="35">
        <v>1058</v>
      </c>
      <c r="L1064" s="39"/>
      <c r="M1064" t="str" s="39">
        <v>Sin marco</v>
      </c>
      <c r="N1064" t="str" s="39">
        <v>Sin marco</v>
      </c>
      <c r="O1064" t="str" s="39" cm="1">
        <f t="array" ref="O1064">IF(L1064="","",_xlfn.IFERROR(INDEX('Datos - Catálogo TIMSS'!$C$5:$C$107,MATCH(L1064,'Datos - Catálogo TIMSS'!$A$5:$A$107,0)),"?"))</f>
      </c>
      <c r="P1064" t="s" s="35">
        <v>1058</v>
      </c>
      <c r="Q1064" t="s" s="120">
        <v>6186</v>
      </c>
      <c r="R1064" t="s" s="120">
        <v>6847</v>
      </c>
      <c r="S1064" s="121" cm="1">
        <f t="array" ref="S1064">_xlfn.IFERROR(ISNUMBER(SEARCH("Conocer",$R1064))/(ISNUMBER(SEARCH("Conocer",$R1064))+ISNUMBER(SEARCH("Aplicar",$R1064))+ISNUMBER(SEARCH("Razonar",$R1064))),0)</f>
        <v>0</v>
      </c>
      <c r="T1064" s="121" cm="1">
        <f t="array" ref="T1064">_xlfn.IFERROR(ISNUMBER(SEARCH("Aplicar",$R1064))/(ISNUMBER(SEARCH("Conocer",$R1064))+ISNUMBER(SEARCH("Aplicar",$R1064))+ISNUMBER(SEARCH("Razonar",$R1064))),0)</f>
        <v>0.5</v>
      </c>
      <c r="U1064" s="121" cm="1">
        <f t="array" ref="U1064">_xlfn.IFERROR(ISNUMBER(SEARCH("Razonar",$R1064))/(ISNUMBER(SEARCH("Conocer",$R1064))+ISNUMBER(SEARCH("Aplicar",$R1064))+ISNUMBER(SEARCH("Razonar",$R1064))),0)</f>
        <v>0.5</v>
      </c>
      <c r="V1064" t="s" s="35">
        <v>1407</v>
      </c>
      <c r="W1064" t="s" s="35">
        <v>6188</v>
      </c>
      <c r="X1064" s="36" cm="1">
        <f t="array" ref="X1064">IF(OR(_xlfn.IFERROR(INDEX('Datos - Catálogo TIMSS'!$I$5:$I$107,MATCH(K1064,'Datos - Catálogo TIMSS'!$A$5:$A$107,0)),"No")="Sí",_xlfn.IFERROR(INDEX('Datos - Catálogo TIMSS'!$I$5:$I$107,MATCH(L1064,'Datos - Catálogo TIMSS'!$A$5:$A$107,0)),"No")="Sí"),1,0)</f>
        <v>0</v>
      </c>
      <c r="Y1064" s="36" cm="1">
        <f t="array" ref="Y1064">IF(_xlfn.IFERROR(INDEX('Datos - Catálogo TIMSS'!$J$5:$J$107,MATCH(K1064,'Datos - Catálogo TIMSS'!$A$5:$A$107,0)),"No")="Sí",1,0)</f>
        <v>0</v>
      </c>
      <c r="Z1064" s="36" cm="1">
        <f t="array" ref="Z1064">IF(_xlfn.IFERROR(INDEX('Datos - Catálogo TIMSS'!$J$5:$J$107,MATCH(L1064,'Datos - Catálogo TIMSS'!$A$5:$A$107,0)),"No")="Sí",1,0)</f>
        <v>0</v>
      </c>
      <c r="AA1064" t="s" s="35">
        <v>1058</v>
      </c>
      <c r="AB1064" s="39"/>
      <c r="AC1064" t="str" s="39">
        <v>Sin marco</v>
      </c>
      <c r="AD1064" t="s" s="35">
        <v>1834</v>
      </c>
      <c r="AE1064" t="str" s="39" cm="1">
        <f t="array" ref="AE1064">IF(AD1064="","",IF(LEFT(AD1064,1)="1","C1",IF(LEFT(AD1064,1)="2","C2",IF(LEFT(AD1064,1)="3","C3",""))))</f>
        <v>C2</v>
      </c>
      <c r="AF1064" t="s" s="35">
        <v>1615</v>
      </c>
      <c r="AG1064" t="s" s="35">
        <v>1612</v>
      </c>
      <c r="AH1064" t="s" s="35">
        <v>1605</v>
      </c>
      <c r="AI1064" t="s" s="35">
        <v>1623</v>
      </c>
      <c r="AJ1064" t="s" s="35">
        <v>1607</v>
      </c>
      <c r="AK1064" s="39"/>
      <c r="AL1064" s="39"/>
      <c r="AM1064" s="39"/>
      <c r="AN1064" s="39"/>
      <c r="AO1064" s="39"/>
      <c r="AP1064" s="39"/>
      <c r="AQ1064" s="39"/>
      <c r="AR1064" s="39"/>
      <c r="AS1064" s="39"/>
      <c r="AT1064" s="39"/>
      <c r="AU1064" s="39"/>
      <c r="AV1064" s="39"/>
      <c r="AW1064" t="str" s="39" cm="1">
        <f t="array" ref="AW1064">AF1064&amp;"; "&amp;AG1064&amp;"; "&amp;AH1064&amp;"; "&amp;AI1064&amp;"; "&amp;AJ1064</f>
        <v>E6; E5; E2; D4; E3</v>
      </c>
    </row>
    <row r="1065" ht="13.65" customHeight="1">
      <c r="A1065" t="s" s="35">
        <v>6848</v>
      </c>
      <c r="B1065" s="36">
        <v>11</v>
      </c>
      <c r="C1065" t="s" s="35">
        <v>220</v>
      </c>
      <c r="D1065" t="s" s="35">
        <v>6180</v>
      </c>
      <c r="E1065" t="s" s="35">
        <v>6631</v>
      </c>
      <c r="F1065" s="36">
        <v>62</v>
      </c>
      <c r="G1065" t="s" s="35">
        <v>6822</v>
      </c>
      <c r="H1065" t="s" s="35">
        <v>6845</v>
      </c>
      <c r="I1065" t="s" s="120">
        <v>6849</v>
      </c>
      <c r="J1065" t="s" s="35">
        <v>6185</v>
      </c>
      <c r="K1065" t="s" s="35">
        <v>1058</v>
      </c>
      <c r="L1065" s="39"/>
      <c r="M1065" t="str" s="39">
        <v>Sin marco</v>
      </c>
      <c r="N1065" t="str" s="39">
        <v>Sin marco</v>
      </c>
      <c r="O1065" t="str" s="39" cm="1">
        <f t="array" ref="O1065">IF(L1065="","",_xlfn.IFERROR(INDEX('Datos - Catálogo TIMSS'!$C$5:$C$107,MATCH(L1065,'Datos - Catálogo TIMSS'!$A$5:$A$107,0)),"?"))</f>
      </c>
      <c r="P1065" t="s" s="35">
        <v>1058</v>
      </c>
      <c r="Q1065" t="s" s="120">
        <v>6186</v>
      </c>
      <c r="R1065" t="s" s="120">
        <v>6850</v>
      </c>
      <c r="S1065" s="121" cm="1">
        <f t="array" ref="S1065">_xlfn.IFERROR(ISNUMBER(SEARCH("Conocer",$R1065))/(ISNUMBER(SEARCH("Conocer",$R1065))+ISNUMBER(SEARCH("Aplicar",$R1065))+ISNUMBER(SEARCH("Razonar",$R1065))),0)</f>
        <v>0</v>
      </c>
      <c r="T1065" s="121" cm="1">
        <f t="array" ref="T1065">_xlfn.IFERROR(ISNUMBER(SEARCH("Aplicar",$R1065))/(ISNUMBER(SEARCH("Conocer",$R1065))+ISNUMBER(SEARCH("Aplicar",$R1065))+ISNUMBER(SEARCH("Razonar",$R1065))),0)</f>
        <v>0.5</v>
      </c>
      <c r="U1065" s="121" cm="1">
        <f t="array" ref="U1065">_xlfn.IFERROR(ISNUMBER(SEARCH("Razonar",$R1065))/(ISNUMBER(SEARCH("Conocer",$R1065))+ISNUMBER(SEARCH("Aplicar",$R1065))+ISNUMBER(SEARCH("Razonar",$R1065))),0)</f>
        <v>0.5</v>
      </c>
      <c r="V1065" t="s" s="35">
        <v>1407</v>
      </c>
      <c r="W1065" t="s" s="35">
        <v>6188</v>
      </c>
      <c r="X1065" s="36" cm="1">
        <f t="array" ref="X1065">IF(OR(_xlfn.IFERROR(INDEX('Datos - Catálogo TIMSS'!$I$5:$I$107,MATCH(K1065,'Datos - Catálogo TIMSS'!$A$5:$A$107,0)),"No")="Sí",_xlfn.IFERROR(INDEX('Datos - Catálogo TIMSS'!$I$5:$I$107,MATCH(L1065,'Datos - Catálogo TIMSS'!$A$5:$A$107,0)),"No")="Sí"),1,0)</f>
        <v>0</v>
      </c>
      <c r="Y1065" s="36" cm="1">
        <f t="array" ref="Y1065">IF(_xlfn.IFERROR(INDEX('Datos - Catálogo TIMSS'!$J$5:$J$107,MATCH(K1065,'Datos - Catálogo TIMSS'!$A$5:$A$107,0)),"No")="Sí",1,0)</f>
        <v>0</v>
      </c>
      <c r="Z1065" s="36" cm="1">
        <f t="array" ref="Z1065">IF(_xlfn.IFERROR(INDEX('Datos - Catálogo TIMSS'!$J$5:$J$107,MATCH(L1065,'Datos - Catálogo TIMSS'!$A$5:$A$107,0)),"No")="Sí",1,0)</f>
        <v>0</v>
      </c>
      <c r="AA1065" t="s" s="35">
        <v>1058</v>
      </c>
      <c r="AB1065" s="39"/>
      <c r="AC1065" t="str" s="39">
        <v>Sin marco</v>
      </c>
      <c r="AD1065" t="s" s="35">
        <v>1859</v>
      </c>
      <c r="AE1065" t="str" s="39" cm="1">
        <f t="array" ref="AE1065">IF(AD1065="","",IF(LEFT(AD1065,1)="1","C1",IF(LEFT(AD1065,1)="2","C2",IF(LEFT(AD1065,1)="3","C3",""))))</f>
        <v>C1</v>
      </c>
      <c r="AF1065" t="s" s="35">
        <v>1602</v>
      </c>
      <c r="AG1065" t="s" s="35">
        <v>1607</v>
      </c>
      <c r="AH1065" t="s" s="35">
        <v>1605</v>
      </c>
      <c r="AI1065" t="s" s="35">
        <v>1623</v>
      </c>
      <c r="AJ1065" t="s" s="35">
        <v>1607</v>
      </c>
      <c r="AK1065" s="39"/>
      <c r="AL1065" s="39"/>
      <c r="AM1065" s="39"/>
      <c r="AN1065" s="39"/>
      <c r="AO1065" s="39"/>
      <c r="AP1065" s="39"/>
      <c r="AQ1065" s="39"/>
      <c r="AR1065" s="39"/>
      <c r="AS1065" s="39"/>
      <c r="AT1065" s="39"/>
      <c r="AU1065" s="39"/>
      <c r="AV1065" s="39"/>
      <c r="AW1065" t="str" s="39" cm="1">
        <f t="array" ref="AW1065">AF1065&amp;"; "&amp;AG1065&amp;"; "&amp;AH1065&amp;"; "&amp;AI1065&amp;"; "&amp;AJ1065</f>
        <v>E1; E3; E2; D4; E3</v>
      </c>
    </row>
    <row r="1066" ht="13.65" customHeight="1">
      <c r="A1066" t="s" s="35">
        <v>6851</v>
      </c>
      <c r="B1066" s="36">
        <v>11</v>
      </c>
      <c r="C1066" t="s" s="35">
        <v>220</v>
      </c>
      <c r="D1066" t="s" s="35">
        <v>6180</v>
      </c>
      <c r="E1066" t="s" s="35">
        <v>6631</v>
      </c>
      <c r="F1066" s="36">
        <v>63</v>
      </c>
      <c r="G1066" t="s" s="35">
        <v>6822</v>
      </c>
      <c r="H1066" t="s" s="35">
        <v>6845</v>
      </c>
      <c r="I1066" t="s" s="120">
        <v>6852</v>
      </c>
      <c r="J1066" t="s" s="35">
        <v>6185</v>
      </c>
      <c r="K1066" t="s" s="35">
        <v>1058</v>
      </c>
      <c r="L1066" s="39"/>
      <c r="M1066" t="str" s="39">
        <v>Sin marco</v>
      </c>
      <c r="N1066" t="str" s="39">
        <v>Sin marco</v>
      </c>
      <c r="O1066" t="str" s="39" cm="1">
        <f t="array" ref="O1066">IF(L1066="","",_xlfn.IFERROR(INDEX('Datos - Catálogo TIMSS'!$C$5:$C$107,MATCH(L1066,'Datos - Catálogo TIMSS'!$A$5:$A$107,0)),"?"))</f>
      </c>
      <c r="P1066" t="s" s="35">
        <v>1058</v>
      </c>
      <c r="Q1066" t="s" s="120">
        <v>6186</v>
      </c>
      <c r="R1066" t="s" s="120">
        <v>6853</v>
      </c>
      <c r="S1066" s="121" cm="1">
        <f t="array" ref="S1066">_xlfn.IFERROR(ISNUMBER(SEARCH("Conocer",$R1066))/(ISNUMBER(SEARCH("Conocer",$R1066))+ISNUMBER(SEARCH("Aplicar",$R1066))+ISNUMBER(SEARCH("Razonar",$R1066))),0)</f>
        <v>0.5</v>
      </c>
      <c r="T1066" s="121" cm="1">
        <f t="array" ref="T1066">_xlfn.IFERROR(ISNUMBER(SEARCH("Aplicar",$R1066))/(ISNUMBER(SEARCH("Conocer",$R1066))+ISNUMBER(SEARCH("Aplicar",$R1066))+ISNUMBER(SEARCH("Razonar",$R1066))),0)</f>
        <v>0</v>
      </c>
      <c r="U1066" s="121" cm="1">
        <f t="array" ref="U1066">_xlfn.IFERROR(ISNUMBER(SEARCH("Razonar",$R1066))/(ISNUMBER(SEARCH("Conocer",$R1066))+ISNUMBER(SEARCH("Aplicar",$R1066))+ISNUMBER(SEARCH("Razonar",$R1066))),0)</f>
        <v>0.5</v>
      </c>
      <c r="V1066" t="s" s="35">
        <v>1407</v>
      </c>
      <c r="W1066" t="s" s="35">
        <v>6188</v>
      </c>
      <c r="X1066" s="36" cm="1">
        <f t="array" ref="X1066">IF(OR(_xlfn.IFERROR(INDEX('Datos - Catálogo TIMSS'!$I$5:$I$107,MATCH(K1066,'Datos - Catálogo TIMSS'!$A$5:$A$107,0)),"No")="Sí",_xlfn.IFERROR(INDEX('Datos - Catálogo TIMSS'!$I$5:$I$107,MATCH(L1066,'Datos - Catálogo TIMSS'!$A$5:$A$107,0)),"No")="Sí"),1,0)</f>
        <v>0</v>
      </c>
      <c r="Y1066" s="36" cm="1">
        <f t="array" ref="Y1066">IF(_xlfn.IFERROR(INDEX('Datos - Catálogo TIMSS'!$J$5:$J$107,MATCH(K1066,'Datos - Catálogo TIMSS'!$A$5:$A$107,0)),"No")="Sí",1,0)</f>
        <v>0</v>
      </c>
      <c r="Z1066" s="36" cm="1">
        <f t="array" ref="Z1066">IF(_xlfn.IFERROR(INDEX('Datos - Catálogo TIMSS'!$J$5:$J$107,MATCH(L1066,'Datos - Catálogo TIMSS'!$A$5:$A$107,0)),"No")="Sí",1,0)</f>
        <v>0</v>
      </c>
      <c r="AA1066" t="s" s="35">
        <v>1058</v>
      </c>
      <c r="AB1066" s="39"/>
      <c r="AC1066" t="str" s="39">
        <v>Sin marco</v>
      </c>
      <c r="AD1066" t="s" s="35">
        <v>1900</v>
      </c>
      <c r="AE1066" t="str" s="39" cm="1">
        <f t="array" ref="AE1066">IF(AD1066="","",IF(LEFT(AD1066,1)="1","C1",IF(LEFT(AD1066,1)="2","C2",IF(LEFT(AD1066,1)="3","C3",""))))</f>
        <v>C3</v>
      </c>
      <c r="AF1066" t="s" s="35">
        <v>1615</v>
      </c>
      <c r="AG1066" t="s" s="35">
        <v>1612</v>
      </c>
      <c r="AH1066" t="s" s="35">
        <v>1602</v>
      </c>
      <c r="AI1066" t="s" s="35">
        <v>1625</v>
      </c>
      <c r="AJ1066" t="s" s="35">
        <v>1633</v>
      </c>
      <c r="AK1066" s="39"/>
      <c r="AL1066" s="39"/>
      <c r="AM1066" s="39"/>
      <c r="AN1066" s="39"/>
      <c r="AO1066" s="39"/>
      <c r="AP1066" s="39"/>
      <c r="AQ1066" s="39"/>
      <c r="AR1066" s="39"/>
      <c r="AS1066" s="39"/>
      <c r="AT1066" s="39"/>
      <c r="AU1066" s="39"/>
      <c r="AV1066" s="39"/>
      <c r="AW1066" t="str" s="39" cm="1">
        <f t="array" ref="AW1066">AF1066&amp;"; "&amp;AG1066&amp;"; "&amp;AH1066&amp;"; "&amp;AI1066&amp;"; "&amp;AJ1066</f>
        <v>E6; E5; E1; I1; I5</v>
      </c>
    </row>
    <row r="1067" ht="13.65" customHeight="1">
      <c r="A1067" t="s" s="35">
        <v>6854</v>
      </c>
      <c r="B1067" s="36">
        <v>11</v>
      </c>
      <c r="C1067" t="s" s="35">
        <v>220</v>
      </c>
      <c r="D1067" t="s" s="35">
        <v>6180</v>
      </c>
      <c r="E1067" t="s" s="35">
        <v>6631</v>
      </c>
      <c r="F1067" s="36">
        <v>64</v>
      </c>
      <c r="G1067" t="s" s="35">
        <v>6822</v>
      </c>
      <c r="H1067" t="s" s="35">
        <v>6845</v>
      </c>
      <c r="I1067" t="s" s="120">
        <v>6855</v>
      </c>
      <c r="J1067" t="s" s="35">
        <v>6185</v>
      </c>
      <c r="K1067" t="s" s="35">
        <v>1058</v>
      </c>
      <c r="L1067" s="39"/>
      <c r="M1067" t="str" s="39">
        <v>Sin marco</v>
      </c>
      <c r="N1067" t="str" s="39">
        <v>Sin marco</v>
      </c>
      <c r="O1067" t="str" s="39" cm="1">
        <f t="array" ref="O1067">IF(L1067="","",_xlfn.IFERROR(INDEX('Datos - Catálogo TIMSS'!$C$5:$C$107,MATCH(L1067,'Datos - Catálogo TIMSS'!$A$5:$A$107,0)),"?"))</f>
      </c>
      <c r="P1067" t="s" s="35">
        <v>1058</v>
      </c>
      <c r="Q1067" t="s" s="120">
        <v>6186</v>
      </c>
      <c r="R1067" t="s" s="120">
        <v>6856</v>
      </c>
      <c r="S1067" s="121" cm="1">
        <f t="array" ref="S1067">_xlfn.IFERROR(ISNUMBER(SEARCH("Conocer",$R1067))/(ISNUMBER(SEARCH("Conocer",$R1067))+ISNUMBER(SEARCH("Aplicar",$R1067))+ISNUMBER(SEARCH("Razonar",$R1067))),0)</f>
        <v>0</v>
      </c>
      <c r="T1067" s="121" cm="1">
        <f t="array" ref="T1067">_xlfn.IFERROR(ISNUMBER(SEARCH("Aplicar",$R1067))/(ISNUMBER(SEARCH("Conocer",$R1067))+ISNUMBER(SEARCH("Aplicar",$R1067))+ISNUMBER(SEARCH("Razonar",$R1067))),0)</f>
        <v>0.5</v>
      </c>
      <c r="U1067" s="121" cm="1">
        <f t="array" ref="U1067">_xlfn.IFERROR(ISNUMBER(SEARCH("Razonar",$R1067))/(ISNUMBER(SEARCH("Conocer",$R1067))+ISNUMBER(SEARCH("Aplicar",$R1067))+ISNUMBER(SEARCH("Razonar",$R1067))),0)</f>
        <v>0.5</v>
      </c>
      <c r="V1067" t="s" s="35">
        <v>1407</v>
      </c>
      <c r="W1067" t="s" s="35">
        <v>6188</v>
      </c>
      <c r="X1067" s="36" cm="1">
        <f t="array" ref="X1067">IF(OR(_xlfn.IFERROR(INDEX('Datos - Catálogo TIMSS'!$I$5:$I$107,MATCH(K1067,'Datos - Catálogo TIMSS'!$A$5:$A$107,0)),"No")="Sí",_xlfn.IFERROR(INDEX('Datos - Catálogo TIMSS'!$I$5:$I$107,MATCH(L1067,'Datos - Catálogo TIMSS'!$A$5:$A$107,0)),"No")="Sí"),1,0)</f>
        <v>0</v>
      </c>
      <c r="Y1067" s="36" cm="1">
        <f t="array" ref="Y1067">IF(_xlfn.IFERROR(INDEX('Datos - Catálogo TIMSS'!$J$5:$J$107,MATCH(K1067,'Datos - Catálogo TIMSS'!$A$5:$A$107,0)),"No")="Sí",1,0)</f>
        <v>0</v>
      </c>
      <c r="Z1067" s="36" cm="1">
        <f t="array" ref="Z1067">IF(_xlfn.IFERROR(INDEX('Datos - Catálogo TIMSS'!$J$5:$J$107,MATCH(L1067,'Datos - Catálogo TIMSS'!$A$5:$A$107,0)),"No")="Sí",1,0)</f>
        <v>0</v>
      </c>
      <c r="AA1067" t="s" s="35">
        <v>1058</v>
      </c>
      <c r="AB1067" s="39"/>
      <c r="AC1067" t="str" s="39">
        <v>Sin marco</v>
      </c>
      <c r="AD1067" t="s" s="35">
        <v>1859</v>
      </c>
      <c r="AE1067" t="str" s="39" cm="1">
        <f t="array" ref="AE1067">IF(AD1067="","",IF(LEFT(AD1067,1)="1","C1",IF(LEFT(AD1067,1)="2","C2",IF(LEFT(AD1067,1)="3","C3",""))))</f>
        <v>C1</v>
      </c>
      <c r="AF1067" t="s" s="35">
        <v>1602</v>
      </c>
      <c r="AG1067" t="s" s="35">
        <v>1612</v>
      </c>
      <c r="AH1067" t="s" s="35">
        <v>1605</v>
      </c>
      <c r="AI1067" t="s" s="35">
        <v>1623</v>
      </c>
      <c r="AJ1067" t="s" s="35">
        <v>1615</v>
      </c>
      <c r="AK1067" s="39"/>
      <c r="AL1067" s="39"/>
      <c r="AM1067" s="39"/>
      <c r="AN1067" s="39"/>
      <c r="AO1067" s="39"/>
      <c r="AP1067" s="39"/>
      <c r="AQ1067" s="39"/>
      <c r="AR1067" s="39"/>
      <c r="AS1067" s="39"/>
      <c r="AT1067" s="39"/>
      <c r="AU1067" s="39"/>
      <c r="AV1067" s="39"/>
      <c r="AW1067" t="str" s="39" cm="1">
        <f t="array" ref="AW1067">AF1067&amp;"; "&amp;AG1067&amp;"; "&amp;AH1067&amp;"; "&amp;AI1067&amp;"; "&amp;AJ1067</f>
        <v>E1; E5; E2; D4; E6</v>
      </c>
    </row>
    <row r="1068" ht="13.65" customHeight="1">
      <c r="A1068" t="s" s="35">
        <v>6858</v>
      </c>
      <c r="B1068" s="36">
        <v>11</v>
      </c>
      <c r="C1068" t="s" s="35">
        <v>220</v>
      </c>
      <c r="D1068" t="s" s="35">
        <v>6180</v>
      </c>
      <c r="E1068" t="s" s="35">
        <v>6631</v>
      </c>
      <c r="F1068" s="36">
        <v>65</v>
      </c>
      <c r="G1068" t="s" s="35">
        <v>6822</v>
      </c>
      <c r="H1068" t="s" s="35">
        <v>6845</v>
      </c>
      <c r="I1068" t="s" s="120">
        <v>6859</v>
      </c>
      <c r="J1068" t="s" s="35">
        <v>6185</v>
      </c>
      <c r="K1068" t="s" s="35">
        <v>1058</v>
      </c>
      <c r="L1068" s="39"/>
      <c r="M1068" t="str" s="39">
        <v>Sin marco</v>
      </c>
      <c r="N1068" t="str" s="39">
        <v>Sin marco</v>
      </c>
      <c r="O1068" t="str" s="39" cm="1">
        <f t="array" ref="O1068">IF(L1068="","",_xlfn.IFERROR(INDEX('Datos - Catálogo TIMSS'!$C$5:$C$107,MATCH(L1068,'Datos - Catálogo TIMSS'!$A$5:$A$107,0)),"?"))</f>
      </c>
      <c r="P1068" t="s" s="35">
        <v>1058</v>
      </c>
      <c r="Q1068" t="s" s="120">
        <v>6186</v>
      </c>
      <c r="R1068" t="s" s="120">
        <v>6860</v>
      </c>
      <c r="S1068" s="121" cm="1">
        <f t="array" ref="S1068">_xlfn.IFERROR(ISNUMBER(SEARCH("Conocer",$R1068))/(ISNUMBER(SEARCH("Conocer",$R1068))+ISNUMBER(SEARCH("Aplicar",$R1068))+ISNUMBER(SEARCH("Razonar",$R1068))),0)</f>
        <v>0</v>
      </c>
      <c r="T1068" s="121" cm="1">
        <f t="array" ref="T1068">_xlfn.IFERROR(ISNUMBER(SEARCH("Aplicar",$R1068))/(ISNUMBER(SEARCH("Conocer",$R1068))+ISNUMBER(SEARCH("Aplicar",$R1068))+ISNUMBER(SEARCH("Razonar",$R1068))),0)</f>
        <v>0.5</v>
      </c>
      <c r="U1068" s="121" cm="1">
        <f t="array" ref="U1068">_xlfn.IFERROR(ISNUMBER(SEARCH("Razonar",$R1068))/(ISNUMBER(SEARCH("Conocer",$R1068))+ISNUMBER(SEARCH("Aplicar",$R1068))+ISNUMBER(SEARCH("Razonar",$R1068))),0)</f>
        <v>0.5</v>
      </c>
      <c r="V1068" t="s" s="35">
        <v>1407</v>
      </c>
      <c r="W1068" t="s" s="35">
        <v>6188</v>
      </c>
      <c r="X1068" s="36" cm="1">
        <f t="array" ref="X1068">IF(OR(_xlfn.IFERROR(INDEX('Datos - Catálogo TIMSS'!$I$5:$I$107,MATCH(K1068,'Datos - Catálogo TIMSS'!$A$5:$A$107,0)),"No")="Sí",_xlfn.IFERROR(INDEX('Datos - Catálogo TIMSS'!$I$5:$I$107,MATCH(L1068,'Datos - Catálogo TIMSS'!$A$5:$A$107,0)),"No")="Sí"),1,0)</f>
        <v>0</v>
      </c>
      <c r="Y1068" s="36" cm="1">
        <f t="array" ref="Y1068">IF(_xlfn.IFERROR(INDEX('Datos - Catálogo TIMSS'!$J$5:$J$107,MATCH(K1068,'Datos - Catálogo TIMSS'!$A$5:$A$107,0)),"No")="Sí",1,0)</f>
        <v>0</v>
      </c>
      <c r="Z1068" s="36" cm="1">
        <f t="array" ref="Z1068">IF(_xlfn.IFERROR(INDEX('Datos - Catálogo TIMSS'!$J$5:$J$107,MATCH(L1068,'Datos - Catálogo TIMSS'!$A$5:$A$107,0)),"No")="Sí",1,0)</f>
        <v>0</v>
      </c>
      <c r="AA1068" t="s" s="35">
        <v>1058</v>
      </c>
      <c r="AB1068" s="39"/>
      <c r="AC1068" t="str" s="39">
        <v>Sin marco</v>
      </c>
      <c r="AD1068" t="s" s="35">
        <v>1900</v>
      </c>
      <c r="AE1068" t="str" s="39" cm="1">
        <f t="array" ref="AE1068">IF(AD1068="","",IF(LEFT(AD1068,1)="1","C1",IF(LEFT(AD1068,1)="2","C2",IF(LEFT(AD1068,1)="3","C3",""))))</f>
        <v>C3</v>
      </c>
      <c r="AF1068" t="s" s="35">
        <v>1615</v>
      </c>
      <c r="AG1068" t="s" s="35">
        <v>1617</v>
      </c>
      <c r="AH1068" t="s" s="35">
        <v>1609</v>
      </c>
      <c r="AI1068" t="s" s="35">
        <v>1619</v>
      </c>
      <c r="AJ1068" t="s" s="35">
        <v>1633</v>
      </c>
      <c r="AK1068" s="39"/>
      <c r="AL1068" s="39"/>
      <c r="AM1068" s="39"/>
      <c r="AN1068" s="39"/>
      <c r="AO1068" s="39"/>
      <c r="AP1068" s="39"/>
      <c r="AQ1068" s="39"/>
      <c r="AR1068" s="39"/>
      <c r="AS1068" s="39"/>
      <c r="AT1068" s="39"/>
      <c r="AU1068" s="39"/>
      <c r="AV1068" s="39"/>
      <c r="AW1068" t="str" s="39" cm="1">
        <f t="array" ref="AW1068">AF1068&amp;"; "&amp;AG1068&amp;"; "&amp;AH1068&amp;"; "&amp;AI1068&amp;"; "&amp;AJ1068</f>
        <v>E6; D1; E4; D2; I5</v>
      </c>
    </row>
    <row r="1069" ht="13.65" customHeight="1">
      <c r="A1069" t="s" s="35">
        <v>6862</v>
      </c>
      <c r="B1069" s="36">
        <v>11</v>
      </c>
      <c r="C1069" t="s" s="35">
        <v>220</v>
      </c>
      <c r="D1069" t="s" s="35">
        <v>6180</v>
      </c>
      <c r="E1069" t="s" s="35">
        <v>6631</v>
      </c>
      <c r="F1069" s="36">
        <v>66</v>
      </c>
      <c r="G1069" t="s" s="35">
        <v>6863</v>
      </c>
      <c r="H1069" t="s" s="35">
        <v>6864</v>
      </c>
      <c r="I1069" t="s" s="120">
        <v>6865</v>
      </c>
      <c r="J1069" t="s" s="35">
        <v>6185</v>
      </c>
      <c r="K1069" t="s" s="35">
        <v>1058</v>
      </c>
      <c r="L1069" s="39"/>
      <c r="M1069" t="str" s="39">
        <v>Sin marco</v>
      </c>
      <c r="N1069" t="str" s="39">
        <v>Sin marco</v>
      </c>
      <c r="O1069" t="str" s="39" cm="1">
        <f t="array" ref="O1069">IF(L1069="","",_xlfn.IFERROR(INDEX('Datos - Catálogo TIMSS'!$C$5:$C$107,MATCH(L1069,'Datos - Catálogo TIMSS'!$A$5:$A$107,0)),"?"))</f>
      </c>
      <c r="P1069" t="s" s="35">
        <v>1058</v>
      </c>
      <c r="Q1069" t="s" s="120">
        <v>6186</v>
      </c>
      <c r="R1069" t="s" s="120">
        <v>6866</v>
      </c>
      <c r="S1069" s="121" cm="1">
        <f t="array" ref="S1069">_xlfn.IFERROR(ISNUMBER(SEARCH("Conocer",$R1069))/(ISNUMBER(SEARCH("Conocer",$R1069))+ISNUMBER(SEARCH("Aplicar",$R1069))+ISNUMBER(SEARCH("Razonar",$R1069))),0)</f>
        <v>0</v>
      </c>
      <c r="T1069" s="121" cm="1">
        <f t="array" ref="T1069">_xlfn.IFERROR(ISNUMBER(SEARCH("Aplicar",$R1069))/(ISNUMBER(SEARCH("Conocer",$R1069))+ISNUMBER(SEARCH("Aplicar",$R1069))+ISNUMBER(SEARCH("Razonar",$R1069))),0)</f>
        <v>0.5</v>
      </c>
      <c r="U1069" s="121" cm="1">
        <f t="array" ref="U1069">_xlfn.IFERROR(ISNUMBER(SEARCH("Razonar",$R1069))/(ISNUMBER(SEARCH("Conocer",$R1069))+ISNUMBER(SEARCH("Aplicar",$R1069))+ISNUMBER(SEARCH("Razonar",$R1069))),0)</f>
        <v>0.5</v>
      </c>
      <c r="V1069" t="s" s="35">
        <v>1407</v>
      </c>
      <c r="W1069" t="s" s="35">
        <v>6188</v>
      </c>
      <c r="X1069" s="36" cm="1">
        <f t="array" ref="X1069">IF(OR(_xlfn.IFERROR(INDEX('Datos - Catálogo TIMSS'!$I$5:$I$107,MATCH(K1069,'Datos - Catálogo TIMSS'!$A$5:$A$107,0)),"No")="Sí",_xlfn.IFERROR(INDEX('Datos - Catálogo TIMSS'!$I$5:$I$107,MATCH(L1069,'Datos - Catálogo TIMSS'!$A$5:$A$107,0)),"No")="Sí"),1,0)</f>
        <v>0</v>
      </c>
      <c r="Y1069" s="36" cm="1">
        <f t="array" ref="Y1069">IF(_xlfn.IFERROR(INDEX('Datos - Catálogo TIMSS'!$J$5:$J$107,MATCH(K1069,'Datos - Catálogo TIMSS'!$A$5:$A$107,0)),"No")="Sí",1,0)</f>
        <v>0</v>
      </c>
      <c r="Z1069" s="36" cm="1">
        <f t="array" ref="Z1069">IF(_xlfn.IFERROR(INDEX('Datos - Catálogo TIMSS'!$J$5:$J$107,MATCH(L1069,'Datos - Catálogo TIMSS'!$A$5:$A$107,0)),"No")="Sí",1,0)</f>
        <v>0</v>
      </c>
      <c r="AA1069" t="s" s="35">
        <v>1058</v>
      </c>
      <c r="AB1069" s="39"/>
      <c r="AC1069" t="str" s="39">
        <v>Sin marco</v>
      </c>
      <c r="AD1069" t="s" s="35">
        <v>1859</v>
      </c>
      <c r="AE1069" t="str" s="39" cm="1">
        <f t="array" ref="AE1069">IF(AD1069="","",IF(LEFT(AD1069,1)="1","C1",IF(LEFT(AD1069,1)="2","C2",IF(LEFT(AD1069,1)="3","C3",""))))</f>
        <v>C1</v>
      </c>
      <c r="AF1069" t="s" s="35">
        <v>1602</v>
      </c>
      <c r="AG1069" t="s" s="35">
        <v>1617</v>
      </c>
      <c r="AH1069" t="s" s="35">
        <v>1605</v>
      </c>
      <c r="AI1069" t="s" s="35">
        <v>1623</v>
      </c>
      <c r="AJ1069" t="s" s="35">
        <v>1607</v>
      </c>
      <c r="AK1069" s="39"/>
      <c r="AL1069" s="39"/>
      <c r="AM1069" s="39"/>
      <c r="AN1069" s="39"/>
      <c r="AO1069" s="39"/>
      <c r="AP1069" s="39"/>
      <c r="AQ1069" s="39"/>
      <c r="AR1069" s="39"/>
      <c r="AS1069" s="39"/>
      <c r="AT1069" s="39"/>
      <c r="AU1069" s="39"/>
      <c r="AV1069" s="39"/>
      <c r="AW1069" t="str" s="39" cm="1">
        <f t="array" ref="AW1069">AF1069&amp;"; "&amp;AG1069&amp;"; "&amp;AH1069&amp;"; "&amp;AI1069&amp;"; "&amp;AJ1069</f>
        <v>E1; D1; E2; D4; E3</v>
      </c>
    </row>
    <row r="1070" ht="13.65" customHeight="1">
      <c r="A1070" t="s" s="35">
        <v>6867</v>
      </c>
      <c r="B1070" s="36">
        <v>11</v>
      </c>
      <c r="C1070" t="s" s="35">
        <v>220</v>
      </c>
      <c r="D1070" t="s" s="35">
        <v>6180</v>
      </c>
      <c r="E1070" t="s" s="35">
        <v>6631</v>
      </c>
      <c r="F1070" s="36">
        <v>67</v>
      </c>
      <c r="G1070" t="s" s="35">
        <v>6863</v>
      </c>
      <c r="H1070" t="s" s="35">
        <v>6868</v>
      </c>
      <c r="I1070" t="s" s="120">
        <v>6869</v>
      </c>
      <c r="J1070" t="s" s="35">
        <v>6185</v>
      </c>
      <c r="K1070" t="s" s="35">
        <v>1058</v>
      </c>
      <c r="L1070" s="39"/>
      <c r="M1070" t="str" s="39">
        <v>Sin marco</v>
      </c>
      <c r="N1070" t="str" s="39">
        <v>Sin marco</v>
      </c>
      <c r="O1070" t="str" s="39" cm="1">
        <f t="array" ref="O1070">IF(L1070="","",_xlfn.IFERROR(INDEX('Datos - Catálogo TIMSS'!$C$5:$C$107,MATCH(L1070,'Datos - Catálogo TIMSS'!$A$5:$A$107,0)),"?"))</f>
      </c>
      <c r="P1070" t="s" s="35">
        <v>1058</v>
      </c>
      <c r="Q1070" t="s" s="120">
        <v>6186</v>
      </c>
      <c r="R1070" t="s" s="120">
        <v>6870</v>
      </c>
      <c r="S1070" s="121" cm="1">
        <f t="array" ref="S1070">_xlfn.IFERROR(ISNUMBER(SEARCH("Conocer",$R1070))/(ISNUMBER(SEARCH("Conocer",$R1070))+ISNUMBER(SEARCH("Aplicar",$R1070))+ISNUMBER(SEARCH("Razonar",$R1070))),0)</f>
        <v>0</v>
      </c>
      <c r="T1070" s="121" cm="1">
        <f t="array" ref="T1070">_xlfn.IFERROR(ISNUMBER(SEARCH("Aplicar",$R1070))/(ISNUMBER(SEARCH("Conocer",$R1070))+ISNUMBER(SEARCH("Aplicar",$R1070))+ISNUMBER(SEARCH("Razonar",$R1070))),0)</f>
        <v>0.5</v>
      </c>
      <c r="U1070" s="121" cm="1">
        <f t="array" ref="U1070">_xlfn.IFERROR(ISNUMBER(SEARCH("Razonar",$R1070))/(ISNUMBER(SEARCH("Conocer",$R1070))+ISNUMBER(SEARCH("Aplicar",$R1070))+ISNUMBER(SEARCH("Razonar",$R1070))),0)</f>
        <v>0.5</v>
      </c>
      <c r="V1070" t="s" s="35">
        <v>1407</v>
      </c>
      <c r="W1070" t="s" s="35">
        <v>6188</v>
      </c>
      <c r="X1070" s="36" cm="1">
        <f t="array" ref="X1070">IF(OR(_xlfn.IFERROR(INDEX('Datos - Catálogo TIMSS'!$I$5:$I$107,MATCH(K1070,'Datos - Catálogo TIMSS'!$A$5:$A$107,0)),"No")="Sí",_xlfn.IFERROR(INDEX('Datos - Catálogo TIMSS'!$I$5:$I$107,MATCH(L1070,'Datos - Catálogo TIMSS'!$A$5:$A$107,0)),"No")="Sí"),1,0)</f>
        <v>0</v>
      </c>
      <c r="Y1070" s="36" cm="1">
        <f t="array" ref="Y1070">IF(_xlfn.IFERROR(INDEX('Datos - Catálogo TIMSS'!$J$5:$J$107,MATCH(K1070,'Datos - Catálogo TIMSS'!$A$5:$A$107,0)),"No")="Sí",1,0)</f>
        <v>0</v>
      </c>
      <c r="Z1070" s="36" cm="1">
        <f t="array" ref="Z1070">IF(_xlfn.IFERROR(INDEX('Datos - Catálogo TIMSS'!$J$5:$J$107,MATCH(L1070,'Datos - Catálogo TIMSS'!$A$5:$A$107,0)),"No")="Sí",1,0)</f>
        <v>0</v>
      </c>
      <c r="AA1070" t="s" s="35">
        <v>1058</v>
      </c>
      <c r="AB1070" s="39"/>
      <c r="AC1070" t="str" s="39">
        <v>Sin marco</v>
      </c>
      <c r="AD1070" t="s" s="35">
        <v>1859</v>
      </c>
      <c r="AE1070" t="str" s="39" cm="1">
        <f t="array" ref="AE1070">IF(AD1070="","",IF(LEFT(AD1070,1)="1","C1",IF(LEFT(AD1070,1)="2","C2",IF(LEFT(AD1070,1)="3","C3",""))))</f>
        <v>C1</v>
      </c>
      <c r="AF1070" t="s" s="35">
        <v>1615</v>
      </c>
      <c r="AG1070" t="s" s="35">
        <v>1607</v>
      </c>
      <c r="AH1070" t="s" s="35">
        <v>1609</v>
      </c>
      <c r="AI1070" t="s" s="35">
        <v>1623</v>
      </c>
      <c r="AJ1070" t="s" s="35">
        <v>1633</v>
      </c>
      <c r="AK1070" s="39"/>
      <c r="AL1070" s="39"/>
      <c r="AM1070" s="39"/>
      <c r="AN1070" s="39"/>
      <c r="AO1070" s="39"/>
      <c r="AP1070" s="39"/>
      <c r="AQ1070" s="39"/>
      <c r="AR1070" s="39"/>
      <c r="AS1070" s="39"/>
      <c r="AT1070" s="39"/>
      <c r="AU1070" s="39"/>
      <c r="AV1070" s="39"/>
      <c r="AW1070" t="str" s="39" cm="1">
        <f t="array" ref="AW1070">AF1070&amp;"; "&amp;AG1070&amp;"; "&amp;AH1070&amp;"; "&amp;AI1070&amp;"; "&amp;AJ1070</f>
        <v>E6; E3; E4; D4; I5</v>
      </c>
    </row>
    <row r="1071" ht="13.65" customHeight="1">
      <c r="A1071" t="s" s="35">
        <v>6872</v>
      </c>
      <c r="B1071" s="36">
        <v>11</v>
      </c>
      <c r="C1071" t="s" s="35">
        <v>220</v>
      </c>
      <c r="D1071" t="s" s="35">
        <v>6180</v>
      </c>
      <c r="E1071" t="s" s="35">
        <v>6631</v>
      </c>
      <c r="F1071" s="36">
        <v>68</v>
      </c>
      <c r="G1071" t="s" s="35">
        <v>6863</v>
      </c>
      <c r="H1071" t="s" s="35">
        <v>6873</v>
      </c>
      <c r="I1071" t="s" s="120">
        <v>6874</v>
      </c>
      <c r="J1071" t="s" s="35">
        <v>6185</v>
      </c>
      <c r="K1071" t="s" s="35">
        <v>1058</v>
      </c>
      <c r="L1071" s="39"/>
      <c r="M1071" t="str" s="39">
        <v>Sin marco</v>
      </c>
      <c r="N1071" t="str" s="39">
        <v>Sin marco</v>
      </c>
      <c r="O1071" t="str" s="39" cm="1">
        <f t="array" ref="O1071">IF(L1071="","",_xlfn.IFERROR(INDEX('Datos - Catálogo TIMSS'!$C$5:$C$107,MATCH(L1071,'Datos - Catálogo TIMSS'!$A$5:$A$107,0)),"?"))</f>
      </c>
      <c r="P1071" t="s" s="35">
        <v>1058</v>
      </c>
      <c r="Q1071" t="s" s="120">
        <v>6186</v>
      </c>
      <c r="R1071" t="s" s="120">
        <v>6875</v>
      </c>
      <c r="S1071" s="121" cm="1">
        <f t="array" ref="S1071">_xlfn.IFERROR(ISNUMBER(SEARCH("Conocer",$R1071))/(ISNUMBER(SEARCH("Conocer",$R1071))+ISNUMBER(SEARCH("Aplicar",$R1071))+ISNUMBER(SEARCH("Razonar",$R1071))),0)</f>
        <v>0</v>
      </c>
      <c r="T1071" s="121" cm="1">
        <f t="array" ref="T1071">_xlfn.IFERROR(ISNUMBER(SEARCH("Aplicar",$R1071))/(ISNUMBER(SEARCH("Conocer",$R1071))+ISNUMBER(SEARCH("Aplicar",$R1071))+ISNUMBER(SEARCH("Razonar",$R1071))),0)</f>
        <v>0.5</v>
      </c>
      <c r="U1071" s="121" cm="1">
        <f t="array" ref="U1071">_xlfn.IFERROR(ISNUMBER(SEARCH("Razonar",$R1071))/(ISNUMBER(SEARCH("Conocer",$R1071))+ISNUMBER(SEARCH("Aplicar",$R1071))+ISNUMBER(SEARCH("Razonar",$R1071))),0)</f>
        <v>0.5</v>
      </c>
      <c r="V1071" t="s" s="35">
        <v>1407</v>
      </c>
      <c r="W1071" t="s" s="35">
        <v>6188</v>
      </c>
      <c r="X1071" s="36" cm="1">
        <f t="array" ref="X1071">IF(OR(_xlfn.IFERROR(INDEX('Datos - Catálogo TIMSS'!$I$5:$I$107,MATCH(K1071,'Datos - Catálogo TIMSS'!$A$5:$A$107,0)),"No")="Sí",_xlfn.IFERROR(INDEX('Datos - Catálogo TIMSS'!$I$5:$I$107,MATCH(L1071,'Datos - Catálogo TIMSS'!$A$5:$A$107,0)),"No")="Sí"),1,0)</f>
        <v>0</v>
      </c>
      <c r="Y1071" s="36" cm="1">
        <f t="array" ref="Y1071">IF(_xlfn.IFERROR(INDEX('Datos - Catálogo TIMSS'!$J$5:$J$107,MATCH(K1071,'Datos - Catálogo TIMSS'!$A$5:$A$107,0)),"No")="Sí",1,0)</f>
        <v>0</v>
      </c>
      <c r="Z1071" s="36" cm="1">
        <f t="array" ref="Z1071">IF(_xlfn.IFERROR(INDEX('Datos - Catálogo TIMSS'!$J$5:$J$107,MATCH(L1071,'Datos - Catálogo TIMSS'!$A$5:$A$107,0)),"No")="Sí",1,0)</f>
        <v>0</v>
      </c>
      <c r="AA1071" t="s" s="35">
        <v>1058</v>
      </c>
      <c r="AB1071" s="39"/>
      <c r="AC1071" t="str" s="39">
        <v>Sin marco</v>
      </c>
      <c r="AD1071" t="s" s="35">
        <v>1859</v>
      </c>
      <c r="AE1071" t="str" s="39" cm="1">
        <f t="array" ref="AE1071">IF(AD1071="","",IF(LEFT(AD1071,1)="1","C1",IF(LEFT(AD1071,1)="2","C2",IF(LEFT(AD1071,1)="3","C3",""))))</f>
        <v>C1</v>
      </c>
      <c r="AF1071" t="s" s="35">
        <v>1615</v>
      </c>
      <c r="AG1071" t="s" s="35">
        <v>1617</v>
      </c>
      <c r="AH1071" t="s" s="35">
        <v>1605</v>
      </c>
      <c r="AI1071" t="s" s="35">
        <v>1623</v>
      </c>
      <c r="AJ1071" t="s" s="35">
        <v>1607</v>
      </c>
      <c r="AK1071" s="39"/>
      <c r="AL1071" s="39"/>
      <c r="AM1071" s="39"/>
      <c r="AN1071" s="39"/>
      <c r="AO1071" s="39"/>
      <c r="AP1071" s="39"/>
      <c r="AQ1071" s="39"/>
      <c r="AR1071" s="39"/>
      <c r="AS1071" s="39"/>
      <c r="AT1071" s="39"/>
      <c r="AU1071" s="39"/>
      <c r="AV1071" s="39"/>
      <c r="AW1071" t="str" s="39" cm="1">
        <f t="array" ref="AW1071">AF1071&amp;"; "&amp;AG1071&amp;"; "&amp;AH1071&amp;"; "&amp;AI1071&amp;"; "&amp;AJ1071</f>
        <v>E6; D1; E2; D4; E3</v>
      </c>
    </row>
    <row r="1072" ht="13.65" customHeight="1">
      <c r="A1072" t="s" s="35">
        <v>6876</v>
      </c>
      <c r="B1072" s="36">
        <v>11</v>
      </c>
      <c r="C1072" t="s" s="35">
        <v>220</v>
      </c>
      <c r="D1072" t="s" s="35">
        <v>6180</v>
      </c>
      <c r="E1072" t="s" s="35">
        <v>6631</v>
      </c>
      <c r="F1072" s="36">
        <v>69</v>
      </c>
      <c r="G1072" t="s" s="35">
        <v>6863</v>
      </c>
      <c r="H1072" t="s" s="35">
        <v>6873</v>
      </c>
      <c r="I1072" t="s" s="120">
        <v>6877</v>
      </c>
      <c r="J1072" t="s" s="35">
        <v>6185</v>
      </c>
      <c r="K1072" t="s" s="35">
        <v>1058</v>
      </c>
      <c r="L1072" s="39"/>
      <c r="M1072" t="str" s="39">
        <v>Sin marco</v>
      </c>
      <c r="N1072" t="str" s="39">
        <v>Sin marco</v>
      </c>
      <c r="O1072" t="str" s="39" cm="1">
        <f t="array" ref="O1072">IF(L1072="","",_xlfn.IFERROR(INDEX('Datos - Catálogo TIMSS'!$C$5:$C$107,MATCH(L1072,'Datos - Catálogo TIMSS'!$A$5:$A$107,0)),"?"))</f>
      </c>
      <c r="P1072" t="s" s="35">
        <v>1058</v>
      </c>
      <c r="Q1072" t="s" s="120">
        <v>6186</v>
      </c>
      <c r="R1072" t="s" s="120">
        <v>6878</v>
      </c>
      <c r="S1072" s="121" cm="1">
        <f t="array" ref="S1072">_xlfn.IFERROR(ISNUMBER(SEARCH("Conocer",$R1072))/(ISNUMBER(SEARCH("Conocer",$R1072))+ISNUMBER(SEARCH("Aplicar",$R1072))+ISNUMBER(SEARCH("Razonar",$R1072))),0)</f>
        <v>0.5</v>
      </c>
      <c r="T1072" s="121" cm="1">
        <f t="array" ref="T1072">_xlfn.IFERROR(ISNUMBER(SEARCH("Aplicar",$R1072))/(ISNUMBER(SEARCH("Conocer",$R1072))+ISNUMBER(SEARCH("Aplicar",$R1072))+ISNUMBER(SEARCH("Razonar",$R1072))),0)</f>
        <v>0</v>
      </c>
      <c r="U1072" s="121" cm="1">
        <f t="array" ref="U1072">_xlfn.IFERROR(ISNUMBER(SEARCH("Razonar",$R1072))/(ISNUMBER(SEARCH("Conocer",$R1072))+ISNUMBER(SEARCH("Aplicar",$R1072))+ISNUMBER(SEARCH("Razonar",$R1072))),0)</f>
        <v>0.5</v>
      </c>
      <c r="V1072" t="s" s="35">
        <v>1407</v>
      </c>
      <c r="W1072" t="s" s="35">
        <v>6188</v>
      </c>
      <c r="X1072" s="36" cm="1">
        <f t="array" ref="X1072">IF(OR(_xlfn.IFERROR(INDEX('Datos - Catálogo TIMSS'!$I$5:$I$107,MATCH(K1072,'Datos - Catálogo TIMSS'!$A$5:$A$107,0)),"No")="Sí",_xlfn.IFERROR(INDEX('Datos - Catálogo TIMSS'!$I$5:$I$107,MATCH(L1072,'Datos - Catálogo TIMSS'!$A$5:$A$107,0)),"No")="Sí"),1,0)</f>
        <v>0</v>
      </c>
      <c r="Y1072" s="36" cm="1">
        <f t="array" ref="Y1072">IF(_xlfn.IFERROR(INDEX('Datos - Catálogo TIMSS'!$J$5:$J$107,MATCH(K1072,'Datos - Catálogo TIMSS'!$A$5:$A$107,0)),"No")="Sí",1,0)</f>
        <v>0</v>
      </c>
      <c r="Z1072" s="36" cm="1">
        <f t="array" ref="Z1072">IF(_xlfn.IFERROR(INDEX('Datos - Catálogo TIMSS'!$J$5:$J$107,MATCH(L1072,'Datos - Catálogo TIMSS'!$A$5:$A$107,0)),"No")="Sí",1,0)</f>
        <v>0</v>
      </c>
      <c r="AA1072" t="s" s="35">
        <v>1058</v>
      </c>
      <c r="AB1072" s="39"/>
      <c r="AC1072" t="str" s="39">
        <v>Sin marco</v>
      </c>
      <c r="AD1072" t="s" s="35">
        <v>1900</v>
      </c>
      <c r="AE1072" t="str" s="39" cm="1">
        <f t="array" ref="AE1072">IF(AD1072="","",IF(LEFT(AD1072,1)="1","C1",IF(LEFT(AD1072,1)="2","C2",IF(LEFT(AD1072,1)="3","C3",""))))</f>
        <v>C3</v>
      </c>
      <c r="AF1072" t="s" s="35">
        <v>1615</v>
      </c>
      <c r="AG1072" t="s" s="35">
        <v>1612</v>
      </c>
      <c r="AH1072" t="s" s="35">
        <v>1602</v>
      </c>
      <c r="AI1072" t="s" s="35">
        <v>1629</v>
      </c>
      <c r="AJ1072" t="s" s="35">
        <v>1633</v>
      </c>
      <c r="AK1072" s="39"/>
      <c r="AL1072" s="39"/>
      <c r="AM1072" s="39"/>
      <c r="AN1072" s="39"/>
      <c r="AO1072" s="39"/>
      <c r="AP1072" s="39"/>
      <c r="AQ1072" s="39"/>
      <c r="AR1072" s="39"/>
      <c r="AS1072" s="39"/>
      <c r="AT1072" s="39"/>
      <c r="AU1072" s="39"/>
      <c r="AV1072" s="39"/>
      <c r="AW1072" t="str" s="39" cm="1">
        <f t="array" ref="AW1072">AF1072&amp;"; "&amp;AG1072&amp;"; "&amp;AH1072&amp;"; "&amp;AI1072&amp;"; "&amp;AJ1072</f>
        <v>E6; E5; E1; I3; I5</v>
      </c>
    </row>
    <row r="1073" ht="13.65" customHeight="1">
      <c r="A1073" t="s" s="35">
        <v>6879</v>
      </c>
      <c r="B1073" s="36">
        <v>11</v>
      </c>
      <c r="C1073" t="s" s="35">
        <v>220</v>
      </c>
      <c r="D1073" t="s" s="35">
        <v>6180</v>
      </c>
      <c r="E1073" t="s" s="35">
        <v>6631</v>
      </c>
      <c r="F1073" s="36">
        <v>70</v>
      </c>
      <c r="G1073" t="s" s="35">
        <v>6863</v>
      </c>
      <c r="H1073" t="s" s="35">
        <v>6880</v>
      </c>
      <c r="I1073" t="s" s="120">
        <v>6881</v>
      </c>
      <c r="J1073" t="s" s="35">
        <v>6185</v>
      </c>
      <c r="K1073" t="s" s="35">
        <v>1058</v>
      </c>
      <c r="L1073" s="39"/>
      <c r="M1073" t="str" s="39">
        <v>Sin marco</v>
      </c>
      <c r="N1073" t="str" s="39">
        <v>Sin marco</v>
      </c>
      <c r="O1073" t="str" s="39" cm="1">
        <f t="array" ref="O1073">IF(L1073="","",_xlfn.IFERROR(INDEX('Datos - Catálogo TIMSS'!$C$5:$C$107,MATCH(L1073,'Datos - Catálogo TIMSS'!$A$5:$A$107,0)),"?"))</f>
      </c>
      <c r="P1073" t="s" s="35">
        <v>1058</v>
      </c>
      <c r="Q1073" t="s" s="120">
        <v>6186</v>
      </c>
      <c r="R1073" t="s" s="120">
        <v>6882</v>
      </c>
      <c r="S1073" s="121" cm="1">
        <f t="array" ref="S1073">_xlfn.IFERROR(ISNUMBER(SEARCH("Conocer",$R1073))/(ISNUMBER(SEARCH("Conocer",$R1073))+ISNUMBER(SEARCH("Aplicar",$R1073))+ISNUMBER(SEARCH("Razonar",$R1073))),0)</f>
        <v>0</v>
      </c>
      <c r="T1073" s="121" cm="1">
        <f t="array" ref="T1073">_xlfn.IFERROR(ISNUMBER(SEARCH("Aplicar",$R1073))/(ISNUMBER(SEARCH("Conocer",$R1073))+ISNUMBER(SEARCH("Aplicar",$R1073))+ISNUMBER(SEARCH("Razonar",$R1073))),0)</f>
        <v>0.5</v>
      </c>
      <c r="U1073" s="121" cm="1">
        <f t="array" ref="U1073">_xlfn.IFERROR(ISNUMBER(SEARCH("Razonar",$R1073))/(ISNUMBER(SEARCH("Conocer",$R1073))+ISNUMBER(SEARCH("Aplicar",$R1073))+ISNUMBER(SEARCH("Razonar",$R1073))),0)</f>
        <v>0.5</v>
      </c>
      <c r="V1073" t="s" s="35">
        <v>1407</v>
      </c>
      <c r="W1073" t="s" s="35">
        <v>6188</v>
      </c>
      <c r="X1073" s="36" cm="1">
        <f t="array" ref="X1073">IF(OR(_xlfn.IFERROR(INDEX('Datos - Catálogo TIMSS'!$I$5:$I$107,MATCH(K1073,'Datos - Catálogo TIMSS'!$A$5:$A$107,0)),"No")="Sí",_xlfn.IFERROR(INDEX('Datos - Catálogo TIMSS'!$I$5:$I$107,MATCH(L1073,'Datos - Catálogo TIMSS'!$A$5:$A$107,0)),"No")="Sí"),1,0)</f>
        <v>0</v>
      </c>
      <c r="Y1073" s="36" cm="1">
        <f t="array" ref="Y1073">IF(_xlfn.IFERROR(INDEX('Datos - Catálogo TIMSS'!$J$5:$J$107,MATCH(K1073,'Datos - Catálogo TIMSS'!$A$5:$A$107,0)),"No")="Sí",1,0)</f>
        <v>0</v>
      </c>
      <c r="Z1073" s="36" cm="1">
        <f t="array" ref="Z1073">IF(_xlfn.IFERROR(INDEX('Datos - Catálogo TIMSS'!$J$5:$J$107,MATCH(L1073,'Datos - Catálogo TIMSS'!$A$5:$A$107,0)),"No")="Sí",1,0)</f>
        <v>0</v>
      </c>
      <c r="AA1073" t="s" s="35">
        <v>1058</v>
      </c>
      <c r="AB1073" s="39"/>
      <c r="AC1073" t="str" s="39">
        <v>Sin marco</v>
      </c>
      <c r="AD1073" t="s" s="35">
        <v>1859</v>
      </c>
      <c r="AE1073" t="str" s="39" cm="1">
        <f t="array" ref="AE1073">IF(AD1073="","",IF(LEFT(AD1073,1)="1","C1",IF(LEFT(AD1073,1)="2","C2",IF(LEFT(AD1073,1)="3","C3",""))))</f>
        <v>C1</v>
      </c>
      <c r="AF1073" t="s" s="35">
        <v>1602</v>
      </c>
      <c r="AG1073" t="s" s="35">
        <v>1612</v>
      </c>
      <c r="AH1073" t="s" s="35">
        <v>1605</v>
      </c>
      <c r="AI1073" t="s" s="35">
        <v>1623</v>
      </c>
      <c r="AJ1073" t="s" s="35">
        <v>1615</v>
      </c>
      <c r="AK1073" s="39"/>
      <c r="AL1073" s="39"/>
      <c r="AM1073" s="39"/>
      <c r="AN1073" s="39"/>
      <c r="AO1073" s="39"/>
      <c r="AP1073" s="39"/>
      <c r="AQ1073" s="39"/>
      <c r="AR1073" s="39"/>
      <c r="AS1073" s="39"/>
      <c r="AT1073" s="39"/>
      <c r="AU1073" s="39"/>
      <c r="AV1073" s="39"/>
      <c r="AW1073" t="str" s="39" cm="1">
        <f t="array" ref="AW1073">AF1073&amp;"; "&amp;AG1073&amp;"; "&amp;AH1073&amp;"; "&amp;AI1073&amp;"; "&amp;AJ1073</f>
        <v>E1; E5; E2; D4; E6</v>
      </c>
    </row>
    <row r="1074" ht="13.65" customHeight="1">
      <c r="A1074" t="s" s="35">
        <v>6883</v>
      </c>
      <c r="B1074" s="36">
        <v>11</v>
      </c>
      <c r="C1074" t="s" s="35">
        <v>220</v>
      </c>
      <c r="D1074" t="s" s="35">
        <v>6180</v>
      </c>
      <c r="E1074" t="s" s="35">
        <v>6631</v>
      </c>
      <c r="F1074" s="36">
        <v>71</v>
      </c>
      <c r="G1074" t="s" s="35">
        <v>6863</v>
      </c>
      <c r="H1074" t="s" s="35">
        <v>6884</v>
      </c>
      <c r="I1074" t="s" s="120">
        <v>6885</v>
      </c>
      <c r="J1074" t="s" s="35">
        <v>6185</v>
      </c>
      <c r="K1074" t="s" s="35">
        <v>1058</v>
      </c>
      <c r="L1074" s="39"/>
      <c r="M1074" t="str" s="39">
        <v>Sin marco</v>
      </c>
      <c r="N1074" t="str" s="39">
        <v>Sin marco</v>
      </c>
      <c r="O1074" t="str" s="39" cm="1">
        <f t="array" ref="O1074">IF(L1074="","",_xlfn.IFERROR(INDEX('Datos - Catálogo TIMSS'!$C$5:$C$107,MATCH(L1074,'Datos - Catálogo TIMSS'!$A$5:$A$107,0)),"?"))</f>
      </c>
      <c r="P1074" t="s" s="35">
        <v>1058</v>
      </c>
      <c r="Q1074" t="s" s="120">
        <v>6186</v>
      </c>
      <c r="R1074" t="s" s="120">
        <v>6886</v>
      </c>
      <c r="S1074" s="121" cm="1">
        <f t="array" ref="S1074">_xlfn.IFERROR(ISNUMBER(SEARCH("Conocer",$R1074))/(ISNUMBER(SEARCH("Conocer",$R1074))+ISNUMBER(SEARCH("Aplicar",$R1074))+ISNUMBER(SEARCH("Razonar",$R1074))),0)</f>
        <v>0</v>
      </c>
      <c r="T1074" s="121" cm="1">
        <f t="array" ref="T1074">_xlfn.IFERROR(ISNUMBER(SEARCH("Aplicar",$R1074))/(ISNUMBER(SEARCH("Conocer",$R1074))+ISNUMBER(SEARCH("Aplicar",$R1074))+ISNUMBER(SEARCH("Razonar",$R1074))),0)</f>
        <v>0.5</v>
      </c>
      <c r="U1074" s="121" cm="1">
        <f t="array" ref="U1074">_xlfn.IFERROR(ISNUMBER(SEARCH("Razonar",$R1074))/(ISNUMBER(SEARCH("Conocer",$R1074))+ISNUMBER(SEARCH("Aplicar",$R1074))+ISNUMBER(SEARCH("Razonar",$R1074))),0)</f>
        <v>0.5</v>
      </c>
      <c r="V1074" t="s" s="35">
        <v>1407</v>
      </c>
      <c r="W1074" t="s" s="35">
        <v>6188</v>
      </c>
      <c r="X1074" s="36" cm="1">
        <f t="array" ref="X1074">IF(OR(_xlfn.IFERROR(INDEX('Datos - Catálogo TIMSS'!$I$5:$I$107,MATCH(K1074,'Datos - Catálogo TIMSS'!$A$5:$A$107,0)),"No")="Sí",_xlfn.IFERROR(INDEX('Datos - Catálogo TIMSS'!$I$5:$I$107,MATCH(L1074,'Datos - Catálogo TIMSS'!$A$5:$A$107,0)),"No")="Sí"),1,0)</f>
        <v>0</v>
      </c>
      <c r="Y1074" s="36" cm="1">
        <f t="array" ref="Y1074">IF(_xlfn.IFERROR(INDEX('Datos - Catálogo TIMSS'!$J$5:$J$107,MATCH(K1074,'Datos - Catálogo TIMSS'!$A$5:$A$107,0)),"No")="Sí",1,0)</f>
        <v>0</v>
      </c>
      <c r="Z1074" s="36" cm="1">
        <f t="array" ref="Z1074">IF(_xlfn.IFERROR(INDEX('Datos - Catálogo TIMSS'!$J$5:$J$107,MATCH(L1074,'Datos - Catálogo TIMSS'!$A$5:$A$107,0)),"No")="Sí",1,0)</f>
        <v>0</v>
      </c>
      <c r="AA1074" t="s" s="35">
        <v>1058</v>
      </c>
      <c r="AB1074" s="39"/>
      <c r="AC1074" t="str" s="39">
        <v>Sin marco</v>
      </c>
      <c r="AD1074" t="s" s="35">
        <v>1834</v>
      </c>
      <c r="AE1074" t="str" s="39" cm="1">
        <f t="array" ref="AE1074">IF(AD1074="","",IF(LEFT(AD1074,1)="1","C1",IF(LEFT(AD1074,1)="2","C2",IF(LEFT(AD1074,1)="3","C3",""))))</f>
        <v>C2</v>
      </c>
      <c r="AF1074" t="s" s="35">
        <v>1615</v>
      </c>
      <c r="AG1074" t="s" s="35">
        <v>1617</v>
      </c>
      <c r="AH1074" t="s" s="35">
        <v>1602</v>
      </c>
      <c r="AI1074" t="s" s="35">
        <v>1619</v>
      </c>
      <c r="AJ1074" t="s" s="35">
        <v>1621</v>
      </c>
      <c r="AK1074" s="39"/>
      <c r="AL1074" s="39"/>
      <c r="AM1074" s="39"/>
      <c r="AN1074" s="39"/>
      <c r="AO1074" s="39"/>
      <c r="AP1074" s="39"/>
      <c r="AQ1074" s="39"/>
      <c r="AR1074" s="39"/>
      <c r="AS1074" s="39"/>
      <c r="AT1074" s="39"/>
      <c r="AU1074" s="39"/>
      <c r="AV1074" s="39"/>
      <c r="AW1074" t="str" s="39" cm="1">
        <f t="array" ref="AW1074">AF1074&amp;"; "&amp;AG1074&amp;"; "&amp;AH1074&amp;"; "&amp;AI1074&amp;"; "&amp;AJ1074</f>
        <v>E6; D1; E1; D2; D3</v>
      </c>
    </row>
    <row r="1075" ht="13.65" customHeight="1">
      <c r="A1075" t="s" s="35">
        <v>6887</v>
      </c>
      <c r="B1075" s="36">
        <v>11</v>
      </c>
      <c r="C1075" t="s" s="35">
        <v>220</v>
      </c>
      <c r="D1075" t="s" s="35">
        <v>6180</v>
      </c>
      <c r="E1075" t="s" s="35">
        <v>6631</v>
      </c>
      <c r="F1075" s="36">
        <v>72</v>
      </c>
      <c r="G1075" t="s" s="35">
        <v>6863</v>
      </c>
      <c r="H1075" t="s" s="35">
        <v>6888</v>
      </c>
      <c r="I1075" t="s" s="120">
        <v>6889</v>
      </c>
      <c r="J1075" t="s" s="35">
        <v>6185</v>
      </c>
      <c r="K1075" t="s" s="35">
        <v>1058</v>
      </c>
      <c r="L1075" s="39"/>
      <c r="M1075" t="str" s="39">
        <v>Sin marco</v>
      </c>
      <c r="N1075" t="str" s="39">
        <v>Sin marco</v>
      </c>
      <c r="O1075" t="str" s="39" cm="1">
        <f t="array" ref="O1075">IF(L1075="","",_xlfn.IFERROR(INDEX('Datos - Catálogo TIMSS'!$C$5:$C$107,MATCH(L1075,'Datos - Catálogo TIMSS'!$A$5:$A$107,0)),"?"))</f>
      </c>
      <c r="P1075" t="s" s="35">
        <v>1058</v>
      </c>
      <c r="Q1075" t="s" s="120">
        <v>6186</v>
      </c>
      <c r="R1075" t="s" s="120">
        <v>6890</v>
      </c>
      <c r="S1075" s="121" cm="1">
        <f t="array" ref="S1075">_xlfn.IFERROR(ISNUMBER(SEARCH("Conocer",$R1075))/(ISNUMBER(SEARCH("Conocer",$R1075))+ISNUMBER(SEARCH("Aplicar",$R1075))+ISNUMBER(SEARCH("Razonar",$R1075))),0)</f>
        <v>0</v>
      </c>
      <c r="T1075" s="121" cm="1">
        <f t="array" ref="T1075">_xlfn.IFERROR(ISNUMBER(SEARCH("Aplicar",$R1075))/(ISNUMBER(SEARCH("Conocer",$R1075))+ISNUMBER(SEARCH("Aplicar",$R1075))+ISNUMBER(SEARCH("Razonar",$R1075))),0)</f>
        <v>0.5</v>
      </c>
      <c r="U1075" s="121" cm="1">
        <f t="array" ref="U1075">_xlfn.IFERROR(ISNUMBER(SEARCH("Razonar",$R1075))/(ISNUMBER(SEARCH("Conocer",$R1075))+ISNUMBER(SEARCH("Aplicar",$R1075))+ISNUMBER(SEARCH("Razonar",$R1075))),0)</f>
        <v>0.5</v>
      </c>
      <c r="V1075" t="s" s="35">
        <v>1407</v>
      </c>
      <c r="W1075" t="s" s="35">
        <v>6188</v>
      </c>
      <c r="X1075" s="36" cm="1">
        <f t="array" ref="X1075">IF(OR(_xlfn.IFERROR(INDEX('Datos - Catálogo TIMSS'!$I$5:$I$107,MATCH(K1075,'Datos - Catálogo TIMSS'!$A$5:$A$107,0)),"No")="Sí",_xlfn.IFERROR(INDEX('Datos - Catálogo TIMSS'!$I$5:$I$107,MATCH(L1075,'Datos - Catálogo TIMSS'!$A$5:$A$107,0)),"No")="Sí"),1,0)</f>
        <v>0</v>
      </c>
      <c r="Y1075" s="36" cm="1">
        <f t="array" ref="Y1075">IF(_xlfn.IFERROR(INDEX('Datos - Catálogo TIMSS'!$J$5:$J$107,MATCH(K1075,'Datos - Catálogo TIMSS'!$A$5:$A$107,0)),"No")="Sí",1,0)</f>
        <v>0</v>
      </c>
      <c r="Z1075" s="36" cm="1">
        <f t="array" ref="Z1075">IF(_xlfn.IFERROR(INDEX('Datos - Catálogo TIMSS'!$J$5:$J$107,MATCH(L1075,'Datos - Catálogo TIMSS'!$A$5:$A$107,0)),"No")="Sí",1,0)</f>
        <v>0</v>
      </c>
      <c r="AA1075" t="s" s="35">
        <v>1058</v>
      </c>
      <c r="AB1075" s="39"/>
      <c r="AC1075" t="str" s="39">
        <v>Sin marco</v>
      </c>
      <c r="AD1075" t="s" s="35">
        <v>1900</v>
      </c>
      <c r="AE1075" t="str" s="39" cm="1">
        <f t="array" ref="AE1075">IF(AD1075="","",IF(LEFT(AD1075,1)="1","C1",IF(LEFT(AD1075,1)="2","C2",IF(LEFT(AD1075,1)="3","C3",""))))</f>
        <v>C3</v>
      </c>
      <c r="AF1075" t="s" s="35">
        <v>1615</v>
      </c>
      <c r="AG1075" t="s" s="35">
        <v>1607</v>
      </c>
      <c r="AH1075" t="s" s="35">
        <v>1605</v>
      </c>
      <c r="AI1075" t="s" s="35">
        <v>1627</v>
      </c>
      <c r="AJ1075" t="s" s="35">
        <v>1633</v>
      </c>
      <c r="AK1075" s="39"/>
      <c r="AL1075" s="39"/>
      <c r="AM1075" s="39"/>
      <c r="AN1075" s="39"/>
      <c r="AO1075" s="39"/>
      <c r="AP1075" s="39"/>
      <c r="AQ1075" s="39"/>
      <c r="AR1075" s="39"/>
      <c r="AS1075" s="39"/>
      <c r="AT1075" s="39"/>
      <c r="AU1075" s="39"/>
      <c r="AV1075" s="39"/>
      <c r="AW1075" t="str" s="39" cm="1">
        <f t="array" ref="AW1075">AF1075&amp;"; "&amp;AG1075&amp;"; "&amp;AH1075&amp;"; "&amp;AI1075&amp;"; "&amp;AJ1075</f>
        <v>E6; E3; E2; I2; I5</v>
      </c>
    </row>
    <row r="1076" ht="13.65" customHeight="1">
      <c r="A1076" t="s" s="35">
        <v>6892</v>
      </c>
      <c r="B1076" s="36">
        <v>11</v>
      </c>
      <c r="C1076" t="s" s="35">
        <v>220</v>
      </c>
      <c r="D1076" t="s" s="35">
        <v>6180</v>
      </c>
      <c r="E1076" t="s" s="35">
        <v>6631</v>
      </c>
      <c r="F1076" s="36">
        <v>73</v>
      </c>
      <c r="G1076" t="s" s="35">
        <v>6893</v>
      </c>
      <c r="H1076" t="s" s="35">
        <v>6894</v>
      </c>
      <c r="I1076" t="s" s="120">
        <v>6895</v>
      </c>
      <c r="J1076" t="s" s="35">
        <v>6185</v>
      </c>
      <c r="K1076" t="s" s="35">
        <v>1058</v>
      </c>
      <c r="L1076" s="39"/>
      <c r="M1076" t="str" s="39">
        <v>Sin marco</v>
      </c>
      <c r="N1076" t="str" s="39">
        <v>Sin marco</v>
      </c>
      <c r="O1076" t="str" s="39" cm="1">
        <f t="array" ref="O1076">IF(L1076="","",_xlfn.IFERROR(INDEX('Datos - Catálogo TIMSS'!$C$5:$C$107,MATCH(L1076,'Datos - Catálogo TIMSS'!$A$5:$A$107,0)),"?"))</f>
      </c>
      <c r="P1076" t="s" s="35">
        <v>1058</v>
      </c>
      <c r="Q1076" t="s" s="120">
        <v>6186</v>
      </c>
      <c r="R1076" t="s" s="120">
        <v>6896</v>
      </c>
      <c r="S1076" s="121" cm="1">
        <f t="array" ref="S1076">_xlfn.IFERROR(ISNUMBER(SEARCH("Conocer",$R1076))/(ISNUMBER(SEARCH("Conocer",$R1076))+ISNUMBER(SEARCH("Aplicar",$R1076))+ISNUMBER(SEARCH("Razonar",$R1076))),0)</f>
        <v>0.5</v>
      </c>
      <c r="T1076" s="121" cm="1">
        <f t="array" ref="T1076">_xlfn.IFERROR(ISNUMBER(SEARCH("Aplicar",$R1076))/(ISNUMBER(SEARCH("Conocer",$R1076))+ISNUMBER(SEARCH("Aplicar",$R1076))+ISNUMBER(SEARCH("Razonar",$R1076))),0)</f>
        <v>0.5</v>
      </c>
      <c r="U1076" s="121" cm="1">
        <f t="array" ref="U1076">_xlfn.IFERROR(ISNUMBER(SEARCH("Razonar",$R1076))/(ISNUMBER(SEARCH("Conocer",$R1076))+ISNUMBER(SEARCH("Aplicar",$R1076))+ISNUMBER(SEARCH("Razonar",$R1076))),0)</f>
        <v>0</v>
      </c>
      <c r="V1076" t="s" s="35">
        <v>1407</v>
      </c>
      <c r="W1076" t="s" s="35">
        <v>6188</v>
      </c>
      <c r="X1076" s="36" cm="1">
        <f t="array" ref="X1076">IF(OR(_xlfn.IFERROR(INDEX('Datos - Catálogo TIMSS'!$I$5:$I$107,MATCH(K1076,'Datos - Catálogo TIMSS'!$A$5:$A$107,0)),"No")="Sí",_xlfn.IFERROR(INDEX('Datos - Catálogo TIMSS'!$I$5:$I$107,MATCH(L1076,'Datos - Catálogo TIMSS'!$A$5:$A$107,0)),"No")="Sí"),1,0)</f>
        <v>0</v>
      </c>
      <c r="Y1076" s="36" cm="1">
        <f t="array" ref="Y1076">IF(_xlfn.IFERROR(INDEX('Datos - Catálogo TIMSS'!$J$5:$J$107,MATCH(K1076,'Datos - Catálogo TIMSS'!$A$5:$A$107,0)),"No")="Sí",1,0)</f>
        <v>0</v>
      </c>
      <c r="Z1076" s="36" cm="1">
        <f t="array" ref="Z1076">IF(_xlfn.IFERROR(INDEX('Datos - Catálogo TIMSS'!$J$5:$J$107,MATCH(L1076,'Datos - Catálogo TIMSS'!$A$5:$A$107,0)),"No")="Sí",1,0)</f>
        <v>0</v>
      </c>
      <c r="AA1076" t="s" s="35">
        <v>1058</v>
      </c>
      <c r="AB1076" s="39"/>
      <c r="AC1076" t="str" s="39">
        <v>Sin marco</v>
      </c>
      <c r="AD1076" t="s" s="35">
        <v>1859</v>
      </c>
      <c r="AE1076" t="str" s="39" cm="1">
        <f t="array" ref="AE1076">IF(AD1076="","",IF(LEFT(AD1076,1)="1","C1",IF(LEFT(AD1076,1)="2","C2",IF(LEFT(AD1076,1)="3","C3",""))))</f>
        <v>C1</v>
      </c>
      <c r="AF1076" t="s" s="35">
        <v>1602</v>
      </c>
      <c r="AG1076" t="s" s="35">
        <v>1617</v>
      </c>
      <c r="AH1076" t="s" s="35">
        <v>1605</v>
      </c>
      <c r="AI1076" t="s" s="35">
        <v>1609</v>
      </c>
      <c r="AJ1076" t="s" s="35">
        <v>1627</v>
      </c>
      <c r="AK1076" s="39"/>
      <c r="AL1076" s="39"/>
      <c r="AM1076" s="39"/>
      <c r="AN1076" s="39"/>
      <c r="AO1076" s="39"/>
      <c r="AP1076" s="39"/>
      <c r="AQ1076" s="39"/>
      <c r="AR1076" s="39"/>
      <c r="AS1076" s="39"/>
      <c r="AT1076" s="39"/>
      <c r="AU1076" s="39"/>
      <c r="AV1076" s="39"/>
      <c r="AW1076" t="str" s="39" cm="1">
        <f t="array" ref="AW1076">AF1076&amp;"; "&amp;AG1076&amp;"; "&amp;AH1076&amp;"; "&amp;AI1076&amp;"; "&amp;AJ1076</f>
        <v>E1; D1; E2; E4; I2</v>
      </c>
    </row>
    <row r="1077" ht="13.65" customHeight="1">
      <c r="A1077" t="s" s="35">
        <v>6898</v>
      </c>
      <c r="B1077" s="36">
        <v>11</v>
      </c>
      <c r="C1077" t="s" s="35">
        <v>220</v>
      </c>
      <c r="D1077" t="s" s="35">
        <v>6180</v>
      </c>
      <c r="E1077" t="s" s="35">
        <v>6631</v>
      </c>
      <c r="F1077" s="36">
        <v>74</v>
      </c>
      <c r="G1077" t="s" s="35">
        <v>6893</v>
      </c>
      <c r="H1077" t="s" s="35">
        <v>6899</v>
      </c>
      <c r="I1077" t="s" s="120">
        <v>6900</v>
      </c>
      <c r="J1077" t="s" s="35">
        <v>6185</v>
      </c>
      <c r="K1077" t="s" s="35">
        <v>1058</v>
      </c>
      <c r="L1077" s="39"/>
      <c r="M1077" t="str" s="39">
        <v>Sin marco</v>
      </c>
      <c r="N1077" t="str" s="39">
        <v>Sin marco</v>
      </c>
      <c r="O1077" t="str" s="39" cm="1">
        <f t="array" ref="O1077">IF(L1077="","",_xlfn.IFERROR(INDEX('Datos - Catálogo TIMSS'!$C$5:$C$107,MATCH(L1077,'Datos - Catálogo TIMSS'!$A$5:$A$107,0)),"?"))</f>
      </c>
      <c r="P1077" t="s" s="35">
        <v>1058</v>
      </c>
      <c r="Q1077" t="s" s="120">
        <v>6186</v>
      </c>
      <c r="R1077" t="s" s="120">
        <v>6901</v>
      </c>
      <c r="S1077" s="121" cm="1">
        <f t="array" ref="S1077">_xlfn.IFERROR(ISNUMBER(SEARCH("Conocer",$R1077))/(ISNUMBER(SEARCH("Conocer",$R1077))+ISNUMBER(SEARCH("Aplicar",$R1077))+ISNUMBER(SEARCH("Razonar",$R1077))),0)</f>
        <v>0</v>
      </c>
      <c r="T1077" s="121" cm="1">
        <f t="array" ref="T1077">_xlfn.IFERROR(ISNUMBER(SEARCH("Aplicar",$R1077))/(ISNUMBER(SEARCH("Conocer",$R1077))+ISNUMBER(SEARCH("Aplicar",$R1077))+ISNUMBER(SEARCH("Razonar",$R1077))),0)</f>
        <v>0.5</v>
      </c>
      <c r="U1077" s="121" cm="1">
        <f t="array" ref="U1077">_xlfn.IFERROR(ISNUMBER(SEARCH("Razonar",$R1077))/(ISNUMBER(SEARCH("Conocer",$R1077))+ISNUMBER(SEARCH("Aplicar",$R1077))+ISNUMBER(SEARCH("Razonar",$R1077))),0)</f>
        <v>0.5</v>
      </c>
      <c r="V1077" t="s" s="35">
        <v>1407</v>
      </c>
      <c r="W1077" t="s" s="35">
        <v>6188</v>
      </c>
      <c r="X1077" s="36" cm="1">
        <f t="array" ref="X1077">IF(OR(_xlfn.IFERROR(INDEX('Datos - Catálogo TIMSS'!$I$5:$I$107,MATCH(K1077,'Datos - Catálogo TIMSS'!$A$5:$A$107,0)),"No")="Sí",_xlfn.IFERROR(INDEX('Datos - Catálogo TIMSS'!$I$5:$I$107,MATCH(L1077,'Datos - Catálogo TIMSS'!$A$5:$A$107,0)),"No")="Sí"),1,0)</f>
        <v>0</v>
      </c>
      <c r="Y1077" s="36" cm="1">
        <f t="array" ref="Y1077">IF(_xlfn.IFERROR(INDEX('Datos - Catálogo TIMSS'!$J$5:$J$107,MATCH(K1077,'Datos - Catálogo TIMSS'!$A$5:$A$107,0)),"No")="Sí",1,0)</f>
        <v>0</v>
      </c>
      <c r="Z1077" s="36" cm="1">
        <f t="array" ref="Z1077">IF(_xlfn.IFERROR(INDEX('Datos - Catálogo TIMSS'!$J$5:$J$107,MATCH(L1077,'Datos - Catálogo TIMSS'!$A$5:$A$107,0)),"No")="Sí",1,0)</f>
        <v>0</v>
      </c>
      <c r="AA1077" t="s" s="35">
        <v>1058</v>
      </c>
      <c r="AB1077" s="39"/>
      <c r="AC1077" t="str" s="39">
        <v>Sin marco</v>
      </c>
      <c r="AD1077" t="s" s="35">
        <v>1859</v>
      </c>
      <c r="AE1077" t="str" s="39" cm="1">
        <f t="array" ref="AE1077">IF(AD1077="","",IF(LEFT(AD1077,1)="1","C1",IF(LEFT(AD1077,1)="2","C2",IF(LEFT(AD1077,1)="3","C3",""))))</f>
        <v>C1</v>
      </c>
      <c r="AF1077" t="s" s="35">
        <v>1602</v>
      </c>
      <c r="AG1077" t="s" s="35">
        <v>1607</v>
      </c>
      <c r="AH1077" t="s" s="35">
        <v>1605</v>
      </c>
      <c r="AI1077" t="s" s="35">
        <v>1623</v>
      </c>
      <c r="AJ1077" t="s" s="35">
        <v>1607</v>
      </c>
      <c r="AK1077" s="39"/>
      <c r="AL1077" s="39"/>
      <c r="AM1077" s="39"/>
      <c r="AN1077" s="39"/>
      <c r="AO1077" s="39"/>
      <c r="AP1077" s="39"/>
      <c r="AQ1077" s="39"/>
      <c r="AR1077" s="39"/>
      <c r="AS1077" s="39"/>
      <c r="AT1077" s="39"/>
      <c r="AU1077" s="39"/>
      <c r="AV1077" s="39"/>
      <c r="AW1077" t="str" s="39" cm="1">
        <f t="array" ref="AW1077">AF1077&amp;"; "&amp;AG1077&amp;"; "&amp;AH1077&amp;"; "&amp;AI1077&amp;"; "&amp;AJ1077</f>
        <v>E1; E3; E2; D4; E3</v>
      </c>
    </row>
    <row r="1078" ht="13.65" customHeight="1">
      <c r="A1078" t="s" s="35">
        <v>6902</v>
      </c>
      <c r="B1078" s="36">
        <v>11</v>
      </c>
      <c r="C1078" t="s" s="35">
        <v>220</v>
      </c>
      <c r="D1078" t="s" s="35">
        <v>6180</v>
      </c>
      <c r="E1078" t="s" s="35">
        <v>6631</v>
      </c>
      <c r="F1078" s="36">
        <v>75</v>
      </c>
      <c r="G1078" t="s" s="35">
        <v>6893</v>
      </c>
      <c r="H1078" t="s" s="35">
        <v>6899</v>
      </c>
      <c r="I1078" t="s" s="120">
        <v>6903</v>
      </c>
      <c r="J1078" t="s" s="35">
        <v>6185</v>
      </c>
      <c r="K1078" t="s" s="35">
        <v>1058</v>
      </c>
      <c r="L1078" s="39"/>
      <c r="M1078" t="str" s="39">
        <v>Sin marco</v>
      </c>
      <c r="N1078" t="str" s="39">
        <v>Sin marco</v>
      </c>
      <c r="O1078" t="str" s="39" cm="1">
        <f t="array" ref="O1078">IF(L1078="","",_xlfn.IFERROR(INDEX('Datos - Catálogo TIMSS'!$C$5:$C$107,MATCH(L1078,'Datos - Catálogo TIMSS'!$A$5:$A$107,0)),"?"))</f>
      </c>
      <c r="P1078" t="s" s="35">
        <v>1058</v>
      </c>
      <c r="Q1078" t="s" s="120">
        <v>6186</v>
      </c>
      <c r="R1078" t="s" s="120">
        <v>6904</v>
      </c>
      <c r="S1078" s="121" cm="1">
        <f t="array" ref="S1078">_xlfn.IFERROR(ISNUMBER(SEARCH("Conocer",$R1078))/(ISNUMBER(SEARCH("Conocer",$R1078))+ISNUMBER(SEARCH("Aplicar",$R1078))+ISNUMBER(SEARCH("Razonar",$R1078))),0)</f>
        <v>0</v>
      </c>
      <c r="T1078" s="121" cm="1">
        <f t="array" ref="T1078">_xlfn.IFERROR(ISNUMBER(SEARCH("Aplicar",$R1078))/(ISNUMBER(SEARCH("Conocer",$R1078))+ISNUMBER(SEARCH("Aplicar",$R1078))+ISNUMBER(SEARCH("Razonar",$R1078))),0)</f>
        <v>0.5</v>
      </c>
      <c r="U1078" s="121" cm="1">
        <f t="array" ref="U1078">_xlfn.IFERROR(ISNUMBER(SEARCH("Razonar",$R1078))/(ISNUMBER(SEARCH("Conocer",$R1078))+ISNUMBER(SEARCH("Aplicar",$R1078))+ISNUMBER(SEARCH("Razonar",$R1078))),0)</f>
        <v>0.5</v>
      </c>
      <c r="V1078" t="s" s="35">
        <v>1407</v>
      </c>
      <c r="W1078" t="s" s="35">
        <v>6188</v>
      </c>
      <c r="X1078" s="36" cm="1">
        <f t="array" ref="X1078">IF(OR(_xlfn.IFERROR(INDEX('Datos - Catálogo TIMSS'!$I$5:$I$107,MATCH(K1078,'Datos - Catálogo TIMSS'!$A$5:$A$107,0)),"No")="Sí",_xlfn.IFERROR(INDEX('Datos - Catálogo TIMSS'!$I$5:$I$107,MATCH(L1078,'Datos - Catálogo TIMSS'!$A$5:$A$107,0)),"No")="Sí"),1,0)</f>
        <v>0</v>
      </c>
      <c r="Y1078" s="36" cm="1">
        <f t="array" ref="Y1078">IF(_xlfn.IFERROR(INDEX('Datos - Catálogo TIMSS'!$J$5:$J$107,MATCH(K1078,'Datos - Catálogo TIMSS'!$A$5:$A$107,0)),"No")="Sí",1,0)</f>
        <v>0</v>
      </c>
      <c r="Z1078" s="36" cm="1">
        <f t="array" ref="Z1078">IF(_xlfn.IFERROR(INDEX('Datos - Catálogo TIMSS'!$J$5:$J$107,MATCH(L1078,'Datos - Catálogo TIMSS'!$A$5:$A$107,0)),"No")="Sí",1,0)</f>
        <v>0</v>
      </c>
      <c r="AA1078" t="s" s="35">
        <v>1058</v>
      </c>
      <c r="AB1078" s="39"/>
      <c r="AC1078" t="str" s="39">
        <v>Sin marco</v>
      </c>
      <c r="AD1078" t="s" s="35">
        <v>1834</v>
      </c>
      <c r="AE1078" t="str" s="39" cm="1">
        <f t="array" ref="AE1078">IF(AD1078="","",IF(LEFT(AD1078,1)="1","C1",IF(LEFT(AD1078,1)="2","C2",IF(LEFT(AD1078,1)="3","C3",""))))</f>
        <v>C2</v>
      </c>
      <c r="AF1078" t="s" s="35">
        <v>1615</v>
      </c>
      <c r="AG1078" t="s" s="35">
        <v>1607</v>
      </c>
      <c r="AH1078" t="s" s="35">
        <v>1605</v>
      </c>
      <c r="AI1078" t="s" s="35">
        <v>1623</v>
      </c>
      <c r="AJ1078" t="s" s="35">
        <v>1607</v>
      </c>
      <c r="AK1078" s="39"/>
      <c r="AL1078" s="39"/>
      <c r="AM1078" s="39"/>
      <c r="AN1078" s="39"/>
      <c r="AO1078" s="39"/>
      <c r="AP1078" s="39"/>
      <c r="AQ1078" s="39"/>
      <c r="AR1078" s="39"/>
      <c r="AS1078" s="39"/>
      <c r="AT1078" s="39"/>
      <c r="AU1078" s="39"/>
      <c r="AV1078" s="39"/>
      <c r="AW1078" t="str" s="39" cm="1">
        <f t="array" ref="AW1078">AF1078&amp;"; "&amp;AG1078&amp;"; "&amp;AH1078&amp;"; "&amp;AI1078&amp;"; "&amp;AJ1078</f>
        <v>E6; E3; E2; D4; E3</v>
      </c>
    </row>
    <row r="1079" ht="13.65" customHeight="1">
      <c r="A1079" t="s" s="35">
        <v>6905</v>
      </c>
      <c r="B1079" s="36">
        <v>11</v>
      </c>
      <c r="C1079" t="s" s="35">
        <v>220</v>
      </c>
      <c r="D1079" t="s" s="35">
        <v>6180</v>
      </c>
      <c r="E1079" t="s" s="35">
        <v>6631</v>
      </c>
      <c r="F1079" s="36">
        <v>76</v>
      </c>
      <c r="G1079" t="s" s="35">
        <v>6893</v>
      </c>
      <c r="H1079" t="s" s="35">
        <v>6906</v>
      </c>
      <c r="I1079" t="s" s="120">
        <v>6907</v>
      </c>
      <c r="J1079" t="s" s="35">
        <v>6185</v>
      </c>
      <c r="K1079" t="s" s="35">
        <v>1058</v>
      </c>
      <c r="L1079" s="39"/>
      <c r="M1079" t="str" s="39">
        <v>Sin marco</v>
      </c>
      <c r="N1079" t="str" s="39">
        <v>Sin marco</v>
      </c>
      <c r="O1079" t="str" s="39" cm="1">
        <f t="array" ref="O1079">IF(L1079="","",_xlfn.IFERROR(INDEX('Datos - Catálogo TIMSS'!$C$5:$C$107,MATCH(L1079,'Datos - Catálogo TIMSS'!$A$5:$A$107,0)),"?"))</f>
      </c>
      <c r="P1079" t="s" s="35">
        <v>1058</v>
      </c>
      <c r="Q1079" t="s" s="120">
        <v>6186</v>
      </c>
      <c r="R1079" t="s" s="120">
        <v>6908</v>
      </c>
      <c r="S1079" s="121" cm="1">
        <f t="array" ref="S1079">_xlfn.IFERROR(ISNUMBER(SEARCH("Conocer",$R1079))/(ISNUMBER(SEARCH("Conocer",$R1079))+ISNUMBER(SEARCH("Aplicar",$R1079))+ISNUMBER(SEARCH("Razonar",$R1079))),0)</f>
        <v>0.5</v>
      </c>
      <c r="T1079" s="121" cm="1">
        <f t="array" ref="T1079">_xlfn.IFERROR(ISNUMBER(SEARCH("Aplicar",$R1079))/(ISNUMBER(SEARCH("Conocer",$R1079))+ISNUMBER(SEARCH("Aplicar",$R1079))+ISNUMBER(SEARCH("Razonar",$R1079))),0)</f>
        <v>0</v>
      </c>
      <c r="U1079" s="121" cm="1">
        <f t="array" ref="U1079">_xlfn.IFERROR(ISNUMBER(SEARCH("Razonar",$R1079))/(ISNUMBER(SEARCH("Conocer",$R1079))+ISNUMBER(SEARCH("Aplicar",$R1079))+ISNUMBER(SEARCH("Razonar",$R1079))),0)</f>
        <v>0.5</v>
      </c>
      <c r="V1079" t="s" s="35">
        <v>1407</v>
      </c>
      <c r="W1079" t="s" s="35">
        <v>6188</v>
      </c>
      <c r="X1079" s="36" cm="1">
        <f t="array" ref="X1079">IF(OR(_xlfn.IFERROR(INDEX('Datos - Catálogo TIMSS'!$I$5:$I$107,MATCH(K1079,'Datos - Catálogo TIMSS'!$A$5:$A$107,0)),"No")="Sí",_xlfn.IFERROR(INDEX('Datos - Catálogo TIMSS'!$I$5:$I$107,MATCH(L1079,'Datos - Catálogo TIMSS'!$A$5:$A$107,0)),"No")="Sí"),1,0)</f>
        <v>0</v>
      </c>
      <c r="Y1079" s="36" cm="1">
        <f t="array" ref="Y1079">IF(_xlfn.IFERROR(INDEX('Datos - Catálogo TIMSS'!$J$5:$J$107,MATCH(K1079,'Datos - Catálogo TIMSS'!$A$5:$A$107,0)),"No")="Sí",1,0)</f>
        <v>0</v>
      </c>
      <c r="Z1079" s="36" cm="1">
        <f t="array" ref="Z1079">IF(_xlfn.IFERROR(INDEX('Datos - Catálogo TIMSS'!$J$5:$J$107,MATCH(L1079,'Datos - Catálogo TIMSS'!$A$5:$A$107,0)),"No")="Sí",1,0)</f>
        <v>0</v>
      </c>
      <c r="AA1079" t="s" s="35">
        <v>1058</v>
      </c>
      <c r="AB1079" s="39"/>
      <c r="AC1079" t="str" s="39">
        <v>Sin marco</v>
      </c>
      <c r="AD1079" t="s" s="35">
        <v>1900</v>
      </c>
      <c r="AE1079" t="str" s="39" cm="1">
        <f t="array" ref="AE1079">IF(AD1079="","",IF(LEFT(AD1079,1)="1","C1",IF(LEFT(AD1079,1)="2","C2",IF(LEFT(AD1079,1)="3","C3",""))))</f>
        <v>C3</v>
      </c>
      <c r="AF1079" t="s" s="35">
        <v>1615</v>
      </c>
      <c r="AG1079" t="s" s="35">
        <v>1617</v>
      </c>
      <c r="AH1079" t="s" s="35">
        <v>1602</v>
      </c>
      <c r="AI1079" t="s" s="35">
        <v>1625</v>
      </c>
      <c r="AJ1079" t="s" s="35">
        <v>1631</v>
      </c>
      <c r="AK1079" s="39"/>
      <c r="AL1079" s="39"/>
      <c r="AM1079" s="39"/>
      <c r="AN1079" s="39"/>
      <c r="AO1079" s="39"/>
      <c r="AP1079" s="39"/>
      <c r="AQ1079" s="39"/>
      <c r="AR1079" s="39"/>
      <c r="AS1079" s="39"/>
      <c r="AT1079" s="39"/>
      <c r="AU1079" s="39"/>
      <c r="AV1079" s="39"/>
      <c r="AW1079" t="str" s="39" cm="1">
        <f t="array" ref="AW1079">AF1079&amp;"; "&amp;AG1079&amp;"; "&amp;AH1079&amp;"; "&amp;AI1079&amp;"; "&amp;AJ1079</f>
        <v>E6; D1; E1; I1; I4</v>
      </c>
    </row>
    <row r="1080" ht="13.65" customHeight="1">
      <c r="A1080" t="s" s="35">
        <v>6910</v>
      </c>
      <c r="B1080" s="36">
        <v>11</v>
      </c>
      <c r="C1080" t="s" s="35">
        <v>220</v>
      </c>
      <c r="D1080" t="s" s="35">
        <v>6180</v>
      </c>
      <c r="E1080" t="s" s="35">
        <v>6631</v>
      </c>
      <c r="F1080" s="36">
        <v>77</v>
      </c>
      <c r="G1080" t="s" s="35">
        <v>6911</v>
      </c>
      <c r="H1080" t="s" s="35">
        <v>6912</v>
      </c>
      <c r="I1080" t="s" s="120">
        <v>6913</v>
      </c>
      <c r="J1080" t="s" s="35">
        <v>6185</v>
      </c>
      <c r="K1080" t="s" s="35">
        <v>1058</v>
      </c>
      <c r="L1080" s="39"/>
      <c r="M1080" t="str" s="39">
        <v>Sin marco</v>
      </c>
      <c r="N1080" t="str" s="39">
        <v>Sin marco</v>
      </c>
      <c r="O1080" t="str" s="39" cm="1">
        <f t="array" ref="O1080">IF(L1080="","",_xlfn.IFERROR(INDEX('Datos - Catálogo TIMSS'!$C$5:$C$107,MATCH(L1080,'Datos - Catálogo TIMSS'!$A$5:$A$107,0)),"?"))</f>
      </c>
      <c r="P1080" t="s" s="35">
        <v>1058</v>
      </c>
      <c r="Q1080" t="s" s="120">
        <v>6186</v>
      </c>
      <c r="R1080" t="s" s="120">
        <v>6914</v>
      </c>
      <c r="S1080" s="121" cm="1">
        <f t="array" ref="S1080">_xlfn.IFERROR(ISNUMBER(SEARCH("Conocer",$R1080))/(ISNUMBER(SEARCH("Conocer",$R1080))+ISNUMBER(SEARCH("Aplicar",$R1080))+ISNUMBER(SEARCH("Razonar",$R1080))),0)</f>
        <v>0.5</v>
      </c>
      <c r="T1080" s="121" cm="1">
        <f t="array" ref="T1080">_xlfn.IFERROR(ISNUMBER(SEARCH("Aplicar",$R1080))/(ISNUMBER(SEARCH("Conocer",$R1080))+ISNUMBER(SEARCH("Aplicar",$R1080))+ISNUMBER(SEARCH("Razonar",$R1080))),0)</f>
        <v>0</v>
      </c>
      <c r="U1080" s="121" cm="1">
        <f t="array" ref="U1080">_xlfn.IFERROR(ISNUMBER(SEARCH("Razonar",$R1080))/(ISNUMBER(SEARCH("Conocer",$R1080))+ISNUMBER(SEARCH("Aplicar",$R1080))+ISNUMBER(SEARCH("Razonar",$R1080))),0)</f>
        <v>0.5</v>
      </c>
      <c r="V1080" t="s" s="35">
        <v>1407</v>
      </c>
      <c r="W1080" t="s" s="35">
        <v>6188</v>
      </c>
      <c r="X1080" s="36" cm="1">
        <f t="array" ref="X1080">IF(OR(_xlfn.IFERROR(INDEX('Datos - Catálogo TIMSS'!$I$5:$I$107,MATCH(K1080,'Datos - Catálogo TIMSS'!$A$5:$A$107,0)),"No")="Sí",_xlfn.IFERROR(INDEX('Datos - Catálogo TIMSS'!$I$5:$I$107,MATCH(L1080,'Datos - Catálogo TIMSS'!$A$5:$A$107,0)),"No")="Sí"),1,0)</f>
        <v>0</v>
      </c>
      <c r="Y1080" s="36" cm="1">
        <f t="array" ref="Y1080">IF(_xlfn.IFERROR(INDEX('Datos - Catálogo TIMSS'!$J$5:$J$107,MATCH(K1080,'Datos - Catálogo TIMSS'!$A$5:$A$107,0)),"No")="Sí",1,0)</f>
        <v>0</v>
      </c>
      <c r="Z1080" s="36" cm="1">
        <f t="array" ref="Z1080">IF(_xlfn.IFERROR(INDEX('Datos - Catálogo TIMSS'!$J$5:$J$107,MATCH(L1080,'Datos - Catálogo TIMSS'!$A$5:$A$107,0)),"No")="Sí",1,0)</f>
        <v>0</v>
      </c>
      <c r="AA1080" t="s" s="35">
        <v>1058</v>
      </c>
      <c r="AB1080" s="39"/>
      <c r="AC1080" t="str" s="39">
        <v>Sin marco</v>
      </c>
      <c r="AD1080" t="s" s="35">
        <v>1859</v>
      </c>
      <c r="AE1080" t="str" s="39" cm="1">
        <f t="array" ref="AE1080">IF(AD1080="","",IF(LEFT(AD1080,1)="1","C1",IF(LEFT(AD1080,1)="2","C2",IF(LEFT(AD1080,1)="3","C3",""))))</f>
        <v>C1</v>
      </c>
      <c r="AF1080" t="s" s="35">
        <v>1602</v>
      </c>
      <c r="AG1080" t="s" s="35">
        <v>1612</v>
      </c>
      <c r="AH1080" t="s" s="35">
        <v>1609</v>
      </c>
      <c r="AI1080" t="s" s="35">
        <v>1623</v>
      </c>
      <c r="AJ1080" t="s" s="35">
        <v>1607</v>
      </c>
      <c r="AK1080" s="39"/>
      <c r="AL1080" s="39"/>
      <c r="AM1080" s="39"/>
      <c r="AN1080" s="39"/>
      <c r="AO1080" s="39"/>
      <c r="AP1080" s="39"/>
      <c r="AQ1080" s="39"/>
      <c r="AR1080" s="39"/>
      <c r="AS1080" s="39"/>
      <c r="AT1080" s="39"/>
      <c r="AU1080" s="39"/>
      <c r="AV1080" s="39"/>
      <c r="AW1080" t="str" s="39" cm="1">
        <f t="array" ref="AW1080">AF1080&amp;"; "&amp;AG1080&amp;"; "&amp;AH1080&amp;"; "&amp;AI1080&amp;"; "&amp;AJ1080</f>
        <v>E1; E5; E4; D4; E3</v>
      </c>
    </row>
    <row r="1081" ht="13.65" customHeight="1">
      <c r="A1081" t="s" s="35">
        <v>6915</v>
      </c>
      <c r="B1081" s="36">
        <v>11</v>
      </c>
      <c r="C1081" t="s" s="35">
        <v>220</v>
      </c>
      <c r="D1081" t="s" s="35">
        <v>6180</v>
      </c>
      <c r="E1081" t="s" s="35">
        <v>6631</v>
      </c>
      <c r="F1081" s="36">
        <v>78</v>
      </c>
      <c r="G1081" t="s" s="35">
        <v>6911</v>
      </c>
      <c r="H1081" t="s" s="35">
        <v>6912</v>
      </c>
      <c r="I1081" t="s" s="120">
        <v>6916</v>
      </c>
      <c r="J1081" t="s" s="35">
        <v>6185</v>
      </c>
      <c r="K1081" t="s" s="35">
        <v>1058</v>
      </c>
      <c r="L1081" s="39"/>
      <c r="M1081" t="str" s="39">
        <v>Sin marco</v>
      </c>
      <c r="N1081" t="str" s="39">
        <v>Sin marco</v>
      </c>
      <c r="O1081" t="str" s="39" cm="1">
        <f t="array" ref="O1081">IF(L1081="","",_xlfn.IFERROR(INDEX('Datos - Catálogo TIMSS'!$C$5:$C$107,MATCH(L1081,'Datos - Catálogo TIMSS'!$A$5:$A$107,0)),"?"))</f>
      </c>
      <c r="P1081" t="s" s="35">
        <v>1058</v>
      </c>
      <c r="Q1081" t="s" s="120">
        <v>6186</v>
      </c>
      <c r="R1081" t="s" s="120">
        <v>6917</v>
      </c>
      <c r="S1081" s="121" cm="1">
        <f t="array" ref="S1081">_xlfn.IFERROR(ISNUMBER(SEARCH("Conocer",$R1081))/(ISNUMBER(SEARCH("Conocer",$R1081))+ISNUMBER(SEARCH("Aplicar",$R1081))+ISNUMBER(SEARCH("Razonar",$R1081))),0)</f>
        <v>0</v>
      </c>
      <c r="T1081" s="121" cm="1">
        <f t="array" ref="T1081">_xlfn.IFERROR(ISNUMBER(SEARCH("Aplicar",$R1081))/(ISNUMBER(SEARCH("Conocer",$R1081))+ISNUMBER(SEARCH("Aplicar",$R1081))+ISNUMBER(SEARCH("Razonar",$R1081))),0)</f>
        <v>0.5</v>
      </c>
      <c r="U1081" s="121" cm="1">
        <f t="array" ref="U1081">_xlfn.IFERROR(ISNUMBER(SEARCH("Razonar",$R1081))/(ISNUMBER(SEARCH("Conocer",$R1081))+ISNUMBER(SEARCH("Aplicar",$R1081))+ISNUMBER(SEARCH("Razonar",$R1081))),0)</f>
        <v>0.5</v>
      </c>
      <c r="V1081" t="s" s="35">
        <v>1407</v>
      </c>
      <c r="W1081" t="s" s="35">
        <v>6188</v>
      </c>
      <c r="X1081" s="36" cm="1">
        <f t="array" ref="X1081">IF(OR(_xlfn.IFERROR(INDEX('Datos - Catálogo TIMSS'!$I$5:$I$107,MATCH(K1081,'Datos - Catálogo TIMSS'!$A$5:$A$107,0)),"No")="Sí",_xlfn.IFERROR(INDEX('Datos - Catálogo TIMSS'!$I$5:$I$107,MATCH(L1081,'Datos - Catálogo TIMSS'!$A$5:$A$107,0)),"No")="Sí"),1,0)</f>
        <v>0</v>
      </c>
      <c r="Y1081" s="36" cm="1">
        <f t="array" ref="Y1081">IF(_xlfn.IFERROR(INDEX('Datos - Catálogo TIMSS'!$J$5:$J$107,MATCH(K1081,'Datos - Catálogo TIMSS'!$A$5:$A$107,0)),"No")="Sí",1,0)</f>
        <v>0</v>
      </c>
      <c r="Z1081" s="36" cm="1">
        <f t="array" ref="Z1081">IF(_xlfn.IFERROR(INDEX('Datos - Catálogo TIMSS'!$J$5:$J$107,MATCH(L1081,'Datos - Catálogo TIMSS'!$A$5:$A$107,0)),"No")="Sí",1,0)</f>
        <v>0</v>
      </c>
      <c r="AA1081" t="s" s="35">
        <v>1058</v>
      </c>
      <c r="AB1081" s="39"/>
      <c r="AC1081" t="str" s="39">
        <v>Sin marco</v>
      </c>
      <c r="AD1081" t="s" s="35">
        <v>1859</v>
      </c>
      <c r="AE1081" t="str" s="39" cm="1">
        <f t="array" ref="AE1081">IF(AD1081="","",IF(LEFT(AD1081,1)="1","C1",IF(LEFT(AD1081,1)="2","C2",IF(LEFT(AD1081,1)="3","C3",""))))</f>
        <v>C1</v>
      </c>
      <c r="AF1081" t="s" s="35">
        <v>1602</v>
      </c>
      <c r="AG1081" t="s" s="35">
        <v>1617</v>
      </c>
      <c r="AH1081" t="s" s="35">
        <v>1605</v>
      </c>
      <c r="AI1081" t="s" s="35">
        <v>1623</v>
      </c>
      <c r="AJ1081" t="s" s="35">
        <v>1607</v>
      </c>
      <c r="AK1081" s="39"/>
      <c r="AL1081" s="39"/>
      <c r="AM1081" s="39"/>
      <c r="AN1081" s="39"/>
      <c r="AO1081" s="39"/>
      <c r="AP1081" s="39"/>
      <c r="AQ1081" s="39"/>
      <c r="AR1081" s="39"/>
      <c r="AS1081" s="39"/>
      <c r="AT1081" s="39"/>
      <c r="AU1081" s="39"/>
      <c r="AV1081" s="39"/>
      <c r="AW1081" t="str" s="39" cm="1">
        <f t="array" ref="AW1081">AF1081&amp;"; "&amp;AG1081&amp;"; "&amp;AH1081&amp;"; "&amp;AI1081&amp;"; "&amp;AJ1081</f>
        <v>E1; D1; E2; D4; E3</v>
      </c>
    </row>
    <row r="1082" ht="13.65" customHeight="1">
      <c r="A1082" t="s" s="35">
        <v>6918</v>
      </c>
      <c r="B1082" s="36">
        <v>11</v>
      </c>
      <c r="C1082" t="s" s="35">
        <v>220</v>
      </c>
      <c r="D1082" t="s" s="35">
        <v>6180</v>
      </c>
      <c r="E1082" t="s" s="35">
        <v>6631</v>
      </c>
      <c r="F1082" s="36">
        <v>79</v>
      </c>
      <c r="G1082" t="s" s="35">
        <v>6911</v>
      </c>
      <c r="H1082" t="s" s="35">
        <v>6919</v>
      </c>
      <c r="I1082" t="s" s="120">
        <v>6920</v>
      </c>
      <c r="J1082" t="s" s="35">
        <v>6185</v>
      </c>
      <c r="K1082" t="s" s="35">
        <v>1058</v>
      </c>
      <c r="L1082" s="39"/>
      <c r="M1082" t="str" s="39">
        <v>Sin marco</v>
      </c>
      <c r="N1082" t="str" s="39">
        <v>Sin marco</v>
      </c>
      <c r="O1082" t="str" s="39" cm="1">
        <f t="array" ref="O1082">IF(L1082="","",_xlfn.IFERROR(INDEX('Datos - Catálogo TIMSS'!$C$5:$C$107,MATCH(L1082,'Datos - Catálogo TIMSS'!$A$5:$A$107,0)),"?"))</f>
      </c>
      <c r="P1082" t="s" s="35">
        <v>1058</v>
      </c>
      <c r="Q1082" t="s" s="120">
        <v>6186</v>
      </c>
      <c r="R1082" t="s" s="120">
        <v>6921</v>
      </c>
      <c r="S1082" s="121" cm="1">
        <f t="array" ref="S1082">_xlfn.IFERROR(ISNUMBER(SEARCH("Conocer",$R1082))/(ISNUMBER(SEARCH("Conocer",$R1082))+ISNUMBER(SEARCH("Aplicar",$R1082))+ISNUMBER(SEARCH("Razonar",$R1082))),0)</f>
        <v>0</v>
      </c>
      <c r="T1082" s="121" cm="1">
        <f t="array" ref="T1082">_xlfn.IFERROR(ISNUMBER(SEARCH("Aplicar",$R1082))/(ISNUMBER(SEARCH("Conocer",$R1082))+ISNUMBER(SEARCH("Aplicar",$R1082))+ISNUMBER(SEARCH("Razonar",$R1082))),0)</f>
        <v>0.5</v>
      </c>
      <c r="U1082" s="121" cm="1">
        <f t="array" ref="U1082">_xlfn.IFERROR(ISNUMBER(SEARCH("Razonar",$R1082))/(ISNUMBER(SEARCH("Conocer",$R1082))+ISNUMBER(SEARCH("Aplicar",$R1082))+ISNUMBER(SEARCH("Razonar",$R1082))),0)</f>
        <v>0.5</v>
      </c>
      <c r="V1082" t="s" s="35">
        <v>1407</v>
      </c>
      <c r="W1082" t="s" s="35">
        <v>6188</v>
      </c>
      <c r="X1082" s="36" cm="1">
        <f t="array" ref="X1082">IF(OR(_xlfn.IFERROR(INDEX('Datos - Catálogo TIMSS'!$I$5:$I$107,MATCH(K1082,'Datos - Catálogo TIMSS'!$A$5:$A$107,0)),"No")="Sí",_xlfn.IFERROR(INDEX('Datos - Catálogo TIMSS'!$I$5:$I$107,MATCH(L1082,'Datos - Catálogo TIMSS'!$A$5:$A$107,0)),"No")="Sí"),1,0)</f>
        <v>0</v>
      </c>
      <c r="Y1082" s="36" cm="1">
        <f t="array" ref="Y1082">IF(_xlfn.IFERROR(INDEX('Datos - Catálogo TIMSS'!$J$5:$J$107,MATCH(K1082,'Datos - Catálogo TIMSS'!$A$5:$A$107,0)),"No")="Sí",1,0)</f>
        <v>0</v>
      </c>
      <c r="Z1082" s="36" cm="1">
        <f t="array" ref="Z1082">IF(_xlfn.IFERROR(INDEX('Datos - Catálogo TIMSS'!$J$5:$J$107,MATCH(L1082,'Datos - Catálogo TIMSS'!$A$5:$A$107,0)),"No")="Sí",1,0)</f>
        <v>0</v>
      </c>
      <c r="AA1082" t="s" s="35">
        <v>1058</v>
      </c>
      <c r="AB1082" s="39"/>
      <c r="AC1082" t="str" s="39">
        <v>Sin marco</v>
      </c>
      <c r="AD1082" t="s" s="35">
        <v>1859</v>
      </c>
      <c r="AE1082" t="str" s="39" cm="1">
        <f t="array" ref="AE1082">IF(AD1082="","",IF(LEFT(AD1082,1)="1","C1",IF(LEFT(AD1082,1)="2","C2",IF(LEFT(AD1082,1)="3","C3",""))))</f>
        <v>C1</v>
      </c>
      <c r="AF1082" t="s" s="35">
        <v>1615</v>
      </c>
      <c r="AG1082" t="s" s="35">
        <v>1607</v>
      </c>
      <c r="AH1082" t="s" s="35">
        <v>1605</v>
      </c>
      <c r="AI1082" t="s" s="35">
        <v>1623</v>
      </c>
      <c r="AJ1082" t="s" s="35">
        <v>1615</v>
      </c>
      <c r="AK1082" s="39"/>
      <c r="AL1082" s="39"/>
      <c r="AM1082" s="39"/>
      <c r="AN1082" s="39"/>
      <c r="AO1082" s="39"/>
      <c r="AP1082" s="39"/>
      <c r="AQ1082" s="39"/>
      <c r="AR1082" s="39"/>
      <c r="AS1082" s="39"/>
      <c r="AT1082" s="39"/>
      <c r="AU1082" s="39"/>
      <c r="AV1082" s="39"/>
      <c r="AW1082" t="str" s="39" cm="1">
        <f t="array" ref="AW1082">AF1082&amp;"; "&amp;AG1082&amp;"; "&amp;AH1082&amp;"; "&amp;AI1082&amp;"; "&amp;AJ1082</f>
        <v>E6; E3; E2; D4; E6</v>
      </c>
    </row>
    <row r="1083" ht="13.65" customHeight="1">
      <c r="A1083" t="s" s="35">
        <v>6923</v>
      </c>
      <c r="B1083" s="36">
        <v>11</v>
      </c>
      <c r="C1083" t="s" s="35">
        <v>220</v>
      </c>
      <c r="D1083" t="s" s="35">
        <v>6180</v>
      </c>
      <c r="E1083" t="s" s="35">
        <v>6631</v>
      </c>
      <c r="F1083" s="36">
        <v>80</v>
      </c>
      <c r="G1083" t="s" s="35">
        <v>6911</v>
      </c>
      <c r="H1083" t="s" s="35">
        <v>6924</v>
      </c>
      <c r="I1083" t="s" s="120">
        <v>6925</v>
      </c>
      <c r="J1083" t="s" s="35">
        <v>6185</v>
      </c>
      <c r="K1083" t="s" s="35">
        <v>1058</v>
      </c>
      <c r="L1083" s="39"/>
      <c r="M1083" t="str" s="39">
        <v>Sin marco</v>
      </c>
      <c r="N1083" t="str" s="39">
        <v>Sin marco</v>
      </c>
      <c r="O1083" t="str" s="39" cm="1">
        <f t="array" ref="O1083">IF(L1083="","",_xlfn.IFERROR(INDEX('Datos - Catálogo TIMSS'!$C$5:$C$107,MATCH(L1083,'Datos - Catálogo TIMSS'!$A$5:$A$107,0)),"?"))</f>
      </c>
      <c r="P1083" t="s" s="35">
        <v>1058</v>
      </c>
      <c r="Q1083" t="s" s="120">
        <v>6186</v>
      </c>
      <c r="R1083" t="s" s="120">
        <v>6926</v>
      </c>
      <c r="S1083" s="121" cm="1">
        <f t="array" ref="S1083">_xlfn.IFERROR(ISNUMBER(SEARCH("Conocer",$R1083))/(ISNUMBER(SEARCH("Conocer",$R1083))+ISNUMBER(SEARCH("Aplicar",$R1083))+ISNUMBER(SEARCH("Razonar",$R1083))),0)</f>
        <v>0</v>
      </c>
      <c r="T1083" s="121" cm="1">
        <f t="array" ref="T1083">_xlfn.IFERROR(ISNUMBER(SEARCH("Aplicar",$R1083))/(ISNUMBER(SEARCH("Conocer",$R1083))+ISNUMBER(SEARCH("Aplicar",$R1083))+ISNUMBER(SEARCH("Razonar",$R1083))),0)</f>
        <v>0.5</v>
      </c>
      <c r="U1083" s="121" cm="1">
        <f t="array" ref="U1083">_xlfn.IFERROR(ISNUMBER(SEARCH("Razonar",$R1083))/(ISNUMBER(SEARCH("Conocer",$R1083))+ISNUMBER(SEARCH("Aplicar",$R1083))+ISNUMBER(SEARCH("Razonar",$R1083))),0)</f>
        <v>0.5</v>
      </c>
      <c r="V1083" t="s" s="35">
        <v>1407</v>
      </c>
      <c r="W1083" t="s" s="35">
        <v>6188</v>
      </c>
      <c r="X1083" s="36" cm="1">
        <f t="array" ref="X1083">IF(OR(_xlfn.IFERROR(INDEX('Datos - Catálogo TIMSS'!$I$5:$I$107,MATCH(K1083,'Datos - Catálogo TIMSS'!$A$5:$A$107,0)),"No")="Sí",_xlfn.IFERROR(INDEX('Datos - Catálogo TIMSS'!$I$5:$I$107,MATCH(L1083,'Datos - Catálogo TIMSS'!$A$5:$A$107,0)),"No")="Sí"),1,0)</f>
        <v>0</v>
      </c>
      <c r="Y1083" s="36" cm="1">
        <f t="array" ref="Y1083">IF(_xlfn.IFERROR(INDEX('Datos - Catálogo TIMSS'!$J$5:$J$107,MATCH(K1083,'Datos - Catálogo TIMSS'!$A$5:$A$107,0)),"No")="Sí",1,0)</f>
        <v>0</v>
      </c>
      <c r="Z1083" s="36" cm="1">
        <f t="array" ref="Z1083">IF(_xlfn.IFERROR(INDEX('Datos - Catálogo TIMSS'!$J$5:$J$107,MATCH(L1083,'Datos - Catálogo TIMSS'!$A$5:$A$107,0)),"No")="Sí",1,0)</f>
        <v>0</v>
      </c>
      <c r="AA1083" t="s" s="35">
        <v>1058</v>
      </c>
      <c r="AB1083" s="39"/>
      <c r="AC1083" t="str" s="39">
        <v>Sin marco</v>
      </c>
      <c r="AD1083" t="s" s="35">
        <v>1859</v>
      </c>
      <c r="AE1083" t="str" s="39" cm="1">
        <f t="array" ref="AE1083">IF(AD1083="","",IF(LEFT(AD1083,1)="1","C1",IF(LEFT(AD1083,1)="2","C2",IF(LEFT(AD1083,1)="3","C3",""))))</f>
        <v>C1</v>
      </c>
      <c r="AF1083" t="s" s="35">
        <v>1602</v>
      </c>
      <c r="AG1083" t="s" s="35">
        <v>1612</v>
      </c>
      <c r="AH1083" t="s" s="35">
        <v>1605</v>
      </c>
      <c r="AI1083" t="s" s="35">
        <v>1623</v>
      </c>
      <c r="AJ1083" t="s" s="35">
        <v>1607</v>
      </c>
      <c r="AK1083" s="39"/>
      <c r="AL1083" s="39"/>
      <c r="AM1083" s="39"/>
      <c r="AN1083" s="39"/>
      <c r="AO1083" s="39"/>
      <c r="AP1083" s="39"/>
      <c r="AQ1083" s="39"/>
      <c r="AR1083" s="39"/>
      <c r="AS1083" s="39"/>
      <c r="AT1083" s="39"/>
      <c r="AU1083" s="39"/>
      <c r="AV1083" s="39"/>
      <c r="AW1083" t="str" s="39" cm="1">
        <f t="array" ref="AW1083">AF1083&amp;"; "&amp;AG1083&amp;"; "&amp;AH1083&amp;"; "&amp;AI1083&amp;"; "&amp;AJ1083</f>
        <v>E1; E5; E2; D4; E3</v>
      </c>
    </row>
    <row r="1084" ht="13.65" customHeight="1">
      <c r="A1084" t="s" s="35">
        <v>6927</v>
      </c>
      <c r="B1084" s="36">
        <v>11</v>
      </c>
      <c r="C1084" t="s" s="35">
        <v>220</v>
      </c>
      <c r="D1084" t="s" s="35">
        <v>6180</v>
      </c>
      <c r="E1084" t="s" s="35">
        <v>6631</v>
      </c>
      <c r="F1084" s="36">
        <v>81</v>
      </c>
      <c r="G1084" t="s" s="35">
        <v>6911</v>
      </c>
      <c r="H1084" t="s" s="35">
        <v>6924</v>
      </c>
      <c r="I1084" t="s" s="120">
        <v>6928</v>
      </c>
      <c r="J1084" t="s" s="35">
        <v>6185</v>
      </c>
      <c r="K1084" t="s" s="35">
        <v>1058</v>
      </c>
      <c r="L1084" s="39"/>
      <c r="M1084" t="str" s="39">
        <v>Sin marco</v>
      </c>
      <c r="N1084" t="str" s="39">
        <v>Sin marco</v>
      </c>
      <c r="O1084" t="str" s="39" cm="1">
        <f t="array" ref="O1084">IF(L1084="","",_xlfn.IFERROR(INDEX('Datos - Catálogo TIMSS'!$C$5:$C$107,MATCH(L1084,'Datos - Catálogo TIMSS'!$A$5:$A$107,0)),"?"))</f>
      </c>
      <c r="P1084" t="s" s="35">
        <v>1058</v>
      </c>
      <c r="Q1084" t="s" s="120">
        <v>6186</v>
      </c>
      <c r="R1084" t="s" s="120">
        <v>6929</v>
      </c>
      <c r="S1084" s="121" cm="1">
        <f t="array" ref="S1084">_xlfn.IFERROR(ISNUMBER(SEARCH("Conocer",$R1084))/(ISNUMBER(SEARCH("Conocer",$R1084))+ISNUMBER(SEARCH("Aplicar",$R1084))+ISNUMBER(SEARCH("Razonar",$R1084))),0)</f>
        <v>0</v>
      </c>
      <c r="T1084" s="121" cm="1">
        <f t="array" ref="T1084">_xlfn.IFERROR(ISNUMBER(SEARCH("Aplicar",$R1084))/(ISNUMBER(SEARCH("Conocer",$R1084))+ISNUMBER(SEARCH("Aplicar",$R1084))+ISNUMBER(SEARCH("Razonar",$R1084))),0)</f>
        <v>0.5</v>
      </c>
      <c r="U1084" s="121" cm="1">
        <f t="array" ref="U1084">_xlfn.IFERROR(ISNUMBER(SEARCH("Razonar",$R1084))/(ISNUMBER(SEARCH("Conocer",$R1084))+ISNUMBER(SEARCH("Aplicar",$R1084))+ISNUMBER(SEARCH("Razonar",$R1084))),0)</f>
        <v>0.5</v>
      </c>
      <c r="V1084" t="s" s="35">
        <v>1407</v>
      </c>
      <c r="W1084" t="s" s="35">
        <v>6188</v>
      </c>
      <c r="X1084" s="36" cm="1">
        <f t="array" ref="X1084">IF(OR(_xlfn.IFERROR(INDEX('Datos - Catálogo TIMSS'!$I$5:$I$107,MATCH(K1084,'Datos - Catálogo TIMSS'!$A$5:$A$107,0)),"No")="Sí",_xlfn.IFERROR(INDEX('Datos - Catálogo TIMSS'!$I$5:$I$107,MATCH(L1084,'Datos - Catálogo TIMSS'!$A$5:$A$107,0)),"No")="Sí"),1,0)</f>
        <v>0</v>
      </c>
      <c r="Y1084" s="36" cm="1">
        <f t="array" ref="Y1084">IF(_xlfn.IFERROR(INDEX('Datos - Catálogo TIMSS'!$J$5:$J$107,MATCH(K1084,'Datos - Catálogo TIMSS'!$A$5:$A$107,0)),"No")="Sí",1,0)</f>
        <v>0</v>
      </c>
      <c r="Z1084" s="36" cm="1">
        <f t="array" ref="Z1084">IF(_xlfn.IFERROR(INDEX('Datos - Catálogo TIMSS'!$J$5:$J$107,MATCH(L1084,'Datos - Catálogo TIMSS'!$A$5:$A$107,0)),"No")="Sí",1,0)</f>
        <v>0</v>
      </c>
      <c r="AA1084" t="s" s="35">
        <v>1058</v>
      </c>
      <c r="AB1084" s="39"/>
      <c r="AC1084" t="str" s="39">
        <v>Sin marco</v>
      </c>
      <c r="AD1084" t="s" s="35">
        <v>1859</v>
      </c>
      <c r="AE1084" t="str" s="39" cm="1">
        <f t="array" ref="AE1084">IF(AD1084="","",IF(LEFT(AD1084,1)="1","C1",IF(LEFT(AD1084,1)="2","C2",IF(LEFT(AD1084,1)="3","C3",""))))</f>
        <v>C1</v>
      </c>
      <c r="AF1084" t="s" s="35">
        <v>1615</v>
      </c>
      <c r="AG1084" t="s" s="35">
        <v>1617</v>
      </c>
      <c r="AH1084" t="s" s="35">
        <v>1605</v>
      </c>
      <c r="AI1084" t="s" s="35">
        <v>1623</v>
      </c>
      <c r="AJ1084" t="s" s="35">
        <v>1607</v>
      </c>
      <c r="AK1084" s="39"/>
      <c r="AL1084" s="39"/>
      <c r="AM1084" s="39"/>
      <c r="AN1084" s="39"/>
      <c r="AO1084" s="39"/>
      <c r="AP1084" s="39"/>
      <c r="AQ1084" s="39"/>
      <c r="AR1084" s="39"/>
      <c r="AS1084" s="39"/>
      <c r="AT1084" s="39"/>
      <c r="AU1084" s="39"/>
      <c r="AV1084" s="39"/>
      <c r="AW1084" t="str" s="39" cm="1">
        <f t="array" ref="AW1084">AF1084&amp;"; "&amp;AG1084&amp;"; "&amp;AH1084&amp;"; "&amp;AI1084&amp;"; "&amp;AJ1084</f>
        <v>E6; D1; E2; D4; E3</v>
      </c>
    </row>
    <row r="1085" ht="13.65" customHeight="1">
      <c r="A1085" t="s" s="35">
        <v>6930</v>
      </c>
      <c r="B1085" s="36">
        <v>11</v>
      </c>
      <c r="C1085" t="s" s="35">
        <v>220</v>
      </c>
      <c r="D1085" t="s" s="35">
        <v>6180</v>
      </c>
      <c r="E1085" t="s" s="35">
        <v>6631</v>
      </c>
      <c r="F1085" s="36">
        <v>82</v>
      </c>
      <c r="G1085" t="s" s="35">
        <v>6911</v>
      </c>
      <c r="H1085" t="s" s="35">
        <v>6931</v>
      </c>
      <c r="I1085" t="s" s="120">
        <v>6932</v>
      </c>
      <c r="J1085" t="s" s="35">
        <v>6185</v>
      </c>
      <c r="K1085" t="s" s="35">
        <v>1058</v>
      </c>
      <c r="L1085" s="39"/>
      <c r="M1085" t="str" s="39">
        <v>Sin marco</v>
      </c>
      <c r="N1085" t="str" s="39">
        <v>Sin marco</v>
      </c>
      <c r="O1085" t="str" s="39" cm="1">
        <f t="array" ref="O1085">IF(L1085="","",_xlfn.IFERROR(INDEX('Datos - Catálogo TIMSS'!$C$5:$C$107,MATCH(L1085,'Datos - Catálogo TIMSS'!$A$5:$A$107,0)),"?"))</f>
      </c>
      <c r="P1085" t="s" s="35">
        <v>1058</v>
      </c>
      <c r="Q1085" t="s" s="120">
        <v>6186</v>
      </c>
      <c r="R1085" t="s" s="120">
        <v>6933</v>
      </c>
      <c r="S1085" s="121" cm="1">
        <f t="array" ref="S1085">_xlfn.IFERROR(ISNUMBER(SEARCH("Conocer",$R1085))/(ISNUMBER(SEARCH("Conocer",$R1085))+ISNUMBER(SEARCH("Aplicar",$R1085))+ISNUMBER(SEARCH("Razonar",$R1085))),0)</f>
        <v>0</v>
      </c>
      <c r="T1085" s="121" cm="1">
        <f t="array" ref="T1085">_xlfn.IFERROR(ISNUMBER(SEARCH("Aplicar",$R1085))/(ISNUMBER(SEARCH("Conocer",$R1085))+ISNUMBER(SEARCH("Aplicar",$R1085))+ISNUMBER(SEARCH("Razonar",$R1085))),0)</f>
        <v>0.5</v>
      </c>
      <c r="U1085" s="121" cm="1">
        <f t="array" ref="U1085">_xlfn.IFERROR(ISNUMBER(SEARCH("Razonar",$R1085))/(ISNUMBER(SEARCH("Conocer",$R1085))+ISNUMBER(SEARCH("Aplicar",$R1085))+ISNUMBER(SEARCH("Razonar",$R1085))),0)</f>
        <v>0.5</v>
      </c>
      <c r="V1085" t="s" s="35">
        <v>1407</v>
      </c>
      <c r="W1085" t="s" s="35">
        <v>6188</v>
      </c>
      <c r="X1085" s="36" cm="1">
        <f t="array" ref="X1085">IF(OR(_xlfn.IFERROR(INDEX('Datos - Catálogo TIMSS'!$I$5:$I$107,MATCH(K1085,'Datos - Catálogo TIMSS'!$A$5:$A$107,0)),"No")="Sí",_xlfn.IFERROR(INDEX('Datos - Catálogo TIMSS'!$I$5:$I$107,MATCH(L1085,'Datos - Catálogo TIMSS'!$A$5:$A$107,0)),"No")="Sí"),1,0)</f>
        <v>0</v>
      </c>
      <c r="Y1085" s="36" cm="1">
        <f t="array" ref="Y1085">IF(_xlfn.IFERROR(INDEX('Datos - Catálogo TIMSS'!$J$5:$J$107,MATCH(K1085,'Datos - Catálogo TIMSS'!$A$5:$A$107,0)),"No")="Sí",1,0)</f>
        <v>0</v>
      </c>
      <c r="Z1085" s="36" cm="1">
        <f t="array" ref="Z1085">IF(_xlfn.IFERROR(INDEX('Datos - Catálogo TIMSS'!$J$5:$J$107,MATCH(L1085,'Datos - Catálogo TIMSS'!$A$5:$A$107,0)),"No")="Sí",1,0)</f>
        <v>0</v>
      </c>
      <c r="AA1085" t="s" s="35">
        <v>1058</v>
      </c>
      <c r="AB1085" s="39"/>
      <c r="AC1085" t="str" s="39">
        <v>Sin marco</v>
      </c>
      <c r="AD1085" t="s" s="35">
        <v>1859</v>
      </c>
      <c r="AE1085" t="str" s="39" cm="1">
        <f t="array" ref="AE1085">IF(AD1085="","",IF(LEFT(AD1085,1)="1","C1",IF(LEFT(AD1085,1)="2","C2",IF(LEFT(AD1085,1)="3","C3",""))))</f>
        <v>C1</v>
      </c>
      <c r="AF1085" t="s" s="35">
        <v>1602</v>
      </c>
      <c r="AG1085" t="s" s="35">
        <v>1607</v>
      </c>
      <c r="AH1085" t="s" s="35">
        <v>1609</v>
      </c>
      <c r="AI1085" t="s" s="35">
        <v>1623</v>
      </c>
      <c r="AJ1085" t="s" s="35">
        <v>1615</v>
      </c>
      <c r="AK1085" s="39"/>
      <c r="AL1085" s="39"/>
      <c r="AM1085" s="39"/>
      <c r="AN1085" s="39"/>
      <c r="AO1085" s="39"/>
      <c r="AP1085" s="39"/>
      <c r="AQ1085" s="39"/>
      <c r="AR1085" s="39"/>
      <c r="AS1085" s="39"/>
      <c r="AT1085" s="39"/>
      <c r="AU1085" s="39"/>
      <c r="AV1085" s="39"/>
      <c r="AW1085" t="str" s="39" cm="1">
        <f t="array" ref="AW1085">AF1085&amp;"; "&amp;AG1085&amp;"; "&amp;AH1085&amp;"; "&amp;AI1085&amp;"; "&amp;AJ1085</f>
        <v>E1; E3; E4; D4; E6</v>
      </c>
    </row>
    <row r="1086" ht="13.65" customHeight="1">
      <c r="A1086" t="s" s="35">
        <v>6934</v>
      </c>
      <c r="B1086" s="36">
        <v>11</v>
      </c>
      <c r="C1086" t="s" s="35">
        <v>220</v>
      </c>
      <c r="D1086" t="s" s="35">
        <v>6180</v>
      </c>
      <c r="E1086" t="s" s="35">
        <v>6631</v>
      </c>
      <c r="F1086" s="36">
        <v>83</v>
      </c>
      <c r="G1086" t="s" s="35">
        <v>6911</v>
      </c>
      <c r="H1086" t="s" s="35">
        <v>6935</v>
      </c>
      <c r="I1086" t="s" s="120">
        <v>6936</v>
      </c>
      <c r="J1086" t="s" s="35">
        <v>6185</v>
      </c>
      <c r="K1086" t="s" s="35">
        <v>1058</v>
      </c>
      <c r="L1086" s="39"/>
      <c r="M1086" t="str" s="39">
        <v>Sin marco</v>
      </c>
      <c r="N1086" t="str" s="39">
        <v>Sin marco</v>
      </c>
      <c r="O1086" t="str" s="39" cm="1">
        <f t="array" ref="O1086">IF(L1086="","",_xlfn.IFERROR(INDEX('Datos - Catálogo TIMSS'!$C$5:$C$107,MATCH(L1086,'Datos - Catálogo TIMSS'!$A$5:$A$107,0)),"?"))</f>
      </c>
      <c r="P1086" t="s" s="35">
        <v>1058</v>
      </c>
      <c r="Q1086" t="s" s="120">
        <v>6186</v>
      </c>
      <c r="R1086" t="s" s="120">
        <v>6937</v>
      </c>
      <c r="S1086" s="121" cm="1">
        <f t="array" ref="S1086">_xlfn.IFERROR(ISNUMBER(SEARCH("Conocer",$R1086))/(ISNUMBER(SEARCH("Conocer",$R1086))+ISNUMBER(SEARCH("Aplicar",$R1086))+ISNUMBER(SEARCH("Razonar",$R1086))),0)</f>
        <v>0.5</v>
      </c>
      <c r="T1086" s="121" cm="1">
        <f t="array" ref="T1086">_xlfn.IFERROR(ISNUMBER(SEARCH("Aplicar",$R1086))/(ISNUMBER(SEARCH("Conocer",$R1086))+ISNUMBER(SEARCH("Aplicar",$R1086))+ISNUMBER(SEARCH("Razonar",$R1086))),0)</f>
        <v>0</v>
      </c>
      <c r="U1086" s="121" cm="1">
        <f t="array" ref="U1086">_xlfn.IFERROR(ISNUMBER(SEARCH("Razonar",$R1086))/(ISNUMBER(SEARCH("Conocer",$R1086))+ISNUMBER(SEARCH("Aplicar",$R1086))+ISNUMBER(SEARCH("Razonar",$R1086))),0)</f>
        <v>0.5</v>
      </c>
      <c r="V1086" t="s" s="35">
        <v>1407</v>
      </c>
      <c r="W1086" t="s" s="35">
        <v>6188</v>
      </c>
      <c r="X1086" s="36" cm="1">
        <f t="array" ref="X1086">IF(OR(_xlfn.IFERROR(INDEX('Datos - Catálogo TIMSS'!$I$5:$I$107,MATCH(K1086,'Datos - Catálogo TIMSS'!$A$5:$A$107,0)),"No")="Sí",_xlfn.IFERROR(INDEX('Datos - Catálogo TIMSS'!$I$5:$I$107,MATCH(L1086,'Datos - Catálogo TIMSS'!$A$5:$A$107,0)),"No")="Sí"),1,0)</f>
        <v>0</v>
      </c>
      <c r="Y1086" s="36" cm="1">
        <f t="array" ref="Y1086">IF(_xlfn.IFERROR(INDEX('Datos - Catálogo TIMSS'!$J$5:$J$107,MATCH(K1086,'Datos - Catálogo TIMSS'!$A$5:$A$107,0)),"No")="Sí",1,0)</f>
        <v>0</v>
      </c>
      <c r="Z1086" s="36" cm="1">
        <f t="array" ref="Z1086">IF(_xlfn.IFERROR(INDEX('Datos - Catálogo TIMSS'!$J$5:$J$107,MATCH(L1086,'Datos - Catálogo TIMSS'!$A$5:$A$107,0)),"No")="Sí",1,0)</f>
        <v>0</v>
      </c>
      <c r="AA1086" t="s" s="35">
        <v>1058</v>
      </c>
      <c r="AB1086" s="39"/>
      <c r="AC1086" t="str" s="39">
        <v>Sin marco</v>
      </c>
      <c r="AD1086" t="s" s="35">
        <v>1900</v>
      </c>
      <c r="AE1086" t="str" s="39" cm="1">
        <f t="array" ref="AE1086">IF(AD1086="","",IF(LEFT(AD1086,1)="1","C1",IF(LEFT(AD1086,1)="2","C2",IF(LEFT(AD1086,1)="3","C3",""))))</f>
        <v>C3</v>
      </c>
      <c r="AF1086" t="s" s="35">
        <v>1615</v>
      </c>
      <c r="AG1086" t="s" s="35">
        <v>1617</v>
      </c>
      <c r="AH1086" t="s" s="35">
        <v>1602</v>
      </c>
      <c r="AI1086" t="s" s="35">
        <v>1625</v>
      </c>
      <c r="AJ1086" t="s" s="35">
        <v>1633</v>
      </c>
      <c r="AK1086" s="39"/>
      <c r="AL1086" s="39"/>
      <c r="AM1086" s="39"/>
      <c r="AN1086" s="39"/>
      <c r="AO1086" s="39"/>
      <c r="AP1086" s="39"/>
      <c r="AQ1086" s="39"/>
      <c r="AR1086" s="39"/>
      <c r="AS1086" s="39"/>
      <c r="AT1086" s="39"/>
      <c r="AU1086" s="39"/>
      <c r="AV1086" s="39"/>
      <c r="AW1086" t="str" s="39" cm="1">
        <f t="array" ref="AW1086">AF1086&amp;"; "&amp;AG1086&amp;"; "&amp;AH1086&amp;"; "&amp;AI1086&amp;"; "&amp;AJ1086</f>
        <v>E6; D1; E1; I1; I5</v>
      </c>
    </row>
    <row r="1087" ht="13.65" customHeight="1">
      <c r="A1087" t="s" s="35">
        <v>6938</v>
      </c>
      <c r="B1087" s="36">
        <v>11</v>
      </c>
      <c r="C1087" t="s" s="35">
        <v>220</v>
      </c>
      <c r="D1087" t="s" s="35">
        <v>6180</v>
      </c>
      <c r="E1087" t="s" s="35">
        <v>6631</v>
      </c>
      <c r="F1087" s="36">
        <v>84</v>
      </c>
      <c r="G1087" t="s" s="35">
        <v>6939</v>
      </c>
      <c r="H1087" t="s" s="35">
        <v>6940</v>
      </c>
      <c r="I1087" t="s" s="120">
        <v>6941</v>
      </c>
      <c r="J1087" t="s" s="35">
        <v>6185</v>
      </c>
      <c r="K1087" t="s" s="35">
        <v>1058</v>
      </c>
      <c r="L1087" s="39"/>
      <c r="M1087" t="str" s="39">
        <v>Sin marco</v>
      </c>
      <c r="N1087" t="str" s="39">
        <v>Sin marco</v>
      </c>
      <c r="O1087" t="str" s="39" cm="1">
        <f t="array" ref="O1087">IF(L1087="","",_xlfn.IFERROR(INDEX('Datos - Catálogo TIMSS'!$C$5:$C$107,MATCH(L1087,'Datos - Catálogo TIMSS'!$A$5:$A$107,0)),"?"))</f>
      </c>
      <c r="P1087" t="s" s="35">
        <v>1058</v>
      </c>
      <c r="Q1087" t="s" s="120">
        <v>6186</v>
      </c>
      <c r="R1087" t="s" s="120">
        <v>6942</v>
      </c>
      <c r="S1087" s="121" cm="1">
        <f t="array" ref="S1087">_xlfn.IFERROR(ISNUMBER(SEARCH("Conocer",$R1087))/(ISNUMBER(SEARCH("Conocer",$R1087))+ISNUMBER(SEARCH("Aplicar",$R1087))+ISNUMBER(SEARCH("Razonar",$R1087))),0)</f>
        <v>0</v>
      </c>
      <c r="T1087" s="121" cm="1">
        <f t="array" ref="T1087">_xlfn.IFERROR(ISNUMBER(SEARCH("Aplicar",$R1087))/(ISNUMBER(SEARCH("Conocer",$R1087))+ISNUMBER(SEARCH("Aplicar",$R1087))+ISNUMBER(SEARCH("Razonar",$R1087))),0)</f>
        <v>0.5</v>
      </c>
      <c r="U1087" s="121" cm="1">
        <f t="array" ref="U1087">_xlfn.IFERROR(ISNUMBER(SEARCH("Razonar",$R1087))/(ISNUMBER(SEARCH("Conocer",$R1087))+ISNUMBER(SEARCH("Aplicar",$R1087))+ISNUMBER(SEARCH("Razonar",$R1087))),0)</f>
        <v>0.5</v>
      </c>
      <c r="V1087" t="s" s="35">
        <v>1407</v>
      </c>
      <c r="W1087" t="s" s="35">
        <v>6188</v>
      </c>
      <c r="X1087" s="36" cm="1">
        <f t="array" ref="X1087">IF(OR(_xlfn.IFERROR(INDEX('Datos - Catálogo TIMSS'!$I$5:$I$107,MATCH(K1087,'Datos - Catálogo TIMSS'!$A$5:$A$107,0)),"No")="Sí",_xlfn.IFERROR(INDEX('Datos - Catálogo TIMSS'!$I$5:$I$107,MATCH(L1087,'Datos - Catálogo TIMSS'!$A$5:$A$107,0)),"No")="Sí"),1,0)</f>
        <v>0</v>
      </c>
      <c r="Y1087" s="36" cm="1">
        <f t="array" ref="Y1087">IF(_xlfn.IFERROR(INDEX('Datos - Catálogo TIMSS'!$J$5:$J$107,MATCH(K1087,'Datos - Catálogo TIMSS'!$A$5:$A$107,0)),"No")="Sí",1,0)</f>
        <v>0</v>
      </c>
      <c r="Z1087" s="36" cm="1">
        <f t="array" ref="Z1087">IF(_xlfn.IFERROR(INDEX('Datos - Catálogo TIMSS'!$J$5:$J$107,MATCH(L1087,'Datos - Catálogo TIMSS'!$A$5:$A$107,0)),"No")="Sí",1,0)</f>
        <v>0</v>
      </c>
      <c r="AA1087" t="s" s="35">
        <v>1058</v>
      </c>
      <c r="AB1087" s="39"/>
      <c r="AC1087" t="str" s="39">
        <v>Sin marco</v>
      </c>
      <c r="AD1087" t="s" s="35">
        <v>1859</v>
      </c>
      <c r="AE1087" t="str" s="39" cm="1">
        <f t="array" ref="AE1087">IF(AD1087="","",IF(LEFT(AD1087,1)="1","C1",IF(LEFT(AD1087,1)="2","C2",IF(LEFT(AD1087,1)="3","C3",""))))</f>
        <v>C1</v>
      </c>
      <c r="AF1087" t="s" s="35">
        <v>1602</v>
      </c>
      <c r="AG1087" t="s" s="35">
        <v>1612</v>
      </c>
      <c r="AH1087" t="s" s="35">
        <v>1609</v>
      </c>
      <c r="AI1087" t="s" s="35">
        <v>1623</v>
      </c>
      <c r="AJ1087" t="s" s="35">
        <v>1607</v>
      </c>
      <c r="AK1087" s="39"/>
      <c r="AL1087" s="39"/>
      <c r="AM1087" s="39"/>
      <c r="AN1087" s="39"/>
      <c r="AO1087" s="39"/>
      <c r="AP1087" s="39"/>
      <c r="AQ1087" s="39"/>
      <c r="AR1087" s="39"/>
      <c r="AS1087" s="39"/>
      <c r="AT1087" s="39"/>
      <c r="AU1087" s="39"/>
      <c r="AV1087" s="39"/>
      <c r="AW1087" t="str" s="39" cm="1">
        <f t="array" ref="AW1087">AF1087&amp;"; "&amp;AG1087&amp;"; "&amp;AH1087&amp;"; "&amp;AI1087&amp;"; "&amp;AJ1087</f>
        <v>E1; E5; E4; D4; E3</v>
      </c>
    </row>
    <row r="1088" ht="13.65" customHeight="1">
      <c r="A1088" t="s" s="35">
        <v>6943</v>
      </c>
      <c r="B1088" s="36">
        <v>11</v>
      </c>
      <c r="C1088" t="s" s="35">
        <v>220</v>
      </c>
      <c r="D1088" t="s" s="35">
        <v>6180</v>
      </c>
      <c r="E1088" t="s" s="35">
        <v>6631</v>
      </c>
      <c r="F1088" s="36">
        <v>85</v>
      </c>
      <c r="G1088" t="s" s="35">
        <v>6939</v>
      </c>
      <c r="H1088" t="s" s="35">
        <v>6940</v>
      </c>
      <c r="I1088" t="s" s="120">
        <v>6944</v>
      </c>
      <c r="J1088" t="s" s="35">
        <v>6185</v>
      </c>
      <c r="K1088" t="s" s="35">
        <v>1058</v>
      </c>
      <c r="L1088" s="39"/>
      <c r="M1088" t="str" s="39">
        <v>Sin marco</v>
      </c>
      <c r="N1088" t="str" s="39">
        <v>Sin marco</v>
      </c>
      <c r="O1088" t="str" s="39" cm="1">
        <f t="array" ref="O1088">IF(L1088="","",_xlfn.IFERROR(INDEX('Datos - Catálogo TIMSS'!$C$5:$C$107,MATCH(L1088,'Datos - Catálogo TIMSS'!$A$5:$A$107,0)),"?"))</f>
      </c>
      <c r="P1088" t="s" s="35">
        <v>1058</v>
      </c>
      <c r="Q1088" t="s" s="120">
        <v>6186</v>
      </c>
      <c r="R1088" t="s" s="120">
        <v>6945</v>
      </c>
      <c r="S1088" s="121" cm="1">
        <f t="array" ref="S1088">_xlfn.IFERROR(ISNUMBER(SEARCH("Conocer",$R1088))/(ISNUMBER(SEARCH("Conocer",$R1088))+ISNUMBER(SEARCH("Aplicar",$R1088))+ISNUMBER(SEARCH("Razonar",$R1088))),0)</f>
        <v>0</v>
      </c>
      <c r="T1088" s="121" cm="1">
        <f t="array" ref="T1088">_xlfn.IFERROR(ISNUMBER(SEARCH("Aplicar",$R1088))/(ISNUMBER(SEARCH("Conocer",$R1088))+ISNUMBER(SEARCH("Aplicar",$R1088))+ISNUMBER(SEARCH("Razonar",$R1088))),0)</f>
        <v>0.5</v>
      </c>
      <c r="U1088" s="121" cm="1">
        <f t="array" ref="U1088">_xlfn.IFERROR(ISNUMBER(SEARCH("Razonar",$R1088))/(ISNUMBER(SEARCH("Conocer",$R1088))+ISNUMBER(SEARCH("Aplicar",$R1088))+ISNUMBER(SEARCH("Razonar",$R1088))),0)</f>
        <v>0.5</v>
      </c>
      <c r="V1088" t="s" s="35">
        <v>1407</v>
      </c>
      <c r="W1088" t="s" s="35">
        <v>6188</v>
      </c>
      <c r="X1088" s="36" cm="1">
        <f t="array" ref="X1088">IF(OR(_xlfn.IFERROR(INDEX('Datos - Catálogo TIMSS'!$I$5:$I$107,MATCH(K1088,'Datos - Catálogo TIMSS'!$A$5:$A$107,0)),"No")="Sí",_xlfn.IFERROR(INDEX('Datos - Catálogo TIMSS'!$I$5:$I$107,MATCH(L1088,'Datos - Catálogo TIMSS'!$A$5:$A$107,0)),"No")="Sí"),1,0)</f>
        <v>0</v>
      </c>
      <c r="Y1088" s="36" cm="1">
        <f t="array" ref="Y1088">IF(_xlfn.IFERROR(INDEX('Datos - Catálogo TIMSS'!$J$5:$J$107,MATCH(K1088,'Datos - Catálogo TIMSS'!$A$5:$A$107,0)),"No")="Sí",1,0)</f>
        <v>0</v>
      </c>
      <c r="Z1088" s="36" cm="1">
        <f t="array" ref="Z1088">IF(_xlfn.IFERROR(INDEX('Datos - Catálogo TIMSS'!$J$5:$J$107,MATCH(L1088,'Datos - Catálogo TIMSS'!$A$5:$A$107,0)),"No")="Sí",1,0)</f>
        <v>0</v>
      </c>
      <c r="AA1088" t="s" s="35">
        <v>1058</v>
      </c>
      <c r="AB1088" s="39"/>
      <c r="AC1088" t="str" s="39">
        <v>Sin marco</v>
      </c>
      <c r="AD1088" t="s" s="35">
        <v>1859</v>
      </c>
      <c r="AE1088" t="str" s="39" cm="1">
        <f t="array" ref="AE1088">IF(AD1088="","",IF(LEFT(AD1088,1)="1","C1",IF(LEFT(AD1088,1)="2","C2",IF(LEFT(AD1088,1)="3","C3",""))))</f>
        <v>C1</v>
      </c>
      <c r="AF1088" t="s" s="35">
        <v>1602</v>
      </c>
      <c r="AG1088" t="s" s="35">
        <v>1617</v>
      </c>
      <c r="AH1088" t="s" s="35">
        <v>1605</v>
      </c>
      <c r="AI1088" t="s" s="35">
        <v>1623</v>
      </c>
      <c r="AJ1088" t="s" s="35">
        <v>1607</v>
      </c>
      <c r="AK1088" s="39"/>
      <c r="AL1088" s="39"/>
      <c r="AM1088" s="39"/>
      <c r="AN1088" s="39"/>
      <c r="AO1088" s="39"/>
      <c r="AP1088" s="39"/>
      <c r="AQ1088" s="39"/>
      <c r="AR1088" s="39"/>
      <c r="AS1088" s="39"/>
      <c r="AT1088" s="39"/>
      <c r="AU1088" s="39"/>
      <c r="AV1088" s="39"/>
      <c r="AW1088" t="str" s="39" cm="1">
        <f t="array" ref="AW1088">AF1088&amp;"; "&amp;AG1088&amp;"; "&amp;AH1088&amp;"; "&amp;AI1088&amp;"; "&amp;AJ1088</f>
        <v>E1; D1; E2; D4; E3</v>
      </c>
    </row>
    <row r="1089" ht="13.65" customHeight="1">
      <c r="A1089" t="s" s="35">
        <v>6946</v>
      </c>
      <c r="B1089" s="36">
        <v>11</v>
      </c>
      <c r="C1089" t="s" s="35">
        <v>220</v>
      </c>
      <c r="D1089" t="s" s="35">
        <v>6180</v>
      </c>
      <c r="E1089" t="s" s="35">
        <v>6631</v>
      </c>
      <c r="F1089" s="36">
        <v>86</v>
      </c>
      <c r="G1089" t="s" s="35">
        <v>6939</v>
      </c>
      <c r="H1089" t="s" s="35">
        <v>6947</v>
      </c>
      <c r="I1089" t="s" s="120">
        <v>6948</v>
      </c>
      <c r="J1089" t="s" s="35">
        <v>6185</v>
      </c>
      <c r="K1089" t="s" s="35">
        <v>1058</v>
      </c>
      <c r="L1089" s="39"/>
      <c r="M1089" t="str" s="39">
        <v>Sin marco</v>
      </c>
      <c r="N1089" t="str" s="39">
        <v>Sin marco</v>
      </c>
      <c r="O1089" t="str" s="39" cm="1">
        <f t="array" ref="O1089">IF(L1089="","",_xlfn.IFERROR(INDEX('Datos - Catálogo TIMSS'!$C$5:$C$107,MATCH(L1089,'Datos - Catálogo TIMSS'!$A$5:$A$107,0)),"?"))</f>
      </c>
      <c r="P1089" t="s" s="35">
        <v>1058</v>
      </c>
      <c r="Q1089" t="s" s="120">
        <v>6186</v>
      </c>
      <c r="R1089" t="s" s="120">
        <v>6949</v>
      </c>
      <c r="S1089" s="121" cm="1">
        <f t="array" ref="S1089">_xlfn.IFERROR(ISNUMBER(SEARCH("Conocer",$R1089))/(ISNUMBER(SEARCH("Conocer",$R1089))+ISNUMBER(SEARCH("Aplicar",$R1089))+ISNUMBER(SEARCH("Razonar",$R1089))),0)</f>
        <v>0</v>
      </c>
      <c r="T1089" s="121" cm="1">
        <f t="array" ref="T1089">_xlfn.IFERROR(ISNUMBER(SEARCH("Aplicar",$R1089))/(ISNUMBER(SEARCH("Conocer",$R1089))+ISNUMBER(SEARCH("Aplicar",$R1089))+ISNUMBER(SEARCH("Razonar",$R1089))),0)</f>
        <v>0.5</v>
      </c>
      <c r="U1089" s="121" cm="1">
        <f t="array" ref="U1089">_xlfn.IFERROR(ISNUMBER(SEARCH("Razonar",$R1089))/(ISNUMBER(SEARCH("Conocer",$R1089))+ISNUMBER(SEARCH("Aplicar",$R1089))+ISNUMBER(SEARCH("Razonar",$R1089))),0)</f>
        <v>0.5</v>
      </c>
      <c r="V1089" t="s" s="35">
        <v>1407</v>
      </c>
      <c r="W1089" t="s" s="35">
        <v>6188</v>
      </c>
      <c r="X1089" s="36" cm="1">
        <f t="array" ref="X1089">IF(OR(_xlfn.IFERROR(INDEX('Datos - Catálogo TIMSS'!$I$5:$I$107,MATCH(K1089,'Datos - Catálogo TIMSS'!$A$5:$A$107,0)),"No")="Sí",_xlfn.IFERROR(INDEX('Datos - Catálogo TIMSS'!$I$5:$I$107,MATCH(L1089,'Datos - Catálogo TIMSS'!$A$5:$A$107,0)),"No")="Sí"),1,0)</f>
        <v>0</v>
      </c>
      <c r="Y1089" s="36" cm="1">
        <f t="array" ref="Y1089">IF(_xlfn.IFERROR(INDEX('Datos - Catálogo TIMSS'!$J$5:$J$107,MATCH(K1089,'Datos - Catálogo TIMSS'!$A$5:$A$107,0)),"No")="Sí",1,0)</f>
        <v>0</v>
      </c>
      <c r="Z1089" s="36" cm="1">
        <f t="array" ref="Z1089">IF(_xlfn.IFERROR(INDEX('Datos - Catálogo TIMSS'!$J$5:$J$107,MATCH(L1089,'Datos - Catálogo TIMSS'!$A$5:$A$107,0)),"No")="Sí",1,0)</f>
        <v>0</v>
      </c>
      <c r="AA1089" t="s" s="35">
        <v>1058</v>
      </c>
      <c r="AB1089" s="39"/>
      <c r="AC1089" t="str" s="39">
        <v>Sin marco</v>
      </c>
      <c r="AD1089" t="s" s="35">
        <v>1859</v>
      </c>
      <c r="AE1089" t="str" s="39" cm="1">
        <f t="array" ref="AE1089">IF(AD1089="","",IF(LEFT(AD1089,1)="1","C1",IF(LEFT(AD1089,1)="2","C2",IF(LEFT(AD1089,1)="3","C3",""))))</f>
        <v>C1</v>
      </c>
      <c r="AF1089" t="s" s="35">
        <v>1602</v>
      </c>
      <c r="AG1089" t="s" s="35">
        <v>1607</v>
      </c>
      <c r="AH1089" t="s" s="35">
        <v>1609</v>
      </c>
      <c r="AI1089" t="s" s="35">
        <v>1623</v>
      </c>
      <c r="AJ1089" t="s" s="35">
        <v>1607</v>
      </c>
      <c r="AK1089" s="39"/>
      <c r="AL1089" s="39"/>
      <c r="AM1089" s="39"/>
      <c r="AN1089" s="39"/>
      <c r="AO1089" s="39"/>
      <c r="AP1089" s="39"/>
      <c r="AQ1089" s="39"/>
      <c r="AR1089" s="39"/>
      <c r="AS1089" s="39"/>
      <c r="AT1089" s="39"/>
      <c r="AU1089" s="39"/>
      <c r="AV1089" s="39"/>
      <c r="AW1089" t="str" s="39" cm="1">
        <f t="array" ref="AW1089">AF1089&amp;"; "&amp;AG1089&amp;"; "&amp;AH1089&amp;"; "&amp;AI1089&amp;"; "&amp;AJ1089</f>
        <v>E1; E3; E4; D4; E3</v>
      </c>
    </row>
    <row r="1090" ht="13.65" customHeight="1">
      <c r="A1090" t="s" s="35">
        <v>6950</v>
      </c>
      <c r="B1090" s="36">
        <v>11</v>
      </c>
      <c r="C1090" t="s" s="35">
        <v>220</v>
      </c>
      <c r="D1090" t="s" s="35">
        <v>6180</v>
      </c>
      <c r="E1090" t="s" s="35">
        <v>6631</v>
      </c>
      <c r="F1090" s="36">
        <v>87</v>
      </c>
      <c r="G1090" t="s" s="35">
        <v>6939</v>
      </c>
      <c r="H1090" t="s" s="35">
        <v>6951</v>
      </c>
      <c r="I1090" t="s" s="120">
        <v>6952</v>
      </c>
      <c r="J1090" t="s" s="35">
        <v>6185</v>
      </c>
      <c r="K1090" t="s" s="35">
        <v>1058</v>
      </c>
      <c r="L1090" s="39"/>
      <c r="M1090" t="str" s="39">
        <v>Sin marco</v>
      </c>
      <c r="N1090" t="str" s="39">
        <v>Sin marco</v>
      </c>
      <c r="O1090" t="str" s="39" cm="1">
        <f t="array" ref="O1090">IF(L1090="","",_xlfn.IFERROR(INDEX('Datos - Catálogo TIMSS'!$C$5:$C$107,MATCH(L1090,'Datos - Catálogo TIMSS'!$A$5:$A$107,0)),"?"))</f>
      </c>
      <c r="P1090" t="s" s="35">
        <v>1058</v>
      </c>
      <c r="Q1090" t="s" s="120">
        <v>6186</v>
      </c>
      <c r="R1090" t="s" s="120">
        <v>6953</v>
      </c>
      <c r="S1090" s="121" cm="1">
        <f t="array" ref="S1090">_xlfn.IFERROR(ISNUMBER(SEARCH("Conocer",$R1090))/(ISNUMBER(SEARCH("Conocer",$R1090))+ISNUMBER(SEARCH("Aplicar",$R1090))+ISNUMBER(SEARCH("Razonar",$R1090))),0)</f>
        <v>0.5</v>
      </c>
      <c r="T1090" s="121" cm="1">
        <f t="array" ref="T1090">_xlfn.IFERROR(ISNUMBER(SEARCH("Aplicar",$R1090))/(ISNUMBER(SEARCH("Conocer",$R1090))+ISNUMBER(SEARCH("Aplicar",$R1090))+ISNUMBER(SEARCH("Razonar",$R1090))),0)</f>
        <v>0</v>
      </c>
      <c r="U1090" s="121" cm="1">
        <f t="array" ref="U1090">_xlfn.IFERROR(ISNUMBER(SEARCH("Razonar",$R1090))/(ISNUMBER(SEARCH("Conocer",$R1090))+ISNUMBER(SEARCH("Aplicar",$R1090))+ISNUMBER(SEARCH("Razonar",$R1090))),0)</f>
        <v>0.5</v>
      </c>
      <c r="V1090" t="s" s="35">
        <v>1407</v>
      </c>
      <c r="W1090" t="s" s="35">
        <v>6188</v>
      </c>
      <c r="X1090" s="36" cm="1">
        <f t="array" ref="X1090">IF(OR(_xlfn.IFERROR(INDEX('Datos - Catálogo TIMSS'!$I$5:$I$107,MATCH(K1090,'Datos - Catálogo TIMSS'!$A$5:$A$107,0)),"No")="Sí",_xlfn.IFERROR(INDEX('Datos - Catálogo TIMSS'!$I$5:$I$107,MATCH(L1090,'Datos - Catálogo TIMSS'!$A$5:$A$107,0)),"No")="Sí"),1,0)</f>
        <v>0</v>
      </c>
      <c r="Y1090" s="36" cm="1">
        <f t="array" ref="Y1090">IF(_xlfn.IFERROR(INDEX('Datos - Catálogo TIMSS'!$J$5:$J$107,MATCH(K1090,'Datos - Catálogo TIMSS'!$A$5:$A$107,0)),"No")="Sí",1,0)</f>
        <v>0</v>
      </c>
      <c r="Z1090" s="36" cm="1">
        <f t="array" ref="Z1090">IF(_xlfn.IFERROR(INDEX('Datos - Catálogo TIMSS'!$J$5:$J$107,MATCH(L1090,'Datos - Catálogo TIMSS'!$A$5:$A$107,0)),"No")="Sí",1,0)</f>
        <v>0</v>
      </c>
      <c r="AA1090" t="s" s="35">
        <v>1058</v>
      </c>
      <c r="AB1090" s="39"/>
      <c r="AC1090" t="str" s="39">
        <v>Sin marco</v>
      </c>
      <c r="AD1090" t="s" s="35">
        <v>1900</v>
      </c>
      <c r="AE1090" t="str" s="39" cm="1">
        <f t="array" ref="AE1090">IF(AD1090="","",IF(LEFT(AD1090,1)="1","C1",IF(LEFT(AD1090,1)="2","C2",IF(LEFT(AD1090,1)="3","C3",""))))</f>
        <v>C3</v>
      </c>
      <c r="AF1090" t="s" s="35">
        <v>1615</v>
      </c>
      <c r="AG1090" t="s" s="35">
        <v>1612</v>
      </c>
      <c r="AH1090" t="s" s="35">
        <v>1602</v>
      </c>
      <c r="AI1090" t="s" s="35">
        <v>1627</v>
      </c>
      <c r="AJ1090" t="s" s="35">
        <v>1633</v>
      </c>
      <c r="AK1090" s="39"/>
      <c r="AL1090" s="39"/>
      <c r="AM1090" s="39"/>
      <c r="AN1090" s="39"/>
      <c r="AO1090" s="39"/>
      <c r="AP1090" s="39"/>
      <c r="AQ1090" s="39"/>
      <c r="AR1090" s="39"/>
      <c r="AS1090" s="39"/>
      <c r="AT1090" s="39"/>
      <c r="AU1090" s="39"/>
      <c r="AV1090" s="39"/>
      <c r="AW1090" t="str" s="39" cm="1">
        <f t="array" ref="AW1090">AF1090&amp;"; "&amp;AG1090&amp;"; "&amp;AH1090&amp;"; "&amp;AI1090&amp;"; "&amp;AJ1090</f>
        <v>E6; E5; E1; I2; I5</v>
      </c>
    </row>
    <row r="1091" ht="13.65" customHeight="1">
      <c r="A1091" t="s" s="35">
        <v>6955</v>
      </c>
      <c r="B1091" s="36">
        <v>11</v>
      </c>
      <c r="C1091" t="s" s="35">
        <v>220</v>
      </c>
      <c r="D1091" t="s" s="35">
        <v>6180</v>
      </c>
      <c r="E1091" t="s" s="35">
        <v>6631</v>
      </c>
      <c r="F1091" s="36">
        <v>88</v>
      </c>
      <c r="G1091" t="s" s="35">
        <v>6939</v>
      </c>
      <c r="H1091" t="s" s="35">
        <v>6951</v>
      </c>
      <c r="I1091" t="s" s="120">
        <v>6956</v>
      </c>
      <c r="J1091" t="s" s="35">
        <v>6185</v>
      </c>
      <c r="K1091" t="s" s="35">
        <v>1058</v>
      </c>
      <c r="L1091" s="39"/>
      <c r="M1091" t="str" s="39">
        <v>Sin marco</v>
      </c>
      <c r="N1091" t="str" s="39">
        <v>Sin marco</v>
      </c>
      <c r="O1091" t="str" s="39" cm="1">
        <f t="array" ref="O1091">IF(L1091="","",_xlfn.IFERROR(INDEX('Datos - Catálogo TIMSS'!$C$5:$C$107,MATCH(L1091,'Datos - Catálogo TIMSS'!$A$5:$A$107,0)),"?"))</f>
      </c>
      <c r="P1091" t="s" s="35">
        <v>1058</v>
      </c>
      <c r="Q1091" t="s" s="120">
        <v>6186</v>
      </c>
      <c r="R1091" t="s" s="120">
        <v>6957</v>
      </c>
      <c r="S1091" s="121" cm="1">
        <f t="array" ref="S1091">_xlfn.IFERROR(ISNUMBER(SEARCH("Conocer",$R1091))/(ISNUMBER(SEARCH("Conocer",$R1091))+ISNUMBER(SEARCH("Aplicar",$R1091))+ISNUMBER(SEARCH("Razonar",$R1091))),0)</f>
        <v>0</v>
      </c>
      <c r="T1091" s="121" cm="1">
        <f t="array" ref="T1091">_xlfn.IFERROR(ISNUMBER(SEARCH("Aplicar",$R1091))/(ISNUMBER(SEARCH("Conocer",$R1091))+ISNUMBER(SEARCH("Aplicar",$R1091))+ISNUMBER(SEARCH("Razonar",$R1091))),0)</f>
        <v>0.5</v>
      </c>
      <c r="U1091" s="121" cm="1">
        <f t="array" ref="U1091">_xlfn.IFERROR(ISNUMBER(SEARCH("Razonar",$R1091))/(ISNUMBER(SEARCH("Conocer",$R1091))+ISNUMBER(SEARCH("Aplicar",$R1091))+ISNUMBER(SEARCH("Razonar",$R1091))),0)</f>
        <v>0.5</v>
      </c>
      <c r="V1091" t="s" s="35">
        <v>1407</v>
      </c>
      <c r="W1091" t="s" s="35">
        <v>6188</v>
      </c>
      <c r="X1091" s="36" cm="1">
        <f t="array" ref="X1091">IF(OR(_xlfn.IFERROR(INDEX('Datos - Catálogo TIMSS'!$I$5:$I$107,MATCH(K1091,'Datos - Catálogo TIMSS'!$A$5:$A$107,0)),"No")="Sí",_xlfn.IFERROR(INDEX('Datos - Catálogo TIMSS'!$I$5:$I$107,MATCH(L1091,'Datos - Catálogo TIMSS'!$A$5:$A$107,0)),"No")="Sí"),1,0)</f>
        <v>0</v>
      </c>
      <c r="Y1091" s="36" cm="1">
        <f t="array" ref="Y1091">IF(_xlfn.IFERROR(INDEX('Datos - Catálogo TIMSS'!$J$5:$J$107,MATCH(K1091,'Datos - Catálogo TIMSS'!$A$5:$A$107,0)),"No")="Sí",1,0)</f>
        <v>0</v>
      </c>
      <c r="Z1091" s="36" cm="1">
        <f t="array" ref="Z1091">IF(_xlfn.IFERROR(INDEX('Datos - Catálogo TIMSS'!$J$5:$J$107,MATCH(L1091,'Datos - Catálogo TIMSS'!$A$5:$A$107,0)),"No")="Sí",1,0)</f>
        <v>0</v>
      </c>
      <c r="AA1091" t="s" s="35">
        <v>1058</v>
      </c>
      <c r="AB1091" s="39"/>
      <c r="AC1091" t="str" s="39">
        <v>Sin marco</v>
      </c>
      <c r="AD1091" t="s" s="35">
        <v>1834</v>
      </c>
      <c r="AE1091" t="str" s="39" cm="1">
        <f t="array" ref="AE1091">IF(AD1091="","",IF(LEFT(AD1091,1)="1","C1",IF(LEFT(AD1091,1)="2","C2",IF(LEFT(AD1091,1)="3","C3",""))))</f>
        <v>C2</v>
      </c>
      <c r="AF1091" t="s" s="35">
        <v>1615</v>
      </c>
      <c r="AG1091" t="s" s="35">
        <v>1617</v>
      </c>
      <c r="AH1091" t="s" s="35">
        <v>1602</v>
      </c>
      <c r="AI1091" t="s" s="35">
        <v>1623</v>
      </c>
      <c r="AJ1091" t="s" s="35">
        <v>1633</v>
      </c>
      <c r="AK1091" s="39"/>
      <c r="AL1091" s="39"/>
      <c r="AM1091" s="39"/>
      <c r="AN1091" s="39"/>
      <c r="AO1091" s="39"/>
      <c r="AP1091" s="39"/>
      <c r="AQ1091" s="39"/>
      <c r="AR1091" s="39"/>
      <c r="AS1091" s="39"/>
      <c r="AT1091" s="39"/>
      <c r="AU1091" s="39"/>
      <c r="AV1091" s="39"/>
      <c r="AW1091" t="str" s="39" cm="1">
        <f t="array" ref="AW1091">AF1091&amp;"; "&amp;AG1091&amp;"; "&amp;AH1091&amp;"; "&amp;AI1091&amp;"; "&amp;AJ1091</f>
        <v>E6; D1; E1; D4; I5</v>
      </c>
    </row>
    <row r="1092" ht="13.65" customHeight="1">
      <c r="A1092" t="s" s="35">
        <v>6959</v>
      </c>
      <c r="B1092" s="36">
        <v>11</v>
      </c>
      <c r="C1092" t="s" s="35">
        <v>220</v>
      </c>
      <c r="D1092" t="s" s="35">
        <v>6180</v>
      </c>
      <c r="E1092" t="s" s="35">
        <v>6631</v>
      </c>
      <c r="F1092" s="36">
        <v>89</v>
      </c>
      <c r="G1092" t="s" s="35">
        <v>6960</v>
      </c>
      <c r="H1092" t="s" s="35">
        <v>6961</v>
      </c>
      <c r="I1092" t="s" s="120">
        <v>6962</v>
      </c>
      <c r="J1092" t="s" s="35">
        <v>6185</v>
      </c>
      <c r="K1092" t="s" s="35">
        <v>1058</v>
      </c>
      <c r="L1092" s="39"/>
      <c r="M1092" t="str" s="39">
        <v>Sin marco</v>
      </c>
      <c r="N1092" t="str" s="39">
        <v>Sin marco</v>
      </c>
      <c r="O1092" t="str" s="39" cm="1">
        <f t="array" ref="O1092">IF(L1092="","",_xlfn.IFERROR(INDEX('Datos - Catálogo TIMSS'!$C$5:$C$107,MATCH(L1092,'Datos - Catálogo TIMSS'!$A$5:$A$107,0)),"?"))</f>
      </c>
      <c r="P1092" t="s" s="35">
        <v>1058</v>
      </c>
      <c r="Q1092" t="s" s="120">
        <v>6186</v>
      </c>
      <c r="R1092" t="s" s="120">
        <v>6963</v>
      </c>
      <c r="S1092" s="121" cm="1">
        <f t="array" ref="S1092">_xlfn.IFERROR(ISNUMBER(SEARCH("Conocer",$R1092))/(ISNUMBER(SEARCH("Conocer",$R1092))+ISNUMBER(SEARCH("Aplicar",$R1092))+ISNUMBER(SEARCH("Razonar",$R1092))),0)</f>
        <v>0</v>
      </c>
      <c r="T1092" s="121" cm="1">
        <f t="array" ref="T1092">_xlfn.IFERROR(ISNUMBER(SEARCH("Aplicar",$R1092))/(ISNUMBER(SEARCH("Conocer",$R1092))+ISNUMBER(SEARCH("Aplicar",$R1092))+ISNUMBER(SEARCH("Razonar",$R1092))),0)</f>
        <v>0.5</v>
      </c>
      <c r="U1092" s="121" cm="1">
        <f t="array" ref="U1092">_xlfn.IFERROR(ISNUMBER(SEARCH("Razonar",$R1092))/(ISNUMBER(SEARCH("Conocer",$R1092))+ISNUMBER(SEARCH("Aplicar",$R1092))+ISNUMBER(SEARCH("Razonar",$R1092))),0)</f>
        <v>0.5</v>
      </c>
      <c r="V1092" t="s" s="35">
        <v>1407</v>
      </c>
      <c r="W1092" t="s" s="35">
        <v>6188</v>
      </c>
      <c r="X1092" s="36" cm="1">
        <f t="array" ref="X1092">IF(OR(_xlfn.IFERROR(INDEX('Datos - Catálogo TIMSS'!$I$5:$I$107,MATCH(K1092,'Datos - Catálogo TIMSS'!$A$5:$A$107,0)),"No")="Sí",_xlfn.IFERROR(INDEX('Datos - Catálogo TIMSS'!$I$5:$I$107,MATCH(L1092,'Datos - Catálogo TIMSS'!$A$5:$A$107,0)),"No")="Sí"),1,0)</f>
        <v>0</v>
      </c>
      <c r="Y1092" s="36" cm="1">
        <f t="array" ref="Y1092">IF(_xlfn.IFERROR(INDEX('Datos - Catálogo TIMSS'!$J$5:$J$107,MATCH(K1092,'Datos - Catálogo TIMSS'!$A$5:$A$107,0)),"No")="Sí",1,0)</f>
        <v>0</v>
      </c>
      <c r="Z1092" s="36" cm="1">
        <f t="array" ref="Z1092">IF(_xlfn.IFERROR(INDEX('Datos - Catálogo TIMSS'!$J$5:$J$107,MATCH(L1092,'Datos - Catálogo TIMSS'!$A$5:$A$107,0)),"No")="Sí",1,0)</f>
        <v>0</v>
      </c>
      <c r="AA1092" t="s" s="35">
        <v>1058</v>
      </c>
      <c r="AB1092" s="39"/>
      <c r="AC1092" t="str" s="39">
        <v>Sin marco</v>
      </c>
      <c r="AD1092" t="s" s="35">
        <v>1859</v>
      </c>
      <c r="AE1092" t="str" s="39" cm="1">
        <f t="array" ref="AE1092">IF(AD1092="","",IF(LEFT(AD1092,1)="1","C1",IF(LEFT(AD1092,1)="2","C2",IF(LEFT(AD1092,1)="3","C3",""))))</f>
        <v>C1</v>
      </c>
      <c r="AF1092" t="s" s="35">
        <v>1602</v>
      </c>
      <c r="AG1092" t="s" s="35">
        <v>1607</v>
      </c>
      <c r="AH1092" t="s" s="35">
        <v>1605</v>
      </c>
      <c r="AI1092" t="s" s="35">
        <v>1609</v>
      </c>
      <c r="AJ1092" t="s" s="35">
        <v>1607</v>
      </c>
      <c r="AK1092" s="39"/>
      <c r="AL1092" s="39"/>
      <c r="AM1092" s="39"/>
      <c r="AN1092" s="39"/>
      <c r="AO1092" s="39"/>
      <c r="AP1092" s="39"/>
      <c r="AQ1092" s="39"/>
      <c r="AR1092" s="39"/>
      <c r="AS1092" s="39"/>
      <c r="AT1092" s="39"/>
      <c r="AU1092" s="39"/>
      <c r="AV1092" s="39"/>
      <c r="AW1092" t="str" s="39" cm="1">
        <f t="array" ref="AW1092">AF1092&amp;"; "&amp;AG1092&amp;"; "&amp;AH1092&amp;"; "&amp;AI1092&amp;"; "&amp;AJ1092</f>
        <v>E1; E3; E2; E4; E3</v>
      </c>
    </row>
    <row r="1093" ht="13.65" customHeight="1">
      <c r="A1093" t="s" s="35">
        <v>6964</v>
      </c>
      <c r="B1093" s="36">
        <v>11</v>
      </c>
      <c r="C1093" t="s" s="35">
        <v>220</v>
      </c>
      <c r="D1093" t="s" s="35">
        <v>6180</v>
      </c>
      <c r="E1093" t="s" s="35">
        <v>6631</v>
      </c>
      <c r="F1093" s="36">
        <v>90</v>
      </c>
      <c r="G1093" t="s" s="35">
        <v>6960</v>
      </c>
      <c r="H1093" t="s" s="35">
        <v>6961</v>
      </c>
      <c r="I1093" t="s" s="120">
        <v>6965</v>
      </c>
      <c r="J1093" t="s" s="35">
        <v>6185</v>
      </c>
      <c r="K1093" t="s" s="35">
        <v>1058</v>
      </c>
      <c r="L1093" s="39"/>
      <c r="M1093" t="str" s="39">
        <v>Sin marco</v>
      </c>
      <c r="N1093" t="str" s="39">
        <v>Sin marco</v>
      </c>
      <c r="O1093" t="str" s="39" cm="1">
        <f t="array" ref="O1093">IF(L1093="","",_xlfn.IFERROR(INDEX('Datos - Catálogo TIMSS'!$C$5:$C$107,MATCH(L1093,'Datos - Catálogo TIMSS'!$A$5:$A$107,0)),"?"))</f>
      </c>
      <c r="P1093" t="s" s="35">
        <v>1058</v>
      </c>
      <c r="Q1093" t="s" s="120">
        <v>6186</v>
      </c>
      <c r="R1093" t="s" s="120">
        <v>6966</v>
      </c>
      <c r="S1093" s="121" cm="1">
        <f t="array" ref="S1093">_xlfn.IFERROR(ISNUMBER(SEARCH("Conocer",$R1093))/(ISNUMBER(SEARCH("Conocer",$R1093))+ISNUMBER(SEARCH("Aplicar",$R1093))+ISNUMBER(SEARCH("Razonar",$R1093))),0)</f>
        <v>0</v>
      </c>
      <c r="T1093" s="121" cm="1">
        <f t="array" ref="T1093">_xlfn.IFERROR(ISNUMBER(SEARCH("Aplicar",$R1093))/(ISNUMBER(SEARCH("Conocer",$R1093))+ISNUMBER(SEARCH("Aplicar",$R1093))+ISNUMBER(SEARCH("Razonar",$R1093))),0)</f>
        <v>0.5</v>
      </c>
      <c r="U1093" s="121" cm="1">
        <f t="array" ref="U1093">_xlfn.IFERROR(ISNUMBER(SEARCH("Razonar",$R1093))/(ISNUMBER(SEARCH("Conocer",$R1093))+ISNUMBER(SEARCH("Aplicar",$R1093))+ISNUMBER(SEARCH("Razonar",$R1093))),0)</f>
        <v>0.5</v>
      </c>
      <c r="V1093" t="s" s="35">
        <v>1407</v>
      </c>
      <c r="W1093" t="s" s="35">
        <v>6188</v>
      </c>
      <c r="X1093" s="36" cm="1">
        <f t="array" ref="X1093">IF(OR(_xlfn.IFERROR(INDEX('Datos - Catálogo TIMSS'!$I$5:$I$107,MATCH(K1093,'Datos - Catálogo TIMSS'!$A$5:$A$107,0)),"No")="Sí",_xlfn.IFERROR(INDEX('Datos - Catálogo TIMSS'!$I$5:$I$107,MATCH(L1093,'Datos - Catálogo TIMSS'!$A$5:$A$107,0)),"No")="Sí"),1,0)</f>
        <v>0</v>
      </c>
      <c r="Y1093" s="36" cm="1">
        <f t="array" ref="Y1093">IF(_xlfn.IFERROR(INDEX('Datos - Catálogo TIMSS'!$J$5:$J$107,MATCH(K1093,'Datos - Catálogo TIMSS'!$A$5:$A$107,0)),"No")="Sí",1,0)</f>
        <v>0</v>
      </c>
      <c r="Z1093" s="36" cm="1">
        <f t="array" ref="Z1093">IF(_xlfn.IFERROR(INDEX('Datos - Catálogo TIMSS'!$J$5:$J$107,MATCH(L1093,'Datos - Catálogo TIMSS'!$A$5:$A$107,0)),"No")="Sí",1,0)</f>
        <v>0</v>
      </c>
      <c r="AA1093" t="s" s="35">
        <v>1058</v>
      </c>
      <c r="AB1093" s="39"/>
      <c r="AC1093" t="str" s="39">
        <v>Sin marco</v>
      </c>
      <c r="AD1093" t="s" s="35">
        <v>1834</v>
      </c>
      <c r="AE1093" t="str" s="39" cm="1">
        <f t="array" ref="AE1093">IF(AD1093="","",IF(LEFT(AD1093,1)="1","C1",IF(LEFT(AD1093,1)="2","C2",IF(LEFT(AD1093,1)="3","C3",""))))</f>
        <v>C2</v>
      </c>
      <c r="AF1093" t="s" s="35">
        <v>1615</v>
      </c>
      <c r="AG1093" t="s" s="35">
        <v>1617</v>
      </c>
      <c r="AH1093" t="s" s="35">
        <v>1605</v>
      </c>
      <c r="AI1093" t="s" s="35">
        <v>1623</v>
      </c>
      <c r="AJ1093" t="s" s="35">
        <v>1607</v>
      </c>
      <c r="AK1093" s="39"/>
      <c r="AL1093" s="39"/>
      <c r="AM1093" s="39"/>
      <c r="AN1093" s="39"/>
      <c r="AO1093" s="39"/>
      <c r="AP1093" s="39"/>
      <c r="AQ1093" s="39"/>
      <c r="AR1093" s="39"/>
      <c r="AS1093" s="39"/>
      <c r="AT1093" s="39"/>
      <c r="AU1093" s="39"/>
      <c r="AV1093" s="39"/>
      <c r="AW1093" t="str" s="39" cm="1">
        <f t="array" ref="AW1093">AF1093&amp;"; "&amp;AG1093&amp;"; "&amp;AH1093&amp;"; "&amp;AI1093&amp;"; "&amp;AJ1093</f>
        <v>E6; D1; E2; D4; E3</v>
      </c>
    </row>
    <row r="1094" ht="13.65" customHeight="1">
      <c r="A1094" t="s" s="35">
        <v>6967</v>
      </c>
      <c r="B1094" s="36">
        <v>11</v>
      </c>
      <c r="C1094" t="s" s="35">
        <v>220</v>
      </c>
      <c r="D1094" t="s" s="35">
        <v>6180</v>
      </c>
      <c r="E1094" t="s" s="35">
        <v>6631</v>
      </c>
      <c r="F1094" s="36">
        <v>91</v>
      </c>
      <c r="G1094" t="s" s="35">
        <v>6960</v>
      </c>
      <c r="H1094" t="s" s="35">
        <v>6961</v>
      </c>
      <c r="I1094" t="s" s="120">
        <v>6968</v>
      </c>
      <c r="J1094" t="s" s="35">
        <v>6185</v>
      </c>
      <c r="K1094" t="s" s="35">
        <v>1058</v>
      </c>
      <c r="L1094" s="39"/>
      <c r="M1094" t="str" s="39">
        <v>Sin marco</v>
      </c>
      <c r="N1094" t="str" s="39">
        <v>Sin marco</v>
      </c>
      <c r="O1094" t="str" s="39" cm="1">
        <f t="array" ref="O1094">IF(L1094="","",_xlfn.IFERROR(INDEX('Datos - Catálogo TIMSS'!$C$5:$C$107,MATCH(L1094,'Datos - Catálogo TIMSS'!$A$5:$A$107,0)),"?"))</f>
      </c>
      <c r="P1094" t="s" s="35">
        <v>1058</v>
      </c>
      <c r="Q1094" t="s" s="120">
        <v>6186</v>
      </c>
      <c r="R1094" t="s" s="120">
        <v>6969</v>
      </c>
      <c r="S1094" s="121" cm="1">
        <f t="array" ref="S1094">_xlfn.IFERROR(ISNUMBER(SEARCH("Conocer",$R1094))/(ISNUMBER(SEARCH("Conocer",$R1094))+ISNUMBER(SEARCH("Aplicar",$R1094))+ISNUMBER(SEARCH("Razonar",$R1094))),0)</f>
        <v>0</v>
      </c>
      <c r="T1094" s="121" cm="1">
        <f t="array" ref="T1094">_xlfn.IFERROR(ISNUMBER(SEARCH("Aplicar",$R1094))/(ISNUMBER(SEARCH("Conocer",$R1094))+ISNUMBER(SEARCH("Aplicar",$R1094))+ISNUMBER(SEARCH("Razonar",$R1094))),0)</f>
        <v>0.5</v>
      </c>
      <c r="U1094" s="121" cm="1">
        <f t="array" ref="U1094">_xlfn.IFERROR(ISNUMBER(SEARCH("Razonar",$R1094))/(ISNUMBER(SEARCH("Conocer",$R1094))+ISNUMBER(SEARCH("Aplicar",$R1094))+ISNUMBER(SEARCH("Razonar",$R1094))),0)</f>
        <v>0.5</v>
      </c>
      <c r="V1094" t="s" s="35">
        <v>1407</v>
      </c>
      <c r="W1094" t="s" s="35">
        <v>6188</v>
      </c>
      <c r="X1094" s="36" cm="1">
        <f t="array" ref="X1094">IF(OR(_xlfn.IFERROR(INDEX('Datos - Catálogo TIMSS'!$I$5:$I$107,MATCH(K1094,'Datos - Catálogo TIMSS'!$A$5:$A$107,0)),"No")="Sí",_xlfn.IFERROR(INDEX('Datos - Catálogo TIMSS'!$I$5:$I$107,MATCH(L1094,'Datos - Catálogo TIMSS'!$A$5:$A$107,0)),"No")="Sí"),1,0)</f>
        <v>0</v>
      </c>
      <c r="Y1094" s="36" cm="1">
        <f t="array" ref="Y1094">IF(_xlfn.IFERROR(INDEX('Datos - Catálogo TIMSS'!$J$5:$J$107,MATCH(K1094,'Datos - Catálogo TIMSS'!$A$5:$A$107,0)),"No")="Sí",1,0)</f>
        <v>0</v>
      </c>
      <c r="Z1094" s="36" cm="1">
        <f t="array" ref="Z1094">IF(_xlfn.IFERROR(INDEX('Datos - Catálogo TIMSS'!$J$5:$J$107,MATCH(L1094,'Datos - Catálogo TIMSS'!$A$5:$A$107,0)),"No")="Sí",1,0)</f>
        <v>0</v>
      </c>
      <c r="AA1094" t="s" s="35">
        <v>1058</v>
      </c>
      <c r="AB1094" s="39"/>
      <c r="AC1094" t="str" s="39">
        <v>Sin marco</v>
      </c>
      <c r="AD1094" t="s" s="35">
        <v>1859</v>
      </c>
      <c r="AE1094" t="str" s="39" cm="1">
        <f t="array" ref="AE1094">IF(AD1094="","",IF(LEFT(AD1094,1)="1","C1",IF(LEFT(AD1094,1)="2","C2",IF(LEFT(AD1094,1)="3","C3",""))))</f>
        <v>C1</v>
      </c>
      <c r="AF1094" t="s" s="35">
        <v>1615</v>
      </c>
      <c r="AG1094" t="s" s="35">
        <v>1612</v>
      </c>
      <c r="AH1094" t="s" s="35">
        <v>1609</v>
      </c>
      <c r="AI1094" t="s" s="35">
        <v>1623</v>
      </c>
      <c r="AJ1094" t="s" s="35">
        <v>1607</v>
      </c>
      <c r="AK1094" s="39"/>
      <c r="AL1094" s="39"/>
      <c r="AM1094" s="39"/>
      <c r="AN1094" s="39"/>
      <c r="AO1094" s="39"/>
      <c r="AP1094" s="39"/>
      <c r="AQ1094" s="39"/>
      <c r="AR1094" s="39"/>
      <c r="AS1094" s="39"/>
      <c r="AT1094" s="39"/>
      <c r="AU1094" s="39"/>
      <c r="AV1094" s="39"/>
      <c r="AW1094" t="str" s="39" cm="1">
        <f t="array" ref="AW1094">AF1094&amp;"; "&amp;AG1094&amp;"; "&amp;AH1094&amp;"; "&amp;AI1094&amp;"; "&amp;AJ1094</f>
        <v>E6; E5; E4; D4; E3</v>
      </c>
    </row>
    <row r="1095" ht="13.65" customHeight="1">
      <c r="A1095" t="s" s="35">
        <v>6970</v>
      </c>
      <c r="B1095" s="36">
        <v>11</v>
      </c>
      <c r="C1095" t="s" s="35">
        <v>220</v>
      </c>
      <c r="D1095" t="s" s="35">
        <v>6180</v>
      </c>
      <c r="E1095" t="s" s="35">
        <v>6631</v>
      </c>
      <c r="F1095" s="36">
        <v>92</v>
      </c>
      <c r="G1095" t="s" s="35">
        <v>6960</v>
      </c>
      <c r="H1095" t="s" s="35">
        <v>6961</v>
      </c>
      <c r="I1095" t="s" s="120">
        <v>6971</v>
      </c>
      <c r="J1095" t="s" s="35">
        <v>6185</v>
      </c>
      <c r="K1095" t="s" s="35">
        <v>1058</v>
      </c>
      <c r="L1095" s="39"/>
      <c r="M1095" t="str" s="39">
        <v>Sin marco</v>
      </c>
      <c r="N1095" t="str" s="39">
        <v>Sin marco</v>
      </c>
      <c r="O1095" t="str" s="39" cm="1">
        <f t="array" ref="O1095">IF(L1095="","",_xlfn.IFERROR(INDEX('Datos - Catálogo TIMSS'!$C$5:$C$107,MATCH(L1095,'Datos - Catálogo TIMSS'!$A$5:$A$107,0)),"?"))</f>
      </c>
      <c r="P1095" t="s" s="35">
        <v>1058</v>
      </c>
      <c r="Q1095" t="s" s="120">
        <v>6186</v>
      </c>
      <c r="R1095" t="s" s="120">
        <v>6972</v>
      </c>
      <c r="S1095" s="121" cm="1">
        <f t="array" ref="S1095">_xlfn.IFERROR(ISNUMBER(SEARCH("Conocer",$R1095))/(ISNUMBER(SEARCH("Conocer",$R1095))+ISNUMBER(SEARCH("Aplicar",$R1095))+ISNUMBER(SEARCH("Razonar",$R1095))),0)</f>
        <v>0.5</v>
      </c>
      <c r="T1095" s="121" cm="1">
        <f t="array" ref="T1095">_xlfn.IFERROR(ISNUMBER(SEARCH("Aplicar",$R1095))/(ISNUMBER(SEARCH("Conocer",$R1095))+ISNUMBER(SEARCH("Aplicar",$R1095))+ISNUMBER(SEARCH("Razonar",$R1095))),0)</f>
        <v>0</v>
      </c>
      <c r="U1095" s="121" cm="1">
        <f t="array" ref="U1095">_xlfn.IFERROR(ISNUMBER(SEARCH("Razonar",$R1095))/(ISNUMBER(SEARCH("Conocer",$R1095))+ISNUMBER(SEARCH("Aplicar",$R1095))+ISNUMBER(SEARCH("Razonar",$R1095))),0)</f>
        <v>0.5</v>
      </c>
      <c r="V1095" t="s" s="35">
        <v>1407</v>
      </c>
      <c r="W1095" t="s" s="35">
        <v>6188</v>
      </c>
      <c r="X1095" s="36" cm="1">
        <f t="array" ref="X1095">IF(OR(_xlfn.IFERROR(INDEX('Datos - Catálogo TIMSS'!$I$5:$I$107,MATCH(K1095,'Datos - Catálogo TIMSS'!$A$5:$A$107,0)),"No")="Sí",_xlfn.IFERROR(INDEX('Datos - Catálogo TIMSS'!$I$5:$I$107,MATCH(L1095,'Datos - Catálogo TIMSS'!$A$5:$A$107,0)),"No")="Sí"),1,0)</f>
        <v>0</v>
      </c>
      <c r="Y1095" s="36" cm="1">
        <f t="array" ref="Y1095">IF(_xlfn.IFERROR(INDEX('Datos - Catálogo TIMSS'!$J$5:$J$107,MATCH(K1095,'Datos - Catálogo TIMSS'!$A$5:$A$107,0)),"No")="Sí",1,0)</f>
        <v>0</v>
      </c>
      <c r="Z1095" s="36" cm="1">
        <f t="array" ref="Z1095">IF(_xlfn.IFERROR(INDEX('Datos - Catálogo TIMSS'!$J$5:$J$107,MATCH(L1095,'Datos - Catálogo TIMSS'!$A$5:$A$107,0)),"No")="Sí",1,0)</f>
        <v>0</v>
      </c>
      <c r="AA1095" t="s" s="35">
        <v>1058</v>
      </c>
      <c r="AB1095" s="39"/>
      <c r="AC1095" t="str" s="39">
        <v>Sin marco</v>
      </c>
      <c r="AD1095" t="s" s="35">
        <v>1900</v>
      </c>
      <c r="AE1095" t="str" s="39" cm="1">
        <f t="array" ref="AE1095">IF(AD1095="","",IF(LEFT(AD1095,1)="1","C1",IF(LEFT(AD1095,1)="2","C2",IF(LEFT(AD1095,1)="3","C3",""))))</f>
        <v>C3</v>
      </c>
      <c r="AF1095" t="s" s="35">
        <v>1602</v>
      </c>
      <c r="AG1095" t="s" s="35">
        <v>1617</v>
      </c>
      <c r="AH1095" t="s" s="35">
        <v>1605</v>
      </c>
      <c r="AI1095" t="s" s="35">
        <v>1625</v>
      </c>
      <c r="AJ1095" t="s" s="35">
        <v>1631</v>
      </c>
      <c r="AK1095" s="39"/>
      <c r="AL1095" s="39"/>
      <c r="AM1095" s="39"/>
      <c r="AN1095" s="39"/>
      <c r="AO1095" s="39"/>
      <c r="AP1095" s="39"/>
      <c r="AQ1095" s="39"/>
      <c r="AR1095" s="39"/>
      <c r="AS1095" s="39"/>
      <c r="AT1095" s="39"/>
      <c r="AU1095" s="39"/>
      <c r="AV1095" s="39"/>
      <c r="AW1095" t="str" s="39" cm="1">
        <f t="array" ref="AW1095">AF1095&amp;"; "&amp;AG1095&amp;"; "&amp;AH1095&amp;"; "&amp;AI1095&amp;"; "&amp;AJ1095</f>
        <v>E1; D1; E2; I1; I4</v>
      </c>
    </row>
    <row r="1096" ht="13.65" customHeight="1">
      <c r="A1096" t="s" s="35">
        <v>6973</v>
      </c>
      <c r="B1096" s="36">
        <v>11</v>
      </c>
      <c r="C1096" t="s" s="35">
        <v>220</v>
      </c>
      <c r="D1096" t="s" s="35">
        <v>6180</v>
      </c>
      <c r="E1096" t="s" s="35">
        <v>6631</v>
      </c>
      <c r="F1096" s="36">
        <v>93</v>
      </c>
      <c r="G1096" t="s" s="35">
        <v>6960</v>
      </c>
      <c r="H1096" t="s" s="35">
        <v>6974</v>
      </c>
      <c r="I1096" t="s" s="120">
        <v>6975</v>
      </c>
      <c r="J1096" t="s" s="35">
        <v>6185</v>
      </c>
      <c r="K1096" t="s" s="35">
        <v>1058</v>
      </c>
      <c r="L1096" s="39"/>
      <c r="M1096" t="str" s="39">
        <v>Sin marco</v>
      </c>
      <c r="N1096" t="str" s="39">
        <v>Sin marco</v>
      </c>
      <c r="O1096" t="str" s="39" cm="1">
        <f t="array" ref="O1096">IF(L1096="","",_xlfn.IFERROR(INDEX('Datos - Catálogo TIMSS'!$C$5:$C$107,MATCH(L1096,'Datos - Catálogo TIMSS'!$A$5:$A$107,0)),"?"))</f>
      </c>
      <c r="P1096" t="s" s="35">
        <v>1058</v>
      </c>
      <c r="Q1096" t="s" s="120">
        <v>6186</v>
      </c>
      <c r="R1096" t="s" s="120">
        <v>6976</v>
      </c>
      <c r="S1096" s="121" cm="1">
        <f t="array" ref="S1096">_xlfn.IFERROR(ISNUMBER(SEARCH("Conocer",$R1096))/(ISNUMBER(SEARCH("Conocer",$R1096))+ISNUMBER(SEARCH("Aplicar",$R1096))+ISNUMBER(SEARCH("Razonar",$R1096))),0)</f>
        <v>0</v>
      </c>
      <c r="T1096" s="121" cm="1">
        <f t="array" ref="T1096">_xlfn.IFERROR(ISNUMBER(SEARCH("Aplicar",$R1096))/(ISNUMBER(SEARCH("Conocer",$R1096))+ISNUMBER(SEARCH("Aplicar",$R1096))+ISNUMBER(SEARCH("Razonar",$R1096))),0)</f>
        <v>0.5</v>
      </c>
      <c r="U1096" s="121" cm="1">
        <f t="array" ref="U1096">_xlfn.IFERROR(ISNUMBER(SEARCH("Razonar",$R1096))/(ISNUMBER(SEARCH("Conocer",$R1096))+ISNUMBER(SEARCH("Aplicar",$R1096))+ISNUMBER(SEARCH("Razonar",$R1096))),0)</f>
        <v>0.5</v>
      </c>
      <c r="V1096" t="s" s="35">
        <v>1407</v>
      </c>
      <c r="W1096" t="s" s="35">
        <v>6188</v>
      </c>
      <c r="X1096" s="36" cm="1">
        <f t="array" ref="X1096">IF(OR(_xlfn.IFERROR(INDEX('Datos - Catálogo TIMSS'!$I$5:$I$107,MATCH(K1096,'Datos - Catálogo TIMSS'!$A$5:$A$107,0)),"No")="Sí",_xlfn.IFERROR(INDEX('Datos - Catálogo TIMSS'!$I$5:$I$107,MATCH(L1096,'Datos - Catálogo TIMSS'!$A$5:$A$107,0)),"No")="Sí"),1,0)</f>
        <v>0</v>
      </c>
      <c r="Y1096" s="36" cm="1">
        <f t="array" ref="Y1096">IF(_xlfn.IFERROR(INDEX('Datos - Catálogo TIMSS'!$J$5:$J$107,MATCH(K1096,'Datos - Catálogo TIMSS'!$A$5:$A$107,0)),"No")="Sí",1,0)</f>
        <v>0</v>
      </c>
      <c r="Z1096" s="36" cm="1">
        <f t="array" ref="Z1096">IF(_xlfn.IFERROR(INDEX('Datos - Catálogo TIMSS'!$J$5:$J$107,MATCH(L1096,'Datos - Catálogo TIMSS'!$A$5:$A$107,0)),"No")="Sí",1,0)</f>
        <v>0</v>
      </c>
      <c r="AA1096" t="s" s="35">
        <v>1058</v>
      </c>
      <c r="AB1096" s="39"/>
      <c r="AC1096" t="str" s="39">
        <v>Sin marco</v>
      </c>
      <c r="AD1096" t="s" s="35">
        <v>1834</v>
      </c>
      <c r="AE1096" t="str" s="39" cm="1">
        <f t="array" ref="AE1096">IF(AD1096="","",IF(LEFT(AD1096,1)="1","C1",IF(LEFT(AD1096,1)="2","C2",IF(LEFT(AD1096,1)="3","C3",""))))</f>
        <v>C2</v>
      </c>
      <c r="AF1096" t="s" s="35">
        <v>1602</v>
      </c>
      <c r="AG1096" t="s" s="35">
        <v>1607</v>
      </c>
      <c r="AH1096" t="s" s="35">
        <v>1605</v>
      </c>
      <c r="AI1096" t="s" s="35">
        <v>1623</v>
      </c>
      <c r="AJ1096" t="s" s="35">
        <v>1607</v>
      </c>
      <c r="AK1096" s="39"/>
      <c r="AL1096" s="39"/>
      <c r="AM1096" s="39"/>
      <c r="AN1096" s="39"/>
      <c r="AO1096" s="39"/>
      <c r="AP1096" s="39"/>
      <c r="AQ1096" s="39"/>
      <c r="AR1096" s="39"/>
      <c r="AS1096" s="39"/>
      <c r="AT1096" s="39"/>
      <c r="AU1096" s="39"/>
      <c r="AV1096" s="39"/>
      <c r="AW1096" t="str" s="39" cm="1">
        <f t="array" ref="AW1096">AF1096&amp;"; "&amp;AG1096&amp;"; "&amp;AH1096&amp;"; "&amp;AI1096&amp;"; "&amp;AJ1096</f>
        <v>E1; E3; E2; D4; E3</v>
      </c>
    </row>
    <row r="1097" ht="13.65" customHeight="1">
      <c r="A1097" t="s" s="35">
        <v>6977</v>
      </c>
      <c r="B1097" s="36">
        <v>11</v>
      </c>
      <c r="C1097" t="s" s="35">
        <v>220</v>
      </c>
      <c r="D1097" t="s" s="35">
        <v>6180</v>
      </c>
      <c r="E1097" t="s" s="35">
        <v>6631</v>
      </c>
      <c r="F1097" s="36">
        <v>94</v>
      </c>
      <c r="G1097" t="s" s="35">
        <v>6960</v>
      </c>
      <c r="H1097" t="s" s="35">
        <v>6974</v>
      </c>
      <c r="I1097" t="s" s="120">
        <v>6978</v>
      </c>
      <c r="J1097" t="s" s="35">
        <v>6185</v>
      </c>
      <c r="K1097" t="s" s="35">
        <v>1058</v>
      </c>
      <c r="L1097" s="39"/>
      <c r="M1097" t="str" s="39">
        <v>Sin marco</v>
      </c>
      <c r="N1097" t="str" s="39">
        <v>Sin marco</v>
      </c>
      <c r="O1097" t="str" s="39" cm="1">
        <f t="array" ref="O1097">IF(L1097="","",_xlfn.IFERROR(INDEX('Datos - Catálogo TIMSS'!$C$5:$C$107,MATCH(L1097,'Datos - Catálogo TIMSS'!$A$5:$A$107,0)),"?"))</f>
      </c>
      <c r="P1097" t="s" s="35">
        <v>1058</v>
      </c>
      <c r="Q1097" t="s" s="120">
        <v>6186</v>
      </c>
      <c r="R1097" t="s" s="120">
        <v>6979</v>
      </c>
      <c r="S1097" s="121" cm="1">
        <f t="array" ref="S1097">_xlfn.IFERROR(ISNUMBER(SEARCH("Conocer",$R1097))/(ISNUMBER(SEARCH("Conocer",$R1097))+ISNUMBER(SEARCH("Aplicar",$R1097))+ISNUMBER(SEARCH("Razonar",$R1097))),0)</f>
        <v>0</v>
      </c>
      <c r="T1097" s="121" cm="1">
        <f t="array" ref="T1097">_xlfn.IFERROR(ISNUMBER(SEARCH("Aplicar",$R1097))/(ISNUMBER(SEARCH("Conocer",$R1097))+ISNUMBER(SEARCH("Aplicar",$R1097))+ISNUMBER(SEARCH("Razonar",$R1097))),0)</f>
        <v>0.5</v>
      </c>
      <c r="U1097" s="121" cm="1">
        <f t="array" ref="U1097">_xlfn.IFERROR(ISNUMBER(SEARCH("Razonar",$R1097))/(ISNUMBER(SEARCH("Conocer",$R1097))+ISNUMBER(SEARCH("Aplicar",$R1097))+ISNUMBER(SEARCH("Razonar",$R1097))),0)</f>
        <v>0.5</v>
      </c>
      <c r="V1097" t="s" s="35">
        <v>1407</v>
      </c>
      <c r="W1097" t="s" s="35">
        <v>6188</v>
      </c>
      <c r="X1097" s="36" cm="1">
        <f t="array" ref="X1097">IF(OR(_xlfn.IFERROR(INDEX('Datos - Catálogo TIMSS'!$I$5:$I$107,MATCH(K1097,'Datos - Catálogo TIMSS'!$A$5:$A$107,0)),"No")="Sí",_xlfn.IFERROR(INDEX('Datos - Catálogo TIMSS'!$I$5:$I$107,MATCH(L1097,'Datos - Catálogo TIMSS'!$A$5:$A$107,0)),"No")="Sí"),1,0)</f>
        <v>0</v>
      </c>
      <c r="Y1097" s="36" cm="1">
        <f t="array" ref="Y1097">IF(_xlfn.IFERROR(INDEX('Datos - Catálogo TIMSS'!$J$5:$J$107,MATCH(K1097,'Datos - Catálogo TIMSS'!$A$5:$A$107,0)),"No")="Sí",1,0)</f>
        <v>0</v>
      </c>
      <c r="Z1097" s="36" cm="1">
        <f t="array" ref="Z1097">IF(_xlfn.IFERROR(INDEX('Datos - Catálogo TIMSS'!$J$5:$J$107,MATCH(L1097,'Datos - Catálogo TIMSS'!$A$5:$A$107,0)),"No")="Sí",1,0)</f>
        <v>0</v>
      </c>
      <c r="AA1097" t="s" s="35">
        <v>1058</v>
      </c>
      <c r="AB1097" s="39"/>
      <c r="AC1097" t="str" s="39">
        <v>Sin marco</v>
      </c>
      <c r="AD1097" t="s" s="35">
        <v>1859</v>
      </c>
      <c r="AE1097" t="str" s="39" cm="1">
        <f t="array" ref="AE1097">IF(AD1097="","",IF(LEFT(AD1097,1)="1","C1",IF(LEFT(AD1097,1)="2","C2",IF(LEFT(AD1097,1)="3","C3",""))))</f>
        <v>C1</v>
      </c>
      <c r="AF1097" t="s" s="35">
        <v>1615</v>
      </c>
      <c r="AG1097" t="s" s="35">
        <v>1612</v>
      </c>
      <c r="AH1097" t="s" s="35">
        <v>1605</v>
      </c>
      <c r="AI1097" t="s" s="35">
        <v>1623</v>
      </c>
      <c r="AJ1097" t="s" s="35">
        <v>1607</v>
      </c>
      <c r="AK1097" s="39"/>
      <c r="AL1097" s="39"/>
      <c r="AM1097" s="39"/>
      <c r="AN1097" s="39"/>
      <c r="AO1097" s="39"/>
      <c r="AP1097" s="39"/>
      <c r="AQ1097" s="39"/>
      <c r="AR1097" s="39"/>
      <c r="AS1097" s="39"/>
      <c r="AT1097" s="39"/>
      <c r="AU1097" s="39"/>
      <c r="AV1097" s="39"/>
      <c r="AW1097" t="str" s="39" cm="1">
        <f t="array" ref="AW1097">AF1097&amp;"; "&amp;AG1097&amp;"; "&amp;AH1097&amp;"; "&amp;AI1097&amp;"; "&amp;AJ1097</f>
        <v>E6; E5; E2; D4; E3</v>
      </c>
    </row>
    <row r="1098" ht="13.65" customHeight="1">
      <c r="A1098" t="s" s="35">
        <v>6980</v>
      </c>
      <c r="B1098" s="36">
        <v>11</v>
      </c>
      <c r="C1098" t="s" s="35">
        <v>220</v>
      </c>
      <c r="D1098" t="s" s="35">
        <v>6180</v>
      </c>
      <c r="E1098" t="s" s="35">
        <v>6631</v>
      </c>
      <c r="F1098" s="36">
        <v>95</v>
      </c>
      <c r="G1098" t="s" s="35">
        <v>6960</v>
      </c>
      <c r="H1098" t="s" s="35">
        <v>6974</v>
      </c>
      <c r="I1098" t="s" s="120">
        <v>6981</v>
      </c>
      <c r="J1098" t="s" s="35">
        <v>6185</v>
      </c>
      <c r="K1098" t="s" s="35">
        <v>1058</v>
      </c>
      <c r="L1098" s="39"/>
      <c r="M1098" t="str" s="39">
        <v>Sin marco</v>
      </c>
      <c r="N1098" t="str" s="39">
        <v>Sin marco</v>
      </c>
      <c r="O1098" t="str" s="39" cm="1">
        <f t="array" ref="O1098">IF(L1098="","",_xlfn.IFERROR(INDEX('Datos - Catálogo TIMSS'!$C$5:$C$107,MATCH(L1098,'Datos - Catálogo TIMSS'!$A$5:$A$107,0)),"?"))</f>
      </c>
      <c r="P1098" t="s" s="35">
        <v>1058</v>
      </c>
      <c r="Q1098" t="s" s="120">
        <v>6186</v>
      </c>
      <c r="R1098" t="s" s="120">
        <v>6982</v>
      </c>
      <c r="S1098" s="121" cm="1">
        <f t="array" ref="S1098">_xlfn.IFERROR(ISNUMBER(SEARCH("Conocer",$R1098))/(ISNUMBER(SEARCH("Conocer",$R1098))+ISNUMBER(SEARCH("Aplicar",$R1098))+ISNUMBER(SEARCH("Razonar",$R1098))),0)</f>
        <v>0.333333333333333</v>
      </c>
      <c r="T1098" s="121" cm="1">
        <f t="array" ref="T1098">_xlfn.IFERROR(ISNUMBER(SEARCH("Aplicar",$R1098))/(ISNUMBER(SEARCH("Conocer",$R1098))+ISNUMBER(SEARCH("Aplicar",$R1098))+ISNUMBER(SEARCH("Razonar",$R1098))),0)</f>
        <v>0.333333333333333</v>
      </c>
      <c r="U1098" s="121" cm="1">
        <f t="array" ref="U1098">_xlfn.IFERROR(ISNUMBER(SEARCH("Razonar",$R1098))/(ISNUMBER(SEARCH("Conocer",$R1098))+ISNUMBER(SEARCH("Aplicar",$R1098))+ISNUMBER(SEARCH("Razonar",$R1098))),0)</f>
        <v>0.333333333333333</v>
      </c>
      <c r="V1098" t="s" s="35">
        <v>1407</v>
      </c>
      <c r="W1098" t="s" s="35">
        <v>6188</v>
      </c>
      <c r="X1098" s="36" cm="1">
        <f t="array" ref="X1098">IF(OR(_xlfn.IFERROR(INDEX('Datos - Catálogo TIMSS'!$I$5:$I$107,MATCH(K1098,'Datos - Catálogo TIMSS'!$A$5:$A$107,0)),"No")="Sí",_xlfn.IFERROR(INDEX('Datos - Catálogo TIMSS'!$I$5:$I$107,MATCH(L1098,'Datos - Catálogo TIMSS'!$A$5:$A$107,0)),"No")="Sí"),1,0)</f>
        <v>0</v>
      </c>
      <c r="Y1098" s="36" cm="1">
        <f t="array" ref="Y1098">IF(_xlfn.IFERROR(INDEX('Datos - Catálogo TIMSS'!$J$5:$J$107,MATCH(K1098,'Datos - Catálogo TIMSS'!$A$5:$A$107,0)),"No")="Sí",1,0)</f>
        <v>0</v>
      </c>
      <c r="Z1098" s="36" cm="1">
        <f t="array" ref="Z1098">IF(_xlfn.IFERROR(INDEX('Datos - Catálogo TIMSS'!$J$5:$J$107,MATCH(L1098,'Datos - Catálogo TIMSS'!$A$5:$A$107,0)),"No")="Sí",1,0)</f>
        <v>0</v>
      </c>
      <c r="AA1098" t="s" s="35">
        <v>1058</v>
      </c>
      <c r="AB1098" s="39"/>
      <c r="AC1098" t="str" s="39">
        <v>Sin marco</v>
      </c>
      <c r="AD1098" t="s" s="35">
        <v>1859</v>
      </c>
      <c r="AE1098" t="str" s="39" cm="1">
        <f t="array" ref="AE1098">IF(AD1098="","",IF(LEFT(AD1098,1)="1","C1",IF(LEFT(AD1098,1)="2","C2",IF(LEFT(AD1098,1)="3","C3",""))))</f>
        <v>C1</v>
      </c>
      <c r="AF1098" t="s" s="35">
        <v>1602</v>
      </c>
      <c r="AG1098" t="s" s="35">
        <v>1617</v>
      </c>
      <c r="AH1098" t="s" s="35">
        <v>1605</v>
      </c>
      <c r="AI1098" t="s" s="35">
        <v>1609</v>
      </c>
      <c r="AJ1098" t="s" s="35">
        <v>1633</v>
      </c>
      <c r="AK1098" s="39"/>
      <c r="AL1098" s="39"/>
      <c r="AM1098" s="39"/>
      <c r="AN1098" s="39"/>
      <c r="AO1098" s="39"/>
      <c r="AP1098" s="39"/>
      <c r="AQ1098" s="39"/>
      <c r="AR1098" s="39"/>
      <c r="AS1098" s="39"/>
      <c r="AT1098" s="39"/>
      <c r="AU1098" s="39"/>
      <c r="AV1098" s="39"/>
      <c r="AW1098" t="str" s="39" cm="1">
        <f t="array" ref="AW1098">AF1098&amp;"; "&amp;AG1098&amp;"; "&amp;AH1098&amp;"; "&amp;AI1098&amp;"; "&amp;AJ1098</f>
        <v>E1; D1; E2; E4; I5</v>
      </c>
    </row>
    <row r="1099" ht="13.65" customHeight="1">
      <c r="A1099" t="s" s="35">
        <v>6983</v>
      </c>
      <c r="B1099" s="36">
        <v>11</v>
      </c>
      <c r="C1099" t="s" s="35">
        <v>220</v>
      </c>
      <c r="D1099" t="s" s="35">
        <v>6180</v>
      </c>
      <c r="E1099" t="s" s="35">
        <v>6631</v>
      </c>
      <c r="F1099" s="36">
        <v>96</v>
      </c>
      <c r="G1099" t="s" s="35">
        <v>6984</v>
      </c>
      <c r="H1099" t="s" s="35">
        <v>6985</v>
      </c>
      <c r="I1099" t="s" s="120">
        <v>6986</v>
      </c>
      <c r="J1099" t="s" s="35">
        <v>6185</v>
      </c>
      <c r="K1099" t="s" s="35">
        <v>1058</v>
      </c>
      <c r="L1099" s="39"/>
      <c r="M1099" t="str" s="39">
        <v>Sin marco</v>
      </c>
      <c r="N1099" t="str" s="39">
        <v>Sin marco</v>
      </c>
      <c r="O1099" t="str" s="39" cm="1">
        <f t="array" ref="O1099">IF(L1099="","",_xlfn.IFERROR(INDEX('Datos - Catálogo TIMSS'!$C$5:$C$107,MATCH(L1099,'Datos - Catálogo TIMSS'!$A$5:$A$107,0)),"?"))</f>
      </c>
      <c r="P1099" t="s" s="35">
        <v>1058</v>
      </c>
      <c r="Q1099" t="s" s="120">
        <v>6186</v>
      </c>
      <c r="R1099" t="s" s="120">
        <v>6987</v>
      </c>
      <c r="S1099" s="121" cm="1">
        <f t="array" ref="S1099">_xlfn.IFERROR(ISNUMBER(SEARCH("Conocer",$R1099))/(ISNUMBER(SEARCH("Conocer",$R1099))+ISNUMBER(SEARCH("Aplicar",$R1099))+ISNUMBER(SEARCH("Razonar",$R1099))),0)</f>
        <v>0</v>
      </c>
      <c r="T1099" s="121" cm="1">
        <f t="array" ref="T1099">_xlfn.IFERROR(ISNUMBER(SEARCH("Aplicar",$R1099))/(ISNUMBER(SEARCH("Conocer",$R1099))+ISNUMBER(SEARCH("Aplicar",$R1099))+ISNUMBER(SEARCH("Razonar",$R1099))),0)</f>
        <v>0.5</v>
      </c>
      <c r="U1099" s="121" cm="1">
        <f t="array" ref="U1099">_xlfn.IFERROR(ISNUMBER(SEARCH("Razonar",$R1099))/(ISNUMBER(SEARCH("Conocer",$R1099))+ISNUMBER(SEARCH("Aplicar",$R1099))+ISNUMBER(SEARCH("Razonar",$R1099))),0)</f>
        <v>0.5</v>
      </c>
      <c r="V1099" t="s" s="35">
        <v>1407</v>
      </c>
      <c r="W1099" t="s" s="35">
        <v>6188</v>
      </c>
      <c r="X1099" s="36" cm="1">
        <f t="array" ref="X1099">IF(OR(_xlfn.IFERROR(INDEX('Datos - Catálogo TIMSS'!$I$5:$I$107,MATCH(K1099,'Datos - Catálogo TIMSS'!$A$5:$A$107,0)),"No")="Sí",_xlfn.IFERROR(INDEX('Datos - Catálogo TIMSS'!$I$5:$I$107,MATCH(L1099,'Datos - Catálogo TIMSS'!$A$5:$A$107,0)),"No")="Sí"),1,0)</f>
        <v>0</v>
      </c>
      <c r="Y1099" s="36" cm="1">
        <f t="array" ref="Y1099">IF(_xlfn.IFERROR(INDEX('Datos - Catálogo TIMSS'!$J$5:$J$107,MATCH(K1099,'Datos - Catálogo TIMSS'!$A$5:$A$107,0)),"No")="Sí",1,0)</f>
        <v>0</v>
      </c>
      <c r="Z1099" s="36" cm="1">
        <f t="array" ref="Z1099">IF(_xlfn.IFERROR(INDEX('Datos - Catálogo TIMSS'!$J$5:$J$107,MATCH(L1099,'Datos - Catálogo TIMSS'!$A$5:$A$107,0)),"No")="Sí",1,0)</f>
        <v>0</v>
      </c>
      <c r="AA1099" t="s" s="35">
        <v>1058</v>
      </c>
      <c r="AB1099" s="39"/>
      <c r="AC1099" t="str" s="39">
        <v>Sin marco</v>
      </c>
      <c r="AD1099" t="s" s="35">
        <v>1859</v>
      </c>
      <c r="AE1099" t="str" s="39" cm="1">
        <f t="array" ref="AE1099">IF(AD1099="","",IF(LEFT(AD1099,1)="1","C1",IF(LEFT(AD1099,1)="2","C2",IF(LEFT(AD1099,1)="3","C3",""))))</f>
        <v>C1</v>
      </c>
      <c r="AF1099" t="s" s="35">
        <v>1602</v>
      </c>
      <c r="AG1099" t="s" s="35">
        <v>1607</v>
      </c>
      <c r="AH1099" t="s" s="35">
        <v>1605</v>
      </c>
      <c r="AI1099" t="s" s="35">
        <v>1623</v>
      </c>
      <c r="AJ1099" t="s" s="35">
        <v>1607</v>
      </c>
      <c r="AK1099" s="39"/>
      <c r="AL1099" s="39"/>
      <c r="AM1099" s="39"/>
      <c r="AN1099" s="39"/>
      <c r="AO1099" s="39"/>
      <c r="AP1099" s="39"/>
      <c r="AQ1099" s="39"/>
      <c r="AR1099" s="39"/>
      <c r="AS1099" s="39"/>
      <c r="AT1099" s="39"/>
      <c r="AU1099" s="39"/>
      <c r="AV1099" s="39"/>
      <c r="AW1099" t="str" s="39" cm="1">
        <f t="array" ref="AW1099">AF1099&amp;"; "&amp;AG1099&amp;"; "&amp;AH1099&amp;"; "&amp;AI1099&amp;"; "&amp;AJ1099</f>
        <v>E1; E3; E2; D4; E3</v>
      </c>
    </row>
    <row r="1100" ht="13.65" customHeight="1">
      <c r="A1100" t="s" s="35">
        <v>6988</v>
      </c>
      <c r="B1100" s="36">
        <v>11</v>
      </c>
      <c r="C1100" t="s" s="35">
        <v>220</v>
      </c>
      <c r="D1100" t="s" s="35">
        <v>6180</v>
      </c>
      <c r="E1100" t="s" s="35">
        <v>6631</v>
      </c>
      <c r="F1100" s="36">
        <v>97</v>
      </c>
      <c r="G1100" t="s" s="35">
        <v>6984</v>
      </c>
      <c r="H1100" t="s" s="35">
        <v>6989</v>
      </c>
      <c r="I1100" t="s" s="120">
        <v>6990</v>
      </c>
      <c r="J1100" t="s" s="35">
        <v>6185</v>
      </c>
      <c r="K1100" t="s" s="35">
        <v>1058</v>
      </c>
      <c r="L1100" s="39"/>
      <c r="M1100" t="str" s="39">
        <v>Sin marco</v>
      </c>
      <c r="N1100" t="str" s="39">
        <v>Sin marco</v>
      </c>
      <c r="O1100" t="str" s="39" cm="1">
        <f t="array" ref="O1100">IF(L1100="","",_xlfn.IFERROR(INDEX('Datos - Catálogo TIMSS'!$C$5:$C$107,MATCH(L1100,'Datos - Catálogo TIMSS'!$A$5:$A$107,0)),"?"))</f>
      </c>
      <c r="P1100" t="s" s="35">
        <v>1058</v>
      </c>
      <c r="Q1100" t="s" s="120">
        <v>6186</v>
      </c>
      <c r="R1100" t="s" s="120">
        <v>6991</v>
      </c>
      <c r="S1100" s="121" cm="1">
        <f t="array" ref="S1100">_xlfn.IFERROR(ISNUMBER(SEARCH("Conocer",$R1100))/(ISNUMBER(SEARCH("Conocer",$R1100))+ISNUMBER(SEARCH("Aplicar",$R1100))+ISNUMBER(SEARCH("Razonar",$R1100))),0)</f>
        <v>0</v>
      </c>
      <c r="T1100" s="121" cm="1">
        <f t="array" ref="T1100">_xlfn.IFERROR(ISNUMBER(SEARCH("Aplicar",$R1100))/(ISNUMBER(SEARCH("Conocer",$R1100))+ISNUMBER(SEARCH("Aplicar",$R1100))+ISNUMBER(SEARCH("Razonar",$R1100))),0)</f>
        <v>0.5</v>
      </c>
      <c r="U1100" s="121" cm="1">
        <f t="array" ref="U1100">_xlfn.IFERROR(ISNUMBER(SEARCH("Razonar",$R1100))/(ISNUMBER(SEARCH("Conocer",$R1100))+ISNUMBER(SEARCH("Aplicar",$R1100))+ISNUMBER(SEARCH("Razonar",$R1100))),0)</f>
        <v>0.5</v>
      </c>
      <c r="V1100" t="s" s="35">
        <v>1407</v>
      </c>
      <c r="W1100" t="s" s="35">
        <v>6188</v>
      </c>
      <c r="X1100" s="36" cm="1">
        <f t="array" ref="X1100">IF(OR(_xlfn.IFERROR(INDEX('Datos - Catálogo TIMSS'!$I$5:$I$107,MATCH(K1100,'Datos - Catálogo TIMSS'!$A$5:$A$107,0)),"No")="Sí",_xlfn.IFERROR(INDEX('Datos - Catálogo TIMSS'!$I$5:$I$107,MATCH(L1100,'Datos - Catálogo TIMSS'!$A$5:$A$107,0)),"No")="Sí"),1,0)</f>
        <v>0</v>
      </c>
      <c r="Y1100" s="36" cm="1">
        <f t="array" ref="Y1100">IF(_xlfn.IFERROR(INDEX('Datos - Catálogo TIMSS'!$J$5:$J$107,MATCH(K1100,'Datos - Catálogo TIMSS'!$A$5:$A$107,0)),"No")="Sí",1,0)</f>
        <v>0</v>
      </c>
      <c r="Z1100" s="36" cm="1">
        <f t="array" ref="Z1100">IF(_xlfn.IFERROR(INDEX('Datos - Catálogo TIMSS'!$J$5:$J$107,MATCH(L1100,'Datos - Catálogo TIMSS'!$A$5:$A$107,0)),"No")="Sí",1,0)</f>
        <v>0</v>
      </c>
      <c r="AA1100" t="s" s="35">
        <v>1058</v>
      </c>
      <c r="AB1100" s="39"/>
      <c r="AC1100" t="str" s="39">
        <v>Sin marco</v>
      </c>
      <c r="AD1100" t="s" s="35">
        <v>1859</v>
      </c>
      <c r="AE1100" t="str" s="39" cm="1">
        <f t="array" ref="AE1100">IF(AD1100="","",IF(LEFT(AD1100,1)="1","C1",IF(LEFT(AD1100,1)="2","C2",IF(LEFT(AD1100,1)="3","C3",""))))</f>
        <v>C1</v>
      </c>
      <c r="AF1100" t="s" s="35">
        <v>1602</v>
      </c>
      <c r="AG1100" t="s" s="35">
        <v>1617</v>
      </c>
      <c r="AH1100" t="s" s="35">
        <v>1609</v>
      </c>
      <c r="AI1100" t="s" s="35">
        <v>1623</v>
      </c>
      <c r="AJ1100" t="s" s="35">
        <v>1607</v>
      </c>
      <c r="AK1100" s="39"/>
      <c r="AL1100" s="39"/>
      <c r="AM1100" s="39"/>
      <c r="AN1100" s="39"/>
      <c r="AO1100" s="39"/>
      <c r="AP1100" s="39"/>
      <c r="AQ1100" s="39"/>
      <c r="AR1100" s="39"/>
      <c r="AS1100" s="39"/>
      <c r="AT1100" s="39"/>
      <c r="AU1100" s="39"/>
      <c r="AV1100" s="39"/>
      <c r="AW1100" t="str" s="39" cm="1">
        <f t="array" ref="AW1100">AF1100&amp;"; "&amp;AG1100&amp;"; "&amp;AH1100&amp;"; "&amp;AI1100&amp;"; "&amp;AJ1100</f>
        <v>E1; D1; E4; D4; E3</v>
      </c>
    </row>
    <row r="1101" ht="13.65" customHeight="1">
      <c r="A1101" t="s" s="35">
        <v>6992</v>
      </c>
      <c r="B1101" s="36">
        <v>11</v>
      </c>
      <c r="C1101" t="s" s="35">
        <v>220</v>
      </c>
      <c r="D1101" t="s" s="35">
        <v>6180</v>
      </c>
      <c r="E1101" t="s" s="35">
        <v>6631</v>
      </c>
      <c r="F1101" s="36">
        <v>98</v>
      </c>
      <c r="G1101" t="s" s="35">
        <v>6984</v>
      </c>
      <c r="H1101" t="s" s="35">
        <v>6989</v>
      </c>
      <c r="I1101" t="s" s="120">
        <v>6993</v>
      </c>
      <c r="J1101" t="s" s="35">
        <v>6185</v>
      </c>
      <c r="K1101" t="s" s="35">
        <v>1058</v>
      </c>
      <c r="L1101" s="39"/>
      <c r="M1101" t="str" s="39">
        <v>Sin marco</v>
      </c>
      <c r="N1101" t="str" s="39">
        <v>Sin marco</v>
      </c>
      <c r="O1101" t="str" s="39" cm="1">
        <f t="array" ref="O1101">IF(L1101="","",_xlfn.IFERROR(INDEX('Datos - Catálogo TIMSS'!$C$5:$C$107,MATCH(L1101,'Datos - Catálogo TIMSS'!$A$5:$A$107,0)),"?"))</f>
      </c>
      <c r="P1101" t="s" s="35">
        <v>1058</v>
      </c>
      <c r="Q1101" t="s" s="120">
        <v>6186</v>
      </c>
      <c r="R1101" t="s" s="120">
        <v>6994</v>
      </c>
      <c r="S1101" s="121" cm="1">
        <f t="array" ref="S1101">_xlfn.IFERROR(ISNUMBER(SEARCH("Conocer",$R1101))/(ISNUMBER(SEARCH("Conocer",$R1101))+ISNUMBER(SEARCH("Aplicar",$R1101))+ISNUMBER(SEARCH("Razonar",$R1101))),0)</f>
        <v>0</v>
      </c>
      <c r="T1101" s="121" cm="1">
        <f t="array" ref="T1101">_xlfn.IFERROR(ISNUMBER(SEARCH("Aplicar",$R1101))/(ISNUMBER(SEARCH("Conocer",$R1101))+ISNUMBER(SEARCH("Aplicar",$R1101))+ISNUMBER(SEARCH("Razonar",$R1101))),0)</f>
        <v>0.5</v>
      </c>
      <c r="U1101" s="121" cm="1">
        <f t="array" ref="U1101">_xlfn.IFERROR(ISNUMBER(SEARCH("Razonar",$R1101))/(ISNUMBER(SEARCH("Conocer",$R1101))+ISNUMBER(SEARCH("Aplicar",$R1101))+ISNUMBER(SEARCH("Razonar",$R1101))),0)</f>
        <v>0.5</v>
      </c>
      <c r="V1101" t="s" s="35">
        <v>1407</v>
      </c>
      <c r="W1101" t="s" s="35">
        <v>6188</v>
      </c>
      <c r="X1101" s="36" cm="1">
        <f t="array" ref="X1101">IF(OR(_xlfn.IFERROR(INDEX('Datos - Catálogo TIMSS'!$I$5:$I$107,MATCH(K1101,'Datos - Catálogo TIMSS'!$A$5:$A$107,0)),"No")="Sí",_xlfn.IFERROR(INDEX('Datos - Catálogo TIMSS'!$I$5:$I$107,MATCH(L1101,'Datos - Catálogo TIMSS'!$A$5:$A$107,0)),"No")="Sí"),1,0)</f>
        <v>0</v>
      </c>
      <c r="Y1101" s="36" cm="1">
        <f t="array" ref="Y1101">IF(_xlfn.IFERROR(INDEX('Datos - Catálogo TIMSS'!$J$5:$J$107,MATCH(K1101,'Datos - Catálogo TIMSS'!$A$5:$A$107,0)),"No")="Sí",1,0)</f>
        <v>0</v>
      </c>
      <c r="Z1101" s="36" cm="1">
        <f t="array" ref="Z1101">IF(_xlfn.IFERROR(INDEX('Datos - Catálogo TIMSS'!$J$5:$J$107,MATCH(L1101,'Datos - Catálogo TIMSS'!$A$5:$A$107,0)),"No")="Sí",1,0)</f>
        <v>0</v>
      </c>
      <c r="AA1101" t="s" s="35">
        <v>1058</v>
      </c>
      <c r="AB1101" s="39"/>
      <c r="AC1101" t="str" s="39">
        <v>Sin marco</v>
      </c>
      <c r="AD1101" t="s" s="35">
        <v>1834</v>
      </c>
      <c r="AE1101" t="str" s="39" cm="1">
        <f t="array" ref="AE1101">IF(AD1101="","",IF(LEFT(AD1101,1)="1","C1",IF(LEFT(AD1101,1)="2","C2",IF(LEFT(AD1101,1)="3","C3",""))))</f>
        <v>C2</v>
      </c>
      <c r="AF1101" t="s" s="35">
        <v>1615</v>
      </c>
      <c r="AG1101" t="s" s="35">
        <v>1617</v>
      </c>
      <c r="AH1101" t="s" s="35">
        <v>1602</v>
      </c>
      <c r="AI1101" t="s" s="35">
        <v>1619</v>
      </c>
      <c r="AJ1101" t="s" s="35">
        <v>1621</v>
      </c>
      <c r="AK1101" s="39"/>
      <c r="AL1101" s="39"/>
      <c r="AM1101" s="39"/>
      <c r="AN1101" s="39"/>
      <c r="AO1101" s="39"/>
      <c r="AP1101" s="39"/>
      <c r="AQ1101" s="39"/>
      <c r="AR1101" s="39"/>
      <c r="AS1101" s="39"/>
      <c r="AT1101" s="39"/>
      <c r="AU1101" s="39"/>
      <c r="AV1101" s="39"/>
      <c r="AW1101" t="str" s="39" cm="1">
        <f t="array" ref="AW1101">AF1101&amp;"; "&amp;AG1101&amp;"; "&amp;AH1101&amp;"; "&amp;AI1101&amp;"; "&amp;AJ1101</f>
        <v>E6; D1; E1; D2; D3</v>
      </c>
    </row>
    <row r="1102" ht="13.65" customHeight="1">
      <c r="A1102" t="s" s="35">
        <v>6995</v>
      </c>
      <c r="B1102" s="36">
        <v>11</v>
      </c>
      <c r="C1102" t="s" s="35">
        <v>220</v>
      </c>
      <c r="D1102" t="s" s="35">
        <v>6180</v>
      </c>
      <c r="E1102" t="s" s="35">
        <v>6631</v>
      </c>
      <c r="F1102" s="36">
        <v>99</v>
      </c>
      <c r="G1102" t="s" s="35">
        <v>6984</v>
      </c>
      <c r="H1102" t="s" s="35">
        <v>6996</v>
      </c>
      <c r="I1102" t="s" s="120">
        <v>6997</v>
      </c>
      <c r="J1102" t="s" s="35">
        <v>6185</v>
      </c>
      <c r="K1102" t="s" s="35">
        <v>1058</v>
      </c>
      <c r="L1102" s="39"/>
      <c r="M1102" t="str" s="39">
        <v>Sin marco</v>
      </c>
      <c r="N1102" t="str" s="39">
        <v>Sin marco</v>
      </c>
      <c r="O1102" t="str" s="39" cm="1">
        <f t="array" ref="O1102">IF(L1102="","",_xlfn.IFERROR(INDEX('Datos - Catálogo TIMSS'!$C$5:$C$107,MATCH(L1102,'Datos - Catálogo TIMSS'!$A$5:$A$107,0)),"?"))</f>
      </c>
      <c r="P1102" t="s" s="35">
        <v>1058</v>
      </c>
      <c r="Q1102" t="s" s="120">
        <v>6186</v>
      </c>
      <c r="R1102" t="s" s="120">
        <v>6998</v>
      </c>
      <c r="S1102" s="121" cm="1">
        <f t="array" ref="S1102">_xlfn.IFERROR(ISNUMBER(SEARCH("Conocer",$R1102))/(ISNUMBER(SEARCH("Conocer",$R1102))+ISNUMBER(SEARCH("Aplicar",$R1102))+ISNUMBER(SEARCH("Razonar",$R1102))),0)</f>
        <v>0</v>
      </c>
      <c r="T1102" s="121" cm="1">
        <f t="array" ref="T1102">_xlfn.IFERROR(ISNUMBER(SEARCH("Aplicar",$R1102))/(ISNUMBER(SEARCH("Conocer",$R1102))+ISNUMBER(SEARCH("Aplicar",$R1102))+ISNUMBER(SEARCH("Razonar",$R1102))),0)</f>
        <v>0.5</v>
      </c>
      <c r="U1102" s="121" cm="1">
        <f t="array" ref="U1102">_xlfn.IFERROR(ISNUMBER(SEARCH("Razonar",$R1102))/(ISNUMBER(SEARCH("Conocer",$R1102))+ISNUMBER(SEARCH("Aplicar",$R1102))+ISNUMBER(SEARCH("Razonar",$R1102))),0)</f>
        <v>0.5</v>
      </c>
      <c r="V1102" t="s" s="35">
        <v>1407</v>
      </c>
      <c r="W1102" t="s" s="35">
        <v>6188</v>
      </c>
      <c r="X1102" s="36" cm="1">
        <f t="array" ref="X1102">IF(OR(_xlfn.IFERROR(INDEX('Datos - Catálogo TIMSS'!$I$5:$I$107,MATCH(K1102,'Datos - Catálogo TIMSS'!$A$5:$A$107,0)),"No")="Sí",_xlfn.IFERROR(INDEX('Datos - Catálogo TIMSS'!$I$5:$I$107,MATCH(L1102,'Datos - Catálogo TIMSS'!$A$5:$A$107,0)),"No")="Sí"),1,0)</f>
        <v>0</v>
      </c>
      <c r="Y1102" s="36" cm="1">
        <f t="array" ref="Y1102">IF(_xlfn.IFERROR(INDEX('Datos - Catálogo TIMSS'!$J$5:$J$107,MATCH(K1102,'Datos - Catálogo TIMSS'!$A$5:$A$107,0)),"No")="Sí",1,0)</f>
        <v>0</v>
      </c>
      <c r="Z1102" s="36" cm="1">
        <f t="array" ref="Z1102">IF(_xlfn.IFERROR(INDEX('Datos - Catálogo TIMSS'!$J$5:$J$107,MATCH(L1102,'Datos - Catálogo TIMSS'!$A$5:$A$107,0)),"No")="Sí",1,0)</f>
        <v>0</v>
      </c>
      <c r="AA1102" t="s" s="35">
        <v>1058</v>
      </c>
      <c r="AB1102" s="39"/>
      <c r="AC1102" t="str" s="39">
        <v>Sin marco</v>
      </c>
      <c r="AD1102" t="s" s="35">
        <v>1859</v>
      </c>
      <c r="AE1102" t="str" s="39" cm="1">
        <f t="array" ref="AE1102">IF(AD1102="","",IF(LEFT(AD1102,1)="1","C1",IF(LEFT(AD1102,1)="2","C2",IF(LEFT(AD1102,1)="3","C3",""))))</f>
        <v>C1</v>
      </c>
      <c r="AF1102" t="s" s="35">
        <v>1602</v>
      </c>
      <c r="AG1102" t="s" s="35">
        <v>1607</v>
      </c>
      <c r="AH1102" t="s" s="35">
        <v>1605</v>
      </c>
      <c r="AI1102" t="s" s="35">
        <v>1623</v>
      </c>
      <c r="AJ1102" t="s" s="35">
        <v>1607</v>
      </c>
      <c r="AK1102" s="39"/>
      <c r="AL1102" s="39"/>
      <c r="AM1102" s="39"/>
      <c r="AN1102" s="39"/>
      <c r="AO1102" s="39"/>
      <c r="AP1102" s="39"/>
      <c r="AQ1102" s="39"/>
      <c r="AR1102" s="39"/>
      <c r="AS1102" s="39"/>
      <c r="AT1102" s="39"/>
      <c r="AU1102" s="39"/>
      <c r="AV1102" s="39"/>
      <c r="AW1102" t="str" s="39" cm="1">
        <f t="array" ref="AW1102">AF1102&amp;"; "&amp;AG1102&amp;"; "&amp;AH1102&amp;"; "&amp;AI1102&amp;"; "&amp;AJ1102</f>
        <v>E1; E3; E2; D4; E3</v>
      </c>
    </row>
    <row r="1103" ht="13.65" customHeight="1">
      <c r="A1103" t="s" s="35">
        <v>6999</v>
      </c>
      <c r="B1103" s="36">
        <v>10</v>
      </c>
      <c r="C1103" t="s" s="35">
        <v>210</v>
      </c>
      <c r="D1103" t="s" s="35">
        <v>7000</v>
      </c>
      <c r="E1103" t="s" s="35">
        <v>7001</v>
      </c>
      <c r="F1103" s="36">
        <v>3</v>
      </c>
      <c r="G1103" t="s" s="35">
        <v>7002</v>
      </c>
      <c r="H1103" t="s" s="35">
        <v>7003</v>
      </c>
      <c r="I1103" t="s" s="120">
        <v>7004</v>
      </c>
      <c r="J1103" t="s" s="35">
        <v>6185</v>
      </c>
      <c r="K1103" t="s" s="35">
        <v>1058</v>
      </c>
      <c r="L1103" s="39"/>
      <c r="M1103" t="str" s="39">
        <v>Sin marco</v>
      </c>
      <c r="N1103" t="str" s="39">
        <v>Sin marco</v>
      </c>
      <c r="O1103" t="str" s="39" cm="1">
        <f t="array" ref="O1103">IF(L1103="","",_xlfn.IFERROR(INDEX('Datos - Catálogo TIMSS'!$C$5:$C$107,MATCH(L1103,'Datos - Catálogo TIMSS'!$A$5:$A$107,0)),"?"))</f>
      </c>
      <c r="P1103" t="s" s="35">
        <v>1058</v>
      </c>
      <c r="Q1103" t="s" s="120">
        <v>6186</v>
      </c>
      <c r="R1103" t="s" s="120">
        <v>7005</v>
      </c>
      <c r="S1103" s="121" cm="1">
        <f t="array" ref="S1103">_xlfn.IFERROR(ISNUMBER(SEARCH("Conocer",$R1103))/(ISNUMBER(SEARCH("Conocer",$R1103))+ISNUMBER(SEARCH("Aplicar",$R1103))+ISNUMBER(SEARCH("Razonar",$R1103))),0)</f>
        <v>0.333333333333333</v>
      </c>
      <c r="T1103" s="121" cm="1">
        <f t="array" ref="T1103">_xlfn.IFERROR(ISNUMBER(SEARCH("Aplicar",$R1103))/(ISNUMBER(SEARCH("Conocer",$R1103))+ISNUMBER(SEARCH("Aplicar",$R1103))+ISNUMBER(SEARCH("Razonar",$R1103))),0)</f>
        <v>0.333333333333333</v>
      </c>
      <c r="U1103" s="121" cm="1">
        <f t="array" ref="U1103">_xlfn.IFERROR(ISNUMBER(SEARCH("Razonar",$R1103))/(ISNUMBER(SEARCH("Conocer",$R1103))+ISNUMBER(SEARCH("Aplicar",$R1103))+ISNUMBER(SEARCH("Razonar",$R1103))),0)</f>
        <v>0.333333333333333</v>
      </c>
      <c r="V1103" t="s" s="35">
        <v>1408</v>
      </c>
      <c r="W1103" t="s" s="35">
        <v>7006</v>
      </c>
      <c r="X1103" s="36" cm="1">
        <f t="array" ref="X1103">IF(OR(_xlfn.IFERROR(INDEX('Datos - Catálogo TIMSS'!$I$5:$I$107,MATCH(K1103,'Datos - Catálogo TIMSS'!$A$5:$A$107,0)),"No")="Sí",_xlfn.IFERROR(INDEX('Datos - Catálogo TIMSS'!$I$5:$I$107,MATCH(L1103,'Datos - Catálogo TIMSS'!$A$5:$A$107,0)),"No")="Sí"),1,0)</f>
        <v>0</v>
      </c>
      <c r="Y1103" s="36" cm="1">
        <f t="array" ref="Y1103">IF(_xlfn.IFERROR(INDEX('Datos - Catálogo TIMSS'!$J$5:$J$107,MATCH(K1103,'Datos - Catálogo TIMSS'!$A$5:$A$107,0)),"No")="Sí",1,0)</f>
        <v>0</v>
      </c>
      <c r="Z1103" s="36" cm="1">
        <f t="array" ref="Z1103">IF(_xlfn.IFERROR(INDEX('Datos - Catálogo TIMSS'!$J$5:$J$107,MATCH(L1103,'Datos - Catálogo TIMSS'!$A$5:$A$107,0)),"No")="Sí",1,0)</f>
        <v>0</v>
      </c>
      <c r="AA1103" t="s" s="35">
        <v>1058</v>
      </c>
      <c r="AB1103" s="39"/>
      <c r="AC1103" t="str" s="39">
        <v>Sin marco</v>
      </c>
      <c r="AD1103" t="s" s="35">
        <v>1859</v>
      </c>
      <c r="AE1103" t="str" s="39" cm="1">
        <f t="array" ref="AE1103">IF(AD1103="","",IF(LEFT(AD1103,1)="1","C1",IF(LEFT(AD1103,1)="2","C2",IF(LEFT(AD1103,1)="3","C3",""))))</f>
        <v>C1</v>
      </c>
      <c r="AF1103" t="s" s="35">
        <v>1602</v>
      </c>
      <c r="AG1103" t="s" s="35">
        <v>1617</v>
      </c>
      <c r="AH1103" t="s" s="35">
        <v>1605</v>
      </c>
      <c r="AI1103" t="s" s="35">
        <v>1623</v>
      </c>
      <c r="AJ1103" t="s" s="35">
        <v>1615</v>
      </c>
      <c r="AK1103" s="39"/>
      <c r="AL1103" s="39"/>
      <c r="AM1103" s="39"/>
      <c r="AN1103" s="39"/>
      <c r="AO1103" s="39"/>
      <c r="AP1103" s="39"/>
      <c r="AQ1103" s="39"/>
      <c r="AR1103" s="39"/>
      <c r="AS1103" s="39"/>
      <c r="AT1103" s="39"/>
      <c r="AU1103" s="39"/>
      <c r="AV1103" s="39"/>
      <c r="AW1103" t="str" s="39" cm="1">
        <f t="array" ref="AW1103">AF1103&amp;"; "&amp;AG1103&amp;"; "&amp;AH1103&amp;"; "&amp;AI1103&amp;"; "&amp;AJ1103</f>
        <v>E1; D1; E2; D4; E6</v>
      </c>
    </row>
    <row r="1104" ht="13.65" customHeight="1">
      <c r="A1104" t="s" s="35">
        <v>7007</v>
      </c>
      <c r="B1104" s="36">
        <v>10</v>
      </c>
      <c r="C1104" t="s" s="35">
        <v>210</v>
      </c>
      <c r="D1104" t="s" s="35">
        <v>7000</v>
      </c>
      <c r="E1104" t="s" s="35">
        <v>7001</v>
      </c>
      <c r="F1104" s="36">
        <v>4</v>
      </c>
      <c r="G1104" t="s" s="35">
        <v>7002</v>
      </c>
      <c r="H1104" t="s" s="35">
        <v>7003</v>
      </c>
      <c r="I1104" t="s" s="120">
        <v>7008</v>
      </c>
      <c r="J1104" t="s" s="35">
        <v>6185</v>
      </c>
      <c r="K1104" t="s" s="35">
        <v>1058</v>
      </c>
      <c r="L1104" s="39"/>
      <c r="M1104" t="str" s="39">
        <v>Sin marco</v>
      </c>
      <c r="N1104" t="str" s="39">
        <v>Sin marco</v>
      </c>
      <c r="O1104" t="str" s="39" cm="1">
        <f t="array" ref="O1104">IF(L1104="","",_xlfn.IFERROR(INDEX('Datos - Catálogo TIMSS'!$C$5:$C$107,MATCH(L1104,'Datos - Catálogo TIMSS'!$A$5:$A$107,0)),"?"))</f>
      </c>
      <c r="P1104" t="s" s="35">
        <v>1058</v>
      </c>
      <c r="Q1104" t="s" s="120">
        <v>6186</v>
      </c>
      <c r="R1104" t="s" s="120">
        <v>7009</v>
      </c>
      <c r="S1104" s="121" cm="1">
        <f t="array" ref="S1104">_xlfn.IFERROR(ISNUMBER(SEARCH("Conocer",$R1104))/(ISNUMBER(SEARCH("Conocer",$R1104))+ISNUMBER(SEARCH("Aplicar",$R1104))+ISNUMBER(SEARCH("Razonar",$R1104))),0)</f>
        <v>0</v>
      </c>
      <c r="T1104" s="121" cm="1">
        <f t="array" ref="T1104">_xlfn.IFERROR(ISNUMBER(SEARCH("Aplicar",$R1104))/(ISNUMBER(SEARCH("Conocer",$R1104))+ISNUMBER(SEARCH("Aplicar",$R1104))+ISNUMBER(SEARCH("Razonar",$R1104))),0)</f>
        <v>0.5</v>
      </c>
      <c r="U1104" s="121" cm="1">
        <f t="array" ref="U1104">_xlfn.IFERROR(ISNUMBER(SEARCH("Razonar",$R1104))/(ISNUMBER(SEARCH("Conocer",$R1104))+ISNUMBER(SEARCH("Aplicar",$R1104))+ISNUMBER(SEARCH("Razonar",$R1104))),0)</f>
        <v>0.5</v>
      </c>
      <c r="V1104" t="s" s="35">
        <v>1408</v>
      </c>
      <c r="W1104" t="s" s="35">
        <v>7006</v>
      </c>
      <c r="X1104" s="36" cm="1">
        <f t="array" ref="X1104">IF(OR(_xlfn.IFERROR(INDEX('Datos - Catálogo TIMSS'!$I$5:$I$107,MATCH(K1104,'Datos - Catálogo TIMSS'!$A$5:$A$107,0)),"No")="Sí",_xlfn.IFERROR(INDEX('Datos - Catálogo TIMSS'!$I$5:$I$107,MATCH(L1104,'Datos - Catálogo TIMSS'!$A$5:$A$107,0)),"No")="Sí"),1,0)</f>
        <v>0</v>
      </c>
      <c r="Y1104" s="36" cm="1">
        <f t="array" ref="Y1104">IF(_xlfn.IFERROR(INDEX('Datos - Catálogo TIMSS'!$J$5:$J$107,MATCH(K1104,'Datos - Catálogo TIMSS'!$A$5:$A$107,0)),"No")="Sí",1,0)</f>
        <v>0</v>
      </c>
      <c r="Z1104" s="36" cm="1">
        <f t="array" ref="Z1104">IF(_xlfn.IFERROR(INDEX('Datos - Catálogo TIMSS'!$J$5:$J$107,MATCH(L1104,'Datos - Catálogo TIMSS'!$A$5:$A$107,0)),"No")="Sí",1,0)</f>
        <v>0</v>
      </c>
      <c r="AA1104" t="s" s="35">
        <v>1058</v>
      </c>
      <c r="AB1104" s="39"/>
      <c r="AC1104" t="str" s="39">
        <v>Sin marco</v>
      </c>
      <c r="AD1104" t="s" s="35">
        <v>1834</v>
      </c>
      <c r="AE1104" t="str" s="39" cm="1">
        <f t="array" ref="AE1104">IF(AD1104="","",IF(LEFT(AD1104,1)="1","C1",IF(LEFT(AD1104,1)="2","C2",IF(LEFT(AD1104,1)="3","C3",""))))</f>
        <v>C2</v>
      </c>
      <c r="AF1104" t="s" s="35">
        <v>1602</v>
      </c>
      <c r="AG1104" t="s" s="35">
        <v>1612</v>
      </c>
      <c r="AH1104" t="s" s="35">
        <v>1602</v>
      </c>
      <c r="AI1104" t="s" s="35">
        <v>1619</v>
      </c>
      <c r="AJ1104" t="s" s="35">
        <v>1607</v>
      </c>
      <c r="AK1104" s="39"/>
      <c r="AL1104" s="39"/>
      <c r="AM1104" s="39"/>
      <c r="AN1104" s="39"/>
      <c r="AO1104" s="39"/>
      <c r="AP1104" s="39"/>
      <c r="AQ1104" s="39"/>
      <c r="AR1104" s="39"/>
      <c r="AS1104" s="39"/>
      <c r="AT1104" s="39"/>
      <c r="AU1104" s="39"/>
      <c r="AV1104" s="39"/>
      <c r="AW1104" t="str" s="39" cm="1">
        <f t="array" ref="AW1104">AF1104&amp;"; "&amp;AG1104&amp;"; "&amp;AH1104&amp;"; "&amp;AI1104&amp;"; "&amp;AJ1104</f>
        <v>E1; E5; E1; D2; E3</v>
      </c>
    </row>
    <row r="1105" ht="13.65" customHeight="1">
      <c r="A1105" t="s" s="35">
        <v>7010</v>
      </c>
      <c r="B1105" s="36">
        <v>10</v>
      </c>
      <c r="C1105" t="s" s="35">
        <v>210</v>
      </c>
      <c r="D1105" t="s" s="35">
        <v>7000</v>
      </c>
      <c r="E1105" t="s" s="35">
        <v>7001</v>
      </c>
      <c r="F1105" s="36">
        <v>5</v>
      </c>
      <c r="G1105" t="s" s="35">
        <v>7002</v>
      </c>
      <c r="H1105" t="s" s="35">
        <v>7003</v>
      </c>
      <c r="I1105" t="s" s="120">
        <v>7011</v>
      </c>
      <c r="J1105" t="s" s="35">
        <v>6185</v>
      </c>
      <c r="K1105" t="s" s="35">
        <v>1058</v>
      </c>
      <c r="L1105" s="39"/>
      <c r="M1105" t="str" s="39">
        <v>Sin marco</v>
      </c>
      <c r="N1105" t="str" s="39">
        <v>Sin marco</v>
      </c>
      <c r="O1105" t="str" s="39" cm="1">
        <f t="array" ref="O1105">IF(L1105="","",_xlfn.IFERROR(INDEX('Datos - Catálogo TIMSS'!$C$5:$C$107,MATCH(L1105,'Datos - Catálogo TIMSS'!$A$5:$A$107,0)),"?"))</f>
      </c>
      <c r="P1105" t="s" s="35">
        <v>1058</v>
      </c>
      <c r="Q1105" t="s" s="120">
        <v>6186</v>
      </c>
      <c r="R1105" t="s" s="120">
        <v>7012</v>
      </c>
      <c r="S1105" s="121" cm="1">
        <f t="array" ref="S1105">_xlfn.IFERROR(ISNUMBER(SEARCH("Conocer",$R1105))/(ISNUMBER(SEARCH("Conocer",$R1105))+ISNUMBER(SEARCH("Aplicar",$R1105))+ISNUMBER(SEARCH("Razonar",$R1105))),0)</f>
        <v>0</v>
      </c>
      <c r="T1105" s="121" cm="1">
        <f t="array" ref="T1105">_xlfn.IFERROR(ISNUMBER(SEARCH("Aplicar",$R1105))/(ISNUMBER(SEARCH("Conocer",$R1105))+ISNUMBER(SEARCH("Aplicar",$R1105))+ISNUMBER(SEARCH("Razonar",$R1105))),0)</f>
        <v>0.5</v>
      </c>
      <c r="U1105" s="121" cm="1">
        <f t="array" ref="U1105">_xlfn.IFERROR(ISNUMBER(SEARCH("Razonar",$R1105))/(ISNUMBER(SEARCH("Conocer",$R1105))+ISNUMBER(SEARCH("Aplicar",$R1105))+ISNUMBER(SEARCH("Razonar",$R1105))),0)</f>
        <v>0.5</v>
      </c>
      <c r="V1105" t="s" s="35">
        <v>1408</v>
      </c>
      <c r="W1105" t="s" s="35">
        <v>7006</v>
      </c>
      <c r="X1105" s="36" cm="1">
        <f t="array" ref="X1105">IF(OR(_xlfn.IFERROR(INDEX('Datos - Catálogo TIMSS'!$I$5:$I$107,MATCH(K1105,'Datos - Catálogo TIMSS'!$A$5:$A$107,0)),"No")="Sí",_xlfn.IFERROR(INDEX('Datos - Catálogo TIMSS'!$I$5:$I$107,MATCH(L1105,'Datos - Catálogo TIMSS'!$A$5:$A$107,0)),"No")="Sí"),1,0)</f>
        <v>0</v>
      </c>
      <c r="Y1105" s="36" cm="1">
        <f t="array" ref="Y1105">IF(_xlfn.IFERROR(INDEX('Datos - Catálogo TIMSS'!$J$5:$J$107,MATCH(K1105,'Datos - Catálogo TIMSS'!$A$5:$A$107,0)),"No")="Sí",1,0)</f>
        <v>0</v>
      </c>
      <c r="Z1105" s="36" cm="1">
        <f t="array" ref="Z1105">IF(_xlfn.IFERROR(INDEX('Datos - Catálogo TIMSS'!$J$5:$J$107,MATCH(L1105,'Datos - Catálogo TIMSS'!$A$5:$A$107,0)),"No")="Sí",1,0)</f>
        <v>0</v>
      </c>
      <c r="AA1105" t="s" s="35">
        <v>1058</v>
      </c>
      <c r="AB1105" s="39"/>
      <c r="AC1105" t="str" s="39">
        <v>Sin marco</v>
      </c>
      <c r="AD1105" t="s" s="35">
        <v>1859</v>
      </c>
      <c r="AE1105" t="str" s="39" cm="1">
        <f t="array" ref="AE1105">IF(AD1105="","",IF(LEFT(AD1105,1)="1","C1",IF(LEFT(AD1105,1)="2","C2",IF(LEFT(AD1105,1)="3","C3",""))))</f>
        <v>C1</v>
      </c>
      <c r="AF1105" t="s" s="35">
        <v>1615</v>
      </c>
      <c r="AG1105" t="s" s="35">
        <v>1617</v>
      </c>
      <c r="AH1105" t="s" s="35">
        <v>1609</v>
      </c>
      <c r="AI1105" t="s" s="35">
        <v>1625</v>
      </c>
      <c r="AJ1105" t="s" s="35">
        <v>1627</v>
      </c>
      <c r="AK1105" s="39"/>
      <c r="AL1105" s="39"/>
      <c r="AM1105" s="39"/>
      <c r="AN1105" s="39"/>
      <c r="AO1105" s="39"/>
      <c r="AP1105" s="39"/>
      <c r="AQ1105" s="39"/>
      <c r="AR1105" s="39"/>
      <c r="AS1105" s="39"/>
      <c r="AT1105" s="39"/>
      <c r="AU1105" s="39"/>
      <c r="AV1105" s="39"/>
      <c r="AW1105" t="str" s="39" cm="1">
        <f t="array" ref="AW1105">AF1105&amp;"; "&amp;AG1105&amp;"; "&amp;AH1105&amp;"; "&amp;AI1105&amp;"; "&amp;AJ1105</f>
        <v>E6; D1; E4; I1; I2</v>
      </c>
    </row>
    <row r="1106" ht="13.65" customHeight="1">
      <c r="A1106" t="s" s="35">
        <v>7014</v>
      </c>
      <c r="B1106" s="36">
        <v>10</v>
      </c>
      <c r="C1106" t="s" s="35">
        <v>210</v>
      </c>
      <c r="D1106" t="s" s="35">
        <v>7000</v>
      </c>
      <c r="E1106" t="s" s="35">
        <v>7001</v>
      </c>
      <c r="F1106" s="36">
        <v>6</v>
      </c>
      <c r="G1106" t="s" s="35">
        <v>7002</v>
      </c>
      <c r="H1106" t="s" s="35">
        <v>7015</v>
      </c>
      <c r="I1106" t="s" s="120">
        <v>7016</v>
      </c>
      <c r="J1106" t="s" s="35">
        <v>6185</v>
      </c>
      <c r="K1106" t="s" s="35">
        <v>1058</v>
      </c>
      <c r="L1106" s="39"/>
      <c r="M1106" t="str" s="39">
        <v>Sin marco</v>
      </c>
      <c r="N1106" t="str" s="39">
        <v>Sin marco</v>
      </c>
      <c r="O1106" t="str" s="39" cm="1">
        <f t="array" ref="O1106">IF(L1106="","",_xlfn.IFERROR(INDEX('Datos - Catálogo TIMSS'!$C$5:$C$107,MATCH(L1106,'Datos - Catálogo TIMSS'!$A$5:$A$107,0)),"?"))</f>
      </c>
      <c r="P1106" t="s" s="35">
        <v>1058</v>
      </c>
      <c r="Q1106" t="s" s="120">
        <v>6186</v>
      </c>
      <c r="R1106" t="s" s="120">
        <v>7017</v>
      </c>
      <c r="S1106" s="121" cm="1">
        <f t="array" ref="S1106">_xlfn.IFERROR(ISNUMBER(SEARCH("Conocer",$R1106))/(ISNUMBER(SEARCH("Conocer",$R1106))+ISNUMBER(SEARCH("Aplicar",$R1106))+ISNUMBER(SEARCH("Razonar",$R1106))),0)</f>
        <v>0.333333333333333</v>
      </c>
      <c r="T1106" s="121" cm="1">
        <f t="array" ref="T1106">_xlfn.IFERROR(ISNUMBER(SEARCH("Aplicar",$R1106))/(ISNUMBER(SEARCH("Conocer",$R1106))+ISNUMBER(SEARCH("Aplicar",$R1106))+ISNUMBER(SEARCH("Razonar",$R1106))),0)</f>
        <v>0.333333333333333</v>
      </c>
      <c r="U1106" s="121" cm="1">
        <f t="array" ref="U1106">_xlfn.IFERROR(ISNUMBER(SEARCH("Razonar",$R1106))/(ISNUMBER(SEARCH("Conocer",$R1106))+ISNUMBER(SEARCH("Aplicar",$R1106))+ISNUMBER(SEARCH("Razonar",$R1106))),0)</f>
        <v>0.333333333333333</v>
      </c>
      <c r="V1106" t="s" s="35">
        <v>1408</v>
      </c>
      <c r="W1106" t="s" s="35">
        <v>7006</v>
      </c>
      <c r="X1106" s="36" cm="1">
        <f t="array" ref="X1106">IF(OR(_xlfn.IFERROR(INDEX('Datos - Catálogo TIMSS'!$I$5:$I$107,MATCH(K1106,'Datos - Catálogo TIMSS'!$A$5:$A$107,0)),"No")="Sí",_xlfn.IFERROR(INDEX('Datos - Catálogo TIMSS'!$I$5:$I$107,MATCH(L1106,'Datos - Catálogo TIMSS'!$A$5:$A$107,0)),"No")="Sí"),1,0)</f>
        <v>0</v>
      </c>
      <c r="Y1106" s="36" cm="1">
        <f t="array" ref="Y1106">IF(_xlfn.IFERROR(INDEX('Datos - Catálogo TIMSS'!$J$5:$J$107,MATCH(K1106,'Datos - Catálogo TIMSS'!$A$5:$A$107,0)),"No")="Sí",1,0)</f>
        <v>0</v>
      </c>
      <c r="Z1106" s="36" cm="1">
        <f t="array" ref="Z1106">IF(_xlfn.IFERROR(INDEX('Datos - Catálogo TIMSS'!$J$5:$J$107,MATCH(L1106,'Datos - Catálogo TIMSS'!$A$5:$A$107,0)),"No")="Sí",1,0)</f>
        <v>0</v>
      </c>
      <c r="AA1106" t="s" s="35">
        <v>1058</v>
      </c>
      <c r="AB1106" s="39"/>
      <c r="AC1106" t="str" s="39">
        <v>Sin marco</v>
      </c>
      <c r="AD1106" t="s" s="35">
        <v>1859</v>
      </c>
      <c r="AE1106" t="str" s="39" cm="1">
        <f t="array" ref="AE1106">IF(AD1106="","",IF(LEFT(AD1106,1)="1","C1",IF(LEFT(AD1106,1)="2","C2",IF(LEFT(AD1106,1)="3","C3",""))))</f>
        <v>C1</v>
      </c>
      <c r="AF1106" t="s" s="35">
        <v>1602</v>
      </c>
      <c r="AG1106" t="s" s="35">
        <v>1612</v>
      </c>
      <c r="AH1106" t="s" s="35">
        <v>1605</v>
      </c>
      <c r="AI1106" t="s" s="35">
        <v>1623</v>
      </c>
      <c r="AJ1106" t="s" s="35">
        <v>1631</v>
      </c>
      <c r="AK1106" s="39"/>
      <c r="AL1106" s="39"/>
      <c r="AM1106" s="39"/>
      <c r="AN1106" s="39"/>
      <c r="AO1106" s="39"/>
      <c r="AP1106" s="39"/>
      <c r="AQ1106" s="39"/>
      <c r="AR1106" s="39"/>
      <c r="AS1106" s="39"/>
      <c r="AT1106" s="39"/>
      <c r="AU1106" s="39"/>
      <c r="AV1106" s="39"/>
      <c r="AW1106" t="str" s="39" cm="1">
        <f t="array" ref="AW1106">AF1106&amp;"; "&amp;AG1106&amp;"; "&amp;AH1106&amp;"; "&amp;AI1106&amp;"; "&amp;AJ1106</f>
        <v>E1; E5; E2; D4; I4</v>
      </c>
    </row>
    <row r="1107" ht="13.65" customHeight="1">
      <c r="A1107" t="s" s="35">
        <v>7019</v>
      </c>
      <c r="B1107" s="36">
        <v>10</v>
      </c>
      <c r="C1107" t="s" s="35">
        <v>210</v>
      </c>
      <c r="D1107" t="s" s="35">
        <v>7000</v>
      </c>
      <c r="E1107" t="s" s="35">
        <v>7001</v>
      </c>
      <c r="F1107" s="36">
        <v>7</v>
      </c>
      <c r="G1107" t="s" s="35">
        <v>7002</v>
      </c>
      <c r="H1107" t="s" s="35">
        <v>7015</v>
      </c>
      <c r="I1107" t="s" s="120">
        <v>7020</v>
      </c>
      <c r="J1107" t="s" s="35">
        <v>6185</v>
      </c>
      <c r="K1107" t="s" s="35">
        <v>1058</v>
      </c>
      <c r="L1107" s="39"/>
      <c r="M1107" t="str" s="39">
        <v>Sin marco</v>
      </c>
      <c r="N1107" t="str" s="39">
        <v>Sin marco</v>
      </c>
      <c r="O1107" t="str" s="39" cm="1">
        <f t="array" ref="O1107">IF(L1107="","",_xlfn.IFERROR(INDEX('Datos - Catálogo TIMSS'!$C$5:$C$107,MATCH(L1107,'Datos - Catálogo TIMSS'!$A$5:$A$107,0)),"?"))</f>
      </c>
      <c r="P1107" t="s" s="35">
        <v>1058</v>
      </c>
      <c r="Q1107" t="s" s="120">
        <v>6186</v>
      </c>
      <c r="R1107" t="s" s="120">
        <v>7021</v>
      </c>
      <c r="S1107" s="121" cm="1">
        <f t="array" ref="S1107">_xlfn.IFERROR(ISNUMBER(SEARCH("Conocer",$R1107))/(ISNUMBER(SEARCH("Conocer",$R1107))+ISNUMBER(SEARCH("Aplicar",$R1107))+ISNUMBER(SEARCH("Razonar",$R1107))),0)</f>
        <v>0</v>
      </c>
      <c r="T1107" s="121" cm="1">
        <f t="array" ref="T1107">_xlfn.IFERROR(ISNUMBER(SEARCH("Aplicar",$R1107))/(ISNUMBER(SEARCH("Conocer",$R1107))+ISNUMBER(SEARCH("Aplicar",$R1107))+ISNUMBER(SEARCH("Razonar",$R1107))),0)</f>
        <v>0.5</v>
      </c>
      <c r="U1107" s="121" cm="1">
        <f t="array" ref="U1107">_xlfn.IFERROR(ISNUMBER(SEARCH("Razonar",$R1107))/(ISNUMBER(SEARCH("Conocer",$R1107))+ISNUMBER(SEARCH("Aplicar",$R1107))+ISNUMBER(SEARCH("Razonar",$R1107))),0)</f>
        <v>0.5</v>
      </c>
      <c r="V1107" t="s" s="35">
        <v>1408</v>
      </c>
      <c r="W1107" t="s" s="35">
        <v>7006</v>
      </c>
      <c r="X1107" s="36" cm="1">
        <f t="array" ref="X1107">IF(OR(_xlfn.IFERROR(INDEX('Datos - Catálogo TIMSS'!$I$5:$I$107,MATCH(K1107,'Datos - Catálogo TIMSS'!$A$5:$A$107,0)),"No")="Sí",_xlfn.IFERROR(INDEX('Datos - Catálogo TIMSS'!$I$5:$I$107,MATCH(L1107,'Datos - Catálogo TIMSS'!$A$5:$A$107,0)),"No")="Sí"),1,0)</f>
        <v>0</v>
      </c>
      <c r="Y1107" s="36" cm="1">
        <f t="array" ref="Y1107">IF(_xlfn.IFERROR(INDEX('Datos - Catálogo TIMSS'!$J$5:$J$107,MATCH(K1107,'Datos - Catálogo TIMSS'!$A$5:$A$107,0)),"No")="Sí",1,0)</f>
        <v>0</v>
      </c>
      <c r="Z1107" s="36" cm="1">
        <f t="array" ref="Z1107">IF(_xlfn.IFERROR(INDEX('Datos - Catálogo TIMSS'!$J$5:$J$107,MATCH(L1107,'Datos - Catálogo TIMSS'!$A$5:$A$107,0)),"No")="Sí",1,0)</f>
        <v>0</v>
      </c>
      <c r="AA1107" t="s" s="35">
        <v>1058</v>
      </c>
      <c r="AB1107" s="39"/>
      <c r="AC1107" t="str" s="39">
        <v>Sin marco</v>
      </c>
      <c r="AD1107" t="s" s="35">
        <v>1834</v>
      </c>
      <c r="AE1107" t="str" s="39" cm="1">
        <f t="array" ref="AE1107">IF(AD1107="","",IF(LEFT(AD1107,1)="1","C1",IF(LEFT(AD1107,1)="2","C2",IF(LEFT(AD1107,1)="3","C3",""))))</f>
        <v>C2</v>
      </c>
      <c r="AF1107" t="s" s="35">
        <v>1602</v>
      </c>
      <c r="AG1107" t="s" s="35">
        <v>1617</v>
      </c>
      <c r="AH1107" t="s" s="35">
        <v>1602</v>
      </c>
      <c r="AI1107" t="s" s="35">
        <v>1619</v>
      </c>
      <c r="AJ1107" t="s" s="35">
        <v>1621</v>
      </c>
      <c r="AK1107" s="39"/>
      <c r="AL1107" s="39"/>
      <c r="AM1107" s="39"/>
      <c r="AN1107" s="39"/>
      <c r="AO1107" s="39"/>
      <c r="AP1107" s="39"/>
      <c r="AQ1107" s="39"/>
      <c r="AR1107" s="39"/>
      <c r="AS1107" s="39"/>
      <c r="AT1107" s="39"/>
      <c r="AU1107" s="39"/>
      <c r="AV1107" s="39"/>
      <c r="AW1107" t="str" s="39" cm="1">
        <f t="array" ref="AW1107">AF1107&amp;"; "&amp;AG1107&amp;"; "&amp;AH1107&amp;"; "&amp;AI1107&amp;"; "&amp;AJ1107</f>
        <v>E1; D1; E1; D2; D3</v>
      </c>
    </row>
    <row r="1108" ht="13.65" customHeight="1">
      <c r="A1108" t="s" s="35">
        <v>7022</v>
      </c>
      <c r="B1108" s="36">
        <v>10</v>
      </c>
      <c r="C1108" t="s" s="35">
        <v>210</v>
      </c>
      <c r="D1108" t="s" s="35">
        <v>7000</v>
      </c>
      <c r="E1108" t="s" s="35">
        <v>7001</v>
      </c>
      <c r="F1108" s="36">
        <v>8</v>
      </c>
      <c r="G1108" t="s" s="35">
        <v>7002</v>
      </c>
      <c r="H1108" t="s" s="35">
        <v>7015</v>
      </c>
      <c r="I1108" t="s" s="120">
        <v>7023</v>
      </c>
      <c r="J1108" t="s" s="35">
        <v>6185</v>
      </c>
      <c r="K1108" t="s" s="35">
        <v>1058</v>
      </c>
      <c r="L1108" s="39"/>
      <c r="M1108" t="str" s="39">
        <v>Sin marco</v>
      </c>
      <c r="N1108" t="str" s="39">
        <v>Sin marco</v>
      </c>
      <c r="O1108" t="str" s="39" cm="1">
        <f t="array" ref="O1108">IF(L1108="","",_xlfn.IFERROR(INDEX('Datos - Catálogo TIMSS'!$C$5:$C$107,MATCH(L1108,'Datos - Catálogo TIMSS'!$A$5:$A$107,0)),"?"))</f>
      </c>
      <c r="P1108" t="s" s="35">
        <v>1058</v>
      </c>
      <c r="Q1108" t="s" s="120">
        <v>6186</v>
      </c>
      <c r="R1108" t="s" s="120">
        <v>7024</v>
      </c>
      <c r="S1108" s="121" cm="1">
        <f t="array" ref="S1108">_xlfn.IFERROR(ISNUMBER(SEARCH("Conocer",$R1108))/(ISNUMBER(SEARCH("Conocer",$R1108))+ISNUMBER(SEARCH("Aplicar",$R1108))+ISNUMBER(SEARCH("Razonar",$R1108))),0)</f>
        <v>0</v>
      </c>
      <c r="T1108" s="121" cm="1">
        <f t="array" ref="T1108">_xlfn.IFERROR(ISNUMBER(SEARCH("Aplicar",$R1108))/(ISNUMBER(SEARCH("Conocer",$R1108))+ISNUMBER(SEARCH("Aplicar",$R1108))+ISNUMBER(SEARCH("Razonar",$R1108))),0)</f>
        <v>0.5</v>
      </c>
      <c r="U1108" s="121" cm="1">
        <f t="array" ref="U1108">_xlfn.IFERROR(ISNUMBER(SEARCH("Razonar",$R1108))/(ISNUMBER(SEARCH("Conocer",$R1108))+ISNUMBER(SEARCH("Aplicar",$R1108))+ISNUMBER(SEARCH("Razonar",$R1108))),0)</f>
        <v>0.5</v>
      </c>
      <c r="V1108" t="s" s="35">
        <v>1408</v>
      </c>
      <c r="W1108" t="s" s="35">
        <v>7006</v>
      </c>
      <c r="X1108" s="36" cm="1">
        <f t="array" ref="X1108">IF(OR(_xlfn.IFERROR(INDEX('Datos - Catálogo TIMSS'!$I$5:$I$107,MATCH(K1108,'Datos - Catálogo TIMSS'!$A$5:$A$107,0)),"No")="Sí",_xlfn.IFERROR(INDEX('Datos - Catálogo TIMSS'!$I$5:$I$107,MATCH(L1108,'Datos - Catálogo TIMSS'!$A$5:$A$107,0)),"No")="Sí"),1,0)</f>
        <v>0</v>
      </c>
      <c r="Y1108" s="36" cm="1">
        <f t="array" ref="Y1108">IF(_xlfn.IFERROR(INDEX('Datos - Catálogo TIMSS'!$J$5:$J$107,MATCH(K1108,'Datos - Catálogo TIMSS'!$A$5:$A$107,0)),"No")="Sí",1,0)</f>
        <v>0</v>
      </c>
      <c r="Z1108" s="36" cm="1">
        <f t="array" ref="Z1108">IF(_xlfn.IFERROR(INDEX('Datos - Catálogo TIMSS'!$J$5:$J$107,MATCH(L1108,'Datos - Catálogo TIMSS'!$A$5:$A$107,0)),"No")="Sí",1,0)</f>
        <v>0</v>
      </c>
      <c r="AA1108" t="s" s="35">
        <v>1058</v>
      </c>
      <c r="AB1108" s="39"/>
      <c r="AC1108" t="str" s="39">
        <v>Sin marco</v>
      </c>
      <c r="AD1108" t="s" s="35">
        <v>1859</v>
      </c>
      <c r="AE1108" t="str" s="39" cm="1">
        <f t="array" ref="AE1108">IF(AD1108="","",IF(LEFT(AD1108,1)="1","C1",IF(LEFT(AD1108,1)="2","C2",IF(LEFT(AD1108,1)="3","C3",""))))</f>
        <v>C1</v>
      </c>
      <c r="AF1108" t="s" s="35">
        <v>1615</v>
      </c>
      <c r="AG1108" t="s" s="35">
        <v>1617</v>
      </c>
      <c r="AH1108" t="s" s="35">
        <v>1609</v>
      </c>
      <c r="AI1108" t="s" s="35">
        <v>1629</v>
      </c>
      <c r="AJ1108" t="s" s="35">
        <v>1607</v>
      </c>
      <c r="AK1108" s="39"/>
      <c r="AL1108" s="39"/>
      <c r="AM1108" s="39"/>
      <c r="AN1108" s="39"/>
      <c r="AO1108" s="39"/>
      <c r="AP1108" s="39"/>
      <c r="AQ1108" s="39"/>
      <c r="AR1108" s="39"/>
      <c r="AS1108" s="39"/>
      <c r="AT1108" s="39"/>
      <c r="AU1108" s="39"/>
      <c r="AV1108" s="39"/>
      <c r="AW1108" t="str" s="39" cm="1">
        <f t="array" ref="AW1108">AF1108&amp;"; "&amp;AG1108&amp;"; "&amp;AH1108&amp;"; "&amp;AI1108&amp;"; "&amp;AJ1108</f>
        <v>E6; D1; E4; I3; E3</v>
      </c>
    </row>
    <row r="1109" ht="13.65" customHeight="1">
      <c r="A1109" t="s" s="35">
        <v>7026</v>
      </c>
      <c r="B1109" s="36">
        <v>10</v>
      </c>
      <c r="C1109" t="s" s="35">
        <v>210</v>
      </c>
      <c r="D1109" t="s" s="35">
        <v>7000</v>
      </c>
      <c r="E1109" t="s" s="35">
        <v>7001</v>
      </c>
      <c r="F1109" s="36">
        <v>9</v>
      </c>
      <c r="G1109" t="s" s="35">
        <v>7002</v>
      </c>
      <c r="H1109" t="s" s="35">
        <v>7027</v>
      </c>
      <c r="I1109" t="s" s="120">
        <v>7028</v>
      </c>
      <c r="J1109" t="s" s="35">
        <v>6185</v>
      </c>
      <c r="K1109" t="s" s="35">
        <v>1058</v>
      </c>
      <c r="L1109" s="39"/>
      <c r="M1109" t="str" s="39">
        <v>Sin marco</v>
      </c>
      <c r="N1109" t="str" s="39">
        <v>Sin marco</v>
      </c>
      <c r="O1109" t="str" s="39" cm="1">
        <f t="array" ref="O1109">IF(L1109="","",_xlfn.IFERROR(INDEX('Datos - Catálogo TIMSS'!$C$5:$C$107,MATCH(L1109,'Datos - Catálogo TIMSS'!$A$5:$A$107,0)),"?"))</f>
      </c>
      <c r="P1109" t="s" s="35">
        <v>1058</v>
      </c>
      <c r="Q1109" t="s" s="120">
        <v>6186</v>
      </c>
      <c r="R1109" t="s" s="120">
        <v>7029</v>
      </c>
      <c r="S1109" s="121" cm="1">
        <f t="array" ref="S1109">_xlfn.IFERROR(ISNUMBER(SEARCH("Conocer",$R1109))/(ISNUMBER(SEARCH("Conocer",$R1109))+ISNUMBER(SEARCH("Aplicar",$R1109))+ISNUMBER(SEARCH("Razonar",$R1109))),0)</f>
        <v>0.333333333333333</v>
      </c>
      <c r="T1109" s="121" cm="1">
        <f t="array" ref="T1109">_xlfn.IFERROR(ISNUMBER(SEARCH("Aplicar",$R1109))/(ISNUMBER(SEARCH("Conocer",$R1109))+ISNUMBER(SEARCH("Aplicar",$R1109))+ISNUMBER(SEARCH("Razonar",$R1109))),0)</f>
        <v>0.333333333333333</v>
      </c>
      <c r="U1109" s="121" cm="1">
        <f t="array" ref="U1109">_xlfn.IFERROR(ISNUMBER(SEARCH("Razonar",$R1109))/(ISNUMBER(SEARCH("Conocer",$R1109))+ISNUMBER(SEARCH("Aplicar",$R1109))+ISNUMBER(SEARCH("Razonar",$R1109))),0)</f>
        <v>0.333333333333333</v>
      </c>
      <c r="V1109" t="s" s="35">
        <v>1408</v>
      </c>
      <c r="W1109" t="s" s="35">
        <v>7006</v>
      </c>
      <c r="X1109" s="36" cm="1">
        <f t="array" ref="X1109">IF(OR(_xlfn.IFERROR(INDEX('Datos - Catálogo TIMSS'!$I$5:$I$107,MATCH(K1109,'Datos - Catálogo TIMSS'!$A$5:$A$107,0)),"No")="Sí",_xlfn.IFERROR(INDEX('Datos - Catálogo TIMSS'!$I$5:$I$107,MATCH(L1109,'Datos - Catálogo TIMSS'!$A$5:$A$107,0)),"No")="Sí"),1,0)</f>
        <v>0</v>
      </c>
      <c r="Y1109" s="36" cm="1">
        <f t="array" ref="Y1109">IF(_xlfn.IFERROR(INDEX('Datos - Catálogo TIMSS'!$J$5:$J$107,MATCH(K1109,'Datos - Catálogo TIMSS'!$A$5:$A$107,0)),"No")="Sí",1,0)</f>
        <v>0</v>
      </c>
      <c r="Z1109" s="36" cm="1">
        <f t="array" ref="Z1109">IF(_xlfn.IFERROR(INDEX('Datos - Catálogo TIMSS'!$J$5:$J$107,MATCH(L1109,'Datos - Catálogo TIMSS'!$A$5:$A$107,0)),"No")="Sí",1,0)</f>
        <v>0</v>
      </c>
      <c r="AA1109" t="s" s="35">
        <v>1058</v>
      </c>
      <c r="AB1109" s="39"/>
      <c r="AC1109" t="str" s="39">
        <v>Sin marco</v>
      </c>
      <c r="AD1109" t="s" s="35">
        <v>1859</v>
      </c>
      <c r="AE1109" t="str" s="39" cm="1">
        <f t="array" ref="AE1109">IF(AD1109="","",IF(LEFT(AD1109,1)="1","C1",IF(LEFT(AD1109,1)="2","C2",IF(LEFT(AD1109,1)="3","C3",""))))</f>
        <v>C1</v>
      </c>
      <c r="AF1109" t="s" s="35">
        <v>1602</v>
      </c>
      <c r="AG1109" t="s" s="35">
        <v>1617</v>
      </c>
      <c r="AH1109" t="s" s="35">
        <v>1605</v>
      </c>
      <c r="AI1109" t="s" s="35">
        <v>1609</v>
      </c>
      <c r="AJ1109" t="s" s="35">
        <v>1615</v>
      </c>
      <c r="AK1109" s="39"/>
      <c r="AL1109" s="39"/>
      <c r="AM1109" s="39"/>
      <c r="AN1109" s="39"/>
      <c r="AO1109" s="39"/>
      <c r="AP1109" s="39"/>
      <c r="AQ1109" s="39"/>
      <c r="AR1109" s="39"/>
      <c r="AS1109" s="39"/>
      <c r="AT1109" s="39"/>
      <c r="AU1109" s="39"/>
      <c r="AV1109" s="39"/>
      <c r="AW1109" t="str" s="39" cm="1">
        <f t="array" ref="AW1109">AF1109&amp;"; "&amp;AG1109&amp;"; "&amp;AH1109&amp;"; "&amp;AI1109&amp;"; "&amp;AJ1109</f>
        <v>E1; D1; E2; E4; E6</v>
      </c>
    </row>
    <row r="1110" ht="13.65" customHeight="1">
      <c r="A1110" t="s" s="35">
        <v>7031</v>
      </c>
      <c r="B1110" s="36">
        <v>10</v>
      </c>
      <c r="C1110" t="s" s="35">
        <v>210</v>
      </c>
      <c r="D1110" t="s" s="35">
        <v>7000</v>
      </c>
      <c r="E1110" t="s" s="35">
        <v>7001</v>
      </c>
      <c r="F1110" s="36">
        <v>10</v>
      </c>
      <c r="G1110" t="s" s="35">
        <v>7002</v>
      </c>
      <c r="H1110" t="s" s="35">
        <v>7027</v>
      </c>
      <c r="I1110" t="s" s="120">
        <v>7032</v>
      </c>
      <c r="J1110" t="s" s="35">
        <v>6185</v>
      </c>
      <c r="K1110" t="s" s="35">
        <v>1058</v>
      </c>
      <c r="L1110" s="39"/>
      <c r="M1110" t="str" s="39">
        <v>Sin marco</v>
      </c>
      <c r="N1110" t="str" s="39">
        <v>Sin marco</v>
      </c>
      <c r="O1110" t="str" s="39" cm="1">
        <f t="array" ref="O1110">IF(L1110="","",_xlfn.IFERROR(INDEX('Datos - Catálogo TIMSS'!$C$5:$C$107,MATCH(L1110,'Datos - Catálogo TIMSS'!$A$5:$A$107,0)),"?"))</f>
      </c>
      <c r="P1110" t="s" s="35">
        <v>1058</v>
      </c>
      <c r="Q1110" t="s" s="120">
        <v>6186</v>
      </c>
      <c r="R1110" t="s" s="120">
        <v>7033</v>
      </c>
      <c r="S1110" s="121" cm="1">
        <f t="array" ref="S1110">_xlfn.IFERROR(ISNUMBER(SEARCH("Conocer",$R1110))/(ISNUMBER(SEARCH("Conocer",$R1110))+ISNUMBER(SEARCH("Aplicar",$R1110))+ISNUMBER(SEARCH("Razonar",$R1110))),0)</f>
        <v>0</v>
      </c>
      <c r="T1110" s="121" cm="1">
        <f t="array" ref="T1110">_xlfn.IFERROR(ISNUMBER(SEARCH("Aplicar",$R1110))/(ISNUMBER(SEARCH("Conocer",$R1110))+ISNUMBER(SEARCH("Aplicar",$R1110))+ISNUMBER(SEARCH("Razonar",$R1110))),0)</f>
        <v>0.5</v>
      </c>
      <c r="U1110" s="121" cm="1">
        <f t="array" ref="U1110">_xlfn.IFERROR(ISNUMBER(SEARCH("Razonar",$R1110))/(ISNUMBER(SEARCH("Conocer",$R1110))+ISNUMBER(SEARCH("Aplicar",$R1110))+ISNUMBER(SEARCH("Razonar",$R1110))),0)</f>
        <v>0.5</v>
      </c>
      <c r="V1110" t="s" s="35">
        <v>1408</v>
      </c>
      <c r="W1110" t="s" s="35">
        <v>7006</v>
      </c>
      <c r="X1110" s="36" cm="1">
        <f t="array" ref="X1110">IF(OR(_xlfn.IFERROR(INDEX('Datos - Catálogo TIMSS'!$I$5:$I$107,MATCH(K1110,'Datos - Catálogo TIMSS'!$A$5:$A$107,0)),"No")="Sí",_xlfn.IFERROR(INDEX('Datos - Catálogo TIMSS'!$I$5:$I$107,MATCH(L1110,'Datos - Catálogo TIMSS'!$A$5:$A$107,0)),"No")="Sí"),1,0)</f>
        <v>0</v>
      </c>
      <c r="Y1110" s="36" cm="1">
        <f t="array" ref="Y1110">IF(_xlfn.IFERROR(INDEX('Datos - Catálogo TIMSS'!$J$5:$J$107,MATCH(K1110,'Datos - Catálogo TIMSS'!$A$5:$A$107,0)),"No")="Sí",1,0)</f>
        <v>0</v>
      </c>
      <c r="Z1110" s="36" cm="1">
        <f t="array" ref="Z1110">IF(_xlfn.IFERROR(INDEX('Datos - Catálogo TIMSS'!$J$5:$J$107,MATCH(L1110,'Datos - Catálogo TIMSS'!$A$5:$A$107,0)),"No")="Sí",1,0)</f>
        <v>0</v>
      </c>
      <c r="AA1110" t="s" s="35">
        <v>1058</v>
      </c>
      <c r="AB1110" s="39"/>
      <c r="AC1110" t="str" s="39">
        <v>Sin marco</v>
      </c>
      <c r="AD1110" t="s" s="35">
        <v>1834</v>
      </c>
      <c r="AE1110" t="str" s="39" cm="1">
        <f t="array" ref="AE1110">IF(AD1110="","",IF(LEFT(AD1110,1)="1","C1",IF(LEFT(AD1110,1)="2","C2",IF(LEFT(AD1110,1)="3","C3",""))))</f>
        <v>C2</v>
      </c>
      <c r="AF1110" t="s" s="35">
        <v>1602</v>
      </c>
      <c r="AG1110" t="s" s="35">
        <v>1617</v>
      </c>
      <c r="AH1110" t="s" s="35">
        <v>1602</v>
      </c>
      <c r="AI1110" t="s" s="35">
        <v>1619</v>
      </c>
      <c r="AJ1110" t="s" s="35">
        <v>1621</v>
      </c>
      <c r="AK1110" s="39"/>
      <c r="AL1110" s="39"/>
      <c r="AM1110" s="39"/>
      <c r="AN1110" s="39"/>
      <c r="AO1110" s="39"/>
      <c r="AP1110" s="39"/>
      <c r="AQ1110" s="39"/>
      <c r="AR1110" s="39"/>
      <c r="AS1110" s="39"/>
      <c r="AT1110" s="39"/>
      <c r="AU1110" s="39"/>
      <c r="AV1110" s="39"/>
      <c r="AW1110" t="str" s="39" cm="1">
        <f t="array" ref="AW1110">AF1110&amp;"; "&amp;AG1110&amp;"; "&amp;AH1110&amp;"; "&amp;AI1110&amp;"; "&amp;AJ1110</f>
        <v>E1; D1; E1; D2; D3</v>
      </c>
    </row>
    <row r="1111" ht="13.65" customHeight="1">
      <c r="A1111" t="s" s="35">
        <v>7034</v>
      </c>
      <c r="B1111" s="36">
        <v>10</v>
      </c>
      <c r="C1111" t="s" s="35">
        <v>210</v>
      </c>
      <c r="D1111" t="s" s="35">
        <v>7000</v>
      </c>
      <c r="E1111" t="s" s="35">
        <v>7001</v>
      </c>
      <c r="F1111" s="36">
        <v>11</v>
      </c>
      <c r="G1111" t="s" s="35">
        <v>7002</v>
      </c>
      <c r="H1111" t="s" s="35">
        <v>7027</v>
      </c>
      <c r="I1111" t="s" s="120">
        <v>7035</v>
      </c>
      <c r="J1111" t="s" s="35">
        <v>6185</v>
      </c>
      <c r="K1111" t="s" s="35">
        <v>1058</v>
      </c>
      <c r="L1111" s="39"/>
      <c r="M1111" t="str" s="39">
        <v>Sin marco</v>
      </c>
      <c r="N1111" t="str" s="39">
        <v>Sin marco</v>
      </c>
      <c r="O1111" t="str" s="39" cm="1">
        <f t="array" ref="O1111">IF(L1111="","",_xlfn.IFERROR(INDEX('Datos - Catálogo TIMSS'!$C$5:$C$107,MATCH(L1111,'Datos - Catálogo TIMSS'!$A$5:$A$107,0)),"?"))</f>
      </c>
      <c r="P1111" t="s" s="35">
        <v>1058</v>
      </c>
      <c r="Q1111" t="s" s="120">
        <v>6186</v>
      </c>
      <c r="R1111" t="s" s="120">
        <v>7036</v>
      </c>
      <c r="S1111" s="121" cm="1">
        <f t="array" ref="S1111">_xlfn.IFERROR(ISNUMBER(SEARCH("Conocer",$R1111))/(ISNUMBER(SEARCH("Conocer",$R1111))+ISNUMBER(SEARCH("Aplicar",$R1111))+ISNUMBER(SEARCH("Razonar",$R1111))),0)</f>
        <v>0</v>
      </c>
      <c r="T1111" s="121" cm="1">
        <f t="array" ref="T1111">_xlfn.IFERROR(ISNUMBER(SEARCH("Aplicar",$R1111))/(ISNUMBER(SEARCH("Conocer",$R1111))+ISNUMBER(SEARCH("Aplicar",$R1111))+ISNUMBER(SEARCH("Razonar",$R1111))),0)</f>
        <v>0.5</v>
      </c>
      <c r="U1111" s="121" cm="1">
        <f t="array" ref="U1111">_xlfn.IFERROR(ISNUMBER(SEARCH("Razonar",$R1111))/(ISNUMBER(SEARCH("Conocer",$R1111))+ISNUMBER(SEARCH("Aplicar",$R1111))+ISNUMBER(SEARCH("Razonar",$R1111))),0)</f>
        <v>0.5</v>
      </c>
      <c r="V1111" t="s" s="35">
        <v>1408</v>
      </c>
      <c r="W1111" t="s" s="35">
        <v>7006</v>
      </c>
      <c r="X1111" s="36" cm="1">
        <f t="array" ref="X1111">IF(OR(_xlfn.IFERROR(INDEX('Datos - Catálogo TIMSS'!$I$5:$I$107,MATCH(K1111,'Datos - Catálogo TIMSS'!$A$5:$A$107,0)),"No")="Sí",_xlfn.IFERROR(INDEX('Datos - Catálogo TIMSS'!$I$5:$I$107,MATCH(L1111,'Datos - Catálogo TIMSS'!$A$5:$A$107,0)),"No")="Sí"),1,0)</f>
        <v>0</v>
      </c>
      <c r="Y1111" s="36" cm="1">
        <f t="array" ref="Y1111">IF(_xlfn.IFERROR(INDEX('Datos - Catálogo TIMSS'!$J$5:$J$107,MATCH(K1111,'Datos - Catálogo TIMSS'!$A$5:$A$107,0)),"No")="Sí",1,0)</f>
        <v>0</v>
      </c>
      <c r="Z1111" s="36" cm="1">
        <f t="array" ref="Z1111">IF(_xlfn.IFERROR(INDEX('Datos - Catálogo TIMSS'!$J$5:$J$107,MATCH(L1111,'Datos - Catálogo TIMSS'!$A$5:$A$107,0)),"No")="Sí",1,0)</f>
        <v>0</v>
      </c>
      <c r="AA1111" t="s" s="35">
        <v>1058</v>
      </c>
      <c r="AB1111" s="39"/>
      <c r="AC1111" t="str" s="39">
        <v>Sin marco</v>
      </c>
      <c r="AD1111" t="s" s="35">
        <v>1900</v>
      </c>
      <c r="AE1111" t="str" s="39" cm="1">
        <f t="array" ref="AE1111">IF(AD1111="","",IF(LEFT(AD1111,1)="1","C1",IF(LEFT(AD1111,1)="2","C2",IF(LEFT(AD1111,1)="3","C3",""))))</f>
        <v>C3</v>
      </c>
      <c r="AF1111" t="s" s="35">
        <v>1602</v>
      </c>
      <c r="AG1111" t="s" s="35">
        <v>1617</v>
      </c>
      <c r="AH1111" t="s" s="35">
        <v>1605</v>
      </c>
      <c r="AI1111" t="s" s="35">
        <v>1625</v>
      </c>
      <c r="AJ1111" t="s" s="35">
        <v>1633</v>
      </c>
      <c r="AK1111" s="39"/>
      <c r="AL1111" s="39"/>
      <c r="AM1111" s="39"/>
      <c r="AN1111" s="39"/>
      <c r="AO1111" s="39"/>
      <c r="AP1111" s="39"/>
      <c r="AQ1111" s="39"/>
      <c r="AR1111" s="39"/>
      <c r="AS1111" s="39"/>
      <c r="AT1111" s="39"/>
      <c r="AU1111" s="39"/>
      <c r="AV1111" s="39"/>
      <c r="AW1111" t="str" s="39" cm="1">
        <f t="array" ref="AW1111">AF1111&amp;"; "&amp;AG1111&amp;"; "&amp;AH1111&amp;"; "&amp;AI1111&amp;"; "&amp;AJ1111</f>
        <v>E1; D1; E2; I1; I5</v>
      </c>
    </row>
    <row r="1112" ht="13.65" customHeight="1">
      <c r="A1112" t="s" s="35">
        <v>7037</v>
      </c>
      <c r="B1112" s="36">
        <v>10</v>
      </c>
      <c r="C1112" t="s" s="35">
        <v>210</v>
      </c>
      <c r="D1112" t="s" s="35">
        <v>7000</v>
      </c>
      <c r="E1112" t="s" s="35">
        <v>7001</v>
      </c>
      <c r="F1112" s="36">
        <v>12</v>
      </c>
      <c r="G1112" t="s" s="35">
        <v>7002</v>
      </c>
      <c r="H1112" t="s" s="35">
        <v>7038</v>
      </c>
      <c r="I1112" t="s" s="120">
        <v>7039</v>
      </c>
      <c r="J1112" t="s" s="35">
        <v>6185</v>
      </c>
      <c r="K1112" t="s" s="35">
        <v>1058</v>
      </c>
      <c r="L1112" s="39"/>
      <c r="M1112" t="str" s="39">
        <v>Sin marco</v>
      </c>
      <c r="N1112" t="str" s="39">
        <v>Sin marco</v>
      </c>
      <c r="O1112" t="str" s="39" cm="1">
        <f t="array" ref="O1112">IF(L1112="","",_xlfn.IFERROR(INDEX('Datos - Catálogo TIMSS'!$C$5:$C$107,MATCH(L1112,'Datos - Catálogo TIMSS'!$A$5:$A$107,0)),"?"))</f>
      </c>
      <c r="P1112" t="s" s="35">
        <v>1058</v>
      </c>
      <c r="Q1112" t="s" s="120">
        <v>6186</v>
      </c>
      <c r="R1112" t="s" s="120">
        <v>7040</v>
      </c>
      <c r="S1112" s="121" cm="1">
        <f t="array" ref="S1112">_xlfn.IFERROR(ISNUMBER(SEARCH("Conocer",$R1112))/(ISNUMBER(SEARCH("Conocer",$R1112))+ISNUMBER(SEARCH("Aplicar",$R1112))+ISNUMBER(SEARCH("Razonar",$R1112))),0)</f>
        <v>0.333333333333333</v>
      </c>
      <c r="T1112" s="121" cm="1">
        <f t="array" ref="T1112">_xlfn.IFERROR(ISNUMBER(SEARCH("Aplicar",$R1112))/(ISNUMBER(SEARCH("Conocer",$R1112))+ISNUMBER(SEARCH("Aplicar",$R1112))+ISNUMBER(SEARCH("Razonar",$R1112))),0)</f>
        <v>0.333333333333333</v>
      </c>
      <c r="U1112" s="121" cm="1">
        <f t="array" ref="U1112">_xlfn.IFERROR(ISNUMBER(SEARCH("Razonar",$R1112))/(ISNUMBER(SEARCH("Conocer",$R1112))+ISNUMBER(SEARCH("Aplicar",$R1112))+ISNUMBER(SEARCH("Razonar",$R1112))),0)</f>
        <v>0.333333333333333</v>
      </c>
      <c r="V1112" t="s" s="35">
        <v>1408</v>
      </c>
      <c r="W1112" t="s" s="35">
        <v>7006</v>
      </c>
      <c r="X1112" s="36" cm="1">
        <f t="array" ref="X1112">IF(OR(_xlfn.IFERROR(INDEX('Datos - Catálogo TIMSS'!$I$5:$I$107,MATCH(K1112,'Datos - Catálogo TIMSS'!$A$5:$A$107,0)),"No")="Sí",_xlfn.IFERROR(INDEX('Datos - Catálogo TIMSS'!$I$5:$I$107,MATCH(L1112,'Datos - Catálogo TIMSS'!$A$5:$A$107,0)),"No")="Sí"),1,0)</f>
        <v>0</v>
      </c>
      <c r="Y1112" s="36" cm="1">
        <f t="array" ref="Y1112">IF(_xlfn.IFERROR(INDEX('Datos - Catálogo TIMSS'!$J$5:$J$107,MATCH(K1112,'Datos - Catálogo TIMSS'!$A$5:$A$107,0)),"No")="Sí",1,0)</f>
        <v>0</v>
      </c>
      <c r="Z1112" s="36" cm="1">
        <f t="array" ref="Z1112">IF(_xlfn.IFERROR(INDEX('Datos - Catálogo TIMSS'!$J$5:$J$107,MATCH(L1112,'Datos - Catálogo TIMSS'!$A$5:$A$107,0)),"No")="Sí",1,0)</f>
        <v>0</v>
      </c>
      <c r="AA1112" t="s" s="35">
        <v>1058</v>
      </c>
      <c r="AB1112" s="39"/>
      <c r="AC1112" t="str" s="39">
        <v>Sin marco</v>
      </c>
      <c r="AD1112" t="s" s="35">
        <v>1859</v>
      </c>
      <c r="AE1112" t="str" s="39" cm="1">
        <f t="array" ref="AE1112">IF(AD1112="","",IF(LEFT(AD1112,1)="1","C1",IF(LEFT(AD1112,1)="2","C2",IF(LEFT(AD1112,1)="3","C3",""))))</f>
        <v>C1</v>
      </c>
      <c r="AF1112" t="s" s="35">
        <v>1602</v>
      </c>
      <c r="AG1112" t="s" s="35">
        <v>1617</v>
      </c>
      <c r="AH1112" t="s" s="35">
        <v>1605</v>
      </c>
      <c r="AI1112" t="s" s="35">
        <v>1625</v>
      </c>
      <c r="AJ1112" t="s" s="35">
        <v>1607</v>
      </c>
      <c r="AK1112" s="39"/>
      <c r="AL1112" s="39"/>
      <c r="AM1112" s="39"/>
      <c r="AN1112" s="39"/>
      <c r="AO1112" s="39"/>
      <c r="AP1112" s="39"/>
      <c r="AQ1112" s="39"/>
      <c r="AR1112" s="39"/>
      <c r="AS1112" s="39"/>
      <c r="AT1112" s="39"/>
      <c r="AU1112" s="39"/>
      <c r="AV1112" s="39"/>
      <c r="AW1112" t="str" s="39" cm="1">
        <f t="array" ref="AW1112">AF1112&amp;"; "&amp;AG1112&amp;"; "&amp;AH1112&amp;"; "&amp;AI1112&amp;"; "&amp;AJ1112</f>
        <v>E1; D1; E2; I1; E3</v>
      </c>
    </row>
    <row r="1113" ht="13.65" customHeight="1">
      <c r="A1113" t="s" s="35">
        <v>7042</v>
      </c>
      <c r="B1113" s="36">
        <v>10</v>
      </c>
      <c r="C1113" t="s" s="35">
        <v>210</v>
      </c>
      <c r="D1113" t="s" s="35">
        <v>7000</v>
      </c>
      <c r="E1113" t="s" s="35">
        <v>7001</v>
      </c>
      <c r="F1113" s="36">
        <v>13</v>
      </c>
      <c r="G1113" t="s" s="35">
        <v>7002</v>
      </c>
      <c r="H1113" t="s" s="35">
        <v>7038</v>
      </c>
      <c r="I1113" t="s" s="120">
        <v>7043</v>
      </c>
      <c r="J1113" t="s" s="35">
        <v>6185</v>
      </c>
      <c r="K1113" t="s" s="35">
        <v>1058</v>
      </c>
      <c r="L1113" s="39"/>
      <c r="M1113" t="str" s="39">
        <v>Sin marco</v>
      </c>
      <c r="N1113" t="str" s="39">
        <v>Sin marco</v>
      </c>
      <c r="O1113" t="str" s="39" cm="1">
        <f t="array" ref="O1113">IF(L1113="","",_xlfn.IFERROR(INDEX('Datos - Catálogo TIMSS'!$C$5:$C$107,MATCH(L1113,'Datos - Catálogo TIMSS'!$A$5:$A$107,0)),"?"))</f>
      </c>
      <c r="P1113" t="s" s="35">
        <v>1058</v>
      </c>
      <c r="Q1113" t="s" s="120">
        <v>6186</v>
      </c>
      <c r="R1113" t="s" s="120">
        <v>7044</v>
      </c>
      <c r="S1113" s="121" cm="1">
        <f t="array" ref="S1113">_xlfn.IFERROR(ISNUMBER(SEARCH("Conocer",$R1113))/(ISNUMBER(SEARCH("Conocer",$R1113))+ISNUMBER(SEARCH("Aplicar",$R1113))+ISNUMBER(SEARCH("Razonar",$R1113))),0)</f>
        <v>0</v>
      </c>
      <c r="T1113" s="121" cm="1">
        <f t="array" ref="T1113">_xlfn.IFERROR(ISNUMBER(SEARCH("Aplicar",$R1113))/(ISNUMBER(SEARCH("Conocer",$R1113))+ISNUMBER(SEARCH("Aplicar",$R1113))+ISNUMBER(SEARCH("Razonar",$R1113))),0)</f>
        <v>0.5</v>
      </c>
      <c r="U1113" s="121" cm="1">
        <f t="array" ref="U1113">_xlfn.IFERROR(ISNUMBER(SEARCH("Razonar",$R1113))/(ISNUMBER(SEARCH("Conocer",$R1113))+ISNUMBER(SEARCH("Aplicar",$R1113))+ISNUMBER(SEARCH("Razonar",$R1113))),0)</f>
        <v>0.5</v>
      </c>
      <c r="V1113" t="s" s="35">
        <v>1408</v>
      </c>
      <c r="W1113" t="s" s="35">
        <v>7006</v>
      </c>
      <c r="X1113" s="36" cm="1">
        <f t="array" ref="X1113">IF(OR(_xlfn.IFERROR(INDEX('Datos - Catálogo TIMSS'!$I$5:$I$107,MATCH(K1113,'Datos - Catálogo TIMSS'!$A$5:$A$107,0)),"No")="Sí",_xlfn.IFERROR(INDEX('Datos - Catálogo TIMSS'!$I$5:$I$107,MATCH(L1113,'Datos - Catálogo TIMSS'!$A$5:$A$107,0)),"No")="Sí"),1,0)</f>
        <v>0</v>
      </c>
      <c r="Y1113" s="36" cm="1">
        <f t="array" ref="Y1113">IF(_xlfn.IFERROR(INDEX('Datos - Catálogo TIMSS'!$J$5:$J$107,MATCH(K1113,'Datos - Catálogo TIMSS'!$A$5:$A$107,0)),"No")="Sí",1,0)</f>
        <v>0</v>
      </c>
      <c r="Z1113" s="36" cm="1">
        <f t="array" ref="Z1113">IF(_xlfn.IFERROR(INDEX('Datos - Catálogo TIMSS'!$J$5:$J$107,MATCH(L1113,'Datos - Catálogo TIMSS'!$A$5:$A$107,0)),"No")="Sí",1,0)</f>
        <v>0</v>
      </c>
      <c r="AA1113" t="s" s="35">
        <v>1058</v>
      </c>
      <c r="AB1113" s="39"/>
      <c r="AC1113" t="str" s="39">
        <v>Sin marco</v>
      </c>
      <c r="AD1113" t="s" s="35">
        <v>1859</v>
      </c>
      <c r="AE1113" t="str" s="39" cm="1">
        <f t="array" ref="AE1113">IF(AD1113="","",IF(LEFT(AD1113,1)="1","C1",IF(LEFT(AD1113,1)="2","C2",IF(LEFT(AD1113,1)="3","C3",""))))</f>
        <v>C1</v>
      </c>
      <c r="AF1113" t="s" s="35">
        <v>1602</v>
      </c>
      <c r="AG1113" t="s" s="35">
        <v>1607</v>
      </c>
      <c r="AH1113" t="s" s="35">
        <v>1609</v>
      </c>
      <c r="AI1113" t="s" s="35">
        <v>1623</v>
      </c>
      <c r="AJ1113" t="s" s="35">
        <v>1615</v>
      </c>
      <c r="AK1113" s="39"/>
      <c r="AL1113" s="39"/>
      <c r="AM1113" s="39"/>
      <c r="AN1113" s="39"/>
      <c r="AO1113" s="39"/>
      <c r="AP1113" s="39"/>
      <c r="AQ1113" s="39"/>
      <c r="AR1113" s="39"/>
      <c r="AS1113" s="39"/>
      <c r="AT1113" s="39"/>
      <c r="AU1113" s="39"/>
      <c r="AV1113" s="39"/>
      <c r="AW1113" t="str" s="39" cm="1">
        <f t="array" ref="AW1113">AF1113&amp;"; "&amp;AG1113&amp;"; "&amp;AH1113&amp;"; "&amp;AI1113&amp;"; "&amp;AJ1113</f>
        <v>E1; E3; E4; D4; E6</v>
      </c>
    </row>
    <row r="1114" ht="13.65" customHeight="1">
      <c r="A1114" t="s" s="35">
        <v>7045</v>
      </c>
      <c r="B1114" s="36">
        <v>10</v>
      </c>
      <c r="C1114" t="s" s="35">
        <v>210</v>
      </c>
      <c r="D1114" t="s" s="35">
        <v>7000</v>
      </c>
      <c r="E1114" t="s" s="35">
        <v>7001</v>
      </c>
      <c r="F1114" s="36">
        <v>14</v>
      </c>
      <c r="G1114" t="s" s="35">
        <v>7046</v>
      </c>
      <c r="H1114" t="s" s="35">
        <v>7047</v>
      </c>
      <c r="I1114" t="s" s="120">
        <v>7048</v>
      </c>
      <c r="J1114" t="s" s="35">
        <v>6185</v>
      </c>
      <c r="K1114" t="s" s="35">
        <v>1058</v>
      </c>
      <c r="L1114" s="39"/>
      <c r="M1114" t="str" s="39">
        <v>Sin marco</v>
      </c>
      <c r="N1114" t="str" s="39">
        <v>Sin marco</v>
      </c>
      <c r="O1114" t="str" s="39" cm="1">
        <f t="array" ref="O1114">IF(L1114="","",_xlfn.IFERROR(INDEX('Datos - Catálogo TIMSS'!$C$5:$C$107,MATCH(L1114,'Datos - Catálogo TIMSS'!$A$5:$A$107,0)),"?"))</f>
      </c>
      <c r="P1114" t="s" s="35">
        <v>1058</v>
      </c>
      <c r="Q1114" t="s" s="120">
        <v>6186</v>
      </c>
      <c r="R1114" t="s" s="120">
        <v>7049</v>
      </c>
      <c r="S1114" s="121" cm="1">
        <f t="array" ref="S1114">_xlfn.IFERROR(ISNUMBER(SEARCH("Conocer",$R1114))/(ISNUMBER(SEARCH("Conocer",$R1114))+ISNUMBER(SEARCH("Aplicar",$R1114))+ISNUMBER(SEARCH("Razonar",$R1114))),0)</f>
        <v>0.333333333333333</v>
      </c>
      <c r="T1114" s="121" cm="1">
        <f t="array" ref="T1114">_xlfn.IFERROR(ISNUMBER(SEARCH("Aplicar",$R1114))/(ISNUMBER(SEARCH("Conocer",$R1114))+ISNUMBER(SEARCH("Aplicar",$R1114))+ISNUMBER(SEARCH("Razonar",$R1114))),0)</f>
        <v>0.333333333333333</v>
      </c>
      <c r="U1114" s="121" cm="1">
        <f t="array" ref="U1114">_xlfn.IFERROR(ISNUMBER(SEARCH("Razonar",$R1114))/(ISNUMBER(SEARCH("Conocer",$R1114))+ISNUMBER(SEARCH("Aplicar",$R1114))+ISNUMBER(SEARCH("Razonar",$R1114))),0)</f>
        <v>0.333333333333333</v>
      </c>
      <c r="V1114" t="s" s="35">
        <v>1408</v>
      </c>
      <c r="W1114" t="s" s="35">
        <v>7006</v>
      </c>
      <c r="X1114" s="36" cm="1">
        <f t="array" ref="X1114">IF(OR(_xlfn.IFERROR(INDEX('Datos - Catálogo TIMSS'!$I$5:$I$107,MATCH(K1114,'Datos - Catálogo TIMSS'!$A$5:$A$107,0)),"No")="Sí",_xlfn.IFERROR(INDEX('Datos - Catálogo TIMSS'!$I$5:$I$107,MATCH(L1114,'Datos - Catálogo TIMSS'!$A$5:$A$107,0)),"No")="Sí"),1,0)</f>
        <v>0</v>
      </c>
      <c r="Y1114" s="36" cm="1">
        <f t="array" ref="Y1114">IF(_xlfn.IFERROR(INDEX('Datos - Catálogo TIMSS'!$J$5:$J$107,MATCH(K1114,'Datos - Catálogo TIMSS'!$A$5:$A$107,0)),"No")="Sí",1,0)</f>
        <v>0</v>
      </c>
      <c r="Z1114" s="36" cm="1">
        <f t="array" ref="Z1114">IF(_xlfn.IFERROR(INDEX('Datos - Catálogo TIMSS'!$J$5:$J$107,MATCH(L1114,'Datos - Catálogo TIMSS'!$A$5:$A$107,0)),"No")="Sí",1,0)</f>
        <v>0</v>
      </c>
      <c r="AA1114" t="s" s="35">
        <v>1058</v>
      </c>
      <c r="AB1114" s="39"/>
      <c r="AC1114" t="str" s="39">
        <v>Sin marco</v>
      </c>
      <c r="AD1114" t="s" s="35">
        <v>1859</v>
      </c>
      <c r="AE1114" t="str" s="39" cm="1">
        <f t="array" ref="AE1114">IF(AD1114="","",IF(LEFT(AD1114,1)="1","C1",IF(LEFT(AD1114,1)="2","C2",IF(LEFT(AD1114,1)="3","C3",""))))</f>
        <v>C1</v>
      </c>
      <c r="AF1114" t="s" s="35">
        <v>1602</v>
      </c>
      <c r="AG1114" t="s" s="35">
        <v>1617</v>
      </c>
      <c r="AH1114" t="s" s="35">
        <v>1605</v>
      </c>
      <c r="AI1114" t="s" s="35">
        <v>1629</v>
      </c>
      <c r="AJ1114" t="s" s="35">
        <v>1607</v>
      </c>
      <c r="AK1114" s="39"/>
      <c r="AL1114" s="39"/>
      <c r="AM1114" s="39"/>
      <c r="AN1114" s="39"/>
      <c r="AO1114" s="39"/>
      <c r="AP1114" s="39"/>
      <c r="AQ1114" s="39"/>
      <c r="AR1114" s="39"/>
      <c r="AS1114" s="39"/>
      <c r="AT1114" s="39"/>
      <c r="AU1114" s="39"/>
      <c r="AV1114" s="39"/>
      <c r="AW1114" t="str" s="39" cm="1">
        <f t="array" ref="AW1114">AF1114&amp;"; "&amp;AG1114&amp;"; "&amp;AH1114&amp;"; "&amp;AI1114&amp;"; "&amp;AJ1114</f>
        <v>E1; D1; E2; I3; E3</v>
      </c>
    </row>
    <row r="1115" ht="13.65" customHeight="1">
      <c r="A1115" t="s" s="35">
        <v>7050</v>
      </c>
      <c r="B1115" s="36">
        <v>10</v>
      </c>
      <c r="C1115" t="s" s="35">
        <v>210</v>
      </c>
      <c r="D1115" t="s" s="35">
        <v>7000</v>
      </c>
      <c r="E1115" t="s" s="35">
        <v>7001</v>
      </c>
      <c r="F1115" s="36">
        <v>15</v>
      </c>
      <c r="G1115" t="s" s="35">
        <v>7046</v>
      </c>
      <c r="H1115" t="s" s="35">
        <v>7047</v>
      </c>
      <c r="I1115" t="s" s="120">
        <v>7051</v>
      </c>
      <c r="J1115" t="s" s="35">
        <v>6185</v>
      </c>
      <c r="K1115" t="s" s="35">
        <v>1058</v>
      </c>
      <c r="L1115" s="39"/>
      <c r="M1115" t="str" s="39">
        <v>Sin marco</v>
      </c>
      <c r="N1115" t="str" s="39">
        <v>Sin marco</v>
      </c>
      <c r="O1115" t="str" s="39" cm="1">
        <f t="array" ref="O1115">IF(L1115="","",_xlfn.IFERROR(INDEX('Datos - Catálogo TIMSS'!$C$5:$C$107,MATCH(L1115,'Datos - Catálogo TIMSS'!$A$5:$A$107,0)),"?"))</f>
      </c>
      <c r="P1115" t="s" s="35">
        <v>1058</v>
      </c>
      <c r="Q1115" t="s" s="120">
        <v>6186</v>
      </c>
      <c r="R1115" t="s" s="120">
        <v>7052</v>
      </c>
      <c r="S1115" s="121" cm="1">
        <f t="array" ref="S1115">_xlfn.IFERROR(ISNUMBER(SEARCH("Conocer",$R1115))/(ISNUMBER(SEARCH("Conocer",$R1115))+ISNUMBER(SEARCH("Aplicar",$R1115))+ISNUMBER(SEARCH("Razonar",$R1115))),0)</f>
        <v>0.5</v>
      </c>
      <c r="T1115" s="121" cm="1">
        <f t="array" ref="T1115">_xlfn.IFERROR(ISNUMBER(SEARCH("Aplicar",$R1115))/(ISNUMBER(SEARCH("Conocer",$R1115))+ISNUMBER(SEARCH("Aplicar",$R1115))+ISNUMBER(SEARCH("Razonar",$R1115))),0)</f>
        <v>0</v>
      </c>
      <c r="U1115" s="121" cm="1">
        <f t="array" ref="U1115">_xlfn.IFERROR(ISNUMBER(SEARCH("Razonar",$R1115))/(ISNUMBER(SEARCH("Conocer",$R1115))+ISNUMBER(SEARCH("Aplicar",$R1115))+ISNUMBER(SEARCH("Razonar",$R1115))),0)</f>
        <v>0.5</v>
      </c>
      <c r="V1115" t="s" s="35">
        <v>1408</v>
      </c>
      <c r="W1115" t="s" s="35">
        <v>7006</v>
      </c>
      <c r="X1115" s="36" cm="1">
        <f t="array" ref="X1115">IF(OR(_xlfn.IFERROR(INDEX('Datos - Catálogo TIMSS'!$I$5:$I$107,MATCH(K1115,'Datos - Catálogo TIMSS'!$A$5:$A$107,0)),"No")="Sí",_xlfn.IFERROR(INDEX('Datos - Catálogo TIMSS'!$I$5:$I$107,MATCH(L1115,'Datos - Catálogo TIMSS'!$A$5:$A$107,0)),"No")="Sí"),1,0)</f>
        <v>0</v>
      </c>
      <c r="Y1115" s="36" cm="1">
        <f t="array" ref="Y1115">IF(_xlfn.IFERROR(INDEX('Datos - Catálogo TIMSS'!$J$5:$J$107,MATCH(K1115,'Datos - Catálogo TIMSS'!$A$5:$A$107,0)),"No")="Sí",1,0)</f>
        <v>0</v>
      </c>
      <c r="Z1115" s="36" cm="1">
        <f t="array" ref="Z1115">IF(_xlfn.IFERROR(INDEX('Datos - Catálogo TIMSS'!$J$5:$J$107,MATCH(L1115,'Datos - Catálogo TIMSS'!$A$5:$A$107,0)),"No")="Sí",1,0)</f>
        <v>0</v>
      </c>
      <c r="AA1115" t="s" s="35">
        <v>1058</v>
      </c>
      <c r="AB1115" s="39"/>
      <c r="AC1115" t="str" s="39">
        <v>Sin marco</v>
      </c>
      <c r="AD1115" t="s" s="35">
        <v>1859</v>
      </c>
      <c r="AE1115" t="str" s="39" cm="1">
        <f t="array" ref="AE1115">IF(AD1115="","",IF(LEFT(AD1115,1)="1","C1",IF(LEFT(AD1115,1)="2","C2",IF(LEFT(AD1115,1)="3","C3",""))))</f>
        <v>C1</v>
      </c>
      <c r="AF1115" t="s" s="35">
        <v>1602</v>
      </c>
      <c r="AG1115" t="s" s="35">
        <v>1612</v>
      </c>
      <c r="AH1115" t="s" s="35">
        <v>1602</v>
      </c>
      <c r="AI1115" t="s" s="35">
        <v>1609</v>
      </c>
      <c r="AJ1115" t="s" s="35">
        <v>1607</v>
      </c>
      <c r="AK1115" s="39"/>
      <c r="AL1115" s="39"/>
      <c r="AM1115" s="39"/>
      <c r="AN1115" s="39"/>
      <c r="AO1115" s="39"/>
      <c r="AP1115" s="39"/>
      <c r="AQ1115" s="39"/>
      <c r="AR1115" s="39"/>
      <c r="AS1115" s="39"/>
      <c r="AT1115" s="39"/>
      <c r="AU1115" s="39"/>
      <c r="AV1115" s="39"/>
      <c r="AW1115" t="str" s="39" cm="1">
        <f t="array" ref="AW1115">AF1115&amp;"; "&amp;AG1115&amp;"; "&amp;AH1115&amp;"; "&amp;AI1115&amp;"; "&amp;AJ1115</f>
        <v>E1; E5; E1; E4; E3</v>
      </c>
    </row>
    <row r="1116" ht="13.65" customHeight="1">
      <c r="A1116" t="s" s="35">
        <v>7054</v>
      </c>
      <c r="B1116" s="36">
        <v>10</v>
      </c>
      <c r="C1116" t="s" s="35">
        <v>210</v>
      </c>
      <c r="D1116" t="s" s="35">
        <v>7000</v>
      </c>
      <c r="E1116" t="s" s="35">
        <v>7001</v>
      </c>
      <c r="F1116" s="36">
        <v>16</v>
      </c>
      <c r="G1116" t="s" s="35">
        <v>7046</v>
      </c>
      <c r="H1116" t="s" s="35">
        <v>7055</v>
      </c>
      <c r="I1116" t="s" s="120">
        <v>7056</v>
      </c>
      <c r="J1116" t="s" s="35">
        <v>6185</v>
      </c>
      <c r="K1116" t="s" s="35">
        <v>1058</v>
      </c>
      <c r="L1116" s="39"/>
      <c r="M1116" t="str" s="39">
        <v>Sin marco</v>
      </c>
      <c r="N1116" t="str" s="39">
        <v>Sin marco</v>
      </c>
      <c r="O1116" t="str" s="39" cm="1">
        <f t="array" ref="O1116">IF(L1116="","",_xlfn.IFERROR(INDEX('Datos - Catálogo TIMSS'!$C$5:$C$107,MATCH(L1116,'Datos - Catálogo TIMSS'!$A$5:$A$107,0)),"?"))</f>
      </c>
      <c r="P1116" t="s" s="35">
        <v>1058</v>
      </c>
      <c r="Q1116" t="s" s="120">
        <v>6186</v>
      </c>
      <c r="R1116" t="s" s="120">
        <v>7057</v>
      </c>
      <c r="S1116" s="121" cm="1">
        <f t="array" ref="S1116">_xlfn.IFERROR(ISNUMBER(SEARCH("Conocer",$R1116))/(ISNUMBER(SEARCH("Conocer",$R1116))+ISNUMBER(SEARCH("Aplicar",$R1116))+ISNUMBER(SEARCH("Razonar",$R1116))),0)</f>
        <v>0</v>
      </c>
      <c r="T1116" s="121" cm="1">
        <f t="array" ref="T1116">_xlfn.IFERROR(ISNUMBER(SEARCH("Aplicar",$R1116))/(ISNUMBER(SEARCH("Conocer",$R1116))+ISNUMBER(SEARCH("Aplicar",$R1116))+ISNUMBER(SEARCH("Razonar",$R1116))),0)</f>
        <v>0.5</v>
      </c>
      <c r="U1116" s="121" cm="1">
        <f t="array" ref="U1116">_xlfn.IFERROR(ISNUMBER(SEARCH("Razonar",$R1116))/(ISNUMBER(SEARCH("Conocer",$R1116))+ISNUMBER(SEARCH("Aplicar",$R1116))+ISNUMBER(SEARCH("Razonar",$R1116))),0)</f>
        <v>0.5</v>
      </c>
      <c r="V1116" t="s" s="35">
        <v>1408</v>
      </c>
      <c r="W1116" t="s" s="35">
        <v>7006</v>
      </c>
      <c r="X1116" s="36" cm="1">
        <f t="array" ref="X1116">IF(OR(_xlfn.IFERROR(INDEX('Datos - Catálogo TIMSS'!$I$5:$I$107,MATCH(K1116,'Datos - Catálogo TIMSS'!$A$5:$A$107,0)),"No")="Sí",_xlfn.IFERROR(INDEX('Datos - Catálogo TIMSS'!$I$5:$I$107,MATCH(L1116,'Datos - Catálogo TIMSS'!$A$5:$A$107,0)),"No")="Sí"),1,0)</f>
        <v>0</v>
      </c>
      <c r="Y1116" s="36" cm="1">
        <f t="array" ref="Y1116">IF(_xlfn.IFERROR(INDEX('Datos - Catálogo TIMSS'!$J$5:$J$107,MATCH(K1116,'Datos - Catálogo TIMSS'!$A$5:$A$107,0)),"No")="Sí",1,0)</f>
        <v>0</v>
      </c>
      <c r="Z1116" s="36" cm="1">
        <f t="array" ref="Z1116">IF(_xlfn.IFERROR(INDEX('Datos - Catálogo TIMSS'!$J$5:$J$107,MATCH(L1116,'Datos - Catálogo TIMSS'!$A$5:$A$107,0)),"No")="Sí",1,0)</f>
        <v>0</v>
      </c>
      <c r="AA1116" t="s" s="35">
        <v>1058</v>
      </c>
      <c r="AB1116" s="39"/>
      <c r="AC1116" t="str" s="39">
        <v>Sin marco</v>
      </c>
      <c r="AD1116" t="s" s="35">
        <v>1859</v>
      </c>
      <c r="AE1116" t="str" s="39" cm="1">
        <f t="array" ref="AE1116">IF(AD1116="","",IF(LEFT(AD1116,1)="1","C1",IF(LEFT(AD1116,1)="2","C2",IF(LEFT(AD1116,1)="3","C3",""))))</f>
        <v>C1</v>
      </c>
      <c r="AF1116" t="s" s="35">
        <v>1602</v>
      </c>
      <c r="AG1116" t="s" s="35">
        <v>1617</v>
      </c>
      <c r="AH1116" t="s" s="35">
        <v>1605</v>
      </c>
      <c r="AI1116" t="s" s="35">
        <v>1609</v>
      </c>
      <c r="AJ1116" t="s" s="35">
        <v>1607</v>
      </c>
      <c r="AK1116" s="39"/>
      <c r="AL1116" s="39"/>
      <c r="AM1116" s="39"/>
      <c r="AN1116" s="39"/>
      <c r="AO1116" s="39"/>
      <c r="AP1116" s="39"/>
      <c r="AQ1116" s="39"/>
      <c r="AR1116" s="39"/>
      <c r="AS1116" s="39"/>
      <c r="AT1116" s="39"/>
      <c r="AU1116" s="39"/>
      <c r="AV1116" s="39"/>
      <c r="AW1116" t="str" s="39" cm="1">
        <f t="array" ref="AW1116">AF1116&amp;"; "&amp;AG1116&amp;"; "&amp;AH1116&amp;"; "&amp;AI1116&amp;"; "&amp;AJ1116</f>
        <v>E1; D1; E2; E4; E3</v>
      </c>
    </row>
    <row r="1117" ht="13.65" customHeight="1">
      <c r="A1117" t="s" s="35">
        <v>7058</v>
      </c>
      <c r="B1117" s="36">
        <v>10</v>
      </c>
      <c r="C1117" t="s" s="35">
        <v>210</v>
      </c>
      <c r="D1117" t="s" s="35">
        <v>7000</v>
      </c>
      <c r="E1117" t="s" s="35">
        <v>7001</v>
      </c>
      <c r="F1117" s="36">
        <v>17</v>
      </c>
      <c r="G1117" t="s" s="35">
        <v>7046</v>
      </c>
      <c r="H1117" t="s" s="35">
        <v>7059</v>
      </c>
      <c r="I1117" t="s" s="120">
        <v>7060</v>
      </c>
      <c r="J1117" t="s" s="35">
        <v>6185</v>
      </c>
      <c r="K1117" t="s" s="35">
        <v>1058</v>
      </c>
      <c r="L1117" s="39"/>
      <c r="M1117" t="str" s="39">
        <v>Sin marco</v>
      </c>
      <c r="N1117" t="str" s="39">
        <v>Sin marco</v>
      </c>
      <c r="O1117" t="str" s="39" cm="1">
        <f t="array" ref="O1117">IF(L1117="","",_xlfn.IFERROR(INDEX('Datos - Catálogo TIMSS'!$C$5:$C$107,MATCH(L1117,'Datos - Catálogo TIMSS'!$A$5:$A$107,0)),"?"))</f>
      </c>
      <c r="P1117" t="s" s="35">
        <v>1058</v>
      </c>
      <c r="Q1117" t="s" s="120">
        <v>6186</v>
      </c>
      <c r="R1117" t="s" s="120">
        <v>7061</v>
      </c>
      <c r="S1117" s="121" cm="1">
        <f t="array" ref="S1117">_xlfn.IFERROR(ISNUMBER(SEARCH("Conocer",$R1117))/(ISNUMBER(SEARCH("Conocer",$R1117))+ISNUMBER(SEARCH("Aplicar",$R1117))+ISNUMBER(SEARCH("Razonar",$R1117))),0)</f>
        <v>0.5</v>
      </c>
      <c r="T1117" s="121" cm="1">
        <f t="array" ref="T1117">_xlfn.IFERROR(ISNUMBER(SEARCH("Aplicar",$R1117))/(ISNUMBER(SEARCH("Conocer",$R1117))+ISNUMBER(SEARCH("Aplicar",$R1117))+ISNUMBER(SEARCH("Razonar",$R1117))),0)</f>
        <v>0</v>
      </c>
      <c r="U1117" s="121" cm="1">
        <f t="array" ref="U1117">_xlfn.IFERROR(ISNUMBER(SEARCH("Razonar",$R1117))/(ISNUMBER(SEARCH("Conocer",$R1117))+ISNUMBER(SEARCH("Aplicar",$R1117))+ISNUMBER(SEARCH("Razonar",$R1117))),0)</f>
        <v>0.5</v>
      </c>
      <c r="V1117" t="s" s="35">
        <v>1408</v>
      </c>
      <c r="W1117" t="s" s="35">
        <v>7006</v>
      </c>
      <c r="X1117" s="36" cm="1">
        <f t="array" ref="X1117">IF(OR(_xlfn.IFERROR(INDEX('Datos - Catálogo TIMSS'!$I$5:$I$107,MATCH(K1117,'Datos - Catálogo TIMSS'!$A$5:$A$107,0)),"No")="Sí",_xlfn.IFERROR(INDEX('Datos - Catálogo TIMSS'!$I$5:$I$107,MATCH(L1117,'Datos - Catálogo TIMSS'!$A$5:$A$107,0)),"No")="Sí"),1,0)</f>
        <v>0</v>
      </c>
      <c r="Y1117" s="36" cm="1">
        <f t="array" ref="Y1117">IF(_xlfn.IFERROR(INDEX('Datos - Catálogo TIMSS'!$J$5:$J$107,MATCH(K1117,'Datos - Catálogo TIMSS'!$A$5:$A$107,0)),"No")="Sí",1,0)</f>
        <v>0</v>
      </c>
      <c r="Z1117" s="36" cm="1">
        <f t="array" ref="Z1117">IF(_xlfn.IFERROR(INDEX('Datos - Catálogo TIMSS'!$J$5:$J$107,MATCH(L1117,'Datos - Catálogo TIMSS'!$A$5:$A$107,0)),"No")="Sí",1,0)</f>
        <v>0</v>
      </c>
      <c r="AA1117" t="s" s="35">
        <v>1058</v>
      </c>
      <c r="AB1117" s="39"/>
      <c r="AC1117" t="str" s="39">
        <v>Sin marco</v>
      </c>
      <c r="AD1117" t="s" s="35">
        <v>1859</v>
      </c>
      <c r="AE1117" t="str" s="39" cm="1">
        <f t="array" ref="AE1117">IF(AD1117="","",IF(LEFT(AD1117,1)="1","C1",IF(LEFT(AD1117,1)="2","C2",IF(LEFT(AD1117,1)="3","C3",""))))</f>
        <v>C1</v>
      </c>
      <c r="AF1117" t="s" s="35">
        <v>1602</v>
      </c>
      <c r="AG1117" t="s" s="35">
        <v>1617</v>
      </c>
      <c r="AH1117" t="s" s="35">
        <v>1602</v>
      </c>
      <c r="AI1117" t="s" s="35">
        <v>1629</v>
      </c>
      <c r="AJ1117" t="s" s="35">
        <v>1615</v>
      </c>
      <c r="AK1117" s="39"/>
      <c r="AL1117" s="39"/>
      <c r="AM1117" s="39"/>
      <c r="AN1117" s="39"/>
      <c r="AO1117" s="39"/>
      <c r="AP1117" s="39"/>
      <c r="AQ1117" s="39"/>
      <c r="AR1117" s="39"/>
      <c r="AS1117" s="39"/>
      <c r="AT1117" s="39"/>
      <c r="AU1117" s="39"/>
      <c r="AV1117" s="39"/>
      <c r="AW1117" t="str" s="39" cm="1">
        <f t="array" ref="AW1117">AF1117&amp;"; "&amp;AG1117&amp;"; "&amp;AH1117&amp;"; "&amp;AI1117&amp;"; "&amp;AJ1117</f>
        <v>E1; D1; E1; I3; E6</v>
      </c>
    </row>
    <row r="1118" ht="13.65" customHeight="1">
      <c r="A1118" t="s" s="35">
        <v>7062</v>
      </c>
      <c r="B1118" s="36">
        <v>10</v>
      </c>
      <c r="C1118" t="s" s="35">
        <v>210</v>
      </c>
      <c r="D1118" t="s" s="35">
        <v>7000</v>
      </c>
      <c r="E1118" t="s" s="35">
        <v>7001</v>
      </c>
      <c r="F1118" s="36">
        <v>18</v>
      </c>
      <c r="G1118" t="s" s="35">
        <v>7046</v>
      </c>
      <c r="H1118" t="s" s="35">
        <v>7059</v>
      </c>
      <c r="I1118" t="s" s="120">
        <v>7063</v>
      </c>
      <c r="J1118" t="s" s="35">
        <v>6185</v>
      </c>
      <c r="K1118" t="s" s="35">
        <v>1058</v>
      </c>
      <c r="L1118" s="39"/>
      <c r="M1118" t="str" s="39">
        <v>Sin marco</v>
      </c>
      <c r="N1118" t="str" s="39">
        <v>Sin marco</v>
      </c>
      <c r="O1118" t="str" s="39" cm="1">
        <f t="array" ref="O1118">IF(L1118="","",_xlfn.IFERROR(INDEX('Datos - Catálogo TIMSS'!$C$5:$C$107,MATCH(L1118,'Datos - Catálogo TIMSS'!$A$5:$A$107,0)),"?"))</f>
      </c>
      <c r="P1118" t="s" s="35">
        <v>1058</v>
      </c>
      <c r="Q1118" t="s" s="120">
        <v>6186</v>
      </c>
      <c r="R1118" t="s" s="120">
        <v>7064</v>
      </c>
      <c r="S1118" s="121" cm="1">
        <f t="array" ref="S1118">_xlfn.IFERROR(ISNUMBER(SEARCH("Conocer",$R1118))/(ISNUMBER(SEARCH("Conocer",$R1118))+ISNUMBER(SEARCH("Aplicar",$R1118))+ISNUMBER(SEARCH("Razonar",$R1118))),0)</f>
        <v>0.333333333333333</v>
      </c>
      <c r="T1118" s="121" cm="1">
        <f t="array" ref="T1118">_xlfn.IFERROR(ISNUMBER(SEARCH("Aplicar",$R1118))/(ISNUMBER(SEARCH("Conocer",$R1118))+ISNUMBER(SEARCH("Aplicar",$R1118))+ISNUMBER(SEARCH("Razonar",$R1118))),0)</f>
        <v>0.333333333333333</v>
      </c>
      <c r="U1118" s="121" cm="1">
        <f t="array" ref="U1118">_xlfn.IFERROR(ISNUMBER(SEARCH("Razonar",$R1118))/(ISNUMBER(SEARCH("Conocer",$R1118))+ISNUMBER(SEARCH("Aplicar",$R1118))+ISNUMBER(SEARCH("Razonar",$R1118))),0)</f>
        <v>0.333333333333333</v>
      </c>
      <c r="V1118" t="s" s="35">
        <v>1408</v>
      </c>
      <c r="W1118" t="s" s="35">
        <v>7006</v>
      </c>
      <c r="X1118" s="36" cm="1">
        <f t="array" ref="X1118">IF(OR(_xlfn.IFERROR(INDEX('Datos - Catálogo TIMSS'!$I$5:$I$107,MATCH(K1118,'Datos - Catálogo TIMSS'!$A$5:$A$107,0)),"No")="Sí",_xlfn.IFERROR(INDEX('Datos - Catálogo TIMSS'!$I$5:$I$107,MATCH(L1118,'Datos - Catálogo TIMSS'!$A$5:$A$107,0)),"No")="Sí"),1,0)</f>
        <v>0</v>
      </c>
      <c r="Y1118" s="36" cm="1">
        <f t="array" ref="Y1118">IF(_xlfn.IFERROR(INDEX('Datos - Catálogo TIMSS'!$J$5:$J$107,MATCH(K1118,'Datos - Catálogo TIMSS'!$A$5:$A$107,0)),"No")="Sí",1,0)</f>
        <v>0</v>
      </c>
      <c r="Z1118" s="36" cm="1">
        <f t="array" ref="Z1118">IF(_xlfn.IFERROR(INDEX('Datos - Catálogo TIMSS'!$J$5:$J$107,MATCH(L1118,'Datos - Catálogo TIMSS'!$A$5:$A$107,0)),"No")="Sí",1,0)</f>
        <v>0</v>
      </c>
      <c r="AA1118" t="s" s="35">
        <v>1058</v>
      </c>
      <c r="AB1118" s="39"/>
      <c r="AC1118" t="str" s="39">
        <v>Sin marco</v>
      </c>
      <c r="AD1118" t="s" s="35">
        <v>1859</v>
      </c>
      <c r="AE1118" t="str" s="39" cm="1">
        <f t="array" ref="AE1118">IF(AD1118="","",IF(LEFT(AD1118,1)="1","C1",IF(LEFT(AD1118,1)="2","C2",IF(LEFT(AD1118,1)="3","C3",""))))</f>
        <v>C1</v>
      </c>
      <c r="AF1118" t="s" s="35">
        <v>1602</v>
      </c>
      <c r="AG1118" t="s" s="35">
        <v>1617</v>
      </c>
      <c r="AH1118" t="s" s="35">
        <v>1609</v>
      </c>
      <c r="AI1118" t="s" s="35">
        <v>1623</v>
      </c>
      <c r="AJ1118" t="s" s="35">
        <v>1607</v>
      </c>
      <c r="AK1118" s="39"/>
      <c r="AL1118" s="39"/>
      <c r="AM1118" s="39"/>
      <c r="AN1118" s="39"/>
      <c r="AO1118" s="39"/>
      <c r="AP1118" s="39"/>
      <c r="AQ1118" s="39"/>
      <c r="AR1118" s="39"/>
      <c r="AS1118" s="39"/>
      <c r="AT1118" s="39"/>
      <c r="AU1118" s="39"/>
      <c r="AV1118" s="39"/>
      <c r="AW1118" t="str" s="39" cm="1">
        <f t="array" ref="AW1118">AF1118&amp;"; "&amp;AG1118&amp;"; "&amp;AH1118&amp;"; "&amp;AI1118&amp;"; "&amp;AJ1118</f>
        <v>E1; D1; E4; D4; E3</v>
      </c>
    </row>
    <row r="1119" ht="13.65" customHeight="1">
      <c r="A1119" t="s" s="35">
        <v>7065</v>
      </c>
      <c r="B1119" s="36">
        <v>10</v>
      </c>
      <c r="C1119" t="s" s="35">
        <v>210</v>
      </c>
      <c r="D1119" t="s" s="35">
        <v>7000</v>
      </c>
      <c r="E1119" t="s" s="35">
        <v>7001</v>
      </c>
      <c r="F1119" s="36">
        <v>19</v>
      </c>
      <c r="G1119" t="s" s="35">
        <v>7046</v>
      </c>
      <c r="H1119" t="s" s="35">
        <v>7059</v>
      </c>
      <c r="I1119" t="s" s="120">
        <v>7066</v>
      </c>
      <c r="J1119" t="s" s="35">
        <v>6185</v>
      </c>
      <c r="K1119" t="s" s="35">
        <v>1058</v>
      </c>
      <c r="L1119" s="39"/>
      <c r="M1119" t="str" s="39">
        <v>Sin marco</v>
      </c>
      <c r="N1119" t="str" s="39">
        <v>Sin marco</v>
      </c>
      <c r="O1119" t="str" s="39" cm="1">
        <f t="array" ref="O1119">IF(L1119="","",_xlfn.IFERROR(INDEX('Datos - Catálogo TIMSS'!$C$5:$C$107,MATCH(L1119,'Datos - Catálogo TIMSS'!$A$5:$A$107,0)),"?"))</f>
      </c>
      <c r="P1119" t="s" s="35">
        <v>1058</v>
      </c>
      <c r="Q1119" t="s" s="120">
        <v>6186</v>
      </c>
      <c r="R1119" t="s" s="120">
        <v>7067</v>
      </c>
      <c r="S1119" s="121" cm="1">
        <f t="array" ref="S1119">_xlfn.IFERROR(ISNUMBER(SEARCH("Conocer",$R1119))/(ISNUMBER(SEARCH("Conocer",$R1119))+ISNUMBER(SEARCH("Aplicar",$R1119))+ISNUMBER(SEARCH("Razonar",$R1119))),0)</f>
        <v>0</v>
      </c>
      <c r="T1119" s="121" cm="1">
        <f t="array" ref="T1119">_xlfn.IFERROR(ISNUMBER(SEARCH("Aplicar",$R1119))/(ISNUMBER(SEARCH("Conocer",$R1119))+ISNUMBER(SEARCH("Aplicar",$R1119))+ISNUMBER(SEARCH("Razonar",$R1119))),0)</f>
        <v>0.5</v>
      </c>
      <c r="U1119" s="121" cm="1">
        <f t="array" ref="U1119">_xlfn.IFERROR(ISNUMBER(SEARCH("Razonar",$R1119))/(ISNUMBER(SEARCH("Conocer",$R1119))+ISNUMBER(SEARCH("Aplicar",$R1119))+ISNUMBER(SEARCH("Razonar",$R1119))),0)</f>
        <v>0.5</v>
      </c>
      <c r="V1119" t="s" s="35">
        <v>1408</v>
      </c>
      <c r="W1119" t="s" s="35">
        <v>7006</v>
      </c>
      <c r="X1119" s="36" cm="1">
        <f t="array" ref="X1119">IF(OR(_xlfn.IFERROR(INDEX('Datos - Catálogo TIMSS'!$I$5:$I$107,MATCH(K1119,'Datos - Catálogo TIMSS'!$A$5:$A$107,0)),"No")="Sí",_xlfn.IFERROR(INDEX('Datos - Catálogo TIMSS'!$I$5:$I$107,MATCH(L1119,'Datos - Catálogo TIMSS'!$A$5:$A$107,0)),"No")="Sí"),1,0)</f>
        <v>0</v>
      </c>
      <c r="Y1119" s="36" cm="1">
        <f t="array" ref="Y1119">IF(_xlfn.IFERROR(INDEX('Datos - Catálogo TIMSS'!$J$5:$J$107,MATCH(K1119,'Datos - Catálogo TIMSS'!$A$5:$A$107,0)),"No")="Sí",1,0)</f>
        <v>0</v>
      </c>
      <c r="Z1119" s="36" cm="1">
        <f t="array" ref="Z1119">IF(_xlfn.IFERROR(INDEX('Datos - Catálogo TIMSS'!$J$5:$J$107,MATCH(L1119,'Datos - Catálogo TIMSS'!$A$5:$A$107,0)),"No")="Sí",1,0)</f>
        <v>0</v>
      </c>
      <c r="AA1119" t="s" s="35">
        <v>1058</v>
      </c>
      <c r="AB1119" s="39"/>
      <c r="AC1119" t="str" s="39">
        <v>Sin marco</v>
      </c>
      <c r="AD1119" t="s" s="35">
        <v>1834</v>
      </c>
      <c r="AE1119" t="str" s="39" cm="1">
        <f t="array" ref="AE1119">IF(AD1119="","",IF(LEFT(AD1119,1)="1","C1",IF(LEFT(AD1119,1)="2","C2",IF(LEFT(AD1119,1)="3","C3",""))))</f>
        <v>C2</v>
      </c>
      <c r="AF1119" t="s" s="35">
        <v>1615</v>
      </c>
      <c r="AG1119" t="s" s="35">
        <v>1617</v>
      </c>
      <c r="AH1119" t="s" s="35">
        <v>1602</v>
      </c>
      <c r="AI1119" t="s" s="35">
        <v>1623</v>
      </c>
      <c r="AJ1119" t="s" s="35">
        <v>1627</v>
      </c>
      <c r="AK1119" s="39"/>
      <c r="AL1119" s="39"/>
      <c r="AM1119" s="39"/>
      <c r="AN1119" s="39"/>
      <c r="AO1119" s="39"/>
      <c r="AP1119" s="39"/>
      <c r="AQ1119" s="39"/>
      <c r="AR1119" s="39"/>
      <c r="AS1119" s="39"/>
      <c r="AT1119" s="39"/>
      <c r="AU1119" s="39"/>
      <c r="AV1119" s="39"/>
      <c r="AW1119" t="str" s="39" cm="1">
        <f t="array" ref="AW1119">AF1119&amp;"; "&amp;AG1119&amp;"; "&amp;AH1119&amp;"; "&amp;AI1119&amp;"; "&amp;AJ1119</f>
        <v>E6; D1; E1; D4; I2</v>
      </c>
    </row>
    <row r="1120" ht="13.65" customHeight="1">
      <c r="A1120" t="s" s="35">
        <v>7069</v>
      </c>
      <c r="B1120" s="36">
        <v>10</v>
      </c>
      <c r="C1120" t="s" s="35">
        <v>210</v>
      </c>
      <c r="D1120" t="s" s="35">
        <v>7000</v>
      </c>
      <c r="E1120" t="s" s="35">
        <v>7001</v>
      </c>
      <c r="F1120" s="36">
        <v>20</v>
      </c>
      <c r="G1120" t="s" s="35">
        <v>7046</v>
      </c>
      <c r="H1120" t="s" s="35">
        <v>7070</v>
      </c>
      <c r="I1120" t="s" s="120">
        <v>7071</v>
      </c>
      <c r="J1120" t="s" s="35">
        <v>6185</v>
      </c>
      <c r="K1120" t="s" s="35">
        <v>1058</v>
      </c>
      <c r="L1120" s="39"/>
      <c r="M1120" t="str" s="39">
        <v>Sin marco</v>
      </c>
      <c r="N1120" t="str" s="39">
        <v>Sin marco</v>
      </c>
      <c r="O1120" t="str" s="39" cm="1">
        <f t="array" ref="O1120">IF(L1120="","",_xlfn.IFERROR(INDEX('Datos - Catálogo TIMSS'!$C$5:$C$107,MATCH(L1120,'Datos - Catálogo TIMSS'!$A$5:$A$107,0)),"?"))</f>
      </c>
      <c r="P1120" t="s" s="35">
        <v>1058</v>
      </c>
      <c r="Q1120" t="s" s="120">
        <v>6186</v>
      </c>
      <c r="R1120" t="s" s="120">
        <v>7072</v>
      </c>
      <c r="S1120" s="121" cm="1">
        <f t="array" ref="S1120">_xlfn.IFERROR(ISNUMBER(SEARCH("Conocer",$R1120))/(ISNUMBER(SEARCH("Conocer",$R1120))+ISNUMBER(SEARCH("Aplicar",$R1120))+ISNUMBER(SEARCH("Razonar",$R1120))),0)</f>
        <v>0</v>
      </c>
      <c r="T1120" s="121" cm="1">
        <f t="array" ref="T1120">_xlfn.IFERROR(ISNUMBER(SEARCH("Aplicar",$R1120))/(ISNUMBER(SEARCH("Conocer",$R1120))+ISNUMBER(SEARCH("Aplicar",$R1120))+ISNUMBER(SEARCH("Razonar",$R1120))),0)</f>
        <v>0.5</v>
      </c>
      <c r="U1120" s="121" cm="1">
        <f t="array" ref="U1120">_xlfn.IFERROR(ISNUMBER(SEARCH("Razonar",$R1120))/(ISNUMBER(SEARCH("Conocer",$R1120))+ISNUMBER(SEARCH("Aplicar",$R1120))+ISNUMBER(SEARCH("Razonar",$R1120))),0)</f>
        <v>0.5</v>
      </c>
      <c r="V1120" t="s" s="35">
        <v>1408</v>
      </c>
      <c r="W1120" t="s" s="35">
        <v>7006</v>
      </c>
      <c r="X1120" s="36" cm="1">
        <f t="array" ref="X1120">IF(OR(_xlfn.IFERROR(INDEX('Datos - Catálogo TIMSS'!$I$5:$I$107,MATCH(K1120,'Datos - Catálogo TIMSS'!$A$5:$A$107,0)),"No")="Sí",_xlfn.IFERROR(INDEX('Datos - Catálogo TIMSS'!$I$5:$I$107,MATCH(L1120,'Datos - Catálogo TIMSS'!$A$5:$A$107,0)),"No")="Sí"),1,0)</f>
        <v>0</v>
      </c>
      <c r="Y1120" s="36" cm="1">
        <f t="array" ref="Y1120">IF(_xlfn.IFERROR(INDEX('Datos - Catálogo TIMSS'!$J$5:$J$107,MATCH(K1120,'Datos - Catálogo TIMSS'!$A$5:$A$107,0)),"No")="Sí",1,0)</f>
        <v>0</v>
      </c>
      <c r="Z1120" s="36" cm="1">
        <f t="array" ref="Z1120">IF(_xlfn.IFERROR(INDEX('Datos - Catálogo TIMSS'!$J$5:$J$107,MATCH(L1120,'Datos - Catálogo TIMSS'!$A$5:$A$107,0)),"No")="Sí",1,0)</f>
        <v>0</v>
      </c>
      <c r="AA1120" t="s" s="35">
        <v>1058</v>
      </c>
      <c r="AB1120" s="39"/>
      <c r="AC1120" t="str" s="39">
        <v>Sin marco</v>
      </c>
      <c r="AD1120" t="s" s="35">
        <v>1900</v>
      </c>
      <c r="AE1120" t="str" s="39" cm="1">
        <f t="array" ref="AE1120">IF(AD1120="","",IF(LEFT(AD1120,1)="1","C1",IF(LEFT(AD1120,1)="2","C2",IF(LEFT(AD1120,1)="3","C3",""))))</f>
        <v>C3</v>
      </c>
      <c r="AF1120" t="s" s="35">
        <v>1602</v>
      </c>
      <c r="AG1120" t="s" s="35">
        <v>1617</v>
      </c>
      <c r="AH1120" t="s" s="35">
        <v>1602</v>
      </c>
      <c r="AI1120" t="s" s="35">
        <v>1629</v>
      </c>
      <c r="AJ1120" t="s" s="35">
        <v>1631</v>
      </c>
      <c r="AK1120" s="39"/>
      <c r="AL1120" s="39"/>
      <c r="AM1120" s="39"/>
      <c r="AN1120" s="39"/>
      <c r="AO1120" s="39"/>
      <c r="AP1120" s="39"/>
      <c r="AQ1120" s="39"/>
      <c r="AR1120" s="39"/>
      <c r="AS1120" s="39"/>
      <c r="AT1120" s="39"/>
      <c r="AU1120" s="39"/>
      <c r="AV1120" s="39"/>
      <c r="AW1120" t="str" s="39" cm="1">
        <f t="array" ref="AW1120">AF1120&amp;"; "&amp;AG1120&amp;"; "&amp;AH1120&amp;"; "&amp;AI1120&amp;"; "&amp;AJ1120</f>
        <v>E1; D1; E1; I3; I4</v>
      </c>
    </row>
    <row r="1121" ht="13.65" customHeight="1">
      <c r="A1121" t="s" s="35">
        <v>7074</v>
      </c>
      <c r="B1121" s="36">
        <v>10</v>
      </c>
      <c r="C1121" t="s" s="35">
        <v>210</v>
      </c>
      <c r="D1121" t="s" s="35">
        <v>7000</v>
      </c>
      <c r="E1121" t="s" s="35">
        <v>7001</v>
      </c>
      <c r="F1121" s="36">
        <v>21</v>
      </c>
      <c r="G1121" t="s" s="35">
        <v>7046</v>
      </c>
      <c r="H1121" t="s" s="35">
        <v>7070</v>
      </c>
      <c r="I1121" t="s" s="120">
        <v>7075</v>
      </c>
      <c r="J1121" t="s" s="35">
        <v>6185</v>
      </c>
      <c r="K1121" t="s" s="35">
        <v>1058</v>
      </c>
      <c r="L1121" s="39"/>
      <c r="M1121" t="str" s="39">
        <v>Sin marco</v>
      </c>
      <c r="N1121" t="str" s="39">
        <v>Sin marco</v>
      </c>
      <c r="O1121" t="str" s="39" cm="1">
        <f t="array" ref="O1121">IF(L1121="","",_xlfn.IFERROR(INDEX('Datos - Catálogo TIMSS'!$C$5:$C$107,MATCH(L1121,'Datos - Catálogo TIMSS'!$A$5:$A$107,0)),"?"))</f>
      </c>
      <c r="P1121" t="s" s="35">
        <v>1058</v>
      </c>
      <c r="Q1121" t="s" s="120">
        <v>6186</v>
      </c>
      <c r="R1121" t="s" s="120">
        <v>7076</v>
      </c>
      <c r="S1121" s="121" cm="1">
        <f t="array" ref="S1121">_xlfn.IFERROR(ISNUMBER(SEARCH("Conocer",$R1121))/(ISNUMBER(SEARCH("Conocer",$R1121))+ISNUMBER(SEARCH("Aplicar",$R1121))+ISNUMBER(SEARCH("Razonar",$R1121))),0)</f>
        <v>0</v>
      </c>
      <c r="T1121" s="121" cm="1">
        <f t="array" ref="T1121">_xlfn.IFERROR(ISNUMBER(SEARCH("Aplicar",$R1121))/(ISNUMBER(SEARCH("Conocer",$R1121))+ISNUMBER(SEARCH("Aplicar",$R1121))+ISNUMBER(SEARCH("Razonar",$R1121))),0)</f>
        <v>0.5</v>
      </c>
      <c r="U1121" s="121" cm="1">
        <f t="array" ref="U1121">_xlfn.IFERROR(ISNUMBER(SEARCH("Razonar",$R1121))/(ISNUMBER(SEARCH("Conocer",$R1121))+ISNUMBER(SEARCH("Aplicar",$R1121))+ISNUMBER(SEARCH("Razonar",$R1121))),0)</f>
        <v>0.5</v>
      </c>
      <c r="V1121" t="s" s="35">
        <v>1408</v>
      </c>
      <c r="W1121" t="s" s="35">
        <v>7006</v>
      </c>
      <c r="X1121" s="36" cm="1">
        <f t="array" ref="X1121">IF(OR(_xlfn.IFERROR(INDEX('Datos - Catálogo TIMSS'!$I$5:$I$107,MATCH(K1121,'Datos - Catálogo TIMSS'!$A$5:$A$107,0)),"No")="Sí",_xlfn.IFERROR(INDEX('Datos - Catálogo TIMSS'!$I$5:$I$107,MATCH(L1121,'Datos - Catálogo TIMSS'!$A$5:$A$107,0)),"No")="Sí"),1,0)</f>
        <v>0</v>
      </c>
      <c r="Y1121" s="36" cm="1">
        <f t="array" ref="Y1121">IF(_xlfn.IFERROR(INDEX('Datos - Catálogo TIMSS'!$J$5:$J$107,MATCH(K1121,'Datos - Catálogo TIMSS'!$A$5:$A$107,0)),"No")="Sí",1,0)</f>
        <v>0</v>
      </c>
      <c r="Z1121" s="36" cm="1">
        <f t="array" ref="Z1121">IF(_xlfn.IFERROR(INDEX('Datos - Catálogo TIMSS'!$J$5:$J$107,MATCH(L1121,'Datos - Catálogo TIMSS'!$A$5:$A$107,0)),"No")="Sí",1,0)</f>
        <v>0</v>
      </c>
      <c r="AA1121" t="s" s="35">
        <v>1058</v>
      </c>
      <c r="AB1121" s="39"/>
      <c r="AC1121" t="str" s="39">
        <v>Sin marco</v>
      </c>
      <c r="AD1121" t="s" s="35">
        <v>1834</v>
      </c>
      <c r="AE1121" t="str" s="39" cm="1">
        <f t="array" ref="AE1121">IF(AD1121="","",IF(LEFT(AD1121,1)="1","C1",IF(LEFT(AD1121,1)="2","C2",IF(LEFT(AD1121,1)="3","C3",""))))</f>
        <v>C2</v>
      </c>
      <c r="AF1121" t="s" s="35">
        <v>1602</v>
      </c>
      <c r="AG1121" t="s" s="35">
        <v>1617</v>
      </c>
      <c r="AH1121" t="s" s="35">
        <v>1605</v>
      </c>
      <c r="AI1121" t="s" s="35">
        <v>1623</v>
      </c>
      <c r="AJ1121" t="s" s="35">
        <v>1621</v>
      </c>
      <c r="AK1121" s="39"/>
      <c r="AL1121" s="39"/>
      <c r="AM1121" s="39"/>
      <c r="AN1121" s="39"/>
      <c r="AO1121" s="39"/>
      <c r="AP1121" s="39"/>
      <c r="AQ1121" s="39"/>
      <c r="AR1121" s="39"/>
      <c r="AS1121" s="39"/>
      <c r="AT1121" s="39"/>
      <c r="AU1121" s="39"/>
      <c r="AV1121" s="39"/>
      <c r="AW1121" t="str" s="39" cm="1">
        <f t="array" ref="AW1121">AF1121&amp;"; "&amp;AG1121&amp;"; "&amp;AH1121&amp;"; "&amp;AI1121&amp;"; "&amp;AJ1121</f>
        <v>E1; D1; E2; D4; D3</v>
      </c>
    </row>
    <row r="1122" ht="13.65" customHeight="1">
      <c r="A1122" t="s" s="35">
        <v>7077</v>
      </c>
      <c r="B1122" s="36">
        <v>10</v>
      </c>
      <c r="C1122" t="s" s="35">
        <v>210</v>
      </c>
      <c r="D1122" t="s" s="35">
        <v>7000</v>
      </c>
      <c r="E1122" t="s" s="35">
        <v>7001</v>
      </c>
      <c r="F1122" s="36">
        <v>22</v>
      </c>
      <c r="G1122" t="s" s="35">
        <v>7046</v>
      </c>
      <c r="H1122" t="s" s="35">
        <v>7070</v>
      </c>
      <c r="I1122" t="s" s="120">
        <v>7078</v>
      </c>
      <c r="J1122" t="s" s="35">
        <v>6185</v>
      </c>
      <c r="K1122" t="s" s="35">
        <v>1058</v>
      </c>
      <c r="L1122" s="39"/>
      <c r="M1122" t="str" s="39">
        <v>Sin marco</v>
      </c>
      <c r="N1122" t="str" s="39">
        <v>Sin marco</v>
      </c>
      <c r="O1122" t="str" s="39" cm="1">
        <f t="array" ref="O1122">IF(L1122="","",_xlfn.IFERROR(INDEX('Datos - Catálogo TIMSS'!$C$5:$C$107,MATCH(L1122,'Datos - Catálogo TIMSS'!$A$5:$A$107,0)),"?"))</f>
      </c>
      <c r="P1122" t="s" s="35">
        <v>1058</v>
      </c>
      <c r="Q1122" t="s" s="120">
        <v>6186</v>
      </c>
      <c r="R1122" t="s" s="120">
        <v>7079</v>
      </c>
      <c r="S1122" s="121" cm="1">
        <f t="array" ref="S1122">_xlfn.IFERROR(ISNUMBER(SEARCH("Conocer",$R1122))/(ISNUMBER(SEARCH("Conocer",$R1122))+ISNUMBER(SEARCH("Aplicar",$R1122))+ISNUMBER(SEARCH("Razonar",$R1122))),0)</f>
        <v>0</v>
      </c>
      <c r="T1122" s="121" cm="1">
        <f t="array" ref="T1122">_xlfn.IFERROR(ISNUMBER(SEARCH("Aplicar",$R1122))/(ISNUMBER(SEARCH("Conocer",$R1122))+ISNUMBER(SEARCH("Aplicar",$R1122))+ISNUMBER(SEARCH("Razonar",$R1122))),0)</f>
        <v>0.5</v>
      </c>
      <c r="U1122" s="121" cm="1">
        <f t="array" ref="U1122">_xlfn.IFERROR(ISNUMBER(SEARCH("Razonar",$R1122))/(ISNUMBER(SEARCH("Conocer",$R1122))+ISNUMBER(SEARCH("Aplicar",$R1122))+ISNUMBER(SEARCH("Razonar",$R1122))),0)</f>
        <v>0.5</v>
      </c>
      <c r="V1122" t="s" s="35">
        <v>1408</v>
      </c>
      <c r="W1122" t="s" s="35">
        <v>7006</v>
      </c>
      <c r="X1122" s="36" cm="1">
        <f t="array" ref="X1122">IF(OR(_xlfn.IFERROR(INDEX('Datos - Catálogo TIMSS'!$I$5:$I$107,MATCH(K1122,'Datos - Catálogo TIMSS'!$A$5:$A$107,0)),"No")="Sí",_xlfn.IFERROR(INDEX('Datos - Catálogo TIMSS'!$I$5:$I$107,MATCH(L1122,'Datos - Catálogo TIMSS'!$A$5:$A$107,0)),"No")="Sí"),1,0)</f>
        <v>0</v>
      </c>
      <c r="Y1122" s="36" cm="1">
        <f t="array" ref="Y1122">IF(_xlfn.IFERROR(INDEX('Datos - Catálogo TIMSS'!$J$5:$J$107,MATCH(K1122,'Datos - Catálogo TIMSS'!$A$5:$A$107,0)),"No")="Sí",1,0)</f>
        <v>0</v>
      </c>
      <c r="Z1122" s="36" cm="1">
        <f t="array" ref="Z1122">IF(_xlfn.IFERROR(INDEX('Datos - Catálogo TIMSS'!$J$5:$J$107,MATCH(L1122,'Datos - Catálogo TIMSS'!$A$5:$A$107,0)),"No")="Sí",1,0)</f>
        <v>0</v>
      </c>
      <c r="AA1122" t="s" s="35">
        <v>1058</v>
      </c>
      <c r="AB1122" s="39"/>
      <c r="AC1122" t="str" s="39">
        <v>Sin marco</v>
      </c>
      <c r="AD1122" t="s" s="35">
        <v>1900</v>
      </c>
      <c r="AE1122" t="str" s="39" cm="1">
        <f t="array" ref="AE1122">IF(AD1122="","",IF(LEFT(AD1122,1)="1","C1",IF(LEFT(AD1122,1)="2","C2",IF(LEFT(AD1122,1)="3","C3",""))))</f>
        <v>C3</v>
      </c>
      <c r="AF1122" t="s" s="35">
        <v>1615</v>
      </c>
      <c r="AG1122" t="s" s="35">
        <v>1617</v>
      </c>
      <c r="AH1122" t="s" s="35">
        <v>1605</v>
      </c>
      <c r="AI1122" t="s" s="35">
        <v>1625</v>
      </c>
      <c r="AJ1122" t="s" s="35">
        <v>1633</v>
      </c>
      <c r="AK1122" s="39"/>
      <c r="AL1122" s="39"/>
      <c r="AM1122" s="39"/>
      <c r="AN1122" s="39"/>
      <c r="AO1122" s="39"/>
      <c r="AP1122" s="39"/>
      <c r="AQ1122" s="39"/>
      <c r="AR1122" s="39"/>
      <c r="AS1122" s="39"/>
      <c r="AT1122" s="39"/>
      <c r="AU1122" s="39"/>
      <c r="AV1122" s="39"/>
      <c r="AW1122" t="str" s="39" cm="1">
        <f t="array" ref="AW1122">AF1122&amp;"; "&amp;AG1122&amp;"; "&amp;AH1122&amp;"; "&amp;AI1122&amp;"; "&amp;AJ1122</f>
        <v>E6; D1; E2; I1; I5</v>
      </c>
    </row>
    <row r="1123" ht="13.65" customHeight="1">
      <c r="A1123" t="s" s="35">
        <v>7080</v>
      </c>
      <c r="B1123" s="36">
        <v>10</v>
      </c>
      <c r="C1123" t="s" s="35">
        <v>210</v>
      </c>
      <c r="D1123" t="s" s="35">
        <v>7000</v>
      </c>
      <c r="E1123" t="s" s="35">
        <v>7001</v>
      </c>
      <c r="F1123" s="36">
        <v>23</v>
      </c>
      <c r="G1123" t="s" s="35">
        <v>7046</v>
      </c>
      <c r="H1123" t="s" s="35">
        <v>7081</v>
      </c>
      <c r="I1123" t="s" s="120">
        <v>7082</v>
      </c>
      <c r="J1123" t="s" s="35">
        <v>6185</v>
      </c>
      <c r="K1123" t="s" s="35">
        <v>1058</v>
      </c>
      <c r="L1123" s="39"/>
      <c r="M1123" t="str" s="39">
        <v>Sin marco</v>
      </c>
      <c r="N1123" t="str" s="39">
        <v>Sin marco</v>
      </c>
      <c r="O1123" t="str" s="39" cm="1">
        <f t="array" ref="O1123">IF(L1123="","",_xlfn.IFERROR(INDEX('Datos - Catálogo TIMSS'!$C$5:$C$107,MATCH(L1123,'Datos - Catálogo TIMSS'!$A$5:$A$107,0)),"?"))</f>
      </c>
      <c r="P1123" t="s" s="35">
        <v>1058</v>
      </c>
      <c r="Q1123" t="s" s="120">
        <v>6186</v>
      </c>
      <c r="R1123" t="s" s="120">
        <v>7083</v>
      </c>
      <c r="S1123" s="121" cm="1">
        <f t="array" ref="S1123">_xlfn.IFERROR(ISNUMBER(SEARCH("Conocer",$R1123))/(ISNUMBER(SEARCH("Conocer",$R1123))+ISNUMBER(SEARCH("Aplicar",$R1123))+ISNUMBER(SEARCH("Razonar",$R1123))),0)</f>
        <v>0.333333333333333</v>
      </c>
      <c r="T1123" s="121" cm="1">
        <f t="array" ref="T1123">_xlfn.IFERROR(ISNUMBER(SEARCH("Aplicar",$R1123))/(ISNUMBER(SEARCH("Conocer",$R1123))+ISNUMBER(SEARCH("Aplicar",$R1123))+ISNUMBER(SEARCH("Razonar",$R1123))),0)</f>
        <v>0.333333333333333</v>
      </c>
      <c r="U1123" s="121" cm="1">
        <f t="array" ref="U1123">_xlfn.IFERROR(ISNUMBER(SEARCH("Razonar",$R1123))/(ISNUMBER(SEARCH("Conocer",$R1123))+ISNUMBER(SEARCH("Aplicar",$R1123))+ISNUMBER(SEARCH("Razonar",$R1123))),0)</f>
        <v>0.333333333333333</v>
      </c>
      <c r="V1123" t="s" s="35">
        <v>1408</v>
      </c>
      <c r="W1123" t="s" s="35">
        <v>7006</v>
      </c>
      <c r="X1123" s="36" cm="1">
        <f t="array" ref="X1123">IF(OR(_xlfn.IFERROR(INDEX('Datos - Catálogo TIMSS'!$I$5:$I$107,MATCH(K1123,'Datos - Catálogo TIMSS'!$A$5:$A$107,0)),"No")="Sí",_xlfn.IFERROR(INDEX('Datos - Catálogo TIMSS'!$I$5:$I$107,MATCH(L1123,'Datos - Catálogo TIMSS'!$A$5:$A$107,0)),"No")="Sí"),1,0)</f>
        <v>0</v>
      </c>
      <c r="Y1123" s="36" cm="1">
        <f t="array" ref="Y1123">IF(_xlfn.IFERROR(INDEX('Datos - Catálogo TIMSS'!$J$5:$J$107,MATCH(K1123,'Datos - Catálogo TIMSS'!$A$5:$A$107,0)),"No")="Sí",1,0)</f>
        <v>0</v>
      </c>
      <c r="Z1123" s="36" cm="1">
        <f t="array" ref="Z1123">IF(_xlfn.IFERROR(INDEX('Datos - Catálogo TIMSS'!$J$5:$J$107,MATCH(L1123,'Datos - Catálogo TIMSS'!$A$5:$A$107,0)),"No")="Sí",1,0)</f>
        <v>0</v>
      </c>
      <c r="AA1123" t="s" s="35">
        <v>1058</v>
      </c>
      <c r="AB1123" s="39"/>
      <c r="AC1123" t="str" s="39">
        <v>Sin marco</v>
      </c>
      <c r="AD1123" t="s" s="35">
        <v>1859</v>
      </c>
      <c r="AE1123" t="str" s="39" cm="1">
        <f t="array" ref="AE1123">IF(AD1123="","",IF(LEFT(AD1123,1)="1","C1",IF(LEFT(AD1123,1)="2","C2",IF(LEFT(AD1123,1)="3","C3",""))))</f>
        <v>C1</v>
      </c>
      <c r="AF1123" t="s" s="35">
        <v>1602</v>
      </c>
      <c r="AG1123" t="s" s="35">
        <v>1612</v>
      </c>
      <c r="AH1123" t="s" s="35">
        <v>1602</v>
      </c>
      <c r="AI1123" t="s" s="35">
        <v>1609</v>
      </c>
      <c r="AJ1123" t="s" s="35">
        <v>1607</v>
      </c>
      <c r="AK1123" s="39"/>
      <c r="AL1123" s="39"/>
      <c r="AM1123" s="39"/>
      <c r="AN1123" s="39"/>
      <c r="AO1123" s="39"/>
      <c r="AP1123" s="39"/>
      <c r="AQ1123" s="39"/>
      <c r="AR1123" s="39"/>
      <c r="AS1123" s="39"/>
      <c r="AT1123" s="39"/>
      <c r="AU1123" s="39"/>
      <c r="AV1123" s="39"/>
      <c r="AW1123" t="str" s="39" cm="1">
        <f t="array" ref="AW1123">AF1123&amp;"; "&amp;AG1123&amp;"; "&amp;AH1123&amp;"; "&amp;AI1123&amp;"; "&amp;AJ1123</f>
        <v>E1; E5; E1; E4; E3</v>
      </c>
    </row>
    <row r="1124" ht="13.65" customHeight="1">
      <c r="A1124" t="s" s="35">
        <v>7084</v>
      </c>
      <c r="B1124" s="36">
        <v>10</v>
      </c>
      <c r="C1124" t="s" s="35">
        <v>210</v>
      </c>
      <c r="D1124" t="s" s="35">
        <v>7000</v>
      </c>
      <c r="E1124" t="s" s="35">
        <v>7001</v>
      </c>
      <c r="F1124" s="36">
        <v>24</v>
      </c>
      <c r="G1124" t="s" s="35">
        <v>7046</v>
      </c>
      <c r="H1124" t="s" s="35">
        <v>7081</v>
      </c>
      <c r="I1124" t="s" s="120">
        <v>7085</v>
      </c>
      <c r="J1124" t="s" s="35">
        <v>6185</v>
      </c>
      <c r="K1124" t="s" s="35">
        <v>1058</v>
      </c>
      <c r="L1124" s="39"/>
      <c r="M1124" t="str" s="39">
        <v>Sin marco</v>
      </c>
      <c r="N1124" t="str" s="39">
        <v>Sin marco</v>
      </c>
      <c r="O1124" t="str" s="39" cm="1">
        <f t="array" ref="O1124">IF(L1124="","",_xlfn.IFERROR(INDEX('Datos - Catálogo TIMSS'!$C$5:$C$107,MATCH(L1124,'Datos - Catálogo TIMSS'!$A$5:$A$107,0)),"?"))</f>
      </c>
      <c r="P1124" t="s" s="35">
        <v>1058</v>
      </c>
      <c r="Q1124" t="s" s="120">
        <v>6186</v>
      </c>
      <c r="R1124" t="s" s="120">
        <v>7086</v>
      </c>
      <c r="S1124" s="121" cm="1">
        <f t="array" ref="S1124">_xlfn.IFERROR(ISNUMBER(SEARCH("Conocer",$R1124))/(ISNUMBER(SEARCH("Conocer",$R1124))+ISNUMBER(SEARCH("Aplicar",$R1124))+ISNUMBER(SEARCH("Razonar",$R1124))),0)</f>
        <v>0</v>
      </c>
      <c r="T1124" s="121" cm="1">
        <f t="array" ref="T1124">_xlfn.IFERROR(ISNUMBER(SEARCH("Aplicar",$R1124))/(ISNUMBER(SEARCH("Conocer",$R1124))+ISNUMBER(SEARCH("Aplicar",$R1124))+ISNUMBER(SEARCH("Razonar",$R1124))),0)</f>
        <v>0.5</v>
      </c>
      <c r="U1124" s="121" cm="1">
        <f t="array" ref="U1124">_xlfn.IFERROR(ISNUMBER(SEARCH("Razonar",$R1124))/(ISNUMBER(SEARCH("Conocer",$R1124))+ISNUMBER(SEARCH("Aplicar",$R1124))+ISNUMBER(SEARCH("Razonar",$R1124))),0)</f>
        <v>0.5</v>
      </c>
      <c r="V1124" t="s" s="35">
        <v>1408</v>
      </c>
      <c r="W1124" t="s" s="35">
        <v>7006</v>
      </c>
      <c r="X1124" s="36" cm="1">
        <f t="array" ref="X1124">IF(OR(_xlfn.IFERROR(INDEX('Datos - Catálogo TIMSS'!$I$5:$I$107,MATCH(K1124,'Datos - Catálogo TIMSS'!$A$5:$A$107,0)),"No")="Sí",_xlfn.IFERROR(INDEX('Datos - Catálogo TIMSS'!$I$5:$I$107,MATCH(L1124,'Datos - Catálogo TIMSS'!$A$5:$A$107,0)),"No")="Sí"),1,0)</f>
        <v>0</v>
      </c>
      <c r="Y1124" s="36" cm="1">
        <f t="array" ref="Y1124">IF(_xlfn.IFERROR(INDEX('Datos - Catálogo TIMSS'!$J$5:$J$107,MATCH(K1124,'Datos - Catálogo TIMSS'!$A$5:$A$107,0)),"No")="Sí",1,0)</f>
        <v>0</v>
      </c>
      <c r="Z1124" s="36" cm="1">
        <f t="array" ref="Z1124">IF(_xlfn.IFERROR(INDEX('Datos - Catálogo TIMSS'!$J$5:$J$107,MATCH(L1124,'Datos - Catálogo TIMSS'!$A$5:$A$107,0)),"No")="Sí",1,0)</f>
        <v>0</v>
      </c>
      <c r="AA1124" t="s" s="35">
        <v>1058</v>
      </c>
      <c r="AB1124" s="39"/>
      <c r="AC1124" t="str" s="39">
        <v>Sin marco</v>
      </c>
      <c r="AD1124" t="s" s="35">
        <v>1834</v>
      </c>
      <c r="AE1124" t="str" s="39" cm="1">
        <f t="array" ref="AE1124">IF(AD1124="","",IF(LEFT(AD1124,1)="1","C1",IF(LEFT(AD1124,1)="2","C2",IF(LEFT(AD1124,1)="3","C3",""))))</f>
        <v>C2</v>
      </c>
      <c r="AF1124" t="s" s="35">
        <v>1602</v>
      </c>
      <c r="AG1124" t="s" s="35">
        <v>1617</v>
      </c>
      <c r="AH1124" t="s" s="35">
        <v>1602</v>
      </c>
      <c r="AI1124" t="s" s="35">
        <v>1619</v>
      </c>
      <c r="AJ1124" t="s" s="35">
        <v>1621</v>
      </c>
      <c r="AK1124" s="39"/>
      <c r="AL1124" s="39"/>
      <c r="AM1124" s="39"/>
      <c r="AN1124" s="39"/>
      <c r="AO1124" s="39"/>
      <c r="AP1124" s="39"/>
      <c r="AQ1124" s="39"/>
      <c r="AR1124" s="39"/>
      <c r="AS1124" s="39"/>
      <c r="AT1124" s="39"/>
      <c r="AU1124" s="39"/>
      <c r="AV1124" s="39"/>
      <c r="AW1124" t="str" s="39" cm="1">
        <f t="array" ref="AW1124">AF1124&amp;"; "&amp;AG1124&amp;"; "&amp;AH1124&amp;"; "&amp;AI1124&amp;"; "&amp;AJ1124</f>
        <v>E1; D1; E1; D2; D3</v>
      </c>
    </row>
    <row r="1125" ht="13.65" customHeight="1">
      <c r="A1125" t="s" s="35">
        <v>7087</v>
      </c>
      <c r="B1125" s="36">
        <v>10</v>
      </c>
      <c r="C1125" t="s" s="35">
        <v>210</v>
      </c>
      <c r="D1125" t="s" s="35">
        <v>7000</v>
      </c>
      <c r="E1125" t="s" s="35">
        <v>7001</v>
      </c>
      <c r="F1125" s="36">
        <v>25</v>
      </c>
      <c r="G1125" t="s" s="35">
        <v>7046</v>
      </c>
      <c r="H1125" t="s" s="35">
        <v>7081</v>
      </c>
      <c r="I1125" t="s" s="120">
        <v>7088</v>
      </c>
      <c r="J1125" t="s" s="35">
        <v>6185</v>
      </c>
      <c r="K1125" t="s" s="35">
        <v>1058</v>
      </c>
      <c r="L1125" s="39"/>
      <c r="M1125" t="str" s="39">
        <v>Sin marco</v>
      </c>
      <c r="N1125" t="str" s="39">
        <v>Sin marco</v>
      </c>
      <c r="O1125" t="str" s="39" cm="1">
        <f t="array" ref="O1125">IF(L1125="","",_xlfn.IFERROR(INDEX('Datos - Catálogo TIMSS'!$C$5:$C$107,MATCH(L1125,'Datos - Catálogo TIMSS'!$A$5:$A$107,0)),"?"))</f>
      </c>
      <c r="P1125" t="s" s="35">
        <v>1058</v>
      </c>
      <c r="Q1125" t="s" s="120">
        <v>6186</v>
      </c>
      <c r="R1125" t="s" s="120">
        <v>7089</v>
      </c>
      <c r="S1125" s="121" cm="1">
        <f t="array" ref="S1125">_xlfn.IFERROR(ISNUMBER(SEARCH("Conocer",$R1125))/(ISNUMBER(SEARCH("Conocer",$R1125))+ISNUMBER(SEARCH("Aplicar",$R1125))+ISNUMBER(SEARCH("Razonar",$R1125))),0)</f>
        <v>0</v>
      </c>
      <c r="T1125" s="121" cm="1">
        <f t="array" ref="T1125">_xlfn.IFERROR(ISNUMBER(SEARCH("Aplicar",$R1125))/(ISNUMBER(SEARCH("Conocer",$R1125))+ISNUMBER(SEARCH("Aplicar",$R1125))+ISNUMBER(SEARCH("Razonar",$R1125))),0)</f>
        <v>0.5</v>
      </c>
      <c r="U1125" s="121" cm="1">
        <f t="array" ref="U1125">_xlfn.IFERROR(ISNUMBER(SEARCH("Razonar",$R1125))/(ISNUMBER(SEARCH("Conocer",$R1125))+ISNUMBER(SEARCH("Aplicar",$R1125))+ISNUMBER(SEARCH("Razonar",$R1125))),0)</f>
        <v>0.5</v>
      </c>
      <c r="V1125" t="s" s="35">
        <v>1408</v>
      </c>
      <c r="W1125" t="s" s="35">
        <v>7006</v>
      </c>
      <c r="X1125" s="36" cm="1">
        <f t="array" ref="X1125">IF(OR(_xlfn.IFERROR(INDEX('Datos - Catálogo TIMSS'!$I$5:$I$107,MATCH(K1125,'Datos - Catálogo TIMSS'!$A$5:$A$107,0)),"No")="Sí",_xlfn.IFERROR(INDEX('Datos - Catálogo TIMSS'!$I$5:$I$107,MATCH(L1125,'Datos - Catálogo TIMSS'!$A$5:$A$107,0)),"No")="Sí"),1,0)</f>
        <v>0</v>
      </c>
      <c r="Y1125" s="36" cm="1">
        <f t="array" ref="Y1125">IF(_xlfn.IFERROR(INDEX('Datos - Catálogo TIMSS'!$J$5:$J$107,MATCH(K1125,'Datos - Catálogo TIMSS'!$A$5:$A$107,0)),"No")="Sí",1,0)</f>
        <v>0</v>
      </c>
      <c r="Z1125" s="36" cm="1">
        <f t="array" ref="Z1125">IF(_xlfn.IFERROR(INDEX('Datos - Catálogo TIMSS'!$J$5:$J$107,MATCH(L1125,'Datos - Catálogo TIMSS'!$A$5:$A$107,0)),"No")="Sí",1,0)</f>
        <v>0</v>
      </c>
      <c r="AA1125" t="s" s="35">
        <v>1058</v>
      </c>
      <c r="AB1125" s="39"/>
      <c r="AC1125" t="str" s="39">
        <v>Sin marco</v>
      </c>
      <c r="AD1125" t="s" s="35">
        <v>1859</v>
      </c>
      <c r="AE1125" t="str" s="39" cm="1">
        <f t="array" ref="AE1125">IF(AD1125="","",IF(LEFT(AD1125,1)="1","C1",IF(LEFT(AD1125,1)="2","C2",IF(LEFT(AD1125,1)="3","C3",""))))</f>
        <v>C1</v>
      </c>
      <c r="AF1125" t="s" s="35">
        <v>1602</v>
      </c>
      <c r="AG1125" t="s" s="35">
        <v>1617</v>
      </c>
      <c r="AH1125" t="s" s="35">
        <v>1609</v>
      </c>
      <c r="AI1125" t="s" s="35">
        <v>1623</v>
      </c>
      <c r="AJ1125" t="s" s="35">
        <v>1607</v>
      </c>
      <c r="AK1125" s="39"/>
      <c r="AL1125" s="39"/>
      <c r="AM1125" s="39"/>
      <c r="AN1125" s="39"/>
      <c r="AO1125" s="39"/>
      <c r="AP1125" s="39"/>
      <c r="AQ1125" s="39"/>
      <c r="AR1125" s="39"/>
      <c r="AS1125" s="39"/>
      <c r="AT1125" s="39"/>
      <c r="AU1125" s="39"/>
      <c r="AV1125" s="39"/>
      <c r="AW1125" t="str" s="39" cm="1">
        <f t="array" ref="AW1125">AF1125&amp;"; "&amp;AG1125&amp;"; "&amp;AH1125&amp;"; "&amp;AI1125&amp;"; "&amp;AJ1125</f>
        <v>E1; D1; E4; D4; E3</v>
      </c>
    </row>
    <row r="1126" ht="13.65" customHeight="1">
      <c r="A1126" t="s" s="35">
        <v>7090</v>
      </c>
      <c r="B1126" s="36">
        <v>10</v>
      </c>
      <c r="C1126" t="s" s="35">
        <v>210</v>
      </c>
      <c r="D1126" t="s" s="35">
        <v>7000</v>
      </c>
      <c r="E1126" t="s" s="35">
        <v>7001</v>
      </c>
      <c r="F1126" s="36">
        <v>26</v>
      </c>
      <c r="G1126" t="s" s="35">
        <v>7046</v>
      </c>
      <c r="H1126" t="s" s="35">
        <v>7091</v>
      </c>
      <c r="I1126" t="s" s="120">
        <v>7092</v>
      </c>
      <c r="J1126" t="s" s="35">
        <v>6185</v>
      </c>
      <c r="K1126" t="s" s="35">
        <v>1058</v>
      </c>
      <c r="L1126" s="39"/>
      <c r="M1126" t="str" s="39">
        <v>Sin marco</v>
      </c>
      <c r="N1126" t="str" s="39">
        <v>Sin marco</v>
      </c>
      <c r="O1126" t="str" s="39" cm="1">
        <f t="array" ref="O1126">IF(L1126="","",_xlfn.IFERROR(INDEX('Datos - Catálogo TIMSS'!$C$5:$C$107,MATCH(L1126,'Datos - Catálogo TIMSS'!$A$5:$A$107,0)),"?"))</f>
      </c>
      <c r="P1126" t="s" s="35">
        <v>1058</v>
      </c>
      <c r="Q1126" t="s" s="120">
        <v>6186</v>
      </c>
      <c r="R1126" t="s" s="120">
        <v>7093</v>
      </c>
      <c r="S1126" s="121" cm="1">
        <f t="array" ref="S1126">_xlfn.IFERROR(ISNUMBER(SEARCH("Conocer",$R1126))/(ISNUMBER(SEARCH("Conocer",$R1126))+ISNUMBER(SEARCH("Aplicar",$R1126))+ISNUMBER(SEARCH("Razonar",$R1126))),0)</f>
        <v>0</v>
      </c>
      <c r="T1126" s="121" cm="1">
        <f t="array" ref="T1126">_xlfn.IFERROR(ISNUMBER(SEARCH("Aplicar",$R1126))/(ISNUMBER(SEARCH("Conocer",$R1126))+ISNUMBER(SEARCH("Aplicar",$R1126))+ISNUMBER(SEARCH("Razonar",$R1126))),0)</f>
        <v>0.5</v>
      </c>
      <c r="U1126" s="121" cm="1">
        <f t="array" ref="U1126">_xlfn.IFERROR(ISNUMBER(SEARCH("Razonar",$R1126))/(ISNUMBER(SEARCH("Conocer",$R1126))+ISNUMBER(SEARCH("Aplicar",$R1126))+ISNUMBER(SEARCH("Razonar",$R1126))),0)</f>
        <v>0.5</v>
      </c>
      <c r="V1126" t="s" s="35">
        <v>1408</v>
      </c>
      <c r="W1126" t="s" s="35">
        <v>7006</v>
      </c>
      <c r="X1126" s="36" cm="1">
        <f t="array" ref="X1126">IF(OR(_xlfn.IFERROR(INDEX('Datos - Catálogo TIMSS'!$I$5:$I$107,MATCH(K1126,'Datos - Catálogo TIMSS'!$A$5:$A$107,0)),"No")="Sí",_xlfn.IFERROR(INDEX('Datos - Catálogo TIMSS'!$I$5:$I$107,MATCH(L1126,'Datos - Catálogo TIMSS'!$A$5:$A$107,0)),"No")="Sí"),1,0)</f>
        <v>0</v>
      </c>
      <c r="Y1126" s="36" cm="1">
        <f t="array" ref="Y1126">IF(_xlfn.IFERROR(INDEX('Datos - Catálogo TIMSS'!$J$5:$J$107,MATCH(K1126,'Datos - Catálogo TIMSS'!$A$5:$A$107,0)),"No")="Sí",1,0)</f>
        <v>0</v>
      </c>
      <c r="Z1126" s="36" cm="1">
        <f t="array" ref="Z1126">IF(_xlfn.IFERROR(INDEX('Datos - Catálogo TIMSS'!$J$5:$J$107,MATCH(L1126,'Datos - Catálogo TIMSS'!$A$5:$A$107,0)),"No")="Sí",1,0)</f>
        <v>0</v>
      </c>
      <c r="AA1126" t="s" s="35">
        <v>1058</v>
      </c>
      <c r="AB1126" s="39"/>
      <c r="AC1126" t="str" s="39">
        <v>Sin marco</v>
      </c>
      <c r="AD1126" t="s" s="35">
        <v>1834</v>
      </c>
      <c r="AE1126" t="str" s="39" cm="1">
        <f t="array" ref="AE1126">IF(AD1126="","",IF(LEFT(AD1126,1)="1","C1",IF(LEFT(AD1126,1)="2","C2",IF(LEFT(AD1126,1)="3","C3",""))))</f>
        <v>C2</v>
      </c>
      <c r="AF1126" t="s" s="35">
        <v>1615</v>
      </c>
      <c r="AG1126" t="s" s="35">
        <v>1617</v>
      </c>
      <c r="AH1126" t="s" s="35">
        <v>1602</v>
      </c>
      <c r="AI1126" t="s" s="35">
        <v>1623</v>
      </c>
      <c r="AJ1126" t="s" s="35">
        <v>1607</v>
      </c>
      <c r="AK1126" s="39"/>
      <c r="AL1126" s="39"/>
      <c r="AM1126" s="39"/>
      <c r="AN1126" s="39"/>
      <c r="AO1126" s="39"/>
      <c r="AP1126" s="39"/>
      <c r="AQ1126" s="39"/>
      <c r="AR1126" s="39"/>
      <c r="AS1126" s="39"/>
      <c r="AT1126" s="39"/>
      <c r="AU1126" s="39"/>
      <c r="AV1126" s="39"/>
      <c r="AW1126" t="str" s="39" cm="1">
        <f t="array" ref="AW1126">AF1126&amp;"; "&amp;AG1126&amp;"; "&amp;AH1126&amp;"; "&amp;AI1126&amp;"; "&amp;AJ1126</f>
        <v>E6; D1; E1; D4; E3</v>
      </c>
    </row>
    <row r="1127" ht="13.65" customHeight="1">
      <c r="A1127" t="s" s="35">
        <v>7094</v>
      </c>
      <c r="B1127" s="36">
        <v>10</v>
      </c>
      <c r="C1127" t="s" s="35">
        <v>210</v>
      </c>
      <c r="D1127" t="s" s="35">
        <v>7000</v>
      </c>
      <c r="E1127" t="s" s="35">
        <v>7001</v>
      </c>
      <c r="F1127" s="36">
        <v>27</v>
      </c>
      <c r="G1127" t="s" s="35">
        <v>7046</v>
      </c>
      <c r="H1127" t="s" s="35">
        <v>7091</v>
      </c>
      <c r="I1127" t="s" s="120">
        <v>7095</v>
      </c>
      <c r="J1127" t="s" s="35">
        <v>6185</v>
      </c>
      <c r="K1127" t="s" s="35">
        <v>1058</v>
      </c>
      <c r="L1127" s="39"/>
      <c r="M1127" t="str" s="39">
        <v>Sin marco</v>
      </c>
      <c r="N1127" t="str" s="39">
        <v>Sin marco</v>
      </c>
      <c r="O1127" t="str" s="39" cm="1">
        <f t="array" ref="O1127">IF(L1127="","",_xlfn.IFERROR(INDEX('Datos - Catálogo TIMSS'!$C$5:$C$107,MATCH(L1127,'Datos - Catálogo TIMSS'!$A$5:$A$107,0)),"?"))</f>
      </c>
      <c r="P1127" t="s" s="35">
        <v>1058</v>
      </c>
      <c r="Q1127" t="s" s="120">
        <v>6186</v>
      </c>
      <c r="R1127" t="s" s="120">
        <v>7096</v>
      </c>
      <c r="S1127" s="121" cm="1">
        <f t="array" ref="S1127">_xlfn.IFERROR(ISNUMBER(SEARCH("Conocer",$R1127))/(ISNUMBER(SEARCH("Conocer",$R1127))+ISNUMBER(SEARCH("Aplicar",$R1127))+ISNUMBER(SEARCH("Razonar",$R1127))),0)</f>
        <v>0</v>
      </c>
      <c r="T1127" s="121" cm="1">
        <f t="array" ref="T1127">_xlfn.IFERROR(ISNUMBER(SEARCH("Aplicar",$R1127))/(ISNUMBER(SEARCH("Conocer",$R1127))+ISNUMBER(SEARCH("Aplicar",$R1127))+ISNUMBER(SEARCH("Razonar",$R1127))),0)</f>
        <v>0.5</v>
      </c>
      <c r="U1127" s="121" cm="1">
        <f t="array" ref="U1127">_xlfn.IFERROR(ISNUMBER(SEARCH("Razonar",$R1127))/(ISNUMBER(SEARCH("Conocer",$R1127))+ISNUMBER(SEARCH("Aplicar",$R1127))+ISNUMBER(SEARCH("Razonar",$R1127))),0)</f>
        <v>0.5</v>
      </c>
      <c r="V1127" t="s" s="35">
        <v>1408</v>
      </c>
      <c r="W1127" t="s" s="35">
        <v>7006</v>
      </c>
      <c r="X1127" s="36" cm="1">
        <f t="array" ref="X1127">IF(OR(_xlfn.IFERROR(INDEX('Datos - Catálogo TIMSS'!$I$5:$I$107,MATCH(K1127,'Datos - Catálogo TIMSS'!$A$5:$A$107,0)),"No")="Sí",_xlfn.IFERROR(INDEX('Datos - Catálogo TIMSS'!$I$5:$I$107,MATCH(L1127,'Datos - Catálogo TIMSS'!$A$5:$A$107,0)),"No")="Sí"),1,0)</f>
        <v>0</v>
      </c>
      <c r="Y1127" s="36" cm="1">
        <f t="array" ref="Y1127">IF(_xlfn.IFERROR(INDEX('Datos - Catálogo TIMSS'!$J$5:$J$107,MATCH(K1127,'Datos - Catálogo TIMSS'!$A$5:$A$107,0)),"No")="Sí",1,0)</f>
        <v>0</v>
      </c>
      <c r="Z1127" s="36" cm="1">
        <f t="array" ref="Z1127">IF(_xlfn.IFERROR(INDEX('Datos - Catálogo TIMSS'!$J$5:$J$107,MATCH(L1127,'Datos - Catálogo TIMSS'!$A$5:$A$107,0)),"No")="Sí",1,0)</f>
        <v>0</v>
      </c>
      <c r="AA1127" t="s" s="35">
        <v>1058</v>
      </c>
      <c r="AB1127" s="39"/>
      <c r="AC1127" t="str" s="39">
        <v>Sin marco</v>
      </c>
      <c r="AD1127" t="s" s="35">
        <v>1834</v>
      </c>
      <c r="AE1127" t="str" s="39" cm="1">
        <f t="array" ref="AE1127">IF(AD1127="","",IF(LEFT(AD1127,1)="1","C1",IF(LEFT(AD1127,1)="2","C2",IF(LEFT(AD1127,1)="3","C3",""))))</f>
        <v>C2</v>
      </c>
      <c r="AF1127" t="s" s="35">
        <v>1602</v>
      </c>
      <c r="AG1127" t="s" s="35">
        <v>1607</v>
      </c>
      <c r="AH1127" t="s" s="35">
        <v>1605</v>
      </c>
      <c r="AI1127" t="s" s="35">
        <v>1619</v>
      </c>
      <c r="AJ1127" t="s" s="35">
        <v>1625</v>
      </c>
      <c r="AK1127" s="39"/>
      <c r="AL1127" s="39"/>
      <c r="AM1127" s="39"/>
      <c r="AN1127" s="39"/>
      <c r="AO1127" s="39"/>
      <c r="AP1127" s="39"/>
      <c r="AQ1127" s="39"/>
      <c r="AR1127" s="39"/>
      <c r="AS1127" s="39"/>
      <c r="AT1127" s="39"/>
      <c r="AU1127" s="39"/>
      <c r="AV1127" s="39"/>
      <c r="AW1127" t="str" s="39" cm="1">
        <f t="array" ref="AW1127">AF1127&amp;"; "&amp;AG1127&amp;"; "&amp;AH1127&amp;"; "&amp;AI1127&amp;"; "&amp;AJ1127</f>
        <v>E1; E3; E2; D2; I1</v>
      </c>
    </row>
    <row r="1128" ht="13.65" customHeight="1">
      <c r="A1128" t="s" s="35">
        <v>7098</v>
      </c>
      <c r="B1128" s="36">
        <v>10</v>
      </c>
      <c r="C1128" t="s" s="35">
        <v>210</v>
      </c>
      <c r="D1128" t="s" s="35">
        <v>7000</v>
      </c>
      <c r="E1128" t="s" s="35">
        <v>7001</v>
      </c>
      <c r="F1128" s="36">
        <v>28</v>
      </c>
      <c r="G1128" t="s" s="35">
        <v>7046</v>
      </c>
      <c r="H1128" t="s" s="35">
        <v>7091</v>
      </c>
      <c r="I1128" t="s" s="120">
        <v>7099</v>
      </c>
      <c r="J1128" t="s" s="35">
        <v>6185</v>
      </c>
      <c r="K1128" t="s" s="35">
        <v>1058</v>
      </c>
      <c r="L1128" s="39"/>
      <c r="M1128" t="str" s="39">
        <v>Sin marco</v>
      </c>
      <c r="N1128" t="str" s="39">
        <v>Sin marco</v>
      </c>
      <c r="O1128" t="str" s="39" cm="1">
        <f t="array" ref="O1128">IF(L1128="","",_xlfn.IFERROR(INDEX('Datos - Catálogo TIMSS'!$C$5:$C$107,MATCH(L1128,'Datos - Catálogo TIMSS'!$A$5:$A$107,0)),"?"))</f>
      </c>
      <c r="P1128" t="s" s="35">
        <v>1058</v>
      </c>
      <c r="Q1128" t="s" s="120">
        <v>6186</v>
      </c>
      <c r="R1128" t="s" s="120">
        <v>7100</v>
      </c>
      <c r="S1128" s="121" cm="1">
        <f t="array" ref="S1128">_xlfn.IFERROR(ISNUMBER(SEARCH("Conocer",$R1128))/(ISNUMBER(SEARCH("Conocer",$R1128))+ISNUMBER(SEARCH("Aplicar",$R1128))+ISNUMBER(SEARCH("Razonar",$R1128))),0)</f>
        <v>0</v>
      </c>
      <c r="T1128" s="121" cm="1">
        <f t="array" ref="T1128">_xlfn.IFERROR(ISNUMBER(SEARCH("Aplicar",$R1128))/(ISNUMBER(SEARCH("Conocer",$R1128))+ISNUMBER(SEARCH("Aplicar",$R1128))+ISNUMBER(SEARCH("Razonar",$R1128))),0)</f>
        <v>0.5</v>
      </c>
      <c r="U1128" s="121" cm="1">
        <f t="array" ref="U1128">_xlfn.IFERROR(ISNUMBER(SEARCH("Razonar",$R1128))/(ISNUMBER(SEARCH("Conocer",$R1128))+ISNUMBER(SEARCH("Aplicar",$R1128))+ISNUMBER(SEARCH("Razonar",$R1128))),0)</f>
        <v>0.5</v>
      </c>
      <c r="V1128" t="s" s="35">
        <v>1408</v>
      </c>
      <c r="W1128" t="s" s="35">
        <v>7006</v>
      </c>
      <c r="X1128" s="36" cm="1">
        <f t="array" ref="X1128">IF(OR(_xlfn.IFERROR(INDEX('Datos - Catálogo TIMSS'!$I$5:$I$107,MATCH(K1128,'Datos - Catálogo TIMSS'!$A$5:$A$107,0)),"No")="Sí",_xlfn.IFERROR(INDEX('Datos - Catálogo TIMSS'!$I$5:$I$107,MATCH(L1128,'Datos - Catálogo TIMSS'!$A$5:$A$107,0)),"No")="Sí"),1,0)</f>
        <v>0</v>
      </c>
      <c r="Y1128" s="36" cm="1">
        <f t="array" ref="Y1128">IF(_xlfn.IFERROR(INDEX('Datos - Catálogo TIMSS'!$J$5:$J$107,MATCH(K1128,'Datos - Catálogo TIMSS'!$A$5:$A$107,0)),"No")="Sí",1,0)</f>
        <v>0</v>
      </c>
      <c r="Z1128" s="36" cm="1">
        <f t="array" ref="Z1128">IF(_xlfn.IFERROR(INDEX('Datos - Catálogo TIMSS'!$J$5:$J$107,MATCH(L1128,'Datos - Catálogo TIMSS'!$A$5:$A$107,0)),"No")="Sí",1,0)</f>
        <v>0</v>
      </c>
      <c r="AA1128" t="s" s="35">
        <v>1058</v>
      </c>
      <c r="AB1128" s="39"/>
      <c r="AC1128" t="str" s="39">
        <v>Sin marco</v>
      </c>
      <c r="AD1128" t="s" s="35">
        <v>1859</v>
      </c>
      <c r="AE1128" t="str" s="39" cm="1">
        <f t="array" ref="AE1128">IF(AD1128="","",IF(LEFT(AD1128,1)="1","C1",IF(LEFT(AD1128,1)="2","C2",IF(LEFT(AD1128,1)="3","C3",""))))</f>
        <v>C1</v>
      </c>
      <c r="AF1128" t="s" s="35">
        <v>1602</v>
      </c>
      <c r="AG1128" t="s" s="35">
        <v>1617</v>
      </c>
      <c r="AH1128" t="s" s="35">
        <v>1609</v>
      </c>
      <c r="AI1128" t="s" s="35">
        <v>1623</v>
      </c>
      <c r="AJ1128" t="s" s="35">
        <v>1607</v>
      </c>
      <c r="AK1128" s="39"/>
      <c r="AL1128" s="39"/>
      <c r="AM1128" s="39"/>
      <c r="AN1128" s="39"/>
      <c r="AO1128" s="39"/>
      <c r="AP1128" s="39"/>
      <c r="AQ1128" s="39"/>
      <c r="AR1128" s="39"/>
      <c r="AS1128" s="39"/>
      <c r="AT1128" s="39"/>
      <c r="AU1128" s="39"/>
      <c r="AV1128" s="39"/>
      <c r="AW1128" t="str" s="39" cm="1">
        <f t="array" ref="AW1128">AF1128&amp;"; "&amp;AG1128&amp;"; "&amp;AH1128&amp;"; "&amp;AI1128&amp;"; "&amp;AJ1128</f>
        <v>E1; D1; E4; D4; E3</v>
      </c>
    </row>
    <row r="1129" ht="13.65" customHeight="1">
      <c r="A1129" t="s" s="35">
        <v>7101</v>
      </c>
      <c r="B1129" s="36">
        <v>10</v>
      </c>
      <c r="C1129" t="s" s="35">
        <v>210</v>
      </c>
      <c r="D1129" t="s" s="35">
        <v>7000</v>
      </c>
      <c r="E1129" t="s" s="35">
        <v>7001</v>
      </c>
      <c r="F1129" s="36">
        <v>29</v>
      </c>
      <c r="G1129" t="s" s="35">
        <v>7102</v>
      </c>
      <c r="H1129" t="s" s="35">
        <v>7103</v>
      </c>
      <c r="I1129" t="s" s="120">
        <v>7104</v>
      </c>
      <c r="J1129" t="s" s="35">
        <v>6185</v>
      </c>
      <c r="K1129" t="s" s="35">
        <v>1058</v>
      </c>
      <c r="L1129" s="39"/>
      <c r="M1129" t="str" s="39">
        <v>Sin marco</v>
      </c>
      <c r="N1129" t="str" s="39">
        <v>Sin marco</v>
      </c>
      <c r="O1129" t="str" s="39" cm="1">
        <f t="array" ref="O1129">IF(L1129="","",_xlfn.IFERROR(INDEX('Datos - Catálogo TIMSS'!$C$5:$C$107,MATCH(L1129,'Datos - Catálogo TIMSS'!$A$5:$A$107,0)),"?"))</f>
      </c>
      <c r="P1129" t="s" s="35">
        <v>1058</v>
      </c>
      <c r="Q1129" t="s" s="120">
        <v>6186</v>
      </c>
      <c r="R1129" t="s" s="120">
        <v>7105</v>
      </c>
      <c r="S1129" s="121" cm="1">
        <f t="array" ref="S1129">_xlfn.IFERROR(ISNUMBER(SEARCH("Conocer",$R1129))/(ISNUMBER(SEARCH("Conocer",$R1129))+ISNUMBER(SEARCH("Aplicar",$R1129))+ISNUMBER(SEARCH("Razonar",$R1129))),0)</f>
        <v>0</v>
      </c>
      <c r="T1129" s="121" cm="1">
        <f t="array" ref="T1129">_xlfn.IFERROR(ISNUMBER(SEARCH("Aplicar",$R1129))/(ISNUMBER(SEARCH("Conocer",$R1129))+ISNUMBER(SEARCH("Aplicar",$R1129))+ISNUMBER(SEARCH("Razonar",$R1129))),0)</f>
        <v>0.5</v>
      </c>
      <c r="U1129" s="121" cm="1">
        <f t="array" ref="U1129">_xlfn.IFERROR(ISNUMBER(SEARCH("Razonar",$R1129))/(ISNUMBER(SEARCH("Conocer",$R1129))+ISNUMBER(SEARCH("Aplicar",$R1129))+ISNUMBER(SEARCH("Razonar",$R1129))),0)</f>
        <v>0.5</v>
      </c>
      <c r="V1129" t="s" s="35">
        <v>1408</v>
      </c>
      <c r="W1129" t="s" s="35">
        <v>7006</v>
      </c>
      <c r="X1129" s="36" cm="1">
        <f t="array" ref="X1129">IF(OR(_xlfn.IFERROR(INDEX('Datos - Catálogo TIMSS'!$I$5:$I$107,MATCH(K1129,'Datos - Catálogo TIMSS'!$A$5:$A$107,0)),"No")="Sí",_xlfn.IFERROR(INDEX('Datos - Catálogo TIMSS'!$I$5:$I$107,MATCH(L1129,'Datos - Catálogo TIMSS'!$A$5:$A$107,0)),"No")="Sí"),1,0)</f>
        <v>0</v>
      </c>
      <c r="Y1129" s="36" cm="1">
        <f t="array" ref="Y1129">IF(_xlfn.IFERROR(INDEX('Datos - Catálogo TIMSS'!$J$5:$J$107,MATCH(K1129,'Datos - Catálogo TIMSS'!$A$5:$A$107,0)),"No")="Sí",1,0)</f>
        <v>0</v>
      </c>
      <c r="Z1129" s="36" cm="1">
        <f t="array" ref="Z1129">IF(_xlfn.IFERROR(INDEX('Datos - Catálogo TIMSS'!$J$5:$J$107,MATCH(L1129,'Datos - Catálogo TIMSS'!$A$5:$A$107,0)),"No")="Sí",1,0)</f>
        <v>0</v>
      </c>
      <c r="AA1129" t="s" s="35">
        <v>1058</v>
      </c>
      <c r="AB1129" s="39"/>
      <c r="AC1129" t="str" s="39">
        <v>Sin marco</v>
      </c>
      <c r="AD1129" t="s" s="35">
        <v>1834</v>
      </c>
      <c r="AE1129" t="str" s="39" cm="1">
        <f t="array" ref="AE1129">IF(AD1129="","",IF(LEFT(AD1129,1)="1","C1",IF(LEFT(AD1129,1)="2","C2",IF(LEFT(AD1129,1)="3","C3",""))))</f>
        <v>C2</v>
      </c>
      <c r="AF1129" t="s" s="35">
        <v>1602</v>
      </c>
      <c r="AG1129" t="s" s="35">
        <v>1617</v>
      </c>
      <c r="AH1129" t="s" s="35">
        <v>1605</v>
      </c>
      <c r="AI1129" t="s" s="35">
        <v>1623</v>
      </c>
      <c r="AJ1129" t="s" s="35">
        <v>1607</v>
      </c>
      <c r="AK1129" s="39"/>
      <c r="AL1129" s="39"/>
      <c r="AM1129" s="39"/>
      <c r="AN1129" s="39"/>
      <c r="AO1129" s="39"/>
      <c r="AP1129" s="39"/>
      <c r="AQ1129" s="39"/>
      <c r="AR1129" s="39"/>
      <c r="AS1129" s="39"/>
      <c r="AT1129" s="39"/>
      <c r="AU1129" s="39"/>
      <c r="AV1129" s="39"/>
      <c r="AW1129" t="str" s="39" cm="1">
        <f t="array" ref="AW1129">AF1129&amp;"; "&amp;AG1129&amp;"; "&amp;AH1129&amp;"; "&amp;AI1129&amp;"; "&amp;AJ1129</f>
        <v>E1; D1; E2; D4; E3</v>
      </c>
    </row>
    <row r="1130" ht="13.65" customHeight="1">
      <c r="A1130" t="s" s="35">
        <v>7106</v>
      </c>
      <c r="B1130" s="36">
        <v>10</v>
      </c>
      <c r="C1130" t="s" s="35">
        <v>210</v>
      </c>
      <c r="D1130" t="s" s="35">
        <v>7000</v>
      </c>
      <c r="E1130" t="s" s="35">
        <v>7001</v>
      </c>
      <c r="F1130" s="36">
        <v>30</v>
      </c>
      <c r="G1130" t="s" s="35">
        <v>7102</v>
      </c>
      <c r="H1130" t="s" s="35">
        <v>7103</v>
      </c>
      <c r="I1130" t="s" s="120">
        <v>7107</v>
      </c>
      <c r="J1130" t="s" s="35">
        <v>6185</v>
      </c>
      <c r="K1130" t="s" s="35">
        <v>1058</v>
      </c>
      <c r="L1130" s="39"/>
      <c r="M1130" t="str" s="39">
        <v>Sin marco</v>
      </c>
      <c r="N1130" t="str" s="39">
        <v>Sin marco</v>
      </c>
      <c r="O1130" t="str" s="39" cm="1">
        <f t="array" ref="O1130">IF(L1130="","",_xlfn.IFERROR(INDEX('Datos - Catálogo TIMSS'!$C$5:$C$107,MATCH(L1130,'Datos - Catálogo TIMSS'!$A$5:$A$107,0)),"?"))</f>
      </c>
      <c r="P1130" t="s" s="35">
        <v>1058</v>
      </c>
      <c r="Q1130" t="s" s="120">
        <v>6186</v>
      </c>
      <c r="R1130" t="s" s="120">
        <v>7108</v>
      </c>
      <c r="S1130" s="121" cm="1">
        <f t="array" ref="S1130">_xlfn.IFERROR(ISNUMBER(SEARCH("Conocer",$R1130))/(ISNUMBER(SEARCH("Conocer",$R1130))+ISNUMBER(SEARCH("Aplicar",$R1130))+ISNUMBER(SEARCH("Razonar",$R1130))),0)</f>
        <v>0.333333333333333</v>
      </c>
      <c r="T1130" s="121" cm="1">
        <f t="array" ref="T1130">_xlfn.IFERROR(ISNUMBER(SEARCH("Aplicar",$R1130))/(ISNUMBER(SEARCH("Conocer",$R1130))+ISNUMBER(SEARCH("Aplicar",$R1130))+ISNUMBER(SEARCH("Razonar",$R1130))),0)</f>
        <v>0.333333333333333</v>
      </c>
      <c r="U1130" s="121" cm="1">
        <f t="array" ref="U1130">_xlfn.IFERROR(ISNUMBER(SEARCH("Razonar",$R1130))/(ISNUMBER(SEARCH("Conocer",$R1130))+ISNUMBER(SEARCH("Aplicar",$R1130))+ISNUMBER(SEARCH("Razonar",$R1130))),0)</f>
        <v>0.333333333333333</v>
      </c>
      <c r="V1130" t="s" s="35">
        <v>1408</v>
      </c>
      <c r="W1130" t="s" s="35">
        <v>7006</v>
      </c>
      <c r="X1130" s="36" cm="1">
        <f t="array" ref="X1130">IF(OR(_xlfn.IFERROR(INDEX('Datos - Catálogo TIMSS'!$I$5:$I$107,MATCH(K1130,'Datos - Catálogo TIMSS'!$A$5:$A$107,0)),"No")="Sí",_xlfn.IFERROR(INDEX('Datos - Catálogo TIMSS'!$I$5:$I$107,MATCH(L1130,'Datos - Catálogo TIMSS'!$A$5:$A$107,0)),"No")="Sí"),1,0)</f>
        <v>0</v>
      </c>
      <c r="Y1130" s="36" cm="1">
        <f t="array" ref="Y1130">IF(_xlfn.IFERROR(INDEX('Datos - Catálogo TIMSS'!$J$5:$J$107,MATCH(K1130,'Datos - Catálogo TIMSS'!$A$5:$A$107,0)),"No")="Sí",1,0)</f>
        <v>0</v>
      </c>
      <c r="Z1130" s="36" cm="1">
        <f t="array" ref="Z1130">IF(_xlfn.IFERROR(INDEX('Datos - Catálogo TIMSS'!$J$5:$J$107,MATCH(L1130,'Datos - Catálogo TIMSS'!$A$5:$A$107,0)),"No")="Sí",1,0)</f>
        <v>0</v>
      </c>
      <c r="AA1130" t="s" s="35">
        <v>1058</v>
      </c>
      <c r="AB1130" s="39"/>
      <c r="AC1130" t="str" s="39">
        <v>Sin marco</v>
      </c>
      <c r="AD1130" t="s" s="35">
        <v>1859</v>
      </c>
      <c r="AE1130" t="str" s="39" cm="1">
        <f t="array" ref="AE1130">IF(AD1130="","",IF(LEFT(AD1130,1)="1","C1",IF(LEFT(AD1130,1)="2","C2",IF(LEFT(AD1130,1)="3","C3",""))))</f>
        <v>C1</v>
      </c>
      <c r="AF1130" t="s" s="35">
        <v>1602</v>
      </c>
      <c r="AG1130" t="s" s="35">
        <v>1612</v>
      </c>
      <c r="AH1130" t="s" s="35">
        <v>1609</v>
      </c>
      <c r="AI1130" t="s" s="35">
        <v>1621</v>
      </c>
      <c r="AJ1130" t="s" s="35">
        <v>1607</v>
      </c>
      <c r="AK1130" s="39"/>
      <c r="AL1130" s="39"/>
      <c r="AM1130" s="39"/>
      <c r="AN1130" s="39"/>
      <c r="AO1130" s="39"/>
      <c r="AP1130" s="39"/>
      <c r="AQ1130" s="39"/>
      <c r="AR1130" s="39"/>
      <c r="AS1130" s="39"/>
      <c r="AT1130" s="39"/>
      <c r="AU1130" s="39"/>
      <c r="AV1130" s="39"/>
      <c r="AW1130" t="str" s="39" cm="1">
        <f t="array" ref="AW1130">AF1130&amp;"; "&amp;AG1130&amp;"; "&amp;AH1130&amp;"; "&amp;AI1130&amp;"; "&amp;AJ1130</f>
        <v>E1; E5; E4; D3; E3</v>
      </c>
    </row>
    <row r="1131" ht="13.65" customHeight="1">
      <c r="A1131" t="s" s="35">
        <v>7110</v>
      </c>
      <c r="B1131" s="36">
        <v>10</v>
      </c>
      <c r="C1131" t="s" s="35">
        <v>210</v>
      </c>
      <c r="D1131" t="s" s="35">
        <v>7000</v>
      </c>
      <c r="E1131" t="s" s="35">
        <v>7001</v>
      </c>
      <c r="F1131" s="36">
        <v>31</v>
      </c>
      <c r="G1131" t="s" s="35">
        <v>7102</v>
      </c>
      <c r="H1131" t="s" s="35">
        <v>7103</v>
      </c>
      <c r="I1131" t="s" s="120">
        <v>7111</v>
      </c>
      <c r="J1131" t="s" s="35">
        <v>6185</v>
      </c>
      <c r="K1131" t="s" s="35">
        <v>1058</v>
      </c>
      <c r="L1131" s="39"/>
      <c r="M1131" t="str" s="39">
        <v>Sin marco</v>
      </c>
      <c r="N1131" t="str" s="39">
        <v>Sin marco</v>
      </c>
      <c r="O1131" t="str" s="39" cm="1">
        <f t="array" ref="O1131">IF(L1131="","",_xlfn.IFERROR(INDEX('Datos - Catálogo TIMSS'!$C$5:$C$107,MATCH(L1131,'Datos - Catálogo TIMSS'!$A$5:$A$107,0)),"?"))</f>
      </c>
      <c r="P1131" t="s" s="35">
        <v>1058</v>
      </c>
      <c r="Q1131" t="s" s="120">
        <v>6186</v>
      </c>
      <c r="R1131" t="s" s="120">
        <v>7112</v>
      </c>
      <c r="S1131" s="121" cm="1">
        <f t="array" ref="S1131">_xlfn.IFERROR(ISNUMBER(SEARCH("Conocer",$R1131))/(ISNUMBER(SEARCH("Conocer",$R1131))+ISNUMBER(SEARCH("Aplicar",$R1131))+ISNUMBER(SEARCH("Razonar",$R1131))),0)</f>
        <v>0.333333333333333</v>
      </c>
      <c r="T1131" s="121" cm="1">
        <f t="array" ref="T1131">_xlfn.IFERROR(ISNUMBER(SEARCH("Aplicar",$R1131))/(ISNUMBER(SEARCH("Conocer",$R1131))+ISNUMBER(SEARCH("Aplicar",$R1131))+ISNUMBER(SEARCH("Razonar",$R1131))),0)</f>
        <v>0.333333333333333</v>
      </c>
      <c r="U1131" s="121" cm="1">
        <f t="array" ref="U1131">_xlfn.IFERROR(ISNUMBER(SEARCH("Razonar",$R1131))/(ISNUMBER(SEARCH("Conocer",$R1131))+ISNUMBER(SEARCH("Aplicar",$R1131))+ISNUMBER(SEARCH("Razonar",$R1131))),0)</f>
        <v>0.333333333333333</v>
      </c>
      <c r="V1131" t="s" s="35">
        <v>1408</v>
      </c>
      <c r="W1131" t="s" s="35">
        <v>7006</v>
      </c>
      <c r="X1131" s="36" cm="1">
        <f t="array" ref="X1131">IF(OR(_xlfn.IFERROR(INDEX('Datos - Catálogo TIMSS'!$I$5:$I$107,MATCH(K1131,'Datos - Catálogo TIMSS'!$A$5:$A$107,0)),"No")="Sí",_xlfn.IFERROR(INDEX('Datos - Catálogo TIMSS'!$I$5:$I$107,MATCH(L1131,'Datos - Catálogo TIMSS'!$A$5:$A$107,0)),"No")="Sí"),1,0)</f>
        <v>0</v>
      </c>
      <c r="Y1131" s="36" cm="1">
        <f t="array" ref="Y1131">IF(_xlfn.IFERROR(INDEX('Datos - Catálogo TIMSS'!$J$5:$J$107,MATCH(K1131,'Datos - Catálogo TIMSS'!$A$5:$A$107,0)),"No")="Sí",1,0)</f>
        <v>0</v>
      </c>
      <c r="Z1131" s="36" cm="1">
        <f t="array" ref="Z1131">IF(_xlfn.IFERROR(INDEX('Datos - Catálogo TIMSS'!$J$5:$J$107,MATCH(L1131,'Datos - Catálogo TIMSS'!$A$5:$A$107,0)),"No")="Sí",1,0)</f>
        <v>0</v>
      </c>
      <c r="AA1131" t="s" s="35">
        <v>1058</v>
      </c>
      <c r="AB1131" s="39"/>
      <c r="AC1131" t="str" s="39">
        <v>Sin marco</v>
      </c>
      <c r="AD1131" t="s" s="35">
        <v>1859</v>
      </c>
      <c r="AE1131" t="str" s="39" cm="1">
        <f t="array" ref="AE1131">IF(AD1131="","",IF(LEFT(AD1131,1)="1","C1",IF(LEFT(AD1131,1)="2","C2",IF(LEFT(AD1131,1)="3","C3",""))))</f>
        <v>C1</v>
      </c>
      <c r="AF1131" t="s" s="35">
        <v>1615</v>
      </c>
      <c r="AG1131" t="s" s="35">
        <v>1617</v>
      </c>
      <c r="AH1131" t="s" s="35">
        <v>1605</v>
      </c>
      <c r="AI1131" t="s" s="35">
        <v>1625</v>
      </c>
      <c r="AJ1131" t="s" s="35">
        <v>1633</v>
      </c>
      <c r="AK1131" s="39"/>
      <c r="AL1131" s="39"/>
      <c r="AM1131" s="39"/>
      <c r="AN1131" s="39"/>
      <c r="AO1131" s="39"/>
      <c r="AP1131" s="39"/>
      <c r="AQ1131" s="39"/>
      <c r="AR1131" s="39"/>
      <c r="AS1131" s="39"/>
      <c r="AT1131" s="39"/>
      <c r="AU1131" s="39"/>
      <c r="AV1131" s="39"/>
      <c r="AW1131" t="str" s="39" cm="1">
        <f t="array" ref="AW1131">AF1131&amp;"; "&amp;AG1131&amp;"; "&amp;AH1131&amp;"; "&amp;AI1131&amp;"; "&amp;AJ1131</f>
        <v>E6; D1; E2; I1; I5</v>
      </c>
    </row>
    <row r="1132" ht="13.65" customHeight="1">
      <c r="A1132" t="s" s="35">
        <v>7113</v>
      </c>
      <c r="B1132" s="36">
        <v>10</v>
      </c>
      <c r="C1132" t="s" s="35">
        <v>210</v>
      </c>
      <c r="D1132" t="s" s="35">
        <v>7000</v>
      </c>
      <c r="E1132" t="s" s="35">
        <v>7001</v>
      </c>
      <c r="F1132" s="36">
        <v>32</v>
      </c>
      <c r="G1132" t="s" s="35">
        <v>7102</v>
      </c>
      <c r="H1132" t="s" s="35">
        <v>7114</v>
      </c>
      <c r="I1132" t="s" s="120">
        <v>7115</v>
      </c>
      <c r="J1132" t="s" s="35">
        <v>6185</v>
      </c>
      <c r="K1132" t="s" s="35">
        <v>1058</v>
      </c>
      <c r="L1132" s="39"/>
      <c r="M1132" t="str" s="39">
        <v>Sin marco</v>
      </c>
      <c r="N1132" t="str" s="39">
        <v>Sin marco</v>
      </c>
      <c r="O1132" t="str" s="39" cm="1">
        <f t="array" ref="O1132">IF(L1132="","",_xlfn.IFERROR(INDEX('Datos - Catálogo TIMSS'!$C$5:$C$107,MATCH(L1132,'Datos - Catálogo TIMSS'!$A$5:$A$107,0)),"?"))</f>
      </c>
      <c r="P1132" t="s" s="35">
        <v>1058</v>
      </c>
      <c r="Q1132" t="s" s="120">
        <v>6186</v>
      </c>
      <c r="R1132" t="s" s="120">
        <v>7116</v>
      </c>
      <c r="S1132" s="121" cm="1">
        <f t="array" ref="S1132">_xlfn.IFERROR(ISNUMBER(SEARCH("Conocer",$R1132))/(ISNUMBER(SEARCH("Conocer",$R1132))+ISNUMBER(SEARCH("Aplicar",$R1132))+ISNUMBER(SEARCH("Razonar",$R1132))),0)</f>
        <v>0.333333333333333</v>
      </c>
      <c r="T1132" s="121" cm="1">
        <f t="array" ref="T1132">_xlfn.IFERROR(ISNUMBER(SEARCH("Aplicar",$R1132))/(ISNUMBER(SEARCH("Conocer",$R1132))+ISNUMBER(SEARCH("Aplicar",$R1132))+ISNUMBER(SEARCH("Razonar",$R1132))),0)</f>
        <v>0.333333333333333</v>
      </c>
      <c r="U1132" s="121" cm="1">
        <f t="array" ref="U1132">_xlfn.IFERROR(ISNUMBER(SEARCH("Razonar",$R1132))/(ISNUMBER(SEARCH("Conocer",$R1132))+ISNUMBER(SEARCH("Aplicar",$R1132))+ISNUMBER(SEARCH("Razonar",$R1132))),0)</f>
        <v>0.333333333333333</v>
      </c>
      <c r="V1132" t="s" s="35">
        <v>1408</v>
      </c>
      <c r="W1132" t="s" s="35">
        <v>7006</v>
      </c>
      <c r="X1132" s="36" cm="1">
        <f t="array" ref="X1132">IF(OR(_xlfn.IFERROR(INDEX('Datos - Catálogo TIMSS'!$I$5:$I$107,MATCH(K1132,'Datos - Catálogo TIMSS'!$A$5:$A$107,0)),"No")="Sí",_xlfn.IFERROR(INDEX('Datos - Catálogo TIMSS'!$I$5:$I$107,MATCH(L1132,'Datos - Catálogo TIMSS'!$A$5:$A$107,0)),"No")="Sí"),1,0)</f>
        <v>0</v>
      </c>
      <c r="Y1132" s="36" cm="1">
        <f t="array" ref="Y1132">IF(_xlfn.IFERROR(INDEX('Datos - Catálogo TIMSS'!$J$5:$J$107,MATCH(K1132,'Datos - Catálogo TIMSS'!$A$5:$A$107,0)),"No")="Sí",1,0)</f>
        <v>0</v>
      </c>
      <c r="Z1132" s="36" cm="1">
        <f t="array" ref="Z1132">IF(_xlfn.IFERROR(INDEX('Datos - Catálogo TIMSS'!$J$5:$J$107,MATCH(L1132,'Datos - Catálogo TIMSS'!$A$5:$A$107,0)),"No")="Sí",1,0)</f>
        <v>0</v>
      </c>
      <c r="AA1132" t="s" s="35">
        <v>1058</v>
      </c>
      <c r="AB1132" s="39"/>
      <c r="AC1132" t="str" s="39">
        <v>Sin marco</v>
      </c>
      <c r="AD1132" t="s" s="35">
        <v>1859</v>
      </c>
      <c r="AE1132" t="str" s="39" cm="1">
        <f t="array" ref="AE1132">IF(AD1132="","",IF(LEFT(AD1132,1)="1","C1",IF(LEFT(AD1132,1)="2","C2",IF(LEFT(AD1132,1)="3","C3",""))))</f>
        <v>C1</v>
      </c>
      <c r="AF1132" t="s" s="35">
        <v>1602</v>
      </c>
      <c r="AG1132" t="s" s="35">
        <v>1617</v>
      </c>
      <c r="AH1132" t="s" s="35">
        <v>1602</v>
      </c>
      <c r="AI1132" t="s" s="35">
        <v>1623</v>
      </c>
      <c r="AJ1132" t="s" s="35">
        <v>1615</v>
      </c>
      <c r="AK1132" s="39"/>
      <c r="AL1132" s="39"/>
      <c r="AM1132" s="39"/>
      <c r="AN1132" s="39"/>
      <c r="AO1132" s="39"/>
      <c r="AP1132" s="39"/>
      <c r="AQ1132" s="39"/>
      <c r="AR1132" s="39"/>
      <c r="AS1132" s="39"/>
      <c r="AT1132" s="39"/>
      <c r="AU1132" s="39"/>
      <c r="AV1132" s="39"/>
      <c r="AW1132" t="str" s="39" cm="1">
        <f t="array" ref="AW1132">AF1132&amp;"; "&amp;AG1132&amp;"; "&amp;AH1132&amp;"; "&amp;AI1132&amp;"; "&amp;AJ1132</f>
        <v>E1; D1; E1; D4; E6</v>
      </c>
    </row>
    <row r="1133" ht="13.65" customHeight="1">
      <c r="A1133" t="s" s="35">
        <v>7117</v>
      </c>
      <c r="B1133" s="36">
        <v>10</v>
      </c>
      <c r="C1133" t="s" s="35">
        <v>210</v>
      </c>
      <c r="D1133" t="s" s="35">
        <v>7000</v>
      </c>
      <c r="E1133" t="s" s="35">
        <v>7001</v>
      </c>
      <c r="F1133" s="36">
        <v>33</v>
      </c>
      <c r="G1133" t="s" s="35">
        <v>7102</v>
      </c>
      <c r="H1133" t="s" s="35">
        <v>7114</v>
      </c>
      <c r="I1133" t="s" s="120">
        <v>7118</v>
      </c>
      <c r="J1133" t="s" s="35">
        <v>6185</v>
      </c>
      <c r="K1133" t="s" s="35">
        <v>1058</v>
      </c>
      <c r="L1133" s="39"/>
      <c r="M1133" t="str" s="39">
        <v>Sin marco</v>
      </c>
      <c r="N1133" t="str" s="39">
        <v>Sin marco</v>
      </c>
      <c r="O1133" t="str" s="39" cm="1">
        <f t="array" ref="O1133">IF(L1133="","",_xlfn.IFERROR(INDEX('Datos - Catálogo TIMSS'!$C$5:$C$107,MATCH(L1133,'Datos - Catálogo TIMSS'!$A$5:$A$107,0)),"?"))</f>
      </c>
      <c r="P1133" t="s" s="35">
        <v>1058</v>
      </c>
      <c r="Q1133" t="s" s="120">
        <v>6186</v>
      </c>
      <c r="R1133" t="s" s="120">
        <v>7119</v>
      </c>
      <c r="S1133" s="121" cm="1">
        <f t="array" ref="S1133">_xlfn.IFERROR(ISNUMBER(SEARCH("Conocer",$R1133))/(ISNUMBER(SEARCH("Conocer",$R1133))+ISNUMBER(SEARCH("Aplicar",$R1133))+ISNUMBER(SEARCH("Razonar",$R1133))),0)</f>
        <v>0</v>
      </c>
      <c r="T1133" s="121" cm="1">
        <f t="array" ref="T1133">_xlfn.IFERROR(ISNUMBER(SEARCH("Aplicar",$R1133))/(ISNUMBER(SEARCH("Conocer",$R1133))+ISNUMBER(SEARCH("Aplicar",$R1133))+ISNUMBER(SEARCH("Razonar",$R1133))),0)</f>
        <v>0.5</v>
      </c>
      <c r="U1133" s="121" cm="1">
        <f t="array" ref="U1133">_xlfn.IFERROR(ISNUMBER(SEARCH("Razonar",$R1133))/(ISNUMBER(SEARCH("Conocer",$R1133))+ISNUMBER(SEARCH("Aplicar",$R1133))+ISNUMBER(SEARCH("Razonar",$R1133))),0)</f>
        <v>0.5</v>
      </c>
      <c r="V1133" t="s" s="35">
        <v>1408</v>
      </c>
      <c r="W1133" t="s" s="35">
        <v>7006</v>
      </c>
      <c r="X1133" s="36" cm="1">
        <f t="array" ref="X1133">IF(OR(_xlfn.IFERROR(INDEX('Datos - Catálogo TIMSS'!$I$5:$I$107,MATCH(K1133,'Datos - Catálogo TIMSS'!$A$5:$A$107,0)),"No")="Sí",_xlfn.IFERROR(INDEX('Datos - Catálogo TIMSS'!$I$5:$I$107,MATCH(L1133,'Datos - Catálogo TIMSS'!$A$5:$A$107,0)),"No")="Sí"),1,0)</f>
        <v>0</v>
      </c>
      <c r="Y1133" s="36" cm="1">
        <f t="array" ref="Y1133">IF(_xlfn.IFERROR(INDEX('Datos - Catálogo TIMSS'!$J$5:$J$107,MATCH(K1133,'Datos - Catálogo TIMSS'!$A$5:$A$107,0)),"No")="Sí",1,0)</f>
        <v>0</v>
      </c>
      <c r="Z1133" s="36" cm="1">
        <f t="array" ref="Z1133">IF(_xlfn.IFERROR(INDEX('Datos - Catálogo TIMSS'!$J$5:$J$107,MATCH(L1133,'Datos - Catálogo TIMSS'!$A$5:$A$107,0)),"No")="Sí",1,0)</f>
        <v>0</v>
      </c>
      <c r="AA1133" t="s" s="35">
        <v>1058</v>
      </c>
      <c r="AB1133" s="39"/>
      <c r="AC1133" t="str" s="39">
        <v>Sin marco</v>
      </c>
      <c r="AD1133" t="s" s="35">
        <v>1834</v>
      </c>
      <c r="AE1133" t="str" s="39" cm="1">
        <f t="array" ref="AE1133">IF(AD1133="","",IF(LEFT(AD1133,1)="1","C1",IF(LEFT(AD1133,1)="2","C2",IF(LEFT(AD1133,1)="3","C3",""))))</f>
        <v>C2</v>
      </c>
      <c r="AF1133" t="s" s="35">
        <v>1602</v>
      </c>
      <c r="AG1133" t="s" s="35">
        <v>1617</v>
      </c>
      <c r="AH1133" t="s" s="35">
        <v>1605</v>
      </c>
      <c r="AI1133" t="s" s="35">
        <v>1619</v>
      </c>
      <c r="AJ1133" t="s" s="35">
        <v>1621</v>
      </c>
      <c r="AK1133" s="39"/>
      <c r="AL1133" s="39"/>
      <c r="AM1133" s="39"/>
      <c r="AN1133" s="39"/>
      <c r="AO1133" s="39"/>
      <c r="AP1133" s="39"/>
      <c r="AQ1133" s="39"/>
      <c r="AR1133" s="39"/>
      <c r="AS1133" s="39"/>
      <c r="AT1133" s="39"/>
      <c r="AU1133" s="39"/>
      <c r="AV1133" s="39"/>
      <c r="AW1133" t="str" s="39" cm="1">
        <f t="array" ref="AW1133">AF1133&amp;"; "&amp;AG1133&amp;"; "&amp;AH1133&amp;"; "&amp;AI1133&amp;"; "&amp;AJ1133</f>
        <v>E1; D1; E2; D2; D3</v>
      </c>
    </row>
    <row r="1134" ht="13.65" customHeight="1">
      <c r="A1134" t="s" s="35">
        <v>7120</v>
      </c>
      <c r="B1134" s="36">
        <v>10</v>
      </c>
      <c r="C1134" t="s" s="35">
        <v>210</v>
      </c>
      <c r="D1134" t="s" s="35">
        <v>7000</v>
      </c>
      <c r="E1134" t="s" s="35">
        <v>7001</v>
      </c>
      <c r="F1134" s="36">
        <v>34</v>
      </c>
      <c r="G1134" t="s" s="35">
        <v>7102</v>
      </c>
      <c r="H1134" t="s" s="35">
        <v>7114</v>
      </c>
      <c r="I1134" t="s" s="120">
        <v>7121</v>
      </c>
      <c r="J1134" t="s" s="35">
        <v>6185</v>
      </c>
      <c r="K1134" t="s" s="35">
        <v>1058</v>
      </c>
      <c r="L1134" s="39"/>
      <c r="M1134" t="str" s="39">
        <v>Sin marco</v>
      </c>
      <c r="N1134" t="str" s="39">
        <v>Sin marco</v>
      </c>
      <c r="O1134" t="str" s="39" cm="1">
        <f t="array" ref="O1134">IF(L1134="","",_xlfn.IFERROR(INDEX('Datos - Catálogo TIMSS'!$C$5:$C$107,MATCH(L1134,'Datos - Catálogo TIMSS'!$A$5:$A$107,0)),"?"))</f>
      </c>
      <c r="P1134" t="s" s="35">
        <v>1058</v>
      </c>
      <c r="Q1134" t="s" s="120">
        <v>6186</v>
      </c>
      <c r="R1134" t="s" s="120">
        <v>7122</v>
      </c>
      <c r="S1134" s="121" cm="1">
        <f t="array" ref="S1134">_xlfn.IFERROR(ISNUMBER(SEARCH("Conocer",$R1134))/(ISNUMBER(SEARCH("Conocer",$R1134))+ISNUMBER(SEARCH("Aplicar",$R1134))+ISNUMBER(SEARCH("Razonar",$R1134))),0)</f>
        <v>0</v>
      </c>
      <c r="T1134" s="121" cm="1">
        <f t="array" ref="T1134">_xlfn.IFERROR(ISNUMBER(SEARCH("Aplicar",$R1134))/(ISNUMBER(SEARCH("Conocer",$R1134))+ISNUMBER(SEARCH("Aplicar",$R1134))+ISNUMBER(SEARCH("Razonar",$R1134))),0)</f>
        <v>0.5</v>
      </c>
      <c r="U1134" s="121" cm="1">
        <f t="array" ref="U1134">_xlfn.IFERROR(ISNUMBER(SEARCH("Razonar",$R1134))/(ISNUMBER(SEARCH("Conocer",$R1134))+ISNUMBER(SEARCH("Aplicar",$R1134))+ISNUMBER(SEARCH("Razonar",$R1134))),0)</f>
        <v>0.5</v>
      </c>
      <c r="V1134" t="s" s="35">
        <v>1408</v>
      </c>
      <c r="W1134" t="s" s="35">
        <v>7006</v>
      </c>
      <c r="X1134" s="36" cm="1">
        <f t="array" ref="X1134">IF(OR(_xlfn.IFERROR(INDEX('Datos - Catálogo TIMSS'!$I$5:$I$107,MATCH(K1134,'Datos - Catálogo TIMSS'!$A$5:$A$107,0)),"No")="Sí",_xlfn.IFERROR(INDEX('Datos - Catálogo TIMSS'!$I$5:$I$107,MATCH(L1134,'Datos - Catálogo TIMSS'!$A$5:$A$107,0)),"No")="Sí"),1,0)</f>
        <v>0</v>
      </c>
      <c r="Y1134" s="36" cm="1">
        <f t="array" ref="Y1134">IF(_xlfn.IFERROR(INDEX('Datos - Catálogo TIMSS'!$J$5:$J$107,MATCH(K1134,'Datos - Catálogo TIMSS'!$A$5:$A$107,0)),"No")="Sí",1,0)</f>
        <v>0</v>
      </c>
      <c r="Z1134" s="36" cm="1">
        <f t="array" ref="Z1134">IF(_xlfn.IFERROR(INDEX('Datos - Catálogo TIMSS'!$J$5:$J$107,MATCH(L1134,'Datos - Catálogo TIMSS'!$A$5:$A$107,0)),"No")="Sí",1,0)</f>
        <v>0</v>
      </c>
      <c r="AA1134" t="s" s="35">
        <v>1058</v>
      </c>
      <c r="AB1134" s="39"/>
      <c r="AC1134" t="str" s="39">
        <v>Sin marco</v>
      </c>
      <c r="AD1134" t="s" s="35">
        <v>1859</v>
      </c>
      <c r="AE1134" t="str" s="39" cm="1">
        <f t="array" ref="AE1134">IF(AD1134="","",IF(LEFT(AD1134,1)="1","C1",IF(LEFT(AD1134,1)="2","C2",IF(LEFT(AD1134,1)="3","C3",""))))</f>
        <v>C1</v>
      </c>
      <c r="AF1134" t="s" s="35">
        <v>1602</v>
      </c>
      <c r="AG1134" t="s" s="35">
        <v>1617</v>
      </c>
      <c r="AH1134" t="s" s="35">
        <v>1609</v>
      </c>
      <c r="AI1134" t="s" s="35">
        <v>1623</v>
      </c>
      <c r="AJ1134" t="s" s="35">
        <v>1607</v>
      </c>
      <c r="AK1134" s="39"/>
      <c r="AL1134" s="39"/>
      <c r="AM1134" s="39"/>
      <c r="AN1134" s="39"/>
      <c r="AO1134" s="39"/>
      <c r="AP1134" s="39"/>
      <c r="AQ1134" s="39"/>
      <c r="AR1134" s="39"/>
      <c r="AS1134" s="39"/>
      <c r="AT1134" s="39"/>
      <c r="AU1134" s="39"/>
      <c r="AV1134" s="39"/>
      <c r="AW1134" t="str" s="39" cm="1">
        <f t="array" ref="AW1134">AF1134&amp;"; "&amp;AG1134&amp;"; "&amp;AH1134&amp;"; "&amp;AI1134&amp;"; "&amp;AJ1134</f>
        <v>E1; D1; E4; D4; E3</v>
      </c>
    </row>
    <row r="1135" ht="13.65" customHeight="1">
      <c r="A1135" t="s" s="35">
        <v>7123</v>
      </c>
      <c r="B1135" s="36">
        <v>10</v>
      </c>
      <c r="C1135" t="s" s="35">
        <v>210</v>
      </c>
      <c r="D1135" t="s" s="35">
        <v>7000</v>
      </c>
      <c r="E1135" t="s" s="35">
        <v>7001</v>
      </c>
      <c r="F1135" s="36">
        <v>35</v>
      </c>
      <c r="G1135" t="s" s="35">
        <v>7102</v>
      </c>
      <c r="H1135" t="s" s="35">
        <v>7124</v>
      </c>
      <c r="I1135" t="s" s="120">
        <v>7125</v>
      </c>
      <c r="J1135" t="s" s="35">
        <v>6185</v>
      </c>
      <c r="K1135" t="s" s="35">
        <v>1058</v>
      </c>
      <c r="L1135" s="39"/>
      <c r="M1135" t="str" s="39">
        <v>Sin marco</v>
      </c>
      <c r="N1135" t="str" s="39">
        <v>Sin marco</v>
      </c>
      <c r="O1135" t="str" s="39" cm="1">
        <f t="array" ref="O1135">IF(L1135="","",_xlfn.IFERROR(INDEX('Datos - Catálogo TIMSS'!$C$5:$C$107,MATCH(L1135,'Datos - Catálogo TIMSS'!$A$5:$A$107,0)),"?"))</f>
      </c>
      <c r="P1135" t="s" s="35">
        <v>1058</v>
      </c>
      <c r="Q1135" t="s" s="120">
        <v>6186</v>
      </c>
      <c r="R1135" t="s" s="120">
        <v>7126</v>
      </c>
      <c r="S1135" s="121" cm="1">
        <f t="array" ref="S1135">_xlfn.IFERROR(ISNUMBER(SEARCH("Conocer",$R1135))/(ISNUMBER(SEARCH("Conocer",$R1135))+ISNUMBER(SEARCH("Aplicar",$R1135))+ISNUMBER(SEARCH("Razonar",$R1135))),0)</f>
        <v>0.333333333333333</v>
      </c>
      <c r="T1135" s="121" cm="1">
        <f t="array" ref="T1135">_xlfn.IFERROR(ISNUMBER(SEARCH("Aplicar",$R1135))/(ISNUMBER(SEARCH("Conocer",$R1135))+ISNUMBER(SEARCH("Aplicar",$R1135))+ISNUMBER(SEARCH("Razonar",$R1135))),0)</f>
        <v>0.333333333333333</v>
      </c>
      <c r="U1135" s="121" cm="1">
        <f t="array" ref="U1135">_xlfn.IFERROR(ISNUMBER(SEARCH("Razonar",$R1135))/(ISNUMBER(SEARCH("Conocer",$R1135))+ISNUMBER(SEARCH("Aplicar",$R1135))+ISNUMBER(SEARCH("Razonar",$R1135))),0)</f>
        <v>0.333333333333333</v>
      </c>
      <c r="V1135" t="s" s="35">
        <v>1408</v>
      </c>
      <c r="W1135" t="s" s="35">
        <v>7006</v>
      </c>
      <c r="X1135" s="36" cm="1">
        <f t="array" ref="X1135">IF(OR(_xlfn.IFERROR(INDEX('Datos - Catálogo TIMSS'!$I$5:$I$107,MATCH(K1135,'Datos - Catálogo TIMSS'!$A$5:$A$107,0)),"No")="Sí",_xlfn.IFERROR(INDEX('Datos - Catálogo TIMSS'!$I$5:$I$107,MATCH(L1135,'Datos - Catálogo TIMSS'!$A$5:$A$107,0)),"No")="Sí"),1,0)</f>
        <v>0</v>
      </c>
      <c r="Y1135" s="36" cm="1">
        <f t="array" ref="Y1135">IF(_xlfn.IFERROR(INDEX('Datos - Catálogo TIMSS'!$J$5:$J$107,MATCH(K1135,'Datos - Catálogo TIMSS'!$A$5:$A$107,0)),"No")="Sí",1,0)</f>
        <v>0</v>
      </c>
      <c r="Z1135" s="36" cm="1">
        <f t="array" ref="Z1135">IF(_xlfn.IFERROR(INDEX('Datos - Catálogo TIMSS'!$J$5:$J$107,MATCH(L1135,'Datos - Catálogo TIMSS'!$A$5:$A$107,0)),"No")="Sí",1,0)</f>
        <v>0</v>
      </c>
      <c r="AA1135" t="s" s="35">
        <v>1058</v>
      </c>
      <c r="AB1135" s="39"/>
      <c r="AC1135" t="str" s="39">
        <v>Sin marco</v>
      </c>
      <c r="AD1135" t="s" s="35">
        <v>1859</v>
      </c>
      <c r="AE1135" t="str" s="39" cm="1">
        <f t="array" ref="AE1135">IF(AD1135="","",IF(LEFT(AD1135,1)="1","C1",IF(LEFT(AD1135,1)="2","C2",IF(LEFT(AD1135,1)="3","C3",""))))</f>
        <v>C1</v>
      </c>
      <c r="AF1135" t="s" s="35">
        <v>1602</v>
      </c>
      <c r="AG1135" t="s" s="35">
        <v>1617</v>
      </c>
      <c r="AH1135" t="s" s="35">
        <v>1609</v>
      </c>
      <c r="AI1135" t="s" s="35">
        <v>1625</v>
      </c>
      <c r="AJ1135" t="s" s="35">
        <v>1631</v>
      </c>
      <c r="AK1135" s="39"/>
      <c r="AL1135" s="39"/>
      <c r="AM1135" s="39"/>
      <c r="AN1135" s="39"/>
      <c r="AO1135" s="39"/>
      <c r="AP1135" s="39"/>
      <c r="AQ1135" s="39"/>
      <c r="AR1135" s="39"/>
      <c r="AS1135" s="39"/>
      <c r="AT1135" s="39"/>
      <c r="AU1135" s="39"/>
      <c r="AV1135" s="39"/>
      <c r="AW1135" t="str" s="39" cm="1">
        <f t="array" ref="AW1135">AF1135&amp;"; "&amp;AG1135&amp;"; "&amp;AH1135&amp;"; "&amp;AI1135&amp;"; "&amp;AJ1135</f>
        <v>E1; D1; E4; I1; I4</v>
      </c>
    </row>
    <row r="1136" ht="13.65" customHeight="1">
      <c r="A1136" t="s" s="35">
        <v>7128</v>
      </c>
      <c r="B1136" s="36">
        <v>10</v>
      </c>
      <c r="C1136" t="s" s="35">
        <v>210</v>
      </c>
      <c r="D1136" t="s" s="35">
        <v>7000</v>
      </c>
      <c r="E1136" t="s" s="35">
        <v>7001</v>
      </c>
      <c r="F1136" s="36">
        <v>36</v>
      </c>
      <c r="G1136" t="s" s="35">
        <v>7102</v>
      </c>
      <c r="H1136" t="s" s="35">
        <v>7124</v>
      </c>
      <c r="I1136" t="s" s="120">
        <v>7129</v>
      </c>
      <c r="J1136" t="s" s="35">
        <v>6185</v>
      </c>
      <c r="K1136" t="s" s="35">
        <v>1058</v>
      </c>
      <c r="L1136" s="39"/>
      <c r="M1136" t="str" s="39">
        <v>Sin marco</v>
      </c>
      <c r="N1136" t="str" s="39">
        <v>Sin marco</v>
      </c>
      <c r="O1136" t="str" s="39" cm="1">
        <f t="array" ref="O1136">IF(L1136="","",_xlfn.IFERROR(INDEX('Datos - Catálogo TIMSS'!$C$5:$C$107,MATCH(L1136,'Datos - Catálogo TIMSS'!$A$5:$A$107,0)),"?"))</f>
      </c>
      <c r="P1136" t="s" s="35">
        <v>1058</v>
      </c>
      <c r="Q1136" t="s" s="120">
        <v>6186</v>
      </c>
      <c r="R1136" t="s" s="120">
        <v>7130</v>
      </c>
      <c r="S1136" s="121" cm="1">
        <f t="array" ref="S1136">_xlfn.IFERROR(ISNUMBER(SEARCH("Conocer",$R1136))/(ISNUMBER(SEARCH("Conocer",$R1136))+ISNUMBER(SEARCH("Aplicar",$R1136))+ISNUMBER(SEARCH("Razonar",$R1136))),0)</f>
        <v>0.333333333333333</v>
      </c>
      <c r="T1136" s="121" cm="1">
        <f t="array" ref="T1136">_xlfn.IFERROR(ISNUMBER(SEARCH("Aplicar",$R1136))/(ISNUMBER(SEARCH("Conocer",$R1136))+ISNUMBER(SEARCH("Aplicar",$R1136))+ISNUMBER(SEARCH("Razonar",$R1136))),0)</f>
        <v>0.333333333333333</v>
      </c>
      <c r="U1136" s="121" cm="1">
        <f t="array" ref="U1136">_xlfn.IFERROR(ISNUMBER(SEARCH("Razonar",$R1136))/(ISNUMBER(SEARCH("Conocer",$R1136))+ISNUMBER(SEARCH("Aplicar",$R1136))+ISNUMBER(SEARCH("Razonar",$R1136))),0)</f>
        <v>0.333333333333333</v>
      </c>
      <c r="V1136" t="s" s="35">
        <v>1408</v>
      </c>
      <c r="W1136" t="s" s="35">
        <v>7006</v>
      </c>
      <c r="X1136" s="36" cm="1">
        <f t="array" ref="X1136">IF(OR(_xlfn.IFERROR(INDEX('Datos - Catálogo TIMSS'!$I$5:$I$107,MATCH(K1136,'Datos - Catálogo TIMSS'!$A$5:$A$107,0)),"No")="Sí",_xlfn.IFERROR(INDEX('Datos - Catálogo TIMSS'!$I$5:$I$107,MATCH(L1136,'Datos - Catálogo TIMSS'!$A$5:$A$107,0)),"No")="Sí"),1,0)</f>
        <v>0</v>
      </c>
      <c r="Y1136" s="36" cm="1">
        <f t="array" ref="Y1136">IF(_xlfn.IFERROR(INDEX('Datos - Catálogo TIMSS'!$J$5:$J$107,MATCH(K1136,'Datos - Catálogo TIMSS'!$A$5:$A$107,0)),"No")="Sí",1,0)</f>
        <v>0</v>
      </c>
      <c r="Z1136" s="36" cm="1">
        <f t="array" ref="Z1136">IF(_xlfn.IFERROR(INDEX('Datos - Catálogo TIMSS'!$J$5:$J$107,MATCH(L1136,'Datos - Catálogo TIMSS'!$A$5:$A$107,0)),"No")="Sí",1,0)</f>
        <v>0</v>
      </c>
      <c r="AA1136" t="s" s="35">
        <v>1058</v>
      </c>
      <c r="AB1136" s="39"/>
      <c r="AC1136" t="str" s="39">
        <v>Sin marco</v>
      </c>
      <c r="AD1136" t="s" s="35">
        <v>1859</v>
      </c>
      <c r="AE1136" t="str" s="39" cm="1">
        <f t="array" ref="AE1136">IF(AD1136="","",IF(LEFT(AD1136,1)="1","C1",IF(LEFT(AD1136,1)="2","C2",IF(LEFT(AD1136,1)="3","C3",""))))</f>
        <v>C1</v>
      </c>
      <c r="AF1136" t="s" s="35">
        <v>1602</v>
      </c>
      <c r="AG1136" t="s" s="35">
        <v>1617</v>
      </c>
      <c r="AH1136" t="s" s="35">
        <v>1605</v>
      </c>
      <c r="AI1136" t="s" s="35">
        <v>1609</v>
      </c>
      <c r="AJ1136" t="s" s="35">
        <v>1633</v>
      </c>
      <c r="AK1136" s="39"/>
      <c r="AL1136" s="39"/>
      <c r="AM1136" s="39"/>
      <c r="AN1136" s="39"/>
      <c r="AO1136" s="39"/>
      <c r="AP1136" s="39"/>
      <c r="AQ1136" s="39"/>
      <c r="AR1136" s="39"/>
      <c r="AS1136" s="39"/>
      <c r="AT1136" s="39"/>
      <c r="AU1136" s="39"/>
      <c r="AV1136" s="39"/>
      <c r="AW1136" t="str" s="39" cm="1">
        <f t="array" ref="AW1136">AF1136&amp;"; "&amp;AG1136&amp;"; "&amp;AH1136&amp;"; "&amp;AI1136&amp;"; "&amp;AJ1136</f>
        <v>E1; D1; E2; E4; I5</v>
      </c>
    </row>
    <row r="1137" ht="13.65" customHeight="1">
      <c r="A1137" t="s" s="35">
        <v>7131</v>
      </c>
      <c r="B1137" s="36">
        <v>10</v>
      </c>
      <c r="C1137" t="s" s="35">
        <v>210</v>
      </c>
      <c r="D1137" t="s" s="35">
        <v>7000</v>
      </c>
      <c r="E1137" t="s" s="35">
        <v>7001</v>
      </c>
      <c r="F1137" s="36">
        <v>37</v>
      </c>
      <c r="G1137" t="s" s="35">
        <v>7102</v>
      </c>
      <c r="H1137" t="s" s="35">
        <v>7124</v>
      </c>
      <c r="I1137" t="s" s="120">
        <v>7132</v>
      </c>
      <c r="J1137" t="s" s="35">
        <v>6185</v>
      </c>
      <c r="K1137" t="s" s="35">
        <v>1058</v>
      </c>
      <c r="L1137" s="39"/>
      <c r="M1137" t="str" s="39">
        <v>Sin marco</v>
      </c>
      <c r="N1137" t="str" s="39">
        <v>Sin marco</v>
      </c>
      <c r="O1137" t="str" s="39" cm="1">
        <f t="array" ref="O1137">IF(L1137="","",_xlfn.IFERROR(INDEX('Datos - Catálogo TIMSS'!$C$5:$C$107,MATCH(L1137,'Datos - Catálogo TIMSS'!$A$5:$A$107,0)),"?"))</f>
      </c>
      <c r="P1137" t="s" s="35">
        <v>1058</v>
      </c>
      <c r="Q1137" t="s" s="120">
        <v>6186</v>
      </c>
      <c r="R1137" t="s" s="120">
        <v>7133</v>
      </c>
      <c r="S1137" s="121" cm="1">
        <f t="array" ref="S1137">_xlfn.IFERROR(ISNUMBER(SEARCH("Conocer",$R1137))/(ISNUMBER(SEARCH("Conocer",$R1137))+ISNUMBER(SEARCH("Aplicar",$R1137))+ISNUMBER(SEARCH("Razonar",$R1137))),0)</f>
        <v>0</v>
      </c>
      <c r="T1137" s="121" cm="1">
        <f t="array" ref="T1137">_xlfn.IFERROR(ISNUMBER(SEARCH("Aplicar",$R1137))/(ISNUMBER(SEARCH("Conocer",$R1137))+ISNUMBER(SEARCH("Aplicar",$R1137))+ISNUMBER(SEARCH("Razonar",$R1137))),0)</f>
        <v>0.5</v>
      </c>
      <c r="U1137" s="121" cm="1">
        <f t="array" ref="U1137">_xlfn.IFERROR(ISNUMBER(SEARCH("Razonar",$R1137))/(ISNUMBER(SEARCH("Conocer",$R1137))+ISNUMBER(SEARCH("Aplicar",$R1137))+ISNUMBER(SEARCH("Razonar",$R1137))),0)</f>
        <v>0.5</v>
      </c>
      <c r="V1137" t="s" s="35">
        <v>1408</v>
      </c>
      <c r="W1137" t="s" s="35">
        <v>7006</v>
      </c>
      <c r="X1137" s="36" cm="1">
        <f t="array" ref="X1137">IF(OR(_xlfn.IFERROR(INDEX('Datos - Catálogo TIMSS'!$I$5:$I$107,MATCH(K1137,'Datos - Catálogo TIMSS'!$A$5:$A$107,0)),"No")="Sí",_xlfn.IFERROR(INDEX('Datos - Catálogo TIMSS'!$I$5:$I$107,MATCH(L1137,'Datos - Catálogo TIMSS'!$A$5:$A$107,0)),"No")="Sí"),1,0)</f>
        <v>0</v>
      </c>
      <c r="Y1137" s="36" cm="1">
        <f t="array" ref="Y1137">IF(_xlfn.IFERROR(INDEX('Datos - Catálogo TIMSS'!$J$5:$J$107,MATCH(K1137,'Datos - Catálogo TIMSS'!$A$5:$A$107,0)),"No")="Sí",1,0)</f>
        <v>0</v>
      </c>
      <c r="Z1137" s="36" cm="1">
        <f t="array" ref="Z1137">IF(_xlfn.IFERROR(INDEX('Datos - Catálogo TIMSS'!$J$5:$J$107,MATCH(L1137,'Datos - Catálogo TIMSS'!$A$5:$A$107,0)),"No")="Sí",1,0)</f>
        <v>0</v>
      </c>
      <c r="AA1137" t="s" s="35">
        <v>1058</v>
      </c>
      <c r="AB1137" s="39"/>
      <c r="AC1137" t="str" s="39">
        <v>Sin marco</v>
      </c>
      <c r="AD1137" t="s" s="35">
        <v>1900</v>
      </c>
      <c r="AE1137" t="str" s="39" cm="1">
        <f t="array" ref="AE1137">IF(AD1137="","",IF(LEFT(AD1137,1)="1","C1",IF(LEFT(AD1137,1)="2","C2",IF(LEFT(AD1137,1)="3","C3",""))))</f>
        <v>C3</v>
      </c>
      <c r="AF1137" t="s" s="35">
        <v>1602</v>
      </c>
      <c r="AG1137" t="s" s="35">
        <v>1617</v>
      </c>
      <c r="AH1137" t="s" s="35">
        <v>1602</v>
      </c>
      <c r="AI1137" t="s" s="35">
        <v>1625</v>
      </c>
      <c r="AJ1137" t="s" s="35">
        <v>1627</v>
      </c>
      <c r="AK1137" s="39"/>
      <c r="AL1137" s="39"/>
      <c r="AM1137" s="39"/>
      <c r="AN1137" s="39"/>
      <c r="AO1137" s="39"/>
      <c r="AP1137" s="39"/>
      <c r="AQ1137" s="39"/>
      <c r="AR1137" s="39"/>
      <c r="AS1137" s="39"/>
      <c r="AT1137" s="39"/>
      <c r="AU1137" s="39"/>
      <c r="AV1137" s="39"/>
      <c r="AW1137" t="str" s="39" cm="1">
        <f t="array" ref="AW1137">AF1137&amp;"; "&amp;AG1137&amp;"; "&amp;AH1137&amp;"; "&amp;AI1137&amp;"; "&amp;AJ1137</f>
        <v>E1; D1; E1; I1; I2</v>
      </c>
    </row>
    <row r="1138" ht="13.65" customHeight="1">
      <c r="A1138" t="s" s="35">
        <v>7134</v>
      </c>
      <c r="B1138" s="36">
        <v>10</v>
      </c>
      <c r="C1138" t="s" s="35">
        <v>210</v>
      </c>
      <c r="D1138" t="s" s="35">
        <v>7000</v>
      </c>
      <c r="E1138" t="s" s="35">
        <v>7001</v>
      </c>
      <c r="F1138" s="36">
        <v>38</v>
      </c>
      <c r="G1138" t="s" s="35">
        <v>7102</v>
      </c>
      <c r="H1138" t="s" s="35">
        <v>7135</v>
      </c>
      <c r="I1138" t="s" s="120">
        <v>7136</v>
      </c>
      <c r="J1138" t="s" s="35">
        <v>6185</v>
      </c>
      <c r="K1138" t="s" s="35">
        <v>1058</v>
      </c>
      <c r="L1138" s="39"/>
      <c r="M1138" t="str" s="39">
        <v>Sin marco</v>
      </c>
      <c r="N1138" t="str" s="39">
        <v>Sin marco</v>
      </c>
      <c r="O1138" t="str" s="39" cm="1">
        <f t="array" ref="O1138">IF(L1138="","",_xlfn.IFERROR(INDEX('Datos - Catálogo TIMSS'!$C$5:$C$107,MATCH(L1138,'Datos - Catálogo TIMSS'!$A$5:$A$107,0)),"?"))</f>
      </c>
      <c r="P1138" t="s" s="35">
        <v>1058</v>
      </c>
      <c r="Q1138" t="s" s="120">
        <v>6186</v>
      </c>
      <c r="R1138" t="s" s="120">
        <v>7137</v>
      </c>
      <c r="S1138" s="121" cm="1">
        <f t="array" ref="S1138">_xlfn.IFERROR(ISNUMBER(SEARCH("Conocer",$R1138))/(ISNUMBER(SEARCH("Conocer",$R1138))+ISNUMBER(SEARCH("Aplicar",$R1138))+ISNUMBER(SEARCH("Razonar",$R1138))),0)</f>
        <v>0.333333333333333</v>
      </c>
      <c r="T1138" s="121" cm="1">
        <f t="array" ref="T1138">_xlfn.IFERROR(ISNUMBER(SEARCH("Aplicar",$R1138))/(ISNUMBER(SEARCH("Conocer",$R1138))+ISNUMBER(SEARCH("Aplicar",$R1138))+ISNUMBER(SEARCH("Razonar",$R1138))),0)</f>
        <v>0.333333333333333</v>
      </c>
      <c r="U1138" s="121" cm="1">
        <f t="array" ref="U1138">_xlfn.IFERROR(ISNUMBER(SEARCH("Razonar",$R1138))/(ISNUMBER(SEARCH("Conocer",$R1138))+ISNUMBER(SEARCH("Aplicar",$R1138))+ISNUMBER(SEARCH("Razonar",$R1138))),0)</f>
        <v>0.333333333333333</v>
      </c>
      <c r="V1138" t="s" s="35">
        <v>1408</v>
      </c>
      <c r="W1138" t="s" s="35">
        <v>7006</v>
      </c>
      <c r="X1138" s="36" cm="1">
        <f t="array" ref="X1138">IF(OR(_xlfn.IFERROR(INDEX('Datos - Catálogo TIMSS'!$I$5:$I$107,MATCH(K1138,'Datos - Catálogo TIMSS'!$A$5:$A$107,0)),"No")="Sí",_xlfn.IFERROR(INDEX('Datos - Catálogo TIMSS'!$I$5:$I$107,MATCH(L1138,'Datos - Catálogo TIMSS'!$A$5:$A$107,0)),"No")="Sí"),1,0)</f>
        <v>0</v>
      </c>
      <c r="Y1138" s="36" cm="1">
        <f t="array" ref="Y1138">IF(_xlfn.IFERROR(INDEX('Datos - Catálogo TIMSS'!$J$5:$J$107,MATCH(K1138,'Datos - Catálogo TIMSS'!$A$5:$A$107,0)),"No")="Sí",1,0)</f>
        <v>0</v>
      </c>
      <c r="Z1138" s="36" cm="1">
        <f t="array" ref="Z1138">IF(_xlfn.IFERROR(INDEX('Datos - Catálogo TIMSS'!$J$5:$J$107,MATCH(L1138,'Datos - Catálogo TIMSS'!$A$5:$A$107,0)),"No")="Sí",1,0)</f>
        <v>0</v>
      </c>
      <c r="AA1138" t="s" s="35">
        <v>1058</v>
      </c>
      <c r="AB1138" s="39"/>
      <c r="AC1138" t="str" s="39">
        <v>Sin marco</v>
      </c>
      <c r="AD1138" t="s" s="35">
        <v>1859</v>
      </c>
      <c r="AE1138" t="str" s="39" cm="1">
        <f t="array" ref="AE1138">IF(AD1138="","",IF(LEFT(AD1138,1)="1","C1",IF(LEFT(AD1138,1)="2","C2",IF(LEFT(AD1138,1)="3","C3",""))))</f>
        <v>C1</v>
      </c>
      <c r="AF1138" t="s" s="35">
        <v>1615</v>
      </c>
      <c r="AG1138" t="s" s="35">
        <v>1617</v>
      </c>
      <c r="AH1138" t="s" s="35">
        <v>1605</v>
      </c>
      <c r="AI1138" t="s" s="35">
        <v>1609</v>
      </c>
      <c r="AJ1138" t="s" s="35">
        <v>1631</v>
      </c>
      <c r="AK1138" s="39"/>
      <c r="AL1138" s="39"/>
      <c r="AM1138" s="39"/>
      <c r="AN1138" s="39"/>
      <c r="AO1138" s="39"/>
      <c r="AP1138" s="39"/>
      <c r="AQ1138" s="39"/>
      <c r="AR1138" s="39"/>
      <c r="AS1138" s="39"/>
      <c r="AT1138" s="39"/>
      <c r="AU1138" s="39"/>
      <c r="AV1138" s="39"/>
      <c r="AW1138" t="str" s="39" cm="1">
        <f t="array" ref="AW1138">AF1138&amp;"; "&amp;AG1138&amp;"; "&amp;AH1138&amp;"; "&amp;AI1138&amp;"; "&amp;AJ1138</f>
        <v>E6; D1; E2; E4; I4</v>
      </c>
    </row>
    <row r="1139" ht="13.65" customHeight="1">
      <c r="A1139" t="s" s="35">
        <v>7139</v>
      </c>
      <c r="B1139" s="36">
        <v>10</v>
      </c>
      <c r="C1139" t="s" s="35">
        <v>210</v>
      </c>
      <c r="D1139" t="s" s="35">
        <v>7000</v>
      </c>
      <c r="E1139" t="s" s="35">
        <v>7001</v>
      </c>
      <c r="F1139" s="36">
        <v>39</v>
      </c>
      <c r="G1139" t="s" s="35">
        <v>7102</v>
      </c>
      <c r="H1139" t="s" s="35">
        <v>7135</v>
      </c>
      <c r="I1139" t="s" s="120">
        <v>7140</v>
      </c>
      <c r="J1139" t="s" s="35">
        <v>6185</v>
      </c>
      <c r="K1139" t="s" s="35">
        <v>1058</v>
      </c>
      <c r="L1139" s="39"/>
      <c r="M1139" t="str" s="39">
        <v>Sin marco</v>
      </c>
      <c r="N1139" t="str" s="39">
        <v>Sin marco</v>
      </c>
      <c r="O1139" t="str" s="39" cm="1">
        <f t="array" ref="O1139">IF(L1139="","",_xlfn.IFERROR(INDEX('Datos - Catálogo TIMSS'!$C$5:$C$107,MATCH(L1139,'Datos - Catálogo TIMSS'!$A$5:$A$107,0)),"?"))</f>
      </c>
      <c r="P1139" t="s" s="35">
        <v>1058</v>
      </c>
      <c r="Q1139" t="s" s="120">
        <v>6186</v>
      </c>
      <c r="R1139" t="s" s="120">
        <v>7141</v>
      </c>
      <c r="S1139" s="121" cm="1">
        <f t="array" ref="S1139">_xlfn.IFERROR(ISNUMBER(SEARCH("Conocer",$R1139))/(ISNUMBER(SEARCH("Conocer",$R1139))+ISNUMBER(SEARCH("Aplicar",$R1139))+ISNUMBER(SEARCH("Razonar",$R1139))),0)</f>
        <v>0</v>
      </c>
      <c r="T1139" s="121" cm="1">
        <f t="array" ref="T1139">_xlfn.IFERROR(ISNUMBER(SEARCH("Aplicar",$R1139))/(ISNUMBER(SEARCH("Conocer",$R1139))+ISNUMBER(SEARCH("Aplicar",$R1139))+ISNUMBER(SEARCH("Razonar",$R1139))),0)</f>
        <v>0.5</v>
      </c>
      <c r="U1139" s="121" cm="1">
        <f t="array" ref="U1139">_xlfn.IFERROR(ISNUMBER(SEARCH("Razonar",$R1139))/(ISNUMBER(SEARCH("Conocer",$R1139))+ISNUMBER(SEARCH("Aplicar",$R1139))+ISNUMBER(SEARCH("Razonar",$R1139))),0)</f>
        <v>0.5</v>
      </c>
      <c r="V1139" t="s" s="35">
        <v>1408</v>
      </c>
      <c r="W1139" t="s" s="35">
        <v>7006</v>
      </c>
      <c r="X1139" s="36" cm="1">
        <f t="array" ref="X1139">IF(OR(_xlfn.IFERROR(INDEX('Datos - Catálogo TIMSS'!$I$5:$I$107,MATCH(K1139,'Datos - Catálogo TIMSS'!$A$5:$A$107,0)),"No")="Sí",_xlfn.IFERROR(INDEX('Datos - Catálogo TIMSS'!$I$5:$I$107,MATCH(L1139,'Datos - Catálogo TIMSS'!$A$5:$A$107,0)),"No")="Sí"),1,0)</f>
        <v>0</v>
      </c>
      <c r="Y1139" s="36" cm="1">
        <f t="array" ref="Y1139">IF(_xlfn.IFERROR(INDEX('Datos - Catálogo TIMSS'!$J$5:$J$107,MATCH(K1139,'Datos - Catálogo TIMSS'!$A$5:$A$107,0)),"No")="Sí",1,0)</f>
        <v>0</v>
      </c>
      <c r="Z1139" s="36" cm="1">
        <f t="array" ref="Z1139">IF(_xlfn.IFERROR(INDEX('Datos - Catálogo TIMSS'!$J$5:$J$107,MATCH(L1139,'Datos - Catálogo TIMSS'!$A$5:$A$107,0)),"No")="Sí",1,0)</f>
        <v>0</v>
      </c>
      <c r="AA1139" t="s" s="35">
        <v>1058</v>
      </c>
      <c r="AB1139" s="39"/>
      <c r="AC1139" t="str" s="39">
        <v>Sin marco</v>
      </c>
      <c r="AD1139" t="s" s="35">
        <v>1900</v>
      </c>
      <c r="AE1139" t="str" s="39" cm="1">
        <f t="array" ref="AE1139">IF(AD1139="","",IF(LEFT(AD1139,1)="1","C1",IF(LEFT(AD1139,1)="2","C2",IF(LEFT(AD1139,1)="3","C3",""))))</f>
        <v>C3</v>
      </c>
      <c r="AF1139" t="s" s="35">
        <v>1615</v>
      </c>
      <c r="AG1139" t="s" s="35">
        <v>1612</v>
      </c>
      <c r="AH1139" t="s" s="35">
        <v>1602</v>
      </c>
      <c r="AI1139" t="s" s="35">
        <v>1623</v>
      </c>
      <c r="AJ1139" t="s" s="35">
        <v>1633</v>
      </c>
      <c r="AK1139" s="39"/>
      <c r="AL1139" s="39"/>
      <c r="AM1139" s="39"/>
      <c r="AN1139" s="39"/>
      <c r="AO1139" s="39"/>
      <c r="AP1139" s="39"/>
      <c r="AQ1139" s="39"/>
      <c r="AR1139" s="39"/>
      <c r="AS1139" s="39"/>
      <c r="AT1139" s="39"/>
      <c r="AU1139" s="39"/>
      <c r="AV1139" s="39"/>
      <c r="AW1139" t="str" s="39" cm="1">
        <f t="array" ref="AW1139">AF1139&amp;"; "&amp;AG1139&amp;"; "&amp;AH1139&amp;"; "&amp;AI1139&amp;"; "&amp;AJ1139</f>
        <v>E6; E5; E1; D4; I5</v>
      </c>
    </row>
    <row r="1140" ht="13.65" customHeight="1">
      <c r="A1140" t="s" s="35">
        <v>7142</v>
      </c>
      <c r="B1140" s="36">
        <v>10</v>
      </c>
      <c r="C1140" t="s" s="35">
        <v>210</v>
      </c>
      <c r="D1140" t="s" s="35">
        <v>7000</v>
      </c>
      <c r="E1140" t="s" s="35">
        <v>7001</v>
      </c>
      <c r="F1140" s="36">
        <v>40</v>
      </c>
      <c r="G1140" t="s" s="35">
        <v>7102</v>
      </c>
      <c r="H1140" t="s" s="35">
        <v>7135</v>
      </c>
      <c r="I1140" t="s" s="120">
        <v>7143</v>
      </c>
      <c r="J1140" t="s" s="35">
        <v>6185</v>
      </c>
      <c r="K1140" t="s" s="35">
        <v>1058</v>
      </c>
      <c r="L1140" s="39"/>
      <c r="M1140" t="str" s="39">
        <v>Sin marco</v>
      </c>
      <c r="N1140" t="str" s="39">
        <v>Sin marco</v>
      </c>
      <c r="O1140" t="str" s="39" cm="1">
        <f t="array" ref="O1140">IF(L1140="","",_xlfn.IFERROR(INDEX('Datos - Catálogo TIMSS'!$C$5:$C$107,MATCH(L1140,'Datos - Catálogo TIMSS'!$A$5:$A$107,0)),"?"))</f>
      </c>
      <c r="P1140" t="s" s="35">
        <v>1058</v>
      </c>
      <c r="Q1140" t="s" s="120">
        <v>6186</v>
      </c>
      <c r="R1140" t="s" s="120">
        <v>7144</v>
      </c>
      <c r="S1140" s="121" cm="1">
        <f t="array" ref="S1140">_xlfn.IFERROR(ISNUMBER(SEARCH("Conocer",$R1140))/(ISNUMBER(SEARCH("Conocer",$R1140))+ISNUMBER(SEARCH("Aplicar",$R1140))+ISNUMBER(SEARCH("Razonar",$R1140))),0)</f>
        <v>0.333333333333333</v>
      </c>
      <c r="T1140" s="121" cm="1">
        <f t="array" ref="T1140">_xlfn.IFERROR(ISNUMBER(SEARCH("Aplicar",$R1140))/(ISNUMBER(SEARCH("Conocer",$R1140))+ISNUMBER(SEARCH("Aplicar",$R1140))+ISNUMBER(SEARCH("Razonar",$R1140))),0)</f>
        <v>0.333333333333333</v>
      </c>
      <c r="U1140" s="121" cm="1">
        <f t="array" ref="U1140">_xlfn.IFERROR(ISNUMBER(SEARCH("Razonar",$R1140))/(ISNUMBER(SEARCH("Conocer",$R1140))+ISNUMBER(SEARCH("Aplicar",$R1140))+ISNUMBER(SEARCH("Razonar",$R1140))),0)</f>
        <v>0.333333333333333</v>
      </c>
      <c r="V1140" t="s" s="35">
        <v>1408</v>
      </c>
      <c r="W1140" t="s" s="35">
        <v>7006</v>
      </c>
      <c r="X1140" s="36" cm="1">
        <f t="array" ref="X1140">IF(OR(_xlfn.IFERROR(INDEX('Datos - Catálogo TIMSS'!$I$5:$I$107,MATCH(K1140,'Datos - Catálogo TIMSS'!$A$5:$A$107,0)),"No")="Sí",_xlfn.IFERROR(INDEX('Datos - Catálogo TIMSS'!$I$5:$I$107,MATCH(L1140,'Datos - Catálogo TIMSS'!$A$5:$A$107,0)),"No")="Sí"),1,0)</f>
        <v>0</v>
      </c>
      <c r="Y1140" s="36" cm="1">
        <f t="array" ref="Y1140">IF(_xlfn.IFERROR(INDEX('Datos - Catálogo TIMSS'!$J$5:$J$107,MATCH(K1140,'Datos - Catálogo TIMSS'!$A$5:$A$107,0)),"No")="Sí",1,0)</f>
        <v>0</v>
      </c>
      <c r="Z1140" s="36" cm="1">
        <f t="array" ref="Z1140">IF(_xlfn.IFERROR(INDEX('Datos - Catálogo TIMSS'!$J$5:$J$107,MATCH(L1140,'Datos - Catálogo TIMSS'!$A$5:$A$107,0)),"No")="Sí",1,0)</f>
        <v>0</v>
      </c>
      <c r="AA1140" t="s" s="35">
        <v>1058</v>
      </c>
      <c r="AB1140" s="39"/>
      <c r="AC1140" t="str" s="39">
        <v>Sin marco</v>
      </c>
      <c r="AD1140" t="s" s="35">
        <v>1900</v>
      </c>
      <c r="AE1140" t="str" s="39" cm="1">
        <f t="array" ref="AE1140">IF(AD1140="","",IF(LEFT(AD1140,1)="1","C1",IF(LEFT(AD1140,1)="2","C2",IF(LEFT(AD1140,1)="3","C3",""))))</f>
        <v>C3</v>
      </c>
      <c r="AF1140" t="s" s="35">
        <v>1602</v>
      </c>
      <c r="AG1140" t="s" s="35">
        <v>1617</v>
      </c>
      <c r="AH1140" t="s" s="35">
        <v>1605</v>
      </c>
      <c r="AI1140" t="s" s="35">
        <v>1629</v>
      </c>
      <c r="AJ1140" t="s" s="35">
        <v>1615</v>
      </c>
      <c r="AK1140" s="39"/>
      <c r="AL1140" s="39"/>
      <c r="AM1140" s="39"/>
      <c r="AN1140" s="39"/>
      <c r="AO1140" s="39"/>
      <c r="AP1140" s="39"/>
      <c r="AQ1140" s="39"/>
      <c r="AR1140" s="39"/>
      <c r="AS1140" s="39"/>
      <c r="AT1140" s="39"/>
      <c r="AU1140" s="39"/>
      <c r="AV1140" s="39"/>
      <c r="AW1140" t="str" s="39" cm="1">
        <f t="array" ref="AW1140">AF1140&amp;"; "&amp;AG1140&amp;"; "&amp;AH1140&amp;"; "&amp;AI1140&amp;"; "&amp;AJ1140</f>
        <v>E1; D1; E2; I3; E6</v>
      </c>
    </row>
    <row r="1141" ht="13.65" customHeight="1">
      <c r="A1141" t="s" s="35">
        <v>7145</v>
      </c>
      <c r="B1141" s="36">
        <v>10</v>
      </c>
      <c r="C1141" t="s" s="35">
        <v>210</v>
      </c>
      <c r="D1141" t="s" s="35">
        <v>7000</v>
      </c>
      <c r="E1141" t="s" s="35">
        <v>7001</v>
      </c>
      <c r="F1141" s="36">
        <v>41</v>
      </c>
      <c r="G1141" t="s" s="35">
        <v>7146</v>
      </c>
      <c r="H1141" t="s" s="35">
        <v>7147</v>
      </c>
      <c r="I1141" t="s" s="120">
        <v>7148</v>
      </c>
      <c r="J1141" t="s" s="35">
        <v>6185</v>
      </c>
      <c r="K1141" t="s" s="35">
        <v>1058</v>
      </c>
      <c r="L1141" s="39"/>
      <c r="M1141" t="str" s="39">
        <v>Sin marco</v>
      </c>
      <c r="N1141" t="str" s="39">
        <v>Sin marco</v>
      </c>
      <c r="O1141" t="str" s="39" cm="1">
        <f t="array" ref="O1141">IF(L1141="","",_xlfn.IFERROR(INDEX('Datos - Catálogo TIMSS'!$C$5:$C$107,MATCH(L1141,'Datos - Catálogo TIMSS'!$A$5:$A$107,0)),"?"))</f>
      </c>
      <c r="P1141" t="s" s="35">
        <v>1058</v>
      </c>
      <c r="Q1141" t="s" s="120">
        <v>6186</v>
      </c>
      <c r="R1141" t="s" s="120">
        <v>7149</v>
      </c>
      <c r="S1141" s="121" cm="1">
        <f t="array" ref="S1141">_xlfn.IFERROR(ISNUMBER(SEARCH("Conocer",$R1141))/(ISNUMBER(SEARCH("Conocer",$R1141))+ISNUMBER(SEARCH("Aplicar",$R1141))+ISNUMBER(SEARCH("Razonar",$R1141))),0)</f>
        <v>0</v>
      </c>
      <c r="T1141" s="121" cm="1">
        <f t="array" ref="T1141">_xlfn.IFERROR(ISNUMBER(SEARCH("Aplicar",$R1141))/(ISNUMBER(SEARCH("Conocer",$R1141))+ISNUMBER(SEARCH("Aplicar",$R1141))+ISNUMBER(SEARCH("Razonar",$R1141))),0)</f>
        <v>0.5</v>
      </c>
      <c r="U1141" s="121" cm="1">
        <f t="array" ref="U1141">_xlfn.IFERROR(ISNUMBER(SEARCH("Razonar",$R1141))/(ISNUMBER(SEARCH("Conocer",$R1141))+ISNUMBER(SEARCH("Aplicar",$R1141))+ISNUMBER(SEARCH("Razonar",$R1141))),0)</f>
        <v>0.5</v>
      </c>
      <c r="V1141" t="s" s="35">
        <v>1408</v>
      </c>
      <c r="W1141" t="s" s="35">
        <v>7006</v>
      </c>
      <c r="X1141" s="36" cm="1">
        <f t="array" ref="X1141">IF(OR(_xlfn.IFERROR(INDEX('Datos - Catálogo TIMSS'!$I$5:$I$107,MATCH(K1141,'Datos - Catálogo TIMSS'!$A$5:$A$107,0)),"No")="Sí",_xlfn.IFERROR(INDEX('Datos - Catálogo TIMSS'!$I$5:$I$107,MATCH(L1141,'Datos - Catálogo TIMSS'!$A$5:$A$107,0)),"No")="Sí"),1,0)</f>
        <v>0</v>
      </c>
      <c r="Y1141" s="36" cm="1">
        <f t="array" ref="Y1141">IF(_xlfn.IFERROR(INDEX('Datos - Catálogo TIMSS'!$J$5:$J$107,MATCH(K1141,'Datos - Catálogo TIMSS'!$A$5:$A$107,0)),"No")="Sí",1,0)</f>
        <v>0</v>
      </c>
      <c r="Z1141" s="36" cm="1">
        <f t="array" ref="Z1141">IF(_xlfn.IFERROR(INDEX('Datos - Catálogo TIMSS'!$J$5:$J$107,MATCH(L1141,'Datos - Catálogo TIMSS'!$A$5:$A$107,0)),"No")="Sí",1,0)</f>
        <v>0</v>
      </c>
      <c r="AA1141" t="s" s="35">
        <v>1058</v>
      </c>
      <c r="AB1141" s="39"/>
      <c r="AC1141" t="str" s="39">
        <v>Sin marco</v>
      </c>
      <c r="AD1141" t="s" s="35">
        <v>1859</v>
      </c>
      <c r="AE1141" t="str" s="39" cm="1">
        <f t="array" ref="AE1141">IF(AD1141="","",IF(LEFT(AD1141,1)="1","C1",IF(LEFT(AD1141,1)="2","C2",IF(LEFT(AD1141,1)="3","C3",""))))</f>
        <v>C1</v>
      </c>
      <c r="AF1141" t="s" s="35">
        <v>1602</v>
      </c>
      <c r="AG1141" t="s" s="35">
        <v>1617</v>
      </c>
      <c r="AH1141" t="s" s="35">
        <v>1605</v>
      </c>
      <c r="AI1141" t="s" s="35">
        <v>1623</v>
      </c>
      <c r="AJ1141" t="s" s="35">
        <v>1607</v>
      </c>
      <c r="AK1141" s="39"/>
      <c r="AL1141" s="39"/>
      <c r="AM1141" s="39"/>
      <c r="AN1141" s="39"/>
      <c r="AO1141" s="39"/>
      <c r="AP1141" s="39"/>
      <c r="AQ1141" s="39"/>
      <c r="AR1141" s="39"/>
      <c r="AS1141" s="39"/>
      <c r="AT1141" s="39"/>
      <c r="AU1141" s="39"/>
      <c r="AV1141" s="39"/>
      <c r="AW1141" t="str" s="39" cm="1">
        <f t="array" ref="AW1141">AF1141&amp;"; "&amp;AG1141&amp;"; "&amp;AH1141&amp;"; "&amp;AI1141&amp;"; "&amp;AJ1141</f>
        <v>E1; D1; E2; D4; E3</v>
      </c>
    </row>
    <row r="1142" ht="13.65" customHeight="1">
      <c r="A1142" t="s" s="35">
        <v>7150</v>
      </c>
      <c r="B1142" s="36">
        <v>10</v>
      </c>
      <c r="C1142" t="s" s="35">
        <v>210</v>
      </c>
      <c r="D1142" t="s" s="35">
        <v>7000</v>
      </c>
      <c r="E1142" t="s" s="35">
        <v>7001</v>
      </c>
      <c r="F1142" s="36">
        <v>42</v>
      </c>
      <c r="G1142" t="s" s="35">
        <v>7146</v>
      </c>
      <c r="H1142" t="s" s="35">
        <v>7147</v>
      </c>
      <c r="I1142" t="s" s="120">
        <v>7151</v>
      </c>
      <c r="J1142" t="s" s="35">
        <v>6185</v>
      </c>
      <c r="K1142" t="s" s="35">
        <v>1058</v>
      </c>
      <c r="L1142" s="39"/>
      <c r="M1142" t="str" s="39">
        <v>Sin marco</v>
      </c>
      <c r="N1142" t="str" s="39">
        <v>Sin marco</v>
      </c>
      <c r="O1142" t="str" s="39" cm="1">
        <f t="array" ref="O1142">IF(L1142="","",_xlfn.IFERROR(INDEX('Datos - Catálogo TIMSS'!$C$5:$C$107,MATCH(L1142,'Datos - Catálogo TIMSS'!$A$5:$A$107,0)),"?"))</f>
      </c>
      <c r="P1142" t="s" s="35">
        <v>1058</v>
      </c>
      <c r="Q1142" t="s" s="120">
        <v>6186</v>
      </c>
      <c r="R1142" t="s" s="120">
        <v>7152</v>
      </c>
      <c r="S1142" s="121" cm="1">
        <f t="array" ref="S1142">_xlfn.IFERROR(ISNUMBER(SEARCH("Conocer",$R1142))/(ISNUMBER(SEARCH("Conocer",$R1142))+ISNUMBER(SEARCH("Aplicar",$R1142))+ISNUMBER(SEARCH("Razonar",$R1142))),0)</f>
        <v>0</v>
      </c>
      <c r="T1142" s="121" cm="1">
        <f t="array" ref="T1142">_xlfn.IFERROR(ISNUMBER(SEARCH("Aplicar",$R1142))/(ISNUMBER(SEARCH("Conocer",$R1142))+ISNUMBER(SEARCH("Aplicar",$R1142))+ISNUMBER(SEARCH("Razonar",$R1142))),0)</f>
        <v>0.5</v>
      </c>
      <c r="U1142" s="121" cm="1">
        <f t="array" ref="U1142">_xlfn.IFERROR(ISNUMBER(SEARCH("Razonar",$R1142))/(ISNUMBER(SEARCH("Conocer",$R1142))+ISNUMBER(SEARCH("Aplicar",$R1142))+ISNUMBER(SEARCH("Razonar",$R1142))),0)</f>
        <v>0.5</v>
      </c>
      <c r="V1142" t="s" s="35">
        <v>1408</v>
      </c>
      <c r="W1142" t="s" s="35">
        <v>7006</v>
      </c>
      <c r="X1142" s="36" cm="1">
        <f t="array" ref="X1142">IF(OR(_xlfn.IFERROR(INDEX('Datos - Catálogo TIMSS'!$I$5:$I$107,MATCH(K1142,'Datos - Catálogo TIMSS'!$A$5:$A$107,0)),"No")="Sí",_xlfn.IFERROR(INDEX('Datos - Catálogo TIMSS'!$I$5:$I$107,MATCH(L1142,'Datos - Catálogo TIMSS'!$A$5:$A$107,0)),"No")="Sí"),1,0)</f>
        <v>0</v>
      </c>
      <c r="Y1142" s="36" cm="1">
        <f t="array" ref="Y1142">IF(_xlfn.IFERROR(INDEX('Datos - Catálogo TIMSS'!$J$5:$J$107,MATCH(K1142,'Datos - Catálogo TIMSS'!$A$5:$A$107,0)),"No")="Sí",1,0)</f>
        <v>0</v>
      </c>
      <c r="Z1142" s="36" cm="1">
        <f t="array" ref="Z1142">IF(_xlfn.IFERROR(INDEX('Datos - Catálogo TIMSS'!$J$5:$J$107,MATCH(L1142,'Datos - Catálogo TIMSS'!$A$5:$A$107,0)),"No")="Sí",1,0)</f>
        <v>0</v>
      </c>
      <c r="AA1142" t="s" s="35">
        <v>1058</v>
      </c>
      <c r="AB1142" s="39"/>
      <c r="AC1142" t="str" s="39">
        <v>Sin marco</v>
      </c>
      <c r="AD1142" t="s" s="35">
        <v>1859</v>
      </c>
      <c r="AE1142" t="str" s="39" cm="1">
        <f t="array" ref="AE1142">IF(AD1142="","",IF(LEFT(AD1142,1)="1","C1",IF(LEFT(AD1142,1)="2","C2",IF(LEFT(AD1142,1)="3","C3",""))))</f>
        <v>C1</v>
      </c>
      <c r="AF1142" t="s" s="35">
        <v>1615</v>
      </c>
      <c r="AG1142" t="s" s="35">
        <v>1612</v>
      </c>
      <c r="AH1142" t="s" s="35">
        <v>1602</v>
      </c>
      <c r="AI1142" t="s" s="35">
        <v>1623</v>
      </c>
      <c r="AJ1142" t="s" s="35">
        <v>1633</v>
      </c>
      <c r="AK1142" s="39"/>
      <c r="AL1142" s="39"/>
      <c r="AM1142" s="39"/>
      <c r="AN1142" s="39"/>
      <c r="AO1142" s="39"/>
      <c r="AP1142" s="39"/>
      <c r="AQ1142" s="39"/>
      <c r="AR1142" s="39"/>
      <c r="AS1142" s="39"/>
      <c r="AT1142" s="39"/>
      <c r="AU1142" s="39"/>
      <c r="AV1142" s="39"/>
      <c r="AW1142" t="str" s="39" cm="1">
        <f t="array" ref="AW1142">AF1142&amp;"; "&amp;AG1142&amp;"; "&amp;AH1142&amp;"; "&amp;AI1142&amp;"; "&amp;AJ1142</f>
        <v>E6; E5; E1; D4; I5</v>
      </c>
    </row>
    <row r="1143" ht="13.65" customHeight="1">
      <c r="A1143" t="s" s="35">
        <v>7153</v>
      </c>
      <c r="B1143" s="36">
        <v>10</v>
      </c>
      <c r="C1143" t="s" s="35">
        <v>210</v>
      </c>
      <c r="D1143" t="s" s="35">
        <v>7000</v>
      </c>
      <c r="E1143" t="s" s="35">
        <v>7001</v>
      </c>
      <c r="F1143" s="36">
        <v>43</v>
      </c>
      <c r="G1143" t="s" s="35">
        <v>7146</v>
      </c>
      <c r="H1143" t="s" s="35">
        <v>7154</v>
      </c>
      <c r="I1143" t="s" s="120">
        <v>7155</v>
      </c>
      <c r="J1143" t="s" s="35">
        <v>6185</v>
      </c>
      <c r="K1143" t="s" s="35">
        <v>1058</v>
      </c>
      <c r="L1143" s="39"/>
      <c r="M1143" t="str" s="39">
        <v>Sin marco</v>
      </c>
      <c r="N1143" t="str" s="39">
        <v>Sin marco</v>
      </c>
      <c r="O1143" t="str" s="39" cm="1">
        <f t="array" ref="O1143">IF(L1143="","",_xlfn.IFERROR(INDEX('Datos - Catálogo TIMSS'!$C$5:$C$107,MATCH(L1143,'Datos - Catálogo TIMSS'!$A$5:$A$107,0)),"?"))</f>
      </c>
      <c r="P1143" t="s" s="35">
        <v>1058</v>
      </c>
      <c r="Q1143" t="s" s="120">
        <v>6186</v>
      </c>
      <c r="R1143" t="s" s="120">
        <v>7156</v>
      </c>
      <c r="S1143" s="121" cm="1">
        <f t="array" ref="S1143">_xlfn.IFERROR(ISNUMBER(SEARCH("Conocer",$R1143))/(ISNUMBER(SEARCH("Conocer",$R1143))+ISNUMBER(SEARCH("Aplicar",$R1143))+ISNUMBER(SEARCH("Razonar",$R1143))),0)</f>
        <v>0</v>
      </c>
      <c r="T1143" s="121" cm="1">
        <f t="array" ref="T1143">_xlfn.IFERROR(ISNUMBER(SEARCH("Aplicar",$R1143))/(ISNUMBER(SEARCH("Conocer",$R1143))+ISNUMBER(SEARCH("Aplicar",$R1143))+ISNUMBER(SEARCH("Razonar",$R1143))),0)</f>
        <v>0.5</v>
      </c>
      <c r="U1143" s="121" cm="1">
        <f t="array" ref="U1143">_xlfn.IFERROR(ISNUMBER(SEARCH("Razonar",$R1143))/(ISNUMBER(SEARCH("Conocer",$R1143))+ISNUMBER(SEARCH("Aplicar",$R1143))+ISNUMBER(SEARCH("Razonar",$R1143))),0)</f>
        <v>0.5</v>
      </c>
      <c r="V1143" t="s" s="35">
        <v>1408</v>
      </c>
      <c r="W1143" t="s" s="35">
        <v>7006</v>
      </c>
      <c r="X1143" s="36" cm="1">
        <f t="array" ref="X1143">IF(OR(_xlfn.IFERROR(INDEX('Datos - Catálogo TIMSS'!$I$5:$I$107,MATCH(K1143,'Datos - Catálogo TIMSS'!$A$5:$A$107,0)),"No")="Sí",_xlfn.IFERROR(INDEX('Datos - Catálogo TIMSS'!$I$5:$I$107,MATCH(L1143,'Datos - Catálogo TIMSS'!$A$5:$A$107,0)),"No")="Sí"),1,0)</f>
        <v>0</v>
      </c>
      <c r="Y1143" s="36" cm="1">
        <f t="array" ref="Y1143">IF(_xlfn.IFERROR(INDEX('Datos - Catálogo TIMSS'!$J$5:$J$107,MATCH(K1143,'Datos - Catálogo TIMSS'!$A$5:$A$107,0)),"No")="Sí",1,0)</f>
        <v>0</v>
      </c>
      <c r="Z1143" s="36" cm="1">
        <f t="array" ref="Z1143">IF(_xlfn.IFERROR(INDEX('Datos - Catálogo TIMSS'!$J$5:$J$107,MATCH(L1143,'Datos - Catálogo TIMSS'!$A$5:$A$107,0)),"No")="Sí",1,0)</f>
        <v>0</v>
      </c>
      <c r="AA1143" t="s" s="35">
        <v>1058</v>
      </c>
      <c r="AB1143" s="39"/>
      <c r="AC1143" t="str" s="39">
        <v>Sin marco</v>
      </c>
      <c r="AD1143" t="s" s="35">
        <v>1859</v>
      </c>
      <c r="AE1143" t="str" s="39" cm="1">
        <f t="array" ref="AE1143">IF(AD1143="","",IF(LEFT(AD1143,1)="1","C1",IF(LEFT(AD1143,1)="2","C2",IF(LEFT(AD1143,1)="3","C3",""))))</f>
        <v>C1</v>
      </c>
      <c r="AF1143" t="s" s="35">
        <v>1602</v>
      </c>
      <c r="AG1143" t="s" s="35">
        <v>1617</v>
      </c>
      <c r="AH1143" t="s" s="35">
        <v>1605</v>
      </c>
      <c r="AI1143" t="s" s="35">
        <v>1623</v>
      </c>
      <c r="AJ1143" t="s" s="35">
        <v>1607</v>
      </c>
      <c r="AK1143" s="39"/>
      <c r="AL1143" s="39"/>
      <c r="AM1143" s="39"/>
      <c r="AN1143" s="39"/>
      <c r="AO1143" s="39"/>
      <c r="AP1143" s="39"/>
      <c r="AQ1143" s="39"/>
      <c r="AR1143" s="39"/>
      <c r="AS1143" s="39"/>
      <c r="AT1143" s="39"/>
      <c r="AU1143" s="39"/>
      <c r="AV1143" s="39"/>
      <c r="AW1143" t="str" s="39" cm="1">
        <f t="array" ref="AW1143">AF1143&amp;"; "&amp;AG1143&amp;"; "&amp;AH1143&amp;"; "&amp;AI1143&amp;"; "&amp;AJ1143</f>
        <v>E1; D1; E2; D4; E3</v>
      </c>
    </row>
    <row r="1144" ht="13.65" customHeight="1">
      <c r="A1144" t="s" s="35">
        <v>7157</v>
      </c>
      <c r="B1144" s="36">
        <v>10</v>
      </c>
      <c r="C1144" t="s" s="35">
        <v>210</v>
      </c>
      <c r="D1144" t="s" s="35">
        <v>7000</v>
      </c>
      <c r="E1144" t="s" s="35">
        <v>7001</v>
      </c>
      <c r="F1144" s="36">
        <v>44</v>
      </c>
      <c r="G1144" t="s" s="35">
        <v>7146</v>
      </c>
      <c r="H1144" t="s" s="35">
        <v>7158</v>
      </c>
      <c r="I1144" t="s" s="120">
        <v>7159</v>
      </c>
      <c r="J1144" t="s" s="35">
        <v>6185</v>
      </c>
      <c r="K1144" t="s" s="35">
        <v>1058</v>
      </c>
      <c r="L1144" s="39"/>
      <c r="M1144" t="str" s="39">
        <v>Sin marco</v>
      </c>
      <c r="N1144" t="str" s="39">
        <v>Sin marco</v>
      </c>
      <c r="O1144" t="str" s="39" cm="1">
        <f t="array" ref="O1144">IF(L1144="","",_xlfn.IFERROR(INDEX('Datos - Catálogo TIMSS'!$C$5:$C$107,MATCH(L1144,'Datos - Catálogo TIMSS'!$A$5:$A$107,0)),"?"))</f>
      </c>
      <c r="P1144" t="s" s="35">
        <v>1058</v>
      </c>
      <c r="Q1144" t="s" s="120">
        <v>6186</v>
      </c>
      <c r="R1144" t="s" s="120">
        <v>7160</v>
      </c>
      <c r="S1144" s="121" cm="1">
        <f t="array" ref="S1144">_xlfn.IFERROR(ISNUMBER(SEARCH("Conocer",$R1144))/(ISNUMBER(SEARCH("Conocer",$R1144))+ISNUMBER(SEARCH("Aplicar",$R1144))+ISNUMBER(SEARCH("Razonar",$R1144))),0)</f>
        <v>0</v>
      </c>
      <c r="T1144" s="121" cm="1">
        <f t="array" ref="T1144">_xlfn.IFERROR(ISNUMBER(SEARCH("Aplicar",$R1144))/(ISNUMBER(SEARCH("Conocer",$R1144))+ISNUMBER(SEARCH("Aplicar",$R1144))+ISNUMBER(SEARCH("Razonar",$R1144))),0)</f>
        <v>0.5</v>
      </c>
      <c r="U1144" s="121" cm="1">
        <f t="array" ref="U1144">_xlfn.IFERROR(ISNUMBER(SEARCH("Razonar",$R1144))/(ISNUMBER(SEARCH("Conocer",$R1144))+ISNUMBER(SEARCH("Aplicar",$R1144))+ISNUMBER(SEARCH("Razonar",$R1144))),0)</f>
        <v>0.5</v>
      </c>
      <c r="V1144" t="s" s="35">
        <v>1408</v>
      </c>
      <c r="W1144" t="s" s="35">
        <v>7006</v>
      </c>
      <c r="X1144" s="36" cm="1">
        <f t="array" ref="X1144">IF(OR(_xlfn.IFERROR(INDEX('Datos - Catálogo TIMSS'!$I$5:$I$107,MATCH(K1144,'Datos - Catálogo TIMSS'!$A$5:$A$107,0)),"No")="Sí",_xlfn.IFERROR(INDEX('Datos - Catálogo TIMSS'!$I$5:$I$107,MATCH(L1144,'Datos - Catálogo TIMSS'!$A$5:$A$107,0)),"No")="Sí"),1,0)</f>
        <v>0</v>
      </c>
      <c r="Y1144" s="36" cm="1">
        <f t="array" ref="Y1144">IF(_xlfn.IFERROR(INDEX('Datos - Catálogo TIMSS'!$J$5:$J$107,MATCH(K1144,'Datos - Catálogo TIMSS'!$A$5:$A$107,0)),"No")="Sí",1,0)</f>
        <v>0</v>
      </c>
      <c r="Z1144" s="36" cm="1">
        <f t="array" ref="Z1144">IF(_xlfn.IFERROR(INDEX('Datos - Catálogo TIMSS'!$J$5:$J$107,MATCH(L1144,'Datos - Catálogo TIMSS'!$A$5:$A$107,0)),"No")="Sí",1,0)</f>
        <v>0</v>
      </c>
      <c r="AA1144" t="s" s="35">
        <v>1058</v>
      </c>
      <c r="AB1144" s="39"/>
      <c r="AC1144" t="str" s="39">
        <v>Sin marco</v>
      </c>
      <c r="AD1144" t="s" s="35">
        <v>1834</v>
      </c>
      <c r="AE1144" t="str" s="39" cm="1">
        <f t="array" ref="AE1144">IF(AD1144="","",IF(LEFT(AD1144,1)="1","C1",IF(LEFT(AD1144,1)="2","C2",IF(LEFT(AD1144,1)="3","C3",""))))</f>
        <v>C2</v>
      </c>
      <c r="AF1144" t="s" s="35">
        <v>1602</v>
      </c>
      <c r="AG1144" t="s" s="35">
        <v>1607</v>
      </c>
      <c r="AH1144" t="s" s="35">
        <v>1605</v>
      </c>
      <c r="AI1144" t="s" s="35">
        <v>1623</v>
      </c>
      <c r="AJ1144" t="s" s="35">
        <v>1621</v>
      </c>
      <c r="AK1144" s="39"/>
      <c r="AL1144" s="39"/>
      <c r="AM1144" s="39"/>
      <c r="AN1144" s="39"/>
      <c r="AO1144" s="39"/>
      <c r="AP1144" s="39"/>
      <c r="AQ1144" s="39"/>
      <c r="AR1144" s="39"/>
      <c r="AS1144" s="39"/>
      <c r="AT1144" s="39"/>
      <c r="AU1144" s="39"/>
      <c r="AV1144" s="39"/>
      <c r="AW1144" t="str" s="39" cm="1">
        <f t="array" ref="AW1144">AF1144&amp;"; "&amp;AG1144&amp;"; "&amp;AH1144&amp;"; "&amp;AI1144&amp;"; "&amp;AJ1144</f>
        <v>E1; E3; E2; D4; D3</v>
      </c>
    </row>
    <row r="1145" ht="13.65" customHeight="1">
      <c r="A1145" t="s" s="35">
        <v>7161</v>
      </c>
      <c r="B1145" s="36">
        <v>10</v>
      </c>
      <c r="C1145" t="s" s="35">
        <v>210</v>
      </c>
      <c r="D1145" t="s" s="35">
        <v>7000</v>
      </c>
      <c r="E1145" t="s" s="35">
        <v>7001</v>
      </c>
      <c r="F1145" s="36">
        <v>45</v>
      </c>
      <c r="G1145" t="s" s="35">
        <v>7146</v>
      </c>
      <c r="H1145" t="s" s="35">
        <v>7162</v>
      </c>
      <c r="I1145" t="s" s="120">
        <v>7163</v>
      </c>
      <c r="J1145" t="s" s="35">
        <v>6185</v>
      </c>
      <c r="K1145" t="s" s="35">
        <v>1058</v>
      </c>
      <c r="L1145" s="39"/>
      <c r="M1145" t="str" s="39">
        <v>Sin marco</v>
      </c>
      <c r="N1145" t="str" s="39">
        <v>Sin marco</v>
      </c>
      <c r="O1145" t="str" s="39" cm="1">
        <f t="array" ref="O1145">IF(L1145="","",_xlfn.IFERROR(INDEX('Datos - Catálogo TIMSS'!$C$5:$C$107,MATCH(L1145,'Datos - Catálogo TIMSS'!$A$5:$A$107,0)),"?"))</f>
      </c>
      <c r="P1145" t="s" s="35">
        <v>1058</v>
      </c>
      <c r="Q1145" t="s" s="120">
        <v>6186</v>
      </c>
      <c r="R1145" t="s" s="120">
        <v>7164</v>
      </c>
      <c r="S1145" s="121" cm="1">
        <f t="array" ref="S1145">_xlfn.IFERROR(ISNUMBER(SEARCH("Conocer",$R1145))/(ISNUMBER(SEARCH("Conocer",$R1145))+ISNUMBER(SEARCH("Aplicar",$R1145))+ISNUMBER(SEARCH("Razonar",$R1145))),0)</f>
        <v>0</v>
      </c>
      <c r="T1145" s="121" cm="1">
        <f t="array" ref="T1145">_xlfn.IFERROR(ISNUMBER(SEARCH("Aplicar",$R1145))/(ISNUMBER(SEARCH("Conocer",$R1145))+ISNUMBER(SEARCH("Aplicar",$R1145))+ISNUMBER(SEARCH("Razonar",$R1145))),0)</f>
        <v>0.5</v>
      </c>
      <c r="U1145" s="121" cm="1">
        <f t="array" ref="U1145">_xlfn.IFERROR(ISNUMBER(SEARCH("Razonar",$R1145))/(ISNUMBER(SEARCH("Conocer",$R1145))+ISNUMBER(SEARCH("Aplicar",$R1145))+ISNUMBER(SEARCH("Razonar",$R1145))),0)</f>
        <v>0.5</v>
      </c>
      <c r="V1145" t="s" s="35">
        <v>1408</v>
      </c>
      <c r="W1145" t="s" s="35">
        <v>7006</v>
      </c>
      <c r="X1145" s="36" cm="1">
        <f t="array" ref="X1145">IF(OR(_xlfn.IFERROR(INDEX('Datos - Catálogo TIMSS'!$I$5:$I$107,MATCH(K1145,'Datos - Catálogo TIMSS'!$A$5:$A$107,0)),"No")="Sí",_xlfn.IFERROR(INDEX('Datos - Catálogo TIMSS'!$I$5:$I$107,MATCH(L1145,'Datos - Catálogo TIMSS'!$A$5:$A$107,0)),"No")="Sí"),1,0)</f>
        <v>0</v>
      </c>
      <c r="Y1145" s="36" cm="1">
        <f t="array" ref="Y1145">IF(_xlfn.IFERROR(INDEX('Datos - Catálogo TIMSS'!$J$5:$J$107,MATCH(K1145,'Datos - Catálogo TIMSS'!$A$5:$A$107,0)),"No")="Sí",1,0)</f>
        <v>0</v>
      </c>
      <c r="Z1145" s="36" cm="1">
        <f t="array" ref="Z1145">IF(_xlfn.IFERROR(INDEX('Datos - Catálogo TIMSS'!$J$5:$J$107,MATCH(L1145,'Datos - Catálogo TIMSS'!$A$5:$A$107,0)),"No")="Sí",1,0)</f>
        <v>0</v>
      </c>
      <c r="AA1145" t="s" s="35">
        <v>1058</v>
      </c>
      <c r="AB1145" s="39"/>
      <c r="AC1145" t="str" s="39">
        <v>Sin marco</v>
      </c>
      <c r="AD1145" t="s" s="35">
        <v>1834</v>
      </c>
      <c r="AE1145" t="str" s="39" cm="1">
        <f t="array" ref="AE1145">IF(AD1145="","",IF(LEFT(AD1145,1)="1","C1",IF(LEFT(AD1145,1)="2","C2",IF(LEFT(AD1145,1)="3","C3",""))))</f>
        <v>C2</v>
      </c>
      <c r="AF1145" t="s" s="35">
        <v>1602</v>
      </c>
      <c r="AG1145" t="s" s="35">
        <v>1617</v>
      </c>
      <c r="AH1145" t="s" s="35">
        <v>1609</v>
      </c>
      <c r="AI1145" t="s" s="35">
        <v>1623</v>
      </c>
      <c r="AJ1145" t="s" s="35">
        <v>1607</v>
      </c>
      <c r="AK1145" s="39"/>
      <c r="AL1145" s="39"/>
      <c r="AM1145" s="39"/>
      <c r="AN1145" s="39"/>
      <c r="AO1145" s="39"/>
      <c r="AP1145" s="39"/>
      <c r="AQ1145" s="39"/>
      <c r="AR1145" s="39"/>
      <c r="AS1145" s="39"/>
      <c r="AT1145" s="39"/>
      <c r="AU1145" s="39"/>
      <c r="AV1145" s="39"/>
      <c r="AW1145" t="str" s="39" cm="1">
        <f t="array" ref="AW1145">AF1145&amp;"; "&amp;AG1145&amp;"; "&amp;AH1145&amp;"; "&amp;AI1145&amp;"; "&amp;AJ1145</f>
        <v>E1; D1; E4; D4; E3</v>
      </c>
    </row>
    <row r="1146" ht="13.65" customHeight="1">
      <c r="A1146" t="s" s="35">
        <v>7165</v>
      </c>
      <c r="B1146" s="36">
        <v>10</v>
      </c>
      <c r="C1146" t="s" s="35">
        <v>210</v>
      </c>
      <c r="D1146" t="s" s="35">
        <v>7000</v>
      </c>
      <c r="E1146" t="s" s="35">
        <v>7001</v>
      </c>
      <c r="F1146" s="36">
        <v>46</v>
      </c>
      <c r="G1146" t="s" s="35">
        <v>7146</v>
      </c>
      <c r="H1146" t="s" s="35">
        <v>7166</v>
      </c>
      <c r="I1146" t="s" s="120">
        <v>7167</v>
      </c>
      <c r="J1146" t="s" s="35">
        <v>6185</v>
      </c>
      <c r="K1146" t="s" s="35">
        <v>1058</v>
      </c>
      <c r="L1146" s="39"/>
      <c r="M1146" t="str" s="39">
        <v>Sin marco</v>
      </c>
      <c r="N1146" t="str" s="39">
        <v>Sin marco</v>
      </c>
      <c r="O1146" t="str" s="39" cm="1">
        <f t="array" ref="O1146">IF(L1146="","",_xlfn.IFERROR(INDEX('Datos - Catálogo TIMSS'!$C$5:$C$107,MATCH(L1146,'Datos - Catálogo TIMSS'!$A$5:$A$107,0)),"?"))</f>
      </c>
      <c r="P1146" t="s" s="35">
        <v>1058</v>
      </c>
      <c r="Q1146" t="s" s="120">
        <v>6186</v>
      </c>
      <c r="R1146" t="s" s="120">
        <v>7168</v>
      </c>
      <c r="S1146" s="121" cm="1">
        <f t="array" ref="S1146">_xlfn.IFERROR(ISNUMBER(SEARCH("Conocer",$R1146))/(ISNUMBER(SEARCH("Conocer",$R1146))+ISNUMBER(SEARCH("Aplicar",$R1146))+ISNUMBER(SEARCH("Razonar",$R1146))),0)</f>
        <v>0.333333333333333</v>
      </c>
      <c r="T1146" s="121" cm="1">
        <f t="array" ref="T1146">_xlfn.IFERROR(ISNUMBER(SEARCH("Aplicar",$R1146))/(ISNUMBER(SEARCH("Conocer",$R1146))+ISNUMBER(SEARCH("Aplicar",$R1146))+ISNUMBER(SEARCH("Razonar",$R1146))),0)</f>
        <v>0.333333333333333</v>
      </c>
      <c r="U1146" s="121" cm="1">
        <f t="array" ref="U1146">_xlfn.IFERROR(ISNUMBER(SEARCH("Razonar",$R1146))/(ISNUMBER(SEARCH("Conocer",$R1146))+ISNUMBER(SEARCH("Aplicar",$R1146))+ISNUMBER(SEARCH("Razonar",$R1146))),0)</f>
        <v>0.333333333333333</v>
      </c>
      <c r="V1146" t="s" s="35">
        <v>1408</v>
      </c>
      <c r="W1146" t="s" s="35">
        <v>7006</v>
      </c>
      <c r="X1146" s="36" cm="1">
        <f t="array" ref="X1146">IF(OR(_xlfn.IFERROR(INDEX('Datos - Catálogo TIMSS'!$I$5:$I$107,MATCH(K1146,'Datos - Catálogo TIMSS'!$A$5:$A$107,0)),"No")="Sí",_xlfn.IFERROR(INDEX('Datos - Catálogo TIMSS'!$I$5:$I$107,MATCH(L1146,'Datos - Catálogo TIMSS'!$A$5:$A$107,0)),"No")="Sí"),1,0)</f>
        <v>0</v>
      </c>
      <c r="Y1146" s="36" cm="1">
        <f t="array" ref="Y1146">IF(_xlfn.IFERROR(INDEX('Datos - Catálogo TIMSS'!$J$5:$J$107,MATCH(K1146,'Datos - Catálogo TIMSS'!$A$5:$A$107,0)),"No")="Sí",1,0)</f>
        <v>0</v>
      </c>
      <c r="Z1146" s="36" cm="1">
        <f t="array" ref="Z1146">IF(_xlfn.IFERROR(INDEX('Datos - Catálogo TIMSS'!$J$5:$J$107,MATCH(L1146,'Datos - Catálogo TIMSS'!$A$5:$A$107,0)),"No")="Sí",1,0)</f>
        <v>0</v>
      </c>
      <c r="AA1146" t="s" s="35">
        <v>1058</v>
      </c>
      <c r="AB1146" s="39"/>
      <c r="AC1146" t="str" s="39">
        <v>Sin marco</v>
      </c>
      <c r="AD1146" t="s" s="35">
        <v>1859</v>
      </c>
      <c r="AE1146" t="str" s="39" cm="1">
        <f t="array" ref="AE1146">IF(AD1146="","",IF(LEFT(AD1146,1)="1","C1",IF(LEFT(AD1146,1)="2","C2",IF(LEFT(AD1146,1)="3","C3",""))))</f>
        <v>C1</v>
      </c>
      <c r="AF1146" t="s" s="35">
        <v>1615</v>
      </c>
      <c r="AG1146" t="s" s="35">
        <v>1617</v>
      </c>
      <c r="AH1146" t="s" s="35">
        <v>1605</v>
      </c>
      <c r="AI1146" t="s" s="35">
        <v>1629</v>
      </c>
      <c r="AJ1146" t="s" s="35">
        <v>1633</v>
      </c>
      <c r="AK1146" s="39"/>
      <c r="AL1146" s="39"/>
      <c r="AM1146" s="39"/>
      <c r="AN1146" s="39"/>
      <c r="AO1146" s="39"/>
      <c r="AP1146" s="39"/>
      <c r="AQ1146" s="39"/>
      <c r="AR1146" s="39"/>
      <c r="AS1146" s="39"/>
      <c r="AT1146" s="39"/>
      <c r="AU1146" s="39"/>
      <c r="AV1146" s="39"/>
      <c r="AW1146" t="str" s="39" cm="1">
        <f t="array" ref="AW1146">AF1146&amp;"; "&amp;AG1146&amp;"; "&amp;AH1146&amp;"; "&amp;AI1146&amp;"; "&amp;AJ1146</f>
        <v>E6; D1; E2; I3; I5</v>
      </c>
    </row>
    <row r="1147" ht="13.65" customHeight="1">
      <c r="A1147" t="s" s="35">
        <v>7169</v>
      </c>
      <c r="B1147" s="36">
        <v>10</v>
      </c>
      <c r="C1147" t="s" s="35">
        <v>210</v>
      </c>
      <c r="D1147" t="s" s="35">
        <v>7000</v>
      </c>
      <c r="E1147" t="s" s="35">
        <v>7001</v>
      </c>
      <c r="F1147" s="36">
        <v>47</v>
      </c>
      <c r="G1147" t="s" s="35">
        <v>7146</v>
      </c>
      <c r="H1147" t="s" s="35">
        <v>7170</v>
      </c>
      <c r="I1147" t="s" s="120">
        <v>7171</v>
      </c>
      <c r="J1147" t="s" s="35">
        <v>6185</v>
      </c>
      <c r="K1147" t="s" s="35">
        <v>1058</v>
      </c>
      <c r="L1147" s="39"/>
      <c r="M1147" t="str" s="39">
        <v>Sin marco</v>
      </c>
      <c r="N1147" t="str" s="39">
        <v>Sin marco</v>
      </c>
      <c r="O1147" t="str" s="39" cm="1">
        <f t="array" ref="O1147">IF(L1147="","",_xlfn.IFERROR(INDEX('Datos - Catálogo TIMSS'!$C$5:$C$107,MATCH(L1147,'Datos - Catálogo TIMSS'!$A$5:$A$107,0)),"?"))</f>
      </c>
      <c r="P1147" t="s" s="35">
        <v>1058</v>
      </c>
      <c r="Q1147" t="s" s="120">
        <v>6186</v>
      </c>
      <c r="R1147" t="s" s="120">
        <v>7172</v>
      </c>
      <c r="S1147" s="121" cm="1">
        <f t="array" ref="S1147">_xlfn.IFERROR(ISNUMBER(SEARCH("Conocer",$R1147))/(ISNUMBER(SEARCH("Conocer",$R1147))+ISNUMBER(SEARCH("Aplicar",$R1147))+ISNUMBER(SEARCH("Razonar",$R1147))),0)</f>
        <v>0.5</v>
      </c>
      <c r="T1147" s="121" cm="1">
        <f t="array" ref="T1147">_xlfn.IFERROR(ISNUMBER(SEARCH("Aplicar",$R1147))/(ISNUMBER(SEARCH("Conocer",$R1147))+ISNUMBER(SEARCH("Aplicar",$R1147))+ISNUMBER(SEARCH("Razonar",$R1147))),0)</f>
        <v>0</v>
      </c>
      <c r="U1147" s="121" cm="1">
        <f t="array" ref="U1147">_xlfn.IFERROR(ISNUMBER(SEARCH("Razonar",$R1147))/(ISNUMBER(SEARCH("Conocer",$R1147))+ISNUMBER(SEARCH("Aplicar",$R1147))+ISNUMBER(SEARCH("Razonar",$R1147))),0)</f>
        <v>0.5</v>
      </c>
      <c r="V1147" t="s" s="35">
        <v>1408</v>
      </c>
      <c r="W1147" t="s" s="35">
        <v>7006</v>
      </c>
      <c r="X1147" s="36" cm="1">
        <f t="array" ref="X1147">IF(OR(_xlfn.IFERROR(INDEX('Datos - Catálogo TIMSS'!$I$5:$I$107,MATCH(K1147,'Datos - Catálogo TIMSS'!$A$5:$A$107,0)),"No")="Sí",_xlfn.IFERROR(INDEX('Datos - Catálogo TIMSS'!$I$5:$I$107,MATCH(L1147,'Datos - Catálogo TIMSS'!$A$5:$A$107,0)),"No")="Sí"),1,0)</f>
        <v>0</v>
      </c>
      <c r="Y1147" s="36" cm="1">
        <f t="array" ref="Y1147">IF(_xlfn.IFERROR(INDEX('Datos - Catálogo TIMSS'!$J$5:$J$107,MATCH(K1147,'Datos - Catálogo TIMSS'!$A$5:$A$107,0)),"No")="Sí",1,0)</f>
        <v>0</v>
      </c>
      <c r="Z1147" s="36" cm="1">
        <f t="array" ref="Z1147">IF(_xlfn.IFERROR(INDEX('Datos - Catálogo TIMSS'!$J$5:$J$107,MATCH(L1147,'Datos - Catálogo TIMSS'!$A$5:$A$107,0)),"No")="Sí",1,0)</f>
        <v>0</v>
      </c>
      <c r="AA1147" t="s" s="35">
        <v>1058</v>
      </c>
      <c r="AB1147" s="39"/>
      <c r="AC1147" t="str" s="39">
        <v>Sin marco</v>
      </c>
      <c r="AD1147" t="s" s="35">
        <v>1900</v>
      </c>
      <c r="AE1147" t="str" s="39" cm="1">
        <f t="array" ref="AE1147">IF(AD1147="","",IF(LEFT(AD1147,1)="1","C1",IF(LEFT(AD1147,1)="2","C2",IF(LEFT(AD1147,1)="3","C3",""))))</f>
        <v>C3</v>
      </c>
      <c r="AF1147" t="s" s="35">
        <v>1602</v>
      </c>
      <c r="AG1147" t="s" s="35">
        <v>1607</v>
      </c>
      <c r="AH1147" t="s" s="35">
        <v>1602</v>
      </c>
      <c r="AI1147" t="s" s="35">
        <v>1627</v>
      </c>
      <c r="AJ1147" t="s" s="35">
        <v>1631</v>
      </c>
      <c r="AK1147" s="39"/>
      <c r="AL1147" s="39"/>
      <c r="AM1147" s="39"/>
      <c r="AN1147" s="39"/>
      <c r="AO1147" s="39"/>
      <c r="AP1147" s="39"/>
      <c r="AQ1147" s="39"/>
      <c r="AR1147" s="39"/>
      <c r="AS1147" s="39"/>
      <c r="AT1147" s="39"/>
      <c r="AU1147" s="39"/>
      <c r="AV1147" s="39"/>
      <c r="AW1147" t="str" s="39" cm="1">
        <f t="array" ref="AW1147">AF1147&amp;"; "&amp;AG1147&amp;"; "&amp;AH1147&amp;"; "&amp;AI1147&amp;"; "&amp;AJ1147</f>
        <v>E1; E3; E1; I2; I4</v>
      </c>
    </row>
    <row r="1148" ht="13.65" customHeight="1">
      <c r="A1148" t="s" s="35">
        <v>7174</v>
      </c>
      <c r="B1148" s="36">
        <v>10</v>
      </c>
      <c r="C1148" t="s" s="35">
        <v>210</v>
      </c>
      <c r="D1148" t="s" s="35">
        <v>7000</v>
      </c>
      <c r="E1148" t="s" s="35">
        <v>7001</v>
      </c>
      <c r="F1148" s="36">
        <v>48</v>
      </c>
      <c r="G1148" t="s" s="35">
        <v>7175</v>
      </c>
      <c r="H1148" t="s" s="35">
        <v>7176</v>
      </c>
      <c r="I1148" t="s" s="120">
        <v>7177</v>
      </c>
      <c r="J1148" t="s" s="35">
        <v>6185</v>
      </c>
      <c r="K1148" t="s" s="35">
        <v>1058</v>
      </c>
      <c r="L1148" s="39"/>
      <c r="M1148" t="str" s="39">
        <v>Sin marco</v>
      </c>
      <c r="N1148" t="str" s="39">
        <v>Sin marco</v>
      </c>
      <c r="O1148" t="str" s="39" cm="1">
        <f t="array" ref="O1148">IF(L1148="","",_xlfn.IFERROR(INDEX('Datos - Catálogo TIMSS'!$C$5:$C$107,MATCH(L1148,'Datos - Catálogo TIMSS'!$A$5:$A$107,0)),"?"))</f>
      </c>
      <c r="P1148" t="s" s="35">
        <v>1058</v>
      </c>
      <c r="Q1148" t="s" s="120">
        <v>6186</v>
      </c>
      <c r="R1148" t="s" s="120">
        <v>7178</v>
      </c>
      <c r="S1148" s="121" cm="1">
        <f t="array" ref="S1148">_xlfn.IFERROR(ISNUMBER(SEARCH("Conocer",$R1148))/(ISNUMBER(SEARCH("Conocer",$R1148))+ISNUMBER(SEARCH("Aplicar",$R1148))+ISNUMBER(SEARCH("Razonar",$R1148))),0)</f>
        <v>0.5</v>
      </c>
      <c r="T1148" s="121" cm="1">
        <f t="array" ref="T1148">_xlfn.IFERROR(ISNUMBER(SEARCH("Aplicar",$R1148))/(ISNUMBER(SEARCH("Conocer",$R1148))+ISNUMBER(SEARCH("Aplicar",$R1148))+ISNUMBER(SEARCH("Razonar",$R1148))),0)</f>
        <v>0</v>
      </c>
      <c r="U1148" s="121" cm="1">
        <f t="array" ref="U1148">_xlfn.IFERROR(ISNUMBER(SEARCH("Razonar",$R1148))/(ISNUMBER(SEARCH("Conocer",$R1148))+ISNUMBER(SEARCH("Aplicar",$R1148))+ISNUMBER(SEARCH("Razonar",$R1148))),0)</f>
        <v>0.5</v>
      </c>
      <c r="V1148" t="s" s="35">
        <v>1408</v>
      </c>
      <c r="W1148" t="s" s="35">
        <v>7006</v>
      </c>
      <c r="X1148" s="36" cm="1">
        <f t="array" ref="X1148">IF(OR(_xlfn.IFERROR(INDEX('Datos - Catálogo TIMSS'!$I$5:$I$107,MATCH(K1148,'Datos - Catálogo TIMSS'!$A$5:$A$107,0)),"No")="Sí",_xlfn.IFERROR(INDEX('Datos - Catálogo TIMSS'!$I$5:$I$107,MATCH(L1148,'Datos - Catálogo TIMSS'!$A$5:$A$107,0)),"No")="Sí"),1,0)</f>
        <v>0</v>
      </c>
      <c r="Y1148" s="36" cm="1">
        <f t="array" ref="Y1148">IF(_xlfn.IFERROR(INDEX('Datos - Catálogo TIMSS'!$J$5:$J$107,MATCH(K1148,'Datos - Catálogo TIMSS'!$A$5:$A$107,0)),"No")="Sí",1,0)</f>
        <v>0</v>
      </c>
      <c r="Z1148" s="36" cm="1">
        <f t="array" ref="Z1148">IF(_xlfn.IFERROR(INDEX('Datos - Catálogo TIMSS'!$J$5:$J$107,MATCH(L1148,'Datos - Catálogo TIMSS'!$A$5:$A$107,0)),"No")="Sí",1,0)</f>
        <v>0</v>
      </c>
      <c r="AA1148" t="s" s="35">
        <v>1058</v>
      </c>
      <c r="AB1148" s="39"/>
      <c r="AC1148" t="str" s="39">
        <v>Sin marco</v>
      </c>
      <c r="AD1148" t="s" s="35">
        <v>1900</v>
      </c>
      <c r="AE1148" t="str" s="39" cm="1">
        <f t="array" ref="AE1148">IF(AD1148="","",IF(LEFT(AD1148,1)="1","C1",IF(LEFT(AD1148,1)="2","C2",IF(LEFT(AD1148,1)="3","C3",""))))</f>
        <v>C3</v>
      </c>
      <c r="AF1148" t="s" s="35">
        <v>1602</v>
      </c>
      <c r="AG1148" t="s" s="35">
        <v>1617</v>
      </c>
      <c r="AH1148" t="s" s="35">
        <v>1602</v>
      </c>
      <c r="AI1148" t="s" s="35">
        <v>1625</v>
      </c>
      <c r="AJ1148" t="s" s="35">
        <v>1631</v>
      </c>
      <c r="AK1148" s="39"/>
      <c r="AL1148" s="39"/>
      <c r="AM1148" s="39"/>
      <c r="AN1148" s="39"/>
      <c r="AO1148" s="39"/>
      <c r="AP1148" s="39"/>
      <c r="AQ1148" s="39"/>
      <c r="AR1148" s="39"/>
      <c r="AS1148" s="39"/>
      <c r="AT1148" s="39"/>
      <c r="AU1148" s="39"/>
      <c r="AV1148" s="39"/>
      <c r="AW1148" t="str" s="39" cm="1">
        <f t="array" ref="AW1148">AF1148&amp;"; "&amp;AG1148&amp;"; "&amp;AH1148&amp;"; "&amp;AI1148&amp;"; "&amp;AJ1148</f>
        <v>E1; D1; E1; I1; I4</v>
      </c>
    </row>
    <row r="1149" ht="13.65" customHeight="1">
      <c r="A1149" t="s" s="35">
        <v>7180</v>
      </c>
      <c r="B1149" s="36">
        <v>10</v>
      </c>
      <c r="C1149" t="s" s="35">
        <v>210</v>
      </c>
      <c r="D1149" t="s" s="35">
        <v>7000</v>
      </c>
      <c r="E1149" t="s" s="35">
        <v>7001</v>
      </c>
      <c r="F1149" s="36">
        <v>49</v>
      </c>
      <c r="G1149" t="s" s="35">
        <v>7175</v>
      </c>
      <c r="H1149" t="s" s="35">
        <v>7176</v>
      </c>
      <c r="I1149" t="s" s="120">
        <v>7181</v>
      </c>
      <c r="J1149" t="s" s="35">
        <v>6185</v>
      </c>
      <c r="K1149" t="s" s="35">
        <v>1058</v>
      </c>
      <c r="L1149" s="39"/>
      <c r="M1149" t="str" s="39">
        <v>Sin marco</v>
      </c>
      <c r="N1149" t="str" s="39">
        <v>Sin marco</v>
      </c>
      <c r="O1149" t="str" s="39" cm="1">
        <f t="array" ref="O1149">IF(L1149="","",_xlfn.IFERROR(INDEX('Datos - Catálogo TIMSS'!$C$5:$C$107,MATCH(L1149,'Datos - Catálogo TIMSS'!$A$5:$A$107,0)),"?"))</f>
      </c>
      <c r="P1149" t="s" s="35">
        <v>1058</v>
      </c>
      <c r="Q1149" t="s" s="120">
        <v>6186</v>
      </c>
      <c r="R1149" t="s" s="120">
        <v>7182</v>
      </c>
      <c r="S1149" s="121" cm="1">
        <f t="array" ref="S1149">_xlfn.IFERROR(ISNUMBER(SEARCH("Conocer",$R1149))/(ISNUMBER(SEARCH("Conocer",$R1149))+ISNUMBER(SEARCH("Aplicar",$R1149))+ISNUMBER(SEARCH("Razonar",$R1149))),0)</f>
        <v>0.5</v>
      </c>
      <c r="T1149" s="121" cm="1">
        <f t="array" ref="T1149">_xlfn.IFERROR(ISNUMBER(SEARCH("Aplicar",$R1149))/(ISNUMBER(SEARCH("Conocer",$R1149))+ISNUMBER(SEARCH("Aplicar",$R1149))+ISNUMBER(SEARCH("Razonar",$R1149))),0)</f>
        <v>0</v>
      </c>
      <c r="U1149" s="121" cm="1">
        <f t="array" ref="U1149">_xlfn.IFERROR(ISNUMBER(SEARCH("Razonar",$R1149))/(ISNUMBER(SEARCH("Conocer",$R1149))+ISNUMBER(SEARCH("Aplicar",$R1149))+ISNUMBER(SEARCH("Razonar",$R1149))),0)</f>
        <v>0.5</v>
      </c>
      <c r="V1149" t="s" s="35">
        <v>1408</v>
      </c>
      <c r="W1149" t="s" s="35">
        <v>7006</v>
      </c>
      <c r="X1149" s="36" cm="1">
        <f t="array" ref="X1149">IF(OR(_xlfn.IFERROR(INDEX('Datos - Catálogo TIMSS'!$I$5:$I$107,MATCH(K1149,'Datos - Catálogo TIMSS'!$A$5:$A$107,0)),"No")="Sí",_xlfn.IFERROR(INDEX('Datos - Catálogo TIMSS'!$I$5:$I$107,MATCH(L1149,'Datos - Catálogo TIMSS'!$A$5:$A$107,0)),"No")="Sí"),1,0)</f>
        <v>0</v>
      </c>
      <c r="Y1149" s="36" cm="1">
        <f t="array" ref="Y1149">IF(_xlfn.IFERROR(INDEX('Datos - Catálogo TIMSS'!$J$5:$J$107,MATCH(K1149,'Datos - Catálogo TIMSS'!$A$5:$A$107,0)),"No")="Sí",1,0)</f>
        <v>0</v>
      </c>
      <c r="Z1149" s="36" cm="1">
        <f t="array" ref="Z1149">IF(_xlfn.IFERROR(INDEX('Datos - Catálogo TIMSS'!$J$5:$J$107,MATCH(L1149,'Datos - Catálogo TIMSS'!$A$5:$A$107,0)),"No")="Sí",1,0)</f>
        <v>0</v>
      </c>
      <c r="AA1149" t="s" s="35">
        <v>1058</v>
      </c>
      <c r="AB1149" s="39"/>
      <c r="AC1149" t="str" s="39">
        <v>Sin marco</v>
      </c>
      <c r="AD1149" t="s" s="35">
        <v>1859</v>
      </c>
      <c r="AE1149" t="str" s="39" cm="1">
        <f t="array" ref="AE1149">IF(AD1149="","",IF(LEFT(AD1149,1)="1","C1",IF(LEFT(AD1149,1)="2","C2",IF(LEFT(AD1149,1)="3","C3",""))))</f>
        <v>C1</v>
      </c>
      <c r="AF1149" t="s" s="35">
        <v>1615</v>
      </c>
      <c r="AG1149" t="s" s="35">
        <v>1612</v>
      </c>
      <c r="AH1149" t="s" s="35">
        <v>1609</v>
      </c>
      <c r="AI1149" t="s" s="35">
        <v>1625</v>
      </c>
      <c r="AJ1149" t="s" s="35">
        <v>1607</v>
      </c>
      <c r="AK1149" s="39"/>
      <c r="AL1149" s="39"/>
      <c r="AM1149" s="39"/>
      <c r="AN1149" s="39"/>
      <c r="AO1149" s="39"/>
      <c r="AP1149" s="39"/>
      <c r="AQ1149" s="39"/>
      <c r="AR1149" s="39"/>
      <c r="AS1149" s="39"/>
      <c r="AT1149" s="39"/>
      <c r="AU1149" s="39"/>
      <c r="AV1149" s="39"/>
      <c r="AW1149" t="str" s="39" cm="1">
        <f t="array" ref="AW1149">AF1149&amp;"; "&amp;AG1149&amp;"; "&amp;AH1149&amp;"; "&amp;AI1149&amp;"; "&amp;AJ1149</f>
        <v>E6; E5; E4; I1; E3</v>
      </c>
    </row>
    <row r="1150" ht="13.65" customHeight="1">
      <c r="A1150" t="s" s="35">
        <v>7184</v>
      </c>
      <c r="B1150" s="36">
        <v>10</v>
      </c>
      <c r="C1150" t="s" s="35">
        <v>210</v>
      </c>
      <c r="D1150" t="s" s="35">
        <v>7000</v>
      </c>
      <c r="E1150" t="s" s="35">
        <v>7001</v>
      </c>
      <c r="F1150" s="36">
        <v>50</v>
      </c>
      <c r="G1150" t="s" s="35">
        <v>7175</v>
      </c>
      <c r="H1150" t="s" s="35">
        <v>7185</v>
      </c>
      <c r="I1150" t="s" s="120">
        <v>7186</v>
      </c>
      <c r="J1150" t="s" s="35">
        <v>6185</v>
      </c>
      <c r="K1150" t="s" s="35">
        <v>1058</v>
      </c>
      <c r="L1150" s="39"/>
      <c r="M1150" t="str" s="39">
        <v>Sin marco</v>
      </c>
      <c r="N1150" t="str" s="39">
        <v>Sin marco</v>
      </c>
      <c r="O1150" t="str" s="39" cm="1">
        <f t="array" ref="O1150">IF(L1150="","",_xlfn.IFERROR(INDEX('Datos - Catálogo TIMSS'!$C$5:$C$107,MATCH(L1150,'Datos - Catálogo TIMSS'!$A$5:$A$107,0)),"?"))</f>
      </c>
      <c r="P1150" t="s" s="35">
        <v>1058</v>
      </c>
      <c r="Q1150" t="s" s="120">
        <v>6186</v>
      </c>
      <c r="R1150" t="s" s="120">
        <v>7187</v>
      </c>
      <c r="S1150" s="121" cm="1">
        <f t="array" ref="S1150">_xlfn.IFERROR(ISNUMBER(SEARCH("Conocer",$R1150))/(ISNUMBER(SEARCH("Conocer",$R1150))+ISNUMBER(SEARCH("Aplicar",$R1150))+ISNUMBER(SEARCH("Razonar",$R1150))),0)</f>
        <v>0</v>
      </c>
      <c r="T1150" s="121" cm="1">
        <f t="array" ref="T1150">_xlfn.IFERROR(ISNUMBER(SEARCH("Aplicar",$R1150))/(ISNUMBER(SEARCH("Conocer",$R1150))+ISNUMBER(SEARCH("Aplicar",$R1150))+ISNUMBER(SEARCH("Razonar",$R1150))),0)</f>
        <v>0.5</v>
      </c>
      <c r="U1150" s="121" cm="1">
        <f t="array" ref="U1150">_xlfn.IFERROR(ISNUMBER(SEARCH("Razonar",$R1150))/(ISNUMBER(SEARCH("Conocer",$R1150))+ISNUMBER(SEARCH("Aplicar",$R1150))+ISNUMBER(SEARCH("Razonar",$R1150))),0)</f>
        <v>0.5</v>
      </c>
      <c r="V1150" t="s" s="35">
        <v>1408</v>
      </c>
      <c r="W1150" t="s" s="35">
        <v>7006</v>
      </c>
      <c r="X1150" s="36" cm="1">
        <f t="array" ref="X1150">IF(OR(_xlfn.IFERROR(INDEX('Datos - Catálogo TIMSS'!$I$5:$I$107,MATCH(K1150,'Datos - Catálogo TIMSS'!$A$5:$A$107,0)),"No")="Sí",_xlfn.IFERROR(INDEX('Datos - Catálogo TIMSS'!$I$5:$I$107,MATCH(L1150,'Datos - Catálogo TIMSS'!$A$5:$A$107,0)),"No")="Sí"),1,0)</f>
        <v>0</v>
      </c>
      <c r="Y1150" s="36" cm="1">
        <f t="array" ref="Y1150">IF(_xlfn.IFERROR(INDEX('Datos - Catálogo TIMSS'!$J$5:$J$107,MATCH(K1150,'Datos - Catálogo TIMSS'!$A$5:$A$107,0)),"No")="Sí",1,0)</f>
        <v>0</v>
      </c>
      <c r="Z1150" s="36" cm="1">
        <f t="array" ref="Z1150">IF(_xlfn.IFERROR(INDEX('Datos - Catálogo TIMSS'!$J$5:$J$107,MATCH(L1150,'Datos - Catálogo TIMSS'!$A$5:$A$107,0)),"No")="Sí",1,0)</f>
        <v>0</v>
      </c>
      <c r="AA1150" t="s" s="35">
        <v>1058</v>
      </c>
      <c r="AB1150" s="39"/>
      <c r="AC1150" t="str" s="39">
        <v>Sin marco</v>
      </c>
      <c r="AD1150" t="s" s="35">
        <v>1834</v>
      </c>
      <c r="AE1150" t="str" s="39" cm="1">
        <f t="array" ref="AE1150">IF(AD1150="","",IF(LEFT(AD1150,1)="1","C1",IF(LEFT(AD1150,1)="2","C2",IF(LEFT(AD1150,1)="3","C3",""))))</f>
        <v>C2</v>
      </c>
      <c r="AF1150" t="s" s="35">
        <v>1602</v>
      </c>
      <c r="AG1150" t="s" s="35">
        <v>1617</v>
      </c>
      <c r="AH1150" t="s" s="35">
        <v>1605</v>
      </c>
      <c r="AI1150" t="s" s="35">
        <v>1623</v>
      </c>
      <c r="AJ1150" t="s" s="35">
        <v>1621</v>
      </c>
      <c r="AK1150" s="39"/>
      <c r="AL1150" s="39"/>
      <c r="AM1150" s="39"/>
      <c r="AN1150" s="39"/>
      <c r="AO1150" s="39"/>
      <c r="AP1150" s="39"/>
      <c r="AQ1150" s="39"/>
      <c r="AR1150" s="39"/>
      <c r="AS1150" s="39"/>
      <c r="AT1150" s="39"/>
      <c r="AU1150" s="39"/>
      <c r="AV1150" s="39"/>
      <c r="AW1150" t="str" s="39" cm="1">
        <f t="array" ref="AW1150">AF1150&amp;"; "&amp;AG1150&amp;"; "&amp;AH1150&amp;"; "&amp;AI1150&amp;"; "&amp;AJ1150</f>
        <v>E1; D1; E2; D4; D3</v>
      </c>
    </row>
    <row r="1151" ht="13.65" customHeight="1">
      <c r="A1151" t="s" s="35">
        <v>7188</v>
      </c>
      <c r="B1151" s="36">
        <v>10</v>
      </c>
      <c r="C1151" t="s" s="35">
        <v>210</v>
      </c>
      <c r="D1151" t="s" s="35">
        <v>7000</v>
      </c>
      <c r="E1151" t="s" s="35">
        <v>7001</v>
      </c>
      <c r="F1151" s="36">
        <v>51</v>
      </c>
      <c r="G1151" t="s" s="35">
        <v>7175</v>
      </c>
      <c r="H1151" t="s" s="35">
        <v>7185</v>
      </c>
      <c r="I1151" t="s" s="120">
        <v>7189</v>
      </c>
      <c r="J1151" t="s" s="35">
        <v>6185</v>
      </c>
      <c r="K1151" t="s" s="35">
        <v>1058</v>
      </c>
      <c r="L1151" s="39"/>
      <c r="M1151" t="str" s="39">
        <v>Sin marco</v>
      </c>
      <c r="N1151" t="str" s="39">
        <v>Sin marco</v>
      </c>
      <c r="O1151" t="str" s="39" cm="1">
        <f t="array" ref="O1151">IF(L1151="","",_xlfn.IFERROR(INDEX('Datos - Catálogo TIMSS'!$C$5:$C$107,MATCH(L1151,'Datos - Catálogo TIMSS'!$A$5:$A$107,0)),"?"))</f>
      </c>
      <c r="P1151" t="s" s="35">
        <v>1058</v>
      </c>
      <c r="Q1151" t="s" s="120">
        <v>6186</v>
      </c>
      <c r="R1151" t="s" s="120">
        <v>7190</v>
      </c>
      <c r="S1151" s="121" cm="1">
        <f t="array" ref="S1151">_xlfn.IFERROR(ISNUMBER(SEARCH("Conocer",$R1151))/(ISNUMBER(SEARCH("Conocer",$R1151))+ISNUMBER(SEARCH("Aplicar",$R1151))+ISNUMBER(SEARCH("Razonar",$R1151))),0)</f>
        <v>0.5</v>
      </c>
      <c r="T1151" s="121" cm="1">
        <f t="array" ref="T1151">_xlfn.IFERROR(ISNUMBER(SEARCH("Aplicar",$R1151))/(ISNUMBER(SEARCH("Conocer",$R1151))+ISNUMBER(SEARCH("Aplicar",$R1151))+ISNUMBER(SEARCH("Razonar",$R1151))),0)</f>
        <v>0</v>
      </c>
      <c r="U1151" s="121" cm="1">
        <f t="array" ref="U1151">_xlfn.IFERROR(ISNUMBER(SEARCH("Razonar",$R1151))/(ISNUMBER(SEARCH("Conocer",$R1151))+ISNUMBER(SEARCH("Aplicar",$R1151))+ISNUMBER(SEARCH("Razonar",$R1151))),0)</f>
        <v>0.5</v>
      </c>
      <c r="V1151" t="s" s="35">
        <v>1408</v>
      </c>
      <c r="W1151" t="s" s="35">
        <v>7006</v>
      </c>
      <c r="X1151" s="36" cm="1">
        <f t="array" ref="X1151">IF(OR(_xlfn.IFERROR(INDEX('Datos - Catálogo TIMSS'!$I$5:$I$107,MATCH(K1151,'Datos - Catálogo TIMSS'!$A$5:$A$107,0)),"No")="Sí",_xlfn.IFERROR(INDEX('Datos - Catálogo TIMSS'!$I$5:$I$107,MATCH(L1151,'Datos - Catálogo TIMSS'!$A$5:$A$107,0)),"No")="Sí"),1,0)</f>
        <v>0</v>
      </c>
      <c r="Y1151" s="36" cm="1">
        <f t="array" ref="Y1151">IF(_xlfn.IFERROR(INDEX('Datos - Catálogo TIMSS'!$J$5:$J$107,MATCH(K1151,'Datos - Catálogo TIMSS'!$A$5:$A$107,0)),"No")="Sí",1,0)</f>
        <v>0</v>
      </c>
      <c r="Z1151" s="36" cm="1">
        <f t="array" ref="Z1151">IF(_xlfn.IFERROR(INDEX('Datos - Catálogo TIMSS'!$J$5:$J$107,MATCH(L1151,'Datos - Catálogo TIMSS'!$A$5:$A$107,0)),"No")="Sí",1,0)</f>
        <v>0</v>
      </c>
      <c r="AA1151" t="s" s="35">
        <v>1058</v>
      </c>
      <c r="AB1151" s="39"/>
      <c r="AC1151" t="str" s="39">
        <v>Sin marco</v>
      </c>
      <c r="AD1151" t="s" s="35">
        <v>1859</v>
      </c>
      <c r="AE1151" t="str" s="39" cm="1">
        <f t="array" ref="AE1151">IF(AD1151="","",IF(LEFT(AD1151,1)="1","C1",IF(LEFT(AD1151,1)="2","C2",IF(LEFT(AD1151,1)="3","C3",""))))</f>
        <v>C1</v>
      </c>
      <c r="AF1151" t="s" s="35">
        <v>1602</v>
      </c>
      <c r="AG1151" t="s" s="35">
        <v>1612</v>
      </c>
      <c r="AH1151" t="s" s="35">
        <v>1605</v>
      </c>
      <c r="AI1151" t="s" s="35">
        <v>1629</v>
      </c>
      <c r="AJ1151" t="s" s="35">
        <v>1607</v>
      </c>
      <c r="AK1151" s="39"/>
      <c r="AL1151" s="39"/>
      <c r="AM1151" s="39"/>
      <c r="AN1151" s="39"/>
      <c r="AO1151" s="39"/>
      <c r="AP1151" s="39"/>
      <c r="AQ1151" s="39"/>
      <c r="AR1151" s="39"/>
      <c r="AS1151" s="39"/>
      <c r="AT1151" s="39"/>
      <c r="AU1151" s="39"/>
      <c r="AV1151" s="39"/>
      <c r="AW1151" t="str" s="39" cm="1">
        <f t="array" ref="AW1151">AF1151&amp;"; "&amp;AG1151&amp;"; "&amp;AH1151&amp;"; "&amp;AI1151&amp;"; "&amp;AJ1151</f>
        <v>E1; E5; E2; I3; E3</v>
      </c>
    </row>
    <row r="1152" ht="13.65" customHeight="1">
      <c r="A1152" t="s" s="35">
        <v>7191</v>
      </c>
      <c r="B1152" s="36">
        <v>10</v>
      </c>
      <c r="C1152" t="s" s="35">
        <v>210</v>
      </c>
      <c r="D1152" t="s" s="35">
        <v>7000</v>
      </c>
      <c r="E1152" t="s" s="35">
        <v>7001</v>
      </c>
      <c r="F1152" s="36">
        <v>52</v>
      </c>
      <c r="G1152" t="s" s="35">
        <v>7175</v>
      </c>
      <c r="H1152" t="s" s="35">
        <v>7185</v>
      </c>
      <c r="I1152" t="s" s="120">
        <v>7192</v>
      </c>
      <c r="J1152" t="s" s="35">
        <v>6185</v>
      </c>
      <c r="K1152" t="s" s="35">
        <v>1058</v>
      </c>
      <c r="L1152" s="39"/>
      <c r="M1152" t="str" s="39">
        <v>Sin marco</v>
      </c>
      <c r="N1152" t="str" s="39">
        <v>Sin marco</v>
      </c>
      <c r="O1152" t="str" s="39" cm="1">
        <f t="array" ref="O1152">IF(L1152="","",_xlfn.IFERROR(INDEX('Datos - Catálogo TIMSS'!$C$5:$C$107,MATCH(L1152,'Datos - Catálogo TIMSS'!$A$5:$A$107,0)),"?"))</f>
      </c>
      <c r="P1152" t="s" s="35">
        <v>1058</v>
      </c>
      <c r="Q1152" t="s" s="120">
        <v>6186</v>
      </c>
      <c r="R1152" t="s" s="120">
        <v>7193</v>
      </c>
      <c r="S1152" s="121" cm="1">
        <f t="array" ref="S1152">_xlfn.IFERROR(ISNUMBER(SEARCH("Conocer",$R1152))/(ISNUMBER(SEARCH("Conocer",$R1152))+ISNUMBER(SEARCH("Aplicar",$R1152))+ISNUMBER(SEARCH("Razonar",$R1152))),0)</f>
        <v>0.5</v>
      </c>
      <c r="T1152" s="121" cm="1">
        <f t="array" ref="T1152">_xlfn.IFERROR(ISNUMBER(SEARCH("Aplicar",$R1152))/(ISNUMBER(SEARCH("Conocer",$R1152))+ISNUMBER(SEARCH("Aplicar",$R1152))+ISNUMBER(SEARCH("Razonar",$R1152))),0)</f>
        <v>0</v>
      </c>
      <c r="U1152" s="121" cm="1">
        <f t="array" ref="U1152">_xlfn.IFERROR(ISNUMBER(SEARCH("Razonar",$R1152))/(ISNUMBER(SEARCH("Conocer",$R1152))+ISNUMBER(SEARCH("Aplicar",$R1152))+ISNUMBER(SEARCH("Razonar",$R1152))),0)</f>
        <v>0.5</v>
      </c>
      <c r="V1152" t="s" s="35">
        <v>1408</v>
      </c>
      <c r="W1152" t="s" s="35">
        <v>7006</v>
      </c>
      <c r="X1152" s="36" cm="1">
        <f t="array" ref="X1152">IF(OR(_xlfn.IFERROR(INDEX('Datos - Catálogo TIMSS'!$I$5:$I$107,MATCH(K1152,'Datos - Catálogo TIMSS'!$A$5:$A$107,0)),"No")="Sí",_xlfn.IFERROR(INDEX('Datos - Catálogo TIMSS'!$I$5:$I$107,MATCH(L1152,'Datos - Catálogo TIMSS'!$A$5:$A$107,0)),"No")="Sí"),1,0)</f>
        <v>0</v>
      </c>
      <c r="Y1152" s="36" cm="1">
        <f t="array" ref="Y1152">IF(_xlfn.IFERROR(INDEX('Datos - Catálogo TIMSS'!$J$5:$J$107,MATCH(K1152,'Datos - Catálogo TIMSS'!$A$5:$A$107,0)),"No")="Sí",1,0)</f>
        <v>0</v>
      </c>
      <c r="Z1152" s="36" cm="1">
        <f t="array" ref="Z1152">IF(_xlfn.IFERROR(INDEX('Datos - Catálogo TIMSS'!$J$5:$J$107,MATCH(L1152,'Datos - Catálogo TIMSS'!$A$5:$A$107,0)),"No")="Sí",1,0)</f>
        <v>0</v>
      </c>
      <c r="AA1152" t="s" s="35">
        <v>1058</v>
      </c>
      <c r="AB1152" s="39"/>
      <c r="AC1152" t="str" s="39">
        <v>Sin marco</v>
      </c>
      <c r="AD1152" t="s" s="35">
        <v>1859</v>
      </c>
      <c r="AE1152" t="str" s="39" cm="1">
        <f t="array" ref="AE1152">IF(AD1152="","",IF(LEFT(AD1152,1)="1","C1",IF(LEFT(AD1152,1)="2","C2",IF(LEFT(AD1152,1)="3","C3",""))))</f>
        <v>C1</v>
      </c>
      <c r="AF1152" t="s" s="35">
        <v>1602</v>
      </c>
      <c r="AG1152" t="s" s="35">
        <v>1617</v>
      </c>
      <c r="AH1152" t="s" s="35">
        <v>1602</v>
      </c>
      <c r="AI1152" t="s" s="35">
        <v>1627</v>
      </c>
      <c r="AJ1152" t="s" s="35">
        <v>1631</v>
      </c>
      <c r="AK1152" s="39"/>
      <c r="AL1152" s="39"/>
      <c r="AM1152" s="39"/>
      <c r="AN1152" s="39"/>
      <c r="AO1152" s="39"/>
      <c r="AP1152" s="39"/>
      <c r="AQ1152" s="39"/>
      <c r="AR1152" s="39"/>
      <c r="AS1152" s="39"/>
      <c r="AT1152" s="39"/>
      <c r="AU1152" s="39"/>
      <c r="AV1152" s="39"/>
      <c r="AW1152" t="str" s="39" cm="1">
        <f t="array" ref="AW1152">AF1152&amp;"; "&amp;AG1152&amp;"; "&amp;AH1152&amp;"; "&amp;AI1152&amp;"; "&amp;AJ1152</f>
        <v>E1; D1; E1; I2; I4</v>
      </c>
    </row>
    <row r="1153" ht="13.65" customHeight="1">
      <c r="A1153" t="s" s="35">
        <v>7195</v>
      </c>
      <c r="B1153" s="36">
        <v>10</v>
      </c>
      <c r="C1153" t="s" s="35">
        <v>210</v>
      </c>
      <c r="D1153" t="s" s="35">
        <v>7000</v>
      </c>
      <c r="E1153" t="s" s="35">
        <v>7001</v>
      </c>
      <c r="F1153" s="36">
        <v>53</v>
      </c>
      <c r="G1153" t="s" s="35">
        <v>7175</v>
      </c>
      <c r="H1153" t="s" s="35">
        <v>7185</v>
      </c>
      <c r="I1153" t="s" s="120">
        <v>7196</v>
      </c>
      <c r="J1153" t="s" s="35">
        <v>6185</v>
      </c>
      <c r="K1153" t="s" s="35">
        <v>1058</v>
      </c>
      <c r="L1153" s="39"/>
      <c r="M1153" t="str" s="39">
        <v>Sin marco</v>
      </c>
      <c r="N1153" t="str" s="39">
        <v>Sin marco</v>
      </c>
      <c r="O1153" t="str" s="39" cm="1">
        <f t="array" ref="O1153">IF(L1153="","",_xlfn.IFERROR(INDEX('Datos - Catálogo TIMSS'!$C$5:$C$107,MATCH(L1153,'Datos - Catálogo TIMSS'!$A$5:$A$107,0)),"?"))</f>
      </c>
      <c r="P1153" t="s" s="35">
        <v>1058</v>
      </c>
      <c r="Q1153" t="s" s="120">
        <v>6186</v>
      </c>
      <c r="R1153" t="s" s="120">
        <v>7197</v>
      </c>
      <c r="S1153" s="121" cm="1">
        <f t="array" ref="S1153">_xlfn.IFERROR(ISNUMBER(SEARCH("Conocer",$R1153))/(ISNUMBER(SEARCH("Conocer",$R1153))+ISNUMBER(SEARCH("Aplicar",$R1153))+ISNUMBER(SEARCH("Razonar",$R1153))),0)</f>
        <v>0</v>
      </c>
      <c r="T1153" s="121" cm="1">
        <f t="array" ref="T1153">_xlfn.IFERROR(ISNUMBER(SEARCH("Aplicar",$R1153))/(ISNUMBER(SEARCH("Conocer",$R1153))+ISNUMBER(SEARCH("Aplicar",$R1153))+ISNUMBER(SEARCH("Razonar",$R1153))),0)</f>
        <v>0.5</v>
      </c>
      <c r="U1153" s="121" cm="1">
        <f t="array" ref="U1153">_xlfn.IFERROR(ISNUMBER(SEARCH("Razonar",$R1153))/(ISNUMBER(SEARCH("Conocer",$R1153))+ISNUMBER(SEARCH("Aplicar",$R1153))+ISNUMBER(SEARCH("Razonar",$R1153))),0)</f>
        <v>0.5</v>
      </c>
      <c r="V1153" t="s" s="35">
        <v>1408</v>
      </c>
      <c r="W1153" t="s" s="35">
        <v>7006</v>
      </c>
      <c r="X1153" s="36" cm="1">
        <f t="array" ref="X1153">IF(OR(_xlfn.IFERROR(INDEX('Datos - Catálogo TIMSS'!$I$5:$I$107,MATCH(K1153,'Datos - Catálogo TIMSS'!$A$5:$A$107,0)),"No")="Sí",_xlfn.IFERROR(INDEX('Datos - Catálogo TIMSS'!$I$5:$I$107,MATCH(L1153,'Datos - Catálogo TIMSS'!$A$5:$A$107,0)),"No")="Sí"),1,0)</f>
        <v>0</v>
      </c>
      <c r="Y1153" s="36" cm="1">
        <f t="array" ref="Y1153">IF(_xlfn.IFERROR(INDEX('Datos - Catálogo TIMSS'!$J$5:$J$107,MATCH(K1153,'Datos - Catálogo TIMSS'!$A$5:$A$107,0)),"No")="Sí",1,0)</f>
        <v>0</v>
      </c>
      <c r="Z1153" s="36" cm="1">
        <f t="array" ref="Z1153">IF(_xlfn.IFERROR(INDEX('Datos - Catálogo TIMSS'!$J$5:$J$107,MATCH(L1153,'Datos - Catálogo TIMSS'!$A$5:$A$107,0)),"No")="Sí",1,0)</f>
        <v>0</v>
      </c>
      <c r="AA1153" t="s" s="35">
        <v>1058</v>
      </c>
      <c r="AB1153" s="39"/>
      <c r="AC1153" t="str" s="39">
        <v>Sin marco</v>
      </c>
      <c r="AD1153" t="s" s="35">
        <v>1859</v>
      </c>
      <c r="AE1153" t="str" s="39" cm="1">
        <f t="array" ref="AE1153">IF(AD1153="","",IF(LEFT(AD1153,1)="1","C1",IF(LEFT(AD1153,1)="2","C2",IF(LEFT(AD1153,1)="3","C3",""))))</f>
        <v>C1</v>
      </c>
      <c r="AF1153" t="s" s="35">
        <v>1615</v>
      </c>
      <c r="AG1153" t="s" s="35">
        <v>1607</v>
      </c>
      <c r="AH1153" t="s" s="35">
        <v>1605</v>
      </c>
      <c r="AI1153" t="s" s="35">
        <v>1623</v>
      </c>
      <c r="AJ1153" t="s" s="35">
        <v>1615</v>
      </c>
      <c r="AK1153" s="39"/>
      <c r="AL1153" s="39"/>
      <c r="AM1153" s="39"/>
      <c r="AN1153" s="39"/>
      <c r="AO1153" s="39"/>
      <c r="AP1153" s="39"/>
      <c r="AQ1153" s="39"/>
      <c r="AR1153" s="39"/>
      <c r="AS1153" s="39"/>
      <c r="AT1153" s="39"/>
      <c r="AU1153" s="39"/>
      <c r="AV1153" s="39"/>
      <c r="AW1153" t="str" s="39" cm="1">
        <f t="array" ref="AW1153">AF1153&amp;"; "&amp;AG1153&amp;"; "&amp;AH1153&amp;"; "&amp;AI1153&amp;"; "&amp;AJ1153</f>
        <v>E6; E3; E2; D4; E6</v>
      </c>
    </row>
    <row r="1154" ht="13.65" customHeight="1">
      <c r="A1154" t="s" s="35">
        <v>7198</v>
      </c>
      <c r="B1154" s="36">
        <v>10</v>
      </c>
      <c r="C1154" t="s" s="35">
        <v>210</v>
      </c>
      <c r="D1154" t="s" s="35">
        <v>7000</v>
      </c>
      <c r="E1154" t="s" s="35">
        <v>7001</v>
      </c>
      <c r="F1154" s="36">
        <v>54</v>
      </c>
      <c r="G1154" t="s" s="35">
        <v>7175</v>
      </c>
      <c r="H1154" t="s" s="35">
        <v>7185</v>
      </c>
      <c r="I1154" t="s" s="120">
        <v>7199</v>
      </c>
      <c r="J1154" t="s" s="35">
        <v>6185</v>
      </c>
      <c r="K1154" t="s" s="35">
        <v>1058</v>
      </c>
      <c r="L1154" s="39"/>
      <c r="M1154" t="str" s="39">
        <v>Sin marco</v>
      </c>
      <c r="N1154" t="str" s="39">
        <v>Sin marco</v>
      </c>
      <c r="O1154" t="str" s="39" cm="1">
        <f t="array" ref="O1154">IF(L1154="","",_xlfn.IFERROR(INDEX('Datos - Catálogo TIMSS'!$C$5:$C$107,MATCH(L1154,'Datos - Catálogo TIMSS'!$A$5:$A$107,0)),"?"))</f>
      </c>
      <c r="P1154" t="s" s="35">
        <v>1058</v>
      </c>
      <c r="Q1154" t="s" s="120">
        <v>6186</v>
      </c>
      <c r="R1154" t="s" s="120">
        <v>7200</v>
      </c>
      <c r="S1154" s="121" cm="1">
        <f t="array" ref="S1154">_xlfn.IFERROR(ISNUMBER(SEARCH("Conocer",$R1154))/(ISNUMBER(SEARCH("Conocer",$R1154))+ISNUMBER(SEARCH("Aplicar",$R1154))+ISNUMBER(SEARCH("Razonar",$R1154))),0)</f>
        <v>0</v>
      </c>
      <c r="T1154" s="121" cm="1">
        <f t="array" ref="T1154">_xlfn.IFERROR(ISNUMBER(SEARCH("Aplicar",$R1154))/(ISNUMBER(SEARCH("Conocer",$R1154))+ISNUMBER(SEARCH("Aplicar",$R1154))+ISNUMBER(SEARCH("Razonar",$R1154))),0)</f>
        <v>0.5</v>
      </c>
      <c r="U1154" s="121" cm="1">
        <f t="array" ref="U1154">_xlfn.IFERROR(ISNUMBER(SEARCH("Razonar",$R1154))/(ISNUMBER(SEARCH("Conocer",$R1154))+ISNUMBER(SEARCH("Aplicar",$R1154))+ISNUMBER(SEARCH("Razonar",$R1154))),0)</f>
        <v>0.5</v>
      </c>
      <c r="V1154" t="s" s="35">
        <v>1408</v>
      </c>
      <c r="W1154" t="s" s="35">
        <v>7006</v>
      </c>
      <c r="X1154" s="36" cm="1">
        <f t="array" ref="X1154">IF(OR(_xlfn.IFERROR(INDEX('Datos - Catálogo TIMSS'!$I$5:$I$107,MATCH(K1154,'Datos - Catálogo TIMSS'!$A$5:$A$107,0)),"No")="Sí",_xlfn.IFERROR(INDEX('Datos - Catálogo TIMSS'!$I$5:$I$107,MATCH(L1154,'Datos - Catálogo TIMSS'!$A$5:$A$107,0)),"No")="Sí"),1,0)</f>
        <v>0</v>
      </c>
      <c r="Y1154" s="36" cm="1">
        <f t="array" ref="Y1154">IF(_xlfn.IFERROR(INDEX('Datos - Catálogo TIMSS'!$J$5:$J$107,MATCH(K1154,'Datos - Catálogo TIMSS'!$A$5:$A$107,0)),"No")="Sí",1,0)</f>
        <v>0</v>
      </c>
      <c r="Z1154" s="36" cm="1">
        <f t="array" ref="Z1154">IF(_xlfn.IFERROR(INDEX('Datos - Catálogo TIMSS'!$J$5:$J$107,MATCH(L1154,'Datos - Catálogo TIMSS'!$A$5:$A$107,0)),"No")="Sí",1,0)</f>
        <v>0</v>
      </c>
      <c r="AA1154" t="s" s="35">
        <v>1058</v>
      </c>
      <c r="AB1154" s="39"/>
      <c r="AC1154" t="str" s="39">
        <v>Sin marco</v>
      </c>
      <c r="AD1154" t="s" s="35">
        <v>1834</v>
      </c>
      <c r="AE1154" t="str" s="39" cm="1">
        <f t="array" ref="AE1154">IF(AD1154="","",IF(LEFT(AD1154,1)="1","C1",IF(LEFT(AD1154,1)="2","C2",IF(LEFT(AD1154,1)="3","C3",""))))</f>
        <v>C2</v>
      </c>
      <c r="AF1154" t="s" s="35">
        <v>1602</v>
      </c>
      <c r="AG1154" t="s" s="35">
        <v>1617</v>
      </c>
      <c r="AH1154" t="s" s="35">
        <v>1609</v>
      </c>
      <c r="AI1154" t="s" s="35">
        <v>1623</v>
      </c>
      <c r="AJ1154" t="s" s="35">
        <v>1607</v>
      </c>
      <c r="AK1154" s="39"/>
      <c r="AL1154" s="39"/>
      <c r="AM1154" s="39"/>
      <c r="AN1154" s="39"/>
      <c r="AO1154" s="39"/>
      <c r="AP1154" s="39"/>
      <c r="AQ1154" s="39"/>
      <c r="AR1154" s="39"/>
      <c r="AS1154" s="39"/>
      <c r="AT1154" s="39"/>
      <c r="AU1154" s="39"/>
      <c r="AV1154" s="39"/>
      <c r="AW1154" t="str" s="39" cm="1">
        <f t="array" ref="AW1154">AF1154&amp;"; "&amp;AG1154&amp;"; "&amp;AH1154&amp;"; "&amp;AI1154&amp;"; "&amp;AJ1154</f>
        <v>E1; D1; E4; D4; E3</v>
      </c>
    </row>
    <row r="1155" ht="13.65" customHeight="1">
      <c r="A1155" t="s" s="35">
        <v>7201</v>
      </c>
      <c r="B1155" s="36">
        <v>10</v>
      </c>
      <c r="C1155" t="s" s="35">
        <v>210</v>
      </c>
      <c r="D1155" t="s" s="35">
        <v>7000</v>
      </c>
      <c r="E1155" t="s" s="35">
        <v>7001</v>
      </c>
      <c r="F1155" s="36">
        <v>55</v>
      </c>
      <c r="G1155" t="s" s="35">
        <v>7175</v>
      </c>
      <c r="H1155" t="s" s="35">
        <v>7202</v>
      </c>
      <c r="I1155" t="s" s="120">
        <v>7203</v>
      </c>
      <c r="J1155" t="s" s="35">
        <v>6185</v>
      </c>
      <c r="K1155" t="s" s="35">
        <v>1058</v>
      </c>
      <c r="L1155" s="39"/>
      <c r="M1155" t="str" s="39">
        <v>Sin marco</v>
      </c>
      <c r="N1155" t="str" s="39">
        <v>Sin marco</v>
      </c>
      <c r="O1155" t="str" s="39" cm="1">
        <f t="array" ref="O1155">IF(L1155="","",_xlfn.IFERROR(INDEX('Datos - Catálogo TIMSS'!$C$5:$C$107,MATCH(L1155,'Datos - Catálogo TIMSS'!$A$5:$A$107,0)),"?"))</f>
      </c>
      <c r="P1155" t="s" s="35">
        <v>1058</v>
      </c>
      <c r="Q1155" t="s" s="120">
        <v>6186</v>
      </c>
      <c r="R1155" t="s" s="120">
        <v>7204</v>
      </c>
      <c r="S1155" s="121" cm="1">
        <f t="array" ref="S1155">_xlfn.IFERROR(ISNUMBER(SEARCH("Conocer",$R1155))/(ISNUMBER(SEARCH("Conocer",$R1155))+ISNUMBER(SEARCH("Aplicar",$R1155))+ISNUMBER(SEARCH("Razonar",$R1155))),0)</f>
        <v>0.5</v>
      </c>
      <c r="T1155" s="121" cm="1">
        <f t="array" ref="T1155">_xlfn.IFERROR(ISNUMBER(SEARCH("Aplicar",$R1155))/(ISNUMBER(SEARCH("Conocer",$R1155))+ISNUMBER(SEARCH("Aplicar",$R1155))+ISNUMBER(SEARCH("Razonar",$R1155))),0)</f>
        <v>0</v>
      </c>
      <c r="U1155" s="121" cm="1">
        <f t="array" ref="U1155">_xlfn.IFERROR(ISNUMBER(SEARCH("Razonar",$R1155))/(ISNUMBER(SEARCH("Conocer",$R1155))+ISNUMBER(SEARCH("Aplicar",$R1155))+ISNUMBER(SEARCH("Razonar",$R1155))),0)</f>
        <v>0.5</v>
      </c>
      <c r="V1155" t="s" s="35">
        <v>1408</v>
      </c>
      <c r="W1155" t="s" s="35">
        <v>7006</v>
      </c>
      <c r="X1155" s="36" cm="1">
        <f t="array" ref="X1155">IF(OR(_xlfn.IFERROR(INDEX('Datos - Catálogo TIMSS'!$I$5:$I$107,MATCH(K1155,'Datos - Catálogo TIMSS'!$A$5:$A$107,0)),"No")="Sí",_xlfn.IFERROR(INDEX('Datos - Catálogo TIMSS'!$I$5:$I$107,MATCH(L1155,'Datos - Catálogo TIMSS'!$A$5:$A$107,0)),"No")="Sí"),1,0)</f>
        <v>0</v>
      </c>
      <c r="Y1155" s="36" cm="1">
        <f t="array" ref="Y1155">IF(_xlfn.IFERROR(INDEX('Datos - Catálogo TIMSS'!$J$5:$J$107,MATCH(K1155,'Datos - Catálogo TIMSS'!$A$5:$A$107,0)),"No")="Sí",1,0)</f>
        <v>0</v>
      </c>
      <c r="Z1155" s="36" cm="1">
        <f t="array" ref="Z1155">IF(_xlfn.IFERROR(INDEX('Datos - Catálogo TIMSS'!$J$5:$J$107,MATCH(L1155,'Datos - Catálogo TIMSS'!$A$5:$A$107,0)),"No")="Sí",1,0)</f>
        <v>0</v>
      </c>
      <c r="AA1155" t="s" s="35">
        <v>1058</v>
      </c>
      <c r="AB1155" s="39"/>
      <c r="AC1155" t="str" s="39">
        <v>Sin marco</v>
      </c>
      <c r="AD1155" t="s" s="35">
        <v>1859</v>
      </c>
      <c r="AE1155" t="str" s="39" cm="1">
        <f t="array" ref="AE1155">IF(AD1155="","",IF(LEFT(AD1155,1)="1","C1",IF(LEFT(AD1155,1)="2","C2",IF(LEFT(AD1155,1)="3","C3",""))))</f>
        <v>C1</v>
      </c>
      <c r="AF1155" t="s" s="35">
        <v>1602</v>
      </c>
      <c r="AG1155" t="s" s="35">
        <v>1612</v>
      </c>
      <c r="AH1155" t="s" s="35">
        <v>1609</v>
      </c>
      <c r="AI1155" t="s" s="35">
        <v>1629</v>
      </c>
      <c r="AJ1155" t="s" s="35">
        <v>1631</v>
      </c>
      <c r="AK1155" s="39"/>
      <c r="AL1155" s="39"/>
      <c r="AM1155" s="39"/>
      <c r="AN1155" s="39"/>
      <c r="AO1155" s="39"/>
      <c r="AP1155" s="39"/>
      <c r="AQ1155" s="39"/>
      <c r="AR1155" s="39"/>
      <c r="AS1155" s="39"/>
      <c r="AT1155" s="39"/>
      <c r="AU1155" s="39"/>
      <c r="AV1155" s="39"/>
      <c r="AW1155" t="str" s="39" cm="1">
        <f t="array" ref="AW1155">AF1155&amp;"; "&amp;AG1155&amp;"; "&amp;AH1155&amp;"; "&amp;AI1155&amp;"; "&amp;AJ1155</f>
        <v>E1; E5; E4; I3; I4</v>
      </c>
    </row>
    <row r="1156" ht="13.65" customHeight="1">
      <c r="A1156" t="s" s="35">
        <v>7205</v>
      </c>
      <c r="B1156" s="36">
        <v>10</v>
      </c>
      <c r="C1156" t="s" s="35">
        <v>210</v>
      </c>
      <c r="D1156" t="s" s="35">
        <v>7000</v>
      </c>
      <c r="E1156" t="s" s="35">
        <v>7001</v>
      </c>
      <c r="F1156" s="36">
        <v>56</v>
      </c>
      <c r="G1156" t="s" s="35">
        <v>7206</v>
      </c>
      <c r="H1156" t="s" s="35">
        <v>7207</v>
      </c>
      <c r="I1156" t="s" s="120">
        <v>7208</v>
      </c>
      <c r="J1156" t="s" s="35">
        <v>6185</v>
      </c>
      <c r="K1156" t="s" s="35">
        <v>1058</v>
      </c>
      <c r="L1156" s="39"/>
      <c r="M1156" t="str" s="39">
        <v>Sin marco</v>
      </c>
      <c r="N1156" t="str" s="39">
        <v>Sin marco</v>
      </c>
      <c r="O1156" t="str" s="39" cm="1">
        <f t="array" ref="O1156">IF(L1156="","",_xlfn.IFERROR(INDEX('Datos - Catálogo TIMSS'!$C$5:$C$107,MATCH(L1156,'Datos - Catálogo TIMSS'!$A$5:$A$107,0)),"?"))</f>
      </c>
      <c r="P1156" t="s" s="35">
        <v>1058</v>
      </c>
      <c r="Q1156" t="s" s="120">
        <v>6186</v>
      </c>
      <c r="R1156" t="s" s="120">
        <v>7209</v>
      </c>
      <c r="S1156" s="121" cm="1">
        <f t="array" ref="S1156">_xlfn.IFERROR(ISNUMBER(SEARCH("Conocer",$R1156))/(ISNUMBER(SEARCH("Conocer",$R1156))+ISNUMBER(SEARCH("Aplicar",$R1156))+ISNUMBER(SEARCH("Razonar",$R1156))),0)</f>
        <v>0</v>
      </c>
      <c r="T1156" s="121" cm="1">
        <f t="array" ref="T1156">_xlfn.IFERROR(ISNUMBER(SEARCH("Aplicar",$R1156))/(ISNUMBER(SEARCH("Conocer",$R1156))+ISNUMBER(SEARCH("Aplicar",$R1156))+ISNUMBER(SEARCH("Razonar",$R1156))),0)</f>
        <v>0.5</v>
      </c>
      <c r="U1156" s="121" cm="1">
        <f t="array" ref="U1156">_xlfn.IFERROR(ISNUMBER(SEARCH("Razonar",$R1156))/(ISNUMBER(SEARCH("Conocer",$R1156))+ISNUMBER(SEARCH("Aplicar",$R1156))+ISNUMBER(SEARCH("Razonar",$R1156))),0)</f>
        <v>0.5</v>
      </c>
      <c r="V1156" t="s" s="35">
        <v>1408</v>
      </c>
      <c r="W1156" t="s" s="35">
        <v>7006</v>
      </c>
      <c r="X1156" s="36" cm="1">
        <f t="array" ref="X1156">IF(OR(_xlfn.IFERROR(INDEX('Datos - Catálogo TIMSS'!$I$5:$I$107,MATCH(K1156,'Datos - Catálogo TIMSS'!$A$5:$A$107,0)),"No")="Sí",_xlfn.IFERROR(INDEX('Datos - Catálogo TIMSS'!$I$5:$I$107,MATCH(L1156,'Datos - Catálogo TIMSS'!$A$5:$A$107,0)),"No")="Sí"),1,0)</f>
        <v>0</v>
      </c>
      <c r="Y1156" s="36" cm="1">
        <f t="array" ref="Y1156">IF(_xlfn.IFERROR(INDEX('Datos - Catálogo TIMSS'!$J$5:$J$107,MATCH(K1156,'Datos - Catálogo TIMSS'!$A$5:$A$107,0)),"No")="Sí",1,0)</f>
        <v>0</v>
      </c>
      <c r="Z1156" s="36" cm="1">
        <f t="array" ref="Z1156">IF(_xlfn.IFERROR(INDEX('Datos - Catálogo TIMSS'!$J$5:$J$107,MATCH(L1156,'Datos - Catálogo TIMSS'!$A$5:$A$107,0)),"No")="Sí",1,0)</f>
        <v>0</v>
      </c>
      <c r="AA1156" t="s" s="35">
        <v>1058</v>
      </c>
      <c r="AB1156" s="39"/>
      <c r="AC1156" t="str" s="39">
        <v>Sin marco</v>
      </c>
      <c r="AD1156" t="s" s="35">
        <v>1859</v>
      </c>
      <c r="AE1156" t="str" s="39" cm="1">
        <f t="array" ref="AE1156">IF(AD1156="","",IF(LEFT(AD1156,1)="1","C1",IF(LEFT(AD1156,1)="2","C2",IF(LEFT(AD1156,1)="3","C3",""))))</f>
        <v>C1</v>
      </c>
      <c r="AF1156" t="s" s="35">
        <v>1602</v>
      </c>
      <c r="AG1156" t="s" s="35">
        <v>1617</v>
      </c>
      <c r="AH1156" t="s" s="35">
        <v>1605</v>
      </c>
      <c r="AI1156" t="s" s="35">
        <v>1623</v>
      </c>
      <c r="AJ1156" t="s" s="35">
        <v>1607</v>
      </c>
      <c r="AK1156" s="39"/>
      <c r="AL1156" s="39"/>
      <c r="AM1156" s="39"/>
      <c r="AN1156" s="39"/>
      <c r="AO1156" s="39"/>
      <c r="AP1156" s="39"/>
      <c r="AQ1156" s="39"/>
      <c r="AR1156" s="39"/>
      <c r="AS1156" s="39"/>
      <c r="AT1156" s="39"/>
      <c r="AU1156" s="39"/>
      <c r="AV1156" s="39"/>
      <c r="AW1156" t="str" s="39" cm="1">
        <f t="array" ref="AW1156">AF1156&amp;"; "&amp;AG1156&amp;"; "&amp;AH1156&amp;"; "&amp;AI1156&amp;"; "&amp;AJ1156</f>
        <v>E1; D1; E2; D4; E3</v>
      </c>
    </row>
    <row r="1157" ht="13.65" customHeight="1">
      <c r="A1157" t="s" s="35">
        <v>7210</v>
      </c>
      <c r="B1157" s="36">
        <v>10</v>
      </c>
      <c r="C1157" t="s" s="35">
        <v>210</v>
      </c>
      <c r="D1157" t="s" s="35">
        <v>7000</v>
      </c>
      <c r="E1157" t="s" s="35">
        <v>7001</v>
      </c>
      <c r="F1157" s="36">
        <v>57</v>
      </c>
      <c r="G1157" t="s" s="35">
        <v>7206</v>
      </c>
      <c r="H1157" t="s" s="35">
        <v>7211</v>
      </c>
      <c r="I1157" t="s" s="120">
        <v>7212</v>
      </c>
      <c r="J1157" t="s" s="35">
        <v>6185</v>
      </c>
      <c r="K1157" t="s" s="35">
        <v>1058</v>
      </c>
      <c r="L1157" s="39"/>
      <c r="M1157" t="str" s="39">
        <v>Sin marco</v>
      </c>
      <c r="N1157" t="str" s="39">
        <v>Sin marco</v>
      </c>
      <c r="O1157" t="str" s="39" cm="1">
        <f t="array" ref="O1157">IF(L1157="","",_xlfn.IFERROR(INDEX('Datos - Catálogo TIMSS'!$C$5:$C$107,MATCH(L1157,'Datos - Catálogo TIMSS'!$A$5:$A$107,0)),"?"))</f>
      </c>
      <c r="P1157" t="s" s="35">
        <v>1058</v>
      </c>
      <c r="Q1157" t="s" s="120">
        <v>6186</v>
      </c>
      <c r="R1157" t="s" s="120">
        <v>7213</v>
      </c>
      <c r="S1157" s="121" cm="1">
        <f t="array" ref="S1157">_xlfn.IFERROR(ISNUMBER(SEARCH("Conocer",$R1157))/(ISNUMBER(SEARCH("Conocer",$R1157))+ISNUMBER(SEARCH("Aplicar",$R1157))+ISNUMBER(SEARCH("Razonar",$R1157))),0)</f>
        <v>0</v>
      </c>
      <c r="T1157" s="121" cm="1">
        <f t="array" ref="T1157">_xlfn.IFERROR(ISNUMBER(SEARCH("Aplicar",$R1157))/(ISNUMBER(SEARCH("Conocer",$R1157))+ISNUMBER(SEARCH("Aplicar",$R1157))+ISNUMBER(SEARCH("Razonar",$R1157))),0)</f>
        <v>0.5</v>
      </c>
      <c r="U1157" s="121" cm="1">
        <f t="array" ref="U1157">_xlfn.IFERROR(ISNUMBER(SEARCH("Razonar",$R1157))/(ISNUMBER(SEARCH("Conocer",$R1157))+ISNUMBER(SEARCH("Aplicar",$R1157))+ISNUMBER(SEARCH("Razonar",$R1157))),0)</f>
        <v>0.5</v>
      </c>
      <c r="V1157" t="s" s="35">
        <v>1408</v>
      </c>
      <c r="W1157" t="s" s="35">
        <v>7006</v>
      </c>
      <c r="X1157" s="36" cm="1">
        <f t="array" ref="X1157">IF(OR(_xlfn.IFERROR(INDEX('Datos - Catálogo TIMSS'!$I$5:$I$107,MATCH(K1157,'Datos - Catálogo TIMSS'!$A$5:$A$107,0)),"No")="Sí",_xlfn.IFERROR(INDEX('Datos - Catálogo TIMSS'!$I$5:$I$107,MATCH(L1157,'Datos - Catálogo TIMSS'!$A$5:$A$107,0)),"No")="Sí"),1,0)</f>
        <v>0</v>
      </c>
      <c r="Y1157" s="36" cm="1">
        <f t="array" ref="Y1157">IF(_xlfn.IFERROR(INDEX('Datos - Catálogo TIMSS'!$J$5:$J$107,MATCH(K1157,'Datos - Catálogo TIMSS'!$A$5:$A$107,0)),"No")="Sí",1,0)</f>
        <v>0</v>
      </c>
      <c r="Z1157" s="36" cm="1">
        <f t="array" ref="Z1157">IF(_xlfn.IFERROR(INDEX('Datos - Catálogo TIMSS'!$J$5:$J$107,MATCH(L1157,'Datos - Catálogo TIMSS'!$A$5:$A$107,0)),"No")="Sí",1,0)</f>
        <v>0</v>
      </c>
      <c r="AA1157" t="s" s="35">
        <v>1058</v>
      </c>
      <c r="AB1157" s="39"/>
      <c r="AC1157" t="str" s="39">
        <v>Sin marco</v>
      </c>
      <c r="AD1157" t="s" s="35">
        <v>1834</v>
      </c>
      <c r="AE1157" t="str" s="39" cm="1">
        <f t="array" ref="AE1157">IF(AD1157="","",IF(LEFT(AD1157,1)="1","C1",IF(LEFT(AD1157,1)="2","C2",IF(LEFT(AD1157,1)="3","C3",""))))</f>
        <v>C2</v>
      </c>
      <c r="AF1157" t="s" s="35">
        <v>1602</v>
      </c>
      <c r="AG1157" t="s" s="35">
        <v>1617</v>
      </c>
      <c r="AH1157" t="s" s="35">
        <v>1602</v>
      </c>
      <c r="AI1157" t="s" s="35">
        <v>1619</v>
      </c>
      <c r="AJ1157" t="s" s="35">
        <v>1621</v>
      </c>
      <c r="AK1157" s="39"/>
      <c r="AL1157" s="39"/>
      <c r="AM1157" s="39"/>
      <c r="AN1157" s="39"/>
      <c r="AO1157" s="39"/>
      <c r="AP1157" s="39"/>
      <c r="AQ1157" s="39"/>
      <c r="AR1157" s="39"/>
      <c r="AS1157" s="39"/>
      <c r="AT1157" s="39"/>
      <c r="AU1157" s="39"/>
      <c r="AV1157" s="39"/>
      <c r="AW1157" t="str" s="39" cm="1">
        <f t="array" ref="AW1157">AF1157&amp;"; "&amp;AG1157&amp;"; "&amp;AH1157&amp;"; "&amp;AI1157&amp;"; "&amp;AJ1157</f>
        <v>E1; D1; E1; D2; D3</v>
      </c>
    </row>
    <row r="1158" ht="13.65" customHeight="1">
      <c r="A1158" t="s" s="35">
        <v>7214</v>
      </c>
      <c r="B1158" s="36">
        <v>10</v>
      </c>
      <c r="C1158" t="s" s="35">
        <v>210</v>
      </c>
      <c r="D1158" t="s" s="35">
        <v>7000</v>
      </c>
      <c r="E1158" t="s" s="35">
        <v>7001</v>
      </c>
      <c r="F1158" s="36">
        <v>58</v>
      </c>
      <c r="G1158" t="s" s="35">
        <v>7206</v>
      </c>
      <c r="H1158" t="s" s="35">
        <v>7211</v>
      </c>
      <c r="I1158" t="s" s="120">
        <v>7215</v>
      </c>
      <c r="J1158" t="s" s="35">
        <v>6185</v>
      </c>
      <c r="K1158" t="s" s="35">
        <v>1058</v>
      </c>
      <c r="L1158" s="39"/>
      <c r="M1158" t="str" s="39">
        <v>Sin marco</v>
      </c>
      <c r="N1158" t="str" s="39">
        <v>Sin marco</v>
      </c>
      <c r="O1158" t="str" s="39" cm="1">
        <f t="array" ref="O1158">IF(L1158="","",_xlfn.IFERROR(INDEX('Datos - Catálogo TIMSS'!$C$5:$C$107,MATCH(L1158,'Datos - Catálogo TIMSS'!$A$5:$A$107,0)),"?"))</f>
      </c>
      <c r="P1158" t="s" s="35">
        <v>1058</v>
      </c>
      <c r="Q1158" t="s" s="120">
        <v>6186</v>
      </c>
      <c r="R1158" t="s" s="120">
        <v>7216</v>
      </c>
      <c r="S1158" s="121" cm="1">
        <f t="array" ref="S1158">_xlfn.IFERROR(ISNUMBER(SEARCH("Conocer",$R1158))/(ISNUMBER(SEARCH("Conocer",$R1158))+ISNUMBER(SEARCH("Aplicar",$R1158))+ISNUMBER(SEARCH("Razonar",$R1158))),0)</f>
        <v>0</v>
      </c>
      <c r="T1158" s="121" cm="1">
        <f t="array" ref="T1158">_xlfn.IFERROR(ISNUMBER(SEARCH("Aplicar",$R1158))/(ISNUMBER(SEARCH("Conocer",$R1158))+ISNUMBER(SEARCH("Aplicar",$R1158))+ISNUMBER(SEARCH("Razonar",$R1158))),0)</f>
        <v>0.5</v>
      </c>
      <c r="U1158" s="121" cm="1">
        <f t="array" ref="U1158">_xlfn.IFERROR(ISNUMBER(SEARCH("Razonar",$R1158))/(ISNUMBER(SEARCH("Conocer",$R1158))+ISNUMBER(SEARCH("Aplicar",$R1158))+ISNUMBER(SEARCH("Razonar",$R1158))),0)</f>
        <v>0.5</v>
      </c>
      <c r="V1158" t="s" s="35">
        <v>1408</v>
      </c>
      <c r="W1158" t="s" s="35">
        <v>7006</v>
      </c>
      <c r="X1158" s="36" cm="1">
        <f t="array" ref="X1158">IF(OR(_xlfn.IFERROR(INDEX('Datos - Catálogo TIMSS'!$I$5:$I$107,MATCH(K1158,'Datos - Catálogo TIMSS'!$A$5:$A$107,0)),"No")="Sí",_xlfn.IFERROR(INDEX('Datos - Catálogo TIMSS'!$I$5:$I$107,MATCH(L1158,'Datos - Catálogo TIMSS'!$A$5:$A$107,0)),"No")="Sí"),1,0)</f>
        <v>0</v>
      </c>
      <c r="Y1158" s="36" cm="1">
        <f t="array" ref="Y1158">IF(_xlfn.IFERROR(INDEX('Datos - Catálogo TIMSS'!$J$5:$J$107,MATCH(K1158,'Datos - Catálogo TIMSS'!$A$5:$A$107,0)),"No")="Sí",1,0)</f>
        <v>0</v>
      </c>
      <c r="Z1158" s="36" cm="1">
        <f t="array" ref="Z1158">IF(_xlfn.IFERROR(INDEX('Datos - Catálogo TIMSS'!$J$5:$J$107,MATCH(L1158,'Datos - Catálogo TIMSS'!$A$5:$A$107,0)),"No")="Sí",1,0)</f>
        <v>0</v>
      </c>
      <c r="AA1158" t="s" s="35">
        <v>1058</v>
      </c>
      <c r="AB1158" s="39"/>
      <c r="AC1158" t="str" s="39">
        <v>Sin marco</v>
      </c>
      <c r="AD1158" t="s" s="35">
        <v>1859</v>
      </c>
      <c r="AE1158" t="str" s="39" cm="1">
        <f t="array" ref="AE1158">IF(AD1158="","",IF(LEFT(AD1158,1)="1","C1",IF(LEFT(AD1158,1)="2","C2",IF(LEFT(AD1158,1)="3","C3",""))))</f>
        <v>C1</v>
      </c>
      <c r="AF1158" t="s" s="35">
        <v>1602</v>
      </c>
      <c r="AG1158" t="s" s="35">
        <v>1607</v>
      </c>
      <c r="AH1158" t="s" s="35">
        <v>1605</v>
      </c>
      <c r="AI1158" t="s" s="35">
        <v>1623</v>
      </c>
      <c r="AJ1158" t="s" s="35">
        <v>1615</v>
      </c>
      <c r="AK1158" s="39"/>
      <c r="AL1158" s="39"/>
      <c r="AM1158" s="39"/>
      <c r="AN1158" s="39"/>
      <c r="AO1158" s="39"/>
      <c r="AP1158" s="39"/>
      <c r="AQ1158" s="39"/>
      <c r="AR1158" s="39"/>
      <c r="AS1158" s="39"/>
      <c r="AT1158" s="39"/>
      <c r="AU1158" s="39"/>
      <c r="AV1158" s="39"/>
      <c r="AW1158" t="str" s="39" cm="1">
        <f t="array" ref="AW1158">AF1158&amp;"; "&amp;AG1158&amp;"; "&amp;AH1158&amp;"; "&amp;AI1158&amp;"; "&amp;AJ1158</f>
        <v>E1; E3; E2; D4; E6</v>
      </c>
    </row>
    <row r="1159" ht="13.65" customHeight="1">
      <c r="A1159" t="s" s="35">
        <v>7217</v>
      </c>
      <c r="B1159" s="36">
        <v>10</v>
      </c>
      <c r="C1159" t="s" s="35">
        <v>210</v>
      </c>
      <c r="D1159" t="s" s="35">
        <v>7000</v>
      </c>
      <c r="E1159" t="s" s="35">
        <v>7001</v>
      </c>
      <c r="F1159" s="36">
        <v>59</v>
      </c>
      <c r="G1159" t="s" s="35">
        <v>7206</v>
      </c>
      <c r="H1159" t="s" s="35">
        <v>7218</v>
      </c>
      <c r="I1159" t="s" s="120">
        <v>7219</v>
      </c>
      <c r="J1159" t="s" s="35">
        <v>6185</v>
      </c>
      <c r="K1159" t="s" s="35">
        <v>1058</v>
      </c>
      <c r="L1159" s="39"/>
      <c r="M1159" t="str" s="39">
        <v>Sin marco</v>
      </c>
      <c r="N1159" t="str" s="39">
        <v>Sin marco</v>
      </c>
      <c r="O1159" t="str" s="39" cm="1">
        <f t="array" ref="O1159">IF(L1159="","",_xlfn.IFERROR(INDEX('Datos - Catálogo TIMSS'!$C$5:$C$107,MATCH(L1159,'Datos - Catálogo TIMSS'!$A$5:$A$107,0)),"?"))</f>
      </c>
      <c r="P1159" t="s" s="35">
        <v>1058</v>
      </c>
      <c r="Q1159" t="s" s="120">
        <v>6186</v>
      </c>
      <c r="R1159" t="s" s="120">
        <v>7220</v>
      </c>
      <c r="S1159" s="121" cm="1">
        <f t="array" ref="S1159">_xlfn.IFERROR(ISNUMBER(SEARCH("Conocer",$R1159))/(ISNUMBER(SEARCH("Conocer",$R1159))+ISNUMBER(SEARCH("Aplicar",$R1159))+ISNUMBER(SEARCH("Razonar",$R1159))),0)</f>
        <v>0</v>
      </c>
      <c r="T1159" s="121" cm="1">
        <f t="array" ref="T1159">_xlfn.IFERROR(ISNUMBER(SEARCH("Aplicar",$R1159))/(ISNUMBER(SEARCH("Conocer",$R1159))+ISNUMBER(SEARCH("Aplicar",$R1159))+ISNUMBER(SEARCH("Razonar",$R1159))),0)</f>
        <v>0.5</v>
      </c>
      <c r="U1159" s="121" cm="1">
        <f t="array" ref="U1159">_xlfn.IFERROR(ISNUMBER(SEARCH("Razonar",$R1159))/(ISNUMBER(SEARCH("Conocer",$R1159))+ISNUMBER(SEARCH("Aplicar",$R1159))+ISNUMBER(SEARCH("Razonar",$R1159))),0)</f>
        <v>0.5</v>
      </c>
      <c r="V1159" t="s" s="35">
        <v>1408</v>
      </c>
      <c r="W1159" t="s" s="35">
        <v>7006</v>
      </c>
      <c r="X1159" s="36" cm="1">
        <f t="array" ref="X1159">IF(OR(_xlfn.IFERROR(INDEX('Datos - Catálogo TIMSS'!$I$5:$I$107,MATCH(K1159,'Datos - Catálogo TIMSS'!$A$5:$A$107,0)),"No")="Sí",_xlfn.IFERROR(INDEX('Datos - Catálogo TIMSS'!$I$5:$I$107,MATCH(L1159,'Datos - Catálogo TIMSS'!$A$5:$A$107,0)),"No")="Sí"),1,0)</f>
        <v>0</v>
      </c>
      <c r="Y1159" s="36" cm="1">
        <f t="array" ref="Y1159">IF(_xlfn.IFERROR(INDEX('Datos - Catálogo TIMSS'!$J$5:$J$107,MATCH(K1159,'Datos - Catálogo TIMSS'!$A$5:$A$107,0)),"No")="Sí",1,0)</f>
        <v>0</v>
      </c>
      <c r="Z1159" s="36" cm="1">
        <f t="array" ref="Z1159">IF(_xlfn.IFERROR(INDEX('Datos - Catálogo TIMSS'!$J$5:$J$107,MATCH(L1159,'Datos - Catálogo TIMSS'!$A$5:$A$107,0)),"No")="Sí",1,0)</f>
        <v>0</v>
      </c>
      <c r="AA1159" t="s" s="35">
        <v>1058</v>
      </c>
      <c r="AB1159" s="39"/>
      <c r="AC1159" t="str" s="39">
        <v>Sin marco</v>
      </c>
      <c r="AD1159" t="s" s="35">
        <v>1859</v>
      </c>
      <c r="AE1159" t="str" s="39" cm="1">
        <f t="array" ref="AE1159">IF(AD1159="","",IF(LEFT(AD1159,1)="1","C1",IF(LEFT(AD1159,1)="2","C2",IF(LEFT(AD1159,1)="3","C3",""))))</f>
        <v>C1</v>
      </c>
      <c r="AF1159" t="s" s="35">
        <v>1602</v>
      </c>
      <c r="AG1159" t="s" s="35">
        <v>1612</v>
      </c>
      <c r="AH1159" t="s" s="35">
        <v>1609</v>
      </c>
      <c r="AI1159" t="s" s="35">
        <v>1623</v>
      </c>
      <c r="AJ1159" t="s" s="35">
        <v>1607</v>
      </c>
      <c r="AK1159" s="39"/>
      <c r="AL1159" s="39"/>
      <c r="AM1159" s="39"/>
      <c r="AN1159" s="39"/>
      <c r="AO1159" s="39"/>
      <c r="AP1159" s="39"/>
      <c r="AQ1159" s="39"/>
      <c r="AR1159" s="39"/>
      <c r="AS1159" s="39"/>
      <c r="AT1159" s="39"/>
      <c r="AU1159" s="39"/>
      <c r="AV1159" s="39"/>
      <c r="AW1159" t="str" s="39" cm="1">
        <f t="array" ref="AW1159">AF1159&amp;"; "&amp;AG1159&amp;"; "&amp;AH1159&amp;"; "&amp;AI1159&amp;"; "&amp;AJ1159</f>
        <v>E1; E5; E4; D4; E3</v>
      </c>
    </row>
    <row r="1160" ht="13.65" customHeight="1">
      <c r="A1160" t="s" s="35">
        <v>7221</v>
      </c>
      <c r="B1160" s="36">
        <v>10</v>
      </c>
      <c r="C1160" t="s" s="35">
        <v>210</v>
      </c>
      <c r="D1160" t="s" s="35">
        <v>7000</v>
      </c>
      <c r="E1160" t="s" s="35">
        <v>7001</v>
      </c>
      <c r="F1160" s="36">
        <v>60</v>
      </c>
      <c r="G1160" t="s" s="35">
        <v>7206</v>
      </c>
      <c r="H1160" t="s" s="35">
        <v>7222</v>
      </c>
      <c r="I1160" t="s" s="120">
        <v>7223</v>
      </c>
      <c r="J1160" t="s" s="35">
        <v>6185</v>
      </c>
      <c r="K1160" t="s" s="35">
        <v>1058</v>
      </c>
      <c r="L1160" s="39"/>
      <c r="M1160" t="str" s="39">
        <v>Sin marco</v>
      </c>
      <c r="N1160" t="str" s="39">
        <v>Sin marco</v>
      </c>
      <c r="O1160" t="str" s="39" cm="1">
        <f t="array" ref="O1160">IF(L1160="","",_xlfn.IFERROR(INDEX('Datos - Catálogo TIMSS'!$C$5:$C$107,MATCH(L1160,'Datos - Catálogo TIMSS'!$A$5:$A$107,0)),"?"))</f>
      </c>
      <c r="P1160" t="s" s="35">
        <v>1058</v>
      </c>
      <c r="Q1160" t="s" s="120">
        <v>6186</v>
      </c>
      <c r="R1160" t="s" s="120">
        <v>7224</v>
      </c>
      <c r="S1160" s="121" cm="1">
        <f t="array" ref="S1160">_xlfn.IFERROR(ISNUMBER(SEARCH("Conocer",$R1160))/(ISNUMBER(SEARCH("Conocer",$R1160))+ISNUMBER(SEARCH("Aplicar",$R1160))+ISNUMBER(SEARCH("Razonar",$R1160))),0)</f>
        <v>0</v>
      </c>
      <c r="T1160" s="121" cm="1">
        <f t="array" ref="T1160">_xlfn.IFERROR(ISNUMBER(SEARCH("Aplicar",$R1160))/(ISNUMBER(SEARCH("Conocer",$R1160))+ISNUMBER(SEARCH("Aplicar",$R1160))+ISNUMBER(SEARCH("Razonar",$R1160))),0)</f>
        <v>0.5</v>
      </c>
      <c r="U1160" s="121" cm="1">
        <f t="array" ref="U1160">_xlfn.IFERROR(ISNUMBER(SEARCH("Razonar",$R1160))/(ISNUMBER(SEARCH("Conocer",$R1160))+ISNUMBER(SEARCH("Aplicar",$R1160))+ISNUMBER(SEARCH("Razonar",$R1160))),0)</f>
        <v>0.5</v>
      </c>
      <c r="V1160" t="s" s="35">
        <v>1408</v>
      </c>
      <c r="W1160" t="s" s="35">
        <v>7006</v>
      </c>
      <c r="X1160" s="36" cm="1">
        <f t="array" ref="X1160">IF(OR(_xlfn.IFERROR(INDEX('Datos - Catálogo TIMSS'!$I$5:$I$107,MATCH(K1160,'Datos - Catálogo TIMSS'!$A$5:$A$107,0)),"No")="Sí",_xlfn.IFERROR(INDEX('Datos - Catálogo TIMSS'!$I$5:$I$107,MATCH(L1160,'Datos - Catálogo TIMSS'!$A$5:$A$107,0)),"No")="Sí"),1,0)</f>
        <v>0</v>
      </c>
      <c r="Y1160" s="36" cm="1">
        <f t="array" ref="Y1160">IF(_xlfn.IFERROR(INDEX('Datos - Catálogo TIMSS'!$J$5:$J$107,MATCH(K1160,'Datos - Catálogo TIMSS'!$A$5:$A$107,0)),"No")="Sí",1,0)</f>
        <v>0</v>
      </c>
      <c r="Z1160" s="36" cm="1">
        <f t="array" ref="Z1160">IF(_xlfn.IFERROR(INDEX('Datos - Catálogo TIMSS'!$J$5:$J$107,MATCH(L1160,'Datos - Catálogo TIMSS'!$A$5:$A$107,0)),"No")="Sí",1,0)</f>
        <v>0</v>
      </c>
      <c r="AA1160" t="s" s="35">
        <v>1058</v>
      </c>
      <c r="AB1160" s="39"/>
      <c r="AC1160" t="str" s="39">
        <v>Sin marco</v>
      </c>
      <c r="AD1160" t="s" s="35">
        <v>1900</v>
      </c>
      <c r="AE1160" t="str" s="39" cm="1">
        <f t="array" ref="AE1160">IF(AD1160="","",IF(LEFT(AD1160,1)="1","C1",IF(LEFT(AD1160,1)="2","C2",IF(LEFT(AD1160,1)="3","C3",""))))</f>
        <v>C3</v>
      </c>
      <c r="AF1160" t="s" s="35">
        <v>1615</v>
      </c>
      <c r="AG1160" t="s" s="35">
        <v>1607</v>
      </c>
      <c r="AH1160" t="s" s="35">
        <v>1605</v>
      </c>
      <c r="AI1160" t="s" s="35">
        <v>1629</v>
      </c>
      <c r="AJ1160" t="s" s="35">
        <v>1633</v>
      </c>
      <c r="AK1160" s="39"/>
      <c r="AL1160" s="39"/>
      <c r="AM1160" s="39"/>
      <c r="AN1160" s="39"/>
      <c r="AO1160" s="39"/>
      <c r="AP1160" s="39"/>
      <c r="AQ1160" s="39"/>
      <c r="AR1160" s="39"/>
      <c r="AS1160" s="39"/>
      <c r="AT1160" s="39"/>
      <c r="AU1160" s="39"/>
      <c r="AV1160" s="39"/>
      <c r="AW1160" t="str" s="39" cm="1">
        <f t="array" ref="AW1160">AF1160&amp;"; "&amp;AG1160&amp;"; "&amp;AH1160&amp;"; "&amp;AI1160&amp;"; "&amp;AJ1160</f>
        <v>E6; E3; E2; I3; I5</v>
      </c>
    </row>
    <row r="1161" ht="13.65" customHeight="1">
      <c r="A1161" t="s" s="35">
        <v>7226</v>
      </c>
      <c r="B1161" s="36">
        <v>10</v>
      </c>
      <c r="C1161" t="s" s="35">
        <v>210</v>
      </c>
      <c r="D1161" t="s" s="35">
        <v>7000</v>
      </c>
      <c r="E1161" t="s" s="35">
        <v>7001</v>
      </c>
      <c r="F1161" s="36">
        <v>61</v>
      </c>
      <c r="G1161" t="s" s="35">
        <v>7227</v>
      </c>
      <c r="H1161" t="s" s="35">
        <v>7228</v>
      </c>
      <c r="I1161" t="s" s="120">
        <v>7229</v>
      </c>
      <c r="J1161" t="s" s="35">
        <v>6185</v>
      </c>
      <c r="K1161" t="s" s="35">
        <v>1058</v>
      </c>
      <c r="L1161" s="39"/>
      <c r="M1161" t="str" s="39">
        <v>Sin marco</v>
      </c>
      <c r="N1161" t="str" s="39">
        <v>Sin marco</v>
      </c>
      <c r="O1161" t="str" s="39" cm="1">
        <f t="array" ref="O1161">IF(L1161="","",_xlfn.IFERROR(INDEX('Datos - Catálogo TIMSS'!$C$5:$C$107,MATCH(L1161,'Datos - Catálogo TIMSS'!$A$5:$A$107,0)),"?"))</f>
      </c>
      <c r="P1161" t="s" s="35">
        <v>1058</v>
      </c>
      <c r="Q1161" t="s" s="120">
        <v>6186</v>
      </c>
      <c r="R1161" t="s" s="120">
        <v>7230</v>
      </c>
      <c r="S1161" s="121" cm="1">
        <f t="array" ref="S1161">_xlfn.IFERROR(ISNUMBER(SEARCH("Conocer",$R1161))/(ISNUMBER(SEARCH("Conocer",$R1161))+ISNUMBER(SEARCH("Aplicar",$R1161))+ISNUMBER(SEARCH("Razonar",$R1161))),0)</f>
        <v>0.333333333333333</v>
      </c>
      <c r="T1161" s="121" cm="1">
        <f t="array" ref="T1161">_xlfn.IFERROR(ISNUMBER(SEARCH("Aplicar",$R1161))/(ISNUMBER(SEARCH("Conocer",$R1161))+ISNUMBER(SEARCH("Aplicar",$R1161))+ISNUMBER(SEARCH("Razonar",$R1161))),0)</f>
        <v>0.333333333333333</v>
      </c>
      <c r="U1161" s="121" cm="1">
        <f t="array" ref="U1161">_xlfn.IFERROR(ISNUMBER(SEARCH("Razonar",$R1161))/(ISNUMBER(SEARCH("Conocer",$R1161))+ISNUMBER(SEARCH("Aplicar",$R1161))+ISNUMBER(SEARCH("Razonar",$R1161))),0)</f>
        <v>0.333333333333333</v>
      </c>
      <c r="V1161" t="s" s="35">
        <v>1408</v>
      </c>
      <c r="W1161" t="s" s="35">
        <v>7006</v>
      </c>
      <c r="X1161" s="36" cm="1">
        <f t="array" ref="X1161">IF(OR(_xlfn.IFERROR(INDEX('Datos - Catálogo TIMSS'!$I$5:$I$107,MATCH(K1161,'Datos - Catálogo TIMSS'!$A$5:$A$107,0)),"No")="Sí",_xlfn.IFERROR(INDEX('Datos - Catálogo TIMSS'!$I$5:$I$107,MATCH(L1161,'Datos - Catálogo TIMSS'!$A$5:$A$107,0)),"No")="Sí"),1,0)</f>
        <v>0</v>
      </c>
      <c r="Y1161" s="36" cm="1">
        <f t="array" ref="Y1161">IF(_xlfn.IFERROR(INDEX('Datos - Catálogo TIMSS'!$J$5:$J$107,MATCH(K1161,'Datos - Catálogo TIMSS'!$A$5:$A$107,0)),"No")="Sí",1,0)</f>
        <v>0</v>
      </c>
      <c r="Z1161" s="36" cm="1">
        <f t="array" ref="Z1161">IF(_xlfn.IFERROR(INDEX('Datos - Catálogo TIMSS'!$J$5:$J$107,MATCH(L1161,'Datos - Catálogo TIMSS'!$A$5:$A$107,0)),"No")="Sí",1,0)</f>
        <v>0</v>
      </c>
      <c r="AA1161" t="s" s="35">
        <v>1058</v>
      </c>
      <c r="AB1161" s="39"/>
      <c r="AC1161" t="str" s="39">
        <v>Sin marco</v>
      </c>
      <c r="AD1161" t="s" s="35">
        <v>1859</v>
      </c>
      <c r="AE1161" t="str" s="39" cm="1">
        <f t="array" ref="AE1161">IF(AD1161="","",IF(LEFT(AD1161,1)="1","C1",IF(LEFT(AD1161,1)="2","C2",IF(LEFT(AD1161,1)="3","C3",""))))</f>
        <v>C1</v>
      </c>
      <c r="AF1161" t="s" s="35">
        <v>1602</v>
      </c>
      <c r="AG1161" t="s" s="35">
        <v>1607</v>
      </c>
      <c r="AH1161" t="s" s="35">
        <v>1605</v>
      </c>
      <c r="AI1161" t="s" s="35">
        <v>1623</v>
      </c>
      <c r="AJ1161" t="s" s="35">
        <v>1607</v>
      </c>
      <c r="AK1161" s="39"/>
      <c r="AL1161" s="39"/>
      <c r="AM1161" s="39"/>
      <c r="AN1161" s="39"/>
      <c r="AO1161" s="39"/>
      <c r="AP1161" s="39"/>
      <c r="AQ1161" s="39"/>
      <c r="AR1161" s="39"/>
      <c r="AS1161" s="39"/>
      <c r="AT1161" s="39"/>
      <c r="AU1161" s="39"/>
      <c r="AV1161" s="39"/>
      <c r="AW1161" t="str" s="39" cm="1">
        <f t="array" ref="AW1161">AF1161&amp;"; "&amp;AG1161&amp;"; "&amp;AH1161&amp;"; "&amp;AI1161&amp;"; "&amp;AJ1161</f>
        <v>E1; E3; E2; D4; E3</v>
      </c>
    </row>
    <row r="1162" ht="13.65" customHeight="1">
      <c r="A1162" t="s" s="35">
        <v>7231</v>
      </c>
      <c r="B1162" s="36">
        <v>10</v>
      </c>
      <c r="C1162" t="s" s="35">
        <v>210</v>
      </c>
      <c r="D1162" t="s" s="35">
        <v>7000</v>
      </c>
      <c r="E1162" t="s" s="35">
        <v>7001</v>
      </c>
      <c r="F1162" s="36">
        <v>62</v>
      </c>
      <c r="G1162" t="s" s="35">
        <v>7227</v>
      </c>
      <c r="H1162" t="s" s="35">
        <v>7228</v>
      </c>
      <c r="I1162" t="s" s="120">
        <v>7232</v>
      </c>
      <c r="J1162" t="s" s="35">
        <v>6185</v>
      </c>
      <c r="K1162" t="s" s="35">
        <v>1058</v>
      </c>
      <c r="L1162" s="39"/>
      <c r="M1162" t="str" s="39">
        <v>Sin marco</v>
      </c>
      <c r="N1162" t="str" s="39">
        <v>Sin marco</v>
      </c>
      <c r="O1162" t="str" s="39" cm="1">
        <f t="array" ref="O1162">IF(L1162="","",_xlfn.IFERROR(INDEX('Datos - Catálogo TIMSS'!$C$5:$C$107,MATCH(L1162,'Datos - Catálogo TIMSS'!$A$5:$A$107,0)),"?"))</f>
      </c>
      <c r="P1162" t="s" s="35">
        <v>1058</v>
      </c>
      <c r="Q1162" t="s" s="120">
        <v>6186</v>
      </c>
      <c r="R1162" t="s" s="120">
        <v>7233</v>
      </c>
      <c r="S1162" s="121" cm="1">
        <f t="array" ref="S1162">_xlfn.IFERROR(ISNUMBER(SEARCH("Conocer",$R1162))/(ISNUMBER(SEARCH("Conocer",$R1162))+ISNUMBER(SEARCH("Aplicar",$R1162))+ISNUMBER(SEARCH("Razonar",$R1162))),0)</f>
        <v>0</v>
      </c>
      <c r="T1162" s="121" cm="1">
        <f t="array" ref="T1162">_xlfn.IFERROR(ISNUMBER(SEARCH("Aplicar",$R1162))/(ISNUMBER(SEARCH("Conocer",$R1162))+ISNUMBER(SEARCH("Aplicar",$R1162))+ISNUMBER(SEARCH("Razonar",$R1162))),0)</f>
        <v>0.5</v>
      </c>
      <c r="U1162" s="121" cm="1">
        <f t="array" ref="U1162">_xlfn.IFERROR(ISNUMBER(SEARCH("Razonar",$R1162))/(ISNUMBER(SEARCH("Conocer",$R1162))+ISNUMBER(SEARCH("Aplicar",$R1162))+ISNUMBER(SEARCH("Razonar",$R1162))),0)</f>
        <v>0.5</v>
      </c>
      <c r="V1162" t="s" s="35">
        <v>1408</v>
      </c>
      <c r="W1162" t="s" s="35">
        <v>7006</v>
      </c>
      <c r="X1162" s="36" cm="1">
        <f t="array" ref="X1162">IF(OR(_xlfn.IFERROR(INDEX('Datos - Catálogo TIMSS'!$I$5:$I$107,MATCH(K1162,'Datos - Catálogo TIMSS'!$A$5:$A$107,0)),"No")="Sí",_xlfn.IFERROR(INDEX('Datos - Catálogo TIMSS'!$I$5:$I$107,MATCH(L1162,'Datos - Catálogo TIMSS'!$A$5:$A$107,0)),"No")="Sí"),1,0)</f>
        <v>0</v>
      </c>
      <c r="Y1162" s="36" cm="1">
        <f t="array" ref="Y1162">IF(_xlfn.IFERROR(INDEX('Datos - Catálogo TIMSS'!$J$5:$J$107,MATCH(K1162,'Datos - Catálogo TIMSS'!$A$5:$A$107,0)),"No")="Sí",1,0)</f>
        <v>0</v>
      </c>
      <c r="Z1162" s="36" cm="1">
        <f t="array" ref="Z1162">IF(_xlfn.IFERROR(INDEX('Datos - Catálogo TIMSS'!$J$5:$J$107,MATCH(L1162,'Datos - Catálogo TIMSS'!$A$5:$A$107,0)),"No")="Sí",1,0)</f>
        <v>0</v>
      </c>
      <c r="AA1162" t="s" s="35">
        <v>1058</v>
      </c>
      <c r="AB1162" s="39"/>
      <c r="AC1162" t="str" s="39">
        <v>Sin marco</v>
      </c>
      <c r="AD1162" t="s" s="35">
        <v>1859</v>
      </c>
      <c r="AE1162" t="str" s="39" cm="1">
        <f t="array" ref="AE1162">IF(AD1162="","",IF(LEFT(AD1162,1)="1","C1",IF(LEFT(AD1162,1)="2","C2",IF(LEFT(AD1162,1)="3","C3",""))))</f>
        <v>C1</v>
      </c>
      <c r="AF1162" t="s" s="35">
        <v>1602</v>
      </c>
      <c r="AG1162" t="s" s="35">
        <v>1617</v>
      </c>
      <c r="AH1162" t="s" s="35">
        <v>1609</v>
      </c>
      <c r="AI1162" t="s" s="35">
        <v>1623</v>
      </c>
      <c r="AJ1162" t="s" s="35">
        <v>1607</v>
      </c>
      <c r="AK1162" s="39"/>
      <c r="AL1162" s="39"/>
      <c r="AM1162" s="39"/>
      <c r="AN1162" s="39"/>
      <c r="AO1162" s="39"/>
      <c r="AP1162" s="39"/>
      <c r="AQ1162" s="39"/>
      <c r="AR1162" s="39"/>
      <c r="AS1162" s="39"/>
      <c r="AT1162" s="39"/>
      <c r="AU1162" s="39"/>
      <c r="AV1162" s="39"/>
      <c r="AW1162" t="str" s="39" cm="1">
        <f t="array" ref="AW1162">AF1162&amp;"; "&amp;AG1162&amp;"; "&amp;AH1162&amp;"; "&amp;AI1162&amp;"; "&amp;AJ1162</f>
        <v>E1; D1; E4; D4; E3</v>
      </c>
    </row>
    <row r="1163" ht="13.65" customHeight="1">
      <c r="A1163" t="s" s="35">
        <v>7234</v>
      </c>
      <c r="B1163" s="36">
        <v>10</v>
      </c>
      <c r="C1163" t="s" s="35">
        <v>210</v>
      </c>
      <c r="D1163" t="s" s="35">
        <v>7000</v>
      </c>
      <c r="E1163" t="s" s="35">
        <v>7001</v>
      </c>
      <c r="F1163" s="36">
        <v>63</v>
      </c>
      <c r="G1163" t="s" s="35">
        <v>7227</v>
      </c>
      <c r="H1163" t="s" s="35">
        <v>7228</v>
      </c>
      <c r="I1163" t="s" s="120">
        <v>7235</v>
      </c>
      <c r="J1163" t="s" s="35">
        <v>6185</v>
      </c>
      <c r="K1163" t="s" s="35">
        <v>1058</v>
      </c>
      <c r="L1163" s="39"/>
      <c r="M1163" t="str" s="39">
        <v>Sin marco</v>
      </c>
      <c r="N1163" t="str" s="39">
        <v>Sin marco</v>
      </c>
      <c r="O1163" t="str" s="39" cm="1">
        <f t="array" ref="O1163">IF(L1163="","",_xlfn.IFERROR(INDEX('Datos - Catálogo TIMSS'!$C$5:$C$107,MATCH(L1163,'Datos - Catálogo TIMSS'!$A$5:$A$107,0)),"?"))</f>
      </c>
      <c r="P1163" t="s" s="35">
        <v>1058</v>
      </c>
      <c r="Q1163" t="s" s="120">
        <v>6186</v>
      </c>
      <c r="R1163" t="s" s="120">
        <v>7236</v>
      </c>
      <c r="S1163" s="121" cm="1">
        <f t="array" ref="S1163">_xlfn.IFERROR(ISNUMBER(SEARCH("Conocer",$R1163))/(ISNUMBER(SEARCH("Conocer",$R1163))+ISNUMBER(SEARCH("Aplicar",$R1163))+ISNUMBER(SEARCH("Razonar",$R1163))),0)</f>
        <v>0</v>
      </c>
      <c r="T1163" s="121" cm="1">
        <f t="array" ref="T1163">_xlfn.IFERROR(ISNUMBER(SEARCH("Aplicar",$R1163))/(ISNUMBER(SEARCH("Conocer",$R1163))+ISNUMBER(SEARCH("Aplicar",$R1163))+ISNUMBER(SEARCH("Razonar",$R1163))),0)</f>
        <v>0.5</v>
      </c>
      <c r="U1163" s="121" cm="1">
        <f t="array" ref="U1163">_xlfn.IFERROR(ISNUMBER(SEARCH("Razonar",$R1163))/(ISNUMBER(SEARCH("Conocer",$R1163))+ISNUMBER(SEARCH("Aplicar",$R1163))+ISNUMBER(SEARCH("Razonar",$R1163))),0)</f>
        <v>0.5</v>
      </c>
      <c r="V1163" t="s" s="35">
        <v>1408</v>
      </c>
      <c r="W1163" t="s" s="35">
        <v>7006</v>
      </c>
      <c r="X1163" s="36" cm="1">
        <f t="array" ref="X1163">IF(OR(_xlfn.IFERROR(INDEX('Datos - Catálogo TIMSS'!$I$5:$I$107,MATCH(K1163,'Datos - Catálogo TIMSS'!$A$5:$A$107,0)),"No")="Sí",_xlfn.IFERROR(INDEX('Datos - Catálogo TIMSS'!$I$5:$I$107,MATCH(L1163,'Datos - Catálogo TIMSS'!$A$5:$A$107,0)),"No")="Sí"),1,0)</f>
        <v>0</v>
      </c>
      <c r="Y1163" s="36" cm="1">
        <f t="array" ref="Y1163">IF(_xlfn.IFERROR(INDEX('Datos - Catálogo TIMSS'!$J$5:$J$107,MATCH(K1163,'Datos - Catálogo TIMSS'!$A$5:$A$107,0)),"No")="Sí",1,0)</f>
        <v>0</v>
      </c>
      <c r="Z1163" s="36" cm="1">
        <f t="array" ref="Z1163">IF(_xlfn.IFERROR(INDEX('Datos - Catálogo TIMSS'!$J$5:$J$107,MATCH(L1163,'Datos - Catálogo TIMSS'!$A$5:$A$107,0)),"No")="Sí",1,0)</f>
        <v>0</v>
      </c>
      <c r="AA1163" t="s" s="35">
        <v>1058</v>
      </c>
      <c r="AB1163" s="39"/>
      <c r="AC1163" t="str" s="39">
        <v>Sin marco</v>
      </c>
      <c r="AD1163" t="s" s="35">
        <v>1859</v>
      </c>
      <c r="AE1163" t="str" s="39" cm="1">
        <f t="array" ref="AE1163">IF(AD1163="","",IF(LEFT(AD1163,1)="1","C1",IF(LEFT(AD1163,1)="2","C2",IF(LEFT(AD1163,1)="3","C3",""))))</f>
        <v>C1</v>
      </c>
      <c r="AF1163" t="s" s="35">
        <v>1602</v>
      </c>
      <c r="AG1163" t="s" s="35">
        <v>1607</v>
      </c>
      <c r="AH1163" t="s" s="35">
        <v>1602</v>
      </c>
      <c r="AI1163" t="s" s="35">
        <v>1623</v>
      </c>
      <c r="AJ1163" t="s" s="35">
        <v>1631</v>
      </c>
      <c r="AK1163" s="39"/>
      <c r="AL1163" s="39"/>
      <c r="AM1163" s="39"/>
      <c r="AN1163" s="39"/>
      <c r="AO1163" s="39"/>
      <c r="AP1163" s="39"/>
      <c r="AQ1163" s="39"/>
      <c r="AR1163" s="39"/>
      <c r="AS1163" s="39"/>
      <c r="AT1163" s="39"/>
      <c r="AU1163" s="39"/>
      <c r="AV1163" s="39"/>
      <c r="AW1163" t="str" s="39" cm="1">
        <f t="array" ref="AW1163">AF1163&amp;"; "&amp;AG1163&amp;"; "&amp;AH1163&amp;"; "&amp;AI1163&amp;"; "&amp;AJ1163</f>
        <v>E1; E3; E1; D4; I4</v>
      </c>
    </row>
    <row r="1164" ht="13.65" customHeight="1">
      <c r="A1164" t="s" s="35">
        <v>7237</v>
      </c>
      <c r="B1164" s="36">
        <v>10</v>
      </c>
      <c r="C1164" t="s" s="35">
        <v>210</v>
      </c>
      <c r="D1164" t="s" s="35">
        <v>7000</v>
      </c>
      <c r="E1164" t="s" s="35">
        <v>7001</v>
      </c>
      <c r="F1164" s="36">
        <v>64</v>
      </c>
      <c r="G1164" t="s" s="35">
        <v>7227</v>
      </c>
      <c r="H1164" t="s" s="35">
        <v>7238</v>
      </c>
      <c r="I1164" t="s" s="120">
        <v>7239</v>
      </c>
      <c r="J1164" t="s" s="35">
        <v>6185</v>
      </c>
      <c r="K1164" t="s" s="35">
        <v>1058</v>
      </c>
      <c r="L1164" s="39"/>
      <c r="M1164" t="str" s="39">
        <v>Sin marco</v>
      </c>
      <c r="N1164" t="str" s="39">
        <v>Sin marco</v>
      </c>
      <c r="O1164" t="str" s="39" cm="1">
        <f t="array" ref="O1164">IF(L1164="","",_xlfn.IFERROR(INDEX('Datos - Catálogo TIMSS'!$C$5:$C$107,MATCH(L1164,'Datos - Catálogo TIMSS'!$A$5:$A$107,0)),"?"))</f>
      </c>
      <c r="P1164" t="s" s="35">
        <v>1058</v>
      </c>
      <c r="Q1164" t="s" s="120">
        <v>6186</v>
      </c>
      <c r="R1164" t="s" s="120">
        <v>7240</v>
      </c>
      <c r="S1164" s="121" cm="1">
        <f t="array" ref="S1164">_xlfn.IFERROR(ISNUMBER(SEARCH("Conocer",$R1164))/(ISNUMBER(SEARCH("Conocer",$R1164))+ISNUMBER(SEARCH("Aplicar",$R1164))+ISNUMBER(SEARCH("Razonar",$R1164))),0)</f>
        <v>0.333333333333333</v>
      </c>
      <c r="T1164" s="121" cm="1">
        <f t="array" ref="T1164">_xlfn.IFERROR(ISNUMBER(SEARCH("Aplicar",$R1164))/(ISNUMBER(SEARCH("Conocer",$R1164))+ISNUMBER(SEARCH("Aplicar",$R1164))+ISNUMBER(SEARCH("Razonar",$R1164))),0)</f>
        <v>0.333333333333333</v>
      </c>
      <c r="U1164" s="121" cm="1">
        <f t="array" ref="U1164">_xlfn.IFERROR(ISNUMBER(SEARCH("Razonar",$R1164))/(ISNUMBER(SEARCH("Conocer",$R1164))+ISNUMBER(SEARCH("Aplicar",$R1164))+ISNUMBER(SEARCH("Razonar",$R1164))),0)</f>
        <v>0.333333333333333</v>
      </c>
      <c r="V1164" t="s" s="35">
        <v>1408</v>
      </c>
      <c r="W1164" t="s" s="35">
        <v>7006</v>
      </c>
      <c r="X1164" s="36" cm="1">
        <f t="array" ref="X1164">IF(OR(_xlfn.IFERROR(INDEX('Datos - Catálogo TIMSS'!$I$5:$I$107,MATCH(K1164,'Datos - Catálogo TIMSS'!$A$5:$A$107,0)),"No")="Sí",_xlfn.IFERROR(INDEX('Datos - Catálogo TIMSS'!$I$5:$I$107,MATCH(L1164,'Datos - Catálogo TIMSS'!$A$5:$A$107,0)),"No")="Sí"),1,0)</f>
        <v>0</v>
      </c>
      <c r="Y1164" s="36" cm="1">
        <f t="array" ref="Y1164">IF(_xlfn.IFERROR(INDEX('Datos - Catálogo TIMSS'!$J$5:$J$107,MATCH(K1164,'Datos - Catálogo TIMSS'!$A$5:$A$107,0)),"No")="Sí",1,0)</f>
        <v>0</v>
      </c>
      <c r="Z1164" s="36" cm="1">
        <f t="array" ref="Z1164">IF(_xlfn.IFERROR(INDEX('Datos - Catálogo TIMSS'!$J$5:$J$107,MATCH(L1164,'Datos - Catálogo TIMSS'!$A$5:$A$107,0)),"No")="Sí",1,0)</f>
        <v>0</v>
      </c>
      <c r="AA1164" t="s" s="35">
        <v>1058</v>
      </c>
      <c r="AB1164" s="39"/>
      <c r="AC1164" t="str" s="39">
        <v>Sin marco</v>
      </c>
      <c r="AD1164" t="s" s="35">
        <v>1859</v>
      </c>
      <c r="AE1164" t="str" s="39" cm="1">
        <f t="array" ref="AE1164">IF(AD1164="","",IF(LEFT(AD1164,1)="1","C1",IF(LEFT(AD1164,1)="2","C2",IF(LEFT(AD1164,1)="3","C3",""))))</f>
        <v>C1</v>
      </c>
      <c r="AF1164" t="s" s="35">
        <v>1602</v>
      </c>
      <c r="AG1164" t="s" s="35">
        <v>1617</v>
      </c>
      <c r="AH1164" t="s" s="35">
        <v>1605</v>
      </c>
      <c r="AI1164" t="s" s="35">
        <v>1609</v>
      </c>
      <c r="AJ1164" t="s" s="35">
        <v>1615</v>
      </c>
      <c r="AK1164" s="39"/>
      <c r="AL1164" s="39"/>
      <c r="AM1164" s="39"/>
      <c r="AN1164" s="39"/>
      <c r="AO1164" s="39"/>
      <c r="AP1164" s="39"/>
      <c r="AQ1164" s="39"/>
      <c r="AR1164" s="39"/>
      <c r="AS1164" s="39"/>
      <c r="AT1164" s="39"/>
      <c r="AU1164" s="39"/>
      <c r="AV1164" s="39"/>
      <c r="AW1164" t="str" s="39" cm="1">
        <f t="array" ref="AW1164">AF1164&amp;"; "&amp;AG1164&amp;"; "&amp;AH1164&amp;"; "&amp;AI1164&amp;"; "&amp;AJ1164</f>
        <v>E1; D1; E2; E4; E6</v>
      </c>
    </row>
    <row r="1165" ht="13.65" customHeight="1">
      <c r="A1165" t="s" s="35">
        <v>7241</v>
      </c>
      <c r="B1165" s="36">
        <v>10</v>
      </c>
      <c r="C1165" t="s" s="35">
        <v>210</v>
      </c>
      <c r="D1165" t="s" s="35">
        <v>7000</v>
      </c>
      <c r="E1165" t="s" s="35">
        <v>7001</v>
      </c>
      <c r="F1165" s="36">
        <v>65</v>
      </c>
      <c r="G1165" t="s" s="35">
        <v>7227</v>
      </c>
      <c r="H1165" t="s" s="35">
        <v>7238</v>
      </c>
      <c r="I1165" t="s" s="120">
        <v>7242</v>
      </c>
      <c r="J1165" t="s" s="35">
        <v>6185</v>
      </c>
      <c r="K1165" t="s" s="35">
        <v>1058</v>
      </c>
      <c r="L1165" s="39"/>
      <c r="M1165" t="str" s="39">
        <v>Sin marco</v>
      </c>
      <c r="N1165" t="str" s="39">
        <v>Sin marco</v>
      </c>
      <c r="O1165" t="str" s="39" cm="1">
        <f t="array" ref="O1165">IF(L1165="","",_xlfn.IFERROR(INDEX('Datos - Catálogo TIMSS'!$C$5:$C$107,MATCH(L1165,'Datos - Catálogo TIMSS'!$A$5:$A$107,0)),"?"))</f>
      </c>
      <c r="P1165" t="s" s="35">
        <v>1058</v>
      </c>
      <c r="Q1165" t="s" s="120">
        <v>6186</v>
      </c>
      <c r="R1165" t="s" s="120">
        <v>7243</v>
      </c>
      <c r="S1165" s="121" cm="1">
        <f t="array" ref="S1165">_xlfn.IFERROR(ISNUMBER(SEARCH("Conocer",$R1165))/(ISNUMBER(SEARCH("Conocer",$R1165))+ISNUMBER(SEARCH("Aplicar",$R1165))+ISNUMBER(SEARCH("Razonar",$R1165))),0)</f>
        <v>0</v>
      </c>
      <c r="T1165" s="121" cm="1">
        <f t="array" ref="T1165">_xlfn.IFERROR(ISNUMBER(SEARCH("Aplicar",$R1165))/(ISNUMBER(SEARCH("Conocer",$R1165))+ISNUMBER(SEARCH("Aplicar",$R1165))+ISNUMBER(SEARCH("Razonar",$R1165))),0)</f>
        <v>0.5</v>
      </c>
      <c r="U1165" s="121" cm="1">
        <f t="array" ref="U1165">_xlfn.IFERROR(ISNUMBER(SEARCH("Razonar",$R1165))/(ISNUMBER(SEARCH("Conocer",$R1165))+ISNUMBER(SEARCH("Aplicar",$R1165))+ISNUMBER(SEARCH("Razonar",$R1165))),0)</f>
        <v>0.5</v>
      </c>
      <c r="V1165" t="s" s="35">
        <v>1408</v>
      </c>
      <c r="W1165" t="s" s="35">
        <v>7006</v>
      </c>
      <c r="X1165" s="36" cm="1">
        <f t="array" ref="X1165">IF(OR(_xlfn.IFERROR(INDEX('Datos - Catálogo TIMSS'!$I$5:$I$107,MATCH(K1165,'Datos - Catálogo TIMSS'!$A$5:$A$107,0)),"No")="Sí",_xlfn.IFERROR(INDEX('Datos - Catálogo TIMSS'!$I$5:$I$107,MATCH(L1165,'Datos - Catálogo TIMSS'!$A$5:$A$107,0)),"No")="Sí"),1,0)</f>
        <v>0</v>
      </c>
      <c r="Y1165" s="36" cm="1">
        <f t="array" ref="Y1165">IF(_xlfn.IFERROR(INDEX('Datos - Catálogo TIMSS'!$J$5:$J$107,MATCH(K1165,'Datos - Catálogo TIMSS'!$A$5:$A$107,0)),"No")="Sí",1,0)</f>
        <v>0</v>
      </c>
      <c r="Z1165" s="36" cm="1">
        <f t="array" ref="Z1165">IF(_xlfn.IFERROR(INDEX('Datos - Catálogo TIMSS'!$J$5:$J$107,MATCH(L1165,'Datos - Catálogo TIMSS'!$A$5:$A$107,0)),"No")="Sí",1,0)</f>
        <v>0</v>
      </c>
      <c r="AA1165" t="s" s="35">
        <v>1058</v>
      </c>
      <c r="AB1165" s="39"/>
      <c r="AC1165" t="str" s="39">
        <v>Sin marco</v>
      </c>
      <c r="AD1165" t="s" s="35">
        <v>1834</v>
      </c>
      <c r="AE1165" t="str" s="39" cm="1">
        <f t="array" ref="AE1165">IF(AD1165="","",IF(LEFT(AD1165,1)="1","C1",IF(LEFT(AD1165,1)="2","C2",IF(LEFT(AD1165,1)="3","C3",""))))</f>
        <v>C2</v>
      </c>
      <c r="AF1165" t="s" s="35">
        <v>1602</v>
      </c>
      <c r="AG1165" t="s" s="35">
        <v>1612</v>
      </c>
      <c r="AH1165" t="s" s="35">
        <v>1605</v>
      </c>
      <c r="AI1165" t="s" s="35">
        <v>1619</v>
      </c>
      <c r="AJ1165" t="s" s="35">
        <v>1621</v>
      </c>
      <c r="AK1165" s="39"/>
      <c r="AL1165" s="39"/>
      <c r="AM1165" s="39"/>
      <c r="AN1165" s="39"/>
      <c r="AO1165" s="39"/>
      <c r="AP1165" s="39"/>
      <c r="AQ1165" s="39"/>
      <c r="AR1165" s="39"/>
      <c r="AS1165" s="39"/>
      <c r="AT1165" s="39"/>
      <c r="AU1165" s="39"/>
      <c r="AV1165" s="39"/>
      <c r="AW1165" t="str" s="39" cm="1">
        <f t="array" ref="AW1165">AF1165&amp;"; "&amp;AG1165&amp;"; "&amp;AH1165&amp;"; "&amp;AI1165&amp;"; "&amp;AJ1165</f>
        <v>E1; E5; E2; D2; D3</v>
      </c>
    </row>
    <row r="1166" ht="13.65" customHeight="1">
      <c r="A1166" t="s" s="35">
        <v>7244</v>
      </c>
      <c r="B1166" s="36">
        <v>10</v>
      </c>
      <c r="C1166" t="s" s="35">
        <v>210</v>
      </c>
      <c r="D1166" t="s" s="35">
        <v>7000</v>
      </c>
      <c r="E1166" t="s" s="35">
        <v>7001</v>
      </c>
      <c r="F1166" s="36">
        <v>66</v>
      </c>
      <c r="G1166" t="s" s="35">
        <v>7227</v>
      </c>
      <c r="H1166" t="s" s="35">
        <v>7245</v>
      </c>
      <c r="I1166" t="s" s="120">
        <v>7246</v>
      </c>
      <c r="J1166" t="s" s="35">
        <v>6185</v>
      </c>
      <c r="K1166" t="s" s="35">
        <v>1058</v>
      </c>
      <c r="L1166" s="39"/>
      <c r="M1166" t="str" s="39">
        <v>Sin marco</v>
      </c>
      <c r="N1166" t="str" s="39">
        <v>Sin marco</v>
      </c>
      <c r="O1166" t="str" s="39" cm="1">
        <f t="array" ref="O1166">IF(L1166="","",_xlfn.IFERROR(INDEX('Datos - Catálogo TIMSS'!$C$5:$C$107,MATCH(L1166,'Datos - Catálogo TIMSS'!$A$5:$A$107,0)),"?"))</f>
      </c>
      <c r="P1166" t="s" s="35">
        <v>1058</v>
      </c>
      <c r="Q1166" t="s" s="120">
        <v>6186</v>
      </c>
      <c r="R1166" t="s" s="120">
        <v>7247</v>
      </c>
      <c r="S1166" s="121" cm="1">
        <f t="array" ref="S1166">_xlfn.IFERROR(ISNUMBER(SEARCH("Conocer",$R1166))/(ISNUMBER(SEARCH("Conocer",$R1166))+ISNUMBER(SEARCH("Aplicar",$R1166))+ISNUMBER(SEARCH("Razonar",$R1166))),0)</f>
        <v>0.5</v>
      </c>
      <c r="T1166" s="121" cm="1">
        <f t="array" ref="T1166">_xlfn.IFERROR(ISNUMBER(SEARCH("Aplicar",$R1166))/(ISNUMBER(SEARCH("Conocer",$R1166))+ISNUMBER(SEARCH("Aplicar",$R1166))+ISNUMBER(SEARCH("Razonar",$R1166))),0)</f>
        <v>0</v>
      </c>
      <c r="U1166" s="121" cm="1">
        <f t="array" ref="U1166">_xlfn.IFERROR(ISNUMBER(SEARCH("Razonar",$R1166))/(ISNUMBER(SEARCH("Conocer",$R1166))+ISNUMBER(SEARCH("Aplicar",$R1166))+ISNUMBER(SEARCH("Razonar",$R1166))),0)</f>
        <v>0.5</v>
      </c>
      <c r="V1166" t="s" s="35">
        <v>1408</v>
      </c>
      <c r="W1166" t="s" s="35">
        <v>7006</v>
      </c>
      <c r="X1166" s="36" cm="1">
        <f t="array" ref="X1166">IF(OR(_xlfn.IFERROR(INDEX('Datos - Catálogo TIMSS'!$I$5:$I$107,MATCH(K1166,'Datos - Catálogo TIMSS'!$A$5:$A$107,0)),"No")="Sí",_xlfn.IFERROR(INDEX('Datos - Catálogo TIMSS'!$I$5:$I$107,MATCH(L1166,'Datos - Catálogo TIMSS'!$A$5:$A$107,0)),"No")="Sí"),1,0)</f>
        <v>0</v>
      </c>
      <c r="Y1166" s="36" cm="1">
        <f t="array" ref="Y1166">IF(_xlfn.IFERROR(INDEX('Datos - Catálogo TIMSS'!$J$5:$J$107,MATCH(K1166,'Datos - Catálogo TIMSS'!$A$5:$A$107,0)),"No")="Sí",1,0)</f>
        <v>0</v>
      </c>
      <c r="Z1166" s="36" cm="1">
        <f t="array" ref="Z1166">IF(_xlfn.IFERROR(INDEX('Datos - Catálogo TIMSS'!$J$5:$J$107,MATCH(L1166,'Datos - Catálogo TIMSS'!$A$5:$A$107,0)),"No")="Sí",1,0)</f>
        <v>0</v>
      </c>
      <c r="AA1166" t="s" s="35">
        <v>1058</v>
      </c>
      <c r="AB1166" s="39"/>
      <c r="AC1166" t="str" s="39">
        <v>Sin marco</v>
      </c>
      <c r="AD1166" t="s" s="35">
        <v>1859</v>
      </c>
      <c r="AE1166" t="str" s="39" cm="1">
        <f t="array" ref="AE1166">IF(AD1166="","",IF(LEFT(AD1166,1)="1","C1",IF(LEFT(AD1166,1)="2","C2",IF(LEFT(AD1166,1)="3","C3",""))))</f>
        <v>C1</v>
      </c>
      <c r="AF1166" t="s" s="35">
        <v>1615</v>
      </c>
      <c r="AG1166" t="s" s="35">
        <v>1617</v>
      </c>
      <c r="AH1166" t="s" s="35">
        <v>1609</v>
      </c>
      <c r="AI1166" t="s" s="35">
        <v>1609</v>
      </c>
      <c r="AJ1166" t="s" s="35">
        <v>1607</v>
      </c>
      <c r="AK1166" s="39"/>
      <c r="AL1166" s="39"/>
      <c r="AM1166" s="39"/>
      <c r="AN1166" s="39"/>
      <c r="AO1166" s="39"/>
      <c r="AP1166" s="39"/>
      <c r="AQ1166" s="39"/>
      <c r="AR1166" s="39"/>
      <c r="AS1166" s="39"/>
      <c r="AT1166" s="39"/>
      <c r="AU1166" s="39"/>
      <c r="AV1166" s="39"/>
      <c r="AW1166" t="str" s="39" cm="1">
        <f t="array" ref="AW1166">AF1166&amp;"; "&amp;AG1166&amp;"; "&amp;AH1166&amp;"; "&amp;AI1166&amp;"; "&amp;AJ1166</f>
        <v>E6; D1; E4; E4; E3</v>
      </c>
    </row>
    <row r="1167" ht="13.65" customHeight="1">
      <c r="A1167" t="s" s="35">
        <v>7248</v>
      </c>
      <c r="B1167" s="36">
        <v>10</v>
      </c>
      <c r="C1167" t="s" s="35">
        <v>210</v>
      </c>
      <c r="D1167" t="s" s="35">
        <v>7000</v>
      </c>
      <c r="E1167" t="s" s="35">
        <v>7001</v>
      </c>
      <c r="F1167" s="36">
        <v>67</v>
      </c>
      <c r="G1167" t="s" s="35">
        <v>7249</v>
      </c>
      <c r="H1167" t="s" s="35">
        <v>7250</v>
      </c>
      <c r="I1167" t="s" s="120">
        <v>7251</v>
      </c>
      <c r="J1167" t="s" s="35">
        <v>6185</v>
      </c>
      <c r="K1167" t="s" s="35">
        <v>1058</v>
      </c>
      <c r="L1167" s="39"/>
      <c r="M1167" t="str" s="39">
        <v>Sin marco</v>
      </c>
      <c r="N1167" t="str" s="39">
        <v>Sin marco</v>
      </c>
      <c r="O1167" t="str" s="39" cm="1">
        <f t="array" ref="O1167">IF(L1167="","",_xlfn.IFERROR(INDEX('Datos - Catálogo TIMSS'!$C$5:$C$107,MATCH(L1167,'Datos - Catálogo TIMSS'!$A$5:$A$107,0)),"?"))</f>
      </c>
      <c r="P1167" t="s" s="35">
        <v>1058</v>
      </c>
      <c r="Q1167" t="s" s="120">
        <v>6186</v>
      </c>
      <c r="R1167" t="s" s="120">
        <v>7252</v>
      </c>
      <c r="S1167" s="121" cm="1">
        <f t="array" ref="S1167">_xlfn.IFERROR(ISNUMBER(SEARCH("Conocer",$R1167))/(ISNUMBER(SEARCH("Conocer",$R1167))+ISNUMBER(SEARCH("Aplicar",$R1167))+ISNUMBER(SEARCH("Razonar",$R1167))),0)</f>
        <v>0</v>
      </c>
      <c r="T1167" s="121" cm="1">
        <f t="array" ref="T1167">_xlfn.IFERROR(ISNUMBER(SEARCH("Aplicar",$R1167))/(ISNUMBER(SEARCH("Conocer",$R1167))+ISNUMBER(SEARCH("Aplicar",$R1167))+ISNUMBER(SEARCH("Razonar",$R1167))),0)</f>
        <v>0.5</v>
      </c>
      <c r="U1167" s="121" cm="1">
        <f t="array" ref="U1167">_xlfn.IFERROR(ISNUMBER(SEARCH("Razonar",$R1167))/(ISNUMBER(SEARCH("Conocer",$R1167))+ISNUMBER(SEARCH("Aplicar",$R1167))+ISNUMBER(SEARCH("Razonar",$R1167))),0)</f>
        <v>0.5</v>
      </c>
      <c r="V1167" t="s" s="35">
        <v>1408</v>
      </c>
      <c r="W1167" t="s" s="35">
        <v>7006</v>
      </c>
      <c r="X1167" s="36" cm="1">
        <f t="array" ref="X1167">IF(OR(_xlfn.IFERROR(INDEX('Datos - Catálogo TIMSS'!$I$5:$I$107,MATCH(K1167,'Datos - Catálogo TIMSS'!$A$5:$A$107,0)),"No")="Sí",_xlfn.IFERROR(INDEX('Datos - Catálogo TIMSS'!$I$5:$I$107,MATCH(L1167,'Datos - Catálogo TIMSS'!$A$5:$A$107,0)),"No")="Sí"),1,0)</f>
        <v>0</v>
      </c>
      <c r="Y1167" s="36" cm="1">
        <f t="array" ref="Y1167">IF(_xlfn.IFERROR(INDEX('Datos - Catálogo TIMSS'!$J$5:$J$107,MATCH(K1167,'Datos - Catálogo TIMSS'!$A$5:$A$107,0)),"No")="Sí",1,0)</f>
        <v>0</v>
      </c>
      <c r="Z1167" s="36" cm="1">
        <f t="array" ref="Z1167">IF(_xlfn.IFERROR(INDEX('Datos - Catálogo TIMSS'!$J$5:$J$107,MATCH(L1167,'Datos - Catálogo TIMSS'!$A$5:$A$107,0)),"No")="Sí",1,0)</f>
        <v>0</v>
      </c>
      <c r="AA1167" t="s" s="35">
        <v>1058</v>
      </c>
      <c r="AB1167" s="39"/>
      <c r="AC1167" t="str" s="39">
        <v>Sin marco</v>
      </c>
      <c r="AD1167" t="s" s="35">
        <v>1859</v>
      </c>
      <c r="AE1167" t="str" s="39" cm="1">
        <f t="array" ref="AE1167">IF(AD1167="","",IF(LEFT(AD1167,1)="1","C1",IF(LEFT(AD1167,1)="2","C2",IF(LEFT(AD1167,1)="3","C3",""))))</f>
        <v>C1</v>
      </c>
      <c r="AF1167" t="s" s="35">
        <v>1602</v>
      </c>
      <c r="AG1167" t="s" s="35">
        <v>1607</v>
      </c>
      <c r="AH1167" t="s" s="35">
        <v>1609</v>
      </c>
      <c r="AI1167" t="s" s="35">
        <v>1623</v>
      </c>
      <c r="AJ1167" t="s" s="35">
        <v>1607</v>
      </c>
      <c r="AK1167" s="39"/>
      <c r="AL1167" s="39"/>
      <c r="AM1167" s="39"/>
      <c r="AN1167" s="39"/>
      <c r="AO1167" s="39"/>
      <c r="AP1167" s="39"/>
      <c r="AQ1167" s="39"/>
      <c r="AR1167" s="39"/>
      <c r="AS1167" s="39"/>
      <c r="AT1167" s="39"/>
      <c r="AU1167" s="39"/>
      <c r="AV1167" s="39"/>
      <c r="AW1167" t="str" s="39" cm="1">
        <f t="array" ref="AW1167">AF1167&amp;"; "&amp;AG1167&amp;"; "&amp;AH1167&amp;"; "&amp;AI1167&amp;"; "&amp;AJ1167</f>
        <v>E1; E3; E4; D4; E3</v>
      </c>
    </row>
    <row r="1168" ht="13.65" customHeight="1">
      <c r="A1168" t="s" s="35">
        <v>7253</v>
      </c>
      <c r="B1168" s="36">
        <v>10</v>
      </c>
      <c r="C1168" t="s" s="35">
        <v>210</v>
      </c>
      <c r="D1168" t="s" s="35">
        <v>7000</v>
      </c>
      <c r="E1168" t="s" s="35">
        <v>7001</v>
      </c>
      <c r="F1168" s="36">
        <v>68</v>
      </c>
      <c r="G1168" t="s" s="35">
        <v>7249</v>
      </c>
      <c r="H1168" t="s" s="35">
        <v>7254</v>
      </c>
      <c r="I1168" t="s" s="120">
        <v>7255</v>
      </c>
      <c r="J1168" t="s" s="35">
        <v>6185</v>
      </c>
      <c r="K1168" t="s" s="35">
        <v>1058</v>
      </c>
      <c r="L1168" s="39"/>
      <c r="M1168" t="str" s="39">
        <v>Sin marco</v>
      </c>
      <c r="N1168" t="str" s="39">
        <v>Sin marco</v>
      </c>
      <c r="O1168" t="str" s="39" cm="1">
        <f t="array" ref="O1168">IF(L1168="","",_xlfn.IFERROR(INDEX('Datos - Catálogo TIMSS'!$C$5:$C$107,MATCH(L1168,'Datos - Catálogo TIMSS'!$A$5:$A$107,0)),"?"))</f>
      </c>
      <c r="P1168" t="s" s="35">
        <v>1058</v>
      </c>
      <c r="Q1168" t="s" s="120">
        <v>6186</v>
      </c>
      <c r="R1168" t="s" s="120">
        <v>7256</v>
      </c>
      <c r="S1168" s="121" cm="1">
        <f t="array" ref="S1168">_xlfn.IFERROR(ISNUMBER(SEARCH("Conocer",$R1168))/(ISNUMBER(SEARCH("Conocer",$R1168))+ISNUMBER(SEARCH("Aplicar",$R1168))+ISNUMBER(SEARCH("Razonar",$R1168))),0)</f>
        <v>0</v>
      </c>
      <c r="T1168" s="121" cm="1">
        <f t="array" ref="T1168">_xlfn.IFERROR(ISNUMBER(SEARCH("Aplicar",$R1168))/(ISNUMBER(SEARCH("Conocer",$R1168))+ISNUMBER(SEARCH("Aplicar",$R1168))+ISNUMBER(SEARCH("Razonar",$R1168))),0)</f>
        <v>0.5</v>
      </c>
      <c r="U1168" s="121" cm="1">
        <f t="array" ref="U1168">_xlfn.IFERROR(ISNUMBER(SEARCH("Razonar",$R1168))/(ISNUMBER(SEARCH("Conocer",$R1168))+ISNUMBER(SEARCH("Aplicar",$R1168))+ISNUMBER(SEARCH("Razonar",$R1168))),0)</f>
        <v>0.5</v>
      </c>
      <c r="V1168" t="s" s="35">
        <v>1408</v>
      </c>
      <c r="W1168" t="s" s="35">
        <v>7006</v>
      </c>
      <c r="X1168" s="36" cm="1">
        <f t="array" ref="X1168">IF(OR(_xlfn.IFERROR(INDEX('Datos - Catálogo TIMSS'!$I$5:$I$107,MATCH(K1168,'Datos - Catálogo TIMSS'!$A$5:$A$107,0)),"No")="Sí",_xlfn.IFERROR(INDEX('Datos - Catálogo TIMSS'!$I$5:$I$107,MATCH(L1168,'Datos - Catálogo TIMSS'!$A$5:$A$107,0)),"No")="Sí"),1,0)</f>
        <v>0</v>
      </c>
      <c r="Y1168" s="36" cm="1">
        <f t="array" ref="Y1168">IF(_xlfn.IFERROR(INDEX('Datos - Catálogo TIMSS'!$J$5:$J$107,MATCH(K1168,'Datos - Catálogo TIMSS'!$A$5:$A$107,0)),"No")="Sí",1,0)</f>
        <v>0</v>
      </c>
      <c r="Z1168" s="36" cm="1">
        <f t="array" ref="Z1168">IF(_xlfn.IFERROR(INDEX('Datos - Catálogo TIMSS'!$J$5:$J$107,MATCH(L1168,'Datos - Catálogo TIMSS'!$A$5:$A$107,0)),"No")="Sí",1,0)</f>
        <v>0</v>
      </c>
      <c r="AA1168" t="s" s="35">
        <v>1058</v>
      </c>
      <c r="AB1168" s="39"/>
      <c r="AC1168" t="str" s="39">
        <v>Sin marco</v>
      </c>
      <c r="AD1168" t="s" s="35">
        <v>1834</v>
      </c>
      <c r="AE1168" t="str" s="39" cm="1">
        <f t="array" ref="AE1168">IF(AD1168="","",IF(LEFT(AD1168,1)="1","C1",IF(LEFT(AD1168,1)="2","C2",IF(LEFT(AD1168,1)="3","C3",""))))</f>
        <v>C2</v>
      </c>
      <c r="AF1168" t="s" s="35">
        <v>1615</v>
      </c>
      <c r="AG1168" t="s" s="35">
        <v>1617</v>
      </c>
      <c r="AH1168" t="s" s="35">
        <v>1605</v>
      </c>
      <c r="AI1168" t="s" s="35">
        <v>1623</v>
      </c>
      <c r="AJ1168" t="s" s="35">
        <v>1633</v>
      </c>
      <c r="AK1168" s="39"/>
      <c r="AL1168" s="39"/>
      <c r="AM1168" s="39"/>
      <c r="AN1168" s="39"/>
      <c r="AO1168" s="39"/>
      <c r="AP1168" s="39"/>
      <c r="AQ1168" s="39"/>
      <c r="AR1168" s="39"/>
      <c r="AS1168" s="39"/>
      <c r="AT1168" s="39"/>
      <c r="AU1168" s="39"/>
      <c r="AV1168" s="39"/>
      <c r="AW1168" t="str" s="39" cm="1">
        <f t="array" ref="AW1168">AF1168&amp;"; "&amp;AG1168&amp;"; "&amp;AH1168&amp;"; "&amp;AI1168&amp;"; "&amp;AJ1168</f>
        <v>E6; D1; E2; D4; I5</v>
      </c>
    </row>
    <row r="1169" ht="13.65" customHeight="1">
      <c r="A1169" t="s" s="35">
        <v>7257</v>
      </c>
      <c r="B1169" s="36">
        <v>10</v>
      </c>
      <c r="C1169" t="s" s="35">
        <v>210</v>
      </c>
      <c r="D1169" t="s" s="35">
        <v>7000</v>
      </c>
      <c r="E1169" t="s" s="35">
        <v>7001</v>
      </c>
      <c r="F1169" s="36">
        <v>69</v>
      </c>
      <c r="G1169" t="s" s="35">
        <v>7249</v>
      </c>
      <c r="H1169" t="s" s="35">
        <v>7258</v>
      </c>
      <c r="I1169" t="s" s="120">
        <v>7259</v>
      </c>
      <c r="J1169" t="s" s="35">
        <v>6185</v>
      </c>
      <c r="K1169" t="s" s="35">
        <v>1058</v>
      </c>
      <c r="L1169" s="39"/>
      <c r="M1169" t="str" s="39">
        <v>Sin marco</v>
      </c>
      <c r="N1169" t="str" s="39">
        <v>Sin marco</v>
      </c>
      <c r="O1169" t="str" s="39" cm="1">
        <f t="array" ref="O1169">IF(L1169="","",_xlfn.IFERROR(INDEX('Datos - Catálogo TIMSS'!$C$5:$C$107,MATCH(L1169,'Datos - Catálogo TIMSS'!$A$5:$A$107,0)),"?"))</f>
      </c>
      <c r="P1169" t="s" s="35">
        <v>1058</v>
      </c>
      <c r="Q1169" t="s" s="120">
        <v>6186</v>
      </c>
      <c r="R1169" t="s" s="120">
        <v>7260</v>
      </c>
      <c r="S1169" s="121" cm="1">
        <f t="array" ref="S1169">_xlfn.IFERROR(ISNUMBER(SEARCH("Conocer",$R1169))/(ISNUMBER(SEARCH("Conocer",$R1169))+ISNUMBER(SEARCH("Aplicar",$R1169))+ISNUMBER(SEARCH("Razonar",$R1169))),0)</f>
        <v>0</v>
      </c>
      <c r="T1169" s="121" cm="1">
        <f t="array" ref="T1169">_xlfn.IFERROR(ISNUMBER(SEARCH("Aplicar",$R1169))/(ISNUMBER(SEARCH("Conocer",$R1169))+ISNUMBER(SEARCH("Aplicar",$R1169))+ISNUMBER(SEARCH("Razonar",$R1169))),0)</f>
        <v>0.5</v>
      </c>
      <c r="U1169" s="121" cm="1">
        <f t="array" ref="U1169">_xlfn.IFERROR(ISNUMBER(SEARCH("Razonar",$R1169))/(ISNUMBER(SEARCH("Conocer",$R1169))+ISNUMBER(SEARCH("Aplicar",$R1169))+ISNUMBER(SEARCH("Razonar",$R1169))),0)</f>
        <v>0.5</v>
      </c>
      <c r="V1169" t="s" s="35">
        <v>1408</v>
      </c>
      <c r="W1169" t="s" s="35">
        <v>7006</v>
      </c>
      <c r="X1169" s="36" cm="1">
        <f t="array" ref="X1169">IF(OR(_xlfn.IFERROR(INDEX('Datos - Catálogo TIMSS'!$I$5:$I$107,MATCH(K1169,'Datos - Catálogo TIMSS'!$A$5:$A$107,0)),"No")="Sí",_xlfn.IFERROR(INDEX('Datos - Catálogo TIMSS'!$I$5:$I$107,MATCH(L1169,'Datos - Catálogo TIMSS'!$A$5:$A$107,0)),"No")="Sí"),1,0)</f>
        <v>0</v>
      </c>
      <c r="Y1169" s="36" cm="1">
        <f t="array" ref="Y1169">IF(_xlfn.IFERROR(INDEX('Datos - Catálogo TIMSS'!$J$5:$J$107,MATCH(K1169,'Datos - Catálogo TIMSS'!$A$5:$A$107,0)),"No")="Sí",1,0)</f>
        <v>0</v>
      </c>
      <c r="Z1169" s="36" cm="1">
        <f t="array" ref="Z1169">IF(_xlfn.IFERROR(INDEX('Datos - Catálogo TIMSS'!$J$5:$J$107,MATCH(L1169,'Datos - Catálogo TIMSS'!$A$5:$A$107,0)),"No")="Sí",1,0)</f>
        <v>0</v>
      </c>
      <c r="AA1169" t="s" s="35">
        <v>1058</v>
      </c>
      <c r="AB1169" s="39"/>
      <c r="AC1169" t="str" s="39">
        <v>Sin marco</v>
      </c>
      <c r="AD1169" t="s" s="35">
        <v>1834</v>
      </c>
      <c r="AE1169" t="str" s="39" cm="1">
        <f t="array" ref="AE1169">IF(AD1169="","",IF(LEFT(AD1169,1)="1","C1",IF(LEFT(AD1169,1)="2","C2",IF(LEFT(AD1169,1)="3","C3",""))))</f>
        <v>C2</v>
      </c>
      <c r="AF1169" t="s" s="35">
        <v>1602</v>
      </c>
      <c r="AG1169" t="s" s="35">
        <v>1617</v>
      </c>
      <c r="AH1169" t="s" s="35">
        <v>1605</v>
      </c>
      <c r="AI1169" t="s" s="35">
        <v>1623</v>
      </c>
      <c r="AJ1169" t="s" s="35">
        <v>1607</v>
      </c>
      <c r="AK1169" s="39"/>
      <c r="AL1169" s="39"/>
      <c r="AM1169" s="39"/>
      <c r="AN1169" s="39"/>
      <c r="AO1169" s="39"/>
      <c r="AP1169" s="39"/>
      <c r="AQ1169" s="39"/>
      <c r="AR1169" s="39"/>
      <c r="AS1169" s="39"/>
      <c r="AT1169" s="39"/>
      <c r="AU1169" s="39"/>
      <c r="AV1169" s="39"/>
      <c r="AW1169" t="str" s="39" cm="1">
        <f t="array" ref="AW1169">AF1169&amp;"; "&amp;AG1169&amp;"; "&amp;AH1169&amp;"; "&amp;AI1169&amp;"; "&amp;AJ1169</f>
        <v>E1; D1; E2; D4; E3</v>
      </c>
    </row>
    <row r="1170" ht="13.65" customHeight="1">
      <c r="A1170" t="s" s="35">
        <v>7261</v>
      </c>
      <c r="B1170" s="36">
        <v>10</v>
      </c>
      <c r="C1170" t="s" s="35">
        <v>210</v>
      </c>
      <c r="D1170" t="s" s="35">
        <v>7000</v>
      </c>
      <c r="E1170" t="s" s="35">
        <v>7001</v>
      </c>
      <c r="F1170" s="36">
        <v>70</v>
      </c>
      <c r="G1170" t="s" s="35">
        <v>7249</v>
      </c>
      <c r="H1170" t="s" s="35">
        <v>7262</v>
      </c>
      <c r="I1170" t="s" s="120">
        <v>7263</v>
      </c>
      <c r="J1170" t="s" s="35">
        <v>6185</v>
      </c>
      <c r="K1170" t="s" s="35">
        <v>1058</v>
      </c>
      <c r="L1170" s="39"/>
      <c r="M1170" t="str" s="39">
        <v>Sin marco</v>
      </c>
      <c r="N1170" t="str" s="39">
        <v>Sin marco</v>
      </c>
      <c r="O1170" t="str" s="39" cm="1">
        <f t="array" ref="O1170">IF(L1170="","",_xlfn.IFERROR(INDEX('Datos - Catálogo TIMSS'!$C$5:$C$107,MATCH(L1170,'Datos - Catálogo TIMSS'!$A$5:$A$107,0)),"?"))</f>
      </c>
      <c r="P1170" t="s" s="35">
        <v>1058</v>
      </c>
      <c r="Q1170" t="s" s="120">
        <v>6186</v>
      </c>
      <c r="R1170" t="s" s="120">
        <v>7264</v>
      </c>
      <c r="S1170" s="121" cm="1">
        <f t="array" ref="S1170">_xlfn.IFERROR(ISNUMBER(SEARCH("Conocer",$R1170))/(ISNUMBER(SEARCH("Conocer",$R1170))+ISNUMBER(SEARCH("Aplicar",$R1170))+ISNUMBER(SEARCH("Razonar",$R1170))),0)</f>
        <v>0.333333333333333</v>
      </c>
      <c r="T1170" s="121" cm="1">
        <f t="array" ref="T1170">_xlfn.IFERROR(ISNUMBER(SEARCH("Aplicar",$R1170))/(ISNUMBER(SEARCH("Conocer",$R1170))+ISNUMBER(SEARCH("Aplicar",$R1170))+ISNUMBER(SEARCH("Razonar",$R1170))),0)</f>
        <v>0.333333333333333</v>
      </c>
      <c r="U1170" s="121" cm="1">
        <f t="array" ref="U1170">_xlfn.IFERROR(ISNUMBER(SEARCH("Razonar",$R1170))/(ISNUMBER(SEARCH("Conocer",$R1170))+ISNUMBER(SEARCH("Aplicar",$R1170))+ISNUMBER(SEARCH("Razonar",$R1170))),0)</f>
        <v>0.333333333333333</v>
      </c>
      <c r="V1170" t="s" s="35">
        <v>1408</v>
      </c>
      <c r="W1170" t="s" s="35">
        <v>7006</v>
      </c>
      <c r="X1170" s="36" cm="1">
        <f t="array" ref="X1170">IF(OR(_xlfn.IFERROR(INDEX('Datos - Catálogo TIMSS'!$I$5:$I$107,MATCH(K1170,'Datos - Catálogo TIMSS'!$A$5:$A$107,0)),"No")="Sí",_xlfn.IFERROR(INDEX('Datos - Catálogo TIMSS'!$I$5:$I$107,MATCH(L1170,'Datos - Catálogo TIMSS'!$A$5:$A$107,0)),"No")="Sí"),1,0)</f>
        <v>0</v>
      </c>
      <c r="Y1170" s="36" cm="1">
        <f t="array" ref="Y1170">IF(_xlfn.IFERROR(INDEX('Datos - Catálogo TIMSS'!$J$5:$J$107,MATCH(K1170,'Datos - Catálogo TIMSS'!$A$5:$A$107,0)),"No")="Sí",1,0)</f>
        <v>0</v>
      </c>
      <c r="Z1170" s="36" cm="1">
        <f t="array" ref="Z1170">IF(_xlfn.IFERROR(INDEX('Datos - Catálogo TIMSS'!$J$5:$J$107,MATCH(L1170,'Datos - Catálogo TIMSS'!$A$5:$A$107,0)),"No")="Sí",1,0)</f>
        <v>0</v>
      </c>
      <c r="AA1170" t="s" s="35">
        <v>1058</v>
      </c>
      <c r="AB1170" s="39"/>
      <c r="AC1170" t="str" s="39">
        <v>Sin marco</v>
      </c>
      <c r="AD1170" t="s" s="35">
        <v>1859</v>
      </c>
      <c r="AE1170" t="str" s="39" cm="1">
        <f t="array" ref="AE1170">IF(AD1170="","",IF(LEFT(AD1170,1)="1","C1",IF(LEFT(AD1170,1)="2","C2",IF(LEFT(AD1170,1)="3","C3",""))))</f>
        <v>C1</v>
      </c>
      <c r="AF1170" t="s" s="35">
        <v>1615</v>
      </c>
      <c r="AG1170" t="s" s="35">
        <v>1612</v>
      </c>
      <c r="AH1170" t="s" s="35">
        <v>1602</v>
      </c>
      <c r="AI1170" t="s" s="35">
        <v>1623</v>
      </c>
      <c r="AJ1170" t="s" s="35">
        <v>1615</v>
      </c>
      <c r="AK1170" s="39"/>
      <c r="AL1170" s="39"/>
      <c r="AM1170" s="39"/>
      <c r="AN1170" s="39"/>
      <c r="AO1170" s="39"/>
      <c r="AP1170" s="39"/>
      <c r="AQ1170" s="39"/>
      <c r="AR1170" s="39"/>
      <c r="AS1170" s="39"/>
      <c r="AT1170" s="39"/>
      <c r="AU1170" s="39"/>
      <c r="AV1170" s="39"/>
      <c r="AW1170" t="str" s="39" cm="1">
        <f t="array" ref="AW1170">AF1170&amp;"; "&amp;AG1170&amp;"; "&amp;AH1170&amp;"; "&amp;AI1170&amp;"; "&amp;AJ1170</f>
        <v>E6; E5; E1; D4; E6</v>
      </c>
    </row>
    <row r="1171" ht="13.65" customHeight="1">
      <c r="A1171" t="s" s="35">
        <v>7265</v>
      </c>
      <c r="B1171" s="36">
        <v>10</v>
      </c>
      <c r="C1171" t="s" s="35">
        <v>210</v>
      </c>
      <c r="D1171" t="s" s="35">
        <v>7000</v>
      </c>
      <c r="E1171" t="s" s="35">
        <v>7001</v>
      </c>
      <c r="F1171" s="36">
        <v>71</v>
      </c>
      <c r="G1171" t="s" s="35">
        <v>7249</v>
      </c>
      <c r="H1171" t="s" s="35">
        <v>7266</v>
      </c>
      <c r="I1171" t="s" s="120">
        <v>7267</v>
      </c>
      <c r="J1171" t="s" s="35">
        <v>6185</v>
      </c>
      <c r="K1171" t="s" s="35">
        <v>1058</v>
      </c>
      <c r="L1171" s="39"/>
      <c r="M1171" t="str" s="39">
        <v>Sin marco</v>
      </c>
      <c r="N1171" t="str" s="39">
        <v>Sin marco</v>
      </c>
      <c r="O1171" t="str" s="39" cm="1">
        <f t="array" ref="O1171">IF(L1171="","",_xlfn.IFERROR(INDEX('Datos - Catálogo TIMSS'!$C$5:$C$107,MATCH(L1171,'Datos - Catálogo TIMSS'!$A$5:$A$107,0)),"?"))</f>
      </c>
      <c r="P1171" t="s" s="35">
        <v>1058</v>
      </c>
      <c r="Q1171" t="s" s="120">
        <v>6186</v>
      </c>
      <c r="R1171" t="s" s="120">
        <v>7268</v>
      </c>
      <c r="S1171" s="121" cm="1">
        <f t="array" ref="S1171">_xlfn.IFERROR(ISNUMBER(SEARCH("Conocer",$R1171))/(ISNUMBER(SEARCH("Conocer",$R1171))+ISNUMBER(SEARCH("Aplicar",$R1171))+ISNUMBER(SEARCH("Razonar",$R1171))),0)</f>
        <v>0.333333333333333</v>
      </c>
      <c r="T1171" s="121" cm="1">
        <f t="array" ref="T1171">_xlfn.IFERROR(ISNUMBER(SEARCH("Aplicar",$R1171))/(ISNUMBER(SEARCH("Conocer",$R1171))+ISNUMBER(SEARCH("Aplicar",$R1171))+ISNUMBER(SEARCH("Razonar",$R1171))),0)</f>
        <v>0.333333333333333</v>
      </c>
      <c r="U1171" s="121" cm="1">
        <f t="array" ref="U1171">_xlfn.IFERROR(ISNUMBER(SEARCH("Razonar",$R1171))/(ISNUMBER(SEARCH("Conocer",$R1171))+ISNUMBER(SEARCH("Aplicar",$R1171))+ISNUMBER(SEARCH("Razonar",$R1171))),0)</f>
        <v>0.333333333333333</v>
      </c>
      <c r="V1171" t="s" s="35">
        <v>1408</v>
      </c>
      <c r="W1171" t="s" s="35">
        <v>7006</v>
      </c>
      <c r="X1171" s="36" cm="1">
        <f t="array" ref="X1171">IF(OR(_xlfn.IFERROR(INDEX('Datos - Catálogo TIMSS'!$I$5:$I$107,MATCH(K1171,'Datos - Catálogo TIMSS'!$A$5:$A$107,0)),"No")="Sí",_xlfn.IFERROR(INDEX('Datos - Catálogo TIMSS'!$I$5:$I$107,MATCH(L1171,'Datos - Catálogo TIMSS'!$A$5:$A$107,0)),"No")="Sí"),1,0)</f>
        <v>0</v>
      </c>
      <c r="Y1171" s="36" cm="1">
        <f t="array" ref="Y1171">IF(_xlfn.IFERROR(INDEX('Datos - Catálogo TIMSS'!$J$5:$J$107,MATCH(K1171,'Datos - Catálogo TIMSS'!$A$5:$A$107,0)),"No")="Sí",1,0)</f>
        <v>0</v>
      </c>
      <c r="Z1171" s="36" cm="1">
        <f t="array" ref="Z1171">IF(_xlfn.IFERROR(INDEX('Datos - Catálogo TIMSS'!$J$5:$J$107,MATCH(L1171,'Datos - Catálogo TIMSS'!$A$5:$A$107,0)),"No")="Sí",1,0)</f>
        <v>0</v>
      </c>
      <c r="AA1171" t="s" s="35">
        <v>1058</v>
      </c>
      <c r="AB1171" s="39"/>
      <c r="AC1171" t="str" s="39">
        <v>Sin marco</v>
      </c>
      <c r="AD1171" t="s" s="35">
        <v>1900</v>
      </c>
      <c r="AE1171" t="str" s="39" cm="1">
        <f t="array" ref="AE1171">IF(AD1171="","",IF(LEFT(AD1171,1)="1","C1",IF(LEFT(AD1171,1)="2","C2",IF(LEFT(AD1171,1)="3","C3",""))))</f>
        <v>C3</v>
      </c>
      <c r="AF1171" t="s" s="35">
        <v>1615</v>
      </c>
      <c r="AG1171" t="s" s="35">
        <v>1607</v>
      </c>
      <c r="AH1171" t="s" s="35">
        <v>1605</v>
      </c>
      <c r="AI1171" t="s" s="35">
        <v>1625</v>
      </c>
      <c r="AJ1171" t="s" s="35">
        <v>1627</v>
      </c>
      <c r="AK1171" s="39"/>
      <c r="AL1171" s="39"/>
      <c r="AM1171" s="39"/>
      <c r="AN1171" s="39"/>
      <c r="AO1171" s="39"/>
      <c r="AP1171" s="39"/>
      <c r="AQ1171" s="39"/>
      <c r="AR1171" s="39"/>
      <c r="AS1171" s="39"/>
      <c r="AT1171" s="39"/>
      <c r="AU1171" s="39"/>
      <c r="AV1171" s="39"/>
      <c r="AW1171" t="str" s="39" cm="1">
        <f t="array" ref="AW1171">AF1171&amp;"; "&amp;AG1171&amp;"; "&amp;AH1171&amp;"; "&amp;AI1171&amp;"; "&amp;AJ1171</f>
        <v>E6; E3; E2; I1; I2</v>
      </c>
    </row>
    <row r="1172" ht="13.65" customHeight="1">
      <c r="A1172" t="s" s="35">
        <v>7270</v>
      </c>
      <c r="B1172" s="36">
        <v>10</v>
      </c>
      <c r="C1172" t="s" s="35">
        <v>210</v>
      </c>
      <c r="D1172" t="s" s="35">
        <v>7000</v>
      </c>
      <c r="E1172" t="s" s="35">
        <v>7001</v>
      </c>
      <c r="F1172" s="36">
        <v>72</v>
      </c>
      <c r="G1172" t="s" s="35">
        <v>7249</v>
      </c>
      <c r="H1172" t="s" s="35">
        <v>7271</v>
      </c>
      <c r="I1172" t="s" s="120">
        <v>7272</v>
      </c>
      <c r="J1172" t="s" s="35">
        <v>6185</v>
      </c>
      <c r="K1172" t="s" s="35">
        <v>1058</v>
      </c>
      <c r="L1172" s="39"/>
      <c r="M1172" t="str" s="39">
        <v>Sin marco</v>
      </c>
      <c r="N1172" t="str" s="39">
        <v>Sin marco</v>
      </c>
      <c r="O1172" t="str" s="39" cm="1">
        <f t="array" ref="O1172">IF(L1172="","",_xlfn.IFERROR(INDEX('Datos - Catálogo TIMSS'!$C$5:$C$107,MATCH(L1172,'Datos - Catálogo TIMSS'!$A$5:$A$107,0)),"?"))</f>
      </c>
      <c r="P1172" t="s" s="35">
        <v>1058</v>
      </c>
      <c r="Q1172" t="s" s="120">
        <v>6186</v>
      </c>
      <c r="R1172" t="s" s="120">
        <v>7273</v>
      </c>
      <c r="S1172" s="121" cm="1">
        <f t="array" ref="S1172">_xlfn.IFERROR(ISNUMBER(SEARCH("Conocer",$R1172))/(ISNUMBER(SEARCH("Conocer",$R1172))+ISNUMBER(SEARCH("Aplicar",$R1172))+ISNUMBER(SEARCH("Razonar",$R1172))),0)</f>
        <v>0</v>
      </c>
      <c r="T1172" s="121" cm="1">
        <f t="array" ref="T1172">_xlfn.IFERROR(ISNUMBER(SEARCH("Aplicar",$R1172))/(ISNUMBER(SEARCH("Conocer",$R1172))+ISNUMBER(SEARCH("Aplicar",$R1172))+ISNUMBER(SEARCH("Razonar",$R1172))),0)</f>
        <v>0.5</v>
      </c>
      <c r="U1172" s="121" cm="1">
        <f t="array" ref="U1172">_xlfn.IFERROR(ISNUMBER(SEARCH("Razonar",$R1172))/(ISNUMBER(SEARCH("Conocer",$R1172))+ISNUMBER(SEARCH("Aplicar",$R1172))+ISNUMBER(SEARCH("Razonar",$R1172))),0)</f>
        <v>0.5</v>
      </c>
      <c r="V1172" t="s" s="35">
        <v>1408</v>
      </c>
      <c r="W1172" t="s" s="35">
        <v>7006</v>
      </c>
      <c r="X1172" s="36" cm="1">
        <f t="array" ref="X1172">IF(OR(_xlfn.IFERROR(INDEX('Datos - Catálogo TIMSS'!$I$5:$I$107,MATCH(K1172,'Datos - Catálogo TIMSS'!$A$5:$A$107,0)),"No")="Sí",_xlfn.IFERROR(INDEX('Datos - Catálogo TIMSS'!$I$5:$I$107,MATCH(L1172,'Datos - Catálogo TIMSS'!$A$5:$A$107,0)),"No")="Sí"),1,0)</f>
        <v>0</v>
      </c>
      <c r="Y1172" s="36" cm="1">
        <f t="array" ref="Y1172">IF(_xlfn.IFERROR(INDEX('Datos - Catálogo TIMSS'!$J$5:$J$107,MATCH(K1172,'Datos - Catálogo TIMSS'!$A$5:$A$107,0)),"No")="Sí",1,0)</f>
        <v>0</v>
      </c>
      <c r="Z1172" s="36" cm="1">
        <f t="array" ref="Z1172">IF(_xlfn.IFERROR(INDEX('Datos - Catálogo TIMSS'!$J$5:$J$107,MATCH(L1172,'Datos - Catálogo TIMSS'!$A$5:$A$107,0)),"No")="Sí",1,0)</f>
        <v>0</v>
      </c>
      <c r="AA1172" t="s" s="35">
        <v>1058</v>
      </c>
      <c r="AB1172" s="39"/>
      <c r="AC1172" t="str" s="39">
        <v>Sin marco</v>
      </c>
      <c r="AD1172" t="s" s="35">
        <v>1900</v>
      </c>
      <c r="AE1172" t="str" s="39" cm="1">
        <f t="array" ref="AE1172">IF(AD1172="","",IF(LEFT(AD1172,1)="1","C1",IF(LEFT(AD1172,1)="2","C2",IF(LEFT(AD1172,1)="3","C3",""))))</f>
        <v>C3</v>
      </c>
      <c r="AF1172" t="s" s="35">
        <v>1615</v>
      </c>
      <c r="AG1172" t="s" s="35">
        <v>1617</v>
      </c>
      <c r="AH1172" t="s" s="35">
        <v>1609</v>
      </c>
      <c r="AI1172" t="s" s="35">
        <v>1629</v>
      </c>
      <c r="AJ1172" t="s" s="35">
        <v>1633</v>
      </c>
      <c r="AK1172" s="39"/>
      <c r="AL1172" s="39"/>
      <c r="AM1172" s="39"/>
      <c r="AN1172" s="39"/>
      <c r="AO1172" s="39"/>
      <c r="AP1172" s="39"/>
      <c r="AQ1172" s="39"/>
      <c r="AR1172" s="39"/>
      <c r="AS1172" s="39"/>
      <c r="AT1172" s="39"/>
      <c r="AU1172" s="39"/>
      <c r="AV1172" s="39"/>
      <c r="AW1172" t="str" s="39" cm="1">
        <f t="array" ref="AW1172">AF1172&amp;"; "&amp;AG1172&amp;"; "&amp;AH1172&amp;"; "&amp;AI1172&amp;"; "&amp;AJ1172</f>
        <v>E6; D1; E4; I3; I5</v>
      </c>
    </row>
    <row r="1173" ht="13.65" customHeight="1">
      <c r="A1173" t="s" s="35">
        <v>7274</v>
      </c>
      <c r="B1173" s="36">
        <v>11</v>
      </c>
      <c r="C1173" t="s" s="35">
        <v>210</v>
      </c>
      <c r="D1173" t="s" s="35">
        <v>7000</v>
      </c>
      <c r="E1173" t="s" s="35">
        <v>7275</v>
      </c>
      <c r="F1173" s="36">
        <v>3</v>
      </c>
      <c r="G1173" t="s" s="35">
        <v>7276</v>
      </c>
      <c r="H1173" t="s" s="35">
        <v>7277</v>
      </c>
      <c r="I1173" t="s" s="120">
        <v>7278</v>
      </c>
      <c r="J1173" t="s" s="35">
        <v>6185</v>
      </c>
      <c r="K1173" t="s" s="35">
        <v>1058</v>
      </c>
      <c r="L1173" s="39"/>
      <c r="M1173" t="str" s="39">
        <v>Sin marco</v>
      </c>
      <c r="N1173" t="str" s="39">
        <v>Sin marco</v>
      </c>
      <c r="O1173" t="str" s="39" cm="1">
        <f t="array" ref="O1173">IF(L1173="","",_xlfn.IFERROR(INDEX('Datos - Catálogo TIMSS'!$C$5:$C$107,MATCH(L1173,'Datos - Catálogo TIMSS'!$A$5:$A$107,0)),"?"))</f>
      </c>
      <c r="P1173" t="s" s="35">
        <v>1058</v>
      </c>
      <c r="Q1173" t="s" s="120">
        <v>6186</v>
      </c>
      <c r="R1173" t="s" s="120">
        <v>7279</v>
      </c>
      <c r="S1173" s="121" cm="1">
        <f t="array" ref="S1173">_xlfn.IFERROR(ISNUMBER(SEARCH("Conocer",$R1173))/(ISNUMBER(SEARCH("Conocer",$R1173))+ISNUMBER(SEARCH("Aplicar",$R1173))+ISNUMBER(SEARCH("Razonar",$R1173))),0)</f>
        <v>0.333333333333333</v>
      </c>
      <c r="T1173" s="121" cm="1">
        <f t="array" ref="T1173">_xlfn.IFERROR(ISNUMBER(SEARCH("Aplicar",$R1173))/(ISNUMBER(SEARCH("Conocer",$R1173))+ISNUMBER(SEARCH("Aplicar",$R1173))+ISNUMBER(SEARCH("Razonar",$R1173))),0)</f>
        <v>0.333333333333333</v>
      </c>
      <c r="U1173" s="121" cm="1">
        <f t="array" ref="U1173">_xlfn.IFERROR(ISNUMBER(SEARCH("Razonar",$R1173))/(ISNUMBER(SEARCH("Conocer",$R1173))+ISNUMBER(SEARCH("Aplicar",$R1173))+ISNUMBER(SEARCH("Razonar",$R1173))),0)</f>
        <v>0.333333333333333</v>
      </c>
      <c r="V1173" t="s" s="35">
        <v>1409</v>
      </c>
      <c r="W1173" t="s" s="35">
        <v>7006</v>
      </c>
      <c r="X1173" s="36" cm="1">
        <f t="array" ref="X1173">IF(OR(_xlfn.IFERROR(INDEX('Datos - Catálogo TIMSS'!$I$5:$I$107,MATCH(K1173,'Datos - Catálogo TIMSS'!$A$5:$A$107,0)),"No")="Sí",_xlfn.IFERROR(INDEX('Datos - Catálogo TIMSS'!$I$5:$I$107,MATCH(L1173,'Datos - Catálogo TIMSS'!$A$5:$A$107,0)),"No")="Sí"),1,0)</f>
        <v>0</v>
      </c>
      <c r="Y1173" s="36" cm="1">
        <f t="array" ref="Y1173">IF(_xlfn.IFERROR(INDEX('Datos - Catálogo TIMSS'!$J$5:$J$107,MATCH(K1173,'Datos - Catálogo TIMSS'!$A$5:$A$107,0)),"No")="Sí",1,0)</f>
        <v>0</v>
      </c>
      <c r="Z1173" s="36" cm="1">
        <f t="array" ref="Z1173">IF(_xlfn.IFERROR(INDEX('Datos - Catálogo TIMSS'!$J$5:$J$107,MATCH(L1173,'Datos - Catálogo TIMSS'!$A$5:$A$107,0)),"No")="Sí",1,0)</f>
        <v>0</v>
      </c>
      <c r="AA1173" t="s" s="35">
        <v>1058</v>
      </c>
      <c r="AB1173" s="39"/>
      <c r="AC1173" t="str" s="39">
        <v>Sin marco</v>
      </c>
      <c r="AD1173" t="s" s="35">
        <v>1834</v>
      </c>
      <c r="AE1173" t="str" s="39" cm="1">
        <f t="array" ref="AE1173">IF(AD1173="","",IF(LEFT(AD1173,1)="1","C1",IF(LEFT(AD1173,1)="2","C2",IF(LEFT(AD1173,1)="3","C3",""))))</f>
        <v>C2</v>
      </c>
      <c r="AF1173" t="s" s="35">
        <v>1602</v>
      </c>
      <c r="AG1173" t="s" s="35">
        <v>1617</v>
      </c>
      <c r="AH1173" t="s" s="35">
        <v>1605</v>
      </c>
      <c r="AI1173" t="s" s="35">
        <v>1623</v>
      </c>
      <c r="AJ1173" t="s" s="35">
        <v>1615</v>
      </c>
      <c r="AK1173" s="39"/>
      <c r="AL1173" s="39"/>
      <c r="AM1173" s="39"/>
      <c r="AN1173" s="39"/>
      <c r="AO1173" s="39"/>
      <c r="AP1173" s="39"/>
      <c r="AQ1173" s="39"/>
      <c r="AR1173" s="39"/>
      <c r="AS1173" s="39"/>
      <c r="AT1173" s="39"/>
      <c r="AU1173" s="39"/>
      <c r="AV1173" s="39"/>
      <c r="AW1173" t="str" s="39" cm="1">
        <f t="array" ref="AW1173">AF1173&amp;"; "&amp;AG1173&amp;"; "&amp;AH1173&amp;"; "&amp;AI1173&amp;"; "&amp;AJ1173</f>
        <v>E1; D1; E2; D4; E6</v>
      </c>
    </row>
    <row r="1174" ht="13.65" customHeight="1">
      <c r="A1174" t="s" s="35">
        <v>7280</v>
      </c>
      <c r="B1174" s="36">
        <v>11</v>
      </c>
      <c r="C1174" t="s" s="35">
        <v>210</v>
      </c>
      <c r="D1174" t="s" s="35">
        <v>7000</v>
      </c>
      <c r="E1174" t="s" s="35">
        <v>7275</v>
      </c>
      <c r="F1174" s="36">
        <v>4</v>
      </c>
      <c r="G1174" t="s" s="35">
        <v>7276</v>
      </c>
      <c r="H1174" t="s" s="35">
        <v>7277</v>
      </c>
      <c r="I1174" t="s" s="120">
        <v>7281</v>
      </c>
      <c r="J1174" t="s" s="35">
        <v>6185</v>
      </c>
      <c r="K1174" t="s" s="35">
        <v>1058</v>
      </c>
      <c r="L1174" s="39"/>
      <c r="M1174" t="str" s="39">
        <v>Sin marco</v>
      </c>
      <c r="N1174" t="str" s="39">
        <v>Sin marco</v>
      </c>
      <c r="O1174" t="str" s="39" cm="1">
        <f t="array" ref="O1174">IF(L1174="","",_xlfn.IFERROR(INDEX('Datos - Catálogo TIMSS'!$C$5:$C$107,MATCH(L1174,'Datos - Catálogo TIMSS'!$A$5:$A$107,0)),"?"))</f>
      </c>
      <c r="P1174" t="s" s="35">
        <v>1058</v>
      </c>
      <c r="Q1174" t="s" s="120">
        <v>6186</v>
      </c>
      <c r="R1174" t="s" s="120">
        <v>7282</v>
      </c>
      <c r="S1174" s="121" cm="1">
        <f t="array" ref="S1174">_xlfn.IFERROR(ISNUMBER(SEARCH("Conocer",$R1174))/(ISNUMBER(SEARCH("Conocer",$R1174))+ISNUMBER(SEARCH("Aplicar",$R1174))+ISNUMBER(SEARCH("Razonar",$R1174))),0)</f>
        <v>0.333333333333333</v>
      </c>
      <c r="T1174" s="121" cm="1">
        <f t="array" ref="T1174">_xlfn.IFERROR(ISNUMBER(SEARCH("Aplicar",$R1174))/(ISNUMBER(SEARCH("Conocer",$R1174))+ISNUMBER(SEARCH("Aplicar",$R1174))+ISNUMBER(SEARCH("Razonar",$R1174))),0)</f>
        <v>0.333333333333333</v>
      </c>
      <c r="U1174" s="121" cm="1">
        <f t="array" ref="U1174">_xlfn.IFERROR(ISNUMBER(SEARCH("Razonar",$R1174))/(ISNUMBER(SEARCH("Conocer",$R1174))+ISNUMBER(SEARCH("Aplicar",$R1174))+ISNUMBER(SEARCH("Razonar",$R1174))),0)</f>
        <v>0.333333333333333</v>
      </c>
      <c r="V1174" t="s" s="35">
        <v>1409</v>
      </c>
      <c r="W1174" t="s" s="35">
        <v>7006</v>
      </c>
      <c r="X1174" s="36" cm="1">
        <f t="array" ref="X1174">IF(OR(_xlfn.IFERROR(INDEX('Datos - Catálogo TIMSS'!$I$5:$I$107,MATCH(K1174,'Datos - Catálogo TIMSS'!$A$5:$A$107,0)),"No")="Sí",_xlfn.IFERROR(INDEX('Datos - Catálogo TIMSS'!$I$5:$I$107,MATCH(L1174,'Datos - Catálogo TIMSS'!$A$5:$A$107,0)),"No")="Sí"),1,0)</f>
        <v>0</v>
      </c>
      <c r="Y1174" s="36" cm="1">
        <f t="array" ref="Y1174">IF(_xlfn.IFERROR(INDEX('Datos - Catálogo TIMSS'!$J$5:$J$107,MATCH(K1174,'Datos - Catálogo TIMSS'!$A$5:$A$107,0)),"No")="Sí",1,0)</f>
        <v>0</v>
      </c>
      <c r="Z1174" s="36" cm="1">
        <f t="array" ref="Z1174">IF(_xlfn.IFERROR(INDEX('Datos - Catálogo TIMSS'!$J$5:$J$107,MATCH(L1174,'Datos - Catálogo TIMSS'!$A$5:$A$107,0)),"No")="Sí",1,0)</f>
        <v>0</v>
      </c>
      <c r="AA1174" t="s" s="35">
        <v>1058</v>
      </c>
      <c r="AB1174" s="39"/>
      <c r="AC1174" t="str" s="39">
        <v>Sin marco</v>
      </c>
      <c r="AD1174" t="s" s="35">
        <v>1859</v>
      </c>
      <c r="AE1174" t="str" s="39" cm="1">
        <f t="array" ref="AE1174">IF(AD1174="","",IF(LEFT(AD1174,1)="1","C1",IF(LEFT(AD1174,1)="2","C2",IF(LEFT(AD1174,1)="3","C3",""))))</f>
        <v>C1</v>
      </c>
      <c r="AF1174" t="s" s="35">
        <v>1602</v>
      </c>
      <c r="AG1174" t="s" s="35">
        <v>1607</v>
      </c>
      <c r="AH1174" t="s" s="35">
        <v>1609</v>
      </c>
      <c r="AI1174" t="s" s="35">
        <v>1625</v>
      </c>
      <c r="AJ1174" t="s" s="35">
        <v>1615</v>
      </c>
      <c r="AK1174" s="39"/>
      <c r="AL1174" s="39"/>
      <c r="AM1174" s="39"/>
      <c r="AN1174" s="39"/>
      <c r="AO1174" s="39"/>
      <c r="AP1174" s="39"/>
      <c r="AQ1174" s="39"/>
      <c r="AR1174" s="39"/>
      <c r="AS1174" s="39"/>
      <c r="AT1174" s="39"/>
      <c r="AU1174" s="39"/>
      <c r="AV1174" s="39"/>
      <c r="AW1174" t="str" s="39" cm="1">
        <f t="array" ref="AW1174">AF1174&amp;"; "&amp;AG1174&amp;"; "&amp;AH1174&amp;"; "&amp;AI1174&amp;"; "&amp;AJ1174</f>
        <v>E1; E3; E4; I1; E6</v>
      </c>
    </row>
    <row r="1175" ht="13.65" customHeight="1">
      <c r="A1175" t="s" s="35">
        <v>7284</v>
      </c>
      <c r="B1175" s="36">
        <v>11</v>
      </c>
      <c r="C1175" t="s" s="35">
        <v>210</v>
      </c>
      <c r="D1175" t="s" s="35">
        <v>7000</v>
      </c>
      <c r="E1175" t="s" s="35">
        <v>7275</v>
      </c>
      <c r="F1175" s="36">
        <v>5</v>
      </c>
      <c r="G1175" t="s" s="35">
        <v>7276</v>
      </c>
      <c r="H1175" t="s" s="35">
        <v>7277</v>
      </c>
      <c r="I1175" t="s" s="120">
        <v>7285</v>
      </c>
      <c r="J1175" t="s" s="35">
        <v>6185</v>
      </c>
      <c r="K1175" t="s" s="35">
        <v>1058</v>
      </c>
      <c r="L1175" s="39"/>
      <c r="M1175" t="str" s="39">
        <v>Sin marco</v>
      </c>
      <c r="N1175" t="str" s="39">
        <v>Sin marco</v>
      </c>
      <c r="O1175" t="str" s="39" cm="1">
        <f t="array" ref="O1175">IF(L1175="","",_xlfn.IFERROR(INDEX('Datos - Catálogo TIMSS'!$C$5:$C$107,MATCH(L1175,'Datos - Catálogo TIMSS'!$A$5:$A$107,0)),"?"))</f>
      </c>
      <c r="P1175" t="s" s="35">
        <v>1058</v>
      </c>
      <c r="Q1175" t="s" s="120">
        <v>6186</v>
      </c>
      <c r="R1175" t="s" s="120">
        <v>7286</v>
      </c>
      <c r="S1175" s="121" cm="1">
        <f t="array" ref="S1175">_xlfn.IFERROR(ISNUMBER(SEARCH("Conocer",$R1175))/(ISNUMBER(SEARCH("Conocer",$R1175))+ISNUMBER(SEARCH("Aplicar",$R1175))+ISNUMBER(SEARCH("Razonar",$R1175))),0)</f>
        <v>0</v>
      </c>
      <c r="T1175" s="121" cm="1">
        <f t="array" ref="T1175">_xlfn.IFERROR(ISNUMBER(SEARCH("Aplicar",$R1175))/(ISNUMBER(SEARCH("Conocer",$R1175))+ISNUMBER(SEARCH("Aplicar",$R1175))+ISNUMBER(SEARCH("Razonar",$R1175))),0)</f>
        <v>0.5</v>
      </c>
      <c r="U1175" s="121" cm="1">
        <f t="array" ref="U1175">_xlfn.IFERROR(ISNUMBER(SEARCH("Razonar",$R1175))/(ISNUMBER(SEARCH("Conocer",$R1175))+ISNUMBER(SEARCH("Aplicar",$R1175))+ISNUMBER(SEARCH("Razonar",$R1175))),0)</f>
        <v>0.5</v>
      </c>
      <c r="V1175" t="s" s="35">
        <v>1409</v>
      </c>
      <c r="W1175" t="s" s="35">
        <v>7006</v>
      </c>
      <c r="X1175" s="36" cm="1">
        <f t="array" ref="X1175">IF(OR(_xlfn.IFERROR(INDEX('Datos - Catálogo TIMSS'!$I$5:$I$107,MATCH(K1175,'Datos - Catálogo TIMSS'!$A$5:$A$107,0)),"No")="Sí",_xlfn.IFERROR(INDEX('Datos - Catálogo TIMSS'!$I$5:$I$107,MATCH(L1175,'Datos - Catálogo TIMSS'!$A$5:$A$107,0)),"No")="Sí"),1,0)</f>
        <v>0</v>
      </c>
      <c r="Y1175" s="36" cm="1">
        <f t="array" ref="Y1175">IF(_xlfn.IFERROR(INDEX('Datos - Catálogo TIMSS'!$J$5:$J$107,MATCH(K1175,'Datos - Catálogo TIMSS'!$A$5:$A$107,0)),"No")="Sí",1,0)</f>
        <v>0</v>
      </c>
      <c r="Z1175" s="36" cm="1">
        <f t="array" ref="Z1175">IF(_xlfn.IFERROR(INDEX('Datos - Catálogo TIMSS'!$J$5:$J$107,MATCH(L1175,'Datos - Catálogo TIMSS'!$A$5:$A$107,0)),"No")="Sí",1,0)</f>
        <v>0</v>
      </c>
      <c r="AA1175" t="s" s="35">
        <v>1058</v>
      </c>
      <c r="AB1175" s="39"/>
      <c r="AC1175" t="str" s="39">
        <v>Sin marco</v>
      </c>
      <c r="AD1175" t="s" s="35">
        <v>1859</v>
      </c>
      <c r="AE1175" t="str" s="39" cm="1">
        <f t="array" ref="AE1175">IF(AD1175="","",IF(LEFT(AD1175,1)="1","C1",IF(LEFT(AD1175,1)="2","C2",IF(LEFT(AD1175,1)="3","C3",""))))</f>
        <v>C1</v>
      </c>
      <c r="AF1175" t="s" s="35">
        <v>1602</v>
      </c>
      <c r="AG1175" t="s" s="35">
        <v>1612</v>
      </c>
      <c r="AH1175" t="s" s="35">
        <v>1609</v>
      </c>
      <c r="AI1175" t="s" s="35">
        <v>1623</v>
      </c>
      <c r="AJ1175" t="s" s="35">
        <v>1615</v>
      </c>
      <c r="AK1175" s="39"/>
      <c r="AL1175" s="39"/>
      <c r="AM1175" s="39"/>
      <c r="AN1175" s="39"/>
      <c r="AO1175" s="39"/>
      <c r="AP1175" s="39"/>
      <c r="AQ1175" s="39"/>
      <c r="AR1175" s="39"/>
      <c r="AS1175" s="39"/>
      <c r="AT1175" s="39"/>
      <c r="AU1175" s="39"/>
      <c r="AV1175" s="39"/>
      <c r="AW1175" t="str" s="39" cm="1">
        <f t="array" ref="AW1175">AF1175&amp;"; "&amp;AG1175&amp;"; "&amp;AH1175&amp;"; "&amp;AI1175&amp;"; "&amp;AJ1175</f>
        <v>E1; E5; E4; D4; E6</v>
      </c>
    </row>
    <row r="1176" ht="13.65" customHeight="1">
      <c r="A1176" t="s" s="35">
        <v>7287</v>
      </c>
      <c r="B1176" s="36">
        <v>11</v>
      </c>
      <c r="C1176" t="s" s="35">
        <v>210</v>
      </c>
      <c r="D1176" t="s" s="35">
        <v>7000</v>
      </c>
      <c r="E1176" t="s" s="35">
        <v>7275</v>
      </c>
      <c r="F1176" s="36">
        <v>6</v>
      </c>
      <c r="G1176" t="s" s="35">
        <v>7276</v>
      </c>
      <c r="H1176" t="s" s="35">
        <v>7288</v>
      </c>
      <c r="I1176" t="s" s="120">
        <v>7289</v>
      </c>
      <c r="J1176" t="s" s="35">
        <v>6185</v>
      </c>
      <c r="K1176" t="s" s="35">
        <v>1058</v>
      </c>
      <c r="L1176" s="39"/>
      <c r="M1176" t="str" s="39">
        <v>Sin marco</v>
      </c>
      <c r="N1176" t="str" s="39">
        <v>Sin marco</v>
      </c>
      <c r="O1176" t="str" s="39" cm="1">
        <f t="array" ref="O1176">IF(L1176="","",_xlfn.IFERROR(INDEX('Datos - Catálogo TIMSS'!$C$5:$C$107,MATCH(L1176,'Datos - Catálogo TIMSS'!$A$5:$A$107,0)),"?"))</f>
      </c>
      <c r="P1176" t="s" s="35">
        <v>1058</v>
      </c>
      <c r="Q1176" t="s" s="120">
        <v>6186</v>
      </c>
      <c r="R1176" t="s" s="120">
        <v>7290</v>
      </c>
      <c r="S1176" s="121" cm="1">
        <f t="array" ref="S1176">_xlfn.IFERROR(ISNUMBER(SEARCH("Conocer",$R1176))/(ISNUMBER(SEARCH("Conocer",$R1176))+ISNUMBER(SEARCH("Aplicar",$R1176))+ISNUMBER(SEARCH("Razonar",$R1176))),0)</f>
        <v>0.5</v>
      </c>
      <c r="T1176" s="121" cm="1">
        <f t="array" ref="T1176">_xlfn.IFERROR(ISNUMBER(SEARCH("Aplicar",$R1176))/(ISNUMBER(SEARCH("Conocer",$R1176))+ISNUMBER(SEARCH("Aplicar",$R1176))+ISNUMBER(SEARCH("Razonar",$R1176))),0)</f>
        <v>0</v>
      </c>
      <c r="U1176" s="121" cm="1">
        <f t="array" ref="U1176">_xlfn.IFERROR(ISNUMBER(SEARCH("Razonar",$R1176))/(ISNUMBER(SEARCH("Conocer",$R1176))+ISNUMBER(SEARCH("Aplicar",$R1176))+ISNUMBER(SEARCH("Razonar",$R1176))),0)</f>
        <v>0.5</v>
      </c>
      <c r="V1176" t="s" s="35">
        <v>1409</v>
      </c>
      <c r="W1176" t="s" s="35">
        <v>7006</v>
      </c>
      <c r="X1176" s="36" cm="1">
        <f t="array" ref="X1176">IF(OR(_xlfn.IFERROR(INDEX('Datos - Catálogo TIMSS'!$I$5:$I$107,MATCH(K1176,'Datos - Catálogo TIMSS'!$A$5:$A$107,0)),"No")="Sí",_xlfn.IFERROR(INDEX('Datos - Catálogo TIMSS'!$I$5:$I$107,MATCH(L1176,'Datos - Catálogo TIMSS'!$A$5:$A$107,0)),"No")="Sí"),1,0)</f>
        <v>0</v>
      </c>
      <c r="Y1176" s="36" cm="1">
        <f t="array" ref="Y1176">IF(_xlfn.IFERROR(INDEX('Datos - Catálogo TIMSS'!$J$5:$J$107,MATCH(K1176,'Datos - Catálogo TIMSS'!$A$5:$A$107,0)),"No")="Sí",1,0)</f>
        <v>0</v>
      </c>
      <c r="Z1176" s="36" cm="1">
        <f t="array" ref="Z1176">IF(_xlfn.IFERROR(INDEX('Datos - Catálogo TIMSS'!$J$5:$J$107,MATCH(L1176,'Datos - Catálogo TIMSS'!$A$5:$A$107,0)),"No")="Sí",1,0)</f>
        <v>0</v>
      </c>
      <c r="AA1176" t="s" s="35">
        <v>1058</v>
      </c>
      <c r="AB1176" s="39"/>
      <c r="AC1176" t="str" s="39">
        <v>Sin marco</v>
      </c>
      <c r="AD1176" t="s" s="35">
        <v>1900</v>
      </c>
      <c r="AE1176" t="str" s="39" cm="1">
        <f t="array" ref="AE1176">IF(AD1176="","",IF(LEFT(AD1176,1)="1","C1",IF(LEFT(AD1176,1)="2","C2",IF(LEFT(AD1176,1)="3","C3",""))))</f>
        <v>C3</v>
      </c>
      <c r="AF1176" t="s" s="35">
        <v>1615</v>
      </c>
      <c r="AG1176" t="s" s="35">
        <v>1617</v>
      </c>
      <c r="AH1176" t="s" s="35">
        <v>1602</v>
      </c>
      <c r="AI1176" t="s" s="35">
        <v>1629</v>
      </c>
      <c r="AJ1176" t="s" s="35">
        <v>1633</v>
      </c>
      <c r="AK1176" s="39"/>
      <c r="AL1176" s="39"/>
      <c r="AM1176" s="39"/>
      <c r="AN1176" s="39"/>
      <c r="AO1176" s="39"/>
      <c r="AP1176" s="39"/>
      <c r="AQ1176" s="39"/>
      <c r="AR1176" s="39"/>
      <c r="AS1176" s="39"/>
      <c r="AT1176" s="39"/>
      <c r="AU1176" s="39"/>
      <c r="AV1176" s="39"/>
      <c r="AW1176" t="str" s="39" cm="1">
        <f t="array" ref="AW1176">AF1176&amp;"; "&amp;AG1176&amp;"; "&amp;AH1176&amp;"; "&amp;AI1176&amp;"; "&amp;AJ1176</f>
        <v>E6; D1; E1; I3; I5</v>
      </c>
    </row>
    <row r="1177" ht="13.65" customHeight="1">
      <c r="A1177" t="s" s="35">
        <v>7291</v>
      </c>
      <c r="B1177" s="36">
        <v>11</v>
      </c>
      <c r="C1177" t="s" s="35">
        <v>210</v>
      </c>
      <c r="D1177" t="s" s="35">
        <v>7000</v>
      </c>
      <c r="E1177" t="s" s="35">
        <v>7275</v>
      </c>
      <c r="F1177" s="36">
        <v>7</v>
      </c>
      <c r="G1177" t="s" s="35">
        <v>7276</v>
      </c>
      <c r="H1177" t="s" s="35">
        <v>7288</v>
      </c>
      <c r="I1177" t="s" s="120">
        <v>7292</v>
      </c>
      <c r="J1177" t="s" s="35">
        <v>6185</v>
      </c>
      <c r="K1177" t="s" s="35">
        <v>1058</v>
      </c>
      <c r="L1177" s="39"/>
      <c r="M1177" t="str" s="39">
        <v>Sin marco</v>
      </c>
      <c r="N1177" t="str" s="39">
        <v>Sin marco</v>
      </c>
      <c r="O1177" t="str" s="39" cm="1">
        <f t="array" ref="O1177">IF(L1177="","",_xlfn.IFERROR(INDEX('Datos - Catálogo TIMSS'!$C$5:$C$107,MATCH(L1177,'Datos - Catálogo TIMSS'!$A$5:$A$107,0)),"?"))</f>
      </c>
      <c r="P1177" t="s" s="35">
        <v>1058</v>
      </c>
      <c r="Q1177" t="s" s="120">
        <v>6186</v>
      </c>
      <c r="R1177" t="s" s="120">
        <v>7293</v>
      </c>
      <c r="S1177" s="121" cm="1">
        <f t="array" ref="S1177">_xlfn.IFERROR(ISNUMBER(SEARCH("Conocer",$R1177))/(ISNUMBER(SEARCH("Conocer",$R1177))+ISNUMBER(SEARCH("Aplicar",$R1177))+ISNUMBER(SEARCH("Razonar",$R1177))),0)</f>
        <v>0</v>
      </c>
      <c r="T1177" s="121" cm="1">
        <f t="array" ref="T1177">_xlfn.IFERROR(ISNUMBER(SEARCH("Aplicar",$R1177))/(ISNUMBER(SEARCH("Conocer",$R1177))+ISNUMBER(SEARCH("Aplicar",$R1177))+ISNUMBER(SEARCH("Razonar",$R1177))),0)</f>
        <v>0.5</v>
      </c>
      <c r="U1177" s="121" cm="1">
        <f t="array" ref="U1177">_xlfn.IFERROR(ISNUMBER(SEARCH("Razonar",$R1177))/(ISNUMBER(SEARCH("Conocer",$R1177))+ISNUMBER(SEARCH("Aplicar",$R1177))+ISNUMBER(SEARCH("Razonar",$R1177))),0)</f>
        <v>0.5</v>
      </c>
      <c r="V1177" t="s" s="35">
        <v>1409</v>
      </c>
      <c r="W1177" t="s" s="35">
        <v>7006</v>
      </c>
      <c r="X1177" s="36" cm="1">
        <f t="array" ref="X1177">IF(OR(_xlfn.IFERROR(INDEX('Datos - Catálogo TIMSS'!$I$5:$I$107,MATCH(K1177,'Datos - Catálogo TIMSS'!$A$5:$A$107,0)),"No")="Sí",_xlfn.IFERROR(INDEX('Datos - Catálogo TIMSS'!$I$5:$I$107,MATCH(L1177,'Datos - Catálogo TIMSS'!$A$5:$A$107,0)),"No")="Sí"),1,0)</f>
        <v>0</v>
      </c>
      <c r="Y1177" s="36" cm="1">
        <f t="array" ref="Y1177">IF(_xlfn.IFERROR(INDEX('Datos - Catálogo TIMSS'!$J$5:$J$107,MATCH(K1177,'Datos - Catálogo TIMSS'!$A$5:$A$107,0)),"No")="Sí",1,0)</f>
        <v>0</v>
      </c>
      <c r="Z1177" s="36" cm="1">
        <f t="array" ref="Z1177">IF(_xlfn.IFERROR(INDEX('Datos - Catálogo TIMSS'!$J$5:$J$107,MATCH(L1177,'Datos - Catálogo TIMSS'!$A$5:$A$107,0)),"No")="Sí",1,0)</f>
        <v>0</v>
      </c>
      <c r="AA1177" t="s" s="35">
        <v>1058</v>
      </c>
      <c r="AB1177" s="39"/>
      <c r="AC1177" t="str" s="39">
        <v>Sin marco</v>
      </c>
      <c r="AD1177" t="s" s="35">
        <v>1834</v>
      </c>
      <c r="AE1177" t="str" s="39" cm="1">
        <f t="array" ref="AE1177">IF(AD1177="","",IF(LEFT(AD1177,1)="1","C1",IF(LEFT(AD1177,1)="2","C2",IF(LEFT(AD1177,1)="3","C3",""))))</f>
        <v>C2</v>
      </c>
      <c r="AF1177" t="s" s="35">
        <v>1602</v>
      </c>
      <c r="AG1177" t="s" s="35">
        <v>1607</v>
      </c>
      <c r="AH1177" t="s" s="35">
        <v>1605</v>
      </c>
      <c r="AI1177" t="s" s="35">
        <v>1623</v>
      </c>
      <c r="AJ1177" t="s" s="35">
        <v>1633</v>
      </c>
      <c r="AK1177" s="39"/>
      <c r="AL1177" s="39"/>
      <c r="AM1177" s="39"/>
      <c r="AN1177" s="39"/>
      <c r="AO1177" s="39"/>
      <c r="AP1177" s="39"/>
      <c r="AQ1177" s="39"/>
      <c r="AR1177" s="39"/>
      <c r="AS1177" s="39"/>
      <c r="AT1177" s="39"/>
      <c r="AU1177" s="39"/>
      <c r="AV1177" s="39"/>
      <c r="AW1177" t="str" s="39" cm="1">
        <f t="array" ref="AW1177">AF1177&amp;"; "&amp;AG1177&amp;"; "&amp;AH1177&amp;"; "&amp;AI1177&amp;"; "&amp;AJ1177</f>
        <v>E1; E3; E2; D4; I5</v>
      </c>
    </row>
    <row r="1178" ht="13.65" customHeight="1">
      <c r="A1178" t="s" s="35">
        <v>7294</v>
      </c>
      <c r="B1178" s="36">
        <v>11</v>
      </c>
      <c r="C1178" t="s" s="35">
        <v>210</v>
      </c>
      <c r="D1178" t="s" s="35">
        <v>7000</v>
      </c>
      <c r="E1178" t="s" s="35">
        <v>7275</v>
      </c>
      <c r="F1178" s="36">
        <v>8</v>
      </c>
      <c r="G1178" t="s" s="35">
        <v>7276</v>
      </c>
      <c r="H1178" t="s" s="35">
        <v>7288</v>
      </c>
      <c r="I1178" t="s" s="120">
        <v>7295</v>
      </c>
      <c r="J1178" t="s" s="35">
        <v>6185</v>
      </c>
      <c r="K1178" t="s" s="35">
        <v>1058</v>
      </c>
      <c r="L1178" s="39"/>
      <c r="M1178" t="str" s="39">
        <v>Sin marco</v>
      </c>
      <c r="N1178" t="str" s="39">
        <v>Sin marco</v>
      </c>
      <c r="O1178" t="str" s="39" cm="1">
        <f t="array" ref="O1178">IF(L1178="","",_xlfn.IFERROR(INDEX('Datos - Catálogo TIMSS'!$C$5:$C$107,MATCH(L1178,'Datos - Catálogo TIMSS'!$A$5:$A$107,0)),"?"))</f>
      </c>
      <c r="P1178" t="s" s="35">
        <v>1058</v>
      </c>
      <c r="Q1178" t="s" s="120">
        <v>6186</v>
      </c>
      <c r="R1178" t="s" s="120">
        <v>7296</v>
      </c>
      <c r="S1178" s="121" cm="1">
        <f t="array" ref="S1178">_xlfn.IFERROR(ISNUMBER(SEARCH("Conocer",$R1178))/(ISNUMBER(SEARCH("Conocer",$R1178))+ISNUMBER(SEARCH("Aplicar",$R1178))+ISNUMBER(SEARCH("Razonar",$R1178))),0)</f>
        <v>0.5</v>
      </c>
      <c r="T1178" s="121" cm="1">
        <f t="array" ref="T1178">_xlfn.IFERROR(ISNUMBER(SEARCH("Aplicar",$R1178))/(ISNUMBER(SEARCH("Conocer",$R1178))+ISNUMBER(SEARCH("Aplicar",$R1178))+ISNUMBER(SEARCH("Razonar",$R1178))),0)</f>
        <v>0</v>
      </c>
      <c r="U1178" s="121" cm="1">
        <f t="array" ref="U1178">_xlfn.IFERROR(ISNUMBER(SEARCH("Razonar",$R1178))/(ISNUMBER(SEARCH("Conocer",$R1178))+ISNUMBER(SEARCH("Aplicar",$R1178))+ISNUMBER(SEARCH("Razonar",$R1178))),0)</f>
        <v>0.5</v>
      </c>
      <c r="V1178" t="s" s="35">
        <v>1409</v>
      </c>
      <c r="W1178" t="s" s="35">
        <v>7006</v>
      </c>
      <c r="X1178" s="36" cm="1">
        <f t="array" ref="X1178">IF(OR(_xlfn.IFERROR(INDEX('Datos - Catálogo TIMSS'!$I$5:$I$107,MATCH(K1178,'Datos - Catálogo TIMSS'!$A$5:$A$107,0)),"No")="Sí",_xlfn.IFERROR(INDEX('Datos - Catálogo TIMSS'!$I$5:$I$107,MATCH(L1178,'Datos - Catálogo TIMSS'!$A$5:$A$107,0)),"No")="Sí"),1,0)</f>
        <v>0</v>
      </c>
      <c r="Y1178" s="36" cm="1">
        <f t="array" ref="Y1178">IF(_xlfn.IFERROR(INDEX('Datos - Catálogo TIMSS'!$J$5:$J$107,MATCH(K1178,'Datos - Catálogo TIMSS'!$A$5:$A$107,0)),"No")="Sí",1,0)</f>
        <v>0</v>
      </c>
      <c r="Z1178" s="36" cm="1">
        <f t="array" ref="Z1178">IF(_xlfn.IFERROR(INDEX('Datos - Catálogo TIMSS'!$J$5:$J$107,MATCH(L1178,'Datos - Catálogo TIMSS'!$A$5:$A$107,0)),"No")="Sí",1,0)</f>
        <v>0</v>
      </c>
      <c r="AA1178" t="s" s="35">
        <v>1058</v>
      </c>
      <c r="AB1178" s="39"/>
      <c r="AC1178" t="str" s="39">
        <v>Sin marco</v>
      </c>
      <c r="AD1178" t="s" s="35">
        <v>1900</v>
      </c>
      <c r="AE1178" t="str" s="39" cm="1">
        <f t="array" ref="AE1178">IF(AD1178="","",IF(LEFT(AD1178,1)="1","C1",IF(LEFT(AD1178,1)="2","C2",IF(LEFT(AD1178,1)="3","C3",""))))</f>
        <v>C3</v>
      </c>
      <c r="AF1178" t="s" s="35">
        <v>1615</v>
      </c>
      <c r="AG1178" t="s" s="35">
        <v>1617</v>
      </c>
      <c r="AH1178" t="s" s="35">
        <v>1602</v>
      </c>
      <c r="AI1178" t="s" s="35">
        <v>1629</v>
      </c>
      <c r="AJ1178" t="s" s="35">
        <v>1631</v>
      </c>
      <c r="AK1178" s="39"/>
      <c r="AL1178" s="39"/>
      <c r="AM1178" s="39"/>
      <c r="AN1178" s="39"/>
      <c r="AO1178" s="39"/>
      <c r="AP1178" s="39"/>
      <c r="AQ1178" s="39"/>
      <c r="AR1178" s="39"/>
      <c r="AS1178" s="39"/>
      <c r="AT1178" s="39"/>
      <c r="AU1178" s="39"/>
      <c r="AV1178" s="39"/>
      <c r="AW1178" t="str" s="39" cm="1">
        <f t="array" ref="AW1178">AF1178&amp;"; "&amp;AG1178&amp;"; "&amp;AH1178&amp;"; "&amp;AI1178&amp;"; "&amp;AJ1178</f>
        <v>E6; D1; E1; I3; I4</v>
      </c>
    </row>
    <row r="1179" ht="13.65" customHeight="1">
      <c r="A1179" t="s" s="35">
        <v>7298</v>
      </c>
      <c r="B1179" s="36">
        <v>11</v>
      </c>
      <c r="C1179" t="s" s="35">
        <v>210</v>
      </c>
      <c r="D1179" t="s" s="35">
        <v>7000</v>
      </c>
      <c r="E1179" t="s" s="35">
        <v>7275</v>
      </c>
      <c r="F1179" s="36">
        <v>9</v>
      </c>
      <c r="G1179" t="s" s="35">
        <v>7276</v>
      </c>
      <c r="H1179" t="s" s="35">
        <v>7299</v>
      </c>
      <c r="I1179" t="s" s="120">
        <v>7300</v>
      </c>
      <c r="J1179" t="s" s="35">
        <v>6185</v>
      </c>
      <c r="K1179" t="s" s="35">
        <v>1058</v>
      </c>
      <c r="L1179" s="39"/>
      <c r="M1179" t="str" s="39">
        <v>Sin marco</v>
      </c>
      <c r="N1179" t="str" s="39">
        <v>Sin marco</v>
      </c>
      <c r="O1179" t="str" s="39" cm="1">
        <f t="array" ref="O1179">IF(L1179="","",_xlfn.IFERROR(INDEX('Datos - Catálogo TIMSS'!$C$5:$C$107,MATCH(L1179,'Datos - Catálogo TIMSS'!$A$5:$A$107,0)),"?"))</f>
      </c>
      <c r="P1179" t="s" s="35">
        <v>1058</v>
      </c>
      <c r="Q1179" t="s" s="120">
        <v>6186</v>
      </c>
      <c r="R1179" t="s" s="120">
        <v>7301</v>
      </c>
      <c r="S1179" s="121" cm="1">
        <f t="array" ref="S1179">_xlfn.IFERROR(ISNUMBER(SEARCH("Conocer",$R1179))/(ISNUMBER(SEARCH("Conocer",$R1179))+ISNUMBER(SEARCH("Aplicar",$R1179))+ISNUMBER(SEARCH("Razonar",$R1179))),0)</f>
        <v>0.5</v>
      </c>
      <c r="T1179" s="121" cm="1">
        <f t="array" ref="T1179">_xlfn.IFERROR(ISNUMBER(SEARCH("Aplicar",$R1179))/(ISNUMBER(SEARCH("Conocer",$R1179))+ISNUMBER(SEARCH("Aplicar",$R1179))+ISNUMBER(SEARCH("Razonar",$R1179))),0)</f>
        <v>0.5</v>
      </c>
      <c r="U1179" s="121" cm="1">
        <f t="array" ref="U1179">_xlfn.IFERROR(ISNUMBER(SEARCH("Razonar",$R1179))/(ISNUMBER(SEARCH("Conocer",$R1179))+ISNUMBER(SEARCH("Aplicar",$R1179))+ISNUMBER(SEARCH("Razonar",$R1179))),0)</f>
        <v>0</v>
      </c>
      <c r="V1179" t="s" s="35">
        <v>1409</v>
      </c>
      <c r="W1179" t="s" s="35">
        <v>7006</v>
      </c>
      <c r="X1179" s="36" cm="1">
        <f t="array" ref="X1179">IF(OR(_xlfn.IFERROR(INDEX('Datos - Catálogo TIMSS'!$I$5:$I$107,MATCH(K1179,'Datos - Catálogo TIMSS'!$A$5:$A$107,0)),"No")="Sí",_xlfn.IFERROR(INDEX('Datos - Catálogo TIMSS'!$I$5:$I$107,MATCH(L1179,'Datos - Catálogo TIMSS'!$A$5:$A$107,0)),"No")="Sí"),1,0)</f>
        <v>0</v>
      </c>
      <c r="Y1179" s="36" cm="1">
        <f t="array" ref="Y1179">IF(_xlfn.IFERROR(INDEX('Datos - Catálogo TIMSS'!$J$5:$J$107,MATCH(K1179,'Datos - Catálogo TIMSS'!$A$5:$A$107,0)),"No")="Sí",1,0)</f>
        <v>0</v>
      </c>
      <c r="Z1179" s="36" cm="1">
        <f t="array" ref="Z1179">IF(_xlfn.IFERROR(INDEX('Datos - Catálogo TIMSS'!$J$5:$J$107,MATCH(L1179,'Datos - Catálogo TIMSS'!$A$5:$A$107,0)),"No")="Sí",1,0)</f>
        <v>0</v>
      </c>
      <c r="AA1179" t="s" s="35">
        <v>1058</v>
      </c>
      <c r="AB1179" s="39"/>
      <c r="AC1179" t="str" s="39">
        <v>Sin marco</v>
      </c>
      <c r="AD1179" t="s" s="35">
        <v>1900</v>
      </c>
      <c r="AE1179" t="str" s="39" cm="1">
        <f t="array" ref="AE1179">IF(AD1179="","",IF(LEFT(AD1179,1)="1","C1",IF(LEFT(AD1179,1)="2","C2",IF(LEFT(AD1179,1)="3","C3",""))))</f>
        <v>C3</v>
      </c>
      <c r="AF1179" t="s" s="35">
        <v>1615</v>
      </c>
      <c r="AG1179" t="s" s="35">
        <v>1612</v>
      </c>
      <c r="AH1179" t="s" s="35">
        <v>1602</v>
      </c>
      <c r="AI1179" t="s" s="35">
        <v>1625</v>
      </c>
      <c r="AJ1179" t="s" s="35">
        <v>1615</v>
      </c>
      <c r="AK1179" s="39"/>
      <c r="AL1179" s="39"/>
      <c r="AM1179" s="39"/>
      <c r="AN1179" s="39"/>
      <c r="AO1179" s="39"/>
      <c r="AP1179" s="39"/>
      <c r="AQ1179" s="39"/>
      <c r="AR1179" s="39"/>
      <c r="AS1179" s="39"/>
      <c r="AT1179" s="39"/>
      <c r="AU1179" s="39"/>
      <c r="AV1179" s="39"/>
      <c r="AW1179" t="str" s="39" cm="1">
        <f t="array" ref="AW1179">AF1179&amp;"; "&amp;AG1179&amp;"; "&amp;AH1179&amp;"; "&amp;AI1179&amp;"; "&amp;AJ1179</f>
        <v>E6; E5; E1; I1; E6</v>
      </c>
    </row>
    <row r="1180" ht="13.65" customHeight="1">
      <c r="A1180" t="s" s="35">
        <v>7303</v>
      </c>
      <c r="B1180" s="36">
        <v>11</v>
      </c>
      <c r="C1180" t="s" s="35">
        <v>210</v>
      </c>
      <c r="D1180" t="s" s="35">
        <v>7000</v>
      </c>
      <c r="E1180" t="s" s="35">
        <v>7275</v>
      </c>
      <c r="F1180" s="36">
        <v>10</v>
      </c>
      <c r="G1180" t="s" s="35">
        <v>7276</v>
      </c>
      <c r="H1180" t="s" s="35">
        <v>7299</v>
      </c>
      <c r="I1180" t="s" s="120">
        <v>7304</v>
      </c>
      <c r="J1180" t="s" s="35">
        <v>6185</v>
      </c>
      <c r="K1180" t="s" s="35">
        <v>1058</v>
      </c>
      <c r="L1180" s="39"/>
      <c r="M1180" t="str" s="39">
        <v>Sin marco</v>
      </c>
      <c r="N1180" t="str" s="39">
        <v>Sin marco</v>
      </c>
      <c r="O1180" t="str" s="39" cm="1">
        <f t="array" ref="O1180">IF(L1180="","",_xlfn.IFERROR(INDEX('Datos - Catálogo TIMSS'!$C$5:$C$107,MATCH(L1180,'Datos - Catálogo TIMSS'!$A$5:$A$107,0)),"?"))</f>
      </c>
      <c r="P1180" t="s" s="35">
        <v>1058</v>
      </c>
      <c r="Q1180" t="s" s="120">
        <v>6186</v>
      </c>
      <c r="R1180" t="s" s="120">
        <v>7305</v>
      </c>
      <c r="S1180" s="121" cm="1">
        <f t="array" ref="S1180">_xlfn.IFERROR(ISNUMBER(SEARCH("Conocer",$R1180))/(ISNUMBER(SEARCH("Conocer",$R1180))+ISNUMBER(SEARCH("Aplicar",$R1180))+ISNUMBER(SEARCH("Razonar",$R1180))),0)</f>
        <v>0</v>
      </c>
      <c r="T1180" s="121" cm="1">
        <f t="array" ref="T1180">_xlfn.IFERROR(ISNUMBER(SEARCH("Aplicar",$R1180))/(ISNUMBER(SEARCH("Conocer",$R1180))+ISNUMBER(SEARCH("Aplicar",$R1180))+ISNUMBER(SEARCH("Razonar",$R1180))),0)</f>
        <v>0.5</v>
      </c>
      <c r="U1180" s="121" cm="1">
        <f t="array" ref="U1180">_xlfn.IFERROR(ISNUMBER(SEARCH("Razonar",$R1180))/(ISNUMBER(SEARCH("Conocer",$R1180))+ISNUMBER(SEARCH("Aplicar",$R1180))+ISNUMBER(SEARCH("Razonar",$R1180))),0)</f>
        <v>0.5</v>
      </c>
      <c r="V1180" t="s" s="35">
        <v>1409</v>
      </c>
      <c r="W1180" t="s" s="35">
        <v>7006</v>
      </c>
      <c r="X1180" s="36" cm="1">
        <f t="array" ref="X1180">IF(OR(_xlfn.IFERROR(INDEX('Datos - Catálogo TIMSS'!$I$5:$I$107,MATCH(K1180,'Datos - Catálogo TIMSS'!$A$5:$A$107,0)),"No")="Sí",_xlfn.IFERROR(INDEX('Datos - Catálogo TIMSS'!$I$5:$I$107,MATCH(L1180,'Datos - Catálogo TIMSS'!$A$5:$A$107,0)),"No")="Sí"),1,0)</f>
        <v>0</v>
      </c>
      <c r="Y1180" s="36" cm="1">
        <f t="array" ref="Y1180">IF(_xlfn.IFERROR(INDEX('Datos - Catálogo TIMSS'!$J$5:$J$107,MATCH(K1180,'Datos - Catálogo TIMSS'!$A$5:$A$107,0)),"No")="Sí",1,0)</f>
        <v>0</v>
      </c>
      <c r="Z1180" s="36" cm="1">
        <f t="array" ref="Z1180">IF(_xlfn.IFERROR(INDEX('Datos - Catálogo TIMSS'!$J$5:$J$107,MATCH(L1180,'Datos - Catálogo TIMSS'!$A$5:$A$107,0)),"No")="Sí",1,0)</f>
        <v>0</v>
      </c>
      <c r="AA1180" t="s" s="35">
        <v>1058</v>
      </c>
      <c r="AB1180" s="39"/>
      <c r="AC1180" t="str" s="39">
        <v>Sin marco</v>
      </c>
      <c r="AD1180" t="s" s="35">
        <v>1834</v>
      </c>
      <c r="AE1180" t="str" s="39" cm="1">
        <f t="array" ref="AE1180">IF(AD1180="","",IF(LEFT(AD1180,1)="1","C1",IF(LEFT(AD1180,1)="2","C2",IF(LEFT(AD1180,1)="3","C3",""))))</f>
        <v>C2</v>
      </c>
      <c r="AF1180" t="s" s="35">
        <v>1602</v>
      </c>
      <c r="AG1180" t="s" s="35">
        <v>1612</v>
      </c>
      <c r="AH1180" t="s" s="35">
        <v>1605</v>
      </c>
      <c r="AI1180" t="s" s="35">
        <v>1623</v>
      </c>
      <c r="AJ1180" t="s" s="35">
        <v>1627</v>
      </c>
      <c r="AK1180" s="39"/>
      <c r="AL1180" s="39"/>
      <c r="AM1180" s="39"/>
      <c r="AN1180" s="39"/>
      <c r="AO1180" s="39"/>
      <c r="AP1180" s="39"/>
      <c r="AQ1180" s="39"/>
      <c r="AR1180" s="39"/>
      <c r="AS1180" s="39"/>
      <c r="AT1180" s="39"/>
      <c r="AU1180" s="39"/>
      <c r="AV1180" s="39"/>
      <c r="AW1180" t="str" s="39" cm="1">
        <f t="array" ref="AW1180">AF1180&amp;"; "&amp;AG1180&amp;"; "&amp;AH1180&amp;"; "&amp;AI1180&amp;"; "&amp;AJ1180</f>
        <v>E1; E5; E2; D4; I2</v>
      </c>
    </row>
    <row r="1181" ht="13.65" customHeight="1">
      <c r="A1181" t="s" s="35">
        <v>7307</v>
      </c>
      <c r="B1181" s="36">
        <v>11</v>
      </c>
      <c r="C1181" t="s" s="35">
        <v>210</v>
      </c>
      <c r="D1181" t="s" s="35">
        <v>7000</v>
      </c>
      <c r="E1181" t="s" s="35">
        <v>7275</v>
      </c>
      <c r="F1181" s="36">
        <v>11</v>
      </c>
      <c r="G1181" t="s" s="35">
        <v>7276</v>
      </c>
      <c r="H1181" t="s" s="35">
        <v>7299</v>
      </c>
      <c r="I1181" t="s" s="120">
        <v>7308</v>
      </c>
      <c r="J1181" t="s" s="35">
        <v>6185</v>
      </c>
      <c r="K1181" t="s" s="35">
        <v>1058</v>
      </c>
      <c r="L1181" s="39"/>
      <c r="M1181" t="str" s="39">
        <v>Sin marco</v>
      </c>
      <c r="N1181" t="str" s="39">
        <v>Sin marco</v>
      </c>
      <c r="O1181" t="str" s="39" cm="1">
        <f t="array" ref="O1181">IF(L1181="","",_xlfn.IFERROR(INDEX('Datos - Catálogo TIMSS'!$C$5:$C$107,MATCH(L1181,'Datos - Catálogo TIMSS'!$A$5:$A$107,0)),"?"))</f>
      </c>
      <c r="P1181" t="s" s="35">
        <v>1058</v>
      </c>
      <c r="Q1181" t="s" s="120">
        <v>6186</v>
      </c>
      <c r="R1181" t="s" s="120">
        <v>7309</v>
      </c>
      <c r="S1181" s="121" cm="1">
        <f t="array" ref="S1181">_xlfn.IFERROR(ISNUMBER(SEARCH("Conocer",$R1181))/(ISNUMBER(SEARCH("Conocer",$R1181))+ISNUMBER(SEARCH("Aplicar",$R1181))+ISNUMBER(SEARCH("Razonar",$R1181))),0)</f>
        <v>0.5</v>
      </c>
      <c r="T1181" s="121" cm="1">
        <f t="array" ref="T1181">_xlfn.IFERROR(ISNUMBER(SEARCH("Aplicar",$R1181))/(ISNUMBER(SEARCH("Conocer",$R1181))+ISNUMBER(SEARCH("Aplicar",$R1181))+ISNUMBER(SEARCH("Razonar",$R1181))),0)</f>
        <v>0</v>
      </c>
      <c r="U1181" s="121" cm="1">
        <f t="array" ref="U1181">_xlfn.IFERROR(ISNUMBER(SEARCH("Razonar",$R1181))/(ISNUMBER(SEARCH("Conocer",$R1181))+ISNUMBER(SEARCH("Aplicar",$R1181))+ISNUMBER(SEARCH("Razonar",$R1181))),0)</f>
        <v>0.5</v>
      </c>
      <c r="V1181" t="s" s="35">
        <v>1409</v>
      </c>
      <c r="W1181" t="s" s="35">
        <v>7006</v>
      </c>
      <c r="X1181" s="36" cm="1">
        <f t="array" ref="X1181">IF(OR(_xlfn.IFERROR(INDEX('Datos - Catálogo TIMSS'!$I$5:$I$107,MATCH(K1181,'Datos - Catálogo TIMSS'!$A$5:$A$107,0)),"No")="Sí",_xlfn.IFERROR(INDEX('Datos - Catálogo TIMSS'!$I$5:$I$107,MATCH(L1181,'Datos - Catálogo TIMSS'!$A$5:$A$107,0)),"No")="Sí"),1,0)</f>
        <v>0</v>
      </c>
      <c r="Y1181" s="36" cm="1">
        <f t="array" ref="Y1181">IF(_xlfn.IFERROR(INDEX('Datos - Catálogo TIMSS'!$J$5:$J$107,MATCH(K1181,'Datos - Catálogo TIMSS'!$A$5:$A$107,0)),"No")="Sí",1,0)</f>
        <v>0</v>
      </c>
      <c r="Z1181" s="36" cm="1">
        <f t="array" ref="Z1181">IF(_xlfn.IFERROR(INDEX('Datos - Catálogo TIMSS'!$J$5:$J$107,MATCH(L1181,'Datos - Catálogo TIMSS'!$A$5:$A$107,0)),"No")="Sí",1,0)</f>
        <v>0</v>
      </c>
      <c r="AA1181" t="s" s="35">
        <v>1058</v>
      </c>
      <c r="AB1181" s="39"/>
      <c r="AC1181" t="str" s="39">
        <v>Sin marco</v>
      </c>
      <c r="AD1181" t="s" s="35">
        <v>1859</v>
      </c>
      <c r="AE1181" t="str" s="39" cm="1">
        <f t="array" ref="AE1181">IF(AD1181="","",IF(LEFT(AD1181,1)="1","C1",IF(LEFT(AD1181,1)="2","C2",IF(LEFT(AD1181,1)="3","C3",""))))</f>
        <v>C1</v>
      </c>
      <c r="AF1181" t="s" s="35">
        <v>1602</v>
      </c>
      <c r="AG1181" t="s" s="35">
        <v>1607</v>
      </c>
      <c r="AH1181" t="s" s="35">
        <v>1609</v>
      </c>
      <c r="AI1181" t="s" s="35">
        <v>1629</v>
      </c>
      <c r="AJ1181" t="s" s="35">
        <v>1615</v>
      </c>
      <c r="AK1181" s="39"/>
      <c r="AL1181" s="39"/>
      <c r="AM1181" s="39"/>
      <c r="AN1181" s="39"/>
      <c r="AO1181" s="39"/>
      <c r="AP1181" s="39"/>
      <c r="AQ1181" s="39"/>
      <c r="AR1181" s="39"/>
      <c r="AS1181" s="39"/>
      <c r="AT1181" s="39"/>
      <c r="AU1181" s="39"/>
      <c r="AV1181" s="39"/>
      <c r="AW1181" t="str" s="39" cm="1">
        <f t="array" ref="AW1181">AF1181&amp;"; "&amp;AG1181&amp;"; "&amp;AH1181&amp;"; "&amp;AI1181&amp;"; "&amp;AJ1181</f>
        <v>E1; E3; E4; I3; E6</v>
      </c>
    </row>
    <row r="1182" ht="13.65" customHeight="1">
      <c r="A1182" t="s" s="35">
        <v>7310</v>
      </c>
      <c r="B1182" s="36">
        <v>11</v>
      </c>
      <c r="C1182" t="s" s="35">
        <v>210</v>
      </c>
      <c r="D1182" t="s" s="35">
        <v>7000</v>
      </c>
      <c r="E1182" t="s" s="35">
        <v>7275</v>
      </c>
      <c r="F1182" s="36">
        <v>12</v>
      </c>
      <c r="G1182" t="s" s="35">
        <v>7276</v>
      </c>
      <c r="H1182" t="s" s="35">
        <v>7311</v>
      </c>
      <c r="I1182" t="s" s="120">
        <v>7312</v>
      </c>
      <c r="J1182" t="s" s="35">
        <v>6185</v>
      </c>
      <c r="K1182" t="s" s="35">
        <v>1058</v>
      </c>
      <c r="L1182" s="39"/>
      <c r="M1182" t="str" s="39">
        <v>Sin marco</v>
      </c>
      <c r="N1182" t="str" s="39">
        <v>Sin marco</v>
      </c>
      <c r="O1182" t="str" s="39" cm="1">
        <f t="array" ref="O1182">IF(L1182="","",_xlfn.IFERROR(INDEX('Datos - Catálogo TIMSS'!$C$5:$C$107,MATCH(L1182,'Datos - Catálogo TIMSS'!$A$5:$A$107,0)),"?"))</f>
      </c>
      <c r="P1182" t="s" s="35">
        <v>1058</v>
      </c>
      <c r="Q1182" t="s" s="120">
        <v>6186</v>
      </c>
      <c r="R1182" t="s" s="120">
        <v>7313</v>
      </c>
      <c r="S1182" s="121" cm="1">
        <f t="array" ref="S1182">_xlfn.IFERROR(ISNUMBER(SEARCH("Conocer",$R1182))/(ISNUMBER(SEARCH("Conocer",$R1182))+ISNUMBER(SEARCH("Aplicar",$R1182))+ISNUMBER(SEARCH("Razonar",$R1182))),0)</f>
        <v>0.5</v>
      </c>
      <c r="T1182" s="121" cm="1">
        <f t="array" ref="T1182">_xlfn.IFERROR(ISNUMBER(SEARCH("Aplicar",$R1182))/(ISNUMBER(SEARCH("Conocer",$R1182))+ISNUMBER(SEARCH("Aplicar",$R1182))+ISNUMBER(SEARCH("Razonar",$R1182))),0)</f>
        <v>0</v>
      </c>
      <c r="U1182" s="121" cm="1">
        <f t="array" ref="U1182">_xlfn.IFERROR(ISNUMBER(SEARCH("Razonar",$R1182))/(ISNUMBER(SEARCH("Conocer",$R1182))+ISNUMBER(SEARCH("Aplicar",$R1182))+ISNUMBER(SEARCH("Razonar",$R1182))),0)</f>
        <v>0.5</v>
      </c>
      <c r="V1182" t="s" s="35">
        <v>1409</v>
      </c>
      <c r="W1182" t="s" s="35">
        <v>7006</v>
      </c>
      <c r="X1182" s="36" cm="1">
        <f t="array" ref="X1182">IF(OR(_xlfn.IFERROR(INDEX('Datos - Catálogo TIMSS'!$I$5:$I$107,MATCH(K1182,'Datos - Catálogo TIMSS'!$A$5:$A$107,0)),"No")="Sí",_xlfn.IFERROR(INDEX('Datos - Catálogo TIMSS'!$I$5:$I$107,MATCH(L1182,'Datos - Catálogo TIMSS'!$A$5:$A$107,0)),"No")="Sí"),1,0)</f>
        <v>0</v>
      </c>
      <c r="Y1182" s="36" cm="1">
        <f t="array" ref="Y1182">IF(_xlfn.IFERROR(INDEX('Datos - Catálogo TIMSS'!$J$5:$J$107,MATCH(K1182,'Datos - Catálogo TIMSS'!$A$5:$A$107,0)),"No")="Sí",1,0)</f>
        <v>0</v>
      </c>
      <c r="Z1182" s="36" cm="1">
        <f t="array" ref="Z1182">IF(_xlfn.IFERROR(INDEX('Datos - Catálogo TIMSS'!$J$5:$J$107,MATCH(L1182,'Datos - Catálogo TIMSS'!$A$5:$A$107,0)),"No")="Sí",1,0)</f>
        <v>0</v>
      </c>
      <c r="AA1182" t="s" s="35">
        <v>1058</v>
      </c>
      <c r="AB1182" s="39"/>
      <c r="AC1182" t="str" s="39">
        <v>Sin marco</v>
      </c>
      <c r="AD1182" t="s" s="35">
        <v>1900</v>
      </c>
      <c r="AE1182" t="str" s="39" cm="1">
        <f t="array" ref="AE1182">IF(AD1182="","",IF(LEFT(AD1182,1)="1","C1",IF(LEFT(AD1182,1)="2","C2",IF(LEFT(AD1182,1)="3","C3",""))))</f>
        <v>C3</v>
      </c>
      <c r="AF1182" t="s" s="35">
        <v>1602</v>
      </c>
      <c r="AG1182" t="s" s="35">
        <v>1617</v>
      </c>
      <c r="AH1182" t="s" s="35">
        <v>1602</v>
      </c>
      <c r="AI1182" t="s" s="35">
        <v>1625</v>
      </c>
      <c r="AJ1182" t="s" s="35">
        <v>1633</v>
      </c>
      <c r="AK1182" s="39"/>
      <c r="AL1182" s="39"/>
      <c r="AM1182" s="39"/>
      <c r="AN1182" s="39"/>
      <c r="AO1182" s="39"/>
      <c r="AP1182" s="39"/>
      <c r="AQ1182" s="39"/>
      <c r="AR1182" s="39"/>
      <c r="AS1182" s="39"/>
      <c r="AT1182" s="39"/>
      <c r="AU1182" s="39"/>
      <c r="AV1182" s="39"/>
      <c r="AW1182" t="str" s="39" cm="1">
        <f t="array" ref="AW1182">AF1182&amp;"; "&amp;AG1182&amp;"; "&amp;AH1182&amp;"; "&amp;AI1182&amp;"; "&amp;AJ1182</f>
        <v>E1; D1; E1; I1; I5</v>
      </c>
    </row>
    <row r="1183" ht="13.65" customHeight="1">
      <c r="A1183" t="s" s="35">
        <v>7314</v>
      </c>
      <c r="B1183" s="36">
        <v>11</v>
      </c>
      <c r="C1183" t="s" s="35">
        <v>210</v>
      </c>
      <c r="D1183" t="s" s="35">
        <v>7000</v>
      </c>
      <c r="E1183" t="s" s="35">
        <v>7275</v>
      </c>
      <c r="F1183" s="36">
        <v>13</v>
      </c>
      <c r="G1183" t="s" s="35">
        <v>7276</v>
      </c>
      <c r="H1183" t="s" s="35">
        <v>7311</v>
      </c>
      <c r="I1183" t="s" s="120">
        <v>7315</v>
      </c>
      <c r="J1183" t="s" s="35">
        <v>6185</v>
      </c>
      <c r="K1183" t="s" s="35">
        <v>1058</v>
      </c>
      <c r="L1183" s="39"/>
      <c r="M1183" t="str" s="39">
        <v>Sin marco</v>
      </c>
      <c r="N1183" t="str" s="39">
        <v>Sin marco</v>
      </c>
      <c r="O1183" t="str" s="39" cm="1">
        <f t="array" ref="O1183">IF(L1183="","",_xlfn.IFERROR(INDEX('Datos - Catálogo TIMSS'!$C$5:$C$107,MATCH(L1183,'Datos - Catálogo TIMSS'!$A$5:$A$107,0)),"?"))</f>
      </c>
      <c r="P1183" t="s" s="35">
        <v>1058</v>
      </c>
      <c r="Q1183" t="s" s="120">
        <v>6186</v>
      </c>
      <c r="R1183" t="s" s="120">
        <v>7316</v>
      </c>
      <c r="S1183" s="121" cm="1">
        <f t="array" ref="S1183">_xlfn.IFERROR(ISNUMBER(SEARCH("Conocer",$R1183))/(ISNUMBER(SEARCH("Conocer",$R1183))+ISNUMBER(SEARCH("Aplicar",$R1183))+ISNUMBER(SEARCH("Razonar",$R1183))),0)</f>
        <v>0</v>
      </c>
      <c r="T1183" s="121" cm="1">
        <f t="array" ref="T1183">_xlfn.IFERROR(ISNUMBER(SEARCH("Aplicar",$R1183))/(ISNUMBER(SEARCH("Conocer",$R1183))+ISNUMBER(SEARCH("Aplicar",$R1183))+ISNUMBER(SEARCH("Razonar",$R1183))),0)</f>
        <v>0.5</v>
      </c>
      <c r="U1183" s="121" cm="1">
        <f t="array" ref="U1183">_xlfn.IFERROR(ISNUMBER(SEARCH("Razonar",$R1183))/(ISNUMBER(SEARCH("Conocer",$R1183))+ISNUMBER(SEARCH("Aplicar",$R1183))+ISNUMBER(SEARCH("Razonar",$R1183))),0)</f>
        <v>0.5</v>
      </c>
      <c r="V1183" t="s" s="35">
        <v>1409</v>
      </c>
      <c r="W1183" t="s" s="35">
        <v>7006</v>
      </c>
      <c r="X1183" s="36" cm="1">
        <f t="array" ref="X1183">IF(OR(_xlfn.IFERROR(INDEX('Datos - Catálogo TIMSS'!$I$5:$I$107,MATCH(K1183,'Datos - Catálogo TIMSS'!$A$5:$A$107,0)),"No")="Sí",_xlfn.IFERROR(INDEX('Datos - Catálogo TIMSS'!$I$5:$I$107,MATCH(L1183,'Datos - Catálogo TIMSS'!$A$5:$A$107,0)),"No")="Sí"),1,0)</f>
        <v>0</v>
      </c>
      <c r="Y1183" s="36" cm="1">
        <f t="array" ref="Y1183">IF(_xlfn.IFERROR(INDEX('Datos - Catálogo TIMSS'!$J$5:$J$107,MATCH(K1183,'Datos - Catálogo TIMSS'!$A$5:$A$107,0)),"No")="Sí",1,0)</f>
        <v>0</v>
      </c>
      <c r="Z1183" s="36" cm="1">
        <f t="array" ref="Z1183">IF(_xlfn.IFERROR(INDEX('Datos - Catálogo TIMSS'!$J$5:$J$107,MATCH(L1183,'Datos - Catálogo TIMSS'!$A$5:$A$107,0)),"No")="Sí",1,0)</f>
        <v>0</v>
      </c>
      <c r="AA1183" t="s" s="35">
        <v>1058</v>
      </c>
      <c r="AB1183" s="39"/>
      <c r="AC1183" t="str" s="39">
        <v>Sin marco</v>
      </c>
      <c r="AD1183" t="s" s="35">
        <v>1834</v>
      </c>
      <c r="AE1183" t="str" s="39" cm="1">
        <f t="array" ref="AE1183">IF(AD1183="","",IF(LEFT(AD1183,1)="1","C1",IF(LEFT(AD1183,1)="2","C2",IF(LEFT(AD1183,1)="3","C3",""))))</f>
        <v>C2</v>
      </c>
      <c r="AF1183" t="s" s="35">
        <v>1602</v>
      </c>
      <c r="AG1183" t="s" s="35">
        <v>1617</v>
      </c>
      <c r="AH1183" t="s" s="35">
        <v>1605</v>
      </c>
      <c r="AI1183" t="s" s="35">
        <v>1619</v>
      </c>
      <c r="AJ1183" t="s" s="35">
        <v>1621</v>
      </c>
      <c r="AK1183" s="39"/>
      <c r="AL1183" s="39"/>
      <c r="AM1183" s="39"/>
      <c r="AN1183" s="39"/>
      <c r="AO1183" s="39"/>
      <c r="AP1183" s="39"/>
      <c r="AQ1183" s="39"/>
      <c r="AR1183" s="39"/>
      <c r="AS1183" s="39"/>
      <c r="AT1183" s="39"/>
      <c r="AU1183" s="39"/>
      <c r="AV1183" s="39"/>
      <c r="AW1183" t="str" s="39" cm="1">
        <f t="array" ref="AW1183">AF1183&amp;"; "&amp;AG1183&amp;"; "&amp;AH1183&amp;"; "&amp;AI1183&amp;"; "&amp;AJ1183</f>
        <v>E1; D1; E2; D2; D3</v>
      </c>
    </row>
    <row r="1184" ht="13.65" customHeight="1">
      <c r="A1184" t="s" s="35">
        <v>7317</v>
      </c>
      <c r="B1184" s="36">
        <v>11</v>
      </c>
      <c r="C1184" t="s" s="35">
        <v>210</v>
      </c>
      <c r="D1184" t="s" s="35">
        <v>7000</v>
      </c>
      <c r="E1184" t="s" s="35">
        <v>7275</v>
      </c>
      <c r="F1184" s="36">
        <v>14</v>
      </c>
      <c r="G1184" t="s" s="35">
        <v>7276</v>
      </c>
      <c r="H1184" t="s" s="35">
        <v>7311</v>
      </c>
      <c r="I1184" t="s" s="120">
        <v>7318</v>
      </c>
      <c r="J1184" t="s" s="35">
        <v>6185</v>
      </c>
      <c r="K1184" t="s" s="35">
        <v>1058</v>
      </c>
      <c r="L1184" s="39"/>
      <c r="M1184" t="str" s="39">
        <v>Sin marco</v>
      </c>
      <c r="N1184" t="str" s="39">
        <v>Sin marco</v>
      </c>
      <c r="O1184" t="str" s="39" cm="1">
        <f t="array" ref="O1184">IF(L1184="","",_xlfn.IFERROR(INDEX('Datos - Catálogo TIMSS'!$C$5:$C$107,MATCH(L1184,'Datos - Catálogo TIMSS'!$A$5:$A$107,0)),"?"))</f>
      </c>
      <c r="P1184" t="s" s="35">
        <v>1058</v>
      </c>
      <c r="Q1184" t="s" s="120">
        <v>6186</v>
      </c>
      <c r="R1184" t="s" s="120">
        <v>7319</v>
      </c>
      <c r="S1184" s="121" cm="1">
        <f t="array" ref="S1184">_xlfn.IFERROR(ISNUMBER(SEARCH("Conocer",$R1184))/(ISNUMBER(SEARCH("Conocer",$R1184))+ISNUMBER(SEARCH("Aplicar",$R1184))+ISNUMBER(SEARCH("Razonar",$R1184))),0)</f>
        <v>0.5</v>
      </c>
      <c r="T1184" s="121" cm="1">
        <f t="array" ref="T1184">_xlfn.IFERROR(ISNUMBER(SEARCH("Aplicar",$R1184))/(ISNUMBER(SEARCH("Conocer",$R1184))+ISNUMBER(SEARCH("Aplicar",$R1184))+ISNUMBER(SEARCH("Razonar",$R1184))),0)</f>
        <v>0</v>
      </c>
      <c r="U1184" s="121" cm="1">
        <f t="array" ref="U1184">_xlfn.IFERROR(ISNUMBER(SEARCH("Razonar",$R1184))/(ISNUMBER(SEARCH("Conocer",$R1184))+ISNUMBER(SEARCH("Aplicar",$R1184))+ISNUMBER(SEARCH("Razonar",$R1184))),0)</f>
        <v>0.5</v>
      </c>
      <c r="V1184" t="s" s="35">
        <v>1409</v>
      </c>
      <c r="W1184" t="s" s="35">
        <v>7006</v>
      </c>
      <c r="X1184" s="36" cm="1">
        <f t="array" ref="X1184">IF(OR(_xlfn.IFERROR(INDEX('Datos - Catálogo TIMSS'!$I$5:$I$107,MATCH(K1184,'Datos - Catálogo TIMSS'!$A$5:$A$107,0)),"No")="Sí",_xlfn.IFERROR(INDEX('Datos - Catálogo TIMSS'!$I$5:$I$107,MATCH(L1184,'Datos - Catálogo TIMSS'!$A$5:$A$107,0)),"No")="Sí"),1,0)</f>
        <v>0</v>
      </c>
      <c r="Y1184" s="36" cm="1">
        <f t="array" ref="Y1184">IF(_xlfn.IFERROR(INDEX('Datos - Catálogo TIMSS'!$J$5:$J$107,MATCH(K1184,'Datos - Catálogo TIMSS'!$A$5:$A$107,0)),"No")="Sí",1,0)</f>
        <v>0</v>
      </c>
      <c r="Z1184" s="36" cm="1">
        <f t="array" ref="Z1184">IF(_xlfn.IFERROR(INDEX('Datos - Catálogo TIMSS'!$J$5:$J$107,MATCH(L1184,'Datos - Catálogo TIMSS'!$A$5:$A$107,0)),"No")="Sí",1,0)</f>
        <v>0</v>
      </c>
      <c r="AA1184" t="s" s="35">
        <v>1058</v>
      </c>
      <c r="AB1184" s="39"/>
      <c r="AC1184" t="str" s="39">
        <v>Sin marco</v>
      </c>
      <c r="AD1184" t="s" s="35">
        <v>1900</v>
      </c>
      <c r="AE1184" t="str" s="39" cm="1">
        <f t="array" ref="AE1184">IF(AD1184="","",IF(LEFT(AD1184,1)="1","C1",IF(LEFT(AD1184,1)="2","C2",IF(LEFT(AD1184,1)="3","C3",""))))</f>
        <v>C3</v>
      </c>
      <c r="AF1184" t="s" s="35">
        <v>1615</v>
      </c>
      <c r="AG1184" t="s" s="35">
        <v>1612</v>
      </c>
      <c r="AH1184" t="s" s="35">
        <v>1602</v>
      </c>
      <c r="AI1184" t="s" s="35">
        <v>1629</v>
      </c>
      <c r="AJ1184" t="s" s="35">
        <v>1633</v>
      </c>
      <c r="AK1184" s="39"/>
      <c r="AL1184" s="39"/>
      <c r="AM1184" s="39"/>
      <c r="AN1184" s="39"/>
      <c r="AO1184" s="39"/>
      <c r="AP1184" s="39"/>
      <c r="AQ1184" s="39"/>
      <c r="AR1184" s="39"/>
      <c r="AS1184" s="39"/>
      <c r="AT1184" s="39"/>
      <c r="AU1184" s="39"/>
      <c r="AV1184" s="39"/>
      <c r="AW1184" t="str" s="39" cm="1">
        <f t="array" ref="AW1184">AF1184&amp;"; "&amp;AG1184&amp;"; "&amp;AH1184&amp;"; "&amp;AI1184&amp;"; "&amp;AJ1184</f>
        <v>E6; E5; E1; I3; I5</v>
      </c>
    </row>
    <row r="1185" ht="13.65" customHeight="1">
      <c r="A1185" t="s" s="35">
        <v>7320</v>
      </c>
      <c r="B1185" s="36">
        <v>11</v>
      </c>
      <c r="C1185" t="s" s="35">
        <v>210</v>
      </c>
      <c r="D1185" t="s" s="35">
        <v>7000</v>
      </c>
      <c r="E1185" t="s" s="35">
        <v>7275</v>
      </c>
      <c r="F1185" s="36">
        <v>15</v>
      </c>
      <c r="G1185" t="s" s="35">
        <v>7321</v>
      </c>
      <c r="H1185" t="s" s="35">
        <v>7322</v>
      </c>
      <c r="I1185" t="s" s="120">
        <v>7323</v>
      </c>
      <c r="J1185" t="s" s="35">
        <v>6185</v>
      </c>
      <c r="K1185" t="s" s="35">
        <v>1058</v>
      </c>
      <c r="L1185" s="39"/>
      <c r="M1185" t="str" s="39">
        <v>Sin marco</v>
      </c>
      <c r="N1185" t="str" s="39">
        <v>Sin marco</v>
      </c>
      <c r="O1185" t="str" s="39" cm="1">
        <f t="array" ref="O1185">IF(L1185="","",_xlfn.IFERROR(INDEX('Datos - Catálogo TIMSS'!$C$5:$C$107,MATCH(L1185,'Datos - Catálogo TIMSS'!$A$5:$A$107,0)),"?"))</f>
      </c>
      <c r="P1185" t="s" s="35">
        <v>1058</v>
      </c>
      <c r="Q1185" t="s" s="120">
        <v>6186</v>
      </c>
      <c r="R1185" t="s" s="120">
        <v>7324</v>
      </c>
      <c r="S1185" s="121" cm="1">
        <f t="array" ref="S1185">_xlfn.IFERROR(ISNUMBER(SEARCH("Conocer",$R1185))/(ISNUMBER(SEARCH("Conocer",$R1185))+ISNUMBER(SEARCH("Aplicar",$R1185))+ISNUMBER(SEARCH("Razonar",$R1185))),0)</f>
        <v>0.5</v>
      </c>
      <c r="T1185" s="121" cm="1">
        <f t="array" ref="T1185">_xlfn.IFERROR(ISNUMBER(SEARCH("Aplicar",$R1185))/(ISNUMBER(SEARCH("Conocer",$R1185))+ISNUMBER(SEARCH("Aplicar",$R1185))+ISNUMBER(SEARCH("Razonar",$R1185))),0)</f>
        <v>0.5</v>
      </c>
      <c r="U1185" s="121" cm="1">
        <f t="array" ref="U1185">_xlfn.IFERROR(ISNUMBER(SEARCH("Razonar",$R1185))/(ISNUMBER(SEARCH("Conocer",$R1185))+ISNUMBER(SEARCH("Aplicar",$R1185))+ISNUMBER(SEARCH("Razonar",$R1185))),0)</f>
        <v>0</v>
      </c>
      <c r="V1185" t="s" s="35">
        <v>1409</v>
      </c>
      <c r="W1185" t="s" s="35">
        <v>7006</v>
      </c>
      <c r="X1185" s="36" cm="1">
        <f t="array" ref="X1185">IF(OR(_xlfn.IFERROR(INDEX('Datos - Catálogo TIMSS'!$I$5:$I$107,MATCH(K1185,'Datos - Catálogo TIMSS'!$A$5:$A$107,0)),"No")="Sí",_xlfn.IFERROR(INDEX('Datos - Catálogo TIMSS'!$I$5:$I$107,MATCH(L1185,'Datos - Catálogo TIMSS'!$A$5:$A$107,0)),"No")="Sí"),1,0)</f>
        <v>0</v>
      </c>
      <c r="Y1185" s="36" cm="1">
        <f t="array" ref="Y1185">IF(_xlfn.IFERROR(INDEX('Datos - Catálogo TIMSS'!$J$5:$J$107,MATCH(K1185,'Datos - Catálogo TIMSS'!$A$5:$A$107,0)),"No")="Sí",1,0)</f>
        <v>0</v>
      </c>
      <c r="Z1185" s="36" cm="1">
        <f t="array" ref="Z1185">IF(_xlfn.IFERROR(INDEX('Datos - Catálogo TIMSS'!$J$5:$J$107,MATCH(L1185,'Datos - Catálogo TIMSS'!$A$5:$A$107,0)),"No")="Sí",1,0)</f>
        <v>0</v>
      </c>
      <c r="AA1185" t="s" s="35">
        <v>1058</v>
      </c>
      <c r="AB1185" s="39"/>
      <c r="AC1185" t="str" s="39">
        <v>Sin marco</v>
      </c>
      <c r="AD1185" t="s" s="35">
        <v>1900</v>
      </c>
      <c r="AE1185" t="str" s="39" cm="1">
        <f t="array" ref="AE1185">IF(AD1185="","",IF(LEFT(AD1185,1)="1","C1",IF(LEFT(AD1185,1)="2","C2",IF(LEFT(AD1185,1)="3","C3",""))))</f>
        <v>C3</v>
      </c>
      <c r="AF1185" t="s" s="35">
        <v>1602</v>
      </c>
      <c r="AG1185" t="s" s="35">
        <v>1617</v>
      </c>
      <c r="AH1185" t="s" s="35">
        <v>1602</v>
      </c>
      <c r="AI1185" t="s" s="35">
        <v>1625</v>
      </c>
      <c r="AJ1185" t="s" s="35">
        <v>1615</v>
      </c>
      <c r="AK1185" s="39"/>
      <c r="AL1185" s="39"/>
      <c r="AM1185" s="39"/>
      <c r="AN1185" s="39"/>
      <c r="AO1185" s="39"/>
      <c r="AP1185" s="39"/>
      <c r="AQ1185" s="39"/>
      <c r="AR1185" s="39"/>
      <c r="AS1185" s="39"/>
      <c r="AT1185" s="39"/>
      <c r="AU1185" s="39"/>
      <c r="AV1185" s="39"/>
      <c r="AW1185" t="str" s="39" cm="1">
        <f t="array" ref="AW1185">AF1185&amp;"; "&amp;AG1185&amp;"; "&amp;AH1185&amp;"; "&amp;AI1185&amp;"; "&amp;AJ1185</f>
        <v>E1; D1; E1; I1; E6</v>
      </c>
    </row>
    <row r="1186" ht="13.65" customHeight="1">
      <c r="A1186" t="s" s="35">
        <v>7325</v>
      </c>
      <c r="B1186" s="36">
        <v>11</v>
      </c>
      <c r="C1186" t="s" s="35">
        <v>210</v>
      </c>
      <c r="D1186" t="s" s="35">
        <v>7000</v>
      </c>
      <c r="E1186" t="s" s="35">
        <v>7275</v>
      </c>
      <c r="F1186" s="36">
        <v>16</v>
      </c>
      <c r="G1186" t="s" s="35">
        <v>7321</v>
      </c>
      <c r="H1186" t="s" s="35">
        <v>7322</v>
      </c>
      <c r="I1186" t="s" s="120">
        <v>7326</v>
      </c>
      <c r="J1186" t="s" s="35">
        <v>6185</v>
      </c>
      <c r="K1186" t="s" s="35">
        <v>1058</v>
      </c>
      <c r="L1186" s="39"/>
      <c r="M1186" t="str" s="39">
        <v>Sin marco</v>
      </c>
      <c r="N1186" t="str" s="39">
        <v>Sin marco</v>
      </c>
      <c r="O1186" t="str" s="39" cm="1">
        <f t="array" ref="O1186">IF(L1186="","",_xlfn.IFERROR(INDEX('Datos - Catálogo TIMSS'!$C$5:$C$107,MATCH(L1186,'Datos - Catálogo TIMSS'!$A$5:$A$107,0)),"?"))</f>
      </c>
      <c r="P1186" t="s" s="35">
        <v>1058</v>
      </c>
      <c r="Q1186" t="s" s="120">
        <v>6186</v>
      </c>
      <c r="R1186" t="s" s="120">
        <v>7327</v>
      </c>
      <c r="S1186" s="121" cm="1">
        <f t="array" ref="S1186">_xlfn.IFERROR(ISNUMBER(SEARCH("Conocer",$R1186))/(ISNUMBER(SEARCH("Conocer",$R1186))+ISNUMBER(SEARCH("Aplicar",$R1186))+ISNUMBER(SEARCH("Razonar",$R1186))),0)</f>
        <v>0.333333333333333</v>
      </c>
      <c r="T1186" s="121" cm="1">
        <f t="array" ref="T1186">_xlfn.IFERROR(ISNUMBER(SEARCH("Aplicar",$R1186))/(ISNUMBER(SEARCH("Conocer",$R1186))+ISNUMBER(SEARCH("Aplicar",$R1186))+ISNUMBER(SEARCH("Razonar",$R1186))),0)</f>
        <v>0.333333333333333</v>
      </c>
      <c r="U1186" s="121" cm="1">
        <f t="array" ref="U1186">_xlfn.IFERROR(ISNUMBER(SEARCH("Razonar",$R1186))/(ISNUMBER(SEARCH("Conocer",$R1186))+ISNUMBER(SEARCH("Aplicar",$R1186))+ISNUMBER(SEARCH("Razonar",$R1186))),0)</f>
        <v>0.333333333333333</v>
      </c>
      <c r="V1186" t="s" s="35">
        <v>1409</v>
      </c>
      <c r="W1186" t="s" s="35">
        <v>7006</v>
      </c>
      <c r="X1186" s="36" cm="1">
        <f t="array" ref="X1186">IF(OR(_xlfn.IFERROR(INDEX('Datos - Catálogo TIMSS'!$I$5:$I$107,MATCH(K1186,'Datos - Catálogo TIMSS'!$A$5:$A$107,0)),"No")="Sí",_xlfn.IFERROR(INDEX('Datos - Catálogo TIMSS'!$I$5:$I$107,MATCH(L1186,'Datos - Catálogo TIMSS'!$A$5:$A$107,0)),"No")="Sí"),1,0)</f>
        <v>0</v>
      </c>
      <c r="Y1186" s="36" cm="1">
        <f t="array" ref="Y1186">IF(_xlfn.IFERROR(INDEX('Datos - Catálogo TIMSS'!$J$5:$J$107,MATCH(K1186,'Datos - Catálogo TIMSS'!$A$5:$A$107,0)),"No")="Sí",1,0)</f>
        <v>0</v>
      </c>
      <c r="Z1186" s="36" cm="1">
        <f t="array" ref="Z1186">IF(_xlfn.IFERROR(INDEX('Datos - Catálogo TIMSS'!$J$5:$J$107,MATCH(L1186,'Datos - Catálogo TIMSS'!$A$5:$A$107,0)),"No")="Sí",1,0)</f>
        <v>0</v>
      </c>
      <c r="AA1186" t="s" s="35">
        <v>1058</v>
      </c>
      <c r="AB1186" s="39"/>
      <c r="AC1186" t="str" s="39">
        <v>Sin marco</v>
      </c>
      <c r="AD1186" t="s" s="35">
        <v>1834</v>
      </c>
      <c r="AE1186" t="str" s="39" cm="1">
        <f t="array" ref="AE1186">IF(AD1186="","",IF(LEFT(AD1186,1)="1","C1",IF(LEFT(AD1186,1)="2","C2",IF(LEFT(AD1186,1)="3","C3",""))))</f>
        <v>C2</v>
      </c>
      <c r="AF1186" t="s" s="35">
        <v>1602</v>
      </c>
      <c r="AG1186" t="s" s="35">
        <v>1617</v>
      </c>
      <c r="AH1186" t="s" s="35">
        <v>1602</v>
      </c>
      <c r="AI1186" t="s" s="35">
        <v>1623</v>
      </c>
      <c r="AJ1186" t="s" s="35">
        <v>1615</v>
      </c>
      <c r="AK1186" s="39"/>
      <c r="AL1186" s="39"/>
      <c r="AM1186" s="39"/>
      <c r="AN1186" s="39"/>
      <c r="AO1186" s="39"/>
      <c r="AP1186" s="39"/>
      <c r="AQ1186" s="39"/>
      <c r="AR1186" s="39"/>
      <c r="AS1186" s="39"/>
      <c r="AT1186" s="39"/>
      <c r="AU1186" s="39"/>
      <c r="AV1186" s="39"/>
      <c r="AW1186" t="str" s="39" cm="1">
        <f t="array" ref="AW1186">AF1186&amp;"; "&amp;AG1186&amp;"; "&amp;AH1186&amp;"; "&amp;AI1186&amp;"; "&amp;AJ1186</f>
        <v>E1; D1; E1; D4; E6</v>
      </c>
    </row>
    <row r="1187" ht="13.65" customHeight="1">
      <c r="A1187" t="s" s="35">
        <v>7328</v>
      </c>
      <c r="B1187" s="36">
        <v>11</v>
      </c>
      <c r="C1187" t="s" s="35">
        <v>210</v>
      </c>
      <c r="D1187" t="s" s="35">
        <v>7000</v>
      </c>
      <c r="E1187" t="s" s="35">
        <v>7275</v>
      </c>
      <c r="F1187" s="36">
        <v>17</v>
      </c>
      <c r="G1187" t="s" s="35">
        <v>7321</v>
      </c>
      <c r="H1187" t="s" s="35">
        <v>7322</v>
      </c>
      <c r="I1187" t="s" s="120">
        <v>7329</v>
      </c>
      <c r="J1187" t="s" s="35">
        <v>6185</v>
      </c>
      <c r="K1187" t="s" s="35">
        <v>1058</v>
      </c>
      <c r="L1187" s="39"/>
      <c r="M1187" t="str" s="39">
        <v>Sin marco</v>
      </c>
      <c r="N1187" t="str" s="39">
        <v>Sin marco</v>
      </c>
      <c r="O1187" t="str" s="39" cm="1">
        <f t="array" ref="O1187">IF(L1187="","",_xlfn.IFERROR(INDEX('Datos - Catálogo TIMSS'!$C$5:$C$107,MATCH(L1187,'Datos - Catálogo TIMSS'!$A$5:$A$107,0)),"?"))</f>
      </c>
      <c r="P1187" t="s" s="35">
        <v>1058</v>
      </c>
      <c r="Q1187" t="s" s="120">
        <v>6186</v>
      </c>
      <c r="R1187" t="s" s="120">
        <v>7330</v>
      </c>
      <c r="S1187" s="121" cm="1">
        <f t="array" ref="S1187">_xlfn.IFERROR(ISNUMBER(SEARCH("Conocer",$R1187))/(ISNUMBER(SEARCH("Conocer",$R1187))+ISNUMBER(SEARCH("Aplicar",$R1187))+ISNUMBER(SEARCH("Razonar",$R1187))),0)</f>
        <v>0.5</v>
      </c>
      <c r="T1187" s="121" cm="1">
        <f t="array" ref="T1187">_xlfn.IFERROR(ISNUMBER(SEARCH("Aplicar",$R1187))/(ISNUMBER(SEARCH("Conocer",$R1187))+ISNUMBER(SEARCH("Aplicar",$R1187))+ISNUMBER(SEARCH("Razonar",$R1187))),0)</f>
        <v>0</v>
      </c>
      <c r="U1187" s="121" cm="1">
        <f t="array" ref="U1187">_xlfn.IFERROR(ISNUMBER(SEARCH("Razonar",$R1187))/(ISNUMBER(SEARCH("Conocer",$R1187))+ISNUMBER(SEARCH("Aplicar",$R1187))+ISNUMBER(SEARCH("Razonar",$R1187))),0)</f>
        <v>0.5</v>
      </c>
      <c r="V1187" t="s" s="35">
        <v>1409</v>
      </c>
      <c r="W1187" t="s" s="35">
        <v>7006</v>
      </c>
      <c r="X1187" s="36" cm="1">
        <f t="array" ref="X1187">IF(OR(_xlfn.IFERROR(INDEX('Datos - Catálogo TIMSS'!$I$5:$I$107,MATCH(K1187,'Datos - Catálogo TIMSS'!$A$5:$A$107,0)),"No")="Sí",_xlfn.IFERROR(INDEX('Datos - Catálogo TIMSS'!$I$5:$I$107,MATCH(L1187,'Datos - Catálogo TIMSS'!$A$5:$A$107,0)),"No")="Sí"),1,0)</f>
        <v>0</v>
      </c>
      <c r="Y1187" s="36" cm="1">
        <f t="array" ref="Y1187">IF(_xlfn.IFERROR(INDEX('Datos - Catálogo TIMSS'!$J$5:$J$107,MATCH(K1187,'Datos - Catálogo TIMSS'!$A$5:$A$107,0)),"No")="Sí",1,0)</f>
        <v>0</v>
      </c>
      <c r="Z1187" s="36" cm="1">
        <f t="array" ref="Z1187">IF(_xlfn.IFERROR(INDEX('Datos - Catálogo TIMSS'!$J$5:$J$107,MATCH(L1187,'Datos - Catálogo TIMSS'!$A$5:$A$107,0)),"No")="Sí",1,0)</f>
        <v>0</v>
      </c>
      <c r="AA1187" t="s" s="35">
        <v>1058</v>
      </c>
      <c r="AB1187" s="39"/>
      <c r="AC1187" t="str" s="39">
        <v>Sin marco</v>
      </c>
      <c r="AD1187" t="s" s="35">
        <v>1859</v>
      </c>
      <c r="AE1187" t="str" s="39" cm="1">
        <f t="array" ref="AE1187">IF(AD1187="","",IF(LEFT(AD1187,1)="1","C1",IF(LEFT(AD1187,1)="2","C2",IF(LEFT(AD1187,1)="3","C3",""))))</f>
        <v>C1</v>
      </c>
      <c r="AF1187" t="s" s="35">
        <v>1602</v>
      </c>
      <c r="AG1187" t="s" s="35">
        <v>1607</v>
      </c>
      <c r="AH1187" t="s" s="35">
        <v>1605</v>
      </c>
      <c r="AI1187" t="s" s="35">
        <v>1625</v>
      </c>
      <c r="AJ1187" t="s" s="35">
        <v>1615</v>
      </c>
      <c r="AK1187" s="39"/>
      <c r="AL1187" s="39"/>
      <c r="AM1187" s="39"/>
      <c r="AN1187" s="39"/>
      <c r="AO1187" s="39"/>
      <c r="AP1187" s="39"/>
      <c r="AQ1187" s="39"/>
      <c r="AR1187" s="39"/>
      <c r="AS1187" s="39"/>
      <c r="AT1187" s="39"/>
      <c r="AU1187" s="39"/>
      <c r="AV1187" s="39"/>
      <c r="AW1187" t="str" s="39" cm="1">
        <f t="array" ref="AW1187">AF1187&amp;"; "&amp;AG1187&amp;"; "&amp;AH1187&amp;"; "&amp;AI1187&amp;"; "&amp;AJ1187</f>
        <v>E1; E3; E2; I1; E6</v>
      </c>
    </row>
    <row r="1188" ht="13.65" customHeight="1">
      <c r="A1188" t="s" s="35">
        <v>7332</v>
      </c>
      <c r="B1188" s="36">
        <v>11</v>
      </c>
      <c r="C1188" t="s" s="35">
        <v>210</v>
      </c>
      <c r="D1188" t="s" s="35">
        <v>7000</v>
      </c>
      <c r="E1188" t="s" s="35">
        <v>7275</v>
      </c>
      <c r="F1188" s="36">
        <v>18</v>
      </c>
      <c r="G1188" t="s" s="35">
        <v>7321</v>
      </c>
      <c r="H1188" t="s" s="35">
        <v>7333</v>
      </c>
      <c r="I1188" t="s" s="120">
        <v>7334</v>
      </c>
      <c r="J1188" t="s" s="35">
        <v>6185</v>
      </c>
      <c r="K1188" t="s" s="35">
        <v>1058</v>
      </c>
      <c r="L1188" s="39"/>
      <c r="M1188" t="str" s="39">
        <v>Sin marco</v>
      </c>
      <c r="N1188" t="str" s="39">
        <v>Sin marco</v>
      </c>
      <c r="O1188" t="str" s="39" cm="1">
        <f t="array" ref="O1188">IF(L1188="","",_xlfn.IFERROR(INDEX('Datos - Catálogo TIMSS'!$C$5:$C$107,MATCH(L1188,'Datos - Catálogo TIMSS'!$A$5:$A$107,0)),"?"))</f>
      </c>
      <c r="P1188" t="s" s="35">
        <v>1058</v>
      </c>
      <c r="Q1188" t="s" s="120">
        <v>6186</v>
      </c>
      <c r="R1188" t="s" s="120">
        <v>7335</v>
      </c>
      <c r="S1188" s="121" cm="1">
        <f t="array" ref="S1188">_xlfn.IFERROR(ISNUMBER(SEARCH("Conocer",$R1188))/(ISNUMBER(SEARCH("Conocer",$R1188))+ISNUMBER(SEARCH("Aplicar",$R1188))+ISNUMBER(SEARCH("Razonar",$R1188))),0)</f>
        <v>0</v>
      </c>
      <c r="T1188" s="121" cm="1">
        <f t="array" ref="T1188">_xlfn.IFERROR(ISNUMBER(SEARCH("Aplicar",$R1188))/(ISNUMBER(SEARCH("Conocer",$R1188))+ISNUMBER(SEARCH("Aplicar",$R1188))+ISNUMBER(SEARCH("Razonar",$R1188))),0)</f>
        <v>0.5</v>
      </c>
      <c r="U1188" s="121" cm="1">
        <f t="array" ref="U1188">_xlfn.IFERROR(ISNUMBER(SEARCH("Razonar",$R1188))/(ISNUMBER(SEARCH("Conocer",$R1188))+ISNUMBER(SEARCH("Aplicar",$R1188))+ISNUMBER(SEARCH("Razonar",$R1188))),0)</f>
        <v>0.5</v>
      </c>
      <c r="V1188" t="s" s="35">
        <v>1409</v>
      </c>
      <c r="W1188" t="s" s="35">
        <v>7006</v>
      </c>
      <c r="X1188" s="36" cm="1">
        <f t="array" ref="X1188">IF(OR(_xlfn.IFERROR(INDEX('Datos - Catálogo TIMSS'!$I$5:$I$107,MATCH(K1188,'Datos - Catálogo TIMSS'!$A$5:$A$107,0)),"No")="Sí",_xlfn.IFERROR(INDEX('Datos - Catálogo TIMSS'!$I$5:$I$107,MATCH(L1188,'Datos - Catálogo TIMSS'!$A$5:$A$107,0)),"No")="Sí"),1,0)</f>
        <v>0</v>
      </c>
      <c r="Y1188" s="36" cm="1">
        <f t="array" ref="Y1188">IF(_xlfn.IFERROR(INDEX('Datos - Catálogo TIMSS'!$J$5:$J$107,MATCH(K1188,'Datos - Catálogo TIMSS'!$A$5:$A$107,0)),"No")="Sí",1,0)</f>
        <v>0</v>
      </c>
      <c r="Z1188" s="36" cm="1">
        <f t="array" ref="Z1188">IF(_xlfn.IFERROR(INDEX('Datos - Catálogo TIMSS'!$J$5:$J$107,MATCH(L1188,'Datos - Catálogo TIMSS'!$A$5:$A$107,0)),"No")="Sí",1,0)</f>
        <v>0</v>
      </c>
      <c r="AA1188" t="s" s="35">
        <v>1058</v>
      </c>
      <c r="AB1188" s="39"/>
      <c r="AC1188" t="str" s="39">
        <v>Sin marco</v>
      </c>
      <c r="AD1188" t="s" s="35">
        <v>1834</v>
      </c>
      <c r="AE1188" t="str" s="39" cm="1">
        <f t="array" ref="AE1188">IF(AD1188="","",IF(LEFT(AD1188,1)="1","C1",IF(LEFT(AD1188,1)="2","C2",IF(LEFT(AD1188,1)="3","C3",""))))</f>
        <v>C2</v>
      </c>
      <c r="AF1188" t="s" s="35">
        <v>1602</v>
      </c>
      <c r="AG1188" t="s" s="35">
        <v>1612</v>
      </c>
      <c r="AH1188" t="s" s="35">
        <v>1602</v>
      </c>
      <c r="AI1188" t="s" s="35">
        <v>1619</v>
      </c>
      <c r="AJ1188" t="s" s="35">
        <v>1607</v>
      </c>
      <c r="AK1188" s="39"/>
      <c r="AL1188" s="39"/>
      <c r="AM1188" s="39"/>
      <c r="AN1188" s="39"/>
      <c r="AO1188" s="39"/>
      <c r="AP1188" s="39"/>
      <c r="AQ1188" s="39"/>
      <c r="AR1188" s="39"/>
      <c r="AS1188" s="39"/>
      <c r="AT1188" s="39"/>
      <c r="AU1188" s="39"/>
      <c r="AV1188" s="39"/>
      <c r="AW1188" t="str" s="39" cm="1">
        <f t="array" ref="AW1188">AF1188&amp;"; "&amp;AG1188&amp;"; "&amp;AH1188&amp;"; "&amp;AI1188&amp;"; "&amp;AJ1188</f>
        <v>E1; E5; E1; D2; E3</v>
      </c>
    </row>
    <row r="1189" ht="13.65" customHeight="1">
      <c r="A1189" t="s" s="35">
        <v>7336</v>
      </c>
      <c r="B1189" s="36">
        <v>11</v>
      </c>
      <c r="C1189" t="s" s="35">
        <v>210</v>
      </c>
      <c r="D1189" t="s" s="35">
        <v>7000</v>
      </c>
      <c r="E1189" t="s" s="35">
        <v>7275</v>
      </c>
      <c r="F1189" s="36">
        <v>19</v>
      </c>
      <c r="G1189" t="s" s="35">
        <v>7321</v>
      </c>
      <c r="H1189" t="s" s="35">
        <v>7333</v>
      </c>
      <c r="I1189" t="s" s="120">
        <v>7337</v>
      </c>
      <c r="J1189" t="s" s="35">
        <v>6185</v>
      </c>
      <c r="K1189" t="s" s="35">
        <v>1058</v>
      </c>
      <c r="L1189" s="39"/>
      <c r="M1189" t="str" s="39">
        <v>Sin marco</v>
      </c>
      <c r="N1189" t="str" s="39">
        <v>Sin marco</v>
      </c>
      <c r="O1189" t="str" s="39" cm="1">
        <f t="array" ref="O1189">IF(L1189="","",_xlfn.IFERROR(INDEX('Datos - Catálogo TIMSS'!$C$5:$C$107,MATCH(L1189,'Datos - Catálogo TIMSS'!$A$5:$A$107,0)),"?"))</f>
      </c>
      <c r="P1189" t="s" s="35">
        <v>1058</v>
      </c>
      <c r="Q1189" t="s" s="120">
        <v>6186</v>
      </c>
      <c r="R1189" t="s" s="120">
        <v>7338</v>
      </c>
      <c r="S1189" s="121" cm="1">
        <f t="array" ref="S1189">_xlfn.IFERROR(ISNUMBER(SEARCH("Conocer",$R1189))/(ISNUMBER(SEARCH("Conocer",$R1189))+ISNUMBER(SEARCH("Aplicar",$R1189))+ISNUMBER(SEARCH("Razonar",$R1189))),0)</f>
        <v>0</v>
      </c>
      <c r="T1189" s="121" cm="1">
        <f t="array" ref="T1189">_xlfn.IFERROR(ISNUMBER(SEARCH("Aplicar",$R1189))/(ISNUMBER(SEARCH("Conocer",$R1189))+ISNUMBER(SEARCH("Aplicar",$R1189))+ISNUMBER(SEARCH("Razonar",$R1189))),0)</f>
        <v>0.5</v>
      </c>
      <c r="U1189" s="121" cm="1">
        <f t="array" ref="U1189">_xlfn.IFERROR(ISNUMBER(SEARCH("Razonar",$R1189))/(ISNUMBER(SEARCH("Conocer",$R1189))+ISNUMBER(SEARCH("Aplicar",$R1189))+ISNUMBER(SEARCH("Razonar",$R1189))),0)</f>
        <v>0.5</v>
      </c>
      <c r="V1189" t="s" s="35">
        <v>1409</v>
      </c>
      <c r="W1189" t="s" s="35">
        <v>7006</v>
      </c>
      <c r="X1189" s="36" cm="1">
        <f t="array" ref="X1189">IF(OR(_xlfn.IFERROR(INDEX('Datos - Catálogo TIMSS'!$I$5:$I$107,MATCH(K1189,'Datos - Catálogo TIMSS'!$A$5:$A$107,0)),"No")="Sí",_xlfn.IFERROR(INDEX('Datos - Catálogo TIMSS'!$I$5:$I$107,MATCH(L1189,'Datos - Catálogo TIMSS'!$A$5:$A$107,0)),"No")="Sí"),1,0)</f>
        <v>0</v>
      </c>
      <c r="Y1189" s="36" cm="1">
        <f t="array" ref="Y1189">IF(_xlfn.IFERROR(INDEX('Datos - Catálogo TIMSS'!$J$5:$J$107,MATCH(K1189,'Datos - Catálogo TIMSS'!$A$5:$A$107,0)),"No")="Sí",1,0)</f>
        <v>0</v>
      </c>
      <c r="Z1189" s="36" cm="1">
        <f t="array" ref="Z1189">IF(_xlfn.IFERROR(INDEX('Datos - Catálogo TIMSS'!$J$5:$J$107,MATCH(L1189,'Datos - Catálogo TIMSS'!$A$5:$A$107,0)),"No")="Sí",1,0)</f>
        <v>0</v>
      </c>
      <c r="AA1189" t="s" s="35">
        <v>1058</v>
      </c>
      <c r="AB1189" s="39"/>
      <c r="AC1189" t="str" s="39">
        <v>Sin marco</v>
      </c>
      <c r="AD1189" t="s" s="35">
        <v>1834</v>
      </c>
      <c r="AE1189" t="str" s="39" cm="1">
        <f t="array" ref="AE1189">IF(AD1189="","",IF(LEFT(AD1189,1)="1","C1",IF(LEFT(AD1189,1)="2","C2",IF(LEFT(AD1189,1)="3","C3",""))))</f>
        <v>C2</v>
      </c>
      <c r="AF1189" t="s" s="35">
        <v>1602</v>
      </c>
      <c r="AG1189" t="s" s="35">
        <v>1617</v>
      </c>
      <c r="AH1189" t="s" s="35">
        <v>1605</v>
      </c>
      <c r="AI1189" t="s" s="35">
        <v>1621</v>
      </c>
      <c r="AJ1189" t="s" s="35">
        <v>1615</v>
      </c>
      <c r="AK1189" s="39"/>
      <c r="AL1189" s="39"/>
      <c r="AM1189" s="39"/>
      <c r="AN1189" s="39"/>
      <c r="AO1189" s="39"/>
      <c r="AP1189" s="39"/>
      <c r="AQ1189" s="39"/>
      <c r="AR1189" s="39"/>
      <c r="AS1189" s="39"/>
      <c r="AT1189" s="39"/>
      <c r="AU1189" s="39"/>
      <c r="AV1189" s="39"/>
      <c r="AW1189" t="str" s="39" cm="1">
        <f t="array" ref="AW1189">AF1189&amp;"; "&amp;AG1189&amp;"; "&amp;AH1189&amp;"; "&amp;AI1189&amp;"; "&amp;AJ1189</f>
        <v>E1; D1; E2; D3; E6</v>
      </c>
    </row>
    <row r="1190" ht="13.65" customHeight="1">
      <c r="A1190" t="s" s="35">
        <v>7339</v>
      </c>
      <c r="B1190" s="36">
        <v>11</v>
      </c>
      <c r="C1190" t="s" s="35">
        <v>210</v>
      </c>
      <c r="D1190" t="s" s="35">
        <v>7000</v>
      </c>
      <c r="E1190" t="s" s="35">
        <v>7275</v>
      </c>
      <c r="F1190" s="36">
        <v>20</v>
      </c>
      <c r="G1190" t="s" s="35">
        <v>7321</v>
      </c>
      <c r="H1190" t="s" s="35">
        <v>7333</v>
      </c>
      <c r="I1190" t="s" s="120">
        <v>7340</v>
      </c>
      <c r="J1190" t="s" s="35">
        <v>6185</v>
      </c>
      <c r="K1190" t="s" s="35">
        <v>1058</v>
      </c>
      <c r="L1190" s="39"/>
      <c r="M1190" t="str" s="39">
        <v>Sin marco</v>
      </c>
      <c r="N1190" t="str" s="39">
        <v>Sin marco</v>
      </c>
      <c r="O1190" t="str" s="39" cm="1">
        <f t="array" ref="O1190">IF(L1190="","",_xlfn.IFERROR(INDEX('Datos - Catálogo TIMSS'!$C$5:$C$107,MATCH(L1190,'Datos - Catálogo TIMSS'!$A$5:$A$107,0)),"?"))</f>
      </c>
      <c r="P1190" t="s" s="35">
        <v>1058</v>
      </c>
      <c r="Q1190" t="s" s="120">
        <v>6186</v>
      </c>
      <c r="R1190" t="s" s="120">
        <v>7341</v>
      </c>
      <c r="S1190" s="121" cm="1">
        <f t="array" ref="S1190">_xlfn.IFERROR(ISNUMBER(SEARCH("Conocer",$R1190))/(ISNUMBER(SEARCH("Conocer",$R1190))+ISNUMBER(SEARCH("Aplicar",$R1190))+ISNUMBER(SEARCH("Razonar",$R1190))),0)</f>
        <v>0</v>
      </c>
      <c r="T1190" s="121" cm="1">
        <f t="array" ref="T1190">_xlfn.IFERROR(ISNUMBER(SEARCH("Aplicar",$R1190))/(ISNUMBER(SEARCH("Conocer",$R1190))+ISNUMBER(SEARCH("Aplicar",$R1190))+ISNUMBER(SEARCH("Razonar",$R1190))),0)</f>
        <v>0.5</v>
      </c>
      <c r="U1190" s="121" cm="1">
        <f t="array" ref="U1190">_xlfn.IFERROR(ISNUMBER(SEARCH("Razonar",$R1190))/(ISNUMBER(SEARCH("Conocer",$R1190))+ISNUMBER(SEARCH("Aplicar",$R1190))+ISNUMBER(SEARCH("Razonar",$R1190))),0)</f>
        <v>0.5</v>
      </c>
      <c r="V1190" t="s" s="35">
        <v>1409</v>
      </c>
      <c r="W1190" t="s" s="35">
        <v>7006</v>
      </c>
      <c r="X1190" s="36" cm="1">
        <f t="array" ref="X1190">IF(OR(_xlfn.IFERROR(INDEX('Datos - Catálogo TIMSS'!$I$5:$I$107,MATCH(K1190,'Datos - Catálogo TIMSS'!$A$5:$A$107,0)),"No")="Sí",_xlfn.IFERROR(INDEX('Datos - Catálogo TIMSS'!$I$5:$I$107,MATCH(L1190,'Datos - Catálogo TIMSS'!$A$5:$A$107,0)),"No")="Sí"),1,0)</f>
        <v>0</v>
      </c>
      <c r="Y1190" s="36" cm="1">
        <f t="array" ref="Y1190">IF(_xlfn.IFERROR(INDEX('Datos - Catálogo TIMSS'!$J$5:$J$107,MATCH(K1190,'Datos - Catálogo TIMSS'!$A$5:$A$107,0)),"No")="Sí",1,0)</f>
        <v>0</v>
      </c>
      <c r="Z1190" s="36" cm="1">
        <f t="array" ref="Z1190">IF(_xlfn.IFERROR(INDEX('Datos - Catálogo TIMSS'!$J$5:$J$107,MATCH(L1190,'Datos - Catálogo TIMSS'!$A$5:$A$107,0)),"No")="Sí",1,0)</f>
        <v>0</v>
      </c>
      <c r="AA1190" t="s" s="35">
        <v>1058</v>
      </c>
      <c r="AB1190" s="39"/>
      <c r="AC1190" t="str" s="39">
        <v>Sin marco</v>
      </c>
      <c r="AD1190" t="s" s="35">
        <v>1834</v>
      </c>
      <c r="AE1190" t="str" s="39" cm="1">
        <f t="array" ref="AE1190">IF(AD1190="","",IF(LEFT(AD1190,1)="1","C1",IF(LEFT(AD1190,1)="2","C2",IF(LEFT(AD1190,1)="3","C3",""))))</f>
        <v>C2</v>
      </c>
      <c r="AF1190" t="s" s="35">
        <v>1602</v>
      </c>
      <c r="AG1190" t="s" s="35">
        <v>1607</v>
      </c>
      <c r="AH1190" t="s" s="35">
        <v>1605</v>
      </c>
      <c r="AI1190" t="s" s="35">
        <v>1623</v>
      </c>
      <c r="AJ1190" t="s" s="35">
        <v>1621</v>
      </c>
      <c r="AK1190" s="39"/>
      <c r="AL1190" s="39"/>
      <c r="AM1190" s="39"/>
      <c r="AN1190" s="39"/>
      <c r="AO1190" s="39"/>
      <c r="AP1190" s="39"/>
      <c r="AQ1190" s="39"/>
      <c r="AR1190" s="39"/>
      <c r="AS1190" s="39"/>
      <c r="AT1190" s="39"/>
      <c r="AU1190" s="39"/>
      <c r="AV1190" s="39"/>
      <c r="AW1190" t="str" s="39" cm="1">
        <f t="array" ref="AW1190">AF1190&amp;"; "&amp;AG1190&amp;"; "&amp;AH1190&amp;"; "&amp;AI1190&amp;"; "&amp;AJ1190</f>
        <v>E1; E3; E2; D4; D3</v>
      </c>
    </row>
    <row r="1191" ht="13.65" customHeight="1">
      <c r="A1191" t="s" s="35">
        <v>7342</v>
      </c>
      <c r="B1191" s="36">
        <v>11</v>
      </c>
      <c r="C1191" t="s" s="35">
        <v>210</v>
      </c>
      <c r="D1191" t="s" s="35">
        <v>7000</v>
      </c>
      <c r="E1191" t="s" s="35">
        <v>7275</v>
      </c>
      <c r="F1191" s="36">
        <v>21</v>
      </c>
      <c r="G1191" t="s" s="35">
        <v>7321</v>
      </c>
      <c r="H1191" t="s" s="35">
        <v>7343</v>
      </c>
      <c r="I1191" t="s" s="120">
        <v>7344</v>
      </c>
      <c r="J1191" t="s" s="35">
        <v>6185</v>
      </c>
      <c r="K1191" t="s" s="35">
        <v>1058</v>
      </c>
      <c r="L1191" s="39"/>
      <c r="M1191" t="str" s="39">
        <v>Sin marco</v>
      </c>
      <c r="N1191" t="str" s="39">
        <v>Sin marco</v>
      </c>
      <c r="O1191" t="str" s="39" cm="1">
        <f t="array" ref="O1191">IF(L1191="","",_xlfn.IFERROR(INDEX('Datos - Catálogo TIMSS'!$C$5:$C$107,MATCH(L1191,'Datos - Catálogo TIMSS'!$A$5:$A$107,0)),"?"))</f>
      </c>
      <c r="P1191" t="s" s="35">
        <v>1058</v>
      </c>
      <c r="Q1191" t="s" s="120">
        <v>6186</v>
      </c>
      <c r="R1191" t="s" s="120">
        <v>7345</v>
      </c>
      <c r="S1191" s="121" cm="1">
        <f t="array" ref="S1191">_xlfn.IFERROR(ISNUMBER(SEARCH("Conocer",$R1191))/(ISNUMBER(SEARCH("Conocer",$R1191))+ISNUMBER(SEARCH("Aplicar",$R1191))+ISNUMBER(SEARCH("Razonar",$R1191))),0)</f>
        <v>0.5</v>
      </c>
      <c r="T1191" s="121" cm="1">
        <f t="array" ref="T1191">_xlfn.IFERROR(ISNUMBER(SEARCH("Aplicar",$R1191))/(ISNUMBER(SEARCH("Conocer",$R1191))+ISNUMBER(SEARCH("Aplicar",$R1191))+ISNUMBER(SEARCH("Razonar",$R1191))),0)</f>
        <v>0</v>
      </c>
      <c r="U1191" s="121" cm="1">
        <f t="array" ref="U1191">_xlfn.IFERROR(ISNUMBER(SEARCH("Razonar",$R1191))/(ISNUMBER(SEARCH("Conocer",$R1191))+ISNUMBER(SEARCH("Aplicar",$R1191))+ISNUMBER(SEARCH("Razonar",$R1191))),0)</f>
        <v>0.5</v>
      </c>
      <c r="V1191" t="s" s="35">
        <v>1409</v>
      </c>
      <c r="W1191" t="s" s="35">
        <v>7006</v>
      </c>
      <c r="X1191" s="36" cm="1">
        <f t="array" ref="X1191">IF(OR(_xlfn.IFERROR(INDEX('Datos - Catálogo TIMSS'!$I$5:$I$107,MATCH(K1191,'Datos - Catálogo TIMSS'!$A$5:$A$107,0)),"No")="Sí",_xlfn.IFERROR(INDEX('Datos - Catálogo TIMSS'!$I$5:$I$107,MATCH(L1191,'Datos - Catálogo TIMSS'!$A$5:$A$107,0)),"No")="Sí"),1,0)</f>
        <v>0</v>
      </c>
      <c r="Y1191" s="36" cm="1">
        <f t="array" ref="Y1191">IF(_xlfn.IFERROR(INDEX('Datos - Catálogo TIMSS'!$J$5:$J$107,MATCH(K1191,'Datos - Catálogo TIMSS'!$A$5:$A$107,0)),"No")="Sí",1,0)</f>
        <v>0</v>
      </c>
      <c r="Z1191" s="36" cm="1">
        <f t="array" ref="Z1191">IF(_xlfn.IFERROR(INDEX('Datos - Catálogo TIMSS'!$J$5:$J$107,MATCH(L1191,'Datos - Catálogo TIMSS'!$A$5:$A$107,0)),"No")="Sí",1,0)</f>
        <v>0</v>
      </c>
      <c r="AA1191" t="s" s="35">
        <v>1058</v>
      </c>
      <c r="AB1191" s="39"/>
      <c r="AC1191" t="str" s="39">
        <v>Sin marco</v>
      </c>
      <c r="AD1191" t="s" s="35">
        <v>1900</v>
      </c>
      <c r="AE1191" t="str" s="39" cm="1">
        <f t="array" ref="AE1191">IF(AD1191="","",IF(LEFT(AD1191,1)="1","C1",IF(LEFT(AD1191,1)="2","C2",IF(LEFT(AD1191,1)="3","C3",""))))</f>
        <v>C3</v>
      </c>
      <c r="AF1191" t="s" s="35">
        <v>1615</v>
      </c>
      <c r="AG1191" t="s" s="35">
        <v>1612</v>
      </c>
      <c r="AH1191" t="s" s="35">
        <v>1602</v>
      </c>
      <c r="AI1191" t="s" s="35">
        <v>1625</v>
      </c>
      <c r="AJ1191" t="s" s="35">
        <v>1633</v>
      </c>
      <c r="AK1191" s="39"/>
      <c r="AL1191" s="39"/>
      <c r="AM1191" s="39"/>
      <c r="AN1191" s="39"/>
      <c r="AO1191" s="39"/>
      <c r="AP1191" s="39"/>
      <c r="AQ1191" s="39"/>
      <c r="AR1191" s="39"/>
      <c r="AS1191" s="39"/>
      <c r="AT1191" s="39"/>
      <c r="AU1191" s="39"/>
      <c r="AV1191" s="39"/>
      <c r="AW1191" t="str" s="39" cm="1">
        <f t="array" ref="AW1191">AF1191&amp;"; "&amp;AG1191&amp;"; "&amp;AH1191&amp;"; "&amp;AI1191&amp;"; "&amp;AJ1191</f>
        <v>E6; E5; E1; I1; I5</v>
      </c>
    </row>
    <row r="1192" ht="13.65" customHeight="1">
      <c r="A1192" t="s" s="35">
        <v>7346</v>
      </c>
      <c r="B1192" s="36">
        <v>11</v>
      </c>
      <c r="C1192" t="s" s="35">
        <v>210</v>
      </c>
      <c r="D1192" t="s" s="35">
        <v>7000</v>
      </c>
      <c r="E1192" t="s" s="35">
        <v>7275</v>
      </c>
      <c r="F1192" s="36">
        <v>22</v>
      </c>
      <c r="G1192" t="s" s="35">
        <v>7321</v>
      </c>
      <c r="H1192" t="s" s="35">
        <v>7343</v>
      </c>
      <c r="I1192" t="s" s="120">
        <v>7347</v>
      </c>
      <c r="J1192" t="s" s="35">
        <v>6185</v>
      </c>
      <c r="K1192" t="s" s="35">
        <v>1058</v>
      </c>
      <c r="L1192" s="39"/>
      <c r="M1192" t="str" s="39">
        <v>Sin marco</v>
      </c>
      <c r="N1192" t="str" s="39">
        <v>Sin marco</v>
      </c>
      <c r="O1192" t="str" s="39" cm="1">
        <f t="array" ref="O1192">IF(L1192="","",_xlfn.IFERROR(INDEX('Datos - Catálogo TIMSS'!$C$5:$C$107,MATCH(L1192,'Datos - Catálogo TIMSS'!$A$5:$A$107,0)),"?"))</f>
      </c>
      <c r="P1192" t="s" s="35">
        <v>1058</v>
      </c>
      <c r="Q1192" t="s" s="120">
        <v>6186</v>
      </c>
      <c r="R1192" t="s" s="120">
        <v>7348</v>
      </c>
      <c r="S1192" s="121" cm="1">
        <f t="array" ref="S1192">_xlfn.IFERROR(ISNUMBER(SEARCH("Conocer",$R1192))/(ISNUMBER(SEARCH("Conocer",$R1192))+ISNUMBER(SEARCH("Aplicar",$R1192))+ISNUMBER(SEARCH("Razonar",$R1192))),0)</f>
        <v>0</v>
      </c>
      <c r="T1192" s="121" cm="1">
        <f t="array" ref="T1192">_xlfn.IFERROR(ISNUMBER(SEARCH("Aplicar",$R1192))/(ISNUMBER(SEARCH("Conocer",$R1192))+ISNUMBER(SEARCH("Aplicar",$R1192))+ISNUMBER(SEARCH("Razonar",$R1192))),0)</f>
        <v>0.5</v>
      </c>
      <c r="U1192" s="121" cm="1">
        <f t="array" ref="U1192">_xlfn.IFERROR(ISNUMBER(SEARCH("Razonar",$R1192))/(ISNUMBER(SEARCH("Conocer",$R1192))+ISNUMBER(SEARCH("Aplicar",$R1192))+ISNUMBER(SEARCH("Razonar",$R1192))),0)</f>
        <v>0.5</v>
      </c>
      <c r="V1192" t="s" s="35">
        <v>1409</v>
      </c>
      <c r="W1192" t="s" s="35">
        <v>7006</v>
      </c>
      <c r="X1192" s="36" cm="1">
        <f t="array" ref="X1192">IF(OR(_xlfn.IFERROR(INDEX('Datos - Catálogo TIMSS'!$I$5:$I$107,MATCH(K1192,'Datos - Catálogo TIMSS'!$A$5:$A$107,0)),"No")="Sí",_xlfn.IFERROR(INDEX('Datos - Catálogo TIMSS'!$I$5:$I$107,MATCH(L1192,'Datos - Catálogo TIMSS'!$A$5:$A$107,0)),"No")="Sí"),1,0)</f>
        <v>0</v>
      </c>
      <c r="Y1192" s="36" cm="1">
        <f t="array" ref="Y1192">IF(_xlfn.IFERROR(INDEX('Datos - Catálogo TIMSS'!$J$5:$J$107,MATCH(K1192,'Datos - Catálogo TIMSS'!$A$5:$A$107,0)),"No")="Sí",1,0)</f>
        <v>0</v>
      </c>
      <c r="Z1192" s="36" cm="1">
        <f t="array" ref="Z1192">IF(_xlfn.IFERROR(INDEX('Datos - Catálogo TIMSS'!$J$5:$J$107,MATCH(L1192,'Datos - Catálogo TIMSS'!$A$5:$A$107,0)),"No")="Sí",1,0)</f>
        <v>0</v>
      </c>
      <c r="AA1192" t="s" s="35">
        <v>1058</v>
      </c>
      <c r="AB1192" s="39"/>
      <c r="AC1192" t="str" s="39">
        <v>Sin marco</v>
      </c>
      <c r="AD1192" t="s" s="35">
        <v>1834</v>
      </c>
      <c r="AE1192" t="str" s="39" cm="1">
        <f t="array" ref="AE1192">IF(AD1192="","",IF(LEFT(AD1192,1)="1","C1",IF(LEFT(AD1192,1)="2","C2",IF(LEFT(AD1192,1)="3","C3",""))))</f>
        <v>C2</v>
      </c>
      <c r="AF1192" t="s" s="35">
        <v>1615</v>
      </c>
      <c r="AG1192" t="s" s="35">
        <v>1607</v>
      </c>
      <c r="AH1192" t="s" s="35">
        <v>1602</v>
      </c>
      <c r="AI1192" t="s" s="35">
        <v>1623</v>
      </c>
      <c r="AJ1192" t="s" s="35">
        <v>1607</v>
      </c>
      <c r="AK1192" s="39"/>
      <c r="AL1192" s="39"/>
      <c r="AM1192" s="39"/>
      <c r="AN1192" s="39"/>
      <c r="AO1192" s="39"/>
      <c r="AP1192" s="39"/>
      <c r="AQ1192" s="39"/>
      <c r="AR1192" s="39"/>
      <c r="AS1192" s="39"/>
      <c r="AT1192" s="39"/>
      <c r="AU1192" s="39"/>
      <c r="AV1192" s="39"/>
      <c r="AW1192" t="str" s="39" cm="1">
        <f t="array" ref="AW1192">AF1192&amp;"; "&amp;AG1192&amp;"; "&amp;AH1192&amp;"; "&amp;AI1192&amp;"; "&amp;AJ1192</f>
        <v>E6; E3; E1; D4; E3</v>
      </c>
    </row>
    <row r="1193" ht="13.65" customHeight="1">
      <c r="A1193" t="s" s="35">
        <v>7349</v>
      </c>
      <c r="B1193" s="36">
        <v>11</v>
      </c>
      <c r="C1193" t="s" s="35">
        <v>210</v>
      </c>
      <c r="D1193" t="s" s="35">
        <v>7000</v>
      </c>
      <c r="E1193" t="s" s="35">
        <v>7275</v>
      </c>
      <c r="F1193" s="36">
        <v>23</v>
      </c>
      <c r="G1193" t="s" s="35">
        <v>7321</v>
      </c>
      <c r="H1193" t="s" s="35">
        <v>7343</v>
      </c>
      <c r="I1193" t="s" s="120">
        <v>7350</v>
      </c>
      <c r="J1193" t="s" s="35">
        <v>6185</v>
      </c>
      <c r="K1193" t="s" s="35">
        <v>1058</v>
      </c>
      <c r="L1193" s="39"/>
      <c r="M1193" t="str" s="39">
        <v>Sin marco</v>
      </c>
      <c r="N1193" t="str" s="39">
        <v>Sin marco</v>
      </c>
      <c r="O1193" t="str" s="39" cm="1">
        <f t="array" ref="O1193">IF(L1193="","",_xlfn.IFERROR(INDEX('Datos - Catálogo TIMSS'!$C$5:$C$107,MATCH(L1193,'Datos - Catálogo TIMSS'!$A$5:$A$107,0)),"?"))</f>
      </c>
      <c r="P1193" t="s" s="35">
        <v>1058</v>
      </c>
      <c r="Q1193" t="s" s="120">
        <v>6186</v>
      </c>
      <c r="R1193" t="s" s="120">
        <v>7351</v>
      </c>
      <c r="S1193" s="121" cm="1">
        <f t="array" ref="S1193">_xlfn.IFERROR(ISNUMBER(SEARCH("Conocer",$R1193))/(ISNUMBER(SEARCH("Conocer",$R1193))+ISNUMBER(SEARCH("Aplicar",$R1193))+ISNUMBER(SEARCH("Razonar",$R1193))),0)</f>
        <v>0.333333333333333</v>
      </c>
      <c r="T1193" s="121" cm="1">
        <f t="array" ref="T1193">_xlfn.IFERROR(ISNUMBER(SEARCH("Aplicar",$R1193))/(ISNUMBER(SEARCH("Conocer",$R1193))+ISNUMBER(SEARCH("Aplicar",$R1193))+ISNUMBER(SEARCH("Razonar",$R1193))),0)</f>
        <v>0.333333333333333</v>
      </c>
      <c r="U1193" s="121" cm="1">
        <f t="array" ref="U1193">_xlfn.IFERROR(ISNUMBER(SEARCH("Razonar",$R1193))/(ISNUMBER(SEARCH("Conocer",$R1193))+ISNUMBER(SEARCH("Aplicar",$R1193))+ISNUMBER(SEARCH("Razonar",$R1193))),0)</f>
        <v>0.333333333333333</v>
      </c>
      <c r="V1193" t="s" s="35">
        <v>1409</v>
      </c>
      <c r="W1193" t="s" s="35">
        <v>7006</v>
      </c>
      <c r="X1193" s="36" cm="1">
        <f t="array" ref="X1193">IF(OR(_xlfn.IFERROR(INDEX('Datos - Catálogo TIMSS'!$I$5:$I$107,MATCH(K1193,'Datos - Catálogo TIMSS'!$A$5:$A$107,0)),"No")="Sí",_xlfn.IFERROR(INDEX('Datos - Catálogo TIMSS'!$I$5:$I$107,MATCH(L1193,'Datos - Catálogo TIMSS'!$A$5:$A$107,0)),"No")="Sí"),1,0)</f>
        <v>0</v>
      </c>
      <c r="Y1193" s="36" cm="1">
        <f t="array" ref="Y1193">IF(_xlfn.IFERROR(INDEX('Datos - Catálogo TIMSS'!$J$5:$J$107,MATCH(K1193,'Datos - Catálogo TIMSS'!$A$5:$A$107,0)),"No")="Sí",1,0)</f>
        <v>0</v>
      </c>
      <c r="Z1193" s="36" cm="1">
        <f t="array" ref="Z1193">IF(_xlfn.IFERROR(INDEX('Datos - Catálogo TIMSS'!$J$5:$J$107,MATCH(L1193,'Datos - Catálogo TIMSS'!$A$5:$A$107,0)),"No")="Sí",1,0)</f>
        <v>0</v>
      </c>
      <c r="AA1193" t="s" s="35">
        <v>1058</v>
      </c>
      <c r="AB1193" s="39"/>
      <c r="AC1193" t="str" s="39">
        <v>Sin marco</v>
      </c>
      <c r="AD1193" t="s" s="35">
        <v>1859</v>
      </c>
      <c r="AE1193" t="str" s="39" cm="1">
        <f t="array" ref="AE1193">IF(AD1193="","",IF(LEFT(AD1193,1)="1","C1",IF(LEFT(AD1193,1)="2","C2",IF(LEFT(AD1193,1)="3","C3",""))))</f>
        <v>C1</v>
      </c>
      <c r="AF1193" t="s" s="35">
        <v>1602</v>
      </c>
      <c r="AG1193" t="s" s="35">
        <v>1607</v>
      </c>
      <c r="AH1193" t="s" s="35">
        <v>1609</v>
      </c>
      <c r="AI1193" t="s" s="35">
        <v>1623</v>
      </c>
      <c r="AJ1193" t="s" s="35">
        <v>1615</v>
      </c>
      <c r="AK1193" s="39"/>
      <c r="AL1193" s="39"/>
      <c r="AM1193" s="39"/>
      <c r="AN1193" s="39"/>
      <c r="AO1193" s="39"/>
      <c r="AP1193" s="39"/>
      <c r="AQ1193" s="39"/>
      <c r="AR1193" s="39"/>
      <c r="AS1193" s="39"/>
      <c r="AT1193" s="39"/>
      <c r="AU1193" s="39"/>
      <c r="AV1193" s="39"/>
      <c r="AW1193" t="str" s="39" cm="1">
        <f t="array" ref="AW1193">AF1193&amp;"; "&amp;AG1193&amp;"; "&amp;AH1193&amp;"; "&amp;AI1193&amp;"; "&amp;AJ1193</f>
        <v>E1; E3; E4; D4; E6</v>
      </c>
    </row>
    <row r="1194" ht="13.65" customHeight="1">
      <c r="A1194" t="s" s="35">
        <v>7352</v>
      </c>
      <c r="B1194" s="36">
        <v>11</v>
      </c>
      <c r="C1194" t="s" s="35">
        <v>210</v>
      </c>
      <c r="D1194" t="s" s="35">
        <v>7000</v>
      </c>
      <c r="E1194" t="s" s="35">
        <v>7275</v>
      </c>
      <c r="F1194" s="36">
        <v>24</v>
      </c>
      <c r="G1194" t="s" s="35">
        <v>7321</v>
      </c>
      <c r="H1194" t="s" s="35">
        <v>7353</v>
      </c>
      <c r="I1194" t="s" s="120">
        <v>7354</v>
      </c>
      <c r="J1194" t="s" s="35">
        <v>6185</v>
      </c>
      <c r="K1194" t="s" s="35">
        <v>1058</v>
      </c>
      <c r="L1194" s="39"/>
      <c r="M1194" t="str" s="39">
        <v>Sin marco</v>
      </c>
      <c r="N1194" t="str" s="39">
        <v>Sin marco</v>
      </c>
      <c r="O1194" t="str" s="39" cm="1">
        <f t="array" ref="O1194">IF(L1194="","",_xlfn.IFERROR(INDEX('Datos - Catálogo TIMSS'!$C$5:$C$107,MATCH(L1194,'Datos - Catálogo TIMSS'!$A$5:$A$107,0)),"?"))</f>
      </c>
      <c r="P1194" t="s" s="35">
        <v>1058</v>
      </c>
      <c r="Q1194" t="s" s="120">
        <v>6186</v>
      </c>
      <c r="R1194" t="s" s="120">
        <v>7355</v>
      </c>
      <c r="S1194" s="121" cm="1">
        <f t="array" ref="S1194">_xlfn.IFERROR(ISNUMBER(SEARCH("Conocer",$R1194))/(ISNUMBER(SEARCH("Conocer",$R1194))+ISNUMBER(SEARCH("Aplicar",$R1194))+ISNUMBER(SEARCH("Razonar",$R1194))),0)</f>
        <v>0.5</v>
      </c>
      <c r="T1194" s="121" cm="1">
        <f t="array" ref="T1194">_xlfn.IFERROR(ISNUMBER(SEARCH("Aplicar",$R1194))/(ISNUMBER(SEARCH("Conocer",$R1194))+ISNUMBER(SEARCH("Aplicar",$R1194))+ISNUMBER(SEARCH("Razonar",$R1194))),0)</f>
        <v>0</v>
      </c>
      <c r="U1194" s="121" cm="1">
        <f t="array" ref="U1194">_xlfn.IFERROR(ISNUMBER(SEARCH("Razonar",$R1194))/(ISNUMBER(SEARCH("Conocer",$R1194))+ISNUMBER(SEARCH("Aplicar",$R1194))+ISNUMBER(SEARCH("Razonar",$R1194))),0)</f>
        <v>0.5</v>
      </c>
      <c r="V1194" t="s" s="35">
        <v>1409</v>
      </c>
      <c r="W1194" t="s" s="35">
        <v>7006</v>
      </c>
      <c r="X1194" s="36" cm="1">
        <f t="array" ref="X1194">IF(OR(_xlfn.IFERROR(INDEX('Datos - Catálogo TIMSS'!$I$5:$I$107,MATCH(K1194,'Datos - Catálogo TIMSS'!$A$5:$A$107,0)),"No")="Sí",_xlfn.IFERROR(INDEX('Datos - Catálogo TIMSS'!$I$5:$I$107,MATCH(L1194,'Datos - Catálogo TIMSS'!$A$5:$A$107,0)),"No")="Sí"),1,0)</f>
        <v>0</v>
      </c>
      <c r="Y1194" s="36" cm="1">
        <f t="array" ref="Y1194">IF(_xlfn.IFERROR(INDEX('Datos - Catálogo TIMSS'!$J$5:$J$107,MATCH(K1194,'Datos - Catálogo TIMSS'!$A$5:$A$107,0)),"No")="Sí",1,0)</f>
        <v>0</v>
      </c>
      <c r="Z1194" s="36" cm="1">
        <f t="array" ref="Z1194">IF(_xlfn.IFERROR(INDEX('Datos - Catálogo TIMSS'!$J$5:$J$107,MATCH(L1194,'Datos - Catálogo TIMSS'!$A$5:$A$107,0)),"No")="Sí",1,0)</f>
        <v>0</v>
      </c>
      <c r="AA1194" t="s" s="35">
        <v>1058</v>
      </c>
      <c r="AB1194" s="39"/>
      <c r="AC1194" t="str" s="39">
        <v>Sin marco</v>
      </c>
      <c r="AD1194" t="s" s="35">
        <v>1900</v>
      </c>
      <c r="AE1194" t="str" s="39" cm="1">
        <f t="array" ref="AE1194">IF(AD1194="","",IF(LEFT(AD1194,1)="1","C1",IF(LEFT(AD1194,1)="2","C2",IF(LEFT(AD1194,1)="3","C3",""))))</f>
        <v>C3</v>
      </c>
      <c r="AF1194" t="s" s="35">
        <v>1602</v>
      </c>
      <c r="AG1194" t="s" s="35">
        <v>1617</v>
      </c>
      <c r="AH1194" t="s" s="35">
        <v>1609</v>
      </c>
      <c r="AI1194" t="s" s="35">
        <v>1627</v>
      </c>
      <c r="AJ1194" t="s" s="35">
        <v>1633</v>
      </c>
      <c r="AK1194" s="39"/>
      <c r="AL1194" s="39"/>
      <c r="AM1194" s="39"/>
      <c r="AN1194" s="39"/>
      <c r="AO1194" s="39"/>
      <c r="AP1194" s="39"/>
      <c r="AQ1194" s="39"/>
      <c r="AR1194" s="39"/>
      <c r="AS1194" s="39"/>
      <c r="AT1194" s="39"/>
      <c r="AU1194" s="39"/>
      <c r="AV1194" s="39"/>
      <c r="AW1194" t="str" s="39" cm="1">
        <f t="array" ref="AW1194">AF1194&amp;"; "&amp;AG1194&amp;"; "&amp;AH1194&amp;"; "&amp;AI1194&amp;"; "&amp;AJ1194</f>
        <v>E1; D1; E4; I2; I5</v>
      </c>
    </row>
    <row r="1195" ht="13.65" customHeight="1">
      <c r="A1195" t="s" s="35">
        <v>7357</v>
      </c>
      <c r="B1195" s="36">
        <v>11</v>
      </c>
      <c r="C1195" t="s" s="35">
        <v>210</v>
      </c>
      <c r="D1195" t="s" s="35">
        <v>7000</v>
      </c>
      <c r="E1195" t="s" s="35">
        <v>7275</v>
      </c>
      <c r="F1195" s="36">
        <v>25</v>
      </c>
      <c r="G1195" t="s" s="35">
        <v>7321</v>
      </c>
      <c r="H1195" t="s" s="35">
        <v>7353</v>
      </c>
      <c r="I1195" t="s" s="120">
        <v>7358</v>
      </c>
      <c r="J1195" t="s" s="35">
        <v>6185</v>
      </c>
      <c r="K1195" t="s" s="35">
        <v>1058</v>
      </c>
      <c r="L1195" s="39"/>
      <c r="M1195" t="str" s="39">
        <v>Sin marco</v>
      </c>
      <c r="N1195" t="str" s="39">
        <v>Sin marco</v>
      </c>
      <c r="O1195" t="str" s="39" cm="1">
        <f t="array" ref="O1195">IF(L1195="","",_xlfn.IFERROR(INDEX('Datos - Catálogo TIMSS'!$C$5:$C$107,MATCH(L1195,'Datos - Catálogo TIMSS'!$A$5:$A$107,0)),"?"))</f>
      </c>
      <c r="P1195" t="s" s="35">
        <v>1058</v>
      </c>
      <c r="Q1195" t="s" s="120">
        <v>6186</v>
      </c>
      <c r="R1195" t="s" s="120">
        <v>7359</v>
      </c>
      <c r="S1195" s="121" cm="1">
        <f t="array" ref="S1195">_xlfn.IFERROR(ISNUMBER(SEARCH("Conocer",$R1195))/(ISNUMBER(SEARCH("Conocer",$R1195))+ISNUMBER(SEARCH("Aplicar",$R1195))+ISNUMBER(SEARCH("Razonar",$R1195))),0)</f>
        <v>0</v>
      </c>
      <c r="T1195" s="121" cm="1">
        <f t="array" ref="T1195">_xlfn.IFERROR(ISNUMBER(SEARCH("Aplicar",$R1195))/(ISNUMBER(SEARCH("Conocer",$R1195))+ISNUMBER(SEARCH("Aplicar",$R1195))+ISNUMBER(SEARCH("Razonar",$R1195))),0)</f>
        <v>0.5</v>
      </c>
      <c r="U1195" s="121" cm="1">
        <f t="array" ref="U1195">_xlfn.IFERROR(ISNUMBER(SEARCH("Razonar",$R1195))/(ISNUMBER(SEARCH("Conocer",$R1195))+ISNUMBER(SEARCH("Aplicar",$R1195))+ISNUMBER(SEARCH("Razonar",$R1195))),0)</f>
        <v>0.5</v>
      </c>
      <c r="V1195" t="s" s="35">
        <v>1409</v>
      </c>
      <c r="W1195" t="s" s="35">
        <v>7006</v>
      </c>
      <c r="X1195" s="36" cm="1">
        <f t="array" ref="X1195">IF(OR(_xlfn.IFERROR(INDEX('Datos - Catálogo TIMSS'!$I$5:$I$107,MATCH(K1195,'Datos - Catálogo TIMSS'!$A$5:$A$107,0)),"No")="Sí",_xlfn.IFERROR(INDEX('Datos - Catálogo TIMSS'!$I$5:$I$107,MATCH(L1195,'Datos - Catálogo TIMSS'!$A$5:$A$107,0)),"No")="Sí"),1,0)</f>
        <v>0</v>
      </c>
      <c r="Y1195" s="36" cm="1">
        <f t="array" ref="Y1195">IF(_xlfn.IFERROR(INDEX('Datos - Catálogo TIMSS'!$J$5:$J$107,MATCH(K1195,'Datos - Catálogo TIMSS'!$A$5:$A$107,0)),"No")="Sí",1,0)</f>
        <v>0</v>
      </c>
      <c r="Z1195" s="36" cm="1">
        <f t="array" ref="Z1195">IF(_xlfn.IFERROR(INDEX('Datos - Catálogo TIMSS'!$J$5:$J$107,MATCH(L1195,'Datos - Catálogo TIMSS'!$A$5:$A$107,0)),"No")="Sí",1,0)</f>
        <v>0</v>
      </c>
      <c r="AA1195" t="s" s="35">
        <v>1058</v>
      </c>
      <c r="AB1195" s="39"/>
      <c r="AC1195" t="str" s="39">
        <v>Sin marco</v>
      </c>
      <c r="AD1195" t="s" s="35">
        <v>1834</v>
      </c>
      <c r="AE1195" t="str" s="39" cm="1">
        <f t="array" ref="AE1195">IF(AD1195="","",IF(LEFT(AD1195,1)="1","C1",IF(LEFT(AD1195,1)="2","C2",IF(LEFT(AD1195,1)="3","C3",""))))</f>
        <v>C2</v>
      </c>
      <c r="AF1195" t="s" s="35">
        <v>1602</v>
      </c>
      <c r="AG1195" t="s" s="35">
        <v>1612</v>
      </c>
      <c r="AH1195" t="s" s="35">
        <v>1605</v>
      </c>
      <c r="AI1195" t="s" s="35">
        <v>1623</v>
      </c>
      <c r="AJ1195" t="s" s="35">
        <v>1633</v>
      </c>
      <c r="AK1195" s="39"/>
      <c r="AL1195" s="39"/>
      <c r="AM1195" s="39"/>
      <c r="AN1195" s="39"/>
      <c r="AO1195" s="39"/>
      <c r="AP1195" s="39"/>
      <c r="AQ1195" s="39"/>
      <c r="AR1195" s="39"/>
      <c r="AS1195" s="39"/>
      <c r="AT1195" s="39"/>
      <c r="AU1195" s="39"/>
      <c r="AV1195" s="39"/>
      <c r="AW1195" t="str" s="39" cm="1">
        <f t="array" ref="AW1195">AF1195&amp;"; "&amp;AG1195&amp;"; "&amp;AH1195&amp;"; "&amp;AI1195&amp;"; "&amp;AJ1195</f>
        <v>E1; E5; E2; D4; I5</v>
      </c>
    </row>
    <row r="1196" ht="13.65" customHeight="1">
      <c r="A1196" t="s" s="35">
        <v>7360</v>
      </c>
      <c r="B1196" s="36">
        <v>11</v>
      </c>
      <c r="C1196" t="s" s="35">
        <v>210</v>
      </c>
      <c r="D1196" t="s" s="35">
        <v>7000</v>
      </c>
      <c r="E1196" t="s" s="35">
        <v>7275</v>
      </c>
      <c r="F1196" s="36">
        <v>26</v>
      </c>
      <c r="G1196" t="s" s="35">
        <v>7321</v>
      </c>
      <c r="H1196" t="s" s="35">
        <v>7353</v>
      </c>
      <c r="I1196" t="s" s="120">
        <v>7361</v>
      </c>
      <c r="J1196" t="s" s="35">
        <v>6185</v>
      </c>
      <c r="K1196" t="s" s="35">
        <v>1058</v>
      </c>
      <c r="L1196" s="39"/>
      <c r="M1196" t="str" s="39">
        <v>Sin marco</v>
      </c>
      <c r="N1196" t="str" s="39">
        <v>Sin marco</v>
      </c>
      <c r="O1196" t="str" s="39" cm="1">
        <f t="array" ref="O1196">IF(L1196="","",_xlfn.IFERROR(INDEX('Datos - Catálogo TIMSS'!$C$5:$C$107,MATCH(L1196,'Datos - Catálogo TIMSS'!$A$5:$A$107,0)),"?"))</f>
      </c>
      <c r="P1196" t="s" s="35">
        <v>1058</v>
      </c>
      <c r="Q1196" t="s" s="120">
        <v>6186</v>
      </c>
      <c r="R1196" t="s" s="120">
        <v>7362</v>
      </c>
      <c r="S1196" s="121" cm="1">
        <f t="array" ref="S1196">_xlfn.IFERROR(ISNUMBER(SEARCH("Conocer",$R1196))/(ISNUMBER(SEARCH("Conocer",$R1196))+ISNUMBER(SEARCH("Aplicar",$R1196))+ISNUMBER(SEARCH("Razonar",$R1196))),0)</f>
        <v>0.5</v>
      </c>
      <c r="T1196" s="121" cm="1">
        <f t="array" ref="T1196">_xlfn.IFERROR(ISNUMBER(SEARCH("Aplicar",$R1196))/(ISNUMBER(SEARCH("Conocer",$R1196))+ISNUMBER(SEARCH("Aplicar",$R1196))+ISNUMBER(SEARCH("Razonar",$R1196))),0)</f>
        <v>0.5</v>
      </c>
      <c r="U1196" s="121" cm="1">
        <f t="array" ref="U1196">_xlfn.IFERROR(ISNUMBER(SEARCH("Razonar",$R1196))/(ISNUMBER(SEARCH("Conocer",$R1196))+ISNUMBER(SEARCH("Aplicar",$R1196))+ISNUMBER(SEARCH("Razonar",$R1196))),0)</f>
        <v>0</v>
      </c>
      <c r="V1196" t="s" s="35">
        <v>1409</v>
      </c>
      <c r="W1196" t="s" s="35">
        <v>7006</v>
      </c>
      <c r="X1196" s="36" cm="1">
        <f t="array" ref="X1196">IF(OR(_xlfn.IFERROR(INDEX('Datos - Catálogo TIMSS'!$I$5:$I$107,MATCH(K1196,'Datos - Catálogo TIMSS'!$A$5:$A$107,0)),"No")="Sí",_xlfn.IFERROR(INDEX('Datos - Catálogo TIMSS'!$I$5:$I$107,MATCH(L1196,'Datos - Catálogo TIMSS'!$A$5:$A$107,0)),"No")="Sí"),1,0)</f>
        <v>0</v>
      </c>
      <c r="Y1196" s="36" cm="1">
        <f t="array" ref="Y1196">IF(_xlfn.IFERROR(INDEX('Datos - Catálogo TIMSS'!$J$5:$J$107,MATCH(K1196,'Datos - Catálogo TIMSS'!$A$5:$A$107,0)),"No")="Sí",1,0)</f>
        <v>0</v>
      </c>
      <c r="Z1196" s="36" cm="1">
        <f t="array" ref="Z1196">IF(_xlfn.IFERROR(INDEX('Datos - Catálogo TIMSS'!$J$5:$J$107,MATCH(L1196,'Datos - Catálogo TIMSS'!$A$5:$A$107,0)),"No")="Sí",1,0)</f>
        <v>0</v>
      </c>
      <c r="AA1196" t="s" s="35">
        <v>1058</v>
      </c>
      <c r="AB1196" s="39"/>
      <c r="AC1196" t="str" s="39">
        <v>Sin marco</v>
      </c>
      <c r="AD1196" t="s" s="35">
        <v>1859</v>
      </c>
      <c r="AE1196" t="str" s="39" cm="1">
        <f t="array" ref="AE1196">IF(AD1196="","",IF(LEFT(AD1196,1)="1","C1",IF(LEFT(AD1196,1)="2","C2",IF(LEFT(AD1196,1)="3","C3",""))))</f>
        <v>C1</v>
      </c>
      <c r="AF1196" t="s" s="35">
        <v>1602</v>
      </c>
      <c r="AG1196" t="s" s="35">
        <v>1607</v>
      </c>
      <c r="AH1196" t="s" s="35">
        <v>1609</v>
      </c>
      <c r="AI1196" t="s" s="35">
        <v>1625</v>
      </c>
      <c r="AJ1196" t="s" s="35">
        <v>1615</v>
      </c>
      <c r="AK1196" s="39"/>
      <c r="AL1196" s="39"/>
      <c r="AM1196" s="39"/>
      <c r="AN1196" s="39"/>
      <c r="AO1196" s="39"/>
      <c r="AP1196" s="39"/>
      <c r="AQ1196" s="39"/>
      <c r="AR1196" s="39"/>
      <c r="AS1196" s="39"/>
      <c r="AT1196" s="39"/>
      <c r="AU1196" s="39"/>
      <c r="AV1196" s="39"/>
      <c r="AW1196" t="str" s="39" cm="1">
        <f t="array" ref="AW1196">AF1196&amp;"; "&amp;AG1196&amp;"; "&amp;AH1196&amp;"; "&amp;AI1196&amp;"; "&amp;AJ1196</f>
        <v>E1; E3; E4; I1; E6</v>
      </c>
    </row>
    <row r="1197" ht="13.65" customHeight="1">
      <c r="A1197" t="s" s="35">
        <v>7363</v>
      </c>
      <c r="B1197" s="36">
        <v>11</v>
      </c>
      <c r="C1197" t="s" s="35">
        <v>210</v>
      </c>
      <c r="D1197" t="s" s="35">
        <v>7000</v>
      </c>
      <c r="E1197" t="s" s="35">
        <v>7275</v>
      </c>
      <c r="F1197" s="36">
        <v>27</v>
      </c>
      <c r="G1197" t="s" s="35">
        <v>7321</v>
      </c>
      <c r="H1197" t="s" s="35">
        <v>7364</v>
      </c>
      <c r="I1197" t="s" s="120">
        <v>7365</v>
      </c>
      <c r="J1197" t="s" s="35">
        <v>6185</v>
      </c>
      <c r="K1197" t="s" s="35">
        <v>1058</v>
      </c>
      <c r="L1197" s="39"/>
      <c r="M1197" t="str" s="39">
        <v>Sin marco</v>
      </c>
      <c r="N1197" t="str" s="39">
        <v>Sin marco</v>
      </c>
      <c r="O1197" t="str" s="39" cm="1">
        <f t="array" ref="O1197">IF(L1197="","",_xlfn.IFERROR(INDEX('Datos - Catálogo TIMSS'!$C$5:$C$107,MATCH(L1197,'Datos - Catálogo TIMSS'!$A$5:$A$107,0)),"?"))</f>
      </c>
      <c r="P1197" t="s" s="35">
        <v>1058</v>
      </c>
      <c r="Q1197" t="s" s="120">
        <v>6186</v>
      </c>
      <c r="R1197" t="s" s="120">
        <v>7366</v>
      </c>
      <c r="S1197" s="121" cm="1">
        <f t="array" ref="S1197">_xlfn.IFERROR(ISNUMBER(SEARCH("Conocer",$R1197))/(ISNUMBER(SEARCH("Conocer",$R1197))+ISNUMBER(SEARCH("Aplicar",$R1197))+ISNUMBER(SEARCH("Razonar",$R1197))),0)</f>
        <v>0.5</v>
      </c>
      <c r="T1197" s="121" cm="1">
        <f t="array" ref="T1197">_xlfn.IFERROR(ISNUMBER(SEARCH("Aplicar",$R1197))/(ISNUMBER(SEARCH("Conocer",$R1197))+ISNUMBER(SEARCH("Aplicar",$R1197))+ISNUMBER(SEARCH("Razonar",$R1197))),0)</f>
        <v>0.5</v>
      </c>
      <c r="U1197" s="121" cm="1">
        <f t="array" ref="U1197">_xlfn.IFERROR(ISNUMBER(SEARCH("Razonar",$R1197))/(ISNUMBER(SEARCH("Conocer",$R1197))+ISNUMBER(SEARCH("Aplicar",$R1197))+ISNUMBER(SEARCH("Razonar",$R1197))),0)</f>
        <v>0</v>
      </c>
      <c r="V1197" t="s" s="35">
        <v>1409</v>
      </c>
      <c r="W1197" t="s" s="35">
        <v>7006</v>
      </c>
      <c r="X1197" s="36" cm="1">
        <f t="array" ref="X1197">IF(OR(_xlfn.IFERROR(INDEX('Datos - Catálogo TIMSS'!$I$5:$I$107,MATCH(K1197,'Datos - Catálogo TIMSS'!$A$5:$A$107,0)),"No")="Sí",_xlfn.IFERROR(INDEX('Datos - Catálogo TIMSS'!$I$5:$I$107,MATCH(L1197,'Datos - Catálogo TIMSS'!$A$5:$A$107,0)),"No")="Sí"),1,0)</f>
        <v>0</v>
      </c>
      <c r="Y1197" s="36" cm="1">
        <f t="array" ref="Y1197">IF(_xlfn.IFERROR(INDEX('Datos - Catálogo TIMSS'!$J$5:$J$107,MATCH(K1197,'Datos - Catálogo TIMSS'!$A$5:$A$107,0)),"No")="Sí",1,0)</f>
        <v>0</v>
      </c>
      <c r="Z1197" s="36" cm="1">
        <f t="array" ref="Z1197">IF(_xlfn.IFERROR(INDEX('Datos - Catálogo TIMSS'!$J$5:$J$107,MATCH(L1197,'Datos - Catálogo TIMSS'!$A$5:$A$107,0)),"No")="Sí",1,0)</f>
        <v>0</v>
      </c>
      <c r="AA1197" t="s" s="35">
        <v>1058</v>
      </c>
      <c r="AB1197" s="39"/>
      <c r="AC1197" t="str" s="39">
        <v>Sin marco</v>
      </c>
      <c r="AD1197" t="s" s="35">
        <v>1859</v>
      </c>
      <c r="AE1197" t="str" s="39" cm="1">
        <f t="array" ref="AE1197">IF(AD1197="","",IF(LEFT(AD1197,1)="1","C1",IF(LEFT(AD1197,1)="2","C2",IF(LEFT(AD1197,1)="3","C3",""))))</f>
        <v>C1</v>
      </c>
      <c r="AF1197" t="s" s="35">
        <v>1602</v>
      </c>
      <c r="AG1197" t="s" s="35">
        <v>1607</v>
      </c>
      <c r="AH1197" t="s" s="35">
        <v>1609</v>
      </c>
      <c r="AI1197" t="s" s="35">
        <v>1623</v>
      </c>
      <c r="AJ1197" t="s" s="35">
        <v>1615</v>
      </c>
      <c r="AK1197" s="39"/>
      <c r="AL1197" s="39"/>
      <c r="AM1197" s="39"/>
      <c r="AN1197" s="39"/>
      <c r="AO1197" s="39"/>
      <c r="AP1197" s="39"/>
      <c r="AQ1197" s="39"/>
      <c r="AR1197" s="39"/>
      <c r="AS1197" s="39"/>
      <c r="AT1197" s="39"/>
      <c r="AU1197" s="39"/>
      <c r="AV1197" s="39"/>
      <c r="AW1197" t="str" s="39" cm="1">
        <f t="array" ref="AW1197">AF1197&amp;"; "&amp;AG1197&amp;"; "&amp;AH1197&amp;"; "&amp;AI1197&amp;"; "&amp;AJ1197</f>
        <v>E1; E3; E4; D4; E6</v>
      </c>
    </row>
    <row r="1198" ht="13.65" customHeight="1">
      <c r="A1198" t="s" s="35">
        <v>7367</v>
      </c>
      <c r="B1198" s="36">
        <v>11</v>
      </c>
      <c r="C1198" t="s" s="35">
        <v>210</v>
      </c>
      <c r="D1198" t="s" s="35">
        <v>7000</v>
      </c>
      <c r="E1198" t="s" s="35">
        <v>7275</v>
      </c>
      <c r="F1198" s="36">
        <v>28</v>
      </c>
      <c r="G1198" t="s" s="35">
        <v>7321</v>
      </c>
      <c r="H1198" t="s" s="35">
        <v>7364</v>
      </c>
      <c r="I1198" t="s" s="120">
        <v>7368</v>
      </c>
      <c r="J1198" t="s" s="35">
        <v>6185</v>
      </c>
      <c r="K1198" t="s" s="35">
        <v>1058</v>
      </c>
      <c r="L1198" s="39"/>
      <c r="M1198" t="str" s="39">
        <v>Sin marco</v>
      </c>
      <c r="N1198" t="str" s="39">
        <v>Sin marco</v>
      </c>
      <c r="O1198" t="str" s="39" cm="1">
        <f t="array" ref="O1198">IF(L1198="","",_xlfn.IFERROR(INDEX('Datos - Catálogo TIMSS'!$C$5:$C$107,MATCH(L1198,'Datos - Catálogo TIMSS'!$A$5:$A$107,0)),"?"))</f>
      </c>
      <c r="P1198" t="s" s="35">
        <v>1058</v>
      </c>
      <c r="Q1198" t="s" s="120">
        <v>6186</v>
      </c>
      <c r="R1198" t="s" s="120">
        <v>7369</v>
      </c>
      <c r="S1198" s="121" cm="1">
        <f t="array" ref="S1198">_xlfn.IFERROR(ISNUMBER(SEARCH("Conocer",$R1198))/(ISNUMBER(SEARCH("Conocer",$R1198))+ISNUMBER(SEARCH("Aplicar",$R1198))+ISNUMBER(SEARCH("Razonar",$R1198))),0)</f>
        <v>0.5</v>
      </c>
      <c r="T1198" s="121" cm="1">
        <f t="array" ref="T1198">_xlfn.IFERROR(ISNUMBER(SEARCH("Aplicar",$R1198))/(ISNUMBER(SEARCH("Conocer",$R1198))+ISNUMBER(SEARCH("Aplicar",$R1198))+ISNUMBER(SEARCH("Razonar",$R1198))),0)</f>
        <v>0</v>
      </c>
      <c r="U1198" s="121" cm="1">
        <f t="array" ref="U1198">_xlfn.IFERROR(ISNUMBER(SEARCH("Razonar",$R1198))/(ISNUMBER(SEARCH("Conocer",$R1198))+ISNUMBER(SEARCH("Aplicar",$R1198))+ISNUMBER(SEARCH("Razonar",$R1198))),0)</f>
        <v>0.5</v>
      </c>
      <c r="V1198" t="s" s="35">
        <v>1409</v>
      </c>
      <c r="W1198" t="s" s="35">
        <v>7006</v>
      </c>
      <c r="X1198" s="36" cm="1">
        <f t="array" ref="X1198">IF(OR(_xlfn.IFERROR(INDEX('Datos - Catálogo TIMSS'!$I$5:$I$107,MATCH(K1198,'Datos - Catálogo TIMSS'!$A$5:$A$107,0)),"No")="Sí",_xlfn.IFERROR(INDEX('Datos - Catálogo TIMSS'!$I$5:$I$107,MATCH(L1198,'Datos - Catálogo TIMSS'!$A$5:$A$107,0)),"No")="Sí"),1,0)</f>
        <v>0</v>
      </c>
      <c r="Y1198" s="36" cm="1">
        <f t="array" ref="Y1198">IF(_xlfn.IFERROR(INDEX('Datos - Catálogo TIMSS'!$J$5:$J$107,MATCH(K1198,'Datos - Catálogo TIMSS'!$A$5:$A$107,0)),"No")="Sí",1,0)</f>
        <v>0</v>
      </c>
      <c r="Z1198" s="36" cm="1">
        <f t="array" ref="Z1198">IF(_xlfn.IFERROR(INDEX('Datos - Catálogo TIMSS'!$J$5:$J$107,MATCH(L1198,'Datos - Catálogo TIMSS'!$A$5:$A$107,0)),"No")="Sí",1,0)</f>
        <v>0</v>
      </c>
      <c r="AA1198" t="s" s="35">
        <v>1058</v>
      </c>
      <c r="AB1198" s="39"/>
      <c r="AC1198" t="str" s="39">
        <v>Sin marco</v>
      </c>
      <c r="AD1198" t="s" s="35">
        <v>1859</v>
      </c>
      <c r="AE1198" t="str" s="39" cm="1">
        <f t="array" ref="AE1198">IF(AD1198="","",IF(LEFT(AD1198,1)="1","C1",IF(LEFT(AD1198,1)="2","C2",IF(LEFT(AD1198,1)="3","C3",""))))</f>
        <v>C1</v>
      </c>
      <c r="AF1198" t="s" s="35">
        <v>1602</v>
      </c>
      <c r="AG1198" t="s" s="35">
        <v>1607</v>
      </c>
      <c r="AH1198" t="s" s="35">
        <v>1605</v>
      </c>
      <c r="AI1198" t="s" s="35">
        <v>1623</v>
      </c>
      <c r="AJ1198" t="s" s="35">
        <v>1607</v>
      </c>
      <c r="AK1198" s="39"/>
      <c r="AL1198" s="39"/>
      <c r="AM1198" s="39"/>
      <c r="AN1198" s="39"/>
      <c r="AO1198" s="39"/>
      <c r="AP1198" s="39"/>
      <c r="AQ1198" s="39"/>
      <c r="AR1198" s="39"/>
      <c r="AS1198" s="39"/>
      <c r="AT1198" s="39"/>
      <c r="AU1198" s="39"/>
      <c r="AV1198" s="39"/>
      <c r="AW1198" t="str" s="39" cm="1">
        <f t="array" ref="AW1198">AF1198&amp;"; "&amp;AG1198&amp;"; "&amp;AH1198&amp;"; "&amp;AI1198&amp;"; "&amp;AJ1198</f>
        <v>E1; E3; E2; D4; E3</v>
      </c>
    </row>
    <row r="1199" ht="13.65" customHeight="1">
      <c r="A1199" t="s" s="35">
        <v>7370</v>
      </c>
      <c r="B1199" s="36">
        <v>11</v>
      </c>
      <c r="C1199" t="s" s="35">
        <v>210</v>
      </c>
      <c r="D1199" t="s" s="35">
        <v>7000</v>
      </c>
      <c r="E1199" t="s" s="35">
        <v>7275</v>
      </c>
      <c r="F1199" s="36">
        <v>29</v>
      </c>
      <c r="G1199" t="s" s="35">
        <v>7321</v>
      </c>
      <c r="H1199" t="s" s="35">
        <v>7364</v>
      </c>
      <c r="I1199" t="s" s="120">
        <v>7371</v>
      </c>
      <c r="J1199" t="s" s="35">
        <v>6185</v>
      </c>
      <c r="K1199" t="s" s="35">
        <v>1058</v>
      </c>
      <c r="L1199" s="39"/>
      <c r="M1199" t="str" s="39">
        <v>Sin marco</v>
      </c>
      <c r="N1199" t="str" s="39">
        <v>Sin marco</v>
      </c>
      <c r="O1199" t="str" s="39" cm="1">
        <f t="array" ref="O1199">IF(L1199="","",_xlfn.IFERROR(INDEX('Datos - Catálogo TIMSS'!$C$5:$C$107,MATCH(L1199,'Datos - Catálogo TIMSS'!$A$5:$A$107,0)),"?"))</f>
      </c>
      <c r="P1199" t="s" s="35">
        <v>1058</v>
      </c>
      <c r="Q1199" t="s" s="120">
        <v>6186</v>
      </c>
      <c r="R1199" t="s" s="120">
        <v>7372</v>
      </c>
      <c r="S1199" s="121" cm="1">
        <f t="array" ref="S1199">_xlfn.IFERROR(ISNUMBER(SEARCH("Conocer",$R1199))/(ISNUMBER(SEARCH("Conocer",$R1199))+ISNUMBER(SEARCH("Aplicar",$R1199))+ISNUMBER(SEARCH("Razonar",$R1199))),0)</f>
        <v>0.5</v>
      </c>
      <c r="T1199" s="121" cm="1">
        <f t="array" ref="T1199">_xlfn.IFERROR(ISNUMBER(SEARCH("Aplicar",$R1199))/(ISNUMBER(SEARCH("Conocer",$R1199))+ISNUMBER(SEARCH("Aplicar",$R1199))+ISNUMBER(SEARCH("Razonar",$R1199))),0)</f>
        <v>0</v>
      </c>
      <c r="U1199" s="121" cm="1">
        <f t="array" ref="U1199">_xlfn.IFERROR(ISNUMBER(SEARCH("Razonar",$R1199))/(ISNUMBER(SEARCH("Conocer",$R1199))+ISNUMBER(SEARCH("Aplicar",$R1199))+ISNUMBER(SEARCH("Razonar",$R1199))),0)</f>
        <v>0.5</v>
      </c>
      <c r="V1199" t="s" s="35">
        <v>1409</v>
      </c>
      <c r="W1199" t="s" s="35">
        <v>7006</v>
      </c>
      <c r="X1199" s="36" cm="1">
        <f t="array" ref="X1199">IF(OR(_xlfn.IFERROR(INDEX('Datos - Catálogo TIMSS'!$I$5:$I$107,MATCH(K1199,'Datos - Catálogo TIMSS'!$A$5:$A$107,0)),"No")="Sí",_xlfn.IFERROR(INDEX('Datos - Catálogo TIMSS'!$I$5:$I$107,MATCH(L1199,'Datos - Catálogo TIMSS'!$A$5:$A$107,0)),"No")="Sí"),1,0)</f>
        <v>0</v>
      </c>
      <c r="Y1199" s="36" cm="1">
        <f t="array" ref="Y1199">IF(_xlfn.IFERROR(INDEX('Datos - Catálogo TIMSS'!$J$5:$J$107,MATCH(K1199,'Datos - Catálogo TIMSS'!$A$5:$A$107,0)),"No")="Sí",1,0)</f>
        <v>0</v>
      </c>
      <c r="Z1199" s="36" cm="1">
        <f t="array" ref="Z1199">IF(_xlfn.IFERROR(INDEX('Datos - Catálogo TIMSS'!$J$5:$J$107,MATCH(L1199,'Datos - Catálogo TIMSS'!$A$5:$A$107,0)),"No")="Sí",1,0)</f>
        <v>0</v>
      </c>
      <c r="AA1199" t="s" s="35">
        <v>1058</v>
      </c>
      <c r="AB1199" s="39"/>
      <c r="AC1199" t="str" s="39">
        <v>Sin marco</v>
      </c>
      <c r="AD1199" t="s" s="35">
        <v>1900</v>
      </c>
      <c r="AE1199" t="str" s="39" cm="1">
        <f t="array" ref="AE1199">IF(AD1199="","",IF(LEFT(AD1199,1)="1","C1",IF(LEFT(AD1199,1)="2","C2",IF(LEFT(AD1199,1)="3","C3",""))))</f>
        <v>C3</v>
      </c>
      <c r="AF1199" t="s" s="35">
        <v>1615</v>
      </c>
      <c r="AG1199" t="s" s="35">
        <v>1617</v>
      </c>
      <c r="AH1199" t="s" s="35">
        <v>1609</v>
      </c>
      <c r="AI1199" t="s" s="35">
        <v>1625</v>
      </c>
      <c r="AJ1199" t="s" s="35">
        <v>1633</v>
      </c>
      <c r="AK1199" s="39"/>
      <c r="AL1199" s="39"/>
      <c r="AM1199" s="39"/>
      <c r="AN1199" s="39"/>
      <c r="AO1199" s="39"/>
      <c r="AP1199" s="39"/>
      <c r="AQ1199" s="39"/>
      <c r="AR1199" s="39"/>
      <c r="AS1199" s="39"/>
      <c r="AT1199" s="39"/>
      <c r="AU1199" s="39"/>
      <c r="AV1199" s="39"/>
      <c r="AW1199" t="str" s="39" cm="1">
        <f t="array" ref="AW1199">AF1199&amp;"; "&amp;AG1199&amp;"; "&amp;AH1199&amp;"; "&amp;AI1199&amp;"; "&amp;AJ1199</f>
        <v>E6; D1; E4; I1; I5</v>
      </c>
    </row>
    <row r="1200" ht="13.65" customHeight="1">
      <c r="A1200" t="s" s="35">
        <v>7373</v>
      </c>
      <c r="B1200" s="36">
        <v>11</v>
      </c>
      <c r="C1200" t="s" s="35">
        <v>210</v>
      </c>
      <c r="D1200" t="s" s="35">
        <v>7000</v>
      </c>
      <c r="E1200" t="s" s="35">
        <v>7275</v>
      </c>
      <c r="F1200" s="36">
        <v>30</v>
      </c>
      <c r="G1200" t="s" s="35">
        <v>7374</v>
      </c>
      <c r="H1200" t="s" s="35">
        <v>7375</v>
      </c>
      <c r="I1200" t="s" s="120">
        <v>7376</v>
      </c>
      <c r="J1200" t="s" s="35">
        <v>6185</v>
      </c>
      <c r="K1200" t="s" s="35">
        <v>1058</v>
      </c>
      <c r="L1200" s="39"/>
      <c r="M1200" t="str" s="39">
        <v>Sin marco</v>
      </c>
      <c r="N1200" t="str" s="39">
        <v>Sin marco</v>
      </c>
      <c r="O1200" t="str" s="39" cm="1">
        <f t="array" ref="O1200">IF(L1200="","",_xlfn.IFERROR(INDEX('Datos - Catálogo TIMSS'!$C$5:$C$107,MATCH(L1200,'Datos - Catálogo TIMSS'!$A$5:$A$107,0)),"?"))</f>
      </c>
      <c r="P1200" t="s" s="35">
        <v>1058</v>
      </c>
      <c r="Q1200" t="s" s="120">
        <v>6186</v>
      </c>
      <c r="R1200" t="s" s="120">
        <v>7377</v>
      </c>
      <c r="S1200" s="121" cm="1">
        <f t="array" ref="S1200">_xlfn.IFERROR(ISNUMBER(SEARCH("Conocer",$R1200))/(ISNUMBER(SEARCH("Conocer",$R1200))+ISNUMBER(SEARCH("Aplicar",$R1200))+ISNUMBER(SEARCH("Razonar",$R1200))),0)</f>
        <v>0.5</v>
      </c>
      <c r="T1200" s="121" cm="1">
        <f t="array" ref="T1200">_xlfn.IFERROR(ISNUMBER(SEARCH("Aplicar",$R1200))/(ISNUMBER(SEARCH("Conocer",$R1200))+ISNUMBER(SEARCH("Aplicar",$R1200))+ISNUMBER(SEARCH("Razonar",$R1200))),0)</f>
        <v>0.5</v>
      </c>
      <c r="U1200" s="121" cm="1">
        <f t="array" ref="U1200">_xlfn.IFERROR(ISNUMBER(SEARCH("Razonar",$R1200))/(ISNUMBER(SEARCH("Conocer",$R1200))+ISNUMBER(SEARCH("Aplicar",$R1200))+ISNUMBER(SEARCH("Razonar",$R1200))),0)</f>
        <v>0</v>
      </c>
      <c r="V1200" t="s" s="35">
        <v>1409</v>
      </c>
      <c r="W1200" t="s" s="35">
        <v>7006</v>
      </c>
      <c r="X1200" s="36" cm="1">
        <f t="array" ref="X1200">IF(OR(_xlfn.IFERROR(INDEX('Datos - Catálogo TIMSS'!$I$5:$I$107,MATCH(K1200,'Datos - Catálogo TIMSS'!$A$5:$A$107,0)),"No")="Sí",_xlfn.IFERROR(INDEX('Datos - Catálogo TIMSS'!$I$5:$I$107,MATCH(L1200,'Datos - Catálogo TIMSS'!$A$5:$A$107,0)),"No")="Sí"),1,0)</f>
        <v>0</v>
      </c>
      <c r="Y1200" s="36" cm="1">
        <f t="array" ref="Y1200">IF(_xlfn.IFERROR(INDEX('Datos - Catálogo TIMSS'!$J$5:$J$107,MATCH(K1200,'Datos - Catálogo TIMSS'!$A$5:$A$107,0)),"No")="Sí",1,0)</f>
        <v>0</v>
      </c>
      <c r="Z1200" s="36" cm="1">
        <f t="array" ref="Z1200">IF(_xlfn.IFERROR(INDEX('Datos - Catálogo TIMSS'!$J$5:$J$107,MATCH(L1200,'Datos - Catálogo TIMSS'!$A$5:$A$107,0)),"No")="Sí",1,0)</f>
        <v>0</v>
      </c>
      <c r="AA1200" t="s" s="35">
        <v>1058</v>
      </c>
      <c r="AB1200" s="39"/>
      <c r="AC1200" t="str" s="39">
        <v>Sin marco</v>
      </c>
      <c r="AD1200" t="s" s="35">
        <v>1900</v>
      </c>
      <c r="AE1200" t="str" s="39" cm="1">
        <f t="array" ref="AE1200">IF(AD1200="","",IF(LEFT(AD1200,1)="1","C1",IF(LEFT(AD1200,1)="2","C2",IF(LEFT(AD1200,1)="3","C3",""))))</f>
        <v>C3</v>
      </c>
      <c r="AF1200" t="s" s="35">
        <v>1615</v>
      </c>
      <c r="AG1200" t="s" s="35">
        <v>1617</v>
      </c>
      <c r="AH1200" t="s" s="35">
        <v>1602</v>
      </c>
      <c r="AI1200" t="s" s="35">
        <v>1625</v>
      </c>
      <c r="AJ1200" t="s" s="35">
        <v>1615</v>
      </c>
      <c r="AK1200" s="39"/>
      <c r="AL1200" s="39"/>
      <c r="AM1200" s="39"/>
      <c r="AN1200" s="39"/>
      <c r="AO1200" s="39"/>
      <c r="AP1200" s="39"/>
      <c r="AQ1200" s="39"/>
      <c r="AR1200" s="39"/>
      <c r="AS1200" s="39"/>
      <c r="AT1200" s="39"/>
      <c r="AU1200" s="39"/>
      <c r="AV1200" s="39"/>
      <c r="AW1200" t="str" s="39" cm="1">
        <f t="array" ref="AW1200">AF1200&amp;"; "&amp;AG1200&amp;"; "&amp;AH1200&amp;"; "&amp;AI1200&amp;"; "&amp;AJ1200</f>
        <v>E6; D1; E1; I1; E6</v>
      </c>
    </row>
    <row r="1201" ht="13.65" customHeight="1">
      <c r="A1201" t="s" s="35">
        <v>7378</v>
      </c>
      <c r="B1201" s="36">
        <v>11</v>
      </c>
      <c r="C1201" t="s" s="35">
        <v>210</v>
      </c>
      <c r="D1201" t="s" s="35">
        <v>7000</v>
      </c>
      <c r="E1201" t="s" s="35">
        <v>7275</v>
      </c>
      <c r="F1201" s="36">
        <v>31</v>
      </c>
      <c r="G1201" t="s" s="35">
        <v>7374</v>
      </c>
      <c r="H1201" t="s" s="35">
        <v>7375</v>
      </c>
      <c r="I1201" t="s" s="120">
        <v>7379</v>
      </c>
      <c r="J1201" t="s" s="35">
        <v>6185</v>
      </c>
      <c r="K1201" t="s" s="35">
        <v>1058</v>
      </c>
      <c r="L1201" s="39"/>
      <c r="M1201" t="str" s="39">
        <v>Sin marco</v>
      </c>
      <c r="N1201" t="str" s="39">
        <v>Sin marco</v>
      </c>
      <c r="O1201" t="str" s="39" cm="1">
        <f t="array" ref="O1201">IF(L1201="","",_xlfn.IFERROR(INDEX('Datos - Catálogo TIMSS'!$C$5:$C$107,MATCH(L1201,'Datos - Catálogo TIMSS'!$A$5:$A$107,0)),"?"))</f>
      </c>
      <c r="P1201" t="s" s="35">
        <v>1058</v>
      </c>
      <c r="Q1201" t="s" s="120">
        <v>6186</v>
      </c>
      <c r="R1201" t="s" s="120">
        <v>7380</v>
      </c>
      <c r="S1201" s="121" cm="1">
        <f t="array" ref="S1201">_xlfn.IFERROR(ISNUMBER(SEARCH("Conocer",$R1201))/(ISNUMBER(SEARCH("Conocer",$R1201))+ISNUMBER(SEARCH("Aplicar",$R1201))+ISNUMBER(SEARCH("Razonar",$R1201))),0)</f>
        <v>0</v>
      </c>
      <c r="T1201" s="121" cm="1">
        <f t="array" ref="T1201">_xlfn.IFERROR(ISNUMBER(SEARCH("Aplicar",$R1201))/(ISNUMBER(SEARCH("Conocer",$R1201))+ISNUMBER(SEARCH("Aplicar",$R1201))+ISNUMBER(SEARCH("Razonar",$R1201))),0)</f>
        <v>0.5</v>
      </c>
      <c r="U1201" s="121" cm="1">
        <f t="array" ref="U1201">_xlfn.IFERROR(ISNUMBER(SEARCH("Razonar",$R1201))/(ISNUMBER(SEARCH("Conocer",$R1201))+ISNUMBER(SEARCH("Aplicar",$R1201))+ISNUMBER(SEARCH("Razonar",$R1201))),0)</f>
        <v>0.5</v>
      </c>
      <c r="V1201" t="s" s="35">
        <v>1409</v>
      </c>
      <c r="W1201" t="s" s="35">
        <v>7006</v>
      </c>
      <c r="X1201" s="36" cm="1">
        <f t="array" ref="X1201">IF(OR(_xlfn.IFERROR(INDEX('Datos - Catálogo TIMSS'!$I$5:$I$107,MATCH(K1201,'Datos - Catálogo TIMSS'!$A$5:$A$107,0)),"No")="Sí",_xlfn.IFERROR(INDEX('Datos - Catálogo TIMSS'!$I$5:$I$107,MATCH(L1201,'Datos - Catálogo TIMSS'!$A$5:$A$107,0)),"No")="Sí"),1,0)</f>
        <v>0</v>
      </c>
      <c r="Y1201" s="36" cm="1">
        <f t="array" ref="Y1201">IF(_xlfn.IFERROR(INDEX('Datos - Catálogo TIMSS'!$J$5:$J$107,MATCH(K1201,'Datos - Catálogo TIMSS'!$A$5:$A$107,0)),"No")="Sí",1,0)</f>
        <v>0</v>
      </c>
      <c r="Z1201" s="36" cm="1">
        <f t="array" ref="Z1201">IF(_xlfn.IFERROR(INDEX('Datos - Catálogo TIMSS'!$J$5:$J$107,MATCH(L1201,'Datos - Catálogo TIMSS'!$A$5:$A$107,0)),"No")="Sí",1,0)</f>
        <v>0</v>
      </c>
      <c r="AA1201" t="s" s="35">
        <v>1058</v>
      </c>
      <c r="AB1201" s="39"/>
      <c r="AC1201" t="str" s="39">
        <v>Sin marco</v>
      </c>
      <c r="AD1201" t="s" s="35">
        <v>1834</v>
      </c>
      <c r="AE1201" t="str" s="39" cm="1">
        <f t="array" ref="AE1201">IF(AD1201="","",IF(LEFT(AD1201,1)="1","C1",IF(LEFT(AD1201,1)="2","C2",IF(LEFT(AD1201,1)="3","C3",""))))</f>
        <v>C2</v>
      </c>
      <c r="AF1201" t="s" s="35">
        <v>1602</v>
      </c>
      <c r="AG1201" t="s" s="35">
        <v>1617</v>
      </c>
      <c r="AH1201" t="s" s="35">
        <v>1602</v>
      </c>
      <c r="AI1201" t="s" s="35">
        <v>1623</v>
      </c>
      <c r="AJ1201" t="s" s="35">
        <v>1607</v>
      </c>
      <c r="AK1201" s="39"/>
      <c r="AL1201" s="39"/>
      <c r="AM1201" s="39"/>
      <c r="AN1201" s="39"/>
      <c r="AO1201" s="39"/>
      <c r="AP1201" s="39"/>
      <c r="AQ1201" s="39"/>
      <c r="AR1201" s="39"/>
      <c r="AS1201" s="39"/>
      <c r="AT1201" s="39"/>
      <c r="AU1201" s="39"/>
      <c r="AV1201" s="39"/>
      <c r="AW1201" t="str" s="39" cm="1">
        <f t="array" ref="AW1201">AF1201&amp;"; "&amp;AG1201&amp;"; "&amp;AH1201&amp;"; "&amp;AI1201&amp;"; "&amp;AJ1201</f>
        <v>E1; D1; E1; D4; E3</v>
      </c>
    </row>
    <row r="1202" ht="13.65" customHeight="1">
      <c r="A1202" t="s" s="35">
        <v>7381</v>
      </c>
      <c r="B1202" s="36">
        <v>11</v>
      </c>
      <c r="C1202" t="s" s="35">
        <v>210</v>
      </c>
      <c r="D1202" t="s" s="35">
        <v>7000</v>
      </c>
      <c r="E1202" t="s" s="35">
        <v>7275</v>
      </c>
      <c r="F1202" s="36">
        <v>32</v>
      </c>
      <c r="G1202" t="s" s="35">
        <v>7374</v>
      </c>
      <c r="H1202" t="s" s="35">
        <v>7375</v>
      </c>
      <c r="I1202" t="s" s="120">
        <v>7382</v>
      </c>
      <c r="J1202" t="s" s="35">
        <v>6185</v>
      </c>
      <c r="K1202" t="s" s="35">
        <v>1058</v>
      </c>
      <c r="L1202" s="39"/>
      <c r="M1202" t="str" s="39">
        <v>Sin marco</v>
      </c>
      <c r="N1202" t="str" s="39">
        <v>Sin marco</v>
      </c>
      <c r="O1202" t="str" s="39" cm="1">
        <f t="array" ref="O1202">IF(L1202="","",_xlfn.IFERROR(INDEX('Datos - Catálogo TIMSS'!$C$5:$C$107,MATCH(L1202,'Datos - Catálogo TIMSS'!$A$5:$A$107,0)),"?"))</f>
      </c>
      <c r="P1202" t="s" s="35">
        <v>1058</v>
      </c>
      <c r="Q1202" t="s" s="120">
        <v>6186</v>
      </c>
      <c r="R1202" t="s" s="120">
        <v>7383</v>
      </c>
      <c r="S1202" s="121" cm="1">
        <f t="array" ref="S1202">_xlfn.IFERROR(ISNUMBER(SEARCH("Conocer",$R1202))/(ISNUMBER(SEARCH("Conocer",$R1202))+ISNUMBER(SEARCH("Aplicar",$R1202))+ISNUMBER(SEARCH("Razonar",$R1202))),0)</f>
        <v>0.5</v>
      </c>
      <c r="T1202" s="121" cm="1">
        <f t="array" ref="T1202">_xlfn.IFERROR(ISNUMBER(SEARCH("Aplicar",$R1202))/(ISNUMBER(SEARCH("Conocer",$R1202))+ISNUMBER(SEARCH("Aplicar",$R1202))+ISNUMBER(SEARCH("Razonar",$R1202))),0)</f>
        <v>0.5</v>
      </c>
      <c r="U1202" s="121" cm="1">
        <f t="array" ref="U1202">_xlfn.IFERROR(ISNUMBER(SEARCH("Razonar",$R1202))/(ISNUMBER(SEARCH("Conocer",$R1202))+ISNUMBER(SEARCH("Aplicar",$R1202))+ISNUMBER(SEARCH("Razonar",$R1202))),0)</f>
        <v>0</v>
      </c>
      <c r="V1202" t="s" s="35">
        <v>1409</v>
      </c>
      <c r="W1202" t="s" s="35">
        <v>7006</v>
      </c>
      <c r="X1202" s="36" cm="1">
        <f t="array" ref="X1202">IF(OR(_xlfn.IFERROR(INDEX('Datos - Catálogo TIMSS'!$I$5:$I$107,MATCH(K1202,'Datos - Catálogo TIMSS'!$A$5:$A$107,0)),"No")="Sí",_xlfn.IFERROR(INDEX('Datos - Catálogo TIMSS'!$I$5:$I$107,MATCH(L1202,'Datos - Catálogo TIMSS'!$A$5:$A$107,0)),"No")="Sí"),1,0)</f>
        <v>0</v>
      </c>
      <c r="Y1202" s="36" cm="1">
        <f t="array" ref="Y1202">IF(_xlfn.IFERROR(INDEX('Datos - Catálogo TIMSS'!$J$5:$J$107,MATCH(K1202,'Datos - Catálogo TIMSS'!$A$5:$A$107,0)),"No")="Sí",1,0)</f>
        <v>0</v>
      </c>
      <c r="Z1202" s="36" cm="1">
        <f t="array" ref="Z1202">IF(_xlfn.IFERROR(INDEX('Datos - Catálogo TIMSS'!$J$5:$J$107,MATCH(L1202,'Datos - Catálogo TIMSS'!$A$5:$A$107,0)),"No")="Sí",1,0)</f>
        <v>0</v>
      </c>
      <c r="AA1202" t="s" s="35">
        <v>1058</v>
      </c>
      <c r="AB1202" s="39"/>
      <c r="AC1202" t="str" s="39">
        <v>Sin marco</v>
      </c>
      <c r="AD1202" t="s" s="35">
        <v>1859</v>
      </c>
      <c r="AE1202" t="str" s="39" cm="1">
        <f t="array" ref="AE1202">IF(AD1202="","",IF(LEFT(AD1202,1)="1","C1",IF(LEFT(AD1202,1)="2","C2",IF(LEFT(AD1202,1)="3","C3",""))))</f>
        <v>C1</v>
      </c>
      <c r="AF1202" t="s" s="35">
        <v>1602</v>
      </c>
      <c r="AG1202" t="s" s="35">
        <v>1607</v>
      </c>
      <c r="AH1202" t="s" s="35">
        <v>1609</v>
      </c>
      <c r="AI1202" t="s" s="35">
        <v>1623</v>
      </c>
      <c r="AJ1202" t="s" s="35">
        <v>1615</v>
      </c>
      <c r="AK1202" s="39"/>
      <c r="AL1202" s="39"/>
      <c r="AM1202" s="39"/>
      <c r="AN1202" s="39"/>
      <c r="AO1202" s="39"/>
      <c r="AP1202" s="39"/>
      <c r="AQ1202" s="39"/>
      <c r="AR1202" s="39"/>
      <c r="AS1202" s="39"/>
      <c r="AT1202" s="39"/>
      <c r="AU1202" s="39"/>
      <c r="AV1202" s="39"/>
      <c r="AW1202" t="str" s="39" cm="1">
        <f t="array" ref="AW1202">AF1202&amp;"; "&amp;AG1202&amp;"; "&amp;AH1202&amp;"; "&amp;AI1202&amp;"; "&amp;AJ1202</f>
        <v>E1; E3; E4; D4; E6</v>
      </c>
    </row>
    <row r="1203" ht="13.65" customHeight="1">
      <c r="A1203" t="s" s="35">
        <v>7384</v>
      </c>
      <c r="B1203" s="36">
        <v>11</v>
      </c>
      <c r="C1203" t="s" s="35">
        <v>210</v>
      </c>
      <c r="D1203" t="s" s="35">
        <v>7000</v>
      </c>
      <c r="E1203" t="s" s="35">
        <v>7275</v>
      </c>
      <c r="F1203" s="36">
        <v>33</v>
      </c>
      <c r="G1203" t="s" s="35">
        <v>7374</v>
      </c>
      <c r="H1203" t="s" s="35">
        <v>7385</v>
      </c>
      <c r="I1203" t="s" s="120">
        <v>7386</v>
      </c>
      <c r="J1203" t="s" s="35">
        <v>6185</v>
      </c>
      <c r="K1203" t="s" s="35">
        <v>1058</v>
      </c>
      <c r="L1203" s="39"/>
      <c r="M1203" t="str" s="39">
        <v>Sin marco</v>
      </c>
      <c r="N1203" t="str" s="39">
        <v>Sin marco</v>
      </c>
      <c r="O1203" t="str" s="39" cm="1">
        <f t="array" ref="O1203">IF(L1203="","",_xlfn.IFERROR(INDEX('Datos - Catálogo TIMSS'!$C$5:$C$107,MATCH(L1203,'Datos - Catálogo TIMSS'!$A$5:$A$107,0)),"?"))</f>
      </c>
      <c r="P1203" t="s" s="35">
        <v>1058</v>
      </c>
      <c r="Q1203" t="s" s="120">
        <v>6186</v>
      </c>
      <c r="R1203" t="s" s="120">
        <v>7387</v>
      </c>
      <c r="S1203" s="121" cm="1">
        <f t="array" ref="S1203">_xlfn.IFERROR(ISNUMBER(SEARCH("Conocer",$R1203))/(ISNUMBER(SEARCH("Conocer",$R1203))+ISNUMBER(SEARCH("Aplicar",$R1203))+ISNUMBER(SEARCH("Razonar",$R1203))),0)</f>
        <v>0.5</v>
      </c>
      <c r="T1203" s="121" cm="1">
        <f t="array" ref="T1203">_xlfn.IFERROR(ISNUMBER(SEARCH("Aplicar",$R1203))/(ISNUMBER(SEARCH("Conocer",$R1203))+ISNUMBER(SEARCH("Aplicar",$R1203))+ISNUMBER(SEARCH("Razonar",$R1203))),0)</f>
        <v>0</v>
      </c>
      <c r="U1203" s="121" cm="1">
        <f t="array" ref="U1203">_xlfn.IFERROR(ISNUMBER(SEARCH("Razonar",$R1203))/(ISNUMBER(SEARCH("Conocer",$R1203))+ISNUMBER(SEARCH("Aplicar",$R1203))+ISNUMBER(SEARCH("Razonar",$R1203))),0)</f>
        <v>0.5</v>
      </c>
      <c r="V1203" t="s" s="35">
        <v>1409</v>
      </c>
      <c r="W1203" t="s" s="35">
        <v>7006</v>
      </c>
      <c r="X1203" s="36" cm="1">
        <f t="array" ref="X1203">IF(OR(_xlfn.IFERROR(INDEX('Datos - Catálogo TIMSS'!$I$5:$I$107,MATCH(K1203,'Datos - Catálogo TIMSS'!$A$5:$A$107,0)),"No")="Sí",_xlfn.IFERROR(INDEX('Datos - Catálogo TIMSS'!$I$5:$I$107,MATCH(L1203,'Datos - Catálogo TIMSS'!$A$5:$A$107,0)),"No")="Sí"),1,0)</f>
        <v>0</v>
      </c>
      <c r="Y1203" s="36" cm="1">
        <f t="array" ref="Y1203">IF(_xlfn.IFERROR(INDEX('Datos - Catálogo TIMSS'!$J$5:$J$107,MATCH(K1203,'Datos - Catálogo TIMSS'!$A$5:$A$107,0)),"No")="Sí",1,0)</f>
        <v>0</v>
      </c>
      <c r="Z1203" s="36" cm="1">
        <f t="array" ref="Z1203">IF(_xlfn.IFERROR(INDEX('Datos - Catálogo TIMSS'!$J$5:$J$107,MATCH(L1203,'Datos - Catálogo TIMSS'!$A$5:$A$107,0)),"No")="Sí",1,0)</f>
        <v>0</v>
      </c>
      <c r="AA1203" t="s" s="35">
        <v>1058</v>
      </c>
      <c r="AB1203" s="39"/>
      <c r="AC1203" t="str" s="39">
        <v>Sin marco</v>
      </c>
      <c r="AD1203" t="s" s="35">
        <v>1859</v>
      </c>
      <c r="AE1203" t="str" s="39" cm="1">
        <f t="array" ref="AE1203">IF(AD1203="","",IF(LEFT(AD1203,1)="1","C1",IF(LEFT(AD1203,1)="2","C2",IF(LEFT(AD1203,1)="3","C3",""))))</f>
        <v>C1</v>
      </c>
      <c r="AF1203" t="s" s="35">
        <v>1602</v>
      </c>
      <c r="AG1203" t="s" s="35">
        <v>1607</v>
      </c>
      <c r="AH1203" t="s" s="35">
        <v>1605</v>
      </c>
      <c r="AI1203" t="s" s="35">
        <v>1629</v>
      </c>
      <c r="AJ1203" t="s" s="35">
        <v>1615</v>
      </c>
      <c r="AK1203" s="39"/>
      <c r="AL1203" s="39"/>
      <c r="AM1203" s="39"/>
      <c r="AN1203" s="39"/>
      <c r="AO1203" s="39"/>
      <c r="AP1203" s="39"/>
      <c r="AQ1203" s="39"/>
      <c r="AR1203" s="39"/>
      <c r="AS1203" s="39"/>
      <c r="AT1203" s="39"/>
      <c r="AU1203" s="39"/>
      <c r="AV1203" s="39"/>
      <c r="AW1203" t="str" s="39" cm="1">
        <f t="array" ref="AW1203">AF1203&amp;"; "&amp;AG1203&amp;"; "&amp;AH1203&amp;"; "&amp;AI1203&amp;"; "&amp;AJ1203</f>
        <v>E1; E3; E2; I3; E6</v>
      </c>
    </row>
    <row r="1204" ht="13.65" customHeight="1">
      <c r="A1204" t="s" s="35">
        <v>7388</v>
      </c>
      <c r="B1204" s="36">
        <v>11</v>
      </c>
      <c r="C1204" t="s" s="35">
        <v>210</v>
      </c>
      <c r="D1204" t="s" s="35">
        <v>7000</v>
      </c>
      <c r="E1204" t="s" s="35">
        <v>7275</v>
      </c>
      <c r="F1204" s="36">
        <v>34</v>
      </c>
      <c r="G1204" t="s" s="35">
        <v>7374</v>
      </c>
      <c r="H1204" t="s" s="35">
        <v>7385</v>
      </c>
      <c r="I1204" t="s" s="120">
        <v>7389</v>
      </c>
      <c r="J1204" t="s" s="35">
        <v>6185</v>
      </c>
      <c r="K1204" t="s" s="35">
        <v>1058</v>
      </c>
      <c r="L1204" s="39"/>
      <c r="M1204" t="str" s="39">
        <v>Sin marco</v>
      </c>
      <c r="N1204" t="str" s="39">
        <v>Sin marco</v>
      </c>
      <c r="O1204" t="str" s="39" cm="1">
        <f t="array" ref="O1204">IF(L1204="","",_xlfn.IFERROR(INDEX('Datos - Catálogo TIMSS'!$C$5:$C$107,MATCH(L1204,'Datos - Catálogo TIMSS'!$A$5:$A$107,0)),"?"))</f>
      </c>
      <c r="P1204" t="s" s="35">
        <v>1058</v>
      </c>
      <c r="Q1204" t="s" s="120">
        <v>6186</v>
      </c>
      <c r="R1204" t="s" s="120">
        <v>7390</v>
      </c>
      <c r="S1204" s="121" cm="1">
        <f t="array" ref="S1204">_xlfn.IFERROR(ISNUMBER(SEARCH("Conocer",$R1204))/(ISNUMBER(SEARCH("Conocer",$R1204))+ISNUMBER(SEARCH("Aplicar",$R1204))+ISNUMBER(SEARCH("Razonar",$R1204))),0)</f>
        <v>0</v>
      </c>
      <c r="T1204" s="121" cm="1">
        <f t="array" ref="T1204">_xlfn.IFERROR(ISNUMBER(SEARCH("Aplicar",$R1204))/(ISNUMBER(SEARCH("Conocer",$R1204))+ISNUMBER(SEARCH("Aplicar",$R1204))+ISNUMBER(SEARCH("Razonar",$R1204))),0)</f>
        <v>0.5</v>
      </c>
      <c r="U1204" s="121" cm="1">
        <f t="array" ref="U1204">_xlfn.IFERROR(ISNUMBER(SEARCH("Razonar",$R1204))/(ISNUMBER(SEARCH("Conocer",$R1204))+ISNUMBER(SEARCH("Aplicar",$R1204))+ISNUMBER(SEARCH("Razonar",$R1204))),0)</f>
        <v>0.5</v>
      </c>
      <c r="V1204" t="s" s="35">
        <v>1409</v>
      </c>
      <c r="W1204" t="s" s="35">
        <v>7006</v>
      </c>
      <c r="X1204" s="36" cm="1">
        <f t="array" ref="X1204">IF(OR(_xlfn.IFERROR(INDEX('Datos - Catálogo TIMSS'!$I$5:$I$107,MATCH(K1204,'Datos - Catálogo TIMSS'!$A$5:$A$107,0)),"No")="Sí",_xlfn.IFERROR(INDEX('Datos - Catálogo TIMSS'!$I$5:$I$107,MATCH(L1204,'Datos - Catálogo TIMSS'!$A$5:$A$107,0)),"No")="Sí"),1,0)</f>
        <v>0</v>
      </c>
      <c r="Y1204" s="36" cm="1">
        <f t="array" ref="Y1204">IF(_xlfn.IFERROR(INDEX('Datos - Catálogo TIMSS'!$J$5:$J$107,MATCH(K1204,'Datos - Catálogo TIMSS'!$A$5:$A$107,0)),"No")="Sí",1,0)</f>
        <v>0</v>
      </c>
      <c r="Z1204" s="36" cm="1">
        <f t="array" ref="Z1204">IF(_xlfn.IFERROR(INDEX('Datos - Catálogo TIMSS'!$J$5:$J$107,MATCH(L1204,'Datos - Catálogo TIMSS'!$A$5:$A$107,0)),"No")="Sí",1,0)</f>
        <v>0</v>
      </c>
      <c r="AA1204" t="s" s="35">
        <v>1058</v>
      </c>
      <c r="AB1204" s="39"/>
      <c r="AC1204" t="str" s="39">
        <v>Sin marco</v>
      </c>
      <c r="AD1204" t="s" s="35">
        <v>1834</v>
      </c>
      <c r="AE1204" t="str" s="39" cm="1">
        <f t="array" ref="AE1204">IF(AD1204="","",IF(LEFT(AD1204,1)="1","C1",IF(LEFT(AD1204,1)="2","C2",IF(LEFT(AD1204,1)="3","C3",""))))</f>
        <v>C2</v>
      </c>
      <c r="AF1204" t="s" s="35">
        <v>1602</v>
      </c>
      <c r="AG1204" t="s" s="35">
        <v>1612</v>
      </c>
      <c r="AH1204" t="s" s="35">
        <v>1602</v>
      </c>
      <c r="AI1204" t="s" s="35">
        <v>1619</v>
      </c>
      <c r="AJ1204" t="s" s="35">
        <v>1621</v>
      </c>
      <c r="AK1204" s="39"/>
      <c r="AL1204" s="39"/>
      <c r="AM1204" s="39"/>
      <c r="AN1204" s="39"/>
      <c r="AO1204" s="39"/>
      <c r="AP1204" s="39"/>
      <c r="AQ1204" s="39"/>
      <c r="AR1204" s="39"/>
      <c r="AS1204" s="39"/>
      <c r="AT1204" s="39"/>
      <c r="AU1204" s="39"/>
      <c r="AV1204" s="39"/>
      <c r="AW1204" t="str" s="39" cm="1">
        <f t="array" ref="AW1204">AF1204&amp;"; "&amp;AG1204&amp;"; "&amp;AH1204&amp;"; "&amp;AI1204&amp;"; "&amp;AJ1204</f>
        <v>E1; E5; E1; D2; D3</v>
      </c>
    </row>
    <row r="1205" ht="13.65" customHeight="1">
      <c r="A1205" t="s" s="35">
        <v>7391</v>
      </c>
      <c r="B1205" s="36">
        <v>11</v>
      </c>
      <c r="C1205" t="s" s="35">
        <v>210</v>
      </c>
      <c r="D1205" t="s" s="35">
        <v>7000</v>
      </c>
      <c r="E1205" t="s" s="35">
        <v>7275</v>
      </c>
      <c r="F1205" s="36">
        <v>35</v>
      </c>
      <c r="G1205" t="s" s="35">
        <v>7374</v>
      </c>
      <c r="H1205" t="s" s="35">
        <v>7385</v>
      </c>
      <c r="I1205" t="s" s="120">
        <v>7392</v>
      </c>
      <c r="J1205" t="s" s="35">
        <v>6185</v>
      </c>
      <c r="K1205" t="s" s="35">
        <v>1058</v>
      </c>
      <c r="L1205" s="39"/>
      <c r="M1205" t="str" s="39">
        <v>Sin marco</v>
      </c>
      <c r="N1205" t="str" s="39">
        <v>Sin marco</v>
      </c>
      <c r="O1205" t="str" s="39" cm="1">
        <f t="array" ref="O1205">IF(L1205="","",_xlfn.IFERROR(INDEX('Datos - Catálogo TIMSS'!$C$5:$C$107,MATCH(L1205,'Datos - Catálogo TIMSS'!$A$5:$A$107,0)),"?"))</f>
      </c>
      <c r="P1205" t="s" s="35">
        <v>1058</v>
      </c>
      <c r="Q1205" t="s" s="120">
        <v>6186</v>
      </c>
      <c r="R1205" t="s" s="120">
        <v>7393</v>
      </c>
      <c r="S1205" s="121" cm="1">
        <f t="array" ref="S1205">_xlfn.IFERROR(ISNUMBER(SEARCH("Conocer",$R1205))/(ISNUMBER(SEARCH("Conocer",$R1205))+ISNUMBER(SEARCH("Aplicar",$R1205))+ISNUMBER(SEARCH("Razonar",$R1205))),0)</f>
        <v>0.5</v>
      </c>
      <c r="T1205" s="121" cm="1">
        <f t="array" ref="T1205">_xlfn.IFERROR(ISNUMBER(SEARCH("Aplicar",$R1205))/(ISNUMBER(SEARCH("Conocer",$R1205))+ISNUMBER(SEARCH("Aplicar",$R1205))+ISNUMBER(SEARCH("Razonar",$R1205))),0)</f>
        <v>0</v>
      </c>
      <c r="U1205" s="121" cm="1">
        <f t="array" ref="U1205">_xlfn.IFERROR(ISNUMBER(SEARCH("Razonar",$R1205))/(ISNUMBER(SEARCH("Conocer",$R1205))+ISNUMBER(SEARCH("Aplicar",$R1205))+ISNUMBER(SEARCH("Razonar",$R1205))),0)</f>
        <v>0.5</v>
      </c>
      <c r="V1205" t="s" s="35">
        <v>1409</v>
      </c>
      <c r="W1205" t="s" s="35">
        <v>7006</v>
      </c>
      <c r="X1205" s="36" cm="1">
        <f t="array" ref="X1205">IF(OR(_xlfn.IFERROR(INDEX('Datos - Catálogo TIMSS'!$I$5:$I$107,MATCH(K1205,'Datos - Catálogo TIMSS'!$A$5:$A$107,0)),"No")="Sí",_xlfn.IFERROR(INDEX('Datos - Catálogo TIMSS'!$I$5:$I$107,MATCH(L1205,'Datos - Catálogo TIMSS'!$A$5:$A$107,0)),"No")="Sí"),1,0)</f>
        <v>0</v>
      </c>
      <c r="Y1205" s="36" cm="1">
        <f t="array" ref="Y1205">IF(_xlfn.IFERROR(INDEX('Datos - Catálogo TIMSS'!$J$5:$J$107,MATCH(K1205,'Datos - Catálogo TIMSS'!$A$5:$A$107,0)),"No")="Sí",1,0)</f>
        <v>0</v>
      </c>
      <c r="Z1205" s="36" cm="1">
        <f t="array" ref="Z1205">IF(_xlfn.IFERROR(INDEX('Datos - Catálogo TIMSS'!$J$5:$J$107,MATCH(L1205,'Datos - Catálogo TIMSS'!$A$5:$A$107,0)),"No")="Sí",1,0)</f>
        <v>0</v>
      </c>
      <c r="AA1205" t="s" s="35">
        <v>1058</v>
      </c>
      <c r="AB1205" s="39"/>
      <c r="AC1205" t="str" s="39">
        <v>Sin marco</v>
      </c>
      <c r="AD1205" t="s" s="35">
        <v>1900</v>
      </c>
      <c r="AE1205" t="str" s="39" cm="1">
        <f t="array" ref="AE1205">IF(AD1205="","",IF(LEFT(AD1205,1)="1","C1",IF(LEFT(AD1205,1)="2","C2",IF(LEFT(AD1205,1)="3","C3",""))))</f>
        <v>C3</v>
      </c>
      <c r="AF1205" t="s" s="35">
        <v>1615</v>
      </c>
      <c r="AG1205" t="s" s="35">
        <v>1617</v>
      </c>
      <c r="AH1205" t="s" s="35">
        <v>1605</v>
      </c>
      <c r="AI1205" t="s" s="35">
        <v>1625</v>
      </c>
      <c r="AJ1205" t="s" s="35">
        <v>1627</v>
      </c>
      <c r="AK1205" s="39"/>
      <c r="AL1205" s="39"/>
      <c r="AM1205" s="39"/>
      <c r="AN1205" s="39"/>
      <c r="AO1205" s="39"/>
      <c r="AP1205" s="39"/>
      <c r="AQ1205" s="39"/>
      <c r="AR1205" s="39"/>
      <c r="AS1205" s="39"/>
      <c r="AT1205" s="39"/>
      <c r="AU1205" s="39"/>
      <c r="AV1205" s="39"/>
      <c r="AW1205" t="str" s="39" cm="1">
        <f t="array" ref="AW1205">AF1205&amp;"; "&amp;AG1205&amp;"; "&amp;AH1205&amp;"; "&amp;AI1205&amp;"; "&amp;AJ1205</f>
        <v>E6; D1; E2; I1; I2</v>
      </c>
    </row>
    <row r="1206" ht="13.65" customHeight="1">
      <c r="A1206" t="s" s="35">
        <v>7394</v>
      </c>
      <c r="B1206" s="36">
        <v>11</v>
      </c>
      <c r="C1206" t="s" s="35">
        <v>210</v>
      </c>
      <c r="D1206" t="s" s="35">
        <v>7000</v>
      </c>
      <c r="E1206" t="s" s="35">
        <v>7275</v>
      </c>
      <c r="F1206" s="36">
        <v>36</v>
      </c>
      <c r="G1206" t="s" s="35">
        <v>7374</v>
      </c>
      <c r="H1206" t="s" s="35">
        <v>7395</v>
      </c>
      <c r="I1206" t="s" s="120">
        <v>7396</v>
      </c>
      <c r="J1206" t="s" s="35">
        <v>6185</v>
      </c>
      <c r="K1206" t="s" s="35">
        <v>1058</v>
      </c>
      <c r="L1206" s="39"/>
      <c r="M1206" t="str" s="39">
        <v>Sin marco</v>
      </c>
      <c r="N1206" t="str" s="39">
        <v>Sin marco</v>
      </c>
      <c r="O1206" t="str" s="39" cm="1">
        <f t="array" ref="O1206">IF(L1206="","",_xlfn.IFERROR(INDEX('Datos - Catálogo TIMSS'!$C$5:$C$107,MATCH(L1206,'Datos - Catálogo TIMSS'!$A$5:$A$107,0)),"?"))</f>
      </c>
      <c r="P1206" t="s" s="35">
        <v>1058</v>
      </c>
      <c r="Q1206" t="s" s="120">
        <v>6186</v>
      </c>
      <c r="R1206" t="s" s="120">
        <v>7397</v>
      </c>
      <c r="S1206" s="121" cm="1">
        <f t="array" ref="S1206">_xlfn.IFERROR(ISNUMBER(SEARCH("Conocer",$R1206))/(ISNUMBER(SEARCH("Conocer",$R1206))+ISNUMBER(SEARCH("Aplicar",$R1206))+ISNUMBER(SEARCH("Razonar",$R1206))),0)</f>
        <v>0.333333333333333</v>
      </c>
      <c r="T1206" s="121" cm="1">
        <f t="array" ref="T1206">_xlfn.IFERROR(ISNUMBER(SEARCH("Aplicar",$R1206))/(ISNUMBER(SEARCH("Conocer",$R1206))+ISNUMBER(SEARCH("Aplicar",$R1206))+ISNUMBER(SEARCH("Razonar",$R1206))),0)</f>
        <v>0.333333333333333</v>
      </c>
      <c r="U1206" s="121" cm="1">
        <f t="array" ref="U1206">_xlfn.IFERROR(ISNUMBER(SEARCH("Razonar",$R1206))/(ISNUMBER(SEARCH("Conocer",$R1206))+ISNUMBER(SEARCH("Aplicar",$R1206))+ISNUMBER(SEARCH("Razonar",$R1206))),0)</f>
        <v>0.333333333333333</v>
      </c>
      <c r="V1206" t="s" s="35">
        <v>1409</v>
      </c>
      <c r="W1206" t="s" s="35">
        <v>7006</v>
      </c>
      <c r="X1206" s="36" cm="1">
        <f t="array" ref="X1206">IF(OR(_xlfn.IFERROR(INDEX('Datos - Catálogo TIMSS'!$I$5:$I$107,MATCH(K1206,'Datos - Catálogo TIMSS'!$A$5:$A$107,0)),"No")="Sí",_xlfn.IFERROR(INDEX('Datos - Catálogo TIMSS'!$I$5:$I$107,MATCH(L1206,'Datos - Catálogo TIMSS'!$A$5:$A$107,0)),"No")="Sí"),1,0)</f>
        <v>0</v>
      </c>
      <c r="Y1206" s="36" cm="1">
        <f t="array" ref="Y1206">IF(_xlfn.IFERROR(INDEX('Datos - Catálogo TIMSS'!$J$5:$J$107,MATCH(K1206,'Datos - Catálogo TIMSS'!$A$5:$A$107,0)),"No")="Sí",1,0)</f>
        <v>0</v>
      </c>
      <c r="Z1206" s="36" cm="1">
        <f t="array" ref="Z1206">IF(_xlfn.IFERROR(INDEX('Datos - Catálogo TIMSS'!$J$5:$J$107,MATCH(L1206,'Datos - Catálogo TIMSS'!$A$5:$A$107,0)),"No")="Sí",1,0)</f>
        <v>0</v>
      </c>
      <c r="AA1206" t="s" s="35">
        <v>1058</v>
      </c>
      <c r="AB1206" s="39"/>
      <c r="AC1206" t="str" s="39">
        <v>Sin marco</v>
      </c>
      <c r="AD1206" t="s" s="35">
        <v>1859</v>
      </c>
      <c r="AE1206" t="str" s="39" cm="1">
        <f t="array" ref="AE1206">IF(AD1206="","",IF(LEFT(AD1206,1)="1","C1",IF(LEFT(AD1206,1)="2","C2",IF(LEFT(AD1206,1)="3","C3",""))))</f>
        <v>C1</v>
      </c>
      <c r="AF1206" t="s" s="35">
        <v>1602</v>
      </c>
      <c r="AG1206" t="s" s="35">
        <v>1607</v>
      </c>
      <c r="AH1206" t="s" s="35">
        <v>1602</v>
      </c>
      <c r="AI1206" t="s" s="35">
        <v>1623</v>
      </c>
      <c r="AJ1206" t="s" s="35">
        <v>1615</v>
      </c>
      <c r="AK1206" s="39"/>
      <c r="AL1206" s="39"/>
      <c r="AM1206" s="39"/>
      <c r="AN1206" s="39"/>
      <c r="AO1206" s="39"/>
      <c r="AP1206" s="39"/>
      <c r="AQ1206" s="39"/>
      <c r="AR1206" s="39"/>
      <c r="AS1206" s="39"/>
      <c r="AT1206" s="39"/>
      <c r="AU1206" s="39"/>
      <c r="AV1206" s="39"/>
      <c r="AW1206" t="str" s="39" cm="1">
        <f t="array" ref="AW1206">AF1206&amp;"; "&amp;AG1206&amp;"; "&amp;AH1206&amp;"; "&amp;AI1206&amp;"; "&amp;AJ1206</f>
        <v>E1; E3; E1; D4; E6</v>
      </c>
    </row>
    <row r="1207" ht="13.65" customHeight="1">
      <c r="A1207" t="s" s="35">
        <v>7398</v>
      </c>
      <c r="B1207" s="36">
        <v>11</v>
      </c>
      <c r="C1207" t="s" s="35">
        <v>210</v>
      </c>
      <c r="D1207" t="s" s="35">
        <v>7000</v>
      </c>
      <c r="E1207" t="s" s="35">
        <v>7275</v>
      </c>
      <c r="F1207" s="36">
        <v>37</v>
      </c>
      <c r="G1207" t="s" s="35">
        <v>7374</v>
      </c>
      <c r="H1207" t="s" s="35">
        <v>7395</v>
      </c>
      <c r="I1207" t="s" s="120">
        <v>7399</v>
      </c>
      <c r="J1207" t="s" s="35">
        <v>6185</v>
      </c>
      <c r="K1207" t="s" s="35">
        <v>1058</v>
      </c>
      <c r="L1207" s="39"/>
      <c r="M1207" t="str" s="39">
        <v>Sin marco</v>
      </c>
      <c r="N1207" t="str" s="39">
        <v>Sin marco</v>
      </c>
      <c r="O1207" t="str" s="39" cm="1">
        <f t="array" ref="O1207">IF(L1207="","",_xlfn.IFERROR(INDEX('Datos - Catálogo TIMSS'!$C$5:$C$107,MATCH(L1207,'Datos - Catálogo TIMSS'!$A$5:$A$107,0)),"?"))</f>
      </c>
      <c r="P1207" t="s" s="35">
        <v>1058</v>
      </c>
      <c r="Q1207" t="s" s="120">
        <v>6186</v>
      </c>
      <c r="R1207" t="s" s="120">
        <v>7400</v>
      </c>
      <c r="S1207" s="121" cm="1">
        <f t="array" ref="S1207">_xlfn.IFERROR(ISNUMBER(SEARCH("Conocer",$R1207))/(ISNUMBER(SEARCH("Conocer",$R1207))+ISNUMBER(SEARCH("Aplicar",$R1207))+ISNUMBER(SEARCH("Razonar",$R1207))),0)</f>
        <v>0</v>
      </c>
      <c r="T1207" s="121" cm="1">
        <f t="array" ref="T1207">_xlfn.IFERROR(ISNUMBER(SEARCH("Aplicar",$R1207))/(ISNUMBER(SEARCH("Conocer",$R1207))+ISNUMBER(SEARCH("Aplicar",$R1207))+ISNUMBER(SEARCH("Razonar",$R1207))),0)</f>
        <v>0.5</v>
      </c>
      <c r="U1207" s="121" cm="1">
        <f t="array" ref="U1207">_xlfn.IFERROR(ISNUMBER(SEARCH("Razonar",$R1207))/(ISNUMBER(SEARCH("Conocer",$R1207))+ISNUMBER(SEARCH("Aplicar",$R1207))+ISNUMBER(SEARCH("Razonar",$R1207))),0)</f>
        <v>0.5</v>
      </c>
      <c r="V1207" t="s" s="35">
        <v>1409</v>
      </c>
      <c r="W1207" t="s" s="35">
        <v>7006</v>
      </c>
      <c r="X1207" s="36" cm="1">
        <f t="array" ref="X1207">IF(OR(_xlfn.IFERROR(INDEX('Datos - Catálogo TIMSS'!$I$5:$I$107,MATCH(K1207,'Datos - Catálogo TIMSS'!$A$5:$A$107,0)),"No")="Sí",_xlfn.IFERROR(INDEX('Datos - Catálogo TIMSS'!$I$5:$I$107,MATCH(L1207,'Datos - Catálogo TIMSS'!$A$5:$A$107,0)),"No")="Sí"),1,0)</f>
        <v>0</v>
      </c>
      <c r="Y1207" s="36" cm="1">
        <f t="array" ref="Y1207">IF(_xlfn.IFERROR(INDEX('Datos - Catálogo TIMSS'!$J$5:$J$107,MATCH(K1207,'Datos - Catálogo TIMSS'!$A$5:$A$107,0)),"No")="Sí",1,0)</f>
        <v>0</v>
      </c>
      <c r="Z1207" s="36" cm="1">
        <f t="array" ref="Z1207">IF(_xlfn.IFERROR(INDEX('Datos - Catálogo TIMSS'!$J$5:$J$107,MATCH(L1207,'Datos - Catálogo TIMSS'!$A$5:$A$107,0)),"No")="Sí",1,0)</f>
        <v>0</v>
      </c>
      <c r="AA1207" t="s" s="35">
        <v>1058</v>
      </c>
      <c r="AB1207" s="39"/>
      <c r="AC1207" t="str" s="39">
        <v>Sin marco</v>
      </c>
      <c r="AD1207" t="s" s="35">
        <v>1834</v>
      </c>
      <c r="AE1207" t="str" s="39" cm="1">
        <f t="array" ref="AE1207">IF(AD1207="","",IF(LEFT(AD1207,1)="1","C1",IF(LEFT(AD1207,1)="2","C2",IF(LEFT(AD1207,1)="3","C3",""))))</f>
        <v>C2</v>
      </c>
      <c r="AF1207" t="s" s="35">
        <v>1602</v>
      </c>
      <c r="AG1207" t="s" s="35">
        <v>1612</v>
      </c>
      <c r="AH1207" t="s" s="35">
        <v>1602</v>
      </c>
      <c r="AI1207" t="s" s="35">
        <v>1619</v>
      </c>
      <c r="AJ1207" t="s" s="35">
        <v>1621</v>
      </c>
      <c r="AK1207" s="39"/>
      <c r="AL1207" s="39"/>
      <c r="AM1207" s="39"/>
      <c r="AN1207" s="39"/>
      <c r="AO1207" s="39"/>
      <c r="AP1207" s="39"/>
      <c r="AQ1207" s="39"/>
      <c r="AR1207" s="39"/>
      <c r="AS1207" s="39"/>
      <c r="AT1207" s="39"/>
      <c r="AU1207" s="39"/>
      <c r="AV1207" s="39"/>
      <c r="AW1207" t="str" s="39" cm="1">
        <f t="array" ref="AW1207">AF1207&amp;"; "&amp;AG1207&amp;"; "&amp;AH1207&amp;"; "&amp;AI1207&amp;"; "&amp;AJ1207</f>
        <v>E1; E5; E1; D2; D3</v>
      </c>
    </row>
    <row r="1208" ht="13.65" customHeight="1">
      <c r="A1208" t="s" s="35">
        <v>7401</v>
      </c>
      <c r="B1208" s="36">
        <v>11</v>
      </c>
      <c r="C1208" t="s" s="35">
        <v>210</v>
      </c>
      <c r="D1208" t="s" s="35">
        <v>7000</v>
      </c>
      <c r="E1208" t="s" s="35">
        <v>7275</v>
      </c>
      <c r="F1208" s="36">
        <v>38</v>
      </c>
      <c r="G1208" t="s" s="35">
        <v>7374</v>
      </c>
      <c r="H1208" t="s" s="35">
        <v>7395</v>
      </c>
      <c r="I1208" t="s" s="120">
        <v>7402</v>
      </c>
      <c r="J1208" t="s" s="35">
        <v>6185</v>
      </c>
      <c r="K1208" t="s" s="35">
        <v>1058</v>
      </c>
      <c r="L1208" s="39"/>
      <c r="M1208" t="str" s="39">
        <v>Sin marco</v>
      </c>
      <c r="N1208" t="str" s="39">
        <v>Sin marco</v>
      </c>
      <c r="O1208" t="str" s="39" cm="1">
        <f t="array" ref="O1208">IF(L1208="","",_xlfn.IFERROR(INDEX('Datos - Catálogo TIMSS'!$C$5:$C$107,MATCH(L1208,'Datos - Catálogo TIMSS'!$A$5:$A$107,0)),"?"))</f>
      </c>
      <c r="P1208" t="s" s="35">
        <v>1058</v>
      </c>
      <c r="Q1208" t="s" s="120">
        <v>6186</v>
      </c>
      <c r="R1208" t="s" s="120">
        <v>7403</v>
      </c>
      <c r="S1208" s="121" cm="1">
        <f t="array" ref="S1208">_xlfn.IFERROR(ISNUMBER(SEARCH("Conocer",$R1208))/(ISNUMBER(SEARCH("Conocer",$R1208))+ISNUMBER(SEARCH("Aplicar",$R1208))+ISNUMBER(SEARCH("Razonar",$R1208))),0)</f>
        <v>0</v>
      </c>
      <c r="T1208" s="121" cm="1">
        <f t="array" ref="T1208">_xlfn.IFERROR(ISNUMBER(SEARCH("Aplicar",$R1208))/(ISNUMBER(SEARCH("Conocer",$R1208))+ISNUMBER(SEARCH("Aplicar",$R1208))+ISNUMBER(SEARCH("Razonar",$R1208))),0)</f>
        <v>0.5</v>
      </c>
      <c r="U1208" s="121" cm="1">
        <f t="array" ref="U1208">_xlfn.IFERROR(ISNUMBER(SEARCH("Razonar",$R1208))/(ISNUMBER(SEARCH("Conocer",$R1208))+ISNUMBER(SEARCH("Aplicar",$R1208))+ISNUMBER(SEARCH("Razonar",$R1208))),0)</f>
        <v>0.5</v>
      </c>
      <c r="V1208" t="s" s="35">
        <v>1409</v>
      </c>
      <c r="W1208" t="s" s="35">
        <v>7006</v>
      </c>
      <c r="X1208" s="36" cm="1">
        <f t="array" ref="X1208">IF(OR(_xlfn.IFERROR(INDEX('Datos - Catálogo TIMSS'!$I$5:$I$107,MATCH(K1208,'Datos - Catálogo TIMSS'!$A$5:$A$107,0)),"No")="Sí",_xlfn.IFERROR(INDEX('Datos - Catálogo TIMSS'!$I$5:$I$107,MATCH(L1208,'Datos - Catálogo TIMSS'!$A$5:$A$107,0)),"No")="Sí"),1,0)</f>
        <v>0</v>
      </c>
      <c r="Y1208" s="36" cm="1">
        <f t="array" ref="Y1208">IF(_xlfn.IFERROR(INDEX('Datos - Catálogo TIMSS'!$J$5:$J$107,MATCH(K1208,'Datos - Catálogo TIMSS'!$A$5:$A$107,0)),"No")="Sí",1,0)</f>
        <v>0</v>
      </c>
      <c r="Z1208" s="36" cm="1">
        <f t="array" ref="Z1208">IF(_xlfn.IFERROR(INDEX('Datos - Catálogo TIMSS'!$J$5:$J$107,MATCH(L1208,'Datos - Catálogo TIMSS'!$A$5:$A$107,0)),"No")="Sí",1,0)</f>
        <v>0</v>
      </c>
      <c r="AA1208" t="s" s="35">
        <v>1058</v>
      </c>
      <c r="AB1208" s="39"/>
      <c r="AC1208" t="str" s="39">
        <v>Sin marco</v>
      </c>
      <c r="AD1208" t="s" s="35">
        <v>1834</v>
      </c>
      <c r="AE1208" t="str" s="39" cm="1">
        <f t="array" ref="AE1208">IF(AD1208="","",IF(LEFT(AD1208,1)="1","C1",IF(LEFT(AD1208,1)="2","C2",IF(LEFT(AD1208,1)="3","C3",""))))</f>
        <v>C2</v>
      </c>
      <c r="AF1208" t="s" s="35">
        <v>1602</v>
      </c>
      <c r="AG1208" t="s" s="35">
        <v>1607</v>
      </c>
      <c r="AH1208" t="s" s="35">
        <v>1605</v>
      </c>
      <c r="AI1208" t="s" s="35">
        <v>1623</v>
      </c>
      <c r="AJ1208" t="s" s="35">
        <v>1633</v>
      </c>
      <c r="AK1208" s="39"/>
      <c r="AL1208" s="39"/>
      <c r="AM1208" s="39"/>
      <c r="AN1208" s="39"/>
      <c r="AO1208" s="39"/>
      <c r="AP1208" s="39"/>
      <c r="AQ1208" s="39"/>
      <c r="AR1208" s="39"/>
      <c r="AS1208" s="39"/>
      <c r="AT1208" s="39"/>
      <c r="AU1208" s="39"/>
      <c r="AV1208" s="39"/>
      <c r="AW1208" t="str" s="39" cm="1">
        <f t="array" ref="AW1208">AF1208&amp;"; "&amp;AG1208&amp;"; "&amp;AH1208&amp;"; "&amp;AI1208&amp;"; "&amp;AJ1208</f>
        <v>E1; E3; E2; D4; I5</v>
      </c>
    </row>
    <row r="1209" ht="13.65" customHeight="1">
      <c r="A1209" t="s" s="35">
        <v>7404</v>
      </c>
      <c r="B1209" s="36">
        <v>11</v>
      </c>
      <c r="C1209" t="s" s="35">
        <v>210</v>
      </c>
      <c r="D1209" t="s" s="35">
        <v>7000</v>
      </c>
      <c r="E1209" t="s" s="35">
        <v>7275</v>
      </c>
      <c r="F1209" s="36">
        <v>39</v>
      </c>
      <c r="G1209" t="s" s="35">
        <v>7374</v>
      </c>
      <c r="H1209" t="s" s="35">
        <v>7405</v>
      </c>
      <c r="I1209" t="s" s="120">
        <v>7406</v>
      </c>
      <c r="J1209" t="s" s="35">
        <v>6185</v>
      </c>
      <c r="K1209" t="s" s="35">
        <v>1058</v>
      </c>
      <c r="L1209" s="39"/>
      <c r="M1209" t="str" s="39">
        <v>Sin marco</v>
      </c>
      <c r="N1209" t="str" s="39">
        <v>Sin marco</v>
      </c>
      <c r="O1209" t="str" s="39" cm="1">
        <f t="array" ref="O1209">IF(L1209="","",_xlfn.IFERROR(INDEX('Datos - Catálogo TIMSS'!$C$5:$C$107,MATCH(L1209,'Datos - Catálogo TIMSS'!$A$5:$A$107,0)),"?"))</f>
      </c>
      <c r="P1209" t="s" s="35">
        <v>1058</v>
      </c>
      <c r="Q1209" t="s" s="120">
        <v>6186</v>
      </c>
      <c r="R1209" t="s" s="120">
        <v>7407</v>
      </c>
      <c r="S1209" s="121" cm="1">
        <f t="array" ref="S1209">_xlfn.IFERROR(ISNUMBER(SEARCH("Conocer",$R1209))/(ISNUMBER(SEARCH("Conocer",$R1209))+ISNUMBER(SEARCH("Aplicar",$R1209))+ISNUMBER(SEARCH("Razonar",$R1209))),0)</f>
        <v>0.5</v>
      </c>
      <c r="T1209" s="121" cm="1">
        <f t="array" ref="T1209">_xlfn.IFERROR(ISNUMBER(SEARCH("Aplicar",$R1209))/(ISNUMBER(SEARCH("Conocer",$R1209))+ISNUMBER(SEARCH("Aplicar",$R1209))+ISNUMBER(SEARCH("Razonar",$R1209))),0)</f>
        <v>0</v>
      </c>
      <c r="U1209" s="121" cm="1">
        <f t="array" ref="U1209">_xlfn.IFERROR(ISNUMBER(SEARCH("Razonar",$R1209))/(ISNUMBER(SEARCH("Conocer",$R1209))+ISNUMBER(SEARCH("Aplicar",$R1209))+ISNUMBER(SEARCH("Razonar",$R1209))),0)</f>
        <v>0.5</v>
      </c>
      <c r="V1209" t="s" s="35">
        <v>1409</v>
      </c>
      <c r="W1209" t="s" s="35">
        <v>7006</v>
      </c>
      <c r="X1209" s="36" cm="1">
        <f t="array" ref="X1209">IF(OR(_xlfn.IFERROR(INDEX('Datos - Catálogo TIMSS'!$I$5:$I$107,MATCH(K1209,'Datos - Catálogo TIMSS'!$A$5:$A$107,0)),"No")="Sí",_xlfn.IFERROR(INDEX('Datos - Catálogo TIMSS'!$I$5:$I$107,MATCH(L1209,'Datos - Catálogo TIMSS'!$A$5:$A$107,0)),"No")="Sí"),1,0)</f>
        <v>0</v>
      </c>
      <c r="Y1209" s="36" cm="1">
        <f t="array" ref="Y1209">IF(_xlfn.IFERROR(INDEX('Datos - Catálogo TIMSS'!$J$5:$J$107,MATCH(K1209,'Datos - Catálogo TIMSS'!$A$5:$A$107,0)),"No")="Sí",1,0)</f>
        <v>0</v>
      </c>
      <c r="Z1209" s="36" cm="1">
        <f t="array" ref="Z1209">IF(_xlfn.IFERROR(INDEX('Datos - Catálogo TIMSS'!$J$5:$J$107,MATCH(L1209,'Datos - Catálogo TIMSS'!$A$5:$A$107,0)),"No")="Sí",1,0)</f>
        <v>0</v>
      </c>
      <c r="AA1209" t="s" s="35">
        <v>1058</v>
      </c>
      <c r="AB1209" s="39"/>
      <c r="AC1209" t="str" s="39">
        <v>Sin marco</v>
      </c>
      <c r="AD1209" t="s" s="35">
        <v>1859</v>
      </c>
      <c r="AE1209" t="str" s="39" cm="1">
        <f t="array" ref="AE1209">IF(AD1209="","",IF(LEFT(AD1209,1)="1","C1",IF(LEFT(AD1209,1)="2","C2",IF(LEFT(AD1209,1)="3","C3",""))))</f>
        <v>C1</v>
      </c>
      <c r="AF1209" t="s" s="35">
        <v>1602</v>
      </c>
      <c r="AG1209" t="s" s="35">
        <v>1612</v>
      </c>
      <c r="AH1209" t="s" s="35">
        <v>1609</v>
      </c>
      <c r="AI1209" t="s" s="35">
        <v>1623</v>
      </c>
      <c r="AJ1209" t="s" s="35">
        <v>1607</v>
      </c>
      <c r="AK1209" s="39"/>
      <c r="AL1209" s="39"/>
      <c r="AM1209" s="39"/>
      <c r="AN1209" s="39"/>
      <c r="AO1209" s="39"/>
      <c r="AP1209" s="39"/>
      <c r="AQ1209" s="39"/>
      <c r="AR1209" s="39"/>
      <c r="AS1209" s="39"/>
      <c r="AT1209" s="39"/>
      <c r="AU1209" s="39"/>
      <c r="AV1209" s="39"/>
      <c r="AW1209" t="str" s="39" cm="1">
        <f t="array" ref="AW1209">AF1209&amp;"; "&amp;AG1209&amp;"; "&amp;AH1209&amp;"; "&amp;AI1209&amp;"; "&amp;AJ1209</f>
        <v>E1; E5; E4; D4; E3</v>
      </c>
    </row>
    <row r="1210" ht="13.65" customHeight="1">
      <c r="A1210" t="s" s="35">
        <v>7408</v>
      </c>
      <c r="B1210" s="36">
        <v>11</v>
      </c>
      <c r="C1210" t="s" s="35">
        <v>210</v>
      </c>
      <c r="D1210" t="s" s="35">
        <v>7000</v>
      </c>
      <c r="E1210" t="s" s="35">
        <v>7275</v>
      </c>
      <c r="F1210" s="36">
        <v>40</v>
      </c>
      <c r="G1210" t="s" s="35">
        <v>7374</v>
      </c>
      <c r="H1210" t="s" s="35">
        <v>7405</v>
      </c>
      <c r="I1210" t="s" s="120">
        <v>7409</v>
      </c>
      <c r="J1210" t="s" s="35">
        <v>6185</v>
      </c>
      <c r="K1210" t="s" s="35">
        <v>1058</v>
      </c>
      <c r="L1210" s="39"/>
      <c r="M1210" t="str" s="39">
        <v>Sin marco</v>
      </c>
      <c r="N1210" t="str" s="39">
        <v>Sin marco</v>
      </c>
      <c r="O1210" t="str" s="39" cm="1">
        <f t="array" ref="O1210">IF(L1210="","",_xlfn.IFERROR(INDEX('Datos - Catálogo TIMSS'!$C$5:$C$107,MATCH(L1210,'Datos - Catálogo TIMSS'!$A$5:$A$107,0)),"?"))</f>
      </c>
      <c r="P1210" t="s" s="35">
        <v>1058</v>
      </c>
      <c r="Q1210" t="s" s="120">
        <v>6186</v>
      </c>
      <c r="R1210" t="s" s="120">
        <v>7410</v>
      </c>
      <c r="S1210" s="121" cm="1">
        <f t="array" ref="S1210">_xlfn.IFERROR(ISNUMBER(SEARCH("Conocer",$R1210))/(ISNUMBER(SEARCH("Conocer",$R1210))+ISNUMBER(SEARCH("Aplicar",$R1210))+ISNUMBER(SEARCH("Razonar",$R1210))),0)</f>
        <v>0</v>
      </c>
      <c r="T1210" s="121" cm="1">
        <f t="array" ref="T1210">_xlfn.IFERROR(ISNUMBER(SEARCH("Aplicar",$R1210))/(ISNUMBER(SEARCH("Conocer",$R1210))+ISNUMBER(SEARCH("Aplicar",$R1210))+ISNUMBER(SEARCH("Razonar",$R1210))),0)</f>
        <v>0.5</v>
      </c>
      <c r="U1210" s="121" cm="1">
        <f t="array" ref="U1210">_xlfn.IFERROR(ISNUMBER(SEARCH("Razonar",$R1210))/(ISNUMBER(SEARCH("Conocer",$R1210))+ISNUMBER(SEARCH("Aplicar",$R1210))+ISNUMBER(SEARCH("Razonar",$R1210))),0)</f>
        <v>0.5</v>
      </c>
      <c r="V1210" t="s" s="35">
        <v>1409</v>
      </c>
      <c r="W1210" t="s" s="35">
        <v>7006</v>
      </c>
      <c r="X1210" s="36" cm="1">
        <f t="array" ref="X1210">IF(OR(_xlfn.IFERROR(INDEX('Datos - Catálogo TIMSS'!$I$5:$I$107,MATCH(K1210,'Datos - Catálogo TIMSS'!$A$5:$A$107,0)),"No")="Sí",_xlfn.IFERROR(INDEX('Datos - Catálogo TIMSS'!$I$5:$I$107,MATCH(L1210,'Datos - Catálogo TIMSS'!$A$5:$A$107,0)),"No")="Sí"),1,0)</f>
        <v>0</v>
      </c>
      <c r="Y1210" s="36" cm="1">
        <f t="array" ref="Y1210">IF(_xlfn.IFERROR(INDEX('Datos - Catálogo TIMSS'!$J$5:$J$107,MATCH(K1210,'Datos - Catálogo TIMSS'!$A$5:$A$107,0)),"No")="Sí",1,0)</f>
        <v>0</v>
      </c>
      <c r="Z1210" s="36" cm="1">
        <f t="array" ref="Z1210">IF(_xlfn.IFERROR(INDEX('Datos - Catálogo TIMSS'!$J$5:$J$107,MATCH(L1210,'Datos - Catálogo TIMSS'!$A$5:$A$107,0)),"No")="Sí",1,0)</f>
        <v>0</v>
      </c>
      <c r="AA1210" t="s" s="35">
        <v>1058</v>
      </c>
      <c r="AB1210" s="39"/>
      <c r="AC1210" t="str" s="39">
        <v>Sin marco</v>
      </c>
      <c r="AD1210" t="s" s="35">
        <v>1834</v>
      </c>
      <c r="AE1210" t="str" s="39" cm="1">
        <f t="array" ref="AE1210">IF(AD1210="","",IF(LEFT(AD1210,1)="1","C1",IF(LEFT(AD1210,1)="2","C2",IF(LEFT(AD1210,1)="3","C3",""))))</f>
        <v>C2</v>
      </c>
      <c r="AF1210" t="s" s="35">
        <v>1602</v>
      </c>
      <c r="AG1210" t="s" s="35">
        <v>1612</v>
      </c>
      <c r="AH1210" t="s" s="35">
        <v>1602</v>
      </c>
      <c r="AI1210" t="s" s="35">
        <v>1623</v>
      </c>
      <c r="AJ1210" t="s" s="35">
        <v>1615</v>
      </c>
      <c r="AK1210" s="39"/>
      <c r="AL1210" s="39"/>
      <c r="AM1210" s="39"/>
      <c r="AN1210" s="39"/>
      <c r="AO1210" s="39"/>
      <c r="AP1210" s="39"/>
      <c r="AQ1210" s="39"/>
      <c r="AR1210" s="39"/>
      <c r="AS1210" s="39"/>
      <c r="AT1210" s="39"/>
      <c r="AU1210" s="39"/>
      <c r="AV1210" s="39"/>
      <c r="AW1210" t="str" s="39" cm="1">
        <f t="array" ref="AW1210">AF1210&amp;"; "&amp;AG1210&amp;"; "&amp;AH1210&amp;"; "&amp;AI1210&amp;"; "&amp;AJ1210</f>
        <v>E1; E5; E1; D4; E6</v>
      </c>
    </row>
    <row r="1211" ht="13.65" customHeight="1">
      <c r="A1211" t="s" s="35">
        <v>7411</v>
      </c>
      <c r="B1211" s="36">
        <v>11</v>
      </c>
      <c r="C1211" t="s" s="35">
        <v>210</v>
      </c>
      <c r="D1211" t="s" s="35">
        <v>7000</v>
      </c>
      <c r="E1211" t="s" s="35">
        <v>7275</v>
      </c>
      <c r="F1211" s="36">
        <v>41</v>
      </c>
      <c r="G1211" t="s" s="35">
        <v>7374</v>
      </c>
      <c r="H1211" t="s" s="35">
        <v>7405</v>
      </c>
      <c r="I1211" t="s" s="120">
        <v>7412</v>
      </c>
      <c r="J1211" t="s" s="35">
        <v>6185</v>
      </c>
      <c r="K1211" t="s" s="35">
        <v>1058</v>
      </c>
      <c r="L1211" s="39"/>
      <c r="M1211" t="str" s="39">
        <v>Sin marco</v>
      </c>
      <c r="N1211" t="str" s="39">
        <v>Sin marco</v>
      </c>
      <c r="O1211" t="str" s="39" cm="1">
        <f t="array" ref="O1211">IF(L1211="","",_xlfn.IFERROR(INDEX('Datos - Catálogo TIMSS'!$C$5:$C$107,MATCH(L1211,'Datos - Catálogo TIMSS'!$A$5:$A$107,0)),"?"))</f>
      </c>
      <c r="P1211" t="s" s="35">
        <v>1058</v>
      </c>
      <c r="Q1211" t="s" s="120">
        <v>6186</v>
      </c>
      <c r="R1211" t="s" s="120">
        <v>7413</v>
      </c>
      <c r="S1211" s="121" cm="1">
        <f t="array" ref="S1211">_xlfn.IFERROR(ISNUMBER(SEARCH("Conocer",$R1211))/(ISNUMBER(SEARCH("Conocer",$R1211))+ISNUMBER(SEARCH("Aplicar",$R1211))+ISNUMBER(SEARCH("Razonar",$R1211))),0)</f>
        <v>0</v>
      </c>
      <c r="T1211" s="121" cm="1">
        <f t="array" ref="T1211">_xlfn.IFERROR(ISNUMBER(SEARCH("Aplicar",$R1211))/(ISNUMBER(SEARCH("Conocer",$R1211))+ISNUMBER(SEARCH("Aplicar",$R1211))+ISNUMBER(SEARCH("Razonar",$R1211))),0)</f>
        <v>0.5</v>
      </c>
      <c r="U1211" s="121" cm="1">
        <f t="array" ref="U1211">_xlfn.IFERROR(ISNUMBER(SEARCH("Razonar",$R1211))/(ISNUMBER(SEARCH("Conocer",$R1211))+ISNUMBER(SEARCH("Aplicar",$R1211))+ISNUMBER(SEARCH("Razonar",$R1211))),0)</f>
        <v>0.5</v>
      </c>
      <c r="V1211" t="s" s="35">
        <v>1409</v>
      </c>
      <c r="W1211" t="s" s="35">
        <v>7006</v>
      </c>
      <c r="X1211" s="36" cm="1">
        <f t="array" ref="X1211">IF(OR(_xlfn.IFERROR(INDEX('Datos - Catálogo TIMSS'!$I$5:$I$107,MATCH(K1211,'Datos - Catálogo TIMSS'!$A$5:$A$107,0)),"No")="Sí",_xlfn.IFERROR(INDEX('Datos - Catálogo TIMSS'!$I$5:$I$107,MATCH(L1211,'Datos - Catálogo TIMSS'!$A$5:$A$107,0)),"No")="Sí"),1,0)</f>
        <v>0</v>
      </c>
      <c r="Y1211" s="36" cm="1">
        <f t="array" ref="Y1211">IF(_xlfn.IFERROR(INDEX('Datos - Catálogo TIMSS'!$J$5:$J$107,MATCH(K1211,'Datos - Catálogo TIMSS'!$A$5:$A$107,0)),"No")="Sí",1,0)</f>
        <v>0</v>
      </c>
      <c r="Z1211" s="36" cm="1">
        <f t="array" ref="Z1211">IF(_xlfn.IFERROR(INDEX('Datos - Catálogo TIMSS'!$J$5:$J$107,MATCH(L1211,'Datos - Catálogo TIMSS'!$A$5:$A$107,0)),"No")="Sí",1,0)</f>
        <v>0</v>
      </c>
      <c r="AA1211" t="s" s="35">
        <v>1058</v>
      </c>
      <c r="AB1211" s="39"/>
      <c r="AC1211" t="str" s="39">
        <v>Sin marco</v>
      </c>
      <c r="AD1211" t="s" s="35">
        <v>1859</v>
      </c>
      <c r="AE1211" t="str" s="39" cm="1">
        <f t="array" ref="AE1211">IF(AD1211="","",IF(LEFT(AD1211,1)="1","C1",IF(LEFT(AD1211,1)="2","C2",IF(LEFT(AD1211,1)="3","C3",""))))</f>
        <v>C1</v>
      </c>
      <c r="AF1211" t="s" s="35">
        <v>1602</v>
      </c>
      <c r="AG1211" t="s" s="35">
        <v>1607</v>
      </c>
      <c r="AH1211" t="s" s="35">
        <v>1605</v>
      </c>
      <c r="AI1211" t="s" s="35">
        <v>1629</v>
      </c>
      <c r="AJ1211" t="s" s="35">
        <v>1615</v>
      </c>
      <c r="AK1211" s="39"/>
      <c r="AL1211" s="39"/>
      <c r="AM1211" s="39"/>
      <c r="AN1211" s="39"/>
      <c r="AO1211" s="39"/>
      <c r="AP1211" s="39"/>
      <c r="AQ1211" s="39"/>
      <c r="AR1211" s="39"/>
      <c r="AS1211" s="39"/>
      <c r="AT1211" s="39"/>
      <c r="AU1211" s="39"/>
      <c r="AV1211" s="39"/>
      <c r="AW1211" t="str" s="39" cm="1">
        <f t="array" ref="AW1211">AF1211&amp;"; "&amp;AG1211&amp;"; "&amp;AH1211&amp;"; "&amp;AI1211&amp;"; "&amp;AJ1211</f>
        <v>E1; E3; E2; I3; E6</v>
      </c>
    </row>
    <row r="1212" ht="13.65" customHeight="1">
      <c r="A1212" t="s" s="35">
        <v>7414</v>
      </c>
      <c r="B1212" s="36">
        <v>11</v>
      </c>
      <c r="C1212" t="s" s="35">
        <v>210</v>
      </c>
      <c r="D1212" t="s" s="35">
        <v>7000</v>
      </c>
      <c r="E1212" t="s" s="35">
        <v>7275</v>
      </c>
      <c r="F1212" s="36">
        <v>42</v>
      </c>
      <c r="G1212" t="s" s="35">
        <v>7374</v>
      </c>
      <c r="H1212" t="s" s="35">
        <v>7415</v>
      </c>
      <c r="I1212" t="s" s="120">
        <v>7416</v>
      </c>
      <c r="J1212" t="s" s="35">
        <v>6185</v>
      </c>
      <c r="K1212" t="s" s="35">
        <v>1058</v>
      </c>
      <c r="L1212" s="39"/>
      <c r="M1212" t="str" s="39">
        <v>Sin marco</v>
      </c>
      <c r="N1212" t="str" s="39">
        <v>Sin marco</v>
      </c>
      <c r="O1212" t="str" s="39" cm="1">
        <f t="array" ref="O1212">IF(L1212="","",_xlfn.IFERROR(INDEX('Datos - Catálogo TIMSS'!$C$5:$C$107,MATCH(L1212,'Datos - Catálogo TIMSS'!$A$5:$A$107,0)),"?"))</f>
      </c>
      <c r="P1212" t="s" s="35">
        <v>1058</v>
      </c>
      <c r="Q1212" t="s" s="120">
        <v>6186</v>
      </c>
      <c r="R1212" t="s" s="120">
        <v>7417</v>
      </c>
      <c r="S1212" s="121" cm="1">
        <f t="array" ref="S1212">_xlfn.IFERROR(ISNUMBER(SEARCH("Conocer",$R1212))/(ISNUMBER(SEARCH("Conocer",$R1212))+ISNUMBER(SEARCH("Aplicar",$R1212))+ISNUMBER(SEARCH("Razonar",$R1212))),0)</f>
        <v>0.5</v>
      </c>
      <c r="T1212" s="121" cm="1">
        <f t="array" ref="T1212">_xlfn.IFERROR(ISNUMBER(SEARCH("Aplicar",$R1212))/(ISNUMBER(SEARCH("Conocer",$R1212))+ISNUMBER(SEARCH("Aplicar",$R1212))+ISNUMBER(SEARCH("Razonar",$R1212))),0)</f>
        <v>0</v>
      </c>
      <c r="U1212" s="121" cm="1">
        <f t="array" ref="U1212">_xlfn.IFERROR(ISNUMBER(SEARCH("Razonar",$R1212))/(ISNUMBER(SEARCH("Conocer",$R1212))+ISNUMBER(SEARCH("Aplicar",$R1212))+ISNUMBER(SEARCH("Razonar",$R1212))),0)</f>
        <v>0.5</v>
      </c>
      <c r="V1212" t="s" s="35">
        <v>1409</v>
      </c>
      <c r="W1212" t="s" s="35">
        <v>7006</v>
      </c>
      <c r="X1212" s="36" cm="1">
        <f t="array" ref="X1212">IF(OR(_xlfn.IFERROR(INDEX('Datos - Catálogo TIMSS'!$I$5:$I$107,MATCH(K1212,'Datos - Catálogo TIMSS'!$A$5:$A$107,0)),"No")="Sí",_xlfn.IFERROR(INDEX('Datos - Catálogo TIMSS'!$I$5:$I$107,MATCH(L1212,'Datos - Catálogo TIMSS'!$A$5:$A$107,0)),"No")="Sí"),1,0)</f>
        <v>0</v>
      </c>
      <c r="Y1212" s="36" cm="1">
        <f t="array" ref="Y1212">IF(_xlfn.IFERROR(INDEX('Datos - Catálogo TIMSS'!$J$5:$J$107,MATCH(K1212,'Datos - Catálogo TIMSS'!$A$5:$A$107,0)),"No")="Sí",1,0)</f>
        <v>0</v>
      </c>
      <c r="Z1212" s="36" cm="1">
        <f t="array" ref="Z1212">IF(_xlfn.IFERROR(INDEX('Datos - Catálogo TIMSS'!$J$5:$J$107,MATCH(L1212,'Datos - Catálogo TIMSS'!$A$5:$A$107,0)),"No")="Sí",1,0)</f>
        <v>0</v>
      </c>
      <c r="AA1212" t="s" s="35">
        <v>1058</v>
      </c>
      <c r="AB1212" s="39"/>
      <c r="AC1212" t="str" s="39">
        <v>Sin marco</v>
      </c>
      <c r="AD1212" t="s" s="35">
        <v>1859</v>
      </c>
      <c r="AE1212" t="str" s="39" cm="1">
        <f t="array" ref="AE1212">IF(AD1212="","",IF(LEFT(AD1212,1)="1","C1",IF(LEFT(AD1212,1)="2","C2",IF(LEFT(AD1212,1)="3","C3",""))))</f>
        <v>C1</v>
      </c>
      <c r="AF1212" t="s" s="35">
        <v>1602</v>
      </c>
      <c r="AG1212" t="s" s="35">
        <v>1607</v>
      </c>
      <c r="AH1212" t="s" s="35">
        <v>1602</v>
      </c>
      <c r="AI1212" t="s" s="35">
        <v>1621</v>
      </c>
      <c r="AJ1212" t="s" s="35">
        <v>1615</v>
      </c>
      <c r="AK1212" s="39"/>
      <c r="AL1212" s="39"/>
      <c r="AM1212" s="39"/>
      <c r="AN1212" s="39"/>
      <c r="AO1212" s="39"/>
      <c r="AP1212" s="39"/>
      <c r="AQ1212" s="39"/>
      <c r="AR1212" s="39"/>
      <c r="AS1212" s="39"/>
      <c r="AT1212" s="39"/>
      <c r="AU1212" s="39"/>
      <c r="AV1212" s="39"/>
      <c r="AW1212" t="str" s="39" cm="1">
        <f t="array" ref="AW1212">AF1212&amp;"; "&amp;AG1212&amp;"; "&amp;AH1212&amp;"; "&amp;AI1212&amp;"; "&amp;AJ1212</f>
        <v>E1; E3; E1; D3; E6</v>
      </c>
    </row>
    <row r="1213" ht="13.65" customHeight="1">
      <c r="A1213" t="s" s="35">
        <v>7418</v>
      </c>
      <c r="B1213" s="36">
        <v>11</v>
      </c>
      <c r="C1213" t="s" s="35">
        <v>210</v>
      </c>
      <c r="D1213" t="s" s="35">
        <v>7000</v>
      </c>
      <c r="E1213" t="s" s="35">
        <v>7275</v>
      </c>
      <c r="F1213" s="36">
        <v>43</v>
      </c>
      <c r="G1213" t="s" s="35">
        <v>7374</v>
      </c>
      <c r="H1213" t="s" s="35">
        <v>7415</v>
      </c>
      <c r="I1213" t="s" s="120">
        <v>7419</v>
      </c>
      <c r="J1213" t="s" s="35">
        <v>6185</v>
      </c>
      <c r="K1213" t="s" s="35">
        <v>1058</v>
      </c>
      <c r="L1213" s="39"/>
      <c r="M1213" t="str" s="39">
        <v>Sin marco</v>
      </c>
      <c r="N1213" t="str" s="39">
        <v>Sin marco</v>
      </c>
      <c r="O1213" t="str" s="39" cm="1">
        <f t="array" ref="O1213">IF(L1213="","",_xlfn.IFERROR(INDEX('Datos - Catálogo TIMSS'!$C$5:$C$107,MATCH(L1213,'Datos - Catálogo TIMSS'!$A$5:$A$107,0)),"?"))</f>
      </c>
      <c r="P1213" t="s" s="35">
        <v>1058</v>
      </c>
      <c r="Q1213" t="s" s="120">
        <v>6186</v>
      </c>
      <c r="R1213" t="s" s="120">
        <v>7420</v>
      </c>
      <c r="S1213" s="121" cm="1">
        <f t="array" ref="S1213">_xlfn.IFERROR(ISNUMBER(SEARCH("Conocer",$R1213))/(ISNUMBER(SEARCH("Conocer",$R1213))+ISNUMBER(SEARCH("Aplicar",$R1213))+ISNUMBER(SEARCH("Razonar",$R1213))),0)</f>
        <v>0</v>
      </c>
      <c r="T1213" s="121" cm="1">
        <f t="array" ref="T1213">_xlfn.IFERROR(ISNUMBER(SEARCH("Aplicar",$R1213))/(ISNUMBER(SEARCH("Conocer",$R1213))+ISNUMBER(SEARCH("Aplicar",$R1213))+ISNUMBER(SEARCH("Razonar",$R1213))),0)</f>
        <v>0.5</v>
      </c>
      <c r="U1213" s="121" cm="1">
        <f t="array" ref="U1213">_xlfn.IFERROR(ISNUMBER(SEARCH("Razonar",$R1213))/(ISNUMBER(SEARCH("Conocer",$R1213))+ISNUMBER(SEARCH("Aplicar",$R1213))+ISNUMBER(SEARCH("Razonar",$R1213))),0)</f>
        <v>0.5</v>
      </c>
      <c r="V1213" t="s" s="35">
        <v>1409</v>
      </c>
      <c r="W1213" t="s" s="35">
        <v>7006</v>
      </c>
      <c r="X1213" s="36" cm="1">
        <f t="array" ref="X1213">IF(OR(_xlfn.IFERROR(INDEX('Datos - Catálogo TIMSS'!$I$5:$I$107,MATCH(K1213,'Datos - Catálogo TIMSS'!$A$5:$A$107,0)),"No")="Sí",_xlfn.IFERROR(INDEX('Datos - Catálogo TIMSS'!$I$5:$I$107,MATCH(L1213,'Datos - Catálogo TIMSS'!$A$5:$A$107,0)),"No")="Sí"),1,0)</f>
        <v>0</v>
      </c>
      <c r="Y1213" s="36" cm="1">
        <f t="array" ref="Y1213">IF(_xlfn.IFERROR(INDEX('Datos - Catálogo TIMSS'!$J$5:$J$107,MATCH(K1213,'Datos - Catálogo TIMSS'!$A$5:$A$107,0)),"No")="Sí",1,0)</f>
        <v>0</v>
      </c>
      <c r="Z1213" s="36" cm="1">
        <f t="array" ref="Z1213">IF(_xlfn.IFERROR(INDEX('Datos - Catálogo TIMSS'!$J$5:$J$107,MATCH(L1213,'Datos - Catálogo TIMSS'!$A$5:$A$107,0)),"No")="Sí",1,0)</f>
        <v>0</v>
      </c>
      <c r="AA1213" t="s" s="35">
        <v>1058</v>
      </c>
      <c r="AB1213" s="39"/>
      <c r="AC1213" t="str" s="39">
        <v>Sin marco</v>
      </c>
      <c r="AD1213" t="s" s="35">
        <v>1834</v>
      </c>
      <c r="AE1213" t="str" s="39" cm="1">
        <f t="array" ref="AE1213">IF(AD1213="","",IF(LEFT(AD1213,1)="1","C1",IF(LEFT(AD1213,1)="2","C2",IF(LEFT(AD1213,1)="3","C3",""))))</f>
        <v>C2</v>
      </c>
      <c r="AF1213" t="s" s="35">
        <v>1602</v>
      </c>
      <c r="AG1213" t="s" s="35">
        <v>1617</v>
      </c>
      <c r="AH1213" t="s" s="35">
        <v>1605</v>
      </c>
      <c r="AI1213" t="s" s="35">
        <v>1619</v>
      </c>
      <c r="AJ1213" t="s" s="35">
        <v>1621</v>
      </c>
      <c r="AK1213" s="39"/>
      <c r="AL1213" s="39"/>
      <c r="AM1213" s="39"/>
      <c r="AN1213" s="39"/>
      <c r="AO1213" s="39"/>
      <c r="AP1213" s="39"/>
      <c r="AQ1213" s="39"/>
      <c r="AR1213" s="39"/>
      <c r="AS1213" s="39"/>
      <c r="AT1213" s="39"/>
      <c r="AU1213" s="39"/>
      <c r="AV1213" s="39"/>
      <c r="AW1213" t="str" s="39" cm="1">
        <f t="array" ref="AW1213">AF1213&amp;"; "&amp;AG1213&amp;"; "&amp;AH1213&amp;"; "&amp;AI1213&amp;"; "&amp;AJ1213</f>
        <v>E1; D1; E2; D2; D3</v>
      </c>
    </row>
    <row r="1214" ht="13.65" customHeight="1">
      <c r="A1214" t="s" s="35">
        <v>7421</v>
      </c>
      <c r="B1214" s="36">
        <v>11</v>
      </c>
      <c r="C1214" t="s" s="35">
        <v>210</v>
      </c>
      <c r="D1214" t="s" s="35">
        <v>7000</v>
      </c>
      <c r="E1214" t="s" s="35">
        <v>7275</v>
      </c>
      <c r="F1214" s="36">
        <v>44</v>
      </c>
      <c r="G1214" t="s" s="35">
        <v>7374</v>
      </c>
      <c r="H1214" t="s" s="35">
        <v>7415</v>
      </c>
      <c r="I1214" t="s" s="120">
        <v>7422</v>
      </c>
      <c r="J1214" t="s" s="35">
        <v>6185</v>
      </c>
      <c r="K1214" t="s" s="35">
        <v>1058</v>
      </c>
      <c r="L1214" s="39"/>
      <c r="M1214" t="str" s="39">
        <v>Sin marco</v>
      </c>
      <c r="N1214" t="str" s="39">
        <v>Sin marco</v>
      </c>
      <c r="O1214" t="str" s="39" cm="1">
        <f t="array" ref="O1214">IF(L1214="","",_xlfn.IFERROR(INDEX('Datos - Catálogo TIMSS'!$C$5:$C$107,MATCH(L1214,'Datos - Catálogo TIMSS'!$A$5:$A$107,0)),"?"))</f>
      </c>
      <c r="P1214" t="s" s="35">
        <v>1058</v>
      </c>
      <c r="Q1214" t="s" s="120">
        <v>6186</v>
      </c>
      <c r="R1214" t="s" s="120">
        <v>7423</v>
      </c>
      <c r="S1214" s="121" cm="1">
        <f t="array" ref="S1214">_xlfn.IFERROR(ISNUMBER(SEARCH("Conocer",$R1214))/(ISNUMBER(SEARCH("Conocer",$R1214))+ISNUMBER(SEARCH("Aplicar",$R1214))+ISNUMBER(SEARCH("Razonar",$R1214))),0)</f>
        <v>0.5</v>
      </c>
      <c r="T1214" s="121" cm="1">
        <f t="array" ref="T1214">_xlfn.IFERROR(ISNUMBER(SEARCH("Aplicar",$R1214))/(ISNUMBER(SEARCH("Conocer",$R1214))+ISNUMBER(SEARCH("Aplicar",$R1214))+ISNUMBER(SEARCH("Razonar",$R1214))),0)</f>
        <v>0.5</v>
      </c>
      <c r="U1214" s="121" cm="1">
        <f t="array" ref="U1214">_xlfn.IFERROR(ISNUMBER(SEARCH("Razonar",$R1214))/(ISNUMBER(SEARCH("Conocer",$R1214))+ISNUMBER(SEARCH("Aplicar",$R1214))+ISNUMBER(SEARCH("Razonar",$R1214))),0)</f>
        <v>0</v>
      </c>
      <c r="V1214" t="s" s="35">
        <v>1409</v>
      </c>
      <c r="W1214" t="s" s="35">
        <v>7006</v>
      </c>
      <c r="X1214" s="36" cm="1">
        <f t="array" ref="X1214">IF(OR(_xlfn.IFERROR(INDEX('Datos - Catálogo TIMSS'!$I$5:$I$107,MATCH(K1214,'Datos - Catálogo TIMSS'!$A$5:$A$107,0)),"No")="Sí",_xlfn.IFERROR(INDEX('Datos - Catálogo TIMSS'!$I$5:$I$107,MATCH(L1214,'Datos - Catálogo TIMSS'!$A$5:$A$107,0)),"No")="Sí"),1,0)</f>
        <v>0</v>
      </c>
      <c r="Y1214" s="36" cm="1">
        <f t="array" ref="Y1214">IF(_xlfn.IFERROR(INDEX('Datos - Catálogo TIMSS'!$J$5:$J$107,MATCH(K1214,'Datos - Catálogo TIMSS'!$A$5:$A$107,0)),"No")="Sí",1,0)</f>
        <v>0</v>
      </c>
      <c r="Z1214" s="36" cm="1">
        <f t="array" ref="Z1214">IF(_xlfn.IFERROR(INDEX('Datos - Catálogo TIMSS'!$J$5:$J$107,MATCH(L1214,'Datos - Catálogo TIMSS'!$A$5:$A$107,0)),"No")="Sí",1,0)</f>
        <v>0</v>
      </c>
      <c r="AA1214" t="s" s="35">
        <v>1058</v>
      </c>
      <c r="AB1214" s="39"/>
      <c r="AC1214" t="str" s="39">
        <v>Sin marco</v>
      </c>
      <c r="AD1214" t="s" s="35">
        <v>1859</v>
      </c>
      <c r="AE1214" t="str" s="39" cm="1">
        <f t="array" ref="AE1214">IF(AD1214="","",IF(LEFT(AD1214,1)="1","C1",IF(LEFT(AD1214,1)="2","C2",IF(LEFT(AD1214,1)="3","C3",""))))</f>
        <v>C1</v>
      </c>
      <c r="AF1214" t="s" s="35">
        <v>1602</v>
      </c>
      <c r="AG1214" t="s" s="35">
        <v>1607</v>
      </c>
      <c r="AH1214" t="s" s="35">
        <v>1605</v>
      </c>
      <c r="AI1214" t="s" s="35">
        <v>1623</v>
      </c>
      <c r="AJ1214" t="s" s="35">
        <v>1615</v>
      </c>
      <c r="AK1214" s="39"/>
      <c r="AL1214" s="39"/>
      <c r="AM1214" s="39"/>
      <c r="AN1214" s="39"/>
      <c r="AO1214" s="39"/>
      <c r="AP1214" s="39"/>
      <c r="AQ1214" s="39"/>
      <c r="AR1214" s="39"/>
      <c r="AS1214" s="39"/>
      <c r="AT1214" s="39"/>
      <c r="AU1214" s="39"/>
      <c r="AV1214" s="39"/>
      <c r="AW1214" t="str" s="39" cm="1">
        <f t="array" ref="AW1214">AF1214&amp;"; "&amp;AG1214&amp;"; "&amp;AH1214&amp;"; "&amp;AI1214&amp;"; "&amp;AJ1214</f>
        <v>E1; E3; E2; D4; E6</v>
      </c>
    </row>
    <row r="1215" ht="13.65" customHeight="1">
      <c r="A1215" t="s" s="35">
        <v>7424</v>
      </c>
      <c r="B1215" s="36">
        <v>11</v>
      </c>
      <c r="C1215" t="s" s="35">
        <v>210</v>
      </c>
      <c r="D1215" t="s" s="35">
        <v>7000</v>
      </c>
      <c r="E1215" t="s" s="35">
        <v>7275</v>
      </c>
      <c r="F1215" s="36">
        <v>45</v>
      </c>
      <c r="G1215" t="s" s="35">
        <v>7374</v>
      </c>
      <c r="H1215" t="s" s="35">
        <v>7425</v>
      </c>
      <c r="I1215" t="s" s="120">
        <v>7426</v>
      </c>
      <c r="J1215" t="s" s="35">
        <v>6185</v>
      </c>
      <c r="K1215" t="s" s="35">
        <v>1058</v>
      </c>
      <c r="L1215" s="39"/>
      <c r="M1215" t="str" s="39">
        <v>Sin marco</v>
      </c>
      <c r="N1215" t="str" s="39">
        <v>Sin marco</v>
      </c>
      <c r="O1215" t="str" s="39" cm="1">
        <f t="array" ref="O1215">IF(L1215="","",_xlfn.IFERROR(INDEX('Datos - Catálogo TIMSS'!$C$5:$C$107,MATCH(L1215,'Datos - Catálogo TIMSS'!$A$5:$A$107,0)),"?"))</f>
      </c>
      <c r="P1215" t="s" s="35">
        <v>1058</v>
      </c>
      <c r="Q1215" t="s" s="120">
        <v>6186</v>
      </c>
      <c r="R1215" t="s" s="120">
        <v>7427</v>
      </c>
      <c r="S1215" s="121" cm="1">
        <f t="array" ref="S1215">_xlfn.IFERROR(ISNUMBER(SEARCH("Conocer",$R1215))/(ISNUMBER(SEARCH("Conocer",$R1215))+ISNUMBER(SEARCH("Aplicar",$R1215))+ISNUMBER(SEARCH("Razonar",$R1215))),0)</f>
        <v>0.5</v>
      </c>
      <c r="T1215" s="121" cm="1">
        <f t="array" ref="T1215">_xlfn.IFERROR(ISNUMBER(SEARCH("Aplicar",$R1215))/(ISNUMBER(SEARCH("Conocer",$R1215))+ISNUMBER(SEARCH("Aplicar",$R1215))+ISNUMBER(SEARCH("Razonar",$R1215))),0)</f>
        <v>0</v>
      </c>
      <c r="U1215" s="121" cm="1">
        <f t="array" ref="U1215">_xlfn.IFERROR(ISNUMBER(SEARCH("Razonar",$R1215))/(ISNUMBER(SEARCH("Conocer",$R1215))+ISNUMBER(SEARCH("Aplicar",$R1215))+ISNUMBER(SEARCH("Razonar",$R1215))),0)</f>
        <v>0.5</v>
      </c>
      <c r="V1215" t="s" s="35">
        <v>1409</v>
      </c>
      <c r="W1215" t="s" s="35">
        <v>7006</v>
      </c>
      <c r="X1215" s="36" cm="1">
        <f t="array" ref="X1215">IF(OR(_xlfn.IFERROR(INDEX('Datos - Catálogo TIMSS'!$I$5:$I$107,MATCH(K1215,'Datos - Catálogo TIMSS'!$A$5:$A$107,0)),"No")="Sí",_xlfn.IFERROR(INDEX('Datos - Catálogo TIMSS'!$I$5:$I$107,MATCH(L1215,'Datos - Catálogo TIMSS'!$A$5:$A$107,0)),"No")="Sí"),1,0)</f>
        <v>0</v>
      </c>
      <c r="Y1215" s="36" cm="1">
        <f t="array" ref="Y1215">IF(_xlfn.IFERROR(INDEX('Datos - Catálogo TIMSS'!$J$5:$J$107,MATCH(K1215,'Datos - Catálogo TIMSS'!$A$5:$A$107,0)),"No")="Sí",1,0)</f>
        <v>0</v>
      </c>
      <c r="Z1215" s="36" cm="1">
        <f t="array" ref="Z1215">IF(_xlfn.IFERROR(INDEX('Datos - Catálogo TIMSS'!$J$5:$J$107,MATCH(L1215,'Datos - Catálogo TIMSS'!$A$5:$A$107,0)),"No")="Sí",1,0)</f>
        <v>0</v>
      </c>
      <c r="AA1215" t="s" s="35">
        <v>1058</v>
      </c>
      <c r="AB1215" s="39"/>
      <c r="AC1215" t="str" s="39">
        <v>Sin marco</v>
      </c>
      <c r="AD1215" t="s" s="35">
        <v>1900</v>
      </c>
      <c r="AE1215" t="str" s="39" cm="1">
        <f t="array" ref="AE1215">IF(AD1215="","",IF(LEFT(AD1215,1)="1","C1",IF(LEFT(AD1215,1)="2","C2",IF(LEFT(AD1215,1)="3","C3",""))))</f>
        <v>C3</v>
      </c>
      <c r="AF1215" t="s" s="35">
        <v>1615</v>
      </c>
      <c r="AG1215" t="s" s="35">
        <v>1617</v>
      </c>
      <c r="AH1215" t="s" s="35">
        <v>1602</v>
      </c>
      <c r="AI1215" t="s" s="35">
        <v>1625</v>
      </c>
      <c r="AJ1215" t="s" s="35">
        <v>1633</v>
      </c>
      <c r="AK1215" s="39"/>
      <c r="AL1215" s="39"/>
      <c r="AM1215" s="39"/>
      <c r="AN1215" s="39"/>
      <c r="AO1215" s="39"/>
      <c r="AP1215" s="39"/>
      <c r="AQ1215" s="39"/>
      <c r="AR1215" s="39"/>
      <c r="AS1215" s="39"/>
      <c r="AT1215" s="39"/>
      <c r="AU1215" s="39"/>
      <c r="AV1215" s="39"/>
      <c r="AW1215" t="str" s="39" cm="1">
        <f t="array" ref="AW1215">AF1215&amp;"; "&amp;AG1215&amp;"; "&amp;AH1215&amp;"; "&amp;AI1215&amp;"; "&amp;AJ1215</f>
        <v>E6; D1; E1; I1; I5</v>
      </c>
    </row>
    <row r="1216" ht="13.65" customHeight="1">
      <c r="A1216" t="s" s="35">
        <v>7428</v>
      </c>
      <c r="B1216" s="36">
        <v>11</v>
      </c>
      <c r="C1216" t="s" s="35">
        <v>210</v>
      </c>
      <c r="D1216" t="s" s="35">
        <v>7000</v>
      </c>
      <c r="E1216" t="s" s="35">
        <v>7275</v>
      </c>
      <c r="F1216" s="36">
        <v>46</v>
      </c>
      <c r="G1216" t="s" s="35">
        <v>7374</v>
      </c>
      <c r="H1216" t="s" s="35">
        <v>7425</v>
      </c>
      <c r="I1216" t="s" s="120">
        <v>7429</v>
      </c>
      <c r="J1216" t="s" s="35">
        <v>6185</v>
      </c>
      <c r="K1216" t="s" s="35">
        <v>1058</v>
      </c>
      <c r="L1216" s="39"/>
      <c r="M1216" t="str" s="39">
        <v>Sin marco</v>
      </c>
      <c r="N1216" t="str" s="39">
        <v>Sin marco</v>
      </c>
      <c r="O1216" t="str" s="39" cm="1">
        <f t="array" ref="O1216">IF(L1216="","",_xlfn.IFERROR(INDEX('Datos - Catálogo TIMSS'!$C$5:$C$107,MATCH(L1216,'Datos - Catálogo TIMSS'!$A$5:$A$107,0)),"?"))</f>
      </c>
      <c r="P1216" t="s" s="35">
        <v>1058</v>
      </c>
      <c r="Q1216" t="s" s="120">
        <v>6186</v>
      </c>
      <c r="R1216" t="s" s="120">
        <v>7430</v>
      </c>
      <c r="S1216" s="121" cm="1">
        <f t="array" ref="S1216">_xlfn.IFERROR(ISNUMBER(SEARCH("Conocer",$R1216))/(ISNUMBER(SEARCH("Conocer",$R1216))+ISNUMBER(SEARCH("Aplicar",$R1216))+ISNUMBER(SEARCH("Razonar",$R1216))),0)</f>
        <v>0</v>
      </c>
      <c r="T1216" s="121" cm="1">
        <f t="array" ref="T1216">_xlfn.IFERROR(ISNUMBER(SEARCH("Aplicar",$R1216))/(ISNUMBER(SEARCH("Conocer",$R1216))+ISNUMBER(SEARCH("Aplicar",$R1216))+ISNUMBER(SEARCH("Razonar",$R1216))),0)</f>
        <v>0.5</v>
      </c>
      <c r="U1216" s="121" cm="1">
        <f t="array" ref="U1216">_xlfn.IFERROR(ISNUMBER(SEARCH("Razonar",$R1216))/(ISNUMBER(SEARCH("Conocer",$R1216))+ISNUMBER(SEARCH("Aplicar",$R1216))+ISNUMBER(SEARCH("Razonar",$R1216))),0)</f>
        <v>0.5</v>
      </c>
      <c r="V1216" t="s" s="35">
        <v>1409</v>
      </c>
      <c r="W1216" t="s" s="35">
        <v>7006</v>
      </c>
      <c r="X1216" s="36" cm="1">
        <f t="array" ref="X1216">IF(OR(_xlfn.IFERROR(INDEX('Datos - Catálogo TIMSS'!$I$5:$I$107,MATCH(K1216,'Datos - Catálogo TIMSS'!$A$5:$A$107,0)),"No")="Sí",_xlfn.IFERROR(INDEX('Datos - Catálogo TIMSS'!$I$5:$I$107,MATCH(L1216,'Datos - Catálogo TIMSS'!$A$5:$A$107,0)),"No")="Sí"),1,0)</f>
        <v>0</v>
      </c>
      <c r="Y1216" s="36" cm="1">
        <f t="array" ref="Y1216">IF(_xlfn.IFERROR(INDEX('Datos - Catálogo TIMSS'!$J$5:$J$107,MATCH(K1216,'Datos - Catálogo TIMSS'!$A$5:$A$107,0)),"No")="Sí",1,0)</f>
        <v>0</v>
      </c>
      <c r="Z1216" s="36" cm="1">
        <f t="array" ref="Z1216">IF(_xlfn.IFERROR(INDEX('Datos - Catálogo TIMSS'!$J$5:$J$107,MATCH(L1216,'Datos - Catálogo TIMSS'!$A$5:$A$107,0)),"No")="Sí",1,0)</f>
        <v>0</v>
      </c>
      <c r="AA1216" t="s" s="35">
        <v>1058</v>
      </c>
      <c r="AB1216" s="39"/>
      <c r="AC1216" t="str" s="39">
        <v>Sin marco</v>
      </c>
      <c r="AD1216" t="s" s="35">
        <v>1834</v>
      </c>
      <c r="AE1216" t="str" s="39" cm="1">
        <f t="array" ref="AE1216">IF(AD1216="","",IF(LEFT(AD1216,1)="1","C1",IF(LEFT(AD1216,1)="2","C2",IF(LEFT(AD1216,1)="3","C3",""))))</f>
        <v>C2</v>
      </c>
      <c r="AF1216" t="s" s="35">
        <v>1602</v>
      </c>
      <c r="AG1216" t="s" s="35">
        <v>1612</v>
      </c>
      <c r="AH1216" t="s" s="35">
        <v>1602</v>
      </c>
      <c r="AI1216" t="s" s="35">
        <v>1619</v>
      </c>
      <c r="AJ1216" t="s" s="35">
        <v>1621</v>
      </c>
      <c r="AK1216" s="39"/>
      <c r="AL1216" s="39"/>
      <c r="AM1216" s="39"/>
      <c r="AN1216" s="39"/>
      <c r="AO1216" s="39"/>
      <c r="AP1216" s="39"/>
      <c r="AQ1216" s="39"/>
      <c r="AR1216" s="39"/>
      <c r="AS1216" s="39"/>
      <c r="AT1216" s="39"/>
      <c r="AU1216" s="39"/>
      <c r="AV1216" s="39"/>
      <c r="AW1216" t="str" s="39" cm="1">
        <f t="array" ref="AW1216">AF1216&amp;"; "&amp;AG1216&amp;"; "&amp;AH1216&amp;"; "&amp;AI1216&amp;"; "&amp;AJ1216</f>
        <v>E1; E5; E1; D2; D3</v>
      </c>
    </row>
    <row r="1217" ht="13.65" customHeight="1">
      <c r="A1217" t="s" s="35">
        <v>7431</v>
      </c>
      <c r="B1217" s="36">
        <v>11</v>
      </c>
      <c r="C1217" t="s" s="35">
        <v>210</v>
      </c>
      <c r="D1217" t="s" s="35">
        <v>7000</v>
      </c>
      <c r="E1217" t="s" s="35">
        <v>7275</v>
      </c>
      <c r="F1217" s="36">
        <v>47</v>
      </c>
      <c r="G1217" t="s" s="35">
        <v>7374</v>
      </c>
      <c r="H1217" t="s" s="35">
        <v>7432</v>
      </c>
      <c r="I1217" t="s" s="120">
        <v>7433</v>
      </c>
      <c r="J1217" t="s" s="35">
        <v>6185</v>
      </c>
      <c r="K1217" t="s" s="35">
        <v>1058</v>
      </c>
      <c r="L1217" s="39"/>
      <c r="M1217" t="str" s="39">
        <v>Sin marco</v>
      </c>
      <c r="N1217" t="str" s="39">
        <v>Sin marco</v>
      </c>
      <c r="O1217" t="str" s="39" cm="1">
        <f t="array" ref="O1217">IF(L1217="","",_xlfn.IFERROR(INDEX('Datos - Catálogo TIMSS'!$C$5:$C$107,MATCH(L1217,'Datos - Catálogo TIMSS'!$A$5:$A$107,0)),"?"))</f>
      </c>
      <c r="P1217" t="s" s="35">
        <v>1058</v>
      </c>
      <c r="Q1217" t="s" s="120">
        <v>6186</v>
      </c>
      <c r="R1217" t="s" s="120">
        <v>7434</v>
      </c>
      <c r="S1217" s="121" cm="1">
        <f t="array" ref="S1217">_xlfn.IFERROR(ISNUMBER(SEARCH("Conocer",$R1217))/(ISNUMBER(SEARCH("Conocer",$R1217))+ISNUMBER(SEARCH("Aplicar",$R1217))+ISNUMBER(SEARCH("Razonar",$R1217))),0)</f>
        <v>0.333333333333333</v>
      </c>
      <c r="T1217" s="121" cm="1">
        <f t="array" ref="T1217">_xlfn.IFERROR(ISNUMBER(SEARCH("Aplicar",$R1217))/(ISNUMBER(SEARCH("Conocer",$R1217))+ISNUMBER(SEARCH("Aplicar",$R1217))+ISNUMBER(SEARCH("Razonar",$R1217))),0)</f>
        <v>0.333333333333333</v>
      </c>
      <c r="U1217" s="121" cm="1">
        <f t="array" ref="U1217">_xlfn.IFERROR(ISNUMBER(SEARCH("Razonar",$R1217))/(ISNUMBER(SEARCH("Conocer",$R1217))+ISNUMBER(SEARCH("Aplicar",$R1217))+ISNUMBER(SEARCH("Razonar",$R1217))),0)</f>
        <v>0.333333333333333</v>
      </c>
      <c r="V1217" t="s" s="35">
        <v>1409</v>
      </c>
      <c r="W1217" t="s" s="35">
        <v>7006</v>
      </c>
      <c r="X1217" s="36" cm="1">
        <f t="array" ref="X1217">IF(OR(_xlfn.IFERROR(INDEX('Datos - Catálogo TIMSS'!$I$5:$I$107,MATCH(K1217,'Datos - Catálogo TIMSS'!$A$5:$A$107,0)),"No")="Sí",_xlfn.IFERROR(INDEX('Datos - Catálogo TIMSS'!$I$5:$I$107,MATCH(L1217,'Datos - Catálogo TIMSS'!$A$5:$A$107,0)),"No")="Sí"),1,0)</f>
        <v>0</v>
      </c>
      <c r="Y1217" s="36" cm="1">
        <f t="array" ref="Y1217">IF(_xlfn.IFERROR(INDEX('Datos - Catálogo TIMSS'!$J$5:$J$107,MATCH(K1217,'Datos - Catálogo TIMSS'!$A$5:$A$107,0)),"No")="Sí",1,0)</f>
        <v>0</v>
      </c>
      <c r="Z1217" s="36" cm="1">
        <f t="array" ref="Z1217">IF(_xlfn.IFERROR(INDEX('Datos - Catálogo TIMSS'!$J$5:$J$107,MATCH(L1217,'Datos - Catálogo TIMSS'!$A$5:$A$107,0)),"No")="Sí",1,0)</f>
        <v>0</v>
      </c>
      <c r="AA1217" t="s" s="35">
        <v>1058</v>
      </c>
      <c r="AB1217" s="39"/>
      <c r="AC1217" t="str" s="39">
        <v>Sin marco</v>
      </c>
      <c r="AD1217" t="s" s="35">
        <v>1900</v>
      </c>
      <c r="AE1217" t="str" s="39" cm="1">
        <f t="array" ref="AE1217">IF(AD1217="","",IF(LEFT(AD1217,1)="1","C1",IF(LEFT(AD1217,1)="2","C2",IF(LEFT(AD1217,1)="3","C3",""))))</f>
        <v>C3</v>
      </c>
      <c r="AF1217" t="s" s="35">
        <v>1615</v>
      </c>
      <c r="AG1217" t="s" s="35">
        <v>1617</v>
      </c>
      <c r="AH1217" t="s" s="35">
        <v>1602</v>
      </c>
      <c r="AI1217" t="s" s="35">
        <v>1629</v>
      </c>
      <c r="AJ1217" t="s" s="35">
        <v>1633</v>
      </c>
      <c r="AK1217" s="39"/>
      <c r="AL1217" s="39"/>
      <c r="AM1217" s="39"/>
      <c r="AN1217" s="39"/>
      <c r="AO1217" s="39"/>
      <c r="AP1217" s="39"/>
      <c r="AQ1217" s="39"/>
      <c r="AR1217" s="39"/>
      <c r="AS1217" s="39"/>
      <c r="AT1217" s="39"/>
      <c r="AU1217" s="39"/>
      <c r="AV1217" s="39"/>
      <c r="AW1217" t="str" s="39" cm="1">
        <f t="array" ref="AW1217">AF1217&amp;"; "&amp;AG1217&amp;"; "&amp;AH1217&amp;"; "&amp;AI1217&amp;"; "&amp;AJ1217</f>
        <v>E6; D1; E1; I3; I5</v>
      </c>
    </row>
    <row r="1218" ht="13.65" customHeight="1">
      <c r="A1218" t="s" s="35">
        <v>7435</v>
      </c>
      <c r="B1218" s="36">
        <v>11</v>
      </c>
      <c r="C1218" t="s" s="35">
        <v>210</v>
      </c>
      <c r="D1218" t="s" s="35">
        <v>7000</v>
      </c>
      <c r="E1218" t="s" s="35">
        <v>7275</v>
      </c>
      <c r="F1218" s="36">
        <v>48</v>
      </c>
      <c r="G1218" t="s" s="35">
        <v>7436</v>
      </c>
      <c r="H1218" t="s" s="35">
        <v>7437</v>
      </c>
      <c r="I1218" t="s" s="120">
        <v>7438</v>
      </c>
      <c r="J1218" t="s" s="35">
        <v>6185</v>
      </c>
      <c r="K1218" t="s" s="35">
        <v>1058</v>
      </c>
      <c r="L1218" s="39"/>
      <c r="M1218" t="str" s="39">
        <v>Sin marco</v>
      </c>
      <c r="N1218" t="str" s="39">
        <v>Sin marco</v>
      </c>
      <c r="O1218" t="str" s="39" cm="1">
        <f t="array" ref="O1218">IF(L1218="","",_xlfn.IFERROR(INDEX('Datos - Catálogo TIMSS'!$C$5:$C$107,MATCH(L1218,'Datos - Catálogo TIMSS'!$A$5:$A$107,0)),"?"))</f>
      </c>
      <c r="P1218" t="s" s="35">
        <v>1058</v>
      </c>
      <c r="Q1218" t="s" s="120">
        <v>6186</v>
      </c>
      <c r="R1218" t="s" s="120">
        <v>7439</v>
      </c>
      <c r="S1218" s="121" cm="1">
        <f t="array" ref="S1218">_xlfn.IFERROR(ISNUMBER(SEARCH("Conocer",$R1218))/(ISNUMBER(SEARCH("Conocer",$R1218))+ISNUMBER(SEARCH("Aplicar",$R1218))+ISNUMBER(SEARCH("Razonar",$R1218))),0)</f>
        <v>0</v>
      </c>
      <c r="T1218" s="121" cm="1">
        <f t="array" ref="T1218">_xlfn.IFERROR(ISNUMBER(SEARCH("Aplicar",$R1218))/(ISNUMBER(SEARCH("Conocer",$R1218))+ISNUMBER(SEARCH("Aplicar",$R1218))+ISNUMBER(SEARCH("Razonar",$R1218))),0)</f>
        <v>0.5</v>
      </c>
      <c r="U1218" s="121" cm="1">
        <f t="array" ref="U1218">_xlfn.IFERROR(ISNUMBER(SEARCH("Razonar",$R1218))/(ISNUMBER(SEARCH("Conocer",$R1218))+ISNUMBER(SEARCH("Aplicar",$R1218))+ISNUMBER(SEARCH("Razonar",$R1218))),0)</f>
        <v>0.5</v>
      </c>
      <c r="V1218" t="s" s="35">
        <v>1409</v>
      </c>
      <c r="W1218" t="s" s="35">
        <v>7006</v>
      </c>
      <c r="X1218" s="36" cm="1">
        <f t="array" ref="X1218">IF(OR(_xlfn.IFERROR(INDEX('Datos - Catálogo TIMSS'!$I$5:$I$107,MATCH(K1218,'Datos - Catálogo TIMSS'!$A$5:$A$107,0)),"No")="Sí",_xlfn.IFERROR(INDEX('Datos - Catálogo TIMSS'!$I$5:$I$107,MATCH(L1218,'Datos - Catálogo TIMSS'!$A$5:$A$107,0)),"No")="Sí"),1,0)</f>
        <v>0</v>
      </c>
      <c r="Y1218" s="36" cm="1">
        <f t="array" ref="Y1218">IF(_xlfn.IFERROR(INDEX('Datos - Catálogo TIMSS'!$J$5:$J$107,MATCH(K1218,'Datos - Catálogo TIMSS'!$A$5:$A$107,0)),"No")="Sí",1,0)</f>
        <v>0</v>
      </c>
      <c r="Z1218" s="36" cm="1">
        <f t="array" ref="Z1218">IF(_xlfn.IFERROR(INDEX('Datos - Catálogo TIMSS'!$J$5:$J$107,MATCH(L1218,'Datos - Catálogo TIMSS'!$A$5:$A$107,0)),"No")="Sí",1,0)</f>
        <v>0</v>
      </c>
      <c r="AA1218" t="s" s="35">
        <v>1058</v>
      </c>
      <c r="AB1218" s="39"/>
      <c r="AC1218" t="str" s="39">
        <v>Sin marco</v>
      </c>
      <c r="AD1218" t="s" s="35">
        <v>1859</v>
      </c>
      <c r="AE1218" t="str" s="39" cm="1">
        <f t="array" ref="AE1218">IF(AD1218="","",IF(LEFT(AD1218,1)="1","C1",IF(LEFT(AD1218,1)="2","C2",IF(LEFT(AD1218,1)="3","C3",""))))</f>
        <v>C1</v>
      </c>
      <c r="AF1218" t="s" s="35">
        <v>1602</v>
      </c>
      <c r="AG1218" t="s" s="35">
        <v>1612</v>
      </c>
      <c r="AH1218" t="s" s="35">
        <v>1605</v>
      </c>
      <c r="AI1218" t="s" s="35">
        <v>1629</v>
      </c>
      <c r="AJ1218" t="s" s="35">
        <v>1615</v>
      </c>
      <c r="AK1218" s="39"/>
      <c r="AL1218" s="39"/>
      <c r="AM1218" s="39"/>
      <c r="AN1218" s="39"/>
      <c r="AO1218" s="39"/>
      <c r="AP1218" s="39"/>
      <c r="AQ1218" s="39"/>
      <c r="AR1218" s="39"/>
      <c r="AS1218" s="39"/>
      <c r="AT1218" s="39"/>
      <c r="AU1218" s="39"/>
      <c r="AV1218" s="39"/>
      <c r="AW1218" t="str" s="39" cm="1">
        <f t="array" ref="AW1218">AF1218&amp;"; "&amp;AG1218&amp;"; "&amp;AH1218&amp;"; "&amp;AI1218&amp;"; "&amp;AJ1218</f>
        <v>E1; E5; E2; I3; E6</v>
      </c>
    </row>
    <row r="1219" ht="13.65" customHeight="1">
      <c r="A1219" t="s" s="35">
        <v>7441</v>
      </c>
      <c r="B1219" s="36">
        <v>11</v>
      </c>
      <c r="C1219" t="s" s="35">
        <v>210</v>
      </c>
      <c r="D1219" t="s" s="35">
        <v>7000</v>
      </c>
      <c r="E1219" t="s" s="35">
        <v>7275</v>
      </c>
      <c r="F1219" s="36">
        <v>49</v>
      </c>
      <c r="G1219" t="s" s="35">
        <v>7436</v>
      </c>
      <c r="H1219" t="s" s="35">
        <v>7437</v>
      </c>
      <c r="I1219" t="s" s="120">
        <v>7442</v>
      </c>
      <c r="J1219" t="s" s="35">
        <v>6185</v>
      </c>
      <c r="K1219" t="s" s="35">
        <v>1058</v>
      </c>
      <c r="L1219" s="39"/>
      <c r="M1219" t="str" s="39">
        <v>Sin marco</v>
      </c>
      <c r="N1219" t="str" s="39">
        <v>Sin marco</v>
      </c>
      <c r="O1219" t="str" s="39" cm="1">
        <f t="array" ref="O1219">IF(L1219="","",_xlfn.IFERROR(INDEX('Datos - Catálogo TIMSS'!$C$5:$C$107,MATCH(L1219,'Datos - Catálogo TIMSS'!$A$5:$A$107,0)),"?"))</f>
      </c>
      <c r="P1219" t="s" s="35">
        <v>1058</v>
      </c>
      <c r="Q1219" t="s" s="120">
        <v>6186</v>
      </c>
      <c r="R1219" t="s" s="120">
        <v>7443</v>
      </c>
      <c r="S1219" s="121" cm="1">
        <f t="array" ref="S1219">_xlfn.IFERROR(ISNUMBER(SEARCH("Conocer",$R1219))/(ISNUMBER(SEARCH("Conocer",$R1219))+ISNUMBER(SEARCH("Aplicar",$R1219))+ISNUMBER(SEARCH("Razonar",$R1219))),0)</f>
        <v>0.333333333333333</v>
      </c>
      <c r="T1219" s="121" cm="1">
        <f t="array" ref="T1219">_xlfn.IFERROR(ISNUMBER(SEARCH("Aplicar",$R1219))/(ISNUMBER(SEARCH("Conocer",$R1219))+ISNUMBER(SEARCH("Aplicar",$R1219))+ISNUMBER(SEARCH("Razonar",$R1219))),0)</f>
        <v>0.333333333333333</v>
      </c>
      <c r="U1219" s="121" cm="1">
        <f t="array" ref="U1219">_xlfn.IFERROR(ISNUMBER(SEARCH("Razonar",$R1219))/(ISNUMBER(SEARCH("Conocer",$R1219))+ISNUMBER(SEARCH("Aplicar",$R1219))+ISNUMBER(SEARCH("Razonar",$R1219))),0)</f>
        <v>0.333333333333333</v>
      </c>
      <c r="V1219" t="s" s="35">
        <v>1409</v>
      </c>
      <c r="W1219" t="s" s="35">
        <v>7006</v>
      </c>
      <c r="X1219" s="36" cm="1">
        <f t="array" ref="X1219">IF(OR(_xlfn.IFERROR(INDEX('Datos - Catálogo TIMSS'!$I$5:$I$107,MATCH(K1219,'Datos - Catálogo TIMSS'!$A$5:$A$107,0)),"No")="Sí",_xlfn.IFERROR(INDEX('Datos - Catálogo TIMSS'!$I$5:$I$107,MATCH(L1219,'Datos - Catálogo TIMSS'!$A$5:$A$107,0)),"No")="Sí"),1,0)</f>
        <v>0</v>
      </c>
      <c r="Y1219" s="36" cm="1">
        <f t="array" ref="Y1219">IF(_xlfn.IFERROR(INDEX('Datos - Catálogo TIMSS'!$J$5:$J$107,MATCH(K1219,'Datos - Catálogo TIMSS'!$A$5:$A$107,0)),"No")="Sí",1,0)</f>
        <v>0</v>
      </c>
      <c r="Z1219" s="36" cm="1">
        <f t="array" ref="Z1219">IF(_xlfn.IFERROR(INDEX('Datos - Catálogo TIMSS'!$J$5:$J$107,MATCH(L1219,'Datos - Catálogo TIMSS'!$A$5:$A$107,0)),"No")="Sí",1,0)</f>
        <v>0</v>
      </c>
      <c r="AA1219" t="s" s="35">
        <v>1058</v>
      </c>
      <c r="AB1219" s="39"/>
      <c r="AC1219" t="str" s="39">
        <v>Sin marco</v>
      </c>
      <c r="AD1219" t="s" s="35">
        <v>1834</v>
      </c>
      <c r="AE1219" t="str" s="39" cm="1">
        <f t="array" ref="AE1219">IF(AD1219="","",IF(LEFT(AD1219,1)="1","C1",IF(LEFT(AD1219,1)="2","C2",IF(LEFT(AD1219,1)="3","C3",""))))</f>
        <v>C2</v>
      </c>
      <c r="AF1219" t="s" s="35">
        <v>1602</v>
      </c>
      <c r="AG1219" t="s" s="35">
        <v>1617</v>
      </c>
      <c r="AH1219" t="s" s="35">
        <v>1609</v>
      </c>
      <c r="AI1219" t="s" s="35">
        <v>1623</v>
      </c>
      <c r="AJ1219" t="s" s="35">
        <v>1621</v>
      </c>
      <c r="AK1219" s="39"/>
      <c r="AL1219" s="39"/>
      <c r="AM1219" s="39"/>
      <c r="AN1219" s="39"/>
      <c r="AO1219" s="39"/>
      <c r="AP1219" s="39"/>
      <c r="AQ1219" s="39"/>
      <c r="AR1219" s="39"/>
      <c r="AS1219" s="39"/>
      <c r="AT1219" s="39"/>
      <c r="AU1219" s="39"/>
      <c r="AV1219" s="39"/>
      <c r="AW1219" t="str" s="39" cm="1">
        <f t="array" ref="AW1219">AF1219&amp;"; "&amp;AG1219&amp;"; "&amp;AH1219&amp;"; "&amp;AI1219&amp;"; "&amp;AJ1219</f>
        <v>E1; D1; E4; D4; D3</v>
      </c>
    </row>
    <row r="1220" ht="13.65" customHeight="1">
      <c r="A1220" t="s" s="35">
        <v>7444</v>
      </c>
      <c r="B1220" s="36">
        <v>11</v>
      </c>
      <c r="C1220" t="s" s="35">
        <v>210</v>
      </c>
      <c r="D1220" t="s" s="35">
        <v>7000</v>
      </c>
      <c r="E1220" t="s" s="35">
        <v>7275</v>
      </c>
      <c r="F1220" s="36">
        <v>50</v>
      </c>
      <c r="G1220" t="s" s="35">
        <v>7436</v>
      </c>
      <c r="H1220" t="s" s="35">
        <v>7437</v>
      </c>
      <c r="I1220" t="s" s="120">
        <v>7445</v>
      </c>
      <c r="J1220" t="s" s="35">
        <v>6185</v>
      </c>
      <c r="K1220" t="s" s="35">
        <v>1058</v>
      </c>
      <c r="L1220" s="39"/>
      <c r="M1220" t="str" s="39">
        <v>Sin marco</v>
      </c>
      <c r="N1220" t="str" s="39">
        <v>Sin marco</v>
      </c>
      <c r="O1220" t="str" s="39" cm="1">
        <f t="array" ref="O1220">IF(L1220="","",_xlfn.IFERROR(INDEX('Datos - Catálogo TIMSS'!$C$5:$C$107,MATCH(L1220,'Datos - Catálogo TIMSS'!$A$5:$A$107,0)),"?"))</f>
      </c>
      <c r="P1220" t="s" s="35">
        <v>1058</v>
      </c>
      <c r="Q1220" t="s" s="120">
        <v>6186</v>
      </c>
      <c r="R1220" t="s" s="120">
        <v>7446</v>
      </c>
      <c r="S1220" s="121" cm="1">
        <f t="array" ref="S1220">_xlfn.IFERROR(ISNUMBER(SEARCH("Conocer",$R1220))/(ISNUMBER(SEARCH("Conocer",$R1220))+ISNUMBER(SEARCH("Aplicar",$R1220))+ISNUMBER(SEARCH("Razonar",$R1220))),0)</f>
        <v>0</v>
      </c>
      <c r="T1220" s="121" cm="1">
        <f t="array" ref="T1220">_xlfn.IFERROR(ISNUMBER(SEARCH("Aplicar",$R1220))/(ISNUMBER(SEARCH("Conocer",$R1220))+ISNUMBER(SEARCH("Aplicar",$R1220))+ISNUMBER(SEARCH("Razonar",$R1220))),0)</f>
        <v>0.5</v>
      </c>
      <c r="U1220" s="121" cm="1">
        <f t="array" ref="U1220">_xlfn.IFERROR(ISNUMBER(SEARCH("Razonar",$R1220))/(ISNUMBER(SEARCH("Conocer",$R1220))+ISNUMBER(SEARCH("Aplicar",$R1220))+ISNUMBER(SEARCH("Razonar",$R1220))),0)</f>
        <v>0.5</v>
      </c>
      <c r="V1220" t="s" s="35">
        <v>1409</v>
      </c>
      <c r="W1220" t="s" s="35">
        <v>7006</v>
      </c>
      <c r="X1220" s="36" cm="1">
        <f t="array" ref="X1220">IF(OR(_xlfn.IFERROR(INDEX('Datos - Catálogo TIMSS'!$I$5:$I$107,MATCH(K1220,'Datos - Catálogo TIMSS'!$A$5:$A$107,0)),"No")="Sí",_xlfn.IFERROR(INDEX('Datos - Catálogo TIMSS'!$I$5:$I$107,MATCH(L1220,'Datos - Catálogo TIMSS'!$A$5:$A$107,0)),"No")="Sí"),1,0)</f>
        <v>0</v>
      </c>
      <c r="Y1220" s="36" cm="1">
        <f t="array" ref="Y1220">IF(_xlfn.IFERROR(INDEX('Datos - Catálogo TIMSS'!$J$5:$J$107,MATCH(K1220,'Datos - Catálogo TIMSS'!$A$5:$A$107,0)),"No")="Sí",1,0)</f>
        <v>0</v>
      </c>
      <c r="Z1220" s="36" cm="1">
        <f t="array" ref="Z1220">IF(_xlfn.IFERROR(INDEX('Datos - Catálogo TIMSS'!$J$5:$J$107,MATCH(L1220,'Datos - Catálogo TIMSS'!$A$5:$A$107,0)),"No")="Sí",1,0)</f>
        <v>0</v>
      </c>
      <c r="AA1220" t="s" s="35">
        <v>1058</v>
      </c>
      <c r="AB1220" s="39"/>
      <c r="AC1220" t="str" s="39">
        <v>Sin marco</v>
      </c>
      <c r="AD1220" t="s" s="35">
        <v>1900</v>
      </c>
      <c r="AE1220" t="str" s="39" cm="1">
        <f t="array" ref="AE1220">IF(AD1220="","",IF(LEFT(AD1220,1)="1","C1",IF(LEFT(AD1220,1)="2","C2",IF(LEFT(AD1220,1)="3","C3",""))))</f>
        <v>C3</v>
      </c>
      <c r="AF1220" t="s" s="35">
        <v>1602</v>
      </c>
      <c r="AG1220" t="s" s="35">
        <v>1617</v>
      </c>
      <c r="AH1220" t="s" s="35">
        <v>1605</v>
      </c>
      <c r="AI1220" t="s" s="35">
        <v>1625</v>
      </c>
      <c r="AJ1220" t="s" s="35">
        <v>1627</v>
      </c>
      <c r="AK1220" s="39"/>
      <c r="AL1220" s="39"/>
      <c r="AM1220" s="39"/>
      <c r="AN1220" s="39"/>
      <c r="AO1220" s="39"/>
      <c r="AP1220" s="39"/>
      <c r="AQ1220" s="39"/>
      <c r="AR1220" s="39"/>
      <c r="AS1220" s="39"/>
      <c r="AT1220" s="39"/>
      <c r="AU1220" s="39"/>
      <c r="AV1220" s="39"/>
      <c r="AW1220" t="str" s="39" cm="1">
        <f t="array" ref="AW1220">AF1220&amp;"; "&amp;AG1220&amp;"; "&amp;AH1220&amp;"; "&amp;AI1220&amp;"; "&amp;AJ1220</f>
        <v>E1; D1; E2; I1; I2</v>
      </c>
    </row>
    <row r="1221" ht="13.65" customHeight="1">
      <c r="A1221" t="s" s="35">
        <v>7447</v>
      </c>
      <c r="B1221" s="36">
        <v>11</v>
      </c>
      <c r="C1221" t="s" s="35">
        <v>210</v>
      </c>
      <c r="D1221" t="s" s="35">
        <v>7000</v>
      </c>
      <c r="E1221" t="s" s="35">
        <v>7275</v>
      </c>
      <c r="F1221" s="36">
        <v>51</v>
      </c>
      <c r="G1221" t="s" s="35">
        <v>7436</v>
      </c>
      <c r="H1221" t="s" s="35">
        <v>7448</v>
      </c>
      <c r="I1221" t="s" s="120">
        <v>7449</v>
      </c>
      <c r="J1221" t="s" s="35">
        <v>6185</v>
      </c>
      <c r="K1221" t="s" s="35">
        <v>1058</v>
      </c>
      <c r="L1221" s="39"/>
      <c r="M1221" t="str" s="39">
        <v>Sin marco</v>
      </c>
      <c r="N1221" t="str" s="39">
        <v>Sin marco</v>
      </c>
      <c r="O1221" t="str" s="39" cm="1">
        <f t="array" ref="O1221">IF(L1221="","",_xlfn.IFERROR(INDEX('Datos - Catálogo TIMSS'!$C$5:$C$107,MATCH(L1221,'Datos - Catálogo TIMSS'!$A$5:$A$107,0)),"?"))</f>
      </c>
      <c r="P1221" t="s" s="35">
        <v>1058</v>
      </c>
      <c r="Q1221" t="s" s="120">
        <v>6186</v>
      </c>
      <c r="R1221" t="s" s="120">
        <v>7450</v>
      </c>
      <c r="S1221" s="121" cm="1">
        <f t="array" ref="S1221">_xlfn.IFERROR(ISNUMBER(SEARCH("Conocer",$R1221))/(ISNUMBER(SEARCH("Conocer",$R1221))+ISNUMBER(SEARCH("Aplicar",$R1221))+ISNUMBER(SEARCH("Razonar",$R1221))),0)</f>
        <v>0.333333333333333</v>
      </c>
      <c r="T1221" s="121" cm="1">
        <f t="array" ref="T1221">_xlfn.IFERROR(ISNUMBER(SEARCH("Aplicar",$R1221))/(ISNUMBER(SEARCH("Conocer",$R1221))+ISNUMBER(SEARCH("Aplicar",$R1221))+ISNUMBER(SEARCH("Razonar",$R1221))),0)</f>
        <v>0.333333333333333</v>
      </c>
      <c r="U1221" s="121" cm="1">
        <f t="array" ref="U1221">_xlfn.IFERROR(ISNUMBER(SEARCH("Razonar",$R1221))/(ISNUMBER(SEARCH("Conocer",$R1221))+ISNUMBER(SEARCH("Aplicar",$R1221))+ISNUMBER(SEARCH("Razonar",$R1221))),0)</f>
        <v>0.333333333333333</v>
      </c>
      <c r="V1221" t="s" s="35">
        <v>1409</v>
      </c>
      <c r="W1221" t="s" s="35">
        <v>7006</v>
      </c>
      <c r="X1221" s="36" cm="1">
        <f t="array" ref="X1221">IF(OR(_xlfn.IFERROR(INDEX('Datos - Catálogo TIMSS'!$I$5:$I$107,MATCH(K1221,'Datos - Catálogo TIMSS'!$A$5:$A$107,0)),"No")="Sí",_xlfn.IFERROR(INDEX('Datos - Catálogo TIMSS'!$I$5:$I$107,MATCH(L1221,'Datos - Catálogo TIMSS'!$A$5:$A$107,0)),"No")="Sí"),1,0)</f>
        <v>0</v>
      </c>
      <c r="Y1221" s="36" cm="1">
        <f t="array" ref="Y1221">IF(_xlfn.IFERROR(INDEX('Datos - Catálogo TIMSS'!$J$5:$J$107,MATCH(K1221,'Datos - Catálogo TIMSS'!$A$5:$A$107,0)),"No")="Sí",1,0)</f>
        <v>0</v>
      </c>
      <c r="Z1221" s="36" cm="1">
        <f t="array" ref="Z1221">IF(_xlfn.IFERROR(INDEX('Datos - Catálogo TIMSS'!$J$5:$J$107,MATCH(L1221,'Datos - Catálogo TIMSS'!$A$5:$A$107,0)),"No")="Sí",1,0)</f>
        <v>0</v>
      </c>
      <c r="AA1221" t="s" s="35">
        <v>1058</v>
      </c>
      <c r="AB1221" s="39"/>
      <c r="AC1221" t="str" s="39">
        <v>Sin marco</v>
      </c>
      <c r="AD1221" t="s" s="35">
        <v>1859</v>
      </c>
      <c r="AE1221" t="str" s="39" cm="1">
        <f t="array" ref="AE1221">IF(AD1221="","",IF(LEFT(AD1221,1)="1","C1",IF(LEFT(AD1221,1)="2","C2",IF(LEFT(AD1221,1)="3","C3",""))))</f>
        <v>C1</v>
      </c>
      <c r="AF1221" t="s" s="35">
        <v>1602</v>
      </c>
      <c r="AG1221" t="s" s="35">
        <v>1607</v>
      </c>
      <c r="AH1221" t="s" s="35">
        <v>1605</v>
      </c>
      <c r="AI1221" t="s" s="35">
        <v>1609</v>
      </c>
      <c r="AJ1221" t="s" s="35">
        <v>1615</v>
      </c>
      <c r="AK1221" s="39"/>
      <c r="AL1221" s="39"/>
      <c r="AM1221" s="39"/>
      <c r="AN1221" s="39"/>
      <c r="AO1221" s="39"/>
      <c r="AP1221" s="39"/>
      <c r="AQ1221" s="39"/>
      <c r="AR1221" s="39"/>
      <c r="AS1221" s="39"/>
      <c r="AT1221" s="39"/>
      <c r="AU1221" s="39"/>
      <c r="AV1221" s="39"/>
      <c r="AW1221" t="str" s="39" cm="1">
        <f t="array" ref="AW1221">AF1221&amp;"; "&amp;AG1221&amp;"; "&amp;AH1221&amp;"; "&amp;AI1221&amp;"; "&amp;AJ1221</f>
        <v>E1; E3; E2; E4; E6</v>
      </c>
    </row>
    <row r="1222" ht="13.65" customHeight="1">
      <c r="A1222" t="s" s="35">
        <v>7451</v>
      </c>
      <c r="B1222" s="36">
        <v>11</v>
      </c>
      <c r="C1222" t="s" s="35">
        <v>210</v>
      </c>
      <c r="D1222" t="s" s="35">
        <v>7000</v>
      </c>
      <c r="E1222" t="s" s="35">
        <v>7275</v>
      </c>
      <c r="F1222" s="36">
        <v>52</v>
      </c>
      <c r="G1222" t="s" s="35">
        <v>7436</v>
      </c>
      <c r="H1222" t="s" s="35">
        <v>7448</v>
      </c>
      <c r="I1222" t="s" s="120">
        <v>7452</v>
      </c>
      <c r="J1222" t="s" s="35">
        <v>6185</v>
      </c>
      <c r="K1222" t="s" s="35">
        <v>1058</v>
      </c>
      <c r="L1222" s="39"/>
      <c r="M1222" t="str" s="39">
        <v>Sin marco</v>
      </c>
      <c r="N1222" t="str" s="39">
        <v>Sin marco</v>
      </c>
      <c r="O1222" t="str" s="39" cm="1">
        <f t="array" ref="O1222">IF(L1222="","",_xlfn.IFERROR(INDEX('Datos - Catálogo TIMSS'!$C$5:$C$107,MATCH(L1222,'Datos - Catálogo TIMSS'!$A$5:$A$107,0)),"?"))</f>
      </c>
      <c r="P1222" t="s" s="35">
        <v>1058</v>
      </c>
      <c r="Q1222" t="s" s="120">
        <v>6186</v>
      </c>
      <c r="R1222" t="s" s="120">
        <v>7453</v>
      </c>
      <c r="S1222" s="121" cm="1">
        <f t="array" ref="S1222">_xlfn.IFERROR(ISNUMBER(SEARCH("Conocer",$R1222))/(ISNUMBER(SEARCH("Conocer",$R1222))+ISNUMBER(SEARCH("Aplicar",$R1222))+ISNUMBER(SEARCH("Razonar",$R1222))),0)</f>
        <v>0</v>
      </c>
      <c r="T1222" s="121" cm="1">
        <f t="array" ref="T1222">_xlfn.IFERROR(ISNUMBER(SEARCH("Aplicar",$R1222))/(ISNUMBER(SEARCH("Conocer",$R1222))+ISNUMBER(SEARCH("Aplicar",$R1222))+ISNUMBER(SEARCH("Razonar",$R1222))),0)</f>
        <v>0.5</v>
      </c>
      <c r="U1222" s="121" cm="1">
        <f t="array" ref="U1222">_xlfn.IFERROR(ISNUMBER(SEARCH("Razonar",$R1222))/(ISNUMBER(SEARCH("Conocer",$R1222))+ISNUMBER(SEARCH("Aplicar",$R1222))+ISNUMBER(SEARCH("Razonar",$R1222))),0)</f>
        <v>0.5</v>
      </c>
      <c r="V1222" t="s" s="35">
        <v>1409</v>
      </c>
      <c r="W1222" t="s" s="35">
        <v>7006</v>
      </c>
      <c r="X1222" s="36" cm="1">
        <f t="array" ref="X1222">IF(OR(_xlfn.IFERROR(INDEX('Datos - Catálogo TIMSS'!$I$5:$I$107,MATCH(K1222,'Datos - Catálogo TIMSS'!$A$5:$A$107,0)),"No")="Sí",_xlfn.IFERROR(INDEX('Datos - Catálogo TIMSS'!$I$5:$I$107,MATCH(L1222,'Datos - Catálogo TIMSS'!$A$5:$A$107,0)),"No")="Sí"),1,0)</f>
        <v>0</v>
      </c>
      <c r="Y1222" s="36" cm="1">
        <f t="array" ref="Y1222">IF(_xlfn.IFERROR(INDEX('Datos - Catálogo TIMSS'!$J$5:$J$107,MATCH(K1222,'Datos - Catálogo TIMSS'!$A$5:$A$107,0)),"No")="Sí",1,0)</f>
        <v>0</v>
      </c>
      <c r="Z1222" s="36" cm="1">
        <f t="array" ref="Z1222">IF(_xlfn.IFERROR(INDEX('Datos - Catálogo TIMSS'!$J$5:$J$107,MATCH(L1222,'Datos - Catálogo TIMSS'!$A$5:$A$107,0)),"No")="Sí",1,0)</f>
        <v>0</v>
      </c>
      <c r="AA1222" t="s" s="35">
        <v>1058</v>
      </c>
      <c r="AB1222" s="39"/>
      <c r="AC1222" t="str" s="39">
        <v>Sin marco</v>
      </c>
      <c r="AD1222" t="s" s="35">
        <v>1834</v>
      </c>
      <c r="AE1222" t="str" s="39" cm="1">
        <f t="array" ref="AE1222">IF(AD1222="","",IF(LEFT(AD1222,1)="1","C1",IF(LEFT(AD1222,1)="2","C2",IF(LEFT(AD1222,1)="3","C3",""))))</f>
        <v>C2</v>
      </c>
      <c r="AF1222" t="s" s="35">
        <v>1602</v>
      </c>
      <c r="AG1222" t="s" s="35">
        <v>1617</v>
      </c>
      <c r="AH1222" t="s" s="35">
        <v>1605</v>
      </c>
      <c r="AI1222" t="s" s="35">
        <v>1623</v>
      </c>
      <c r="AJ1222" t="s" s="35">
        <v>1607</v>
      </c>
      <c r="AK1222" s="39"/>
      <c r="AL1222" s="39"/>
      <c r="AM1222" s="39"/>
      <c r="AN1222" s="39"/>
      <c r="AO1222" s="39"/>
      <c r="AP1222" s="39"/>
      <c r="AQ1222" s="39"/>
      <c r="AR1222" s="39"/>
      <c r="AS1222" s="39"/>
      <c r="AT1222" s="39"/>
      <c r="AU1222" s="39"/>
      <c r="AV1222" s="39"/>
      <c r="AW1222" t="str" s="39" cm="1">
        <f t="array" ref="AW1222">AF1222&amp;"; "&amp;AG1222&amp;"; "&amp;AH1222&amp;"; "&amp;AI1222&amp;"; "&amp;AJ1222</f>
        <v>E1; D1; E2; D4; E3</v>
      </c>
    </row>
    <row r="1223" ht="13.65" customHeight="1">
      <c r="A1223" t="s" s="35">
        <v>7454</v>
      </c>
      <c r="B1223" s="36">
        <v>11</v>
      </c>
      <c r="C1223" t="s" s="35">
        <v>210</v>
      </c>
      <c r="D1223" t="s" s="35">
        <v>7000</v>
      </c>
      <c r="E1223" t="s" s="35">
        <v>7275</v>
      </c>
      <c r="F1223" s="36">
        <v>53</v>
      </c>
      <c r="G1223" t="s" s="35">
        <v>7436</v>
      </c>
      <c r="H1223" t="s" s="35">
        <v>7448</v>
      </c>
      <c r="I1223" t="s" s="120">
        <v>7455</v>
      </c>
      <c r="J1223" t="s" s="35">
        <v>6185</v>
      </c>
      <c r="K1223" t="s" s="35">
        <v>1058</v>
      </c>
      <c r="L1223" s="39"/>
      <c r="M1223" t="str" s="39">
        <v>Sin marco</v>
      </c>
      <c r="N1223" t="str" s="39">
        <v>Sin marco</v>
      </c>
      <c r="O1223" t="str" s="39" cm="1">
        <f t="array" ref="O1223">IF(L1223="","",_xlfn.IFERROR(INDEX('Datos - Catálogo TIMSS'!$C$5:$C$107,MATCH(L1223,'Datos - Catálogo TIMSS'!$A$5:$A$107,0)),"?"))</f>
      </c>
      <c r="P1223" t="s" s="35">
        <v>1058</v>
      </c>
      <c r="Q1223" t="s" s="120">
        <v>6186</v>
      </c>
      <c r="R1223" t="s" s="120">
        <v>7456</v>
      </c>
      <c r="S1223" s="121" cm="1">
        <f t="array" ref="S1223">_xlfn.IFERROR(ISNUMBER(SEARCH("Conocer",$R1223))/(ISNUMBER(SEARCH("Conocer",$R1223))+ISNUMBER(SEARCH("Aplicar",$R1223))+ISNUMBER(SEARCH("Razonar",$R1223))),0)</f>
        <v>0.333333333333333</v>
      </c>
      <c r="T1223" s="121" cm="1">
        <f t="array" ref="T1223">_xlfn.IFERROR(ISNUMBER(SEARCH("Aplicar",$R1223))/(ISNUMBER(SEARCH("Conocer",$R1223))+ISNUMBER(SEARCH("Aplicar",$R1223))+ISNUMBER(SEARCH("Razonar",$R1223))),0)</f>
        <v>0.333333333333333</v>
      </c>
      <c r="U1223" s="121" cm="1">
        <f t="array" ref="U1223">_xlfn.IFERROR(ISNUMBER(SEARCH("Razonar",$R1223))/(ISNUMBER(SEARCH("Conocer",$R1223))+ISNUMBER(SEARCH("Aplicar",$R1223))+ISNUMBER(SEARCH("Razonar",$R1223))),0)</f>
        <v>0.333333333333333</v>
      </c>
      <c r="V1223" t="s" s="35">
        <v>1409</v>
      </c>
      <c r="W1223" t="s" s="35">
        <v>7006</v>
      </c>
      <c r="X1223" s="36" cm="1">
        <f t="array" ref="X1223">IF(OR(_xlfn.IFERROR(INDEX('Datos - Catálogo TIMSS'!$I$5:$I$107,MATCH(K1223,'Datos - Catálogo TIMSS'!$A$5:$A$107,0)),"No")="Sí",_xlfn.IFERROR(INDEX('Datos - Catálogo TIMSS'!$I$5:$I$107,MATCH(L1223,'Datos - Catálogo TIMSS'!$A$5:$A$107,0)),"No")="Sí"),1,0)</f>
        <v>0</v>
      </c>
      <c r="Y1223" s="36" cm="1">
        <f t="array" ref="Y1223">IF(_xlfn.IFERROR(INDEX('Datos - Catálogo TIMSS'!$J$5:$J$107,MATCH(K1223,'Datos - Catálogo TIMSS'!$A$5:$A$107,0)),"No")="Sí",1,0)</f>
        <v>0</v>
      </c>
      <c r="Z1223" s="36" cm="1">
        <f t="array" ref="Z1223">IF(_xlfn.IFERROR(INDEX('Datos - Catálogo TIMSS'!$J$5:$J$107,MATCH(L1223,'Datos - Catálogo TIMSS'!$A$5:$A$107,0)),"No")="Sí",1,0)</f>
        <v>0</v>
      </c>
      <c r="AA1223" t="s" s="35">
        <v>1058</v>
      </c>
      <c r="AB1223" s="39"/>
      <c r="AC1223" t="str" s="39">
        <v>Sin marco</v>
      </c>
      <c r="AD1223" t="s" s="35">
        <v>1859</v>
      </c>
      <c r="AE1223" t="str" s="39" cm="1">
        <f t="array" ref="AE1223">IF(AD1223="","",IF(LEFT(AD1223,1)="1","C1",IF(LEFT(AD1223,1)="2","C2",IF(LEFT(AD1223,1)="3","C3",""))))</f>
        <v>C1</v>
      </c>
      <c r="AF1223" t="s" s="35">
        <v>1602</v>
      </c>
      <c r="AG1223" t="s" s="35">
        <v>1612</v>
      </c>
      <c r="AH1223" t="s" s="35">
        <v>1609</v>
      </c>
      <c r="AI1223" t="s" s="35">
        <v>1623</v>
      </c>
      <c r="AJ1223" t="s" s="35">
        <v>1607</v>
      </c>
      <c r="AK1223" s="39"/>
      <c r="AL1223" s="39"/>
      <c r="AM1223" s="39"/>
      <c r="AN1223" s="39"/>
      <c r="AO1223" s="39"/>
      <c r="AP1223" s="39"/>
      <c r="AQ1223" s="39"/>
      <c r="AR1223" s="39"/>
      <c r="AS1223" s="39"/>
      <c r="AT1223" s="39"/>
      <c r="AU1223" s="39"/>
      <c r="AV1223" s="39"/>
      <c r="AW1223" t="str" s="39" cm="1">
        <f t="array" ref="AW1223">AF1223&amp;"; "&amp;AG1223&amp;"; "&amp;AH1223&amp;"; "&amp;AI1223&amp;"; "&amp;AJ1223</f>
        <v>E1; E5; E4; D4; E3</v>
      </c>
    </row>
    <row r="1224" ht="13.65" customHeight="1">
      <c r="A1224" t="s" s="35">
        <v>7457</v>
      </c>
      <c r="B1224" s="36">
        <v>11</v>
      </c>
      <c r="C1224" t="s" s="35">
        <v>210</v>
      </c>
      <c r="D1224" t="s" s="35">
        <v>7000</v>
      </c>
      <c r="E1224" t="s" s="35">
        <v>7275</v>
      </c>
      <c r="F1224" s="36">
        <v>54</v>
      </c>
      <c r="G1224" t="s" s="35">
        <v>7436</v>
      </c>
      <c r="H1224" t="s" s="35">
        <v>7458</v>
      </c>
      <c r="I1224" t="s" s="120">
        <v>7459</v>
      </c>
      <c r="J1224" t="s" s="35">
        <v>6185</v>
      </c>
      <c r="K1224" t="s" s="35">
        <v>1058</v>
      </c>
      <c r="L1224" s="39"/>
      <c r="M1224" t="str" s="39">
        <v>Sin marco</v>
      </c>
      <c r="N1224" t="str" s="39">
        <v>Sin marco</v>
      </c>
      <c r="O1224" t="str" s="39" cm="1">
        <f t="array" ref="O1224">IF(L1224="","",_xlfn.IFERROR(INDEX('Datos - Catálogo TIMSS'!$C$5:$C$107,MATCH(L1224,'Datos - Catálogo TIMSS'!$A$5:$A$107,0)),"?"))</f>
      </c>
      <c r="P1224" t="s" s="35">
        <v>1058</v>
      </c>
      <c r="Q1224" t="s" s="120">
        <v>6186</v>
      </c>
      <c r="R1224" t="s" s="120">
        <v>7460</v>
      </c>
      <c r="S1224" s="121" cm="1">
        <f t="array" ref="S1224">_xlfn.IFERROR(ISNUMBER(SEARCH("Conocer",$R1224))/(ISNUMBER(SEARCH("Conocer",$R1224))+ISNUMBER(SEARCH("Aplicar",$R1224))+ISNUMBER(SEARCH("Razonar",$R1224))),0)</f>
        <v>0.333333333333333</v>
      </c>
      <c r="T1224" s="121" cm="1">
        <f t="array" ref="T1224">_xlfn.IFERROR(ISNUMBER(SEARCH("Aplicar",$R1224))/(ISNUMBER(SEARCH("Conocer",$R1224))+ISNUMBER(SEARCH("Aplicar",$R1224))+ISNUMBER(SEARCH("Razonar",$R1224))),0)</f>
        <v>0.333333333333333</v>
      </c>
      <c r="U1224" s="121" cm="1">
        <f t="array" ref="U1224">_xlfn.IFERROR(ISNUMBER(SEARCH("Razonar",$R1224))/(ISNUMBER(SEARCH("Conocer",$R1224))+ISNUMBER(SEARCH("Aplicar",$R1224))+ISNUMBER(SEARCH("Razonar",$R1224))),0)</f>
        <v>0.333333333333333</v>
      </c>
      <c r="V1224" t="s" s="35">
        <v>1409</v>
      </c>
      <c r="W1224" t="s" s="35">
        <v>7006</v>
      </c>
      <c r="X1224" s="36" cm="1">
        <f t="array" ref="X1224">IF(OR(_xlfn.IFERROR(INDEX('Datos - Catálogo TIMSS'!$I$5:$I$107,MATCH(K1224,'Datos - Catálogo TIMSS'!$A$5:$A$107,0)),"No")="Sí",_xlfn.IFERROR(INDEX('Datos - Catálogo TIMSS'!$I$5:$I$107,MATCH(L1224,'Datos - Catálogo TIMSS'!$A$5:$A$107,0)),"No")="Sí"),1,0)</f>
        <v>0</v>
      </c>
      <c r="Y1224" s="36" cm="1">
        <f t="array" ref="Y1224">IF(_xlfn.IFERROR(INDEX('Datos - Catálogo TIMSS'!$J$5:$J$107,MATCH(K1224,'Datos - Catálogo TIMSS'!$A$5:$A$107,0)),"No")="Sí",1,0)</f>
        <v>0</v>
      </c>
      <c r="Z1224" s="36" cm="1">
        <f t="array" ref="Z1224">IF(_xlfn.IFERROR(INDEX('Datos - Catálogo TIMSS'!$J$5:$J$107,MATCH(L1224,'Datos - Catálogo TIMSS'!$A$5:$A$107,0)),"No")="Sí",1,0)</f>
        <v>0</v>
      </c>
      <c r="AA1224" t="s" s="35">
        <v>1058</v>
      </c>
      <c r="AB1224" s="39"/>
      <c r="AC1224" t="str" s="39">
        <v>Sin marco</v>
      </c>
      <c r="AD1224" t="s" s="35">
        <v>1859</v>
      </c>
      <c r="AE1224" t="str" s="39" cm="1">
        <f t="array" ref="AE1224">IF(AD1224="","",IF(LEFT(AD1224,1)="1","C1",IF(LEFT(AD1224,1)="2","C2",IF(LEFT(AD1224,1)="3","C3",""))))</f>
        <v>C1</v>
      </c>
      <c r="AF1224" t="s" s="35">
        <v>1615</v>
      </c>
      <c r="AG1224" t="s" s="35">
        <v>1617</v>
      </c>
      <c r="AH1224" t="s" s="35">
        <v>1602</v>
      </c>
      <c r="AI1224" t="s" s="35">
        <v>1625</v>
      </c>
      <c r="AJ1224" t="s" s="35">
        <v>1631</v>
      </c>
      <c r="AK1224" s="39"/>
      <c r="AL1224" s="39"/>
      <c r="AM1224" s="39"/>
      <c r="AN1224" s="39"/>
      <c r="AO1224" s="39"/>
      <c r="AP1224" s="39"/>
      <c r="AQ1224" s="39"/>
      <c r="AR1224" s="39"/>
      <c r="AS1224" s="39"/>
      <c r="AT1224" s="39"/>
      <c r="AU1224" s="39"/>
      <c r="AV1224" s="39"/>
      <c r="AW1224" t="str" s="39" cm="1">
        <f t="array" ref="AW1224">AF1224&amp;"; "&amp;AG1224&amp;"; "&amp;AH1224&amp;"; "&amp;AI1224&amp;"; "&amp;AJ1224</f>
        <v>E6; D1; E1; I1; I4</v>
      </c>
    </row>
    <row r="1225" ht="13.65" customHeight="1">
      <c r="A1225" t="s" s="35">
        <v>7461</v>
      </c>
      <c r="B1225" s="36">
        <v>11</v>
      </c>
      <c r="C1225" t="s" s="35">
        <v>210</v>
      </c>
      <c r="D1225" t="s" s="35">
        <v>7000</v>
      </c>
      <c r="E1225" t="s" s="35">
        <v>7275</v>
      </c>
      <c r="F1225" s="36">
        <v>55</v>
      </c>
      <c r="G1225" t="s" s="35">
        <v>7436</v>
      </c>
      <c r="H1225" t="s" s="35">
        <v>7458</v>
      </c>
      <c r="I1225" t="s" s="120">
        <v>7462</v>
      </c>
      <c r="J1225" t="s" s="35">
        <v>6185</v>
      </c>
      <c r="K1225" t="s" s="35">
        <v>1058</v>
      </c>
      <c r="L1225" s="39"/>
      <c r="M1225" t="str" s="39">
        <v>Sin marco</v>
      </c>
      <c r="N1225" t="str" s="39">
        <v>Sin marco</v>
      </c>
      <c r="O1225" t="str" s="39" cm="1">
        <f t="array" ref="O1225">IF(L1225="","",_xlfn.IFERROR(INDEX('Datos - Catálogo TIMSS'!$C$5:$C$107,MATCH(L1225,'Datos - Catálogo TIMSS'!$A$5:$A$107,0)),"?"))</f>
      </c>
      <c r="P1225" t="s" s="35">
        <v>1058</v>
      </c>
      <c r="Q1225" t="s" s="120">
        <v>6186</v>
      </c>
      <c r="R1225" t="s" s="120">
        <v>7463</v>
      </c>
      <c r="S1225" s="121" cm="1">
        <f t="array" ref="S1225">_xlfn.IFERROR(ISNUMBER(SEARCH("Conocer",$R1225))/(ISNUMBER(SEARCH("Conocer",$R1225))+ISNUMBER(SEARCH("Aplicar",$R1225))+ISNUMBER(SEARCH("Razonar",$R1225))),0)</f>
        <v>0</v>
      </c>
      <c r="T1225" s="121" cm="1">
        <f t="array" ref="T1225">_xlfn.IFERROR(ISNUMBER(SEARCH("Aplicar",$R1225))/(ISNUMBER(SEARCH("Conocer",$R1225))+ISNUMBER(SEARCH("Aplicar",$R1225))+ISNUMBER(SEARCH("Razonar",$R1225))),0)</f>
        <v>0.5</v>
      </c>
      <c r="U1225" s="121" cm="1">
        <f t="array" ref="U1225">_xlfn.IFERROR(ISNUMBER(SEARCH("Razonar",$R1225))/(ISNUMBER(SEARCH("Conocer",$R1225))+ISNUMBER(SEARCH("Aplicar",$R1225))+ISNUMBER(SEARCH("Razonar",$R1225))),0)</f>
        <v>0.5</v>
      </c>
      <c r="V1225" t="s" s="35">
        <v>1409</v>
      </c>
      <c r="W1225" t="s" s="35">
        <v>7006</v>
      </c>
      <c r="X1225" s="36" cm="1">
        <f t="array" ref="X1225">IF(OR(_xlfn.IFERROR(INDEX('Datos - Catálogo TIMSS'!$I$5:$I$107,MATCH(K1225,'Datos - Catálogo TIMSS'!$A$5:$A$107,0)),"No")="Sí",_xlfn.IFERROR(INDEX('Datos - Catálogo TIMSS'!$I$5:$I$107,MATCH(L1225,'Datos - Catálogo TIMSS'!$A$5:$A$107,0)),"No")="Sí"),1,0)</f>
        <v>0</v>
      </c>
      <c r="Y1225" s="36" cm="1">
        <f t="array" ref="Y1225">IF(_xlfn.IFERROR(INDEX('Datos - Catálogo TIMSS'!$J$5:$J$107,MATCH(K1225,'Datos - Catálogo TIMSS'!$A$5:$A$107,0)),"No")="Sí",1,0)</f>
        <v>0</v>
      </c>
      <c r="Z1225" s="36" cm="1">
        <f t="array" ref="Z1225">IF(_xlfn.IFERROR(INDEX('Datos - Catálogo TIMSS'!$J$5:$J$107,MATCH(L1225,'Datos - Catálogo TIMSS'!$A$5:$A$107,0)),"No")="Sí",1,0)</f>
        <v>0</v>
      </c>
      <c r="AA1225" t="s" s="35">
        <v>1058</v>
      </c>
      <c r="AB1225" s="39"/>
      <c r="AC1225" t="str" s="39">
        <v>Sin marco</v>
      </c>
      <c r="AD1225" t="s" s="35">
        <v>1859</v>
      </c>
      <c r="AE1225" t="str" s="39" cm="1">
        <f t="array" ref="AE1225">IF(AD1225="","",IF(LEFT(AD1225,1)="1","C1",IF(LEFT(AD1225,1)="2","C2",IF(LEFT(AD1225,1)="3","C3",""))))</f>
        <v>C1</v>
      </c>
      <c r="AF1225" t="s" s="35">
        <v>1602</v>
      </c>
      <c r="AG1225" t="s" s="35">
        <v>1607</v>
      </c>
      <c r="AH1225" t="s" s="35">
        <v>1605</v>
      </c>
      <c r="AI1225" t="s" s="35">
        <v>1609</v>
      </c>
      <c r="AJ1225" t="s" s="35">
        <v>1607</v>
      </c>
      <c r="AK1225" s="39"/>
      <c r="AL1225" s="39"/>
      <c r="AM1225" s="39"/>
      <c r="AN1225" s="39"/>
      <c r="AO1225" s="39"/>
      <c r="AP1225" s="39"/>
      <c r="AQ1225" s="39"/>
      <c r="AR1225" s="39"/>
      <c r="AS1225" s="39"/>
      <c r="AT1225" s="39"/>
      <c r="AU1225" s="39"/>
      <c r="AV1225" s="39"/>
      <c r="AW1225" t="str" s="39" cm="1">
        <f t="array" ref="AW1225">AF1225&amp;"; "&amp;AG1225&amp;"; "&amp;AH1225&amp;"; "&amp;AI1225&amp;"; "&amp;AJ1225</f>
        <v>E1; E3; E2; E4; E3</v>
      </c>
    </row>
    <row r="1226" ht="13.65" customHeight="1">
      <c r="A1226" t="s" s="35">
        <v>7464</v>
      </c>
      <c r="B1226" s="36">
        <v>11</v>
      </c>
      <c r="C1226" t="s" s="35">
        <v>210</v>
      </c>
      <c r="D1226" t="s" s="35">
        <v>7000</v>
      </c>
      <c r="E1226" t="s" s="35">
        <v>7275</v>
      </c>
      <c r="F1226" s="36">
        <v>56</v>
      </c>
      <c r="G1226" t="s" s="35">
        <v>7436</v>
      </c>
      <c r="H1226" t="s" s="35">
        <v>7458</v>
      </c>
      <c r="I1226" t="s" s="120">
        <v>7465</v>
      </c>
      <c r="J1226" t="s" s="35">
        <v>6185</v>
      </c>
      <c r="K1226" t="s" s="35">
        <v>1058</v>
      </c>
      <c r="L1226" s="39"/>
      <c r="M1226" t="str" s="39">
        <v>Sin marco</v>
      </c>
      <c r="N1226" t="str" s="39">
        <v>Sin marco</v>
      </c>
      <c r="O1226" t="str" s="39" cm="1">
        <f t="array" ref="O1226">IF(L1226="","",_xlfn.IFERROR(INDEX('Datos - Catálogo TIMSS'!$C$5:$C$107,MATCH(L1226,'Datos - Catálogo TIMSS'!$A$5:$A$107,0)),"?"))</f>
      </c>
      <c r="P1226" t="s" s="35">
        <v>1058</v>
      </c>
      <c r="Q1226" t="s" s="120">
        <v>6186</v>
      </c>
      <c r="R1226" t="s" s="120">
        <v>7466</v>
      </c>
      <c r="S1226" s="121" cm="1">
        <f t="array" ref="S1226">_xlfn.IFERROR(ISNUMBER(SEARCH("Conocer",$R1226))/(ISNUMBER(SEARCH("Conocer",$R1226))+ISNUMBER(SEARCH("Aplicar",$R1226))+ISNUMBER(SEARCH("Razonar",$R1226))),0)</f>
        <v>0.5</v>
      </c>
      <c r="T1226" s="121" cm="1">
        <f t="array" ref="T1226">_xlfn.IFERROR(ISNUMBER(SEARCH("Aplicar",$R1226))/(ISNUMBER(SEARCH("Conocer",$R1226))+ISNUMBER(SEARCH("Aplicar",$R1226))+ISNUMBER(SEARCH("Razonar",$R1226))),0)</f>
        <v>0</v>
      </c>
      <c r="U1226" s="121" cm="1">
        <f t="array" ref="U1226">_xlfn.IFERROR(ISNUMBER(SEARCH("Razonar",$R1226))/(ISNUMBER(SEARCH("Conocer",$R1226))+ISNUMBER(SEARCH("Aplicar",$R1226))+ISNUMBER(SEARCH("Razonar",$R1226))),0)</f>
        <v>0.5</v>
      </c>
      <c r="V1226" t="s" s="35">
        <v>1409</v>
      </c>
      <c r="W1226" t="s" s="35">
        <v>7006</v>
      </c>
      <c r="X1226" s="36" cm="1">
        <f t="array" ref="X1226">IF(OR(_xlfn.IFERROR(INDEX('Datos - Catálogo TIMSS'!$I$5:$I$107,MATCH(K1226,'Datos - Catálogo TIMSS'!$A$5:$A$107,0)),"No")="Sí",_xlfn.IFERROR(INDEX('Datos - Catálogo TIMSS'!$I$5:$I$107,MATCH(L1226,'Datos - Catálogo TIMSS'!$A$5:$A$107,0)),"No")="Sí"),1,0)</f>
        <v>0</v>
      </c>
      <c r="Y1226" s="36" cm="1">
        <f t="array" ref="Y1226">IF(_xlfn.IFERROR(INDEX('Datos - Catálogo TIMSS'!$J$5:$J$107,MATCH(K1226,'Datos - Catálogo TIMSS'!$A$5:$A$107,0)),"No")="Sí",1,0)</f>
        <v>0</v>
      </c>
      <c r="Z1226" s="36" cm="1">
        <f t="array" ref="Z1226">IF(_xlfn.IFERROR(INDEX('Datos - Catálogo TIMSS'!$J$5:$J$107,MATCH(L1226,'Datos - Catálogo TIMSS'!$A$5:$A$107,0)),"No")="Sí",1,0)</f>
        <v>0</v>
      </c>
      <c r="AA1226" t="s" s="35">
        <v>1058</v>
      </c>
      <c r="AB1226" s="39"/>
      <c r="AC1226" t="str" s="39">
        <v>Sin marco</v>
      </c>
      <c r="AD1226" t="s" s="35">
        <v>1859</v>
      </c>
      <c r="AE1226" t="str" s="39" cm="1">
        <f t="array" ref="AE1226">IF(AD1226="","",IF(LEFT(AD1226,1)="1","C1",IF(LEFT(AD1226,1)="2","C2",IF(LEFT(AD1226,1)="3","C3",""))))</f>
        <v>C1</v>
      </c>
      <c r="AF1226" t="s" s="35">
        <v>1602</v>
      </c>
      <c r="AG1226" t="s" s="35">
        <v>1612</v>
      </c>
      <c r="AH1226" t="s" s="35">
        <v>1609</v>
      </c>
      <c r="AI1226" t="s" s="35">
        <v>1629</v>
      </c>
      <c r="AJ1226" t="s" s="35">
        <v>1615</v>
      </c>
      <c r="AK1226" s="39"/>
      <c r="AL1226" s="39"/>
      <c r="AM1226" s="39"/>
      <c r="AN1226" s="39"/>
      <c r="AO1226" s="39"/>
      <c r="AP1226" s="39"/>
      <c r="AQ1226" s="39"/>
      <c r="AR1226" s="39"/>
      <c r="AS1226" s="39"/>
      <c r="AT1226" s="39"/>
      <c r="AU1226" s="39"/>
      <c r="AV1226" s="39"/>
      <c r="AW1226" t="str" s="39" cm="1">
        <f t="array" ref="AW1226">AF1226&amp;"; "&amp;AG1226&amp;"; "&amp;AH1226&amp;"; "&amp;AI1226&amp;"; "&amp;AJ1226</f>
        <v>E1; E5; E4; I3; E6</v>
      </c>
    </row>
    <row r="1227" ht="13.65" customHeight="1">
      <c r="A1227" t="s" s="35">
        <v>7467</v>
      </c>
      <c r="B1227" s="36">
        <v>11</v>
      </c>
      <c r="C1227" t="s" s="35">
        <v>210</v>
      </c>
      <c r="D1227" t="s" s="35">
        <v>7000</v>
      </c>
      <c r="E1227" t="s" s="35">
        <v>7275</v>
      </c>
      <c r="F1227" s="36">
        <v>57</v>
      </c>
      <c r="G1227" t="s" s="35">
        <v>7436</v>
      </c>
      <c r="H1227" t="s" s="35">
        <v>7468</v>
      </c>
      <c r="I1227" t="s" s="120">
        <v>7469</v>
      </c>
      <c r="J1227" t="s" s="35">
        <v>6185</v>
      </c>
      <c r="K1227" t="s" s="35">
        <v>1058</v>
      </c>
      <c r="L1227" s="39"/>
      <c r="M1227" t="str" s="39">
        <v>Sin marco</v>
      </c>
      <c r="N1227" t="str" s="39">
        <v>Sin marco</v>
      </c>
      <c r="O1227" t="str" s="39" cm="1">
        <f t="array" ref="O1227">IF(L1227="","",_xlfn.IFERROR(INDEX('Datos - Catálogo TIMSS'!$C$5:$C$107,MATCH(L1227,'Datos - Catálogo TIMSS'!$A$5:$A$107,0)),"?"))</f>
      </c>
      <c r="P1227" t="s" s="35">
        <v>1058</v>
      </c>
      <c r="Q1227" t="s" s="120">
        <v>6186</v>
      </c>
      <c r="R1227" t="s" s="120">
        <v>7470</v>
      </c>
      <c r="S1227" s="121" cm="1">
        <f t="array" ref="S1227">_xlfn.IFERROR(ISNUMBER(SEARCH("Conocer",$R1227))/(ISNUMBER(SEARCH("Conocer",$R1227))+ISNUMBER(SEARCH("Aplicar",$R1227))+ISNUMBER(SEARCH("Razonar",$R1227))),0)</f>
        <v>0</v>
      </c>
      <c r="T1227" s="121" cm="1">
        <f t="array" ref="T1227">_xlfn.IFERROR(ISNUMBER(SEARCH("Aplicar",$R1227))/(ISNUMBER(SEARCH("Conocer",$R1227))+ISNUMBER(SEARCH("Aplicar",$R1227))+ISNUMBER(SEARCH("Razonar",$R1227))),0)</f>
        <v>0.5</v>
      </c>
      <c r="U1227" s="121" cm="1">
        <f t="array" ref="U1227">_xlfn.IFERROR(ISNUMBER(SEARCH("Razonar",$R1227))/(ISNUMBER(SEARCH("Conocer",$R1227))+ISNUMBER(SEARCH("Aplicar",$R1227))+ISNUMBER(SEARCH("Razonar",$R1227))),0)</f>
        <v>0.5</v>
      </c>
      <c r="V1227" t="s" s="35">
        <v>1409</v>
      </c>
      <c r="W1227" t="s" s="35">
        <v>7006</v>
      </c>
      <c r="X1227" s="36" cm="1">
        <f t="array" ref="X1227">IF(OR(_xlfn.IFERROR(INDEX('Datos - Catálogo TIMSS'!$I$5:$I$107,MATCH(K1227,'Datos - Catálogo TIMSS'!$A$5:$A$107,0)),"No")="Sí",_xlfn.IFERROR(INDEX('Datos - Catálogo TIMSS'!$I$5:$I$107,MATCH(L1227,'Datos - Catálogo TIMSS'!$A$5:$A$107,0)),"No")="Sí"),1,0)</f>
        <v>0</v>
      </c>
      <c r="Y1227" s="36" cm="1">
        <f t="array" ref="Y1227">IF(_xlfn.IFERROR(INDEX('Datos - Catálogo TIMSS'!$J$5:$J$107,MATCH(K1227,'Datos - Catálogo TIMSS'!$A$5:$A$107,0)),"No")="Sí",1,0)</f>
        <v>0</v>
      </c>
      <c r="Z1227" s="36" cm="1">
        <f t="array" ref="Z1227">IF(_xlfn.IFERROR(INDEX('Datos - Catálogo TIMSS'!$J$5:$J$107,MATCH(L1227,'Datos - Catálogo TIMSS'!$A$5:$A$107,0)),"No")="Sí",1,0)</f>
        <v>0</v>
      </c>
      <c r="AA1227" t="s" s="35">
        <v>1058</v>
      </c>
      <c r="AB1227" s="39"/>
      <c r="AC1227" t="str" s="39">
        <v>Sin marco</v>
      </c>
      <c r="AD1227" t="s" s="35">
        <v>1859</v>
      </c>
      <c r="AE1227" t="str" s="39" cm="1">
        <f t="array" ref="AE1227">IF(AD1227="","",IF(LEFT(AD1227,1)="1","C1",IF(LEFT(AD1227,1)="2","C2",IF(LEFT(AD1227,1)="3","C3",""))))</f>
        <v>C1</v>
      </c>
      <c r="AF1227" t="s" s="35">
        <v>1602</v>
      </c>
      <c r="AG1227" t="s" s="35">
        <v>1612</v>
      </c>
      <c r="AH1227" t="s" s="35">
        <v>1605</v>
      </c>
      <c r="AI1227" t="s" s="35">
        <v>1623</v>
      </c>
      <c r="AJ1227" t="s" s="35">
        <v>1607</v>
      </c>
      <c r="AK1227" s="39"/>
      <c r="AL1227" s="39"/>
      <c r="AM1227" s="39"/>
      <c r="AN1227" s="39"/>
      <c r="AO1227" s="39"/>
      <c r="AP1227" s="39"/>
      <c r="AQ1227" s="39"/>
      <c r="AR1227" s="39"/>
      <c r="AS1227" s="39"/>
      <c r="AT1227" s="39"/>
      <c r="AU1227" s="39"/>
      <c r="AV1227" s="39"/>
      <c r="AW1227" t="str" s="39" cm="1">
        <f t="array" ref="AW1227">AF1227&amp;"; "&amp;AG1227&amp;"; "&amp;AH1227&amp;"; "&amp;AI1227&amp;"; "&amp;AJ1227</f>
        <v>E1; E5; E2; D4; E3</v>
      </c>
    </row>
    <row r="1228" ht="13.65" customHeight="1">
      <c r="A1228" t="s" s="35">
        <v>7471</v>
      </c>
      <c r="B1228" s="36">
        <v>11</v>
      </c>
      <c r="C1228" t="s" s="35">
        <v>210</v>
      </c>
      <c r="D1228" t="s" s="35">
        <v>7000</v>
      </c>
      <c r="E1228" t="s" s="35">
        <v>7275</v>
      </c>
      <c r="F1228" s="36">
        <v>58</v>
      </c>
      <c r="G1228" t="s" s="35">
        <v>7436</v>
      </c>
      <c r="H1228" t="s" s="35">
        <v>7468</v>
      </c>
      <c r="I1228" t="s" s="120">
        <v>7472</v>
      </c>
      <c r="J1228" t="s" s="35">
        <v>6185</v>
      </c>
      <c r="K1228" t="s" s="35">
        <v>1058</v>
      </c>
      <c r="L1228" s="39"/>
      <c r="M1228" t="str" s="39">
        <v>Sin marco</v>
      </c>
      <c r="N1228" t="str" s="39">
        <v>Sin marco</v>
      </c>
      <c r="O1228" t="str" s="39" cm="1">
        <f t="array" ref="O1228">IF(L1228="","",_xlfn.IFERROR(INDEX('Datos - Catálogo TIMSS'!$C$5:$C$107,MATCH(L1228,'Datos - Catálogo TIMSS'!$A$5:$A$107,0)),"?"))</f>
      </c>
      <c r="P1228" t="s" s="35">
        <v>1058</v>
      </c>
      <c r="Q1228" t="s" s="120">
        <v>6186</v>
      </c>
      <c r="R1228" t="s" s="120">
        <v>7473</v>
      </c>
      <c r="S1228" s="121" cm="1">
        <f t="array" ref="S1228">_xlfn.IFERROR(ISNUMBER(SEARCH("Conocer",$R1228))/(ISNUMBER(SEARCH("Conocer",$R1228))+ISNUMBER(SEARCH("Aplicar",$R1228))+ISNUMBER(SEARCH("Razonar",$R1228))),0)</f>
        <v>0.5</v>
      </c>
      <c r="T1228" s="121" cm="1">
        <f t="array" ref="T1228">_xlfn.IFERROR(ISNUMBER(SEARCH("Aplicar",$R1228))/(ISNUMBER(SEARCH("Conocer",$R1228))+ISNUMBER(SEARCH("Aplicar",$R1228))+ISNUMBER(SEARCH("Razonar",$R1228))),0)</f>
        <v>0</v>
      </c>
      <c r="U1228" s="121" cm="1">
        <f t="array" ref="U1228">_xlfn.IFERROR(ISNUMBER(SEARCH("Razonar",$R1228))/(ISNUMBER(SEARCH("Conocer",$R1228))+ISNUMBER(SEARCH("Aplicar",$R1228))+ISNUMBER(SEARCH("Razonar",$R1228))),0)</f>
        <v>0.5</v>
      </c>
      <c r="V1228" t="s" s="35">
        <v>1409</v>
      </c>
      <c r="W1228" t="s" s="35">
        <v>7006</v>
      </c>
      <c r="X1228" s="36" cm="1">
        <f t="array" ref="X1228">IF(OR(_xlfn.IFERROR(INDEX('Datos - Catálogo TIMSS'!$I$5:$I$107,MATCH(K1228,'Datos - Catálogo TIMSS'!$A$5:$A$107,0)),"No")="Sí",_xlfn.IFERROR(INDEX('Datos - Catálogo TIMSS'!$I$5:$I$107,MATCH(L1228,'Datos - Catálogo TIMSS'!$A$5:$A$107,0)),"No")="Sí"),1,0)</f>
        <v>0</v>
      </c>
      <c r="Y1228" s="36" cm="1">
        <f t="array" ref="Y1228">IF(_xlfn.IFERROR(INDEX('Datos - Catálogo TIMSS'!$J$5:$J$107,MATCH(K1228,'Datos - Catálogo TIMSS'!$A$5:$A$107,0)),"No")="Sí",1,0)</f>
        <v>0</v>
      </c>
      <c r="Z1228" s="36" cm="1">
        <f t="array" ref="Z1228">IF(_xlfn.IFERROR(INDEX('Datos - Catálogo TIMSS'!$J$5:$J$107,MATCH(L1228,'Datos - Catálogo TIMSS'!$A$5:$A$107,0)),"No")="Sí",1,0)</f>
        <v>0</v>
      </c>
      <c r="AA1228" t="s" s="35">
        <v>1058</v>
      </c>
      <c r="AB1228" s="39"/>
      <c r="AC1228" t="str" s="39">
        <v>Sin marco</v>
      </c>
      <c r="AD1228" t="s" s="35">
        <v>1859</v>
      </c>
      <c r="AE1228" t="str" s="39" cm="1">
        <f t="array" ref="AE1228">IF(AD1228="","",IF(LEFT(AD1228,1)="1","C1",IF(LEFT(AD1228,1)="2","C2",IF(LEFT(AD1228,1)="3","C3",""))))</f>
        <v>C1</v>
      </c>
      <c r="AF1228" t="s" s="35">
        <v>1615</v>
      </c>
      <c r="AG1228" t="s" s="35">
        <v>1617</v>
      </c>
      <c r="AH1228" t="s" s="35">
        <v>1602</v>
      </c>
      <c r="AI1228" t="s" s="35">
        <v>1629</v>
      </c>
      <c r="AJ1228" t="s" s="35">
        <v>1607</v>
      </c>
      <c r="AK1228" s="39"/>
      <c r="AL1228" s="39"/>
      <c r="AM1228" s="39"/>
      <c r="AN1228" s="39"/>
      <c r="AO1228" s="39"/>
      <c r="AP1228" s="39"/>
      <c r="AQ1228" s="39"/>
      <c r="AR1228" s="39"/>
      <c r="AS1228" s="39"/>
      <c r="AT1228" s="39"/>
      <c r="AU1228" s="39"/>
      <c r="AV1228" s="39"/>
      <c r="AW1228" t="str" s="39" cm="1">
        <f t="array" ref="AW1228">AF1228&amp;"; "&amp;AG1228&amp;"; "&amp;AH1228&amp;"; "&amp;AI1228&amp;"; "&amp;AJ1228</f>
        <v>E6; D1; E1; I3; E3</v>
      </c>
    </row>
    <row r="1229" ht="13.65" customHeight="1">
      <c r="A1229" t="s" s="35">
        <v>7474</v>
      </c>
      <c r="B1229" s="36">
        <v>11</v>
      </c>
      <c r="C1229" t="s" s="35">
        <v>210</v>
      </c>
      <c r="D1229" t="s" s="35">
        <v>7000</v>
      </c>
      <c r="E1229" t="s" s="35">
        <v>7275</v>
      </c>
      <c r="F1229" s="36">
        <v>59</v>
      </c>
      <c r="G1229" t="s" s="35">
        <v>7436</v>
      </c>
      <c r="H1229" t="s" s="35">
        <v>7468</v>
      </c>
      <c r="I1229" t="s" s="120">
        <v>7475</v>
      </c>
      <c r="J1229" t="s" s="35">
        <v>6185</v>
      </c>
      <c r="K1229" t="s" s="35">
        <v>1058</v>
      </c>
      <c r="L1229" s="39"/>
      <c r="M1229" t="str" s="39">
        <v>Sin marco</v>
      </c>
      <c r="N1229" t="str" s="39">
        <v>Sin marco</v>
      </c>
      <c r="O1229" t="str" s="39" cm="1">
        <f t="array" ref="O1229">IF(L1229="","",_xlfn.IFERROR(INDEX('Datos - Catálogo TIMSS'!$C$5:$C$107,MATCH(L1229,'Datos - Catálogo TIMSS'!$A$5:$A$107,0)),"?"))</f>
      </c>
      <c r="P1229" t="s" s="35">
        <v>1058</v>
      </c>
      <c r="Q1229" t="s" s="120">
        <v>6186</v>
      </c>
      <c r="R1229" t="s" s="120">
        <v>7476</v>
      </c>
      <c r="S1229" s="121" cm="1">
        <f t="array" ref="S1229">_xlfn.IFERROR(ISNUMBER(SEARCH("Conocer",$R1229))/(ISNUMBER(SEARCH("Conocer",$R1229))+ISNUMBER(SEARCH("Aplicar",$R1229))+ISNUMBER(SEARCH("Razonar",$R1229))),0)</f>
        <v>0</v>
      </c>
      <c r="T1229" s="121" cm="1">
        <f t="array" ref="T1229">_xlfn.IFERROR(ISNUMBER(SEARCH("Aplicar",$R1229))/(ISNUMBER(SEARCH("Conocer",$R1229))+ISNUMBER(SEARCH("Aplicar",$R1229))+ISNUMBER(SEARCH("Razonar",$R1229))),0)</f>
        <v>0.5</v>
      </c>
      <c r="U1229" s="121" cm="1">
        <f t="array" ref="U1229">_xlfn.IFERROR(ISNUMBER(SEARCH("Razonar",$R1229))/(ISNUMBER(SEARCH("Conocer",$R1229))+ISNUMBER(SEARCH("Aplicar",$R1229))+ISNUMBER(SEARCH("Razonar",$R1229))),0)</f>
        <v>0.5</v>
      </c>
      <c r="V1229" t="s" s="35">
        <v>1409</v>
      </c>
      <c r="W1229" t="s" s="35">
        <v>7006</v>
      </c>
      <c r="X1229" s="36" cm="1">
        <f t="array" ref="X1229">IF(OR(_xlfn.IFERROR(INDEX('Datos - Catálogo TIMSS'!$I$5:$I$107,MATCH(K1229,'Datos - Catálogo TIMSS'!$A$5:$A$107,0)),"No")="Sí",_xlfn.IFERROR(INDEX('Datos - Catálogo TIMSS'!$I$5:$I$107,MATCH(L1229,'Datos - Catálogo TIMSS'!$A$5:$A$107,0)),"No")="Sí"),1,0)</f>
        <v>0</v>
      </c>
      <c r="Y1229" s="36" cm="1">
        <f t="array" ref="Y1229">IF(_xlfn.IFERROR(INDEX('Datos - Catálogo TIMSS'!$J$5:$J$107,MATCH(K1229,'Datos - Catálogo TIMSS'!$A$5:$A$107,0)),"No")="Sí",1,0)</f>
        <v>0</v>
      </c>
      <c r="Z1229" s="36" cm="1">
        <f t="array" ref="Z1229">IF(_xlfn.IFERROR(INDEX('Datos - Catálogo TIMSS'!$J$5:$J$107,MATCH(L1229,'Datos - Catálogo TIMSS'!$A$5:$A$107,0)),"No")="Sí",1,0)</f>
        <v>0</v>
      </c>
      <c r="AA1229" t="s" s="35">
        <v>1058</v>
      </c>
      <c r="AB1229" s="39"/>
      <c r="AC1229" t="str" s="39">
        <v>Sin marco</v>
      </c>
      <c r="AD1229" t="s" s="35">
        <v>1900</v>
      </c>
      <c r="AE1229" t="str" s="39" cm="1">
        <f t="array" ref="AE1229">IF(AD1229="","",IF(LEFT(AD1229,1)="1","C1",IF(LEFT(AD1229,1)="2","C2",IF(LEFT(AD1229,1)="3","C3",""))))</f>
        <v>C3</v>
      </c>
      <c r="AF1229" t="s" s="35">
        <v>1602</v>
      </c>
      <c r="AG1229" t="s" s="35">
        <v>1617</v>
      </c>
      <c r="AH1229" t="s" s="35">
        <v>1602</v>
      </c>
      <c r="AI1229" t="s" s="35">
        <v>1625</v>
      </c>
      <c r="AJ1229" t="s" s="35">
        <v>1633</v>
      </c>
      <c r="AK1229" s="39"/>
      <c r="AL1229" s="39"/>
      <c r="AM1229" s="39"/>
      <c r="AN1229" s="39"/>
      <c r="AO1229" s="39"/>
      <c r="AP1229" s="39"/>
      <c r="AQ1229" s="39"/>
      <c r="AR1229" s="39"/>
      <c r="AS1229" s="39"/>
      <c r="AT1229" s="39"/>
      <c r="AU1229" s="39"/>
      <c r="AV1229" s="39"/>
      <c r="AW1229" t="str" s="39" cm="1">
        <f t="array" ref="AW1229">AF1229&amp;"; "&amp;AG1229&amp;"; "&amp;AH1229&amp;"; "&amp;AI1229&amp;"; "&amp;AJ1229</f>
        <v>E1; D1; E1; I1; I5</v>
      </c>
    </row>
    <row r="1230" ht="13.65" customHeight="1">
      <c r="A1230" t="s" s="35">
        <v>7477</v>
      </c>
      <c r="B1230" s="36">
        <v>11</v>
      </c>
      <c r="C1230" t="s" s="35">
        <v>210</v>
      </c>
      <c r="D1230" t="s" s="35">
        <v>7000</v>
      </c>
      <c r="E1230" t="s" s="35">
        <v>7275</v>
      </c>
      <c r="F1230" s="36">
        <v>60</v>
      </c>
      <c r="G1230" t="s" s="35">
        <v>7436</v>
      </c>
      <c r="H1230" t="s" s="35">
        <v>7478</v>
      </c>
      <c r="I1230" t="s" s="120">
        <v>7479</v>
      </c>
      <c r="J1230" t="s" s="35">
        <v>6185</v>
      </c>
      <c r="K1230" t="s" s="35">
        <v>1058</v>
      </c>
      <c r="L1230" s="39"/>
      <c r="M1230" t="str" s="39">
        <v>Sin marco</v>
      </c>
      <c r="N1230" t="str" s="39">
        <v>Sin marco</v>
      </c>
      <c r="O1230" t="str" s="39" cm="1">
        <f t="array" ref="O1230">IF(L1230="","",_xlfn.IFERROR(INDEX('Datos - Catálogo TIMSS'!$C$5:$C$107,MATCH(L1230,'Datos - Catálogo TIMSS'!$A$5:$A$107,0)),"?"))</f>
      </c>
      <c r="P1230" t="s" s="35">
        <v>1058</v>
      </c>
      <c r="Q1230" t="s" s="120">
        <v>6186</v>
      </c>
      <c r="R1230" t="s" s="120">
        <v>7480</v>
      </c>
      <c r="S1230" s="121" cm="1">
        <f t="array" ref="S1230">_xlfn.IFERROR(ISNUMBER(SEARCH("Conocer",$R1230))/(ISNUMBER(SEARCH("Conocer",$R1230))+ISNUMBER(SEARCH("Aplicar",$R1230))+ISNUMBER(SEARCH("Razonar",$R1230))),0)</f>
        <v>0.5</v>
      </c>
      <c r="T1230" s="121" cm="1">
        <f t="array" ref="T1230">_xlfn.IFERROR(ISNUMBER(SEARCH("Aplicar",$R1230))/(ISNUMBER(SEARCH("Conocer",$R1230))+ISNUMBER(SEARCH("Aplicar",$R1230))+ISNUMBER(SEARCH("Razonar",$R1230))),0)</f>
        <v>0.5</v>
      </c>
      <c r="U1230" s="121" cm="1">
        <f t="array" ref="U1230">_xlfn.IFERROR(ISNUMBER(SEARCH("Razonar",$R1230))/(ISNUMBER(SEARCH("Conocer",$R1230))+ISNUMBER(SEARCH("Aplicar",$R1230))+ISNUMBER(SEARCH("Razonar",$R1230))),0)</f>
        <v>0</v>
      </c>
      <c r="V1230" t="s" s="35">
        <v>1409</v>
      </c>
      <c r="W1230" t="s" s="35">
        <v>7006</v>
      </c>
      <c r="X1230" s="36" cm="1">
        <f t="array" ref="X1230">IF(OR(_xlfn.IFERROR(INDEX('Datos - Catálogo TIMSS'!$I$5:$I$107,MATCH(K1230,'Datos - Catálogo TIMSS'!$A$5:$A$107,0)),"No")="Sí",_xlfn.IFERROR(INDEX('Datos - Catálogo TIMSS'!$I$5:$I$107,MATCH(L1230,'Datos - Catálogo TIMSS'!$A$5:$A$107,0)),"No")="Sí"),1,0)</f>
        <v>0</v>
      </c>
      <c r="Y1230" s="36" cm="1">
        <f t="array" ref="Y1230">IF(_xlfn.IFERROR(INDEX('Datos - Catálogo TIMSS'!$J$5:$J$107,MATCH(K1230,'Datos - Catálogo TIMSS'!$A$5:$A$107,0)),"No")="Sí",1,0)</f>
        <v>0</v>
      </c>
      <c r="Z1230" s="36" cm="1">
        <f t="array" ref="Z1230">IF(_xlfn.IFERROR(INDEX('Datos - Catálogo TIMSS'!$J$5:$J$107,MATCH(L1230,'Datos - Catálogo TIMSS'!$A$5:$A$107,0)),"No")="Sí",1,0)</f>
        <v>0</v>
      </c>
      <c r="AA1230" t="s" s="35">
        <v>1058</v>
      </c>
      <c r="AB1230" s="39"/>
      <c r="AC1230" t="str" s="39">
        <v>Sin marco</v>
      </c>
      <c r="AD1230" t="s" s="35">
        <v>1859</v>
      </c>
      <c r="AE1230" t="str" s="39" cm="1">
        <f t="array" ref="AE1230">IF(AD1230="","",IF(LEFT(AD1230,1)="1","C1",IF(LEFT(AD1230,1)="2","C2",IF(LEFT(AD1230,1)="3","C3",""))))</f>
        <v>C1</v>
      </c>
      <c r="AF1230" t="s" s="35">
        <v>1602</v>
      </c>
      <c r="AG1230" t="s" s="35">
        <v>1612</v>
      </c>
      <c r="AH1230" t="s" s="35">
        <v>1605</v>
      </c>
      <c r="AI1230" t="s" s="35">
        <v>1609</v>
      </c>
      <c r="AJ1230" t="s" s="35">
        <v>1615</v>
      </c>
      <c r="AK1230" s="39"/>
      <c r="AL1230" s="39"/>
      <c r="AM1230" s="39"/>
      <c r="AN1230" s="39"/>
      <c r="AO1230" s="39"/>
      <c r="AP1230" s="39"/>
      <c r="AQ1230" s="39"/>
      <c r="AR1230" s="39"/>
      <c r="AS1230" s="39"/>
      <c r="AT1230" s="39"/>
      <c r="AU1230" s="39"/>
      <c r="AV1230" s="39"/>
      <c r="AW1230" t="str" s="39" cm="1">
        <f t="array" ref="AW1230">AF1230&amp;"; "&amp;AG1230&amp;"; "&amp;AH1230&amp;"; "&amp;AI1230&amp;"; "&amp;AJ1230</f>
        <v>E1; E5; E2; E4; E6</v>
      </c>
    </row>
    <row r="1231" ht="13.65" customHeight="1">
      <c r="A1231" t="s" s="35">
        <v>7482</v>
      </c>
      <c r="B1231" s="36">
        <v>11</v>
      </c>
      <c r="C1231" t="s" s="35">
        <v>210</v>
      </c>
      <c r="D1231" t="s" s="35">
        <v>7000</v>
      </c>
      <c r="E1231" t="s" s="35">
        <v>7275</v>
      </c>
      <c r="F1231" s="36">
        <v>61</v>
      </c>
      <c r="G1231" t="s" s="35">
        <v>7436</v>
      </c>
      <c r="H1231" t="s" s="35">
        <v>7478</v>
      </c>
      <c r="I1231" t="s" s="120">
        <v>7483</v>
      </c>
      <c r="J1231" t="s" s="35">
        <v>6185</v>
      </c>
      <c r="K1231" t="s" s="35">
        <v>1058</v>
      </c>
      <c r="L1231" s="39"/>
      <c r="M1231" t="str" s="39">
        <v>Sin marco</v>
      </c>
      <c r="N1231" t="str" s="39">
        <v>Sin marco</v>
      </c>
      <c r="O1231" t="str" s="39" cm="1">
        <f t="array" ref="O1231">IF(L1231="","",_xlfn.IFERROR(INDEX('Datos - Catálogo TIMSS'!$C$5:$C$107,MATCH(L1231,'Datos - Catálogo TIMSS'!$A$5:$A$107,0)),"?"))</f>
      </c>
      <c r="P1231" t="s" s="35">
        <v>1058</v>
      </c>
      <c r="Q1231" t="s" s="120">
        <v>6186</v>
      </c>
      <c r="R1231" t="s" s="120">
        <v>7484</v>
      </c>
      <c r="S1231" s="121" cm="1">
        <f t="array" ref="S1231">_xlfn.IFERROR(ISNUMBER(SEARCH("Conocer",$R1231))/(ISNUMBER(SEARCH("Conocer",$R1231))+ISNUMBER(SEARCH("Aplicar",$R1231))+ISNUMBER(SEARCH("Razonar",$R1231))),0)</f>
        <v>0</v>
      </c>
      <c r="T1231" s="121" cm="1">
        <f t="array" ref="T1231">_xlfn.IFERROR(ISNUMBER(SEARCH("Aplicar",$R1231))/(ISNUMBER(SEARCH("Conocer",$R1231))+ISNUMBER(SEARCH("Aplicar",$R1231))+ISNUMBER(SEARCH("Razonar",$R1231))),0)</f>
        <v>0.5</v>
      </c>
      <c r="U1231" s="121" cm="1">
        <f t="array" ref="U1231">_xlfn.IFERROR(ISNUMBER(SEARCH("Razonar",$R1231))/(ISNUMBER(SEARCH("Conocer",$R1231))+ISNUMBER(SEARCH("Aplicar",$R1231))+ISNUMBER(SEARCH("Razonar",$R1231))),0)</f>
        <v>0.5</v>
      </c>
      <c r="V1231" t="s" s="35">
        <v>1409</v>
      </c>
      <c r="W1231" t="s" s="35">
        <v>7006</v>
      </c>
      <c r="X1231" s="36" cm="1">
        <f t="array" ref="X1231">IF(OR(_xlfn.IFERROR(INDEX('Datos - Catálogo TIMSS'!$I$5:$I$107,MATCH(K1231,'Datos - Catálogo TIMSS'!$A$5:$A$107,0)),"No")="Sí",_xlfn.IFERROR(INDEX('Datos - Catálogo TIMSS'!$I$5:$I$107,MATCH(L1231,'Datos - Catálogo TIMSS'!$A$5:$A$107,0)),"No")="Sí"),1,0)</f>
        <v>0</v>
      </c>
      <c r="Y1231" s="36" cm="1">
        <f t="array" ref="Y1231">IF(_xlfn.IFERROR(INDEX('Datos - Catálogo TIMSS'!$J$5:$J$107,MATCH(K1231,'Datos - Catálogo TIMSS'!$A$5:$A$107,0)),"No")="Sí",1,0)</f>
        <v>0</v>
      </c>
      <c r="Z1231" s="36" cm="1">
        <f t="array" ref="Z1231">IF(_xlfn.IFERROR(INDEX('Datos - Catálogo TIMSS'!$J$5:$J$107,MATCH(L1231,'Datos - Catálogo TIMSS'!$A$5:$A$107,0)),"No")="Sí",1,0)</f>
        <v>0</v>
      </c>
      <c r="AA1231" t="s" s="35">
        <v>1058</v>
      </c>
      <c r="AB1231" s="39"/>
      <c r="AC1231" t="str" s="39">
        <v>Sin marco</v>
      </c>
      <c r="AD1231" t="s" s="35">
        <v>1834</v>
      </c>
      <c r="AE1231" t="str" s="39" cm="1">
        <f t="array" ref="AE1231">IF(AD1231="","",IF(LEFT(AD1231,1)="1","C1",IF(LEFT(AD1231,1)="2","C2",IF(LEFT(AD1231,1)="3","C3",""))))</f>
        <v>C2</v>
      </c>
      <c r="AF1231" t="s" s="35">
        <v>1615</v>
      </c>
      <c r="AG1231" t="s" s="35">
        <v>1617</v>
      </c>
      <c r="AH1231" t="s" s="35">
        <v>1609</v>
      </c>
      <c r="AI1231" t="s" s="35">
        <v>1619</v>
      </c>
      <c r="AJ1231" t="s" s="35">
        <v>1621</v>
      </c>
      <c r="AK1231" s="39"/>
      <c r="AL1231" s="39"/>
      <c r="AM1231" s="39"/>
      <c r="AN1231" s="39"/>
      <c r="AO1231" s="39"/>
      <c r="AP1231" s="39"/>
      <c r="AQ1231" s="39"/>
      <c r="AR1231" s="39"/>
      <c r="AS1231" s="39"/>
      <c r="AT1231" s="39"/>
      <c r="AU1231" s="39"/>
      <c r="AV1231" s="39"/>
      <c r="AW1231" t="str" s="39" cm="1">
        <f t="array" ref="AW1231">AF1231&amp;"; "&amp;AG1231&amp;"; "&amp;AH1231&amp;"; "&amp;AI1231&amp;"; "&amp;AJ1231</f>
        <v>E6; D1; E4; D2; D3</v>
      </c>
    </row>
    <row r="1232" ht="13.65" customHeight="1">
      <c r="A1232" t="s" s="35">
        <v>7485</v>
      </c>
      <c r="B1232" s="36">
        <v>11</v>
      </c>
      <c r="C1232" t="s" s="35">
        <v>210</v>
      </c>
      <c r="D1232" t="s" s="35">
        <v>7000</v>
      </c>
      <c r="E1232" t="s" s="35">
        <v>7275</v>
      </c>
      <c r="F1232" s="36">
        <v>62</v>
      </c>
      <c r="G1232" t="s" s="35">
        <v>7436</v>
      </c>
      <c r="H1232" t="s" s="35">
        <v>7478</v>
      </c>
      <c r="I1232" t="s" s="120">
        <v>7486</v>
      </c>
      <c r="J1232" t="s" s="35">
        <v>6185</v>
      </c>
      <c r="K1232" t="s" s="35">
        <v>1058</v>
      </c>
      <c r="L1232" s="39"/>
      <c r="M1232" t="str" s="39">
        <v>Sin marco</v>
      </c>
      <c r="N1232" t="str" s="39">
        <v>Sin marco</v>
      </c>
      <c r="O1232" t="str" s="39" cm="1">
        <f t="array" ref="O1232">IF(L1232="","",_xlfn.IFERROR(INDEX('Datos - Catálogo TIMSS'!$C$5:$C$107,MATCH(L1232,'Datos - Catálogo TIMSS'!$A$5:$A$107,0)),"?"))</f>
      </c>
      <c r="P1232" t="s" s="35">
        <v>1058</v>
      </c>
      <c r="Q1232" t="s" s="120">
        <v>6186</v>
      </c>
      <c r="R1232" t="s" s="120">
        <v>7487</v>
      </c>
      <c r="S1232" s="121" cm="1">
        <f t="array" ref="S1232">_xlfn.IFERROR(ISNUMBER(SEARCH("Conocer",$R1232))/(ISNUMBER(SEARCH("Conocer",$R1232))+ISNUMBER(SEARCH("Aplicar",$R1232))+ISNUMBER(SEARCH("Razonar",$R1232))),0)</f>
        <v>0</v>
      </c>
      <c r="T1232" s="121" cm="1">
        <f t="array" ref="T1232">_xlfn.IFERROR(ISNUMBER(SEARCH("Aplicar",$R1232))/(ISNUMBER(SEARCH("Conocer",$R1232))+ISNUMBER(SEARCH("Aplicar",$R1232))+ISNUMBER(SEARCH("Razonar",$R1232))),0)</f>
        <v>0.5</v>
      </c>
      <c r="U1232" s="121" cm="1">
        <f t="array" ref="U1232">_xlfn.IFERROR(ISNUMBER(SEARCH("Razonar",$R1232))/(ISNUMBER(SEARCH("Conocer",$R1232))+ISNUMBER(SEARCH("Aplicar",$R1232))+ISNUMBER(SEARCH("Razonar",$R1232))),0)</f>
        <v>0.5</v>
      </c>
      <c r="V1232" t="s" s="35">
        <v>1409</v>
      </c>
      <c r="W1232" t="s" s="35">
        <v>7006</v>
      </c>
      <c r="X1232" s="36" cm="1">
        <f t="array" ref="X1232">IF(OR(_xlfn.IFERROR(INDEX('Datos - Catálogo TIMSS'!$I$5:$I$107,MATCH(K1232,'Datos - Catálogo TIMSS'!$A$5:$A$107,0)),"No")="Sí",_xlfn.IFERROR(INDEX('Datos - Catálogo TIMSS'!$I$5:$I$107,MATCH(L1232,'Datos - Catálogo TIMSS'!$A$5:$A$107,0)),"No")="Sí"),1,0)</f>
        <v>0</v>
      </c>
      <c r="Y1232" s="36" cm="1">
        <f t="array" ref="Y1232">IF(_xlfn.IFERROR(INDEX('Datos - Catálogo TIMSS'!$J$5:$J$107,MATCH(K1232,'Datos - Catálogo TIMSS'!$A$5:$A$107,0)),"No")="Sí",1,0)</f>
        <v>0</v>
      </c>
      <c r="Z1232" s="36" cm="1">
        <f t="array" ref="Z1232">IF(_xlfn.IFERROR(INDEX('Datos - Catálogo TIMSS'!$J$5:$J$107,MATCH(L1232,'Datos - Catálogo TIMSS'!$A$5:$A$107,0)),"No")="Sí",1,0)</f>
        <v>0</v>
      </c>
      <c r="AA1232" t="s" s="35">
        <v>1058</v>
      </c>
      <c r="AB1232" s="39"/>
      <c r="AC1232" t="str" s="39">
        <v>Sin marco</v>
      </c>
      <c r="AD1232" t="s" s="35">
        <v>1900</v>
      </c>
      <c r="AE1232" t="str" s="39" cm="1">
        <f t="array" ref="AE1232">IF(AD1232="","",IF(LEFT(AD1232,1)="1","C1",IF(LEFT(AD1232,1)="2","C2",IF(LEFT(AD1232,1)="3","C3",""))))</f>
        <v>C3</v>
      </c>
      <c r="AF1232" t="s" s="35">
        <v>1615</v>
      </c>
      <c r="AG1232" t="s" s="35">
        <v>1607</v>
      </c>
      <c r="AH1232" t="s" s="35">
        <v>1609</v>
      </c>
      <c r="AI1232" t="s" s="35">
        <v>1627</v>
      </c>
      <c r="AJ1232" t="s" s="35">
        <v>1633</v>
      </c>
      <c r="AK1232" s="39"/>
      <c r="AL1232" s="39"/>
      <c r="AM1232" s="39"/>
      <c r="AN1232" s="39"/>
      <c r="AO1232" s="39"/>
      <c r="AP1232" s="39"/>
      <c r="AQ1232" s="39"/>
      <c r="AR1232" s="39"/>
      <c r="AS1232" s="39"/>
      <c r="AT1232" s="39"/>
      <c r="AU1232" s="39"/>
      <c r="AV1232" s="39"/>
      <c r="AW1232" t="str" s="39" cm="1">
        <f t="array" ref="AW1232">AF1232&amp;"; "&amp;AG1232&amp;"; "&amp;AH1232&amp;"; "&amp;AI1232&amp;"; "&amp;AJ1232</f>
        <v>E6; E3; E4; I2; I5</v>
      </c>
    </row>
    <row r="1233" ht="13.65" customHeight="1">
      <c r="A1233" t="s" s="35">
        <v>7489</v>
      </c>
      <c r="B1233" s="36">
        <v>11</v>
      </c>
      <c r="C1233" t="s" s="35">
        <v>210</v>
      </c>
      <c r="D1233" t="s" s="35">
        <v>7000</v>
      </c>
      <c r="E1233" t="s" s="35">
        <v>7275</v>
      </c>
      <c r="F1233" s="36">
        <v>63</v>
      </c>
      <c r="G1233" t="s" s="35">
        <v>7490</v>
      </c>
      <c r="H1233" t="s" s="35">
        <v>7491</v>
      </c>
      <c r="I1233" t="s" s="120">
        <v>7492</v>
      </c>
      <c r="J1233" t="s" s="35">
        <v>6185</v>
      </c>
      <c r="K1233" t="s" s="35">
        <v>1058</v>
      </c>
      <c r="L1233" s="39"/>
      <c r="M1233" t="str" s="39">
        <v>Sin marco</v>
      </c>
      <c r="N1233" t="str" s="39">
        <v>Sin marco</v>
      </c>
      <c r="O1233" t="str" s="39" cm="1">
        <f t="array" ref="O1233">IF(L1233="","",_xlfn.IFERROR(INDEX('Datos - Catálogo TIMSS'!$C$5:$C$107,MATCH(L1233,'Datos - Catálogo TIMSS'!$A$5:$A$107,0)),"?"))</f>
      </c>
      <c r="P1233" t="s" s="35">
        <v>1058</v>
      </c>
      <c r="Q1233" t="s" s="120">
        <v>6186</v>
      </c>
      <c r="R1233" t="s" s="120">
        <v>7493</v>
      </c>
      <c r="S1233" s="121" cm="1">
        <f t="array" ref="S1233">_xlfn.IFERROR(ISNUMBER(SEARCH("Conocer",$R1233))/(ISNUMBER(SEARCH("Conocer",$R1233))+ISNUMBER(SEARCH("Aplicar",$R1233))+ISNUMBER(SEARCH("Razonar",$R1233))),0)</f>
        <v>0</v>
      </c>
      <c r="T1233" s="121" cm="1">
        <f t="array" ref="T1233">_xlfn.IFERROR(ISNUMBER(SEARCH("Aplicar",$R1233))/(ISNUMBER(SEARCH("Conocer",$R1233))+ISNUMBER(SEARCH("Aplicar",$R1233))+ISNUMBER(SEARCH("Razonar",$R1233))),0)</f>
        <v>0.5</v>
      </c>
      <c r="U1233" s="121" cm="1">
        <f t="array" ref="U1233">_xlfn.IFERROR(ISNUMBER(SEARCH("Razonar",$R1233))/(ISNUMBER(SEARCH("Conocer",$R1233))+ISNUMBER(SEARCH("Aplicar",$R1233))+ISNUMBER(SEARCH("Razonar",$R1233))),0)</f>
        <v>0.5</v>
      </c>
      <c r="V1233" t="s" s="35">
        <v>1409</v>
      </c>
      <c r="W1233" t="s" s="35">
        <v>7006</v>
      </c>
      <c r="X1233" s="36" cm="1">
        <f t="array" ref="X1233">IF(OR(_xlfn.IFERROR(INDEX('Datos - Catálogo TIMSS'!$I$5:$I$107,MATCH(K1233,'Datos - Catálogo TIMSS'!$A$5:$A$107,0)),"No")="Sí",_xlfn.IFERROR(INDEX('Datos - Catálogo TIMSS'!$I$5:$I$107,MATCH(L1233,'Datos - Catálogo TIMSS'!$A$5:$A$107,0)),"No")="Sí"),1,0)</f>
        <v>0</v>
      </c>
      <c r="Y1233" s="36" cm="1">
        <f t="array" ref="Y1233">IF(_xlfn.IFERROR(INDEX('Datos - Catálogo TIMSS'!$J$5:$J$107,MATCH(K1233,'Datos - Catálogo TIMSS'!$A$5:$A$107,0)),"No")="Sí",1,0)</f>
        <v>0</v>
      </c>
      <c r="Z1233" s="36" cm="1">
        <f t="array" ref="Z1233">IF(_xlfn.IFERROR(INDEX('Datos - Catálogo TIMSS'!$J$5:$J$107,MATCH(L1233,'Datos - Catálogo TIMSS'!$A$5:$A$107,0)),"No")="Sí",1,0)</f>
        <v>0</v>
      </c>
      <c r="AA1233" t="s" s="35">
        <v>1058</v>
      </c>
      <c r="AB1233" s="39"/>
      <c r="AC1233" t="str" s="39">
        <v>Sin marco</v>
      </c>
      <c r="AD1233" t="s" s="35">
        <v>1859</v>
      </c>
      <c r="AE1233" t="str" s="39" cm="1">
        <f t="array" ref="AE1233">IF(AD1233="","",IF(LEFT(AD1233,1)="1","C1",IF(LEFT(AD1233,1)="2","C2",IF(LEFT(AD1233,1)="3","C3",""))))</f>
        <v>C1</v>
      </c>
      <c r="AF1233" t="s" s="35">
        <v>1602</v>
      </c>
      <c r="AG1233" t="s" s="35">
        <v>1607</v>
      </c>
      <c r="AH1233" t="s" s="35">
        <v>1605</v>
      </c>
      <c r="AI1233" t="s" s="35">
        <v>1623</v>
      </c>
      <c r="AJ1233" t="s" s="35">
        <v>1607</v>
      </c>
      <c r="AK1233" s="39"/>
      <c r="AL1233" s="39"/>
      <c r="AM1233" s="39"/>
      <c r="AN1233" s="39"/>
      <c r="AO1233" s="39"/>
      <c r="AP1233" s="39"/>
      <c r="AQ1233" s="39"/>
      <c r="AR1233" s="39"/>
      <c r="AS1233" s="39"/>
      <c r="AT1233" s="39"/>
      <c r="AU1233" s="39"/>
      <c r="AV1233" s="39"/>
      <c r="AW1233" t="str" s="39" cm="1">
        <f t="array" ref="AW1233">AF1233&amp;"; "&amp;AG1233&amp;"; "&amp;AH1233&amp;"; "&amp;AI1233&amp;"; "&amp;AJ1233</f>
        <v>E1; E3; E2; D4; E3</v>
      </c>
    </row>
    <row r="1234" ht="13.65" customHeight="1">
      <c r="A1234" t="s" s="35">
        <v>7494</v>
      </c>
      <c r="B1234" s="36">
        <v>11</v>
      </c>
      <c r="C1234" t="s" s="35">
        <v>210</v>
      </c>
      <c r="D1234" t="s" s="35">
        <v>7000</v>
      </c>
      <c r="E1234" t="s" s="35">
        <v>7275</v>
      </c>
      <c r="F1234" s="36">
        <v>64</v>
      </c>
      <c r="G1234" t="s" s="35">
        <v>7490</v>
      </c>
      <c r="H1234" t="s" s="35">
        <v>7491</v>
      </c>
      <c r="I1234" t="s" s="120">
        <v>7495</v>
      </c>
      <c r="J1234" t="s" s="35">
        <v>6185</v>
      </c>
      <c r="K1234" t="s" s="35">
        <v>1058</v>
      </c>
      <c r="L1234" s="39"/>
      <c r="M1234" t="str" s="39">
        <v>Sin marco</v>
      </c>
      <c r="N1234" t="str" s="39">
        <v>Sin marco</v>
      </c>
      <c r="O1234" t="str" s="39" cm="1">
        <f t="array" ref="O1234">IF(L1234="","",_xlfn.IFERROR(INDEX('Datos - Catálogo TIMSS'!$C$5:$C$107,MATCH(L1234,'Datos - Catálogo TIMSS'!$A$5:$A$107,0)),"?"))</f>
      </c>
      <c r="P1234" t="s" s="35">
        <v>1058</v>
      </c>
      <c r="Q1234" t="s" s="120">
        <v>6186</v>
      </c>
      <c r="R1234" t="s" s="120">
        <v>7496</v>
      </c>
      <c r="S1234" s="121" cm="1">
        <f t="array" ref="S1234">_xlfn.IFERROR(ISNUMBER(SEARCH("Conocer",$R1234))/(ISNUMBER(SEARCH("Conocer",$R1234))+ISNUMBER(SEARCH("Aplicar",$R1234))+ISNUMBER(SEARCH("Razonar",$R1234))),0)</f>
        <v>0</v>
      </c>
      <c r="T1234" s="121" cm="1">
        <f t="array" ref="T1234">_xlfn.IFERROR(ISNUMBER(SEARCH("Aplicar",$R1234))/(ISNUMBER(SEARCH("Conocer",$R1234))+ISNUMBER(SEARCH("Aplicar",$R1234))+ISNUMBER(SEARCH("Razonar",$R1234))),0)</f>
        <v>0.5</v>
      </c>
      <c r="U1234" s="121" cm="1">
        <f t="array" ref="U1234">_xlfn.IFERROR(ISNUMBER(SEARCH("Razonar",$R1234))/(ISNUMBER(SEARCH("Conocer",$R1234))+ISNUMBER(SEARCH("Aplicar",$R1234))+ISNUMBER(SEARCH("Razonar",$R1234))),0)</f>
        <v>0.5</v>
      </c>
      <c r="V1234" t="s" s="35">
        <v>1409</v>
      </c>
      <c r="W1234" t="s" s="35">
        <v>7006</v>
      </c>
      <c r="X1234" s="36" cm="1">
        <f t="array" ref="X1234">IF(OR(_xlfn.IFERROR(INDEX('Datos - Catálogo TIMSS'!$I$5:$I$107,MATCH(K1234,'Datos - Catálogo TIMSS'!$A$5:$A$107,0)),"No")="Sí",_xlfn.IFERROR(INDEX('Datos - Catálogo TIMSS'!$I$5:$I$107,MATCH(L1234,'Datos - Catálogo TIMSS'!$A$5:$A$107,0)),"No")="Sí"),1,0)</f>
        <v>0</v>
      </c>
      <c r="Y1234" s="36" cm="1">
        <f t="array" ref="Y1234">IF(_xlfn.IFERROR(INDEX('Datos - Catálogo TIMSS'!$J$5:$J$107,MATCH(K1234,'Datos - Catálogo TIMSS'!$A$5:$A$107,0)),"No")="Sí",1,0)</f>
        <v>0</v>
      </c>
      <c r="Z1234" s="36" cm="1">
        <f t="array" ref="Z1234">IF(_xlfn.IFERROR(INDEX('Datos - Catálogo TIMSS'!$J$5:$J$107,MATCH(L1234,'Datos - Catálogo TIMSS'!$A$5:$A$107,0)),"No")="Sí",1,0)</f>
        <v>0</v>
      </c>
      <c r="AA1234" t="s" s="35">
        <v>1058</v>
      </c>
      <c r="AB1234" s="39"/>
      <c r="AC1234" t="str" s="39">
        <v>Sin marco</v>
      </c>
      <c r="AD1234" t="s" s="35">
        <v>1834</v>
      </c>
      <c r="AE1234" t="str" s="39" cm="1">
        <f t="array" ref="AE1234">IF(AD1234="","",IF(LEFT(AD1234,1)="1","C1",IF(LEFT(AD1234,1)="2","C2",IF(LEFT(AD1234,1)="3","C3",""))))</f>
        <v>C2</v>
      </c>
      <c r="AF1234" t="s" s="35">
        <v>1602</v>
      </c>
      <c r="AG1234" t="s" s="35">
        <v>1617</v>
      </c>
      <c r="AH1234" t="s" s="35">
        <v>1605</v>
      </c>
      <c r="AI1234" t="s" s="35">
        <v>1623</v>
      </c>
      <c r="AJ1234" t="s" s="35">
        <v>1621</v>
      </c>
      <c r="AK1234" s="39"/>
      <c r="AL1234" s="39"/>
      <c r="AM1234" s="39"/>
      <c r="AN1234" s="39"/>
      <c r="AO1234" s="39"/>
      <c r="AP1234" s="39"/>
      <c r="AQ1234" s="39"/>
      <c r="AR1234" s="39"/>
      <c r="AS1234" s="39"/>
      <c r="AT1234" s="39"/>
      <c r="AU1234" s="39"/>
      <c r="AV1234" s="39"/>
      <c r="AW1234" t="str" s="39" cm="1">
        <f t="array" ref="AW1234">AF1234&amp;"; "&amp;AG1234&amp;"; "&amp;AH1234&amp;"; "&amp;AI1234&amp;"; "&amp;AJ1234</f>
        <v>E1; D1; E2; D4; D3</v>
      </c>
    </row>
    <row r="1235" ht="13.65" customHeight="1">
      <c r="A1235" t="s" s="35">
        <v>7497</v>
      </c>
      <c r="B1235" s="36">
        <v>11</v>
      </c>
      <c r="C1235" t="s" s="35">
        <v>210</v>
      </c>
      <c r="D1235" t="s" s="35">
        <v>7000</v>
      </c>
      <c r="E1235" t="s" s="35">
        <v>7275</v>
      </c>
      <c r="F1235" s="36">
        <v>65</v>
      </c>
      <c r="G1235" t="s" s="35">
        <v>7490</v>
      </c>
      <c r="H1235" t="s" s="35">
        <v>7491</v>
      </c>
      <c r="I1235" t="s" s="120">
        <v>7498</v>
      </c>
      <c r="J1235" t="s" s="35">
        <v>6185</v>
      </c>
      <c r="K1235" t="s" s="35">
        <v>1058</v>
      </c>
      <c r="L1235" s="39"/>
      <c r="M1235" t="str" s="39">
        <v>Sin marco</v>
      </c>
      <c r="N1235" t="str" s="39">
        <v>Sin marco</v>
      </c>
      <c r="O1235" t="str" s="39" cm="1">
        <f t="array" ref="O1235">IF(L1235="","",_xlfn.IFERROR(INDEX('Datos - Catálogo TIMSS'!$C$5:$C$107,MATCH(L1235,'Datos - Catálogo TIMSS'!$A$5:$A$107,0)),"?"))</f>
      </c>
      <c r="P1235" t="s" s="35">
        <v>1058</v>
      </c>
      <c r="Q1235" t="s" s="120">
        <v>6186</v>
      </c>
      <c r="R1235" t="s" s="120">
        <v>7499</v>
      </c>
      <c r="S1235" s="121" cm="1">
        <f t="array" ref="S1235">_xlfn.IFERROR(ISNUMBER(SEARCH("Conocer",$R1235))/(ISNUMBER(SEARCH("Conocer",$R1235))+ISNUMBER(SEARCH("Aplicar",$R1235))+ISNUMBER(SEARCH("Razonar",$R1235))),0)</f>
        <v>0</v>
      </c>
      <c r="T1235" s="121" cm="1">
        <f t="array" ref="T1235">_xlfn.IFERROR(ISNUMBER(SEARCH("Aplicar",$R1235))/(ISNUMBER(SEARCH("Conocer",$R1235))+ISNUMBER(SEARCH("Aplicar",$R1235))+ISNUMBER(SEARCH("Razonar",$R1235))),0)</f>
        <v>0.5</v>
      </c>
      <c r="U1235" s="121" cm="1">
        <f t="array" ref="U1235">_xlfn.IFERROR(ISNUMBER(SEARCH("Razonar",$R1235))/(ISNUMBER(SEARCH("Conocer",$R1235))+ISNUMBER(SEARCH("Aplicar",$R1235))+ISNUMBER(SEARCH("Razonar",$R1235))),0)</f>
        <v>0.5</v>
      </c>
      <c r="V1235" t="s" s="35">
        <v>1409</v>
      </c>
      <c r="W1235" t="s" s="35">
        <v>7006</v>
      </c>
      <c r="X1235" s="36" cm="1">
        <f t="array" ref="X1235">IF(OR(_xlfn.IFERROR(INDEX('Datos - Catálogo TIMSS'!$I$5:$I$107,MATCH(K1235,'Datos - Catálogo TIMSS'!$A$5:$A$107,0)),"No")="Sí",_xlfn.IFERROR(INDEX('Datos - Catálogo TIMSS'!$I$5:$I$107,MATCH(L1235,'Datos - Catálogo TIMSS'!$A$5:$A$107,0)),"No")="Sí"),1,0)</f>
        <v>0</v>
      </c>
      <c r="Y1235" s="36" cm="1">
        <f t="array" ref="Y1235">IF(_xlfn.IFERROR(INDEX('Datos - Catálogo TIMSS'!$J$5:$J$107,MATCH(K1235,'Datos - Catálogo TIMSS'!$A$5:$A$107,0)),"No")="Sí",1,0)</f>
        <v>0</v>
      </c>
      <c r="Z1235" s="36" cm="1">
        <f t="array" ref="Z1235">IF(_xlfn.IFERROR(INDEX('Datos - Catálogo TIMSS'!$J$5:$J$107,MATCH(L1235,'Datos - Catálogo TIMSS'!$A$5:$A$107,0)),"No")="Sí",1,0)</f>
        <v>0</v>
      </c>
      <c r="AA1235" t="s" s="35">
        <v>1058</v>
      </c>
      <c r="AB1235" s="39"/>
      <c r="AC1235" t="str" s="39">
        <v>Sin marco</v>
      </c>
      <c r="AD1235" t="s" s="35">
        <v>1859</v>
      </c>
      <c r="AE1235" t="str" s="39" cm="1">
        <f t="array" ref="AE1235">IF(AD1235="","",IF(LEFT(AD1235,1)="1","C1",IF(LEFT(AD1235,1)="2","C2",IF(LEFT(AD1235,1)="3","C3",""))))</f>
        <v>C1</v>
      </c>
      <c r="AF1235" t="s" s="35">
        <v>1615</v>
      </c>
      <c r="AG1235" t="s" s="35">
        <v>1607</v>
      </c>
      <c r="AH1235" t="s" s="35">
        <v>1602</v>
      </c>
      <c r="AI1235" t="s" s="35">
        <v>1629</v>
      </c>
      <c r="AJ1235" t="s" s="35">
        <v>1607</v>
      </c>
      <c r="AK1235" s="39"/>
      <c r="AL1235" s="39"/>
      <c r="AM1235" s="39"/>
      <c r="AN1235" s="39"/>
      <c r="AO1235" s="39"/>
      <c r="AP1235" s="39"/>
      <c r="AQ1235" s="39"/>
      <c r="AR1235" s="39"/>
      <c r="AS1235" s="39"/>
      <c r="AT1235" s="39"/>
      <c r="AU1235" s="39"/>
      <c r="AV1235" s="39"/>
      <c r="AW1235" t="str" s="39" cm="1">
        <f t="array" ref="AW1235">AF1235&amp;"; "&amp;AG1235&amp;"; "&amp;AH1235&amp;"; "&amp;AI1235&amp;"; "&amp;AJ1235</f>
        <v>E6; E3; E1; I3; E3</v>
      </c>
    </row>
    <row r="1236" ht="13.65" customHeight="1">
      <c r="A1236" t="s" s="35">
        <v>7501</v>
      </c>
      <c r="B1236" s="36">
        <v>11</v>
      </c>
      <c r="C1236" t="s" s="35">
        <v>210</v>
      </c>
      <c r="D1236" t="s" s="35">
        <v>7000</v>
      </c>
      <c r="E1236" t="s" s="35">
        <v>7275</v>
      </c>
      <c r="F1236" s="36">
        <v>66</v>
      </c>
      <c r="G1236" t="s" s="35">
        <v>7490</v>
      </c>
      <c r="H1236" t="s" s="35">
        <v>7502</v>
      </c>
      <c r="I1236" t="s" s="120">
        <v>7503</v>
      </c>
      <c r="J1236" t="s" s="35">
        <v>6185</v>
      </c>
      <c r="K1236" t="s" s="35">
        <v>1058</v>
      </c>
      <c r="L1236" s="39"/>
      <c r="M1236" t="str" s="39">
        <v>Sin marco</v>
      </c>
      <c r="N1236" t="str" s="39">
        <v>Sin marco</v>
      </c>
      <c r="O1236" t="str" s="39" cm="1">
        <f t="array" ref="O1236">IF(L1236="","",_xlfn.IFERROR(INDEX('Datos - Catálogo TIMSS'!$C$5:$C$107,MATCH(L1236,'Datos - Catálogo TIMSS'!$A$5:$A$107,0)),"?"))</f>
      </c>
      <c r="P1236" t="s" s="35">
        <v>1058</v>
      </c>
      <c r="Q1236" t="s" s="120">
        <v>6186</v>
      </c>
      <c r="R1236" t="s" s="120">
        <v>7504</v>
      </c>
      <c r="S1236" s="121" cm="1">
        <f t="array" ref="S1236">_xlfn.IFERROR(ISNUMBER(SEARCH("Conocer",$R1236))/(ISNUMBER(SEARCH("Conocer",$R1236))+ISNUMBER(SEARCH("Aplicar",$R1236))+ISNUMBER(SEARCH("Razonar",$R1236))),0)</f>
        <v>0.5</v>
      </c>
      <c r="T1236" s="121" cm="1">
        <f t="array" ref="T1236">_xlfn.IFERROR(ISNUMBER(SEARCH("Aplicar",$R1236))/(ISNUMBER(SEARCH("Conocer",$R1236))+ISNUMBER(SEARCH("Aplicar",$R1236))+ISNUMBER(SEARCH("Razonar",$R1236))),0)</f>
        <v>0</v>
      </c>
      <c r="U1236" s="121" cm="1">
        <f t="array" ref="U1236">_xlfn.IFERROR(ISNUMBER(SEARCH("Razonar",$R1236))/(ISNUMBER(SEARCH("Conocer",$R1236))+ISNUMBER(SEARCH("Aplicar",$R1236))+ISNUMBER(SEARCH("Razonar",$R1236))),0)</f>
        <v>0.5</v>
      </c>
      <c r="V1236" t="s" s="35">
        <v>1409</v>
      </c>
      <c r="W1236" t="s" s="35">
        <v>7006</v>
      </c>
      <c r="X1236" s="36" cm="1">
        <f t="array" ref="X1236">IF(OR(_xlfn.IFERROR(INDEX('Datos - Catálogo TIMSS'!$I$5:$I$107,MATCH(K1236,'Datos - Catálogo TIMSS'!$A$5:$A$107,0)),"No")="Sí",_xlfn.IFERROR(INDEX('Datos - Catálogo TIMSS'!$I$5:$I$107,MATCH(L1236,'Datos - Catálogo TIMSS'!$A$5:$A$107,0)),"No")="Sí"),1,0)</f>
        <v>0</v>
      </c>
      <c r="Y1236" s="36" cm="1">
        <f t="array" ref="Y1236">IF(_xlfn.IFERROR(INDEX('Datos - Catálogo TIMSS'!$J$5:$J$107,MATCH(K1236,'Datos - Catálogo TIMSS'!$A$5:$A$107,0)),"No")="Sí",1,0)</f>
        <v>0</v>
      </c>
      <c r="Z1236" s="36" cm="1">
        <f t="array" ref="Z1236">IF(_xlfn.IFERROR(INDEX('Datos - Catálogo TIMSS'!$J$5:$J$107,MATCH(L1236,'Datos - Catálogo TIMSS'!$A$5:$A$107,0)),"No")="Sí",1,0)</f>
        <v>0</v>
      </c>
      <c r="AA1236" t="s" s="35">
        <v>1058</v>
      </c>
      <c r="AB1236" s="39"/>
      <c r="AC1236" t="str" s="39">
        <v>Sin marco</v>
      </c>
      <c r="AD1236" t="s" s="35">
        <v>1859</v>
      </c>
      <c r="AE1236" t="str" s="39" cm="1">
        <f t="array" ref="AE1236">IF(AD1236="","",IF(LEFT(AD1236,1)="1","C1",IF(LEFT(AD1236,1)="2","C2",IF(LEFT(AD1236,1)="3","C3",""))))</f>
        <v>C1</v>
      </c>
      <c r="AF1236" t="s" s="35">
        <v>1602</v>
      </c>
      <c r="AG1236" t="s" s="35">
        <v>1612</v>
      </c>
      <c r="AH1236" t="s" s="35">
        <v>1609</v>
      </c>
      <c r="AI1236" t="s" s="35">
        <v>1625</v>
      </c>
      <c r="AJ1236" t="s" s="35">
        <v>1627</v>
      </c>
      <c r="AK1236" s="39"/>
      <c r="AL1236" s="39"/>
      <c r="AM1236" s="39"/>
      <c r="AN1236" s="39"/>
      <c r="AO1236" s="39"/>
      <c r="AP1236" s="39"/>
      <c r="AQ1236" s="39"/>
      <c r="AR1236" s="39"/>
      <c r="AS1236" s="39"/>
      <c r="AT1236" s="39"/>
      <c r="AU1236" s="39"/>
      <c r="AV1236" s="39"/>
      <c r="AW1236" t="str" s="39" cm="1">
        <f t="array" ref="AW1236">AF1236&amp;"; "&amp;AG1236&amp;"; "&amp;AH1236&amp;"; "&amp;AI1236&amp;"; "&amp;AJ1236</f>
        <v>E1; E5; E4; I1; I2</v>
      </c>
    </row>
    <row r="1237" ht="13.65" customHeight="1">
      <c r="A1237" t="s" s="35">
        <v>7506</v>
      </c>
      <c r="B1237" s="36">
        <v>11</v>
      </c>
      <c r="C1237" t="s" s="35">
        <v>210</v>
      </c>
      <c r="D1237" t="s" s="35">
        <v>7000</v>
      </c>
      <c r="E1237" t="s" s="35">
        <v>7275</v>
      </c>
      <c r="F1237" s="36">
        <v>67</v>
      </c>
      <c r="G1237" t="s" s="35">
        <v>7490</v>
      </c>
      <c r="H1237" t="s" s="35">
        <v>7502</v>
      </c>
      <c r="I1237" t="s" s="120">
        <v>7507</v>
      </c>
      <c r="J1237" t="s" s="35">
        <v>6185</v>
      </c>
      <c r="K1237" t="s" s="35">
        <v>1058</v>
      </c>
      <c r="L1237" s="39"/>
      <c r="M1237" t="str" s="39">
        <v>Sin marco</v>
      </c>
      <c r="N1237" t="str" s="39">
        <v>Sin marco</v>
      </c>
      <c r="O1237" t="str" s="39" cm="1">
        <f t="array" ref="O1237">IF(L1237="","",_xlfn.IFERROR(INDEX('Datos - Catálogo TIMSS'!$C$5:$C$107,MATCH(L1237,'Datos - Catálogo TIMSS'!$A$5:$A$107,0)),"?"))</f>
      </c>
      <c r="P1237" t="s" s="35">
        <v>1058</v>
      </c>
      <c r="Q1237" t="s" s="120">
        <v>6186</v>
      </c>
      <c r="R1237" t="s" s="120">
        <v>7508</v>
      </c>
      <c r="S1237" s="121" cm="1">
        <f t="array" ref="S1237">_xlfn.IFERROR(ISNUMBER(SEARCH("Conocer",$R1237))/(ISNUMBER(SEARCH("Conocer",$R1237))+ISNUMBER(SEARCH("Aplicar",$R1237))+ISNUMBER(SEARCH("Razonar",$R1237))),0)</f>
        <v>0.5</v>
      </c>
      <c r="T1237" s="121" cm="1">
        <f t="array" ref="T1237">_xlfn.IFERROR(ISNUMBER(SEARCH("Aplicar",$R1237))/(ISNUMBER(SEARCH("Conocer",$R1237))+ISNUMBER(SEARCH("Aplicar",$R1237))+ISNUMBER(SEARCH("Razonar",$R1237))),0)</f>
        <v>0</v>
      </c>
      <c r="U1237" s="121" cm="1">
        <f t="array" ref="U1237">_xlfn.IFERROR(ISNUMBER(SEARCH("Razonar",$R1237))/(ISNUMBER(SEARCH("Conocer",$R1237))+ISNUMBER(SEARCH("Aplicar",$R1237))+ISNUMBER(SEARCH("Razonar",$R1237))),0)</f>
        <v>0.5</v>
      </c>
      <c r="V1237" t="s" s="35">
        <v>1409</v>
      </c>
      <c r="W1237" t="s" s="35">
        <v>7006</v>
      </c>
      <c r="X1237" s="36" cm="1">
        <f t="array" ref="X1237">IF(OR(_xlfn.IFERROR(INDEX('Datos - Catálogo TIMSS'!$I$5:$I$107,MATCH(K1237,'Datos - Catálogo TIMSS'!$A$5:$A$107,0)),"No")="Sí",_xlfn.IFERROR(INDEX('Datos - Catálogo TIMSS'!$I$5:$I$107,MATCH(L1237,'Datos - Catálogo TIMSS'!$A$5:$A$107,0)),"No")="Sí"),1,0)</f>
        <v>0</v>
      </c>
      <c r="Y1237" s="36" cm="1">
        <f t="array" ref="Y1237">IF(_xlfn.IFERROR(INDEX('Datos - Catálogo TIMSS'!$J$5:$J$107,MATCH(K1237,'Datos - Catálogo TIMSS'!$A$5:$A$107,0)),"No")="Sí",1,0)</f>
        <v>0</v>
      </c>
      <c r="Z1237" s="36" cm="1">
        <f t="array" ref="Z1237">IF(_xlfn.IFERROR(INDEX('Datos - Catálogo TIMSS'!$J$5:$J$107,MATCH(L1237,'Datos - Catálogo TIMSS'!$A$5:$A$107,0)),"No")="Sí",1,0)</f>
        <v>0</v>
      </c>
      <c r="AA1237" t="s" s="35">
        <v>1058</v>
      </c>
      <c r="AB1237" s="39"/>
      <c r="AC1237" t="str" s="39">
        <v>Sin marco</v>
      </c>
      <c r="AD1237" t="s" s="35">
        <v>1859</v>
      </c>
      <c r="AE1237" t="str" s="39" cm="1">
        <f t="array" ref="AE1237">IF(AD1237="","",IF(LEFT(AD1237,1)="1","C1",IF(LEFT(AD1237,1)="2","C2",IF(LEFT(AD1237,1)="3","C3",""))))</f>
        <v>C1</v>
      </c>
      <c r="AF1237" t="s" s="35">
        <v>1615</v>
      </c>
      <c r="AG1237" t="s" s="35">
        <v>1617</v>
      </c>
      <c r="AH1237" t="s" s="35">
        <v>1602</v>
      </c>
      <c r="AI1237" t="s" s="35">
        <v>1623</v>
      </c>
      <c r="AJ1237" t="s" s="35">
        <v>1631</v>
      </c>
      <c r="AK1237" s="39"/>
      <c r="AL1237" s="39"/>
      <c r="AM1237" s="39"/>
      <c r="AN1237" s="39"/>
      <c r="AO1237" s="39"/>
      <c r="AP1237" s="39"/>
      <c r="AQ1237" s="39"/>
      <c r="AR1237" s="39"/>
      <c r="AS1237" s="39"/>
      <c r="AT1237" s="39"/>
      <c r="AU1237" s="39"/>
      <c r="AV1237" s="39"/>
      <c r="AW1237" t="str" s="39" cm="1">
        <f t="array" ref="AW1237">AF1237&amp;"; "&amp;AG1237&amp;"; "&amp;AH1237&amp;"; "&amp;AI1237&amp;"; "&amp;AJ1237</f>
        <v>E6; D1; E1; D4; I4</v>
      </c>
    </row>
    <row r="1238" ht="13.65" customHeight="1">
      <c r="A1238" t="s" s="35">
        <v>7510</v>
      </c>
      <c r="B1238" s="36">
        <v>11</v>
      </c>
      <c r="C1238" t="s" s="35">
        <v>210</v>
      </c>
      <c r="D1238" t="s" s="35">
        <v>7000</v>
      </c>
      <c r="E1238" t="s" s="35">
        <v>7275</v>
      </c>
      <c r="F1238" s="36">
        <v>68</v>
      </c>
      <c r="G1238" t="s" s="35">
        <v>7490</v>
      </c>
      <c r="H1238" t="s" s="35">
        <v>7502</v>
      </c>
      <c r="I1238" t="s" s="120">
        <v>7511</v>
      </c>
      <c r="J1238" t="s" s="35">
        <v>6185</v>
      </c>
      <c r="K1238" t="s" s="35">
        <v>1058</v>
      </c>
      <c r="L1238" s="39"/>
      <c r="M1238" t="str" s="39">
        <v>Sin marco</v>
      </c>
      <c r="N1238" t="str" s="39">
        <v>Sin marco</v>
      </c>
      <c r="O1238" t="str" s="39" cm="1">
        <f t="array" ref="O1238">IF(L1238="","",_xlfn.IFERROR(INDEX('Datos - Catálogo TIMSS'!$C$5:$C$107,MATCH(L1238,'Datos - Catálogo TIMSS'!$A$5:$A$107,0)),"?"))</f>
      </c>
      <c r="P1238" t="s" s="35">
        <v>1058</v>
      </c>
      <c r="Q1238" t="s" s="120">
        <v>6186</v>
      </c>
      <c r="R1238" t="s" s="120">
        <v>7512</v>
      </c>
      <c r="S1238" s="121" cm="1">
        <f t="array" ref="S1238">_xlfn.IFERROR(ISNUMBER(SEARCH("Conocer",$R1238))/(ISNUMBER(SEARCH("Conocer",$R1238))+ISNUMBER(SEARCH("Aplicar",$R1238))+ISNUMBER(SEARCH("Razonar",$R1238))),0)</f>
        <v>0.333333333333333</v>
      </c>
      <c r="T1238" s="121" cm="1">
        <f t="array" ref="T1238">_xlfn.IFERROR(ISNUMBER(SEARCH("Aplicar",$R1238))/(ISNUMBER(SEARCH("Conocer",$R1238))+ISNUMBER(SEARCH("Aplicar",$R1238))+ISNUMBER(SEARCH("Razonar",$R1238))),0)</f>
        <v>0.333333333333333</v>
      </c>
      <c r="U1238" s="121" cm="1">
        <f t="array" ref="U1238">_xlfn.IFERROR(ISNUMBER(SEARCH("Razonar",$R1238))/(ISNUMBER(SEARCH("Conocer",$R1238))+ISNUMBER(SEARCH("Aplicar",$R1238))+ISNUMBER(SEARCH("Razonar",$R1238))),0)</f>
        <v>0.333333333333333</v>
      </c>
      <c r="V1238" t="s" s="35">
        <v>1409</v>
      </c>
      <c r="W1238" t="s" s="35">
        <v>7006</v>
      </c>
      <c r="X1238" s="36" cm="1">
        <f t="array" ref="X1238">IF(OR(_xlfn.IFERROR(INDEX('Datos - Catálogo TIMSS'!$I$5:$I$107,MATCH(K1238,'Datos - Catálogo TIMSS'!$A$5:$A$107,0)),"No")="Sí",_xlfn.IFERROR(INDEX('Datos - Catálogo TIMSS'!$I$5:$I$107,MATCH(L1238,'Datos - Catálogo TIMSS'!$A$5:$A$107,0)),"No")="Sí"),1,0)</f>
        <v>0</v>
      </c>
      <c r="Y1238" s="36" cm="1">
        <f t="array" ref="Y1238">IF(_xlfn.IFERROR(INDEX('Datos - Catálogo TIMSS'!$J$5:$J$107,MATCH(K1238,'Datos - Catálogo TIMSS'!$A$5:$A$107,0)),"No")="Sí",1,0)</f>
        <v>0</v>
      </c>
      <c r="Z1238" s="36" cm="1">
        <f t="array" ref="Z1238">IF(_xlfn.IFERROR(INDEX('Datos - Catálogo TIMSS'!$J$5:$J$107,MATCH(L1238,'Datos - Catálogo TIMSS'!$A$5:$A$107,0)),"No")="Sí",1,0)</f>
        <v>0</v>
      </c>
      <c r="AA1238" t="s" s="35">
        <v>1058</v>
      </c>
      <c r="AB1238" s="39"/>
      <c r="AC1238" t="str" s="39">
        <v>Sin marco</v>
      </c>
      <c r="AD1238" t="s" s="35">
        <v>1859</v>
      </c>
      <c r="AE1238" t="str" s="39" cm="1">
        <f t="array" ref="AE1238">IF(AD1238="","",IF(LEFT(AD1238,1)="1","C1",IF(LEFT(AD1238,1)="2","C2",IF(LEFT(AD1238,1)="3","C3",""))))</f>
        <v>C1</v>
      </c>
      <c r="AF1238" t="s" s="35">
        <v>1602</v>
      </c>
      <c r="AG1238" t="s" s="35">
        <v>1612</v>
      </c>
      <c r="AH1238" t="s" s="35">
        <v>1609</v>
      </c>
      <c r="AI1238" t="s" s="35">
        <v>1625</v>
      </c>
      <c r="AJ1238" t="s" s="35">
        <v>1607</v>
      </c>
      <c r="AK1238" s="39"/>
      <c r="AL1238" s="39"/>
      <c r="AM1238" s="39"/>
      <c r="AN1238" s="39"/>
      <c r="AO1238" s="39"/>
      <c r="AP1238" s="39"/>
      <c r="AQ1238" s="39"/>
      <c r="AR1238" s="39"/>
      <c r="AS1238" s="39"/>
      <c r="AT1238" s="39"/>
      <c r="AU1238" s="39"/>
      <c r="AV1238" s="39"/>
      <c r="AW1238" t="str" s="39" cm="1">
        <f t="array" ref="AW1238">AF1238&amp;"; "&amp;AG1238&amp;"; "&amp;AH1238&amp;"; "&amp;AI1238&amp;"; "&amp;AJ1238</f>
        <v>E1; E5; E4; I1; E3</v>
      </c>
    </row>
    <row r="1239" ht="13.65" customHeight="1">
      <c r="A1239" t="s" s="35">
        <v>7513</v>
      </c>
      <c r="B1239" s="36">
        <v>11</v>
      </c>
      <c r="C1239" t="s" s="35">
        <v>210</v>
      </c>
      <c r="D1239" t="s" s="35">
        <v>7000</v>
      </c>
      <c r="E1239" t="s" s="35">
        <v>7275</v>
      </c>
      <c r="F1239" s="36">
        <v>69</v>
      </c>
      <c r="G1239" t="s" s="35">
        <v>7490</v>
      </c>
      <c r="H1239" t="s" s="35">
        <v>7514</v>
      </c>
      <c r="I1239" t="s" s="120">
        <v>7515</v>
      </c>
      <c r="J1239" t="s" s="35">
        <v>6185</v>
      </c>
      <c r="K1239" t="s" s="35">
        <v>1058</v>
      </c>
      <c r="L1239" s="39"/>
      <c r="M1239" t="str" s="39">
        <v>Sin marco</v>
      </c>
      <c r="N1239" t="str" s="39">
        <v>Sin marco</v>
      </c>
      <c r="O1239" t="str" s="39" cm="1">
        <f t="array" ref="O1239">IF(L1239="","",_xlfn.IFERROR(INDEX('Datos - Catálogo TIMSS'!$C$5:$C$107,MATCH(L1239,'Datos - Catálogo TIMSS'!$A$5:$A$107,0)),"?"))</f>
      </c>
      <c r="P1239" t="s" s="35">
        <v>1058</v>
      </c>
      <c r="Q1239" t="s" s="120">
        <v>6186</v>
      </c>
      <c r="R1239" t="s" s="120">
        <v>7516</v>
      </c>
      <c r="S1239" s="121" cm="1">
        <f t="array" ref="S1239">_xlfn.IFERROR(ISNUMBER(SEARCH("Conocer",$R1239))/(ISNUMBER(SEARCH("Conocer",$R1239))+ISNUMBER(SEARCH("Aplicar",$R1239))+ISNUMBER(SEARCH("Razonar",$R1239))),0)</f>
        <v>0</v>
      </c>
      <c r="T1239" s="121" cm="1">
        <f t="array" ref="T1239">_xlfn.IFERROR(ISNUMBER(SEARCH("Aplicar",$R1239))/(ISNUMBER(SEARCH("Conocer",$R1239))+ISNUMBER(SEARCH("Aplicar",$R1239))+ISNUMBER(SEARCH("Razonar",$R1239))),0)</f>
        <v>0.5</v>
      </c>
      <c r="U1239" s="121" cm="1">
        <f t="array" ref="U1239">_xlfn.IFERROR(ISNUMBER(SEARCH("Razonar",$R1239))/(ISNUMBER(SEARCH("Conocer",$R1239))+ISNUMBER(SEARCH("Aplicar",$R1239))+ISNUMBER(SEARCH("Razonar",$R1239))),0)</f>
        <v>0.5</v>
      </c>
      <c r="V1239" t="s" s="35">
        <v>1409</v>
      </c>
      <c r="W1239" t="s" s="35">
        <v>7006</v>
      </c>
      <c r="X1239" s="36" cm="1">
        <f t="array" ref="X1239">IF(OR(_xlfn.IFERROR(INDEX('Datos - Catálogo TIMSS'!$I$5:$I$107,MATCH(K1239,'Datos - Catálogo TIMSS'!$A$5:$A$107,0)),"No")="Sí",_xlfn.IFERROR(INDEX('Datos - Catálogo TIMSS'!$I$5:$I$107,MATCH(L1239,'Datos - Catálogo TIMSS'!$A$5:$A$107,0)),"No")="Sí"),1,0)</f>
        <v>0</v>
      </c>
      <c r="Y1239" s="36" cm="1">
        <f t="array" ref="Y1239">IF(_xlfn.IFERROR(INDEX('Datos - Catálogo TIMSS'!$J$5:$J$107,MATCH(K1239,'Datos - Catálogo TIMSS'!$A$5:$A$107,0)),"No")="Sí",1,0)</f>
        <v>0</v>
      </c>
      <c r="Z1239" s="36" cm="1">
        <f t="array" ref="Z1239">IF(_xlfn.IFERROR(INDEX('Datos - Catálogo TIMSS'!$J$5:$J$107,MATCH(L1239,'Datos - Catálogo TIMSS'!$A$5:$A$107,0)),"No")="Sí",1,0)</f>
        <v>0</v>
      </c>
      <c r="AA1239" t="s" s="35">
        <v>1058</v>
      </c>
      <c r="AB1239" s="39"/>
      <c r="AC1239" t="str" s="39">
        <v>Sin marco</v>
      </c>
      <c r="AD1239" t="s" s="35">
        <v>1834</v>
      </c>
      <c r="AE1239" t="str" s="39" cm="1">
        <f t="array" ref="AE1239">IF(AD1239="","",IF(LEFT(AD1239,1)="1","C1",IF(LEFT(AD1239,1)="2","C2",IF(LEFT(AD1239,1)="3","C3",""))))</f>
        <v>C2</v>
      </c>
      <c r="AF1239" t="s" s="35">
        <v>1602</v>
      </c>
      <c r="AG1239" t="s" s="35">
        <v>1617</v>
      </c>
      <c r="AH1239" t="s" s="35">
        <v>1602</v>
      </c>
      <c r="AI1239" t="s" s="35">
        <v>1623</v>
      </c>
      <c r="AJ1239" t="s" s="35">
        <v>1621</v>
      </c>
      <c r="AK1239" s="39"/>
      <c r="AL1239" s="39"/>
      <c r="AM1239" s="39"/>
      <c r="AN1239" s="39"/>
      <c r="AO1239" s="39"/>
      <c r="AP1239" s="39"/>
      <c r="AQ1239" s="39"/>
      <c r="AR1239" s="39"/>
      <c r="AS1239" s="39"/>
      <c r="AT1239" s="39"/>
      <c r="AU1239" s="39"/>
      <c r="AV1239" s="39"/>
      <c r="AW1239" t="str" s="39" cm="1">
        <f t="array" ref="AW1239">AF1239&amp;"; "&amp;AG1239&amp;"; "&amp;AH1239&amp;"; "&amp;AI1239&amp;"; "&amp;AJ1239</f>
        <v>E1; D1; E1; D4; D3</v>
      </c>
    </row>
    <row r="1240" ht="13.65" customHeight="1">
      <c r="A1240" t="s" s="35">
        <v>7517</v>
      </c>
      <c r="B1240" s="36">
        <v>11</v>
      </c>
      <c r="C1240" t="s" s="35">
        <v>210</v>
      </c>
      <c r="D1240" t="s" s="35">
        <v>7000</v>
      </c>
      <c r="E1240" t="s" s="35">
        <v>7275</v>
      </c>
      <c r="F1240" s="36">
        <v>70</v>
      </c>
      <c r="G1240" t="s" s="35">
        <v>7490</v>
      </c>
      <c r="H1240" t="s" s="35">
        <v>7514</v>
      </c>
      <c r="I1240" t="s" s="120">
        <v>7518</v>
      </c>
      <c r="J1240" t="s" s="35">
        <v>6185</v>
      </c>
      <c r="K1240" t="s" s="35">
        <v>1058</v>
      </c>
      <c r="L1240" s="39"/>
      <c r="M1240" t="str" s="39">
        <v>Sin marco</v>
      </c>
      <c r="N1240" t="str" s="39">
        <v>Sin marco</v>
      </c>
      <c r="O1240" t="str" s="39" cm="1">
        <f t="array" ref="O1240">IF(L1240="","",_xlfn.IFERROR(INDEX('Datos - Catálogo TIMSS'!$C$5:$C$107,MATCH(L1240,'Datos - Catálogo TIMSS'!$A$5:$A$107,0)),"?"))</f>
      </c>
      <c r="P1240" t="s" s="35">
        <v>1058</v>
      </c>
      <c r="Q1240" t="s" s="120">
        <v>6186</v>
      </c>
      <c r="R1240" t="s" s="120">
        <v>7519</v>
      </c>
      <c r="S1240" s="121" cm="1">
        <f t="array" ref="S1240">_xlfn.IFERROR(ISNUMBER(SEARCH("Conocer",$R1240))/(ISNUMBER(SEARCH("Conocer",$R1240))+ISNUMBER(SEARCH("Aplicar",$R1240))+ISNUMBER(SEARCH("Razonar",$R1240))),0)</f>
        <v>0</v>
      </c>
      <c r="T1240" s="121" cm="1">
        <f t="array" ref="T1240">_xlfn.IFERROR(ISNUMBER(SEARCH("Aplicar",$R1240))/(ISNUMBER(SEARCH("Conocer",$R1240))+ISNUMBER(SEARCH("Aplicar",$R1240))+ISNUMBER(SEARCH("Razonar",$R1240))),0)</f>
        <v>0.5</v>
      </c>
      <c r="U1240" s="121" cm="1">
        <f t="array" ref="U1240">_xlfn.IFERROR(ISNUMBER(SEARCH("Razonar",$R1240))/(ISNUMBER(SEARCH("Conocer",$R1240))+ISNUMBER(SEARCH("Aplicar",$R1240))+ISNUMBER(SEARCH("Razonar",$R1240))),0)</f>
        <v>0.5</v>
      </c>
      <c r="V1240" t="s" s="35">
        <v>1409</v>
      </c>
      <c r="W1240" t="s" s="35">
        <v>7006</v>
      </c>
      <c r="X1240" s="36" cm="1">
        <f t="array" ref="X1240">IF(OR(_xlfn.IFERROR(INDEX('Datos - Catálogo TIMSS'!$I$5:$I$107,MATCH(K1240,'Datos - Catálogo TIMSS'!$A$5:$A$107,0)),"No")="Sí",_xlfn.IFERROR(INDEX('Datos - Catálogo TIMSS'!$I$5:$I$107,MATCH(L1240,'Datos - Catálogo TIMSS'!$A$5:$A$107,0)),"No")="Sí"),1,0)</f>
        <v>0</v>
      </c>
      <c r="Y1240" s="36" cm="1">
        <f t="array" ref="Y1240">IF(_xlfn.IFERROR(INDEX('Datos - Catálogo TIMSS'!$J$5:$J$107,MATCH(K1240,'Datos - Catálogo TIMSS'!$A$5:$A$107,0)),"No")="Sí",1,0)</f>
        <v>0</v>
      </c>
      <c r="Z1240" s="36" cm="1">
        <f t="array" ref="Z1240">IF(_xlfn.IFERROR(INDEX('Datos - Catálogo TIMSS'!$J$5:$J$107,MATCH(L1240,'Datos - Catálogo TIMSS'!$A$5:$A$107,0)),"No")="Sí",1,0)</f>
        <v>0</v>
      </c>
      <c r="AA1240" t="s" s="35">
        <v>1058</v>
      </c>
      <c r="AB1240" s="39"/>
      <c r="AC1240" t="str" s="39">
        <v>Sin marco</v>
      </c>
      <c r="AD1240" t="s" s="35">
        <v>1834</v>
      </c>
      <c r="AE1240" t="str" s="39" cm="1">
        <f t="array" ref="AE1240">IF(AD1240="","",IF(LEFT(AD1240,1)="1","C1",IF(LEFT(AD1240,1)="2","C2",IF(LEFT(AD1240,1)="3","C3",""))))</f>
        <v>C2</v>
      </c>
      <c r="AF1240" t="s" s="35">
        <v>1615</v>
      </c>
      <c r="AG1240" t="s" s="35">
        <v>1617</v>
      </c>
      <c r="AH1240" t="s" s="35">
        <v>1605</v>
      </c>
      <c r="AI1240" t="s" s="35">
        <v>1623</v>
      </c>
      <c r="AJ1240" t="s" s="35">
        <v>1621</v>
      </c>
      <c r="AK1240" s="39"/>
      <c r="AL1240" s="39"/>
      <c r="AM1240" s="39"/>
      <c r="AN1240" s="39"/>
      <c r="AO1240" s="39"/>
      <c r="AP1240" s="39"/>
      <c r="AQ1240" s="39"/>
      <c r="AR1240" s="39"/>
      <c r="AS1240" s="39"/>
      <c r="AT1240" s="39"/>
      <c r="AU1240" s="39"/>
      <c r="AV1240" s="39"/>
      <c r="AW1240" t="str" s="39" cm="1">
        <f t="array" ref="AW1240">AF1240&amp;"; "&amp;AG1240&amp;"; "&amp;AH1240&amp;"; "&amp;AI1240&amp;"; "&amp;AJ1240</f>
        <v>E6; D1; E2; D4; D3</v>
      </c>
    </row>
    <row r="1241" ht="13.65" customHeight="1">
      <c r="A1241" t="s" s="35">
        <v>7520</v>
      </c>
      <c r="B1241" s="36">
        <v>11</v>
      </c>
      <c r="C1241" t="s" s="35">
        <v>210</v>
      </c>
      <c r="D1241" t="s" s="35">
        <v>7000</v>
      </c>
      <c r="E1241" t="s" s="35">
        <v>7275</v>
      </c>
      <c r="F1241" s="36">
        <v>71</v>
      </c>
      <c r="G1241" t="s" s="35">
        <v>7490</v>
      </c>
      <c r="H1241" t="s" s="35">
        <v>7514</v>
      </c>
      <c r="I1241" t="s" s="120">
        <v>7521</v>
      </c>
      <c r="J1241" t="s" s="35">
        <v>6185</v>
      </c>
      <c r="K1241" t="s" s="35">
        <v>1058</v>
      </c>
      <c r="L1241" s="39"/>
      <c r="M1241" t="str" s="39">
        <v>Sin marco</v>
      </c>
      <c r="N1241" t="str" s="39">
        <v>Sin marco</v>
      </c>
      <c r="O1241" t="str" s="39" cm="1">
        <f t="array" ref="O1241">IF(L1241="","",_xlfn.IFERROR(INDEX('Datos - Catálogo TIMSS'!$C$5:$C$107,MATCH(L1241,'Datos - Catálogo TIMSS'!$A$5:$A$107,0)),"?"))</f>
      </c>
      <c r="P1241" t="s" s="35">
        <v>1058</v>
      </c>
      <c r="Q1241" t="s" s="120">
        <v>6186</v>
      </c>
      <c r="R1241" t="s" s="120">
        <v>7522</v>
      </c>
      <c r="S1241" s="121" cm="1">
        <f t="array" ref="S1241">_xlfn.IFERROR(ISNUMBER(SEARCH("Conocer",$R1241))/(ISNUMBER(SEARCH("Conocer",$R1241))+ISNUMBER(SEARCH("Aplicar",$R1241))+ISNUMBER(SEARCH("Razonar",$R1241))),0)</f>
        <v>0.5</v>
      </c>
      <c r="T1241" s="121" cm="1">
        <f t="array" ref="T1241">_xlfn.IFERROR(ISNUMBER(SEARCH("Aplicar",$R1241))/(ISNUMBER(SEARCH("Conocer",$R1241))+ISNUMBER(SEARCH("Aplicar",$R1241))+ISNUMBER(SEARCH("Razonar",$R1241))),0)</f>
        <v>0</v>
      </c>
      <c r="U1241" s="121" cm="1">
        <f t="array" ref="U1241">_xlfn.IFERROR(ISNUMBER(SEARCH("Razonar",$R1241))/(ISNUMBER(SEARCH("Conocer",$R1241))+ISNUMBER(SEARCH("Aplicar",$R1241))+ISNUMBER(SEARCH("Razonar",$R1241))),0)</f>
        <v>0.5</v>
      </c>
      <c r="V1241" t="s" s="35">
        <v>1409</v>
      </c>
      <c r="W1241" t="s" s="35">
        <v>7006</v>
      </c>
      <c r="X1241" s="36" cm="1">
        <f t="array" ref="X1241">IF(OR(_xlfn.IFERROR(INDEX('Datos - Catálogo TIMSS'!$I$5:$I$107,MATCH(K1241,'Datos - Catálogo TIMSS'!$A$5:$A$107,0)),"No")="Sí",_xlfn.IFERROR(INDEX('Datos - Catálogo TIMSS'!$I$5:$I$107,MATCH(L1241,'Datos - Catálogo TIMSS'!$A$5:$A$107,0)),"No")="Sí"),1,0)</f>
        <v>0</v>
      </c>
      <c r="Y1241" s="36" cm="1">
        <f t="array" ref="Y1241">IF(_xlfn.IFERROR(INDEX('Datos - Catálogo TIMSS'!$J$5:$J$107,MATCH(K1241,'Datos - Catálogo TIMSS'!$A$5:$A$107,0)),"No")="Sí",1,0)</f>
        <v>0</v>
      </c>
      <c r="Z1241" s="36" cm="1">
        <f t="array" ref="Z1241">IF(_xlfn.IFERROR(INDEX('Datos - Catálogo TIMSS'!$J$5:$J$107,MATCH(L1241,'Datos - Catálogo TIMSS'!$A$5:$A$107,0)),"No")="Sí",1,0)</f>
        <v>0</v>
      </c>
      <c r="AA1241" t="s" s="35">
        <v>1058</v>
      </c>
      <c r="AB1241" s="39"/>
      <c r="AC1241" t="str" s="39">
        <v>Sin marco</v>
      </c>
      <c r="AD1241" t="s" s="35">
        <v>1859</v>
      </c>
      <c r="AE1241" t="str" s="39" cm="1">
        <f t="array" ref="AE1241">IF(AD1241="","",IF(LEFT(AD1241,1)="1","C1",IF(LEFT(AD1241,1)="2","C2",IF(LEFT(AD1241,1)="3","C3",""))))</f>
        <v>C1</v>
      </c>
      <c r="AF1241" t="s" s="35">
        <v>1615</v>
      </c>
      <c r="AG1241" t="s" s="35">
        <v>1612</v>
      </c>
      <c r="AH1241" t="s" s="35">
        <v>1602</v>
      </c>
      <c r="AI1241" t="s" s="35">
        <v>1625</v>
      </c>
      <c r="AJ1241" t="s" s="35">
        <v>1615</v>
      </c>
      <c r="AK1241" s="39"/>
      <c r="AL1241" s="39"/>
      <c r="AM1241" s="39"/>
      <c r="AN1241" s="39"/>
      <c r="AO1241" s="39"/>
      <c r="AP1241" s="39"/>
      <c r="AQ1241" s="39"/>
      <c r="AR1241" s="39"/>
      <c r="AS1241" s="39"/>
      <c r="AT1241" s="39"/>
      <c r="AU1241" s="39"/>
      <c r="AV1241" s="39"/>
      <c r="AW1241" t="str" s="39" cm="1">
        <f t="array" ref="AW1241">AF1241&amp;"; "&amp;AG1241&amp;"; "&amp;AH1241&amp;"; "&amp;AI1241&amp;"; "&amp;AJ1241</f>
        <v>E6; E5; E1; I1; E6</v>
      </c>
    </row>
    <row r="1242" ht="13.65" customHeight="1">
      <c r="A1242" t="s" s="35">
        <v>7523</v>
      </c>
      <c r="B1242" s="36">
        <v>11</v>
      </c>
      <c r="C1242" t="s" s="35">
        <v>210</v>
      </c>
      <c r="D1242" t="s" s="35">
        <v>7000</v>
      </c>
      <c r="E1242" t="s" s="35">
        <v>7275</v>
      </c>
      <c r="F1242" s="36">
        <v>72</v>
      </c>
      <c r="G1242" t="s" s="35">
        <v>7490</v>
      </c>
      <c r="H1242" t="s" s="35">
        <v>7524</v>
      </c>
      <c r="I1242" t="s" s="120">
        <v>7525</v>
      </c>
      <c r="J1242" t="s" s="35">
        <v>6185</v>
      </c>
      <c r="K1242" t="s" s="35">
        <v>1058</v>
      </c>
      <c r="L1242" s="39"/>
      <c r="M1242" t="str" s="39">
        <v>Sin marco</v>
      </c>
      <c r="N1242" t="str" s="39">
        <v>Sin marco</v>
      </c>
      <c r="O1242" t="str" s="39" cm="1">
        <f t="array" ref="O1242">IF(L1242="","",_xlfn.IFERROR(INDEX('Datos - Catálogo TIMSS'!$C$5:$C$107,MATCH(L1242,'Datos - Catálogo TIMSS'!$A$5:$A$107,0)),"?"))</f>
      </c>
      <c r="P1242" t="s" s="35">
        <v>1058</v>
      </c>
      <c r="Q1242" t="s" s="120">
        <v>6186</v>
      </c>
      <c r="R1242" t="s" s="120">
        <v>7526</v>
      </c>
      <c r="S1242" s="121" cm="1">
        <f t="array" ref="S1242">_xlfn.IFERROR(ISNUMBER(SEARCH("Conocer",$R1242))/(ISNUMBER(SEARCH("Conocer",$R1242))+ISNUMBER(SEARCH("Aplicar",$R1242))+ISNUMBER(SEARCH("Razonar",$R1242))),0)</f>
        <v>0</v>
      </c>
      <c r="T1242" s="121" cm="1">
        <f t="array" ref="T1242">_xlfn.IFERROR(ISNUMBER(SEARCH("Aplicar",$R1242))/(ISNUMBER(SEARCH("Conocer",$R1242))+ISNUMBER(SEARCH("Aplicar",$R1242))+ISNUMBER(SEARCH("Razonar",$R1242))),0)</f>
        <v>0.5</v>
      </c>
      <c r="U1242" s="121" cm="1">
        <f t="array" ref="U1242">_xlfn.IFERROR(ISNUMBER(SEARCH("Razonar",$R1242))/(ISNUMBER(SEARCH("Conocer",$R1242))+ISNUMBER(SEARCH("Aplicar",$R1242))+ISNUMBER(SEARCH("Razonar",$R1242))),0)</f>
        <v>0.5</v>
      </c>
      <c r="V1242" t="s" s="35">
        <v>1409</v>
      </c>
      <c r="W1242" t="s" s="35">
        <v>7006</v>
      </c>
      <c r="X1242" s="36" cm="1">
        <f t="array" ref="X1242">IF(OR(_xlfn.IFERROR(INDEX('Datos - Catálogo TIMSS'!$I$5:$I$107,MATCH(K1242,'Datos - Catálogo TIMSS'!$A$5:$A$107,0)),"No")="Sí",_xlfn.IFERROR(INDEX('Datos - Catálogo TIMSS'!$I$5:$I$107,MATCH(L1242,'Datos - Catálogo TIMSS'!$A$5:$A$107,0)),"No")="Sí"),1,0)</f>
        <v>0</v>
      </c>
      <c r="Y1242" s="36" cm="1">
        <f t="array" ref="Y1242">IF(_xlfn.IFERROR(INDEX('Datos - Catálogo TIMSS'!$J$5:$J$107,MATCH(K1242,'Datos - Catálogo TIMSS'!$A$5:$A$107,0)),"No")="Sí",1,0)</f>
        <v>0</v>
      </c>
      <c r="Z1242" s="36" cm="1">
        <f t="array" ref="Z1242">IF(_xlfn.IFERROR(INDEX('Datos - Catálogo TIMSS'!$J$5:$J$107,MATCH(L1242,'Datos - Catálogo TIMSS'!$A$5:$A$107,0)),"No")="Sí",1,0)</f>
        <v>0</v>
      </c>
      <c r="AA1242" t="s" s="35">
        <v>1058</v>
      </c>
      <c r="AB1242" s="39"/>
      <c r="AC1242" t="str" s="39">
        <v>Sin marco</v>
      </c>
      <c r="AD1242" t="s" s="35">
        <v>1900</v>
      </c>
      <c r="AE1242" t="str" s="39" cm="1">
        <f t="array" ref="AE1242">IF(AD1242="","",IF(LEFT(AD1242,1)="1","C1",IF(LEFT(AD1242,1)="2","C2",IF(LEFT(AD1242,1)="3","C3",""))))</f>
        <v>C3</v>
      </c>
      <c r="AF1242" t="s" s="35">
        <v>1615</v>
      </c>
      <c r="AG1242" t="s" s="35">
        <v>1607</v>
      </c>
      <c r="AH1242" t="s" s="35">
        <v>1605</v>
      </c>
      <c r="AI1242" t="s" s="35">
        <v>1629</v>
      </c>
      <c r="AJ1242" t="s" s="35">
        <v>1633</v>
      </c>
      <c r="AK1242" s="39"/>
      <c r="AL1242" s="39"/>
      <c r="AM1242" s="39"/>
      <c r="AN1242" s="39"/>
      <c r="AO1242" s="39"/>
      <c r="AP1242" s="39"/>
      <c r="AQ1242" s="39"/>
      <c r="AR1242" s="39"/>
      <c r="AS1242" s="39"/>
      <c r="AT1242" s="39"/>
      <c r="AU1242" s="39"/>
      <c r="AV1242" s="39"/>
      <c r="AW1242" t="str" s="39" cm="1">
        <f t="array" ref="AW1242">AF1242&amp;"; "&amp;AG1242&amp;"; "&amp;AH1242&amp;"; "&amp;AI1242&amp;"; "&amp;AJ1242</f>
        <v>E6; E3; E2; I3; I5</v>
      </c>
    </row>
    <row r="1243" ht="13.65" customHeight="1">
      <c r="A1243" t="s" s="35">
        <v>7527</v>
      </c>
      <c r="B1243" s="36">
        <v>11</v>
      </c>
      <c r="C1243" t="s" s="35">
        <v>210</v>
      </c>
      <c r="D1243" t="s" s="35">
        <v>7000</v>
      </c>
      <c r="E1243" t="s" s="35">
        <v>7275</v>
      </c>
      <c r="F1243" s="36">
        <v>73</v>
      </c>
      <c r="G1243" t="s" s="35">
        <v>7490</v>
      </c>
      <c r="H1243" t="s" s="35">
        <v>7524</v>
      </c>
      <c r="I1243" t="s" s="120">
        <v>7528</v>
      </c>
      <c r="J1243" t="s" s="35">
        <v>6185</v>
      </c>
      <c r="K1243" t="s" s="35">
        <v>1058</v>
      </c>
      <c r="L1243" s="39"/>
      <c r="M1243" t="str" s="39">
        <v>Sin marco</v>
      </c>
      <c r="N1243" t="str" s="39">
        <v>Sin marco</v>
      </c>
      <c r="O1243" t="str" s="39" cm="1">
        <f t="array" ref="O1243">IF(L1243="","",_xlfn.IFERROR(INDEX('Datos - Catálogo TIMSS'!$C$5:$C$107,MATCH(L1243,'Datos - Catálogo TIMSS'!$A$5:$A$107,0)),"?"))</f>
      </c>
      <c r="P1243" t="s" s="35">
        <v>1058</v>
      </c>
      <c r="Q1243" t="s" s="120">
        <v>6186</v>
      </c>
      <c r="R1243" t="s" s="120">
        <v>7529</v>
      </c>
      <c r="S1243" s="121" cm="1">
        <f t="array" ref="S1243">_xlfn.IFERROR(ISNUMBER(SEARCH("Conocer",$R1243))/(ISNUMBER(SEARCH("Conocer",$R1243))+ISNUMBER(SEARCH("Aplicar",$R1243))+ISNUMBER(SEARCH("Razonar",$R1243))),0)</f>
        <v>0</v>
      </c>
      <c r="T1243" s="121" cm="1">
        <f t="array" ref="T1243">_xlfn.IFERROR(ISNUMBER(SEARCH("Aplicar",$R1243))/(ISNUMBER(SEARCH("Conocer",$R1243))+ISNUMBER(SEARCH("Aplicar",$R1243))+ISNUMBER(SEARCH("Razonar",$R1243))),0)</f>
        <v>0.5</v>
      </c>
      <c r="U1243" s="121" cm="1">
        <f t="array" ref="U1243">_xlfn.IFERROR(ISNUMBER(SEARCH("Razonar",$R1243))/(ISNUMBER(SEARCH("Conocer",$R1243))+ISNUMBER(SEARCH("Aplicar",$R1243))+ISNUMBER(SEARCH("Razonar",$R1243))),0)</f>
        <v>0.5</v>
      </c>
      <c r="V1243" t="s" s="35">
        <v>1409</v>
      </c>
      <c r="W1243" t="s" s="35">
        <v>7006</v>
      </c>
      <c r="X1243" s="36" cm="1">
        <f t="array" ref="X1243">IF(OR(_xlfn.IFERROR(INDEX('Datos - Catálogo TIMSS'!$I$5:$I$107,MATCH(K1243,'Datos - Catálogo TIMSS'!$A$5:$A$107,0)),"No")="Sí",_xlfn.IFERROR(INDEX('Datos - Catálogo TIMSS'!$I$5:$I$107,MATCH(L1243,'Datos - Catálogo TIMSS'!$A$5:$A$107,0)),"No")="Sí"),1,0)</f>
        <v>0</v>
      </c>
      <c r="Y1243" s="36" cm="1">
        <f t="array" ref="Y1243">IF(_xlfn.IFERROR(INDEX('Datos - Catálogo TIMSS'!$J$5:$J$107,MATCH(K1243,'Datos - Catálogo TIMSS'!$A$5:$A$107,0)),"No")="Sí",1,0)</f>
        <v>0</v>
      </c>
      <c r="Z1243" s="36" cm="1">
        <f t="array" ref="Z1243">IF(_xlfn.IFERROR(INDEX('Datos - Catálogo TIMSS'!$J$5:$J$107,MATCH(L1243,'Datos - Catálogo TIMSS'!$A$5:$A$107,0)),"No")="Sí",1,0)</f>
        <v>0</v>
      </c>
      <c r="AA1243" t="s" s="35">
        <v>1058</v>
      </c>
      <c r="AB1243" s="39"/>
      <c r="AC1243" t="str" s="39">
        <v>Sin marco</v>
      </c>
      <c r="AD1243" t="s" s="35">
        <v>1834</v>
      </c>
      <c r="AE1243" t="str" s="39" cm="1">
        <f t="array" ref="AE1243">IF(AD1243="","",IF(LEFT(AD1243,1)="1","C1",IF(LEFT(AD1243,1)="2","C2",IF(LEFT(AD1243,1)="3","C3",""))))</f>
        <v>C2</v>
      </c>
      <c r="AF1243" t="s" s="35">
        <v>1602</v>
      </c>
      <c r="AG1243" t="s" s="35">
        <v>1617</v>
      </c>
      <c r="AH1243" t="s" s="35">
        <v>1605</v>
      </c>
      <c r="AI1243" t="s" s="35">
        <v>1623</v>
      </c>
      <c r="AJ1243" t="s" s="35">
        <v>1621</v>
      </c>
      <c r="AK1243" s="39"/>
      <c r="AL1243" s="39"/>
      <c r="AM1243" s="39"/>
      <c r="AN1243" s="39"/>
      <c r="AO1243" s="39"/>
      <c r="AP1243" s="39"/>
      <c r="AQ1243" s="39"/>
      <c r="AR1243" s="39"/>
      <c r="AS1243" s="39"/>
      <c r="AT1243" s="39"/>
      <c r="AU1243" s="39"/>
      <c r="AV1243" s="39"/>
      <c r="AW1243" t="str" s="39" cm="1">
        <f t="array" ref="AW1243">AF1243&amp;"; "&amp;AG1243&amp;"; "&amp;AH1243&amp;"; "&amp;AI1243&amp;"; "&amp;AJ1243</f>
        <v>E1; D1; E2; D4; D3</v>
      </c>
    </row>
    <row r="1244" ht="13.65" customHeight="1">
      <c r="A1244" t="s" s="35">
        <v>7530</v>
      </c>
      <c r="B1244" s="36">
        <v>11</v>
      </c>
      <c r="C1244" t="s" s="35">
        <v>210</v>
      </c>
      <c r="D1244" t="s" s="35">
        <v>7000</v>
      </c>
      <c r="E1244" t="s" s="35">
        <v>7275</v>
      </c>
      <c r="F1244" s="36">
        <v>74</v>
      </c>
      <c r="G1244" t="s" s="35">
        <v>7490</v>
      </c>
      <c r="H1244" t="s" s="35">
        <v>7524</v>
      </c>
      <c r="I1244" t="s" s="120">
        <v>7531</v>
      </c>
      <c r="J1244" t="s" s="35">
        <v>6185</v>
      </c>
      <c r="K1244" t="s" s="35">
        <v>1058</v>
      </c>
      <c r="L1244" s="39"/>
      <c r="M1244" t="str" s="39">
        <v>Sin marco</v>
      </c>
      <c r="N1244" t="str" s="39">
        <v>Sin marco</v>
      </c>
      <c r="O1244" t="str" s="39" cm="1">
        <f t="array" ref="O1244">IF(L1244="","",_xlfn.IFERROR(INDEX('Datos - Catálogo TIMSS'!$C$5:$C$107,MATCH(L1244,'Datos - Catálogo TIMSS'!$A$5:$A$107,0)),"?"))</f>
      </c>
      <c r="P1244" t="s" s="35">
        <v>1058</v>
      </c>
      <c r="Q1244" t="s" s="120">
        <v>6186</v>
      </c>
      <c r="R1244" t="s" s="120">
        <v>7532</v>
      </c>
      <c r="S1244" s="121" cm="1">
        <f t="array" ref="S1244">_xlfn.IFERROR(ISNUMBER(SEARCH("Conocer",$R1244))/(ISNUMBER(SEARCH("Conocer",$R1244))+ISNUMBER(SEARCH("Aplicar",$R1244))+ISNUMBER(SEARCH("Razonar",$R1244))),0)</f>
        <v>0.333333333333333</v>
      </c>
      <c r="T1244" s="121" cm="1">
        <f t="array" ref="T1244">_xlfn.IFERROR(ISNUMBER(SEARCH("Aplicar",$R1244))/(ISNUMBER(SEARCH("Conocer",$R1244))+ISNUMBER(SEARCH("Aplicar",$R1244))+ISNUMBER(SEARCH("Razonar",$R1244))),0)</f>
        <v>0.333333333333333</v>
      </c>
      <c r="U1244" s="121" cm="1">
        <f t="array" ref="U1244">_xlfn.IFERROR(ISNUMBER(SEARCH("Razonar",$R1244))/(ISNUMBER(SEARCH("Conocer",$R1244))+ISNUMBER(SEARCH("Aplicar",$R1244))+ISNUMBER(SEARCH("Razonar",$R1244))),0)</f>
        <v>0.333333333333333</v>
      </c>
      <c r="V1244" t="s" s="35">
        <v>1409</v>
      </c>
      <c r="W1244" t="s" s="35">
        <v>7006</v>
      </c>
      <c r="X1244" s="36" cm="1">
        <f t="array" ref="X1244">IF(OR(_xlfn.IFERROR(INDEX('Datos - Catálogo TIMSS'!$I$5:$I$107,MATCH(K1244,'Datos - Catálogo TIMSS'!$A$5:$A$107,0)),"No")="Sí",_xlfn.IFERROR(INDEX('Datos - Catálogo TIMSS'!$I$5:$I$107,MATCH(L1244,'Datos - Catálogo TIMSS'!$A$5:$A$107,0)),"No")="Sí"),1,0)</f>
        <v>0</v>
      </c>
      <c r="Y1244" s="36" cm="1">
        <f t="array" ref="Y1244">IF(_xlfn.IFERROR(INDEX('Datos - Catálogo TIMSS'!$J$5:$J$107,MATCH(K1244,'Datos - Catálogo TIMSS'!$A$5:$A$107,0)),"No")="Sí",1,0)</f>
        <v>0</v>
      </c>
      <c r="Z1244" s="36" cm="1">
        <f t="array" ref="Z1244">IF(_xlfn.IFERROR(INDEX('Datos - Catálogo TIMSS'!$J$5:$J$107,MATCH(L1244,'Datos - Catálogo TIMSS'!$A$5:$A$107,0)),"No")="Sí",1,0)</f>
        <v>0</v>
      </c>
      <c r="AA1244" t="s" s="35">
        <v>1058</v>
      </c>
      <c r="AB1244" s="39"/>
      <c r="AC1244" t="str" s="39">
        <v>Sin marco</v>
      </c>
      <c r="AD1244" t="s" s="35">
        <v>1859</v>
      </c>
      <c r="AE1244" t="str" s="39" cm="1">
        <f t="array" ref="AE1244">IF(AD1244="","",IF(LEFT(AD1244,1)="1","C1",IF(LEFT(AD1244,1)="2","C2",IF(LEFT(AD1244,1)="3","C3",""))))</f>
        <v>C1</v>
      </c>
      <c r="AF1244" t="s" s="35">
        <v>1602</v>
      </c>
      <c r="AG1244" t="s" s="35">
        <v>1607</v>
      </c>
      <c r="AH1244" t="s" s="35">
        <v>1605</v>
      </c>
      <c r="AI1244" t="s" s="35">
        <v>1609</v>
      </c>
      <c r="AJ1244" t="s" s="35">
        <v>1607</v>
      </c>
      <c r="AK1244" s="39"/>
      <c r="AL1244" s="39"/>
      <c r="AM1244" s="39"/>
      <c r="AN1244" s="39"/>
      <c r="AO1244" s="39"/>
      <c r="AP1244" s="39"/>
      <c r="AQ1244" s="39"/>
      <c r="AR1244" s="39"/>
      <c r="AS1244" s="39"/>
      <c r="AT1244" s="39"/>
      <c r="AU1244" s="39"/>
      <c r="AV1244" s="39"/>
      <c r="AW1244" t="str" s="39" cm="1">
        <f t="array" ref="AW1244">AF1244&amp;"; "&amp;AG1244&amp;"; "&amp;AH1244&amp;"; "&amp;AI1244&amp;"; "&amp;AJ1244</f>
        <v>E1; E3; E2; E4; E3</v>
      </c>
    </row>
    <row r="1245" ht="13.65" customHeight="1">
      <c r="A1245" t="s" s="35">
        <v>7533</v>
      </c>
      <c r="B1245" s="36">
        <v>11</v>
      </c>
      <c r="C1245" t="s" s="35">
        <v>210</v>
      </c>
      <c r="D1245" t="s" s="35">
        <v>7000</v>
      </c>
      <c r="E1245" t="s" s="35">
        <v>7275</v>
      </c>
      <c r="F1245" s="36">
        <v>75</v>
      </c>
      <c r="G1245" t="s" s="35">
        <v>7534</v>
      </c>
      <c r="H1245" t="s" s="35">
        <v>7535</v>
      </c>
      <c r="I1245" t="s" s="120">
        <v>7536</v>
      </c>
      <c r="J1245" t="s" s="35">
        <v>6185</v>
      </c>
      <c r="K1245" t="s" s="35">
        <v>1058</v>
      </c>
      <c r="L1245" s="39"/>
      <c r="M1245" t="str" s="39">
        <v>Sin marco</v>
      </c>
      <c r="N1245" t="str" s="39">
        <v>Sin marco</v>
      </c>
      <c r="O1245" t="str" s="39" cm="1">
        <f t="array" ref="O1245">IF(L1245="","",_xlfn.IFERROR(INDEX('Datos - Catálogo TIMSS'!$C$5:$C$107,MATCH(L1245,'Datos - Catálogo TIMSS'!$A$5:$A$107,0)),"?"))</f>
      </c>
      <c r="P1245" t="s" s="35">
        <v>1058</v>
      </c>
      <c r="Q1245" t="s" s="120">
        <v>6186</v>
      </c>
      <c r="R1245" t="s" s="120">
        <v>7537</v>
      </c>
      <c r="S1245" s="121" cm="1">
        <f t="array" ref="S1245">_xlfn.IFERROR(ISNUMBER(SEARCH("Conocer",$R1245))/(ISNUMBER(SEARCH("Conocer",$R1245))+ISNUMBER(SEARCH("Aplicar",$R1245))+ISNUMBER(SEARCH("Razonar",$R1245))),0)</f>
        <v>0</v>
      </c>
      <c r="T1245" s="121" cm="1">
        <f t="array" ref="T1245">_xlfn.IFERROR(ISNUMBER(SEARCH("Aplicar",$R1245))/(ISNUMBER(SEARCH("Conocer",$R1245))+ISNUMBER(SEARCH("Aplicar",$R1245))+ISNUMBER(SEARCH("Razonar",$R1245))),0)</f>
        <v>0.5</v>
      </c>
      <c r="U1245" s="121" cm="1">
        <f t="array" ref="U1245">_xlfn.IFERROR(ISNUMBER(SEARCH("Razonar",$R1245))/(ISNUMBER(SEARCH("Conocer",$R1245))+ISNUMBER(SEARCH("Aplicar",$R1245))+ISNUMBER(SEARCH("Razonar",$R1245))),0)</f>
        <v>0.5</v>
      </c>
      <c r="V1245" t="s" s="35">
        <v>1409</v>
      </c>
      <c r="W1245" t="s" s="35">
        <v>7006</v>
      </c>
      <c r="X1245" s="36" cm="1">
        <f t="array" ref="X1245">IF(OR(_xlfn.IFERROR(INDEX('Datos - Catálogo TIMSS'!$I$5:$I$107,MATCH(K1245,'Datos - Catálogo TIMSS'!$A$5:$A$107,0)),"No")="Sí",_xlfn.IFERROR(INDEX('Datos - Catálogo TIMSS'!$I$5:$I$107,MATCH(L1245,'Datos - Catálogo TIMSS'!$A$5:$A$107,0)),"No")="Sí"),1,0)</f>
        <v>0</v>
      </c>
      <c r="Y1245" s="36" cm="1">
        <f t="array" ref="Y1245">IF(_xlfn.IFERROR(INDEX('Datos - Catálogo TIMSS'!$J$5:$J$107,MATCH(K1245,'Datos - Catálogo TIMSS'!$A$5:$A$107,0)),"No")="Sí",1,0)</f>
        <v>0</v>
      </c>
      <c r="Z1245" s="36" cm="1">
        <f t="array" ref="Z1245">IF(_xlfn.IFERROR(INDEX('Datos - Catálogo TIMSS'!$J$5:$J$107,MATCH(L1245,'Datos - Catálogo TIMSS'!$A$5:$A$107,0)),"No")="Sí",1,0)</f>
        <v>0</v>
      </c>
      <c r="AA1245" t="s" s="35">
        <v>1058</v>
      </c>
      <c r="AB1245" s="39"/>
      <c r="AC1245" t="str" s="39">
        <v>Sin marco</v>
      </c>
      <c r="AD1245" t="s" s="35">
        <v>1834</v>
      </c>
      <c r="AE1245" t="str" s="39" cm="1">
        <f t="array" ref="AE1245">IF(AD1245="","",IF(LEFT(AD1245,1)="1","C1",IF(LEFT(AD1245,1)="2","C2",IF(LEFT(AD1245,1)="3","C3",""))))</f>
        <v>C2</v>
      </c>
      <c r="AF1245" t="s" s="35">
        <v>1602</v>
      </c>
      <c r="AG1245" t="s" s="35">
        <v>1617</v>
      </c>
      <c r="AH1245" t="s" s="35">
        <v>1605</v>
      </c>
      <c r="AI1245" t="s" s="35">
        <v>1623</v>
      </c>
      <c r="AJ1245" t="s" s="35">
        <v>1615</v>
      </c>
      <c r="AK1245" s="39"/>
      <c r="AL1245" s="39"/>
      <c r="AM1245" s="39"/>
      <c r="AN1245" s="39"/>
      <c r="AO1245" s="39"/>
      <c r="AP1245" s="39"/>
      <c r="AQ1245" s="39"/>
      <c r="AR1245" s="39"/>
      <c r="AS1245" s="39"/>
      <c r="AT1245" s="39"/>
      <c r="AU1245" s="39"/>
      <c r="AV1245" s="39"/>
      <c r="AW1245" t="str" s="39" cm="1">
        <f t="array" ref="AW1245">AF1245&amp;"; "&amp;AG1245&amp;"; "&amp;AH1245&amp;"; "&amp;AI1245&amp;"; "&amp;AJ1245</f>
        <v>E1; D1; E2; D4; E6</v>
      </c>
    </row>
    <row r="1246" ht="13.65" customHeight="1">
      <c r="A1246" t="s" s="35">
        <v>7538</v>
      </c>
      <c r="B1246" s="36">
        <v>11</v>
      </c>
      <c r="C1246" t="s" s="35">
        <v>210</v>
      </c>
      <c r="D1246" t="s" s="35">
        <v>7000</v>
      </c>
      <c r="E1246" t="s" s="35">
        <v>7275</v>
      </c>
      <c r="F1246" s="36">
        <v>76</v>
      </c>
      <c r="G1246" t="s" s="35">
        <v>7534</v>
      </c>
      <c r="H1246" t="s" s="35">
        <v>7535</v>
      </c>
      <c r="I1246" t="s" s="120">
        <v>7539</v>
      </c>
      <c r="J1246" t="s" s="35">
        <v>6185</v>
      </c>
      <c r="K1246" t="s" s="35">
        <v>1058</v>
      </c>
      <c r="L1246" s="39"/>
      <c r="M1246" t="str" s="39">
        <v>Sin marco</v>
      </c>
      <c r="N1246" t="str" s="39">
        <v>Sin marco</v>
      </c>
      <c r="O1246" t="str" s="39" cm="1">
        <f t="array" ref="O1246">IF(L1246="","",_xlfn.IFERROR(INDEX('Datos - Catálogo TIMSS'!$C$5:$C$107,MATCH(L1246,'Datos - Catálogo TIMSS'!$A$5:$A$107,0)),"?"))</f>
      </c>
      <c r="P1246" t="s" s="35">
        <v>1058</v>
      </c>
      <c r="Q1246" t="s" s="120">
        <v>6186</v>
      </c>
      <c r="R1246" t="s" s="120">
        <v>7540</v>
      </c>
      <c r="S1246" s="121" cm="1">
        <f t="array" ref="S1246">_xlfn.IFERROR(ISNUMBER(SEARCH("Conocer",$R1246))/(ISNUMBER(SEARCH("Conocer",$R1246))+ISNUMBER(SEARCH("Aplicar",$R1246))+ISNUMBER(SEARCH("Razonar",$R1246))),0)</f>
        <v>0</v>
      </c>
      <c r="T1246" s="121" cm="1">
        <f t="array" ref="T1246">_xlfn.IFERROR(ISNUMBER(SEARCH("Aplicar",$R1246))/(ISNUMBER(SEARCH("Conocer",$R1246))+ISNUMBER(SEARCH("Aplicar",$R1246))+ISNUMBER(SEARCH("Razonar",$R1246))),0)</f>
        <v>0.5</v>
      </c>
      <c r="U1246" s="121" cm="1">
        <f t="array" ref="U1246">_xlfn.IFERROR(ISNUMBER(SEARCH("Razonar",$R1246))/(ISNUMBER(SEARCH("Conocer",$R1246))+ISNUMBER(SEARCH("Aplicar",$R1246))+ISNUMBER(SEARCH("Razonar",$R1246))),0)</f>
        <v>0.5</v>
      </c>
      <c r="V1246" t="s" s="35">
        <v>1409</v>
      </c>
      <c r="W1246" t="s" s="35">
        <v>7006</v>
      </c>
      <c r="X1246" s="36" cm="1">
        <f t="array" ref="X1246">IF(OR(_xlfn.IFERROR(INDEX('Datos - Catálogo TIMSS'!$I$5:$I$107,MATCH(K1246,'Datos - Catálogo TIMSS'!$A$5:$A$107,0)),"No")="Sí",_xlfn.IFERROR(INDEX('Datos - Catálogo TIMSS'!$I$5:$I$107,MATCH(L1246,'Datos - Catálogo TIMSS'!$A$5:$A$107,0)),"No")="Sí"),1,0)</f>
        <v>0</v>
      </c>
      <c r="Y1246" s="36" cm="1">
        <f t="array" ref="Y1246">IF(_xlfn.IFERROR(INDEX('Datos - Catálogo TIMSS'!$J$5:$J$107,MATCH(K1246,'Datos - Catálogo TIMSS'!$A$5:$A$107,0)),"No")="Sí",1,0)</f>
        <v>0</v>
      </c>
      <c r="Z1246" s="36" cm="1">
        <f t="array" ref="Z1246">IF(_xlfn.IFERROR(INDEX('Datos - Catálogo TIMSS'!$J$5:$J$107,MATCH(L1246,'Datos - Catálogo TIMSS'!$A$5:$A$107,0)),"No")="Sí",1,0)</f>
        <v>0</v>
      </c>
      <c r="AA1246" t="s" s="35">
        <v>1058</v>
      </c>
      <c r="AB1246" s="39"/>
      <c r="AC1246" t="str" s="39">
        <v>Sin marco</v>
      </c>
      <c r="AD1246" t="s" s="35">
        <v>1859</v>
      </c>
      <c r="AE1246" t="str" s="39" cm="1">
        <f t="array" ref="AE1246">IF(AD1246="","",IF(LEFT(AD1246,1)="1","C1",IF(LEFT(AD1246,1)="2","C2",IF(LEFT(AD1246,1)="3","C3",""))))</f>
        <v>C1</v>
      </c>
      <c r="AF1246" t="s" s="35">
        <v>1602</v>
      </c>
      <c r="AG1246" t="s" s="35">
        <v>1607</v>
      </c>
      <c r="AH1246" t="s" s="35">
        <v>1609</v>
      </c>
      <c r="AI1246" t="s" s="35">
        <v>1623</v>
      </c>
      <c r="AJ1246" t="s" s="35">
        <v>1607</v>
      </c>
      <c r="AK1246" s="39"/>
      <c r="AL1246" s="39"/>
      <c r="AM1246" s="39"/>
      <c r="AN1246" s="39"/>
      <c r="AO1246" s="39"/>
      <c r="AP1246" s="39"/>
      <c r="AQ1246" s="39"/>
      <c r="AR1246" s="39"/>
      <c r="AS1246" s="39"/>
      <c r="AT1246" s="39"/>
      <c r="AU1246" s="39"/>
      <c r="AV1246" s="39"/>
      <c r="AW1246" t="str" s="39" cm="1">
        <f t="array" ref="AW1246">AF1246&amp;"; "&amp;AG1246&amp;"; "&amp;AH1246&amp;"; "&amp;AI1246&amp;"; "&amp;AJ1246</f>
        <v>E1; E3; E4; D4; E3</v>
      </c>
    </row>
    <row r="1247" ht="13.65" customHeight="1">
      <c r="A1247" t="s" s="35">
        <v>7541</v>
      </c>
      <c r="B1247" s="36">
        <v>11</v>
      </c>
      <c r="C1247" t="s" s="35">
        <v>210</v>
      </c>
      <c r="D1247" t="s" s="35">
        <v>7000</v>
      </c>
      <c r="E1247" t="s" s="35">
        <v>7275</v>
      </c>
      <c r="F1247" s="36">
        <v>77</v>
      </c>
      <c r="G1247" t="s" s="35">
        <v>7534</v>
      </c>
      <c r="H1247" t="s" s="35">
        <v>7535</v>
      </c>
      <c r="I1247" t="s" s="120">
        <v>7542</v>
      </c>
      <c r="J1247" t="s" s="35">
        <v>6185</v>
      </c>
      <c r="K1247" t="s" s="35">
        <v>1058</v>
      </c>
      <c r="L1247" s="39"/>
      <c r="M1247" t="str" s="39">
        <v>Sin marco</v>
      </c>
      <c r="N1247" t="str" s="39">
        <v>Sin marco</v>
      </c>
      <c r="O1247" t="str" s="39" cm="1">
        <f t="array" ref="O1247">IF(L1247="","",_xlfn.IFERROR(INDEX('Datos - Catálogo TIMSS'!$C$5:$C$107,MATCH(L1247,'Datos - Catálogo TIMSS'!$A$5:$A$107,0)),"?"))</f>
      </c>
      <c r="P1247" t="s" s="35">
        <v>1058</v>
      </c>
      <c r="Q1247" t="s" s="120">
        <v>6186</v>
      </c>
      <c r="R1247" t="s" s="120">
        <v>7543</v>
      </c>
      <c r="S1247" s="121" cm="1">
        <f t="array" ref="S1247">_xlfn.IFERROR(ISNUMBER(SEARCH("Conocer",$R1247))/(ISNUMBER(SEARCH("Conocer",$R1247))+ISNUMBER(SEARCH("Aplicar",$R1247))+ISNUMBER(SEARCH("Razonar",$R1247))),0)</f>
        <v>0</v>
      </c>
      <c r="T1247" s="121" cm="1">
        <f t="array" ref="T1247">_xlfn.IFERROR(ISNUMBER(SEARCH("Aplicar",$R1247))/(ISNUMBER(SEARCH("Conocer",$R1247))+ISNUMBER(SEARCH("Aplicar",$R1247))+ISNUMBER(SEARCH("Razonar",$R1247))),0)</f>
        <v>0.5</v>
      </c>
      <c r="U1247" s="121" cm="1">
        <f t="array" ref="U1247">_xlfn.IFERROR(ISNUMBER(SEARCH("Razonar",$R1247))/(ISNUMBER(SEARCH("Conocer",$R1247))+ISNUMBER(SEARCH("Aplicar",$R1247))+ISNUMBER(SEARCH("Razonar",$R1247))),0)</f>
        <v>0.5</v>
      </c>
      <c r="V1247" t="s" s="35">
        <v>1409</v>
      </c>
      <c r="W1247" t="s" s="35">
        <v>7006</v>
      </c>
      <c r="X1247" s="36" cm="1">
        <f t="array" ref="X1247">IF(OR(_xlfn.IFERROR(INDEX('Datos - Catálogo TIMSS'!$I$5:$I$107,MATCH(K1247,'Datos - Catálogo TIMSS'!$A$5:$A$107,0)),"No")="Sí",_xlfn.IFERROR(INDEX('Datos - Catálogo TIMSS'!$I$5:$I$107,MATCH(L1247,'Datos - Catálogo TIMSS'!$A$5:$A$107,0)),"No")="Sí"),1,0)</f>
        <v>0</v>
      </c>
      <c r="Y1247" s="36" cm="1">
        <f t="array" ref="Y1247">IF(_xlfn.IFERROR(INDEX('Datos - Catálogo TIMSS'!$J$5:$J$107,MATCH(K1247,'Datos - Catálogo TIMSS'!$A$5:$A$107,0)),"No")="Sí",1,0)</f>
        <v>0</v>
      </c>
      <c r="Z1247" s="36" cm="1">
        <f t="array" ref="Z1247">IF(_xlfn.IFERROR(INDEX('Datos - Catálogo TIMSS'!$J$5:$J$107,MATCH(L1247,'Datos - Catálogo TIMSS'!$A$5:$A$107,0)),"No")="Sí",1,0)</f>
        <v>0</v>
      </c>
      <c r="AA1247" t="s" s="35">
        <v>1058</v>
      </c>
      <c r="AB1247" s="39"/>
      <c r="AC1247" t="str" s="39">
        <v>Sin marco</v>
      </c>
      <c r="AD1247" t="s" s="35">
        <v>1859</v>
      </c>
      <c r="AE1247" t="str" s="39" cm="1">
        <f t="array" ref="AE1247">IF(AD1247="","",IF(LEFT(AD1247,1)="1","C1",IF(LEFT(AD1247,1)="2","C2",IF(LEFT(AD1247,1)="3","C3",""))))</f>
        <v>C1</v>
      </c>
      <c r="AF1247" t="s" s="35">
        <v>1615</v>
      </c>
      <c r="AG1247" t="s" s="35">
        <v>1612</v>
      </c>
      <c r="AH1247" t="s" s="35">
        <v>1605</v>
      </c>
      <c r="AI1247" t="s" s="35">
        <v>1609</v>
      </c>
      <c r="AJ1247" t="s" s="35">
        <v>1631</v>
      </c>
      <c r="AK1247" s="39"/>
      <c r="AL1247" s="39"/>
      <c r="AM1247" s="39"/>
      <c r="AN1247" s="39"/>
      <c r="AO1247" s="39"/>
      <c r="AP1247" s="39"/>
      <c r="AQ1247" s="39"/>
      <c r="AR1247" s="39"/>
      <c r="AS1247" s="39"/>
      <c r="AT1247" s="39"/>
      <c r="AU1247" s="39"/>
      <c r="AV1247" s="39"/>
      <c r="AW1247" t="str" s="39" cm="1">
        <f t="array" ref="AW1247">AF1247&amp;"; "&amp;AG1247&amp;"; "&amp;AH1247&amp;"; "&amp;AI1247&amp;"; "&amp;AJ1247</f>
        <v>E6; E5; E2; E4; I4</v>
      </c>
    </row>
    <row r="1248" ht="13.65" customHeight="1">
      <c r="A1248" t="s" s="35">
        <v>7545</v>
      </c>
      <c r="B1248" s="36">
        <v>11</v>
      </c>
      <c r="C1248" t="s" s="35">
        <v>210</v>
      </c>
      <c r="D1248" t="s" s="35">
        <v>7000</v>
      </c>
      <c r="E1248" t="s" s="35">
        <v>7275</v>
      </c>
      <c r="F1248" s="36">
        <v>78</v>
      </c>
      <c r="G1248" t="s" s="35">
        <v>7534</v>
      </c>
      <c r="H1248" t="s" s="35">
        <v>7546</v>
      </c>
      <c r="I1248" t="s" s="120">
        <v>7547</v>
      </c>
      <c r="J1248" t="s" s="35">
        <v>6185</v>
      </c>
      <c r="K1248" t="s" s="35">
        <v>1058</v>
      </c>
      <c r="L1248" s="39"/>
      <c r="M1248" t="str" s="39">
        <v>Sin marco</v>
      </c>
      <c r="N1248" t="str" s="39">
        <v>Sin marco</v>
      </c>
      <c r="O1248" t="str" s="39" cm="1">
        <f t="array" ref="O1248">IF(L1248="","",_xlfn.IFERROR(INDEX('Datos - Catálogo TIMSS'!$C$5:$C$107,MATCH(L1248,'Datos - Catálogo TIMSS'!$A$5:$A$107,0)),"?"))</f>
      </c>
      <c r="P1248" t="s" s="35">
        <v>1058</v>
      </c>
      <c r="Q1248" t="s" s="120">
        <v>6186</v>
      </c>
      <c r="R1248" t="s" s="120">
        <v>7548</v>
      </c>
      <c r="S1248" s="121" cm="1">
        <f t="array" ref="S1248">_xlfn.IFERROR(ISNUMBER(SEARCH("Conocer",$R1248))/(ISNUMBER(SEARCH("Conocer",$R1248))+ISNUMBER(SEARCH("Aplicar",$R1248))+ISNUMBER(SEARCH("Razonar",$R1248))),0)</f>
        <v>0</v>
      </c>
      <c r="T1248" s="121" cm="1">
        <f t="array" ref="T1248">_xlfn.IFERROR(ISNUMBER(SEARCH("Aplicar",$R1248))/(ISNUMBER(SEARCH("Conocer",$R1248))+ISNUMBER(SEARCH("Aplicar",$R1248))+ISNUMBER(SEARCH("Razonar",$R1248))),0)</f>
        <v>0.5</v>
      </c>
      <c r="U1248" s="121" cm="1">
        <f t="array" ref="U1248">_xlfn.IFERROR(ISNUMBER(SEARCH("Razonar",$R1248))/(ISNUMBER(SEARCH("Conocer",$R1248))+ISNUMBER(SEARCH("Aplicar",$R1248))+ISNUMBER(SEARCH("Razonar",$R1248))),0)</f>
        <v>0.5</v>
      </c>
      <c r="V1248" t="s" s="35">
        <v>1409</v>
      </c>
      <c r="W1248" t="s" s="35">
        <v>7006</v>
      </c>
      <c r="X1248" s="36" cm="1">
        <f t="array" ref="X1248">IF(OR(_xlfn.IFERROR(INDEX('Datos - Catálogo TIMSS'!$I$5:$I$107,MATCH(K1248,'Datos - Catálogo TIMSS'!$A$5:$A$107,0)),"No")="Sí",_xlfn.IFERROR(INDEX('Datos - Catálogo TIMSS'!$I$5:$I$107,MATCH(L1248,'Datos - Catálogo TIMSS'!$A$5:$A$107,0)),"No")="Sí"),1,0)</f>
        <v>0</v>
      </c>
      <c r="Y1248" s="36" cm="1">
        <f t="array" ref="Y1248">IF(_xlfn.IFERROR(INDEX('Datos - Catálogo TIMSS'!$J$5:$J$107,MATCH(K1248,'Datos - Catálogo TIMSS'!$A$5:$A$107,0)),"No")="Sí",1,0)</f>
        <v>0</v>
      </c>
      <c r="Z1248" s="36" cm="1">
        <f t="array" ref="Z1248">IF(_xlfn.IFERROR(INDEX('Datos - Catálogo TIMSS'!$J$5:$J$107,MATCH(L1248,'Datos - Catálogo TIMSS'!$A$5:$A$107,0)),"No")="Sí",1,0)</f>
        <v>0</v>
      </c>
      <c r="AA1248" t="s" s="35">
        <v>1058</v>
      </c>
      <c r="AB1248" s="39"/>
      <c r="AC1248" t="str" s="39">
        <v>Sin marco</v>
      </c>
      <c r="AD1248" t="s" s="35">
        <v>1834</v>
      </c>
      <c r="AE1248" t="str" s="39" cm="1">
        <f t="array" ref="AE1248">IF(AD1248="","",IF(LEFT(AD1248,1)="1","C1",IF(LEFT(AD1248,1)="2","C2",IF(LEFT(AD1248,1)="3","C3",""))))</f>
        <v>C2</v>
      </c>
      <c r="AF1248" t="s" s="35">
        <v>1615</v>
      </c>
      <c r="AG1248" t="s" s="35">
        <v>1617</v>
      </c>
      <c r="AH1248" t="s" s="35">
        <v>1602</v>
      </c>
      <c r="AI1248" t="s" s="35">
        <v>1619</v>
      </c>
      <c r="AJ1248" t="s" s="35">
        <v>1621</v>
      </c>
      <c r="AK1248" s="39"/>
      <c r="AL1248" s="39"/>
      <c r="AM1248" s="39"/>
      <c r="AN1248" s="39"/>
      <c r="AO1248" s="39"/>
      <c r="AP1248" s="39"/>
      <c r="AQ1248" s="39"/>
      <c r="AR1248" s="39"/>
      <c r="AS1248" s="39"/>
      <c r="AT1248" s="39"/>
      <c r="AU1248" s="39"/>
      <c r="AV1248" s="39"/>
      <c r="AW1248" t="str" s="39" cm="1">
        <f t="array" ref="AW1248">AF1248&amp;"; "&amp;AG1248&amp;"; "&amp;AH1248&amp;"; "&amp;AI1248&amp;"; "&amp;AJ1248</f>
        <v>E6; D1; E1; D2; D3</v>
      </c>
    </row>
    <row r="1249" ht="13.65" customHeight="1">
      <c r="A1249" t="s" s="35">
        <v>7549</v>
      </c>
      <c r="B1249" s="36">
        <v>11</v>
      </c>
      <c r="C1249" t="s" s="35">
        <v>210</v>
      </c>
      <c r="D1249" t="s" s="35">
        <v>7000</v>
      </c>
      <c r="E1249" t="s" s="35">
        <v>7275</v>
      </c>
      <c r="F1249" s="36">
        <v>79</v>
      </c>
      <c r="G1249" t="s" s="35">
        <v>7534</v>
      </c>
      <c r="H1249" t="s" s="35">
        <v>7550</v>
      </c>
      <c r="I1249" t="s" s="120">
        <v>7551</v>
      </c>
      <c r="J1249" t="s" s="35">
        <v>6185</v>
      </c>
      <c r="K1249" t="s" s="35">
        <v>1058</v>
      </c>
      <c r="L1249" s="39"/>
      <c r="M1249" t="str" s="39">
        <v>Sin marco</v>
      </c>
      <c r="N1249" t="str" s="39">
        <v>Sin marco</v>
      </c>
      <c r="O1249" t="str" s="39" cm="1">
        <f t="array" ref="O1249">IF(L1249="","",_xlfn.IFERROR(INDEX('Datos - Catálogo TIMSS'!$C$5:$C$107,MATCH(L1249,'Datos - Catálogo TIMSS'!$A$5:$A$107,0)),"?"))</f>
      </c>
      <c r="P1249" t="s" s="35">
        <v>1058</v>
      </c>
      <c r="Q1249" t="s" s="120">
        <v>6186</v>
      </c>
      <c r="R1249" t="s" s="120">
        <v>7552</v>
      </c>
      <c r="S1249" s="121" cm="1">
        <f t="array" ref="S1249">_xlfn.IFERROR(ISNUMBER(SEARCH("Conocer",$R1249))/(ISNUMBER(SEARCH("Conocer",$R1249))+ISNUMBER(SEARCH("Aplicar",$R1249))+ISNUMBER(SEARCH("Razonar",$R1249))),0)</f>
        <v>0</v>
      </c>
      <c r="T1249" s="121" cm="1">
        <f t="array" ref="T1249">_xlfn.IFERROR(ISNUMBER(SEARCH("Aplicar",$R1249))/(ISNUMBER(SEARCH("Conocer",$R1249))+ISNUMBER(SEARCH("Aplicar",$R1249))+ISNUMBER(SEARCH("Razonar",$R1249))),0)</f>
        <v>0.5</v>
      </c>
      <c r="U1249" s="121" cm="1">
        <f t="array" ref="U1249">_xlfn.IFERROR(ISNUMBER(SEARCH("Razonar",$R1249))/(ISNUMBER(SEARCH("Conocer",$R1249))+ISNUMBER(SEARCH("Aplicar",$R1249))+ISNUMBER(SEARCH("Razonar",$R1249))),0)</f>
        <v>0.5</v>
      </c>
      <c r="V1249" t="s" s="35">
        <v>1409</v>
      </c>
      <c r="W1249" t="s" s="35">
        <v>7006</v>
      </c>
      <c r="X1249" s="36" cm="1">
        <f t="array" ref="X1249">IF(OR(_xlfn.IFERROR(INDEX('Datos - Catálogo TIMSS'!$I$5:$I$107,MATCH(K1249,'Datos - Catálogo TIMSS'!$A$5:$A$107,0)),"No")="Sí",_xlfn.IFERROR(INDEX('Datos - Catálogo TIMSS'!$I$5:$I$107,MATCH(L1249,'Datos - Catálogo TIMSS'!$A$5:$A$107,0)),"No")="Sí"),1,0)</f>
        <v>0</v>
      </c>
      <c r="Y1249" s="36" cm="1">
        <f t="array" ref="Y1249">IF(_xlfn.IFERROR(INDEX('Datos - Catálogo TIMSS'!$J$5:$J$107,MATCH(K1249,'Datos - Catálogo TIMSS'!$A$5:$A$107,0)),"No")="Sí",1,0)</f>
        <v>0</v>
      </c>
      <c r="Z1249" s="36" cm="1">
        <f t="array" ref="Z1249">IF(_xlfn.IFERROR(INDEX('Datos - Catálogo TIMSS'!$J$5:$J$107,MATCH(L1249,'Datos - Catálogo TIMSS'!$A$5:$A$107,0)),"No")="Sí",1,0)</f>
        <v>0</v>
      </c>
      <c r="AA1249" t="s" s="35">
        <v>1058</v>
      </c>
      <c r="AB1249" s="39"/>
      <c r="AC1249" t="str" s="39">
        <v>Sin marco</v>
      </c>
      <c r="AD1249" t="s" s="35">
        <v>1859</v>
      </c>
      <c r="AE1249" t="str" s="39" cm="1">
        <f t="array" ref="AE1249">IF(AD1249="","",IF(LEFT(AD1249,1)="1","C1",IF(LEFT(AD1249,1)="2","C2",IF(LEFT(AD1249,1)="3","C3",""))))</f>
        <v>C1</v>
      </c>
      <c r="AF1249" t="s" s="35">
        <v>1602</v>
      </c>
      <c r="AG1249" t="s" s="35">
        <v>1612</v>
      </c>
      <c r="AH1249" t="s" s="35">
        <v>1609</v>
      </c>
      <c r="AI1249" t="s" s="35">
        <v>1623</v>
      </c>
      <c r="AJ1249" t="s" s="35">
        <v>1607</v>
      </c>
      <c r="AK1249" s="39"/>
      <c r="AL1249" s="39"/>
      <c r="AM1249" s="39"/>
      <c r="AN1249" s="39"/>
      <c r="AO1249" s="39"/>
      <c r="AP1249" s="39"/>
      <c r="AQ1249" s="39"/>
      <c r="AR1249" s="39"/>
      <c r="AS1249" s="39"/>
      <c r="AT1249" s="39"/>
      <c r="AU1249" s="39"/>
      <c r="AV1249" s="39"/>
      <c r="AW1249" t="str" s="39" cm="1">
        <f t="array" ref="AW1249">AF1249&amp;"; "&amp;AG1249&amp;"; "&amp;AH1249&amp;"; "&amp;AI1249&amp;"; "&amp;AJ1249</f>
        <v>E1; E5; E4; D4; E3</v>
      </c>
    </row>
    <row r="1250" ht="13.65" customHeight="1">
      <c r="A1250" t="s" s="35">
        <v>7553</v>
      </c>
      <c r="B1250" s="36">
        <v>11</v>
      </c>
      <c r="C1250" t="s" s="35">
        <v>210</v>
      </c>
      <c r="D1250" t="s" s="35">
        <v>7000</v>
      </c>
      <c r="E1250" t="s" s="35">
        <v>7275</v>
      </c>
      <c r="F1250" s="36">
        <v>80</v>
      </c>
      <c r="G1250" t="s" s="35">
        <v>7534</v>
      </c>
      <c r="H1250" t="s" s="35">
        <v>7550</v>
      </c>
      <c r="I1250" t="s" s="120">
        <v>7554</v>
      </c>
      <c r="J1250" t="s" s="35">
        <v>6185</v>
      </c>
      <c r="K1250" t="s" s="35">
        <v>1058</v>
      </c>
      <c r="L1250" s="39"/>
      <c r="M1250" t="str" s="39">
        <v>Sin marco</v>
      </c>
      <c r="N1250" t="str" s="39">
        <v>Sin marco</v>
      </c>
      <c r="O1250" t="str" s="39" cm="1">
        <f t="array" ref="O1250">IF(L1250="","",_xlfn.IFERROR(INDEX('Datos - Catálogo TIMSS'!$C$5:$C$107,MATCH(L1250,'Datos - Catálogo TIMSS'!$A$5:$A$107,0)),"?"))</f>
      </c>
      <c r="P1250" t="s" s="35">
        <v>1058</v>
      </c>
      <c r="Q1250" t="s" s="120">
        <v>6186</v>
      </c>
      <c r="R1250" t="s" s="120">
        <v>7555</v>
      </c>
      <c r="S1250" s="121" cm="1">
        <f t="array" ref="S1250">_xlfn.IFERROR(ISNUMBER(SEARCH("Conocer",$R1250))/(ISNUMBER(SEARCH("Conocer",$R1250))+ISNUMBER(SEARCH("Aplicar",$R1250))+ISNUMBER(SEARCH("Razonar",$R1250))),0)</f>
        <v>0</v>
      </c>
      <c r="T1250" s="121" cm="1">
        <f t="array" ref="T1250">_xlfn.IFERROR(ISNUMBER(SEARCH("Aplicar",$R1250))/(ISNUMBER(SEARCH("Conocer",$R1250))+ISNUMBER(SEARCH("Aplicar",$R1250))+ISNUMBER(SEARCH("Razonar",$R1250))),0)</f>
        <v>0.5</v>
      </c>
      <c r="U1250" s="121" cm="1">
        <f t="array" ref="U1250">_xlfn.IFERROR(ISNUMBER(SEARCH("Razonar",$R1250))/(ISNUMBER(SEARCH("Conocer",$R1250))+ISNUMBER(SEARCH("Aplicar",$R1250))+ISNUMBER(SEARCH("Razonar",$R1250))),0)</f>
        <v>0.5</v>
      </c>
      <c r="V1250" t="s" s="35">
        <v>1409</v>
      </c>
      <c r="W1250" t="s" s="35">
        <v>7006</v>
      </c>
      <c r="X1250" s="36" cm="1">
        <f t="array" ref="X1250">IF(OR(_xlfn.IFERROR(INDEX('Datos - Catálogo TIMSS'!$I$5:$I$107,MATCH(K1250,'Datos - Catálogo TIMSS'!$A$5:$A$107,0)),"No")="Sí",_xlfn.IFERROR(INDEX('Datos - Catálogo TIMSS'!$I$5:$I$107,MATCH(L1250,'Datos - Catálogo TIMSS'!$A$5:$A$107,0)),"No")="Sí"),1,0)</f>
        <v>0</v>
      </c>
      <c r="Y1250" s="36" cm="1">
        <f t="array" ref="Y1250">IF(_xlfn.IFERROR(INDEX('Datos - Catálogo TIMSS'!$J$5:$J$107,MATCH(K1250,'Datos - Catálogo TIMSS'!$A$5:$A$107,0)),"No")="Sí",1,0)</f>
        <v>0</v>
      </c>
      <c r="Z1250" s="36" cm="1">
        <f t="array" ref="Z1250">IF(_xlfn.IFERROR(INDEX('Datos - Catálogo TIMSS'!$J$5:$J$107,MATCH(L1250,'Datos - Catálogo TIMSS'!$A$5:$A$107,0)),"No")="Sí",1,0)</f>
        <v>0</v>
      </c>
      <c r="AA1250" t="s" s="35">
        <v>1058</v>
      </c>
      <c r="AB1250" s="39"/>
      <c r="AC1250" t="str" s="39">
        <v>Sin marco</v>
      </c>
      <c r="AD1250" t="s" s="35">
        <v>1859</v>
      </c>
      <c r="AE1250" t="str" s="39" cm="1">
        <f t="array" ref="AE1250">IF(AD1250="","",IF(LEFT(AD1250,1)="1","C1",IF(LEFT(AD1250,1)="2","C2",IF(LEFT(AD1250,1)="3","C3",""))))</f>
        <v>C1</v>
      </c>
      <c r="AF1250" t="s" s="35">
        <v>1615</v>
      </c>
      <c r="AG1250" t="s" s="35">
        <v>1617</v>
      </c>
      <c r="AH1250" t="s" s="35">
        <v>1609</v>
      </c>
      <c r="AI1250" t="s" s="35">
        <v>1623</v>
      </c>
      <c r="AJ1250" t="s" s="35">
        <v>1607</v>
      </c>
      <c r="AK1250" s="39"/>
      <c r="AL1250" s="39"/>
      <c r="AM1250" s="39"/>
      <c r="AN1250" s="39"/>
      <c r="AO1250" s="39"/>
      <c r="AP1250" s="39"/>
      <c r="AQ1250" s="39"/>
      <c r="AR1250" s="39"/>
      <c r="AS1250" s="39"/>
      <c r="AT1250" s="39"/>
      <c r="AU1250" s="39"/>
      <c r="AV1250" s="39"/>
      <c r="AW1250" t="str" s="39" cm="1">
        <f t="array" ref="AW1250">AF1250&amp;"; "&amp;AG1250&amp;"; "&amp;AH1250&amp;"; "&amp;AI1250&amp;"; "&amp;AJ1250</f>
        <v>E6; D1; E4; D4; E3</v>
      </c>
    </row>
    <row r="1251" ht="13.65" customHeight="1">
      <c r="A1251" t="s" s="35">
        <v>7557</v>
      </c>
      <c r="B1251" s="36">
        <v>11</v>
      </c>
      <c r="C1251" t="s" s="35">
        <v>210</v>
      </c>
      <c r="D1251" t="s" s="35">
        <v>7000</v>
      </c>
      <c r="E1251" t="s" s="35">
        <v>7275</v>
      </c>
      <c r="F1251" s="36">
        <v>81</v>
      </c>
      <c r="G1251" t="s" s="35">
        <v>7558</v>
      </c>
      <c r="H1251" t="s" s="35">
        <v>7559</v>
      </c>
      <c r="I1251" t="s" s="120">
        <v>7560</v>
      </c>
      <c r="J1251" t="s" s="35">
        <v>6185</v>
      </c>
      <c r="K1251" t="s" s="35">
        <v>1058</v>
      </c>
      <c r="L1251" s="39"/>
      <c r="M1251" t="str" s="39">
        <v>Sin marco</v>
      </c>
      <c r="N1251" t="str" s="39">
        <v>Sin marco</v>
      </c>
      <c r="O1251" t="str" s="39" cm="1">
        <f t="array" ref="O1251">IF(L1251="","",_xlfn.IFERROR(INDEX('Datos - Catálogo TIMSS'!$C$5:$C$107,MATCH(L1251,'Datos - Catálogo TIMSS'!$A$5:$A$107,0)),"?"))</f>
      </c>
      <c r="P1251" t="s" s="35">
        <v>1058</v>
      </c>
      <c r="Q1251" t="s" s="120">
        <v>6186</v>
      </c>
      <c r="R1251" t="s" s="120">
        <v>7561</v>
      </c>
      <c r="S1251" s="121" cm="1">
        <f t="array" ref="S1251">_xlfn.IFERROR(ISNUMBER(SEARCH("Conocer",$R1251))/(ISNUMBER(SEARCH("Conocer",$R1251))+ISNUMBER(SEARCH("Aplicar",$R1251))+ISNUMBER(SEARCH("Razonar",$R1251))),0)</f>
        <v>0</v>
      </c>
      <c r="T1251" s="121" cm="1">
        <f t="array" ref="T1251">_xlfn.IFERROR(ISNUMBER(SEARCH("Aplicar",$R1251))/(ISNUMBER(SEARCH("Conocer",$R1251))+ISNUMBER(SEARCH("Aplicar",$R1251))+ISNUMBER(SEARCH("Razonar",$R1251))),0)</f>
        <v>0.5</v>
      </c>
      <c r="U1251" s="121" cm="1">
        <f t="array" ref="U1251">_xlfn.IFERROR(ISNUMBER(SEARCH("Razonar",$R1251))/(ISNUMBER(SEARCH("Conocer",$R1251))+ISNUMBER(SEARCH("Aplicar",$R1251))+ISNUMBER(SEARCH("Razonar",$R1251))),0)</f>
        <v>0.5</v>
      </c>
      <c r="V1251" t="s" s="35">
        <v>1409</v>
      </c>
      <c r="W1251" t="s" s="35">
        <v>7006</v>
      </c>
      <c r="X1251" s="36" cm="1">
        <f t="array" ref="X1251">IF(OR(_xlfn.IFERROR(INDEX('Datos - Catálogo TIMSS'!$I$5:$I$107,MATCH(K1251,'Datos - Catálogo TIMSS'!$A$5:$A$107,0)),"No")="Sí",_xlfn.IFERROR(INDEX('Datos - Catálogo TIMSS'!$I$5:$I$107,MATCH(L1251,'Datos - Catálogo TIMSS'!$A$5:$A$107,0)),"No")="Sí"),1,0)</f>
        <v>0</v>
      </c>
      <c r="Y1251" s="36" cm="1">
        <f t="array" ref="Y1251">IF(_xlfn.IFERROR(INDEX('Datos - Catálogo TIMSS'!$J$5:$J$107,MATCH(K1251,'Datos - Catálogo TIMSS'!$A$5:$A$107,0)),"No")="Sí",1,0)</f>
        <v>0</v>
      </c>
      <c r="Z1251" s="36" cm="1">
        <f t="array" ref="Z1251">IF(_xlfn.IFERROR(INDEX('Datos - Catálogo TIMSS'!$J$5:$J$107,MATCH(L1251,'Datos - Catálogo TIMSS'!$A$5:$A$107,0)),"No")="Sí",1,0)</f>
        <v>0</v>
      </c>
      <c r="AA1251" t="s" s="35">
        <v>1058</v>
      </c>
      <c r="AB1251" s="39"/>
      <c r="AC1251" t="str" s="39">
        <v>Sin marco</v>
      </c>
      <c r="AD1251" t="s" s="35">
        <v>1834</v>
      </c>
      <c r="AE1251" t="str" s="39" cm="1">
        <f t="array" ref="AE1251">IF(AD1251="","",IF(LEFT(AD1251,1)="1","C1",IF(LEFT(AD1251,1)="2","C2",IF(LEFT(AD1251,1)="3","C3",""))))</f>
        <v>C2</v>
      </c>
      <c r="AF1251" t="s" s="35">
        <v>1602</v>
      </c>
      <c r="AG1251" t="s" s="35">
        <v>1617</v>
      </c>
      <c r="AH1251" t="s" s="35">
        <v>1605</v>
      </c>
      <c r="AI1251" t="s" s="35">
        <v>1623</v>
      </c>
      <c r="AJ1251" t="s" s="35">
        <v>1607</v>
      </c>
      <c r="AK1251" s="39"/>
      <c r="AL1251" s="39"/>
      <c r="AM1251" s="39"/>
      <c r="AN1251" s="39"/>
      <c r="AO1251" s="39"/>
      <c r="AP1251" s="39"/>
      <c r="AQ1251" s="39"/>
      <c r="AR1251" s="39"/>
      <c r="AS1251" s="39"/>
      <c r="AT1251" s="39"/>
      <c r="AU1251" s="39"/>
      <c r="AV1251" s="39"/>
      <c r="AW1251" t="str" s="39" cm="1">
        <f t="array" ref="AW1251">AF1251&amp;"; "&amp;AG1251&amp;"; "&amp;AH1251&amp;"; "&amp;AI1251&amp;"; "&amp;AJ1251</f>
        <v>E1; D1; E2; D4; E3</v>
      </c>
    </row>
    <row r="1252" ht="13.65" customHeight="1">
      <c r="A1252" t="s" s="35">
        <v>7562</v>
      </c>
      <c r="B1252" s="36">
        <v>11</v>
      </c>
      <c r="C1252" t="s" s="35">
        <v>210</v>
      </c>
      <c r="D1252" t="s" s="35">
        <v>7000</v>
      </c>
      <c r="E1252" t="s" s="35">
        <v>7275</v>
      </c>
      <c r="F1252" s="36">
        <v>82</v>
      </c>
      <c r="G1252" t="s" s="35">
        <v>7558</v>
      </c>
      <c r="H1252" t="s" s="35">
        <v>7559</v>
      </c>
      <c r="I1252" t="s" s="120">
        <v>7563</v>
      </c>
      <c r="J1252" t="s" s="35">
        <v>6185</v>
      </c>
      <c r="K1252" t="s" s="35">
        <v>1058</v>
      </c>
      <c r="L1252" s="39"/>
      <c r="M1252" t="str" s="39">
        <v>Sin marco</v>
      </c>
      <c r="N1252" t="str" s="39">
        <v>Sin marco</v>
      </c>
      <c r="O1252" t="str" s="39" cm="1">
        <f t="array" ref="O1252">IF(L1252="","",_xlfn.IFERROR(INDEX('Datos - Catálogo TIMSS'!$C$5:$C$107,MATCH(L1252,'Datos - Catálogo TIMSS'!$A$5:$A$107,0)),"?"))</f>
      </c>
      <c r="P1252" t="s" s="35">
        <v>1058</v>
      </c>
      <c r="Q1252" t="s" s="120">
        <v>6186</v>
      </c>
      <c r="R1252" t="s" s="120">
        <v>7564</v>
      </c>
      <c r="S1252" s="121" cm="1">
        <f t="array" ref="S1252">_xlfn.IFERROR(ISNUMBER(SEARCH("Conocer",$R1252))/(ISNUMBER(SEARCH("Conocer",$R1252))+ISNUMBER(SEARCH("Aplicar",$R1252))+ISNUMBER(SEARCH("Razonar",$R1252))),0)</f>
        <v>0</v>
      </c>
      <c r="T1252" s="121" cm="1">
        <f t="array" ref="T1252">_xlfn.IFERROR(ISNUMBER(SEARCH("Aplicar",$R1252))/(ISNUMBER(SEARCH("Conocer",$R1252))+ISNUMBER(SEARCH("Aplicar",$R1252))+ISNUMBER(SEARCH("Razonar",$R1252))),0)</f>
        <v>0.5</v>
      </c>
      <c r="U1252" s="121" cm="1">
        <f t="array" ref="U1252">_xlfn.IFERROR(ISNUMBER(SEARCH("Razonar",$R1252))/(ISNUMBER(SEARCH("Conocer",$R1252))+ISNUMBER(SEARCH("Aplicar",$R1252))+ISNUMBER(SEARCH("Razonar",$R1252))),0)</f>
        <v>0.5</v>
      </c>
      <c r="V1252" t="s" s="35">
        <v>1409</v>
      </c>
      <c r="W1252" t="s" s="35">
        <v>7006</v>
      </c>
      <c r="X1252" s="36" cm="1">
        <f t="array" ref="X1252">IF(OR(_xlfn.IFERROR(INDEX('Datos - Catálogo TIMSS'!$I$5:$I$107,MATCH(K1252,'Datos - Catálogo TIMSS'!$A$5:$A$107,0)),"No")="Sí",_xlfn.IFERROR(INDEX('Datos - Catálogo TIMSS'!$I$5:$I$107,MATCH(L1252,'Datos - Catálogo TIMSS'!$A$5:$A$107,0)),"No")="Sí"),1,0)</f>
        <v>0</v>
      </c>
      <c r="Y1252" s="36" cm="1">
        <f t="array" ref="Y1252">IF(_xlfn.IFERROR(INDEX('Datos - Catálogo TIMSS'!$J$5:$J$107,MATCH(K1252,'Datos - Catálogo TIMSS'!$A$5:$A$107,0)),"No")="Sí",1,0)</f>
        <v>0</v>
      </c>
      <c r="Z1252" s="36" cm="1">
        <f t="array" ref="Z1252">IF(_xlfn.IFERROR(INDEX('Datos - Catálogo TIMSS'!$J$5:$J$107,MATCH(L1252,'Datos - Catálogo TIMSS'!$A$5:$A$107,0)),"No")="Sí",1,0)</f>
        <v>0</v>
      </c>
      <c r="AA1252" t="s" s="35">
        <v>1058</v>
      </c>
      <c r="AB1252" s="39"/>
      <c r="AC1252" t="str" s="39">
        <v>Sin marco</v>
      </c>
      <c r="AD1252" t="s" s="35">
        <v>1834</v>
      </c>
      <c r="AE1252" t="str" s="39" cm="1">
        <f t="array" ref="AE1252">IF(AD1252="","",IF(LEFT(AD1252,1)="1","C1",IF(LEFT(AD1252,1)="2","C2",IF(LEFT(AD1252,1)="3","C3",""))))</f>
        <v>C2</v>
      </c>
      <c r="AF1252" t="s" s="35">
        <v>1602</v>
      </c>
      <c r="AG1252" t="s" s="35">
        <v>1617</v>
      </c>
      <c r="AH1252" t="s" s="35">
        <v>1605</v>
      </c>
      <c r="AI1252" t="s" s="35">
        <v>1619</v>
      </c>
      <c r="AJ1252" t="s" s="35">
        <v>1621</v>
      </c>
      <c r="AK1252" s="39"/>
      <c r="AL1252" s="39"/>
      <c r="AM1252" s="39"/>
      <c r="AN1252" s="39"/>
      <c r="AO1252" s="39"/>
      <c r="AP1252" s="39"/>
      <c r="AQ1252" s="39"/>
      <c r="AR1252" s="39"/>
      <c r="AS1252" s="39"/>
      <c r="AT1252" s="39"/>
      <c r="AU1252" s="39"/>
      <c r="AV1252" s="39"/>
      <c r="AW1252" t="str" s="39" cm="1">
        <f t="array" ref="AW1252">AF1252&amp;"; "&amp;AG1252&amp;"; "&amp;AH1252&amp;"; "&amp;AI1252&amp;"; "&amp;AJ1252</f>
        <v>E1; D1; E2; D2; D3</v>
      </c>
    </row>
    <row r="1253" ht="13.65" customHeight="1">
      <c r="A1253" t="s" s="35">
        <v>7565</v>
      </c>
      <c r="B1253" s="36">
        <v>11</v>
      </c>
      <c r="C1253" t="s" s="35">
        <v>210</v>
      </c>
      <c r="D1253" t="s" s="35">
        <v>7000</v>
      </c>
      <c r="E1253" t="s" s="35">
        <v>7275</v>
      </c>
      <c r="F1253" s="36">
        <v>83</v>
      </c>
      <c r="G1253" t="s" s="35">
        <v>7558</v>
      </c>
      <c r="H1253" t="s" s="35">
        <v>7566</v>
      </c>
      <c r="I1253" t="s" s="120">
        <v>7567</v>
      </c>
      <c r="J1253" t="s" s="35">
        <v>6185</v>
      </c>
      <c r="K1253" t="s" s="35">
        <v>1058</v>
      </c>
      <c r="L1253" s="39"/>
      <c r="M1253" t="str" s="39">
        <v>Sin marco</v>
      </c>
      <c r="N1253" t="str" s="39">
        <v>Sin marco</v>
      </c>
      <c r="O1253" t="str" s="39" cm="1">
        <f t="array" ref="O1253">IF(L1253="","",_xlfn.IFERROR(INDEX('Datos - Catálogo TIMSS'!$C$5:$C$107,MATCH(L1253,'Datos - Catálogo TIMSS'!$A$5:$A$107,0)),"?"))</f>
      </c>
      <c r="P1253" t="s" s="35">
        <v>1058</v>
      </c>
      <c r="Q1253" t="s" s="120">
        <v>6186</v>
      </c>
      <c r="R1253" t="s" s="120">
        <v>7568</v>
      </c>
      <c r="S1253" s="121" cm="1">
        <f t="array" ref="S1253">_xlfn.IFERROR(ISNUMBER(SEARCH("Conocer",$R1253))/(ISNUMBER(SEARCH("Conocer",$R1253))+ISNUMBER(SEARCH("Aplicar",$R1253))+ISNUMBER(SEARCH("Razonar",$R1253))),0)</f>
        <v>0</v>
      </c>
      <c r="T1253" s="121" cm="1">
        <f t="array" ref="T1253">_xlfn.IFERROR(ISNUMBER(SEARCH("Aplicar",$R1253))/(ISNUMBER(SEARCH("Conocer",$R1253))+ISNUMBER(SEARCH("Aplicar",$R1253))+ISNUMBER(SEARCH("Razonar",$R1253))),0)</f>
        <v>0.5</v>
      </c>
      <c r="U1253" s="121" cm="1">
        <f t="array" ref="U1253">_xlfn.IFERROR(ISNUMBER(SEARCH("Razonar",$R1253))/(ISNUMBER(SEARCH("Conocer",$R1253))+ISNUMBER(SEARCH("Aplicar",$R1253))+ISNUMBER(SEARCH("Razonar",$R1253))),0)</f>
        <v>0.5</v>
      </c>
      <c r="V1253" t="s" s="35">
        <v>1409</v>
      </c>
      <c r="W1253" t="s" s="35">
        <v>7006</v>
      </c>
      <c r="X1253" s="36" cm="1">
        <f t="array" ref="X1253">IF(OR(_xlfn.IFERROR(INDEX('Datos - Catálogo TIMSS'!$I$5:$I$107,MATCH(K1253,'Datos - Catálogo TIMSS'!$A$5:$A$107,0)),"No")="Sí",_xlfn.IFERROR(INDEX('Datos - Catálogo TIMSS'!$I$5:$I$107,MATCH(L1253,'Datos - Catálogo TIMSS'!$A$5:$A$107,0)),"No")="Sí"),1,0)</f>
        <v>0</v>
      </c>
      <c r="Y1253" s="36" cm="1">
        <f t="array" ref="Y1253">IF(_xlfn.IFERROR(INDEX('Datos - Catálogo TIMSS'!$J$5:$J$107,MATCH(K1253,'Datos - Catálogo TIMSS'!$A$5:$A$107,0)),"No")="Sí",1,0)</f>
        <v>0</v>
      </c>
      <c r="Z1253" s="36" cm="1">
        <f t="array" ref="Z1253">IF(_xlfn.IFERROR(INDEX('Datos - Catálogo TIMSS'!$J$5:$J$107,MATCH(L1253,'Datos - Catálogo TIMSS'!$A$5:$A$107,0)),"No")="Sí",1,0)</f>
        <v>0</v>
      </c>
      <c r="AA1253" t="s" s="35">
        <v>1058</v>
      </c>
      <c r="AB1253" s="39"/>
      <c r="AC1253" t="str" s="39">
        <v>Sin marco</v>
      </c>
      <c r="AD1253" t="s" s="35">
        <v>1859</v>
      </c>
      <c r="AE1253" t="str" s="39" cm="1">
        <f t="array" ref="AE1253">IF(AD1253="","",IF(LEFT(AD1253,1)="1","C1",IF(LEFT(AD1253,1)="2","C2",IF(LEFT(AD1253,1)="3","C3",""))))</f>
        <v>C1</v>
      </c>
      <c r="AF1253" t="s" s="35">
        <v>1615</v>
      </c>
      <c r="AG1253" t="s" s="35">
        <v>1607</v>
      </c>
      <c r="AH1253" t="s" s="35">
        <v>1609</v>
      </c>
      <c r="AI1253" t="s" s="35">
        <v>1623</v>
      </c>
      <c r="AJ1253" t="s" s="35">
        <v>1633</v>
      </c>
      <c r="AK1253" s="39"/>
      <c r="AL1253" s="39"/>
      <c r="AM1253" s="39"/>
      <c r="AN1253" s="39"/>
      <c r="AO1253" s="39"/>
      <c r="AP1253" s="39"/>
      <c r="AQ1253" s="39"/>
      <c r="AR1253" s="39"/>
      <c r="AS1253" s="39"/>
      <c r="AT1253" s="39"/>
      <c r="AU1253" s="39"/>
      <c r="AV1253" s="39"/>
      <c r="AW1253" t="str" s="39" cm="1">
        <f t="array" ref="AW1253">AF1253&amp;"; "&amp;AG1253&amp;"; "&amp;AH1253&amp;"; "&amp;AI1253&amp;"; "&amp;AJ1253</f>
        <v>E6; E3; E4; D4; I5</v>
      </c>
    </row>
    <row r="1254" ht="13.65" customHeight="1">
      <c r="A1254" t="s" s="35">
        <v>7569</v>
      </c>
      <c r="B1254" s="36">
        <v>11</v>
      </c>
      <c r="C1254" t="s" s="35">
        <v>210</v>
      </c>
      <c r="D1254" t="s" s="35">
        <v>7000</v>
      </c>
      <c r="E1254" t="s" s="35">
        <v>7275</v>
      </c>
      <c r="F1254" s="36">
        <v>84</v>
      </c>
      <c r="G1254" t="s" s="35">
        <v>7558</v>
      </c>
      <c r="H1254" t="s" s="35">
        <v>7566</v>
      </c>
      <c r="I1254" t="s" s="120">
        <v>7570</v>
      </c>
      <c r="J1254" t="s" s="35">
        <v>6185</v>
      </c>
      <c r="K1254" t="s" s="35">
        <v>1058</v>
      </c>
      <c r="L1254" s="39"/>
      <c r="M1254" t="str" s="39">
        <v>Sin marco</v>
      </c>
      <c r="N1254" t="str" s="39">
        <v>Sin marco</v>
      </c>
      <c r="O1254" t="str" s="39" cm="1">
        <f t="array" ref="O1254">IF(L1254="","",_xlfn.IFERROR(INDEX('Datos - Catálogo TIMSS'!$C$5:$C$107,MATCH(L1254,'Datos - Catálogo TIMSS'!$A$5:$A$107,0)),"?"))</f>
      </c>
      <c r="P1254" t="s" s="35">
        <v>1058</v>
      </c>
      <c r="Q1254" t="s" s="120">
        <v>6186</v>
      </c>
      <c r="R1254" t="s" s="120">
        <v>7571</v>
      </c>
      <c r="S1254" s="121" cm="1">
        <f t="array" ref="S1254">_xlfn.IFERROR(ISNUMBER(SEARCH("Conocer",$R1254))/(ISNUMBER(SEARCH("Conocer",$R1254))+ISNUMBER(SEARCH("Aplicar",$R1254))+ISNUMBER(SEARCH("Razonar",$R1254))),0)</f>
        <v>0</v>
      </c>
      <c r="T1254" s="121" cm="1">
        <f t="array" ref="T1254">_xlfn.IFERROR(ISNUMBER(SEARCH("Aplicar",$R1254))/(ISNUMBER(SEARCH("Conocer",$R1254))+ISNUMBER(SEARCH("Aplicar",$R1254))+ISNUMBER(SEARCH("Razonar",$R1254))),0)</f>
        <v>0.5</v>
      </c>
      <c r="U1254" s="121" cm="1">
        <f t="array" ref="U1254">_xlfn.IFERROR(ISNUMBER(SEARCH("Razonar",$R1254))/(ISNUMBER(SEARCH("Conocer",$R1254))+ISNUMBER(SEARCH("Aplicar",$R1254))+ISNUMBER(SEARCH("Razonar",$R1254))),0)</f>
        <v>0.5</v>
      </c>
      <c r="V1254" t="s" s="35">
        <v>1409</v>
      </c>
      <c r="W1254" t="s" s="35">
        <v>7006</v>
      </c>
      <c r="X1254" s="36" cm="1">
        <f t="array" ref="X1254">IF(OR(_xlfn.IFERROR(INDEX('Datos - Catálogo TIMSS'!$I$5:$I$107,MATCH(K1254,'Datos - Catálogo TIMSS'!$A$5:$A$107,0)),"No")="Sí",_xlfn.IFERROR(INDEX('Datos - Catálogo TIMSS'!$I$5:$I$107,MATCH(L1254,'Datos - Catálogo TIMSS'!$A$5:$A$107,0)),"No")="Sí"),1,0)</f>
        <v>0</v>
      </c>
      <c r="Y1254" s="36" cm="1">
        <f t="array" ref="Y1254">IF(_xlfn.IFERROR(INDEX('Datos - Catálogo TIMSS'!$J$5:$J$107,MATCH(K1254,'Datos - Catálogo TIMSS'!$A$5:$A$107,0)),"No")="Sí",1,0)</f>
        <v>0</v>
      </c>
      <c r="Z1254" s="36" cm="1">
        <f t="array" ref="Z1254">IF(_xlfn.IFERROR(INDEX('Datos - Catálogo TIMSS'!$J$5:$J$107,MATCH(L1254,'Datos - Catálogo TIMSS'!$A$5:$A$107,0)),"No")="Sí",1,0)</f>
        <v>0</v>
      </c>
      <c r="AA1254" t="s" s="35">
        <v>1058</v>
      </c>
      <c r="AB1254" s="39"/>
      <c r="AC1254" t="str" s="39">
        <v>Sin marco</v>
      </c>
      <c r="AD1254" t="s" s="35">
        <v>1834</v>
      </c>
      <c r="AE1254" t="str" s="39" cm="1">
        <f t="array" ref="AE1254">IF(AD1254="","",IF(LEFT(AD1254,1)="1","C1",IF(LEFT(AD1254,1)="2","C2",IF(LEFT(AD1254,1)="3","C3",""))))</f>
        <v>C2</v>
      </c>
      <c r="AF1254" t="s" s="35">
        <v>1602</v>
      </c>
      <c r="AG1254" t="s" s="35">
        <v>1612</v>
      </c>
      <c r="AH1254" t="s" s="35">
        <v>1605</v>
      </c>
      <c r="AI1254" t="s" s="35">
        <v>1623</v>
      </c>
      <c r="AJ1254" t="s" s="35">
        <v>1607</v>
      </c>
      <c r="AK1254" s="39"/>
      <c r="AL1254" s="39"/>
      <c r="AM1254" s="39"/>
      <c r="AN1254" s="39"/>
      <c r="AO1254" s="39"/>
      <c r="AP1254" s="39"/>
      <c r="AQ1254" s="39"/>
      <c r="AR1254" s="39"/>
      <c r="AS1254" s="39"/>
      <c r="AT1254" s="39"/>
      <c r="AU1254" s="39"/>
      <c r="AV1254" s="39"/>
      <c r="AW1254" t="str" s="39" cm="1">
        <f t="array" ref="AW1254">AF1254&amp;"; "&amp;AG1254&amp;"; "&amp;AH1254&amp;"; "&amp;AI1254&amp;"; "&amp;AJ1254</f>
        <v>E1; E5; E2; D4; E3</v>
      </c>
    </row>
    <row r="1255" ht="13.65" customHeight="1">
      <c r="A1255" t="s" s="35">
        <v>7572</v>
      </c>
      <c r="B1255" s="36">
        <v>11</v>
      </c>
      <c r="C1255" t="s" s="35">
        <v>210</v>
      </c>
      <c r="D1255" t="s" s="35">
        <v>7000</v>
      </c>
      <c r="E1255" t="s" s="35">
        <v>7275</v>
      </c>
      <c r="F1255" s="36">
        <v>85</v>
      </c>
      <c r="G1255" t="s" s="35">
        <v>7558</v>
      </c>
      <c r="H1255" t="s" s="35">
        <v>7573</v>
      </c>
      <c r="I1255" t="s" s="120">
        <v>7574</v>
      </c>
      <c r="J1255" t="s" s="35">
        <v>6185</v>
      </c>
      <c r="K1255" t="s" s="35">
        <v>1058</v>
      </c>
      <c r="L1255" s="39"/>
      <c r="M1255" t="str" s="39">
        <v>Sin marco</v>
      </c>
      <c r="N1255" t="str" s="39">
        <v>Sin marco</v>
      </c>
      <c r="O1255" t="str" s="39" cm="1">
        <f t="array" ref="O1255">IF(L1255="","",_xlfn.IFERROR(INDEX('Datos - Catálogo TIMSS'!$C$5:$C$107,MATCH(L1255,'Datos - Catálogo TIMSS'!$A$5:$A$107,0)),"?"))</f>
      </c>
      <c r="P1255" t="s" s="35">
        <v>1058</v>
      </c>
      <c r="Q1255" t="s" s="120">
        <v>6186</v>
      </c>
      <c r="R1255" t="s" s="120">
        <v>7575</v>
      </c>
      <c r="S1255" s="121" cm="1">
        <f t="array" ref="S1255">_xlfn.IFERROR(ISNUMBER(SEARCH("Conocer",$R1255))/(ISNUMBER(SEARCH("Conocer",$R1255))+ISNUMBER(SEARCH("Aplicar",$R1255))+ISNUMBER(SEARCH("Razonar",$R1255))),0)</f>
        <v>0.333333333333333</v>
      </c>
      <c r="T1255" s="121" cm="1">
        <f t="array" ref="T1255">_xlfn.IFERROR(ISNUMBER(SEARCH("Aplicar",$R1255))/(ISNUMBER(SEARCH("Conocer",$R1255))+ISNUMBER(SEARCH("Aplicar",$R1255))+ISNUMBER(SEARCH("Razonar",$R1255))),0)</f>
        <v>0.333333333333333</v>
      </c>
      <c r="U1255" s="121" cm="1">
        <f t="array" ref="U1255">_xlfn.IFERROR(ISNUMBER(SEARCH("Razonar",$R1255))/(ISNUMBER(SEARCH("Conocer",$R1255))+ISNUMBER(SEARCH("Aplicar",$R1255))+ISNUMBER(SEARCH("Razonar",$R1255))),0)</f>
        <v>0.333333333333333</v>
      </c>
      <c r="V1255" t="s" s="35">
        <v>1409</v>
      </c>
      <c r="W1255" t="s" s="35">
        <v>7006</v>
      </c>
      <c r="X1255" s="36" cm="1">
        <f t="array" ref="X1255">IF(OR(_xlfn.IFERROR(INDEX('Datos - Catálogo TIMSS'!$I$5:$I$107,MATCH(K1255,'Datos - Catálogo TIMSS'!$A$5:$A$107,0)),"No")="Sí",_xlfn.IFERROR(INDEX('Datos - Catálogo TIMSS'!$I$5:$I$107,MATCH(L1255,'Datos - Catálogo TIMSS'!$A$5:$A$107,0)),"No")="Sí"),1,0)</f>
        <v>0</v>
      </c>
      <c r="Y1255" s="36" cm="1">
        <f t="array" ref="Y1255">IF(_xlfn.IFERROR(INDEX('Datos - Catálogo TIMSS'!$J$5:$J$107,MATCH(K1255,'Datos - Catálogo TIMSS'!$A$5:$A$107,0)),"No")="Sí",1,0)</f>
        <v>0</v>
      </c>
      <c r="Z1255" s="36" cm="1">
        <f t="array" ref="Z1255">IF(_xlfn.IFERROR(INDEX('Datos - Catálogo TIMSS'!$J$5:$J$107,MATCH(L1255,'Datos - Catálogo TIMSS'!$A$5:$A$107,0)),"No")="Sí",1,0)</f>
        <v>0</v>
      </c>
      <c r="AA1255" t="s" s="35">
        <v>1058</v>
      </c>
      <c r="AB1255" s="39"/>
      <c r="AC1255" t="str" s="39">
        <v>Sin marco</v>
      </c>
      <c r="AD1255" t="s" s="35">
        <v>1859</v>
      </c>
      <c r="AE1255" t="str" s="39" cm="1">
        <f t="array" ref="AE1255">IF(AD1255="","",IF(LEFT(AD1255,1)="1","C1",IF(LEFT(AD1255,1)="2","C2",IF(LEFT(AD1255,1)="3","C3",""))))</f>
        <v>C1</v>
      </c>
      <c r="AF1255" t="s" s="35">
        <v>1602</v>
      </c>
      <c r="AG1255" t="s" s="35">
        <v>1617</v>
      </c>
      <c r="AH1255" t="s" s="35">
        <v>1602</v>
      </c>
      <c r="AI1255" t="s" s="35">
        <v>1623</v>
      </c>
      <c r="AJ1255" t="s" s="35">
        <v>1615</v>
      </c>
      <c r="AK1255" s="39"/>
      <c r="AL1255" s="39"/>
      <c r="AM1255" s="39"/>
      <c r="AN1255" s="39"/>
      <c r="AO1255" s="39"/>
      <c r="AP1255" s="39"/>
      <c r="AQ1255" s="39"/>
      <c r="AR1255" s="39"/>
      <c r="AS1255" s="39"/>
      <c r="AT1255" s="39"/>
      <c r="AU1255" s="39"/>
      <c r="AV1255" s="39"/>
      <c r="AW1255" t="str" s="39" cm="1">
        <f t="array" ref="AW1255">AF1255&amp;"; "&amp;AG1255&amp;"; "&amp;AH1255&amp;"; "&amp;AI1255&amp;"; "&amp;AJ1255</f>
        <v>E1; D1; E1; D4; E6</v>
      </c>
    </row>
    <row r="1256" ht="13.65" customHeight="1">
      <c r="A1256" t="s" s="35">
        <v>7576</v>
      </c>
      <c r="B1256" s="36">
        <v>11</v>
      </c>
      <c r="C1256" t="s" s="35">
        <v>210</v>
      </c>
      <c r="D1256" t="s" s="35">
        <v>7000</v>
      </c>
      <c r="E1256" t="s" s="35">
        <v>7275</v>
      </c>
      <c r="F1256" s="36">
        <v>86</v>
      </c>
      <c r="G1256" t="s" s="35">
        <v>7558</v>
      </c>
      <c r="H1256" t="s" s="35">
        <v>7573</v>
      </c>
      <c r="I1256" t="s" s="120">
        <v>7577</v>
      </c>
      <c r="J1256" t="s" s="35">
        <v>6185</v>
      </c>
      <c r="K1256" t="s" s="35">
        <v>1058</v>
      </c>
      <c r="L1256" s="39"/>
      <c r="M1256" t="str" s="39">
        <v>Sin marco</v>
      </c>
      <c r="N1256" t="str" s="39">
        <v>Sin marco</v>
      </c>
      <c r="O1256" t="str" s="39" cm="1">
        <f t="array" ref="O1256">IF(L1256="","",_xlfn.IFERROR(INDEX('Datos - Catálogo TIMSS'!$C$5:$C$107,MATCH(L1256,'Datos - Catálogo TIMSS'!$A$5:$A$107,0)),"?"))</f>
      </c>
      <c r="P1256" t="s" s="35">
        <v>1058</v>
      </c>
      <c r="Q1256" t="s" s="120">
        <v>6186</v>
      </c>
      <c r="R1256" t="s" s="120">
        <v>7578</v>
      </c>
      <c r="S1256" s="121" cm="1">
        <f t="array" ref="S1256">_xlfn.IFERROR(ISNUMBER(SEARCH("Conocer",$R1256))/(ISNUMBER(SEARCH("Conocer",$R1256))+ISNUMBER(SEARCH("Aplicar",$R1256))+ISNUMBER(SEARCH("Razonar",$R1256))),0)</f>
        <v>0</v>
      </c>
      <c r="T1256" s="121" cm="1">
        <f t="array" ref="T1256">_xlfn.IFERROR(ISNUMBER(SEARCH("Aplicar",$R1256))/(ISNUMBER(SEARCH("Conocer",$R1256))+ISNUMBER(SEARCH("Aplicar",$R1256))+ISNUMBER(SEARCH("Razonar",$R1256))),0)</f>
        <v>0.5</v>
      </c>
      <c r="U1256" s="121" cm="1">
        <f t="array" ref="U1256">_xlfn.IFERROR(ISNUMBER(SEARCH("Razonar",$R1256))/(ISNUMBER(SEARCH("Conocer",$R1256))+ISNUMBER(SEARCH("Aplicar",$R1256))+ISNUMBER(SEARCH("Razonar",$R1256))),0)</f>
        <v>0.5</v>
      </c>
      <c r="V1256" t="s" s="35">
        <v>1409</v>
      </c>
      <c r="W1256" t="s" s="35">
        <v>7006</v>
      </c>
      <c r="X1256" s="36" cm="1">
        <f t="array" ref="X1256">IF(OR(_xlfn.IFERROR(INDEX('Datos - Catálogo TIMSS'!$I$5:$I$107,MATCH(K1256,'Datos - Catálogo TIMSS'!$A$5:$A$107,0)),"No")="Sí",_xlfn.IFERROR(INDEX('Datos - Catálogo TIMSS'!$I$5:$I$107,MATCH(L1256,'Datos - Catálogo TIMSS'!$A$5:$A$107,0)),"No")="Sí"),1,0)</f>
        <v>0</v>
      </c>
      <c r="Y1256" s="36" cm="1">
        <f t="array" ref="Y1256">IF(_xlfn.IFERROR(INDEX('Datos - Catálogo TIMSS'!$J$5:$J$107,MATCH(K1256,'Datos - Catálogo TIMSS'!$A$5:$A$107,0)),"No")="Sí",1,0)</f>
        <v>0</v>
      </c>
      <c r="Z1256" s="36" cm="1">
        <f t="array" ref="Z1256">IF(_xlfn.IFERROR(INDEX('Datos - Catálogo TIMSS'!$J$5:$J$107,MATCH(L1256,'Datos - Catálogo TIMSS'!$A$5:$A$107,0)),"No")="Sí",1,0)</f>
        <v>0</v>
      </c>
      <c r="AA1256" t="s" s="35">
        <v>1058</v>
      </c>
      <c r="AB1256" s="39"/>
      <c r="AC1256" t="str" s="39">
        <v>Sin marco</v>
      </c>
      <c r="AD1256" t="s" s="35">
        <v>1859</v>
      </c>
      <c r="AE1256" t="str" s="39" cm="1">
        <f t="array" ref="AE1256">IF(AD1256="","",IF(LEFT(AD1256,1)="1","C1",IF(LEFT(AD1256,1)="2","C2",IF(LEFT(AD1256,1)="3","C3",""))))</f>
        <v>C1</v>
      </c>
      <c r="AF1256" t="s" s="35">
        <v>1602</v>
      </c>
      <c r="AG1256" t="s" s="35">
        <v>1607</v>
      </c>
      <c r="AH1256" t="s" s="35">
        <v>1609</v>
      </c>
      <c r="AI1256" t="s" s="35">
        <v>1623</v>
      </c>
      <c r="AJ1256" t="s" s="35">
        <v>1621</v>
      </c>
      <c r="AK1256" s="39"/>
      <c r="AL1256" s="39"/>
      <c r="AM1256" s="39"/>
      <c r="AN1256" s="39"/>
      <c r="AO1256" s="39"/>
      <c r="AP1256" s="39"/>
      <c r="AQ1256" s="39"/>
      <c r="AR1256" s="39"/>
      <c r="AS1256" s="39"/>
      <c r="AT1256" s="39"/>
      <c r="AU1256" s="39"/>
      <c r="AV1256" s="39"/>
      <c r="AW1256" t="str" s="39" cm="1">
        <f t="array" ref="AW1256">AF1256&amp;"; "&amp;AG1256&amp;"; "&amp;AH1256&amp;"; "&amp;AI1256&amp;"; "&amp;AJ1256</f>
        <v>E1; E3; E4; D4; D3</v>
      </c>
    </row>
    <row r="1257" ht="13.65" customHeight="1">
      <c r="A1257" t="s" s="35">
        <v>7579</v>
      </c>
      <c r="B1257" s="36">
        <v>11</v>
      </c>
      <c r="C1257" t="s" s="35">
        <v>210</v>
      </c>
      <c r="D1257" t="s" s="35">
        <v>7000</v>
      </c>
      <c r="E1257" t="s" s="35">
        <v>7275</v>
      </c>
      <c r="F1257" s="36">
        <v>87</v>
      </c>
      <c r="G1257" t="s" s="35">
        <v>7558</v>
      </c>
      <c r="H1257" t="s" s="35">
        <v>7580</v>
      </c>
      <c r="I1257" t="s" s="120">
        <v>7581</v>
      </c>
      <c r="J1257" t="s" s="35">
        <v>6185</v>
      </c>
      <c r="K1257" t="s" s="35">
        <v>1058</v>
      </c>
      <c r="L1257" s="39"/>
      <c r="M1257" t="str" s="39">
        <v>Sin marco</v>
      </c>
      <c r="N1257" t="str" s="39">
        <v>Sin marco</v>
      </c>
      <c r="O1257" t="str" s="39" cm="1">
        <f t="array" ref="O1257">IF(L1257="","",_xlfn.IFERROR(INDEX('Datos - Catálogo TIMSS'!$C$5:$C$107,MATCH(L1257,'Datos - Catálogo TIMSS'!$A$5:$A$107,0)),"?"))</f>
      </c>
      <c r="P1257" t="s" s="35">
        <v>1058</v>
      </c>
      <c r="Q1257" t="s" s="120">
        <v>6186</v>
      </c>
      <c r="R1257" t="s" s="120">
        <v>7582</v>
      </c>
      <c r="S1257" s="121" cm="1">
        <f t="array" ref="S1257">_xlfn.IFERROR(ISNUMBER(SEARCH("Conocer",$R1257))/(ISNUMBER(SEARCH("Conocer",$R1257))+ISNUMBER(SEARCH("Aplicar",$R1257))+ISNUMBER(SEARCH("Razonar",$R1257))),0)</f>
        <v>0</v>
      </c>
      <c r="T1257" s="121" cm="1">
        <f t="array" ref="T1257">_xlfn.IFERROR(ISNUMBER(SEARCH("Aplicar",$R1257))/(ISNUMBER(SEARCH("Conocer",$R1257))+ISNUMBER(SEARCH("Aplicar",$R1257))+ISNUMBER(SEARCH("Razonar",$R1257))),0)</f>
        <v>0.5</v>
      </c>
      <c r="U1257" s="121" cm="1">
        <f t="array" ref="U1257">_xlfn.IFERROR(ISNUMBER(SEARCH("Razonar",$R1257))/(ISNUMBER(SEARCH("Conocer",$R1257))+ISNUMBER(SEARCH("Aplicar",$R1257))+ISNUMBER(SEARCH("Razonar",$R1257))),0)</f>
        <v>0.5</v>
      </c>
      <c r="V1257" t="s" s="35">
        <v>1409</v>
      </c>
      <c r="W1257" t="s" s="35">
        <v>7006</v>
      </c>
      <c r="X1257" s="36" cm="1">
        <f t="array" ref="X1257">IF(OR(_xlfn.IFERROR(INDEX('Datos - Catálogo TIMSS'!$I$5:$I$107,MATCH(K1257,'Datos - Catálogo TIMSS'!$A$5:$A$107,0)),"No")="Sí",_xlfn.IFERROR(INDEX('Datos - Catálogo TIMSS'!$I$5:$I$107,MATCH(L1257,'Datos - Catálogo TIMSS'!$A$5:$A$107,0)),"No")="Sí"),1,0)</f>
        <v>0</v>
      </c>
      <c r="Y1257" s="36" cm="1">
        <f t="array" ref="Y1257">IF(_xlfn.IFERROR(INDEX('Datos - Catálogo TIMSS'!$J$5:$J$107,MATCH(K1257,'Datos - Catálogo TIMSS'!$A$5:$A$107,0)),"No")="Sí",1,0)</f>
        <v>0</v>
      </c>
      <c r="Z1257" s="36" cm="1">
        <f t="array" ref="Z1257">IF(_xlfn.IFERROR(INDEX('Datos - Catálogo TIMSS'!$J$5:$J$107,MATCH(L1257,'Datos - Catálogo TIMSS'!$A$5:$A$107,0)),"No")="Sí",1,0)</f>
        <v>0</v>
      </c>
      <c r="AA1257" t="s" s="35">
        <v>1058</v>
      </c>
      <c r="AB1257" s="39"/>
      <c r="AC1257" t="str" s="39">
        <v>Sin marco</v>
      </c>
      <c r="AD1257" t="s" s="35">
        <v>1900</v>
      </c>
      <c r="AE1257" t="str" s="39" cm="1">
        <f t="array" ref="AE1257">IF(AD1257="","",IF(LEFT(AD1257,1)="1","C1",IF(LEFT(AD1257,1)="2","C2",IF(LEFT(AD1257,1)="3","C3",""))))</f>
        <v>C3</v>
      </c>
      <c r="AF1257" t="s" s="35">
        <v>1615</v>
      </c>
      <c r="AG1257" t="s" s="35">
        <v>1617</v>
      </c>
      <c r="AH1257" t="s" s="35">
        <v>1609</v>
      </c>
      <c r="AI1257" t="s" s="35">
        <v>1629</v>
      </c>
      <c r="AJ1257" t="s" s="35">
        <v>1633</v>
      </c>
      <c r="AK1257" s="39"/>
      <c r="AL1257" s="39"/>
      <c r="AM1257" s="39"/>
      <c r="AN1257" s="39"/>
      <c r="AO1257" s="39"/>
      <c r="AP1257" s="39"/>
      <c r="AQ1257" s="39"/>
      <c r="AR1257" s="39"/>
      <c r="AS1257" s="39"/>
      <c r="AT1257" s="39"/>
      <c r="AU1257" s="39"/>
      <c r="AV1257" s="39"/>
      <c r="AW1257" t="str" s="39" cm="1">
        <f t="array" ref="AW1257">AF1257&amp;"; "&amp;AG1257&amp;"; "&amp;AH1257&amp;"; "&amp;AI1257&amp;"; "&amp;AJ1257</f>
        <v>E6; D1; E4; I3; I5</v>
      </c>
    </row>
    <row r="1258" ht="13.65" customHeight="1">
      <c r="A1258" t="s" s="35">
        <v>7583</v>
      </c>
      <c r="B1258" s="36">
        <v>11</v>
      </c>
      <c r="C1258" t="s" s="35">
        <v>210</v>
      </c>
      <c r="D1258" t="s" s="35">
        <v>7000</v>
      </c>
      <c r="E1258" t="s" s="35">
        <v>7275</v>
      </c>
      <c r="F1258" s="36">
        <v>88</v>
      </c>
      <c r="G1258" t="s" s="35">
        <v>7584</v>
      </c>
      <c r="H1258" t="s" s="35">
        <v>7585</v>
      </c>
      <c r="I1258" t="s" s="120">
        <v>7586</v>
      </c>
      <c r="J1258" t="s" s="35">
        <v>6185</v>
      </c>
      <c r="K1258" t="s" s="35">
        <v>1058</v>
      </c>
      <c r="L1258" s="39"/>
      <c r="M1258" t="str" s="39">
        <v>Sin marco</v>
      </c>
      <c r="N1258" t="str" s="39">
        <v>Sin marco</v>
      </c>
      <c r="O1258" t="str" s="39" cm="1">
        <f t="array" ref="O1258">IF(L1258="","",_xlfn.IFERROR(INDEX('Datos - Catálogo TIMSS'!$C$5:$C$107,MATCH(L1258,'Datos - Catálogo TIMSS'!$A$5:$A$107,0)),"?"))</f>
      </c>
      <c r="P1258" t="s" s="35">
        <v>1058</v>
      </c>
      <c r="Q1258" t="s" s="120">
        <v>6186</v>
      </c>
      <c r="R1258" t="s" s="120">
        <v>7587</v>
      </c>
      <c r="S1258" s="121" cm="1">
        <f t="array" ref="S1258">_xlfn.IFERROR(ISNUMBER(SEARCH("Conocer",$R1258))/(ISNUMBER(SEARCH("Conocer",$R1258))+ISNUMBER(SEARCH("Aplicar",$R1258))+ISNUMBER(SEARCH("Razonar",$R1258))),0)</f>
        <v>0</v>
      </c>
      <c r="T1258" s="121" cm="1">
        <f t="array" ref="T1258">_xlfn.IFERROR(ISNUMBER(SEARCH("Aplicar",$R1258))/(ISNUMBER(SEARCH("Conocer",$R1258))+ISNUMBER(SEARCH("Aplicar",$R1258))+ISNUMBER(SEARCH("Razonar",$R1258))),0)</f>
        <v>0.5</v>
      </c>
      <c r="U1258" s="121" cm="1">
        <f t="array" ref="U1258">_xlfn.IFERROR(ISNUMBER(SEARCH("Razonar",$R1258))/(ISNUMBER(SEARCH("Conocer",$R1258))+ISNUMBER(SEARCH("Aplicar",$R1258))+ISNUMBER(SEARCH("Razonar",$R1258))),0)</f>
        <v>0.5</v>
      </c>
      <c r="V1258" t="s" s="35">
        <v>1409</v>
      </c>
      <c r="W1258" t="s" s="35">
        <v>7006</v>
      </c>
      <c r="X1258" s="36" cm="1">
        <f t="array" ref="X1258">IF(OR(_xlfn.IFERROR(INDEX('Datos - Catálogo TIMSS'!$I$5:$I$107,MATCH(K1258,'Datos - Catálogo TIMSS'!$A$5:$A$107,0)),"No")="Sí",_xlfn.IFERROR(INDEX('Datos - Catálogo TIMSS'!$I$5:$I$107,MATCH(L1258,'Datos - Catálogo TIMSS'!$A$5:$A$107,0)),"No")="Sí"),1,0)</f>
        <v>0</v>
      </c>
      <c r="Y1258" s="36" cm="1">
        <f t="array" ref="Y1258">IF(_xlfn.IFERROR(INDEX('Datos - Catálogo TIMSS'!$J$5:$J$107,MATCH(K1258,'Datos - Catálogo TIMSS'!$A$5:$A$107,0)),"No")="Sí",1,0)</f>
        <v>0</v>
      </c>
      <c r="Z1258" s="36" cm="1">
        <f t="array" ref="Z1258">IF(_xlfn.IFERROR(INDEX('Datos - Catálogo TIMSS'!$J$5:$J$107,MATCH(L1258,'Datos - Catálogo TIMSS'!$A$5:$A$107,0)),"No")="Sí",1,0)</f>
        <v>0</v>
      </c>
      <c r="AA1258" t="s" s="35">
        <v>1058</v>
      </c>
      <c r="AB1258" s="39"/>
      <c r="AC1258" t="str" s="39">
        <v>Sin marco</v>
      </c>
      <c r="AD1258" t="s" s="35">
        <v>1834</v>
      </c>
      <c r="AE1258" t="str" s="39" cm="1">
        <f t="array" ref="AE1258">IF(AD1258="","",IF(LEFT(AD1258,1)="1","C1",IF(LEFT(AD1258,1)="2","C2",IF(LEFT(AD1258,1)="3","C3",""))))</f>
        <v>C2</v>
      </c>
      <c r="AF1258" t="s" s="35">
        <v>1602</v>
      </c>
      <c r="AG1258" t="s" s="35">
        <v>1617</v>
      </c>
      <c r="AH1258" t="s" s="35">
        <v>1609</v>
      </c>
      <c r="AI1258" t="s" s="35">
        <v>1623</v>
      </c>
      <c r="AJ1258" t="s" s="35">
        <v>1621</v>
      </c>
      <c r="AK1258" s="39"/>
      <c r="AL1258" s="39"/>
      <c r="AM1258" s="39"/>
      <c r="AN1258" s="39"/>
      <c r="AO1258" s="39"/>
      <c r="AP1258" s="39"/>
      <c r="AQ1258" s="39"/>
      <c r="AR1258" s="39"/>
      <c r="AS1258" s="39"/>
      <c r="AT1258" s="39"/>
      <c r="AU1258" s="39"/>
      <c r="AV1258" s="39"/>
      <c r="AW1258" t="str" s="39" cm="1">
        <f t="array" ref="AW1258">AF1258&amp;"; "&amp;AG1258&amp;"; "&amp;AH1258&amp;"; "&amp;AI1258&amp;"; "&amp;AJ1258</f>
        <v>E1; D1; E4; D4; D3</v>
      </c>
    </row>
    <row r="1259" ht="13.65" customHeight="1">
      <c r="A1259" t="s" s="35">
        <v>7588</v>
      </c>
      <c r="B1259" s="36">
        <v>11</v>
      </c>
      <c r="C1259" t="s" s="35">
        <v>210</v>
      </c>
      <c r="D1259" t="s" s="35">
        <v>7000</v>
      </c>
      <c r="E1259" t="s" s="35">
        <v>7275</v>
      </c>
      <c r="F1259" s="36">
        <v>89</v>
      </c>
      <c r="G1259" t="s" s="35">
        <v>7584</v>
      </c>
      <c r="H1259" t="s" s="35">
        <v>7589</v>
      </c>
      <c r="I1259" t="s" s="120">
        <v>7590</v>
      </c>
      <c r="J1259" t="s" s="35">
        <v>6185</v>
      </c>
      <c r="K1259" t="s" s="35">
        <v>1058</v>
      </c>
      <c r="L1259" s="39"/>
      <c r="M1259" t="str" s="39">
        <v>Sin marco</v>
      </c>
      <c r="N1259" t="str" s="39">
        <v>Sin marco</v>
      </c>
      <c r="O1259" t="str" s="39" cm="1">
        <f t="array" ref="O1259">IF(L1259="","",_xlfn.IFERROR(INDEX('Datos - Catálogo TIMSS'!$C$5:$C$107,MATCH(L1259,'Datos - Catálogo TIMSS'!$A$5:$A$107,0)),"?"))</f>
      </c>
      <c r="P1259" t="s" s="35">
        <v>1058</v>
      </c>
      <c r="Q1259" t="s" s="120">
        <v>6186</v>
      </c>
      <c r="R1259" t="s" s="120">
        <v>7591</v>
      </c>
      <c r="S1259" s="121" cm="1">
        <f t="array" ref="S1259">_xlfn.IFERROR(ISNUMBER(SEARCH("Conocer",$R1259))/(ISNUMBER(SEARCH("Conocer",$R1259))+ISNUMBER(SEARCH("Aplicar",$R1259))+ISNUMBER(SEARCH("Razonar",$R1259))),0)</f>
        <v>0</v>
      </c>
      <c r="T1259" s="121" cm="1">
        <f t="array" ref="T1259">_xlfn.IFERROR(ISNUMBER(SEARCH("Aplicar",$R1259))/(ISNUMBER(SEARCH("Conocer",$R1259))+ISNUMBER(SEARCH("Aplicar",$R1259))+ISNUMBER(SEARCH("Razonar",$R1259))),0)</f>
        <v>0.5</v>
      </c>
      <c r="U1259" s="121" cm="1">
        <f t="array" ref="U1259">_xlfn.IFERROR(ISNUMBER(SEARCH("Razonar",$R1259))/(ISNUMBER(SEARCH("Conocer",$R1259))+ISNUMBER(SEARCH("Aplicar",$R1259))+ISNUMBER(SEARCH("Razonar",$R1259))),0)</f>
        <v>0.5</v>
      </c>
      <c r="V1259" t="s" s="35">
        <v>1409</v>
      </c>
      <c r="W1259" t="s" s="35">
        <v>7006</v>
      </c>
      <c r="X1259" s="36" cm="1">
        <f t="array" ref="X1259">IF(OR(_xlfn.IFERROR(INDEX('Datos - Catálogo TIMSS'!$I$5:$I$107,MATCH(K1259,'Datos - Catálogo TIMSS'!$A$5:$A$107,0)),"No")="Sí",_xlfn.IFERROR(INDEX('Datos - Catálogo TIMSS'!$I$5:$I$107,MATCH(L1259,'Datos - Catálogo TIMSS'!$A$5:$A$107,0)),"No")="Sí"),1,0)</f>
        <v>0</v>
      </c>
      <c r="Y1259" s="36" cm="1">
        <f t="array" ref="Y1259">IF(_xlfn.IFERROR(INDEX('Datos - Catálogo TIMSS'!$J$5:$J$107,MATCH(K1259,'Datos - Catálogo TIMSS'!$A$5:$A$107,0)),"No")="Sí",1,0)</f>
        <v>0</v>
      </c>
      <c r="Z1259" s="36" cm="1">
        <f t="array" ref="Z1259">IF(_xlfn.IFERROR(INDEX('Datos - Catálogo TIMSS'!$J$5:$J$107,MATCH(L1259,'Datos - Catálogo TIMSS'!$A$5:$A$107,0)),"No")="Sí",1,0)</f>
        <v>0</v>
      </c>
      <c r="AA1259" t="s" s="35">
        <v>1058</v>
      </c>
      <c r="AB1259" s="39"/>
      <c r="AC1259" t="str" s="39">
        <v>Sin marco</v>
      </c>
      <c r="AD1259" t="s" s="35">
        <v>1834</v>
      </c>
      <c r="AE1259" t="str" s="39" cm="1">
        <f t="array" ref="AE1259">IF(AD1259="","",IF(LEFT(AD1259,1)="1","C1",IF(LEFT(AD1259,1)="2","C2",IF(LEFT(AD1259,1)="3","C3",""))))</f>
        <v>C2</v>
      </c>
      <c r="AF1259" t="s" s="35">
        <v>1615</v>
      </c>
      <c r="AG1259" t="s" s="35">
        <v>1607</v>
      </c>
      <c r="AH1259" t="s" s="35">
        <v>1609</v>
      </c>
      <c r="AI1259" t="s" s="35">
        <v>1623</v>
      </c>
      <c r="AJ1259" t="s" s="35">
        <v>1607</v>
      </c>
      <c r="AK1259" s="39"/>
      <c r="AL1259" s="39"/>
      <c r="AM1259" s="39"/>
      <c r="AN1259" s="39"/>
      <c r="AO1259" s="39"/>
      <c r="AP1259" s="39"/>
      <c r="AQ1259" s="39"/>
      <c r="AR1259" s="39"/>
      <c r="AS1259" s="39"/>
      <c r="AT1259" s="39"/>
      <c r="AU1259" s="39"/>
      <c r="AV1259" s="39"/>
      <c r="AW1259" t="str" s="39" cm="1">
        <f t="array" ref="AW1259">AF1259&amp;"; "&amp;AG1259&amp;"; "&amp;AH1259&amp;"; "&amp;AI1259&amp;"; "&amp;AJ1259</f>
        <v>E6; E3; E4; D4; E3</v>
      </c>
    </row>
    <row r="1260" ht="13.65" customHeight="1">
      <c r="A1260" t="s" s="35">
        <v>7593</v>
      </c>
      <c r="B1260" s="36">
        <v>11</v>
      </c>
      <c r="C1260" t="s" s="35">
        <v>210</v>
      </c>
      <c r="D1260" t="s" s="35">
        <v>7000</v>
      </c>
      <c r="E1260" t="s" s="35">
        <v>7275</v>
      </c>
      <c r="F1260" s="36">
        <v>90</v>
      </c>
      <c r="G1260" t="s" s="35">
        <v>7584</v>
      </c>
      <c r="H1260" t="s" s="35">
        <v>7589</v>
      </c>
      <c r="I1260" t="s" s="120">
        <v>7594</v>
      </c>
      <c r="J1260" t="s" s="35">
        <v>6185</v>
      </c>
      <c r="K1260" t="s" s="35">
        <v>1058</v>
      </c>
      <c r="L1260" s="39"/>
      <c r="M1260" t="str" s="39">
        <v>Sin marco</v>
      </c>
      <c r="N1260" t="str" s="39">
        <v>Sin marco</v>
      </c>
      <c r="O1260" t="str" s="39" cm="1">
        <f t="array" ref="O1260">IF(L1260="","",_xlfn.IFERROR(INDEX('Datos - Catálogo TIMSS'!$C$5:$C$107,MATCH(L1260,'Datos - Catálogo TIMSS'!$A$5:$A$107,0)),"?"))</f>
      </c>
      <c r="P1260" t="s" s="35">
        <v>1058</v>
      </c>
      <c r="Q1260" t="s" s="120">
        <v>6186</v>
      </c>
      <c r="R1260" t="s" s="120">
        <v>7595</v>
      </c>
      <c r="S1260" s="121" cm="1">
        <f t="array" ref="S1260">_xlfn.IFERROR(ISNUMBER(SEARCH("Conocer",$R1260))/(ISNUMBER(SEARCH("Conocer",$R1260))+ISNUMBER(SEARCH("Aplicar",$R1260))+ISNUMBER(SEARCH("Razonar",$R1260))),0)</f>
        <v>0</v>
      </c>
      <c r="T1260" s="121" cm="1">
        <f t="array" ref="T1260">_xlfn.IFERROR(ISNUMBER(SEARCH("Aplicar",$R1260))/(ISNUMBER(SEARCH("Conocer",$R1260))+ISNUMBER(SEARCH("Aplicar",$R1260))+ISNUMBER(SEARCH("Razonar",$R1260))),0)</f>
        <v>0.5</v>
      </c>
      <c r="U1260" s="121" cm="1">
        <f t="array" ref="U1260">_xlfn.IFERROR(ISNUMBER(SEARCH("Razonar",$R1260))/(ISNUMBER(SEARCH("Conocer",$R1260))+ISNUMBER(SEARCH("Aplicar",$R1260))+ISNUMBER(SEARCH("Razonar",$R1260))),0)</f>
        <v>0.5</v>
      </c>
      <c r="V1260" t="s" s="35">
        <v>1409</v>
      </c>
      <c r="W1260" t="s" s="35">
        <v>7006</v>
      </c>
      <c r="X1260" s="36" cm="1">
        <f t="array" ref="X1260">IF(OR(_xlfn.IFERROR(INDEX('Datos - Catálogo TIMSS'!$I$5:$I$107,MATCH(K1260,'Datos - Catálogo TIMSS'!$A$5:$A$107,0)),"No")="Sí",_xlfn.IFERROR(INDEX('Datos - Catálogo TIMSS'!$I$5:$I$107,MATCH(L1260,'Datos - Catálogo TIMSS'!$A$5:$A$107,0)),"No")="Sí"),1,0)</f>
        <v>0</v>
      </c>
      <c r="Y1260" s="36" cm="1">
        <f t="array" ref="Y1260">IF(_xlfn.IFERROR(INDEX('Datos - Catálogo TIMSS'!$J$5:$J$107,MATCH(K1260,'Datos - Catálogo TIMSS'!$A$5:$A$107,0)),"No")="Sí",1,0)</f>
        <v>0</v>
      </c>
      <c r="Z1260" s="36" cm="1">
        <f t="array" ref="Z1260">IF(_xlfn.IFERROR(INDEX('Datos - Catálogo TIMSS'!$J$5:$J$107,MATCH(L1260,'Datos - Catálogo TIMSS'!$A$5:$A$107,0)),"No")="Sí",1,0)</f>
        <v>0</v>
      </c>
      <c r="AA1260" t="s" s="35">
        <v>1058</v>
      </c>
      <c r="AB1260" s="39"/>
      <c r="AC1260" t="str" s="39">
        <v>Sin marco</v>
      </c>
      <c r="AD1260" t="s" s="35">
        <v>1900</v>
      </c>
      <c r="AE1260" t="str" s="39" cm="1">
        <f t="array" ref="AE1260">IF(AD1260="","",IF(LEFT(AD1260,1)="1","C1",IF(LEFT(AD1260,1)="2","C2",IF(LEFT(AD1260,1)="3","C3",""))))</f>
        <v>C3</v>
      </c>
      <c r="AF1260" t="s" s="35">
        <v>1602</v>
      </c>
      <c r="AG1260" t="s" s="35">
        <v>1612</v>
      </c>
      <c r="AH1260" t="s" s="35">
        <v>1609</v>
      </c>
      <c r="AI1260" t="s" s="35">
        <v>1629</v>
      </c>
      <c r="AJ1260" t="s" s="35">
        <v>1633</v>
      </c>
      <c r="AK1260" s="39"/>
      <c r="AL1260" s="39"/>
      <c r="AM1260" s="39"/>
      <c r="AN1260" s="39"/>
      <c r="AO1260" s="39"/>
      <c r="AP1260" s="39"/>
      <c r="AQ1260" s="39"/>
      <c r="AR1260" s="39"/>
      <c r="AS1260" s="39"/>
      <c r="AT1260" s="39"/>
      <c r="AU1260" s="39"/>
      <c r="AV1260" s="39"/>
      <c r="AW1260" t="str" s="39" cm="1">
        <f t="array" ref="AW1260">AF1260&amp;"; "&amp;AG1260&amp;"; "&amp;AH1260&amp;"; "&amp;AI1260&amp;"; "&amp;AJ1260</f>
        <v>E1; E5; E4; I3; I5</v>
      </c>
    </row>
    <row r="1261" ht="13.65" customHeight="1">
      <c r="A1261" t="s" s="35">
        <v>7597</v>
      </c>
      <c r="B1261" s="36">
        <v>11</v>
      </c>
      <c r="C1261" t="s" s="35">
        <v>210</v>
      </c>
      <c r="D1261" t="s" s="35">
        <v>7000</v>
      </c>
      <c r="E1261" t="s" s="35">
        <v>7275</v>
      </c>
      <c r="F1261" s="36">
        <v>91</v>
      </c>
      <c r="G1261" t="s" s="35">
        <v>7584</v>
      </c>
      <c r="H1261" t="s" s="35">
        <v>7598</v>
      </c>
      <c r="I1261" t="s" s="120">
        <v>7599</v>
      </c>
      <c r="J1261" t="s" s="35">
        <v>6185</v>
      </c>
      <c r="K1261" t="s" s="35">
        <v>1058</v>
      </c>
      <c r="L1261" s="39"/>
      <c r="M1261" t="str" s="39">
        <v>Sin marco</v>
      </c>
      <c r="N1261" t="str" s="39">
        <v>Sin marco</v>
      </c>
      <c r="O1261" t="str" s="39" cm="1">
        <f t="array" ref="O1261">IF(L1261="","",_xlfn.IFERROR(INDEX('Datos - Catálogo TIMSS'!$C$5:$C$107,MATCH(L1261,'Datos - Catálogo TIMSS'!$A$5:$A$107,0)),"?"))</f>
      </c>
      <c r="P1261" t="s" s="35">
        <v>1058</v>
      </c>
      <c r="Q1261" t="s" s="120">
        <v>6186</v>
      </c>
      <c r="R1261" t="s" s="120">
        <v>7600</v>
      </c>
      <c r="S1261" s="121" cm="1">
        <f t="array" ref="S1261">_xlfn.IFERROR(ISNUMBER(SEARCH("Conocer",$R1261))/(ISNUMBER(SEARCH("Conocer",$R1261))+ISNUMBER(SEARCH("Aplicar",$R1261))+ISNUMBER(SEARCH("Razonar",$R1261))),0)</f>
        <v>0</v>
      </c>
      <c r="T1261" s="121" cm="1">
        <f t="array" ref="T1261">_xlfn.IFERROR(ISNUMBER(SEARCH("Aplicar",$R1261))/(ISNUMBER(SEARCH("Conocer",$R1261))+ISNUMBER(SEARCH("Aplicar",$R1261))+ISNUMBER(SEARCH("Razonar",$R1261))),0)</f>
        <v>0.5</v>
      </c>
      <c r="U1261" s="121" cm="1">
        <f t="array" ref="U1261">_xlfn.IFERROR(ISNUMBER(SEARCH("Razonar",$R1261))/(ISNUMBER(SEARCH("Conocer",$R1261))+ISNUMBER(SEARCH("Aplicar",$R1261))+ISNUMBER(SEARCH("Razonar",$R1261))),0)</f>
        <v>0.5</v>
      </c>
      <c r="V1261" t="s" s="35">
        <v>1409</v>
      </c>
      <c r="W1261" t="s" s="35">
        <v>7006</v>
      </c>
      <c r="X1261" s="36" cm="1">
        <f t="array" ref="X1261">IF(OR(_xlfn.IFERROR(INDEX('Datos - Catálogo TIMSS'!$I$5:$I$107,MATCH(K1261,'Datos - Catálogo TIMSS'!$A$5:$A$107,0)),"No")="Sí",_xlfn.IFERROR(INDEX('Datos - Catálogo TIMSS'!$I$5:$I$107,MATCH(L1261,'Datos - Catálogo TIMSS'!$A$5:$A$107,0)),"No")="Sí"),1,0)</f>
        <v>0</v>
      </c>
      <c r="Y1261" s="36" cm="1">
        <f t="array" ref="Y1261">IF(_xlfn.IFERROR(INDEX('Datos - Catálogo TIMSS'!$J$5:$J$107,MATCH(K1261,'Datos - Catálogo TIMSS'!$A$5:$A$107,0)),"No")="Sí",1,0)</f>
        <v>0</v>
      </c>
      <c r="Z1261" s="36" cm="1">
        <f t="array" ref="Z1261">IF(_xlfn.IFERROR(INDEX('Datos - Catálogo TIMSS'!$J$5:$J$107,MATCH(L1261,'Datos - Catálogo TIMSS'!$A$5:$A$107,0)),"No")="Sí",1,0)</f>
        <v>0</v>
      </c>
      <c r="AA1261" t="s" s="35">
        <v>1058</v>
      </c>
      <c r="AB1261" s="39"/>
      <c r="AC1261" t="str" s="39">
        <v>Sin marco</v>
      </c>
      <c r="AD1261" t="s" s="35">
        <v>1834</v>
      </c>
      <c r="AE1261" t="str" s="39" cm="1">
        <f t="array" ref="AE1261">IF(AD1261="","",IF(LEFT(AD1261,1)="1","C1",IF(LEFT(AD1261,1)="2","C2",IF(LEFT(AD1261,1)="3","C3",""))))</f>
        <v>C2</v>
      </c>
      <c r="AF1261" t="s" s="35">
        <v>1602</v>
      </c>
      <c r="AG1261" t="s" s="35">
        <v>1617</v>
      </c>
      <c r="AH1261" t="s" s="35">
        <v>1605</v>
      </c>
      <c r="AI1261" t="s" s="35">
        <v>1623</v>
      </c>
      <c r="AJ1261" t="s" s="35">
        <v>1607</v>
      </c>
      <c r="AK1261" s="39"/>
      <c r="AL1261" s="39"/>
      <c r="AM1261" s="39"/>
      <c r="AN1261" s="39"/>
      <c r="AO1261" s="39"/>
      <c r="AP1261" s="39"/>
      <c r="AQ1261" s="39"/>
      <c r="AR1261" s="39"/>
      <c r="AS1261" s="39"/>
      <c r="AT1261" s="39"/>
      <c r="AU1261" s="39"/>
      <c r="AV1261" s="39"/>
      <c r="AW1261" t="str" s="39" cm="1">
        <f t="array" ref="AW1261">AF1261&amp;"; "&amp;AG1261&amp;"; "&amp;AH1261&amp;"; "&amp;AI1261&amp;"; "&amp;AJ1261</f>
        <v>E1; D1; E2; D4; E3</v>
      </c>
    </row>
    <row r="1262" ht="13.65" customHeight="1">
      <c r="A1262" t="s" s="35">
        <v>7601</v>
      </c>
      <c r="B1262" s="36">
        <v>11</v>
      </c>
      <c r="C1262" t="s" s="35">
        <v>210</v>
      </c>
      <c r="D1262" t="s" s="35">
        <v>7000</v>
      </c>
      <c r="E1262" t="s" s="35">
        <v>7275</v>
      </c>
      <c r="F1262" s="36">
        <v>92</v>
      </c>
      <c r="G1262" t="s" s="35">
        <v>7584</v>
      </c>
      <c r="H1262" t="s" s="35">
        <v>7598</v>
      </c>
      <c r="I1262" t="s" s="120">
        <v>7602</v>
      </c>
      <c r="J1262" t="s" s="35">
        <v>6185</v>
      </c>
      <c r="K1262" t="s" s="35">
        <v>1058</v>
      </c>
      <c r="L1262" s="39"/>
      <c r="M1262" t="str" s="39">
        <v>Sin marco</v>
      </c>
      <c r="N1262" t="str" s="39">
        <v>Sin marco</v>
      </c>
      <c r="O1262" t="str" s="39" cm="1">
        <f t="array" ref="O1262">IF(L1262="","",_xlfn.IFERROR(INDEX('Datos - Catálogo TIMSS'!$C$5:$C$107,MATCH(L1262,'Datos - Catálogo TIMSS'!$A$5:$A$107,0)),"?"))</f>
      </c>
      <c r="P1262" t="s" s="35">
        <v>1058</v>
      </c>
      <c r="Q1262" t="s" s="120">
        <v>6186</v>
      </c>
      <c r="R1262" t="s" s="120">
        <v>7603</v>
      </c>
      <c r="S1262" s="121" cm="1">
        <f t="array" ref="S1262">_xlfn.IFERROR(ISNUMBER(SEARCH("Conocer",$R1262))/(ISNUMBER(SEARCH("Conocer",$R1262))+ISNUMBER(SEARCH("Aplicar",$R1262))+ISNUMBER(SEARCH("Razonar",$R1262))),0)</f>
        <v>0.5</v>
      </c>
      <c r="T1262" s="121" cm="1">
        <f t="array" ref="T1262">_xlfn.IFERROR(ISNUMBER(SEARCH("Aplicar",$R1262))/(ISNUMBER(SEARCH("Conocer",$R1262))+ISNUMBER(SEARCH("Aplicar",$R1262))+ISNUMBER(SEARCH("Razonar",$R1262))),0)</f>
        <v>0</v>
      </c>
      <c r="U1262" s="121" cm="1">
        <f t="array" ref="U1262">_xlfn.IFERROR(ISNUMBER(SEARCH("Razonar",$R1262))/(ISNUMBER(SEARCH("Conocer",$R1262))+ISNUMBER(SEARCH("Aplicar",$R1262))+ISNUMBER(SEARCH("Razonar",$R1262))),0)</f>
        <v>0.5</v>
      </c>
      <c r="V1262" t="s" s="35">
        <v>1409</v>
      </c>
      <c r="W1262" t="s" s="35">
        <v>7006</v>
      </c>
      <c r="X1262" s="36" cm="1">
        <f t="array" ref="X1262">IF(OR(_xlfn.IFERROR(INDEX('Datos - Catálogo TIMSS'!$I$5:$I$107,MATCH(K1262,'Datos - Catálogo TIMSS'!$A$5:$A$107,0)),"No")="Sí",_xlfn.IFERROR(INDEX('Datos - Catálogo TIMSS'!$I$5:$I$107,MATCH(L1262,'Datos - Catálogo TIMSS'!$A$5:$A$107,0)),"No")="Sí"),1,0)</f>
        <v>0</v>
      </c>
      <c r="Y1262" s="36" cm="1">
        <f t="array" ref="Y1262">IF(_xlfn.IFERROR(INDEX('Datos - Catálogo TIMSS'!$J$5:$J$107,MATCH(K1262,'Datos - Catálogo TIMSS'!$A$5:$A$107,0)),"No")="Sí",1,0)</f>
        <v>0</v>
      </c>
      <c r="Z1262" s="36" cm="1">
        <f t="array" ref="Z1262">IF(_xlfn.IFERROR(INDEX('Datos - Catálogo TIMSS'!$J$5:$J$107,MATCH(L1262,'Datos - Catálogo TIMSS'!$A$5:$A$107,0)),"No")="Sí",1,0)</f>
        <v>0</v>
      </c>
      <c r="AA1262" t="s" s="35">
        <v>1058</v>
      </c>
      <c r="AB1262" s="39"/>
      <c r="AC1262" t="str" s="39">
        <v>Sin marco</v>
      </c>
      <c r="AD1262" t="s" s="35">
        <v>1859</v>
      </c>
      <c r="AE1262" t="str" s="39" cm="1">
        <f t="array" ref="AE1262">IF(AD1262="","",IF(LEFT(AD1262,1)="1","C1",IF(LEFT(AD1262,1)="2","C2",IF(LEFT(AD1262,1)="3","C3",""))))</f>
        <v>C1</v>
      </c>
      <c r="AF1262" t="s" s="35">
        <v>1602</v>
      </c>
      <c r="AG1262" t="s" s="35">
        <v>1612</v>
      </c>
      <c r="AH1262" t="s" s="35">
        <v>1602</v>
      </c>
      <c r="AI1262" t="s" s="35">
        <v>1625</v>
      </c>
      <c r="AJ1262" t="s" s="35">
        <v>1607</v>
      </c>
      <c r="AK1262" s="39"/>
      <c r="AL1262" s="39"/>
      <c r="AM1262" s="39"/>
      <c r="AN1262" s="39"/>
      <c r="AO1262" s="39"/>
      <c r="AP1262" s="39"/>
      <c r="AQ1262" s="39"/>
      <c r="AR1262" s="39"/>
      <c r="AS1262" s="39"/>
      <c r="AT1262" s="39"/>
      <c r="AU1262" s="39"/>
      <c r="AV1262" s="39"/>
      <c r="AW1262" t="str" s="39" cm="1">
        <f t="array" ref="AW1262">AF1262&amp;"; "&amp;AG1262&amp;"; "&amp;AH1262&amp;"; "&amp;AI1262&amp;"; "&amp;AJ1262</f>
        <v>E1; E5; E1; I1; E3</v>
      </c>
    </row>
    <row r="1263" ht="13.65" customHeight="1">
      <c r="A1263" t="s" s="35">
        <v>7604</v>
      </c>
      <c r="B1263" s="36">
        <v>11</v>
      </c>
      <c r="C1263" t="s" s="35">
        <v>210</v>
      </c>
      <c r="D1263" t="s" s="35">
        <v>7000</v>
      </c>
      <c r="E1263" t="s" s="35">
        <v>7275</v>
      </c>
      <c r="F1263" s="36">
        <v>93</v>
      </c>
      <c r="G1263" t="s" s="35">
        <v>7584</v>
      </c>
      <c r="H1263" t="s" s="35">
        <v>7598</v>
      </c>
      <c r="I1263" t="s" s="120">
        <v>7605</v>
      </c>
      <c r="J1263" t="s" s="35">
        <v>6185</v>
      </c>
      <c r="K1263" t="s" s="35">
        <v>1058</v>
      </c>
      <c r="L1263" s="39"/>
      <c r="M1263" t="str" s="39">
        <v>Sin marco</v>
      </c>
      <c r="N1263" t="str" s="39">
        <v>Sin marco</v>
      </c>
      <c r="O1263" t="str" s="39" cm="1">
        <f t="array" ref="O1263">IF(L1263="","",_xlfn.IFERROR(INDEX('Datos - Catálogo TIMSS'!$C$5:$C$107,MATCH(L1263,'Datos - Catálogo TIMSS'!$A$5:$A$107,0)),"?"))</f>
      </c>
      <c r="P1263" t="s" s="35">
        <v>1058</v>
      </c>
      <c r="Q1263" t="s" s="120">
        <v>6186</v>
      </c>
      <c r="R1263" t="s" s="120">
        <v>7606</v>
      </c>
      <c r="S1263" s="121" cm="1">
        <f t="array" ref="S1263">_xlfn.IFERROR(ISNUMBER(SEARCH("Conocer",$R1263))/(ISNUMBER(SEARCH("Conocer",$R1263))+ISNUMBER(SEARCH("Aplicar",$R1263))+ISNUMBER(SEARCH("Razonar",$R1263))),0)</f>
        <v>0.5</v>
      </c>
      <c r="T1263" s="121" cm="1">
        <f t="array" ref="T1263">_xlfn.IFERROR(ISNUMBER(SEARCH("Aplicar",$R1263))/(ISNUMBER(SEARCH("Conocer",$R1263))+ISNUMBER(SEARCH("Aplicar",$R1263))+ISNUMBER(SEARCH("Razonar",$R1263))),0)</f>
        <v>0</v>
      </c>
      <c r="U1263" s="121" cm="1">
        <f t="array" ref="U1263">_xlfn.IFERROR(ISNUMBER(SEARCH("Razonar",$R1263))/(ISNUMBER(SEARCH("Conocer",$R1263))+ISNUMBER(SEARCH("Aplicar",$R1263))+ISNUMBER(SEARCH("Razonar",$R1263))),0)</f>
        <v>0.5</v>
      </c>
      <c r="V1263" t="s" s="35">
        <v>1409</v>
      </c>
      <c r="W1263" t="s" s="35">
        <v>7006</v>
      </c>
      <c r="X1263" s="36" cm="1">
        <f t="array" ref="X1263">IF(OR(_xlfn.IFERROR(INDEX('Datos - Catálogo TIMSS'!$I$5:$I$107,MATCH(K1263,'Datos - Catálogo TIMSS'!$A$5:$A$107,0)),"No")="Sí",_xlfn.IFERROR(INDEX('Datos - Catálogo TIMSS'!$I$5:$I$107,MATCH(L1263,'Datos - Catálogo TIMSS'!$A$5:$A$107,0)),"No")="Sí"),1,0)</f>
        <v>0</v>
      </c>
      <c r="Y1263" s="36" cm="1">
        <f t="array" ref="Y1263">IF(_xlfn.IFERROR(INDEX('Datos - Catálogo TIMSS'!$J$5:$J$107,MATCH(K1263,'Datos - Catálogo TIMSS'!$A$5:$A$107,0)),"No")="Sí",1,0)</f>
        <v>0</v>
      </c>
      <c r="Z1263" s="36" cm="1">
        <f t="array" ref="Z1263">IF(_xlfn.IFERROR(INDEX('Datos - Catálogo TIMSS'!$J$5:$J$107,MATCH(L1263,'Datos - Catálogo TIMSS'!$A$5:$A$107,0)),"No")="Sí",1,0)</f>
        <v>0</v>
      </c>
      <c r="AA1263" t="s" s="35">
        <v>1058</v>
      </c>
      <c r="AB1263" s="39"/>
      <c r="AC1263" t="str" s="39">
        <v>Sin marco</v>
      </c>
      <c r="AD1263" t="s" s="35">
        <v>1859</v>
      </c>
      <c r="AE1263" t="str" s="39" cm="1">
        <f t="array" ref="AE1263">IF(AD1263="","",IF(LEFT(AD1263,1)="1","C1",IF(LEFT(AD1263,1)="2","C2",IF(LEFT(AD1263,1)="3","C3",""))))</f>
        <v>C1</v>
      </c>
      <c r="AF1263" t="s" s="35">
        <v>1615</v>
      </c>
      <c r="AG1263" t="s" s="35">
        <v>1617</v>
      </c>
      <c r="AH1263" t="s" s="35">
        <v>1609</v>
      </c>
      <c r="AI1263" t="s" s="35">
        <v>1625</v>
      </c>
      <c r="AJ1263" t="s" s="35">
        <v>1615</v>
      </c>
      <c r="AK1263" s="39"/>
      <c r="AL1263" s="39"/>
      <c r="AM1263" s="39"/>
      <c r="AN1263" s="39"/>
      <c r="AO1263" s="39"/>
      <c r="AP1263" s="39"/>
      <c r="AQ1263" s="39"/>
      <c r="AR1263" s="39"/>
      <c r="AS1263" s="39"/>
      <c r="AT1263" s="39"/>
      <c r="AU1263" s="39"/>
      <c r="AV1263" s="39"/>
      <c r="AW1263" t="str" s="39" cm="1">
        <f t="array" ref="AW1263">AF1263&amp;"; "&amp;AG1263&amp;"; "&amp;AH1263&amp;"; "&amp;AI1263&amp;"; "&amp;AJ1263</f>
        <v>E6; D1; E4; I1; E6</v>
      </c>
    </row>
    <row r="1264" ht="13.65" customHeight="1">
      <c r="A1264" t="s" s="35">
        <v>7608</v>
      </c>
      <c r="B1264" s="36">
        <v>11</v>
      </c>
      <c r="C1264" t="s" s="35">
        <v>210</v>
      </c>
      <c r="D1264" t="s" s="35">
        <v>7000</v>
      </c>
      <c r="E1264" t="s" s="35">
        <v>7275</v>
      </c>
      <c r="F1264" s="36">
        <v>94</v>
      </c>
      <c r="G1264" t="s" s="35">
        <v>7584</v>
      </c>
      <c r="H1264" t="s" s="35">
        <v>7609</v>
      </c>
      <c r="I1264" t="s" s="120">
        <v>7610</v>
      </c>
      <c r="J1264" t="s" s="35">
        <v>6185</v>
      </c>
      <c r="K1264" t="s" s="35">
        <v>1058</v>
      </c>
      <c r="L1264" s="39"/>
      <c r="M1264" t="str" s="39">
        <v>Sin marco</v>
      </c>
      <c r="N1264" t="str" s="39">
        <v>Sin marco</v>
      </c>
      <c r="O1264" t="str" s="39" cm="1">
        <f t="array" ref="O1264">IF(L1264="","",_xlfn.IFERROR(INDEX('Datos - Catálogo TIMSS'!$C$5:$C$107,MATCH(L1264,'Datos - Catálogo TIMSS'!$A$5:$A$107,0)),"?"))</f>
      </c>
      <c r="P1264" t="s" s="35">
        <v>1058</v>
      </c>
      <c r="Q1264" t="s" s="120">
        <v>6186</v>
      </c>
      <c r="R1264" t="s" s="120">
        <v>7611</v>
      </c>
      <c r="S1264" s="121" cm="1">
        <f t="array" ref="S1264">_xlfn.IFERROR(ISNUMBER(SEARCH("Conocer",$R1264))/(ISNUMBER(SEARCH("Conocer",$R1264))+ISNUMBER(SEARCH("Aplicar",$R1264))+ISNUMBER(SEARCH("Razonar",$R1264))),0)</f>
        <v>0</v>
      </c>
      <c r="T1264" s="121" cm="1">
        <f t="array" ref="T1264">_xlfn.IFERROR(ISNUMBER(SEARCH("Aplicar",$R1264))/(ISNUMBER(SEARCH("Conocer",$R1264))+ISNUMBER(SEARCH("Aplicar",$R1264))+ISNUMBER(SEARCH("Razonar",$R1264))),0)</f>
        <v>0.5</v>
      </c>
      <c r="U1264" s="121" cm="1">
        <f t="array" ref="U1264">_xlfn.IFERROR(ISNUMBER(SEARCH("Razonar",$R1264))/(ISNUMBER(SEARCH("Conocer",$R1264))+ISNUMBER(SEARCH("Aplicar",$R1264))+ISNUMBER(SEARCH("Razonar",$R1264))),0)</f>
        <v>0.5</v>
      </c>
      <c r="V1264" t="s" s="35">
        <v>1409</v>
      </c>
      <c r="W1264" t="s" s="35">
        <v>7006</v>
      </c>
      <c r="X1264" s="36" cm="1">
        <f t="array" ref="X1264">IF(OR(_xlfn.IFERROR(INDEX('Datos - Catálogo TIMSS'!$I$5:$I$107,MATCH(K1264,'Datos - Catálogo TIMSS'!$A$5:$A$107,0)),"No")="Sí",_xlfn.IFERROR(INDEX('Datos - Catálogo TIMSS'!$I$5:$I$107,MATCH(L1264,'Datos - Catálogo TIMSS'!$A$5:$A$107,0)),"No")="Sí"),1,0)</f>
        <v>0</v>
      </c>
      <c r="Y1264" s="36" cm="1">
        <f t="array" ref="Y1264">IF(_xlfn.IFERROR(INDEX('Datos - Catálogo TIMSS'!$J$5:$J$107,MATCH(K1264,'Datos - Catálogo TIMSS'!$A$5:$A$107,0)),"No")="Sí",1,0)</f>
        <v>0</v>
      </c>
      <c r="Z1264" s="36" cm="1">
        <f t="array" ref="Z1264">IF(_xlfn.IFERROR(INDEX('Datos - Catálogo TIMSS'!$J$5:$J$107,MATCH(L1264,'Datos - Catálogo TIMSS'!$A$5:$A$107,0)),"No")="Sí",1,0)</f>
        <v>0</v>
      </c>
      <c r="AA1264" t="s" s="35">
        <v>1058</v>
      </c>
      <c r="AB1264" s="39"/>
      <c r="AC1264" t="str" s="39">
        <v>Sin marco</v>
      </c>
      <c r="AD1264" t="s" s="35">
        <v>1900</v>
      </c>
      <c r="AE1264" t="str" s="39" cm="1">
        <f t="array" ref="AE1264">IF(AD1264="","",IF(LEFT(AD1264,1)="1","C1",IF(LEFT(AD1264,1)="2","C2",IF(LEFT(AD1264,1)="3","C3",""))))</f>
        <v>C3</v>
      </c>
      <c r="AF1264" t="s" s="35">
        <v>1615</v>
      </c>
      <c r="AG1264" t="s" s="35">
        <v>1607</v>
      </c>
      <c r="AH1264" t="s" s="35">
        <v>1605</v>
      </c>
      <c r="AI1264" t="s" s="35">
        <v>1629</v>
      </c>
      <c r="AJ1264" t="s" s="35">
        <v>1633</v>
      </c>
      <c r="AK1264" s="39"/>
      <c r="AL1264" s="39"/>
      <c r="AM1264" s="39"/>
      <c r="AN1264" s="39"/>
      <c r="AO1264" s="39"/>
      <c r="AP1264" s="39"/>
      <c r="AQ1264" s="39"/>
      <c r="AR1264" s="39"/>
      <c r="AS1264" s="39"/>
      <c r="AT1264" s="39"/>
      <c r="AU1264" s="39"/>
      <c r="AV1264" s="39"/>
      <c r="AW1264" t="str" s="39" cm="1">
        <f t="array" ref="AW1264">AF1264&amp;"; "&amp;AG1264&amp;"; "&amp;AH1264&amp;"; "&amp;AI1264&amp;"; "&amp;AJ1264</f>
        <v>E6; E3; E2; I3; I5</v>
      </c>
    </row>
    <row r="1265" ht="13.55" customHeight="1">
      <c r="A1265" s="42"/>
      <c r="B1265" s="18"/>
      <c r="C1265" s="18"/>
      <c r="D1265" s="18"/>
      <c r="E1265" s="18"/>
      <c r="F1265" s="18"/>
      <c r="G1265" s="18"/>
      <c r="H1265" s="18"/>
      <c r="I1265" s="18"/>
      <c r="J1265" s="18"/>
      <c r="K1265" s="18"/>
      <c r="L1265" s="18"/>
      <c r="M1265" s="18"/>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51"/>
    </row>
    <row r="1266" ht="56" customHeight="1">
      <c r="A1266" t="s" s="54">
        <v>7612</v>
      </c>
      <c r="B1266" s="24"/>
      <c r="C1266" s="24"/>
      <c r="D1266" s="24"/>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c r="AA1266" s="24"/>
      <c r="AB1266" s="24"/>
      <c r="AC1266" s="24"/>
      <c r="AD1266" s="24"/>
      <c r="AE1266" s="24"/>
      <c r="AF1266" s="24"/>
      <c r="AG1266" s="24"/>
      <c r="AH1266" s="24"/>
      <c r="AI1266" s="24"/>
      <c r="AJ1266" s="24"/>
      <c r="AK1266" s="24"/>
      <c r="AL1266" s="24"/>
      <c r="AM1266" s="24"/>
      <c r="AN1266" s="24"/>
      <c r="AO1266" s="24"/>
      <c r="AP1266" s="24"/>
      <c r="AQ1266" s="24"/>
      <c r="AR1266" s="24"/>
      <c r="AS1266" s="24"/>
      <c r="AT1266" s="24"/>
      <c r="AU1266" s="24"/>
      <c r="AV1266" s="24"/>
      <c r="AW1266" s="25"/>
    </row>
  </sheetData>
  <mergeCells count="2">
    <mergeCell ref="A2:N2"/>
    <mergeCell ref="A1266:N126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L109"/>
  <sheetViews>
    <sheetView workbookViewId="0" showGridLines="0" defaultGridColor="1"/>
  </sheetViews>
  <sheetFormatPr defaultColWidth="8.83333" defaultRowHeight="15" customHeight="1" outlineLevelRow="0" outlineLevelCol="0"/>
  <cols>
    <col min="1" max="1" width="12" style="122" customWidth="1"/>
    <col min="2" max="2" width="8" style="122" customWidth="1"/>
    <col min="3" max="3" width="22" style="122" customWidth="1"/>
    <col min="4" max="4" width="10" style="122" customWidth="1"/>
    <col min="5" max="5" width="11" style="122" customWidth="1"/>
    <col min="6" max="6" width="34" style="122" customWidth="1"/>
    <col min="7" max="7" width="52" style="122" customWidth="1"/>
    <col min="8" max="8" width="30" style="122" customWidth="1"/>
    <col min="9" max="9" width="12" style="122" customWidth="1"/>
    <col min="10" max="10" width="13" style="122" customWidth="1"/>
    <col min="11" max="11" width="80" style="122" customWidth="1"/>
    <col min="12" max="12" width="8.85156" style="122" customWidth="1"/>
    <col min="13" max="16384" width="8.85156" style="122" customWidth="1"/>
  </cols>
  <sheetData>
    <row r="1" ht="18.5" customHeight="1">
      <c r="A1" t="s" s="27">
        <v>7614</v>
      </c>
      <c r="B1" s="28"/>
      <c r="C1" s="28"/>
      <c r="D1" s="28"/>
      <c r="E1" s="28"/>
      <c r="F1" s="28"/>
      <c r="G1" s="28"/>
      <c r="H1" s="28"/>
      <c r="I1" s="28"/>
      <c r="J1" s="28"/>
      <c r="K1" s="28"/>
      <c r="L1" s="97"/>
    </row>
    <row r="2" ht="53" customHeight="1">
      <c r="A2" t="str" s="29" cm="1">
        <f t="array" ref="A2">"TIMSS"&amp;"
"&amp;"● TIMSS 2027: "&amp;COUNTIF($B$5:$B$107,"T4_27")&amp;" objetivos de 4.° y "&amp;COUNTIF($B$5:$B$107,"T8_27")&amp;" de 8.°. TIMSS Advanced Física: "&amp;COUNTIF($B$5:$B$107,"TA")&amp;"."&amp;"
"&amp;"● "&amp;COUNTIF($I$5:$I$107,"Sí")&amp;" son de medio ambiente y "&amp;COUNTIF($J$5:$J$107,"Sí")&amp;" de investigación. Metas en ámbar (editables)."</f>
        <v>TIMSS
● TIMSS 2027: 32 objetivos de 4.° y 48 de 8.°. TIMSS Advanced Física: 23.
● 24 son de medio ambiente y 7 de investigación. Metas en ámbar (editables).</v>
      </c>
      <c r="B2" s="30"/>
      <c r="C2" s="31"/>
      <c r="D2" s="31"/>
      <c r="E2" s="31"/>
      <c r="F2" s="31"/>
      <c r="G2" s="31"/>
      <c r="H2" s="31"/>
      <c r="I2" s="31"/>
      <c r="J2" s="31"/>
      <c r="K2" s="31"/>
      <c r="L2" s="32"/>
    </row>
    <row r="3" ht="13.55" customHeight="1">
      <c r="A3" s="71"/>
      <c r="B3" s="31"/>
      <c r="C3" s="31"/>
      <c r="D3" s="31"/>
      <c r="E3" s="31"/>
      <c r="F3" s="31"/>
      <c r="G3" s="31"/>
      <c r="H3" s="31"/>
      <c r="I3" s="31"/>
      <c r="J3" s="31"/>
      <c r="K3" s="31"/>
      <c r="L3" s="51"/>
    </row>
    <row r="4" ht="30" customHeight="1">
      <c r="A4" t="s" s="34">
        <v>1047</v>
      </c>
      <c r="B4" t="s" s="34">
        <v>155</v>
      </c>
      <c r="C4" t="s" s="34">
        <v>1002</v>
      </c>
      <c r="D4" t="s" s="34">
        <v>7616</v>
      </c>
      <c r="E4" t="s" s="34">
        <v>7617</v>
      </c>
      <c r="F4" t="s" s="34">
        <v>1048</v>
      </c>
      <c r="G4" t="s" s="34">
        <v>7618</v>
      </c>
      <c r="H4" t="s" s="34">
        <v>7619</v>
      </c>
      <c r="I4" t="s" s="34">
        <v>7620</v>
      </c>
      <c r="J4" t="s" s="34">
        <v>7621</v>
      </c>
      <c r="K4" t="s" s="34">
        <v>7622</v>
      </c>
      <c r="L4" s="87"/>
    </row>
    <row r="5" ht="35.65" customHeight="1">
      <c r="A5" t="s" s="78">
        <v>427</v>
      </c>
      <c r="B5" t="s" s="78">
        <v>1055</v>
      </c>
      <c r="C5" t="s" s="78">
        <v>210</v>
      </c>
      <c r="D5" s="123">
        <v>0.45</v>
      </c>
      <c r="E5" t="s" s="78">
        <v>7623</v>
      </c>
      <c r="F5" t="s" s="78">
        <v>1056</v>
      </c>
      <c r="G5" t="s" s="78">
        <v>1057</v>
      </c>
      <c r="H5" t="s" s="78">
        <v>7624</v>
      </c>
      <c r="I5" t="s" s="124">
        <v>263</v>
      </c>
      <c r="J5" t="s" s="124">
        <v>1076</v>
      </c>
      <c r="K5" t="s" s="78">
        <v>7625</v>
      </c>
      <c r="L5" s="87"/>
    </row>
    <row r="6" ht="35.65" customHeight="1">
      <c r="A6" t="s" s="78">
        <v>388</v>
      </c>
      <c r="B6" t="s" s="78">
        <v>1055</v>
      </c>
      <c r="C6" t="s" s="78">
        <v>210</v>
      </c>
      <c r="D6" s="123">
        <v>0.45</v>
      </c>
      <c r="E6" t="s" s="78">
        <v>7623</v>
      </c>
      <c r="F6" t="s" s="78">
        <v>1056</v>
      </c>
      <c r="G6" t="s" s="78">
        <v>1062</v>
      </c>
      <c r="H6" t="s" s="78">
        <v>7624</v>
      </c>
      <c r="I6" t="s" s="124">
        <v>1076</v>
      </c>
      <c r="J6" t="s" s="124">
        <v>1076</v>
      </c>
      <c r="K6" t="s" s="78">
        <v>7626</v>
      </c>
      <c r="L6" s="87"/>
    </row>
    <row r="7" ht="35.65" customHeight="1">
      <c r="A7" t="s" s="78">
        <v>383</v>
      </c>
      <c r="B7" t="s" s="78">
        <v>1055</v>
      </c>
      <c r="C7" t="s" s="78">
        <v>210</v>
      </c>
      <c r="D7" s="123">
        <v>0.45</v>
      </c>
      <c r="E7" t="s" s="78">
        <v>7623</v>
      </c>
      <c r="F7" t="s" s="78">
        <v>1056</v>
      </c>
      <c r="G7" t="s" s="78">
        <v>1064</v>
      </c>
      <c r="H7" t="s" s="78">
        <v>7627</v>
      </c>
      <c r="I7" t="s" s="124">
        <v>1076</v>
      </c>
      <c r="J7" t="s" s="124">
        <v>1076</v>
      </c>
      <c r="K7" t="s" s="78">
        <v>7628</v>
      </c>
      <c r="L7" s="87"/>
    </row>
    <row r="8" ht="46.65" customHeight="1">
      <c r="A8" t="s" s="78">
        <v>1066</v>
      </c>
      <c r="B8" t="s" s="78">
        <v>1055</v>
      </c>
      <c r="C8" t="s" s="78">
        <v>210</v>
      </c>
      <c r="D8" s="123">
        <v>0.45</v>
      </c>
      <c r="E8" t="s" s="78">
        <v>7623</v>
      </c>
      <c r="F8" t="s" s="78">
        <v>1056</v>
      </c>
      <c r="G8" t="s" s="78">
        <v>1067</v>
      </c>
      <c r="H8" t="s" s="78">
        <v>7627</v>
      </c>
      <c r="I8" t="s" s="124">
        <v>263</v>
      </c>
      <c r="J8" t="s" s="124">
        <v>1076</v>
      </c>
      <c r="K8" t="s" s="78">
        <v>7629</v>
      </c>
      <c r="L8" s="87"/>
    </row>
    <row r="9" ht="35.65" customHeight="1">
      <c r="A9" t="s" s="78">
        <v>1069</v>
      </c>
      <c r="B9" t="s" s="78">
        <v>1055</v>
      </c>
      <c r="C9" t="s" s="78">
        <v>210</v>
      </c>
      <c r="D9" s="123">
        <v>0.45</v>
      </c>
      <c r="E9" t="s" s="78">
        <v>7630</v>
      </c>
      <c r="F9" t="s" s="78">
        <v>1070</v>
      </c>
      <c r="G9" t="s" s="78">
        <v>1071</v>
      </c>
      <c r="H9" t="s" s="78">
        <v>7627</v>
      </c>
      <c r="I9" t="s" s="124">
        <v>1076</v>
      </c>
      <c r="J9" t="s" s="124">
        <v>1076</v>
      </c>
      <c r="K9" t="s" s="78">
        <v>7631</v>
      </c>
      <c r="L9" s="87"/>
    </row>
    <row r="10" ht="46.65" customHeight="1">
      <c r="A10" t="s" s="78">
        <v>1074</v>
      </c>
      <c r="B10" t="s" s="78">
        <v>1055</v>
      </c>
      <c r="C10" t="s" s="78">
        <v>210</v>
      </c>
      <c r="D10" s="123">
        <v>0.45</v>
      </c>
      <c r="E10" t="s" s="78">
        <v>7630</v>
      </c>
      <c r="F10" t="s" s="78">
        <v>1070</v>
      </c>
      <c r="G10" t="s" s="78">
        <v>1075</v>
      </c>
      <c r="H10" t="s" s="78">
        <v>7627</v>
      </c>
      <c r="I10" t="s" s="124">
        <v>1076</v>
      </c>
      <c r="J10" t="s" s="124">
        <v>1076</v>
      </c>
      <c r="K10" t="s" s="78">
        <v>7632</v>
      </c>
      <c r="L10" s="87"/>
    </row>
    <row r="11" ht="35.65" customHeight="1">
      <c r="A11" t="s" s="78">
        <v>1079</v>
      </c>
      <c r="B11" t="s" s="78">
        <v>1055</v>
      </c>
      <c r="C11" t="s" s="78">
        <v>210</v>
      </c>
      <c r="D11" s="123">
        <v>0.45</v>
      </c>
      <c r="E11" t="s" s="78">
        <v>7633</v>
      </c>
      <c r="F11" t="s" s="78">
        <v>1080</v>
      </c>
      <c r="G11" t="s" s="78">
        <v>1081</v>
      </c>
      <c r="H11" t="s" s="78">
        <v>7627</v>
      </c>
      <c r="I11" t="s" s="124">
        <v>263</v>
      </c>
      <c r="J11" t="s" s="124">
        <v>1076</v>
      </c>
      <c r="K11" t="s" s="78">
        <v>7634</v>
      </c>
      <c r="L11" s="87"/>
    </row>
    <row r="12" ht="35.65" customHeight="1">
      <c r="A12" t="s" s="78">
        <v>416</v>
      </c>
      <c r="B12" t="s" s="78">
        <v>1055</v>
      </c>
      <c r="C12" t="s" s="78">
        <v>210</v>
      </c>
      <c r="D12" s="123">
        <v>0.45</v>
      </c>
      <c r="E12" t="s" s="78">
        <v>7635</v>
      </c>
      <c r="F12" t="s" s="78">
        <v>1083</v>
      </c>
      <c r="G12" t="s" s="78">
        <v>1084</v>
      </c>
      <c r="H12" t="s" s="78">
        <v>7636</v>
      </c>
      <c r="I12" t="s" s="124">
        <v>263</v>
      </c>
      <c r="J12" t="s" s="124">
        <v>1076</v>
      </c>
      <c r="K12" t="s" s="78">
        <v>7637</v>
      </c>
      <c r="L12" s="87"/>
    </row>
    <row r="13" ht="35.65" customHeight="1">
      <c r="A13" t="s" s="78">
        <v>1086</v>
      </c>
      <c r="B13" t="s" s="78">
        <v>1055</v>
      </c>
      <c r="C13" t="s" s="78">
        <v>210</v>
      </c>
      <c r="D13" s="123">
        <v>0.45</v>
      </c>
      <c r="E13" t="s" s="78">
        <v>7635</v>
      </c>
      <c r="F13" t="s" s="78">
        <v>1083</v>
      </c>
      <c r="G13" t="s" s="78">
        <v>1087</v>
      </c>
      <c r="H13" t="s" s="78">
        <v>7636</v>
      </c>
      <c r="I13" t="s" s="124">
        <v>263</v>
      </c>
      <c r="J13" t="s" s="124">
        <v>1076</v>
      </c>
      <c r="K13" t="s" s="78">
        <v>7638</v>
      </c>
      <c r="L13" s="87"/>
    </row>
    <row r="14" ht="35.65" customHeight="1">
      <c r="A14" t="s" s="78">
        <v>1090</v>
      </c>
      <c r="B14" t="s" s="78">
        <v>1055</v>
      </c>
      <c r="C14" t="s" s="78">
        <v>210</v>
      </c>
      <c r="D14" s="123">
        <v>0.45</v>
      </c>
      <c r="E14" t="s" s="78">
        <v>7635</v>
      </c>
      <c r="F14" t="s" s="78">
        <v>1083</v>
      </c>
      <c r="G14" t="s" s="78">
        <v>1091</v>
      </c>
      <c r="H14" t="s" s="78">
        <v>7636</v>
      </c>
      <c r="I14" t="s" s="124">
        <v>263</v>
      </c>
      <c r="J14" t="s" s="124">
        <v>1076</v>
      </c>
      <c r="K14" t="s" s="78">
        <v>7639</v>
      </c>
      <c r="L14" s="87"/>
    </row>
    <row r="15" ht="35.65" customHeight="1">
      <c r="A15" t="s" s="78">
        <v>1093</v>
      </c>
      <c r="B15" t="s" s="78">
        <v>1055</v>
      </c>
      <c r="C15" t="s" s="78">
        <v>210</v>
      </c>
      <c r="D15" s="123">
        <v>0.45</v>
      </c>
      <c r="E15" t="s" s="78">
        <v>7640</v>
      </c>
      <c r="F15" t="s" s="78">
        <v>1094</v>
      </c>
      <c r="G15" t="s" s="78">
        <v>1095</v>
      </c>
      <c r="H15" t="s" s="78">
        <v>7636</v>
      </c>
      <c r="I15" t="s" s="124">
        <v>1076</v>
      </c>
      <c r="J15" t="s" s="124">
        <v>1076</v>
      </c>
      <c r="K15" t="s" s="78">
        <v>7641</v>
      </c>
      <c r="L15" s="87"/>
    </row>
    <row r="16" ht="35.65" customHeight="1">
      <c r="A16" t="s" s="78">
        <v>346</v>
      </c>
      <c r="B16" t="s" s="78">
        <v>1055</v>
      </c>
      <c r="C16" t="s" s="78">
        <v>210</v>
      </c>
      <c r="D16" s="123">
        <v>0.45</v>
      </c>
      <c r="E16" t="s" s="78">
        <v>7640</v>
      </c>
      <c r="F16" t="s" s="78">
        <v>1094</v>
      </c>
      <c r="G16" t="s" s="78">
        <v>1097</v>
      </c>
      <c r="H16" t="s" s="78">
        <v>7636</v>
      </c>
      <c r="I16" t="s" s="124">
        <v>1076</v>
      </c>
      <c r="J16" t="s" s="124">
        <v>1076</v>
      </c>
      <c r="K16" t="s" s="78">
        <v>7642</v>
      </c>
      <c r="L16" s="87"/>
    </row>
    <row r="17" ht="35.65" customHeight="1">
      <c r="A17" t="s" s="78">
        <v>1099</v>
      </c>
      <c r="B17" t="s" s="78">
        <v>1055</v>
      </c>
      <c r="C17" t="s" s="78">
        <v>210</v>
      </c>
      <c r="D17" s="123">
        <v>0.45</v>
      </c>
      <c r="E17" t="s" s="78">
        <v>7643</v>
      </c>
      <c r="F17" t="s" s="78">
        <v>1100</v>
      </c>
      <c r="G17" t="s" s="78">
        <v>1101</v>
      </c>
      <c r="H17" t="s" s="78">
        <v>7636</v>
      </c>
      <c r="I17" t="s" s="124">
        <v>1076</v>
      </c>
      <c r="J17" t="s" s="124">
        <v>263</v>
      </c>
      <c r="K17" t="s" s="78">
        <v>7644</v>
      </c>
      <c r="L17" s="87"/>
    </row>
    <row r="18" ht="46.65" customHeight="1">
      <c r="A18" t="s" s="78">
        <v>313</v>
      </c>
      <c r="B18" t="s" s="78">
        <v>1055</v>
      </c>
      <c r="C18" t="s" s="78">
        <v>213</v>
      </c>
      <c r="D18" s="123">
        <v>0.35</v>
      </c>
      <c r="E18" t="s" s="78">
        <v>7645</v>
      </c>
      <c r="F18" t="s" s="78">
        <v>1103</v>
      </c>
      <c r="G18" t="s" s="78">
        <v>1104</v>
      </c>
      <c r="H18" t="s" s="78">
        <v>7646</v>
      </c>
      <c r="I18" t="s" s="124">
        <v>1076</v>
      </c>
      <c r="J18" t="s" s="124">
        <v>1076</v>
      </c>
      <c r="K18" t="s" s="78">
        <v>7647</v>
      </c>
      <c r="L18" s="87"/>
    </row>
    <row r="19" ht="35.65" customHeight="1">
      <c r="A19" t="s" s="78">
        <v>1106</v>
      </c>
      <c r="B19" t="s" s="78">
        <v>1055</v>
      </c>
      <c r="C19" t="s" s="78">
        <v>213</v>
      </c>
      <c r="D19" s="123">
        <v>0.35</v>
      </c>
      <c r="E19" t="s" s="78">
        <v>7645</v>
      </c>
      <c r="F19" t="s" s="78">
        <v>1103</v>
      </c>
      <c r="G19" t="s" s="78">
        <v>1107</v>
      </c>
      <c r="H19" t="s" s="78">
        <v>7646</v>
      </c>
      <c r="I19" t="s" s="124">
        <v>1076</v>
      </c>
      <c r="J19" t="s" s="124">
        <v>1076</v>
      </c>
      <c r="K19" t="s" s="78">
        <v>7648</v>
      </c>
      <c r="L19" s="87"/>
    </row>
    <row r="20" ht="46.65" customHeight="1">
      <c r="A20" t="s" s="78">
        <v>1109</v>
      </c>
      <c r="B20" t="s" s="78">
        <v>1055</v>
      </c>
      <c r="C20" t="s" s="78">
        <v>213</v>
      </c>
      <c r="D20" s="123">
        <v>0.35</v>
      </c>
      <c r="E20" t="s" s="78">
        <v>7645</v>
      </c>
      <c r="F20" t="s" s="78">
        <v>1103</v>
      </c>
      <c r="G20" t="s" s="78">
        <v>1110</v>
      </c>
      <c r="H20" t="s" s="78">
        <v>7649</v>
      </c>
      <c r="I20" t="s" s="124">
        <v>1076</v>
      </c>
      <c r="J20" t="s" s="124">
        <v>1076</v>
      </c>
      <c r="K20" t="s" s="78">
        <v>7650</v>
      </c>
      <c r="L20" s="87"/>
    </row>
    <row r="21" ht="35.65" customHeight="1">
      <c r="A21" t="s" s="78">
        <v>1112</v>
      </c>
      <c r="B21" t="s" s="78">
        <v>1055</v>
      </c>
      <c r="C21" t="s" s="78">
        <v>213</v>
      </c>
      <c r="D21" s="123">
        <v>0.35</v>
      </c>
      <c r="E21" t="s" s="78">
        <v>7651</v>
      </c>
      <c r="F21" t="s" s="78">
        <v>1113</v>
      </c>
      <c r="G21" t="s" s="78">
        <v>1114</v>
      </c>
      <c r="H21" t="s" s="78">
        <v>7649</v>
      </c>
      <c r="I21" t="s" s="124">
        <v>1076</v>
      </c>
      <c r="J21" t="s" s="124">
        <v>1076</v>
      </c>
      <c r="K21" t="s" s="78">
        <v>7652</v>
      </c>
      <c r="L21" s="87"/>
    </row>
    <row r="22" ht="35.65" customHeight="1">
      <c r="A22" t="s" s="78">
        <v>1116</v>
      </c>
      <c r="B22" t="s" s="78">
        <v>1055</v>
      </c>
      <c r="C22" t="s" s="78">
        <v>213</v>
      </c>
      <c r="D22" s="123">
        <v>0.35</v>
      </c>
      <c r="E22" t="s" s="78">
        <v>7651</v>
      </c>
      <c r="F22" t="s" s="78">
        <v>1113</v>
      </c>
      <c r="G22" t="s" s="78">
        <v>1117</v>
      </c>
      <c r="H22" t="s" s="78">
        <v>7649</v>
      </c>
      <c r="I22" t="s" s="124">
        <v>1076</v>
      </c>
      <c r="J22" t="s" s="124">
        <v>1076</v>
      </c>
      <c r="K22" t="s" s="78">
        <v>7653</v>
      </c>
      <c r="L22" s="87"/>
    </row>
    <row r="23" ht="35.65" customHeight="1">
      <c r="A23" t="s" s="78">
        <v>317</v>
      </c>
      <c r="B23" t="s" s="78">
        <v>1055</v>
      </c>
      <c r="C23" t="s" s="78">
        <v>213</v>
      </c>
      <c r="D23" s="123">
        <v>0.35</v>
      </c>
      <c r="E23" t="s" s="78">
        <v>7654</v>
      </c>
      <c r="F23" t="s" s="78">
        <v>1120</v>
      </c>
      <c r="G23" t="s" s="78">
        <v>1121</v>
      </c>
      <c r="H23" t="s" s="78">
        <v>7649</v>
      </c>
      <c r="I23" t="s" s="124">
        <v>1076</v>
      </c>
      <c r="J23" t="s" s="124">
        <v>1076</v>
      </c>
      <c r="K23" t="s" s="78">
        <v>7655</v>
      </c>
      <c r="L23" s="87"/>
    </row>
    <row r="24" ht="35.65" customHeight="1">
      <c r="A24" t="s" s="78">
        <v>303</v>
      </c>
      <c r="B24" t="s" s="78">
        <v>1055</v>
      </c>
      <c r="C24" t="s" s="78">
        <v>213</v>
      </c>
      <c r="D24" s="123">
        <v>0.35</v>
      </c>
      <c r="E24" t="s" s="78">
        <v>7654</v>
      </c>
      <c r="F24" t="s" s="78">
        <v>1120</v>
      </c>
      <c r="G24" t="s" s="78">
        <v>1123</v>
      </c>
      <c r="H24" t="s" s="78">
        <v>7649</v>
      </c>
      <c r="I24" t="s" s="124">
        <v>1076</v>
      </c>
      <c r="J24" t="s" s="124">
        <v>1076</v>
      </c>
      <c r="K24" t="s" s="78">
        <v>7656</v>
      </c>
      <c r="L24" s="87"/>
    </row>
    <row r="25" ht="35.65" customHeight="1">
      <c r="A25" t="s" s="78">
        <v>295</v>
      </c>
      <c r="B25" t="s" s="78">
        <v>1055</v>
      </c>
      <c r="C25" t="s" s="78">
        <v>213</v>
      </c>
      <c r="D25" s="123">
        <v>0.35</v>
      </c>
      <c r="E25" t="s" s="78">
        <v>7657</v>
      </c>
      <c r="F25" t="s" s="78">
        <v>1018</v>
      </c>
      <c r="G25" t="s" s="78">
        <v>1125</v>
      </c>
      <c r="H25" t="s" s="78">
        <v>7649</v>
      </c>
      <c r="I25" t="s" s="124">
        <v>1076</v>
      </c>
      <c r="J25" t="s" s="124">
        <v>1076</v>
      </c>
      <c r="K25" t="s" s="78">
        <v>7658</v>
      </c>
      <c r="L25" s="87"/>
    </row>
    <row r="26" ht="35.65" customHeight="1">
      <c r="A26" t="s" s="78">
        <v>308</v>
      </c>
      <c r="B26" t="s" s="78">
        <v>1055</v>
      </c>
      <c r="C26" t="s" s="78">
        <v>213</v>
      </c>
      <c r="D26" s="123">
        <v>0.35</v>
      </c>
      <c r="E26" t="s" s="78">
        <v>7657</v>
      </c>
      <c r="F26" t="s" s="78">
        <v>1018</v>
      </c>
      <c r="G26" t="s" s="78">
        <v>1127</v>
      </c>
      <c r="H26" t="s" s="78">
        <v>7649</v>
      </c>
      <c r="I26" t="s" s="124">
        <v>1076</v>
      </c>
      <c r="J26" t="s" s="124">
        <v>1076</v>
      </c>
      <c r="K26" t="s" s="78">
        <v>7659</v>
      </c>
      <c r="L26" s="87"/>
    </row>
    <row r="27" ht="35.65" customHeight="1">
      <c r="A27" t="s" s="78">
        <v>332</v>
      </c>
      <c r="B27" t="s" s="78">
        <v>1055</v>
      </c>
      <c r="C27" t="s" s="78">
        <v>213</v>
      </c>
      <c r="D27" s="123">
        <v>0.35</v>
      </c>
      <c r="E27" t="s" s="78">
        <v>7660</v>
      </c>
      <c r="F27" t="s" s="78">
        <v>1129</v>
      </c>
      <c r="G27" t="s" s="78">
        <v>1130</v>
      </c>
      <c r="H27" t="s" s="78">
        <v>7661</v>
      </c>
      <c r="I27" t="s" s="124">
        <v>1076</v>
      </c>
      <c r="J27" t="s" s="124">
        <v>1076</v>
      </c>
      <c r="K27" t="s" s="78">
        <v>7662</v>
      </c>
      <c r="L27" s="87"/>
    </row>
    <row r="28" ht="35.65" customHeight="1">
      <c r="A28" t="s" s="78">
        <v>1132</v>
      </c>
      <c r="B28" t="s" s="78">
        <v>1055</v>
      </c>
      <c r="C28" t="s" s="78">
        <v>213</v>
      </c>
      <c r="D28" s="123">
        <v>0.35</v>
      </c>
      <c r="E28" t="s" s="78">
        <v>7660</v>
      </c>
      <c r="F28" t="s" s="78">
        <v>1129</v>
      </c>
      <c r="G28" t="s" s="78">
        <v>1133</v>
      </c>
      <c r="H28" t="s" s="78">
        <v>7661</v>
      </c>
      <c r="I28" t="s" s="124">
        <v>1076</v>
      </c>
      <c r="J28" t="s" s="124">
        <v>1076</v>
      </c>
      <c r="K28" t="s" s="78">
        <v>7663</v>
      </c>
      <c r="L28" s="87"/>
    </row>
    <row r="29" ht="35.65" customHeight="1">
      <c r="A29" t="s" s="78">
        <v>1136</v>
      </c>
      <c r="B29" t="s" s="78">
        <v>1055</v>
      </c>
      <c r="C29" t="s" s="78">
        <v>213</v>
      </c>
      <c r="D29" s="123">
        <v>0.35</v>
      </c>
      <c r="E29" t="s" s="78">
        <v>7664</v>
      </c>
      <c r="F29" t="s" s="78">
        <v>1137</v>
      </c>
      <c r="G29" t="s" s="78">
        <v>1138</v>
      </c>
      <c r="H29" t="s" s="78">
        <v>7661</v>
      </c>
      <c r="I29" t="s" s="124">
        <v>1076</v>
      </c>
      <c r="J29" t="s" s="124">
        <v>263</v>
      </c>
      <c r="K29" t="s" s="78">
        <v>7665</v>
      </c>
      <c r="L29" s="87"/>
    </row>
    <row r="30" ht="35.65" customHeight="1">
      <c r="A30" t="s" s="78">
        <v>288</v>
      </c>
      <c r="B30" t="s" s="78">
        <v>1055</v>
      </c>
      <c r="C30" t="s" s="78">
        <v>216</v>
      </c>
      <c r="D30" s="123">
        <v>0.2</v>
      </c>
      <c r="E30" t="s" s="78">
        <v>7666</v>
      </c>
      <c r="F30" t="s" s="78">
        <v>1140</v>
      </c>
      <c r="G30" t="s" s="78">
        <v>1141</v>
      </c>
      <c r="H30" t="s" s="78">
        <v>7667</v>
      </c>
      <c r="I30" t="s" s="124">
        <v>263</v>
      </c>
      <c r="J30" t="s" s="124">
        <v>1076</v>
      </c>
      <c r="K30" t="s" s="78">
        <v>7668</v>
      </c>
      <c r="L30" s="87"/>
    </row>
    <row r="31" ht="35.65" customHeight="1">
      <c r="A31" t="s" s="78">
        <v>266</v>
      </c>
      <c r="B31" t="s" s="78">
        <v>1055</v>
      </c>
      <c r="C31" t="s" s="78">
        <v>216</v>
      </c>
      <c r="D31" s="123">
        <v>0.2</v>
      </c>
      <c r="E31" t="s" s="78">
        <v>7666</v>
      </c>
      <c r="F31" t="s" s="78">
        <v>1140</v>
      </c>
      <c r="G31" t="s" s="78">
        <v>1143</v>
      </c>
      <c r="H31" t="s" s="78">
        <v>7667</v>
      </c>
      <c r="I31" t="s" s="124">
        <v>1076</v>
      </c>
      <c r="J31" t="s" s="124">
        <v>1076</v>
      </c>
      <c r="K31" t="s" s="78">
        <v>7669</v>
      </c>
      <c r="L31" s="87"/>
    </row>
    <row r="32" ht="35.65" customHeight="1">
      <c r="A32" t="s" s="78">
        <v>274</v>
      </c>
      <c r="B32" t="s" s="78">
        <v>1055</v>
      </c>
      <c r="C32" t="s" s="78">
        <v>216</v>
      </c>
      <c r="D32" s="123">
        <v>0.2</v>
      </c>
      <c r="E32" t="s" s="78">
        <v>7670</v>
      </c>
      <c r="F32" t="s" s="78">
        <v>1145</v>
      </c>
      <c r="G32" t="s" s="78">
        <v>1146</v>
      </c>
      <c r="H32" t="s" s="78">
        <v>7667</v>
      </c>
      <c r="I32" t="s" s="124">
        <v>263</v>
      </c>
      <c r="J32" t="s" s="124">
        <v>1076</v>
      </c>
      <c r="K32" t="s" s="78">
        <v>7671</v>
      </c>
      <c r="L32" s="87"/>
    </row>
    <row r="33" ht="35.65" customHeight="1">
      <c r="A33" t="s" s="78">
        <v>1148</v>
      </c>
      <c r="B33" t="s" s="78">
        <v>1055</v>
      </c>
      <c r="C33" t="s" s="78">
        <v>216</v>
      </c>
      <c r="D33" s="123">
        <v>0.2</v>
      </c>
      <c r="E33" t="s" s="78">
        <v>7672</v>
      </c>
      <c r="F33" t="s" s="78">
        <v>1149</v>
      </c>
      <c r="G33" t="s" s="78">
        <v>1150</v>
      </c>
      <c r="H33" t="s" s="78">
        <v>7667</v>
      </c>
      <c r="I33" t="s" s="124">
        <v>263</v>
      </c>
      <c r="J33" t="s" s="124">
        <v>1076</v>
      </c>
      <c r="K33" t="s" s="78">
        <v>7673</v>
      </c>
      <c r="L33" s="87"/>
    </row>
    <row r="34" ht="35.65" customHeight="1">
      <c r="A34" t="s" s="78">
        <v>1152</v>
      </c>
      <c r="B34" t="s" s="78">
        <v>1055</v>
      </c>
      <c r="C34" t="s" s="78">
        <v>216</v>
      </c>
      <c r="D34" s="123">
        <v>0.2</v>
      </c>
      <c r="E34" t="s" s="78">
        <v>7674</v>
      </c>
      <c r="F34" t="s" s="78">
        <v>1153</v>
      </c>
      <c r="G34" t="s" s="78">
        <v>1154</v>
      </c>
      <c r="H34" t="s" s="78">
        <v>7667</v>
      </c>
      <c r="I34" t="s" s="124">
        <v>1076</v>
      </c>
      <c r="J34" t="s" s="124">
        <v>1076</v>
      </c>
      <c r="K34" t="s" s="78">
        <v>7675</v>
      </c>
      <c r="L34" s="87"/>
    </row>
    <row r="35" ht="35.65" customHeight="1">
      <c r="A35" t="s" s="78">
        <v>1156</v>
      </c>
      <c r="B35" t="s" s="78">
        <v>1055</v>
      </c>
      <c r="C35" t="s" s="78">
        <v>216</v>
      </c>
      <c r="D35" s="123">
        <v>0.2</v>
      </c>
      <c r="E35" t="s" s="78">
        <v>7674</v>
      </c>
      <c r="F35" t="s" s="78">
        <v>1153</v>
      </c>
      <c r="G35" t="s" s="78">
        <v>1157</v>
      </c>
      <c r="H35" t="s" s="78">
        <v>7667</v>
      </c>
      <c r="I35" t="s" s="124">
        <v>1076</v>
      </c>
      <c r="J35" t="s" s="124">
        <v>1076</v>
      </c>
      <c r="K35" t="s" s="78">
        <v>7676</v>
      </c>
      <c r="L35" s="87"/>
    </row>
    <row r="36" ht="35.65" customHeight="1">
      <c r="A36" t="s" s="78">
        <v>1159</v>
      </c>
      <c r="B36" t="s" s="78">
        <v>1055</v>
      </c>
      <c r="C36" t="s" s="78">
        <v>216</v>
      </c>
      <c r="D36" s="123">
        <v>0.2</v>
      </c>
      <c r="E36" t="s" s="78">
        <v>7677</v>
      </c>
      <c r="F36" t="s" s="78">
        <v>1160</v>
      </c>
      <c r="G36" t="s" s="78">
        <v>1161</v>
      </c>
      <c r="H36" t="s" s="78">
        <v>7678</v>
      </c>
      <c r="I36" t="s" s="124">
        <v>1076</v>
      </c>
      <c r="J36" t="s" s="124">
        <v>263</v>
      </c>
      <c r="K36" t="s" s="78">
        <v>7679</v>
      </c>
      <c r="L36" s="87"/>
    </row>
    <row r="37" ht="35.65" customHeight="1">
      <c r="A37" t="s" s="78">
        <v>1163</v>
      </c>
      <c r="B37" t="s" s="78">
        <v>1164</v>
      </c>
      <c r="C37" t="s" s="78">
        <v>210</v>
      </c>
      <c r="D37" s="123">
        <v>0.35</v>
      </c>
      <c r="E37" t="s" s="78">
        <v>7680</v>
      </c>
      <c r="F37" t="s" s="78">
        <v>1056</v>
      </c>
      <c r="G37" t="s" s="78">
        <v>1165</v>
      </c>
      <c r="H37" t="s" s="78">
        <v>7681</v>
      </c>
      <c r="I37" t="s" s="124">
        <v>1076</v>
      </c>
      <c r="J37" t="s" s="124">
        <v>1076</v>
      </c>
      <c r="K37" t="s" s="78">
        <v>7682</v>
      </c>
      <c r="L37" s="87"/>
    </row>
    <row r="38" ht="35.65" customHeight="1">
      <c r="A38" t="s" s="78">
        <v>1168</v>
      </c>
      <c r="B38" t="s" s="78">
        <v>1164</v>
      </c>
      <c r="C38" t="s" s="78">
        <v>210</v>
      </c>
      <c r="D38" s="123">
        <v>0.35</v>
      </c>
      <c r="E38" t="s" s="78">
        <v>7680</v>
      </c>
      <c r="F38" t="s" s="78">
        <v>1056</v>
      </c>
      <c r="G38" t="s" s="78">
        <v>1169</v>
      </c>
      <c r="H38" t="s" s="78">
        <v>7681</v>
      </c>
      <c r="I38" t="s" s="124">
        <v>1076</v>
      </c>
      <c r="J38" t="s" s="124">
        <v>1076</v>
      </c>
      <c r="K38" t="s" s="78">
        <v>7683</v>
      </c>
      <c r="L38" s="87"/>
    </row>
    <row r="39" ht="57.65" customHeight="1">
      <c r="A39" t="s" s="78">
        <v>1171</v>
      </c>
      <c r="B39" t="s" s="78">
        <v>1164</v>
      </c>
      <c r="C39" t="s" s="78">
        <v>210</v>
      </c>
      <c r="D39" s="123">
        <v>0.35</v>
      </c>
      <c r="E39" t="s" s="78">
        <v>7680</v>
      </c>
      <c r="F39" t="s" s="78">
        <v>1056</v>
      </c>
      <c r="G39" t="s" s="78">
        <v>1172</v>
      </c>
      <c r="H39" t="s" s="78">
        <v>7681</v>
      </c>
      <c r="I39" t="s" s="124">
        <v>263</v>
      </c>
      <c r="J39" t="s" s="124">
        <v>1076</v>
      </c>
      <c r="K39" t="s" s="78">
        <v>7684</v>
      </c>
      <c r="L39" s="87"/>
    </row>
    <row r="40" ht="57.65" customHeight="1">
      <c r="A40" t="s" s="78">
        <v>1174</v>
      </c>
      <c r="B40" t="s" s="78">
        <v>1164</v>
      </c>
      <c r="C40" t="s" s="78">
        <v>210</v>
      </c>
      <c r="D40" s="123">
        <v>0.35</v>
      </c>
      <c r="E40" t="s" s="78">
        <v>7685</v>
      </c>
      <c r="F40" t="s" s="78">
        <v>1175</v>
      </c>
      <c r="G40" t="s" s="78">
        <v>1176</v>
      </c>
      <c r="H40" t="s" s="78">
        <v>7681</v>
      </c>
      <c r="I40" t="s" s="124">
        <v>1076</v>
      </c>
      <c r="J40" t="s" s="124">
        <v>1076</v>
      </c>
      <c r="K40" t="s" s="78">
        <v>7686</v>
      </c>
      <c r="L40" s="87"/>
    </row>
    <row r="41" ht="46.65" customHeight="1">
      <c r="A41" t="s" s="78">
        <v>1178</v>
      </c>
      <c r="B41" t="s" s="78">
        <v>1164</v>
      </c>
      <c r="C41" t="s" s="78">
        <v>210</v>
      </c>
      <c r="D41" s="123">
        <v>0.35</v>
      </c>
      <c r="E41" t="s" s="78">
        <v>7687</v>
      </c>
      <c r="F41" t="s" s="78">
        <v>1070</v>
      </c>
      <c r="G41" t="s" s="78">
        <v>1179</v>
      </c>
      <c r="H41" t="s" s="78">
        <v>7688</v>
      </c>
      <c r="I41" t="s" s="124">
        <v>1076</v>
      </c>
      <c r="J41" t="s" s="124">
        <v>1076</v>
      </c>
      <c r="K41" t="s" s="78">
        <v>7689</v>
      </c>
      <c r="L41" s="87"/>
    </row>
    <row r="42" ht="35.65" customHeight="1">
      <c r="A42" t="s" s="78">
        <v>1181</v>
      </c>
      <c r="B42" t="s" s="78">
        <v>1164</v>
      </c>
      <c r="C42" t="s" s="78">
        <v>210</v>
      </c>
      <c r="D42" s="123">
        <v>0.35</v>
      </c>
      <c r="E42" t="s" s="78">
        <v>7690</v>
      </c>
      <c r="F42" t="s" s="78">
        <v>1182</v>
      </c>
      <c r="G42" t="s" s="78">
        <v>1183</v>
      </c>
      <c r="H42" t="s" s="78">
        <v>7688</v>
      </c>
      <c r="I42" t="s" s="124">
        <v>1076</v>
      </c>
      <c r="J42" t="s" s="124">
        <v>1076</v>
      </c>
      <c r="K42" t="s" s="78">
        <v>7691</v>
      </c>
      <c r="L42" s="87"/>
    </row>
    <row r="43" ht="35.65" customHeight="1">
      <c r="A43" t="s" s="78">
        <v>1186</v>
      </c>
      <c r="B43" t="s" s="78">
        <v>1164</v>
      </c>
      <c r="C43" t="s" s="78">
        <v>210</v>
      </c>
      <c r="D43" s="123">
        <v>0.35</v>
      </c>
      <c r="E43" t="s" s="78">
        <v>7690</v>
      </c>
      <c r="F43" t="s" s="78">
        <v>1182</v>
      </c>
      <c r="G43" t="s" s="78">
        <v>1187</v>
      </c>
      <c r="H43" t="s" s="78">
        <v>7688</v>
      </c>
      <c r="I43" t="s" s="124">
        <v>1076</v>
      </c>
      <c r="J43" t="s" s="124">
        <v>1076</v>
      </c>
      <c r="K43" t="s" s="78">
        <v>7692</v>
      </c>
      <c r="L43" s="87"/>
    </row>
    <row r="44" ht="35.65" customHeight="1">
      <c r="A44" t="s" s="78">
        <v>1189</v>
      </c>
      <c r="B44" t="s" s="78">
        <v>1164</v>
      </c>
      <c r="C44" t="s" s="78">
        <v>210</v>
      </c>
      <c r="D44" s="123">
        <v>0.35</v>
      </c>
      <c r="E44" t="s" s="78">
        <v>7693</v>
      </c>
      <c r="F44" t="s" s="78">
        <v>1083</v>
      </c>
      <c r="G44" t="s" s="78">
        <v>1190</v>
      </c>
      <c r="H44" t="s" s="78">
        <v>7688</v>
      </c>
      <c r="I44" t="s" s="124">
        <v>263</v>
      </c>
      <c r="J44" t="s" s="124">
        <v>1076</v>
      </c>
      <c r="K44" t="s" s="78">
        <v>7694</v>
      </c>
      <c r="L44" s="87"/>
    </row>
    <row r="45" ht="35.65" customHeight="1">
      <c r="A45" t="s" s="78">
        <v>459</v>
      </c>
      <c r="B45" t="s" s="78">
        <v>1164</v>
      </c>
      <c r="C45" t="s" s="78">
        <v>210</v>
      </c>
      <c r="D45" s="123">
        <v>0.35</v>
      </c>
      <c r="E45" t="s" s="78">
        <v>7693</v>
      </c>
      <c r="F45" t="s" s="78">
        <v>1083</v>
      </c>
      <c r="G45" t="s" s="78">
        <v>1193</v>
      </c>
      <c r="H45" t="s" s="78">
        <v>7688</v>
      </c>
      <c r="I45" t="s" s="124">
        <v>263</v>
      </c>
      <c r="J45" t="s" s="124">
        <v>1076</v>
      </c>
      <c r="K45" t="s" s="78">
        <v>7695</v>
      </c>
      <c r="L45" s="87"/>
    </row>
    <row r="46" ht="35.65" customHeight="1">
      <c r="A46" t="s" s="78">
        <v>1195</v>
      </c>
      <c r="B46" t="s" s="78">
        <v>1164</v>
      </c>
      <c r="C46" t="s" s="78">
        <v>210</v>
      </c>
      <c r="D46" s="123">
        <v>0.35</v>
      </c>
      <c r="E46" t="s" s="78">
        <v>7693</v>
      </c>
      <c r="F46" t="s" s="78">
        <v>1083</v>
      </c>
      <c r="G46" t="s" s="78">
        <v>1196</v>
      </c>
      <c r="H46" t="s" s="78">
        <v>7688</v>
      </c>
      <c r="I46" t="s" s="124">
        <v>263</v>
      </c>
      <c r="J46" t="s" s="124">
        <v>1076</v>
      </c>
      <c r="K46" t="s" s="78">
        <v>7696</v>
      </c>
      <c r="L46" s="87"/>
    </row>
    <row r="47" ht="46.65" customHeight="1">
      <c r="A47" t="s" s="78">
        <v>634</v>
      </c>
      <c r="B47" t="s" s="78">
        <v>1164</v>
      </c>
      <c r="C47" t="s" s="78">
        <v>210</v>
      </c>
      <c r="D47" s="123">
        <v>0.35</v>
      </c>
      <c r="E47" t="s" s="78">
        <v>7693</v>
      </c>
      <c r="F47" t="s" s="78">
        <v>1083</v>
      </c>
      <c r="G47" t="s" s="78">
        <v>1087</v>
      </c>
      <c r="H47" t="s" s="78">
        <v>7697</v>
      </c>
      <c r="I47" t="s" s="124">
        <v>263</v>
      </c>
      <c r="J47" t="s" s="124">
        <v>1076</v>
      </c>
      <c r="K47" t="s" s="78">
        <v>7698</v>
      </c>
      <c r="L47" s="87"/>
    </row>
    <row r="48" ht="35.65" customHeight="1">
      <c r="A48" t="s" s="78">
        <v>475</v>
      </c>
      <c r="B48" t="s" s="78">
        <v>1164</v>
      </c>
      <c r="C48" t="s" s="78">
        <v>210</v>
      </c>
      <c r="D48" s="123">
        <v>0.35</v>
      </c>
      <c r="E48" t="s" s="78">
        <v>7693</v>
      </c>
      <c r="F48" t="s" s="78">
        <v>1083</v>
      </c>
      <c r="G48" t="s" s="78">
        <v>1199</v>
      </c>
      <c r="H48" t="s" s="78">
        <v>7697</v>
      </c>
      <c r="I48" t="s" s="124">
        <v>263</v>
      </c>
      <c r="J48" t="s" s="124">
        <v>1076</v>
      </c>
      <c r="K48" t="s" s="78">
        <v>7699</v>
      </c>
      <c r="L48" s="87"/>
    </row>
    <row r="49" ht="35.65" customHeight="1">
      <c r="A49" t="s" s="78">
        <v>1201</v>
      </c>
      <c r="B49" t="s" s="78">
        <v>1164</v>
      </c>
      <c r="C49" t="s" s="78">
        <v>210</v>
      </c>
      <c r="D49" s="123">
        <v>0.35</v>
      </c>
      <c r="E49" t="s" s="78">
        <v>7693</v>
      </c>
      <c r="F49" t="s" s="78">
        <v>1083</v>
      </c>
      <c r="G49" t="s" s="78">
        <v>1091</v>
      </c>
      <c r="H49" t="s" s="78">
        <v>7697</v>
      </c>
      <c r="I49" t="s" s="124">
        <v>263</v>
      </c>
      <c r="J49" t="s" s="124">
        <v>1076</v>
      </c>
      <c r="K49" t="s" s="78">
        <v>7700</v>
      </c>
      <c r="L49" s="87"/>
    </row>
    <row r="50" ht="46.65" customHeight="1">
      <c r="A50" t="s" s="78">
        <v>454</v>
      </c>
      <c r="B50" t="s" s="78">
        <v>1164</v>
      </c>
      <c r="C50" t="s" s="78">
        <v>210</v>
      </c>
      <c r="D50" s="123">
        <v>0.35</v>
      </c>
      <c r="E50" t="s" s="78">
        <v>7701</v>
      </c>
      <c r="F50" t="s" s="78">
        <v>1094</v>
      </c>
      <c r="G50" t="s" s="78">
        <v>1203</v>
      </c>
      <c r="H50" t="s" s="78">
        <v>7697</v>
      </c>
      <c r="I50" t="s" s="124">
        <v>1076</v>
      </c>
      <c r="J50" t="s" s="124">
        <v>1076</v>
      </c>
      <c r="K50" t="s" s="78">
        <v>7702</v>
      </c>
      <c r="L50" s="87"/>
    </row>
    <row r="51" ht="35.65" customHeight="1">
      <c r="A51" t="s" s="78">
        <v>1205</v>
      </c>
      <c r="B51" t="s" s="78">
        <v>1164</v>
      </c>
      <c r="C51" t="s" s="78">
        <v>210</v>
      </c>
      <c r="D51" s="123">
        <v>0.35</v>
      </c>
      <c r="E51" t="s" s="78">
        <v>7701</v>
      </c>
      <c r="F51" t="s" s="78">
        <v>1094</v>
      </c>
      <c r="G51" t="s" s="78">
        <v>1097</v>
      </c>
      <c r="H51" t="s" s="78">
        <v>7703</v>
      </c>
      <c r="I51" t="s" s="124">
        <v>1076</v>
      </c>
      <c r="J51" t="s" s="124">
        <v>1076</v>
      </c>
      <c r="K51" t="s" s="78">
        <v>7704</v>
      </c>
      <c r="L51" s="87"/>
    </row>
    <row r="52" ht="35.65" customHeight="1">
      <c r="A52" t="s" s="78">
        <v>1207</v>
      </c>
      <c r="B52" t="s" s="78">
        <v>1164</v>
      </c>
      <c r="C52" t="s" s="78">
        <v>210</v>
      </c>
      <c r="D52" s="123">
        <v>0.35</v>
      </c>
      <c r="E52" t="s" s="78">
        <v>7705</v>
      </c>
      <c r="F52" t="s" s="78">
        <v>1100</v>
      </c>
      <c r="G52" t="s" s="78">
        <v>1101</v>
      </c>
      <c r="H52" t="s" s="78">
        <v>7703</v>
      </c>
      <c r="I52" t="s" s="124">
        <v>1076</v>
      </c>
      <c r="J52" t="s" s="124">
        <v>263</v>
      </c>
      <c r="K52" t="s" s="78">
        <v>7706</v>
      </c>
      <c r="L52" s="87"/>
    </row>
    <row r="53" ht="35.65" customHeight="1">
      <c r="A53" t="s" s="78">
        <v>601</v>
      </c>
      <c r="B53" t="s" s="78">
        <v>1164</v>
      </c>
      <c r="C53" t="s" s="78">
        <v>220</v>
      </c>
      <c r="D53" s="123">
        <v>0.2</v>
      </c>
      <c r="E53" t="s" s="78">
        <v>7707</v>
      </c>
      <c r="F53" t="s" s="78">
        <v>1209</v>
      </c>
      <c r="G53" t="s" s="78">
        <v>1210</v>
      </c>
      <c r="H53" t="s" s="78">
        <v>7708</v>
      </c>
      <c r="I53" t="s" s="124">
        <v>1076</v>
      </c>
      <c r="J53" t="s" s="124">
        <v>1076</v>
      </c>
      <c r="K53" t="s" s="78">
        <v>7709</v>
      </c>
      <c r="L53" s="87"/>
    </row>
    <row r="54" ht="35.65" customHeight="1">
      <c r="A54" t="s" s="78">
        <v>1212</v>
      </c>
      <c r="B54" t="s" s="78">
        <v>1164</v>
      </c>
      <c r="C54" t="s" s="78">
        <v>220</v>
      </c>
      <c r="D54" s="123">
        <v>0.2</v>
      </c>
      <c r="E54" t="s" s="78">
        <v>7707</v>
      </c>
      <c r="F54" t="s" s="78">
        <v>1209</v>
      </c>
      <c r="G54" t="s" s="78">
        <v>1213</v>
      </c>
      <c r="H54" t="s" s="78">
        <v>7708</v>
      </c>
      <c r="I54" t="s" s="124">
        <v>1076</v>
      </c>
      <c r="J54" t="s" s="124">
        <v>1076</v>
      </c>
      <c r="K54" t="s" s="78">
        <v>7710</v>
      </c>
      <c r="L54" s="87"/>
    </row>
    <row r="55" ht="35.65" customHeight="1">
      <c r="A55" t="s" s="78">
        <v>1215</v>
      </c>
      <c r="B55" t="s" s="78">
        <v>1164</v>
      </c>
      <c r="C55" t="s" s="78">
        <v>220</v>
      </c>
      <c r="D55" s="123">
        <v>0.2</v>
      </c>
      <c r="E55" t="s" s="78">
        <v>7707</v>
      </c>
      <c r="F55" t="s" s="78">
        <v>1209</v>
      </c>
      <c r="G55" t="s" s="78">
        <v>1216</v>
      </c>
      <c r="H55" t="s" s="78">
        <v>7708</v>
      </c>
      <c r="I55" t="s" s="124">
        <v>1076</v>
      </c>
      <c r="J55" t="s" s="124">
        <v>1076</v>
      </c>
      <c r="K55" t="s" s="78">
        <v>7711</v>
      </c>
      <c r="L55" s="87"/>
    </row>
    <row r="56" ht="57.65" customHeight="1">
      <c r="A56" t="s" s="78">
        <v>1218</v>
      </c>
      <c r="B56" t="s" s="78">
        <v>1164</v>
      </c>
      <c r="C56" t="s" s="78">
        <v>220</v>
      </c>
      <c r="D56" s="123">
        <v>0.2</v>
      </c>
      <c r="E56" t="s" s="78">
        <v>7712</v>
      </c>
      <c r="F56" t="s" s="78">
        <v>1219</v>
      </c>
      <c r="G56" t="s" s="78">
        <v>1220</v>
      </c>
      <c r="H56" t="s" s="78">
        <v>7708</v>
      </c>
      <c r="I56" t="s" s="124">
        <v>1076</v>
      </c>
      <c r="J56" t="s" s="124">
        <v>1076</v>
      </c>
      <c r="K56" t="s" s="78">
        <v>7713</v>
      </c>
      <c r="L56" s="87"/>
    </row>
    <row r="57" ht="35.65" customHeight="1">
      <c r="A57" t="s" s="78">
        <v>615</v>
      </c>
      <c r="B57" t="s" s="78">
        <v>1164</v>
      </c>
      <c r="C57" t="s" s="78">
        <v>220</v>
      </c>
      <c r="D57" s="123">
        <v>0.2</v>
      </c>
      <c r="E57" t="s" s="78">
        <v>7712</v>
      </c>
      <c r="F57" t="s" s="78">
        <v>1219</v>
      </c>
      <c r="G57" t="s" s="78">
        <v>1222</v>
      </c>
      <c r="H57" t="s" s="78">
        <v>7708</v>
      </c>
      <c r="I57" t="s" s="124">
        <v>1076</v>
      </c>
      <c r="J57" t="s" s="124">
        <v>1076</v>
      </c>
      <c r="K57" t="s" s="78">
        <v>7714</v>
      </c>
      <c r="L57" s="87"/>
    </row>
    <row r="58" ht="35.65" customHeight="1">
      <c r="A58" t="s" s="78">
        <v>1224</v>
      </c>
      <c r="B58" t="s" s="78">
        <v>1164</v>
      </c>
      <c r="C58" t="s" s="78">
        <v>220</v>
      </c>
      <c r="D58" s="123">
        <v>0.2</v>
      </c>
      <c r="E58" t="s" s="78">
        <v>7712</v>
      </c>
      <c r="F58" t="s" s="78">
        <v>1219</v>
      </c>
      <c r="G58" t="s" s="78">
        <v>1225</v>
      </c>
      <c r="H58" t="s" s="78">
        <v>7715</v>
      </c>
      <c r="I58" t="s" s="124">
        <v>1076</v>
      </c>
      <c r="J58" t="s" s="124">
        <v>1076</v>
      </c>
      <c r="K58" t="s" s="78">
        <v>7716</v>
      </c>
      <c r="L58" s="87"/>
    </row>
    <row r="59" ht="35.65" customHeight="1">
      <c r="A59" t="s" s="78">
        <v>1227</v>
      </c>
      <c r="B59" t="s" s="78">
        <v>1164</v>
      </c>
      <c r="C59" t="s" s="78">
        <v>220</v>
      </c>
      <c r="D59" s="123">
        <v>0.2</v>
      </c>
      <c r="E59" t="s" s="78">
        <v>7717</v>
      </c>
      <c r="F59" t="s" s="78">
        <v>1228</v>
      </c>
      <c r="G59" t="s" s="78">
        <v>1229</v>
      </c>
      <c r="H59" t="s" s="78">
        <v>7715</v>
      </c>
      <c r="I59" t="s" s="124">
        <v>1076</v>
      </c>
      <c r="J59" t="s" s="124">
        <v>1076</v>
      </c>
      <c r="K59" t="s" s="78">
        <v>7718</v>
      </c>
      <c r="L59" s="87"/>
    </row>
    <row r="60" ht="35.65" customHeight="1">
      <c r="A60" t="s" s="78">
        <v>1231</v>
      </c>
      <c r="B60" t="s" s="78">
        <v>1164</v>
      </c>
      <c r="C60" t="s" s="78">
        <v>220</v>
      </c>
      <c r="D60" s="123">
        <v>0.2</v>
      </c>
      <c r="E60" t="s" s="78">
        <v>7717</v>
      </c>
      <c r="F60" t="s" s="78">
        <v>1228</v>
      </c>
      <c r="G60" t="s" s="78">
        <v>1232</v>
      </c>
      <c r="H60" t="s" s="78">
        <v>7715</v>
      </c>
      <c r="I60" t="s" s="124">
        <v>1076</v>
      </c>
      <c r="J60" t="s" s="124">
        <v>1076</v>
      </c>
      <c r="K60" t="s" s="78">
        <v>7719</v>
      </c>
      <c r="L60" s="87"/>
    </row>
    <row r="61" ht="46.65" customHeight="1">
      <c r="A61" t="s" s="78">
        <v>1234</v>
      </c>
      <c r="B61" t="s" s="78">
        <v>1164</v>
      </c>
      <c r="C61" t="s" s="78">
        <v>220</v>
      </c>
      <c r="D61" s="123">
        <v>0.2</v>
      </c>
      <c r="E61" t="s" s="78">
        <v>7720</v>
      </c>
      <c r="F61" t="s" s="78">
        <v>1235</v>
      </c>
      <c r="G61" t="s" s="78">
        <v>1236</v>
      </c>
      <c r="H61" t="s" s="78">
        <v>7715</v>
      </c>
      <c r="I61" t="s" s="124">
        <v>1076</v>
      </c>
      <c r="J61" t="s" s="124">
        <v>263</v>
      </c>
      <c r="K61" t="s" s="78">
        <v>7721</v>
      </c>
      <c r="L61" s="87"/>
    </row>
    <row r="62" ht="46.65" customHeight="1">
      <c r="A62" t="s" s="78">
        <v>554</v>
      </c>
      <c r="B62" t="s" s="78">
        <v>1164</v>
      </c>
      <c r="C62" t="s" s="78">
        <v>222</v>
      </c>
      <c r="D62" s="123">
        <v>0.25</v>
      </c>
      <c r="E62" t="s" s="78">
        <v>7722</v>
      </c>
      <c r="F62" t="s" s="78">
        <v>1238</v>
      </c>
      <c r="G62" t="s" s="78">
        <v>1239</v>
      </c>
      <c r="H62" t="s" s="78">
        <v>7723</v>
      </c>
      <c r="I62" t="s" s="124">
        <v>1076</v>
      </c>
      <c r="J62" t="s" s="124">
        <v>1076</v>
      </c>
      <c r="K62" t="s" s="78">
        <v>7724</v>
      </c>
      <c r="L62" s="87"/>
    </row>
    <row r="63" ht="35.65" customHeight="1">
      <c r="A63" t="s" s="78">
        <v>1241</v>
      </c>
      <c r="B63" t="s" s="78">
        <v>1164</v>
      </c>
      <c r="C63" t="s" s="78">
        <v>222</v>
      </c>
      <c r="D63" s="123">
        <v>0.25</v>
      </c>
      <c r="E63" t="s" s="78">
        <v>7722</v>
      </c>
      <c r="F63" t="s" s="78">
        <v>1238</v>
      </c>
      <c r="G63" t="s" s="78">
        <v>1242</v>
      </c>
      <c r="H63" t="s" s="78">
        <v>7725</v>
      </c>
      <c r="I63" t="s" s="124">
        <v>1076</v>
      </c>
      <c r="J63" t="s" s="124">
        <v>1076</v>
      </c>
      <c r="K63" t="s" s="78">
        <v>7726</v>
      </c>
      <c r="L63" s="87"/>
    </row>
    <row r="64" ht="35.65" customHeight="1">
      <c r="A64" t="s" s="78">
        <v>575</v>
      </c>
      <c r="B64" t="s" s="78">
        <v>1164</v>
      </c>
      <c r="C64" t="s" s="78">
        <v>222</v>
      </c>
      <c r="D64" s="123">
        <v>0.25</v>
      </c>
      <c r="E64" t="s" s="78">
        <v>7727</v>
      </c>
      <c r="F64" t="s" s="78">
        <v>1244</v>
      </c>
      <c r="G64" t="s" s="78">
        <v>1245</v>
      </c>
      <c r="H64" t="s" s="78">
        <v>7725</v>
      </c>
      <c r="I64" t="s" s="124">
        <v>1076</v>
      </c>
      <c r="J64" t="s" s="124">
        <v>1076</v>
      </c>
      <c r="K64" t="s" s="78">
        <v>7728</v>
      </c>
      <c r="L64" s="87"/>
    </row>
    <row r="65" ht="35.65" customHeight="1">
      <c r="A65" t="s" s="78">
        <v>1247</v>
      </c>
      <c r="B65" t="s" s="78">
        <v>1164</v>
      </c>
      <c r="C65" t="s" s="78">
        <v>222</v>
      </c>
      <c r="D65" s="123">
        <v>0.25</v>
      </c>
      <c r="E65" t="s" s="78">
        <v>7727</v>
      </c>
      <c r="F65" t="s" s="78">
        <v>1244</v>
      </c>
      <c r="G65" t="s" s="78">
        <v>1248</v>
      </c>
      <c r="H65" t="s" s="78">
        <v>7725</v>
      </c>
      <c r="I65" t="s" s="124">
        <v>1076</v>
      </c>
      <c r="J65" t="s" s="124">
        <v>1076</v>
      </c>
      <c r="K65" t="s" s="78">
        <v>7729</v>
      </c>
      <c r="L65" s="87"/>
    </row>
    <row r="66" ht="35.65" customHeight="1">
      <c r="A66" t="s" s="78">
        <v>1250</v>
      </c>
      <c r="B66" t="s" s="78">
        <v>1164</v>
      </c>
      <c r="C66" t="s" s="78">
        <v>222</v>
      </c>
      <c r="D66" s="123">
        <v>0.25</v>
      </c>
      <c r="E66" t="s" s="78">
        <v>7730</v>
      </c>
      <c r="F66" t="s" s="78">
        <v>1120</v>
      </c>
      <c r="G66" t="s" s="78">
        <v>1251</v>
      </c>
      <c r="H66" t="s" s="78">
        <v>7725</v>
      </c>
      <c r="I66" t="s" s="124">
        <v>1076</v>
      </c>
      <c r="J66" t="s" s="124">
        <v>1076</v>
      </c>
      <c r="K66" t="s" s="78">
        <v>7731</v>
      </c>
      <c r="L66" s="87"/>
    </row>
    <row r="67" ht="35.65" customHeight="1">
      <c r="A67" t="s" s="78">
        <v>540</v>
      </c>
      <c r="B67" t="s" s="78">
        <v>1164</v>
      </c>
      <c r="C67" t="s" s="78">
        <v>222</v>
      </c>
      <c r="D67" s="123">
        <v>0.25</v>
      </c>
      <c r="E67" t="s" s="78">
        <v>7730</v>
      </c>
      <c r="F67" t="s" s="78">
        <v>1120</v>
      </c>
      <c r="G67" t="s" s="78">
        <v>1253</v>
      </c>
      <c r="H67" t="s" s="78">
        <v>7725</v>
      </c>
      <c r="I67" t="s" s="124">
        <v>1076</v>
      </c>
      <c r="J67" t="s" s="124">
        <v>1076</v>
      </c>
      <c r="K67" t="s" s="78">
        <v>7732</v>
      </c>
      <c r="L67" s="87"/>
    </row>
    <row r="68" ht="35.65" customHeight="1">
      <c r="A68" t="s" s="78">
        <v>1256</v>
      </c>
      <c r="B68" t="s" s="78">
        <v>1164</v>
      </c>
      <c r="C68" t="s" s="78">
        <v>222</v>
      </c>
      <c r="D68" s="123">
        <v>0.25</v>
      </c>
      <c r="E68" t="s" s="78">
        <v>7733</v>
      </c>
      <c r="F68" t="s" s="78">
        <v>1018</v>
      </c>
      <c r="G68" t="s" s="78">
        <v>1257</v>
      </c>
      <c r="H68" t="s" s="78">
        <v>7725</v>
      </c>
      <c r="I68" t="s" s="124">
        <v>1076</v>
      </c>
      <c r="J68" t="s" s="124">
        <v>1076</v>
      </c>
      <c r="K68" t="s" s="78">
        <v>7734</v>
      </c>
      <c r="L68" s="87"/>
    </row>
    <row r="69" ht="35.65" customHeight="1">
      <c r="A69" t="s" s="78">
        <v>1259</v>
      </c>
      <c r="B69" t="s" s="78">
        <v>1164</v>
      </c>
      <c r="C69" t="s" s="78">
        <v>222</v>
      </c>
      <c r="D69" s="123">
        <v>0.25</v>
      </c>
      <c r="E69" t="s" s="78">
        <v>7733</v>
      </c>
      <c r="F69" t="s" s="78">
        <v>1018</v>
      </c>
      <c r="G69" t="s" s="78">
        <v>1260</v>
      </c>
      <c r="H69" t="s" s="78">
        <v>7735</v>
      </c>
      <c r="I69" t="s" s="124">
        <v>1076</v>
      </c>
      <c r="J69" t="s" s="124">
        <v>1076</v>
      </c>
      <c r="K69" t="s" s="78">
        <v>7736</v>
      </c>
      <c r="L69" s="87"/>
    </row>
    <row r="70" ht="35.65" customHeight="1">
      <c r="A70" t="s" s="78">
        <v>1262</v>
      </c>
      <c r="B70" t="s" s="78">
        <v>1164</v>
      </c>
      <c r="C70" t="s" s="78">
        <v>222</v>
      </c>
      <c r="D70" s="123">
        <v>0.25</v>
      </c>
      <c r="E70" t="s" s="78">
        <v>7737</v>
      </c>
      <c r="F70" t="s" s="78">
        <v>1129</v>
      </c>
      <c r="G70" t="s" s="78">
        <v>1263</v>
      </c>
      <c r="H70" t="s" s="78">
        <v>7735</v>
      </c>
      <c r="I70" t="s" s="124">
        <v>1076</v>
      </c>
      <c r="J70" t="s" s="124">
        <v>1076</v>
      </c>
      <c r="K70" t="s" s="78">
        <v>7738</v>
      </c>
      <c r="L70" s="87"/>
    </row>
    <row r="71" ht="35.65" customHeight="1">
      <c r="A71" t="s" s="78">
        <v>588</v>
      </c>
      <c r="B71" t="s" s="78">
        <v>1164</v>
      </c>
      <c r="C71" t="s" s="78">
        <v>222</v>
      </c>
      <c r="D71" s="123">
        <v>0.25</v>
      </c>
      <c r="E71" t="s" s="78">
        <v>7737</v>
      </c>
      <c r="F71" t="s" s="78">
        <v>1129</v>
      </c>
      <c r="G71" t="s" s="78">
        <v>1265</v>
      </c>
      <c r="H71" t="s" s="78">
        <v>7735</v>
      </c>
      <c r="I71" t="s" s="124">
        <v>1076</v>
      </c>
      <c r="J71" t="s" s="124">
        <v>1076</v>
      </c>
      <c r="K71" t="s" s="78">
        <v>7739</v>
      </c>
      <c r="L71" s="87"/>
    </row>
    <row r="72" ht="46.65" customHeight="1">
      <c r="A72" t="s" s="78">
        <v>535</v>
      </c>
      <c r="B72" t="s" s="78">
        <v>1164</v>
      </c>
      <c r="C72" t="s" s="78">
        <v>222</v>
      </c>
      <c r="D72" s="123">
        <v>0.25</v>
      </c>
      <c r="E72" t="s" s="78">
        <v>7737</v>
      </c>
      <c r="F72" t="s" s="78">
        <v>1129</v>
      </c>
      <c r="G72" t="s" s="78">
        <v>1267</v>
      </c>
      <c r="H72" t="s" s="78">
        <v>7735</v>
      </c>
      <c r="I72" t="s" s="124">
        <v>1076</v>
      </c>
      <c r="J72" t="s" s="124">
        <v>1076</v>
      </c>
      <c r="K72" t="s" s="78">
        <v>7740</v>
      </c>
      <c r="L72" s="87"/>
    </row>
    <row r="73" ht="35.65" customHeight="1">
      <c r="A73" t="s" s="78">
        <v>569</v>
      </c>
      <c r="B73" t="s" s="78">
        <v>1164</v>
      </c>
      <c r="C73" t="s" s="78">
        <v>222</v>
      </c>
      <c r="D73" s="123">
        <v>0.25</v>
      </c>
      <c r="E73" t="s" s="78">
        <v>7741</v>
      </c>
      <c r="F73" t="s" s="78">
        <v>1269</v>
      </c>
      <c r="G73" t="s" s="78">
        <v>1270</v>
      </c>
      <c r="H73" t="s" s="78">
        <v>7735</v>
      </c>
      <c r="I73" t="s" s="124">
        <v>1076</v>
      </c>
      <c r="J73" t="s" s="124">
        <v>263</v>
      </c>
      <c r="K73" t="s" s="78">
        <v>7742</v>
      </c>
      <c r="L73" s="87"/>
    </row>
    <row r="74" ht="35.65" customHeight="1">
      <c r="A74" t="s" s="78">
        <v>1272</v>
      </c>
      <c r="B74" t="s" s="78">
        <v>1164</v>
      </c>
      <c r="C74" t="s" s="78">
        <v>216</v>
      </c>
      <c r="D74" s="123">
        <v>0.2</v>
      </c>
      <c r="E74" t="s" s="78">
        <v>7743</v>
      </c>
      <c r="F74" t="s" s="78">
        <v>1140</v>
      </c>
      <c r="G74" t="s" s="78">
        <v>1273</v>
      </c>
      <c r="H74" t="s" s="78">
        <v>7744</v>
      </c>
      <c r="I74" t="s" s="124">
        <v>263</v>
      </c>
      <c r="J74" t="s" s="124">
        <v>1076</v>
      </c>
      <c r="K74" t="s" s="78">
        <v>7745</v>
      </c>
      <c r="L74" s="87"/>
    </row>
    <row r="75" ht="57.65" customHeight="1">
      <c r="A75" t="s" s="78">
        <v>524</v>
      </c>
      <c r="B75" t="s" s="78">
        <v>1164</v>
      </c>
      <c r="C75" t="s" s="78">
        <v>216</v>
      </c>
      <c r="D75" s="123">
        <v>0.2</v>
      </c>
      <c r="E75" t="s" s="78">
        <v>7743</v>
      </c>
      <c r="F75" t="s" s="78">
        <v>1140</v>
      </c>
      <c r="G75" t="s" s="78">
        <v>1275</v>
      </c>
      <c r="H75" t="s" s="78">
        <v>7744</v>
      </c>
      <c r="I75" t="s" s="124">
        <v>263</v>
      </c>
      <c r="J75" t="s" s="124">
        <v>1076</v>
      </c>
      <c r="K75" t="s" s="78">
        <v>7746</v>
      </c>
      <c r="L75" s="87"/>
    </row>
    <row r="76" ht="35.65" customHeight="1">
      <c r="A76" t="s" s="78">
        <v>494</v>
      </c>
      <c r="B76" t="s" s="78">
        <v>1164</v>
      </c>
      <c r="C76" t="s" s="78">
        <v>216</v>
      </c>
      <c r="D76" s="123">
        <v>0.2</v>
      </c>
      <c r="E76" t="s" s="78">
        <v>7747</v>
      </c>
      <c r="F76" t="s" s="78">
        <v>1145</v>
      </c>
      <c r="G76" t="s" s="78">
        <v>1277</v>
      </c>
      <c r="H76" t="s" s="78">
        <v>7748</v>
      </c>
      <c r="I76" t="s" s="124">
        <v>263</v>
      </c>
      <c r="J76" t="s" s="124">
        <v>1076</v>
      </c>
      <c r="K76" t="s" s="78">
        <v>7749</v>
      </c>
      <c r="L76" s="87"/>
    </row>
    <row r="77" ht="35.65" customHeight="1">
      <c r="A77" t="s" s="78">
        <v>520</v>
      </c>
      <c r="B77" t="s" s="78">
        <v>1164</v>
      </c>
      <c r="C77" t="s" s="78">
        <v>216</v>
      </c>
      <c r="D77" s="123">
        <v>0.2</v>
      </c>
      <c r="E77" t="s" s="78">
        <v>7747</v>
      </c>
      <c r="F77" t="s" s="78">
        <v>1145</v>
      </c>
      <c r="G77" t="s" s="78">
        <v>1279</v>
      </c>
      <c r="H77" t="s" s="78">
        <v>7748</v>
      </c>
      <c r="I77" t="s" s="124">
        <v>263</v>
      </c>
      <c r="J77" t="s" s="124">
        <v>1076</v>
      </c>
      <c r="K77" t="s" s="78">
        <v>7750</v>
      </c>
      <c r="L77" s="87"/>
    </row>
    <row r="78" ht="35.65" customHeight="1">
      <c r="A78" t="s" s="78">
        <v>1281</v>
      </c>
      <c r="B78" t="s" s="78">
        <v>1164</v>
      </c>
      <c r="C78" t="s" s="78">
        <v>216</v>
      </c>
      <c r="D78" s="123">
        <v>0.2</v>
      </c>
      <c r="E78" t="s" s="78">
        <v>7747</v>
      </c>
      <c r="F78" t="s" s="78">
        <v>1145</v>
      </c>
      <c r="G78" t="s" s="78">
        <v>1282</v>
      </c>
      <c r="H78" t="s" s="78">
        <v>7748</v>
      </c>
      <c r="I78" t="s" s="124">
        <v>263</v>
      </c>
      <c r="J78" t="s" s="124">
        <v>1076</v>
      </c>
      <c r="K78" t="s" s="78">
        <v>7751</v>
      </c>
      <c r="L78" s="87"/>
    </row>
    <row r="79" ht="35.65" customHeight="1">
      <c r="A79" t="s" s="78">
        <v>1284</v>
      </c>
      <c r="B79" t="s" s="78">
        <v>1164</v>
      </c>
      <c r="C79" t="s" s="78">
        <v>216</v>
      </c>
      <c r="D79" s="123">
        <v>0.2</v>
      </c>
      <c r="E79" t="s" s="78">
        <v>7747</v>
      </c>
      <c r="F79" t="s" s="78">
        <v>1145</v>
      </c>
      <c r="G79" t="s" s="78">
        <v>1285</v>
      </c>
      <c r="H79" t="s" s="78">
        <v>7748</v>
      </c>
      <c r="I79" t="s" s="124">
        <v>263</v>
      </c>
      <c r="J79" t="s" s="124">
        <v>1076</v>
      </c>
      <c r="K79" t="s" s="78">
        <v>7752</v>
      </c>
      <c r="L79" s="87"/>
    </row>
    <row r="80" ht="35.65" customHeight="1">
      <c r="A80" t="s" s="78">
        <v>1287</v>
      </c>
      <c r="B80" t="s" s="78">
        <v>1164</v>
      </c>
      <c r="C80" t="s" s="78">
        <v>216</v>
      </c>
      <c r="D80" s="123">
        <v>0.2</v>
      </c>
      <c r="E80" t="s" s="78">
        <v>7753</v>
      </c>
      <c r="F80" t="s" s="78">
        <v>1149</v>
      </c>
      <c r="G80" t="s" s="78">
        <v>1288</v>
      </c>
      <c r="H80" t="s" s="78">
        <v>7748</v>
      </c>
      <c r="I80" t="s" s="124">
        <v>263</v>
      </c>
      <c r="J80" t="s" s="124">
        <v>1076</v>
      </c>
      <c r="K80" t="s" s="78">
        <v>7754</v>
      </c>
      <c r="L80" s="87"/>
    </row>
    <row r="81" ht="46.65" customHeight="1">
      <c r="A81" t="s" s="78">
        <v>1290</v>
      </c>
      <c r="B81" t="s" s="78">
        <v>1164</v>
      </c>
      <c r="C81" t="s" s="78">
        <v>216</v>
      </c>
      <c r="D81" s="123">
        <v>0.2</v>
      </c>
      <c r="E81" t="s" s="78">
        <v>7753</v>
      </c>
      <c r="F81" t="s" s="78">
        <v>1149</v>
      </c>
      <c r="G81" t="s" s="78">
        <v>1291</v>
      </c>
      <c r="H81" t="s" s="78">
        <v>7748</v>
      </c>
      <c r="I81" t="s" s="124">
        <v>263</v>
      </c>
      <c r="J81" t="s" s="124">
        <v>1076</v>
      </c>
      <c r="K81" t="s" s="78">
        <v>7755</v>
      </c>
      <c r="L81" s="87"/>
    </row>
    <row r="82" ht="35.65" customHeight="1">
      <c r="A82" t="s" s="78">
        <v>481</v>
      </c>
      <c r="B82" t="s" s="78">
        <v>1164</v>
      </c>
      <c r="C82" t="s" s="78">
        <v>216</v>
      </c>
      <c r="D82" s="123">
        <v>0.2</v>
      </c>
      <c r="E82" t="s" s="78">
        <v>7756</v>
      </c>
      <c r="F82" t="s" s="78">
        <v>1153</v>
      </c>
      <c r="G82" t="s" s="78">
        <v>1293</v>
      </c>
      <c r="H82" t="s" s="78">
        <v>7757</v>
      </c>
      <c r="I82" t="s" s="124">
        <v>1076</v>
      </c>
      <c r="J82" t="s" s="124">
        <v>1076</v>
      </c>
      <c r="K82" t="s" s="78">
        <v>7758</v>
      </c>
      <c r="L82" s="87"/>
    </row>
    <row r="83" ht="35.65" customHeight="1">
      <c r="A83" t="s" s="78">
        <v>507</v>
      </c>
      <c r="B83" t="s" s="78">
        <v>1164</v>
      </c>
      <c r="C83" t="s" s="78">
        <v>216</v>
      </c>
      <c r="D83" s="123">
        <v>0.2</v>
      </c>
      <c r="E83" t="s" s="78">
        <v>7756</v>
      </c>
      <c r="F83" t="s" s="78">
        <v>1153</v>
      </c>
      <c r="G83" t="s" s="78">
        <v>1295</v>
      </c>
      <c r="H83" t="s" s="78">
        <v>7757</v>
      </c>
      <c r="I83" t="s" s="124">
        <v>1076</v>
      </c>
      <c r="J83" t="s" s="124">
        <v>1076</v>
      </c>
      <c r="K83" t="s" s="78">
        <v>7759</v>
      </c>
      <c r="L83" s="87"/>
    </row>
    <row r="84" ht="35.65" customHeight="1">
      <c r="A84" t="s" s="78">
        <v>1297</v>
      </c>
      <c r="B84" t="s" s="78">
        <v>1164</v>
      </c>
      <c r="C84" t="s" s="78">
        <v>216</v>
      </c>
      <c r="D84" s="123">
        <v>0.2</v>
      </c>
      <c r="E84" t="s" s="78">
        <v>7760</v>
      </c>
      <c r="F84" t="s" s="78">
        <v>1160</v>
      </c>
      <c r="G84" t="s" s="78">
        <v>1298</v>
      </c>
      <c r="H84" t="s" s="78">
        <v>7757</v>
      </c>
      <c r="I84" t="s" s="124">
        <v>1076</v>
      </c>
      <c r="J84" t="s" s="124">
        <v>263</v>
      </c>
      <c r="K84" t="s" s="78">
        <v>7761</v>
      </c>
      <c r="L84" s="87"/>
    </row>
    <row r="85" ht="24.65" customHeight="1">
      <c r="A85" t="s" s="78">
        <v>1300</v>
      </c>
      <c r="B85" t="s" s="78">
        <v>1301</v>
      </c>
      <c r="C85" t="s" s="78">
        <v>1017</v>
      </c>
      <c r="D85" s="123">
        <v>0.4</v>
      </c>
      <c r="E85" t="s" s="78">
        <v>7762</v>
      </c>
      <c r="F85" t="s" s="78">
        <v>1302</v>
      </c>
      <c r="G85" t="s" s="78">
        <v>1303</v>
      </c>
      <c r="H85" t="s" s="78">
        <v>7763</v>
      </c>
      <c r="I85" t="s" s="124">
        <v>1076</v>
      </c>
      <c r="J85" t="s" s="124">
        <v>1076</v>
      </c>
      <c r="K85" s="79"/>
      <c r="L85" s="87"/>
    </row>
    <row r="86" ht="24.65" customHeight="1">
      <c r="A86" t="s" s="78">
        <v>1306</v>
      </c>
      <c r="B86" t="s" s="78">
        <v>1301</v>
      </c>
      <c r="C86" t="s" s="78">
        <v>1017</v>
      </c>
      <c r="D86" s="123">
        <v>0.4</v>
      </c>
      <c r="E86" t="s" s="78">
        <v>7762</v>
      </c>
      <c r="F86" t="s" s="78">
        <v>1302</v>
      </c>
      <c r="G86" t="s" s="78">
        <v>1307</v>
      </c>
      <c r="H86" t="s" s="78">
        <v>7763</v>
      </c>
      <c r="I86" t="s" s="124">
        <v>1076</v>
      </c>
      <c r="J86" t="s" s="124">
        <v>1076</v>
      </c>
      <c r="K86" s="79"/>
      <c r="L86" s="87"/>
    </row>
    <row r="87" ht="24.65" customHeight="1">
      <c r="A87" t="s" s="78">
        <v>1309</v>
      </c>
      <c r="B87" t="s" s="78">
        <v>1301</v>
      </c>
      <c r="C87" t="s" s="78">
        <v>1017</v>
      </c>
      <c r="D87" s="123">
        <v>0.4</v>
      </c>
      <c r="E87" t="s" s="78">
        <v>7762</v>
      </c>
      <c r="F87" t="s" s="78">
        <v>1302</v>
      </c>
      <c r="G87" t="s" s="78">
        <v>1310</v>
      </c>
      <c r="H87" t="s" s="78">
        <v>7763</v>
      </c>
      <c r="I87" t="s" s="124">
        <v>1076</v>
      </c>
      <c r="J87" t="s" s="124">
        <v>1076</v>
      </c>
      <c r="K87" s="79"/>
      <c r="L87" s="87"/>
    </row>
    <row r="88" ht="24.65" customHeight="1">
      <c r="A88" t="s" s="78">
        <v>1312</v>
      </c>
      <c r="B88" t="s" s="78">
        <v>1301</v>
      </c>
      <c r="C88" t="s" s="78">
        <v>1017</v>
      </c>
      <c r="D88" s="123">
        <v>0.4</v>
      </c>
      <c r="E88" t="s" s="78">
        <v>7762</v>
      </c>
      <c r="F88" t="s" s="78">
        <v>1302</v>
      </c>
      <c r="G88" t="s" s="78">
        <v>1313</v>
      </c>
      <c r="H88" t="s" s="78">
        <v>7763</v>
      </c>
      <c r="I88" t="s" s="124">
        <v>1076</v>
      </c>
      <c r="J88" t="s" s="124">
        <v>1076</v>
      </c>
      <c r="K88" s="79"/>
      <c r="L88" s="87"/>
    </row>
    <row r="89" ht="24.65" customHeight="1">
      <c r="A89" t="s" s="78">
        <v>1315</v>
      </c>
      <c r="B89" t="s" s="78">
        <v>1301</v>
      </c>
      <c r="C89" t="s" s="78">
        <v>1017</v>
      </c>
      <c r="D89" s="123">
        <v>0.4</v>
      </c>
      <c r="E89" t="s" s="78">
        <v>7764</v>
      </c>
      <c r="F89" t="s" s="78">
        <v>1316</v>
      </c>
      <c r="G89" t="s" s="78">
        <v>1317</v>
      </c>
      <c r="H89" t="s" s="78">
        <v>7763</v>
      </c>
      <c r="I89" t="s" s="124">
        <v>1076</v>
      </c>
      <c r="J89" t="s" s="124">
        <v>1076</v>
      </c>
      <c r="K89" s="79"/>
      <c r="L89" s="87"/>
    </row>
    <row r="90" ht="24.65" customHeight="1">
      <c r="A90" t="s" s="78">
        <v>1319</v>
      </c>
      <c r="B90" t="s" s="78">
        <v>1301</v>
      </c>
      <c r="C90" t="s" s="78">
        <v>1017</v>
      </c>
      <c r="D90" s="123">
        <v>0.4</v>
      </c>
      <c r="E90" t="s" s="78">
        <v>7764</v>
      </c>
      <c r="F90" t="s" s="78">
        <v>1316</v>
      </c>
      <c r="G90" t="s" s="78">
        <v>1320</v>
      </c>
      <c r="H90" t="s" s="78">
        <v>7763</v>
      </c>
      <c r="I90" t="s" s="124">
        <v>1076</v>
      </c>
      <c r="J90" t="s" s="124">
        <v>1076</v>
      </c>
      <c r="K90" s="79"/>
      <c r="L90" s="87"/>
    </row>
    <row r="91" ht="24.65" customHeight="1">
      <c r="A91" t="s" s="78">
        <v>1322</v>
      </c>
      <c r="B91" t="s" s="78">
        <v>1301</v>
      </c>
      <c r="C91" t="s" s="78">
        <v>1017</v>
      </c>
      <c r="D91" s="123">
        <v>0.4</v>
      </c>
      <c r="E91" t="s" s="78">
        <v>7764</v>
      </c>
      <c r="F91" t="s" s="78">
        <v>1316</v>
      </c>
      <c r="G91" t="s" s="78">
        <v>1323</v>
      </c>
      <c r="H91" t="s" s="78">
        <v>7763</v>
      </c>
      <c r="I91" t="s" s="124">
        <v>1076</v>
      </c>
      <c r="J91" t="s" s="124">
        <v>1076</v>
      </c>
      <c r="K91" s="79"/>
      <c r="L91" s="87"/>
    </row>
    <row r="92" ht="24.65" customHeight="1">
      <c r="A92" t="s" s="78">
        <v>1325</v>
      </c>
      <c r="B92" t="s" s="78">
        <v>1301</v>
      </c>
      <c r="C92" t="s" s="78">
        <v>1017</v>
      </c>
      <c r="D92" s="123">
        <v>0.4</v>
      </c>
      <c r="E92" t="s" s="78">
        <v>7765</v>
      </c>
      <c r="F92" t="s" s="78">
        <v>1326</v>
      </c>
      <c r="G92" t="s" s="78">
        <v>1327</v>
      </c>
      <c r="H92" t="s" s="78">
        <v>7763</v>
      </c>
      <c r="I92" t="s" s="124">
        <v>1076</v>
      </c>
      <c r="J92" t="s" s="124">
        <v>1076</v>
      </c>
      <c r="K92" s="79"/>
      <c r="L92" s="87"/>
    </row>
    <row r="93" ht="24.65" customHeight="1">
      <c r="A93" t="s" s="78">
        <v>1329</v>
      </c>
      <c r="B93" t="s" s="78">
        <v>1301</v>
      </c>
      <c r="C93" t="s" s="78">
        <v>1017</v>
      </c>
      <c r="D93" s="123">
        <v>0.4</v>
      </c>
      <c r="E93" t="s" s="78">
        <v>7765</v>
      </c>
      <c r="F93" t="s" s="78">
        <v>1326</v>
      </c>
      <c r="G93" t="s" s="78">
        <v>1330</v>
      </c>
      <c r="H93" t="s" s="78">
        <v>7763</v>
      </c>
      <c r="I93" t="s" s="124">
        <v>1076</v>
      </c>
      <c r="J93" t="s" s="124">
        <v>1076</v>
      </c>
      <c r="K93" s="79"/>
      <c r="L93" s="87"/>
    </row>
    <row r="94" ht="24.65" customHeight="1">
      <c r="A94" t="s" s="78">
        <v>1332</v>
      </c>
      <c r="B94" t="s" s="78">
        <v>1301</v>
      </c>
      <c r="C94" t="s" s="78">
        <v>1018</v>
      </c>
      <c r="D94" s="123">
        <v>0.25</v>
      </c>
      <c r="E94" t="s" s="78">
        <v>7766</v>
      </c>
      <c r="F94" t="s" s="78">
        <v>1333</v>
      </c>
      <c r="G94" t="s" s="78">
        <v>1334</v>
      </c>
      <c r="H94" t="s" s="78">
        <v>7763</v>
      </c>
      <c r="I94" t="s" s="124">
        <v>1076</v>
      </c>
      <c r="J94" t="s" s="124">
        <v>1076</v>
      </c>
      <c r="K94" s="79"/>
      <c r="L94" s="87"/>
    </row>
    <row r="95" ht="24.65" customHeight="1">
      <c r="A95" t="s" s="78">
        <v>1337</v>
      </c>
      <c r="B95" t="s" s="78">
        <v>1301</v>
      </c>
      <c r="C95" t="s" s="78">
        <v>1018</v>
      </c>
      <c r="D95" s="123">
        <v>0.25</v>
      </c>
      <c r="E95" t="s" s="78">
        <v>7766</v>
      </c>
      <c r="F95" t="s" s="78">
        <v>1333</v>
      </c>
      <c r="G95" t="s" s="78">
        <v>1338</v>
      </c>
      <c r="H95" t="s" s="78">
        <v>7763</v>
      </c>
      <c r="I95" t="s" s="124">
        <v>1076</v>
      </c>
      <c r="J95" t="s" s="124">
        <v>1076</v>
      </c>
      <c r="K95" s="79"/>
      <c r="L95" s="87"/>
    </row>
    <row r="96" ht="24.65" customHeight="1">
      <c r="A96" t="s" s="78">
        <v>1340</v>
      </c>
      <c r="B96" t="s" s="78">
        <v>1301</v>
      </c>
      <c r="C96" t="s" s="78">
        <v>1018</v>
      </c>
      <c r="D96" s="123">
        <v>0.25</v>
      </c>
      <c r="E96" t="s" s="78">
        <v>7766</v>
      </c>
      <c r="F96" t="s" s="78">
        <v>1333</v>
      </c>
      <c r="G96" t="s" s="78">
        <v>1341</v>
      </c>
      <c r="H96" t="s" s="78">
        <v>7763</v>
      </c>
      <c r="I96" t="s" s="124">
        <v>1076</v>
      </c>
      <c r="J96" t="s" s="124">
        <v>1076</v>
      </c>
      <c r="K96" s="79"/>
      <c r="L96" s="87"/>
    </row>
    <row r="97" ht="24.65" customHeight="1">
      <c r="A97" t="s" s="78">
        <v>1343</v>
      </c>
      <c r="B97" t="s" s="78">
        <v>1301</v>
      </c>
      <c r="C97" t="s" s="78">
        <v>1018</v>
      </c>
      <c r="D97" s="123">
        <v>0.25</v>
      </c>
      <c r="E97" t="s" s="78">
        <v>7767</v>
      </c>
      <c r="F97" t="s" s="78">
        <v>1344</v>
      </c>
      <c r="G97" t="s" s="78">
        <v>1345</v>
      </c>
      <c r="H97" t="s" s="78">
        <v>7763</v>
      </c>
      <c r="I97" t="s" s="124">
        <v>1076</v>
      </c>
      <c r="J97" t="s" s="124">
        <v>1076</v>
      </c>
      <c r="K97" s="79"/>
      <c r="L97" s="87"/>
    </row>
    <row r="98" ht="24.65" customHeight="1">
      <c r="A98" t="s" s="78">
        <v>1347</v>
      </c>
      <c r="B98" t="s" s="78">
        <v>1301</v>
      </c>
      <c r="C98" t="s" s="78">
        <v>1018</v>
      </c>
      <c r="D98" s="123">
        <v>0.25</v>
      </c>
      <c r="E98" t="s" s="78">
        <v>7767</v>
      </c>
      <c r="F98" t="s" s="78">
        <v>1344</v>
      </c>
      <c r="G98" t="s" s="78">
        <v>1348</v>
      </c>
      <c r="H98" t="s" s="78">
        <v>7763</v>
      </c>
      <c r="I98" t="s" s="124">
        <v>1076</v>
      </c>
      <c r="J98" t="s" s="124">
        <v>1076</v>
      </c>
      <c r="K98" s="79"/>
      <c r="L98" s="87"/>
    </row>
    <row r="99" ht="24.65" customHeight="1">
      <c r="A99" t="s" s="78">
        <v>1350</v>
      </c>
      <c r="B99" t="s" s="78">
        <v>1301</v>
      </c>
      <c r="C99" t="s" s="78">
        <v>1018</v>
      </c>
      <c r="D99" s="123">
        <v>0.25</v>
      </c>
      <c r="E99" t="s" s="78">
        <v>7767</v>
      </c>
      <c r="F99" t="s" s="78">
        <v>1344</v>
      </c>
      <c r="G99" t="s" s="78">
        <v>1351</v>
      </c>
      <c r="H99" t="s" s="78">
        <v>7763</v>
      </c>
      <c r="I99" t="s" s="124">
        <v>1076</v>
      </c>
      <c r="J99" t="s" s="124">
        <v>1076</v>
      </c>
      <c r="K99" s="79"/>
      <c r="L99" s="87"/>
    </row>
    <row r="100" ht="24.65" customHeight="1">
      <c r="A100" t="s" s="78">
        <v>1353</v>
      </c>
      <c r="B100" t="s" s="78">
        <v>1301</v>
      </c>
      <c r="C100" t="s" s="78">
        <v>1019</v>
      </c>
      <c r="D100" s="123">
        <v>0.35</v>
      </c>
      <c r="E100" t="s" s="78">
        <v>7768</v>
      </c>
      <c r="F100" t="s" s="78">
        <v>1354</v>
      </c>
      <c r="G100" t="s" s="78">
        <v>1355</v>
      </c>
      <c r="H100" t="s" s="78">
        <v>7763</v>
      </c>
      <c r="I100" t="s" s="124">
        <v>1076</v>
      </c>
      <c r="J100" t="s" s="124">
        <v>1076</v>
      </c>
      <c r="K100" s="79"/>
      <c r="L100" s="87"/>
    </row>
    <row r="101" ht="24.65" customHeight="1">
      <c r="A101" t="s" s="78">
        <v>1357</v>
      </c>
      <c r="B101" t="s" s="78">
        <v>1301</v>
      </c>
      <c r="C101" t="s" s="78">
        <v>1019</v>
      </c>
      <c r="D101" s="123">
        <v>0.35</v>
      </c>
      <c r="E101" t="s" s="78">
        <v>7768</v>
      </c>
      <c r="F101" t="s" s="78">
        <v>1354</v>
      </c>
      <c r="G101" t="s" s="78">
        <v>1358</v>
      </c>
      <c r="H101" t="s" s="78">
        <v>7763</v>
      </c>
      <c r="I101" t="s" s="124">
        <v>1076</v>
      </c>
      <c r="J101" t="s" s="124">
        <v>1076</v>
      </c>
      <c r="K101" s="79"/>
      <c r="L101" s="87"/>
    </row>
    <row r="102" ht="24.65" customHeight="1">
      <c r="A102" t="s" s="78">
        <v>1360</v>
      </c>
      <c r="B102" t="s" s="78">
        <v>1301</v>
      </c>
      <c r="C102" t="s" s="78">
        <v>1019</v>
      </c>
      <c r="D102" s="123">
        <v>0.35</v>
      </c>
      <c r="E102" t="s" s="78">
        <v>7768</v>
      </c>
      <c r="F102" t="s" s="78">
        <v>1354</v>
      </c>
      <c r="G102" t="s" s="78">
        <v>1361</v>
      </c>
      <c r="H102" t="s" s="78">
        <v>7763</v>
      </c>
      <c r="I102" t="s" s="124">
        <v>1076</v>
      </c>
      <c r="J102" t="s" s="124">
        <v>1076</v>
      </c>
      <c r="K102" s="79"/>
      <c r="L102" s="87"/>
    </row>
    <row r="103" ht="24.65" customHeight="1">
      <c r="A103" t="s" s="78">
        <v>1363</v>
      </c>
      <c r="B103" t="s" s="78">
        <v>1301</v>
      </c>
      <c r="C103" t="s" s="78">
        <v>1019</v>
      </c>
      <c r="D103" s="123">
        <v>0.35</v>
      </c>
      <c r="E103" t="s" s="78">
        <v>7768</v>
      </c>
      <c r="F103" t="s" s="78">
        <v>1354</v>
      </c>
      <c r="G103" t="s" s="78">
        <v>1364</v>
      </c>
      <c r="H103" t="s" s="78">
        <v>7763</v>
      </c>
      <c r="I103" t="s" s="124">
        <v>1076</v>
      </c>
      <c r="J103" t="s" s="124">
        <v>1076</v>
      </c>
      <c r="K103" s="79"/>
      <c r="L103" s="87"/>
    </row>
    <row r="104" ht="24.65" customHeight="1">
      <c r="A104" t="s" s="78">
        <v>1366</v>
      </c>
      <c r="B104" t="s" s="78">
        <v>1301</v>
      </c>
      <c r="C104" t="s" s="78">
        <v>1019</v>
      </c>
      <c r="D104" s="123">
        <v>0.35</v>
      </c>
      <c r="E104" t="s" s="78">
        <v>7769</v>
      </c>
      <c r="F104" t="s" s="78">
        <v>1367</v>
      </c>
      <c r="G104" t="s" s="78">
        <v>1368</v>
      </c>
      <c r="H104" t="s" s="78">
        <v>7763</v>
      </c>
      <c r="I104" t="s" s="124">
        <v>1076</v>
      </c>
      <c r="J104" t="s" s="124">
        <v>1076</v>
      </c>
      <c r="K104" s="79"/>
      <c r="L104" s="87"/>
    </row>
    <row r="105" ht="24.65" customHeight="1">
      <c r="A105" t="s" s="78">
        <v>1370</v>
      </c>
      <c r="B105" t="s" s="78">
        <v>1301</v>
      </c>
      <c r="C105" t="s" s="78">
        <v>1019</v>
      </c>
      <c r="D105" s="123">
        <v>0.35</v>
      </c>
      <c r="E105" t="s" s="78">
        <v>7769</v>
      </c>
      <c r="F105" t="s" s="78">
        <v>1367</v>
      </c>
      <c r="G105" t="s" s="78">
        <v>1371</v>
      </c>
      <c r="H105" t="s" s="78">
        <v>7763</v>
      </c>
      <c r="I105" t="s" s="124">
        <v>1076</v>
      </c>
      <c r="J105" t="s" s="124">
        <v>1076</v>
      </c>
      <c r="K105" s="79"/>
      <c r="L105" s="87"/>
    </row>
    <row r="106" ht="24.65" customHeight="1">
      <c r="A106" t="s" s="78">
        <v>1373</v>
      </c>
      <c r="B106" t="s" s="78">
        <v>1301</v>
      </c>
      <c r="C106" t="s" s="78">
        <v>1019</v>
      </c>
      <c r="D106" s="123">
        <v>0.35</v>
      </c>
      <c r="E106" t="s" s="78">
        <v>7769</v>
      </c>
      <c r="F106" t="s" s="78">
        <v>1367</v>
      </c>
      <c r="G106" t="s" s="78">
        <v>1374</v>
      </c>
      <c r="H106" t="s" s="78">
        <v>7763</v>
      </c>
      <c r="I106" t="s" s="124">
        <v>1076</v>
      </c>
      <c r="J106" t="s" s="124">
        <v>1076</v>
      </c>
      <c r="K106" s="79"/>
      <c r="L106" s="87"/>
    </row>
    <row r="107" ht="24.65" customHeight="1">
      <c r="A107" t="s" s="78">
        <v>1376</v>
      </c>
      <c r="B107" t="s" s="78">
        <v>1301</v>
      </c>
      <c r="C107" t="s" s="78">
        <v>1019</v>
      </c>
      <c r="D107" s="123">
        <v>0.35</v>
      </c>
      <c r="E107" t="s" s="78">
        <v>7769</v>
      </c>
      <c r="F107" t="s" s="78">
        <v>1367</v>
      </c>
      <c r="G107" t="s" s="78">
        <v>1377</v>
      </c>
      <c r="H107" t="s" s="78">
        <v>7763</v>
      </c>
      <c r="I107" t="s" s="124">
        <v>1076</v>
      </c>
      <c r="J107" t="s" s="124">
        <v>1076</v>
      </c>
      <c r="K107" s="79"/>
      <c r="L107" s="87"/>
    </row>
    <row r="108" ht="13.55" customHeight="1">
      <c r="A108" s="42"/>
      <c r="B108" s="18"/>
      <c r="C108" s="18"/>
      <c r="D108" s="18"/>
      <c r="E108" s="18"/>
      <c r="F108" s="18"/>
      <c r="G108" s="18"/>
      <c r="H108" s="18"/>
      <c r="I108" s="18"/>
      <c r="J108" s="18"/>
      <c r="K108" s="18"/>
      <c r="L108" s="14"/>
    </row>
    <row r="109" ht="42" customHeight="1">
      <c r="A109" t="s" s="54">
        <v>7770</v>
      </c>
      <c r="B109" s="24"/>
      <c r="C109" s="24"/>
      <c r="D109" s="24"/>
      <c r="E109" s="24"/>
      <c r="F109" s="24"/>
      <c r="G109" s="24"/>
      <c r="H109" s="24"/>
      <c r="I109" s="24"/>
      <c r="J109" s="24"/>
      <c r="K109" s="24"/>
      <c r="L109" s="25"/>
    </row>
  </sheetData>
  <mergeCells count="2">
    <mergeCell ref="A2:L2"/>
    <mergeCell ref="A109:L109"/>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L78"/>
  <sheetViews>
    <sheetView workbookViewId="0" showGridLines="0" defaultGridColor="1"/>
  </sheetViews>
  <sheetFormatPr defaultColWidth="8.83333" defaultRowHeight="15" customHeight="1" outlineLevelRow="0" outlineLevelCol="0"/>
  <cols>
    <col min="1" max="1" width="11" style="125" customWidth="1"/>
    <col min="2" max="2" width="15" style="125" customWidth="1"/>
    <col min="3" max="3" width="34" style="125" customWidth="1"/>
    <col min="4" max="4" width="80" style="125" customWidth="1"/>
    <col min="5" max="5" width="8" style="125" customWidth="1"/>
    <col min="6" max="6" width="10" style="125" customWidth="1"/>
    <col min="7" max="7" width="14" style="125" customWidth="1"/>
    <col min="8" max="12" width="8.85156" style="125" customWidth="1"/>
    <col min="13" max="16384" width="8.85156" style="125" customWidth="1"/>
  </cols>
  <sheetData>
    <row r="1" ht="18.5" customHeight="1">
      <c r="A1" t="s" s="27">
        <v>7772</v>
      </c>
      <c r="B1" s="28"/>
      <c r="C1" s="28"/>
      <c r="D1" s="28"/>
      <c r="E1" s="28"/>
      <c r="F1" s="28"/>
      <c r="G1" s="28"/>
      <c r="H1" s="28"/>
      <c r="I1" s="28"/>
      <c r="J1" s="28"/>
      <c r="K1" s="28"/>
      <c r="L1" s="97"/>
    </row>
    <row r="2" ht="53" customHeight="1">
      <c r="A2" t="str" s="29" cm="1">
        <f t="array" ref="A2">"PISA 2025"&amp;"
"&amp;"● "&amp;COUNTIF($B$5:$B$76,"Contenido")&amp;" contenidos, "&amp;COUNTIF($B$5:$B$76,"Procedimental")&amp;" procedimentales, "&amp;COUNTIF($B$5:$B$76,"Epistémico")&amp;" epistémicos y "&amp;COUNTIF($B$5:$B$76,"Subcompetencia")&amp;" subcompetencias."&amp;"
"&amp;"● Todo con la página del marco oficial (OCDE 2026). Metas en ámbar (editables)."</f>
        <v>PISA 2025
● 21 contenidos, 8 procedimentales, 20 epistémicos y 15 subcompetencias.
● Todo con la página del marco oficial (OCDE 2026). Metas en ámbar (editables).</v>
      </c>
      <c r="B2" s="30"/>
      <c r="C2" s="31"/>
      <c r="D2" s="31"/>
      <c r="E2" s="31"/>
      <c r="F2" s="31"/>
      <c r="G2" s="31"/>
      <c r="H2" s="31"/>
      <c r="I2" s="31"/>
      <c r="J2" s="31"/>
      <c r="K2" s="31"/>
      <c r="L2" s="32"/>
    </row>
    <row r="3" ht="13.55" customHeight="1">
      <c r="A3" s="71"/>
      <c r="B3" s="31"/>
      <c r="C3" s="31"/>
      <c r="D3" s="31"/>
      <c r="E3" s="31"/>
      <c r="F3" s="31"/>
      <c r="G3" s="31"/>
      <c r="H3" s="18"/>
      <c r="I3" s="18"/>
      <c r="J3" s="18"/>
      <c r="K3" s="18"/>
      <c r="L3" s="51"/>
    </row>
    <row r="4" ht="36" customHeight="1">
      <c r="A4" t="s" s="34">
        <v>1047</v>
      </c>
      <c r="B4" t="s" s="34">
        <v>1677</v>
      </c>
      <c r="C4" t="s" s="34">
        <v>7774</v>
      </c>
      <c r="D4" t="s" s="34">
        <v>7775</v>
      </c>
      <c r="E4" t="s" s="34">
        <v>7776</v>
      </c>
      <c r="F4" t="s" s="34">
        <v>7777</v>
      </c>
      <c r="G4" t="s" s="34">
        <v>7778</v>
      </c>
      <c r="H4" s="17"/>
      <c r="I4" s="13"/>
      <c r="J4" s="13"/>
      <c r="K4" s="13"/>
      <c r="L4" s="14"/>
    </row>
    <row r="5" ht="24.65" customHeight="1">
      <c r="A5" t="s" s="78">
        <v>822</v>
      </c>
      <c r="B5" t="s" s="78">
        <v>1651</v>
      </c>
      <c r="C5" t="s" s="78">
        <v>186</v>
      </c>
      <c r="D5" t="s" s="78">
        <v>1532</v>
      </c>
      <c r="E5" s="80">
        <v>38</v>
      </c>
      <c r="F5" s="123">
        <v>0.37</v>
      </c>
      <c r="G5" t="s" s="78">
        <v>7779</v>
      </c>
      <c r="H5" s="17"/>
      <c r="I5" s="13"/>
      <c r="J5" s="13"/>
      <c r="K5" s="13"/>
      <c r="L5" s="14"/>
    </row>
    <row r="6" ht="13.65" customHeight="1">
      <c r="A6" t="s" s="78">
        <v>869</v>
      </c>
      <c r="B6" t="s" s="78">
        <v>1651</v>
      </c>
      <c r="C6" t="s" s="78">
        <v>186</v>
      </c>
      <c r="D6" t="s" s="78">
        <v>1533</v>
      </c>
      <c r="E6" s="80">
        <v>38</v>
      </c>
      <c r="F6" s="123">
        <v>0.37</v>
      </c>
      <c r="G6" t="s" s="78">
        <v>7779</v>
      </c>
      <c r="H6" s="17"/>
      <c r="I6" s="13"/>
      <c r="J6" s="13"/>
      <c r="K6" s="13"/>
      <c r="L6" s="14"/>
    </row>
    <row r="7" ht="24.65" customHeight="1">
      <c r="A7" t="s" s="78">
        <v>838</v>
      </c>
      <c r="B7" t="s" s="78">
        <v>1651</v>
      </c>
      <c r="C7" t="s" s="78">
        <v>186</v>
      </c>
      <c r="D7" t="s" s="78">
        <v>1534</v>
      </c>
      <c r="E7" s="80">
        <v>38</v>
      </c>
      <c r="F7" s="123">
        <v>0.37</v>
      </c>
      <c r="G7" t="s" s="78">
        <v>7779</v>
      </c>
      <c r="H7" s="17"/>
      <c r="I7" s="13"/>
      <c r="J7" s="13"/>
      <c r="K7" s="13"/>
      <c r="L7" s="14"/>
    </row>
    <row r="8" ht="13.65" customHeight="1">
      <c r="A8" t="s" s="78">
        <v>854</v>
      </c>
      <c r="B8" t="s" s="78">
        <v>1651</v>
      </c>
      <c r="C8" t="s" s="78">
        <v>186</v>
      </c>
      <c r="D8" t="s" s="78">
        <v>1535</v>
      </c>
      <c r="E8" s="80">
        <v>38</v>
      </c>
      <c r="F8" s="123">
        <v>0.37</v>
      </c>
      <c r="G8" t="s" s="78">
        <v>7779</v>
      </c>
      <c r="H8" s="17"/>
      <c r="I8" s="13"/>
      <c r="J8" s="13"/>
      <c r="K8" s="13"/>
      <c r="L8" s="14"/>
    </row>
    <row r="9" ht="24.65" customHeight="1">
      <c r="A9" t="s" s="78">
        <v>826</v>
      </c>
      <c r="B9" t="s" s="78">
        <v>1651</v>
      </c>
      <c r="C9" t="s" s="78">
        <v>186</v>
      </c>
      <c r="D9" t="s" s="78">
        <v>1536</v>
      </c>
      <c r="E9" s="80">
        <v>38</v>
      </c>
      <c r="F9" s="123">
        <v>0.37</v>
      </c>
      <c r="G9" t="s" s="78">
        <v>7779</v>
      </c>
      <c r="H9" s="17"/>
      <c r="I9" s="13"/>
      <c r="J9" s="13"/>
      <c r="K9" s="13"/>
      <c r="L9" s="14"/>
    </row>
    <row r="10" ht="13.65" customHeight="1">
      <c r="A10" t="s" s="78">
        <v>1537</v>
      </c>
      <c r="B10" t="s" s="78">
        <v>1651</v>
      </c>
      <c r="C10" t="s" s="78">
        <v>187</v>
      </c>
      <c r="D10" t="s" s="78">
        <v>1538</v>
      </c>
      <c r="E10" s="80">
        <v>38</v>
      </c>
      <c r="F10" s="123">
        <v>0.37</v>
      </c>
      <c r="G10" t="s" s="78">
        <v>7779</v>
      </c>
      <c r="H10" s="17"/>
      <c r="I10" s="13"/>
      <c r="J10" s="13"/>
      <c r="K10" s="13"/>
      <c r="L10" s="14"/>
    </row>
    <row r="11" ht="13.65" customHeight="1">
      <c r="A11" t="s" s="78">
        <v>786</v>
      </c>
      <c r="B11" t="s" s="78">
        <v>1651</v>
      </c>
      <c r="C11" t="s" s="78">
        <v>187</v>
      </c>
      <c r="D11" t="s" s="78">
        <v>1539</v>
      </c>
      <c r="E11" s="80">
        <v>38</v>
      </c>
      <c r="F11" s="123">
        <v>0.37</v>
      </c>
      <c r="G11" t="s" s="78">
        <v>7779</v>
      </c>
      <c r="H11" s="17"/>
      <c r="I11" s="13"/>
      <c r="J11" s="13"/>
      <c r="K11" s="13"/>
      <c r="L11" s="14"/>
    </row>
    <row r="12" ht="13.65" customHeight="1">
      <c r="A12" t="s" s="78">
        <v>765</v>
      </c>
      <c r="B12" t="s" s="78">
        <v>1651</v>
      </c>
      <c r="C12" t="s" s="78">
        <v>187</v>
      </c>
      <c r="D12" t="s" s="78">
        <v>1540</v>
      </c>
      <c r="E12" s="80">
        <v>38</v>
      </c>
      <c r="F12" s="123">
        <v>0.37</v>
      </c>
      <c r="G12" t="s" s="78">
        <v>7779</v>
      </c>
      <c r="H12" s="17"/>
      <c r="I12" s="13"/>
      <c r="J12" s="13"/>
      <c r="K12" s="13"/>
      <c r="L12" s="14"/>
    </row>
    <row r="13" ht="24.65" customHeight="1">
      <c r="A13" t="s" s="78">
        <v>790</v>
      </c>
      <c r="B13" t="s" s="78">
        <v>1651</v>
      </c>
      <c r="C13" t="s" s="78">
        <v>187</v>
      </c>
      <c r="D13" t="s" s="78">
        <v>1541</v>
      </c>
      <c r="E13" s="80">
        <v>38</v>
      </c>
      <c r="F13" s="123">
        <v>0.37</v>
      </c>
      <c r="G13" t="s" s="78">
        <v>7779</v>
      </c>
      <c r="H13" s="17"/>
      <c r="I13" s="13"/>
      <c r="J13" s="13"/>
      <c r="K13" s="13"/>
      <c r="L13" s="14"/>
    </row>
    <row r="14" ht="13.65" customHeight="1">
      <c r="A14" t="s" s="78">
        <v>1542</v>
      </c>
      <c r="B14" t="s" s="78">
        <v>1651</v>
      </c>
      <c r="C14" t="s" s="78">
        <v>187</v>
      </c>
      <c r="D14" t="s" s="78">
        <v>1543</v>
      </c>
      <c r="E14" s="80">
        <v>38</v>
      </c>
      <c r="F14" s="123">
        <v>0.37</v>
      </c>
      <c r="G14" t="s" s="78">
        <v>7779</v>
      </c>
      <c r="H14" s="17"/>
      <c r="I14" s="13"/>
      <c r="J14" s="13"/>
      <c r="K14" s="13"/>
      <c r="L14" s="14"/>
    </row>
    <row r="15" ht="24.65" customHeight="1">
      <c r="A15" t="s" s="78">
        <v>1544</v>
      </c>
      <c r="B15" t="s" s="78">
        <v>1651</v>
      </c>
      <c r="C15" t="s" s="78">
        <v>187</v>
      </c>
      <c r="D15" t="s" s="78">
        <v>1545</v>
      </c>
      <c r="E15" s="80">
        <v>38</v>
      </c>
      <c r="F15" s="123">
        <v>0.37</v>
      </c>
      <c r="G15" t="s" s="78">
        <v>7779</v>
      </c>
      <c r="H15" s="17"/>
      <c r="I15" s="13"/>
      <c r="J15" s="13"/>
      <c r="K15" s="13"/>
      <c r="L15" s="14"/>
    </row>
    <row r="16" ht="13.65" customHeight="1">
      <c r="A16" t="s" s="78">
        <v>1546</v>
      </c>
      <c r="B16" t="s" s="78">
        <v>1651</v>
      </c>
      <c r="C16" t="s" s="78">
        <v>187</v>
      </c>
      <c r="D16" t="s" s="78">
        <v>1547</v>
      </c>
      <c r="E16" s="80">
        <v>38</v>
      </c>
      <c r="F16" s="123">
        <v>0.37</v>
      </c>
      <c r="G16" t="s" s="78">
        <v>7779</v>
      </c>
      <c r="H16" s="17"/>
      <c r="I16" s="13"/>
      <c r="J16" s="13"/>
      <c r="K16" s="13"/>
      <c r="L16" s="14"/>
    </row>
    <row r="17" ht="13.65" customHeight="1">
      <c r="A17" t="s" s="78">
        <v>1548</v>
      </c>
      <c r="B17" t="s" s="78">
        <v>1651</v>
      </c>
      <c r="C17" t="s" s="78">
        <v>187</v>
      </c>
      <c r="D17" t="s" s="78">
        <v>1549</v>
      </c>
      <c r="E17" s="80">
        <v>38</v>
      </c>
      <c r="F17" s="123">
        <v>0.37</v>
      </c>
      <c r="G17" t="s" s="78">
        <v>7779</v>
      </c>
      <c r="H17" s="17"/>
      <c r="I17" s="13"/>
      <c r="J17" s="13"/>
      <c r="K17" s="13"/>
      <c r="L17" s="14"/>
    </row>
    <row r="18" ht="13.65" customHeight="1">
      <c r="A18" t="s" s="78">
        <v>1550</v>
      </c>
      <c r="B18" t="s" s="78">
        <v>1651</v>
      </c>
      <c r="C18" t="s" s="78">
        <v>188</v>
      </c>
      <c r="D18" t="s" s="78">
        <v>1551</v>
      </c>
      <c r="E18" s="80">
        <v>38</v>
      </c>
      <c r="F18" s="123">
        <v>0.26</v>
      </c>
      <c r="G18" t="s" s="78">
        <v>7780</v>
      </c>
      <c r="H18" s="17"/>
      <c r="I18" s="13"/>
      <c r="J18" s="13"/>
      <c r="K18" s="13"/>
      <c r="L18" s="14"/>
    </row>
    <row r="19" ht="13.65" customHeight="1">
      <c r="A19" t="s" s="78">
        <v>1552</v>
      </c>
      <c r="B19" t="s" s="78">
        <v>1651</v>
      </c>
      <c r="C19" t="s" s="78">
        <v>188</v>
      </c>
      <c r="D19" t="s" s="78">
        <v>1553</v>
      </c>
      <c r="E19" s="80">
        <v>38</v>
      </c>
      <c r="F19" s="123">
        <v>0.26</v>
      </c>
      <c r="G19" t="s" s="78">
        <v>7780</v>
      </c>
      <c r="H19" s="17"/>
      <c r="I19" s="13"/>
      <c r="J19" s="13"/>
      <c r="K19" s="13"/>
      <c r="L19" s="14"/>
    </row>
    <row r="20" ht="24.65" customHeight="1">
      <c r="A20" t="s" s="78">
        <v>1554</v>
      </c>
      <c r="B20" t="s" s="78">
        <v>1651</v>
      </c>
      <c r="C20" t="s" s="78">
        <v>188</v>
      </c>
      <c r="D20" t="s" s="78">
        <v>1555</v>
      </c>
      <c r="E20" s="80">
        <v>38</v>
      </c>
      <c r="F20" s="123">
        <v>0.26</v>
      </c>
      <c r="G20" t="s" s="78">
        <v>7780</v>
      </c>
      <c r="H20" s="17"/>
      <c r="I20" s="13"/>
      <c r="J20" s="13"/>
      <c r="K20" s="13"/>
      <c r="L20" s="14"/>
    </row>
    <row r="21" ht="13.65" customHeight="1">
      <c r="A21" t="s" s="78">
        <v>1556</v>
      </c>
      <c r="B21" t="s" s="78">
        <v>1651</v>
      </c>
      <c r="C21" t="s" s="78">
        <v>188</v>
      </c>
      <c r="D21" t="s" s="78">
        <v>1557</v>
      </c>
      <c r="E21" s="80">
        <v>38</v>
      </c>
      <c r="F21" s="123">
        <v>0.26</v>
      </c>
      <c r="G21" t="s" s="78">
        <v>7780</v>
      </c>
      <c r="H21" s="17"/>
      <c r="I21" s="13"/>
      <c r="J21" s="13"/>
      <c r="K21" s="13"/>
      <c r="L21" s="14"/>
    </row>
    <row r="22" ht="24.65" customHeight="1">
      <c r="A22" t="s" s="78">
        <v>1558</v>
      </c>
      <c r="B22" t="s" s="78">
        <v>1651</v>
      </c>
      <c r="C22" t="s" s="78">
        <v>188</v>
      </c>
      <c r="D22" t="s" s="78">
        <v>1559</v>
      </c>
      <c r="E22" s="80">
        <v>38</v>
      </c>
      <c r="F22" s="123">
        <v>0.26</v>
      </c>
      <c r="G22" t="s" s="78">
        <v>7780</v>
      </c>
      <c r="H22" s="17"/>
      <c r="I22" s="13"/>
      <c r="J22" s="13"/>
      <c r="K22" s="13"/>
      <c r="L22" s="14"/>
    </row>
    <row r="23" ht="13.65" customHeight="1">
      <c r="A23" t="s" s="78">
        <v>1560</v>
      </c>
      <c r="B23" t="s" s="78">
        <v>1651</v>
      </c>
      <c r="C23" t="s" s="78">
        <v>188</v>
      </c>
      <c r="D23" t="s" s="78">
        <v>1561</v>
      </c>
      <c r="E23" s="80">
        <v>38</v>
      </c>
      <c r="F23" s="123">
        <v>0.26</v>
      </c>
      <c r="G23" t="s" s="78">
        <v>7780</v>
      </c>
      <c r="H23" s="17"/>
      <c r="I23" s="13"/>
      <c r="J23" s="13"/>
      <c r="K23" s="13"/>
      <c r="L23" s="14"/>
    </row>
    <row r="24" ht="13.65" customHeight="1">
      <c r="A24" t="s" s="78">
        <v>667</v>
      </c>
      <c r="B24" t="s" s="78">
        <v>1651</v>
      </c>
      <c r="C24" t="s" s="78">
        <v>188</v>
      </c>
      <c r="D24" t="s" s="78">
        <v>1563</v>
      </c>
      <c r="E24" s="80">
        <v>38</v>
      </c>
      <c r="F24" s="123">
        <v>0.26</v>
      </c>
      <c r="G24" t="s" s="78">
        <v>7780</v>
      </c>
      <c r="H24" s="17"/>
      <c r="I24" s="13"/>
      <c r="J24" s="13"/>
      <c r="K24" s="13"/>
      <c r="L24" s="14"/>
    </row>
    <row r="25" ht="13.65" customHeight="1">
      <c r="A25" t="s" s="78">
        <v>655</v>
      </c>
      <c r="B25" t="s" s="78">
        <v>1651</v>
      </c>
      <c r="C25" t="s" s="78">
        <v>188</v>
      </c>
      <c r="D25" t="s" s="78">
        <v>1564</v>
      </c>
      <c r="E25" s="80">
        <v>38</v>
      </c>
      <c r="F25" s="123">
        <v>0.26</v>
      </c>
      <c r="G25" t="s" s="78">
        <v>7780</v>
      </c>
      <c r="H25" s="17"/>
      <c r="I25" s="13"/>
      <c r="J25" s="13"/>
      <c r="K25" s="13"/>
      <c r="L25" s="14"/>
    </row>
    <row r="26" ht="13.65" customHeight="1">
      <c r="A26" t="s" s="78">
        <v>1680</v>
      </c>
      <c r="B26" t="s" s="78">
        <v>1652</v>
      </c>
      <c r="C26" t="s" s="78">
        <v>1681</v>
      </c>
      <c r="D26" t="s" s="78">
        <v>1682</v>
      </c>
      <c r="E26" s="80">
        <v>40</v>
      </c>
      <c r="F26" s="79"/>
      <c r="G26" s="79"/>
      <c r="H26" s="17"/>
      <c r="I26" s="13"/>
      <c r="J26" s="13"/>
      <c r="K26" s="13"/>
      <c r="L26" s="14"/>
    </row>
    <row r="27" ht="13.65" customHeight="1">
      <c r="A27" t="s" s="78">
        <v>1683</v>
      </c>
      <c r="B27" t="s" s="78">
        <v>1652</v>
      </c>
      <c r="C27" t="s" s="78">
        <v>1681</v>
      </c>
      <c r="D27" t="s" s="78">
        <v>1684</v>
      </c>
      <c r="E27" s="80">
        <v>40</v>
      </c>
      <c r="F27" s="79"/>
      <c r="G27" s="79"/>
      <c r="H27" s="17"/>
      <c r="I27" s="13"/>
      <c r="J27" s="13"/>
      <c r="K27" s="13"/>
      <c r="L27" s="14"/>
    </row>
    <row r="28" ht="13.65" customHeight="1">
      <c r="A28" t="s" s="78">
        <v>1685</v>
      </c>
      <c r="B28" t="s" s="78">
        <v>1652</v>
      </c>
      <c r="C28" t="s" s="78">
        <v>1681</v>
      </c>
      <c r="D28" t="s" s="78">
        <v>1686</v>
      </c>
      <c r="E28" s="80">
        <v>40</v>
      </c>
      <c r="F28" s="79"/>
      <c r="G28" s="79"/>
      <c r="H28" s="17"/>
      <c r="I28" s="13"/>
      <c r="J28" s="13"/>
      <c r="K28" s="13"/>
      <c r="L28" s="14"/>
    </row>
    <row r="29" ht="13.65" customHeight="1">
      <c r="A29" t="s" s="78">
        <v>1687</v>
      </c>
      <c r="B29" t="s" s="78">
        <v>1652</v>
      </c>
      <c r="C29" t="s" s="78">
        <v>1681</v>
      </c>
      <c r="D29" t="s" s="78">
        <v>1688</v>
      </c>
      <c r="E29" s="80">
        <v>40</v>
      </c>
      <c r="F29" s="79"/>
      <c r="G29" s="79"/>
      <c r="H29" s="17"/>
      <c r="I29" s="13"/>
      <c r="J29" s="13"/>
      <c r="K29" s="13"/>
      <c r="L29" s="14"/>
    </row>
    <row r="30" ht="13.65" customHeight="1">
      <c r="A30" t="s" s="78">
        <v>1689</v>
      </c>
      <c r="B30" t="s" s="78">
        <v>1652</v>
      </c>
      <c r="C30" t="s" s="78">
        <v>1681</v>
      </c>
      <c r="D30" t="s" s="78">
        <v>1690</v>
      </c>
      <c r="E30" s="80">
        <v>40</v>
      </c>
      <c r="F30" s="79"/>
      <c r="G30" s="79"/>
      <c r="H30" s="17"/>
      <c r="I30" s="13"/>
      <c r="J30" s="13"/>
      <c r="K30" s="13"/>
      <c r="L30" s="14"/>
    </row>
    <row r="31" ht="24.65" customHeight="1">
      <c r="A31" t="s" s="78">
        <v>1691</v>
      </c>
      <c r="B31" t="s" s="78">
        <v>1652</v>
      </c>
      <c r="C31" t="s" s="78">
        <v>1681</v>
      </c>
      <c r="D31" t="s" s="78">
        <v>1692</v>
      </c>
      <c r="E31" s="80">
        <v>40</v>
      </c>
      <c r="F31" s="79"/>
      <c r="G31" s="79"/>
      <c r="H31" s="17"/>
      <c r="I31" s="13"/>
      <c r="J31" s="13"/>
      <c r="K31" s="13"/>
      <c r="L31" s="14"/>
    </row>
    <row r="32" ht="24.65" customHeight="1">
      <c r="A32" t="s" s="78">
        <v>1693</v>
      </c>
      <c r="B32" t="s" s="78">
        <v>1652</v>
      </c>
      <c r="C32" t="s" s="78">
        <v>1681</v>
      </c>
      <c r="D32" t="s" s="78">
        <v>1694</v>
      </c>
      <c r="E32" s="80">
        <v>40</v>
      </c>
      <c r="F32" s="79"/>
      <c r="G32" s="79"/>
      <c r="H32" s="17"/>
      <c r="I32" s="13"/>
      <c r="J32" s="13"/>
      <c r="K32" s="13"/>
      <c r="L32" s="14"/>
    </row>
    <row r="33" ht="13.65" customHeight="1">
      <c r="A33" t="s" s="78">
        <v>1695</v>
      </c>
      <c r="B33" t="s" s="78">
        <v>1652</v>
      </c>
      <c r="C33" t="s" s="78">
        <v>1681</v>
      </c>
      <c r="D33" t="s" s="78">
        <v>1696</v>
      </c>
      <c r="E33" s="80">
        <v>40</v>
      </c>
      <c r="F33" s="79"/>
      <c r="G33" s="79"/>
      <c r="H33" s="17"/>
      <c r="I33" s="13"/>
      <c r="J33" s="13"/>
      <c r="K33" s="13"/>
      <c r="L33" s="14"/>
    </row>
    <row r="34" ht="13.65" customHeight="1">
      <c r="A34" t="s" s="78">
        <v>1697</v>
      </c>
      <c r="B34" t="s" s="78">
        <v>1653</v>
      </c>
      <c r="C34" t="s" s="78">
        <v>1698</v>
      </c>
      <c r="D34" t="s" s="78">
        <v>1699</v>
      </c>
      <c r="E34" s="80">
        <v>42</v>
      </c>
      <c r="F34" s="79"/>
      <c r="G34" s="79"/>
      <c r="H34" s="17"/>
      <c r="I34" s="13"/>
      <c r="J34" s="13"/>
      <c r="K34" s="13"/>
      <c r="L34" s="14"/>
    </row>
    <row r="35" ht="13.65" customHeight="1">
      <c r="A35" t="s" s="78">
        <v>1700</v>
      </c>
      <c r="B35" t="s" s="78">
        <v>1653</v>
      </c>
      <c r="C35" t="s" s="78">
        <v>1698</v>
      </c>
      <c r="D35" t="s" s="78">
        <v>1701</v>
      </c>
      <c r="E35" s="80">
        <v>42</v>
      </c>
      <c r="F35" s="79"/>
      <c r="G35" s="79"/>
      <c r="H35" s="17"/>
      <c r="I35" s="13"/>
      <c r="J35" s="13"/>
      <c r="K35" s="13"/>
      <c r="L35" s="14"/>
    </row>
    <row r="36" ht="13.65" customHeight="1">
      <c r="A36" t="s" s="78">
        <v>1702</v>
      </c>
      <c r="B36" t="s" s="78">
        <v>1653</v>
      </c>
      <c r="C36" t="s" s="78">
        <v>1698</v>
      </c>
      <c r="D36" t="s" s="78">
        <v>1703</v>
      </c>
      <c r="E36" s="80">
        <v>42</v>
      </c>
      <c r="F36" s="79"/>
      <c r="G36" s="79"/>
      <c r="H36" s="17"/>
      <c r="I36" s="13"/>
      <c r="J36" s="13"/>
      <c r="K36" s="13"/>
      <c r="L36" s="14"/>
    </row>
    <row r="37" ht="13.65" customHeight="1">
      <c r="A37" t="s" s="78">
        <v>1704</v>
      </c>
      <c r="B37" t="s" s="78">
        <v>1653</v>
      </c>
      <c r="C37" t="s" s="78">
        <v>1705</v>
      </c>
      <c r="D37" t="s" s="78">
        <v>1706</v>
      </c>
      <c r="E37" s="80">
        <v>42</v>
      </c>
      <c r="F37" s="79"/>
      <c r="G37" s="79"/>
      <c r="H37" s="17"/>
      <c r="I37" s="13"/>
      <c r="J37" s="13"/>
      <c r="K37" s="13"/>
      <c r="L37" s="14"/>
    </row>
    <row r="38" ht="13.65" customHeight="1">
      <c r="A38" t="s" s="78">
        <v>1707</v>
      </c>
      <c r="B38" t="s" s="78">
        <v>1653</v>
      </c>
      <c r="C38" t="s" s="78">
        <v>1705</v>
      </c>
      <c r="D38" t="s" s="78">
        <v>1708</v>
      </c>
      <c r="E38" s="80">
        <v>42</v>
      </c>
      <c r="F38" s="79"/>
      <c r="G38" s="79"/>
      <c r="H38" s="17"/>
      <c r="I38" s="13"/>
      <c r="J38" s="13"/>
      <c r="K38" s="13"/>
      <c r="L38" s="14"/>
    </row>
    <row r="39" ht="13.65" customHeight="1">
      <c r="A39" t="s" s="78">
        <v>1709</v>
      </c>
      <c r="B39" t="s" s="78">
        <v>1653</v>
      </c>
      <c r="C39" t="s" s="78">
        <v>1705</v>
      </c>
      <c r="D39" t="s" s="78">
        <v>1710</v>
      </c>
      <c r="E39" s="80">
        <v>42</v>
      </c>
      <c r="F39" s="79"/>
      <c r="G39" s="79"/>
      <c r="H39" s="17"/>
      <c r="I39" s="13"/>
      <c r="J39" s="13"/>
      <c r="K39" s="13"/>
      <c r="L39" s="14"/>
    </row>
    <row r="40" ht="13.65" customHeight="1">
      <c r="A40" t="s" s="78">
        <v>1711</v>
      </c>
      <c r="B40" t="s" s="78">
        <v>1653</v>
      </c>
      <c r="C40" t="s" s="78">
        <v>1705</v>
      </c>
      <c r="D40" t="s" s="78">
        <v>1712</v>
      </c>
      <c r="E40" s="80">
        <v>42</v>
      </c>
      <c r="F40" s="79"/>
      <c r="G40" s="79"/>
      <c r="H40" s="17"/>
      <c r="I40" s="13"/>
      <c r="J40" s="13"/>
      <c r="K40" s="13"/>
      <c r="L40" s="14"/>
    </row>
    <row r="41" ht="13.65" customHeight="1">
      <c r="A41" t="s" s="78">
        <v>1713</v>
      </c>
      <c r="B41" t="s" s="78">
        <v>1653</v>
      </c>
      <c r="C41" t="s" s="78">
        <v>1714</v>
      </c>
      <c r="D41" t="s" s="78">
        <v>1715</v>
      </c>
      <c r="E41" s="80">
        <v>42</v>
      </c>
      <c r="F41" s="79"/>
      <c r="G41" s="79"/>
      <c r="H41" s="17"/>
      <c r="I41" s="13"/>
      <c r="J41" s="13"/>
      <c r="K41" s="13"/>
      <c r="L41" s="14"/>
    </row>
    <row r="42" ht="13.65" customHeight="1">
      <c r="A42" t="s" s="78">
        <v>1716</v>
      </c>
      <c r="B42" t="s" s="78">
        <v>1653</v>
      </c>
      <c r="C42" t="s" s="78">
        <v>1714</v>
      </c>
      <c r="D42" t="s" s="78">
        <v>1717</v>
      </c>
      <c r="E42" s="80">
        <v>42</v>
      </c>
      <c r="F42" s="79"/>
      <c r="G42" s="79"/>
      <c r="H42" s="17"/>
      <c r="I42" s="13"/>
      <c r="J42" s="13"/>
      <c r="K42" s="13"/>
      <c r="L42" s="14"/>
    </row>
    <row r="43" ht="13.65" customHeight="1">
      <c r="A43" t="s" s="78">
        <v>1718</v>
      </c>
      <c r="B43" t="s" s="78">
        <v>1653</v>
      </c>
      <c r="C43" t="s" s="78">
        <v>1714</v>
      </c>
      <c r="D43" t="s" s="78">
        <v>1719</v>
      </c>
      <c r="E43" s="80">
        <v>42</v>
      </c>
      <c r="F43" s="79"/>
      <c r="G43" s="79"/>
      <c r="H43" s="17"/>
      <c r="I43" s="13"/>
      <c r="J43" s="13"/>
      <c r="K43" s="13"/>
      <c r="L43" s="14"/>
    </row>
    <row r="44" ht="13.65" customHeight="1">
      <c r="A44" t="s" s="78">
        <v>1720</v>
      </c>
      <c r="B44" t="s" s="78">
        <v>1653</v>
      </c>
      <c r="C44" t="s" s="78">
        <v>1721</v>
      </c>
      <c r="D44" t="s" s="78">
        <v>1722</v>
      </c>
      <c r="E44" s="80">
        <v>42</v>
      </c>
      <c r="F44" s="79"/>
      <c r="G44" s="79"/>
      <c r="H44" s="17"/>
      <c r="I44" s="13"/>
      <c r="J44" s="13"/>
      <c r="K44" s="13"/>
      <c r="L44" s="14"/>
    </row>
    <row r="45" ht="13.65" customHeight="1">
      <c r="A45" t="s" s="78">
        <v>1723</v>
      </c>
      <c r="B45" t="s" s="78">
        <v>1653</v>
      </c>
      <c r="C45" t="s" s="78">
        <v>1721</v>
      </c>
      <c r="D45" t="s" s="78">
        <v>1724</v>
      </c>
      <c r="E45" s="80">
        <v>42</v>
      </c>
      <c r="F45" s="79"/>
      <c r="G45" s="79"/>
      <c r="H45" s="17"/>
      <c r="I45" s="13"/>
      <c r="J45" s="13"/>
      <c r="K45" s="13"/>
      <c r="L45" s="14"/>
    </row>
    <row r="46" ht="13.65" customHeight="1">
      <c r="A46" t="s" s="78">
        <v>1725</v>
      </c>
      <c r="B46" t="s" s="78">
        <v>1653</v>
      </c>
      <c r="C46" t="s" s="78">
        <v>1721</v>
      </c>
      <c r="D46" t="s" s="78">
        <v>1726</v>
      </c>
      <c r="E46" s="80">
        <v>42</v>
      </c>
      <c r="F46" s="79"/>
      <c r="G46" s="79"/>
      <c r="H46" s="17"/>
      <c r="I46" s="13"/>
      <c r="J46" s="13"/>
      <c r="K46" s="13"/>
      <c r="L46" s="14"/>
    </row>
    <row r="47" ht="13.65" customHeight="1">
      <c r="A47" t="s" s="78">
        <v>1727</v>
      </c>
      <c r="B47" t="s" s="78">
        <v>1653</v>
      </c>
      <c r="C47" t="s" s="78">
        <v>1721</v>
      </c>
      <c r="D47" t="s" s="78">
        <v>1728</v>
      </c>
      <c r="E47" s="80">
        <v>42</v>
      </c>
      <c r="F47" s="79"/>
      <c r="G47" s="79"/>
      <c r="H47" s="17"/>
      <c r="I47" s="13"/>
      <c r="J47" s="13"/>
      <c r="K47" s="13"/>
      <c r="L47" s="14"/>
    </row>
    <row r="48" ht="13.65" customHeight="1">
      <c r="A48" t="s" s="78">
        <v>1729</v>
      </c>
      <c r="B48" t="s" s="78">
        <v>1653</v>
      </c>
      <c r="C48" t="s" s="78">
        <v>1730</v>
      </c>
      <c r="D48" t="s" s="78">
        <v>1731</v>
      </c>
      <c r="E48" s="80">
        <v>42</v>
      </c>
      <c r="F48" s="79"/>
      <c r="G48" s="79"/>
      <c r="H48" s="17"/>
      <c r="I48" s="13"/>
      <c r="J48" s="13"/>
      <c r="K48" s="13"/>
      <c r="L48" s="14"/>
    </row>
    <row r="49" ht="13.65" customHeight="1">
      <c r="A49" t="s" s="78">
        <v>1732</v>
      </c>
      <c r="B49" t="s" s="78">
        <v>1653</v>
      </c>
      <c r="C49" t="s" s="78">
        <v>1730</v>
      </c>
      <c r="D49" t="s" s="78">
        <v>1733</v>
      </c>
      <c r="E49" s="80">
        <v>42</v>
      </c>
      <c r="F49" s="79"/>
      <c r="G49" s="79"/>
      <c r="H49" s="17"/>
      <c r="I49" s="13"/>
      <c r="J49" s="13"/>
      <c r="K49" s="13"/>
      <c r="L49" s="14"/>
    </row>
    <row r="50" ht="13.65" customHeight="1">
      <c r="A50" t="s" s="78">
        <v>1734</v>
      </c>
      <c r="B50" t="s" s="78">
        <v>1653</v>
      </c>
      <c r="C50" t="s" s="78">
        <v>1730</v>
      </c>
      <c r="D50" t="s" s="78">
        <v>1735</v>
      </c>
      <c r="E50" s="80">
        <v>43</v>
      </c>
      <c r="F50" s="79"/>
      <c r="G50" s="79"/>
      <c r="H50" s="17"/>
      <c r="I50" s="13"/>
      <c r="J50" s="13"/>
      <c r="K50" s="13"/>
      <c r="L50" s="14"/>
    </row>
    <row r="51" ht="13.65" customHeight="1">
      <c r="A51" t="s" s="78">
        <v>1736</v>
      </c>
      <c r="B51" t="s" s="78">
        <v>1653</v>
      </c>
      <c r="C51" t="s" s="78">
        <v>1730</v>
      </c>
      <c r="D51" t="s" s="78">
        <v>1737</v>
      </c>
      <c r="E51" s="80">
        <v>43</v>
      </c>
      <c r="F51" s="79"/>
      <c r="G51" s="79"/>
      <c r="H51" s="17"/>
      <c r="I51" s="13"/>
      <c r="J51" s="13"/>
      <c r="K51" s="13"/>
      <c r="L51" s="14"/>
    </row>
    <row r="52" ht="13.65" customHeight="1">
      <c r="A52" t="s" s="78">
        <v>1738</v>
      </c>
      <c r="B52" t="s" s="78">
        <v>1653</v>
      </c>
      <c r="C52" t="s" s="78">
        <v>1730</v>
      </c>
      <c r="D52" t="s" s="78">
        <v>1739</v>
      </c>
      <c r="E52" s="80">
        <v>43</v>
      </c>
      <c r="F52" s="79"/>
      <c r="G52" s="79"/>
      <c r="H52" s="17"/>
      <c r="I52" s="13"/>
      <c r="J52" s="13"/>
      <c r="K52" s="13"/>
      <c r="L52" s="14"/>
    </row>
    <row r="53" ht="13.65" customHeight="1">
      <c r="A53" t="s" s="78">
        <v>1740</v>
      </c>
      <c r="B53" t="s" s="78">
        <v>1653</v>
      </c>
      <c r="C53" t="s" s="78">
        <v>1730</v>
      </c>
      <c r="D53" t="s" s="78">
        <v>1741</v>
      </c>
      <c r="E53" s="80">
        <v>43</v>
      </c>
      <c r="F53" s="79"/>
      <c r="G53" s="79"/>
      <c r="H53" s="17"/>
      <c r="I53" s="13"/>
      <c r="J53" s="13"/>
      <c r="K53" s="13"/>
      <c r="L53" s="14"/>
    </row>
    <row r="54" ht="24.65" customHeight="1">
      <c r="A54" t="s" s="78">
        <v>1602</v>
      </c>
      <c r="B54" t="s" s="78">
        <v>1640</v>
      </c>
      <c r="C54" t="s" s="78">
        <v>7781</v>
      </c>
      <c r="D54" t="s" s="78">
        <v>1603</v>
      </c>
      <c r="E54" s="80">
        <v>34</v>
      </c>
      <c r="F54" s="79"/>
      <c r="G54" t="s" s="78">
        <v>7782</v>
      </c>
      <c r="H54" s="17"/>
      <c r="I54" s="13"/>
      <c r="J54" s="13"/>
      <c r="K54" s="13"/>
      <c r="L54" s="14"/>
    </row>
    <row r="55" ht="24.65" customHeight="1">
      <c r="A55" t="s" s="78">
        <v>1605</v>
      </c>
      <c r="B55" t="s" s="78">
        <v>1640</v>
      </c>
      <c r="C55" t="s" s="78">
        <v>7781</v>
      </c>
      <c r="D55" t="s" s="78">
        <v>1606</v>
      </c>
      <c r="E55" s="80">
        <v>34</v>
      </c>
      <c r="F55" s="79"/>
      <c r="G55" t="s" s="78">
        <v>7782</v>
      </c>
      <c r="H55" s="17"/>
      <c r="I55" s="13"/>
      <c r="J55" s="13"/>
      <c r="K55" s="13"/>
      <c r="L55" s="14"/>
    </row>
    <row r="56" ht="24.65" customHeight="1">
      <c r="A56" t="s" s="78">
        <v>1607</v>
      </c>
      <c r="B56" t="s" s="78">
        <v>1640</v>
      </c>
      <c r="C56" t="s" s="78">
        <v>7781</v>
      </c>
      <c r="D56" t="s" s="78">
        <v>1608</v>
      </c>
      <c r="E56" s="80">
        <v>34</v>
      </c>
      <c r="F56" s="79"/>
      <c r="G56" t="s" s="78">
        <v>7782</v>
      </c>
      <c r="H56" s="17"/>
      <c r="I56" s="13"/>
      <c r="J56" s="13"/>
      <c r="K56" s="13"/>
      <c r="L56" s="14"/>
    </row>
    <row r="57" ht="24.65" customHeight="1">
      <c r="A57" t="s" s="78">
        <v>1609</v>
      </c>
      <c r="B57" t="s" s="78">
        <v>1640</v>
      </c>
      <c r="C57" t="s" s="78">
        <v>7781</v>
      </c>
      <c r="D57" t="s" s="78">
        <v>1610</v>
      </c>
      <c r="E57" s="80">
        <v>34</v>
      </c>
      <c r="F57" s="79"/>
      <c r="G57" t="s" s="78">
        <v>7782</v>
      </c>
      <c r="H57" s="17"/>
      <c r="I57" s="13"/>
      <c r="J57" s="13"/>
      <c r="K57" s="13"/>
      <c r="L57" s="14"/>
    </row>
    <row r="58" ht="24.65" customHeight="1">
      <c r="A58" t="s" s="78">
        <v>1612</v>
      </c>
      <c r="B58" t="s" s="78">
        <v>1640</v>
      </c>
      <c r="C58" t="s" s="78">
        <v>7781</v>
      </c>
      <c r="D58" t="s" s="78">
        <v>1613</v>
      </c>
      <c r="E58" s="80">
        <v>34</v>
      </c>
      <c r="F58" s="79"/>
      <c r="G58" t="s" s="78">
        <v>7782</v>
      </c>
      <c r="H58" s="17"/>
      <c r="I58" s="13"/>
      <c r="J58" s="13"/>
      <c r="K58" s="13"/>
      <c r="L58" s="14"/>
    </row>
    <row r="59" ht="24.65" customHeight="1">
      <c r="A59" t="s" s="78">
        <v>1615</v>
      </c>
      <c r="B59" t="s" s="78">
        <v>1640</v>
      </c>
      <c r="C59" t="s" s="78">
        <v>7781</v>
      </c>
      <c r="D59" t="s" s="78">
        <v>1616</v>
      </c>
      <c r="E59" s="80">
        <v>34</v>
      </c>
      <c r="F59" s="79"/>
      <c r="G59" t="s" s="78">
        <v>7782</v>
      </c>
      <c r="H59" s="17"/>
      <c r="I59" s="13"/>
      <c r="J59" s="13"/>
      <c r="K59" s="13"/>
      <c r="L59" s="14"/>
    </row>
    <row r="60" ht="35.65" customHeight="1">
      <c r="A60" t="s" s="78">
        <v>1617</v>
      </c>
      <c r="B60" t="s" s="78">
        <v>1640</v>
      </c>
      <c r="C60" t="s" s="78">
        <v>7783</v>
      </c>
      <c r="D60" t="s" s="78">
        <v>1618</v>
      </c>
      <c r="E60" s="80">
        <v>34</v>
      </c>
      <c r="F60" s="79"/>
      <c r="G60" t="s" s="78">
        <v>7784</v>
      </c>
      <c r="H60" s="17"/>
      <c r="I60" s="13"/>
      <c r="J60" s="13"/>
      <c r="K60" s="13"/>
      <c r="L60" s="14"/>
    </row>
    <row r="61" ht="35.65" customHeight="1">
      <c r="A61" t="s" s="78">
        <v>1619</v>
      </c>
      <c r="B61" t="s" s="78">
        <v>1640</v>
      </c>
      <c r="C61" t="s" s="78">
        <v>7783</v>
      </c>
      <c r="D61" t="s" s="78">
        <v>1620</v>
      </c>
      <c r="E61" s="80">
        <v>34</v>
      </c>
      <c r="F61" s="79"/>
      <c r="G61" t="s" s="78">
        <v>7784</v>
      </c>
      <c r="H61" s="17"/>
      <c r="I61" s="13"/>
      <c r="J61" s="13"/>
      <c r="K61" s="13"/>
      <c r="L61" s="14"/>
    </row>
    <row r="62" ht="35.65" customHeight="1">
      <c r="A62" t="s" s="78">
        <v>1621</v>
      </c>
      <c r="B62" t="s" s="78">
        <v>1640</v>
      </c>
      <c r="C62" t="s" s="78">
        <v>7783</v>
      </c>
      <c r="D62" t="s" s="78">
        <v>1622</v>
      </c>
      <c r="E62" s="80">
        <v>34</v>
      </c>
      <c r="F62" s="79"/>
      <c r="G62" t="s" s="78">
        <v>7784</v>
      </c>
      <c r="H62" s="17"/>
      <c r="I62" s="13"/>
      <c r="J62" s="13"/>
      <c r="K62" s="13"/>
      <c r="L62" s="14"/>
    </row>
    <row r="63" ht="35.65" customHeight="1">
      <c r="A63" t="s" s="78">
        <v>1623</v>
      </c>
      <c r="B63" t="s" s="78">
        <v>1640</v>
      </c>
      <c r="C63" t="s" s="78">
        <v>7783</v>
      </c>
      <c r="D63" t="s" s="78">
        <v>1624</v>
      </c>
      <c r="E63" s="80">
        <v>34</v>
      </c>
      <c r="F63" s="79"/>
      <c r="G63" t="s" s="78">
        <v>7784</v>
      </c>
      <c r="H63" s="17"/>
      <c r="I63" s="13"/>
      <c r="J63" s="13"/>
      <c r="K63" s="13"/>
      <c r="L63" s="14"/>
    </row>
    <row r="64" ht="24.65" customHeight="1">
      <c r="A64" t="s" s="78">
        <v>1625</v>
      </c>
      <c r="B64" t="s" s="78">
        <v>1640</v>
      </c>
      <c r="C64" t="s" s="78">
        <v>7785</v>
      </c>
      <c r="D64" t="s" s="78">
        <v>1626</v>
      </c>
      <c r="E64" s="80">
        <v>36</v>
      </c>
      <c r="F64" s="79"/>
      <c r="G64" t="s" s="78">
        <v>7784</v>
      </c>
      <c r="H64" s="17"/>
      <c r="I64" s="13"/>
      <c r="J64" s="13"/>
      <c r="K64" s="13"/>
      <c r="L64" s="14"/>
    </row>
    <row r="65" ht="24.65" customHeight="1">
      <c r="A65" t="s" s="78">
        <v>1627</v>
      </c>
      <c r="B65" t="s" s="78">
        <v>1640</v>
      </c>
      <c r="C65" t="s" s="78">
        <v>7785</v>
      </c>
      <c r="D65" t="s" s="78">
        <v>1628</v>
      </c>
      <c r="E65" s="80">
        <v>36</v>
      </c>
      <c r="F65" s="79"/>
      <c r="G65" t="s" s="78">
        <v>7784</v>
      </c>
      <c r="H65" s="17"/>
      <c r="I65" s="13"/>
      <c r="J65" s="13"/>
      <c r="K65" s="13"/>
      <c r="L65" s="14"/>
    </row>
    <row r="66" ht="24.65" customHeight="1">
      <c r="A66" t="s" s="78">
        <v>1629</v>
      </c>
      <c r="B66" t="s" s="78">
        <v>1640</v>
      </c>
      <c r="C66" t="s" s="78">
        <v>7785</v>
      </c>
      <c r="D66" t="s" s="78">
        <v>1630</v>
      </c>
      <c r="E66" s="80">
        <v>36</v>
      </c>
      <c r="F66" s="79"/>
      <c r="G66" t="s" s="78">
        <v>7784</v>
      </c>
      <c r="H66" s="17"/>
      <c r="I66" s="13"/>
      <c r="J66" s="13"/>
      <c r="K66" s="13"/>
      <c r="L66" s="14"/>
    </row>
    <row r="67" ht="24.65" customHeight="1">
      <c r="A67" t="s" s="78">
        <v>1631</v>
      </c>
      <c r="B67" t="s" s="78">
        <v>1640</v>
      </c>
      <c r="C67" t="s" s="78">
        <v>7785</v>
      </c>
      <c r="D67" t="s" s="78">
        <v>1632</v>
      </c>
      <c r="E67" s="80">
        <v>36</v>
      </c>
      <c r="F67" s="79"/>
      <c r="G67" t="s" s="78">
        <v>7784</v>
      </c>
      <c r="H67" s="17"/>
      <c r="I67" s="13"/>
      <c r="J67" s="13"/>
      <c r="K67" s="13"/>
      <c r="L67" s="14"/>
    </row>
    <row r="68" ht="24.65" customHeight="1">
      <c r="A68" t="s" s="78">
        <v>1633</v>
      </c>
      <c r="B68" t="s" s="78">
        <v>1640</v>
      </c>
      <c r="C68" t="s" s="78">
        <v>7785</v>
      </c>
      <c r="D68" t="s" s="78">
        <v>1634</v>
      </c>
      <c r="E68" s="80">
        <v>36</v>
      </c>
      <c r="F68" s="79"/>
      <c r="G68" t="s" s="78">
        <v>7784</v>
      </c>
      <c r="H68" s="17"/>
      <c r="I68" s="13"/>
      <c r="J68" s="13"/>
      <c r="K68" s="13"/>
      <c r="L68" s="14"/>
    </row>
    <row r="69" ht="13.65" customHeight="1">
      <c r="A69" t="s" s="78">
        <v>7786</v>
      </c>
      <c r="B69" t="s" s="78">
        <v>1763</v>
      </c>
      <c r="C69" t="s" s="78">
        <v>7787</v>
      </c>
      <c r="D69" t="s" s="78">
        <v>1764</v>
      </c>
      <c r="E69" s="80">
        <v>32</v>
      </c>
      <c r="F69" s="79"/>
      <c r="G69" s="79"/>
      <c r="H69" s="17"/>
      <c r="I69" s="13"/>
      <c r="J69" s="13"/>
      <c r="K69" s="13"/>
      <c r="L69" s="14"/>
    </row>
    <row r="70" ht="13.65" customHeight="1">
      <c r="A70" t="s" s="78">
        <v>7788</v>
      </c>
      <c r="B70" t="s" s="78">
        <v>1763</v>
      </c>
      <c r="C70" t="s" s="78">
        <v>7787</v>
      </c>
      <c r="D70" t="s" s="78">
        <v>1765</v>
      </c>
      <c r="E70" s="80">
        <v>32</v>
      </c>
      <c r="F70" s="79"/>
      <c r="G70" s="79"/>
      <c r="H70" s="17"/>
      <c r="I70" s="13"/>
      <c r="J70" s="13"/>
      <c r="K70" s="13"/>
      <c r="L70" s="14"/>
    </row>
    <row r="71" ht="13.65" customHeight="1">
      <c r="A71" t="s" s="78">
        <v>7789</v>
      </c>
      <c r="B71" t="s" s="78">
        <v>1763</v>
      </c>
      <c r="C71" t="s" s="78">
        <v>7787</v>
      </c>
      <c r="D71" t="s" s="78">
        <v>1766</v>
      </c>
      <c r="E71" s="80">
        <v>33</v>
      </c>
      <c r="F71" s="79"/>
      <c r="G71" s="79"/>
      <c r="H71" s="17"/>
      <c r="I71" s="13"/>
      <c r="J71" s="13"/>
      <c r="K71" s="13"/>
      <c r="L71" s="14"/>
    </row>
    <row r="72" ht="13.65" customHeight="1">
      <c r="A72" t="s" s="78">
        <v>7790</v>
      </c>
      <c r="B72" t="s" s="78">
        <v>1763</v>
      </c>
      <c r="C72" t="s" s="78">
        <v>7787</v>
      </c>
      <c r="D72" t="s" s="78">
        <v>1767</v>
      </c>
      <c r="E72" s="80">
        <v>33</v>
      </c>
      <c r="F72" s="79"/>
      <c r="G72" s="79"/>
      <c r="H72" s="17"/>
      <c r="I72" s="13"/>
      <c r="J72" s="13"/>
      <c r="K72" s="13"/>
      <c r="L72" s="14"/>
    </row>
    <row r="73" ht="13.65" customHeight="1">
      <c r="A73" t="s" s="78">
        <v>7791</v>
      </c>
      <c r="B73" t="s" s="78">
        <v>1763</v>
      </c>
      <c r="C73" t="s" s="78">
        <v>7787</v>
      </c>
      <c r="D73" t="s" s="78">
        <v>1768</v>
      </c>
      <c r="E73" s="80">
        <v>33</v>
      </c>
      <c r="F73" s="79"/>
      <c r="G73" s="79"/>
      <c r="H73" s="17"/>
      <c r="I73" s="13"/>
      <c r="J73" s="13"/>
      <c r="K73" s="13"/>
      <c r="L73" s="14"/>
    </row>
    <row r="74" ht="24.65" customHeight="1">
      <c r="A74" t="s" s="78">
        <v>7792</v>
      </c>
      <c r="B74" t="s" s="78">
        <v>1817</v>
      </c>
      <c r="C74" t="s" s="78">
        <v>1817</v>
      </c>
      <c r="D74" t="s" s="78">
        <v>7793</v>
      </c>
      <c r="E74" s="80">
        <v>50</v>
      </c>
      <c r="F74" s="79"/>
      <c r="G74" s="79"/>
      <c r="H74" s="17"/>
      <c r="I74" s="13"/>
      <c r="J74" s="13"/>
      <c r="K74" s="13"/>
      <c r="L74" s="14"/>
    </row>
    <row r="75" ht="24.65" customHeight="1">
      <c r="A75" t="s" s="78">
        <v>7794</v>
      </c>
      <c r="B75" t="s" s="78">
        <v>1817</v>
      </c>
      <c r="C75" t="s" s="78">
        <v>1817</v>
      </c>
      <c r="D75" t="s" s="78">
        <v>7795</v>
      </c>
      <c r="E75" s="80">
        <v>50</v>
      </c>
      <c r="F75" s="79"/>
      <c r="G75" s="79"/>
      <c r="H75" s="17"/>
      <c r="I75" s="13"/>
      <c r="J75" s="13"/>
      <c r="K75" s="13"/>
      <c r="L75" s="14"/>
    </row>
    <row r="76" ht="24.65" customHeight="1">
      <c r="A76" t="s" s="78">
        <v>7796</v>
      </c>
      <c r="B76" t="s" s="78">
        <v>1817</v>
      </c>
      <c r="C76" t="s" s="78">
        <v>1817</v>
      </c>
      <c r="D76" t="s" s="78">
        <v>7797</v>
      </c>
      <c r="E76" s="80">
        <v>50</v>
      </c>
      <c r="F76" s="79"/>
      <c r="G76" s="79"/>
      <c r="H76" s="17"/>
      <c r="I76" s="13"/>
      <c r="J76" s="13"/>
      <c r="K76" s="13"/>
      <c r="L76" s="14"/>
    </row>
    <row r="77" ht="13.55" customHeight="1">
      <c r="A77" s="42"/>
      <c r="B77" s="18"/>
      <c r="C77" s="18"/>
      <c r="D77" s="18"/>
      <c r="E77" s="18"/>
      <c r="F77" s="18"/>
      <c r="G77" s="18"/>
      <c r="H77" s="13"/>
      <c r="I77" s="13"/>
      <c r="J77" s="13"/>
      <c r="K77" s="13"/>
      <c r="L77" s="14"/>
    </row>
    <row r="78" ht="56" customHeight="1">
      <c r="A78" t="s" s="54">
        <v>7798</v>
      </c>
      <c r="B78" s="24"/>
      <c r="C78" s="24"/>
      <c r="D78" s="24"/>
      <c r="E78" s="24"/>
      <c r="F78" s="24"/>
      <c r="G78" s="24"/>
      <c r="H78" s="24"/>
      <c r="I78" s="24"/>
      <c r="J78" s="24"/>
      <c r="K78" s="24"/>
      <c r="L78" s="25"/>
    </row>
  </sheetData>
  <mergeCells count="2">
    <mergeCell ref="A78:L78"/>
    <mergeCell ref="A2:L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N512"/>
  <sheetViews>
    <sheetView workbookViewId="0" showGridLines="0" defaultGridColor="1"/>
  </sheetViews>
  <sheetFormatPr defaultColWidth="8.83333" defaultRowHeight="15" customHeight="1" outlineLevelRow="0" outlineLevelCol="0"/>
  <cols>
    <col min="1" max="1" width="17" style="126" customWidth="1"/>
    <col min="2" max="2" width="10" style="126" customWidth="1"/>
    <col min="3" max="3" width="34" style="126" customWidth="1"/>
    <col min="4" max="4" width="7" style="126" customWidth="1"/>
    <col min="5" max="5" width="10" style="126" customWidth="1"/>
    <col min="6" max="6" width="8" style="126" customWidth="1"/>
    <col min="7" max="7" width="26" style="126" customWidth="1"/>
    <col min="8" max="8" width="60" style="126" customWidth="1"/>
    <col min="9" max="9" width="8" style="126" customWidth="1"/>
    <col min="10" max="11" width="13" style="126" customWidth="1"/>
    <col min="12" max="12" width="10" style="126" customWidth="1"/>
    <col min="13" max="13" width="22" style="126" customWidth="1"/>
    <col min="14" max="14" width="45" style="126" customWidth="1"/>
    <col min="15" max="16384" width="8.85156" style="126" customWidth="1"/>
  </cols>
  <sheetData>
    <row r="1" ht="18.5" customHeight="1">
      <c r="A1" t="s" s="27">
        <v>7800</v>
      </c>
      <c r="B1" s="28"/>
      <c r="C1" s="28"/>
      <c r="D1" s="28"/>
      <c r="E1" s="28"/>
      <c r="F1" s="28"/>
      <c r="G1" s="28"/>
      <c r="H1" s="28"/>
      <c r="I1" s="28"/>
      <c r="J1" s="28"/>
      <c r="K1" s="28"/>
      <c r="L1" s="28"/>
      <c r="M1" s="28"/>
      <c r="N1" s="97"/>
    </row>
    <row r="2" ht="53" customHeight="1">
      <c r="A2" t="str" s="29" cm="1">
        <f t="array" ref="A2">"TIMSS 2027 como referencia común"&amp;"
"&amp;"● "&amp;COUNTA($A$5:$A$510)&amp;" objetivos: Uruguay "&amp;COUNTIF($B$5:$B$510,"Uruguay")&amp;", Colombia "&amp;COUNTIF($B$5:$B$510,"Colombia")&amp;", Singapur "&amp;COUNTIF($B$5:$B$510,"Singapur")&amp;"."&amp;"
"&amp;"● Sin objetivo TIMSS: "&amp;COUNTIF($J$5:$J$510,"FUERA")&amp;". Confianza baja: "&amp;COUNTIF($L$5:$L$510,"baja")&amp;"."</f>
        <v>TIMSS 2027 como referencia común
● 506 objetivos: Uruguay 135, Colombia 272, Singapur 99.
● Sin objetivo TIMSS: 44. Confianza baja: 78.</v>
      </c>
      <c r="B2" s="30"/>
      <c r="C2" s="31"/>
      <c r="D2" s="31"/>
      <c r="E2" s="31"/>
      <c r="F2" s="31"/>
      <c r="G2" s="31"/>
      <c r="H2" s="31"/>
      <c r="I2" s="31"/>
      <c r="J2" s="31"/>
      <c r="K2" s="31"/>
      <c r="L2" s="31"/>
      <c r="M2" s="31"/>
      <c r="N2" s="32"/>
    </row>
    <row r="3" ht="13.55" customHeight="1">
      <c r="A3" s="71"/>
      <c r="B3" s="31"/>
      <c r="C3" s="31"/>
      <c r="D3" s="31"/>
      <c r="E3" s="31"/>
      <c r="F3" s="31"/>
      <c r="G3" s="31"/>
      <c r="H3" s="31"/>
      <c r="I3" s="31"/>
      <c r="J3" s="31"/>
      <c r="K3" s="31"/>
      <c r="L3" s="31"/>
      <c r="M3" s="31"/>
      <c r="N3" s="91"/>
    </row>
    <row r="4" ht="42" customHeight="1">
      <c r="A4" t="s" s="34">
        <v>233</v>
      </c>
      <c r="B4" t="s" s="34">
        <v>1503</v>
      </c>
      <c r="C4" t="s" s="34">
        <v>7802</v>
      </c>
      <c r="D4" t="s" s="34">
        <v>7776</v>
      </c>
      <c r="E4" t="s" s="34">
        <v>7803</v>
      </c>
      <c r="F4" t="s" s="34">
        <v>7804</v>
      </c>
      <c r="G4" t="s" s="34">
        <v>7805</v>
      </c>
      <c r="H4" t="s" s="34">
        <v>7806</v>
      </c>
      <c r="I4" t="s" s="34">
        <v>155</v>
      </c>
      <c r="J4" t="s" s="34">
        <v>1787</v>
      </c>
      <c r="K4" t="s" s="34">
        <v>1788</v>
      </c>
      <c r="L4" t="s" s="34">
        <v>242</v>
      </c>
      <c r="M4" t="s" s="34">
        <v>1789</v>
      </c>
      <c r="N4" t="s" s="34">
        <v>241</v>
      </c>
    </row>
    <row r="5" ht="13.65" customHeight="1">
      <c r="A5" t="s" s="35">
        <v>7807</v>
      </c>
      <c r="B5" t="s" s="35">
        <v>1509</v>
      </c>
      <c r="C5" t="s" s="35">
        <v>7808</v>
      </c>
      <c r="D5" s="36">
        <v>14</v>
      </c>
      <c r="E5" t="s" s="35">
        <v>7809</v>
      </c>
      <c r="F5" s="36">
        <v>3</v>
      </c>
      <c r="G5" t="s" s="35">
        <v>210</v>
      </c>
      <c r="H5" t="s" s="120">
        <v>7810</v>
      </c>
      <c r="I5" t="s" s="35">
        <v>1055</v>
      </c>
      <c r="J5" t="s" s="35">
        <v>383</v>
      </c>
      <c r="K5" t="s" s="35">
        <v>1066</v>
      </c>
      <c r="L5" t="s" s="35">
        <v>282</v>
      </c>
      <c r="M5" t="str" s="39" cm="1">
        <f t="array" ref="M5">IF(J5="FUERA","Fuera del marco",_xlfn.IFERROR(INDEX('Datos - Catálogo TIMSS'!$C$5:$C$107,MATCH(J5,'Datos - Catálogo TIMSS'!$A$5:$A$107,0)),"?"))</f>
        <v>Biología</v>
      </c>
      <c r="N5" t="s" s="35">
        <v>7811</v>
      </c>
    </row>
    <row r="6" ht="13.65" customHeight="1">
      <c r="A6" t="s" s="35">
        <v>7812</v>
      </c>
      <c r="B6" t="s" s="35">
        <v>1509</v>
      </c>
      <c r="C6" t="s" s="35">
        <v>7808</v>
      </c>
      <c r="D6" s="36">
        <v>14</v>
      </c>
      <c r="E6" t="s" s="35">
        <v>7809</v>
      </c>
      <c r="F6" s="36">
        <v>3</v>
      </c>
      <c r="G6" t="s" s="35">
        <v>210</v>
      </c>
      <c r="H6" t="s" s="120">
        <v>7813</v>
      </c>
      <c r="I6" t="s" s="35">
        <v>1055</v>
      </c>
      <c r="J6" t="s" s="35">
        <v>346</v>
      </c>
      <c r="K6" t="s" s="35">
        <v>1086</v>
      </c>
      <c r="L6" t="s" s="35">
        <v>282</v>
      </c>
      <c r="M6" t="str" s="39" cm="1">
        <f t="array" ref="M6">IF(J6="FUERA","Fuera del marco",_xlfn.IFERROR(INDEX('Datos - Catálogo TIMSS'!$C$5:$C$107,MATCH(J6,'Datos - Catálogo TIMSS'!$A$5:$A$107,0)),"?"))</f>
        <v>Biología</v>
      </c>
      <c r="N6" t="s" s="35">
        <v>7814</v>
      </c>
    </row>
    <row r="7" ht="13.65" customHeight="1">
      <c r="A7" t="s" s="35">
        <v>7815</v>
      </c>
      <c r="B7" t="s" s="35">
        <v>1509</v>
      </c>
      <c r="C7" t="s" s="35">
        <v>7808</v>
      </c>
      <c r="D7" s="36">
        <v>14</v>
      </c>
      <c r="E7" t="s" s="35">
        <v>7809</v>
      </c>
      <c r="F7" s="36">
        <v>3</v>
      </c>
      <c r="G7" t="s" s="35">
        <v>210</v>
      </c>
      <c r="H7" t="s" s="120">
        <v>7816</v>
      </c>
      <c r="I7" t="s" s="35">
        <v>1055</v>
      </c>
      <c r="J7" t="s" s="35">
        <v>1066</v>
      </c>
      <c r="K7" t="s" s="35">
        <v>1086</v>
      </c>
      <c r="L7" t="s" s="35">
        <v>254</v>
      </c>
      <c r="M7" t="str" s="39" cm="1">
        <f t="array" ref="M7">IF(J7="FUERA","Fuera del marco",_xlfn.IFERROR(INDEX('Datos - Catálogo TIMSS'!$C$5:$C$107,MATCH(J7,'Datos - Catálogo TIMSS'!$A$5:$A$107,0)),"?"))</f>
        <v>Biología</v>
      </c>
      <c r="N7" t="s" s="35">
        <v>7817</v>
      </c>
    </row>
    <row r="8" ht="13.65" customHeight="1">
      <c r="A8" t="s" s="35">
        <v>7818</v>
      </c>
      <c r="B8" t="s" s="35">
        <v>1509</v>
      </c>
      <c r="C8" t="s" s="35">
        <v>7808</v>
      </c>
      <c r="D8" s="36">
        <v>14</v>
      </c>
      <c r="E8" t="s" s="35">
        <v>7809</v>
      </c>
      <c r="F8" s="36">
        <v>3</v>
      </c>
      <c r="G8" t="s" s="35">
        <v>210</v>
      </c>
      <c r="H8" t="s" s="120">
        <v>7819</v>
      </c>
      <c r="I8" t="s" s="35">
        <v>1055</v>
      </c>
      <c r="J8" t="s" s="35">
        <v>416</v>
      </c>
      <c r="K8" t="s" s="35">
        <v>1079</v>
      </c>
      <c r="L8" t="s" s="35">
        <v>254</v>
      </c>
      <c r="M8" t="str" s="39" cm="1">
        <f t="array" ref="M8">IF(J8="FUERA","Fuera del marco",_xlfn.IFERROR(INDEX('Datos - Catálogo TIMSS'!$C$5:$C$107,MATCH(J8,'Datos - Catálogo TIMSS'!$A$5:$A$107,0)),"?"))</f>
        <v>Biología</v>
      </c>
      <c r="N8" t="s" s="35">
        <v>7820</v>
      </c>
    </row>
    <row r="9" ht="13.65" customHeight="1">
      <c r="A9" t="s" s="35">
        <v>7821</v>
      </c>
      <c r="B9" t="s" s="35">
        <v>1509</v>
      </c>
      <c r="C9" t="s" s="35">
        <v>7808</v>
      </c>
      <c r="D9" s="36">
        <v>14</v>
      </c>
      <c r="E9" t="s" s="35">
        <v>7809</v>
      </c>
      <c r="F9" s="36">
        <v>3</v>
      </c>
      <c r="G9" t="s" s="35">
        <v>210</v>
      </c>
      <c r="H9" t="s" s="120">
        <v>7822</v>
      </c>
      <c r="I9" t="s" s="35">
        <v>1055</v>
      </c>
      <c r="J9" t="s" s="35">
        <v>1079</v>
      </c>
      <c r="K9" t="s" s="35">
        <v>416</v>
      </c>
      <c r="L9" t="s" s="35">
        <v>254</v>
      </c>
      <c r="M9" t="str" s="39" cm="1">
        <f t="array" ref="M9">IF(J9="FUERA","Fuera del marco",_xlfn.IFERROR(INDEX('Datos - Catálogo TIMSS'!$C$5:$C$107,MATCH(J9,'Datos - Catálogo TIMSS'!$A$5:$A$107,0)),"?"))</f>
        <v>Biología</v>
      </c>
      <c r="N9" t="s" s="35">
        <v>7823</v>
      </c>
    </row>
    <row r="10" ht="13.65" customHeight="1">
      <c r="A10" t="s" s="35">
        <v>7824</v>
      </c>
      <c r="B10" t="s" s="35">
        <v>1509</v>
      </c>
      <c r="C10" t="s" s="35">
        <v>7808</v>
      </c>
      <c r="D10" s="36">
        <v>14</v>
      </c>
      <c r="E10" t="s" s="35">
        <v>7809</v>
      </c>
      <c r="F10" s="36">
        <v>3</v>
      </c>
      <c r="G10" t="s" s="35">
        <v>210</v>
      </c>
      <c r="H10" t="s" s="120">
        <v>7825</v>
      </c>
      <c r="I10" t="s" s="35">
        <v>1055</v>
      </c>
      <c r="J10" t="s" s="35">
        <v>1090</v>
      </c>
      <c r="K10" t="s" s="35">
        <v>346</v>
      </c>
      <c r="L10" t="s" s="35">
        <v>282</v>
      </c>
      <c r="M10" t="str" s="39" cm="1">
        <f t="array" ref="M10">IF(J10="FUERA","Fuera del marco",_xlfn.IFERROR(INDEX('Datos - Catálogo TIMSS'!$C$5:$C$107,MATCH(J10,'Datos - Catálogo TIMSS'!$A$5:$A$107,0)),"?"))</f>
        <v>Biología</v>
      </c>
      <c r="N10" t="s" s="35">
        <v>7826</v>
      </c>
    </row>
    <row r="11" ht="13.65" customHeight="1">
      <c r="A11" t="s" s="35">
        <v>7827</v>
      </c>
      <c r="B11" t="s" s="35">
        <v>1509</v>
      </c>
      <c r="C11" t="s" s="35">
        <v>7808</v>
      </c>
      <c r="D11" s="36">
        <v>14</v>
      </c>
      <c r="E11" t="s" s="35">
        <v>7809</v>
      </c>
      <c r="F11" s="36">
        <v>3</v>
      </c>
      <c r="G11" t="s" s="35">
        <v>210</v>
      </c>
      <c r="H11" t="s" s="120">
        <v>7828</v>
      </c>
      <c r="I11" t="s" s="35">
        <v>1055</v>
      </c>
      <c r="J11" t="s" s="35">
        <v>1074</v>
      </c>
      <c r="K11" t="s" s="35">
        <v>1099</v>
      </c>
      <c r="L11" t="s" s="35">
        <v>282</v>
      </c>
      <c r="M11" t="str" s="39" cm="1">
        <f t="array" ref="M11">IF(J11="FUERA","Fuera del marco",_xlfn.IFERROR(INDEX('Datos - Catálogo TIMSS'!$C$5:$C$107,MATCH(J11,'Datos - Catálogo TIMSS'!$A$5:$A$107,0)),"?"))</f>
        <v>Biología</v>
      </c>
      <c r="N11" t="s" s="35">
        <v>7829</v>
      </c>
    </row>
    <row r="12" ht="13.65" customHeight="1">
      <c r="A12" t="s" s="35">
        <v>7830</v>
      </c>
      <c r="B12" t="s" s="35">
        <v>1509</v>
      </c>
      <c r="C12" t="s" s="35">
        <v>7808</v>
      </c>
      <c r="D12" s="36">
        <v>14</v>
      </c>
      <c r="E12" t="s" s="35">
        <v>7809</v>
      </c>
      <c r="F12" s="36">
        <v>3</v>
      </c>
      <c r="G12" t="s" s="35">
        <v>210</v>
      </c>
      <c r="H12" t="s" s="120">
        <v>7831</v>
      </c>
      <c r="I12" t="s" s="35">
        <v>1055</v>
      </c>
      <c r="J12" t="s" s="35">
        <v>1069</v>
      </c>
      <c r="K12" t="s" s="35">
        <v>383</v>
      </c>
      <c r="L12" t="s" s="35">
        <v>254</v>
      </c>
      <c r="M12" t="str" s="39" cm="1">
        <f t="array" ref="M12">IF(J12="FUERA","Fuera del marco",_xlfn.IFERROR(INDEX('Datos - Catálogo TIMSS'!$C$5:$C$107,MATCH(J12,'Datos - Catálogo TIMSS'!$A$5:$A$107,0)),"?"))</f>
        <v>Biología</v>
      </c>
      <c r="N12" t="s" s="35">
        <v>7832</v>
      </c>
    </row>
    <row r="13" ht="13.65" customHeight="1">
      <c r="A13" t="s" s="35">
        <v>7833</v>
      </c>
      <c r="B13" t="s" s="35">
        <v>1509</v>
      </c>
      <c r="C13" t="s" s="35">
        <v>7834</v>
      </c>
      <c r="D13" s="36">
        <v>12</v>
      </c>
      <c r="E13" t="s" s="35">
        <v>7809</v>
      </c>
      <c r="F13" s="36">
        <v>3</v>
      </c>
      <c r="G13" t="s" s="35">
        <v>7835</v>
      </c>
      <c r="H13" t="s" s="120">
        <v>7836</v>
      </c>
      <c r="I13" t="s" s="35">
        <v>1055</v>
      </c>
      <c r="J13" t="s" s="35">
        <v>1106</v>
      </c>
      <c r="K13" s="39"/>
      <c r="L13" t="s" s="35">
        <v>254</v>
      </c>
      <c r="M13" t="str" s="39" cm="1">
        <f t="array" ref="M13">IF(J13="FUERA","Fuera del marco",_xlfn.IFERROR(INDEX('Datos - Catálogo TIMSS'!$C$5:$C$107,MATCH(J13,'Datos - Catálogo TIMSS'!$A$5:$A$107,0)),"?"))</f>
        <v>Ciencias físicas</v>
      </c>
      <c r="N13" t="s" s="35">
        <v>7837</v>
      </c>
    </row>
    <row r="14" ht="13.65" customHeight="1">
      <c r="A14" t="s" s="35">
        <v>7838</v>
      </c>
      <c r="B14" t="s" s="35">
        <v>1509</v>
      </c>
      <c r="C14" t="s" s="35">
        <v>7834</v>
      </c>
      <c r="D14" s="36">
        <v>12</v>
      </c>
      <c r="E14" t="s" s="35">
        <v>7809</v>
      </c>
      <c r="F14" s="36">
        <v>3</v>
      </c>
      <c r="G14" t="s" s="35">
        <v>7835</v>
      </c>
      <c r="H14" t="s" s="120">
        <v>7839</v>
      </c>
      <c r="I14" t="s" s="35">
        <v>1055</v>
      </c>
      <c r="J14" t="s" s="35">
        <v>1106</v>
      </c>
      <c r="K14" t="s" s="35">
        <v>1116</v>
      </c>
      <c r="L14" t="s" s="35">
        <v>282</v>
      </c>
      <c r="M14" t="str" s="39" cm="1">
        <f t="array" ref="M14">IF(J14="FUERA","Fuera del marco",_xlfn.IFERROR(INDEX('Datos - Catálogo TIMSS'!$C$5:$C$107,MATCH(J14,'Datos - Catálogo TIMSS'!$A$5:$A$107,0)),"?"))</f>
        <v>Ciencias físicas</v>
      </c>
      <c r="N14" t="s" s="35">
        <v>7840</v>
      </c>
    </row>
    <row r="15" ht="13.65" customHeight="1">
      <c r="A15" t="s" s="35">
        <v>7841</v>
      </c>
      <c r="B15" t="s" s="35">
        <v>1509</v>
      </c>
      <c r="C15" t="s" s="35">
        <v>7834</v>
      </c>
      <c r="D15" s="36">
        <v>12</v>
      </c>
      <c r="E15" t="s" s="35">
        <v>7809</v>
      </c>
      <c r="F15" s="36">
        <v>3</v>
      </c>
      <c r="G15" t="s" s="35">
        <v>7835</v>
      </c>
      <c r="H15" t="s" s="120">
        <v>7842</v>
      </c>
      <c r="I15" t="s" s="35">
        <v>1055</v>
      </c>
      <c r="J15" t="s" s="35">
        <v>1116</v>
      </c>
      <c r="K15" s="39"/>
      <c r="L15" t="s" s="35">
        <v>282</v>
      </c>
      <c r="M15" t="str" s="39" cm="1">
        <f t="array" ref="M15">IF(J15="FUERA","Fuera del marco",_xlfn.IFERROR(INDEX('Datos - Catálogo TIMSS'!$C$5:$C$107,MATCH(J15,'Datos - Catálogo TIMSS'!$A$5:$A$107,0)),"?"))</f>
        <v>Ciencias físicas</v>
      </c>
      <c r="N15" t="s" s="35">
        <v>7843</v>
      </c>
    </row>
    <row r="16" ht="13.65" customHeight="1">
      <c r="A16" t="s" s="35">
        <v>7844</v>
      </c>
      <c r="B16" t="s" s="35">
        <v>1509</v>
      </c>
      <c r="C16" t="s" s="35">
        <v>7834</v>
      </c>
      <c r="D16" s="36">
        <v>12</v>
      </c>
      <c r="E16" t="s" s="35">
        <v>7809</v>
      </c>
      <c r="F16" s="36">
        <v>3</v>
      </c>
      <c r="G16" t="s" s="35">
        <v>7835</v>
      </c>
      <c r="H16" t="s" s="120">
        <v>7845</v>
      </c>
      <c r="I16" t="s" s="35">
        <v>1055</v>
      </c>
      <c r="J16" t="s" s="35">
        <v>313</v>
      </c>
      <c r="K16" s="39"/>
      <c r="L16" t="s" s="35">
        <v>254</v>
      </c>
      <c r="M16" t="str" s="39" cm="1">
        <f t="array" ref="M16">IF(J16="FUERA","Fuera del marco",_xlfn.IFERROR(INDEX('Datos - Catálogo TIMSS'!$C$5:$C$107,MATCH(J16,'Datos - Catálogo TIMSS'!$A$5:$A$107,0)),"?"))</f>
        <v>Ciencias físicas</v>
      </c>
      <c r="N16" t="s" s="35">
        <v>7846</v>
      </c>
    </row>
    <row r="17" ht="13.65" customHeight="1">
      <c r="A17" t="s" s="35">
        <v>7847</v>
      </c>
      <c r="B17" t="s" s="35">
        <v>1509</v>
      </c>
      <c r="C17" t="s" s="35">
        <v>7834</v>
      </c>
      <c r="D17" s="36">
        <v>12</v>
      </c>
      <c r="E17" t="s" s="35">
        <v>7809</v>
      </c>
      <c r="F17" s="36">
        <v>3</v>
      </c>
      <c r="G17" t="s" s="35">
        <v>7835</v>
      </c>
      <c r="H17" t="s" s="120">
        <v>7848</v>
      </c>
      <c r="I17" t="s" s="35">
        <v>1055</v>
      </c>
      <c r="J17" t="s" s="35">
        <v>1106</v>
      </c>
      <c r="K17" t="s" s="35">
        <v>313</v>
      </c>
      <c r="L17" t="s" s="35">
        <v>282</v>
      </c>
      <c r="M17" t="str" s="39" cm="1">
        <f t="array" ref="M17">IF(J17="FUERA","Fuera del marco",_xlfn.IFERROR(INDEX('Datos - Catálogo TIMSS'!$C$5:$C$107,MATCH(J17,'Datos - Catálogo TIMSS'!$A$5:$A$107,0)),"?"))</f>
        <v>Ciencias físicas</v>
      </c>
      <c r="N17" t="s" s="35">
        <v>7849</v>
      </c>
    </row>
    <row r="18" ht="13.65" customHeight="1">
      <c r="A18" t="s" s="35">
        <v>7850</v>
      </c>
      <c r="B18" t="s" s="35">
        <v>1509</v>
      </c>
      <c r="C18" t="s" s="35">
        <v>7834</v>
      </c>
      <c r="D18" s="36">
        <v>12</v>
      </c>
      <c r="E18" t="s" s="35">
        <v>7809</v>
      </c>
      <c r="F18" s="36">
        <v>3</v>
      </c>
      <c r="G18" t="s" s="35">
        <v>7835</v>
      </c>
      <c r="H18" t="s" s="120">
        <v>7851</v>
      </c>
      <c r="I18" t="s" s="35">
        <v>1055</v>
      </c>
      <c r="J18" t="s" s="35">
        <v>1116</v>
      </c>
      <c r="K18" t="s" s="35">
        <v>274</v>
      </c>
      <c r="L18" t="s" s="35">
        <v>291</v>
      </c>
      <c r="M18" t="str" s="39" cm="1">
        <f t="array" ref="M18">IF(J18="FUERA","Fuera del marco",_xlfn.IFERROR(INDEX('Datos - Catálogo TIMSS'!$C$5:$C$107,MATCH(J18,'Datos - Catálogo TIMSS'!$A$5:$A$107,0)),"?"))</f>
        <v>Ciencias físicas</v>
      </c>
      <c r="N18" t="s" s="35">
        <v>7852</v>
      </c>
    </row>
    <row r="19" ht="13.65" customHeight="1">
      <c r="A19" t="s" s="35">
        <v>7853</v>
      </c>
      <c r="B19" t="s" s="35">
        <v>1509</v>
      </c>
      <c r="C19" t="s" s="35">
        <v>7834</v>
      </c>
      <c r="D19" s="36">
        <v>12</v>
      </c>
      <c r="E19" t="s" s="35">
        <v>7809</v>
      </c>
      <c r="F19" s="36">
        <v>3</v>
      </c>
      <c r="G19" t="s" s="35">
        <v>7835</v>
      </c>
      <c r="H19" t="s" s="120">
        <v>7854</v>
      </c>
      <c r="I19" t="s" s="35">
        <v>1055</v>
      </c>
      <c r="J19" t="s" s="35">
        <v>317</v>
      </c>
      <c r="K19" s="39"/>
      <c r="L19" t="s" s="35">
        <v>254</v>
      </c>
      <c r="M19" t="str" s="39" cm="1">
        <f t="array" ref="M19">IF(J19="FUERA","Fuera del marco",_xlfn.IFERROR(INDEX('Datos - Catálogo TIMSS'!$C$5:$C$107,MATCH(J19,'Datos - Catálogo TIMSS'!$A$5:$A$107,0)),"?"))</f>
        <v>Ciencias físicas</v>
      </c>
      <c r="N19" t="s" s="35">
        <v>7855</v>
      </c>
    </row>
    <row r="20" ht="13.65" customHeight="1">
      <c r="A20" t="s" s="35">
        <v>7856</v>
      </c>
      <c r="B20" t="s" s="35">
        <v>1509</v>
      </c>
      <c r="C20" t="s" s="35">
        <v>7834</v>
      </c>
      <c r="D20" s="36">
        <v>12</v>
      </c>
      <c r="E20" t="s" s="35">
        <v>7809</v>
      </c>
      <c r="F20" s="36">
        <v>3</v>
      </c>
      <c r="G20" t="s" s="35">
        <v>7835</v>
      </c>
      <c r="H20" t="s" s="120">
        <v>7857</v>
      </c>
      <c r="I20" t="s" s="35">
        <v>1055</v>
      </c>
      <c r="J20" t="s" s="35">
        <v>332</v>
      </c>
      <c r="K20" s="39"/>
      <c r="L20" t="s" s="35">
        <v>254</v>
      </c>
      <c r="M20" t="str" s="39" cm="1">
        <f t="array" ref="M20">IF(J20="FUERA","Fuera del marco",_xlfn.IFERROR(INDEX('Datos - Catálogo TIMSS'!$C$5:$C$107,MATCH(J20,'Datos - Catálogo TIMSS'!$A$5:$A$107,0)),"?"))</f>
        <v>Ciencias físicas</v>
      </c>
      <c r="N20" t="s" s="35">
        <v>7858</v>
      </c>
    </row>
    <row r="21" ht="13.65" customHeight="1">
      <c r="A21" t="s" s="35">
        <v>7859</v>
      </c>
      <c r="B21" t="s" s="35">
        <v>1509</v>
      </c>
      <c r="C21" t="s" s="35">
        <v>7834</v>
      </c>
      <c r="D21" s="36">
        <v>12</v>
      </c>
      <c r="E21" t="s" s="35">
        <v>7809</v>
      </c>
      <c r="F21" s="36">
        <v>3</v>
      </c>
      <c r="G21" t="s" s="35">
        <v>7860</v>
      </c>
      <c r="H21" t="s" s="120">
        <v>7861</v>
      </c>
      <c r="I21" t="s" s="35">
        <v>1055</v>
      </c>
      <c r="J21" t="s" s="35">
        <v>1136</v>
      </c>
      <c r="K21" s="39"/>
      <c r="L21" t="s" s="35">
        <v>282</v>
      </c>
      <c r="M21" t="str" s="39" cm="1">
        <f t="array" ref="M21">IF(J21="FUERA","Fuera del marco",_xlfn.IFERROR(INDEX('Datos - Catálogo TIMSS'!$C$5:$C$107,MATCH(J21,'Datos - Catálogo TIMSS'!$A$5:$A$107,0)),"?"))</f>
        <v>Ciencias físicas</v>
      </c>
      <c r="N21" t="s" s="35">
        <v>7862</v>
      </c>
    </row>
    <row r="22" ht="13.65" customHeight="1">
      <c r="A22" t="s" s="35">
        <v>7863</v>
      </c>
      <c r="B22" t="s" s="35">
        <v>1509</v>
      </c>
      <c r="C22" t="s" s="35">
        <v>7864</v>
      </c>
      <c r="D22" s="36">
        <v>12</v>
      </c>
      <c r="E22" t="s" s="35">
        <v>7809</v>
      </c>
      <c r="F22" s="36">
        <v>3</v>
      </c>
      <c r="G22" t="s" s="35">
        <v>7865</v>
      </c>
      <c r="H22" t="s" s="120">
        <v>7866</v>
      </c>
      <c r="I22" t="s" s="35">
        <v>1055</v>
      </c>
      <c r="J22" t="s" s="35">
        <v>1156</v>
      </c>
      <c r="K22" t="s" s="35">
        <v>274</v>
      </c>
      <c r="L22" t="s" s="35">
        <v>254</v>
      </c>
      <c r="M22" t="str" s="39" cm="1">
        <f t="array" ref="M22">IF(J22="FUERA","Fuera del marco",_xlfn.IFERROR(INDEX('Datos - Catálogo TIMSS'!$C$5:$C$107,MATCH(J22,'Datos - Catálogo TIMSS'!$A$5:$A$107,0)),"?"))</f>
        <v>Ciencias de la Tierra</v>
      </c>
      <c r="N22" t="s" s="35">
        <v>7867</v>
      </c>
    </row>
    <row r="23" ht="13.65" customHeight="1">
      <c r="A23" t="s" s="35">
        <v>7868</v>
      </c>
      <c r="B23" t="s" s="35">
        <v>1509</v>
      </c>
      <c r="C23" t="s" s="35">
        <v>7864</v>
      </c>
      <c r="D23" s="36">
        <v>12</v>
      </c>
      <c r="E23" t="s" s="35">
        <v>7809</v>
      </c>
      <c r="F23" s="36">
        <v>3</v>
      </c>
      <c r="G23" t="s" s="35">
        <v>7865</v>
      </c>
      <c r="H23" t="s" s="120">
        <v>7869</v>
      </c>
      <c r="I23" t="s" s="35">
        <v>1055</v>
      </c>
      <c r="J23" t="s" s="35">
        <v>288</v>
      </c>
      <c r="K23" t="s" s="35">
        <v>313</v>
      </c>
      <c r="L23" t="s" s="35">
        <v>282</v>
      </c>
      <c r="M23" t="str" s="39" cm="1">
        <f t="array" ref="M23">IF(J23="FUERA","Fuera del marco",_xlfn.IFERROR(INDEX('Datos - Catálogo TIMSS'!$C$5:$C$107,MATCH(J23,'Datos - Catálogo TIMSS'!$A$5:$A$107,0)),"?"))</f>
        <v>Ciencias de la Tierra</v>
      </c>
      <c r="N23" t="s" s="35">
        <v>7870</v>
      </c>
    </row>
    <row r="24" ht="13.65" customHeight="1">
      <c r="A24" t="s" s="35">
        <v>7871</v>
      </c>
      <c r="B24" t="s" s="35">
        <v>1509</v>
      </c>
      <c r="C24" t="s" s="35">
        <v>7864</v>
      </c>
      <c r="D24" s="36">
        <v>12</v>
      </c>
      <c r="E24" t="s" s="35">
        <v>7809</v>
      </c>
      <c r="F24" s="36">
        <v>3</v>
      </c>
      <c r="G24" t="s" s="35">
        <v>7865</v>
      </c>
      <c r="H24" t="s" s="120">
        <v>7872</v>
      </c>
      <c r="I24" t="s" s="35">
        <v>1055</v>
      </c>
      <c r="J24" t="s" s="35">
        <v>266</v>
      </c>
      <c r="K24" t="s" s="35">
        <v>1148</v>
      </c>
      <c r="L24" t="s" s="35">
        <v>282</v>
      </c>
      <c r="M24" t="str" s="39" cm="1">
        <f t="array" ref="M24">IF(J24="FUERA","Fuera del marco",_xlfn.IFERROR(INDEX('Datos - Catálogo TIMSS'!$C$5:$C$107,MATCH(J24,'Datos - Catálogo TIMSS'!$A$5:$A$107,0)),"?"))</f>
        <v>Ciencias de la Tierra</v>
      </c>
      <c r="N24" t="s" s="35">
        <v>7873</v>
      </c>
    </row>
    <row r="25" ht="13.65" customHeight="1">
      <c r="A25" t="s" s="35">
        <v>7874</v>
      </c>
      <c r="B25" t="s" s="35">
        <v>1509</v>
      </c>
      <c r="C25" t="s" s="35">
        <v>7808</v>
      </c>
      <c r="D25" s="36">
        <v>15</v>
      </c>
      <c r="E25" t="s" s="35">
        <v>7875</v>
      </c>
      <c r="F25" s="36">
        <v>4</v>
      </c>
      <c r="G25" t="s" s="35">
        <v>210</v>
      </c>
      <c r="H25" t="s" s="120">
        <v>7876</v>
      </c>
      <c r="I25" t="s" s="35">
        <v>1055</v>
      </c>
      <c r="J25" t="s" s="35">
        <v>383</v>
      </c>
      <c r="K25" t="s" s="35">
        <v>1093</v>
      </c>
      <c r="L25" t="s" s="35">
        <v>254</v>
      </c>
      <c r="M25" t="str" s="39" cm="1">
        <f t="array" ref="M25">IF(J25="FUERA","Fuera del marco",_xlfn.IFERROR(INDEX('Datos - Catálogo TIMSS'!$C$5:$C$107,MATCH(J25,'Datos - Catálogo TIMSS'!$A$5:$A$107,0)),"?"))</f>
        <v>Biología</v>
      </c>
      <c r="N25" t="s" s="35">
        <v>7877</v>
      </c>
    </row>
    <row r="26" ht="13.65" customHeight="1">
      <c r="A26" t="s" s="35">
        <v>7878</v>
      </c>
      <c r="B26" t="s" s="35">
        <v>1509</v>
      </c>
      <c r="C26" t="s" s="35">
        <v>7808</v>
      </c>
      <c r="D26" s="36">
        <v>15</v>
      </c>
      <c r="E26" t="s" s="35">
        <v>7875</v>
      </c>
      <c r="F26" s="36">
        <v>4</v>
      </c>
      <c r="G26" t="s" s="35">
        <v>210</v>
      </c>
      <c r="H26" t="s" s="120">
        <v>7879</v>
      </c>
      <c r="I26" t="s" s="35">
        <v>1055</v>
      </c>
      <c r="J26" t="s" s="35">
        <v>1093</v>
      </c>
      <c r="K26" t="s" s="35">
        <v>346</v>
      </c>
      <c r="L26" t="s" s="35">
        <v>282</v>
      </c>
      <c r="M26" t="str" s="39" cm="1">
        <f t="array" ref="M26">IF(J26="FUERA","Fuera del marco",_xlfn.IFERROR(INDEX('Datos - Catálogo TIMSS'!$C$5:$C$107,MATCH(J26,'Datos - Catálogo TIMSS'!$A$5:$A$107,0)),"?"))</f>
        <v>Biología</v>
      </c>
      <c r="N26" t="s" s="35">
        <v>7880</v>
      </c>
    </row>
    <row r="27" ht="13.65" customHeight="1">
      <c r="A27" t="s" s="35">
        <v>7881</v>
      </c>
      <c r="B27" t="s" s="35">
        <v>1509</v>
      </c>
      <c r="C27" t="s" s="35">
        <v>7808</v>
      </c>
      <c r="D27" s="36">
        <v>15</v>
      </c>
      <c r="E27" t="s" s="35">
        <v>7875</v>
      </c>
      <c r="F27" s="36">
        <v>4</v>
      </c>
      <c r="G27" t="s" s="35">
        <v>210</v>
      </c>
      <c r="H27" t="s" s="120">
        <v>7882</v>
      </c>
      <c r="I27" t="s" s="35">
        <v>1055</v>
      </c>
      <c r="J27" t="s" s="35">
        <v>383</v>
      </c>
      <c r="K27" s="39"/>
      <c r="L27" t="s" s="35">
        <v>291</v>
      </c>
      <c r="M27" t="str" s="39" cm="1">
        <f t="array" ref="M27">IF(J27="FUERA","Fuera del marco",_xlfn.IFERROR(INDEX('Datos - Catálogo TIMSS'!$C$5:$C$107,MATCH(J27,'Datos - Catálogo TIMSS'!$A$5:$A$107,0)),"?"))</f>
        <v>Biología</v>
      </c>
      <c r="N27" t="s" s="35">
        <v>7883</v>
      </c>
    </row>
    <row r="28" ht="13.65" customHeight="1">
      <c r="A28" t="s" s="35">
        <v>7884</v>
      </c>
      <c r="B28" t="s" s="35">
        <v>1509</v>
      </c>
      <c r="C28" t="s" s="35">
        <v>7808</v>
      </c>
      <c r="D28" s="36">
        <v>15</v>
      </c>
      <c r="E28" t="s" s="35">
        <v>7875</v>
      </c>
      <c r="F28" s="36">
        <v>4</v>
      </c>
      <c r="G28" t="s" s="35">
        <v>210</v>
      </c>
      <c r="H28" t="s" s="120">
        <v>7885</v>
      </c>
      <c r="I28" t="s" s="35">
        <v>1055</v>
      </c>
      <c r="J28" t="s" s="35">
        <v>1090</v>
      </c>
      <c r="K28" t="s" s="35">
        <v>1148</v>
      </c>
      <c r="L28" t="s" s="35">
        <v>291</v>
      </c>
      <c r="M28" t="str" s="39" cm="1">
        <f t="array" ref="M28">IF(J28="FUERA","Fuera del marco",_xlfn.IFERROR(INDEX('Datos - Catálogo TIMSS'!$C$5:$C$107,MATCH(J28,'Datos - Catálogo TIMSS'!$A$5:$A$107,0)),"?"))</f>
        <v>Biología</v>
      </c>
      <c r="N28" t="s" s="35">
        <v>7886</v>
      </c>
    </row>
    <row r="29" ht="13.65" customHeight="1">
      <c r="A29" t="s" s="35">
        <v>7887</v>
      </c>
      <c r="B29" t="s" s="35">
        <v>1509</v>
      </c>
      <c r="C29" t="s" s="35">
        <v>7808</v>
      </c>
      <c r="D29" s="36">
        <v>15</v>
      </c>
      <c r="E29" t="s" s="35">
        <v>7875</v>
      </c>
      <c r="F29" s="36">
        <v>4</v>
      </c>
      <c r="G29" t="s" s="35">
        <v>210</v>
      </c>
      <c r="H29" t="s" s="120">
        <v>7888</v>
      </c>
      <c r="I29" t="s" s="35">
        <v>1055</v>
      </c>
      <c r="J29" t="s" s="35">
        <v>1074</v>
      </c>
      <c r="K29" s="39"/>
      <c r="L29" t="s" s="35">
        <v>282</v>
      </c>
      <c r="M29" t="str" s="39" cm="1">
        <f t="array" ref="M29">IF(J29="FUERA","Fuera del marco",_xlfn.IFERROR(INDEX('Datos - Catálogo TIMSS'!$C$5:$C$107,MATCH(J29,'Datos - Catálogo TIMSS'!$A$5:$A$107,0)),"?"))</f>
        <v>Biología</v>
      </c>
      <c r="N29" t="s" s="35">
        <v>7889</v>
      </c>
    </row>
    <row r="30" ht="13.65" customHeight="1">
      <c r="A30" t="s" s="35">
        <v>7890</v>
      </c>
      <c r="B30" t="s" s="35">
        <v>1509</v>
      </c>
      <c r="C30" t="s" s="35">
        <v>7808</v>
      </c>
      <c r="D30" s="36">
        <v>15</v>
      </c>
      <c r="E30" t="s" s="35">
        <v>7875</v>
      </c>
      <c r="F30" s="36">
        <v>4</v>
      </c>
      <c r="G30" t="s" s="35">
        <v>210</v>
      </c>
      <c r="H30" t="s" s="120">
        <v>7891</v>
      </c>
      <c r="I30" t="s" s="35">
        <v>1055</v>
      </c>
      <c r="J30" t="s" s="35">
        <v>1069</v>
      </c>
      <c r="K30" t="s" s="35">
        <v>1074</v>
      </c>
      <c r="L30" t="s" s="35">
        <v>282</v>
      </c>
      <c r="M30" t="str" s="39" cm="1">
        <f t="array" ref="M30">IF(J30="FUERA","Fuera del marco",_xlfn.IFERROR(INDEX('Datos - Catálogo TIMSS'!$C$5:$C$107,MATCH(J30,'Datos - Catálogo TIMSS'!$A$5:$A$107,0)),"?"))</f>
        <v>Biología</v>
      </c>
      <c r="N30" t="s" s="35">
        <v>7892</v>
      </c>
    </row>
    <row r="31" ht="13.65" customHeight="1">
      <c r="A31" t="s" s="35">
        <v>7893</v>
      </c>
      <c r="B31" t="s" s="35">
        <v>1509</v>
      </c>
      <c r="C31" t="s" s="35">
        <v>7808</v>
      </c>
      <c r="D31" s="36">
        <v>15</v>
      </c>
      <c r="E31" t="s" s="35">
        <v>7875</v>
      </c>
      <c r="F31" s="36">
        <v>4</v>
      </c>
      <c r="G31" t="s" s="35">
        <v>210</v>
      </c>
      <c r="H31" t="s" s="120">
        <v>7894</v>
      </c>
      <c r="I31" t="s" s="35">
        <v>1055</v>
      </c>
      <c r="J31" t="s" s="35">
        <v>1066</v>
      </c>
      <c r="K31" t="s" s="35">
        <v>346</v>
      </c>
      <c r="L31" t="s" s="35">
        <v>282</v>
      </c>
      <c r="M31" t="str" s="39" cm="1">
        <f t="array" ref="M31">IF(J31="FUERA","Fuera del marco",_xlfn.IFERROR(INDEX('Datos - Catálogo TIMSS'!$C$5:$C$107,MATCH(J31,'Datos - Catálogo TIMSS'!$A$5:$A$107,0)),"?"))</f>
        <v>Biología</v>
      </c>
      <c r="N31" t="s" s="35">
        <v>7895</v>
      </c>
    </row>
    <row r="32" ht="13.65" customHeight="1">
      <c r="A32" t="s" s="35">
        <v>7896</v>
      </c>
      <c r="B32" t="s" s="35">
        <v>1509</v>
      </c>
      <c r="C32" t="s" s="35">
        <v>7834</v>
      </c>
      <c r="D32" s="36">
        <v>13</v>
      </c>
      <c r="E32" t="s" s="35">
        <v>7875</v>
      </c>
      <c r="F32" s="36">
        <v>4</v>
      </c>
      <c r="G32" t="s" s="35">
        <v>7835</v>
      </c>
      <c r="H32" t="s" s="120">
        <v>7897</v>
      </c>
      <c r="I32" t="s" s="35">
        <v>1055</v>
      </c>
      <c r="J32" t="s" s="35">
        <v>313</v>
      </c>
      <c r="K32" t="s" s="35">
        <v>288</v>
      </c>
      <c r="L32" t="s" s="35">
        <v>282</v>
      </c>
      <c r="M32" t="str" s="39" cm="1">
        <f t="array" ref="M32">IF(J32="FUERA","Fuera del marco",_xlfn.IFERROR(INDEX('Datos - Catálogo TIMSS'!$C$5:$C$107,MATCH(J32,'Datos - Catálogo TIMSS'!$A$5:$A$107,0)),"?"))</f>
        <v>Ciencias físicas</v>
      </c>
      <c r="N32" t="s" s="35">
        <v>7898</v>
      </c>
    </row>
    <row r="33" ht="13.65" customHeight="1">
      <c r="A33" t="s" s="35">
        <v>7899</v>
      </c>
      <c r="B33" t="s" s="35">
        <v>1509</v>
      </c>
      <c r="C33" t="s" s="35">
        <v>7834</v>
      </c>
      <c r="D33" s="36">
        <v>13</v>
      </c>
      <c r="E33" t="s" s="35">
        <v>7875</v>
      </c>
      <c r="F33" s="36">
        <v>4</v>
      </c>
      <c r="G33" t="s" s="35">
        <v>7835</v>
      </c>
      <c r="H33" t="s" s="120">
        <v>7900</v>
      </c>
      <c r="I33" t="s" s="35">
        <v>1055</v>
      </c>
      <c r="J33" t="s" s="35">
        <v>313</v>
      </c>
      <c r="K33" t="s" s="35">
        <v>1106</v>
      </c>
      <c r="L33" t="s" s="35">
        <v>282</v>
      </c>
      <c r="M33" t="str" s="39" cm="1">
        <f t="array" ref="M33">IF(J33="FUERA","Fuera del marco",_xlfn.IFERROR(INDEX('Datos - Catálogo TIMSS'!$C$5:$C$107,MATCH(J33,'Datos - Catálogo TIMSS'!$A$5:$A$107,0)),"?"))</f>
        <v>Ciencias físicas</v>
      </c>
      <c r="N33" t="s" s="35">
        <v>7901</v>
      </c>
    </row>
    <row r="34" ht="13.65" customHeight="1">
      <c r="A34" t="s" s="35">
        <v>7902</v>
      </c>
      <c r="B34" t="s" s="35">
        <v>1509</v>
      </c>
      <c r="C34" t="s" s="35">
        <v>7834</v>
      </c>
      <c r="D34" s="36">
        <v>13</v>
      </c>
      <c r="E34" t="s" s="35">
        <v>7875</v>
      </c>
      <c r="F34" s="36">
        <v>4</v>
      </c>
      <c r="G34" t="s" s="35">
        <v>7835</v>
      </c>
      <c r="H34" t="s" s="120">
        <v>7903</v>
      </c>
      <c r="I34" t="s" s="35">
        <v>1055</v>
      </c>
      <c r="J34" t="s" s="35">
        <v>1116</v>
      </c>
      <c r="K34" s="39"/>
      <c r="L34" t="s" s="35">
        <v>254</v>
      </c>
      <c r="M34" t="str" s="39" cm="1">
        <f t="array" ref="M34">IF(J34="FUERA","Fuera del marco",_xlfn.IFERROR(INDEX('Datos - Catálogo TIMSS'!$C$5:$C$107,MATCH(J34,'Datos - Catálogo TIMSS'!$A$5:$A$107,0)),"?"))</f>
        <v>Ciencias físicas</v>
      </c>
      <c r="N34" t="s" s="35">
        <v>7904</v>
      </c>
    </row>
    <row r="35" ht="13.65" customHeight="1">
      <c r="A35" t="s" s="35">
        <v>7905</v>
      </c>
      <c r="B35" t="s" s="35">
        <v>1509</v>
      </c>
      <c r="C35" t="s" s="35">
        <v>7834</v>
      </c>
      <c r="D35" s="36">
        <v>13</v>
      </c>
      <c r="E35" t="s" s="35">
        <v>7875</v>
      </c>
      <c r="F35" s="36">
        <v>4</v>
      </c>
      <c r="G35" t="s" s="35">
        <v>7835</v>
      </c>
      <c r="H35" t="s" s="120">
        <v>7906</v>
      </c>
      <c r="I35" t="s" s="35">
        <v>1055</v>
      </c>
      <c r="J35" t="s" s="35">
        <v>317</v>
      </c>
      <c r="K35" s="39"/>
      <c r="L35" t="s" s="35">
        <v>254</v>
      </c>
      <c r="M35" t="str" s="39" cm="1">
        <f t="array" ref="M35">IF(J35="FUERA","Fuera del marco",_xlfn.IFERROR(INDEX('Datos - Catálogo TIMSS'!$C$5:$C$107,MATCH(J35,'Datos - Catálogo TIMSS'!$A$5:$A$107,0)),"?"))</f>
        <v>Ciencias físicas</v>
      </c>
      <c r="N35" t="s" s="35">
        <v>7907</v>
      </c>
    </row>
    <row r="36" ht="13.65" customHeight="1">
      <c r="A36" t="s" s="35">
        <v>7908</v>
      </c>
      <c r="B36" t="s" s="35">
        <v>1509</v>
      </c>
      <c r="C36" t="s" s="35">
        <v>7834</v>
      </c>
      <c r="D36" s="36">
        <v>13</v>
      </c>
      <c r="E36" t="s" s="35">
        <v>7875</v>
      </c>
      <c r="F36" s="36">
        <v>4</v>
      </c>
      <c r="G36" t="s" s="35">
        <v>7835</v>
      </c>
      <c r="H36" t="s" s="120">
        <v>7909</v>
      </c>
      <c r="I36" t="s" s="35">
        <v>1055</v>
      </c>
      <c r="J36" t="s" s="35">
        <v>317</v>
      </c>
      <c r="K36" s="39"/>
      <c r="L36" t="s" s="35">
        <v>282</v>
      </c>
      <c r="M36" t="str" s="39" cm="1">
        <f t="array" ref="M36">IF(J36="FUERA","Fuera del marco",_xlfn.IFERROR(INDEX('Datos - Catálogo TIMSS'!$C$5:$C$107,MATCH(J36,'Datos - Catálogo TIMSS'!$A$5:$A$107,0)),"?"))</f>
        <v>Ciencias físicas</v>
      </c>
      <c r="N36" t="s" s="35">
        <v>7910</v>
      </c>
    </row>
    <row r="37" ht="13.65" customHeight="1">
      <c r="A37" t="s" s="35">
        <v>7911</v>
      </c>
      <c r="B37" t="s" s="35">
        <v>1509</v>
      </c>
      <c r="C37" t="s" s="35">
        <v>7834</v>
      </c>
      <c r="D37" s="36">
        <v>13</v>
      </c>
      <c r="E37" t="s" s="35">
        <v>7875</v>
      </c>
      <c r="F37" s="36">
        <v>4</v>
      </c>
      <c r="G37" t="s" s="35">
        <v>7835</v>
      </c>
      <c r="H37" t="s" s="120">
        <v>7912</v>
      </c>
      <c r="I37" t="s" s="35">
        <v>1055</v>
      </c>
      <c r="J37" t="s" s="35">
        <v>1106</v>
      </c>
      <c r="K37" t="s" s="35">
        <v>332</v>
      </c>
      <c r="L37" t="s" s="35">
        <v>282</v>
      </c>
      <c r="M37" t="str" s="39" cm="1">
        <f t="array" ref="M37">IF(J37="FUERA","Fuera del marco",_xlfn.IFERROR(INDEX('Datos - Catálogo TIMSS'!$C$5:$C$107,MATCH(J37,'Datos - Catálogo TIMSS'!$A$5:$A$107,0)),"?"))</f>
        <v>Ciencias físicas</v>
      </c>
      <c r="N37" t="s" s="35">
        <v>7913</v>
      </c>
    </row>
    <row r="38" ht="13.65" customHeight="1">
      <c r="A38" t="s" s="35">
        <v>7914</v>
      </c>
      <c r="B38" t="s" s="35">
        <v>1509</v>
      </c>
      <c r="C38" t="s" s="35">
        <v>7834</v>
      </c>
      <c r="D38" s="36">
        <v>13</v>
      </c>
      <c r="E38" t="s" s="35">
        <v>7875</v>
      </c>
      <c r="F38" s="36">
        <v>4</v>
      </c>
      <c r="G38" t="s" s="35">
        <v>7835</v>
      </c>
      <c r="H38" t="s" s="120">
        <v>7915</v>
      </c>
      <c r="I38" t="s" s="35">
        <v>1055</v>
      </c>
      <c r="J38" t="s" s="35">
        <v>332</v>
      </c>
      <c r="K38" t="s" s="35">
        <v>1136</v>
      </c>
      <c r="L38" t="s" s="35">
        <v>282</v>
      </c>
      <c r="M38" t="str" s="39" cm="1">
        <f t="array" ref="M38">IF(J38="FUERA","Fuera del marco",_xlfn.IFERROR(INDEX('Datos - Catálogo TIMSS'!$C$5:$C$107,MATCH(J38,'Datos - Catálogo TIMSS'!$A$5:$A$107,0)),"?"))</f>
        <v>Ciencias físicas</v>
      </c>
      <c r="N38" t="s" s="35">
        <v>7916</v>
      </c>
    </row>
    <row r="39" ht="13.65" customHeight="1">
      <c r="A39" t="s" s="35">
        <v>7917</v>
      </c>
      <c r="B39" t="s" s="35">
        <v>1509</v>
      </c>
      <c r="C39" t="s" s="35">
        <v>7834</v>
      </c>
      <c r="D39" s="36">
        <v>13</v>
      </c>
      <c r="E39" t="s" s="35">
        <v>7875</v>
      </c>
      <c r="F39" s="36">
        <v>4</v>
      </c>
      <c r="G39" t="s" s="35">
        <v>7835</v>
      </c>
      <c r="H39" t="s" s="120">
        <v>7918</v>
      </c>
      <c r="I39" t="s" s="35">
        <v>1055</v>
      </c>
      <c r="J39" t="s" s="35">
        <v>332</v>
      </c>
      <c r="K39" s="39"/>
      <c r="L39" t="s" s="35">
        <v>254</v>
      </c>
      <c r="M39" t="str" s="39" cm="1">
        <f t="array" ref="M39">IF(J39="FUERA","Fuera del marco",_xlfn.IFERROR(INDEX('Datos - Catálogo TIMSS'!$C$5:$C$107,MATCH(J39,'Datos - Catálogo TIMSS'!$A$5:$A$107,0)),"?"))</f>
        <v>Ciencias físicas</v>
      </c>
      <c r="N39" t="s" s="35">
        <v>7919</v>
      </c>
    </row>
    <row r="40" ht="13.65" customHeight="1">
      <c r="A40" t="s" s="35">
        <v>7920</v>
      </c>
      <c r="B40" t="s" s="35">
        <v>1509</v>
      </c>
      <c r="C40" t="s" s="35">
        <v>7834</v>
      </c>
      <c r="D40" s="36">
        <v>13</v>
      </c>
      <c r="E40" t="s" s="35">
        <v>7875</v>
      </c>
      <c r="F40" s="36">
        <v>4</v>
      </c>
      <c r="G40" t="s" s="35">
        <v>7835</v>
      </c>
      <c r="H40" t="s" s="120">
        <v>7921</v>
      </c>
      <c r="I40" t="s" s="35">
        <v>1055</v>
      </c>
      <c r="J40" t="s" s="35">
        <v>332</v>
      </c>
      <c r="K40" t="s" s="35">
        <v>1106</v>
      </c>
      <c r="L40" t="s" s="35">
        <v>282</v>
      </c>
      <c r="M40" t="str" s="39" cm="1">
        <f t="array" ref="M40">IF(J40="FUERA","Fuera del marco",_xlfn.IFERROR(INDEX('Datos - Catálogo TIMSS'!$C$5:$C$107,MATCH(J40,'Datos - Catálogo TIMSS'!$A$5:$A$107,0)),"?"))</f>
        <v>Ciencias físicas</v>
      </c>
      <c r="N40" t="s" s="35">
        <v>7922</v>
      </c>
    </row>
    <row r="41" ht="13.65" customHeight="1">
      <c r="A41" t="s" s="35">
        <v>7923</v>
      </c>
      <c r="B41" t="s" s="35">
        <v>1509</v>
      </c>
      <c r="C41" t="s" s="35">
        <v>7834</v>
      </c>
      <c r="D41" s="36">
        <v>13</v>
      </c>
      <c r="E41" t="s" s="35">
        <v>7875</v>
      </c>
      <c r="F41" s="36">
        <v>4</v>
      </c>
      <c r="G41" t="s" s="35">
        <v>7860</v>
      </c>
      <c r="H41" t="s" s="120">
        <v>7861</v>
      </c>
      <c r="I41" t="s" s="35">
        <v>1055</v>
      </c>
      <c r="J41" t="s" s="35">
        <v>1136</v>
      </c>
      <c r="K41" s="39"/>
      <c r="L41" t="s" s="35">
        <v>282</v>
      </c>
      <c r="M41" t="str" s="39" cm="1">
        <f t="array" ref="M41">IF(J41="FUERA","Fuera del marco",_xlfn.IFERROR(INDEX('Datos - Catálogo TIMSS'!$C$5:$C$107,MATCH(J41,'Datos - Catálogo TIMSS'!$A$5:$A$107,0)),"?"))</f>
        <v>Ciencias físicas</v>
      </c>
      <c r="N41" t="s" s="35">
        <v>7862</v>
      </c>
    </row>
    <row r="42" ht="13.65" customHeight="1">
      <c r="A42" t="s" s="35">
        <v>7924</v>
      </c>
      <c r="B42" t="s" s="35">
        <v>1509</v>
      </c>
      <c r="C42" t="s" s="35">
        <v>7864</v>
      </c>
      <c r="D42" s="36">
        <v>13</v>
      </c>
      <c r="E42" t="s" s="35">
        <v>7875</v>
      </c>
      <c r="F42" s="36">
        <v>4</v>
      </c>
      <c r="G42" t="s" s="35">
        <v>7865</v>
      </c>
      <c r="H42" t="s" s="120">
        <v>7925</v>
      </c>
      <c r="I42" t="s" s="35">
        <v>1055</v>
      </c>
      <c r="J42" t="s" s="35">
        <v>1152</v>
      </c>
      <c r="K42" s="39"/>
      <c r="L42" t="s" s="35">
        <v>254</v>
      </c>
      <c r="M42" t="str" s="39" cm="1">
        <f t="array" ref="M42">IF(J42="FUERA","Fuera del marco",_xlfn.IFERROR(INDEX('Datos - Catálogo TIMSS'!$C$5:$C$107,MATCH(J42,'Datos - Catálogo TIMSS'!$A$5:$A$107,0)),"?"))</f>
        <v>Ciencias de la Tierra</v>
      </c>
      <c r="N42" t="s" s="35">
        <v>7926</v>
      </c>
    </row>
    <row r="43" ht="13.65" customHeight="1">
      <c r="A43" t="s" s="35">
        <v>7927</v>
      </c>
      <c r="B43" t="s" s="35">
        <v>1509</v>
      </c>
      <c r="C43" t="s" s="35">
        <v>7864</v>
      </c>
      <c r="D43" s="36">
        <v>13</v>
      </c>
      <c r="E43" t="s" s="35">
        <v>7875</v>
      </c>
      <c r="F43" s="36">
        <v>4</v>
      </c>
      <c r="G43" t="s" s="35">
        <v>7865</v>
      </c>
      <c r="H43" t="s" s="120">
        <v>7928</v>
      </c>
      <c r="I43" t="s" s="35">
        <v>1055</v>
      </c>
      <c r="J43" t="s" s="35">
        <v>288</v>
      </c>
      <c r="K43" t="s" s="35">
        <v>1148</v>
      </c>
      <c r="L43" t="s" s="35">
        <v>282</v>
      </c>
      <c r="M43" t="str" s="39" cm="1">
        <f t="array" ref="M43">IF(J43="FUERA","Fuera del marco",_xlfn.IFERROR(INDEX('Datos - Catálogo TIMSS'!$C$5:$C$107,MATCH(J43,'Datos - Catálogo TIMSS'!$A$5:$A$107,0)),"?"))</f>
        <v>Ciencias de la Tierra</v>
      </c>
      <c r="N43" t="s" s="35">
        <v>7929</v>
      </c>
    </row>
    <row r="44" ht="13.65" customHeight="1">
      <c r="A44" t="s" s="35">
        <v>7930</v>
      </c>
      <c r="B44" t="s" s="35">
        <v>1509</v>
      </c>
      <c r="C44" t="s" s="35">
        <v>7864</v>
      </c>
      <c r="D44" s="36">
        <v>13</v>
      </c>
      <c r="E44" t="s" s="35">
        <v>7875</v>
      </c>
      <c r="F44" s="36">
        <v>4</v>
      </c>
      <c r="G44" t="s" s="35">
        <v>7865</v>
      </c>
      <c r="H44" t="s" s="120">
        <v>7931</v>
      </c>
      <c r="I44" t="s" s="35">
        <v>1055</v>
      </c>
      <c r="J44" t="s" s="35">
        <v>266</v>
      </c>
      <c r="K44" t="s" s="35">
        <v>1148</v>
      </c>
      <c r="L44" t="s" s="35">
        <v>282</v>
      </c>
      <c r="M44" t="str" s="39" cm="1">
        <f t="array" ref="M44">IF(J44="FUERA","Fuera del marco",_xlfn.IFERROR(INDEX('Datos - Catálogo TIMSS'!$C$5:$C$107,MATCH(J44,'Datos - Catálogo TIMSS'!$A$5:$A$107,0)),"?"))</f>
        <v>Ciencias de la Tierra</v>
      </c>
      <c r="N44" t="s" s="35">
        <v>7932</v>
      </c>
    </row>
    <row r="45" ht="13.65" customHeight="1">
      <c r="A45" t="s" s="35">
        <v>7933</v>
      </c>
      <c r="B45" t="s" s="35">
        <v>1509</v>
      </c>
      <c r="C45" t="s" s="35">
        <v>7934</v>
      </c>
      <c r="D45" s="36">
        <v>14</v>
      </c>
      <c r="E45" t="s" s="35">
        <v>7935</v>
      </c>
      <c r="F45" s="36">
        <v>5</v>
      </c>
      <c r="G45" t="s" s="35">
        <v>210</v>
      </c>
      <c r="H45" t="s" s="120">
        <v>7936</v>
      </c>
      <c r="I45" t="s" s="35">
        <v>1164</v>
      </c>
      <c r="J45" t="s" s="35">
        <v>1168</v>
      </c>
      <c r="K45" t="s" s="35">
        <v>1171</v>
      </c>
      <c r="L45" t="s" s="35">
        <v>254</v>
      </c>
      <c r="M45" t="str" s="39" cm="1">
        <f t="array" ref="M45">IF(J45="FUERA","Fuera del marco",_xlfn.IFERROR(INDEX('Datos - Catálogo TIMSS'!$C$5:$C$107,MATCH(J45,'Datos - Catálogo TIMSS'!$A$5:$A$107,0)),"?"))</f>
        <v>Biología</v>
      </c>
      <c r="N45" t="s" s="35">
        <v>7937</v>
      </c>
    </row>
    <row r="46" ht="13.65" customHeight="1">
      <c r="A46" t="s" s="35">
        <v>7938</v>
      </c>
      <c r="B46" t="s" s="35">
        <v>1509</v>
      </c>
      <c r="C46" t="s" s="35">
        <v>7934</v>
      </c>
      <c r="D46" s="36">
        <v>14</v>
      </c>
      <c r="E46" t="s" s="35">
        <v>7935</v>
      </c>
      <c r="F46" s="36">
        <v>5</v>
      </c>
      <c r="G46" t="s" s="35">
        <v>210</v>
      </c>
      <c r="H46" t="s" s="120">
        <v>7939</v>
      </c>
      <c r="I46" t="s" s="35">
        <v>1164</v>
      </c>
      <c r="J46" t="s" s="35">
        <v>1168</v>
      </c>
      <c r="K46" t="s" s="35">
        <v>1205</v>
      </c>
      <c r="L46" t="s" s="35">
        <v>282</v>
      </c>
      <c r="M46" t="str" s="39" cm="1">
        <f t="array" ref="M46">IF(J46="FUERA","Fuera del marco",_xlfn.IFERROR(INDEX('Datos - Catálogo TIMSS'!$C$5:$C$107,MATCH(J46,'Datos - Catálogo TIMSS'!$A$5:$A$107,0)),"?"))</f>
        <v>Biología</v>
      </c>
      <c r="N46" t="s" s="35">
        <v>7940</v>
      </c>
    </row>
    <row r="47" ht="13.65" customHeight="1">
      <c r="A47" t="s" s="35">
        <v>7941</v>
      </c>
      <c r="B47" t="s" s="35">
        <v>1509</v>
      </c>
      <c r="C47" t="s" s="35">
        <v>7934</v>
      </c>
      <c r="D47" s="36">
        <v>14</v>
      </c>
      <c r="E47" t="s" s="35">
        <v>7935</v>
      </c>
      <c r="F47" s="36">
        <v>5</v>
      </c>
      <c r="G47" t="s" s="35">
        <v>210</v>
      </c>
      <c r="H47" t="s" s="120">
        <v>7942</v>
      </c>
      <c r="I47" t="s" s="35">
        <v>1164</v>
      </c>
      <c r="J47" t="s" s="35">
        <v>1201</v>
      </c>
      <c r="K47" t="s" s="35">
        <v>1290</v>
      </c>
      <c r="L47" t="s" s="35">
        <v>282</v>
      </c>
      <c r="M47" t="str" s="39" cm="1">
        <f t="array" ref="M47">IF(J47="FUERA","Fuera del marco",_xlfn.IFERROR(INDEX('Datos - Catálogo TIMSS'!$C$5:$C$107,MATCH(J47,'Datos - Catálogo TIMSS'!$A$5:$A$107,0)),"?"))</f>
        <v>Biología</v>
      </c>
      <c r="N47" t="s" s="35">
        <v>7943</v>
      </c>
    </row>
    <row r="48" ht="13.65" customHeight="1">
      <c r="A48" t="s" s="35">
        <v>7944</v>
      </c>
      <c r="B48" t="s" s="35">
        <v>1509</v>
      </c>
      <c r="C48" t="s" s="35">
        <v>7934</v>
      </c>
      <c r="D48" s="36">
        <v>14</v>
      </c>
      <c r="E48" t="s" s="35">
        <v>7935</v>
      </c>
      <c r="F48" s="36">
        <v>5</v>
      </c>
      <c r="G48" t="s" s="35">
        <v>210</v>
      </c>
      <c r="H48" t="s" s="120">
        <v>7945</v>
      </c>
      <c r="I48" t="s" s="35">
        <v>1164</v>
      </c>
      <c r="J48" t="s" s="35">
        <v>1290</v>
      </c>
      <c r="K48" t="s" s="35">
        <v>1201</v>
      </c>
      <c r="L48" t="s" s="35">
        <v>291</v>
      </c>
      <c r="M48" t="str" s="39" cm="1">
        <f t="array" ref="M48">IF(J48="FUERA","Fuera del marco",_xlfn.IFERROR(INDEX('Datos - Catálogo TIMSS'!$C$5:$C$107,MATCH(J48,'Datos - Catálogo TIMSS'!$A$5:$A$107,0)),"?"))</f>
        <v>Ciencias de la Tierra</v>
      </c>
      <c r="N48" t="s" s="35">
        <v>7946</v>
      </c>
    </row>
    <row r="49" ht="13.65" customHeight="1">
      <c r="A49" t="s" s="35">
        <v>7947</v>
      </c>
      <c r="B49" t="s" s="35">
        <v>1509</v>
      </c>
      <c r="C49" t="s" s="35">
        <v>7934</v>
      </c>
      <c r="D49" s="36">
        <v>14</v>
      </c>
      <c r="E49" t="s" s="35">
        <v>7935</v>
      </c>
      <c r="F49" s="36">
        <v>5</v>
      </c>
      <c r="G49" t="s" s="35">
        <v>210</v>
      </c>
      <c r="H49" t="s" s="120">
        <v>7948</v>
      </c>
      <c r="I49" t="s" s="35">
        <v>1164</v>
      </c>
      <c r="J49" t="s" s="35">
        <v>1284</v>
      </c>
      <c r="K49" t="s" s="35">
        <v>1201</v>
      </c>
      <c r="L49" t="s" s="35">
        <v>282</v>
      </c>
      <c r="M49" t="str" s="39" cm="1">
        <f t="array" ref="M49">IF(J49="FUERA","Fuera del marco",_xlfn.IFERROR(INDEX('Datos - Catálogo TIMSS'!$C$5:$C$107,MATCH(J49,'Datos - Catálogo TIMSS'!$A$5:$A$107,0)),"?"))</f>
        <v>Ciencias de la Tierra</v>
      </c>
      <c r="N49" t="s" s="35">
        <v>7949</v>
      </c>
    </row>
    <row r="50" ht="13.65" customHeight="1">
      <c r="A50" t="s" s="35">
        <v>7950</v>
      </c>
      <c r="B50" t="s" s="35">
        <v>1509</v>
      </c>
      <c r="C50" t="s" s="35">
        <v>7934</v>
      </c>
      <c r="D50" s="36">
        <v>14</v>
      </c>
      <c r="E50" t="s" s="35">
        <v>7935</v>
      </c>
      <c r="F50" s="36">
        <v>5</v>
      </c>
      <c r="G50" t="s" s="35">
        <v>210</v>
      </c>
      <c r="H50" t="s" s="120">
        <v>7951</v>
      </c>
      <c r="I50" t="s" s="35">
        <v>1164</v>
      </c>
      <c r="J50" t="s" s="35">
        <v>1178</v>
      </c>
      <c r="K50" s="39"/>
      <c r="L50" t="s" s="35">
        <v>282</v>
      </c>
      <c r="M50" t="str" s="39" cm="1">
        <f t="array" ref="M50">IF(J50="FUERA","Fuera del marco",_xlfn.IFERROR(INDEX('Datos - Catálogo TIMSS'!$C$5:$C$107,MATCH(J50,'Datos - Catálogo TIMSS'!$A$5:$A$107,0)),"?"))</f>
        <v>Biología</v>
      </c>
      <c r="N50" t="s" s="35">
        <v>7952</v>
      </c>
    </row>
    <row r="51" ht="13.65" customHeight="1">
      <c r="A51" t="s" s="35">
        <v>7953</v>
      </c>
      <c r="B51" t="s" s="35">
        <v>1509</v>
      </c>
      <c r="C51" t="s" s="35">
        <v>7934</v>
      </c>
      <c r="D51" s="36">
        <v>14</v>
      </c>
      <c r="E51" t="s" s="35">
        <v>7935</v>
      </c>
      <c r="F51" s="36">
        <v>5</v>
      </c>
      <c r="G51" t="s" s="35">
        <v>210</v>
      </c>
      <c r="H51" t="s" s="120">
        <v>7954</v>
      </c>
      <c r="I51" t="s" s="35">
        <v>1164</v>
      </c>
      <c r="J51" t="s" s="35">
        <v>1174</v>
      </c>
      <c r="K51" s="39"/>
      <c r="L51" t="s" s="35">
        <v>254</v>
      </c>
      <c r="M51" t="str" s="39" cm="1">
        <f t="array" ref="M51">IF(J51="FUERA","Fuera del marco",_xlfn.IFERROR(INDEX('Datos - Catálogo TIMSS'!$C$5:$C$107,MATCH(J51,'Datos - Catálogo TIMSS'!$A$5:$A$107,0)),"?"))</f>
        <v>Biología</v>
      </c>
      <c r="N51" t="s" s="35">
        <v>7955</v>
      </c>
    </row>
    <row r="52" ht="13.65" customHeight="1">
      <c r="A52" t="s" s="35">
        <v>7956</v>
      </c>
      <c r="B52" t="s" s="35">
        <v>1509</v>
      </c>
      <c r="C52" t="s" s="35">
        <v>7934</v>
      </c>
      <c r="D52" s="36">
        <v>14</v>
      </c>
      <c r="E52" t="s" s="35">
        <v>7935</v>
      </c>
      <c r="F52" s="36">
        <v>5</v>
      </c>
      <c r="G52" t="s" s="35">
        <v>210</v>
      </c>
      <c r="H52" t="s" s="120">
        <v>7957</v>
      </c>
      <c r="I52" t="s" s="35">
        <v>1164</v>
      </c>
      <c r="J52" t="s" s="35">
        <v>1168</v>
      </c>
      <c r="K52" s="39"/>
      <c r="L52" t="s" s="35">
        <v>254</v>
      </c>
      <c r="M52" t="str" s="39" cm="1">
        <f t="array" ref="M52">IF(J52="FUERA","Fuera del marco",_xlfn.IFERROR(INDEX('Datos - Catálogo TIMSS'!$C$5:$C$107,MATCH(J52,'Datos - Catálogo TIMSS'!$A$5:$A$107,0)),"?"))</f>
        <v>Biología</v>
      </c>
      <c r="N52" t="s" s="35">
        <v>7958</v>
      </c>
    </row>
    <row r="53" ht="13.65" customHeight="1">
      <c r="A53" t="s" s="35">
        <v>7959</v>
      </c>
      <c r="B53" t="s" s="35">
        <v>1509</v>
      </c>
      <c r="C53" t="s" s="35">
        <v>7934</v>
      </c>
      <c r="D53" s="36">
        <v>14</v>
      </c>
      <c r="E53" t="s" s="35">
        <v>7935</v>
      </c>
      <c r="F53" s="36">
        <v>5</v>
      </c>
      <c r="G53" t="s" s="35">
        <v>210</v>
      </c>
      <c r="H53" t="s" s="120">
        <v>7960</v>
      </c>
      <c r="I53" t="s" s="35">
        <v>1164</v>
      </c>
      <c r="J53" t="s" s="35">
        <v>1168</v>
      </c>
      <c r="K53" t="s" s="35">
        <v>1207</v>
      </c>
      <c r="L53" t="s" s="35">
        <v>282</v>
      </c>
      <c r="M53" t="str" s="39" cm="1">
        <f t="array" ref="M53">IF(J53="FUERA","Fuera del marco",_xlfn.IFERROR(INDEX('Datos - Catálogo TIMSS'!$C$5:$C$107,MATCH(J53,'Datos - Catálogo TIMSS'!$A$5:$A$107,0)),"?"))</f>
        <v>Biología</v>
      </c>
      <c r="N53" t="s" s="35">
        <v>7961</v>
      </c>
    </row>
    <row r="54" ht="13.65" customHeight="1">
      <c r="A54" t="s" s="35">
        <v>7962</v>
      </c>
      <c r="B54" t="s" s="35">
        <v>1509</v>
      </c>
      <c r="C54" t="s" s="35">
        <v>7963</v>
      </c>
      <c r="D54" s="36">
        <v>12</v>
      </c>
      <c r="E54" t="s" s="35">
        <v>7935</v>
      </c>
      <c r="F54" s="36">
        <v>5</v>
      </c>
      <c r="G54" t="s" s="35">
        <v>7835</v>
      </c>
      <c r="H54" t="s" s="120">
        <v>7964</v>
      </c>
      <c r="I54" t="s" s="35">
        <v>1164</v>
      </c>
      <c r="J54" t="s" s="35">
        <v>1227</v>
      </c>
      <c r="K54" t="s" s="35">
        <v>1212</v>
      </c>
      <c r="L54" t="s" s="35">
        <v>254</v>
      </c>
      <c r="M54" t="str" s="39" cm="1">
        <f t="array" ref="M54">IF(J54="FUERA","Fuera del marco",_xlfn.IFERROR(INDEX('Datos - Catálogo TIMSS'!$C$5:$C$107,MATCH(J54,'Datos - Catálogo TIMSS'!$A$5:$A$107,0)),"?"))</f>
        <v>Química</v>
      </c>
      <c r="N54" t="s" s="35">
        <v>7965</v>
      </c>
    </row>
    <row r="55" ht="13.65" customHeight="1">
      <c r="A55" t="s" s="35">
        <v>7966</v>
      </c>
      <c r="B55" t="s" s="35">
        <v>1509</v>
      </c>
      <c r="C55" t="s" s="35">
        <v>7963</v>
      </c>
      <c r="D55" s="36">
        <v>12</v>
      </c>
      <c r="E55" t="s" s="35">
        <v>7935</v>
      </c>
      <c r="F55" s="36">
        <v>5</v>
      </c>
      <c r="G55" t="s" s="35">
        <v>7835</v>
      </c>
      <c r="H55" t="s" s="120">
        <v>7967</v>
      </c>
      <c r="I55" t="s" s="35">
        <v>1164</v>
      </c>
      <c r="J55" t="s" s="35">
        <v>1215</v>
      </c>
      <c r="K55" t="s" s="35">
        <v>1218</v>
      </c>
      <c r="L55" t="s" s="35">
        <v>282</v>
      </c>
      <c r="M55" t="str" s="39" cm="1">
        <f t="array" ref="M55">IF(J55="FUERA","Fuera del marco",_xlfn.IFERROR(INDEX('Datos - Catálogo TIMSS'!$C$5:$C$107,MATCH(J55,'Datos - Catálogo TIMSS'!$A$5:$A$107,0)),"?"))</f>
        <v>Química</v>
      </c>
      <c r="N55" t="s" s="35">
        <v>7968</v>
      </c>
    </row>
    <row r="56" ht="13.65" customHeight="1">
      <c r="A56" t="s" s="35">
        <v>7969</v>
      </c>
      <c r="B56" t="s" s="35">
        <v>1509</v>
      </c>
      <c r="C56" t="s" s="35">
        <v>7963</v>
      </c>
      <c r="D56" s="36">
        <v>12</v>
      </c>
      <c r="E56" t="s" s="35">
        <v>7935</v>
      </c>
      <c r="F56" s="36">
        <v>5</v>
      </c>
      <c r="G56" t="s" s="35">
        <v>7835</v>
      </c>
      <c r="H56" t="s" s="120">
        <v>7970</v>
      </c>
      <c r="I56" t="s" s="35">
        <v>1164</v>
      </c>
      <c r="J56" t="s" s="35">
        <v>615</v>
      </c>
      <c r="K56" t="s" s="35">
        <v>1218</v>
      </c>
      <c r="L56" t="s" s="35">
        <v>282</v>
      </c>
      <c r="M56" t="str" s="39" cm="1">
        <f t="array" ref="M56">IF(J56="FUERA","Fuera del marco",_xlfn.IFERROR(INDEX('Datos - Catálogo TIMSS'!$C$5:$C$107,MATCH(J56,'Datos - Catálogo TIMSS'!$A$5:$A$107,0)),"?"))</f>
        <v>Química</v>
      </c>
      <c r="N56" t="s" s="35">
        <v>7971</v>
      </c>
    </row>
    <row r="57" ht="13.65" customHeight="1">
      <c r="A57" t="s" s="35">
        <v>7972</v>
      </c>
      <c r="B57" t="s" s="35">
        <v>1509</v>
      </c>
      <c r="C57" t="s" s="35">
        <v>7963</v>
      </c>
      <c r="D57" s="36">
        <v>12</v>
      </c>
      <c r="E57" t="s" s="35">
        <v>7935</v>
      </c>
      <c r="F57" s="36">
        <v>5</v>
      </c>
      <c r="G57" t="s" s="35">
        <v>7835</v>
      </c>
      <c r="H57" t="s" s="120">
        <v>7973</v>
      </c>
      <c r="I57" t="s" s="35">
        <v>1164</v>
      </c>
      <c r="J57" t="s" s="35">
        <v>615</v>
      </c>
      <c r="K57" s="39"/>
      <c r="L57" t="s" s="35">
        <v>254</v>
      </c>
      <c r="M57" t="str" s="39" cm="1">
        <f t="array" ref="M57">IF(J57="FUERA","Fuera del marco",_xlfn.IFERROR(INDEX('Datos - Catálogo TIMSS'!$C$5:$C$107,MATCH(J57,'Datos - Catálogo TIMSS'!$A$5:$A$107,0)),"?"))</f>
        <v>Química</v>
      </c>
      <c r="N57" t="s" s="35">
        <v>7974</v>
      </c>
    </row>
    <row r="58" ht="13.65" customHeight="1">
      <c r="A58" t="s" s="35">
        <v>7975</v>
      </c>
      <c r="B58" t="s" s="35">
        <v>1509</v>
      </c>
      <c r="C58" t="s" s="35">
        <v>7963</v>
      </c>
      <c r="D58" s="36">
        <v>12</v>
      </c>
      <c r="E58" t="s" s="35">
        <v>7935</v>
      </c>
      <c r="F58" s="36">
        <v>5</v>
      </c>
      <c r="G58" t="s" s="35">
        <v>7835</v>
      </c>
      <c r="H58" t="s" s="120">
        <v>7976</v>
      </c>
      <c r="I58" t="s" s="35">
        <v>1164</v>
      </c>
      <c r="J58" t="s" s="35">
        <v>1250</v>
      </c>
      <c r="K58" s="39"/>
      <c r="L58" t="s" s="35">
        <v>254</v>
      </c>
      <c r="M58" t="str" s="39" cm="1">
        <f t="array" ref="M58">IF(J58="FUERA","Fuera del marco",_xlfn.IFERROR(INDEX('Datos - Catálogo TIMSS'!$C$5:$C$107,MATCH(J58,'Datos - Catálogo TIMSS'!$A$5:$A$107,0)),"?"))</f>
        <v>Física</v>
      </c>
      <c r="N58" t="s" s="35">
        <v>7977</v>
      </c>
    </row>
    <row r="59" ht="13.65" customHeight="1">
      <c r="A59" t="s" s="35">
        <v>7978</v>
      </c>
      <c r="B59" t="s" s="35">
        <v>1509</v>
      </c>
      <c r="C59" t="s" s="35">
        <v>7963</v>
      </c>
      <c r="D59" s="36">
        <v>12</v>
      </c>
      <c r="E59" t="s" s="35">
        <v>7935</v>
      </c>
      <c r="F59" s="36">
        <v>5</v>
      </c>
      <c r="G59" t="s" s="35">
        <v>7835</v>
      </c>
      <c r="H59" t="s" s="120">
        <v>7979</v>
      </c>
      <c r="I59" t="s" s="35">
        <v>1164</v>
      </c>
      <c r="J59" t="s" s="35">
        <v>1247</v>
      </c>
      <c r="K59" t="s" s="35">
        <v>575</v>
      </c>
      <c r="L59" t="s" s="35">
        <v>282</v>
      </c>
      <c r="M59" t="str" s="39" cm="1">
        <f t="array" ref="M59">IF(J59="FUERA","Fuera del marco",_xlfn.IFERROR(INDEX('Datos - Catálogo TIMSS'!$C$5:$C$107,MATCH(J59,'Datos - Catálogo TIMSS'!$A$5:$A$107,0)),"?"))</f>
        <v>Física</v>
      </c>
      <c r="N59" t="s" s="35">
        <v>7980</v>
      </c>
    </row>
    <row r="60" ht="13.65" customHeight="1">
      <c r="A60" t="s" s="35">
        <v>7981</v>
      </c>
      <c r="B60" t="s" s="35">
        <v>1509</v>
      </c>
      <c r="C60" t="s" s="35">
        <v>7963</v>
      </c>
      <c r="D60" s="36">
        <v>12</v>
      </c>
      <c r="E60" t="s" s="35">
        <v>7935</v>
      </c>
      <c r="F60" s="36">
        <v>5</v>
      </c>
      <c r="G60" t="s" s="35">
        <v>7835</v>
      </c>
      <c r="H60" t="s" s="120">
        <v>7982</v>
      </c>
      <c r="I60" t="s" s="35">
        <v>1164</v>
      </c>
      <c r="J60" t="s" s="35">
        <v>1247</v>
      </c>
      <c r="K60" s="39"/>
      <c r="L60" t="s" s="35">
        <v>254</v>
      </c>
      <c r="M60" t="str" s="39" cm="1">
        <f t="array" ref="M60">IF(J60="FUERA","Fuera del marco",_xlfn.IFERROR(INDEX('Datos - Catálogo TIMSS'!$C$5:$C$107,MATCH(J60,'Datos - Catálogo TIMSS'!$A$5:$A$107,0)),"?"))</f>
        <v>Física</v>
      </c>
      <c r="N60" t="s" s="35">
        <v>7983</v>
      </c>
    </row>
    <row r="61" ht="13.65" customHeight="1">
      <c r="A61" t="s" s="35">
        <v>7984</v>
      </c>
      <c r="B61" t="s" s="35">
        <v>1509</v>
      </c>
      <c r="C61" t="s" s="35">
        <v>7963</v>
      </c>
      <c r="D61" s="36">
        <v>12</v>
      </c>
      <c r="E61" t="s" s="35">
        <v>7935</v>
      </c>
      <c r="F61" s="36">
        <v>5</v>
      </c>
      <c r="G61" t="s" s="35">
        <v>7835</v>
      </c>
      <c r="H61" t="s" s="120">
        <v>7985</v>
      </c>
      <c r="I61" t="s" s="35">
        <v>1164</v>
      </c>
      <c r="J61" t="s" s="35">
        <v>1262</v>
      </c>
      <c r="K61" s="39"/>
      <c r="L61" t="s" s="35">
        <v>282</v>
      </c>
      <c r="M61" t="str" s="39" cm="1">
        <f t="array" ref="M61">IF(J61="FUERA","Fuera del marco",_xlfn.IFERROR(INDEX('Datos - Catálogo TIMSS'!$C$5:$C$107,MATCH(J61,'Datos - Catálogo TIMSS'!$A$5:$A$107,0)),"?"))</f>
        <v>Física</v>
      </c>
      <c r="N61" t="s" s="35">
        <v>7986</v>
      </c>
    </row>
    <row r="62" ht="13.65" customHeight="1">
      <c r="A62" t="s" s="35">
        <v>7987</v>
      </c>
      <c r="B62" t="s" s="35">
        <v>1509</v>
      </c>
      <c r="C62" t="s" s="35">
        <v>7963</v>
      </c>
      <c r="D62" s="36">
        <v>12</v>
      </c>
      <c r="E62" t="s" s="35">
        <v>7935</v>
      </c>
      <c r="F62" s="36">
        <v>5</v>
      </c>
      <c r="G62" t="s" s="35">
        <v>7835</v>
      </c>
      <c r="H62" t="s" s="120">
        <v>7988</v>
      </c>
      <c r="I62" t="s" s="35">
        <v>1164</v>
      </c>
      <c r="J62" t="s" s="35">
        <v>588</v>
      </c>
      <c r="K62" t="s" s="35">
        <v>601</v>
      </c>
      <c r="L62" t="s" s="35">
        <v>291</v>
      </c>
      <c r="M62" t="str" s="39" cm="1">
        <f t="array" ref="M62">IF(J62="FUERA","Fuera del marco",_xlfn.IFERROR(INDEX('Datos - Catálogo TIMSS'!$C$5:$C$107,MATCH(J62,'Datos - Catálogo TIMSS'!$A$5:$A$107,0)),"?"))</f>
        <v>Física</v>
      </c>
      <c r="N62" t="s" s="35">
        <v>7989</v>
      </c>
    </row>
    <row r="63" ht="13.65" customHeight="1">
      <c r="A63" t="s" s="35">
        <v>7990</v>
      </c>
      <c r="B63" t="s" s="35">
        <v>1509</v>
      </c>
      <c r="C63" t="s" s="35">
        <v>7963</v>
      </c>
      <c r="D63" s="36">
        <v>12</v>
      </c>
      <c r="E63" t="s" s="35">
        <v>7935</v>
      </c>
      <c r="F63" s="36">
        <v>5</v>
      </c>
      <c r="G63" t="s" s="35">
        <v>7835</v>
      </c>
      <c r="H63" t="s" s="120">
        <v>7991</v>
      </c>
      <c r="I63" t="s" s="35">
        <v>1164</v>
      </c>
      <c r="J63" t="s" s="35">
        <v>1256</v>
      </c>
      <c r="K63" t="s" s="35">
        <v>575</v>
      </c>
      <c r="L63" t="s" s="35">
        <v>254</v>
      </c>
      <c r="M63" t="str" s="39" cm="1">
        <f t="array" ref="M63">IF(J63="FUERA","Fuera del marco",_xlfn.IFERROR(INDEX('Datos - Catálogo TIMSS'!$C$5:$C$107,MATCH(J63,'Datos - Catálogo TIMSS'!$A$5:$A$107,0)),"?"))</f>
        <v>Física</v>
      </c>
      <c r="N63" t="s" s="35">
        <v>7992</v>
      </c>
    </row>
    <row r="64" ht="13.65" customHeight="1">
      <c r="A64" t="s" s="35">
        <v>7993</v>
      </c>
      <c r="B64" t="s" s="35">
        <v>1509</v>
      </c>
      <c r="C64" t="s" s="35">
        <v>7963</v>
      </c>
      <c r="D64" s="36">
        <v>12</v>
      </c>
      <c r="E64" t="s" s="35">
        <v>7935</v>
      </c>
      <c r="F64" s="36">
        <v>5</v>
      </c>
      <c r="G64" t="s" s="35">
        <v>7835</v>
      </c>
      <c r="H64" t="s" s="120">
        <v>7994</v>
      </c>
      <c r="I64" t="s" s="35">
        <v>1164</v>
      </c>
      <c r="J64" t="s" s="35">
        <v>1259</v>
      </c>
      <c r="K64" s="39"/>
      <c r="L64" t="s" s="35">
        <v>282</v>
      </c>
      <c r="M64" t="str" s="39" cm="1">
        <f t="array" ref="M64">IF(J64="FUERA","Fuera del marco",_xlfn.IFERROR(INDEX('Datos - Catálogo TIMSS'!$C$5:$C$107,MATCH(J64,'Datos - Catálogo TIMSS'!$A$5:$A$107,0)),"?"))</f>
        <v>Física</v>
      </c>
      <c r="N64" t="s" s="35">
        <v>7995</v>
      </c>
    </row>
    <row r="65" ht="13.65" customHeight="1">
      <c r="A65" t="s" s="35">
        <v>7996</v>
      </c>
      <c r="B65" t="s" s="35">
        <v>1509</v>
      </c>
      <c r="C65" t="s" s="35">
        <v>7963</v>
      </c>
      <c r="D65" s="36">
        <v>12</v>
      </c>
      <c r="E65" t="s" s="35">
        <v>7935</v>
      </c>
      <c r="F65" s="36">
        <v>5</v>
      </c>
      <c r="G65" t="s" s="35">
        <v>7835</v>
      </c>
      <c r="H65" t="s" s="120">
        <v>7997</v>
      </c>
      <c r="I65" t="s" s="35">
        <v>1164</v>
      </c>
      <c r="J65" t="s" s="35">
        <v>507</v>
      </c>
      <c r="K65" t="s" s="35">
        <v>588</v>
      </c>
      <c r="L65" t="s" s="35">
        <v>282</v>
      </c>
      <c r="M65" t="str" s="39" cm="1">
        <f t="array" ref="M65">IF(J65="FUERA","Fuera del marco",_xlfn.IFERROR(INDEX('Datos - Catálogo TIMSS'!$C$5:$C$107,MATCH(J65,'Datos - Catálogo TIMSS'!$A$5:$A$107,0)),"?"))</f>
        <v>Ciencias de la Tierra</v>
      </c>
      <c r="N65" t="s" s="35">
        <v>7998</v>
      </c>
    </row>
    <row r="66" ht="13.65" customHeight="1">
      <c r="A66" t="s" s="35">
        <v>7999</v>
      </c>
      <c r="B66" t="s" s="35">
        <v>1509</v>
      </c>
      <c r="C66" t="s" s="35">
        <v>7963</v>
      </c>
      <c r="D66" s="36">
        <v>12</v>
      </c>
      <c r="E66" t="s" s="35">
        <v>7935</v>
      </c>
      <c r="F66" s="36">
        <v>5</v>
      </c>
      <c r="G66" t="s" s="35">
        <v>7860</v>
      </c>
      <c r="H66" t="s" s="120">
        <v>7861</v>
      </c>
      <c r="I66" t="s" s="35">
        <v>1164</v>
      </c>
      <c r="J66" t="s" s="35">
        <v>569</v>
      </c>
      <c r="K66" s="39"/>
      <c r="L66" t="s" s="35">
        <v>282</v>
      </c>
      <c r="M66" t="str" s="39" cm="1">
        <f t="array" ref="M66">IF(J66="FUERA","Fuera del marco",_xlfn.IFERROR(INDEX('Datos - Catálogo TIMSS'!$C$5:$C$107,MATCH(J66,'Datos - Catálogo TIMSS'!$A$5:$A$107,0)),"?"))</f>
        <v>Física</v>
      </c>
      <c r="N66" t="s" s="35">
        <v>8000</v>
      </c>
    </row>
    <row r="67" ht="13.65" customHeight="1">
      <c r="A67" t="s" s="35">
        <v>8001</v>
      </c>
      <c r="B67" t="s" s="35">
        <v>1509</v>
      </c>
      <c r="C67" t="s" s="35">
        <v>8002</v>
      </c>
      <c r="D67" s="36">
        <v>12</v>
      </c>
      <c r="E67" t="s" s="35">
        <v>7935</v>
      </c>
      <c r="F67" s="36">
        <v>5</v>
      </c>
      <c r="G67" t="s" s="35">
        <v>7865</v>
      </c>
      <c r="H67" t="s" s="120">
        <v>8003</v>
      </c>
      <c r="I67" t="s" s="35">
        <v>1164</v>
      </c>
      <c r="J67" t="s" s="35">
        <v>481</v>
      </c>
      <c r="K67" t="s" s="35">
        <v>507</v>
      </c>
      <c r="L67" t="s" s="35">
        <v>254</v>
      </c>
      <c r="M67" t="str" s="39" cm="1">
        <f t="array" ref="M67">IF(J67="FUERA","Fuera del marco",_xlfn.IFERROR(INDEX('Datos - Catálogo TIMSS'!$C$5:$C$107,MATCH(J67,'Datos - Catálogo TIMSS'!$A$5:$A$107,0)),"?"))</f>
        <v>Ciencias de la Tierra</v>
      </c>
      <c r="N67" t="s" s="35">
        <v>8004</v>
      </c>
    </row>
    <row r="68" ht="13.65" customHeight="1">
      <c r="A68" t="s" s="35">
        <v>8005</v>
      </c>
      <c r="B68" t="s" s="35">
        <v>1509</v>
      </c>
      <c r="C68" t="s" s="35">
        <v>8002</v>
      </c>
      <c r="D68" s="36">
        <v>12</v>
      </c>
      <c r="E68" t="s" s="35">
        <v>7935</v>
      </c>
      <c r="F68" s="36">
        <v>5</v>
      </c>
      <c r="G68" t="s" s="35">
        <v>7865</v>
      </c>
      <c r="H68" t="s" s="120">
        <v>8006</v>
      </c>
      <c r="I68" t="s" s="35">
        <v>1164</v>
      </c>
      <c r="J68" t="s" s="35">
        <v>1272</v>
      </c>
      <c r="K68" s="39"/>
      <c r="L68" t="s" s="35">
        <v>282</v>
      </c>
      <c r="M68" t="str" s="39" cm="1">
        <f t="array" ref="M68">IF(J68="FUERA","Fuera del marco",_xlfn.IFERROR(INDEX('Datos - Catálogo TIMSS'!$C$5:$C$107,MATCH(J68,'Datos - Catálogo TIMSS'!$A$5:$A$107,0)),"?"))</f>
        <v>Ciencias de la Tierra</v>
      </c>
      <c r="N68" t="s" s="35">
        <v>8007</v>
      </c>
    </row>
    <row r="69" ht="13.65" customHeight="1">
      <c r="A69" t="s" s="35">
        <v>8008</v>
      </c>
      <c r="B69" t="s" s="35">
        <v>1509</v>
      </c>
      <c r="C69" t="s" s="35">
        <v>8002</v>
      </c>
      <c r="D69" s="36">
        <v>12</v>
      </c>
      <c r="E69" t="s" s="35">
        <v>7935</v>
      </c>
      <c r="F69" s="36">
        <v>5</v>
      </c>
      <c r="G69" t="s" s="35">
        <v>7865</v>
      </c>
      <c r="H69" t="s" s="120">
        <v>8009</v>
      </c>
      <c r="I69" t="s" s="35">
        <v>1164</v>
      </c>
      <c r="J69" t="s" s="35">
        <v>1272</v>
      </c>
      <c r="K69" t="s" s="35">
        <v>524</v>
      </c>
      <c r="L69" t="s" s="35">
        <v>254</v>
      </c>
      <c r="M69" t="str" s="39" cm="1">
        <f t="array" ref="M69">IF(J69="FUERA","Fuera del marco",_xlfn.IFERROR(INDEX('Datos - Catálogo TIMSS'!$C$5:$C$107,MATCH(J69,'Datos - Catálogo TIMSS'!$A$5:$A$107,0)),"?"))</f>
        <v>Ciencias de la Tierra</v>
      </c>
      <c r="N69" t="s" s="35">
        <v>8010</v>
      </c>
    </row>
    <row r="70" ht="13.65" customHeight="1">
      <c r="A70" t="s" s="35">
        <v>8011</v>
      </c>
      <c r="B70" t="s" s="35">
        <v>1509</v>
      </c>
      <c r="C70" t="s" s="35">
        <v>7934</v>
      </c>
      <c r="D70" s="36">
        <v>15</v>
      </c>
      <c r="E70" t="s" s="35">
        <v>8012</v>
      </c>
      <c r="F70" s="36">
        <v>6</v>
      </c>
      <c r="G70" t="s" s="35">
        <v>210</v>
      </c>
      <c r="H70" t="s" s="120">
        <v>8013</v>
      </c>
      <c r="I70" t="s" s="35">
        <v>1164</v>
      </c>
      <c r="J70" t="s" s="35">
        <v>1171</v>
      </c>
      <c r="K70" s="39"/>
      <c r="L70" t="s" s="35">
        <v>254</v>
      </c>
      <c r="M70" t="str" s="39" cm="1">
        <f t="array" ref="M70">IF(J70="FUERA","Fuera del marco",_xlfn.IFERROR(INDEX('Datos - Catálogo TIMSS'!$C$5:$C$107,MATCH(J70,'Datos - Catálogo TIMSS'!$A$5:$A$107,0)),"?"))</f>
        <v>Biología</v>
      </c>
      <c r="N70" t="s" s="35">
        <v>8014</v>
      </c>
    </row>
    <row r="71" ht="13.65" customHeight="1">
      <c r="A71" t="s" s="35">
        <v>8015</v>
      </c>
      <c r="B71" t="s" s="35">
        <v>1509</v>
      </c>
      <c r="C71" t="s" s="35">
        <v>7934</v>
      </c>
      <c r="D71" s="36">
        <v>15</v>
      </c>
      <c r="E71" t="s" s="35">
        <v>8012</v>
      </c>
      <c r="F71" s="36">
        <v>6</v>
      </c>
      <c r="G71" t="s" s="35">
        <v>210</v>
      </c>
      <c r="H71" t="s" s="120">
        <v>8016</v>
      </c>
      <c r="I71" t="s" s="35">
        <v>1164</v>
      </c>
      <c r="J71" t="s" s="35">
        <v>634</v>
      </c>
      <c r="K71" t="s" s="35">
        <v>459</v>
      </c>
      <c r="L71" t="s" s="35">
        <v>254</v>
      </c>
      <c r="M71" t="str" s="39" cm="1">
        <f t="array" ref="M71">IF(J71="FUERA","Fuera del marco",_xlfn.IFERROR(INDEX('Datos - Catálogo TIMSS'!$C$5:$C$107,MATCH(J71,'Datos - Catálogo TIMSS'!$A$5:$A$107,0)),"?"))</f>
        <v>Biología</v>
      </c>
      <c r="N71" t="s" s="35">
        <v>8017</v>
      </c>
    </row>
    <row r="72" ht="13.65" customHeight="1">
      <c r="A72" t="s" s="35">
        <v>8018</v>
      </c>
      <c r="B72" t="s" s="35">
        <v>1509</v>
      </c>
      <c r="C72" t="s" s="35">
        <v>7934</v>
      </c>
      <c r="D72" s="36">
        <v>15</v>
      </c>
      <c r="E72" t="s" s="35">
        <v>8012</v>
      </c>
      <c r="F72" s="36">
        <v>6</v>
      </c>
      <c r="G72" t="s" s="35">
        <v>210</v>
      </c>
      <c r="H72" t="s" s="120">
        <v>8019</v>
      </c>
      <c r="I72" t="s" s="35">
        <v>1164</v>
      </c>
      <c r="J72" t="s" s="35">
        <v>634</v>
      </c>
      <c r="K72" t="s" s="35">
        <v>475</v>
      </c>
      <c r="L72" t="s" s="35">
        <v>282</v>
      </c>
      <c r="M72" t="str" s="39" cm="1">
        <f t="array" ref="M72">IF(J72="FUERA","Fuera del marco",_xlfn.IFERROR(INDEX('Datos - Catálogo TIMSS'!$C$5:$C$107,MATCH(J72,'Datos - Catálogo TIMSS'!$A$5:$A$107,0)),"?"))</f>
        <v>Biología</v>
      </c>
      <c r="N72" t="s" s="35">
        <v>8020</v>
      </c>
    </row>
    <row r="73" ht="13.65" customHeight="1">
      <c r="A73" t="s" s="35">
        <v>8021</v>
      </c>
      <c r="B73" t="s" s="35">
        <v>1509</v>
      </c>
      <c r="C73" t="s" s="35">
        <v>7934</v>
      </c>
      <c r="D73" s="36">
        <v>15</v>
      </c>
      <c r="E73" t="s" s="35">
        <v>8012</v>
      </c>
      <c r="F73" s="36">
        <v>6</v>
      </c>
      <c r="G73" t="s" s="35">
        <v>210</v>
      </c>
      <c r="H73" t="s" s="120">
        <v>8022</v>
      </c>
      <c r="I73" t="s" s="35">
        <v>1164</v>
      </c>
      <c r="J73" t="s" s="35">
        <v>1163</v>
      </c>
      <c r="K73" s="39"/>
      <c r="L73" t="s" s="35">
        <v>254</v>
      </c>
      <c r="M73" t="str" s="39" cm="1">
        <f t="array" ref="M73">IF(J73="FUERA","Fuera del marco",_xlfn.IFERROR(INDEX('Datos - Catálogo TIMSS'!$C$5:$C$107,MATCH(J73,'Datos - Catálogo TIMSS'!$A$5:$A$107,0)),"?"))</f>
        <v>Biología</v>
      </c>
      <c r="N73" t="s" s="35">
        <v>8023</v>
      </c>
    </row>
    <row r="74" ht="13.65" customHeight="1">
      <c r="A74" t="s" s="35">
        <v>8024</v>
      </c>
      <c r="B74" t="s" s="35">
        <v>1509</v>
      </c>
      <c r="C74" t="s" s="35">
        <v>7934</v>
      </c>
      <c r="D74" s="36">
        <v>15</v>
      </c>
      <c r="E74" t="s" s="35">
        <v>8012</v>
      </c>
      <c r="F74" s="36">
        <v>6</v>
      </c>
      <c r="G74" t="s" s="35">
        <v>210</v>
      </c>
      <c r="H74" t="s" s="120">
        <v>8025</v>
      </c>
      <c r="I74" t="s" s="35">
        <v>1164</v>
      </c>
      <c r="J74" t="s" s="35">
        <v>1174</v>
      </c>
      <c r="K74" s="39"/>
      <c r="L74" t="s" s="35">
        <v>254</v>
      </c>
      <c r="M74" t="str" s="39" cm="1">
        <f t="array" ref="M74">IF(J74="FUERA","Fuera del marco",_xlfn.IFERROR(INDEX('Datos - Catálogo TIMSS'!$C$5:$C$107,MATCH(J74,'Datos - Catálogo TIMSS'!$A$5:$A$107,0)),"?"))</f>
        <v>Biología</v>
      </c>
      <c r="N74" t="s" s="35">
        <v>8025</v>
      </c>
    </row>
    <row r="75" ht="13.65" customHeight="1">
      <c r="A75" t="s" s="35">
        <v>8026</v>
      </c>
      <c r="B75" t="s" s="35">
        <v>1509</v>
      </c>
      <c r="C75" t="s" s="35">
        <v>7934</v>
      </c>
      <c r="D75" s="36">
        <v>15</v>
      </c>
      <c r="E75" t="s" s="35">
        <v>8012</v>
      </c>
      <c r="F75" s="36">
        <v>6</v>
      </c>
      <c r="G75" t="s" s="35">
        <v>210</v>
      </c>
      <c r="H75" t="s" s="120">
        <v>8027</v>
      </c>
      <c r="I75" t="s" s="35">
        <v>1164</v>
      </c>
      <c r="J75" t="s" s="35">
        <v>1178</v>
      </c>
      <c r="K75" s="39"/>
      <c r="L75" t="s" s="35">
        <v>282</v>
      </c>
      <c r="M75" t="str" s="39" cm="1">
        <f t="array" ref="M75">IF(J75="FUERA","Fuera del marco",_xlfn.IFERROR(INDEX('Datos - Catálogo TIMSS'!$C$5:$C$107,MATCH(J75,'Datos - Catálogo TIMSS'!$A$5:$A$107,0)),"?"))</f>
        <v>Biología</v>
      </c>
      <c r="N75" t="s" s="35">
        <v>8028</v>
      </c>
    </row>
    <row r="76" ht="13.65" customHeight="1">
      <c r="A76" t="s" s="35">
        <v>8029</v>
      </c>
      <c r="B76" t="s" s="35">
        <v>1509</v>
      </c>
      <c r="C76" t="s" s="35">
        <v>7934</v>
      </c>
      <c r="D76" s="36">
        <v>15</v>
      </c>
      <c r="E76" t="s" s="35">
        <v>8012</v>
      </c>
      <c r="F76" s="36">
        <v>6</v>
      </c>
      <c r="G76" t="s" s="35">
        <v>210</v>
      </c>
      <c r="H76" t="s" s="120">
        <v>8030</v>
      </c>
      <c r="I76" t="s" s="35">
        <v>1164</v>
      </c>
      <c r="J76" t="s" s="35">
        <v>1178</v>
      </c>
      <c r="K76" s="39"/>
      <c r="L76" t="s" s="35">
        <v>291</v>
      </c>
      <c r="M76" t="str" s="39" cm="1">
        <f t="array" ref="M76">IF(J76="FUERA","Fuera del marco",_xlfn.IFERROR(INDEX('Datos - Catálogo TIMSS'!$C$5:$C$107,MATCH(J76,'Datos - Catálogo TIMSS'!$A$5:$A$107,0)),"?"))</f>
        <v>Biología</v>
      </c>
      <c r="N76" t="s" s="35">
        <v>8031</v>
      </c>
    </row>
    <row r="77" ht="13.65" customHeight="1">
      <c r="A77" t="s" s="35">
        <v>8032</v>
      </c>
      <c r="B77" t="s" s="35">
        <v>1509</v>
      </c>
      <c r="C77" t="s" s="35">
        <v>7934</v>
      </c>
      <c r="D77" s="36">
        <v>15</v>
      </c>
      <c r="E77" t="s" s="35">
        <v>8012</v>
      </c>
      <c r="F77" s="36">
        <v>6</v>
      </c>
      <c r="G77" t="s" s="35">
        <v>210</v>
      </c>
      <c r="H77" t="s" s="120">
        <v>8033</v>
      </c>
      <c r="I77" t="s" s="35">
        <v>1164</v>
      </c>
      <c r="J77" t="s" s="35">
        <v>1168</v>
      </c>
      <c r="K77" t="s" s="35">
        <v>454</v>
      </c>
      <c r="L77" t="s" s="35">
        <v>282</v>
      </c>
      <c r="M77" t="str" s="39" cm="1">
        <f t="array" ref="M77">IF(J77="FUERA","Fuera del marco",_xlfn.IFERROR(INDEX('Datos - Catálogo TIMSS'!$C$5:$C$107,MATCH(J77,'Datos - Catálogo TIMSS'!$A$5:$A$107,0)),"?"))</f>
        <v>Biología</v>
      </c>
      <c r="N77" t="s" s="35">
        <v>8034</v>
      </c>
    </row>
    <row r="78" ht="13.65" customHeight="1">
      <c r="A78" t="s" s="35">
        <v>8035</v>
      </c>
      <c r="B78" t="s" s="35">
        <v>1509</v>
      </c>
      <c r="C78" t="s" s="35">
        <v>7963</v>
      </c>
      <c r="D78" s="36">
        <v>13</v>
      </c>
      <c r="E78" t="s" s="35">
        <v>8012</v>
      </c>
      <c r="F78" s="36">
        <v>6</v>
      </c>
      <c r="G78" t="s" s="35">
        <v>7835</v>
      </c>
      <c r="H78" t="s" s="120">
        <v>8036</v>
      </c>
      <c r="I78" t="s" s="35">
        <v>1164</v>
      </c>
      <c r="J78" t="s" s="35">
        <v>494</v>
      </c>
      <c r="K78" t="s" s="35">
        <v>1212</v>
      </c>
      <c r="L78" t="s" s="35">
        <v>254</v>
      </c>
      <c r="M78" t="str" s="39" cm="1">
        <f t="array" ref="M78">IF(J78="FUERA","Fuera del marco",_xlfn.IFERROR(INDEX('Datos - Catálogo TIMSS'!$C$5:$C$107,MATCH(J78,'Datos - Catálogo TIMSS'!$A$5:$A$107,0)),"?"))</f>
        <v>Ciencias de la Tierra</v>
      </c>
      <c r="N78" t="s" s="35">
        <v>8037</v>
      </c>
    </row>
    <row r="79" ht="13.65" customHeight="1">
      <c r="A79" t="s" s="35">
        <v>8038</v>
      </c>
      <c r="B79" t="s" s="35">
        <v>1509</v>
      </c>
      <c r="C79" t="s" s="35">
        <v>7963</v>
      </c>
      <c r="D79" s="36">
        <v>13</v>
      </c>
      <c r="E79" t="s" s="35">
        <v>8012</v>
      </c>
      <c r="F79" s="36">
        <v>6</v>
      </c>
      <c r="G79" t="s" s="35">
        <v>7835</v>
      </c>
      <c r="H79" t="s" s="120">
        <v>8039</v>
      </c>
      <c r="I79" t="s" s="35">
        <v>1164</v>
      </c>
      <c r="J79" t="s" s="35">
        <v>601</v>
      </c>
      <c r="K79" t="s" s="35">
        <v>554</v>
      </c>
      <c r="L79" t="s" s="35">
        <v>254</v>
      </c>
      <c r="M79" t="str" s="39" cm="1">
        <f t="array" ref="M79">IF(J79="FUERA","Fuera del marco",_xlfn.IFERROR(INDEX('Datos - Catálogo TIMSS'!$C$5:$C$107,MATCH(J79,'Datos - Catálogo TIMSS'!$A$5:$A$107,0)),"?"))</f>
        <v>Química</v>
      </c>
      <c r="N79" t="s" s="35">
        <v>8040</v>
      </c>
    </row>
    <row r="80" ht="13.65" customHeight="1">
      <c r="A80" t="s" s="35">
        <v>8041</v>
      </c>
      <c r="B80" t="s" s="35">
        <v>1509</v>
      </c>
      <c r="C80" t="s" s="35">
        <v>7963</v>
      </c>
      <c r="D80" s="36">
        <v>13</v>
      </c>
      <c r="E80" t="s" s="35">
        <v>8012</v>
      </c>
      <c r="F80" s="36">
        <v>6</v>
      </c>
      <c r="G80" t="s" s="35">
        <v>7835</v>
      </c>
      <c r="H80" t="s" s="120">
        <v>8042</v>
      </c>
      <c r="I80" t="s" s="35">
        <v>1164</v>
      </c>
      <c r="J80" t="s" s="35">
        <v>1250</v>
      </c>
      <c r="K80" s="39"/>
      <c r="L80" t="s" s="35">
        <v>291</v>
      </c>
      <c r="M80" t="str" s="39" cm="1">
        <f t="array" ref="M80">IF(J80="FUERA","Fuera del marco",_xlfn.IFERROR(INDEX('Datos - Catálogo TIMSS'!$C$5:$C$107,MATCH(J80,'Datos - Catálogo TIMSS'!$A$5:$A$107,0)),"?"))</f>
        <v>Física</v>
      </c>
      <c r="N80" t="s" s="35">
        <v>8043</v>
      </c>
    </row>
    <row r="81" ht="13.65" customHeight="1">
      <c r="A81" t="s" s="35">
        <v>8044</v>
      </c>
      <c r="B81" t="s" s="35">
        <v>1509</v>
      </c>
      <c r="C81" t="s" s="35">
        <v>7963</v>
      </c>
      <c r="D81" s="36">
        <v>13</v>
      </c>
      <c r="E81" t="s" s="35">
        <v>8012</v>
      </c>
      <c r="F81" s="36">
        <v>6</v>
      </c>
      <c r="G81" t="s" s="35">
        <v>7835</v>
      </c>
      <c r="H81" t="s" s="120">
        <v>8045</v>
      </c>
      <c r="I81" t="s" s="35">
        <v>1164</v>
      </c>
      <c r="J81" t="s" s="35">
        <v>1250</v>
      </c>
      <c r="K81" s="39"/>
      <c r="L81" t="s" s="35">
        <v>254</v>
      </c>
      <c r="M81" t="str" s="39" cm="1">
        <f t="array" ref="M81">IF(J81="FUERA","Fuera del marco",_xlfn.IFERROR(INDEX('Datos - Catálogo TIMSS'!$C$5:$C$107,MATCH(J81,'Datos - Catálogo TIMSS'!$A$5:$A$107,0)),"?"))</f>
        <v>Física</v>
      </c>
      <c r="N81" t="s" s="35">
        <v>8046</v>
      </c>
    </row>
    <row r="82" ht="13.65" customHeight="1">
      <c r="A82" t="s" s="35">
        <v>8047</v>
      </c>
      <c r="B82" t="s" s="35">
        <v>1509</v>
      </c>
      <c r="C82" t="s" s="35">
        <v>7963</v>
      </c>
      <c r="D82" s="36">
        <v>13</v>
      </c>
      <c r="E82" t="s" s="35">
        <v>8012</v>
      </c>
      <c r="F82" s="36">
        <v>6</v>
      </c>
      <c r="G82" t="s" s="35">
        <v>7835</v>
      </c>
      <c r="H82" t="s" s="120">
        <v>8048</v>
      </c>
      <c r="I82" t="s" s="35">
        <v>1164</v>
      </c>
      <c r="J82" t="s" s="35">
        <v>540</v>
      </c>
      <c r="K82" s="39"/>
      <c r="L82" t="s" s="35">
        <v>254</v>
      </c>
      <c r="M82" t="str" s="39" cm="1">
        <f t="array" ref="M82">IF(J82="FUERA","Fuera del marco",_xlfn.IFERROR(INDEX('Datos - Catálogo TIMSS'!$C$5:$C$107,MATCH(J82,'Datos - Catálogo TIMSS'!$A$5:$A$107,0)),"?"))</f>
        <v>Física</v>
      </c>
      <c r="N82" t="s" s="35">
        <v>8049</v>
      </c>
    </row>
    <row r="83" ht="13.65" customHeight="1">
      <c r="A83" t="s" s="35">
        <v>8050</v>
      </c>
      <c r="B83" t="s" s="35">
        <v>1509</v>
      </c>
      <c r="C83" t="s" s="35">
        <v>7963</v>
      </c>
      <c r="D83" s="36">
        <v>13</v>
      </c>
      <c r="E83" t="s" s="35">
        <v>8012</v>
      </c>
      <c r="F83" s="36">
        <v>6</v>
      </c>
      <c r="G83" t="s" s="35">
        <v>7835</v>
      </c>
      <c r="H83" t="s" s="120">
        <v>8051</v>
      </c>
      <c r="I83" t="s" s="35">
        <v>1164</v>
      </c>
      <c r="J83" t="s" s="35">
        <v>575</v>
      </c>
      <c r="K83" s="39"/>
      <c r="L83" t="s" s="35">
        <v>254</v>
      </c>
      <c r="M83" t="str" s="39" cm="1">
        <f t="array" ref="M83">IF(J83="FUERA","Fuera del marco",_xlfn.IFERROR(INDEX('Datos - Catálogo TIMSS'!$C$5:$C$107,MATCH(J83,'Datos - Catálogo TIMSS'!$A$5:$A$107,0)),"?"))</f>
        <v>Física</v>
      </c>
      <c r="N83" t="s" s="35">
        <v>8052</v>
      </c>
    </row>
    <row r="84" ht="13.65" customHeight="1">
      <c r="A84" t="s" s="35">
        <v>8053</v>
      </c>
      <c r="B84" t="s" s="35">
        <v>1509</v>
      </c>
      <c r="C84" t="s" s="35">
        <v>7963</v>
      </c>
      <c r="D84" s="36">
        <v>13</v>
      </c>
      <c r="E84" t="s" s="35">
        <v>8012</v>
      </c>
      <c r="F84" s="36">
        <v>6</v>
      </c>
      <c r="G84" t="s" s="35">
        <v>7835</v>
      </c>
      <c r="H84" t="s" s="120">
        <v>8054</v>
      </c>
      <c r="I84" t="s" s="35">
        <v>1164</v>
      </c>
      <c r="J84" t="s" s="35">
        <v>575</v>
      </c>
      <c r="K84" t="s" s="35">
        <v>1287</v>
      </c>
      <c r="L84" t="s" s="35">
        <v>282</v>
      </c>
      <c r="M84" t="str" s="39" cm="1">
        <f t="array" ref="M84">IF(J84="FUERA","Fuera del marco",_xlfn.IFERROR(INDEX('Datos - Catálogo TIMSS'!$C$5:$C$107,MATCH(J84,'Datos - Catálogo TIMSS'!$A$5:$A$107,0)),"?"))</f>
        <v>Física</v>
      </c>
      <c r="N84" t="s" s="35">
        <v>8055</v>
      </c>
    </row>
    <row r="85" ht="13.65" customHeight="1">
      <c r="A85" t="s" s="35">
        <v>8056</v>
      </c>
      <c r="B85" t="s" s="35">
        <v>1509</v>
      </c>
      <c r="C85" t="s" s="35">
        <v>7963</v>
      </c>
      <c r="D85" s="36">
        <v>13</v>
      </c>
      <c r="E85" t="s" s="35">
        <v>8012</v>
      </c>
      <c r="F85" s="36">
        <v>6</v>
      </c>
      <c r="G85" t="s" s="35">
        <v>7860</v>
      </c>
      <c r="H85" t="s" s="120">
        <v>7861</v>
      </c>
      <c r="I85" t="s" s="35">
        <v>1164</v>
      </c>
      <c r="J85" t="s" s="35">
        <v>569</v>
      </c>
      <c r="K85" s="39"/>
      <c r="L85" t="s" s="35">
        <v>282</v>
      </c>
      <c r="M85" t="str" s="39" cm="1">
        <f t="array" ref="M85">IF(J85="FUERA","Fuera del marco",_xlfn.IFERROR(INDEX('Datos - Catálogo TIMSS'!$C$5:$C$107,MATCH(J85,'Datos - Catálogo TIMSS'!$A$5:$A$107,0)),"?"))</f>
        <v>Física</v>
      </c>
      <c r="N85" t="s" s="35">
        <v>8000</v>
      </c>
    </row>
    <row r="86" ht="13.65" customHeight="1">
      <c r="A86" t="s" s="35">
        <v>8057</v>
      </c>
      <c r="B86" t="s" s="35">
        <v>1509</v>
      </c>
      <c r="C86" t="s" s="35">
        <v>8002</v>
      </c>
      <c r="D86" s="36">
        <v>13</v>
      </c>
      <c r="E86" t="s" s="35">
        <v>8012</v>
      </c>
      <c r="F86" s="36">
        <v>6</v>
      </c>
      <c r="G86" t="s" s="35">
        <v>7865</v>
      </c>
      <c r="H86" t="s" s="120">
        <v>8058</v>
      </c>
      <c r="I86" t="s" s="35">
        <v>1164</v>
      </c>
      <c r="J86" t="s" s="35">
        <v>524</v>
      </c>
      <c r="K86" t="s" s="35">
        <v>507</v>
      </c>
      <c r="L86" t="s" s="35">
        <v>291</v>
      </c>
      <c r="M86" t="str" s="39" cm="1">
        <f t="array" ref="M86">IF(J86="FUERA","Fuera del marco",_xlfn.IFERROR(INDEX('Datos - Catálogo TIMSS'!$C$5:$C$107,MATCH(J86,'Datos - Catálogo TIMSS'!$A$5:$A$107,0)),"?"))</f>
        <v>Ciencias de la Tierra</v>
      </c>
      <c r="N86" t="s" s="35">
        <v>8059</v>
      </c>
    </row>
    <row r="87" ht="13.65" customHeight="1">
      <c r="A87" t="s" s="35">
        <v>8060</v>
      </c>
      <c r="B87" t="s" s="35">
        <v>1509</v>
      </c>
      <c r="C87" t="s" s="35">
        <v>8002</v>
      </c>
      <c r="D87" s="36">
        <v>13</v>
      </c>
      <c r="E87" t="s" s="35">
        <v>8012</v>
      </c>
      <c r="F87" s="36">
        <v>6</v>
      </c>
      <c r="G87" t="s" s="35">
        <v>7865</v>
      </c>
      <c r="H87" t="s" s="120">
        <v>8061</v>
      </c>
      <c r="I87" t="s" s="35">
        <v>1164</v>
      </c>
      <c r="J87" t="s" s="35">
        <v>524</v>
      </c>
      <c r="K87" t="s" s="35">
        <v>1186</v>
      </c>
      <c r="L87" t="s" s="35">
        <v>254</v>
      </c>
      <c r="M87" t="str" s="39" cm="1">
        <f t="array" ref="M87">IF(J87="FUERA","Fuera del marco",_xlfn.IFERROR(INDEX('Datos - Catálogo TIMSS'!$C$5:$C$107,MATCH(J87,'Datos - Catálogo TIMSS'!$A$5:$A$107,0)),"?"))</f>
        <v>Ciencias de la Tierra</v>
      </c>
      <c r="N87" t="s" s="35">
        <v>8062</v>
      </c>
    </row>
    <row r="88" ht="13.65" customHeight="1">
      <c r="A88" t="s" s="35">
        <v>8063</v>
      </c>
      <c r="B88" t="s" s="35">
        <v>1509</v>
      </c>
      <c r="C88" t="s" s="35">
        <v>8064</v>
      </c>
      <c r="D88" s="36">
        <v>14</v>
      </c>
      <c r="E88" t="s" s="35">
        <v>8065</v>
      </c>
      <c r="F88" s="36">
        <v>7</v>
      </c>
      <c r="G88" t="s" s="35">
        <v>210</v>
      </c>
      <c r="H88" t="s" s="120">
        <v>8066</v>
      </c>
      <c r="I88" t="s" s="35">
        <v>1164</v>
      </c>
      <c r="J88" t="s" s="35">
        <v>634</v>
      </c>
      <c r="K88" t="s" s="35">
        <v>459</v>
      </c>
      <c r="L88" t="s" s="35">
        <v>282</v>
      </c>
      <c r="M88" t="str" s="39" cm="1">
        <f t="array" ref="M88">IF(J88="FUERA","Fuera del marco",_xlfn.IFERROR(INDEX('Datos - Catálogo TIMSS'!$C$5:$C$107,MATCH(J88,'Datos - Catálogo TIMSS'!$A$5:$A$107,0)),"?"))</f>
        <v>Biología</v>
      </c>
      <c r="N88" t="s" s="35">
        <v>8067</v>
      </c>
    </row>
    <row r="89" ht="13.65" customHeight="1">
      <c r="A89" t="s" s="35">
        <v>8068</v>
      </c>
      <c r="B89" t="s" s="35">
        <v>1509</v>
      </c>
      <c r="C89" t="s" s="35">
        <v>8064</v>
      </c>
      <c r="D89" s="36">
        <v>15</v>
      </c>
      <c r="E89" t="s" s="35">
        <v>8065</v>
      </c>
      <c r="F89" s="36">
        <v>7</v>
      </c>
      <c r="G89" t="s" s="35">
        <v>210</v>
      </c>
      <c r="H89" t="s" s="120">
        <v>8069</v>
      </c>
      <c r="I89" t="s" s="35">
        <v>1164</v>
      </c>
      <c r="J89" t="s" s="35">
        <v>1201</v>
      </c>
      <c r="K89" t="s" s="35">
        <v>1290</v>
      </c>
      <c r="L89" t="s" s="35">
        <v>254</v>
      </c>
      <c r="M89" t="str" s="39" cm="1">
        <f t="array" ref="M89">IF(J89="FUERA","Fuera del marco",_xlfn.IFERROR(INDEX('Datos - Catálogo TIMSS'!$C$5:$C$107,MATCH(J89,'Datos - Catálogo TIMSS'!$A$5:$A$107,0)),"?"))</f>
        <v>Biología</v>
      </c>
      <c r="N89" t="s" s="35">
        <v>8070</v>
      </c>
    </row>
    <row r="90" ht="13.65" customHeight="1">
      <c r="A90" t="s" s="35">
        <v>8071</v>
      </c>
      <c r="B90" t="s" s="35">
        <v>1509</v>
      </c>
      <c r="C90" t="s" s="35">
        <v>8064</v>
      </c>
      <c r="D90" s="36">
        <v>15</v>
      </c>
      <c r="E90" t="s" s="35">
        <v>8065</v>
      </c>
      <c r="F90" s="36">
        <v>7</v>
      </c>
      <c r="G90" t="s" s="35">
        <v>210</v>
      </c>
      <c r="H90" t="s" s="120">
        <v>8072</v>
      </c>
      <c r="I90" t="s" s="35">
        <v>1164</v>
      </c>
      <c r="J90" t="s" s="35">
        <v>1174</v>
      </c>
      <c r="K90" t="s" s="35">
        <v>1163</v>
      </c>
      <c r="L90" t="s" s="35">
        <v>254</v>
      </c>
      <c r="M90" t="str" s="39" cm="1">
        <f t="array" ref="M90">IF(J90="FUERA","Fuera del marco",_xlfn.IFERROR(INDEX('Datos - Catálogo TIMSS'!$C$5:$C$107,MATCH(J90,'Datos - Catálogo TIMSS'!$A$5:$A$107,0)),"?"))</f>
        <v>Biología</v>
      </c>
      <c r="N90" t="s" s="35">
        <v>8073</v>
      </c>
    </row>
    <row r="91" ht="13.65" customHeight="1">
      <c r="A91" t="s" s="35">
        <v>8074</v>
      </c>
      <c r="B91" t="s" s="35">
        <v>1509</v>
      </c>
      <c r="C91" t="s" s="35">
        <v>8064</v>
      </c>
      <c r="D91" s="36">
        <v>16</v>
      </c>
      <c r="E91" t="s" s="35">
        <v>8065</v>
      </c>
      <c r="F91" s="36">
        <v>7</v>
      </c>
      <c r="G91" t="s" s="35">
        <v>210</v>
      </c>
      <c r="H91" t="s" s="120">
        <v>8075</v>
      </c>
      <c r="I91" t="s" s="35">
        <v>1164</v>
      </c>
      <c r="J91" t="s" s="35">
        <v>1168</v>
      </c>
      <c r="K91" t="s" s="35">
        <v>1171</v>
      </c>
      <c r="L91" t="s" s="35">
        <v>282</v>
      </c>
      <c r="M91" t="str" s="39" cm="1">
        <f t="array" ref="M91">IF(J91="FUERA","Fuera del marco",_xlfn.IFERROR(INDEX('Datos - Catálogo TIMSS'!$C$5:$C$107,MATCH(J91,'Datos - Catálogo TIMSS'!$A$5:$A$107,0)),"?"))</f>
        <v>Biología</v>
      </c>
      <c r="N91" t="s" s="35">
        <v>8076</v>
      </c>
    </row>
    <row r="92" ht="13.65" customHeight="1">
      <c r="A92" t="s" s="35">
        <v>8077</v>
      </c>
      <c r="B92" t="s" s="35">
        <v>1509</v>
      </c>
      <c r="C92" t="s" s="35">
        <v>8064</v>
      </c>
      <c r="D92" s="36">
        <v>16</v>
      </c>
      <c r="E92" t="s" s="35">
        <v>8065</v>
      </c>
      <c r="F92" s="36">
        <v>7</v>
      </c>
      <c r="G92" t="s" s="35">
        <v>210</v>
      </c>
      <c r="H92" t="s" s="120">
        <v>8078</v>
      </c>
      <c r="I92" t="s" s="35">
        <v>1164</v>
      </c>
      <c r="J92" t="s" s="35">
        <v>1178</v>
      </c>
      <c r="K92" t="s" s="35">
        <v>1168</v>
      </c>
      <c r="L92" t="s" s="35">
        <v>282</v>
      </c>
      <c r="M92" t="str" s="39" cm="1">
        <f t="array" ref="M92">IF(J92="FUERA","Fuera del marco",_xlfn.IFERROR(INDEX('Datos - Catálogo TIMSS'!$C$5:$C$107,MATCH(J92,'Datos - Catálogo TIMSS'!$A$5:$A$107,0)),"?"))</f>
        <v>Biología</v>
      </c>
      <c r="N92" t="s" s="35">
        <v>8079</v>
      </c>
    </row>
    <row r="93" ht="13.65" customHeight="1">
      <c r="A93" t="s" s="35">
        <v>8080</v>
      </c>
      <c r="B93" t="s" s="35">
        <v>1509</v>
      </c>
      <c r="C93" t="s" s="35">
        <v>8064</v>
      </c>
      <c r="D93" s="36">
        <v>17</v>
      </c>
      <c r="E93" t="s" s="35">
        <v>8081</v>
      </c>
      <c r="F93" s="36">
        <v>8</v>
      </c>
      <c r="G93" t="s" s="35">
        <v>210</v>
      </c>
      <c r="H93" t="s" s="120">
        <v>8082</v>
      </c>
      <c r="I93" t="s" s="35">
        <v>1164</v>
      </c>
      <c r="J93" t="s" s="35">
        <v>1832</v>
      </c>
      <c r="K93" s="39"/>
      <c r="L93" t="s" s="35">
        <v>291</v>
      </c>
      <c r="M93" t="str" s="39" cm="1">
        <f t="array" ref="M93">IF(J93="FUERA","Fuera del marco",_xlfn.IFERROR(INDEX('Datos - Catálogo TIMSS'!$C$5:$C$107,MATCH(J93,'Datos - Catálogo TIMSS'!$A$5:$A$107,0)),"?"))</f>
        <v>Fuera del marco</v>
      </c>
      <c r="N93" t="s" s="35">
        <v>8083</v>
      </c>
    </row>
    <row r="94" ht="13.65" customHeight="1">
      <c r="A94" t="s" s="35">
        <v>8084</v>
      </c>
      <c r="B94" t="s" s="35">
        <v>1509</v>
      </c>
      <c r="C94" t="s" s="35">
        <v>8064</v>
      </c>
      <c r="D94" s="36">
        <v>17</v>
      </c>
      <c r="E94" t="s" s="35">
        <v>8081</v>
      </c>
      <c r="F94" s="36">
        <v>8</v>
      </c>
      <c r="G94" t="s" s="35">
        <v>210</v>
      </c>
      <c r="H94" t="s" s="120">
        <v>8085</v>
      </c>
      <c r="I94" t="s" s="35">
        <v>1164</v>
      </c>
      <c r="J94" t="s" s="35">
        <v>1168</v>
      </c>
      <c r="K94" s="39"/>
      <c r="L94" t="s" s="35">
        <v>254</v>
      </c>
      <c r="M94" t="str" s="39" cm="1">
        <f t="array" ref="M94">IF(J94="FUERA","Fuera del marco",_xlfn.IFERROR(INDEX('Datos - Catálogo TIMSS'!$C$5:$C$107,MATCH(J94,'Datos - Catálogo TIMSS'!$A$5:$A$107,0)),"?"))</f>
        <v>Biología</v>
      </c>
      <c r="N94" t="s" s="35">
        <v>8086</v>
      </c>
    </row>
    <row r="95" ht="13.65" customHeight="1">
      <c r="A95" t="s" s="35">
        <v>8087</v>
      </c>
      <c r="B95" t="s" s="35">
        <v>1509</v>
      </c>
      <c r="C95" t="s" s="35">
        <v>8064</v>
      </c>
      <c r="D95" s="36">
        <v>18</v>
      </c>
      <c r="E95" t="s" s="35">
        <v>8081</v>
      </c>
      <c r="F95" s="36">
        <v>8</v>
      </c>
      <c r="G95" t="s" s="35">
        <v>210</v>
      </c>
      <c r="H95" t="s" s="120">
        <v>8088</v>
      </c>
      <c r="I95" t="s" s="35">
        <v>1164</v>
      </c>
      <c r="J95" t="s" s="35">
        <v>1168</v>
      </c>
      <c r="K95" t="s" s="35">
        <v>1205</v>
      </c>
      <c r="L95" t="s" s="35">
        <v>282</v>
      </c>
      <c r="M95" t="str" s="39" cm="1">
        <f t="array" ref="M95">IF(J95="FUERA","Fuera del marco",_xlfn.IFERROR(INDEX('Datos - Catálogo TIMSS'!$C$5:$C$107,MATCH(J95,'Datos - Catálogo TIMSS'!$A$5:$A$107,0)),"?"))</f>
        <v>Biología</v>
      </c>
      <c r="N95" t="s" s="35">
        <v>8089</v>
      </c>
    </row>
    <row r="96" ht="13.65" customHeight="1">
      <c r="A96" t="s" s="35">
        <v>8090</v>
      </c>
      <c r="B96" t="s" s="35">
        <v>1509</v>
      </c>
      <c r="C96" t="s" s="35">
        <v>8064</v>
      </c>
      <c r="D96" s="36">
        <v>18</v>
      </c>
      <c r="E96" t="s" s="35">
        <v>8081</v>
      </c>
      <c r="F96" s="36">
        <v>8</v>
      </c>
      <c r="G96" t="s" s="35">
        <v>210</v>
      </c>
      <c r="H96" t="s" s="120">
        <v>8091</v>
      </c>
      <c r="I96" t="s" s="35">
        <v>1164</v>
      </c>
      <c r="J96" t="s" s="35">
        <v>1168</v>
      </c>
      <c r="K96" t="s" s="35">
        <v>1171</v>
      </c>
      <c r="L96" t="s" s="35">
        <v>254</v>
      </c>
      <c r="M96" t="str" s="39" cm="1">
        <f t="array" ref="M96">IF(J96="FUERA","Fuera del marco",_xlfn.IFERROR(INDEX('Datos - Catálogo TIMSS'!$C$5:$C$107,MATCH(J96,'Datos - Catálogo TIMSS'!$A$5:$A$107,0)),"?"))</f>
        <v>Biología</v>
      </c>
      <c r="N96" t="s" s="35">
        <v>8092</v>
      </c>
    </row>
    <row r="97" ht="13.65" customHeight="1">
      <c r="A97" t="s" s="35">
        <v>8093</v>
      </c>
      <c r="B97" t="s" s="35">
        <v>1509</v>
      </c>
      <c r="C97" t="s" s="35">
        <v>8064</v>
      </c>
      <c r="D97" s="36">
        <v>18</v>
      </c>
      <c r="E97" t="s" s="35">
        <v>8081</v>
      </c>
      <c r="F97" s="36">
        <v>8</v>
      </c>
      <c r="G97" t="s" s="35">
        <v>210</v>
      </c>
      <c r="H97" t="s" s="120">
        <v>8094</v>
      </c>
      <c r="I97" t="s" s="35">
        <v>1164</v>
      </c>
      <c r="J97" t="s" s="35">
        <v>1171</v>
      </c>
      <c r="K97" t="s" s="35">
        <v>1168</v>
      </c>
      <c r="L97" t="s" s="35">
        <v>282</v>
      </c>
      <c r="M97" t="str" s="39" cm="1">
        <f t="array" ref="M97">IF(J97="FUERA","Fuera del marco",_xlfn.IFERROR(INDEX('Datos - Catálogo TIMSS'!$C$5:$C$107,MATCH(J97,'Datos - Catálogo TIMSS'!$A$5:$A$107,0)),"?"))</f>
        <v>Biología</v>
      </c>
      <c r="N97" t="s" s="35">
        <v>8095</v>
      </c>
    </row>
    <row r="98" ht="13.65" customHeight="1">
      <c r="A98" t="s" s="35">
        <v>8096</v>
      </c>
      <c r="B98" t="s" s="35">
        <v>1509</v>
      </c>
      <c r="C98" t="s" s="35">
        <v>8064</v>
      </c>
      <c r="D98" s="36">
        <v>19</v>
      </c>
      <c r="E98" t="s" s="35">
        <v>8081</v>
      </c>
      <c r="F98" s="36">
        <v>8</v>
      </c>
      <c r="G98" t="s" s="35">
        <v>210</v>
      </c>
      <c r="H98" t="s" s="120">
        <v>8097</v>
      </c>
      <c r="I98" t="s" s="35">
        <v>1164</v>
      </c>
      <c r="J98" t="s" s="35">
        <v>1205</v>
      </c>
      <c r="K98" s="39"/>
      <c r="L98" t="s" s="35">
        <v>254</v>
      </c>
      <c r="M98" t="str" s="39" cm="1">
        <f t="array" ref="M98">IF(J98="FUERA","Fuera del marco",_xlfn.IFERROR(INDEX('Datos - Catálogo TIMSS'!$C$5:$C$107,MATCH(J98,'Datos - Catálogo TIMSS'!$A$5:$A$107,0)),"?"))</f>
        <v>Biología</v>
      </c>
      <c r="N98" t="s" s="35">
        <v>8098</v>
      </c>
    </row>
    <row r="99" ht="13.65" customHeight="1">
      <c r="A99" t="s" s="35">
        <v>8099</v>
      </c>
      <c r="B99" t="s" s="35">
        <v>1509</v>
      </c>
      <c r="C99" t="s" s="35">
        <v>8064</v>
      </c>
      <c r="D99" s="36">
        <v>19</v>
      </c>
      <c r="E99" t="s" s="35">
        <v>8081</v>
      </c>
      <c r="F99" s="36">
        <v>8</v>
      </c>
      <c r="G99" t="s" s="35">
        <v>210</v>
      </c>
      <c r="H99" t="s" s="120">
        <v>8100</v>
      </c>
      <c r="I99" t="s" s="35">
        <v>1164</v>
      </c>
      <c r="J99" t="s" s="35">
        <v>1168</v>
      </c>
      <c r="K99" t="s" s="35">
        <v>1205</v>
      </c>
      <c r="L99" t="s" s="35">
        <v>254</v>
      </c>
      <c r="M99" t="str" s="39" cm="1">
        <f t="array" ref="M99">IF(J99="FUERA","Fuera del marco",_xlfn.IFERROR(INDEX('Datos - Catálogo TIMSS'!$C$5:$C$107,MATCH(J99,'Datos - Catálogo TIMSS'!$A$5:$A$107,0)),"?"))</f>
        <v>Biología</v>
      </c>
      <c r="N99" t="s" s="35">
        <v>8101</v>
      </c>
    </row>
    <row r="100" ht="13.65" customHeight="1">
      <c r="A100" t="s" s="35">
        <v>8102</v>
      </c>
      <c r="B100" t="s" s="35">
        <v>1509</v>
      </c>
      <c r="C100" t="s" s="35">
        <v>8064</v>
      </c>
      <c r="D100" s="36">
        <v>20</v>
      </c>
      <c r="E100" t="s" s="35">
        <v>8081</v>
      </c>
      <c r="F100" s="36">
        <v>8</v>
      </c>
      <c r="G100" t="s" s="35">
        <v>210</v>
      </c>
      <c r="H100" t="s" s="120">
        <v>8103</v>
      </c>
      <c r="I100" t="s" s="35">
        <v>1164</v>
      </c>
      <c r="J100" t="s" s="35">
        <v>1168</v>
      </c>
      <c r="K100" t="s" s="35">
        <v>1205</v>
      </c>
      <c r="L100" t="s" s="35">
        <v>254</v>
      </c>
      <c r="M100" t="str" s="39" cm="1">
        <f t="array" ref="M100">IF(J100="FUERA","Fuera del marco",_xlfn.IFERROR(INDEX('Datos - Catálogo TIMSS'!$C$5:$C$107,MATCH(J100,'Datos - Catálogo TIMSS'!$A$5:$A$107,0)),"?"))</f>
        <v>Biología</v>
      </c>
      <c r="N100" t="s" s="35">
        <v>8104</v>
      </c>
    </row>
    <row r="101" ht="13.65" customHeight="1">
      <c r="A101" t="s" s="35">
        <v>8105</v>
      </c>
      <c r="B101" t="s" s="35">
        <v>1509</v>
      </c>
      <c r="C101" t="s" s="35">
        <v>8064</v>
      </c>
      <c r="D101" s="36">
        <v>20</v>
      </c>
      <c r="E101" t="s" s="35">
        <v>8081</v>
      </c>
      <c r="F101" s="36">
        <v>8</v>
      </c>
      <c r="G101" t="s" s="35">
        <v>210</v>
      </c>
      <c r="H101" t="s" s="120">
        <v>8106</v>
      </c>
      <c r="I101" t="s" s="35">
        <v>1164</v>
      </c>
      <c r="J101" t="s" s="35">
        <v>1168</v>
      </c>
      <c r="K101" s="39"/>
      <c r="L101" t="s" s="35">
        <v>254</v>
      </c>
      <c r="M101" t="str" s="39" cm="1">
        <f t="array" ref="M101">IF(J101="FUERA","Fuera del marco",_xlfn.IFERROR(INDEX('Datos - Catálogo TIMSS'!$C$5:$C$107,MATCH(J101,'Datos - Catálogo TIMSS'!$A$5:$A$107,0)),"?"))</f>
        <v>Biología</v>
      </c>
      <c r="N101" t="s" s="35">
        <v>8107</v>
      </c>
    </row>
    <row r="102" ht="13.65" customHeight="1">
      <c r="A102" t="s" s="35">
        <v>8108</v>
      </c>
      <c r="B102" t="s" s="35">
        <v>1509</v>
      </c>
      <c r="C102" t="s" s="35">
        <v>8064</v>
      </c>
      <c r="D102" s="36">
        <v>20</v>
      </c>
      <c r="E102" t="s" s="35">
        <v>8081</v>
      </c>
      <c r="F102" s="36">
        <v>8</v>
      </c>
      <c r="G102" t="s" s="35">
        <v>210</v>
      </c>
      <c r="H102" t="s" s="120">
        <v>8109</v>
      </c>
      <c r="I102" t="s" s="35">
        <v>1164</v>
      </c>
      <c r="J102" t="s" s="35">
        <v>1168</v>
      </c>
      <c r="K102" t="s" s="35">
        <v>1205</v>
      </c>
      <c r="L102" t="s" s="35">
        <v>254</v>
      </c>
      <c r="M102" t="str" s="39" cm="1">
        <f t="array" ref="M102">IF(J102="FUERA","Fuera del marco",_xlfn.IFERROR(INDEX('Datos - Catálogo TIMSS'!$C$5:$C$107,MATCH(J102,'Datos - Catálogo TIMSS'!$A$5:$A$107,0)),"?"))</f>
        <v>Biología</v>
      </c>
      <c r="N102" t="s" s="35">
        <v>8110</v>
      </c>
    </row>
    <row r="103" ht="13.65" customHeight="1">
      <c r="A103" t="s" s="35">
        <v>8111</v>
      </c>
      <c r="B103" t="s" s="35">
        <v>1509</v>
      </c>
      <c r="C103" t="s" s="35">
        <v>8064</v>
      </c>
      <c r="D103" s="36">
        <v>21</v>
      </c>
      <c r="E103" t="s" s="35">
        <v>8081</v>
      </c>
      <c r="F103" s="36">
        <v>8</v>
      </c>
      <c r="G103" t="s" s="35">
        <v>210</v>
      </c>
      <c r="H103" t="s" s="120">
        <v>8112</v>
      </c>
      <c r="I103" t="s" s="35">
        <v>1164</v>
      </c>
      <c r="J103" t="s" s="35">
        <v>1168</v>
      </c>
      <c r="K103" t="s" s="35">
        <v>1205</v>
      </c>
      <c r="L103" t="s" s="35">
        <v>282</v>
      </c>
      <c r="M103" t="str" s="39" cm="1">
        <f t="array" ref="M103">IF(J103="FUERA","Fuera del marco",_xlfn.IFERROR(INDEX('Datos - Catálogo TIMSS'!$C$5:$C$107,MATCH(J103,'Datos - Catálogo TIMSS'!$A$5:$A$107,0)),"?"))</f>
        <v>Biología</v>
      </c>
      <c r="N103" t="s" s="35">
        <v>8113</v>
      </c>
    </row>
    <row r="104" ht="13.65" customHeight="1">
      <c r="A104" t="s" s="35">
        <v>8114</v>
      </c>
      <c r="B104" t="s" s="35">
        <v>1509</v>
      </c>
      <c r="C104" t="s" s="35">
        <v>8064</v>
      </c>
      <c r="D104" s="36">
        <v>21</v>
      </c>
      <c r="E104" t="s" s="35">
        <v>8081</v>
      </c>
      <c r="F104" s="36">
        <v>8</v>
      </c>
      <c r="G104" t="s" s="35">
        <v>210</v>
      </c>
      <c r="H104" t="s" s="120">
        <v>8115</v>
      </c>
      <c r="I104" t="s" s="35">
        <v>1164</v>
      </c>
      <c r="J104" t="s" s="35">
        <v>1168</v>
      </c>
      <c r="K104" s="39"/>
      <c r="L104" t="s" s="35">
        <v>254</v>
      </c>
      <c r="M104" t="str" s="39" cm="1">
        <f t="array" ref="M104">IF(J104="FUERA","Fuera del marco",_xlfn.IFERROR(INDEX('Datos - Catálogo TIMSS'!$C$5:$C$107,MATCH(J104,'Datos - Catálogo TIMSS'!$A$5:$A$107,0)),"?"))</f>
        <v>Biología</v>
      </c>
      <c r="N104" t="s" s="35">
        <v>8116</v>
      </c>
    </row>
    <row r="105" ht="13.65" customHeight="1">
      <c r="A105" t="s" s="35">
        <v>8117</v>
      </c>
      <c r="B105" t="s" s="35">
        <v>1509</v>
      </c>
      <c r="C105" t="s" s="35">
        <v>8064</v>
      </c>
      <c r="D105" s="36">
        <v>21</v>
      </c>
      <c r="E105" t="s" s="35">
        <v>8081</v>
      </c>
      <c r="F105" s="36">
        <v>8</v>
      </c>
      <c r="G105" t="s" s="35">
        <v>210</v>
      </c>
      <c r="H105" t="s" s="120">
        <v>8118</v>
      </c>
      <c r="I105" t="s" s="35">
        <v>1164</v>
      </c>
      <c r="J105" t="s" s="35">
        <v>1168</v>
      </c>
      <c r="K105" s="39"/>
      <c r="L105" t="s" s="35">
        <v>254</v>
      </c>
      <c r="M105" t="str" s="39" cm="1">
        <f t="array" ref="M105">IF(J105="FUERA","Fuera del marco",_xlfn.IFERROR(INDEX('Datos - Catálogo TIMSS'!$C$5:$C$107,MATCH(J105,'Datos - Catálogo TIMSS'!$A$5:$A$107,0)),"?"))</f>
        <v>Biología</v>
      </c>
      <c r="N105" t="s" s="35">
        <v>8119</v>
      </c>
    </row>
    <row r="106" ht="13.65" customHeight="1">
      <c r="A106" t="s" s="35">
        <v>8120</v>
      </c>
      <c r="B106" t="s" s="35">
        <v>1509</v>
      </c>
      <c r="C106" t="s" s="35">
        <v>8064</v>
      </c>
      <c r="D106" s="36">
        <v>21</v>
      </c>
      <c r="E106" t="s" s="35">
        <v>8081</v>
      </c>
      <c r="F106" s="36">
        <v>8</v>
      </c>
      <c r="G106" t="s" s="35">
        <v>210</v>
      </c>
      <c r="H106" t="s" s="120">
        <v>8121</v>
      </c>
      <c r="I106" t="s" s="35">
        <v>1164</v>
      </c>
      <c r="J106" t="s" s="35">
        <v>1168</v>
      </c>
      <c r="K106" s="39"/>
      <c r="L106" t="s" s="35">
        <v>282</v>
      </c>
      <c r="M106" t="str" s="39" cm="1">
        <f t="array" ref="M106">IF(J106="FUERA","Fuera del marco",_xlfn.IFERROR(INDEX('Datos - Catálogo TIMSS'!$C$5:$C$107,MATCH(J106,'Datos - Catálogo TIMSS'!$A$5:$A$107,0)),"?"))</f>
        <v>Biología</v>
      </c>
      <c r="N106" t="s" s="35">
        <v>8122</v>
      </c>
    </row>
    <row r="107" ht="13.65" customHeight="1">
      <c r="A107" t="s" s="35">
        <v>8123</v>
      </c>
      <c r="B107" t="s" s="35">
        <v>1509</v>
      </c>
      <c r="C107" t="s" s="35">
        <v>8124</v>
      </c>
      <c r="D107" s="36">
        <v>12</v>
      </c>
      <c r="E107" t="s" s="35">
        <v>8081</v>
      </c>
      <c r="F107" s="36">
        <v>8</v>
      </c>
      <c r="G107" t="s" s="35">
        <v>7835</v>
      </c>
      <c r="H107" t="s" s="120">
        <v>8125</v>
      </c>
      <c r="I107" t="s" s="35">
        <v>1164</v>
      </c>
      <c r="J107" t="s" s="35">
        <v>1218</v>
      </c>
      <c r="K107" t="s" s="35">
        <v>1212</v>
      </c>
      <c r="L107" t="s" s="35">
        <v>254</v>
      </c>
      <c r="M107" t="str" s="39" cm="1">
        <f t="array" ref="M107">IF(J107="FUERA","Fuera del marco",_xlfn.IFERROR(INDEX('Datos - Catálogo TIMSS'!$C$5:$C$107,MATCH(J107,'Datos - Catálogo TIMSS'!$A$5:$A$107,0)),"?"))</f>
        <v>Química</v>
      </c>
      <c r="N107" t="s" s="35">
        <v>8126</v>
      </c>
    </row>
    <row r="108" ht="13.65" customHeight="1">
      <c r="A108" t="s" s="35">
        <v>8127</v>
      </c>
      <c r="B108" t="s" s="35">
        <v>1509</v>
      </c>
      <c r="C108" t="s" s="35">
        <v>8124</v>
      </c>
      <c r="D108" s="36">
        <v>12</v>
      </c>
      <c r="E108" t="s" s="35">
        <v>8081</v>
      </c>
      <c r="F108" s="36">
        <v>8</v>
      </c>
      <c r="G108" t="s" s="35">
        <v>7835</v>
      </c>
      <c r="H108" t="s" s="120">
        <v>8128</v>
      </c>
      <c r="I108" t="s" s="35">
        <v>1164</v>
      </c>
      <c r="J108" t="s" s="35">
        <v>1234</v>
      </c>
      <c r="K108" t="s" s="35">
        <v>569</v>
      </c>
      <c r="L108" t="s" s="35">
        <v>282</v>
      </c>
      <c r="M108" t="str" s="39" cm="1">
        <f t="array" ref="M108">IF(J108="FUERA","Fuera del marco",_xlfn.IFERROR(INDEX('Datos - Catálogo TIMSS'!$C$5:$C$107,MATCH(J108,'Datos - Catálogo TIMSS'!$A$5:$A$107,0)),"?"))</f>
        <v>Química</v>
      </c>
      <c r="N108" t="s" s="35">
        <v>8129</v>
      </c>
    </row>
    <row r="109" ht="13.65" customHeight="1">
      <c r="A109" t="s" s="35">
        <v>8130</v>
      </c>
      <c r="B109" t="s" s="35">
        <v>1509</v>
      </c>
      <c r="C109" t="s" s="35">
        <v>8124</v>
      </c>
      <c r="D109" s="36">
        <v>12</v>
      </c>
      <c r="E109" t="s" s="35">
        <v>8081</v>
      </c>
      <c r="F109" s="36">
        <v>8</v>
      </c>
      <c r="G109" t="s" s="35">
        <v>7835</v>
      </c>
      <c r="H109" t="s" s="120">
        <v>8131</v>
      </c>
      <c r="I109" t="s" s="35">
        <v>1164</v>
      </c>
      <c r="J109" t="s" s="35">
        <v>575</v>
      </c>
      <c r="K109" t="s" s="35">
        <v>1247</v>
      </c>
      <c r="L109" t="s" s="35">
        <v>282</v>
      </c>
      <c r="M109" t="str" s="39" cm="1">
        <f t="array" ref="M109">IF(J109="FUERA","Fuera del marco",_xlfn.IFERROR(INDEX('Datos - Catálogo TIMSS'!$C$5:$C$107,MATCH(J109,'Datos - Catálogo TIMSS'!$A$5:$A$107,0)),"?"))</f>
        <v>Física</v>
      </c>
      <c r="N109" t="s" s="35">
        <v>8132</v>
      </c>
    </row>
    <row r="110" ht="13.65" customHeight="1">
      <c r="A110" t="s" s="35">
        <v>8133</v>
      </c>
      <c r="B110" t="s" s="35">
        <v>1509</v>
      </c>
      <c r="C110" t="s" s="35">
        <v>8124</v>
      </c>
      <c r="D110" s="36">
        <v>13</v>
      </c>
      <c r="E110" t="s" s="35">
        <v>8081</v>
      </c>
      <c r="F110" s="36">
        <v>8</v>
      </c>
      <c r="G110" t="s" s="35">
        <v>7860</v>
      </c>
      <c r="H110" t="s" s="120">
        <v>8134</v>
      </c>
      <c r="I110" t="s" s="35">
        <v>1164</v>
      </c>
      <c r="J110" t="s" s="35">
        <v>569</v>
      </c>
      <c r="K110" t="s" s="35">
        <v>1234</v>
      </c>
      <c r="L110" t="s" s="35">
        <v>282</v>
      </c>
      <c r="M110" t="str" s="39" cm="1">
        <f t="array" ref="M110">IF(J110="FUERA","Fuera del marco",_xlfn.IFERROR(INDEX('Datos - Catálogo TIMSS'!$C$5:$C$107,MATCH(J110,'Datos - Catálogo TIMSS'!$A$5:$A$107,0)),"?"))</f>
        <v>Física</v>
      </c>
      <c r="N110" t="s" s="35">
        <v>8135</v>
      </c>
    </row>
    <row r="111" ht="13.65" customHeight="1">
      <c r="A111" t="s" s="35">
        <v>8136</v>
      </c>
      <c r="B111" t="s" s="35">
        <v>1509</v>
      </c>
      <c r="C111" t="s" s="35">
        <v>8137</v>
      </c>
      <c r="D111" s="36">
        <v>16</v>
      </c>
      <c r="E111" t="s" s="35">
        <v>8081</v>
      </c>
      <c r="F111" s="36">
        <v>8</v>
      </c>
      <c r="G111" t="s" s="35">
        <v>8138</v>
      </c>
      <c r="H111" t="s" s="120">
        <v>8139</v>
      </c>
      <c r="I111" t="s" s="35">
        <v>1164</v>
      </c>
      <c r="J111" t="s" s="35">
        <v>1189</v>
      </c>
      <c r="K111" t="s" s="35">
        <v>1290</v>
      </c>
      <c r="L111" t="s" s="35">
        <v>291</v>
      </c>
      <c r="M111" t="str" s="39" cm="1">
        <f t="array" ref="M111">IF(J111="FUERA","Fuera del marco",_xlfn.IFERROR(INDEX('Datos - Catálogo TIMSS'!$C$5:$C$107,MATCH(J111,'Datos - Catálogo TIMSS'!$A$5:$A$107,0)),"?"))</f>
        <v>Biología</v>
      </c>
      <c r="N111" t="s" s="35">
        <v>8140</v>
      </c>
    </row>
    <row r="112" ht="13.65" customHeight="1">
      <c r="A112" t="s" s="35">
        <v>8141</v>
      </c>
      <c r="B112" t="s" s="35">
        <v>1509</v>
      </c>
      <c r="C112" t="s" s="35">
        <v>8137</v>
      </c>
      <c r="D112" s="36">
        <v>16</v>
      </c>
      <c r="E112" t="s" s="35">
        <v>8081</v>
      </c>
      <c r="F112" s="36">
        <v>8</v>
      </c>
      <c r="G112" t="s" s="35">
        <v>8138</v>
      </c>
      <c r="H112" t="s" s="120">
        <v>8142</v>
      </c>
      <c r="I112" t="s" s="35">
        <v>1164</v>
      </c>
      <c r="J112" t="s" s="35">
        <v>1189</v>
      </c>
      <c r="K112" s="39"/>
      <c r="L112" t="s" s="35">
        <v>291</v>
      </c>
      <c r="M112" t="str" s="39" cm="1">
        <f t="array" ref="M112">IF(J112="FUERA","Fuera del marco",_xlfn.IFERROR(INDEX('Datos - Catálogo TIMSS'!$C$5:$C$107,MATCH(J112,'Datos - Catálogo TIMSS'!$A$5:$A$107,0)),"?"))</f>
        <v>Biología</v>
      </c>
      <c r="N112" t="s" s="35">
        <v>8143</v>
      </c>
    </row>
    <row r="113" ht="13.65" customHeight="1">
      <c r="A113" t="s" s="35">
        <v>8144</v>
      </c>
      <c r="B113" t="s" s="35">
        <v>1509</v>
      </c>
      <c r="C113" t="s" s="35">
        <v>8137</v>
      </c>
      <c r="D113" s="36">
        <v>17</v>
      </c>
      <c r="E113" t="s" s="35">
        <v>8081</v>
      </c>
      <c r="F113" s="36">
        <v>8</v>
      </c>
      <c r="G113" t="s" s="35">
        <v>8138</v>
      </c>
      <c r="H113" t="s" s="120">
        <v>8145</v>
      </c>
      <c r="I113" t="s" s="35">
        <v>1164</v>
      </c>
      <c r="J113" t="s" s="35">
        <v>1832</v>
      </c>
      <c r="K113" s="39"/>
      <c r="L113" t="s" s="35">
        <v>282</v>
      </c>
      <c r="M113" t="str" s="39" cm="1">
        <f t="array" ref="M113">IF(J113="FUERA","Fuera del marco",_xlfn.IFERROR(INDEX('Datos - Catálogo TIMSS'!$C$5:$C$107,MATCH(J113,'Datos - Catálogo TIMSS'!$A$5:$A$107,0)),"?"))</f>
        <v>Fuera del marco</v>
      </c>
      <c r="N113" t="s" s="35">
        <v>8146</v>
      </c>
    </row>
    <row r="114" ht="13.65" customHeight="1">
      <c r="A114" t="s" s="35">
        <v>8147</v>
      </c>
      <c r="B114" t="s" s="35">
        <v>1509</v>
      </c>
      <c r="C114" t="s" s="35">
        <v>8148</v>
      </c>
      <c r="D114" s="36">
        <v>14</v>
      </c>
      <c r="E114" t="s" s="35">
        <v>8149</v>
      </c>
      <c r="F114" s="36">
        <v>9</v>
      </c>
      <c r="G114" t="s" s="35">
        <v>210</v>
      </c>
      <c r="H114" t="s" s="120">
        <v>8150</v>
      </c>
      <c r="I114" t="s" s="35">
        <v>1164</v>
      </c>
      <c r="J114" t="s" s="35">
        <v>1205</v>
      </c>
      <c r="K114" s="39"/>
      <c r="L114" t="s" s="35">
        <v>282</v>
      </c>
      <c r="M114" t="str" s="39" cm="1">
        <f t="array" ref="M114">IF(J114="FUERA","Fuera del marco",_xlfn.IFERROR(INDEX('Datos - Catálogo TIMSS'!$C$5:$C$107,MATCH(J114,'Datos - Catálogo TIMSS'!$A$5:$A$107,0)),"?"))</f>
        <v>Biología</v>
      </c>
      <c r="N114" t="s" s="35">
        <v>8151</v>
      </c>
    </row>
    <row r="115" ht="13.65" customHeight="1">
      <c r="A115" t="s" s="35">
        <v>8152</v>
      </c>
      <c r="B115" t="s" s="35">
        <v>1509</v>
      </c>
      <c r="C115" t="s" s="35">
        <v>8148</v>
      </c>
      <c r="D115" s="36">
        <v>14</v>
      </c>
      <c r="E115" t="s" s="35">
        <v>8149</v>
      </c>
      <c r="F115" s="36">
        <v>9</v>
      </c>
      <c r="G115" t="s" s="35">
        <v>210</v>
      </c>
      <c r="H115" t="s" s="120">
        <v>8153</v>
      </c>
      <c r="I115" t="s" s="35">
        <v>1164</v>
      </c>
      <c r="J115" t="s" s="35">
        <v>454</v>
      </c>
      <c r="K115" t="s" s="35">
        <v>1201</v>
      </c>
      <c r="L115" t="s" s="35">
        <v>291</v>
      </c>
      <c r="M115" t="str" s="39" cm="1">
        <f t="array" ref="M115">IF(J115="FUERA","Fuera del marco",_xlfn.IFERROR(INDEX('Datos - Catálogo TIMSS'!$C$5:$C$107,MATCH(J115,'Datos - Catálogo TIMSS'!$A$5:$A$107,0)),"?"))</f>
        <v>Biología</v>
      </c>
      <c r="N115" t="s" s="35">
        <v>8154</v>
      </c>
    </row>
    <row r="116" ht="13.65" customHeight="1">
      <c r="A116" t="s" s="35">
        <v>8155</v>
      </c>
      <c r="B116" t="s" s="35">
        <v>1509</v>
      </c>
      <c r="C116" t="s" s="35">
        <v>8148</v>
      </c>
      <c r="D116" s="36">
        <v>14</v>
      </c>
      <c r="E116" t="s" s="35">
        <v>8149</v>
      </c>
      <c r="F116" s="36">
        <v>9</v>
      </c>
      <c r="G116" t="s" s="35">
        <v>210</v>
      </c>
      <c r="H116" t="s" s="120">
        <v>8156</v>
      </c>
      <c r="I116" t="s" s="35">
        <v>1164</v>
      </c>
      <c r="J116" t="s" s="35">
        <v>454</v>
      </c>
      <c r="K116" s="39"/>
      <c r="L116" t="s" s="35">
        <v>282</v>
      </c>
      <c r="M116" t="str" s="39" cm="1">
        <f t="array" ref="M116">IF(J116="FUERA","Fuera del marco",_xlfn.IFERROR(INDEX('Datos - Catálogo TIMSS'!$C$5:$C$107,MATCH(J116,'Datos - Catálogo TIMSS'!$A$5:$A$107,0)),"?"))</f>
        <v>Biología</v>
      </c>
      <c r="N116" t="s" s="35">
        <v>8157</v>
      </c>
    </row>
    <row r="117" ht="13.65" customHeight="1">
      <c r="A117" t="s" s="35">
        <v>8158</v>
      </c>
      <c r="B117" t="s" s="35">
        <v>1509</v>
      </c>
      <c r="C117" t="s" s="35">
        <v>8148</v>
      </c>
      <c r="D117" s="36">
        <v>14</v>
      </c>
      <c r="E117" t="s" s="35">
        <v>8149</v>
      </c>
      <c r="F117" s="36">
        <v>9</v>
      </c>
      <c r="G117" t="s" s="35">
        <v>210</v>
      </c>
      <c r="H117" t="s" s="120">
        <v>8159</v>
      </c>
      <c r="I117" t="s" s="35">
        <v>1164</v>
      </c>
      <c r="J117" t="s" s="35">
        <v>454</v>
      </c>
      <c r="K117" s="39"/>
      <c r="L117" t="s" s="35">
        <v>254</v>
      </c>
      <c r="M117" t="str" s="39" cm="1">
        <f t="array" ref="M117">IF(J117="FUERA","Fuera del marco",_xlfn.IFERROR(INDEX('Datos - Catálogo TIMSS'!$C$5:$C$107,MATCH(J117,'Datos - Catálogo TIMSS'!$A$5:$A$107,0)),"?"))</f>
        <v>Biología</v>
      </c>
      <c r="N117" t="s" s="35">
        <v>8160</v>
      </c>
    </row>
    <row r="118" ht="13.65" customHeight="1">
      <c r="A118" t="s" s="35">
        <v>8161</v>
      </c>
      <c r="B118" t="s" s="35">
        <v>1509</v>
      </c>
      <c r="C118" t="s" s="35">
        <v>8148</v>
      </c>
      <c r="D118" s="36">
        <v>14</v>
      </c>
      <c r="E118" t="s" s="35">
        <v>8149</v>
      </c>
      <c r="F118" s="36">
        <v>9</v>
      </c>
      <c r="G118" t="s" s="35">
        <v>210</v>
      </c>
      <c r="H118" t="s" s="120">
        <v>8162</v>
      </c>
      <c r="I118" t="s" s="35">
        <v>1164</v>
      </c>
      <c r="J118" t="s" s="35">
        <v>454</v>
      </c>
      <c r="K118" s="39"/>
      <c r="L118" t="s" s="35">
        <v>254</v>
      </c>
      <c r="M118" t="str" s="39" cm="1">
        <f t="array" ref="M118">IF(J118="FUERA","Fuera del marco",_xlfn.IFERROR(INDEX('Datos - Catálogo TIMSS'!$C$5:$C$107,MATCH(J118,'Datos - Catálogo TIMSS'!$A$5:$A$107,0)),"?"))</f>
        <v>Biología</v>
      </c>
      <c r="N118" t="s" s="35">
        <v>8163</v>
      </c>
    </row>
    <row r="119" ht="13.65" customHeight="1">
      <c r="A119" t="s" s="35">
        <v>8164</v>
      </c>
      <c r="B119" t="s" s="35">
        <v>1509</v>
      </c>
      <c r="C119" t="s" s="35">
        <v>8148</v>
      </c>
      <c r="D119" s="36">
        <v>14</v>
      </c>
      <c r="E119" t="s" s="35">
        <v>8149</v>
      </c>
      <c r="F119" s="36">
        <v>9</v>
      </c>
      <c r="G119" t="s" s="35">
        <v>210</v>
      </c>
      <c r="H119" t="s" s="120">
        <v>8165</v>
      </c>
      <c r="I119" t="s" s="35">
        <v>1164</v>
      </c>
      <c r="J119" t="s" s="35">
        <v>454</v>
      </c>
      <c r="K119" s="39"/>
      <c r="L119" t="s" s="35">
        <v>254</v>
      </c>
      <c r="M119" t="str" s="39" cm="1">
        <f t="array" ref="M119">IF(J119="FUERA","Fuera del marco",_xlfn.IFERROR(INDEX('Datos - Catálogo TIMSS'!$C$5:$C$107,MATCH(J119,'Datos - Catálogo TIMSS'!$A$5:$A$107,0)),"?"))</f>
        <v>Biología</v>
      </c>
      <c r="N119" t="s" s="35">
        <v>8166</v>
      </c>
    </row>
    <row r="120" ht="13.65" customHeight="1">
      <c r="A120" t="s" s="35">
        <v>8167</v>
      </c>
      <c r="B120" t="s" s="35">
        <v>1509</v>
      </c>
      <c r="C120" t="s" s="35">
        <v>8148</v>
      </c>
      <c r="D120" s="36">
        <v>14</v>
      </c>
      <c r="E120" t="s" s="35">
        <v>8149</v>
      </c>
      <c r="F120" s="36">
        <v>9</v>
      </c>
      <c r="G120" t="s" s="35">
        <v>210</v>
      </c>
      <c r="H120" t="s" s="120">
        <v>8168</v>
      </c>
      <c r="I120" t="s" s="35">
        <v>1164</v>
      </c>
      <c r="J120" t="s" s="35">
        <v>1168</v>
      </c>
      <c r="K120" t="s" s="35">
        <v>454</v>
      </c>
      <c r="L120" t="s" s="35">
        <v>291</v>
      </c>
      <c r="M120" t="str" s="39" cm="1">
        <f t="array" ref="M120">IF(J120="FUERA","Fuera del marco",_xlfn.IFERROR(INDEX('Datos - Catálogo TIMSS'!$C$5:$C$107,MATCH(J120,'Datos - Catálogo TIMSS'!$A$5:$A$107,0)),"?"))</f>
        <v>Biología</v>
      </c>
      <c r="N120" t="s" s="35">
        <v>8169</v>
      </c>
    </row>
    <row r="121" ht="13.65" customHeight="1">
      <c r="A121" t="s" s="35">
        <v>8170</v>
      </c>
      <c r="B121" t="s" s="35">
        <v>1509</v>
      </c>
      <c r="C121" t="s" s="35">
        <v>8148</v>
      </c>
      <c r="D121" s="36">
        <v>15</v>
      </c>
      <c r="E121" t="s" s="35">
        <v>8149</v>
      </c>
      <c r="F121" s="36">
        <v>9</v>
      </c>
      <c r="G121" t="s" s="35">
        <v>210</v>
      </c>
      <c r="H121" t="s" s="120">
        <v>8171</v>
      </c>
      <c r="I121" t="s" s="35">
        <v>1164</v>
      </c>
      <c r="J121" t="s" s="35">
        <v>1284</v>
      </c>
      <c r="K121" t="s" s="35">
        <v>1287</v>
      </c>
      <c r="L121" t="s" s="35">
        <v>254</v>
      </c>
      <c r="M121" t="str" s="39" cm="1">
        <f t="array" ref="M121">IF(J121="FUERA","Fuera del marco",_xlfn.IFERROR(INDEX('Datos - Catálogo TIMSS'!$C$5:$C$107,MATCH(J121,'Datos - Catálogo TIMSS'!$A$5:$A$107,0)),"?"))</f>
        <v>Ciencias de la Tierra</v>
      </c>
      <c r="N121" t="s" s="35">
        <v>8172</v>
      </c>
    </row>
    <row r="122" ht="13.65" customHeight="1">
      <c r="A122" t="s" s="35">
        <v>8173</v>
      </c>
      <c r="B122" t="s" s="35">
        <v>1509</v>
      </c>
      <c r="C122" t="s" s="35">
        <v>8148</v>
      </c>
      <c r="D122" s="36">
        <v>15</v>
      </c>
      <c r="E122" t="s" s="35">
        <v>8149</v>
      </c>
      <c r="F122" s="36">
        <v>9</v>
      </c>
      <c r="G122" t="s" s="35">
        <v>210</v>
      </c>
      <c r="H122" t="s" s="120">
        <v>8174</v>
      </c>
      <c r="I122" t="s" s="35">
        <v>1164</v>
      </c>
      <c r="J122" t="s" s="35">
        <v>1832</v>
      </c>
      <c r="K122" s="39"/>
      <c r="L122" t="s" s="35">
        <v>282</v>
      </c>
      <c r="M122" t="str" s="39" cm="1">
        <f t="array" ref="M122">IF(J122="FUERA","Fuera del marco",_xlfn.IFERROR(INDEX('Datos - Catálogo TIMSS'!$C$5:$C$107,MATCH(J122,'Datos - Catálogo TIMSS'!$A$5:$A$107,0)),"?"))</f>
        <v>Fuera del marco</v>
      </c>
      <c r="N122" t="s" s="35">
        <v>8175</v>
      </c>
    </row>
    <row r="123" ht="13.65" customHeight="1">
      <c r="A123" t="s" s="35">
        <v>8176</v>
      </c>
      <c r="B123" t="s" s="35">
        <v>1509</v>
      </c>
      <c r="C123" t="s" s="35">
        <v>8148</v>
      </c>
      <c r="D123" s="36">
        <v>15</v>
      </c>
      <c r="E123" t="s" s="35">
        <v>8149</v>
      </c>
      <c r="F123" s="36">
        <v>9</v>
      </c>
      <c r="G123" t="s" s="35">
        <v>210</v>
      </c>
      <c r="H123" t="s" s="120">
        <v>8177</v>
      </c>
      <c r="I123" t="s" s="35">
        <v>1164</v>
      </c>
      <c r="J123" t="s" s="35">
        <v>1205</v>
      </c>
      <c r="K123" s="39"/>
      <c r="L123" t="s" s="35">
        <v>254</v>
      </c>
      <c r="M123" t="str" s="39" cm="1">
        <f t="array" ref="M123">IF(J123="FUERA","Fuera del marco",_xlfn.IFERROR(INDEX('Datos - Catálogo TIMSS'!$C$5:$C$107,MATCH(J123,'Datos - Catálogo TIMSS'!$A$5:$A$107,0)),"?"))</f>
        <v>Biología</v>
      </c>
      <c r="N123" t="s" s="35">
        <v>8178</v>
      </c>
    </row>
    <row r="124" ht="13.65" customHeight="1">
      <c r="A124" t="s" s="35">
        <v>8179</v>
      </c>
      <c r="B124" t="s" s="35">
        <v>1509</v>
      </c>
      <c r="C124" t="s" s="35">
        <v>8148</v>
      </c>
      <c r="D124" s="36">
        <v>15</v>
      </c>
      <c r="E124" t="s" s="35">
        <v>8149</v>
      </c>
      <c r="F124" s="36">
        <v>9</v>
      </c>
      <c r="G124" t="s" s="35">
        <v>210</v>
      </c>
      <c r="H124" t="s" s="120">
        <v>8180</v>
      </c>
      <c r="I124" t="s" s="35">
        <v>1164</v>
      </c>
      <c r="J124" t="s" s="35">
        <v>1178</v>
      </c>
      <c r="K124" s="39"/>
      <c r="L124" t="s" s="35">
        <v>291</v>
      </c>
      <c r="M124" t="str" s="39" cm="1">
        <f t="array" ref="M124">IF(J124="FUERA","Fuera del marco",_xlfn.IFERROR(INDEX('Datos - Catálogo TIMSS'!$C$5:$C$107,MATCH(J124,'Datos - Catálogo TIMSS'!$A$5:$A$107,0)),"?"))</f>
        <v>Biología</v>
      </c>
      <c r="N124" t="s" s="35">
        <v>8181</v>
      </c>
    </row>
    <row r="125" ht="13.65" customHeight="1">
      <c r="A125" t="s" s="35">
        <v>8182</v>
      </c>
      <c r="B125" t="s" s="35">
        <v>1509</v>
      </c>
      <c r="C125" t="s" s="35">
        <v>8148</v>
      </c>
      <c r="D125" s="36">
        <v>15</v>
      </c>
      <c r="E125" t="s" s="35">
        <v>8149</v>
      </c>
      <c r="F125" s="36">
        <v>9</v>
      </c>
      <c r="G125" t="s" s="35">
        <v>210</v>
      </c>
      <c r="H125" t="s" s="120">
        <v>8183</v>
      </c>
      <c r="I125" t="s" s="35">
        <v>1164</v>
      </c>
      <c r="J125" t="s" s="35">
        <v>1205</v>
      </c>
      <c r="K125" s="39"/>
      <c r="L125" t="s" s="35">
        <v>282</v>
      </c>
      <c r="M125" t="str" s="39" cm="1">
        <f t="array" ref="M125">IF(J125="FUERA","Fuera del marco",_xlfn.IFERROR(INDEX('Datos - Catálogo TIMSS'!$C$5:$C$107,MATCH(J125,'Datos - Catálogo TIMSS'!$A$5:$A$107,0)),"?"))</f>
        <v>Biología</v>
      </c>
      <c r="N125" t="s" s="35">
        <v>8184</v>
      </c>
    </row>
    <row r="126" ht="13.65" customHeight="1">
      <c r="A126" t="s" s="35">
        <v>8185</v>
      </c>
      <c r="B126" t="s" s="35">
        <v>1509</v>
      </c>
      <c r="C126" t="s" s="35">
        <v>8148</v>
      </c>
      <c r="D126" s="36">
        <v>16</v>
      </c>
      <c r="E126" t="s" s="35">
        <v>8149</v>
      </c>
      <c r="F126" s="36">
        <v>9</v>
      </c>
      <c r="G126" t="s" s="35">
        <v>210</v>
      </c>
      <c r="H126" t="s" s="120">
        <v>8186</v>
      </c>
      <c r="I126" t="s" s="35">
        <v>1164</v>
      </c>
      <c r="J126" t="s" s="35">
        <v>1832</v>
      </c>
      <c r="K126" s="39"/>
      <c r="L126" t="s" s="35">
        <v>282</v>
      </c>
      <c r="M126" t="str" s="39" cm="1">
        <f t="array" ref="M126">IF(J126="FUERA","Fuera del marco",_xlfn.IFERROR(INDEX('Datos - Catálogo TIMSS'!$C$5:$C$107,MATCH(J126,'Datos - Catálogo TIMSS'!$A$5:$A$107,0)),"?"))</f>
        <v>Fuera del marco</v>
      </c>
      <c r="N126" t="s" s="35">
        <v>8187</v>
      </c>
    </row>
    <row r="127" ht="13.65" customHeight="1">
      <c r="A127" t="s" s="35">
        <v>8188</v>
      </c>
      <c r="B127" t="s" s="35">
        <v>1509</v>
      </c>
      <c r="C127" t="s" s="35">
        <v>8148</v>
      </c>
      <c r="D127" s="36">
        <v>16</v>
      </c>
      <c r="E127" t="s" s="35">
        <v>8149</v>
      </c>
      <c r="F127" s="36">
        <v>9</v>
      </c>
      <c r="G127" t="s" s="35">
        <v>210</v>
      </c>
      <c r="H127" t="s" s="120">
        <v>8189</v>
      </c>
      <c r="I127" t="s" s="35">
        <v>1164</v>
      </c>
      <c r="J127" t="s" s="35">
        <v>454</v>
      </c>
      <c r="K127" s="39"/>
      <c r="L127" t="s" s="35">
        <v>282</v>
      </c>
      <c r="M127" t="str" s="39" cm="1">
        <f t="array" ref="M127">IF(J127="FUERA","Fuera del marco",_xlfn.IFERROR(INDEX('Datos - Catálogo TIMSS'!$C$5:$C$107,MATCH(J127,'Datos - Catálogo TIMSS'!$A$5:$A$107,0)),"?"))</f>
        <v>Biología</v>
      </c>
      <c r="N127" t="s" s="35">
        <v>8190</v>
      </c>
    </row>
    <row r="128" ht="13.65" customHeight="1">
      <c r="A128" t="s" s="35">
        <v>8191</v>
      </c>
      <c r="B128" t="s" s="35">
        <v>1509</v>
      </c>
      <c r="C128" t="s" s="35">
        <v>8148</v>
      </c>
      <c r="D128" s="36">
        <v>16</v>
      </c>
      <c r="E128" t="s" s="35">
        <v>8149</v>
      </c>
      <c r="F128" s="36">
        <v>9</v>
      </c>
      <c r="G128" t="s" s="35">
        <v>210</v>
      </c>
      <c r="H128" t="s" s="120">
        <v>8192</v>
      </c>
      <c r="I128" t="s" s="35">
        <v>1164</v>
      </c>
      <c r="J128" t="s" s="35">
        <v>1168</v>
      </c>
      <c r="K128" t="s" s="35">
        <v>1178</v>
      </c>
      <c r="L128" t="s" s="35">
        <v>282</v>
      </c>
      <c r="M128" t="str" s="39" cm="1">
        <f t="array" ref="M128">IF(J128="FUERA","Fuera del marco",_xlfn.IFERROR(INDEX('Datos - Catálogo TIMSS'!$C$5:$C$107,MATCH(J128,'Datos - Catálogo TIMSS'!$A$5:$A$107,0)),"?"))</f>
        <v>Biología</v>
      </c>
      <c r="N128" t="s" s="35">
        <v>8193</v>
      </c>
    </row>
    <row r="129" ht="13.65" customHeight="1">
      <c r="A129" t="s" s="35">
        <v>8194</v>
      </c>
      <c r="B129" t="s" s="35">
        <v>1509</v>
      </c>
      <c r="C129" t="s" s="35">
        <v>8148</v>
      </c>
      <c r="D129" s="36">
        <v>16</v>
      </c>
      <c r="E129" t="s" s="35">
        <v>8149</v>
      </c>
      <c r="F129" s="36">
        <v>9</v>
      </c>
      <c r="G129" t="s" s="35">
        <v>210</v>
      </c>
      <c r="H129" t="s" s="120">
        <v>8195</v>
      </c>
      <c r="I129" t="s" s="35">
        <v>1164</v>
      </c>
      <c r="J129" t="s" s="35">
        <v>1178</v>
      </c>
      <c r="K129" s="39"/>
      <c r="L129" t="s" s="35">
        <v>254</v>
      </c>
      <c r="M129" t="str" s="39" cm="1">
        <f t="array" ref="M129">IF(J129="FUERA","Fuera del marco",_xlfn.IFERROR(INDEX('Datos - Catálogo TIMSS'!$C$5:$C$107,MATCH(J129,'Datos - Catálogo TIMSS'!$A$5:$A$107,0)),"?"))</f>
        <v>Biología</v>
      </c>
      <c r="N129" t="s" s="35">
        <v>8196</v>
      </c>
    </row>
    <row r="130" ht="13.65" customHeight="1">
      <c r="A130" t="s" s="35">
        <v>8197</v>
      </c>
      <c r="B130" t="s" s="35">
        <v>1509</v>
      </c>
      <c r="C130" t="s" s="35">
        <v>8148</v>
      </c>
      <c r="D130" s="36">
        <v>16</v>
      </c>
      <c r="E130" t="s" s="35">
        <v>8149</v>
      </c>
      <c r="F130" s="36">
        <v>9</v>
      </c>
      <c r="G130" t="s" s="35">
        <v>210</v>
      </c>
      <c r="H130" t="s" s="120">
        <v>8198</v>
      </c>
      <c r="I130" t="s" s="35">
        <v>1164</v>
      </c>
      <c r="J130" t="s" s="35">
        <v>1171</v>
      </c>
      <c r="K130" t="s" s="35">
        <v>1178</v>
      </c>
      <c r="L130" t="s" s="35">
        <v>291</v>
      </c>
      <c r="M130" t="str" s="39" cm="1">
        <f t="array" ref="M130">IF(J130="FUERA","Fuera del marco",_xlfn.IFERROR(INDEX('Datos - Catálogo TIMSS'!$C$5:$C$107,MATCH(J130,'Datos - Catálogo TIMSS'!$A$5:$A$107,0)),"?"))</f>
        <v>Biología</v>
      </c>
      <c r="N130" t="s" s="35">
        <v>8199</v>
      </c>
    </row>
    <row r="131" ht="13.65" customHeight="1">
      <c r="A131" t="s" s="35">
        <v>8200</v>
      </c>
      <c r="B131" t="s" s="35">
        <v>1509</v>
      </c>
      <c r="C131" t="s" s="35">
        <v>8201</v>
      </c>
      <c r="D131" s="36">
        <v>12</v>
      </c>
      <c r="E131" t="s" s="35">
        <v>8149</v>
      </c>
      <c r="F131" s="36">
        <v>9</v>
      </c>
      <c r="G131" t="s" s="35">
        <v>222</v>
      </c>
      <c r="H131" t="s" s="120">
        <v>8202</v>
      </c>
      <c r="I131" t="s" s="35">
        <v>1164</v>
      </c>
      <c r="J131" t="s" s="35">
        <v>569</v>
      </c>
      <c r="K131" s="39"/>
      <c r="L131" t="s" s="35">
        <v>291</v>
      </c>
      <c r="M131" t="str" s="39" cm="1">
        <f t="array" ref="M131">IF(J131="FUERA","Fuera del marco",_xlfn.IFERROR(INDEX('Datos - Catálogo TIMSS'!$C$5:$C$107,MATCH(J131,'Datos - Catálogo TIMSS'!$A$5:$A$107,0)),"?"))</f>
        <v>Física</v>
      </c>
      <c r="N131" t="s" s="35">
        <v>8203</v>
      </c>
    </row>
    <row r="132" ht="13.65" customHeight="1">
      <c r="A132" t="s" s="35">
        <v>8204</v>
      </c>
      <c r="B132" t="s" s="35">
        <v>1509</v>
      </c>
      <c r="C132" t="s" s="35">
        <v>8201</v>
      </c>
      <c r="D132" s="36">
        <v>12</v>
      </c>
      <c r="E132" t="s" s="35">
        <v>8149</v>
      </c>
      <c r="F132" s="36">
        <v>9</v>
      </c>
      <c r="G132" t="s" s="35">
        <v>222</v>
      </c>
      <c r="H132" t="s" s="120">
        <v>8205</v>
      </c>
      <c r="I132" t="s" s="35">
        <v>1164</v>
      </c>
      <c r="J132" t="s" s="35">
        <v>575</v>
      </c>
      <c r="K132" t="s" s="35">
        <v>1256</v>
      </c>
      <c r="L132" t="s" s="35">
        <v>254</v>
      </c>
      <c r="M132" t="str" s="39" cm="1">
        <f t="array" ref="M132">IF(J132="FUERA","Fuera del marco",_xlfn.IFERROR(INDEX('Datos - Catálogo TIMSS'!$C$5:$C$107,MATCH(J132,'Datos - Catálogo TIMSS'!$A$5:$A$107,0)),"?"))</f>
        <v>Física</v>
      </c>
      <c r="N132" t="s" s="35">
        <v>8206</v>
      </c>
    </row>
    <row r="133" ht="13.65" customHeight="1">
      <c r="A133" t="s" s="35">
        <v>8207</v>
      </c>
      <c r="B133" t="s" s="35">
        <v>1509</v>
      </c>
      <c r="C133" t="s" s="35">
        <v>8201</v>
      </c>
      <c r="D133" s="36">
        <v>12</v>
      </c>
      <c r="E133" t="s" s="35">
        <v>8149</v>
      </c>
      <c r="F133" s="36">
        <v>9</v>
      </c>
      <c r="G133" t="s" s="35">
        <v>222</v>
      </c>
      <c r="H133" t="s" s="120">
        <v>8208</v>
      </c>
      <c r="I133" t="s" s="35">
        <v>1164</v>
      </c>
      <c r="J133" t="s" s="35">
        <v>535</v>
      </c>
      <c r="K133" t="s" s="35">
        <v>1262</v>
      </c>
      <c r="L133" t="s" s="35">
        <v>282</v>
      </c>
      <c r="M133" t="str" s="39" cm="1">
        <f t="array" ref="M133">IF(J133="FUERA","Fuera del marco",_xlfn.IFERROR(INDEX('Datos - Catálogo TIMSS'!$C$5:$C$107,MATCH(J133,'Datos - Catálogo TIMSS'!$A$5:$A$107,0)),"?"))</f>
        <v>Física</v>
      </c>
      <c r="N133" t="s" s="35">
        <v>8209</v>
      </c>
    </row>
    <row r="134" ht="13.65" customHeight="1">
      <c r="A134" t="s" s="35">
        <v>8210</v>
      </c>
      <c r="B134" t="s" s="35">
        <v>1509</v>
      </c>
      <c r="C134" t="s" s="35">
        <v>8201</v>
      </c>
      <c r="D134" s="36">
        <v>13</v>
      </c>
      <c r="E134" t="s" s="35">
        <v>8149</v>
      </c>
      <c r="F134" s="36">
        <v>9</v>
      </c>
      <c r="G134" t="s" s="35">
        <v>7860</v>
      </c>
      <c r="H134" t="s" s="120">
        <v>8211</v>
      </c>
      <c r="I134" t="s" s="35">
        <v>1164</v>
      </c>
      <c r="J134" t="s" s="35">
        <v>569</v>
      </c>
      <c r="K134" s="39"/>
      <c r="L134" t="s" s="35">
        <v>282</v>
      </c>
      <c r="M134" t="str" s="39" cm="1">
        <f t="array" ref="M134">IF(J134="FUERA","Fuera del marco",_xlfn.IFERROR(INDEX('Datos - Catálogo TIMSS'!$C$5:$C$107,MATCH(J134,'Datos - Catálogo TIMSS'!$A$5:$A$107,0)),"?"))</f>
        <v>Física</v>
      </c>
      <c r="N134" t="s" s="35">
        <v>8212</v>
      </c>
    </row>
    <row r="135" ht="13.65" customHeight="1">
      <c r="A135" t="s" s="35">
        <v>8213</v>
      </c>
      <c r="B135" t="s" s="35">
        <v>1509</v>
      </c>
      <c r="C135" t="s" s="35">
        <v>8214</v>
      </c>
      <c r="D135" s="36">
        <v>12</v>
      </c>
      <c r="E135" t="s" s="35">
        <v>8149</v>
      </c>
      <c r="F135" s="36">
        <v>9</v>
      </c>
      <c r="G135" t="s" s="35">
        <v>220</v>
      </c>
      <c r="H135" t="s" s="120">
        <v>8215</v>
      </c>
      <c r="I135" t="s" s="35">
        <v>1164</v>
      </c>
      <c r="J135" t="s" s="35">
        <v>1212</v>
      </c>
      <c r="K135" t="s" s="35">
        <v>615</v>
      </c>
      <c r="L135" t="s" s="35">
        <v>254</v>
      </c>
      <c r="M135" t="str" s="39" cm="1">
        <f t="array" ref="M135">IF(J135="FUERA","Fuera del marco",_xlfn.IFERROR(INDEX('Datos - Catálogo TIMSS'!$C$5:$C$107,MATCH(J135,'Datos - Catálogo TIMSS'!$A$5:$A$107,0)),"?"))</f>
        <v>Química</v>
      </c>
      <c r="N135" t="s" s="35">
        <v>8216</v>
      </c>
    </row>
    <row r="136" ht="13.65" customHeight="1">
      <c r="A136" t="s" s="35">
        <v>8217</v>
      </c>
      <c r="B136" t="s" s="35">
        <v>1509</v>
      </c>
      <c r="C136" t="s" s="35">
        <v>8214</v>
      </c>
      <c r="D136" s="36">
        <v>12</v>
      </c>
      <c r="E136" t="s" s="35">
        <v>8149</v>
      </c>
      <c r="F136" s="36">
        <v>9</v>
      </c>
      <c r="G136" t="s" s="35">
        <v>220</v>
      </c>
      <c r="H136" t="s" s="120">
        <v>8218</v>
      </c>
      <c r="I136" t="s" s="35">
        <v>1164</v>
      </c>
      <c r="J136" t="s" s="35">
        <v>601</v>
      </c>
      <c r="K136" t="s" s="35">
        <v>1215</v>
      </c>
      <c r="L136" t="s" s="35">
        <v>254</v>
      </c>
      <c r="M136" t="str" s="39" cm="1">
        <f t="array" ref="M136">IF(J136="FUERA","Fuera del marco",_xlfn.IFERROR(INDEX('Datos - Catálogo TIMSS'!$C$5:$C$107,MATCH(J136,'Datos - Catálogo TIMSS'!$A$5:$A$107,0)),"?"))</f>
        <v>Química</v>
      </c>
      <c r="N136" t="s" s="35">
        <v>8219</v>
      </c>
    </row>
    <row r="137" ht="13.65" customHeight="1">
      <c r="A137" t="s" s="35">
        <v>8220</v>
      </c>
      <c r="B137" t="s" s="35">
        <v>1509</v>
      </c>
      <c r="C137" t="s" s="35">
        <v>8214</v>
      </c>
      <c r="D137" s="36">
        <v>13</v>
      </c>
      <c r="E137" t="s" s="35">
        <v>8149</v>
      </c>
      <c r="F137" s="36">
        <v>9</v>
      </c>
      <c r="G137" t="s" s="35">
        <v>220</v>
      </c>
      <c r="H137" t="s" s="120">
        <v>8221</v>
      </c>
      <c r="I137" t="s" s="35">
        <v>1164</v>
      </c>
      <c r="J137" t="s" s="35">
        <v>601</v>
      </c>
      <c r="K137" t="s" s="35">
        <v>1218</v>
      </c>
      <c r="L137" t="s" s="35">
        <v>282</v>
      </c>
      <c r="M137" t="str" s="39" cm="1">
        <f t="array" ref="M137">IF(J137="FUERA","Fuera del marco",_xlfn.IFERROR(INDEX('Datos - Catálogo TIMSS'!$C$5:$C$107,MATCH(J137,'Datos - Catálogo TIMSS'!$A$5:$A$107,0)),"?"))</f>
        <v>Química</v>
      </c>
      <c r="N137" t="s" s="35">
        <v>8222</v>
      </c>
    </row>
    <row r="138" ht="13.65" customHeight="1">
      <c r="A138" t="s" s="35">
        <v>8223</v>
      </c>
      <c r="B138" t="s" s="35">
        <v>1509</v>
      </c>
      <c r="C138" t="s" s="35">
        <v>8214</v>
      </c>
      <c r="D138" s="36">
        <v>13</v>
      </c>
      <c r="E138" t="s" s="35">
        <v>8149</v>
      </c>
      <c r="F138" s="36">
        <v>9</v>
      </c>
      <c r="G138" t="s" s="35">
        <v>220</v>
      </c>
      <c r="H138" t="s" s="120">
        <v>8224</v>
      </c>
      <c r="I138" t="s" s="35">
        <v>1164</v>
      </c>
      <c r="J138" t="s" s="35">
        <v>1231</v>
      </c>
      <c r="K138" t="s" s="35">
        <v>1224</v>
      </c>
      <c r="L138" t="s" s="35">
        <v>282</v>
      </c>
      <c r="M138" t="str" s="39" cm="1">
        <f t="array" ref="M138">IF(J138="FUERA","Fuera del marco",_xlfn.IFERROR(INDEX('Datos - Catálogo TIMSS'!$C$5:$C$107,MATCH(J138,'Datos - Catálogo TIMSS'!$A$5:$A$107,0)),"?"))</f>
        <v>Química</v>
      </c>
      <c r="N138" t="s" s="35">
        <v>8225</v>
      </c>
    </row>
    <row r="139" ht="13.65" customHeight="1">
      <c r="A139" t="s" s="35">
        <v>8226</v>
      </c>
      <c r="B139" t="s" s="35">
        <v>1509</v>
      </c>
      <c r="C139" t="s" s="35">
        <v>8214</v>
      </c>
      <c r="D139" s="36">
        <v>14</v>
      </c>
      <c r="E139" t="s" s="35">
        <v>8149</v>
      </c>
      <c r="F139" s="36">
        <v>9</v>
      </c>
      <c r="G139" t="s" s="35">
        <v>7860</v>
      </c>
      <c r="H139" t="s" s="120">
        <v>8227</v>
      </c>
      <c r="I139" t="s" s="35">
        <v>1164</v>
      </c>
      <c r="J139" t="s" s="35">
        <v>1234</v>
      </c>
      <c r="K139" s="39"/>
      <c r="L139" t="s" s="35">
        <v>254</v>
      </c>
      <c r="M139" t="str" s="39" cm="1">
        <f t="array" ref="M139">IF(J139="FUERA","Fuera del marco",_xlfn.IFERROR(INDEX('Datos - Catálogo TIMSS'!$C$5:$C$107,MATCH(J139,'Datos - Catálogo TIMSS'!$A$5:$A$107,0)),"?"))</f>
        <v>Química</v>
      </c>
      <c r="N139" t="s" s="35">
        <v>8228</v>
      </c>
    </row>
    <row r="140" ht="13.65" customHeight="1">
      <c r="A140" t="s" s="35">
        <v>8229</v>
      </c>
      <c r="B140" t="s" s="35">
        <v>1510</v>
      </c>
      <c r="C140" t="s" s="35">
        <v>8230</v>
      </c>
      <c r="D140" s="36">
        <v>8</v>
      </c>
      <c r="E140" t="s" s="35">
        <v>8231</v>
      </c>
      <c r="F140" s="36">
        <v>1</v>
      </c>
      <c r="G140" s="39"/>
      <c r="H140" t="s" s="120">
        <v>8232</v>
      </c>
      <c r="I140" t="s" s="35">
        <v>1055</v>
      </c>
      <c r="J140" t="s" s="35">
        <v>1106</v>
      </c>
      <c r="K140" t="s" s="35">
        <v>383</v>
      </c>
      <c r="L140" t="s" s="35">
        <v>282</v>
      </c>
      <c r="M140" t="str" s="39" cm="1">
        <f t="array" ref="M140">IF(J140="FUERA","Fuera del marco",_xlfn.IFERROR(INDEX('Datos - Catálogo TIMSS'!$C$5:$C$107,MATCH(J140,'Datos - Catálogo TIMSS'!$A$5:$A$107,0)),"?"))</f>
        <v>Ciencias físicas</v>
      </c>
      <c r="N140" t="s" s="35">
        <v>8233</v>
      </c>
    </row>
    <row r="141" ht="13.65" customHeight="1">
      <c r="A141" t="s" s="35">
        <v>8234</v>
      </c>
      <c r="B141" t="s" s="35">
        <v>1510</v>
      </c>
      <c r="C141" t="s" s="35">
        <v>8230</v>
      </c>
      <c r="D141" s="36">
        <v>8</v>
      </c>
      <c r="E141" t="s" s="35">
        <v>8231</v>
      </c>
      <c r="F141" s="36">
        <v>1</v>
      </c>
      <c r="G141" s="39"/>
      <c r="H141" t="s" s="120">
        <v>8235</v>
      </c>
      <c r="I141" t="s" s="35">
        <v>1055</v>
      </c>
      <c r="J141" t="s" s="35">
        <v>1106</v>
      </c>
      <c r="K141" s="39"/>
      <c r="L141" t="s" s="35">
        <v>254</v>
      </c>
      <c r="M141" t="str" s="39" cm="1">
        <f t="array" ref="M141">IF(J141="FUERA","Fuera del marco",_xlfn.IFERROR(INDEX('Datos - Catálogo TIMSS'!$C$5:$C$107,MATCH(J141,'Datos - Catálogo TIMSS'!$A$5:$A$107,0)),"?"))</f>
        <v>Ciencias físicas</v>
      </c>
      <c r="N141" t="s" s="35">
        <v>8236</v>
      </c>
    </row>
    <row r="142" ht="13.65" customHeight="1">
      <c r="A142" t="s" s="35">
        <v>8237</v>
      </c>
      <c r="B142" t="s" s="35">
        <v>1510</v>
      </c>
      <c r="C142" t="s" s="35">
        <v>8230</v>
      </c>
      <c r="D142" s="36">
        <v>9</v>
      </c>
      <c r="E142" t="s" s="35">
        <v>8231</v>
      </c>
      <c r="F142" s="36">
        <v>1</v>
      </c>
      <c r="G142" s="39"/>
      <c r="H142" t="s" s="120">
        <v>8238</v>
      </c>
      <c r="I142" t="s" s="35">
        <v>1055</v>
      </c>
      <c r="J142" t="s" s="35">
        <v>427</v>
      </c>
      <c r="K142" s="39"/>
      <c r="L142" t="s" s="35">
        <v>254</v>
      </c>
      <c r="M142" t="str" s="39" cm="1">
        <f t="array" ref="M142">IF(J142="FUERA","Fuera del marco",_xlfn.IFERROR(INDEX('Datos - Catálogo TIMSS'!$C$5:$C$107,MATCH(J142,'Datos - Catálogo TIMSS'!$A$5:$A$107,0)),"?"))</f>
        <v>Biología</v>
      </c>
      <c r="N142" t="s" s="35">
        <v>8239</v>
      </c>
    </row>
    <row r="143" ht="13.65" customHeight="1">
      <c r="A143" t="s" s="35">
        <v>8240</v>
      </c>
      <c r="B143" t="s" s="35">
        <v>1510</v>
      </c>
      <c r="C143" t="s" s="35">
        <v>8230</v>
      </c>
      <c r="D143" s="36">
        <v>9</v>
      </c>
      <c r="E143" t="s" s="35">
        <v>8231</v>
      </c>
      <c r="F143" s="36">
        <v>1</v>
      </c>
      <c r="G143" s="39"/>
      <c r="H143" t="s" s="120">
        <v>8241</v>
      </c>
      <c r="I143" t="s" s="35">
        <v>1055</v>
      </c>
      <c r="J143" t="s" s="35">
        <v>1069</v>
      </c>
      <c r="K143" t="s" s="35">
        <v>1074</v>
      </c>
      <c r="L143" t="s" s="35">
        <v>282</v>
      </c>
      <c r="M143" t="str" s="39" cm="1">
        <f t="array" ref="M143">IF(J143="FUERA","Fuera del marco",_xlfn.IFERROR(INDEX('Datos - Catálogo TIMSS'!$C$5:$C$107,MATCH(J143,'Datos - Catálogo TIMSS'!$A$5:$A$107,0)),"?"))</f>
        <v>Biología</v>
      </c>
      <c r="N143" t="s" s="35">
        <v>8242</v>
      </c>
    </row>
    <row r="144" ht="13.65" customHeight="1">
      <c r="A144" t="s" s="35">
        <v>8243</v>
      </c>
      <c r="B144" t="s" s="35">
        <v>1510</v>
      </c>
      <c r="C144" t="s" s="35">
        <v>8244</v>
      </c>
      <c r="D144" s="36">
        <v>37</v>
      </c>
      <c r="E144" t="s" s="35">
        <v>8245</v>
      </c>
      <c r="F144" s="36">
        <v>1</v>
      </c>
      <c r="G144" t="s" s="35">
        <v>8246</v>
      </c>
      <c r="H144" t="s" s="120">
        <v>8247</v>
      </c>
      <c r="I144" t="s" s="35">
        <v>1055</v>
      </c>
      <c r="J144" t="s" s="35">
        <v>1099</v>
      </c>
      <c r="K144" s="39"/>
      <c r="L144" t="s" s="35">
        <v>291</v>
      </c>
      <c r="M144" t="str" s="39" cm="1">
        <f t="array" ref="M144">IF(J144="FUERA","Fuera del marco",_xlfn.IFERROR(INDEX('Datos - Catálogo TIMSS'!$C$5:$C$107,MATCH(J144,'Datos - Catálogo TIMSS'!$A$5:$A$107,0)),"?"))</f>
        <v>Biología</v>
      </c>
      <c r="N144" t="s" s="35">
        <v>8248</v>
      </c>
    </row>
    <row r="145" ht="13.65" customHeight="1">
      <c r="A145" t="s" s="35">
        <v>8249</v>
      </c>
      <c r="B145" t="s" s="35">
        <v>1510</v>
      </c>
      <c r="C145" t="s" s="35">
        <v>8244</v>
      </c>
      <c r="D145" s="36">
        <v>37</v>
      </c>
      <c r="E145" t="s" s="35">
        <v>8245</v>
      </c>
      <c r="F145" s="36">
        <v>1</v>
      </c>
      <c r="G145" t="s" s="35">
        <v>8246</v>
      </c>
      <c r="H145" t="s" s="120">
        <v>8250</v>
      </c>
      <c r="I145" t="s" s="35">
        <v>1055</v>
      </c>
      <c r="J145" t="s" s="35">
        <v>1136</v>
      </c>
      <c r="K145" s="39"/>
      <c r="L145" t="s" s="35">
        <v>282</v>
      </c>
      <c r="M145" t="str" s="39" cm="1">
        <f t="array" ref="M145">IF(J145="FUERA","Fuera del marco",_xlfn.IFERROR(INDEX('Datos - Catálogo TIMSS'!$C$5:$C$107,MATCH(J145,'Datos - Catálogo TIMSS'!$A$5:$A$107,0)),"?"))</f>
        <v>Ciencias físicas</v>
      </c>
      <c r="N145" t="s" s="35">
        <v>8251</v>
      </c>
    </row>
    <row r="146" ht="13.65" customHeight="1">
      <c r="A146" t="s" s="35">
        <v>8252</v>
      </c>
      <c r="B146" t="s" s="35">
        <v>1510</v>
      </c>
      <c r="C146" t="s" s="35">
        <v>8244</v>
      </c>
      <c r="D146" s="36">
        <v>37</v>
      </c>
      <c r="E146" t="s" s="35">
        <v>8245</v>
      </c>
      <c r="F146" s="36">
        <v>1</v>
      </c>
      <c r="G146" t="s" s="35">
        <v>8246</v>
      </c>
      <c r="H146" t="s" s="120">
        <v>8253</v>
      </c>
      <c r="I146" t="s" s="35">
        <v>1055</v>
      </c>
      <c r="J146" t="s" s="35">
        <v>1136</v>
      </c>
      <c r="K146" s="39"/>
      <c r="L146" t="s" s="35">
        <v>291</v>
      </c>
      <c r="M146" t="str" s="39" cm="1">
        <f t="array" ref="M146">IF(J146="FUERA","Fuera del marco",_xlfn.IFERROR(INDEX('Datos - Catálogo TIMSS'!$C$5:$C$107,MATCH(J146,'Datos - Catálogo TIMSS'!$A$5:$A$107,0)),"?"))</f>
        <v>Ciencias físicas</v>
      </c>
      <c r="N146" t="s" s="35">
        <v>8254</v>
      </c>
    </row>
    <row r="147" ht="13.65" customHeight="1">
      <c r="A147" t="s" s="35">
        <v>8255</v>
      </c>
      <c r="B147" t="s" s="35">
        <v>1510</v>
      </c>
      <c r="C147" t="s" s="35">
        <v>8244</v>
      </c>
      <c r="D147" s="36">
        <v>37</v>
      </c>
      <c r="E147" t="s" s="35">
        <v>8245</v>
      </c>
      <c r="F147" s="36">
        <v>1</v>
      </c>
      <c r="G147" t="s" s="35">
        <v>8246</v>
      </c>
      <c r="H147" t="s" s="120">
        <v>8256</v>
      </c>
      <c r="I147" t="s" s="35">
        <v>1055</v>
      </c>
      <c r="J147" t="s" s="35">
        <v>1136</v>
      </c>
      <c r="K147" s="39"/>
      <c r="L147" t="s" s="35">
        <v>282</v>
      </c>
      <c r="M147" t="str" s="39" cm="1">
        <f t="array" ref="M147">IF(J147="FUERA","Fuera del marco",_xlfn.IFERROR(INDEX('Datos - Catálogo TIMSS'!$C$5:$C$107,MATCH(J147,'Datos - Catálogo TIMSS'!$A$5:$A$107,0)),"?"))</f>
        <v>Ciencias físicas</v>
      </c>
      <c r="N147" t="s" s="35">
        <v>8257</v>
      </c>
    </row>
    <row r="148" ht="13.65" customHeight="1">
      <c r="A148" t="s" s="35">
        <v>8258</v>
      </c>
      <c r="B148" t="s" s="35">
        <v>1510</v>
      </c>
      <c r="C148" t="s" s="35">
        <v>8244</v>
      </c>
      <c r="D148" s="36">
        <v>37</v>
      </c>
      <c r="E148" t="s" s="35">
        <v>8245</v>
      </c>
      <c r="F148" s="36">
        <v>1</v>
      </c>
      <c r="G148" t="s" s="35">
        <v>8246</v>
      </c>
      <c r="H148" t="s" s="120">
        <v>8259</v>
      </c>
      <c r="I148" t="s" s="35">
        <v>1055</v>
      </c>
      <c r="J148" t="s" s="35">
        <v>1099</v>
      </c>
      <c r="K148" s="39"/>
      <c r="L148" t="s" s="35">
        <v>282</v>
      </c>
      <c r="M148" t="str" s="39" cm="1">
        <f t="array" ref="M148">IF(J148="FUERA","Fuera del marco",_xlfn.IFERROR(INDEX('Datos - Catálogo TIMSS'!$C$5:$C$107,MATCH(J148,'Datos - Catálogo TIMSS'!$A$5:$A$107,0)),"?"))</f>
        <v>Biología</v>
      </c>
      <c r="N148" t="s" s="35">
        <v>8260</v>
      </c>
    </row>
    <row r="149" ht="13.65" customHeight="1">
      <c r="A149" t="s" s="35">
        <v>8261</v>
      </c>
      <c r="B149" t="s" s="35">
        <v>1510</v>
      </c>
      <c r="C149" t="s" s="35">
        <v>8244</v>
      </c>
      <c r="D149" s="36">
        <v>37</v>
      </c>
      <c r="E149" t="s" s="35">
        <v>8245</v>
      </c>
      <c r="F149" s="36">
        <v>1</v>
      </c>
      <c r="G149" t="s" s="35">
        <v>8246</v>
      </c>
      <c r="H149" t="s" s="120">
        <v>8262</v>
      </c>
      <c r="I149" t="s" s="35">
        <v>1055</v>
      </c>
      <c r="J149" t="s" s="35">
        <v>1136</v>
      </c>
      <c r="K149" t="s" s="35">
        <v>1159</v>
      </c>
      <c r="L149" t="s" s="35">
        <v>254</v>
      </c>
      <c r="M149" t="str" s="39" cm="1">
        <f t="array" ref="M149">IF(J149="FUERA","Fuera del marco",_xlfn.IFERROR(INDEX('Datos - Catálogo TIMSS'!$C$5:$C$107,MATCH(J149,'Datos - Catálogo TIMSS'!$A$5:$A$107,0)),"?"))</f>
        <v>Ciencias físicas</v>
      </c>
      <c r="N149" t="s" s="35">
        <v>8263</v>
      </c>
    </row>
    <row r="150" ht="13.65" customHeight="1">
      <c r="A150" t="s" s="35">
        <v>8264</v>
      </c>
      <c r="B150" t="s" s="35">
        <v>1510</v>
      </c>
      <c r="C150" t="s" s="35">
        <v>8244</v>
      </c>
      <c r="D150" s="36">
        <v>37</v>
      </c>
      <c r="E150" t="s" s="35">
        <v>8245</v>
      </c>
      <c r="F150" s="36">
        <v>1</v>
      </c>
      <c r="G150" t="s" s="35">
        <v>8246</v>
      </c>
      <c r="H150" t="s" s="120">
        <v>8265</v>
      </c>
      <c r="I150" t="s" s="35">
        <v>1055</v>
      </c>
      <c r="J150" t="s" s="35">
        <v>1099</v>
      </c>
      <c r="K150" s="39"/>
      <c r="L150" t="s" s="35">
        <v>282</v>
      </c>
      <c r="M150" t="str" s="39" cm="1">
        <f t="array" ref="M150">IF(J150="FUERA","Fuera del marco",_xlfn.IFERROR(INDEX('Datos - Catálogo TIMSS'!$C$5:$C$107,MATCH(J150,'Datos - Catálogo TIMSS'!$A$5:$A$107,0)),"?"))</f>
        <v>Biología</v>
      </c>
      <c r="N150" t="s" s="35">
        <v>8266</v>
      </c>
    </row>
    <row r="151" ht="13.65" customHeight="1">
      <c r="A151" t="s" s="35">
        <v>8267</v>
      </c>
      <c r="B151" t="s" s="35">
        <v>1510</v>
      </c>
      <c r="C151" t="s" s="35">
        <v>8244</v>
      </c>
      <c r="D151" s="36">
        <v>37</v>
      </c>
      <c r="E151" t="s" s="35">
        <v>8245</v>
      </c>
      <c r="F151" s="36">
        <v>1</v>
      </c>
      <c r="G151" t="s" s="35">
        <v>8246</v>
      </c>
      <c r="H151" t="s" s="120">
        <v>8268</v>
      </c>
      <c r="I151" t="s" s="35">
        <v>1055</v>
      </c>
      <c r="J151" t="s" s="35">
        <v>1832</v>
      </c>
      <c r="K151" s="39"/>
      <c r="L151" t="s" s="35">
        <v>282</v>
      </c>
      <c r="M151" t="str" s="39" cm="1">
        <f t="array" ref="M151">IF(J151="FUERA","Fuera del marco",_xlfn.IFERROR(INDEX('Datos - Catálogo TIMSS'!$C$5:$C$107,MATCH(J151,'Datos - Catálogo TIMSS'!$A$5:$A$107,0)),"?"))</f>
        <v>Fuera del marco</v>
      </c>
      <c r="N151" t="s" s="35">
        <v>8269</v>
      </c>
    </row>
    <row r="152" ht="13.65" customHeight="1">
      <c r="A152" t="s" s="35">
        <v>8270</v>
      </c>
      <c r="B152" t="s" s="35">
        <v>1510</v>
      </c>
      <c r="C152" t="s" s="35">
        <v>8244</v>
      </c>
      <c r="D152" s="36">
        <v>37</v>
      </c>
      <c r="E152" t="s" s="35">
        <v>8245</v>
      </c>
      <c r="F152" s="36">
        <v>1</v>
      </c>
      <c r="G152" t="s" s="35">
        <v>8246</v>
      </c>
      <c r="H152" t="s" s="120">
        <v>8271</v>
      </c>
      <c r="I152" t="s" s="35">
        <v>1055</v>
      </c>
      <c r="J152" t="s" s="35">
        <v>1832</v>
      </c>
      <c r="K152" s="39"/>
      <c r="L152" t="s" s="35">
        <v>282</v>
      </c>
      <c r="M152" t="str" s="39" cm="1">
        <f t="array" ref="M152">IF(J152="FUERA","Fuera del marco",_xlfn.IFERROR(INDEX('Datos - Catálogo TIMSS'!$C$5:$C$107,MATCH(J152,'Datos - Catálogo TIMSS'!$A$5:$A$107,0)),"?"))</f>
        <v>Fuera del marco</v>
      </c>
      <c r="N152" t="s" s="35">
        <v>8272</v>
      </c>
    </row>
    <row r="153" ht="13.65" customHeight="1">
      <c r="A153" t="s" s="35">
        <v>8273</v>
      </c>
      <c r="B153" t="s" s="35">
        <v>1510</v>
      </c>
      <c r="C153" t="s" s="35">
        <v>8244</v>
      </c>
      <c r="D153" s="36">
        <v>37</v>
      </c>
      <c r="E153" t="s" s="35">
        <v>8245</v>
      </c>
      <c r="F153" s="36">
        <v>1</v>
      </c>
      <c r="G153" t="s" s="35">
        <v>8246</v>
      </c>
      <c r="H153" t="s" s="120">
        <v>8274</v>
      </c>
      <c r="I153" t="s" s="35">
        <v>1055</v>
      </c>
      <c r="J153" t="s" s="35">
        <v>1832</v>
      </c>
      <c r="K153" s="39"/>
      <c r="L153" t="s" s="35">
        <v>291</v>
      </c>
      <c r="M153" t="str" s="39" cm="1">
        <f t="array" ref="M153">IF(J153="FUERA","Fuera del marco",_xlfn.IFERROR(INDEX('Datos - Catálogo TIMSS'!$C$5:$C$107,MATCH(J153,'Datos - Catálogo TIMSS'!$A$5:$A$107,0)),"?"))</f>
        <v>Fuera del marco</v>
      </c>
      <c r="N153" t="s" s="35">
        <v>8275</v>
      </c>
    </row>
    <row r="154" ht="13.65" customHeight="1">
      <c r="A154" t="s" s="35">
        <v>8276</v>
      </c>
      <c r="B154" t="s" s="35">
        <v>1510</v>
      </c>
      <c r="C154" t="s" s="35">
        <v>8244</v>
      </c>
      <c r="D154" s="36">
        <v>37</v>
      </c>
      <c r="E154" t="s" s="35">
        <v>8245</v>
      </c>
      <c r="F154" s="36">
        <v>1</v>
      </c>
      <c r="G154" t="s" s="35">
        <v>8246</v>
      </c>
      <c r="H154" t="s" s="120">
        <v>8277</v>
      </c>
      <c r="I154" t="s" s="35">
        <v>1055</v>
      </c>
      <c r="J154" t="s" s="35">
        <v>1832</v>
      </c>
      <c r="K154" s="39"/>
      <c r="L154" t="s" s="35">
        <v>254</v>
      </c>
      <c r="M154" t="str" s="39" cm="1">
        <f t="array" ref="M154">IF(J154="FUERA","Fuera del marco",_xlfn.IFERROR(INDEX('Datos - Catálogo TIMSS'!$C$5:$C$107,MATCH(J154,'Datos - Catálogo TIMSS'!$A$5:$A$107,0)),"?"))</f>
        <v>Fuera del marco</v>
      </c>
      <c r="N154" t="s" s="35">
        <v>8278</v>
      </c>
    </row>
    <row r="155" ht="13.65" customHeight="1">
      <c r="A155" t="s" s="35">
        <v>8279</v>
      </c>
      <c r="B155" t="s" s="35">
        <v>1510</v>
      </c>
      <c r="C155" t="s" s="35">
        <v>8244</v>
      </c>
      <c r="D155" s="36">
        <v>37</v>
      </c>
      <c r="E155" t="s" s="35">
        <v>8245</v>
      </c>
      <c r="F155" s="36">
        <v>1</v>
      </c>
      <c r="G155" t="s" s="35">
        <v>8246</v>
      </c>
      <c r="H155" t="s" s="120">
        <v>8280</v>
      </c>
      <c r="I155" t="s" s="35">
        <v>1055</v>
      </c>
      <c r="J155" t="s" s="35">
        <v>1832</v>
      </c>
      <c r="K155" s="39"/>
      <c r="L155" t="s" s="35">
        <v>291</v>
      </c>
      <c r="M155" t="str" s="39" cm="1">
        <f t="array" ref="M155">IF(J155="FUERA","Fuera del marco",_xlfn.IFERROR(INDEX('Datos - Catálogo TIMSS'!$C$5:$C$107,MATCH(J155,'Datos - Catálogo TIMSS'!$A$5:$A$107,0)),"?"))</f>
        <v>Fuera del marco</v>
      </c>
      <c r="N155" t="s" s="35">
        <v>8281</v>
      </c>
    </row>
    <row r="156" ht="13.65" customHeight="1">
      <c r="A156" t="s" s="35">
        <v>8282</v>
      </c>
      <c r="B156" t="s" s="35">
        <v>1510</v>
      </c>
      <c r="C156" t="s" s="35">
        <v>8244</v>
      </c>
      <c r="D156" s="36">
        <v>37</v>
      </c>
      <c r="E156" t="s" s="35">
        <v>8245</v>
      </c>
      <c r="F156" s="36">
        <v>1</v>
      </c>
      <c r="G156" t="s" s="35">
        <v>8246</v>
      </c>
      <c r="H156" t="s" s="120">
        <v>8283</v>
      </c>
      <c r="I156" t="s" s="35">
        <v>1055</v>
      </c>
      <c r="J156" t="s" s="35">
        <v>1832</v>
      </c>
      <c r="K156" s="39"/>
      <c r="L156" t="s" s="35">
        <v>282</v>
      </c>
      <c r="M156" t="str" s="39" cm="1">
        <f t="array" ref="M156">IF(J156="FUERA","Fuera del marco",_xlfn.IFERROR(INDEX('Datos - Catálogo TIMSS'!$C$5:$C$107,MATCH(J156,'Datos - Catálogo TIMSS'!$A$5:$A$107,0)),"?"))</f>
        <v>Fuera del marco</v>
      </c>
      <c r="N156" t="s" s="35">
        <v>8284</v>
      </c>
    </row>
    <row r="157" ht="13.65" customHeight="1">
      <c r="A157" t="s" s="35">
        <v>8285</v>
      </c>
      <c r="B157" t="s" s="35">
        <v>1510</v>
      </c>
      <c r="C157" t="s" s="35">
        <v>8244</v>
      </c>
      <c r="D157" s="36">
        <v>38</v>
      </c>
      <c r="E157" t="s" s="35">
        <v>8245</v>
      </c>
      <c r="F157" s="36">
        <v>1</v>
      </c>
      <c r="G157" t="s" s="35">
        <v>8286</v>
      </c>
      <c r="H157" t="s" s="120">
        <v>8287</v>
      </c>
      <c r="I157" t="s" s="35">
        <v>1055</v>
      </c>
      <c r="J157" t="s" s="35">
        <v>1106</v>
      </c>
      <c r="K157" s="39"/>
      <c r="L157" t="s" s="35">
        <v>291</v>
      </c>
      <c r="M157" t="str" s="39" cm="1">
        <f t="array" ref="M157">IF(J157="FUERA","Fuera del marco",_xlfn.IFERROR(INDEX('Datos - Catálogo TIMSS'!$C$5:$C$107,MATCH(J157,'Datos - Catálogo TIMSS'!$A$5:$A$107,0)),"?"))</f>
        <v>Ciencias físicas</v>
      </c>
      <c r="N157" t="s" s="35">
        <v>8288</v>
      </c>
    </row>
    <row r="158" ht="13.65" customHeight="1">
      <c r="A158" t="s" s="35">
        <v>8289</v>
      </c>
      <c r="B158" t="s" s="35">
        <v>1510</v>
      </c>
      <c r="C158" t="s" s="35">
        <v>8244</v>
      </c>
      <c r="D158" s="36">
        <v>38</v>
      </c>
      <c r="E158" t="s" s="35">
        <v>8245</v>
      </c>
      <c r="F158" s="36">
        <v>1</v>
      </c>
      <c r="G158" t="s" s="35">
        <v>8286</v>
      </c>
      <c r="H158" t="s" s="120">
        <v>8290</v>
      </c>
      <c r="I158" t="s" s="35">
        <v>1055</v>
      </c>
      <c r="J158" t="s" s="35">
        <v>1106</v>
      </c>
      <c r="K158" s="39"/>
      <c r="L158" t="s" s="35">
        <v>291</v>
      </c>
      <c r="M158" t="str" s="39" cm="1">
        <f t="array" ref="M158">IF(J158="FUERA","Fuera del marco",_xlfn.IFERROR(INDEX('Datos - Catálogo TIMSS'!$C$5:$C$107,MATCH(J158,'Datos - Catálogo TIMSS'!$A$5:$A$107,0)),"?"))</f>
        <v>Ciencias físicas</v>
      </c>
      <c r="N158" t="s" s="35">
        <v>8291</v>
      </c>
    </row>
    <row r="159" ht="13.65" customHeight="1">
      <c r="A159" t="s" s="35">
        <v>8292</v>
      </c>
      <c r="B159" t="s" s="35">
        <v>1510</v>
      </c>
      <c r="C159" t="s" s="35">
        <v>8244</v>
      </c>
      <c r="D159" s="36">
        <v>38</v>
      </c>
      <c r="E159" t="s" s="35">
        <v>8245</v>
      </c>
      <c r="F159" s="36">
        <v>1</v>
      </c>
      <c r="G159" t="s" s="35">
        <v>8286</v>
      </c>
      <c r="H159" t="s" s="120">
        <v>8293</v>
      </c>
      <c r="I159" t="s" s="35">
        <v>1055</v>
      </c>
      <c r="J159" t="s" s="35">
        <v>317</v>
      </c>
      <c r="K159" t="s" s="35">
        <v>303</v>
      </c>
      <c r="L159" t="s" s="35">
        <v>282</v>
      </c>
      <c r="M159" t="str" s="39" cm="1">
        <f t="array" ref="M159">IF(J159="FUERA","Fuera del marco",_xlfn.IFERROR(INDEX('Datos - Catálogo TIMSS'!$C$5:$C$107,MATCH(J159,'Datos - Catálogo TIMSS'!$A$5:$A$107,0)),"?"))</f>
        <v>Ciencias físicas</v>
      </c>
      <c r="N159" t="s" s="35">
        <v>8294</v>
      </c>
    </row>
    <row r="160" ht="13.65" customHeight="1">
      <c r="A160" t="s" s="35">
        <v>8295</v>
      </c>
      <c r="B160" t="s" s="35">
        <v>1510</v>
      </c>
      <c r="C160" t="s" s="35">
        <v>8244</v>
      </c>
      <c r="D160" s="36">
        <v>38</v>
      </c>
      <c r="E160" t="s" s="35">
        <v>8245</v>
      </c>
      <c r="F160" s="36">
        <v>1</v>
      </c>
      <c r="G160" t="s" s="35">
        <v>8286</v>
      </c>
      <c r="H160" t="s" s="120">
        <v>8296</v>
      </c>
      <c r="I160" t="s" s="35">
        <v>1055</v>
      </c>
      <c r="J160" t="s" s="35">
        <v>295</v>
      </c>
      <c r="K160" s="39"/>
      <c r="L160" t="s" s="35">
        <v>282</v>
      </c>
      <c r="M160" t="str" s="39" cm="1">
        <f t="array" ref="M160">IF(J160="FUERA","Fuera del marco",_xlfn.IFERROR(INDEX('Datos - Catálogo TIMSS'!$C$5:$C$107,MATCH(J160,'Datos - Catálogo TIMSS'!$A$5:$A$107,0)),"?"))</f>
        <v>Ciencias físicas</v>
      </c>
      <c r="N160" t="s" s="35">
        <v>8297</v>
      </c>
    </row>
    <row r="161" ht="13.65" customHeight="1">
      <c r="A161" t="s" s="35">
        <v>8298</v>
      </c>
      <c r="B161" t="s" s="35">
        <v>1510</v>
      </c>
      <c r="C161" t="s" s="35">
        <v>8244</v>
      </c>
      <c r="D161" s="36">
        <v>38</v>
      </c>
      <c r="E161" t="s" s="35">
        <v>8245</v>
      </c>
      <c r="F161" s="36">
        <v>1</v>
      </c>
      <c r="G161" t="s" s="35">
        <v>8286</v>
      </c>
      <c r="H161" t="s" s="120">
        <v>8299</v>
      </c>
      <c r="I161" t="s" s="35">
        <v>1055</v>
      </c>
      <c r="J161" t="s" s="35">
        <v>295</v>
      </c>
      <c r="K161" t="s" s="35">
        <v>1112</v>
      </c>
      <c r="L161" t="s" s="35">
        <v>282</v>
      </c>
      <c r="M161" t="str" s="39" cm="1">
        <f t="array" ref="M161">IF(J161="FUERA","Fuera del marco",_xlfn.IFERROR(INDEX('Datos - Catálogo TIMSS'!$C$5:$C$107,MATCH(J161,'Datos - Catálogo TIMSS'!$A$5:$A$107,0)),"?"))</f>
        <v>Ciencias físicas</v>
      </c>
      <c r="N161" t="s" s="35">
        <v>8300</v>
      </c>
    </row>
    <row r="162" ht="13.65" customHeight="1">
      <c r="A162" t="s" s="35">
        <v>8301</v>
      </c>
      <c r="B162" t="s" s="35">
        <v>1510</v>
      </c>
      <c r="C162" t="s" s="35">
        <v>8244</v>
      </c>
      <c r="D162" s="36">
        <v>38</v>
      </c>
      <c r="E162" t="s" s="35">
        <v>8245</v>
      </c>
      <c r="F162" s="36">
        <v>1</v>
      </c>
      <c r="G162" t="s" s="35">
        <v>8286</v>
      </c>
      <c r="H162" t="s" s="120">
        <v>8302</v>
      </c>
      <c r="I162" t="s" s="35">
        <v>1055</v>
      </c>
      <c r="J162" t="s" s="35">
        <v>1832</v>
      </c>
      <c r="K162" s="39"/>
      <c r="L162" t="s" s="35">
        <v>254</v>
      </c>
      <c r="M162" t="str" s="39" cm="1">
        <f t="array" ref="M162">IF(J162="FUERA","Fuera del marco",_xlfn.IFERROR(INDEX('Datos - Catálogo TIMSS'!$C$5:$C$107,MATCH(J162,'Datos - Catálogo TIMSS'!$A$5:$A$107,0)),"?"))</f>
        <v>Fuera del marco</v>
      </c>
      <c r="N162" t="s" s="35">
        <v>8303</v>
      </c>
    </row>
    <row r="163" ht="13.65" customHeight="1">
      <c r="A163" t="s" s="35">
        <v>8304</v>
      </c>
      <c r="B163" t="s" s="35">
        <v>1510</v>
      </c>
      <c r="C163" t="s" s="35">
        <v>8244</v>
      </c>
      <c r="D163" s="36">
        <v>38</v>
      </c>
      <c r="E163" t="s" s="35">
        <v>8245</v>
      </c>
      <c r="F163" s="36">
        <v>1</v>
      </c>
      <c r="G163" t="s" s="35">
        <v>8286</v>
      </c>
      <c r="H163" t="s" s="120">
        <v>8305</v>
      </c>
      <c r="I163" t="s" s="35">
        <v>1055</v>
      </c>
      <c r="J163" t="s" s="35">
        <v>274</v>
      </c>
      <c r="K163" s="39"/>
      <c r="L163" t="s" s="35">
        <v>291</v>
      </c>
      <c r="M163" t="str" s="39" cm="1">
        <f t="array" ref="M163">IF(J163="FUERA","Fuera del marco",_xlfn.IFERROR(INDEX('Datos - Catálogo TIMSS'!$C$5:$C$107,MATCH(J163,'Datos - Catálogo TIMSS'!$A$5:$A$107,0)),"?"))</f>
        <v>Ciencias de la Tierra</v>
      </c>
      <c r="N163" t="s" s="35">
        <v>8306</v>
      </c>
    </row>
    <row r="164" ht="13.65" customHeight="1">
      <c r="A164" t="s" s="35">
        <v>8307</v>
      </c>
      <c r="B164" t="s" s="35">
        <v>1510</v>
      </c>
      <c r="C164" t="s" s="35">
        <v>8244</v>
      </c>
      <c r="D164" s="36">
        <v>38</v>
      </c>
      <c r="E164" t="s" s="35">
        <v>8245</v>
      </c>
      <c r="F164" s="36">
        <v>1</v>
      </c>
      <c r="G164" t="s" s="35">
        <v>8286</v>
      </c>
      <c r="H164" t="s" s="120">
        <v>8308</v>
      </c>
      <c r="I164" t="s" s="35">
        <v>1055</v>
      </c>
      <c r="J164" t="s" s="35">
        <v>346</v>
      </c>
      <c r="K164" t="s" s="35">
        <v>1093</v>
      </c>
      <c r="L164" t="s" s="35">
        <v>254</v>
      </c>
      <c r="M164" t="str" s="39" cm="1">
        <f t="array" ref="M164">IF(J164="FUERA","Fuera del marco",_xlfn.IFERROR(INDEX('Datos - Catálogo TIMSS'!$C$5:$C$107,MATCH(J164,'Datos - Catálogo TIMSS'!$A$5:$A$107,0)),"?"))</f>
        <v>Biología</v>
      </c>
      <c r="N164" t="s" s="35">
        <v>8309</v>
      </c>
    </row>
    <row r="165" ht="13.65" customHeight="1">
      <c r="A165" t="s" s="35">
        <v>8310</v>
      </c>
      <c r="B165" t="s" s="35">
        <v>1510</v>
      </c>
      <c r="C165" t="s" s="35">
        <v>8244</v>
      </c>
      <c r="D165" s="36">
        <v>38</v>
      </c>
      <c r="E165" t="s" s="35">
        <v>8245</v>
      </c>
      <c r="F165" s="36">
        <v>1</v>
      </c>
      <c r="G165" t="s" s="35">
        <v>8311</v>
      </c>
      <c r="H165" t="s" s="120">
        <v>8312</v>
      </c>
      <c r="I165" t="s" s="35">
        <v>1055</v>
      </c>
      <c r="J165" t="s" s="35">
        <v>1106</v>
      </c>
      <c r="K165" s="39"/>
      <c r="L165" t="s" s="35">
        <v>254</v>
      </c>
      <c r="M165" t="str" s="39" cm="1">
        <f t="array" ref="M165">IF(J165="FUERA","Fuera del marco",_xlfn.IFERROR(INDEX('Datos - Catálogo TIMSS'!$C$5:$C$107,MATCH(J165,'Datos - Catálogo TIMSS'!$A$5:$A$107,0)),"?"))</f>
        <v>Ciencias físicas</v>
      </c>
      <c r="N165" t="s" s="35">
        <v>8313</v>
      </c>
    </row>
    <row r="166" ht="13.65" customHeight="1">
      <c r="A166" t="s" s="35">
        <v>8314</v>
      </c>
      <c r="B166" t="s" s="35">
        <v>1510</v>
      </c>
      <c r="C166" t="s" s="35">
        <v>8244</v>
      </c>
      <c r="D166" s="36">
        <v>38</v>
      </c>
      <c r="E166" t="s" s="35">
        <v>8245</v>
      </c>
      <c r="F166" s="36">
        <v>1</v>
      </c>
      <c r="G166" t="s" s="35">
        <v>8311</v>
      </c>
      <c r="H166" t="s" s="120">
        <v>8315</v>
      </c>
      <c r="I166" t="s" s="35">
        <v>1055</v>
      </c>
      <c r="J166" t="s" s="35">
        <v>1106</v>
      </c>
      <c r="K166" t="s" s="35">
        <v>1136</v>
      </c>
      <c r="L166" t="s" s="35">
        <v>282</v>
      </c>
      <c r="M166" t="str" s="39" cm="1">
        <f t="array" ref="M166">IF(J166="FUERA","Fuera del marco",_xlfn.IFERROR(INDEX('Datos - Catálogo TIMSS'!$C$5:$C$107,MATCH(J166,'Datos - Catálogo TIMSS'!$A$5:$A$107,0)),"?"))</f>
        <v>Ciencias físicas</v>
      </c>
      <c r="N166" t="s" s="35">
        <v>8316</v>
      </c>
    </row>
    <row r="167" ht="13.65" customHeight="1">
      <c r="A167" t="s" s="35">
        <v>8317</v>
      </c>
      <c r="B167" t="s" s="35">
        <v>1510</v>
      </c>
      <c r="C167" t="s" s="35">
        <v>8244</v>
      </c>
      <c r="D167" s="36">
        <v>38</v>
      </c>
      <c r="E167" t="s" s="35">
        <v>8245</v>
      </c>
      <c r="F167" s="36">
        <v>1</v>
      </c>
      <c r="G167" t="s" s="35">
        <v>8311</v>
      </c>
      <c r="H167" t="s" s="120">
        <v>8318</v>
      </c>
      <c r="I167" t="s" s="35">
        <v>1055</v>
      </c>
      <c r="J167" t="s" s="35">
        <v>1832</v>
      </c>
      <c r="K167" s="39"/>
      <c r="L167" t="s" s="35">
        <v>282</v>
      </c>
      <c r="M167" t="str" s="39" cm="1">
        <f t="array" ref="M167">IF(J167="FUERA","Fuera del marco",_xlfn.IFERROR(INDEX('Datos - Catálogo TIMSS'!$C$5:$C$107,MATCH(J167,'Datos - Catálogo TIMSS'!$A$5:$A$107,0)),"?"))</f>
        <v>Fuera del marco</v>
      </c>
      <c r="N167" t="s" s="35">
        <v>8319</v>
      </c>
    </row>
    <row r="168" ht="13.65" customHeight="1">
      <c r="A168" t="s" s="35">
        <v>8320</v>
      </c>
      <c r="B168" t="s" s="35">
        <v>1510</v>
      </c>
      <c r="C168" t="s" s="35">
        <v>8244</v>
      </c>
      <c r="D168" s="36">
        <v>38</v>
      </c>
      <c r="E168" t="s" s="35">
        <v>8245</v>
      </c>
      <c r="F168" s="36">
        <v>1</v>
      </c>
      <c r="G168" t="s" s="35">
        <v>8311</v>
      </c>
      <c r="H168" t="s" s="120">
        <v>8321</v>
      </c>
      <c r="I168" t="s" s="35">
        <v>1055</v>
      </c>
      <c r="J168" t="s" s="35">
        <v>313</v>
      </c>
      <c r="K168" s="39"/>
      <c r="L168" t="s" s="35">
        <v>254</v>
      </c>
      <c r="M168" t="str" s="39" cm="1">
        <f t="array" ref="M168">IF(J168="FUERA","Fuera del marco",_xlfn.IFERROR(INDEX('Datos - Catálogo TIMSS'!$C$5:$C$107,MATCH(J168,'Datos - Catálogo TIMSS'!$A$5:$A$107,0)),"?"))</f>
        <v>Ciencias físicas</v>
      </c>
      <c r="N168" t="s" s="35">
        <v>8322</v>
      </c>
    </row>
    <row r="169" ht="13.65" customHeight="1">
      <c r="A169" t="s" s="35">
        <v>8323</v>
      </c>
      <c r="B169" t="s" s="35">
        <v>1510</v>
      </c>
      <c r="C169" t="s" s="35">
        <v>8244</v>
      </c>
      <c r="D169" s="36">
        <v>38</v>
      </c>
      <c r="E169" t="s" s="35">
        <v>8245</v>
      </c>
      <c r="F169" s="36">
        <v>1</v>
      </c>
      <c r="G169" t="s" s="35">
        <v>8311</v>
      </c>
      <c r="H169" t="s" s="120">
        <v>8324</v>
      </c>
      <c r="I169" t="s" s="35">
        <v>1055</v>
      </c>
      <c r="J169" t="s" s="35">
        <v>1112</v>
      </c>
      <c r="K169" t="s" s="35">
        <v>317</v>
      </c>
      <c r="L169" t="s" s="35">
        <v>282</v>
      </c>
      <c r="M169" t="str" s="39" cm="1">
        <f t="array" ref="M169">IF(J169="FUERA","Fuera del marco",_xlfn.IFERROR(INDEX('Datos - Catálogo TIMSS'!$C$5:$C$107,MATCH(J169,'Datos - Catálogo TIMSS'!$A$5:$A$107,0)),"?"))</f>
        <v>Ciencias físicas</v>
      </c>
      <c r="N169" t="s" s="35">
        <v>8325</v>
      </c>
    </row>
    <row r="170" ht="13.65" customHeight="1">
      <c r="A170" t="s" s="35">
        <v>8326</v>
      </c>
      <c r="B170" t="s" s="35">
        <v>1510</v>
      </c>
      <c r="C170" t="s" s="35">
        <v>8244</v>
      </c>
      <c r="D170" s="36">
        <v>38</v>
      </c>
      <c r="E170" t="s" s="35">
        <v>8245</v>
      </c>
      <c r="F170" s="36">
        <v>1</v>
      </c>
      <c r="G170" t="s" s="35">
        <v>8311</v>
      </c>
      <c r="H170" t="s" s="120">
        <v>8327</v>
      </c>
      <c r="I170" t="s" s="35">
        <v>1055</v>
      </c>
      <c r="J170" t="s" s="35">
        <v>1116</v>
      </c>
      <c r="K170" t="s" s="35">
        <v>1136</v>
      </c>
      <c r="L170" t="s" s="35">
        <v>254</v>
      </c>
      <c r="M170" t="str" s="39" cm="1">
        <f t="array" ref="M170">IF(J170="FUERA","Fuera del marco",_xlfn.IFERROR(INDEX('Datos - Catálogo TIMSS'!$C$5:$C$107,MATCH(J170,'Datos - Catálogo TIMSS'!$A$5:$A$107,0)),"?"))</f>
        <v>Ciencias físicas</v>
      </c>
      <c r="N170" t="s" s="35">
        <v>8328</v>
      </c>
    </row>
    <row r="171" ht="13.65" customHeight="1">
      <c r="A171" t="s" s="35">
        <v>8329</v>
      </c>
      <c r="B171" t="s" s="35">
        <v>1510</v>
      </c>
      <c r="C171" t="s" s="35">
        <v>8244</v>
      </c>
      <c r="D171" s="36">
        <v>38</v>
      </c>
      <c r="E171" t="s" s="35">
        <v>8245</v>
      </c>
      <c r="F171" s="36">
        <v>1</v>
      </c>
      <c r="G171" t="s" s="35">
        <v>8311</v>
      </c>
      <c r="H171" t="s" s="120">
        <v>8330</v>
      </c>
      <c r="I171" t="s" s="35">
        <v>1055</v>
      </c>
      <c r="J171" t="s" s="35">
        <v>317</v>
      </c>
      <c r="K171" s="39"/>
      <c r="L171" t="s" s="35">
        <v>282</v>
      </c>
      <c r="M171" t="str" s="39" cm="1">
        <f t="array" ref="M171">IF(J171="FUERA","Fuera del marco",_xlfn.IFERROR(INDEX('Datos - Catálogo TIMSS'!$C$5:$C$107,MATCH(J171,'Datos - Catálogo TIMSS'!$A$5:$A$107,0)),"?"))</f>
        <v>Ciencias físicas</v>
      </c>
      <c r="N171" t="s" s="35">
        <v>8331</v>
      </c>
    </row>
    <row r="172" ht="13.65" customHeight="1">
      <c r="A172" t="s" s="35">
        <v>8332</v>
      </c>
      <c r="B172" t="s" s="35">
        <v>1510</v>
      </c>
      <c r="C172" t="s" s="35">
        <v>8244</v>
      </c>
      <c r="D172" s="36">
        <v>38</v>
      </c>
      <c r="E172" t="s" s="35">
        <v>8245</v>
      </c>
      <c r="F172" s="36">
        <v>1</v>
      </c>
      <c r="G172" t="s" s="35">
        <v>8311</v>
      </c>
      <c r="H172" t="s" s="120">
        <v>8333</v>
      </c>
      <c r="I172" t="s" s="35">
        <v>1055</v>
      </c>
      <c r="J172" t="s" s="35">
        <v>303</v>
      </c>
      <c r="K172" s="39"/>
      <c r="L172" t="s" s="35">
        <v>254</v>
      </c>
      <c r="M172" t="str" s="39" cm="1">
        <f t="array" ref="M172">IF(J172="FUERA","Fuera del marco",_xlfn.IFERROR(INDEX('Datos - Catálogo TIMSS'!$C$5:$C$107,MATCH(J172,'Datos - Catálogo TIMSS'!$A$5:$A$107,0)),"?"))</f>
        <v>Ciencias físicas</v>
      </c>
      <c r="N172" t="s" s="35">
        <v>8334</v>
      </c>
    </row>
    <row r="173" ht="13.65" customHeight="1">
      <c r="A173" t="s" s="35">
        <v>8335</v>
      </c>
      <c r="B173" t="s" s="35">
        <v>1510</v>
      </c>
      <c r="C173" t="s" s="35">
        <v>8244</v>
      </c>
      <c r="D173" s="36">
        <v>38</v>
      </c>
      <c r="E173" t="s" s="35">
        <v>8245</v>
      </c>
      <c r="F173" s="36">
        <v>1</v>
      </c>
      <c r="G173" t="s" s="35">
        <v>8311</v>
      </c>
      <c r="H173" t="s" s="120">
        <v>8336</v>
      </c>
      <c r="I173" t="s" s="35">
        <v>1055</v>
      </c>
      <c r="J173" t="s" s="35">
        <v>317</v>
      </c>
      <c r="K173" t="s" s="35">
        <v>303</v>
      </c>
      <c r="L173" t="s" s="35">
        <v>282</v>
      </c>
      <c r="M173" t="str" s="39" cm="1">
        <f t="array" ref="M173">IF(J173="FUERA","Fuera del marco",_xlfn.IFERROR(INDEX('Datos - Catálogo TIMSS'!$C$5:$C$107,MATCH(J173,'Datos - Catálogo TIMSS'!$A$5:$A$107,0)),"?"))</f>
        <v>Ciencias físicas</v>
      </c>
      <c r="N173" t="s" s="35">
        <v>8337</v>
      </c>
    </row>
    <row r="174" ht="13.65" customHeight="1">
      <c r="A174" t="s" s="35">
        <v>8338</v>
      </c>
      <c r="B174" t="s" s="35">
        <v>1510</v>
      </c>
      <c r="C174" t="s" s="35">
        <v>8244</v>
      </c>
      <c r="D174" s="36">
        <v>38</v>
      </c>
      <c r="E174" t="s" s="35">
        <v>8245</v>
      </c>
      <c r="F174" s="36">
        <v>1</v>
      </c>
      <c r="G174" t="s" s="35">
        <v>8311</v>
      </c>
      <c r="H174" t="s" s="120">
        <v>8339</v>
      </c>
      <c r="I174" t="s" s="35">
        <v>1055</v>
      </c>
      <c r="J174" t="s" s="35">
        <v>332</v>
      </c>
      <c r="K174" s="39"/>
      <c r="L174" t="s" s="35">
        <v>254</v>
      </c>
      <c r="M174" t="str" s="39" cm="1">
        <f t="array" ref="M174">IF(J174="FUERA","Fuera del marco",_xlfn.IFERROR(INDEX('Datos - Catálogo TIMSS'!$C$5:$C$107,MATCH(J174,'Datos - Catálogo TIMSS'!$A$5:$A$107,0)),"?"))</f>
        <v>Ciencias físicas</v>
      </c>
      <c r="N174" t="s" s="35">
        <v>8340</v>
      </c>
    </row>
    <row r="175" ht="13.65" customHeight="1">
      <c r="A175" t="s" s="35">
        <v>8341</v>
      </c>
      <c r="B175" t="s" s="35">
        <v>1510</v>
      </c>
      <c r="C175" t="s" s="35">
        <v>8244</v>
      </c>
      <c r="D175" s="36">
        <v>38</v>
      </c>
      <c r="E175" t="s" s="35">
        <v>8245</v>
      </c>
      <c r="F175" s="36">
        <v>1</v>
      </c>
      <c r="G175" t="s" s="35">
        <v>8311</v>
      </c>
      <c r="H175" t="s" s="120">
        <v>8342</v>
      </c>
      <c r="I175" t="s" s="35">
        <v>1055</v>
      </c>
      <c r="J175" t="s" s="35">
        <v>308</v>
      </c>
      <c r="K175" s="39"/>
      <c r="L175" t="s" s="35">
        <v>254</v>
      </c>
      <c r="M175" t="str" s="39" cm="1">
        <f t="array" ref="M175">IF(J175="FUERA","Fuera del marco",_xlfn.IFERROR(INDEX('Datos - Catálogo TIMSS'!$C$5:$C$107,MATCH(J175,'Datos - Catálogo TIMSS'!$A$5:$A$107,0)),"?"))</f>
        <v>Ciencias físicas</v>
      </c>
      <c r="N175" t="s" s="35">
        <v>8343</v>
      </c>
    </row>
    <row r="176" ht="13.65" customHeight="1">
      <c r="A176" t="s" s="35">
        <v>8344</v>
      </c>
      <c r="B176" t="s" s="35">
        <v>1510</v>
      </c>
      <c r="C176" t="s" s="35">
        <v>8244</v>
      </c>
      <c r="D176" s="36">
        <v>38</v>
      </c>
      <c r="E176" t="s" s="35">
        <v>8245</v>
      </c>
      <c r="F176" s="36">
        <v>1</v>
      </c>
      <c r="G176" t="s" s="35">
        <v>8311</v>
      </c>
      <c r="H176" t="s" s="120">
        <v>8345</v>
      </c>
      <c r="I176" t="s" s="35">
        <v>1055</v>
      </c>
      <c r="J176" t="s" s="35">
        <v>295</v>
      </c>
      <c r="K176" s="39"/>
      <c r="L176" t="s" s="35">
        <v>254</v>
      </c>
      <c r="M176" t="str" s="39" cm="1">
        <f t="array" ref="M176">IF(J176="FUERA","Fuera del marco",_xlfn.IFERROR(INDEX('Datos - Catálogo TIMSS'!$C$5:$C$107,MATCH(J176,'Datos - Catálogo TIMSS'!$A$5:$A$107,0)),"?"))</f>
        <v>Ciencias físicas</v>
      </c>
      <c r="N176" t="s" s="35">
        <v>8346</v>
      </c>
    </row>
    <row r="177" ht="13.65" customHeight="1">
      <c r="A177" t="s" s="35">
        <v>8347</v>
      </c>
      <c r="B177" t="s" s="35">
        <v>1510</v>
      </c>
      <c r="C177" t="s" s="35">
        <v>8244</v>
      </c>
      <c r="D177" s="36">
        <v>38</v>
      </c>
      <c r="E177" t="s" s="35">
        <v>8245</v>
      </c>
      <c r="F177" s="36">
        <v>1</v>
      </c>
      <c r="G177" t="s" s="35">
        <v>8311</v>
      </c>
      <c r="H177" t="s" s="120">
        <v>8348</v>
      </c>
      <c r="I177" t="s" s="35">
        <v>1055</v>
      </c>
      <c r="J177" t="s" s="35">
        <v>1152</v>
      </c>
      <c r="K177" t="s" s="35">
        <v>1156</v>
      </c>
      <c r="L177" t="s" s="35">
        <v>282</v>
      </c>
      <c r="M177" t="str" s="39" cm="1">
        <f t="array" ref="M177">IF(J177="FUERA","Fuera del marco",_xlfn.IFERROR(INDEX('Datos - Catálogo TIMSS'!$C$5:$C$107,MATCH(J177,'Datos - Catálogo TIMSS'!$A$5:$A$107,0)),"?"))</f>
        <v>Ciencias de la Tierra</v>
      </c>
      <c r="N177" t="s" s="35">
        <v>8349</v>
      </c>
    </row>
    <row r="178" ht="13.65" customHeight="1">
      <c r="A178" t="s" s="35">
        <v>8350</v>
      </c>
      <c r="B178" t="s" s="35">
        <v>1510</v>
      </c>
      <c r="C178" t="s" s="35">
        <v>8244</v>
      </c>
      <c r="D178" s="36">
        <v>37</v>
      </c>
      <c r="E178" t="s" s="35">
        <v>8245</v>
      </c>
      <c r="F178" s="36">
        <v>1</v>
      </c>
      <c r="G178" t="s" s="35">
        <v>8351</v>
      </c>
      <c r="H178" t="s" s="120">
        <v>8352</v>
      </c>
      <c r="I178" t="s" s="35">
        <v>1055</v>
      </c>
      <c r="J178" t="s" s="35">
        <v>383</v>
      </c>
      <c r="K178" t="s" s="35">
        <v>1066</v>
      </c>
      <c r="L178" t="s" s="35">
        <v>282</v>
      </c>
      <c r="M178" t="str" s="39" cm="1">
        <f t="array" ref="M178">IF(J178="FUERA","Fuera del marco",_xlfn.IFERROR(INDEX('Datos - Catálogo TIMSS'!$C$5:$C$107,MATCH(J178,'Datos - Catálogo TIMSS'!$A$5:$A$107,0)),"?"))</f>
        <v>Biología</v>
      </c>
      <c r="N178" t="s" s="35">
        <v>8353</v>
      </c>
    </row>
    <row r="179" ht="13.65" customHeight="1">
      <c r="A179" t="s" s="35">
        <v>8354</v>
      </c>
      <c r="B179" t="s" s="35">
        <v>1510</v>
      </c>
      <c r="C179" t="s" s="35">
        <v>8244</v>
      </c>
      <c r="D179" s="36">
        <v>37</v>
      </c>
      <c r="E179" t="s" s="35">
        <v>8245</v>
      </c>
      <c r="F179" s="36">
        <v>1</v>
      </c>
      <c r="G179" t="s" s="35">
        <v>8351</v>
      </c>
      <c r="H179" t="s" s="120">
        <v>8355</v>
      </c>
      <c r="I179" t="s" s="35">
        <v>1055</v>
      </c>
      <c r="J179" t="s" s="35">
        <v>383</v>
      </c>
      <c r="K179" s="39"/>
      <c r="L179" t="s" s="35">
        <v>282</v>
      </c>
      <c r="M179" t="str" s="39" cm="1">
        <f t="array" ref="M179">IF(J179="FUERA","Fuera del marco",_xlfn.IFERROR(INDEX('Datos - Catálogo TIMSS'!$C$5:$C$107,MATCH(J179,'Datos - Catálogo TIMSS'!$A$5:$A$107,0)),"?"))</f>
        <v>Biología</v>
      </c>
      <c r="N179" t="s" s="35">
        <v>8356</v>
      </c>
    </row>
    <row r="180" ht="13.65" customHeight="1">
      <c r="A180" t="s" s="35">
        <v>8357</v>
      </c>
      <c r="B180" t="s" s="35">
        <v>1510</v>
      </c>
      <c r="C180" t="s" s="35">
        <v>8244</v>
      </c>
      <c r="D180" s="36">
        <v>37</v>
      </c>
      <c r="E180" t="s" s="35">
        <v>8245</v>
      </c>
      <c r="F180" s="36">
        <v>1</v>
      </c>
      <c r="G180" t="s" s="35">
        <v>8351</v>
      </c>
      <c r="H180" t="s" s="120">
        <v>8358</v>
      </c>
      <c r="I180" t="s" s="35">
        <v>1055</v>
      </c>
      <c r="J180" t="s" s="35">
        <v>427</v>
      </c>
      <c r="K180" t="s" s="35">
        <v>388</v>
      </c>
      <c r="L180" t="s" s="35">
        <v>254</v>
      </c>
      <c r="M180" t="str" s="39" cm="1">
        <f t="array" ref="M180">IF(J180="FUERA","Fuera del marco",_xlfn.IFERROR(INDEX('Datos - Catálogo TIMSS'!$C$5:$C$107,MATCH(J180,'Datos - Catálogo TIMSS'!$A$5:$A$107,0)),"?"))</f>
        <v>Biología</v>
      </c>
      <c r="N180" t="s" s="35">
        <v>8359</v>
      </c>
    </row>
    <row r="181" ht="13.65" customHeight="1">
      <c r="A181" t="s" s="35">
        <v>8360</v>
      </c>
      <c r="B181" t="s" s="35">
        <v>1510</v>
      </c>
      <c r="C181" t="s" s="35">
        <v>8244</v>
      </c>
      <c r="D181" s="36">
        <v>37</v>
      </c>
      <c r="E181" t="s" s="35">
        <v>8245</v>
      </c>
      <c r="F181" s="36">
        <v>1</v>
      </c>
      <c r="G181" t="s" s="35">
        <v>8351</v>
      </c>
      <c r="H181" t="s" s="120">
        <v>8361</v>
      </c>
      <c r="I181" t="s" s="35">
        <v>1055</v>
      </c>
      <c r="J181" t="s" s="35">
        <v>427</v>
      </c>
      <c r="K181" t="s" s="35">
        <v>1099</v>
      </c>
      <c r="L181" t="s" s="35">
        <v>254</v>
      </c>
      <c r="M181" t="str" s="39" cm="1">
        <f t="array" ref="M181">IF(J181="FUERA","Fuera del marco",_xlfn.IFERROR(INDEX('Datos - Catálogo TIMSS'!$C$5:$C$107,MATCH(J181,'Datos - Catálogo TIMSS'!$A$5:$A$107,0)),"?"))</f>
        <v>Biología</v>
      </c>
      <c r="N181" t="s" s="35">
        <v>8362</v>
      </c>
    </row>
    <row r="182" ht="13.65" customHeight="1">
      <c r="A182" t="s" s="35">
        <v>8363</v>
      </c>
      <c r="B182" t="s" s="35">
        <v>1510</v>
      </c>
      <c r="C182" t="s" s="35">
        <v>8244</v>
      </c>
      <c r="D182" s="36">
        <v>37</v>
      </c>
      <c r="E182" t="s" s="35">
        <v>8245</v>
      </c>
      <c r="F182" s="36">
        <v>1</v>
      </c>
      <c r="G182" t="s" s="35">
        <v>8351</v>
      </c>
      <c r="H182" t="s" s="120">
        <v>8364</v>
      </c>
      <c r="I182" t="s" s="35">
        <v>1055</v>
      </c>
      <c r="J182" t="s" s="35">
        <v>1069</v>
      </c>
      <c r="K182" s="39"/>
      <c r="L182" t="s" s="35">
        <v>254</v>
      </c>
      <c r="M182" t="str" s="39" cm="1">
        <f t="array" ref="M182">IF(J182="FUERA","Fuera del marco",_xlfn.IFERROR(INDEX('Datos - Catálogo TIMSS'!$C$5:$C$107,MATCH(J182,'Datos - Catálogo TIMSS'!$A$5:$A$107,0)),"?"))</f>
        <v>Biología</v>
      </c>
      <c r="N182" t="s" s="35">
        <v>8365</v>
      </c>
    </row>
    <row r="183" ht="13.65" customHeight="1">
      <c r="A183" t="s" s="35">
        <v>8366</v>
      </c>
      <c r="B183" t="s" s="35">
        <v>1510</v>
      </c>
      <c r="C183" t="s" s="35">
        <v>8244</v>
      </c>
      <c r="D183" s="36">
        <v>37</v>
      </c>
      <c r="E183" t="s" s="35">
        <v>8245</v>
      </c>
      <c r="F183" s="36">
        <v>1</v>
      </c>
      <c r="G183" t="s" s="35">
        <v>8351</v>
      </c>
      <c r="H183" t="s" s="120">
        <v>8367</v>
      </c>
      <c r="I183" t="s" s="35">
        <v>1055</v>
      </c>
      <c r="J183" t="s" s="35">
        <v>1069</v>
      </c>
      <c r="K183" s="39"/>
      <c r="L183" t="s" s="35">
        <v>254</v>
      </c>
      <c r="M183" t="str" s="39" cm="1">
        <f t="array" ref="M183">IF(J183="FUERA","Fuera del marco",_xlfn.IFERROR(INDEX('Datos - Catálogo TIMSS'!$C$5:$C$107,MATCH(J183,'Datos - Catálogo TIMSS'!$A$5:$A$107,0)),"?"))</f>
        <v>Biología</v>
      </c>
      <c r="N183" t="s" s="35">
        <v>8368</v>
      </c>
    </row>
    <row r="184" ht="13.65" customHeight="1">
      <c r="A184" t="s" s="35">
        <v>8369</v>
      </c>
      <c r="B184" t="s" s="35">
        <v>1510</v>
      </c>
      <c r="C184" t="s" s="35">
        <v>8244</v>
      </c>
      <c r="D184" s="36">
        <v>37</v>
      </c>
      <c r="E184" t="s" s="35">
        <v>8245</v>
      </c>
      <c r="F184" s="36">
        <v>1</v>
      </c>
      <c r="G184" t="s" s="35">
        <v>8351</v>
      </c>
      <c r="H184" t="s" s="120">
        <v>8370</v>
      </c>
      <c r="I184" t="s" s="35">
        <v>1055</v>
      </c>
      <c r="J184" t="s" s="35">
        <v>1074</v>
      </c>
      <c r="K184" s="39"/>
      <c r="L184" t="s" s="35">
        <v>254</v>
      </c>
      <c r="M184" t="str" s="39" cm="1">
        <f t="array" ref="M184">IF(J184="FUERA","Fuera del marco",_xlfn.IFERROR(INDEX('Datos - Catálogo TIMSS'!$C$5:$C$107,MATCH(J184,'Datos - Catálogo TIMSS'!$A$5:$A$107,0)),"?"))</f>
        <v>Biología</v>
      </c>
      <c r="N184" t="s" s="35">
        <v>8371</v>
      </c>
    </row>
    <row r="185" ht="13.65" customHeight="1">
      <c r="A185" t="s" s="35">
        <v>8372</v>
      </c>
      <c r="B185" t="s" s="35">
        <v>1510</v>
      </c>
      <c r="C185" t="s" s="35">
        <v>8244</v>
      </c>
      <c r="D185" s="36">
        <v>37</v>
      </c>
      <c r="E185" t="s" s="35">
        <v>8245</v>
      </c>
      <c r="F185" s="36">
        <v>1</v>
      </c>
      <c r="G185" t="s" s="35">
        <v>8351</v>
      </c>
      <c r="H185" t="s" s="120">
        <v>8373</v>
      </c>
      <c r="I185" t="s" s="35">
        <v>1055</v>
      </c>
      <c r="J185" t="s" s="35">
        <v>416</v>
      </c>
      <c r="K185" t="s" s="35">
        <v>1148</v>
      </c>
      <c r="L185" t="s" s="35">
        <v>282</v>
      </c>
      <c r="M185" t="str" s="39" cm="1">
        <f t="array" ref="M185">IF(J185="FUERA","Fuera del marco",_xlfn.IFERROR(INDEX('Datos - Catálogo TIMSS'!$C$5:$C$107,MATCH(J185,'Datos - Catálogo TIMSS'!$A$5:$A$107,0)),"?"))</f>
        <v>Biología</v>
      </c>
      <c r="N185" t="s" s="35">
        <v>8374</v>
      </c>
    </row>
    <row r="186" ht="13.65" customHeight="1">
      <c r="A186" t="s" s="35">
        <v>8375</v>
      </c>
      <c r="B186" t="s" s="35">
        <v>1510</v>
      </c>
      <c r="C186" t="s" s="35">
        <v>8244</v>
      </c>
      <c r="D186" s="36">
        <v>37</v>
      </c>
      <c r="E186" t="s" s="35">
        <v>8245</v>
      </c>
      <c r="F186" s="36">
        <v>1</v>
      </c>
      <c r="G186" t="s" s="35">
        <v>8351</v>
      </c>
      <c r="H186" t="s" s="120">
        <v>8376</v>
      </c>
      <c r="I186" t="s" s="35">
        <v>1055</v>
      </c>
      <c r="J186" t="s" s="35">
        <v>1079</v>
      </c>
      <c r="K186" s="39"/>
      <c r="L186" t="s" s="35">
        <v>254</v>
      </c>
      <c r="M186" t="str" s="39" cm="1">
        <f t="array" ref="M186">IF(J186="FUERA","Fuera del marco",_xlfn.IFERROR(INDEX('Datos - Catálogo TIMSS'!$C$5:$C$107,MATCH(J186,'Datos - Catálogo TIMSS'!$A$5:$A$107,0)),"?"))</f>
        <v>Biología</v>
      </c>
      <c r="N186" t="s" s="35">
        <v>8377</v>
      </c>
    </row>
    <row r="187" ht="13.65" customHeight="1">
      <c r="A187" t="s" s="35">
        <v>8378</v>
      </c>
      <c r="B187" t="s" s="35">
        <v>1510</v>
      </c>
      <c r="C187" t="s" s="35">
        <v>8244</v>
      </c>
      <c r="D187" s="36">
        <v>37</v>
      </c>
      <c r="E187" t="s" s="35">
        <v>8245</v>
      </c>
      <c r="F187" s="36">
        <v>1</v>
      </c>
      <c r="G187" t="s" s="35">
        <v>8351</v>
      </c>
      <c r="H187" t="s" s="120">
        <v>8379</v>
      </c>
      <c r="I187" t="s" s="35">
        <v>1055</v>
      </c>
      <c r="J187" t="s" s="35">
        <v>266</v>
      </c>
      <c r="K187" t="s" s="35">
        <v>388</v>
      </c>
      <c r="L187" t="s" s="35">
        <v>282</v>
      </c>
      <c r="M187" t="str" s="39" cm="1">
        <f t="array" ref="M187">IF(J187="FUERA","Fuera del marco",_xlfn.IFERROR(INDEX('Datos - Catálogo TIMSS'!$C$5:$C$107,MATCH(J187,'Datos - Catálogo TIMSS'!$A$5:$A$107,0)),"?"))</f>
        <v>Ciencias de la Tierra</v>
      </c>
      <c r="N187" t="s" s="35">
        <v>8380</v>
      </c>
    </row>
    <row r="188" ht="13.65" customHeight="1">
      <c r="A188" t="s" s="35">
        <v>8381</v>
      </c>
      <c r="B188" t="s" s="35">
        <v>1510</v>
      </c>
      <c r="C188" t="s" s="35">
        <v>8244</v>
      </c>
      <c r="D188" s="36">
        <v>37</v>
      </c>
      <c r="E188" t="s" s="35">
        <v>8245</v>
      </c>
      <c r="F188" s="36">
        <v>1</v>
      </c>
      <c r="G188" t="s" s="35">
        <v>8351</v>
      </c>
      <c r="H188" t="s" s="120">
        <v>8382</v>
      </c>
      <c r="I188" t="s" s="35">
        <v>1055</v>
      </c>
      <c r="J188" t="s" s="35">
        <v>427</v>
      </c>
      <c r="K188" s="39"/>
      <c r="L188" t="s" s="35">
        <v>282</v>
      </c>
      <c r="M188" t="str" s="39" cm="1">
        <f t="array" ref="M188">IF(J188="FUERA","Fuera del marco",_xlfn.IFERROR(INDEX('Datos - Catálogo TIMSS'!$C$5:$C$107,MATCH(J188,'Datos - Catálogo TIMSS'!$A$5:$A$107,0)),"?"))</f>
        <v>Biología</v>
      </c>
      <c r="N188" t="s" s="35">
        <v>8383</v>
      </c>
    </row>
    <row r="189" ht="13.65" customHeight="1">
      <c r="A189" t="s" s="35">
        <v>8384</v>
      </c>
      <c r="B189" t="s" s="35">
        <v>1510</v>
      </c>
      <c r="C189" t="s" s="35">
        <v>8230</v>
      </c>
      <c r="D189" s="36">
        <v>10</v>
      </c>
      <c r="E189" t="s" s="35">
        <v>8385</v>
      </c>
      <c r="F189" s="36">
        <v>2</v>
      </c>
      <c r="G189" s="39"/>
      <c r="H189" t="s" s="120">
        <v>8386</v>
      </c>
      <c r="I189" t="s" s="35">
        <v>1055</v>
      </c>
      <c r="J189" t="s" s="35">
        <v>332</v>
      </c>
      <c r="K189" t="s" s="35">
        <v>1106</v>
      </c>
      <c r="L189" t="s" s="35">
        <v>282</v>
      </c>
      <c r="M189" t="str" s="39" cm="1">
        <f t="array" ref="M189">IF(J189="FUERA","Fuera del marco",_xlfn.IFERROR(INDEX('Datos - Catálogo TIMSS'!$C$5:$C$107,MATCH(J189,'Datos - Catálogo TIMSS'!$A$5:$A$107,0)),"?"))</f>
        <v>Ciencias físicas</v>
      </c>
      <c r="N189" t="s" s="35">
        <v>8387</v>
      </c>
    </row>
    <row r="190" ht="13.65" customHeight="1">
      <c r="A190" t="s" s="35">
        <v>8388</v>
      </c>
      <c r="B190" t="s" s="35">
        <v>1510</v>
      </c>
      <c r="C190" t="s" s="35">
        <v>8230</v>
      </c>
      <c r="D190" s="36">
        <v>10</v>
      </c>
      <c r="E190" t="s" s="35">
        <v>8385</v>
      </c>
      <c r="F190" s="36">
        <v>2</v>
      </c>
      <c r="G190" s="39"/>
      <c r="H190" t="s" s="120">
        <v>8389</v>
      </c>
      <c r="I190" t="s" s="35">
        <v>1055</v>
      </c>
      <c r="J190" t="s" s="35">
        <v>313</v>
      </c>
      <c r="K190" s="39"/>
      <c r="L190" t="s" s="35">
        <v>254</v>
      </c>
      <c r="M190" t="str" s="39" cm="1">
        <f t="array" ref="M190">IF(J190="FUERA","Fuera del marco",_xlfn.IFERROR(INDEX('Datos - Catálogo TIMSS'!$C$5:$C$107,MATCH(J190,'Datos - Catálogo TIMSS'!$A$5:$A$107,0)),"?"))</f>
        <v>Ciencias físicas</v>
      </c>
      <c r="N190" t="s" s="35">
        <v>8390</v>
      </c>
    </row>
    <row r="191" ht="13.65" customHeight="1">
      <c r="A191" t="s" s="35">
        <v>8391</v>
      </c>
      <c r="B191" t="s" s="35">
        <v>1510</v>
      </c>
      <c r="C191" t="s" s="35">
        <v>8230</v>
      </c>
      <c r="D191" s="36">
        <v>11</v>
      </c>
      <c r="E191" t="s" s="35">
        <v>8385</v>
      </c>
      <c r="F191" s="36">
        <v>2</v>
      </c>
      <c r="G191" s="39"/>
      <c r="H191" t="s" s="120">
        <v>8392</v>
      </c>
      <c r="I191" t="s" s="35">
        <v>1055</v>
      </c>
      <c r="J191" t="s" s="35">
        <v>1079</v>
      </c>
      <c r="K191" t="s" s="35">
        <v>427</v>
      </c>
      <c r="L191" t="s" s="35">
        <v>254</v>
      </c>
      <c r="M191" t="str" s="39" cm="1">
        <f t="array" ref="M191">IF(J191="FUERA","Fuera del marco",_xlfn.IFERROR(INDEX('Datos - Catálogo TIMSS'!$C$5:$C$107,MATCH(J191,'Datos - Catálogo TIMSS'!$A$5:$A$107,0)),"?"))</f>
        <v>Biología</v>
      </c>
      <c r="N191" t="s" s="35">
        <v>8393</v>
      </c>
    </row>
    <row r="192" ht="13.65" customHeight="1">
      <c r="A192" t="s" s="35">
        <v>8394</v>
      </c>
      <c r="B192" t="s" s="35">
        <v>1510</v>
      </c>
      <c r="C192" t="s" s="35">
        <v>8230</v>
      </c>
      <c r="D192" s="36">
        <v>11</v>
      </c>
      <c r="E192" t="s" s="35">
        <v>8385</v>
      </c>
      <c r="F192" s="36">
        <v>2</v>
      </c>
      <c r="G192" s="39"/>
      <c r="H192" t="s" s="120">
        <v>8395</v>
      </c>
      <c r="I192" t="s" s="35">
        <v>1055</v>
      </c>
      <c r="J192" t="s" s="35">
        <v>1069</v>
      </c>
      <c r="K192" s="39"/>
      <c r="L192" t="s" s="35">
        <v>254</v>
      </c>
      <c r="M192" t="str" s="39" cm="1">
        <f t="array" ref="M192">IF(J192="FUERA","Fuera del marco",_xlfn.IFERROR(INDEX('Datos - Catálogo TIMSS'!$C$5:$C$107,MATCH(J192,'Datos - Catálogo TIMSS'!$A$5:$A$107,0)),"?"))</f>
        <v>Biología</v>
      </c>
      <c r="N192" t="s" s="35">
        <v>8396</v>
      </c>
    </row>
    <row r="193" ht="13.65" customHeight="1">
      <c r="A193" t="s" s="35">
        <v>8397</v>
      </c>
      <c r="B193" t="s" s="35">
        <v>1510</v>
      </c>
      <c r="C193" t="s" s="35">
        <v>8230</v>
      </c>
      <c r="D193" s="36">
        <v>12</v>
      </c>
      <c r="E193" t="s" s="35">
        <v>7809</v>
      </c>
      <c r="F193" s="36">
        <v>3</v>
      </c>
      <c r="G193" s="39"/>
      <c r="H193" t="s" s="120">
        <v>8398</v>
      </c>
      <c r="I193" t="s" s="35">
        <v>1055</v>
      </c>
      <c r="J193" t="s" s="35">
        <v>317</v>
      </c>
      <c r="K193" s="39"/>
      <c r="L193" t="s" s="35">
        <v>254</v>
      </c>
      <c r="M193" t="str" s="39" cm="1">
        <f t="array" ref="M193">IF(J193="FUERA","Fuera del marco",_xlfn.IFERROR(INDEX('Datos - Catálogo TIMSS'!$C$5:$C$107,MATCH(J193,'Datos - Catálogo TIMSS'!$A$5:$A$107,0)),"?"))</f>
        <v>Ciencias físicas</v>
      </c>
      <c r="N193" t="s" s="35">
        <v>8399</v>
      </c>
    </row>
    <row r="194" ht="13.65" customHeight="1">
      <c r="A194" t="s" s="35">
        <v>8400</v>
      </c>
      <c r="B194" t="s" s="35">
        <v>1510</v>
      </c>
      <c r="C194" t="s" s="35">
        <v>8230</v>
      </c>
      <c r="D194" s="36">
        <v>12</v>
      </c>
      <c r="E194" t="s" s="35">
        <v>7809</v>
      </c>
      <c r="F194" s="36">
        <v>3</v>
      </c>
      <c r="G194" s="39"/>
      <c r="H194" t="s" s="120">
        <v>8401</v>
      </c>
      <c r="I194" t="s" s="35">
        <v>1055</v>
      </c>
      <c r="J194" t="s" s="35">
        <v>317</v>
      </c>
      <c r="K194" s="39"/>
      <c r="L194" t="s" s="35">
        <v>254</v>
      </c>
      <c r="M194" t="str" s="39" cm="1">
        <f t="array" ref="M194">IF(J194="FUERA","Fuera del marco",_xlfn.IFERROR(INDEX('Datos - Catálogo TIMSS'!$C$5:$C$107,MATCH(J194,'Datos - Catálogo TIMSS'!$A$5:$A$107,0)),"?"))</f>
        <v>Ciencias físicas</v>
      </c>
      <c r="N194" t="s" s="35">
        <v>8402</v>
      </c>
    </row>
    <row r="195" ht="13.65" customHeight="1">
      <c r="A195" t="s" s="35">
        <v>8403</v>
      </c>
      <c r="B195" t="s" s="35">
        <v>1510</v>
      </c>
      <c r="C195" t="s" s="35">
        <v>8230</v>
      </c>
      <c r="D195" s="36">
        <v>13</v>
      </c>
      <c r="E195" t="s" s="35">
        <v>7809</v>
      </c>
      <c r="F195" s="36">
        <v>3</v>
      </c>
      <c r="G195" s="39"/>
      <c r="H195" t="s" s="120">
        <v>8404</v>
      </c>
      <c r="I195" t="s" s="35">
        <v>1055</v>
      </c>
      <c r="J195" t="s" s="35">
        <v>303</v>
      </c>
      <c r="K195" s="39"/>
      <c r="L195" t="s" s="35">
        <v>254</v>
      </c>
      <c r="M195" t="str" s="39" cm="1">
        <f t="array" ref="M195">IF(J195="FUERA","Fuera del marco",_xlfn.IFERROR(INDEX('Datos - Catálogo TIMSS'!$C$5:$C$107,MATCH(J195,'Datos - Catálogo TIMSS'!$A$5:$A$107,0)),"?"))</f>
        <v>Ciencias físicas</v>
      </c>
      <c r="N195" t="s" s="35">
        <v>8405</v>
      </c>
    </row>
    <row r="196" ht="13.65" customHeight="1">
      <c r="A196" t="s" s="35">
        <v>8406</v>
      </c>
      <c r="B196" t="s" s="35">
        <v>1510</v>
      </c>
      <c r="C196" t="s" s="35">
        <v>8230</v>
      </c>
      <c r="D196" s="36">
        <v>13</v>
      </c>
      <c r="E196" t="s" s="35">
        <v>7809</v>
      </c>
      <c r="F196" s="36">
        <v>3</v>
      </c>
      <c r="G196" s="39"/>
      <c r="H196" t="s" s="120">
        <v>8407</v>
      </c>
      <c r="I196" t="s" s="35">
        <v>1055</v>
      </c>
      <c r="J196" t="s" s="35">
        <v>313</v>
      </c>
      <c r="K196" s="39"/>
      <c r="L196" t="s" s="35">
        <v>254</v>
      </c>
      <c r="M196" t="str" s="39" cm="1">
        <f t="array" ref="M196">IF(J196="FUERA","Fuera del marco",_xlfn.IFERROR(INDEX('Datos - Catálogo TIMSS'!$C$5:$C$107,MATCH(J196,'Datos - Catálogo TIMSS'!$A$5:$A$107,0)),"?"))</f>
        <v>Ciencias físicas</v>
      </c>
      <c r="N196" t="s" s="35">
        <v>8408</v>
      </c>
    </row>
    <row r="197" ht="13.65" customHeight="1">
      <c r="A197" t="s" s="35">
        <v>8409</v>
      </c>
      <c r="B197" t="s" s="35">
        <v>1510</v>
      </c>
      <c r="C197" t="s" s="35">
        <v>8230</v>
      </c>
      <c r="D197" s="36">
        <v>14</v>
      </c>
      <c r="E197" t="s" s="35">
        <v>7809</v>
      </c>
      <c r="F197" s="36">
        <v>3</v>
      </c>
      <c r="G197" s="39"/>
      <c r="H197" t="s" s="120">
        <v>8410</v>
      </c>
      <c r="I197" t="s" s="35">
        <v>1055</v>
      </c>
      <c r="J197" t="s" s="35">
        <v>416</v>
      </c>
      <c r="K197" t="s" s="35">
        <v>427</v>
      </c>
      <c r="L197" t="s" s="35">
        <v>282</v>
      </c>
      <c r="M197" t="str" s="39" cm="1">
        <f t="array" ref="M197">IF(J197="FUERA","Fuera del marco",_xlfn.IFERROR(INDEX('Datos - Catálogo TIMSS'!$C$5:$C$107,MATCH(J197,'Datos - Catálogo TIMSS'!$A$5:$A$107,0)),"?"))</f>
        <v>Biología</v>
      </c>
      <c r="N197" t="s" s="35">
        <v>8411</v>
      </c>
    </row>
    <row r="198" ht="13.65" customHeight="1">
      <c r="A198" t="s" s="35">
        <v>8412</v>
      </c>
      <c r="B198" t="s" s="35">
        <v>1510</v>
      </c>
      <c r="C198" t="s" s="35">
        <v>8230</v>
      </c>
      <c r="D198" s="36">
        <v>14</v>
      </c>
      <c r="E198" t="s" s="35">
        <v>7809</v>
      </c>
      <c r="F198" s="36">
        <v>3</v>
      </c>
      <c r="G198" s="39"/>
      <c r="H198" t="s" s="120">
        <v>8413</v>
      </c>
      <c r="I198" t="s" s="35">
        <v>1055</v>
      </c>
      <c r="J198" t="s" s="35">
        <v>1086</v>
      </c>
      <c r="K198" s="39"/>
      <c r="L198" t="s" s="35">
        <v>254</v>
      </c>
      <c r="M198" t="str" s="39" cm="1">
        <f t="array" ref="M198">IF(J198="FUERA","Fuera del marco",_xlfn.IFERROR(INDEX('Datos - Catálogo TIMSS'!$C$5:$C$107,MATCH(J198,'Datos - Catálogo TIMSS'!$A$5:$A$107,0)),"?"))</f>
        <v>Biología</v>
      </c>
      <c r="N198" t="s" s="35">
        <v>8414</v>
      </c>
    </row>
    <row r="199" ht="13.65" customHeight="1">
      <c r="A199" t="s" s="35">
        <v>8415</v>
      </c>
      <c r="B199" t="s" s="35">
        <v>1510</v>
      </c>
      <c r="C199" t="s" s="35">
        <v>8230</v>
      </c>
      <c r="D199" s="36">
        <v>15</v>
      </c>
      <c r="E199" t="s" s="35">
        <v>7875</v>
      </c>
      <c r="F199" s="36">
        <v>4</v>
      </c>
      <c r="G199" s="39"/>
      <c r="H199" t="s" s="120">
        <v>8416</v>
      </c>
      <c r="I199" t="s" s="35">
        <v>1055</v>
      </c>
      <c r="J199" t="s" s="35">
        <v>332</v>
      </c>
      <c r="K199" s="39"/>
      <c r="L199" t="s" s="35">
        <v>254</v>
      </c>
      <c r="M199" t="str" s="39" cm="1">
        <f t="array" ref="M199">IF(J199="FUERA","Fuera del marco",_xlfn.IFERROR(INDEX('Datos - Catálogo TIMSS'!$C$5:$C$107,MATCH(J199,'Datos - Catálogo TIMSS'!$A$5:$A$107,0)),"?"))</f>
        <v>Ciencias físicas</v>
      </c>
      <c r="N199" t="s" s="35">
        <v>8417</v>
      </c>
    </row>
    <row r="200" ht="13.65" customHeight="1">
      <c r="A200" t="s" s="35">
        <v>8418</v>
      </c>
      <c r="B200" t="s" s="35">
        <v>1510</v>
      </c>
      <c r="C200" t="s" s="35">
        <v>8230</v>
      </c>
      <c r="D200" s="36">
        <v>15</v>
      </c>
      <c r="E200" t="s" s="35">
        <v>7875</v>
      </c>
      <c r="F200" s="36">
        <v>4</v>
      </c>
      <c r="G200" s="39"/>
      <c r="H200" t="s" s="120">
        <v>8419</v>
      </c>
      <c r="I200" t="s" s="35">
        <v>1055</v>
      </c>
      <c r="J200" t="s" s="35">
        <v>1132</v>
      </c>
      <c r="K200" s="39"/>
      <c r="L200" t="s" s="35">
        <v>254</v>
      </c>
      <c r="M200" t="str" s="39" cm="1">
        <f t="array" ref="M200">IF(J200="FUERA","Fuera del marco",_xlfn.IFERROR(INDEX('Datos - Catálogo TIMSS'!$C$5:$C$107,MATCH(J200,'Datos - Catálogo TIMSS'!$A$5:$A$107,0)),"?"))</f>
        <v>Ciencias físicas</v>
      </c>
      <c r="N200" t="s" s="35">
        <v>8420</v>
      </c>
    </row>
    <row r="201" ht="13.65" customHeight="1">
      <c r="A201" t="s" s="35">
        <v>8421</v>
      </c>
      <c r="B201" t="s" s="35">
        <v>1510</v>
      </c>
      <c r="C201" t="s" s="35">
        <v>8230</v>
      </c>
      <c r="D201" s="36">
        <v>16</v>
      </c>
      <c r="E201" t="s" s="35">
        <v>7875</v>
      </c>
      <c r="F201" s="36">
        <v>4</v>
      </c>
      <c r="G201" s="39"/>
      <c r="H201" t="s" s="120">
        <v>8422</v>
      </c>
      <c r="I201" t="s" s="35">
        <v>1055</v>
      </c>
      <c r="J201" t="s" s="35">
        <v>1156</v>
      </c>
      <c r="K201" s="39"/>
      <c r="L201" t="s" s="35">
        <v>254</v>
      </c>
      <c r="M201" t="str" s="39" cm="1">
        <f t="array" ref="M201">IF(J201="FUERA","Fuera del marco",_xlfn.IFERROR(INDEX('Datos - Catálogo TIMSS'!$C$5:$C$107,MATCH(J201,'Datos - Catálogo TIMSS'!$A$5:$A$107,0)),"?"))</f>
        <v>Ciencias de la Tierra</v>
      </c>
      <c r="N201" t="s" s="35">
        <v>8423</v>
      </c>
    </row>
    <row r="202" ht="13.65" customHeight="1">
      <c r="A202" t="s" s="35">
        <v>8424</v>
      </c>
      <c r="B202" t="s" s="35">
        <v>1510</v>
      </c>
      <c r="C202" t="s" s="35">
        <v>8230</v>
      </c>
      <c r="D202" s="36">
        <v>16</v>
      </c>
      <c r="E202" t="s" s="35">
        <v>7875</v>
      </c>
      <c r="F202" s="36">
        <v>4</v>
      </c>
      <c r="G202" s="39"/>
      <c r="H202" t="s" s="120">
        <v>8425</v>
      </c>
      <c r="I202" t="s" s="35">
        <v>1055</v>
      </c>
      <c r="J202" t="s" s="35">
        <v>1152</v>
      </c>
      <c r="K202" s="39"/>
      <c r="L202" t="s" s="35">
        <v>254</v>
      </c>
      <c r="M202" t="str" s="39" cm="1">
        <f t="array" ref="M202">IF(J202="FUERA","Fuera del marco",_xlfn.IFERROR(INDEX('Datos - Catálogo TIMSS'!$C$5:$C$107,MATCH(J202,'Datos - Catálogo TIMSS'!$A$5:$A$107,0)),"?"))</f>
        <v>Ciencias de la Tierra</v>
      </c>
      <c r="N202" t="s" s="35">
        <v>8426</v>
      </c>
    </row>
    <row r="203" ht="13.65" customHeight="1">
      <c r="A203" t="s" s="35">
        <v>8427</v>
      </c>
      <c r="B203" t="s" s="35">
        <v>1510</v>
      </c>
      <c r="C203" t="s" s="35">
        <v>8230</v>
      </c>
      <c r="D203" s="36">
        <v>16</v>
      </c>
      <c r="E203" t="s" s="35">
        <v>7875</v>
      </c>
      <c r="F203" s="36">
        <v>4</v>
      </c>
      <c r="G203" s="39"/>
      <c r="H203" t="s" s="120">
        <v>8428</v>
      </c>
      <c r="I203" t="s" s="35">
        <v>1055</v>
      </c>
      <c r="J203" t="s" s="35">
        <v>1109</v>
      </c>
      <c r="K203" s="39"/>
      <c r="L203" t="s" s="35">
        <v>254</v>
      </c>
      <c r="M203" t="str" s="39" cm="1">
        <f t="array" ref="M203">IF(J203="FUERA","Fuera del marco",_xlfn.IFERROR(INDEX('Datos - Catálogo TIMSS'!$C$5:$C$107,MATCH(J203,'Datos - Catálogo TIMSS'!$A$5:$A$107,0)),"?"))</f>
        <v>Ciencias físicas</v>
      </c>
      <c r="N203" t="s" s="35">
        <v>8429</v>
      </c>
    </row>
    <row r="204" ht="13.65" customHeight="1">
      <c r="A204" t="s" s="35">
        <v>8430</v>
      </c>
      <c r="B204" t="s" s="35">
        <v>1510</v>
      </c>
      <c r="C204" t="s" s="35">
        <v>8230</v>
      </c>
      <c r="D204" s="36">
        <v>17</v>
      </c>
      <c r="E204" t="s" s="35">
        <v>7875</v>
      </c>
      <c r="F204" s="36">
        <v>4</v>
      </c>
      <c r="G204" s="39"/>
      <c r="H204" t="s" s="120">
        <v>8431</v>
      </c>
      <c r="I204" t="s" s="35">
        <v>1055</v>
      </c>
      <c r="J204" t="s" s="35">
        <v>1086</v>
      </c>
      <c r="K204" s="39"/>
      <c r="L204" t="s" s="35">
        <v>254</v>
      </c>
      <c r="M204" t="str" s="39" cm="1">
        <f t="array" ref="M204">IF(J204="FUERA","Fuera del marco",_xlfn.IFERROR(INDEX('Datos - Catálogo TIMSS'!$C$5:$C$107,MATCH(J204,'Datos - Catálogo TIMSS'!$A$5:$A$107,0)),"?"))</f>
        <v>Biología</v>
      </c>
      <c r="N204" t="s" s="35">
        <v>8432</v>
      </c>
    </row>
    <row r="205" ht="13.65" customHeight="1">
      <c r="A205" t="s" s="35">
        <v>8433</v>
      </c>
      <c r="B205" t="s" s="35">
        <v>1510</v>
      </c>
      <c r="C205" t="s" s="35">
        <v>8230</v>
      </c>
      <c r="D205" s="36">
        <v>18</v>
      </c>
      <c r="E205" t="s" s="35">
        <v>7875</v>
      </c>
      <c r="F205" s="36">
        <v>4</v>
      </c>
      <c r="G205" s="39"/>
      <c r="H205" t="s" s="120">
        <v>8434</v>
      </c>
      <c r="I205" t="s" s="35">
        <v>1055</v>
      </c>
      <c r="J205" t="s" s="35">
        <v>416</v>
      </c>
      <c r="K205" s="39"/>
      <c r="L205" t="s" s="35">
        <v>254</v>
      </c>
      <c r="M205" t="str" s="39" cm="1">
        <f t="array" ref="M205">IF(J205="FUERA","Fuera del marco",_xlfn.IFERROR(INDEX('Datos - Catálogo TIMSS'!$C$5:$C$107,MATCH(J205,'Datos - Catálogo TIMSS'!$A$5:$A$107,0)),"?"))</f>
        <v>Biología</v>
      </c>
      <c r="N205" t="s" s="35">
        <v>8435</v>
      </c>
    </row>
    <row r="206" ht="13.65" customHeight="1">
      <c r="A206" t="s" s="35">
        <v>8436</v>
      </c>
      <c r="B206" t="s" s="35">
        <v>1510</v>
      </c>
      <c r="C206" t="s" s="35">
        <v>8244</v>
      </c>
      <c r="D206" s="36">
        <v>39</v>
      </c>
      <c r="E206" t="s" s="35">
        <v>8437</v>
      </c>
      <c r="F206" s="36">
        <v>4</v>
      </c>
      <c r="G206" t="s" s="35">
        <v>8246</v>
      </c>
      <c r="H206" t="s" s="120">
        <v>8438</v>
      </c>
      <c r="I206" t="s" s="35">
        <v>1055</v>
      </c>
      <c r="J206" t="s" s="35">
        <v>1099</v>
      </c>
      <c r="K206" s="39"/>
      <c r="L206" t="s" s="35">
        <v>291</v>
      </c>
      <c r="M206" t="str" s="39" cm="1">
        <f t="array" ref="M206">IF(J206="FUERA","Fuera del marco",_xlfn.IFERROR(INDEX('Datos - Catálogo TIMSS'!$C$5:$C$107,MATCH(J206,'Datos - Catálogo TIMSS'!$A$5:$A$107,0)),"?"))</f>
        <v>Biología</v>
      </c>
      <c r="N206" t="s" s="35">
        <v>8439</v>
      </c>
    </row>
    <row r="207" ht="13.65" customHeight="1">
      <c r="A207" t="s" s="35">
        <v>8440</v>
      </c>
      <c r="B207" t="s" s="35">
        <v>1510</v>
      </c>
      <c r="C207" t="s" s="35">
        <v>8244</v>
      </c>
      <c r="D207" s="36">
        <v>39</v>
      </c>
      <c r="E207" t="s" s="35">
        <v>8437</v>
      </c>
      <c r="F207" s="36">
        <v>4</v>
      </c>
      <c r="G207" t="s" s="35">
        <v>8246</v>
      </c>
      <c r="H207" t="s" s="120">
        <v>8441</v>
      </c>
      <c r="I207" t="s" s="35">
        <v>1055</v>
      </c>
      <c r="J207" t="s" s="35">
        <v>1136</v>
      </c>
      <c r="K207" s="39"/>
      <c r="L207" t="s" s="35">
        <v>282</v>
      </c>
      <c r="M207" t="str" s="39" cm="1">
        <f t="array" ref="M207">IF(J207="FUERA","Fuera del marco",_xlfn.IFERROR(INDEX('Datos - Catálogo TIMSS'!$C$5:$C$107,MATCH(J207,'Datos - Catálogo TIMSS'!$A$5:$A$107,0)),"?"))</f>
        <v>Ciencias físicas</v>
      </c>
      <c r="N207" t="s" s="35">
        <v>8442</v>
      </c>
    </row>
    <row r="208" ht="13.65" customHeight="1">
      <c r="A208" t="s" s="35">
        <v>8443</v>
      </c>
      <c r="B208" t="s" s="35">
        <v>1510</v>
      </c>
      <c r="C208" t="s" s="35">
        <v>8244</v>
      </c>
      <c r="D208" s="36">
        <v>39</v>
      </c>
      <c r="E208" t="s" s="35">
        <v>8437</v>
      </c>
      <c r="F208" s="36">
        <v>4</v>
      </c>
      <c r="G208" t="s" s="35">
        <v>8246</v>
      </c>
      <c r="H208" t="s" s="120">
        <v>8444</v>
      </c>
      <c r="I208" t="s" s="35">
        <v>1055</v>
      </c>
      <c r="J208" t="s" s="35">
        <v>1136</v>
      </c>
      <c r="K208" s="39"/>
      <c r="L208" t="s" s="35">
        <v>291</v>
      </c>
      <c r="M208" t="str" s="39" cm="1">
        <f t="array" ref="M208">IF(J208="FUERA","Fuera del marco",_xlfn.IFERROR(INDEX('Datos - Catálogo TIMSS'!$C$5:$C$107,MATCH(J208,'Datos - Catálogo TIMSS'!$A$5:$A$107,0)),"?"))</f>
        <v>Ciencias físicas</v>
      </c>
      <c r="N208" t="s" s="35">
        <v>8445</v>
      </c>
    </row>
    <row r="209" ht="13.65" customHeight="1">
      <c r="A209" t="s" s="35">
        <v>8446</v>
      </c>
      <c r="B209" t="s" s="35">
        <v>1510</v>
      </c>
      <c r="C209" t="s" s="35">
        <v>8244</v>
      </c>
      <c r="D209" s="36">
        <v>39</v>
      </c>
      <c r="E209" t="s" s="35">
        <v>8437</v>
      </c>
      <c r="F209" s="36">
        <v>4</v>
      </c>
      <c r="G209" t="s" s="35">
        <v>8246</v>
      </c>
      <c r="H209" t="s" s="120">
        <v>8447</v>
      </c>
      <c r="I209" t="s" s="35">
        <v>1055</v>
      </c>
      <c r="J209" t="s" s="35">
        <v>1099</v>
      </c>
      <c r="K209" s="39"/>
      <c r="L209" t="s" s="35">
        <v>282</v>
      </c>
      <c r="M209" t="str" s="39" cm="1">
        <f t="array" ref="M209">IF(J209="FUERA","Fuera del marco",_xlfn.IFERROR(INDEX('Datos - Catálogo TIMSS'!$C$5:$C$107,MATCH(J209,'Datos - Catálogo TIMSS'!$A$5:$A$107,0)),"?"))</f>
        <v>Biología</v>
      </c>
      <c r="N209" t="s" s="35">
        <v>8448</v>
      </c>
    </row>
    <row r="210" ht="13.65" customHeight="1">
      <c r="A210" t="s" s="35">
        <v>8449</v>
      </c>
      <c r="B210" t="s" s="35">
        <v>1510</v>
      </c>
      <c r="C210" t="s" s="35">
        <v>8244</v>
      </c>
      <c r="D210" s="36">
        <v>39</v>
      </c>
      <c r="E210" t="s" s="35">
        <v>8437</v>
      </c>
      <c r="F210" s="36">
        <v>4</v>
      </c>
      <c r="G210" t="s" s="35">
        <v>8246</v>
      </c>
      <c r="H210" t="s" s="120">
        <v>8450</v>
      </c>
      <c r="I210" t="s" s="35">
        <v>1055</v>
      </c>
      <c r="J210" t="s" s="35">
        <v>1099</v>
      </c>
      <c r="K210" s="39"/>
      <c r="L210" t="s" s="35">
        <v>282</v>
      </c>
      <c r="M210" t="str" s="39" cm="1">
        <f t="array" ref="M210">IF(J210="FUERA","Fuera del marco",_xlfn.IFERROR(INDEX('Datos - Catálogo TIMSS'!$C$5:$C$107,MATCH(J210,'Datos - Catálogo TIMSS'!$A$5:$A$107,0)),"?"))</f>
        <v>Biología</v>
      </c>
      <c r="N210" t="s" s="35">
        <v>8451</v>
      </c>
    </row>
    <row r="211" ht="13.65" customHeight="1">
      <c r="A211" t="s" s="35">
        <v>8452</v>
      </c>
      <c r="B211" t="s" s="35">
        <v>1510</v>
      </c>
      <c r="C211" t="s" s="35">
        <v>8244</v>
      </c>
      <c r="D211" s="36">
        <v>39</v>
      </c>
      <c r="E211" t="s" s="35">
        <v>8437</v>
      </c>
      <c r="F211" s="36">
        <v>4</v>
      </c>
      <c r="G211" t="s" s="35">
        <v>8246</v>
      </c>
      <c r="H211" t="s" s="120">
        <v>8453</v>
      </c>
      <c r="I211" t="s" s="35">
        <v>1055</v>
      </c>
      <c r="J211" t="s" s="35">
        <v>1136</v>
      </c>
      <c r="K211" t="s" s="35">
        <v>1159</v>
      </c>
      <c r="L211" t="s" s="35">
        <v>254</v>
      </c>
      <c r="M211" t="str" s="39" cm="1">
        <f t="array" ref="M211">IF(J211="FUERA","Fuera del marco",_xlfn.IFERROR(INDEX('Datos - Catálogo TIMSS'!$C$5:$C$107,MATCH(J211,'Datos - Catálogo TIMSS'!$A$5:$A$107,0)),"?"))</f>
        <v>Ciencias físicas</v>
      </c>
      <c r="N211" t="s" s="35">
        <v>8454</v>
      </c>
    </row>
    <row r="212" ht="13.65" customHeight="1">
      <c r="A212" t="s" s="35">
        <v>8455</v>
      </c>
      <c r="B212" t="s" s="35">
        <v>1510</v>
      </c>
      <c r="C212" t="s" s="35">
        <v>8244</v>
      </c>
      <c r="D212" s="36">
        <v>39</v>
      </c>
      <c r="E212" t="s" s="35">
        <v>8437</v>
      </c>
      <c r="F212" s="36">
        <v>4</v>
      </c>
      <c r="G212" t="s" s="35">
        <v>8246</v>
      </c>
      <c r="H212" t="s" s="120">
        <v>8456</v>
      </c>
      <c r="I212" t="s" s="35">
        <v>1055</v>
      </c>
      <c r="J212" t="s" s="35">
        <v>1136</v>
      </c>
      <c r="K212" s="39"/>
      <c r="L212" t="s" s="35">
        <v>282</v>
      </c>
      <c r="M212" t="str" s="39" cm="1">
        <f t="array" ref="M212">IF(J212="FUERA","Fuera del marco",_xlfn.IFERROR(INDEX('Datos - Catálogo TIMSS'!$C$5:$C$107,MATCH(J212,'Datos - Catálogo TIMSS'!$A$5:$A$107,0)),"?"))</f>
        <v>Ciencias físicas</v>
      </c>
      <c r="N212" t="s" s="35">
        <v>8457</v>
      </c>
    </row>
    <row r="213" ht="13.65" customHeight="1">
      <c r="A213" t="s" s="35">
        <v>8458</v>
      </c>
      <c r="B213" t="s" s="35">
        <v>1510</v>
      </c>
      <c r="C213" t="s" s="35">
        <v>8244</v>
      </c>
      <c r="D213" s="36">
        <v>39</v>
      </c>
      <c r="E213" t="s" s="35">
        <v>8437</v>
      </c>
      <c r="F213" s="36">
        <v>4</v>
      </c>
      <c r="G213" t="s" s="35">
        <v>8246</v>
      </c>
      <c r="H213" t="s" s="120">
        <v>8459</v>
      </c>
      <c r="I213" t="s" s="35">
        <v>1055</v>
      </c>
      <c r="J213" t="s" s="35">
        <v>1832</v>
      </c>
      <c r="K213" s="39"/>
      <c r="L213" t="s" s="35">
        <v>282</v>
      </c>
      <c r="M213" t="str" s="39" cm="1">
        <f t="array" ref="M213">IF(J213="FUERA","Fuera del marco",_xlfn.IFERROR(INDEX('Datos - Catálogo TIMSS'!$C$5:$C$107,MATCH(J213,'Datos - Catálogo TIMSS'!$A$5:$A$107,0)),"?"))</f>
        <v>Fuera del marco</v>
      </c>
      <c r="N213" t="s" s="35">
        <v>8269</v>
      </c>
    </row>
    <row r="214" ht="13.65" customHeight="1">
      <c r="A214" t="s" s="35">
        <v>8460</v>
      </c>
      <c r="B214" t="s" s="35">
        <v>1510</v>
      </c>
      <c r="C214" t="s" s="35">
        <v>8244</v>
      </c>
      <c r="D214" s="36">
        <v>39</v>
      </c>
      <c r="E214" t="s" s="35">
        <v>8437</v>
      </c>
      <c r="F214" s="36">
        <v>4</v>
      </c>
      <c r="G214" t="s" s="35">
        <v>8246</v>
      </c>
      <c r="H214" t="s" s="120">
        <v>8461</v>
      </c>
      <c r="I214" t="s" s="35">
        <v>1055</v>
      </c>
      <c r="J214" t="s" s="35">
        <v>1136</v>
      </c>
      <c r="K214" s="39"/>
      <c r="L214" t="s" s="35">
        <v>291</v>
      </c>
      <c r="M214" t="str" s="39" cm="1">
        <f t="array" ref="M214">IF(J214="FUERA","Fuera del marco",_xlfn.IFERROR(INDEX('Datos - Catálogo TIMSS'!$C$5:$C$107,MATCH(J214,'Datos - Catálogo TIMSS'!$A$5:$A$107,0)),"?"))</f>
        <v>Ciencias físicas</v>
      </c>
      <c r="N214" t="s" s="35">
        <v>8462</v>
      </c>
    </row>
    <row r="215" ht="13.65" customHeight="1">
      <c r="A215" t="s" s="35">
        <v>8463</v>
      </c>
      <c r="B215" t="s" s="35">
        <v>1510</v>
      </c>
      <c r="C215" t="s" s="35">
        <v>8244</v>
      </c>
      <c r="D215" s="36">
        <v>39</v>
      </c>
      <c r="E215" t="s" s="35">
        <v>8437</v>
      </c>
      <c r="F215" s="36">
        <v>4</v>
      </c>
      <c r="G215" t="s" s="35">
        <v>8246</v>
      </c>
      <c r="H215" t="s" s="120">
        <v>8464</v>
      </c>
      <c r="I215" t="s" s="35">
        <v>1055</v>
      </c>
      <c r="J215" t="s" s="35">
        <v>1832</v>
      </c>
      <c r="K215" s="39"/>
      <c r="L215" t="s" s="35">
        <v>291</v>
      </c>
      <c r="M215" t="str" s="39" cm="1">
        <f t="array" ref="M215">IF(J215="FUERA","Fuera del marco",_xlfn.IFERROR(INDEX('Datos - Catálogo TIMSS'!$C$5:$C$107,MATCH(J215,'Datos - Catálogo TIMSS'!$A$5:$A$107,0)),"?"))</f>
        <v>Fuera del marco</v>
      </c>
      <c r="N215" t="s" s="35">
        <v>8465</v>
      </c>
    </row>
    <row r="216" ht="13.65" customHeight="1">
      <c r="A216" t="s" s="35">
        <v>8466</v>
      </c>
      <c r="B216" t="s" s="35">
        <v>1510</v>
      </c>
      <c r="C216" t="s" s="35">
        <v>8244</v>
      </c>
      <c r="D216" s="36">
        <v>39</v>
      </c>
      <c r="E216" t="s" s="35">
        <v>8437</v>
      </c>
      <c r="F216" s="36">
        <v>4</v>
      </c>
      <c r="G216" t="s" s="35">
        <v>8246</v>
      </c>
      <c r="H216" t="s" s="120">
        <v>8467</v>
      </c>
      <c r="I216" t="s" s="35">
        <v>1055</v>
      </c>
      <c r="J216" t="s" s="35">
        <v>1136</v>
      </c>
      <c r="K216" s="39"/>
      <c r="L216" t="s" s="35">
        <v>282</v>
      </c>
      <c r="M216" t="str" s="39" cm="1">
        <f t="array" ref="M216">IF(J216="FUERA","Fuera del marco",_xlfn.IFERROR(INDEX('Datos - Catálogo TIMSS'!$C$5:$C$107,MATCH(J216,'Datos - Catálogo TIMSS'!$A$5:$A$107,0)),"?"))</f>
        <v>Ciencias físicas</v>
      </c>
      <c r="N216" t="s" s="35">
        <v>8468</v>
      </c>
    </row>
    <row r="217" ht="13.65" customHeight="1">
      <c r="A217" t="s" s="35">
        <v>8469</v>
      </c>
      <c r="B217" t="s" s="35">
        <v>1510</v>
      </c>
      <c r="C217" t="s" s="35">
        <v>8244</v>
      </c>
      <c r="D217" s="36">
        <v>39</v>
      </c>
      <c r="E217" t="s" s="35">
        <v>8437</v>
      </c>
      <c r="F217" s="36">
        <v>4</v>
      </c>
      <c r="G217" t="s" s="35">
        <v>8246</v>
      </c>
      <c r="H217" t="s" s="120">
        <v>8280</v>
      </c>
      <c r="I217" t="s" s="35">
        <v>1055</v>
      </c>
      <c r="J217" t="s" s="35">
        <v>1832</v>
      </c>
      <c r="K217" s="39"/>
      <c r="L217" t="s" s="35">
        <v>291</v>
      </c>
      <c r="M217" t="str" s="39" cm="1">
        <f t="array" ref="M217">IF(J217="FUERA","Fuera del marco",_xlfn.IFERROR(INDEX('Datos - Catálogo TIMSS'!$C$5:$C$107,MATCH(J217,'Datos - Catálogo TIMSS'!$A$5:$A$107,0)),"?"))</f>
        <v>Fuera del marco</v>
      </c>
      <c r="N217" t="s" s="35">
        <v>8281</v>
      </c>
    </row>
    <row r="218" ht="13.65" customHeight="1">
      <c r="A218" t="s" s="35">
        <v>8470</v>
      </c>
      <c r="B218" t="s" s="35">
        <v>1510</v>
      </c>
      <c r="C218" t="s" s="35">
        <v>8244</v>
      </c>
      <c r="D218" s="36">
        <v>39</v>
      </c>
      <c r="E218" t="s" s="35">
        <v>8437</v>
      </c>
      <c r="F218" s="36">
        <v>4</v>
      </c>
      <c r="G218" t="s" s="35">
        <v>8246</v>
      </c>
      <c r="H218" t="s" s="120">
        <v>8277</v>
      </c>
      <c r="I218" t="s" s="35">
        <v>1055</v>
      </c>
      <c r="J218" t="s" s="35">
        <v>1832</v>
      </c>
      <c r="K218" s="39"/>
      <c r="L218" t="s" s="35">
        <v>254</v>
      </c>
      <c r="M218" t="str" s="39" cm="1">
        <f t="array" ref="M218">IF(J218="FUERA","Fuera del marco",_xlfn.IFERROR(INDEX('Datos - Catálogo TIMSS'!$C$5:$C$107,MATCH(J218,'Datos - Catálogo TIMSS'!$A$5:$A$107,0)),"?"))</f>
        <v>Fuera del marco</v>
      </c>
      <c r="N218" t="s" s="35">
        <v>8278</v>
      </c>
    </row>
    <row r="219" ht="13.65" customHeight="1">
      <c r="A219" t="s" s="35">
        <v>8471</v>
      </c>
      <c r="B219" t="s" s="35">
        <v>1510</v>
      </c>
      <c r="C219" t="s" s="35">
        <v>8244</v>
      </c>
      <c r="D219" s="36">
        <v>39</v>
      </c>
      <c r="E219" t="s" s="35">
        <v>8437</v>
      </c>
      <c r="F219" s="36">
        <v>4</v>
      </c>
      <c r="G219" t="s" s="35">
        <v>8246</v>
      </c>
      <c r="H219" t="s" s="120">
        <v>8472</v>
      </c>
      <c r="I219" t="s" s="35">
        <v>1055</v>
      </c>
      <c r="J219" t="s" s="35">
        <v>1832</v>
      </c>
      <c r="K219" s="39"/>
      <c r="L219" t="s" s="35">
        <v>282</v>
      </c>
      <c r="M219" t="str" s="39" cm="1">
        <f t="array" ref="M219">IF(J219="FUERA","Fuera del marco",_xlfn.IFERROR(INDEX('Datos - Catálogo TIMSS'!$C$5:$C$107,MATCH(J219,'Datos - Catálogo TIMSS'!$A$5:$A$107,0)),"?"))</f>
        <v>Fuera del marco</v>
      </c>
      <c r="N219" t="s" s="35">
        <v>8284</v>
      </c>
    </row>
    <row r="220" ht="13.65" customHeight="1">
      <c r="A220" t="s" s="35">
        <v>8473</v>
      </c>
      <c r="B220" t="s" s="35">
        <v>1510</v>
      </c>
      <c r="C220" t="s" s="35">
        <v>8244</v>
      </c>
      <c r="D220" s="36">
        <v>40</v>
      </c>
      <c r="E220" t="s" s="35">
        <v>8437</v>
      </c>
      <c r="F220" s="36">
        <v>4</v>
      </c>
      <c r="G220" t="s" s="35">
        <v>8286</v>
      </c>
      <c r="H220" t="s" s="120">
        <v>8474</v>
      </c>
      <c r="I220" t="s" s="35">
        <v>1055</v>
      </c>
      <c r="J220" t="s" s="35">
        <v>1132</v>
      </c>
      <c r="K220" s="39"/>
      <c r="L220" t="s" s="35">
        <v>254</v>
      </c>
      <c r="M220" t="str" s="39" cm="1">
        <f t="array" ref="M220">IF(J220="FUERA","Fuera del marco",_xlfn.IFERROR(INDEX('Datos - Catálogo TIMSS'!$C$5:$C$107,MATCH(J220,'Datos - Catálogo TIMSS'!$A$5:$A$107,0)),"?"))</f>
        <v>Ciencias físicas</v>
      </c>
      <c r="N220" t="s" s="35">
        <v>8475</v>
      </c>
    </row>
    <row r="221" ht="13.65" customHeight="1">
      <c r="A221" t="s" s="35">
        <v>8476</v>
      </c>
      <c r="B221" t="s" s="35">
        <v>1510</v>
      </c>
      <c r="C221" t="s" s="35">
        <v>8244</v>
      </c>
      <c r="D221" s="36">
        <v>40</v>
      </c>
      <c r="E221" t="s" s="35">
        <v>8437</v>
      </c>
      <c r="F221" s="36">
        <v>4</v>
      </c>
      <c r="G221" t="s" s="35">
        <v>8286</v>
      </c>
      <c r="H221" t="s" s="120">
        <v>8477</v>
      </c>
      <c r="I221" t="s" s="35">
        <v>1055</v>
      </c>
      <c r="J221" t="s" s="35">
        <v>1132</v>
      </c>
      <c r="K221" s="39"/>
      <c r="L221" t="s" s="35">
        <v>282</v>
      </c>
      <c r="M221" t="str" s="39" cm="1">
        <f t="array" ref="M221">IF(J221="FUERA","Fuera del marco",_xlfn.IFERROR(INDEX('Datos - Catálogo TIMSS'!$C$5:$C$107,MATCH(J221,'Datos - Catálogo TIMSS'!$A$5:$A$107,0)),"?"))</f>
        <v>Ciencias físicas</v>
      </c>
      <c r="N221" t="s" s="35">
        <v>8478</v>
      </c>
    </row>
    <row r="222" ht="13.65" customHeight="1">
      <c r="A222" t="s" s="35">
        <v>8479</v>
      </c>
      <c r="B222" t="s" s="35">
        <v>1510</v>
      </c>
      <c r="C222" t="s" s="35">
        <v>8244</v>
      </c>
      <c r="D222" s="36">
        <v>40</v>
      </c>
      <c r="E222" t="s" s="35">
        <v>8437</v>
      </c>
      <c r="F222" s="36">
        <v>4</v>
      </c>
      <c r="G222" t="s" s="35">
        <v>8286</v>
      </c>
      <c r="H222" t="s" s="120">
        <v>8480</v>
      </c>
      <c r="I222" t="s" s="35">
        <v>1055</v>
      </c>
      <c r="J222" t="s" s="35">
        <v>1132</v>
      </c>
      <c r="K222" s="39"/>
      <c r="L222" t="s" s="35">
        <v>291</v>
      </c>
      <c r="M222" t="str" s="39" cm="1">
        <f t="array" ref="M222">IF(J222="FUERA","Fuera del marco",_xlfn.IFERROR(INDEX('Datos - Catálogo TIMSS'!$C$5:$C$107,MATCH(J222,'Datos - Catálogo TIMSS'!$A$5:$A$107,0)),"?"))</f>
        <v>Ciencias físicas</v>
      </c>
      <c r="N222" t="s" s="35">
        <v>8481</v>
      </c>
    </row>
    <row r="223" ht="13.65" customHeight="1">
      <c r="A223" t="s" s="35">
        <v>8482</v>
      </c>
      <c r="B223" t="s" s="35">
        <v>1510</v>
      </c>
      <c r="C223" t="s" s="35">
        <v>8244</v>
      </c>
      <c r="D223" s="36">
        <v>40</v>
      </c>
      <c r="E223" t="s" s="35">
        <v>8437</v>
      </c>
      <c r="F223" s="36">
        <v>4</v>
      </c>
      <c r="G223" t="s" s="35">
        <v>8286</v>
      </c>
      <c r="H223" t="s" s="120">
        <v>8483</v>
      </c>
      <c r="I223" t="s" s="35">
        <v>1055</v>
      </c>
      <c r="J223" t="s" s="35">
        <v>1090</v>
      </c>
      <c r="K223" t="s" s="35">
        <v>1148</v>
      </c>
      <c r="L223" t="s" s="35">
        <v>282</v>
      </c>
      <c r="M223" t="str" s="39" cm="1">
        <f t="array" ref="M223">IF(J223="FUERA","Fuera del marco",_xlfn.IFERROR(INDEX('Datos - Catálogo TIMSS'!$C$5:$C$107,MATCH(J223,'Datos - Catálogo TIMSS'!$A$5:$A$107,0)),"?"))</f>
        <v>Biología</v>
      </c>
      <c r="N223" t="s" s="35">
        <v>8484</v>
      </c>
    </row>
    <row r="224" ht="13.65" customHeight="1">
      <c r="A224" t="s" s="35">
        <v>8485</v>
      </c>
      <c r="B224" t="s" s="35">
        <v>1510</v>
      </c>
      <c r="C224" t="s" s="35">
        <v>8244</v>
      </c>
      <c r="D224" s="36">
        <v>40</v>
      </c>
      <c r="E224" t="s" s="35">
        <v>8437</v>
      </c>
      <c r="F224" s="36">
        <v>4</v>
      </c>
      <c r="G224" t="s" s="35">
        <v>8286</v>
      </c>
      <c r="H224" t="s" s="120">
        <v>8486</v>
      </c>
      <c r="I224" t="s" s="35">
        <v>1055</v>
      </c>
      <c r="J224" t="s" s="35">
        <v>274</v>
      </c>
      <c r="K224" t="s" s="35">
        <v>1090</v>
      </c>
      <c r="L224" t="s" s="35">
        <v>282</v>
      </c>
      <c r="M224" t="str" s="39" cm="1">
        <f t="array" ref="M224">IF(J224="FUERA","Fuera del marco",_xlfn.IFERROR(INDEX('Datos - Catálogo TIMSS'!$C$5:$C$107,MATCH(J224,'Datos - Catálogo TIMSS'!$A$5:$A$107,0)),"?"))</f>
        <v>Ciencias de la Tierra</v>
      </c>
      <c r="N224" t="s" s="35">
        <v>8487</v>
      </c>
    </row>
    <row r="225" ht="13.65" customHeight="1">
      <c r="A225" t="s" s="35">
        <v>8488</v>
      </c>
      <c r="B225" t="s" s="35">
        <v>1510</v>
      </c>
      <c r="C225" t="s" s="35">
        <v>8244</v>
      </c>
      <c r="D225" s="36">
        <v>40</v>
      </c>
      <c r="E225" t="s" s="35">
        <v>8437</v>
      </c>
      <c r="F225" s="36">
        <v>4</v>
      </c>
      <c r="G225" t="s" s="35">
        <v>8286</v>
      </c>
      <c r="H225" t="s" s="120">
        <v>8489</v>
      </c>
      <c r="I225" t="s" s="35">
        <v>1055</v>
      </c>
      <c r="J225" t="s" s="35">
        <v>1148</v>
      </c>
      <c r="K225" t="s" s="35">
        <v>274</v>
      </c>
      <c r="L225" t="s" s="35">
        <v>291</v>
      </c>
      <c r="M225" t="str" s="39" cm="1">
        <f t="array" ref="M225">IF(J225="FUERA","Fuera del marco",_xlfn.IFERROR(INDEX('Datos - Catálogo TIMSS'!$C$5:$C$107,MATCH(J225,'Datos - Catálogo TIMSS'!$A$5:$A$107,0)),"?"))</f>
        <v>Ciencias de la Tierra</v>
      </c>
      <c r="N225" t="s" s="35">
        <v>8490</v>
      </c>
    </row>
    <row r="226" ht="13.65" customHeight="1">
      <c r="A226" t="s" s="35">
        <v>8491</v>
      </c>
      <c r="B226" t="s" s="35">
        <v>1510</v>
      </c>
      <c r="C226" t="s" s="35">
        <v>8244</v>
      </c>
      <c r="D226" s="36">
        <v>40</v>
      </c>
      <c r="E226" t="s" s="35">
        <v>8437</v>
      </c>
      <c r="F226" s="36">
        <v>4</v>
      </c>
      <c r="G226" t="s" s="35">
        <v>8286</v>
      </c>
      <c r="H226" t="s" s="120">
        <v>8492</v>
      </c>
      <c r="I226" t="s" s="35">
        <v>1055</v>
      </c>
      <c r="J226" t="s" s="35">
        <v>1109</v>
      </c>
      <c r="K226" s="39"/>
      <c r="L226" t="s" s="35">
        <v>254</v>
      </c>
      <c r="M226" t="str" s="39" cm="1">
        <f t="array" ref="M226">IF(J226="FUERA","Fuera del marco",_xlfn.IFERROR(INDEX('Datos - Catálogo TIMSS'!$C$5:$C$107,MATCH(J226,'Datos - Catálogo TIMSS'!$A$5:$A$107,0)),"?"))</f>
        <v>Ciencias físicas</v>
      </c>
      <c r="N226" t="s" s="35">
        <v>8493</v>
      </c>
    </row>
    <row r="227" ht="13.65" customHeight="1">
      <c r="A227" t="s" s="35">
        <v>8494</v>
      </c>
      <c r="B227" t="s" s="35">
        <v>1510</v>
      </c>
      <c r="C227" t="s" s="35">
        <v>8244</v>
      </c>
      <c r="D227" s="36">
        <v>40</v>
      </c>
      <c r="E227" t="s" s="35">
        <v>8437</v>
      </c>
      <c r="F227" s="36">
        <v>4</v>
      </c>
      <c r="G227" t="s" s="35">
        <v>8286</v>
      </c>
      <c r="H227" t="s" s="120">
        <v>8495</v>
      </c>
      <c r="I227" t="s" s="35">
        <v>1055</v>
      </c>
      <c r="J227" t="s" s="35">
        <v>1112</v>
      </c>
      <c r="K227" s="39"/>
      <c r="L227" t="s" s="35">
        <v>254</v>
      </c>
      <c r="M227" t="str" s="39" cm="1">
        <f t="array" ref="M227">IF(J227="FUERA","Fuera del marco",_xlfn.IFERROR(INDEX('Datos - Catálogo TIMSS'!$C$5:$C$107,MATCH(J227,'Datos - Catálogo TIMSS'!$A$5:$A$107,0)),"?"))</f>
        <v>Ciencias físicas</v>
      </c>
      <c r="N227" t="s" s="35">
        <v>8496</v>
      </c>
    </row>
    <row r="228" ht="13.65" customHeight="1">
      <c r="A228" t="s" s="35">
        <v>8497</v>
      </c>
      <c r="B228" t="s" s="35">
        <v>1510</v>
      </c>
      <c r="C228" t="s" s="35">
        <v>8244</v>
      </c>
      <c r="D228" s="36">
        <v>40</v>
      </c>
      <c r="E228" t="s" s="35">
        <v>8437</v>
      </c>
      <c r="F228" s="36">
        <v>4</v>
      </c>
      <c r="G228" t="s" s="35">
        <v>8286</v>
      </c>
      <c r="H228" t="s" s="120">
        <v>8498</v>
      </c>
      <c r="I228" t="s" s="35">
        <v>1055</v>
      </c>
      <c r="J228" t="s" s="35">
        <v>295</v>
      </c>
      <c r="K228" s="39"/>
      <c r="L228" t="s" s="35">
        <v>291</v>
      </c>
      <c r="M228" t="str" s="39" cm="1">
        <f t="array" ref="M228">IF(J228="FUERA","Fuera del marco",_xlfn.IFERROR(INDEX('Datos - Catálogo TIMSS'!$C$5:$C$107,MATCH(J228,'Datos - Catálogo TIMSS'!$A$5:$A$107,0)),"?"))</f>
        <v>Ciencias físicas</v>
      </c>
      <c r="N228" t="s" s="35">
        <v>8499</v>
      </c>
    </row>
    <row r="229" ht="13.65" customHeight="1">
      <c r="A229" t="s" s="35">
        <v>8500</v>
      </c>
      <c r="B229" t="s" s="35">
        <v>1510</v>
      </c>
      <c r="C229" t="s" s="35">
        <v>8244</v>
      </c>
      <c r="D229" s="36">
        <v>40</v>
      </c>
      <c r="E229" t="s" s="35">
        <v>8437</v>
      </c>
      <c r="F229" s="36">
        <v>4</v>
      </c>
      <c r="G229" t="s" s="35">
        <v>8286</v>
      </c>
      <c r="H229" t="s" s="120">
        <v>8501</v>
      </c>
      <c r="I229" t="s" s="35">
        <v>1055</v>
      </c>
      <c r="J229" t="s" s="35">
        <v>1093</v>
      </c>
      <c r="K229" s="39"/>
      <c r="L229" t="s" s="35">
        <v>254</v>
      </c>
      <c r="M229" t="str" s="39" cm="1">
        <f t="array" ref="M229">IF(J229="FUERA","Fuera del marco",_xlfn.IFERROR(INDEX('Datos - Catálogo TIMSS'!$C$5:$C$107,MATCH(J229,'Datos - Catálogo TIMSS'!$A$5:$A$107,0)),"?"))</f>
        <v>Biología</v>
      </c>
      <c r="N229" t="s" s="35">
        <v>8502</v>
      </c>
    </row>
    <row r="230" ht="13.65" customHeight="1">
      <c r="A230" t="s" s="35">
        <v>8503</v>
      </c>
      <c r="B230" t="s" s="35">
        <v>1510</v>
      </c>
      <c r="C230" t="s" s="35">
        <v>8244</v>
      </c>
      <c r="D230" s="36">
        <v>40</v>
      </c>
      <c r="E230" t="s" s="35">
        <v>8437</v>
      </c>
      <c r="F230" s="36">
        <v>4</v>
      </c>
      <c r="G230" t="s" s="35">
        <v>8286</v>
      </c>
      <c r="H230" t="s" s="120">
        <v>8504</v>
      </c>
      <c r="I230" t="s" s="35">
        <v>1055</v>
      </c>
      <c r="J230" t="s" s="35">
        <v>346</v>
      </c>
      <c r="K230" s="39"/>
      <c r="L230" t="s" s="35">
        <v>254</v>
      </c>
      <c r="M230" t="str" s="39" cm="1">
        <f t="array" ref="M230">IF(J230="FUERA","Fuera del marco",_xlfn.IFERROR(INDEX('Datos - Catálogo TIMSS'!$C$5:$C$107,MATCH(J230,'Datos - Catálogo TIMSS'!$A$5:$A$107,0)),"?"))</f>
        <v>Biología</v>
      </c>
      <c r="N230" t="s" s="35">
        <v>8505</v>
      </c>
    </row>
    <row r="231" ht="13.65" customHeight="1">
      <c r="A231" t="s" s="35">
        <v>8506</v>
      </c>
      <c r="B231" t="s" s="35">
        <v>1510</v>
      </c>
      <c r="C231" t="s" s="35">
        <v>8244</v>
      </c>
      <c r="D231" s="36">
        <v>40</v>
      </c>
      <c r="E231" t="s" s="35">
        <v>8437</v>
      </c>
      <c r="F231" s="36">
        <v>4</v>
      </c>
      <c r="G231" t="s" s="35">
        <v>8286</v>
      </c>
      <c r="H231" t="s" s="120">
        <v>8507</v>
      </c>
      <c r="I231" t="s" s="35">
        <v>1055</v>
      </c>
      <c r="J231" t="s" s="35">
        <v>346</v>
      </c>
      <c r="K231" t="s" s="35">
        <v>1066</v>
      </c>
      <c r="L231" t="s" s="35">
        <v>254</v>
      </c>
      <c r="M231" t="str" s="39" cm="1">
        <f t="array" ref="M231">IF(J231="FUERA","Fuera del marco",_xlfn.IFERROR(INDEX('Datos - Catálogo TIMSS'!$C$5:$C$107,MATCH(J231,'Datos - Catálogo TIMSS'!$A$5:$A$107,0)),"?"))</f>
        <v>Biología</v>
      </c>
      <c r="N231" t="s" s="35">
        <v>8508</v>
      </c>
    </row>
    <row r="232" ht="13.65" customHeight="1">
      <c r="A232" t="s" s="35">
        <v>8509</v>
      </c>
      <c r="B232" t="s" s="35">
        <v>1510</v>
      </c>
      <c r="C232" t="s" s="35">
        <v>8244</v>
      </c>
      <c r="D232" s="36">
        <v>40</v>
      </c>
      <c r="E232" t="s" s="35">
        <v>8437</v>
      </c>
      <c r="F232" s="36">
        <v>4</v>
      </c>
      <c r="G232" t="s" s="35">
        <v>8311</v>
      </c>
      <c r="H232" t="s" s="120">
        <v>8510</v>
      </c>
      <c r="I232" t="s" s="35">
        <v>1055</v>
      </c>
      <c r="J232" t="s" s="35">
        <v>313</v>
      </c>
      <c r="K232" t="s" s="35">
        <v>1116</v>
      </c>
      <c r="L232" t="s" s="35">
        <v>254</v>
      </c>
      <c r="M232" t="str" s="39" cm="1">
        <f t="array" ref="M232">IF(J232="FUERA","Fuera del marco",_xlfn.IFERROR(INDEX('Datos - Catálogo TIMSS'!$C$5:$C$107,MATCH(J232,'Datos - Catálogo TIMSS'!$A$5:$A$107,0)),"?"))</f>
        <v>Ciencias físicas</v>
      </c>
      <c r="N232" t="s" s="35">
        <v>8511</v>
      </c>
    </row>
    <row r="233" ht="13.65" customHeight="1">
      <c r="A233" t="s" s="35">
        <v>8512</v>
      </c>
      <c r="B233" t="s" s="35">
        <v>1510</v>
      </c>
      <c r="C233" t="s" s="35">
        <v>8244</v>
      </c>
      <c r="D233" s="36">
        <v>40</v>
      </c>
      <c r="E233" t="s" s="35">
        <v>8437</v>
      </c>
      <c r="F233" s="36">
        <v>4</v>
      </c>
      <c r="G233" t="s" s="35">
        <v>8311</v>
      </c>
      <c r="H233" t="s" s="120">
        <v>8513</v>
      </c>
      <c r="I233" t="s" s="35">
        <v>1055</v>
      </c>
      <c r="J233" t="s" s="35">
        <v>1109</v>
      </c>
      <c r="K233" s="39"/>
      <c r="L233" t="s" s="35">
        <v>254</v>
      </c>
      <c r="M233" t="str" s="39" cm="1">
        <f t="array" ref="M233">IF(J233="FUERA","Fuera del marco",_xlfn.IFERROR(INDEX('Datos - Catálogo TIMSS'!$C$5:$C$107,MATCH(J233,'Datos - Catálogo TIMSS'!$A$5:$A$107,0)),"?"))</f>
        <v>Ciencias físicas</v>
      </c>
      <c r="N233" t="s" s="35">
        <v>8514</v>
      </c>
    </row>
    <row r="234" ht="13.65" customHeight="1">
      <c r="A234" t="s" s="35">
        <v>8515</v>
      </c>
      <c r="B234" t="s" s="35">
        <v>1510</v>
      </c>
      <c r="C234" t="s" s="35">
        <v>8244</v>
      </c>
      <c r="D234" s="36">
        <v>40</v>
      </c>
      <c r="E234" t="s" s="35">
        <v>8437</v>
      </c>
      <c r="F234" s="36">
        <v>4</v>
      </c>
      <c r="G234" t="s" s="35">
        <v>8311</v>
      </c>
      <c r="H234" t="s" s="120">
        <v>8516</v>
      </c>
      <c r="I234" t="s" s="35">
        <v>1055</v>
      </c>
      <c r="J234" t="s" s="35">
        <v>1109</v>
      </c>
      <c r="K234" s="39"/>
      <c r="L234" t="s" s="35">
        <v>254</v>
      </c>
      <c r="M234" t="str" s="39" cm="1">
        <f t="array" ref="M234">IF(J234="FUERA","Fuera del marco",_xlfn.IFERROR(INDEX('Datos - Catálogo TIMSS'!$C$5:$C$107,MATCH(J234,'Datos - Catálogo TIMSS'!$A$5:$A$107,0)),"?"))</f>
        <v>Ciencias físicas</v>
      </c>
      <c r="N234" t="s" s="35">
        <v>8517</v>
      </c>
    </row>
    <row r="235" ht="13.65" customHeight="1">
      <c r="A235" t="s" s="35">
        <v>8518</v>
      </c>
      <c r="B235" t="s" s="35">
        <v>1510</v>
      </c>
      <c r="C235" t="s" s="35">
        <v>8244</v>
      </c>
      <c r="D235" s="36">
        <v>40</v>
      </c>
      <c r="E235" t="s" s="35">
        <v>8437</v>
      </c>
      <c r="F235" s="36">
        <v>4</v>
      </c>
      <c r="G235" t="s" s="35">
        <v>8311</v>
      </c>
      <c r="H235" t="s" s="120">
        <v>8519</v>
      </c>
      <c r="I235" t="s" s="35">
        <v>1055</v>
      </c>
      <c r="J235" t="s" s="35">
        <v>1106</v>
      </c>
      <c r="K235" s="39"/>
      <c r="L235" t="s" s="35">
        <v>254</v>
      </c>
      <c r="M235" t="str" s="39" cm="1">
        <f t="array" ref="M235">IF(J235="FUERA","Fuera del marco",_xlfn.IFERROR(INDEX('Datos - Catálogo TIMSS'!$C$5:$C$107,MATCH(J235,'Datos - Catálogo TIMSS'!$A$5:$A$107,0)),"?"))</f>
        <v>Ciencias físicas</v>
      </c>
      <c r="N235" t="s" s="35">
        <v>8520</v>
      </c>
    </row>
    <row r="236" ht="13.65" customHeight="1">
      <c r="A236" t="s" s="35">
        <v>8521</v>
      </c>
      <c r="B236" t="s" s="35">
        <v>1510</v>
      </c>
      <c r="C236" t="s" s="35">
        <v>8244</v>
      </c>
      <c r="D236" s="36">
        <v>40</v>
      </c>
      <c r="E236" t="s" s="35">
        <v>8437</v>
      </c>
      <c r="F236" s="36">
        <v>4</v>
      </c>
      <c r="G236" t="s" s="35">
        <v>8311</v>
      </c>
      <c r="H236" t="s" s="120">
        <v>8522</v>
      </c>
      <c r="I236" t="s" s="35">
        <v>1055</v>
      </c>
      <c r="J236" t="s" s="35">
        <v>332</v>
      </c>
      <c r="K236" s="39"/>
      <c r="L236" t="s" s="35">
        <v>282</v>
      </c>
      <c r="M236" t="str" s="39" cm="1">
        <f t="array" ref="M236">IF(J236="FUERA","Fuera del marco",_xlfn.IFERROR(INDEX('Datos - Catálogo TIMSS'!$C$5:$C$107,MATCH(J236,'Datos - Catálogo TIMSS'!$A$5:$A$107,0)),"?"))</f>
        <v>Ciencias físicas</v>
      </c>
      <c r="N236" t="s" s="35">
        <v>8523</v>
      </c>
    </row>
    <row r="237" ht="13.65" customHeight="1">
      <c r="A237" t="s" s="35">
        <v>8524</v>
      </c>
      <c r="B237" t="s" s="35">
        <v>1510</v>
      </c>
      <c r="C237" t="s" s="35">
        <v>8244</v>
      </c>
      <c r="D237" s="36">
        <v>40</v>
      </c>
      <c r="E237" t="s" s="35">
        <v>8437</v>
      </c>
      <c r="F237" s="36">
        <v>4</v>
      </c>
      <c r="G237" t="s" s="35">
        <v>8311</v>
      </c>
      <c r="H237" t="s" s="120">
        <v>8525</v>
      </c>
      <c r="I237" t="s" s="35">
        <v>1055</v>
      </c>
      <c r="J237" t="s" s="35">
        <v>332</v>
      </c>
      <c r="K237" s="39"/>
      <c r="L237" t="s" s="35">
        <v>254</v>
      </c>
      <c r="M237" t="str" s="39" cm="1">
        <f t="array" ref="M237">IF(J237="FUERA","Fuera del marco",_xlfn.IFERROR(INDEX('Datos - Catálogo TIMSS'!$C$5:$C$107,MATCH(J237,'Datos - Catálogo TIMSS'!$A$5:$A$107,0)),"?"))</f>
        <v>Ciencias físicas</v>
      </c>
      <c r="N237" t="s" s="35">
        <v>8526</v>
      </c>
    </row>
    <row r="238" ht="13.65" customHeight="1">
      <c r="A238" t="s" s="35">
        <v>8527</v>
      </c>
      <c r="B238" t="s" s="35">
        <v>1510</v>
      </c>
      <c r="C238" t="s" s="35">
        <v>8244</v>
      </c>
      <c r="D238" s="36">
        <v>40</v>
      </c>
      <c r="E238" t="s" s="35">
        <v>8437</v>
      </c>
      <c r="F238" s="36">
        <v>4</v>
      </c>
      <c r="G238" t="s" s="35">
        <v>8311</v>
      </c>
      <c r="H238" t="s" s="120">
        <v>8528</v>
      </c>
      <c r="I238" t="s" s="35">
        <v>1055</v>
      </c>
      <c r="J238" t="s" s="35">
        <v>1132</v>
      </c>
      <c r="K238" s="39"/>
      <c r="L238" t="s" s="35">
        <v>254</v>
      </c>
      <c r="M238" t="str" s="39" cm="1">
        <f t="array" ref="M238">IF(J238="FUERA","Fuera del marco",_xlfn.IFERROR(INDEX('Datos - Catálogo TIMSS'!$C$5:$C$107,MATCH(J238,'Datos - Catálogo TIMSS'!$A$5:$A$107,0)),"?"))</f>
        <v>Ciencias físicas</v>
      </c>
      <c r="N238" t="s" s="35">
        <v>8529</v>
      </c>
    </row>
    <row r="239" ht="13.65" customHeight="1">
      <c r="A239" t="s" s="35">
        <v>8530</v>
      </c>
      <c r="B239" t="s" s="35">
        <v>1510</v>
      </c>
      <c r="C239" t="s" s="35">
        <v>8244</v>
      </c>
      <c r="D239" s="36">
        <v>40</v>
      </c>
      <c r="E239" t="s" s="35">
        <v>8437</v>
      </c>
      <c r="F239" s="36">
        <v>4</v>
      </c>
      <c r="G239" t="s" s="35">
        <v>8311</v>
      </c>
      <c r="H239" t="s" s="120">
        <v>8531</v>
      </c>
      <c r="I239" t="s" s="35">
        <v>1055</v>
      </c>
      <c r="J239" t="s" s="35">
        <v>1106</v>
      </c>
      <c r="K239" s="39"/>
      <c r="L239" t="s" s="35">
        <v>254</v>
      </c>
      <c r="M239" t="str" s="39" cm="1">
        <f t="array" ref="M239">IF(J239="FUERA","Fuera del marco",_xlfn.IFERROR(INDEX('Datos - Catálogo TIMSS'!$C$5:$C$107,MATCH(J239,'Datos - Catálogo TIMSS'!$A$5:$A$107,0)),"?"))</f>
        <v>Ciencias físicas</v>
      </c>
      <c r="N239" t="s" s="35">
        <v>8532</v>
      </c>
    </row>
    <row r="240" ht="13.65" customHeight="1">
      <c r="A240" t="s" s="35">
        <v>8533</v>
      </c>
      <c r="B240" t="s" s="35">
        <v>1510</v>
      </c>
      <c r="C240" t="s" s="35">
        <v>8244</v>
      </c>
      <c r="D240" s="36">
        <v>40</v>
      </c>
      <c r="E240" t="s" s="35">
        <v>8437</v>
      </c>
      <c r="F240" s="36">
        <v>4</v>
      </c>
      <c r="G240" t="s" s="35">
        <v>8311</v>
      </c>
      <c r="H240" t="s" s="120">
        <v>8534</v>
      </c>
      <c r="I240" t="s" s="35">
        <v>1055</v>
      </c>
      <c r="J240" t="s" s="35">
        <v>295</v>
      </c>
      <c r="K240" s="39"/>
      <c r="L240" t="s" s="35">
        <v>254</v>
      </c>
      <c r="M240" t="str" s="39" cm="1">
        <f t="array" ref="M240">IF(J240="FUERA","Fuera del marco",_xlfn.IFERROR(INDEX('Datos - Catálogo TIMSS'!$C$5:$C$107,MATCH(J240,'Datos - Catálogo TIMSS'!$A$5:$A$107,0)),"?"))</f>
        <v>Ciencias físicas</v>
      </c>
      <c r="N240" t="s" s="35">
        <v>8535</v>
      </c>
    </row>
    <row r="241" ht="13.65" customHeight="1">
      <c r="A241" t="s" s="35">
        <v>8536</v>
      </c>
      <c r="B241" t="s" s="35">
        <v>1510</v>
      </c>
      <c r="C241" t="s" s="35">
        <v>8244</v>
      </c>
      <c r="D241" s="36">
        <v>40</v>
      </c>
      <c r="E241" t="s" s="35">
        <v>8437</v>
      </c>
      <c r="F241" s="36">
        <v>4</v>
      </c>
      <c r="G241" t="s" s="35">
        <v>8311</v>
      </c>
      <c r="H241" t="s" s="120">
        <v>8537</v>
      </c>
      <c r="I241" t="s" s="35">
        <v>1055</v>
      </c>
      <c r="J241" t="s" s="35">
        <v>1152</v>
      </c>
      <c r="K241" s="39"/>
      <c r="L241" t="s" s="35">
        <v>254</v>
      </c>
      <c r="M241" t="str" s="39" cm="1">
        <f t="array" ref="M241">IF(J241="FUERA","Fuera del marco",_xlfn.IFERROR(INDEX('Datos - Catálogo TIMSS'!$C$5:$C$107,MATCH(J241,'Datos - Catálogo TIMSS'!$A$5:$A$107,0)),"?"))</f>
        <v>Ciencias de la Tierra</v>
      </c>
      <c r="N241" t="s" s="35">
        <v>8538</v>
      </c>
    </row>
    <row r="242" ht="13.65" customHeight="1">
      <c r="A242" t="s" s="35">
        <v>8539</v>
      </c>
      <c r="B242" t="s" s="35">
        <v>1510</v>
      </c>
      <c r="C242" t="s" s="35">
        <v>8244</v>
      </c>
      <c r="D242" s="36">
        <v>40</v>
      </c>
      <c r="E242" t="s" s="35">
        <v>8437</v>
      </c>
      <c r="F242" s="36">
        <v>4</v>
      </c>
      <c r="G242" t="s" s="35">
        <v>8311</v>
      </c>
      <c r="H242" t="s" s="120">
        <v>8540</v>
      </c>
      <c r="I242" t="s" s="35">
        <v>1055</v>
      </c>
      <c r="J242" t="s" s="35">
        <v>332</v>
      </c>
      <c r="K242" t="s" s="35">
        <v>1152</v>
      </c>
      <c r="L242" t="s" s="35">
        <v>282</v>
      </c>
      <c r="M242" t="str" s="39" cm="1">
        <f t="array" ref="M242">IF(J242="FUERA","Fuera del marco",_xlfn.IFERROR(INDEX('Datos - Catálogo TIMSS'!$C$5:$C$107,MATCH(J242,'Datos - Catálogo TIMSS'!$A$5:$A$107,0)),"?"))</f>
        <v>Ciencias físicas</v>
      </c>
      <c r="N242" t="s" s="35">
        <v>8541</v>
      </c>
    </row>
    <row r="243" ht="13.65" customHeight="1">
      <c r="A243" t="s" s="35">
        <v>8542</v>
      </c>
      <c r="B243" t="s" s="35">
        <v>1510</v>
      </c>
      <c r="C243" t="s" s="35">
        <v>8244</v>
      </c>
      <c r="D243" s="36">
        <v>40</v>
      </c>
      <c r="E243" t="s" s="35">
        <v>8437</v>
      </c>
      <c r="F243" s="36">
        <v>4</v>
      </c>
      <c r="G243" t="s" s="35">
        <v>8311</v>
      </c>
      <c r="H243" t="s" s="120">
        <v>8543</v>
      </c>
      <c r="I243" t="s" s="35">
        <v>1055</v>
      </c>
      <c r="J243" t="s" s="35">
        <v>288</v>
      </c>
      <c r="K243" t="s" s="35">
        <v>274</v>
      </c>
      <c r="L243" t="s" s="35">
        <v>254</v>
      </c>
      <c r="M243" t="str" s="39" cm="1">
        <f t="array" ref="M243">IF(J243="FUERA","Fuera del marco",_xlfn.IFERROR(INDEX('Datos - Catálogo TIMSS'!$C$5:$C$107,MATCH(J243,'Datos - Catálogo TIMSS'!$A$5:$A$107,0)),"?"))</f>
        <v>Ciencias de la Tierra</v>
      </c>
      <c r="N243" t="s" s="35">
        <v>8544</v>
      </c>
    </row>
    <row r="244" ht="13.65" customHeight="1">
      <c r="A244" t="s" s="35">
        <v>8545</v>
      </c>
      <c r="B244" t="s" s="35">
        <v>1510</v>
      </c>
      <c r="C244" t="s" s="35">
        <v>8244</v>
      </c>
      <c r="D244" s="36">
        <v>40</v>
      </c>
      <c r="E244" t="s" s="35">
        <v>8437</v>
      </c>
      <c r="F244" s="36">
        <v>4</v>
      </c>
      <c r="G244" t="s" s="35">
        <v>8311</v>
      </c>
      <c r="H244" t="s" s="120">
        <v>8546</v>
      </c>
      <c r="I244" t="s" s="35">
        <v>1055</v>
      </c>
      <c r="J244" t="s" s="35">
        <v>1156</v>
      </c>
      <c r="K244" t="s" s="35">
        <v>274</v>
      </c>
      <c r="L244" t="s" s="35">
        <v>282</v>
      </c>
      <c r="M244" t="str" s="39" cm="1">
        <f t="array" ref="M244">IF(J244="FUERA","Fuera del marco",_xlfn.IFERROR(INDEX('Datos - Catálogo TIMSS'!$C$5:$C$107,MATCH(J244,'Datos - Catálogo TIMSS'!$A$5:$A$107,0)),"?"))</f>
        <v>Ciencias de la Tierra</v>
      </c>
      <c r="N244" t="s" s="35">
        <v>8547</v>
      </c>
    </row>
    <row r="245" ht="13.65" customHeight="1">
      <c r="A245" t="s" s="35">
        <v>8548</v>
      </c>
      <c r="B245" t="s" s="35">
        <v>1510</v>
      </c>
      <c r="C245" t="s" s="35">
        <v>8244</v>
      </c>
      <c r="D245" s="36">
        <v>40</v>
      </c>
      <c r="E245" t="s" s="35">
        <v>8437</v>
      </c>
      <c r="F245" s="36">
        <v>4</v>
      </c>
      <c r="G245" t="s" s="35">
        <v>8311</v>
      </c>
      <c r="H245" t="s" s="120">
        <v>8549</v>
      </c>
      <c r="I245" t="s" s="35">
        <v>1055</v>
      </c>
      <c r="J245" t="s" s="35">
        <v>266</v>
      </c>
      <c r="K245" t="s" s="35">
        <v>288</v>
      </c>
      <c r="L245" t="s" s="35">
        <v>282</v>
      </c>
      <c r="M245" t="str" s="39" cm="1">
        <f t="array" ref="M245">IF(J245="FUERA","Fuera del marco",_xlfn.IFERROR(INDEX('Datos - Catálogo TIMSS'!$C$5:$C$107,MATCH(J245,'Datos - Catálogo TIMSS'!$A$5:$A$107,0)),"?"))</f>
        <v>Ciencias de la Tierra</v>
      </c>
      <c r="N245" t="s" s="35">
        <v>8550</v>
      </c>
    </row>
    <row r="246" ht="13.65" customHeight="1">
      <c r="A246" t="s" s="35">
        <v>8551</v>
      </c>
      <c r="B246" t="s" s="35">
        <v>1510</v>
      </c>
      <c r="C246" t="s" s="35">
        <v>8244</v>
      </c>
      <c r="D246" s="36">
        <v>39</v>
      </c>
      <c r="E246" t="s" s="35">
        <v>8437</v>
      </c>
      <c r="F246" s="36">
        <v>4</v>
      </c>
      <c r="G246" t="s" s="35">
        <v>8351</v>
      </c>
      <c r="H246" t="s" s="120">
        <v>8552</v>
      </c>
      <c r="I246" t="s" s="35">
        <v>1055</v>
      </c>
      <c r="J246" t="s" s="35">
        <v>1832</v>
      </c>
      <c r="K246" s="39"/>
      <c r="L246" t="s" s="35">
        <v>282</v>
      </c>
      <c r="M246" t="str" s="39" cm="1">
        <f t="array" ref="M246">IF(J246="FUERA","Fuera del marco",_xlfn.IFERROR(INDEX('Datos - Catálogo TIMSS'!$C$5:$C$107,MATCH(J246,'Datos - Catálogo TIMSS'!$A$5:$A$107,0)),"?"))</f>
        <v>Fuera del marco</v>
      </c>
      <c r="N246" t="s" s="35">
        <v>8553</v>
      </c>
    </row>
    <row r="247" ht="13.65" customHeight="1">
      <c r="A247" t="s" s="35">
        <v>8554</v>
      </c>
      <c r="B247" t="s" s="35">
        <v>1510</v>
      </c>
      <c r="C247" t="s" s="35">
        <v>8244</v>
      </c>
      <c r="D247" s="36">
        <v>39</v>
      </c>
      <c r="E247" t="s" s="35">
        <v>8437</v>
      </c>
      <c r="F247" s="36">
        <v>4</v>
      </c>
      <c r="G247" t="s" s="35">
        <v>8351</v>
      </c>
      <c r="H247" t="s" s="120">
        <v>8555</v>
      </c>
      <c r="I247" t="s" s="35">
        <v>1055</v>
      </c>
      <c r="J247" t="s" s="35">
        <v>1832</v>
      </c>
      <c r="K247" s="39"/>
      <c r="L247" t="s" s="35">
        <v>291</v>
      </c>
      <c r="M247" t="str" s="39" cm="1">
        <f t="array" ref="M247">IF(J247="FUERA","Fuera del marco",_xlfn.IFERROR(INDEX('Datos - Catálogo TIMSS'!$C$5:$C$107,MATCH(J247,'Datos - Catálogo TIMSS'!$A$5:$A$107,0)),"?"))</f>
        <v>Fuera del marco</v>
      </c>
      <c r="N247" t="s" s="35">
        <v>8556</v>
      </c>
    </row>
    <row r="248" ht="13.65" customHeight="1">
      <c r="A248" t="s" s="35">
        <v>8557</v>
      </c>
      <c r="B248" t="s" s="35">
        <v>1510</v>
      </c>
      <c r="C248" t="s" s="35">
        <v>8244</v>
      </c>
      <c r="D248" s="36">
        <v>39</v>
      </c>
      <c r="E248" t="s" s="35">
        <v>8437</v>
      </c>
      <c r="F248" s="36">
        <v>4</v>
      </c>
      <c r="G248" t="s" s="35">
        <v>8351</v>
      </c>
      <c r="H248" t="s" s="120">
        <v>8558</v>
      </c>
      <c r="I248" t="s" s="35">
        <v>1055</v>
      </c>
      <c r="J248" t="s" s="35">
        <v>383</v>
      </c>
      <c r="K248" s="39"/>
      <c r="L248" t="s" s="35">
        <v>282</v>
      </c>
      <c r="M248" t="str" s="39" cm="1">
        <f t="array" ref="M248">IF(J248="FUERA","Fuera del marco",_xlfn.IFERROR(INDEX('Datos - Catálogo TIMSS'!$C$5:$C$107,MATCH(J248,'Datos - Catálogo TIMSS'!$A$5:$A$107,0)),"?"))</f>
        <v>Biología</v>
      </c>
      <c r="N248" t="s" s="35">
        <v>8559</v>
      </c>
    </row>
    <row r="249" ht="13.65" customHeight="1">
      <c r="A249" t="s" s="35">
        <v>8560</v>
      </c>
      <c r="B249" t="s" s="35">
        <v>1510</v>
      </c>
      <c r="C249" t="s" s="35">
        <v>8244</v>
      </c>
      <c r="D249" s="36">
        <v>39</v>
      </c>
      <c r="E249" t="s" s="35">
        <v>8437</v>
      </c>
      <c r="F249" s="36">
        <v>4</v>
      </c>
      <c r="G249" t="s" s="35">
        <v>8351</v>
      </c>
      <c r="H249" t="s" s="120">
        <v>8561</v>
      </c>
      <c r="I249" t="s" s="35">
        <v>1055</v>
      </c>
      <c r="J249" t="s" s="35">
        <v>383</v>
      </c>
      <c r="K249" s="39"/>
      <c r="L249" t="s" s="35">
        <v>254</v>
      </c>
      <c r="M249" t="str" s="39" cm="1">
        <f t="array" ref="M249">IF(J249="FUERA","Fuera del marco",_xlfn.IFERROR(INDEX('Datos - Catálogo TIMSS'!$C$5:$C$107,MATCH(J249,'Datos - Catálogo TIMSS'!$A$5:$A$107,0)),"?"))</f>
        <v>Biología</v>
      </c>
      <c r="N249" t="s" s="35">
        <v>8562</v>
      </c>
    </row>
    <row r="250" ht="13.65" customHeight="1">
      <c r="A250" t="s" s="35">
        <v>8563</v>
      </c>
      <c r="B250" t="s" s="35">
        <v>1510</v>
      </c>
      <c r="C250" t="s" s="35">
        <v>8244</v>
      </c>
      <c r="D250" s="36">
        <v>39</v>
      </c>
      <c r="E250" t="s" s="35">
        <v>8437</v>
      </c>
      <c r="F250" s="36">
        <v>4</v>
      </c>
      <c r="G250" t="s" s="35">
        <v>8351</v>
      </c>
      <c r="H250" t="s" s="120">
        <v>8564</v>
      </c>
      <c r="I250" t="s" s="35">
        <v>1055</v>
      </c>
      <c r="J250" t="s" s="35">
        <v>388</v>
      </c>
      <c r="K250" s="39"/>
      <c r="L250" t="s" s="35">
        <v>254</v>
      </c>
      <c r="M250" t="str" s="39" cm="1">
        <f t="array" ref="M250">IF(J250="FUERA","Fuera del marco",_xlfn.IFERROR(INDEX('Datos - Catálogo TIMSS'!$C$5:$C$107,MATCH(J250,'Datos - Catálogo TIMSS'!$A$5:$A$107,0)),"?"))</f>
        <v>Biología</v>
      </c>
      <c r="N250" t="s" s="35">
        <v>8565</v>
      </c>
    </row>
    <row r="251" ht="13.65" customHeight="1">
      <c r="A251" t="s" s="35">
        <v>8566</v>
      </c>
      <c r="B251" t="s" s="35">
        <v>1510</v>
      </c>
      <c r="C251" t="s" s="35">
        <v>8244</v>
      </c>
      <c r="D251" s="36">
        <v>39</v>
      </c>
      <c r="E251" t="s" s="35">
        <v>8437</v>
      </c>
      <c r="F251" s="36">
        <v>4</v>
      </c>
      <c r="G251" t="s" s="35">
        <v>8351</v>
      </c>
      <c r="H251" t="s" s="120">
        <v>8567</v>
      </c>
      <c r="I251" t="s" s="35">
        <v>1055</v>
      </c>
      <c r="J251" t="s" s="35">
        <v>332</v>
      </c>
      <c r="K251" t="s" s="35">
        <v>383</v>
      </c>
      <c r="L251" t="s" s="35">
        <v>282</v>
      </c>
      <c r="M251" t="str" s="39" cm="1">
        <f t="array" ref="M251">IF(J251="FUERA","Fuera del marco",_xlfn.IFERROR(INDEX('Datos - Catálogo TIMSS'!$C$5:$C$107,MATCH(J251,'Datos - Catálogo TIMSS'!$A$5:$A$107,0)),"?"))</f>
        <v>Ciencias físicas</v>
      </c>
      <c r="N251" t="s" s="35">
        <v>8568</v>
      </c>
    </row>
    <row r="252" ht="13.65" customHeight="1">
      <c r="A252" t="s" s="35">
        <v>8569</v>
      </c>
      <c r="B252" t="s" s="35">
        <v>1510</v>
      </c>
      <c r="C252" t="s" s="35">
        <v>8244</v>
      </c>
      <c r="D252" s="36">
        <v>39</v>
      </c>
      <c r="E252" t="s" s="35">
        <v>8437</v>
      </c>
      <c r="F252" s="36">
        <v>4</v>
      </c>
      <c r="G252" t="s" s="35">
        <v>8351</v>
      </c>
      <c r="H252" t="s" s="120">
        <v>8570</v>
      </c>
      <c r="I252" t="s" s="35">
        <v>1055</v>
      </c>
      <c r="J252" t="s" s="35">
        <v>1132</v>
      </c>
      <c r="K252" t="s" s="35">
        <v>383</v>
      </c>
      <c r="L252" t="s" s="35">
        <v>282</v>
      </c>
      <c r="M252" t="str" s="39" cm="1">
        <f t="array" ref="M252">IF(J252="FUERA","Fuera del marco",_xlfn.IFERROR(INDEX('Datos - Catálogo TIMSS'!$C$5:$C$107,MATCH(J252,'Datos - Catálogo TIMSS'!$A$5:$A$107,0)),"?"))</f>
        <v>Ciencias físicas</v>
      </c>
      <c r="N252" t="s" s="35">
        <v>8571</v>
      </c>
    </row>
    <row r="253" ht="13.65" customHeight="1">
      <c r="A253" t="s" s="35">
        <v>8572</v>
      </c>
      <c r="B253" t="s" s="35">
        <v>1510</v>
      </c>
      <c r="C253" t="s" s="35">
        <v>8244</v>
      </c>
      <c r="D253" s="36">
        <v>39</v>
      </c>
      <c r="E253" t="s" s="35">
        <v>8437</v>
      </c>
      <c r="F253" s="36">
        <v>4</v>
      </c>
      <c r="G253" t="s" s="35">
        <v>8351</v>
      </c>
      <c r="H253" t="s" s="120">
        <v>8573</v>
      </c>
      <c r="I253" t="s" s="35">
        <v>1055</v>
      </c>
      <c r="J253" t="s" s="35">
        <v>383</v>
      </c>
      <c r="K253" t="s" s="35">
        <v>295</v>
      </c>
      <c r="L253" t="s" s="35">
        <v>291</v>
      </c>
      <c r="M253" t="str" s="39" cm="1">
        <f t="array" ref="M253">IF(J253="FUERA","Fuera del marco",_xlfn.IFERROR(INDEX('Datos - Catálogo TIMSS'!$C$5:$C$107,MATCH(J253,'Datos - Catálogo TIMSS'!$A$5:$A$107,0)),"?"))</f>
        <v>Biología</v>
      </c>
      <c r="N253" t="s" s="35">
        <v>8574</v>
      </c>
    </row>
    <row r="254" ht="13.65" customHeight="1">
      <c r="A254" t="s" s="35">
        <v>8575</v>
      </c>
      <c r="B254" t="s" s="35">
        <v>1510</v>
      </c>
      <c r="C254" t="s" s="35">
        <v>8244</v>
      </c>
      <c r="D254" s="36">
        <v>39</v>
      </c>
      <c r="E254" t="s" s="35">
        <v>8437</v>
      </c>
      <c r="F254" s="36">
        <v>4</v>
      </c>
      <c r="G254" t="s" s="35">
        <v>8351</v>
      </c>
      <c r="H254" t="s" s="120">
        <v>8576</v>
      </c>
      <c r="I254" t="s" s="35">
        <v>1055</v>
      </c>
      <c r="J254" t="s" s="35">
        <v>416</v>
      </c>
      <c r="K254" s="39"/>
      <c r="L254" t="s" s="35">
        <v>254</v>
      </c>
      <c r="M254" t="str" s="39" cm="1">
        <f t="array" ref="M254">IF(J254="FUERA","Fuera del marco",_xlfn.IFERROR(INDEX('Datos - Catálogo TIMSS'!$C$5:$C$107,MATCH(J254,'Datos - Catálogo TIMSS'!$A$5:$A$107,0)),"?"))</f>
        <v>Biología</v>
      </c>
      <c r="N254" t="s" s="35">
        <v>8577</v>
      </c>
    </row>
    <row r="255" ht="13.65" customHeight="1">
      <c r="A255" t="s" s="35">
        <v>8578</v>
      </c>
      <c r="B255" t="s" s="35">
        <v>1510</v>
      </c>
      <c r="C255" t="s" s="35">
        <v>8244</v>
      </c>
      <c r="D255" s="36">
        <v>39</v>
      </c>
      <c r="E255" t="s" s="35">
        <v>8437</v>
      </c>
      <c r="F255" s="36">
        <v>4</v>
      </c>
      <c r="G255" t="s" s="35">
        <v>8351</v>
      </c>
      <c r="H255" t="s" s="120">
        <v>8579</v>
      </c>
      <c r="I255" t="s" s="35">
        <v>1055</v>
      </c>
      <c r="J255" t="s" s="35">
        <v>1079</v>
      </c>
      <c r="K255" t="s" s="35">
        <v>416</v>
      </c>
      <c r="L255" t="s" s="35">
        <v>254</v>
      </c>
      <c r="M255" t="str" s="39" cm="1">
        <f t="array" ref="M255">IF(J255="FUERA","Fuera del marco",_xlfn.IFERROR(INDEX('Datos - Catálogo TIMSS'!$C$5:$C$107,MATCH(J255,'Datos - Catálogo TIMSS'!$A$5:$A$107,0)),"?"))</f>
        <v>Biología</v>
      </c>
      <c r="N255" t="s" s="35">
        <v>8580</v>
      </c>
    </row>
    <row r="256" ht="13.65" customHeight="1">
      <c r="A256" t="s" s="35">
        <v>8581</v>
      </c>
      <c r="B256" t="s" s="35">
        <v>1510</v>
      </c>
      <c r="C256" t="s" s="35">
        <v>8244</v>
      </c>
      <c r="D256" s="36">
        <v>39</v>
      </c>
      <c r="E256" t="s" s="35">
        <v>8437</v>
      </c>
      <c r="F256" s="36">
        <v>4</v>
      </c>
      <c r="G256" t="s" s="35">
        <v>8351</v>
      </c>
      <c r="H256" t="s" s="120">
        <v>8582</v>
      </c>
      <c r="I256" t="s" s="35">
        <v>1055</v>
      </c>
      <c r="J256" t="s" s="35">
        <v>1086</v>
      </c>
      <c r="K256" t="s" s="35">
        <v>1066</v>
      </c>
      <c r="L256" t="s" s="35">
        <v>254</v>
      </c>
      <c r="M256" t="str" s="39" cm="1">
        <f t="array" ref="M256">IF(J256="FUERA","Fuera del marco",_xlfn.IFERROR(INDEX('Datos - Catálogo TIMSS'!$C$5:$C$107,MATCH(J256,'Datos - Catálogo TIMSS'!$A$5:$A$107,0)),"?"))</f>
        <v>Biología</v>
      </c>
      <c r="N256" t="s" s="35">
        <v>8583</v>
      </c>
    </row>
    <row r="257" ht="13.65" customHeight="1">
      <c r="A257" t="s" s="35">
        <v>8584</v>
      </c>
      <c r="B257" t="s" s="35">
        <v>1510</v>
      </c>
      <c r="C257" t="s" s="35">
        <v>8244</v>
      </c>
      <c r="D257" s="36">
        <v>39</v>
      </c>
      <c r="E257" t="s" s="35">
        <v>8437</v>
      </c>
      <c r="F257" s="36">
        <v>4</v>
      </c>
      <c r="G257" t="s" s="35">
        <v>8351</v>
      </c>
      <c r="H257" t="s" s="120">
        <v>8585</v>
      </c>
      <c r="I257" t="s" s="35">
        <v>1055</v>
      </c>
      <c r="J257" t="s" s="35">
        <v>1079</v>
      </c>
      <c r="K257" s="39"/>
      <c r="L257" t="s" s="35">
        <v>254</v>
      </c>
      <c r="M257" t="str" s="39" cm="1">
        <f t="array" ref="M257">IF(J257="FUERA","Fuera del marco",_xlfn.IFERROR(INDEX('Datos - Catálogo TIMSS'!$C$5:$C$107,MATCH(J257,'Datos - Catálogo TIMSS'!$A$5:$A$107,0)),"?"))</f>
        <v>Biología</v>
      </c>
      <c r="N257" t="s" s="35">
        <v>8586</v>
      </c>
    </row>
    <row r="258" ht="13.65" customHeight="1">
      <c r="A258" t="s" s="35">
        <v>8587</v>
      </c>
      <c r="B258" t="s" s="35">
        <v>1510</v>
      </c>
      <c r="C258" t="s" s="35">
        <v>8230</v>
      </c>
      <c r="D258" s="36">
        <v>19</v>
      </c>
      <c r="E258" t="s" s="35">
        <v>7935</v>
      </c>
      <c r="F258" s="36">
        <v>5</v>
      </c>
      <c r="G258" s="39"/>
      <c r="H258" t="s" s="120">
        <v>8588</v>
      </c>
      <c r="I258" t="s" s="35">
        <v>1164</v>
      </c>
      <c r="J258" t="s" s="35">
        <v>1256</v>
      </c>
      <c r="K258" s="39"/>
      <c r="L258" t="s" s="35">
        <v>254</v>
      </c>
      <c r="M258" t="str" s="39" cm="1">
        <f t="array" ref="M258">IF(J258="FUERA","Fuera del marco",_xlfn.IFERROR(INDEX('Datos - Catálogo TIMSS'!$C$5:$C$107,MATCH(J258,'Datos - Catálogo TIMSS'!$A$5:$A$107,0)),"?"))</f>
        <v>Física</v>
      </c>
      <c r="N258" t="s" s="35">
        <v>8589</v>
      </c>
    </row>
    <row r="259" ht="13.65" customHeight="1">
      <c r="A259" t="s" s="35">
        <v>8590</v>
      </c>
      <c r="B259" t="s" s="35">
        <v>1510</v>
      </c>
      <c r="C259" t="s" s="35">
        <v>8230</v>
      </c>
      <c r="D259" s="36">
        <v>19</v>
      </c>
      <c r="E259" t="s" s="35">
        <v>7935</v>
      </c>
      <c r="F259" s="36">
        <v>5</v>
      </c>
      <c r="G259" s="39"/>
      <c r="H259" t="s" s="120">
        <v>8591</v>
      </c>
      <c r="I259" t="s" s="35">
        <v>1164</v>
      </c>
      <c r="J259" t="s" s="35">
        <v>1256</v>
      </c>
      <c r="K259" t="s" s="35">
        <v>575</v>
      </c>
      <c r="L259" t="s" s="35">
        <v>254</v>
      </c>
      <c r="M259" t="str" s="39" cm="1">
        <f t="array" ref="M259">IF(J259="FUERA","Fuera del marco",_xlfn.IFERROR(INDEX('Datos - Catálogo TIMSS'!$C$5:$C$107,MATCH(J259,'Datos - Catálogo TIMSS'!$A$5:$A$107,0)),"?"))</f>
        <v>Física</v>
      </c>
      <c r="N259" t="s" s="35">
        <v>8592</v>
      </c>
    </row>
    <row r="260" ht="13.65" customHeight="1">
      <c r="A260" t="s" s="35">
        <v>8593</v>
      </c>
      <c r="B260" t="s" s="35">
        <v>1510</v>
      </c>
      <c r="C260" t="s" s="35">
        <v>8230</v>
      </c>
      <c r="D260" s="36">
        <v>20</v>
      </c>
      <c r="E260" t="s" s="35">
        <v>7935</v>
      </c>
      <c r="F260" s="36">
        <v>5</v>
      </c>
      <c r="G260" s="39"/>
      <c r="H260" t="s" s="120">
        <v>8594</v>
      </c>
      <c r="I260" t="s" s="35">
        <v>1164</v>
      </c>
      <c r="J260" t="s" s="35">
        <v>1174</v>
      </c>
      <c r="K260" t="s" s="35">
        <v>1168</v>
      </c>
      <c r="L260" t="s" s="35">
        <v>254</v>
      </c>
      <c r="M260" t="str" s="39" cm="1">
        <f t="array" ref="M260">IF(J260="FUERA","Fuera del marco",_xlfn.IFERROR(INDEX('Datos - Catálogo TIMSS'!$C$5:$C$107,MATCH(J260,'Datos - Catálogo TIMSS'!$A$5:$A$107,0)),"?"))</f>
        <v>Biología</v>
      </c>
      <c r="N260" t="s" s="35">
        <v>8595</v>
      </c>
    </row>
    <row r="261" ht="13.65" customHeight="1">
      <c r="A261" t="s" s="35">
        <v>8596</v>
      </c>
      <c r="B261" t="s" s="35">
        <v>1510</v>
      </c>
      <c r="C261" t="s" s="35">
        <v>8230</v>
      </c>
      <c r="D261" s="36">
        <v>20</v>
      </c>
      <c r="E261" t="s" s="35">
        <v>7935</v>
      </c>
      <c r="F261" s="36">
        <v>5</v>
      </c>
      <c r="G261" s="39"/>
      <c r="H261" t="s" s="120">
        <v>8597</v>
      </c>
      <c r="I261" t="s" s="35">
        <v>1164</v>
      </c>
      <c r="J261" t="s" s="35">
        <v>1168</v>
      </c>
      <c r="K261" s="39"/>
      <c r="L261" t="s" s="35">
        <v>254</v>
      </c>
      <c r="M261" t="str" s="39" cm="1">
        <f t="array" ref="M261">IF(J261="FUERA","Fuera del marco",_xlfn.IFERROR(INDEX('Datos - Catálogo TIMSS'!$C$5:$C$107,MATCH(J261,'Datos - Catálogo TIMSS'!$A$5:$A$107,0)),"?"))</f>
        <v>Biología</v>
      </c>
      <c r="N261" t="s" s="35">
        <v>8598</v>
      </c>
    </row>
    <row r="262" ht="13.65" customHeight="1">
      <c r="A262" t="s" s="35">
        <v>8599</v>
      </c>
      <c r="B262" t="s" s="35">
        <v>1510</v>
      </c>
      <c r="C262" t="s" s="35">
        <v>8230</v>
      </c>
      <c r="D262" s="36">
        <v>21</v>
      </c>
      <c r="E262" t="s" s="35">
        <v>8012</v>
      </c>
      <c r="F262" s="36">
        <v>6</v>
      </c>
      <c r="G262" s="39"/>
      <c r="H262" t="s" s="120">
        <v>8600</v>
      </c>
      <c r="I262" t="s" s="35">
        <v>1164</v>
      </c>
      <c r="J262" t="s" s="35">
        <v>1832</v>
      </c>
      <c r="K262" s="39"/>
      <c r="L262" t="s" s="35">
        <v>291</v>
      </c>
      <c r="M262" t="str" s="39" cm="1">
        <f t="array" ref="M262">IF(J262="FUERA","Fuera del marco",_xlfn.IFERROR(INDEX('Datos - Catálogo TIMSS'!$C$5:$C$107,MATCH(J262,'Datos - Catálogo TIMSS'!$A$5:$A$107,0)),"?"))</f>
        <v>Fuera del marco</v>
      </c>
      <c r="N262" t="s" s="35">
        <v>8601</v>
      </c>
    </row>
    <row r="263" ht="13.65" customHeight="1">
      <c r="A263" t="s" s="35">
        <v>8602</v>
      </c>
      <c r="B263" t="s" s="35">
        <v>1510</v>
      </c>
      <c r="C263" t="s" s="35">
        <v>8230</v>
      </c>
      <c r="D263" s="36">
        <v>21</v>
      </c>
      <c r="E263" t="s" s="35">
        <v>8012</v>
      </c>
      <c r="F263" s="36">
        <v>6</v>
      </c>
      <c r="G263" s="39"/>
      <c r="H263" t="s" s="120">
        <v>8603</v>
      </c>
      <c r="I263" t="s" s="35">
        <v>1164</v>
      </c>
      <c r="J263" t="s" s="35">
        <v>1218</v>
      </c>
      <c r="K263" t="s" s="35">
        <v>615</v>
      </c>
      <c r="L263" t="s" s="35">
        <v>254</v>
      </c>
      <c r="M263" t="str" s="39" cm="1">
        <f t="array" ref="M263">IF(J263="FUERA","Fuera del marco",_xlfn.IFERROR(INDEX('Datos - Catálogo TIMSS'!$C$5:$C$107,MATCH(J263,'Datos - Catálogo TIMSS'!$A$5:$A$107,0)),"?"))</f>
        <v>Química</v>
      </c>
      <c r="N263" t="s" s="35">
        <v>8604</v>
      </c>
    </row>
    <row r="264" ht="13.65" customHeight="1">
      <c r="A264" t="s" s="35">
        <v>8605</v>
      </c>
      <c r="B264" t="s" s="35">
        <v>1510</v>
      </c>
      <c r="C264" t="s" s="35">
        <v>8230</v>
      </c>
      <c r="D264" s="36">
        <v>22</v>
      </c>
      <c r="E264" t="s" s="35">
        <v>8012</v>
      </c>
      <c r="F264" s="36">
        <v>6</v>
      </c>
      <c r="G264" s="39"/>
      <c r="H264" t="s" s="120">
        <v>8606</v>
      </c>
      <c r="I264" t="s" s="35">
        <v>1164</v>
      </c>
      <c r="J264" t="s" s="35">
        <v>1212</v>
      </c>
      <c r="K264" s="39"/>
      <c r="L264" t="s" s="35">
        <v>254</v>
      </c>
      <c r="M264" t="str" s="39" cm="1">
        <f t="array" ref="M264">IF(J264="FUERA","Fuera del marco",_xlfn.IFERROR(INDEX('Datos - Catálogo TIMSS'!$C$5:$C$107,MATCH(J264,'Datos - Catálogo TIMSS'!$A$5:$A$107,0)),"?"))</f>
        <v>Química</v>
      </c>
      <c r="N264" t="s" s="35">
        <v>8607</v>
      </c>
    </row>
    <row r="265" ht="13.65" customHeight="1">
      <c r="A265" t="s" s="35">
        <v>8608</v>
      </c>
      <c r="B265" t="s" s="35">
        <v>1510</v>
      </c>
      <c r="C265" t="s" s="35">
        <v>8230</v>
      </c>
      <c r="D265" s="36">
        <v>22</v>
      </c>
      <c r="E265" t="s" s="35">
        <v>8012</v>
      </c>
      <c r="F265" s="36">
        <v>6</v>
      </c>
      <c r="G265" s="39"/>
      <c r="H265" t="s" s="120">
        <v>8609</v>
      </c>
      <c r="I265" t="s" s="35">
        <v>1164</v>
      </c>
      <c r="J265" t="s" s="35">
        <v>1174</v>
      </c>
      <c r="K265" t="s" s="35">
        <v>1171</v>
      </c>
      <c r="L265" t="s" s="35">
        <v>254</v>
      </c>
      <c r="M265" t="str" s="39" cm="1">
        <f t="array" ref="M265">IF(J265="FUERA","Fuera del marco",_xlfn.IFERROR(INDEX('Datos - Catálogo TIMSS'!$C$5:$C$107,MATCH(J265,'Datos - Catálogo TIMSS'!$A$5:$A$107,0)),"?"))</f>
        <v>Biología</v>
      </c>
      <c r="N265" t="s" s="35">
        <v>8610</v>
      </c>
    </row>
    <row r="266" ht="13.65" customHeight="1">
      <c r="A266" t="s" s="35">
        <v>8611</v>
      </c>
      <c r="B266" t="s" s="35">
        <v>1510</v>
      </c>
      <c r="C266" t="s" s="35">
        <v>8230</v>
      </c>
      <c r="D266" s="36">
        <v>23</v>
      </c>
      <c r="E266" t="s" s="35">
        <v>8012</v>
      </c>
      <c r="F266" s="36">
        <v>6</v>
      </c>
      <c r="G266" s="39"/>
      <c r="H266" t="s" s="120">
        <v>8612</v>
      </c>
      <c r="I266" t="s" s="35">
        <v>1164</v>
      </c>
      <c r="J266" t="s" s="35">
        <v>1163</v>
      </c>
      <c r="K266" t="s" s="35">
        <v>1186</v>
      </c>
      <c r="L266" t="s" s="35">
        <v>254</v>
      </c>
      <c r="M266" t="str" s="39" cm="1">
        <f t="array" ref="M266">IF(J266="FUERA","Fuera del marco",_xlfn.IFERROR(INDEX('Datos - Catálogo TIMSS'!$C$5:$C$107,MATCH(J266,'Datos - Catálogo TIMSS'!$A$5:$A$107,0)),"?"))</f>
        <v>Biología</v>
      </c>
      <c r="N266" t="s" s="35">
        <v>8613</v>
      </c>
    </row>
    <row r="267" ht="13.65" customHeight="1">
      <c r="A267" t="s" s="35">
        <v>8614</v>
      </c>
      <c r="B267" t="s" s="35">
        <v>1510</v>
      </c>
      <c r="C267" t="s" s="35">
        <v>8244</v>
      </c>
      <c r="D267" s="36">
        <v>41</v>
      </c>
      <c r="E267" t="s" s="35">
        <v>8615</v>
      </c>
      <c r="F267" s="36">
        <v>6</v>
      </c>
      <c r="G267" t="s" s="35">
        <v>8246</v>
      </c>
      <c r="H267" t="s" s="120">
        <v>8616</v>
      </c>
      <c r="I267" t="s" s="35">
        <v>1164</v>
      </c>
      <c r="J267" t="s" s="35">
        <v>569</v>
      </c>
      <c r="K267" s="39"/>
      <c r="L267" t="s" s="35">
        <v>291</v>
      </c>
      <c r="M267" t="str" s="39" cm="1">
        <f t="array" ref="M267">IF(J267="FUERA","Fuera del marco",_xlfn.IFERROR(INDEX('Datos - Catálogo TIMSS'!$C$5:$C$107,MATCH(J267,'Datos - Catálogo TIMSS'!$A$5:$A$107,0)),"?"))</f>
        <v>Física</v>
      </c>
      <c r="N267" t="s" s="35">
        <v>8617</v>
      </c>
    </row>
    <row r="268" ht="13.65" customHeight="1">
      <c r="A268" t="s" s="35">
        <v>8618</v>
      </c>
      <c r="B268" t="s" s="35">
        <v>1510</v>
      </c>
      <c r="C268" t="s" s="35">
        <v>8244</v>
      </c>
      <c r="D268" s="36">
        <v>41</v>
      </c>
      <c r="E268" t="s" s="35">
        <v>8615</v>
      </c>
      <c r="F268" s="36">
        <v>6</v>
      </c>
      <c r="G268" t="s" s="35">
        <v>8246</v>
      </c>
      <c r="H268" t="s" s="120">
        <v>8619</v>
      </c>
      <c r="I268" t="s" s="35">
        <v>1164</v>
      </c>
      <c r="J268" t="s" s="35">
        <v>1234</v>
      </c>
      <c r="K268" t="s" s="35">
        <v>569</v>
      </c>
      <c r="L268" t="s" s="35">
        <v>282</v>
      </c>
      <c r="M268" t="str" s="39" cm="1">
        <f t="array" ref="M268">IF(J268="FUERA","Fuera del marco",_xlfn.IFERROR(INDEX('Datos - Catálogo TIMSS'!$C$5:$C$107,MATCH(J268,'Datos - Catálogo TIMSS'!$A$5:$A$107,0)),"?"))</f>
        <v>Química</v>
      </c>
      <c r="N268" t="s" s="35">
        <v>8620</v>
      </c>
    </row>
    <row r="269" ht="13.65" customHeight="1">
      <c r="A269" t="s" s="35">
        <v>8621</v>
      </c>
      <c r="B269" t="s" s="35">
        <v>1510</v>
      </c>
      <c r="C269" t="s" s="35">
        <v>8244</v>
      </c>
      <c r="D269" s="36">
        <v>41</v>
      </c>
      <c r="E269" t="s" s="35">
        <v>8615</v>
      </c>
      <c r="F269" s="36">
        <v>6</v>
      </c>
      <c r="G269" t="s" s="35">
        <v>8246</v>
      </c>
      <c r="H269" t="s" s="120">
        <v>8622</v>
      </c>
      <c r="I269" t="s" s="35">
        <v>1164</v>
      </c>
      <c r="J269" t="s" s="35">
        <v>569</v>
      </c>
      <c r="K269" s="39"/>
      <c r="L269" t="s" s="35">
        <v>291</v>
      </c>
      <c r="M269" t="str" s="39" cm="1">
        <f t="array" ref="M269">IF(J269="FUERA","Fuera del marco",_xlfn.IFERROR(INDEX('Datos - Catálogo TIMSS'!$C$5:$C$107,MATCH(J269,'Datos - Catálogo TIMSS'!$A$5:$A$107,0)),"?"))</f>
        <v>Física</v>
      </c>
      <c r="N269" t="s" s="35">
        <v>8623</v>
      </c>
    </row>
    <row r="270" ht="13.65" customHeight="1">
      <c r="A270" t="s" s="35">
        <v>8624</v>
      </c>
      <c r="B270" t="s" s="35">
        <v>1510</v>
      </c>
      <c r="C270" t="s" s="35">
        <v>8244</v>
      </c>
      <c r="D270" s="36">
        <v>41</v>
      </c>
      <c r="E270" t="s" s="35">
        <v>8615</v>
      </c>
      <c r="F270" s="36">
        <v>6</v>
      </c>
      <c r="G270" t="s" s="35">
        <v>8246</v>
      </c>
      <c r="H270" t="s" s="120">
        <v>8625</v>
      </c>
      <c r="I270" t="s" s="35">
        <v>1164</v>
      </c>
      <c r="J270" t="s" s="35">
        <v>1234</v>
      </c>
      <c r="K270" t="s" s="35">
        <v>1207</v>
      </c>
      <c r="L270" t="s" s="35">
        <v>282</v>
      </c>
      <c r="M270" t="str" s="39" cm="1">
        <f t="array" ref="M270">IF(J270="FUERA","Fuera del marco",_xlfn.IFERROR(INDEX('Datos - Catálogo TIMSS'!$C$5:$C$107,MATCH(J270,'Datos - Catálogo TIMSS'!$A$5:$A$107,0)),"?"))</f>
        <v>Química</v>
      </c>
      <c r="N270" t="s" s="35">
        <v>8626</v>
      </c>
    </row>
    <row r="271" ht="13.65" customHeight="1">
      <c r="A271" t="s" s="35">
        <v>8627</v>
      </c>
      <c r="B271" t="s" s="35">
        <v>1510</v>
      </c>
      <c r="C271" t="s" s="35">
        <v>8244</v>
      </c>
      <c r="D271" s="36">
        <v>41</v>
      </c>
      <c r="E271" t="s" s="35">
        <v>8615</v>
      </c>
      <c r="F271" s="36">
        <v>6</v>
      </c>
      <c r="G271" t="s" s="35">
        <v>8246</v>
      </c>
      <c r="H271" t="s" s="120">
        <v>8628</v>
      </c>
      <c r="I271" t="s" s="35">
        <v>1164</v>
      </c>
      <c r="J271" t="s" s="35">
        <v>1234</v>
      </c>
      <c r="K271" t="s" s="35">
        <v>569</v>
      </c>
      <c r="L271" t="s" s="35">
        <v>282</v>
      </c>
      <c r="M271" t="str" s="39" cm="1">
        <f t="array" ref="M271">IF(J271="FUERA","Fuera del marco",_xlfn.IFERROR(INDEX('Datos - Catálogo TIMSS'!$C$5:$C$107,MATCH(J271,'Datos - Catálogo TIMSS'!$A$5:$A$107,0)),"?"))</f>
        <v>Química</v>
      </c>
      <c r="N271" t="s" s="35">
        <v>8629</v>
      </c>
    </row>
    <row r="272" ht="13.65" customHeight="1">
      <c r="A272" t="s" s="35">
        <v>8630</v>
      </c>
      <c r="B272" t="s" s="35">
        <v>1510</v>
      </c>
      <c r="C272" t="s" s="35">
        <v>8244</v>
      </c>
      <c r="D272" s="36">
        <v>41</v>
      </c>
      <c r="E272" t="s" s="35">
        <v>8615</v>
      </c>
      <c r="F272" s="36">
        <v>6</v>
      </c>
      <c r="G272" t="s" s="35">
        <v>8246</v>
      </c>
      <c r="H272" t="s" s="120">
        <v>8631</v>
      </c>
      <c r="I272" t="s" s="35">
        <v>1164</v>
      </c>
      <c r="J272" t="s" s="35">
        <v>569</v>
      </c>
      <c r="K272" s="39"/>
      <c r="L272" t="s" s="35">
        <v>254</v>
      </c>
      <c r="M272" t="str" s="39" cm="1">
        <f t="array" ref="M272">IF(J272="FUERA","Fuera del marco",_xlfn.IFERROR(INDEX('Datos - Catálogo TIMSS'!$C$5:$C$107,MATCH(J272,'Datos - Catálogo TIMSS'!$A$5:$A$107,0)),"?"))</f>
        <v>Física</v>
      </c>
      <c r="N272" t="s" s="35">
        <v>8632</v>
      </c>
    </row>
    <row r="273" ht="13.65" customHeight="1">
      <c r="A273" t="s" s="35">
        <v>8633</v>
      </c>
      <c r="B273" t="s" s="35">
        <v>1510</v>
      </c>
      <c r="C273" t="s" s="35">
        <v>8244</v>
      </c>
      <c r="D273" s="36">
        <v>41</v>
      </c>
      <c r="E273" t="s" s="35">
        <v>8615</v>
      </c>
      <c r="F273" s="36">
        <v>6</v>
      </c>
      <c r="G273" t="s" s="35">
        <v>8246</v>
      </c>
      <c r="H273" t="s" s="120">
        <v>8634</v>
      </c>
      <c r="I273" t="s" s="35">
        <v>1164</v>
      </c>
      <c r="J273" t="s" s="35">
        <v>569</v>
      </c>
      <c r="K273" s="39"/>
      <c r="L273" t="s" s="35">
        <v>282</v>
      </c>
      <c r="M273" t="str" s="39" cm="1">
        <f t="array" ref="M273">IF(J273="FUERA","Fuera del marco",_xlfn.IFERROR(INDEX('Datos - Catálogo TIMSS'!$C$5:$C$107,MATCH(J273,'Datos - Catálogo TIMSS'!$A$5:$A$107,0)),"?"))</f>
        <v>Física</v>
      </c>
      <c r="N273" t="s" s="35">
        <v>8635</v>
      </c>
    </row>
    <row r="274" ht="13.65" customHeight="1">
      <c r="A274" t="s" s="35">
        <v>8636</v>
      </c>
      <c r="B274" t="s" s="35">
        <v>1510</v>
      </c>
      <c r="C274" t="s" s="35">
        <v>8244</v>
      </c>
      <c r="D274" s="36">
        <v>41</v>
      </c>
      <c r="E274" t="s" s="35">
        <v>8615</v>
      </c>
      <c r="F274" s="36">
        <v>6</v>
      </c>
      <c r="G274" t="s" s="35">
        <v>8246</v>
      </c>
      <c r="H274" t="s" s="120">
        <v>8637</v>
      </c>
      <c r="I274" t="s" s="35">
        <v>1164</v>
      </c>
      <c r="J274" t="s" s="35">
        <v>569</v>
      </c>
      <c r="K274" s="39"/>
      <c r="L274" t="s" s="35">
        <v>291</v>
      </c>
      <c r="M274" t="str" s="39" cm="1">
        <f t="array" ref="M274">IF(J274="FUERA","Fuera del marco",_xlfn.IFERROR(INDEX('Datos - Catálogo TIMSS'!$C$5:$C$107,MATCH(J274,'Datos - Catálogo TIMSS'!$A$5:$A$107,0)),"?"))</f>
        <v>Física</v>
      </c>
      <c r="N274" t="s" s="35">
        <v>8638</v>
      </c>
    </row>
    <row r="275" ht="13.65" customHeight="1">
      <c r="A275" t="s" s="35">
        <v>8639</v>
      </c>
      <c r="B275" t="s" s="35">
        <v>1510</v>
      </c>
      <c r="C275" t="s" s="35">
        <v>8244</v>
      </c>
      <c r="D275" s="36">
        <v>41</v>
      </c>
      <c r="E275" t="s" s="35">
        <v>8615</v>
      </c>
      <c r="F275" s="36">
        <v>6</v>
      </c>
      <c r="G275" t="s" s="35">
        <v>8246</v>
      </c>
      <c r="H275" t="s" s="120">
        <v>8640</v>
      </c>
      <c r="I275" t="s" s="35">
        <v>1164</v>
      </c>
      <c r="J275" t="s" s="35">
        <v>569</v>
      </c>
      <c r="K275" s="39"/>
      <c r="L275" t="s" s="35">
        <v>291</v>
      </c>
      <c r="M275" t="str" s="39" cm="1">
        <f t="array" ref="M275">IF(J275="FUERA","Fuera del marco",_xlfn.IFERROR(INDEX('Datos - Catálogo TIMSS'!$C$5:$C$107,MATCH(J275,'Datos - Catálogo TIMSS'!$A$5:$A$107,0)),"?"))</f>
        <v>Física</v>
      </c>
      <c r="N275" t="s" s="35">
        <v>8641</v>
      </c>
    </row>
    <row r="276" ht="13.65" customHeight="1">
      <c r="A276" t="s" s="35">
        <v>8642</v>
      </c>
      <c r="B276" t="s" s="35">
        <v>1510</v>
      </c>
      <c r="C276" t="s" s="35">
        <v>8244</v>
      </c>
      <c r="D276" s="36">
        <v>41</v>
      </c>
      <c r="E276" t="s" s="35">
        <v>8615</v>
      </c>
      <c r="F276" s="36">
        <v>6</v>
      </c>
      <c r="G276" t="s" s="35">
        <v>8246</v>
      </c>
      <c r="H276" t="s" s="120">
        <v>8643</v>
      </c>
      <c r="I276" t="s" s="35">
        <v>1164</v>
      </c>
      <c r="J276" t="s" s="35">
        <v>569</v>
      </c>
      <c r="K276" s="39"/>
      <c r="L276" t="s" s="35">
        <v>282</v>
      </c>
      <c r="M276" t="str" s="39" cm="1">
        <f t="array" ref="M276">IF(J276="FUERA","Fuera del marco",_xlfn.IFERROR(INDEX('Datos - Catálogo TIMSS'!$C$5:$C$107,MATCH(J276,'Datos - Catálogo TIMSS'!$A$5:$A$107,0)),"?"))</f>
        <v>Física</v>
      </c>
      <c r="N276" t="s" s="35">
        <v>8644</v>
      </c>
    </row>
    <row r="277" ht="13.65" customHeight="1">
      <c r="A277" t="s" s="35">
        <v>8645</v>
      </c>
      <c r="B277" t="s" s="35">
        <v>1510</v>
      </c>
      <c r="C277" t="s" s="35">
        <v>8244</v>
      </c>
      <c r="D277" s="36">
        <v>41</v>
      </c>
      <c r="E277" t="s" s="35">
        <v>8615</v>
      </c>
      <c r="F277" s="36">
        <v>6</v>
      </c>
      <c r="G277" t="s" s="35">
        <v>8246</v>
      </c>
      <c r="H277" t="s" s="120">
        <v>8646</v>
      </c>
      <c r="I277" t="s" s="35">
        <v>1164</v>
      </c>
      <c r="J277" t="s" s="35">
        <v>1832</v>
      </c>
      <c r="K277" s="39"/>
      <c r="L277" t="s" s="35">
        <v>282</v>
      </c>
      <c r="M277" t="str" s="39" cm="1">
        <f t="array" ref="M277">IF(J277="FUERA","Fuera del marco",_xlfn.IFERROR(INDEX('Datos - Catálogo TIMSS'!$C$5:$C$107,MATCH(J277,'Datos - Catálogo TIMSS'!$A$5:$A$107,0)),"?"))</f>
        <v>Fuera del marco</v>
      </c>
      <c r="N277" t="s" s="35">
        <v>8647</v>
      </c>
    </row>
    <row r="278" ht="13.65" customHeight="1">
      <c r="A278" t="s" s="35">
        <v>8648</v>
      </c>
      <c r="B278" t="s" s="35">
        <v>1510</v>
      </c>
      <c r="C278" t="s" s="35">
        <v>8244</v>
      </c>
      <c r="D278" s="36">
        <v>41</v>
      </c>
      <c r="E278" t="s" s="35">
        <v>8615</v>
      </c>
      <c r="F278" s="36">
        <v>6</v>
      </c>
      <c r="G278" t="s" s="35">
        <v>8246</v>
      </c>
      <c r="H278" t="s" s="120">
        <v>8649</v>
      </c>
      <c r="I278" t="s" s="35">
        <v>1164</v>
      </c>
      <c r="J278" t="s" s="35">
        <v>1832</v>
      </c>
      <c r="K278" s="39"/>
      <c r="L278" t="s" s="35">
        <v>282</v>
      </c>
      <c r="M278" t="str" s="39" cm="1">
        <f t="array" ref="M278">IF(J278="FUERA","Fuera del marco",_xlfn.IFERROR(INDEX('Datos - Catálogo TIMSS'!$C$5:$C$107,MATCH(J278,'Datos - Catálogo TIMSS'!$A$5:$A$107,0)),"?"))</f>
        <v>Fuera del marco</v>
      </c>
      <c r="N278" t="s" s="35">
        <v>8650</v>
      </c>
    </row>
    <row r="279" ht="13.65" customHeight="1">
      <c r="A279" t="s" s="35">
        <v>8651</v>
      </c>
      <c r="B279" t="s" s="35">
        <v>1510</v>
      </c>
      <c r="C279" t="s" s="35">
        <v>8244</v>
      </c>
      <c r="D279" s="36">
        <v>41</v>
      </c>
      <c r="E279" t="s" s="35">
        <v>8615</v>
      </c>
      <c r="F279" s="36">
        <v>6</v>
      </c>
      <c r="G279" t="s" s="35">
        <v>8246</v>
      </c>
      <c r="H279" t="s" s="120">
        <v>8652</v>
      </c>
      <c r="I279" t="s" s="35">
        <v>1164</v>
      </c>
      <c r="J279" t="s" s="35">
        <v>569</v>
      </c>
      <c r="K279" s="39"/>
      <c r="L279" t="s" s="35">
        <v>282</v>
      </c>
      <c r="M279" t="str" s="39" cm="1">
        <f t="array" ref="M279">IF(J279="FUERA","Fuera del marco",_xlfn.IFERROR(INDEX('Datos - Catálogo TIMSS'!$C$5:$C$107,MATCH(J279,'Datos - Catálogo TIMSS'!$A$5:$A$107,0)),"?"))</f>
        <v>Física</v>
      </c>
      <c r="N279" t="s" s="35">
        <v>8653</v>
      </c>
    </row>
    <row r="280" ht="13.65" customHeight="1">
      <c r="A280" t="s" s="35">
        <v>8654</v>
      </c>
      <c r="B280" t="s" s="35">
        <v>1510</v>
      </c>
      <c r="C280" t="s" s="35">
        <v>8244</v>
      </c>
      <c r="D280" s="36">
        <v>41</v>
      </c>
      <c r="E280" t="s" s="35">
        <v>8615</v>
      </c>
      <c r="F280" s="36">
        <v>6</v>
      </c>
      <c r="G280" t="s" s="35">
        <v>8246</v>
      </c>
      <c r="H280" t="s" s="120">
        <v>8655</v>
      </c>
      <c r="I280" t="s" s="35">
        <v>1164</v>
      </c>
      <c r="J280" t="s" s="35">
        <v>569</v>
      </c>
      <c r="K280" s="39"/>
      <c r="L280" t="s" s="35">
        <v>291</v>
      </c>
      <c r="M280" t="str" s="39" cm="1">
        <f t="array" ref="M280">IF(J280="FUERA","Fuera del marco",_xlfn.IFERROR(INDEX('Datos - Catálogo TIMSS'!$C$5:$C$107,MATCH(J280,'Datos - Catálogo TIMSS'!$A$5:$A$107,0)),"?"))</f>
        <v>Física</v>
      </c>
      <c r="N280" t="s" s="35">
        <v>8656</v>
      </c>
    </row>
    <row r="281" ht="13.65" customHeight="1">
      <c r="A281" t="s" s="35">
        <v>8657</v>
      </c>
      <c r="B281" t="s" s="35">
        <v>1510</v>
      </c>
      <c r="C281" t="s" s="35">
        <v>8244</v>
      </c>
      <c r="D281" s="36">
        <v>41</v>
      </c>
      <c r="E281" t="s" s="35">
        <v>8615</v>
      </c>
      <c r="F281" s="36">
        <v>6</v>
      </c>
      <c r="G281" t="s" s="35">
        <v>8246</v>
      </c>
      <c r="H281" t="s" s="120">
        <v>8658</v>
      </c>
      <c r="I281" t="s" s="35">
        <v>1164</v>
      </c>
      <c r="J281" t="s" s="35">
        <v>569</v>
      </c>
      <c r="K281" s="39"/>
      <c r="L281" t="s" s="35">
        <v>291</v>
      </c>
      <c r="M281" t="str" s="39" cm="1">
        <f t="array" ref="M281">IF(J281="FUERA","Fuera del marco",_xlfn.IFERROR(INDEX('Datos - Catálogo TIMSS'!$C$5:$C$107,MATCH(J281,'Datos - Catálogo TIMSS'!$A$5:$A$107,0)),"?"))</f>
        <v>Física</v>
      </c>
      <c r="N281" t="s" s="35">
        <v>8659</v>
      </c>
    </row>
    <row r="282" ht="13.65" customHeight="1">
      <c r="A282" t="s" s="35">
        <v>8660</v>
      </c>
      <c r="B282" t="s" s="35">
        <v>1510</v>
      </c>
      <c r="C282" t="s" s="35">
        <v>8244</v>
      </c>
      <c r="D282" s="36">
        <v>41</v>
      </c>
      <c r="E282" t="s" s="35">
        <v>8615</v>
      </c>
      <c r="F282" s="36">
        <v>6</v>
      </c>
      <c r="G282" t="s" s="35">
        <v>8246</v>
      </c>
      <c r="H282" t="s" s="120">
        <v>8661</v>
      </c>
      <c r="I282" t="s" s="35">
        <v>1164</v>
      </c>
      <c r="J282" t="s" s="35">
        <v>569</v>
      </c>
      <c r="K282" s="39"/>
      <c r="L282" t="s" s="35">
        <v>282</v>
      </c>
      <c r="M282" t="str" s="39" cm="1">
        <f t="array" ref="M282">IF(J282="FUERA","Fuera del marco",_xlfn.IFERROR(INDEX('Datos - Catálogo TIMSS'!$C$5:$C$107,MATCH(J282,'Datos - Catálogo TIMSS'!$A$5:$A$107,0)),"?"))</f>
        <v>Física</v>
      </c>
      <c r="N282" t="s" s="35">
        <v>8468</v>
      </c>
    </row>
    <row r="283" ht="13.65" customHeight="1">
      <c r="A283" t="s" s="35">
        <v>8662</v>
      </c>
      <c r="B283" t="s" s="35">
        <v>1510</v>
      </c>
      <c r="C283" t="s" s="35">
        <v>8244</v>
      </c>
      <c r="D283" s="36">
        <v>41</v>
      </c>
      <c r="E283" t="s" s="35">
        <v>8615</v>
      </c>
      <c r="F283" s="36">
        <v>6</v>
      </c>
      <c r="G283" t="s" s="35">
        <v>8246</v>
      </c>
      <c r="H283" t="s" s="120">
        <v>8277</v>
      </c>
      <c r="I283" t="s" s="35">
        <v>1164</v>
      </c>
      <c r="J283" t="s" s="35">
        <v>1832</v>
      </c>
      <c r="K283" s="39"/>
      <c r="L283" t="s" s="35">
        <v>254</v>
      </c>
      <c r="M283" t="str" s="39" cm="1">
        <f t="array" ref="M283">IF(J283="FUERA","Fuera del marco",_xlfn.IFERROR(INDEX('Datos - Catálogo TIMSS'!$C$5:$C$107,MATCH(J283,'Datos - Catálogo TIMSS'!$A$5:$A$107,0)),"?"))</f>
        <v>Fuera del marco</v>
      </c>
      <c r="N283" t="s" s="35">
        <v>8278</v>
      </c>
    </row>
    <row r="284" ht="13.65" customHeight="1">
      <c r="A284" t="s" s="35">
        <v>8663</v>
      </c>
      <c r="B284" t="s" s="35">
        <v>1510</v>
      </c>
      <c r="C284" t="s" s="35">
        <v>8244</v>
      </c>
      <c r="D284" s="36">
        <v>41</v>
      </c>
      <c r="E284" t="s" s="35">
        <v>8615</v>
      </c>
      <c r="F284" s="36">
        <v>6</v>
      </c>
      <c r="G284" t="s" s="35">
        <v>8246</v>
      </c>
      <c r="H284" t="s" s="120">
        <v>8664</v>
      </c>
      <c r="I284" t="s" s="35">
        <v>1164</v>
      </c>
      <c r="J284" t="s" s="35">
        <v>569</v>
      </c>
      <c r="K284" s="39"/>
      <c r="L284" t="s" s="35">
        <v>291</v>
      </c>
      <c r="M284" t="str" s="39" cm="1">
        <f t="array" ref="M284">IF(J284="FUERA","Fuera del marco",_xlfn.IFERROR(INDEX('Datos - Catálogo TIMSS'!$C$5:$C$107,MATCH(J284,'Datos - Catálogo TIMSS'!$A$5:$A$107,0)),"?"))</f>
        <v>Física</v>
      </c>
      <c r="N284" t="s" s="35">
        <v>8665</v>
      </c>
    </row>
    <row r="285" ht="13.65" customHeight="1">
      <c r="A285" t="s" s="35">
        <v>8666</v>
      </c>
      <c r="B285" t="s" s="35">
        <v>1510</v>
      </c>
      <c r="C285" t="s" s="35">
        <v>8244</v>
      </c>
      <c r="D285" s="36">
        <v>41</v>
      </c>
      <c r="E285" t="s" s="35">
        <v>8615</v>
      </c>
      <c r="F285" s="36">
        <v>6</v>
      </c>
      <c r="G285" t="s" s="35">
        <v>8246</v>
      </c>
      <c r="H285" t="s" s="120">
        <v>8667</v>
      </c>
      <c r="I285" t="s" s="35">
        <v>1164</v>
      </c>
      <c r="J285" t="s" s="35">
        <v>1832</v>
      </c>
      <c r="K285" s="39"/>
      <c r="L285" t="s" s="35">
        <v>291</v>
      </c>
      <c r="M285" t="str" s="39" cm="1">
        <f t="array" ref="M285">IF(J285="FUERA","Fuera del marco",_xlfn.IFERROR(INDEX('Datos - Catálogo TIMSS'!$C$5:$C$107,MATCH(J285,'Datos - Catálogo TIMSS'!$A$5:$A$107,0)),"?"))</f>
        <v>Fuera del marco</v>
      </c>
      <c r="N285" t="s" s="35">
        <v>8668</v>
      </c>
    </row>
    <row r="286" ht="13.65" customHeight="1">
      <c r="A286" t="s" s="35">
        <v>8669</v>
      </c>
      <c r="B286" t="s" s="35">
        <v>1510</v>
      </c>
      <c r="C286" t="s" s="35">
        <v>8244</v>
      </c>
      <c r="D286" s="36">
        <v>41</v>
      </c>
      <c r="E286" t="s" s="35">
        <v>8615</v>
      </c>
      <c r="F286" s="36">
        <v>6</v>
      </c>
      <c r="G286" t="s" s="35">
        <v>8246</v>
      </c>
      <c r="H286" t="s" s="120">
        <v>8670</v>
      </c>
      <c r="I286" t="s" s="35">
        <v>1164</v>
      </c>
      <c r="J286" t="s" s="35">
        <v>1832</v>
      </c>
      <c r="K286" s="39"/>
      <c r="L286" t="s" s="35">
        <v>282</v>
      </c>
      <c r="M286" t="str" s="39" cm="1">
        <f t="array" ref="M286">IF(J286="FUERA","Fuera del marco",_xlfn.IFERROR(INDEX('Datos - Catálogo TIMSS'!$C$5:$C$107,MATCH(J286,'Datos - Catálogo TIMSS'!$A$5:$A$107,0)),"?"))</f>
        <v>Fuera del marco</v>
      </c>
      <c r="N286" t="s" s="35">
        <v>8671</v>
      </c>
    </row>
    <row r="287" ht="13.65" customHeight="1">
      <c r="A287" t="s" s="35">
        <v>8672</v>
      </c>
      <c r="B287" t="s" s="35">
        <v>1510</v>
      </c>
      <c r="C287" t="s" s="35">
        <v>8244</v>
      </c>
      <c r="D287" s="36">
        <v>41</v>
      </c>
      <c r="E287" t="s" s="35">
        <v>8615</v>
      </c>
      <c r="F287" s="36">
        <v>6</v>
      </c>
      <c r="G287" t="s" s="35">
        <v>8246</v>
      </c>
      <c r="H287" t="s" s="120">
        <v>8673</v>
      </c>
      <c r="I287" t="s" s="35">
        <v>1164</v>
      </c>
      <c r="J287" t="s" s="35">
        <v>1832</v>
      </c>
      <c r="K287" s="39"/>
      <c r="L287" t="s" s="35">
        <v>282</v>
      </c>
      <c r="M287" t="str" s="39" cm="1">
        <f t="array" ref="M287">IF(J287="FUERA","Fuera del marco",_xlfn.IFERROR(INDEX('Datos - Catálogo TIMSS'!$C$5:$C$107,MATCH(J287,'Datos - Catálogo TIMSS'!$A$5:$A$107,0)),"?"))</f>
        <v>Fuera del marco</v>
      </c>
      <c r="N287" t="s" s="35">
        <v>8674</v>
      </c>
    </row>
    <row r="288" ht="13.65" customHeight="1">
      <c r="A288" t="s" s="35">
        <v>8675</v>
      </c>
      <c r="B288" t="s" s="35">
        <v>1510</v>
      </c>
      <c r="C288" t="s" s="35">
        <v>8244</v>
      </c>
      <c r="D288" s="36">
        <v>41</v>
      </c>
      <c r="E288" t="s" s="35">
        <v>8615</v>
      </c>
      <c r="F288" s="36">
        <v>6</v>
      </c>
      <c r="G288" t="s" s="35">
        <v>8246</v>
      </c>
      <c r="H288" t="s" s="120">
        <v>8676</v>
      </c>
      <c r="I288" t="s" s="35">
        <v>1164</v>
      </c>
      <c r="J288" t="s" s="35">
        <v>569</v>
      </c>
      <c r="K288" s="39"/>
      <c r="L288" t="s" s="35">
        <v>291</v>
      </c>
      <c r="M288" t="str" s="39" cm="1">
        <f t="array" ref="M288">IF(J288="FUERA","Fuera del marco",_xlfn.IFERROR(INDEX('Datos - Catálogo TIMSS'!$C$5:$C$107,MATCH(J288,'Datos - Catálogo TIMSS'!$A$5:$A$107,0)),"?"))</f>
        <v>Física</v>
      </c>
      <c r="N288" t="s" s="35">
        <v>8677</v>
      </c>
    </row>
    <row r="289" ht="13.65" customHeight="1">
      <c r="A289" t="s" s="35">
        <v>8678</v>
      </c>
      <c r="B289" t="s" s="35">
        <v>1510</v>
      </c>
      <c r="C289" t="s" s="35">
        <v>8244</v>
      </c>
      <c r="D289" s="36">
        <v>42</v>
      </c>
      <c r="E289" t="s" s="35">
        <v>8615</v>
      </c>
      <c r="F289" s="36">
        <v>6</v>
      </c>
      <c r="G289" t="s" s="35">
        <v>8286</v>
      </c>
      <c r="H289" t="s" s="120">
        <v>8679</v>
      </c>
      <c r="I289" t="s" s="35">
        <v>1164</v>
      </c>
      <c r="J289" t="s" s="35">
        <v>1287</v>
      </c>
      <c r="K289" s="39"/>
      <c r="L289" t="s" s="35">
        <v>254</v>
      </c>
      <c r="M289" t="str" s="39" cm="1">
        <f t="array" ref="M289">IF(J289="FUERA","Fuera del marco",_xlfn.IFERROR(INDEX('Datos - Catálogo TIMSS'!$C$5:$C$107,MATCH(J289,'Datos - Catálogo TIMSS'!$A$5:$A$107,0)),"?"))</f>
        <v>Ciencias de la Tierra</v>
      </c>
      <c r="N289" t="s" s="35">
        <v>8680</v>
      </c>
    </row>
    <row r="290" ht="13.65" customHeight="1">
      <c r="A290" t="s" s="35">
        <v>8681</v>
      </c>
      <c r="B290" t="s" s="35">
        <v>1510</v>
      </c>
      <c r="C290" t="s" s="35">
        <v>8244</v>
      </c>
      <c r="D290" s="36">
        <v>42</v>
      </c>
      <c r="E290" t="s" s="35">
        <v>8615</v>
      </c>
      <c r="F290" s="36">
        <v>6</v>
      </c>
      <c r="G290" t="s" s="35">
        <v>8286</v>
      </c>
      <c r="H290" t="s" s="120">
        <v>8682</v>
      </c>
      <c r="I290" t="s" s="35">
        <v>1164</v>
      </c>
      <c r="J290" t="s" s="35">
        <v>1290</v>
      </c>
      <c r="K290" t="s" s="35">
        <v>1201</v>
      </c>
      <c r="L290" t="s" s="35">
        <v>254</v>
      </c>
      <c r="M290" t="str" s="39" cm="1">
        <f t="array" ref="M290">IF(J290="FUERA","Fuera del marco",_xlfn.IFERROR(INDEX('Datos - Catálogo TIMSS'!$C$5:$C$107,MATCH(J290,'Datos - Catálogo TIMSS'!$A$5:$A$107,0)),"?"))</f>
        <v>Ciencias de la Tierra</v>
      </c>
      <c r="N290" t="s" s="35">
        <v>8683</v>
      </c>
    </row>
    <row r="291" ht="13.65" customHeight="1">
      <c r="A291" t="s" s="35">
        <v>8684</v>
      </c>
      <c r="B291" t="s" s="35">
        <v>1510</v>
      </c>
      <c r="C291" t="s" s="35">
        <v>8244</v>
      </c>
      <c r="D291" s="36">
        <v>42</v>
      </c>
      <c r="E291" t="s" s="35">
        <v>8615</v>
      </c>
      <c r="F291" s="36">
        <v>6</v>
      </c>
      <c r="G291" t="s" s="35">
        <v>8286</v>
      </c>
      <c r="H291" t="s" s="120">
        <v>8685</v>
      </c>
      <c r="I291" t="s" s="35">
        <v>1164</v>
      </c>
      <c r="J291" t="s" s="35">
        <v>1290</v>
      </c>
      <c r="K291" s="39"/>
      <c r="L291" t="s" s="35">
        <v>291</v>
      </c>
      <c r="M291" t="str" s="39" cm="1">
        <f t="array" ref="M291">IF(J291="FUERA","Fuera del marco",_xlfn.IFERROR(INDEX('Datos - Catálogo TIMSS'!$C$5:$C$107,MATCH(J291,'Datos - Catálogo TIMSS'!$A$5:$A$107,0)),"?"))</f>
        <v>Ciencias de la Tierra</v>
      </c>
      <c r="N291" t="s" s="35">
        <v>8686</v>
      </c>
    </row>
    <row r="292" ht="13.65" customHeight="1">
      <c r="A292" t="s" s="35">
        <v>8687</v>
      </c>
      <c r="B292" t="s" s="35">
        <v>1510</v>
      </c>
      <c r="C292" t="s" s="35">
        <v>8244</v>
      </c>
      <c r="D292" s="36">
        <v>42</v>
      </c>
      <c r="E292" t="s" s="35">
        <v>8615</v>
      </c>
      <c r="F292" s="36">
        <v>6</v>
      </c>
      <c r="G292" t="s" s="35">
        <v>8286</v>
      </c>
      <c r="H292" t="s" s="120">
        <v>8688</v>
      </c>
      <c r="I292" t="s" s="35">
        <v>1164</v>
      </c>
      <c r="J292" t="s" s="35">
        <v>1201</v>
      </c>
      <c r="K292" s="39"/>
      <c r="L292" t="s" s="35">
        <v>254</v>
      </c>
      <c r="M292" t="str" s="39" cm="1">
        <f t="array" ref="M292">IF(J292="FUERA","Fuera del marco",_xlfn.IFERROR(INDEX('Datos - Catálogo TIMSS'!$C$5:$C$107,MATCH(J292,'Datos - Catálogo TIMSS'!$A$5:$A$107,0)),"?"))</f>
        <v>Biología</v>
      </c>
      <c r="N292" t="s" s="35">
        <v>8689</v>
      </c>
    </row>
    <row r="293" ht="13.65" customHeight="1">
      <c r="A293" t="s" s="35">
        <v>8690</v>
      </c>
      <c r="B293" t="s" s="35">
        <v>1510</v>
      </c>
      <c r="C293" t="s" s="35">
        <v>8244</v>
      </c>
      <c r="D293" s="36">
        <v>42</v>
      </c>
      <c r="E293" t="s" s="35">
        <v>8615</v>
      </c>
      <c r="F293" s="36">
        <v>6</v>
      </c>
      <c r="G293" t="s" s="35">
        <v>8286</v>
      </c>
      <c r="H293" t="s" s="120">
        <v>8691</v>
      </c>
      <c r="I293" t="s" s="35">
        <v>1164</v>
      </c>
      <c r="J293" t="s" s="35">
        <v>1205</v>
      </c>
      <c r="K293" s="39"/>
      <c r="L293" t="s" s="35">
        <v>254</v>
      </c>
      <c r="M293" t="str" s="39" cm="1">
        <f t="array" ref="M293">IF(J293="FUERA","Fuera del marco",_xlfn.IFERROR(INDEX('Datos - Catálogo TIMSS'!$C$5:$C$107,MATCH(J293,'Datos - Catálogo TIMSS'!$A$5:$A$107,0)),"?"))</f>
        <v>Biología</v>
      </c>
      <c r="N293" t="s" s="35">
        <v>8692</v>
      </c>
    </row>
    <row r="294" ht="13.65" customHeight="1">
      <c r="A294" t="s" s="35">
        <v>8693</v>
      </c>
      <c r="B294" t="s" s="35">
        <v>1510</v>
      </c>
      <c r="C294" t="s" s="35">
        <v>8244</v>
      </c>
      <c r="D294" s="36">
        <v>42</v>
      </c>
      <c r="E294" t="s" s="35">
        <v>8615</v>
      </c>
      <c r="F294" s="36">
        <v>6</v>
      </c>
      <c r="G294" t="s" s="35">
        <v>8286</v>
      </c>
      <c r="H294" t="s" s="120">
        <v>8694</v>
      </c>
      <c r="I294" t="s" s="35">
        <v>1164</v>
      </c>
      <c r="J294" t="s" s="35">
        <v>1832</v>
      </c>
      <c r="K294" s="39"/>
      <c r="L294" t="s" s="35">
        <v>282</v>
      </c>
      <c r="M294" t="str" s="39" cm="1">
        <f t="array" ref="M294">IF(J294="FUERA","Fuera del marco",_xlfn.IFERROR(INDEX('Datos - Catálogo TIMSS'!$C$5:$C$107,MATCH(J294,'Datos - Catálogo TIMSS'!$A$5:$A$107,0)),"?"))</f>
        <v>Fuera del marco</v>
      </c>
      <c r="N294" t="s" s="35">
        <v>8695</v>
      </c>
    </row>
    <row r="295" ht="13.65" customHeight="1">
      <c r="A295" t="s" s="35">
        <v>8696</v>
      </c>
      <c r="B295" t="s" s="35">
        <v>1510</v>
      </c>
      <c r="C295" t="s" s="35">
        <v>8244</v>
      </c>
      <c r="D295" s="36">
        <v>42</v>
      </c>
      <c r="E295" t="s" s="35">
        <v>8615</v>
      </c>
      <c r="F295" s="36">
        <v>6</v>
      </c>
      <c r="G295" t="s" s="35">
        <v>8286</v>
      </c>
      <c r="H295" t="s" s="120">
        <v>8697</v>
      </c>
      <c r="I295" t="s" s="35">
        <v>1164</v>
      </c>
      <c r="J295" t="s" s="35">
        <v>454</v>
      </c>
      <c r="K295" s="39"/>
      <c r="L295" t="s" s="35">
        <v>254</v>
      </c>
      <c r="M295" t="str" s="39" cm="1">
        <f t="array" ref="M295">IF(J295="FUERA","Fuera del marco",_xlfn.IFERROR(INDEX('Datos - Catálogo TIMSS'!$C$5:$C$107,MATCH(J295,'Datos - Catálogo TIMSS'!$A$5:$A$107,0)),"?"))</f>
        <v>Biología</v>
      </c>
      <c r="N295" t="s" s="35">
        <v>1095</v>
      </c>
    </row>
    <row r="296" ht="13.65" customHeight="1">
      <c r="A296" t="s" s="35">
        <v>8698</v>
      </c>
      <c r="B296" t="s" s="35">
        <v>1510</v>
      </c>
      <c r="C296" t="s" s="35">
        <v>8244</v>
      </c>
      <c r="D296" s="36">
        <v>42</v>
      </c>
      <c r="E296" t="s" s="35">
        <v>8615</v>
      </c>
      <c r="F296" s="36">
        <v>6</v>
      </c>
      <c r="G296" t="s" s="35">
        <v>8286</v>
      </c>
      <c r="H296" t="s" s="120">
        <v>8699</v>
      </c>
      <c r="I296" t="s" s="35">
        <v>1164</v>
      </c>
      <c r="J296" t="s" s="35">
        <v>615</v>
      </c>
      <c r="K296" s="39"/>
      <c r="L296" t="s" s="35">
        <v>254</v>
      </c>
      <c r="M296" t="str" s="39" cm="1">
        <f t="array" ref="M296">IF(J296="FUERA","Fuera del marco",_xlfn.IFERROR(INDEX('Datos - Catálogo TIMSS'!$C$5:$C$107,MATCH(J296,'Datos - Catálogo TIMSS'!$A$5:$A$107,0)),"?"))</f>
        <v>Química</v>
      </c>
      <c r="N296" t="s" s="35">
        <v>8700</v>
      </c>
    </row>
    <row r="297" ht="13.65" customHeight="1">
      <c r="A297" t="s" s="35">
        <v>8701</v>
      </c>
      <c r="B297" t="s" s="35">
        <v>1510</v>
      </c>
      <c r="C297" t="s" s="35">
        <v>8244</v>
      </c>
      <c r="D297" s="36">
        <v>42</v>
      </c>
      <c r="E297" t="s" s="35">
        <v>8615</v>
      </c>
      <c r="F297" s="36">
        <v>6</v>
      </c>
      <c r="G297" t="s" s="35">
        <v>8286</v>
      </c>
      <c r="H297" t="s" s="120">
        <v>8504</v>
      </c>
      <c r="I297" t="s" s="35">
        <v>1164</v>
      </c>
      <c r="J297" t="s" s="35">
        <v>1205</v>
      </c>
      <c r="K297" s="39"/>
      <c r="L297" t="s" s="35">
        <v>282</v>
      </c>
      <c r="M297" t="str" s="39" cm="1">
        <f t="array" ref="M297">IF(J297="FUERA","Fuera del marco",_xlfn.IFERROR(INDEX('Datos - Catálogo TIMSS'!$C$5:$C$107,MATCH(J297,'Datos - Catálogo TIMSS'!$A$5:$A$107,0)),"?"))</f>
        <v>Biología</v>
      </c>
      <c r="N297" t="s" s="35">
        <v>8702</v>
      </c>
    </row>
    <row r="298" ht="13.65" customHeight="1">
      <c r="A298" t="s" s="35">
        <v>8703</v>
      </c>
      <c r="B298" t="s" s="35">
        <v>1510</v>
      </c>
      <c r="C298" t="s" s="35">
        <v>8244</v>
      </c>
      <c r="D298" s="36">
        <v>42</v>
      </c>
      <c r="E298" t="s" s="35">
        <v>8615</v>
      </c>
      <c r="F298" s="36">
        <v>6</v>
      </c>
      <c r="G298" t="s" s="35">
        <v>8286</v>
      </c>
      <c r="H298" t="s" s="120">
        <v>8507</v>
      </c>
      <c r="I298" t="s" s="35">
        <v>1164</v>
      </c>
      <c r="J298" t="s" s="35">
        <v>1205</v>
      </c>
      <c r="K298" s="39"/>
      <c r="L298" t="s" s="35">
        <v>254</v>
      </c>
      <c r="M298" t="str" s="39" cm="1">
        <f t="array" ref="M298">IF(J298="FUERA","Fuera del marco",_xlfn.IFERROR(INDEX('Datos - Catálogo TIMSS'!$C$5:$C$107,MATCH(J298,'Datos - Catálogo TIMSS'!$A$5:$A$107,0)),"?"))</f>
        <v>Biología</v>
      </c>
      <c r="N298" t="s" s="35">
        <v>8704</v>
      </c>
    </row>
    <row r="299" ht="13.65" customHeight="1">
      <c r="A299" t="s" s="35">
        <v>8705</v>
      </c>
      <c r="B299" t="s" s="35">
        <v>1510</v>
      </c>
      <c r="C299" t="s" s="35">
        <v>8244</v>
      </c>
      <c r="D299" s="36">
        <v>42</v>
      </c>
      <c r="E299" t="s" s="35">
        <v>8615</v>
      </c>
      <c r="F299" s="36">
        <v>6</v>
      </c>
      <c r="G299" t="s" s="35">
        <v>8286</v>
      </c>
      <c r="H299" t="s" s="120">
        <v>8706</v>
      </c>
      <c r="I299" t="s" s="35">
        <v>1164</v>
      </c>
      <c r="J299" t="s" s="35">
        <v>1297</v>
      </c>
      <c r="K299" s="39"/>
      <c r="L299" t="s" s="35">
        <v>291</v>
      </c>
      <c r="M299" t="str" s="39" cm="1">
        <f t="array" ref="M299">IF(J299="FUERA","Fuera del marco",_xlfn.IFERROR(INDEX('Datos - Catálogo TIMSS'!$C$5:$C$107,MATCH(J299,'Datos - Catálogo TIMSS'!$A$5:$A$107,0)),"?"))</f>
        <v>Ciencias de la Tierra</v>
      </c>
      <c r="N299" t="s" s="35">
        <v>8707</v>
      </c>
    </row>
    <row r="300" ht="13.65" customHeight="1">
      <c r="A300" t="s" s="35">
        <v>8708</v>
      </c>
      <c r="B300" t="s" s="35">
        <v>1510</v>
      </c>
      <c r="C300" t="s" s="35">
        <v>8244</v>
      </c>
      <c r="D300" s="36">
        <v>42</v>
      </c>
      <c r="E300" t="s" s="35">
        <v>8615</v>
      </c>
      <c r="F300" s="36">
        <v>6</v>
      </c>
      <c r="G300" t="s" s="35">
        <v>8286</v>
      </c>
      <c r="H300" t="s" s="120">
        <v>8709</v>
      </c>
      <c r="I300" t="s" s="35">
        <v>1164</v>
      </c>
      <c r="J300" t="s" s="35">
        <v>1832</v>
      </c>
      <c r="K300" s="39"/>
      <c r="L300" t="s" s="35">
        <v>291</v>
      </c>
      <c r="M300" t="str" s="39" cm="1">
        <f t="array" ref="M300">IF(J300="FUERA","Fuera del marco",_xlfn.IFERROR(INDEX('Datos - Catálogo TIMSS'!$C$5:$C$107,MATCH(J300,'Datos - Catálogo TIMSS'!$A$5:$A$107,0)),"?"))</f>
        <v>Fuera del marco</v>
      </c>
      <c r="N300" t="s" s="35">
        <v>8710</v>
      </c>
    </row>
    <row r="301" ht="13.65" customHeight="1">
      <c r="A301" t="s" s="35">
        <v>8711</v>
      </c>
      <c r="B301" t="s" s="35">
        <v>1510</v>
      </c>
      <c r="C301" t="s" s="35">
        <v>8244</v>
      </c>
      <c r="D301" s="36">
        <v>42</v>
      </c>
      <c r="E301" t="s" s="35">
        <v>8615</v>
      </c>
      <c r="F301" s="36">
        <v>6</v>
      </c>
      <c r="G301" t="s" s="35">
        <v>8286</v>
      </c>
      <c r="H301" t="s" s="120">
        <v>8712</v>
      </c>
      <c r="I301" t="s" s="35">
        <v>1164</v>
      </c>
      <c r="J301" t="s" s="35">
        <v>1832</v>
      </c>
      <c r="K301" s="39"/>
      <c r="L301" t="s" s="35">
        <v>291</v>
      </c>
      <c r="M301" t="str" s="39" cm="1">
        <f t="array" ref="M301">IF(J301="FUERA","Fuera del marco",_xlfn.IFERROR(INDEX('Datos - Catálogo TIMSS'!$C$5:$C$107,MATCH(J301,'Datos - Catálogo TIMSS'!$A$5:$A$107,0)),"?"))</f>
        <v>Fuera del marco</v>
      </c>
      <c r="N301" t="s" s="35">
        <v>8713</v>
      </c>
    </row>
    <row r="302" ht="13.65" customHeight="1">
      <c r="A302" t="s" s="35">
        <v>8714</v>
      </c>
      <c r="B302" t="s" s="35">
        <v>1510</v>
      </c>
      <c r="C302" t="s" s="35">
        <v>8244</v>
      </c>
      <c r="D302" s="36">
        <v>42</v>
      </c>
      <c r="E302" t="s" s="35">
        <v>8615</v>
      </c>
      <c r="F302" s="36">
        <v>6</v>
      </c>
      <c r="G302" t="s" s="35">
        <v>8311</v>
      </c>
      <c r="H302" t="s" s="120">
        <v>8715</v>
      </c>
      <c r="I302" t="s" s="35">
        <v>1164</v>
      </c>
      <c r="J302" t="s" s="35">
        <v>1218</v>
      </c>
      <c r="K302" s="39"/>
      <c r="L302" t="s" s="35">
        <v>254</v>
      </c>
      <c r="M302" t="str" s="39" cm="1">
        <f t="array" ref="M302">IF(J302="FUERA","Fuera del marco",_xlfn.IFERROR(INDEX('Datos - Catálogo TIMSS'!$C$5:$C$107,MATCH(J302,'Datos - Catálogo TIMSS'!$A$5:$A$107,0)),"?"))</f>
        <v>Química</v>
      </c>
      <c r="N302" t="s" s="35">
        <v>8716</v>
      </c>
    </row>
    <row r="303" ht="13.65" customHeight="1">
      <c r="A303" t="s" s="35">
        <v>8717</v>
      </c>
      <c r="B303" t="s" s="35">
        <v>1510</v>
      </c>
      <c r="C303" t="s" s="35">
        <v>8244</v>
      </c>
      <c r="D303" s="36">
        <v>42</v>
      </c>
      <c r="E303" t="s" s="35">
        <v>8615</v>
      </c>
      <c r="F303" s="36">
        <v>6</v>
      </c>
      <c r="G303" t="s" s="35">
        <v>8311</v>
      </c>
      <c r="H303" t="s" s="120">
        <v>8718</v>
      </c>
      <c r="I303" t="s" s="35">
        <v>1164</v>
      </c>
      <c r="J303" t="s" s="35">
        <v>1259</v>
      </c>
      <c r="K303" s="39"/>
      <c r="L303" t="s" s="35">
        <v>282</v>
      </c>
      <c r="M303" t="str" s="39" cm="1">
        <f t="array" ref="M303">IF(J303="FUERA","Fuera del marco",_xlfn.IFERROR(INDEX('Datos - Catálogo TIMSS'!$C$5:$C$107,MATCH(J303,'Datos - Catálogo TIMSS'!$A$5:$A$107,0)),"?"))</f>
        <v>Física</v>
      </c>
      <c r="N303" t="s" s="35">
        <v>8719</v>
      </c>
    </row>
    <row r="304" ht="13.65" customHeight="1">
      <c r="A304" t="s" s="35">
        <v>8720</v>
      </c>
      <c r="B304" t="s" s="35">
        <v>1510</v>
      </c>
      <c r="C304" t="s" s="35">
        <v>8244</v>
      </c>
      <c r="D304" s="36">
        <v>42</v>
      </c>
      <c r="E304" t="s" s="35">
        <v>8615</v>
      </c>
      <c r="F304" s="36">
        <v>6</v>
      </c>
      <c r="G304" t="s" s="35">
        <v>8311</v>
      </c>
      <c r="H304" t="s" s="120">
        <v>8721</v>
      </c>
      <c r="I304" t="s" s="35">
        <v>1164</v>
      </c>
      <c r="J304" t="s" s="35">
        <v>601</v>
      </c>
      <c r="K304" s="39"/>
      <c r="L304" t="s" s="35">
        <v>254</v>
      </c>
      <c r="M304" t="str" s="39" cm="1">
        <f t="array" ref="M304">IF(J304="FUERA","Fuera del marco",_xlfn.IFERROR(INDEX('Datos - Catálogo TIMSS'!$C$5:$C$107,MATCH(J304,'Datos - Catálogo TIMSS'!$A$5:$A$107,0)),"?"))</f>
        <v>Química</v>
      </c>
      <c r="N304" t="s" s="35">
        <v>8722</v>
      </c>
    </row>
    <row r="305" ht="13.65" customHeight="1">
      <c r="A305" t="s" s="35">
        <v>8723</v>
      </c>
      <c r="B305" t="s" s="35">
        <v>1510</v>
      </c>
      <c r="C305" t="s" s="35">
        <v>8244</v>
      </c>
      <c r="D305" s="36">
        <v>42</v>
      </c>
      <c r="E305" t="s" s="35">
        <v>8615</v>
      </c>
      <c r="F305" s="36">
        <v>6</v>
      </c>
      <c r="G305" t="s" s="35">
        <v>8311</v>
      </c>
      <c r="H305" t="s" s="120">
        <v>8724</v>
      </c>
      <c r="I305" t="s" s="35">
        <v>1164</v>
      </c>
      <c r="J305" t="s" s="35">
        <v>1212</v>
      </c>
      <c r="K305" s="39"/>
      <c r="L305" t="s" s="35">
        <v>254</v>
      </c>
      <c r="M305" t="str" s="39" cm="1">
        <f t="array" ref="M305">IF(J305="FUERA","Fuera del marco",_xlfn.IFERROR(INDEX('Datos - Catálogo TIMSS'!$C$5:$C$107,MATCH(J305,'Datos - Catálogo TIMSS'!$A$5:$A$107,0)),"?"))</f>
        <v>Química</v>
      </c>
      <c r="N305" t="s" s="35">
        <v>8725</v>
      </c>
    </row>
    <row r="306" ht="13.65" customHeight="1">
      <c r="A306" t="s" s="35">
        <v>8726</v>
      </c>
      <c r="B306" t="s" s="35">
        <v>1510</v>
      </c>
      <c r="C306" t="s" s="35">
        <v>8244</v>
      </c>
      <c r="D306" s="36">
        <v>42</v>
      </c>
      <c r="E306" t="s" s="35">
        <v>8615</v>
      </c>
      <c r="F306" s="36">
        <v>6</v>
      </c>
      <c r="G306" t="s" s="35">
        <v>8311</v>
      </c>
      <c r="H306" t="s" s="120">
        <v>8727</v>
      </c>
      <c r="I306" t="s" s="35">
        <v>1164</v>
      </c>
      <c r="J306" t="s" s="35">
        <v>615</v>
      </c>
      <c r="K306" t="s" s="35">
        <v>1234</v>
      </c>
      <c r="L306" t="s" s="35">
        <v>254</v>
      </c>
      <c r="M306" t="str" s="39" cm="1">
        <f t="array" ref="M306">IF(J306="FUERA","Fuera del marco",_xlfn.IFERROR(INDEX('Datos - Catálogo TIMSS'!$C$5:$C$107,MATCH(J306,'Datos - Catálogo TIMSS'!$A$5:$A$107,0)),"?"))</f>
        <v>Química</v>
      </c>
      <c r="N306" t="s" s="35">
        <v>8728</v>
      </c>
    </row>
    <row r="307" ht="13.65" customHeight="1">
      <c r="A307" t="s" s="35">
        <v>8729</v>
      </c>
      <c r="B307" t="s" s="35">
        <v>1510</v>
      </c>
      <c r="C307" t="s" s="35">
        <v>8244</v>
      </c>
      <c r="D307" s="36">
        <v>42</v>
      </c>
      <c r="E307" t="s" s="35">
        <v>8615</v>
      </c>
      <c r="F307" s="36">
        <v>6</v>
      </c>
      <c r="G307" t="s" s="35">
        <v>8311</v>
      </c>
      <c r="H307" t="s" s="120">
        <v>8730</v>
      </c>
      <c r="I307" t="s" s="35">
        <v>1164</v>
      </c>
      <c r="J307" t="s" s="35">
        <v>1212</v>
      </c>
      <c r="K307" t="s" s="35">
        <v>601</v>
      </c>
      <c r="L307" t="s" s="35">
        <v>282</v>
      </c>
      <c r="M307" t="str" s="39" cm="1">
        <f t="array" ref="M307">IF(J307="FUERA","Fuera del marco",_xlfn.IFERROR(INDEX('Datos - Catálogo TIMSS'!$C$5:$C$107,MATCH(J307,'Datos - Catálogo TIMSS'!$A$5:$A$107,0)),"?"))</f>
        <v>Química</v>
      </c>
      <c r="N307" t="s" s="35">
        <v>8731</v>
      </c>
    </row>
    <row r="308" ht="13.65" customHeight="1">
      <c r="A308" t="s" s="35">
        <v>8732</v>
      </c>
      <c r="B308" t="s" s="35">
        <v>1510</v>
      </c>
      <c r="C308" t="s" s="35">
        <v>8244</v>
      </c>
      <c r="D308" s="36">
        <v>42</v>
      </c>
      <c r="E308" t="s" s="35">
        <v>8615</v>
      </c>
      <c r="F308" s="36">
        <v>6</v>
      </c>
      <c r="G308" t="s" s="35">
        <v>8311</v>
      </c>
      <c r="H308" t="s" s="120">
        <v>8733</v>
      </c>
      <c r="I308" t="s" s="35">
        <v>1164</v>
      </c>
      <c r="J308" t="s" s="35">
        <v>1215</v>
      </c>
      <c r="K308" s="39"/>
      <c r="L308" t="s" s="35">
        <v>254</v>
      </c>
      <c r="M308" t="str" s="39" cm="1">
        <f t="array" ref="M308">IF(J308="FUERA","Fuera del marco",_xlfn.IFERROR(INDEX('Datos - Catálogo TIMSS'!$C$5:$C$107,MATCH(J308,'Datos - Catálogo TIMSS'!$A$5:$A$107,0)),"?"))</f>
        <v>Química</v>
      </c>
      <c r="N308" t="s" s="35">
        <v>8734</v>
      </c>
    </row>
    <row r="309" ht="13.65" customHeight="1">
      <c r="A309" t="s" s="35">
        <v>8735</v>
      </c>
      <c r="B309" t="s" s="35">
        <v>1510</v>
      </c>
      <c r="C309" t="s" s="35">
        <v>8244</v>
      </c>
      <c r="D309" s="36">
        <v>42</v>
      </c>
      <c r="E309" t="s" s="35">
        <v>8615</v>
      </c>
      <c r="F309" s="36">
        <v>6</v>
      </c>
      <c r="G309" t="s" s="35">
        <v>8311</v>
      </c>
      <c r="H309" t="s" s="120">
        <v>8736</v>
      </c>
      <c r="I309" t="s" s="35">
        <v>1164</v>
      </c>
      <c r="J309" t="s" s="35">
        <v>1215</v>
      </c>
      <c r="K309" s="39"/>
      <c r="L309" t="s" s="35">
        <v>254</v>
      </c>
      <c r="M309" t="str" s="39" cm="1">
        <f t="array" ref="M309">IF(J309="FUERA","Fuera del marco",_xlfn.IFERROR(INDEX('Datos - Catálogo TIMSS'!$C$5:$C$107,MATCH(J309,'Datos - Catálogo TIMSS'!$A$5:$A$107,0)),"?"))</f>
        <v>Química</v>
      </c>
      <c r="N309" t="s" s="35">
        <v>8737</v>
      </c>
    </row>
    <row r="310" ht="13.65" customHeight="1">
      <c r="A310" t="s" s="35">
        <v>8738</v>
      </c>
      <c r="B310" t="s" s="35">
        <v>1510</v>
      </c>
      <c r="C310" t="s" s="35">
        <v>8244</v>
      </c>
      <c r="D310" s="36">
        <v>42</v>
      </c>
      <c r="E310" t="s" s="35">
        <v>8615</v>
      </c>
      <c r="F310" s="36">
        <v>6</v>
      </c>
      <c r="G310" t="s" s="35">
        <v>8311</v>
      </c>
      <c r="H310" t="s" s="120">
        <v>8739</v>
      </c>
      <c r="I310" t="s" s="35">
        <v>1164</v>
      </c>
      <c r="J310" t="s" s="35">
        <v>601</v>
      </c>
      <c r="K310" t="s" s="35">
        <v>554</v>
      </c>
      <c r="L310" t="s" s="35">
        <v>254</v>
      </c>
      <c r="M310" t="str" s="39" cm="1">
        <f t="array" ref="M310">IF(J310="FUERA","Fuera del marco",_xlfn.IFERROR(INDEX('Datos - Catálogo TIMSS'!$C$5:$C$107,MATCH(J310,'Datos - Catálogo TIMSS'!$A$5:$A$107,0)),"?"))</f>
        <v>Química</v>
      </c>
      <c r="N310" t="s" s="35">
        <v>8740</v>
      </c>
    </row>
    <row r="311" ht="13.65" customHeight="1">
      <c r="A311" t="s" s="35">
        <v>8741</v>
      </c>
      <c r="B311" t="s" s="35">
        <v>1510</v>
      </c>
      <c r="C311" t="s" s="35">
        <v>8244</v>
      </c>
      <c r="D311" s="36">
        <v>42</v>
      </c>
      <c r="E311" t="s" s="35">
        <v>8615</v>
      </c>
      <c r="F311" s="36">
        <v>6</v>
      </c>
      <c r="G311" t="s" s="35">
        <v>8311</v>
      </c>
      <c r="H311" t="s" s="120">
        <v>8742</v>
      </c>
      <c r="I311" t="s" s="35">
        <v>1164</v>
      </c>
      <c r="J311" t="s" s="35">
        <v>575</v>
      </c>
      <c r="K311" t="s" s="35">
        <v>1262</v>
      </c>
      <c r="L311" t="s" s="35">
        <v>282</v>
      </c>
      <c r="M311" t="str" s="39" cm="1">
        <f t="array" ref="M311">IF(J311="FUERA","Fuera del marco",_xlfn.IFERROR(INDEX('Datos - Catálogo TIMSS'!$C$5:$C$107,MATCH(J311,'Datos - Catálogo TIMSS'!$A$5:$A$107,0)),"?"))</f>
        <v>Física</v>
      </c>
      <c r="N311" t="s" s="35">
        <v>8743</v>
      </c>
    </row>
    <row r="312" ht="13.65" customHeight="1">
      <c r="A312" t="s" s="35">
        <v>8744</v>
      </c>
      <c r="B312" t="s" s="35">
        <v>1510</v>
      </c>
      <c r="C312" t="s" s="35">
        <v>8244</v>
      </c>
      <c r="D312" s="36">
        <v>42</v>
      </c>
      <c r="E312" t="s" s="35">
        <v>8615</v>
      </c>
      <c r="F312" s="36">
        <v>6</v>
      </c>
      <c r="G312" t="s" s="35">
        <v>8311</v>
      </c>
      <c r="H312" t="s" s="120">
        <v>8745</v>
      </c>
      <c r="I312" t="s" s="35">
        <v>1164</v>
      </c>
      <c r="J312" t="s" s="35">
        <v>1262</v>
      </c>
      <c r="K312" t="s" s="35">
        <v>535</v>
      </c>
      <c r="L312" t="s" s="35">
        <v>254</v>
      </c>
      <c r="M312" t="str" s="39" cm="1">
        <f t="array" ref="M312">IF(J312="FUERA","Fuera del marco",_xlfn.IFERROR(INDEX('Datos - Catálogo TIMSS'!$C$5:$C$107,MATCH(J312,'Datos - Catálogo TIMSS'!$A$5:$A$107,0)),"?"))</f>
        <v>Física</v>
      </c>
      <c r="N312" t="s" s="35">
        <v>8746</v>
      </c>
    </row>
    <row r="313" ht="13.65" customHeight="1">
      <c r="A313" t="s" s="35">
        <v>8747</v>
      </c>
      <c r="B313" t="s" s="35">
        <v>1510</v>
      </c>
      <c r="C313" t="s" s="35">
        <v>8244</v>
      </c>
      <c r="D313" s="36">
        <v>42</v>
      </c>
      <c r="E313" t="s" s="35">
        <v>8615</v>
      </c>
      <c r="F313" s="36">
        <v>6</v>
      </c>
      <c r="G313" t="s" s="35">
        <v>8311</v>
      </c>
      <c r="H313" t="s" s="120">
        <v>8748</v>
      </c>
      <c r="I313" t="s" s="35">
        <v>1164</v>
      </c>
      <c r="J313" t="s" s="35">
        <v>1218</v>
      </c>
      <c r="K313" t="s" s="35">
        <v>588</v>
      </c>
      <c r="L313" t="s" s="35">
        <v>282</v>
      </c>
      <c r="M313" t="str" s="39" cm="1">
        <f t="array" ref="M313">IF(J313="FUERA","Fuera del marco",_xlfn.IFERROR(INDEX('Datos - Catálogo TIMSS'!$C$5:$C$107,MATCH(J313,'Datos - Catálogo TIMSS'!$A$5:$A$107,0)),"?"))</f>
        <v>Química</v>
      </c>
      <c r="N313" t="s" s="35">
        <v>8749</v>
      </c>
    </row>
    <row r="314" ht="13.65" customHeight="1">
      <c r="A314" t="s" s="35">
        <v>8750</v>
      </c>
      <c r="B314" t="s" s="35">
        <v>1510</v>
      </c>
      <c r="C314" t="s" s="35">
        <v>8244</v>
      </c>
      <c r="D314" s="36">
        <v>42</v>
      </c>
      <c r="E314" t="s" s="35">
        <v>8615</v>
      </c>
      <c r="F314" s="36">
        <v>6</v>
      </c>
      <c r="G314" t="s" s="35">
        <v>8311</v>
      </c>
      <c r="H314" t="s" s="120">
        <v>8751</v>
      </c>
      <c r="I314" t="s" s="35">
        <v>1164</v>
      </c>
      <c r="J314" t="s" s="35">
        <v>507</v>
      </c>
      <c r="K314" s="39"/>
      <c r="L314" t="s" s="35">
        <v>254</v>
      </c>
      <c r="M314" t="str" s="39" cm="1">
        <f t="array" ref="M314">IF(J314="FUERA","Fuera del marco",_xlfn.IFERROR(INDEX('Datos - Catálogo TIMSS'!$C$5:$C$107,MATCH(J314,'Datos - Catálogo TIMSS'!$A$5:$A$107,0)),"?"))</f>
        <v>Ciencias de la Tierra</v>
      </c>
      <c r="N314" t="s" s="35">
        <v>8752</v>
      </c>
    </row>
    <row r="315" ht="13.65" customHeight="1">
      <c r="A315" t="s" s="35">
        <v>8753</v>
      </c>
      <c r="B315" t="s" s="35">
        <v>1510</v>
      </c>
      <c r="C315" t="s" s="35">
        <v>8244</v>
      </c>
      <c r="D315" s="36">
        <v>42</v>
      </c>
      <c r="E315" t="s" s="35">
        <v>8615</v>
      </c>
      <c r="F315" s="36">
        <v>6</v>
      </c>
      <c r="G315" t="s" s="35">
        <v>8311</v>
      </c>
      <c r="H315" t="s" s="120">
        <v>8754</v>
      </c>
      <c r="I315" t="s" s="35">
        <v>1164</v>
      </c>
      <c r="J315" t="s" s="35">
        <v>507</v>
      </c>
      <c r="K315" s="39"/>
      <c r="L315" t="s" s="35">
        <v>291</v>
      </c>
      <c r="M315" t="str" s="39" cm="1">
        <f t="array" ref="M315">IF(J315="FUERA","Fuera del marco",_xlfn.IFERROR(INDEX('Datos - Catálogo TIMSS'!$C$5:$C$107,MATCH(J315,'Datos - Catálogo TIMSS'!$A$5:$A$107,0)),"?"))</f>
        <v>Ciencias de la Tierra</v>
      </c>
      <c r="N315" t="s" s="35">
        <v>8755</v>
      </c>
    </row>
    <row r="316" ht="13.65" customHeight="1">
      <c r="A316" t="s" s="35">
        <v>8756</v>
      </c>
      <c r="B316" t="s" s="35">
        <v>1510</v>
      </c>
      <c r="C316" t="s" s="35">
        <v>8244</v>
      </c>
      <c r="D316" s="36">
        <v>42</v>
      </c>
      <c r="E316" t="s" s="35">
        <v>8615</v>
      </c>
      <c r="F316" s="36">
        <v>6</v>
      </c>
      <c r="G316" t="s" s="35">
        <v>8311</v>
      </c>
      <c r="H316" t="s" s="120">
        <v>8757</v>
      </c>
      <c r="I316" t="s" s="35">
        <v>1164</v>
      </c>
      <c r="J316" t="s" s="35">
        <v>588</v>
      </c>
      <c r="K316" t="s" s="35">
        <v>507</v>
      </c>
      <c r="L316" t="s" s="35">
        <v>282</v>
      </c>
      <c r="M316" t="str" s="39" cm="1">
        <f t="array" ref="M316">IF(J316="FUERA","Fuera del marco",_xlfn.IFERROR(INDEX('Datos - Catálogo TIMSS'!$C$5:$C$107,MATCH(J316,'Datos - Catálogo TIMSS'!$A$5:$A$107,0)),"?"))</f>
        <v>Física</v>
      </c>
      <c r="N316" t="s" s="35">
        <v>8758</v>
      </c>
    </row>
    <row r="317" ht="13.65" customHeight="1">
      <c r="A317" t="s" s="35">
        <v>8759</v>
      </c>
      <c r="B317" t="s" s="35">
        <v>1510</v>
      </c>
      <c r="C317" t="s" s="35">
        <v>8244</v>
      </c>
      <c r="D317" s="36">
        <v>42</v>
      </c>
      <c r="E317" t="s" s="35">
        <v>8615</v>
      </c>
      <c r="F317" s="36">
        <v>6</v>
      </c>
      <c r="G317" t="s" s="35">
        <v>8311</v>
      </c>
      <c r="H317" t="s" s="120">
        <v>8760</v>
      </c>
      <c r="I317" t="s" s="35">
        <v>1164</v>
      </c>
      <c r="J317" t="s" s="35">
        <v>524</v>
      </c>
      <c r="K317" s="39"/>
      <c r="L317" t="s" s="35">
        <v>254</v>
      </c>
      <c r="M317" t="str" s="39" cm="1">
        <f t="array" ref="M317">IF(J317="FUERA","Fuera del marco",_xlfn.IFERROR(INDEX('Datos - Catálogo TIMSS'!$C$5:$C$107,MATCH(J317,'Datos - Catálogo TIMSS'!$A$5:$A$107,0)),"?"))</f>
        <v>Ciencias de la Tierra</v>
      </c>
      <c r="N317" t="s" s="35">
        <v>8761</v>
      </c>
    </row>
    <row r="318" ht="13.65" customHeight="1">
      <c r="A318" t="s" s="35">
        <v>8762</v>
      </c>
      <c r="B318" t="s" s="35">
        <v>1510</v>
      </c>
      <c r="C318" t="s" s="35">
        <v>8244</v>
      </c>
      <c r="D318" s="36">
        <v>41</v>
      </c>
      <c r="E318" t="s" s="35">
        <v>8615</v>
      </c>
      <c r="F318" s="36">
        <v>6</v>
      </c>
      <c r="G318" t="s" s="35">
        <v>8351</v>
      </c>
      <c r="H318" t="s" s="120">
        <v>8763</v>
      </c>
      <c r="I318" t="s" s="35">
        <v>1164</v>
      </c>
      <c r="J318" t="s" s="35">
        <v>1174</v>
      </c>
      <c r="K318" s="39"/>
      <c r="L318" t="s" s="35">
        <v>254</v>
      </c>
      <c r="M318" t="str" s="39" cm="1">
        <f t="array" ref="M318">IF(J318="FUERA","Fuera del marco",_xlfn.IFERROR(INDEX('Datos - Catálogo TIMSS'!$C$5:$C$107,MATCH(J318,'Datos - Catálogo TIMSS'!$A$5:$A$107,0)),"?"))</f>
        <v>Biología</v>
      </c>
      <c r="N318" t="s" s="35">
        <v>8764</v>
      </c>
    </row>
    <row r="319" ht="13.65" customHeight="1">
      <c r="A319" t="s" s="35">
        <v>8765</v>
      </c>
      <c r="B319" t="s" s="35">
        <v>1510</v>
      </c>
      <c r="C319" t="s" s="35">
        <v>8244</v>
      </c>
      <c r="D319" s="36">
        <v>41</v>
      </c>
      <c r="E319" t="s" s="35">
        <v>8615</v>
      </c>
      <c r="F319" s="36">
        <v>6</v>
      </c>
      <c r="G319" t="s" s="35">
        <v>8351</v>
      </c>
      <c r="H319" t="s" s="120">
        <v>8766</v>
      </c>
      <c r="I319" t="s" s="35">
        <v>1164</v>
      </c>
      <c r="J319" t="s" s="35">
        <v>1174</v>
      </c>
      <c r="K319" t="s" s="35">
        <v>1207</v>
      </c>
      <c r="L319" t="s" s="35">
        <v>282</v>
      </c>
      <c r="M319" t="str" s="39" cm="1">
        <f t="array" ref="M319">IF(J319="FUERA","Fuera del marco",_xlfn.IFERROR(INDEX('Datos - Catálogo TIMSS'!$C$5:$C$107,MATCH(J319,'Datos - Catálogo TIMSS'!$A$5:$A$107,0)),"?"))</f>
        <v>Biología</v>
      </c>
      <c r="N319" t="s" s="35">
        <v>8767</v>
      </c>
    </row>
    <row r="320" ht="13.65" customHeight="1">
      <c r="A320" t="s" s="35">
        <v>8768</v>
      </c>
      <c r="B320" t="s" s="35">
        <v>1510</v>
      </c>
      <c r="C320" t="s" s="35">
        <v>8244</v>
      </c>
      <c r="D320" s="36">
        <v>41</v>
      </c>
      <c r="E320" t="s" s="35">
        <v>8615</v>
      </c>
      <c r="F320" s="36">
        <v>6</v>
      </c>
      <c r="G320" t="s" s="35">
        <v>8351</v>
      </c>
      <c r="H320" t="s" s="120">
        <v>8769</v>
      </c>
      <c r="I320" t="s" s="35">
        <v>1164</v>
      </c>
      <c r="J320" t="s" s="35">
        <v>1174</v>
      </c>
      <c r="K320" s="39"/>
      <c r="L320" t="s" s="35">
        <v>282</v>
      </c>
      <c r="M320" t="str" s="39" cm="1">
        <f t="array" ref="M320">IF(J320="FUERA","Fuera del marco",_xlfn.IFERROR(INDEX('Datos - Catálogo TIMSS'!$C$5:$C$107,MATCH(J320,'Datos - Catálogo TIMSS'!$A$5:$A$107,0)),"?"))</f>
        <v>Biología</v>
      </c>
      <c r="N320" t="s" s="35">
        <v>8770</v>
      </c>
    </row>
    <row r="321" ht="13.65" customHeight="1">
      <c r="A321" t="s" s="35">
        <v>8771</v>
      </c>
      <c r="B321" t="s" s="35">
        <v>1510</v>
      </c>
      <c r="C321" t="s" s="35">
        <v>8244</v>
      </c>
      <c r="D321" s="36">
        <v>41</v>
      </c>
      <c r="E321" t="s" s="35">
        <v>8615</v>
      </c>
      <c r="F321" s="36">
        <v>6</v>
      </c>
      <c r="G321" t="s" s="35">
        <v>8351</v>
      </c>
      <c r="H321" t="s" s="120">
        <v>8772</v>
      </c>
      <c r="I321" t="s" s="35">
        <v>1164</v>
      </c>
      <c r="J321" t="s" s="35">
        <v>1163</v>
      </c>
      <c r="K321" t="s" s="35">
        <v>1174</v>
      </c>
      <c r="L321" t="s" s="35">
        <v>254</v>
      </c>
      <c r="M321" t="str" s="39" cm="1">
        <f t="array" ref="M321">IF(J321="FUERA","Fuera del marco",_xlfn.IFERROR(INDEX('Datos - Catálogo TIMSS'!$C$5:$C$107,MATCH(J321,'Datos - Catálogo TIMSS'!$A$5:$A$107,0)),"?"))</f>
        <v>Biología</v>
      </c>
      <c r="N321" t="s" s="35">
        <v>8773</v>
      </c>
    </row>
    <row r="322" ht="13.65" customHeight="1">
      <c r="A322" t="s" s="35">
        <v>8774</v>
      </c>
      <c r="B322" t="s" s="35">
        <v>1510</v>
      </c>
      <c r="C322" t="s" s="35">
        <v>8244</v>
      </c>
      <c r="D322" s="36">
        <v>41</v>
      </c>
      <c r="E322" t="s" s="35">
        <v>8615</v>
      </c>
      <c r="F322" s="36">
        <v>6</v>
      </c>
      <c r="G322" t="s" s="35">
        <v>8351</v>
      </c>
      <c r="H322" t="s" s="120">
        <v>8775</v>
      </c>
      <c r="I322" t="s" s="35">
        <v>1164</v>
      </c>
      <c r="J322" t="s" s="35">
        <v>1174</v>
      </c>
      <c r="K322" t="s" s="35">
        <v>1178</v>
      </c>
      <c r="L322" t="s" s="35">
        <v>282</v>
      </c>
      <c r="M322" t="str" s="39" cm="1">
        <f t="array" ref="M322">IF(J322="FUERA","Fuera del marco",_xlfn.IFERROR(INDEX('Datos - Catálogo TIMSS'!$C$5:$C$107,MATCH(J322,'Datos - Catálogo TIMSS'!$A$5:$A$107,0)),"?"))</f>
        <v>Biología</v>
      </c>
      <c r="N322" t="s" s="35">
        <v>8776</v>
      </c>
    </row>
    <row r="323" ht="13.65" customHeight="1">
      <c r="A323" t="s" s="35">
        <v>8777</v>
      </c>
      <c r="B323" t="s" s="35">
        <v>1510</v>
      </c>
      <c r="C323" t="s" s="35">
        <v>8244</v>
      </c>
      <c r="D323" s="36">
        <v>41</v>
      </c>
      <c r="E323" t="s" s="35">
        <v>8615</v>
      </c>
      <c r="F323" s="36">
        <v>6</v>
      </c>
      <c r="G323" t="s" s="35">
        <v>8351</v>
      </c>
      <c r="H323" t="s" s="120">
        <v>8778</v>
      </c>
      <c r="I323" t="s" s="35">
        <v>1164</v>
      </c>
      <c r="J323" t="s" s="35">
        <v>1168</v>
      </c>
      <c r="K323" s="39"/>
      <c r="L323" t="s" s="35">
        <v>254</v>
      </c>
      <c r="M323" t="str" s="39" cm="1">
        <f t="array" ref="M323">IF(J323="FUERA","Fuera del marco",_xlfn.IFERROR(INDEX('Datos - Catálogo TIMSS'!$C$5:$C$107,MATCH(J323,'Datos - Catálogo TIMSS'!$A$5:$A$107,0)),"?"))</f>
        <v>Biología</v>
      </c>
      <c r="N323" t="s" s="35">
        <v>8779</v>
      </c>
    </row>
    <row r="324" ht="13.65" customHeight="1">
      <c r="A324" t="s" s="35">
        <v>8780</v>
      </c>
      <c r="B324" t="s" s="35">
        <v>1510</v>
      </c>
      <c r="C324" t="s" s="35">
        <v>8244</v>
      </c>
      <c r="D324" s="36">
        <v>41</v>
      </c>
      <c r="E324" t="s" s="35">
        <v>8615</v>
      </c>
      <c r="F324" s="36">
        <v>6</v>
      </c>
      <c r="G324" t="s" s="35">
        <v>8351</v>
      </c>
      <c r="H324" t="s" s="120">
        <v>8781</v>
      </c>
      <c r="I324" t="s" s="35">
        <v>1164</v>
      </c>
      <c r="J324" t="s" s="35">
        <v>1171</v>
      </c>
      <c r="K324" s="39"/>
      <c r="L324" t="s" s="35">
        <v>254</v>
      </c>
      <c r="M324" t="str" s="39" cm="1">
        <f t="array" ref="M324">IF(J324="FUERA","Fuera del marco",_xlfn.IFERROR(INDEX('Datos - Catálogo TIMSS'!$C$5:$C$107,MATCH(J324,'Datos - Catálogo TIMSS'!$A$5:$A$107,0)),"?"))</f>
        <v>Biología</v>
      </c>
      <c r="N324" t="s" s="35">
        <v>8782</v>
      </c>
    </row>
    <row r="325" ht="13.65" customHeight="1">
      <c r="A325" t="s" s="35">
        <v>8783</v>
      </c>
      <c r="B325" t="s" s="35">
        <v>1510</v>
      </c>
      <c r="C325" t="s" s="35">
        <v>8244</v>
      </c>
      <c r="D325" s="36">
        <v>41</v>
      </c>
      <c r="E325" t="s" s="35">
        <v>8615</v>
      </c>
      <c r="F325" s="36">
        <v>6</v>
      </c>
      <c r="G325" t="s" s="35">
        <v>8351</v>
      </c>
      <c r="H325" t="s" s="120">
        <v>8784</v>
      </c>
      <c r="I325" t="s" s="35">
        <v>1164</v>
      </c>
      <c r="J325" t="s" s="35">
        <v>1186</v>
      </c>
      <c r="K325" t="s" s="35">
        <v>1163</v>
      </c>
      <c r="L325" t="s" s="35">
        <v>291</v>
      </c>
      <c r="M325" t="str" s="39" cm="1">
        <f t="array" ref="M325">IF(J325="FUERA","Fuera del marco",_xlfn.IFERROR(INDEX('Datos - Catálogo TIMSS'!$C$5:$C$107,MATCH(J325,'Datos - Catálogo TIMSS'!$A$5:$A$107,0)),"?"))</f>
        <v>Biología</v>
      </c>
      <c r="N325" t="s" s="35">
        <v>8785</v>
      </c>
    </row>
    <row r="326" ht="13.65" customHeight="1">
      <c r="A326" t="s" s="35">
        <v>8786</v>
      </c>
      <c r="B326" t="s" s="35">
        <v>1510</v>
      </c>
      <c r="C326" t="s" s="35">
        <v>8244</v>
      </c>
      <c r="D326" s="36">
        <v>41</v>
      </c>
      <c r="E326" t="s" s="35">
        <v>8615</v>
      </c>
      <c r="F326" s="36">
        <v>6</v>
      </c>
      <c r="G326" t="s" s="35">
        <v>8351</v>
      </c>
      <c r="H326" t="s" s="120">
        <v>8787</v>
      </c>
      <c r="I326" t="s" s="35">
        <v>1164</v>
      </c>
      <c r="J326" t="s" s="35">
        <v>1832</v>
      </c>
      <c r="K326" s="39"/>
      <c r="L326" t="s" s="35">
        <v>291</v>
      </c>
      <c r="M326" t="str" s="39" cm="1">
        <f t="array" ref="M326">IF(J326="FUERA","Fuera del marco",_xlfn.IFERROR(INDEX('Datos - Catálogo TIMSS'!$C$5:$C$107,MATCH(J326,'Datos - Catálogo TIMSS'!$A$5:$A$107,0)),"?"))</f>
        <v>Fuera del marco</v>
      </c>
      <c r="N326" t="s" s="35">
        <v>8788</v>
      </c>
    </row>
    <row r="327" ht="13.65" customHeight="1">
      <c r="A327" t="s" s="35">
        <v>8789</v>
      </c>
      <c r="B327" t="s" s="35">
        <v>1510</v>
      </c>
      <c r="C327" t="s" s="35">
        <v>8244</v>
      </c>
      <c r="D327" s="36">
        <v>41</v>
      </c>
      <c r="E327" t="s" s="35">
        <v>8615</v>
      </c>
      <c r="F327" s="36">
        <v>6</v>
      </c>
      <c r="G327" t="s" s="35">
        <v>8351</v>
      </c>
      <c r="H327" t="s" s="120">
        <v>8790</v>
      </c>
      <c r="I327" t="s" s="35">
        <v>1164</v>
      </c>
      <c r="J327" t="s" s="35">
        <v>475</v>
      </c>
      <c r="K327" t="s" s="35">
        <v>1189</v>
      </c>
      <c r="L327" t="s" s="35">
        <v>254</v>
      </c>
      <c r="M327" t="str" s="39" cm="1">
        <f t="array" ref="M327">IF(J327="FUERA","Fuera del marco",_xlfn.IFERROR(INDEX('Datos - Catálogo TIMSS'!$C$5:$C$107,MATCH(J327,'Datos - Catálogo TIMSS'!$A$5:$A$107,0)),"?"))</f>
        <v>Biología</v>
      </c>
      <c r="N327" t="s" s="35">
        <v>8791</v>
      </c>
    </row>
    <row r="328" ht="13.65" customHeight="1">
      <c r="A328" t="s" s="35">
        <v>8792</v>
      </c>
      <c r="B328" t="s" s="35">
        <v>1510</v>
      </c>
      <c r="C328" t="s" s="35">
        <v>8244</v>
      </c>
      <c r="D328" s="36">
        <v>41</v>
      </c>
      <c r="E328" t="s" s="35">
        <v>8615</v>
      </c>
      <c r="F328" s="36">
        <v>6</v>
      </c>
      <c r="G328" t="s" s="35">
        <v>8351</v>
      </c>
      <c r="H328" t="s" s="120">
        <v>8793</v>
      </c>
      <c r="I328" t="s" s="35">
        <v>1164</v>
      </c>
      <c r="J328" t="s" s="35">
        <v>1181</v>
      </c>
      <c r="K328" t="s" s="35">
        <v>524</v>
      </c>
      <c r="L328" t="s" s="35">
        <v>282</v>
      </c>
      <c r="M328" t="str" s="39" cm="1">
        <f t="array" ref="M328">IF(J328="FUERA","Fuera del marco",_xlfn.IFERROR(INDEX('Datos - Catálogo TIMSS'!$C$5:$C$107,MATCH(J328,'Datos - Catálogo TIMSS'!$A$5:$A$107,0)),"?"))</f>
        <v>Biología</v>
      </c>
      <c r="N328" t="s" s="35">
        <v>8794</v>
      </c>
    </row>
    <row r="329" ht="13.65" customHeight="1">
      <c r="A329" t="s" s="35">
        <v>8795</v>
      </c>
      <c r="B329" t="s" s="35">
        <v>1510</v>
      </c>
      <c r="C329" t="s" s="35">
        <v>8244</v>
      </c>
      <c r="D329" s="36">
        <v>41</v>
      </c>
      <c r="E329" t="s" s="35">
        <v>8615</v>
      </c>
      <c r="F329" s="36">
        <v>6</v>
      </c>
      <c r="G329" t="s" s="35">
        <v>8351</v>
      </c>
      <c r="H329" t="s" s="120">
        <v>8796</v>
      </c>
      <c r="I329" t="s" s="35">
        <v>1164</v>
      </c>
      <c r="J329" t="s" s="35">
        <v>1181</v>
      </c>
      <c r="K329" t="s" s="35">
        <v>1189</v>
      </c>
      <c r="L329" t="s" s="35">
        <v>282</v>
      </c>
      <c r="M329" t="str" s="39" cm="1">
        <f t="array" ref="M329">IF(J329="FUERA","Fuera del marco",_xlfn.IFERROR(INDEX('Datos - Catálogo TIMSS'!$C$5:$C$107,MATCH(J329,'Datos - Catálogo TIMSS'!$A$5:$A$107,0)),"?"))</f>
        <v>Biología</v>
      </c>
      <c r="N329" t="s" s="35">
        <v>8797</v>
      </c>
    </row>
    <row r="330" ht="13.65" customHeight="1">
      <c r="A330" t="s" s="35">
        <v>8798</v>
      </c>
      <c r="B330" t="s" s="35">
        <v>1510</v>
      </c>
      <c r="C330" t="s" s="35">
        <v>8244</v>
      </c>
      <c r="D330" s="36">
        <v>41</v>
      </c>
      <c r="E330" t="s" s="35">
        <v>8615</v>
      </c>
      <c r="F330" s="36">
        <v>6</v>
      </c>
      <c r="G330" t="s" s="35">
        <v>8351</v>
      </c>
      <c r="H330" t="s" s="120">
        <v>8799</v>
      </c>
      <c r="I330" t="s" s="35">
        <v>1164</v>
      </c>
      <c r="J330" t="s" s="35">
        <v>1181</v>
      </c>
      <c r="K330" s="39"/>
      <c r="L330" t="s" s="35">
        <v>282</v>
      </c>
      <c r="M330" t="str" s="39" cm="1">
        <f t="array" ref="M330">IF(J330="FUERA","Fuera del marco",_xlfn.IFERROR(INDEX('Datos - Catálogo TIMSS'!$C$5:$C$107,MATCH(J330,'Datos - Catálogo TIMSS'!$A$5:$A$107,0)),"?"))</f>
        <v>Biología</v>
      </c>
      <c r="N330" t="s" s="35">
        <v>8800</v>
      </c>
    </row>
    <row r="331" ht="13.65" customHeight="1">
      <c r="A331" t="s" s="35">
        <v>8801</v>
      </c>
      <c r="B331" t="s" s="35">
        <v>1510</v>
      </c>
      <c r="C331" t="s" s="35">
        <v>8244</v>
      </c>
      <c r="D331" s="36">
        <v>41</v>
      </c>
      <c r="E331" t="s" s="35">
        <v>8615</v>
      </c>
      <c r="F331" s="36">
        <v>6</v>
      </c>
      <c r="G331" t="s" s="35">
        <v>8351</v>
      </c>
      <c r="H331" t="s" s="120">
        <v>8802</v>
      </c>
      <c r="I331" t="s" s="35">
        <v>1164</v>
      </c>
      <c r="J331" t="s" s="35">
        <v>1195</v>
      </c>
      <c r="K331" s="39"/>
      <c r="L331" t="s" s="35">
        <v>291</v>
      </c>
      <c r="M331" t="str" s="39" cm="1">
        <f t="array" ref="M331">IF(J331="FUERA","Fuera del marco",_xlfn.IFERROR(INDEX('Datos - Catálogo TIMSS'!$C$5:$C$107,MATCH(J331,'Datos - Catálogo TIMSS'!$A$5:$A$107,0)),"?"))</f>
        <v>Biología</v>
      </c>
      <c r="N331" t="s" s="35">
        <v>8803</v>
      </c>
    </row>
    <row r="332" ht="13.65" customHeight="1">
      <c r="A332" t="s" s="35">
        <v>8804</v>
      </c>
      <c r="B332" t="s" s="35">
        <v>1510</v>
      </c>
      <c r="C332" t="s" s="35">
        <v>8244</v>
      </c>
      <c r="D332" s="36">
        <v>41</v>
      </c>
      <c r="E332" t="s" s="35">
        <v>8615</v>
      </c>
      <c r="F332" s="36">
        <v>6</v>
      </c>
      <c r="G332" t="s" s="35">
        <v>8351</v>
      </c>
      <c r="H332" t="s" s="120">
        <v>8805</v>
      </c>
      <c r="I332" t="s" s="35">
        <v>1164</v>
      </c>
      <c r="J332" t="s" s="35">
        <v>1195</v>
      </c>
      <c r="K332" t="s" s="35">
        <v>459</v>
      </c>
      <c r="L332" t="s" s="35">
        <v>254</v>
      </c>
      <c r="M332" t="str" s="39" cm="1">
        <f t="array" ref="M332">IF(J332="FUERA","Fuera del marco",_xlfn.IFERROR(INDEX('Datos - Catálogo TIMSS'!$C$5:$C$107,MATCH(J332,'Datos - Catálogo TIMSS'!$A$5:$A$107,0)),"?"))</f>
        <v>Biología</v>
      </c>
      <c r="N332" t="s" s="35">
        <v>8806</v>
      </c>
    </row>
    <row r="333" ht="13.65" customHeight="1">
      <c r="A333" t="s" s="35">
        <v>8807</v>
      </c>
      <c r="B333" t="s" s="35">
        <v>1510</v>
      </c>
      <c r="C333" t="s" s="35">
        <v>8244</v>
      </c>
      <c r="D333" s="36">
        <v>41</v>
      </c>
      <c r="E333" t="s" s="35">
        <v>8615</v>
      </c>
      <c r="F333" s="36">
        <v>6</v>
      </c>
      <c r="G333" t="s" s="35">
        <v>8351</v>
      </c>
      <c r="H333" t="s" s="120">
        <v>8808</v>
      </c>
      <c r="I333" t="s" s="35">
        <v>1164</v>
      </c>
      <c r="J333" t="s" s="35">
        <v>1195</v>
      </c>
      <c r="K333" s="39"/>
      <c r="L333" t="s" s="35">
        <v>291</v>
      </c>
      <c r="M333" t="str" s="39" cm="1">
        <f t="array" ref="M333">IF(J333="FUERA","Fuera del marco",_xlfn.IFERROR(INDEX('Datos - Catálogo TIMSS'!$C$5:$C$107,MATCH(J333,'Datos - Catálogo TIMSS'!$A$5:$A$107,0)),"?"))</f>
        <v>Biología</v>
      </c>
      <c r="N333" t="s" s="35">
        <v>8809</v>
      </c>
    </row>
    <row r="334" ht="13.65" customHeight="1">
      <c r="A334" t="s" s="35">
        <v>8810</v>
      </c>
      <c r="B334" t="s" s="35">
        <v>1510</v>
      </c>
      <c r="C334" t="s" s="35">
        <v>8230</v>
      </c>
      <c r="D334" s="36">
        <v>24</v>
      </c>
      <c r="E334" t="s" s="35">
        <v>8065</v>
      </c>
      <c r="F334" s="36">
        <v>7</v>
      </c>
      <c r="G334" s="39"/>
      <c r="H334" t="s" s="120">
        <v>8811</v>
      </c>
      <c r="I334" t="s" s="35">
        <v>1164</v>
      </c>
      <c r="J334" t="s" s="35">
        <v>575</v>
      </c>
      <c r="K334" s="39"/>
      <c r="L334" t="s" s="35">
        <v>254</v>
      </c>
      <c r="M334" t="str" s="39" cm="1">
        <f t="array" ref="M334">IF(J334="FUERA","Fuera del marco",_xlfn.IFERROR(INDEX('Datos - Catálogo TIMSS'!$C$5:$C$107,MATCH(J334,'Datos - Catálogo TIMSS'!$A$5:$A$107,0)),"?"))</f>
        <v>Física</v>
      </c>
      <c r="N334" t="s" s="35">
        <v>8812</v>
      </c>
    </row>
    <row r="335" ht="13.65" customHeight="1">
      <c r="A335" t="s" s="35">
        <v>8813</v>
      </c>
      <c r="B335" t="s" s="35">
        <v>1510</v>
      </c>
      <c r="C335" t="s" s="35">
        <v>8230</v>
      </c>
      <c r="D335" s="36">
        <v>24</v>
      </c>
      <c r="E335" t="s" s="35">
        <v>8065</v>
      </c>
      <c r="F335" s="36">
        <v>7</v>
      </c>
      <c r="G335" s="39"/>
      <c r="H335" t="s" s="120">
        <v>8814</v>
      </c>
      <c r="I335" t="s" s="35">
        <v>1164</v>
      </c>
      <c r="J335" t="s" s="35">
        <v>1215</v>
      </c>
      <c r="K335" t="s" s="35">
        <v>601</v>
      </c>
      <c r="L335" t="s" s="35">
        <v>254</v>
      </c>
      <c r="M335" t="str" s="39" cm="1">
        <f t="array" ref="M335">IF(J335="FUERA","Fuera del marco",_xlfn.IFERROR(INDEX('Datos - Catálogo TIMSS'!$C$5:$C$107,MATCH(J335,'Datos - Catálogo TIMSS'!$A$5:$A$107,0)),"?"))</f>
        <v>Química</v>
      </c>
      <c r="N335" t="s" s="35">
        <v>8815</v>
      </c>
    </row>
    <row r="336" ht="13.65" customHeight="1">
      <c r="A336" t="s" s="35">
        <v>8816</v>
      </c>
      <c r="B336" t="s" s="35">
        <v>1510</v>
      </c>
      <c r="C336" t="s" s="35">
        <v>8230</v>
      </c>
      <c r="D336" s="36">
        <v>25</v>
      </c>
      <c r="E336" t="s" s="35">
        <v>8065</v>
      </c>
      <c r="F336" s="36">
        <v>7</v>
      </c>
      <c r="G336" s="39"/>
      <c r="H336" t="s" s="120">
        <v>8817</v>
      </c>
      <c r="I336" t="s" s="35">
        <v>1164</v>
      </c>
      <c r="J336" t="s" s="35">
        <v>459</v>
      </c>
      <c r="K336" t="s" s="35">
        <v>1171</v>
      </c>
      <c r="L336" t="s" s="35">
        <v>254</v>
      </c>
      <c r="M336" t="str" s="39" cm="1">
        <f t="array" ref="M336">IF(J336="FUERA","Fuera del marco",_xlfn.IFERROR(INDEX('Datos - Catálogo TIMSS'!$C$5:$C$107,MATCH(J336,'Datos - Catálogo TIMSS'!$A$5:$A$107,0)),"?"))</f>
        <v>Biología</v>
      </c>
      <c r="N336" t="s" s="35">
        <v>8818</v>
      </c>
    </row>
    <row r="337" ht="13.65" customHeight="1">
      <c r="A337" t="s" s="35">
        <v>8819</v>
      </c>
      <c r="B337" t="s" s="35">
        <v>1510</v>
      </c>
      <c r="C337" t="s" s="35">
        <v>8230</v>
      </c>
      <c r="D337" s="36">
        <v>25</v>
      </c>
      <c r="E337" t="s" s="35">
        <v>8065</v>
      </c>
      <c r="F337" s="36">
        <v>7</v>
      </c>
      <c r="G337" s="39"/>
      <c r="H337" t="s" s="120">
        <v>8820</v>
      </c>
      <c r="I337" t="s" s="35">
        <v>1164</v>
      </c>
      <c r="J337" t="s" s="35">
        <v>1195</v>
      </c>
      <c r="K337" s="39"/>
      <c r="L337" t="s" s="35">
        <v>254</v>
      </c>
      <c r="M337" t="str" s="39" cm="1">
        <f t="array" ref="M337">IF(J337="FUERA","Fuera del marco",_xlfn.IFERROR(INDEX('Datos - Catálogo TIMSS'!$C$5:$C$107,MATCH(J337,'Datos - Catálogo TIMSS'!$A$5:$A$107,0)),"?"))</f>
        <v>Biología</v>
      </c>
      <c r="N337" t="s" s="35">
        <v>8821</v>
      </c>
    </row>
    <row r="338" ht="13.65" customHeight="1">
      <c r="A338" t="s" s="35">
        <v>8822</v>
      </c>
      <c r="B338" t="s" s="35">
        <v>1510</v>
      </c>
      <c r="C338" t="s" s="35">
        <v>8230</v>
      </c>
      <c r="D338" s="36">
        <v>27</v>
      </c>
      <c r="E338" t="s" s="35">
        <v>8081</v>
      </c>
      <c r="F338" s="36">
        <v>8</v>
      </c>
      <c r="G338" s="39"/>
      <c r="H338" t="s" s="120">
        <v>8823</v>
      </c>
      <c r="I338" t="s" s="35">
        <v>1164</v>
      </c>
      <c r="J338" t="s" s="35">
        <v>575</v>
      </c>
      <c r="K338" t="s" s="35">
        <v>1247</v>
      </c>
      <c r="L338" t="s" s="35">
        <v>282</v>
      </c>
      <c r="M338" t="str" s="39" cm="1">
        <f t="array" ref="M338">IF(J338="FUERA","Fuera del marco",_xlfn.IFERROR(INDEX('Datos - Catálogo TIMSS'!$C$5:$C$107,MATCH(J338,'Datos - Catálogo TIMSS'!$A$5:$A$107,0)),"?"))</f>
        <v>Física</v>
      </c>
      <c r="N338" t="s" s="35">
        <v>8824</v>
      </c>
    </row>
    <row r="339" ht="13.65" customHeight="1">
      <c r="A339" t="s" s="35">
        <v>8825</v>
      </c>
      <c r="B339" t="s" s="35">
        <v>1510</v>
      </c>
      <c r="C339" t="s" s="35">
        <v>8230</v>
      </c>
      <c r="D339" s="36">
        <v>27</v>
      </c>
      <c r="E339" t="s" s="35">
        <v>8081</v>
      </c>
      <c r="F339" s="36">
        <v>8</v>
      </c>
      <c r="G339" s="39"/>
      <c r="H339" t="s" s="120">
        <v>8826</v>
      </c>
      <c r="I339" t="s" s="35">
        <v>1164</v>
      </c>
      <c r="J339" t="s" s="35">
        <v>1231</v>
      </c>
      <c r="K339" t="s" s="35">
        <v>601</v>
      </c>
      <c r="L339" t="s" s="35">
        <v>254</v>
      </c>
      <c r="M339" t="str" s="39" cm="1">
        <f t="array" ref="M339">IF(J339="FUERA","Fuera del marco",_xlfn.IFERROR(INDEX('Datos - Catálogo TIMSS'!$C$5:$C$107,MATCH(J339,'Datos - Catálogo TIMSS'!$A$5:$A$107,0)),"?"))</f>
        <v>Química</v>
      </c>
      <c r="N339" t="s" s="35">
        <v>8827</v>
      </c>
    </row>
    <row r="340" ht="13.65" customHeight="1">
      <c r="A340" t="s" s="35">
        <v>8828</v>
      </c>
      <c r="B340" t="s" s="35">
        <v>1510</v>
      </c>
      <c r="C340" t="s" s="35">
        <v>8230</v>
      </c>
      <c r="D340" s="36">
        <v>28</v>
      </c>
      <c r="E340" t="s" s="35">
        <v>8081</v>
      </c>
      <c r="F340" s="36">
        <v>8</v>
      </c>
      <c r="G340" s="39"/>
      <c r="H340" t="s" s="120">
        <v>8829</v>
      </c>
      <c r="I340" t="s" s="35">
        <v>1164</v>
      </c>
      <c r="J340" t="s" s="35">
        <v>554</v>
      </c>
      <c r="K340" s="39"/>
      <c r="L340" t="s" s="35">
        <v>254</v>
      </c>
      <c r="M340" t="str" s="39" cm="1">
        <f t="array" ref="M340">IF(J340="FUERA","Fuera del marco",_xlfn.IFERROR(INDEX('Datos - Catálogo TIMSS'!$C$5:$C$107,MATCH(J340,'Datos - Catálogo TIMSS'!$A$5:$A$107,0)),"?"))</f>
        <v>Física</v>
      </c>
      <c r="N340" t="s" s="35">
        <v>8830</v>
      </c>
    </row>
    <row r="341" ht="13.65" customHeight="1">
      <c r="A341" t="s" s="35">
        <v>8831</v>
      </c>
      <c r="B341" t="s" s="35">
        <v>1510</v>
      </c>
      <c r="C341" t="s" s="35">
        <v>8230</v>
      </c>
      <c r="D341" s="36">
        <v>28</v>
      </c>
      <c r="E341" t="s" s="35">
        <v>8081</v>
      </c>
      <c r="F341" s="36">
        <v>8</v>
      </c>
      <c r="G341" s="39"/>
      <c r="H341" t="s" s="120">
        <v>8832</v>
      </c>
      <c r="I341" t="s" s="35">
        <v>1164</v>
      </c>
      <c r="J341" t="s" s="35">
        <v>1171</v>
      </c>
      <c r="K341" t="s" s="35">
        <v>1168</v>
      </c>
      <c r="L341" t="s" s="35">
        <v>254</v>
      </c>
      <c r="M341" t="str" s="39" cm="1">
        <f t="array" ref="M341">IF(J341="FUERA","Fuera del marco",_xlfn.IFERROR(INDEX('Datos - Catálogo TIMSS'!$C$5:$C$107,MATCH(J341,'Datos - Catálogo TIMSS'!$A$5:$A$107,0)),"?"))</f>
        <v>Biología</v>
      </c>
      <c r="N341" t="s" s="35">
        <v>8833</v>
      </c>
    </row>
    <row r="342" ht="13.65" customHeight="1">
      <c r="A342" t="s" s="35">
        <v>8834</v>
      </c>
      <c r="B342" t="s" s="35">
        <v>1510</v>
      </c>
      <c r="C342" t="s" s="35">
        <v>8230</v>
      </c>
      <c r="D342" s="36">
        <v>29</v>
      </c>
      <c r="E342" t="s" s="35">
        <v>8081</v>
      </c>
      <c r="F342" s="36">
        <v>8</v>
      </c>
      <c r="G342" s="39"/>
      <c r="H342" t="s" s="120">
        <v>8835</v>
      </c>
      <c r="I342" t="s" s="35">
        <v>1164</v>
      </c>
      <c r="J342" t="s" s="35">
        <v>1178</v>
      </c>
      <c r="K342" s="39"/>
      <c r="L342" t="s" s="35">
        <v>282</v>
      </c>
      <c r="M342" t="str" s="39" cm="1">
        <f t="array" ref="M342">IF(J342="FUERA","Fuera del marco",_xlfn.IFERROR(INDEX('Datos - Catálogo TIMSS'!$C$5:$C$107,MATCH(J342,'Datos - Catálogo TIMSS'!$A$5:$A$107,0)),"?"))</f>
        <v>Biología</v>
      </c>
      <c r="N342" t="s" s="35">
        <v>8836</v>
      </c>
    </row>
    <row r="343" ht="13.65" customHeight="1">
      <c r="A343" t="s" s="35">
        <v>8837</v>
      </c>
      <c r="B343" t="s" s="35">
        <v>1510</v>
      </c>
      <c r="C343" t="s" s="35">
        <v>8244</v>
      </c>
      <c r="D343" s="36">
        <v>43</v>
      </c>
      <c r="E343" t="s" s="35">
        <v>8838</v>
      </c>
      <c r="F343" s="36">
        <v>8</v>
      </c>
      <c r="G343" t="s" s="35">
        <v>8246</v>
      </c>
      <c r="H343" t="s" s="120">
        <v>8616</v>
      </c>
      <c r="I343" t="s" s="35">
        <v>1164</v>
      </c>
      <c r="J343" t="s" s="35">
        <v>569</v>
      </c>
      <c r="K343" s="39"/>
      <c r="L343" t="s" s="35">
        <v>291</v>
      </c>
      <c r="M343" t="str" s="39" cm="1">
        <f t="array" ref="M343">IF(J343="FUERA","Fuera del marco",_xlfn.IFERROR(INDEX('Datos - Catálogo TIMSS'!$C$5:$C$107,MATCH(J343,'Datos - Catálogo TIMSS'!$A$5:$A$107,0)),"?"))</f>
        <v>Física</v>
      </c>
      <c r="N343" t="s" s="35">
        <v>8617</v>
      </c>
    </row>
    <row r="344" ht="13.65" customHeight="1">
      <c r="A344" t="s" s="35">
        <v>8839</v>
      </c>
      <c r="B344" t="s" s="35">
        <v>1510</v>
      </c>
      <c r="C344" t="s" s="35">
        <v>8244</v>
      </c>
      <c r="D344" s="36">
        <v>43</v>
      </c>
      <c r="E344" t="s" s="35">
        <v>8838</v>
      </c>
      <c r="F344" s="36">
        <v>8</v>
      </c>
      <c r="G344" t="s" s="35">
        <v>8246</v>
      </c>
      <c r="H344" t="s" s="120">
        <v>8840</v>
      </c>
      <c r="I344" t="s" s="35">
        <v>1164</v>
      </c>
      <c r="J344" t="s" s="35">
        <v>1234</v>
      </c>
      <c r="K344" t="s" s="35">
        <v>569</v>
      </c>
      <c r="L344" t="s" s="35">
        <v>282</v>
      </c>
      <c r="M344" t="str" s="39" cm="1">
        <f t="array" ref="M344">IF(J344="FUERA","Fuera del marco",_xlfn.IFERROR(INDEX('Datos - Catálogo TIMSS'!$C$5:$C$107,MATCH(J344,'Datos - Catálogo TIMSS'!$A$5:$A$107,0)),"?"))</f>
        <v>Química</v>
      </c>
      <c r="N344" t="s" s="35">
        <v>8620</v>
      </c>
    </row>
    <row r="345" ht="13.65" customHeight="1">
      <c r="A345" t="s" s="35">
        <v>8841</v>
      </c>
      <c r="B345" t="s" s="35">
        <v>1510</v>
      </c>
      <c r="C345" t="s" s="35">
        <v>8244</v>
      </c>
      <c r="D345" s="36">
        <v>43</v>
      </c>
      <c r="E345" t="s" s="35">
        <v>8838</v>
      </c>
      <c r="F345" s="36">
        <v>8</v>
      </c>
      <c r="G345" t="s" s="35">
        <v>8246</v>
      </c>
      <c r="H345" t="s" s="120">
        <v>8842</v>
      </c>
      <c r="I345" t="s" s="35">
        <v>1164</v>
      </c>
      <c r="J345" t="s" s="35">
        <v>569</v>
      </c>
      <c r="K345" s="39"/>
      <c r="L345" t="s" s="35">
        <v>291</v>
      </c>
      <c r="M345" t="str" s="39" cm="1">
        <f t="array" ref="M345">IF(J345="FUERA","Fuera del marco",_xlfn.IFERROR(INDEX('Datos - Catálogo TIMSS'!$C$5:$C$107,MATCH(J345,'Datos - Catálogo TIMSS'!$A$5:$A$107,0)),"?"))</f>
        <v>Física</v>
      </c>
      <c r="N345" t="s" s="35">
        <v>8623</v>
      </c>
    </row>
    <row r="346" ht="13.65" customHeight="1">
      <c r="A346" t="s" s="35">
        <v>8843</v>
      </c>
      <c r="B346" t="s" s="35">
        <v>1510</v>
      </c>
      <c r="C346" t="s" s="35">
        <v>8244</v>
      </c>
      <c r="D346" s="36">
        <v>43</v>
      </c>
      <c r="E346" t="s" s="35">
        <v>8838</v>
      </c>
      <c r="F346" s="36">
        <v>8</v>
      </c>
      <c r="G346" t="s" s="35">
        <v>8246</v>
      </c>
      <c r="H346" t="s" s="120">
        <v>8844</v>
      </c>
      <c r="I346" t="s" s="35">
        <v>1164</v>
      </c>
      <c r="J346" t="s" s="35">
        <v>1234</v>
      </c>
      <c r="K346" t="s" s="35">
        <v>1207</v>
      </c>
      <c r="L346" t="s" s="35">
        <v>282</v>
      </c>
      <c r="M346" t="str" s="39" cm="1">
        <f t="array" ref="M346">IF(J346="FUERA","Fuera del marco",_xlfn.IFERROR(INDEX('Datos - Catálogo TIMSS'!$C$5:$C$107,MATCH(J346,'Datos - Catálogo TIMSS'!$A$5:$A$107,0)),"?"))</f>
        <v>Química</v>
      </c>
      <c r="N346" t="s" s="35">
        <v>8626</v>
      </c>
    </row>
    <row r="347" ht="13.65" customHeight="1">
      <c r="A347" t="s" s="35">
        <v>8845</v>
      </c>
      <c r="B347" t="s" s="35">
        <v>1510</v>
      </c>
      <c r="C347" t="s" s="35">
        <v>8244</v>
      </c>
      <c r="D347" s="36">
        <v>43</v>
      </c>
      <c r="E347" t="s" s="35">
        <v>8838</v>
      </c>
      <c r="F347" s="36">
        <v>8</v>
      </c>
      <c r="G347" t="s" s="35">
        <v>8246</v>
      </c>
      <c r="H347" t="s" s="120">
        <v>8846</v>
      </c>
      <c r="I347" t="s" s="35">
        <v>1164</v>
      </c>
      <c r="J347" t="s" s="35">
        <v>569</v>
      </c>
      <c r="K347" s="39"/>
      <c r="L347" t="s" s="35">
        <v>291</v>
      </c>
      <c r="M347" t="str" s="39" cm="1">
        <f t="array" ref="M347">IF(J347="FUERA","Fuera del marco",_xlfn.IFERROR(INDEX('Datos - Catálogo TIMSS'!$C$5:$C$107,MATCH(J347,'Datos - Catálogo TIMSS'!$A$5:$A$107,0)),"?"))</f>
        <v>Física</v>
      </c>
      <c r="N347" t="s" s="35">
        <v>8847</v>
      </c>
    </row>
    <row r="348" ht="13.65" customHeight="1">
      <c r="A348" t="s" s="35">
        <v>8848</v>
      </c>
      <c r="B348" t="s" s="35">
        <v>1510</v>
      </c>
      <c r="C348" t="s" s="35">
        <v>8244</v>
      </c>
      <c r="D348" s="36">
        <v>43</v>
      </c>
      <c r="E348" t="s" s="35">
        <v>8838</v>
      </c>
      <c r="F348" s="36">
        <v>8</v>
      </c>
      <c r="G348" t="s" s="35">
        <v>8246</v>
      </c>
      <c r="H348" t="s" s="120">
        <v>8849</v>
      </c>
      <c r="I348" t="s" s="35">
        <v>1164</v>
      </c>
      <c r="J348" t="s" s="35">
        <v>569</v>
      </c>
      <c r="K348" s="39"/>
      <c r="L348" t="s" s="35">
        <v>254</v>
      </c>
      <c r="M348" t="str" s="39" cm="1">
        <f t="array" ref="M348">IF(J348="FUERA","Fuera del marco",_xlfn.IFERROR(INDEX('Datos - Catálogo TIMSS'!$C$5:$C$107,MATCH(J348,'Datos - Catálogo TIMSS'!$A$5:$A$107,0)),"?"))</f>
        <v>Física</v>
      </c>
      <c r="N348" t="s" s="35">
        <v>8632</v>
      </c>
    </row>
    <row r="349" ht="13.65" customHeight="1">
      <c r="A349" t="s" s="35">
        <v>8850</v>
      </c>
      <c r="B349" t="s" s="35">
        <v>1510</v>
      </c>
      <c r="C349" t="s" s="35">
        <v>8244</v>
      </c>
      <c r="D349" s="36">
        <v>43</v>
      </c>
      <c r="E349" t="s" s="35">
        <v>8838</v>
      </c>
      <c r="F349" s="36">
        <v>8</v>
      </c>
      <c r="G349" t="s" s="35">
        <v>8246</v>
      </c>
      <c r="H349" t="s" s="120">
        <v>8634</v>
      </c>
      <c r="I349" t="s" s="35">
        <v>1164</v>
      </c>
      <c r="J349" t="s" s="35">
        <v>569</v>
      </c>
      <c r="K349" s="39"/>
      <c r="L349" t="s" s="35">
        <v>282</v>
      </c>
      <c r="M349" t="str" s="39" cm="1">
        <f t="array" ref="M349">IF(J349="FUERA","Fuera del marco",_xlfn.IFERROR(INDEX('Datos - Catálogo TIMSS'!$C$5:$C$107,MATCH(J349,'Datos - Catálogo TIMSS'!$A$5:$A$107,0)),"?"))</f>
        <v>Física</v>
      </c>
      <c r="N349" t="s" s="35">
        <v>8635</v>
      </c>
    </row>
    <row r="350" ht="13.65" customHeight="1">
      <c r="A350" t="s" s="35">
        <v>8851</v>
      </c>
      <c r="B350" t="s" s="35">
        <v>1510</v>
      </c>
      <c r="C350" t="s" s="35">
        <v>8244</v>
      </c>
      <c r="D350" s="36">
        <v>43</v>
      </c>
      <c r="E350" t="s" s="35">
        <v>8838</v>
      </c>
      <c r="F350" s="36">
        <v>8</v>
      </c>
      <c r="G350" t="s" s="35">
        <v>8246</v>
      </c>
      <c r="H350" t="s" s="120">
        <v>8637</v>
      </c>
      <c r="I350" t="s" s="35">
        <v>1164</v>
      </c>
      <c r="J350" t="s" s="35">
        <v>569</v>
      </c>
      <c r="K350" s="39"/>
      <c r="L350" t="s" s="35">
        <v>291</v>
      </c>
      <c r="M350" t="str" s="39" cm="1">
        <f t="array" ref="M350">IF(J350="FUERA","Fuera del marco",_xlfn.IFERROR(INDEX('Datos - Catálogo TIMSS'!$C$5:$C$107,MATCH(J350,'Datos - Catálogo TIMSS'!$A$5:$A$107,0)),"?"))</f>
        <v>Física</v>
      </c>
      <c r="N350" t="s" s="35">
        <v>8638</v>
      </c>
    </row>
    <row r="351" ht="13.65" customHeight="1">
      <c r="A351" t="s" s="35">
        <v>8852</v>
      </c>
      <c r="B351" t="s" s="35">
        <v>1510</v>
      </c>
      <c r="C351" t="s" s="35">
        <v>8244</v>
      </c>
      <c r="D351" s="36">
        <v>43</v>
      </c>
      <c r="E351" t="s" s="35">
        <v>8838</v>
      </c>
      <c r="F351" s="36">
        <v>8</v>
      </c>
      <c r="G351" t="s" s="35">
        <v>8246</v>
      </c>
      <c r="H351" t="s" s="120">
        <v>8640</v>
      </c>
      <c r="I351" t="s" s="35">
        <v>1164</v>
      </c>
      <c r="J351" t="s" s="35">
        <v>569</v>
      </c>
      <c r="K351" s="39"/>
      <c r="L351" t="s" s="35">
        <v>291</v>
      </c>
      <c r="M351" t="str" s="39" cm="1">
        <f t="array" ref="M351">IF(J351="FUERA","Fuera del marco",_xlfn.IFERROR(INDEX('Datos - Catálogo TIMSS'!$C$5:$C$107,MATCH(J351,'Datos - Catálogo TIMSS'!$A$5:$A$107,0)),"?"))</f>
        <v>Física</v>
      </c>
      <c r="N351" t="s" s="35">
        <v>8641</v>
      </c>
    </row>
    <row r="352" ht="13.65" customHeight="1">
      <c r="A352" t="s" s="35">
        <v>8853</v>
      </c>
      <c r="B352" t="s" s="35">
        <v>1510</v>
      </c>
      <c r="C352" t="s" s="35">
        <v>8244</v>
      </c>
      <c r="D352" s="36">
        <v>43</v>
      </c>
      <c r="E352" t="s" s="35">
        <v>8838</v>
      </c>
      <c r="F352" s="36">
        <v>8</v>
      </c>
      <c r="G352" t="s" s="35">
        <v>8246</v>
      </c>
      <c r="H352" t="s" s="120">
        <v>8854</v>
      </c>
      <c r="I352" t="s" s="35">
        <v>1164</v>
      </c>
      <c r="J352" t="s" s="35">
        <v>569</v>
      </c>
      <c r="K352" s="39"/>
      <c r="L352" t="s" s="35">
        <v>282</v>
      </c>
      <c r="M352" t="str" s="39" cm="1">
        <f t="array" ref="M352">IF(J352="FUERA","Fuera del marco",_xlfn.IFERROR(INDEX('Datos - Catálogo TIMSS'!$C$5:$C$107,MATCH(J352,'Datos - Catálogo TIMSS'!$A$5:$A$107,0)),"?"))</f>
        <v>Física</v>
      </c>
      <c r="N352" t="s" s="35">
        <v>8644</v>
      </c>
    </row>
    <row r="353" ht="13.65" customHeight="1">
      <c r="A353" t="s" s="35">
        <v>8855</v>
      </c>
      <c r="B353" t="s" s="35">
        <v>1510</v>
      </c>
      <c r="C353" t="s" s="35">
        <v>8244</v>
      </c>
      <c r="D353" s="36">
        <v>43</v>
      </c>
      <c r="E353" t="s" s="35">
        <v>8838</v>
      </c>
      <c r="F353" s="36">
        <v>8</v>
      </c>
      <c r="G353" t="s" s="35">
        <v>8246</v>
      </c>
      <c r="H353" t="s" s="120">
        <v>8646</v>
      </c>
      <c r="I353" t="s" s="35">
        <v>1164</v>
      </c>
      <c r="J353" t="s" s="35">
        <v>1832</v>
      </c>
      <c r="K353" s="39"/>
      <c r="L353" t="s" s="35">
        <v>282</v>
      </c>
      <c r="M353" t="str" s="39" cm="1">
        <f t="array" ref="M353">IF(J353="FUERA","Fuera del marco",_xlfn.IFERROR(INDEX('Datos - Catálogo TIMSS'!$C$5:$C$107,MATCH(J353,'Datos - Catálogo TIMSS'!$A$5:$A$107,0)),"?"))</f>
        <v>Fuera del marco</v>
      </c>
      <c r="N353" t="s" s="35">
        <v>8647</v>
      </c>
    </row>
    <row r="354" ht="13.65" customHeight="1">
      <c r="A354" t="s" s="35">
        <v>8856</v>
      </c>
      <c r="B354" t="s" s="35">
        <v>1510</v>
      </c>
      <c r="C354" t="s" s="35">
        <v>8244</v>
      </c>
      <c r="D354" s="36">
        <v>43</v>
      </c>
      <c r="E354" t="s" s="35">
        <v>8838</v>
      </c>
      <c r="F354" s="36">
        <v>8</v>
      </c>
      <c r="G354" t="s" s="35">
        <v>8246</v>
      </c>
      <c r="H354" t="s" s="120">
        <v>8857</v>
      </c>
      <c r="I354" t="s" s="35">
        <v>1164</v>
      </c>
      <c r="J354" t="s" s="35">
        <v>1832</v>
      </c>
      <c r="K354" s="39"/>
      <c r="L354" t="s" s="35">
        <v>282</v>
      </c>
      <c r="M354" t="str" s="39" cm="1">
        <f t="array" ref="M354">IF(J354="FUERA","Fuera del marco",_xlfn.IFERROR(INDEX('Datos - Catálogo TIMSS'!$C$5:$C$107,MATCH(J354,'Datos - Catálogo TIMSS'!$A$5:$A$107,0)),"?"))</f>
        <v>Fuera del marco</v>
      </c>
      <c r="N354" t="s" s="35">
        <v>8650</v>
      </c>
    </row>
    <row r="355" ht="13.65" customHeight="1">
      <c r="A355" t="s" s="35">
        <v>8858</v>
      </c>
      <c r="B355" t="s" s="35">
        <v>1510</v>
      </c>
      <c r="C355" t="s" s="35">
        <v>8244</v>
      </c>
      <c r="D355" s="36">
        <v>43</v>
      </c>
      <c r="E355" t="s" s="35">
        <v>8838</v>
      </c>
      <c r="F355" s="36">
        <v>8</v>
      </c>
      <c r="G355" t="s" s="35">
        <v>8246</v>
      </c>
      <c r="H355" t="s" s="120">
        <v>8859</v>
      </c>
      <c r="I355" t="s" s="35">
        <v>1164</v>
      </c>
      <c r="J355" t="s" s="35">
        <v>569</v>
      </c>
      <c r="K355" s="39"/>
      <c r="L355" t="s" s="35">
        <v>282</v>
      </c>
      <c r="M355" t="str" s="39" cm="1">
        <f t="array" ref="M355">IF(J355="FUERA","Fuera del marco",_xlfn.IFERROR(INDEX('Datos - Catálogo TIMSS'!$C$5:$C$107,MATCH(J355,'Datos - Catálogo TIMSS'!$A$5:$A$107,0)),"?"))</f>
        <v>Física</v>
      </c>
      <c r="N355" t="s" s="35">
        <v>8653</v>
      </c>
    </row>
    <row r="356" ht="13.65" customHeight="1">
      <c r="A356" t="s" s="35">
        <v>8860</v>
      </c>
      <c r="B356" t="s" s="35">
        <v>1510</v>
      </c>
      <c r="C356" t="s" s="35">
        <v>8244</v>
      </c>
      <c r="D356" s="36">
        <v>43</v>
      </c>
      <c r="E356" t="s" s="35">
        <v>8838</v>
      </c>
      <c r="F356" s="36">
        <v>8</v>
      </c>
      <c r="G356" t="s" s="35">
        <v>8246</v>
      </c>
      <c r="H356" t="s" s="120">
        <v>8861</v>
      </c>
      <c r="I356" t="s" s="35">
        <v>1164</v>
      </c>
      <c r="J356" t="s" s="35">
        <v>569</v>
      </c>
      <c r="K356" s="39"/>
      <c r="L356" t="s" s="35">
        <v>291</v>
      </c>
      <c r="M356" t="str" s="39" cm="1">
        <f t="array" ref="M356">IF(J356="FUERA","Fuera del marco",_xlfn.IFERROR(INDEX('Datos - Catálogo TIMSS'!$C$5:$C$107,MATCH(J356,'Datos - Catálogo TIMSS'!$A$5:$A$107,0)),"?"))</f>
        <v>Física</v>
      </c>
      <c r="N356" t="s" s="35">
        <v>8656</v>
      </c>
    </row>
    <row r="357" ht="13.65" customHeight="1">
      <c r="A357" t="s" s="35">
        <v>8862</v>
      </c>
      <c r="B357" t="s" s="35">
        <v>1510</v>
      </c>
      <c r="C357" t="s" s="35">
        <v>8244</v>
      </c>
      <c r="D357" s="36">
        <v>43</v>
      </c>
      <c r="E357" t="s" s="35">
        <v>8838</v>
      </c>
      <c r="F357" s="36">
        <v>8</v>
      </c>
      <c r="G357" t="s" s="35">
        <v>8246</v>
      </c>
      <c r="H357" t="s" s="120">
        <v>8863</v>
      </c>
      <c r="I357" t="s" s="35">
        <v>1164</v>
      </c>
      <c r="J357" t="s" s="35">
        <v>569</v>
      </c>
      <c r="K357" s="39"/>
      <c r="L357" t="s" s="35">
        <v>254</v>
      </c>
      <c r="M357" t="str" s="39" cm="1">
        <f t="array" ref="M357">IF(J357="FUERA","Fuera del marco",_xlfn.IFERROR(INDEX('Datos - Catálogo TIMSS'!$C$5:$C$107,MATCH(J357,'Datos - Catálogo TIMSS'!$A$5:$A$107,0)),"?"))</f>
        <v>Física</v>
      </c>
      <c r="N357" t="s" s="35">
        <v>8864</v>
      </c>
    </row>
    <row r="358" ht="13.65" customHeight="1">
      <c r="A358" t="s" s="35">
        <v>8865</v>
      </c>
      <c r="B358" t="s" s="35">
        <v>1510</v>
      </c>
      <c r="C358" t="s" s="35">
        <v>8244</v>
      </c>
      <c r="D358" s="36">
        <v>43</v>
      </c>
      <c r="E358" t="s" s="35">
        <v>8838</v>
      </c>
      <c r="F358" s="36">
        <v>8</v>
      </c>
      <c r="G358" t="s" s="35">
        <v>8246</v>
      </c>
      <c r="H358" t="s" s="120">
        <v>8661</v>
      </c>
      <c r="I358" t="s" s="35">
        <v>1164</v>
      </c>
      <c r="J358" t="s" s="35">
        <v>569</v>
      </c>
      <c r="K358" s="39"/>
      <c r="L358" t="s" s="35">
        <v>282</v>
      </c>
      <c r="M358" t="str" s="39" cm="1">
        <f t="array" ref="M358">IF(J358="FUERA","Fuera del marco",_xlfn.IFERROR(INDEX('Datos - Catálogo TIMSS'!$C$5:$C$107,MATCH(J358,'Datos - Catálogo TIMSS'!$A$5:$A$107,0)),"?"))</f>
        <v>Física</v>
      </c>
      <c r="N358" t="s" s="35">
        <v>8468</v>
      </c>
    </row>
    <row r="359" ht="13.65" customHeight="1">
      <c r="A359" t="s" s="35">
        <v>8866</v>
      </c>
      <c r="B359" t="s" s="35">
        <v>1510</v>
      </c>
      <c r="C359" t="s" s="35">
        <v>8244</v>
      </c>
      <c r="D359" s="36">
        <v>43</v>
      </c>
      <c r="E359" t="s" s="35">
        <v>8838</v>
      </c>
      <c r="F359" s="36">
        <v>8</v>
      </c>
      <c r="G359" t="s" s="35">
        <v>8246</v>
      </c>
      <c r="H359" t="s" s="120">
        <v>8277</v>
      </c>
      <c r="I359" t="s" s="35">
        <v>1164</v>
      </c>
      <c r="J359" t="s" s="35">
        <v>1832</v>
      </c>
      <c r="K359" s="39"/>
      <c r="L359" t="s" s="35">
        <v>254</v>
      </c>
      <c r="M359" t="str" s="39" cm="1">
        <f t="array" ref="M359">IF(J359="FUERA","Fuera del marco",_xlfn.IFERROR(INDEX('Datos - Catálogo TIMSS'!$C$5:$C$107,MATCH(J359,'Datos - Catálogo TIMSS'!$A$5:$A$107,0)),"?"))</f>
        <v>Fuera del marco</v>
      </c>
      <c r="N359" t="s" s="35">
        <v>8278</v>
      </c>
    </row>
    <row r="360" ht="13.65" customHeight="1">
      <c r="A360" t="s" s="35">
        <v>8867</v>
      </c>
      <c r="B360" t="s" s="35">
        <v>1510</v>
      </c>
      <c r="C360" t="s" s="35">
        <v>8244</v>
      </c>
      <c r="D360" s="36">
        <v>43</v>
      </c>
      <c r="E360" t="s" s="35">
        <v>8838</v>
      </c>
      <c r="F360" s="36">
        <v>8</v>
      </c>
      <c r="G360" t="s" s="35">
        <v>8246</v>
      </c>
      <c r="H360" t="s" s="120">
        <v>8868</v>
      </c>
      <c r="I360" t="s" s="35">
        <v>1164</v>
      </c>
      <c r="J360" t="s" s="35">
        <v>569</v>
      </c>
      <c r="K360" s="39"/>
      <c r="L360" t="s" s="35">
        <v>291</v>
      </c>
      <c r="M360" t="str" s="39" cm="1">
        <f t="array" ref="M360">IF(J360="FUERA","Fuera del marco",_xlfn.IFERROR(INDEX('Datos - Catálogo TIMSS'!$C$5:$C$107,MATCH(J360,'Datos - Catálogo TIMSS'!$A$5:$A$107,0)),"?"))</f>
        <v>Física</v>
      </c>
      <c r="N360" t="s" s="35">
        <v>8665</v>
      </c>
    </row>
    <row r="361" ht="13.65" customHeight="1">
      <c r="A361" t="s" s="35">
        <v>8869</v>
      </c>
      <c r="B361" t="s" s="35">
        <v>1510</v>
      </c>
      <c r="C361" t="s" s="35">
        <v>8244</v>
      </c>
      <c r="D361" s="36">
        <v>43</v>
      </c>
      <c r="E361" t="s" s="35">
        <v>8838</v>
      </c>
      <c r="F361" s="36">
        <v>8</v>
      </c>
      <c r="G361" t="s" s="35">
        <v>8246</v>
      </c>
      <c r="H361" t="s" s="120">
        <v>8670</v>
      </c>
      <c r="I361" t="s" s="35">
        <v>1164</v>
      </c>
      <c r="J361" t="s" s="35">
        <v>1832</v>
      </c>
      <c r="K361" s="39"/>
      <c r="L361" t="s" s="35">
        <v>282</v>
      </c>
      <c r="M361" t="str" s="39" cm="1">
        <f t="array" ref="M361">IF(J361="FUERA","Fuera del marco",_xlfn.IFERROR(INDEX('Datos - Catálogo TIMSS'!$C$5:$C$107,MATCH(J361,'Datos - Catálogo TIMSS'!$A$5:$A$107,0)),"?"))</f>
        <v>Fuera del marco</v>
      </c>
      <c r="N361" t="s" s="35">
        <v>8671</v>
      </c>
    </row>
    <row r="362" ht="13.65" customHeight="1">
      <c r="A362" t="s" s="35">
        <v>8870</v>
      </c>
      <c r="B362" t="s" s="35">
        <v>1510</v>
      </c>
      <c r="C362" t="s" s="35">
        <v>8244</v>
      </c>
      <c r="D362" s="36">
        <v>43</v>
      </c>
      <c r="E362" t="s" s="35">
        <v>8838</v>
      </c>
      <c r="F362" s="36">
        <v>8</v>
      </c>
      <c r="G362" t="s" s="35">
        <v>8246</v>
      </c>
      <c r="H362" t="s" s="120">
        <v>8871</v>
      </c>
      <c r="I362" t="s" s="35">
        <v>1164</v>
      </c>
      <c r="J362" t="s" s="35">
        <v>1832</v>
      </c>
      <c r="K362" s="39"/>
      <c r="L362" t="s" s="35">
        <v>282</v>
      </c>
      <c r="M362" t="str" s="39" cm="1">
        <f t="array" ref="M362">IF(J362="FUERA","Fuera del marco",_xlfn.IFERROR(INDEX('Datos - Catálogo TIMSS'!$C$5:$C$107,MATCH(J362,'Datos - Catálogo TIMSS'!$A$5:$A$107,0)),"?"))</f>
        <v>Fuera del marco</v>
      </c>
      <c r="N362" t="s" s="35">
        <v>8674</v>
      </c>
    </row>
    <row r="363" ht="13.65" customHeight="1">
      <c r="A363" t="s" s="35">
        <v>8872</v>
      </c>
      <c r="B363" t="s" s="35">
        <v>1510</v>
      </c>
      <c r="C363" t="s" s="35">
        <v>8244</v>
      </c>
      <c r="D363" s="36">
        <v>43</v>
      </c>
      <c r="E363" t="s" s="35">
        <v>8838</v>
      </c>
      <c r="F363" s="36">
        <v>8</v>
      </c>
      <c r="G363" t="s" s="35">
        <v>8246</v>
      </c>
      <c r="H363" t="s" s="120">
        <v>8676</v>
      </c>
      <c r="I363" t="s" s="35">
        <v>1164</v>
      </c>
      <c r="J363" t="s" s="35">
        <v>569</v>
      </c>
      <c r="K363" s="39"/>
      <c r="L363" t="s" s="35">
        <v>291</v>
      </c>
      <c r="M363" t="str" s="39" cm="1">
        <f t="array" ref="M363">IF(J363="FUERA","Fuera del marco",_xlfn.IFERROR(INDEX('Datos - Catálogo TIMSS'!$C$5:$C$107,MATCH(J363,'Datos - Catálogo TIMSS'!$A$5:$A$107,0)),"?"))</f>
        <v>Física</v>
      </c>
      <c r="N363" t="s" s="35">
        <v>8677</v>
      </c>
    </row>
    <row r="364" ht="13.65" customHeight="1">
      <c r="A364" t="s" s="35">
        <v>8873</v>
      </c>
      <c r="B364" t="s" s="35">
        <v>1510</v>
      </c>
      <c r="C364" t="s" s="35">
        <v>8244</v>
      </c>
      <c r="D364" s="36">
        <v>44</v>
      </c>
      <c r="E364" t="s" s="35">
        <v>8838</v>
      </c>
      <c r="F364" s="36">
        <v>8</v>
      </c>
      <c r="G364" t="s" s="35">
        <v>8286</v>
      </c>
      <c r="H364" t="s" s="120">
        <v>8874</v>
      </c>
      <c r="I364" t="s" s="35">
        <v>1164</v>
      </c>
      <c r="J364" t="s" s="35">
        <v>1178</v>
      </c>
      <c r="K364" s="39"/>
      <c r="L364" t="s" s="35">
        <v>291</v>
      </c>
      <c r="M364" t="str" s="39" cm="1">
        <f t="array" ref="M364">IF(J364="FUERA","Fuera del marco",_xlfn.IFERROR(INDEX('Datos - Catálogo TIMSS'!$C$5:$C$107,MATCH(J364,'Datos - Catálogo TIMSS'!$A$5:$A$107,0)),"?"))</f>
        <v>Biología</v>
      </c>
      <c r="N364" t="s" s="35">
        <v>8875</v>
      </c>
    </row>
    <row r="365" ht="13.65" customHeight="1">
      <c r="A365" t="s" s="35">
        <v>8876</v>
      </c>
      <c r="B365" t="s" s="35">
        <v>1510</v>
      </c>
      <c r="C365" t="s" s="35">
        <v>8244</v>
      </c>
      <c r="D365" s="36">
        <v>44</v>
      </c>
      <c r="E365" t="s" s="35">
        <v>8838</v>
      </c>
      <c r="F365" s="36">
        <v>8</v>
      </c>
      <c r="G365" t="s" s="35">
        <v>8286</v>
      </c>
      <c r="H365" t="s" s="120">
        <v>8877</v>
      </c>
      <c r="I365" t="s" s="35">
        <v>1164</v>
      </c>
      <c r="J365" t="s" s="35">
        <v>1178</v>
      </c>
      <c r="K365" s="39"/>
      <c r="L365" t="s" s="35">
        <v>291</v>
      </c>
      <c r="M365" t="str" s="39" cm="1">
        <f t="array" ref="M365">IF(J365="FUERA","Fuera del marco",_xlfn.IFERROR(INDEX('Datos - Catálogo TIMSS'!$C$5:$C$107,MATCH(J365,'Datos - Catálogo TIMSS'!$A$5:$A$107,0)),"?"))</f>
        <v>Biología</v>
      </c>
      <c r="N365" t="s" s="35">
        <v>8878</v>
      </c>
    </row>
    <row r="366" ht="13.65" customHeight="1">
      <c r="A366" t="s" s="35">
        <v>8879</v>
      </c>
      <c r="B366" t="s" s="35">
        <v>1510</v>
      </c>
      <c r="C366" t="s" s="35">
        <v>8244</v>
      </c>
      <c r="D366" s="36">
        <v>44</v>
      </c>
      <c r="E366" t="s" s="35">
        <v>8838</v>
      </c>
      <c r="F366" s="36">
        <v>8</v>
      </c>
      <c r="G366" t="s" s="35">
        <v>8286</v>
      </c>
      <c r="H366" t="s" s="120">
        <v>8880</v>
      </c>
      <c r="I366" t="s" s="35">
        <v>1164</v>
      </c>
      <c r="J366" t="s" s="35">
        <v>1201</v>
      </c>
      <c r="K366" t="s" s="35">
        <v>1290</v>
      </c>
      <c r="L366" t="s" s="35">
        <v>291</v>
      </c>
      <c r="M366" t="str" s="39" cm="1">
        <f t="array" ref="M366">IF(J366="FUERA","Fuera del marco",_xlfn.IFERROR(INDEX('Datos - Catálogo TIMSS'!$C$5:$C$107,MATCH(J366,'Datos - Catálogo TIMSS'!$A$5:$A$107,0)),"?"))</f>
        <v>Biología</v>
      </c>
      <c r="N366" t="s" s="35">
        <v>8881</v>
      </c>
    </row>
    <row r="367" ht="13.65" customHeight="1">
      <c r="A367" t="s" s="35">
        <v>8882</v>
      </c>
      <c r="B367" t="s" s="35">
        <v>1510</v>
      </c>
      <c r="C367" t="s" s="35">
        <v>8244</v>
      </c>
      <c r="D367" s="36">
        <v>44</v>
      </c>
      <c r="E367" t="s" s="35">
        <v>8838</v>
      </c>
      <c r="F367" s="36">
        <v>8</v>
      </c>
      <c r="G367" t="s" s="35">
        <v>8286</v>
      </c>
      <c r="H367" t="s" s="120">
        <v>8883</v>
      </c>
      <c r="I367" t="s" s="35">
        <v>1164</v>
      </c>
      <c r="J367" t="s" s="35">
        <v>1832</v>
      </c>
      <c r="K367" s="39"/>
      <c r="L367" t="s" s="35">
        <v>291</v>
      </c>
      <c r="M367" t="str" s="39" cm="1">
        <f t="array" ref="M367">IF(J367="FUERA","Fuera del marco",_xlfn.IFERROR(INDEX('Datos - Catálogo TIMSS'!$C$5:$C$107,MATCH(J367,'Datos - Catálogo TIMSS'!$A$5:$A$107,0)),"?"))</f>
        <v>Fuera del marco</v>
      </c>
      <c r="N367" t="s" s="35">
        <v>8884</v>
      </c>
    </row>
    <row r="368" ht="13.65" customHeight="1">
      <c r="A368" t="s" s="35">
        <v>8885</v>
      </c>
      <c r="B368" t="s" s="35">
        <v>1510</v>
      </c>
      <c r="C368" t="s" s="35">
        <v>8244</v>
      </c>
      <c r="D368" s="36">
        <v>44</v>
      </c>
      <c r="E368" t="s" s="35">
        <v>8838</v>
      </c>
      <c r="F368" s="36">
        <v>8</v>
      </c>
      <c r="G368" t="s" s="35">
        <v>8286</v>
      </c>
      <c r="H368" t="s" s="120">
        <v>8886</v>
      </c>
      <c r="I368" t="s" s="35">
        <v>1164</v>
      </c>
      <c r="J368" t="s" s="35">
        <v>1218</v>
      </c>
      <c r="K368" s="39"/>
      <c r="L368" t="s" s="35">
        <v>291</v>
      </c>
      <c r="M368" t="str" s="39" cm="1">
        <f t="array" ref="M368">IF(J368="FUERA","Fuera del marco",_xlfn.IFERROR(INDEX('Datos - Catálogo TIMSS'!$C$5:$C$107,MATCH(J368,'Datos - Catálogo TIMSS'!$A$5:$A$107,0)),"?"))</f>
        <v>Química</v>
      </c>
      <c r="N368" t="s" s="35">
        <v>8887</v>
      </c>
    </row>
    <row r="369" ht="13.65" customHeight="1">
      <c r="A369" t="s" s="35">
        <v>8888</v>
      </c>
      <c r="B369" t="s" s="35">
        <v>1510</v>
      </c>
      <c r="C369" t="s" s="35">
        <v>8244</v>
      </c>
      <c r="D369" s="36">
        <v>44</v>
      </c>
      <c r="E369" t="s" s="35">
        <v>8838</v>
      </c>
      <c r="F369" s="36">
        <v>8</v>
      </c>
      <c r="G369" t="s" s="35">
        <v>8286</v>
      </c>
      <c r="H369" t="s" s="120">
        <v>8889</v>
      </c>
      <c r="I369" t="s" s="35">
        <v>1164</v>
      </c>
      <c r="J369" t="s" s="35">
        <v>1224</v>
      </c>
      <c r="K369" s="39"/>
      <c r="L369" t="s" s="35">
        <v>254</v>
      </c>
      <c r="M369" t="str" s="39" cm="1">
        <f t="array" ref="M369">IF(J369="FUERA","Fuera del marco",_xlfn.IFERROR(INDEX('Datos - Catálogo TIMSS'!$C$5:$C$107,MATCH(J369,'Datos - Catálogo TIMSS'!$A$5:$A$107,0)),"?"))</f>
        <v>Química</v>
      </c>
      <c r="N369" t="s" s="35">
        <v>8890</v>
      </c>
    </row>
    <row r="370" ht="13.65" customHeight="1">
      <c r="A370" t="s" s="35">
        <v>8891</v>
      </c>
      <c r="B370" t="s" s="35">
        <v>1510</v>
      </c>
      <c r="C370" t="s" s="35">
        <v>8244</v>
      </c>
      <c r="D370" s="36">
        <v>44</v>
      </c>
      <c r="E370" t="s" s="35">
        <v>8838</v>
      </c>
      <c r="F370" s="36">
        <v>8</v>
      </c>
      <c r="G370" t="s" s="35">
        <v>8286</v>
      </c>
      <c r="H370" t="s" s="120">
        <v>8892</v>
      </c>
      <c r="I370" t="s" s="35">
        <v>1164</v>
      </c>
      <c r="J370" t="s" s="35">
        <v>575</v>
      </c>
      <c r="K370" t="s" s="35">
        <v>1247</v>
      </c>
      <c r="L370" t="s" s="35">
        <v>282</v>
      </c>
      <c r="M370" t="str" s="39" cm="1">
        <f t="array" ref="M370">IF(J370="FUERA","Fuera del marco",_xlfn.IFERROR(INDEX('Datos - Catálogo TIMSS'!$C$5:$C$107,MATCH(J370,'Datos - Catálogo TIMSS'!$A$5:$A$107,0)),"?"))</f>
        <v>Física</v>
      </c>
      <c r="N370" t="s" s="35">
        <v>8893</v>
      </c>
    </row>
    <row r="371" ht="13.65" customHeight="1">
      <c r="A371" t="s" s="35">
        <v>8894</v>
      </c>
      <c r="B371" t="s" s="35">
        <v>1510</v>
      </c>
      <c r="C371" t="s" s="35">
        <v>8244</v>
      </c>
      <c r="D371" s="36">
        <v>44</v>
      </c>
      <c r="E371" t="s" s="35">
        <v>8838</v>
      </c>
      <c r="F371" s="36">
        <v>8</v>
      </c>
      <c r="G371" t="s" s="35">
        <v>8286</v>
      </c>
      <c r="H371" t="s" s="120">
        <v>8895</v>
      </c>
      <c r="I371" t="s" s="35">
        <v>1164</v>
      </c>
      <c r="J371" t="s" s="35">
        <v>540</v>
      </c>
      <c r="K371" s="39"/>
      <c r="L371" t="s" s="35">
        <v>282</v>
      </c>
      <c r="M371" t="str" s="39" cm="1">
        <f t="array" ref="M371">IF(J371="FUERA","Fuera del marco",_xlfn.IFERROR(INDEX('Datos - Catálogo TIMSS'!$C$5:$C$107,MATCH(J371,'Datos - Catálogo TIMSS'!$A$5:$A$107,0)),"?"))</f>
        <v>Física</v>
      </c>
      <c r="N371" t="s" s="35">
        <v>8896</v>
      </c>
    </row>
    <row r="372" ht="13.65" customHeight="1">
      <c r="A372" t="s" s="35">
        <v>8897</v>
      </c>
      <c r="B372" t="s" s="35">
        <v>1510</v>
      </c>
      <c r="C372" t="s" s="35">
        <v>8244</v>
      </c>
      <c r="D372" s="36">
        <v>44</v>
      </c>
      <c r="E372" t="s" s="35">
        <v>8838</v>
      </c>
      <c r="F372" s="36">
        <v>8</v>
      </c>
      <c r="G372" t="s" s="35">
        <v>8286</v>
      </c>
      <c r="H372" t="s" s="120">
        <v>8898</v>
      </c>
      <c r="I372" t="s" s="35">
        <v>1164</v>
      </c>
      <c r="J372" t="s" s="35">
        <v>1250</v>
      </c>
      <c r="K372" s="39"/>
      <c r="L372" t="s" s="35">
        <v>282</v>
      </c>
      <c r="M372" t="str" s="39" cm="1">
        <f t="array" ref="M372">IF(J372="FUERA","Fuera del marco",_xlfn.IFERROR(INDEX('Datos - Catálogo TIMSS'!$C$5:$C$107,MATCH(J372,'Datos - Catálogo TIMSS'!$A$5:$A$107,0)),"?"))</f>
        <v>Física</v>
      </c>
      <c r="N372" t="s" s="35">
        <v>8899</v>
      </c>
    </row>
    <row r="373" ht="13.65" customHeight="1">
      <c r="A373" t="s" s="35">
        <v>8900</v>
      </c>
      <c r="B373" t="s" s="35">
        <v>1510</v>
      </c>
      <c r="C373" t="s" s="35">
        <v>8244</v>
      </c>
      <c r="D373" s="36">
        <v>44</v>
      </c>
      <c r="E373" t="s" s="35">
        <v>8838</v>
      </c>
      <c r="F373" s="36">
        <v>8</v>
      </c>
      <c r="G373" t="s" s="35">
        <v>8286</v>
      </c>
      <c r="H373" t="s" s="120">
        <v>8901</v>
      </c>
      <c r="I373" t="s" s="35">
        <v>1164</v>
      </c>
      <c r="J373" t="s" s="35">
        <v>1832</v>
      </c>
      <c r="K373" s="39"/>
      <c r="L373" t="s" s="35">
        <v>254</v>
      </c>
      <c r="M373" t="str" s="39" cm="1">
        <f t="array" ref="M373">IF(J373="FUERA","Fuera del marco",_xlfn.IFERROR(INDEX('Datos - Catálogo TIMSS'!$C$5:$C$107,MATCH(J373,'Datos - Catálogo TIMSS'!$A$5:$A$107,0)),"?"))</f>
        <v>Fuera del marco</v>
      </c>
      <c r="N373" t="s" s="35">
        <v>8902</v>
      </c>
    </row>
    <row r="374" ht="13.65" customHeight="1">
      <c r="A374" t="s" s="35">
        <v>8903</v>
      </c>
      <c r="B374" t="s" s="35">
        <v>1510</v>
      </c>
      <c r="C374" t="s" s="35">
        <v>8244</v>
      </c>
      <c r="D374" s="36">
        <v>44</v>
      </c>
      <c r="E374" t="s" s="35">
        <v>8838</v>
      </c>
      <c r="F374" s="36">
        <v>8</v>
      </c>
      <c r="G374" t="s" s="35">
        <v>8286</v>
      </c>
      <c r="H374" t="s" s="120">
        <v>8904</v>
      </c>
      <c r="I374" t="s" s="35">
        <v>1164</v>
      </c>
      <c r="J374" t="s" s="35">
        <v>454</v>
      </c>
      <c r="K374" t="s" s="35">
        <v>1178</v>
      </c>
      <c r="L374" t="s" s="35">
        <v>282</v>
      </c>
      <c r="M374" t="str" s="39" cm="1">
        <f t="array" ref="M374">IF(J374="FUERA","Fuera del marco",_xlfn.IFERROR(INDEX('Datos - Catálogo TIMSS'!$C$5:$C$107,MATCH(J374,'Datos - Catálogo TIMSS'!$A$5:$A$107,0)),"?"))</f>
        <v>Biología</v>
      </c>
      <c r="N374" t="s" s="35">
        <v>8905</v>
      </c>
    </row>
    <row r="375" ht="13.65" customHeight="1">
      <c r="A375" t="s" s="35">
        <v>8906</v>
      </c>
      <c r="B375" t="s" s="35">
        <v>1510</v>
      </c>
      <c r="C375" t="s" s="35">
        <v>8244</v>
      </c>
      <c r="D375" s="36">
        <v>44</v>
      </c>
      <c r="E375" t="s" s="35">
        <v>8838</v>
      </c>
      <c r="F375" s="36">
        <v>8</v>
      </c>
      <c r="G375" t="s" s="35">
        <v>8286</v>
      </c>
      <c r="H375" t="s" s="120">
        <v>8504</v>
      </c>
      <c r="I375" t="s" s="35">
        <v>1164</v>
      </c>
      <c r="J375" t="s" s="35">
        <v>1205</v>
      </c>
      <c r="K375" s="39"/>
      <c r="L375" t="s" s="35">
        <v>282</v>
      </c>
      <c r="M375" t="str" s="39" cm="1">
        <f t="array" ref="M375">IF(J375="FUERA","Fuera del marco",_xlfn.IFERROR(INDEX('Datos - Catálogo TIMSS'!$C$5:$C$107,MATCH(J375,'Datos - Catálogo TIMSS'!$A$5:$A$107,0)),"?"))</f>
        <v>Biología</v>
      </c>
      <c r="N375" t="s" s="35">
        <v>8702</v>
      </c>
    </row>
    <row r="376" ht="13.65" customHeight="1">
      <c r="A376" t="s" s="35">
        <v>8907</v>
      </c>
      <c r="B376" t="s" s="35">
        <v>1510</v>
      </c>
      <c r="C376" t="s" s="35">
        <v>8244</v>
      </c>
      <c r="D376" s="36">
        <v>44</v>
      </c>
      <c r="E376" t="s" s="35">
        <v>8838</v>
      </c>
      <c r="F376" s="36">
        <v>8</v>
      </c>
      <c r="G376" t="s" s="35">
        <v>8286</v>
      </c>
      <c r="H376" t="s" s="120">
        <v>8908</v>
      </c>
      <c r="I376" t="s" s="35">
        <v>1164</v>
      </c>
      <c r="J376" t="s" s="35">
        <v>1205</v>
      </c>
      <c r="K376" s="39"/>
      <c r="L376" t="s" s="35">
        <v>254</v>
      </c>
      <c r="M376" t="str" s="39" cm="1">
        <f t="array" ref="M376">IF(J376="FUERA","Fuera del marco",_xlfn.IFERROR(INDEX('Datos - Catálogo TIMSS'!$C$5:$C$107,MATCH(J376,'Datos - Catálogo TIMSS'!$A$5:$A$107,0)),"?"))</f>
        <v>Biología</v>
      </c>
      <c r="N376" t="s" s="35">
        <v>8704</v>
      </c>
    </row>
    <row r="377" ht="13.65" customHeight="1">
      <c r="A377" t="s" s="35">
        <v>8909</v>
      </c>
      <c r="B377" t="s" s="35">
        <v>1510</v>
      </c>
      <c r="C377" t="s" s="35">
        <v>8244</v>
      </c>
      <c r="D377" s="36">
        <v>44</v>
      </c>
      <c r="E377" t="s" s="35">
        <v>8838</v>
      </c>
      <c r="F377" s="36">
        <v>8</v>
      </c>
      <c r="G377" t="s" s="35">
        <v>8286</v>
      </c>
      <c r="H377" t="s" s="120">
        <v>8910</v>
      </c>
      <c r="I377" t="s" s="35">
        <v>1164</v>
      </c>
      <c r="J377" t="s" s="35">
        <v>1832</v>
      </c>
      <c r="K377" s="39"/>
      <c r="L377" t="s" s="35">
        <v>254</v>
      </c>
      <c r="M377" t="str" s="39" cm="1">
        <f t="array" ref="M377">IF(J377="FUERA","Fuera del marco",_xlfn.IFERROR(INDEX('Datos - Catálogo TIMSS'!$C$5:$C$107,MATCH(J377,'Datos - Catálogo TIMSS'!$A$5:$A$107,0)),"?"))</f>
        <v>Fuera del marco</v>
      </c>
      <c r="N377" t="s" s="35">
        <v>8911</v>
      </c>
    </row>
    <row r="378" ht="13.65" customHeight="1">
      <c r="A378" t="s" s="35">
        <v>8912</v>
      </c>
      <c r="B378" t="s" s="35">
        <v>1510</v>
      </c>
      <c r="C378" t="s" s="35">
        <v>8244</v>
      </c>
      <c r="D378" s="36">
        <v>44</v>
      </c>
      <c r="E378" t="s" s="35">
        <v>8838</v>
      </c>
      <c r="F378" s="36">
        <v>8</v>
      </c>
      <c r="G378" t="s" s="35">
        <v>8286</v>
      </c>
      <c r="H378" t="s" s="120">
        <v>8913</v>
      </c>
      <c r="I378" t="s" s="35">
        <v>1164</v>
      </c>
      <c r="J378" t="s" s="35">
        <v>1201</v>
      </c>
      <c r="K378" t="s" s="35">
        <v>494</v>
      </c>
      <c r="L378" t="s" s="35">
        <v>282</v>
      </c>
      <c r="M378" t="str" s="39" cm="1">
        <f t="array" ref="M378">IF(J378="FUERA","Fuera del marco",_xlfn.IFERROR(INDEX('Datos - Catálogo TIMSS'!$C$5:$C$107,MATCH(J378,'Datos - Catálogo TIMSS'!$A$5:$A$107,0)),"?"))</f>
        <v>Biología</v>
      </c>
      <c r="N378" t="s" s="35">
        <v>8914</v>
      </c>
    </row>
    <row r="379" ht="13.65" customHeight="1">
      <c r="A379" t="s" s="35">
        <v>8915</v>
      </c>
      <c r="B379" t="s" s="35">
        <v>1510</v>
      </c>
      <c r="C379" t="s" s="35">
        <v>8244</v>
      </c>
      <c r="D379" s="36">
        <v>44</v>
      </c>
      <c r="E379" t="s" s="35">
        <v>8838</v>
      </c>
      <c r="F379" s="36">
        <v>8</v>
      </c>
      <c r="G379" t="s" s="35">
        <v>8311</v>
      </c>
      <c r="H379" t="s" s="120">
        <v>8916</v>
      </c>
      <c r="I379" t="s" s="35">
        <v>1164</v>
      </c>
      <c r="J379" t="s" s="35">
        <v>1218</v>
      </c>
      <c r="K379" t="s" s="35">
        <v>588</v>
      </c>
      <c r="L379" t="s" s="35">
        <v>282</v>
      </c>
      <c r="M379" t="str" s="39" cm="1">
        <f t="array" ref="M379">IF(J379="FUERA","Fuera del marco",_xlfn.IFERROR(INDEX('Datos - Catálogo TIMSS'!$C$5:$C$107,MATCH(J379,'Datos - Catálogo TIMSS'!$A$5:$A$107,0)),"?"))</f>
        <v>Química</v>
      </c>
      <c r="N379" t="s" s="35">
        <v>8749</v>
      </c>
    </row>
    <row r="380" ht="13.65" customHeight="1">
      <c r="A380" t="s" s="35">
        <v>8917</v>
      </c>
      <c r="B380" t="s" s="35">
        <v>1510</v>
      </c>
      <c r="C380" t="s" s="35">
        <v>8244</v>
      </c>
      <c r="D380" s="36">
        <v>44</v>
      </c>
      <c r="E380" t="s" s="35">
        <v>8838</v>
      </c>
      <c r="F380" s="36">
        <v>8</v>
      </c>
      <c r="G380" t="s" s="35">
        <v>8311</v>
      </c>
      <c r="H380" t="s" s="120">
        <v>8918</v>
      </c>
      <c r="I380" t="s" s="35">
        <v>1164</v>
      </c>
      <c r="J380" t="s" s="35">
        <v>554</v>
      </c>
      <c r="K380" s="39"/>
      <c r="L380" t="s" s="35">
        <v>254</v>
      </c>
      <c r="M380" t="str" s="39" cm="1">
        <f t="array" ref="M380">IF(J380="FUERA","Fuera del marco",_xlfn.IFERROR(INDEX('Datos - Catálogo TIMSS'!$C$5:$C$107,MATCH(J380,'Datos - Catálogo TIMSS'!$A$5:$A$107,0)),"?"))</f>
        <v>Física</v>
      </c>
      <c r="N380" t="s" s="35">
        <v>8919</v>
      </c>
    </row>
    <row r="381" ht="13.65" customHeight="1">
      <c r="A381" t="s" s="35">
        <v>8920</v>
      </c>
      <c r="B381" t="s" s="35">
        <v>1510</v>
      </c>
      <c r="C381" t="s" s="35">
        <v>8244</v>
      </c>
      <c r="D381" s="36">
        <v>44</v>
      </c>
      <c r="E381" t="s" s="35">
        <v>8838</v>
      </c>
      <c r="F381" s="36">
        <v>8</v>
      </c>
      <c r="G381" t="s" s="35">
        <v>8311</v>
      </c>
      <c r="H381" t="s" s="120">
        <v>8921</v>
      </c>
      <c r="I381" t="s" s="35">
        <v>1164</v>
      </c>
      <c r="J381" t="s" s="35">
        <v>1227</v>
      </c>
      <c r="K381" t="s" s="35">
        <v>1212</v>
      </c>
      <c r="L381" t="s" s="35">
        <v>254</v>
      </c>
      <c r="M381" t="str" s="39" cm="1">
        <f t="array" ref="M381">IF(J381="FUERA","Fuera del marco",_xlfn.IFERROR(INDEX('Datos - Catálogo TIMSS'!$C$5:$C$107,MATCH(J381,'Datos - Catálogo TIMSS'!$A$5:$A$107,0)),"?"))</f>
        <v>Química</v>
      </c>
      <c r="N381" t="s" s="35">
        <v>8922</v>
      </c>
    </row>
    <row r="382" ht="13.65" customHeight="1">
      <c r="A382" t="s" s="35">
        <v>8923</v>
      </c>
      <c r="B382" t="s" s="35">
        <v>1510</v>
      </c>
      <c r="C382" t="s" s="35">
        <v>8244</v>
      </c>
      <c r="D382" s="36">
        <v>44</v>
      </c>
      <c r="E382" t="s" s="35">
        <v>8838</v>
      </c>
      <c r="F382" s="36">
        <v>8</v>
      </c>
      <c r="G382" t="s" s="35">
        <v>8311</v>
      </c>
      <c r="H382" t="s" s="120">
        <v>8924</v>
      </c>
      <c r="I382" t="s" s="35">
        <v>1164</v>
      </c>
      <c r="J382" t="s" s="35">
        <v>615</v>
      </c>
      <c r="K382" s="39"/>
      <c r="L382" t="s" s="35">
        <v>254</v>
      </c>
      <c r="M382" t="str" s="39" cm="1">
        <f t="array" ref="M382">IF(J382="FUERA","Fuera del marco",_xlfn.IFERROR(INDEX('Datos - Catálogo TIMSS'!$C$5:$C$107,MATCH(J382,'Datos - Catálogo TIMSS'!$A$5:$A$107,0)),"?"))</f>
        <v>Química</v>
      </c>
      <c r="N382" t="s" s="35">
        <v>8925</v>
      </c>
    </row>
    <row r="383" ht="13.65" customHeight="1">
      <c r="A383" t="s" s="35">
        <v>8926</v>
      </c>
      <c r="B383" t="s" s="35">
        <v>1510</v>
      </c>
      <c r="C383" t="s" s="35">
        <v>8244</v>
      </c>
      <c r="D383" s="36">
        <v>44</v>
      </c>
      <c r="E383" t="s" s="35">
        <v>8838</v>
      </c>
      <c r="F383" s="36">
        <v>8</v>
      </c>
      <c r="G383" t="s" s="35">
        <v>8311</v>
      </c>
      <c r="H383" t="s" s="120">
        <v>8927</v>
      </c>
      <c r="I383" t="s" s="35">
        <v>1164</v>
      </c>
      <c r="J383" t="s" s="35">
        <v>1224</v>
      </c>
      <c r="K383" s="39"/>
      <c r="L383" t="s" s="35">
        <v>282</v>
      </c>
      <c r="M383" t="str" s="39" cm="1">
        <f t="array" ref="M383">IF(J383="FUERA","Fuera del marco",_xlfn.IFERROR(INDEX('Datos - Catálogo TIMSS'!$C$5:$C$107,MATCH(J383,'Datos - Catálogo TIMSS'!$A$5:$A$107,0)),"?"))</f>
        <v>Química</v>
      </c>
      <c r="N383" t="s" s="35">
        <v>8928</v>
      </c>
    </row>
    <row r="384" ht="13.65" customHeight="1">
      <c r="A384" t="s" s="35">
        <v>8929</v>
      </c>
      <c r="B384" t="s" s="35">
        <v>1510</v>
      </c>
      <c r="C384" t="s" s="35">
        <v>8244</v>
      </c>
      <c r="D384" s="36">
        <v>44</v>
      </c>
      <c r="E384" t="s" s="35">
        <v>8838</v>
      </c>
      <c r="F384" s="36">
        <v>8</v>
      </c>
      <c r="G384" t="s" s="35">
        <v>8311</v>
      </c>
      <c r="H384" t="s" s="120">
        <v>8930</v>
      </c>
      <c r="I384" t="s" s="35">
        <v>1164</v>
      </c>
      <c r="J384" t="s" s="35">
        <v>554</v>
      </c>
      <c r="K384" t="s" s="35">
        <v>1241</v>
      </c>
      <c r="L384" t="s" s="35">
        <v>282</v>
      </c>
      <c r="M384" t="str" s="39" cm="1">
        <f t="array" ref="M384">IF(J384="FUERA","Fuera del marco",_xlfn.IFERROR(INDEX('Datos - Catálogo TIMSS'!$C$5:$C$107,MATCH(J384,'Datos - Catálogo TIMSS'!$A$5:$A$107,0)),"?"))</f>
        <v>Física</v>
      </c>
      <c r="N384" t="s" s="35">
        <v>8931</v>
      </c>
    </row>
    <row r="385" ht="13.65" customHeight="1">
      <c r="A385" t="s" s="35">
        <v>8932</v>
      </c>
      <c r="B385" t="s" s="35">
        <v>1510</v>
      </c>
      <c r="C385" t="s" s="35">
        <v>8244</v>
      </c>
      <c r="D385" s="36">
        <v>44</v>
      </c>
      <c r="E385" t="s" s="35">
        <v>8838</v>
      </c>
      <c r="F385" s="36">
        <v>8</v>
      </c>
      <c r="G385" t="s" s="35">
        <v>8311</v>
      </c>
      <c r="H385" t="s" s="120">
        <v>8933</v>
      </c>
      <c r="I385" t="s" s="35">
        <v>1164</v>
      </c>
      <c r="J385" t="s" s="35">
        <v>554</v>
      </c>
      <c r="K385" s="39"/>
      <c r="L385" t="s" s="35">
        <v>282</v>
      </c>
      <c r="M385" t="str" s="39" cm="1">
        <f t="array" ref="M385">IF(J385="FUERA","Fuera del marco",_xlfn.IFERROR(INDEX('Datos - Catálogo TIMSS'!$C$5:$C$107,MATCH(J385,'Datos - Catálogo TIMSS'!$A$5:$A$107,0)),"?"))</f>
        <v>Física</v>
      </c>
      <c r="N385" t="s" s="35">
        <v>8934</v>
      </c>
    </row>
    <row r="386" ht="13.65" customHeight="1">
      <c r="A386" t="s" s="35">
        <v>8935</v>
      </c>
      <c r="B386" t="s" s="35">
        <v>1510</v>
      </c>
      <c r="C386" t="s" s="35">
        <v>8244</v>
      </c>
      <c r="D386" s="36">
        <v>44</v>
      </c>
      <c r="E386" t="s" s="35">
        <v>8838</v>
      </c>
      <c r="F386" s="36">
        <v>8</v>
      </c>
      <c r="G386" t="s" s="35">
        <v>8311</v>
      </c>
      <c r="H386" t="s" s="120">
        <v>8936</v>
      </c>
      <c r="I386" t="s" s="35">
        <v>1164</v>
      </c>
      <c r="J386" t="s" s="35">
        <v>1247</v>
      </c>
      <c r="K386" t="s" s="35">
        <v>575</v>
      </c>
      <c r="L386" t="s" s="35">
        <v>282</v>
      </c>
      <c r="M386" t="str" s="39" cm="1">
        <f t="array" ref="M386">IF(J386="FUERA","Fuera del marco",_xlfn.IFERROR(INDEX('Datos - Catálogo TIMSS'!$C$5:$C$107,MATCH(J386,'Datos - Catálogo TIMSS'!$A$5:$A$107,0)),"?"))</f>
        <v>Física</v>
      </c>
      <c r="N386" t="s" s="35">
        <v>8937</v>
      </c>
    </row>
    <row r="387" ht="13.65" customHeight="1">
      <c r="A387" t="s" s="35">
        <v>8938</v>
      </c>
      <c r="B387" t="s" s="35">
        <v>1510</v>
      </c>
      <c r="C387" t="s" s="35">
        <v>8244</v>
      </c>
      <c r="D387" s="36">
        <v>44</v>
      </c>
      <c r="E387" t="s" s="35">
        <v>8838</v>
      </c>
      <c r="F387" s="36">
        <v>8</v>
      </c>
      <c r="G387" t="s" s="35">
        <v>8311</v>
      </c>
      <c r="H387" t="s" s="120">
        <v>8939</v>
      </c>
      <c r="I387" t="s" s="35">
        <v>1164</v>
      </c>
      <c r="J387" t="s" s="35">
        <v>1247</v>
      </c>
      <c r="K387" t="s" s="35">
        <v>494</v>
      </c>
      <c r="L387" t="s" s="35">
        <v>282</v>
      </c>
      <c r="M387" t="str" s="39" cm="1">
        <f t="array" ref="M387">IF(J387="FUERA","Fuera del marco",_xlfn.IFERROR(INDEX('Datos - Catálogo TIMSS'!$C$5:$C$107,MATCH(J387,'Datos - Catálogo TIMSS'!$A$5:$A$107,0)),"?"))</f>
        <v>Física</v>
      </c>
      <c r="N387" t="s" s="35">
        <v>8940</v>
      </c>
    </row>
    <row r="388" ht="13.65" customHeight="1">
      <c r="A388" t="s" s="35">
        <v>8941</v>
      </c>
      <c r="B388" t="s" s="35">
        <v>1510</v>
      </c>
      <c r="C388" t="s" s="35">
        <v>8244</v>
      </c>
      <c r="D388" s="36">
        <v>44</v>
      </c>
      <c r="E388" t="s" s="35">
        <v>8838</v>
      </c>
      <c r="F388" s="36">
        <v>8</v>
      </c>
      <c r="G388" t="s" s="35">
        <v>8311</v>
      </c>
      <c r="H388" t="s" s="120">
        <v>8942</v>
      </c>
      <c r="I388" t="s" s="35">
        <v>1164</v>
      </c>
      <c r="J388" t="s" s="35">
        <v>540</v>
      </c>
      <c r="K388" s="39"/>
      <c r="L388" t="s" s="35">
        <v>254</v>
      </c>
      <c r="M388" t="str" s="39" cm="1">
        <f t="array" ref="M388">IF(J388="FUERA","Fuera del marco",_xlfn.IFERROR(INDEX('Datos - Catálogo TIMSS'!$C$5:$C$107,MATCH(J388,'Datos - Catálogo TIMSS'!$A$5:$A$107,0)),"?"))</f>
        <v>Física</v>
      </c>
      <c r="N388" t="s" s="35">
        <v>8943</v>
      </c>
    </row>
    <row r="389" ht="13.65" customHeight="1">
      <c r="A389" t="s" s="35">
        <v>8944</v>
      </c>
      <c r="B389" t="s" s="35">
        <v>1510</v>
      </c>
      <c r="C389" t="s" s="35">
        <v>8244</v>
      </c>
      <c r="D389" s="36">
        <v>44</v>
      </c>
      <c r="E389" t="s" s="35">
        <v>8838</v>
      </c>
      <c r="F389" s="36">
        <v>8</v>
      </c>
      <c r="G389" t="s" s="35">
        <v>8311</v>
      </c>
      <c r="H389" t="s" s="120">
        <v>8945</v>
      </c>
      <c r="I389" t="s" s="35">
        <v>1164</v>
      </c>
      <c r="J389" t="s" s="35">
        <v>575</v>
      </c>
      <c r="K389" t="s" s="35">
        <v>540</v>
      </c>
      <c r="L389" t="s" s="35">
        <v>282</v>
      </c>
      <c r="M389" t="str" s="39" cm="1">
        <f t="array" ref="M389">IF(J389="FUERA","Fuera del marco",_xlfn.IFERROR(INDEX('Datos - Catálogo TIMSS'!$C$5:$C$107,MATCH(J389,'Datos - Catálogo TIMSS'!$A$5:$A$107,0)),"?"))</f>
        <v>Física</v>
      </c>
      <c r="N389" t="s" s="35">
        <v>8946</v>
      </c>
    </row>
    <row r="390" ht="13.65" customHeight="1">
      <c r="A390" t="s" s="35">
        <v>8947</v>
      </c>
      <c r="B390" t="s" s="35">
        <v>1510</v>
      </c>
      <c r="C390" t="s" s="35">
        <v>8244</v>
      </c>
      <c r="D390" s="36">
        <v>44</v>
      </c>
      <c r="E390" t="s" s="35">
        <v>8838</v>
      </c>
      <c r="F390" s="36">
        <v>8</v>
      </c>
      <c r="G390" t="s" s="35">
        <v>8311</v>
      </c>
      <c r="H390" t="s" s="120">
        <v>8948</v>
      </c>
      <c r="I390" t="s" s="35">
        <v>1164</v>
      </c>
      <c r="J390" t="s" s="35">
        <v>1250</v>
      </c>
      <c r="K390" s="39"/>
      <c r="L390" t="s" s="35">
        <v>282</v>
      </c>
      <c r="M390" t="str" s="39" cm="1">
        <f t="array" ref="M390">IF(J390="FUERA","Fuera del marco",_xlfn.IFERROR(INDEX('Datos - Catálogo TIMSS'!$C$5:$C$107,MATCH(J390,'Datos - Catálogo TIMSS'!$A$5:$A$107,0)),"?"))</f>
        <v>Física</v>
      </c>
      <c r="N390" t="s" s="35">
        <v>8949</v>
      </c>
    </row>
    <row r="391" ht="13.65" customHeight="1">
      <c r="A391" t="s" s="35">
        <v>8950</v>
      </c>
      <c r="B391" t="s" s="35">
        <v>1510</v>
      </c>
      <c r="C391" t="s" s="35">
        <v>8244</v>
      </c>
      <c r="D391" s="36">
        <v>43</v>
      </c>
      <c r="E391" t="s" s="35">
        <v>8838</v>
      </c>
      <c r="F391" s="36">
        <v>8</v>
      </c>
      <c r="G391" t="s" s="35">
        <v>8351</v>
      </c>
      <c r="H391" t="s" s="120">
        <v>8951</v>
      </c>
      <c r="I391" t="s" s="35">
        <v>1164</v>
      </c>
      <c r="J391" t="s" s="35">
        <v>1178</v>
      </c>
      <c r="K391" s="39"/>
      <c r="L391" t="s" s="35">
        <v>254</v>
      </c>
      <c r="M391" t="str" s="39" cm="1">
        <f t="array" ref="M391">IF(J391="FUERA","Fuera del marco",_xlfn.IFERROR(INDEX('Datos - Catálogo TIMSS'!$C$5:$C$107,MATCH(J391,'Datos - Catálogo TIMSS'!$A$5:$A$107,0)),"?"))</f>
        <v>Biología</v>
      </c>
      <c r="N391" t="s" s="35">
        <v>8952</v>
      </c>
    </row>
    <row r="392" ht="13.65" customHeight="1">
      <c r="A392" t="s" s="35">
        <v>8953</v>
      </c>
      <c r="B392" t="s" s="35">
        <v>1510</v>
      </c>
      <c r="C392" t="s" s="35">
        <v>8244</v>
      </c>
      <c r="D392" s="36">
        <v>43</v>
      </c>
      <c r="E392" t="s" s="35">
        <v>8838</v>
      </c>
      <c r="F392" s="36">
        <v>8</v>
      </c>
      <c r="G392" t="s" s="35">
        <v>8351</v>
      </c>
      <c r="H392" t="s" s="120">
        <v>8954</v>
      </c>
      <c r="I392" t="s" s="35">
        <v>1164</v>
      </c>
      <c r="J392" t="s" s="35">
        <v>1178</v>
      </c>
      <c r="K392" t="s" s="35">
        <v>1174</v>
      </c>
      <c r="L392" t="s" s="35">
        <v>282</v>
      </c>
      <c r="M392" t="str" s="39" cm="1">
        <f t="array" ref="M392">IF(J392="FUERA","Fuera del marco",_xlfn.IFERROR(INDEX('Datos - Catálogo TIMSS'!$C$5:$C$107,MATCH(J392,'Datos - Catálogo TIMSS'!$A$5:$A$107,0)),"?"))</f>
        <v>Biología</v>
      </c>
      <c r="N392" t="s" s="35">
        <v>8955</v>
      </c>
    </row>
    <row r="393" ht="13.65" customHeight="1">
      <c r="A393" t="s" s="35">
        <v>8956</v>
      </c>
      <c r="B393" t="s" s="35">
        <v>1510</v>
      </c>
      <c r="C393" t="s" s="35">
        <v>8244</v>
      </c>
      <c r="D393" s="36">
        <v>43</v>
      </c>
      <c r="E393" t="s" s="35">
        <v>8838</v>
      </c>
      <c r="F393" s="36">
        <v>8</v>
      </c>
      <c r="G393" t="s" s="35">
        <v>8351</v>
      </c>
      <c r="H393" t="s" s="120">
        <v>8957</v>
      </c>
      <c r="I393" t="s" s="35">
        <v>1164</v>
      </c>
      <c r="J393" t="s" s="35">
        <v>1178</v>
      </c>
      <c r="K393" s="39"/>
      <c r="L393" t="s" s="35">
        <v>282</v>
      </c>
      <c r="M393" t="str" s="39" cm="1">
        <f t="array" ref="M393">IF(J393="FUERA","Fuera del marco",_xlfn.IFERROR(INDEX('Datos - Catálogo TIMSS'!$C$5:$C$107,MATCH(J393,'Datos - Catálogo TIMSS'!$A$5:$A$107,0)),"?"))</f>
        <v>Biología</v>
      </c>
      <c r="N393" t="s" s="35">
        <v>8958</v>
      </c>
    </row>
    <row r="394" ht="13.65" customHeight="1">
      <c r="A394" t="s" s="35">
        <v>8959</v>
      </c>
      <c r="B394" t="s" s="35">
        <v>1510</v>
      </c>
      <c r="C394" t="s" s="35">
        <v>8244</v>
      </c>
      <c r="D394" s="36">
        <v>43</v>
      </c>
      <c r="E394" t="s" s="35">
        <v>8838</v>
      </c>
      <c r="F394" s="36">
        <v>8</v>
      </c>
      <c r="G394" t="s" s="35">
        <v>8351</v>
      </c>
      <c r="H394" t="s" s="120">
        <v>8960</v>
      </c>
      <c r="I394" t="s" s="35">
        <v>1164</v>
      </c>
      <c r="J394" t="s" s="35">
        <v>1178</v>
      </c>
      <c r="K394" t="s" s="35">
        <v>1181</v>
      </c>
      <c r="L394" t="s" s="35">
        <v>254</v>
      </c>
      <c r="M394" t="str" s="39" cm="1">
        <f t="array" ref="M394">IF(J394="FUERA","Fuera del marco",_xlfn.IFERROR(INDEX('Datos - Catálogo TIMSS'!$C$5:$C$107,MATCH(J394,'Datos - Catálogo TIMSS'!$A$5:$A$107,0)),"?"))</f>
        <v>Biología</v>
      </c>
      <c r="N394" t="s" s="35">
        <v>8961</v>
      </c>
    </row>
    <row r="395" ht="13.65" customHeight="1">
      <c r="A395" t="s" s="35">
        <v>8962</v>
      </c>
      <c r="B395" t="s" s="35">
        <v>1510</v>
      </c>
      <c r="C395" t="s" s="35">
        <v>8244</v>
      </c>
      <c r="D395" s="36">
        <v>43</v>
      </c>
      <c r="E395" t="s" s="35">
        <v>8838</v>
      </c>
      <c r="F395" s="36">
        <v>8</v>
      </c>
      <c r="G395" t="s" s="35">
        <v>8351</v>
      </c>
      <c r="H395" t="s" s="120">
        <v>8963</v>
      </c>
      <c r="I395" t="s" s="35">
        <v>1164</v>
      </c>
      <c r="J395" t="s" s="35">
        <v>1178</v>
      </c>
      <c r="K395" t="s" s="35">
        <v>1168</v>
      </c>
      <c r="L395" t="s" s="35">
        <v>282</v>
      </c>
      <c r="M395" t="str" s="39" cm="1">
        <f t="array" ref="M395">IF(J395="FUERA","Fuera del marco",_xlfn.IFERROR(INDEX('Datos - Catálogo TIMSS'!$C$5:$C$107,MATCH(J395,'Datos - Catálogo TIMSS'!$A$5:$A$107,0)),"?"))</f>
        <v>Biología</v>
      </c>
      <c r="N395" t="s" s="35">
        <v>8964</v>
      </c>
    </row>
    <row r="396" ht="13.65" customHeight="1">
      <c r="A396" t="s" s="35">
        <v>8965</v>
      </c>
      <c r="B396" t="s" s="35">
        <v>1510</v>
      </c>
      <c r="C396" t="s" s="35">
        <v>8244</v>
      </c>
      <c r="D396" s="36">
        <v>43</v>
      </c>
      <c r="E396" t="s" s="35">
        <v>8838</v>
      </c>
      <c r="F396" s="36">
        <v>8</v>
      </c>
      <c r="G396" t="s" s="35">
        <v>8351</v>
      </c>
      <c r="H396" t="s" s="120">
        <v>8966</v>
      </c>
      <c r="I396" t="s" s="35">
        <v>1164</v>
      </c>
      <c r="J396" t="s" s="35">
        <v>475</v>
      </c>
      <c r="K396" s="39"/>
      <c r="L396" t="s" s="35">
        <v>291</v>
      </c>
      <c r="M396" t="str" s="39" cm="1">
        <f t="array" ref="M396">IF(J396="FUERA","Fuera del marco",_xlfn.IFERROR(INDEX('Datos - Catálogo TIMSS'!$C$5:$C$107,MATCH(J396,'Datos - Catálogo TIMSS'!$A$5:$A$107,0)),"?"))</f>
        <v>Biología</v>
      </c>
      <c r="N396" t="s" s="35">
        <v>8967</v>
      </c>
    </row>
    <row r="397" ht="13.65" customHeight="1">
      <c r="A397" t="s" s="35">
        <v>8968</v>
      </c>
      <c r="B397" t="s" s="35">
        <v>1510</v>
      </c>
      <c r="C397" t="s" s="35">
        <v>8244</v>
      </c>
      <c r="D397" s="36">
        <v>43</v>
      </c>
      <c r="E397" t="s" s="35">
        <v>8838</v>
      </c>
      <c r="F397" s="36">
        <v>8</v>
      </c>
      <c r="G397" t="s" s="35">
        <v>8351</v>
      </c>
      <c r="H397" t="s" s="120">
        <v>8969</v>
      </c>
      <c r="I397" t="s" s="35">
        <v>1164</v>
      </c>
      <c r="J397" t="s" s="35">
        <v>1163</v>
      </c>
      <c r="K397" t="s" s="35">
        <v>1174</v>
      </c>
      <c r="L397" t="s" s="35">
        <v>254</v>
      </c>
      <c r="M397" t="str" s="39" cm="1">
        <f t="array" ref="M397">IF(J397="FUERA","Fuera del marco",_xlfn.IFERROR(INDEX('Datos - Catálogo TIMSS'!$C$5:$C$107,MATCH(J397,'Datos - Catálogo TIMSS'!$A$5:$A$107,0)),"?"))</f>
        <v>Biología</v>
      </c>
      <c r="N397" t="s" s="35">
        <v>8970</v>
      </c>
    </row>
    <row r="398" ht="13.65" customHeight="1">
      <c r="A398" t="s" s="35">
        <v>8971</v>
      </c>
      <c r="B398" t="s" s="35">
        <v>1510</v>
      </c>
      <c r="C398" t="s" s="35">
        <v>8244</v>
      </c>
      <c r="D398" s="36">
        <v>43</v>
      </c>
      <c r="E398" t="s" s="35">
        <v>8838</v>
      </c>
      <c r="F398" s="36">
        <v>8</v>
      </c>
      <c r="G398" t="s" s="35">
        <v>8351</v>
      </c>
      <c r="H398" t="s" s="120">
        <v>8972</v>
      </c>
      <c r="I398" t="s" s="35">
        <v>1164</v>
      </c>
      <c r="J398" t="s" s="35">
        <v>1163</v>
      </c>
      <c r="K398" s="39"/>
      <c r="L398" t="s" s="35">
        <v>254</v>
      </c>
      <c r="M398" t="str" s="39" cm="1">
        <f t="array" ref="M398">IF(J398="FUERA","Fuera del marco",_xlfn.IFERROR(INDEX('Datos - Catálogo TIMSS'!$C$5:$C$107,MATCH(J398,'Datos - Catálogo TIMSS'!$A$5:$A$107,0)),"?"))</f>
        <v>Biología</v>
      </c>
      <c r="N398" t="s" s="35">
        <v>8973</v>
      </c>
    </row>
    <row r="399" ht="13.65" customHeight="1">
      <c r="A399" t="s" s="35">
        <v>8974</v>
      </c>
      <c r="B399" t="s" s="35">
        <v>1510</v>
      </c>
      <c r="C399" t="s" s="35">
        <v>8244</v>
      </c>
      <c r="D399" s="36">
        <v>43</v>
      </c>
      <c r="E399" t="s" s="35">
        <v>8838</v>
      </c>
      <c r="F399" s="36">
        <v>8</v>
      </c>
      <c r="G399" t="s" s="35">
        <v>8351</v>
      </c>
      <c r="H399" t="s" s="120">
        <v>8975</v>
      </c>
      <c r="I399" t="s" s="35">
        <v>1164</v>
      </c>
      <c r="J399" t="s" s="35">
        <v>1163</v>
      </c>
      <c r="K399" t="s" s="35">
        <v>1181</v>
      </c>
      <c r="L399" t="s" s="35">
        <v>291</v>
      </c>
      <c r="M399" t="str" s="39" cm="1">
        <f t="array" ref="M399">IF(J399="FUERA","Fuera del marco",_xlfn.IFERROR(INDEX('Datos - Catálogo TIMSS'!$C$5:$C$107,MATCH(J399,'Datos - Catálogo TIMSS'!$A$5:$A$107,0)),"?"))</f>
        <v>Biología</v>
      </c>
      <c r="N399" t="s" s="35">
        <v>8976</v>
      </c>
    </row>
    <row r="400" ht="13.65" customHeight="1">
      <c r="A400" t="s" s="35">
        <v>8977</v>
      </c>
      <c r="B400" t="s" s="35">
        <v>1510</v>
      </c>
      <c r="C400" t="s" s="35">
        <v>8244</v>
      </c>
      <c r="D400" s="36">
        <v>43</v>
      </c>
      <c r="E400" t="s" s="35">
        <v>8838</v>
      </c>
      <c r="F400" s="36">
        <v>8</v>
      </c>
      <c r="G400" t="s" s="35">
        <v>8351</v>
      </c>
      <c r="H400" t="s" s="120">
        <v>8978</v>
      </c>
      <c r="I400" t="s" s="35">
        <v>1164</v>
      </c>
      <c r="J400" t="s" s="35">
        <v>1168</v>
      </c>
      <c r="K400" s="39"/>
      <c r="L400" t="s" s="35">
        <v>254</v>
      </c>
      <c r="M400" t="str" s="39" cm="1">
        <f t="array" ref="M400">IF(J400="FUERA","Fuera del marco",_xlfn.IFERROR(INDEX('Datos - Catálogo TIMSS'!$C$5:$C$107,MATCH(J400,'Datos - Catálogo TIMSS'!$A$5:$A$107,0)),"?"))</f>
        <v>Biología</v>
      </c>
      <c r="N400" t="s" s="35">
        <v>8979</v>
      </c>
    </row>
    <row r="401" ht="13.65" customHeight="1">
      <c r="A401" t="s" s="35">
        <v>8980</v>
      </c>
      <c r="B401" t="s" s="35">
        <v>1510</v>
      </c>
      <c r="C401" t="s" s="35">
        <v>8244</v>
      </c>
      <c r="D401" s="36">
        <v>43</v>
      </c>
      <c r="E401" t="s" s="35">
        <v>8838</v>
      </c>
      <c r="F401" s="36">
        <v>8</v>
      </c>
      <c r="G401" t="s" s="35">
        <v>8351</v>
      </c>
      <c r="H401" t="s" s="120">
        <v>8981</v>
      </c>
      <c r="I401" t="s" s="35">
        <v>1164</v>
      </c>
      <c r="J401" t="s" s="35">
        <v>1171</v>
      </c>
      <c r="K401" t="s" s="35">
        <v>1168</v>
      </c>
      <c r="L401" t="s" s="35">
        <v>254</v>
      </c>
      <c r="M401" t="str" s="39" cm="1">
        <f t="array" ref="M401">IF(J401="FUERA","Fuera del marco",_xlfn.IFERROR(INDEX('Datos - Catálogo TIMSS'!$C$5:$C$107,MATCH(J401,'Datos - Catálogo TIMSS'!$A$5:$A$107,0)),"?"))</f>
        <v>Biología</v>
      </c>
      <c r="N401" t="s" s="35">
        <v>8982</v>
      </c>
    </row>
    <row r="402" ht="13.65" customHeight="1">
      <c r="A402" t="s" s="35">
        <v>8983</v>
      </c>
      <c r="B402" t="s" s="35">
        <v>1510</v>
      </c>
      <c r="C402" t="s" s="35">
        <v>8244</v>
      </c>
      <c r="D402" s="36">
        <v>43</v>
      </c>
      <c r="E402" t="s" s="35">
        <v>8838</v>
      </c>
      <c r="F402" s="36">
        <v>8</v>
      </c>
      <c r="G402" t="s" s="35">
        <v>8351</v>
      </c>
      <c r="H402" t="s" s="120">
        <v>8984</v>
      </c>
      <c r="I402" t="s" s="35">
        <v>1164</v>
      </c>
      <c r="J402" t="s" s="35">
        <v>634</v>
      </c>
      <c r="K402" t="s" s="35">
        <v>1181</v>
      </c>
      <c r="L402" t="s" s="35">
        <v>282</v>
      </c>
      <c r="M402" t="str" s="39" cm="1">
        <f t="array" ref="M402">IF(J402="FUERA","Fuera del marco",_xlfn.IFERROR(INDEX('Datos - Catálogo TIMSS'!$C$5:$C$107,MATCH(J402,'Datos - Catálogo TIMSS'!$A$5:$A$107,0)),"?"))</f>
        <v>Biología</v>
      </c>
      <c r="N402" t="s" s="35">
        <v>8985</v>
      </c>
    </row>
    <row r="403" ht="13.65" customHeight="1">
      <c r="A403" t="s" s="35">
        <v>8986</v>
      </c>
      <c r="B403" t="s" s="35">
        <v>1510</v>
      </c>
      <c r="C403" t="s" s="35">
        <v>8244</v>
      </c>
      <c r="D403" s="36">
        <v>43</v>
      </c>
      <c r="E403" t="s" s="35">
        <v>8838</v>
      </c>
      <c r="F403" s="36">
        <v>8</v>
      </c>
      <c r="G403" t="s" s="35">
        <v>8351</v>
      </c>
      <c r="H403" t="s" s="120">
        <v>8987</v>
      </c>
      <c r="I403" t="s" s="35">
        <v>1164</v>
      </c>
      <c r="J403" t="s" s="35">
        <v>1186</v>
      </c>
      <c r="K403" t="s" s="35">
        <v>1181</v>
      </c>
      <c r="L403" t="s" s="35">
        <v>282</v>
      </c>
      <c r="M403" t="str" s="39" cm="1">
        <f t="array" ref="M403">IF(J403="FUERA","Fuera del marco",_xlfn.IFERROR(INDEX('Datos - Catálogo TIMSS'!$C$5:$C$107,MATCH(J403,'Datos - Catálogo TIMSS'!$A$5:$A$107,0)),"?"))</f>
        <v>Biología</v>
      </c>
      <c r="N403" t="s" s="35">
        <v>8988</v>
      </c>
    </row>
    <row r="404" ht="13.65" customHeight="1">
      <c r="A404" t="s" s="35">
        <v>8989</v>
      </c>
      <c r="B404" t="s" s="35">
        <v>1510</v>
      </c>
      <c r="C404" t="s" s="35">
        <v>8244</v>
      </c>
      <c r="D404" s="36">
        <v>43</v>
      </c>
      <c r="E404" t="s" s="35">
        <v>8838</v>
      </c>
      <c r="F404" s="36">
        <v>8</v>
      </c>
      <c r="G404" t="s" s="35">
        <v>8351</v>
      </c>
      <c r="H404" t="s" s="120">
        <v>8990</v>
      </c>
      <c r="I404" t="s" s="35">
        <v>1164</v>
      </c>
      <c r="J404" t="s" s="35">
        <v>1181</v>
      </c>
      <c r="K404" t="s" s="35">
        <v>524</v>
      </c>
      <c r="L404" t="s" s="35">
        <v>282</v>
      </c>
      <c r="M404" t="str" s="39" cm="1">
        <f t="array" ref="M404">IF(J404="FUERA","Fuera del marco",_xlfn.IFERROR(INDEX('Datos - Catálogo TIMSS'!$C$5:$C$107,MATCH(J404,'Datos - Catálogo TIMSS'!$A$5:$A$107,0)),"?"))</f>
        <v>Biología</v>
      </c>
      <c r="N404" t="s" s="35">
        <v>8991</v>
      </c>
    </row>
    <row r="405" ht="13.65" customHeight="1">
      <c r="A405" t="s" s="35">
        <v>8992</v>
      </c>
      <c r="B405" t="s" s="35">
        <v>1510</v>
      </c>
      <c r="C405" t="s" s="35">
        <v>8244</v>
      </c>
      <c r="D405" s="36">
        <v>43</v>
      </c>
      <c r="E405" t="s" s="35">
        <v>8838</v>
      </c>
      <c r="F405" s="36">
        <v>8</v>
      </c>
      <c r="G405" t="s" s="35">
        <v>8351</v>
      </c>
      <c r="H405" t="s" s="120">
        <v>8993</v>
      </c>
      <c r="I405" t="s" s="35">
        <v>1164</v>
      </c>
      <c r="J405" t="s" s="35">
        <v>1186</v>
      </c>
      <c r="K405" t="s" s="35">
        <v>1181</v>
      </c>
      <c r="L405" t="s" s="35">
        <v>282</v>
      </c>
      <c r="M405" t="str" s="39" cm="1">
        <f t="array" ref="M405">IF(J405="FUERA","Fuera del marco",_xlfn.IFERROR(INDEX('Datos - Catálogo TIMSS'!$C$5:$C$107,MATCH(J405,'Datos - Catálogo TIMSS'!$A$5:$A$107,0)),"?"))</f>
        <v>Biología</v>
      </c>
      <c r="N405" t="s" s="35">
        <v>8994</v>
      </c>
    </row>
    <row r="406" ht="13.65" customHeight="1">
      <c r="A406" t="s" s="35">
        <v>8995</v>
      </c>
      <c r="B406" t="s" s="35">
        <v>1510</v>
      </c>
      <c r="C406" t="s" s="35">
        <v>8230</v>
      </c>
      <c r="D406" s="36">
        <v>30</v>
      </c>
      <c r="E406" t="s" s="35">
        <v>8149</v>
      </c>
      <c r="F406" s="36">
        <v>9</v>
      </c>
      <c r="G406" s="39"/>
      <c r="H406" t="s" s="120">
        <v>8996</v>
      </c>
      <c r="I406" t="s" s="35">
        <v>1164</v>
      </c>
      <c r="J406" t="s" s="35">
        <v>1262</v>
      </c>
      <c r="K406" s="39"/>
      <c r="L406" t="s" s="35">
        <v>254</v>
      </c>
      <c r="M406" t="str" s="39" cm="1">
        <f t="array" ref="M406">IF(J406="FUERA","Fuera del marco",_xlfn.IFERROR(INDEX('Datos - Catálogo TIMSS'!$C$5:$C$107,MATCH(J406,'Datos - Catálogo TIMSS'!$A$5:$A$107,0)),"?"))</f>
        <v>Física</v>
      </c>
      <c r="N406" t="s" s="35">
        <v>8997</v>
      </c>
    </row>
    <row r="407" ht="13.65" customHeight="1">
      <c r="A407" t="s" s="35">
        <v>8998</v>
      </c>
      <c r="B407" t="s" s="35">
        <v>1510</v>
      </c>
      <c r="C407" t="s" s="35">
        <v>8230</v>
      </c>
      <c r="D407" s="36">
        <v>30</v>
      </c>
      <c r="E407" t="s" s="35">
        <v>8149</v>
      </c>
      <c r="F407" s="36">
        <v>9</v>
      </c>
      <c r="G407" s="39"/>
      <c r="H407" t="s" s="120">
        <v>8999</v>
      </c>
      <c r="I407" t="s" s="35">
        <v>1164</v>
      </c>
      <c r="J407" t="s" s="35">
        <v>1224</v>
      </c>
      <c r="K407" s="39"/>
      <c r="L407" t="s" s="35">
        <v>254</v>
      </c>
      <c r="M407" t="str" s="39" cm="1">
        <f t="array" ref="M407">IF(J407="FUERA","Fuera del marco",_xlfn.IFERROR(INDEX('Datos - Catálogo TIMSS'!$C$5:$C$107,MATCH(J407,'Datos - Catálogo TIMSS'!$A$5:$A$107,0)),"?"))</f>
        <v>Química</v>
      </c>
      <c r="N407" t="s" s="35">
        <v>9000</v>
      </c>
    </row>
    <row r="408" ht="13.65" customHeight="1">
      <c r="A408" t="s" s="35">
        <v>9001</v>
      </c>
      <c r="B408" t="s" s="35">
        <v>1510</v>
      </c>
      <c r="C408" t="s" s="35">
        <v>8230</v>
      </c>
      <c r="D408" s="36">
        <v>31</v>
      </c>
      <c r="E408" t="s" s="35">
        <v>8149</v>
      </c>
      <c r="F408" s="36">
        <v>9</v>
      </c>
      <c r="G408" s="39"/>
      <c r="H408" t="s" s="120">
        <v>9002</v>
      </c>
      <c r="I408" t="s" s="35">
        <v>1164</v>
      </c>
      <c r="J408" t="s" s="35">
        <v>615</v>
      </c>
      <c r="K408" s="39"/>
      <c r="L408" t="s" s="35">
        <v>254</v>
      </c>
      <c r="M408" t="str" s="39" cm="1">
        <f t="array" ref="M408">IF(J408="FUERA","Fuera del marco",_xlfn.IFERROR(INDEX('Datos - Catálogo TIMSS'!$C$5:$C$107,MATCH(J408,'Datos - Catálogo TIMSS'!$A$5:$A$107,0)),"?"))</f>
        <v>Química</v>
      </c>
      <c r="N408" t="s" s="35">
        <v>9003</v>
      </c>
    </row>
    <row r="409" ht="13.65" customHeight="1">
      <c r="A409" t="s" s="35">
        <v>9004</v>
      </c>
      <c r="B409" t="s" s="35">
        <v>1510</v>
      </c>
      <c r="C409" t="s" s="35">
        <v>8230</v>
      </c>
      <c r="D409" s="36">
        <v>31</v>
      </c>
      <c r="E409" t="s" s="35">
        <v>8149</v>
      </c>
      <c r="F409" s="36">
        <v>9</v>
      </c>
      <c r="G409" s="39"/>
      <c r="H409" t="s" s="120">
        <v>9005</v>
      </c>
      <c r="I409" t="s" s="35">
        <v>1164</v>
      </c>
      <c r="J409" t="s" s="35">
        <v>1178</v>
      </c>
      <c r="K409" s="39"/>
      <c r="L409" t="s" s="35">
        <v>254</v>
      </c>
      <c r="M409" t="str" s="39" cm="1">
        <f t="array" ref="M409">IF(J409="FUERA","Fuera del marco",_xlfn.IFERROR(INDEX('Datos - Catálogo TIMSS'!$C$5:$C$107,MATCH(J409,'Datos - Catálogo TIMSS'!$A$5:$A$107,0)),"?"))</f>
        <v>Biología</v>
      </c>
      <c r="N409" t="s" s="35">
        <v>9006</v>
      </c>
    </row>
    <row r="410" ht="13.65" customHeight="1">
      <c r="A410" t="s" s="35">
        <v>9007</v>
      </c>
      <c r="B410" t="s" s="35">
        <v>1510</v>
      </c>
      <c r="C410" t="s" s="35">
        <v>8230</v>
      </c>
      <c r="D410" s="36">
        <v>32</v>
      </c>
      <c r="E410" t="s" s="35">
        <v>8149</v>
      </c>
      <c r="F410" s="36">
        <v>9</v>
      </c>
      <c r="G410" s="39"/>
      <c r="H410" t="s" s="120">
        <v>9008</v>
      </c>
      <c r="I410" t="s" s="35">
        <v>1164</v>
      </c>
      <c r="J410" t="s" s="35">
        <v>1178</v>
      </c>
      <c r="K410" t="s" s="35">
        <v>1181</v>
      </c>
      <c r="L410" t="s" s="35">
        <v>254</v>
      </c>
      <c r="M410" t="str" s="39" cm="1">
        <f t="array" ref="M410">IF(J410="FUERA","Fuera del marco",_xlfn.IFERROR(INDEX('Datos - Catálogo TIMSS'!$C$5:$C$107,MATCH(J410,'Datos - Catálogo TIMSS'!$A$5:$A$107,0)),"?"))</f>
        <v>Biología</v>
      </c>
      <c r="N410" t="s" s="35">
        <v>9009</v>
      </c>
    </row>
    <row r="411" ht="13.65" customHeight="1">
      <c r="A411" t="s" s="35">
        <v>9010</v>
      </c>
      <c r="B411" t="s" s="35">
        <v>1510</v>
      </c>
      <c r="C411" t="s" s="35">
        <v>8230</v>
      </c>
      <c r="D411" s="36">
        <v>33</v>
      </c>
      <c r="E411" t="s" s="35">
        <v>8149</v>
      </c>
      <c r="F411" s="36">
        <v>9</v>
      </c>
      <c r="G411" s="39"/>
      <c r="H411" t="s" s="120">
        <v>9011</v>
      </c>
      <c r="I411" t="s" s="35">
        <v>1164</v>
      </c>
      <c r="J411" t="s" s="35">
        <v>1186</v>
      </c>
      <c r="K411" t="s" s="35">
        <v>1181</v>
      </c>
      <c r="L411" t="s" s="35">
        <v>254</v>
      </c>
      <c r="M411" t="str" s="39" cm="1">
        <f t="array" ref="M411">IF(J411="FUERA","Fuera del marco",_xlfn.IFERROR(INDEX('Datos - Catálogo TIMSS'!$C$5:$C$107,MATCH(J411,'Datos - Catálogo TIMSS'!$A$5:$A$107,0)),"?"))</f>
        <v>Biología</v>
      </c>
      <c r="N411" t="s" s="35">
        <v>9012</v>
      </c>
    </row>
    <row r="412" ht="13.65" customHeight="1">
      <c r="A412" t="s" s="35">
        <v>9013</v>
      </c>
      <c r="B412" t="s" s="35">
        <v>1511</v>
      </c>
      <c r="C412" t="s" s="35">
        <v>9014</v>
      </c>
      <c r="D412" s="36">
        <v>43</v>
      </c>
      <c r="E412" t="s" s="35">
        <v>9015</v>
      </c>
      <c r="F412" s="36">
        <v>3</v>
      </c>
      <c r="G412" t="s" s="35">
        <v>9016</v>
      </c>
      <c r="H412" t="s" s="120">
        <v>9017</v>
      </c>
      <c r="I412" t="s" s="35">
        <v>1055</v>
      </c>
      <c r="J412" t="s" s="35">
        <v>1069</v>
      </c>
      <c r="K412" s="39"/>
      <c r="L412" t="s" s="35">
        <v>254</v>
      </c>
      <c r="M412" t="str" s="39" cm="1">
        <f t="array" ref="M412">IF(J412="FUERA","Fuera del marco",_xlfn.IFERROR(INDEX('Datos - Catálogo TIMSS'!$C$5:$C$107,MATCH(J412,'Datos - Catálogo TIMSS'!$A$5:$A$107,0)),"?"))</f>
        <v>Biología</v>
      </c>
      <c r="N412" t="s" s="35">
        <v>9018</v>
      </c>
    </row>
    <row r="413" ht="13.65" customHeight="1">
      <c r="A413" t="s" s="35">
        <v>9019</v>
      </c>
      <c r="B413" t="s" s="35">
        <v>1511</v>
      </c>
      <c r="C413" t="s" s="35">
        <v>9014</v>
      </c>
      <c r="D413" s="36">
        <v>43</v>
      </c>
      <c r="E413" t="s" s="35">
        <v>9015</v>
      </c>
      <c r="F413" s="36">
        <v>3</v>
      </c>
      <c r="G413" t="s" s="35">
        <v>9016</v>
      </c>
      <c r="H413" t="s" s="120">
        <v>9020</v>
      </c>
      <c r="I413" t="s" s="35">
        <v>1055</v>
      </c>
      <c r="J413" t="s" s="35">
        <v>1069</v>
      </c>
      <c r="K413" t="s" s="35">
        <v>1099</v>
      </c>
      <c r="L413" t="s" s="35">
        <v>254</v>
      </c>
      <c r="M413" t="str" s="39" cm="1">
        <f t="array" ref="M413">IF(J413="FUERA","Fuera del marco",_xlfn.IFERROR(INDEX('Datos - Catálogo TIMSS'!$C$5:$C$107,MATCH(J413,'Datos - Catálogo TIMSS'!$A$5:$A$107,0)),"?"))</f>
        <v>Biología</v>
      </c>
      <c r="N413" t="s" s="35">
        <v>9021</v>
      </c>
    </row>
    <row r="414" ht="13.65" customHeight="1">
      <c r="A414" t="s" s="35">
        <v>9022</v>
      </c>
      <c r="B414" t="s" s="35">
        <v>1511</v>
      </c>
      <c r="C414" t="s" s="35">
        <v>9014</v>
      </c>
      <c r="D414" s="36">
        <v>43</v>
      </c>
      <c r="E414" t="s" s="35">
        <v>9015</v>
      </c>
      <c r="F414" s="36">
        <v>3</v>
      </c>
      <c r="G414" t="s" s="35">
        <v>9016</v>
      </c>
      <c r="H414" t="s" s="120">
        <v>9023</v>
      </c>
      <c r="I414" t="s" s="35">
        <v>1055</v>
      </c>
      <c r="J414" t="s" s="35">
        <v>1069</v>
      </c>
      <c r="K414" t="s" s="35">
        <v>1099</v>
      </c>
      <c r="L414" t="s" s="35">
        <v>254</v>
      </c>
      <c r="M414" t="str" s="39" cm="1">
        <f t="array" ref="M414">IF(J414="FUERA","Fuera del marco",_xlfn.IFERROR(INDEX('Datos - Catálogo TIMSS'!$C$5:$C$107,MATCH(J414,'Datos - Catálogo TIMSS'!$A$5:$A$107,0)),"?"))</f>
        <v>Biología</v>
      </c>
      <c r="N414" t="s" s="35">
        <v>9024</v>
      </c>
    </row>
    <row r="415" ht="13.65" customHeight="1">
      <c r="A415" t="s" s="35">
        <v>9025</v>
      </c>
      <c r="B415" t="s" s="35">
        <v>1511</v>
      </c>
      <c r="C415" t="s" s="35">
        <v>9014</v>
      </c>
      <c r="D415" s="36">
        <v>39</v>
      </c>
      <c r="E415" t="s" s="35">
        <v>9015</v>
      </c>
      <c r="F415" s="36">
        <v>3</v>
      </c>
      <c r="G415" t="s" s="35">
        <v>9026</v>
      </c>
      <c r="H415" t="s" s="120">
        <v>9027</v>
      </c>
      <c r="I415" t="s" s="35">
        <v>1055</v>
      </c>
      <c r="J415" t="s" s="35">
        <v>427</v>
      </c>
      <c r="K415" s="39"/>
      <c r="L415" t="s" s="35">
        <v>254</v>
      </c>
      <c r="M415" t="str" s="39" cm="1">
        <f t="array" ref="M415">IF(J415="FUERA","Fuera del marco",_xlfn.IFERROR(INDEX('Datos - Catálogo TIMSS'!$C$5:$C$107,MATCH(J415,'Datos - Catálogo TIMSS'!$A$5:$A$107,0)),"?"))</f>
        <v>Biología</v>
      </c>
      <c r="N415" t="s" s="35">
        <v>9028</v>
      </c>
    </row>
    <row r="416" ht="13.65" customHeight="1">
      <c r="A416" t="s" s="35">
        <v>9029</v>
      </c>
      <c r="B416" t="s" s="35">
        <v>1511</v>
      </c>
      <c r="C416" t="s" s="35">
        <v>9014</v>
      </c>
      <c r="D416" s="36">
        <v>39</v>
      </c>
      <c r="E416" t="s" s="35">
        <v>9015</v>
      </c>
      <c r="F416" s="36">
        <v>3</v>
      </c>
      <c r="G416" t="s" s="35">
        <v>9026</v>
      </c>
      <c r="H416" t="s" s="120">
        <v>9030</v>
      </c>
      <c r="I416" t="s" s="35">
        <v>1055</v>
      </c>
      <c r="J416" t="s" s="35">
        <v>388</v>
      </c>
      <c r="K416" s="39"/>
      <c r="L416" t="s" s="35">
        <v>254</v>
      </c>
      <c r="M416" t="str" s="39" cm="1">
        <f t="array" ref="M416">IF(J416="FUERA","Fuera del marco",_xlfn.IFERROR(INDEX('Datos - Catálogo TIMSS'!$C$5:$C$107,MATCH(J416,'Datos - Catálogo TIMSS'!$A$5:$A$107,0)),"?"))</f>
        <v>Biología</v>
      </c>
      <c r="N416" t="s" s="35">
        <v>9031</v>
      </c>
    </row>
    <row r="417" ht="13.65" customHeight="1">
      <c r="A417" t="s" s="35">
        <v>9032</v>
      </c>
      <c r="B417" t="s" s="35">
        <v>1511</v>
      </c>
      <c r="C417" t="s" s="35">
        <v>9014</v>
      </c>
      <c r="D417" s="36">
        <v>39</v>
      </c>
      <c r="E417" t="s" s="35">
        <v>9015</v>
      </c>
      <c r="F417" s="36">
        <v>3</v>
      </c>
      <c r="G417" t="s" s="35">
        <v>9026</v>
      </c>
      <c r="H417" t="s" s="120">
        <v>9033</v>
      </c>
      <c r="I417" t="s" s="35">
        <v>1055</v>
      </c>
      <c r="J417" t="s" s="35">
        <v>427</v>
      </c>
      <c r="K417" t="s" s="35">
        <v>1099</v>
      </c>
      <c r="L417" t="s" s="35">
        <v>282</v>
      </c>
      <c r="M417" t="str" s="39" cm="1">
        <f t="array" ref="M417">IF(J417="FUERA","Fuera del marco",_xlfn.IFERROR(INDEX('Datos - Catálogo TIMSS'!$C$5:$C$107,MATCH(J417,'Datos - Catálogo TIMSS'!$A$5:$A$107,0)),"?"))</f>
        <v>Biología</v>
      </c>
      <c r="N417" t="s" s="35">
        <v>9034</v>
      </c>
    </row>
    <row r="418" ht="13.65" customHeight="1">
      <c r="A418" t="s" s="35">
        <v>9035</v>
      </c>
      <c r="B418" t="s" s="35">
        <v>1511</v>
      </c>
      <c r="C418" t="s" s="35">
        <v>9014</v>
      </c>
      <c r="D418" s="36">
        <v>39</v>
      </c>
      <c r="E418" t="s" s="35">
        <v>9015</v>
      </c>
      <c r="F418" s="36">
        <v>3</v>
      </c>
      <c r="G418" t="s" s="35">
        <v>9026</v>
      </c>
      <c r="H418" t="s" s="120">
        <v>9036</v>
      </c>
      <c r="I418" t="s" s="35">
        <v>1055</v>
      </c>
      <c r="J418" t="s" s="35">
        <v>388</v>
      </c>
      <c r="K418" s="39"/>
      <c r="L418" t="s" s="35">
        <v>254</v>
      </c>
      <c r="M418" t="str" s="39" cm="1">
        <f t="array" ref="M418">IF(J418="FUERA","Fuera del marco",_xlfn.IFERROR(INDEX('Datos - Catálogo TIMSS'!$C$5:$C$107,MATCH(J418,'Datos - Catálogo TIMSS'!$A$5:$A$107,0)),"?"))</f>
        <v>Biología</v>
      </c>
      <c r="N418" t="s" s="35">
        <v>9037</v>
      </c>
    </row>
    <row r="419" ht="13.65" customHeight="1">
      <c r="A419" t="s" s="35">
        <v>9038</v>
      </c>
      <c r="B419" t="s" s="35">
        <v>1511</v>
      </c>
      <c r="C419" t="s" s="35">
        <v>9014</v>
      </c>
      <c r="D419" s="36">
        <v>40</v>
      </c>
      <c r="E419" t="s" s="35">
        <v>9015</v>
      </c>
      <c r="F419" s="36">
        <v>3</v>
      </c>
      <c r="G419" t="s" s="35">
        <v>9039</v>
      </c>
      <c r="H419" t="s" s="120">
        <v>9040</v>
      </c>
      <c r="I419" t="s" s="35">
        <v>1055</v>
      </c>
      <c r="J419" t="s" s="35">
        <v>1106</v>
      </c>
      <c r="K419" s="39"/>
      <c r="L419" t="s" s="35">
        <v>254</v>
      </c>
      <c r="M419" t="str" s="39" cm="1">
        <f t="array" ref="M419">IF(J419="FUERA","Fuera del marco",_xlfn.IFERROR(INDEX('Datos - Catálogo TIMSS'!$C$5:$C$107,MATCH(J419,'Datos - Catálogo TIMSS'!$A$5:$A$107,0)),"?"))</f>
        <v>Ciencias físicas</v>
      </c>
      <c r="N419" t="s" s="35">
        <v>9041</v>
      </c>
    </row>
    <row r="420" ht="13.65" customHeight="1">
      <c r="A420" t="s" s="35">
        <v>9042</v>
      </c>
      <c r="B420" t="s" s="35">
        <v>1511</v>
      </c>
      <c r="C420" t="s" s="35">
        <v>9014</v>
      </c>
      <c r="D420" s="36">
        <v>40</v>
      </c>
      <c r="E420" t="s" s="35">
        <v>9015</v>
      </c>
      <c r="F420" s="36">
        <v>3</v>
      </c>
      <c r="G420" t="s" s="35">
        <v>9039</v>
      </c>
      <c r="H420" t="s" s="120">
        <v>9043</v>
      </c>
      <c r="I420" t="s" s="35">
        <v>1055</v>
      </c>
      <c r="J420" t="s" s="35">
        <v>1106</v>
      </c>
      <c r="K420" s="39"/>
      <c r="L420" t="s" s="35">
        <v>254</v>
      </c>
      <c r="M420" t="str" s="39" cm="1">
        <f t="array" ref="M420">IF(J420="FUERA","Fuera del marco",_xlfn.IFERROR(INDEX('Datos - Catálogo TIMSS'!$C$5:$C$107,MATCH(J420,'Datos - Catálogo TIMSS'!$A$5:$A$107,0)),"?"))</f>
        <v>Ciencias físicas</v>
      </c>
      <c r="N420" t="s" s="35">
        <v>9044</v>
      </c>
    </row>
    <row r="421" ht="13.65" customHeight="1">
      <c r="A421" t="s" s="35">
        <v>9045</v>
      </c>
      <c r="B421" t="s" s="35">
        <v>1511</v>
      </c>
      <c r="C421" t="s" s="35">
        <v>9014</v>
      </c>
      <c r="D421" s="36">
        <v>63</v>
      </c>
      <c r="E421" t="s" s="35">
        <v>9015</v>
      </c>
      <c r="F421" s="36">
        <v>3</v>
      </c>
      <c r="G421" t="s" s="35">
        <v>9046</v>
      </c>
      <c r="H421" t="s" s="120">
        <v>9047</v>
      </c>
      <c r="I421" t="s" s="35">
        <v>1055</v>
      </c>
      <c r="J421" t="s" s="35">
        <v>308</v>
      </c>
      <c r="K421" t="s" s="35">
        <v>332</v>
      </c>
      <c r="L421" t="s" s="35">
        <v>254</v>
      </c>
      <c r="M421" t="str" s="39" cm="1">
        <f t="array" ref="M421">IF(J421="FUERA","Fuera del marco",_xlfn.IFERROR(INDEX('Datos - Catálogo TIMSS'!$C$5:$C$107,MATCH(J421,'Datos - Catálogo TIMSS'!$A$5:$A$107,0)),"?"))</f>
        <v>Ciencias físicas</v>
      </c>
      <c r="N421" t="s" s="35">
        <v>9048</v>
      </c>
    </row>
    <row r="422" ht="13.65" customHeight="1">
      <c r="A422" t="s" s="35">
        <v>9049</v>
      </c>
      <c r="B422" t="s" s="35">
        <v>1511</v>
      </c>
      <c r="C422" t="s" s="35">
        <v>9014</v>
      </c>
      <c r="D422" s="36">
        <v>63</v>
      </c>
      <c r="E422" t="s" s="35">
        <v>9015</v>
      </c>
      <c r="F422" s="36">
        <v>3</v>
      </c>
      <c r="G422" t="s" s="35">
        <v>9046</v>
      </c>
      <c r="H422" t="s" s="120">
        <v>9050</v>
      </c>
      <c r="I422" t="s" s="35">
        <v>1055</v>
      </c>
      <c r="J422" t="s" s="35">
        <v>308</v>
      </c>
      <c r="K422" s="39"/>
      <c r="L422" t="s" s="35">
        <v>254</v>
      </c>
      <c r="M422" t="str" s="39" cm="1">
        <f t="array" ref="M422">IF(J422="FUERA","Fuera del marco",_xlfn.IFERROR(INDEX('Datos - Catálogo TIMSS'!$C$5:$C$107,MATCH(J422,'Datos - Catálogo TIMSS'!$A$5:$A$107,0)),"?"))</f>
        <v>Ciencias físicas</v>
      </c>
      <c r="N422" t="s" s="35">
        <v>9051</v>
      </c>
    </row>
    <row r="423" ht="13.65" customHeight="1">
      <c r="A423" t="s" s="35">
        <v>9052</v>
      </c>
      <c r="B423" t="s" s="35">
        <v>1511</v>
      </c>
      <c r="C423" t="s" s="35">
        <v>9014</v>
      </c>
      <c r="D423" s="36">
        <v>63</v>
      </c>
      <c r="E423" t="s" s="35">
        <v>9015</v>
      </c>
      <c r="F423" s="36">
        <v>3</v>
      </c>
      <c r="G423" t="s" s="35">
        <v>9046</v>
      </c>
      <c r="H423" t="s" s="120">
        <v>9053</v>
      </c>
      <c r="I423" t="s" s="35">
        <v>1055</v>
      </c>
      <c r="J423" t="s" s="35">
        <v>308</v>
      </c>
      <c r="K423" s="39"/>
      <c r="L423" t="s" s="35">
        <v>282</v>
      </c>
      <c r="M423" t="str" s="39" cm="1">
        <f t="array" ref="M423">IF(J423="FUERA","Fuera del marco",_xlfn.IFERROR(INDEX('Datos - Catálogo TIMSS'!$C$5:$C$107,MATCH(J423,'Datos - Catálogo TIMSS'!$A$5:$A$107,0)),"?"))</f>
        <v>Ciencias físicas</v>
      </c>
      <c r="N423" t="s" s="35">
        <v>9054</v>
      </c>
    </row>
    <row r="424" ht="13.65" customHeight="1">
      <c r="A424" t="s" s="35">
        <v>9055</v>
      </c>
      <c r="B424" t="s" s="35">
        <v>1511</v>
      </c>
      <c r="C424" t="s" s="35">
        <v>9014</v>
      </c>
      <c r="D424" s="36">
        <v>63</v>
      </c>
      <c r="E424" t="s" s="35">
        <v>9015</v>
      </c>
      <c r="F424" s="36">
        <v>3</v>
      </c>
      <c r="G424" t="s" s="35">
        <v>9046</v>
      </c>
      <c r="H424" t="s" s="120">
        <v>9056</v>
      </c>
      <c r="I424" t="s" s="35">
        <v>1055</v>
      </c>
      <c r="J424" t="s" s="35">
        <v>308</v>
      </c>
      <c r="K424" t="s" s="35">
        <v>1106</v>
      </c>
      <c r="L424" t="s" s="35">
        <v>254</v>
      </c>
      <c r="M424" t="str" s="39" cm="1">
        <f t="array" ref="M424">IF(J424="FUERA","Fuera del marco",_xlfn.IFERROR(INDEX('Datos - Catálogo TIMSS'!$C$5:$C$107,MATCH(J424,'Datos - Catálogo TIMSS'!$A$5:$A$107,0)),"?"))</f>
        <v>Ciencias físicas</v>
      </c>
      <c r="N424" t="s" s="35">
        <v>9057</v>
      </c>
    </row>
    <row r="425" ht="13.65" customHeight="1">
      <c r="A425" t="s" s="35">
        <v>9058</v>
      </c>
      <c r="B425" t="s" s="35">
        <v>1511</v>
      </c>
      <c r="C425" t="s" s="35">
        <v>9014</v>
      </c>
      <c r="D425" s="36">
        <v>63</v>
      </c>
      <c r="E425" t="s" s="35">
        <v>9015</v>
      </c>
      <c r="F425" s="36">
        <v>3</v>
      </c>
      <c r="G425" t="s" s="35">
        <v>9046</v>
      </c>
      <c r="H425" t="s" s="120">
        <v>9059</v>
      </c>
      <c r="I425" t="s" s="35">
        <v>1055</v>
      </c>
      <c r="J425" t="s" s="35">
        <v>308</v>
      </c>
      <c r="K425" s="39"/>
      <c r="L425" t="s" s="35">
        <v>282</v>
      </c>
      <c r="M425" t="str" s="39" cm="1">
        <f t="array" ref="M425">IF(J425="FUERA","Fuera del marco",_xlfn.IFERROR(INDEX('Datos - Catálogo TIMSS'!$C$5:$C$107,MATCH(J425,'Datos - Catálogo TIMSS'!$A$5:$A$107,0)),"?"))</f>
        <v>Ciencias físicas</v>
      </c>
      <c r="N425" t="s" s="35">
        <v>9060</v>
      </c>
    </row>
    <row r="426" ht="13.65" customHeight="1">
      <c r="A426" t="s" s="35">
        <v>9061</v>
      </c>
      <c r="B426" t="s" s="35">
        <v>1511</v>
      </c>
      <c r="C426" t="s" s="35">
        <v>9014</v>
      </c>
      <c r="D426" s="36">
        <v>16</v>
      </c>
      <c r="E426" t="s" s="35">
        <v>9062</v>
      </c>
      <c r="F426" s="36">
        <v>3</v>
      </c>
      <c r="G426" t="s" s="35">
        <v>9063</v>
      </c>
      <c r="H426" t="s" s="120">
        <v>9064</v>
      </c>
      <c r="I426" t="s" s="35">
        <v>1055</v>
      </c>
      <c r="J426" t="s" s="35">
        <v>1832</v>
      </c>
      <c r="K426" s="39"/>
      <c r="L426" t="s" s="35">
        <v>282</v>
      </c>
      <c r="M426" t="str" s="39" cm="1">
        <f t="array" ref="M426">IF(J426="FUERA","Fuera del marco",_xlfn.IFERROR(INDEX('Datos - Catálogo TIMSS'!$C$5:$C$107,MATCH(J426,'Datos - Catálogo TIMSS'!$A$5:$A$107,0)),"?"))</f>
        <v>Fuera del marco</v>
      </c>
      <c r="N426" t="s" s="35">
        <v>9065</v>
      </c>
    </row>
    <row r="427" ht="13.65" customHeight="1">
      <c r="A427" t="s" s="35">
        <v>9066</v>
      </c>
      <c r="B427" t="s" s="35">
        <v>1511</v>
      </c>
      <c r="C427" t="s" s="35">
        <v>9014</v>
      </c>
      <c r="D427" s="36">
        <v>16</v>
      </c>
      <c r="E427" t="s" s="35">
        <v>9062</v>
      </c>
      <c r="F427" s="36">
        <v>3</v>
      </c>
      <c r="G427" t="s" s="35">
        <v>9063</v>
      </c>
      <c r="H427" t="s" s="120">
        <v>9067</v>
      </c>
      <c r="I427" t="s" s="35">
        <v>1055</v>
      </c>
      <c r="J427" t="s" s="35">
        <v>1136</v>
      </c>
      <c r="K427" s="39"/>
      <c r="L427" t="s" s="35">
        <v>254</v>
      </c>
      <c r="M427" t="str" s="39" cm="1">
        <f t="array" ref="M427">IF(J427="FUERA","Fuera del marco",_xlfn.IFERROR(INDEX('Datos - Catálogo TIMSS'!$C$5:$C$107,MATCH(J427,'Datos - Catálogo TIMSS'!$A$5:$A$107,0)),"?"))</f>
        <v>Ciencias físicas</v>
      </c>
      <c r="N427" t="s" s="35">
        <v>9068</v>
      </c>
    </row>
    <row r="428" ht="13.65" customHeight="1">
      <c r="A428" t="s" s="35">
        <v>9069</v>
      </c>
      <c r="B428" t="s" s="35">
        <v>1511</v>
      </c>
      <c r="C428" t="s" s="35">
        <v>9014</v>
      </c>
      <c r="D428" s="36">
        <v>16</v>
      </c>
      <c r="E428" t="s" s="35">
        <v>9070</v>
      </c>
      <c r="F428" s="36">
        <v>3</v>
      </c>
      <c r="G428" t="s" s="35">
        <v>9071</v>
      </c>
      <c r="H428" t="s" s="120">
        <v>9072</v>
      </c>
      <c r="I428" t="s" s="35">
        <v>1055</v>
      </c>
      <c r="J428" t="s" s="35">
        <v>1099</v>
      </c>
      <c r="K428" t="s" s="35">
        <v>1136</v>
      </c>
      <c r="L428" t="s" s="35">
        <v>282</v>
      </c>
      <c r="M428" t="str" s="39" cm="1">
        <f t="array" ref="M428">IF(J428="FUERA","Fuera del marco",_xlfn.IFERROR(INDEX('Datos - Catálogo TIMSS'!$C$5:$C$107,MATCH(J428,'Datos - Catálogo TIMSS'!$A$5:$A$107,0)),"?"))</f>
        <v>Biología</v>
      </c>
      <c r="N428" t="s" s="35">
        <v>9073</v>
      </c>
    </row>
    <row r="429" ht="13.65" customHeight="1">
      <c r="A429" t="s" s="35">
        <v>9074</v>
      </c>
      <c r="B429" t="s" s="35">
        <v>1511</v>
      </c>
      <c r="C429" t="s" s="35">
        <v>9014</v>
      </c>
      <c r="D429" s="36">
        <v>17</v>
      </c>
      <c r="E429" t="s" s="35">
        <v>9070</v>
      </c>
      <c r="F429" s="36">
        <v>3</v>
      </c>
      <c r="G429" t="s" s="35">
        <v>9075</v>
      </c>
      <c r="H429" t="s" s="120">
        <v>9076</v>
      </c>
      <c r="I429" t="s" s="35">
        <v>1055</v>
      </c>
      <c r="J429" t="s" s="35">
        <v>1136</v>
      </c>
      <c r="K429" s="39"/>
      <c r="L429" t="s" s="35">
        <v>282</v>
      </c>
      <c r="M429" t="str" s="39" cm="1">
        <f t="array" ref="M429">IF(J429="FUERA","Fuera del marco",_xlfn.IFERROR(INDEX('Datos - Catálogo TIMSS'!$C$5:$C$107,MATCH(J429,'Datos - Catálogo TIMSS'!$A$5:$A$107,0)),"?"))</f>
        <v>Ciencias físicas</v>
      </c>
      <c r="N429" t="s" s="35">
        <v>9077</v>
      </c>
    </row>
    <row r="430" ht="13.65" customHeight="1">
      <c r="A430" t="s" s="35">
        <v>9078</v>
      </c>
      <c r="B430" t="s" s="35">
        <v>1511</v>
      </c>
      <c r="C430" t="s" s="35">
        <v>9014</v>
      </c>
      <c r="D430" s="36">
        <v>17</v>
      </c>
      <c r="E430" t="s" s="35">
        <v>9070</v>
      </c>
      <c r="F430" s="36">
        <v>3</v>
      </c>
      <c r="G430" t="s" s="35">
        <v>9075</v>
      </c>
      <c r="H430" t="s" s="120">
        <v>9079</v>
      </c>
      <c r="I430" t="s" s="35">
        <v>1055</v>
      </c>
      <c r="J430" t="s" s="35">
        <v>1136</v>
      </c>
      <c r="K430" s="39"/>
      <c r="L430" t="s" s="35">
        <v>291</v>
      </c>
      <c r="M430" t="str" s="39" cm="1">
        <f t="array" ref="M430">IF(J430="FUERA","Fuera del marco",_xlfn.IFERROR(INDEX('Datos - Catálogo TIMSS'!$C$5:$C$107,MATCH(J430,'Datos - Catálogo TIMSS'!$A$5:$A$107,0)),"?"))</f>
        <v>Ciencias físicas</v>
      </c>
      <c r="N430" t="s" s="35">
        <v>9080</v>
      </c>
    </row>
    <row r="431" ht="13.65" customHeight="1">
      <c r="A431" t="s" s="35">
        <v>9081</v>
      </c>
      <c r="B431" t="s" s="35">
        <v>1511</v>
      </c>
      <c r="C431" t="s" s="35">
        <v>9014</v>
      </c>
      <c r="D431" s="36">
        <v>17</v>
      </c>
      <c r="E431" t="s" s="35">
        <v>9070</v>
      </c>
      <c r="F431" s="36">
        <v>3</v>
      </c>
      <c r="G431" t="s" s="35">
        <v>9075</v>
      </c>
      <c r="H431" t="s" s="120">
        <v>9082</v>
      </c>
      <c r="I431" t="s" s="35">
        <v>1055</v>
      </c>
      <c r="J431" t="s" s="35">
        <v>1136</v>
      </c>
      <c r="K431" s="39"/>
      <c r="L431" t="s" s="35">
        <v>291</v>
      </c>
      <c r="M431" t="str" s="39" cm="1">
        <f t="array" ref="M431">IF(J431="FUERA","Fuera del marco",_xlfn.IFERROR(INDEX('Datos - Catálogo TIMSS'!$C$5:$C$107,MATCH(J431,'Datos - Catálogo TIMSS'!$A$5:$A$107,0)),"?"))</f>
        <v>Ciencias físicas</v>
      </c>
      <c r="N431" t="s" s="35">
        <v>9083</v>
      </c>
    </row>
    <row r="432" ht="13.65" customHeight="1">
      <c r="A432" t="s" s="35">
        <v>9084</v>
      </c>
      <c r="B432" t="s" s="35">
        <v>1511</v>
      </c>
      <c r="C432" t="s" s="35">
        <v>9014</v>
      </c>
      <c r="D432" s="36">
        <v>17</v>
      </c>
      <c r="E432" t="s" s="35">
        <v>9070</v>
      </c>
      <c r="F432" s="36">
        <v>3</v>
      </c>
      <c r="G432" t="s" s="35">
        <v>9085</v>
      </c>
      <c r="H432" t="s" s="120">
        <v>9086</v>
      </c>
      <c r="I432" t="s" s="35">
        <v>1055</v>
      </c>
      <c r="J432" t="s" s="35">
        <v>1136</v>
      </c>
      <c r="K432" s="39"/>
      <c r="L432" t="s" s="35">
        <v>291</v>
      </c>
      <c r="M432" t="str" s="39" cm="1">
        <f t="array" ref="M432">IF(J432="FUERA","Fuera del marco",_xlfn.IFERROR(INDEX('Datos - Catálogo TIMSS'!$C$5:$C$107,MATCH(J432,'Datos - Catálogo TIMSS'!$A$5:$A$107,0)),"?"))</f>
        <v>Ciencias físicas</v>
      </c>
      <c r="N432" t="s" s="35">
        <v>9087</v>
      </c>
    </row>
    <row r="433" ht="13.65" customHeight="1">
      <c r="A433" t="s" s="35">
        <v>9088</v>
      </c>
      <c r="B433" t="s" s="35">
        <v>1511</v>
      </c>
      <c r="C433" t="s" s="35">
        <v>9014</v>
      </c>
      <c r="D433" s="36">
        <v>18</v>
      </c>
      <c r="E433" t="s" s="35">
        <v>9062</v>
      </c>
      <c r="F433" s="36">
        <v>3</v>
      </c>
      <c r="G433" t="s" s="35">
        <v>9089</v>
      </c>
      <c r="H433" t="s" s="120">
        <v>9090</v>
      </c>
      <c r="I433" t="s" s="35">
        <v>1055</v>
      </c>
      <c r="J433" t="s" s="35">
        <v>1832</v>
      </c>
      <c r="K433" s="39"/>
      <c r="L433" t="s" s="35">
        <v>254</v>
      </c>
      <c r="M433" t="str" s="39" cm="1">
        <f t="array" ref="M433">IF(J433="FUERA","Fuera del marco",_xlfn.IFERROR(INDEX('Datos - Catálogo TIMSS'!$C$5:$C$107,MATCH(J433,'Datos - Catálogo TIMSS'!$A$5:$A$107,0)),"?"))</f>
        <v>Fuera del marco</v>
      </c>
      <c r="N433" t="s" s="35">
        <v>9091</v>
      </c>
    </row>
    <row r="434" ht="13.65" customHeight="1">
      <c r="A434" t="s" s="35">
        <v>9092</v>
      </c>
      <c r="B434" t="s" s="35">
        <v>1511</v>
      </c>
      <c r="C434" t="s" s="35">
        <v>9014</v>
      </c>
      <c r="D434" s="36">
        <v>18</v>
      </c>
      <c r="E434" t="s" s="35">
        <v>9062</v>
      </c>
      <c r="F434" s="36">
        <v>3</v>
      </c>
      <c r="G434" t="s" s="35">
        <v>9089</v>
      </c>
      <c r="H434" t="s" s="120">
        <v>9093</v>
      </c>
      <c r="I434" t="s" s="35">
        <v>1055</v>
      </c>
      <c r="J434" t="s" s="35">
        <v>1832</v>
      </c>
      <c r="K434" s="39"/>
      <c r="L434" t="s" s="35">
        <v>254</v>
      </c>
      <c r="M434" t="str" s="39" cm="1">
        <f t="array" ref="M434">IF(J434="FUERA","Fuera del marco",_xlfn.IFERROR(INDEX('Datos - Catálogo TIMSS'!$C$5:$C$107,MATCH(J434,'Datos - Catálogo TIMSS'!$A$5:$A$107,0)),"?"))</f>
        <v>Fuera del marco</v>
      </c>
      <c r="N434" t="s" s="35">
        <v>9094</v>
      </c>
    </row>
    <row r="435" ht="13.65" customHeight="1">
      <c r="A435" t="s" s="35">
        <v>9095</v>
      </c>
      <c r="B435" t="s" s="35">
        <v>1511</v>
      </c>
      <c r="C435" t="s" s="35">
        <v>9014</v>
      </c>
      <c r="D435" s="36">
        <v>18</v>
      </c>
      <c r="E435" t="s" s="35">
        <v>9062</v>
      </c>
      <c r="F435" s="36">
        <v>3</v>
      </c>
      <c r="G435" t="s" s="35">
        <v>9096</v>
      </c>
      <c r="H435" t="s" s="120">
        <v>9097</v>
      </c>
      <c r="I435" t="s" s="35">
        <v>1055</v>
      </c>
      <c r="J435" t="s" s="35">
        <v>1832</v>
      </c>
      <c r="K435" s="39"/>
      <c r="L435" t="s" s="35">
        <v>282</v>
      </c>
      <c r="M435" t="str" s="39" cm="1">
        <f t="array" ref="M435">IF(J435="FUERA","Fuera del marco",_xlfn.IFERROR(INDEX('Datos - Catálogo TIMSS'!$C$5:$C$107,MATCH(J435,'Datos - Catálogo TIMSS'!$A$5:$A$107,0)),"?"))</f>
        <v>Fuera del marco</v>
      </c>
      <c r="N435" t="s" s="35">
        <v>9098</v>
      </c>
    </row>
    <row r="436" ht="13.65" customHeight="1">
      <c r="A436" t="s" s="35">
        <v>9099</v>
      </c>
      <c r="B436" t="s" s="35">
        <v>1511</v>
      </c>
      <c r="C436" t="s" s="35">
        <v>9014</v>
      </c>
      <c r="D436" s="36">
        <v>18</v>
      </c>
      <c r="E436" t="s" s="35">
        <v>9062</v>
      </c>
      <c r="F436" s="36">
        <v>3</v>
      </c>
      <c r="G436" t="s" s="35">
        <v>9100</v>
      </c>
      <c r="H436" t="s" s="120">
        <v>9101</v>
      </c>
      <c r="I436" t="s" s="35">
        <v>1055</v>
      </c>
      <c r="J436" t="s" s="35">
        <v>1832</v>
      </c>
      <c r="K436" s="39"/>
      <c r="L436" t="s" s="35">
        <v>291</v>
      </c>
      <c r="M436" t="str" s="39" cm="1">
        <f t="array" ref="M436">IF(J436="FUERA","Fuera del marco",_xlfn.IFERROR(INDEX('Datos - Catálogo TIMSS'!$C$5:$C$107,MATCH(J436,'Datos - Catálogo TIMSS'!$A$5:$A$107,0)),"?"))</f>
        <v>Fuera del marco</v>
      </c>
      <c r="N436" t="s" s="35">
        <v>9102</v>
      </c>
    </row>
    <row r="437" ht="13.65" customHeight="1">
      <c r="A437" t="s" s="35">
        <v>9103</v>
      </c>
      <c r="B437" t="s" s="35">
        <v>1511</v>
      </c>
      <c r="C437" t="s" s="35">
        <v>9014</v>
      </c>
      <c r="D437" s="36">
        <v>19</v>
      </c>
      <c r="E437" t="s" s="35">
        <v>9062</v>
      </c>
      <c r="F437" s="36">
        <v>3</v>
      </c>
      <c r="G437" t="s" s="35">
        <v>9104</v>
      </c>
      <c r="H437" t="s" s="120">
        <v>9105</v>
      </c>
      <c r="I437" t="s" s="35">
        <v>1055</v>
      </c>
      <c r="J437" t="s" s="35">
        <v>1832</v>
      </c>
      <c r="K437" s="39"/>
      <c r="L437" t="s" s="35">
        <v>291</v>
      </c>
      <c r="M437" t="str" s="39" cm="1">
        <f t="array" ref="M437">IF(J437="FUERA","Fuera del marco",_xlfn.IFERROR(INDEX('Datos - Catálogo TIMSS'!$C$5:$C$107,MATCH(J437,'Datos - Catálogo TIMSS'!$A$5:$A$107,0)),"?"))</f>
        <v>Fuera del marco</v>
      </c>
      <c r="N437" t="s" s="35">
        <v>9106</v>
      </c>
    </row>
    <row r="438" ht="13.65" customHeight="1">
      <c r="A438" t="s" s="35">
        <v>9107</v>
      </c>
      <c r="B438" t="s" s="35">
        <v>1511</v>
      </c>
      <c r="C438" t="s" s="35">
        <v>9014</v>
      </c>
      <c r="D438" s="36">
        <v>49</v>
      </c>
      <c r="E438" t="s" s="35">
        <v>9108</v>
      </c>
      <c r="F438" s="36">
        <v>4</v>
      </c>
      <c r="G438" t="s" s="35">
        <v>9109</v>
      </c>
      <c r="H438" t="s" s="120">
        <v>9110</v>
      </c>
      <c r="I438" t="s" s="35">
        <v>1055</v>
      </c>
      <c r="J438" t="s" s="35">
        <v>1106</v>
      </c>
      <c r="K438" s="39"/>
      <c r="L438" t="s" s="35">
        <v>282</v>
      </c>
      <c r="M438" t="str" s="39" cm="1">
        <f t="array" ref="M438">IF(J438="FUERA","Fuera del marco",_xlfn.IFERROR(INDEX('Datos - Catálogo TIMSS'!$C$5:$C$107,MATCH(J438,'Datos - Catálogo TIMSS'!$A$5:$A$107,0)),"?"))</f>
        <v>Ciencias físicas</v>
      </c>
      <c r="N438" t="s" s="35">
        <v>9111</v>
      </c>
    </row>
    <row r="439" ht="13.65" customHeight="1">
      <c r="A439" t="s" s="35">
        <v>9112</v>
      </c>
      <c r="B439" t="s" s="35">
        <v>1511</v>
      </c>
      <c r="C439" t="s" s="35">
        <v>9014</v>
      </c>
      <c r="D439" s="36">
        <v>49</v>
      </c>
      <c r="E439" t="s" s="35">
        <v>9108</v>
      </c>
      <c r="F439" s="36">
        <v>4</v>
      </c>
      <c r="G439" t="s" s="35">
        <v>9109</v>
      </c>
      <c r="H439" t="s" s="120">
        <v>9113</v>
      </c>
      <c r="I439" t="s" s="35">
        <v>1055</v>
      </c>
      <c r="J439" t="s" s="35">
        <v>313</v>
      </c>
      <c r="K439" s="39"/>
      <c r="L439" t="s" s="35">
        <v>254</v>
      </c>
      <c r="M439" t="str" s="39" cm="1">
        <f t="array" ref="M439">IF(J439="FUERA","Fuera del marco",_xlfn.IFERROR(INDEX('Datos - Catálogo TIMSS'!$C$5:$C$107,MATCH(J439,'Datos - Catálogo TIMSS'!$A$5:$A$107,0)),"?"))</f>
        <v>Ciencias físicas</v>
      </c>
      <c r="N439" t="s" s="35">
        <v>9114</v>
      </c>
    </row>
    <row r="440" ht="13.65" customHeight="1">
      <c r="A440" t="s" s="35">
        <v>9115</v>
      </c>
      <c r="B440" t="s" s="35">
        <v>1511</v>
      </c>
      <c r="C440" t="s" s="35">
        <v>9014</v>
      </c>
      <c r="D440" s="36">
        <v>49</v>
      </c>
      <c r="E440" t="s" s="35">
        <v>9108</v>
      </c>
      <c r="F440" s="36">
        <v>4</v>
      </c>
      <c r="G440" t="s" s="35">
        <v>9109</v>
      </c>
      <c r="H440" t="s" s="120">
        <v>9116</v>
      </c>
      <c r="I440" t="s" s="35">
        <v>1055</v>
      </c>
      <c r="J440" t="s" s="35">
        <v>1136</v>
      </c>
      <c r="K440" t="s" s="35">
        <v>1106</v>
      </c>
      <c r="L440" t="s" s="35">
        <v>282</v>
      </c>
      <c r="M440" t="str" s="39" cm="1">
        <f t="array" ref="M440">IF(J440="FUERA","Fuera del marco",_xlfn.IFERROR(INDEX('Datos - Catálogo TIMSS'!$C$5:$C$107,MATCH(J440,'Datos - Catálogo TIMSS'!$A$5:$A$107,0)),"?"))</f>
        <v>Ciencias físicas</v>
      </c>
      <c r="N440" t="s" s="35">
        <v>9117</v>
      </c>
    </row>
    <row r="441" ht="13.65" customHeight="1">
      <c r="A441" t="s" s="35">
        <v>9118</v>
      </c>
      <c r="B441" t="s" s="35">
        <v>1511</v>
      </c>
      <c r="C441" t="s" s="35">
        <v>9014</v>
      </c>
      <c r="D441" s="36">
        <v>76</v>
      </c>
      <c r="E441" t="s" s="35">
        <v>9108</v>
      </c>
      <c r="F441" s="36">
        <v>4</v>
      </c>
      <c r="G441" t="s" s="35">
        <v>9119</v>
      </c>
      <c r="H441" t="s" s="120">
        <v>9120</v>
      </c>
      <c r="I441" t="s" s="35">
        <v>1055</v>
      </c>
      <c r="J441" t="s" s="35">
        <v>317</v>
      </c>
      <c r="K441" s="39"/>
      <c r="L441" t="s" s="35">
        <v>254</v>
      </c>
      <c r="M441" t="str" s="39" cm="1">
        <f t="array" ref="M441">IF(J441="FUERA","Fuera del marco",_xlfn.IFERROR(INDEX('Datos - Catálogo TIMSS'!$C$5:$C$107,MATCH(J441,'Datos - Catálogo TIMSS'!$A$5:$A$107,0)),"?"))</f>
        <v>Ciencias físicas</v>
      </c>
      <c r="N441" t="s" s="35">
        <v>9121</v>
      </c>
    </row>
    <row r="442" ht="13.65" customHeight="1">
      <c r="A442" t="s" s="35">
        <v>9122</v>
      </c>
      <c r="B442" t="s" s="35">
        <v>1511</v>
      </c>
      <c r="C442" t="s" s="35">
        <v>9014</v>
      </c>
      <c r="D442" s="36">
        <v>76</v>
      </c>
      <c r="E442" t="s" s="35">
        <v>9108</v>
      </c>
      <c r="F442" s="36">
        <v>4</v>
      </c>
      <c r="G442" t="s" s="35">
        <v>9119</v>
      </c>
      <c r="H442" t="s" s="120">
        <v>9123</v>
      </c>
      <c r="I442" t="s" s="35">
        <v>1055</v>
      </c>
      <c r="J442" t="s" s="35">
        <v>317</v>
      </c>
      <c r="K442" s="39"/>
      <c r="L442" t="s" s="35">
        <v>254</v>
      </c>
      <c r="M442" t="str" s="39" cm="1">
        <f t="array" ref="M442">IF(J442="FUERA","Fuera del marco",_xlfn.IFERROR(INDEX('Datos - Catálogo TIMSS'!$C$5:$C$107,MATCH(J442,'Datos - Catálogo TIMSS'!$A$5:$A$107,0)),"?"))</f>
        <v>Ciencias físicas</v>
      </c>
      <c r="N442" t="s" s="35">
        <v>9124</v>
      </c>
    </row>
    <row r="443" ht="13.65" customHeight="1">
      <c r="A443" t="s" s="35">
        <v>9125</v>
      </c>
      <c r="B443" t="s" s="35">
        <v>1511</v>
      </c>
      <c r="C443" t="s" s="35">
        <v>9014</v>
      </c>
      <c r="D443" s="36">
        <v>76</v>
      </c>
      <c r="E443" t="s" s="35">
        <v>9108</v>
      </c>
      <c r="F443" s="36">
        <v>4</v>
      </c>
      <c r="G443" t="s" s="35">
        <v>9119</v>
      </c>
      <c r="H443" t="s" s="120">
        <v>9126</v>
      </c>
      <c r="I443" t="s" s="35">
        <v>1055</v>
      </c>
      <c r="J443" t="s" s="35">
        <v>317</v>
      </c>
      <c r="K443" t="s" s="35">
        <v>1136</v>
      </c>
      <c r="L443" t="s" s="35">
        <v>254</v>
      </c>
      <c r="M443" t="str" s="39" cm="1">
        <f t="array" ref="M443">IF(J443="FUERA","Fuera del marco",_xlfn.IFERROR(INDEX('Datos - Catálogo TIMSS'!$C$5:$C$107,MATCH(J443,'Datos - Catálogo TIMSS'!$A$5:$A$107,0)),"?"))</f>
        <v>Ciencias físicas</v>
      </c>
      <c r="N443" t="s" s="35">
        <v>9127</v>
      </c>
    </row>
    <row r="444" ht="13.65" customHeight="1">
      <c r="A444" t="s" s="35">
        <v>9128</v>
      </c>
      <c r="B444" t="s" s="35">
        <v>1511</v>
      </c>
      <c r="C444" t="s" s="35">
        <v>9014</v>
      </c>
      <c r="D444" s="36">
        <v>77</v>
      </c>
      <c r="E444" t="s" s="35">
        <v>9108</v>
      </c>
      <c r="F444" s="36">
        <v>4</v>
      </c>
      <c r="G444" t="s" s="35">
        <v>9129</v>
      </c>
      <c r="H444" t="s" s="120">
        <v>9130</v>
      </c>
      <c r="I444" t="s" s="35">
        <v>1055</v>
      </c>
      <c r="J444" t="s" s="35">
        <v>1112</v>
      </c>
      <c r="K444" s="39"/>
      <c r="L444" t="s" s="35">
        <v>282</v>
      </c>
      <c r="M444" t="str" s="39" cm="1">
        <f t="array" ref="M444">IF(J444="FUERA","Fuera del marco",_xlfn.IFERROR(INDEX('Datos - Catálogo TIMSS'!$C$5:$C$107,MATCH(J444,'Datos - Catálogo TIMSS'!$A$5:$A$107,0)),"?"))</f>
        <v>Ciencias físicas</v>
      </c>
      <c r="N444" t="s" s="35">
        <v>9131</v>
      </c>
    </row>
    <row r="445" ht="13.65" customHeight="1">
      <c r="A445" t="s" s="35">
        <v>9132</v>
      </c>
      <c r="B445" t="s" s="35">
        <v>1511</v>
      </c>
      <c r="C445" t="s" s="35">
        <v>9014</v>
      </c>
      <c r="D445" s="36">
        <v>77</v>
      </c>
      <c r="E445" t="s" s="35">
        <v>9108</v>
      </c>
      <c r="F445" s="36">
        <v>4</v>
      </c>
      <c r="G445" t="s" s="35">
        <v>9129</v>
      </c>
      <c r="H445" t="s" s="120">
        <v>9133</v>
      </c>
      <c r="I445" t="s" s="35">
        <v>1055</v>
      </c>
      <c r="J445" t="s" s="35">
        <v>1116</v>
      </c>
      <c r="K445" s="39"/>
      <c r="L445" t="s" s="35">
        <v>282</v>
      </c>
      <c r="M445" t="str" s="39" cm="1">
        <f t="array" ref="M445">IF(J445="FUERA","Fuera del marco",_xlfn.IFERROR(INDEX('Datos - Catálogo TIMSS'!$C$5:$C$107,MATCH(J445,'Datos - Catálogo TIMSS'!$A$5:$A$107,0)),"?"))</f>
        <v>Ciencias físicas</v>
      </c>
      <c r="N445" t="s" s="35">
        <v>9134</v>
      </c>
    </row>
    <row r="446" ht="13.65" customHeight="1">
      <c r="A446" t="s" s="35">
        <v>9135</v>
      </c>
      <c r="B446" t="s" s="35">
        <v>1511</v>
      </c>
      <c r="C446" t="s" s="35">
        <v>9014</v>
      </c>
      <c r="D446" s="36">
        <v>77</v>
      </c>
      <c r="E446" t="s" s="35">
        <v>9108</v>
      </c>
      <c r="F446" s="36">
        <v>4</v>
      </c>
      <c r="G446" t="s" s="35">
        <v>9129</v>
      </c>
      <c r="H446" t="s" s="120">
        <v>9136</v>
      </c>
      <c r="I446" t="s" s="35">
        <v>1055</v>
      </c>
      <c r="J446" t="s" s="35">
        <v>1112</v>
      </c>
      <c r="K446" s="39"/>
      <c r="L446" t="s" s="35">
        <v>282</v>
      </c>
      <c r="M446" t="str" s="39" cm="1">
        <f t="array" ref="M446">IF(J446="FUERA","Fuera del marco",_xlfn.IFERROR(INDEX('Datos - Catálogo TIMSS'!$C$5:$C$107,MATCH(J446,'Datos - Catálogo TIMSS'!$A$5:$A$107,0)),"?"))</f>
        <v>Ciencias físicas</v>
      </c>
      <c r="N446" t="s" s="35">
        <v>9137</v>
      </c>
    </row>
    <row r="447" ht="13.65" customHeight="1">
      <c r="A447" t="s" s="35">
        <v>9138</v>
      </c>
      <c r="B447" t="s" s="35">
        <v>1511</v>
      </c>
      <c r="C447" t="s" s="35">
        <v>9014</v>
      </c>
      <c r="D447" s="36">
        <v>77</v>
      </c>
      <c r="E447" t="s" s="35">
        <v>9108</v>
      </c>
      <c r="F447" s="36">
        <v>4</v>
      </c>
      <c r="G447" t="s" s="35">
        <v>9129</v>
      </c>
      <c r="H447" t="s" s="120">
        <v>9139</v>
      </c>
      <c r="I447" t="s" s="35">
        <v>1055</v>
      </c>
      <c r="J447" t="s" s="35">
        <v>1116</v>
      </c>
      <c r="K447" s="39"/>
      <c r="L447" t="s" s="35">
        <v>282</v>
      </c>
      <c r="M447" t="str" s="39" cm="1">
        <f t="array" ref="M447">IF(J447="FUERA","Fuera del marco",_xlfn.IFERROR(INDEX('Datos - Catálogo TIMSS'!$C$5:$C$107,MATCH(J447,'Datos - Catálogo TIMSS'!$A$5:$A$107,0)),"?"))</f>
        <v>Ciencias físicas</v>
      </c>
      <c r="N447" t="s" s="35">
        <v>9140</v>
      </c>
    </row>
    <row r="448" ht="13.65" customHeight="1">
      <c r="A448" t="s" s="35">
        <v>9141</v>
      </c>
      <c r="B448" t="s" s="35">
        <v>1511</v>
      </c>
      <c r="C448" t="s" s="35">
        <v>9014</v>
      </c>
      <c r="D448" s="36">
        <v>77</v>
      </c>
      <c r="E448" t="s" s="35">
        <v>9108</v>
      </c>
      <c r="F448" s="36">
        <v>4</v>
      </c>
      <c r="G448" t="s" s="35">
        <v>9129</v>
      </c>
      <c r="H448" t="s" s="120">
        <v>9142</v>
      </c>
      <c r="I448" t="s" s="35">
        <v>1055</v>
      </c>
      <c r="J448" t="s" s="35">
        <v>1116</v>
      </c>
      <c r="K448" s="39"/>
      <c r="L448" t="s" s="35">
        <v>254</v>
      </c>
      <c r="M448" t="str" s="39" cm="1">
        <f t="array" ref="M448">IF(J448="FUERA","Fuera del marco",_xlfn.IFERROR(INDEX('Datos - Catálogo TIMSS'!$C$5:$C$107,MATCH(J448,'Datos - Catálogo TIMSS'!$A$5:$A$107,0)),"?"))</f>
        <v>Ciencias físicas</v>
      </c>
      <c r="N448" t="s" s="35">
        <v>9143</v>
      </c>
    </row>
    <row r="449" ht="13.65" customHeight="1">
      <c r="A449" t="s" s="35">
        <v>9144</v>
      </c>
      <c r="B449" t="s" s="35">
        <v>1511</v>
      </c>
      <c r="C449" t="s" s="35">
        <v>9014</v>
      </c>
      <c r="D449" s="36">
        <v>77</v>
      </c>
      <c r="E449" t="s" s="35">
        <v>9108</v>
      </c>
      <c r="F449" s="36">
        <v>4</v>
      </c>
      <c r="G449" t="s" s="35">
        <v>9129</v>
      </c>
      <c r="H449" t="s" s="120">
        <v>9145</v>
      </c>
      <c r="I449" t="s" s="35">
        <v>1055</v>
      </c>
      <c r="J449" t="s" s="35">
        <v>1116</v>
      </c>
      <c r="K449" s="39"/>
      <c r="L449" t="s" s="35">
        <v>254</v>
      </c>
      <c r="M449" t="str" s="39" cm="1">
        <f t="array" ref="M449">IF(J449="FUERA","Fuera del marco",_xlfn.IFERROR(INDEX('Datos - Catálogo TIMSS'!$C$5:$C$107,MATCH(J449,'Datos - Catálogo TIMSS'!$A$5:$A$107,0)),"?"))</f>
        <v>Ciencias físicas</v>
      </c>
      <c r="N449" t="s" s="35">
        <v>9146</v>
      </c>
    </row>
    <row r="450" ht="13.65" customHeight="1">
      <c r="A450" t="s" s="35">
        <v>9147</v>
      </c>
      <c r="B450" t="s" s="35">
        <v>1511</v>
      </c>
      <c r="C450" t="s" s="35">
        <v>9014</v>
      </c>
      <c r="D450" s="36">
        <v>78</v>
      </c>
      <c r="E450" t="s" s="35">
        <v>9108</v>
      </c>
      <c r="F450" s="36">
        <v>4</v>
      </c>
      <c r="G450" t="s" s="35">
        <v>9129</v>
      </c>
      <c r="H450" t="s" s="120">
        <v>9148</v>
      </c>
      <c r="I450" t="s" s="35">
        <v>1055</v>
      </c>
      <c r="J450" t="s" s="35">
        <v>313</v>
      </c>
      <c r="K450" t="s" s="35">
        <v>1116</v>
      </c>
      <c r="L450" t="s" s="35">
        <v>282</v>
      </c>
      <c r="M450" t="str" s="39" cm="1">
        <f t="array" ref="M450">IF(J450="FUERA","Fuera del marco",_xlfn.IFERROR(INDEX('Datos - Catálogo TIMSS'!$C$5:$C$107,MATCH(J450,'Datos - Catálogo TIMSS'!$A$5:$A$107,0)),"?"))</f>
        <v>Ciencias físicas</v>
      </c>
      <c r="N450" t="s" s="35">
        <v>9149</v>
      </c>
    </row>
    <row r="451" ht="13.65" customHeight="1">
      <c r="A451" t="s" s="35">
        <v>9150</v>
      </c>
      <c r="B451" t="s" s="35">
        <v>1511</v>
      </c>
      <c r="C451" t="s" s="35">
        <v>9014</v>
      </c>
      <c r="D451" s="36">
        <v>78</v>
      </c>
      <c r="E451" t="s" s="35">
        <v>9108</v>
      </c>
      <c r="F451" s="36">
        <v>4</v>
      </c>
      <c r="G451" t="s" s="35">
        <v>9129</v>
      </c>
      <c r="H451" t="s" s="120">
        <v>9151</v>
      </c>
      <c r="I451" t="s" s="35">
        <v>1055</v>
      </c>
      <c r="J451" t="s" s="35">
        <v>1106</v>
      </c>
      <c r="K451" t="s" s="35">
        <v>1116</v>
      </c>
      <c r="L451" t="s" s="35">
        <v>254</v>
      </c>
      <c r="M451" t="str" s="39" cm="1">
        <f t="array" ref="M451">IF(J451="FUERA","Fuera del marco",_xlfn.IFERROR(INDEX('Datos - Catálogo TIMSS'!$C$5:$C$107,MATCH(J451,'Datos - Catálogo TIMSS'!$A$5:$A$107,0)),"?"))</f>
        <v>Ciencias físicas</v>
      </c>
      <c r="N451" t="s" s="35">
        <v>9152</v>
      </c>
    </row>
    <row r="452" ht="13.65" customHeight="1">
      <c r="A452" t="s" s="35">
        <v>9153</v>
      </c>
      <c r="B452" t="s" s="35">
        <v>1511</v>
      </c>
      <c r="C452" t="s" s="35">
        <v>9014</v>
      </c>
      <c r="D452" s="36">
        <v>77</v>
      </c>
      <c r="E452" t="s" s="35">
        <v>9108</v>
      </c>
      <c r="F452" s="36">
        <v>4</v>
      </c>
      <c r="G452" t="s" s="35">
        <v>9129</v>
      </c>
      <c r="H452" t="s" s="120">
        <v>9154</v>
      </c>
      <c r="I452" t="s" s="35">
        <v>1055</v>
      </c>
      <c r="J452" t="s" s="35">
        <v>1136</v>
      </c>
      <c r="K452" t="s" s="35">
        <v>1116</v>
      </c>
      <c r="L452" t="s" s="35">
        <v>282</v>
      </c>
      <c r="M452" t="str" s="39" cm="1">
        <f t="array" ref="M452">IF(J452="FUERA","Fuera del marco",_xlfn.IFERROR(INDEX('Datos - Catálogo TIMSS'!$C$5:$C$107,MATCH(J452,'Datos - Catálogo TIMSS'!$A$5:$A$107,0)),"?"))</f>
        <v>Ciencias físicas</v>
      </c>
      <c r="N452" t="s" s="35">
        <v>9155</v>
      </c>
    </row>
    <row r="453" ht="13.65" customHeight="1">
      <c r="A453" t="s" s="35">
        <v>9156</v>
      </c>
      <c r="B453" t="s" s="35">
        <v>1511</v>
      </c>
      <c r="C453" t="s" s="35">
        <v>9014</v>
      </c>
      <c r="D453" s="36">
        <v>54</v>
      </c>
      <c r="E453" t="s" s="35">
        <v>9108</v>
      </c>
      <c r="F453" s="36">
        <v>4</v>
      </c>
      <c r="G453" t="s" s="35">
        <v>9157</v>
      </c>
      <c r="H453" t="s" s="120">
        <v>9158</v>
      </c>
      <c r="I453" t="s" s="35">
        <v>1055</v>
      </c>
      <c r="J453" t="s" s="35">
        <v>383</v>
      </c>
      <c r="K453" s="39"/>
      <c r="L453" t="s" s="35">
        <v>254</v>
      </c>
      <c r="M453" t="str" s="39" cm="1">
        <f t="array" ref="M453">IF(J453="FUERA","Fuera del marco",_xlfn.IFERROR(INDEX('Datos - Catálogo TIMSS'!$C$5:$C$107,MATCH(J453,'Datos - Catálogo TIMSS'!$A$5:$A$107,0)),"?"))</f>
        <v>Biología</v>
      </c>
      <c r="N453" t="s" s="35">
        <v>9159</v>
      </c>
    </row>
    <row r="454" ht="13.65" customHeight="1">
      <c r="A454" t="s" s="35">
        <v>9160</v>
      </c>
      <c r="B454" t="s" s="35">
        <v>1511</v>
      </c>
      <c r="C454" t="s" s="35">
        <v>9014</v>
      </c>
      <c r="D454" s="36">
        <v>54</v>
      </c>
      <c r="E454" t="s" s="35">
        <v>9108</v>
      </c>
      <c r="F454" s="36">
        <v>4</v>
      </c>
      <c r="G454" t="s" s="35">
        <v>9157</v>
      </c>
      <c r="H454" t="s" s="120">
        <v>9161</v>
      </c>
      <c r="I454" t="s" s="35">
        <v>1055</v>
      </c>
      <c r="J454" t="s" s="35">
        <v>383</v>
      </c>
      <c r="K454" s="39"/>
      <c r="L454" t="s" s="35">
        <v>254</v>
      </c>
      <c r="M454" t="str" s="39" cm="1">
        <f t="array" ref="M454">IF(J454="FUERA","Fuera del marco",_xlfn.IFERROR(INDEX('Datos - Catálogo TIMSS'!$C$5:$C$107,MATCH(J454,'Datos - Catálogo TIMSS'!$A$5:$A$107,0)),"?"))</f>
        <v>Biología</v>
      </c>
      <c r="N454" t="s" s="35">
        <v>9162</v>
      </c>
    </row>
    <row r="455" ht="13.65" customHeight="1">
      <c r="A455" t="s" s="35">
        <v>9163</v>
      </c>
      <c r="B455" t="s" s="35">
        <v>1511</v>
      </c>
      <c r="C455" t="s" s="35">
        <v>9014</v>
      </c>
      <c r="D455" s="36">
        <v>57</v>
      </c>
      <c r="E455" t="s" s="35">
        <v>9108</v>
      </c>
      <c r="F455" s="36">
        <v>4</v>
      </c>
      <c r="G455" t="s" s="35">
        <v>9164</v>
      </c>
      <c r="H455" t="s" s="120">
        <v>9165</v>
      </c>
      <c r="I455" t="s" s="35">
        <v>1055</v>
      </c>
      <c r="J455" t="s" s="35">
        <v>383</v>
      </c>
      <c r="K455" s="39"/>
      <c r="L455" t="s" s="35">
        <v>254</v>
      </c>
      <c r="M455" t="str" s="39" cm="1">
        <f t="array" ref="M455">IF(J455="FUERA","Fuera del marco",_xlfn.IFERROR(INDEX('Datos - Catálogo TIMSS'!$C$5:$C$107,MATCH(J455,'Datos - Catálogo TIMSS'!$A$5:$A$107,0)),"?"))</f>
        <v>Biología</v>
      </c>
      <c r="N455" t="s" s="35">
        <v>9166</v>
      </c>
    </row>
    <row r="456" ht="13.65" customHeight="1">
      <c r="A456" t="s" s="35">
        <v>9167</v>
      </c>
      <c r="B456" t="s" s="35">
        <v>1511</v>
      </c>
      <c r="C456" t="s" s="35">
        <v>9014</v>
      </c>
      <c r="D456" s="36">
        <v>57</v>
      </c>
      <c r="E456" t="s" s="35">
        <v>9108</v>
      </c>
      <c r="F456" s="36">
        <v>4</v>
      </c>
      <c r="G456" t="s" s="35">
        <v>9164</v>
      </c>
      <c r="H456" t="s" s="120">
        <v>9168</v>
      </c>
      <c r="I456" t="s" s="35">
        <v>1055</v>
      </c>
      <c r="J456" t="s" s="35">
        <v>383</v>
      </c>
      <c r="K456" t="s" s="35">
        <v>1099</v>
      </c>
      <c r="L456" t="s" s="35">
        <v>282</v>
      </c>
      <c r="M456" t="str" s="39" cm="1">
        <f t="array" ref="M456">IF(J456="FUERA","Fuera del marco",_xlfn.IFERROR(INDEX('Datos - Catálogo TIMSS'!$C$5:$C$107,MATCH(J456,'Datos - Catálogo TIMSS'!$A$5:$A$107,0)),"?"))</f>
        <v>Biología</v>
      </c>
      <c r="N456" t="s" s="35">
        <v>9169</v>
      </c>
    </row>
    <row r="457" ht="13.65" customHeight="1">
      <c r="A457" t="s" s="35">
        <v>9170</v>
      </c>
      <c r="B457" t="s" s="35">
        <v>1511</v>
      </c>
      <c r="C457" t="s" s="35">
        <v>9014</v>
      </c>
      <c r="D457" s="36">
        <v>44</v>
      </c>
      <c r="E457" t="s" s="35">
        <v>9171</v>
      </c>
      <c r="F457" s="36">
        <v>5</v>
      </c>
      <c r="G457" t="s" s="35">
        <v>9172</v>
      </c>
      <c r="H457" t="s" s="120">
        <v>9173</v>
      </c>
      <c r="I457" t="s" s="35">
        <v>1164</v>
      </c>
      <c r="J457" t="s" s="35">
        <v>1174</v>
      </c>
      <c r="K457" s="39"/>
      <c r="L457" t="s" s="35">
        <v>254</v>
      </c>
      <c r="M457" t="str" s="39" cm="1">
        <f t="array" ref="M457">IF(J457="FUERA","Fuera del marco",_xlfn.IFERROR(INDEX('Datos - Catálogo TIMSS'!$C$5:$C$107,MATCH(J457,'Datos - Catálogo TIMSS'!$A$5:$A$107,0)),"?"))</f>
        <v>Biología</v>
      </c>
      <c r="N457" t="s" s="35">
        <v>9174</v>
      </c>
    </row>
    <row r="458" ht="13.65" customHeight="1">
      <c r="A458" t="s" s="35">
        <v>9175</v>
      </c>
      <c r="B458" t="s" s="35">
        <v>1511</v>
      </c>
      <c r="C458" t="s" s="35">
        <v>9014</v>
      </c>
      <c r="D458" s="36">
        <v>44</v>
      </c>
      <c r="E458" t="s" s="35">
        <v>9171</v>
      </c>
      <c r="F458" s="36">
        <v>5</v>
      </c>
      <c r="G458" t="s" s="35">
        <v>9172</v>
      </c>
      <c r="H458" t="s" s="120">
        <v>9176</v>
      </c>
      <c r="I458" t="s" s="35">
        <v>1164</v>
      </c>
      <c r="J458" t="s" s="35">
        <v>1178</v>
      </c>
      <c r="K458" s="39"/>
      <c r="L458" t="s" s="35">
        <v>254</v>
      </c>
      <c r="M458" t="str" s="39" cm="1">
        <f t="array" ref="M458">IF(J458="FUERA","Fuera del marco",_xlfn.IFERROR(INDEX('Datos - Catálogo TIMSS'!$C$5:$C$107,MATCH(J458,'Datos - Catálogo TIMSS'!$A$5:$A$107,0)),"?"))</f>
        <v>Biología</v>
      </c>
      <c r="N458" t="s" s="35">
        <v>9177</v>
      </c>
    </row>
    <row r="459" ht="13.65" customHeight="1">
      <c r="A459" t="s" s="35">
        <v>9178</v>
      </c>
      <c r="B459" t="s" s="35">
        <v>1511</v>
      </c>
      <c r="C459" t="s" s="35">
        <v>9014</v>
      </c>
      <c r="D459" s="36">
        <v>44</v>
      </c>
      <c r="E459" t="s" s="35">
        <v>9171</v>
      </c>
      <c r="F459" s="36">
        <v>5</v>
      </c>
      <c r="G459" t="s" s="35">
        <v>9172</v>
      </c>
      <c r="H459" t="s" s="120">
        <v>9179</v>
      </c>
      <c r="I459" t="s" s="35">
        <v>1164</v>
      </c>
      <c r="J459" t="s" s="35">
        <v>1178</v>
      </c>
      <c r="K459" s="39"/>
      <c r="L459" t="s" s="35">
        <v>282</v>
      </c>
      <c r="M459" t="str" s="39" cm="1">
        <f t="array" ref="M459">IF(J459="FUERA","Fuera del marco",_xlfn.IFERROR(INDEX('Datos - Catálogo TIMSS'!$C$5:$C$107,MATCH(J459,'Datos - Catálogo TIMSS'!$A$5:$A$107,0)),"?"))</f>
        <v>Biología</v>
      </c>
      <c r="N459" t="s" s="35">
        <v>9180</v>
      </c>
    </row>
    <row r="460" ht="13.65" customHeight="1">
      <c r="A460" t="s" s="35">
        <v>9181</v>
      </c>
      <c r="B460" t="s" s="35">
        <v>1511</v>
      </c>
      <c r="C460" t="s" s="35">
        <v>9014</v>
      </c>
      <c r="D460" s="36">
        <v>45</v>
      </c>
      <c r="E460" t="s" s="35">
        <v>9171</v>
      </c>
      <c r="F460" s="36">
        <v>5</v>
      </c>
      <c r="G460" t="s" s="35">
        <v>9172</v>
      </c>
      <c r="H460" t="s" s="120">
        <v>9182</v>
      </c>
      <c r="I460" t="s" s="35">
        <v>1164</v>
      </c>
      <c r="J460" t="s" s="35">
        <v>1178</v>
      </c>
      <c r="K460" s="39"/>
      <c r="L460" t="s" s="35">
        <v>254</v>
      </c>
      <c r="M460" t="str" s="39" cm="1">
        <f t="array" ref="M460">IF(J460="FUERA","Fuera del marco",_xlfn.IFERROR(INDEX('Datos - Catálogo TIMSS'!$C$5:$C$107,MATCH(J460,'Datos - Catálogo TIMSS'!$A$5:$A$107,0)),"?"))</f>
        <v>Biología</v>
      </c>
      <c r="N460" t="s" s="35">
        <v>9183</v>
      </c>
    </row>
    <row r="461" ht="13.65" customHeight="1">
      <c r="A461" t="s" s="35">
        <v>9184</v>
      </c>
      <c r="B461" t="s" s="35">
        <v>1511</v>
      </c>
      <c r="C461" t="s" s="35">
        <v>9014</v>
      </c>
      <c r="D461" s="36">
        <v>46</v>
      </c>
      <c r="E461" t="s" s="35">
        <v>9171</v>
      </c>
      <c r="F461" s="36">
        <v>5</v>
      </c>
      <c r="G461" t="s" s="35">
        <v>9172</v>
      </c>
      <c r="H461" t="s" s="120">
        <v>9185</v>
      </c>
      <c r="I461" t="s" s="35">
        <v>1164</v>
      </c>
      <c r="J461" t="s" s="35">
        <v>1178</v>
      </c>
      <c r="K461" s="39"/>
      <c r="L461" t="s" s="35">
        <v>254</v>
      </c>
      <c r="M461" t="str" s="39" cm="1">
        <f t="array" ref="M461">IF(J461="FUERA","Fuera del marco",_xlfn.IFERROR(INDEX('Datos - Catálogo TIMSS'!$C$5:$C$107,MATCH(J461,'Datos - Catálogo TIMSS'!$A$5:$A$107,0)),"?"))</f>
        <v>Biología</v>
      </c>
      <c r="N461" t="s" s="35">
        <v>9186</v>
      </c>
    </row>
    <row r="462" ht="13.65" customHeight="1">
      <c r="A462" t="s" s="35">
        <v>9187</v>
      </c>
      <c r="B462" t="s" s="35">
        <v>1511</v>
      </c>
      <c r="C462" t="s" s="35">
        <v>9014</v>
      </c>
      <c r="D462" s="36">
        <v>44</v>
      </c>
      <c r="E462" t="s" s="35">
        <v>9171</v>
      </c>
      <c r="F462" s="36">
        <v>5</v>
      </c>
      <c r="G462" t="s" s="35">
        <v>9172</v>
      </c>
      <c r="H462" t="s" s="120">
        <v>9188</v>
      </c>
      <c r="I462" t="s" s="35">
        <v>1164</v>
      </c>
      <c r="J462" t="s" s="35">
        <v>1178</v>
      </c>
      <c r="K462" t="s" s="35">
        <v>1207</v>
      </c>
      <c r="L462" t="s" s="35">
        <v>282</v>
      </c>
      <c r="M462" t="str" s="39" cm="1">
        <f t="array" ref="M462">IF(J462="FUERA","Fuera del marco",_xlfn.IFERROR(INDEX('Datos - Catálogo TIMSS'!$C$5:$C$107,MATCH(J462,'Datos - Catálogo TIMSS'!$A$5:$A$107,0)),"?"))</f>
        <v>Biología</v>
      </c>
      <c r="N462" t="s" s="35">
        <v>9189</v>
      </c>
    </row>
    <row r="463" ht="13.65" customHeight="1">
      <c r="A463" t="s" s="35">
        <v>9190</v>
      </c>
      <c r="B463" t="s" s="35">
        <v>1511</v>
      </c>
      <c r="C463" t="s" s="35">
        <v>9014</v>
      </c>
      <c r="D463" s="36">
        <v>50</v>
      </c>
      <c r="E463" t="s" s="35">
        <v>9171</v>
      </c>
      <c r="F463" s="36">
        <v>5</v>
      </c>
      <c r="G463" t="s" s="35">
        <v>9191</v>
      </c>
      <c r="H463" t="s" s="120">
        <v>9192</v>
      </c>
      <c r="I463" t="s" s="35">
        <v>1164</v>
      </c>
      <c r="J463" t="s" s="35">
        <v>1241</v>
      </c>
      <c r="K463" s="39"/>
      <c r="L463" t="s" s="35">
        <v>254</v>
      </c>
      <c r="M463" t="str" s="39" cm="1">
        <f t="array" ref="M463">IF(J463="FUERA","Fuera del marco",_xlfn.IFERROR(INDEX('Datos - Catálogo TIMSS'!$C$5:$C$107,MATCH(J463,'Datos - Catálogo TIMSS'!$A$5:$A$107,0)),"?"))</f>
        <v>Física</v>
      </c>
      <c r="N463" t="s" s="35">
        <v>9193</v>
      </c>
    </row>
    <row r="464" ht="13.65" customHeight="1">
      <c r="A464" t="s" s="35">
        <v>9194</v>
      </c>
      <c r="B464" t="s" s="35">
        <v>1511</v>
      </c>
      <c r="C464" t="s" s="35">
        <v>9014</v>
      </c>
      <c r="D464" s="36">
        <v>50</v>
      </c>
      <c r="E464" t="s" s="35">
        <v>9171</v>
      </c>
      <c r="F464" s="36">
        <v>5</v>
      </c>
      <c r="G464" t="s" s="35">
        <v>9191</v>
      </c>
      <c r="H464" t="s" s="120">
        <v>9195</v>
      </c>
      <c r="I464" t="s" s="35">
        <v>1164</v>
      </c>
      <c r="J464" t="s" s="35">
        <v>1241</v>
      </c>
      <c r="K464" s="39"/>
      <c r="L464" t="s" s="35">
        <v>254</v>
      </c>
      <c r="M464" t="str" s="39" cm="1">
        <f t="array" ref="M464">IF(J464="FUERA","Fuera del marco",_xlfn.IFERROR(INDEX('Datos - Catálogo TIMSS'!$C$5:$C$107,MATCH(J464,'Datos - Catálogo TIMSS'!$A$5:$A$107,0)),"?"))</f>
        <v>Física</v>
      </c>
      <c r="N464" t="s" s="35">
        <v>9196</v>
      </c>
    </row>
    <row r="465" ht="13.65" customHeight="1">
      <c r="A465" t="s" s="35">
        <v>9197</v>
      </c>
      <c r="B465" t="s" s="35">
        <v>1511</v>
      </c>
      <c r="C465" t="s" s="35">
        <v>9014</v>
      </c>
      <c r="D465" s="36">
        <v>50</v>
      </c>
      <c r="E465" t="s" s="35">
        <v>9171</v>
      </c>
      <c r="F465" s="36">
        <v>5</v>
      </c>
      <c r="G465" t="s" s="35">
        <v>9191</v>
      </c>
      <c r="H465" t="s" s="120">
        <v>9198</v>
      </c>
      <c r="I465" t="s" s="35">
        <v>1164</v>
      </c>
      <c r="J465" t="s" s="35">
        <v>1241</v>
      </c>
      <c r="K465" s="39"/>
      <c r="L465" t="s" s="35">
        <v>254</v>
      </c>
      <c r="M465" t="str" s="39" cm="1">
        <f t="array" ref="M465">IF(J465="FUERA","Fuera del marco",_xlfn.IFERROR(INDEX('Datos - Catálogo TIMSS'!$C$5:$C$107,MATCH(J465,'Datos - Catálogo TIMSS'!$A$5:$A$107,0)),"?"))</f>
        <v>Física</v>
      </c>
      <c r="N465" t="s" s="35">
        <v>9199</v>
      </c>
    </row>
    <row r="466" ht="13.65" customHeight="1">
      <c r="A466" t="s" s="35">
        <v>9200</v>
      </c>
      <c r="B466" t="s" s="35">
        <v>1511</v>
      </c>
      <c r="C466" t="s" s="35">
        <v>9014</v>
      </c>
      <c r="D466" s="36">
        <v>50</v>
      </c>
      <c r="E466" t="s" s="35">
        <v>9171</v>
      </c>
      <c r="F466" s="36">
        <v>5</v>
      </c>
      <c r="G466" t="s" s="35">
        <v>9191</v>
      </c>
      <c r="H466" t="s" s="120">
        <v>9201</v>
      </c>
      <c r="I466" t="s" s="35">
        <v>1164</v>
      </c>
      <c r="J466" t="s" s="35">
        <v>520</v>
      </c>
      <c r="K466" t="s" s="35">
        <v>1241</v>
      </c>
      <c r="L466" t="s" s="35">
        <v>254</v>
      </c>
      <c r="M466" t="str" s="39" cm="1">
        <f t="array" ref="M466">IF(J466="FUERA","Fuera del marco",_xlfn.IFERROR(INDEX('Datos - Catálogo TIMSS'!$C$5:$C$107,MATCH(J466,'Datos - Catálogo TIMSS'!$A$5:$A$107,0)),"?"))</f>
        <v>Ciencias de la Tierra</v>
      </c>
      <c r="N466" t="s" s="35">
        <v>9202</v>
      </c>
    </row>
    <row r="467" ht="13.65" customHeight="1">
      <c r="A467" t="s" s="35">
        <v>9203</v>
      </c>
      <c r="B467" t="s" s="35">
        <v>1511</v>
      </c>
      <c r="C467" t="s" s="35">
        <v>9014</v>
      </c>
      <c r="D467" s="36">
        <v>50</v>
      </c>
      <c r="E467" t="s" s="35">
        <v>9171</v>
      </c>
      <c r="F467" s="36">
        <v>5</v>
      </c>
      <c r="G467" t="s" s="35">
        <v>9191</v>
      </c>
      <c r="H467" t="s" s="120">
        <v>9204</v>
      </c>
      <c r="I467" t="s" s="35">
        <v>1164</v>
      </c>
      <c r="J467" t="s" s="35">
        <v>520</v>
      </c>
      <c r="K467" s="39"/>
      <c r="L467" t="s" s="35">
        <v>282</v>
      </c>
      <c r="M467" t="str" s="39" cm="1">
        <f t="array" ref="M467">IF(J467="FUERA","Fuera del marco",_xlfn.IFERROR(INDEX('Datos - Catálogo TIMSS'!$C$5:$C$107,MATCH(J467,'Datos - Catálogo TIMSS'!$A$5:$A$107,0)),"?"))</f>
        <v>Ciencias de la Tierra</v>
      </c>
      <c r="N467" t="s" s="35">
        <v>9205</v>
      </c>
    </row>
    <row r="468" ht="13.65" customHeight="1">
      <c r="A468" t="s" s="35">
        <v>9206</v>
      </c>
      <c r="B468" t="s" s="35">
        <v>1511</v>
      </c>
      <c r="C468" t="s" s="35">
        <v>9014</v>
      </c>
      <c r="D468" s="36">
        <v>51</v>
      </c>
      <c r="E468" t="s" s="35">
        <v>9171</v>
      </c>
      <c r="F468" s="36">
        <v>5</v>
      </c>
      <c r="G468" t="s" s="35">
        <v>9191</v>
      </c>
      <c r="H468" t="s" s="120">
        <v>9207</v>
      </c>
      <c r="I468" t="s" s="35">
        <v>1164</v>
      </c>
      <c r="J468" t="s" s="35">
        <v>1195</v>
      </c>
      <c r="K468" s="39"/>
      <c r="L468" t="s" s="35">
        <v>291</v>
      </c>
      <c r="M468" t="str" s="39" cm="1">
        <f t="array" ref="M468">IF(J468="FUERA","Fuera del marco",_xlfn.IFERROR(INDEX('Datos - Catálogo TIMSS'!$C$5:$C$107,MATCH(J468,'Datos - Catálogo TIMSS'!$A$5:$A$107,0)),"?"))</f>
        <v>Biología</v>
      </c>
      <c r="N468" t="s" s="35">
        <v>9208</v>
      </c>
    </row>
    <row r="469" ht="13.65" customHeight="1">
      <c r="A469" t="s" s="35">
        <v>9209</v>
      </c>
      <c r="B469" t="s" s="35">
        <v>1511</v>
      </c>
      <c r="C469" t="s" s="35">
        <v>9014</v>
      </c>
      <c r="D469" s="36">
        <v>51</v>
      </c>
      <c r="E469" t="s" s="35">
        <v>9171</v>
      </c>
      <c r="F469" s="36">
        <v>5</v>
      </c>
      <c r="G469" t="s" s="35">
        <v>9191</v>
      </c>
      <c r="H469" t="s" s="120">
        <v>9210</v>
      </c>
      <c r="I469" t="s" s="35">
        <v>1164</v>
      </c>
      <c r="J469" t="s" s="35">
        <v>1201</v>
      </c>
      <c r="K469" t="s" s="35">
        <v>1290</v>
      </c>
      <c r="L469" t="s" s="35">
        <v>254</v>
      </c>
      <c r="M469" t="str" s="39" cm="1">
        <f t="array" ref="M469">IF(J469="FUERA","Fuera del marco",_xlfn.IFERROR(INDEX('Datos - Catálogo TIMSS'!$C$5:$C$107,MATCH(J469,'Datos - Catálogo TIMSS'!$A$5:$A$107,0)),"?"))</f>
        <v>Biología</v>
      </c>
      <c r="N469" t="s" s="35">
        <v>9211</v>
      </c>
    </row>
    <row r="470" ht="13.65" customHeight="1">
      <c r="A470" t="s" s="35">
        <v>9212</v>
      </c>
      <c r="B470" t="s" s="35">
        <v>1511</v>
      </c>
      <c r="C470" t="s" s="35">
        <v>9014</v>
      </c>
      <c r="D470" s="36">
        <v>50</v>
      </c>
      <c r="E470" t="s" s="35">
        <v>9171</v>
      </c>
      <c r="F470" s="36">
        <v>5</v>
      </c>
      <c r="G470" t="s" s="35">
        <v>9191</v>
      </c>
      <c r="H470" t="s" s="120">
        <v>9213</v>
      </c>
      <c r="I470" t="s" s="35">
        <v>1164</v>
      </c>
      <c r="J470" t="s" s="35">
        <v>554</v>
      </c>
      <c r="K470" s="39"/>
      <c r="L470" t="s" s="35">
        <v>282</v>
      </c>
      <c r="M470" t="str" s="39" cm="1">
        <f t="array" ref="M470">IF(J470="FUERA","Fuera del marco",_xlfn.IFERROR(INDEX('Datos - Catálogo TIMSS'!$C$5:$C$107,MATCH(J470,'Datos - Catálogo TIMSS'!$A$5:$A$107,0)),"?"))</f>
        <v>Física</v>
      </c>
      <c r="N470" t="s" s="35">
        <v>9214</v>
      </c>
    </row>
    <row r="471" ht="13.65" customHeight="1">
      <c r="A471" t="s" s="35">
        <v>9215</v>
      </c>
      <c r="B471" t="s" s="35">
        <v>1511</v>
      </c>
      <c r="C471" t="s" s="35">
        <v>9014</v>
      </c>
      <c r="D471" s="36">
        <v>50</v>
      </c>
      <c r="E471" t="s" s="35">
        <v>9171</v>
      </c>
      <c r="F471" s="36">
        <v>5</v>
      </c>
      <c r="G471" t="s" s="35">
        <v>9191</v>
      </c>
      <c r="H471" t="s" s="120">
        <v>9216</v>
      </c>
      <c r="I471" t="s" s="35">
        <v>1164</v>
      </c>
      <c r="J471" t="s" s="35">
        <v>1241</v>
      </c>
      <c r="K471" t="s" s="35">
        <v>569</v>
      </c>
      <c r="L471" t="s" s="35">
        <v>254</v>
      </c>
      <c r="M471" t="str" s="39" cm="1">
        <f t="array" ref="M471">IF(J471="FUERA","Fuera del marco",_xlfn.IFERROR(INDEX('Datos - Catálogo TIMSS'!$C$5:$C$107,MATCH(J471,'Datos - Catálogo TIMSS'!$A$5:$A$107,0)),"?"))</f>
        <v>Física</v>
      </c>
      <c r="N471" t="s" s="35">
        <v>9217</v>
      </c>
    </row>
    <row r="472" ht="13.65" customHeight="1">
      <c r="A472" t="s" s="35">
        <v>9218</v>
      </c>
      <c r="B472" t="s" s="35">
        <v>1511</v>
      </c>
      <c r="C472" t="s" s="35">
        <v>9014</v>
      </c>
      <c r="D472" s="36">
        <v>50</v>
      </c>
      <c r="E472" t="s" s="35">
        <v>9171</v>
      </c>
      <c r="F472" s="36">
        <v>5</v>
      </c>
      <c r="G472" t="s" s="35">
        <v>9191</v>
      </c>
      <c r="H472" t="s" s="120">
        <v>9219</v>
      </c>
      <c r="I472" t="s" s="35">
        <v>1164</v>
      </c>
      <c r="J472" t="s" s="35">
        <v>1241</v>
      </c>
      <c r="K472" t="s" s="35">
        <v>569</v>
      </c>
      <c r="L472" t="s" s="35">
        <v>254</v>
      </c>
      <c r="M472" t="str" s="39" cm="1">
        <f t="array" ref="M472">IF(J472="FUERA","Fuera del marco",_xlfn.IFERROR(INDEX('Datos - Catálogo TIMSS'!$C$5:$C$107,MATCH(J472,'Datos - Catálogo TIMSS'!$A$5:$A$107,0)),"?"))</f>
        <v>Física</v>
      </c>
      <c r="N472" t="s" s="35">
        <v>9220</v>
      </c>
    </row>
    <row r="473" ht="13.65" customHeight="1">
      <c r="A473" t="s" s="35">
        <v>9221</v>
      </c>
      <c r="B473" t="s" s="35">
        <v>1511</v>
      </c>
      <c r="C473" t="s" s="35">
        <v>9014</v>
      </c>
      <c r="D473" s="36">
        <v>16</v>
      </c>
      <c r="E473" t="s" s="35">
        <v>9222</v>
      </c>
      <c r="F473" s="36">
        <v>5</v>
      </c>
      <c r="G473" t="s" s="35">
        <v>9071</v>
      </c>
      <c r="H473" t="s" s="120">
        <v>9223</v>
      </c>
      <c r="I473" t="s" s="35">
        <v>1164</v>
      </c>
      <c r="J473" t="s" s="35">
        <v>1207</v>
      </c>
      <c r="K473" t="s" s="35">
        <v>569</v>
      </c>
      <c r="L473" t="s" s="35">
        <v>282</v>
      </c>
      <c r="M473" t="str" s="39" cm="1">
        <f t="array" ref="M473">IF(J473="FUERA","Fuera del marco",_xlfn.IFERROR(INDEX('Datos - Catálogo TIMSS'!$C$5:$C$107,MATCH(J473,'Datos - Catálogo TIMSS'!$A$5:$A$107,0)),"?"))</f>
        <v>Biología</v>
      </c>
      <c r="N473" t="s" s="35">
        <v>9224</v>
      </c>
    </row>
    <row r="474" ht="13.65" customHeight="1">
      <c r="A474" t="s" s="35">
        <v>9225</v>
      </c>
      <c r="B474" t="s" s="35">
        <v>1511</v>
      </c>
      <c r="C474" t="s" s="35">
        <v>9014</v>
      </c>
      <c r="D474" s="36">
        <v>17</v>
      </c>
      <c r="E474" t="s" s="35">
        <v>9222</v>
      </c>
      <c r="F474" s="36">
        <v>5</v>
      </c>
      <c r="G474" t="s" s="35">
        <v>9075</v>
      </c>
      <c r="H474" t="s" s="120">
        <v>9226</v>
      </c>
      <c r="I474" t="s" s="35">
        <v>1164</v>
      </c>
      <c r="J474" t="s" s="35">
        <v>569</v>
      </c>
      <c r="K474" s="39"/>
      <c r="L474" t="s" s="35">
        <v>282</v>
      </c>
      <c r="M474" t="str" s="39" cm="1">
        <f t="array" ref="M474">IF(J474="FUERA","Fuera del marco",_xlfn.IFERROR(INDEX('Datos - Catálogo TIMSS'!$C$5:$C$107,MATCH(J474,'Datos - Catálogo TIMSS'!$A$5:$A$107,0)),"?"))</f>
        <v>Física</v>
      </c>
      <c r="N474" t="s" s="35">
        <v>9227</v>
      </c>
    </row>
    <row r="475" ht="13.65" customHeight="1">
      <c r="A475" t="s" s="35">
        <v>9228</v>
      </c>
      <c r="B475" t="s" s="35">
        <v>1511</v>
      </c>
      <c r="C475" t="s" s="35">
        <v>9014</v>
      </c>
      <c r="D475" s="36">
        <v>17</v>
      </c>
      <c r="E475" t="s" s="35">
        <v>9222</v>
      </c>
      <c r="F475" s="36">
        <v>5</v>
      </c>
      <c r="G475" t="s" s="35">
        <v>9075</v>
      </c>
      <c r="H475" t="s" s="120">
        <v>9229</v>
      </c>
      <c r="I475" t="s" s="35">
        <v>1164</v>
      </c>
      <c r="J475" t="s" s="35">
        <v>569</v>
      </c>
      <c r="K475" s="39"/>
      <c r="L475" t="s" s="35">
        <v>291</v>
      </c>
      <c r="M475" t="str" s="39" cm="1">
        <f t="array" ref="M475">IF(J475="FUERA","Fuera del marco",_xlfn.IFERROR(INDEX('Datos - Catálogo TIMSS'!$C$5:$C$107,MATCH(J475,'Datos - Catálogo TIMSS'!$A$5:$A$107,0)),"?"))</f>
        <v>Física</v>
      </c>
      <c r="N475" t="s" s="35">
        <v>9230</v>
      </c>
    </row>
    <row r="476" ht="13.65" customHeight="1">
      <c r="A476" t="s" s="35">
        <v>9231</v>
      </c>
      <c r="B476" t="s" s="35">
        <v>1511</v>
      </c>
      <c r="C476" t="s" s="35">
        <v>9014</v>
      </c>
      <c r="D476" s="36">
        <v>17</v>
      </c>
      <c r="E476" t="s" s="35">
        <v>9222</v>
      </c>
      <c r="F476" s="36">
        <v>5</v>
      </c>
      <c r="G476" t="s" s="35">
        <v>9075</v>
      </c>
      <c r="H476" t="s" s="120">
        <v>9232</v>
      </c>
      <c r="I476" t="s" s="35">
        <v>1164</v>
      </c>
      <c r="J476" t="s" s="35">
        <v>569</v>
      </c>
      <c r="K476" s="39"/>
      <c r="L476" t="s" s="35">
        <v>291</v>
      </c>
      <c r="M476" t="str" s="39" cm="1">
        <f t="array" ref="M476">IF(J476="FUERA","Fuera del marco",_xlfn.IFERROR(INDEX('Datos - Catálogo TIMSS'!$C$5:$C$107,MATCH(J476,'Datos - Catálogo TIMSS'!$A$5:$A$107,0)),"?"))</f>
        <v>Física</v>
      </c>
      <c r="N476" t="s" s="35">
        <v>9233</v>
      </c>
    </row>
    <row r="477" ht="13.65" customHeight="1">
      <c r="A477" t="s" s="35">
        <v>9234</v>
      </c>
      <c r="B477" t="s" s="35">
        <v>1511</v>
      </c>
      <c r="C477" t="s" s="35">
        <v>9014</v>
      </c>
      <c r="D477" s="36">
        <v>17</v>
      </c>
      <c r="E477" t="s" s="35">
        <v>9222</v>
      </c>
      <c r="F477" s="36">
        <v>5</v>
      </c>
      <c r="G477" t="s" s="35">
        <v>9085</v>
      </c>
      <c r="H477" t="s" s="120">
        <v>9235</v>
      </c>
      <c r="I477" t="s" s="35">
        <v>1164</v>
      </c>
      <c r="J477" t="s" s="35">
        <v>569</v>
      </c>
      <c r="K477" s="39"/>
      <c r="L477" t="s" s="35">
        <v>291</v>
      </c>
      <c r="M477" t="str" s="39" cm="1">
        <f t="array" ref="M477">IF(J477="FUERA","Fuera del marco",_xlfn.IFERROR(INDEX('Datos - Catálogo TIMSS'!$C$5:$C$107,MATCH(J477,'Datos - Catálogo TIMSS'!$A$5:$A$107,0)),"?"))</f>
        <v>Física</v>
      </c>
      <c r="N477" t="s" s="35">
        <v>9236</v>
      </c>
    </row>
    <row r="478" ht="13.65" customHeight="1">
      <c r="A478" t="s" s="35">
        <v>9237</v>
      </c>
      <c r="B478" t="s" s="35">
        <v>1511</v>
      </c>
      <c r="C478" t="s" s="35">
        <v>9014</v>
      </c>
      <c r="D478" s="36">
        <v>55</v>
      </c>
      <c r="E478" t="s" s="35">
        <v>9171</v>
      </c>
      <c r="F478" s="36">
        <v>5</v>
      </c>
      <c r="G478" t="s" s="35">
        <v>9238</v>
      </c>
      <c r="H478" t="s" s="120">
        <v>9239</v>
      </c>
      <c r="I478" t="s" s="35">
        <v>1164</v>
      </c>
      <c r="J478" t="s" s="35">
        <v>494</v>
      </c>
      <c r="K478" s="39"/>
      <c r="L478" t="s" s="35">
        <v>254</v>
      </c>
      <c r="M478" t="str" s="39" cm="1">
        <f t="array" ref="M478">IF(J478="FUERA","Fuera del marco",_xlfn.IFERROR(INDEX('Datos - Catálogo TIMSS'!$C$5:$C$107,MATCH(J478,'Datos - Catálogo TIMSS'!$A$5:$A$107,0)),"?"))</f>
        <v>Ciencias de la Tierra</v>
      </c>
      <c r="N478" t="s" s="35">
        <v>9240</v>
      </c>
    </row>
    <row r="479" ht="13.65" customHeight="1">
      <c r="A479" t="s" s="35">
        <v>9241</v>
      </c>
      <c r="B479" t="s" s="35">
        <v>1511</v>
      </c>
      <c r="C479" t="s" s="35">
        <v>9014</v>
      </c>
      <c r="D479" s="36">
        <v>55</v>
      </c>
      <c r="E479" t="s" s="35">
        <v>9171</v>
      </c>
      <c r="F479" s="36">
        <v>5</v>
      </c>
      <c r="G479" t="s" s="35">
        <v>9238</v>
      </c>
      <c r="H479" t="s" s="120">
        <v>9242</v>
      </c>
      <c r="I479" t="s" s="35">
        <v>1164</v>
      </c>
      <c r="J479" t="s" s="35">
        <v>1168</v>
      </c>
      <c r="K479" s="39"/>
      <c r="L479" t="s" s="35">
        <v>254</v>
      </c>
      <c r="M479" t="str" s="39" cm="1">
        <f t="array" ref="M479">IF(J479="FUERA","Fuera del marco",_xlfn.IFERROR(INDEX('Datos - Catálogo TIMSS'!$C$5:$C$107,MATCH(J479,'Datos - Catálogo TIMSS'!$A$5:$A$107,0)),"?"))</f>
        <v>Biología</v>
      </c>
      <c r="N479" t="s" s="35">
        <v>9243</v>
      </c>
    </row>
    <row r="480" ht="13.65" customHeight="1">
      <c r="A480" t="s" s="35">
        <v>9244</v>
      </c>
      <c r="B480" t="s" s="35">
        <v>1511</v>
      </c>
      <c r="C480" t="s" s="35">
        <v>9014</v>
      </c>
      <c r="D480" s="36">
        <v>55</v>
      </c>
      <c r="E480" t="s" s="35">
        <v>9171</v>
      </c>
      <c r="F480" s="36">
        <v>5</v>
      </c>
      <c r="G480" t="s" s="35">
        <v>9238</v>
      </c>
      <c r="H480" t="s" s="120">
        <v>9245</v>
      </c>
      <c r="I480" t="s" s="35">
        <v>1164</v>
      </c>
      <c r="J480" t="s" s="35">
        <v>1168</v>
      </c>
      <c r="K480" s="39"/>
      <c r="L480" t="s" s="35">
        <v>254</v>
      </c>
      <c r="M480" t="str" s="39" cm="1">
        <f t="array" ref="M480">IF(J480="FUERA","Fuera del marco",_xlfn.IFERROR(INDEX('Datos - Catálogo TIMSS'!$C$5:$C$107,MATCH(J480,'Datos - Catálogo TIMSS'!$A$5:$A$107,0)),"?"))</f>
        <v>Biología</v>
      </c>
      <c r="N480" t="s" s="35">
        <v>9246</v>
      </c>
    </row>
    <row r="481" ht="13.65" customHeight="1">
      <c r="A481" t="s" s="35">
        <v>9247</v>
      </c>
      <c r="B481" t="s" s="35">
        <v>1511</v>
      </c>
      <c r="C481" t="s" s="35">
        <v>9014</v>
      </c>
      <c r="D481" s="36">
        <v>55</v>
      </c>
      <c r="E481" t="s" s="35">
        <v>9171</v>
      </c>
      <c r="F481" s="36">
        <v>5</v>
      </c>
      <c r="G481" t="s" s="35">
        <v>9238</v>
      </c>
      <c r="H481" t="s" s="120">
        <v>9248</v>
      </c>
      <c r="I481" t="s" s="35">
        <v>1164</v>
      </c>
      <c r="J481" t="s" s="35">
        <v>1168</v>
      </c>
      <c r="K481" t="s" s="35">
        <v>1171</v>
      </c>
      <c r="L481" t="s" s="35">
        <v>254</v>
      </c>
      <c r="M481" t="str" s="39" cm="1">
        <f t="array" ref="M481">IF(J481="FUERA","Fuera del marco",_xlfn.IFERROR(INDEX('Datos - Catálogo TIMSS'!$C$5:$C$107,MATCH(J481,'Datos - Catálogo TIMSS'!$A$5:$A$107,0)),"?"))</f>
        <v>Biología</v>
      </c>
      <c r="N481" t="s" s="35">
        <v>9249</v>
      </c>
    </row>
    <row r="482" ht="13.65" customHeight="1">
      <c r="A482" t="s" s="35">
        <v>9250</v>
      </c>
      <c r="B482" t="s" s="35">
        <v>1511</v>
      </c>
      <c r="C482" t="s" s="35">
        <v>9014</v>
      </c>
      <c r="D482" s="36">
        <v>55</v>
      </c>
      <c r="E482" t="s" s="35">
        <v>9171</v>
      </c>
      <c r="F482" s="36">
        <v>5</v>
      </c>
      <c r="G482" t="s" s="35">
        <v>9238</v>
      </c>
      <c r="H482" t="s" s="120">
        <v>9251</v>
      </c>
      <c r="I482" t="s" s="35">
        <v>1164</v>
      </c>
      <c r="J482" t="s" s="35">
        <v>1168</v>
      </c>
      <c r="K482" s="39"/>
      <c r="L482" t="s" s="35">
        <v>282</v>
      </c>
      <c r="M482" t="str" s="39" cm="1">
        <f t="array" ref="M482">IF(J482="FUERA","Fuera del marco",_xlfn.IFERROR(INDEX('Datos - Catálogo TIMSS'!$C$5:$C$107,MATCH(J482,'Datos - Catálogo TIMSS'!$A$5:$A$107,0)),"?"))</f>
        <v>Biología</v>
      </c>
      <c r="N482" t="s" s="35">
        <v>9252</v>
      </c>
    </row>
    <row r="483" ht="13.65" customHeight="1">
      <c r="A483" t="s" s="35">
        <v>9253</v>
      </c>
      <c r="B483" t="s" s="35">
        <v>1511</v>
      </c>
      <c r="C483" t="s" s="35">
        <v>9014</v>
      </c>
      <c r="D483" s="36">
        <v>58</v>
      </c>
      <c r="E483" t="s" s="35">
        <v>9171</v>
      </c>
      <c r="F483" s="36">
        <v>5</v>
      </c>
      <c r="G483" t="s" s="35">
        <v>9254</v>
      </c>
      <c r="H483" t="s" s="120">
        <v>9255</v>
      </c>
      <c r="I483" t="s" s="35">
        <v>1164</v>
      </c>
      <c r="J483" t="s" s="35">
        <v>1168</v>
      </c>
      <c r="K483" s="39"/>
      <c r="L483" t="s" s="35">
        <v>291</v>
      </c>
      <c r="M483" t="str" s="39" cm="1">
        <f t="array" ref="M483">IF(J483="FUERA","Fuera del marco",_xlfn.IFERROR(INDEX('Datos - Catálogo TIMSS'!$C$5:$C$107,MATCH(J483,'Datos - Catálogo TIMSS'!$A$5:$A$107,0)),"?"))</f>
        <v>Biología</v>
      </c>
      <c r="N483" t="s" s="35">
        <v>9256</v>
      </c>
    </row>
    <row r="484" ht="13.65" customHeight="1">
      <c r="A484" t="s" s="35">
        <v>9257</v>
      </c>
      <c r="B484" t="s" s="35">
        <v>1511</v>
      </c>
      <c r="C484" t="s" s="35">
        <v>9014</v>
      </c>
      <c r="D484" s="36">
        <v>58</v>
      </c>
      <c r="E484" t="s" s="35">
        <v>9171</v>
      </c>
      <c r="F484" s="36">
        <v>5</v>
      </c>
      <c r="G484" t="s" s="35">
        <v>9254</v>
      </c>
      <c r="H484" t="s" s="120">
        <v>9258</v>
      </c>
      <c r="I484" t="s" s="35">
        <v>1164</v>
      </c>
      <c r="J484" t="s" s="35">
        <v>1168</v>
      </c>
      <c r="K484" t="s" s="35">
        <v>1207</v>
      </c>
      <c r="L484" t="s" s="35">
        <v>291</v>
      </c>
      <c r="M484" t="str" s="39" cm="1">
        <f t="array" ref="M484">IF(J484="FUERA","Fuera del marco",_xlfn.IFERROR(INDEX('Datos - Catálogo TIMSS'!$C$5:$C$107,MATCH(J484,'Datos - Catálogo TIMSS'!$A$5:$A$107,0)),"?"))</f>
        <v>Biología</v>
      </c>
      <c r="N484" t="s" s="35">
        <v>9259</v>
      </c>
    </row>
    <row r="485" ht="13.65" customHeight="1">
      <c r="A485" t="s" s="35">
        <v>9260</v>
      </c>
      <c r="B485" t="s" s="35">
        <v>1511</v>
      </c>
      <c r="C485" t="s" s="35">
        <v>9014</v>
      </c>
      <c r="D485" s="36">
        <v>60</v>
      </c>
      <c r="E485" t="s" s="35">
        <v>9171</v>
      </c>
      <c r="F485" s="36">
        <v>5</v>
      </c>
      <c r="G485" t="s" s="35">
        <v>9261</v>
      </c>
      <c r="H485" t="s" s="120">
        <v>9262</v>
      </c>
      <c r="I485" t="s" s="35">
        <v>1164</v>
      </c>
      <c r="J485" t="s" s="35">
        <v>1256</v>
      </c>
      <c r="K485" s="39"/>
      <c r="L485" t="s" s="35">
        <v>254</v>
      </c>
      <c r="M485" t="str" s="39" cm="1">
        <f t="array" ref="M485">IF(J485="FUERA","Fuera del marco",_xlfn.IFERROR(INDEX('Datos - Catálogo TIMSS'!$C$5:$C$107,MATCH(J485,'Datos - Catálogo TIMSS'!$A$5:$A$107,0)),"?"))</f>
        <v>Física</v>
      </c>
      <c r="N485" t="s" s="35">
        <v>9263</v>
      </c>
    </row>
    <row r="486" ht="13.65" customHeight="1">
      <c r="A486" t="s" s="35">
        <v>9264</v>
      </c>
      <c r="B486" t="s" s="35">
        <v>1511</v>
      </c>
      <c r="C486" t="s" s="35">
        <v>9014</v>
      </c>
      <c r="D486" s="36">
        <v>60</v>
      </c>
      <c r="E486" t="s" s="35">
        <v>9171</v>
      </c>
      <c r="F486" s="36">
        <v>5</v>
      </c>
      <c r="G486" t="s" s="35">
        <v>9261</v>
      </c>
      <c r="H486" t="s" s="120">
        <v>9265</v>
      </c>
      <c r="I486" t="s" s="35">
        <v>1164</v>
      </c>
      <c r="J486" t="s" s="35">
        <v>1256</v>
      </c>
      <c r="K486" s="39"/>
      <c r="L486" t="s" s="35">
        <v>254</v>
      </c>
      <c r="M486" t="str" s="39" cm="1">
        <f t="array" ref="M486">IF(J486="FUERA","Fuera del marco",_xlfn.IFERROR(INDEX('Datos - Catálogo TIMSS'!$C$5:$C$107,MATCH(J486,'Datos - Catálogo TIMSS'!$A$5:$A$107,0)),"?"))</f>
        <v>Física</v>
      </c>
      <c r="N486" t="s" s="35">
        <v>9266</v>
      </c>
    </row>
    <row r="487" ht="13.65" customHeight="1">
      <c r="A487" t="s" s="35">
        <v>9267</v>
      </c>
      <c r="B487" t="s" s="35">
        <v>1511</v>
      </c>
      <c r="C487" t="s" s="35">
        <v>9014</v>
      </c>
      <c r="D487" s="36">
        <v>60</v>
      </c>
      <c r="E487" t="s" s="35">
        <v>9171</v>
      </c>
      <c r="F487" s="36">
        <v>5</v>
      </c>
      <c r="G487" t="s" s="35">
        <v>9261</v>
      </c>
      <c r="H487" t="s" s="120">
        <v>9268</v>
      </c>
      <c r="I487" t="s" s="35">
        <v>1164</v>
      </c>
      <c r="J487" t="s" s="35">
        <v>1256</v>
      </c>
      <c r="K487" s="39"/>
      <c r="L487" t="s" s="35">
        <v>254</v>
      </c>
      <c r="M487" t="str" s="39" cm="1">
        <f t="array" ref="M487">IF(J487="FUERA","Fuera del marco",_xlfn.IFERROR(INDEX('Datos - Catálogo TIMSS'!$C$5:$C$107,MATCH(J487,'Datos - Catálogo TIMSS'!$A$5:$A$107,0)),"?"))</f>
        <v>Física</v>
      </c>
      <c r="N487" t="s" s="35">
        <v>9269</v>
      </c>
    </row>
    <row r="488" ht="13.65" customHeight="1">
      <c r="A488" t="s" s="35">
        <v>9270</v>
      </c>
      <c r="B488" t="s" s="35">
        <v>1511</v>
      </c>
      <c r="C488" t="s" s="35">
        <v>9014</v>
      </c>
      <c r="D488" s="36">
        <v>60</v>
      </c>
      <c r="E488" t="s" s="35">
        <v>9171</v>
      </c>
      <c r="F488" s="36">
        <v>5</v>
      </c>
      <c r="G488" t="s" s="35">
        <v>9261</v>
      </c>
      <c r="H488" t="s" s="120">
        <v>9271</v>
      </c>
      <c r="I488" t="s" s="35">
        <v>1164</v>
      </c>
      <c r="J488" t="s" s="35">
        <v>1256</v>
      </c>
      <c r="K488" s="39"/>
      <c r="L488" t="s" s="35">
        <v>254</v>
      </c>
      <c r="M488" t="str" s="39" cm="1">
        <f t="array" ref="M488">IF(J488="FUERA","Fuera del marco",_xlfn.IFERROR(INDEX('Datos - Catálogo TIMSS'!$C$5:$C$107,MATCH(J488,'Datos - Catálogo TIMSS'!$A$5:$A$107,0)),"?"))</f>
        <v>Física</v>
      </c>
      <c r="N488" t="s" s="35">
        <v>9272</v>
      </c>
    </row>
    <row r="489" ht="13.65" customHeight="1">
      <c r="A489" t="s" s="35">
        <v>9273</v>
      </c>
      <c r="B489" t="s" s="35">
        <v>1511</v>
      </c>
      <c r="C489" t="s" s="35">
        <v>9014</v>
      </c>
      <c r="D489" s="36">
        <v>60</v>
      </c>
      <c r="E489" t="s" s="35">
        <v>9171</v>
      </c>
      <c r="F489" s="36">
        <v>5</v>
      </c>
      <c r="G489" t="s" s="35">
        <v>9261</v>
      </c>
      <c r="H489" t="s" s="120">
        <v>9274</v>
      </c>
      <c r="I489" t="s" s="35">
        <v>1164</v>
      </c>
      <c r="J489" t="s" s="35">
        <v>1256</v>
      </c>
      <c r="K489" t="s" s="35">
        <v>569</v>
      </c>
      <c r="L489" t="s" s="35">
        <v>282</v>
      </c>
      <c r="M489" t="str" s="39" cm="1">
        <f t="array" ref="M489">IF(J489="FUERA","Fuera del marco",_xlfn.IFERROR(INDEX('Datos - Catálogo TIMSS'!$C$5:$C$107,MATCH(J489,'Datos - Catálogo TIMSS'!$A$5:$A$107,0)),"?"))</f>
        <v>Física</v>
      </c>
      <c r="N489" t="s" s="35">
        <v>9275</v>
      </c>
    </row>
    <row r="490" ht="13.65" customHeight="1">
      <c r="A490" t="s" s="35">
        <v>9276</v>
      </c>
      <c r="B490" t="s" s="35">
        <v>1511</v>
      </c>
      <c r="C490" t="s" s="35">
        <v>9014</v>
      </c>
      <c r="D490" s="36">
        <v>79</v>
      </c>
      <c r="E490" t="s" s="35">
        <v>9277</v>
      </c>
      <c r="F490" s="36">
        <v>6</v>
      </c>
      <c r="G490" t="s" s="35">
        <v>9278</v>
      </c>
      <c r="H490" t="s" s="120">
        <v>9279</v>
      </c>
      <c r="I490" t="s" s="35">
        <v>1164</v>
      </c>
      <c r="J490" t="s" s="35">
        <v>1171</v>
      </c>
      <c r="K490" s="39"/>
      <c r="L490" t="s" s="35">
        <v>254</v>
      </c>
      <c r="M490" t="str" s="39" cm="1">
        <f t="array" ref="M490">IF(J490="FUERA","Fuera del marco",_xlfn.IFERROR(INDEX('Datos - Catálogo TIMSS'!$C$5:$C$107,MATCH(J490,'Datos - Catálogo TIMSS'!$A$5:$A$107,0)),"?"))</f>
        <v>Biología</v>
      </c>
      <c r="N490" t="s" s="35">
        <v>9280</v>
      </c>
    </row>
    <row r="491" ht="13.65" customHeight="1">
      <c r="A491" t="s" s="35">
        <v>9281</v>
      </c>
      <c r="B491" t="s" s="35">
        <v>1511</v>
      </c>
      <c r="C491" t="s" s="35">
        <v>9014</v>
      </c>
      <c r="D491" s="36">
        <v>79</v>
      </c>
      <c r="E491" t="s" s="35">
        <v>9277</v>
      </c>
      <c r="F491" s="36">
        <v>6</v>
      </c>
      <c r="G491" t="s" s="35">
        <v>9278</v>
      </c>
      <c r="H491" t="s" s="120">
        <v>9282</v>
      </c>
      <c r="I491" t="s" s="35">
        <v>1164</v>
      </c>
      <c r="J491" t="s" s="35">
        <v>507</v>
      </c>
      <c r="K491" t="s" s="35">
        <v>575</v>
      </c>
      <c r="L491" t="s" s="35">
        <v>282</v>
      </c>
      <c r="M491" t="str" s="39" cm="1">
        <f t="array" ref="M491">IF(J491="FUERA","Fuera del marco",_xlfn.IFERROR(INDEX('Datos - Catálogo TIMSS'!$C$5:$C$107,MATCH(J491,'Datos - Catálogo TIMSS'!$A$5:$A$107,0)),"?"))</f>
        <v>Ciencias de la Tierra</v>
      </c>
      <c r="N491" t="s" s="35">
        <v>9283</v>
      </c>
    </row>
    <row r="492" ht="13.65" customHeight="1">
      <c r="A492" t="s" s="35">
        <v>9284</v>
      </c>
      <c r="B492" t="s" s="35">
        <v>1511</v>
      </c>
      <c r="C492" t="s" s="35">
        <v>9014</v>
      </c>
      <c r="D492" s="36">
        <v>79</v>
      </c>
      <c r="E492" t="s" s="35">
        <v>9277</v>
      </c>
      <c r="F492" s="36">
        <v>6</v>
      </c>
      <c r="G492" t="s" s="35">
        <v>9278</v>
      </c>
      <c r="H492" t="s" s="120">
        <v>9285</v>
      </c>
      <c r="I492" t="s" s="35">
        <v>1164</v>
      </c>
      <c r="J492" t="s" s="35">
        <v>1171</v>
      </c>
      <c r="K492" t="s" s="35">
        <v>459</v>
      </c>
      <c r="L492" t="s" s="35">
        <v>282</v>
      </c>
      <c r="M492" t="str" s="39" cm="1">
        <f t="array" ref="M492">IF(J492="FUERA","Fuera del marco",_xlfn.IFERROR(INDEX('Datos - Catálogo TIMSS'!$C$5:$C$107,MATCH(J492,'Datos - Catálogo TIMSS'!$A$5:$A$107,0)),"?"))</f>
        <v>Biología</v>
      </c>
      <c r="N492" t="s" s="35">
        <v>9286</v>
      </c>
    </row>
    <row r="493" ht="13.65" customHeight="1">
      <c r="A493" t="s" s="35">
        <v>9287</v>
      </c>
      <c r="B493" t="s" s="35">
        <v>1511</v>
      </c>
      <c r="C493" t="s" s="35">
        <v>9014</v>
      </c>
      <c r="D493" s="36">
        <v>79</v>
      </c>
      <c r="E493" t="s" s="35">
        <v>9277</v>
      </c>
      <c r="F493" s="36">
        <v>6</v>
      </c>
      <c r="G493" t="s" s="35">
        <v>9278</v>
      </c>
      <c r="H493" t="s" s="120">
        <v>9288</v>
      </c>
      <c r="I493" t="s" s="35">
        <v>1164</v>
      </c>
      <c r="J493" t="s" s="35">
        <v>1171</v>
      </c>
      <c r="K493" t="s" s="35">
        <v>1207</v>
      </c>
      <c r="L493" t="s" s="35">
        <v>254</v>
      </c>
      <c r="M493" t="str" s="39" cm="1">
        <f t="array" ref="M493">IF(J493="FUERA","Fuera del marco",_xlfn.IFERROR(INDEX('Datos - Catálogo TIMSS'!$C$5:$C$107,MATCH(J493,'Datos - Catálogo TIMSS'!$A$5:$A$107,0)),"?"))</f>
        <v>Biología</v>
      </c>
      <c r="N493" t="s" s="35">
        <v>9289</v>
      </c>
    </row>
    <row r="494" ht="13.65" customHeight="1">
      <c r="A494" t="s" s="35">
        <v>9290</v>
      </c>
      <c r="B494" t="s" s="35">
        <v>1511</v>
      </c>
      <c r="C494" t="s" s="35">
        <v>9014</v>
      </c>
      <c r="D494" s="36">
        <v>81</v>
      </c>
      <c r="E494" t="s" s="35">
        <v>9277</v>
      </c>
      <c r="F494" s="36">
        <v>6</v>
      </c>
      <c r="G494" t="s" s="35">
        <v>9291</v>
      </c>
      <c r="H494" t="s" s="120">
        <v>9292</v>
      </c>
      <c r="I494" t="s" s="35">
        <v>1164</v>
      </c>
      <c r="J494" t="s" s="35">
        <v>1287</v>
      </c>
      <c r="K494" t="s" s="35">
        <v>575</v>
      </c>
      <c r="L494" t="s" s="35">
        <v>282</v>
      </c>
      <c r="M494" t="str" s="39" cm="1">
        <f t="array" ref="M494">IF(J494="FUERA","Fuera del marco",_xlfn.IFERROR(INDEX('Datos - Catálogo TIMSS'!$C$5:$C$107,MATCH(J494,'Datos - Catálogo TIMSS'!$A$5:$A$107,0)),"?"))</f>
        <v>Ciencias de la Tierra</v>
      </c>
      <c r="N494" t="s" s="35">
        <v>9293</v>
      </c>
    </row>
    <row r="495" ht="13.65" customHeight="1">
      <c r="A495" t="s" s="35">
        <v>9294</v>
      </c>
      <c r="B495" t="s" s="35">
        <v>1511</v>
      </c>
      <c r="C495" t="s" s="35">
        <v>9014</v>
      </c>
      <c r="D495" s="36">
        <v>81</v>
      </c>
      <c r="E495" t="s" s="35">
        <v>9277</v>
      </c>
      <c r="F495" s="36">
        <v>6</v>
      </c>
      <c r="G495" t="s" s="35">
        <v>9291</v>
      </c>
      <c r="H495" t="s" s="120">
        <v>9295</v>
      </c>
      <c r="I495" t="s" s="35">
        <v>1164</v>
      </c>
      <c r="J495" t="s" s="35">
        <v>575</v>
      </c>
      <c r="K495" s="39"/>
      <c r="L495" t="s" s="35">
        <v>254</v>
      </c>
      <c r="M495" t="str" s="39" cm="1">
        <f t="array" ref="M495">IF(J495="FUERA","Fuera del marco",_xlfn.IFERROR(INDEX('Datos - Catálogo TIMSS'!$C$5:$C$107,MATCH(J495,'Datos - Catálogo TIMSS'!$A$5:$A$107,0)),"?"))</f>
        <v>Física</v>
      </c>
      <c r="N495" t="s" s="35">
        <v>9296</v>
      </c>
    </row>
    <row r="496" ht="13.65" customHeight="1">
      <c r="A496" t="s" s="35">
        <v>9297</v>
      </c>
      <c r="B496" t="s" s="35">
        <v>1511</v>
      </c>
      <c r="C496" t="s" s="35">
        <v>9014</v>
      </c>
      <c r="D496" s="36">
        <v>81</v>
      </c>
      <c r="E496" t="s" s="35">
        <v>9277</v>
      </c>
      <c r="F496" s="36">
        <v>6</v>
      </c>
      <c r="G496" t="s" s="35">
        <v>9291</v>
      </c>
      <c r="H496" t="s" s="120">
        <v>9298</v>
      </c>
      <c r="I496" t="s" s="35">
        <v>1164</v>
      </c>
      <c r="J496" t="s" s="35">
        <v>575</v>
      </c>
      <c r="K496" t="s" s="35">
        <v>569</v>
      </c>
      <c r="L496" t="s" s="35">
        <v>254</v>
      </c>
      <c r="M496" t="str" s="39" cm="1">
        <f t="array" ref="M496">IF(J496="FUERA","Fuera del marco",_xlfn.IFERROR(INDEX('Datos - Catálogo TIMSS'!$C$5:$C$107,MATCH(J496,'Datos - Catálogo TIMSS'!$A$5:$A$107,0)),"?"))</f>
        <v>Física</v>
      </c>
      <c r="N496" t="s" s="35">
        <v>9299</v>
      </c>
    </row>
    <row r="497" ht="13.65" customHeight="1">
      <c r="A497" t="s" s="35">
        <v>9300</v>
      </c>
      <c r="B497" t="s" s="35">
        <v>1511</v>
      </c>
      <c r="C497" t="s" s="35">
        <v>9014</v>
      </c>
      <c r="D497" s="36">
        <v>64</v>
      </c>
      <c r="E497" t="s" s="35">
        <v>9277</v>
      </c>
      <c r="F497" s="36">
        <v>6</v>
      </c>
      <c r="G497" t="s" s="35">
        <v>9301</v>
      </c>
      <c r="H497" t="s" s="120">
        <v>9302</v>
      </c>
      <c r="I497" t="s" s="35">
        <v>1164</v>
      </c>
      <c r="J497" t="s" s="35">
        <v>588</v>
      </c>
      <c r="K497" s="39"/>
      <c r="L497" t="s" s="35">
        <v>254</v>
      </c>
      <c r="M497" t="str" s="39" cm="1">
        <f t="array" ref="M497">IF(J497="FUERA","Fuera del marco",_xlfn.IFERROR(INDEX('Datos - Catálogo TIMSS'!$C$5:$C$107,MATCH(J497,'Datos - Catálogo TIMSS'!$A$5:$A$107,0)),"?"))</f>
        <v>Física</v>
      </c>
      <c r="N497" t="s" s="35">
        <v>9303</v>
      </c>
    </row>
    <row r="498" ht="13.65" customHeight="1">
      <c r="A498" t="s" s="35">
        <v>9304</v>
      </c>
      <c r="B498" t="s" s="35">
        <v>1511</v>
      </c>
      <c r="C498" t="s" s="35">
        <v>9014</v>
      </c>
      <c r="D498" s="36">
        <v>64</v>
      </c>
      <c r="E498" t="s" s="35">
        <v>9277</v>
      </c>
      <c r="F498" s="36">
        <v>6</v>
      </c>
      <c r="G498" t="s" s="35">
        <v>9301</v>
      </c>
      <c r="H498" t="s" s="120">
        <v>9305</v>
      </c>
      <c r="I498" t="s" s="35">
        <v>1164</v>
      </c>
      <c r="J498" t="s" s="35">
        <v>535</v>
      </c>
      <c r="K498" t="s" s="35">
        <v>588</v>
      </c>
      <c r="L498" t="s" s="35">
        <v>254</v>
      </c>
      <c r="M498" t="str" s="39" cm="1">
        <f t="array" ref="M498">IF(J498="FUERA","Fuera del marco",_xlfn.IFERROR(INDEX('Datos - Catálogo TIMSS'!$C$5:$C$107,MATCH(J498,'Datos - Catálogo TIMSS'!$A$5:$A$107,0)),"?"))</f>
        <v>Física</v>
      </c>
      <c r="N498" t="s" s="35">
        <v>9306</v>
      </c>
    </row>
    <row r="499" ht="13.65" customHeight="1">
      <c r="A499" t="s" s="35">
        <v>9307</v>
      </c>
      <c r="B499" t="s" s="35">
        <v>1511</v>
      </c>
      <c r="C499" t="s" s="35">
        <v>9014</v>
      </c>
      <c r="D499" s="36">
        <v>64</v>
      </c>
      <c r="E499" t="s" s="35">
        <v>9277</v>
      </c>
      <c r="F499" s="36">
        <v>6</v>
      </c>
      <c r="G499" t="s" s="35">
        <v>9301</v>
      </c>
      <c r="H499" t="s" s="120">
        <v>9308</v>
      </c>
      <c r="I499" t="s" s="35">
        <v>1164</v>
      </c>
      <c r="J499" t="s" s="35">
        <v>588</v>
      </c>
      <c r="K499" s="39"/>
      <c r="L499" t="s" s="35">
        <v>254</v>
      </c>
      <c r="M499" t="str" s="39" cm="1">
        <f t="array" ref="M499">IF(J499="FUERA","Fuera del marco",_xlfn.IFERROR(INDEX('Datos - Catálogo TIMSS'!$C$5:$C$107,MATCH(J499,'Datos - Catálogo TIMSS'!$A$5:$A$107,0)),"?"))</f>
        <v>Física</v>
      </c>
      <c r="N499" t="s" s="35">
        <v>9309</v>
      </c>
    </row>
    <row r="500" ht="13.65" customHeight="1">
      <c r="A500" t="s" s="35">
        <v>9310</v>
      </c>
      <c r="B500" t="s" s="35">
        <v>1511</v>
      </c>
      <c r="C500" t="s" s="35">
        <v>9014</v>
      </c>
      <c r="D500" s="36">
        <v>65</v>
      </c>
      <c r="E500" t="s" s="35">
        <v>9277</v>
      </c>
      <c r="F500" s="36">
        <v>6</v>
      </c>
      <c r="G500" t="s" s="35">
        <v>9301</v>
      </c>
      <c r="H500" t="s" s="120">
        <v>9311</v>
      </c>
      <c r="I500" t="s" s="35">
        <v>1164</v>
      </c>
      <c r="J500" t="s" s="35">
        <v>588</v>
      </c>
      <c r="K500" s="39"/>
      <c r="L500" t="s" s="35">
        <v>254</v>
      </c>
      <c r="M500" t="str" s="39" cm="1">
        <f t="array" ref="M500">IF(J500="FUERA","Fuera del marco",_xlfn.IFERROR(INDEX('Datos - Catálogo TIMSS'!$C$5:$C$107,MATCH(J500,'Datos - Catálogo TIMSS'!$A$5:$A$107,0)),"?"))</f>
        <v>Física</v>
      </c>
      <c r="N500" t="s" s="35">
        <v>9312</v>
      </c>
    </row>
    <row r="501" ht="13.65" customHeight="1">
      <c r="A501" t="s" s="35">
        <v>9313</v>
      </c>
      <c r="B501" t="s" s="35">
        <v>1511</v>
      </c>
      <c r="C501" t="s" s="35">
        <v>9014</v>
      </c>
      <c r="D501" s="36">
        <v>64</v>
      </c>
      <c r="E501" t="s" s="35">
        <v>9277</v>
      </c>
      <c r="F501" s="36">
        <v>6</v>
      </c>
      <c r="G501" t="s" s="35">
        <v>9301</v>
      </c>
      <c r="H501" t="s" s="120">
        <v>9314</v>
      </c>
      <c r="I501" t="s" s="35">
        <v>1164</v>
      </c>
      <c r="J501" t="s" s="35">
        <v>535</v>
      </c>
      <c r="K501" t="s" s="35">
        <v>569</v>
      </c>
      <c r="L501" t="s" s="35">
        <v>254</v>
      </c>
      <c r="M501" t="str" s="39" cm="1">
        <f t="array" ref="M501">IF(J501="FUERA","Fuera del marco",_xlfn.IFERROR(INDEX('Datos - Catálogo TIMSS'!$C$5:$C$107,MATCH(J501,'Datos - Catálogo TIMSS'!$A$5:$A$107,0)),"?"))</f>
        <v>Física</v>
      </c>
      <c r="N501" t="s" s="35">
        <v>9315</v>
      </c>
    </row>
    <row r="502" ht="13.65" customHeight="1">
      <c r="A502" t="s" s="35">
        <v>9316</v>
      </c>
      <c r="B502" t="s" s="35">
        <v>1511</v>
      </c>
      <c r="C502" t="s" s="35">
        <v>9014</v>
      </c>
      <c r="D502" s="36">
        <v>64</v>
      </c>
      <c r="E502" t="s" s="35">
        <v>9277</v>
      </c>
      <c r="F502" s="36">
        <v>6</v>
      </c>
      <c r="G502" t="s" s="35">
        <v>9301</v>
      </c>
      <c r="H502" t="s" s="120">
        <v>9317</v>
      </c>
      <c r="I502" t="s" s="35">
        <v>1164</v>
      </c>
      <c r="J502" t="s" s="35">
        <v>588</v>
      </c>
      <c r="K502" t="s" s="35">
        <v>569</v>
      </c>
      <c r="L502" t="s" s="35">
        <v>282</v>
      </c>
      <c r="M502" t="str" s="39" cm="1">
        <f t="array" ref="M502">IF(J502="FUERA","Fuera del marco",_xlfn.IFERROR(INDEX('Datos - Catálogo TIMSS'!$C$5:$C$107,MATCH(J502,'Datos - Catálogo TIMSS'!$A$5:$A$107,0)),"?"))</f>
        <v>Física</v>
      </c>
      <c r="N502" t="s" s="35">
        <v>9318</v>
      </c>
    </row>
    <row r="503" ht="13.65" customHeight="1">
      <c r="A503" t="s" s="35">
        <v>9319</v>
      </c>
      <c r="B503" t="s" s="35">
        <v>1511</v>
      </c>
      <c r="C503" t="s" s="35">
        <v>9014</v>
      </c>
      <c r="D503" s="36">
        <v>68</v>
      </c>
      <c r="E503" t="s" s="35">
        <v>9277</v>
      </c>
      <c r="F503" s="36">
        <v>6</v>
      </c>
      <c r="G503" t="s" s="35">
        <v>9320</v>
      </c>
      <c r="H503" t="s" s="120">
        <v>9321</v>
      </c>
      <c r="I503" t="s" s="35">
        <v>1164</v>
      </c>
      <c r="J503" t="s" s="35">
        <v>475</v>
      </c>
      <c r="K503" t="s" s="35">
        <v>634</v>
      </c>
      <c r="L503" t="s" s="35">
        <v>282</v>
      </c>
      <c r="M503" t="str" s="39" cm="1">
        <f t="array" ref="M503">IF(J503="FUERA","Fuera del marco",_xlfn.IFERROR(INDEX('Datos - Catálogo TIMSS'!$C$5:$C$107,MATCH(J503,'Datos - Catálogo TIMSS'!$A$5:$A$107,0)),"?"))</f>
        <v>Biología</v>
      </c>
      <c r="N503" t="s" s="35">
        <v>9322</v>
      </c>
    </row>
    <row r="504" ht="13.65" customHeight="1">
      <c r="A504" t="s" s="35">
        <v>9323</v>
      </c>
      <c r="B504" t="s" s="35">
        <v>1511</v>
      </c>
      <c r="C504" t="s" s="35">
        <v>9014</v>
      </c>
      <c r="D504" s="36">
        <v>68</v>
      </c>
      <c r="E504" t="s" s="35">
        <v>9277</v>
      </c>
      <c r="F504" s="36">
        <v>6</v>
      </c>
      <c r="G504" t="s" s="35">
        <v>9320</v>
      </c>
      <c r="H504" t="s" s="120">
        <v>9324</v>
      </c>
      <c r="I504" t="s" s="35">
        <v>1164</v>
      </c>
      <c r="J504" t="s" s="35">
        <v>1181</v>
      </c>
      <c r="K504" s="39"/>
      <c r="L504" t="s" s="35">
        <v>282</v>
      </c>
      <c r="M504" t="str" s="39" cm="1">
        <f t="array" ref="M504">IF(J504="FUERA","Fuera del marco",_xlfn.IFERROR(INDEX('Datos - Catálogo TIMSS'!$C$5:$C$107,MATCH(J504,'Datos - Catálogo TIMSS'!$A$5:$A$107,0)),"?"))</f>
        <v>Biología</v>
      </c>
      <c r="N504" t="s" s="35">
        <v>9325</v>
      </c>
    </row>
    <row r="505" ht="13.65" customHeight="1">
      <c r="A505" t="s" s="35">
        <v>9326</v>
      </c>
      <c r="B505" t="s" s="35">
        <v>1511</v>
      </c>
      <c r="C505" t="s" s="35">
        <v>9014</v>
      </c>
      <c r="D505" s="36">
        <v>68</v>
      </c>
      <c r="E505" t="s" s="35">
        <v>9277</v>
      </c>
      <c r="F505" s="36">
        <v>6</v>
      </c>
      <c r="G505" t="s" s="35">
        <v>9320</v>
      </c>
      <c r="H505" t="s" s="120">
        <v>9327</v>
      </c>
      <c r="I505" t="s" s="35">
        <v>1164</v>
      </c>
      <c r="J505" t="s" s="35">
        <v>459</v>
      </c>
      <c r="K505" t="s" s="35">
        <v>634</v>
      </c>
      <c r="L505" t="s" s="35">
        <v>254</v>
      </c>
      <c r="M505" t="str" s="39" cm="1">
        <f t="array" ref="M505">IF(J505="FUERA","Fuera del marco",_xlfn.IFERROR(INDEX('Datos - Catálogo TIMSS'!$C$5:$C$107,MATCH(J505,'Datos - Catálogo TIMSS'!$A$5:$A$107,0)),"?"))</f>
        <v>Biología</v>
      </c>
      <c r="N505" t="s" s="35">
        <v>9328</v>
      </c>
    </row>
    <row r="506" ht="13.65" customHeight="1">
      <c r="A506" t="s" s="35">
        <v>9329</v>
      </c>
      <c r="B506" t="s" s="35">
        <v>1511</v>
      </c>
      <c r="C506" t="s" s="35">
        <v>9014</v>
      </c>
      <c r="D506" s="36">
        <v>69</v>
      </c>
      <c r="E506" t="s" s="35">
        <v>9277</v>
      </c>
      <c r="F506" s="36">
        <v>6</v>
      </c>
      <c r="G506" t="s" s="35">
        <v>9320</v>
      </c>
      <c r="H506" t="s" s="120">
        <v>9330</v>
      </c>
      <c r="I506" t="s" s="35">
        <v>1164</v>
      </c>
      <c r="J506" t="s" s="35">
        <v>634</v>
      </c>
      <c r="K506" s="39"/>
      <c r="L506" t="s" s="35">
        <v>282</v>
      </c>
      <c r="M506" t="str" s="39" cm="1">
        <f t="array" ref="M506">IF(J506="FUERA","Fuera del marco",_xlfn.IFERROR(INDEX('Datos - Catálogo TIMSS'!$C$5:$C$107,MATCH(J506,'Datos - Catálogo TIMSS'!$A$5:$A$107,0)),"?"))</f>
        <v>Biología</v>
      </c>
      <c r="N506" t="s" s="35">
        <v>9331</v>
      </c>
    </row>
    <row r="507" ht="13.65" customHeight="1">
      <c r="A507" t="s" s="35">
        <v>9332</v>
      </c>
      <c r="B507" t="s" s="35">
        <v>1511</v>
      </c>
      <c r="C507" t="s" s="35">
        <v>9014</v>
      </c>
      <c r="D507" s="36">
        <v>69</v>
      </c>
      <c r="E507" t="s" s="35">
        <v>9277</v>
      </c>
      <c r="F507" s="36">
        <v>6</v>
      </c>
      <c r="G507" t="s" s="35">
        <v>9320</v>
      </c>
      <c r="H507" t="s" s="120">
        <v>9333</v>
      </c>
      <c r="I507" t="s" s="35">
        <v>1164</v>
      </c>
      <c r="J507" t="s" s="35">
        <v>1189</v>
      </c>
      <c r="K507" s="39"/>
      <c r="L507" t="s" s="35">
        <v>282</v>
      </c>
      <c r="M507" t="str" s="39" cm="1">
        <f t="array" ref="M507">IF(J507="FUERA","Fuera del marco",_xlfn.IFERROR(INDEX('Datos - Catálogo TIMSS'!$C$5:$C$107,MATCH(J507,'Datos - Catálogo TIMSS'!$A$5:$A$107,0)),"?"))</f>
        <v>Biología</v>
      </c>
      <c r="N507" t="s" s="35">
        <v>9334</v>
      </c>
    </row>
    <row r="508" ht="13.65" customHeight="1">
      <c r="A508" t="s" s="35">
        <v>9335</v>
      </c>
      <c r="B508" t="s" s="35">
        <v>1511</v>
      </c>
      <c r="C508" t="s" s="35">
        <v>9014</v>
      </c>
      <c r="D508" s="36">
        <v>70</v>
      </c>
      <c r="E508" t="s" s="35">
        <v>9277</v>
      </c>
      <c r="F508" s="36">
        <v>6</v>
      </c>
      <c r="G508" t="s" s="35">
        <v>9320</v>
      </c>
      <c r="H508" t="s" s="120">
        <v>9336</v>
      </c>
      <c r="I508" t="s" s="35">
        <v>1164</v>
      </c>
      <c r="J508" t="s" s="35">
        <v>1181</v>
      </c>
      <c r="K508" s="39"/>
      <c r="L508" t="s" s="35">
        <v>282</v>
      </c>
      <c r="M508" t="str" s="39" cm="1">
        <f t="array" ref="M508">IF(J508="FUERA","Fuera del marco",_xlfn.IFERROR(INDEX('Datos - Catálogo TIMSS'!$C$5:$C$107,MATCH(J508,'Datos - Catálogo TIMSS'!$A$5:$A$107,0)),"?"))</f>
        <v>Biología</v>
      </c>
      <c r="N508" t="s" s="35">
        <v>9337</v>
      </c>
    </row>
    <row r="509" ht="13.65" customHeight="1">
      <c r="A509" t="s" s="35">
        <v>9338</v>
      </c>
      <c r="B509" t="s" s="35">
        <v>1511</v>
      </c>
      <c r="C509" t="s" s="35">
        <v>9014</v>
      </c>
      <c r="D509" s="36">
        <v>71</v>
      </c>
      <c r="E509" t="s" s="35">
        <v>9277</v>
      </c>
      <c r="F509" s="36">
        <v>6</v>
      </c>
      <c r="G509" t="s" s="35">
        <v>9320</v>
      </c>
      <c r="H509" t="s" s="120">
        <v>9339</v>
      </c>
      <c r="I509" t="s" s="35">
        <v>1164</v>
      </c>
      <c r="J509" t="s" s="35">
        <v>1201</v>
      </c>
      <c r="K509" t="s" s="35">
        <v>1290</v>
      </c>
      <c r="L509" t="s" s="35">
        <v>254</v>
      </c>
      <c r="M509" t="str" s="39" cm="1">
        <f t="array" ref="M509">IF(J509="FUERA","Fuera del marco",_xlfn.IFERROR(INDEX('Datos - Catálogo TIMSS'!$C$5:$C$107,MATCH(J509,'Datos - Catálogo TIMSS'!$A$5:$A$107,0)),"?"))</f>
        <v>Biología</v>
      </c>
      <c r="N509" t="s" s="35">
        <v>9340</v>
      </c>
    </row>
    <row r="510" ht="13.65" customHeight="1">
      <c r="A510" t="s" s="35">
        <v>9341</v>
      </c>
      <c r="B510" t="s" s="35">
        <v>1511</v>
      </c>
      <c r="C510" t="s" s="35">
        <v>9014</v>
      </c>
      <c r="D510" s="36">
        <v>68</v>
      </c>
      <c r="E510" t="s" s="35">
        <v>9277</v>
      </c>
      <c r="F510" s="36">
        <v>6</v>
      </c>
      <c r="G510" t="s" s="35">
        <v>9320</v>
      </c>
      <c r="H510" t="s" s="120">
        <v>9342</v>
      </c>
      <c r="I510" t="s" s="35">
        <v>1164</v>
      </c>
      <c r="J510" t="s" s="35">
        <v>1207</v>
      </c>
      <c r="K510" t="s" s="35">
        <v>475</v>
      </c>
      <c r="L510" t="s" s="35">
        <v>282</v>
      </c>
      <c r="M510" t="str" s="39" cm="1">
        <f t="array" ref="M510">IF(J510="FUERA","Fuera del marco",_xlfn.IFERROR(INDEX('Datos - Catálogo TIMSS'!$C$5:$C$107,MATCH(J510,'Datos - Catálogo TIMSS'!$A$5:$A$107,0)),"?"))</f>
        <v>Biología</v>
      </c>
      <c r="N510" t="s" s="35">
        <v>9343</v>
      </c>
    </row>
    <row r="511" ht="13.55" customHeight="1">
      <c r="A511" s="42"/>
      <c r="B511" s="18"/>
      <c r="C511" s="18"/>
      <c r="D511" s="18"/>
      <c r="E511" s="18"/>
      <c r="F511" s="18"/>
      <c r="G511" s="18"/>
      <c r="H511" s="18"/>
      <c r="I511" s="18"/>
      <c r="J511" s="18"/>
      <c r="K511" s="18"/>
      <c r="L511" s="18"/>
      <c r="M511" s="18"/>
      <c r="N511" s="51"/>
    </row>
    <row r="512" ht="56" customHeight="1">
      <c r="A512" t="s" s="54">
        <v>9344</v>
      </c>
      <c r="B512" s="24"/>
      <c r="C512" s="24"/>
      <c r="D512" s="24"/>
      <c r="E512" s="24"/>
      <c r="F512" s="24"/>
      <c r="G512" s="24"/>
      <c r="H512" s="24"/>
      <c r="I512" s="24"/>
      <c r="J512" s="24"/>
      <c r="K512" s="24"/>
      <c r="L512" s="24"/>
      <c r="M512" s="24"/>
      <c r="N512" s="25"/>
    </row>
  </sheetData>
  <mergeCells count="2">
    <mergeCell ref="A512:N512"/>
    <mergeCell ref="A2:N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L135"/>
  <sheetViews>
    <sheetView workbookViewId="0" showGridLines="0" defaultGridColor="1"/>
  </sheetViews>
  <sheetFormatPr defaultColWidth="8.83333" defaultRowHeight="15" customHeight="1" outlineLevelRow="0" outlineLevelCol="0"/>
  <cols>
    <col min="1" max="1" width="12" style="127" customWidth="1"/>
    <col min="2" max="2" width="7" style="127" customWidth="1"/>
    <col min="3" max="3" width="24" style="127" customWidth="1"/>
    <col min="4" max="4" width="10" style="127" customWidth="1"/>
    <col min="5" max="5" width="34" style="127" customWidth="1"/>
    <col min="6" max="6" width="55" style="127" customWidth="1"/>
    <col min="7" max="7" width="15" style="127" customWidth="1"/>
    <col min="8" max="8" width="11" style="127" customWidth="1"/>
    <col min="9" max="9" width="10" style="127" customWidth="1"/>
    <col min="10" max="12" width="8.85156" style="127" customWidth="1"/>
    <col min="13" max="16384" width="8.85156" style="127" customWidth="1"/>
  </cols>
  <sheetData>
    <row r="1" ht="18.5" customHeight="1">
      <c r="A1" t="s" s="27">
        <v>9346</v>
      </c>
      <c r="B1" s="28"/>
      <c r="C1" s="28"/>
      <c r="D1" s="28"/>
      <c r="E1" s="28"/>
      <c r="F1" s="28"/>
      <c r="G1" s="28"/>
      <c r="H1" s="28"/>
      <c r="I1" s="28"/>
      <c r="J1" s="28"/>
      <c r="K1" s="28"/>
      <c r="L1" s="97"/>
    </row>
    <row r="2" ht="38" customHeight="1">
      <c r="A2" t="str" s="29" cm="1">
        <f t="array" ref="A2">"TIMSS 2023 (versión anterior)"&amp;"
"&amp;"● Solo para comparar. Con TIMSS 2023 se cubrían "&amp;C110&amp;" de "&amp;B110&amp;" objetivos de 4.° y "&amp;C111&amp;" de "&amp;B111&amp;" de 8.°."</f>
        <v>TIMSS 2023 (versión anterior)
● Solo para comparar. Con TIMSS 2023 se cubrían 31 de 32 objetivos de 4.° y 43 de 46 de 8.°.</v>
      </c>
      <c r="B2" s="30"/>
      <c r="C2" s="31"/>
      <c r="D2" s="31"/>
      <c r="E2" s="31"/>
      <c r="F2" s="31"/>
      <c r="G2" s="31"/>
      <c r="H2" s="31"/>
      <c r="I2" s="31"/>
      <c r="J2" s="31"/>
      <c r="K2" s="31"/>
      <c r="L2" s="32"/>
    </row>
    <row r="3" ht="13.55" customHeight="1">
      <c r="A3" s="71"/>
      <c r="B3" s="31"/>
      <c r="C3" s="31"/>
      <c r="D3" s="31"/>
      <c r="E3" s="31"/>
      <c r="F3" s="31"/>
      <c r="G3" s="31"/>
      <c r="H3" s="31"/>
      <c r="I3" s="31"/>
      <c r="J3" s="18"/>
      <c r="K3" s="18"/>
      <c r="L3" s="51"/>
    </row>
    <row r="4" ht="45" customHeight="1">
      <c r="A4" t="s" s="34">
        <v>9348</v>
      </c>
      <c r="B4" t="s" s="34">
        <v>155</v>
      </c>
      <c r="C4" t="s" s="34">
        <v>1002</v>
      </c>
      <c r="D4" t="s" s="34">
        <v>7616</v>
      </c>
      <c r="E4" t="s" s="34">
        <v>1048</v>
      </c>
      <c r="F4" t="s" s="34">
        <v>7618</v>
      </c>
      <c r="G4" t="s" s="34">
        <v>9349</v>
      </c>
      <c r="H4" t="s" s="34">
        <v>9350</v>
      </c>
      <c r="I4" t="s" s="34">
        <v>9351</v>
      </c>
      <c r="J4" s="17"/>
      <c r="K4" s="13"/>
      <c r="L4" s="14"/>
    </row>
    <row r="5" ht="24.65" customHeight="1">
      <c r="A5" t="s" s="78">
        <v>2023</v>
      </c>
      <c r="B5" t="s" s="78">
        <v>9352</v>
      </c>
      <c r="C5" t="s" s="78">
        <v>9353</v>
      </c>
      <c r="D5" s="128">
        <v>0.45</v>
      </c>
      <c r="E5" t="s" s="78">
        <v>1056</v>
      </c>
      <c r="F5" t="s" s="78">
        <v>9354</v>
      </c>
      <c r="G5" t="s" s="78">
        <v>112</v>
      </c>
      <c r="H5" s="80" cm="1">
        <f t="array" ref="H5">_xlfn.COUNTIFS('Datos - Temas'!$W$5:$W$1264,$G5,'Datos - Temas'!$AA$5:$AA$1264,$A5)+_xlfn.COUNTIFS('Datos - Temas'!$W$5:$W$1264,$G5,'Datos - Temas'!$AB$5:$AB$1264,$A5)</f>
        <v>13</v>
      </c>
      <c r="I5" t="str" s="79" cm="1">
        <f t="array" ref="I5">IF(H5&gt;0,"Sí","No")</f>
        <v>Sí</v>
      </c>
      <c r="J5" s="17"/>
      <c r="K5" s="13"/>
      <c r="L5" s="14"/>
    </row>
    <row r="6" ht="24.65" customHeight="1">
      <c r="A6" t="s" s="78">
        <v>2052</v>
      </c>
      <c r="B6" t="s" s="78">
        <v>9352</v>
      </c>
      <c r="C6" t="s" s="78">
        <v>9353</v>
      </c>
      <c r="D6" s="128">
        <v>0.45</v>
      </c>
      <c r="E6" t="s" s="78">
        <v>1056</v>
      </c>
      <c r="F6" t="s" s="78">
        <v>9355</v>
      </c>
      <c r="G6" t="s" s="78">
        <v>112</v>
      </c>
      <c r="H6" s="80" cm="1">
        <f t="array" ref="H6">_xlfn.COUNTIFS('Datos - Temas'!$W$5:$W$1264,$G6,'Datos - Temas'!$AA$5:$AA$1264,$A6)+_xlfn.COUNTIFS('Datos - Temas'!$W$5:$W$1264,$G6,'Datos - Temas'!$AB$5:$AB$1264,$A6)</f>
        <v>21</v>
      </c>
      <c r="I6" t="str" s="79" cm="1">
        <f t="array" ref="I6">IF(H6&gt;0,"Sí","No")</f>
        <v>Sí</v>
      </c>
      <c r="J6" s="17"/>
      <c r="K6" s="13"/>
      <c r="L6" s="14"/>
    </row>
    <row r="7" ht="24.65" customHeight="1">
      <c r="A7" t="s" s="78">
        <v>2061</v>
      </c>
      <c r="B7" t="s" s="78">
        <v>9352</v>
      </c>
      <c r="C7" t="s" s="78">
        <v>9353</v>
      </c>
      <c r="D7" s="128">
        <v>0.45</v>
      </c>
      <c r="E7" t="s" s="78">
        <v>1056</v>
      </c>
      <c r="F7" t="s" s="78">
        <v>9356</v>
      </c>
      <c r="G7" t="s" s="78">
        <v>112</v>
      </c>
      <c r="H7" s="80" cm="1">
        <f t="array" ref="H7">_xlfn.COUNTIFS('Datos - Temas'!$W$5:$W$1264,$G7,'Datos - Temas'!$AA$5:$AA$1264,$A7)+_xlfn.COUNTIFS('Datos - Temas'!$W$5:$W$1264,$G7,'Datos - Temas'!$AB$5:$AB$1264,$A7)</f>
        <v>24</v>
      </c>
      <c r="I7" t="str" s="79" cm="1">
        <f t="array" ref="I7">IF(H7&gt;0,"Sí","No")</f>
        <v>Sí</v>
      </c>
      <c r="J7" s="17"/>
      <c r="K7" s="13"/>
      <c r="L7" s="14"/>
    </row>
    <row r="8" ht="24.65" customHeight="1">
      <c r="A8" t="s" s="78">
        <v>2038</v>
      </c>
      <c r="B8" t="s" s="78">
        <v>9352</v>
      </c>
      <c r="C8" t="s" s="78">
        <v>9353</v>
      </c>
      <c r="D8" s="128">
        <v>0.45</v>
      </c>
      <c r="E8" t="s" s="78">
        <v>1070</v>
      </c>
      <c r="F8" t="s" s="78">
        <v>9357</v>
      </c>
      <c r="G8" t="s" s="78">
        <v>112</v>
      </c>
      <c r="H8" s="80" cm="1">
        <f t="array" ref="H8">_xlfn.COUNTIFS('Datos - Temas'!$W$5:$W$1264,$G8,'Datos - Temas'!$AA$5:$AA$1264,$A8)+_xlfn.COUNTIFS('Datos - Temas'!$W$5:$W$1264,$G8,'Datos - Temas'!$AB$5:$AB$1264,$A8)</f>
        <v>2</v>
      </c>
      <c r="I8" t="str" s="79" cm="1">
        <f t="array" ref="I8">IF(H8&gt;0,"Sí","No")</f>
        <v>Sí</v>
      </c>
      <c r="J8" s="17"/>
      <c r="K8" s="13"/>
      <c r="L8" s="14"/>
    </row>
    <row r="9" ht="24.65" customHeight="1">
      <c r="A9" t="s" s="78">
        <v>9358</v>
      </c>
      <c r="B9" t="s" s="78">
        <v>9352</v>
      </c>
      <c r="C9" t="s" s="78">
        <v>9353</v>
      </c>
      <c r="D9" s="128">
        <v>0.45</v>
      </c>
      <c r="E9" t="s" s="78">
        <v>1070</v>
      </c>
      <c r="F9" t="s" s="78">
        <v>9359</v>
      </c>
      <c r="G9" t="s" s="78">
        <v>112</v>
      </c>
      <c r="H9" s="80" cm="1">
        <f t="array" ref="H9">_xlfn.COUNTIFS('Datos - Temas'!$W$5:$W$1264,$G9,'Datos - Temas'!$AA$5:$AA$1264,$A9)+_xlfn.COUNTIFS('Datos - Temas'!$W$5:$W$1264,$G9,'Datos - Temas'!$AB$5:$AB$1264,$A9)</f>
        <v>0</v>
      </c>
      <c r="I9" t="str" s="79" cm="1">
        <f t="array" ref="I9">IF(H9&gt;0,"Sí","No")</f>
        <v>No</v>
      </c>
      <c r="J9" s="17"/>
      <c r="K9" s="13"/>
      <c r="L9" s="14"/>
    </row>
    <row r="10" ht="24.65" customHeight="1">
      <c r="A10" t="s" s="78">
        <v>2087</v>
      </c>
      <c r="B10" t="s" s="78">
        <v>9352</v>
      </c>
      <c r="C10" t="s" s="78">
        <v>9353</v>
      </c>
      <c r="D10" s="128">
        <v>0.45</v>
      </c>
      <c r="E10" t="s" s="78">
        <v>9360</v>
      </c>
      <c r="F10" t="s" s="78">
        <v>9361</v>
      </c>
      <c r="G10" t="s" s="78">
        <v>112</v>
      </c>
      <c r="H10" s="80" cm="1">
        <f t="array" ref="H10">_xlfn.COUNTIFS('Datos - Temas'!$W$5:$W$1264,$G10,'Datos - Temas'!$AA$5:$AA$1264,$A10)+_xlfn.COUNTIFS('Datos - Temas'!$W$5:$W$1264,$G10,'Datos - Temas'!$AB$5:$AB$1264,$A10)</f>
        <v>2</v>
      </c>
      <c r="I10" t="str" s="79" cm="1">
        <f t="array" ref="I10">IF(H10&gt;0,"Sí","No")</f>
        <v>Sí</v>
      </c>
      <c r="J10" s="17"/>
      <c r="K10" s="13"/>
      <c r="L10" s="14"/>
    </row>
    <row r="11" ht="13.65" customHeight="1">
      <c r="A11" t="s" s="78">
        <v>2031</v>
      </c>
      <c r="B11" t="s" s="78">
        <v>9352</v>
      </c>
      <c r="C11" t="s" s="78">
        <v>9353</v>
      </c>
      <c r="D11" s="128">
        <v>0.45</v>
      </c>
      <c r="E11" t="s" s="78">
        <v>9360</v>
      </c>
      <c r="F11" t="s" s="78">
        <v>9362</v>
      </c>
      <c r="G11" t="s" s="78">
        <v>112</v>
      </c>
      <c r="H11" s="80" cm="1">
        <f t="array" ref="H11">_xlfn.COUNTIFS('Datos - Temas'!$W$5:$W$1264,$G11,'Datos - Temas'!$AA$5:$AA$1264,$A11)+_xlfn.COUNTIFS('Datos - Temas'!$W$5:$W$1264,$G11,'Datos - Temas'!$AB$5:$AB$1264,$A11)</f>
        <v>6</v>
      </c>
      <c r="I11" t="str" s="79" cm="1">
        <f t="array" ref="I11">IF(H11&gt;0,"Sí","No")</f>
        <v>Sí</v>
      </c>
      <c r="J11" s="17"/>
      <c r="K11" s="13"/>
      <c r="L11" s="14"/>
    </row>
    <row r="12" ht="13.65" customHeight="1">
      <c r="A12" t="s" s="78">
        <v>2104</v>
      </c>
      <c r="B12" t="s" s="78">
        <v>9352</v>
      </c>
      <c r="C12" t="s" s="78">
        <v>9353</v>
      </c>
      <c r="D12" s="128">
        <v>0.45</v>
      </c>
      <c r="E12" t="s" s="78">
        <v>9360</v>
      </c>
      <c r="F12" t="s" s="78">
        <v>9363</v>
      </c>
      <c r="G12" t="s" s="78">
        <v>112</v>
      </c>
      <c r="H12" s="80" cm="1">
        <f t="array" ref="H12">_xlfn.COUNTIFS('Datos - Temas'!$W$5:$W$1264,$G12,'Datos - Temas'!$AA$5:$AA$1264,$A12)+_xlfn.COUNTIFS('Datos - Temas'!$W$5:$W$1264,$G12,'Datos - Temas'!$AB$5:$AB$1264,$A12)</f>
        <v>6</v>
      </c>
      <c r="I12" t="str" s="79" cm="1">
        <f t="array" ref="I12">IF(H12&gt;0,"Sí","No")</f>
        <v>Sí</v>
      </c>
      <c r="J12" s="17"/>
      <c r="K12" s="13"/>
      <c r="L12" s="14"/>
    </row>
    <row r="13" ht="13.65" customHeight="1">
      <c r="A13" t="s" s="78">
        <v>2045</v>
      </c>
      <c r="B13" t="s" s="78">
        <v>9352</v>
      </c>
      <c r="C13" t="s" s="78">
        <v>9353</v>
      </c>
      <c r="D13" s="128">
        <v>0.45</v>
      </c>
      <c r="E13" t="s" s="78">
        <v>1083</v>
      </c>
      <c r="F13" t="s" s="78">
        <v>9364</v>
      </c>
      <c r="G13" t="s" s="78">
        <v>112</v>
      </c>
      <c r="H13" s="80" cm="1">
        <f t="array" ref="H13">_xlfn.COUNTIFS('Datos - Temas'!$W$5:$W$1264,$G13,'Datos - Temas'!$AA$5:$AA$1264,$A13)+_xlfn.COUNTIFS('Datos - Temas'!$W$5:$W$1264,$G13,'Datos - Temas'!$AB$5:$AB$1264,$A13)</f>
        <v>11</v>
      </c>
      <c r="I13" t="str" s="79" cm="1">
        <f t="array" ref="I13">IF(H13&gt;0,"Sí","No")</f>
        <v>Sí</v>
      </c>
      <c r="J13" s="17"/>
      <c r="K13" s="13"/>
      <c r="L13" s="14"/>
    </row>
    <row r="14" ht="13.65" customHeight="1">
      <c r="A14" t="s" s="78">
        <v>2504</v>
      </c>
      <c r="B14" t="s" s="78">
        <v>9352</v>
      </c>
      <c r="C14" t="s" s="78">
        <v>9353</v>
      </c>
      <c r="D14" s="128">
        <v>0.45</v>
      </c>
      <c r="E14" t="s" s="78">
        <v>1083</v>
      </c>
      <c r="F14" t="s" s="78">
        <v>9365</v>
      </c>
      <c r="G14" t="s" s="78">
        <v>112</v>
      </c>
      <c r="H14" s="80" cm="1">
        <f t="array" ref="H14">_xlfn.COUNTIFS('Datos - Temas'!$W$5:$W$1264,$G14,'Datos - Temas'!$AA$5:$AA$1264,$A14)+_xlfn.COUNTIFS('Datos - Temas'!$W$5:$W$1264,$G14,'Datos - Temas'!$AB$5:$AB$1264,$A14)</f>
        <v>3</v>
      </c>
      <c r="I14" t="str" s="79" cm="1">
        <f t="array" ref="I14">IF(H14&gt;0,"Sí","No")</f>
        <v>Sí</v>
      </c>
      <c r="J14" s="17"/>
      <c r="K14" s="13"/>
      <c r="L14" s="14"/>
    </row>
    <row r="15" ht="13.65" customHeight="1">
      <c r="A15" t="s" s="78">
        <v>2639</v>
      </c>
      <c r="B15" t="s" s="78">
        <v>9352</v>
      </c>
      <c r="C15" t="s" s="78">
        <v>9353</v>
      </c>
      <c r="D15" s="128">
        <v>0.45</v>
      </c>
      <c r="E15" t="s" s="78">
        <v>1083</v>
      </c>
      <c r="F15" t="s" s="78">
        <v>9366</v>
      </c>
      <c r="G15" t="s" s="78">
        <v>112</v>
      </c>
      <c r="H15" s="80" cm="1">
        <f t="array" ref="H15">_xlfn.COUNTIFS('Datos - Temas'!$W$5:$W$1264,$G15,'Datos - Temas'!$AA$5:$AA$1264,$A15)+_xlfn.COUNTIFS('Datos - Temas'!$W$5:$W$1264,$G15,'Datos - Temas'!$AB$5:$AB$1264,$A15)</f>
        <v>1</v>
      </c>
      <c r="I15" t="str" s="79" cm="1">
        <f t="array" ref="I15">IF(H15&gt;0,"Sí","No")</f>
        <v>Sí</v>
      </c>
      <c r="J15" s="17"/>
      <c r="K15" s="13"/>
      <c r="L15" s="14"/>
    </row>
    <row r="16" ht="13.65" customHeight="1">
      <c r="A16" t="s" s="78">
        <v>2213</v>
      </c>
      <c r="B16" t="s" s="78">
        <v>9352</v>
      </c>
      <c r="C16" t="s" s="78">
        <v>9353</v>
      </c>
      <c r="D16" s="128">
        <v>0.45</v>
      </c>
      <c r="E16" t="s" s="78">
        <v>1094</v>
      </c>
      <c r="F16" t="s" s="78">
        <v>9367</v>
      </c>
      <c r="G16" t="s" s="78">
        <v>112</v>
      </c>
      <c r="H16" s="80" cm="1">
        <f t="array" ref="H16">_xlfn.COUNTIFS('Datos - Temas'!$W$5:$W$1264,$G16,'Datos - Temas'!$AA$5:$AA$1264,$A16)+_xlfn.COUNTIFS('Datos - Temas'!$W$5:$W$1264,$G16,'Datos - Temas'!$AB$5:$AB$1264,$A16)</f>
        <v>14</v>
      </c>
      <c r="I16" t="str" s="79" cm="1">
        <f t="array" ref="I16">IF(H16&gt;0,"Sí","No")</f>
        <v>Sí</v>
      </c>
      <c r="J16" s="17"/>
      <c r="K16" s="13"/>
      <c r="L16" s="14"/>
    </row>
    <row r="17" ht="13.65" customHeight="1">
      <c r="A17" t="s" s="78">
        <v>2110</v>
      </c>
      <c r="B17" t="s" s="78">
        <v>9352</v>
      </c>
      <c r="C17" t="s" s="78">
        <v>9353</v>
      </c>
      <c r="D17" s="128">
        <v>0.45</v>
      </c>
      <c r="E17" t="s" s="78">
        <v>1094</v>
      </c>
      <c r="F17" t="s" s="78">
        <v>9368</v>
      </c>
      <c r="G17" t="s" s="78">
        <v>112</v>
      </c>
      <c r="H17" s="80" cm="1">
        <f t="array" ref="H17">_xlfn.COUNTIFS('Datos - Temas'!$W$5:$W$1264,$G17,'Datos - Temas'!$AA$5:$AA$1264,$A17)+_xlfn.COUNTIFS('Datos - Temas'!$W$5:$W$1264,$G17,'Datos - Temas'!$AB$5:$AB$1264,$A17)</f>
        <v>10</v>
      </c>
      <c r="I17" t="str" s="79" cm="1">
        <f t="array" ref="I17">IF(H17&gt;0,"Sí","No")</f>
        <v>Sí</v>
      </c>
      <c r="J17" s="17"/>
      <c r="K17" s="13"/>
      <c r="L17" s="14"/>
    </row>
    <row r="18" ht="24.65" customHeight="1">
      <c r="A18" t="s" s="78">
        <v>1880</v>
      </c>
      <c r="B18" t="s" s="78">
        <v>9352</v>
      </c>
      <c r="C18" t="s" s="78">
        <v>213</v>
      </c>
      <c r="D18" s="128">
        <v>0.35</v>
      </c>
      <c r="E18" t="s" s="78">
        <v>9369</v>
      </c>
      <c r="F18" t="s" s="78">
        <v>9370</v>
      </c>
      <c r="G18" t="s" s="78">
        <v>112</v>
      </c>
      <c r="H18" s="80" cm="1">
        <f t="array" ref="H18">_xlfn.COUNTIFS('Datos - Temas'!$W$5:$W$1264,$G18,'Datos - Temas'!$AA$5:$AA$1264,$A18)+_xlfn.COUNTIFS('Datos - Temas'!$W$5:$W$1264,$G18,'Datos - Temas'!$AB$5:$AB$1264,$A18)</f>
        <v>1</v>
      </c>
      <c r="I18" t="str" s="79" cm="1">
        <f t="array" ref="I18">IF(H18&gt;0,"Sí","No")</f>
        <v>Sí</v>
      </c>
      <c r="J18" s="17"/>
      <c r="K18" s="13"/>
      <c r="L18" s="14"/>
    </row>
    <row r="19" ht="24.65" customHeight="1">
      <c r="A19" t="s" s="78">
        <v>1848</v>
      </c>
      <c r="B19" t="s" s="78">
        <v>9352</v>
      </c>
      <c r="C19" t="s" s="78">
        <v>213</v>
      </c>
      <c r="D19" s="128">
        <v>0.35</v>
      </c>
      <c r="E19" t="s" s="78">
        <v>9369</v>
      </c>
      <c r="F19" t="s" s="78">
        <v>9371</v>
      </c>
      <c r="G19" t="s" s="78">
        <v>112</v>
      </c>
      <c r="H19" s="80" cm="1">
        <f t="array" ref="H19">_xlfn.COUNTIFS('Datos - Temas'!$W$5:$W$1264,$G19,'Datos - Temas'!$AA$5:$AA$1264,$A19)+_xlfn.COUNTIFS('Datos - Temas'!$W$5:$W$1264,$G19,'Datos - Temas'!$AB$5:$AB$1264,$A19)</f>
        <v>16</v>
      </c>
      <c r="I19" t="str" s="79" cm="1">
        <f t="array" ref="I19">IF(H19&gt;0,"Sí","No")</f>
        <v>Sí</v>
      </c>
      <c r="J19" s="17"/>
      <c r="K19" s="13"/>
      <c r="L19" s="14"/>
    </row>
    <row r="20" ht="24.65" customHeight="1">
      <c r="A20" t="s" s="78">
        <v>2239</v>
      </c>
      <c r="B20" t="s" s="78">
        <v>9352</v>
      </c>
      <c r="C20" t="s" s="78">
        <v>213</v>
      </c>
      <c r="D20" s="128">
        <v>0.35</v>
      </c>
      <c r="E20" t="s" s="78">
        <v>9369</v>
      </c>
      <c r="F20" t="s" s="78">
        <v>9372</v>
      </c>
      <c r="G20" t="s" s="78">
        <v>112</v>
      </c>
      <c r="H20" s="80" cm="1">
        <f t="array" ref="H20">_xlfn.COUNTIFS('Datos - Temas'!$W$5:$W$1264,$G20,'Datos - Temas'!$AA$5:$AA$1264,$A20)+_xlfn.COUNTIFS('Datos - Temas'!$W$5:$W$1264,$G20,'Datos - Temas'!$AB$5:$AB$1264,$A20)</f>
        <v>2</v>
      </c>
      <c r="I20" t="str" s="79" cm="1">
        <f t="array" ref="I20">IF(H20&gt;0,"Sí","No")</f>
        <v>Sí</v>
      </c>
      <c r="J20" s="17"/>
      <c r="K20" s="13"/>
      <c r="L20" s="14"/>
    </row>
    <row r="21" ht="24.65" customHeight="1">
      <c r="A21" t="s" s="78">
        <v>1879</v>
      </c>
      <c r="B21" t="s" s="78">
        <v>9352</v>
      </c>
      <c r="C21" t="s" s="78">
        <v>213</v>
      </c>
      <c r="D21" s="128">
        <v>0.35</v>
      </c>
      <c r="E21" t="s" s="78">
        <v>9369</v>
      </c>
      <c r="F21" t="s" s="78">
        <v>9373</v>
      </c>
      <c r="G21" t="s" s="78">
        <v>112</v>
      </c>
      <c r="H21" s="80" cm="1">
        <f t="array" ref="H21">_xlfn.COUNTIFS('Datos - Temas'!$W$5:$W$1264,$G21,'Datos - Temas'!$AA$5:$AA$1264,$A21)+_xlfn.COUNTIFS('Datos - Temas'!$W$5:$W$1264,$G21,'Datos - Temas'!$AB$5:$AB$1264,$A21)</f>
        <v>3</v>
      </c>
      <c r="I21" t="str" s="79" cm="1">
        <f t="array" ref="I21">IF(H21&gt;0,"Sí","No")</f>
        <v>Sí</v>
      </c>
      <c r="J21" s="17"/>
      <c r="K21" s="13"/>
      <c r="L21" s="14"/>
    </row>
    <row r="22" ht="24.65" customHeight="1">
      <c r="A22" t="s" s="78">
        <v>1867</v>
      </c>
      <c r="B22" t="s" s="78">
        <v>9352</v>
      </c>
      <c r="C22" t="s" s="78">
        <v>213</v>
      </c>
      <c r="D22" s="128">
        <v>0.35</v>
      </c>
      <c r="E22" t="s" s="78">
        <v>9369</v>
      </c>
      <c r="F22" t="s" s="78">
        <v>9374</v>
      </c>
      <c r="G22" t="s" s="78">
        <v>112</v>
      </c>
      <c r="H22" s="80" cm="1">
        <f t="array" ref="H22">_xlfn.COUNTIFS('Datos - Temas'!$W$5:$W$1264,$G22,'Datos - Temas'!$AA$5:$AA$1264,$A22)+_xlfn.COUNTIFS('Datos - Temas'!$W$5:$W$1264,$G22,'Datos - Temas'!$AB$5:$AB$1264,$A22)</f>
        <v>7</v>
      </c>
      <c r="I22" t="str" s="79" cm="1">
        <f t="array" ref="I22">IF(H22&gt;0,"Sí","No")</f>
        <v>Sí</v>
      </c>
      <c r="J22" s="17"/>
      <c r="K22" s="13"/>
      <c r="L22" s="14"/>
    </row>
    <row r="23" ht="24.65" customHeight="1">
      <c r="A23" t="s" s="78">
        <v>1911</v>
      </c>
      <c r="B23" t="s" s="78">
        <v>9352</v>
      </c>
      <c r="C23" t="s" s="78">
        <v>213</v>
      </c>
      <c r="D23" s="128">
        <v>0.35</v>
      </c>
      <c r="E23" t="s" s="78">
        <v>9375</v>
      </c>
      <c r="F23" t="s" s="78">
        <v>9376</v>
      </c>
      <c r="G23" t="s" s="78">
        <v>112</v>
      </c>
      <c r="H23" s="80" cm="1">
        <f t="array" ref="H23">_xlfn.COUNTIFS('Datos - Temas'!$W$5:$W$1264,$G23,'Datos - Temas'!$AA$5:$AA$1264,$A23)+_xlfn.COUNTIFS('Datos - Temas'!$W$5:$W$1264,$G23,'Datos - Temas'!$AB$5:$AB$1264,$A23)</f>
        <v>8</v>
      </c>
      <c r="I23" t="str" s="79" cm="1">
        <f t="array" ref="I23">IF(H23&gt;0,"Sí","No")</f>
        <v>Sí</v>
      </c>
      <c r="J23" s="17"/>
      <c r="K23" s="13"/>
      <c r="L23" s="14"/>
    </row>
    <row r="24" ht="24.65" customHeight="1">
      <c r="A24" t="s" s="78">
        <v>1941</v>
      </c>
      <c r="B24" t="s" s="78">
        <v>9352</v>
      </c>
      <c r="C24" t="s" s="78">
        <v>213</v>
      </c>
      <c r="D24" s="128">
        <v>0.35</v>
      </c>
      <c r="E24" t="s" s="78">
        <v>9375</v>
      </c>
      <c r="F24" t="s" s="78">
        <v>9377</v>
      </c>
      <c r="G24" t="s" s="78">
        <v>112</v>
      </c>
      <c r="H24" s="80" cm="1">
        <f t="array" ref="H24">_xlfn.COUNTIFS('Datos - Temas'!$W$5:$W$1264,$G24,'Datos - Temas'!$AA$5:$AA$1264,$A24)+_xlfn.COUNTIFS('Datos - Temas'!$W$5:$W$1264,$G24,'Datos - Temas'!$AB$5:$AB$1264,$A24)</f>
        <v>3</v>
      </c>
      <c r="I24" t="str" s="79" cm="1">
        <f t="array" ref="I24">IF(H24&gt;0,"Sí","No")</f>
        <v>Sí</v>
      </c>
      <c r="J24" s="17"/>
      <c r="K24" s="13"/>
      <c r="L24" s="14"/>
    </row>
    <row r="25" ht="24.65" customHeight="1">
      <c r="A25" t="s" s="78">
        <v>1946</v>
      </c>
      <c r="B25" t="s" s="78">
        <v>9352</v>
      </c>
      <c r="C25" t="s" s="78">
        <v>213</v>
      </c>
      <c r="D25" s="128">
        <v>0.35</v>
      </c>
      <c r="E25" t="s" s="78">
        <v>9375</v>
      </c>
      <c r="F25" t="s" s="78">
        <v>9378</v>
      </c>
      <c r="G25" t="s" s="78">
        <v>112</v>
      </c>
      <c r="H25" s="80" cm="1">
        <f t="array" ref="H25">_xlfn.COUNTIFS('Datos - Temas'!$W$5:$W$1264,$G25,'Datos - Temas'!$AA$5:$AA$1264,$A25)+_xlfn.COUNTIFS('Datos - Temas'!$W$5:$W$1264,$G25,'Datos - Temas'!$AB$5:$AB$1264,$A25)</f>
        <v>1</v>
      </c>
      <c r="I25" t="str" s="79" cm="1">
        <f t="array" ref="I25">IF(H25&gt;0,"Sí","No")</f>
        <v>Sí</v>
      </c>
      <c r="J25" s="17"/>
      <c r="K25" s="13"/>
      <c r="L25" s="14"/>
    </row>
    <row r="26" ht="24.65" customHeight="1">
      <c r="A26" t="s" s="78">
        <v>1924</v>
      </c>
      <c r="B26" t="s" s="78">
        <v>9352</v>
      </c>
      <c r="C26" t="s" s="78">
        <v>213</v>
      </c>
      <c r="D26" s="128">
        <v>0.35</v>
      </c>
      <c r="E26" t="s" s="78">
        <v>9375</v>
      </c>
      <c r="F26" t="s" s="78">
        <v>9379</v>
      </c>
      <c r="G26" t="s" s="78">
        <v>112</v>
      </c>
      <c r="H26" s="80" cm="1">
        <f t="array" ref="H26">_xlfn.COUNTIFS('Datos - Temas'!$W$5:$W$1264,$G26,'Datos - Temas'!$AA$5:$AA$1264,$A26)+_xlfn.COUNTIFS('Datos - Temas'!$W$5:$W$1264,$G26,'Datos - Temas'!$AB$5:$AB$1264,$A26)</f>
        <v>4</v>
      </c>
      <c r="I26" t="str" s="79" cm="1">
        <f t="array" ref="I26">IF(H26&gt;0,"Sí","No")</f>
        <v>Sí</v>
      </c>
      <c r="J26" s="17"/>
      <c r="K26" s="13"/>
      <c r="L26" s="14"/>
    </row>
    <row r="27" ht="13.65" customHeight="1">
      <c r="A27" t="s" s="78">
        <v>1919</v>
      </c>
      <c r="B27" t="s" s="78">
        <v>9352</v>
      </c>
      <c r="C27" t="s" s="78">
        <v>213</v>
      </c>
      <c r="D27" s="128">
        <v>0.35</v>
      </c>
      <c r="E27" t="s" s="78">
        <v>1302</v>
      </c>
      <c r="F27" t="s" s="78">
        <v>9380</v>
      </c>
      <c r="G27" t="s" s="78">
        <v>112</v>
      </c>
      <c r="H27" s="80" cm="1">
        <f t="array" ref="H27">_xlfn.COUNTIFS('Datos - Temas'!$W$5:$W$1264,$G27,'Datos - Temas'!$AA$5:$AA$1264,$A27)+_xlfn.COUNTIFS('Datos - Temas'!$W$5:$W$1264,$G27,'Datos - Temas'!$AB$5:$AB$1264,$A27)</f>
        <v>8</v>
      </c>
      <c r="I27" t="str" s="79" cm="1">
        <f t="array" ref="I27">IF(H27&gt;0,"Sí","No")</f>
        <v>Sí</v>
      </c>
      <c r="J27" s="17"/>
      <c r="K27" s="13"/>
      <c r="L27" s="14"/>
    </row>
    <row r="28" ht="13.65" customHeight="1">
      <c r="A28" t="s" s="78">
        <v>2519</v>
      </c>
      <c r="B28" t="s" s="78">
        <v>9352</v>
      </c>
      <c r="C28" t="s" s="78">
        <v>213</v>
      </c>
      <c r="D28" s="128">
        <v>0.35</v>
      </c>
      <c r="E28" t="s" s="78">
        <v>1302</v>
      </c>
      <c r="F28" t="s" s="78">
        <v>9381</v>
      </c>
      <c r="G28" t="s" s="78">
        <v>112</v>
      </c>
      <c r="H28" s="80" cm="1">
        <f t="array" ref="H28">_xlfn.COUNTIFS('Datos - Temas'!$W$5:$W$1264,$G28,'Datos - Temas'!$AA$5:$AA$1264,$A28)+_xlfn.COUNTIFS('Datos - Temas'!$W$5:$W$1264,$G28,'Datos - Temas'!$AB$5:$AB$1264,$A28)</f>
        <v>6</v>
      </c>
      <c r="I28" t="str" s="79" cm="1">
        <f t="array" ref="I28">IF(H28&gt;0,"Sí","No")</f>
        <v>Sí</v>
      </c>
      <c r="J28" s="17"/>
      <c r="K28" s="13"/>
      <c r="L28" s="14"/>
    </row>
    <row r="29" ht="24.65" customHeight="1">
      <c r="A29" t="s" s="78">
        <v>2326</v>
      </c>
      <c r="B29" t="s" s="78">
        <v>9352</v>
      </c>
      <c r="C29" t="s" s="78">
        <v>216</v>
      </c>
      <c r="D29" s="128">
        <v>0.2</v>
      </c>
      <c r="E29" t="s" s="78">
        <v>9382</v>
      </c>
      <c r="F29" t="s" s="78">
        <v>9383</v>
      </c>
      <c r="G29" t="s" s="78">
        <v>112</v>
      </c>
      <c r="H29" s="80" cm="1">
        <f t="array" ref="H29">_xlfn.COUNTIFS('Datos - Temas'!$W$5:$W$1264,$G29,'Datos - Temas'!$AA$5:$AA$1264,$A29)+_xlfn.COUNTIFS('Datos - Temas'!$W$5:$W$1264,$G29,'Datos - Temas'!$AB$5:$AB$1264,$A29)</f>
        <v>5</v>
      </c>
      <c r="I29" t="str" s="79" cm="1">
        <f t="array" ref="I29">IF(H29&gt;0,"Sí","No")</f>
        <v>Sí</v>
      </c>
      <c r="J29" s="17"/>
      <c r="K29" s="13"/>
      <c r="L29" s="14"/>
    </row>
    <row r="30" ht="24.65" customHeight="1">
      <c r="A30" t="s" s="78">
        <v>1899</v>
      </c>
      <c r="B30" t="s" s="78">
        <v>9352</v>
      </c>
      <c r="C30" t="s" s="78">
        <v>216</v>
      </c>
      <c r="D30" s="128">
        <v>0.2</v>
      </c>
      <c r="E30" t="s" s="78">
        <v>9382</v>
      </c>
      <c r="F30" t="s" s="78">
        <v>9384</v>
      </c>
      <c r="G30" t="s" s="78">
        <v>112</v>
      </c>
      <c r="H30" s="80" cm="1">
        <f t="array" ref="H30">_xlfn.COUNTIFS('Datos - Temas'!$W$5:$W$1264,$G30,'Datos - Temas'!$AA$5:$AA$1264,$A30)+_xlfn.COUNTIFS('Datos - Temas'!$W$5:$W$1264,$G30,'Datos - Temas'!$AB$5:$AB$1264,$A30)</f>
        <v>15</v>
      </c>
      <c r="I30" t="str" s="79" cm="1">
        <f t="array" ref="I30">IF(H30&gt;0,"Sí","No")</f>
        <v>Sí</v>
      </c>
      <c r="J30" s="17"/>
      <c r="K30" s="13"/>
      <c r="L30" s="14"/>
    </row>
    <row r="31" ht="24.65" customHeight="1">
      <c r="A31" t="s" s="78">
        <v>2284</v>
      </c>
      <c r="B31" t="s" s="78">
        <v>9352</v>
      </c>
      <c r="C31" t="s" s="78">
        <v>216</v>
      </c>
      <c r="D31" s="128">
        <v>0.2</v>
      </c>
      <c r="E31" t="s" s="78">
        <v>9382</v>
      </c>
      <c r="F31" t="s" s="78">
        <v>9385</v>
      </c>
      <c r="G31" t="s" s="78">
        <v>112</v>
      </c>
      <c r="H31" s="80" cm="1">
        <f t="array" ref="H31">_xlfn.COUNTIFS('Datos - Temas'!$W$5:$W$1264,$G31,'Datos - Temas'!$AA$5:$AA$1264,$A31)+_xlfn.COUNTIFS('Datos - Temas'!$W$5:$W$1264,$G31,'Datos - Temas'!$AB$5:$AB$1264,$A31)</f>
        <v>4</v>
      </c>
      <c r="I31" t="str" s="79" cm="1">
        <f t="array" ref="I31">IF(H31&gt;0,"Sí","No")</f>
        <v>Sí</v>
      </c>
      <c r="J31" s="17"/>
      <c r="K31" s="13"/>
      <c r="L31" s="14"/>
    </row>
    <row r="32" ht="13.65" customHeight="1">
      <c r="A32" t="s" s="78">
        <v>2653</v>
      </c>
      <c r="B32" t="s" s="78">
        <v>9352</v>
      </c>
      <c r="C32" t="s" s="78">
        <v>216</v>
      </c>
      <c r="D32" s="128">
        <v>0.2</v>
      </c>
      <c r="E32" t="s" s="78">
        <v>1282</v>
      </c>
      <c r="F32" t="s" s="78">
        <v>9386</v>
      </c>
      <c r="G32" t="s" s="78">
        <v>112</v>
      </c>
      <c r="H32" s="80" cm="1">
        <f t="array" ref="H32">_xlfn.COUNTIFS('Datos - Temas'!$W$5:$W$1264,$G32,'Datos - Temas'!$AA$5:$AA$1264,$A32)+_xlfn.COUNTIFS('Datos - Temas'!$W$5:$W$1264,$G32,'Datos - Temas'!$AB$5:$AB$1264,$A32)</f>
        <v>2</v>
      </c>
      <c r="I32" t="str" s="79" cm="1">
        <f t="array" ref="I32">IF(H32&gt;0,"Sí","No")</f>
        <v>Sí</v>
      </c>
      <c r="J32" s="17"/>
      <c r="K32" s="13"/>
      <c r="L32" s="14"/>
    </row>
    <row r="33" ht="13.65" customHeight="1">
      <c r="A33" t="s" s="78">
        <v>2009</v>
      </c>
      <c r="B33" t="s" s="78">
        <v>9352</v>
      </c>
      <c r="C33" t="s" s="78">
        <v>216</v>
      </c>
      <c r="D33" s="128">
        <v>0.2</v>
      </c>
      <c r="E33" t="s" s="78">
        <v>1282</v>
      </c>
      <c r="F33" t="s" s="78">
        <v>9387</v>
      </c>
      <c r="G33" t="s" s="78">
        <v>112</v>
      </c>
      <c r="H33" s="80" cm="1">
        <f t="array" ref="H33">_xlfn.COUNTIFS('Datos - Temas'!$W$5:$W$1264,$G33,'Datos - Temas'!$AA$5:$AA$1264,$A33)+_xlfn.COUNTIFS('Datos - Temas'!$W$5:$W$1264,$G33,'Datos - Temas'!$AB$5:$AB$1264,$A33)</f>
        <v>2</v>
      </c>
      <c r="I33" t="str" s="79" cm="1">
        <f t="array" ref="I33">IF(H33&gt;0,"Sí","No")</f>
        <v>Sí</v>
      </c>
      <c r="J33" s="17"/>
      <c r="K33" s="13"/>
      <c r="L33" s="14"/>
    </row>
    <row r="34" ht="13.65" customHeight="1">
      <c r="A34" t="s" s="78">
        <v>2008</v>
      </c>
      <c r="B34" t="s" s="78">
        <v>9352</v>
      </c>
      <c r="C34" t="s" s="78">
        <v>216</v>
      </c>
      <c r="D34" s="128">
        <v>0.2</v>
      </c>
      <c r="E34" t="s" s="78">
        <v>1282</v>
      </c>
      <c r="F34" t="s" s="78">
        <v>9388</v>
      </c>
      <c r="G34" t="s" s="78">
        <v>112</v>
      </c>
      <c r="H34" s="80" cm="1">
        <f t="array" ref="H34">_xlfn.COUNTIFS('Datos - Temas'!$W$5:$W$1264,$G34,'Datos - Temas'!$AA$5:$AA$1264,$A34)+_xlfn.COUNTIFS('Datos - Temas'!$W$5:$W$1264,$G34,'Datos - Temas'!$AB$5:$AB$1264,$A34)</f>
        <v>3</v>
      </c>
      <c r="I34" t="str" s="79" cm="1">
        <f t="array" ref="I34">IF(H34&gt;0,"Sí","No")</f>
        <v>Sí</v>
      </c>
      <c r="J34" s="17"/>
      <c r="K34" s="13"/>
      <c r="L34" s="14"/>
    </row>
    <row r="35" ht="13.65" customHeight="1">
      <c r="A35" t="s" s="78">
        <v>2002</v>
      </c>
      <c r="B35" t="s" s="78">
        <v>9352</v>
      </c>
      <c r="C35" t="s" s="78">
        <v>216</v>
      </c>
      <c r="D35" s="128">
        <v>0.2</v>
      </c>
      <c r="E35" t="s" s="78">
        <v>9389</v>
      </c>
      <c r="F35" t="s" s="78">
        <v>9390</v>
      </c>
      <c r="G35" t="s" s="78">
        <v>112</v>
      </c>
      <c r="H35" s="80" cm="1">
        <f t="array" ref="H35">_xlfn.COUNTIFS('Datos - Temas'!$W$5:$W$1264,$G35,'Datos - Temas'!$AA$5:$AA$1264,$A35)+_xlfn.COUNTIFS('Datos - Temas'!$W$5:$W$1264,$G35,'Datos - Temas'!$AB$5:$AB$1264,$A35)</f>
        <v>11</v>
      </c>
      <c r="I35" t="str" s="79" cm="1">
        <f t="array" ref="I35">IF(H35&gt;0,"Sí","No")</f>
        <v>Sí</v>
      </c>
      <c r="J35" s="17"/>
      <c r="K35" s="13"/>
      <c r="L35" s="14"/>
    </row>
    <row r="36" ht="13.65" customHeight="1">
      <c r="A36" t="s" s="78">
        <v>1991</v>
      </c>
      <c r="B36" t="s" s="78">
        <v>9352</v>
      </c>
      <c r="C36" t="s" s="78">
        <v>216</v>
      </c>
      <c r="D36" s="128">
        <v>0.2</v>
      </c>
      <c r="E36" t="s" s="78">
        <v>9389</v>
      </c>
      <c r="F36" t="s" s="78">
        <v>9391</v>
      </c>
      <c r="G36" t="s" s="78">
        <v>112</v>
      </c>
      <c r="H36" s="80" cm="1">
        <f t="array" ref="H36">_xlfn.COUNTIFS('Datos - Temas'!$W$5:$W$1264,$G36,'Datos - Temas'!$AA$5:$AA$1264,$A36)+_xlfn.COUNTIFS('Datos - Temas'!$W$5:$W$1264,$G36,'Datos - Temas'!$AB$5:$AB$1264,$A36)</f>
        <v>4</v>
      </c>
      <c r="I36" t="str" s="79" cm="1">
        <f t="array" ref="I36">IF(H36&gt;0,"Sí","No")</f>
        <v>Sí</v>
      </c>
      <c r="J36" s="17"/>
      <c r="K36" s="13"/>
      <c r="L36" s="14"/>
    </row>
    <row r="37" ht="24.65" customHeight="1">
      <c r="A37" t="s" s="78">
        <v>3399</v>
      </c>
      <c r="B37" t="s" s="78">
        <v>9392</v>
      </c>
      <c r="C37" t="s" s="78">
        <v>210</v>
      </c>
      <c r="D37" s="128">
        <v>0.35</v>
      </c>
      <c r="E37" t="s" s="78">
        <v>1056</v>
      </c>
      <c r="F37" t="s" s="78">
        <v>9393</v>
      </c>
      <c r="G37" t="s" s="78">
        <v>115</v>
      </c>
      <c r="H37" s="80" cm="1">
        <f t="array" ref="H37">_xlfn.COUNTIFS('Datos - Temas'!$W$5:$W$1264,$G37,'Datos - Temas'!$AA$5:$AA$1264,$A37)+_xlfn.COUNTIFS('Datos - Temas'!$W$5:$W$1264,$G37,'Datos - Temas'!$AB$5:$AB$1264,$A37)</f>
        <v>12</v>
      </c>
      <c r="I37" t="str" s="79" cm="1">
        <f t="array" ref="I37">IF(H37&gt;0,"Sí","No")</f>
        <v>Sí</v>
      </c>
      <c r="J37" s="17"/>
      <c r="K37" s="13"/>
      <c r="L37" s="14"/>
    </row>
    <row r="38" ht="24.65" customHeight="1">
      <c r="A38" t="s" s="78">
        <v>3339</v>
      </c>
      <c r="B38" t="s" s="78">
        <v>9392</v>
      </c>
      <c r="C38" t="s" s="78">
        <v>210</v>
      </c>
      <c r="D38" s="128">
        <v>0.35</v>
      </c>
      <c r="E38" t="s" s="78">
        <v>1056</v>
      </c>
      <c r="F38" t="s" s="78">
        <v>9394</v>
      </c>
      <c r="G38" t="s" s="78">
        <v>115</v>
      </c>
      <c r="H38" s="80" cm="1">
        <f t="array" ref="H38">_xlfn.COUNTIFS('Datos - Temas'!$W$5:$W$1264,$G38,'Datos - Temas'!$AA$5:$AA$1264,$A38)+_xlfn.COUNTIFS('Datos - Temas'!$W$5:$W$1264,$G38,'Datos - Temas'!$AB$5:$AB$1264,$A38)</f>
        <v>16</v>
      </c>
      <c r="I38" t="str" s="79" cm="1">
        <f t="array" ref="I38">IF(H38&gt;0,"Sí","No")</f>
        <v>Sí</v>
      </c>
      <c r="J38" s="17"/>
      <c r="K38" s="13"/>
      <c r="L38" s="14"/>
    </row>
    <row r="39" ht="24.65" customHeight="1">
      <c r="A39" t="s" s="78">
        <v>4289</v>
      </c>
      <c r="B39" t="s" s="78">
        <v>9392</v>
      </c>
      <c r="C39" t="s" s="78">
        <v>210</v>
      </c>
      <c r="D39" s="128">
        <v>0.35</v>
      </c>
      <c r="E39" t="s" s="78">
        <v>1056</v>
      </c>
      <c r="F39" t="s" s="78">
        <v>9395</v>
      </c>
      <c r="G39" t="s" s="78">
        <v>115</v>
      </c>
      <c r="H39" s="80" cm="1">
        <f t="array" ref="H39">_xlfn.COUNTIFS('Datos - Temas'!$W$5:$W$1264,$G39,'Datos - Temas'!$AA$5:$AA$1264,$A39)+_xlfn.COUNTIFS('Datos - Temas'!$W$5:$W$1264,$G39,'Datos - Temas'!$AB$5:$AB$1264,$A39)</f>
        <v>5</v>
      </c>
      <c r="I39" t="str" s="79" cm="1">
        <f t="array" ref="I39">IF(H39&gt;0,"Sí","No")</f>
        <v>Sí</v>
      </c>
      <c r="J39" s="17"/>
      <c r="K39" s="13"/>
      <c r="L39" s="14"/>
    </row>
    <row r="40" ht="13.65" customHeight="1">
      <c r="A40" t="s" s="78">
        <v>3313</v>
      </c>
      <c r="B40" t="s" s="78">
        <v>9392</v>
      </c>
      <c r="C40" t="s" s="78">
        <v>210</v>
      </c>
      <c r="D40" s="128">
        <v>0.35</v>
      </c>
      <c r="E40" t="s" s="78">
        <v>9396</v>
      </c>
      <c r="F40" t="s" s="78">
        <v>9397</v>
      </c>
      <c r="G40" t="s" s="78">
        <v>115</v>
      </c>
      <c r="H40" s="80" cm="1">
        <f t="array" ref="H40">_xlfn.COUNTIFS('Datos - Temas'!$W$5:$W$1264,$G40,'Datos - Temas'!$AA$5:$AA$1264,$A40)+_xlfn.COUNTIFS('Datos - Temas'!$W$5:$W$1264,$G40,'Datos - Temas'!$AB$5:$AB$1264,$A40)</f>
        <v>26</v>
      </c>
      <c r="I40" t="str" s="79" cm="1">
        <f t="array" ref="I40">IF(H40&gt;0,"Sí","No")</f>
        <v>Sí</v>
      </c>
      <c r="J40" s="17"/>
      <c r="K40" s="13"/>
      <c r="L40" s="14"/>
    </row>
    <row r="41" ht="13.65" customHeight="1">
      <c r="A41" t="s" s="78">
        <v>3362</v>
      </c>
      <c r="B41" t="s" s="78">
        <v>9392</v>
      </c>
      <c r="C41" t="s" s="78">
        <v>210</v>
      </c>
      <c r="D41" s="128">
        <v>0.35</v>
      </c>
      <c r="E41" t="s" s="78">
        <v>9396</v>
      </c>
      <c r="F41" t="s" s="78">
        <v>9398</v>
      </c>
      <c r="G41" t="s" s="78">
        <v>115</v>
      </c>
      <c r="H41" s="80" cm="1">
        <f t="array" ref="H41">_xlfn.COUNTIFS('Datos - Temas'!$W$5:$W$1264,$G41,'Datos - Temas'!$AA$5:$AA$1264,$A41)+_xlfn.COUNTIFS('Datos - Temas'!$W$5:$W$1264,$G41,'Datos - Temas'!$AB$5:$AB$1264,$A41)</f>
        <v>9</v>
      </c>
      <c r="I41" t="str" s="79" cm="1">
        <f t="array" ref="I41">IF(H41&gt;0,"Sí","No")</f>
        <v>Sí</v>
      </c>
      <c r="J41" s="17"/>
      <c r="K41" s="13"/>
      <c r="L41" s="14"/>
    </row>
    <row r="42" ht="13.65" customHeight="1">
      <c r="A42" t="s" s="78">
        <v>3416</v>
      </c>
      <c r="B42" t="s" s="78">
        <v>9392</v>
      </c>
      <c r="C42" t="s" s="78">
        <v>210</v>
      </c>
      <c r="D42" s="128">
        <v>0.35</v>
      </c>
      <c r="E42" t="s" s="78">
        <v>1070</v>
      </c>
      <c r="F42" t="s" s="78">
        <v>9399</v>
      </c>
      <c r="G42" t="s" s="78">
        <v>115</v>
      </c>
      <c r="H42" s="80" cm="1">
        <f t="array" ref="H42">_xlfn.COUNTIFS('Datos - Temas'!$W$5:$W$1264,$G42,'Datos - Temas'!$AA$5:$AA$1264,$A42)+_xlfn.COUNTIFS('Datos - Temas'!$W$5:$W$1264,$G42,'Datos - Temas'!$AB$5:$AB$1264,$A42)</f>
        <v>10</v>
      </c>
      <c r="I42" t="str" s="79" cm="1">
        <f t="array" ref="I42">IF(H42&gt;0,"Sí","No")</f>
        <v>Sí</v>
      </c>
      <c r="J42" s="17"/>
      <c r="K42" s="13"/>
      <c r="L42" s="14"/>
    </row>
    <row r="43" ht="24.65" customHeight="1">
      <c r="A43" t="s" s="78">
        <v>3410</v>
      </c>
      <c r="B43" t="s" s="78">
        <v>9392</v>
      </c>
      <c r="C43" t="s" s="78">
        <v>210</v>
      </c>
      <c r="D43" s="128">
        <v>0.35</v>
      </c>
      <c r="E43" t="s" s="78">
        <v>1070</v>
      </c>
      <c r="F43" t="s" s="78">
        <v>9400</v>
      </c>
      <c r="G43" t="s" s="78">
        <v>115</v>
      </c>
      <c r="H43" s="80" cm="1">
        <f t="array" ref="H43">_xlfn.COUNTIFS('Datos - Temas'!$W$5:$W$1264,$G43,'Datos - Temas'!$AA$5:$AA$1264,$A43)+_xlfn.COUNTIFS('Datos - Temas'!$W$5:$W$1264,$G43,'Datos - Temas'!$AB$5:$AB$1264,$A43)</f>
        <v>22</v>
      </c>
      <c r="I43" t="str" s="79" cm="1">
        <f t="array" ref="I43">IF(H43&gt;0,"Sí","No")</f>
        <v>Sí</v>
      </c>
      <c r="J43" s="17"/>
      <c r="K43" s="13"/>
      <c r="L43" s="14"/>
    </row>
    <row r="44" ht="13.65" customHeight="1">
      <c r="A44" t="s" s="78">
        <v>3087</v>
      </c>
      <c r="B44" t="s" s="78">
        <v>9392</v>
      </c>
      <c r="C44" t="s" s="78">
        <v>210</v>
      </c>
      <c r="D44" s="128">
        <v>0.35</v>
      </c>
      <c r="E44" t="s" s="78">
        <v>1182</v>
      </c>
      <c r="F44" t="s" s="78">
        <v>9401</v>
      </c>
      <c r="G44" t="s" s="78">
        <v>115</v>
      </c>
      <c r="H44" s="80" cm="1">
        <f t="array" ref="H44">_xlfn.COUNTIFS('Datos - Temas'!$W$5:$W$1264,$G44,'Datos - Temas'!$AA$5:$AA$1264,$A44)+_xlfn.COUNTIFS('Datos - Temas'!$W$5:$W$1264,$G44,'Datos - Temas'!$AB$5:$AB$1264,$A44)</f>
        <v>8</v>
      </c>
      <c r="I44" t="str" s="79" cm="1">
        <f t="array" ref="I44">IF(H44&gt;0,"Sí","No")</f>
        <v>Sí</v>
      </c>
      <c r="J44" s="17"/>
      <c r="K44" s="13"/>
      <c r="L44" s="14"/>
    </row>
    <row r="45" ht="13.65" customHeight="1">
      <c r="A45" t="s" s="78">
        <v>3072</v>
      </c>
      <c r="B45" t="s" s="78">
        <v>9392</v>
      </c>
      <c r="C45" t="s" s="78">
        <v>210</v>
      </c>
      <c r="D45" s="128">
        <v>0.35</v>
      </c>
      <c r="E45" t="s" s="78">
        <v>1182</v>
      </c>
      <c r="F45" t="s" s="78">
        <v>9402</v>
      </c>
      <c r="G45" t="s" s="78">
        <v>115</v>
      </c>
      <c r="H45" s="80" cm="1">
        <f t="array" ref="H45">_xlfn.COUNTIFS('Datos - Temas'!$W$5:$W$1264,$G45,'Datos - Temas'!$AA$5:$AA$1264,$A45)+_xlfn.COUNTIFS('Datos - Temas'!$W$5:$W$1264,$G45,'Datos - Temas'!$AB$5:$AB$1264,$A45)</f>
        <v>7</v>
      </c>
      <c r="I45" t="str" s="79" cm="1">
        <f t="array" ref="I45">IF(H45&gt;0,"Sí","No")</f>
        <v>Sí</v>
      </c>
      <c r="J45" s="17"/>
      <c r="K45" s="13"/>
      <c r="L45" s="14"/>
    </row>
    <row r="46" ht="24.65" customHeight="1">
      <c r="A46" t="s" s="78">
        <v>3686</v>
      </c>
      <c r="B46" t="s" s="78">
        <v>9392</v>
      </c>
      <c r="C46" t="s" s="78">
        <v>210</v>
      </c>
      <c r="D46" s="128">
        <v>0.35</v>
      </c>
      <c r="E46" t="s" s="78">
        <v>1083</v>
      </c>
      <c r="F46" t="s" s="78">
        <v>9403</v>
      </c>
      <c r="G46" t="s" s="78">
        <v>115</v>
      </c>
      <c r="H46" s="80" cm="1">
        <f t="array" ref="H46">_xlfn.COUNTIFS('Datos - Temas'!$W$5:$W$1264,$G46,'Datos - Temas'!$AA$5:$AA$1264,$A46)+_xlfn.COUNTIFS('Datos - Temas'!$W$5:$W$1264,$G46,'Datos - Temas'!$AB$5:$AB$1264,$A46)</f>
        <v>2</v>
      </c>
      <c r="I46" t="str" s="79" cm="1">
        <f t="array" ref="I46">IF(H46&gt;0,"Sí","No")</f>
        <v>Sí</v>
      </c>
      <c r="J46" s="17"/>
      <c r="K46" s="13"/>
      <c r="L46" s="14"/>
    </row>
    <row r="47" ht="13.65" customHeight="1">
      <c r="A47" t="s" s="78">
        <v>3702</v>
      </c>
      <c r="B47" t="s" s="78">
        <v>9392</v>
      </c>
      <c r="C47" t="s" s="78">
        <v>210</v>
      </c>
      <c r="D47" s="128">
        <v>0.35</v>
      </c>
      <c r="E47" t="s" s="78">
        <v>1083</v>
      </c>
      <c r="F47" t="s" s="78">
        <v>9404</v>
      </c>
      <c r="G47" t="s" s="78">
        <v>115</v>
      </c>
      <c r="H47" s="80" cm="1">
        <f t="array" ref="H47">_xlfn.COUNTIFS('Datos - Temas'!$W$5:$W$1264,$G47,'Datos - Temas'!$AA$5:$AA$1264,$A47)+_xlfn.COUNTIFS('Datos - Temas'!$W$5:$W$1264,$G47,'Datos - Temas'!$AB$5:$AB$1264,$A47)</f>
        <v>1</v>
      </c>
      <c r="I47" t="str" s="79" cm="1">
        <f t="array" ref="I47">IF(H47&gt;0,"Sí","No")</f>
        <v>Sí</v>
      </c>
      <c r="J47" s="17"/>
      <c r="K47" s="13"/>
      <c r="L47" s="14"/>
    </row>
    <row r="48" ht="13.65" customHeight="1">
      <c r="A48" t="s" s="78">
        <v>3666</v>
      </c>
      <c r="B48" t="s" s="78">
        <v>9392</v>
      </c>
      <c r="C48" t="s" s="78">
        <v>210</v>
      </c>
      <c r="D48" s="128">
        <v>0.35</v>
      </c>
      <c r="E48" t="s" s="78">
        <v>1083</v>
      </c>
      <c r="F48" t="s" s="78">
        <v>9405</v>
      </c>
      <c r="G48" t="s" s="78">
        <v>115</v>
      </c>
      <c r="H48" s="80" cm="1">
        <f t="array" ref="H48">_xlfn.COUNTIFS('Datos - Temas'!$W$5:$W$1264,$G48,'Datos - Temas'!$AA$5:$AA$1264,$A48)+_xlfn.COUNTIFS('Datos - Temas'!$W$5:$W$1264,$G48,'Datos - Temas'!$AB$5:$AB$1264,$A48)</f>
        <v>3</v>
      </c>
      <c r="I48" t="str" s="79" cm="1">
        <f t="array" ref="I48">IF(H48&gt;0,"Sí","No")</f>
        <v>Sí</v>
      </c>
      <c r="J48" s="17"/>
      <c r="K48" s="13"/>
      <c r="L48" s="14"/>
    </row>
    <row r="49" ht="24.65" customHeight="1">
      <c r="A49" t="s" s="78">
        <v>3327</v>
      </c>
      <c r="B49" t="s" s="78">
        <v>9392</v>
      </c>
      <c r="C49" t="s" s="78">
        <v>210</v>
      </c>
      <c r="D49" s="128">
        <v>0.35</v>
      </c>
      <c r="E49" t="s" s="78">
        <v>1083</v>
      </c>
      <c r="F49" t="s" s="78">
        <v>9406</v>
      </c>
      <c r="G49" t="s" s="78">
        <v>115</v>
      </c>
      <c r="H49" s="80" cm="1">
        <f t="array" ref="H49">_xlfn.COUNTIFS('Datos - Temas'!$W$5:$W$1264,$G49,'Datos - Temas'!$AA$5:$AA$1264,$A49)+_xlfn.COUNTIFS('Datos - Temas'!$W$5:$W$1264,$G49,'Datos - Temas'!$AB$5:$AB$1264,$A49)</f>
        <v>8</v>
      </c>
      <c r="I49" t="str" s="79" cm="1">
        <f t="array" ref="I49">IF(H49&gt;0,"Sí","No")</f>
        <v>Sí</v>
      </c>
      <c r="J49" s="17"/>
      <c r="K49" s="13"/>
      <c r="L49" s="14"/>
    </row>
    <row r="50" ht="13.65" customHeight="1">
      <c r="A50" t="s" s="78">
        <v>3144</v>
      </c>
      <c r="B50" t="s" s="78">
        <v>9392</v>
      </c>
      <c r="C50" t="s" s="78">
        <v>210</v>
      </c>
      <c r="D50" s="128">
        <v>0.35</v>
      </c>
      <c r="E50" t="s" s="78">
        <v>1083</v>
      </c>
      <c r="F50" t="s" s="78">
        <v>9340</v>
      </c>
      <c r="G50" t="s" s="78">
        <v>115</v>
      </c>
      <c r="H50" s="80" cm="1">
        <f t="array" ref="H50">_xlfn.COUNTIFS('Datos - Temas'!$W$5:$W$1264,$G50,'Datos - Temas'!$AA$5:$AA$1264,$A50)+_xlfn.COUNTIFS('Datos - Temas'!$W$5:$W$1264,$G50,'Datos - Temas'!$AB$5:$AB$1264,$A50)</f>
        <v>15</v>
      </c>
      <c r="I50" t="str" s="79" cm="1">
        <f t="array" ref="I50">IF(H50&gt;0,"Sí","No")</f>
        <v>Sí</v>
      </c>
      <c r="J50" s="17"/>
      <c r="K50" s="13"/>
      <c r="L50" s="14"/>
    </row>
    <row r="51" ht="13.65" customHeight="1">
      <c r="A51" t="s" s="78">
        <v>9407</v>
      </c>
      <c r="B51" t="s" s="78">
        <v>9392</v>
      </c>
      <c r="C51" t="s" s="78">
        <v>210</v>
      </c>
      <c r="D51" s="128">
        <v>0.35</v>
      </c>
      <c r="E51" t="s" s="78">
        <v>1094</v>
      </c>
      <c r="F51" t="s" s="78">
        <v>9408</v>
      </c>
      <c r="G51" t="s" s="78">
        <v>115</v>
      </c>
      <c r="H51" s="80" cm="1">
        <f t="array" ref="H51">_xlfn.COUNTIFS('Datos - Temas'!$W$5:$W$1264,$G51,'Datos - Temas'!$AA$5:$AA$1264,$A51)+_xlfn.COUNTIFS('Datos - Temas'!$W$5:$W$1264,$G51,'Datos - Temas'!$AB$5:$AB$1264,$A51)</f>
        <v>0</v>
      </c>
      <c r="I51" t="str" s="79" cm="1">
        <f t="array" ref="I51">IF(H51&gt;0,"Sí","No")</f>
        <v>No</v>
      </c>
      <c r="J51" s="17"/>
      <c r="K51" s="13"/>
      <c r="L51" s="14"/>
    </row>
    <row r="52" ht="13.65" customHeight="1">
      <c r="A52" t="s" s="78">
        <v>3312</v>
      </c>
      <c r="B52" t="s" s="78">
        <v>9392</v>
      </c>
      <c r="C52" t="s" s="78">
        <v>210</v>
      </c>
      <c r="D52" s="128">
        <v>0.35</v>
      </c>
      <c r="E52" t="s" s="78">
        <v>1094</v>
      </c>
      <c r="F52" t="s" s="78">
        <v>9409</v>
      </c>
      <c r="G52" t="s" s="78">
        <v>115</v>
      </c>
      <c r="H52" s="80" cm="1">
        <f t="array" ref="H52">_xlfn.COUNTIFS('Datos - Temas'!$W$5:$W$1264,$G52,'Datos - Temas'!$AA$5:$AA$1264,$A52)+_xlfn.COUNTIFS('Datos - Temas'!$W$5:$W$1264,$G52,'Datos - Temas'!$AB$5:$AB$1264,$A52)</f>
        <v>2</v>
      </c>
      <c r="I52" t="str" s="79" cm="1">
        <f t="array" ref="I52">IF(H52&gt;0,"Sí","No")</f>
        <v>Sí</v>
      </c>
      <c r="J52" s="17"/>
      <c r="K52" s="13"/>
      <c r="L52" s="14"/>
    </row>
    <row r="53" ht="13.65" customHeight="1">
      <c r="A53" t="s" s="78">
        <v>2948</v>
      </c>
      <c r="B53" t="s" s="78">
        <v>9392</v>
      </c>
      <c r="C53" t="s" s="78">
        <v>220</v>
      </c>
      <c r="D53" s="128">
        <v>0.2</v>
      </c>
      <c r="E53" t="s" s="78">
        <v>1209</v>
      </c>
      <c r="F53" t="s" s="78">
        <v>9410</v>
      </c>
      <c r="G53" t="s" s="78">
        <v>115</v>
      </c>
      <c r="H53" s="80" cm="1">
        <f t="array" ref="H53">_xlfn.COUNTIFS('Datos - Temas'!$W$5:$W$1264,$G53,'Datos - Temas'!$AA$5:$AA$1264,$A53)+_xlfn.COUNTIFS('Datos - Temas'!$W$5:$W$1264,$G53,'Datos - Temas'!$AB$5:$AB$1264,$A53)</f>
        <v>19</v>
      </c>
      <c r="I53" t="str" s="79" cm="1">
        <f t="array" ref="I53">IF(H53&gt;0,"Sí","No")</f>
        <v>Sí</v>
      </c>
      <c r="J53" s="17"/>
      <c r="K53" s="13"/>
      <c r="L53" s="14"/>
    </row>
    <row r="54" ht="13.65" customHeight="1">
      <c r="A54" t="s" s="78">
        <v>3016</v>
      </c>
      <c r="B54" t="s" s="78">
        <v>9392</v>
      </c>
      <c r="C54" t="s" s="78">
        <v>220</v>
      </c>
      <c r="D54" s="128">
        <v>0.2</v>
      </c>
      <c r="E54" t="s" s="78">
        <v>1209</v>
      </c>
      <c r="F54" t="s" s="78">
        <v>9411</v>
      </c>
      <c r="G54" t="s" s="78">
        <v>115</v>
      </c>
      <c r="H54" s="80" cm="1">
        <f t="array" ref="H54">_xlfn.COUNTIFS('Datos - Temas'!$W$5:$W$1264,$G54,'Datos - Temas'!$AA$5:$AA$1264,$A54)+_xlfn.COUNTIFS('Datos - Temas'!$W$5:$W$1264,$G54,'Datos - Temas'!$AB$5:$AB$1264,$A54)</f>
        <v>9</v>
      </c>
      <c r="I54" t="str" s="79" cm="1">
        <f t="array" ref="I54">IF(H54&gt;0,"Sí","No")</f>
        <v>Sí</v>
      </c>
      <c r="J54" s="17"/>
      <c r="K54" s="13"/>
      <c r="L54" s="14"/>
    </row>
    <row r="55" ht="13.65" customHeight="1">
      <c r="A55" t="s" s="78">
        <v>2963</v>
      </c>
      <c r="B55" t="s" s="78">
        <v>9392</v>
      </c>
      <c r="C55" t="s" s="78">
        <v>220</v>
      </c>
      <c r="D55" s="128">
        <v>0.2</v>
      </c>
      <c r="E55" t="s" s="78">
        <v>1209</v>
      </c>
      <c r="F55" t="s" s="78">
        <v>9412</v>
      </c>
      <c r="G55" t="s" s="78">
        <v>115</v>
      </c>
      <c r="H55" s="80" cm="1">
        <f t="array" ref="H55">_xlfn.COUNTIFS('Datos - Temas'!$W$5:$W$1264,$G55,'Datos - Temas'!$AA$5:$AA$1264,$A55)+_xlfn.COUNTIFS('Datos - Temas'!$W$5:$W$1264,$G55,'Datos - Temas'!$AB$5:$AB$1264,$A55)</f>
        <v>6</v>
      </c>
      <c r="I55" t="str" s="79" cm="1">
        <f t="array" ref="I55">IF(H55&gt;0,"Sí","No")</f>
        <v>Sí</v>
      </c>
      <c r="J55" s="17"/>
      <c r="K55" s="13"/>
      <c r="L55" s="14"/>
    </row>
    <row r="56" ht="13.65" customHeight="1">
      <c r="A56" t="s" s="78">
        <v>3001</v>
      </c>
      <c r="B56" t="s" s="78">
        <v>9392</v>
      </c>
      <c r="C56" t="s" s="78">
        <v>220</v>
      </c>
      <c r="D56" s="128">
        <v>0.2</v>
      </c>
      <c r="E56" t="s" s="78">
        <v>1219</v>
      </c>
      <c r="F56" t="s" s="78">
        <v>9413</v>
      </c>
      <c r="G56" t="s" s="78">
        <v>115</v>
      </c>
      <c r="H56" s="80" cm="1">
        <f t="array" ref="H56">_xlfn.COUNTIFS('Datos - Temas'!$W$5:$W$1264,$G56,'Datos - Temas'!$AA$5:$AA$1264,$A56)+_xlfn.COUNTIFS('Datos - Temas'!$W$5:$W$1264,$G56,'Datos - Temas'!$AB$5:$AB$1264,$A56)</f>
        <v>2</v>
      </c>
      <c r="I56" t="str" s="79" cm="1">
        <f t="array" ref="I56">IF(H56&gt;0,"Sí","No")</f>
        <v>Sí</v>
      </c>
      <c r="J56" s="17"/>
      <c r="K56" s="13"/>
      <c r="L56" s="14"/>
    </row>
    <row r="57" ht="13.65" customHeight="1">
      <c r="A57" t="s" s="78">
        <v>4201</v>
      </c>
      <c r="B57" t="s" s="78">
        <v>9392</v>
      </c>
      <c r="C57" t="s" s="78">
        <v>220</v>
      </c>
      <c r="D57" s="128">
        <v>0.2</v>
      </c>
      <c r="E57" t="s" s="78">
        <v>1219</v>
      </c>
      <c r="F57" t="s" s="78">
        <v>9414</v>
      </c>
      <c r="G57" t="s" s="78">
        <v>115</v>
      </c>
      <c r="H57" s="80" cm="1">
        <f t="array" ref="H57">_xlfn.COUNTIFS('Datos - Temas'!$W$5:$W$1264,$G57,'Datos - Temas'!$AA$5:$AA$1264,$A57)+_xlfn.COUNTIFS('Datos - Temas'!$W$5:$W$1264,$G57,'Datos - Temas'!$AB$5:$AB$1264,$A57)</f>
        <v>2</v>
      </c>
      <c r="I57" t="str" s="79" cm="1">
        <f t="array" ref="I57">IF(H57&gt;0,"Sí","No")</f>
        <v>Sí</v>
      </c>
      <c r="J57" s="17"/>
      <c r="K57" s="13"/>
      <c r="L57" s="14"/>
    </row>
    <row r="58" ht="13.65" customHeight="1">
      <c r="A58" t="s" s="78">
        <v>3379</v>
      </c>
      <c r="B58" t="s" s="78">
        <v>9392</v>
      </c>
      <c r="C58" t="s" s="78">
        <v>220</v>
      </c>
      <c r="D58" s="128">
        <v>0.2</v>
      </c>
      <c r="E58" t="s" s="78">
        <v>1219</v>
      </c>
      <c r="F58" t="s" s="78">
        <v>9415</v>
      </c>
      <c r="G58" t="s" s="78">
        <v>115</v>
      </c>
      <c r="H58" s="80" cm="1">
        <f t="array" ref="H58">_xlfn.COUNTIFS('Datos - Temas'!$W$5:$W$1264,$G58,'Datos - Temas'!$AA$5:$AA$1264,$A58)+_xlfn.COUNTIFS('Datos - Temas'!$W$5:$W$1264,$G58,'Datos - Temas'!$AB$5:$AB$1264,$A58)</f>
        <v>17</v>
      </c>
      <c r="I58" t="str" s="79" cm="1">
        <f t="array" ref="I58">IF(H58&gt;0,"Sí","No")</f>
        <v>Sí</v>
      </c>
      <c r="J58" s="17"/>
      <c r="K58" s="13"/>
      <c r="L58" s="14"/>
    </row>
    <row r="59" ht="13.65" customHeight="1">
      <c r="A59" t="s" s="78">
        <v>3487</v>
      </c>
      <c r="B59" t="s" s="78">
        <v>9392</v>
      </c>
      <c r="C59" t="s" s="78">
        <v>220</v>
      </c>
      <c r="D59" s="128">
        <v>0.2</v>
      </c>
      <c r="E59" t="s" s="78">
        <v>1219</v>
      </c>
      <c r="F59" t="s" s="78">
        <v>9416</v>
      </c>
      <c r="G59" t="s" s="78">
        <v>115</v>
      </c>
      <c r="H59" s="80" cm="1">
        <f t="array" ref="H59">_xlfn.COUNTIFS('Datos - Temas'!$W$5:$W$1264,$G59,'Datos - Temas'!$AA$5:$AA$1264,$A59)+_xlfn.COUNTIFS('Datos - Temas'!$W$5:$W$1264,$G59,'Datos - Temas'!$AB$5:$AB$1264,$A59)</f>
        <v>2</v>
      </c>
      <c r="I59" t="str" s="79" cm="1">
        <f t="array" ref="I59">IF(H59&gt;0,"Sí","No")</f>
        <v>Sí</v>
      </c>
      <c r="J59" s="17"/>
      <c r="K59" s="13"/>
      <c r="L59" s="14"/>
    </row>
    <row r="60" ht="13.65" customHeight="1">
      <c r="A60" t="s" s="78">
        <v>3126</v>
      </c>
      <c r="B60" t="s" s="78">
        <v>9392</v>
      </c>
      <c r="C60" t="s" s="78">
        <v>220</v>
      </c>
      <c r="D60" s="128">
        <v>0.2</v>
      </c>
      <c r="E60" t="s" s="78">
        <v>9417</v>
      </c>
      <c r="F60" t="s" s="78">
        <v>9418</v>
      </c>
      <c r="G60" t="s" s="78">
        <v>115</v>
      </c>
      <c r="H60" s="80" cm="1">
        <f t="array" ref="H60">_xlfn.COUNTIFS('Datos - Temas'!$W$5:$W$1264,$G60,'Datos - Temas'!$AA$5:$AA$1264,$A60)+_xlfn.COUNTIFS('Datos - Temas'!$W$5:$W$1264,$G60,'Datos - Temas'!$AB$5:$AB$1264,$A60)</f>
        <v>7</v>
      </c>
      <c r="I60" t="str" s="79" cm="1">
        <f t="array" ref="I60">IF(H60&gt;0,"Sí","No")</f>
        <v>Sí</v>
      </c>
      <c r="J60" s="17"/>
      <c r="K60" s="13"/>
      <c r="L60" s="14"/>
    </row>
    <row r="61" ht="24.65" customHeight="1">
      <c r="A61" t="s" s="78">
        <v>3318</v>
      </c>
      <c r="B61" t="s" s="78">
        <v>9392</v>
      </c>
      <c r="C61" t="s" s="78">
        <v>220</v>
      </c>
      <c r="D61" s="128">
        <v>0.2</v>
      </c>
      <c r="E61" t="s" s="78">
        <v>9417</v>
      </c>
      <c r="F61" t="s" s="78">
        <v>9419</v>
      </c>
      <c r="G61" t="s" s="78">
        <v>115</v>
      </c>
      <c r="H61" s="80" cm="1">
        <f t="array" ref="H61">_xlfn.COUNTIFS('Datos - Temas'!$W$5:$W$1264,$G61,'Datos - Temas'!$AA$5:$AA$1264,$A61)+_xlfn.COUNTIFS('Datos - Temas'!$W$5:$W$1264,$G61,'Datos - Temas'!$AB$5:$AB$1264,$A61)</f>
        <v>7</v>
      </c>
      <c r="I61" t="str" s="79" cm="1">
        <f t="array" ref="I61">IF(H61&gt;0,"Sí","No")</f>
        <v>Sí</v>
      </c>
      <c r="J61" s="17"/>
      <c r="K61" s="13"/>
      <c r="L61" s="14"/>
    </row>
    <row r="62" ht="13.65" customHeight="1">
      <c r="A62" t="s" s="78">
        <v>2973</v>
      </c>
      <c r="B62" t="s" s="78">
        <v>9392</v>
      </c>
      <c r="C62" t="s" s="78">
        <v>220</v>
      </c>
      <c r="D62" s="128">
        <v>0.2</v>
      </c>
      <c r="E62" t="s" s="78">
        <v>9417</v>
      </c>
      <c r="F62" t="s" s="78">
        <v>9420</v>
      </c>
      <c r="G62" t="s" s="78">
        <v>115</v>
      </c>
      <c r="H62" s="80" cm="1">
        <f t="array" ref="H62">_xlfn.COUNTIFS('Datos - Temas'!$W$5:$W$1264,$G62,'Datos - Temas'!$AA$5:$AA$1264,$A62)+_xlfn.COUNTIFS('Datos - Temas'!$W$5:$W$1264,$G62,'Datos - Temas'!$AB$5:$AB$1264,$A62)</f>
        <v>9</v>
      </c>
      <c r="I62" t="str" s="79" cm="1">
        <f t="array" ref="I62">IF(H62&gt;0,"Sí","No")</f>
        <v>Sí</v>
      </c>
      <c r="J62" s="17"/>
      <c r="K62" s="13"/>
      <c r="L62" s="14"/>
    </row>
    <row r="63" ht="13.65" customHeight="1">
      <c r="A63" t="s" s="78">
        <v>3165</v>
      </c>
      <c r="B63" t="s" s="78">
        <v>9392</v>
      </c>
      <c r="C63" t="s" s="78">
        <v>222</v>
      </c>
      <c r="D63" s="128">
        <v>0.25</v>
      </c>
      <c r="E63" t="s" s="78">
        <v>1238</v>
      </c>
      <c r="F63" t="s" s="78">
        <v>9421</v>
      </c>
      <c r="G63" t="s" s="78">
        <v>115</v>
      </c>
      <c r="H63" s="80" cm="1">
        <f t="array" ref="H63">_xlfn.COUNTIFS('Datos - Temas'!$W$5:$W$1264,$G63,'Datos - Temas'!$AA$5:$AA$1264,$A63)+_xlfn.COUNTIFS('Datos - Temas'!$W$5:$W$1264,$G63,'Datos - Temas'!$AB$5:$AB$1264,$A63)</f>
        <v>9</v>
      </c>
      <c r="I63" t="str" s="79" cm="1">
        <f t="array" ref="I63">IF(H63&gt;0,"Sí","No")</f>
        <v>Sí</v>
      </c>
      <c r="J63" s="17"/>
      <c r="K63" s="13"/>
      <c r="L63" s="14"/>
    </row>
    <row r="64" ht="13.65" customHeight="1">
      <c r="A64" t="s" s="78">
        <v>3213</v>
      </c>
      <c r="B64" t="s" s="78">
        <v>9392</v>
      </c>
      <c r="C64" t="s" s="78">
        <v>222</v>
      </c>
      <c r="D64" s="128">
        <v>0.25</v>
      </c>
      <c r="E64" t="s" s="78">
        <v>1238</v>
      </c>
      <c r="F64" t="s" s="78">
        <v>9422</v>
      </c>
      <c r="G64" t="s" s="78">
        <v>115</v>
      </c>
      <c r="H64" s="80" cm="1">
        <f t="array" ref="H64">_xlfn.COUNTIFS('Datos - Temas'!$W$5:$W$1264,$G64,'Datos - Temas'!$AA$5:$AA$1264,$A64)+_xlfn.COUNTIFS('Datos - Temas'!$W$5:$W$1264,$G64,'Datos - Temas'!$AB$5:$AB$1264,$A64)</f>
        <v>4</v>
      </c>
      <c r="I64" t="str" s="79" cm="1">
        <f t="array" ref="I64">IF(H64&gt;0,"Sí","No")</f>
        <v>Sí</v>
      </c>
      <c r="J64" s="17"/>
      <c r="K64" s="13"/>
      <c r="L64" s="14"/>
    </row>
    <row r="65" ht="13.65" customHeight="1">
      <c r="A65" t="s" s="78">
        <v>2929</v>
      </c>
      <c r="B65" t="s" s="78">
        <v>9392</v>
      </c>
      <c r="C65" t="s" s="78">
        <v>222</v>
      </c>
      <c r="D65" s="128">
        <v>0.25</v>
      </c>
      <c r="E65" t="s" s="78">
        <v>1244</v>
      </c>
      <c r="F65" t="s" s="78">
        <v>9423</v>
      </c>
      <c r="G65" t="s" s="78">
        <v>115</v>
      </c>
      <c r="H65" s="80" cm="1">
        <f t="array" ref="H65">_xlfn.COUNTIFS('Datos - Temas'!$W$5:$W$1264,$G65,'Datos - Temas'!$AA$5:$AA$1264,$A65)+_xlfn.COUNTIFS('Datos - Temas'!$W$5:$W$1264,$G65,'Datos - Temas'!$AB$5:$AB$1264,$A65)</f>
        <v>22</v>
      </c>
      <c r="I65" t="str" s="79" cm="1">
        <f t="array" ref="I65">IF(H65&gt;0,"Sí","No")</f>
        <v>Sí</v>
      </c>
      <c r="J65" s="17"/>
      <c r="K65" s="13"/>
      <c r="L65" s="14"/>
    </row>
    <row r="66" ht="24.65" customHeight="1">
      <c r="A66" t="s" s="78">
        <v>3199</v>
      </c>
      <c r="B66" t="s" s="78">
        <v>9392</v>
      </c>
      <c r="C66" t="s" s="78">
        <v>222</v>
      </c>
      <c r="D66" s="128">
        <v>0.25</v>
      </c>
      <c r="E66" t="s" s="78">
        <v>1244</v>
      </c>
      <c r="F66" t="s" s="78">
        <v>9424</v>
      </c>
      <c r="G66" t="s" s="78">
        <v>115</v>
      </c>
      <c r="H66" s="80" cm="1">
        <f t="array" ref="H66">_xlfn.COUNTIFS('Datos - Temas'!$W$5:$W$1264,$G66,'Datos - Temas'!$AA$5:$AA$1264,$A66)+_xlfn.COUNTIFS('Datos - Temas'!$W$5:$W$1264,$G66,'Datos - Temas'!$AB$5:$AB$1264,$A66)</f>
        <v>6</v>
      </c>
      <c r="I66" t="str" s="79" cm="1">
        <f t="array" ref="I66">IF(H66&gt;0,"Sí","No")</f>
        <v>Sí</v>
      </c>
      <c r="J66" s="17"/>
      <c r="K66" s="13"/>
      <c r="L66" s="14"/>
    </row>
    <row r="67" ht="13.65" customHeight="1">
      <c r="A67" t="s" s="78">
        <v>9425</v>
      </c>
      <c r="B67" t="s" s="78">
        <v>9392</v>
      </c>
      <c r="C67" t="s" s="78">
        <v>222</v>
      </c>
      <c r="D67" s="128">
        <v>0.25</v>
      </c>
      <c r="E67" t="s" s="78">
        <v>1120</v>
      </c>
      <c r="F67" t="s" s="78">
        <v>9426</v>
      </c>
      <c r="G67" t="s" s="78">
        <v>115</v>
      </c>
      <c r="H67" s="80" cm="1">
        <f t="array" ref="H67">_xlfn.COUNTIFS('Datos - Temas'!$W$5:$W$1264,$G67,'Datos - Temas'!$AA$5:$AA$1264,$A67)+_xlfn.COUNTIFS('Datos - Temas'!$W$5:$W$1264,$G67,'Datos - Temas'!$AB$5:$AB$1264,$A67)</f>
        <v>0</v>
      </c>
      <c r="I67" t="str" s="79" cm="1">
        <f t="array" ref="I67">IF(H67&gt;0,"Sí","No")</f>
        <v>No</v>
      </c>
      <c r="J67" s="17"/>
      <c r="K67" s="13"/>
      <c r="L67" s="14"/>
    </row>
    <row r="68" ht="13.65" customHeight="1">
      <c r="A68" t="s" s="78">
        <v>4077</v>
      </c>
      <c r="B68" t="s" s="78">
        <v>9392</v>
      </c>
      <c r="C68" t="s" s="78">
        <v>222</v>
      </c>
      <c r="D68" s="128">
        <v>0.25</v>
      </c>
      <c r="E68" t="s" s="78">
        <v>1120</v>
      </c>
      <c r="F68" t="s" s="78">
        <v>9427</v>
      </c>
      <c r="G68" t="s" s="78">
        <v>115</v>
      </c>
      <c r="H68" s="80" cm="1">
        <f t="array" ref="H68">_xlfn.COUNTIFS('Datos - Temas'!$W$5:$W$1264,$G68,'Datos - Temas'!$AA$5:$AA$1264,$A68)+_xlfn.COUNTIFS('Datos - Temas'!$W$5:$W$1264,$G68,'Datos - Temas'!$AB$5:$AB$1264,$A68)</f>
        <v>6</v>
      </c>
      <c r="I68" t="str" s="79" cm="1">
        <f t="array" ref="I68">IF(H68&gt;0,"Sí","No")</f>
        <v>Sí</v>
      </c>
      <c r="J68" s="17"/>
      <c r="K68" s="13"/>
      <c r="L68" s="14"/>
    </row>
    <row r="69" ht="13.65" customHeight="1">
      <c r="A69" t="s" s="78">
        <v>3231</v>
      </c>
      <c r="B69" t="s" s="78">
        <v>9392</v>
      </c>
      <c r="C69" t="s" s="78">
        <v>222</v>
      </c>
      <c r="D69" s="128">
        <v>0.25</v>
      </c>
      <c r="E69" t="s" s="78">
        <v>1018</v>
      </c>
      <c r="F69" t="s" s="78">
        <v>9428</v>
      </c>
      <c r="G69" t="s" s="78">
        <v>115</v>
      </c>
      <c r="H69" s="80" cm="1">
        <f t="array" ref="H69">_xlfn.COUNTIFS('Datos - Temas'!$W$5:$W$1264,$G69,'Datos - Temas'!$AA$5:$AA$1264,$A69)+_xlfn.COUNTIFS('Datos - Temas'!$W$5:$W$1264,$G69,'Datos - Temas'!$AB$5:$AB$1264,$A69)</f>
        <v>7</v>
      </c>
      <c r="I69" t="str" s="79" cm="1">
        <f t="array" ref="I69">IF(H69&gt;0,"Sí","No")</f>
        <v>Sí</v>
      </c>
      <c r="J69" s="17"/>
      <c r="K69" s="13"/>
      <c r="L69" s="14"/>
    </row>
    <row r="70" ht="13.65" customHeight="1">
      <c r="A70" t="s" s="78">
        <v>3064</v>
      </c>
      <c r="B70" t="s" s="78">
        <v>9392</v>
      </c>
      <c r="C70" t="s" s="78">
        <v>222</v>
      </c>
      <c r="D70" s="128">
        <v>0.25</v>
      </c>
      <c r="E70" t="s" s="78">
        <v>1018</v>
      </c>
      <c r="F70" t="s" s="78">
        <v>9429</v>
      </c>
      <c r="G70" t="s" s="78">
        <v>115</v>
      </c>
      <c r="H70" s="80" cm="1">
        <f t="array" ref="H70">_xlfn.COUNTIFS('Datos - Temas'!$W$5:$W$1264,$G70,'Datos - Temas'!$AA$5:$AA$1264,$A70)+_xlfn.COUNTIFS('Datos - Temas'!$W$5:$W$1264,$G70,'Datos - Temas'!$AB$5:$AB$1264,$A70)</f>
        <v>3</v>
      </c>
      <c r="I70" t="str" s="79" cm="1">
        <f t="array" ref="I70">IF(H70&gt;0,"Sí","No")</f>
        <v>Sí</v>
      </c>
      <c r="J70" s="17"/>
      <c r="K70" s="13"/>
      <c r="L70" s="14"/>
    </row>
    <row r="71" ht="13.65" customHeight="1">
      <c r="A71" t="s" s="78">
        <v>2877</v>
      </c>
      <c r="B71" t="s" s="78">
        <v>9392</v>
      </c>
      <c r="C71" t="s" s="78">
        <v>222</v>
      </c>
      <c r="D71" s="128">
        <v>0.25</v>
      </c>
      <c r="E71" t="s" s="78">
        <v>1129</v>
      </c>
      <c r="F71" t="s" s="78">
        <v>9430</v>
      </c>
      <c r="G71" t="s" s="78">
        <v>115</v>
      </c>
      <c r="H71" s="80" cm="1">
        <f t="array" ref="H71">_xlfn.COUNTIFS('Datos - Temas'!$W$5:$W$1264,$G71,'Datos - Temas'!$AA$5:$AA$1264,$A71)+_xlfn.COUNTIFS('Datos - Temas'!$W$5:$W$1264,$G71,'Datos - Temas'!$AB$5:$AB$1264,$A71)</f>
        <v>13</v>
      </c>
      <c r="I71" t="str" s="79" cm="1">
        <f t="array" ref="I71">IF(H71&gt;0,"Sí","No")</f>
        <v>Sí</v>
      </c>
      <c r="J71" s="17"/>
      <c r="K71" s="13"/>
      <c r="L71" s="14"/>
    </row>
    <row r="72" ht="24.65" customHeight="1">
      <c r="A72" t="s" s="78">
        <v>2889</v>
      </c>
      <c r="B72" t="s" s="78">
        <v>9392</v>
      </c>
      <c r="C72" t="s" s="78">
        <v>222</v>
      </c>
      <c r="D72" s="128">
        <v>0.25</v>
      </c>
      <c r="E72" t="s" s="78">
        <v>1129</v>
      </c>
      <c r="F72" t="s" s="78">
        <v>9431</v>
      </c>
      <c r="G72" t="s" s="78">
        <v>115</v>
      </c>
      <c r="H72" s="80" cm="1">
        <f t="array" ref="H72">_xlfn.COUNTIFS('Datos - Temas'!$W$5:$W$1264,$G72,'Datos - Temas'!$AA$5:$AA$1264,$A72)+_xlfn.COUNTIFS('Datos - Temas'!$W$5:$W$1264,$G72,'Datos - Temas'!$AB$5:$AB$1264,$A72)</f>
        <v>11</v>
      </c>
      <c r="I72" t="str" s="79" cm="1">
        <f t="array" ref="I72">IF(H72&gt;0,"Sí","No")</f>
        <v>Sí</v>
      </c>
      <c r="J72" s="17"/>
      <c r="K72" s="13"/>
      <c r="L72" s="14"/>
    </row>
    <row r="73" ht="24.65" customHeight="1">
      <c r="A73" t="s" s="78">
        <v>2908</v>
      </c>
      <c r="B73" t="s" s="78">
        <v>9392</v>
      </c>
      <c r="C73" t="s" s="78">
        <v>222</v>
      </c>
      <c r="D73" s="128">
        <v>0.25</v>
      </c>
      <c r="E73" t="s" s="78">
        <v>1129</v>
      </c>
      <c r="F73" t="s" s="78">
        <v>9432</v>
      </c>
      <c r="G73" t="s" s="78">
        <v>115</v>
      </c>
      <c r="H73" s="80" cm="1">
        <f t="array" ref="H73">_xlfn.COUNTIFS('Datos - Temas'!$W$5:$W$1264,$G73,'Datos - Temas'!$AA$5:$AA$1264,$A73)+_xlfn.COUNTIFS('Datos - Temas'!$W$5:$W$1264,$G73,'Datos - Temas'!$AB$5:$AB$1264,$A73)</f>
        <v>17</v>
      </c>
      <c r="I73" t="str" s="79" cm="1">
        <f t="array" ref="I73">IF(H73&gt;0,"Sí","No")</f>
        <v>Sí</v>
      </c>
      <c r="J73" s="17"/>
      <c r="K73" s="13"/>
      <c r="L73" s="14"/>
    </row>
    <row r="74" ht="13.65" customHeight="1">
      <c r="A74" t="s" s="78">
        <v>3059</v>
      </c>
      <c r="B74" t="s" s="78">
        <v>9392</v>
      </c>
      <c r="C74" t="s" s="78">
        <v>216</v>
      </c>
      <c r="D74" s="128">
        <v>0.2</v>
      </c>
      <c r="E74" t="s" s="78">
        <v>9433</v>
      </c>
      <c r="F74" t="s" s="78">
        <v>9434</v>
      </c>
      <c r="G74" t="s" s="78">
        <v>115</v>
      </c>
      <c r="H74" s="80" cm="1">
        <f t="array" ref="H74">_xlfn.COUNTIFS('Datos - Temas'!$W$5:$W$1264,$G74,'Datos - Temas'!$AA$5:$AA$1264,$A74)+_xlfn.COUNTIFS('Datos - Temas'!$W$5:$W$1264,$G74,'Datos - Temas'!$AB$5:$AB$1264,$A74)</f>
        <v>4</v>
      </c>
      <c r="I74" t="str" s="79" cm="1">
        <f t="array" ref="I74">IF(H74&gt;0,"Sí","No")</f>
        <v>Sí</v>
      </c>
      <c r="J74" s="17"/>
      <c r="K74" s="13"/>
      <c r="L74" s="14"/>
    </row>
    <row r="75" ht="13.65" customHeight="1">
      <c r="A75" t="s" s="78">
        <v>3780</v>
      </c>
      <c r="B75" t="s" s="78">
        <v>9392</v>
      </c>
      <c r="C75" t="s" s="78">
        <v>216</v>
      </c>
      <c r="D75" s="128">
        <v>0.2</v>
      </c>
      <c r="E75" t="s" s="78">
        <v>9433</v>
      </c>
      <c r="F75" t="s" s="78">
        <v>9435</v>
      </c>
      <c r="G75" t="s" s="78">
        <v>115</v>
      </c>
      <c r="H75" s="80" cm="1">
        <f t="array" ref="H75">_xlfn.COUNTIFS('Datos - Temas'!$W$5:$W$1264,$G75,'Datos - Temas'!$AA$5:$AA$1264,$A75)+_xlfn.COUNTIFS('Datos - Temas'!$W$5:$W$1264,$G75,'Datos - Temas'!$AB$5:$AB$1264,$A75)</f>
        <v>2</v>
      </c>
      <c r="I75" t="str" s="79" cm="1">
        <f t="array" ref="I75">IF(H75&gt;0,"Sí","No")</f>
        <v>Sí</v>
      </c>
      <c r="J75" s="17"/>
      <c r="K75" s="13"/>
      <c r="L75" s="14"/>
    </row>
    <row r="76" ht="24.65" customHeight="1">
      <c r="A76" t="s" s="78">
        <v>3071</v>
      </c>
      <c r="B76" t="s" s="78">
        <v>9392</v>
      </c>
      <c r="C76" t="s" s="78">
        <v>216</v>
      </c>
      <c r="D76" s="128">
        <v>0.2</v>
      </c>
      <c r="E76" t="s" s="78">
        <v>9436</v>
      </c>
      <c r="F76" t="s" s="78">
        <v>9437</v>
      </c>
      <c r="G76" t="s" s="78">
        <v>115</v>
      </c>
      <c r="H76" s="80" cm="1">
        <f t="array" ref="H76">_xlfn.COUNTIFS('Datos - Temas'!$W$5:$W$1264,$G76,'Datos - Temas'!$AA$5:$AA$1264,$A76)+_xlfn.COUNTIFS('Datos - Temas'!$W$5:$W$1264,$G76,'Datos - Temas'!$AB$5:$AB$1264,$A76)</f>
        <v>16</v>
      </c>
      <c r="I76" t="str" s="79" cm="1">
        <f t="array" ref="I76">IF(H76&gt;0,"Sí","No")</f>
        <v>Sí</v>
      </c>
      <c r="J76" s="17"/>
      <c r="K76" s="13"/>
      <c r="L76" s="14"/>
    </row>
    <row r="77" ht="13.65" customHeight="1">
      <c r="A77" t="s" s="78">
        <v>3731</v>
      </c>
      <c r="B77" t="s" s="78">
        <v>9392</v>
      </c>
      <c r="C77" t="s" s="78">
        <v>216</v>
      </c>
      <c r="D77" s="128">
        <v>0.2</v>
      </c>
      <c r="E77" t="s" s="78">
        <v>9436</v>
      </c>
      <c r="F77" t="s" s="78">
        <v>9438</v>
      </c>
      <c r="G77" t="s" s="78">
        <v>115</v>
      </c>
      <c r="H77" s="80" cm="1">
        <f t="array" ref="H77">_xlfn.COUNTIFS('Datos - Temas'!$W$5:$W$1264,$G77,'Datos - Temas'!$AA$5:$AA$1264,$A77)+_xlfn.COUNTIFS('Datos - Temas'!$W$5:$W$1264,$G77,'Datos - Temas'!$AB$5:$AB$1264,$A77)</f>
        <v>4</v>
      </c>
      <c r="I77" t="str" s="79" cm="1">
        <f t="array" ref="I77">IF(H77&gt;0,"Sí","No")</f>
        <v>Sí</v>
      </c>
      <c r="J77" s="17"/>
      <c r="K77" s="13"/>
      <c r="L77" s="14"/>
    </row>
    <row r="78" ht="24.65" customHeight="1">
      <c r="A78" t="s" s="78">
        <v>3719</v>
      </c>
      <c r="B78" t="s" s="78">
        <v>9392</v>
      </c>
      <c r="C78" t="s" s="78">
        <v>216</v>
      </c>
      <c r="D78" s="128">
        <v>0.2</v>
      </c>
      <c r="E78" t="s" s="78">
        <v>9436</v>
      </c>
      <c r="F78" t="s" s="78">
        <v>9439</v>
      </c>
      <c r="G78" t="s" s="78">
        <v>115</v>
      </c>
      <c r="H78" s="80" cm="1">
        <f t="array" ref="H78">_xlfn.COUNTIFS('Datos - Temas'!$W$5:$W$1264,$G78,'Datos - Temas'!$AA$5:$AA$1264,$A78)+_xlfn.COUNTIFS('Datos - Temas'!$W$5:$W$1264,$G78,'Datos - Temas'!$AB$5:$AB$1264,$A78)</f>
        <v>10</v>
      </c>
      <c r="I78" t="str" s="79" cm="1">
        <f t="array" ref="I78">IF(H78&gt;0,"Sí","No")</f>
        <v>Sí</v>
      </c>
      <c r="J78" s="17"/>
      <c r="K78" s="13"/>
      <c r="L78" s="14"/>
    </row>
    <row r="79" ht="13.65" customHeight="1">
      <c r="A79" t="s" s="78">
        <v>3708</v>
      </c>
      <c r="B79" t="s" s="78">
        <v>9392</v>
      </c>
      <c r="C79" t="s" s="78">
        <v>216</v>
      </c>
      <c r="D79" s="128">
        <v>0.2</v>
      </c>
      <c r="E79" t="s" s="78">
        <v>1149</v>
      </c>
      <c r="F79" t="s" s="78">
        <v>9440</v>
      </c>
      <c r="G79" t="s" s="78">
        <v>115</v>
      </c>
      <c r="H79" s="80" cm="1">
        <f t="array" ref="H79">_xlfn.COUNTIFS('Datos - Temas'!$W$5:$W$1264,$G79,'Datos - Temas'!$AA$5:$AA$1264,$A79)+_xlfn.COUNTIFS('Datos - Temas'!$W$5:$W$1264,$G79,'Datos - Temas'!$AB$5:$AB$1264,$A79)</f>
        <v>16</v>
      </c>
      <c r="I79" t="str" s="79" cm="1">
        <f t="array" ref="I79">IF(H79&gt;0,"Sí","No")</f>
        <v>Sí</v>
      </c>
      <c r="J79" s="17"/>
      <c r="K79" s="13"/>
      <c r="L79" s="14"/>
    </row>
    <row r="80" ht="13.65" customHeight="1">
      <c r="A80" t="s" s="78">
        <v>3135</v>
      </c>
      <c r="B80" t="s" s="78">
        <v>9392</v>
      </c>
      <c r="C80" t="s" s="78">
        <v>216</v>
      </c>
      <c r="D80" s="128">
        <v>0.2</v>
      </c>
      <c r="E80" t="s" s="78">
        <v>1149</v>
      </c>
      <c r="F80" t="s" s="78">
        <v>9441</v>
      </c>
      <c r="G80" t="s" s="78">
        <v>115</v>
      </c>
      <c r="H80" s="80" cm="1">
        <f t="array" ref="H80">_xlfn.COUNTIFS('Datos - Temas'!$W$5:$W$1264,$G80,'Datos - Temas'!$AA$5:$AA$1264,$A80)+_xlfn.COUNTIFS('Datos - Temas'!$W$5:$W$1264,$G80,'Datos - Temas'!$AB$5:$AB$1264,$A80)</f>
        <v>17</v>
      </c>
      <c r="I80" t="str" s="79" cm="1">
        <f t="array" ref="I80">IF(H80&gt;0,"Sí","No")</f>
        <v>Sí</v>
      </c>
      <c r="J80" s="17"/>
      <c r="K80" s="13"/>
      <c r="L80" s="14"/>
    </row>
    <row r="81" ht="13.65" customHeight="1">
      <c r="A81" t="s" s="78">
        <v>4616</v>
      </c>
      <c r="B81" t="s" s="78">
        <v>9392</v>
      </c>
      <c r="C81" t="s" s="78">
        <v>216</v>
      </c>
      <c r="D81" s="128">
        <v>0.2</v>
      </c>
      <c r="E81" t="s" s="78">
        <v>9442</v>
      </c>
      <c r="F81" t="s" s="78">
        <v>9443</v>
      </c>
      <c r="G81" t="s" s="78">
        <v>115</v>
      </c>
      <c r="H81" s="80" cm="1">
        <f t="array" ref="H81">_xlfn.COUNTIFS('Datos - Temas'!$W$5:$W$1264,$G81,'Datos - Temas'!$AA$5:$AA$1264,$A81)+_xlfn.COUNTIFS('Datos - Temas'!$W$5:$W$1264,$G81,'Datos - Temas'!$AB$5:$AB$1264,$A81)</f>
        <v>0</v>
      </c>
      <c r="I81" t="str" s="79" cm="1">
        <f t="array" ref="I81">IF(H81&gt;0,"Sí","No")</f>
        <v>No</v>
      </c>
      <c r="J81" s="17"/>
      <c r="K81" s="13"/>
      <c r="L81" s="14"/>
    </row>
    <row r="82" ht="13.65" customHeight="1">
      <c r="A82" t="s" s="78">
        <v>3038</v>
      </c>
      <c r="B82" t="s" s="78">
        <v>9392</v>
      </c>
      <c r="C82" t="s" s="78">
        <v>216</v>
      </c>
      <c r="D82" s="128">
        <v>0.2</v>
      </c>
      <c r="E82" t="s" s="78">
        <v>9442</v>
      </c>
      <c r="F82" t="s" s="78">
        <v>9444</v>
      </c>
      <c r="G82" t="s" s="78">
        <v>115</v>
      </c>
      <c r="H82" s="80" cm="1">
        <f t="array" ref="H82">_xlfn.COUNTIFS('Datos - Temas'!$W$5:$W$1264,$G82,'Datos - Temas'!$AA$5:$AA$1264,$A82)+_xlfn.COUNTIFS('Datos - Temas'!$W$5:$W$1264,$G82,'Datos - Temas'!$AB$5:$AB$1264,$A82)</f>
        <v>4</v>
      </c>
      <c r="I82" t="str" s="79" cm="1">
        <f t="array" ref="I82">IF(H82&gt;0,"Sí","No")</f>
        <v>Sí</v>
      </c>
      <c r="J82" s="17"/>
      <c r="K82" s="13"/>
      <c r="L82" s="14"/>
    </row>
    <row r="83" ht="13.65" customHeight="1">
      <c r="A83" t="s" s="78">
        <v>1300</v>
      </c>
      <c r="B83" t="s" s="78">
        <v>1301</v>
      </c>
      <c r="C83" t="s" s="78">
        <v>1017</v>
      </c>
      <c r="D83" s="128">
        <v>0.4</v>
      </c>
      <c r="E83" t="s" s="78">
        <v>1302</v>
      </c>
      <c r="F83" t="s" s="78">
        <v>1303</v>
      </c>
      <c r="G83" t="s" s="78">
        <v>119</v>
      </c>
      <c r="H83" s="80" cm="1">
        <f t="array" ref="H83">_xlfn.COUNTIFS('Datos - Temas'!$W$5:$W$1264,$G83,'Datos - Temas'!$AA$5:$AA$1264,$A83)+_xlfn.COUNTIFS('Datos - Temas'!$W$5:$W$1264,$G83,'Datos - Temas'!$AB$5:$AB$1264,$A83)</f>
        <v>18</v>
      </c>
      <c r="I83" t="str" s="79" cm="1">
        <f t="array" ref="I83">IF(H83&gt;0,"Sí","No")</f>
        <v>Sí</v>
      </c>
      <c r="J83" s="17"/>
      <c r="K83" s="13"/>
      <c r="L83" s="14"/>
    </row>
    <row r="84" ht="13.65" customHeight="1">
      <c r="A84" t="s" s="78">
        <v>1306</v>
      </c>
      <c r="B84" t="s" s="78">
        <v>1301</v>
      </c>
      <c r="C84" t="s" s="78">
        <v>1017</v>
      </c>
      <c r="D84" s="128">
        <v>0.4</v>
      </c>
      <c r="E84" t="s" s="78">
        <v>1302</v>
      </c>
      <c r="F84" t="s" s="78">
        <v>1307</v>
      </c>
      <c r="G84" t="s" s="78">
        <v>119</v>
      </c>
      <c r="H84" s="80" cm="1">
        <f t="array" ref="H84">_xlfn.COUNTIFS('Datos - Temas'!$W$5:$W$1264,$G84,'Datos - Temas'!$AA$5:$AA$1264,$A84)+_xlfn.COUNTIFS('Datos - Temas'!$W$5:$W$1264,$G84,'Datos - Temas'!$AB$5:$AB$1264,$A84)</f>
        <v>11</v>
      </c>
      <c r="I84" t="str" s="79" cm="1">
        <f t="array" ref="I84">IF(H84&gt;0,"Sí","No")</f>
        <v>Sí</v>
      </c>
      <c r="J84" s="17"/>
      <c r="K84" s="13"/>
      <c r="L84" s="14"/>
    </row>
    <row r="85" ht="13.65" customHeight="1">
      <c r="A85" t="s" s="78">
        <v>1309</v>
      </c>
      <c r="B85" t="s" s="78">
        <v>1301</v>
      </c>
      <c r="C85" t="s" s="78">
        <v>1017</v>
      </c>
      <c r="D85" s="128">
        <v>0.4</v>
      </c>
      <c r="E85" t="s" s="78">
        <v>1302</v>
      </c>
      <c r="F85" t="s" s="78">
        <v>1310</v>
      </c>
      <c r="G85" t="s" s="78">
        <v>119</v>
      </c>
      <c r="H85" s="80" cm="1">
        <f t="array" ref="H85">_xlfn.COUNTIFS('Datos - Temas'!$W$5:$W$1264,$G85,'Datos - Temas'!$AA$5:$AA$1264,$A85)+_xlfn.COUNTIFS('Datos - Temas'!$W$5:$W$1264,$G85,'Datos - Temas'!$AB$5:$AB$1264,$A85)</f>
        <v>9</v>
      </c>
      <c r="I85" t="str" s="79" cm="1">
        <f t="array" ref="I85">IF(H85&gt;0,"Sí","No")</f>
        <v>Sí</v>
      </c>
      <c r="J85" s="17"/>
      <c r="K85" s="13"/>
      <c r="L85" s="14"/>
    </row>
    <row r="86" ht="13.65" customHeight="1">
      <c r="A86" t="s" s="78">
        <v>1312</v>
      </c>
      <c r="B86" t="s" s="78">
        <v>1301</v>
      </c>
      <c r="C86" t="s" s="78">
        <v>1017</v>
      </c>
      <c r="D86" s="128">
        <v>0.4</v>
      </c>
      <c r="E86" t="s" s="78">
        <v>1302</v>
      </c>
      <c r="F86" t="s" s="78">
        <v>1313</v>
      </c>
      <c r="G86" t="s" s="78">
        <v>119</v>
      </c>
      <c r="H86" s="80" cm="1">
        <f t="array" ref="H86">_xlfn.COUNTIFS('Datos - Temas'!$W$5:$W$1264,$G86,'Datos - Temas'!$AA$5:$AA$1264,$A86)+_xlfn.COUNTIFS('Datos - Temas'!$W$5:$W$1264,$G86,'Datos - Temas'!$AB$5:$AB$1264,$A86)</f>
        <v>5</v>
      </c>
      <c r="I86" t="str" s="79" cm="1">
        <f t="array" ref="I86">IF(H86&gt;0,"Sí","No")</f>
        <v>Sí</v>
      </c>
      <c r="J86" s="17"/>
      <c r="K86" s="13"/>
      <c r="L86" s="14"/>
    </row>
    <row r="87" ht="13.65" customHeight="1">
      <c r="A87" t="s" s="78">
        <v>1315</v>
      </c>
      <c r="B87" t="s" s="78">
        <v>1301</v>
      </c>
      <c r="C87" t="s" s="78">
        <v>1017</v>
      </c>
      <c r="D87" s="128">
        <v>0.4</v>
      </c>
      <c r="E87" t="s" s="78">
        <v>1316</v>
      </c>
      <c r="F87" t="s" s="78">
        <v>1317</v>
      </c>
      <c r="G87" t="s" s="78">
        <v>119</v>
      </c>
      <c r="H87" s="80" cm="1">
        <f t="array" ref="H87">_xlfn.COUNTIFS('Datos - Temas'!$W$5:$W$1264,$G87,'Datos - Temas'!$AA$5:$AA$1264,$A87)+_xlfn.COUNTIFS('Datos - Temas'!$W$5:$W$1264,$G87,'Datos - Temas'!$AB$5:$AB$1264,$A87)</f>
        <v>13</v>
      </c>
      <c r="I87" t="str" s="79" cm="1">
        <f t="array" ref="I87">IF(H87&gt;0,"Sí","No")</f>
        <v>Sí</v>
      </c>
      <c r="J87" s="17"/>
      <c r="K87" s="13"/>
      <c r="L87" s="14"/>
    </row>
    <row r="88" ht="13.65" customHeight="1">
      <c r="A88" t="s" s="78">
        <v>1319</v>
      </c>
      <c r="B88" t="s" s="78">
        <v>1301</v>
      </c>
      <c r="C88" t="s" s="78">
        <v>1017</v>
      </c>
      <c r="D88" s="128">
        <v>0.4</v>
      </c>
      <c r="E88" t="s" s="78">
        <v>1316</v>
      </c>
      <c r="F88" t="s" s="78">
        <v>1320</v>
      </c>
      <c r="G88" t="s" s="78">
        <v>119</v>
      </c>
      <c r="H88" s="80" cm="1">
        <f t="array" ref="H88">_xlfn.COUNTIFS('Datos - Temas'!$W$5:$W$1264,$G88,'Datos - Temas'!$AA$5:$AA$1264,$A88)+_xlfn.COUNTIFS('Datos - Temas'!$W$5:$W$1264,$G88,'Datos - Temas'!$AB$5:$AB$1264,$A88)</f>
        <v>6</v>
      </c>
      <c r="I88" t="str" s="79" cm="1">
        <f t="array" ref="I88">IF(H88&gt;0,"Sí","No")</f>
        <v>Sí</v>
      </c>
      <c r="J88" s="17"/>
      <c r="K88" s="13"/>
      <c r="L88" s="14"/>
    </row>
    <row r="89" ht="13.65" customHeight="1">
      <c r="A89" t="s" s="78">
        <v>1322</v>
      </c>
      <c r="B89" t="s" s="78">
        <v>1301</v>
      </c>
      <c r="C89" t="s" s="78">
        <v>1017</v>
      </c>
      <c r="D89" s="128">
        <v>0.4</v>
      </c>
      <c r="E89" t="s" s="78">
        <v>1316</v>
      </c>
      <c r="F89" t="s" s="78">
        <v>1323</v>
      </c>
      <c r="G89" t="s" s="78">
        <v>119</v>
      </c>
      <c r="H89" s="80" cm="1">
        <f t="array" ref="H89">_xlfn.COUNTIFS('Datos - Temas'!$W$5:$W$1264,$G89,'Datos - Temas'!$AA$5:$AA$1264,$A89)+_xlfn.COUNTIFS('Datos - Temas'!$W$5:$W$1264,$G89,'Datos - Temas'!$AB$5:$AB$1264,$A89)</f>
        <v>8</v>
      </c>
      <c r="I89" t="str" s="79" cm="1">
        <f t="array" ref="I89">IF(H89&gt;0,"Sí","No")</f>
        <v>Sí</v>
      </c>
      <c r="J89" s="17"/>
      <c r="K89" s="13"/>
      <c r="L89" s="14"/>
    </row>
    <row r="90" ht="24.65" customHeight="1">
      <c r="A90" t="s" s="78">
        <v>1325</v>
      </c>
      <c r="B90" t="s" s="78">
        <v>1301</v>
      </c>
      <c r="C90" t="s" s="78">
        <v>1017</v>
      </c>
      <c r="D90" s="128">
        <v>0.4</v>
      </c>
      <c r="E90" t="s" s="78">
        <v>1326</v>
      </c>
      <c r="F90" t="s" s="78">
        <v>1327</v>
      </c>
      <c r="G90" t="s" s="78">
        <v>119</v>
      </c>
      <c r="H90" s="80" cm="1">
        <f t="array" ref="H90">_xlfn.COUNTIFS('Datos - Temas'!$W$5:$W$1264,$G90,'Datos - Temas'!$AA$5:$AA$1264,$A90)+_xlfn.COUNTIFS('Datos - Temas'!$W$5:$W$1264,$G90,'Datos - Temas'!$AB$5:$AB$1264,$A90)</f>
        <v>10</v>
      </c>
      <c r="I90" t="str" s="79" cm="1">
        <f t="array" ref="I90">IF(H90&gt;0,"Sí","No")</f>
        <v>Sí</v>
      </c>
      <c r="J90" s="17"/>
      <c r="K90" s="13"/>
      <c r="L90" s="14"/>
    </row>
    <row r="91" ht="13.65" customHeight="1">
      <c r="A91" t="s" s="78">
        <v>1329</v>
      </c>
      <c r="B91" t="s" s="78">
        <v>1301</v>
      </c>
      <c r="C91" t="s" s="78">
        <v>1017</v>
      </c>
      <c r="D91" s="128">
        <v>0.4</v>
      </c>
      <c r="E91" t="s" s="78">
        <v>1326</v>
      </c>
      <c r="F91" t="s" s="78">
        <v>1330</v>
      </c>
      <c r="G91" t="s" s="78">
        <v>119</v>
      </c>
      <c r="H91" s="80" cm="1">
        <f t="array" ref="H91">_xlfn.COUNTIFS('Datos - Temas'!$W$5:$W$1264,$G91,'Datos - Temas'!$AA$5:$AA$1264,$A91)+_xlfn.COUNTIFS('Datos - Temas'!$W$5:$W$1264,$G91,'Datos - Temas'!$AB$5:$AB$1264,$A91)</f>
        <v>7</v>
      </c>
      <c r="I91" t="str" s="79" cm="1">
        <f t="array" ref="I91">IF(H91&gt;0,"Sí","No")</f>
        <v>Sí</v>
      </c>
      <c r="J91" s="17"/>
      <c r="K91" s="13"/>
      <c r="L91" s="14"/>
    </row>
    <row r="92" ht="13.65" customHeight="1">
      <c r="A92" t="s" s="78">
        <v>1332</v>
      </c>
      <c r="B92" t="s" s="78">
        <v>1301</v>
      </c>
      <c r="C92" t="s" s="78">
        <v>1018</v>
      </c>
      <c r="D92" s="128">
        <v>0.25</v>
      </c>
      <c r="E92" t="s" s="78">
        <v>1333</v>
      </c>
      <c r="F92" t="s" s="78">
        <v>1334</v>
      </c>
      <c r="G92" t="s" s="78">
        <v>119</v>
      </c>
      <c r="H92" s="80" cm="1">
        <f t="array" ref="H92">_xlfn.COUNTIFS('Datos - Temas'!$W$5:$W$1264,$G92,'Datos - Temas'!$AA$5:$AA$1264,$A92)+_xlfn.COUNTIFS('Datos - Temas'!$W$5:$W$1264,$G92,'Datos - Temas'!$AB$5:$AB$1264,$A92)</f>
        <v>7</v>
      </c>
      <c r="I92" t="str" s="79" cm="1">
        <f t="array" ref="I92">IF(H92&gt;0,"Sí","No")</f>
        <v>Sí</v>
      </c>
      <c r="J92" s="17"/>
      <c r="K92" s="13"/>
      <c r="L92" s="14"/>
    </row>
    <row r="93" ht="13.65" customHeight="1">
      <c r="A93" t="s" s="78">
        <v>1337</v>
      </c>
      <c r="B93" t="s" s="78">
        <v>1301</v>
      </c>
      <c r="C93" t="s" s="78">
        <v>1018</v>
      </c>
      <c r="D93" s="128">
        <v>0.25</v>
      </c>
      <c r="E93" t="s" s="78">
        <v>1333</v>
      </c>
      <c r="F93" t="s" s="78">
        <v>1338</v>
      </c>
      <c r="G93" t="s" s="78">
        <v>119</v>
      </c>
      <c r="H93" s="80" cm="1">
        <f t="array" ref="H93">_xlfn.COUNTIFS('Datos - Temas'!$W$5:$W$1264,$G93,'Datos - Temas'!$AA$5:$AA$1264,$A93)+_xlfn.COUNTIFS('Datos - Temas'!$W$5:$W$1264,$G93,'Datos - Temas'!$AB$5:$AB$1264,$A93)</f>
        <v>11</v>
      </c>
      <c r="I93" t="str" s="79" cm="1">
        <f t="array" ref="I93">IF(H93&gt;0,"Sí","No")</f>
        <v>Sí</v>
      </c>
      <c r="J93" s="17"/>
      <c r="K93" s="13"/>
      <c r="L93" s="14"/>
    </row>
    <row r="94" ht="13.65" customHeight="1">
      <c r="A94" t="s" s="78">
        <v>1340</v>
      </c>
      <c r="B94" t="s" s="78">
        <v>1301</v>
      </c>
      <c r="C94" t="s" s="78">
        <v>1018</v>
      </c>
      <c r="D94" s="128">
        <v>0.25</v>
      </c>
      <c r="E94" t="s" s="78">
        <v>1333</v>
      </c>
      <c r="F94" t="s" s="78">
        <v>1341</v>
      </c>
      <c r="G94" t="s" s="78">
        <v>119</v>
      </c>
      <c r="H94" s="80" cm="1">
        <f t="array" ref="H94">_xlfn.COUNTIFS('Datos - Temas'!$W$5:$W$1264,$G94,'Datos - Temas'!$AA$5:$AA$1264,$A94)+_xlfn.COUNTIFS('Datos - Temas'!$W$5:$W$1264,$G94,'Datos - Temas'!$AB$5:$AB$1264,$A94)</f>
        <v>15</v>
      </c>
      <c r="I94" t="str" s="79" cm="1">
        <f t="array" ref="I94">IF(H94&gt;0,"Sí","No")</f>
        <v>Sí</v>
      </c>
      <c r="J94" s="17"/>
      <c r="K94" s="13"/>
      <c r="L94" s="14"/>
    </row>
    <row r="95" ht="13.65" customHeight="1">
      <c r="A95" t="s" s="78">
        <v>1343</v>
      </c>
      <c r="B95" t="s" s="78">
        <v>1301</v>
      </c>
      <c r="C95" t="s" s="78">
        <v>1018</v>
      </c>
      <c r="D95" s="128">
        <v>0.25</v>
      </c>
      <c r="E95" t="s" s="78">
        <v>1344</v>
      </c>
      <c r="F95" t="s" s="78">
        <v>1345</v>
      </c>
      <c r="G95" t="s" s="78">
        <v>119</v>
      </c>
      <c r="H95" s="80" cm="1">
        <f t="array" ref="H95">_xlfn.COUNTIFS('Datos - Temas'!$W$5:$W$1264,$G95,'Datos - Temas'!$AA$5:$AA$1264,$A95)+_xlfn.COUNTIFS('Datos - Temas'!$W$5:$W$1264,$G95,'Datos - Temas'!$AB$5:$AB$1264,$A95)</f>
        <v>6</v>
      </c>
      <c r="I95" t="str" s="79" cm="1">
        <f t="array" ref="I95">IF(H95&gt;0,"Sí","No")</f>
        <v>Sí</v>
      </c>
      <c r="J95" s="17"/>
      <c r="K95" s="13"/>
      <c r="L95" s="14"/>
    </row>
    <row r="96" ht="13.65" customHeight="1">
      <c r="A96" t="s" s="78">
        <v>1347</v>
      </c>
      <c r="B96" t="s" s="78">
        <v>1301</v>
      </c>
      <c r="C96" t="s" s="78">
        <v>1018</v>
      </c>
      <c r="D96" s="128">
        <v>0.25</v>
      </c>
      <c r="E96" t="s" s="78">
        <v>1344</v>
      </c>
      <c r="F96" t="s" s="78">
        <v>1348</v>
      </c>
      <c r="G96" t="s" s="78">
        <v>119</v>
      </c>
      <c r="H96" s="80" cm="1">
        <f t="array" ref="H96">_xlfn.COUNTIFS('Datos - Temas'!$W$5:$W$1264,$G96,'Datos - Temas'!$AA$5:$AA$1264,$A96)+_xlfn.COUNTIFS('Datos - Temas'!$W$5:$W$1264,$G96,'Datos - Temas'!$AB$5:$AB$1264,$A96)</f>
        <v>7</v>
      </c>
      <c r="I96" t="str" s="79" cm="1">
        <f t="array" ref="I96">IF(H96&gt;0,"Sí","No")</f>
        <v>Sí</v>
      </c>
      <c r="J96" s="17"/>
      <c r="K96" s="13"/>
      <c r="L96" s="14"/>
    </row>
    <row r="97" ht="13.65" customHeight="1">
      <c r="A97" t="s" s="78">
        <v>1350</v>
      </c>
      <c r="B97" t="s" s="78">
        <v>1301</v>
      </c>
      <c r="C97" t="s" s="78">
        <v>1018</v>
      </c>
      <c r="D97" s="128">
        <v>0.25</v>
      </c>
      <c r="E97" t="s" s="78">
        <v>1344</v>
      </c>
      <c r="F97" t="s" s="78">
        <v>1351</v>
      </c>
      <c r="G97" t="s" s="78">
        <v>119</v>
      </c>
      <c r="H97" s="80" cm="1">
        <f t="array" ref="H97">_xlfn.COUNTIFS('Datos - Temas'!$W$5:$W$1264,$G97,'Datos - Temas'!$AA$5:$AA$1264,$A97)+_xlfn.COUNTIFS('Datos - Temas'!$W$5:$W$1264,$G97,'Datos - Temas'!$AB$5:$AB$1264,$A97)</f>
        <v>5</v>
      </c>
      <c r="I97" t="str" s="79" cm="1">
        <f t="array" ref="I97">IF(H97&gt;0,"Sí","No")</f>
        <v>Sí</v>
      </c>
      <c r="J97" s="17"/>
      <c r="K97" s="13"/>
      <c r="L97" s="14"/>
    </row>
    <row r="98" ht="13.65" customHeight="1">
      <c r="A98" t="s" s="78">
        <v>1353</v>
      </c>
      <c r="B98" t="s" s="78">
        <v>1301</v>
      </c>
      <c r="C98" t="s" s="78">
        <v>1019</v>
      </c>
      <c r="D98" s="128">
        <v>0.35</v>
      </c>
      <c r="E98" t="s" s="78">
        <v>1354</v>
      </c>
      <c r="F98" t="s" s="78">
        <v>1355</v>
      </c>
      <c r="G98" t="s" s="78">
        <v>119</v>
      </c>
      <c r="H98" s="80" cm="1">
        <f t="array" ref="H98">_xlfn.COUNTIFS('Datos - Temas'!$W$5:$W$1264,$G98,'Datos - Temas'!$AA$5:$AA$1264,$A98)+_xlfn.COUNTIFS('Datos - Temas'!$W$5:$W$1264,$G98,'Datos - Temas'!$AB$5:$AB$1264,$A98)</f>
        <v>15</v>
      </c>
      <c r="I98" t="str" s="79" cm="1">
        <f t="array" ref="I98">IF(H98&gt;0,"Sí","No")</f>
        <v>Sí</v>
      </c>
      <c r="J98" s="17"/>
      <c r="K98" s="13"/>
      <c r="L98" s="14"/>
    </row>
    <row r="99" ht="13.65" customHeight="1">
      <c r="A99" t="s" s="78">
        <v>1357</v>
      </c>
      <c r="B99" t="s" s="78">
        <v>1301</v>
      </c>
      <c r="C99" t="s" s="78">
        <v>1019</v>
      </c>
      <c r="D99" s="128">
        <v>0.35</v>
      </c>
      <c r="E99" t="s" s="78">
        <v>1354</v>
      </c>
      <c r="F99" t="s" s="78">
        <v>1358</v>
      </c>
      <c r="G99" t="s" s="78">
        <v>119</v>
      </c>
      <c r="H99" s="80" cm="1">
        <f t="array" ref="H99">_xlfn.COUNTIFS('Datos - Temas'!$W$5:$W$1264,$G99,'Datos - Temas'!$AA$5:$AA$1264,$A99)+_xlfn.COUNTIFS('Datos - Temas'!$W$5:$W$1264,$G99,'Datos - Temas'!$AB$5:$AB$1264,$A99)</f>
        <v>13</v>
      </c>
      <c r="I99" t="str" s="79" cm="1">
        <f t="array" ref="I99">IF(H99&gt;0,"Sí","No")</f>
        <v>Sí</v>
      </c>
      <c r="J99" s="17"/>
      <c r="K99" s="13"/>
      <c r="L99" s="14"/>
    </row>
    <row r="100" ht="13.65" customHeight="1">
      <c r="A100" t="s" s="78">
        <v>1360</v>
      </c>
      <c r="B100" t="s" s="78">
        <v>1301</v>
      </c>
      <c r="C100" t="s" s="78">
        <v>1019</v>
      </c>
      <c r="D100" s="128">
        <v>0.35</v>
      </c>
      <c r="E100" t="s" s="78">
        <v>1354</v>
      </c>
      <c r="F100" t="s" s="78">
        <v>1361</v>
      </c>
      <c r="G100" t="s" s="78">
        <v>119</v>
      </c>
      <c r="H100" s="80" cm="1">
        <f t="array" ref="H100">_xlfn.COUNTIFS('Datos - Temas'!$W$5:$W$1264,$G100,'Datos - Temas'!$AA$5:$AA$1264,$A100)+_xlfn.COUNTIFS('Datos - Temas'!$W$5:$W$1264,$G100,'Datos - Temas'!$AB$5:$AB$1264,$A100)</f>
        <v>3</v>
      </c>
      <c r="I100" t="str" s="79" cm="1">
        <f t="array" ref="I100">IF(H100&gt;0,"Sí","No")</f>
        <v>Sí</v>
      </c>
      <c r="J100" s="17"/>
      <c r="K100" s="13"/>
      <c r="L100" s="14"/>
    </row>
    <row r="101" ht="13.65" customHeight="1">
      <c r="A101" t="s" s="78">
        <v>1363</v>
      </c>
      <c r="B101" t="s" s="78">
        <v>1301</v>
      </c>
      <c r="C101" t="s" s="78">
        <v>1019</v>
      </c>
      <c r="D101" s="128">
        <v>0.35</v>
      </c>
      <c r="E101" t="s" s="78">
        <v>1354</v>
      </c>
      <c r="F101" t="s" s="78">
        <v>1364</v>
      </c>
      <c r="G101" t="s" s="78">
        <v>119</v>
      </c>
      <c r="H101" s="80" cm="1">
        <f t="array" ref="H101">_xlfn.COUNTIFS('Datos - Temas'!$W$5:$W$1264,$G101,'Datos - Temas'!$AA$5:$AA$1264,$A101)+_xlfn.COUNTIFS('Datos - Temas'!$W$5:$W$1264,$G101,'Datos - Temas'!$AB$5:$AB$1264,$A101)</f>
        <v>43</v>
      </c>
      <c r="I101" t="str" s="79" cm="1">
        <f t="array" ref="I101">IF(H101&gt;0,"Sí","No")</f>
        <v>Sí</v>
      </c>
      <c r="J101" s="17"/>
      <c r="K101" s="13"/>
      <c r="L101" s="14"/>
    </row>
    <row r="102" ht="13.65" customHeight="1">
      <c r="A102" t="s" s="78">
        <v>1366</v>
      </c>
      <c r="B102" t="s" s="78">
        <v>1301</v>
      </c>
      <c r="C102" t="s" s="78">
        <v>1019</v>
      </c>
      <c r="D102" s="128">
        <v>0.35</v>
      </c>
      <c r="E102" t="s" s="78">
        <v>1367</v>
      </c>
      <c r="F102" t="s" s="78">
        <v>1368</v>
      </c>
      <c r="G102" t="s" s="78">
        <v>119</v>
      </c>
      <c r="H102" s="80" cm="1">
        <f t="array" ref="H102">_xlfn.COUNTIFS('Datos - Temas'!$W$5:$W$1264,$G102,'Datos - Temas'!$AA$5:$AA$1264,$A102)+_xlfn.COUNTIFS('Datos - Temas'!$W$5:$W$1264,$G102,'Datos - Temas'!$AB$5:$AB$1264,$A102)</f>
        <v>3</v>
      </c>
      <c r="I102" t="str" s="79" cm="1">
        <f t="array" ref="I102">IF(H102&gt;0,"Sí","No")</f>
        <v>Sí</v>
      </c>
      <c r="J102" s="17"/>
      <c r="K102" s="13"/>
      <c r="L102" s="14"/>
    </row>
    <row r="103" ht="13.65" customHeight="1">
      <c r="A103" t="s" s="78">
        <v>1370</v>
      </c>
      <c r="B103" t="s" s="78">
        <v>1301</v>
      </c>
      <c r="C103" t="s" s="78">
        <v>1019</v>
      </c>
      <c r="D103" s="128">
        <v>0.35</v>
      </c>
      <c r="E103" t="s" s="78">
        <v>1367</v>
      </c>
      <c r="F103" t="s" s="78">
        <v>1371</v>
      </c>
      <c r="G103" t="s" s="78">
        <v>119</v>
      </c>
      <c r="H103" s="80" cm="1">
        <f t="array" ref="H103">_xlfn.COUNTIFS('Datos - Temas'!$W$5:$W$1264,$G103,'Datos - Temas'!$AA$5:$AA$1264,$A103)+_xlfn.COUNTIFS('Datos - Temas'!$W$5:$W$1264,$G103,'Datos - Temas'!$AB$5:$AB$1264,$A103)</f>
        <v>6</v>
      </c>
      <c r="I103" t="str" s="79" cm="1">
        <f t="array" ref="I103">IF(H103&gt;0,"Sí","No")</f>
        <v>Sí</v>
      </c>
      <c r="J103" s="17"/>
      <c r="K103" s="13"/>
      <c r="L103" s="14"/>
    </row>
    <row r="104" ht="13.65" customHeight="1">
      <c r="A104" t="s" s="78">
        <v>1373</v>
      </c>
      <c r="B104" t="s" s="78">
        <v>1301</v>
      </c>
      <c r="C104" t="s" s="78">
        <v>1019</v>
      </c>
      <c r="D104" s="128">
        <v>0.35</v>
      </c>
      <c r="E104" t="s" s="78">
        <v>1367</v>
      </c>
      <c r="F104" t="s" s="78">
        <v>1374</v>
      </c>
      <c r="G104" t="s" s="78">
        <v>119</v>
      </c>
      <c r="H104" s="80" cm="1">
        <f t="array" ref="H104">_xlfn.COUNTIFS('Datos - Temas'!$W$5:$W$1264,$G104,'Datos - Temas'!$AA$5:$AA$1264,$A104)+_xlfn.COUNTIFS('Datos - Temas'!$W$5:$W$1264,$G104,'Datos - Temas'!$AB$5:$AB$1264,$A104)</f>
        <v>13</v>
      </c>
      <c r="I104" t="str" s="79" cm="1">
        <f t="array" ref="I104">IF(H104&gt;0,"Sí","No")</f>
        <v>Sí</v>
      </c>
      <c r="J104" s="17"/>
      <c r="K104" s="13"/>
      <c r="L104" s="14"/>
    </row>
    <row r="105" ht="13.65" customHeight="1">
      <c r="A105" t="s" s="78">
        <v>1376</v>
      </c>
      <c r="B105" t="s" s="78">
        <v>1301</v>
      </c>
      <c r="C105" t="s" s="78">
        <v>1019</v>
      </c>
      <c r="D105" s="128">
        <v>0.35</v>
      </c>
      <c r="E105" t="s" s="78">
        <v>1367</v>
      </c>
      <c r="F105" t="s" s="78">
        <v>1377</v>
      </c>
      <c r="G105" t="s" s="78">
        <v>119</v>
      </c>
      <c r="H105" s="80" cm="1">
        <f t="array" ref="H105">_xlfn.COUNTIFS('Datos - Temas'!$W$5:$W$1264,$G105,'Datos - Temas'!$AA$5:$AA$1264,$A105)+_xlfn.COUNTIFS('Datos - Temas'!$W$5:$W$1264,$G105,'Datos - Temas'!$AB$5:$AB$1264,$A105)</f>
        <v>4</v>
      </c>
      <c r="I105" t="str" s="79" cm="1">
        <f t="array" ref="I105">IF(H105&gt;0,"Sí","No")</f>
        <v>Sí</v>
      </c>
      <c r="J105" s="17"/>
      <c r="K105" s="13"/>
      <c r="L105" s="14"/>
    </row>
    <row r="106" ht="13.55" customHeight="1">
      <c r="A106" s="42"/>
      <c r="B106" s="18"/>
      <c r="C106" s="18"/>
      <c r="D106" s="18"/>
      <c r="E106" s="18"/>
      <c r="F106" s="18"/>
      <c r="G106" s="18"/>
      <c r="H106" s="18"/>
      <c r="I106" s="18"/>
      <c r="J106" s="13"/>
      <c r="K106" s="13"/>
      <c r="L106" s="14"/>
    </row>
    <row r="107" ht="13.55" customHeight="1">
      <c r="A107" s="11"/>
      <c r="B107" s="13"/>
      <c r="C107" s="13"/>
      <c r="D107" s="13"/>
      <c r="E107" s="13"/>
      <c r="F107" s="13"/>
      <c r="G107" s="13"/>
      <c r="H107" s="13"/>
      <c r="I107" s="13"/>
      <c r="J107" s="13"/>
      <c r="K107" s="13"/>
      <c r="L107" s="14"/>
    </row>
    <row r="108" ht="14.6" customHeight="1">
      <c r="A108" t="s" s="43">
        <v>9445</v>
      </c>
      <c r="B108" s="44"/>
      <c r="C108" s="44"/>
      <c r="D108" s="44"/>
      <c r="E108" s="13"/>
      <c r="F108" s="13"/>
      <c r="G108" s="13"/>
      <c r="H108" s="13"/>
      <c r="I108" s="13"/>
      <c r="J108" s="13"/>
      <c r="K108" s="13"/>
      <c r="L108" s="14"/>
    </row>
    <row r="109" ht="30" customHeight="1">
      <c r="A109" t="s" s="34">
        <v>155</v>
      </c>
      <c r="B109" t="s" s="34">
        <v>9446</v>
      </c>
      <c r="C109" t="s" s="34">
        <v>9447</v>
      </c>
      <c r="D109" t="s" s="34">
        <v>1381</v>
      </c>
      <c r="E109" s="17"/>
      <c r="F109" s="13"/>
      <c r="G109" s="13"/>
      <c r="H109" s="13"/>
      <c r="I109" s="13"/>
      <c r="J109" s="13"/>
      <c r="K109" s="13"/>
      <c r="L109" s="14"/>
    </row>
    <row r="110" ht="13.65" customHeight="1">
      <c r="A110" t="s" s="35">
        <v>9352</v>
      </c>
      <c r="B110" s="36" cm="1">
        <f t="array" ref="B110">_xlfn.COUNTIFS($B$5:$B$105,$A110)</f>
        <v>32</v>
      </c>
      <c r="C110" s="36" cm="1">
        <f t="array" ref="C110">_xlfn.COUNTIFS($B$5:$B$105,$A110,$I$5:$I$105,"Sí")</f>
        <v>31</v>
      </c>
      <c r="D110" s="38" cm="1">
        <f t="array" ref="D110">IF(B110=0,0,C110/B110)</f>
        <v>0.96875</v>
      </c>
      <c r="E110" s="17"/>
      <c r="F110" s="13"/>
      <c r="G110" s="13"/>
      <c r="H110" s="13"/>
      <c r="I110" s="13"/>
      <c r="J110" s="13"/>
      <c r="K110" s="13"/>
      <c r="L110" s="14"/>
    </row>
    <row r="111" ht="13.65" customHeight="1">
      <c r="A111" t="s" s="35">
        <v>9392</v>
      </c>
      <c r="B111" s="36" cm="1">
        <f t="array" ref="B111">_xlfn.COUNTIFS($B$5:$B$105,$A111)</f>
        <v>46</v>
      </c>
      <c r="C111" s="36" cm="1">
        <f t="array" ref="C111">_xlfn.COUNTIFS($B$5:$B$105,$A111,$I$5:$I$105,"Sí")</f>
        <v>43</v>
      </c>
      <c r="D111" s="38" cm="1">
        <f t="array" ref="D111">IF(B111=0,0,C111/B111)</f>
        <v>0.934782608695652</v>
      </c>
      <c r="E111" s="17"/>
      <c r="F111" s="13"/>
      <c r="G111" s="13"/>
      <c r="H111" s="13"/>
      <c r="I111" s="13"/>
      <c r="J111" s="13"/>
      <c r="K111" s="13"/>
      <c r="L111" s="14"/>
    </row>
    <row r="112" ht="13.65" customHeight="1">
      <c r="A112" t="s" s="35">
        <v>1301</v>
      </c>
      <c r="B112" s="36" cm="1">
        <f t="array" ref="B112">_xlfn.COUNTIFS($B$5:$B$105,$A112)</f>
        <v>23</v>
      </c>
      <c r="C112" s="36" cm="1">
        <f t="array" ref="C112">_xlfn.COUNTIFS($B$5:$B$105,$A112,$I$5:$I$105,"Sí")</f>
        <v>23</v>
      </c>
      <c r="D112" s="38" cm="1">
        <f t="array" ref="D112">IF(B112=0,0,C112/B112)</f>
        <v>1</v>
      </c>
      <c r="E112" s="17"/>
      <c r="F112" s="13"/>
      <c r="G112" s="13"/>
      <c r="H112" s="13"/>
      <c r="I112" s="13"/>
      <c r="J112" s="13"/>
      <c r="K112" s="13"/>
      <c r="L112" s="14"/>
    </row>
    <row r="113" ht="13.55" customHeight="1">
      <c r="A113" s="42"/>
      <c r="B113" s="18"/>
      <c r="C113" s="18"/>
      <c r="D113" s="18"/>
      <c r="E113" s="13"/>
      <c r="F113" s="13"/>
      <c r="G113" s="13"/>
      <c r="H113" s="13"/>
      <c r="I113" s="13"/>
      <c r="J113" s="13"/>
      <c r="K113" s="13"/>
      <c r="L113" s="14"/>
    </row>
    <row r="114" ht="13.55" customHeight="1">
      <c r="A114" s="11"/>
      <c r="B114" s="13"/>
      <c r="C114" s="13"/>
      <c r="D114" s="13"/>
      <c r="E114" s="13"/>
      <c r="F114" s="13"/>
      <c r="G114" s="13"/>
      <c r="H114" s="13"/>
      <c r="I114" s="13"/>
      <c r="J114" s="13"/>
      <c r="K114" s="13"/>
      <c r="L114" s="14"/>
    </row>
    <row r="115" ht="14.6" customHeight="1">
      <c r="A115" t="s" s="43">
        <v>9448</v>
      </c>
      <c r="B115" s="44"/>
      <c r="C115" s="44"/>
      <c r="D115" s="44"/>
      <c r="E115" s="44"/>
      <c r="F115" s="44"/>
      <c r="G115" s="44"/>
      <c r="H115" s="13"/>
      <c r="I115" s="13"/>
      <c r="J115" s="13"/>
      <c r="K115" s="13"/>
      <c r="L115" s="14"/>
    </row>
    <row r="116" ht="40" customHeight="1">
      <c r="A116" t="s" s="34">
        <v>94</v>
      </c>
      <c r="B116" t="s" s="34">
        <v>9449</v>
      </c>
      <c r="C116" t="s" s="34">
        <v>9450</v>
      </c>
      <c r="D116" t="s" s="34">
        <v>9451</v>
      </c>
      <c r="E116" t="s" s="34">
        <v>95</v>
      </c>
      <c r="F116" t="s" s="34">
        <v>9452</v>
      </c>
      <c r="G116" t="s" s="34">
        <v>1008</v>
      </c>
      <c r="H116" s="17"/>
      <c r="I116" s="13"/>
      <c r="J116" s="13"/>
      <c r="K116" s="13"/>
      <c r="L116" s="14"/>
    </row>
    <row r="117" ht="13.65" customHeight="1">
      <c r="A117" t="s" s="35">
        <v>112</v>
      </c>
      <c r="B117" t="s" s="35">
        <v>9352</v>
      </c>
      <c r="C117" t="s" s="35">
        <v>9353</v>
      </c>
      <c r="D117" s="36" cm="1">
        <f t="array" ref="D117">_xlfn.COUNTIFS('Datos - Temas'!$W$5:$W$1264,$A117,'Datos - Temas'!$AC$5:$AC$1264,$C117)</f>
        <v>92</v>
      </c>
      <c r="E117" s="36" cm="1">
        <f t="array" ref="E117">_xlfn.COUNTIFS('Datos - Temas'!$W$5:$W$1264,$A117)-_xlfn.COUNTIFS('Datos - Temas'!$W$5:$W$1264,$A117,'Datos - Temas'!$AA$5:$AA$1264,"FUERA")-_xlfn.COUNTIFS('Datos - Temas'!$W$5:$W$1264,$A117,'Datos - Temas'!$AA$5:$AA$1264,"PENDIENTE")</f>
        <v>178</v>
      </c>
      <c r="F117" s="58">
        <v>0.45</v>
      </c>
      <c r="G117" s="70" cm="1">
        <f t="array" ref="G117">F117*E117-D117</f>
        <v>-11.9</v>
      </c>
      <c r="H117" s="17"/>
      <c r="I117" s="13"/>
      <c r="J117" s="13"/>
      <c r="K117" s="13"/>
      <c r="L117" s="14"/>
    </row>
    <row r="118" ht="13.65" customHeight="1">
      <c r="A118" t="s" s="35">
        <v>112</v>
      </c>
      <c r="B118" t="s" s="35">
        <v>9352</v>
      </c>
      <c r="C118" t="s" s="35">
        <v>213</v>
      </c>
      <c r="D118" s="36" cm="1">
        <f t="array" ref="D118">_xlfn.COUNTIFS('Datos - Temas'!$W$5:$W$1264,$A118,'Datos - Temas'!$AC$5:$AC$1264,$C118)</f>
        <v>49</v>
      </c>
      <c r="E118" s="36" cm="1">
        <f t="array" ref="E118">_xlfn.COUNTIFS('Datos - Temas'!$W$5:$W$1264,$A118)-_xlfn.COUNTIFS('Datos - Temas'!$W$5:$W$1264,$A118,'Datos - Temas'!$AA$5:$AA$1264,"FUERA")-_xlfn.COUNTIFS('Datos - Temas'!$W$5:$W$1264,$A118,'Datos - Temas'!$AA$5:$AA$1264,"PENDIENTE")</f>
        <v>178</v>
      </c>
      <c r="F118" s="58">
        <v>0.35</v>
      </c>
      <c r="G118" s="70" cm="1">
        <f t="array" ref="G118">F118*E118-D118</f>
        <v>13.3</v>
      </c>
      <c r="H118" s="17"/>
      <c r="I118" s="13"/>
      <c r="J118" s="13"/>
      <c r="K118" s="13"/>
      <c r="L118" s="14"/>
    </row>
    <row r="119" ht="13.65" customHeight="1">
      <c r="A119" t="s" s="35">
        <v>112</v>
      </c>
      <c r="B119" t="s" s="35">
        <v>9352</v>
      </c>
      <c r="C119" t="s" s="35">
        <v>216</v>
      </c>
      <c r="D119" s="36" cm="1">
        <f t="array" ref="D119">_xlfn.COUNTIFS('Datos - Temas'!$W$5:$W$1264,$A119,'Datos - Temas'!$AC$5:$AC$1264,$C119)</f>
        <v>37</v>
      </c>
      <c r="E119" s="36" cm="1">
        <f t="array" ref="E119">_xlfn.COUNTIFS('Datos - Temas'!$W$5:$W$1264,$A119)-_xlfn.COUNTIFS('Datos - Temas'!$W$5:$W$1264,$A119,'Datos - Temas'!$AA$5:$AA$1264,"FUERA")-_xlfn.COUNTIFS('Datos - Temas'!$W$5:$W$1264,$A119,'Datos - Temas'!$AA$5:$AA$1264,"PENDIENTE")</f>
        <v>178</v>
      </c>
      <c r="F119" s="58">
        <v>0.2</v>
      </c>
      <c r="G119" s="70" cm="1">
        <f t="array" ref="G119">F119*E119-D119</f>
        <v>-1.4</v>
      </c>
      <c r="H119" s="17"/>
      <c r="I119" s="13"/>
      <c r="J119" s="13"/>
      <c r="K119" s="13"/>
      <c r="L119" s="14"/>
    </row>
    <row r="120" ht="13.55" customHeight="1">
      <c r="A120" s="71"/>
      <c r="B120" s="31"/>
      <c r="C120" s="31"/>
      <c r="D120" s="31"/>
      <c r="E120" s="31"/>
      <c r="F120" s="31"/>
      <c r="G120" s="31"/>
      <c r="H120" s="13"/>
      <c r="I120" s="13"/>
      <c r="J120" s="13"/>
      <c r="K120" s="13"/>
      <c r="L120" s="14"/>
    </row>
    <row r="121" ht="13.65" customHeight="1">
      <c r="A121" t="s" s="35">
        <v>115</v>
      </c>
      <c r="B121" t="s" s="35">
        <v>9392</v>
      </c>
      <c r="C121" t="s" s="35">
        <v>210</v>
      </c>
      <c r="D121" s="36" cm="1">
        <f t="array" ref="D121">_xlfn.COUNTIFS('Datos - Temas'!$W$5:$W$1264,$A121,'Datos - Temas'!$AC$5:$AC$1264,$C121)</f>
        <v>111</v>
      </c>
      <c r="E121" s="36" cm="1">
        <f t="array" ref="E121">_xlfn.COUNTIFS('Datos - Temas'!$W$5:$W$1264,$A121)-_xlfn.COUNTIFS('Datos - Temas'!$W$5:$W$1264,$A121,'Datos - Temas'!$AA$5:$AA$1264,"FUERA")-_xlfn.COUNTIFS('Datos - Temas'!$W$5:$W$1264,$A121,'Datos - Temas'!$AA$5:$AA$1264,"PENDIENTE")</f>
        <v>302</v>
      </c>
      <c r="F121" s="58">
        <v>0.35</v>
      </c>
      <c r="G121" s="70" cm="1">
        <f t="array" ref="G121">F121*E121-D121</f>
        <v>-5.3</v>
      </c>
      <c r="H121" s="17"/>
      <c r="I121" s="13"/>
      <c r="J121" s="13"/>
      <c r="K121" s="13"/>
      <c r="L121" s="14"/>
    </row>
    <row r="122" ht="13.65" customHeight="1">
      <c r="A122" t="s" s="35">
        <v>115</v>
      </c>
      <c r="B122" t="s" s="35">
        <v>9392</v>
      </c>
      <c r="C122" t="s" s="35">
        <v>220</v>
      </c>
      <c r="D122" s="36" cm="1">
        <f t="array" ref="D122">_xlfn.COUNTIFS('Datos - Temas'!$W$5:$W$1264,$A122,'Datos - Temas'!$AC$5:$AC$1264,$C122)</f>
        <v>58</v>
      </c>
      <c r="E122" s="36" cm="1">
        <f t="array" ref="E122">_xlfn.COUNTIFS('Datos - Temas'!$W$5:$W$1264,$A122)-_xlfn.COUNTIFS('Datos - Temas'!$W$5:$W$1264,$A122,'Datos - Temas'!$AA$5:$AA$1264,"FUERA")-_xlfn.COUNTIFS('Datos - Temas'!$W$5:$W$1264,$A122,'Datos - Temas'!$AA$5:$AA$1264,"PENDIENTE")</f>
        <v>302</v>
      </c>
      <c r="F122" s="58">
        <v>0.2</v>
      </c>
      <c r="G122" s="70" cm="1">
        <f t="array" ref="G122">F122*E122-D122</f>
        <v>2.4</v>
      </c>
      <c r="H122" s="17"/>
      <c r="I122" s="13"/>
      <c r="J122" s="13"/>
      <c r="K122" s="13"/>
      <c r="L122" s="14"/>
    </row>
    <row r="123" ht="13.65" customHeight="1">
      <c r="A123" t="s" s="35">
        <v>115</v>
      </c>
      <c r="B123" t="s" s="35">
        <v>9392</v>
      </c>
      <c r="C123" t="s" s="35">
        <v>222</v>
      </c>
      <c r="D123" s="36" cm="1">
        <f t="array" ref="D123">_xlfn.COUNTIFS('Datos - Temas'!$W$5:$W$1264,$A123,'Datos - Temas'!$AC$5:$AC$1264,$C123)</f>
        <v>79</v>
      </c>
      <c r="E123" s="36" cm="1">
        <f t="array" ref="E123">_xlfn.COUNTIFS('Datos - Temas'!$W$5:$W$1264,$A123)-_xlfn.COUNTIFS('Datos - Temas'!$W$5:$W$1264,$A123,'Datos - Temas'!$AA$5:$AA$1264,"FUERA")-_xlfn.COUNTIFS('Datos - Temas'!$W$5:$W$1264,$A123,'Datos - Temas'!$AA$5:$AA$1264,"PENDIENTE")</f>
        <v>302</v>
      </c>
      <c r="F123" s="58">
        <v>0.25</v>
      </c>
      <c r="G123" s="70" cm="1">
        <f t="array" ref="G123">F123*E123-D123</f>
        <v>-3.5</v>
      </c>
      <c r="H123" s="17"/>
      <c r="I123" s="13"/>
      <c r="J123" s="13"/>
      <c r="K123" s="13"/>
      <c r="L123" s="14"/>
    </row>
    <row r="124" ht="13.65" customHeight="1">
      <c r="A124" t="s" s="35">
        <v>115</v>
      </c>
      <c r="B124" t="s" s="35">
        <v>9392</v>
      </c>
      <c r="C124" t="s" s="35">
        <v>216</v>
      </c>
      <c r="D124" s="36" cm="1">
        <f t="array" ref="D124">_xlfn.COUNTIFS('Datos - Temas'!$W$5:$W$1264,$A124,'Datos - Temas'!$AC$5:$AC$1264,$C124)</f>
        <v>54</v>
      </c>
      <c r="E124" s="36" cm="1">
        <f t="array" ref="E124">_xlfn.COUNTIFS('Datos - Temas'!$W$5:$W$1264,$A124)-_xlfn.COUNTIFS('Datos - Temas'!$W$5:$W$1264,$A124,'Datos - Temas'!$AA$5:$AA$1264,"FUERA")-_xlfn.COUNTIFS('Datos - Temas'!$W$5:$W$1264,$A124,'Datos - Temas'!$AA$5:$AA$1264,"PENDIENTE")</f>
        <v>302</v>
      </c>
      <c r="F124" s="58">
        <v>0.2</v>
      </c>
      <c r="G124" s="70" cm="1">
        <f t="array" ref="G124">F124*E124-D124</f>
        <v>6.4</v>
      </c>
      <c r="H124" s="17"/>
      <c r="I124" s="13"/>
      <c r="J124" s="13"/>
      <c r="K124" s="13"/>
      <c r="L124" s="14"/>
    </row>
    <row r="125" ht="13.55" customHeight="1">
      <c r="A125" s="71"/>
      <c r="B125" s="31"/>
      <c r="C125" s="31"/>
      <c r="D125" s="31"/>
      <c r="E125" s="31"/>
      <c r="F125" s="31"/>
      <c r="G125" s="31"/>
      <c r="H125" s="13"/>
      <c r="I125" s="13"/>
      <c r="J125" s="13"/>
      <c r="K125" s="13"/>
      <c r="L125" s="14"/>
    </row>
    <row r="126" ht="13.65" customHeight="1">
      <c r="A126" t="s" s="35">
        <v>138</v>
      </c>
      <c r="B126" t="s" s="35">
        <v>9392</v>
      </c>
      <c r="C126" t="s" s="35">
        <v>210</v>
      </c>
      <c r="D126" s="36" cm="1">
        <f t="array" ref="D126">_xlfn.COUNTIFS('Datos - Temas'!$W$5:$W$1264,$A126,'Datos - Temas'!$AC$5:$AC$1264,$C126)</f>
        <v>4</v>
      </c>
      <c r="E126" s="36" cm="1">
        <f t="array" ref="E126">_xlfn.COUNTIFS('Datos - Temas'!$W$5:$W$1264,$A126)-_xlfn.COUNTIFS('Datos - Temas'!$W$5:$W$1264,$A126,'Datos - Temas'!$AA$5:$AA$1264,"FUERA")-_xlfn.COUNTIFS('Datos - Temas'!$W$5:$W$1264,$A126,'Datos - Temas'!$AA$5:$AA$1264,"PENDIENTE")</f>
        <v>82</v>
      </c>
      <c r="F126" s="58">
        <v>0.35</v>
      </c>
      <c r="G126" s="70" cm="1">
        <f t="array" ref="G126">F126*E126-D126</f>
        <v>24.7</v>
      </c>
      <c r="H126" s="17"/>
      <c r="I126" s="13"/>
      <c r="J126" s="13"/>
      <c r="K126" s="13"/>
      <c r="L126" s="14"/>
    </row>
    <row r="127" ht="13.65" customHeight="1">
      <c r="A127" t="s" s="35">
        <v>138</v>
      </c>
      <c r="B127" t="s" s="35">
        <v>9392</v>
      </c>
      <c r="C127" t="s" s="35">
        <v>220</v>
      </c>
      <c r="D127" s="36" cm="1">
        <f t="array" ref="D127">_xlfn.COUNTIFS('Datos - Temas'!$W$5:$W$1264,$A127,'Datos - Temas'!$AC$5:$AC$1264,$C127)</f>
        <v>20</v>
      </c>
      <c r="E127" s="36" cm="1">
        <f t="array" ref="E127">_xlfn.COUNTIFS('Datos - Temas'!$W$5:$W$1264,$A127)-_xlfn.COUNTIFS('Datos - Temas'!$W$5:$W$1264,$A127,'Datos - Temas'!$AA$5:$AA$1264,"FUERA")-_xlfn.COUNTIFS('Datos - Temas'!$W$5:$W$1264,$A127,'Datos - Temas'!$AA$5:$AA$1264,"PENDIENTE")</f>
        <v>82</v>
      </c>
      <c r="F127" s="58">
        <v>0.2</v>
      </c>
      <c r="G127" s="70" cm="1">
        <f t="array" ref="G127">F127*E127-D127</f>
        <v>-3.6</v>
      </c>
      <c r="H127" s="17"/>
      <c r="I127" s="13"/>
      <c r="J127" s="13"/>
      <c r="K127" s="13"/>
      <c r="L127" s="14"/>
    </row>
    <row r="128" ht="13.65" customHeight="1">
      <c r="A128" t="s" s="35">
        <v>138</v>
      </c>
      <c r="B128" t="s" s="35">
        <v>9392</v>
      </c>
      <c r="C128" t="s" s="35">
        <v>222</v>
      </c>
      <c r="D128" s="36" cm="1">
        <f t="array" ref="D128">_xlfn.COUNTIFS('Datos - Temas'!$W$5:$W$1264,$A128,'Datos - Temas'!$AC$5:$AC$1264,$C128)</f>
        <v>38</v>
      </c>
      <c r="E128" s="36" cm="1">
        <f t="array" ref="E128">_xlfn.COUNTIFS('Datos - Temas'!$W$5:$W$1264,$A128)-_xlfn.COUNTIFS('Datos - Temas'!$W$5:$W$1264,$A128,'Datos - Temas'!$AA$5:$AA$1264,"FUERA")-_xlfn.COUNTIFS('Datos - Temas'!$W$5:$W$1264,$A128,'Datos - Temas'!$AA$5:$AA$1264,"PENDIENTE")</f>
        <v>82</v>
      </c>
      <c r="F128" s="58">
        <v>0.25</v>
      </c>
      <c r="G128" s="70" cm="1">
        <f t="array" ref="G128">F128*E128-D128</f>
        <v>-17.5</v>
      </c>
      <c r="H128" s="17"/>
      <c r="I128" s="13"/>
      <c r="J128" s="13"/>
      <c r="K128" s="13"/>
      <c r="L128" s="14"/>
    </row>
    <row r="129" ht="13.65" customHeight="1">
      <c r="A129" t="s" s="35">
        <v>138</v>
      </c>
      <c r="B129" t="s" s="35">
        <v>9392</v>
      </c>
      <c r="C129" t="s" s="35">
        <v>216</v>
      </c>
      <c r="D129" s="36" cm="1">
        <f t="array" ref="D129">_xlfn.COUNTIFS('Datos - Temas'!$W$5:$W$1264,$A129,'Datos - Temas'!$AC$5:$AC$1264,$C129)</f>
        <v>20</v>
      </c>
      <c r="E129" s="36" cm="1">
        <f t="array" ref="E129">_xlfn.COUNTIFS('Datos - Temas'!$W$5:$W$1264,$A129)-_xlfn.COUNTIFS('Datos - Temas'!$W$5:$W$1264,$A129,'Datos - Temas'!$AA$5:$AA$1264,"FUERA")-_xlfn.COUNTIFS('Datos - Temas'!$W$5:$W$1264,$A129,'Datos - Temas'!$AA$5:$AA$1264,"PENDIENTE")</f>
        <v>82</v>
      </c>
      <c r="F129" s="58">
        <v>0.2</v>
      </c>
      <c r="G129" s="70" cm="1">
        <f t="array" ref="G129">F129*E129-D129</f>
        <v>-3.6</v>
      </c>
      <c r="H129" s="17"/>
      <c r="I129" s="13"/>
      <c r="J129" s="13"/>
      <c r="K129" s="13"/>
      <c r="L129" s="14"/>
    </row>
    <row r="130" ht="13.55" customHeight="1">
      <c r="A130" s="71"/>
      <c r="B130" s="31"/>
      <c r="C130" s="31"/>
      <c r="D130" s="31"/>
      <c r="E130" s="31"/>
      <c r="F130" s="31"/>
      <c r="G130" s="31"/>
      <c r="H130" s="13"/>
      <c r="I130" s="13"/>
      <c r="J130" s="13"/>
      <c r="K130" s="13"/>
      <c r="L130" s="14"/>
    </row>
    <row r="131" ht="13.65" customHeight="1">
      <c r="A131" t="s" s="35">
        <v>119</v>
      </c>
      <c r="B131" t="s" s="35">
        <v>1301</v>
      </c>
      <c r="C131" t="s" s="35">
        <v>1017</v>
      </c>
      <c r="D131" s="36" cm="1">
        <f t="array" ref="D131">_xlfn.COUNTIFS('Datos - Temas'!$W$5:$W$1264,$A131,'Datos - Temas'!$AC$5:$AC$1264,$C131)</f>
        <v>71</v>
      </c>
      <c r="E131" s="36" cm="1">
        <f t="array" ref="E131">_xlfn.COUNTIFS('Datos - Temas'!$W$5:$W$1264,$A131)-_xlfn.COUNTIFS('Datos - Temas'!$W$5:$W$1264,$A131,'Datos - Temas'!$AA$5:$AA$1264,"FUERA")-_xlfn.COUNTIFS('Datos - Temas'!$W$5:$W$1264,$A131,'Datos - Temas'!$AA$5:$AA$1264,"PENDIENTE")</f>
        <v>199</v>
      </c>
      <c r="F131" s="58">
        <v>0.4</v>
      </c>
      <c r="G131" s="70" cm="1">
        <f t="array" ref="G131">F131*E131-D131</f>
        <v>8.6</v>
      </c>
      <c r="H131" s="17"/>
      <c r="I131" s="13"/>
      <c r="J131" s="13"/>
      <c r="K131" s="13"/>
      <c r="L131" s="14"/>
    </row>
    <row r="132" ht="13.65" customHeight="1">
      <c r="A132" t="s" s="35">
        <v>119</v>
      </c>
      <c r="B132" t="s" s="35">
        <v>1301</v>
      </c>
      <c r="C132" t="s" s="35">
        <v>1018</v>
      </c>
      <c r="D132" s="36" cm="1">
        <f t="array" ref="D132">_xlfn.COUNTIFS('Datos - Temas'!$W$5:$W$1264,$A132,'Datos - Temas'!$AC$5:$AC$1264,$C132)</f>
        <v>43</v>
      </c>
      <c r="E132" s="36" cm="1">
        <f t="array" ref="E132">_xlfn.COUNTIFS('Datos - Temas'!$W$5:$W$1264,$A132)-_xlfn.COUNTIFS('Datos - Temas'!$W$5:$W$1264,$A132,'Datos - Temas'!$AA$5:$AA$1264,"FUERA")-_xlfn.COUNTIFS('Datos - Temas'!$W$5:$W$1264,$A132,'Datos - Temas'!$AA$5:$AA$1264,"PENDIENTE")</f>
        <v>199</v>
      </c>
      <c r="F132" s="58">
        <v>0.25</v>
      </c>
      <c r="G132" s="70" cm="1">
        <f t="array" ref="G132">F132*E132-D132</f>
        <v>6.75</v>
      </c>
      <c r="H132" s="17"/>
      <c r="I132" s="13"/>
      <c r="J132" s="13"/>
      <c r="K132" s="13"/>
      <c r="L132" s="14"/>
    </row>
    <row r="133" ht="13.65" customHeight="1">
      <c r="A133" t="s" s="35">
        <v>119</v>
      </c>
      <c r="B133" t="s" s="35">
        <v>1301</v>
      </c>
      <c r="C133" t="s" s="35">
        <v>1019</v>
      </c>
      <c r="D133" s="36" cm="1">
        <f t="array" ref="D133">_xlfn.COUNTIFS('Datos - Temas'!$W$5:$W$1264,$A133,'Datos - Temas'!$AC$5:$AC$1264,$C133)</f>
        <v>85</v>
      </c>
      <c r="E133" s="36" cm="1">
        <f t="array" ref="E133">_xlfn.COUNTIFS('Datos - Temas'!$W$5:$W$1264,$A133)-_xlfn.COUNTIFS('Datos - Temas'!$W$5:$W$1264,$A133,'Datos - Temas'!$AA$5:$AA$1264,"FUERA")-_xlfn.COUNTIFS('Datos - Temas'!$W$5:$W$1264,$A133,'Datos - Temas'!$AA$5:$AA$1264,"PENDIENTE")</f>
        <v>199</v>
      </c>
      <c r="F133" s="58">
        <v>0.35</v>
      </c>
      <c r="G133" s="70" cm="1">
        <f t="array" ref="G133">F133*E133-D133</f>
        <v>-15.35</v>
      </c>
      <c r="H133" s="17"/>
      <c r="I133" s="13"/>
      <c r="J133" s="13"/>
      <c r="K133" s="13"/>
      <c r="L133" s="14"/>
    </row>
    <row r="134" ht="13.55" customHeight="1">
      <c r="A134" s="42"/>
      <c r="B134" s="18"/>
      <c r="C134" s="18"/>
      <c r="D134" s="18"/>
      <c r="E134" s="18"/>
      <c r="F134" s="18"/>
      <c r="G134" s="18"/>
      <c r="H134" s="13"/>
      <c r="I134" s="13"/>
      <c r="J134" s="13"/>
      <c r="K134" s="13"/>
      <c r="L134" s="14"/>
    </row>
    <row r="135" ht="42" customHeight="1">
      <c r="A135" t="s" s="54">
        <v>9453</v>
      </c>
      <c r="B135" s="24"/>
      <c r="C135" s="24"/>
      <c r="D135" s="24"/>
      <c r="E135" s="24"/>
      <c r="F135" s="24"/>
      <c r="G135" s="24"/>
      <c r="H135" s="24"/>
      <c r="I135" s="24"/>
      <c r="J135" s="24"/>
      <c r="K135" s="24"/>
      <c r="L135" s="25"/>
    </row>
  </sheetData>
  <mergeCells count="2">
    <mergeCell ref="A2:L2"/>
    <mergeCell ref="A135:L135"/>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L23"/>
  <sheetViews>
    <sheetView workbookViewId="0" showGridLines="0" defaultGridColor="1"/>
  </sheetViews>
  <sheetFormatPr defaultColWidth="8.83333" defaultRowHeight="15" customHeight="1" outlineLevelRow="0" outlineLevelCol="0"/>
  <cols>
    <col min="1" max="1" width="48" style="129" customWidth="1"/>
    <col min="2" max="2" width="46" style="129" customWidth="1"/>
    <col min="3" max="3" width="20" style="129" customWidth="1"/>
    <col min="4" max="4" width="10" style="129" customWidth="1"/>
    <col min="5" max="5" width="60" style="129" customWidth="1"/>
    <col min="6" max="12" width="8.85156" style="129" customWidth="1"/>
    <col min="13" max="16384" width="8.85156" style="129" customWidth="1"/>
  </cols>
  <sheetData>
    <row r="1" ht="18.5" customHeight="1">
      <c r="A1" t="s" s="27">
        <v>9455</v>
      </c>
      <c r="B1" s="28"/>
      <c r="C1" s="28"/>
      <c r="D1" s="28"/>
      <c r="E1" s="28"/>
      <c r="F1" s="28"/>
      <c r="G1" s="28"/>
      <c r="H1" s="28"/>
      <c r="I1" s="28"/>
      <c r="J1" s="28"/>
      <c r="K1" s="28"/>
      <c r="L1" s="97"/>
    </row>
    <row r="2" ht="53" customHeight="1">
      <c r="A2" t="str" s="29" cm="1">
        <f t="array" ref="A2">"TIMSS y PISA"&amp;"
"&amp;"● "&amp;D15&amp;" temas leídos de 11 mallas del MINED."&amp;"
"&amp;"● Marcos oficiales: TIMSS 2027, TIMSS Advanced 2015 y PISA 2025, citados con página."</f>
        <v>TIMSS y PISA
● 1260 temas leídos de 11 mallas del MINED.
● Marcos oficiales: TIMSS 2027, TIMSS Advanced 2015 y PISA 2025, citados con página.</v>
      </c>
      <c r="B2" s="30"/>
      <c r="C2" s="31"/>
      <c r="D2" s="31"/>
      <c r="E2" s="31"/>
      <c r="F2" s="31"/>
      <c r="G2" s="31"/>
      <c r="H2" s="31"/>
      <c r="I2" s="31"/>
      <c r="J2" s="31"/>
      <c r="K2" s="31"/>
      <c r="L2" s="32"/>
    </row>
    <row r="3" ht="30" customHeight="1">
      <c r="A3" t="s" s="34">
        <v>9457</v>
      </c>
      <c r="B3" t="s" s="34">
        <v>9458</v>
      </c>
      <c r="C3" t="s" s="34">
        <v>9459</v>
      </c>
      <c r="D3" t="s" s="34">
        <v>9460</v>
      </c>
      <c r="E3" t="s" s="34">
        <v>9461</v>
      </c>
      <c r="F3" s="101"/>
      <c r="G3" s="18"/>
      <c r="H3" s="18"/>
      <c r="I3" s="18"/>
      <c r="J3" s="18"/>
      <c r="K3" s="18"/>
      <c r="L3" s="51"/>
    </row>
    <row r="4" ht="13.65" customHeight="1">
      <c r="A4" t="s" s="78">
        <v>1824</v>
      </c>
      <c r="B4" t="s" s="78">
        <v>9462</v>
      </c>
      <c r="C4" t="s" s="78">
        <v>9463</v>
      </c>
      <c r="D4" s="80" cm="1">
        <f t="array" ref="D4">_xlfn.COUNTIFS('Datos - Temas'!$D$5:$D$1264,"Matriz_Ciencias_2do_Grado_U1_U6_3.xlsx")</f>
        <v>70</v>
      </c>
      <c r="E4" s="79"/>
      <c r="F4" s="17"/>
      <c r="G4" s="13"/>
      <c r="H4" s="13"/>
      <c r="I4" s="13"/>
      <c r="J4" s="13"/>
      <c r="K4" s="13"/>
      <c r="L4" s="14"/>
    </row>
    <row r="5" ht="24.65" customHeight="1">
      <c r="A5" t="s" s="78">
        <v>9464</v>
      </c>
      <c r="B5" t="s" s="78">
        <v>9465</v>
      </c>
      <c r="C5" t="s" s="78">
        <v>9466</v>
      </c>
      <c r="D5" s="80" cm="1">
        <f t="array" ref="D5">_xlfn.COUNTIFS('Datos - Temas'!$D$5:$D$1264,"Matriz_Ciencias_3er_Grado_U1_U6.xlsx")</f>
        <v>66</v>
      </c>
      <c r="E5" t="s" s="78">
        <v>9467</v>
      </c>
      <c r="F5" s="17"/>
      <c r="G5" s="13"/>
      <c r="H5" s="13"/>
      <c r="I5" s="13"/>
      <c r="J5" s="13"/>
      <c r="K5" s="13"/>
      <c r="L5" s="14"/>
    </row>
    <row r="6" ht="13.65" customHeight="1">
      <c r="A6" t="s" s="78">
        <v>2513</v>
      </c>
      <c r="B6" t="s" s="78">
        <v>9468</v>
      </c>
      <c r="C6" t="s" s="78">
        <v>9466</v>
      </c>
      <c r="D6" s="80" cm="1">
        <f t="array" ref="D6">_xlfn.COUNTIFS('Datos - Temas'!$D$5:$D$1264,"Matriz_Ciencias_4to_Grado_U1_U6.xlsx")</f>
        <v>72</v>
      </c>
      <c r="E6" s="79"/>
      <c r="F6" s="17"/>
      <c r="G6" s="13"/>
      <c r="H6" s="13"/>
      <c r="I6" s="13"/>
      <c r="J6" s="13"/>
      <c r="K6" s="13"/>
      <c r="L6" s="14"/>
    </row>
    <row r="7" ht="13.65" customHeight="1">
      <c r="A7" t="s" s="78">
        <v>2825</v>
      </c>
      <c r="B7" t="s" s="78">
        <v>9469</v>
      </c>
      <c r="C7" t="s" s="78">
        <v>9463</v>
      </c>
      <c r="D7" s="80" cm="1">
        <f t="array" ref="D7">_xlfn.COUNTIFS('Datos - Temas'!$D$5:$D$1264,"Matriz_Ciencias_5to_Grado_U1_U6.xlsx")</f>
        <v>72</v>
      </c>
      <c r="E7" s="79"/>
      <c r="F7" s="17"/>
      <c r="G7" s="13"/>
      <c r="H7" s="13"/>
      <c r="I7" s="13"/>
      <c r="J7" s="13"/>
      <c r="K7" s="13"/>
      <c r="L7" s="14"/>
    </row>
    <row r="8" ht="13.65" customHeight="1">
      <c r="A8" t="s" s="78">
        <v>3158</v>
      </c>
      <c r="B8" t="s" s="78">
        <v>9470</v>
      </c>
      <c r="C8" t="s" s="78">
        <v>9463</v>
      </c>
      <c r="D8" s="80" cm="1">
        <f t="array" ref="D8">_xlfn.COUNTIFS('Datos - Temas'!$D$5:$D$1264,"Matriz_Ciencias_6to_Grado_U1_U6.xlsx")</f>
        <v>68</v>
      </c>
      <c r="E8" s="79"/>
      <c r="F8" s="17"/>
      <c r="G8" s="13"/>
      <c r="H8" s="13"/>
      <c r="I8" s="13"/>
      <c r="J8" s="13"/>
      <c r="K8" s="13"/>
      <c r="L8" s="14"/>
    </row>
    <row r="9" ht="13.65" customHeight="1">
      <c r="A9" t="s" s="78">
        <v>3454</v>
      </c>
      <c r="B9" t="s" s="78">
        <v>9471</v>
      </c>
      <c r="C9" t="s" s="78">
        <v>9463</v>
      </c>
      <c r="D9" s="80" cm="1">
        <f t="array" ref="D9">_xlfn.COUNTIFS('Datos - Temas'!$D$5:$D$1264,"Matriz_Ciencias_7mo_Grado_U1_U6.xlsx")</f>
        <v>91</v>
      </c>
      <c r="E9" s="79"/>
      <c r="F9" s="17"/>
      <c r="G9" s="13"/>
      <c r="H9" s="13"/>
      <c r="I9" s="13"/>
      <c r="J9" s="13"/>
      <c r="K9" s="13"/>
      <c r="L9" s="14"/>
    </row>
    <row r="10" ht="13.65" customHeight="1">
      <c r="A10" t="s" s="78">
        <v>3919</v>
      </c>
      <c r="B10" t="s" s="78">
        <v>9472</v>
      </c>
      <c r="C10" t="s" s="78">
        <v>9466</v>
      </c>
      <c r="D10" s="80" cm="1">
        <f t="array" ref="D10">_xlfn.COUNTIFS('Datos - Temas'!$D$5:$D$1264,"Matriz_Ciencias_8vo_Grado_U1_U7.xlsx")</f>
        <v>93</v>
      </c>
      <c r="E10" s="79"/>
      <c r="F10" s="17"/>
      <c r="G10" s="13"/>
      <c r="H10" s="13"/>
      <c r="I10" s="13"/>
      <c r="J10" s="13"/>
      <c r="K10" s="13"/>
      <c r="L10" s="14"/>
    </row>
    <row r="11" ht="13.65" customHeight="1">
      <c r="A11" t="s" s="78">
        <v>4371</v>
      </c>
      <c r="B11" t="s" s="78">
        <v>9473</v>
      </c>
      <c r="C11" t="s" s="78">
        <v>9463</v>
      </c>
      <c r="D11" s="80" cm="1">
        <f t="array" ref="D11">_xlfn.COUNTIFS('Datos - Temas'!$D$5:$D$1264,"Matriz_Ciencias_9no_Grado_U1_U7.xlsx")</f>
        <v>90</v>
      </c>
      <c r="E11" s="79"/>
      <c r="F11" s="17"/>
      <c r="G11" s="13"/>
      <c r="H11" s="13"/>
      <c r="I11" s="13"/>
      <c r="J11" s="13"/>
      <c r="K11" s="13"/>
      <c r="L11" s="14"/>
    </row>
    <row r="12" ht="13.65" customHeight="1">
      <c r="A12" t="s" s="78">
        <v>4800</v>
      </c>
      <c r="B12" t="s" s="78">
        <v>9474</v>
      </c>
      <c r="C12" t="s" s="78">
        <v>9475</v>
      </c>
      <c r="D12" s="80" cm="1">
        <f t="array" ref="D12">_xlfn.COUNTIFS('Datos - Temas'!$D$5:$D$1264,"Matriz_Bachillerato_Fisica_10_11.xlsx")</f>
        <v>267</v>
      </c>
      <c r="E12" s="79"/>
      <c r="F12" s="17"/>
      <c r="G12" s="13"/>
      <c r="H12" s="13"/>
      <c r="I12" s="13"/>
      <c r="J12" s="13"/>
      <c r="K12" s="13"/>
      <c r="L12" s="14"/>
    </row>
    <row r="13" ht="13.65" customHeight="1">
      <c r="A13" t="s" s="78">
        <v>6180</v>
      </c>
      <c r="B13" t="s" s="78">
        <v>9476</v>
      </c>
      <c r="C13" t="s" s="78">
        <v>9463</v>
      </c>
      <c r="D13" s="80" cm="1">
        <f t="array" ref="D13">_xlfn.COUNTIFS('Datos - Temas'!$D$5:$D$1264,"Matriz_Bachillerato_Quimica_10_11.xlsx")</f>
        <v>209</v>
      </c>
      <c r="E13" t="s" s="78">
        <v>9477</v>
      </c>
      <c r="F13" s="17"/>
      <c r="G13" s="13"/>
      <c r="H13" s="13"/>
      <c r="I13" s="13"/>
      <c r="J13" s="13"/>
      <c r="K13" s="13"/>
      <c r="L13" s="14"/>
    </row>
    <row r="14" ht="13.65" customHeight="1">
      <c r="A14" t="s" s="78">
        <v>7000</v>
      </c>
      <c r="B14" t="s" s="78">
        <v>9478</v>
      </c>
      <c r="C14" t="s" s="78">
        <v>9463</v>
      </c>
      <c r="D14" s="80" cm="1">
        <f t="array" ref="D14">_xlfn.COUNTIFS('Datos - Temas'!$D$5:$D$1264,"Matriz_Bachillerato_Biologia_10_11.xlsx")</f>
        <v>162</v>
      </c>
      <c r="E14" t="s" s="78">
        <v>9477</v>
      </c>
      <c r="F14" s="17"/>
      <c r="G14" s="13"/>
      <c r="H14" s="13"/>
      <c r="I14" s="13"/>
      <c r="J14" s="13"/>
      <c r="K14" s="13"/>
      <c r="L14" s="14"/>
    </row>
    <row r="15" ht="13.65" customHeight="1">
      <c r="A15" s="42"/>
      <c r="B15" s="99"/>
      <c r="C15" t="s" s="63">
        <v>9479</v>
      </c>
      <c r="D15" s="77" cm="1">
        <f t="array" ref="D15">SUM(D4:D14)</f>
        <v>1260</v>
      </c>
      <c r="E15" s="101"/>
      <c r="F15" s="13"/>
      <c r="G15" s="13"/>
      <c r="H15" s="13"/>
      <c r="I15" s="13"/>
      <c r="J15" s="13"/>
      <c r="K15" s="13"/>
      <c r="L15" s="14"/>
    </row>
    <row r="16" ht="13.55" customHeight="1">
      <c r="A16" s="11"/>
      <c r="B16" s="13"/>
      <c r="C16" s="18"/>
      <c r="D16" s="18"/>
      <c r="E16" s="13"/>
      <c r="F16" s="13"/>
      <c r="G16" s="13"/>
      <c r="H16" s="13"/>
      <c r="I16" s="13"/>
      <c r="J16" s="13"/>
      <c r="K16" s="13"/>
      <c r="L16" s="14"/>
    </row>
    <row r="17" ht="14.6" customHeight="1">
      <c r="A17" t="s" s="52">
        <v>9480</v>
      </c>
      <c r="B17" s="13"/>
      <c r="C17" s="13"/>
      <c r="D17" s="13"/>
      <c r="E17" s="13"/>
      <c r="F17" s="13"/>
      <c r="G17" s="13"/>
      <c r="H17" s="13"/>
      <c r="I17" s="13"/>
      <c r="J17" s="13"/>
      <c r="K17" s="13"/>
      <c r="L17" s="14"/>
    </row>
    <row r="18" ht="13.65" customHeight="1">
      <c r="A18" t="s" s="130">
        <v>9481</v>
      </c>
      <c r="B18" s="13"/>
      <c r="C18" s="13"/>
      <c r="D18" s="13"/>
      <c r="E18" s="13"/>
      <c r="F18" s="13"/>
      <c r="G18" s="13"/>
      <c r="H18" s="13"/>
      <c r="I18" s="13"/>
      <c r="J18" s="13"/>
      <c r="K18" s="13"/>
      <c r="L18" s="14"/>
    </row>
    <row r="19" ht="13.65" customHeight="1">
      <c r="A19" t="s" s="130">
        <v>9482</v>
      </c>
      <c r="B19" s="13"/>
      <c r="C19" s="13"/>
      <c r="D19" s="13"/>
      <c r="E19" s="13"/>
      <c r="F19" s="13"/>
      <c r="G19" s="13"/>
      <c r="H19" s="13"/>
      <c r="I19" s="13"/>
      <c r="J19" s="13"/>
      <c r="K19" s="13"/>
      <c r="L19" s="14"/>
    </row>
    <row r="20" ht="13.65" customHeight="1">
      <c r="A20" t="s" s="130">
        <v>9483</v>
      </c>
      <c r="B20" s="13"/>
      <c r="C20" s="13"/>
      <c r="D20" s="13"/>
      <c r="E20" s="13"/>
      <c r="F20" s="13"/>
      <c r="G20" s="13"/>
      <c r="H20" s="13"/>
      <c r="I20" s="13"/>
      <c r="J20" s="13"/>
      <c r="K20" s="13"/>
      <c r="L20" s="14"/>
    </row>
    <row r="21" ht="13.65" customHeight="1">
      <c r="A21" t="s" s="130">
        <v>9484</v>
      </c>
      <c r="B21" s="13"/>
      <c r="C21" s="13"/>
      <c r="D21" s="13"/>
      <c r="E21" s="13"/>
      <c r="F21" s="13"/>
      <c r="G21" s="13"/>
      <c r="H21" s="13"/>
      <c r="I21" s="13"/>
      <c r="J21" s="13"/>
      <c r="K21" s="13"/>
      <c r="L21" s="14"/>
    </row>
    <row r="22" ht="13.65" customHeight="1">
      <c r="A22" t="s" s="130">
        <v>9485</v>
      </c>
      <c r="B22" s="13"/>
      <c r="C22" s="13"/>
      <c r="D22" s="13"/>
      <c r="E22" s="13"/>
      <c r="F22" s="13"/>
      <c r="G22" s="13"/>
      <c r="H22" s="13"/>
      <c r="I22" s="13"/>
      <c r="J22" s="13"/>
      <c r="K22" s="13"/>
      <c r="L22" s="14"/>
    </row>
    <row r="23" ht="13.65" customHeight="1">
      <c r="A23" t="s" s="131">
        <v>9486</v>
      </c>
      <c r="B23" s="24"/>
      <c r="C23" s="24"/>
      <c r="D23" s="24"/>
      <c r="E23" s="24"/>
      <c r="F23" s="24"/>
      <c r="G23" s="24"/>
      <c r="H23" s="24"/>
      <c r="I23" s="24"/>
      <c r="J23" s="24"/>
      <c r="K23" s="24"/>
      <c r="L23" s="25"/>
    </row>
  </sheetData>
  <mergeCells count="7">
    <mergeCell ref="A21:E21"/>
    <mergeCell ref="A2:L2"/>
    <mergeCell ref="A20:E20"/>
    <mergeCell ref="A19:E19"/>
    <mergeCell ref="A23:E23"/>
    <mergeCell ref="A22:E22"/>
    <mergeCell ref="A18:E1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